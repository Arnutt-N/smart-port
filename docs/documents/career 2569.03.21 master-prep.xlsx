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hrProject\smart-port\docs\documents\"/>
    </mc:Choice>
  </mc:AlternateContent>
  <xr:revisionPtr revIDLastSave="0" documentId="13_ncr:1_{13D0DFF0-308E-4D7D-BF77-9F43A82B4366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นับเกื้อกูล" sheetId="10" r:id="rId1"/>
    <sheet name="นับวันใน-ตน." sheetId="11" r:id="rId2"/>
    <sheet name="นับต่าง" sheetId="5" r:id="rId3"/>
    <sheet name="เทียบ-ตน." sheetId="12" r:id="rId4"/>
    <sheet name="นับวันใน-อต-อส" sheetId="13" r:id="rId5"/>
    <sheet name="to-K2" sheetId="1" r:id="rId6"/>
    <sheet name="to-K3" sheetId="3" r:id="rId7"/>
    <sheet name="K4-K5-LAW" sheetId="26" r:id="rId8"/>
    <sheet name="K4-K5-POLICY" sheetId="27" r:id="rId9"/>
    <sheet name="M2+K4-K5-LAW" sheetId="33" r:id="rId10"/>
    <sheet name="M2+K4-K5-POLICY" sheetId="29" r:id="rId11"/>
    <sheet name="S1-K5-POLICY" sheetId="32" r:id="rId12"/>
    <sheet name="S1-K5-LAW" sheetId="31" r:id="rId13"/>
    <sheet name="to-K5" sheetId="14" r:id="rId14"/>
    <sheet name="to-M1" sheetId="4" r:id="rId15"/>
    <sheet name="to-M2" sheetId="6" r:id="rId16"/>
    <sheet name="to-S1" sheetId="7" r:id="rId17"/>
    <sheet name="to-S2" sheetId="9" r:id="rId18"/>
  </sheets>
  <definedNames>
    <definedName name="_xlnm._FilterDatabase" localSheetId="7" hidden="1">'K4-K5-LAW'!$A$2:$AW$358</definedName>
    <definedName name="_xlnm._FilterDatabase" localSheetId="8" hidden="1">'K4-K5-POLICY'!$A$2:$AP$358</definedName>
    <definedName name="_xlnm._FilterDatabase" localSheetId="9" hidden="1">'M2+K4-K5-LAW'!$A$2:$AP$110</definedName>
    <definedName name="_xlnm._FilterDatabase" localSheetId="10" hidden="1">'M2+K4-K5-POLICY'!$A$2:$AQ$333</definedName>
    <definedName name="_xlnm._FilterDatabase" localSheetId="12" hidden="1">'S1-K5-LAW'!$A$2:$AP$27</definedName>
    <definedName name="_xlnm._FilterDatabase" localSheetId="11" hidden="1">'S1-K5-POLICY'!$A$2:$AQ$27</definedName>
    <definedName name="_xlnm._FilterDatabase" localSheetId="13" hidden="1">'to-K5'!$A$2:$AP$358</definedName>
    <definedName name="_xlnm.Print_Area" localSheetId="9">'M2+K4-K5-LAW'!$A$2:$AJ$112</definedName>
    <definedName name="_xlnm.Print_Area" localSheetId="10">'M2+K4-K5-POLICY'!$A$2:$AK$336</definedName>
    <definedName name="_xlnm.Print_Area" localSheetId="12">'S1-K5-LAW'!$A$2:$AJ$29</definedName>
    <definedName name="_xlnm.Print_Area" localSheetId="11">'S1-K5-POLICY'!$A$2:$AK$30</definedName>
    <definedName name="_xlnm.Print_Titles" localSheetId="9">'M2+K4-K5-LAW'!$2:$2</definedName>
    <definedName name="_xlnm.Print_Titles" localSheetId="10">'M2+K4-K5-POLICY'!$2:$2</definedName>
  </definedNames>
  <calcPr calcId="191029"/>
</workbook>
</file>

<file path=xl/calcChain.xml><?xml version="1.0" encoding="utf-8"?>
<calcChain xmlns="http://schemas.openxmlformats.org/spreadsheetml/2006/main">
  <c r="AH20" i="9" l="1"/>
  <c r="AJ20" i="9" s="1"/>
  <c r="AD20" i="9"/>
  <c r="Z20" i="9"/>
  <c r="X20" i="9"/>
  <c r="W20" i="9"/>
  <c r="T20" i="9"/>
  <c r="S20" i="9"/>
  <c r="R20" i="9"/>
  <c r="O20" i="9"/>
  <c r="N20" i="9"/>
  <c r="M20" i="9"/>
  <c r="J20" i="9"/>
  <c r="I20" i="9"/>
  <c r="H20" i="9"/>
  <c r="AK19" i="9"/>
  <c r="AL19" i="9" s="1"/>
  <c r="AM19" i="9" s="1"/>
  <c r="AN19" i="9" s="1"/>
  <c r="AI19" i="9"/>
  <c r="AH19" i="9"/>
  <c r="AJ19" i="9" s="1"/>
  <c r="AD19" i="9"/>
  <c r="Z19" i="9"/>
  <c r="AE19" i="9" s="1"/>
  <c r="X19" i="9"/>
  <c r="W19" i="9"/>
  <c r="T19" i="9"/>
  <c r="S19" i="9"/>
  <c r="R19" i="9"/>
  <c r="O19" i="9"/>
  <c r="N19" i="9"/>
  <c r="M19" i="9"/>
  <c r="J19" i="9"/>
  <c r="I19" i="9"/>
  <c r="H19" i="9"/>
  <c r="AJ18" i="9"/>
  <c r="AK18" i="9" s="1"/>
  <c r="AL18" i="9" s="1"/>
  <c r="AM18" i="9" s="1"/>
  <c r="AN18" i="9" s="1"/>
  <c r="AH18" i="9"/>
  <c r="AI18" i="9" s="1"/>
  <c r="AF18" i="9"/>
  <c r="AD18" i="9"/>
  <c r="AB18" i="9"/>
  <c r="Z18" i="9"/>
  <c r="AG18" i="9" s="1"/>
  <c r="X18" i="9"/>
  <c r="W18" i="9"/>
  <c r="T18" i="9"/>
  <c r="S18" i="9"/>
  <c r="R18" i="9"/>
  <c r="O18" i="9"/>
  <c r="N18" i="9"/>
  <c r="M18" i="9"/>
  <c r="J18" i="9"/>
  <c r="I18" i="9"/>
  <c r="H18" i="9"/>
  <c r="AM17" i="9"/>
  <c r="AN17" i="9" s="1"/>
  <c r="AK17" i="9"/>
  <c r="AL17" i="9" s="1"/>
  <c r="AJ17" i="9"/>
  <c r="AI17" i="9"/>
  <c r="AH17" i="9"/>
  <c r="AG17" i="9"/>
  <c r="AF17" i="9"/>
  <c r="AE17" i="9"/>
  <c r="AD17" i="9"/>
  <c r="AC17" i="9"/>
  <c r="AB17" i="9"/>
  <c r="AA17" i="9"/>
  <c r="Z17" i="9"/>
  <c r="X17" i="9"/>
  <c r="W17" i="9"/>
  <c r="T17" i="9"/>
  <c r="S17" i="9"/>
  <c r="R17" i="9"/>
  <c r="O17" i="9"/>
  <c r="N17" i="9"/>
  <c r="M17" i="9"/>
  <c r="J17" i="9"/>
  <c r="I17" i="9"/>
  <c r="H17" i="9"/>
  <c r="AH16" i="9"/>
  <c r="AD16" i="9"/>
  <c r="Z16" i="9"/>
  <c r="X16" i="9"/>
  <c r="W16" i="9"/>
  <c r="T16" i="9"/>
  <c r="S16" i="9"/>
  <c r="R16" i="9"/>
  <c r="O16" i="9"/>
  <c r="N16" i="9"/>
  <c r="M16" i="9"/>
  <c r="J16" i="9"/>
  <c r="I16" i="9"/>
  <c r="H16" i="9"/>
  <c r="AK15" i="9"/>
  <c r="AL15" i="9" s="1"/>
  <c r="AM15" i="9" s="1"/>
  <c r="AN15" i="9" s="1"/>
  <c r="AI15" i="9"/>
  <c r="AH15" i="9"/>
  <c r="AJ15" i="9" s="1"/>
  <c r="AD15" i="9"/>
  <c r="Z15" i="9"/>
  <c r="AE15" i="9" s="1"/>
  <c r="X15" i="9"/>
  <c r="W15" i="9"/>
  <c r="T15" i="9"/>
  <c r="S15" i="9"/>
  <c r="R15" i="9"/>
  <c r="O15" i="9"/>
  <c r="N15" i="9"/>
  <c r="M15" i="9"/>
  <c r="J15" i="9"/>
  <c r="I15" i="9"/>
  <c r="H15" i="9"/>
  <c r="AJ14" i="9"/>
  <c r="AH14" i="9"/>
  <c r="AK14" i="9" s="1"/>
  <c r="AL14" i="9" s="1"/>
  <c r="AM14" i="9" s="1"/>
  <c r="AN14" i="9" s="1"/>
  <c r="AF14" i="9"/>
  <c r="AD14" i="9"/>
  <c r="AB14" i="9"/>
  <c r="Z14" i="9"/>
  <c r="AG14" i="9" s="1"/>
  <c r="X14" i="9"/>
  <c r="W14" i="9"/>
  <c r="T14" i="9"/>
  <c r="S14" i="9"/>
  <c r="R14" i="9"/>
  <c r="O14" i="9"/>
  <c r="N14" i="9"/>
  <c r="M14" i="9"/>
  <c r="J14" i="9"/>
  <c r="I14" i="9"/>
  <c r="H14" i="9"/>
  <c r="AM13" i="9"/>
  <c r="AN13" i="9" s="1"/>
  <c r="AK13" i="9"/>
  <c r="AL13" i="9" s="1"/>
  <c r="AJ13" i="9"/>
  <c r="AI13" i="9"/>
  <c r="AH13" i="9"/>
  <c r="AE13" i="9"/>
  <c r="AD13" i="9"/>
  <c r="AA13" i="9"/>
  <c r="Z13" i="9"/>
  <c r="AF13" i="9" s="1"/>
  <c r="AG13" i="9" s="1"/>
  <c r="X13" i="9"/>
  <c r="W13" i="9"/>
  <c r="T13" i="9"/>
  <c r="S13" i="9"/>
  <c r="R13" i="9"/>
  <c r="O13" i="9"/>
  <c r="N13" i="9"/>
  <c r="M13" i="9"/>
  <c r="J13" i="9"/>
  <c r="I13" i="9"/>
  <c r="H13" i="9"/>
  <c r="AH12" i="9"/>
  <c r="AD12" i="9"/>
  <c r="Z12" i="9"/>
  <c r="X12" i="9"/>
  <c r="W12" i="9"/>
  <c r="T12" i="9"/>
  <c r="S12" i="9"/>
  <c r="R12" i="9"/>
  <c r="O12" i="9"/>
  <c r="N12" i="9"/>
  <c r="M12" i="9"/>
  <c r="J12" i="9"/>
  <c r="I12" i="9"/>
  <c r="H12" i="9"/>
  <c r="AI11" i="9"/>
  <c r="AH11" i="9"/>
  <c r="AJ11" i="9" s="1"/>
  <c r="AK11" i="9" s="1"/>
  <c r="AL11" i="9" s="1"/>
  <c r="AM11" i="9" s="1"/>
  <c r="AN11" i="9" s="1"/>
  <c r="AE11" i="9"/>
  <c r="AD11" i="9"/>
  <c r="AA11" i="9"/>
  <c r="Z11" i="9"/>
  <c r="AF11" i="9" s="1"/>
  <c r="AG11" i="9" s="1"/>
  <c r="X11" i="9"/>
  <c r="W11" i="9"/>
  <c r="T11" i="9"/>
  <c r="S11" i="9"/>
  <c r="R11" i="9"/>
  <c r="O11" i="9"/>
  <c r="N11" i="9"/>
  <c r="M11" i="9"/>
  <c r="J11" i="9"/>
  <c r="I11" i="9"/>
  <c r="H11" i="9"/>
  <c r="AJ10" i="9"/>
  <c r="AH10" i="9"/>
  <c r="AF10" i="9"/>
  <c r="AD10" i="9"/>
  <c r="AB10" i="9"/>
  <c r="Z10" i="9"/>
  <c r="X10" i="9"/>
  <c r="W10" i="9"/>
  <c r="T10" i="9"/>
  <c r="S10" i="9"/>
  <c r="R10" i="9"/>
  <c r="O10" i="9"/>
  <c r="N10" i="9"/>
  <c r="M10" i="9"/>
  <c r="J10" i="9"/>
  <c r="I10" i="9"/>
  <c r="H10" i="9"/>
  <c r="AK9" i="9"/>
  <c r="AL9" i="9" s="1"/>
  <c r="AM9" i="9" s="1"/>
  <c r="AN9" i="9" s="1"/>
  <c r="AJ9" i="9"/>
  <c r="AI9" i="9"/>
  <c r="AH9" i="9"/>
  <c r="AE9" i="9"/>
  <c r="AD9" i="9"/>
  <c r="AA9" i="9"/>
  <c r="Z9" i="9"/>
  <c r="AF9" i="9" s="1"/>
  <c r="AG9" i="9" s="1"/>
  <c r="X9" i="9"/>
  <c r="W9" i="9"/>
  <c r="T9" i="9"/>
  <c r="S9" i="9"/>
  <c r="R9" i="9"/>
  <c r="O9" i="9"/>
  <c r="N9" i="9"/>
  <c r="M9" i="9"/>
  <c r="J9" i="9"/>
  <c r="I9" i="9"/>
  <c r="H9" i="9"/>
  <c r="AH8" i="9"/>
  <c r="AD8" i="9"/>
  <c r="Z8" i="9"/>
  <c r="X8" i="9"/>
  <c r="W8" i="9"/>
  <c r="T8" i="9"/>
  <c r="S8" i="9"/>
  <c r="R8" i="9"/>
  <c r="O8" i="9"/>
  <c r="N8" i="9"/>
  <c r="M8" i="9"/>
  <c r="J8" i="9"/>
  <c r="I8" i="9"/>
  <c r="H8" i="9"/>
  <c r="AK7" i="9"/>
  <c r="AL7" i="9" s="1"/>
  <c r="AM7" i="9" s="1"/>
  <c r="AN7" i="9" s="1"/>
  <c r="AI7" i="9"/>
  <c r="AH7" i="9"/>
  <c r="AJ7" i="9" s="1"/>
  <c r="AD7" i="9"/>
  <c r="Z7" i="9"/>
  <c r="AE7" i="9" s="1"/>
  <c r="X7" i="9"/>
  <c r="W7" i="9"/>
  <c r="T7" i="9"/>
  <c r="S7" i="9"/>
  <c r="R7" i="9"/>
  <c r="O7" i="9"/>
  <c r="N7" i="9"/>
  <c r="M7" i="9"/>
  <c r="J7" i="9"/>
  <c r="I7" i="9"/>
  <c r="H7" i="9"/>
  <c r="AN6" i="9"/>
  <c r="AJ6" i="9"/>
  <c r="AK6" i="9" s="1"/>
  <c r="AL6" i="9" s="1"/>
  <c r="AM6" i="9" s="1"/>
  <c r="AH6" i="9"/>
  <c r="AI6" i="9" s="1"/>
  <c r="AF6" i="9"/>
  <c r="AD6" i="9"/>
  <c r="AB6" i="9"/>
  <c r="Z6" i="9"/>
  <c r="X6" i="9"/>
  <c r="W6" i="9"/>
  <c r="T6" i="9"/>
  <c r="S6" i="9"/>
  <c r="R6" i="9"/>
  <c r="O6" i="9"/>
  <c r="N6" i="9"/>
  <c r="M6" i="9"/>
  <c r="J6" i="9"/>
  <c r="I6" i="9"/>
  <c r="H6" i="9"/>
  <c r="AK5" i="9"/>
  <c r="AL5" i="9" s="1"/>
  <c r="AM5" i="9" s="1"/>
  <c r="AN5" i="9" s="1"/>
  <c r="AJ5" i="9"/>
  <c r="AI5" i="9"/>
  <c r="AH5" i="9"/>
  <c r="AG5" i="9"/>
  <c r="AF5" i="9"/>
  <c r="AE5" i="9"/>
  <c r="AD5" i="9"/>
  <c r="AC5" i="9"/>
  <c r="AB5" i="9"/>
  <c r="AA5" i="9"/>
  <c r="Z5" i="9"/>
  <c r="X5" i="9"/>
  <c r="W5" i="9"/>
  <c r="T5" i="9"/>
  <c r="S5" i="9"/>
  <c r="R5" i="9"/>
  <c r="O5" i="9"/>
  <c r="N5" i="9"/>
  <c r="M5" i="9"/>
  <c r="J5" i="9"/>
  <c r="I5" i="9"/>
  <c r="H5" i="9"/>
  <c r="AH4" i="9"/>
  <c r="X4" i="9"/>
  <c r="W4" i="9"/>
  <c r="T4" i="9"/>
  <c r="S4" i="9"/>
  <c r="R4" i="9"/>
  <c r="O4" i="9"/>
  <c r="N4" i="9"/>
  <c r="M4" i="9"/>
  <c r="J4" i="9"/>
  <c r="I4" i="9"/>
  <c r="H4" i="9"/>
  <c r="AI3" i="9"/>
  <c r="AH3" i="9"/>
  <c r="AJ3" i="9" s="1"/>
  <c r="AK3" i="9" s="1"/>
  <c r="AL3" i="9" s="1"/>
  <c r="AM3" i="9" s="1"/>
  <c r="AN3" i="9" s="1"/>
  <c r="AG3" i="9"/>
  <c r="AE3" i="9"/>
  <c r="AD3" i="9"/>
  <c r="AA3" i="9"/>
  <c r="Z3" i="9"/>
  <c r="AF3" i="9" s="1"/>
  <c r="X3" i="9"/>
  <c r="W3" i="9"/>
  <c r="T3" i="9"/>
  <c r="S3" i="9"/>
  <c r="R3" i="9"/>
  <c r="O3" i="9"/>
  <c r="N3" i="9"/>
  <c r="M3" i="9"/>
  <c r="J3" i="9"/>
  <c r="I3" i="9"/>
  <c r="H3" i="9"/>
  <c r="G1" i="9"/>
  <c r="C1" i="9"/>
  <c r="Y17" i="9" s="1"/>
  <c r="Q20" i="7"/>
  <c r="R20" i="7" s="1"/>
  <c r="S20" i="7" s="1"/>
  <c r="O20" i="7"/>
  <c r="N20" i="7"/>
  <c r="M20" i="7"/>
  <c r="J20" i="7"/>
  <c r="I20" i="7"/>
  <c r="H20" i="7"/>
  <c r="R19" i="7"/>
  <c r="S19" i="7" s="1"/>
  <c r="Q19" i="7"/>
  <c r="O19" i="7"/>
  <c r="N19" i="7"/>
  <c r="M19" i="7"/>
  <c r="J19" i="7"/>
  <c r="I19" i="7"/>
  <c r="H19" i="7"/>
  <c r="S18" i="7"/>
  <c r="Q18" i="7"/>
  <c r="R18" i="7" s="1"/>
  <c r="O18" i="7"/>
  <c r="N18" i="7"/>
  <c r="M18" i="7"/>
  <c r="J18" i="7"/>
  <c r="I18" i="7"/>
  <c r="H18" i="7"/>
  <c r="R17" i="7"/>
  <c r="S17" i="7" s="1"/>
  <c r="Q17" i="7"/>
  <c r="O17" i="7"/>
  <c r="N17" i="7"/>
  <c r="M17" i="7"/>
  <c r="J17" i="7"/>
  <c r="I17" i="7"/>
  <c r="H17" i="7"/>
  <c r="Q16" i="7"/>
  <c r="R16" i="7" s="1"/>
  <c r="S16" i="7" s="1"/>
  <c r="O16" i="7"/>
  <c r="N16" i="7"/>
  <c r="M16" i="7"/>
  <c r="J16" i="7"/>
  <c r="I16" i="7"/>
  <c r="H16" i="7"/>
  <c r="R15" i="7"/>
  <c r="S15" i="7" s="1"/>
  <c r="Q15" i="7"/>
  <c r="O15" i="7"/>
  <c r="N15" i="7"/>
  <c r="M15" i="7"/>
  <c r="J15" i="7"/>
  <c r="I15" i="7"/>
  <c r="H15" i="7"/>
  <c r="Q14" i="7"/>
  <c r="R14" i="7" s="1"/>
  <c r="S14" i="7" s="1"/>
  <c r="O14" i="7"/>
  <c r="N14" i="7"/>
  <c r="M14" i="7"/>
  <c r="J14" i="7"/>
  <c r="I14" i="7"/>
  <c r="H14" i="7"/>
  <c r="R13" i="7"/>
  <c r="S13" i="7" s="1"/>
  <c r="Q13" i="7"/>
  <c r="O13" i="7"/>
  <c r="N13" i="7"/>
  <c r="M13" i="7"/>
  <c r="J13" i="7"/>
  <c r="I13" i="7"/>
  <c r="H13" i="7"/>
  <c r="Q12" i="7"/>
  <c r="R12" i="7" s="1"/>
  <c r="S12" i="7" s="1"/>
  <c r="O12" i="7"/>
  <c r="N12" i="7"/>
  <c r="M12" i="7"/>
  <c r="J12" i="7"/>
  <c r="I12" i="7"/>
  <c r="H12" i="7"/>
  <c r="R11" i="7"/>
  <c r="S11" i="7" s="1"/>
  <c r="Q11" i="7"/>
  <c r="O11" i="7"/>
  <c r="N11" i="7"/>
  <c r="M11" i="7"/>
  <c r="J11" i="7"/>
  <c r="I11" i="7"/>
  <c r="H11" i="7"/>
  <c r="Q10" i="7"/>
  <c r="R10" i="7" s="1"/>
  <c r="S10" i="7" s="1"/>
  <c r="O10" i="7"/>
  <c r="N10" i="7"/>
  <c r="M10" i="7"/>
  <c r="J10" i="7"/>
  <c r="I10" i="7"/>
  <c r="H10" i="7"/>
  <c r="R9" i="7"/>
  <c r="S9" i="7" s="1"/>
  <c r="Q9" i="7"/>
  <c r="O9" i="7"/>
  <c r="N9" i="7"/>
  <c r="M9" i="7"/>
  <c r="J9" i="7"/>
  <c r="I9" i="7"/>
  <c r="H9" i="7"/>
  <c r="Q8" i="7"/>
  <c r="R8" i="7" s="1"/>
  <c r="S8" i="7" s="1"/>
  <c r="O8" i="7"/>
  <c r="N8" i="7"/>
  <c r="M8" i="7"/>
  <c r="J8" i="7"/>
  <c r="I8" i="7"/>
  <c r="H8" i="7"/>
  <c r="R7" i="7"/>
  <c r="S7" i="7" s="1"/>
  <c r="Q7" i="7"/>
  <c r="O7" i="7"/>
  <c r="N7" i="7"/>
  <c r="M7" i="7"/>
  <c r="J7" i="7"/>
  <c r="I7" i="7"/>
  <c r="H7" i="7"/>
  <c r="Q6" i="7"/>
  <c r="R6" i="7" s="1"/>
  <c r="S6" i="7" s="1"/>
  <c r="O6" i="7"/>
  <c r="N6" i="7"/>
  <c r="M6" i="7"/>
  <c r="J6" i="7"/>
  <c r="I6" i="7"/>
  <c r="H6" i="7"/>
  <c r="R5" i="7"/>
  <c r="S5" i="7" s="1"/>
  <c r="Q5" i="7"/>
  <c r="O5" i="7"/>
  <c r="N5" i="7"/>
  <c r="M5" i="7"/>
  <c r="J5" i="7"/>
  <c r="I5" i="7"/>
  <c r="H5" i="7"/>
  <c r="Q4" i="7"/>
  <c r="R4" i="7" s="1"/>
  <c r="S4" i="7" s="1"/>
  <c r="O4" i="7"/>
  <c r="N4" i="7"/>
  <c r="M4" i="7"/>
  <c r="J4" i="7"/>
  <c r="I4" i="7"/>
  <c r="H4" i="7"/>
  <c r="R3" i="7"/>
  <c r="S3" i="7" s="1"/>
  <c r="Q3" i="7"/>
  <c r="O3" i="7"/>
  <c r="N3" i="7"/>
  <c r="M3" i="7"/>
  <c r="J3" i="7"/>
  <c r="I3" i="7"/>
  <c r="H3" i="7"/>
  <c r="G1" i="7"/>
  <c r="C1" i="7"/>
  <c r="T26" i="6"/>
  <c r="S26" i="6"/>
  <c r="R26" i="6"/>
  <c r="U26" i="6" s="1"/>
  <c r="V26" i="6" s="1"/>
  <c r="W26" i="6" s="1"/>
  <c r="X26" i="6" s="1"/>
  <c r="O26" i="6"/>
  <c r="N26" i="6"/>
  <c r="M26" i="6"/>
  <c r="T25" i="6"/>
  <c r="S25" i="6"/>
  <c r="R25" i="6"/>
  <c r="U25" i="6" s="1"/>
  <c r="V25" i="6" s="1"/>
  <c r="W25" i="6" s="1"/>
  <c r="X25" i="6" s="1"/>
  <c r="O25" i="6"/>
  <c r="N25" i="6"/>
  <c r="M25" i="6"/>
  <c r="T24" i="6"/>
  <c r="S24" i="6"/>
  <c r="R24" i="6"/>
  <c r="U24" i="6" s="1"/>
  <c r="V24" i="6" s="1"/>
  <c r="W24" i="6" s="1"/>
  <c r="X24" i="6" s="1"/>
  <c r="O24" i="6"/>
  <c r="N24" i="6"/>
  <c r="M24" i="6"/>
  <c r="U23" i="6"/>
  <c r="V23" i="6" s="1"/>
  <c r="W23" i="6" s="1"/>
  <c r="X23" i="6" s="1"/>
  <c r="T23" i="6"/>
  <c r="S23" i="6"/>
  <c r="R23" i="6"/>
  <c r="O23" i="6"/>
  <c r="N23" i="6"/>
  <c r="M23" i="6"/>
  <c r="T22" i="6"/>
  <c r="S22" i="6"/>
  <c r="R22" i="6"/>
  <c r="U22" i="6" s="1"/>
  <c r="V22" i="6" s="1"/>
  <c r="W22" i="6" s="1"/>
  <c r="X22" i="6" s="1"/>
  <c r="O22" i="6"/>
  <c r="N22" i="6"/>
  <c r="M22" i="6"/>
  <c r="U21" i="6"/>
  <c r="V21" i="6" s="1"/>
  <c r="W21" i="6" s="1"/>
  <c r="X21" i="6" s="1"/>
  <c r="T21" i="6"/>
  <c r="S21" i="6"/>
  <c r="R21" i="6"/>
  <c r="O21" i="6"/>
  <c r="N21" i="6"/>
  <c r="M21" i="6"/>
  <c r="T20" i="6"/>
  <c r="S20" i="6"/>
  <c r="R20" i="6"/>
  <c r="U20" i="6" s="1"/>
  <c r="V20" i="6" s="1"/>
  <c r="W20" i="6" s="1"/>
  <c r="X20" i="6" s="1"/>
  <c r="O20" i="6"/>
  <c r="N20" i="6"/>
  <c r="M20" i="6"/>
  <c r="V19" i="6"/>
  <c r="W19" i="6" s="1"/>
  <c r="X19" i="6" s="1"/>
  <c r="T19" i="6"/>
  <c r="S19" i="6"/>
  <c r="R19" i="6"/>
  <c r="U19" i="6" s="1"/>
  <c r="O19" i="6"/>
  <c r="N19" i="6"/>
  <c r="M19" i="6"/>
  <c r="T18" i="6"/>
  <c r="S18" i="6"/>
  <c r="R18" i="6"/>
  <c r="U18" i="6" s="1"/>
  <c r="V18" i="6" s="1"/>
  <c r="W18" i="6" s="1"/>
  <c r="X18" i="6" s="1"/>
  <c r="O18" i="6"/>
  <c r="N18" i="6"/>
  <c r="M18" i="6"/>
  <c r="U17" i="6"/>
  <c r="V17" i="6" s="1"/>
  <c r="W17" i="6" s="1"/>
  <c r="X17" i="6" s="1"/>
  <c r="T17" i="6"/>
  <c r="S17" i="6"/>
  <c r="R17" i="6"/>
  <c r="O17" i="6"/>
  <c r="N17" i="6"/>
  <c r="M17" i="6"/>
  <c r="T16" i="6"/>
  <c r="S16" i="6"/>
  <c r="R16" i="6"/>
  <c r="U16" i="6" s="1"/>
  <c r="V16" i="6" s="1"/>
  <c r="W16" i="6" s="1"/>
  <c r="X16" i="6" s="1"/>
  <c r="O16" i="6"/>
  <c r="N16" i="6"/>
  <c r="M16" i="6"/>
  <c r="U15" i="6"/>
  <c r="V15" i="6" s="1"/>
  <c r="W15" i="6" s="1"/>
  <c r="X15" i="6" s="1"/>
  <c r="T15" i="6"/>
  <c r="S15" i="6"/>
  <c r="R15" i="6"/>
  <c r="O15" i="6"/>
  <c r="N15" i="6"/>
  <c r="M15" i="6"/>
  <c r="T14" i="6"/>
  <c r="S14" i="6"/>
  <c r="R14" i="6"/>
  <c r="U14" i="6" s="1"/>
  <c r="V14" i="6" s="1"/>
  <c r="W14" i="6" s="1"/>
  <c r="X14" i="6" s="1"/>
  <c r="O14" i="6"/>
  <c r="N14" i="6"/>
  <c r="M14" i="6"/>
  <c r="U13" i="6"/>
  <c r="V13" i="6" s="1"/>
  <c r="W13" i="6" s="1"/>
  <c r="X13" i="6" s="1"/>
  <c r="T13" i="6"/>
  <c r="S13" i="6"/>
  <c r="R13" i="6"/>
  <c r="O13" i="6"/>
  <c r="N13" i="6"/>
  <c r="M13" i="6"/>
  <c r="T12" i="6"/>
  <c r="S12" i="6"/>
  <c r="R12" i="6"/>
  <c r="U12" i="6" s="1"/>
  <c r="V12" i="6" s="1"/>
  <c r="W12" i="6" s="1"/>
  <c r="X12" i="6" s="1"/>
  <c r="O12" i="6"/>
  <c r="N12" i="6"/>
  <c r="M12" i="6"/>
  <c r="T11" i="6"/>
  <c r="S11" i="6"/>
  <c r="R11" i="6"/>
  <c r="U11" i="6" s="1"/>
  <c r="V11" i="6" s="1"/>
  <c r="W11" i="6" s="1"/>
  <c r="X11" i="6" s="1"/>
  <c r="O11" i="6"/>
  <c r="N11" i="6"/>
  <c r="M11" i="6"/>
  <c r="V10" i="6"/>
  <c r="W10" i="6" s="1"/>
  <c r="X10" i="6" s="1"/>
  <c r="T10" i="6"/>
  <c r="S10" i="6"/>
  <c r="R10" i="6"/>
  <c r="U10" i="6" s="1"/>
  <c r="O10" i="6"/>
  <c r="N10" i="6"/>
  <c r="M10" i="6"/>
  <c r="U9" i="6"/>
  <c r="V9" i="6" s="1"/>
  <c r="W9" i="6" s="1"/>
  <c r="X9" i="6" s="1"/>
  <c r="T9" i="6"/>
  <c r="S9" i="6"/>
  <c r="R9" i="6"/>
  <c r="O9" i="6"/>
  <c r="N9" i="6"/>
  <c r="M9" i="6"/>
  <c r="T8" i="6"/>
  <c r="S8" i="6"/>
  <c r="R8" i="6"/>
  <c r="U8" i="6" s="1"/>
  <c r="V8" i="6" s="1"/>
  <c r="W8" i="6" s="1"/>
  <c r="X8" i="6" s="1"/>
  <c r="O8" i="6"/>
  <c r="N8" i="6"/>
  <c r="M8" i="6"/>
  <c r="T7" i="6"/>
  <c r="S7" i="6"/>
  <c r="R7" i="6"/>
  <c r="U7" i="6" s="1"/>
  <c r="V7" i="6" s="1"/>
  <c r="W7" i="6" s="1"/>
  <c r="X7" i="6" s="1"/>
  <c r="O7" i="6"/>
  <c r="N7" i="6"/>
  <c r="M7" i="6"/>
  <c r="W6" i="6"/>
  <c r="X6" i="6" s="1"/>
  <c r="T6" i="6"/>
  <c r="S6" i="6"/>
  <c r="R6" i="6"/>
  <c r="U6" i="6" s="1"/>
  <c r="V6" i="6" s="1"/>
  <c r="O6" i="6"/>
  <c r="N6" i="6"/>
  <c r="M6" i="6"/>
  <c r="U5" i="6"/>
  <c r="V5" i="6" s="1"/>
  <c r="W5" i="6" s="1"/>
  <c r="X5" i="6" s="1"/>
  <c r="T5" i="6"/>
  <c r="S5" i="6"/>
  <c r="R5" i="6"/>
  <c r="O5" i="6"/>
  <c r="N5" i="6"/>
  <c r="M5" i="6"/>
  <c r="T4" i="6"/>
  <c r="S4" i="6"/>
  <c r="R4" i="6"/>
  <c r="U4" i="6" s="1"/>
  <c r="V4" i="6" s="1"/>
  <c r="W4" i="6" s="1"/>
  <c r="X4" i="6" s="1"/>
  <c r="O4" i="6"/>
  <c r="N4" i="6"/>
  <c r="M4" i="6"/>
  <c r="T3" i="6"/>
  <c r="S3" i="6"/>
  <c r="R3" i="6"/>
  <c r="U3" i="6" s="1"/>
  <c r="V3" i="6" s="1"/>
  <c r="W3" i="6" s="1"/>
  <c r="X3" i="6" s="1"/>
  <c r="O3" i="6"/>
  <c r="N3" i="6"/>
  <c r="M3" i="6"/>
  <c r="G1" i="6"/>
  <c r="C1" i="6"/>
  <c r="J22" i="6" s="1"/>
  <c r="S20" i="4"/>
  <c r="T20" i="4" s="1"/>
  <c r="U20" i="4" s="1"/>
  <c r="V20" i="4" s="1"/>
  <c r="R20" i="4"/>
  <c r="O20" i="4"/>
  <c r="N20" i="4"/>
  <c r="M20" i="4"/>
  <c r="R19" i="4"/>
  <c r="O19" i="4"/>
  <c r="N19" i="4"/>
  <c r="M19" i="4"/>
  <c r="R18" i="4"/>
  <c r="S18" i="4" s="1"/>
  <c r="O18" i="4"/>
  <c r="N18" i="4"/>
  <c r="M18" i="4"/>
  <c r="S17" i="4"/>
  <c r="T17" i="4" s="1"/>
  <c r="U17" i="4" s="1"/>
  <c r="V17" i="4" s="1"/>
  <c r="R17" i="4"/>
  <c r="O17" i="4"/>
  <c r="N17" i="4"/>
  <c r="M17" i="4"/>
  <c r="R16" i="4"/>
  <c r="S16" i="4" s="1"/>
  <c r="O16" i="4"/>
  <c r="N16" i="4"/>
  <c r="M16" i="4"/>
  <c r="R15" i="4"/>
  <c r="O15" i="4"/>
  <c r="N15" i="4"/>
  <c r="M15" i="4"/>
  <c r="R14" i="4"/>
  <c r="S14" i="4" s="1"/>
  <c r="O14" i="4"/>
  <c r="N14" i="4"/>
  <c r="M14" i="4"/>
  <c r="U13" i="4"/>
  <c r="V13" i="4" s="1"/>
  <c r="T13" i="4"/>
  <c r="S13" i="4"/>
  <c r="R13" i="4"/>
  <c r="O13" i="4"/>
  <c r="N13" i="4"/>
  <c r="M13" i="4"/>
  <c r="R12" i="4"/>
  <c r="O12" i="4"/>
  <c r="N12" i="4"/>
  <c r="M12" i="4"/>
  <c r="R11" i="4"/>
  <c r="O11" i="4"/>
  <c r="N11" i="4"/>
  <c r="M11" i="4"/>
  <c r="T10" i="4"/>
  <c r="U10" i="4" s="1"/>
  <c r="V10" i="4" s="1"/>
  <c r="R10" i="4"/>
  <c r="S10" i="4" s="1"/>
  <c r="O10" i="4"/>
  <c r="N10" i="4"/>
  <c r="M10" i="4"/>
  <c r="S9" i="4"/>
  <c r="T9" i="4" s="1"/>
  <c r="U9" i="4" s="1"/>
  <c r="V9" i="4" s="1"/>
  <c r="R9" i="4"/>
  <c r="O9" i="4"/>
  <c r="N9" i="4"/>
  <c r="M9" i="4"/>
  <c r="R8" i="4"/>
  <c r="O8" i="4"/>
  <c r="N8" i="4"/>
  <c r="M8" i="4"/>
  <c r="S7" i="4"/>
  <c r="R7" i="4"/>
  <c r="O7" i="4"/>
  <c r="N7" i="4"/>
  <c r="M7" i="4"/>
  <c r="O6" i="4"/>
  <c r="N6" i="4"/>
  <c r="M6" i="4"/>
  <c r="O5" i="4"/>
  <c r="N5" i="4"/>
  <c r="M5" i="4"/>
  <c r="O4" i="4"/>
  <c r="N4" i="4"/>
  <c r="M4" i="4"/>
  <c r="O3" i="4"/>
  <c r="N3" i="4"/>
  <c r="M3" i="4"/>
  <c r="G1" i="4"/>
  <c r="C1" i="4"/>
  <c r="I18" i="4" s="1"/>
  <c r="AN358" i="14"/>
  <c r="AH358" i="14"/>
  <c r="P358" i="14"/>
  <c r="I358" i="14"/>
  <c r="H358" i="14"/>
  <c r="G358" i="14"/>
  <c r="AN357" i="14"/>
  <c r="AH357" i="14"/>
  <c r="P357" i="14"/>
  <c r="Q357" i="14" s="1"/>
  <c r="I357" i="14"/>
  <c r="H357" i="14"/>
  <c r="G357" i="14"/>
  <c r="AN356" i="14"/>
  <c r="AH356" i="14"/>
  <c r="P356" i="14"/>
  <c r="Q356" i="14" s="1"/>
  <c r="I356" i="14"/>
  <c r="H356" i="14"/>
  <c r="G356" i="14"/>
  <c r="AN355" i="14"/>
  <c r="AH355" i="14"/>
  <c r="P355" i="14"/>
  <c r="S355" i="14" s="1"/>
  <c r="I355" i="14"/>
  <c r="H355" i="14"/>
  <c r="G355" i="14"/>
  <c r="AN354" i="14"/>
  <c r="AH354" i="14"/>
  <c r="P354" i="14"/>
  <c r="S354" i="14" s="1"/>
  <c r="I354" i="14"/>
  <c r="H354" i="14"/>
  <c r="G354" i="14"/>
  <c r="AN353" i="14"/>
  <c r="AH353" i="14"/>
  <c r="P353" i="14"/>
  <c r="I353" i="14"/>
  <c r="H353" i="14"/>
  <c r="G353" i="14"/>
  <c r="AN352" i="14"/>
  <c r="AH352" i="14"/>
  <c r="P352" i="14"/>
  <c r="Q352" i="14" s="1"/>
  <c r="I352" i="14"/>
  <c r="H352" i="14"/>
  <c r="G352" i="14"/>
  <c r="AN351" i="14"/>
  <c r="AH351" i="14"/>
  <c r="P351" i="14"/>
  <c r="I351" i="14"/>
  <c r="H351" i="14"/>
  <c r="G351" i="14"/>
  <c r="AN350" i="14"/>
  <c r="AH350" i="14"/>
  <c r="P350" i="14"/>
  <c r="I350" i="14"/>
  <c r="H350" i="14"/>
  <c r="G350" i="14"/>
  <c r="AN349" i="14"/>
  <c r="AH349" i="14"/>
  <c r="P349" i="14"/>
  <c r="S349" i="14" s="1"/>
  <c r="I349" i="14"/>
  <c r="H349" i="14"/>
  <c r="G349" i="14"/>
  <c r="AN348" i="14"/>
  <c r="AH348" i="14"/>
  <c r="P348" i="14"/>
  <c r="I348" i="14"/>
  <c r="H348" i="14"/>
  <c r="G348" i="14"/>
  <c r="AN347" i="14"/>
  <c r="AH347" i="14"/>
  <c r="P347" i="14"/>
  <c r="I347" i="14"/>
  <c r="H347" i="14"/>
  <c r="G347" i="14"/>
  <c r="AN346" i="14"/>
  <c r="AH346" i="14"/>
  <c r="P346" i="14"/>
  <c r="S346" i="14" s="1"/>
  <c r="I346" i="14"/>
  <c r="H346" i="14"/>
  <c r="G346" i="14"/>
  <c r="AN345" i="14"/>
  <c r="AH345" i="14"/>
  <c r="P345" i="14"/>
  <c r="I345" i="14"/>
  <c r="H345" i="14"/>
  <c r="G345" i="14"/>
  <c r="AN344" i="14"/>
  <c r="AH344" i="14"/>
  <c r="P344" i="14"/>
  <c r="Q344" i="14" s="1"/>
  <c r="I344" i="14"/>
  <c r="H344" i="14"/>
  <c r="G344" i="14"/>
  <c r="AN343" i="14"/>
  <c r="AH343" i="14"/>
  <c r="P343" i="14"/>
  <c r="S343" i="14" s="1"/>
  <c r="I343" i="14"/>
  <c r="H343" i="14"/>
  <c r="G343" i="14"/>
  <c r="AN342" i="14"/>
  <c r="AH342" i="14"/>
  <c r="P342" i="14"/>
  <c r="I342" i="14"/>
  <c r="H342" i="14"/>
  <c r="G342" i="14"/>
  <c r="AN341" i="14"/>
  <c r="AH341" i="14"/>
  <c r="P341" i="14"/>
  <c r="S341" i="14" s="1"/>
  <c r="I341" i="14"/>
  <c r="H341" i="14"/>
  <c r="G341" i="14"/>
  <c r="AN340" i="14"/>
  <c r="AH340" i="14"/>
  <c r="P340" i="14"/>
  <c r="Q340" i="14" s="1"/>
  <c r="I340" i="14"/>
  <c r="H340" i="14"/>
  <c r="G340" i="14"/>
  <c r="AN339" i="14"/>
  <c r="AH339" i="14"/>
  <c r="P339" i="14"/>
  <c r="R339" i="14" s="1"/>
  <c r="I339" i="14"/>
  <c r="H339" i="14"/>
  <c r="G339" i="14"/>
  <c r="AN338" i="14"/>
  <c r="AH338" i="14"/>
  <c r="AB338" i="14"/>
  <c r="V338" i="14"/>
  <c r="P338" i="14"/>
  <c r="F338" i="14"/>
  <c r="G338" i="14" s="1"/>
  <c r="AN337" i="14"/>
  <c r="AH337" i="14"/>
  <c r="AB337" i="14"/>
  <c r="AE337" i="14" s="1"/>
  <c r="V337" i="14"/>
  <c r="P337" i="14"/>
  <c r="S337" i="14" s="1"/>
  <c r="F337" i="14"/>
  <c r="AN336" i="14"/>
  <c r="AH336" i="14"/>
  <c r="AB336" i="14"/>
  <c r="AC336" i="14" s="1"/>
  <c r="V336" i="14"/>
  <c r="W336" i="14" s="1"/>
  <c r="P336" i="14"/>
  <c r="Q336" i="14" s="1"/>
  <c r="F336" i="14"/>
  <c r="G336" i="14" s="1"/>
  <c r="AN335" i="14"/>
  <c r="AH335" i="14"/>
  <c r="AB335" i="14"/>
  <c r="AD335" i="14" s="1"/>
  <c r="V335" i="14"/>
  <c r="Y335" i="14" s="1"/>
  <c r="P335" i="14"/>
  <c r="S335" i="14" s="1"/>
  <c r="F335" i="14"/>
  <c r="H335" i="14" s="1"/>
  <c r="AN334" i="14"/>
  <c r="AH334" i="14"/>
  <c r="AB334" i="14"/>
  <c r="AE334" i="14" s="1"/>
  <c r="V334" i="14"/>
  <c r="Y334" i="14" s="1"/>
  <c r="P334" i="14"/>
  <c r="F334" i="14"/>
  <c r="I334" i="14" s="1"/>
  <c r="AN333" i="14"/>
  <c r="AH333" i="14"/>
  <c r="AB333" i="14"/>
  <c r="AD333" i="14" s="1"/>
  <c r="V333" i="14"/>
  <c r="X333" i="14" s="1"/>
  <c r="P333" i="14"/>
  <c r="R333" i="14" s="1"/>
  <c r="F333" i="14"/>
  <c r="AN332" i="14"/>
  <c r="AH332" i="14"/>
  <c r="AB332" i="14"/>
  <c r="AC332" i="14" s="1"/>
  <c r="V332" i="14"/>
  <c r="P332" i="14"/>
  <c r="Q332" i="14" s="1"/>
  <c r="F332" i="14"/>
  <c r="AN331" i="14"/>
  <c r="AH331" i="14"/>
  <c r="AB331" i="14"/>
  <c r="AE331" i="14" s="1"/>
  <c r="V331" i="14"/>
  <c r="P331" i="14"/>
  <c r="S331" i="14" s="1"/>
  <c r="F331" i="14"/>
  <c r="I331" i="14" s="1"/>
  <c r="AN330" i="14"/>
  <c r="AH330" i="14"/>
  <c r="AB330" i="14"/>
  <c r="AE330" i="14" s="1"/>
  <c r="V330" i="14"/>
  <c r="Y330" i="14" s="1"/>
  <c r="P330" i="14"/>
  <c r="S330" i="14" s="1"/>
  <c r="F330" i="14"/>
  <c r="I330" i="14" s="1"/>
  <c r="AN329" i="14"/>
  <c r="AH329" i="14"/>
  <c r="AB329" i="14"/>
  <c r="AD329" i="14" s="1"/>
  <c r="V329" i="14"/>
  <c r="P329" i="14"/>
  <c r="R329" i="14" s="1"/>
  <c r="F329" i="14"/>
  <c r="H329" i="14" s="1"/>
  <c r="AN328" i="14"/>
  <c r="AH328" i="14"/>
  <c r="AB328" i="14"/>
  <c r="AC328" i="14" s="1"/>
  <c r="V328" i="14"/>
  <c r="P328" i="14"/>
  <c r="Q328" i="14" s="1"/>
  <c r="F328" i="14"/>
  <c r="G328" i="14" s="1"/>
  <c r="AN327" i="14"/>
  <c r="AH327" i="14"/>
  <c r="AB327" i="14"/>
  <c r="AD327" i="14" s="1"/>
  <c r="V327" i="14"/>
  <c r="X327" i="14" s="1"/>
  <c r="P327" i="14"/>
  <c r="F327" i="14"/>
  <c r="G327" i="14" s="1"/>
  <c r="AN326" i="14"/>
  <c r="AH326" i="14"/>
  <c r="AB326" i="14"/>
  <c r="V326" i="14"/>
  <c r="P326" i="14"/>
  <c r="F326" i="14"/>
  <c r="AN325" i="14"/>
  <c r="AH325" i="14"/>
  <c r="AB325" i="14"/>
  <c r="AE325" i="14" s="1"/>
  <c r="V325" i="14"/>
  <c r="Y325" i="14" s="1"/>
  <c r="P325" i="14"/>
  <c r="S325" i="14" s="1"/>
  <c r="F325" i="14"/>
  <c r="I325" i="14" s="1"/>
  <c r="AN324" i="14"/>
  <c r="AH324" i="14"/>
  <c r="AB324" i="14"/>
  <c r="AD324" i="14" s="1"/>
  <c r="V324" i="14"/>
  <c r="X324" i="14" s="1"/>
  <c r="P324" i="14"/>
  <c r="R324" i="14" s="1"/>
  <c r="F324" i="14"/>
  <c r="I324" i="14" s="1"/>
  <c r="AN323" i="14"/>
  <c r="AH323" i="14"/>
  <c r="AB323" i="14"/>
  <c r="AC323" i="14" s="1"/>
  <c r="V323" i="14"/>
  <c r="W323" i="14" s="1"/>
  <c r="P323" i="14"/>
  <c r="Q323" i="14" s="1"/>
  <c r="F323" i="14"/>
  <c r="G323" i="14" s="1"/>
  <c r="AN322" i="14"/>
  <c r="AH322" i="14"/>
  <c r="AB322" i="14"/>
  <c r="V322" i="14"/>
  <c r="P322" i="14"/>
  <c r="Q322" i="14" s="1"/>
  <c r="F322" i="14"/>
  <c r="G322" i="14" s="1"/>
  <c r="AN321" i="14"/>
  <c r="AH321" i="14"/>
  <c r="AB321" i="14"/>
  <c r="V321" i="14"/>
  <c r="Y321" i="14" s="1"/>
  <c r="P321" i="14"/>
  <c r="R321" i="14" s="1"/>
  <c r="F321" i="14"/>
  <c r="I321" i="14" s="1"/>
  <c r="AN320" i="14"/>
  <c r="AH320" i="14"/>
  <c r="AB320" i="14"/>
  <c r="V320" i="14"/>
  <c r="X320" i="14" s="1"/>
  <c r="P320" i="14"/>
  <c r="R320" i="14" s="1"/>
  <c r="F320" i="14"/>
  <c r="G320" i="14" s="1"/>
  <c r="AN319" i="14"/>
  <c r="AH319" i="14"/>
  <c r="AB319" i="14"/>
  <c r="V319" i="14"/>
  <c r="P319" i="14"/>
  <c r="Q319" i="14" s="1"/>
  <c r="F319" i="14"/>
  <c r="AN318" i="14"/>
  <c r="AH318" i="14"/>
  <c r="AB318" i="14"/>
  <c r="AE318" i="14" s="1"/>
  <c r="V318" i="14"/>
  <c r="P318" i="14"/>
  <c r="R318" i="14" s="1"/>
  <c r="F318" i="14"/>
  <c r="H318" i="14" s="1"/>
  <c r="AN317" i="14"/>
  <c r="AH317" i="14"/>
  <c r="AB317" i="14"/>
  <c r="V317" i="14"/>
  <c r="Y317" i="14" s="1"/>
  <c r="P317" i="14"/>
  <c r="R317" i="14" s="1"/>
  <c r="F317" i="14"/>
  <c r="AN316" i="14"/>
  <c r="AH316" i="14"/>
  <c r="P316" i="14"/>
  <c r="I316" i="14"/>
  <c r="H316" i="14"/>
  <c r="G316" i="14"/>
  <c r="AN315" i="14"/>
  <c r="AH315" i="14"/>
  <c r="P315" i="14"/>
  <c r="R315" i="14" s="1"/>
  <c r="I315" i="14"/>
  <c r="H315" i="14"/>
  <c r="G315" i="14"/>
  <c r="AN314" i="14"/>
  <c r="AH314" i="14"/>
  <c r="P314" i="14"/>
  <c r="R314" i="14" s="1"/>
  <c r="I314" i="14"/>
  <c r="H314" i="14"/>
  <c r="G314" i="14"/>
  <c r="AN313" i="14"/>
  <c r="AH313" i="14"/>
  <c r="P313" i="14"/>
  <c r="I313" i="14"/>
  <c r="H313" i="14"/>
  <c r="G313" i="14"/>
  <c r="AN312" i="14"/>
  <c r="AH312" i="14"/>
  <c r="P312" i="14"/>
  <c r="R312" i="14" s="1"/>
  <c r="I312" i="14"/>
  <c r="H312" i="14"/>
  <c r="G312" i="14"/>
  <c r="AN311" i="14"/>
  <c r="AH311" i="14"/>
  <c r="P311" i="14"/>
  <c r="I311" i="14"/>
  <c r="H311" i="14"/>
  <c r="G311" i="14"/>
  <c r="AN310" i="14"/>
  <c r="AH310" i="14"/>
  <c r="P310" i="14"/>
  <c r="I310" i="14"/>
  <c r="H310" i="14"/>
  <c r="G310" i="14"/>
  <c r="AN309" i="14"/>
  <c r="AH309" i="14"/>
  <c r="P309" i="14"/>
  <c r="I309" i="14"/>
  <c r="H309" i="14"/>
  <c r="G309" i="14"/>
  <c r="AN308" i="14"/>
  <c r="AH308" i="14"/>
  <c r="P308" i="14"/>
  <c r="I308" i="14"/>
  <c r="H308" i="14"/>
  <c r="G308" i="14"/>
  <c r="AN307" i="14"/>
  <c r="AH307" i="14"/>
  <c r="P307" i="14"/>
  <c r="I307" i="14"/>
  <c r="H307" i="14"/>
  <c r="G307" i="14"/>
  <c r="AN306" i="14"/>
  <c r="AH306" i="14"/>
  <c r="P306" i="14"/>
  <c r="S306" i="14" s="1"/>
  <c r="I306" i="14"/>
  <c r="H306" i="14"/>
  <c r="G306" i="14"/>
  <c r="AN305" i="14"/>
  <c r="AH305" i="14"/>
  <c r="P305" i="14"/>
  <c r="Q305" i="14" s="1"/>
  <c r="I305" i="14"/>
  <c r="H305" i="14"/>
  <c r="G305" i="14"/>
  <c r="AN304" i="14"/>
  <c r="AH304" i="14"/>
  <c r="P304" i="14"/>
  <c r="S304" i="14" s="1"/>
  <c r="I304" i="14"/>
  <c r="H304" i="14"/>
  <c r="G304" i="14"/>
  <c r="AN303" i="14"/>
  <c r="AH303" i="14"/>
  <c r="P303" i="14"/>
  <c r="Q303" i="14" s="1"/>
  <c r="I303" i="14"/>
  <c r="H303" i="14"/>
  <c r="G303" i="14"/>
  <c r="AN302" i="14"/>
  <c r="AH302" i="14"/>
  <c r="P302" i="14"/>
  <c r="S302" i="14" s="1"/>
  <c r="I302" i="14"/>
  <c r="H302" i="14"/>
  <c r="G302" i="14"/>
  <c r="AN301" i="14"/>
  <c r="AH301" i="14"/>
  <c r="P301" i="14"/>
  <c r="Q301" i="14" s="1"/>
  <c r="I301" i="14"/>
  <c r="H301" i="14"/>
  <c r="G301" i="14"/>
  <c r="AN300" i="14"/>
  <c r="AH300" i="14"/>
  <c r="P300" i="14"/>
  <c r="I300" i="14"/>
  <c r="H300" i="14"/>
  <c r="G300" i="14"/>
  <c r="AN299" i="14"/>
  <c r="AH299" i="14"/>
  <c r="P299" i="14"/>
  <c r="Q299" i="14" s="1"/>
  <c r="I299" i="14"/>
  <c r="H299" i="14"/>
  <c r="G299" i="14"/>
  <c r="AN298" i="14"/>
  <c r="AH298" i="14"/>
  <c r="P298" i="14"/>
  <c r="R298" i="14" s="1"/>
  <c r="I298" i="14"/>
  <c r="H298" i="14"/>
  <c r="G298" i="14"/>
  <c r="AN297" i="14"/>
  <c r="AH297" i="14"/>
  <c r="P297" i="14"/>
  <c r="Q297" i="14" s="1"/>
  <c r="I297" i="14"/>
  <c r="H297" i="14"/>
  <c r="G297" i="14"/>
  <c r="AN296" i="14"/>
  <c r="AH296" i="14"/>
  <c r="P296" i="14"/>
  <c r="S296" i="14" s="1"/>
  <c r="I296" i="14"/>
  <c r="H296" i="14"/>
  <c r="G296" i="14"/>
  <c r="AN295" i="14"/>
  <c r="AH295" i="14"/>
  <c r="P295" i="14"/>
  <c r="R295" i="14" s="1"/>
  <c r="I295" i="14"/>
  <c r="H295" i="14"/>
  <c r="G295" i="14"/>
  <c r="AN294" i="14"/>
  <c r="AH294" i="14"/>
  <c r="P294" i="14"/>
  <c r="R294" i="14" s="1"/>
  <c r="I294" i="14"/>
  <c r="H294" i="14"/>
  <c r="G294" i="14"/>
  <c r="AN293" i="14"/>
  <c r="AH293" i="14"/>
  <c r="P293" i="14"/>
  <c r="I293" i="14"/>
  <c r="H293" i="14"/>
  <c r="G293" i="14"/>
  <c r="AN292" i="14"/>
  <c r="AH292" i="14"/>
  <c r="P292" i="14"/>
  <c r="R292" i="14" s="1"/>
  <c r="I292" i="14"/>
  <c r="H292" i="14"/>
  <c r="G292" i="14"/>
  <c r="AN291" i="14"/>
  <c r="AH291" i="14"/>
  <c r="P291" i="14"/>
  <c r="R291" i="14" s="1"/>
  <c r="I291" i="14"/>
  <c r="H291" i="14"/>
  <c r="G291" i="14"/>
  <c r="AN290" i="14"/>
  <c r="AH290" i="14"/>
  <c r="P290" i="14"/>
  <c r="R290" i="14" s="1"/>
  <c r="I290" i="14"/>
  <c r="H290" i="14"/>
  <c r="G290" i="14"/>
  <c r="AN289" i="14"/>
  <c r="AH289" i="14"/>
  <c r="P289" i="14"/>
  <c r="S289" i="14" s="1"/>
  <c r="I289" i="14"/>
  <c r="H289" i="14"/>
  <c r="G289" i="14"/>
  <c r="AN288" i="14"/>
  <c r="AH288" i="14"/>
  <c r="P288" i="14"/>
  <c r="R288" i="14" s="1"/>
  <c r="I288" i="14"/>
  <c r="H288" i="14"/>
  <c r="G288" i="14"/>
  <c r="AN287" i="14"/>
  <c r="AH287" i="14"/>
  <c r="P287" i="14"/>
  <c r="I287" i="14"/>
  <c r="H287" i="14"/>
  <c r="G287" i="14"/>
  <c r="AN286" i="14"/>
  <c r="AH286" i="14"/>
  <c r="P286" i="14"/>
  <c r="R286" i="14" s="1"/>
  <c r="I286" i="14"/>
  <c r="H286" i="14"/>
  <c r="G286" i="14"/>
  <c r="AN285" i="14"/>
  <c r="AH285" i="14"/>
  <c r="P285" i="14"/>
  <c r="S285" i="14" s="1"/>
  <c r="I285" i="14"/>
  <c r="H285" i="14"/>
  <c r="G285" i="14"/>
  <c r="AN284" i="14"/>
  <c r="AH284" i="14"/>
  <c r="P284" i="14"/>
  <c r="R284" i="14" s="1"/>
  <c r="I284" i="14"/>
  <c r="H284" i="14"/>
  <c r="G284" i="14"/>
  <c r="AN283" i="14"/>
  <c r="AH283" i="14"/>
  <c r="P283" i="14"/>
  <c r="S283" i="14" s="1"/>
  <c r="I283" i="14"/>
  <c r="H283" i="14"/>
  <c r="G283" i="14"/>
  <c r="AN282" i="14"/>
  <c r="AH282" i="14"/>
  <c r="P282" i="14"/>
  <c r="R282" i="14" s="1"/>
  <c r="I282" i="14"/>
  <c r="H282" i="14"/>
  <c r="G282" i="14"/>
  <c r="AN281" i="14"/>
  <c r="AH281" i="14"/>
  <c r="P281" i="14"/>
  <c r="S281" i="14" s="1"/>
  <c r="I281" i="14"/>
  <c r="H281" i="14"/>
  <c r="G281" i="14"/>
  <c r="AN280" i="14"/>
  <c r="AH280" i="14"/>
  <c r="P280" i="14"/>
  <c r="R280" i="14" s="1"/>
  <c r="I280" i="14"/>
  <c r="H280" i="14"/>
  <c r="G280" i="14"/>
  <c r="AN279" i="14"/>
  <c r="AH279" i="14"/>
  <c r="P279" i="14"/>
  <c r="S279" i="14" s="1"/>
  <c r="I279" i="14"/>
  <c r="H279" i="14"/>
  <c r="G279" i="14"/>
  <c r="AN278" i="14"/>
  <c r="AH278" i="14"/>
  <c r="P278" i="14"/>
  <c r="R278" i="14" s="1"/>
  <c r="I278" i="14"/>
  <c r="H278" i="14"/>
  <c r="G278" i="14"/>
  <c r="AN277" i="14"/>
  <c r="AH277" i="14"/>
  <c r="P277" i="14"/>
  <c r="R277" i="14" s="1"/>
  <c r="I277" i="14"/>
  <c r="H277" i="14"/>
  <c r="G277" i="14"/>
  <c r="AN276" i="14"/>
  <c r="AH276" i="14"/>
  <c r="P276" i="14"/>
  <c r="R276" i="14" s="1"/>
  <c r="I276" i="14"/>
  <c r="H276" i="14"/>
  <c r="G276" i="14"/>
  <c r="AN275" i="14"/>
  <c r="AH275" i="14"/>
  <c r="P275" i="14"/>
  <c r="I275" i="14"/>
  <c r="H275" i="14"/>
  <c r="G275" i="14"/>
  <c r="AN274" i="14"/>
  <c r="AH274" i="14"/>
  <c r="P274" i="14"/>
  <c r="R274" i="14" s="1"/>
  <c r="I274" i="14"/>
  <c r="H274" i="14"/>
  <c r="G274" i="14"/>
  <c r="AN273" i="14"/>
  <c r="AH273" i="14"/>
  <c r="P273" i="14"/>
  <c r="R273" i="14" s="1"/>
  <c r="I273" i="14"/>
  <c r="H273" i="14"/>
  <c r="G273" i="14"/>
  <c r="AN272" i="14"/>
  <c r="AH272" i="14"/>
  <c r="P272" i="14"/>
  <c r="R272" i="14" s="1"/>
  <c r="I272" i="14"/>
  <c r="H272" i="14"/>
  <c r="G272" i="14"/>
  <c r="AN271" i="14"/>
  <c r="AH271" i="14"/>
  <c r="P271" i="14"/>
  <c r="I271" i="14"/>
  <c r="H271" i="14"/>
  <c r="G271" i="14"/>
  <c r="AN270" i="14"/>
  <c r="AH270" i="14"/>
  <c r="P270" i="14"/>
  <c r="R270" i="14" s="1"/>
  <c r="I270" i="14"/>
  <c r="H270" i="14"/>
  <c r="G270" i="14"/>
  <c r="AN269" i="14"/>
  <c r="AH269" i="14"/>
  <c r="P269" i="14"/>
  <c r="R269" i="14" s="1"/>
  <c r="I269" i="14"/>
  <c r="H269" i="14"/>
  <c r="G269" i="14"/>
  <c r="AN268" i="14"/>
  <c r="AH268" i="14"/>
  <c r="AB268" i="14"/>
  <c r="V268" i="14"/>
  <c r="P268" i="14"/>
  <c r="R268" i="14" s="1"/>
  <c r="F268" i="14"/>
  <c r="AN267" i="14"/>
  <c r="AH267" i="14"/>
  <c r="P267" i="14"/>
  <c r="S267" i="14" s="1"/>
  <c r="I267" i="14"/>
  <c r="H267" i="14"/>
  <c r="G267" i="14"/>
  <c r="AN266" i="14"/>
  <c r="AH266" i="14"/>
  <c r="P266" i="14"/>
  <c r="I266" i="14"/>
  <c r="H266" i="14"/>
  <c r="G266" i="14"/>
  <c r="AN265" i="14"/>
  <c r="AH265" i="14"/>
  <c r="P265" i="14"/>
  <c r="I265" i="14"/>
  <c r="H265" i="14"/>
  <c r="G265" i="14"/>
  <c r="AN264" i="14"/>
  <c r="AH264" i="14"/>
  <c r="P264" i="14"/>
  <c r="I264" i="14"/>
  <c r="H264" i="14"/>
  <c r="G264" i="14"/>
  <c r="AN263" i="14"/>
  <c r="AH263" i="14"/>
  <c r="P263" i="14"/>
  <c r="S263" i="14" s="1"/>
  <c r="I263" i="14"/>
  <c r="H263" i="14"/>
  <c r="G263" i="14"/>
  <c r="AN262" i="14"/>
  <c r="AH262" i="14"/>
  <c r="AB262" i="14"/>
  <c r="AD262" i="14" s="1"/>
  <c r="V262" i="14"/>
  <c r="W262" i="14" s="1"/>
  <c r="P262" i="14"/>
  <c r="F262" i="14"/>
  <c r="H262" i="14" s="1"/>
  <c r="AN261" i="14"/>
  <c r="AH261" i="14"/>
  <c r="AB261" i="14"/>
  <c r="V261" i="14"/>
  <c r="X261" i="14" s="1"/>
  <c r="P261" i="14"/>
  <c r="R261" i="14" s="1"/>
  <c r="F261" i="14"/>
  <c r="AN260" i="14"/>
  <c r="AH260" i="14"/>
  <c r="AB260" i="14"/>
  <c r="V260" i="14"/>
  <c r="X260" i="14" s="1"/>
  <c r="P260" i="14"/>
  <c r="F260" i="14"/>
  <c r="I260" i="14" s="1"/>
  <c r="AN259" i="14"/>
  <c r="AH259" i="14"/>
  <c r="AB259" i="14"/>
  <c r="AE259" i="14" s="1"/>
  <c r="V259" i="14"/>
  <c r="P259" i="14"/>
  <c r="Q259" i="14" s="1"/>
  <c r="F259" i="14"/>
  <c r="AN258" i="14"/>
  <c r="AH258" i="14"/>
  <c r="AB258" i="14"/>
  <c r="AD258" i="14" s="1"/>
  <c r="V258" i="14"/>
  <c r="P258" i="14"/>
  <c r="R258" i="14" s="1"/>
  <c r="F258" i="14"/>
  <c r="H258" i="14" s="1"/>
  <c r="AN257" i="14"/>
  <c r="AH257" i="14"/>
  <c r="AB257" i="14"/>
  <c r="V257" i="14"/>
  <c r="P257" i="14"/>
  <c r="F257" i="14"/>
  <c r="G257" i="14" s="1"/>
  <c r="AN256" i="14"/>
  <c r="AH256" i="14"/>
  <c r="AB256" i="14"/>
  <c r="V256" i="14"/>
  <c r="Y256" i="14" s="1"/>
  <c r="P256" i="14"/>
  <c r="F256" i="14"/>
  <c r="G256" i="14" s="1"/>
  <c r="AN255" i="14"/>
  <c r="AH255" i="14"/>
  <c r="P255" i="14"/>
  <c r="I255" i="14"/>
  <c r="H255" i="14"/>
  <c r="G255" i="14"/>
  <c r="AN254" i="14"/>
  <c r="AH254" i="14"/>
  <c r="P254" i="14"/>
  <c r="Q254" i="14" s="1"/>
  <c r="I254" i="14"/>
  <c r="H254" i="14"/>
  <c r="G254" i="14"/>
  <c r="AN253" i="14"/>
  <c r="AH253" i="14"/>
  <c r="P253" i="14"/>
  <c r="S253" i="14" s="1"/>
  <c r="I253" i="14"/>
  <c r="H253" i="14"/>
  <c r="G253" i="14"/>
  <c r="AN252" i="14"/>
  <c r="AH252" i="14"/>
  <c r="P252" i="14"/>
  <c r="Q252" i="14" s="1"/>
  <c r="I252" i="14"/>
  <c r="H252" i="14"/>
  <c r="G252" i="14"/>
  <c r="AN251" i="14"/>
  <c r="AH251" i="14"/>
  <c r="P251" i="14"/>
  <c r="S251" i="14" s="1"/>
  <c r="I251" i="14"/>
  <c r="H251" i="14"/>
  <c r="G251" i="14"/>
  <c r="AN250" i="14"/>
  <c r="AH250" i="14"/>
  <c r="P250" i="14"/>
  <c r="I250" i="14"/>
  <c r="H250" i="14"/>
  <c r="G250" i="14"/>
  <c r="AN249" i="14"/>
  <c r="AH249" i="14"/>
  <c r="P249" i="14"/>
  <c r="I249" i="14"/>
  <c r="H249" i="14"/>
  <c r="G249" i="14"/>
  <c r="AN248" i="14"/>
  <c r="AH248" i="14"/>
  <c r="P248" i="14"/>
  <c r="S248" i="14" s="1"/>
  <c r="I248" i="14"/>
  <c r="H248" i="14"/>
  <c r="G248" i="14"/>
  <c r="AN247" i="14"/>
  <c r="AH247" i="14"/>
  <c r="P247" i="14"/>
  <c r="I247" i="14"/>
  <c r="H247" i="14"/>
  <c r="G247" i="14"/>
  <c r="AN246" i="14"/>
  <c r="AH246" i="14"/>
  <c r="P246" i="14"/>
  <c r="S246" i="14" s="1"/>
  <c r="I246" i="14"/>
  <c r="H246" i="14"/>
  <c r="G246" i="14"/>
  <c r="AN245" i="14"/>
  <c r="AH245" i="14"/>
  <c r="P245" i="14"/>
  <c r="I245" i="14"/>
  <c r="H245" i="14"/>
  <c r="G245" i="14"/>
  <c r="AN244" i="14"/>
  <c r="AH244" i="14"/>
  <c r="P244" i="14"/>
  <c r="R244" i="14" s="1"/>
  <c r="I244" i="14"/>
  <c r="H244" i="14"/>
  <c r="G244" i="14"/>
  <c r="AN243" i="14"/>
  <c r="AH243" i="14"/>
  <c r="P243" i="14"/>
  <c r="Q243" i="14" s="1"/>
  <c r="I243" i="14"/>
  <c r="H243" i="14"/>
  <c r="G243" i="14"/>
  <c r="AN242" i="14"/>
  <c r="AH242" i="14"/>
  <c r="P242" i="14"/>
  <c r="Q242" i="14" s="1"/>
  <c r="I242" i="14"/>
  <c r="H242" i="14"/>
  <c r="G242" i="14"/>
  <c r="AN241" i="14"/>
  <c r="AH241" i="14"/>
  <c r="P241" i="14"/>
  <c r="I241" i="14"/>
  <c r="H241" i="14"/>
  <c r="G241" i="14"/>
  <c r="AN240" i="14"/>
  <c r="AH240" i="14"/>
  <c r="P240" i="14"/>
  <c r="S240" i="14" s="1"/>
  <c r="I240" i="14"/>
  <c r="H240" i="14"/>
  <c r="G240" i="14"/>
  <c r="AN239" i="14"/>
  <c r="AH239" i="14"/>
  <c r="P239" i="14"/>
  <c r="Q239" i="14" s="1"/>
  <c r="I239" i="14"/>
  <c r="H239" i="14"/>
  <c r="G239" i="14"/>
  <c r="AN238" i="14"/>
  <c r="AH238" i="14"/>
  <c r="P238" i="14"/>
  <c r="S238" i="14" s="1"/>
  <c r="I238" i="14"/>
  <c r="H238" i="14"/>
  <c r="G238" i="14"/>
  <c r="AN237" i="14"/>
  <c r="AH237" i="14"/>
  <c r="P237" i="14"/>
  <c r="Q237" i="14" s="1"/>
  <c r="I237" i="14"/>
  <c r="H237" i="14"/>
  <c r="G237" i="14"/>
  <c r="AN236" i="14"/>
  <c r="AH236" i="14"/>
  <c r="P236" i="14"/>
  <c r="S236" i="14" s="1"/>
  <c r="I236" i="14"/>
  <c r="H236" i="14"/>
  <c r="G236" i="14"/>
  <c r="AN235" i="14"/>
  <c r="AH235" i="14"/>
  <c r="P235" i="14"/>
  <c r="Q235" i="14" s="1"/>
  <c r="I235" i="14"/>
  <c r="H235" i="14"/>
  <c r="G235" i="14"/>
  <c r="AN234" i="14"/>
  <c r="AH234" i="14"/>
  <c r="P234" i="14"/>
  <c r="S234" i="14" s="1"/>
  <c r="I234" i="14"/>
  <c r="H234" i="14"/>
  <c r="G234" i="14"/>
  <c r="AN233" i="14"/>
  <c r="AH233" i="14"/>
  <c r="P233" i="14"/>
  <c r="Q233" i="14" s="1"/>
  <c r="I233" i="14"/>
  <c r="H233" i="14"/>
  <c r="G233" i="14"/>
  <c r="AN232" i="14"/>
  <c r="AH232" i="14"/>
  <c r="P232" i="14"/>
  <c r="R232" i="14" s="1"/>
  <c r="I232" i="14"/>
  <c r="H232" i="14"/>
  <c r="G232" i="14"/>
  <c r="AN231" i="14"/>
  <c r="AH231" i="14"/>
  <c r="P231" i="14"/>
  <c r="S231" i="14" s="1"/>
  <c r="I231" i="14"/>
  <c r="H231" i="14"/>
  <c r="G231" i="14"/>
  <c r="AN230" i="14"/>
  <c r="AH230" i="14"/>
  <c r="P230" i="14"/>
  <c r="I230" i="14"/>
  <c r="H230" i="14"/>
  <c r="G230" i="14"/>
  <c r="AN229" i="14"/>
  <c r="AH229" i="14"/>
  <c r="P229" i="14"/>
  <c r="S229" i="14" s="1"/>
  <c r="I229" i="14"/>
  <c r="H229" i="14"/>
  <c r="G229" i="14"/>
  <c r="AN228" i="14"/>
  <c r="AH228" i="14"/>
  <c r="P228" i="14"/>
  <c r="I228" i="14"/>
  <c r="H228" i="14"/>
  <c r="G228" i="14"/>
  <c r="AN227" i="14"/>
  <c r="AH227" i="14"/>
  <c r="AB227" i="14"/>
  <c r="AE227" i="14" s="1"/>
  <c r="V227" i="14"/>
  <c r="P227" i="14"/>
  <c r="F227" i="14"/>
  <c r="AN226" i="14"/>
  <c r="AH226" i="14"/>
  <c r="AB226" i="14"/>
  <c r="AE226" i="14" s="1"/>
  <c r="V226" i="14"/>
  <c r="Y226" i="14" s="1"/>
  <c r="P226" i="14"/>
  <c r="F226" i="14"/>
  <c r="I226" i="14" s="1"/>
  <c r="AN225" i="14"/>
  <c r="AH225" i="14"/>
  <c r="AB225" i="14"/>
  <c r="V225" i="14"/>
  <c r="P225" i="14"/>
  <c r="R225" i="14" s="1"/>
  <c r="F225" i="14"/>
  <c r="AN224" i="14"/>
  <c r="AH224" i="14"/>
  <c r="AB224" i="14"/>
  <c r="V224" i="14"/>
  <c r="P224" i="14"/>
  <c r="Q224" i="14" s="1"/>
  <c r="F224" i="14"/>
  <c r="AN223" i="14"/>
  <c r="AH223" i="14"/>
  <c r="AB223" i="14"/>
  <c r="AE223" i="14" s="1"/>
  <c r="V223" i="14"/>
  <c r="P223" i="14"/>
  <c r="R223" i="14" s="1"/>
  <c r="F223" i="14"/>
  <c r="I223" i="14" s="1"/>
  <c r="AN222" i="14"/>
  <c r="AH222" i="14"/>
  <c r="P222" i="14"/>
  <c r="I222" i="14"/>
  <c r="H222" i="14"/>
  <c r="G222" i="14"/>
  <c r="AN221" i="14"/>
  <c r="AH221" i="14"/>
  <c r="AB221" i="14"/>
  <c r="V221" i="14"/>
  <c r="P221" i="14"/>
  <c r="Q221" i="14" s="1"/>
  <c r="F221" i="14"/>
  <c r="G221" i="14" s="1"/>
  <c r="AN220" i="14"/>
  <c r="AH220" i="14"/>
  <c r="AB220" i="14"/>
  <c r="V220" i="14"/>
  <c r="Y220" i="14" s="1"/>
  <c r="P220" i="14"/>
  <c r="F220" i="14"/>
  <c r="I220" i="14" s="1"/>
  <c r="AN219" i="14"/>
  <c r="AH219" i="14"/>
  <c r="AB219" i="14"/>
  <c r="AE219" i="14" s="1"/>
  <c r="V219" i="14"/>
  <c r="P219" i="14"/>
  <c r="R219" i="14" s="1"/>
  <c r="F219" i="14"/>
  <c r="AN218" i="14"/>
  <c r="AH218" i="14"/>
  <c r="AB218" i="14"/>
  <c r="V218" i="14"/>
  <c r="P218" i="14"/>
  <c r="F218" i="14"/>
  <c r="AN217" i="14"/>
  <c r="AH217" i="14"/>
  <c r="AB217" i="14"/>
  <c r="AC217" i="14" s="1"/>
  <c r="V217" i="14"/>
  <c r="P217" i="14"/>
  <c r="F217" i="14"/>
  <c r="AN216" i="14"/>
  <c r="AH216" i="14"/>
  <c r="AB216" i="14"/>
  <c r="V216" i="14"/>
  <c r="Y216" i="14" s="1"/>
  <c r="P216" i="14"/>
  <c r="S216" i="14" s="1"/>
  <c r="F216" i="14"/>
  <c r="I216" i="14" s="1"/>
  <c r="AN215" i="14"/>
  <c r="AH215" i="14"/>
  <c r="AB215" i="14"/>
  <c r="AC215" i="14" s="1"/>
  <c r="V215" i="14"/>
  <c r="P215" i="14"/>
  <c r="R215" i="14" s="1"/>
  <c r="F215" i="14"/>
  <c r="AN214" i="14"/>
  <c r="AH214" i="14"/>
  <c r="AB214" i="14"/>
  <c r="AE214" i="14" s="1"/>
  <c r="V214" i="14"/>
  <c r="P214" i="14"/>
  <c r="R214" i="14" s="1"/>
  <c r="F214" i="14"/>
  <c r="AN213" i="14"/>
  <c r="AH213" i="14"/>
  <c r="AB213" i="14"/>
  <c r="V213" i="14"/>
  <c r="X213" i="14" s="1"/>
  <c r="P213" i="14"/>
  <c r="Q213" i="14" s="1"/>
  <c r="F213" i="14"/>
  <c r="G213" i="14" s="1"/>
  <c r="AN212" i="14"/>
  <c r="AH212" i="14"/>
  <c r="AB212" i="14"/>
  <c r="V212" i="14"/>
  <c r="Y212" i="14" s="1"/>
  <c r="P212" i="14"/>
  <c r="F212" i="14"/>
  <c r="AN211" i="14"/>
  <c r="AH211" i="14"/>
  <c r="AB211" i="14"/>
  <c r="AC211" i="14" s="1"/>
  <c r="V211" i="14"/>
  <c r="P211" i="14"/>
  <c r="F211" i="14"/>
  <c r="AN210" i="14"/>
  <c r="AH210" i="14"/>
  <c r="AB210" i="14"/>
  <c r="AE210" i="14" s="1"/>
  <c r="V210" i="14"/>
  <c r="Y210" i="14" s="1"/>
  <c r="P210" i="14"/>
  <c r="R210" i="14" s="1"/>
  <c r="F210" i="14"/>
  <c r="AN209" i="14"/>
  <c r="AH209" i="14"/>
  <c r="AB209" i="14"/>
  <c r="AC209" i="14" s="1"/>
  <c r="V209" i="14"/>
  <c r="W209" i="14" s="1"/>
  <c r="P209" i="14"/>
  <c r="F209" i="14"/>
  <c r="AN208" i="14"/>
  <c r="AH208" i="14"/>
  <c r="AB208" i="14"/>
  <c r="AE208" i="14" s="1"/>
  <c r="V208" i="14"/>
  <c r="P208" i="14"/>
  <c r="S208" i="14" s="1"/>
  <c r="F208" i="14"/>
  <c r="AN207" i="14"/>
  <c r="AH207" i="14"/>
  <c r="AB207" i="14"/>
  <c r="AD207" i="14" s="1"/>
  <c r="V207" i="14"/>
  <c r="X207" i="14" s="1"/>
  <c r="P207" i="14"/>
  <c r="F207" i="14"/>
  <c r="H207" i="14" s="1"/>
  <c r="AN206" i="14"/>
  <c r="AH206" i="14"/>
  <c r="P206" i="14"/>
  <c r="Q206" i="14" s="1"/>
  <c r="I206" i="14"/>
  <c r="H206" i="14"/>
  <c r="G206" i="14"/>
  <c r="AN205" i="14"/>
  <c r="AH205" i="14"/>
  <c r="AB205" i="14"/>
  <c r="V205" i="14"/>
  <c r="P205" i="14"/>
  <c r="S205" i="14" s="1"/>
  <c r="F205" i="14"/>
  <c r="AN204" i="14"/>
  <c r="AH204" i="14"/>
  <c r="AB204" i="14"/>
  <c r="V204" i="14"/>
  <c r="X204" i="14" s="1"/>
  <c r="P204" i="14"/>
  <c r="F204" i="14"/>
  <c r="H204" i="14" s="1"/>
  <c r="AN203" i="14"/>
  <c r="AH203" i="14"/>
  <c r="AB203" i="14"/>
  <c r="AE203" i="14" s="1"/>
  <c r="V203" i="14"/>
  <c r="P203" i="14"/>
  <c r="F203" i="14"/>
  <c r="I203" i="14" s="1"/>
  <c r="AN202" i="14"/>
  <c r="AH202" i="14"/>
  <c r="AB202" i="14"/>
  <c r="V202" i="14"/>
  <c r="X202" i="14" s="1"/>
  <c r="P202" i="14"/>
  <c r="F202" i="14"/>
  <c r="AN201" i="14"/>
  <c r="AH201" i="14"/>
  <c r="AB201" i="14"/>
  <c r="AE201" i="14" s="1"/>
  <c r="V201" i="14"/>
  <c r="X201" i="14" s="1"/>
  <c r="P201" i="14"/>
  <c r="F201" i="14"/>
  <c r="I201" i="14" s="1"/>
  <c r="AN200" i="14"/>
  <c r="AH200" i="14"/>
  <c r="AB200" i="14"/>
  <c r="AD200" i="14" s="1"/>
  <c r="V200" i="14"/>
  <c r="Y200" i="14" s="1"/>
  <c r="P200" i="14"/>
  <c r="F200" i="14"/>
  <c r="H200" i="14" s="1"/>
  <c r="AN199" i="14"/>
  <c r="AH199" i="14"/>
  <c r="AB199" i="14"/>
  <c r="AE199" i="14" s="1"/>
  <c r="V199" i="14"/>
  <c r="P199" i="14"/>
  <c r="Q199" i="14" s="1"/>
  <c r="F199" i="14"/>
  <c r="I199" i="14" s="1"/>
  <c r="AN198" i="14"/>
  <c r="AH198" i="14"/>
  <c r="AB198" i="14"/>
  <c r="AD198" i="14" s="1"/>
  <c r="V198" i="14"/>
  <c r="Y198" i="14" s="1"/>
  <c r="P198" i="14"/>
  <c r="R198" i="14" s="1"/>
  <c r="F198" i="14"/>
  <c r="H198" i="14" s="1"/>
  <c r="AN197" i="14"/>
  <c r="AH197" i="14"/>
  <c r="AB197" i="14"/>
  <c r="AD197" i="14" s="1"/>
  <c r="V197" i="14"/>
  <c r="P197" i="14"/>
  <c r="F197" i="14"/>
  <c r="AN196" i="14"/>
  <c r="AH196" i="14"/>
  <c r="AB196" i="14"/>
  <c r="V196" i="14"/>
  <c r="P196" i="14"/>
  <c r="F196" i="14"/>
  <c r="I196" i="14" s="1"/>
  <c r="AN195" i="14"/>
  <c r="AH195" i="14"/>
  <c r="AB195" i="14"/>
  <c r="AE195" i="14" s="1"/>
  <c r="V195" i="14"/>
  <c r="Y195" i="14" s="1"/>
  <c r="P195" i="14"/>
  <c r="S195" i="14" s="1"/>
  <c r="F195" i="14"/>
  <c r="I195" i="14" s="1"/>
  <c r="AN194" i="14"/>
  <c r="AH194" i="14"/>
  <c r="AB194" i="14"/>
  <c r="AE194" i="14" s="1"/>
  <c r="V194" i="14"/>
  <c r="Y194" i="14" s="1"/>
  <c r="P194" i="14"/>
  <c r="S194" i="14" s="1"/>
  <c r="F194" i="14"/>
  <c r="H194" i="14" s="1"/>
  <c r="AN193" i="14"/>
  <c r="AH193" i="14"/>
  <c r="AB193" i="14"/>
  <c r="V193" i="14"/>
  <c r="P193" i="14"/>
  <c r="Q193" i="14" s="1"/>
  <c r="F193" i="14"/>
  <c r="AN192" i="14"/>
  <c r="AH192" i="14"/>
  <c r="AB192" i="14"/>
  <c r="V192" i="14"/>
  <c r="Y192" i="14" s="1"/>
  <c r="P192" i="14"/>
  <c r="Q192" i="14" s="1"/>
  <c r="F192" i="14"/>
  <c r="I192" i="14" s="1"/>
  <c r="AN191" i="14"/>
  <c r="AH191" i="14"/>
  <c r="AB191" i="14"/>
  <c r="AE191" i="14" s="1"/>
  <c r="V191" i="14"/>
  <c r="Y191" i="14" s="1"/>
  <c r="P191" i="14"/>
  <c r="S191" i="14" s="1"/>
  <c r="F191" i="14"/>
  <c r="I191" i="14" s="1"/>
  <c r="AN190" i="14"/>
  <c r="AH190" i="14"/>
  <c r="AB190" i="14"/>
  <c r="AD190" i="14" s="1"/>
  <c r="V190" i="14"/>
  <c r="W190" i="14" s="1"/>
  <c r="P190" i="14"/>
  <c r="R190" i="14" s="1"/>
  <c r="F190" i="14"/>
  <c r="H190" i="14" s="1"/>
  <c r="AN189" i="14"/>
  <c r="AH189" i="14"/>
  <c r="AB189" i="14"/>
  <c r="V189" i="14"/>
  <c r="P189" i="14"/>
  <c r="F189" i="14"/>
  <c r="H189" i="14" s="1"/>
  <c r="AN188" i="14"/>
  <c r="AH188" i="14"/>
  <c r="AB188" i="14"/>
  <c r="V188" i="14"/>
  <c r="P188" i="14"/>
  <c r="R188" i="14" s="1"/>
  <c r="F188" i="14"/>
  <c r="AN187" i="14"/>
  <c r="AH187" i="14"/>
  <c r="AB187" i="14"/>
  <c r="AE187" i="14" s="1"/>
  <c r="V187" i="14"/>
  <c r="Y187" i="14" s="1"/>
  <c r="P187" i="14"/>
  <c r="S187" i="14" s="1"/>
  <c r="F187" i="14"/>
  <c r="I187" i="14" s="1"/>
  <c r="AN186" i="14"/>
  <c r="AH186" i="14"/>
  <c r="AB186" i="14"/>
  <c r="AC186" i="14" s="1"/>
  <c r="V186" i="14"/>
  <c r="P186" i="14"/>
  <c r="R186" i="14" s="1"/>
  <c r="F186" i="14"/>
  <c r="I186" i="14" s="1"/>
  <c r="AN185" i="14"/>
  <c r="AH185" i="14"/>
  <c r="AB185" i="14"/>
  <c r="V185" i="14"/>
  <c r="P185" i="14"/>
  <c r="Q185" i="14" s="1"/>
  <c r="F185" i="14"/>
  <c r="AN184" i="14"/>
  <c r="AH184" i="14"/>
  <c r="AB184" i="14"/>
  <c r="AE184" i="14" s="1"/>
  <c r="V184" i="14"/>
  <c r="P184" i="14"/>
  <c r="F184" i="14"/>
  <c r="AN183" i="14"/>
  <c r="AH183" i="14"/>
  <c r="AB183" i="14"/>
  <c r="AE183" i="14" s="1"/>
  <c r="V183" i="14"/>
  <c r="Y183" i="14" s="1"/>
  <c r="P183" i="14"/>
  <c r="S183" i="14" s="1"/>
  <c r="F183" i="14"/>
  <c r="I183" i="14" s="1"/>
  <c r="AN182" i="14"/>
  <c r="AH182" i="14"/>
  <c r="AB182" i="14"/>
  <c r="AE182" i="14" s="1"/>
  <c r="V182" i="14"/>
  <c r="Y182" i="14" s="1"/>
  <c r="P182" i="14"/>
  <c r="R182" i="14" s="1"/>
  <c r="F182" i="14"/>
  <c r="AN181" i="14"/>
  <c r="AH181" i="14"/>
  <c r="AB181" i="14"/>
  <c r="AC181" i="14" s="1"/>
  <c r="V181" i="14"/>
  <c r="P181" i="14"/>
  <c r="Q181" i="14" s="1"/>
  <c r="F181" i="14"/>
  <c r="AN180" i="14"/>
  <c r="AH180" i="14"/>
  <c r="AB180" i="14"/>
  <c r="AC180" i="14" s="1"/>
  <c r="V180" i="14"/>
  <c r="P180" i="14"/>
  <c r="F180" i="14"/>
  <c r="I180" i="14" s="1"/>
  <c r="AN179" i="14"/>
  <c r="AH179" i="14"/>
  <c r="AB179" i="14"/>
  <c r="AE179" i="14" s="1"/>
  <c r="V179" i="14"/>
  <c r="Y179" i="14" s="1"/>
  <c r="P179" i="14"/>
  <c r="S179" i="14" s="1"/>
  <c r="F179" i="14"/>
  <c r="I179" i="14" s="1"/>
  <c r="AN178" i="14"/>
  <c r="AH178" i="14"/>
  <c r="AB178" i="14"/>
  <c r="AE178" i="14" s="1"/>
  <c r="V178" i="14"/>
  <c r="X178" i="14" s="1"/>
  <c r="P178" i="14"/>
  <c r="F178" i="14"/>
  <c r="G178" i="14" s="1"/>
  <c r="AN177" i="14"/>
  <c r="AH177" i="14"/>
  <c r="AB177" i="14"/>
  <c r="AC177" i="14" s="1"/>
  <c r="V177" i="14"/>
  <c r="P177" i="14"/>
  <c r="R177" i="14" s="1"/>
  <c r="F177" i="14"/>
  <c r="AN176" i="14"/>
  <c r="AH176" i="14"/>
  <c r="AB176" i="14"/>
  <c r="AE176" i="14" s="1"/>
  <c r="V176" i="14"/>
  <c r="P176" i="14"/>
  <c r="F176" i="14"/>
  <c r="H176" i="14" s="1"/>
  <c r="AN175" i="14"/>
  <c r="AH175" i="14"/>
  <c r="AB175" i="14"/>
  <c r="V175" i="14"/>
  <c r="P175" i="14"/>
  <c r="S175" i="14" s="1"/>
  <c r="F175" i="14"/>
  <c r="AN174" i="14"/>
  <c r="AH174" i="14"/>
  <c r="AB174" i="14"/>
  <c r="AD174" i="14" s="1"/>
  <c r="V174" i="14"/>
  <c r="W174" i="14" s="1"/>
  <c r="P174" i="14"/>
  <c r="F174" i="14"/>
  <c r="AN173" i="14"/>
  <c r="AH173" i="14"/>
  <c r="AD173" i="14"/>
  <c r="AB173" i="14"/>
  <c r="AC173" i="14" s="1"/>
  <c r="V173" i="14"/>
  <c r="W173" i="14" s="1"/>
  <c r="P173" i="14"/>
  <c r="R173" i="14" s="1"/>
  <c r="F173" i="14"/>
  <c r="G173" i="14" s="1"/>
  <c r="AN172" i="14"/>
  <c r="AH172" i="14"/>
  <c r="AB172" i="14"/>
  <c r="AC172" i="14" s="1"/>
  <c r="Y172" i="14"/>
  <c r="V172" i="14"/>
  <c r="W172" i="14" s="1"/>
  <c r="P172" i="14"/>
  <c r="S172" i="14" s="1"/>
  <c r="F172" i="14"/>
  <c r="AN171" i="14"/>
  <c r="AH171" i="14"/>
  <c r="AB171" i="14"/>
  <c r="V171" i="14"/>
  <c r="P171" i="14"/>
  <c r="S171" i="14" s="1"/>
  <c r="F171" i="14"/>
  <c r="AN170" i="14"/>
  <c r="AH170" i="14"/>
  <c r="AB170" i="14"/>
  <c r="AD170" i="14" s="1"/>
  <c r="V170" i="14"/>
  <c r="W170" i="14" s="1"/>
  <c r="P170" i="14"/>
  <c r="Q170" i="14" s="1"/>
  <c r="F170" i="14"/>
  <c r="AN169" i="14"/>
  <c r="AH169" i="14"/>
  <c r="AB169" i="14"/>
  <c r="V169" i="14"/>
  <c r="W169" i="14" s="1"/>
  <c r="P169" i="14"/>
  <c r="F169" i="14"/>
  <c r="G169" i="14" s="1"/>
  <c r="AN168" i="14"/>
  <c r="AH168" i="14"/>
  <c r="AB168" i="14"/>
  <c r="AC168" i="14" s="1"/>
  <c r="V168" i="14"/>
  <c r="P168" i="14"/>
  <c r="S168" i="14" s="1"/>
  <c r="F168" i="14"/>
  <c r="I168" i="14" s="1"/>
  <c r="AN167" i="14"/>
  <c r="AH167" i="14"/>
  <c r="AB167" i="14"/>
  <c r="V167" i="14"/>
  <c r="P167" i="14"/>
  <c r="S167" i="14" s="1"/>
  <c r="F167" i="14"/>
  <c r="AN166" i="14"/>
  <c r="AH166" i="14"/>
  <c r="AB166" i="14"/>
  <c r="AC166" i="14" s="1"/>
  <c r="V166" i="14"/>
  <c r="P166" i="14"/>
  <c r="S166" i="14" s="1"/>
  <c r="F166" i="14"/>
  <c r="H166" i="14" s="1"/>
  <c r="AN165" i="14"/>
  <c r="AH165" i="14"/>
  <c r="AB165" i="14"/>
  <c r="V165" i="14"/>
  <c r="W165" i="14" s="1"/>
  <c r="P165" i="14"/>
  <c r="F165" i="14"/>
  <c r="G165" i="14" s="1"/>
  <c r="AN164" i="14"/>
  <c r="AH164" i="14"/>
  <c r="AE164" i="14"/>
  <c r="AB164" i="14"/>
  <c r="V164" i="14"/>
  <c r="Y164" i="14" s="1"/>
  <c r="P164" i="14"/>
  <c r="S164" i="14" s="1"/>
  <c r="F164" i="14"/>
  <c r="AN163" i="14"/>
  <c r="AH163" i="14"/>
  <c r="AB163" i="14"/>
  <c r="V163" i="14"/>
  <c r="P163" i="14"/>
  <c r="R163" i="14" s="1"/>
  <c r="F163" i="14"/>
  <c r="AN162" i="14"/>
  <c r="AH162" i="14"/>
  <c r="AB162" i="14"/>
  <c r="V162" i="14"/>
  <c r="P162" i="14"/>
  <c r="R162" i="14" s="1"/>
  <c r="F162" i="14"/>
  <c r="G162" i="14" s="1"/>
  <c r="AN161" i="14"/>
  <c r="AH161" i="14"/>
  <c r="AB161" i="14"/>
  <c r="V161" i="14"/>
  <c r="P161" i="14"/>
  <c r="F161" i="14"/>
  <c r="AN160" i="14"/>
  <c r="AH160" i="14"/>
  <c r="AB160" i="14"/>
  <c r="AD160" i="14" s="1"/>
  <c r="V160" i="14"/>
  <c r="X160" i="14" s="1"/>
  <c r="P160" i="14"/>
  <c r="F160" i="14"/>
  <c r="I160" i="14" s="1"/>
  <c r="AN159" i="14"/>
  <c r="AH159" i="14"/>
  <c r="AB159" i="14"/>
  <c r="V159" i="14"/>
  <c r="X159" i="14" s="1"/>
  <c r="P159" i="14"/>
  <c r="F159" i="14"/>
  <c r="AN158" i="14"/>
  <c r="AH158" i="14"/>
  <c r="AB158" i="14"/>
  <c r="AC158" i="14" s="1"/>
  <c r="V158" i="14"/>
  <c r="P158" i="14"/>
  <c r="Q158" i="14" s="1"/>
  <c r="F158" i="14"/>
  <c r="I158" i="14" s="1"/>
  <c r="AN157" i="14"/>
  <c r="AH157" i="14"/>
  <c r="AB157" i="14"/>
  <c r="AE157" i="14" s="1"/>
  <c r="V157" i="14"/>
  <c r="P157" i="14"/>
  <c r="F157" i="14"/>
  <c r="I157" i="14" s="1"/>
  <c r="AN156" i="14"/>
  <c r="AH156" i="14"/>
  <c r="AB156" i="14"/>
  <c r="V156" i="14"/>
  <c r="W156" i="14" s="1"/>
  <c r="P156" i="14"/>
  <c r="Q156" i="14" s="1"/>
  <c r="F156" i="14"/>
  <c r="G156" i="14" s="1"/>
  <c r="AN155" i="14"/>
  <c r="AH155" i="14"/>
  <c r="AB155" i="14"/>
  <c r="AE155" i="14" s="1"/>
  <c r="V155" i="14"/>
  <c r="Y155" i="14" s="1"/>
  <c r="P155" i="14"/>
  <c r="F155" i="14"/>
  <c r="I155" i="14" s="1"/>
  <c r="AN154" i="14"/>
  <c r="AH154" i="14"/>
  <c r="AB154" i="14"/>
  <c r="AE154" i="14" s="1"/>
  <c r="V154" i="14"/>
  <c r="Y154" i="14" s="1"/>
  <c r="P154" i="14"/>
  <c r="S154" i="14" s="1"/>
  <c r="F154" i="14"/>
  <c r="I154" i="14" s="1"/>
  <c r="AN153" i="14"/>
  <c r="AH153" i="14"/>
  <c r="AB153" i="14"/>
  <c r="AC153" i="14" s="1"/>
  <c r="V153" i="14"/>
  <c r="X153" i="14" s="1"/>
  <c r="P153" i="14"/>
  <c r="R153" i="14" s="1"/>
  <c r="F153" i="14"/>
  <c r="G153" i="14" s="1"/>
  <c r="AN152" i="14"/>
  <c r="AH152" i="14"/>
  <c r="AB152" i="14"/>
  <c r="V152" i="14"/>
  <c r="W152" i="14" s="1"/>
  <c r="P152" i="14"/>
  <c r="Q152" i="14" s="1"/>
  <c r="F152" i="14"/>
  <c r="I152" i="14" s="1"/>
  <c r="AN151" i="14"/>
  <c r="AH151" i="14"/>
  <c r="AB151" i="14"/>
  <c r="V151" i="14"/>
  <c r="Y151" i="14" s="1"/>
  <c r="P151" i="14"/>
  <c r="F151" i="14"/>
  <c r="H151" i="14" s="1"/>
  <c r="AN150" i="14"/>
  <c r="AH150" i="14"/>
  <c r="AB150" i="14"/>
  <c r="AE150" i="14" s="1"/>
  <c r="V150" i="14"/>
  <c r="Y150" i="14" s="1"/>
  <c r="P150" i="14"/>
  <c r="F150" i="14"/>
  <c r="I150" i="14" s="1"/>
  <c r="AN149" i="14"/>
  <c r="AH149" i="14"/>
  <c r="AB149" i="14"/>
  <c r="V149" i="14"/>
  <c r="W149" i="14" s="1"/>
  <c r="P149" i="14"/>
  <c r="R149" i="14" s="1"/>
  <c r="F149" i="14"/>
  <c r="I149" i="14" s="1"/>
  <c r="AN148" i="14"/>
  <c r="AH148" i="14"/>
  <c r="AB148" i="14"/>
  <c r="AD148" i="14" s="1"/>
  <c r="V148" i="14"/>
  <c r="X148" i="14" s="1"/>
  <c r="P148" i="14"/>
  <c r="Q148" i="14" s="1"/>
  <c r="F148" i="14"/>
  <c r="G148" i="14" s="1"/>
  <c r="AN147" i="14"/>
  <c r="AH147" i="14"/>
  <c r="AB147" i="14"/>
  <c r="AE147" i="14" s="1"/>
  <c r="V147" i="14"/>
  <c r="P147" i="14"/>
  <c r="F147" i="14"/>
  <c r="I147" i="14" s="1"/>
  <c r="AN146" i="14"/>
  <c r="AH146" i="14"/>
  <c r="AB146" i="14"/>
  <c r="AE146" i="14" s="1"/>
  <c r="V146" i="14"/>
  <c r="Y146" i="14" s="1"/>
  <c r="P146" i="14"/>
  <c r="R146" i="14" s="1"/>
  <c r="F146" i="14"/>
  <c r="I146" i="14" s="1"/>
  <c r="AN145" i="14"/>
  <c r="AH145" i="14"/>
  <c r="AB145" i="14"/>
  <c r="V145" i="14"/>
  <c r="Y145" i="14" s="1"/>
  <c r="P145" i="14"/>
  <c r="R145" i="14" s="1"/>
  <c r="F145" i="14"/>
  <c r="H145" i="14" s="1"/>
  <c r="AN144" i="14"/>
  <c r="AH144" i="14"/>
  <c r="AB144" i="14"/>
  <c r="AD144" i="14" s="1"/>
  <c r="V144" i="14"/>
  <c r="P144" i="14"/>
  <c r="Q144" i="14" s="1"/>
  <c r="F144" i="14"/>
  <c r="AN143" i="14"/>
  <c r="AH143" i="14"/>
  <c r="AB143" i="14"/>
  <c r="V143" i="14"/>
  <c r="P143" i="14"/>
  <c r="F143" i="14"/>
  <c r="AN142" i="14"/>
  <c r="AH142" i="14"/>
  <c r="AB142" i="14"/>
  <c r="AE142" i="14" s="1"/>
  <c r="V142" i="14"/>
  <c r="Y142" i="14" s="1"/>
  <c r="P142" i="14"/>
  <c r="R142" i="14" s="1"/>
  <c r="F142" i="14"/>
  <c r="I142" i="14" s="1"/>
  <c r="AN141" i="14"/>
  <c r="AH141" i="14"/>
  <c r="AB141" i="14"/>
  <c r="AC141" i="14" s="1"/>
  <c r="V141" i="14"/>
  <c r="P141" i="14"/>
  <c r="F141" i="14"/>
  <c r="G141" i="14" s="1"/>
  <c r="AN140" i="14"/>
  <c r="AH140" i="14"/>
  <c r="AB140" i="14"/>
  <c r="V140" i="14"/>
  <c r="P140" i="14"/>
  <c r="Q140" i="14" s="1"/>
  <c r="F140" i="14"/>
  <c r="AN139" i="14"/>
  <c r="AH139" i="14"/>
  <c r="AB139" i="14"/>
  <c r="V139" i="14"/>
  <c r="W139" i="14" s="1"/>
  <c r="P139" i="14"/>
  <c r="F139" i="14"/>
  <c r="AN138" i="14"/>
  <c r="AH138" i="14"/>
  <c r="AB138" i="14"/>
  <c r="AE138" i="14" s="1"/>
  <c r="V138" i="14"/>
  <c r="Y138" i="14" s="1"/>
  <c r="P138" i="14"/>
  <c r="F138" i="14"/>
  <c r="I138" i="14" s="1"/>
  <c r="AN137" i="14"/>
  <c r="AH137" i="14"/>
  <c r="AB137" i="14"/>
  <c r="AE137" i="14" s="1"/>
  <c r="V137" i="14"/>
  <c r="W137" i="14" s="1"/>
  <c r="P137" i="14"/>
  <c r="F137" i="14"/>
  <c r="I137" i="14" s="1"/>
  <c r="AN136" i="14"/>
  <c r="AH136" i="14"/>
  <c r="AB136" i="14"/>
  <c r="AE136" i="14" s="1"/>
  <c r="V136" i="14"/>
  <c r="Y136" i="14" s="1"/>
  <c r="P136" i="14"/>
  <c r="Q136" i="14" s="1"/>
  <c r="F136" i="14"/>
  <c r="AN135" i="14"/>
  <c r="AH135" i="14"/>
  <c r="AB135" i="14"/>
  <c r="AE135" i="14" s="1"/>
  <c r="V135" i="14"/>
  <c r="P135" i="14"/>
  <c r="F135" i="14"/>
  <c r="I135" i="14" s="1"/>
  <c r="AN134" i="14"/>
  <c r="AH134" i="14"/>
  <c r="AB134" i="14"/>
  <c r="AE134" i="14" s="1"/>
  <c r="V134" i="14"/>
  <c r="Y134" i="14" s="1"/>
  <c r="P134" i="14"/>
  <c r="R134" i="14" s="1"/>
  <c r="F134" i="14"/>
  <c r="I134" i="14" s="1"/>
  <c r="AN133" i="14"/>
  <c r="AH133" i="14"/>
  <c r="AB133" i="14"/>
  <c r="AD133" i="14" s="1"/>
  <c r="V133" i="14"/>
  <c r="X133" i="14" s="1"/>
  <c r="P133" i="14"/>
  <c r="R133" i="14" s="1"/>
  <c r="F133" i="14"/>
  <c r="H133" i="14" s="1"/>
  <c r="AN132" i="14"/>
  <c r="AH132" i="14"/>
  <c r="AB132" i="14"/>
  <c r="AC132" i="14" s="1"/>
  <c r="V132" i="14"/>
  <c r="P132" i="14"/>
  <c r="Q132" i="14" s="1"/>
  <c r="F132" i="14"/>
  <c r="G132" i="14" s="1"/>
  <c r="AN131" i="14"/>
  <c r="AH131" i="14"/>
  <c r="AB131" i="14"/>
  <c r="V131" i="14"/>
  <c r="W131" i="14" s="1"/>
  <c r="P131" i="14"/>
  <c r="S131" i="14" s="1"/>
  <c r="F131" i="14"/>
  <c r="I131" i="14" s="1"/>
  <c r="AN130" i="14"/>
  <c r="AH130" i="14"/>
  <c r="AB130" i="14"/>
  <c r="AE130" i="14" s="1"/>
  <c r="V130" i="14"/>
  <c r="Y130" i="14" s="1"/>
  <c r="P130" i="14"/>
  <c r="S130" i="14" s="1"/>
  <c r="F130" i="14"/>
  <c r="I130" i="14" s="1"/>
  <c r="AN129" i="14"/>
  <c r="AH129" i="14"/>
  <c r="AB129" i="14"/>
  <c r="AD129" i="14" s="1"/>
  <c r="V129" i="14"/>
  <c r="P129" i="14"/>
  <c r="F129" i="14"/>
  <c r="AN128" i="14"/>
  <c r="AH128" i="14"/>
  <c r="AB128" i="14"/>
  <c r="AC128" i="14" s="1"/>
  <c r="V128" i="14"/>
  <c r="W128" i="14" s="1"/>
  <c r="P128" i="14"/>
  <c r="Q128" i="14" s="1"/>
  <c r="F128" i="14"/>
  <c r="AN127" i="14"/>
  <c r="AH127" i="14"/>
  <c r="AB127" i="14"/>
  <c r="AE127" i="14" s="1"/>
  <c r="V127" i="14"/>
  <c r="P127" i="14"/>
  <c r="S127" i="14" s="1"/>
  <c r="F127" i="14"/>
  <c r="AN126" i="14"/>
  <c r="AH126" i="14"/>
  <c r="AB126" i="14"/>
  <c r="AE126" i="14" s="1"/>
  <c r="V126" i="14"/>
  <c r="Y126" i="14" s="1"/>
  <c r="P126" i="14"/>
  <c r="F126" i="14"/>
  <c r="I126" i="14" s="1"/>
  <c r="AN125" i="14"/>
  <c r="AH125" i="14"/>
  <c r="AB125" i="14"/>
  <c r="AD125" i="14" s="1"/>
  <c r="V125" i="14"/>
  <c r="P125" i="14"/>
  <c r="F125" i="14"/>
  <c r="AN124" i="14"/>
  <c r="AH124" i="14"/>
  <c r="AB124" i="14"/>
  <c r="AE124" i="14" s="1"/>
  <c r="V124" i="14"/>
  <c r="P124" i="14"/>
  <c r="Q124" i="14" s="1"/>
  <c r="F124" i="14"/>
  <c r="G124" i="14" s="1"/>
  <c r="AN123" i="14"/>
  <c r="AH123" i="14"/>
  <c r="AB123" i="14"/>
  <c r="V123" i="14"/>
  <c r="W123" i="14" s="1"/>
  <c r="P123" i="14"/>
  <c r="S123" i="14" s="1"/>
  <c r="F123" i="14"/>
  <c r="I123" i="14" s="1"/>
  <c r="AN122" i="14"/>
  <c r="AH122" i="14"/>
  <c r="AB122" i="14"/>
  <c r="AE122" i="14" s="1"/>
  <c r="V122" i="14"/>
  <c r="Y122" i="14" s="1"/>
  <c r="P122" i="14"/>
  <c r="R122" i="14" s="1"/>
  <c r="F122" i="14"/>
  <c r="I122" i="14" s="1"/>
  <c r="AN121" i="14"/>
  <c r="AH121" i="14"/>
  <c r="AB121" i="14"/>
  <c r="V121" i="14"/>
  <c r="P121" i="14"/>
  <c r="F121" i="14"/>
  <c r="H121" i="14" s="1"/>
  <c r="AN120" i="14"/>
  <c r="AH120" i="14"/>
  <c r="AB120" i="14"/>
  <c r="AD120" i="14" s="1"/>
  <c r="V120" i="14"/>
  <c r="X120" i="14" s="1"/>
  <c r="P120" i="14"/>
  <c r="F120" i="14"/>
  <c r="I120" i="14" s="1"/>
  <c r="AN119" i="14"/>
  <c r="AH119" i="14"/>
  <c r="AB119" i="14"/>
  <c r="AD119" i="14" s="1"/>
  <c r="V119" i="14"/>
  <c r="Y119" i="14" s="1"/>
  <c r="P119" i="14"/>
  <c r="F119" i="14"/>
  <c r="H119" i="14" s="1"/>
  <c r="AN118" i="14"/>
  <c r="AH118" i="14"/>
  <c r="AB118" i="14"/>
  <c r="V118" i="14"/>
  <c r="P118" i="14"/>
  <c r="S118" i="14" s="1"/>
  <c r="F118" i="14"/>
  <c r="AN117" i="14"/>
  <c r="AH117" i="14"/>
  <c r="AB117" i="14"/>
  <c r="V117" i="14"/>
  <c r="W117" i="14" s="1"/>
  <c r="P117" i="14"/>
  <c r="F117" i="14"/>
  <c r="AN116" i="14"/>
  <c r="AH116" i="14"/>
  <c r="AB116" i="14"/>
  <c r="AC116" i="14" s="1"/>
  <c r="V116" i="14"/>
  <c r="P116" i="14"/>
  <c r="F116" i="14"/>
  <c r="G116" i="14" s="1"/>
  <c r="AN115" i="14"/>
  <c r="AH115" i="14"/>
  <c r="AB115" i="14"/>
  <c r="AE115" i="14" s="1"/>
  <c r="V115" i="14"/>
  <c r="Y115" i="14" s="1"/>
  <c r="P115" i="14"/>
  <c r="S115" i="14" s="1"/>
  <c r="F115" i="14"/>
  <c r="I115" i="14" s="1"/>
  <c r="AN114" i="14"/>
  <c r="AH114" i="14"/>
  <c r="AB114" i="14"/>
  <c r="V114" i="14"/>
  <c r="P114" i="14"/>
  <c r="R114" i="14" s="1"/>
  <c r="F114" i="14"/>
  <c r="AN113" i="14"/>
  <c r="AH113" i="14"/>
  <c r="AB113" i="14"/>
  <c r="AC113" i="14" s="1"/>
  <c r="V113" i="14"/>
  <c r="P113" i="14"/>
  <c r="R113" i="14" s="1"/>
  <c r="F113" i="14"/>
  <c r="AN112" i="14"/>
  <c r="AH112" i="14"/>
  <c r="AB112" i="14"/>
  <c r="AD112" i="14" s="1"/>
  <c r="V112" i="14"/>
  <c r="X112" i="14" s="1"/>
  <c r="P112" i="14"/>
  <c r="R112" i="14" s="1"/>
  <c r="F112" i="14"/>
  <c r="H112" i="14" s="1"/>
  <c r="AN111" i="14"/>
  <c r="AH111" i="14"/>
  <c r="AB111" i="14"/>
  <c r="AE111" i="14" s="1"/>
  <c r="V111" i="14"/>
  <c r="P111" i="14"/>
  <c r="F111" i="14"/>
  <c r="I111" i="14" s="1"/>
  <c r="AN110" i="14"/>
  <c r="AH110" i="14"/>
  <c r="AB110" i="14"/>
  <c r="V110" i="14"/>
  <c r="P110" i="14"/>
  <c r="R110" i="14" s="1"/>
  <c r="F110" i="14"/>
  <c r="AN109" i="14"/>
  <c r="AH109" i="14"/>
  <c r="AB109" i="14"/>
  <c r="V109" i="14"/>
  <c r="Y109" i="14" s="1"/>
  <c r="P109" i="14"/>
  <c r="F109" i="14"/>
  <c r="H109" i="14" s="1"/>
  <c r="AN108" i="14"/>
  <c r="AH108" i="14"/>
  <c r="AB108" i="14"/>
  <c r="V108" i="14"/>
  <c r="W108" i="14" s="1"/>
  <c r="P108" i="14"/>
  <c r="R108" i="14" s="1"/>
  <c r="F108" i="14"/>
  <c r="AN107" i="14"/>
  <c r="AH107" i="14"/>
  <c r="AB107" i="14"/>
  <c r="V107" i="14"/>
  <c r="Y107" i="14" s="1"/>
  <c r="P107" i="14"/>
  <c r="S107" i="14" s="1"/>
  <c r="F107" i="14"/>
  <c r="I107" i="14" s="1"/>
  <c r="AN106" i="14"/>
  <c r="AH106" i="14"/>
  <c r="AB106" i="14"/>
  <c r="V106" i="14"/>
  <c r="P106" i="14"/>
  <c r="Q106" i="14" s="1"/>
  <c r="F106" i="14"/>
  <c r="AN105" i="14"/>
  <c r="AH105" i="14"/>
  <c r="AB105" i="14"/>
  <c r="V105" i="14"/>
  <c r="Y105" i="14" s="1"/>
  <c r="P105" i="14"/>
  <c r="F105" i="14"/>
  <c r="H105" i="14" s="1"/>
  <c r="AN104" i="14"/>
  <c r="AH104" i="14"/>
  <c r="AB104" i="14"/>
  <c r="V104" i="14"/>
  <c r="P104" i="14"/>
  <c r="R104" i="14" s="1"/>
  <c r="F104" i="14"/>
  <c r="AN103" i="14"/>
  <c r="AH103" i="14"/>
  <c r="AB103" i="14"/>
  <c r="V103" i="14"/>
  <c r="P103" i="14"/>
  <c r="F103" i="14"/>
  <c r="I103" i="14" s="1"/>
  <c r="AN102" i="14"/>
  <c r="AH102" i="14"/>
  <c r="AB102" i="14"/>
  <c r="V102" i="14"/>
  <c r="Y102" i="14" s="1"/>
  <c r="P102" i="14"/>
  <c r="F102" i="14"/>
  <c r="I102" i="14" s="1"/>
  <c r="AN101" i="14"/>
  <c r="AH101" i="14"/>
  <c r="AB101" i="14"/>
  <c r="V101" i="14"/>
  <c r="W101" i="14" s="1"/>
  <c r="P101" i="14"/>
  <c r="Q101" i="14" s="1"/>
  <c r="F101" i="14"/>
  <c r="I101" i="14" s="1"/>
  <c r="AN100" i="14"/>
  <c r="AH100" i="14"/>
  <c r="AB100" i="14"/>
  <c r="AD100" i="14" s="1"/>
  <c r="V100" i="14"/>
  <c r="X100" i="14" s="1"/>
  <c r="P100" i="14"/>
  <c r="F100" i="14"/>
  <c r="H100" i="14" s="1"/>
  <c r="AN99" i="14"/>
  <c r="AH99" i="14"/>
  <c r="AB99" i="14"/>
  <c r="AE99" i="14" s="1"/>
  <c r="V99" i="14"/>
  <c r="Y99" i="14" s="1"/>
  <c r="P99" i="14"/>
  <c r="F99" i="14"/>
  <c r="I99" i="14" s="1"/>
  <c r="AN98" i="14"/>
  <c r="AH98" i="14"/>
  <c r="AB98" i="14"/>
  <c r="AD98" i="14" s="1"/>
  <c r="V98" i="14"/>
  <c r="P98" i="14"/>
  <c r="F98" i="14"/>
  <c r="H98" i="14" s="1"/>
  <c r="AN97" i="14"/>
  <c r="AH97" i="14"/>
  <c r="AB97" i="14"/>
  <c r="V97" i="14"/>
  <c r="P97" i="14"/>
  <c r="Q97" i="14" s="1"/>
  <c r="F97" i="14"/>
  <c r="G97" i="14" s="1"/>
  <c r="AN96" i="14"/>
  <c r="AH96" i="14"/>
  <c r="AB96" i="14"/>
  <c r="V96" i="14"/>
  <c r="P96" i="14"/>
  <c r="F96" i="14"/>
  <c r="H96" i="14" s="1"/>
  <c r="AN95" i="14"/>
  <c r="AH95" i="14"/>
  <c r="AB95" i="14"/>
  <c r="AE95" i="14" s="1"/>
  <c r="V95" i="14"/>
  <c r="Y95" i="14" s="1"/>
  <c r="P95" i="14"/>
  <c r="Q95" i="14" s="1"/>
  <c r="F95" i="14"/>
  <c r="I95" i="14" s="1"/>
  <c r="AN94" i="14"/>
  <c r="AH94" i="14"/>
  <c r="AB94" i="14"/>
  <c r="AD94" i="14" s="1"/>
  <c r="V94" i="14"/>
  <c r="X94" i="14" s="1"/>
  <c r="P94" i="14"/>
  <c r="Q94" i="14" s="1"/>
  <c r="F94" i="14"/>
  <c r="H94" i="14" s="1"/>
  <c r="AN93" i="14"/>
  <c r="AH93" i="14"/>
  <c r="AB93" i="14"/>
  <c r="AC93" i="14" s="1"/>
  <c r="V93" i="14"/>
  <c r="P93" i="14"/>
  <c r="F93" i="14"/>
  <c r="G93" i="14" s="1"/>
  <c r="AN92" i="14"/>
  <c r="AH92" i="14"/>
  <c r="AB92" i="14"/>
  <c r="AC92" i="14" s="1"/>
  <c r="V92" i="14"/>
  <c r="P92" i="14"/>
  <c r="Q92" i="14" s="1"/>
  <c r="F92" i="14"/>
  <c r="I92" i="14" s="1"/>
  <c r="AN91" i="14"/>
  <c r="AH91" i="14"/>
  <c r="AB91" i="14"/>
  <c r="V91" i="14"/>
  <c r="P91" i="14"/>
  <c r="F91" i="14"/>
  <c r="AN90" i="14"/>
  <c r="AH90" i="14"/>
  <c r="AB90" i="14"/>
  <c r="AC90" i="14" s="1"/>
  <c r="V90" i="14"/>
  <c r="P90" i="14"/>
  <c r="Q90" i="14" s="1"/>
  <c r="F90" i="14"/>
  <c r="AN89" i="14"/>
  <c r="AH89" i="14"/>
  <c r="AB89" i="14"/>
  <c r="AE89" i="14" s="1"/>
  <c r="V89" i="14"/>
  <c r="Y89" i="14" s="1"/>
  <c r="P89" i="14"/>
  <c r="S89" i="14" s="1"/>
  <c r="F89" i="14"/>
  <c r="I89" i="14" s="1"/>
  <c r="AN88" i="14"/>
  <c r="AH88" i="14"/>
  <c r="AB88" i="14"/>
  <c r="V88" i="14"/>
  <c r="Y88" i="14" s="1"/>
  <c r="P88" i="14"/>
  <c r="R88" i="14" s="1"/>
  <c r="F88" i="14"/>
  <c r="AN87" i="14"/>
  <c r="AH87" i="14"/>
  <c r="AB87" i="14"/>
  <c r="V87" i="14"/>
  <c r="P87" i="14"/>
  <c r="R87" i="14" s="1"/>
  <c r="F87" i="14"/>
  <c r="AN86" i="14"/>
  <c r="AH86" i="14"/>
  <c r="AB86" i="14"/>
  <c r="V86" i="14"/>
  <c r="P86" i="14"/>
  <c r="S86" i="14" s="1"/>
  <c r="F86" i="14"/>
  <c r="AN85" i="14"/>
  <c r="AH85" i="14"/>
  <c r="AB85" i="14"/>
  <c r="AE85" i="14" s="1"/>
  <c r="V85" i="14"/>
  <c r="Y85" i="14" s="1"/>
  <c r="P85" i="14"/>
  <c r="S85" i="14" s="1"/>
  <c r="F85" i="14"/>
  <c r="I85" i="14" s="1"/>
  <c r="AN84" i="14"/>
  <c r="AH84" i="14"/>
  <c r="AB84" i="14"/>
  <c r="V84" i="14"/>
  <c r="X84" i="14" s="1"/>
  <c r="P84" i="14"/>
  <c r="F84" i="14"/>
  <c r="AN83" i="14"/>
  <c r="AH83" i="14"/>
  <c r="AB83" i="14"/>
  <c r="AC83" i="14" s="1"/>
  <c r="V83" i="14"/>
  <c r="W83" i="14" s="1"/>
  <c r="P83" i="14"/>
  <c r="R83" i="14" s="1"/>
  <c r="F83" i="14"/>
  <c r="AN82" i="14"/>
  <c r="AH82" i="14"/>
  <c r="AB82" i="14"/>
  <c r="V82" i="14"/>
  <c r="P82" i="14"/>
  <c r="F82" i="14"/>
  <c r="AN81" i="14"/>
  <c r="AH81" i="14"/>
  <c r="AB81" i="14"/>
  <c r="AE81" i="14" s="1"/>
  <c r="V81" i="14"/>
  <c r="Y81" i="14" s="1"/>
  <c r="P81" i="14"/>
  <c r="S81" i="14" s="1"/>
  <c r="F81" i="14"/>
  <c r="I81" i="14" s="1"/>
  <c r="AN80" i="14"/>
  <c r="AH80" i="14"/>
  <c r="AB80" i="14"/>
  <c r="AD80" i="14" s="1"/>
  <c r="V80" i="14"/>
  <c r="P80" i="14"/>
  <c r="F80" i="14"/>
  <c r="AN79" i="14"/>
  <c r="AH79" i="14"/>
  <c r="AB79" i="14"/>
  <c r="V79" i="14"/>
  <c r="W79" i="14" s="1"/>
  <c r="P79" i="14"/>
  <c r="R79" i="14" s="1"/>
  <c r="F79" i="14"/>
  <c r="G79" i="14" s="1"/>
  <c r="AN78" i="14"/>
  <c r="AH78" i="14"/>
  <c r="AB78" i="14"/>
  <c r="V78" i="14"/>
  <c r="P78" i="14"/>
  <c r="R78" i="14" s="1"/>
  <c r="F78" i="14"/>
  <c r="I78" i="14" s="1"/>
  <c r="AN77" i="14"/>
  <c r="AH77" i="14"/>
  <c r="AB77" i="14"/>
  <c r="AE77" i="14" s="1"/>
  <c r="V77" i="14"/>
  <c r="Y77" i="14" s="1"/>
  <c r="P77" i="14"/>
  <c r="S77" i="14" s="1"/>
  <c r="F77" i="14"/>
  <c r="I77" i="14" s="1"/>
  <c r="AN76" i="14"/>
  <c r="AH76" i="14"/>
  <c r="AB76" i="14"/>
  <c r="AD76" i="14" s="1"/>
  <c r="V76" i="14"/>
  <c r="P76" i="14"/>
  <c r="F76" i="14"/>
  <c r="AN75" i="14"/>
  <c r="AH75" i="14"/>
  <c r="AB75" i="14"/>
  <c r="V75" i="14"/>
  <c r="W75" i="14" s="1"/>
  <c r="P75" i="14"/>
  <c r="R75" i="14" s="1"/>
  <c r="F75" i="14"/>
  <c r="AN74" i="14"/>
  <c r="AH74" i="14"/>
  <c r="AB74" i="14"/>
  <c r="V74" i="14"/>
  <c r="W74" i="14" s="1"/>
  <c r="P74" i="14"/>
  <c r="F74" i="14"/>
  <c r="AN73" i="14"/>
  <c r="AH73" i="14"/>
  <c r="AB73" i="14"/>
  <c r="AE73" i="14" s="1"/>
  <c r="V73" i="14"/>
  <c r="Y73" i="14" s="1"/>
  <c r="P73" i="14"/>
  <c r="S73" i="14" s="1"/>
  <c r="F73" i="14"/>
  <c r="I73" i="14" s="1"/>
  <c r="AN72" i="14"/>
  <c r="AH72" i="14"/>
  <c r="AB72" i="14"/>
  <c r="V72" i="14"/>
  <c r="P72" i="14"/>
  <c r="R72" i="14" s="1"/>
  <c r="F72" i="14"/>
  <c r="AN71" i="14"/>
  <c r="AH71" i="14"/>
  <c r="AB71" i="14"/>
  <c r="V71" i="14"/>
  <c r="P71" i="14"/>
  <c r="R71" i="14" s="1"/>
  <c r="F71" i="14"/>
  <c r="AN70" i="14"/>
  <c r="AH70" i="14"/>
  <c r="AB70" i="14"/>
  <c r="AE70" i="14" s="1"/>
  <c r="V70" i="14"/>
  <c r="P70" i="14"/>
  <c r="F70" i="14"/>
  <c r="AN69" i="14"/>
  <c r="AH69" i="14"/>
  <c r="AB69" i="14"/>
  <c r="V69" i="14"/>
  <c r="P69" i="14"/>
  <c r="S69" i="14" s="1"/>
  <c r="F69" i="14"/>
  <c r="AN68" i="14"/>
  <c r="AH68" i="14"/>
  <c r="AB68" i="14"/>
  <c r="V68" i="14"/>
  <c r="P68" i="14"/>
  <c r="Q68" i="14" s="1"/>
  <c r="F68" i="14"/>
  <c r="AN67" i="14"/>
  <c r="AH67" i="14"/>
  <c r="AB67" i="14"/>
  <c r="AC67" i="14" s="1"/>
  <c r="V67" i="14"/>
  <c r="P67" i="14"/>
  <c r="R67" i="14" s="1"/>
  <c r="F67" i="14"/>
  <c r="G67" i="14" s="1"/>
  <c r="AN66" i="14"/>
  <c r="AH66" i="14"/>
  <c r="AB66" i="14"/>
  <c r="V66" i="14"/>
  <c r="P66" i="14"/>
  <c r="F66" i="14"/>
  <c r="I66" i="14" s="1"/>
  <c r="AN65" i="14"/>
  <c r="AH65" i="14"/>
  <c r="AB65" i="14"/>
  <c r="V65" i="14"/>
  <c r="P65" i="14"/>
  <c r="S65" i="14" s="1"/>
  <c r="F65" i="14"/>
  <c r="AN64" i="14"/>
  <c r="AH64" i="14"/>
  <c r="AB64" i="14"/>
  <c r="AD64" i="14" s="1"/>
  <c r="V64" i="14"/>
  <c r="P64" i="14"/>
  <c r="F64" i="14"/>
  <c r="H64" i="14" s="1"/>
  <c r="AN63" i="14"/>
  <c r="AH63" i="14"/>
  <c r="AB63" i="14"/>
  <c r="V63" i="14"/>
  <c r="P63" i="14"/>
  <c r="R63" i="14" s="1"/>
  <c r="F63" i="14"/>
  <c r="G63" i="14" s="1"/>
  <c r="AN62" i="14"/>
  <c r="AH62" i="14"/>
  <c r="AB62" i="14"/>
  <c r="V62" i="14"/>
  <c r="W62" i="14" s="1"/>
  <c r="P62" i="14"/>
  <c r="F62" i="14"/>
  <c r="AN61" i="14"/>
  <c r="AH61" i="14"/>
  <c r="AB61" i="14"/>
  <c r="V61" i="14"/>
  <c r="P61" i="14"/>
  <c r="S61" i="14" s="1"/>
  <c r="F61" i="14"/>
  <c r="AN60" i="14"/>
  <c r="AH60" i="14"/>
  <c r="AB60" i="14"/>
  <c r="V60" i="14"/>
  <c r="P60" i="14"/>
  <c r="F60" i="14"/>
  <c r="H60" i="14" s="1"/>
  <c r="AN59" i="14"/>
  <c r="AH59" i="14"/>
  <c r="AB59" i="14"/>
  <c r="V59" i="14"/>
  <c r="W59" i="14" s="1"/>
  <c r="P59" i="14"/>
  <c r="R59" i="14" s="1"/>
  <c r="F59" i="14"/>
  <c r="G59" i="14" s="1"/>
  <c r="AN58" i="14"/>
  <c r="AH58" i="14"/>
  <c r="AB58" i="14"/>
  <c r="V58" i="14"/>
  <c r="P58" i="14"/>
  <c r="F58" i="14"/>
  <c r="I58" i="14" s="1"/>
  <c r="AN57" i="14"/>
  <c r="AH57" i="14"/>
  <c r="AB57" i="14"/>
  <c r="V57" i="14"/>
  <c r="P57" i="14"/>
  <c r="R57" i="14" s="1"/>
  <c r="F57" i="14"/>
  <c r="AN56" i="14"/>
  <c r="AH56" i="14"/>
  <c r="AB56" i="14"/>
  <c r="V56" i="14"/>
  <c r="P56" i="14"/>
  <c r="R56" i="14" s="1"/>
  <c r="F56" i="14"/>
  <c r="G56" i="14" s="1"/>
  <c r="AN55" i="14"/>
  <c r="AH55" i="14"/>
  <c r="AB55" i="14"/>
  <c r="V55" i="14"/>
  <c r="P55" i="14"/>
  <c r="R55" i="14" s="1"/>
  <c r="F55" i="14"/>
  <c r="AN54" i="14"/>
  <c r="AH54" i="14"/>
  <c r="AB54" i="14"/>
  <c r="V54" i="14"/>
  <c r="Y54" i="14" s="1"/>
  <c r="P54" i="14"/>
  <c r="R54" i="14" s="1"/>
  <c r="F54" i="14"/>
  <c r="G54" i="14" s="1"/>
  <c r="AN53" i="14"/>
  <c r="AH53" i="14"/>
  <c r="AB53" i="14"/>
  <c r="AD53" i="14" s="1"/>
  <c r="V53" i="14"/>
  <c r="X53" i="14" s="1"/>
  <c r="P53" i="14"/>
  <c r="R53" i="14" s="1"/>
  <c r="F53" i="14"/>
  <c r="H53" i="14" s="1"/>
  <c r="AN52" i="14"/>
  <c r="AH52" i="14"/>
  <c r="AB52" i="14"/>
  <c r="V52" i="14"/>
  <c r="P52" i="14"/>
  <c r="R52" i="14" s="1"/>
  <c r="F52" i="14"/>
  <c r="AN51" i="14"/>
  <c r="AH51" i="14"/>
  <c r="AB51" i="14"/>
  <c r="AD51" i="14" s="1"/>
  <c r="V51" i="14"/>
  <c r="X51" i="14" s="1"/>
  <c r="P51" i="14"/>
  <c r="F51" i="14"/>
  <c r="H51" i="14" s="1"/>
  <c r="AN50" i="14"/>
  <c r="AH50" i="14"/>
  <c r="AB50" i="14"/>
  <c r="AE50" i="14" s="1"/>
  <c r="V50" i="14"/>
  <c r="Y50" i="14" s="1"/>
  <c r="P50" i="14"/>
  <c r="F50" i="14"/>
  <c r="AN49" i="14"/>
  <c r="AH49" i="14"/>
  <c r="AB49" i="14"/>
  <c r="AE49" i="14" s="1"/>
  <c r="V49" i="14"/>
  <c r="Y49" i="14" s="1"/>
  <c r="P49" i="14"/>
  <c r="S49" i="14" s="1"/>
  <c r="F49" i="14"/>
  <c r="I49" i="14" s="1"/>
  <c r="AN48" i="14"/>
  <c r="AH48" i="14"/>
  <c r="AB48" i="14"/>
  <c r="V48" i="14"/>
  <c r="X48" i="14" s="1"/>
  <c r="P48" i="14"/>
  <c r="F48" i="14"/>
  <c r="AN47" i="14"/>
  <c r="AH47" i="14"/>
  <c r="AB47" i="14"/>
  <c r="AC47" i="14" s="1"/>
  <c r="V47" i="14"/>
  <c r="W47" i="14" s="1"/>
  <c r="P47" i="14"/>
  <c r="Q47" i="14" s="1"/>
  <c r="F47" i="14"/>
  <c r="AN46" i="14"/>
  <c r="AH46" i="14"/>
  <c r="AB46" i="14"/>
  <c r="V46" i="14"/>
  <c r="P46" i="14"/>
  <c r="S46" i="14" s="1"/>
  <c r="F46" i="14"/>
  <c r="G46" i="14" s="1"/>
  <c r="AN45" i="14"/>
  <c r="AH45" i="14"/>
  <c r="AB45" i="14"/>
  <c r="V45" i="14"/>
  <c r="X45" i="14" s="1"/>
  <c r="P45" i="14"/>
  <c r="F45" i="14"/>
  <c r="I45" i="14" s="1"/>
  <c r="AN44" i="14"/>
  <c r="AH44" i="14"/>
  <c r="AB44" i="14"/>
  <c r="AD44" i="14" s="1"/>
  <c r="V44" i="14"/>
  <c r="Y44" i="14" s="1"/>
  <c r="P44" i="14"/>
  <c r="F44" i="14"/>
  <c r="I44" i="14" s="1"/>
  <c r="AN43" i="14"/>
  <c r="AH43" i="14"/>
  <c r="AB43" i="14"/>
  <c r="AE43" i="14" s="1"/>
  <c r="V43" i="14"/>
  <c r="W43" i="14" s="1"/>
  <c r="P43" i="14"/>
  <c r="S43" i="14" s="1"/>
  <c r="F43" i="14"/>
  <c r="AN42" i="14"/>
  <c r="AH42" i="14"/>
  <c r="AB42" i="14"/>
  <c r="V42" i="14"/>
  <c r="P42" i="14"/>
  <c r="S42" i="14" s="1"/>
  <c r="F42" i="14"/>
  <c r="H42" i="14" s="1"/>
  <c r="AN41" i="14"/>
  <c r="AH41" i="14"/>
  <c r="AB41" i="14"/>
  <c r="V41" i="14"/>
  <c r="P41" i="14"/>
  <c r="Q41" i="14" s="1"/>
  <c r="F41" i="14"/>
  <c r="I41" i="14" s="1"/>
  <c r="AN40" i="14"/>
  <c r="AH40" i="14"/>
  <c r="AB40" i="14"/>
  <c r="V40" i="14"/>
  <c r="P40" i="14"/>
  <c r="F40" i="14"/>
  <c r="I40" i="14" s="1"/>
  <c r="AN39" i="14"/>
  <c r="AH39" i="14"/>
  <c r="AB39" i="14"/>
  <c r="AE39" i="14" s="1"/>
  <c r="V39" i="14"/>
  <c r="W39" i="14" s="1"/>
  <c r="P39" i="14"/>
  <c r="S39" i="14" s="1"/>
  <c r="F39" i="14"/>
  <c r="I39" i="14" s="1"/>
  <c r="AN38" i="14"/>
  <c r="AH38" i="14"/>
  <c r="AB38" i="14"/>
  <c r="V38" i="14"/>
  <c r="P38" i="14"/>
  <c r="F38" i="14"/>
  <c r="AN37" i="14"/>
  <c r="AH37" i="14"/>
  <c r="AB37" i="14"/>
  <c r="AE37" i="14" s="1"/>
  <c r="V37" i="14"/>
  <c r="P37" i="14"/>
  <c r="Q37" i="14" s="1"/>
  <c r="F37" i="14"/>
  <c r="AN36" i="14"/>
  <c r="AH36" i="14"/>
  <c r="AB36" i="14"/>
  <c r="AD36" i="14" s="1"/>
  <c r="V36" i="14"/>
  <c r="P36" i="14"/>
  <c r="R36" i="14" s="1"/>
  <c r="F36" i="14"/>
  <c r="AN35" i="14"/>
  <c r="AH35" i="14"/>
  <c r="AB35" i="14"/>
  <c r="V35" i="14"/>
  <c r="W35" i="14" s="1"/>
  <c r="P35" i="14"/>
  <c r="F35" i="14"/>
  <c r="I35" i="14" s="1"/>
  <c r="AN34" i="14"/>
  <c r="AH34" i="14"/>
  <c r="AB34" i="14"/>
  <c r="AE34" i="14" s="1"/>
  <c r="V34" i="14"/>
  <c r="P34" i="14"/>
  <c r="S34" i="14" s="1"/>
  <c r="F34" i="14"/>
  <c r="G34" i="14" s="1"/>
  <c r="AN33" i="14"/>
  <c r="AH33" i="14"/>
  <c r="AB33" i="14"/>
  <c r="V33" i="14"/>
  <c r="X33" i="14" s="1"/>
  <c r="P33" i="14"/>
  <c r="F33" i="14"/>
  <c r="I33" i="14" s="1"/>
  <c r="AN32" i="14"/>
  <c r="AH32" i="14"/>
  <c r="AB32" i="14"/>
  <c r="V32" i="14"/>
  <c r="Y32" i="14" s="1"/>
  <c r="P32" i="14"/>
  <c r="F32" i="14"/>
  <c r="AN31" i="14"/>
  <c r="AH31" i="14"/>
  <c r="AB31" i="14"/>
  <c r="V31" i="14"/>
  <c r="W31" i="14" s="1"/>
  <c r="P31" i="14"/>
  <c r="S31" i="14" s="1"/>
  <c r="F31" i="14"/>
  <c r="AN30" i="14"/>
  <c r="AH30" i="14"/>
  <c r="AB30" i="14"/>
  <c r="AC30" i="14" s="1"/>
  <c r="V30" i="14"/>
  <c r="X30" i="14" s="1"/>
  <c r="P30" i="14"/>
  <c r="F30" i="14"/>
  <c r="G30" i="14" s="1"/>
  <c r="AN29" i="14"/>
  <c r="AH29" i="14"/>
  <c r="AB29" i="14"/>
  <c r="AE29" i="14" s="1"/>
  <c r="V29" i="14"/>
  <c r="X29" i="14" s="1"/>
  <c r="P29" i="14"/>
  <c r="F29" i="14"/>
  <c r="AN28" i="14"/>
  <c r="AH28" i="14"/>
  <c r="AB28" i="14"/>
  <c r="AD28" i="14" s="1"/>
  <c r="V28" i="14"/>
  <c r="Y28" i="14" s="1"/>
  <c r="P28" i="14"/>
  <c r="F28" i="14"/>
  <c r="I28" i="14" s="1"/>
  <c r="AN27" i="14"/>
  <c r="AM27" i="14"/>
  <c r="AO27" i="14" s="1"/>
  <c r="AH27" i="14"/>
  <c r="AB27" i="14"/>
  <c r="AE27" i="14" s="1"/>
  <c r="V27" i="14"/>
  <c r="P27" i="14"/>
  <c r="S27" i="14" s="1"/>
  <c r="F27" i="14"/>
  <c r="AN26" i="14"/>
  <c r="AM26" i="14"/>
  <c r="AO26" i="14" s="1"/>
  <c r="AH26" i="14"/>
  <c r="AB26" i="14"/>
  <c r="AE26" i="14" s="1"/>
  <c r="V26" i="14"/>
  <c r="P26" i="14"/>
  <c r="S26" i="14" s="1"/>
  <c r="F26" i="14"/>
  <c r="H26" i="14" s="1"/>
  <c r="AN25" i="14"/>
  <c r="AM25" i="14"/>
  <c r="AO25" i="14" s="1"/>
  <c r="AH25" i="14"/>
  <c r="AB25" i="14"/>
  <c r="V25" i="14"/>
  <c r="P25" i="14"/>
  <c r="F25" i="14"/>
  <c r="H25" i="14" s="1"/>
  <c r="AN24" i="14"/>
  <c r="AM24" i="14"/>
  <c r="AO24" i="14" s="1"/>
  <c r="AH24" i="14"/>
  <c r="AB24" i="14"/>
  <c r="V24" i="14"/>
  <c r="P24" i="14"/>
  <c r="R24" i="14" s="1"/>
  <c r="F24" i="14"/>
  <c r="H24" i="14" s="1"/>
  <c r="AN23" i="14"/>
  <c r="AM23" i="14"/>
  <c r="AO23" i="14" s="1"/>
  <c r="AH23" i="14"/>
  <c r="AB23" i="14"/>
  <c r="AE23" i="14" s="1"/>
  <c r="V23" i="14"/>
  <c r="P23" i="14"/>
  <c r="S23" i="14" s="1"/>
  <c r="F23" i="14"/>
  <c r="AN22" i="14"/>
  <c r="AM22" i="14"/>
  <c r="AO22" i="14" s="1"/>
  <c r="AH22" i="14"/>
  <c r="AB22" i="14"/>
  <c r="AE22" i="14" s="1"/>
  <c r="V22" i="14"/>
  <c r="P22" i="14"/>
  <c r="S22" i="14" s="1"/>
  <c r="F22" i="14"/>
  <c r="I22" i="14" s="1"/>
  <c r="AN21" i="14"/>
  <c r="AM21" i="14"/>
  <c r="AO21" i="14" s="1"/>
  <c r="AH21" i="14"/>
  <c r="AB21" i="14"/>
  <c r="AE21" i="14" s="1"/>
  <c r="V21" i="14"/>
  <c r="P21" i="14"/>
  <c r="S21" i="14" s="1"/>
  <c r="F21" i="14"/>
  <c r="H21" i="14" s="1"/>
  <c r="AN20" i="14"/>
  <c r="AM20" i="14"/>
  <c r="AO20" i="14" s="1"/>
  <c r="AH20" i="14"/>
  <c r="AB20" i="14"/>
  <c r="AE20" i="14" s="1"/>
  <c r="V20" i="14"/>
  <c r="P20" i="14"/>
  <c r="S20" i="14" s="1"/>
  <c r="F20" i="14"/>
  <c r="G20" i="14" s="1"/>
  <c r="AN19" i="14"/>
  <c r="AM19" i="14"/>
  <c r="AO19" i="14" s="1"/>
  <c r="AH19" i="14"/>
  <c r="AB19" i="14"/>
  <c r="AE19" i="14" s="1"/>
  <c r="V19" i="14"/>
  <c r="P19" i="14"/>
  <c r="S19" i="14" s="1"/>
  <c r="F19" i="14"/>
  <c r="I19" i="14" s="1"/>
  <c r="AN18" i="14"/>
  <c r="AM18" i="14"/>
  <c r="AO18" i="14" s="1"/>
  <c r="AH18" i="14"/>
  <c r="AB18" i="14"/>
  <c r="AE18" i="14" s="1"/>
  <c r="V18" i="14"/>
  <c r="P18" i="14"/>
  <c r="Q18" i="14" s="1"/>
  <c r="F18" i="14"/>
  <c r="I18" i="14" s="1"/>
  <c r="AN17" i="14"/>
  <c r="AM17" i="14"/>
  <c r="AO17" i="14" s="1"/>
  <c r="AH17" i="14"/>
  <c r="AB17" i="14"/>
  <c r="V17" i="14"/>
  <c r="P17" i="14"/>
  <c r="S17" i="14" s="1"/>
  <c r="F17" i="14"/>
  <c r="AN16" i="14"/>
  <c r="AM16" i="14"/>
  <c r="AO16" i="14" s="1"/>
  <c r="AH16" i="14"/>
  <c r="AB16" i="14"/>
  <c r="V16" i="14"/>
  <c r="P16" i="14"/>
  <c r="R16" i="14" s="1"/>
  <c r="F16" i="14"/>
  <c r="H16" i="14" s="1"/>
  <c r="AN15" i="14"/>
  <c r="AM15" i="14"/>
  <c r="AO15" i="14" s="1"/>
  <c r="AH15" i="14"/>
  <c r="AB15" i="14"/>
  <c r="V15" i="14"/>
  <c r="P15" i="14"/>
  <c r="S15" i="14" s="1"/>
  <c r="F15" i="14"/>
  <c r="I15" i="14" s="1"/>
  <c r="AN14" i="14"/>
  <c r="AM14" i="14"/>
  <c r="AO14" i="14" s="1"/>
  <c r="AH14" i="14"/>
  <c r="AB14" i="14"/>
  <c r="AC14" i="14" s="1"/>
  <c r="V14" i="14"/>
  <c r="P14" i="14"/>
  <c r="S14" i="14" s="1"/>
  <c r="F14" i="14"/>
  <c r="I14" i="14" s="1"/>
  <c r="AN13" i="14"/>
  <c r="AM13" i="14"/>
  <c r="AO13" i="14" s="1"/>
  <c r="AH13" i="14"/>
  <c r="AB13" i="14"/>
  <c r="AE13" i="14" s="1"/>
  <c r="V13" i="14"/>
  <c r="P13" i="14"/>
  <c r="S13" i="14" s="1"/>
  <c r="F13" i="14"/>
  <c r="AN12" i="14"/>
  <c r="AM12" i="14"/>
  <c r="AO12" i="14" s="1"/>
  <c r="AH12" i="14"/>
  <c r="AB12" i="14"/>
  <c r="AE12" i="14" s="1"/>
  <c r="V12" i="14"/>
  <c r="X12" i="14" s="1"/>
  <c r="P12" i="14"/>
  <c r="R12" i="14" s="1"/>
  <c r="F12" i="14"/>
  <c r="H12" i="14" s="1"/>
  <c r="AN11" i="14"/>
  <c r="AM11" i="14"/>
  <c r="AO11" i="14" s="1"/>
  <c r="AH11" i="14"/>
  <c r="AB11" i="14"/>
  <c r="V11" i="14"/>
  <c r="W11" i="14" s="1"/>
  <c r="P11" i="14"/>
  <c r="S11" i="14" s="1"/>
  <c r="F11" i="14"/>
  <c r="I11" i="14" s="1"/>
  <c r="AN10" i="14"/>
  <c r="AM10" i="14"/>
  <c r="AO10" i="14" s="1"/>
  <c r="AH10" i="14"/>
  <c r="AB10" i="14"/>
  <c r="AC10" i="14" s="1"/>
  <c r="V10" i="14"/>
  <c r="W10" i="14" s="1"/>
  <c r="P10" i="14"/>
  <c r="R10" i="14" s="1"/>
  <c r="F10" i="14"/>
  <c r="I10" i="14" s="1"/>
  <c r="AN9" i="14"/>
  <c r="AM9" i="14"/>
  <c r="AO9" i="14" s="1"/>
  <c r="AH9" i="14"/>
  <c r="AB9" i="14"/>
  <c r="AE9" i="14" s="1"/>
  <c r="V9" i="14"/>
  <c r="P9" i="14"/>
  <c r="S9" i="14" s="1"/>
  <c r="F9" i="14"/>
  <c r="AN8" i="14"/>
  <c r="AM8" i="14"/>
  <c r="AO8" i="14" s="1"/>
  <c r="AH8" i="14"/>
  <c r="AB8" i="14"/>
  <c r="AE8" i="14" s="1"/>
  <c r="V8" i="14"/>
  <c r="X8" i="14" s="1"/>
  <c r="P8" i="14"/>
  <c r="R8" i="14" s="1"/>
  <c r="F8" i="14"/>
  <c r="H8" i="14" s="1"/>
  <c r="AN7" i="14"/>
  <c r="AM7" i="14"/>
  <c r="AO7" i="14" s="1"/>
  <c r="AH7" i="14"/>
  <c r="AB7" i="14"/>
  <c r="AE7" i="14" s="1"/>
  <c r="V7" i="14"/>
  <c r="W7" i="14" s="1"/>
  <c r="P7" i="14"/>
  <c r="S7" i="14" s="1"/>
  <c r="F7" i="14"/>
  <c r="AN6" i="14"/>
  <c r="AM6" i="14"/>
  <c r="AO6" i="14" s="1"/>
  <c r="AH6" i="14"/>
  <c r="AB6" i="14"/>
  <c r="AE6" i="14" s="1"/>
  <c r="V6" i="14"/>
  <c r="Y6" i="14" s="1"/>
  <c r="P6" i="14"/>
  <c r="R6" i="14" s="1"/>
  <c r="F6" i="14"/>
  <c r="I6" i="14" s="1"/>
  <c r="AN5" i="14"/>
  <c r="AM5" i="14"/>
  <c r="AO5" i="14" s="1"/>
  <c r="AH5" i="14"/>
  <c r="AB5" i="14"/>
  <c r="AE5" i="14" s="1"/>
  <c r="V5" i="14"/>
  <c r="X5" i="14" s="1"/>
  <c r="P5" i="14"/>
  <c r="S5" i="14" s="1"/>
  <c r="F5" i="14"/>
  <c r="H5" i="14" s="1"/>
  <c r="AN4" i="14"/>
  <c r="AM4" i="14"/>
  <c r="AO4" i="14" s="1"/>
  <c r="AH4" i="14"/>
  <c r="AB4" i="14"/>
  <c r="V4" i="14"/>
  <c r="X4" i="14" s="1"/>
  <c r="P4" i="14"/>
  <c r="R4" i="14" s="1"/>
  <c r="F4" i="14"/>
  <c r="H4" i="14" s="1"/>
  <c r="AN3" i="14"/>
  <c r="AM3" i="14"/>
  <c r="AO3" i="14" s="1"/>
  <c r="AH3" i="14"/>
  <c r="AB3" i="14"/>
  <c r="AE3" i="14" s="1"/>
  <c r="V3" i="14"/>
  <c r="W3" i="14" s="1"/>
  <c r="P3" i="14"/>
  <c r="S3" i="14" s="1"/>
  <c r="F3" i="14"/>
  <c r="L1" i="14"/>
  <c r="AN27" i="31"/>
  <c r="AM27" i="31"/>
  <c r="AO27" i="31" s="1"/>
  <c r="AH27" i="31"/>
  <c r="AB27" i="31"/>
  <c r="AC27" i="31" s="1"/>
  <c r="V27" i="31"/>
  <c r="P27" i="31"/>
  <c r="Q27" i="31" s="1"/>
  <c r="F27" i="31"/>
  <c r="G27" i="31" s="1"/>
  <c r="AN26" i="31"/>
  <c r="AM26" i="31"/>
  <c r="AO26" i="31" s="1"/>
  <c r="AH26" i="31"/>
  <c r="AB26" i="31"/>
  <c r="V26" i="31"/>
  <c r="P26" i="31"/>
  <c r="R26" i="31" s="1"/>
  <c r="F26" i="31"/>
  <c r="AN25" i="31"/>
  <c r="AM25" i="31"/>
  <c r="AO25" i="31" s="1"/>
  <c r="AH25" i="31"/>
  <c r="AB25" i="31"/>
  <c r="AD25" i="31" s="1"/>
  <c r="V25" i="31"/>
  <c r="P25" i="31"/>
  <c r="R25" i="31" s="1"/>
  <c r="F25" i="31"/>
  <c r="H25" i="31" s="1"/>
  <c r="AN24" i="31"/>
  <c r="AM24" i="31"/>
  <c r="AO24" i="31" s="1"/>
  <c r="AH24" i="31"/>
  <c r="AB24" i="31"/>
  <c r="V24" i="31"/>
  <c r="P24" i="31"/>
  <c r="R24" i="31" s="1"/>
  <c r="F24" i="31"/>
  <c r="AN23" i="31"/>
  <c r="AM23" i="31"/>
  <c r="AO23" i="31" s="1"/>
  <c r="AH23" i="31"/>
  <c r="AB23" i="31"/>
  <c r="AE23" i="31" s="1"/>
  <c r="V23" i="31"/>
  <c r="P23" i="31"/>
  <c r="F23" i="31"/>
  <c r="I23" i="31" s="1"/>
  <c r="AN22" i="31"/>
  <c r="AM22" i="31"/>
  <c r="AO22" i="31" s="1"/>
  <c r="AH22" i="31"/>
  <c r="AB22" i="31"/>
  <c r="AD22" i="31" s="1"/>
  <c r="V22" i="31"/>
  <c r="P22" i="31"/>
  <c r="R22" i="31" s="1"/>
  <c r="F22" i="31"/>
  <c r="AN21" i="31"/>
  <c r="AM21" i="31"/>
  <c r="AO21" i="31" s="1"/>
  <c r="AH21" i="31"/>
  <c r="AB21" i="31"/>
  <c r="AD21" i="31" s="1"/>
  <c r="V21" i="31"/>
  <c r="P21" i="31"/>
  <c r="R21" i="31" s="1"/>
  <c r="F21" i="31"/>
  <c r="H21" i="31" s="1"/>
  <c r="AN20" i="31"/>
  <c r="AM20" i="31"/>
  <c r="AO20" i="31" s="1"/>
  <c r="AH20" i="31"/>
  <c r="AB20" i="31"/>
  <c r="AD20" i="31" s="1"/>
  <c r="V20" i="31"/>
  <c r="P20" i="31"/>
  <c r="R20" i="31" s="1"/>
  <c r="F20" i="31"/>
  <c r="AN19" i="31"/>
  <c r="AM19" i="31"/>
  <c r="AO19" i="31" s="1"/>
  <c r="AH19" i="31"/>
  <c r="AB19" i="31"/>
  <c r="AE19" i="31" s="1"/>
  <c r="V19" i="31"/>
  <c r="P19" i="31"/>
  <c r="F19" i="31"/>
  <c r="I19" i="31" s="1"/>
  <c r="AN18" i="31"/>
  <c r="AM18" i="31"/>
  <c r="AO18" i="31" s="1"/>
  <c r="AH18" i="31"/>
  <c r="AB18" i="31"/>
  <c r="AD18" i="31" s="1"/>
  <c r="V18" i="31"/>
  <c r="P18" i="31"/>
  <c r="R18" i="31" s="1"/>
  <c r="F18" i="31"/>
  <c r="H18" i="31" s="1"/>
  <c r="AN17" i="31"/>
  <c r="AM17" i="31"/>
  <c r="AO17" i="31" s="1"/>
  <c r="AH17" i="31"/>
  <c r="AB17" i="31"/>
  <c r="AD17" i="31" s="1"/>
  <c r="V17" i="31"/>
  <c r="P17" i="31"/>
  <c r="R17" i="31" s="1"/>
  <c r="F17" i="31"/>
  <c r="H17" i="31" s="1"/>
  <c r="AN16" i="31"/>
  <c r="AM16" i="31"/>
  <c r="AO16" i="31" s="1"/>
  <c r="AH16" i="31"/>
  <c r="AB16" i="31"/>
  <c r="V16" i="31"/>
  <c r="P16" i="31"/>
  <c r="R16" i="31" s="1"/>
  <c r="F16" i="31"/>
  <c r="H16" i="31" s="1"/>
  <c r="AN15" i="31"/>
  <c r="AM15" i="31"/>
  <c r="AO15" i="31" s="1"/>
  <c r="AH15" i="31"/>
  <c r="AB15" i="31"/>
  <c r="V15" i="31"/>
  <c r="P15" i="31"/>
  <c r="S15" i="31" s="1"/>
  <c r="F15" i="31"/>
  <c r="G15" i="31" s="1"/>
  <c r="AN14" i="31"/>
  <c r="AM14" i="31"/>
  <c r="AO14" i="31" s="1"/>
  <c r="AH14" i="31"/>
  <c r="AB14" i="31"/>
  <c r="V14" i="31"/>
  <c r="P14" i="31"/>
  <c r="R14" i="31" s="1"/>
  <c r="F14" i="31"/>
  <c r="H14" i="31" s="1"/>
  <c r="AN13" i="31"/>
  <c r="AM13" i="31"/>
  <c r="AO13" i="31" s="1"/>
  <c r="AH13" i="31"/>
  <c r="AB13" i="31"/>
  <c r="AD13" i="31" s="1"/>
  <c r="V13" i="31"/>
  <c r="X13" i="31" s="1"/>
  <c r="P13" i="31"/>
  <c r="R13" i="31" s="1"/>
  <c r="F13" i="31"/>
  <c r="H13" i="31" s="1"/>
  <c r="AN12" i="31"/>
  <c r="AM12" i="31"/>
  <c r="AO12" i="31" s="1"/>
  <c r="AH12" i="31"/>
  <c r="AB12" i="31"/>
  <c r="V12" i="31"/>
  <c r="X12" i="31" s="1"/>
  <c r="P12" i="31"/>
  <c r="R12" i="31" s="1"/>
  <c r="F12" i="31"/>
  <c r="H12" i="31" s="1"/>
  <c r="AN11" i="31"/>
  <c r="AM11" i="31"/>
  <c r="AO11" i="31" s="1"/>
  <c r="AH11" i="31"/>
  <c r="AB11" i="31"/>
  <c r="AC11" i="31" s="1"/>
  <c r="V11" i="31"/>
  <c r="W11" i="31" s="1"/>
  <c r="P11" i="31"/>
  <c r="R11" i="31" s="1"/>
  <c r="F11" i="31"/>
  <c r="I11" i="31" s="1"/>
  <c r="AN10" i="31"/>
  <c r="AM10" i="31"/>
  <c r="AO10" i="31" s="1"/>
  <c r="AH10" i="31"/>
  <c r="AB10" i="31"/>
  <c r="V10" i="31"/>
  <c r="X10" i="31" s="1"/>
  <c r="P10" i="31"/>
  <c r="R10" i="31" s="1"/>
  <c r="F10" i="31"/>
  <c r="H10" i="31" s="1"/>
  <c r="AN9" i="31"/>
  <c r="AM9" i="31"/>
  <c r="AO9" i="31" s="1"/>
  <c r="AH9" i="31"/>
  <c r="AB9" i="31"/>
  <c r="AD9" i="31" s="1"/>
  <c r="V9" i="31"/>
  <c r="X9" i="31" s="1"/>
  <c r="P9" i="31"/>
  <c r="R9" i="31" s="1"/>
  <c r="F9" i="31"/>
  <c r="H9" i="31" s="1"/>
  <c r="AN8" i="31"/>
  <c r="AM8" i="31"/>
  <c r="AO8" i="31" s="1"/>
  <c r="AH8" i="31"/>
  <c r="AB8" i="31"/>
  <c r="V8" i="31"/>
  <c r="X8" i="31" s="1"/>
  <c r="P8" i="31"/>
  <c r="R8" i="31" s="1"/>
  <c r="F8" i="31"/>
  <c r="H8" i="31" s="1"/>
  <c r="AN7" i="31"/>
  <c r="AM7" i="31"/>
  <c r="AO7" i="31" s="1"/>
  <c r="AH7" i="31"/>
  <c r="AB7" i="31"/>
  <c r="AD7" i="31" s="1"/>
  <c r="V7" i="31"/>
  <c r="X7" i="31" s="1"/>
  <c r="P7" i="31"/>
  <c r="R7" i="31" s="1"/>
  <c r="F7" i="31"/>
  <c r="G7" i="31" s="1"/>
  <c r="AN6" i="31"/>
  <c r="AM6" i="31"/>
  <c r="AO6" i="31" s="1"/>
  <c r="AH6" i="31"/>
  <c r="AB6" i="31"/>
  <c r="V6" i="31"/>
  <c r="X6" i="31" s="1"/>
  <c r="P6" i="31"/>
  <c r="R6" i="31" s="1"/>
  <c r="F6" i="31"/>
  <c r="H6" i="31" s="1"/>
  <c r="AN5" i="31"/>
  <c r="AM5" i="31"/>
  <c r="AO5" i="31" s="1"/>
  <c r="AH5" i="31"/>
  <c r="AB5" i="31"/>
  <c r="AD5" i="31" s="1"/>
  <c r="V5" i="31"/>
  <c r="X5" i="31" s="1"/>
  <c r="P5" i="31"/>
  <c r="R5" i="31" s="1"/>
  <c r="F5" i="31"/>
  <c r="H5" i="31" s="1"/>
  <c r="AN4" i="31"/>
  <c r="AM4" i="31"/>
  <c r="AO4" i="31" s="1"/>
  <c r="AH4" i="31"/>
  <c r="AB4" i="31"/>
  <c r="V4" i="31"/>
  <c r="X4" i="31" s="1"/>
  <c r="P4" i="31"/>
  <c r="R4" i="31" s="1"/>
  <c r="F4" i="31"/>
  <c r="H4" i="31" s="1"/>
  <c r="AN3" i="31"/>
  <c r="AM3" i="31"/>
  <c r="AO3" i="31" s="1"/>
  <c r="AH3" i="31"/>
  <c r="AB3" i="31"/>
  <c r="AE3" i="31" s="1"/>
  <c r="V3" i="31"/>
  <c r="Y3" i="31" s="1"/>
  <c r="P3" i="31"/>
  <c r="R3" i="31" s="1"/>
  <c r="F3" i="31"/>
  <c r="G3" i="31" s="1"/>
  <c r="L1" i="31"/>
  <c r="AO27" i="32"/>
  <c r="AN27" i="32"/>
  <c r="AP27" i="32" s="1"/>
  <c r="AI27" i="32"/>
  <c r="AC27" i="32"/>
  <c r="AF27" i="32" s="1"/>
  <c r="W27" i="32"/>
  <c r="P27" i="32"/>
  <c r="F27" i="32"/>
  <c r="I27" i="32" s="1"/>
  <c r="AO26" i="32"/>
  <c r="AN26" i="32"/>
  <c r="AP26" i="32" s="1"/>
  <c r="AI26" i="32"/>
  <c r="AC26" i="32"/>
  <c r="W26" i="32"/>
  <c r="P26" i="32"/>
  <c r="R26" i="32" s="1"/>
  <c r="F26" i="32"/>
  <c r="AO25" i="32"/>
  <c r="AN25" i="32"/>
  <c r="AP25" i="32" s="1"/>
  <c r="AI25" i="32"/>
  <c r="AC25" i="32"/>
  <c r="AE25" i="32" s="1"/>
  <c r="W25" i="32"/>
  <c r="P25" i="32"/>
  <c r="R25" i="32" s="1"/>
  <c r="F25" i="32"/>
  <c r="H25" i="32" s="1"/>
  <c r="AO24" i="32"/>
  <c r="AN24" i="32"/>
  <c r="AP24" i="32" s="1"/>
  <c r="AI24" i="32"/>
  <c r="AC24" i="32"/>
  <c r="AD24" i="32" s="1"/>
  <c r="W24" i="32"/>
  <c r="P24" i="32"/>
  <c r="Q24" i="32" s="1"/>
  <c r="F24" i="32"/>
  <c r="G24" i="32" s="1"/>
  <c r="AO23" i="32"/>
  <c r="AN23" i="32"/>
  <c r="AP23" i="32" s="1"/>
  <c r="AI23" i="32"/>
  <c r="AC23" i="32"/>
  <c r="AD23" i="32" s="1"/>
  <c r="W23" i="32"/>
  <c r="P23" i="32"/>
  <c r="F23" i="32"/>
  <c r="G23" i="32" s="1"/>
  <c r="AO22" i="32"/>
  <c r="AN22" i="32"/>
  <c r="AP22" i="32" s="1"/>
  <c r="AI22" i="32"/>
  <c r="AC22" i="32"/>
  <c r="AF22" i="32" s="1"/>
  <c r="W22" i="32"/>
  <c r="P22" i="32"/>
  <c r="S22" i="32" s="1"/>
  <c r="F22" i="32"/>
  <c r="I22" i="32" s="1"/>
  <c r="AO21" i="32"/>
  <c r="AN21" i="32"/>
  <c r="AP21" i="32" s="1"/>
  <c r="AI21" i="32"/>
  <c r="AC21" i="32"/>
  <c r="AE21" i="32" s="1"/>
  <c r="W21" i="32"/>
  <c r="P21" i="32"/>
  <c r="R21" i="32" s="1"/>
  <c r="F21" i="32"/>
  <c r="H21" i="32" s="1"/>
  <c r="AO20" i="32"/>
  <c r="AN20" i="32"/>
  <c r="AP20" i="32" s="1"/>
  <c r="AI20" i="32"/>
  <c r="AC20" i="32"/>
  <c r="AD20" i="32" s="1"/>
  <c r="W20" i="32"/>
  <c r="P20" i="32"/>
  <c r="Q20" i="32" s="1"/>
  <c r="F20" i="32"/>
  <c r="G20" i="32" s="1"/>
  <c r="AO19" i="32"/>
  <c r="AN19" i="32"/>
  <c r="AP19" i="32" s="1"/>
  <c r="AI19" i="32"/>
  <c r="AC19" i="32"/>
  <c r="AD19" i="32" s="1"/>
  <c r="W19" i="32"/>
  <c r="P19" i="32"/>
  <c r="F19" i="32"/>
  <c r="G19" i="32" s="1"/>
  <c r="AO18" i="32"/>
  <c r="AN18" i="32"/>
  <c r="AP18" i="32" s="1"/>
  <c r="AI18" i="32"/>
  <c r="AC18" i="32"/>
  <c r="AF18" i="32" s="1"/>
  <c r="W18" i="32"/>
  <c r="P18" i="32"/>
  <c r="S18" i="32" s="1"/>
  <c r="F18" i="32"/>
  <c r="I18" i="32" s="1"/>
  <c r="AO17" i="32"/>
  <c r="AN17" i="32"/>
  <c r="AP17" i="32" s="1"/>
  <c r="AI17" i="32"/>
  <c r="AC17" i="32"/>
  <c r="AE17" i="32" s="1"/>
  <c r="W17" i="32"/>
  <c r="P17" i="32"/>
  <c r="R17" i="32" s="1"/>
  <c r="F17" i="32"/>
  <c r="H17" i="32" s="1"/>
  <c r="AO16" i="32"/>
  <c r="AN16" i="32"/>
  <c r="AP16" i="32" s="1"/>
  <c r="AI16" i="32"/>
  <c r="AC16" i="32"/>
  <c r="W16" i="32"/>
  <c r="P16" i="32"/>
  <c r="Q16" i="32" s="1"/>
  <c r="F16" i="32"/>
  <c r="G16" i="32" s="1"/>
  <c r="AO15" i="32"/>
  <c r="AN15" i="32"/>
  <c r="AP15" i="32" s="1"/>
  <c r="AI15" i="32"/>
  <c r="AC15" i="32"/>
  <c r="W15" i="32"/>
  <c r="P15" i="32"/>
  <c r="F15" i="32"/>
  <c r="G15" i="32" s="1"/>
  <c r="AO14" i="32"/>
  <c r="AN14" i="32"/>
  <c r="AP14" i="32" s="1"/>
  <c r="AI14" i="32"/>
  <c r="AC14" i="32"/>
  <c r="AF14" i="32" s="1"/>
  <c r="W14" i="32"/>
  <c r="P14" i="32"/>
  <c r="S14" i="32" s="1"/>
  <c r="F14" i="32"/>
  <c r="I14" i="32" s="1"/>
  <c r="AO13" i="32"/>
  <c r="AN13" i="32"/>
  <c r="AP13" i="32" s="1"/>
  <c r="AI13" i="32"/>
  <c r="AC13" i="32"/>
  <c r="AE13" i="32" s="1"/>
  <c r="W13" i="32"/>
  <c r="Y13" i="32" s="1"/>
  <c r="P13" i="32"/>
  <c r="R13" i="32" s="1"/>
  <c r="F13" i="32"/>
  <c r="H13" i="32" s="1"/>
  <c r="AO12" i="32"/>
  <c r="AN12" i="32"/>
  <c r="AP12" i="32" s="1"/>
  <c r="AI12" i="32"/>
  <c r="AC12" i="32"/>
  <c r="AD12" i="32" s="1"/>
  <c r="W12" i="32"/>
  <c r="X12" i="32" s="1"/>
  <c r="P12" i="32"/>
  <c r="Q12" i="32" s="1"/>
  <c r="F12" i="32"/>
  <c r="G12" i="32" s="1"/>
  <c r="AO11" i="32"/>
  <c r="AN11" i="32"/>
  <c r="AP11" i="32" s="1"/>
  <c r="AI11" i="32"/>
  <c r="AC11" i="32"/>
  <c r="AE11" i="32" s="1"/>
  <c r="W11" i="32"/>
  <c r="Y11" i="32" s="1"/>
  <c r="P11" i="32"/>
  <c r="F11" i="32"/>
  <c r="G11" i="32" s="1"/>
  <c r="AO10" i="32"/>
  <c r="AN10" i="32"/>
  <c r="AP10" i="32" s="1"/>
  <c r="AI10" i="32"/>
  <c r="AC10" i="32"/>
  <c r="AF10" i="32" s="1"/>
  <c r="W10" i="32"/>
  <c r="Z10" i="32" s="1"/>
  <c r="P10" i="32"/>
  <c r="S10" i="32" s="1"/>
  <c r="F10" i="32"/>
  <c r="AO9" i="32"/>
  <c r="AN9" i="32"/>
  <c r="AP9" i="32" s="1"/>
  <c r="AI9" i="32"/>
  <c r="AC9" i="32"/>
  <c r="W9" i="32"/>
  <c r="Y9" i="32" s="1"/>
  <c r="P9" i="32"/>
  <c r="R9" i="32" s="1"/>
  <c r="F9" i="32"/>
  <c r="H9" i="32" s="1"/>
  <c r="AO8" i="32"/>
  <c r="AN8" i="32"/>
  <c r="AP8" i="32" s="1"/>
  <c r="AI8" i="32"/>
  <c r="AC8" i="32"/>
  <c r="W8" i="32"/>
  <c r="X8" i="32" s="1"/>
  <c r="P8" i="32"/>
  <c r="S8" i="32" s="1"/>
  <c r="F8" i="32"/>
  <c r="AO7" i="32"/>
  <c r="AN7" i="32"/>
  <c r="AP7" i="32" s="1"/>
  <c r="AI7" i="32"/>
  <c r="AF7" i="32"/>
  <c r="AC7" i="32"/>
  <c r="AD7" i="32" s="1"/>
  <c r="W7" i="32"/>
  <c r="X7" i="32" s="1"/>
  <c r="P7" i="32"/>
  <c r="S7" i="32" s="1"/>
  <c r="F7" i="32"/>
  <c r="I7" i="32" s="1"/>
  <c r="AO6" i="32"/>
  <c r="AN6" i="32"/>
  <c r="AP6" i="32" s="1"/>
  <c r="AI6" i="32"/>
  <c r="AC6" i="32"/>
  <c r="AF6" i="32" s="1"/>
  <c r="W6" i="32"/>
  <c r="P6" i="32"/>
  <c r="S6" i="32" s="1"/>
  <c r="F6" i="32"/>
  <c r="I6" i="32" s="1"/>
  <c r="AO5" i="32"/>
  <c r="AN5" i="32"/>
  <c r="AP5" i="32" s="1"/>
  <c r="AI5" i="32"/>
  <c r="AC5" i="32"/>
  <c r="AE5" i="32" s="1"/>
  <c r="W5" i="32"/>
  <c r="Y5" i="32" s="1"/>
  <c r="P5" i="32"/>
  <c r="R5" i="32" s="1"/>
  <c r="F5" i="32"/>
  <c r="H5" i="32" s="1"/>
  <c r="AO4" i="32"/>
  <c r="AN4" i="32"/>
  <c r="AP4" i="32" s="1"/>
  <c r="AI4" i="32"/>
  <c r="AC4" i="32"/>
  <c r="AD4" i="32" s="1"/>
  <c r="W4" i="32"/>
  <c r="X4" i="32" s="1"/>
  <c r="P4" i="32"/>
  <c r="Q4" i="32" s="1"/>
  <c r="F4" i="32"/>
  <c r="G4" i="32" s="1"/>
  <c r="AO3" i="32"/>
  <c r="AN3" i="32"/>
  <c r="AP3" i="32" s="1"/>
  <c r="AI3" i="32"/>
  <c r="AC3" i="32"/>
  <c r="AD3" i="32" s="1"/>
  <c r="W3" i="32"/>
  <c r="X3" i="32" s="1"/>
  <c r="P3" i="32"/>
  <c r="S3" i="32" s="1"/>
  <c r="F3" i="32"/>
  <c r="G3" i="32" s="1"/>
  <c r="L1" i="32"/>
  <c r="AO333" i="29"/>
  <c r="AI333" i="29"/>
  <c r="AF333" i="29"/>
  <c r="AC333" i="29"/>
  <c r="AE333" i="29" s="1"/>
  <c r="W333" i="29"/>
  <c r="Y333" i="29" s="1"/>
  <c r="Q333" i="29"/>
  <c r="T333" i="29" s="1"/>
  <c r="J333" i="29"/>
  <c r="I333" i="29"/>
  <c r="H333" i="29"/>
  <c r="E333" i="29"/>
  <c r="AO332" i="29"/>
  <c r="AI332" i="29"/>
  <c r="AC332" i="29"/>
  <c r="W332" i="29"/>
  <c r="Q332" i="29"/>
  <c r="J332" i="29"/>
  <c r="I332" i="29"/>
  <c r="H332" i="29"/>
  <c r="AO331" i="29"/>
  <c r="AI331" i="29"/>
  <c r="AC331" i="29"/>
  <c r="AE331" i="29" s="1"/>
  <c r="W331" i="29"/>
  <c r="Q331" i="29"/>
  <c r="T331" i="29" s="1"/>
  <c r="J331" i="29"/>
  <c r="I331" i="29"/>
  <c r="H331" i="29"/>
  <c r="E331" i="29"/>
  <c r="AO330" i="29"/>
  <c r="AI330" i="29"/>
  <c r="AC330" i="29"/>
  <c r="W330" i="29"/>
  <c r="Z330" i="29" s="1"/>
  <c r="Q330" i="29"/>
  <c r="R330" i="29" s="1"/>
  <c r="J330" i="29"/>
  <c r="I330" i="29"/>
  <c r="H330" i="29"/>
  <c r="AO329" i="29"/>
  <c r="AI329" i="29"/>
  <c r="AC329" i="29"/>
  <c r="W329" i="29"/>
  <c r="Q329" i="29"/>
  <c r="T329" i="29" s="1"/>
  <c r="J329" i="29"/>
  <c r="I329" i="29"/>
  <c r="H329" i="29"/>
  <c r="E329" i="29"/>
  <c r="AO328" i="29"/>
  <c r="AI328" i="29"/>
  <c r="AE328" i="29"/>
  <c r="AC328" i="29"/>
  <c r="AD328" i="29" s="1"/>
  <c r="W328" i="29"/>
  <c r="Q328" i="29"/>
  <c r="J328" i="29"/>
  <c r="I328" i="29"/>
  <c r="H328" i="29"/>
  <c r="AO327" i="29"/>
  <c r="AI327" i="29"/>
  <c r="AC327" i="29"/>
  <c r="AF327" i="29" s="1"/>
  <c r="W327" i="29"/>
  <c r="Z327" i="29" s="1"/>
  <c r="Q327" i="29"/>
  <c r="J327" i="29"/>
  <c r="I327" i="29"/>
  <c r="H327" i="29"/>
  <c r="AO326" i="29"/>
  <c r="AI326" i="29"/>
  <c r="AC326" i="29"/>
  <c r="W326" i="29"/>
  <c r="Q326" i="29"/>
  <c r="J326" i="29"/>
  <c r="I326" i="29"/>
  <c r="H326" i="29"/>
  <c r="AO325" i="29"/>
  <c r="AI325" i="29"/>
  <c r="AC325" i="29"/>
  <c r="AF325" i="29" s="1"/>
  <c r="W325" i="29"/>
  <c r="Q325" i="29"/>
  <c r="J325" i="29"/>
  <c r="I325" i="29"/>
  <c r="H325" i="29"/>
  <c r="E325" i="29"/>
  <c r="AO324" i="29"/>
  <c r="AI324" i="29"/>
  <c r="AC324" i="29"/>
  <c r="W324" i="29"/>
  <c r="Y324" i="29" s="1"/>
  <c r="Q324" i="29"/>
  <c r="R324" i="29" s="1"/>
  <c r="J324" i="29"/>
  <c r="I324" i="29"/>
  <c r="H324" i="29"/>
  <c r="AO323" i="29"/>
  <c r="AI323" i="29"/>
  <c r="AC323" i="29"/>
  <c r="W323" i="29"/>
  <c r="Y323" i="29" s="1"/>
  <c r="Q323" i="29"/>
  <c r="T323" i="29" s="1"/>
  <c r="J323" i="29"/>
  <c r="I323" i="29"/>
  <c r="H323" i="29"/>
  <c r="AO322" i="29"/>
  <c r="AI322" i="29"/>
  <c r="AC322" i="29"/>
  <c r="AF322" i="29" s="1"/>
  <c r="W322" i="29"/>
  <c r="Q322" i="29"/>
  <c r="R322" i="29" s="1"/>
  <c r="J322" i="29"/>
  <c r="I322" i="29"/>
  <c r="H322" i="29"/>
  <c r="AO321" i="29"/>
  <c r="AI321" i="29"/>
  <c r="AC321" i="29"/>
  <c r="AF321" i="29" s="1"/>
  <c r="Y321" i="29"/>
  <c r="X321" i="29"/>
  <c r="W321" i="29"/>
  <c r="Z321" i="29" s="1"/>
  <c r="Q321" i="29"/>
  <c r="J321" i="29"/>
  <c r="I321" i="29"/>
  <c r="H321" i="29"/>
  <c r="E321" i="29"/>
  <c r="AO320" i="29"/>
  <c r="AI320" i="29"/>
  <c r="AC320" i="29"/>
  <c r="W320" i="29"/>
  <c r="Q320" i="29"/>
  <c r="R320" i="29" s="1"/>
  <c r="J320" i="29"/>
  <c r="I320" i="29"/>
  <c r="H320" i="29"/>
  <c r="AO319" i="29"/>
  <c r="AI319" i="29"/>
  <c r="AC319" i="29"/>
  <c r="W319" i="29"/>
  <c r="Q319" i="29"/>
  <c r="J319" i="29"/>
  <c r="I319" i="29"/>
  <c r="H319" i="29"/>
  <c r="E319" i="29"/>
  <c r="AO318" i="29"/>
  <c r="AI318" i="29"/>
  <c r="AC318" i="29"/>
  <c r="W318" i="29"/>
  <c r="X318" i="29" s="1"/>
  <c r="Q318" i="29"/>
  <c r="J318" i="29"/>
  <c r="I318" i="29"/>
  <c r="H318" i="29"/>
  <c r="AO317" i="29"/>
  <c r="AI317" i="29"/>
  <c r="AC317" i="29"/>
  <c r="W317" i="29"/>
  <c r="Q317" i="29"/>
  <c r="J317" i="29"/>
  <c r="I317" i="29"/>
  <c r="H317" i="29"/>
  <c r="AO316" i="29"/>
  <c r="AI316" i="29"/>
  <c r="AC316" i="29"/>
  <c r="W316" i="29"/>
  <c r="Q316" i="29"/>
  <c r="R316" i="29" s="1"/>
  <c r="J316" i="29"/>
  <c r="I316" i="29"/>
  <c r="H316" i="29"/>
  <c r="AO315" i="29"/>
  <c r="AI315" i="29"/>
  <c r="AC315" i="29"/>
  <c r="AE315" i="29" s="1"/>
  <c r="W315" i="29"/>
  <c r="Q315" i="29"/>
  <c r="J315" i="29"/>
  <c r="I315" i="29"/>
  <c r="H315" i="29"/>
  <c r="AO314" i="29"/>
  <c r="AI314" i="29"/>
  <c r="AC314" i="29"/>
  <c r="AF314" i="29" s="1"/>
  <c r="W314" i="29"/>
  <c r="Q314" i="29"/>
  <c r="R314" i="29" s="1"/>
  <c r="G314" i="29"/>
  <c r="AO313" i="29"/>
  <c r="AI313" i="29"/>
  <c r="AC313" i="29"/>
  <c r="W313" i="29"/>
  <c r="X313" i="29" s="1"/>
  <c r="Q313" i="29"/>
  <c r="S313" i="29" s="1"/>
  <c r="G313" i="29"/>
  <c r="E313" i="29"/>
  <c r="AO312" i="29"/>
  <c r="AI312" i="29"/>
  <c r="AC312" i="29"/>
  <c r="AD312" i="29" s="1"/>
  <c r="Z312" i="29"/>
  <c r="W312" i="29"/>
  <c r="X312" i="29" s="1"/>
  <c r="Q312" i="29"/>
  <c r="G312" i="29"/>
  <c r="AO311" i="29"/>
  <c r="AI311" i="29"/>
  <c r="AC311" i="29"/>
  <c r="W311" i="29"/>
  <c r="X311" i="29" s="1"/>
  <c r="Q311" i="29"/>
  <c r="S311" i="29" s="1"/>
  <c r="G311" i="29"/>
  <c r="I311" i="29" s="1"/>
  <c r="AO310" i="29"/>
  <c r="AI310" i="29"/>
  <c r="AC310" i="29"/>
  <c r="AE310" i="29" s="1"/>
  <c r="W310" i="29"/>
  <c r="Q310" i="29"/>
  <c r="R310" i="29" s="1"/>
  <c r="G310" i="29"/>
  <c r="E310" i="29"/>
  <c r="AO309" i="29"/>
  <c r="AI309" i="29"/>
  <c r="AC309" i="29"/>
  <c r="AF309" i="29" s="1"/>
  <c r="W309" i="29"/>
  <c r="Z309" i="29" s="1"/>
  <c r="Q309" i="29"/>
  <c r="S309" i="29" s="1"/>
  <c r="G309" i="29"/>
  <c r="E309" i="29"/>
  <c r="AO308" i="29"/>
  <c r="AI308" i="29"/>
  <c r="AC308" i="29"/>
  <c r="AD308" i="29" s="1"/>
  <c r="W308" i="29"/>
  <c r="X308" i="29" s="1"/>
  <c r="Q308" i="29"/>
  <c r="G308" i="29"/>
  <c r="AO307" i="29"/>
  <c r="AI307" i="29"/>
  <c r="AC307" i="29"/>
  <c r="W307" i="29"/>
  <c r="X307" i="29" s="1"/>
  <c r="Q307" i="29"/>
  <c r="S307" i="29" s="1"/>
  <c r="G307" i="29"/>
  <c r="AO306" i="29"/>
  <c r="AI306" i="29"/>
  <c r="AC306" i="29"/>
  <c r="AD306" i="29" s="1"/>
  <c r="W306" i="29"/>
  <c r="X306" i="29" s="1"/>
  <c r="Q306" i="29"/>
  <c r="G306" i="29"/>
  <c r="AO305" i="29"/>
  <c r="AI305" i="29"/>
  <c r="AC305" i="29"/>
  <c r="W305" i="29"/>
  <c r="X305" i="29" s="1"/>
  <c r="Q305" i="29"/>
  <c r="S305" i="29" s="1"/>
  <c r="G305" i="29"/>
  <c r="H305" i="29" s="1"/>
  <c r="E305" i="29"/>
  <c r="AO304" i="29"/>
  <c r="AI304" i="29"/>
  <c r="AC304" i="29"/>
  <c r="AF304" i="29" s="1"/>
  <c r="W304" i="29"/>
  <c r="Z304" i="29" s="1"/>
  <c r="Q304" i="29"/>
  <c r="R304" i="29" s="1"/>
  <c r="G304" i="29"/>
  <c r="AO303" i="29"/>
  <c r="AI303" i="29"/>
  <c r="AC303" i="29"/>
  <c r="AD303" i="29" s="1"/>
  <c r="W303" i="29"/>
  <c r="X303" i="29" s="1"/>
  <c r="Q303" i="29"/>
  <c r="G303" i="29"/>
  <c r="H303" i="29" s="1"/>
  <c r="E303" i="29"/>
  <c r="AO302" i="29"/>
  <c r="AI302" i="29"/>
  <c r="AC302" i="29"/>
  <c r="W302" i="29"/>
  <c r="Q302" i="29"/>
  <c r="R302" i="29" s="1"/>
  <c r="G302" i="29"/>
  <c r="H302" i="29" s="1"/>
  <c r="AO301" i="29"/>
  <c r="AI301" i="29"/>
  <c r="AC301" i="29"/>
  <c r="W301" i="29"/>
  <c r="X301" i="29" s="1"/>
  <c r="Q301" i="29"/>
  <c r="R301" i="29" s="1"/>
  <c r="G301" i="29"/>
  <c r="E301" i="29"/>
  <c r="AO300" i="29"/>
  <c r="AI300" i="29"/>
  <c r="AC300" i="29"/>
  <c r="AD300" i="29" s="1"/>
  <c r="W300" i="29"/>
  <c r="X300" i="29" s="1"/>
  <c r="Q300" i="29"/>
  <c r="R300" i="29" s="1"/>
  <c r="G300" i="29"/>
  <c r="H300" i="29" s="1"/>
  <c r="E300" i="29"/>
  <c r="AO299" i="29"/>
  <c r="AI299" i="29"/>
  <c r="AC299" i="29"/>
  <c r="AD299" i="29" s="1"/>
  <c r="W299" i="29"/>
  <c r="X299" i="29" s="1"/>
  <c r="Q299" i="29"/>
  <c r="R299" i="29" s="1"/>
  <c r="G299" i="29"/>
  <c r="E299" i="29"/>
  <c r="AO298" i="29"/>
  <c r="AI298" i="29"/>
  <c r="AC298" i="29"/>
  <c r="AD298" i="29" s="1"/>
  <c r="W298" i="29"/>
  <c r="Q298" i="29"/>
  <c r="R298" i="29" s="1"/>
  <c r="G298" i="29"/>
  <c r="H298" i="29" s="1"/>
  <c r="E298" i="29"/>
  <c r="AO297" i="29"/>
  <c r="AI297" i="29"/>
  <c r="AC297" i="29"/>
  <c r="AE297" i="29" s="1"/>
  <c r="W297" i="29"/>
  <c r="Q297" i="29"/>
  <c r="R297" i="29" s="1"/>
  <c r="G297" i="29"/>
  <c r="H297" i="29" s="1"/>
  <c r="E297" i="29"/>
  <c r="AO296" i="29"/>
  <c r="AI296" i="29"/>
  <c r="AC296" i="29"/>
  <c r="W296" i="29"/>
  <c r="Q296" i="29"/>
  <c r="R296" i="29" s="1"/>
  <c r="J296" i="29"/>
  <c r="I296" i="29"/>
  <c r="H296" i="29"/>
  <c r="E296" i="29"/>
  <c r="AO295" i="29"/>
  <c r="AI295" i="29"/>
  <c r="AC295" i="29"/>
  <c r="W295" i="29"/>
  <c r="X295" i="29" s="1"/>
  <c r="Q295" i="29"/>
  <c r="R295" i="29" s="1"/>
  <c r="G295" i="29"/>
  <c r="H295" i="29" s="1"/>
  <c r="E295" i="29"/>
  <c r="AO294" i="29"/>
  <c r="AI294" i="29"/>
  <c r="AC294" i="29"/>
  <c r="W294" i="29"/>
  <c r="X294" i="29" s="1"/>
  <c r="Q294" i="29"/>
  <c r="R294" i="29" s="1"/>
  <c r="G294" i="29"/>
  <c r="E294" i="29"/>
  <c r="AO293" i="29"/>
  <c r="AI293" i="29"/>
  <c r="AC293" i="29"/>
  <c r="AD293" i="29" s="1"/>
  <c r="W293" i="29"/>
  <c r="Q293" i="29"/>
  <c r="R293" i="29" s="1"/>
  <c r="G293" i="29"/>
  <c r="H293" i="29" s="1"/>
  <c r="E293" i="29"/>
  <c r="AO292" i="29"/>
  <c r="AI292" i="29"/>
  <c r="AC292" i="29"/>
  <c r="AE292" i="29" s="1"/>
  <c r="W292" i="29"/>
  <c r="X292" i="29" s="1"/>
  <c r="Q292" i="29"/>
  <c r="G292" i="29"/>
  <c r="H292" i="29" s="1"/>
  <c r="E292" i="29"/>
  <c r="AO291" i="29"/>
  <c r="AI291" i="29"/>
  <c r="AC291" i="29"/>
  <c r="W291" i="29"/>
  <c r="X291" i="29" s="1"/>
  <c r="Q291" i="29"/>
  <c r="J291" i="29"/>
  <c r="I291" i="29"/>
  <c r="H291" i="29"/>
  <c r="E291" i="29"/>
  <c r="AO290" i="29"/>
  <c r="AI290" i="29"/>
  <c r="AC290" i="29"/>
  <c r="W290" i="29"/>
  <c r="Q290" i="29"/>
  <c r="J290" i="29"/>
  <c r="I290" i="29"/>
  <c r="H290" i="29"/>
  <c r="E290" i="29"/>
  <c r="AO289" i="29"/>
  <c r="AI289" i="29"/>
  <c r="AC289" i="29"/>
  <c r="W289" i="29"/>
  <c r="Q289" i="29"/>
  <c r="J289" i="29"/>
  <c r="I289" i="29"/>
  <c r="H289" i="29"/>
  <c r="E289" i="29"/>
  <c r="AO288" i="29"/>
  <c r="AI288" i="29"/>
  <c r="AC288" i="29"/>
  <c r="AE288" i="29" s="1"/>
  <c r="W288" i="29"/>
  <c r="Z288" i="29" s="1"/>
  <c r="Q288" i="29"/>
  <c r="J288" i="29"/>
  <c r="I288" i="29"/>
  <c r="H288" i="29"/>
  <c r="E288" i="29"/>
  <c r="AO287" i="29"/>
  <c r="AI287" i="29"/>
  <c r="AC287" i="29"/>
  <c r="W287" i="29"/>
  <c r="Q287" i="29"/>
  <c r="J287" i="29"/>
  <c r="I287" i="29"/>
  <c r="H287" i="29"/>
  <c r="E287" i="29"/>
  <c r="AO286" i="29"/>
  <c r="AI286" i="29"/>
  <c r="AC286" i="29"/>
  <c r="AD286" i="29" s="1"/>
  <c r="W286" i="29"/>
  <c r="Q286" i="29"/>
  <c r="J286" i="29"/>
  <c r="I286" i="29"/>
  <c r="H286" i="29"/>
  <c r="E286" i="29"/>
  <c r="AO285" i="29"/>
  <c r="AI285" i="29"/>
  <c r="AC285" i="29"/>
  <c r="AD285" i="29" s="1"/>
  <c r="W285" i="29"/>
  <c r="Z285" i="29" s="1"/>
  <c r="Q285" i="29"/>
  <c r="J285" i="29"/>
  <c r="I285" i="29"/>
  <c r="H285" i="29"/>
  <c r="E285" i="29"/>
  <c r="AO284" i="29"/>
  <c r="AI284" i="29"/>
  <c r="AC284" i="29"/>
  <c r="W284" i="29"/>
  <c r="Z284" i="29" s="1"/>
  <c r="Q284" i="29"/>
  <c r="J284" i="29"/>
  <c r="I284" i="29"/>
  <c r="H284" i="29"/>
  <c r="E284" i="29"/>
  <c r="AO283" i="29"/>
  <c r="AI283" i="29"/>
  <c r="AC283" i="29"/>
  <c r="W283" i="29"/>
  <c r="Z283" i="29" s="1"/>
  <c r="Q283" i="29"/>
  <c r="J283" i="29"/>
  <c r="I283" i="29"/>
  <c r="H283" i="29"/>
  <c r="AO282" i="29"/>
  <c r="AI282" i="29"/>
  <c r="AC282" i="29"/>
  <c r="W282" i="29"/>
  <c r="Z282" i="29" s="1"/>
  <c r="Q282" i="29"/>
  <c r="S282" i="29" s="1"/>
  <c r="J282" i="29"/>
  <c r="I282" i="29"/>
  <c r="H282" i="29"/>
  <c r="AO281" i="29"/>
  <c r="AI281" i="29"/>
  <c r="AC281" i="29"/>
  <c r="AF281" i="29" s="1"/>
  <c r="W281" i="29"/>
  <c r="Y281" i="29" s="1"/>
  <c r="Q281" i="29"/>
  <c r="S281" i="29" s="1"/>
  <c r="J281" i="29"/>
  <c r="I281" i="29"/>
  <c r="H281" i="29"/>
  <c r="AO280" i="29"/>
  <c r="AI280" i="29"/>
  <c r="AC280" i="29"/>
  <c r="AE280" i="29" s="1"/>
  <c r="W280" i="29"/>
  <c r="Z280" i="29" s="1"/>
  <c r="Q280" i="29"/>
  <c r="S280" i="29" s="1"/>
  <c r="J280" i="29"/>
  <c r="I280" i="29"/>
  <c r="H280" i="29"/>
  <c r="AO279" i="29"/>
  <c r="AI279" i="29"/>
  <c r="AC279" i="29"/>
  <c r="AF279" i="29" s="1"/>
  <c r="W279" i="29"/>
  <c r="Q279" i="29"/>
  <c r="S279" i="29" s="1"/>
  <c r="J279" i="29"/>
  <c r="I279" i="29"/>
  <c r="H279" i="29"/>
  <c r="AO278" i="29"/>
  <c r="AI278" i="29"/>
  <c r="AC278" i="29"/>
  <c r="W278" i="29"/>
  <c r="Y278" i="29" s="1"/>
  <c r="Q278" i="29"/>
  <c r="S278" i="29" s="1"/>
  <c r="J278" i="29"/>
  <c r="I278" i="29"/>
  <c r="H278" i="29"/>
  <c r="AO277" i="29"/>
  <c r="AI277" i="29"/>
  <c r="AC277" i="29"/>
  <c r="AE277" i="29" s="1"/>
  <c r="W277" i="29"/>
  <c r="Y277" i="29" s="1"/>
  <c r="Q277" i="29"/>
  <c r="S277" i="29" s="1"/>
  <c r="J277" i="29"/>
  <c r="I277" i="29"/>
  <c r="H277" i="29"/>
  <c r="AO276" i="29"/>
  <c r="AI276" i="29"/>
  <c r="AC276" i="29"/>
  <c r="W276" i="29"/>
  <c r="Z276" i="29" s="1"/>
  <c r="Q276" i="29"/>
  <c r="S276" i="29" s="1"/>
  <c r="J276" i="29"/>
  <c r="I276" i="29"/>
  <c r="H276" i="29"/>
  <c r="AO275" i="29"/>
  <c r="AI275" i="29"/>
  <c r="AC275" i="29"/>
  <c r="AE275" i="29" s="1"/>
  <c r="W275" i="29"/>
  <c r="Q275" i="29"/>
  <c r="J275" i="29"/>
  <c r="I275" i="29"/>
  <c r="H275" i="29"/>
  <c r="E275" i="29"/>
  <c r="AO274" i="29"/>
  <c r="AI274" i="29"/>
  <c r="AC274" i="29"/>
  <c r="AE274" i="29" s="1"/>
  <c r="W274" i="29"/>
  <c r="Y274" i="29" s="1"/>
  <c r="Q274" i="29"/>
  <c r="J274" i="29"/>
  <c r="I274" i="29"/>
  <c r="H274" i="29"/>
  <c r="E274" i="29"/>
  <c r="AO273" i="29"/>
  <c r="AI273" i="29"/>
  <c r="AC273" i="29"/>
  <c r="W273" i="29"/>
  <c r="Y273" i="29" s="1"/>
  <c r="Q273" i="29"/>
  <c r="J273" i="29"/>
  <c r="I273" i="29"/>
  <c r="H273" i="29"/>
  <c r="E273" i="29"/>
  <c r="AO272" i="29"/>
  <c r="AI272" i="29"/>
  <c r="AC272" i="29"/>
  <c r="AE272" i="29" s="1"/>
  <c r="W272" i="29"/>
  <c r="Z272" i="29" s="1"/>
  <c r="Q272" i="29"/>
  <c r="J272" i="29"/>
  <c r="I272" i="29"/>
  <c r="H272" i="29"/>
  <c r="E272" i="29"/>
  <c r="AO271" i="29"/>
  <c r="AI271" i="29"/>
  <c r="AC271" i="29"/>
  <c r="AF271" i="29" s="1"/>
  <c r="W271" i="29"/>
  <c r="Q271" i="29"/>
  <c r="J271" i="29"/>
  <c r="I271" i="29"/>
  <c r="H271" i="29"/>
  <c r="E271" i="29"/>
  <c r="AO270" i="29"/>
  <c r="AI270" i="29"/>
  <c r="AC270" i="29"/>
  <c r="AF270" i="29" s="1"/>
  <c r="W270" i="29"/>
  <c r="Z270" i="29" s="1"/>
  <c r="Q270" i="29"/>
  <c r="R270" i="29" s="1"/>
  <c r="J270" i="29"/>
  <c r="I270" i="29"/>
  <c r="H270" i="29"/>
  <c r="E270" i="29"/>
  <c r="AO269" i="29"/>
  <c r="AI269" i="29"/>
  <c r="AC269" i="29"/>
  <c r="W269" i="29"/>
  <c r="Z269" i="29" s="1"/>
  <c r="Q269" i="29"/>
  <c r="J269" i="29"/>
  <c r="I269" i="29"/>
  <c r="H269" i="29"/>
  <c r="E269" i="29"/>
  <c r="AO268" i="29"/>
  <c r="AI268" i="29"/>
  <c r="AC268" i="29"/>
  <c r="AD268" i="29" s="1"/>
  <c r="W268" i="29"/>
  <c r="Y268" i="29" s="1"/>
  <c r="Q268" i="29"/>
  <c r="J268" i="29"/>
  <c r="I268" i="29"/>
  <c r="H268" i="29"/>
  <c r="E268" i="29"/>
  <c r="AO267" i="29"/>
  <c r="AI267" i="29"/>
  <c r="AC267" i="29"/>
  <c r="AD267" i="29" s="1"/>
  <c r="W267" i="29"/>
  <c r="Q267" i="29"/>
  <c r="J267" i="29"/>
  <c r="I267" i="29"/>
  <c r="H267" i="29"/>
  <c r="E267" i="29"/>
  <c r="AO266" i="29"/>
  <c r="AI266" i="29"/>
  <c r="AC266" i="29"/>
  <c r="AF266" i="29" s="1"/>
  <c r="W266" i="29"/>
  <c r="Z266" i="29" s="1"/>
  <c r="Q266" i="29"/>
  <c r="T266" i="29" s="1"/>
  <c r="J266" i="29"/>
  <c r="I266" i="29"/>
  <c r="H266" i="29"/>
  <c r="E266" i="29"/>
  <c r="AO265" i="29"/>
  <c r="AI265" i="29"/>
  <c r="AC265" i="29"/>
  <c r="AE265" i="29" s="1"/>
  <c r="W265" i="29"/>
  <c r="Y265" i="29" s="1"/>
  <c r="Q265" i="29"/>
  <c r="T265" i="29" s="1"/>
  <c r="J265" i="29"/>
  <c r="I265" i="29"/>
  <c r="H265" i="29"/>
  <c r="E265" i="29"/>
  <c r="AO264" i="29"/>
  <c r="AI264" i="29"/>
  <c r="AC264" i="29"/>
  <c r="AE264" i="29" s="1"/>
  <c r="W264" i="29"/>
  <c r="Z264" i="29" s="1"/>
  <c r="Q264" i="29"/>
  <c r="J264" i="29"/>
  <c r="I264" i="29"/>
  <c r="H264" i="29"/>
  <c r="E264" i="29"/>
  <c r="AO263" i="29"/>
  <c r="AI263" i="29"/>
  <c r="AC263" i="29"/>
  <c r="AF263" i="29" s="1"/>
  <c r="W263" i="29"/>
  <c r="Z263" i="29" s="1"/>
  <c r="Q263" i="29"/>
  <c r="R263" i="29" s="1"/>
  <c r="J263" i="29"/>
  <c r="I263" i="29"/>
  <c r="H263" i="29"/>
  <c r="E263" i="29"/>
  <c r="AO262" i="29"/>
  <c r="AI262" i="29"/>
  <c r="AC262" i="29"/>
  <c r="AF262" i="29" s="1"/>
  <c r="W262" i="29"/>
  <c r="Z262" i="29" s="1"/>
  <c r="Q262" i="29"/>
  <c r="T262" i="29" s="1"/>
  <c r="J262" i="29"/>
  <c r="I262" i="29"/>
  <c r="H262" i="29"/>
  <c r="E262" i="29"/>
  <c r="AO261" i="29"/>
  <c r="AI261" i="29"/>
  <c r="AC261" i="29"/>
  <c r="AD261" i="29" s="1"/>
  <c r="W261" i="29"/>
  <c r="Q261" i="29"/>
  <c r="J261" i="29"/>
  <c r="I261" i="29"/>
  <c r="H261" i="29"/>
  <c r="AO260" i="29"/>
  <c r="AI260" i="29"/>
  <c r="AC260" i="29"/>
  <c r="W260" i="29"/>
  <c r="Z260" i="29" s="1"/>
  <c r="Q260" i="29"/>
  <c r="T260" i="29" s="1"/>
  <c r="J260" i="29"/>
  <c r="I260" i="29"/>
  <c r="H260" i="29"/>
  <c r="E260" i="29"/>
  <c r="AO259" i="29"/>
  <c r="AI259" i="29"/>
  <c r="AC259" i="29"/>
  <c r="AE259" i="29" s="1"/>
  <c r="W259" i="29"/>
  <c r="Y259" i="29" s="1"/>
  <c r="Q259" i="29"/>
  <c r="S259" i="29" s="1"/>
  <c r="J259" i="29"/>
  <c r="I259" i="29"/>
  <c r="H259" i="29"/>
  <c r="E259" i="29"/>
  <c r="AO258" i="29"/>
  <c r="AI258" i="29"/>
  <c r="AC258" i="29"/>
  <c r="AD258" i="29" s="1"/>
  <c r="W258" i="29"/>
  <c r="Q258" i="29"/>
  <c r="T258" i="29" s="1"/>
  <c r="J258" i="29"/>
  <c r="I258" i="29"/>
  <c r="H258" i="29"/>
  <c r="E258" i="29"/>
  <c r="AO257" i="29"/>
  <c r="AI257" i="29"/>
  <c r="AC257" i="29"/>
  <c r="AE257" i="29" s="1"/>
  <c r="W257" i="29"/>
  <c r="Y257" i="29" s="1"/>
  <c r="Q257" i="29"/>
  <c r="T257" i="29" s="1"/>
  <c r="J257" i="29"/>
  <c r="I257" i="29"/>
  <c r="H257" i="29"/>
  <c r="AO256" i="29"/>
  <c r="AI256" i="29"/>
  <c r="AC256" i="29"/>
  <c r="AD256" i="29" s="1"/>
  <c r="W256" i="29"/>
  <c r="X256" i="29" s="1"/>
  <c r="Q256" i="29"/>
  <c r="T256" i="29" s="1"/>
  <c r="J256" i="29"/>
  <c r="I256" i="29"/>
  <c r="H256" i="29"/>
  <c r="E256" i="29"/>
  <c r="AO255" i="29"/>
  <c r="AI255" i="29"/>
  <c r="AC255" i="29"/>
  <c r="AD255" i="29" s="1"/>
  <c r="W255" i="29"/>
  <c r="X255" i="29" s="1"/>
  <c r="Q255" i="29"/>
  <c r="J255" i="29"/>
  <c r="I255" i="29"/>
  <c r="H255" i="29"/>
  <c r="E255" i="29"/>
  <c r="AO254" i="29"/>
  <c r="AI254" i="29"/>
  <c r="AC254" i="29"/>
  <c r="W254" i="29"/>
  <c r="Y254" i="29" s="1"/>
  <c r="Q254" i="29"/>
  <c r="T254" i="29" s="1"/>
  <c r="J254" i="29"/>
  <c r="I254" i="29"/>
  <c r="H254" i="29"/>
  <c r="E254" i="29"/>
  <c r="AO253" i="29"/>
  <c r="AI253" i="29"/>
  <c r="AC253" i="29"/>
  <c r="AE253" i="29" s="1"/>
  <c r="W253" i="29"/>
  <c r="Q253" i="29"/>
  <c r="T253" i="29" s="1"/>
  <c r="J253" i="29"/>
  <c r="I253" i="29"/>
  <c r="H253" i="29"/>
  <c r="AO252" i="29"/>
  <c r="AI252" i="29"/>
  <c r="AC252" i="29"/>
  <c r="AF252" i="29" s="1"/>
  <c r="W252" i="29"/>
  <c r="Q252" i="29"/>
  <c r="J252" i="29"/>
  <c r="I252" i="29"/>
  <c r="H252" i="29"/>
  <c r="E252" i="29"/>
  <c r="AO251" i="29"/>
  <c r="AI251" i="29"/>
  <c r="AC251" i="29"/>
  <c r="W251" i="29"/>
  <c r="Z251" i="29" s="1"/>
  <c r="Q251" i="29"/>
  <c r="J251" i="29"/>
  <c r="I251" i="29"/>
  <c r="H251" i="29"/>
  <c r="E251" i="29"/>
  <c r="AO250" i="29"/>
  <c r="AI250" i="29"/>
  <c r="AC250" i="29"/>
  <c r="AF250" i="29" s="1"/>
  <c r="W250" i="29"/>
  <c r="Z250" i="29" s="1"/>
  <c r="Q250" i="29"/>
  <c r="T250" i="29" s="1"/>
  <c r="J250" i="29"/>
  <c r="I250" i="29"/>
  <c r="H250" i="29"/>
  <c r="E250" i="29"/>
  <c r="AO249" i="29"/>
  <c r="AI249" i="29"/>
  <c r="AC249" i="29"/>
  <c r="W249" i="29"/>
  <c r="X249" i="29" s="1"/>
  <c r="Q249" i="29"/>
  <c r="T249" i="29" s="1"/>
  <c r="J249" i="29"/>
  <c r="I249" i="29"/>
  <c r="H249" i="29"/>
  <c r="AO248" i="29"/>
  <c r="AI248" i="29"/>
  <c r="AC248" i="29"/>
  <c r="AD248" i="29" s="1"/>
  <c r="W248" i="29"/>
  <c r="Q248" i="29"/>
  <c r="T248" i="29" s="1"/>
  <c r="J248" i="29"/>
  <c r="I248" i="29"/>
  <c r="H248" i="29"/>
  <c r="E248" i="29"/>
  <c r="AO247" i="29"/>
  <c r="AI247" i="29"/>
  <c r="AC247" i="29"/>
  <c r="W247" i="29"/>
  <c r="Q247" i="29"/>
  <c r="T247" i="29" s="1"/>
  <c r="J247" i="29"/>
  <c r="I247" i="29"/>
  <c r="H247" i="29"/>
  <c r="E247" i="29"/>
  <c r="AO246" i="29"/>
  <c r="AI246" i="29"/>
  <c r="AC246" i="29"/>
  <c r="AF246" i="29" s="1"/>
  <c r="W246" i="29"/>
  <c r="Z246" i="29" s="1"/>
  <c r="Q246" i="29"/>
  <c r="T246" i="29" s="1"/>
  <c r="J246" i="29"/>
  <c r="I246" i="29"/>
  <c r="H246" i="29"/>
  <c r="E246" i="29"/>
  <c r="AO245" i="29"/>
  <c r="AI245" i="29"/>
  <c r="AC245" i="29"/>
  <c r="W245" i="29"/>
  <c r="Q245" i="29"/>
  <c r="J245" i="29"/>
  <c r="I245" i="29"/>
  <c r="H245" i="29"/>
  <c r="AO244" i="29"/>
  <c r="AI244" i="29"/>
  <c r="AC244" i="29"/>
  <c r="W244" i="29"/>
  <c r="Q244" i="29"/>
  <c r="J244" i="29"/>
  <c r="I244" i="29"/>
  <c r="H244" i="29"/>
  <c r="E244" i="29"/>
  <c r="AO243" i="29"/>
  <c r="AI243" i="29"/>
  <c r="AC243" i="29"/>
  <c r="W243" i="29"/>
  <c r="Y243" i="29" s="1"/>
  <c r="Q243" i="29"/>
  <c r="G243" i="29"/>
  <c r="I243" i="29" s="1"/>
  <c r="AO242" i="29"/>
  <c r="AI242" i="29"/>
  <c r="AC242" i="29"/>
  <c r="AF242" i="29" s="1"/>
  <c r="W242" i="29"/>
  <c r="Q242" i="29"/>
  <c r="J242" i="29"/>
  <c r="I242" i="29"/>
  <c r="H242" i="29"/>
  <c r="E242" i="29"/>
  <c r="AO241" i="29"/>
  <c r="AI241" i="29"/>
  <c r="AC241" i="29"/>
  <c r="AE241" i="29" s="1"/>
  <c r="W241" i="29"/>
  <c r="Y241" i="29" s="1"/>
  <c r="Q241" i="29"/>
  <c r="J241" i="29"/>
  <c r="I241" i="29"/>
  <c r="H241" i="29"/>
  <c r="E241" i="29"/>
  <c r="AO240" i="29"/>
  <c r="AI240" i="29"/>
  <c r="AC240" i="29"/>
  <c r="W240" i="29"/>
  <c r="Q240" i="29"/>
  <c r="T240" i="29" s="1"/>
  <c r="J240" i="29"/>
  <c r="I240" i="29"/>
  <c r="H240" i="29"/>
  <c r="E240" i="29"/>
  <c r="AO239" i="29"/>
  <c r="AI239" i="29"/>
  <c r="AC239" i="29"/>
  <c r="W239" i="29"/>
  <c r="Q239" i="29"/>
  <c r="T239" i="29" s="1"/>
  <c r="J239" i="29"/>
  <c r="I239" i="29"/>
  <c r="H239" i="29"/>
  <c r="AO238" i="29"/>
  <c r="AI238" i="29"/>
  <c r="AC238" i="29"/>
  <c r="W238" i="29"/>
  <c r="Q238" i="29"/>
  <c r="T238" i="29" s="1"/>
  <c r="J238" i="29"/>
  <c r="I238" i="29"/>
  <c r="H238" i="29"/>
  <c r="E238" i="29"/>
  <c r="AO237" i="29"/>
  <c r="AI237" i="29"/>
  <c r="AC237" i="29"/>
  <c r="W237" i="29"/>
  <c r="Q237" i="29"/>
  <c r="G237" i="29"/>
  <c r="AO236" i="29"/>
  <c r="AI236" i="29"/>
  <c r="AC236" i="29"/>
  <c r="W236" i="29"/>
  <c r="X236" i="29" s="1"/>
  <c r="Q236" i="29"/>
  <c r="G236" i="29"/>
  <c r="H236" i="29" s="1"/>
  <c r="AO235" i="29"/>
  <c r="AI235" i="29"/>
  <c r="AC235" i="29"/>
  <c r="AF235" i="29" s="1"/>
  <c r="W235" i="29"/>
  <c r="Z235" i="29" s="1"/>
  <c r="Q235" i="29"/>
  <c r="S235" i="29" s="1"/>
  <c r="G235" i="29"/>
  <c r="AO234" i="29"/>
  <c r="AI234" i="29"/>
  <c r="AC234" i="29"/>
  <c r="W234" i="29"/>
  <c r="X234" i="29" s="1"/>
  <c r="Q234" i="29"/>
  <c r="T234" i="29" s="1"/>
  <c r="G234" i="29"/>
  <c r="E234" i="29"/>
  <c r="AO233" i="29"/>
  <c r="AI233" i="29"/>
  <c r="AC233" i="29"/>
  <c r="W233" i="29"/>
  <c r="Z233" i="29" s="1"/>
  <c r="Q233" i="29"/>
  <c r="T233" i="29" s="1"/>
  <c r="G233" i="29"/>
  <c r="AO232" i="29"/>
  <c r="AI232" i="29"/>
  <c r="AC232" i="29"/>
  <c r="AD232" i="29" s="1"/>
  <c r="W232" i="29"/>
  <c r="X232" i="29" s="1"/>
  <c r="Q232" i="29"/>
  <c r="S232" i="29" s="1"/>
  <c r="G232" i="29"/>
  <c r="H232" i="29" s="1"/>
  <c r="AO231" i="29"/>
  <c r="AI231" i="29"/>
  <c r="AC231" i="29"/>
  <c r="AF231" i="29" s="1"/>
  <c r="W231" i="29"/>
  <c r="Q231" i="29"/>
  <c r="S231" i="29" s="1"/>
  <c r="G231" i="29"/>
  <c r="J231" i="29" s="1"/>
  <c r="E231" i="29"/>
  <c r="AO230" i="29"/>
  <c r="AI230" i="29"/>
  <c r="AC230" i="29"/>
  <c r="W230" i="29"/>
  <c r="Q230" i="29"/>
  <c r="T230" i="29" s="1"/>
  <c r="J230" i="29"/>
  <c r="I230" i="29"/>
  <c r="H230" i="29"/>
  <c r="E230" i="29"/>
  <c r="AO229" i="29"/>
  <c r="AI229" i="29"/>
  <c r="AC229" i="29"/>
  <c r="AD229" i="29" s="1"/>
  <c r="W229" i="29"/>
  <c r="Q229" i="29"/>
  <c r="T229" i="29" s="1"/>
  <c r="J229" i="29"/>
  <c r="I229" i="29"/>
  <c r="H229" i="29"/>
  <c r="E229" i="29"/>
  <c r="AO228" i="29"/>
  <c r="AI228" i="29"/>
  <c r="AC228" i="29"/>
  <c r="W228" i="29"/>
  <c r="Y228" i="29" s="1"/>
  <c r="Q228" i="29"/>
  <c r="T228" i="29" s="1"/>
  <c r="J228" i="29"/>
  <c r="I228" i="29"/>
  <c r="H228" i="29"/>
  <c r="AO227" i="29"/>
  <c r="AI227" i="29"/>
  <c r="AC227" i="29"/>
  <c r="AD227" i="29" s="1"/>
  <c r="W227" i="29"/>
  <c r="Q227" i="29"/>
  <c r="T227" i="29" s="1"/>
  <c r="J227" i="29"/>
  <c r="I227" i="29"/>
  <c r="H227" i="29"/>
  <c r="E227" i="29"/>
  <c r="AO226" i="29"/>
  <c r="AI226" i="29"/>
  <c r="AC226" i="29"/>
  <c r="W226" i="29"/>
  <c r="Y226" i="29" s="1"/>
  <c r="Q226" i="29"/>
  <c r="T226" i="29" s="1"/>
  <c r="J226" i="29"/>
  <c r="I226" i="29"/>
  <c r="H226" i="29"/>
  <c r="AO225" i="29"/>
  <c r="AI225" i="29"/>
  <c r="AC225" i="29"/>
  <c r="AD225" i="29" s="1"/>
  <c r="W225" i="29"/>
  <c r="Q225" i="29"/>
  <c r="T225" i="29" s="1"/>
  <c r="J225" i="29"/>
  <c r="I225" i="29"/>
  <c r="H225" i="29"/>
  <c r="E225" i="29"/>
  <c r="AO224" i="29"/>
  <c r="AI224" i="29"/>
  <c r="AC224" i="29"/>
  <c r="W224" i="29"/>
  <c r="Y224" i="29" s="1"/>
  <c r="Q224" i="29"/>
  <c r="J224" i="29"/>
  <c r="I224" i="29"/>
  <c r="H224" i="29"/>
  <c r="AO223" i="29"/>
  <c r="AI223" i="29"/>
  <c r="AC223" i="29"/>
  <c r="AD223" i="29" s="1"/>
  <c r="W223" i="29"/>
  <c r="Q223" i="29"/>
  <c r="J223" i="29"/>
  <c r="I223" i="29"/>
  <c r="H223" i="29"/>
  <c r="E223" i="29"/>
  <c r="AO222" i="29"/>
  <c r="AI222" i="29"/>
  <c r="AC222" i="29"/>
  <c r="W222" i="29"/>
  <c r="Y222" i="29" s="1"/>
  <c r="Q222" i="29"/>
  <c r="T222" i="29" s="1"/>
  <c r="J222" i="29"/>
  <c r="I222" i="29"/>
  <c r="H222" i="29"/>
  <c r="AO221" i="29"/>
  <c r="AI221" i="29"/>
  <c r="AC221" i="29"/>
  <c r="AD221" i="29" s="1"/>
  <c r="W221" i="29"/>
  <c r="Q221" i="29"/>
  <c r="J221" i="29"/>
  <c r="I221" i="29"/>
  <c r="H221" i="29"/>
  <c r="E221" i="29"/>
  <c r="AO220" i="29"/>
  <c r="AI220" i="29"/>
  <c r="AC220" i="29"/>
  <c r="W220" i="29"/>
  <c r="Y220" i="29" s="1"/>
  <c r="Q220" i="29"/>
  <c r="J220" i="29"/>
  <c r="I220" i="29"/>
  <c r="H220" i="29"/>
  <c r="AO219" i="29"/>
  <c r="AI219" i="29"/>
  <c r="AC219" i="29"/>
  <c r="AD219" i="29" s="1"/>
  <c r="W219" i="29"/>
  <c r="Q219" i="29"/>
  <c r="J219" i="29"/>
  <c r="I219" i="29"/>
  <c r="H219" i="29"/>
  <c r="E219" i="29"/>
  <c r="AO218" i="29"/>
  <c r="AI218" i="29"/>
  <c r="AC218" i="29"/>
  <c r="W218" i="29"/>
  <c r="Y218" i="29" s="1"/>
  <c r="Q218" i="29"/>
  <c r="T218" i="29" s="1"/>
  <c r="J218" i="29"/>
  <c r="I218" i="29"/>
  <c r="H218" i="29"/>
  <c r="AO217" i="29"/>
  <c r="AI217" i="29"/>
  <c r="AC217" i="29"/>
  <c r="AD217" i="29" s="1"/>
  <c r="W217" i="29"/>
  <c r="Q217" i="29"/>
  <c r="J217" i="29"/>
  <c r="I217" i="29"/>
  <c r="H217" i="29"/>
  <c r="E217" i="29"/>
  <c r="AO216" i="29"/>
  <c r="AI216" i="29"/>
  <c r="AC216" i="29"/>
  <c r="W216" i="29"/>
  <c r="Y216" i="29" s="1"/>
  <c r="Q216" i="29"/>
  <c r="J216" i="29"/>
  <c r="I216" i="29"/>
  <c r="H216" i="29"/>
  <c r="AO215" i="29"/>
  <c r="AI215" i="29"/>
  <c r="AC215" i="29"/>
  <c r="AD215" i="29" s="1"/>
  <c r="W215" i="29"/>
  <c r="Q215" i="29"/>
  <c r="J215" i="29"/>
  <c r="I215" i="29"/>
  <c r="H215" i="29"/>
  <c r="E215" i="29"/>
  <c r="AO214" i="29"/>
  <c r="AI214" i="29"/>
  <c r="AC214" i="29"/>
  <c r="W214" i="29"/>
  <c r="Y214" i="29" s="1"/>
  <c r="Q214" i="29"/>
  <c r="T214" i="29" s="1"/>
  <c r="J214" i="29"/>
  <c r="I214" i="29"/>
  <c r="H214" i="29"/>
  <c r="AO213" i="29"/>
  <c r="AI213" i="29"/>
  <c r="AC213" i="29"/>
  <c r="AD213" i="29" s="1"/>
  <c r="W213" i="29"/>
  <c r="Q213" i="29"/>
  <c r="J213" i="29"/>
  <c r="I213" i="29"/>
  <c r="H213" i="29"/>
  <c r="E213" i="29"/>
  <c r="AO212" i="29"/>
  <c r="AI212" i="29"/>
  <c r="AC212" i="29"/>
  <c r="W212" i="29"/>
  <c r="Y212" i="29" s="1"/>
  <c r="Q212" i="29"/>
  <c r="J212" i="29"/>
  <c r="I212" i="29"/>
  <c r="H212" i="29"/>
  <c r="AO211" i="29"/>
  <c r="AI211" i="29"/>
  <c r="AC211" i="29"/>
  <c r="AD211" i="29" s="1"/>
  <c r="W211" i="29"/>
  <c r="Q211" i="29"/>
  <c r="J211" i="29"/>
  <c r="I211" i="29"/>
  <c r="H211" i="29"/>
  <c r="E211" i="29"/>
  <c r="AO210" i="29"/>
  <c r="AI210" i="29"/>
  <c r="AC210" i="29"/>
  <c r="W210" i="29"/>
  <c r="Y210" i="29" s="1"/>
  <c r="Q210" i="29"/>
  <c r="T210" i="29" s="1"/>
  <c r="J210" i="29"/>
  <c r="I210" i="29"/>
  <c r="H210" i="29"/>
  <c r="AO209" i="29"/>
  <c r="AI209" i="29"/>
  <c r="AC209" i="29"/>
  <c r="AD209" i="29" s="1"/>
  <c r="W209" i="29"/>
  <c r="Q209" i="29"/>
  <c r="J209" i="29"/>
  <c r="I209" i="29"/>
  <c r="H209" i="29"/>
  <c r="E209" i="29"/>
  <c r="AO208" i="29"/>
  <c r="AI208" i="29"/>
  <c r="AC208" i="29"/>
  <c r="W208" i="29"/>
  <c r="Y208" i="29" s="1"/>
  <c r="Q208" i="29"/>
  <c r="J208" i="29"/>
  <c r="I208" i="29"/>
  <c r="H208" i="29"/>
  <c r="AO207" i="29"/>
  <c r="AI207" i="29"/>
  <c r="AC207" i="29"/>
  <c r="AD207" i="29" s="1"/>
  <c r="W207" i="29"/>
  <c r="Q207" i="29"/>
  <c r="J207" i="29"/>
  <c r="I207" i="29"/>
  <c r="H207" i="29"/>
  <c r="E207" i="29"/>
  <c r="AO206" i="29"/>
  <c r="AI206" i="29"/>
  <c r="AC206" i="29"/>
  <c r="W206" i="29"/>
  <c r="Y206" i="29" s="1"/>
  <c r="Q206" i="29"/>
  <c r="T206" i="29" s="1"/>
  <c r="J206" i="29"/>
  <c r="I206" i="29"/>
  <c r="H206" i="29"/>
  <c r="AO205" i="29"/>
  <c r="AI205" i="29"/>
  <c r="AC205" i="29"/>
  <c r="AD205" i="29" s="1"/>
  <c r="W205" i="29"/>
  <c r="Q205" i="29"/>
  <c r="J205" i="29"/>
  <c r="I205" i="29"/>
  <c r="H205" i="29"/>
  <c r="E205" i="29"/>
  <c r="AO204" i="29"/>
  <c r="AI204" i="29"/>
  <c r="AC204" i="29"/>
  <c r="W204" i="29"/>
  <c r="Y204" i="29" s="1"/>
  <c r="Q204" i="29"/>
  <c r="J204" i="29"/>
  <c r="I204" i="29"/>
  <c r="H204" i="29"/>
  <c r="AO203" i="29"/>
  <c r="AI203" i="29"/>
  <c r="AC203" i="29"/>
  <c r="AD203" i="29" s="1"/>
  <c r="W203" i="29"/>
  <c r="Q203" i="29"/>
  <c r="J203" i="29"/>
  <c r="I203" i="29"/>
  <c r="H203" i="29"/>
  <c r="E203" i="29"/>
  <c r="AO202" i="29"/>
  <c r="AI202" i="29"/>
  <c r="AC202" i="29"/>
  <c r="AF202" i="29" s="1"/>
  <c r="W202" i="29"/>
  <c r="Q202" i="29"/>
  <c r="T202" i="29" s="1"/>
  <c r="G202" i="29"/>
  <c r="E202" i="29"/>
  <c r="AO201" i="29"/>
  <c r="AI201" i="29"/>
  <c r="AC201" i="29"/>
  <c r="W201" i="29"/>
  <c r="Q201" i="29"/>
  <c r="G201" i="29"/>
  <c r="AO200" i="29"/>
  <c r="AI200" i="29"/>
  <c r="AC200" i="29"/>
  <c r="W200" i="29"/>
  <c r="Z200" i="29" s="1"/>
  <c r="Q200" i="29"/>
  <c r="T200" i="29" s="1"/>
  <c r="G200" i="29"/>
  <c r="I200" i="29" s="1"/>
  <c r="AO199" i="29"/>
  <c r="AI199" i="29"/>
  <c r="AC199" i="29"/>
  <c r="AD199" i="29" s="1"/>
  <c r="W199" i="29"/>
  <c r="Q199" i="29"/>
  <c r="G199" i="29"/>
  <c r="E199" i="29"/>
  <c r="AO198" i="29"/>
  <c r="AI198" i="29"/>
  <c r="AC198" i="29"/>
  <c r="AD198" i="29" s="1"/>
  <c r="W198" i="29"/>
  <c r="Q198" i="29"/>
  <c r="T198" i="29" s="1"/>
  <c r="G198" i="29"/>
  <c r="E198" i="29"/>
  <c r="AO197" i="29"/>
  <c r="AI197" i="29"/>
  <c r="AC197" i="29"/>
  <c r="AD197" i="29" s="1"/>
  <c r="W197" i="29"/>
  <c r="X197" i="29" s="1"/>
  <c r="Q197" i="29"/>
  <c r="T197" i="29" s="1"/>
  <c r="J197" i="29"/>
  <c r="I197" i="29"/>
  <c r="H197" i="29"/>
  <c r="AO196" i="29"/>
  <c r="AI196" i="29"/>
  <c r="AC196" i="29"/>
  <c r="AD196" i="29" s="1"/>
  <c r="W196" i="29"/>
  <c r="Q196" i="29"/>
  <c r="T196" i="29" s="1"/>
  <c r="G196" i="29"/>
  <c r="I196" i="29" s="1"/>
  <c r="AO195" i="29"/>
  <c r="AI195" i="29"/>
  <c r="AC195" i="29"/>
  <c r="W195" i="29"/>
  <c r="X195" i="29" s="1"/>
  <c r="Q195" i="29"/>
  <c r="G195" i="29"/>
  <c r="H195" i="29" s="1"/>
  <c r="E195" i="29"/>
  <c r="AO194" i="29"/>
  <c r="AI194" i="29"/>
  <c r="AC194" i="29"/>
  <c r="AD194" i="29" s="1"/>
  <c r="W194" i="29"/>
  <c r="Q194" i="29"/>
  <c r="R194" i="29" s="1"/>
  <c r="G194" i="29"/>
  <c r="H194" i="29" s="1"/>
  <c r="E194" i="29"/>
  <c r="AO193" i="29"/>
  <c r="AI193" i="29"/>
  <c r="AC193" i="29"/>
  <c r="AE193" i="29" s="1"/>
  <c r="W193" i="29"/>
  <c r="Q193" i="29"/>
  <c r="G193" i="29"/>
  <c r="J193" i="29" s="1"/>
  <c r="AO192" i="29"/>
  <c r="AI192" i="29"/>
  <c r="AC192" i="29"/>
  <c r="W192" i="29"/>
  <c r="Q192" i="29"/>
  <c r="G192" i="29"/>
  <c r="AO191" i="29"/>
  <c r="AI191" i="29"/>
  <c r="AC191" i="29"/>
  <c r="W191" i="29"/>
  <c r="Q191" i="29"/>
  <c r="T191" i="29" s="1"/>
  <c r="G191" i="29"/>
  <c r="E191" i="29"/>
  <c r="AO190" i="29"/>
  <c r="AI190" i="29"/>
  <c r="AC190" i="29"/>
  <c r="W190" i="29"/>
  <c r="X190" i="29" s="1"/>
  <c r="Q190" i="29"/>
  <c r="G190" i="29"/>
  <c r="H190" i="29" s="1"/>
  <c r="AO189" i="29"/>
  <c r="AI189" i="29"/>
  <c r="AC189" i="29"/>
  <c r="AD189" i="29" s="1"/>
  <c r="W189" i="29"/>
  <c r="Q189" i="29"/>
  <c r="T189" i="29" s="1"/>
  <c r="G189" i="29"/>
  <c r="H189" i="29" s="1"/>
  <c r="AO188" i="29"/>
  <c r="AI188" i="29"/>
  <c r="AC188" i="29"/>
  <c r="AD188" i="29" s="1"/>
  <c r="W188" i="29"/>
  <c r="Q188" i="29"/>
  <c r="T188" i="29" s="1"/>
  <c r="G188" i="29"/>
  <c r="AO187" i="29"/>
  <c r="AI187" i="29"/>
  <c r="AC187" i="29"/>
  <c r="AD187" i="29" s="1"/>
  <c r="W187" i="29"/>
  <c r="Q187" i="29"/>
  <c r="G187" i="29"/>
  <c r="H187" i="29" s="1"/>
  <c r="E187" i="29"/>
  <c r="AO186" i="29"/>
  <c r="AI186" i="29"/>
  <c r="AC186" i="29"/>
  <c r="W186" i="29"/>
  <c r="X186" i="29" s="1"/>
  <c r="Q186" i="29"/>
  <c r="G186" i="29"/>
  <c r="E186" i="29"/>
  <c r="AO185" i="29"/>
  <c r="AI185" i="29"/>
  <c r="AC185" i="29"/>
  <c r="AD185" i="29" s="1"/>
  <c r="W185" i="29"/>
  <c r="Q185" i="29"/>
  <c r="T185" i="29" s="1"/>
  <c r="G185" i="29"/>
  <c r="H185" i="29" s="1"/>
  <c r="AO184" i="29"/>
  <c r="AI184" i="29"/>
  <c r="AC184" i="29"/>
  <c r="W184" i="29"/>
  <c r="X184" i="29" s="1"/>
  <c r="Q184" i="29"/>
  <c r="T184" i="29" s="1"/>
  <c r="G184" i="29"/>
  <c r="AO183" i="29"/>
  <c r="AI183" i="29"/>
  <c r="AC183" i="29"/>
  <c r="W183" i="29"/>
  <c r="Y183" i="29" s="1"/>
  <c r="Q183" i="29"/>
  <c r="G183" i="29"/>
  <c r="H183" i="29" s="1"/>
  <c r="AO182" i="29"/>
  <c r="AI182" i="29"/>
  <c r="AC182" i="29"/>
  <c r="AD182" i="29" s="1"/>
  <c r="W182" i="29"/>
  <c r="Q182" i="29"/>
  <c r="T182" i="29" s="1"/>
  <c r="G182" i="29"/>
  <c r="I182" i="29" s="1"/>
  <c r="E182" i="29"/>
  <c r="AO181" i="29"/>
  <c r="AI181" i="29"/>
  <c r="AC181" i="29"/>
  <c r="W181" i="29"/>
  <c r="X181" i="29" s="1"/>
  <c r="Q181" i="29"/>
  <c r="T181" i="29" s="1"/>
  <c r="J181" i="29"/>
  <c r="I181" i="29"/>
  <c r="H181" i="29"/>
  <c r="AO180" i="29"/>
  <c r="AI180" i="29"/>
  <c r="AC180" i="29"/>
  <c r="W180" i="29"/>
  <c r="Q180" i="29"/>
  <c r="R180" i="29" s="1"/>
  <c r="G180" i="29"/>
  <c r="J180" i="29" s="1"/>
  <c r="E180" i="29"/>
  <c r="AO179" i="29"/>
  <c r="AI179" i="29"/>
  <c r="AC179" i="29"/>
  <c r="W179" i="29"/>
  <c r="Q179" i="29"/>
  <c r="G179" i="29"/>
  <c r="I179" i="29" s="1"/>
  <c r="AO178" i="29"/>
  <c r="AI178" i="29"/>
  <c r="AC178" i="29"/>
  <c r="AF178" i="29" s="1"/>
  <c r="W178" i="29"/>
  <c r="Q178" i="29"/>
  <c r="R178" i="29" s="1"/>
  <c r="G178" i="29"/>
  <c r="AO177" i="29"/>
  <c r="AI177" i="29"/>
  <c r="AC177" i="29"/>
  <c r="AE177" i="29" s="1"/>
  <c r="W177" i="29"/>
  <c r="Q177" i="29"/>
  <c r="G177" i="29"/>
  <c r="I177" i="29" s="1"/>
  <c r="AO176" i="29"/>
  <c r="AI176" i="29"/>
  <c r="AC176" i="29"/>
  <c r="W176" i="29"/>
  <c r="Q176" i="29"/>
  <c r="R176" i="29" s="1"/>
  <c r="G176" i="29"/>
  <c r="J176" i="29" s="1"/>
  <c r="E176" i="29"/>
  <c r="AO175" i="29"/>
  <c r="AI175" i="29"/>
  <c r="AC175" i="29"/>
  <c r="W175" i="29"/>
  <c r="Q175" i="29"/>
  <c r="T175" i="29" s="1"/>
  <c r="G175" i="29"/>
  <c r="I175" i="29" s="1"/>
  <c r="AO174" i="29"/>
  <c r="AI174" i="29"/>
  <c r="AC174" i="29"/>
  <c r="AF174" i="29" s="1"/>
  <c r="W174" i="29"/>
  <c r="Y174" i="29" s="1"/>
  <c r="Q174" i="29"/>
  <c r="G174" i="29"/>
  <c r="E174" i="29"/>
  <c r="AO173" i="29"/>
  <c r="AI173" i="29"/>
  <c r="AC173" i="29"/>
  <c r="W173" i="29"/>
  <c r="Z173" i="29" s="1"/>
  <c r="Q173" i="29"/>
  <c r="G173" i="29"/>
  <c r="E173" i="29"/>
  <c r="AO172" i="29"/>
  <c r="AI172" i="29"/>
  <c r="AC172" i="29"/>
  <c r="AF172" i="29" s="1"/>
  <c r="W172" i="29"/>
  <c r="Y172" i="29" s="1"/>
  <c r="Q172" i="29"/>
  <c r="G172" i="29"/>
  <c r="E172" i="29"/>
  <c r="AO171" i="29"/>
  <c r="AI171" i="29"/>
  <c r="AC171" i="29"/>
  <c r="AE171" i="29" s="1"/>
  <c r="W171" i="29"/>
  <c r="X171" i="29" s="1"/>
  <c r="Q171" i="29"/>
  <c r="G171" i="29"/>
  <c r="E171" i="29"/>
  <c r="AO170" i="29"/>
  <c r="AI170" i="29"/>
  <c r="AC170" i="29"/>
  <c r="AF170" i="29" s="1"/>
  <c r="W170" i="29"/>
  <c r="Y170" i="29" s="1"/>
  <c r="Q170" i="29"/>
  <c r="G170" i="29"/>
  <c r="H170" i="29" s="1"/>
  <c r="AO169" i="29"/>
  <c r="AI169" i="29"/>
  <c r="AC169" i="29"/>
  <c r="W169" i="29"/>
  <c r="Q169" i="29"/>
  <c r="G169" i="29"/>
  <c r="E169" i="29"/>
  <c r="AO168" i="29"/>
  <c r="AI168" i="29"/>
  <c r="AC168" i="29"/>
  <c r="AF168" i="29" s="1"/>
  <c r="W168" i="29"/>
  <c r="Y168" i="29" s="1"/>
  <c r="Q168" i="29"/>
  <c r="G168" i="29"/>
  <c r="J168" i="29" s="1"/>
  <c r="E168" i="29"/>
  <c r="AO167" i="29"/>
  <c r="AI167" i="29"/>
  <c r="AC167" i="29"/>
  <c r="AE167" i="29" s="1"/>
  <c r="W167" i="29"/>
  <c r="Q167" i="29"/>
  <c r="T167" i="29" s="1"/>
  <c r="G167" i="29"/>
  <c r="E167" i="29"/>
  <c r="AO166" i="29"/>
  <c r="AI166" i="29"/>
  <c r="AC166" i="29"/>
  <c r="AF166" i="29" s="1"/>
  <c r="W166" i="29"/>
  <c r="Q166" i="29"/>
  <c r="R166" i="29" s="1"/>
  <c r="G166" i="29"/>
  <c r="AO165" i="29"/>
  <c r="AI165" i="29"/>
  <c r="AC165" i="29"/>
  <c r="AE165" i="29" s="1"/>
  <c r="W165" i="29"/>
  <c r="Q165" i="29"/>
  <c r="G165" i="29"/>
  <c r="I165" i="29" s="1"/>
  <c r="AO164" i="29"/>
  <c r="AI164" i="29"/>
  <c r="AC164" i="29"/>
  <c r="AF164" i="29" s="1"/>
  <c r="W164" i="29"/>
  <c r="Q164" i="29"/>
  <c r="R164" i="29" s="1"/>
  <c r="G164" i="29"/>
  <c r="J164" i="29" s="1"/>
  <c r="E164" i="29"/>
  <c r="AO163" i="29"/>
  <c r="AI163" i="29"/>
  <c r="AC163" i="29"/>
  <c r="W163" i="29"/>
  <c r="Z163" i="29" s="1"/>
  <c r="Q163" i="29"/>
  <c r="G163" i="29"/>
  <c r="I163" i="29" s="1"/>
  <c r="AO162" i="29"/>
  <c r="AI162" i="29"/>
  <c r="AC162" i="29"/>
  <c r="W162" i="29"/>
  <c r="Y162" i="29" s="1"/>
  <c r="Q162" i="29"/>
  <c r="R162" i="29" s="1"/>
  <c r="G162" i="29"/>
  <c r="J162" i="29" s="1"/>
  <c r="AO161" i="29"/>
  <c r="AI161" i="29"/>
  <c r="AC161" i="29"/>
  <c r="AE161" i="29" s="1"/>
  <c r="W161" i="29"/>
  <c r="Q161" i="29"/>
  <c r="T161" i="29" s="1"/>
  <c r="G161" i="29"/>
  <c r="I161" i="29" s="1"/>
  <c r="E161" i="29"/>
  <c r="AO160" i="29"/>
  <c r="AI160" i="29"/>
  <c r="AC160" i="29"/>
  <c r="AF160" i="29" s="1"/>
  <c r="W160" i="29"/>
  <c r="Q160" i="29"/>
  <c r="R160" i="29" s="1"/>
  <c r="G160" i="29"/>
  <c r="AO159" i="29"/>
  <c r="AI159" i="29"/>
  <c r="AC159" i="29"/>
  <c r="AE159" i="29" s="1"/>
  <c r="W159" i="29"/>
  <c r="Q159" i="29"/>
  <c r="T159" i="29" s="1"/>
  <c r="G159" i="29"/>
  <c r="I159" i="29" s="1"/>
  <c r="AO158" i="29"/>
  <c r="AI158" i="29"/>
  <c r="AC158" i="29"/>
  <c r="AD158" i="29" s="1"/>
  <c r="W158" i="29"/>
  <c r="Y158" i="29" s="1"/>
  <c r="Q158" i="29"/>
  <c r="G158" i="29"/>
  <c r="E158" i="29"/>
  <c r="AO157" i="29"/>
  <c r="AI157" i="29"/>
  <c r="AC157" i="29"/>
  <c r="W157" i="29"/>
  <c r="Z157" i="29" s="1"/>
  <c r="Q157" i="29"/>
  <c r="G157" i="29"/>
  <c r="E157" i="29"/>
  <c r="AO156" i="29"/>
  <c r="AI156" i="29"/>
  <c r="AC156" i="29"/>
  <c r="AF156" i="29" s="1"/>
  <c r="W156" i="29"/>
  <c r="Y156" i="29" s="1"/>
  <c r="Q156" i="29"/>
  <c r="G156" i="29"/>
  <c r="J156" i="29" s="1"/>
  <c r="AO155" i="29"/>
  <c r="AI155" i="29"/>
  <c r="AC155" i="29"/>
  <c r="AE155" i="29" s="1"/>
  <c r="W155" i="29"/>
  <c r="Z155" i="29" s="1"/>
  <c r="Q155" i="29"/>
  <c r="R155" i="29" s="1"/>
  <c r="G155" i="29"/>
  <c r="E155" i="29"/>
  <c r="AO154" i="29"/>
  <c r="AI154" i="29"/>
  <c r="AC154" i="29"/>
  <c r="W154" i="29"/>
  <c r="Y154" i="29" s="1"/>
  <c r="Q154" i="29"/>
  <c r="G154" i="29"/>
  <c r="E154" i="29"/>
  <c r="AO153" i="29"/>
  <c r="AI153" i="29"/>
  <c r="AC153" i="29"/>
  <c r="W153" i="29"/>
  <c r="Q153" i="29"/>
  <c r="T153" i="29" s="1"/>
  <c r="G153" i="29"/>
  <c r="E153" i="29"/>
  <c r="AO152" i="29"/>
  <c r="AI152" i="29"/>
  <c r="AC152" i="29"/>
  <c r="AF152" i="29" s="1"/>
  <c r="W152" i="29"/>
  <c r="Y152" i="29" s="1"/>
  <c r="Q152" i="29"/>
  <c r="G152" i="29"/>
  <c r="AO151" i="29"/>
  <c r="AI151" i="29"/>
  <c r="AC151" i="29"/>
  <c r="AE151" i="29" s="1"/>
  <c r="W151" i="29"/>
  <c r="X151" i="29" s="1"/>
  <c r="Q151" i="29"/>
  <c r="G151" i="29"/>
  <c r="E151" i="29"/>
  <c r="AO150" i="29"/>
  <c r="AI150" i="29"/>
  <c r="AC150" i="29"/>
  <c r="AF150" i="29" s="1"/>
  <c r="W150" i="29"/>
  <c r="Q150" i="29"/>
  <c r="R150" i="29" s="1"/>
  <c r="G150" i="29"/>
  <c r="H150" i="29" s="1"/>
  <c r="E150" i="29"/>
  <c r="AO149" i="29"/>
  <c r="AI149" i="29"/>
  <c r="AC149" i="29"/>
  <c r="AE149" i="29" s="1"/>
  <c r="W149" i="29"/>
  <c r="Q149" i="29"/>
  <c r="T149" i="29" s="1"/>
  <c r="G149" i="29"/>
  <c r="I149" i="29" s="1"/>
  <c r="AO148" i="29"/>
  <c r="AI148" i="29"/>
  <c r="AC148" i="29"/>
  <c r="AF148" i="29" s="1"/>
  <c r="W148" i="29"/>
  <c r="Q148" i="29"/>
  <c r="R148" i="29" s="1"/>
  <c r="G148" i="29"/>
  <c r="J148" i="29" s="1"/>
  <c r="AO147" i="29"/>
  <c r="AI147" i="29"/>
  <c r="AC147" i="29"/>
  <c r="W147" i="29"/>
  <c r="Q147" i="29"/>
  <c r="T147" i="29" s="1"/>
  <c r="G147" i="29"/>
  <c r="I147" i="29" s="1"/>
  <c r="AO146" i="29"/>
  <c r="AI146" i="29"/>
  <c r="AC146" i="29"/>
  <c r="AD146" i="29" s="1"/>
  <c r="W146" i="29"/>
  <c r="Y146" i="29" s="1"/>
  <c r="Q146" i="29"/>
  <c r="R146" i="29" s="1"/>
  <c r="G146" i="29"/>
  <c r="H146" i="29" s="1"/>
  <c r="AO145" i="29"/>
  <c r="AI145" i="29"/>
  <c r="AC145" i="29"/>
  <c r="AE145" i="29" s="1"/>
  <c r="W145" i="29"/>
  <c r="Z145" i="29" s="1"/>
  <c r="Q145" i="29"/>
  <c r="G145" i="29"/>
  <c r="I145" i="29" s="1"/>
  <c r="AO144" i="29"/>
  <c r="AI144" i="29"/>
  <c r="AC144" i="29"/>
  <c r="AF144" i="29" s="1"/>
  <c r="W144" i="29"/>
  <c r="Q144" i="29"/>
  <c r="R144" i="29" s="1"/>
  <c r="G144" i="29"/>
  <c r="E144" i="29"/>
  <c r="AO143" i="29"/>
  <c r="AI143" i="29"/>
  <c r="AC143" i="29"/>
  <c r="W143" i="29"/>
  <c r="Q143" i="29"/>
  <c r="G143" i="29"/>
  <c r="I143" i="29" s="1"/>
  <c r="AO142" i="29"/>
  <c r="AI142" i="29"/>
  <c r="AC142" i="29"/>
  <c r="AF142" i="29" s="1"/>
  <c r="W142" i="29"/>
  <c r="Y142" i="29" s="1"/>
  <c r="Q142" i="29"/>
  <c r="G142" i="29"/>
  <c r="AO141" i="29"/>
  <c r="AI141" i="29"/>
  <c r="AC141" i="29"/>
  <c r="W141" i="29"/>
  <c r="Z141" i="29" s="1"/>
  <c r="Q141" i="29"/>
  <c r="T141" i="29" s="1"/>
  <c r="G141" i="29"/>
  <c r="E141" i="29"/>
  <c r="AO140" i="29"/>
  <c r="AI140" i="29"/>
  <c r="AC140" i="29"/>
  <c r="W140" i="29"/>
  <c r="Y140" i="29" s="1"/>
  <c r="Q140" i="29"/>
  <c r="G140" i="29"/>
  <c r="AO139" i="29"/>
  <c r="AI139" i="29"/>
  <c r="AC139" i="29"/>
  <c r="AE139" i="29" s="1"/>
  <c r="W139" i="29"/>
  <c r="Q139" i="29"/>
  <c r="G139" i="29"/>
  <c r="E139" i="29"/>
  <c r="AO138" i="29"/>
  <c r="AI138" i="29"/>
  <c r="AC138" i="29"/>
  <c r="W138" i="29"/>
  <c r="Y138" i="29" s="1"/>
  <c r="Q138" i="29"/>
  <c r="G138" i="29"/>
  <c r="AO137" i="29"/>
  <c r="AI137" i="29"/>
  <c r="AC137" i="29"/>
  <c r="W137" i="29"/>
  <c r="Q137" i="29"/>
  <c r="G137" i="29"/>
  <c r="E137" i="29"/>
  <c r="AO136" i="29"/>
  <c r="AI136" i="29"/>
  <c r="AC136" i="29"/>
  <c r="AF136" i="29" s="1"/>
  <c r="W136" i="29"/>
  <c r="Y136" i="29" s="1"/>
  <c r="Q136" i="29"/>
  <c r="G136" i="29"/>
  <c r="J136" i="29" s="1"/>
  <c r="E136" i="29"/>
  <c r="AO135" i="29"/>
  <c r="AI135" i="29"/>
  <c r="AC135" i="29"/>
  <c r="AE135" i="29" s="1"/>
  <c r="W135" i="29"/>
  <c r="Q135" i="29"/>
  <c r="T135" i="29" s="1"/>
  <c r="G135" i="29"/>
  <c r="E135" i="29"/>
  <c r="AO134" i="29"/>
  <c r="AI134" i="29"/>
  <c r="AC134" i="29"/>
  <c r="W134" i="29"/>
  <c r="Q134" i="29"/>
  <c r="R134" i="29" s="1"/>
  <c r="G134" i="29"/>
  <c r="AO133" i="29"/>
  <c r="AI133" i="29"/>
  <c r="AC133" i="29"/>
  <c r="AE133" i="29" s="1"/>
  <c r="W133" i="29"/>
  <c r="Z133" i="29" s="1"/>
  <c r="Q133" i="29"/>
  <c r="G133" i="29"/>
  <c r="I133" i="29" s="1"/>
  <c r="AO132" i="29"/>
  <c r="AI132" i="29"/>
  <c r="AC132" i="29"/>
  <c r="W132" i="29"/>
  <c r="Q132" i="29"/>
  <c r="R132" i="29" s="1"/>
  <c r="G132" i="29"/>
  <c r="J132" i="29" s="1"/>
  <c r="E132" i="29"/>
  <c r="AO131" i="29"/>
  <c r="AI131" i="29"/>
  <c r="AC131" i="29"/>
  <c r="W131" i="29"/>
  <c r="Q131" i="29"/>
  <c r="G131" i="29"/>
  <c r="I131" i="29" s="1"/>
  <c r="AO130" i="29"/>
  <c r="AI130" i="29"/>
  <c r="AC130" i="29"/>
  <c r="AD130" i="29" s="1"/>
  <c r="W130" i="29"/>
  <c r="Q130" i="29"/>
  <c r="R130" i="29" s="1"/>
  <c r="G130" i="29"/>
  <c r="AO129" i="29"/>
  <c r="AI129" i="29"/>
  <c r="AC129" i="29"/>
  <c r="AE129" i="29" s="1"/>
  <c r="W129" i="29"/>
  <c r="Z129" i="29" s="1"/>
  <c r="Q129" i="29"/>
  <c r="T129" i="29" s="1"/>
  <c r="G129" i="29"/>
  <c r="I129" i="29" s="1"/>
  <c r="AO128" i="29"/>
  <c r="AI128" i="29"/>
  <c r="AC128" i="29"/>
  <c r="AF128" i="29" s="1"/>
  <c r="W128" i="29"/>
  <c r="Q128" i="29"/>
  <c r="R128" i="29" s="1"/>
  <c r="G128" i="29"/>
  <c r="J128" i="29" s="1"/>
  <c r="E128" i="29"/>
  <c r="AO127" i="29"/>
  <c r="AI127" i="29"/>
  <c r="AC127" i="29"/>
  <c r="AE127" i="29" s="1"/>
  <c r="W127" i="29"/>
  <c r="Z127" i="29" s="1"/>
  <c r="Q127" i="29"/>
  <c r="G127" i="29"/>
  <c r="I127" i="29" s="1"/>
  <c r="AO126" i="29"/>
  <c r="AI126" i="29"/>
  <c r="AC126" i="29"/>
  <c r="AD126" i="29" s="1"/>
  <c r="W126" i="29"/>
  <c r="Z126" i="29" s="1"/>
  <c r="Q126" i="29"/>
  <c r="G126" i="29"/>
  <c r="AO125" i="29"/>
  <c r="AI125" i="29"/>
  <c r="AC125" i="29"/>
  <c r="AF125" i="29" s="1"/>
  <c r="W125" i="29"/>
  <c r="X125" i="29" s="1"/>
  <c r="Q125" i="29"/>
  <c r="S125" i="29" s="1"/>
  <c r="G125" i="29"/>
  <c r="AO124" i="29"/>
  <c r="AI124" i="29"/>
  <c r="AC124" i="29"/>
  <c r="W124" i="29"/>
  <c r="Y124" i="29" s="1"/>
  <c r="Q124" i="29"/>
  <c r="G124" i="29"/>
  <c r="H124" i="29" s="1"/>
  <c r="AO123" i="29"/>
  <c r="AI123" i="29"/>
  <c r="AC123" i="29"/>
  <c r="AE123" i="29" s="1"/>
  <c r="W123" i="29"/>
  <c r="Q123" i="29"/>
  <c r="G123" i="29"/>
  <c r="I123" i="29" s="1"/>
  <c r="AO122" i="29"/>
  <c r="AI122" i="29"/>
  <c r="AC122" i="29"/>
  <c r="AF122" i="29" s="1"/>
  <c r="W122" i="29"/>
  <c r="Z122" i="29" s="1"/>
  <c r="Q122" i="29"/>
  <c r="G122" i="29"/>
  <c r="AO121" i="29"/>
  <c r="AI121" i="29"/>
  <c r="AC121" i="29"/>
  <c r="AF121" i="29" s="1"/>
  <c r="W121" i="29"/>
  <c r="X121" i="29" s="1"/>
  <c r="Q121" i="29"/>
  <c r="S121" i="29" s="1"/>
  <c r="G121" i="29"/>
  <c r="H121" i="29" s="1"/>
  <c r="AO120" i="29"/>
  <c r="AI120" i="29"/>
  <c r="AC120" i="29"/>
  <c r="W120" i="29"/>
  <c r="Y120" i="29" s="1"/>
  <c r="Q120" i="29"/>
  <c r="S120" i="29" s="1"/>
  <c r="G120" i="29"/>
  <c r="H120" i="29" s="1"/>
  <c r="AO119" i="29"/>
  <c r="AI119" i="29"/>
  <c r="AC119" i="29"/>
  <c r="AE119" i="29" s="1"/>
  <c r="W119" i="29"/>
  <c r="Z119" i="29" s="1"/>
  <c r="Q119" i="29"/>
  <c r="R119" i="29" s="1"/>
  <c r="G119" i="29"/>
  <c r="I119" i="29" s="1"/>
  <c r="AO118" i="29"/>
  <c r="AI118" i="29"/>
  <c r="AC118" i="29"/>
  <c r="W118" i="29"/>
  <c r="Z118" i="29" s="1"/>
  <c r="Q118" i="29"/>
  <c r="G118" i="29"/>
  <c r="J118" i="29" s="1"/>
  <c r="AO117" i="29"/>
  <c r="AI117" i="29"/>
  <c r="AC117" i="29"/>
  <c r="AF117" i="29" s="1"/>
  <c r="W117" i="29"/>
  <c r="X117" i="29" s="1"/>
  <c r="Q117" i="29"/>
  <c r="S117" i="29" s="1"/>
  <c r="G117" i="29"/>
  <c r="AO116" i="29"/>
  <c r="AI116" i="29"/>
  <c r="AC116" i="29"/>
  <c r="W116" i="29"/>
  <c r="Y116" i="29" s="1"/>
  <c r="Q116" i="29"/>
  <c r="G116" i="29"/>
  <c r="H116" i="29" s="1"/>
  <c r="AO115" i="29"/>
  <c r="AI115" i="29"/>
  <c r="AC115" i="29"/>
  <c r="AE115" i="29" s="1"/>
  <c r="W115" i="29"/>
  <c r="Q115" i="29"/>
  <c r="G115" i="29"/>
  <c r="I115" i="29" s="1"/>
  <c r="AO114" i="29"/>
  <c r="AI114" i="29"/>
  <c r="AC114" i="29"/>
  <c r="AF114" i="29" s="1"/>
  <c r="W114" i="29"/>
  <c r="Q114" i="29"/>
  <c r="G114" i="29"/>
  <c r="AO113" i="29"/>
  <c r="AI113" i="29"/>
  <c r="AC113" i="29"/>
  <c r="W113" i="29"/>
  <c r="X113" i="29" s="1"/>
  <c r="Q113" i="29"/>
  <c r="S113" i="29" s="1"/>
  <c r="G113" i="29"/>
  <c r="J113" i="29" s="1"/>
  <c r="AO112" i="29"/>
  <c r="AI112" i="29"/>
  <c r="AC112" i="29"/>
  <c r="W112" i="29"/>
  <c r="Y112" i="29" s="1"/>
  <c r="Q112" i="29"/>
  <c r="G112" i="29"/>
  <c r="H112" i="29" s="1"/>
  <c r="AO111" i="29"/>
  <c r="AI111" i="29"/>
  <c r="AC111" i="29"/>
  <c r="AE111" i="29" s="1"/>
  <c r="W111" i="29"/>
  <c r="Q111" i="29"/>
  <c r="G111" i="29"/>
  <c r="I111" i="29" s="1"/>
  <c r="AO110" i="29"/>
  <c r="AI110" i="29"/>
  <c r="AC110" i="29"/>
  <c r="W110" i="29"/>
  <c r="Q110" i="29"/>
  <c r="G110" i="29"/>
  <c r="AO109" i="29"/>
  <c r="AI109" i="29"/>
  <c r="AC109" i="29"/>
  <c r="W109" i="29"/>
  <c r="X109" i="29" s="1"/>
  <c r="Q109" i="29"/>
  <c r="S109" i="29" s="1"/>
  <c r="G109" i="29"/>
  <c r="AO108" i="29"/>
  <c r="AI108" i="29"/>
  <c r="AC108" i="29"/>
  <c r="W108" i="29"/>
  <c r="Y108" i="29" s="1"/>
  <c r="Q108" i="29"/>
  <c r="G108" i="29"/>
  <c r="H108" i="29" s="1"/>
  <c r="AO107" i="29"/>
  <c r="AI107" i="29"/>
  <c r="AC107" i="29"/>
  <c r="AE107" i="29" s="1"/>
  <c r="W107" i="29"/>
  <c r="Z107" i="29" s="1"/>
  <c r="Q107" i="29"/>
  <c r="G107" i="29"/>
  <c r="I107" i="29" s="1"/>
  <c r="AO106" i="29"/>
  <c r="AI106" i="29"/>
  <c r="AC106" i="29"/>
  <c r="AF106" i="29" s="1"/>
  <c r="W106" i="29"/>
  <c r="Q106" i="29"/>
  <c r="G106" i="29"/>
  <c r="AO105" i="29"/>
  <c r="AI105" i="29"/>
  <c r="AC105" i="29"/>
  <c r="W105" i="29"/>
  <c r="X105" i="29" s="1"/>
  <c r="Q105" i="29"/>
  <c r="S105" i="29" s="1"/>
  <c r="G105" i="29"/>
  <c r="J105" i="29" s="1"/>
  <c r="AO104" i="29"/>
  <c r="AI104" i="29"/>
  <c r="AC104" i="29"/>
  <c r="W104" i="29"/>
  <c r="Y104" i="29" s="1"/>
  <c r="Q104" i="29"/>
  <c r="T104" i="29" s="1"/>
  <c r="G104" i="29"/>
  <c r="J104" i="29" s="1"/>
  <c r="AO103" i="29"/>
  <c r="AI103" i="29"/>
  <c r="AC103" i="29"/>
  <c r="W103" i="29"/>
  <c r="Q103" i="29"/>
  <c r="T103" i="29" s="1"/>
  <c r="G103" i="29"/>
  <c r="J103" i="29" s="1"/>
  <c r="E103" i="29"/>
  <c r="AO102" i="29"/>
  <c r="AI102" i="29"/>
  <c r="AC102" i="29"/>
  <c r="W102" i="29"/>
  <c r="Q102" i="29"/>
  <c r="G102" i="29"/>
  <c r="H102" i="29" s="1"/>
  <c r="E102" i="29"/>
  <c r="AO101" i="29"/>
  <c r="AI101" i="29"/>
  <c r="AC101" i="29"/>
  <c r="W101" i="29"/>
  <c r="Z101" i="29" s="1"/>
  <c r="Q101" i="29"/>
  <c r="G101" i="29"/>
  <c r="AO100" i="29"/>
  <c r="AI100" i="29"/>
  <c r="AC100" i="29"/>
  <c r="AF100" i="29" s="1"/>
  <c r="W100" i="29"/>
  <c r="Z100" i="29" s="1"/>
  <c r="Q100" i="29"/>
  <c r="T100" i="29" s="1"/>
  <c r="G100" i="29"/>
  <c r="J100" i="29" s="1"/>
  <c r="AO99" i="29"/>
  <c r="AI99" i="29"/>
  <c r="AC99" i="29"/>
  <c r="AD99" i="29" s="1"/>
  <c r="W99" i="29"/>
  <c r="Q99" i="29"/>
  <c r="T99" i="29" s="1"/>
  <c r="G99" i="29"/>
  <c r="E99" i="29"/>
  <c r="AO98" i="29"/>
  <c r="AI98" i="29"/>
  <c r="AC98" i="29"/>
  <c r="W98" i="29"/>
  <c r="Q98" i="29"/>
  <c r="G98" i="29"/>
  <c r="H98" i="29" s="1"/>
  <c r="E98" i="29"/>
  <c r="AO97" i="29"/>
  <c r="AI97" i="29"/>
  <c r="AC97" i="29"/>
  <c r="W97" i="29"/>
  <c r="Z97" i="29" s="1"/>
  <c r="Q97" i="29"/>
  <c r="G97" i="29"/>
  <c r="AO96" i="29"/>
  <c r="AI96" i="29"/>
  <c r="AC96" i="29"/>
  <c r="AF96" i="29" s="1"/>
  <c r="W96" i="29"/>
  <c r="Q96" i="29"/>
  <c r="T96" i="29" s="1"/>
  <c r="G96" i="29"/>
  <c r="J96" i="29" s="1"/>
  <c r="AO95" i="29"/>
  <c r="AI95" i="29"/>
  <c r="AC95" i="29"/>
  <c r="AD95" i="29" s="1"/>
  <c r="W95" i="29"/>
  <c r="Q95" i="29"/>
  <c r="T95" i="29" s="1"/>
  <c r="G95" i="29"/>
  <c r="E95" i="29"/>
  <c r="AO94" i="29"/>
  <c r="AI94" i="29"/>
  <c r="AC94" i="29"/>
  <c r="W94" i="29"/>
  <c r="Q94" i="29"/>
  <c r="G94" i="29"/>
  <c r="H94" i="29" s="1"/>
  <c r="E94" i="29"/>
  <c r="AO93" i="29"/>
  <c r="AI93" i="29"/>
  <c r="AC93" i="29"/>
  <c r="W93" i="29"/>
  <c r="Z93" i="29" s="1"/>
  <c r="Q93" i="29"/>
  <c r="G93" i="29"/>
  <c r="AO92" i="29"/>
  <c r="AI92" i="29"/>
  <c r="AC92" i="29"/>
  <c r="AF92" i="29" s="1"/>
  <c r="W92" i="29"/>
  <c r="Z92" i="29" s="1"/>
  <c r="Q92" i="29"/>
  <c r="G92" i="29"/>
  <c r="J92" i="29" s="1"/>
  <c r="AO91" i="29"/>
  <c r="AI91" i="29"/>
  <c r="AC91" i="29"/>
  <c r="W91" i="29"/>
  <c r="Y91" i="29" s="1"/>
  <c r="Q91" i="29"/>
  <c r="T91" i="29" s="1"/>
  <c r="G91" i="29"/>
  <c r="H91" i="29" s="1"/>
  <c r="E91" i="29"/>
  <c r="AO90" i="29"/>
  <c r="AI90" i="29"/>
  <c r="AC90" i="29"/>
  <c r="W90" i="29"/>
  <c r="Q90" i="29"/>
  <c r="G90" i="29"/>
  <c r="E90" i="29"/>
  <c r="AO89" i="29"/>
  <c r="AI89" i="29"/>
  <c r="AC89" i="29"/>
  <c r="W89" i="29"/>
  <c r="Z89" i="29" s="1"/>
  <c r="Q89" i="29"/>
  <c r="G89" i="29"/>
  <c r="AO88" i="29"/>
  <c r="AI88" i="29"/>
  <c r="AC88" i="29"/>
  <c r="AF88" i="29" s="1"/>
  <c r="W88" i="29"/>
  <c r="Z88" i="29" s="1"/>
  <c r="Q88" i="29"/>
  <c r="G88" i="29"/>
  <c r="J88" i="29" s="1"/>
  <c r="AO87" i="29"/>
  <c r="AI87" i="29"/>
  <c r="AC87" i="29"/>
  <c r="AD87" i="29" s="1"/>
  <c r="W87" i="29"/>
  <c r="Q87" i="29"/>
  <c r="G87" i="29"/>
  <c r="E87" i="29"/>
  <c r="AO86" i="29"/>
  <c r="AI86" i="29"/>
  <c r="AC86" i="29"/>
  <c r="AE86" i="29" s="1"/>
  <c r="W86" i="29"/>
  <c r="Q86" i="29"/>
  <c r="G86" i="29"/>
  <c r="H86" i="29" s="1"/>
  <c r="E86" i="29"/>
  <c r="AO85" i="29"/>
  <c r="AI85" i="29"/>
  <c r="AC85" i="29"/>
  <c r="W85" i="29"/>
  <c r="Z85" i="29" s="1"/>
  <c r="Q85" i="29"/>
  <c r="G85" i="29"/>
  <c r="AO84" i="29"/>
  <c r="AI84" i="29"/>
  <c r="AC84" i="29"/>
  <c r="AF84" i="29" s="1"/>
  <c r="W84" i="29"/>
  <c r="Y84" i="29" s="1"/>
  <c r="Q84" i="29"/>
  <c r="T84" i="29" s="1"/>
  <c r="G84" i="29"/>
  <c r="J84" i="29" s="1"/>
  <c r="AO83" i="29"/>
  <c r="AI83" i="29"/>
  <c r="AC83" i="29"/>
  <c r="W83" i="29"/>
  <c r="Y83" i="29" s="1"/>
  <c r="Q83" i="29"/>
  <c r="T83" i="29" s="1"/>
  <c r="G83" i="29"/>
  <c r="H83" i="29" s="1"/>
  <c r="E83" i="29"/>
  <c r="AO82" i="29"/>
  <c r="AI82" i="29"/>
  <c r="AC82" i="29"/>
  <c r="W82" i="29"/>
  <c r="Q82" i="29"/>
  <c r="G82" i="29"/>
  <c r="E82" i="29"/>
  <c r="AO81" i="29"/>
  <c r="AI81" i="29"/>
  <c r="AC81" i="29"/>
  <c r="W81" i="29"/>
  <c r="Z81" i="29" s="1"/>
  <c r="Q81" i="29"/>
  <c r="G81" i="29"/>
  <c r="AO80" i="29"/>
  <c r="AI80" i="29"/>
  <c r="AC80" i="29"/>
  <c r="AF80" i="29" s="1"/>
  <c r="W80" i="29"/>
  <c r="Q80" i="29"/>
  <c r="T80" i="29" s="1"/>
  <c r="G80" i="29"/>
  <c r="J80" i="29" s="1"/>
  <c r="AO79" i="29"/>
  <c r="AI79" i="29"/>
  <c r="AC79" i="29"/>
  <c r="AD79" i="29" s="1"/>
  <c r="W79" i="29"/>
  <c r="Q79" i="29"/>
  <c r="T79" i="29" s="1"/>
  <c r="G79" i="29"/>
  <c r="E79" i="29"/>
  <c r="AO78" i="29"/>
  <c r="AI78" i="29"/>
  <c r="AC78" i="29"/>
  <c r="AE78" i="29" s="1"/>
  <c r="W78" i="29"/>
  <c r="Q78" i="29"/>
  <c r="G78" i="29"/>
  <c r="H78" i="29" s="1"/>
  <c r="E78" i="29"/>
  <c r="AO77" i="29"/>
  <c r="AI77" i="29"/>
  <c r="AC77" i="29"/>
  <c r="W77" i="29"/>
  <c r="Z77" i="29" s="1"/>
  <c r="Q77" i="29"/>
  <c r="T77" i="29" s="1"/>
  <c r="G77" i="29"/>
  <c r="AO76" i="29"/>
  <c r="AI76" i="29"/>
  <c r="AC76" i="29"/>
  <c r="AF76" i="29" s="1"/>
  <c r="W76" i="29"/>
  <c r="Z76" i="29" s="1"/>
  <c r="Q76" i="29"/>
  <c r="R76" i="29" s="1"/>
  <c r="G76" i="29"/>
  <c r="J76" i="29" s="1"/>
  <c r="AO75" i="29"/>
  <c r="AI75" i="29"/>
  <c r="AC75" i="29"/>
  <c r="AD75" i="29" s="1"/>
  <c r="W75" i="29"/>
  <c r="X75" i="29" s="1"/>
  <c r="Q75" i="29"/>
  <c r="G75" i="29"/>
  <c r="I75" i="29" s="1"/>
  <c r="AO74" i="29"/>
  <c r="AI74" i="29"/>
  <c r="AC74" i="29"/>
  <c r="AF74" i="29" s="1"/>
  <c r="W74" i="29"/>
  <c r="Z74" i="29" s="1"/>
  <c r="Q74" i="29"/>
  <c r="S74" i="29" s="1"/>
  <c r="G74" i="29"/>
  <c r="H74" i="29" s="1"/>
  <c r="AO73" i="29"/>
  <c r="AI73" i="29"/>
  <c r="AC73" i="29"/>
  <c r="AD73" i="29" s="1"/>
  <c r="W73" i="29"/>
  <c r="Y73" i="29" s="1"/>
  <c r="Q73" i="29"/>
  <c r="G73" i="29"/>
  <c r="AO72" i="29"/>
  <c r="AI72" i="29"/>
  <c r="AC72" i="29"/>
  <c r="W72" i="29"/>
  <c r="Q72" i="29"/>
  <c r="S72" i="29" s="1"/>
  <c r="G72" i="29"/>
  <c r="AO71" i="29"/>
  <c r="AI71" i="29"/>
  <c r="AC71" i="29"/>
  <c r="AF71" i="29" s="1"/>
  <c r="W71" i="29"/>
  <c r="Z71" i="29" s="1"/>
  <c r="Q71" i="29"/>
  <c r="G71" i="29"/>
  <c r="H71" i="29" s="1"/>
  <c r="AO70" i="29"/>
  <c r="AI70" i="29"/>
  <c r="AC70" i="29"/>
  <c r="AF70" i="29" s="1"/>
  <c r="W70" i="29"/>
  <c r="Q70" i="29"/>
  <c r="S70" i="29" s="1"/>
  <c r="G70" i="29"/>
  <c r="AO69" i="29"/>
  <c r="AI69" i="29"/>
  <c r="AC69" i="29"/>
  <c r="AF69" i="29" s="1"/>
  <c r="W69" i="29"/>
  <c r="Z69" i="29" s="1"/>
  <c r="Q69" i="29"/>
  <c r="G69" i="29"/>
  <c r="AO68" i="29"/>
  <c r="AI68" i="29"/>
  <c r="AC68" i="29"/>
  <c r="W68" i="29"/>
  <c r="Q68" i="29"/>
  <c r="S68" i="29" s="1"/>
  <c r="G68" i="29"/>
  <c r="AO67" i="29"/>
  <c r="AI67" i="29"/>
  <c r="AC67" i="29"/>
  <c r="AD67" i="29" s="1"/>
  <c r="W67" i="29"/>
  <c r="X67" i="29" s="1"/>
  <c r="Q67" i="29"/>
  <c r="G67" i="29"/>
  <c r="AO66" i="29"/>
  <c r="AI66" i="29"/>
  <c r="AC66" i="29"/>
  <c r="AF66" i="29" s="1"/>
  <c r="W66" i="29"/>
  <c r="Z66" i="29" s="1"/>
  <c r="Q66" i="29"/>
  <c r="S66" i="29" s="1"/>
  <c r="G66" i="29"/>
  <c r="H66" i="29" s="1"/>
  <c r="AO65" i="29"/>
  <c r="AI65" i="29"/>
  <c r="AC65" i="29"/>
  <c r="AE65" i="29" s="1"/>
  <c r="W65" i="29"/>
  <c r="Z65" i="29" s="1"/>
  <c r="Q65" i="29"/>
  <c r="G65" i="29"/>
  <c r="I65" i="29" s="1"/>
  <c r="AO64" i="29"/>
  <c r="AI64" i="29"/>
  <c r="AC64" i="29"/>
  <c r="AF64" i="29" s="1"/>
  <c r="W64" i="29"/>
  <c r="X64" i="29" s="1"/>
  <c r="Q64" i="29"/>
  <c r="S64" i="29" s="1"/>
  <c r="G64" i="29"/>
  <c r="AO63" i="29"/>
  <c r="AI63" i="29"/>
  <c r="AC63" i="29"/>
  <c r="AE63" i="29" s="1"/>
  <c r="W63" i="29"/>
  <c r="Y63" i="29" s="1"/>
  <c r="Q63" i="29"/>
  <c r="G63" i="29"/>
  <c r="AO62" i="29"/>
  <c r="AI62" i="29"/>
  <c r="AC62" i="29"/>
  <c r="AF62" i="29" s="1"/>
  <c r="W62" i="29"/>
  <c r="Z62" i="29" s="1"/>
  <c r="Q62" i="29"/>
  <c r="S62" i="29" s="1"/>
  <c r="G62" i="29"/>
  <c r="I62" i="29" s="1"/>
  <c r="AO61" i="29"/>
  <c r="AI61" i="29"/>
  <c r="AC61" i="29"/>
  <c r="AF61" i="29" s="1"/>
  <c r="W61" i="29"/>
  <c r="Z61" i="29" s="1"/>
  <c r="Q61" i="29"/>
  <c r="G61" i="29"/>
  <c r="I61" i="29" s="1"/>
  <c r="AO60" i="29"/>
  <c r="AI60" i="29"/>
  <c r="AC60" i="29"/>
  <c r="W60" i="29"/>
  <c r="Z60" i="29" s="1"/>
  <c r="Q60" i="29"/>
  <c r="S60" i="29" s="1"/>
  <c r="G60" i="29"/>
  <c r="I60" i="29" s="1"/>
  <c r="AO59" i="29"/>
  <c r="AI59" i="29"/>
  <c r="AC59" i="29"/>
  <c r="W59" i="29"/>
  <c r="X59" i="29" s="1"/>
  <c r="Q59" i="29"/>
  <c r="G59" i="29"/>
  <c r="AO58" i="29"/>
  <c r="AI58" i="29"/>
  <c r="AC58" i="29"/>
  <c r="W58" i="29"/>
  <c r="Q58" i="29"/>
  <c r="S58" i="29" s="1"/>
  <c r="G58" i="29"/>
  <c r="I58" i="29" s="1"/>
  <c r="AO57" i="29"/>
  <c r="AI57" i="29"/>
  <c r="AC57" i="29"/>
  <c r="AF57" i="29" s="1"/>
  <c r="W57" i="29"/>
  <c r="Z57" i="29" s="1"/>
  <c r="Q57" i="29"/>
  <c r="G57" i="29"/>
  <c r="I57" i="29" s="1"/>
  <c r="AO56" i="29"/>
  <c r="AI56" i="29"/>
  <c r="AC56" i="29"/>
  <c r="AF56" i="29" s="1"/>
  <c r="W56" i="29"/>
  <c r="X56" i="29" s="1"/>
  <c r="Q56" i="29"/>
  <c r="S56" i="29" s="1"/>
  <c r="G56" i="29"/>
  <c r="AO55" i="29"/>
  <c r="AI55" i="29"/>
  <c r="AC55" i="29"/>
  <c r="AE55" i="29" s="1"/>
  <c r="W55" i="29"/>
  <c r="Y55" i="29" s="1"/>
  <c r="Q55" i="29"/>
  <c r="G55" i="29"/>
  <c r="I55" i="29" s="1"/>
  <c r="AO54" i="29"/>
  <c r="AI54" i="29"/>
  <c r="AC54" i="29"/>
  <c r="AF54" i="29" s="1"/>
  <c r="W54" i="29"/>
  <c r="Z54" i="29" s="1"/>
  <c r="Q54" i="29"/>
  <c r="S54" i="29" s="1"/>
  <c r="G54" i="29"/>
  <c r="I54" i="29" s="1"/>
  <c r="AO53" i="29"/>
  <c r="AI53" i="29"/>
  <c r="AC53" i="29"/>
  <c r="AF53" i="29" s="1"/>
  <c r="W53" i="29"/>
  <c r="Z53" i="29" s="1"/>
  <c r="Q53" i="29"/>
  <c r="G53" i="29"/>
  <c r="I53" i="29" s="1"/>
  <c r="AO52" i="29"/>
  <c r="AI52" i="29"/>
  <c r="AC52" i="29"/>
  <c r="W52" i="29"/>
  <c r="Z52" i="29" s="1"/>
  <c r="Q52" i="29"/>
  <c r="S52" i="29" s="1"/>
  <c r="G52" i="29"/>
  <c r="I52" i="29" s="1"/>
  <c r="AO51" i="29"/>
  <c r="AI51" i="29"/>
  <c r="AC51" i="29"/>
  <c r="AD51" i="29" s="1"/>
  <c r="W51" i="29"/>
  <c r="Q51" i="29"/>
  <c r="G51" i="29"/>
  <c r="AO50" i="29"/>
  <c r="AI50" i="29"/>
  <c r="AC50" i="29"/>
  <c r="AD50" i="29" s="1"/>
  <c r="W50" i="29"/>
  <c r="Q50" i="29"/>
  <c r="S50" i="29" s="1"/>
  <c r="G50" i="29"/>
  <c r="I50" i="29" s="1"/>
  <c r="AO49" i="29"/>
  <c r="AI49" i="29"/>
  <c r="AC49" i="29"/>
  <c r="AF49" i="29" s="1"/>
  <c r="W49" i="29"/>
  <c r="Z49" i="29" s="1"/>
  <c r="Q49" i="29"/>
  <c r="G49" i="29"/>
  <c r="I49" i="29" s="1"/>
  <c r="AO48" i="29"/>
  <c r="AI48" i="29"/>
  <c r="AC48" i="29"/>
  <c r="AF48" i="29" s="1"/>
  <c r="W48" i="29"/>
  <c r="X48" i="29" s="1"/>
  <c r="Q48" i="29"/>
  <c r="S48" i="29" s="1"/>
  <c r="G48" i="29"/>
  <c r="AO47" i="29"/>
  <c r="AI47" i="29"/>
  <c r="AC47" i="29"/>
  <c r="AF47" i="29" s="1"/>
  <c r="W47" i="29"/>
  <c r="Z47" i="29" s="1"/>
  <c r="Q47" i="29"/>
  <c r="G47" i="29"/>
  <c r="I47" i="29" s="1"/>
  <c r="AO46" i="29"/>
  <c r="AI46" i="29"/>
  <c r="AC46" i="29"/>
  <c r="AF46" i="29" s="1"/>
  <c r="W46" i="29"/>
  <c r="Z46" i="29" s="1"/>
  <c r="Q46" i="29"/>
  <c r="S46" i="29" s="1"/>
  <c r="G46" i="29"/>
  <c r="I46" i="29" s="1"/>
  <c r="AO45" i="29"/>
  <c r="AI45" i="29"/>
  <c r="AC45" i="29"/>
  <c r="AF45" i="29" s="1"/>
  <c r="W45" i="29"/>
  <c r="Z45" i="29" s="1"/>
  <c r="Q45" i="29"/>
  <c r="G45" i="29"/>
  <c r="I45" i="29" s="1"/>
  <c r="AO44" i="29"/>
  <c r="AI44" i="29"/>
  <c r="AC44" i="29"/>
  <c r="W44" i="29"/>
  <c r="Q44" i="29"/>
  <c r="S44" i="29" s="1"/>
  <c r="G44" i="29"/>
  <c r="J44" i="29" s="1"/>
  <c r="AO43" i="29"/>
  <c r="AI43" i="29"/>
  <c r="AC43" i="29"/>
  <c r="AF43" i="29" s="1"/>
  <c r="W43" i="29"/>
  <c r="Z43" i="29" s="1"/>
  <c r="Q43" i="29"/>
  <c r="S43" i="29" s="1"/>
  <c r="G43" i="29"/>
  <c r="AO42" i="29"/>
  <c r="AI42" i="29"/>
  <c r="AC42" i="29"/>
  <c r="AF42" i="29" s="1"/>
  <c r="W42" i="29"/>
  <c r="Z42" i="29" s="1"/>
  <c r="Q42" i="29"/>
  <c r="S42" i="29" s="1"/>
  <c r="G42" i="29"/>
  <c r="H42" i="29" s="1"/>
  <c r="AO41" i="29"/>
  <c r="AI41" i="29"/>
  <c r="AC41" i="29"/>
  <c r="AD41" i="29" s="1"/>
  <c r="W41" i="29"/>
  <c r="Q41" i="29"/>
  <c r="G41" i="29"/>
  <c r="H41" i="29" s="1"/>
  <c r="AO40" i="29"/>
  <c r="AI40" i="29"/>
  <c r="AC40" i="29"/>
  <c r="AF40" i="29" s="1"/>
  <c r="W40" i="29"/>
  <c r="Z40" i="29" s="1"/>
  <c r="Q40" i="29"/>
  <c r="S40" i="29" s="1"/>
  <c r="G40" i="29"/>
  <c r="H40" i="29" s="1"/>
  <c r="AO39" i="29"/>
  <c r="AI39" i="29"/>
  <c r="AC39" i="29"/>
  <c r="AD39" i="29" s="1"/>
  <c r="W39" i="29"/>
  <c r="Q39" i="29"/>
  <c r="S39" i="29" s="1"/>
  <c r="G39" i="29"/>
  <c r="I39" i="29" s="1"/>
  <c r="AO38" i="29"/>
  <c r="AI38" i="29"/>
  <c r="AC38" i="29"/>
  <c r="W38" i="29"/>
  <c r="Z38" i="29" s="1"/>
  <c r="Q38" i="29"/>
  <c r="S38" i="29" s="1"/>
  <c r="G38" i="29"/>
  <c r="I38" i="29" s="1"/>
  <c r="AO37" i="29"/>
  <c r="AI37" i="29"/>
  <c r="AC37" i="29"/>
  <c r="AD37" i="29" s="1"/>
  <c r="W37" i="29"/>
  <c r="X37" i="29" s="1"/>
  <c r="Q37" i="29"/>
  <c r="G37" i="29"/>
  <c r="AO36" i="29"/>
  <c r="AI36" i="29"/>
  <c r="AC36" i="29"/>
  <c r="AD36" i="29" s="1"/>
  <c r="W36" i="29"/>
  <c r="X36" i="29" s="1"/>
  <c r="Q36" i="29"/>
  <c r="S36" i="29" s="1"/>
  <c r="G36" i="29"/>
  <c r="AO35" i="29"/>
  <c r="AI35" i="29"/>
  <c r="AC35" i="29"/>
  <c r="AE35" i="29" s="1"/>
  <c r="X35" i="29"/>
  <c r="W35" i="29"/>
  <c r="Y35" i="29" s="1"/>
  <c r="Q35" i="29"/>
  <c r="S35" i="29" s="1"/>
  <c r="G35" i="29"/>
  <c r="J35" i="29" s="1"/>
  <c r="AO34" i="29"/>
  <c r="AI34" i="29"/>
  <c r="AC34" i="29"/>
  <c r="AF34" i="29" s="1"/>
  <c r="W34" i="29"/>
  <c r="Z34" i="29" s="1"/>
  <c r="Q34" i="29"/>
  <c r="S34" i="29" s="1"/>
  <c r="G34" i="29"/>
  <c r="J34" i="29" s="1"/>
  <c r="AO33" i="29"/>
  <c r="AI33" i="29"/>
  <c r="AC33" i="29"/>
  <c r="AE33" i="29" s="1"/>
  <c r="W33" i="29"/>
  <c r="Y33" i="29" s="1"/>
  <c r="Q33" i="29"/>
  <c r="G33" i="29"/>
  <c r="J33" i="29" s="1"/>
  <c r="AO32" i="29"/>
  <c r="AI32" i="29"/>
  <c r="AC32" i="29"/>
  <c r="AE32" i="29" s="1"/>
  <c r="W32" i="29"/>
  <c r="Y32" i="29" s="1"/>
  <c r="Q32" i="29"/>
  <c r="S32" i="29" s="1"/>
  <c r="G32" i="29"/>
  <c r="J32" i="29" s="1"/>
  <c r="AO31" i="29"/>
  <c r="AI31" i="29"/>
  <c r="AC31" i="29"/>
  <c r="AE31" i="29" s="1"/>
  <c r="W31" i="29"/>
  <c r="Y31" i="29" s="1"/>
  <c r="Q31" i="29"/>
  <c r="G31" i="29"/>
  <c r="J31" i="29" s="1"/>
  <c r="AO30" i="29"/>
  <c r="AI30" i="29"/>
  <c r="AC30" i="29"/>
  <c r="AD30" i="29" s="1"/>
  <c r="W30" i="29"/>
  <c r="X30" i="29" s="1"/>
  <c r="Q30" i="29"/>
  <c r="S30" i="29" s="1"/>
  <c r="G30" i="29"/>
  <c r="J30" i="29" s="1"/>
  <c r="AO29" i="29"/>
  <c r="AI29" i="29"/>
  <c r="AC29" i="29"/>
  <c r="AE29" i="29" s="1"/>
  <c r="W29" i="29"/>
  <c r="Y29" i="29" s="1"/>
  <c r="Q29" i="29"/>
  <c r="G29" i="29"/>
  <c r="J29" i="29" s="1"/>
  <c r="AO28" i="29"/>
  <c r="AI28" i="29"/>
  <c r="AC28" i="29"/>
  <c r="AF28" i="29" s="1"/>
  <c r="W28" i="29"/>
  <c r="Z28" i="29" s="1"/>
  <c r="Q28" i="29"/>
  <c r="S28" i="29" s="1"/>
  <c r="G28" i="29"/>
  <c r="J28" i="29" s="1"/>
  <c r="AO27" i="29"/>
  <c r="AI27" i="29"/>
  <c r="AC27" i="29"/>
  <c r="AE27" i="29" s="1"/>
  <c r="W27" i="29"/>
  <c r="Y27" i="29" s="1"/>
  <c r="Q27" i="29"/>
  <c r="G27" i="29"/>
  <c r="J27" i="29" s="1"/>
  <c r="AO26" i="29"/>
  <c r="AI26" i="29"/>
  <c r="AC26" i="29"/>
  <c r="AF26" i="29" s="1"/>
  <c r="W26" i="29"/>
  <c r="Z26" i="29" s="1"/>
  <c r="Q26" i="29"/>
  <c r="S26" i="29" s="1"/>
  <c r="G26" i="29"/>
  <c r="J26" i="29" s="1"/>
  <c r="AO25" i="29"/>
  <c r="AI25" i="29"/>
  <c r="AC25" i="29"/>
  <c r="AE25" i="29" s="1"/>
  <c r="W25" i="29"/>
  <c r="Y25" i="29" s="1"/>
  <c r="Q25" i="29"/>
  <c r="G25" i="29"/>
  <c r="J25" i="29" s="1"/>
  <c r="AO24" i="29"/>
  <c r="AI24" i="29"/>
  <c r="AC24" i="29"/>
  <c r="AE24" i="29" s="1"/>
  <c r="W24" i="29"/>
  <c r="Y24" i="29" s="1"/>
  <c r="Q24" i="29"/>
  <c r="S24" i="29" s="1"/>
  <c r="G24" i="29"/>
  <c r="I24" i="29" s="1"/>
  <c r="AO23" i="29"/>
  <c r="AI23" i="29"/>
  <c r="AC23" i="29"/>
  <c r="AF23" i="29" s="1"/>
  <c r="W23" i="29"/>
  <c r="Z23" i="29" s="1"/>
  <c r="Q23" i="29"/>
  <c r="G23" i="29"/>
  <c r="I23" i="29" s="1"/>
  <c r="AO22" i="29"/>
  <c r="AI22" i="29"/>
  <c r="AC22" i="29"/>
  <c r="AF22" i="29" s="1"/>
  <c r="W22" i="29"/>
  <c r="Z22" i="29" s="1"/>
  <c r="Q22" i="29"/>
  <c r="S22" i="29" s="1"/>
  <c r="G22" i="29"/>
  <c r="I22" i="29" s="1"/>
  <c r="AO21" i="29"/>
  <c r="AI21" i="29"/>
  <c r="AC21" i="29"/>
  <c r="AF21" i="29" s="1"/>
  <c r="W21" i="29"/>
  <c r="Z21" i="29" s="1"/>
  <c r="Q21" i="29"/>
  <c r="G21" i="29"/>
  <c r="I21" i="29" s="1"/>
  <c r="AO20" i="29"/>
  <c r="AI20" i="29"/>
  <c r="AC20" i="29"/>
  <c r="AF20" i="29" s="1"/>
  <c r="W20" i="29"/>
  <c r="Z20" i="29" s="1"/>
  <c r="Q20" i="29"/>
  <c r="S20" i="29" s="1"/>
  <c r="G20" i="29"/>
  <c r="J20" i="29" s="1"/>
  <c r="AO19" i="29"/>
  <c r="AI19" i="29"/>
  <c r="AC19" i="29"/>
  <c r="AF19" i="29" s="1"/>
  <c r="W19" i="29"/>
  <c r="Z19" i="29" s="1"/>
  <c r="Q19" i="29"/>
  <c r="G19" i="29"/>
  <c r="H19" i="29" s="1"/>
  <c r="AO18" i="29"/>
  <c r="AI18" i="29"/>
  <c r="AC18" i="29"/>
  <c r="AF18" i="29" s="1"/>
  <c r="W18" i="29"/>
  <c r="Z18" i="29" s="1"/>
  <c r="Q18" i="29"/>
  <c r="S18" i="29" s="1"/>
  <c r="G18" i="29"/>
  <c r="J18" i="29" s="1"/>
  <c r="AO17" i="29"/>
  <c r="AI17" i="29"/>
  <c r="AC17" i="29"/>
  <c r="AF17" i="29" s="1"/>
  <c r="W17" i="29"/>
  <c r="Z17" i="29" s="1"/>
  <c r="Q17" i="29"/>
  <c r="G17" i="29"/>
  <c r="H17" i="29" s="1"/>
  <c r="AO16" i="29"/>
  <c r="AI16" i="29"/>
  <c r="AC16" i="29"/>
  <c r="AF16" i="29" s="1"/>
  <c r="W16" i="29"/>
  <c r="Z16" i="29" s="1"/>
  <c r="Q16" i="29"/>
  <c r="S16" i="29" s="1"/>
  <c r="G16" i="29"/>
  <c r="J16" i="29" s="1"/>
  <c r="AO15" i="29"/>
  <c r="AI15" i="29"/>
  <c r="AC15" i="29"/>
  <c r="AF15" i="29" s="1"/>
  <c r="W15" i="29"/>
  <c r="Z15" i="29" s="1"/>
  <c r="Q15" i="29"/>
  <c r="G15" i="29"/>
  <c r="J15" i="29" s="1"/>
  <c r="AO14" i="29"/>
  <c r="AI14" i="29"/>
  <c r="AC14" i="29"/>
  <c r="AE14" i="29" s="1"/>
  <c r="W14" i="29"/>
  <c r="Y14" i="29" s="1"/>
  <c r="Q14" i="29"/>
  <c r="S14" i="29" s="1"/>
  <c r="G14" i="29"/>
  <c r="J14" i="29" s="1"/>
  <c r="AO13" i="29"/>
  <c r="AI13" i="29"/>
  <c r="AC13" i="29"/>
  <c r="AF13" i="29" s="1"/>
  <c r="W13" i="29"/>
  <c r="Z13" i="29" s="1"/>
  <c r="Q13" i="29"/>
  <c r="G13" i="29"/>
  <c r="J13" i="29" s="1"/>
  <c r="AO12" i="29"/>
  <c r="AI12" i="29"/>
  <c r="AC12" i="29"/>
  <c r="AE12" i="29" s="1"/>
  <c r="W12" i="29"/>
  <c r="Y12" i="29" s="1"/>
  <c r="Q12" i="29"/>
  <c r="S12" i="29" s="1"/>
  <c r="G12" i="29"/>
  <c r="J12" i="29" s="1"/>
  <c r="AO11" i="29"/>
  <c r="AI11" i="29"/>
  <c r="AC11" i="29"/>
  <c r="AF11" i="29" s="1"/>
  <c r="W11" i="29"/>
  <c r="Z11" i="29" s="1"/>
  <c r="Q11" i="29"/>
  <c r="S11" i="29" s="1"/>
  <c r="G11" i="29"/>
  <c r="I11" i="29" s="1"/>
  <c r="AO10" i="29"/>
  <c r="AI10" i="29"/>
  <c r="AC10" i="29"/>
  <c r="AF10" i="29" s="1"/>
  <c r="W10" i="29"/>
  <c r="Z10" i="29" s="1"/>
  <c r="Q10" i="29"/>
  <c r="S10" i="29" s="1"/>
  <c r="G10" i="29"/>
  <c r="J10" i="29" s="1"/>
  <c r="AO9" i="29"/>
  <c r="AI9" i="29"/>
  <c r="AC9" i="29"/>
  <c r="AF9" i="29" s="1"/>
  <c r="W9" i="29"/>
  <c r="Z9" i="29" s="1"/>
  <c r="Q9" i="29"/>
  <c r="G9" i="29"/>
  <c r="I9" i="29" s="1"/>
  <c r="AO8" i="29"/>
  <c r="AI8" i="29"/>
  <c r="AC8" i="29"/>
  <c r="AF8" i="29" s="1"/>
  <c r="W8" i="29"/>
  <c r="Z8" i="29" s="1"/>
  <c r="Q8" i="29"/>
  <c r="S8" i="29" s="1"/>
  <c r="G8" i="29"/>
  <c r="J8" i="29" s="1"/>
  <c r="AO7" i="29"/>
  <c r="AI7" i="29"/>
  <c r="AC7" i="29"/>
  <c r="AF7" i="29" s="1"/>
  <c r="W7" i="29"/>
  <c r="Z7" i="29" s="1"/>
  <c r="Q7" i="29"/>
  <c r="G7" i="29"/>
  <c r="J7" i="29" s="1"/>
  <c r="AO6" i="29"/>
  <c r="AI6" i="29"/>
  <c r="AC6" i="29"/>
  <c r="AD6" i="29" s="1"/>
  <c r="W6" i="29"/>
  <c r="X6" i="29" s="1"/>
  <c r="Q6" i="29"/>
  <c r="S6" i="29" s="1"/>
  <c r="G6" i="29"/>
  <c r="J6" i="29" s="1"/>
  <c r="AO5" i="29"/>
  <c r="AI5" i="29"/>
  <c r="AC5" i="29"/>
  <c r="AF5" i="29" s="1"/>
  <c r="W5" i="29"/>
  <c r="Z5" i="29" s="1"/>
  <c r="Q5" i="29"/>
  <c r="G5" i="29"/>
  <c r="J5" i="29" s="1"/>
  <c r="AO4" i="29"/>
  <c r="AI4" i="29"/>
  <c r="AC4" i="29"/>
  <c r="AD4" i="29" s="1"/>
  <c r="W4" i="29"/>
  <c r="X4" i="29" s="1"/>
  <c r="Q4" i="29"/>
  <c r="S4" i="29" s="1"/>
  <c r="G4" i="29"/>
  <c r="J4" i="29" s="1"/>
  <c r="AO3" i="29"/>
  <c r="AI3" i="29"/>
  <c r="AC3" i="29"/>
  <c r="AF3" i="29" s="1"/>
  <c r="W3" i="29"/>
  <c r="Z3" i="29" s="1"/>
  <c r="Q3" i="29"/>
  <c r="G3" i="29"/>
  <c r="J3" i="29" s="1"/>
  <c r="M1" i="29"/>
  <c r="AN110" i="33"/>
  <c r="AH110" i="33"/>
  <c r="AB110" i="33"/>
  <c r="AD110" i="33" s="1"/>
  <c r="V110" i="33"/>
  <c r="P110" i="33"/>
  <c r="R110" i="33" s="1"/>
  <c r="I110" i="33"/>
  <c r="H110" i="33"/>
  <c r="G110" i="33"/>
  <c r="AN109" i="33"/>
  <c r="AH109" i="33"/>
  <c r="AB109" i="33"/>
  <c r="V109" i="33"/>
  <c r="X109" i="33" s="1"/>
  <c r="P109" i="33"/>
  <c r="I109" i="33"/>
  <c r="H109" i="33"/>
  <c r="G109" i="33"/>
  <c r="AN108" i="33"/>
  <c r="AH108" i="33"/>
  <c r="AB108" i="33"/>
  <c r="V108" i="33"/>
  <c r="X108" i="33" s="1"/>
  <c r="P108" i="33"/>
  <c r="I108" i="33"/>
  <c r="H108" i="33"/>
  <c r="G108" i="33"/>
  <c r="AN107" i="33"/>
  <c r="AH107" i="33"/>
  <c r="AB107" i="33"/>
  <c r="V107" i="33"/>
  <c r="W107" i="33" s="1"/>
  <c r="P107" i="33"/>
  <c r="R107" i="33" s="1"/>
  <c r="I107" i="33"/>
  <c r="H107" i="33"/>
  <c r="G107" i="33"/>
  <c r="AN106" i="33"/>
  <c r="AH106" i="33"/>
  <c r="AB106" i="33"/>
  <c r="AC106" i="33" s="1"/>
  <c r="V106" i="33"/>
  <c r="P106" i="33"/>
  <c r="R106" i="33" s="1"/>
  <c r="I106" i="33"/>
  <c r="H106" i="33"/>
  <c r="G106" i="33"/>
  <c r="AN105" i="33"/>
  <c r="AH105" i="33"/>
  <c r="AB105" i="33"/>
  <c r="AC105" i="33" s="1"/>
  <c r="V105" i="33"/>
  <c r="P105" i="33"/>
  <c r="Q105" i="33" s="1"/>
  <c r="F105" i="33"/>
  <c r="G105" i="33" s="1"/>
  <c r="AN104" i="33"/>
  <c r="AH104" i="33"/>
  <c r="AB104" i="33"/>
  <c r="V104" i="33"/>
  <c r="W104" i="33" s="1"/>
  <c r="P104" i="33"/>
  <c r="F104" i="33"/>
  <c r="AN103" i="33"/>
  <c r="AH103" i="33"/>
  <c r="AB103" i="33"/>
  <c r="AC103" i="33" s="1"/>
  <c r="V103" i="33"/>
  <c r="P103" i="33"/>
  <c r="F103" i="33"/>
  <c r="AN102" i="33"/>
  <c r="AH102" i="33"/>
  <c r="AB102" i="33"/>
  <c r="AC102" i="33" s="1"/>
  <c r="V102" i="33"/>
  <c r="P102" i="33"/>
  <c r="Q102" i="33" s="1"/>
  <c r="F102" i="33"/>
  <c r="G102" i="33" s="1"/>
  <c r="AN101" i="33"/>
  <c r="AH101" i="33"/>
  <c r="AB101" i="33"/>
  <c r="AC101" i="33" s="1"/>
  <c r="V101" i="33"/>
  <c r="W101" i="33" s="1"/>
  <c r="P101" i="33"/>
  <c r="Q101" i="33" s="1"/>
  <c r="F101" i="33"/>
  <c r="AN100" i="33"/>
  <c r="AH100" i="33"/>
  <c r="AB100" i="33"/>
  <c r="AC100" i="33" s="1"/>
  <c r="V100" i="33"/>
  <c r="W100" i="33" s="1"/>
  <c r="P100" i="33"/>
  <c r="Q100" i="33" s="1"/>
  <c r="F100" i="33"/>
  <c r="I100" i="33" s="1"/>
  <c r="AN99" i="33"/>
  <c r="AH99" i="33"/>
  <c r="AB99" i="33"/>
  <c r="V99" i="33"/>
  <c r="P99" i="33"/>
  <c r="I99" i="33"/>
  <c r="H99" i="33"/>
  <c r="G99" i="33"/>
  <c r="AN98" i="33"/>
  <c r="AH98" i="33"/>
  <c r="AB98" i="33"/>
  <c r="AC98" i="33" s="1"/>
  <c r="V98" i="33"/>
  <c r="Y98" i="33" s="1"/>
  <c r="P98" i="33"/>
  <c r="F98" i="33"/>
  <c r="G98" i="33" s="1"/>
  <c r="AN97" i="33"/>
  <c r="AH97" i="33"/>
  <c r="AB97" i="33"/>
  <c r="AC97" i="33" s="1"/>
  <c r="V97" i="33"/>
  <c r="P97" i="33"/>
  <c r="F97" i="33"/>
  <c r="AN96" i="33"/>
  <c r="AH96" i="33"/>
  <c r="AB96" i="33"/>
  <c r="AE96" i="33" s="1"/>
  <c r="V96" i="33"/>
  <c r="P96" i="33"/>
  <c r="Q96" i="33" s="1"/>
  <c r="F96" i="33"/>
  <c r="I96" i="33" s="1"/>
  <c r="AN95" i="33"/>
  <c r="AH95" i="33"/>
  <c r="AB95" i="33"/>
  <c r="V95" i="33"/>
  <c r="W95" i="33" s="1"/>
  <c r="P95" i="33"/>
  <c r="S95" i="33" s="1"/>
  <c r="I95" i="33"/>
  <c r="H95" i="33"/>
  <c r="G95" i="33"/>
  <c r="AN94" i="33"/>
  <c r="AH94" i="33"/>
  <c r="AB94" i="33"/>
  <c r="AC94" i="33" s="1"/>
  <c r="V94" i="33"/>
  <c r="P94" i="33"/>
  <c r="I94" i="33"/>
  <c r="H94" i="33"/>
  <c r="G94" i="33"/>
  <c r="AN93" i="33"/>
  <c r="AH93" i="33"/>
  <c r="AB93" i="33"/>
  <c r="V93" i="33"/>
  <c r="W93" i="33" s="1"/>
  <c r="P93" i="33"/>
  <c r="S93" i="33" s="1"/>
  <c r="I93" i="33"/>
  <c r="H93" i="33"/>
  <c r="G93" i="33"/>
  <c r="AN92" i="33"/>
  <c r="AH92" i="33"/>
  <c r="AB92" i="33"/>
  <c r="V92" i="33"/>
  <c r="P92" i="33"/>
  <c r="I92" i="33"/>
  <c r="H92" i="33"/>
  <c r="G92" i="33"/>
  <c r="AN91" i="33"/>
  <c r="AH91" i="33"/>
  <c r="AB91" i="33"/>
  <c r="V91" i="33"/>
  <c r="W91" i="33" s="1"/>
  <c r="P91" i="33"/>
  <c r="S91" i="33" s="1"/>
  <c r="I91" i="33"/>
  <c r="H91" i="33"/>
  <c r="G91" i="33"/>
  <c r="AN90" i="33"/>
  <c r="AH90" i="33"/>
  <c r="AB90" i="33"/>
  <c r="AC90" i="33" s="1"/>
  <c r="V90" i="33"/>
  <c r="P90" i="33"/>
  <c r="I90" i="33"/>
  <c r="H90" i="33"/>
  <c r="G90" i="33"/>
  <c r="AN89" i="33"/>
  <c r="AH89" i="33"/>
  <c r="AB89" i="33"/>
  <c r="V89" i="33"/>
  <c r="W89" i="33" s="1"/>
  <c r="P89" i="33"/>
  <c r="S89" i="33" s="1"/>
  <c r="I89" i="33"/>
  <c r="H89" i="33"/>
  <c r="G89" i="33"/>
  <c r="AN88" i="33"/>
  <c r="AH88" i="33"/>
  <c r="AB88" i="33"/>
  <c r="V88" i="33"/>
  <c r="P88" i="33"/>
  <c r="Q88" i="33" s="1"/>
  <c r="F88" i="33"/>
  <c r="AN87" i="33"/>
  <c r="AH87" i="33"/>
  <c r="AB87" i="33"/>
  <c r="V87" i="33"/>
  <c r="P87" i="33"/>
  <c r="S87" i="33" s="1"/>
  <c r="F87" i="33"/>
  <c r="AN86" i="33"/>
  <c r="AH86" i="33"/>
  <c r="AB86" i="33"/>
  <c r="AC86" i="33" s="1"/>
  <c r="V86" i="33"/>
  <c r="W86" i="33" s="1"/>
  <c r="P86" i="33"/>
  <c r="S86" i="33" s="1"/>
  <c r="F86" i="33"/>
  <c r="AN85" i="33"/>
  <c r="AH85" i="33"/>
  <c r="AB85" i="33"/>
  <c r="AE85" i="33" s="1"/>
  <c r="V85" i="33"/>
  <c r="Y85" i="33" s="1"/>
  <c r="P85" i="33"/>
  <c r="S85" i="33" s="1"/>
  <c r="F85" i="33"/>
  <c r="H85" i="33" s="1"/>
  <c r="AN84" i="33"/>
  <c r="AH84" i="33"/>
  <c r="AB84" i="33"/>
  <c r="V84" i="33"/>
  <c r="P84" i="33"/>
  <c r="Q84" i="33" s="1"/>
  <c r="F84" i="33"/>
  <c r="G84" i="33" s="1"/>
  <c r="AN83" i="33"/>
  <c r="AH83" i="33"/>
  <c r="AB83" i="33"/>
  <c r="AE83" i="33" s="1"/>
  <c r="V83" i="33"/>
  <c r="Y83" i="33" s="1"/>
  <c r="P83" i="33"/>
  <c r="Q83" i="33" s="1"/>
  <c r="F83" i="33"/>
  <c r="I83" i="33" s="1"/>
  <c r="AN82" i="33"/>
  <c r="AH82" i="33"/>
  <c r="AB82" i="33"/>
  <c r="V82" i="33"/>
  <c r="P82" i="33"/>
  <c r="F82" i="33"/>
  <c r="G82" i="33" s="1"/>
  <c r="AN81" i="33"/>
  <c r="AH81" i="33"/>
  <c r="AB81" i="33"/>
  <c r="AD81" i="33" s="1"/>
  <c r="V81" i="33"/>
  <c r="P81" i="33"/>
  <c r="S81" i="33" s="1"/>
  <c r="I81" i="33"/>
  <c r="H81" i="33"/>
  <c r="G81" i="33"/>
  <c r="AN80" i="33"/>
  <c r="AH80" i="33"/>
  <c r="AB80" i="33"/>
  <c r="AD80" i="33" s="1"/>
  <c r="V80" i="33"/>
  <c r="X80" i="33" s="1"/>
  <c r="P80" i="33"/>
  <c r="I80" i="33"/>
  <c r="H80" i="33"/>
  <c r="G80" i="33"/>
  <c r="AN79" i="33"/>
  <c r="AH79" i="33"/>
  <c r="AB79" i="33"/>
  <c r="V79" i="33"/>
  <c r="X79" i="33" s="1"/>
  <c r="P79" i="33"/>
  <c r="S79" i="33" s="1"/>
  <c r="I79" i="33"/>
  <c r="H79" i="33"/>
  <c r="G79" i="33"/>
  <c r="AN78" i="33"/>
  <c r="AH78" i="33"/>
  <c r="AB78" i="33"/>
  <c r="AD78" i="33" s="1"/>
  <c r="V78" i="33"/>
  <c r="X78" i="33" s="1"/>
  <c r="P78" i="33"/>
  <c r="S78" i="33" s="1"/>
  <c r="I78" i="33"/>
  <c r="H78" i="33"/>
  <c r="G78" i="33"/>
  <c r="AN77" i="33"/>
  <c r="AH77" i="33"/>
  <c r="AB77" i="33"/>
  <c r="AD77" i="33" s="1"/>
  <c r="V77" i="33"/>
  <c r="P77" i="33"/>
  <c r="S77" i="33" s="1"/>
  <c r="I77" i="33"/>
  <c r="H77" i="33"/>
  <c r="G77" i="33"/>
  <c r="AN76" i="33"/>
  <c r="AH76" i="33"/>
  <c r="AB76" i="33"/>
  <c r="AD76" i="33" s="1"/>
  <c r="V76" i="33"/>
  <c r="Y76" i="33" s="1"/>
  <c r="P76" i="33"/>
  <c r="Q76" i="33" s="1"/>
  <c r="I76" i="33"/>
  <c r="H76" i="33"/>
  <c r="G76" i="33"/>
  <c r="AN75" i="33"/>
  <c r="AH75" i="33"/>
  <c r="AB75" i="33"/>
  <c r="AE75" i="33" s="1"/>
  <c r="V75" i="33"/>
  <c r="Y75" i="33" s="1"/>
  <c r="P75" i="33"/>
  <c r="I75" i="33"/>
  <c r="H75" i="33"/>
  <c r="G75" i="33"/>
  <c r="AN74" i="33"/>
  <c r="AH74" i="33"/>
  <c r="AB74" i="33"/>
  <c r="AE74" i="33" s="1"/>
  <c r="V74" i="33"/>
  <c r="Y74" i="33" s="1"/>
  <c r="P74" i="33"/>
  <c r="F74" i="33"/>
  <c r="H74" i="33" s="1"/>
  <c r="AN73" i="33"/>
  <c r="AH73" i="33"/>
  <c r="AB73" i="33"/>
  <c r="V73" i="33"/>
  <c r="X73" i="33" s="1"/>
  <c r="P73" i="33"/>
  <c r="F73" i="33"/>
  <c r="AN72" i="33"/>
  <c r="AH72" i="33"/>
  <c r="AB72" i="33"/>
  <c r="AE72" i="33" s="1"/>
  <c r="V72" i="33"/>
  <c r="Y72" i="33" s="1"/>
  <c r="P72" i="33"/>
  <c r="F72" i="33"/>
  <c r="G72" i="33" s="1"/>
  <c r="AN71" i="33"/>
  <c r="AH71" i="33"/>
  <c r="AB71" i="33"/>
  <c r="AC71" i="33" s="1"/>
  <c r="V71" i="33"/>
  <c r="W71" i="33" s="1"/>
  <c r="P71" i="33"/>
  <c r="S71" i="33" s="1"/>
  <c r="I71" i="33"/>
  <c r="H71" i="33"/>
  <c r="G71" i="33"/>
  <c r="AN70" i="33"/>
  <c r="AH70" i="33"/>
  <c r="AB70" i="33"/>
  <c r="V70" i="33"/>
  <c r="P70" i="33"/>
  <c r="S70" i="33" s="1"/>
  <c r="F70" i="33"/>
  <c r="G70" i="33" s="1"/>
  <c r="AN69" i="33"/>
  <c r="AH69" i="33"/>
  <c r="AB69" i="33"/>
  <c r="AC69" i="33" s="1"/>
  <c r="V69" i="33"/>
  <c r="W69" i="33" s="1"/>
  <c r="P69" i="33"/>
  <c r="F69" i="33"/>
  <c r="I69" i="33" s="1"/>
  <c r="AN68" i="33"/>
  <c r="AH68" i="33"/>
  <c r="AB68" i="33"/>
  <c r="AE68" i="33" s="1"/>
  <c r="V68" i="33"/>
  <c r="Y68" i="33" s="1"/>
  <c r="P68" i="33"/>
  <c r="F68" i="33"/>
  <c r="G68" i="33" s="1"/>
  <c r="AN67" i="33"/>
  <c r="AH67" i="33"/>
  <c r="AB67" i="33"/>
  <c r="AD67" i="33" s="1"/>
  <c r="V67" i="33"/>
  <c r="X67" i="33" s="1"/>
  <c r="P67" i="33"/>
  <c r="S67" i="33" s="1"/>
  <c r="F67" i="33"/>
  <c r="H67" i="33" s="1"/>
  <c r="AN66" i="33"/>
  <c r="AH66" i="33"/>
  <c r="AB66" i="33"/>
  <c r="V66" i="33"/>
  <c r="X66" i="33" s="1"/>
  <c r="P66" i="33"/>
  <c r="S66" i="33" s="1"/>
  <c r="F66" i="33"/>
  <c r="I66" i="33" s="1"/>
  <c r="AN65" i="33"/>
  <c r="AH65" i="33"/>
  <c r="AB65" i="33"/>
  <c r="AD65" i="33" s="1"/>
  <c r="V65" i="33"/>
  <c r="X65" i="33" s="1"/>
  <c r="P65" i="33"/>
  <c r="R65" i="33" s="1"/>
  <c r="F65" i="33"/>
  <c r="G65" i="33" s="1"/>
  <c r="AN64" i="33"/>
  <c r="AH64" i="33"/>
  <c r="AB64" i="33"/>
  <c r="V64" i="33"/>
  <c r="P64" i="33"/>
  <c r="S64" i="33" s="1"/>
  <c r="F64" i="33"/>
  <c r="AN63" i="33"/>
  <c r="AH63" i="33"/>
  <c r="AB63" i="33"/>
  <c r="AE63" i="33" s="1"/>
  <c r="V63" i="33"/>
  <c r="Y63" i="33" s="1"/>
  <c r="P63" i="33"/>
  <c r="S63" i="33" s="1"/>
  <c r="F63" i="33"/>
  <c r="I63" i="33" s="1"/>
  <c r="AN62" i="33"/>
  <c r="AH62" i="33"/>
  <c r="AB62" i="33"/>
  <c r="AE62" i="33" s="1"/>
  <c r="V62" i="33"/>
  <c r="P62" i="33"/>
  <c r="S62" i="33" s="1"/>
  <c r="F62" i="33"/>
  <c r="I62" i="33" s="1"/>
  <c r="AN61" i="33"/>
  <c r="AH61" i="33"/>
  <c r="AB61" i="33"/>
  <c r="AE61" i="33" s="1"/>
  <c r="V61" i="33"/>
  <c r="Y61" i="33" s="1"/>
  <c r="P61" i="33"/>
  <c r="F61" i="33"/>
  <c r="I61" i="33" s="1"/>
  <c r="AN60" i="33"/>
  <c r="AH60" i="33"/>
  <c r="AB60" i="33"/>
  <c r="V60" i="33"/>
  <c r="Y60" i="33" s="1"/>
  <c r="P60" i="33"/>
  <c r="F60" i="33"/>
  <c r="G60" i="33" s="1"/>
  <c r="AN59" i="33"/>
  <c r="AH59" i="33"/>
  <c r="AB59" i="33"/>
  <c r="AC59" i="33" s="1"/>
  <c r="V59" i="33"/>
  <c r="W59" i="33" s="1"/>
  <c r="P59" i="33"/>
  <c r="S59" i="33" s="1"/>
  <c r="F59" i="33"/>
  <c r="I59" i="33" s="1"/>
  <c r="AN58" i="33"/>
  <c r="AH58" i="33"/>
  <c r="AB58" i="33"/>
  <c r="AE58" i="33" s="1"/>
  <c r="V58" i="33"/>
  <c r="Y58" i="33" s="1"/>
  <c r="P58" i="33"/>
  <c r="S58" i="33" s="1"/>
  <c r="F58" i="33"/>
  <c r="I58" i="33" s="1"/>
  <c r="AN57" i="33"/>
  <c r="AH57" i="33"/>
  <c r="AB57" i="33"/>
  <c r="AE57" i="33" s="1"/>
  <c r="V57" i="33"/>
  <c r="Y57" i="33" s="1"/>
  <c r="P57" i="33"/>
  <c r="F57" i="33"/>
  <c r="G57" i="33" s="1"/>
  <c r="AN56" i="33"/>
  <c r="AH56" i="33"/>
  <c r="AB56" i="33"/>
  <c r="AC56" i="33" s="1"/>
  <c r="V56" i="33"/>
  <c r="W56" i="33" s="1"/>
  <c r="P56" i="33"/>
  <c r="S56" i="33" s="1"/>
  <c r="F56" i="33"/>
  <c r="I56" i="33" s="1"/>
  <c r="AN55" i="33"/>
  <c r="AH55" i="33"/>
  <c r="AB55" i="33"/>
  <c r="AE55" i="33" s="1"/>
  <c r="V55" i="33"/>
  <c r="Y55" i="33" s="1"/>
  <c r="P55" i="33"/>
  <c r="F55" i="33"/>
  <c r="AN54" i="33"/>
  <c r="AH54" i="33"/>
  <c r="AB54" i="33"/>
  <c r="AE54" i="33" s="1"/>
  <c r="V54" i="33"/>
  <c r="Y54" i="33" s="1"/>
  <c r="P54" i="33"/>
  <c r="S54" i="33" s="1"/>
  <c r="F54" i="33"/>
  <c r="I54" i="33" s="1"/>
  <c r="AN53" i="33"/>
  <c r="AH53" i="33"/>
  <c r="AB53" i="33"/>
  <c r="V53" i="33"/>
  <c r="Y53" i="33" s="1"/>
  <c r="P53" i="33"/>
  <c r="S53" i="33" s="1"/>
  <c r="F53" i="33"/>
  <c r="I53" i="33" s="1"/>
  <c r="AN52" i="33"/>
  <c r="AH52" i="33"/>
  <c r="AB52" i="33"/>
  <c r="AD52" i="33" s="1"/>
  <c r="V52" i="33"/>
  <c r="X52" i="33" s="1"/>
  <c r="P52" i="33"/>
  <c r="S52" i="33" s="1"/>
  <c r="F52" i="33"/>
  <c r="I52" i="33" s="1"/>
  <c r="AN51" i="33"/>
  <c r="AH51" i="33"/>
  <c r="AB51" i="33"/>
  <c r="AE51" i="33" s="1"/>
  <c r="V51" i="33"/>
  <c r="Y51" i="33" s="1"/>
  <c r="P51" i="33"/>
  <c r="S51" i="33" s="1"/>
  <c r="F51" i="33"/>
  <c r="G51" i="33" s="1"/>
  <c r="AN50" i="33"/>
  <c r="AH50" i="33"/>
  <c r="AB50" i="33"/>
  <c r="AE50" i="33" s="1"/>
  <c r="V50" i="33"/>
  <c r="Y50" i="33" s="1"/>
  <c r="P50" i="33"/>
  <c r="S50" i="33" s="1"/>
  <c r="F50" i="33"/>
  <c r="I50" i="33" s="1"/>
  <c r="AN49" i="33"/>
  <c r="AH49" i="33"/>
  <c r="AB49" i="33"/>
  <c r="V49" i="33"/>
  <c r="Y49" i="33" s="1"/>
  <c r="P49" i="33"/>
  <c r="S49" i="33" s="1"/>
  <c r="F49" i="33"/>
  <c r="G49" i="33" s="1"/>
  <c r="AN48" i="33"/>
  <c r="AH48" i="33"/>
  <c r="AB48" i="33"/>
  <c r="AE48" i="33" s="1"/>
  <c r="V48" i="33"/>
  <c r="Y48" i="33" s="1"/>
  <c r="P48" i="33"/>
  <c r="F48" i="33"/>
  <c r="AN47" i="33"/>
  <c r="AH47" i="33"/>
  <c r="AB47" i="33"/>
  <c r="AC47" i="33" s="1"/>
  <c r="V47" i="33"/>
  <c r="P47" i="33"/>
  <c r="S47" i="33" s="1"/>
  <c r="F47" i="33"/>
  <c r="I47" i="33" s="1"/>
  <c r="AN46" i="33"/>
  <c r="AH46" i="33"/>
  <c r="AB46" i="33"/>
  <c r="V46" i="33"/>
  <c r="P46" i="33"/>
  <c r="S46" i="33" s="1"/>
  <c r="F46" i="33"/>
  <c r="I46" i="33" s="1"/>
  <c r="AN45" i="33"/>
  <c r="AH45" i="33"/>
  <c r="AB45" i="33"/>
  <c r="AC45" i="33" s="1"/>
  <c r="V45" i="33"/>
  <c r="W45" i="33" s="1"/>
  <c r="P45" i="33"/>
  <c r="F45" i="33"/>
  <c r="AN44" i="33"/>
  <c r="AH44" i="33"/>
  <c r="AB44" i="33"/>
  <c r="V44" i="33"/>
  <c r="P44" i="33"/>
  <c r="F44" i="33"/>
  <c r="I44" i="33" s="1"/>
  <c r="AN43" i="33"/>
  <c r="AH43" i="33"/>
  <c r="AB43" i="33"/>
  <c r="V43" i="33"/>
  <c r="P43" i="33"/>
  <c r="S43" i="33" s="1"/>
  <c r="F43" i="33"/>
  <c r="I43" i="33" s="1"/>
  <c r="AN42" i="33"/>
  <c r="AH42" i="33"/>
  <c r="AB42" i="33"/>
  <c r="V42" i="33"/>
  <c r="Y42" i="33" s="1"/>
  <c r="P42" i="33"/>
  <c r="S42" i="33" s="1"/>
  <c r="F42" i="33"/>
  <c r="AN41" i="33"/>
  <c r="AH41" i="33"/>
  <c r="AB41" i="33"/>
  <c r="AE41" i="33" s="1"/>
  <c r="V41" i="33"/>
  <c r="Y41" i="33" s="1"/>
  <c r="P41" i="33"/>
  <c r="Q41" i="33" s="1"/>
  <c r="F41" i="33"/>
  <c r="G41" i="33" s="1"/>
  <c r="AN40" i="33"/>
  <c r="AH40" i="33"/>
  <c r="AB40" i="33"/>
  <c r="AC40" i="33" s="1"/>
  <c r="V40" i="33"/>
  <c r="W40" i="33" s="1"/>
  <c r="P40" i="33"/>
  <c r="S40" i="33" s="1"/>
  <c r="F40" i="33"/>
  <c r="H40" i="33" s="1"/>
  <c r="AN39" i="33"/>
  <c r="AH39" i="33"/>
  <c r="AB39" i="33"/>
  <c r="AE39" i="33" s="1"/>
  <c r="V39" i="33"/>
  <c r="W39" i="33" s="1"/>
  <c r="P39" i="33"/>
  <c r="F39" i="33"/>
  <c r="I39" i="33" s="1"/>
  <c r="AN38" i="33"/>
  <c r="AH38" i="33"/>
  <c r="AB38" i="33"/>
  <c r="AE38" i="33" s="1"/>
  <c r="V38" i="33"/>
  <c r="Y38" i="33" s="1"/>
  <c r="P38" i="33"/>
  <c r="S38" i="33" s="1"/>
  <c r="F38" i="33"/>
  <c r="I38" i="33" s="1"/>
  <c r="AN37" i="33"/>
  <c r="AH37" i="33"/>
  <c r="AB37" i="33"/>
  <c r="AC37" i="33" s="1"/>
  <c r="V37" i="33"/>
  <c r="W37" i="33" s="1"/>
  <c r="P37" i="33"/>
  <c r="F37" i="33"/>
  <c r="AN36" i="33"/>
  <c r="AH36" i="33"/>
  <c r="AB36" i="33"/>
  <c r="AE36" i="33" s="1"/>
  <c r="V36" i="33"/>
  <c r="Y36" i="33" s="1"/>
  <c r="P36" i="33"/>
  <c r="F36" i="33"/>
  <c r="I36" i="33" s="1"/>
  <c r="AN35" i="33"/>
  <c r="AH35" i="33"/>
  <c r="AB35" i="33"/>
  <c r="AD35" i="33" s="1"/>
  <c r="V35" i="33"/>
  <c r="X35" i="33" s="1"/>
  <c r="P35" i="33"/>
  <c r="S35" i="33" s="1"/>
  <c r="F35" i="33"/>
  <c r="G35" i="33" s="1"/>
  <c r="AN34" i="33"/>
  <c r="AH34" i="33"/>
  <c r="AB34" i="33"/>
  <c r="AE34" i="33" s="1"/>
  <c r="V34" i="33"/>
  <c r="P34" i="33"/>
  <c r="S34" i="33" s="1"/>
  <c r="F34" i="33"/>
  <c r="G34" i="33" s="1"/>
  <c r="AN33" i="33"/>
  <c r="AH33" i="33"/>
  <c r="AB33" i="33"/>
  <c r="V33" i="33"/>
  <c r="Y33" i="33" s="1"/>
  <c r="P33" i="33"/>
  <c r="S33" i="33" s="1"/>
  <c r="F33" i="33"/>
  <c r="H33" i="33" s="1"/>
  <c r="AN32" i="33"/>
  <c r="AH32" i="33"/>
  <c r="AB32" i="33"/>
  <c r="AC32" i="33" s="1"/>
  <c r="V32" i="33"/>
  <c r="P32" i="33"/>
  <c r="S32" i="33" s="1"/>
  <c r="F32" i="33"/>
  <c r="I32" i="33" s="1"/>
  <c r="AN31" i="33"/>
  <c r="AH31" i="33"/>
  <c r="AB31" i="33"/>
  <c r="AC31" i="33" s="1"/>
  <c r="V31" i="33"/>
  <c r="P31" i="33"/>
  <c r="S31" i="33" s="1"/>
  <c r="F31" i="33"/>
  <c r="I31" i="33" s="1"/>
  <c r="AN30" i="33"/>
  <c r="AH30" i="33"/>
  <c r="AB30" i="33"/>
  <c r="V30" i="33"/>
  <c r="X30" i="33" s="1"/>
  <c r="P30" i="33"/>
  <c r="S30" i="33" s="1"/>
  <c r="F30" i="33"/>
  <c r="I30" i="33" s="1"/>
  <c r="AN29" i="33"/>
  <c r="AH29" i="33"/>
  <c r="AB29" i="33"/>
  <c r="AD29" i="33" s="1"/>
  <c r="V29" i="33"/>
  <c r="X29" i="33" s="1"/>
  <c r="P29" i="33"/>
  <c r="S29" i="33" s="1"/>
  <c r="F29" i="33"/>
  <c r="G29" i="33" s="1"/>
  <c r="AN28" i="33"/>
  <c r="AH28" i="33"/>
  <c r="AB28" i="33"/>
  <c r="AC28" i="33" s="1"/>
  <c r="V28" i="33"/>
  <c r="W28" i="33" s="1"/>
  <c r="P28" i="33"/>
  <c r="S28" i="33" s="1"/>
  <c r="F28" i="33"/>
  <c r="I28" i="33" s="1"/>
  <c r="AN27" i="33"/>
  <c r="AH27" i="33"/>
  <c r="AB27" i="33"/>
  <c r="AD27" i="33" s="1"/>
  <c r="V27" i="33"/>
  <c r="X27" i="33" s="1"/>
  <c r="P27" i="33"/>
  <c r="F27" i="33"/>
  <c r="H27" i="33" s="1"/>
  <c r="AN26" i="33"/>
  <c r="AH26" i="33"/>
  <c r="AB26" i="33"/>
  <c r="AE26" i="33" s="1"/>
  <c r="V26" i="33"/>
  <c r="Y26" i="33" s="1"/>
  <c r="P26" i="33"/>
  <c r="S26" i="33" s="1"/>
  <c r="F26" i="33"/>
  <c r="I26" i="33" s="1"/>
  <c r="AN25" i="33"/>
  <c r="AH25" i="33"/>
  <c r="AB25" i="33"/>
  <c r="AE25" i="33" s="1"/>
  <c r="V25" i="33"/>
  <c r="Y25" i="33" s="1"/>
  <c r="P25" i="33"/>
  <c r="S25" i="33" s="1"/>
  <c r="F25" i="33"/>
  <c r="G25" i="33" s="1"/>
  <c r="AN24" i="33"/>
  <c r="AH24" i="33"/>
  <c r="AB24" i="33"/>
  <c r="AD24" i="33" s="1"/>
  <c r="V24" i="33"/>
  <c r="P24" i="33"/>
  <c r="S24" i="33" s="1"/>
  <c r="F24" i="33"/>
  <c r="AN23" i="33"/>
  <c r="AH23" i="33"/>
  <c r="AB23" i="33"/>
  <c r="AE23" i="33" s="1"/>
  <c r="V23" i="33"/>
  <c r="P23" i="33"/>
  <c r="R23" i="33" s="1"/>
  <c r="F23" i="33"/>
  <c r="H23" i="33" s="1"/>
  <c r="AN22" i="33"/>
  <c r="AH22" i="33"/>
  <c r="AB22" i="33"/>
  <c r="AC22" i="33" s="1"/>
  <c r="V22" i="33"/>
  <c r="W22" i="33" s="1"/>
  <c r="P22" i="33"/>
  <c r="S22" i="33" s="1"/>
  <c r="F22" i="33"/>
  <c r="I22" i="33" s="1"/>
  <c r="AN21" i="33"/>
  <c r="AH21" i="33"/>
  <c r="AB21" i="33"/>
  <c r="AE21" i="33" s="1"/>
  <c r="V21" i="33"/>
  <c r="Y21" i="33" s="1"/>
  <c r="P21" i="33"/>
  <c r="S21" i="33" s="1"/>
  <c r="F21" i="33"/>
  <c r="I21" i="33" s="1"/>
  <c r="AN20" i="33"/>
  <c r="AH20" i="33"/>
  <c r="AB20" i="33"/>
  <c r="AE20" i="33" s="1"/>
  <c r="V20" i="33"/>
  <c r="Y20" i="33" s="1"/>
  <c r="P20" i="33"/>
  <c r="S20" i="33" s="1"/>
  <c r="F20" i="33"/>
  <c r="AN19" i="33"/>
  <c r="AH19" i="33"/>
  <c r="AB19" i="33"/>
  <c r="AE19" i="33" s="1"/>
  <c r="V19" i="33"/>
  <c r="W19" i="33" s="1"/>
  <c r="P19" i="33"/>
  <c r="S19" i="33" s="1"/>
  <c r="F19" i="33"/>
  <c r="I19" i="33" s="1"/>
  <c r="AN18" i="33"/>
  <c r="AH18" i="33"/>
  <c r="AB18" i="33"/>
  <c r="AE18" i="33" s="1"/>
  <c r="V18" i="33"/>
  <c r="Y18" i="33" s="1"/>
  <c r="P18" i="33"/>
  <c r="S18" i="33" s="1"/>
  <c r="F18" i="33"/>
  <c r="I18" i="33" s="1"/>
  <c r="AN17" i="33"/>
  <c r="AH17" i="33"/>
  <c r="AB17" i="33"/>
  <c r="AE17" i="33" s="1"/>
  <c r="V17" i="33"/>
  <c r="Y17" i="33" s="1"/>
  <c r="P17" i="33"/>
  <c r="S17" i="33" s="1"/>
  <c r="F17" i="33"/>
  <c r="G17" i="33" s="1"/>
  <c r="AN16" i="33"/>
  <c r="AH16" i="33"/>
  <c r="AB16" i="33"/>
  <c r="AD16" i="33" s="1"/>
  <c r="V16" i="33"/>
  <c r="X16" i="33" s="1"/>
  <c r="P16" i="33"/>
  <c r="S16" i="33" s="1"/>
  <c r="F16" i="33"/>
  <c r="I16" i="33" s="1"/>
  <c r="AN15" i="33"/>
  <c r="AH15" i="33"/>
  <c r="AB15" i="33"/>
  <c r="AE15" i="33" s="1"/>
  <c r="V15" i="33"/>
  <c r="Y15" i="33" s="1"/>
  <c r="P15" i="33"/>
  <c r="S15" i="33" s="1"/>
  <c r="F15" i="33"/>
  <c r="AN14" i="33"/>
  <c r="AH14" i="33"/>
  <c r="AB14" i="33"/>
  <c r="AC14" i="33" s="1"/>
  <c r="V14" i="33"/>
  <c r="Y14" i="33" s="1"/>
  <c r="P14" i="33"/>
  <c r="S14" i="33" s="1"/>
  <c r="F14" i="33"/>
  <c r="I14" i="33" s="1"/>
  <c r="AN13" i="33"/>
  <c r="AH13" i="33"/>
  <c r="AB13" i="33"/>
  <c r="AE13" i="33" s="1"/>
  <c r="V13" i="33"/>
  <c r="Y13" i="33" s="1"/>
  <c r="P13" i="33"/>
  <c r="S13" i="33" s="1"/>
  <c r="F13" i="33"/>
  <c r="I13" i="33" s="1"/>
  <c r="AN12" i="33"/>
  <c r="AH12" i="33"/>
  <c r="AB12" i="33"/>
  <c r="AD12" i="33" s="1"/>
  <c r="V12" i="33"/>
  <c r="X12" i="33" s="1"/>
  <c r="P12" i="33"/>
  <c r="S12" i="33" s="1"/>
  <c r="F12" i="33"/>
  <c r="G12" i="33" s="1"/>
  <c r="AN11" i="33"/>
  <c r="AH11" i="33"/>
  <c r="AB11" i="33"/>
  <c r="AC11" i="33" s="1"/>
  <c r="V11" i="33"/>
  <c r="W11" i="33" s="1"/>
  <c r="P11" i="33"/>
  <c r="S11" i="33" s="1"/>
  <c r="F11" i="33"/>
  <c r="I11" i="33" s="1"/>
  <c r="AN10" i="33"/>
  <c r="AH10" i="33"/>
  <c r="AB10" i="33"/>
  <c r="AD10" i="33" s="1"/>
  <c r="V10" i="33"/>
  <c r="X10" i="33" s="1"/>
  <c r="P10" i="33"/>
  <c r="S10" i="33" s="1"/>
  <c r="F10" i="33"/>
  <c r="I10" i="33" s="1"/>
  <c r="AN9" i="33"/>
  <c r="AH9" i="33"/>
  <c r="AB9" i="33"/>
  <c r="AE9" i="33" s="1"/>
  <c r="V9" i="33"/>
  <c r="Y9" i="33" s="1"/>
  <c r="P9" i="33"/>
  <c r="S9" i="33" s="1"/>
  <c r="F9" i="33"/>
  <c r="G9" i="33" s="1"/>
  <c r="AN8" i="33"/>
  <c r="AH8" i="33"/>
  <c r="AB8" i="33"/>
  <c r="AC8" i="33" s="1"/>
  <c r="V8" i="33"/>
  <c r="W8" i="33" s="1"/>
  <c r="P8" i="33"/>
  <c r="S8" i="33" s="1"/>
  <c r="F8" i="33"/>
  <c r="H8" i="33" s="1"/>
  <c r="AN7" i="33"/>
  <c r="AH7" i="33"/>
  <c r="AB7" i="33"/>
  <c r="AD7" i="33" s="1"/>
  <c r="V7" i="33"/>
  <c r="X7" i="33" s="1"/>
  <c r="P7" i="33"/>
  <c r="S7" i="33" s="1"/>
  <c r="F7" i="33"/>
  <c r="G7" i="33" s="1"/>
  <c r="AN6" i="33"/>
  <c r="AH6" i="33"/>
  <c r="AB6" i="33"/>
  <c r="AE6" i="33" s="1"/>
  <c r="V6" i="33"/>
  <c r="Y6" i="33" s="1"/>
  <c r="P6" i="33"/>
  <c r="S6" i="33" s="1"/>
  <c r="F6" i="33"/>
  <c r="G6" i="33" s="1"/>
  <c r="AN5" i="33"/>
  <c r="AH5" i="33"/>
  <c r="AB5" i="33"/>
  <c r="AE5" i="33" s="1"/>
  <c r="V5" i="33"/>
  <c r="Y5" i="33" s="1"/>
  <c r="P5" i="33"/>
  <c r="S5" i="33" s="1"/>
  <c r="F5" i="33"/>
  <c r="G5" i="33" s="1"/>
  <c r="AN4" i="33"/>
  <c r="AH4" i="33"/>
  <c r="AB4" i="33"/>
  <c r="AD4" i="33" s="1"/>
  <c r="V4" i="33"/>
  <c r="X4" i="33" s="1"/>
  <c r="P4" i="33"/>
  <c r="R4" i="33" s="1"/>
  <c r="F4" i="33"/>
  <c r="G4" i="33" s="1"/>
  <c r="AN3" i="33"/>
  <c r="AH3" i="33"/>
  <c r="AB3" i="33"/>
  <c r="AC3" i="33" s="1"/>
  <c r="V3" i="33"/>
  <c r="W3" i="33" s="1"/>
  <c r="P3" i="33"/>
  <c r="S3" i="33" s="1"/>
  <c r="F3" i="33"/>
  <c r="I3" i="33" s="1"/>
  <c r="L1" i="33"/>
  <c r="AN358" i="27"/>
  <c r="AH358" i="27"/>
  <c r="P358" i="27"/>
  <c r="Q358" i="27" s="1"/>
  <c r="I358" i="27"/>
  <c r="H358" i="27"/>
  <c r="G358" i="27"/>
  <c r="AN357" i="27"/>
  <c r="AH357" i="27"/>
  <c r="P357" i="27"/>
  <c r="S357" i="27" s="1"/>
  <c r="I357" i="27"/>
  <c r="H357" i="27"/>
  <c r="G357" i="27"/>
  <c r="AN356" i="27"/>
  <c r="AH356" i="27"/>
  <c r="P356" i="27"/>
  <c r="I356" i="27"/>
  <c r="H356" i="27"/>
  <c r="G356" i="27"/>
  <c r="AN355" i="27"/>
  <c r="AH355" i="27"/>
  <c r="P355" i="27"/>
  <c r="I355" i="27"/>
  <c r="H355" i="27"/>
  <c r="G355" i="27"/>
  <c r="AN354" i="27"/>
  <c r="AH354" i="27"/>
  <c r="P354" i="27"/>
  <c r="Q354" i="27" s="1"/>
  <c r="I354" i="27"/>
  <c r="H354" i="27"/>
  <c r="G354" i="27"/>
  <c r="AN353" i="27"/>
  <c r="AH353" i="27"/>
  <c r="P353" i="27"/>
  <c r="S353" i="27" s="1"/>
  <c r="I353" i="27"/>
  <c r="H353" i="27"/>
  <c r="G353" i="27"/>
  <c r="AN352" i="27"/>
  <c r="AH352" i="27"/>
  <c r="P352" i="27"/>
  <c r="Q352" i="27" s="1"/>
  <c r="I352" i="27"/>
  <c r="H352" i="27"/>
  <c r="G352" i="27"/>
  <c r="AN351" i="27"/>
  <c r="AH351" i="27"/>
  <c r="P351" i="27"/>
  <c r="S351" i="27" s="1"/>
  <c r="I351" i="27"/>
  <c r="H351" i="27"/>
  <c r="G351" i="27"/>
  <c r="AN350" i="27"/>
  <c r="AH350" i="27"/>
  <c r="P350" i="27"/>
  <c r="Q350" i="27" s="1"/>
  <c r="I350" i="27"/>
  <c r="H350" i="27"/>
  <c r="G350" i="27"/>
  <c r="AN349" i="27"/>
  <c r="AH349" i="27"/>
  <c r="P349" i="27"/>
  <c r="S349" i="27" s="1"/>
  <c r="I349" i="27"/>
  <c r="H349" i="27"/>
  <c r="G349" i="27"/>
  <c r="AN348" i="27"/>
  <c r="AH348" i="27"/>
  <c r="P348" i="27"/>
  <c r="I348" i="27"/>
  <c r="H348" i="27"/>
  <c r="G348" i="27"/>
  <c r="AN347" i="27"/>
  <c r="AH347" i="27"/>
  <c r="P347" i="27"/>
  <c r="S347" i="27" s="1"/>
  <c r="I347" i="27"/>
  <c r="H347" i="27"/>
  <c r="G347" i="27"/>
  <c r="AN346" i="27"/>
  <c r="AH346" i="27"/>
  <c r="P346" i="27"/>
  <c r="Q346" i="27" s="1"/>
  <c r="I346" i="27"/>
  <c r="H346" i="27"/>
  <c r="G346" i="27"/>
  <c r="AN345" i="27"/>
  <c r="AH345" i="27"/>
  <c r="P345" i="27"/>
  <c r="I345" i="27"/>
  <c r="H345" i="27"/>
  <c r="G345" i="27"/>
  <c r="AN344" i="27"/>
  <c r="AH344" i="27"/>
  <c r="P344" i="27"/>
  <c r="I344" i="27"/>
  <c r="H344" i="27"/>
  <c r="G344" i="27"/>
  <c r="AN343" i="27"/>
  <c r="AH343" i="27"/>
  <c r="P343" i="27"/>
  <c r="S343" i="27" s="1"/>
  <c r="I343" i="27"/>
  <c r="H343" i="27"/>
  <c r="G343" i="27"/>
  <c r="AN342" i="27"/>
  <c r="AH342" i="27"/>
  <c r="P342" i="27"/>
  <c r="Q342" i="27" s="1"/>
  <c r="I342" i="27"/>
  <c r="H342" i="27"/>
  <c r="G342" i="27"/>
  <c r="AN341" i="27"/>
  <c r="AH341" i="27"/>
  <c r="P341" i="27"/>
  <c r="S341" i="27" s="1"/>
  <c r="I341" i="27"/>
  <c r="H341" i="27"/>
  <c r="G341" i="27"/>
  <c r="AN340" i="27"/>
  <c r="AH340" i="27"/>
  <c r="P340" i="27"/>
  <c r="I340" i="27"/>
  <c r="H340" i="27"/>
  <c r="G340" i="27"/>
  <c r="AN339" i="27"/>
  <c r="AH339" i="27"/>
  <c r="P339" i="27"/>
  <c r="I339" i="27"/>
  <c r="H339" i="27"/>
  <c r="G339" i="27"/>
  <c r="AN338" i="27"/>
  <c r="AH338" i="27"/>
  <c r="AB338" i="27"/>
  <c r="AC338" i="27" s="1"/>
  <c r="V338" i="27"/>
  <c r="P338" i="27"/>
  <c r="Q338" i="27" s="1"/>
  <c r="F338" i="27"/>
  <c r="G338" i="27" s="1"/>
  <c r="AN337" i="27"/>
  <c r="AH337" i="27"/>
  <c r="AB337" i="27"/>
  <c r="V337" i="27"/>
  <c r="W337" i="27" s="1"/>
  <c r="P337" i="27"/>
  <c r="F337" i="27"/>
  <c r="G337" i="27" s="1"/>
  <c r="AN336" i="27"/>
  <c r="AH336" i="27"/>
  <c r="AB336" i="27"/>
  <c r="V336" i="27"/>
  <c r="Y336" i="27" s="1"/>
  <c r="P336" i="27"/>
  <c r="S336" i="27" s="1"/>
  <c r="F336" i="27"/>
  <c r="I336" i="27" s="1"/>
  <c r="AN335" i="27"/>
  <c r="AH335" i="27"/>
  <c r="AB335" i="27"/>
  <c r="V335" i="27"/>
  <c r="X335" i="27" s="1"/>
  <c r="P335" i="27"/>
  <c r="F335" i="27"/>
  <c r="H335" i="27" s="1"/>
  <c r="AN334" i="27"/>
  <c r="AH334" i="27"/>
  <c r="AB334" i="27"/>
  <c r="AC334" i="27" s="1"/>
  <c r="V334" i="27"/>
  <c r="P334" i="27"/>
  <c r="Q334" i="27" s="1"/>
  <c r="F334" i="27"/>
  <c r="G334" i="27" s="1"/>
  <c r="AN333" i="27"/>
  <c r="AH333" i="27"/>
  <c r="AB333" i="27"/>
  <c r="AC333" i="27" s="1"/>
  <c r="V333" i="27"/>
  <c r="P333" i="27"/>
  <c r="S333" i="27" s="1"/>
  <c r="F333" i="27"/>
  <c r="H333" i="27" s="1"/>
  <c r="AN332" i="27"/>
  <c r="AH332" i="27"/>
  <c r="AB332" i="27"/>
  <c r="AE332" i="27" s="1"/>
  <c r="V332" i="27"/>
  <c r="Y332" i="27" s="1"/>
  <c r="P332" i="27"/>
  <c r="S332" i="27" s="1"/>
  <c r="F332" i="27"/>
  <c r="I332" i="27" s="1"/>
  <c r="AN331" i="27"/>
  <c r="AH331" i="27"/>
  <c r="AB331" i="27"/>
  <c r="V331" i="27"/>
  <c r="X331" i="27" s="1"/>
  <c r="P331" i="27"/>
  <c r="R331" i="27" s="1"/>
  <c r="F331" i="27"/>
  <c r="AN330" i="27"/>
  <c r="AH330" i="27"/>
  <c r="AB330" i="27"/>
  <c r="AC330" i="27" s="1"/>
  <c r="V330" i="27"/>
  <c r="W330" i="27" s="1"/>
  <c r="P330" i="27"/>
  <c r="Q330" i="27" s="1"/>
  <c r="F330" i="27"/>
  <c r="G330" i="27" s="1"/>
  <c r="AN329" i="27"/>
  <c r="AH329" i="27"/>
  <c r="AB329" i="27"/>
  <c r="V329" i="27"/>
  <c r="P329" i="27"/>
  <c r="F329" i="27"/>
  <c r="AN328" i="27"/>
  <c r="AH328" i="27"/>
  <c r="AB328" i="27"/>
  <c r="V328" i="27"/>
  <c r="P328" i="27"/>
  <c r="F328" i="27"/>
  <c r="AN327" i="27"/>
  <c r="AH327" i="27"/>
  <c r="AB327" i="27"/>
  <c r="V327" i="27"/>
  <c r="X327" i="27" s="1"/>
  <c r="P327" i="27"/>
  <c r="F327" i="27"/>
  <c r="AN326" i="27"/>
  <c r="AH326" i="27"/>
  <c r="AB326" i="27"/>
  <c r="AE326" i="27" s="1"/>
  <c r="V326" i="27"/>
  <c r="P326" i="27"/>
  <c r="R326" i="27" s="1"/>
  <c r="F326" i="27"/>
  <c r="AN325" i="27"/>
  <c r="AH325" i="27"/>
  <c r="AB325" i="27"/>
  <c r="V325" i="27"/>
  <c r="P325" i="27"/>
  <c r="R325" i="27" s="1"/>
  <c r="F325" i="27"/>
  <c r="AN324" i="27"/>
  <c r="AH324" i="27"/>
  <c r="AB324" i="27"/>
  <c r="V324" i="27"/>
  <c r="P324" i="27"/>
  <c r="Q324" i="27" s="1"/>
  <c r="F324" i="27"/>
  <c r="AN323" i="27"/>
  <c r="AH323" i="27"/>
  <c r="AB323" i="27"/>
  <c r="V323" i="27"/>
  <c r="X323" i="27" s="1"/>
  <c r="P323" i="27"/>
  <c r="F323" i="27"/>
  <c r="AN322" i="27"/>
  <c r="AH322" i="27"/>
  <c r="AB322" i="27"/>
  <c r="AE322" i="27" s="1"/>
  <c r="V322" i="27"/>
  <c r="P322" i="27"/>
  <c r="F322" i="27"/>
  <c r="I322" i="27" s="1"/>
  <c r="AN321" i="27"/>
  <c r="AH321" i="27"/>
  <c r="AB321" i="27"/>
  <c r="V321" i="27"/>
  <c r="P321" i="27"/>
  <c r="R321" i="27" s="1"/>
  <c r="F321" i="27"/>
  <c r="AN320" i="27"/>
  <c r="AH320" i="27"/>
  <c r="AB320" i="27"/>
  <c r="V320" i="27"/>
  <c r="P320" i="27"/>
  <c r="Q320" i="27" s="1"/>
  <c r="F320" i="27"/>
  <c r="AN319" i="27"/>
  <c r="AH319" i="27"/>
  <c r="AB319" i="27"/>
  <c r="AD319" i="27" s="1"/>
  <c r="V319" i="27"/>
  <c r="P319" i="27"/>
  <c r="R319" i="27" s="1"/>
  <c r="F319" i="27"/>
  <c r="AN318" i="27"/>
  <c r="AH318" i="27"/>
  <c r="AB318" i="27"/>
  <c r="AE318" i="27" s="1"/>
  <c r="V318" i="27"/>
  <c r="P318" i="27"/>
  <c r="R318" i="27" s="1"/>
  <c r="F318" i="27"/>
  <c r="AN317" i="27"/>
  <c r="AH317" i="27"/>
  <c r="AB317" i="27"/>
  <c r="AC317" i="27" s="1"/>
  <c r="V317" i="27"/>
  <c r="P317" i="27"/>
  <c r="R317" i="27" s="1"/>
  <c r="F317" i="27"/>
  <c r="AN316" i="27"/>
  <c r="AH316" i="27"/>
  <c r="P316" i="27"/>
  <c r="Q316" i="27" s="1"/>
  <c r="I316" i="27"/>
  <c r="H316" i="27"/>
  <c r="G316" i="27"/>
  <c r="AN315" i="27"/>
  <c r="AH315" i="27"/>
  <c r="P315" i="27"/>
  <c r="R315" i="27" s="1"/>
  <c r="I315" i="27"/>
  <c r="H315" i="27"/>
  <c r="G315" i="27"/>
  <c r="AN314" i="27"/>
  <c r="AH314" i="27"/>
  <c r="P314" i="27"/>
  <c r="Q314" i="27" s="1"/>
  <c r="I314" i="27"/>
  <c r="H314" i="27"/>
  <c r="G314" i="27"/>
  <c r="AN313" i="27"/>
  <c r="AH313" i="27"/>
  <c r="P313" i="27"/>
  <c r="I313" i="27"/>
  <c r="H313" i="27"/>
  <c r="G313" i="27"/>
  <c r="AN312" i="27"/>
  <c r="AH312" i="27"/>
  <c r="P312" i="27"/>
  <c r="Q312" i="27" s="1"/>
  <c r="I312" i="27"/>
  <c r="H312" i="27"/>
  <c r="G312" i="27"/>
  <c r="AN311" i="27"/>
  <c r="AH311" i="27"/>
  <c r="P311" i="27"/>
  <c r="R311" i="27" s="1"/>
  <c r="I311" i="27"/>
  <c r="H311" i="27"/>
  <c r="G311" i="27"/>
  <c r="AN310" i="27"/>
  <c r="AH310" i="27"/>
  <c r="P310" i="27"/>
  <c r="Q310" i="27" s="1"/>
  <c r="I310" i="27"/>
  <c r="H310" i="27"/>
  <c r="G310" i="27"/>
  <c r="AN309" i="27"/>
  <c r="AH309" i="27"/>
  <c r="P309" i="27"/>
  <c r="I309" i="27"/>
  <c r="H309" i="27"/>
  <c r="G309" i="27"/>
  <c r="AN308" i="27"/>
  <c r="AH308" i="27"/>
  <c r="P308" i="27"/>
  <c r="Q308" i="27" s="1"/>
  <c r="I308" i="27"/>
  <c r="H308" i="27"/>
  <c r="G308" i="27"/>
  <c r="AN307" i="27"/>
  <c r="AH307" i="27"/>
  <c r="P307" i="27"/>
  <c r="R307" i="27" s="1"/>
  <c r="I307" i="27"/>
  <c r="H307" i="27"/>
  <c r="G307" i="27"/>
  <c r="AN306" i="27"/>
  <c r="AH306" i="27"/>
  <c r="P306" i="27"/>
  <c r="Q306" i="27" s="1"/>
  <c r="I306" i="27"/>
  <c r="H306" i="27"/>
  <c r="G306" i="27"/>
  <c r="AN305" i="27"/>
  <c r="AH305" i="27"/>
  <c r="P305" i="27"/>
  <c r="I305" i="27"/>
  <c r="H305" i="27"/>
  <c r="G305" i="27"/>
  <c r="AN304" i="27"/>
  <c r="AH304" i="27"/>
  <c r="P304" i="27"/>
  <c r="Q304" i="27" s="1"/>
  <c r="I304" i="27"/>
  <c r="H304" i="27"/>
  <c r="G304" i="27"/>
  <c r="AN303" i="27"/>
  <c r="AH303" i="27"/>
  <c r="P303" i="27"/>
  <c r="R303" i="27" s="1"/>
  <c r="I303" i="27"/>
  <c r="H303" i="27"/>
  <c r="G303" i="27"/>
  <c r="AN302" i="27"/>
  <c r="AH302" i="27"/>
  <c r="P302" i="27"/>
  <c r="Q302" i="27" s="1"/>
  <c r="I302" i="27"/>
  <c r="H302" i="27"/>
  <c r="G302" i="27"/>
  <c r="AN301" i="27"/>
  <c r="AH301" i="27"/>
  <c r="P301" i="27"/>
  <c r="I301" i="27"/>
  <c r="H301" i="27"/>
  <c r="G301" i="27"/>
  <c r="AN300" i="27"/>
  <c r="AH300" i="27"/>
  <c r="P300" i="27"/>
  <c r="Q300" i="27" s="1"/>
  <c r="I300" i="27"/>
  <c r="H300" i="27"/>
  <c r="G300" i="27"/>
  <c r="AN299" i="27"/>
  <c r="AH299" i="27"/>
  <c r="P299" i="27"/>
  <c r="R299" i="27" s="1"/>
  <c r="I299" i="27"/>
  <c r="H299" i="27"/>
  <c r="G299" i="27"/>
  <c r="AN298" i="27"/>
  <c r="AH298" i="27"/>
  <c r="P298" i="27"/>
  <c r="R298" i="27" s="1"/>
  <c r="I298" i="27"/>
  <c r="H298" i="27"/>
  <c r="G298" i="27"/>
  <c r="AN297" i="27"/>
  <c r="AH297" i="27"/>
  <c r="P297" i="27"/>
  <c r="R297" i="27" s="1"/>
  <c r="I297" i="27"/>
  <c r="H297" i="27"/>
  <c r="G297" i="27"/>
  <c r="AN296" i="27"/>
  <c r="AH296" i="27"/>
  <c r="P296" i="27"/>
  <c r="R296" i="27" s="1"/>
  <c r="I296" i="27"/>
  <c r="H296" i="27"/>
  <c r="G296" i="27"/>
  <c r="AN295" i="27"/>
  <c r="AH295" i="27"/>
  <c r="P295" i="27"/>
  <c r="I295" i="27"/>
  <c r="H295" i="27"/>
  <c r="G295" i="27"/>
  <c r="AN294" i="27"/>
  <c r="AH294" i="27"/>
  <c r="P294" i="27"/>
  <c r="R294" i="27" s="1"/>
  <c r="I294" i="27"/>
  <c r="H294" i="27"/>
  <c r="G294" i="27"/>
  <c r="AN293" i="27"/>
  <c r="AH293" i="27"/>
  <c r="P293" i="27"/>
  <c r="R293" i="27" s="1"/>
  <c r="I293" i="27"/>
  <c r="H293" i="27"/>
  <c r="G293" i="27"/>
  <c r="AN292" i="27"/>
  <c r="AH292" i="27"/>
  <c r="P292" i="27"/>
  <c r="R292" i="27" s="1"/>
  <c r="I292" i="27"/>
  <c r="H292" i="27"/>
  <c r="G292" i="27"/>
  <c r="AN291" i="27"/>
  <c r="AH291" i="27"/>
  <c r="P291" i="27"/>
  <c r="I291" i="27"/>
  <c r="H291" i="27"/>
  <c r="G291" i="27"/>
  <c r="AN290" i="27"/>
  <c r="AH290" i="27"/>
  <c r="P290" i="27"/>
  <c r="R290" i="27" s="1"/>
  <c r="I290" i="27"/>
  <c r="H290" i="27"/>
  <c r="G290" i="27"/>
  <c r="AN289" i="27"/>
  <c r="AH289" i="27"/>
  <c r="P289" i="27"/>
  <c r="R289" i="27" s="1"/>
  <c r="I289" i="27"/>
  <c r="H289" i="27"/>
  <c r="G289" i="27"/>
  <c r="AN288" i="27"/>
  <c r="AH288" i="27"/>
  <c r="P288" i="27"/>
  <c r="R288" i="27" s="1"/>
  <c r="I288" i="27"/>
  <c r="H288" i="27"/>
  <c r="G288" i="27"/>
  <c r="AN287" i="27"/>
  <c r="AH287" i="27"/>
  <c r="P287" i="27"/>
  <c r="I287" i="27"/>
  <c r="H287" i="27"/>
  <c r="G287" i="27"/>
  <c r="AN286" i="27"/>
  <c r="AH286" i="27"/>
  <c r="P286" i="27"/>
  <c r="R286" i="27" s="1"/>
  <c r="I286" i="27"/>
  <c r="H286" i="27"/>
  <c r="G286" i="27"/>
  <c r="AN285" i="27"/>
  <c r="AH285" i="27"/>
  <c r="P285" i="27"/>
  <c r="R285" i="27" s="1"/>
  <c r="I285" i="27"/>
  <c r="H285" i="27"/>
  <c r="G285" i="27"/>
  <c r="AN284" i="27"/>
  <c r="AH284" i="27"/>
  <c r="P284" i="27"/>
  <c r="R284" i="27" s="1"/>
  <c r="I284" i="27"/>
  <c r="H284" i="27"/>
  <c r="G284" i="27"/>
  <c r="AN283" i="27"/>
  <c r="AH283" i="27"/>
  <c r="P283" i="27"/>
  <c r="I283" i="27"/>
  <c r="H283" i="27"/>
  <c r="G283" i="27"/>
  <c r="AN282" i="27"/>
  <c r="AH282" i="27"/>
  <c r="P282" i="27"/>
  <c r="R282" i="27" s="1"/>
  <c r="I282" i="27"/>
  <c r="H282" i="27"/>
  <c r="G282" i="27"/>
  <c r="AN281" i="27"/>
  <c r="AH281" i="27"/>
  <c r="P281" i="27"/>
  <c r="R281" i="27" s="1"/>
  <c r="I281" i="27"/>
  <c r="H281" i="27"/>
  <c r="G281" i="27"/>
  <c r="AN280" i="27"/>
  <c r="AH280" i="27"/>
  <c r="P280" i="27"/>
  <c r="R280" i="27" s="1"/>
  <c r="I280" i="27"/>
  <c r="H280" i="27"/>
  <c r="G280" i="27"/>
  <c r="AN279" i="27"/>
  <c r="AH279" i="27"/>
  <c r="P279" i="27"/>
  <c r="I279" i="27"/>
  <c r="H279" i="27"/>
  <c r="G279" i="27"/>
  <c r="AN278" i="27"/>
  <c r="AH278" i="27"/>
  <c r="P278" i="27"/>
  <c r="R278" i="27" s="1"/>
  <c r="I278" i="27"/>
  <c r="H278" i="27"/>
  <c r="G278" i="27"/>
  <c r="AN277" i="27"/>
  <c r="AH277" i="27"/>
  <c r="P277" i="27"/>
  <c r="R277" i="27" s="1"/>
  <c r="I277" i="27"/>
  <c r="H277" i="27"/>
  <c r="G277" i="27"/>
  <c r="AN276" i="27"/>
  <c r="AH276" i="27"/>
  <c r="P276" i="27"/>
  <c r="I276" i="27"/>
  <c r="H276" i="27"/>
  <c r="G276" i="27"/>
  <c r="AN275" i="27"/>
  <c r="AH275" i="27"/>
  <c r="P275" i="27"/>
  <c r="I275" i="27"/>
  <c r="H275" i="27"/>
  <c r="G275" i="27"/>
  <c r="AN274" i="27"/>
  <c r="AH274" i="27"/>
  <c r="P274" i="27"/>
  <c r="R274" i="27" s="1"/>
  <c r="I274" i="27"/>
  <c r="H274" i="27"/>
  <c r="G274" i="27"/>
  <c r="AN273" i="27"/>
  <c r="AH273" i="27"/>
  <c r="P273" i="27"/>
  <c r="R273" i="27" s="1"/>
  <c r="I273" i="27"/>
  <c r="H273" i="27"/>
  <c r="G273" i="27"/>
  <c r="AN272" i="27"/>
  <c r="AH272" i="27"/>
  <c r="P272" i="27"/>
  <c r="I272" i="27"/>
  <c r="H272" i="27"/>
  <c r="G272" i="27"/>
  <c r="AN271" i="27"/>
  <c r="AH271" i="27"/>
  <c r="P271" i="27"/>
  <c r="I271" i="27"/>
  <c r="H271" i="27"/>
  <c r="G271" i="27"/>
  <c r="AN270" i="27"/>
  <c r="AH270" i="27"/>
  <c r="P270" i="27"/>
  <c r="R270" i="27" s="1"/>
  <c r="I270" i="27"/>
  <c r="H270" i="27"/>
  <c r="G270" i="27"/>
  <c r="AN269" i="27"/>
  <c r="AH269" i="27"/>
  <c r="P269" i="27"/>
  <c r="R269" i="27" s="1"/>
  <c r="I269" i="27"/>
  <c r="H269" i="27"/>
  <c r="G269" i="27"/>
  <c r="AN268" i="27"/>
  <c r="AH268" i="27"/>
  <c r="AB268" i="27"/>
  <c r="V268" i="27"/>
  <c r="X268" i="27" s="1"/>
  <c r="P268" i="27"/>
  <c r="F268" i="27"/>
  <c r="AN267" i="27"/>
  <c r="AH267" i="27"/>
  <c r="P267" i="27"/>
  <c r="I267" i="27"/>
  <c r="H267" i="27"/>
  <c r="G267" i="27"/>
  <c r="AN266" i="27"/>
  <c r="AH266" i="27"/>
  <c r="P266" i="27"/>
  <c r="R266" i="27" s="1"/>
  <c r="I266" i="27"/>
  <c r="H266" i="27"/>
  <c r="G266" i="27"/>
  <c r="AN265" i="27"/>
  <c r="AH265" i="27"/>
  <c r="P265" i="27"/>
  <c r="I265" i="27"/>
  <c r="H265" i="27"/>
  <c r="G265" i="27"/>
  <c r="AN264" i="27"/>
  <c r="AH264" i="27"/>
  <c r="P264" i="27"/>
  <c r="I264" i="27"/>
  <c r="H264" i="27"/>
  <c r="G264" i="27"/>
  <c r="AN263" i="27"/>
  <c r="AH263" i="27"/>
  <c r="P263" i="27"/>
  <c r="R263" i="27" s="1"/>
  <c r="I263" i="27"/>
  <c r="H263" i="27"/>
  <c r="G263" i="27"/>
  <c r="AN262" i="27"/>
  <c r="AH262" i="27"/>
  <c r="AB262" i="27"/>
  <c r="AC262" i="27" s="1"/>
  <c r="V262" i="27"/>
  <c r="P262" i="27"/>
  <c r="F262" i="27"/>
  <c r="I262" i="27" s="1"/>
  <c r="AN261" i="27"/>
  <c r="AH261" i="27"/>
  <c r="AB261" i="27"/>
  <c r="AD261" i="27" s="1"/>
  <c r="V261" i="27"/>
  <c r="X261" i="27" s="1"/>
  <c r="P261" i="27"/>
  <c r="F261" i="27"/>
  <c r="H261" i="27" s="1"/>
  <c r="AN260" i="27"/>
  <c r="AH260" i="27"/>
  <c r="AB260" i="27"/>
  <c r="V260" i="27"/>
  <c r="P260" i="27"/>
  <c r="F260" i="27"/>
  <c r="H260" i="27" s="1"/>
  <c r="AN259" i="27"/>
  <c r="AH259" i="27"/>
  <c r="AB259" i="27"/>
  <c r="AD259" i="27" s="1"/>
  <c r="V259" i="27"/>
  <c r="X259" i="27" s="1"/>
  <c r="P259" i="27"/>
  <c r="R259" i="27" s="1"/>
  <c r="F259" i="27"/>
  <c r="H259" i="27" s="1"/>
  <c r="AN258" i="27"/>
  <c r="AH258" i="27"/>
  <c r="AB258" i="27"/>
  <c r="V258" i="27"/>
  <c r="P258" i="27"/>
  <c r="R258" i="27" s="1"/>
  <c r="F258" i="27"/>
  <c r="G258" i="27" s="1"/>
  <c r="AN257" i="27"/>
  <c r="AH257" i="27"/>
  <c r="AB257" i="27"/>
  <c r="AD257" i="27" s="1"/>
  <c r="V257" i="27"/>
  <c r="P257" i="27"/>
  <c r="R257" i="27" s="1"/>
  <c r="F257" i="27"/>
  <c r="H257" i="27" s="1"/>
  <c r="AN256" i="27"/>
  <c r="AH256" i="27"/>
  <c r="AB256" i="27"/>
  <c r="AD256" i="27" s="1"/>
  <c r="V256" i="27"/>
  <c r="P256" i="27"/>
  <c r="R256" i="27" s="1"/>
  <c r="F256" i="27"/>
  <c r="AN255" i="27"/>
  <c r="AH255" i="27"/>
  <c r="P255" i="27"/>
  <c r="I255" i="27"/>
  <c r="H255" i="27"/>
  <c r="G255" i="27"/>
  <c r="AN254" i="27"/>
  <c r="AH254" i="27"/>
  <c r="P254" i="27"/>
  <c r="I254" i="27"/>
  <c r="H254" i="27"/>
  <c r="G254" i="27"/>
  <c r="AN253" i="27"/>
  <c r="AH253" i="27"/>
  <c r="P253" i="27"/>
  <c r="R253" i="27" s="1"/>
  <c r="I253" i="27"/>
  <c r="H253" i="27"/>
  <c r="G253" i="27"/>
  <c r="AN252" i="27"/>
  <c r="AH252" i="27"/>
  <c r="P252" i="27"/>
  <c r="R252" i="27" s="1"/>
  <c r="I252" i="27"/>
  <c r="H252" i="27"/>
  <c r="G252" i="27"/>
  <c r="AN251" i="27"/>
  <c r="AH251" i="27"/>
  <c r="P251" i="27"/>
  <c r="I251" i="27"/>
  <c r="H251" i="27"/>
  <c r="G251" i="27"/>
  <c r="AN250" i="27"/>
  <c r="AH250" i="27"/>
  <c r="P250" i="27"/>
  <c r="I250" i="27"/>
  <c r="H250" i="27"/>
  <c r="G250" i="27"/>
  <c r="AN249" i="27"/>
  <c r="AH249" i="27"/>
  <c r="P249" i="27"/>
  <c r="R249" i="27" s="1"/>
  <c r="I249" i="27"/>
  <c r="H249" i="27"/>
  <c r="G249" i="27"/>
  <c r="AN248" i="27"/>
  <c r="AH248" i="27"/>
  <c r="P248" i="27"/>
  <c r="R248" i="27" s="1"/>
  <c r="I248" i="27"/>
  <c r="H248" i="27"/>
  <c r="G248" i="27"/>
  <c r="AN247" i="27"/>
  <c r="AH247" i="27"/>
  <c r="P247" i="27"/>
  <c r="I247" i="27"/>
  <c r="H247" i="27"/>
  <c r="G247" i="27"/>
  <c r="AN246" i="27"/>
  <c r="AH246" i="27"/>
  <c r="P246" i="27"/>
  <c r="I246" i="27"/>
  <c r="H246" i="27"/>
  <c r="G246" i="27"/>
  <c r="AN245" i="27"/>
  <c r="AH245" i="27"/>
  <c r="P245" i="27"/>
  <c r="R245" i="27" s="1"/>
  <c r="I245" i="27"/>
  <c r="H245" i="27"/>
  <c r="G245" i="27"/>
  <c r="AN244" i="27"/>
  <c r="AH244" i="27"/>
  <c r="P244" i="27"/>
  <c r="R244" i="27" s="1"/>
  <c r="I244" i="27"/>
  <c r="H244" i="27"/>
  <c r="G244" i="27"/>
  <c r="AN243" i="27"/>
  <c r="AH243" i="27"/>
  <c r="P243" i="27"/>
  <c r="I243" i="27"/>
  <c r="H243" i="27"/>
  <c r="G243" i="27"/>
  <c r="AN242" i="27"/>
  <c r="AH242" i="27"/>
  <c r="P242" i="27"/>
  <c r="I242" i="27"/>
  <c r="H242" i="27"/>
  <c r="G242" i="27"/>
  <c r="AN241" i="27"/>
  <c r="AH241" i="27"/>
  <c r="P241" i="27"/>
  <c r="R241" i="27" s="1"/>
  <c r="I241" i="27"/>
  <c r="H241" i="27"/>
  <c r="G241" i="27"/>
  <c r="AN240" i="27"/>
  <c r="AH240" i="27"/>
  <c r="P240" i="27"/>
  <c r="R240" i="27" s="1"/>
  <c r="I240" i="27"/>
  <c r="H240" i="27"/>
  <c r="G240" i="27"/>
  <c r="AN239" i="27"/>
  <c r="AH239" i="27"/>
  <c r="P239" i="27"/>
  <c r="I239" i="27"/>
  <c r="H239" i="27"/>
  <c r="G239" i="27"/>
  <c r="AN238" i="27"/>
  <c r="AH238" i="27"/>
  <c r="P238" i="27"/>
  <c r="I238" i="27"/>
  <c r="H238" i="27"/>
  <c r="G238" i="27"/>
  <c r="AN237" i="27"/>
  <c r="AH237" i="27"/>
  <c r="P237" i="27"/>
  <c r="R237" i="27" s="1"/>
  <c r="I237" i="27"/>
  <c r="H237" i="27"/>
  <c r="G237" i="27"/>
  <c r="AN236" i="27"/>
  <c r="AH236" i="27"/>
  <c r="P236" i="27"/>
  <c r="R236" i="27" s="1"/>
  <c r="I236" i="27"/>
  <c r="H236" i="27"/>
  <c r="G236" i="27"/>
  <c r="AN235" i="27"/>
  <c r="AH235" i="27"/>
  <c r="P235" i="27"/>
  <c r="I235" i="27"/>
  <c r="H235" i="27"/>
  <c r="G235" i="27"/>
  <c r="AN234" i="27"/>
  <c r="AH234" i="27"/>
  <c r="P234" i="27"/>
  <c r="I234" i="27"/>
  <c r="H234" i="27"/>
  <c r="G234" i="27"/>
  <c r="AN233" i="27"/>
  <c r="AH233" i="27"/>
  <c r="P233" i="27"/>
  <c r="R233" i="27" s="1"/>
  <c r="I233" i="27"/>
  <c r="H233" i="27"/>
  <c r="G233" i="27"/>
  <c r="AN232" i="27"/>
  <c r="AH232" i="27"/>
  <c r="P232" i="27"/>
  <c r="R232" i="27" s="1"/>
  <c r="I232" i="27"/>
  <c r="H232" i="27"/>
  <c r="G232" i="27"/>
  <c r="AN231" i="27"/>
  <c r="AH231" i="27"/>
  <c r="P231" i="27"/>
  <c r="I231" i="27"/>
  <c r="H231" i="27"/>
  <c r="G231" i="27"/>
  <c r="AN230" i="27"/>
  <c r="AH230" i="27"/>
  <c r="P230" i="27"/>
  <c r="I230" i="27"/>
  <c r="H230" i="27"/>
  <c r="G230" i="27"/>
  <c r="AN229" i="27"/>
  <c r="AH229" i="27"/>
  <c r="P229" i="27"/>
  <c r="R229" i="27" s="1"/>
  <c r="I229" i="27"/>
  <c r="H229" i="27"/>
  <c r="G229" i="27"/>
  <c r="AN228" i="27"/>
  <c r="AH228" i="27"/>
  <c r="P228" i="27"/>
  <c r="R228" i="27" s="1"/>
  <c r="I228" i="27"/>
  <c r="H228" i="27"/>
  <c r="G228" i="27"/>
  <c r="AN227" i="27"/>
  <c r="AH227" i="27"/>
  <c r="AB227" i="27"/>
  <c r="V227" i="27"/>
  <c r="X227" i="27" s="1"/>
  <c r="P227" i="27"/>
  <c r="F227" i="27"/>
  <c r="AN226" i="27"/>
  <c r="AH226" i="27"/>
  <c r="AB226" i="27"/>
  <c r="V226" i="27"/>
  <c r="P226" i="27"/>
  <c r="R226" i="27" s="1"/>
  <c r="F226" i="27"/>
  <c r="AN225" i="27"/>
  <c r="AH225" i="27"/>
  <c r="AB225" i="27"/>
  <c r="AD225" i="27" s="1"/>
  <c r="V225" i="27"/>
  <c r="X225" i="27" s="1"/>
  <c r="P225" i="27"/>
  <c r="R225" i="27" s="1"/>
  <c r="F225" i="27"/>
  <c r="H225" i="27" s="1"/>
  <c r="AN224" i="27"/>
  <c r="AH224" i="27"/>
  <c r="AB224" i="27"/>
  <c r="V224" i="27"/>
  <c r="P224" i="27"/>
  <c r="F224" i="27"/>
  <c r="H224" i="27" s="1"/>
  <c r="AN223" i="27"/>
  <c r="AH223" i="27"/>
  <c r="AB223" i="27"/>
  <c r="AD223" i="27" s="1"/>
  <c r="V223" i="27"/>
  <c r="X223" i="27" s="1"/>
  <c r="P223" i="27"/>
  <c r="F223" i="27"/>
  <c r="H223" i="27" s="1"/>
  <c r="AN222" i="27"/>
  <c r="AH222" i="27"/>
  <c r="P222" i="27"/>
  <c r="I222" i="27"/>
  <c r="H222" i="27"/>
  <c r="G222" i="27"/>
  <c r="AN221" i="27"/>
  <c r="AH221" i="27"/>
  <c r="AB221" i="27"/>
  <c r="V221" i="27"/>
  <c r="P221" i="27"/>
  <c r="F221" i="27"/>
  <c r="H221" i="27" s="1"/>
  <c r="AN220" i="27"/>
  <c r="AH220" i="27"/>
  <c r="AB220" i="27"/>
  <c r="AD220" i="27" s="1"/>
  <c r="V220" i="27"/>
  <c r="X220" i="27" s="1"/>
  <c r="P220" i="27"/>
  <c r="F220" i="27"/>
  <c r="H220" i="27" s="1"/>
  <c r="AN219" i="27"/>
  <c r="AH219" i="27"/>
  <c r="AB219" i="27"/>
  <c r="V219" i="27"/>
  <c r="P219" i="27"/>
  <c r="R219" i="27" s="1"/>
  <c r="F219" i="27"/>
  <c r="H219" i="27" s="1"/>
  <c r="AN218" i="27"/>
  <c r="AH218" i="27"/>
  <c r="AB218" i="27"/>
  <c r="V218" i="27"/>
  <c r="X218" i="27" s="1"/>
  <c r="P218" i="27"/>
  <c r="F218" i="27"/>
  <c r="AN217" i="27"/>
  <c r="AH217" i="27"/>
  <c r="AB217" i="27"/>
  <c r="AD217" i="27" s="1"/>
  <c r="V217" i="27"/>
  <c r="P217" i="27"/>
  <c r="F217" i="27"/>
  <c r="AN216" i="27"/>
  <c r="AH216" i="27"/>
  <c r="AB216" i="27"/>
  <c r="AD216" i="27" s="1"/>
  <c r="V216" i="27"/>
  <c r="P216" i="27"/>
  <c r="R216" i="27" s="1"/>
  <c r="F216" i="27"/>
  <c r="H216" i="27" s="1"/>
  <c r="AN215" i="27"/>
  <c r="AH215" i="27"/>
  <c r="AB215" i="27"/>
  <c r="AC215" i="27" s="1"/>
  <c r="V215" i="27"/>
  <c r="W215" i="27" s="1"/>
  <c r="P215" i="27"/>
  <c r="F215" i="27"/>
  <c r="AN214" i="27"/>
  <c r="AH214" i="27"/>
  <c r="AB214" i="27"/>
  <c r="AD214" i="27" s="1"/>
  <c r="V214" i="27"/>
  <c r="X214" i="27" s="1"/>
  <c r="P214" i="27"/>
  <c r="F214" i="27"/>
  <c r="H214" i="27" s="1"/>
  <c r="AN213" i="27"/>
  <c r="AH213" i="27"/>
  <c r="AB213" i="27"/>
  <c r="V213" i="27"/>
  <c r="P213" i="27"/>
  <c r="R213" i="27" s="1"/>
  <c r="F213" i="27"/>
  <c r="AN212" i="27"/>
  <c r="AH212" i="27"/>
  <c r="AB212" i="27"/>
  <c r="AD212" i="27" s="1"/>
  <c r="V212" i="27"/>
  <c r="X212" i="27" s="1"/>
  <c r="P212" i="27"/>
  <c r="R212" i="27" s="1"/>
  <c r="F212" i="27"/>
  <c r="H212" i="27" s="1"/>
  <c r="AN211" i="27"/>
  <c r="AH211" i="27"/>
  <c r="AB211" i="27"/>
  <c r="AC211" i="27" s="1"/>
  <c r="V211" i="27"/>
  <c r="P211" i="27"/>
  <c r="F211" i="27"/>
  <c r="AN210" i="27"/>
  <c r="AH210" i="27"/>
  <c r="AB210" i="27"/>
  <c r="AD210" i="27" s="1"/>
  <c r="V210" i="27"/>
  <c r="P210" i="27"/>
  <c r="R210" i="27" s="1"/>
  <c r="F210" i="27"/>
  <c r="H210" i="27" s="1"/>
  <c r="AN209" i="27"/>
  <c r="AH209" i="27"/>
  <c r="AB209" i="27"/>
  <c r="AD209" i="27" s="1"/>
  <c r="V209" i="27"/>
  <c r="X209" i="27" s="1"/>
  <c r="P209" i="27"/>
  <c r="F209" i="27"/>
  <c r="AN208" i="27"/>
  <c r="AH208" i="27"/>
  <c r="AB208" i="27"/>
  <c r="V208" i="27"/>
  <c r="X208" i="27" s="1"/>
  <c r="P208" i="27"/>
  <c r="F208" i="27"/>
  <c r="AN207" i="27"/>
  <c r="AH207" i="27"/>
  <c r="AB207" i="27"/>
  <c r="AD207" i="27" s="1"/>
  <c r="V207" i="27"/>
  <c r="X207" i="27" s="1"/>
  <c r="P207" i="27"/>
  <c r="F207" i="27"/>
  <c r="AN206" i="27"/>
  <c r="AH206" i="27"/>
  <c r="P206" i="27"/>
  <c r="R206" i="27" s="1"/>
  <c r="I206" i="27"/>
  <c r="H206" i="27"/>
  <c r="G206" i="27"/>
  <c r="AN205" i="27"/>
  <c r="AH205" i="27"/>
  <c r="AB205" i="27"/>
  <c r="V205" i="27"/>
  <c r="X205" i="27" s="1"/>
  <c r="P205" i="27"/>
  <c r="F205" i="27"/>
  <c r="AN204" i="27"/>
  <c r="AH204" i="27"/>
  <c r="AB204" i="27"/>
  <c r="AC204" i="27" s="1"/>
  <c r="V204" i="27"/>
  <c r="P204" i="27"/>
  <c r="Q204" i="27" s="1"/>
  <c r="F204" i="27"/>
  <c r="AN203" i="27"/>
  <c r="AH203" i="27"/>
  <c r="AB203" i="27"/>
  <c r="AD203" i="27" s="1"/>
  <c r="V203" i="27"/>
  <c r="X203" i="27" s="1"/>
  <c r="P203" i="27"/>
  <c r="R203" i="27" s="1"/>
  <c r="F203" i="27"/>
  <c r="H203" i="27" s="1"/>
  <c r="AN202" i="27"/>
  <c r="AH202" i="27"/>
  <c r="AB202" i="27"/>
  <c r="V202" i="27"/>
  <c r="P202" i="27"/>
  <c r="Q202" i="27" s="1"/>
  <c r="F202" i="27"/>
  <c r="AN201" i="27"/>
  <c r="AH201" i="27"/>
  <c r="AB201" i="27"/>
  <c r="AD201" i="27" s="1"/>
  <c r="V201" i="27"/>
  <c r="X201" i="27" s="1"/>
  <c r="P201" i="27"/>
  <c r="F201" i="27"/>
  <c r="H201" i="27" s="1"/>
  <c r="AN200" i="27"/>
  <c r="AH200" i="27"/>
  <c r="AB200" i="27"/>
  <c r="V200" i="27"/>
  <c r="X200" i="27" s="1"/>
  <c r="P200" i="27"/>
  <c r="F200" i="27"/>
  <c r="G200" i="27" s="1"/>
  <c r="AN199" i="27"/>
  <c r="AH199" i="27"/>
  <c r="AB199" i="27"/>
  <c r="V199" i="27"/>
  <c r="X199" i="27" s="1"/>
  <c r="P199" i="27"/>
  <c r="F199" i="27"/>
  <c r="AN198" i="27"/>
  <c r="AH198" i="27"/>
  <c r="AB198" i="27"/>
  <c r="V198" i="27"/>
  <c r="P198" i="27"/>
  <c r="S198" i="27" s="1"/>
  <c r="F198" i="27"/>
  <c r="AN197" i="27"/>
  <c r="AH197" i="27"/>
  <c r="AB197" i="27"/>
  <c r="AD197" i="27" s="1"/>
  <c r="V197" i="27"/>
  <c r="P197" i="27"/>
  <c r="R197" i="27" s="1"/>
  <c r="F197" i="27"/>
  <c r="H197" i="27" s="1"/>
  <c r="AN196" i="27"/>
  <c r="AH196" i="27"/>
  <c r="AB196" i="27"/>
  <c r="V196" i="27"/>
  <c r="P196" i="27"/>
  <c r="S196" i="27" s="1"/>
  <c r="F196" i="27"/>
  <c r="AN195" i="27"/>
  <c r="AH195" i="27"/>
  <c r="AB195" i="27"/>
  <c r="AD195" i="27" s="1"/>
  <c r="V195" i="27"/>
  <c r="P195" i="27"/>
  <c r="R195" i="27" s="1"/>
  <c r="F195" i="27"/>
  <c r="H195" i="27" s="1"/>
  <c r="AN194" i="27"/>
  <c r="AH194" i="27"/>
  <c r="AB194" i="27"/>
  <c r="V194" i="27"/>
  <c r="X194" i="27" s="1"/>
  <c r="P194" i="27"/>
  <c r="F194" i="27"/>
  <c r="AN193" i="27"/>
  <c r="AH193" i="27"/>
  <c r="AB193" i="27"/>
  <c r="V193" i="27"/>
  <c r="X193" i="27" s="1"/>
  <c r="P193" i="27"/>
  <c r="F193" i="27"/>
  <c r="AN192" i="27"/>
  <c r="AH192" i="27"/>
  <c r="AB192" i="27"/>
  <c r="AC192" i="27" s="1"/>
  <c r="V192" i="27"/>
  <c r="P192" i="27"/>
  <c r="F192" i="27"/>
  <c r="AN191" i="27"/>
  <c r="AH191" i="27"/>
  <c r="AB191" i="27"/>
  <c r="AD191" i="27" s="1"/>
  <c r="V191" i="27"/>
  <c r="X191" i="27" s="1"/>
  <c r="P191" i="27"/>
  <c r="R191" i="27" s="1"/>
  <c r="F191" i="27"/>
  <c r="H191" i="27" s="1"/>
  <c r="AN190" i="27"/>
  <c r="AH190" i="27"/>
  <c r="AB190" i="27"/>
  <c r="V190" i="27"/>
  <c r="X190" i="27" s="1"/>
  <c r="P190" i="27"/>
  <c r="R190" i="27" s="1"/>
  <c r="F190" i="27"/>
  <c r="AN189" i="27"/>
  <c r="AH189" i="27"/>
  <c r="AB189" i="27"/>
  <c r="AD189" i="27" s="1"/>
  <c r="V189" i="27"/>
  <c r="P189" i="27"/>
  <c r="F189" i="27"/>
  <c r="H189" i="27" s="1"/>
  <c r="AN188" i="27"/>
  <c r="AH188" i="27"/>
  <c r="AB188" i="27"/>
  <c r="AC188" i="27" s="1"/>
  <c r="V188" i="27"/>
  <c r="P188" i="27"/>
  <c r="F188" i="27"/>
  <c r="G188" i="27" s="1"/>
  <c r="AN187" i="27"/>
  <c r="AH187" i="27"/>
  <c r="AB187" i="27"/>
  <c r="V187" i="27"/>
  <c r="X187" i="27" s="1"/>
  <c r="P187" i="27"/>
  <c r="F187" i="27"/>
  <c r="AN186" i="27"/>
  <c r="AH186" i="27"/>
  <c r="AB186" i="27"/>
  <c r="V186" i="27"/>
  <c r="P186" i="27"/>
  <c r="R186" i="27" s="1"/>
  <c r="F186" i="27"/>
  <c r="I186" i="27" s="1"/>
  <c r="AN185" i="27"/>
  <c r="AH185" i="27"/>
  <c r="AB185" i="27"/>
  <c r="AD185" i="27" s="1"/>
  <c r="V185" i="27"/>
  <c r="P185" i="27"/>
  <c r="R185" i="27" s="1"/>
  <c r="F185" i="27"/>
  <c r="H185" i="27" s="1"/>
  <c r="AN184" i="27"/>
  <c r="AH184" i="27"/>
  <c r="AB184" i="27"/>
  <c r="V184" i="27"/>
  <c r="P184" i="27"/>
  <c r="S184" i="27" s="1"/>
  <c r="F184" i="27"/>
  <c r="AM184" i="27"/>
  <c r="AO184" i="27" s="1"/>
  <c r="AN183" i="27"/>
  <c r="AH183" i="27"/>
  <c r="AB183" i="27"/>
  <c r="AD183" i="27" s="1"/>
  <c r="V183" i="27"/>
  <c r="P183" i="27"/>
  <c r="R183" i="27" s="1"/>
  <c r="F183" i="27"/>
  <c r="H183" i="27" s="1"/>
  <c r="AN182" i="27"/>
  <c r="AH182" i="27"/>
  <c r="AB182" i="27"/>
  <c r="AC182" i="27" s="1"/>
  <c r="V182" i="27"/>
  <c r="P182" i="27"/>
  <c r="F182" i="27"/>
  <c r="AN181" i="27"/>
  <c r="AH181" i="27"/>
  <c r="AB181" i="27"/>
  <c r="V181" i="27"/>
  <c r="X181" i="27" s="1"/>
  <c r="P181" i="27"/>
  <c r="F181" i="27"/>
  <c r="AN180" i="27"/>
  <c r="AH180" i="27"/>
  <c r="AB180" i="27"/>
  <c r="V180" i="27"/>
  <c r="W180" i="27" s="1"/>
  <c r="P180" i="27"/>
  <c r="F180" i="27"/>
  <c r="AN179" i="27"/>
  <c r="AH179" i="27"/>
  <c r="AB179" i="27"/>
  <c r="AD179" i="27" s="1"/>
  <c r="V179" i="27"/>
  <c r="X179" i="27" s="1"/>
  <c r="P179" i="27"/>
  <c r="R179" i="27" s="1"/>
  <c r="F179" i="27"/>
  <c r="H179" i="27" s="1"/>
  <c r="AN178" i="27"/>
  <c r="AH178" i="27"/>
  <c r="AB178" i="27"/>
  <c r="V178" i="27"/>
  <c r="P178" i="27"/>
  <c r="R178" i="27" s="1"/>
  <c r="F178" i="27"/>
  <c r="AN177" i="27"/>
  <c r="AH177" i="27"/>
  <c r="AB177" i="27"/>
  <c r="AD177" i="27" s="1"/>
  <c r="V177" i="27"/>
  <c r="X177" i="27" s="1"/>
  <c r="P177" i="27"/>
  <c r="F177" i="27"/>
  <c r="H177" i="27" s="1"/>
  <c r="AN176" i="27"/>
  <c r="AH176" i="27"/>
  <c r="AB176" i="27"/>
  <c r="V176" i="27"/>
  <c r="W176" i="27" s="1"/>
  <c r="P176" i="27"/>
  <c r="F176" i="27"/>
  <c r="G176" i="27" s="1"/>
  <c r="AN175" i="27"/>
  <c r="AH175" i="27"/>
  <c r="AB175" i="27"/>
  <c r="V175" i="27"/>
  <c r="X175" i="27" s="1"/>
  <c r="P175" i="27"/>
  <c r="F175" i="27"/>
  <c r="AN174" i="27"/>
  <c r="AH174" i="27"/>
  <c r="AB174" i="27"/>
  <c r="V174" i="27"/>
  <c r="P174" i="27"/>
  <c r="F174" i="27"/>
  <c r="AN173" i="27"/>
  <c r="AH173" i="27"/>
  <c r="AB173" i="27"/>
  <c r="AD173" i="27" s="1"/>
  <c r="V173" i="27"/>
  <c r="P173" i="27"/>
  <c r="R173" i="27" s="1"/>
  <c r="F173" i="27"/>
  <c r="H173" i="27" s="1"/>
  <c r="AN172" i="27"/>
  <c r="AH172" i="27"/>
  <c r="AB172" i="27"/>
  <c r="AE172" i="27" s="1"/>
  <c r="V172" i="27"/>
  <c r="Y172" i="27" s="1"/>
  <c r="P172" i="27"/>
  <c r="F172" i="27"/>
  <c r="H172" i="27" s="1"/>
  <c r="AN171" i="27"/>
  <c r="AH171" i="27"/>
  <c r="AB171" i="27"/>
  <c r="V171" i="27"/>
  <c r="X171" i="27" s="1"/>
  <c r="P171" i="27"/>
  <c r="F171" i="27"/>
  <c r="AN170" i="27"/>
  <c r="AH170" i="27"/>
  <c r="AB170" i="27"/>
  <c r="V170" i="27"/>
  <c r="P170" i="27"/>
  <c r="F170" i="27"/>
  <c r="AN169" i="27"/>
  <c r="AH169" i="27"/>
  <c r="AB169" i="27"/>
  <c r="AD169" i="27" s="1"/>
  <c r="V169" i="27"/>
  <c r="W169" i="27" s="1"/>
  <c r="P169" i="27"/>
  <c r="Q169" i="27" s="1"/>
  <c r="F169" i="27"/>
  <c r="AN168" i="27"/>
  <c r="AH168" i="27"/>
  <c r="AB168" i="27"/>
  <c r="AD168" i="27" s="1"/>
  <c r="V168" i="27"/>
  <c r="P168" i="27"/>
  <c r="F168" i="27"/>
  <c r="AN167" i="27"/>
  <c r="AH167" i="27"/>
  <c r="AB167" i="27"/>
  <c r="V167" i="27"/>
  <c r="P167" i="27"/>
  <c r="S167" i="27" s="1"/>
  <c r="F167" i="27"/>
  <c r="AN166" i="27"/>
  <c r="AH166" i="27"/>
  <c r="AB166" i="27"/>
  <c r="V166" i="27"/>
  <c r="P166" i="27"/>
  <c r="F166" i="27"/>
  <c r="H166" i="27" s="1"/>
  <c r="AN165" i="27"/>
  <c r="AH165" i="27"/>
  <c r="AB165" i="27"/>
  <c r="AD165" i="27" s="1"/>
  <c r="V165" i="27"/>
  <c r="P165" i="27"/>
  <c r="Q165" i="27" s="1"/>
  <c r="F165" i="27"/>
  <c r="AN164" i="27"/>
  <c r="AH164" i="27"/>
  <c r="AB164" i="27"/>
  <c r="AE164" i="27" s="1"/>
  <c r="V164" i="27"/>
  <c r="P164" i="27"/>
  <c r="F164" i="27"/>
  <c r="AN163" i="27"/>
  <c r="AH163" i="27"/>
  <c r="AB163" i="27"/>
  <c r="V163" i="27"/>
  <c r="P163" i="27"/>
  <c r="F163" i="27"/>
  <c r="AN162" i="27"/>
  <c r="AH162" i="27"/>
  <c r="AB162" i="27"/>
  <c r="V162" i="27"/>
  <c r="P162" i="27"/>
  <c r="F162" i="27"/>
  <c r="H162" i="27" s="1"/>
  <c r="AN161" i="27"/>
  <c r="AH161" i="27"/>
  <c r="AB161" i="27"/>
  <c r="AC161" i="27" s="1"/>
  <c r="V161" i="27"/>
  <c r="P161" i="27"/>
  <c r="Q161" i="27" s="1"/>
  <c r="F161" i="27"/>
  <c r="G161" i="27" s="1"/>
  <c r="AN160" i="27"/>
  <c r="AH160" i="27"/>
  <c r="AB160" i="27"/>
  <c r="AE160" i="27" s="1"/>
  <c r="V160" i="27"/>
  <c r="X160" i="27" s="1"/>
  <c r="P160" i="27"/>
  <c r="F160" i="27"/>
  <c r="H160" i="27" s="1"/>
  <c r="AN159" i="27"/>
  <c r="AH159" i="27"/>
  <c r="AB159" i="27"/>
  <c r="AE159" i="27" s="1"/>
  <c r="V159" i="27"/>
  <c r="P159" i="27"/>
  <c r="S159" i="27" s="1"/>
  <c r="F159" i="27"/>
  <c r="AN158" i="27"/>
  <c r="AH158" i="27"/>
  <c r="AB158" i="27"/>
  <c r="V158" i="27"/>
  <c r="P158" i="27"/>
  <c r="F158" i="27"/>
  <c r="H158" i="27" s="1"/>
  <c r="AN157" i="27"/>
  <c r="AH157" i="27"/>
  <c r="AB157" i="27"/>
  <c r="V157" i="27"/>
  <c r="W157" i="27" s="1"/>
  <c r="P157" i="27"/>
  <c r="Q157" i="27" s="1"/>
  <c r="F157" i="27"/>
  <c r="AN156" i="27"/>
  <c r="AH156" i="27"/>
  <c r="AB156" i="27"/>
  <c r="V156" i="27"/>
  <c r="W156" i="27" s="1"/>
  <c r="P156" i="27"/>
  <c r="F156" i="27"/>
  <c r="AN155" i="27"/>
  <c r="AH155" i="27"/>
  <c r="AB155" i="27"/>
  <c r="AD155" i="27" s="1"/>
  <c r="V155" i="27"/>
  <c r="Y155" i="27" s="1"/>
  <c r="P155" i="27"/>
  <c r="S155" i="27" s="1"/>
  <c r="F155" i="27"/>
  <c r="AN154" i="27"/>
  <c r="AH154" i="27"/>
  <c r="AB154" i="27"/>
  <c r="AD154" i="27" s="1"/>
  <c r="V154" i="27"/>
  <c r="X154" i="27" s="1"/>
  <c r="P154" i="27"/>
  <c r="F154" i="27"/>
  <c r="H154" i="27" s="1"/>
  <c r="AN153" i="27"/>
  <c r="AH153" i="27"/>
  <c r="AB153" i="27"/>
  <c r="AC153" i="27" s="1"/>
  <c r="V153" i="27"/>
  <c r="P153" i="27"/>
  <c r="Q153" i="27" s="1"/>
  <c r="F153" i="27"/>
  <c r="G153" i="27" s="1"/>
  <c r="AN152" i="27"/>
  <c r="AH152" i="27"/>
  <c r="AB152" i="27"/>
  <c r="V152" i="27"/>
  <c r="X152" i="27" s="1"/>
  <c r="P152" i="27"/>
  <c r="F152" i="27"/>
  <c r="AN151" i="27"/>
  <c r="AH151" i="27"/>
  <c r="AB151" i="27"/>
  <c r="AE151" i="27" s="1"/>
  <c r="V151" i="27"/>
  <c r="Y151" i="27" s="1"/>
  <c r="P151" i="27"/>
  <c r="S151" i="27" s="1"/>
  <c r="F151" i="27"/>
  <c r="AN150" i="27"/>
  <c r="AH150" i="27"/>
  <c r="AB150" i="27"/>
  <c r="AD150" i="27" s="1"/>
  <c r="V150" i="27"/>
  <c r="X150" i="27" s="1"/>
  <c r="P150" i="27"/>
  <c r="F150" i="27"/>
  <c r="H150" i="27" s="1"/>
  <c r="AN149" i="27"/>
  <c r="AH149" i="27"/>
  <c r="AB149" i="27"/>
  <c r="V149" i="27"/>
  <c r="W149" i="27" s="1"/>
  <c r="P149" i="27"/>
  <c r="Q149" i="27" s="1"/>
  <c r="F149" i="27"/>
  <c r="G149" i="27" s="1"/>
  <c r="AN148" i="27"/>
  <c r="AH148" i="27"/>
  <c r="AB148" i="27"/>
  <c r="AE148" i="27" s="1"/>
  <c r="V148" i="27"/>
  <c r="Y148" i="27" s="1"/>
  <c r="P148" i="27"/>
  <c r="F148" i="27"/>
  <c r="AN147" i="27"/>
  <c r="AH147" i="27"/>
  <c r="AB147" i="27"/>
  <c r="V147" i="27"/>
  <c r="Y147" i="27" s="1"/>
  <c r="P147" i="27"/>
  <c r="F147" i="27"/>
  <c r="AN146" i="27"/>
  <c r="AH146" i="27"/>
  <c r="AB146" i="27"/>
  <c r="V146" i="27"/>
  <c r="X146" i="27" s="1"/>
  <c r="P146" i="27"/>
  <c r="R146" i="27" s="1"/>
  <c r="F146" i="27"/>
  <c r="H146" i="27" s="1"/>
  <c r="AN145" i="27"/>
  <c r="AH145" i="27"/>
  <c r="AB145" i="27"/>
  <c r="V145" i="27"/>
  <c r="W145" i="27" s="1"/>
  <c r="P145" i="27"/>
  <c r="Q145" i="27" s="1"/>
  <c r="F145" i="27"/>
  <c r="AN144" i="27"/>
  <c r="AH144" i="27"/>
  <c r="AB144" i="27"/>
  <c r="AD144" i="27" s="1"/>
  <c r="V144" i="27"/>
  <c r="W144" i="27" s="1"/>
  <c r="P144" i="27"/>
  <c r="F144" i="27"/>
  <c r="AN143" i="27"/>
  <c r="AH143" i="27"/>
  <c r="AB143" i="27"/>
  <c r="V143" i="27"/>
  <c r="Y143" i="27" s="1"/>
  <c r="P143" i="27"/>
  <c r="S143" i="27" s="1"/>
  <c r="F143" i="27"/>
  <c r="AN142" i="27"/>
  <c r="AH142" i="27"/>
  <c r="AB142" i="27"/>
  <c r="AD142" i="27" s="1"/>
  <c r="V142" i="27"/>
  <c r="X142" i="27" s="1"/>
  <c r="P142" i="27"/>
  <c r="F142" i="27"/>
  <c r="H142" i="27" s="1"/>
  <c r="AN141" i="27"/>
  <c r="AH141" i="27"/>
  <c r="AB141" i="27"/>
  <c r="AC141" i="27" s="1"/>
  <c r="V141" i="27"/>
  <c r="P141" i="27"/>
  <c r="Q141" i="27" s="1"/>
  <c r="F141" i="27"/>
  <c r="G141" i="27" s="1"/>
  <c r="AN140" i="27"/>
  <c r="AH140" i="27"/>
  <c r="AB140" i="27"/>
  <c r="AD140" i="27" s="1"/>
  <c r="V140" i="27"/>
  <c r="P140" i="27"/>
  <c r="S140" i="27" s="1"/>
  <c r="F140" i="27"/>
  <c r="AN139" i="27"/>
  <c r="AH139" i="27"/>
  <c r="AB139" i="27"/>
  <c r="AE139" i="27" s="1"/>
  <c r="V139" i="27"/>
  <c r="P139" i="27"/>
  <c r="S139" i="27" s="1"/>
  <c r="F139" i="27"/>
  <c r="AN138" i="27"/>
  <c r="AH138" i="27"/>
  <c r="AB138" i="27"/>
  <c r="AC138" i="27" s="1"/>
  <c r="V138" i="27"/>
  <c r="X138" i="27" s="1"/>
  <c r="P138" i="27"/>
  <c r="R138" i="27" s="1"/>
  <c r="F138" i="27"/>
  <c r="H138" i="27" s="1"/>
  <c r="AN137" i="27"/>
  <c r="AH137" i="27"/>
  <c r="AB137" i="27"/>
  <c r="V137" i="27"/>
  <c r="W137" i="27" s="1"/>
  <c r="P137" i="27"/>
  <c r="Q137" i="27" s="1"/>
  <c r="F137" i="27"/>
  <c r="AN136" i="27"/>
  <c r="AH136" i="27"/>
  <c r="AB136" i="27"/>
  <c r="AC136" i="27" s="1"/>
  <c r="V136" i="27"/>
  <c r="W136" i="27" s="1"/>
  <c r="P136" i="27"/>
  <c r="F136" i="27"/>
  <c r="AN135" i="27"/>
  <c r="AH135" i="27"/>
  <c r="AB135" i="27"/>
  <c r="V135" i="27"/>
  <c r="Y135" i="27" s="1"/>
  <c r="P135" i="27"/>
  <c r="S135" i="27" s="1"/>
  <c r="F135" i="27"/>
  <c r="AN134" i="27"/>
  <c r="AH134" i="27"/>
  <c r="AB134" i="27"/>
  <c r="AD134" i="27" s="1"/>
  <c r="V134" i="27"/>
  <c r="X134" i="27" s="1"/>
  <c r="P134" i="27"/>
  <c r="F134" i="27"/>
  <c r="H134" i="27" s="1"/>
  <c r="AN133" i="27"/>
  <c r="AH133" i="27"/>
  <c r="AB133" i="27"/>
  <c r="V133" i="27"/>
  <c r="P133" i="27"/>
  <c r="Q133" i="27" s="1"/>
  <c r="F133" i="27"/>
  <c r="G133" i="27" s="1"/>
  <c r="AN132" i="27"/>
  <c r="AH132" i="27"/>
  <c r="AB132" i="27"/>
  <c r="V132" i="27"/>
  <c r="P132" i="27"/>
  <c r="S132" i="27" s="1"/>
  <c r="F132" i="27"/>
  <c r="G132" i="27" s="1"/>
  <c r="AN131" i="27"/>
  <c r="AH131" i="27"/>
  <c r="AB131" i="27"/>
  <c r="AE131" i="27" s="1"/>
  <c r="V131" i="27"/>
  <c r="P131" i="27"/>
  <c r="S131" i="27" s="1"/>
  <c r="F131" i="27"/>
  <c r="AN130" i="27"/>
  <c r="AH130" i="27"/>
  <c r="AB130" i="27"/>
  <c r="AD130" i="27" s="1"/>
  <c r="V130" i="27"/>
  <c r="X130" i="27" s="1"/>
  <c r="P130" i="27"/>
  <c r="F130" i="27"/>
  <c r="H130" i="27" s="1"/>
  <c r="AN129" i="27"/>
  <c r="AH129" i="27"/>
  <c r="AB129" i="27"/>
  <c r="V129" i="27"/>
  <c r="P129" i="27"/>
  <c r="Q129" i="27" s="1"/>
  <c r="F129" i="27"/>
  <c r="G129" i="27" s="1"/>
  <c r="AN128" i="27"/>
  <c r="AH128" i="27"/>
  <c r="AB128" i="27"/>
  <c r="V128" i="27"/>
  <c r="P128" i="27"/>
  <c r="F128" i="27"/>
  <c r="AN127" i="27"/>
  <c r="AH127" i="27"/>
  <c r="AB127" i="27"/>
  <c r="AE127" i="27" s="1"/>
  <c r="V127" i="27"/>
  <c r="Y127" i="27" s="1"/>
  <c r="P127" i="27"/>
  <c r="S127" i="27" s="1"/>
  <c r="F127" i="27"/>
  <c r="I127" i="27" s="1"/>
  <c r="AN126" i="27"/>
  <c r="AH126" i="27"/>
  <c r="AB126" i="27"/>
  <c r="V126" i="27"/>
  <c r="X126" i="27" s="1"/>
  <c r="P126" i="27"/>
  <c r="R126" i="27" s="1"/>
  <c r="F126" i="27"/>
  <c r="H126" i="27" s="1"/>
  <c r="AN125" i="27"/>
  <c r="AH125" i="27"/>
  <c r="AB125" i="27"/>
  <c r="V125" i="27"/>
  <c r="W125" i="27" s="1"/>
  <c r="P125" i="27"/>
  <c r="Q125" i="27" s="1"/>
  <c r="F125" i="27"/>
  <c r="AN124" i="27"/>
  <c r="AH124" i="27"/>
  <c r="AB124" i="27"/>
  <c r="AC124" i="27" s="1"/>
  <c r="V124" i="27"/>
  <c r="W124" i="27" s="1"/>
  <c r="P124" i="27"/>
  <c r="F124" i="27"/>
  <c r="AN123" i="27"/>
  <c r="AH123" i="27"/>
  <c r="AB123" i="27"/>
  <c r="V123" i="27"/>
  <c r="Y123" i="27" s="1"/>
  <c r="P123" i="27"/>
  <c r="S123" i="27" s="1"/>
  <c r="F123" i="27"/>
  <c r="AN122" i="27"/>
  <c r="AH122" i="27"/>
  <c r="AB122" i="27"/>
  <c r="AD122" i="27" s="1"/>
  <c r="V122" i="27"/>
  <c r="X122" i="27" s="1"/>
  <c r="P122" i="27"/>
  <c r="F122" i="27"/>
  <c r="H122" i="27" s="1"/>
  <c r="AN121" i="27"/>
  <c r="AH121" i="27"/>
  <c r="AB121" i="27"/>
  <c r="V121" i="27"/>
  <c r="P121" i="27"/>
  <c r="Q121" i="27" s="1"/>
  <c r="F121" i="27"/>
  <c r="G121" i="27" s="1"/>
  <c r="AN120" i="27"/>
  <c r="AH120" i="27"/>
  <c r="AB120" i="27"/>
  <c r="V120" i="27"/>
  <c r="P120" i="27"/>
  <c r="Q120" i="27" s="1"/>
  <c r="F120" i="27"/>
  <c r="G120" i="27" s="1"/>
  <c r="AN119" i="27"/>
  <c r="AH119" i="27"/>
  <c r="AB119" i="27"/>
  <c r="AE119" i="27" s="1"/>
  <c r="V119" i="27"/>
  <c r="Y119" i="27" s="1"/>
  <c r="P119" i="27"/>
  <c r="F119" i="27"/>
  <c r="I119" i="27" s="1"/>
  <c r="AN118" i="27"/>
  <c r="AH118" i="27"/>
  <c r="AB118" i="27"/>
  <c r="V118" i="27"/>
  <c r="P118" i="27"/>
  <c r="F118" i="27"/>
  <c r="H118" i="27" s="1"/>
  <c r="AN117" i="27"/>
  <c r="AH117" i="27"/>
  <c r="AB117" i="27"/>
  <c r="AC117" i="27" s="1"/>
  <c r="V117" i="27"/>
  <c r="W117" i="27" s="1"/>
  <c r="P117" i="27"/>
  <c r="Q117" i="27" s="1"/>
  <c r="F117" i="27"/>
  <c r="G117" i="27" s="1"/>
  <c r="AN116" i="27"/>
  <c r="AH116" i="27"/>
  <c r="AB116" i="27"/>
  <c r="AE116" i="27" s="1"/>
  <c r="V116" i="27"/>
  <c r="P116" i="27"/>
  <c r="F116" i="27"/>
  <c r="AN115" i="27"/>
  <c r="AH115" i="27"/>
  <c r="AB115" i="27"/>
  <c r="AC115" i="27" s="1"/>
  <c r="V115" i="27"/>
  <c r="P115" i="27"/>
  <c r="F115" i="27"/>
  <c r="AN114" i="27"/>
  <c r="AH114" i="27"/>
  <c r="AB114" i="27"/>
  <c r="AD114" i="27" s="1"/>
  <c r="V114" i="27"/>
  <c r="P114" i="27"/>
  <c r="R114" i="27" s="1"/>
  <c r="F114" i="27"/>
  <c r="H114" i="27" s="1"/>
  <c r="AN113" i="27"/>
  <c r="AH113" i="27"/>
  <c r="AB113" i="27"/>
  <c r="V113" i="27"/>
  <c r="W113" i="27" s="1"/>
  <c r="P113" i="27"/>
  <c r="Q113" i="27" s="1"/>
  <c r="F113" i="27"/>
  <c r="G113" i="27" s="1"/>
  <c r="AN112" i="27"/>
  <c r="AH112" i="27"/>
  <c r="AB112" i="27"/>
  <c r="V112" i="27"/>
  <c r="Y112" i="27" s="1"/>
  <c r="P112" i="27"/>
  <c r="F112" i="27"/>
  <c r="AN111" i="27"/>
  <c r="AH111" i="27"/>
  <c r="AB111" i="27"/>
  <c r="AC111" i="27" s="1"/>
  <c r="V111" i="27"/>
  <c r="P111" i="27"/>
  <c r="F111" i="27"/>
  <c r="AN110" i="27"/>
  <c r="AH110" i="27"/>
  <c r="AB110" i="27"/>
  <c r="AD110" i="27" s="1"/>
  <c r="V110" i="27"/>
  <c r="P110" i="27"/>
  <c r="Q110" i="27" s="1"/>
  <c r="F110" i="27"/>
  <c r="AN109" i="27"/>
  <c r="AH109" i="27"/>
  <c r="AB109" i="27"/>
  <c r="AC109" i="27" s="1"/>
  <c r="V109" i="27"/>
  <c r="W109" i="27" s="1"/>
  <c r="P109" i="27"/>
  <c r="Q109" i="27" s="1"/>
  <c r="F109" i="27"/>
  <c r="G109" i="27" s="1"/>
  <c r="AN108" i="27"/>
  <c r="AH108" i="27"/>
  <c r="AB108" i="27"/>
  <c r="AC108" i="27" s="1"/>
  <c r="V108" i="27"/>
  <c r="P108" i="27"/>
  <c r="F108" i="27"/>
  <c r="AN107" i="27"/>
  <c r="AH107" i="27"/>
  <c r="AB107" i="27"/>
  <c r="AE107" i="27" s="1"/>
  <c r="V107" i="27"/>
  <c r="Y107" i="27" s="1"/>
  <c r="P107" i="27"/>
  <c r="S107" i="27" s="1"/>
  <c r="F107" i="27"/>
  <c r="I107" i="27" s="1"/>
  <c r="AN106" i="27"/>
  <c r="AH106" i="27"/>
  <c r="AB106" i="27"/>
  <c r="AD106" i="27" s="1"/>
  <c r="V106" i="27"/>
  <c r="X106" i="27" s="1"/>
  <c r="P106" i="27"/>
  <c r="Q106" i="27" s="1"/>
  <c r="F106" i="27"/>
  <c r="AN105" i="27"/>
  <c r="AH105" i="27"/>
  <c r="AB105" i="27"/>
  <c r="AC105" i="27" s="1"/>
  <c r="V105" i="27"/>
  <c r="W105" i="27" s="1"/>
  <c r="P105" i="27"/>
  <c r="Q105" i="27" s="1"/>
  <c r="F105" i="27"/>
  <c r="G105" i="27" s="1"/>
  <c r="AN104" i="27"/>
  <c r="AH104" i="27"/>
  <c r="AB104" i="27"/>
  <c r="V104" i="27"/>
  <c r="P104" i="27"/>
  <c r="F104" i="27"/>
  <c r="AN103" i="27"/>
  <c r="AH103" i="27"/>
  <c r="AB103" i="27"/>
  <c r="AE103" i="27" s="1"/>
  <c r="V103" i="27"/>
  <c r="Y103" i="27" s="1"/>
  <c r="P103" i="27"/>
  <c r="S103" i="27" s="1"/>
  <c r="F103" i="27"/>
  <c r="I103" i="27" s="1"/>
  <c r="AN102" i="27"/>
  <c r="AH102" i="27"/>
  <c r="AB102" i="27"/>
  <c r="AC102" i="27" s="1"/>
  <c r="V102" i="27"/>
  <c r="Y102" i="27" s="1"/>
  <c r="P102" i="27"/>
  <c r="R102" i="27" s="1"/>
  <c r="F102" i="27"/>
  <c r="H102" i="27" s="1"/>
  <c r="AN101" i="27"/>
  <c r="AH101" i="27"/>
  <c r="AB101" i="27"/>
  <c r="AC101" i="27" s="1"/>
  <c r="V101" i="27"/>
  <c r="W101" i="27" s="1"/>
  <c r="P101" i="27"/>
  <c r="Q101" i="27" s="1"/>
  <c r="F101" i="27"/>
  <c r="G101" i="27" s="1"/>
  <c r="AN100" i="27"/>
  <c r="AH100" i="27"/>
  <c r="AB100" i="27"/>
  <c r="V100" i="27"/>
  <c r="Y100" i="27" s="1"/>
  <c r="P100" i="27"/>
  <c r="Q100" i="27" s="1"/>
  <c r="F100" i="27"/>
  <c r="H100" i="27" s="1"/>
  <c r="AN99" i="27"/>
  <c r="AH99" i="27"/>
  <c r="AB99" i="27"/>
  <c r="AE99" i="27" s="1"/>
  <c r="V99" i="27"/>
  <c r="P99" i="27"/>
  <c r="S99" i="27" s="1"/>
  <c r="F99" i="27"/>
  <c r="I99" i="27" s="1"/>
  <c r="AN98" i="27"/>
  <c r="AH98" i="27"/>
  <c r="AB98" i="27"/>
  <c r="AC98" i="27" s="1"/>
  <c r="V98" i="27"/>
  <c r="Y98" i="27" s="1"/>
  <c r="P98" i="27"/>
  <c r="F98" i="27"/>
  <c r="H98" i="27" s="1"/>
  <c r="AN97" i="27"/>
  <c r="AH97" i="27"/>
  <c r="AB97" i="27"/>
  <c r="AC97" i="27" s="1"/>
  <c r="V97" i="27"/>
  <c r="W97" i="27" s="1"/>
  <c r="P97" i="27"/>
  <c r="Q97" i="27" s="1"/>
  <c r="F97" i="27"/>
  <c r="G97" i="27" s="1"/>
  <c r="AN96" i="27"/>
  <c r="AH96" i="27"/>
  <c r="AB96" i="27"/>
  <c r="AE96" i="27" s="1"/>
  <c r="V96" i="27"/>
  <c r="P96" i="27"/>
  <c r="Q96" i="27" s="1"/>
  <c r="F96" i="27"/>
  <c r="H96" i="27" s="1"/>
  <c r="AN95" i="27"/>
  <c r="AH95" i="27"/>
  <c r="AB95" i="27"/>
  <c r="AE95" i="27" s="1"/>
  <c r="V95" i="27"/>
  <c r="P95" i="27"/>
  <c r="S95" i="27" s="1"/>
  <c r="F95" i="27"/>
  <c r="I95" i="27" s="1"/>
  <c r="AN94" i="27"/>
  <c r="AH94" i="27"/>
  <c r="AB94" i="27"/>
  <c r="AE94" i="27" s="1"/>
  <c r="V94" i="27"/>
  <c r="X94" i="27" s="1"/>
  <c r="P94" i="27"/>
  <c r="R94" i="27" s="1"/>
  <c r="F94" i="27"/>
  <c r="G94" i="27" s="1"/>
  <c r="AN93" i="27"/>
  <c r="AH93" i="27"/>
  <c r="AB93" i="27"/>
  <c r="AC93" i="27" s="1"/>
  <c r="V93" i="27"/>
  <c r="W93" i="27" s="1"/>
  <c r="P93" i="27"/>
  <c r="Q93" i="27" s="1"/>
  <c r="F93" i="27"/>
  <c r="G93" i="27" s="1"/>
  <c r="AN92" i="27"/>
  <c r="AH92" i="27"/>
  <c r="AB92" i="27"/>
  <c r="V92" i="27"/>
  <c r="X92" i="27" s="1"/>
  <c r="P92" i="27"/>
  <c r="F92" i="27"/>
  <c r="G92" i="27" s="1"/>
  <c r="AN91" i="27"/>
  <c r="AH91" i="27"/>
  <c r="AB91" i="27"/>
  <c r="AE91" i="27" s="1"/>
  <c r="V91" i="27"/>
  <c r="Y91" i="27" s="1"/>
  <c r="P91" i="27"/>
  <c r="S91" i="27" s="1"/>
  <c r="F91" i="27"/>
  <c r="I91" i="27" s="1"/>
  <c r="AN90" i="27"/>
  <c r="AH90" i="27"/>
  <c r="AB90" i="27"/>
  <c r="AD90" i="27" s="1"/>
  <c r="V90" i="27"/>
  <c r="X90" i="27" s="1"/>
  <c r="P90" i="27"/>
  <c r="R90" i="27" s="1"/>
  <c r="F90" i="27"/>
  <c r="H90" i="27" s="1"/>
  <c r="AN89" i="27"/>
  <c r="AH89" i="27"/>
  <c r="AB89" i="27"/>
  <c r="AC89" i="27" s="1"/>
  <c r="V89" i="27"/>
  <c r="W89" i="27" s="1"/>
  <c r="P89" i="27"/>
  <c r="Q89" i="27" s="1"/>
  <c r="F89" i="27"/>
  <c r="G89" i="27" s="1"/>
  <c r="AN88" i="27"/>
  <c r="AH88" i="27"/>
  <c r="AB88" i="27"/>
  <c r="AD88" i="27" s="1"/>
  <c r="V88" i="27"/>
  <c r="X88" i="27" s="1"/>
  <c r="P88" i="27"/>
  <c r="F88" i="27"/>
  <c r="AN87" i="27"/>
  <c r="AH87" i="27"/>
  <c r="AB87" i="27"/>
  <c r="V87" i="27"/>
  <c r="Y87" i="27" s="1"/>
  <c r="P87" i="27"/>
  <c r="S87" i="27" s="1"/>
  <c r="F87" i="27"/>
  <c r="I87" i="27" s="1"/>
  <c r="AN86" i="27"/>
  <c r="AH86" i="27"/>
  <c r="AB86" i="27"/>
  <c r="V86" i="27"/>
  <c r="X86" i="27" s="1"/>
  <c r="P86" i="27"/>
  <c r="R86" i="27" s="1"/>
  <c r="F86" i="27"/>
  <c r="AN85" i="27"/>
  <c r="AH85" i="27"/>
  <c r="AB85" i="27"/>
  <c r="AC85" i="27" s="1"/>
  <c r="V85" i="27"/>
  <c r="W85" i="27" s="1"/>
  <c r="P85" i="27"/>
  <c r="Q85" i="27" s="1"/>
  <c r="F85" i="27"/>
  <c r="G85" i="27" s="1"/>
  <c r="AN84" i="27"/>
  <c r="AH84" i="27"/>
  <c r="AB84" i="27"/>
  <c r="AC84" i="27" s="1"/>
  <c r="V84" i="27"/>
  <c r="P84" i="27"/>
  <c r="R84" i="27" s="1"/>
  <c r="F84" i="27"/>
  <c r="G84" i="27" s="1"/>
  <c r="AN83" i="27"/>
  <c r="AH83" i="27"/>
  <c r="AB83" i="27"/>
  <c r="AE83" i="27" s="1"/>
  <c r="V83" i="27"/>
  <c r="Y83" i="27" s="1"/>
  <c r="P83" i="27"/>
  <c r="S83" i="27" s="1"/>
  <c r="F83" i="27"/>
  <c r="I83" i="27" s="1"/>
  <c r="AN82" i="27"/>
  <c r="AH82" i="27"/>
  <c r="AB82" i="27"/>
  <c r="AD82" i="27" s="1"/>
  <c r="V82" i="27"/>
  <c r="X82" i="27" s="1"/>
  <c r="P82" i="27"/>
  <c r="R82" i="27" s="1"/>
  <c r="F82" i="27"/>
  <c r="H82" i="27" s="1"/>
  <c r="AN81" i="27"/>
  <c r="AH81" i="27"/>
  <c r="AB81" i="27"/>
  <c r="AC81" i="27" s="1"/>
  <c r="V81" i="27"/>
  <c r="W81" i="27" s="1"/>
  <c r="P81" i="27"/>
  <c r="Q81" i="27" s="1"/>
  <c r="F81" i="27"/>
  <c r="G81" i="27" s="1"/>
  <c r="AN80" i="27"/>
  <c r="AH80" i="27"/>
  <c r="AB80" i="27"/>
  <c r="V80" i="27"/>
  <c r="P80" i="27"/>
  <c r="F80" i="27"/>
  <c r="I80" i="27" s="1"/>
  <c r="AN79" i="27"/>
  <c r="AH79" i="27"/>
  <c r="AB79" i="27"/>
  <c r="AE79" i="27" s="1"/>
  <c r="V79" i="27"/>
  <c r="Y79" i="27" s="1"/>
  <c r="P79" i="27"/>
  <c r="S79" i="27" s="1"/>
  <c r="F79" i="27"/>
  <c r="I79" i="27" s="1"/>
  <c r="AN78" i="27"/>
  <c r="AH78" i="27"/>
  <c r="AB78" i="27"/>
  <c r="AC78" i="27" s="1"/>
  <c r="V78" i="27"/>
  <c r="X78" i="27" s="1"/>
  <c r="P78" i="27"/>
  <c r="R78" i="27" s="1"/>
  <c r="F78" i="27"/>
  <c r="H78" i="27" s="1"/>
  <c r="AN77" i="27"/>
  <c r="AH77" i="27"/>
  <c r="AB77" i="27"/>
  <c r="AC77" i="27" s="1"/>
  <c r="V77" i="27"/>
  <c r="W77" i="27" s="1"/>
  <c r="P77" i="27"/>
  <c r="Q77" i="27" s="1"/>
  <c r="F77" i="27"/>
  <c r="G77" i="27" s="1"/>
  <c r="AN76" i="27"/>
  <c r="AH76" i="27"/>
  <c r="AB76" i="27"/>
  <c r="AC76" i="27" s="1"/>
  <c r="V76" i="27"/>
  <c r="W76" i="27" s="1"/>
  <c r="P76" i="27"/>
  <c r="F76" i="27"/>
  <c r="I76" i="27" s="1"/>
  <c r="AN75" i="27"/>
  <c r="AH75" i="27"/>
  <c r="AB75" i="27"/>
  <c r="AE75" i="27" s="1"/>
  <c r="V75" i="27"/>
  <c r="Y75" i="27" s="1"/>
  <c r="P75" i="27"/>
  <c r="S75" i="27" s="1"/>
  <c r="F75" i="27"/>
  <c r="I75" i="27" s="1"/>
  <c r="AN74" i="27"/>
  <c r="AH74" i="27"/>
  <c r="AB74" i="27"/>
  <c r="V74" i="27"/>
  <c r="X74" i="27" s="1"/>
  <c r="P74" i="27"/>
  <c r="R74" i="27" s="1"/>
  <c r="F74" i="27"/>
  <c r="AN73" i="27"/>
  <c r="AH73" i="27"/>
  <c r="AB73" i="27"/>
  <c r="AC73" i="27" s="1"/>
  <c r="V73" i="27"/>
  <c r="W73" i="27" s="1"/>
  <c r="P73" i="27"/>
  <c r="Q73" i="27" s="1"/>
  <c r="F73" i="27"/>
  <c r="G73" i="27" s="1"/>
  <c r="AN72" i="27"/>
  <c r="AH72" i="27"/>
  <c r="AB72" i="27"/>
  <c r="AD72" i="27" s="1"/>
  <c r="V72" i="27"/>
  <c r="X72" i="27" s="1"/>
  <c r="P72" i="27"/>
  <c r="F72" i="27"/>
  <c r="AN71" i="27"/>
  <c r="AH71" i="27"/>
  <c r="AB71" i="27"/>
  <c r="V71" i="27"/>
  <c r="Y71" i="27" s="1"/>
  <c r="P71" i="27"/>
  <c r="S71" i="27" s="1"/>
  <c r="F71" i="27"/>
  <c r="AN70" i="27"/>
  <c r="AH70" i="27"/>
  <c r="AB70" i="27"/>
  <c r="AD70" i="27" s="1"/>
  <c r="V70" i="27"/>
  <c r="X70" i="27" s="1"/>
  <c r="P70" i="27"/>
  <c r="F70" i="27"/>
  <c r="H70" i="27" s="1"/>
  <c r="AN69" i="27"/>
  <c r="AH69" i="27"/>
  <c r="AB69" i="27"/>
  <c r="AC69" i="27" s="1"/>
  <c r="V69" i="27"/>
  <c r="W69" i="27" s="1"/>
  <c r="P69" i="27"/>
  <c r="Q69" i="27" s="1"/>
  <c r="F69" i="27"/>
  <c r="G69" i="27" s="1"/>
  <c r="AN68" i="27"/>
  <c r="AH68" i="27"/>
  <c r="AB68" i="27"/>
  <c r="AE68" i="27" s="1"/>
  <c r="V68" i="27"/>
  <c r="Y68" i="27" s="1"/>
  <c r="P68" i="27"/>
  <c r="R68" i="27" s="1"/>
  <c r="F68" i="27"/>
  <c r="H68" i="27" s="1"/>
  <c r="AN67" i="27"/>
  <c r="AH67" i="27"/>
  <c r="AB67" i="27"/>
  <c r="AE67" i="27" s="1"/>
  <c r="V67" i="27"/>
  <c r="Y67" i="27" s="1"/>
  <c r="P67" i="27"/>
  <c r="S67" i="27" s="1"/>
  <c r="F67" i="27"/>
  <c r="I67" i="27" s="1"/>
  <c r="AN66" i="27"/>
  <c r="AH66" i="27"/>
  <c r="AB66" i="27"/>
  <c r="AD66" i="27" s="1"/>
  <c r="V66" i="27"/>
  <c r="X66" i="27" s="1"/>
  <c r="P66" i="27"/>
  <c r="R66" i="27" s="1"/>
  <c r="F66" i="27"/>
  <c r="H66" i="27" s="1"/>
  <c r="AN65" i="27"/>
  <c r="AH65" i="27"/>
  <c r="AB65" i="27"/>
  <c r="AC65" i="27" s="1"/>
  <c r="V65" i="27"/>
  <c r="W65" i="27" s="1"/>
  <c r="P65" i="27"/>
  <c r="Q65" i="27" s="1"/>
  <c r="F65" i="27"/>
  <c r="G65" i="27" s="1"/>
  <c r="AN64" i="27"/>
  <c r="AH64" i="27"/>
  <c r="AB64" i="27"/>
  <c r="AE64" i="27" s="1"/>
  <c r="V64" i="27"/>
  <c r="Y64" i="27" s="1"/>
  <c r="P64" i="27"/>
  <c r="R64" i="27" s="1"/>
  <c r="F64" i="27"/>
  <c r="H64" i="27" s="1"/>
  <c r="AN63" i="27"/>
  <c r="AH63" i="27"/>
  <c r="AB63" i="27"/>
  <c r="AE63" i="27" s="1"/>
  <c r="V63" i="27"/>
  <c r="P63" i="27"/>
  <c r="S63" i="27" s="1"/>
  <c r="F63" i="27"/>
  <c r="I63" i="27" s="1"/>
  <c r="AN62" i="27"/>
  <c r="AH62" i="27"/>
  <c r="AB62" i="27"/>
  <c r="AD62" i="27" s="1"/>
  <c r="V62" i="27"/>
  <c r="P62" i="27"/>
  <c r="R62" i="27" s="1"/>
  <c r="F62" i="27"/>
  <c r="H62" i="27" s="1"/>
  <c r="AN61" i="27"/>
  <c r="AH61" i="27"/>
  <c r="AB61" i="27"/>
  <c r="AC61" i="27" s="1"/>
  <c r="V61" i="27"/>
  <c r="W61" i="27" s="1"/>
  <c r="P61" i="27"/>
  <c r="Q61" i="27" s="1"/>
  <c r="F61" i="27"/>
  <c r="G61" i="27" s="1"/>
  <c r="AN60" i="27"/>
  <c r="AH60" i="27"/>
  <c r="AB60" i="27"/>
  <c r="AE60" i="27" s="1"/>
  <c r="V60" i="27"/>
  <c r="Y60" i="27" s="1"/>
  <c r="P60" i="27"/>
  <c r="R60" i="27" s="1"/>
  <c r="F60" i="27"/>
  <c r="AN59" i="27"/>
  <c r="AH59" i="27"/>
  <c r="AB59" i="27"/>
  <c r="AE59" i="27" s="1"/>
  <c r="V59" i="27"/>
  <c r="Y59" i="27" s="1"/>
  <c r="P59" i="27"/>
  <c r="S59" i="27" s="1"/>
  <c r="F59" i="27"/>
  <c r="I59" i="27" s="1"/>
  <c r="AN58" i="27"/>
  <c r="AH58" i="27"/>
  <c r="AB58" i="27"/>
  <c r="AD58" i="27" s="1"/>
  <c r="V58" i="27"/>
  <c r="P58" i="27"/>
  <c r="R58" i="27" s="1"/>
  <c r="F58" i="27"/>
  <c r="H58" i="27" s="1"/>
  <c r="AN57" i="27"/>
  <c r="AH57" i="27"/>
  <c r="AB57" i="27"/>
  <c r="AC57" i="27" s="1"/>
  <c r="V57" i="27"/>
  <c r="W57" i="27" s="1"/>
  <c r="P57" i="27"/>
  <c r="Q57" i="27" s="1"/>
  <c r="F57" i="27"/>
  <c r="G57" i="27" s="1"/>
  <c r="AN56" i="27"/>
  <c r="AH56" i="27"/>
  <c r="AB56" i="27"/>
  <c r="AE56" i="27" s="1"/>
  <c r="V56" i="27"/>
  <c r="Y56" i="27" s="1"/>
  <c r="P56" i="27"/>
  <c r="R56" i="27" s="1"/>
  <c r="F56" i="27"/>
  <c r="H56" i="27" s="1"/>
  <c r="AN55" i="27"/>
  <c r="AH55" i="27"/>
  <c r="AB55" i="27"/>
  <c r="AE55" i="27" s="1"/>
  <c r="V55" i="27"/>
  <c r="P55" i="27"/>
  <c r="S55" i="27" s="1"/>
  <c r="F55" i="27"/>
  <c r="I55" i="27" s="1"/>
  <c r="AN54" i="27"/>
  <c r="AH54" i="27"/>
  <c r="AB54" i="27"/>
  <c r="V54" i="27"/>
  <c r="X54" i="27" s="1"/>
  <c r="P54" i="27"/>
  <c r="R54" i="27" s="1"/>
  <c r="F54" i="27"/>
  <c r="H54" i="27" s="1"/>
  <c r="AN53" i="27"/>
  <c r="AH53" i="27"/>
  <c r="AB53" i="27"/>
  <c r="AC53" i="27" s="1"/>
  <c r="V53" i="27"/>
  <c r="W53" i="27" s="1"/>
  <c r="P53" i="27"/>
  <c r="Q53" i="27" s="1"/>
  <c r="F53" i="27"/>
  <c r="G53" i="27" s="1"/>
  <c r="AN52" i="27"/>
  <c r="AH52" i="27"/>
  <c r="AB52" i="27"/>
  <c r="AC52" i="27" s="1"/>
  <c r="Y52" i="27"/>
  <c r="V52" i="27"/>
  <c r="W52" i="27" s="1"/>
  <c r="P52" i="27"/>
  <c r="F52" i="27"/>
  <c r="G52" i="27" s="1"/>
  <c r="AN51" i="27"/>
  <c r="AH51" i="27"/>
  <c r="AB51" i="27"/>
  <c r="AE51" i="27" s="1"/>
  <c r="V51" i="27"/>
  <c r="Y51" i="27" s="1"/>
  <c r="P51" i="27"/>
  <c r="S51" i="27" s="1"/>
  <c r="F51" i="27"/>
  <c r="I51" i="27" s="1"/>
  <c r="AN50" i="27"/>
  <c r="AH50" i="27"/>
  <c r="AB50" i="27"/>
  <c r="AE50" i="27" s="1"/>
  <c r="V50" i="27"/>
  <c r="Y50" i="27" s="1"/>
  <c r="P50" i="27"/>
  <c r="R50" i="27" s="1"/>
  <c r="F50" i="27"/>
  <c r="AN49" i="27"/>
  <c r="AH49" i="27"/>
  <c r="AB49" i="27"/>
  <c r="AC49" i="27" s="1"/>
  <c r="V49" i="27"/>
  <c r="W49" i="27" s="1"/>
  <c r="P49" i="27"/>
  <c r="Q49" i="27" s="1"/>
  <c r="F49" i="27"/>
  <c r="G49" i="27" s="1"/>
  <c r="AN48" i="27"/>
  <c r="AH48" i="27"/>
  <c r="AB48" i="27"/>
  <c r="V48" i="27"/>
  <c r="P48" i="27"/>
  <c r="R48" i="27" s="1"/>
  <c r="F48" i="27"/>
  <c r="H48" i="27" s="1"/>
  <c r="AN47" i="27"/>
  <c r="AH47" i="27"/>
  <c r="AB47" i="27"/>
  <c r="AE47" i="27" s="1"/>
  <c r="V47" i="27"/>
  <c r="P47" i="27"/>
  <c r="S47" i="27" s="1"/>
  <c r="F47" i="27"/>
  <c r="I47" i="27" s="1"/>
  <c r="AN46" i="27"/>
  <c r="AH46" i="27"/>
  <c r="AB46" i="27"/>
  <c r="AE46" i="27" s="1"/>
  <c r="V46" i="27"/>
  <c r="Y46" i="27" s="1"/>
  <c r="P46" i="27"/>
  <c r="R46" i="27" s="1"/>
  <c r="F46" i="27"/>
  <c r="H46" i="27" s="1"/>
  <c r="AN45" i="27"/>
  <c r="AH45" i="27"/>
  <c r="AB45" i="27"/>
  <c r="AC45" i="27" s="1"/>
  <c r="V45" i="27"/>
  <c r="W45" i="27" s="1"/>
  <c r="P45" i="27"/>
  <c r="Q45" i="27" s="1"/>
  <c r="F45" i="27"/>
  <c r="G45" i="27" s="1"/>
  <c r="AN44" i="27"/>
  <c r="AH44" i="27"/>
  <c r="AB44" i="27"/>
  <c r="AC44" i="27" s="1"/>
  <c r="V44" i="27"/>
  <c r="P44" i="27"/>
  <c r="R44" i="27" s="1"/>
  <c r="F44" i="27"/>
  <c r="H44" i="27" s="1"/>
  <c r="AN43" i="27"/>
  <c r="AH43" i="27"/>
  <c r="AB43" i="27"/>
  <c r="AE43" i="27" s="1"/>
  <c r="V43" i="27"/>
  <c r="Y43" i="27" s="1"/>
  <c r="P43" i="27"/>
  <c r="S43" i="27" s="1"/>
  <c r="F43" i="27"/>
  <c r="I43" i="27" s="1"/>
  <c r="AN42" i="27"/>
  <c r="AH42" i="27"/>
  <c r="AB42" i="27"/>
  <c r="AE42" i="27" s="1"/>
  <c r="V42" i="27"/>
  <c r="Y42" i="27" s="1"/>
  <c r="P42" i="27"/>
  <c r="R42" i="27" s="1"/>
  <c r="F42" i="27"/>
  <c r="H42" i="27" s="1"/>
  <c r="AN41" i="27"/>
  <c r="AH41" i="27"/>
  <c r="AB41" i="27"/>
  <c r="AC41" i="27" s="1"/>
  <c r="V41" i="27"/>
  <c r="W41" i="27" s="1"/>
  <c r="P41" i="27"/>
  <c r="Q41" i="27" s="1"/>
  <c r="F41" i="27"/>
  <c r="G41" i="27" s="1"/>
  <c r="AN40" i="27"/>
  <c r="AH40" i="27"/>
  <c r="AB40" i="27"/>
  <c r="AE40" i="27" s="1"/>
  <c r="V40" i="27"/>
  <c r="P40" i="27"/>
  <c r="R40" i="27" s="1"/>
  <c r="F40" i="27"/>
  <c r="AN39" i="27"/>
  <c r="AH39" i="27"/>
  <c r="AB39" i="27"/>
  <c r="AE39" i="27" s="1"/>
  <c r="V39" i="27"/>
  <c r="Y39" i="27" s="1"/>
  <c r="P39" i="27"/>
  <c r="S39" i="27" s="1"/>
  <c r="F39" i="27"/>
  <c r="I39" i="27" s="1"/>
  <c r="AN38" i="27"/>
  <c r="AH38" i="27"/>
  <c r="AB38" i="27"/>
  <c r="AD38" i="27" s="1"/>
  <c r="V38" i="27"/>
  <c r="P38" i="27"/>
  <c r="R38" i="27" s="1"/>
  <c r="F38" i="27"/>
  <c r="H38" i="27" s="1"/>
  <c r="AN37" i="27"/>
  <c r="AH37" i="27"/>
  <c r="AB37" i="27"/>
  <c r="AC37" i="27" s="1"/>
  <c r="V37" i="27"/>
  <c r="W37" i="27" s="1"/>
  <c r="P37" i="27"/>
  <c r="Q37" i="27" s="1"/>
  <c r="F37" i="27"/>
  <c r="G37" i="27" s="1"/>
  <c r="AN36" i="27"/>
  <c r="AH36" i="27"/>
  <c r="AB36" i="27"/>
  <c r="V36" i="27"/>
  <c r="W36" i="27" s="1"/>
  <c r="P36" i="27"/>
  <c r="F36" i="27"/>
  <c r="I36" i="27" s="1"/>
  <c r="AN35" i="27"/>
  <c r="AH35" i="27"/>
  <c r="AB35" i="27"/>
  <c r="AE35" i="27" s="1"/>
  <c r="V35" i="27"/>
  <c r="Y35" i="27" s="1"/>
  <c r="P35" i="27"/>
  <c r="S35" i="27" s="1"/>
  <c r="F35" i="27"/>
  <c r="I35" i="27" s="1"/>
  <c r="AN34" i="27"/>
  <c r="AH34" i="27"/>
  <c r="AB34" i="27"/>
  <c r="AD34" i="27" s="1"/>
  <c r="V34" i="27"/>
  <c r="X34" i="27" s="1"/>
  <c r="P34" i="27"/>
  <c r="R34" i="27" s="1"/>
  <c r="F34" i="27"/>
  <c r="H34" i="27" s="1"/>
  <c r="AN33" i="27"/>
  <c r="AH33" i="27"/>
  <c r="AB33" i="27"/>
  <c r="AC33" i="27" s="1"/>
  <c r="V33" i="27"/>
  <c r="W33" i="27" s="1"/>
  <c r="P33" i="27"/>
  <c r="Q33" i="27" s="1"/>
  <c r="F33" i="27"/>
  <c r="AN32" i="27"/>
  <c r="AH32" i="27"/>
  <c r="AB32" i="27"/>
  <c r="AE32" i="27" s="1"/>
  <c r="V32" i="27"/>
  <c r="Y32" i="27" s="1"/>
  <c r="P32" i="27"/>
  <c r="Q32" i="27" s="1"/>
  <c r="F32" i="27"/>
  <c r="AN31" i="27"/>
  <c r="AH31" i="27"/>
  <c r="AB31" i="27"/>
  <c r="AE31" i="27" s="1"/>
  <c r="V31" i="27"/>
  <c r="Y31" i="27" s="1"/>
  <c r="P31" i="27"/>
  <c r="R31" i="27" s="1"/>
  <c r="F31" i="27"/>
  <c r="I31" i="27" s="1"/>
  <c r="AN30" i="27"/>
  <c r="AH30" i="27"/>
  <c r="AB30" i="27"/>
  <c r="AE30" i="27" s="1"/>
  <c r="V30" i="27"/>
  <c r="Y30" i="27" s="1"/>
  <c r="P30" i="27"/>
  <c r="R30" i="27" s="1"/>
  <c r="F30" i="27"/>
  <c r="H30" i="27" s="1"/>
  <c r="AN29" i="27"/>
  <c r="AH29" i="27"/>
  <c r="AB29" i="27"/>
  <c r="V29" i="27"/>
  <c r="P29" i="27"/>
  <c r="Q29" i="27" s="1"/>
  <c r="F29" i="27"/>
  <c r="AN28" i="27"/>
  <c r="AH28" i="27"/>
  <c r="AB28" i="27"/>
  <c r="V28" i="27"/>
  <c r="X28" i="27" s="1"/>
  <c r="P28" i="27"/>
  <c r="R28" i="27" s="1"/>
  <c r="F28" i="27"/>
  <c r="H28" i="27" s="1"/>
  <c r="AN27" i="27"/>
  <c r="AM27" i="27"/>
  <c r="AO27" i="27" s="1"/>
  <c r="AH27" i="27"/>
  <c r="AB27" i="27"/>
  <c r="AE27" i="27" s="1"/>
  <c r="V27" i="27"/>
  <c r="P27" i="27"/>
  <c r="F27" i="27"/>
  <c r="I27" i="27" s="1"/>
  <c r="AN26" i="27"/>
  <c r="AM26" i="27"/>
  <c r="AO26" i="27" s="1"/>
  <c r="AH26" i="27"/>
  <c r="AB26" i="27"/>
  <c r="AC26" i="27" s="1"/>
  <c r="V26" i="27"/>
  <c r="P26" i="27"/>
  <c r="F26" i="27"/>
  <c r="AN25" i="27"/>
  <c r="AM25" i="27"/>
  <c r="AO25" i="27" s="1"/>
  <c r="AH25" i="27"/>
  <c r="AB25" i="27"/>
  <c r="V25" i="27"/>
  <c r="P25" i="27"/>
  <c r="Q25" i="27" s="1"/>
  <c r="F25" i="27"/>
  <c r="AN24" i="27"/>
  <c r="AM24" i="27"/>
  <c r="AO24" i="27" s="1"/>
  <c r="AH24" i="27"/>
  <c r="AB24" i="27"/>
  <c r="AD24" i="27" s="1"/>
  <c r="V24" i="27"/>
  <c r="P24" i="27"/>
  <c r="F24" i="27"/>
  <c r="H24" i="27" s="1"/>
  <c r="AN23" i="27"/>
  <c r="AM23" i="27"/>
  <c r="AO23" i="27" s="1"/>
  <c r="AH23" i="27"/>
  <c r="AB23" i="27"/>
  <c r="AE23" i="27" s="1"/>
  <c r="V23" i="27"/>
  <c r="P23" i="27"/>
  <c r="R23" i="27" s="1"/>
  <c r="F23" i="27"/>
  <c r="I23" i="27" s="1"/>
  <c r="AN22" i="27"/>
  <c r="AM22" i="27"/>
  <c r="AO22" i="27" s="1"/>
  <c r="AH22" i="27"/>
  <c r="AB22" i="27"/>
  <c r="V22" i="27"/>
  <c r="P22" i="27"/>
  <c r="S22" i="27" s="1"/>
  <c r="F22" i="27"/>
  <c r="H22" i="27" s="1"/>
  <c r="AN21" i="27"/>
  <c r="AM21" i="27"/>
  <c r="AO21" i="27" s="1"/>
  <c r="AH21" i="27"/>
  <c r="AB21" i="27"/>
  <c r="V21" i="27"/>
  <c r="P21" i="27"/>
  <c r="Q21" i="27" s="1"/>
  <c r="F21" i="27"/>
  <c r="AN20" i="27"/>
  <c r="AM20" i="27"/>
  <c r="AO20" i="27" s="1"/>
  <c r="AH20" i="27"/>
  <c r="AB20" i="27"/>
  <c r="AD20" i="27" s="1"/>
  <c r="V20" i="27"/>
  <c r="P20" i="27"/>
  <c r="R20" i="27" s="1"/>
  <c r="F20" i="27"/>
  <c r="H20" i="27" s="1"/>
  <c r="AN19" i="27"/>
  <c r="AM19" i="27"/>
  <c r="AO19" i="27" s="1"/>
  <c r="AH19" i="27"/>
  <c r="AB19" i="27"/>
  <c r="AE19" i="27" s="1"/>
  <c r="V19" i="27"/>
  <c r="P19" i="27"/>
  <c r="F19" i="27"/>
  <c r="I19" i="27" s="1"/>
  <c r="AN18" i="27"/>
  <c r="AM18" i="27"/>
  <c r="AO18" i="27" s="1"/>
  <c r="AH18" i="27"/>
  <c r="AB18" i="27"/>
  <c r="AE18" i="27" s="1"/>
  <c r="V18" i="27"/>
  <c r="P18" i="27"/>
  <c r="F18" i="27"/>
  <c r="I18" i="27" s="1"/>
  <c r="AN17" i="27"/>
  <c r="AM17" i="27"/>
  <c r="AO17" i="27" s="1"/>
  <c r="AH17" i="27"/>
  <c r="AB17" i="27"/>
  <c r="V17" i="27"/>
  <c r="P17" i="27"/>
  <c r="Q17" i="27" s="1"/>
  <c r="F17" i="27"/>
  <c r="AN16" i="27"/>
  <c r="AM16" i="27"/>
  <c r="AO16" i="27" s="1"/>
  <c r="AH16" i="27"/>
  <c r="AB16" i="27"/>
  <c r="V16" i="27"/>
  <c r="P16" i="27"/>
  <c r="R16" i="27" s="1"/>
  <c r="F16" i="27"/>
  <c r="H16" i="27" s="1"/>
  <c r="AN15" i="27"/>
  <c r="AM15" i="27"/>
  <c r="AO15" i="27" s="1"/>
  <c r="AH15" i="27"/>
  <c r="AB15" i="27"/>
  <c r="V15" i="27"/>
  <c r="P15" i="27"/>
  <c r="R15" i="27" s="1"/>
  <c r="F15" i="27"/>
  <c r="I15" i="27" s="1"/>
  <c r="AN14" i="27"/>
  <c r="AM14" i="27"/>
  <c r="AO14" i="27" s="1"/>
  <c r="AH14" i="27"/>
  <c r="AB14" i="27"/>
  <c r="AE14" i="27" s="1"/>
  <c r="V14" i="27"/>
  <c r="P14" i="27"/>
  <c r="F14" i="27"/>
  <c r="I14" i="27" s="1"/>
  <c r="AN13" i="27"/>
  <c r="AM13" i="27"/>
  <c r="AO13" i="27" s="1"/>
  <c r="AH13" i="27"/>
  <c r="AB13" i="27"/>
  <c r="V13" i="27"/>
  <c r="P13" i="27"/>
  <c r="Q13" i="27" s="1"/>
  <c r="F13" i="27"/>
  <c r="AN12" i="27"/>
  <c r="AM12" i="27"/>
  <c r="AO12" i="27" s="1"/>
  <c r="AH12" i="27"/>
  <c r="AB12" i="27"/>
  <c r="AD12" i="27" s="1"/>
  <c r="V12" i="27"/>
  <c r="X12" i="27" s="1"/>
  <c r="P12" i="27"/>
  <c r="R12" i="27" s="1"/>
  <c r="F12" i="27"/>
  <c r="H12" i="27" s="1"/>
  <c r="AN11" i="27"/>
  <c r="AM11" i="27"/>
  <c r="AO11" i="27" s="1"/>
  <c r="AH11" i="27"/>
  <c r="AB11" i="27"/>
  <c r="AE11" i="27" s="1"/>
  <c r="V11" i="27"/>
  <c r="Y11" i="27" s="1"/>
  <c r="P11" i="27"/>
  <c r="F11" i="27"/>
  <c r="I11" i="27" s="1"/>
  <c r="AN10" i="27"/>
  <c r="AM10" i="27"/>
  <c r="AO10" i="27" s="1"/>
  <c r="AH10" i="27"/>
  <c r="AB10" i="27"/>
  <c r="AE10" i="27" s="1"/>
  <c r="V10" i="27"/>
  <c r="Y10" i="27" s="1"/>
  <c r="P10" i="27"/>
  <c r="R10" i="27" s="1"/>
  <c r="F10" i="27"/>
  <c r="I10" i="27" s="1"/>
  <c r="AN9" i="27"/>
  <c r="AM9" i="27"/>
  <c r="AO9" i="27" s="1"/>
  <c r="AH9" i="27"/>
  <c r="AB9" i="27"/>
  <c r="V9" i="27"/>
  <c r="P9" i="27"/>
  <c r="Q9" i="27" s="1"/>
  <c r="F9" i="27"/>
  <c r="AN8" i="27"/>
  <c r="AM8" i="27"/>
  <c r="AO8" i="27" s="1"/>
  <c r="AH8" i="27"/>
  <c r="AB8" i="27"/>
  <c r="AD8" i="27" s="1"/>
  <c r="V8" i="27"/>
  <c r="P8" i="27"/>
  <c r="R8" i="27" s="1"/>
  <c r="I8" i="27"/>
  <c r="F8" i="27"/>
  <c r="H8" i="27" s="1"/>
  <c r="AN7" i="27"/>
  <c r="AM7" i="27"/>
  <c r="AO7" i="27" s="1"/>
  <c r="AH7" i="27"/>
  <c r="AB7" i="27"/>
  <c r="AE7" i="27" s="1"/>
  <c r="V7" i="27"/>
  <c r="Y7" i="27" s="1"/>
  <c r="P7" i="27"/>
  <c r="R7" i="27" s="1"/>
  <c r="F7" i="27"/>
  <c r="I7" i="27" s="1"/>
  <c r="AN6" i="27"/>
  <c r="AM6" i="27"/>
  <c r="AO6" i="27" s="1"/>
  <c r="AH6" i="27"/>
  <c r="AB6" i="27"/>
  <c r="AE6" i="27" s="1"/>
  <c r="V6" i="27"/>
  <c r="Y6" i="27" s="1"/>
  <c r="P6" i="27"/>
  <c r="R6" i="27" s="1"/>
  <c r="F6" i="27"/>
  <c r="I6" i="27" s="1"/>
  <c r="AN5" i="27"/>
  <c r="AM5" i="27"/>
  <c r="AO5" i="27" s="1"/>
  <c r="AH5" i="27"/>
  <c r="AB5" i="27"/>
  <c r="V5" i="27"/>
  <c r="P5" i="27"/>
  <c r="Q5" i="27" s="1"/>
  <c r="F5" i="27"/>
  <c r="AN4" i="27"/>
  <c r="AM4" i="27"/>
  <c r="AO4" i="27" s="1"/>
  <c r="AH4" i="27"/>
  <c r="AB4" i="27"/>
  <c r="AD4" i="27" s="1"/>
  <c r="V4" i="27"/>
  <c r="X4" i="27" s="1"/>
  <c r="P4" i="27"/>
  <c r="R4" i="27" s="1"/>
  <c r="F4" i="27"/>
  <c r="H4" i="27" s="1"/>
  <c r="AN3" i="27"/>
  <c r="AM3" i="27"/>
  <c r="AO3" i="27" s="1"/>
  <c r="AH3" i="27"/>
  <c r="AB3" i="27"/>
  <c r="AE3" i="27" s="1"/>
  <c r="V3" i="27"/>
  <c r="Y3" i="27" s="1"/>
  <c r="P3" i="27"/>
  <c r="R3" i="27" s="1"/>
  <c r="F3" i="27"/>
  <c r="I3" i="27" s="1"/>
  <c r="L1" i="27"/>
  <c r="AU358" i="26"/>
  <c r="AO358" i="26"/>
  <c r="R358" i="26"/>
  <c r="I358" i="26"/>
  <c r="H358" i="26"/>
  <c r="G358" i="26"/>
  <c r="AU357" i="26"/>
  <c r="AO357" i="26"/>
  <c r="R357" i="26"/>
  <c r="U357" i="26" s="1"/>
  <c r="I357" i="26"/>
  <c r="H357" i="26"/>
  <c r="G357" i="26"/>
  <c r="AU356" i="26"/>
  <c r="AO356" i="26"/>
  <c r="R356" i="26"/>
  <c r="I356" i="26"/>
  <c r="H356" i="26"/>
  <c r="G356" i="26"/>
  <c r="AU355" i="26"/>
  <c r="AO355" i="26"/>
  <c r="R355" i="26"/>
  <c r="U355" i="26" s="1"/>
  <c r="I355" i="26"/>
  <c r="H355" i="26"/>
  <c r="G355" i="26"/>
  <c r="AU354" i="26"/>
  <c r="AO354" i="26"/>
  <c r="R354" i="26"/>
  <c r="V354" i="26" s="1"/>
  <c r="I354" i="26"/>
  <c r="H354" i="26"/>
  <c r="G354" i="26"/>
  <c r="AU353" i="26"/>
  <c r="AO353" i="26"/>
  <c r="R353" i="26"/>
  <c r="U353" i="26" s="1"/>
  <c r="I353" i="26"/>
  <c r="H353" i="26"/>
  <c r="G353" i="26"/>
  <c r="AU352" i="26"/>
  <c r="AO352" i="26"/>
  <c r="R352" i="26"/>
  <c r="I352" i="26"/>
  <c r="H352" i="26"/>
  <c r="G352" i="26"/>
  <c r="AU351" i="26"/>
  <c r="AO351" i="26"/>
  <c r="AP351" i="26" s="1"/>
  <c r="AR351" i="26" s="1"/>
  <c r="AS351" i="26" s="1"/>
  <c r="R351" i="26"/>
  <c r="U351" i="26" s="1"/>
  <c r="I351" i="26"/>
  <c r="H351" i="26"/>
  <c r="G351" i="26"/>
  <c r="AU350" i="26"/>
  <c r="AO350" i="26"/>
  <c r="R350" i="26"/>
  <c r="V350" i="26" s="1"/>
  <c r="I350" i="26"/>
  <c r="H350" i="26"/>
  <c r="G350" i="26"/>
  <c r="AU349" i="26"/>
  <c r="AO349" i="26"/>
  <c r="R349" i="26"/>
  <c r="U349" i="26" s="1"/>
  <c r="I349" i="26"/>
  <c r="H349" i="26"/>
  <c r="G349" i="26"/>
  <c r="AU348" i="26"/>
  <c r="AO348" i="26"/>
  <c r="R348" i="26"/>
  <c r="I348" i="26"/>
  <c r="H348" i="26"/>
  <c r="G348" i="26"/>
  <c r="AU347" i="26"/>
  <c r="AO347" i="26"/>
  <c r="R347" i="26"/>
  <c r="U347" i="26" s="1"/>
  <c r="I347" i="26"/>
  <c r="H347" i="26"/>
  <c r="G347" i="26"/>
  <c r="AU346" i="26"/>
  <c r="AO346" i="26"/>
  <c r="R346" i="26"/>
  <c r="V346" i="26" s="1"/>
  <c r="I346" i="26"/>
  <c r="H346" i="26"/>
  <c r="G346" i="26"/>
  <c r="AU345" i="26"/>
  <c r="AO345" i="26"/>
  <c r="R345" i="26"/>
  <c r="U345" i="26" s="1"/>
  <c r="I345" i="26"/>
  <c r="H345" i="26"/>
  <c r="G345" i="26"/>
  <c r="AU344" i="26"/>
  <c r="AO344" i="26"/>
  <c r="R344" i="26"/>
  <c r="V344" i="26" s="1"/>
  <c r="I344" i="26"/>
  <c r="H344" i="26"/>
  <c r="G344" i="26"/>
  <c r="AU343" i="26"/>
  <c r="AO343" i="26"/>
  <c r="R343" i="26"/>
  <c r="U343" i="26" s="1"/>
  <c r="I343" i="26"/>
  <c r="H343" i="26"/>
  <c r="G343" i="26"/>
  <c r="AU342" i="26"/>
  <c r="AO342" i="26"/>
  <c r="R342" i="26"/>
  <c r="V342" i="26" s="1"/>
  <c r="I342" i="26"/>
  <c r="H342" i="26"/>
  <c r="G342" i="26"/>
  <c r="AU341" i="26"/>
  <c r="AO341" i="26"/>
  <c r="R341" i="26"/>
  <c r="U341" i="26" s="1"/>
  <c r="I341" i="26"/>
  <c r="H341" i="26"/>
  <c r="G341" i="26"/>
  <c r="AU340" i="26"/>
  <c r="AO340" i="26"/>
  <c r="R340" i="26"/>
  <c r="V340" i="26" s="1"/>
  <c r="I340" i="26"/>
  <c r="H340" i="26"/>
  <c r="G340" i="26"/>
  <c r="AU339" i="26"/>
  <c r="AO339" i="26"/>
  <c r="R339" i="26"/>
  <c r="U339" i="26" s="1"/>
  <c r="I339" i="26"/>
  <c r="H339" i="26"/>
  <c r="G339" i="26"/>
  <c r="AU338" i="26"/>
  <c r="AO338" i="26"/>
  <c r="AG338" i="26"/>
  <c r="AJ338" i="26" s="1"/>
  <c r="AA338" i="26"/>
  <c r="AD338" i="26" s="1"/>
  <c r="R338" i="26"/>
  <c r="V338" i="26" s="1"/>
  <c r="F338" i="26"/>
  <c r="I338" i="26" s="1"/>
  <c r="AU337" i="26"/>
  <c r="AO337" i="26"/>
  <c r="AG337" i="26"/>
  <c r="AI337" i="26" s="1"/>
  <c r="AA337" i="26"/>
  <c r="AC337" i="26" s="1"/>
  <c r="R337" i="26"/>
  <c r="V337" i="26" s="1"/>
  <c r="I337" i="26"/>
  <c r="F337" i="26"/>
  <c r="G337" i="26" s="1"/>
  <c r="AU336" i="26"/>
  <c r="AO336" i="26"/>
  <c r="AG336" i="26"/>
  <c r="AA336" i="26"/>
  <c r="R336" i="26"/>
  <c r="U336" i="26" s="1"/>
  <c r="F336" i="26"/>
  <c r="AU335" i="26"/>
  <c r="AO335" i="26"/>
  <c r="AG335" i="26"/>
  <c r="AI335" i="26" s="1"/>
  <c r="AA335" i="26"/>
  <c r="AC335" i="26" s="1"/>
  <c r="R335" i="26"/>
  <c r="F335" i="26"/>
  <c r="H335" i="26" s="1"/>
  <c r="S335" i="26"/>
  <c r="T335" i="26" s="1"/>
  <c r="AU334" i="26"/>
  <c r="AO334" i="26"/>
  <c r="AG334" i="26"/>
  <c r="AJ334" i="26" s="1"/>
  <c r="AA334" i="26"/>
  <c r="AD334" i="26" s="1"/>
  <c r="R334" i="26"/>
  <c r="F334" i="26"/>
  <c r="I334" i="26" s="1"/>
  <c r="AU333" i="26"/>
  <c r="AO333" i="26"/>
  <c r="AG333" i="26"/>
  <c r="AA333" i="26"/>
  <c r="AB333" i="26" s="1"/>
  <c r="W333" i="26"/>
  <c r="U333" i="26"/>
  <c r="R333" i="26"/>
  <c r="V333" i="26" s="1"/>
  <c r="F333" i="26"/>
  <c r="AU332" i="26"/>
  <c r="AO332" i="26"/>
  <c r="AG332" i="26"/>
  <c r="AA332" i="26"/>
  <c r="R332" i="26"/>
  <c r="U332" i="26" s="1"/>
  <c r="F332" i="26"/>
  <c r="AU331" i="26"/>
  <c r="AO331" i="26"/>
  <c r="AG331" i="26"/>
  <c r="AI331" i="26" s="1"/>
  <c r="AA331" i="26"/>
  <c r="AC331" i="26" s="1"/>
  <c r="R331" i="26"/>
  <c r="F331" i="26"/>
  <c r="G331" i="26" s="1"/>
  <c r="S331" i="26"/>
  <c r="T331" i="26" s="1"/>
  <c r="AU330" i="26"/>
  <c r="AO330" i="26"/>
  <c r="AG330" i="26"/>
  <c r="AJ330" i="26" s="1"/>
  <c r="AC330" i="26"/>
  <c r="AA330" i="26"/>
  <c r="AD330" i="26" s="1"/>
  <c r="R330" i="26"/>
  <c r="F330" i="26"/>
  <c r="I330" i="26" s="1"/>
  <c r="AU329" i="26"/>
  <c r="AO329" i="26"/>
  <c r="AG329" i="26"/>
  <c r="AH329" i="26" s="1"/>
  <c r="AA329" i="26"/>
  <c r="AB329" i="26" s="1"/>
  <c r="R329" i="26"/>
  <c r="F329" i="26"/>
  <c r="I329" i="26" s="1"/>
  <c r="AU328" i="26"/>
  <c r="AO328" i="26"/>
  <c r="AG328" i="26"/>
  <c r="AA328" i="26"/>
  <c r="R328" i="26"/>
  <c r="U328" i="26" s="1"/>
  <c r="F328" i="26"/>
  <c r="AU327" i="26"/>
  <c r="AO327" i="26"/>
  <c r="AG327" i="26"/>
  <c r="AJ327" i="26" s="1"/>
  <c r="AC327" i="26"/>
  <c r="AB327" i="26"/>
  <c r="AA327" i="26"/>
  <c r="AD327" i="26" s="1"/>
  <c r="S327" i="26"/>
  <c r="T327" i="26" s="1"/>
  <c r="R327" i="26"/>
  <c r="V327" i="26" s="1"/>
  <c r="G327" i="26"/>
  <c r="F327" i="26"/>
  <c r="I327" i="26" s="1"/>
  <c r="AU326" i="26"/>
  <c r="AO326" i="26"/>
  <c r="AI326" i="26"/>
  <c r="AG326" i="26"/>
  <c r="AJ326" i="26" s="1"/>
  <c r="AA326" i="26"/>
  <c r="AD326" i="26" s="1"/>
  <c r="R326" i="26"/>
  <c r="H326" i="26"/>
  <c r="F326" i="26"/>
  <c r="I326" i="26" s="1"/>
  <c r="AU325" i="26"/>
  <c r="AO325" i="26"/>
  <c r="AG325" i="26"/>
  <c r="AB325" i="26"/>
  <c r="AA325" i="26"/>
  <c r="AD325" i="26" s="1"/>
  <c r="R325" i="26"/>
  <c r="V325" i="26" s="1"/>
  <c r="G325" i="26"/>
  <c r="F325" i="26"/>
  <c r="I325" i="26" s="1"/>
  <c r="AU324" i="26"/>
  <c r="AO324" i="26"/>
  <c r="AG324" i="26"/>
  <c r="AA324" i="26"/>
  <c r="R324" i="26"/>
  <c r="U324" i="26" s="1"/>
  <c r="F324" i="26"/>
  <c r="AU323" i="26"/>
  <c r="AO323" i="26"/>
  <c r="AG323" i="26"/>
  <c r="AI323" i="26" s="1"/>
  <c r="AA323" i="26"/>
  <c r="R323" i="26"/>
  <c r="V323" i="26" s="1"/>
  <c r="G323" i="26"/>
  <c r="F323" i="26"/>
  <c r="H323" i="26" s="1"/>
  <c r="S323" i="26"/>
  <c r="T323" i="26" s="1"/>
  <c r="AU322" i="26"/>
  <c r="AO322" i="26"/>
  <c r="AG322" i="26"/>
  <c r="AJ322" i="26" s="1"/>
  <c r="AA322" i="26"/>
  <c r="V322" i="26"/>
  <c r="R322" i="26"/>
  <c r="F322" i="26"/>
  <c r="I322" i="26" s="1"/>
  <c r="AU321" i="26"/>
  <c r="AO321" i="26"/>
  <c r="AG321" i="26"/>
  <c r="AJ321" i="26" s="1"/>
  <c r="AA321" i="26"/>
  <c r="AD321" i="26" s="1"/>
  <c r="R321" i="26"/>
  <c r="G321" i="26"/>
  <c r="F321" i="26"/>
  <c r="I321" i="26" s="1"/>
  <c r="AU320" i="26"/>
  <c r="AO320" i="26"/>
  <c r="AG320" i="26"/>
  <c r="AA320" i="26"/>
  <c r="R320" i="26"/>
  <c r="U320" i="26" s="1"/>
  <c r="F320" i="26"/>
  <c r="AU319" i="26"/>
  <c r="AO319" i="26"/>
  <c r="AG319" i="26"/>
  <c r="AI319" i="26" s="1"/>
  <c r="AA319" i="26"/>
  <c r="U319" i="26"/>
  <c r="R319" i="26"/>
  <c r="V319" i="26" s="1"/>
  <c r="F319" i="26"/>
  <c r="H319" i="26" s="1"/>
  <c r="S319" i="26"/>
  <c r="T319" i="26" s="1"/>
  <c r="AU318" i="26"/>
  <c r="AO318" i="26"/>
  <c r="AG318" i="26"/>
  <c r="AJ318" i="26" s="1"/>
  <c r="AA318" i="26"/>
  <c r="AD318" i="26" s="1"/>
  <c r="R318" i="26"/>
  <c r="V318" i="26" s="1"/>
  <c r="F318" i="26"/>
  <c r="I318" i="26" s="1"/>
  <c r="AU317" i="26"/>
  <c r="AO317" i="26"/>
  <c r="AG317" i="26"/>
  <c r="AJ317" i="26" s="1"/>
  <c r="AA317" i="26"/>
  <c r="R317" i="26"/>
  <c r="V317" i="26" s="1"/>
  <c r="F317" i="26"/>
  <c r="I317" i="26" s="1"/>
  <c r="AU316" i="26"/>
  <c r="AO316" i="26"/>
  <c r="R316" i="26"/>
  <c r="V316" i="26" s="1"/>
  <c r="I316" i="26"/>
  <c r="H316" i="26"/>
  <c r="G316" i="26"/>
  <c r="AU315" i="26"/>
  <c r="AO315" i="26"/>
  <c r="V315" i="26"/>
  <c r="R315" i="26"/>
  <c r="I315" i="26"/>
  <c r="H315" i="26"/>
  <c r="G315" i="26"/>
  <c r="AU314" i="26"/>
  <c r="AO314" i="26"/>
  <c r="R314" i="26"/>
  <c r="I314" i="26"/>
  <c r="H314" i="26"/>
  <c r="G314" i="26"/>
  <c r="AU313" i="26"/>
  <c r="AO313" i="26"/>
  <c r="R313" i="26"/>
  <c r="V313" i="26" s="1"/>
  <c r="I313" i="26"/>
  <c r="H313" i="26"/>
  <c r="G313" i="26"/>
  <c r="AU312" i="26"/>
  <c r="AO312" i="26"/>
  <c r="R312" i="26"/>
  <c r="V312" i="26" s="1"/>
  <c r="I312" i="26"/>
  <c r="H312" i="26"/>
  <c r="G312" i="26"/>
  <c r="AU311" i="26"/>
  <c r="AO311" i="26"/>
  <c r="R311" i="26"/>
  <c r="V311" i="26" s="1"/>
  <c r="I311" i="26"/>
  <c r="H311" i="26"/>
  <c r="G311" i="26"/>
  <c r="AU310" i="26"/>
  <c r="AO310" i="26"/>
  <c r="R310" i="26"/>
  <c r="I310" i="26"/>
  <c r="H310" i="26"/>
  <c r="G310" i="26"/>
  <c r="AU309" i="26"/>
  <c r="AO309" i="26"/>
  <c r="R309" i="26"/>
  <c r="V309" i="26" s="1"/>
  <c r="I309" i="26"/>
  <c r="H309" i="26"/>
  <c r="G309" i="26"/>
  <c r="AU308" i="26"/>
  <c r="AO308" i="26"/>
  <c r="R308" i="26"/>
  <c r="V308" i="26" s="1"/>
  <c r="I308" i="26"/>
  <c r="H308" i="26"/>
  <c r="G308" i="26"/>
  <c r="AU307" i="26"/>
  <c r="AO307" i="26"/>
  <c r="R307" i="26"/>
  <c r="I307" i="26"/>
  <c r="H307" i="26"/>
  <c r="G307" i="26"/>
  <c r="AU306" i="26"/>
  <c r="AO306" i="26"/>
  <c r="R306" i="26"/>
  <c r="I306" i="26"/>
  <c r="H306" i="26"/>
  <c r="G306" i="26"/>
  <c r="AM306" i="26"/>
  <c r="AN306" i="26" s="1"/>
  <c r="AU305" i="26"/>
  <c r="AO305" i="26"/>
  <c r="R305" i="26"/>
  <c r="V305" i="26" s="1"/>
  <c r="I305" i="26"/>
  <c r="H305" i="26"/>
  <c r="G305" i="26"/>
  <c r="AU304" i="26"/>
  <c r="AO304" i="26"/>
  <c r="R304" i="26"/>
  <c r="V304" i="26" s="1"/>
  <c r="I304" i="26"/>
  <c r="H304" i="26"/>
  <c r="G304" i="26"/>
  <c r="AU303" i="26"/>
  <c r="AO303" i="26"/>
  <c r="R303" i="26"/>
  <c r="I303" i="26"/>
  <c r="H303" i="26"/>
  <c r="G303" i="26"/>
  <c r="AU302" i="26"/>
  <c r="AO302" i="26"/>
  <c r="R302" i="26"/>
  <c r="I302" i="26"/>
  <c r="H302" i="26"/>
  <c r="G302" i="26"/>
  <c r="AU301" i="26"/>
  <c r="AO301" i="26"/>
  <c r="R301" i="26"/>
  <c r="V301" i="26" s="1"/>
  <c r="I301" i="26"/>
  <c r="H301" i="26"/>
  <c r="G301" i="26"/>
  <c r="AU300" i="26"/>
  <c r="AO300" i="26"/>
  <c r="R300" i="26"/>
  <c r="V300" i="26" s="1"/>
  <c r="I300" i="26"/>
  <c r="H300" i="26"/>
  <c r="G300" i="26"/>
  <c r="AU299" i="26"/>
  <c r="AO299" i="26"/>
  <c r="R299" i="26"/>
  <c r="I299" i="26"/>
  <c r="H299" i="26"/>
  <c r="G299" i="26"/>
  <c r="AU298" i="26"/>
  <c r="AO298" i="26"/>
  <c r="R298" i="26"/>
  <c r="I298" i="26"/>
  <c r="H298" i="26"/>
  <c r="G298" i="26"/>
  <c r="AU297" i="26"/>
  <c r="AO297" i="26"/>
  <c r="R297" i="26"/>
  <c r="V297" i="26" s="1"/>
  <c r="I297" i="26"/>
  <c r="H297" i="26"/>
  <c r="G297" i="26"/>
  <c r="AU296" i="26"/>
  <c r="AO296" i="26"/>
  <c r="R296" i="26"/>
  <c r="V296" i="26" s="1"/>
  <c r="I296" i="26"/>
  <c r="H296" i="26"/>
  <c r="G296" i="26"/>
  <c r="AU295" i="26"/>
  <c r="AO295" i="26"/>
  <c r="R295" i="26"/>
  <c r="I295" i="26"/>
  <c r="H295" i="26"/>
  <c r="G295" i="26"/>
  <c r="AU294" i="26"/>
  <c r="AO294" i="26"/>
  <c r="R294" i="26"/>
  <c r="I294" i="26"/>
  <c r="H294" i="26"/>
  <c r="G294" i="26"/>
  <c r="AU293" i="26"/>
  <c r="AO293" i="26"/>
  <c r="R293" i="26"/>
  <c r="V293" i="26" s="1"/>
  <c r="I293" i="26"/>
  <c r="H293" i="26"/>
  <c r="G293" i="26"/>
  <c r="AU292" i="26"/>
  <c r="AO292" i="26"/>
  <c r="R292" i="26"/>
  <c r="V292" i="26" s="1"/>
  <c r="I292" i="26"/>
  <c r="H292" i="26"/>
  <c r="G292" i="26"/>
  <c r="AU291" i="26"/>
  <c r="AO291" i="26"/>
  <c r="R291" i="26"/>
  <c r="I291" i="26"/>
  <c r="H291" i="26"/>
  <c r="G291" i="26"/>
  <c r="AU290" i="26"/>
  <c r="AO290" i="26"/>
  <c r="R290" i="26"/>
  <c r="I290" i="26"/>
  <c r="H290" i="26"/>
  <c r="G290" i="26"/>
  <c r="AU289" i="26"/>
  <c r="AO289" i="26"/>
  <c r="R289" i="26"/>
  <c r="V289" i="26" s="1"/>
  <c r="I289" i="26"/>
  <c r="H289" i="26"/>
  <c r="G289" i="26"/>
  <c r="AU288" i="26"/>
  <c r="AO288" i="26"/>
  <c r="R288" i="26"/>
  <c r="V288" i="26" s="1"/>
  <c r="I288" i="26"/>
  <c r="H288" i="26"/>
  <c r="G288" i="26"/>
  <c r="AU287" i="26"/>
  <c r="AO287" i="26"/>
  <c r="R287" i="26"/>
  <c r="V287" i="26" s="1"/>
  <c r="I287" i="26"/>
  <c r="H287" i="26"/>
  <c r="G287" i="26"/>
  <c r="AU286" i="26"/>
  <c r="AO286" i="26"/>
  <c r="R286" i="26"/>
  <c r="I286" i="26"/>
  <c r="H286" i="26"/>
  <c r="G286" i="26"/>
  <c r="AU285" i="26"/>
  <c r="AO285" i="26"/>
  <c r="R285" i="26"/>
  <c r="V285" i="26" s="1"/>
  <c r="I285" i="26"/>
  <c r="H285" i="26"/>
  <c r="G285" i="26"/>
  <c r="AU284" i="26"/>
  <c r="AO284" i="26"/>
  <c r="R284" i="26"/>
  <c r="V284" i="26" s="1"/>
  <c r="I284" i="26"/>
  <c r="H284" i="26"/>
  <c r="G284" i="26"/>
  <c r="AU283" i="26"/>
  <c r="AO283" i="26"/>
  <c r="R283" i="26"/>
  <c r="V283" i="26" s="1"/>
  <c r="I283" i="26"/>
  <c r="H283" i="26"/>
  <c r="G283" i="26"/>
  <c r="AU282" i="26"/>
  <c r="AO282" i="26"/>
  <c r="R282" i="26"/>
  <c r="I282" i="26"/>
  <c r="H282" i="26"/>
  <c r="G282" i="26"/>
  <c r="AU281" i="26"/>
  <c r="AO281" i="26"/>
  <c r="R281" i="26"/>
  <c r="V281" i="26" s="1"/>
  <c r="I281" i="26"/>
  <c r="H281" i="26"/>
  <c r="G281" i="26"/>
  <c r="AU280" i="26"/>
  <c r="AO280" i="26"/>
  <c r="R280" i="26"/>
  <c r="V280" i="26" s="1"/>
  <c r="I280" i="26"/>
  <c r="H280" i="26"/>
  <c r="G280" i="26"/>
  <c r="AU279" i="26"/>
  <c r="AO279" i="26"/>
  <c r="R279" i="26"/>
  <c r="V279" i="26" s="1"/>
  <c r="I279" i="26"/>
  <c r="H279" i="26"/>
  <c r="G279" i="26"/>
  <c r="AU278" i="26"/>
  <c r="AO278" i="26"/>
  <c r="R278" i="26"/>
  <c r="I278" i="26"/>
  <c r="H278" i="26"/>
  <c r="G278" i="26"/>
  <c r="AU277" i="26"/>
  <c r="AO277" i="26"/>
  <c r="R277" i="26"/>
  <c r="V277" i="26" s="1"/>
  <c r="I277" i="26"/>
  <c r="H277" i="26"/>
  <c r="G277" i="26"/>
  <c r="AU276" i="26"/>
  <c r="AO276" i="26"/>
  <c r="R276" i="26"/>
  <c r="V276" i="26" s="1"/>
  <c r="I276" i="26"/>
  <c r="H276" i="26"/>
  <c r="G276" i="26"/>
  <c r="AU275" i="26"/>
  <c r="AO275" i="26"/>
  <c r="R275" i="26"/>
  <c r="V275" i="26" s="1"/>
  <c r="I275" i="26"/>
  <c r="H275" i="26"/>
  <c r="G275" i="26"/>
  <c r="AU274" i="26"/>
  <c r="AO274" i="26"/>
  <c r="R274" i="26"/>
  <c r="V274" i="26" s="1"/>
  <c r="I274" i="26"/>
  <c r="H274" i="26"/>
  <c r="G274" i="26"/>
  <c r="AU273" i="26"/>
  <c r="AO273" i="26"/>
  <c r="R273" i="26"/>
  <c r="V273" i="26" s="1"/>
  <c r="I273" i="26"/>
  <c r="H273" i="26"/>
  <c r="G273" i="26"/>
  <c r="AU272" i="26"/>
  <c r="AO272" i="26"/>
  <c r="R272" i="26"/>
  <c r="V272" i="26" s="1"/>
  <c r="I272" i="26"/>
  <c r="H272" i="26"/>
  <c r="G272" i="26"/>
  <c r="AU271" i="26"/>
  <c r="AO271" i="26"/>
  <c r="R271" i="26"/>
  <c r="V271" i="26" s="1"/>
  <c r="I271" i="26"/>
  <c r="H271" i="26"/>
  <c r="G271" i="26"/>
  <c r="AU270" i="26"/>
  <c r="AO270" i="26"/>
  <c r="R270" i="26"/>
  <c r="I270" i="26"/>
  <c r="H270" i="26"/>
  <c r="G270" i="26"/>
  <c r="AU269" i="26"/>
  <c r="AO269" i="26"/>
  <c r="R269" i="26"/>
  <c r="V269" i="26" s="1"/>
  <c r="I269" i="26"/>
  <c r="H269" i="26"/>
  <c r="G269" i="26"/>
  <c r="AU268" i="26"/>
  <c r="AO268" i="26"/>
  <c r="AG268" i="26"/>
  <c r="AI268" i="26" s="1"/>
  <c r="AA268" i="26"/>
  <c r="R268" i="26"/>
  <c r="V268" i="26" s="1"/>
  <c r="H268" i="26"/>
  <c r="F268" i="26"/>
  <c r="AU267" i="26"/>
  <c r="AO267" i="26"/>
  <c r="S267" i="26"/>
  <c r="T267" i="26" s="1"/>
  <c r="R267" i="26"/>
  <c r="V267" i="26" s="1"/>
  <c r="I267" i="26"/>
  <c r="H267" i="26"/>
  <c r="G267" i="26"/>
  <c r="AU266" i="26"/>
  <c r="AO266" i="26"/>
  <c r="U266" i="26"/>
  <c r="S266" i="26"/>
  <c r="T266" i="26" s="1"/>
  <c r="R266" i="26"/>
  <c r="V266" i="26" s="1"/>
  <c r="I266" i="26"/>
  <c r="H266" i="26"/>
  <c r="G266" i="26"/>
  <c r="AU265" i="26"/>
  <c r="AO265" i="26"/>
  <c r="S265" i="26"/>
  <c r="T265" i="26" s="1"/>
  <c r="R265" i="26"/>
  <c r="V265" i="26" s="1"/>
  <c r="I265" i="26"/>
  <c r="H265" i="26"/>
  <c r="G265" i="26"/>
  <c r="AU264" i="26"/>
  <c r="AO264" i="26"/>
  <c r="S264" i="26"/>
  <c r="T264" i="26" s="1"/>
  <c r="R264" i="26"/>
  <c r="I264" i="26"/>
  <c r="H264" i="26"/>
  <c r="G264" i="26"/>
  <c r="AU263" i="26"/>
  <c r="AO263" i="26"/>
  <c r="S263" i="26"/>
  <c r="T263" i="26" s="1"/>
  <c r="R263" i="26"/>
  <c r="I263" i="26"/>
  <c r="H263" i="26"/>
  <c r="G263" i="26"/>
  <c r="AU262" i="26"/>
  <c r="AO262" i="26"/>
  <c r="AG262" i="26"/>
  <c r="AJ262" i="26" s="1"/>
  <c r="AA262" i="26"/>
  <c r="R262" i="26"/>
  <c r="V262" i="26" s="1"/>
  <c r="F262" i="26"/>
  <c r="S262" i="26"/>
  <c r="T262" i="26" s="1"/>
  <c r="AU261" i="26"/>
  <c r="AO261" i="26"/>
  <c r="AG261" i="26"/>
  <c r="AI261" i="26" s="1"/>
  <c r="AA261" i="26"/>
  <c r="AC261" i="26" s="1"/>
  <c r="R261" i="26"/>
  <c r="V261" i="26" s="1"/>
  <c r="F261" i="26"/>
  <c r="H261" i="26" s="1"/>
  <c r="AU260" i="26"/>
  <c r="AO260" i="26"/>
  <c r="AG260" i="26"/>
  <c r="AA260" i="26"/>
  <c r="R260" i="26"/>
  <c r="G260" i="26"/>
  <c r="F260" i="26"/>
  <c r="H260" i="26" s="1"/>
  <c r="AU259" i="26"/>
  <c r="AO259" i="26"/>
  <c r="AG259" i="26"/>
  <c r="AI259" i="26" s="1"/>
  <c r="AA259" i="26"/>
  <c r="AC259" i="26" s="1"/>
  <c r="R259" i="26"/>
  <c r="V259" i="26" s="1"/>
  <c r="F259" i="26"/>
  <c r="H259" i="26" s="1"/>
  <c r="AU258" i="26"/>
  <c r="AO258" i="26"/>
  <c r="AG258" i="26"/>
  <c r="AJ258" i="26" s="1"/>
  <c r="AA258" i="26"/>
  <c r="AD258" i="26" s="1"/>
  <c r="R258" i="26"/>
  <c r="F258" i="26"/>
  <c r="S258" i="26"/>
  <c r="T258" i="26" s="1"/>
  <c r="AU257" i="26"/>
  <c r="AO257" i="26"/>
  <c r="AG257" i="26"/>
  <c r="AA257" i="26"/>
  <c r="AC257" i="26" s="1"/>
  <c r="R257" i="26"/>
  <c r="F257" i="26"/>
  <c r="AU256" i="26"/>
  <c r="AO256" i="26"/>
  <c r="AG256" i="26"/>
  <c r="AH256" i="26" s="1"/>
  <c r="AA256" i="26"/>
  <c r="R256" i="26"/>
  <c r="V256" i="26" s="1"/>
  <c r="F256" i="26"/>
  <c r="AU255" i="26"/>
  <c r="AO255" i="26"/>
  <c r="R255" i="26"/>
  <c r="V255" i="26" s="1"/>
  <c r="I255" i="26"/>
  <c r="H255" i="26"/>
  <c r="G255" i="26"/>
  <c r="AU254" i="26"/>
  <c r="AO254" i="26"/>
  <c r="R254" i="26"/>
  <c r="V254" i="26" s="1"/>
  <c r="I254" i="26"/>
  <c r="H254" i="26"/>
  <c r="G254" i="26"/>
  <c r="AU253" i="26"/>
  <c r="AO253" i="26"/>
  <c r="R253" i="26"/>
  <c r="I253" i="26"/>
  <c r="H253" i="26"/>
  <c r="G253" i="26"/>
  <c r="AU252" i="26"/>
  <c r="AO252" i="26"/>
  <c r="R252" i="26"/>
  <c r="V252" i="26" s="1"/>
  <c r="I252" i="26"/>
  <c r="H252" i="26"/>
  <c r="G252" i="26"/>
  <c r="AU251" i="26"/>
  <c r="AO251" i="26"/>
  <c r="R251" i="26"/>
  <c r="V251" i="26" s="1"/>
  <c r="I251" i="26"/>
  <c r="H251" i="26"/>
  <c r="G251" i="26"/>
  <c r="AU250" i="26"/>
  <c r="AO250" i="26"/>
  <c r="V250" i="26"/>
  <c r="R250" i="26"/>
  <c r="I250" i="26"/>
  <c r="H250" i="26"/>
  <c r="G250" i="26"/>
  <c r="AU249" i="26"/>
  <c r="AO249" i="26"/>
  <c r="R249" i="26"/>
  <c r="I249" i="26"/>
  <c r="H249" i="26"/>
  <c r="G249" i="26"/>
  <c r="AU248" i="26"/>
  <c r="AO248" i="26"/>
  <c r="R248" i="26"/>
  <c r="V248" i="26" s="1"/>
  <c r="I248" i="26"/>
  <c r="H248" i="26"/>
  <c r="G248" i="26"/>
  <c r="AU247" i="26"/>
  <c r="AO247" i="26"/>
  <c r="R247" i="26"/>
  <c r="V247" i="26" s="1"/>
  <c r="I247" i="26"/>
  <c r="H247" i="26"/>
  <c r="G247" i="26"/>
  <c r="AU246" i="26"/>
  <c r="AO246" i="26"/>
  <c r="R246" i="26"/>
  <c r="V246" i="26" s="1"/>
  <c r="I246" i="26"/>
  <c r="H246" i="26"/>
  <c r="G246" i="26"/>
  <c r="AU245" i="26"/>
  <c r="AO245" i="26"/>
  <c r="R245" i="26"/>
  <c r="I245" i="26"/>
  <c r="H245" i="26"/>
  <c r="G245" i="26"/>
  <c r="AU244" i="26"/>
  <c r="AO244" i="26"/>
  <c r="R244" i="26"/>
  <c r="V244" i="26" s="1"/>
  <c r="I244" i="26"/>
  <c r="H244" i="26"/>
  <c r="G244" i="26"/>
  <c r="AU243" i="26"/>
  <c r="AO243" i="26"/>
  <c r="R243" i="26"/>
  <c r="V243" i="26" s="1"/>
  <c r="I243" i="26"/>
  <c r="H243" i="26"/>
  <c r="G243" i="26"/>
  <c r="AU242" i="26"/>
  <c r="AO242" i="26"/>
  <c r="R242" i="26"/>
  <c r="V242" i="26" s="1"/>
  <c r="I242" i="26"/>
  <c r="H242" i="26"/>
  <c r="G242" i="26"/>
  <c r="AU241" i="26"/>
  <c r="AO241" i="26"/>
  <c r="R241" i="26"/>
  <c r="I241" i="26"/>
  <c r="H241" i="26"/>
  <c r="G241" i="26"/>
  <c r="AU240" i="26"/>
  <c r="AO240" i="26"/>
  <c r="R240" i="26"/>
  <c r="V240" i="26" s="1"/>
  <c r="I240" i="26"/>
  <c r="H240" i="26"/>
  <c r="G240" i="26"/>
  <c r="AU239" i="26"/>
  <c r="AO239" i="26"/>
  <c r="R239" i="26"/>
  <c r="V239" i="26" s="1"/>
  <c r="I239" i="26"/>
  <c r="H239" i="26"/>
  <c r="G239" i="26"/>
  <c r="AU238" i="26"/>
  <c r="AO238" i="26"/>
  <c r="R238" i="26"/>
  <c r="V238" i="26" s="1"/>
  <c r="I238" i="26"/>
  <c r="H238" i="26"/>
  <c r="G238" i="26"/>
  <c r="AU237" i="26"/>
  <c r="AO237" i="26"/>
  <c r="R237" i="26"/>
  <c r="I237" i="26"/>
  <c r="H237" i="26"/>
  <c r="G237" i="26"/>
  <c r="AU236" i="26"/>
  <c r="AO236" i="26"/>
  <c r="R236" i="26"/>
  <c r="V236" i="26" s="1"/>
  <c r="I236" i="26"/>
  <c r="H236" i="26"/>
  <c r="G236" i="26"/>
  <c r="AU235" i="26"/>
  <c r="AO235" i="26"/>
  <c r="R235" i="26"/>
  <c r="V235" i="26" s="1"/>
  <c r="I235" i="26"/>
  <c r="H235" i="26"/>
  <c r="G235" i="26"/>
  <c r="AU234" i="26"/>
  <c r="AO234" i="26"/>
  <c r="R234" i="26"/>
  <c r="V234" i="26" s="1"/>
  <c r="I234" i="26"/>
  <c r="H234" i="26"/>
  <c r="G234" i="26"/>
  <c r="AU233" i="26"/>
  <c r="AO233" i="26"/>
  <c r="R233" i="26"/>
  <c r="I233" i="26"/>
  <c r="H233" i="26"/>
  <c r="G233" i="26"/>
  <c r="AU232" i="26"/>
  <c r="AO232" i="26"/>
  <c r="R232" i="26"/>
  <c r="V232" i="26" s="1"/>
  <c r="I232" i="26"/>
  <c r="H232" i="26"/>
  <c r="G232" i="26"/>
  <c r="AU231" i="26"/>
  <c r="AO231" i="26"/>
  <c r="R231" i="26"/>
  <c r="V231" i="26" s="1"/>
  <c r="I231" i="26"/>
  <c r="H231" i="26"/>
  <c r="G231" i="26"/>
  <c r="AU230" i="26"/>
  <c r="AO230" i="26"/>
  <c r="R230" i="26"/>
  <c r="V230" i="26" s="1"/>
  <c r="I230" i="26"/>
  <c r="H230" i="26"/>
  <c r="G230" i="26"/>
  <c r="AU229" i="26"/>
  <c r="AO229" i="26"/>
  <c r="R229" i="26"/>
  <c r="I229" i="26"/>
  <c r="H229" i="26"/>
  <c r="G229" i="26"/>
  <c r="AU228" i="26"/>
  <c r="AO228" i="26"/>
  <c r="R228" i="26"/>
  <c r="V228" i="26" s="1"/>
  <c r="I228" i="26"/>
  <c r="H228" i="26"/>
  <c r="G228" i="26"/>
  <c r="L228" i="26"/>
  <c r="M228" i="26" s="1"/>
  <c r="AU227" i="26"/>
  <c r="AO227" i="26"/>
  <c r="AG227" i="26"/>
  <c r="AI227" i="26" s="1"/>
  <c r="AA227" i="26"/>
  <c r="R227" i="26"/>
  <c r="V227" i="26" s="1"/>
  <c r="F227" i="26"/>
  <c r="H227" i="26" s="1"/>
  <c r="AU226" i="26"/>
  <c r="AO226" i="26"/>
  <c r="AI226" i="26"/>
  <c r="AH226" i="26"/>
  <c r="AG226" i="26"/>
  <c r="AJ226" i="26" s="1"/>
  <c r="AA226" i="26"/>
  <c r="AD226" i="26" s="1"/>
  <c r="R226" i="26"/>
  <c r="F226" i="26"/>
  <c r="G226" i="26" s="1"/>
  <c r="AU225" i="26"/>
  <c r="AO225" i="26"/>
  <c r="AG225" i="26"/>
  <c r="AI225" i="26" s="1"/>
  <c r="AA225" i="26"/>
  <c r="AC225" i="26" s="1"/>
  <c r="R225" i="26"/>
  <c r="V225" i="26" s="1"/>
  <c r="F225" i="26"/>
  <c r="H225" i="26" s="1"/>
  <c r="AU224" i="26"/>
  <c r="AO224" i="26"/>
  <c r="AG224" i="26"/>
  <c r="AH224" i="26" s="1"/>
  <c r="AA224" i="26"/>
  <c r="R224" i="26"/>
  <c r="V224" i="26" s="1"/>
  <c r="F224" i="26"/>
  <c r="H224" i="26" s="1"/>
  <c r="AU223" i="26"/>
  <c r="AO223" i="26"/>
  <c r="AG223" i="26"/>
  <c r="AI223" i="26" s="1"/>
  <c r="AA223" i="26"/>
  <c r="AC223" i="26" s="1"/>
  <c r="R223" i="26"/>
  <c r="V223" i="26" s="1"/>
  <c r="F223" i="26"/>
  <c r="H223" i="26" s="1"/>
  <c r="AU222" i="26"/>
  <c r="AO222" i="26"/>
  <c r="S222" i="26"/>
  <c r="T222" i="26" s="1"/>
  <c r="R222" i="26"/>
  <c r="I222" i="26"/>
  <c r="H222" i="26"/>
  <c r="G222" i="26"/>
  <c r="AU221" i="26"/>
  <c r="AO221" i="26"/>
  <c r="AG221" i="26"/>
  <c r="AA221" i="26"/>
  <c r="W221" i="26"/>
  <c r="R221" i="26"/>
  <c r="V221" i="26" s="1"/>
  <c r="F221" i="26"/>
  <c r="H221" i="26" s="1"/>
  <c r="AU220" i="26"/>
  <c r="AO220" i="26"/>
  <c r="AG220" i="26"/>
  <c r="AI220" i="26" s="1"/>
  <c r="AA220" i="26"/>
  <c r="AC220" i="26" s="1"/>
  <c r="R220" i="26"/>
  <c r="V220" i="26" s="1"/>
  <c r="F220" i="26"/>
  <c r="H220" i="26" s="1"/>
  <c r="AU219" i="26"/>
  <c r="AO219" i="26"/>
  <c r="AI219" i="26"/>
  <c r="AG219" i="26"/>
  <c r="AH219" i="26" s="1"/>
  <c r="AA219" i="26"/>
  <c r="AB219" i="26" s="1"/>
  <c r="R219" i="26"/>
  <c r="F219" i="26"/>
  <c r="G219" i="26" s="1"/>
  <c r="S219" i="26"/>
  <c r="T219" i="26" s="1"/>
  <c r="AU218" i="26"/>
  <c r="AO218" i="26"/>
  <c r="AG218" i="26"/>
  <c r="AI218" i="26" s="1"/>
  <c r="AA218" i="26"/>
  <c r="R218" i="26"/>
  <c r="V218" i="26" s="1"/>
  <c r="F218" i="26"/>
  <c r="H218" i="26" s="1"/>
  <c r="AU217" i="26"/>
  <c r="AO217" i="26"/>
  <c r="AG217" i="26"/>
  <c r="AA217" i="26"/>
  <c r="R217" i="26"/>
  <c r="V217" i="26" s="1"/>
  <c r="I217" i="26"/>
  <c r="F217" i="26"/>
  <c r="H217" i="26" s="1"/>
  <c r="AU216" i="26"/>
  <c r="AO216" i="26"/>
  <c r="AG216" i="26"/>
  <c r="AA216" i="26"/>
  <c r="AC216" i="26" s="1"/>
  <c r="R216" i="26"/>
  <c r="F216" i="26"/>
  <c r="AU215" i="26"/>
  <c r="AO215" i="26"/>
  <c r="AG215" i="26"/>
  <c r="AA215" i="26"/>
  <c r="AD215" i="26" s="1"/>
  <c r="R215" i="26"/>
  <c r="F215" i="26"/>
  <c r="G215" i="26" s="1"/>
  <c r="S215" i="26"/>
  <c r="T215" i="26" s="1"/>
  <c r="AU214" i="26"/>
  <c r="AO214" i="26"/>
  <c r="AG214" i="26"/>
  <c r="AI214" i="26" s="1"/>
  <c r="AA214" i="26"/>
  <c r="AC214" i="26" s="1"/>
  <c r="R214" i="26"/>
  <c r="V214" i="26" s="1"/>
  <c r="F214" i="26"/>
  <c r="H214" i="26" s="1"/>
  <c r="AU213" i="26"/>
  <c r="AO213" i="26"/>
  <c r="AJ213" i="26"/>
  <c r="AG213" i="26"/>
  <c r="AI213" i="26" s="1"/>
  <c r="AA213" i="26"/>
  <c r="AB213" i="26" s="1"/>
  <c r="R213" i="26"/>
  <c r="F213" i="26"/>
  <c r="AU212" i="26"/>
  <c r="AO212" i="26"/>
  <c r="AG212" i="26"/>
  <c r="AI212" i="26" s="1"/>
  <c r="AA212" i="26"/>
  <c r="AC212" i="26" s="1"/>
  <c r="R212" i="26"/>
  <c r="V212" i="26" s="1"/>
  <c r="F212" i="26"/>
  <c r="H212" i="26" s="1"/>
  <c r="AU211" i="26"/>
  <c r="AO211" i="26"/>
  <c r="AG211" i="26"/>
  <c r="AH211" i="26" s="1"/>
  <c r="AA211" i="26"/>
  <c r="R211" i="26"/>
  <c r="U211" i="26" s="1"/>
  <c r="F211" i="26"/>
  <c r="S211" i="26"/>
  <c r="T211" i="26" s="1"/>
  <c r="AU210" i="26"/>
  <c r="AO210" i="26"/>
  <c r="AG210" i="26"/>
  <c r="AA210" i="26"/>
  <c r="AC210" i="26" s="1"/>
  <c r="R210" i="26"/>
  <c r="F210" i="26"/>
  <c r="AU209" i="26"/>
  <c r="AO209" i="26"/>
  <c r="AG209" i="26"/>
  <c r="AA209" i="26"/>
  <c r="R209" i="26"/>
  <c r="V209" i="26" s="1"/>
  <c r="G209" i="26"/>
  <c r="F209" i="26"/>
  <c r="AU208" i="26"/>
  <c r="AO208" i="26"/>
  <c r="AI208" i="26"/>
  <c r="AG208" i="26"/>
  <c r="AA208" i="26"/>
  <c r="R208" i="26"/>
  <c r="V208" i="26" s="1"/>
  <c r="H208" i="26"/>
  <c r="F208" i="26"/>
  <c r="AU207" i="26"/>
  <c r="AO207" i="26"/>
  <c r="AG207" i="26"/>
  <c r="AA207" i="26"/>
  <c r="AB207" i="26" s="1"/>
  <c r="R207" i="26"/>
  <c r="F207" i="26"/>
  <c r="AU206" i="26"/>
  <c r="AO206" i="26"/>
  <c r="R206" i="26"/>
  <c r="V206" i="26" s="1"/>
  <c r="I206" i="26"/>
  <c r="H206" i="26"/>
  <c r="G206" i="26"/>
  <c r="AU205" i="26"/>
  <c r="AO205" i="26"/>
  <c r="AI205" i="26"/>
  <c r="AG205" i="26"/>
  <c r="AA205" i="26"/>
  <c r="R205" i="26"/>
  <c r="V205" i="26" s="1"/>
  <c r="F205" i="26"/>
  <c r="H205" i="26" s="1"/>
  <c r="AU204" i="26"/>
  <c r="AO204" i="26"/>
  <c r="AG204" i="26"/>
  <c r="AH204" i="26" s="1"/>
  <c r="AA204" i="26"/>
  <c r="AB204" i="26" s="1"/>
  <c r="R204" i="26"/>
  <c r="U204" i="26" s="1"/>
  <c r="F204" i="26"/>
  <c r="AU203" i="26"/>
  <c r="AO203" i="26"/>
  <c r="AG203" i="26"/>
  <c r="AI203" i="26" s="1"/>
  <c r="AA203" i="26"/>
  <c r="AC203" i="26" s="1"/>
  <c r="R203" i="26"/>
  <c r="V203" i="26" s="1"/>
  <c r="F203" i="26"/>
  <c r="H203" i="26" s="1"/>
  <c r="AU202" i="26"/>
  <c r="AO202" i="26"/>
  <c r="AG202" i="26"/>
  <c r="AA202" i="26"/>
  <c r="AC202" i="26" s="1"/>
  <c r="R202" i="26"/>
  <c r="F202" i="26"/>
  <c r="G202" i="26" s="1"/>
  <c r="AU201" i="26"/>
  <c r="AO201" i="26"/>
  <c r="AG201" i="26"/>
  <c r="AI201" i="26" s="1"/>
  <c r="AA201" i="26"/>
  <c r="AC201" i="26" s="1"/>
  <c r="R201" i="26"/>
  <c r="V201" i="26" s="1"/>
  <c r="F201" i="26"/>
  <c r="H201" i="26" s="1"/>
  <c r="AU200" i="26"/>
  <c r="AO200" i="26"/>
  <c r="AG200" i="26"/>
  <c r="AH200" i="26" s="1"/>
  <c r="AA200" i="26"/>
  <c r="AD200" i="26" s="1"/>
  <c r="R200" i="26"/>
  <c r="G200" i="26"/>
  <c r="F200" i="26"/>
  <c r="H200" i="26" s="1"/>
  <c r="S200" i="26"/>
  <c r="T200" i="26" s="1"/>
  <c r="AU199" i="26"/>
  <c r="AO199" i="26"/>
  <c r="AG199" i="26"/>
  <c r="AI199" i="26" s="1"/>
  <c r="AA199" i="26"/>
  <c r="R199" i="26"/>
  <c r="V199" i="26" s="1"/>
  <c r="F199" i="26"/>
  <c r="H199" i="26" s="1"/>
  <c r="AU198" i="26"/>
  <c r="AO198" i="26"/>
  <c r="AG198" i="26"/>
  <c r="AH198" i="26" s="1"/>
  <c r="AA198" i="26"/>
  <c r="R198" i="26"/>
  <c r="F198" i="26"/>
  <c r="H198" i="26" s="1"/>
  <c r="AU197" i="26"/>
  <c r="AO197" i="26"/>
  <c r="AG197" i="26"/>
  <c r="AA197" i="26"/>
  <c r="AC197" i="26" s="1"/>
  <c r="R197" i="26"/>
  <c r="F197" i="26"/>
  <c r="AU196" i="26"/>
  <c r="AO196" i="26"/>
  <c r="AG196" i="26"/>
  <c r="AI196" i="26" s="1"/>
  <c r="AA196" i="26"/>
  <c r="S196" i="26"/>
  <c r="T196" i="26" s="1"/>
  <c r="R196" i="26"/>
  <c r="U196" i="26" s="1"/>
  <c r="H196" i="26"/>
  <c r="F196" i="26"/>
  <c r="G196" i="26" s="1"/>
  <c r="AU195" i="26"/>
  <c r="AO195" i="26"/>
  <c r="AG195" i="26"/>
  <c r="AA195" i="26"/>
  <c r="AC195" i="26" s="1"/>
  <c r="R195" i="26"/>
  <c r="F195" i="26"/>
  <c r="AU194" i="26"/>
  <c r="AO194" i="26"/>
  <c r="AG194" i="26"/>
  <c r="AD194" i="26"/>
  <c r="AA194" i="26"/>
  <c r="AC194" i="26" s="1"/>
  <c r="R194" i="26"/>
  <c r="F194" i="26"/>
  <c r="H194" i="26" s="1"/>
  <c r="AU193" i="26"/>
  <c r="AO193" i="26"/>
  <c r="AG193" i="26"/>
  <c r="AI193" i="26" s="1"/>
  <c r="AA193" i="26"/>
  <c r="R193" i="26"/>
  <c r="V193" i="26" s="1"/>
  <c r="F193" i="26"/>
  <c r="H193" i="26" s="1"/>
  <c r="AU192" i="26"/>
  <c r="AO192" i="26"/>
  <c r="AG192" i="26"/>
  <c r="AH192" i="26" s="1"/>
  <c r="AA192" i="26"/>
  <c r="R192" i="26"/>
  <c r="V192" i="26" s="1"/>
  <c r="F192" i="26"/>
  <c r="I192" i="26" s="1"/>
  <c r="AU191" i="26"/>
  <c r="AO191" i="26"/>
  <c r="AG191" i="26"/>
  <c r="AI191" i="26" s="1"/>
  <c r="AA191" i="26"/>
  <c r="AC191" i="26" s="1"/>
  <c r="R191" i="26"/>
  <c r="V191" i="26" s="1"/>
  <c r="F191" i="26"/>
  <c r="H191" i="26" s="1"/>
  <c r="AU190" i="26"/>
  <c r="AO190" i="26"/>
  <c r="AG190" i="26"/>
  <c r="AI190" i="26" s="1"/>
  <c r="AA190" i="26"/>
  <c r="AC190" i="26" s="1"/>
  <c r="R190" i="26"/>
  <c r="F190" i="26"/>
  <c r="H190" i="26" s="1"/>
  <c r="AU189" i="26"/>
  <c r="AO189" i="26"/>
  <c r="AG189" i="26"/>
  <c r="AI189" i="26" s="1"/>
  <c r="AA189" i="26"/>
  <c r="R189" i="26"/>
  <c r="V189" i="26" s="1"/>
  <c r="F189" i="26"/>
  <c r="H189" i="26" s="1"/>
  <c r="AU188" i="26"/>
  <c r="AO188" i="26"/>
  <c r="AG188" i="26"/>
  <c r="AA188" i="26"/>
  <c r="U188" i="26"/>
  <c r="R188" i="26"/>
  <c r="V188" i="26" s="1"/>
  <c r="F188" i="26"/>
  <c r="H188" i="26" s="1"/>
  <c r="S188" i="26"/>
  <c r="T188" i="26" s="1"/>
  <c r="AU187" i="26"/>
  <c r="AO187" i="26"/>
  <c r="AG187" i="26"/>
  <c r="AI187" i="26" s="1"/>
  <c r="AA187" i="26"/>
  <c r="R187" i="26"/>
  <c r="V187" i="26" s="1"/>
  <c r="F187" i="26"/>
  <c r="H187" i="26" s="1"/>
  <c r="AU186" i="26"/>
  <c r="AO186" i="26"/>
  <c r="AG186" i="26"/>
  <c r="AA186" i="26"/>
  <c r="AC186" i="26" s="1"/>
  <c r="R186" i="26"/>
  <c r="F186" i="26"/>
  <c r="H186" i="26" s="1"/>
  <c r="AU185" i="26"/>
  <c r="AO185" i="26"/>
  <c r="AG185" i="26"/>
  <c r="AA185" i="26"/>
  <c r="AC185" i="26" s="1"/>
  <c r="R185" i="26"/>
  <c r="F185" i="26"/>
  <c r="AU184" i="26"/>
  <c r="AO184" i="26"/>
  <c r="AG184" i="26"/>
  <c r="AI184" i="26" s="1"/>
  <c r="AA184" i="26"/>
  <c r="R184" i="26"/>
  <c r="U184" i="26" s="1"/>
  <c r="F184" i="26"/>
  <c r="G184" i="26" s="1"/>
  <c r="AU183" i="26"/>
  <c r="AO183" i="26"/>
  <c r="AG183" i="26"/>
  <c r="AA183" i="26"/>
  <c r="AC183" i="26" s="1"/>
  <c r="R183" i="26"/>
  <c r="F183" i="26"/>
  <c r="AU182" i="26"/>
  <c r="AO182" i="26"/>
  <c r="AG182" i="26"/>
  <c r="AI182" i="26" s="1"/>
  <c r="AA182" i="26"/>
  <c r="AC182" i="26" s="1"/>
  <c r="R182" i="26"/>
  <c r="V182" i="26" s="1"/>
  <c r="F182" i="26"/>
  <c r="AU181" i="26"/>
  <c r="AO181" i="26"/>
  <c r="AG181" i="26"/>
  <c r="AI181" i="26" s="1"/>
  <c r="AA181" i="26"/>
  <c r="AC181" i="26" s="1"/>
  <c r="R181" i="26"/>
  <c r="V181" i="26" s="1"/>
  <c r="F181" i="26"/>
  <c r="H181" i="26" s="1"/>
  <c r="AU180" i="26"/>
  <c r="AO180" i="26"/>
  <c r="AG180" i="26"/>
  <c r="AH180" i="26" s="1"/>
  <c r="AA180" i="26"/>
  <c r="AB180" i="26" s="1"/>
  <c r="R180" i="26"/>
  <c r="F180" i="26"/>
  <c r="AU179" i="26"/>
  <c r="AO179" i="26"/>
  <c r="AG179" i="26"/>
  <c r="AI179" i="26" s="1"/>
  <c r="AA179" i="26"/>
  <c r="R179" i="26"/>
  <c r="V179" i="26" s="1"/>
  <c r="F179" i="26"/>
  <c r="H179" i="26" s="1"/>
  <c r="AU178" i="26"/>
  <c r="AO178" i="26"/>
  <c r="AG178" i="26"/>
  <c r="AA178" i="26"/>
  <c r="R178" i="26"/>
  <c r="V178" i="26" s="1"/>
  <c r="F178" i="26"/>
  <c r="H178" i="26" s="1"/>
  <c r="AU177" i="26"/>
  <c r="AO177" i="26"/>
  <c r="AG177" i="26"/>
  <c r="AA177" i="26"/>
  <c r="AC177" i="26" s="1"/>
  <c r="R177" i="26"/>
  <c r="V177" i="26" s="1"/>
  <c r="F177" i="26"/>
  <c r="AU176" i="26"/>
  <c r="AO176" i="26"/>
  <c r="AG176" i="26"/>
  <c r="AJ176" i="26" s="1"/>
  <c r="AB176" i="26"/>
  <c r="AA176" i="26"/>
  <c r="AD176" i="26" s="1"/>
  <c r="R176" i="26"/>
  <c r="F176" i="26"/>
  <c r="S176" i="26"/>
  <c r="T176" i="26" s="1"/>
  <c r="AU175" i="26"/>
  <c r="AO175" i="26"/>
  <c r="AG175" i="26"/>
  <c r="AI175" i="26" s="1"/>
  <c r="AC175" i="26"/>
  <c r="AA175" i="26"/>
  <c r="R175" i="26"/>
  <c r="V175" i="26" s="1"/>
  <c r="F175" i="26"/>
  <c r="H175" i="26" s="1"/>
  <c r="AU174" i="26"/>
  <c r="AO174" i="26"/>
  <c r="AG174" i="26"/>
  <c r="AI174" i="26" s="1"/>
  <c r="AB174" i="26"/>
  <c r="AA174" i="26"/>
  <c r="AC174" i="26" s="1"/>
  <c r="R174" i="26"/>
  <c r="F174" i="26"/>
  <c r="H174" i="26" s="1"/>
  <c r="AU173" i="26"/>
  <c r="AO173" i="26"/>
  <c r="AG173" i="26"/>
  <c r="AI173" i="26" s="1"/>
  <c r="AA173" i="26"/>
  <c r="AC173" i="26" s="1"/>
  <c r="R173" i="26"/>
  <c r="F173" i="26"/>
  <c r="H173" i="26" s="1"/>
  <c r="AU172" i="26"/>
  <c r="AO172" i="26"/>
  <c r="AG172" i="26"/>
  <c r="AA172" i="26"/>
  <c r="R172" i="26"/>
  <c r="V172" i="26" s="1"/>
  <c r="I172" i="26"/>
  <c r="F172" i="26"/>
  <c r="H172" i="26" s="1"/>
  <c r="S172" i="26"/>
  <c r="T172" i="26" s="1"/>
  <c r="AU171" i="26"/>
  <c r="AO171" i="26"/>
  <c r="AG171" i="26"/>
  <c r="AA171" i="26"/>
  <c r="AC171" i="26" s="1"/>
  <c r="R171" i="26"/>
  <c r="V171" i="26" s="1"/>
  <c r="F171" i="26"/>
  <c r="AU170" i="26"/>
  <c r="AO170" i="26"/>
  <c r="AG170" i="26"/>
  <c r="AI170" i="26" s="1"/>
  <c r="AB170" i="26"/>
  <c r="AA170" i="26"/>
  <c r="AC170" i="26" s="1"/>
  <c r="R170" i="26"/>
  <c r="F170" i="26"/>
  <c r="H170" i="26" s="1"/>
  <c r="AU169" i="26"/>
  <c r="AO169" i="26"/>
  <c r="AG169" i="26"/>
  <c r="AI169" i="26" s="1"/>
  <c r="AA169" i="26"/>
  <c r="R169" i="26"/>
  <c r="V169" i="26" s="1"/>
  <c r="F169" i="26"/>
  <c r="H169" i="26" s="1"/>
  <c r="AU168" i="26"/>
  <c r="AO168" i="26"/>
  <c r="AG168" i="26"/>
  <c r="AA168" i="26"/>
  <c r="AB168" i="26" s="1"/>
  <c r="R168" i="26"/>
  <c r="F168" i="26"/>
  <c r="AU167" i="26"/>
  <c r="AO167" i="26"/>
  <c r="AG167" i="26"/>
  <c r="AA167" i="26"/>
  <c r="AC167" i="26" s="1"/>
  <c r="R167" i="26"/>
  <c r="F167" i="26"/>
  <c r="AU166" i="26"/>
  <c r="AO166" i="26"/>
  <c r="AG166" i="26"/>
  <c r="AI166" i="26" s="1"/>
  <c r="AA166" i="26"/>
  <c r="AC166" i="26" s="1"/>
  <c r="R166" i="26"/>
  <c r="F166" i="26"/>
  <c r="H166" i="26" s="1"/>
  <c r="AU165" i="26"/>
  <c r="AO165" i="26"/>
  <c r="AG165" i="26"/>
  <c r="AI165" i="26" s="1"/>
  <c r="AA165" i="26"/>
  <c r="AC165" i="26" s="1"/>
  <c r="R165" i="26"/>
  <c r="V165" i="26" s="1"/>
  <c r="F165" i="26"/>
  <c r="H165" i="26" s="1"/>
  <c r="AU164" i="26"/>
  <c r="AO164" i="26"/>
  <c r="AG164" i="26"/>
  <c r="AJ164" i="26" s="1"/>
  <c r="AB164" i="26"/>
  <c r="AA164" i="26"/>
  <c r="AD164" i="26" s="1"/>
  <c r="R164" i="26"/>
  <c r="F164" i="26"/>
  <c r="AU163" i="26"/>
  <c r="AO163" i="26"/>
  <c r="AG163" i="26"/>
  <c r="AI163" i="26" s="1"/>
  <c r="AA163" i="26"/>
  <c r="R163" i="26"/>
  <c r="V163" i="26" s="1"/>
  <c r="F163" i="26"/>
  <c r="H163" i="26" s="1"/>
  <c r="AU162" i="26"/>
  <c r="AO162" i="26"/>
  <c r="AG162" i="26"/>
  <c r="AA162" i="26"/>
  <c r="AC162" i="26" s="1"/>
  <c r="R162" i="26"/>
  <c r="V162" i="26" s="1"/>
  <c r="F162" i="26"/>
  <c r="G162" i="26" s="1"/>
  <c r="AU161" i="26"/>
  <c r="AO161" i="26"/>
  <c r="AG161" i="26"/>
  <c r="AA161" i="26"/>
  <c r="AC161" i="26" s="1"/>
  <c r="R161" i="26"/>
  <c r="V161" i="26" s="1"/>
  <c r="F161" i="26"/>
  <c r="AU160" i="26"/>
  <c r="AO160" i="26"/>
  <c r="AG160" i="26"/>
  <c r="AA160" i="26"/>
  <c r="R160" i="26"/>
  <c r="V160" i="26" s="1"/>
  <c r="F160" i="26"/>
  <c r="H160" i="26" s="1"/>
  <c r="S160" i="26"/>
  <c r="T160" i="26" s="1"/>
  <c r="AU159" i="26"/>
  <c r="AO159" i="26"/>
  <c r="AG159" i="26"/>
  <c r="AI159" i="26" s="1"/>
  <c r="AA159" i="26"/>
  <c r="R159" i="26"/>
  <c r="V159" i="26" s="1"/>
  <c r="F159" i="26"/>
  <c r="H159" i="26" s="1"/>
  <c r="AU158" i="26"/>
  <c r="AO158" i="26"/>
  <c r="AG158" i="26"/>
  <c r="AH158" i="26" s="1"/>
  <c r="AA158" i="26"/>
  <c r="R158" i="26"/>
  <c r="I158" i="26"/>
  <c r="F158" i="26"/>
  <c r="H158" i="26" s="1"/>
  <c r="AU157" i="26"/>
  <c r="AO157" i="26"/>
  <c r="AG157" i="26"/>
  <c r="AA157" i="26"/>
  <c r="AC157" i="26" s="1"/>
  <c r="R157" i="26"/>
  <c r="F157" i="26"/>
  <c r="AU156" i="26"/>
  <c r="AO156" i="26"/>
  <c r="AG156" i="26"/>
  <c r="AJ156" i="26" s="1"/>
  <c r="AA156" i="26"/>
  <c r="R156" i="26"/>
  <c r="V156" i="26" s="1"/>
  <c r="F156" i="26"/>
  <c r="I156" i="26" s="1"/>
  <c r="S156" i="26"/>
  <c r="T156" i="26" s="1"/>
  <c r="AU155" i="26"/>
  <c r="AO155" i="26"/>
  <c r="AG155" i="26"/>
  <c r="AA155" i="26"/>
  <c r="AC155" i="26" s="1"/>
  <c r="R155" i="26"/>
  <c r="V155" i="26" s="1"/>
  <c r="F155" i="26"/>
  <c r="AU154" i="26"/>
  <c r="AO154" i="26"/>
  <c r="AJ154" i="26"/>
  <c r="AG154" i="26"/>
  <c r="AI154" i="26" s="1"/>
  <c r="AA154" i="26"/>
  <c r="AB154" i="26" s="1"/>
  <c r="R154" i="26"/>
  <c r="I154" i="26"/>
  <c r="F154" i="26"/>
  <c r="H154" i="26" s="1"/>
  <c r="AU153" i="26"/>
  <c r="AO153" i="26"/>
  <c r="AG153" i="26"/>
  <c r="AI153" i="26" s="1"/>
  <c r="AA153" i="26"/>
  <c r="R153" i="26"/>
  <c r="V153" i="26" s="1"/>
  <c r="F153" i="26"/>
  <c r="H153" i="26" s="1"/>
  <c r="AU152" i="26"/>
  <c r="AO152" i="26"/>
  <c r="AG152" i="26"/>
  <c r="AH152" i="26" s="1"/>
  <c r="AA152" i="26"/>
  <c r="AB152" i="26" s="1"/>
  <c r="R152" i="26"/>
  <c r="F152" i="26"/>
  <c r="I152" i="26" s="1"/>
  <c r="AU151" i="26"/>
  <c r="AO151" i="26"/>
  <c r="AG151" i="26"/>
  <c r="AA151" i="26"/>
  <c r="AC151" i="26" s="1"/>
  <c r="R151" i="26"/>
  <c r="F151" i="26"/>
  <c r="AU150" i="26"/>
  <c r="AO150" i="26"/>
  <c r="AH150" i="26"/>
  <c r="AG150" i="26"/>
  <c r="AI150" i="26" s="1"/>
  <c r="AA150" i="26"/>
  <c r="R150" i="26"/>
  <c r="U150" i="26" s="1"/>
  <c r="F150" i="26"/>
  <c r="I150" i="26" s="1"/>
  <c r="AU149" i="26"/>
  <c r="AO149" i="26"/>
  <c r="AG149" i="26"/>
  <c r="AI149" i="26" s="1"/>
  <c r="AA149" i="26"/>
  <c r="R149" i="26"/>
  <c r="V149" i="26" s="1"/>
  <c r="F149" i="26"/>
  <c r="H149" i="26" s="1"/>
  <c r="AU148" i="26"/>
  <c r="AO148" i="26"/>
  <c r="AG148" i="26"/>
  <c r="AJ148" i="26" s="1"/>
  <c r="AA148" i="26"/>
  <c r="AC148" i="26" s="1"/>
  <c r="R148" i="26"/>
  <c r="V148" i="26" s="1"/>
  <c r="F148" i="26"/>
  <c r="G148" i="26" s="1"/>
  <c r="S148" i="26"/>
  <c r="T148" i="26" s="1"/>
  <c r="AU147" i="26"/>
  <c r="AO147" i="26"/>
  <c r="AG147" i="26"/>
  <c r="AJ147" i="26" s="1"/>
  <c r="AA147" i="26"/>
  <c r="AD147" i="26" s="1"/>
  <c r="R147" i="26"/>
  <c r="W147" i="26" s="1"/>
  <c r="F147" i="26"/>
  <c r="H147" i="26" s="1"/>
  <c r="AU146" i="26"/>
  <c r="AO146" i="26"/>
  <c r="AG146" i="26"/>
  <c r="AJ146" i="26" s="1"/>
  <c r="AA146" i="26"/>
  <c r="AC146" i="26" s="1"/>
  <c r="R146" i="26"/>
  <c r="F146" i="26"/>
  <c r="H146" i="26" s="1"/>
  <c r="AU145" i="26"/>
  <c r="AO145" i="26"/>
  <c r="AG145" i="26"/>
  <c r="AH145" i="26" s="1"/>
  <c r="AA145" i="26"/>
  <c r="R145" i="26"/>
  <c r="U145" i="26" s="1"/>
  <c r="F145" i="26"/>
  <c r="G145" i="26" s="1"/>
  <c r="AU144" i="26"/>
  <c r="AO144" i="26"/>
  <c r="AG144" i="26"/>
  <c r="AI144" i="26" s="1"/>
  <c r="AA144" i="26"/>
  <c r="R144" i="26"/>
  <c r="F144" i="26"/>
  <c r="I144" i="26" s="1"/>
  <c r="S144" i="26"/>
  <c r="T144" i="26" s="1"/>
  <c r="AU143" i="26"/>
  <c r="AO143" i="26"/>
  <c r="AG143" i="26"/>
  <c r="AI143" i="26" s="1"/>
  <c r="AA143" i="26"/>
  <c r="AD143" i="26" s="1"/>
  <c r="R143" i="26"/>
  <c r="W143" i="26" s="1"/>
  <c r="F143" i="26"/>
  <c r="I143" i="26" s="1"/>
  <c r="AU142" i="26"/>
  <c r="AO142" i="26"/>
  <c r="AG142" i="26"/>
  <c r="AH142" i="26" s="1"/>
  <c r="AA142" i="26"/>
  <c r="AC142" i="26" s="1"/>
  <c r="R142" i="26"/>
  <c r="F142" i="26"/>
  <c r="H142" i="26" s="1"/>
  <c r="AU141" i="26"/>
  <c r="AO141" i="26"/>
  <c r="AG141" i="26"/>
  <c r="AH141" i="26" s="1"/>
  <c r="AA141" i="26"/>
  <c r="AB141" i="26" s="1"/>
  <c r="R141" i="26"/>
  <c r="U141" i="26" s="1"/>
  <c r="F141" i="26"/>
  <c r="G141" i="26" s="1"/>
  <c r="AU140" i="26"/>
  <c r="AO140" i="26"/>
  <c r="AG140" i="26"/>
  <c r="AH140" i="26" s="1"/>
  <c r="AA140" i="26"/>
  <c r="V140" i="26"/>
  <c r="R140" i="26"/>
  <c r="W140" i="26" s="1"/>
  <c r="F140" i="26"/>
  <c r="I140" i="26" s="1"/>
  <c r="AU139" i="26"/>
  <c r="AO139" i="26"/>
  <c r="AG139" i="26"/>
  <c r="AJ139" i="26" s="1"/>
  <c r="AA139" i="26"/>
  <c r="AD139" i="26" s="1"/>
  <c r="R139" i="26"/>
  <c r="W139" i="26" s="1"/>
  <c r="F139" i="26"/>
  <c r="I139" i="26" s="1"/>
  <c r="AU138" i="26"/>
  <c r="AO138" i="26"/>
  <c r="AG138" i="26"/>
  <c r="AI138" i="26" s="1"/>
  <c r="AA138" i="26"/>
  <c r="R138" i="26"/>
  <c r="V138" i="26" s="1"/>
  <c r="F138" i="26"/>
  <c r="H138" i="26" s="1"/>
  <c r="AU137" i="26"/>
  <c r="AO137" i="26"/>
  <c r="AG137" i="26"/>
  <c r="AA137" i="26"/>
  <c r="AB137" i="26" s="1"/>
  <c r="R137" i="26"/>
  <c r="U137" i="26" s="1"/>
  <c r="F137" i="26"/>
  <c r="G137" i="26" s="1"/>
  <c r="S137" i="26"/>
  <c r="T137" i="26" s="1"/>
  <c r="AU136" i="26"/>
  <c r="AO136" i="26"/>
  <c r="AG136" i="26"/>
  <c r="AJ136" i="26" s="1"/>
  <c r="AA136" i="26"/>
  <c r="AD136" i="26" s="1"/>
  <c r="R136" i="26"/>
  <c r="I136" i="26"/>
  <c r="H136" i="26"/>
  <c r="F136" i="26"/>
  <c r="G136" i="26" s="1"/>
  <c r="AU135" i="26"/>
  <c r="AO135" i="26"/>
  <c r="AG135" i="26"/>
  <c r="AJ135" i="26" s="1"/>
  <c r="AA135" i="26"/>
  <c r="AD135" i="26" s="1"/>
  <c r="R135" i="26"/>
  <c r="W135" i="26" s="1"/>
  <c r="F135" i="26"/>
  <c r="H135" i="26" s="1"/>
  <c r="AU134" i="26"/>
  <c r="AO134" i="26"/>
  <c r="AG134" i="26"/>
  <c r="AI134" i="26" s="1"/>
  <c r="AA134" i="26"/>
  <c r="AC134" i="26" s="1"/>
  <c r="R134" i="26"/>
  <c r="V134" i="26" s="1"/>
  <c r="F134" i="26"/>
  <c r="H134" i="26" s="1"/>
  <c r="AU133" i="26"/>
  <c r="AO133" i="26"/>
  <c r="AG133" i="26"/>
  <c r="AH133" i="26" s="1"/>
  <c r="AA133" i="26"/>
  <c r="AB133" i="26" s="1"/>
  <c r="R133" i="26"/>
  <c r="U133" i="26" s="1"/>
  <c r="F133" i="26"/>
  <c r="G133" i="26" s="1"/>
  <c r="S133" i="26"/>
  <c r="T133" i="26" s="1"/>
  <c r="AU132" i="26"/>
  <c r="AO132" i="26"/>
  <c r="AG132" i="26"/>
  <c r="AI132" i="26" s="1"/>
  <c r="AA132" i="26"/>
  <c r="AC132" i="26" s="1"/>
  <c r="R132" i="26"/>
  <c r="F132" i="26"/>
  <c r="G132" i="26" s="1"/>
  <c r="AU131" i="26"/>
  <c r="AO131" i="26"/>
  <c r="AG131" i="26"/>
  <c r="AJ131" i="26" s="1"/>
  <c r="AA131" i="26"/>
  <c r="R131" i="26"/>
  <c r="W131" i="26" s="1"/>
  <c r="F131" i="26"/>
  <c r="AU130" i="26"/>
  <c r="AO130" i="26"/>
  <c r="AG130" i="26"/>
  <c r="AI130" i="26" s="1"/>
  <c r="AA130" i="26"/>
  <c r="R130" i="26"/>
  <c r="V130" i="26" s="1"/>
  <c r="F130" i="26"/>
  <c r="H130" i="26" s="1"/>
  <c r="AU129" i="26"/>
  <c r="AO129" i="26"/>
  <c r="AG129" i="26"/>
  <c r="AH129" i="26" s="1"/>
  <c r="AA129" i="26"/>
  <c r="AB129" i="26" s="1"/>
  <c r="R129" i="26"/>
  <c r="U129" i="26" s="1"/>
  <c r="F129" i="26"/>
  <c r="G129" i="26" s="1"/>
  <c r="S129" i="26"/>
  <c r="T129" i="26" s="1"/>
  <c r="AU128" i="26"/>
  <c r="AO128" i="26"/>
  <c r="AG128" i="26"/>
  <c r="AH128" i="26" s="1"/>
  <c r="AA128" i="26"/>
  <c r="AB128" i="26" s="1"/>
  <c r="R128" i="26"/>
  <c r="W128" i="26" s="1"/>
  <c r="F128" i="26"/>
  <c r="I128" i="26" s="1"/>
  <c r="AU127" i="26"/>
  <c r="AO127" i="26"/>
  <c r="AG127" i="26"/>
  <c r="AJ127" i="26" s="1"/>
  <c r="AA127" i="26"/>
  <c r="AD127" i="26" s="1"/>
  <c r="R127" i="26"/>
  <c r="W127" i="26" s="1"/>
  <c r="F127" i="26"/>
  <c r="I127" i="26" s="1"/>
  <c r="AU126" i="26"/>
  <c r="AO126" i="26"/>
  <c r="AG126" i="26"/>
  <c r="AA126" i="26"/>
  <c r="AC126" i="26" s="1"/>
  <c r="R126" i="26"/>
  <c r="V126" i="26" s="1"/>
  <c r="F126" i="26"/>
  <c r="H126" i="26" s="1"/>
  <c r="AU125" i="26"/>
  <c r="AO125" i="26"/>
  <c r="AG125" i="26"/>
  <c r="AH125" i="26" s="1"/>
  <c r="AA125" i="26"/>
  <c r="AB125" i="26" s="1"/>
  <c r="R125" i="26"/>
  <c r="U125" i="26" s="1"/>
  <c r="F125" i="26"/>
  <c r="G125" i="26" s="1"/>
  <c r="AU124" i="26"/>
  <c r="AO124" i="26"/>
  <c r="AG124" i="26"/>
  <c r="AH124" i="26" s="1"/>
  <c r="AA124" i="26"/>
  <c r="AB124" i="26" s="1"/>
  <c r="R124" i="26"/>
  <c r="W124" i="26" s="1"/>
  <c r="F124" i="26"/>
  <c r="G124" i="26" s="1"/>
  <c r="AU123" i="26"/>
  <c r="AO123" i="26"/>
  <c r="AG123" i="26"/>
  <c r="AJ123" i="26" s="1"/>
  <c r="AA123" i="26"/>
  <c r="R123" i="26"/>
  <c r="W123" i="26" s="1"/>
  <c r="F123" i="26"/>
  <c r="I123" i="26" s="1"/>
  <c r="AU122" i="26"/>
  <c r="AO122" i="26"/>
  <c r="AG122" i="26"/>
  <c r="AI122" i="26" s="1"/>
  <c r="AA122" i="26"/>
  <c r="AC122" i="26" s="1"/>
  <c r="R122" i="26"/>
  <c r="V122" i="26" s="1"/>
  <c r="F122" i="26"/>
  <c r="H122" i="26" s="1"/>
  <c r="AU121" i="26"/>
  <c r="AO121" i="26"/>
  <c r="AG121" i="26"/>
  <c r="AH121" i="26" s="1"/>
  <c r="AA121" i="26"/>
  <c r="AB121" i="26" s="1"/>
  <c r="R121" i="26"/>
  <c r="U121" i="26" s="1"/>
  <c r="F121" i="26"/>
  <c r="G121" i="26" s="1"/>
  <c r="S121" i="26"/>
  <c r="T121" i="26" s="1"/>
  <c r="AU120" i="26"/>
  <c r="AO120" i="26"/>
  <c r="AG120" i="26"/>
  <c r="AH120" i="26" s="1"/>
  <c r="AA120" i="26"/>
  <c r="AB120" i="26" s="1"/>
  <c r="R120" i="26"/>
  <c r="W120" i="26" s="1"/>
  <c r="F120" i="26"/>
  <c r="G120" i="26" s="1"/>
  <c r="AU119" i="26"/>
  <c r="AO119" i="26"/>
  <c r="AG119" i="26"/>
  <c r="AH119" i="26" s="1"/>
  <c r="AA119" i="26"/>
  <c r="AB119" i="26" s="1"/>
  <c r="R119" i="26"/>
  <c r="V119" i="26" s="1"/>
  <c r="F119" i="26"/>
  <c r="G119" i="26" s="1"/>
  <c r="AU118" i="26"/>
  <c r="AO118" i="26"/>
  <c r="AG118" i="26"/>
  <c r="AI118" i="26" s="1"/>
  <c r="AA118" i="26"/>
  <c r="R118" i="26"/>
  <c r="V118" i="26" s="1"/>
  <c r="F118" i="26"/>
  <c r="H118" i="26" s="1"/>
  <c r="AU117" i="26"/>
  <c r="AO117" i="26"/>
  <c r="AG117" i="26"/>
  <c r="AJ117" i="26" s="1"/>
  <c r="AA117" i="26"/>
  <c r="AD117" i="26" s="1"/>
  <c r="R117" i="26"/>
  <c r="W117" i="26" s="1"/>
  <c r="F117" i="26"/>
  <c r="I117" i="26" s="1"/>
  <c r="AU116" i="26"/>
  <c r="AO116" i="26"/>
  <c r="AG116" i="26"/>
  <c r="AH116" i="26" s="1"/>
  <c r="AA116" i="26"/>
  <c r="AB116" i="26" s="1"/>
  <c r="R116" i="26"/>
  <c r="V116" i="26" s="1"/>
  <c r="F116" i="26"/>
  <c r="H116" i="26" s="1"/>
  <c r="AU115" i="26"/>
  <c r="AO115" i="26"/>
  <c r="AG115" i="26"/>
  <c r="AH115" i="26" s="1"/>
  <c r="AA115" i="26"/>
  <c r="AB115" i="26" s="1"/>
  <c r="R115" i="26"/>
  <c r="V115" i="26" s="1"/>
  <c r="F115" i="26"/>
  <c r="G115" i="26" s="1"/>
  <c r="AU114" i="26"/>
  <c r="AO114" i="26"/>
  <c r="AG114" i="26"/>
  <c r="AA114" i="26"/>
  <c r="AC114" i="26" s="1"/>
  <c r="R114" i="26"/>
  <c r="V114" i="26" s="1"/>
  <c r="F114" i="26"/>
  <c r="H114" i="26" s="1"/>
  <c r="AU113" i="26"/>
  <c r="AO113" i="26"/>
  <c r="AG113" i="26"/>
  <c r="AA113" i="26"/>
  <c r="R113" i="26"/>
  <c r="W113" i="26" s="1"/>
  <c r="F113" i="26"/>
  <c r="AU112" i="26"/>
  <c r="AO112" i="26"/>
  <c r="AG112" i="26"/>
  <c r="AI112" i="26" s="1"/>
  <c r="AA112" i="26"/>
  <c r="AC112" i="26" s="1"/>
  <c r="S112" i="26"/>
  <c r="T112" i="26" s="1"/>
  <c r="R112" i="26"/>
  <c r="V112" i="26" s="1"/>
  <c r="F112" i="26"/>
  <c r="H112" i="26" s="1"/>
  <c r="AU111" i="26"/>
  <c r="AO111" i="26"/>
  <c r="AG111" i="26"/>
  <c r="AH111" i="26" s="1"/>
  <c r="AA111" i="26"/>
  <c r="AB111" i="26" s="1"/>
  <c r="R111" i="26"/>
  <c r="F111" i="26"/>
  <c r="G111" i="26" s="1"/>
  <c r="AU110" i="26"/>
  <c r="AO110" i="26"/>
  <c r="AG110" i="26"/>
  <c r="AA110" i="26"/>
  <c r="AC110" i="26" s="1"/>
  <c r="R110" i="26"/>
  <c r="V110" i="26" s="1"/>
  <c r="F110" i="26"/>
  <c r="H110" i="26" s="1"/>
  <c r="AU109" i="26"/>
  <c r="AO109" i="26"/>
  <c r="AG109" i="26"/>
  <c r="AA109" i="26"/>
  <c r="R109" i="26"/>
  <c r="W109" i="26" s="1"/>
  <c r="F109" i="26"/>
  <c r="AU108" i="26"/>
  <c r="AO108" i="26"/>
  <c r="AG108" i="26"/>
  <c r="AI108" i="26" s="1"/>
  <c r="AA108" i="26"/>
  <c r="AC108" i="26" s="1"/>
  <c r="R108" i="26"/>
  <c r="V108" i="26" s="1"/>
  <c r="F108" i="26"/>
  <c r="G108" i="26" s="1"/>
  <c r="S108" i="26"/>
  <c r="T108" i="26" s="1"/>
  <c r="AU107" i="26"/>
  <c r="AO107" i="26"/>
  <c r="AG107" i="26"/>
  <c r="AH107" i="26" s="1"/>
  <c r="AA107" i="26"/>
  <c r="AB107" i="26" s="1"/>
  <c r="R107" i="26"/>
  <c r="V107" i="26" s="1"/>
  <c r="F107" i="26"/>
  <c r="G107" i="26" s="1"/>
  <c r="AU106" i="26"/>
  <c r="AO106" i="26"/>
  <c r="AG106" i="26"/>
  <c r="AA106" i="26"/>
  <c r="AC106" i="26" s="1"/>
  <c r="R106" i="26"/>
  <c r="F106" i="26"/>
  <c r="H106" i="26" s="1"/>
  <c r="AU105" i="26"/>
  <c r="AO105" i="26"/>
  <c r="AG105" i="26"/>
  <c r="AI105" i="26" s="1"/>
  <c r="AA105" i="26"/>
  <c r="R105" i="26"/>
  <c r="V105" i="26" s="1"/>
  <c r="F105" i="26"/>
  <c r="H105" i="26" s="1"/>
  <c r="AU104" i="26"/>
  <c r="AO104" i="26"/>
  <c r="AJ104" i="26"/>
  <c r="AI104" i="26"/>
  <c r="AG104" i="26"/>
  <c r="AH104" i="26" s="1"/>
  <c r="AA104" i="26"/>
  <c r="AB104" i="26" s="1"/>
  <c r="R104" i="26"/>
  <c r="F104" i="26"/>
  <c r="AU103" i="26"/>
  <c r="AO103" i="26"/>
  <c r="AG103" i="26"/>
  <c r="AI103" i="26" s="1"/>
  <c r="AA103" i="26"/>
  <c r="R103" i="26"/>
  <c r="V103" i="26" s="1"/>
  <c r="F103" i="26"/>
  <c r="H103" i="26" s="1"/>
  <c r="AU102" i="26"/>
  <c r="AO102" i="26"/>
  <c r="AG102" i="26"/>
  <c r="AI102" i="26" s="1"/>
  <c r="AA102" i="26"/>
  <c r="R102" i="26"/>
  <c r="F102" i="26"/>
  <c r="H102" i="26" s="1"/>
  <c r="AU101" i="26"/>
  <c r="AO101" i="26"/>
  <c r="AG101" i="26"/>
  <c r="AA101" i="26"/>
  <c r="AC101" i="26" s="1"/>
  <c r="R101" i="26"/>
  <c r="F101" i="26"/>
  <c r="AU100" i="26"/>
  <c r="AO100" i="26"/>
  <c r="AJ100" i="26"/>
  <c r="AI100" i="26"/>
  <c r="AG100" i="26"/>
  <c r="AH100" i="26" s="1"/>
  <c r="AA100" i="26"/>
  <c r="AB100" i="26" s="1"/>
  <c r="R100" i="26"/>
  <c r="V100" i="26" s="1"/>
  <c r="F100" i="26"/>
  <c r="H100" i="26" s="1"/>
  <c r="S100" i="26"/>
  <c r="T100" i="26" s="1"/>
  <c r="AU99" i="26"/>
  <c r="AO99" i="26"/>
  <c r="AG99" i="26"/>
  <c r="AA99" i="26"/>
  <c r="R99" i="26"/>
  <c r="V99" i="26" s="1"/>
  <c r="F99" i="26"/>
  <c r="AU98" i="26"/>
  <c r="AO98" i="26"/>
  <c r="AG98" i="26"/>
  <c r="AA98" i="26"/>
  <c r="R98" i="26"/>
  <c r="V98" i="26" s="1"/>
  <c r="F98" i="26"/>
  <c r="H98" i="26" s="1"/>
  <c r="AU97" i="26"/>
  <c r="AO97" i="26"/>
  <c r="AG97" i="26"/>
  <c r="AC97" i="26"/>
  <c r="AA97" i="26"/>
  <c r="R97" i="26"/>
  <c r="F97" i="26"/>
  <c r="AU96" i="26"/>
  <c r="AO96" i="26"/>
  <c r="AG96" i="26"/>
  <c r="AJ96" i="26" s="1"/>
  <c r="AA96" i="26"/>
  <c r="S96" i="26"/>
  <c r="T96" i="26" s="1"/>
  <c r="R96" i="26"/>
  <c r="W96" i="26" s="1"/>
  <c r="F96" i="26"/>
  <c r="I96" i="26" s="1"/>
  <c r="AU95" i="26"/>
  <c r="AO95" i="26"/>
  <c r="AG95" i="26"/>
  <c r="AA95" i="26"/>
  <c r="AC95" i="26" s="1"/>
  <c r="R95" i="26"/>
  <c r="F95" i="26"/>
  <c r="AU94" i="26"/>
  <c r="AO94" i="26"/>
  <c r="AG94" i="26"/>
  <c r="AH94" i="26" s="1"/>
  <c r="AA94" i="26"/>
  <c r="R94" i="26"/>
  <c r="V94" i="26" s="1"/>
  <c r="F94" i="26"/>
  <c r="H94" i="26" s="1"/>
  <c r="AU93" i="26"/>
  <c r="AO93" i="26"/>
  <c r="AG93" i="26"/>
  <c r="AI93" i="26" s="1"/>
  <c r="AA93" i="26"/>
  <c r="R93" i="26"/>
  <c r="V93" i="26" s="1"/>
  <c r="F93" i="26"/>
  <c r="H93" i="26" s="1"/>
  <c r="AU92" i="26"/>
  <c r="AO92" i="26"/>
  <c r="AG92" i="26"/>
  <c r="AH92" i="26" s="1"/>
  <c r="AC92" i="26"/>
  <c r="AA92" i="26"/>
  <c r="AB92" i="26" s="1"/>
  <c r="R92" i="26"/>
  <c r="F92" i="26"/>
  <c r="AU91" i="26"/>
  <c r="AO91" i="26"/>
  <c r="AG91" i="26"/>
  <c r="AA91" i="26"/>
  <c r="AC91" i="26" s="1"/>
  <c r="R91" i="26"/>
  <c r="F91" i="26"/>
  <c r="AU90" i="26"/>
  <c r="AO90" i="26"/>
  <c r="AG90" i="26"/>
  <c r="AA90" i="26"/>
  <c r="R90" i="26"/>
  <c r="V90" i="26" s="1"/>
  <c r="F90" i="26"/>
  <c r="G90" i="26" s="1"/>
  <c r="AU89" i="26"/>
  <c r="AO89" i="26"/>
  <c r="AG89" i="26"/>
  <c r="AI89" i="26" s="1"/>
  <c r="AA89" i="26"/>
  <c r="R89" i="26"/>
  <c r="V89" i="26" s="1"/>
  <c r="F89" i="26"/>
  <c r="H89" i="26" s="1"/>
  <c r="AU88" i="26"/>
  <c r="AO88" i="26"/>
  <c r="AG88" i="26"/>
  <c r="AJ88" i="26" s="1"/>
  <c r="AA88" i="26"/>
  <c r="AD88" i="26" s="1"/>
  <c r="R88" i="26"/>
  <c r="V88" i="26" s="1"/>
  <c r="I88" i="26"/>
  <c r="F88" i="26"/>
  <c r="H88" i="26" s="1"/>
  <c r="AU87" i="26"/>
  <c r="AO87" i="26"/>
  <c r="AG87" i="26"/>
  <c r="AI87" i="26" s="1"/>
  <c r="AA87" i="26"/>
  <c r="R87" i="26"/>
  <c r="V87" i="26" s="1"/>
  <c r="F87" i="26"/>
  <c r="H87" i="26" s="1"/>
  <c r="AU86" i="26"/>
  <c r="AO86" i="26"/>
  <c r="AG86" i="26"/>
  <c r="AI86" i="26" s="1"/>
  <c r="AA86" i="26"/>
  <c r="AC86" i="26" s="1"/>
  <c r="U86" i="26"/>
  <c r="R86" i="26"/>
  <c r="V86" i="26" s="1"/>
  <c r="F86" i="26"/>
  <c r="H86" i="26" s="1"/>
  <c r="AU85" i="26"/>
  <c r="AO85" i="26"/>
  <c r="AG85" i="26"/>
  <c r="AA85" i="26"/>
  <c r="AC85" i="26" s="1"/>
  <c r="R85" i="26"/>
  <c r="F85" i="26"/>
  <c r="AU84" i="26"/>
  <c r="AO84" i="26"/>
  <c r="AJ84" i="26"/>
  <c r="AG84" i="26"/>
  <c r="AI84" i="26" s="1"/>
  <c r="AA84" i="26"/>
  <c r="R84" i="26"/>
  <c r="V84" i="26" s="1"/>
  <c r="F84" i="26"/>
  <c r="S84" i="26"/>
  <c r="T84" i="26" s="1"/>
  <c r="AU83" i="26"/>
  <c r="AO83" i="26"/>
  <c r="AG83" i="26"/>
  <c r="AA83" i="26"/>
  <c r="R83" i="26"/>
  <c r="V83" i="26" s="1"/>
  <c r="F83" i="26"/>
  <c r="AU82" i="26"/>
  <c r="AO82" i="26"/>
  <c r="AG82" i="26"/>
  <c r="AI82" i="26" s="1"/>
  <c r="AA82" i="26"/>
  <c r="AC82" i="26" s="1"/>
  <c r="R82" i="26"/>
  <c r="V82" i="26" s="1"/>
  <c r="F82" i="26"/>
  <c r="H82" i="26" s="1"/>
  <c r="AU81" i="26"/>
  <c r="AO81" i="26"/>
  <c r="AG81" i="26"/>
  <c r="AA81" i="26"/>
  <c r="AC81" i="26" s="1"/>
  <c r="R81" i="26"/>
  <c r="F81" i="26"/>
  <c r="AU80" i="26"/>
  <c r="AO80" i="26"/>
  <c r="AH80" i="26"/>
  <c r="AG80" i="26"/>
  <c r="AJ80" i="26" s="1"/>
  <c r="AA80" i="26"/>
  <c r="AD80" i="26" s="1"/>
  <c r="R80" i="26"/>
  <c r="V80" i="26" s="1"/>
  <c r="F80" i="26"/>
  <c r="I80" i="26" s="1"/>
  <c r="AU79" i="26"/>
  <c r="AO79" i="26"/>
  <c r="AG79" i="26"/>
  <c r="AA79" i="26"/>
  <c r="AC79" i="26" s="1"/>
  <c r="R79" i="26"/>
  <c r="F79" i="26"/>
  <c r="AU78" i="26"/>
  <c r="AO78" i="26"/>
  <c r="AG78" i="26"/>
  <c r="AI78" i="26" s="1"/>
  <c r="AD78" i="26"/>
  <c r="AB78" i="26"/>
  <c r="AA78" i="26"/>
  <c r="AC78" i="26" s="1"/>
  <c r="R78" i="26"/>
  <c r="V78" i="26" s="1"/>
  <c r="G78" i="26"/>
  <c r="F78" i="26"/>
  <c r="H78" i="26" s="1"/>
  <c r="AU77" i="26"/>
  <c r="AO77" i="26"/>
  <c r="AI77" i="26"/>
  <c r="AG77" i="26"/>
  <c r="AA77" i="26"/>
  <c r="R77" i="26"/>
  <c r="V77" i="26" s="1"/>
  <c r="F77" i="26"/>
  <c r="H77" i="26" s="1"/>
  <c r="AU76" i="26"/>
  <c r="AO76" i="26"/>
  <c r="AG76" i="26"/>
  <c r="AJ76" i="26" s="1"/>
  <c r="AA76" i="26"/>
  <c r="AD76" i="26" s="1"/>
  <c r="R76" i="26"/>
  <c r="V76" i="26" s="1"/>
  <c r="F76" i="26"/>
  <c r="H76" i="26" s="1"/>
  <c r="AU75" i="26"/>
  <c r="AO75" i="26"/>
  <c r="AG75" i="26"/>
  <c r="AA75" i="26"/>
  <c r="AC75" i="26" s="1"/>
  <c r="R75" i="26"/>
  <c r="F75" i="26"/>
  <c r="L75" i="26"/>
  <c r="M75" i="26" s="1"/>
  <c r="AU74" i="26"/>
  <c r="AO74" i="26"/>
  <c r="AJ74" i="26"/>
  <c r="AG74" i="26"/>
  <c r="AI74" i="26" s="1"/>
  <c r="AA74" i="26"/>
  <c r="AC74" i="26" s="1"/>
  <c r="R74" i="26"/>
  <c r="V74" i="26" s="1"/>
  <c r="F74" i="26"/>
  <c r="AU73" i="26"/>
  <c r="AO73" i="26"/>
  <c r="AG73" i="26"/>
  <c r="AI73" i="26" s="1"/>
  <c r="AA73" i="26"/>
  <c r="R73" i="26"/>
  <c r="V73" i="26" s="1"/>
  <c r="F73" i="26"/>
  <c r="H73" i="26" s="1"/>
  <c r="AU72" i="26"/>
  <c r="AO72" i="26"/>
  <c r="AG72" i="26"/>
  <c r="AJ72" i="26" s="1"/>
  <c r="AA72" i="26"/>
  <c r="AD72" i="26" s="1"/>
  <c r="U72" i="26"/>
  <c r="R72" i="26"/>
  <c r="V72" i="26" s="1"/>
  <c r="F72" i="26"/>
  <c r="AU71" i="26"/>
  <c r="AO71" i="26"/>
  <c r="AG71" i="26"/>
  <c r="AI71" i="26" s="1"/>
  <c r="AA71" i="26"/>
  <c r="R71" i="26"/>
  <c r="V71" i="26" s="1"/>
  <c r="F71" i="26"/>
  <c r="H71" i="26" s="1"/>
  <c r="AU70" i="26"/>
  <c r="AO70" i="26"/>
  <c r="AG70" i="26"/>
  <c r="AI70" i="26" s="1"/>
  <c r="AD70" i="26"/>
  <c r="AA70" i="26"/>
  <c r="AC70" i="26" s="1"/>
  <c r="R70" i="26"/>
  <c r="F70" i="26"/>
  <c r="H70" i="26" s="1"/>
  <c r="AU69" i="26"/>
  <c r="AO69" i="26"/>
  <c r="AG69" i="26"/>
  <c r="AC69" i="26"/>
  <c r="AA69" i="26"/>
  <c r="R69" i="26"/>
  <c r="F69" i="26"/>
  <c r="AU68" i="26"/>
  <c r="AO68" i="26"/>
  <c r="AG68" i="26"/>
  <c r="AI68" i="26" s="1"/>
  <c r="AA68" i="26"/>
  <c r="AC68" i="26" s="1"/>
  <c r="S68" i="26"/>
  <c r="T68" i="26" s="1"/>
  <c r="R68" i="26"/>
  <c r="F68" i="26"/>
  <c r="H68" i="26" s="1"/>
  <c r="AU67" i="26"/>
  <c r="AO67" i="26"/>
  <c r="AG67" i="26"/>
  <c r="AA67" i="26"/>
  <c r="AC67" i="26" s="1"/>
  <c r="R67" i="26"/>
  <c r="V67" i="26" s="1"/>
  <c r="F67" i="26"/>
  <c r="AU66" i="26"/>
  <c r="AO66" i="26"/>
  <c r="AJ66" i="26"/>
  <c r="AG66" i="26"/>
  <c r="AI66" i="26" s="1"/>
  <c r="AA66" i="26"/>
  <c r="R66" i="26"/>
  <c r="V66" i="26" s="1"/>
  <c r="F66" i="26"/>
  <c r="H66" i="26" s="1"/>
  <c r="AU65" i="26"/>
  <c r="AO65" i="26"/>
  <c r="AG65" i="26"/>
  <c r="AI65" i="26" s="1"/>
  <c r="AA65" i="26"/>
  <c r="AC65" i="26" s="1"/>
  <c r="R65" i="26"/>
  <c r="F65" i="26"/>
  <c r="H65" i="26" s="1"/>
  <c r="AU64" i="26"/>
  <c r="AO64" i="26"/>
  <c r="AG64" i="26"/>
  <c r="AJ64" i="26" s="1"/>
  <c r="AA64" i="26"/>
  <c r="AD64" i="26" s="1"/>
  <c r="R64" i="26"/>
  <c r="V64" i="26" s="1"/>
  <c r="F64" i="26"/>
  <c r="H64" i="26" s="1"/>
  <c r="AU63" i="26"/>
  <c r="AO63" i="26"/>
  <c r="AG63" i="26"/>
  <c r="AA63" i="26"/>
  <c r="AC63" i="26" s="1"/>
  <c r="R63" i="26"/>
  <c r="F63" i="26"/>
  <c r="AU62" i="26"/>
  <c r="AO62" i="26"/>
  <c r="AG62" i="26"/>
  <c r="AI62" i="26" s="1"/>
  <c r="AA62" i="26"/>
  <c r="AC62" i="26" s="1"/>
  <c r="R62" i="26"/>
  <c r="V62" i="26" s="1"/>
  <c r="F62" i="26"/>
  <c r="H62" i="26" s="1"/>
  <c r="AU61" i="26"/>
  <c r="AO61" i="26"/>
  <c r="AG61" i="26"/>
  <c r="AI61" i="26" s="1"/>
  <c r="AA61" i="26"/>
  <c r="R61" i="26"/>
  <c r="V61" i="26" s="1"/>
  <c r="F61" i="26"/>
  <c r="H61" i="26" s="1"/>
  <c r="AU60" i="26"/>
  <c r="AO60" i="26"/>
  <c r="AJ60" i="26"/>
  <c r="AI60" i="26"/>
  <c r="AG60" i="26"/>
  <c r="AH60" i="26" s="1"/>
  <c r="AA60" i="26"/>
  <c r="AB60" i="26" s="1"/>
  <c r="S60" i="26"/>
  <c r="T60" i="26" s="1"/>
  <c r="R60" i="26"/>
  <c r="W60" i="26" s="1"/>
  <c r="F60" i="26"/>
  <c r="AU59" i="26"/>
  <c r="AO59" i="26"/>
  <c r="AG59" i="26"/>
  <c r="AA59" i="26"/>
  <c r="AD59" i="26" s="1"/>
  <c r="R59" i="26"/>
  <c r="W59" i="26" s="1"/>
  <c r="F59" i="26"/>
  <c r="I59" i="26" s="1"/>
  <c r="AU58" i="26"/>
  <c r="AO58" i="26"/>
  <c r="AG58" i="26"/>
  <c r="AI58" i="26" s="1"/>
  <c r="AA58" i="26"/>
  <c r="AC58" i="26" s="1"/>
  <c r="S58" i="26"/>
  <c r="T58" i="26" s="1"/>
  <c r="R58" i="26"/>
  <c r="F58" i="26"/>
  <c r="H58" i="26" s="1"/>
  <c r="AU57" i="26"/>
  <c r="AO57" i="26"/>
  <c r="AG57" i="26"/>
  <c r="AH57" i="26" s="1"/>
  <c r="AA57" i="26"/>
  <c r="AB57" i="26" s="1"/>
  <c r="R57" i="26"/>
  <c r="U57" i="26" s="1"/>
  <c r="F57" i="26"/>
  <c r="G57" i="26" s="1"/>
  <c r="AM57" i="26"/>
  <c r="AN57" i="26" s="1"/>
  <c r="AU56" i="26"/>
  <c r="AO56" i="26"/>
  <c r="AG56" i="26"/>
  <c r="AA56" i="26"/>
  <c r="R56" i="26"/>
  <c r="W56" i="26" s="1"/>
  <c r="F56" i="26"/>
  <c r="S56" i="26"/>
  <c r="T56" i="26" s="1"/>
  <c r="AU55" i="26"/>
  <c r="AO55" i="26"/>
  <c r="AG55" i="26"/>
  <c r="AJ55" i="26" s="1"/>
  <c r="AA55" i="26"/>
  <c r="AD55" i="26" s="1"/>
  <c r="R55" i="26"/>
  <c r="W55" i="26" s="1"/>
  <c r="F55" i="26"/>
  <c r="I55" i="26" s="1"/>
  <c r="AU54" i="26"/>
  <c r="AO54" i="26"/>
  <c r="AG54" i="26"/>
  <c r="AA54" i="26"/>
  <c r="AC54" i="26" s="1"/>
  <c r="R54" i="26"/>
  <c r="F54" i="26"/>
  <c r="H54" i="26" s="1"/>
  <c r="AU53" i="26"/>
  <c r="AO53" i="26"/>
  <c r="AG53" i="26"/>
  <c r="AH53" i="26" s="1"/>
  <c r="AA53" i="26"/>
  <c r="AB53" i="26" s="1"/>
  <c r="R53" i="26"/>
  <c r="U53" i="26" s="1"/>
  <c r="F53" i="26"/>
  <c r="G53" i="26" s="1"/>
  <c r="AM53" i="26"/>
  <c r="AN53" i="26" s="1"/>
  <c r="AU52" i="26"/>
  <c r="AO52" i="26"/>
  <c r="AG52" i="26"/>
  <c r="AH52" i="26" s="1"/>
  <c r="AA52" i="26"/>
  <c r="AB52" i="26" s="1"/>
  <c r="R52" i="26"/>
  <c r="F52" i="26"/>
  <c r="AU51" i="26"/>
  <c r="AO51" i="26"/>
  <c r="AI51" i="26"/>
  <c r="AG51" i="26"/>
  <c r="AJ51" i="26" s="1"/>
  <c r="AA51" i="26"/>
  <c r="AD51" i="26" s="1"/>
  <c r="R51" i="26"/>
  <c r="W51" i="26" s="1"/>
  <c r="F51" i="26"/>
  <c r="I51" i="26" s="1"/>
  <c r="AU50" i="26"/>
  <c r="AO50" i="26"/>
  <c r="AG50" i="26"/>
  <c r="AI50" i="26" s="1"/>
  <c r="AA50" i="26"/>
  <c r="AC50" i="26" s="1"/>
  <c r="S50" i="26"/>
  <c r="T50" i="26" s="1"/>
  <c r="R50" i="26"/>
  <c r="F50" i="26"/>
  <c r="AU49" i="26"/>
  <c r="AO49" i="26"/>
  <c r="AG49" i="26"/>
  <c r="AH49" i="26" s="1"/>
  <c r="AA49" i="26"/>
  <c r="AB49" i="26" s="1"/>
  <c r="R49" i="26"/>
  <c r="U49" i="26" s="1"/>
  <c r="F49" i="26"/>
  <c r="G49" i="26" s="1"/>
  <c r="AM49" i="26"/>
  <c r="AN49" i="26" s="1"/>
  <c r="AU48" i="26"/>
  <c r="AO48" i="26"/>
  <c r="AG48" i="26"/>
  <c r="AH48" i="26" s="1"/>
  <c r="AC48" i="26"/>
  <c r="AA48" i="26"/>
  <c r="AB48" i="26" s="1"/>
  <c r="R48" i="26"/>
  <c r="F48" i="26"/>
  <c r="AU47" i="26"/>
  <c r="AO47" i="26"/>
  <c r="AG47" i="26"/>
  <c r="AJ47" i="26" s="1"/>
  <c r="AA47" i="26"/>
  <c r="AD47" i="26" s="1"/>
  <c r="R47" i="26"/>
  <c r="W47" i="26" s="1"/>
  <c r="F47" i="26"/>
  <c r="AU46" i="26"/>
  <c r="AO46" i="26"/>
  <c r="AG46" i="26"/>
  <c r="AI46" i="26" s="1"/>
  <c r="AA46" i="26"/>
  <c r="AC46" i="26" s="1"/>
  <c r="R46" i="26"/>
  <c r="V46" i="26" s="1"/>
  <c r="F46" i="26"/>
  <c r="H46" i="26" s="1"/>
  <c r="AU45" i="26"/>
  <c r="AO45" i="26"/>
  <c r="AG45" i="26"/>
  <c r="AH45" i="26" s="1"/>
  <c r="AA45" i="26"/>
  <c r="R45" i="26"/>
  <c r="U45" i="26" s="1"/>
  <c r="F45" i="26"/>
  <c r="G45" i="26" s="1"/>
  <c r="AM45" i="26"/>
  <c r="AN45" i="26" s="1"/>
  <c r="AU44" i="26"/>
  <c r="AO44" i="26"/>
  <c r="AG44" i="26"/>
  <c r="AI44" i="26" s="1"/>
  <c r="AA44" i="26"/>
  <c r="AC44" i="26" s="1"/>
  <c r="R44" i="26"/>
  <c r="W44" i="26" s="1"/>
  <c r="F44" i="26"/>
  <c r="G44" i="26" s="1"/>
  <c r="AT44" i="26"/>
  <c r="AV44" i="26" s="1"/>
  <c r="AU43" i="26"/>
  <c r="AO43" i="26"/>
  <c r="AG43" i="26"/>
  <c r="AA43" i="26"/>
  <c r="AD43" i="26" s="1"/>
  <c r="R43" i="26"/>
  <c r="F43" i="26"/>
  <c r="I43" i="26" s="1"/>
  <c r="AU42" i="26"/>
  <c r="AO42" i="26"/>
  <c r="AG42" i="26"/>
  <c r="AI42" i="26" s="1"/>
  <c r="AA42" i="26"/>
  <c r="R42" i="26"/>
  <c r="V42" i="26" s="1"/>
  <c r="F42" i="26"/>
  <c r="H42" i="26" s="1"/>
  <c r="AU41" i="26"/>
  <c r="AO41" i="26"/>
  <c r="AJ41" i="26"/>
  <c r="AG41" i="26"/>
  <c r="AH41" i="26" s="1"/>
  <c r="AA41" i="26"/>
  <c r="AB41" i="26" s="1"/>
  <c r="R41" i="26"/>
  <c r="U41" i="26" s="1"/>
  <c r="F41" i="26"/>
  <c r="G41" i="26" s="1"/>
  <c r="AU40" i="26"/>
  <c r="AO40" i="26"/>
  <c r="AJ40" i="26"/>
  <c r="AG40" i="26"/>
  <c r="AH40" i="26" s="1"/>
  <c r="AA40" i="26"/>
  <c r="AB40" i="26" s="1"/>
  <c r="R40" i="26"/>
  <c r="F40" i="26"/>
  <c r="G40" i="26" s="1"/>
  <c r="AT40" i="26"/>
  <c r="AV40" i="26" s="1"/>
  <c r="AU39" i="26"/>
  <c r="AO39" i="26"/>
  <c r="AG39" i="26"/>
  <c r="AJ39" i="26" s="1"/>
  <c r="AA39" i="26"/>
  <c r="AD39" i="26" s="1"/>
  <c r="R39" i="26"/>
  <c r="W39" i="26" s="1"/>
  <c r="F39" i="26"/>
  <c r="I39" i="26" s="1"/>
  <c r="AU38" i="26"/>
  <c r="AO38" i="26"/>
  <c r="AG38" i="26"/>
  <c r="AA38" i="26"/>
  <c r="AC38" i="26" s="1"/>
  <c r="R38" i="26"/>
  <c r="V38" i="26" s="1"/>
  <c r="F38" i="26"/>
  <c r="H38" i="26" s="1"/>
  <c r="AU37" i="26"/>
  <c r="AO37" i="26"/>
  <c r="AG37" i="26"/>
  <c r="AA37" i="26"/>
  <c r="AB37" i="26" s="1"/>
  <c r="R37" i="26"/>
  <c r="U37" i="26" s="1"/>
  <c r="F37" i="26"/>
  <c r="AM37" i="26"/>
  <c r="AN37" i="26" s="1"/>
  <c r="AU36" i="26"/>
  <c r="AO36" i="26"/>
  <c r="AG36" i="26"/>
  <c r="AH36" i="26" s="1"/>
  <c r="AA36" i="26"/>
  <c r="AB36" i="26" s="1"/>
  <c r="U36" i="26"/>
  <c r="R36" i="26"/>
  <c r="F36" i="26"/>
  <c r="AT36" i="26"/>
  <c r="AV36" i="26" s="1"/>
  <c r="AU35" i="26"/>
  <c r="AO35" i="26"/>
  <c r="AG35" i="26"/>
  <c r="AJ35" i="26" s="1"/>
  <c r="AA35" i="26"/>
  <c r="AD35" i="26" s="1"/>
  <c r="R35" i="26"/>
  <c r="W35" i="26" s="1"/>
  <c r="H35" i="26"/>
  <c r="F35" i="26"/>
  <c r="I35" i="26" s="1"/>
  <c r="AU34" i="26"/>
  <c r="AO34" i="26"/>
  <c r="AG34" i="26"/>
  <c r="AA34" i="26"/>
  <c r="R34" i="26"/>
  <c r="V34" i="26" s="1"/>
  <c r="F34" i="26"/>
  <c r="H34" i="26" s="1"/>
  <c r="AU33" i="26"/>
  <c r="AO33" i="26"/>
  <c r="AG33" i="26"/>
  <c r="AH33" i="26" s="1"/>
  <c r="AA33" i="26"/>
  <c r="AB33" i="26" s="1"/>
  <c r="R33" i="26"/>
  <c r="U33" i="26" s="1"/>
  <c r="F33" i="26"/>
  <c r="G33" i="26" s="1"/>
  <c r="AU32" i="26"/>
  <c r="AO32" i="26"/>
  <c r="AJ32" i="26"/>
  <c r="AG32" i="26"/>
  <c r="AA32" i="26"/>
  <c r="R32" i="26"/>
  <c r="U32" i="26" s="1"/>
  <c r="F32" i="26"/>
  <c r="G32" i="26" s="1"/>
  <c r="AT32" i="26"/>
  <c r="AV32" i="26" s="1"/>
  <c r="AU31" i="26"/>
  <c r="AO31" i="26"/>
  <c r="AG31" i="26"/>
  <c r="AA31" i="26"/>
  <c r="AD31" i="26" s="1"/>
  <c r="R31" i="26"/>
  <c r="W31" i="26" s="1"/>
  <c r="F31" i="26"/>
  <c r="I31" i="26" s="1"/>
  <c r="AU30" i="26"/>
  <c r="AO30" i="26"/>
  <c r="AG30" i="26"/>
  <c r="AA30" i="26"/>
  <c r="AC30" i="26" s="1"/>
  <c r="W30" i="26"/>
  <c r="U30" i="26"/>
  <c r="R30" i="26"/>
  <c r="V30" i="26" s="1"/>
  <c r="F30" i="26"/>
  <c r="H30" i="26" s="1"/>
  <c r="AU29" i="26"/>
  <c r="AO29" i="26"/>
  <c r="AG29" i="26"/>
  <c r="AA29" i="26"/>
  <c r="AB29" i="26" s="1"/>
  <c r="R29" i="26"/>
  <c r="U29" i="26" s="1"/>
  <c r="F29" i="26"/>
  <c r="AM29" i="26"/>
  <c r="AN29" i="26" s="1"/>
  <c r="AU28" i="26"/>
  <c r="AO28" i="26"/>
  <c r="AG28" i="26"/>
  <c r="AA28" i="26"/>
  <c r="AB28" i="26" s="1"/>
  <c r="R28" i="26"/>
  <c r="F28" i="26"/>
  <c r="I28" i="26" s="1"/>
  <c r="AT28" i="26"/>
  <c r="AV28" i="26" s="1"/>
  <c r="AU27" i="26"/>
  <c r="AT27" i="26"/>
  <c r="AV27" i="26" s="1"/>
  <c r="AO27" i="26"/>
  <c r="AM27" i="26"/>
  <c r="AN27" i="26" s="1"/>
  <c r="AG27" i="26"/>
  <c r="AJ27" i="26" s="1"/>
  <c r="AA27" i="26"/>
  <c r="S27" i="26"/>
  <c r="T27" i="26" s="1"/>
  <c r="R27" i="26"/>
  <c r="W27" i="26" s="1"/>
  <c r="L27" i="26"/>
  <c r="M27" i="26" s="1"/>
  <c r="F27" i="26"/>
  <c r="I27" i="26" s="1"/>
  <c r="AU26" i="26"/>
  <c r="AT26" i="26"/>
  <c r="AV26" i="26" s="1"/>
  <c r="AO26" i="26"/>
  <c r="AM26" i="26"/>
  <c r="AN26" i="26" s="1"/>
  <c r="AG26" i="26"/>
  <c r="AI26" i="26" s="1"/>
  <c r="AA26" i="26"/>
  <c r="S26" i="26"/>
  <c r="T26" i="26" s="1"/>
  <c r="R26" i="26"/>
  <c r="V26" i="26" s="1"/>
  <c r="L26" i="26"/>
  <c r="M26" i="26" s="1"/>
  <c r="F26" i="26"/>
  <c r="H26" i="26" s="1"/>
  <c r="AU25" i="26"/>
  <c r="AT25" i="26"/>
  <c r="AV25" i="26" s="1"/>
  <c r="AO25" i="26"/>
  <c r="AM25" i="26"/>
  <c r="AN25" i="26" s="1"/>
  <c r="AG25" i="26"/>
  <c r="AH25" i="26" s="1"/>
  <c r="AA25" i="26"/>
  <c r="S25" i="26"/>
  <c r="T25" i="26" s="1"/>
  <c r="R25" i="26"/>
  <c r="L25" i="26"/>
  <c r="M25" i="26" s="1"/>
  <c r="F25" i="26"/>
  <c r="AU24" i="26"/>
  <c r="AT24" i="26"/>
  <c r="AV24" i="26" s="1"/>
  <c r="AO24" i="26"/>
  <c r="AM24" i="26"/>
  <c r="AN24" i="26" s="1"/>
  <c r="AG24" i="26"/>
  <c r="AJ24" i="26" s="1"/>
  <c r="AA24" i="26"/>
  <c r="S24" i="26"/>
  <c r="T24" i="26" s="1"/>
  <c r="R24" i="26"/>
  <c r="L24" i="26"/>
  <c r="M24" i="26" s="1"/>
  <c r="F24" i="26"/>
  <c r="G24" i="26" s="1"/>
  <c r="AU23" i="26"/>
  <c r="AT23" i="26"/>
  <c r="AV23" i="26" s="1"/>
  <c r="AO23" i="26"/>
  <c r="AM23" i="26"/>
  <c r="AN23" i="26" s="1"/>
  <c r="AG23" i="26"/>
  <c r="AA23" i="26"/>
  <c r="S23" i="26"/>
  <c r="T23" i="26" s="1"/>
  <c r="R23" i="26"/>
  <c r="W23" i="26" s="1"/>
  <c r="L23" i="26"/>
  <c r="M23" i="26" s="1"/>
  <c r="F23" i="26"/>
  <c r="AU22" i="26"/>
  <c r="AT22" i="26"/>
  <c r="AV22" i="26" s="1"/>
  <c r="AO22" i="26"/>
  <c r="AM22" i="26"/>
  <c r="AN22" i="26" s="1"/>
  <c r="AG22" i="26"/>
  <c r="AA22" i="26"/>
  <c r="S22" i="26"/>
  <c r="T22" i="26" s="1"/>
  <c r="R22" i="26"/>
  <c r="L22" i="26"/>
  <c r="M22" i="26" s="1"/>
  <c r="F22" i="26"/>
  <c r="H22" i="26" s="1"/>
  <c r="AU21" i="26"/>
  <c r="AT21" i="26"/>
  <c r="AV21" i="26" s="1"/>
  <c r="AO21" i="26"/>
  <c r="AM21" i="26"/>
  <c r="AN21" i="26" s="1"/>
  <c r="AG21" i="26"/>
  <c r="AH21" i="26" s="1"/>
  <c r="AA21" i="26"/>
  <c r="S21" i="26"/>
  <c r="T21" i="26" s="1"/>
  <c r="R21" i="26"/>
  <c r="L21" i="26"/>
  <c r="M21" i="26" s="1"/>
  <c r="F21" i="26"/>
  <c r="H21" i="26" s="1"/>
  <c r="AU20" i="26"/>
  <c r="AT20" i="26"/>
  <c r="AV20" i="26" s="1"/>
  <c r="AO20" i="26"/>
  <c r="AM20" i="26"/>
  <c r="AN20" i="26" s="1"/>
  <c r="AG20" i="26"/>
  <c r="AH20" i="26" s="1"/>
  <c r="AA20" i="26"/>
  <c r="AB20" i="26" s="1"/>
  <c r="S20" i="26"/>
  <c r="T20" i="26" s="1"/>
  <c r="R20" i="26"/>
  <c r="U20" i="26" s="1"/>
  <c r="L20" i="26"/>
  <c r="M20" i="26" s="1"/>
  <c r="F20" i="26"/>
  <c r="G20" i="26" s="1"/>
  <c r="AU19" i="26"/>
  <c r="AT19" i="26"/>
  <c r="AV19" i="26" s="1"/>
  <c r="AO19" i="26"/>
  <c r="AM19" i="26"/>
  <c r="AN19" i="26" s="1"/>
  <c r="AG19" i="26"/>
  <c r="AI19" i="26" s="1"/>
  <c r="AA19" i="26"/>
  <c r="S19" i="26"/>
  <c r="T19" i="26" s="1"/>
  <c r="R19" i="26"/>
  <c r="L19" i="26"/>
  <c r="M19" i="26" s="1"/>
  <c r="F19" i="26"/>
  <c r="I19" i="26" s="1"/>
  <c r="AV18" i="26"/>
  <c r="AU18" i="26"/>
  <c r="AT18" i="26"/>
  <c r="AO18" i="26"/>
  <c r="AM18" i="26"/>
  <c r="AN18" i="26" s="1"/>
  <c r="AG18" i="26"/>
  <c r="AJ18" i="26" s="1"/>
  <c r="AA18" i="26"/>
  <c r="S18" i="26"/>
  <c r="T18" i="26" s="1"/>
  <c r="R18" i="26"/>
  <c r="W18" i="26" s="1"/>
  <c r="L18" i="26"/>
  <c r="M18" i="26" s="1"/>
  <c r="F18" i="26"/>
  <c r="I18" i="26" s="1"/>
  <c r="AU17" i="26"/>
  <c r="AT17" i="26"/>
  <c r="AV17" i="26" s="1"/>
  <c r="AO17" i="26"/>
  <c r="AM17" i="26"/>
  <c r="AN17" i="26" s="1"/>
  <c r="AG17" i="26"/>
  <c r="AI17" i="26" s="1"/>
  <c r="AA17" i="26"/>
  <c r="AB17" i="26" s="1"/>
  <c r="S17" i="26"/>
  <c r="T17" i="26" s="1"/>
  <c r="R17" i="26"/>
  <c r="L17" i="26"/>
  <c r="M17" i="26" s="1"/>
  <c r="G17" i="26"/>
  <c r="F17" i="26"/>
  <c r="AU16" i="26"/>
  <c r="AT16" i="26"/>
  <c r="AV16" i="26" s="1"/>
  <c r="AO16" i="26"/>
  <c r="AM16" i="26"/>
  <c r="AN16" i="26" s="1"/>
  <c r="AG16" i="26"/>
  <c r="AA16" i="26"/>
  <c r="S16" i="26"/>
  <c r="T16" i="26" s="1"/>
  <c r="R16" i="26"/>
  <c r="U16" i="26" s="1"/>
  <c r="L16" i="26"/>
  <c r="M16" i="26" s="1"/>
  <c r="F16" i="26"/>
  <c r="G16" i="26" s="1"/>
  <c r="AU15" i="26"/>
  <c r="AT15" i="26"/>
  <c r="AV15" i="26" s="1"/>
  <c r="AO15" i="26"/>
  <c r="AM15" i="26"/>
  <c r="AN15" i="26" s="1"/>
  <c r="AG15" i="26"/>
  <c r="AA15" i="26"/>
  <c r="S15" i="26"/>
  <c r="T15" i="26" s="1"/>
  <c r="R15" i="26"/>
  <c r="W15" i="26" s="1"/>
  <c r="L15" i="26"/>
  <c r="M15" i="26" s="1"/>
  <c r="F15" i="26"/>
  <c r="I15" i="26" s="1"/>
  <c r="AU14" i="26"/>
  <c r="AT14" i="26"/>
  <c r="AV14" i="26" s="1"/>
  <c r="AO14" i="26"/>
  <c r="AM14" i="26"/>
  <c r="AN14" i="26" s="1"/>
  <c r="AG14" i="26"/>
  <c r="AJ14" i="26" s="1"/>
  <c r="AA14" i="26"/>
  <c r="S14" i="26"/>
  <c r="T14" i="26" s="1"/>
  <c r="R14" i="26"/>
  <c r="W14" i="26" s="1"/>
  <c r="L14" i="26"/>
  <c r="M14" i="26" s="1"/>
  <c r="F14" i="26"/>
  <c r="I14" i="26" s="1"/>
  <c r="AU13" i="26"/>
  <c r="AT13" i="26"/>
  <c r="AV13" i="26" s="1"/>
  <c r="AO13" i="26"/>
  <c r="AM13" i="26"/>
  <c r="AN13" i="26" s="1"/>
  <c r="AG13" i="26"/>
  <c r="AI13" i="26" s="1"/>
  <c r="AA13" i="26"/>
  <c r="AC13" i="26" s="1"/>
  <c r="S13" i="26"/>
  <c r="T13" i="26" s="1"/>
  <c r="R13" i="26"/>
  <c r="V13" i="26" s="1"/>
  <c r="L13" i="26"/>
  <c r="M13" i="26" s="1"/>
  <c r="F13" i="26"/>
  <c r="H13" i="26" s="1"/>
  <c r="AU12" i="26"/>
  <c r="AT12" i="26"/>
  <c r="AV12" i="26" s="1"/>
  <c r="AO12" i="26"/>
  <c r="AM12" i="26"/>
  <c r="AN12" i="26" s="1"/>
  <c r="AG12" i="26"/>
  <c r="AH12" i="26" s="1"/>
  <c r="AA12" i="26"/>
  <c r="AB12" i="26" s="1"/>
  <c r="S12" i="26"/>
  <c r="T12" i="26" s="1"/>
  <c r="R12" i="26"/>
  <c r="U12" i="26" s="1"/>
  <c r="L12" i="26"/>
  <c r="M12" i="26" s="1"/>
  <c r="F12" i="26"/>
  <c r="G12" i="26" s="1"/>
  <c r="AU11" i="26"/>
  <c r="AT11" i="26"/>
  <c r="AV11" i="26" s="1"/>
  <c r="AO11" i="26"/>
  <c r="AM11" i="26"/>
  <c r="AN11" i="26" s="1"/>
  <c r="AG11" i="26"/>
  <c r="AA11" i="26"/>
  <c r="AC11" i="26" s="1"/>
  <c r="S11" i="26"/>
  <c r="T11" i="26" s="1"/>
  <c r="R11" i="26"/>
  <c r="L11" i="26"/>
  <c r="M11" i="26" s="1"/>
  <c r="F11" i="26"/>
  <c r="I11" i="26" s="1"/>
  <c r="AU10" i="26"/>
  <c r="AT10" i="26"/>
  <c r="AV10" i="26" s="1"/>
  <c r="AO10" i="26"/>
  <c r="AM10" i="26"/>
  <c r="AN10" i="26" s="1"/>
  <c r="AG10" i="26"/>
  <c r="AJ10" i="26" s="1"/>
  <c r="AC10" i="26"/>
  <c r="AA10" i="26"/>
  <c r="AD10" i="26" s="1"/>
  <c r="S10" i="26"/>
  <c r="T10" i="26" s="1"/>
  <c r="R10" i="26"/>
  <c r="W10" i="26" s="1"/>
  <c r="L10" i="26"/>
  <c r="M10" i="26" s="1"/>
  <c r="F10" i="26"/>
  <c r="I10" i="26" s="1"/>
  <c r="AU9" i="26"/>
  <c r="AT9" i="26"/>
  <c r="AV9" i="26" s="1"/>
  <c r="AO9" i="26"/>
  <c r="AM9" i="26"/>
  <c r="AN9" i="26" s="1"/>
  <c r="AG9" i="26"/>
  <c r="AI9" i="26" s="1"/>
  <c r="AA9" i="26"/>
  <c r="AC9" i="26" s="1"/>
  <c r="S9" i="26"/>
  <c r="T9" i="26" s="1"/>
  <c r="R9" i="26"/>
  <c r="L9" i="26"/>
  <c r="M9" i="26" s="1"/>
  <c r="F9" i="26"/>
  <c r="H9" i="26" s="1"/>
  <c r="AU8" i="26"/>
  <c r="AT8" i="26"/>
  <c r="AV8" i="26" s="1"/>
  <c r="AO8" i="26"/>
  <c r="AM8" i="26"/>
  <c r="AN8" i="26" s="1"/>
  <c r="AG8" i="26"/>
  <c r="AH8" i="26" s="1"/>
  <c r="AA8" i="26"/>
  <c r="AB8" i="26" s="1"/>
  <c r="S8" i="26"/>
  <c r="T8" i="26" s="1"/>
  <c r="R8" i="26"/>
  <c r="U8" i="26" s="1"/>
  <c r="L8" i="26"/>
  <c r="M8" i="26" s="1"/>
  <c r="F8" i="26"/>
  <c r="G8" i="26" s="1"/>
  <c r="AU7" i="26"/>
  <c r="AT7" i="26"/>
  <c r="AV7" i="26" s="1"/>
  <c r="AO7" i="26"/>
  <c r="AM7" i="26"/>
  <c r="AN7" i="26" s="1"/>
  <c r="AG7" i="26"/>
  <c r="AJ7" i="26" s="1"/>
  <c r="AA7" i="26"/>
  <c r="AD7" i="26" s="1"/>
  <c r="S7" i="26"/>
  <c r="T7" i="26" s="1"/>
  <c r="R7" i="26"/>
  <c r="V7" i="26" s="1"/>
  <c r="L7" i="26"/>
  <c r="M7" i="26" s="1"/>
  <c r="F7" i="26"/>
  <c r="H7" i="26" s="1"/>
  <c r="AU6" i="26"/>
  <c r="AT6" i="26"/>
  <c r="AV6" i="26" s="1"/>
  <c r="AO6" i="26"/>
  <c r="AM6" i="26"/>
  <c r="AN6" i="26" s="1"/>
  <c r="AI6" i="26"/>
  <c r="AG6" i="26"/>
  <c r="AJ6" i="26" s="1"/>
  <c r="AA6" i="26"/>
  <c r="AD6" i="26" s="1"/>
  <c r="S6" i="26"/>
  <c r="T6" i="26" s="1"/>
  <c r="R6" i="26"/>
  <c r="W6" i="26" s="1"/>
  <c r="L6" i="26"/>
  <c r="M6" i="26" s="1"/>
  <c r="F6" i="26"/>
  <c r="I6" i="26" s="1"/>
  <c r="AU5" i="26"/>
  <c r="AT5" i="26"/>
  <c r="AV5" i="26" s="1"/>
  <c r="AO5" i="26"/>
  <c r="AM5" i="26"/>
  <c r="AN5" i="26" s="1"/>
  <c r="AG5" i="26"/>
  <c r="AA5" i="26"/>
  <c r="AC5" i="26" s="1"/>
  <c r="S5" i="26"/>
  <c r="T5" i="26" s="1"/>
  <c r="R5" i="26"/>
  <c r="V5" i="26" s="1"/>
  <c r="L5" i="26"/>
  <c r="M5" i="26" s="1"/>
  <c r="F5" i="26"/>
  <c r="H5" i="26" s="1"/>
  <c r="AU4" i="26"/>
  <c r="AT4" i="26"/>
  <c r="AV4" i="26" s="1"/>
  <c r="AO4" i="26"/>
  <c r="AM4" i="26"/>
  <c r="AN4" i="26" s="1"/>
  <c r="AG4" i="26"/>
  <c r="AH4" i="26" s="1"/>
  <c r="AA4" i="26"/>
  <c r="AB4" i="26" s="1"/>
  <c r="S4" i="26"/>
  <c r="T4" i="26" s="1"/>
  <c r="R4" i="26"/>
  <c r="U4" i="26" s="1"/>
  <c r="L4" i="26"/>
  <c r="M4" i="26" s="1"/>
  <c r="F4" i="26"/>
  <c r="G4" i="26" s="1"/>
  <c r="AU3" i="26"/>
  <c r="AT3" i="26"/>
  <c r="AV3" i="26" s="1"/>
  <c r="AO3" i="26"/>
  <c r="AM3" i="26"/>
  <c r="AN3" i="26" s="1"/>
  <c r="AG3" i="26"/>
  <c r="AJ3" i="26" s="1"/>
  <c r="AA3" i="26"/>
  <c r="AD3" i="26" s="1"/>
  <c r="S3" i="26"/>
  <c r="T3" i="26" s="1"/>
  <c r="R3" i="26"/>
  <c r="V3" i="26" s="1"/>
  <c r="L3" i="26"/>
  <c r="M3" i="26" s="1"/>
  <c r="H3" i="26"/>
  <c r="F3" i="26"/>
  <c r="I3" i="26" s="1"/>
  <c r="N1" i="26"/>
  <c r="AM196" i="27"/>
  <c r="AO196" i="27" s="1"/>
  <c r="AM206" i="26"/>
  <c r="AN206" i="26" s="1"/>
  <c r="L355" i="26"/>
  <c r="M355" i="26" s="1"/>
  <c r="AN302" i="29"/>
  <c r="AP302" i="29" s="1"/>
  <c r="AM346" i="27"/>
  <c r="AO346" i="27" s="1"/>
  <c r="AT190" i="26"/>
  <c r="AV190" i="26" s="1"/>
  <c r="AM186" i="27"/>
  <c r="AO186" i="27" s="1"/>
  <c r="AM276" i="26"/>
  <c r="AN276" i="26" s="1"/>
  <c r="L276" i="26"/>
  <c r="M276" i="26" s="1"/>
  <c r="AM272" i="26"/>
  <c r="AN272" i="26" s="1"/>
  <c r="L272" i="26"/>
  <c r="M272" i="26" s="1"/>
  <c r="AM248" i="26"/>
  <c r="AN248" i="26" s="1"/>
  <c r="L248" i="26"/>
  <c r="M248" i="26" s="1"/>
  <c r="L247" i="26"/>
  <c r="M247" i="26" s="1"/>
  <c r="AM244" i="26"/>
  <c r="AN244" i="26" s="1"/>
  <c r="AM243" i="26"/>
  <c r="AN243" i="26" s="1"/>
  <c r="AM240" i="26"/>
  <c r="AN240" i="26" s="1"/>
  <c r="L240" i="26"/>
  <c r="M240" i="26" s="1"/>
  <c r="AM239" i="26"/>
  <c r="AN239" i="26" s="1"/>
  <c r="L239" i="26"/>
  <c r="M239" i="26" s="1"/>
  <c r="L236" i="26"/>
  <c r="M236" i="26" s="1"/>
  <c r="AM235" i="26"/>
  <c r="AN235" i="26" s="1"/>
  <c r="L235" i="26"/>
  <c r="M235" i="26" s="1"/>
  <c r="AM232" i="26"/>
  <c r="AN232" i="26" s="1"/>
  <c r="L232" i="26"/>
  <c r="M232" i="26" s="1"/>
  <c r="AM182" i="27"/>
  <c r="AO182" i="27" s="1"/>
  <c r="AM170" i="27"/>
  <c r="AO170" i="27" s="1"/>
  <c r="AM231" i="26"/>
  <c r="AN231" i="26" s="1"/>
  <c r="L231" i="26"/>
  <c r="M231" i="26" s="1"/>
  <c r="AT178" i="26"/>
  <c r="AV178" i="26" s="1"/>
  <c r="AM168" i="27"/>
  <c r="AO168" i="27" s="1"/>
  <c r="AM75" i="26"/>
  <c r="AN75" i="26" s="1"/>
  <c r="L81" i="26"/>
  <c r="M81" i="26" s="1"/>
  <c r="AM77" i="26"/>
  <c r="AN77" i="26" s="1"/>
  <c r="L89" i="26"/>
  <c r="M89" i="26" s="1"/>
  <c r="L87" i="26"/>
  <c r="M87" i="26" s="1"/>
  <c r="L99" i="26"/>
  <c r="M99" i="26" s="1"/>
  <c r="L91" i="26"/>
  <c r="M91" i="26" s="1"/>
  <c r="L103" i="26"/>
  <c r="M103" i="26" s="1"/>
  <c r="L97" i="26"/>
  <c r="M97" i="26" s="1"/>
  <c r="AM331" i="27"/>
  <c r="AO331" i="27" s="1"/>
  <c r="AM307" i="14"/>
  <c r="AO307" i="14" s="1"/>
  <c r="L305" i="26"/>
  <c r="M305" i="26" s="1"/>
  <c r="AM337" i="14"/>
  <c r="AO337" i="14" s="1"/>
  <c r="AM149" i="26"/>
  <c r="AN149" i="26" s="1"/>
  <c r="L149" i="26"/>
  <c r="M149" i="26" s="1"/>
  <c r="AT60" i="26"/>
  <c r="AV60" i="26" s="1"/>
  <c r="AM32" i="14"/>
  <c r="AO32" i="14" s="1"/>
  <c r="AT221" i="26"/>
  <c r="AV221" i="26" s="1"/>
  <c r="AM302" i="26"/>
  <c r="AN302" i="26" s="1"/>
  <c r="AM301" i="26"/>
  <c r="AN301" i="26" s="1"/>
  <c r="AM296" i="14"/>
  <c r="AO296" i="14" s="1"/>
  <c r="AM292" i="14"/>
  <c r="AO292" i="14" s="1"/>
  <c r="AM288" i="26"/>
  <c r="AN288" i="26" s="1"/>
  <c r="AM284" i="26"/>
  <c r="AN284" i="26" s="1"/>
  <c r="L284" i="26"/>
  <c r="M284" i="26" s="1"/>
  <c r="AM280" i="26"/>
  <c r="AN280" i="26" s="1"/>
  <c r="L280" i="26"/>
  <c r="M280" i="26" s="1"/>
  <c r="L59" i="26"/>
  <c r="M59" i="26" s="1"/>
  <c r="AM209" i="27"/>
  <c r="AO209" i="27" s="1"/>
  <c r="L58" i="26"/>
  <c r="M58" i="26" s="1"/>
  <c r="AM194" i="27"/>
  <c r="AO194" i="27" s="1"/>
  <c r="AM316" i="26"/>
  <c r="AN316" i="26" s="1"/>
  <c r="AM269" i="26"/>
  <c r="AN269" i="26" s="1"/>
  <c r="L269" i="26"/>
  <c r="M269" i="26" s="1"/>
  <c r="AM56" i="14"/>
  <c r="AO56" i="14" s="1"/>
  <c r="AM315" i="14"/>
  <c r="AO315" i="14" s="1"/>
  <c r="AT224" i="26"/>
  <c r="AV224" i="26" s="1"/>
  <c r="AT202" i="26"/>
  <c r="AV202" i="26" s="1"/>
  <c r="AM313" i="14"/>
  <c r="AO313" i="14" s="1"/>
  <c r="AM312" i="26"/>
  <c r="AN312" i="26" s="1"/>
  <c r="AM311" i="14"/>
  <c r="AO311" i="14" s="1"/>
  <c r="AM309" i="14"/>
  <c r="AO309" i="14" s="1"/>
  <c r="AT162" i="26"/>
  <c r="AV162" i="26" s="1"/>
  <c r="AN333" i="29"/>
  <c r="AP333" i="29" s="1"/>
  <c r="Y21" i="3"/>
  <c r="U21" i="3"/>
  <c r="P21" i="3"/>
  <c r="O21" i="3"/>
  <c r="N21" i="3"/>
  <c r="J21" i="3"/>
  <c r="I21" i="3"/>
  <c r="H21" i="3"/>
  <c r="Y20" i="3"/>
  <c r="U20" i="3"/>
  <c r="P20" i="3"/>
  <c r="O20" i="3"/>
  <c r="N20" i="3"/>
  <c r="J20" i="3"/>
  <c r="I20" i="3"/>
  <c r="H20" i="3"/>
  <c r="Y19" i="3"/>
  <c r="V19" i="3"/>
  <c r="U19" i="3"/>
  <c r="P19" i="3"/>
  <c r="O19" i="3"/>
  <c r="N19" i="3"/>
  <c r="J19" i="3"/>
  <c r="I19" i="3"/>
  <c r="H19" i="3"/>
  <c r="Y18" i="3"/>
  <c r="V18" i="3"/>
  <c r="W18" i="3" s="1"/>
  <c r="X18" i="3" s="1"/>
  <c r="Z18" i="3" s="1"/>
  <c r="U18" i="3"/>
  <c r="P18" i="3"/>
  <c r="O18" i="3"/>
  <c r="N18" i="3"/>
  <c r="J18" i="3"/>
  <c r="I18" i="3"/>
  <c r="H18" i="3"/>
  <c r="Y17" i="3"/>
  <c r="V17" i="3"/>
  <c r="U17" i="3"/>
  <c r="P17" i="3"/>
  <c r="O17" i="3"/>
  <c r="N17" i="3"/>
  <c r="J17" i="3"/>
  <c r="I17" i="3"/>
  <c r="H17" i="3"/>
  <c r="Y16" i="3"/>
  <c r="V16" i="3"/>
  <c r="U16" i="3"/>
  <c r="P16" i="3"/>
  <c r="O16" i="3"/>
  <c r="N16" i="3"/>
  <c r="J16" i="3"/>
  <c r="I16" i="3"/>
  <c r="H16" i="3"/>
  <c r="Y15" i="3"/>
  <c r="V15" i="3"/>
  <c r="U15" i="3"/>
  <c r="P15" i="3"/>
  <c r="O15" i="3"/>
  <c r="N15" i="3"/>
  <c r="J15" i="3"/>
  <c r="I15" i="3"/>
  <c r="H15" i="3"/>
  <c r="Y14" i="3"/>
  <c r="V14" i="3"/>
  <c r="W14" i="3" s="1"/>
  <c r="X14" i="3" s="1"/>
  <c r="Z14" i="3" s="1"/>
  <c r="U14" i="3"/>
  <c r="P14" i="3"/>
  <c r="O14" i="3"/>
  <c r="N14" i="3"/>
  <c r="J14" i="3"/>
  <c r="I14" i="3"/>
  <c r="H14" i="3"/>
  <c r="Y13" i="3"/>
  <c r="V13" i="3"/>
  <c r="U13" i="3"/>
  <c r="P13" i="3"/>
  <c r="O13" i="3"/>
  <c r="N13" i="3"/>
  <c r="J13" i="3"/>
  <c r="I13" i="3"/>
  <c r="H13" i="3"/>
  <c r="Y12" i="3"/>
  <c r="V12" i="3"/>
  <c r="U12" i="3"/>
  <c r="P12" i="3"/>
  <c r="O12" i="3"/>
  <c r="N12" i="3"/>
  <c r="J12" i="3"/>
  <c r="I12" i="3"/>
  <c r="H12" i="3"/>
  <c r="Y11" i="3"/>
  <c r="V11" i="3"/>
  <c r="U11" i="3"/>
  <c r="P11" i="3"/>
  <c r="O11" i="3"/>
  <c r="N11" i="3"/>
  <c r="J11" i="3"/>
  <c r="I11" i="3"/>
  <c r="H11" i="3"/>
  <c r="Y10" i="3"/>
  <c r="V10" i="3"/>
  <c r="W10" i="3" s="1"/>
  <c r="X10" i="3" s="1"/>
  <c r="Z10" i="3" s="1"/>
  <c r="U10" i="3"/>
  <c r="P10" i="3"/>
  <c r="O10" i="3"/>
  <c r="N10" i="3"/>
  <c r="J10" i="3"/>
  <c r="I10" i="3"/>
  <c r="H10" i="3"/>
  <c r="Y9" i="3"/>
  <c r="V9" i="3"/>
  <c r="U9" i="3"/>
  <c r="P9" i="3"/>
  <c r="O9" i="3"/>
  <c r="N9" i="3"/>
  <c r="J9" i="3"/>
  <c r="I9" i="3"/>
  <c r="H9" i="3"/>
  <c r="Y8" i="3"/>
  <c r="V8" i="3"/>
  <c r="U8" i="3"/>
  <c r="P8" i="3"/>
  <c r="O8" i="3"/>
  <c r="N8" i="3"/>
  <c r="J8" i="3"/>
  <c r="I8" i="3"/>
  <c r="H8" i="3"/>
  <c r="Y7" i="3"/>
  <c r="V7" i="3"/>
  <c r="W7" i="3" s="1"/>
  <c r="X7" i="3" s="1"/>
  <c r="Z7" i="3" s="1"/>
  <c r="U7" i="3"/>
  <c r="P7" i="3"/>
  <c r="O7" i="3"/>
  <c r="N7" i="3"/>
  <c r="J7" i="3"/>
  <c r="I7" i="3"/>
  <c r="H7" i="3"/>
  <c r="Y6" i="3"/>
  <c r="V6" i="3"/>
  <c r="W6" i="3" s="1"/>
  <c r="X6" i="3" s="1"/>
  <c r="Z6" i="3" s="1"/>
  <c r="U6" i="3"/>
  <c r="P6" i="3"/>
  <c r="O6" i="3"/>
  <c r="N6" i="3"/>
  <c r="J6" i="3"/>
  <c r="I6" i="3"/>
  <c r="H6" i="3"/>
  <c r="Y5" i="3"/>
  <c r="V5" i="3"/>
  <c r="U5" i="3"/>
  <c r="P5" i="3"/>
  <c r="O5" i="3"/>
  <c r="N5" i="3"/>
  <c r="J5" i="3"/>
  <c r="I5" i="3"/>
  <c r="H5" i="3"/>
  <c r="Y4" i="3"/>
  <c r="V4" i="3"/>
  <c r="U4" i="3"/>
  <c r="P4" i="3"/>
  <c r="O4" i="3"/>
  <c r="N4" i="3"/>
  <c r="J4" i="3"/>
  <c r="I4" i="3"/>
  <c r="H4" i="3"/>
  <c r="Y3" i="3"/>
  <c r="V3" i="3"/>
  <c r="U3" i="3"/>
  <c r="P3" i="3"/>
  <c r="O3" i="3"/>
  <c r="N3" i="3"/>
  <c r="J3" i="3"/>
  <c r="I3" i="3"/>
  <c r="H3" i="3"/>
  <c r="G1" i="3"/>
  <c r="V7" i="1"/>
  <c r="V6" i="1"/>
  <c r="P6" i="1"/>
  <c r="O6" i="1"/>
  <c r="N6" i="1"/>
  <c r="P5" i="1"/>
  <c r="O5" i="1"/>
  <c r="N5" i="1"/>
  <c r="V4" i="1"/>
  <c r="P4" i="1"/>
  <c r="O4" i="1"/>
  <c r="N4" i="1"/>
  <c r="V3" i="1"/>
  <c r="P3" i="1"/>
  <c r="O3" i="1"/>
  <c r="N3" i="1"/>
  <c r="G1" i="1"/>
  <c r="C1" i="1"/>
  <c r="H5" i="1" s="1"/>
  <c r="H6" i="13"/>
  <c r="G6" i="13"/>
  <c r="F6" i="13"/>
  <c r="E6" i="13"/>
  <c r="H5" i="13"/>
  <c r="G5" i="13"/>
  <c r="F5" i="13"/>
  <c r="E5" i="13"/>
  <c r="H4" i="13"/>
  <c r="G4" i="13"/>
  <c r="F4" i="13"/>
  <c r="E4" i="13"/>
  <c r="H3" i="13"/>
  <c r="AD4" i="9" s="1"/>
  <c r="G3" i="13"/>
  <c r="F3" i="13"/>
  <c r="E3" i="13"/>
  <c r="C1" i="13"/>
  <c r="O6" i="12"/>
  <c r="N6" i="12"/>
  <c r="M6" i="12"/>
  <c r="L6" i="12"/>
  <c r="I6" i="12"/>
  <c r="H6" i="12"/>
  <c r="G6" i="12"/>
  <c r="F6" i="12"/>
  <c r="O5" i="12"/>
  <c r="N5" i="12"/>
  <c r="M5" i="12"/>
  <c r="L5" i="12"/>
  <c r="I5" i="12"/>
  <c r="H5" i="12"/>
  <c r="G5" i="12"/>
  <c r="F5" i="12"/>
  <c r="O4" i="12"/>
  <c r="N4" i="12"/>
  <c r="M4" i="12"/>
  <c r="L4" i="12"/>
  <c r="I4" i="12"/>
  <c r="H4" i="12"/>
  <c r="G4" i="12"/>
  <c r="F4" i="12"/>
  <c r="O3" i="12"/>
  <c r="Z4" i="9" s="1"/>
  <c r="N3" i="12"/>
  <c r="M3" i="12"/>
  <c r="L3" i="12"/>
  <c r="I3" i="12"/>
  <c r="H3" i="12"/>
  <c r="G3" i="12"/>
  <c r="F3" i="12"/>
  <c r="C1" i="12"/>
  <c r="W6" i="5"/>
  <c r="V6" i="5"/>
  <c r="U6" i="5"/>
  <c r="T6" i="5"/>
  <c r="L6" i="5"/>
  <c r="K6" i="5"/>
  <c r="J6" i="5"/>
  <c r="I6" i="5"/>
  <c r="X6" i="5" s="1"/>
  <c r="W5" i="5"/>
  <c r="V5" i="5"/>
  <c r="U5" i="5"/>
  <c r="T5" i="5"/>
  <c r="L5" i="5"/>
  <c r="K5" i="5"/>
  <c r="J5" i="5"/>
  <c r="I5" i="5"/>
  <c r="X5" i="5" s="1"/>
  <c r="W4" i="5"/>
  <c r="V4" i="5"/>
  <c r="U4" i="5"/>
  <c r="T4" i="5"/>
  <c r="L4" i="5"/>
  <c r="K4" i="5"/>
  <c r="J4" i="5"/>
  <c r="I4" i="5"/>
  <c r="X4" i="5" s="1"/>
  <c r="W3" i="5"/>
  <c r="V3" i="5"/>
  <c r="U3" i="5"/>
  <c r="T3" i="5"/>
  <c r="L3" i="5"/>
  <c r="K3" i="5"/>
  <c r="J3" i="5"/>
  <c r="I3" i="5"/>
  <c r="X3" i="5" s="1"/>
  <c r="C1" i="5"/>
  <c r="H6" i="11"/>
  <c r="G6" i="11"/>
  <c r="F6" i="11"/>
  <c r="E6" i="11"/>
  <c r="H5" i="11"/>
  <c r="G5" i="11"/>
  <c r="F5" i="11"/>
  <c r="E5" i="11"/>
  <c r="H4" i="11"/>
  <c r="G4" i="11"/>
  <c r="F4" i="11"/>
  <c r="E4" i="11"/>
  <c r="H3" i="11"/>
  <c r="G3" i="11"/>
  <c r="F3" i="11"/>
  <c r="E3" i="11"/>
  <c r="C1" i="11"/>
  <c r="C8" i="10"/>
  <c r="E8" i="10" s="1"/>
  <c r="G7" i="10"/>
  <c r="I7" i="10" s="1"/>
  <c r="J7" i="10" s="1"/>
  <c r="F7" i="10"/>
  <c r="E7" i="10"/>
  <c r="D7" i="10"/>
  <c r="I6" i="10"/>
  <c r="V21" i="3" s="1"/>
  <c r="G6" i="10"/>
  <c r="F6" i="10"/>
  <c r="E6" i="10"/>
  <c r="D6" i="10"/>
  <c r="G5" i="10"/>
  <c r="I5" i="10" s="1"/>
  <c r="F5" i="10"/>
  <c r="E5" i="10"/>
  <c r="D5" i="10"/>
  <c r="G4" i="10"/>
  <c r="I4" i="10" s="1"/>
  <c r="J4" i="10" s="1"/>
  <c r="F4" i="10"/>
  <c r="E4" i="10"/>
  <c r="D4" i="10"/>
  <c r="G3" i="10"/>
  <c r="I3" i="10" s="1"/>
  <c r="J3" i="10" s="1"/>
  <c r="F3" i="10"/>
  <c r="E3" i="10"/>
  <c r="D3" i="10"/>
  <c r="C1" i="10"/>
  <c r="AD155" i="14" l="1"/>
  <c r="H67" i="14"/>
  <c r="Q72" i="14"/>
  <c r="X50" i="14"/>
  <c r="S162" i="14"/>
  <c r="Q306" i="14"/>
  <c r="AE93" i="14"/>
  <c r="H147" i="14"/>
  <c r="AC147" i="14"/>
  <c r="S219" i="14"/>
  <c r="W220" i="14"/>
  <c r="Q88" i="14"/>
  <c r="W136" i="14"/>
  <c r="Q146" i="14"/>
  <c r="AD147" i="14"/>
  <c r="I190" i="14"/>
  <c r="AD217" i="14"/>
  <c r="AD259" i="14"/>
  <c r="G260" i="14"/>
  <c r="W50" i="14"/>
  <c r="S88" i="14"/>
  <c r="AE129" i="14"/>
  <c r="Y133" i="14"/>
  <c r="S146" i="14"/>
  <c r="AC155" i="14"/>
  <c r="AC174" i="14"/>
  <c r="W213" i="14"/>
  <c r="S244" i="14"/>
  <c r="H257" i="14"/>
  <c r="Q258" i="14"/>
  <c r="AE258" i="14"/>
  <c r="H260" i="14"/>
  <c r="AC262" i="14"/>
  <c r="I322" i="14"/>
  <c r="AE174" i="14"/>
  <c r="Y213" i="14"/>
  <c r="S258" i="14"/>
  <c r="AE262" i="14"/>
  <c r="S10" i="14"/>
  <c r="H45" i="14"/>
  <c r="AE47" i="14"/>
  <c r="G66" i="14"/>
  <c r="S72" i="14"/>
  <c r="G78" i="14"/>
  <c r="AE112" i="14"/>
  <c r="AD113" i="14"/>
  <c r="Q115" i="14"/>
  <c r="AE128" i="14"/>
  <c r="X149" i="14"/>
  <c r="G158" i="14"/>
  <c r="Q168" i="14"/>
  <c r="W178" i="14"/>
  <c r="H186" i="14"/>
  <c r="AC190" i="14"/>
  <c r="AC198" i="14"/>
  <c r="H213" i="14"/>
  <c r="Q215" i="14"/>
  <c r="I318" i="14"/>
  <c r="AE324" i="14"/>
  <c r="AE327" i="14"/>
  <c r="R34" i="14"/>
  <c r="X83" i="14"/>
  <c r="R92" i="14"/>
  <c r="AC111" i="14"/>
  <c r="S113" i="14"/>
  <c r="AE113" i="14"/>
  <c r="AE125" i="14"/>
  <c r="G147" i="14"/>
  <c r="X156" i="14"/>
  <c r="H158" i="14"/>
  <c r="G166" i="14"/>
  <c r="G176" i="14"/>
  <c r="W182" i="14"/>
  <c r="G190" i="14"/>
  <c r="S190" i="14"/>
  <c r="AC194" i="14"/>
  <c r="X209" i="14"/>
  <c r="AD194" i="14"/>
  <c r="Q289" i="14"/>
  <c r="H322" i="14"/>
  <c r="Y324" i="14"/>
  <c r="Y327" i="14"/>
  <c r="X75" i="14"/>
  <c r="AC76" i="14"/>
  <c r="S78" i="14"/>
  <c r="X79" i="14"/>
  <c r="AE80" i="14"/>
  <c r="G92" i="14"/>
  <c r="X99" i="14"/>
  <c r="Q107" i="14"/>
  <c r="X108" i="14"/>
  <c r="W112" i="14"/>
  <c r="AC120" i="14"/>
  <c r="H124" i="14"/>
  <c r="G131" i="14"/>
  <c r="S134" i="14"/>
  <c r="S149" i="14"/>
  <c r="X151" i="14"/>
  <c r="H156" i="14"/>
  <c r="Q164" i="14"/>
  <c r="AD172" i="14"/>
  <c r="AD177" i="14"/>
  <c r="AD186" i="14"/>
  <c r="W194" i="14"/>
  <c r="AC200" i="14"/>
  <c r="G201" i="14"/>
  <c r="AC201" i="14"/>
  <c r="Y207" i="14"/>
  <c r="AD208" i="14"/>
  <c r="AD209" i="14"/>
  <c r="S213" i="14"/>
  <c r="AD227" i="14"/>
  <c r="Q240" i="14"/>
  <c r="S291" i="14"/>
  <c r="R299" i="14"/>
  <c r="H321" i="14"/>
  <c r="X335" i="14"/>
  <c r="AD336" i="14"/>
  <c r="X10" i="14"/>
  <c r="S16" i="14"/>
  <c r="I34" i="14"/>
  <c r="G41" i="14"/>
  <c r="I30" i="14"/>
  <c r="H41" i="14"/>
  <c r="H49" i="14"/>
  <c r="AC49" i="14"/>
  <c r="H59" i="14"/>
  <c r="I60" i="14"/>
  <c r="H63" i="14"/>
  <c r="I64" i="14"/>
  <c r="AC64" i="14"/>
  <c r="W84" i="14"/>
  <c r="I97" i="14"/>
  <c r="X101" i="14"/>
  <c r="S110" i="14"/>
  <c r="AC115" i="14"/>
  <c r="AD116" i="14"/>
  <c r="Q123" i="14"/>
  <c r="Q127" i="14"/>
  <c r="Y128" i="14"/>
  <c r="H131" i="14"/>
  <c r="H132" i="14"/>
  <c r="AC135" i="14"/>
  <c r="AD136" i="14"/>
  <c r="H141" i="14"/>
  <c r="G152" i="14"/>
  <c r="H153" i="14"/>
  <c r="AE153" i="14"/>
  <c r="X155" i="14"/>
  <c r="R158" i="14"/>
  <c r="H160" i="14"/>
  <c r="X165" i="14"/>
  <c r="G168" i="14"/>
  <c r="H169" i="14"/>
  <c r="AE172" i="14"/>
  <c r="H173" i="14"/>
  <c r="X173" i="14"/>
  <c r="AC182" i="14"/>
  <c r="Q186" i="14"/>
  <c r="Y189" i="14"/>
  <c r="X194" i="14"/>
  <c r="AD201" i="14"/>
  <c r="Y204" i="14"/>
  <c r="G216" i="14"/>
  <c r="AC219" i="14"/>
  <c r="AC226" i="14"/>
  <c r="Q295" i="14"/>
  <c r="S312" i="14"/>
  <c r="Q315" i="14"/>
  <c r="X317" i="14"/>
  <c r="W324" i="14"/>
  <c r="AC324" i="14"/>
  <c r="W327" i="14"/>
  <c r="AC327" i="14"/>
  <c r="H331" i="14"/>
  <c r="Q333" i="14"/>
  <c r="AE336" i="14"/>
  <c r="Y16" i="14"/>
  <c r="Y84" i="14"/>
  <c r="Y101" i="14"/>
  <c r="I141" i="14"/>
  <c r="S320" i="14"/>
  <c r="S322" i="14"/>
  <c r="G324" i="14"/>
  <c r="R332" i="14"/>
  <c r="R335" i="14"/>
  <c r="H52" i="14"/>
  <c r="G52" i="14"/>
  <c r="R60" i="14"/>
  <c r="S60" i="14"/>
  <c r="R66" i="14"/>
  <c r="Q66" i="14"/>
  <c r="X72" i="14"/>
  <c r="Y72" i="14"/>
  <c r="W72" i="14"/>
  <c r="W87" i="14"/>
  <c r="X87" i="14"/>
  <c r="X121" i="14"/>
  <c r="Y121" i="14"/>
  <c r="R125" i="14"/>
  <c r="S125" i="14"/>
  <c r="S135" i="14"/>
  <c r="Q135" i="14"/>
  <c r="I140" i="14"/>
  <c r="G140" i="14"/>
  <c r="AE143" i="14"/>
  <c r="AD143" i="14"/>
  <c r="AC156" i="14"/>
  <c r="AE156" i="14"/>
  <c r="X162" i="14"/>
  <c r="Y162" i="14"/>
  <c r="W162" i="14"/>
  <c r="Y176" i="14"/>
  <c r="X176" i="14"/>
  <c r="W176" i="14"/>
  <c r="AD204" i="14"/>
  <c r="AE204" i="14"/>
  <c r="Y219" i="14"/>
  <c r="W219" i="14"/>
  <c r="S287" i="14"/>
  <c r="Q287" i="14"/>
  <c r="G6" i="14"/>
  <c r="W8" i="14"/>
  <c r="Q9" i="14"/>
  <c r="Q10" i="14"/>
  <c r="Y10" i="14"/>
  <c r="AC13" i="14"/>
  <c r="Q16" i="14"/>
  <c r="AE16" i="14"/>
  <c r="G22" i="14"/>
  <c r="AC22" i="14"/>
  <c r="Q42" i="14"/>
  <c r="AD50" i="14"/>
  <c r="I52" i="14"/>
  <c r="X59" i="14"/>
  <c r="Q60" i="14"/>
  <c r="S66" i="14"/>
  <c r="W67" i="14"/>
  <c r="X67" i="14"/>
  <c r="AC71" i="14"/>
  <c r="AD71" i="14"/>
  <c r="H76" i="14"/>
  <c r="I76" i="14"/>
  <c r="G76" i="14"/>
  <c r="G83" i="14"/>
  <c r="H83" i="14"/>
  <c r="W97" i="14"/>
  <c r="X97" i="14"/>
  <c r="S111" i="14"/>
  <c r="Q111" i="14"/>
  <c r="I143" i="14"/>
  <c r="G143" i="14"/>
  <c r="AD196" i="14"/>
  <c r="AC196" i="14"/>
  <c r="R204" i="14"/>
  <c r="S204" i="14"/>
  <c r="W217" i="14"/>
  <c r="X217" i="14"/>
  <c r="AD260" i="14"/>
  <c r="AE260" i="14"/>
  <c r="H6" i="14"/>
  <c r="Q8" i="14"/>
  <c r="Y8" i="14"/>
  <c r="H22" i="14"/>
  <c r="AD22" i="14"/>
  <c r="Y24" i="14"/>
  <c r="AC59" i="14"/>
  <c r="AD59" i="14"/>
  <c r="G75" i="14"/>
  <c r="H75" i="14"/>
  <c r="W104" i="14"/>
  <c r="X104" i="14"/>
  <c r="R117" i="14"/>
  <c r="S117" i="14"/>
  <c r="Y124" i="14"/>
  <c r="W124" i="14"/>
  <c r="S139" i="14"/>
  <c r="Q139" i="14"/>
  <c r="R160" i="14"/>
  <c r="S160" i="14"/>
  <c r="Q160" i="14"/>
  <c r="I164" i="14"/>
  <c r="H164" i="14"/>
  <c r="S202" i="14"/>
  <c r="Q202" i="14"/>
  <c r="AD213" i="14"/>
  <c r="AE213" i="14"/>
  <c r="AD224" i="14"/>
  <c r="AE224" i="14"/>
  <c r="AC224" i="14"/>
  <c r="S8" i="14"/>
  <c r="AE10" i="14"/>
  <c r="W16" i="14"/>
  <c r="W24" i="14"/>
  <c r="AE28" i="14"/>
  <c r="H30" i="14"/>
  <c r="H34" i="14"/>
  <c r="G42" i="14"/>
  <c r="G45" i="14"/>
  <c r="S52" i="14"/>
  <c r="I54" i="14"/>
  <c r="Y62" i="14"/>
  <c r="X62" i="14"/>
  <c r="X68" i="14"/>
  <c r="Y68" i="14"/>
  <c r="W68" i="14"/>
  <c r="AE96" i="14"/>
  <c r="AD96" i="14"/>
  <c r="AC96" i="14"/>
  <c r="Y103" i="14"/>
  <c r="W103" i="14"/>
  <c r="AE107" i="14"/>
  <c r="AC107" i="14"/>
  <c r="AE140" i="14"/>
  <c r="AC140" i="14"/>
  <c r="W193" i="14"/>
  <c r="X193" i="14"/>
  <c r="R196" i="14"/>
  <c r="Y196" i="14"/>
  <c r="Q196" i="14"/>
  <c r="AE205" i="14"/>
  <c r="AD205" i="14"/>
  <c r="G224" i="14"/>
  <c r="H224" i="14"/>
  <c r="S260" i="14"/>
  <c r="R260" i="14"/>
  <c r="H66" i="14"/>
  <c r="H78" i="14"/>
  <c r="Y108" i="14"/>
  <c r="AD111" i="14"/>
  <c r="Y112" i="14"/>
  <c r="I132" i="14"/>
  <c r="AD135" i="14"/>
  <c r="X136" i="14"/>
  <c r="H152" i="14"/>
  <c r="Y178" i="14"/>
  <c r="X182" i="14"/>
  <c r="AD182" i="14"/>
  <c r="AI233" i="14"/>
  <c r="AI235" i="14"/>
  <c r="AI242" i="14"/>
  <c r="AK242" i="14" s="1"/>
  <c r="AL242" i="14" s="1"/>
  <c r="Q298" i="14"/>
  <c r="AI301" i="14"/>
  <c r="Q314" i="14"/>
  <c r="Q318" i="14"/>
  <c r="R336" i="14"/>
  <c r="AI356" i="14"/>
  <c r="AI297" i="14"/>
  <c r="G318" i="14"/>
  <c r="W320" i="14"/>
  <c r="S329" i="14"/>
  <c r="R355" i="14"/>
  <c r="Q78" i="14"/>
  <c r="I93" i="14"/>
  <c r="S122" i="14"/>
  <c r="AC124" i="14"/>
  <c r="AD127" i="14"/>
  <c r="AC136" i="14"/>
  <c r="S142" i="14"/>
  <c r="W256" i="14"/>
  <c r="Y260" i="14"/>
  <c r="AC330" i="14"/>
  <c r="G331" i="14"/>
  <c r="S333" i="14"/>
  <c r="I336" i="14"/>
  <c r="R349" i="14"/>
  <c r="Q5" i="14"/>
  <c r="AD9" i="14"/>
  <c r="AD10" i="14"/>
  <c r="AE14" i="14"/>
  <c r="S18" i="14"/>
  <c r="AD18" i="14"/>
  <c r="X20" i="14"/>
  <c r="Q21" i="14"/>
  <c r="S24" i="14"/>
  <c r="I26" i="14"/>
  <c r="AC28" i="14"/>
  <c r="X31" i="14"/>
  <c r="G33" i="14"/>
  <c r="Q34" i="14"/>
  <c r="S36" i="14"/>
  <c r="AE36" i="14"/>
  <c r="AD37" i="14"/>
  <c r="I42" i="14"/>
  <c r="AE44" i="14"/>
  <c r="H46" i="14"/>
  <c r="R46" i="14"/>
  <c r="G49" i="14"/>
  <c r="AC50" i="14"/>
  <c r="Q52" i="14"/>
  <c r="H54" i="14"/>
  <c r="S54" i="14"/>
  <c r="W63" i="14"/>
  <c r="X63" i="14"/>
  <c r="H80" i="14"/>
  <c r="I80" i="14"/>
  <c r="G80" i="14"/>
  <c r="X98" i="14"/>
  <c r="Y98" i="14"/>
  <c r="H33" i="14"/>
  <c r="I46" i="14"/>
  <c r="R58" i="14"/>
  <c r="S58" i="14"/>
  <c r="Q58" i="14"/>
  <c r="X66" i="14"/>
  <c r="W66" i="14"/>
  <c r="Y66" i="14"/>
  <c r="H70" i="14"/>
  <c r="G70" i="14"/>
  <c r="I70" i="14"/>
  <c r="AD84" i="14"/>
  <c r="AE84" i="14"/>
  <c r="AC84" i="14"/>
  <c r="G26" i="14"/>
  <c r="Q56" i="14"/>
  <c r="AE62" i="14"/>
  <c r="AD62" i="14"/>
  <c r="AC62" i="14"/>
  <c r="AD66" i="14"/>
  <c r="AC66" i="14"/>
  <c r="AE66" i="14"/>
  <c r="R70" i="14"/>
  <c r="S70" i="14"/>
  <c r="Q70" i="14"/>
  <c r="AC87" i="14"/>
  <c r="AD87" i="14"/>
  <c r="S4" i="14"/>
  <c r="Q12" i="14"/>
  <c r="Q13" i="14"/>
  <c r="AD14" i="14"/>
  <c r="AE15" i="14"/>
  <c r="AC18" i="14"/>
  <c r="Q24" i="14"/>
  <c r="AD26" i="14"/>
  <c r="Q36" i="14"/>
  <c r="AC36" i="14"/>
  <c r="AC37" i="14"/>
  <c r="R42" i="14"/>
  <c r="AC44" i="14"/>
  <c r="Q46" i="14"/>
  <c r="Y48" i="14"/>
  <c r="Q49" i="14"/>
  <c r="AD49" i="14"/>
  <c r="Q54" i="14"/>
  <c r="H56" i="14"/>
  <c r="I56" i="14"/>
  <c r="S56" i="14"/>
  <c r="H58" i="14"/>
  <c r="G58" i="14"/>
  <c r="AD68" i="14"/>
  <c r="AE68" i="14"/>
  <c r="AC68" i="14"/>
  <c r="I91" i="14"/>
  <c r="G91" i="14"/>
  <c r="G60" i="14"/>
  <c r="G64" i="14"/>
  <c r="Y100" i="14"/>
  <c r="AE100" i="14"/>
  <c r="I112" i="14"/>
  <c r="X128" i="14"/>
  <c r="AD128" i="14"/>
  <c r="AD140" i="14"/>
  <c r="Q142" i="14"/>
  <c r="H143" i="14"/>
  <c r="AC143" i="14"/>
  <c r="Y148" i="14"/>
  <c r="AE148" i="14"/>
  <c r="W151" i="14"/>
  <c r="S153" i="14"/>
  <c r="AD153" i="14"/>
  <c r="W155" i="14"/>
  <c r="AD156" i="14"/>
  <c r="G160" i="14"/>
  <c r="Y160" i="14"/>
  <c r="AE160" i="14"/>
  <c r="Q162" i="14"/>
  <c r="G164" i="14"/>
  <c r="H165" i="14"/>
  <c r="X169" i="14"/>
  <c r="X172" i="14"/>
  <c r="X174" i="14"/>
  <c r="Y174" i="14"/>
  <c r="I176" i="14"/>
  <c r="G180" i="14"/>
  <c r="AD180" i="14"/>
  <c r="AD181" i="14"/>
  <c r="I182" i="14"/>
  <c r="G182" i="14"/>
  <c r="G186" i="14"/>
  <c r="S186" i="14"/>
  <c r="I188" i="14"/>
  <c r="G188" i="14"/>
  <c r="X190" i="14"/>
  <c r="Y190" i="14"/>
  <c r="AE190" i="14"/>
  <c r="I197" i="14"/>
  <c r="G197" i="14"/>
  <c r="X198" i="14"/>
  <c r="W198" i="14"/>
  <c r="Q203" i="14"/>
  <c r="R203" i="14"/>
  <c r="S212" i="14"/>
  <c r="Q212" i="14"/>
  <c r="Y223" i="14"/>
  <c r="X223" i="14"/>
  <c r="AE256" i="14"/>
  <c r="AD256" i="14"/>
  <c r="AC256" i="14"/>
  <c r="AC257" i="14"/>
  <c r="AE257" i="14"/>
  <c r="AD257" i="14"/>
  <c r="Y259" i="14"/>
  <c r="X259" i="14"/>
  <c r="W259" i="14"/>
  <c r="R266" i="14"/>
  <c r="S266" i="14"/>
  <c r="Q266" i="14"/>
  <c r="AI266" i="14" s="1"/>
  <c r="S180" i="14"/>
  <c r="Q180" i="14"/>
  <c r="I205" i="14"/>
  <c r="H205" i="14"/>
  <c r="Q257" i="14"/>
  <c r="R257" i="14"/>
  <c r="R265" i="14"/>
  <c r="Q265" i="14"/>
  <c r="AI265" i="14" s="1"/>
  <c r="I317" i="14"/>
  <c r="H317" i="14"/>
  <c r="AE64" i="14"/>
  <c r="AE76" i="14"/>
  <c r="H92" i="14"/>
  <c r="Y97" i="14"/>
  <c r="G100" i="14"/>
  <c r="W100" i="14"/>
  <c r="AC100" i="14"/>
  <c r="Y104" i="14"/>
  <c r="G111" i="14"/>
  <c r="G112" i="14"/>
  <c r="Q114" i="14"/>
  <c r="G115" i="14"/>
  <c r="W115" i="14"/>
  <c r="AE116" i="14"/>
  <c r="X117" i="14"/>
  <c r="W119" i="14"/>
  <c r="G120" i="14"/>
  <c r="W120" i="14"/>
  <c r="AE120" i="14"/>
  <c r="G123" i="14"/>
  <c r="I124" i="14"/>
  <c r="X124" i="14"/>
  <c r="AD124" i="14"/>
  <c r="I133" i="14"/>
  <c r="G135" i="14"/>
  <c r="X137" i="14"/>
  <c r="H140" i="14"/>
  <c r="AD141" i="14"/>
  <c r="H148" i="14"/>
  <c r="W148" i="14"/>
  <c r="AC148" i="14"/>
  <c r="Y149" i="14"/>
  <c r="I153" i="14"/>
  <c r="Q154" i="14"/>
  <c r="I156" i="14"/>
  <c r="Y156" i="14"/>
  <c r="W160" i="14"/>
  <c r="AC160" i="14"/>
  <c r="I166" i="14"/>
  <c r="H168" i="14"/>
  <c r="AC170" i="14"/>
  <c r="Q172" i="14"/>
  <c r="AC176" i="14"/>
  <c r="Q182" i="14"/>
  <c r="W184" i="14"/>
  <c r="W185" i="14"/>
  <c r="X185" i="14"/>
  <c r="Q188" i="14"/>
  <c r="AE189" i="14"/>
  <c r="AC189" i="14"/>
  <c r="AC193" i="14"/>
  <c r="AD193" i="14"/>
  <c r="R200" i="14"/>
  <c r="S200" i="14"/>
  <c r="Q200" i="14"/>
  <c r="I208" i="14"/>
  <c r="H208" i="14"/>
  <c r="I217" i="14"/>
  <c r="H217" i="14"/>
  <c r="G217" i="14"/>
  <c r="I259" i="14"/>
  <c r="H259" i="14"/>
  <c r="S300" i="14"/>
  <c r="Q300" i="14"/>
  <c r="AC80" i="14"/>
  <c r="X95" i="14"/>
  <c r="R97" i="14"/>
  <c r="I100" i="14"/>
  <c r="G107" i="14"/>
  <c r="W107" i="14"/>
  <c r="Q110" i="14"/>
  <c r="H111" i="14"/>
  <c r="AC112" i="14"/>
  <c r="S114" i="14"/>
  <c r="Y117" i="14"/>
  <c r="X119" i="14"/>
  <c r="H120" i="14"/>
  <c r="Y120" i="14"/>
  <c r="Q122" i="14"/>
  <c r="H123" i="14"/>
  <c r="AC127" i="14"/>
  <c r="Q131" i="14"/>
  <c r="Q134" i="14"/>
  <c r="H135" i="14"/>
  <c r="Y137" i="14"/>
  <c r="AE141" i="14"/>
  <c r="I148" i="14"/>
  <c r="X170" i="14"/>
  <c r="Y170" i="14"/>
  <c r="AE170" i="14"/>
  <c r="AD176" i="14"/>
  <c r="S182" i="14"/>
  <c r="AC184" i="14"/>
  <c r="AD184" i="14"/>
  <c r="R192" i="14"/>
  <c r="S192" i="14"/>
  <c r="AD192" i="14"/>
  <c r="AC192" i="14"/>
  <c r="H202" i="14"/>
  <c r="I202" i="14"/>
  <c r="G202" i="14"/>
  <c r="Q217" i="14"/>
  <c r="S217" i="14"/>
  <c r="R217" i="14"/>
  <c r="R222" i="14"/>
  <c r="S222" i="14"/>
  <c r="Q222" i="14"/>
  <c r="AI222" i="14" s="1"/>
  <c r="AJ222" i="14" s="1"/>
  <c r="X224" i="14"/>
  <c r="Y224" i="14"/>
  <c r="W224" i="14"/>
  <c r="I224" i="14"/>
  <c r="AI289" i="14"/>
  <c r="Q324" i="14"/>
  <c r="H327" i="14"/>
  <c r="AC329" i="14"/>
  <c r="X334" i="14"/>
  <c r="X336" i="14"/>
  <c r="Q341" i="14"/>
  <c r="AI344" i="14"/>
  <c r="G223" i="14"/>
  <c r="W226" i="14"/>
  <c r="AI252" i="14"/>
  <c r="W260" i="14"/>
  <c r="AC260" i="14"/>
  <c r="G262" i="14"/>
  <c r="S324" i="14"/>
  <c r="Y336" i="14"/>
  <c r="R341" i="14"/>
  <c r="AE196" i="14"/>
  <c r="AE198" i="14"/>
  <c r="H201" i="14"/>
  <c r="Q204" i="14"/>
  <c r="Q205" i="14"/>
  <c r="W207" i="14"/>
  <c r="Q208" i="14"/>
  <c r="W212" i="14"/>
  <c r="AC213" i="14"/>
  <c r="W216" i="14"/>
  <c r="G220" i="14"/>
  <c r="H221" i="14"/>
  <c r="AC223" i="14"/>
  <c r="S224" i="14"/>
  <c r="AC227" i="14"/>
  <c r="Q232" i="14"/>
  <c r="AI232" i="14" s="1"/>
  <c r="R233" i="14"/>
  <c r="Q244" i="14"/>
  <c r="Q251" i="14"/>
  <c r="X256" i="14"/>
  <c r="I257" i="14"/>
  <c r="Q260" i="14"/>
  <c r="I262" i="14"/>
  <c r="AI287" i="14"/>
  <c r="Q291" i="14"/>
  <c r="AI291" i="14" s="1"/>
  <c r="S294" i="14"/>
  <c r="S295" i="14"/>
  <c r="S298" i="14"/>
  <c r="AI299" i="14"/>
  <c r="AK299" i="14" s="1"/>
  <c r="AL299" i="14" s="1"/>
  <c r="R306" i="14"/>
  <c r="Q312" i="14"/>
  <c r="AI312" i="14" s="1"/>
  <c r="AK312" i="14" s="1"/>
  <c r="AL312" i="14" s="1"/>
  <c r="S314" i="14"/>
  <c r="S315" i="14"/>
  <c r="S318" i="14"/>
  <c r="Q320" i="14"/>
  <c r="Y320" i="14"/>
  <c r="X321" i="14"/>
  <c r="H324" i="14"/>
  <c r="H325" i="14"/>
  <c r="AD325" i="14"/>
  <c r="R331" i="14"/>
  <c r="Q335" i="14"/>
  <c r="H336" i="14"/>
  <c r="S336" i="14"/>
  <c r="I338" i="14"/>
  <c r="AI340" i="14"/>
  <c r="Q349" i="14"/>
  <c r="R356" i="14"/>
  <c r="Y17" i="31"/>
  <c r="H3" i="31"/>
  <c r="Y7" i="31"/>
  <c r="Y15" i="31"/>
  <c r="X11" i="31"/>
  <c r="S7" i="31"/>
  <c r="AE25" i="31"/>
  <c r="Q5" i="31"/>
  <c r="AC7" i="31"/>
  <c r="AE9" i="31"/>
  <c r="X15" i="31"/>
  <c r="AC15" i="31"/>
  <c r="X19" i="31"/>
  <c r="W21" i="31"/>
  <c r="X23" i="31"/>
  <c r="W7" i="31"/>
  <c r="AE7" i="31"/>
  <c r="AE17" i="31"/>
  <c r="Y25" i="31"/>
  <c r="I3" i="31"/>
  <c r="I5" i="31"/>
  <c r="AC5" i="31"/>
  <c r="W9" i="31"/>
  <c r="Q11" i="31"/>
  <c r="AI11" i="31" s="1"/>
  <c r="AD11" i="31"/>
  <c r="G13" i="31"/>
  <c r="S13" i="31"/>
  <c r="AD15" i="31"/>
  <c r="G23" i="31"/>
  <c r="AC23" i="31"/>
  <c r="W25" i="31"/>
  <c r="W19" i="31"/>
  <c r="I9" i="31"/>
  <c r="Q9" i="31"/>
  <c r="Y9" i="31"/>
  <c r="W15" i="31"/>
  <c r="AD16" i="31"/>
  <c r="AC17" i="31"/>
  <c r="S19" i="31"/>
  <c r="H23" i="31"/>
  <c r="AD23" i="31"/>
  <c r="I25" i="31"/>
  <c r="Q25" i="31"/>
  <c r="X26" i="31"/>
  <c r="Y5" i="31"/>
  <c r="H7" i="31"/>
  <c r="Q7" i="31"/>
  <c r="S9" i="31"/>
  <c r="W13" i="31"/>
  <c r="X14" i="31"/>
  <c r="H15" i="31"/>
  <c r="Q15" i="31"/>
  <c r="AI15" i="31" s="1"/>
  <c r="Y19" i="31"/>
  <c r="S21" i="31"/>
  <c r="Y23" i="31"/>
  <c r="S25" i="31"/>
  <c r="Z12" i="32"/>
  <c r="Y27" i="32"/>
  <c r="AF12" i="32"/>
  <c r="X15" i="32"/>
  <c r="Z21" i="32"/>
  <c r="AE7" i="32"/>
  <c r="AE14" i="32"/>
  <c r="Y7" i="32"/>
  <c r="X13" i="32"/>
  <c r="Z7" i="32"/>
  <c r="H19" i="32"/>
  <c r="R20" i="32"/>
  <c r="Y23" i="32"/>
  <c r="AD6" i="32"/>
  <c r="Q7" i="32"/>
  <c r="AJ7" i="32" s="1"/>
  <c r="AF5" i="32"/>
  <c r="Y20" i="32"/>
  <c r="H3" i="32"/>
  <c r="Z14" i="32"/>
  <c r="Z22" i="32"/>
  <c r="Z23" i="32"/>
  <c r="AD25" i="32"/>
  <c r="Y3" i="32"/>
  <c r="Y18" i="32"/>
  <c r="AF20" i="32"/>
  <c r="AF25" i="32"/>
  <c r="Z11" i="32"/>
  <c r="AF11" i="32"/>
  <c r="AE23" i="32"/>
  <c r="I4" i="32"/>
  <c r="Y10" i="32"/>
  <c r="H11" i="32"/>
  <c r="Z15" i="32"/>
  <c r="X21" i="32"/>
  <c r="X23" i="32"/>
  <c r="AJ23" i="32" s="1"/>
  <c r="S27" i="32"/>
  <c r="AE3" i="32"/>
  <c r="Y4" i="32"/>
  <c r="R7" i="32"/>
  <c r="X11" i="32"/>
  <c r="AD11" i="32"/>
  <c r="Z13" i="32"/>
  <c r="AD15" i="32"/>
  <c r="AE19" i="32"/>
  <c r="Z20" i="32"/>
  <c r="Q21" i="32"/>
  <c r="H23" i="32"/>
  <c r="Q23" i="32"/>
  <c r="Y26" i="32"/>
  <c r="Z27" i="32"/>
  <c r="Q10" i="32"/>
  <c r="AJ12" i="32"/>
  <c r="S13" i="32"/>
  <c r="AD14" i="32"/>
  <c r="H15" i="32"/>
  <c r="R15" i="32"/>
  <c r="AE15" i="32"/>
  <c r="Q18" i="32"/>
  <c r="S21" i="32"/>
  <c r="AD22" i="32"/>
  <c r="R23" i="32"/>
  <c r="Y17" i="32"/>
  <c r="Y25" i="32"/>
  <c r="I3" i="32"/>
  <c r="Z3" i="32"/>
  <c r="AF3" i="32"/>
  <c r="Z4" i="32"/>
  <c r="AJ4" i="32"/>
  <c r="AL4" i="32" s="1"/>
  <c r="AM4" i="32" s="1"/>
  <c r="X5" i="32"/>
  <c r="H6" i="32"/>
  <c r="Q6" i="32"/>
  <c r="AE6" i="32"/>
  <c r="G7" i="32"/>
  <c r="G9" i="32"/>
  <c r="I11" i="32"/>
  <c r="I12" i="32"/>
  <c r="R12" i="32"/>
  <c r="Q13" i="32"/>
  <c r="I15" i="32"/>
  <c r="Q15" i="32"/>
  <c r="Y15" i="32"/>
  <c r="AF15" i="32"/>
  <c r="AD16" i="32"/>
  <c r="G17" i="32"/>
  <c r="I19" i="32"/>
  <c r="AF19" i="32"/>
  <c r="I20" i="32"/>
  <c r="I23" i="32"/>
  <c r="AF23" i="32"/>
  <c r="G25" i="32"/>
  <c r="X25" i="32"/>
  <c r="G27" i="32"/>
  <c r="AD27" i="32"/>
  <c r="R4" i="32"/>
  <c r="Q5" i="32"/>
  <c r="Z5" i="32"/>
  <c r="H7" i="32"/>
  <c r="I9" i="32"/>
  <c r="Q9" i="32"/>
  <c r="I17" i="32"/>
  <c r="Q17" i="32"/>
  <c r="I25" i="32"/>
  <c r="Q25" i="32"/>
  <c r="Z25" i="32"/>
  <c r="H27" i="32"/>
  <c r="X27" i="32"/>
  <c r="AE27" i="32"/>
  <c r="AF4" i="32"/>
  <c r="S5" i="32"/>
  <c r="S9" i="32"/>
  <c r="Y12" i="32"/>
  <c r="AF13" i="32"/>
  <c r="H14" i="32"/>
  <c r="Q14" i="32"/>
  <c r="S17" i="32"/>
  <c r="Y21" i="32"/>
  <c r="AF21" i="32"/>
  <c r="H22" i="32"/>
  <c r="Q22" i="32"/>
  <c r="AE22" i="32"/>
  <c r="S25" i="32"/>
  <c r="Q27" i="32"/>
  <c r="AJ27" i="32" s="1"/>
  <c r="AK27" i="32" s="1"/>
  <c r="R104" i="29"/>
  <c r="Z14" i="29"/>
  <c r="X65" i="29"/>
  <c r="H118" i="29"/>
  <c r="X257" i="29"/>
  <c r="Z306" i="29"/>
  <c r="J45" i="29"/>
  <c r="Y57" i="29"/>
  <c r="AF182" i="29"/>
  <c r="Z241" i="29"/>
  <c r="Z278" i="29"/>
  <c r="X57" i="29"/>
  <c r="X60" i="29"/>
  <c r="AE4" i="29"/>
  <c r="J22" i="29"/>
  <c r="Y49" i="29"/>
  <c r="X92" i="29"/>
  <c r="R95" i="29"/>
  <c r="Z186" i="29"/>
  <c r="AE196" i="29"/>
  <c r="Z197" i="29"/>
  <c r="AD242" i="29"/>
  <c r="X246" i="29"/>
  <c r="AD252" i="29"/>
  <c r="X272" i="29"/>
  <c r="I14" i="29"/>
  <c r="J38" i="29"/>
  <c r="I13" i="29"/>
  <c r="J21" i="29"/>
  <c r="X23" i="29"/>
  <c r="AD48" i="29"/>
  <c r="AD54" i="29"/>
  <c r="AE62" i="29"/>
  <c r="X251" i="29"/>
  <c r="AD262" i="29"/>
  <c r="X20" i="29"/>
  <c r="Y30" i="29"/>
  <c r="AE48" i="29"/>
  <c r="I74" i="29"/>
  <c r="AF193" i="29"/>
  <c r="AE194" i="29"/>
  <c r="R234" i="29"/>
  <c r="X278" i="29"/>
  <c r="AD280" i="29"/>
  <c r="Y306" i="29"/>
  <c r="Y312" i="29"/>
  <c r="AE6" i="29"/>
  <c r="J9" i="29"/>
  <c r="AD9" i="29"/>
  <c r="AF14" i="29"/>
  <c r="H15" i="29"/>
  <c r="X46" i="29"/>
  <c r="AD49" i="29"/>
  <c r="J50" i="29"/>
  <c r="J61" i="29"/>
  <c r="X63" i="29"/>
  <c r="AD64" i="29"/>
  <c r="H105" i="29"/>
  <c r="AE106" i="29"/>
  <c r="AD164" i="29"/>
  <c r="Y181" i="29"/>
  <c r="X233" i="29"/>
  <c r="AD246" i="29"/>
  <c r="Y249" i="29"/>
  <c r="Y255" i="29"/>
  <c r="AD265" i="29"/>
  <c r="AE286" i="29"/>
  <c r="I305" i="29"/>
  <c r="AF328" i="29"/>
  <c r="AF331" i="29"/>
  <c r="I19" i="29"/>
  <c r="AD23" i="29"/>
  <c r="AE30" i="29"/>
  <c r="AD35" i="29"/>
  <c r="J47" i="29"/>
  <c r="Y54" i="29"/>
  <c r="X55" i="29"/>
  <c r="AD70" i="29"/>
  <c r="I71" i="29"/>
  <c r="X74" i="29"/>
  <c r="R79" i="29"/>
  <c r="S96" i="29"/>
  <c r="R100" i="29"/>
  <c r="I105" i="29"/>
  <c r="AD174" i="29"/>
  <c r="AF188" i="29"/>
  <c r="Z232" i="29"/>
  <c r="AE246" i="29"/>
  <c r="R265" i="29"/>
  <c r="AF265" i="29"/>
  <c r="AD281" i="29"/>
  <c r="AF286" i="29"/>
  <c r="J305" i="29"/>
  <c r="Y308" i="29"/>
  <c r="J311" i="29"/>
  <c r="AF312" i="29"/>
  <c r="AF35" i="29"/>
  <c r="Z55" i="29"/>
  <c r="S100" i="29"/>
  <c r="H103" i="29"/>
  <c r="AE174" i="29"/>
  <c r="J182" i="29"/>
  <c r="AE182" i="29"/>
  <c r="Z183" i="29"/>
  <c r="Y186" i="29"/>
  <c r="I187" i="29"/>
  <c r="Z308" i="29"/>
  <c r="J11" i="29"/>
  <c r="I17" i="29"/>
  <c r="Y23" i="29"/>
  <c r="AE23" i="29"/>
  <c r="AD24" i="29"/>
  <c r="AD32" i="29"/>
  <c r="Z35" i="29"/>
  <c r="I40" i="29"/>
  <c r="Y44" i="29"/>
  <c r="J52" i="29"/>
  <c r="AD55" i="29"/>
  <c r="AE57" i="29"/>
  <c r="X62" i="29"/>
  <c r="Y65" i="29"/>
  <c r="X71" i="29"/>
  <c r="J74" i="29"/>
  <c r="Y76" i="29"/>
  <c r="S104" i="29"/>
  <c r="H113" i="29"/>
  <c r="AE114" i="29"/>
  <c r="Y127" i="29"/>
  <c r="AE142" i="29"/>
  <c r="H148" i="29"/>
  <c r="S159" i="29"/>
  <c r="Z181" i="29"/>
  <c r="Z195" i="29"/>
  <c r="I232" i="29"/>
  <c r="AE232" i="29"/>
  <c r="Y233" i="29"/>
  <c r="Z243" i="29"/>
  <c r="Y246" i="29"/>
  <c r="X250" i="29"/>
  <c r="Y251" i="29"/>
  <c r="AE255" i="29"/>
  <c r="Z257" i="29"/>
  <c r="X262" i="29"/>
  <c r="AE262" i="29"/>
  <c r="AD270" i="29"/>
  <c r="J295" i="29"/>
  <c r="Y295" i="29"/>
  <c r="Y300" i="29"/>
  <c r="AE306" i="29"/>
  <c r="AE308" i="29"/>
  <c r="X309" i="29"/>
  <c r="Z313" i="29"/>
  <c r="AD314" i="29"/>
  <c r="AJ314" i="29" s="1"/>
  <c r="AE321" i="29"/>
  <c r="S323" i="29"/>
  <c r="AE325" i="29"/>
  <c r="Y327" i="29"/>
  <c r="S333" i="29"/>
  <c r="AF24" i="29"/>
  <c r="AF32" i="29"/>
  <c r="AF55" i="29"/>
  <c r="Y62" i="29"/>
  <c r="S80" i="29"/>
  <c r="R96" i="29"/>
  <c r="I113" i="29"/>
  <c r="Y155" i="29"/>
  <c r="AD156" i="29"/>
  <c r="X165" i="29"/>
  <c r="AE166" i="29"/>
  <c r="AE178" i="29"/>
  <c r="AE188" i="29"/>
  <c r="AF189" i="29"/>
  <c r="J195" i="29"/>
  <c r="J196" i="29"/>
  <c r="R197" i="29"/>
  <c r="T231" i="29"/>
  <c r="J232" i="29"/>
  <c r="Y232" i="29"/>
  <c r="AF232" i="29"/>
  <c r="Y250" i="29"/>
  <c r="AF255" i="29"/>
  <c r="S256" i="29"/>
  <c r="Y262" i="29"/>
  <c r="T305" i="29"/>
  <c r="AF306" i="29"/>
  <c r="AF308" i="29"/>
  <c r="Y309" i="29"/>
  <c r="AE314" i="29"/>
  <c r="Z70" i="29"/>
  <c r="X70" i="29"/>
  <c r="H73" i="29"/>
  <c r="I73" i="29"/>
  <c r="T111" i="29"/>
  <c r="S111" i="29"/>
  <c r="R111" i="29"/>
  <c r="AF118" i="29"/>
  <c r="AD118" i="29"/>
  <c r="AF138" i="29"/>
  <c r="AE138" i="29"/>
  <c r="T163" i="29"/>
  <c r="S163" i="29"/>
  <c r="AD186" i="29"/>
  <c r="AF186" i="29"/>
  <c r="AE186" i="29"/>
  <c r="X189" i="29"/>
  <c r="Z189" i="29"/>
  <c r="Y189" i="29"/>
  <c r="AF237" i="29"/>
  <c r="AE237" i="29"/>
  <c r="AD237" i="29"/>
  <c r="T269" i="29"/>
  <c r="S269" i="29"/>
  <c r="R269" i="29"/>
  <c r="AJ269" i="29" s="1"/>
  <c r="AD313" i="29"/>
  <c r="AF313" i="29"/>
  <c r="AE313" i="29"/>
  <c r="Y315" i="29"/>
  <c r="Z315" i="29"/>
  <c r="X328" i="29"/>
  <c r="Z328" i="29"/>
  <c r="Y328" i="29"/>
  <c r="H10" i="29"/>
  <c r="I12" i="29"/>
  <c r="Z12" i="29"/>
  <c r="X17" i="29"/>
  <c r="X19" i="29"/>
  <c r="AD22" i="29"/>
  <c r="X24" i="29"/>
  <c r="AF25" i="29"/>
  <c r="X28" i="29"/>
  <c r="AD28" i="29"/>
  <c r="Z29" i="29"/>
  <c r="X32" i="29"/>
  <c r="AF33" i="29"/>
  <c r="Y38" i="29"/>
  <c r="I42" i="29"/>
  <c r="H44" i="29"/>
  <c r="AD46" i="29"/>
  <c r="X47" i="29"/>
  <c r="AD47" i="29"/>
  <c r="X52" i="29"/>
  <c r="AD56" i="29"/>
  <c r="J58" i="29"/>
  <c r="AD63" i="29"/>
  <c r="I66" i="29"/>
  <c r="X66" i="29"/>
  <c r="Z68" i="29"/>
  <c r="X68" i="29"/>
  <c r="AD71" i="29"/>
  <c r="AF72" i="29"/>
  <c r="AD72" i="29"/>
  <c r="J73" i="29"/>
  <c r="AF73" i="29"/>
  <c r="AE73" i="29"/>
  <c r="T88" i="29"/>
  <c r="S88" i="29"/>
  <c r="T131" i="29"/>
  <c r="S131" i="29"/>
  <c r="R131" i="29"/>
  <c r="Z137" i="29"/>
  <c r="X137" i="29"/>
  <c r="AF140" i="29"/>
  <c r="AD140" i="29"/>
  <c r="AE183" i="29"/>
  <c r="AF183" i="29"/>
  <c r="I188" i="29"/>
  <c r="J188" i="29"/>
  <c r="T241" i="29"/>
  <c r="S241" i="29"/>
  <c r="R241" i="29"/>
  <c r="AF247" i="29"/>
  <c r="AE247" i="29"/>
  <c r="AD247" i="29"/>
  <c r="Z271" i="29"/>
  <c r="Y271" i="29"/>
  <c r="X271" i="29"/>
  <c r="I304" i="29"/>
  <c r="J304" i="29"/>
  <c r="AD305" i="29"/>
  <c r="AF305" i="29"/>
  <c r="AE305" i="29"/>
  <c r="AD307" i="29"/>
  <c r="AF307" i="29"/>
  <c r="AE307" i="29"/>
  <c r="J310" i="29"/>
  <c r="I310" i="29"/>
  <c r="H310" i="29"/>
  <c r="T321" i="29"/>
  <c r="R321" i="29"/>
  <c r="AJ321" i="29" s="1"/>
  <c r="Y331" i="29"/>
  <c r="Z331" i="29"/>
  <c r="I10" i="29"/>
  <c r="AE22" i="29"/>
  <c r="Z24" i="29"/>
  <c r="Y28" i="29"/>
  <c r="AE28" i="29"/>
  <c r="Z32" i="29"/>
  <c r="J42" i="29"/>
  <c r="I44" i="29"/>
  <c r="AE46" i="29"/>
  <c r="Y47" i="29"/>
  <c r="AE47" i="29"/>
  <c r="Y52" i="29"/>
  <c r="AE56" i="29"/>
  <c r="AF63" i="29"/>
  <c r="J66" i="29"/>
  <c r="H68" i="29"/>
  <c r="I68" i="29"/>
  <c r="AE71" i="29"/>
  <c r="T87" i="29"/>
  <c r="R87" i="29"/>
  <c r="J126" i="29"/>
  <c r="I126" i="29"/>
  <c r="H126" i="29"/>
  <c r="J140" i="29"/>
  <c r="H140" i="29"/>
  <c r="AD181" i="29"/>
  <c r="AF181" i="29"/>
  <c r="Y193" i="29"/>
  <c r="Z193" i="29"/>
  <c r="AE240" i="29"/>
  <c r="AF240" i="29"/>
  <c r="AF251" i="29"/>
  <c r="AE251" i="29"/>
  <c r="AD251" i="29"/>
  <c r="T290" i="29"/>
  <c r="R290" i="29"/>
  <c r="Z314" i="29"/>
  <c r="Y314" i="29"/>
  <c r="X314" i="29"/>
  <c r="Y317" i="29"/>
  <c r="Z317" i="29"/>
  <c r="AE324" i="29"/>
  <c r="AF324" i="29"/>
  <c r="H9" i="29"/>
  <c r="H11" i="29"/>
  <c r="AF12" i="29"/>
  <c r="H13" i="29"/>
  <c r="I15" i="29"/>
  <c r="I16" i="29"/>
  <c r="AE17" i="29"/>
  <c r="AE19" i="29"/>
  <c r="Y20" i="29"/>
  <c r="Y22" i="29"/>
  <c r="Z25" i="29"/>
  <c r="AF29" i="29"/>
  <c r="Z33" i="29"/>
  <c r="J40" i="29"/>
  <c r="Y46" i="29"/>
  <c r="X49" i="29"/>
  <c r="AE49" i="29"/>
  <c r="J53" i="29"/>
  <c r="X54" i="29"/>
  <c r="AE54" i="29"/>
  <c r="J55" i="29"/>
  <c r="AD57" i="29"/>
  <c r="J60" i="29"/>
  <c r="Y60" i="29"/>
  <c r="AD62" i="29"/>
  <c r="I63" i="29"/>
  <c r="J63" i="29"/>
  <c r="Z63" i="29"/>
  <c r="AE64" i="29"/>
  <c r="AF65" i="29"/>
  <c r="AD65" i="29"/>
  <c r="J68" i="29"/>
  <c r="J71" i="29"/>
  <c r="Y71" i="29"/>
  <c r="Z73" i="29"/>
  <c r="X73" i="29"/>
  <c r="Z84" i="29"/>
  <c r="X84" i="29"/>
  <c r="Z96" i="29"/>
  <c r="Y96" i="29"/>
  <c r="X96" i="29"/>
  <c r="AF132" i="29"/>
  <c r="AD132" i="29"/>
  <c r="T177" i="29"/>
  <c r="S177" i="29"/>
  <c r="AD195" i="29"/>
  <c r="AF195" i="29"/>
  <c r="AE195" i="29"/>
  <c r="AF233" i="29"/>
  <c r="AE233" i="29"/>
  <c r="AD233" i="29"/>
  <c r="Z322" i="29"/>
  <c r="Y322" i="29"/>
  <c r="X322" i="29"/>
  <c r="Y92" i="29"/>
  <c r="I118" i="29"/>
  <c r="J187" i="29"/>
  <c r="AF194" i="29"/>
  <c r="AF196" i="29"/>
  <c r="S197" i="29"/>
  <c r="AE242" i="29"/>
  <c r="Z249" i="29"/>
  <c r="AE252" i="29"/>
  <c r="Z255" i="29"/>
  <c r="Y272" i="29"/>
  <c r="Y160" i="29"/>
  <c r="Y195" i="29"/>
  <c r="J200" i="29"/>
  <c r="S226" i="29"/>
  <c r="AF241" i="29"/>
  <c r="I297" i="29"/>
  <c r="Y305" i="29"/>
  <c r="Y307" i="29"/>
  <c r="AD309" i="29"/>
  <c r="AF310" i="29"/>
  <c r="H311" i="29"/>
  <c r="R311" i="29"/>
  <c r="AE312" i="29"/>
  <c r="Y313" i="29"/>
  <c r="Z323" i="29"/>
  <c r="S324" i="29"/>
  <c r="Y119" i="29"/>
  <c r="H128" i="29"/>
  <c r="AD128" i="29"/>
  <c r="T235" i="29"/>
  <c r="J297" i="29"/>
  <c r="J300" i="29"/>
  <c r="R305" i="29"/>
  <c r="Z305" i="29"/>
  <c r="Z307" i="29"/>
  <c r="AE309" i="29"/>
  <c r="T311" i="29"/>
  <c r="AF315" i="29"/>
  <c r="AD321" i="29"/>
  <c r="R323" i="29"/>
  <c r="AD325" i="29"/>
  <c r="S331" i="29"/>
  <c r="H3" i="29"/>
  <c r="H4" i="29"/>
  <c r="Y4" i="29"/>
  <c r="AF4" i="29"/>
  <c r="H5" i="29"/>
  <c r="H6" i="29"/>
  <c r="Y6" i="29"/>
  <c r="AF6" i="29"/>
  <c r="H7" i="29"/>
  <c r="H8" i="29"/>
  <c r="X9" i="29"/>
  <c r="AE9" i="29"/>
  <c r="J17" i="29"/>
  <c r="Y17" i="29"/>
  <c r="H18" i="29"/>
  <c r="J19" i="29"/>
  <c r="Y19" i="29"/>
  <c r="H20" i="29"/>
  <c r="AD20" i="29"/>
  <c r="X21" i="29"/>
  <c r="AD21" i="29"/>
  <c r="J24" i="29"/>
  <c r="X26" i="29"/>
  <c r="AD26" i="29"/>
  <c r="Z27" i="29"/>
  <c r="Z30" i="29"/>
  <c r="AF30" i="29"/>
  <c r="AF31" i="29"/>
  <c r="X34" i="29"/>
  <c r="AD34" i="29"/>
  <c r="Z36" i="29"/>
  <c r="Y36" i="29"/>
  <c r="Z37" i="29"/>
  <c r="Y37" i="29"/>
  <c r="AF38" i="29"/>
  <c r="AE38" i="29"/>
  <c r="AD38" i="29"/>
  <c r="AF44" i="29"/>
  <c r="AE44" i="29"/>
  <c r="AD44" i="29"/>
  <c r="AE45" i="29"/>
  <c r="AD45" i="29"/>
  <c r="Z48" i="29"/>
  <c r="Y48" i="29"/>
  <c r="J49" i="29"/>
  <c r="Y53" i="29"/>
  <c r="X53" i="29"/>
  <c r="J54" i="29"/>
  <c r="I56" i="29"/>
  <c r="J56" i="29"/>
  <c r="Z58" i="29"/>
  <c r="Y58" i="29"/>
  <c r="X58" i="29"/>
  <c r="AF60" i="29"/>
  <c r="AE60" i="29"/>
  <c r="AD60" i="29"/>
  <c r="AE61" i="29"/>
  <c r="AD61" i="29"/>
  <c r="Z64" i="29"/>
  <c r="Y64" i="29"/>
  <c r="J65" i="29"/>
  <c r="Z67" i="29"/>
  <c r="Y67" i="29"/>
  <c r="H69" i="29"/>
  <c r="J69" i="29"/>
  <c r="I69" i="29"/>
  <c r="AE69" i="29"/>
  <c r="AD69" i="29"/>
  <c r="AD74" i="29"/>
  <c r="AF75" i="29"/>
  <c r="AE75" i="29"/>
  <c r="AF103" i="29"/>
  <c r="AD103" i="29"/>
  <c r="J110" i="29"/>
  <c r="I110" i="29"/>
  <c r="H110" i="29"/>
  <c r="J41" i="29"/>
  <c r="I41" i="29"/>
  <c r="AF41" i="29"/>
  <c r="AE41" i="29"/>
  <c r="I51" i="29"/>
  <c r="J51" i="29"/>
  <c r="Z72" i="29"/>
  <c r="X72" i="29"/>
  <c r="AF110" i="29"/>
  <c r="AD110" i="29"/>
  <c r="Z4" i="29"/>
  <c r="Z6" i="29"/>
  <c r="Y9" i="29"/>
  <c r="I18" i="29"/>
  <c r="I20" i="29"/>
  <c r="AE20" i="29"/>
  <c r="Y21" i="29"/>
  <c r="AE21" i="29"/>
  <c r="Y26" i="29"/>
  <c r="AE26" i="29"/>
  <c r="Y34" i="29"/>
  <c r="AE34" i="29"/>
  <c r="Z39" i="29"/>
  <c r="Y39" i="29"/>
  <c r="X39" i="29"/>
  <c r="J43" i="29"/>
  <c r="I43" i="29"/>
  <c r="Z51" i="29"/>
  <c r="Y51" i="29"/>
  <c r="AF58" i="29"/>
  <c r="AE58" i="29"/>
  <c r="I59" i="29"/>
  <c r="J59" i="29"/>
  <c r="AF59" i="29"/>
  <c r="AE59" i="29"/>
  <c r="H67" i="29"/>
  <c r="J67" i="29"/>
  <c r="AF68" i="29"/>
  <c r="AD68" i="29"/>
  <c r="H70" i="29"/>
  <c r="J70" i="29"/>
  <c r="H72" i="29"/>
  <c r="J72" i="29"/>
  <c r="I72" i="29"/>
  <c r="Z80" i="29"/>
  <c r="Y80" i="29"/>
  <c r="X80" i="29"/>
  <c r="T92" i="29"/>
  <c r="S92" i="29"/>
  <c r="R92" i="29"/>
  <c r="AF50" i="29"/>
  <c r="AE50" i="29"/>
  <c r="AF51" i="29"/>
  <c r="AE51" i="29"/>
  <c r="Z59" i="29"/>
  <c r="Y59" i="29"/>
  <c r="H75" i="29"/>
  <c r="J75" i="29"/>
  <c r="T112" i="29"/>
  <c r="S112" i="29"/>
  <c r="R112" i="29"/>
  <c r="H12" i="29"/>
  <c r="H14" i="29"/>
  <c r="H16" i="29"/>
  <c r="AD17" i="29"/>
  <c r="AD19" i="29"/>
  <c r="X22" i="29"/>
  <c r="J23" i="29"/>
  <c r="AF27" i="29"/>
  <c r="Z31" i="29"/>
  <c r="I36" i="29"/>
  <c r="J36" i="29"/>
  <c r="AF36" i="29"/>
  <c r="AE36" i="29"/>
  <c r="I37" i="29"/>
  <c r="J37" i="29"/>
  <c r="AF37" i="29"/>
  <c r="AE37" i="29"/>
  <c r="AF39" i="29"/>
  <c r="AE39" i="29"/>
  <c r="Z41" i="29"/>
  <c r="Y41" i="29"/>
  <c r="X41" i="29"/>
  <c r="H43" i="29"/>
  <c r="Y45" i="29"/>
  <c r="X45" i="29"/>
  <c r="J46" i="29"/>
  <c r="I48" i="29"/>
  <c r="J48" i="29"/>
  <c r="Z50" i="29"/>
  <c r="Y50" i="29"/>
  <c r="X50" i="29"/>
  <c r="X51" i="29"/>
  <c r="AF52" i="29"/>
  <c r="AE52" i="29"/>
  <c r="AD52" i="29"/>
  <c r="AE53" i="29"/>
  <c r="AD53" i="29"/>
  <c r="Z56" i="29"/>
  <c r="Y56" i="29"/>
  <c r="J57" i="29"/>
  <c r="AD58" i="29"/>
  <c r="AD59" i="29"/>
  <c r="Y61" i="29"/>
  <c r="X61" i="29"/>
  <c r="J62" i="29"/>
  <c r="I64" i="29"/>
  <c r="J64" i="29"/>
  <c r="AD66" i="29"/>
  <c r="I67" i="29"/>
  <c r="AF67" i="29"/>
  <c r="AE67" i="29"/>
  <c r="Y69" i="29"/>
  <c r="X69" i="29"/>
  <c r="I70" i="29"/>
  <c r="Z75" i="29"/>
  <c r="Y75" i="29"/>
  <c r="T76" i="29"/>
  <c r="S76" i="29"/>
  <c r="R84" i="29"/>
  <c r="T127" i="29"/>
  <c r="S127" i="29"/>
  <c r="J130" i="29"/>
  <c r="I130" i="29"/>
  <c r="J152" i="29"/>
  <c r="H152" i="29"/>
  <c r="X188" i="29"/>
  <c r="Z188" i="29"/>
  <c r="Y188" i="29"/>
  <c r="Z191" i="29"/>
  <c r="Y191" i="29"/>
  <c r="X191" i="29"/>
  <c r="Z201" i="29"/>
  <c r="Y201" i="29"/>
  <c r="X201" i="29"/>
  <c r="T208" i="29"/>
  <c r="S208" i="29"/>
  <c r="T216" i="29"/>
  <c r="S216" i="29"/>
  <c r="T224" i="29"/>
  <c r="S224" i="29"/>
  <c r="T245" i="29"/>
  <c r="R245" i="29"/>
  <c r="X253" i="29"/>
  <c r="Y253" i="29"/>
  <c r="Z253" i="29"/>
  <c r="X88" i="29"/>
  <c r="R99" i="29"/>
  <c r="X100" i="29"/>
  <c r="R103" i="29"/>
  <c r="X107" i="29"/>
  <c r="Z115" i="29"/>
  <c r="X115" i="29"/>
  <c r="J121" i="29"/>
  <c r="I121" i="29"/>
  <c r="AE122" i="29"/>
  <c r="R127" i="29"/>
  <c r="S135" i="29"/>
  <c r="AD136" i="29"/>
  <c r="AE150" i="29"/>
  <c r="X182" i="29"/>
  <c r="Z182" i="29"/>
  <c r="Y182" i="29"/>
  <c r="H184" i="29"/>
  <c r="J184" i="29"/>
  <c r="I184" i="29"/>
  <c r="AF191" i="29"/>
  <c r="AE191" i="29"/>
  <c r="AD191" i="29"/>
  <c r="J198" i="29"/>
  <c r="I198" i="29"/>
  <c r="H198" i="29"/>
  <c r="J201" i="29"/>
  <c r="I201" i="29"/>
  <c r="H201" i="29"/>
  <c r="AF201" i="29"/>
  <c r="AE201" i="29"/>
  <c r="AD201" i="29"/>
  <c r="AD236" i="29"/>
  <c r="AF236" i="29"/>
  <c r="AE236" i="29"/>
  <c r="AE243" i="29"/>
  <c r="AF243" i="29"/>
  <c r="Y244" i="29"/>
  <c r="Z244" i="29"/>
  <c r="X38" i="29"/>
  <c r="J39" i="29"/>
  <c r="Y88" i="29"/>
  <c r="Y100" i="29"/>
  <c r="Z111" i="29"/>
  <c r="Y111" i="29"/>
  <c r="Z131" i="29"/>
  <c r="Y131" i="29"/>
  <c r="AF134" i="29"/>
  <c r="AE134" i="29"/>
  <c r="J158" i="29"/>
  <c r="I158" i="29"/>
  <c r="Z192" i="29"/>
  <c r="Y192" i="29"/>
  <c r="X192" i="29"/>
  <c r="X194" i="29"/>
  <c r="AJ194" i="29" s="1"/>
  <c r="Z194" i="29"/>
  <c r="Y194" i="29"/>
  <c r="X196" i="29"/>
  <c r="Z196" i="29"/>
  <c r="Y196" i="29"/>
  <c r="T201" i="29"/>
  <c r="S201" i="29"/>
  <c r="R201" i="29"/>
  <c r="T204" i="29"/>
  <c r="S204" i="29"/>
  <c r="T212" i="29"/>
  <c r="S212" i="29"/>
  <c r="T220" i="29"/>
  <c r="S220" i="29"/>
  <c r="Z242" i="29"/>
  <c r="Y242" i="29"/>
  <c r="X242" i="29"/>
  <c r="T243" i="29"/>
  <c r="S243" i="29"/>
  <c r="R243" i="29"/>
  <c r="Z248" i="29"/>
  <c r="X248" i="29"/>
  <c r="Y248" i="29"/>
  <c r="Z252" i="29"/>
  <c r="Y252" i="29"/>
  <c r="X252" i="29"/>
  <c r="T119" i="29"/>
  <c r="S119" i="29"/>
  <c r="T120" i="29"/>
  <c r="R120" i="29"/>
  <c r="X133" i="29"/>
  <c r="AD134" i="29"/>
  <c r="T143" i="29"/>
  <c r="S143" i="29"/>
  <c r="AF146" i="29"/>
  <c r="AE146" i="29"/>
  <c r="J154" i="29"/>
  <c r="I154" i="29"/>
  <c r="H154" i="29"/>
  <c r="Z159" i="29"/>
  <c r="Y159" i="29"/>
  <c r="Z169" i="29"/>
  <c r="X169" i="29"/>
  <c r="AF192" i="29"/>
  <c r="AE192" i="29"/>
  <c r="AD192" i="29"/>
  <c r="I233" i="29"/>
  <c r="J233" i="29"/>
  <c r="Z237" i="29"/>
  <c r="Y237" i="29"/>
  <c r="X237" i="29"/>
  <c r="Y240" i="29"/>
  <c r="Z240" i="29"/>
  <c r="Z247" i="29"/>
  <c r="Y247" i="29"/>
  <c r="X247" i="29"/>
  <c r="AE254" i="29"/>
  <c r="AF254" i="29"/>
  <c r="AD254" i="29"/>
  <c r="AE260" i="29"/>
  <c r="AF260" i="29"/>
  <c r="Z261" i="29"/>
  <c r="X261" i="29"/>
  <c r="AE276" i="29"/>
  <c r="AD276" i="29"/>
  <c r="AD295" i="29"/>
  <c r="AF295" i="29"/>
  <c r="H301" i="29"/>
  <c r="J301" i="29"/>
  <c r="I301" i="29"/>
  <c r="Y310" i="29"/>
  <c r="Z310" i="29"/>
  <c r="AF326" i="29"/>
  <c r="AE326" i="29"/>
  <c r="AD326" i="29"/>
  <c r="AF332" i="29"/>
  <c r="AE332" i="29"/>
  <c r="AD332" i="29"/>
  <c r="AF249" i="29"/>
  <c r="AD249" i="29"/>
  <c r="T255" i="29"/>
  <c r="S255" i="29"/>
  <c r="R257" i="29"/>
  <c r="Z258" i="29"/>
  <c r="X258" i="29"/>
  <c r="S260" i="29"/>
  <c r="AD260" i="29"/>
  <c r="Y261" i="29"/>
  <c r="AD263" i="29"/>
  <c r="Y267" i="29"/>
  <c r="Z267" i="29"/>
  <c r="X267" i="29"/>
  <c r="AE269" i="29"/>
  <c r="AD269" i="29"/>
  <c r="AF276" i="29"/>
  <c r="AE278" i="29"/>
  <c r="AF278" i="29"/>
  <c r="AD278" i="29"/>
  <c r="AE282" i="29"/>
  <c r="AD282" i="29"/>
  <c r="AD284" i="29"/>
  <c r="AF284" i="29"/>
  <c r="AE285" i="29"/>
  <c r="AD287" i="29"/>
  <c r="AE287" i="29"/>
  <c r="X293" i="29"/>
  <c r="Z293" i="29"/>
  <c r="X302" i="29"/>
  <c r="Z302" i="29"/>
  <c r="AD311" i="29"/>
  <c r="AF311" i="29"/>
  <c r="AE311" i="29"/>
  <c r="Z325" i="29"/>
  <c r="Y325" i="29"/>
  <c r="X325" i="29"/>
  <c r="I162" i="29"/>
  <c r="Y163" i="29"/>
  <c r="S167" i="29"/>
  <c r="AD168" i="29"/>
  <c r="S175" i="29"/>
  <c r="R181" i="29"/>
  <c r="H182" i="29"/>
  <c r="R182" i="29"/>
  <c r="I183" i="29"/>
  <c r="X183" i="29"/>
  <c r="AD183" i="29"/>
  <c r="I185" i="29"/>
  <c r="H188" i="29"/>
  <c r="X193" i="29"/>
  <c r="AD193" i="29"/>
  <c r="H196" i="29"/>
  <c r="AE197" i="29"/>
  <c r="H200" i="29"/>
  <c r="R200" i="29"/>
  <c r="R228" i="29"/>
  <c r="R230" i="29"/>
  <c r="Y236" i="29"/>
  <c r="R240" i="29"/>
  <c r="X241" i="29"/>
  <c r="AD241" i="29"/>
  <c r="H243" i="29"/>
  <c r="AE244" i="29"/>
  <c r="AF244" i="29"/>
  <c r="AF248" i="29"/>
  <c r="AE248" i="29"/>
  <c r="AE249" i="29"/>
  <c r="AD250" i="29"/>
  <c r="T251" i="29"/>
  <c r="R251" i="29"/>
  <c r="AD253" i="29"/>
  <c r="AF253" i="29"/>
  <c r="R255" i="29"/>
  <c r="Y258" i="29"/>
  <c r="Y260" i="29"/>
  <c r="X260" i="29"/>
  <c r="AF261" i="29"/>
  <c r="AE261" i="29"/>
  <c r="AE263" i="29"/>
  <c r="Y264" i="29"/>
  <c r="X264" i="29"/>
  <c r="AE267" i="29"/>
  <c r="AF267" i="29"/>
  <c r="T268" i="29"/>
  <c r="S268" i="29"/>
  <c r="R268" i="29"/>
  <c r="AJ268" i="29" s="1"/>
  <c r="AF269" i="29"/>
  <c r="Y276" i="29"/>
  <c r="X276" i="29"/>
  <c r="AF282" i="29"/>
  <c r="AE284" i="29"/>
  <c r="S291" i="29"/>
  <c r="T291" i="29"/>
  <c r="R291" i="29"/>
  <c r="AD297" i="29"/>
  <c r="AF297" i="29"/>
  <c r="I314" i="29"/>
  <c r="J314" i="29"/>
  <c r="AE317" i="29"/>
  <c r="AF317" i="29"/>
  <c r="AF330" i="29"/>
  <c r="AE330" i="29"/>
  <c r="AD330" i="29"/>
  <c r="AD142" i="29"/>
  <c r="S147" i="29"/>
  <c r="X155" i="29"/>
  <c r="X157" i="29"/>
  <c r="R159" i="29"/>
  <c r="AD160" i="29"/>
  <c r="R163" i="29"/>
  <c r="AD166" i="29"/>
  <c r="AE170" i="29"/>
  <c r="AE181" i="29"/>
  <c r="S182" i="29"/>
  <c r="J183" i="29"/>
  <c r="J185" i="29"/>
  <c r="S188" i="29"/>
  <c r="AE189" i="29"/>
  <c r="I195" i="29"/>
  <c r="S196" i="29"/>
  <c r="Y197" i="29"/>
  <c r="AF197" i="29"/>
  <c r="S206" i="29"/>
  <c r="S210" i="29"/>
  <c r="S214" i="29"/>
  <c r="S218" i="29"/>
  <c r="S222" i="29"/>
  <c r="R226" i="29"/>
  <c r="S228" i="29"/>
  <c r="Z236" i="29"/>
  <c r="S240" i="29"/>
  <c r="J243" i="29"/>
  <c r="T244" i="29"/>
  <c r="S244" i="29"/>
  <c r="AE250" i="29"/>
  <c r="T252" i="29"/>
  <c r="S252" i="29"/>
  <c r="AF258" i="29"/>
  <c r="AE258" i="29"/>
  <c r="X268" i="29"/>
  <c r="Z268" i="29"/>
  <c r="Y269" i="29"/>
  <c r="X269" i="29"/>
  <c r="Y282" i="29"/>
  <c r="X282" i="29"/>
  <c r="AD283" i="29"/>
  <c r="AE283" i="29"/>
  <c r="AD288" i="29"/>
  <c r="AF288" i="29"/>
  <c r="T289" i="29"/>
  <c r="R289" i="29"/>
  <c r="Y291" i="29"/>
  <c r="Z291" i="29"/>
  <c r="R292" i="29"/>
  <c r="S292" i="29"/>
  <c r="I313" i="29"/>
  <c r="J313" i="29"/>
  <c r="T317" i="29"/>
  <c r="S317" i="29"/>
  <c r="AD318" i="29"/>
  <c r="AF318" i="29"/>
  <c r="AE318" i="29"/>
  <c r="AE323" i="29"/>
  <c r="AF323" i="29"/>
  <c r="Z326" i="29"/>
  <c r="Y326" i="29"/>
  <c r="X326" i="29"/>
  <c r="Z332" i="29"/>
  <c r="Y332" i="29"/>
  <c r="X332" i="29"/>
  <c r="AJ300" i="29"/>
  <c r="J302" i="29"/>
  <c r="AE303" i="29"/>
  <c r="H304" i="29"/>
  <c r="S304" i="29"/>
  <c r="Y311" i="29"/>
  <c r="X315" i="29"/>
  <c r="AD315" i="29"/>
  <c r="Y318" i="29"/>
  <c r="S321" i="29"/>
  <c r="AD322" i="29"/>
  <c r="AJ322" i="29" s="1"/>
  <c r="Z324" i="29"/>
  <c r="AD327" i="29"/>
  <c r="X330" i="29"/>
  <c r="X331" i="29"/>
  <c r="AD331" i="29"/>
  <c r="AJ331" i="29" s="1"/>
  <c r="Z333" i="29"/>
  <c r="AF296" i="29"/>
  <c r="S299" i="29"/>
  <c r="S310" i="29"/>
  <c r="Z311" i="29"/>
  <c r="Z318" i="29"/>
  <c r="AE322" i="29"/>
  <c r="X327" i="29"/>
  <c r="AE327" i="29"/>
  <c r="Y330" i="29"/>
  <c r="R331" i="29"/>
  <c r="J95" i="29"/>
  <c r="I95" i="29"/>
  <c r="Z95" i="29"/>
  <c r="Y95" i="29"/>
  <c r="X95" i="29"/>
  <c r="J99" i="29"/>
  <c r="I99" i="29"/>
  <c r="Z99" i="29"/>
  <c r="Y99" i="29"/>
  <c r="X99" i="29"/>
  <c r="T116" i="29"/>
  <c r="S116" i="29"/>
  <c r="R116" i="29"/>
  <c r="J160" i="29"/>
  <c r="H160" i="29"/>
  <c r="X3" i="29"/>
  <c r="I7" i="29"/>
  <c r="X7" i="29"/>
  <c r="AD7" i="29"/>
  <c r="I8" i="29"/>
  <c r="X8" i="29"/>
  <c r="AD8" i="29"/>
  <c r="X10" i="29"/>
  <c r="AD10" i="29"/>
  <c r="X13" i="29"/>
  <c r="AD13" i="29"/>
  <c r="X16" i="29"/>
  <c r="AD16" i="29"/>
  <c r="H25" i="29"/>
  <c r="H26" i="29"/>
  <c r="H27" i="29"/>
  <c r="H28" i="29"/>
  <c r="H29" i="29"/>
  <c r="H30" i="29"/>
  <c r="H31" i="29"/>
  <c r="H32" i="29"/>
  <c r="H33" i="29"/>
  <c r="H34" i="29"/>
  <c r="H35" i="29"/>
  <c r="X40" i="29"/>
  <c r="AD40" i="29"/>
  <c r="X43" i="29"/>
  <c r="AD43" i="29"/>
  <c r="Y66" i="29"/>
  <c r="AE66" i="29"/>
  <c r="Y68" i="29"/>
  <c r="AE68" i="29"/>
  <c r="Y70" i="29"/>
  <c r="AE70" i="29"/>
  <c r="Y72" i="29"/>
  <c r="AE72" i="29"/>
  <c r="Y74" i="29"/>
  <c r="AE74" i="29"/>
  <c r="S77" i="29"/>
  <c r="J79" i="29"/>
  <c r="I79" i="29"/>
  <c r="Z79" i="29"/>
  <c r="X79" i="29"/>
  <c r="J82" i="29"/>
  <c r="I82" i="29"/>
  <c r="AF82" i="29"/>
  <c r="AD82" i="29"/>
  <c r="AF83" i="29"/>
  <c r="AE83" i="29"/>
  <c r="S84" i="29"/>
  <c r="T85" i="29"/>
  <c r="S85" i="29"/>
  <c r="J87" i="29"/>
  <c r="I87" i="29"/>
  <c r="Z87" i="29"/>
  <c r="X87" i="29"/>
  <c r="J90" i="29"/>
  <c r="I90" i="29"/>
  <c r="AF90" i="29"/>
  <c r="AD90" i="29"/>
  <c r="AF91" i="29"/>
  <c r="AE91" i="29"/>
  <c r="T93" i="29"/>
  <c r="S93" i="29"/>
  <c r="H95" i="29"/>
  <c r="AF95" i="29"/>
  <c r="AE95" i="29"/>
  <c r="T97" i="29"/>
  <c r="S97" i="29"/>
  <c r="H99" i="29"/>
  <c r="AF99" i="29"/>
  <c r="AE99" i="29"/>
  <c r="T101" i="29"/>
  <c r="S101" i="29"/>
  <c r="T107" i="29"/>
  <c r="S107" i="29"/>
  <c r="R107" i="29"/>
  <c r="T123" i="29"/>
  <c r="S123" i="29"/>
  <c r="R123" i="29"/>
  <c r="Z139" i="29"/>
  <c r="Y139" i="29"/>
  <c r="X139" i="29"/>
  <c r="Z153" i="29"/>
  <c r="X153" i="29"/>
  <c r="J166" i="29"/>
  <c r="I166" i="29"/>
  <c r="H166" i="29"/>
  <c r="Z175" i="29"/>
  <c r="Y175" i="29"/>
  <c r="X175" i="29"/>
  <c r="Z103" i="29"/>
  <c r="Y103" i="29"/>
  <c r="X103" i="29"/>
  <c r="AJ103" i="29" s="1"/>
  <c r="J106" i="29"/>
  <c r="I106" i="29"/>
  <c r="H106" i="29"/>
  <c r="J122" i="29"/>
  <c r="I122" i="29"/>
  <c r="H122" i="29"/>
  <c r="I3" i="29"/>
  <c r="AD3" i="29"/>
  <c r="I4" i="29"/>
  <c r="I5" i="29"/>
  <c r="X5" i="29"/>
  <c r="AD5" i="29"/>
  <c r="I6" i="29"/>
  <c r="X11" i="29"/>
  <c r="AD11" i="29"/>
  <c r="X15" i="29"/>
  <c r="AD15" i="29"/>
  <c r="X18" i="29"/>
  <c r="AD18" i="29"/>
  <c r="X42" i="29"/>
  <c r="AD42" i="29"/>
  <c r="Y3" i="29"/>
  <c r="AE3" i="29"/>
  <c r="Y5" i="29"/>
  <c r="AE5" i="29"/>
  <c r="Y7" i="29"/>
  <c r="AE7" i="29"/>
  <c r="Y8" i="29"/>
  <c r="AE8" i="29"/>
  <c r="Y10" i="29"/>
  <c r="AE10" i="29"/>
  <c r="Y11" i="29"/>
  <c r="AE11" i="29"/>
  <c r="X12" i="29"/>
  <c r="AD12" i="29"/>
  <c r="Y13" i="29"/>
  <c r="AE13" i="29"/>
  <c r="X14" i="29"/>
  <c r="AD14" i="29"/>
  <c r="Y15" i="29"/>
  <c r="AE15" i="29"/>
  <c r="Y16" i="29"/>
  <c r="AE16" i="29"/>
  <c r="Y18" i="29"/>
  <c r="AE18" i="29"/>
  <c r="H21" i="29"/>
  <c r="H22" i="29"/>
  <c r="H23" i="29"/>
  <c r="H24" i="29"/>
  <c r="I25" i="29"/>
  <c r="X25" i="29"/>
  <c r="AD25" i="29"/>
  <c r="I26" i="29"/>
  <c r="I27" i="29"/>
  <c r="X27" i="29"/>
  <c r="AD27" i="29"/>
  <c r="I28" i="29"/>
  <c r="I29" i="29"/>
  <c r="X29" i="29"/>
  <c r="AD29" i="29"/>
  <c r="I30" i="29"/>
  <c r="I31" i="29"/>
  <c r="X31" i="29"/>
  <c r="AD31" i="29"/>
  <c r="I32" i="29"/>
  <c r="I33" i="29"/>
  <c r="X33" i="29"/>
  <c r="AD33" i="29"/>
  <c r="I34" i="29"/>
  <c r="I35" i="29"/>
  <c r="H36" i="29"/>
  <c r="H37" i="29"/>
  <c r="H38" i="29"/>
  <c r="H39" i="29"/>
  <c r="Y40" i="29"/>
  <c r="AE40" i="29"/>
  <c r="Y42" i="29"/>
  <c r="AE42" i="29"/>
  <c r="Y43" i="29"/>
  <c r="AE43" i="29"/>
  <c r="H45" i="29"/>
  <c r="H46" i="29"/>
  <c r="H47" i="29"/>
  <c r="H48" i="29"/>
  <c r="H49" i="29"/>
  <c r="H50" i="29"/>
  <c r="H51" i="29"/>
  <c r="H52" i="29"/>
  <c r="H53" i="29"/>
  <c r="H54" i="29"/>
  <c r="H55" i="29"/>
  <c r="H56" i="29"/>
  <c r="H57" i="29"/>
  <c r="H58" i="29"/>
  <c r="H59" i="29"/>
  <c r="H60" i="29"/>
  <c r="H61" i="29"/>
  <c r="H62" i="29"/>
  <c r="H63" i="29"/>
  <c r="H64" i="29"/>
  <c r="H65" i="29"/>
  <c r="X76" i="29"/>
  <c r="H79" i="29"/>
  <c r="Y79" i="29"/>
  <c r="R80" i="29"/>
  <c r="H82" i="29"/>
  <c r="AE82" i="29"/>
  <c r="R83" i="29"/>
  <c r="AJ83" i="29" s="1"/>
  <c r="AD83" i="29"/>
  <c r="H87" i="29"/>
  <c r="Y87" i="29"/>
  <c r="R88" i="29"/>
  <c r="H90" i="29"/>
  <c r="AE90" i="29"/>
  <c r="R91" i="29"/>
  <c r="AD91" i="29"/>
  <c r="AJ91" i="29" s="1"/>
  <c r="T108" i="29"/>
  <c r="S108" i="29"/>
  <c r="R108" i="29"/>
  <c r="J114" i="29"/>
  <c r="I114" i="29"/>
  <c r="H114" i="29"/>
  <c r="J117" i="29"/>
  <c r="I117" i="29"/>
  <c r="H117" i="29"/>
  <c r="J138" i="29"/>
  <c r="I138" i="29"/>
  <c r="H138" i="29"/>
  <c r="J174" i="29"/>
  <c r="I174" i="29"/>
  <c r="H174" i="29"/>
  <c r="J109" i="29"/>
  <c r="I109" i="29"/>
  <c r="H109" i="29"/>
  <c r="J78" i="29"/>
  <c r="I78" i="29"/>
  <c r="AF78" i="29"/>
  <c r="AD78" i="29"/>
  <c r="AF79" i="29"/>
  <c r="AE79" i="29"/>
  <c r="T81" i="29"/>
  <c r="S81" i="29"/>
  <c r="J83" i="29"/>
  <c r="I83" i="29"/>
  <c r="Z83" i="29"/>
  <c r="X83" i="29"/>
  <c r="J86" i="29"/>
  <c r="I86" i="29"/>
  <c r="AF86" i="29"/>
  <c r="AD86" i="29"/>
  <c r="AF87" i="29"/>
  <c r="AE87" i="29"/>
  <c r="T89" i="29"/>
  <c r="S89" i="29"/>
  <c r="J91" i="29"/>
  <c r="I91" i="29"/>
  <c r="Z91" i="29"/>
  <c r="X91" i="29"/>
  <c r="J94" i="29"/>
  <c r="I94" i="29"/>
  <c r="AF94" i="29"/>
  <c r="AE94" i="29"/>
  <c r="AD94" i="29"/>
  <c r="J98" i="29"/>
  <c r="I98" i="29"/>
  <c r="AF98" i="29"/>
  <c r="AE98" i="29"/>
  <c r="AD98" i="29"/>
  <c r="J102" i="29"/>
  <c r="I102" i="29"/>
  <c r="AF102" i="29"/>
  <c r="AE102" i="29"/>
  <c r="AD102" i="29"/>
  <c r="T115" i="29"/>
  <c r="S115" i="29"/>
  <c r="R115" i="29"/>
  <c r="J144" i="29"/>
  <c r="H144" i="29"/>
  <c r="T145" i="29"/>
  <c r="S145" i="29"/>
  <c r="Z149" i="29"/>
  <c r="X149" i="29"/>
  <c r="Z161" i="29"/>
  <c r="X161" i="29"/>
  <c r="T173" i="29"/>
  <c r="S173" i="29"/>
  <c r="T179" i="29"/>
  <c r="S179" i="29"/>
  <c r="R179" i="29"/>
  <c r="AF180" i="29"/>
  <c r="AD180" i="29"/>
  <c r="AJ182" i="29"/>
  <c r="AL182" i="29" s="1"/>
  <c r="AM182" i="29" s="1"/>
  <c r="AF184" i="29"/>
  <c r="AE184" i="29"/>
  <c r="Z185" i="29"/>
  <c r="Y185" i="29"/>
  <c r="I191" i="29"/>
  <c r="H191" i="29"/>
  <c r="T193" i="29"/>
  <c r="R193" i="29"/>
  <c r="Z198" i="29"/>
  <c r="Y198" i="29"/>
  <c r="AE200" i="29"/>
  <c r="AD200" i="29"/>
  <c r="Y202" i="29"/>
  <c r="X202" i="29"/>
  <c r="T207" i="29"/>
  <c r="R207" i="29"/>
  <c r="T211" i="29"/>
  <c r="R211" i="29"/>
  <c r="T215" i="29"/>
  <c r="R215" i="29"/>
  <c r="T219" i="29"/>
  <c r="R219" i="29"/>
  <c r="T223" i="29"/>
  <c r="R223" i="29"/>
  <c r="J237" i="29"/>
  <c r="I237" i="29"/>
  <c r="H237" i="29"/>
  <c r="AF238" i="29"/>
  <c r="AE238" i="29"/>
  <c r="AD238" i="29"/>
  <c r="AF239" i="29"/>
  <c r="AE239" i="29"/>
  <c r="AD239" i="29"/>
  <c r="I103" i="29"/>
  <c r="AE103" i="29"/>
  <c r="Y107" i="29"/>
  <c r="AE110" i="29"/>
  <c r="Y115" i="29"/>
  <c r="AE118" i="29"/>
  <c r="Z123" i="29"/>
  <c r="Y123" i="29"/>
  <c r="T124" i="29"/>
  <c r="S124" i="29"/>
  <c r="R124" i="29"/>
  <c r="J134" i="29"/>
  <c r="I134" i="29"/>
  <c r="H134" i="29"/>
  <c r="Z147" i="29"/>
  <c r="Y147" i="29"/>
  <c r="X147" i="29"/>
  <c r="AF154" i="29"/>
  <c r="AE154" i="29"/>
  <c r="AD154" i="29"/>
  <c r="Z167" i="29"/>
  <c r="Y167" i="29"/>
  <c r="X167" i="29"/>
  <c r="T169" i="29"/>
  <c r="S169" i="29"/>
  <c r="AF176" i="29"/>
  <c r="AD176" i="29"/>
  <c r="J178" i="29"/>
  <c r="I178" i="29"/>
  <c r="Z179" i="29"/>
  <c r="Y179" i="29"/>
  <c r="H180" i="29"/>
  <c r="AD184" i="29"/>
  <c r="X185" i="29"/>
  <c r="I186" i="29"/>
  <c r="H186" i="29"/>
  <c r="Z187" i="29"/>
  <c r="Y187" i="29"/>
  <c r="T190" i="29"/>
  <c r="S190" i="29"/>
  <c r="R190" i="29"/>
  <c r="AF190" i="29"/>
  <c r="AE190" i="29"/>
  <c r="J191" i="29"/>
  <c r="I192" i="29"/>
  <c r="H192" i="29"/>
  <c r="S194" i="29"/>
  <c r="X198" i="29"/>
  <c r="I199" i="29"/>
  <c r="H199" i="29"/>
  <c r="Z199" i="29"/>
  <c r="Y199" i="29"/>
  <c r="AF200" i="29"/>
  <c r="J202" i="29"/>
  <c r="I202" i="29"/>
  <c r="Z202" i="29"/>
  <c r="T237" i="29"/>
  <c r="S237" i="29"/>
  <c r="R237" i="29"/>
  <c r="AJ237" i="29" s="1"/>
  <c r="T242" i="29"/>
  <c r="S242" i="29"/>
  <c r="R242" i="29"/>
  <c r="Z245" i="29"/>
  <c r="Y245" i="29"/>
  <c r="X245" i="29"/>
  <c r="AD106" i="29"/>
  <c r="X111" i="29"/>
  <c r="AD114" i="29"/>
  <c r="X119" i="29"/>
  <c r="AD122" i="29"/>
  <c r="X123" i="29"/>
  <c r="X129" i="29"/>
  <c r="AF130" i="29"/>
  <c r="AE130" i="29"/>
  <c r="Z135" i="29"/>
  <c r="Y135" i="29"/>
  <c r="X135" i="29"/>
  <c r="T137" i="29"/>
  <c r="S137" i="29"/>
  <c r="X141" i="29"/>
  <c r="J142" i="29"/>
  <c r="I142" i="29"/>
  <c r="H142" i="29"/>
  <c r="Z143" i="29"/>
  <c r="Y143" i="29"/>
  <c r="X143" i="29"/>
  <c r="AD148" i="29"/>
  <c r="T151" i="29"/>
  <c r="S151" i="29"/>
  <c r="R151" i="29"/>
  <c r="AD152" i="29"/>
  <c r="T155" i="29"/>
  <c r="S155" i="29"/>
  <c r="AF162" i="29"/>
  <c r="AE162" i="29"/>
  <c r="AD162" i="29"/>
  <c r="T165" i="29"/>
  <c r="S165" i="29"/>
  <c r="T171" i="29"/>
  <c r="S171" i="29"/>
  <c r="R171" i="29"/>
  <c r="H176" i="29"/>
  <c r="H178" i="29"/>
  <c r="X179" i="29"/>
  <c r="Z184" i="29"/>
  <c r="Y184" i="29"/>
  <c r="AF185" i="29"/>
  <c r="AE185" i="29"/>
  <c r="J186" i="29"/>
  <c r="X187" i="29"/>
  <c r="R189" i="29"/>
  <c r="AJ189" i="29" s="1"/>
  <c r="AD190" i="29"/>
  <c r="J192" i="29"/>
  <c r="I193" i="29"/>
  <c r="H193" i="29"/>
  <c r="J194" i="29"/>
  <c r="I194" i="29"/>
  <c r="AF198" i="29"/>
  <c r="AE198" i="29"/>
  <c r="J199" i="29"/>
  <c r="X199" i="29"/>
  <c r="Y200" i="29"/>
  <c r="X200" i="29"/>
  <c r="AJ200" i="29" s="1"/>
  <c r="H202" i="29"/>
  <c r="AE202" i="29"/>
  <c r="AD202" i="29"/>
  <c r="T205" i="29"/>
  <c r="R205" i="29"/>
  <c r="T209" i="29"/>
  <c r="R209" i="29"/>
  <c r="T213" i="29"/>
  <c r="R213" i="29"/>
  <c r="T217" i="29"/>
  <c r="R217" i="29"/>
  <c r="T221" i="29"/>
  <c r="R221" i="29"/>
  <c r="R236" i="29"/>
  <c r="T236" i="29"/>
  <c r="S236" i="29"/>
  <c r="AF245" i="29"/>
  <c r="AE245" i="29"/>
  <c r="AD245" i="29"/>
  <c r="J125" i="29"/>
  <c r="I125" i="29"/>
  <c r="H125" i="29"/>
  <c r="AF126" i="29"/>
  <c r="AE126" i="29"/>
  <c r="T133" i="29"/>
  <c r="S133" i="29"/>
  <c r="T139" i="29"/>
  <c r="S139" i="29"/>
  <c r="R139" i="29"/>
  <c r="J146" i="29"/>
  <c r="I146" i="29"/>
  <c r="J150" i="29"/>
  <c r="I150" i="29"/>
  <c r="Z151" i="29"/>
  <c r="Y151" i="29"/>
  <c r="T157" i="29"/>
  <c r="S157" i="29"/>
  <c r="AF158" i="29"/>
  <c r="AE158" i="29"/>
  <c r="J170" i="29"/>
  <c r="I170" i="29"/>
  <c r="Z171" i="29"/>
  <c r="Y171" i="29"/>
  <c r="J172" i="29"/>
  <c r="H172" i="29"/>
  <c r="Z177" i="29"/>
  <c r="X177" i="29"/>
  <c r="R186" i="29"/>
  <c r="AJ186" i="29" s="1"/>
  <c r="AK186" i="29" s="1"/>
  <c r="S186" i="29"/>
  <c r="AF187" i="29"/>
  <c r="AE187" i="29"/>
  <c r="J189" i="29"/>
  <c r="I189" i="29"/>
  <c r="J190" i="29"/>
  <c r="I190" i="29"/>
  <c r="Z190" i="29"/>
  <c r="Y190" i="29"/>
  <c r="T192" i="29"/>
  <c r="S192" i="29"/>
  <c r="AJ197" i="29"/>
  <c r="AK197" i="29" s="1"/>
  <c r="T199" i="29"/>
  <c r="S199" i="29"/>
  <c r="AF199" i="29"/>
  <c r="AE199" i="29"/>
  <c r="T203" i="29"/>
  <c r="R203" i="29"/>
  <c r="Z238" i="29"/>
  <c r="Y238" i="29"/>
  <c r="X238" i="29"/>
  <c r="Z239" i="29"/>
  <c r="Y239" i="29"/>
  <c r="X239" i="29"/>
  <c r="AJ239" i="29" s="1"/>
  <c r="T264" i="29"/>
  <c r="R264" i="29"/>
  <c r="AF274" i="29"/>
  <c r="AD274" i="29"/>
  <c r="T275" i="29"/>
  <c r="S275" i="29"/>
  <c r="AD277" i="29"/>
  <c r="AF277" i="29"/>
  <c r="Y280" i="29"/>
  <c r="X280" i="29"/>
  <c r="T286" i="29"/>
  <c r="R286" i="29"/>
  <c r="T287" i="29"/>
  <c r="R287" i="29"/>
  <c r="X288" i="29"/>
  <c r="Y288" i="29"/>
  <c r="AE290" i="29"/>
  <c r="AD290" i="29"/>
  <c r="AF290" i="29"/>
  <c r="X297" i="29"/>
  <c r="AJ297" i="29" s="1"/>
  <c r="Z297" i="29"/>
  <c r="Y297" i="29"/>
  <c r="R249" i="29"/>
  <c r="X254" i="29"/>
  <c r="AJ255" i="29"/>
  <c r="AK255" i="29" s="1"/>
  <c r="AE256" i="29"/>
  <c r="AD259" i="29"/>
  <c r="X263" i="29"/>
  <c r="AJ263" i="29" s="1"/>
  <c r="S264" i="29"/>
  <c r="X265" i="29"/>
  <c r="AD266" i="29"/>
  <c r="T267" i="29"/>
  <c r="R267" i="29"/>
  <c r="T271" i="29"/>
  <c r="S271" i="29"/>
  <c r="AF273" i="29"/>
  <c r="AD273" i="29"/>
  <c r="T274" i="29"/>
  <c r="S274" i="29"/>
  <c r="Z275" i="29"/>
  <c r="X275" i="29"/>
  <c r="Z279" i="29"/>
  <c r="X279" i="29"/>
  <c r="T284" i="29"/>
  <c r="R284" i="29"/>
  <c r="T285" i="29"/>
  <c r="R285" i="29"/>
  <c r="X286" i="29"/>
  <c r="AJ286" i="29" s="1"/>
  <c r="Y286" i="29"/>
  <c r="X287" i="29"/>
  <c r="Y287" i="29"/>
  <c r="AJ287" i="29"/>
  <c r="AL287" i="29" s="1"/>
  <c r="AM287" i="29" s="1"/>
  <c r="Y289" i="29"/>
  <c r="X289" i="29"/>
  <c r="Z289" i="29"/>
  <c r="AE291" i="29"/>
  <c r="AF291" i="29"/>
  <c r="AD291" i="29"/>
  <c r="R303" i="29"/>
  <c r="S303" i="29"/>
  <c r="T312" i="29"/>
  <c r="S312" i="29"/>
  <c r="AF316" i="29"/>
  <c r="AE316" i="29"/>
  <c r="AD316" i="29"/>
  <c r="T319" i="29"/>
  <c r="S319" i="29"/>
  <c r="R319" i="29"/>
  <c r="T327" i="29"/>
  <c r="S327" i="29"/>
  <c r="R327" i="29"/>
  <c r="R328" i="29"/>
  <c r="AJ328" i="29" s="1"/>
  <c r="S328" i="29"/>
  <c r="Z329" i="29"/>
  <c r="Y329" i="29"/>
  <c r="X329" i="29"/>
  <c r="R225" i="29"/>
  <c r="R227" i="29"/>
  <c r="R229" i="29"/>
  <c r="H233" i="29"/>
  <c r="I236" i="29"/>
  <c r="R238" i="29"/>
  <c r="R239" i="29"/>
  <c r="X240" i="29"/>
  <c r="AJ240" i="29" s="1"/>
  <c r="AD240" i="29"/>
  <c r="X243" i="29"/>
  <c r="AD243" i="29"/>
  <c r="X244" i="29"/>
  <c r="AD244" i="29"/>
  <c r="R247" i="29"/>
  <c r="S248" i="29"/>
  <c r="R253" i="29"/>
  <c r="Z254" i="29"/>
  <c r="Y256" i="29"/>
  <c r="AF256" i="29"/>
  <c r="AD257" i="29"/>
  <c r="X259" i="29"/>
  <c r="AF259" i="29"/>
  <c r="T261" i="29"/>
  <c r="R261" i="29"/>
  <c r="T263" i="29"/>
  <c r="S263" i="29"/>
  <c r="Y263" i="29"/>
  <c r="AD264" i="29"/>
  <c r="AJ264" i="29" s="1"/>
  <c r="Z265" i="29"/>
  <c r="X266" i="29"/>
  <c r="AE266" i="29"/>
  <c r="S267" i="29"/>
  <c r="AE268" i="29"/>
  <c r="X270" i="29"/>
  <c r="AE270" i="29"/>
  <c r="AD271" i="29"/>
  <c r="T272" i="29"/>
  <c r="S272" i="29"/>
  <c r="AF272" i="29"/>
  <c r="AD272" i="29"/>
  <c r="T273" i="29"/>
  <c r="S273" i="29"/>
  <c r="AE273" i="29"/>
  <c r="Z274" i="29"/>
  <c r="X274" i="29"/>
  <c r="Y275" i="29"/>
  <c r="X277" i="29"/>
  <c r="Z277" i="29"/>
  <c r="Y279" i="29"/>
  <c r="Z281" i="29"/>
  <c r="X281" i="29"/>
  <c r="T283" i="29"/>
  <c r="R283" i="29"/>
  <c r="X284" i="29"/>
  <c r="Y284" i="29"/>
  <c r="X285" i="29"/>
  <c r="AJ285" i="29" s="1"/>
  <c r="Y285" i="29"/>
  <c r="Z286" i="29"/>
  <c r="Z287" i="29"/>
  <c r="AE289" i="29"/>
  <c r="AD289" i="29"/>
  <c r="AF289" i="29"/>
  <c r="J307" i="29"/>
  <c r="I307" i="29"/>
  <c r="H307" i="29"/>
  <c r="X127" i="29"/>
  <c r="S129" i="29"/>
  <c r="H130" i="29"/>
  <c r="X131" i="29"/>
  <c r="H132" i="29"/>
  <c r="R135" i="29"/>
  <c r="H136" i="29"/>
  <c r="AD138" i="29"/>
  <c r="S141" i="29"/>
  <c r="R143" i="29"/>
  <c r="AD144" i="29"/>
  <c r="X145" i="29"/>
  <c r="R147" i="29"/>
  <c r="S149" i="29"/>
  <c r="AD150" i="29"/>
  <c r="S153" i="29"/>
  <c r="H156" i="29"/>
  <c r="H158" i="29"/>
  <c r="X159" i="29"/>
  <c r="S161" i="29"/>
  <c r="H162" i="29"/>
  <c r="X163" i="29"/>
  <c r="H164" i="29"/>
  <c r="Y165" i="29"/>
  <c r="R167" i="29"/>
  <c r="H168" i="29"/>
  <c r="AD170" i="29"/>
  <c r="AD172" i="29"/>
  <c r="X173" i="29"/>
  <c r="R175" i="29"/>
  <c r="AD178" i="29"/>
  <c r="S184" i="29"/>
  <c r="R185" i="29"/>
  <c r="R204" i="29"/>
  <c r="R206" i="29"/>
  <c r="R208" i="29"/>
  <c r="R210" i="29"/>
  <c r="R212" i="29"/>
  <c r="R214" i="29"/>
  <c r="R216" i="29"/>
  <c r="R218" i="29"/>
  <c r="R220" i="29"/>
  <c r="R222" i="29"/>
  <c r="R224" i="29"/>
  <c r="J236" i="29"/>
  <c r="S238" i="29"/>
  <c r="S239" i="29"/>
  <c r="Z256" i="29"/>
  <c r="AF257" i="29"/>
  <c r="T259" i="29"/>
  <c r="R259" i="29"/>
  <c r="Z259" i="29"/>
  <c r="AF264" i="29"/>
  <c r="Y266" i="29"/>
  <c r="AF268" i="29"/>
  <c r="T270" i="29"/>
  <c r="S270" i="29"/>
  <c r="Y270" i="29"/>
  <c r="AE271" i="29"/>
  <c r="Z273" i="29"/>
  <c r="X273" i="29"/>
  <c r="AF275" i="29"/>
  <c r="AD275" i="29"/>
  <c r="AD279" i="29"/>
  <c r="AE279" i="29"/>
  <c r="X283" i="29"/>
  <c r="Y283" i="29"/>
  <c r="T288" i="29"/>
  <c r="R288" i="29"/>
  <c r="Y290" i="29"/>
  <c r="X290" i="29"/>
  <c r="Z290" i="29"/>
  <c r="H294" i="29"/>
  <c r="I294" i="29"/>
  <c r="X296" i="29"/>
  <c r="Y296" i="29"/>
  <c r="H299" i="29"/>
  <c r="I299" i="29"/>
  <c r="AD301" i="29"/>
  <c r="AF301" i="29"/>
  <c r="AE301" i="29"/>
  <c r="R306" i="29"/>
  <c r="AJ306" i="29" s="1"/>
  <c r="AK306" i="29" s="1"/>
  <c r="S306" i="29"/>
  <c r="T308" i="29"/>
  <c r="S308" i="29"/>
  <c r="AD292" i="29"/>
  <c r="AF292" i="29"/>
  <c r="Y304" i="29"/>
  <c r="X304" i="29"/>
  <c r="I309" i="29"/>
  <c r="H309" i="29"/>
  <c r="AF329" i="29"/>
  <c r="AE329" i="29"/>
  <c r="AD329" i="29"/>
  <c r="J306" i="29"/>
  <c r="I306" i="29"/>
  <c r="J308" i="29"/>
  <c r="I308" i="29"/>
  <c r="J309" i="29"/>
  <c r="T315" i="29"/>
  <c r="S315" i="29"/>
  <c r="R315" i="29"/>
  <c r="Z319" i="29"/>
  <c r="Y319" i="29"/>
  <c r="X319" i="29"/>
  <c r="Z320" i="29"/>
  <c r="Y320" i="29"/>
  <c r="X320" i="29"/>
  <c r="T325" i="29"/>
  <c r="S325" i="29"/>
  <c r="R325" i="29"/>
  <c r="R326" i="29"/>
  <c r="AJ326" i="29" s="1"/>
  <c r="S326" i="29"/>
  <c r="AF280" i="29"/>
  <c r="AE281" i="29"/>
  <c r="AF283" i="29"/>
  <c r="AF285" i="29"/>
  <c r="AF287" i="29"/>
  <c r="I292" i="29"/>
  <c r="J292" i="29"/>
  <c r="AD294" i="29"/>
  <c r="AJ294" i="29" s="1"/>
  <c r="AE294" i="29"/>
  <c r="AD302" i="29"/>
  <c r="AJ302" i="29" s="1"/>
  <c r="AF302" i="29"/>
  <c r="AE304" i="29"/>
  <c r="AD304" i="29"/>
  <c r="H306" i="29"/>
  <c r="R307" i="29"/>
  <c r="H308" i="29"/>
  <c r="J312" i="29"/>
  <c r="I312" i="29"/>
  <c r="H312" i="29"/>
  <c r="Z316" i="29"/>
  <c r="Y316" i="29"/>
  <c r="X316" i="29"/>
  <c r="R318" i="29"/>
  <c r="AJ318" i="29" s="1"/>
  <c r="S318" i="29"/>
  <c r="AF319" i="29"/>
  <c r="AE319" i="29"/>
  <c r="AD319" i="29"/>
  <c r="AF320" i="29"/>
  <c r="AE320" i="29"/>
  <c r="AD320" i="29"/>
  <c r="AJ320" i="29" s="1"/>
  <c r="R332" i="29"/>
  <c r="S332" i="29"/>
  <c r="AJ293" i="29"/>
  <c r="X310" i="29"/>
  <c r="AD310" i="29"/>
  <c r="AJ311" i="29"/>
  <c r="AK311" i="29" s="1"/>
  <c r="H313" i="29"/>
  <c r="H314" i="29"/>
  <c r="S314" i="29"/>
  <c r="X317" i="29"/>
  <c r="AD317" i="29"/>
  <c r="S322" i="29"/>
  <c r="X323" i="29"/>
  <c r="AD323" i="29"/>
  <c r="X324" i="29"/>
  <c r="AD324" i="29"/>
  <c r="R329" i="29"/>
  <c r="S330" i="29"/>
  <c r="X333" i="29"/>
  <c r="AD333" i="29"/>
  <c r="Z292" i="29"/>
  <c r="Y293" i="29"/>
  <c r="AE295" i="29"/>
  <c r="S297" i="29"/>
  <c r="AE299" i="29"/>
  <c r="AF300" i="29"/>
  <c r="S301" i="29"/>
  <c r="Y302" i="29"/>
  <c r="I303" i="29"/>
  <c r="S316" i="29"/>
  <c r="R317" i="29"/>
  <c r="S320" i="29"/>
  <c r="S329" i="29"/>
  <c r="R333" i="29"/>
  <c r="AC41" i="33"/>
  <c r="AE16" i="33"/>
  <c r="AD41" i="33"/>
  <c r="Q35" i="33"/>
  <c r="W49" i="33"/>
  <c r="W4" i="33"/>
  <c r="AC16" i="33"/>
  <c r="W48" i="33"/>
  <c r="Y59" i="33"/>
  <c r="X3" i="33"/>
  <c r="W17" i="33"/>
  <c r="I33" i="33"/>
  <c r="AD47" i="33"/>
  <c r="I51" i="33"/>
  <c r="X69" i="33"/>
  <c r="Y3" i="33"/>
  <c r="AE35" i="33"/>
  <c r="AE8" i="33"/>
  <c r="G10" i="33"/>
  <c r="AD22" i="33"/>
  <c r="AD39" i="33"/>
  <c r="AE47" i="33"/>
  <c r="X48" i="33"/>
  <c r="R52" i="33"/>
  <c r="AD59" i="33"/>
  <c r="X93" i="33"/>
  <c r="AE98" i="33"/>
  <c r="H10" i="33"/>
  <c r="Q25" i="33"/>
  <c r="G26" i="33"/>
  <c r="G27" i="33"/>
  <c r="W27" i="33"/>
  <c r="X36" i="33"/>
  <c r="I74" i="33"/>
  <c r="AC85" i="33"/>
  <c r="R25" i="33"/>
  <c r="I27" i="33"/>
  <c r="Y27" i="33"/>
  <c r="W16" i="33"/>
  <c r="G21" i="33"/>
  <c r="R24" i="33"/>
  <c r="H25" i="33"/>
  <c r="Y29" i="33"/>
  <c r="Y30" i="33"/>
  <c r="AE52" i="33"/>
  <c r="AD56" i="33"/>
  <c r="G63" i="33"/>
  <c r="AD69" i="33"/>
  <c r="AD90" i="33"/>
  <c r="Y108" i="33"/>
  <c r="R12" i="33"/>
  <c r="X14" i="33"/>
  <c r="Y16" i="33"/>
  <c r="G18" i="33"/>
  <c r="X19" i="33"/>
  <c r="I25" i="33"/>
  <c r="H29" i="33"/>
  <c r="AD32" i="33"/>
  <c r="Y35" i="33"/>
  <c r="H49" i="33"/>
  <c r="R51" i="33"/>
  <c r="AE56" i="33"/>
  <c r="H63" i="33"/>
  <c r="AE69" i="33"/>
  <c r="AE90" i="33"/>
  <c r="I4" i="33"/>
  <c r="Y4" i="33"/>
  <c r="Y11" i="33"/>
  <c r="H18" i="33"/>
  <c r="G19" i="33"/>
  <c r="Y19" i="33"/>
  <c r="AE32" i="33"/>
  <c r="W36" i="33"/>
  <c r="AC39" i="33"/>
  <c r="I49" i="33"/>
  <c r="AC50" i="33"/>
  <c r="H51" i="33"/>
  <c r="X59" i="33"/>
  <c r="AE59" i="33"/>
  <c r="Y65" i="33"/>
  <c r="Y66" i="33"/>
  <c r="H69" i="33"/>
  <c r="Y69" i="33"/>
  <c r="X74" i="33"/>
  <c r="AD85" i="33"/>
  <c r="Y52" i="33"/>
  <c r="W53" i="33"/>
  <c r="W60" i="33"/>
  <c r="AD61" i="33"/>
  <c r="Y67" i="33"/>
  <c r="X71" i="33"/>
  <c r="Q79" i="33"/>
  <c r="AI79" i="33" s="1"/>
  <c r="W85" i="33"/>
  <c r="Y101" i="33"/>
  <c r="AD106" i="33"/>
  <c r="X107" i="33"/>
  <c r="Y7" i="33"/>
  <c r="Y8" i="33"/>
  <c r="AC9" i="33"/>
  <c r="AE10" i="33"/>
  <c r="AC17" i="33"/>
  <c r="R20" i="33"/>
  <c r="AD37" i="33"/>
  <c r="W38" i="33"/>
  <c r="AC38" i="33"/>
  <c r="I40" i="33"/>
  <c r="W41" i="33"/>
  <c r="G43" i="33"/>
  <c r="Q43" i="33"/>
  <c r="X56" i="33"/>
  <c r="G58" i="33"/>
  <c r="AD3" i="33"/>
  <c r="AE4" i="33"/>
  <c r="H6" i="33"/>
  <c r="H7" i="33"/>
  <c r="W9" i="33"/>
  <c r="AD9" i="33"/>
  <c r="Q10" i="33"/>
  <c r="AE12" i="33"/>
  <c r="AE14" i="33"/>
  <c r="AD17" i="33"/>
  <c r="R19" i="33"/>
  <c r="AC27" i="33"/>
  <c r="X28" i="33"/>
  <c r="G33" i="33"/>
  <c r="Q33" i="33"/>
  <c r="W35" i="33"/>
  <c r="AC35" i="33"/>
  <c r="AI35" i="33" s="1"/>
  <c r="AC36" i="33"/>
  <c r="X37" i="33"/>
  <c r="AE37" i="33"/>
  <c r="X38" i="33"/>
  <c r="AD38" i="33"/>
  <c r="X41" i="33"/>
  <c r="H43" i="33"/>
  <c r="G47" i="33"/>
  <c r="AC48" i="33"/>
  <c r="AC54" i="33"/>
  <c r="G56" i="33"/>
  <c r="Y56" i="33"/>
  <c r="I60" i="33"/>
  <c r="W61" i="33"/>
  <c r="G62" i="33"/>
  <c r="AC62" i="33"/>
  <c r="R64" i="33"/>
  <c r="W73" i="33"/>
  <c r="AC75" i="33"/>
  <c r="X85" i="33"/>
  <c r="X89" i="33"/>
  <c r="AD94" i="33"/>
  <c r="AD97" i="33"/>
  <c r="AE100" i="33"/>
  <c r="X104" i="33"/>
  <c r="R105" i="33"/>
  <c r="AD105" i="33"/>
  <c r="Y107" i="33"/>
  <c r="AE3" i="33"/>
  <c r="I6" i="33"/>
  <c r="X9" i="33"/>
  <c r="AE27" i="33"/>
  <c r="R33" i="33"/>
  <c r="AD36" i="33"/>
  <c r="Y37" i="33"/>
  <c r="H47" i="33"/>
  <c r="AD48" i="33"/>
  <c r="G61" i="33"/>
  <c r="X61" i="33"/>
  <c r="AD62" i="33"/>
  <c r="W65" i="33"/>
  <c r="Q67" i="33"/>
  <c r="AE67" i="33"/>
  <c r="AC68" i="33"/>
  <c r="AE71" i="33"/>
  <c r="AC72" i="33"/>
  <c r="W74" i="33"/>
  <c r="Q78" i="33"/>
  <c r="AI78" i="33" s="1"/>
  <c r="Q81" i="33"/>
  <c r="H84" i="33"/>
  <c r="Q86" i="33"/>
  <c r="AE94" i="33"/>
  <c r="S96" i="33"/>
  <c r="AE97" i="33"/>
  <c r="AD98" i="33"/>
  <c r="S100" i="33"/>
  <c r="H102" i="33"/>
  <c r="AD102" i="33"/>
  <c r="AE103" i="33"/>
  <c r="Y104" i="33"/>
  <c r="S105" i="33"/>
  <c r="H4" i="33"/>
  <c r="AC4" i="33"/>
  <c r="H5" i="33"/>
  <c r="I8" i="33"/>
  <c r="X8" i="33"/>
  <c r="AD8" i="33"/>
  <c r="X11" i="33"/>
  <c r="AE11" i="33"/>
  <c r="W14" i="33"/>
  <c r="AD14" i="33"/>
  <c r="AC19" i="33"/>
  <c r="AD19" i="33"/>
  <c r="Y22" i="33"/>
  <c r="Y31" i="33"/>
  <c r="X31" i="33"/>
  <c r="I37" i="33"/>
  <c r="H37" i="33"/>
  <c r="G37" i="33"/>
  <c r="AE42" i="33"/>
  <c r="AD42" i="33"/>
  <c r="AC42" i="33"/>
  <c r="S44" i="33"/>
  <c r="R44" i="33"/>
  <c r="S60" i="33"/>
  <c r="R60" i="33"/>
  <c r="W96" i="33"/>
  <c r="X96" i="33"/>
  <c r="Q104" i="33"/>
  <c r="S104" i="33"/>
  <c r="G15" i="33"/>
  <c r="I15" i="33"/>
  <c r="W31" i="33"/>
  <c r="W32" i="33"/>
  <c r="X32" i="33"/>
  <c r="S37" i="33"/>
  <c r="R37" i="33"/>
  <c r="I42" i="33"/>
  <c r="H42" i="33"/>
  <c r="G42" i="33"/>
  <c r="AE53" i="33"/>
  <c r="AC53" i="33"/>
  <c r="I55" i="33"/>
  <c r="H55" i="33"/>
  <c r="G55" i="33"/>
  <c r="AD66" i="33"/>
  <c r="AE66" i="33"/>
  <c r="Y70" i="33"/>
  <c r="X70" i="33"/>
  <c r="W70" i="33"/>
  <c r="S80" i="33"/>
  <c r="Q80" i="33"/>
  <c r="AC88" i="33"/>
  <c r="AE88" i="33"/>
  <c r="AD88" i="33"/>
  <c r="W103" i="33"/>
  <c r="X103" i="33"/>
  <c r="AD108" i="33"/>
  <c r="AE108" i="33"/>
  <c r="H9" i="33"/>
  <c r="H12" i="33"/>
  <c r="H15" i="33"/>
  <c r="H17" i="33"/>
  <c r="G20" i="33"/>
  <c r="I20" i="33"/>
  <c r="W24" i="33"/>
  <c r="Y24" i="33"/>
  <c r="X24" i="33"/>
  <c r="AD28" i="33"/>
  <c r="R29" i="33"/>
  <c r="AE29" i="33"/>
  <c r="AD30" i="33"/>
  <c r="AE30" i="33"/>
  <c r="AE31" i="33"/>
  <c r="AD31" i="33"/>
  <c r="Q37" i="33"/>
  <c r="W47" i="33"/>
  <c r="Y47" i="33"/>
  <c r="X47" i="33"/>
  <c r="AE49" i="33"/>
  <c r="AC49" i="33"/>
  <c r="S55" i="33"/>
  <c r="Q55" i="33"/>
  <c r="S57" i="33"/>
  <c r="R57" i="33"/>
  <c r="S61" i="33"/>
  <c r="Q61" i="33"/>
  <c r="Y62" i="33"/>
  <c r="X62" i="33"/>
  <c r="W62" i="33"/>
  <c r="Y64" i="33"/>
  <c r="X64" i="33"/>
  <c r="W64" i="33"/>
  <c r="AE70" i="33"/>
  <c r="AD70" i="33"/>
  <c r="AC70" i="33"/>
  <c r="I73" i="33"/>
  <c r="H73" i="33"/>
  <c r="G73" i="33"/>
  <c r="AD73" i="33"/>
  <c r="AE73" i="33"/>
  <c r="AC73" i="33"/>
  <c r="Q4" i="33"/>
  <c r="R7" i="33"/>
  <c r="AE7" i="33"/>
  <c r="Y10" i="33"/>
  <c r="AD11" i="33"/>
  <c r="I12" i="33"/>
  <c r="Y12" i="33"/>
  <c r="I17" i="33"/>
  <c r="X17" i="33"/>
  <c r="Q18" i="33"/>
  <c r="AI18" i="33" s="1"/>
  <c r="H20" i="33"/>
  <c r="X22" i="33"/>
  <c r="AE22" i="33"/>
  <c r="G23" i="33"/>
  <c r="I23" i="33"/>
  <c r="I24" i="33"/>
  <c r="G24" i="33"/>
  <c r="AC24" i="33"/>
  <c r="AE24" i="33"/>
  <c r="S27" i="33"/>
  <c r="Q27" i="33"/>
  <c r="Y39" i="33"/>
  <c r="X39" i="33"/>
  <c r="AE60" i="33"/>
  <c r="AC60" i="33"/>
  <c r="I64" i="33"/>
  <c r="G64" i="33"/>
  <c r="AC64" i="33"/>
  <c r="AE64" i="33"/>
  <c r="AD64" i="33"/>
  <c r="S69" i="33"/>
  <c r="R69" i="33"/>
  <c r="S73" i="33"/>
  <c r="R73" i="33"/>
  <c r="AC84" i="33"/>
  <c r="AD84" i="33"/>
  <c r="AC92" i="33"/>
  <c r="AE92" i="33"/>
  <c r="AD92" i="33"/>
  <c r="Q97" i="33"/>
  <c r="R97" i="33"/>
  <c r="G103" i="33"/>
  <c r="I103" i="33"/>
  <c r="H103" i="33"/>
  <c r="H62" i="33"/>
  <c r="Y71" i="33"/>
  <c r="AD75" i="33"/>
  <c r="Y89" i="33"/>
  <c r="Y93" i="33"/>
  <c r="G40" i="33"/>
  <c r="R40" i="33"/>
  <c r="W42" i="33"/>
  <c r="G44" i="33"/>
  <c r="G46" i="33"/>
  <c r="Q47" i="33"/>
  <c r="G50" i="33"/>
  <c r="W50" i="33"/>
  <c r="G52" i="33"/>
  <c r="W52" i="33"/>
  <c r="AC52" i="33"/>
  <c r="G54" i="33"/>
  <c r="W54" i="33"/>
  <c r="R56" i="33"/>
  <c r="H57" i="33"/>
  <c r="H60" i="33"/>
  <c r="AC61" i="33"/>
  <c r="AI61" i="33" s="1"/>
  <c r="Q63" i="33"/>
  <c r="G66" i="33"/>
  <c r="W66" i="33"/>
  <c r="W67" i="33"/>
  <c r="AC67" i="33"/>
  <c r="G69" i="33"/>
  <c r="H70" i="33"/>
  <c r="AD74" i="33"/>
  <c r="W75" i="33"/>
  <c r="Q77" i="33"/>
  <c r="X91" i="33"/>
  <c r="X95" i="33"/>
  <c r="H98" i="33"/>
  <c r="X100" i="33"/>
  <c r="R101" i="33"/>
  <c r="AD101" i="33"/>
  <c r="I105" i="33"/>
  <c r="S107" i="33"/>
  <c r="X42" i="33"/>
  <c r="H44" i="33"/>
  <c r="H46" i="33"/>
  <c r="R47" i="33"/>
  <c r="H50" i="33"/>
  <c r="H54" i="33"/>
  <c r="I57" i="33"/>
  <c r="H66" i="33"/>
  <c r="Y91" i="33"/>
  <c r="Y95" i="33"/>
  <c r="X99" i="33"/>
  <c r="AI100" i="33"/>
  <c r="AE101" i="33"/>
  <c r="G3" i="33"/>
  <c r="Q3" i="33"/>
  <c r="AI3" i="33" s="1"/>
  <c r="I5" i="33"/>
  <c r="W5" i="33"/>
  <c r="AC5" i="33"/>
  <c r="W6" i="33"/>
  <c r="AC6" i="33"/>
  <c r="I7" i="33"/>
  <c r="I9" i="33"/>
  <c r="G11" i="33"/>
  <c r="R11" i="33"/>
  <c r="G13" i="33"/>
  <c r="W15" i="33"/>
  <c r="AC15" i="33"/>
  <c r="G16" i="33"/>
  <c r="Q16" i="33"/>
  <c r="Y32" i="33"/>
  <c r="I35" i="33"/>
  <c r="H35" i="33"/>
  <c r="Y43" i="33"/>
  <c r="X43" i="33"/>
  <c r="X44" i="33"/>
  <c r="W44" i="33"/>
  <c r="H45" i="33"/>
  <c r="G45" i="33"/>
  <c r="AE46" i="33"/>
  <c r="AD46" i="33"/>
  <c r="H48" i="33"/>
  <c r="G48" i="33"/>
  <c r="H3" i="33"/>
  <c r="R3" i="33"/>
  <c r="X5" i="33"/>
  <c r="AD5" i="33"/>
  <c r="X6" i="33"/>
  <c r="AD6" i="33"/>
  <c r="W7" i="33"/>
  <c r="AC7" i="33"/>
  <c r="G8" i="33"/>
  <c r="Q8" i="33"/>
  <c r="W10" i="33"/>
  <c r="AC10" i="33"/>
  <c r="H11" i="33"/>
  <c r="W12" i="33"/>
  <c r="AC12" i="33"/>
  <c r="H13" i="33"/>
  <c r="W13" i="33"/>
  <c r="AC13" i="33"/>
  <c r="G14" i="33"/>
  <c r="Q14" i="33"/>
  <c r="X15" i="33"/>
  <c r="AD15" i="33"/>
  <c r="H16" i="33"/>
  <c r="R16" i="33"/>
  <c r="W18" i="33"/>
  <c r="AC18" i="33"/>
  <c r="H19" i="33"/>
  <c r="W20" i="33"/>
  <c r="AI20" i="33" s="1"/>
  <c r="AC20" i="33"/>
  <c r="H21" i="33"/>
  <c r="W21" i="33"/>
  <c r="AC21" i="33"/>
  <c r="G22" i="33"/>
  <c r="Q22" i="33"/>
  <c r="AC23" i="33"/>
  <c r="H24" i="33"/>
  <c r="W25" i="33"/>
  <c r="AC25" i="33"/>
  <c r="H26" i="33"/>
  <c r="W26" i="33"/>
  <c r="AC26" i="33"/>
  <c r="G28" i="33"/>
  <c r="R28" i="33"/>
  <c r="Y28" i="33"/>
  <c r="AE28" i="33"/>
  <c r="I29" i="33"/>
  <c r="G30" i="33"/>
  <c r="G31" i="33"/>
  <c r="Q31" i="33"/>
  <c r="R32" i="33"/>
  <c r="AD33" i="33"/>
  <c r="AC33" i="33"/>
  <c r="X34" i="33"/>
  <c r="W34" i="33"/>
  <c r="S36" i="33"/>
  <c r="R36" i="33"/>
  <c r="H39" i="33"/>
  <c r="G39" i="33"/>
  <c r="AE40" i="33"/>
  <c r="AD40" i="33"/>
  <c r="S41" i="33"/>
  <c r="R41" i="33"/>
  <c r="W43" i="33"/>
  <c r="Y44" i="33"/>
  <c r="I45" i="33"/>
  <c r="AE45" i="33"/>
  <c r="AD45" i="33"/>
  <c r="AC46" i="33"/>
  <c r="I48" i="33"/>
  <c r="R5" i="33"/>
  <c r="Q7" i="33"/>
  <c r="Q12" i="33"/>
  <c r="AI12" i="33" s="1"/>
  <c r="X13" i="33"/>
  <c r="AD13" i="33"/>
  <c r="H14" i="33"/>
  <c r="R15" i="33"/>
  <c r="X18" i="33"/>
  <c r="AD18" i="33"/>
  <c r="Q20" i="33"/>
  <c r="X20" i="33"/>
  <c r="AD20" i="33"/>
  <c r="X21" i="33"/>
  <c r="AD21" i="33"/>
  <c r="H22" i="33"/>
  <c r="AD23" i="33"/>
  <c r="X25" i="33"/>
  <c r="AD25" i="33"/>
  <c r="X26" i="33"/>
  <c r="AD26" i="33"/>
  <c r="H28" i="33"/>
  <c r="W29" i="33"/>
  <c r="AC29" i="33"/>
  <c r="H30" i="33"/>
  <c r="W30" i="33"/>
  <c r="AC30" i="33"/>
  <c r="H31" i="33"/>
  <c r="G32" i="33"/>
  <c r="AE33" i="33"/>
  <c r="I34" i="33"/>
  <c r="H34" i="33"/>
  <c r="Y34" i="33"/>
  <c r="AE43" i="33"/>
  <c r="AD43" i="33"/>
  <c r="AD44" i="33"/>
  <c r="AC44" i="33"/>
  <c r="S45" i="33"/>
  <c r="R45" i="33"/>
  <c r="Q45" i="33"/>
  <c r="Y46" i="33"/>
  <c r="X46" i="33"/>
  <c r="S48" i="33"/>
  <c r="R48" i="33"/>
  <c r="Q29" i="33"/>
  <c r="H32" i="33"/>
  <c r="X33" i="33"/>
  <c r="W33" i="33"/>
  <c r="AD34" i="33"/>
  <c r="AC34" i="33"/>
  <c r="H36" i="33"/>
  <c r="G36" i="33"/>
  <c r="H38" i="33"/>
  <c r="G38" i="33"/>
  <c r="S39" i="33"/>
  <c r="Q39" i="33"/>
  <c r="AI39" i="33" s="1"/>
  <c r="Y40" i="33"/>
  <c r="X40" i="33"/>
  <c r="I41" i="33"/>
  <c r="H41" i="33"/>
  <c r="AC43" i="33"/>
  <c r="AE44" i="33"/>
  <c r="Y45" i="33"/>
  <c r="X45" i="33"/>
  <c r="W46" i="33"/>
  <c r="S74" i="33"/>
  <c r="R74" i="33"/>
  <c r="W77" i="33"/>
  <c r="Y77" i="33"/>
  <c r="AC79" i="33"/>
  <c r="AE79" i="33"/>
  <c r="W81" i="33"/>
  <c r="Y81" i="33"/>
  <c r="G88" i="33"/>
  <c r="H88" i="33"/>
  <c r="W88" i="33"/>
  <c r="AI88" i="33" s="1"/>
  <c r="X88" i="33"/>
  <c r="AC89" i="33"/>
  <c r="AD89" i="33"/>
  <c r="W90" i="33"/>
  <c r="X90" i="33"/>
  <c r="AC91" i="33"/>
  <c r="AD91" i="33"/>
  <c r="W92" i="33"/>
  <c r="X92" i="33"/>
  <c r="AC93" i="33"/>
  <c r="AD93" i="33"/>
  <c r="W94" i="33"/>
  <c r="X94" i="33"/>
  <c r="AC95" i="33"/>
  <c r="AD95" i="33"/>
  <c r="G97" i="33"/>
  <c r="H97" i="33"/>
  <c r="W97" i="33"/>
  <c r="X97" i="33"/>
  <c r="W102" i="33"/>
  <c r="AI102" i="33" s="1"/>
  <c r="Y102" i="33"/>
  <c r="X102" i="33"/>
  <c r="W105" i="33"/>
  <c r="AI105" i="33" s="1"/>
  <c r="Y105" i="33"/>
  <c r="X105" i="33"/>
  <c r="W106" i="33"/>
  <c r="Y106" i="33"/>
  <c r="X106" i="33"/>
  <c r="AD109" i="33"/>
  <c r="AE109" i="33"/>
  <c r="X49" i="33"/>
  <c r="AD49" i="33"/>
  <c r="X50" i="33"/>
  <c r="AD50" i="33"/>
  <c r="W51" i="33"/>
  <c r="AC51" i="33"/>
  <c r="AI51" i="33" s="1"/>
  <c r="H52" i="33"/>
  <c r="G53" i="33"/>
  <c r="Q53" i="33"/>
  <c r="AI53" i="33" s="1"/>
  <c r="X53" i="33"/>
  <c r="AD53" i="33"/>
  <c r="X54" i="33"/>
  <c r="AD54" i="33"/>
  <c r="W55" i="33"/>
  <c r="AI55" i="33" s="1"/>
  <c r="AC55" i="33"/>
  <c r="H56" i="33"/>
  <c r="W57" i="33"/>
  <c r="AC57" i="33"/>
  <c r="AI57" i="33" s="1"/>
  <c r="H58" i="33"/>
  <c r="W58" i="33"/>
  <c r="AC58" i="33"/>
  <c r="G59" i="33"/>
  <c r="Q59" i="33"/>
  <c r="X60" i="33"/>
  <c r="AD60" i="33"/>
  <c r="H61" i="33"/>
  <c r="R61" i="33"/>
  <c r="W63" i="33"/>
  <c r="AC63" i="33"/>
  <c r="H64" i="33"/>
  <c r="H65" i="33"/>
  <c r="AC65" i="33"/>
  <c r="G67" i="33"/>
  <c r="H68" i="33"/>
  <c r="W68" i="33"/>
  <c r="AD68" i="33"/>
  <c r="I70" i="33"/>
  <c r="H72" i="33"/>
  <c r="W72" i="33"/>
  <c r="AD72" i="33"/>
  <c r="Y73" i="33"/>
  <c r="Q74" i="33"/>
  <c r="S75" i="33"/>
  <c r="R75" i="33"/>
  <c r="X75" i="33"/>
  <c r="W76" i="33"/>
  <c r="AI76" i="33" s="1"/>
  <c r="X77" i="33"/>
  <c r="AC78" i="33"/>
  <c r="AE78" i="33"/>
  <c r="AD79" i="33"/>
  <c r="W80" i="33"/>
  <c r="Y80" i="33"/>
  <c r="X81" i="33"/>
  <c r="W84" i="33"/>
  <c r="AI84" i="33" s="1"/>
  <c r="X84" i="33"/>
  <c r="I88" i="33"/>
  <c r="Y88" i="33"/>
  <c r="AE89" i="33"/>
  <c r="Y90" i="33"/>
  <c r="AE91" i="33"/>
  <c r="Y92" i="33"/>
  <c r="AE93" i="33"/>
  <c r="Y94" i="33"/>
  <c r="AE95" i="33"/>
  <c r="G96" i="33"/>
  <c r="H96" i="33"/>
  <c r="I97" i="33"/>
  <c r="Y97" i="33"/>
  <c r="Q103" i="33"/>
  <c r="S103" i="33"/>
  <c r="R103" i="33"/>
  <c r="G104" i="33"/>
  <c r="I104" i="33"/>
  <c r="H104" i="33"/>
  <c r="AC107" i="33"/>
  <c r="AE107" i="33"/>
  <c r="AD107" i="33"/>
  <c r="Q49" i="33"/>
  <c r="AI49" i="33" s="1"/>
  <c r="Q51" i="33"/>
  <c r="X51" i="33"/>
  <c r="AD51" i="33"/>
  <c r="H53" i="33"/>
  <c r="R53" i="33"/>
  <c r="X55" i="33"/>
  <c r="AD55" i="33"/>
  <c r="Q57" i="33"/>
  <c r="X57" i="33"/>
  <c r="AD57" i="33"/>
  <c r="X58" i="33"/>
  <c r="AD58" i="33"/>
  <c r="H59" i="33"/>
  <c r="X63" i="33"/>
  <c r="AD63" i="33"/>
  <c r="I65" i="33"/>
  <c r="AE65" i="33"/>
  <c r="AC66" i="33"/>
  <c r="I67" i="33"/>
  <c r="I68" i="33"/>
  <c r="X68" i="33"/>
  <c r="Q69" i="33"/>
  <c r="AD71" i="33"/>
  <c r="I72" i="33"/>
  <c r="X72" i="33"/>
  <c r="G74" i="33"/>
  <c r="AC74" i="33"/>
  <c r="AI74" i="33" s="1"/>
  <c r="Q75" i="33"/>
  <c r="AI75" i="33" s="1"/>
  <c r="S76" i="33"/>
  <c r="R76" i="33"/>
  <c r="X76" i="33"/>
  <c r="AC77" i="33"/>
  <c r="AE77" i="33"/>
  <c r="W79" i="33"/>
  <c r="Y79" i="33"/>
  <c r="AC81" i="33"/>
  <c r="AE81" i="33"/>
  <c r="Y84" i="33"/>
  <c r="Q98" i="33"/>
  <c r="S98" i="33"/>
  <c r="Q99" i="33"/>
  <c r="Y99" i="33"/>
  <c r="R99" i="33"/>
  <c r="AC99" i="33"/>
  <c r="AD99" i="33"/>
  <c r="G101" i="33"/>
  <c r="I101" i="33"/>
  <c r="H101" i="33"/>
  <c r="R109" i="33"/>
  <c r="S109" i="33"/>
  <c r="X110" i="33"/>
  <c r="Y110" i="33"/>
  <c r="S65" i="33"/>
  <c r="Q65" i="33"/>
  <c r="S68" i="33"/>
  <c r="R68" i="33"/>
  <c r="S72" i="33"/>
  <c r="Q72" i="33"/>
  <c r="AC76" i="33"/>
  <c r="AE76" i="33"/>
  <c r="W78" i="33"/>
  <c r="Y78" i="33"/>
  <c r="AC80" i="33"/>
  <c r="AE80" i="33"/>
  <c r="S82" i="33"/>
  <c r="Q82" i="33"/>
  <c r="R83" i="33"/>
  <c r="S83" i="33"/>
  <c r="G85" i="33"/>
  <c r="I85" i="33"/>
  <c r="R87" i="33"/>
  <c r="Q87" i="33"/>
  <c r="Q89" i="33"/>
  <c r="R89" i="33"/>
  <c r="Q90" i="33"/>
  <c r="S90" i="33"/>
  <c r="Q91" i="33"/>
  <c r="R91" i="33"/>
  <c r="Q92" i="33"/>
  <c r="S92" i="33"/>
  <c r="Q93" i="33"/>
  <c r="R93" i="33"/>
  <c r="Q94" i="33"/>
  <c r="S94" i="33"/>
  <c r="Q95" i="33"/>
  <c r="R95" i="33"/>
  <c r="AC96" i="33"/>
  <c r="AI96" i="33" s="1"/>
  <c r="AJ96" i="33" s="1"/>
  <c r="AD96" i="33"/>
  <c r="W98" i="33"/>
  <c r="X98" i="33"/>
  <c r="S99" i="33"/>
  <c r="AE99" i="33"/>
  <c r="G100" i="33"/>
  <c r="H100" i="33"/>
  <c r="AC104" i="33"/>
  <c r="AI104" i="33" s="1"/>
  <c r="AJ104" i="33" s="1"/>
  <c r="AE104" i="33"/>
  <c r="AD104" i="33"/>
  <c r="R108" i="33"/>
  <c r="S108" i="33"/>
  <c r="R77" i="33"/>
  <c r="R78" i="33"/>
  <c r="R79" i="33"/>
  <c r="R80" i="33"/>
  <c r="R81" i="33"/>
  <c r="Y100" i="33"/>
  <c r="S101" i="33"/>
  <c r="AI101" i="33"/>
  <c r="AK101" i="33" s="1"/>
  <c r="AL101" i="33" s="1"/>
  <c r="I102" i="33"/>
  <c r="AE102" i="33"/>
  <c r="Y103" i="33"/>
  <c r="AE105" i="33"/>
  <c r="AE106" i="33"/>
  <c r="I84" i="33"/>
  <c r="AE84" i="33"/>
  <c r="S88" i="33"/>
  <c r="Y96" i="33"/>
  <c r="S97" i="33"/>
  <c r="AI97" i="33"/>
  <c r="AJ97" i="33" s="1"/>
  <c r="I98" i="33"/>
  <c r="AD100" i="33"/>
  <c r="X101" i="33"/>
  <c r="S102" i="33"/>
  <c r="AD103" i="33"/>
  <c r="H105" i="33"/>
  <c r="S106" i="33"/>
  <c r="Y109" i="33"/>
  <c r="S110" i="33"/>
  <c r="AE110" i="33"/>
  <c r="Y24" i="27"/>
  <c r="AE144" i="27"/>
  <c r="Y154" i="27"/>
  <c r="S256" i="27"/>
  <c r="Y16" i="27"/>
  <c r="AE34" i="27"/>
  <c r="X124" i="27"/>
  <c r="S186" i="27"/>
  <c r="Y12" i="27"/>
  <c r="X32" i="27"/>
  <c r="Y124" i="27"/>
  <c r="X113" i="27"/>
  <c r="R140" i="27"/>
  <c r="X172" i="27"/>
  <c r="X18" i="27"/>
  <c r="Q12" i="27"/>
  <c r="AD15" i="27"/>
  <c r="I66" i="27"/>
  <c r="AC66" i="27"/>
  <c r="Y72" i="27"/>
  <c r="Y130" i="27"/>
  <c r="X215" i="27"/>
  <c r="S12" i="27"/>
  <c r="AE66" i="27"/>
  <c r="AE140" i="27"/>
  <c r="AC144" i="27"/>
  <c r="S190" i="27"/>
  <c r="AD84" i="27"/>
  <c r="I102" i="27"/>
  <c r="AE114" i="27"/>
  <c r="G119" i="27"/>
  <c r="X119" i="27"/>
  <c r="X151" i="27"/>
  <c r="Q155" i="27"/>
  <c r="X156" i="27"/>
  <c r="AE188" i="27"/>
  <c r="AE192" i="27"/>
  <c r="Y207" i="27"/>
  <c r="I219" i="27"/>
  <c r="R347" i="27"/>
  <c r="I78" i="27"/>
  <c r="AC32" i="27"/>
  <c r="S38" i="27"/>
  <c r="I42" i="27"/>
  <c r="AD52" i="27"/>
  <c r="S62" i="27"/>
  <c r="AE72" i="27"/>
  <c r="S82" i="27"/>
  <c r="AE84" i="27"/>
  <c r="Y92" i="27"/>
  <c r="Y106" i="27"/>
  <c r="AE110" i="27"/>
  <c r="S114" i="27"/>
  <c r="AD116" i="27"/>
  <c r="H119" i="27"/>
  <c r="AE124" i="27"/>
  <c r="I132" i="27"/>
  <c r="S319" i="27"/>
  <c r="H19" i="27"/>
  <c r="Y22" i="27"/>
  <c r="W32" i="27"/>
  <c r="AD32" i="27"/>
  <c r="I34" i="27"/>
  <c r="AC34" i="27"/>
  <c r="H36" i="27"/>
  <c r="S40" i="27"/>
  <c r="X52" i="27"/>
  <c r="AE52" i="27"/>
  <c r="I90" i="27"/>
  <c r="Q140" i="27"/>
  <c r="AE141" i="27"/>
  <c r="X148" i="27"/>
  <c r="I160" i="27"/>
  <c r="AD160" i="27"/>
  <c r="S178" i="27"/>
  <c r="AE207" i="27"/>
  <c r="Y215" i="27"/>
  <c r="I260" i="27"/>
  <c r="Y63" i="27"/>
  <c r="X63" i="27"/>
  <c r="AD132" i="27"/>
  <c r="AE132" i="27"/>
  <c r="AE196" i="27"/>
  <c r="AD196" i="27"/>
  <c r="R260" i="27"/>
  <c r="S260" i="27"/>
  <c r="Y4" i="27"/>
  <c r="G10" i="27"/>
  <c r="H11" i="27"/>
  <c r="G16" i="27"/>
  <c r="W16" i="27"/>
  <c r="AC22" i="27"/>
  <c r="AE22" i="27"/>
  <c r="W84" i="27"/>
  <c r="Y84" i="27"/>
  <c r="X84" i="27"/>
  <c r="I88" i="27"/>
  <c r="H88" i="27"/>
  <c r="G88" i="27"/>
  <c r="G137" i="27"/>
  <c r="I137" i="27"/>
  <c r="S152" i="27"/>
  <c r="R152" i="27"/>
  <c r="H182" i="27"/>
  <c r="I182" i="27"/>
  <c r="G182" i="27"/>
  <c r="W192" i="27"/>
  <c r="Y192" i="27"/>
  <c r="X192" i="27"/>
  <c r="R224" i="27"/>
  <c r="S224" i="27"/>
  <c r="H319" i="27"/>
  <c r="I319" i="27"/>
  <c r="I328" i="27"/>
  <c r="H328" i="27"/>
  <c r="G328" i="27"/>
  <c r="H74" i="27"/>
  <c r="I74" i="27"/>
  <c r="X110" i="27"/>
  <c r="Y110" i="27"/>
  <c r="W110" i="27"/>
  <c r="AE112" i="27"/>
  <c r="AD112" i="27"/>
  <c r="Y116" i="27"/>
  <c r="X116" i="27"/>
  <c r="W116" i="27"/>
  <c r="X120" i="27"/>
  <c r="Y120" i="27"/>
  <c r="R174" i="27"/>
  <c r="S174" i="27"/>
  <c r="Q344" i="27"/>
  <c r="R344" i="27"/>
  <c r="Q4" i="27"/>
  <c r="X14" i="27"/>
  <c r="I16" i="27"/>
  <c r="Q16" i="27"/>
  <c r="S18" i="27"/>
  <c r="AD22" i="27"/>
  <c r="I30" i="27"/>
  <c r="I40" i="27"/>
  <c r="H40" i="27"/>
  <c r="AD48" i="27"/>
  <c r="AE48" i="27"/>
  <c r="AC48" i="27"/>
  <c r="X58" i="27"/>
  <c r="Y58" i="27"/>
  <c r="R80" i="27"/>
  <c r="S80" i="27"/>
  <c r="AE87" i="27"/>
  <c r="AD87" i="27"/>
  <c r="R88" i="27"/>
  <c r="S88" i="27"/>
  <c r="Q88" i="27"/>
  <c r="Y139" i="27"/>
  <c r="X139" i="27"/>
  <c r="S163" i="27"/>
  <c r="Q163" i="27"/>
  <c r="AC337" i="27"/>
  <c r="AD337" i="27"/>
  <c r="R162" i="27"/>
  <c r="S162" i="27"/>
  <c r="Q162" i="27"/>
  <c r="R267" i="27"/>
  <c r="Q267" i="27"/>
  <c r="AI267" i="27" s="1"/>
  <c r="I4" i="27"/>
  <c r="G6" i="27"/>
  <c r="H10" i="27"/>
  <c r="S4" i="27"/>
  <c r="H6" i="27"/>
  <c r="S16" i="27"/>
  <c r="H39" i="27"/>
  <c r="AD39" i="27"/>
  <c r="G40" i="27"/>
  <c r="R52" i="27"/>
  <c r="S52" i="27"/>
  <c r="Q52" i="27"/>
  <c r="AD74" i="27"/>
  <c r="AE74" i="27"/>
  <c r="AC74" i="27"/>
  <c r="AD86" i="27"/>
  <c r="AE86" i="27"/>
  <c r="AE123" i="27"/>
  <c r="AD123" i="27"/>
  <c r="AC123" i="27"/>
  <c r="X128" i="27"/>
  <c r="Y128" i="27"/>
  <c r="AC133" i="27"/>
  <c r="AE133" i="27"/>
  <c r="AD152" i="27"/>
  <c r="AE152" i="27"/>
  <c r="X217" i="27"/>
  <c r="Y217" i="27"/>
  <c r="AC219" i="27"/>
  <c r="AE219" i="27"/>
  <c r="AD219" i="27"/>
  <c r="G226" i="27"/>
  <c r="I226" i="27"/>
  <c r="H226" i="27"/>
  <c r="W262" i="27"/>
  <c r="X262" i="27"/>
  <c r="W317" i="27"/>
  <c r="X317" i="27"/>
  <c r="AI352" i="27"/>
  <c r="AK352" i="27" s="1"/>
  <c r="AL352" i="27" s="1"/>
  <c r="AI52" i="27"/>
  <c r="AJ52" i="27" s="1"/>
  <c r="Y54" i="27"/>
  <c r="Q58" i="27"/>
  <c r="X59" i="27"/>
  <c r="I64" i="27"/>
  <c r="I70" i="27"/>
  <c r="W72" i="27"/>
  <c r="AC72" i="27"/>
  <c r="H76" i="27"/>
  <c r="H79" i="27"/>
  <c r="AD79" i="27"/>
  <c r="G80" i="27"/>
  <c r="Y82" i="27"/>
  <c r="Q84" i="27"/>
  <c r="S90" i="27"/>
  <c r="W94" i="27"/>
  <c r="AD99" i="27"/>
  <c r="G100" i="27"/>
  <c r="S102" i="27"/>
  <c r="AE106" i="27"/>
  <c r="H107" i="27"/>
  <c r="W112" i="27"/>
  <c r="X127" i="27"/>
  <c r="R132" i="27"/>
  <c r="S138" i="27"/>
  <c r="Y142" i="27"/>
  <c r="Q143" i="27"/>
  <c r="AD148" i="27"/>
  <c r="AC150" i="27"/>
  <c r="AC164" i="27"/>
  <c r="I166" i="27"/>
  <c r="H188" i="27"/>
  <c r="Y194" i="27"/>
  <c r="W207" i="27"/>
  <c r="AC207" i="27"/>
  <c r="W209" i="27"/>
  <c r="Q213" i="27"/>
  <c r="Q219" i="27"/>
  <c r="H258" i="27"/>
  <c r="S266" i="27"/>
  <c r="S331" i="27"/>
  <c r="H332" i="27"/>
  <c r="AD332" i="27"/>
  <c r="G333" i="27"/>
  <c r="X26" i="27"/>
  <c r="Y28" i="27"/>
  <c r="S58" i="27"/>
  <c r="I68" i="27"/>
  <c r="G78" i="27"/>
  <c r="H80" i="27"/>
  <c r="Q82" i="27"/>
  <c r="S84" i="27"/>
  <c r="AI89" i="27"/>
  <c r="G90" i="27"/>
  <c r="Y94" i="27"/>
  <c r="I100" i="27"/>
  <c r="G102" i="27"/>
  <c r="W106" i="27"/>
  <c r="X112" i="27"/>
  <c r="Q114" i="27"/>
  <c r="AC114" i="27"/>
  <c r="AD124" i="27"/>
  <c r="H132" i="27"/>
  <c r="W148" i="27"/>
  <c r="I149" i="27"/>
  <c r="AE150" i="27"/>
  <c r="Y152" i="27"/>
  <c r="AD164" i="27"/>
  <c r="AD188" i="27"/>
  <c r="Q190" i="27"/>
  <c r="W200" i="27"/>
  <c r="Y209" i="27"/>
  <c r="AE215" i="27"/>
  <c r="AE217" i="27"/>
  <c r="G219" i="27"/>
  <c r="G221" i="27"/>
  <c r="I224" i="27"/>
  <c r="I258" i="27"/>
  <c r="AD262" i="27"/>
  <c r="Q317" i="27"/>
  <c r="AD317" i="27"/>
  <c r="Q319" i="27"/>
  <c r="AC319" i="27"/>
  <c r="X337" i="27"/>
  <c r="X8" i="27"/>
  <c r="Y8" i="27"/>
  <c r="AD80" i="27"/>
  <c r="AC80" i="27"/>
  <c r="AD28" i="27"/>
  <c r="AE28" i="27"/>
  <c r="AC28" i="27"/>
  <c r="X40" i="27"/>
  <c r="W40" i="27"/>
  <c r="H51" i="27"/>
  <c r="AD51" i="27"/>
  <c r="R70" i="27"/>
  <c r="S70" i="27"/>
  <c r="Q70" i="27"/>
  <c r="AE80" i="27"/>
  <c r="AD91" i="27"/>
  <c r="R98" i="27"/>
  <c r="S98" i="27"/>
  <c r="Y104" i="27"/>
  <c r="X104" i="27"/>
  <c r="W104" i="27"/>
  <c r="AD118" i="27"/>
  <c r="AE118" i="27"/>
  <c r="AC121" i="27"/>
  <c r="AE121" i="27"/>
  <c r="I128" i="27"/>
  <c r="H128" i="27"/>
  <c r="I131" i="27"/>
  <c r="H131" i="27"/>
  <c r="G131" i="27"/>
  <c r="AE135" i="27"/>
  <c r="AD135" i="27"/>
  <c r="AC135" i="27"/>
  <c r="W165" i="27"/>
  <c r="X165" i="27"/>
  <c r="Y167" i="27"/>
  <c r="W167" i="27"/>
  <c r="R194" i="27"/>
  <c r="S194" i="27"/>
  <c r="Q194" i="27"/>
  <c r="H198" i="27"/>
  <c r="I198" i="27"/>
  <c r="G198" i="27"/>
  <c r="AD200" i="27"/>
  <c r="AE200" i="27"/>
  <c r="R221" i="27"/>
  <c r="S221" i="27"/>
  <c r="AE325" i="27"/>
  <c r="AD325" i="27"/>
  <c r="AC325" i="27"/>
  <c r="AD331" i="27"/>
  <c r="AE331" i="27"/>
  <c r="W333" i="27"/>
  <c r="X333" i="27"/>
  <c r="S337" i="27"/>
  <c r="Q337" i="27"/>
  <c r="Y47" i="27"/>
  <c r="X47" i="27"/>
  <c r="H60" i="27"/>
  <c r="I60" i="27"/>
  <c r="I84" i="27"/>
  <c r="H84" i="27"/>
  <c r="I24" i="27"/>
  <c r="H83" i="27"/>
  <c r="AD83" i="27"/>
  <c r="Q8" i="27"/>
  <c r="I12" i="27"/>
  <c r="G14" i="27"/>
  <c r="AD14" i="27"/>
  <c r="S20" i="27"/>
  <c r="X22" i="27"/>
  <c r="Q22" i="27"/>
  <c r="W22" i="27"/>
  <c r="I26" i="27"/>
  <c r="H26" i="27"/>
  <c r="G26" i="27"/>
  <c r="AD31" i="27"/>
  <c r="I32" i="27"/>
  <c r="H32" i="27"/>
  <c r="G32" i="27"/>
  <c r="AI32" i="27"/>
  <c r="AE36" i="27"/>
  <c r="AD36" i="27"/>
  <c r="Y40" i="27"/>
  <c r="X48" i="27"/>
  <c r="Y48" i="27"/>
  <c r="H50" i="27"/>
  <c r="I50" i="27"/>
  <c r="X62" i="27"/>
  <c r="Y62" i="27"/>
  <c r="W62" i="27"/>
  <c r="AE71" i="27"/>
  <c r="AD71" i="27"/>
  <c r="R72" i="27"/>
  <c r="S72" i="27"/>
  <c r="R76" i="27"/>
  <c r="S76" i="27"/>
  <c r="Q76" i="27"/>
  <c r="AI76" i="27" s="1"/>
  <c r="X80" i="27"/>
  <c r="W80" i="27"/>
  <c r="H86" i="27"/>
  <c r="I86" i="27"/>
  <c r="G86" i="27"/>
  <c r="AE88" i="27"/>
  <c r="R92" i="27"/>
  <c r="S92" i="27"/>
  <c r="AD92" i="27"/>
  <c r="AE92" i="27"/>
  <c r="Y96" i="27"/>
  <c r="X96" i="27"/>
  <c r="Q98" i="27"/>
  <c r="AE100" i="27"/>
  <c r="AD100" i="27"/>
  <c r="AC100" i="27"/>
  <c r="AE104" i="27"/>
  <c r="AD104" i="27"/>
  <c r="S111" i="27"/>
  <c r="Q111" i="27"/>
  <c r="S115" i="27"/>
  <c r="Q115" i="27"/>
  <c r="AC118" i="27"/>
  <c r="S120" i="27"/>
  <c r="R120" i="27"/>
  <c r="AD120" i="27"/>
  <c r="AE120" i="27"/>
  <c r="G125" i="27"/>
  <c r="I125" i="27"/>
  <c r="H127" i="27"/>
  <c r="G128" i="27"/>
  <c r="AC129" i="27"/>
  <c r="AE129" i="27"/>
  <c r="Y136" i="27"/>
  <c r="X136" i="27"/>
  <c r="G140" i="27"/>
  <c r="I140" i="27"/>
  <c r="H140" i="27"/>
  <c r="X144" i="27"/>
  <c r="Y144" i="27"/>
  <c r="G145" i="27"/>
  <c r="I145" i="27"/>
  <c r="AE147" i="27"/>
  <c r="AD147" i="27"/>
  <c r="AC147" i="27"/>
  <c r="AE155" i="27"/>
  <c r="AC155" i="27"/>
  <c r="AC156" i="27"/>
  <c r="AE156" i="27"/>
  <c r="Y160" i="27"/>
  <c r="W160" i="27"/>
  <c r="W188" i="27"/>
  <c r="X188" i="27"/>
  <c r="Y188" i="27"/>
  <c r="Y36" i="27"/>
  <c r="X36" i="27"/>
  <c r="X38" i="27"/>
  <c r="Y38" i="27"/>
  <c r="W38" i="27"/>
  <c r="X44" i="27"/>
  <c r="Y44" i="27"/>
  <c r="W44" i="27"/>
  <c r="I52" i="27"/>
  <c r="H52" i="27"/>
  <c r="AC14" i="27"/>
  <c r="AD16" i="27"/>
  <c r="AE16" i="27"/>
  <c r="AD44" i="27"/>
  <c r="AE44" i="27"/>
  <c r="AD54" i="27"/>
  <c r="AE54" i="27"/>
  <c r="AC54" i="27"/>
  <c r="I72" i="27"/>
  <c r="H72" i="27"/>
  <c r="G72" i="27"/>
  <c r="AE76" i="27"/>
  <c r="AD76" i="27"/>
  <c r="H3" i="27"/>
  <c r="S8" i="27"/>
  <c r="H14" i="27"/>
  <c r="X20" i="27"/>
  <c r="G22" i="27"/>
  <c r="I22" i="27"/>
  <c r="R24" i="27"/>
  <c r="S24" i="27"/>
  <c r="Q24" i="27"/>
  <c r="AE26" i="27"/>
  <c r="AD26" i="27"/>
  <c r="R32" i="27"/>
  <c r="S32" i="27"/>
  <c r="R36" i="27"/>
  <c r="S36" i="27"/>
  <c r="Q36" i="27"/>
  <c r="AC36" i="27"/>
  <c r="AD40" i="27"/>
  <c r="AC40" i="27"/>
  <c r="W48" i="27"/>
  <c r="Y55" i="27"/>
  <c r="X55" i="27"/>
  <c r="I71" i="27"/>
  <c r="H71" i="27"/>
  <c r="Q72" i="27"/>
  <c r="Y76" i="27"/>
  <c r="X76" i="27"/>
  <c r="AD78" i="27"/>
  <c r="AE78" i="27"/>
  <c r="Y80" i="27"/>
  <c r="Q92" i="27"/>
  <c r="W96" i="27"/>
  <c r="AC104" i="27"/>
  <c r="Y108" i="27"/>
  <c r="X108" i="27"/>
  <c r="W108" i="27"/>
  <c r="I113" i="27"/>
  <c r="AC113" i="27"/>
  <c r="AI113" i="27" s="1"/>
  <c r="AE113" i="27"/>
  <c r="I117" i="27"/>
  <c r="R118" i="27"/>
  <c r="S118" i="27"/>
  <c r="S128" i="27"/>
  <c r="R128" i="27"/>
  <c r="AD128" i="27"/>
  <c r="AE128" i="27"/>
  <c r="Y131" i="27"/>
  <c r="X131" i="27"/>
  <c r="I139" i="27"/>
  <c r="H139" i="27"/>
  <c r="W161" i="27"/>
  <c r="X161" i="27"/>
  <c r="H164" i="27"/>
  <c r="G164" i="27"/>
  <c r="I164" i="27"/>
  <c r="G169" i="27"/>
  <c r="H169" i="27"/>
  <c r="R170" i="27"/>
  <c r="Q170" i="27"/>
  <c r="S170" i="27"/>
  <c r="I92" i="27"/>
  <c r="H92" i="27"/>
  <c r="Y95" i="27"/>
  <c r="X95" i="27"/>
  <c r="Y99" i="27"/>
  <c r="X99" i="27"/>
  <c r="AE108" i="27"/>
  <c r="AD108" i="27"/>
  <c r="AE111" i="27"/>
  <c r="AD111" i="27"/>
  <c r="AE115" i="27"/>
  <c r="AD115" i="27"/>
  <c r="I120" i="27"/>
  <c r="H120" i="27"/>
  <c r="Y122" i="27"/>
  <c r="Q123" i="27"/>
  <c r="AD126" i="27"/>
  <c r="AE126" i="27"/>
  <c r="AC126" i="27"/>
  <c r="Q128" i="27"/>
  <c r="X132" i="27"/>
  <c r="Y132" i="27"/>
  <c r="AE136" i="27"/>
  <c r="AD136" i="27"/>
  <c r="AD146" i="27"/>
  <c r="AE146" i="27"/>
  <c r="AC146" i="27"/>
  <c r="R150" i="27"/>
  <c r="S150" i="27"/>
  <c r="G152" i="27"/>
  <c r="H152" i="27"/>
  <c r="I152" i="27"/>
  <c r="R182" i="27"/>
  <c r="S182" i="27"/>
  <c r="G184" i="27"/>
  <c r="H184" i="27"/>
  <c r="R188" i="27"/>
  <c r="S188" i="27"/>
  <c r="I215" i="27"/>
  <c r="H215" i="27"/>
  <c r="G215" i="27"/>
  <c r="H256" i="27"/>
  <c r="I256" i="27"/>
  <c r="G256" i="27"/>
  <c r="H317" i="27"/>
  <c r="I317" i="27"/>
  <c r="G317" i="27"/>
  <c r="Y321" i="27"/>
  <c r="X321" i="27"/>
  <c r="W321" i="27"/>
  <c r="R323" i="27"/>
  <c r="Q323" i="27"/>
  <c r="G325" i="27"/>
  <c r="H325" i="27"/>
  <c r="I326" i="27"/>
  <c r="H326" i="27"/>
  <c r="R327" i="27"/>
  <c r="Q327" i="27"/>
  <c r="AE328" i="27"/>
  <c r="AD328" i="27"/>
  <c r="AE143" i="27"/>
  <c r="AC143" i="27"/>
  <c r="I151" i="27"/>
  <c r="H151" i="27"/>
  <c r="AE163" i="27"/>
  <c r="AD163" i="27"/>
  <c r="G165" i="27"/>
  <c r="H165" i="27"/>
  <c r="AE167" i="27"/>
  <c r="AC167" i="27"/>
  <c r="H174" i="27"/>
  <c r="G174" i="27"/>
  <c r="H178" i="27"/>
  <c r="G178" i="27"/>
  <c r="I184" i="27"/>
  <c r="I192" i="27"/>
  <c r="H192" i="27"/>
  <c r="G192" i="27"/>
  <c r="R215" i="27"/>
  <c r="S215" i="27"/>
  <c r="Q215" i="27"/>
  <c r="AE321" i="27"/>
  <c r="AD321" i="27"/>
  <c r="AC321" i="27"/>
  <c r="W14" i="27"/>
  <c r="Y18" i="27"/>
  <c r="Y26" i="27"/>
  <c r="AD27" i="27"/>
  <c r="W28" i="27"/>
  <c r="G34" i="27"/>
  <c r="H35" i="27"/>
  <c r="AD35" i="27"/>
  <c r="G36" i="27"/>
  <c r="Q38" i="27"/>
  <c r="Q40" i="27"/>
  <c r="X43" i="27"/>
  <c r="I46" i="27"/>
  <c r="W54" i="27"/>
  <c r="I56" i="27"/>
  <c r="W58" i="27"/>
  <c r="Q62" i="27"/>
  <c r="G66" i="27"/>
  <c r="X67" i="27"/>
  <c r="G70" i="27"/>
  <c r="G74" i="27"/>
  <c r="H75" i="27"/>
  <c r="AD75" i="27"/>
  <c r="G76" i="27"/>
  <c r="Q80" i="27"/>
  <c r="W82" i="27"/>
  <c r="AC86" i="27"/>
  <c r="Y88" i="27"/>
  <c r="Q90" i="27"/>
  <c r="H99" i="27"/>
  <c r="Q102" i="27"/>
  <c r="X103" i="27"/>
  <c r="AC106" i="27"/>
  <c r="X107" i="27"/>
  <c r="AC110" i="27"/>
  <c r="AC112" i="27"/>
  <c r="AC116" i="27"/>
  <c r="S126" i="27"/>
  <c r="Q132" i="27"/>
  <c r="Y134" i="27"/>
  <c r="Q135" i="27"/>
  <c r="AD138" i="27"/>
  <c r="AE138" i="27"/>
  <c r="X140" i="27"/>
  <c r="Y140" i="27"/>
  <c r="AD143" i="27"/>
  <c r="S146" i="27"/>
  <c r="S147" i="27"/>
  <c r="Q147" i="27"/>
  <c r="AC148" i="27"/>
  <c r="AC157" i="27"/>
  <c r="AE157" i="27"/>
  <c r="I165" i="27"/>
  <c r="AD167" i="27"/>
  <c r="AE168" i="27"/>
  <c r="AC168" i="27"/>
  <c r="H170" i="27"/>
  <c r="I170" i="27"/>
  <c r="I174" i="27"/>
  <c r="I178" i="27"/>
  <c r="H186" i="27"/>
  <c r="G186" i="27"/>
  <c r="Q188" i="27"/>
  <c r="R192" i="27"/>
  <c r="S192" i="27"/>
  <c r="Q192" i="27"/>
  <c r="AI192" i="27" s="1"/>
  <c r="AD202" i="27"/>
  <c r="AE202" i="27"/>
  <c r="AC202" i="27"/>
  <c r="X213" i="27"/>
  <c r="Y213" i="27"/>
  <c r="W219" i="27"/>
  <c r="Y219" i="27"/>
  <c r="X219" i="27"/>
  <c r="R222" i="27"/>
  <c r="S222" i="27"/>
  <c r="Q222" i="27"/>
  <c r="AI222" i="27" s="1"/>
  <c r="AD224" i="27"/>
  <c r="AC224" i="27"/>
  <c r="AD260" i="27"/>
  <c r="AC260" i="27"/>
  <c r="R262" i="27"/>
  <c r="Q262" i="27"/>
  <c r="AI262" i="27" s="1"/>
  <c r="G321" i="27"/>
  <c r="H321" i="27"/>
  <c r="AD323" i="27"/>
  <c r="AE323" i="27"/>
  <c r="AC323" i="27"/>
  <c r="Y325" i="27"/>
  <c r="X325" i="27"/>
  <c r="W325" i="27"/>
  <c r="Y326" i="27"/>
  <c r="X326" i="27"/>
  <c r="AD327" i="27"/>
  <c r="AE327" i="27"/>
  <c r="AC327" i="27"/>
  <c r="Y262" i="27"/>
  <c r="AE262" i="27"/>
  <c r="S267" i="27"/>
  <c r="AI300" i="27"/>
  <c r="AK300" i="27" s="1"/>
  <c r="AL300" i="27" s="1"/>
  <c r="AI302" i="27"/>
  <c r="AK302" i="27" s="1"/>
  <c r="AL302" i="27" s="1"/>
  <c r="AI304" i="27"/>
  <c r="AK304" i="27" s="1"/>
  <c r="AL304" i="27" s="1"/>
  <c r="AI306" i="27"/>
  <c r="AK306" i="27" s="1"/>
  <c r="AL306" i="27" s="1"/>
  <c r="AI308" i="27"/>
  <c r="AK308" i="27" s="1"/>
  <c r="AL308" i="27" s="1"/>
  <c r="AI310" i="27"/>
  <c r="AK310" i="27" s="1"/>
  <c r="AL310" i="27" s="1"/>
  <c r="AI312" i="27"/>
  <c r="AK312" i="27" s="1"/>
  <c r="AL312" i="27" s="1"/>
  <c r="AI314" i="27"/>
  <c r="AK314" i="27" s="1"/>
  <c r="AL314" i="27" s="1"/>
  <c r="AI316" i="27"/>
  <c r="AK316" i="27" s="1"/>
  <c r="AL316" i="27" s="1"/>
  <c r="Y322" i="27"/>
  <c r="I333" i="27"/>
  <c r="AI342" i="27"/>
  <c r="AI344" i="27"/>
  <c r="AK344" i="27" s="1"/>
  <c r="AL344" i="27" s="1"/>
  <c r="Y156" i="27"/>
  <c r="I188" i="27"/>
  <c r="AI188" i="27"/>
  <c r="Y190" i="27"/>
  <c r="AD192" i="27"/>
  <c r="AC196" i="27"/>
  <c r="I200" i="27"/>
  <c r="Y200" i="27"/>
  <c r="AE209" i="27"/>
  <c r="S213" i="27"/>
  <c r="AD215" i="27"/>
  <c r="W217" i="27"/>
  <c r="S219" i="27"/>
  <c r="I221" i="27"/>
  <c r="G224" i="27"/>
  <c r="S226" i="27"/>
  <c r="AC256" i="27"/>
  <c r="S258" i="27"/>
  <c r="G260" i="27"/>
  <c r="G262" i="27"/>
  <c r="S321" i="27"/>
  <c r="H322" i="27"/>
  <c r="AD322" i="27"/>
  <c r="Y323" i="27"/>
  <c r="S325" i="27"/>
  <c r="AD326" i="27"/>
  <c r="Y327" i="27"/>
  <c r="G332" i="27"/>
  <c r="Q333" i="27"/>
  <c r="AD333" i="27"/>
  <c r="G336" i="27"/>
  <c r="H337" i="27"/>
  <c r="R343" i="27"/>
  <c r="R352" i="27"/>
  <c r="W6" i="27"/>
  <c r="AC6" i="27"/>
  <c r="G18" i="27"/>
  <c r="AC18" i="27"/>
  <c r="H23" i="27"/>
  <c r="W26" i="27"/>
  <c r="Q28" i="27"/>
  <c r="AI28" i="27" s="1"/>
  <c r="W30" i="27"/>
  <c r="AC30" i="27"/>
  <c r="H31" i="27"/>
  <c r="X31" i="27"/>
  <c r="W34" i="27"/>
  <c r="G38" i="27"/>
  <c r="Q44" i="27"/>
  <c r="AI44" i="27" s="1"/>
  <c r="Q48" i="27"/>
  <c r="AC50" i="27"/>
  <c r="W56" i="27"/>
  <c r="AC56" i="27"/>
  <c r="AI57" i="27"/>
  <c r="G58" i="27"/>
  <c r="H59" i="27"/>
  <c r="W64" i="27"/>
  <c r="AC64" i="27"/>
  <c r="W68" i="27"/>
  <c r="AC68" i="27"/>
  <c r="W86" i="27"/>
  <c r="X87" i="27"/>
  <c r="AC90" i="27"/>
  <c r="X91" i="27"/>
  <c r="H95" i="27"/>
  <c r="G98" i="27"/>
  <c r="W100" i="27"/>
  <c r="AI100" i="27" s="1"/>
  <c r="H103" i="27"/>
  <c r="I104" i="27"/>
  <c r="H104" i="27"/>
  <c r="H106" i="27"/>
  <c r="I106" i="27"/>
  <c r="G106" i="27"/>
  <c r="I108" i="27"/>
  <c r="H108" i="27"/>
  <c r="H110" i="27"/>
  <c r="I110" i="27"/>
  <c r="G110" i="27"/>
  <c r="I111" i="27"/>
  <c r="H111" i="27"/>
  <c r="Y111" i="27"/>
  <c r="X111" i="27"/>
  <c r="S112" i="27"/>
  <c r="R112" i="27"/>
  <c r="I115" i="27"/>
  <c r="H115" i="27"/>
  <c r="Y115" i="27"/>
  <c r="X115" i="27"/>
  <c r="S116" i="27"/>
  <c r="R116" i="27"/>
  <c r="X118" i="27"/>
  <c r="Y118" i="27"/>
  <c r="R122" i="27"/>
  <c r="S122" i="27"/>
  <c r="Q122" i="27"/>
  <c r="I123" i="27"/>
  <c r="H123" i="27"/>
  <c r="G123" i="27"/>
  <c r="W133" i="27"/>
  <c r="AI133" i="27" s="1"/>
  <c r="X133" i="27"/>
  <c r="I136" i="27"/>
  <c r="H136" i="27"/>
  <c r="G136" i="27"/>
  <c r="W141" i="27"/>
  <c r="X141" i="27"/>
  <c r="I144" i="27"/>
  <c r="H144" i="27"/>
  <c r="G144" i="27"/>
  <c r="I148" i="27"/>
  <c r="H148" i="27"/>
  <c r="G148" i="27"/>
  <c r="G157" i="27"/>
  <c r="I157" i="27"/>
  <c r="I159" i="27"/>
  <c r="H159" i="27"/>
  <c r="G159" i="27"/>
  <c r="Y168" i="27"/>
  <c r="X168" i="27"/>
  <c r="W168" i="27"/>
  <c r="X170" i="27"/>
  <c r="W170" i="27"/>
  <c r="Y170" i="27"/>
  <c r="AD194" i="27"/>
  <c r="AE194" i="27"/>
  <c r="AC194" i="27"/>
  <c r="AE226" i="27"/>
  <c r="AD226" i="27"/>
  <c r="AC226" i="27"/>
  <c r="X256" i="27"/>
  <c r="Y256" i="27"/>
  <c r="W256" i="27"/>
  <c r="AE258" i="27"/>
  <c r="AD258" i="27"/>
  <c r="AC258" i="27"/>
  <c r="X3" i="27"/>
  <c r="X7" i="27"/>
  <c r="AC46" i="27"/>
  <c r="H47" i="27"/>
  <c r="W50" i="27"/>
  <c r="AC4" i="27"/>
  <c r="Q6" i="27"/>
  <c r="X6" i="27"/>
  <c r="AD6" i="27"/>
  <c r="AC8" i="27"/>
  <c r="Q10" i="27"/>
  <c r="X10" i="27"/>
  <c r="AD10" i="27"/>
  <c r="AC12" i="27"/>
  <c r="Q14" i="27"/>
  <c r="Y14" i="27"/>
  <c r="H15" i="27"/>
  <c r="H18" i="27"/>
  <c r="W18" i="27"/>
  <c r="AD18" i="27"/>
  <c r="AD19" i="27"/>
  <c r="G20" i="27"/>
  <c r="W20" i="27"/>
  <c r="AE20" i="27"/>
  <c r="X24" i="27"/>
  <c r="AC24" i="27"/>
  <c r="Q26" i="27"/>
  <c r="H27" i="27"/>
  <c r="G28" i="27"/>
  <c r="S28" i="27"/>
  <c r="G30" i="27"/>
  <c r="Q30" i="27"/>
  <c r="X30" i="27"/>
  <c r="AD30" i="27"/>
  <c r="Q34" i="27"/>
  <c r="Y34" i="27"/>
  <c r="X35" i="27"/>
  <c r="I38" i="27"/>
  <c r="AC38" i="27"/>
  <c r="X39" i="27"/>
  <c r="G42" i="27"/>
  <c r="Q42" i="27"/>
  <c r="X42" i="27"/>
  <c r="AD42" i="27"/>
  <c r="AD43" i="27"/>
  <c r="G44" i="27"/>
  <c r="S44" i="27"/>
  <c r="AI45" i="27"/>
  <c r="G46" i="27"/>
  <c r="Q46" i="27"/>
  <c r="X46" i="27"/>
  <c r="AD46" i="27"/>
  <c r="AD47" i="27"/>
  <c r="G48" i="27"/>
  <c r="S48" i="27"/>
  <c r="G50" i="27"/>
  <c r="Q50" i="27"/>
  <c r="X50" i="27"/>
  <c r="AD50" i="27"/>
  <c r="X51" i="27"/>
  <c r="G54" i="27"/>
  <c r="S54" i="27"/>
  <c r="AD55" i="27"/>
  <c r="G56" i="27"/>
  <c r="Q56" i="27"/>
  <c r="X56" i="27"/>
  <c r="AD56" i="27"/>
  <c r="I58" i="27"/>
  <c r="AC58" i="27"/>
  <c r="AD59" i="27"/>
  <c r="G60" i="27"/>
  <c r="Q60" i="27"/>
  <c r="X60" i="27"/>
  <c r="AD60" i="27"/>
  <c r="I62" i="27"/>
  <c r="AC62" i="27"/>
  <c r="AI62" i="27" s="1"/>
  <c r="AD63" i="27"/>
  <c r="G64" i="27"/>
  <c r="Q64" i="27"/>
  <c r="X64" i="27"/>
  <c r="AD64" i="27"/>
  <c r="Q66" i="27"/>
  <c r="Y66" i="27"/>
  <c r="AD67" i="27"/>
  <c r="G68" i="27"/>
  <c r="Q68" i="27"/>
  <c r="X68" i="27"/>
  <c r="AD68" i="27"/>
  <c r="W70" i="27"/>
  <c r="AE70" i="27"/>
  <c r="X71" i="27"/>
  <c r="Q74" i="27"/>
  <c r="Y74" i="27"/>
  <c r="X75" i="27"/>
  <c r="Q78" i="27"/>
  <c r="Y78" i="27"/>
  <c r="X79" i="27"/>
  <c r="I82" i="27"/>
  <c r="AC82" i="27"/>
  <c r="X83" i="27"/>
  <c r="Q86" i="27"/>
  <c r="AI86" i="27" s="1"/>
  <c r="Y86" i="27"/>
  <c r="H87" i="27"/>
  <c r="W88" i="27"/>
  <c r="AC88" i="27"/>
  <c r="W90" i="27"/>
  <c r="AE90" i="27"/>
  <c r="H91" i="27"/>
  <c r="W92" i="27"/>
  <c r="AC92" i="27"/>
  <c r="Q94" i="27"/>
  <c r="AD95" i="27"/>
  <c r="G96" i="27"/>
  <c r="AC96" i="27"/>
  <c r="AI96" i="27" s="1"/>
  <c r="I98" i="27"/>
  <c r="X98" i="27"/>
  <c r="W98" i="27"/>
  <c r="AI98" i="27" s="1"/>
  <c r="R100" i="27"/>
  <c r="S100" i="27"/>
  <c r="X100" i="27"/>
  <c r="AD102" i="27"/>
  <c r="AE102" i="27"/>
  <c r="AD103" i="27"/>
  <c r="G104" i="27"/>
  <c r="R106" i="27"/>
  <c r="S106" i="27"/>
  <c r="AD107" i="27"/>
  <c r="G108" i="27"/>
  <c r="R110" i="27"/>
  <c r="S110" i="27"/>
  <c r="G111" i="27"/>
  <c r="Q112" i="27"/>
  <c r="AI112" i="27" s="1"/>
  <c r="G115" i="27"/>
  <c r="Q116" i="27"/>
  <c r="AI116" i="27" s="1"/>
  <c r="AE117" i="27"/>
  <c r="W121" i="27"/>
  <c r="AI121" i="27" s="1"/>
  <c r="X121" i="27"/>
  <c r="I124" i="27"/>
  <c r="H124" i="27"/>
  <c r="G124" i="27"/>
  <c r="R130" i="27"/>
  <c r="S130" i="27"/>
  <c r="Q130" i="27"/>
  <c r="S136" i="27"/>
  <c r="R136" i="27"/>
  <c r="Q136" i="27"/>
  <c r="AI136" i="27" s="1"/>
  <c r="S144" i="27"/>
  <c r="R144" i="27"/>
  <c r="Q144" i="27"/>
  <c r="AI144" i="27" s="1"/>
  <c r="S148" i="27"/>
  <c r="R148" i="27"/>
  <c r="Q148" i="27"/>
  <c r="R154" i="27"/>
  <c r="S154" i="27"/>
  <c r="Q154" i="27"/>
  <c r="I155" i="27"/>
  <c r="H155" i="27"/>
  <c r="G155" i="27"/>
  <c r="Y164" i="27"/>
  <c r="X164" i="27"/>
  <c r="W164" i="27"/>
  <c r="X166" i="27"/>
  <c r="W166" i="27"/>
  <c r="AE184" i="27"/>
  <c r="AD184" i="27"/>
  <c r="AC184" i="27"/>
  <c r="W10" i="27"/>
  <c r="AC10" i="27"/>
  <c r="X11" i="27"/>
  <c r="AC20" i="27"/>
  <c r="W42" i="27"/>
  <c r="AC42" i="27"/>
  <c r="H43" i="27"/>
  <c r="W46" i="27"/>
  <c r="Q54" i="27"/>
  <c r="H55" i="27"/>
  <c r="W60" i="27"/>
  <c r="AC60" i="27"/>
  <c r="G62" i="27"/>
  <c r="H63" i="27"/>
  <c r="W66" i="27"/>
  <c r="H67" i="27"/>
  <c r="AC70" i="27"/>
  <c r="W74" i="27"/>
  <c r="AI74" i="27" s="1"/>
  <c r="W78" i="27"/>
  <c r="AI78" i="27" s="1"/>
  <c r="G82" i="27"/>
  <c r="AD3" i="27"/>
  <c r="G4" i="27"/>
  <c r="W4" i="27"/>
  <c r="AE4" i="27"/>
  <c r="S6" i="27"/>
  <c r="H7" i="27"/>
  <c r="AD7" i="27"/>
  <c r="G8" i="27"/>
  <c r="W8" i="27"/>
  <c r="AE8" i="27"/>
  <c r="S10" i="27"/>
  <c r="AD11" i="27"/>
  <c r="G12" i="27"/>
  <c r="W12" i="27"/>
  <c r="AE12" i="27"/>
  <c r="S14" i="27"/>
  <c r="AE15" i="27"/>
  <c r="X16" i="27"/>
  <c r="AC16" i="27"/>
  <c r="AI16" i="27" s="1"/>
  <c r="Q18" i="27"/>
  <c r="I20" i="27"/>
  <c r="Q20" i="27"/>
  <c r="Y20" i="27"/>
  <c r="AD23" i="27"/>
  <c r="G24" i="27"/>
  <c r="W24" i="27"/>
  <c r="AE24" i="27"/>
  <c r="S26" i="27"/>
  <c r="I28" i="27"/>
  <c r="S30" i="27"/>
  <c r="S34" i="27"/>
  <c r="AE38" i="27"/>
  <c r="S42" i="27"/>
  <c r="I44" i="27"/>
  <c r="S46" i="27"/>
  <c r="I48" i="27"/>
  <c r="S50" i="27"/>
  <c r="I54" i="27"/>
  <c r="S56" i="27"/>
  <c r="AE58" i="27"/>
  <c r="S60" i="27"/>
  <c r="AE62" i="27"/>
  <c r="S64" i="27"/>
  <c r="S66" i="27"/>
  <c r="S68" i="27"/>
  <c r="Y70" i="27"/>
  <c r="AI73" i="27"/>
  <c r="AK73" i="27" s="1"/>
  <c r="AL73" i="27" s="1"/>
  <c r="S74" i="27"/>
  <c r="S78" i="27"/>
  <c r="AE82" i="27"/>
  <c r="S86" i="27"/>
  <c r="Y90" i="27"/>
  <c r="H94" i="27"/>
  <c r="I94" i="27"/>
  <c r="S94" i="27"/>
  <c r="AD94" i="27"/>
  <c r="AC94" i="27"/>
  <c r="AI94" i="27" s="1"/>
  <c r="I96" i="27"/>
  <c r="AD96" i="27"/>
  <c r="R104" i="27"/>
  <c r="S104" i="27"/>
  <c r="R108" i="27"/>
  <c r="S108" i="27"/>
  <c r="I112" i="27"/>
  <c r="H112" i="27"/>
  <c r="X114" i="27"/>
  <c r="Y114" i="27"/>
  <c r="I116" i="27"/>
  <c r="H116" i="27"/>
  <c r="S124" i="27"/>
  <c r="R124" i="27"/>
  <c r="Q124" i="27"/>
  <c r="AI124" i="27" s="1"/>
  <c r="W129" i="27"/>
  <c r="AI129" i="27" s="1"/>
  <c r="X129" i="27"/>
  <c r="AC137" i="27"/>
  <c r="AI137" i="27" s="1"/>
  <c r="AE137" i="27"/>
  <c r="AC145" i="27"/>
  <c r="AE145" i="27"/>
  <c r="AC149" i="27"/>
  <c r="AI149" i="27" s="1"/>
  <c r="AE149" i="27"/>
  <c r="I156" i="27"/>
  <c r="H156" i="27"/>
  <c r="G156" i="27"/>
  <c r="X158" i="27"/>
  <c r="Y158" i="27"/>
  <c r="Y159" i="27"/>
  <c r="X159" i="27"/>
  <c r="AD162" i="27"/>
  <c r="AE162" i="27"/>
  <c r="AC162" i="27"/>
  <c r="G168" i="27"/>
  <c r="I168" i="27"/>
  <c r="H168" i="27"/>
  <c r="R211" i="27"/>
  <c r="S211" i="27"/>
  <c r="Q211" i="27"/>
  <c r="AI26" i="27"/>
  <c r="AJ26" i="27" s="1"/>
  <c r="R96" i="27"/>
  <c r="S96" i="27"/>
  <c r="AD98" i="27"/>
  <c r="AE98" i="27"/>
  <c r="X102" i="27"/>
  <c r="W102" i="27"/>
  <c r="AI102" i="27" s="1"/>
  <c r="Q104" i="27"/>
  <c r="Q108" i="27"/>
  <c r="AI108" i="27" s="1"/>
  <c r="G112" i="27"/>
  <c r="G116" i="27"/>
  <c r="S119" i="27"/>
  <c r="Q119" i="27"/>
  <c r="AC125" i="27"/>
  <c r="AI125" i="27" s="1"/>
  <c r="AE125" i="27"/>
  <c r="R134" i="27"/>
  <c r="S134" i="27"/>
  <c r="Q134" i="27"/>
  <c r="I135" i="27"/>
  <c r="H135" i="27"/>
  <c r="G135" i="27"/>
  <c r="AI141" i="27"/>
  <c r="AJ141" i="27" s="1"/>
  <c r="R142" i="27"/>
  <c r="S142" i="27"/>
  <c r="Q142" i="27"/>
  <c r="I143" i="27"/>
  <c r="H143" i="27"/>
  <c r="G143" i="27"/>
  <c r="I147" i="27"/>
  <c r="H147" i="27"/>
  <c r="G147" i="27"/>
  <c r="W153" i="27"/>
  <c r="AI153" i="27" s="1"/>
  <c r="X153" i="27"/>
  <c r="S156" i="27"/>
  <c r="R156" i="27"/>
  <c r="Q156" i="27"/>
  <c r="I167" i="27"/>
  <c r="H167" i="27"/>
  <c r="G167" i="27"/>
  <c r="R172" i="27"/>
  <c r="S172" i="27"/>
  <c r="Q172" i="27"/>
  <c r="AD174" i="27"/>
  <c r="AE174" i="27"/>
  <c r="AC174" i="27"/>
  <c r="H180" i="27"/>
  <c r="G180" i="27"/>
  <c r="I180" i="27"/>
  <c r="AD190" i="27"/>
  <c r="AE190" i="27"/>
  <c r="AC190" i="27"/>
  <c r="AI156" i="27"/>
  <c r="AJ156" i="27" s="1"/>
  <c r="S160" i="27"/>
  <c r="R160" i="27"/>
  <c r="I163" i="27"/>
  <c r="H163" i="27"/>
  <c r="Y163" i="27"/>
  <c r="X163" i="27"/>
  <c r="R176" i="27"/>
  <c r="S176" i="27"/>
  <c r="Q176" i="27"/>
  <c r="AE176" i="27"/>
  <c r="AD176" i="27"/>
  <c r="X178" i="27"/>
  <c r="Y178" i="27"/>
  <c r="W178" i="27"/>
  <c r="AE180" i="27"/>
  <c r="AD180" i="27"/>
  <c r="X186" i="27"/>
  <c r="Y186" i="27"/>
  <c r="W186" i="27"/>
  <c r="H190" i="27"/>
  <c r="I190" i="27"/>
  <c r="H194" i="27"/>
  <c r="I194" i="27"/>
  <c r="G196" i="27"/>
  <c r="I196" i="27"/>
  <c r="Y196" i="27"/>
  <c r="W196" i="27"/>
  <c r="R200" i="27"/>
  <c r="Q200" i="27"/>
  <c r="S200" i="27"/>
  <c r="X202" i="27"/>
  <c r="Y202" i="27"/>
  <c r="W202" i="27"/>
  <c r="AI202" i="27" s="1"/>
  <c r="X221" i="27"/>
  <c r="Y221" i="27"/>
  <c r="W221" i="27"/>
  <c r="R264" i="27"/>
  <c r="S264" i="27"/>
  <c r="Q264" i="27"/>
  <c r="AI264" i="27" s="1"/>
  <c r="AJ264" i="27" s="1"/>
  <c r="X319" i="27"/>
  <c r="Y319" i="27"/>
  <c r="W319" i="27"/>
  <c r="AI319" i="27" s="1"/>
  <c r="S329" i="27"/>
  <c r="R329" i="27"/>
  <c r="Q329" i="27"/>
  <c r="AE336" i="27"/>
  <c r="AD336" i="27"/>
  <c r="AC336" i="27"/>
  <c r="AI105" i="27"/>
  <c r="AK105" i="27" s="1"/>
  <c r="AL105" i="27" s="1"/>
  <c r="AI117" i="27"/>
  <c r="AJ117" i="27" s="1"/>
  <c r="AC119" i="27"/>
  <c r="W120" i="27"/>
  <c r="AC120" i="27"/>
  <c r="I121" i="27"/>
  <c r="AC122" i="27"/>
  <c r="X123" i="27"/>
  <c r="Y126" i="27"/>
  <c r="Q127" i="27"/>
  <c r="AC127" i="27"/>
  <c r="W128" i="27"/>
  <c r="AC128" i="27"/>
  <c r="I129" i="27"/>
  <c r="AC130" i="27"/>
  <c r="Q131" i="27"/>
  <c r="AC131" i="27"/>
  <c r="W132" i="27"/>
  <c r="AC132" i="27"/>
  <c r="I133" i="27"/>
  <c r="AC134" i="27"/>
  <c r="X135" i="27"/>
  <c r="Y138" i="27"/>
  <c r="Q139" i="27"/>
  <c r="AC139" i="27"/>
  <c r="W140" i="27"/>
  <c r="AC140" i="27"/>
  <c r="I141" i="27"/>
  <c r="AC142" i="27"/>
  <c r="X143" i="27"/>
  <c r="AI145" i="27"/>
  <c r="AJ145" i="27" s="1"/>
  <c r="Y146" i="27"/>
  <c r="X147" i="27"/>
  <c r="Y150" i="27"/>
  <c r="Q151" i="27"/>
  <c r="AC151" i="27"/>
  <c r="W152" i="27"/>
  <c r="AC152" i="27"/>
  <c r="I153" i="27"/>
  <c r="AC154" i="27"/>
  <c r="X155" i="27"/>
  <c r="AI157" i="27"/>
  <c r="AK157" i="27" s="1"/>
  <c r="AL157" i="27" s="1"/>
  <c r="R158" i="27"/>
  <c r="S158" i="27"/>
  <c r="AD158" i="27"/>
  <c r="AC158" i="27"/>
  <c r="AC159" i="27"/>
  <c r="Q160" i="27"/>
  <c r="I161" i="27"/>
  <c r="G163" i="27"/>
  <c r="S164" i="27"/>
  <c r="R164" i="27"/>
  <c r="R166" i="27"/>
  <c r="S166" i="27"/>
  <c r="AD166" i="27"/>
  <c r="AC166" i="27"/>
  <c r="AD170" i="27"/>
  <c r="AE170" i="27"/>
  <c r="G172" i="27"/>
  <c r="AC172" i="27"/>
  <c r="AC176" i="27"/>
  <c r="AD178" i="27"/>
  <c r="AE178" i="27"/>
  <c r="R180" i="27"/>
  <c r="S180" i="27"/>
  <c r="Q180" i="27"/>
  <c r="AC180" i="27"/>
  <c r="X182" i="27"/>
  <c r="Y182" i="27"/>
  <c r="W182" i="27"/>
  <c r="AD186" i="27"/>
  <c r="AE186" i="27"/>
  <c r="G190" i="27"/>
  <c r="G194" i="27"/>
  <c r="H196" i="27"/>
  <c r="AD198" i="27"/>
  <c r="AE198" i="27"/>
  <c r="H202" i="27"/>
  <c r="G202" i="27"/>
  <c r="I202" i="27"/>
  <c r="H204" i="27"/>
  <c r="I204" i="27"/>
  <c r="Y204" i="27"/>
  <c r="X204" i="27"/>
  <c r="W204" i="27"/>
  <c r="AI204" i="27" s="1"/>
  <c r="R207" i="27"/>
  <c r="S207" i="27"/>
  <c r="H209" i="27"/>
  <c r="I209" i="27"/>
  <c r="G209" i="27"/>
  <c r="H213" i="27"/>
  <c r="I213" i="27"/>
  <c r="AI219" i="27"/>
  <c r="AJ219" i="27" s="1"/>
  <c r="AD221" i="27"/>
  <c r="AE221" i="27"/>
  <c r="AC221" i="27"/>
  <c r="AI106" i="27"/>
  <c r="AI110" i="27"/>
  <c r="AK110" i="27" s="1"/>
  <c r="AL110" i="27" s="1"/>
  <c r="X117" i="27"/>
  <c r="Q118" i="27"/>
  <c r="AD119" i="27"/>
  <c r="AE122" i="27"/>
  <c r="X125" i="27"/>
  <c r="Q126" i="27"/>
  <c r="G127" i="27"/>
  <c r="AD127" i="27"/>
  <c r="AE130" i="27"/>
  <c r="AD131" i="27"/>
  <c r="AE134" i="27"/>
  <c r="X137" i="27"/>
  <c r="Q138" i="27"/>
  <c r="G139" i="27"/>
  <c r="AD139" i="27"/>
  <c r="AE142" i="27"/>
  <c r="X145" i="27"/>
  <c r="Q146" i="27"/>
  <c r="X149" i="27"/>
  <c r="Q150" i="27"/>
  <c r="G151" i="27"/>
  <c r="AD151" i="27"/>
  <c r="Q152" i="27"/>
  <c r="AE153" i="27"/>
  <c r="AE154" i="27"/>
  <c r="AD156" i="27"/>
  <c r="X157" i="27"/>
  <c r="Q158" i="27"/>
  <c r="AE158" i="27"/>
  <c r="Q159" i="27"/>
  <c r="AD159" i="27"/>
  <c r="G160" i="27"/>
  <c r="AC160" i="27"/>
  <c r="AE161" i="27"/>
  <c r="X162" i="27"/>
  <c r="Y162" i="27"/>
  <c r="AC163" i="27"/>
  <c r="Q164" i="27"/>
  <c r="AC165" i="27"/>
  <c r="AE165" i="27"/>
  <c r="Q166" i="27"/>
  <c r="AE166" i="27"/>
  <c r="S168" i="27"/>
  <c r="Q168" i="27"/>
  <c r="G170" i="27"/>
  <c r="AC170" i="27"/>
  <c r="AI170" i="27" s="1"/>
  <c r="AK170" i="27" s="1"/>
  <c r="AL170" i="27" s="1"/>
  <c r="I172" i="27"/>
  <c r="W172" i="27"/>
  <c r="AD172" i="27"/>
  <c r="X174" i="27"/>
  <c r="Y174" i="27"/>
  <c r="W174" i="27"/>
  <c r="I176" i="27"/>
  <c r="H176" i="27"/>
  <c r="Y176" i="27"/>
  <c r="X176" i="27"/>
  <c r="AC178" i="27"/>
  <c r="Y180" i="27"/>
  <c r="X180" i="27"/>
  <c r="AD182" i="27"/>
  <c r="AE182" i="27"/>
  <c r="Y184" i="27"/>
  <c r="W184" i="27"/>
  <c r="AC186" i="27"/>
  <c r="R198" i="27"/>
  <c r="Q198" i="27"/>
  <c r="AC198" i="27"/>
  <c r="G204" i="27"/>
  <c r="AE204" i="27"/>
  <c r="AD204" i="27"/>
  <c r="Q207" i="27"/>
  <c r="AI207" i="27" s="1"/>
  <c r="AJ207" i="27" s="1"/>
  <c r="R209" i="27"/>
  <c r="S209" i="27"/>
  <c r="Q209" i="27"/>
  <c r="AE211" i="27"/>
  <c r="AD211" i="27"/>
  <c r="G213" i="27"/>
  <c r="H217" i="27"/>
  <c r="I217" i="27"/>
  <c r="G217" i="27"/>
  <c r="X184" i="27"/>
  <c r="X198" i="27"/>
  <c r="Y198" i="27"/>
  <c r="I207" i="27"/>
  <c r="H207" i="27"/>
  <c r="I211" i="27"/>
  <c r="H211" i="27"/>
  <c r="Y211" i="27"/>
  <c r="X211" i="27"/>
  <c r="AI215" i="27"/>
  <c r="AK215" i="27" s="1"/>
  <c r="AL215" i="27" s="1"/>
  <c r="R217" i="27"/>
  <c r="S217" i="27"/>
  <c r="X224" i="27"/>
  <c r="Y224" i="27"/>
  <c r="W224" i="27"/>
  <c r="X260" i="27"/>
  <c r="Y260" i="27"/>
  <c r="W260" i="27"/>
  <c r="I318" i="27"/>
  <c r="H318" i="27"/>
  <c r="H323" i="27"/>
  <c r="I323" i="27"/>
  <c r="G323" i="27"/>
  <c r="H327" i="27"/>
  <c r="I327" i="27"/>
  <c r="G327" i="27"/>
  <c r="R335" i="27"/>
  <c r="S335" i="27"/>
  <c r="Q335" i="27"/>
  <c r="AI337" i="27"/>
  <c r="AJ337" i="27" s="1"/>
  <c r="S339" i="27"/>
  <c r="R339" i="27"/>
  <c r="Q339" i="27"/>
  <c r="S345" i="27"/>
  <c r="Q345" i="27"/>
  <c r="AI345" i="27" s="1"/>
  <c r="Q356" i="27"/>
  <c r="AI356" i="27" s="1"/>
  <c r="AK356" i="27" s="1"/>
  <c r="AL356" i="27" s="1"/>
  <c r="R356" i="27"/>
  <c r="AI161" i="27"/>
  <c r="AK161" i="27" s="1"/>
  <c r="AL161" i="27" s="1"/>
  <c r="Q174" i="27"/>
  <c r="Q178" i="27"/>
  <c r="Q182" i="27"/>
  <c r="Q184" i="27"/>
  <c r="Q186" i="27"/>
  <c r="W190" i="27"/>
  <c r="W194" i="27"/>
  <c r="X196" i="27"/>
  <c r="Q196" i="27"/>
  <c r="W198" i="27"/>
  <c r="H200" i="27"/>
  <c r="AC200" i="27"/>
  <c r="R202" i="27"/>
  <c r="S202" i="27"/>
  <c r="R204" i="27"/>
  <c r="S204" i="27"/>
  <c r="G207" i="27"/>
  <c r="G211" i="27"/>
  <c r="W211" i="27"/>
  <c r="AI211" i="27" s="1"/>
  <c r="AD213" i="27"/>
  <c r="AE213" i="27"/>
  <c r="AC213" i="27"/>
  <c r="Q217" i="27"/>
  <c r="Y226" i="27"/>
  <c r="X226" i="27"/>
  <c r="W226" i="27"/>
  <c r="Y258" i="27"/>
  <c r="X258" i="27"/>
  <c r="W258" i="27"/>
  <c r="R265" i="27"/>
  <c r="S265" i="27"/>
  <c r="Q265" i="27"/>
  <c r="AI265" i="27" s="1"/>
  <c r="Y329" i="27"/>
  <c r="X329" i="27"/>
  <c r="W329" i="27"/>
  <c r="H331" i="27"/>
  <c r="I331" i="27"/>
  <c r="AI333" i="27"/>
  <c r="AJ333" i="27" s="1"/>
  <c r="W338" i="27"/>
  <c r="AI338" i="27" s="1"/>
  <c r="X338" i="27"/>
  <c r="Y318" i="27"/>
  <c r="X318" i="27"/>
  <c r="I329" i="27"/>
  <c r="H329" i="27"/>
  <c r="G329" i="27"/>
  <c r="AE329" i="27"/>
  <c r="AD329" i="27"/>
  <c r="AC329" i="27"/>
  <c r="W334" i="27"/>
  <c r="AI334" i="27" s="1"/>
  <c r="X334" i="27"/>
  <c r="AD335" i="27"/>
  <c r="AE335" i="27"/>
  <c r="AC335" i="27"/>
  <c r="Q340" i="27"/>
  <c r="AI340" i="27" s="1"/>
  <c r="R340" i="27"/>
  <c r="Q348" i="27"/>
  <c r="AI348" i="27" s="1"/>
  <c r="R348" i="27"/>
  <c r="S355" i="27"/>
  <c r="R355" i="27"/>
  <c r="Q355" i="27"/>
  <c r="AE224" i="27"/>
  <c r="AE256" i="27"/>
  <c r="AE260" i="27"/>
  <c r="H262" i="27"/>
  <c r="S262" i="27"/>
  <c r="Q263" i="27"/>
  <c r="AI263" i="27" s="1"/>
  <c r="AK263" i="27" s="1"/>
  <c r="AL263" i="27" s="1"/>
  <c r="S317" i="27"/>
  <c r="Y317" i="27"/>
  <c r="AE317" i="27"/>
  <c r="AE319" i="27"/>
  <c r="I321" i="27"/>
  <c r="X322" i="27"/>
  <c r="S323" i="27"/>
  <c r="I325" i="27"/>
  <c r="S327" i="27"/>
  <c r="AI330" i="27"/>
  <c r="AK330" i="27" s="1"/>
  <c r="AL330" i="27" s="1"/>
  <c r="R333" i="27"/>
  <c r="Y333" i="27"/>
  <c r="AE333" i="27"/>
  <c r="H336" i="27"/>
  <c r="I337" i="27"/>
  <c r="R337" i="27"/>
  <c r="Y337" i="27"/>
  <c r="AE337" i="27"/>
  <c r="AI346" i="27"/>
  <c r="AK346" i="27" s="1"/>
  <c r="AL346" i="27" s="1"/>
  <c r="AI350" i="27"/>
  <c r="AC209" i="27"/>
  <c r="W213" i="27"/>
  <c r="AC217" i="27"/>
  <c r="Q221" i="27"/>
  <c r="Q224" i="27"/>
  <c r="Q226" i="27"/>
  <c r="Q256" i="27"/>
  <c r="AI256" i="27" s="1"/>
  <c r="Q258" i="27"/>
  <c r="Q260" i="27"/>
  <c r="S263" i="27"/>
  <c r="Q266" i="27"/>
  <c r="AI266" i="27" s="1"/>
  <c r="AJ266" i="27" s="1"/>
  <c r="AI358" i="27"/>
  <c r="AJ358" i="27" s="1"/>
  <c r="AD318" i="27"/>
  <c r="G319" i="27"/>
  <c r="Q321" i="27"/>
  <c r="AI321" i="27" s="1"/>
  <c r="W323" i="27"/>
  <c r="AI323" i="27" s="1"/>
  <c r="Q325" i="27"/>
  <c r="W327" i="27"/>
  <c r="AI327" i="27" s="1"/>
  <c r="AC328" i="27"/>
  <c r="X330" i="27"/>
  <c r="Q331" i="27"/>
  <c r="AC331" i="27"/>
  <c r="AC332" i="27"/>
  <c r="I335" i="27"/>
  <c r="Q347" i="27"/>
  <c r="R351" i="27"/>
  <c r="Q353" i="27"/>
  <c r="AI353" i="27" s="1"/>
  <c r="AI354" i="27"/>
  <c r="AC29" i="26"/>
  <c r="AJ50" i="26"/>
  <c r="AB74" i="26"/>
  <c r="AB80" i="26"/>
  <c r="AC100" i="26"/>
  <c r="AI107" i="26"/>
  <c r="AH108" i="26"/>
  <c r="G114" i="26"/>
  <c r="AD116" i="26"/>
  <c r="H120" i="26"/>
  <c r="AD124" i="26"/>
  <c r="AD132" i="26"/>
  <c r="AJ134" i="26"/>
  <c r="AD148" i="26"/>
  <c r="AJ170" i="26"/>
  <c r="AJ174" i="26"/>
  <c r="AH176" i="26"/>
  <c r="AI180" i="26"/>
  <c r="U182" i="26"/>
  <c r="W184" i="26"/>
  <c r="AJ204" i="26"/>
  <c r="AB226" i="26"/>
  <c r="AJ331" i="26"/>
  <c r="AI338" i="26"/>
  <c r="H44" i="26"/>
  <c r="AD44" i="26"/>
  <c r="AI48" i="26"/>
  <c r="AC60" i="26"/>
  <c r="AH68" i="26"/>
  <c r="AH82" i="26"/>
  <c r="AD86" i="26"/>
  <c r="AI92" i="26"/>
  <c r="G94" i="26"/>
  <c r="W98" i="26"/>
  <c r="AH102" i="26"/>
  <c r="AB24" i="26"/>
  <c r="G31" i="26"/>
  <c r="AC31" i="26"/>
  <c r="AC36" i="26"/>
  <c r="AC40" i="26"/>
  <c r="AJ42" i="26"/>
  <c r="I44" i="26"/>
  <c r="AJ48" i="26"/>
  <c r="AC52" i="26"/>
  <c r="I62" i="26"/>
  <c r="AH62" i="26"/>
  <c r="AJ68" i="26"/>
  <c r="G76" i="26"/>
  <c r="U82" i="26"/>
  <c r="AJ82" i="26"/>
  <c r="AJ92" i="26"/>
  <c r="AJ102" i="26"/>
  <c r="AC104" i="26"/>
  <c r="I120" i="26"/>
  <c r="AH123" i="26"/>
  <c r="AH131" i="26"/>
  <c r="H132" i="26"/>
  <c r="AJ133" i="26"/>
  <c r="I148" i="26"/>
  <c r="AH164" i="26"/>
  <c r="AB166" i="26"/>
  <c r="AI176" i="26"/>
  <c r="AC180" i="26"/>
  <c r="AJ180" i="26"/>
  <c r="W182" i="26"/>
  <c r="H184" i="26"/>
  <c r="AC189" i="26"/>
  <c r="AJ190" i="26"/>
  <c r="AC204" i="26"/>
  <c r="W209" i="26"/>
  <c r="I215" i="26"/>
  <c r="I224" i="26"/>
  <c r="U256" i="26"/>
  <c r="U262" i="26"/>
  <c r="AC321" i="26"/>
  <c r="I335" i="26"/>
  <c r="H31" i="26"/>
  <c r="AD36" i="26"/>
  <c r="AD52" i="26"/>
  <c r="U100" i="26"/>
  <c r="I110" i="26"/>
  <c r="U116" i="26"/>
  <c r="AH118" i="26"/>
  <c r="U123" i="26"/>
  <c r="AI123" i="26"/>
  <c r="AD180" i="26"/>
  <c r="I184" i="26"/>
  <c r="AD204" i="26"/>
  <c r="W13" i="26"/>
  <c r="AD15" i="26"/>
  <c r="AD19" i="26"/>
  <c r="U26" i="26"/>
  <c r="AJ36" i="26"/>
  <c r="H39" i="26"/>
  <c r="AD40" i="26"/>
  <c r="AI52" i="26"/>
  <c r="H55" i="26"/>
  <c r="AH55" i="26"/>
  <c r="G59" i="26"/>
  <c r="I64" i="26"/>
  <c r="I68" i="26"/>
  <c r="AB68" i="26"/>
  <c r="I76" i="26"/>
  <c r="W84" i="26"/>
  <c r="W90" i="26"/>
  <c r="W94" i="26"/>
  <c r="G98" i="26"/>
  <c r="AD100" i="26"/>
  <c r="AB106" i="26"/>
  <c r="AH112" i="26"/>
  <c r="I114" i="26"/>
  <c r="AI116" i="26"/>
  <c r="AJ118" i="26"/>
  <c r="AI124" i="26"/>
  <c r="AJ125" i="26"/>
  <c r="G127" i="26"/>
  <c r="G128" i="26"/>
  <c r="U128" i="26"/>
  <c r="U131" i="26"/>
  <c r="AH132" i="26"/>
  <c r="I146" i="26"/>
  <c r="AJ150" i="26"/>
  <c r="AC164" i="26"/>
  <c r="AI164" i="26"/>
  <c r="AJ166" i="26"/>
  <c r="AD170" i="26"/>
  <c r="AD174" i="26"/>
  <c r="AC176" i="26"/>
  <c r="G186" i="26"/>
  <c r="AB190" i="26"/>
  <c r="I200" i="26"/>
  <c r="W217" i="26"/>
  <c r="AC219" i="26"/>
  <c r="AJ219" i="26"/>
  <c r="G221" i="26"/>
  <c r="W224" i="26"/>
  <c r="AC226" i="26"/>
  <c r="AH258" i="26"/>
  <c r="I260" i="26"/>
  <c r="AH317" i="26"/>
  <c r="H318" i="26"/>
  <c r="AI318" i="26"/>
  <c r="W319" i="26"/>
  <c r="AH321" i="26"/>
  <c r="U323" i="26"/>
  <c r="AC325" i="26"/>
  <c r="AC329" i="26"/>
  <c r="AD331" i="26"/>
  <c r="AD22" i="26"/>
  <c r="W26" i="26"/>
  <c r="AJ52" i="26"/>
  <c r="AI55" i="26"/>
  <c r="I106" i="26"/>
  <c r="G110" i="26"/>
  <c r="AC116" i="26"/>
  <c r="AJ116" i="26"/>
  <c r="V120" i="26"/>
  <c r="I121" i="26"/>
  <c r="AJ121" i="26"/>
  <c r="AH122" i="26"/>
  <c r="AC124" i="26"/>
  <c r="AJ124" i="26"/>
  <c r="H127" i="26"/>
  <c r="H128" i="26"/>
  <c r="V128" i="26"/>
  <c r="AJ132" i="26"/>
  <c r="AC137" i="26"/>
  <c r="U140" i="26"/>
  <c r="AI140" i="26"/>
  <c r="AJ141" i="26"/>
  <c r="H148" i="26"/>
  <c r="AB148" i="26"/>
  <c r="G158" i="26"/>
  <c r="I160" i="26"/>
  <c r="AD182" i="26"/>
  <c r="AJ184" i="26"/>
  <c r="I186" i="26"/>
  <c r="I188" i="26"/>
  <c r="G190" i="26"/>
  <c r="AD190" i="26"/>
  <c r="AJ196" i="26"/>
  <c r="AI204" i="26"/>
  <c r="U209" i="26"/>
  <c r="AH213" i="26"/>
  <c r="H215" i="26"/>
  <c r="G217" i="26"/>
  <c r="AD219" i="26"/>
  <c r="I221" i="26"/>
  <c r="G224" i="26"/>
  <c r="AH262" i="26"/>
  <c r="G319" i="26"/>
  <c r="AB321" i="26"/>
  <c r="AI321" i="26"/>
  <c r="AI322" i="26"/>
  <c r="W323" i="26"/>
  <c r="U325" i="26"/>
  <c r="AI327" i="26"/>
  <c r="G329" i="26"/>
  <c r="I331" i="26"/>
  <c r="AD333" i="26"/>
  <c r="H337" i="26"/>
  <c r="AD337" i="26"/>
  <c r="AP266" i="26"/>
  <c r="G29" i="26"/>
  <c r="I29" i="26"/>
  <c r="AI34" i="26"/>
  <c r="AJ34" i="26"/>
  <c r="AH34" i="26"/>
  <c r="I36" i="26"/>
  <c r="H36" i="26"/>
  <c r="AI54" i="26"/>
  <c r="AJ54" i="26"/>
  <c r="AH54" i="26"/>
  <c r="G60" i="26"/>
  <c r="I60" i="26"/>
  <c r="H60" i="26"/>
  <c r="AC66" i="26"/>
  <c r="AD66" i="26"/>
  <c r="AB66" i="26"/>
  <c r="V70" i="26"/>
  <c r="W70" i="26"/>
  <c r="U70" i="26"/>
  <c r="AC98" i="26"/>
  <c r="AD98" i="26"/>
  <c r="AC102" i="26"/>
  <c r="AB102" i="26"/>
  <c r="AI114" i="26"/>
  <c r="AH114" i="26"/>
  <c r="AP116" i="26"/>
  <c r="AR116" i="26" s="1"/>
  <c r="AS116" i="26" s="1"/>
  <c r="AD11" i="26"/>
  <c r="AI14" i="26"/>
  <c r="V17" i="26"/>
  <c r="U17" i="26"/>
  <c r="AD17" i="26"/>
  <c r="AC32" i="26"/>
  <c r="AB32" i="26"/>
  <c r="AP32" i="26" s="1"/>
  <c r="I33" i="26"/>
  <c r="AJ33" i="26"/>
  <c r="G36" i="26"/>
  <c r="G37" i="26"/>
  <c r="I37" i="26"/>
  <c r="W40" i="26"/>
  <c r="V40" i="26"/>
  <c r="I48" i="26"/>
  <c r="H48" i="26"/>
  <c r="G48" i="26"/>
  <c r="H72" i="26"/>
  <c r="I72" i="26"/>
  <c r="I92" i="26"/>
  <c r="H92" i="26"/>
  <c r="G92" i="26"/>
  <c r="I104" i="26"/>
  <c r="H104" i="26"/>
  <c r="G104" i="26"/>
  <c r="AD123" i="26"/>
  <c r="AC123" i="26"/>
  <c r="AI5" i="26"/>
  <c r="AH5" i="26"/>
  <c r="AJ5" i="26"/>
  <c r="G21" i="26"/>
  <c r="I21" i="26"/>
  <c r="G3" i="26"/>
  <c r="I7" i="26"/>
  <c r="G7" i="26"/>
  <c r="V11" i="26"/>
  <c r="W11" i="26"/>
  <c r="AI11" i="26"/>
  <c r="AJ11" i="26"/>
  <c r="H17" i="26"/>
  <c r="I17" i="26"/>
  <c r="V22" i="26"/>
  <c r="W22" i="26"/>
  <c r="U22" i="26"/>
  <c r="AI24" i="26"/>
  <c r="AH24" i="26"/>
  <c r="AD32" i="26"/>
  <c r="W36" i="26"/>
  <c r="V36" i="26"/>
  <c r="U40" i="26"/>
  <c r="W48" i="26"/>
  <c r="V48" i="26"/>
  <c r="U48" i="26"/>
  <c r="V54" i="26"/>
  <c r="W54" i="26"/>
  <c r="U54" i="26"/>
  <c r="H56" i="26"/>
  <c r="I56" i="26"/>
  <c r="V68" i="26"/>
  <c r="W68" i="26"/>
  <c r="AC84" i="26"/>
  <c r="AD84" i="26"/>
  <c r="AC90" i="26"/>
  <c r="AD90" i="26"/>
  <c r="V92" i="26"/>
  <c r="W92" i="26"/>
  <c r="U92" i="26"/>
  <c r="V104" i="26"/>
  <c r="W104" i="26"/>
  <c r="U104" i="26"/>
  <c r="AI106" i="26"/>
  <c r="AJ106" i="26"/>
  <c r="AH106" i="26"/>
  <c r="AI110" i="26"/>
  <c r="AH110" i="26"/>
  <c r="AC118" i="26"/>
  <c r="AB118" i="26"/>
  <c r="V9" i="26"/>
  <c r="W9" i="26"/>
  <c r="AC19" i="26"/>
  <c r="W19" i="26"/>
  <c r="U19" i="26"/>
  <c r="U21" i="26"/>
  <c r="V21" i="26"/>
  <c r="I24" i="26"/>
  <c r="H24" i="26"/>
  <c r="AJ31" i="26"/>
  <c r="AI31" i="26"/>
  <c r="AI32" i="26"/>
  <c r="AH32" i="26"/>
  <c r="AI38" i="26"/>
  <c r="AJ38" i="26"/>
  <c r="AH38" i="26"/>
  <c r="I40" i="26"/>
  <c r="H40" i="26"/>
  <c r="V50" i="26"/>
  <c r="W50" i="26"/>
  <c r="U50" i="26"/>
  <c r="H74" i="26"/>
  <c r="G74" i="26"/>
  <c r="G84" i="26"/>
  <c r="H84" i="26"/>
  <c r="AI126" i="26"/>
  <c r="AJ126" i="26"/>
  <c r="W132" i="26"/>
  <c r="V132" i="26"/>
  <c r="AH137" i="26"/>
  <c r="AJ137" i="26"/>
  <c r="V146" i="26"/>
  <c r="U146" i="26"/>
  <c r="V186" i="26"/>
  <c r="W186" i="26"/>
  <c r="V194" i="26"/>
  <c r="W194" i="26"/>
  <c r="AI194" i="26"/>
  <c r="AH194" i="26"/>
  <c r="V202" i="26"/>
  <c r="W202" i="26"/>
  <c r="U202" i="26"/>
  <c r="V219" i="26"/>
  <c r="W219" i="26"/>
  <c r="AD262" i="26"/>
  <c r="AC262" i="26"/>
  <c r="AB262" i="26"/>
  <c r="AP262" i="26" s="1"/>
  <c r="V321" i="26"/>
  <c r="U321" i="26"/>
  <c r="V335" i="26"/>
  <c r="W335" i="26"/>
  <c r="AH16" i="26"/>
  <c r="AD48" i="26"/>
  <c r="H59" i="26"/>
  <c r="U60" i="26"/>
  <c r="AD60" i="26"/>
  <c r="AJ62" i="26"/>
  <c r="AD68" i="26"/>
  <c r="AD74" i="26"/>
  <c r="AC80" i="26"/>
  <c r="AI80" i="26"/>
  <c r="W86" i="26"/>
  <c r="AD92" i="26"/>
  <c r="I94" i="26"/>
  <c r="AD104" i="26"/>
  <c r="AJ122" i="26"/>
  <c r="AP128" i="26"/>
  <c r="AQ128" i="26" s="1"/>
  <c r="AH130" i="26"/>
  <c r="AD131" i="26"/>
  <c r="AC131" i="26"/>
  <c r="W136" i="26"/>
  <c r="U136" i="26"/>
  <c r="G139" i="26"/>
  <c r="AH139" i="26"/>
  <c r="V142" i="26"/>
  <c r="W142" i="26"/>
  <c r="AB145" i="26"/>
  <c r="AC145" i="26"/>
  <c r="W146" i="26"/>
  <c r="AH147" i="26"/>
  <c r="AC150" i="26"/>
  <c r="AD150" i="26"/>
  <c r="W162" i="26"/>
  <c r="AD166" i="26"/>
  <c r="AJ168" i="26"/>
  <c r="AI168" i="26"/>
  <c r="AI178" i="26"/>
  <c r="AJ178" i="26"/>
  <c r="AB184" i="26"/>
  <c r="AD184" i="26"/>
  <c r="AD192" i="26"/>
  <c r="AC192" i="26"/>
  <c r="U194" i="26"/>
  <c r="V198" i="26"/>
  <c r="W198" i="26"/>
  <c r="I204" i="26"/>
  <c r="H204" i="26"/>
  <c r="AD211" i="26"/>
  <c r="AC211" i="26"/>
  <c r="V215" i="26"/>
  <c r="W215" i="26"/>
  <c r="U219" i="26"/>
  <c r="AC256" i="26"/>
  <c r="AD256" i="26"/>
  <c r="AB256" i="26"/>
  <c r="V260" i="26"/>
  <c r="W260" i="26"/>
  <c r="U260" i="26"/>
  <c r="I262" i="26"/>
  <c r="G262" i="26"/>
  <c r="V263" i="26"/>
  <c r="W263" i="26"/>
  <c r="U263" i="26"/>
  <c r="AP263" i="26" s="1"/>
  <c r="I333" i="26"/>
  <c r="G333" i="26"/>
  <c r="AD18" i="26"/>
  <c r="AP8" i="26"/>
  <c r="AC15" i="26"/>
  <c r="AJ15" i="26"/>
  <c r="AJ17" i="26"/>
  <c r="AJ19" i="26"/>
  <c r="W34" i="26"/>
  <c r="AC35" i="26"/>
  <c r="AI36" i="26"/>
  <c r="W38" i="26"/>
  <c r="AC39" i="26"/>
  <c r="AI40" i="26"/>
  <c r="V44" i="26"/>
  <c r="AJ44" i="26"/>
  <c r="I46" i="26"/>
  <c r="AH50" i="26"/>
  <c r="V60" i="26"/>
  <c r="AH70" i="26"/>
  <c r="U76" i="26"/>
  <c r="AJ78" i="26"/>
  <c r="I82" i="26"/>
  <c r="U90" i="26"/>
  <c r="AP92" i="26"/>
  <c r="U98" i="26"/>
  <c r="G100" i="26"/>
  <c r="AB108" i="26"/>
  <c r="W110" i="26"/>
  <c r="H111" i="26"/>
  <c r="AI111" i="26"/>
  <c r="G112" i="26"/>
  <c r="AB112" i="26"/>
  <c r="W114" i="26"/>
  <c r="H115" i="26"/>
  <c r="AI115" i="26"/>
  <c r="G116" i="26"/>
  <c r="AC119" i="26"/>
  <c r="U120" i="26"/>
  <c r="AD122" i="26"/>
  <c r="AC125" i="26"/>
  <c r="U126" i="26"/>
  <c r="I129" i="26"/>
  <c r="AJ130" i="26"/>
  <c r="I131" i="26"/>
  <c r="H131" i="26"/>
  <c r="AB132" i="26"/>
  <c r="V136" i="26"/>
  <c r="U138" i="26"/>
  <c r="AI139" i="26"/>
  <c r="G140" i="26"/>
  <c r="AB140" i="26"/>
  <c r="AC140" i="26"/>
  <c r="AC144" i="26"/>
  <c r="AB144" i="26"/>
  <c r="AI147" i="26"/>
  <c r="AI148" i="26"/>
  <c r="AH148" i="26"/>
  <c r="AH154" i="26"/>
  <c r="W156" i="26"/>
  <c r="V158" i="26"/>
  <c r="W158" i="26"/>
  <c r="H162" i="26"/>
  <c r="I162" i="26"/>
  <c r="AH168" i="26"/>
  <c r="I178" i="26"/>
  <c r="AH178" i="26"/>
  <c r="AB192" i="26"/>
  <c r="U198" i="26"/>
  <c r="AD202" i="26"/>
  <c r="G204" i="26"/>
  <c r="AB211" i="26"/>
  <c r="H213" i="26"/>
  <c r="I213" i="26"/>
  <c r="I219" i="26"/>
  <c r="H219" i="26"/>
  <c r="AI256" i="26"/>
  <c r="AJ256" i="26"/>
  <c r="AB258" i="26"/>
  <c r="AC319" i="26"/>
  <c r="AD319" i="26"/>
  <c r="AB319" i="26"/>
  <c r="AJ325" i="26"/>
  <c r="AI325" i="26"/>
  <c r="AH325" i="26"/>
  <c r="AC130" i="26"/>
  <c r="AD130" i="26"/>
  <c r="I135" i="26"/>
  <c r="G135" i="26"/>
  <c r="AC138" i="26"/>
  <c r="AD138" i="26"/>
  <c r="AI142" i="26"/>
  <c r="AJ142" i="26"/>
  <c r="AJ143" i="26"/>
  <c r="AH143" i="26"/>
  <c r="AI146" i="26"/>
  <c r="AH146" i="26"/>
  <c r="G156" i="26"/>
  <c r="H156" i="26"/>
  <c r="AD168" i="26"/>
  <c r="AC168" i="26"/>
  <c r="AJ192" i="26"/>
  <c r="AI192" i="26"/>
  <c r="AB196" i="26"/>
  <c r="AD196" i="26"/>
  <c r="V204" i="26"/>
  <c r="W204" i="26"/>
  <c r="AC209" i="26"/>
  <c r="AD209" i="26"/>
  <c r="AJ211" i="26"/>
  <c r="AI211" i="26"/>
  <c r="V222" i="26"/>
  <c r="W222" i="26"/>
  <c r="U222" i="26"/>
  <c r="AP222" i="26" s="1"/>
  <c r="AI260" i="26"/>
  <c r="AH260" i="26"/>
  <c r="AD317" i="26"/>
  <c r="AB317" i="26"/>
  <c r="AC323" i="26"/>
  <c r="AD323" i="26"/>
  <c r="V329" i="26"/>
  <c r="W329" i="26"/>
  <c r="U329" i="26"/>
  <c r="V331" i="26"/>
  <c r="W331" i="26"/>
  <c r="U331" i="26"/>
  <c r="AH333" i="26"/>
  <c r="AJ333" i="26"/>
  <c r="AI333" i="26"/>
  <c r="AI262" i="26"/>
  <c r="U267" i="26"/>
  <c r="AP267" i="26" s="1"/>
  <c r="AD322" i="26"/>
  <c r="AC196" i="26"/>
  <c r="AP204" i="26"/>
  <c r="W267" i="26"/>
  <c r="AH327" i="26"/>
  <c r="AI329" i="26"/>
  <c r="H331" i="26"/>
  <c r="AC333" i="26"/>
  <c r="G335" i="26"/>
  <c r="W337" i="26"/>
  <c r="AJ337" i="26"/>
  <c r="AB3" i="26"/>
  <c r="AH3" i="26"/>
  <c r="G5" i="26"/>
  <c r="AH7" i="26"/>
  <c r="AI10" i="26"/>
  <c r="G11" i="26"/>
  <c r="AH13" i="26"/>
  <c r="G15" i="26"/>
  <c r="AH15" i="26"/>
  <c r="H18" i="26"/>
  <c r="G19" i="26"/>
  <c r="AI21" i="26"/>
  <c r="AI22" i="26"/>
  <c r="AJ22" i="26"/>
  <c r="I23" i="26"/>
  <c r="G23" i="26"/>
  <c r="AD24" i="26"/>
  <c r="V24" i="26"/>
  <c r="U24" i="26"/>
  <c r="U25" i="26"/>
  <c r="V25" i="26"/>
  <c r="AI25" i="26"/>
  <c r="I26" i="26"/>
  <c r="AH26" i="26"/>
  <c r="G27" i="26"/>
  <c r="AJ28" i="26"/>
  <c r="AI28" i="26"/>
  <c r="AI30" i="26"/>
  <c r="AJ30" i="26"/>
  <c r="AP40" i="26"/>
  <c r="AQ40" i="26" s="1"/>
  <c r="AB5" i="26"/>
  <c r="H6" i="26"/>
  <c r="AB7" i="26"/>
  <c r="AH9" i="26"/>
  <c r="U3" i="26"/>
  <c r="AC3" i="26"/>
  <c r="AI3" i="26"/>
  <c r="AP4" i="26"/>
  <c r="I5" i="26"/>
  <c r="U5" i="26"/>
  <c r="AD5" i="26"/>
  <c r="AC6" i="26"/>
  <c r="U7" i="26"/>
  <c r="AC7" i="26"/>
  <c r="AI7" i="26"/>
  <c r="G9" i="26"/>
  <c r="AB9" i="26"/>
  <c r="AJ9" i="26"/>
  <c r="H10" i="26"/>
  <c r="H11" i="26"/>
  <c r="AB11" i="26"/>
  <c r="AH11" i="26"/>
  <c r="G13" i="26"/>
  <c r="AB13" i="26"/>
  <c r="AJ13" i="26"/>
  <c r="H14" i="26"/>
  <c r="AD14" i="26"/>
  <c r="H15" i="26"/>
  <c r="AB15" i="26"/>
  <c r="AI15" i="26"/>
  <c r="W17" i="26"/>
  <c r="H19" i="26"/>
  <c r="AH19" i="26"/>
  <c r="AJ21" i="26"/>
  <c r="AH22" i="26"/>
  <c r="H23" i="26"/>
  <c r="AP24" i="26"/>
  <c r="W28" i="26"/>
  <c r="V28" i="26"/>
  <c r="U28" i="26"/>
  <c r="AH28" i="26"/>
  <c r="AH30" i="26"/>
  <c r="I32" i="26"/>
  <c r="H32" i="26"/>
  <c r="AC34" i="26"/>
  <c r="AD34" i="26"/>
  <c r="AC42" i="26"/>
  <c r="AD42" i="26"/>
  <c r="W43" i="26"/>
  <c r="U43" i="26"/>
  <c r="AB45" i="26"/>
  <c r="AP45" i="26" s="1"/>
  <c r="AC45" i="26"/>
  <c r="H50" i="26"/>
  <c r="I50" i="26"/>
  <c r="I52" i="26"/>
  <c r="H52" i="26"/>
  <c r="G52" i="26"/>
  <c r="W3" i="26"/>
  <c r="W5" i="26"/>
  <c r="W7" i="26"/>
  <c r="I9" i="26"/>
  <c r="U9" i="26"/>
  <c r="AD9" i="26"/>
  <c r="U11" i="26"/>
  <c r="I13" i="26"/>
  <c r="U13" i="26"/>
  <c r="AD13" i="26"/>
  <c r="U15" i="26"/>
  <c r="AB16" i="26"/>
  <c r="AP16" i="26" s="1"/>
  <c r="AC17" i="26"/>
  <c r="AH17" i="26"/>
  <c r="AP17" i="26" s="1"/>
  <c r="AI18" i="26"/>
  <c r="AB19" i="26"/>
  <c r="AB21" i="26"/>
  <c r="AD21" i="26"/>
  <c r="AB23" i="26"/>
  <c r="AC24" i="26"/>
  <c r="G25" i="26"/>
  <c r="H25" i="26"/>
  <c r="AD28" i="26"/>
  <c r="AC28" i="26"/>
  <c r="W52" i="26"/>
  <c r="V52" i="26"/>
  <c r="U52" i="26"/>
  <c r="AP52" i="26" s="1"/>
  <c r="AD56" i="26"/>
  <c r="AC56" i="26"/>
  <c r="AB56" i="26"/>
  <c r="AJ23" i="26"/>
  <c r="AI23" i="26"/>
  <c r="H28" i="26"/>
  <c r="G28" i="26"/>
  <c r="AH29" i="26"/>
  <c r="AP29" i="26" s="1"/>
  <c r="AJ29" i="26"/>
  <c r="W32" i="26"/>
  <c r="V32" i="26"/>
  <c r="AP36" i="26"/>
  <c r="AQ36" i="26" s="1"/>
  <c r="AH37" i="26"/>
  <c r="AP37" i="26" s="1"/>
  <c r="AJ37" i="26"/>
  <c r="AJ43" i="26"/>
  <c r="AI43" i="26"/>
  <c r="AH43" i="26"/>
  <c r="I47" i="26"/>
  <c r="H47" i="26"/>
  <c r="G47" i="26"/>
  <c r="AJ56" i="26"/>
  <c r="AI56" i="26"/>
  <c r="AH56" i="26"/>
  <c r="V58" i="26"/>
  <c r="W58" i="26"/>
  <c r="U58" i="26"/>
  <c r="AJ59" i="26"/>
  <c r="AI59" i="26"/>
  <c r="AH59" i="26"/>
  <c r="AP41" i="26"/>
  <c r="AP49" i="26"/>
  <c r="AB62" i="26"/>
  <c r="AB64" i="26"/>
  <c r="AH64" i="26"/>
  <c r="U66" i="26"/>
  <c r="G70" i="26"/>
  <c r="AB72" i="26"/>
  <c r="AH72" i="26"/>
  <c r="U74" i="26"/>
  <c r="AB76" i="26"/>
  <c r="AH76" i="26"/>
  <c r="AP76" i="26" s="1"/>
  <c r="U78" i="26"/>
  <c r="G80" i="26"/>
  <c r="U80" i="26"/>
  <c r="AB82" i="26"/>
  <c r="AP82" i="26" s="1"/>
  <c r="I84" i="26"/>
  <c r="G86" i="26"/>
  <c r="AB88" i="26"/>
  <c r="AH88" i="26"/>
  <c r="AI94" i="26"/>
  <c r="AJ94" i="26"/>
  <c r="G96" i="26"/>
  <c r="H96" i="26"/>
  <c r="AP140" i="26"/>
  <c r="AQ140" i="26" s="1"/>
  <c r="AP33" i="26"/>
  <c r="U35" i="26"/>
  <c r="AH35" i="26"/>
  <c r="AD38" i="26"/>
  <c r="U39" i="26"/>
  <c r="AH39" i="26"/>
  <c r="AC41" i="26"/>
  <c r="U42" i="26"/>
  <c r="G43" i="26"/>
  <c r="AB44" i="26"/>
  <c r="AH44" i="26"/>
  <c r="I45" i="26"/>
  <c r="U46" i="26"/>
  <c r="AH46" i="26"/>
  <c r="AH47" i="26"/>
  <c r="AP48" i="26"/>
  <c r="G51" i="26"/>
  <c r="AP53" i="26"/>
  <c r="I54" i="26"/>
  <c r="G56" i="26"/>
  <c r="U56" i="26"/>
  <c r="AH58" i="26"/>
  <c r="AP60" i="26"/>
  <c r="AQ60" i="26" s="1"/>
  <c r="U62" i="26"/>
  <c r="AD62" i="26"/>
  <c r="G64" i="26"/>
  <c r="U64" i="26"/>
  <c r="AC64" i="26"/>
  <c r="AI64" i="26"/>
  <c r="G66" i="26"/>
  <c r="W66" i="26"/>
  <c r="G68" i="26"/>
  <c r="I70" i="26"/>
  <c r="G72" i="26"/>
  <c r="AC72" i="26"/>
  <c r="AI72" i="26"/>
  <c r="W74" i="26"/>
  <c r="AC76" i="26"/>
  <c r="AI76" i="26"/>
  <c r="W78" i="26"/>
  <c r="H80" i="26"/>
  <c r="W80" i="26"/>
  <c r="AD82" i="26"/>
  <c r="AB84" i="26"/>
  <c r="AH84" i="26"/>
  <c r="I86" i="26"/>
  <c r="AH86" i="26"/>
  <c r="G88" i="26"/>
  <c r="U88" i="26"/>
  <c r="AC88" i="26"/>
  <c r="AI88" i="26"/>
  <c r="AB96" i="26"/>
  <c r="AC96" i="26"/>
  <c r="V106" i="26"/>
  <c r="U106" i="26"/>
  <c r="AP106" i="26" s="1"/>
  <c r="W106" i="26"/>
  <c r="AP120" i="26"/>
  <c r="AQ120" i="26" s="1"/>
  <c r="AC22" i="26"/>
  <c r="AB25" i="26"/>
  <c r="AP25" i="26" s="1"/>
  <c r="AC26" i="26"/>
  <c r="AD30" i="26"/>
  <c r="U31" i="26"/>
  <c r="AH31" i="26"/>
  <c r="AC33" i="26"/>
  <c r="U34" i="26"/>
  <c r="G35" i="26"/>
  <c r="AI35" i="26"/>
  <c r="AC37" i="26"/>
  <c r="U38" i="26"/>
  <c r="G39" i="26"/>
  <c r="AI39" i="26"/>
  <c r="I41" i="26"/>
  <c r="W42" i="26"/>
  <c r="AH42" i="26"/>
  <c r="H43" i="26"/>
  <c r="AC43" i="26"/>
  <c r="U44" i="26"/>
  <c r="AJ45" i="26"/>
  <c r="W46" i="26"/>
  <c r="AJ46" i="26"/>
  <c r="AI47" i="26"/>
  <c r="H51" i="26"/>
  <c r="AH51" i="26"/>
  <c r="G55" i="26"/>
  <c r="V56" i="26"/>
  <c r="AP57" i="26"/>
  <c r="AR57" i="26" s="1"/>
  <c r="AS57" i="26" s="1"/>
  <c r="I58" i="26"/>
  <c r="AJ58" i="26"/>
  <c r="G62" i="26"/>
  <c r="W62" i="26"/>
  <c r="W64" i="26"/>
  <c r="I66" i="26"/>
  <c r="AH66" i="26"/>
  <c r="U68" i="26"/>
  <c r="AP68" i="26" s="1"/>
  <c r="AB70" i="26"/>
  <c r="AP70" i="26" s="1"/>
  <c r="AJ70" i="26"/>
  <c r="W72" i="26"/>
  <c r="I74" i="26"/>
  <c r="AH74" i="26"/>
  <c r="W76" i="26"/>
  <c r="I78" i="26"/>
  <c r="AH78" i="26"/>
  <c r="AP78" i="26" s="1"/>
  <c r="AR78" i="26" s="1"/>
  <c r="AS78" i="26" s="1"/>
  <c r="G82" i="26"/>
  <c r="W82" i="26"/>
  <c r="U84" i="26"/>
  <c r="AB86" i="26"/>
  <c r="AJ86" i="26"/>
  <c r="W88" i="26"/>
  <c r="AI90" i="26"/>
  <c r="AH90" i="26"/>
  <c r="AJ90" i="26"/>
  <c r="V96" i="26"/>
  <c r="U96" i="26"/>
  <c r="AD96" i="26"/>
  <c r="V102" i="26"/>
  <c r="U102" i="26"/>
  <c r="W102" i="26"/>
  <c r="AP80" i="26"/>
  <c r="AQ80" i="26" s="1"/>
  <c r="H90" i="26"/>
  <c r="I90" i="26"/>
  <c r="AC94" i="26"/>
  <c r="AB94" i="26"/>
  <c r="AD94" i="26"/>
  <c r="AH96" i="26"/>
  <c r="AI96" i="26"/>
  <c r="AI98" i="26"/>
  <c r="AH98" i="26"/>
  <c r="AJ98" i="26"/>
  <c r="AB90" i="26"/>
  <c r="U94" i="26"/>
  <c r="AB98" i="26"/>
  <c r="I100" i="26"/>
  <c r="G102" i="26"/>
  <c r="G106" i="26"/>
  <c r="H107" i="26"/>
  <c r="AC107" i="26"/>
  <c r="H108" i="26"/>
  <c r="W108" i="26"/>
  <c r="AD108" i="26"/>
  <c r="AJ108" i="26"/>
  <c r="U110" i="26"/>
  <c r="AD110" i="26"/>
  <c r="AC111" i="26"/>
  <c r="I112" i="26"/>
  <c r="W112" i="26"/>
  <c r="AD112" i="26"/>
  <c r="AJ112" i="26"/>
  <c r="U114" i="26"/>
  <c r="AD114" i="26"/>
  <c r="AC115" i="26"/>
  <c r="I116" i="26"/>
  <c r="G118" i="26"/>
  <c r="W118" i="26"/>
  <c r="AI119" i="26"/>
  <c r="AC120" i="26"/>
  <c r="AI120" i="26"/>
  <c r="W122" i="26"/>
  <c r="H123" i="26"/>
  <c r="H124" i="26"/>
  <c r="V124" i="26"/>
  <c r="AI127" i="26"/>
  <c r="AC128" i="26"/>
  <c r="AI128" i="26"/>
  <c r="W130" i="26"/>
  <c r="W144" i="26"/>
  <c r="U144" i="26"/>
  <c r="AD144" i="26"/>
  <c r="AB150" i="26"/>
  <c r="H152" i="26"/>
  <c r="G152" i="26"/>
  <c r="AC154" i="26"/>
  <c r="AD154" i="26"/>
  <c r="AI156" i="26"/>
  <c r="AH156" i="26"/>
  <c r="AC158" i="26"/>
  <c r="AD158" i="26"/>
  <c r="AB158" i="26"/>
  <c r="AP158" i="26" s="1"/>
  <c r="AJ160" i="26"/>
  <c r="AI160" i="26"/>
  <c r="AH160" i="26"/>
  <c r="V164" i="26"/>
  <c r="W164" i="26"/>
  <c r="U164" i="26"/>
  <c r="AP164" i="26" s="1"/>
  <c r="V168" i="26"/>
  <c r="W168" i="26"/>
  <c r="U168" i="26"/>
  <c r="AP168" i="26" s="1"/>
  <c r="V170" i="26"/>
  <c r="W170" i="26"/>
  <c r="U170" i="26"/>
  <c r="AD172" i="26"/>
  <c r="AC172" i="26"/>
  <c r="AB172" i="26"/>
  <c r="V180" i="26"/>
  <c r="W180" i="26"/>
  <c r="U180" i="26"/>
  <c r="AP100" i="26"/>
  <c r="I102" i="26"/>
  <c r="AP102" i="26"/>
  <c r="AP104" i="26"/>
  <c r="I108" i="26"/>
  <c r="I118" i="26"/>
  <c r="AD120" i="26"/>
  <c r="AJ120" i="26"/>
  <c r="I124" i="26"/>
  <c r="I125" i="26"/>
  <c r="W126" i="26"/>
  <c r="AH126" i="26"/>
  <c r="AC127" i="26"/>
  <c r="AD128" i="26"/>
  <c r="AJ128" i="26"/>
  <c r="AJ129" i="26"/>
  <c r="I132" i="26"/>
  <c r="AP133" i="26"/>
  <c r="AR133" i="26" s="1"/>
  <c r="AS133" i="26" s="1"/>
  <c r="AD134" i="26"/>
  <c r="U135" i="26"/>
  <c r="AH135" i="26"/>
  <c r="AB136" i="26"/>
  <c r="AH136" i="26"/>
  <c r="I137" i="26"/>
  <c r="W138" i="26"/>
  <c r="AH138" i="26"/>
  <c r="H139" i="26"/>
  <c r="AC139" i="26"/>
  <c r="H140" i="26"/>
  <c r="AD140" i="26"/>
  <c r="AJ140" i="26"/>
  <c r="AP141" i="26"/>
  <c r="I142" i="26"/>
  <c r="G144" i="26"/>
  <c r="V144" i="26"/>
  <c r="AP145" i="26"/>
  <c r="I147" i="26"/>
  <c r="G147" i="26"/>
  <c r="V150" i="26"/>
  <c r="W150" i="26"/>
  <c r="AJ152" i="26"/>
  <c r="AI152" i="26"/>
  <c r="AI158" i="26"/>
  <c r="AJ158" i="26"/>
  <c r="AI162" i="26"/>
  <c r="AJ162" i="26"/>
  <c r="AH162" i="26"/>
  <c r="AJ172" i="26"/>
  <c r="AI172" i="26"/>
  <c r="AH172" i="26"/>
  <c r="AC178" i="26"/>
  <c r="AD178" i="26"/>
  <c r="AB178" i="26"/>
  <c r="AI186" i="26"/>
  <c r="AJ186" i="26"/>
  <c r="AH186" i="26"/>
  <c r="V190" i="26"/>
  <c r="W190" i="26"/>
  <c r="U190" i="26"/>
  <c r="AP121" i="26"/>
  <c r="AR121" i="26" s="1"/>
  <c r="AS121" i="26" s="1"/>
  <c r="AP129" i="26"/>
  <c r="AC133" i="26"/>
  <c r="U134" i="26"/>
  <c r="AI135" i="26"/>
  <c r="AC136" i="26"/>
  <c r="AI136" i="26"/>
  <c r="AJ138" i="26"/>
  <c r="AC141" i="26"/>
  <c r="G143" i="26"/>
  <c r="H144" i="26"/>
  <c r="AH144" i="26"/>
  <c r="AP144" i="26" s="1"/>
  <c r="AQ144" i="26" s="1"/>
  <c r="V152" i="26"/>
  <c r="W152" i="26"/>
  <c r="U152" i="26"/>
  <c r="AP152" i="26" s="1"/>
  <c r="AC156" i="26"/>
  <c r="AB156" i="26"/>
  <c r="V166" i="26"/>
  <c r="W166" i="26"/>
  <c r="U166" i="26"/>
  <c r="V174" i="26"/>
  <c r="W174" i="26"/>
  <c r="U174" i="26"/>
  <c r="I176" i="26"/>
  <c r="H176" i="26"/>
  <c r="G176" i="26"/>
  <c r="AP180" i="26"/>
  <c r="AQ180" i="26" s="1"/>
  <c r="H182" i="26"/>
  <c r="I182" i="26"/>
  <c r="G182" i="26"/>
  <c r="AD188" i="26"/>
  <c r="AC188" i="26"/>
  <c r="AB188" i="26"/>
  <c r="I98" i="26"/>
  <c r="W100" i="26"/>
  <c r="AD102" i="26"/>
  <c r="AD106" i="26"/>
  <c r="U108" i="26"/>
  <c r="AP108" i="26" s="1"/>
  <c r="AB110" i="26"/>
  <c r="AJ110" i="26"/>
  <c r="U112" i="26"/>
  <c r="AP112" i="26" s="1"/>
  <c r="AB114" i="26"/>
  <c r="AJ114" i="26"/>
  <c r="W116" i="26"/>
  <c r="U118" i="26"/>
  <c r="AP118" i="26" s="1"/>
  <c r="AD118" i="26"/>
  <c r="H119" i="26"/>
  <c r="AC121" i="26"/>
  <c r="U122" i="26"/>
  <c r="G123" i="26"/>
  <c r="U124" i="26"/>
  <c r="AP124" i="26" s="1"/>
  <c r="AP125" i="26"/>
  <c r="AD126" i="26"/>
  <c r="U127" i="26"/>
  <c r="AH127" i="26"/>
  <c r="AC129" i="26"/>
  <c r="U130" i="26"/>
  <c r="G131" i="26"/>
  <c r="AI131" i="26"/>
  <c r="U132" i="26"/>
  <c r="AP132" i="26" s="1"/>
  <c r="I133" i="26"/>
  <c r="W134" i="26"/>
  <c r="AH134" i="26"/>
  <c r="AC135" i="26"/>
  <c r="AP137" i="26"/>
  <c r="AQ137" i="26" s="1"/>
  <c r="U139" i="26"/>
  <c r="I141" i="26"/>
  <c r="U142" i="26"/>
  <c r="H143" i="26"/>
  <c r="AJ144" i="26"/>
  <c r="W148" i="26"/>
  <c r="U148" i="26"/>
  <c r="AP148" i="26" s="1"/>
  <c r="H150" i="26"/>
  <c r="G150" i="26"/>
  <c r="AP150" i="26"/>
  <c r="AQ150" i="26" s="1"/>
  <c r="AD152" i="26"/>
  <c r="AC152" i="26"/>
  <c r="V154" i="26"/>
  <c r="W154" i="26"/>
  <c r="U154" i="26"/>
  <c r="AP154" i="26" s="1"/>
  <c r="AD156" i="26"/>
  <c r="AD160" i="26"/>
  <c r="AC160" i="26"/>
  <c r="AB160" i="26"/>
  <c r="I164" i="26"/>
  <c r="H164" i="26"/>
  <c r="G164" i="26"/>
  <c r="I168" i="26"/>
  <c r="H168" i="26"/>
  <c r="G168" i="26"/>
  <c r="V176" i="26"/>
  <c r="W176" i="26"/>
  <c r="U176" i="26"/>
  <c r="AP176" i="26" s="1"/>
  <c r="AR176" i="26" s="1"/>
  <c r="AS176" i="26" s="1"/>
  <c r="I180" i="26"/>
  <c r="H180" i="26"/>
  <c r="G180" i="26"/>
  <c r="AJ188" i="26"/>
  <c r="AI188" i="26"/>
  <c r="AH188" i="26"/>
  <c r="G192" i="26"/>
  <c r="U192" i="26"/>
  <c r="G194" i="26"/>
  <c r="I196" i="26"/>
  <c r="W196" i="26"/>
  <c r="G198" i="26"/>
  <c r="AB200" i="26"/>
  <c r="H207" i="26"/>
  <c r="G207" i="26"/>
  <c r="AI215" i="26"/>
  <c r="AH215" i="26"/>
  <c r="AC217" i="26"/>
  <c r="AD217" i="26"/>
  <c r="AB217" i="26"/>
  <c r="AI221" i="26"/>
  <c r="AJ221" i="26"/>
  <c r="V226" i="26"/>
  <c r="W226" i="26"/>
  <c r="G160" i="26"/>
  <c r="U160" i="26"/>
  <c r="AB162" i="26"/>
  <c r="G166" i="26"/>
  <c r="G170" i="26"/>
  <c r="G172" i="26"/>
  <c r="U172" i="26"/>
  <c r="G174" i="26"/>
  <c r="U178" i="26"/>
  <c r="AH182" i="26"/>
  <c r="AH184" i="26"/>
  <c r="AP184" i="26" s="1"/>
  <c r="AB186" i="26"/>
  <c r="G188" i="26"/>
  <c r="H192" i="26"/>
  <c r="W192" i="26"/>
  <c r="I194" i="26"/>
  <c r="AH196" i="26"/>
  <c r="AP196" i="26" s="1"/>
  <c r="I198" i="26"/>
  <c r="AC198" i="26"/>
  <c r="AB198" i="26"/>
  <c r="AP198" i="26" s="1"/>
  <c r="V200" i="26"/>
  <c r="W200" i="26"/>
  <c r="AC200" i="26"/>
  <c r="I207" i="26"/>
  <c r="AJ207" i="26"/>
  <c r="AI207" i="26"/>
  <c r="AI209" i="26"/>
  <c r="AJ209" i="26"/>
  <c r="AH209" i="26"/>
  <c r="I211" i="26"/>
  <c r="H211" i="26"/>
  <c r="V213" i="26"/>
  <c r="W213" i="26"/>
  <c r="U213" i="26"/>
  <c r="AP213" i="26" s="1"/>
  <c r="AJ215" i="26"/>
  <c r="AI217" i="26"/>
  <c r="AJ217" i="26"/>
  <c r="AH221" i="26"/>
  <c r="U226" i="26"/>
  <c r="AP226" i="26" s="1"/>
  <c r="H256" i="26"/>
  <c r="I256" i="26"/>
  <c r="G256" i="26"/>
  <c r="AC260" i="26"/>
  <c r="AD260" i="26"/>
  <c r="AB260" i="26"/>
  <c r="AP260" i="26" s="1"/>
  <c r="V264" i="26"/>
  <c r="W264" i="26"/>
  <c r="U264" i="26"/>
  <c r="AP264" i="26" s="1"/>
  <c r="AQ264" i="26" s="1"/>
  <c r="G154" i="26"/>
  <c r="U156" i="26"/>
  <c r="U158" i="26"/>
  <c r="W160" i="26"/>
  <c r="U162" i="26"/>
  <c r="AD162" i="26"/>
  <c r="I166" i="26"/>
  <c r="AH166" i="26"/>
  <c r="I170" i="26"/>
  <c r="AH170" i="26"/>
  <c r="W172" i="26"/>
  <c r="I174" i="26"/>
  <c r="AH174" i="26"/>
  <c r="G178" i="26"/>
  <c r="W178" i="26"/>
  <c r="AB182" i="26"/>
  <c r="AJ182" i="26"/>
  <c r="AC184" i="26"/>
  <c r="U186" i="26"/>
  <c r="AD186" i="26"/>
  <c r="W188" i="26"/>
  <c r="I190" i="26"/>
  <c r="AH190" i="26"/>
  <c r="AB194" i="26"/>
  <c r="AP194" i="26" s="1"/>
  <c r="AJ194" i="26"/>
  <c r="AD198" i="26"/>
  <c r="U200" i="26"/>
  <c r="AJ200" i="26"/>
  <c r="AI200" i="26"/>
  <c r="AI202" i="26"/>
  <c r="AJ202" i="26"/>
  <c r="AH202" i="26"/>
  <c r="V207" i="26"/>
  <c r="W207" i="26"/>
  <c r="U207" i="26"/>
  <c r="AH207" i="26"/>
  <c r="H209" i="26"/>
  <c r="I209" i="26"/>
  <c r="G211" i="26"/>
  <c r="AP211" i="26"/>
  <c r="AQ211" i="26" s="1"/>
  <c r="AC213" i="26"/>
  <c r="AD213" i="26"/>
  <c r="AC215" i="26"/>
  <c r="AB215" i="26"/>
  <c r="AH217" i="26"/>
  <c r="AP219" i="26"/>
  <c r="AC224" i="26"/>
  <c r="AD224" i="26"/>
  <c r="AB224" i="26"/>
  <c r="I226" i="26"/>
  <c r="H226" i="26"/>
  <c r="I258" i="26"/>
  <c r="H258" i="26"/>
  <c r="G258" i="26"/>
  <c r="AP192" i="26"/>
  <c r="AR192" i="26" s="1"/>
  <c r="AS192" i="26" s="1"/>
  <c r="AI198" i="26"/>
  <c r="AJ198" i="26"/>
  <c r="H202" i="26"/>
  <c r="I202" i="26"/>
  <c r="AD207" i="26"/>
  <c r="AC207" i="26"/>
  <c r="V211" i="26"/>
  <c r="W211" i="26"/>
  <c r="AC221" i="26"/>
  <c r="AD221" i="26"/>
  <c r="AB221" i="26"/>
  <c r="AI224" i="26"/>
  <c r="AJ224" i="26"/>
  <c r="V258" i="26"/>
  <c r="W258" i="26"/>
  <c r="U258" i="26"/>
  <c r="AP258" i="26" s="1"/>
  <c r="W256" i="26"/>
  <c r="AC258" i="26"/>
  <c r="AI258" i="26"/>
  <c r="AJ260" i="26"/>
  <c r="H262" i="26"/>
  <c r="W262" i="26"/>
  <c r="U265" i="26"/>
  <c r="AP265" i="26" s="1"/>
  <c r="AR265" i="26" s="1"/>
  <c r="AS265" i="26" s="1"/>
  <c r="W266" i="26"/>
  <c r="G317" i="26"/>
  <c r="U317" i="26"/>
  <c r="AC317" i="26"/>
  <c r="AI317" i="26"/>
  <c r="AC318" i="26"/>
  <c r="I319" i="26"/>
  <c r="AH319" i="26"/>
  <c r="AP319" i="26" s="1"/>
  <c r="AQ319" i="26" s="1"/>
  <c r="H321" i="26"/>
  <c r="W321" i="26"/>
  <c r="H322" i="26"/>
  <c r="AC322" i="26"/>
  <c r="I323" i="26"/>
  <c r="AH323" i="26"/>
  <c r="H325" i="26"/>
  <c r="W325" i="26"/>
  <c r="H327" i="26"/>
  <c r="U327" i="26"/>
  <c r="AP327" i="26" s="1"/>
  <c r="H329" i="26"/>
  <c r="AD329" i="26"/>
  <c r="AJ329" i="26"/>
  <c r="H330" i="26"/>
  <c r="H333" i="26"/>
  <c r="AC334" i="26"/>
  <c r="AH335" i="26"/>
  <c r="AP355" i="26"/>
  <c r="AR355" i="26" s="1"/>
  <c r="AS355" i="26" s="1"/>
  <c r="AP357" i="26"/>
  <c r="AR357" i="26" s="1"/>
  <c r="AS357" i="26" s="1"/>
  <c r="AB202" i="26"/>
  <c r="AB209" i="26"/>
  <c r="G213" i="26"/>
  <c r="U215" i="26"/>
  <c r="U217" i="26"/>
  <c r="U221" i="26"/>
  <c r="U224" i="26"/>
  <c r="AP256" i="26"/>
  <c r="AQ256" i="26" s="1"/>
  <c r="W265" i="26"/>
  <c r="H317" i="26"/>
  <c r="W317" i="26"/>
  <c r="AJ319" i="26"/>
  <c r="AB323" i="26"/>
  <c r="AJ323" i="26"/>
  <c r="AC326" i="26"/>
  <c r="W327" i="26"/>
  <c r="AI330" i="26"/>
  <c r="AB331" i="26"/>
  <c r="AH331" i="26"/>
  <c r="H334" i="26"/>
  <c r="AB335" i="26"/>
  <c r="AJ335" i="26"/>
  <c r="AB337" i="26"/>
  <c r="AH337" i="26"/>
  <c r="H338" i="26"/>
  <c r="AC338" i="26"/>
  <c r="AI334" i="26"/>
  <c r="U335" i="26"/>
  <c r="AD335" i="26"/>
  <c r="U337" i="26"/>
  <c r="AP347" i="26"/>
  <c r="AR347" i="26" s="1"/>
  <c r="AS347" i="26" s="1"/>
  <c r="AI10" i="14"/>
  <c r="AE17" i="14"/>
  <c r="AC17" i="14"/>
  <c r="S25" i="14"/>
  <c r="Q25" i="14"/>
  <c r="AE25" i="14"/>
  <c r="AD25" i="14"/>
  <c r="AD32" i="14"/>
  <c r="AE32" i="14"/>
  <c r="AC32" i="14"/>
  <c r="Y38" i="14"/>
  <c r="X38" i="14"/>
  <c r="AE41" i="14"/>
  <c r="AD41" i="14"/>
  <c r="X42" i="14"/>
  <c r="W42" i="14"/>
  <c r="AE45" i="14"/>
  <c r="AD45" i="14"/>
  <c r="X46" i="14"/>
  <c r="W46" i="14"/>
  <c r="S50" i="14"/>
  <c r="R50" i="14"/>
  <c r="AD56" i="14"/>
  <c r="AE56" i="14"/>
  <c r="X58" i="14"/>
  <c r="W58" i="14"/>
  <c r="X60" i="14"/>
  <c r="Y60" i="14"/>
  <c r="W60" i="14"/>
  <c r="I62" i="14"/>
  <c r="H62" i="14"/>
  <c r="W71" i="14"/>
  <c r="X71" i="14"/>
  <c r="H74" i="14"/>
  <c r="G74" i="14"/>
  <c r="AC75" i="14"/>
  <c r="AD75" i="14"/>
  <c r="X76" i="14"/>
  <c r="Y76" i="14"/>
  <c r="AD78" i="14"/>
  <c r="AC78" i="14"/>
  <c r="Y82" i="14"/>
  <c r="X82" i="14"/>
  <c r="AD88" i="14"/>
  <c r="AE88" i="14"/>
  <c r="AC88" i="14"/>
  <c r="Q100" i="14"/>
  <c r="R100" i="14"/>
  <c r="AC104" i="14"/>
  <c r="AE104" i="14"/>
  <c r="AD104" i="14"/>
  <c r="I108" i="14"/>
  <c r="H108" i="14"/>
  <c r="G108" i="14"/>
  <c r="R109" i="14"/>
  <c r="S109" i="14"/>
  <c r="S119" i="14"/>
  <c r="Q119" i="14"/>
  <c r="R126" i="14"/>
  <c r="Q126" i="14"/>
  <c r="I127" i="14"/>
  <c r="H127" i="14"/>
  <c r="Y127" i="14"/>
  <c r="X127" i="14"/>
  <c r="W127" i="14"/>
  <c r="H129" i="14"/>
  <c r="I129" i="14"/>
  <c r="AE131" i="14"/>
  <c r="AD131" i="14"/>
  <c r="AC131" i="14"/>
  <c r="R138" i="14"/>
  <c r="S138" i="14"/>
  <c r="Y140" i="14"/>
  <c r="X140" i="14"/>
  <c r="W141" i="14"/>
  <c r="Y141" i="14"/>
  <c r="X141" i="14"/>
  <c r="Y143" i="14"/>
  <c r="X143" i="14"/>
  <c r="H144" i="14"/>
  <c r="I144" i="14"/>
  <c r="G144" i="14"/>
  <c r="AC149" i="14"/>
  <c r="AD149" i="14"/>
  <c r="AE149" i="14"/>
  <c r="X166" i="14"/>
  <c r="Y166" i="14"/>
  <c r="W166" i="14"/>
  <c r="Y168" i="14"/>
  <c r="X168" i="14"/>
  <c r="W168" i="14"/>
  <c r="AC5" i="14"/>
  <c r="W6" i="14"/>
  <c r="AC6" i="14"/>
  <c r="G8" i="14"/>
  <c r="G10" i="14"/>
  <c r="S12" i="14"/>
  <c r="G14" i="14"/>
  <c r="G16" i="14"/>
  <c r="AD17" i="14"/>
  <c r="AC21" i="14"/>
  <c r="G24" i="14"/>
  <c r="AC25" i="14"/>
  <c r="R28" i="14"/>
  <c r="Q28" i="14"/>
  <c r="I29" i="14"/>
  <c r="G29" i="14"/>
  <c r="W30" i="14"/>
  <c r="AE33" i="14"/>
  <c r="AD33" i="14"/>
  <c r="X34" i="14"/>
  <c r="W34" i="14"/>
  <c r="H38" i="14"/>
  <c r="G38" i="14"/>
  <c r="W38" i="14"/>
  <c r="X39" i="14"/>
  <c r="R40" i="14"/>
  <c r="S40" i="14"/>
  <c r="Q40" i="14"/>
  <c r="AC41" i="14"/>
  <c r="Y42" i="14"/>
  <c r="AC45" i="14"/>
  <c r="Y46" i="14"/>
  <c r="AI47" i="14"/>
  <c r="AK47" i="14" s="1"/>
  <c r="AL47" i="14" s="1"/>
  <c r="R48" i="14"/>
  <c r="S48" i="14"/>
  <c r="AD48" i="14"/>
  <c r="AE48" i="14"/>
  <c r="AC48" i="14"/>
  <c r="Q50" i="14"/>
  <c r="AI50" i="14" s="1"/>
  <c r="X52" i="14"/>
  <c r="Y52" i="14"/>
  <c r="W52" i="14"/>
  <c r="AD54" i="14"/>
  <c r="AC54" i="14"/>
  <c r="AC56" i="14"/>
  <c r="Y58" i="14"/>
  <c r="AD60" i="14"/>
  <c r="AE60" i="14"/>
  <c r="G62" i="14"/>
  <c r="R64" i="14"/>
  <c r="S64" i="14"/>
  <c r="Q64" i="14"/>
  <c r="X70" i="14"/>
  <c r="W70" i="14"/>
  <c r="G71" i="14"/>
  <c r="H71" i="14"/>
  <c r="I74" i="14"/>
  <c r="AE74" i="14"/>
  <c r="AD74" i="14"/>
  <c r="W76" i="14"/>
  <c r="AE78" i="14"/>
  <c r="R80" i="14"/>
  <c r="S80" i="14"/>
  <c r="Q80" i="14"/>
  <c r="H82" i="14"/>
  <c r="G82" i="14"/>
  <c r="W82" i="14"/>
  <c r="AD83" i="14"/>
  <c r="H84" i="14"/>
  <c r="I84" i="14"/>
  <c r="G84" i="14"/>
  <c r="G86" i="14"/>
  <c r="I86" i="14"/>
  <c r="X86" i="14"/>
  <c r="Y86" i="14"/>
  <c r="W86" i="14"/>
  <c r="G87" i="14"/>
  <c r="H87" i="14"/>
  <c r="Y94" i="14"/>
  <c r="AC97" i="14"/>
  <c r="AE97" i="14"/>
  <c r="R102" i="14"/>
  <c r="Q102" i="14"/>
  <c r="AC105" i="14"/>
  <c r="AE105" i="14"/>
  <c r="AD105" i="14"/>
  <c r="Y111" i="14"/>
  <c r="X111" i="14"/>
  <c r="G113" i="14"/>
  <c r="I113" i="14"/>
  <c r="W113" i="14"/>
  <c r="Y113" i="14"/>
  <c r="X113" i="14"/>
  <c r="AC117" i="14"/>
  <c r="AD117" i="14"/>
  <c r="AE117" i="14"/>
  <c r="X125" i="14"/>
  <c r="Y125" i="14"/>
  <c r="S126" i="14"/>
  <c r="G127" i="14"/>
  <c r="R129" i="14"/>
  <c r="S129" i="14"/>
  <c r="Q138" i="14"/>
  <c r="I139" i="14"/>
  <c r="H139" i="14"/>
  <c r="G139" i="14"/>
  <c r="W140" i="14"/>
  <c r="W143" i="14"/>
  <c r="AE152" i="14"/>
  <c r="AD152" i="14"/>
  <c r="S155" i="14"/>
  <c r="Q155" i="14"/>
  <c r="S157" i="14"/>
  <c r="R157" i="14"/>
  <c r="Q157" i="14"/>
  <c r="Y158" i="14"/>
  <c r="X158" i="14"/>
  <c r="W158" i="14"/>
  <c r="AI158" i="14" s="1"/>
  <c r="R174" i="14"/>
  <c r="S174" i="14"/>
  <c r="Q174" i="14"/>
  <c r="AI174" i="14" s="1"/>
  <c r="AK174" i="14" s="1"/>
  <c r="AL174" i="14" s="1"/>
  <c r="G4" i="14"/>
  <c r="W4" i="14"/>
  <c r="Q6" i="14"/>
  <c r="X6" i="14"/>
  <c r="AD6" i="14"/>
  <c r="X7" i="14"/>
  <c r="H10" i="14"/>
  <c r="G12" i="14"/>
  <c r="H14" i="14"/>
  <c r="Q17" i="14"/>
  <c r="G18" i="14"/>
  <c r="Y18" i="14"/>
  <c r="R20" i="14"/>
  <c r="Q20" i="14"/>
  <c r="W20" i="14"/>
  <c r="H29" i="14"/>
  <c r="AC29" i="14"/>
  <c r="S30" i="14"/>
  <c r="Q30" i="14"/>
  <c r="Y30" i="14"/>
  <c r="R32" i="14"/>
  <c r="S32" i="14"/>
  <c r="Q32" i="14"/>
  <c r="AC33" i="14"/>
  <c r="Y34" i="14"/>
  <c r="I38" i="14"/>
  <c r="AE38" i="14"/>
  <c r="AD38" i="14"/>
  <c r="AD42" i="14"/>
  <c r="AC42" i="14"/>
  <c r="AD46" i="14"/>
  <c r="AC46" i="14"/>
  <c r="X47" i="14"/>
  <c r="Q48" i="14"/>
  <c r="I50" i="14"/>
  <c r="H50" i="14"/>
  <c r="AD52" i="14"/>
  <c r="AE52" i="14"/>
  <c r="AE54" i="14"/>
  <c r="AD58" i="14"/>
  <c r="AC58" i="14"/>
  <c r="AC60" i="14"/>
  <c r="R62" i="14"/>
  <c r="S62" i="14"/>
  <c r="AC63" i="14"/>
  <c r="AD63" i="14"/>
  <c r="X64" i="14"/>
  <c r="Y64" i="14"/>
  <c r="AD67" i="14"/>
  <c r="H68" i="14"/>
  <c r="I68" i="14"/>
  <c r="G68" i="14"/>
  <c r="Y70" i="14"/>
  <c r="H72" i="14"/>
  <c r="I72" i="14"/>
  <c r="AD72" i="14"/>
  <c r="AE72" i="14"/>
  <c r="AC72" i="14"/>
  <c r="AI72" i="14" s="1"/>
  <c r="AK72" i="14" s="1"/>
  <c r="AL72" i="14" s="1"/>
  <c r="R74" i="14"/>
  <c r="S74" i="14"/>
  <c r="Q74" i="14"/>
  <c r="AC74" i="14"/>
  <c r="X78" i="14"/>
  <c r="W78" i="14"/>
  <c r="H79" i="14"/>
  <c r="AC79" i="14"/>
  <c r="AD79" i="14"/>
  <c r="X80" i="14"/>
  <c r="Y80" i="14"/>
  <c r="I82" i="14"/>
  <c r="AE82" i="14"/>
  <c r="AD82" i="14"/>
  <c r="R84" i="14"/>
  <c r="S84" i="14"/>
  <c r="H86" i="14"/>
  <c r="AD86" i="14"/>
  <c r="AE86" i="14"/>
  <c r="H88" i="14"/>
  <c r="I88" i="14"/>
  <c r="G88" i="14"/>
  <c r="H90" i="14"/>
  <c r="I90" i="14"/>
  <c r="Y90" i="14"/>
  <c r="X90" i="14"/>
  <c r="W90" i="14"/>
  <c r="AI90" i="14" s="1"/>
  <c r="AJ90" i="14" s="1"/>
  <c r="S91" i="14"/>
  <c r="Q91" i="14"/>
  <c r="X92" i="14"/>
  <c r="Y92" i="14"/>
  <c r="W92" i="14"/>
  <c r="AI92" i="14" s="1"/>
  <c r="Q93" i="14"/>
  <c r="R93" i="14"/>
  <c r="Y96" i="14"/>
  <c r="X96" i="14"/>
  <c r="AI97" i="14"/>
  <c r="AK97" i="14" s="1"/>
  <c r="AL97" i="14" s="1"/>
  <c r="R98" i="14"/>
  <c r="S98" i="14"/>
  <c r="Q98" i="14"/>
  <c r="S99" i="14"/>
  <c r="R99" i="14"/>
  <c r="Q99" i="14"/>
  <c r="S102" i="14"/>
  <c r="G103" i="14"/>
  <c r="AE103" i="14"/>
  <c r="AC103" i="14"/>
  <c r="I104" i="14"/>
  <c r="H104" i="14"/>
  <c r="G104" i="14"/>
  <c r="R105" i="14"/>
  <c r="S105" i="14"/>
  <c r="AC108" i="14"/>
  <c r="AE108" i="14"/>
  <c r="AD108" i="14"/>
  <c r="W111" i="14"/>
  <c r="H113" i="14"/>
  <c r="W116" i="14"/>
  <c r="Y116" i="14"/>
  <c r="G117" i="14"/>
  <c r="I117" i="14"/>
  <c r="H117" i="14"/>
  <c r="Y132" i="14"/>
  <c r="X132" i="14"/>
  <c r="W132" i="14"/>
  <c r="AI132" i="14" s="1"/>
  <c r="Y135" i="14"/>
  <c r="X135" i="14"/>
  <c r="G136" i="14"/>
  <c r="I136" i="14"/>
  <c r="R137" i="14"/>
  <c r="S137" i="14"/>
  <c r="AE139" i="14"/>
  <c r="AD139" i="14"/>
  <c r="W144" i="14"/>
  <c r="Y144" i="14"/>
  <c r="X144" i="14"/>
  <c r="AC145" i="14"/>
  <c r="AE145" i="14"/>
  <c r="S147" i="14"/>
  <c r="Q147" i="14"/>
  <c r="R150" i="14"/>
  <c r="Q150" i="14"/>
  <c r="AC152" i="14"/>
  <c r="AI152" i="14" s="1"/>
  <c r="Y157" i="14"/>
  <c r="X157" i="14"/>
  <c r="I172" i="14"/>
  <c r="H172" i="14"/>
  <c r="G172" i="14"/>
  <c r="AM64" i="14"/>
  <c r="AO64" i="14" s="1"/>
  <c r="X3" i="14"/>
  <c r="I4" i="14"/>
  <c r="Q4" i="14"/>
  <c r="S6" i="14"/>
  <c r="Y7" i="14"/>
  <c r="AC9" i="14"/>
  <c r="X11" i="14"/>
  <c r="I12" i="14"/>
  <c r="W12" i="14"/>
  <c r="H18" i="14"/>
  <c r="H20" i="14"/>
  <c r="I20" i="14"/>
  <c r="X25" i="14"/>
  <c r="AC26" i="14"/>
  <c r="S28" i="14"/>
  <c r="AD29" i="14"/>
  <c r="R30" i="14"/>
  <c r="AE30" i="14"/>
  <c r="AD30" i="14"/>
  <c r="AD34" i="14"/>
  <c r="AC34" i="14"/>
  <c r="X35" i="14"/>
  <c r="I37" i="14"/>
  <c r="H37" i="14"/>
  <c r="G37" i="14"/>
  <c r="S38" i="14"/>
  <c r="R38" i="14"/>
  <c r="Q38" i="14"/>
  <c r="AC38" i="14"/>
  <c r="AD40" i="14"/>
  <c r="AE40" i="14"/>
  <c r="AC40" i="14"/>
  <c r="AE42" i="14"/>
  <c r="X43" i="14"/>
  <c r="R44" i="14"/>
  <c r="S44" i="14"/>
  <c r="Q44" i="14"/>
  <c r="AE46" i="14"/>
  <c r="G47" i="14"/>
  <c r="I47" i="14"/>
  <c r="X49" i="14"/>
  <c r="G50" i="14"/>
  <c r="AC52" i="14"/>
  <c r="X54" i="14"/>
  <c r="W54" i="14"/>
  <c r="X56" i="14"/>
  <c r="Y56" i="14"/>
  <c r="W56" i="14"/>
  <c r="AE58" i="14"/>
  <c r="Q62" i="14"/>
  <c r="W64" i="14"/>
  <c r="AI64" i="14" s="1"/>
  <c r="AK64" i="14" s="1"/>
  <c r="AL64" i="14" s="1"/>
  <c r="R68" i="14"/>
  <c r="S68" i="14"/>
  <c r="AI68" i="14"/>
  <c r="AD70" i="14"/>
  <c r="AC70" i="14"/>
  <c r="G72" i="14"/>
  <c r="Y74" i="14"/>
  <c r="X74" i="14"/>
  <c r="R76" i="14"/>
  <c r="S76" i="14"/>
  <c r="Q76" i="14"/>
  <c r="Y78" i="14"/>
  <c r="W80" i="14"/>
  <c r="R82" i="14"/>
  <c r="S82" i="14"/>
  <c r="Q82" i="14"/>
  <c r="AC82" i="14"/>
  <c r="Q84" i="14"/>
  <c r="AI84" i="14" s="1"/>
  <c r="AC86" i="14"/>
  <c r="G90" i="14"/>
  <c r="AE90" i="14"/>
  <c r="AD90" i="14"/>
  <c r="Y91" i="14"/>
  <c r="X91" i="14"/>
  <c r="AD92" i="14"/>
  <c r="AE92" i="14"/>
  <c r="W93" i="14"/>
  <c r="AI93" i="14" s="1"/>
  <c r="AJ93" i="14" s="1"/>
  <c r="Y93" i="14"/>
  <c r="X93" i="14"/>
  <c r="S95" i="14"/>
  <c r="R95" i="14"/>
  <c r="G96" i="14"/>
  <c r="I96" i="14"/>
  <c r="W96" i="14"/>
  <c r="S101" i="14"/>
  <c r="AC101" i="14"/>
  <c r="AI101" i="14" s="1"/>
  <c r="AD101" i="14"/>
  <c r="AE101" i="14"/>
  <c r="AC109" i="14"/>
  <c r="AE109" i="14"/>
  <c r="AD109" i="14"/>
  <c r="H116" i="14"/>
  <c r="I116" i="14"/>
  <c r="X116" i="14"/>
  <c r="R118" i="14"/>
  <c r="Q118" i="14"/>
  <c r="I121" i="14"/>
  <c r="AD121" i="14"/>
  <c r="AE121" i="14"/>
  <c r="AE123" i="14"/>
  <c r="AD123" i="14"/>
  <c r="AC123" i="14"/>
  <c r="AI123" i="14" s="1"/>
  <c r="G128" i="14"/>
  <c r="I128" i="14"/>
  <c r="H128" i="14"/>
  <c r="AE132" i="14"/>
  <c r="AD132" i="14"/>
  <c r="S133" i="14"/>
  <c r="AE133" i="14"/>
  <c r="W135" i="14"/>
  <c r="AI135" i="14" s="1"/>
  <c r="AK135" i="14" s="1"/>
  <c r="AL135" i="14" s="1"/>
  <c r="H136" i="14"/>
  <c r="AC139" i="14"/>
  <c r="AI139" i="14" s="1"/>
  <c r="R141" i="14"/>
  <c r="S141" i="14"/>
  <c r="AC144" i="14"/>
  <c r="AE144" i="14"/>
  <c r="S145" i="14"/>
  <c r="AD145" i="14"/>
  <c r="Y147" i="14"/>
  <c r="X147" i="14"/>
  <c r="W147" i="14"/>
  <c r="S150" i="14"/>
  <c r="S151" i="14"/>
  <c r="Q151" i="14"/>
  <c r="AC169" i="14"/>
  <c r="AD169" i="14"/>
  <c r="Y205" i="14"/>
  <c r="X205" i="14"/>
  <c r="W205" i="14"/>
  <c r="I209" i="14"/>
  <c r="H209" i="14"/>
  <c r="G209" i="14"/>
  <c r="AE212" i="14"/>
  <c r="AD212" i="14"/>
  <c r="AC212" i="14"/>
  <c r="Y221" i="14"/>
  <c r="X221" i="14"/>
  <c r="W221" i="14"/>
  <c r="R226" i="14"/>
  <c r="S226" i="14"/>
  <c r="Q226" i="14"/>
  <c r="X16" i="14"/>
  <c r="X21" i="14"/>
  <c r="X24" i="14"/>
  <c r="R94" i="14"/>
  <c r="S94" i="14"/>
  <c r="G101" i="14"/>
  <c r="H101" i="14"/>
  <c r="S103" i="14"/>
  <c r="Q103" i="14"/>
  <c r="AE119" i="14"/>
  <c r="AC119" i="14"/>
  <c r="R121" i="14"/>
  <c r="S121" i="14"/>
  <c r="H125" i="14"/>
  <c r="I125" i="14"/>
  <c r="R130" i="14"/>
  <c r="Q130" i="14"/>
  <c r="AC137" i="14"/>
  <c r="AD137" i="14"/>
  <c r="Y139" i="14"/>
  <c r="X139" i="14"/>
  <c r="G145" i="14"/>
  <c r="I145" i="14"/>
  <c r="W145" i="14"/>
  <c r="X145" i="14"/>
  <c r="G149" i="14"/>
  <c r="H149" i="14"/>
  <c r="AE151" i="14"/>
  <c r="AD151" i="14"/>
  <c r="AC151" i="14"/>
  <c r="Y152" i="14"/>
  <c r="X152" i="14"/>
  <c r="W153" i="14"/>
  <c r="Y153" i="14"/>
  <c r="H155" i="14"/>
  <c r="G155" i="14"/>
  <c r="AD164" i="14"/>
  <c r="AC164" i="14"/>
  <c r="AD166" i="14"/>
  <c r="AE166" i="14"/>
  <c r="H170" i="14"/>
  <c r="I170" i="14"/>
  <c r="G170" i="14"/>
  <c r="W177" i="14"/>
  <c r="X177" i="14"/>
  <c r="R178" i="14"/>
  <c r="S178" i="14"/>
  <c r="Q178" i="14"/>
  <c r="W180" i="14"/>
  <c r="Y180" i="14"/>
  <c r="X180" i="14"/>
  <c r="W181" i="14"/>
  <c r="X181" i="14"/>
  <c r="W199" i="14"/>
  <c r="X199" i="14"/>
  <c r="S201" i="14"/>
  <c r="Q201" i="14"/>
  <c r="AE202" i="14"/>
  <c r="AC202" i="14"/>
  <c r="AD202" i="14"/>
  <c r="R86" i="14"/>
  <c r="Q86" i="14"/>
  <c r="X88" i="14"/>
  <c r="W88" i="14"/>
  <c r="R90" i="14"/>
  <c r="S90" i="14"/>
  <c r="AE91" i="14"/>
  <c r="AC91" i="14"/>
  <c r="Q96" i="14"/>
  <c r="R96" i="14"/>
  <c r="G105" i="14"/>
  <c r="I105" i="14"/>
  <c r="W105" i="14"/>
  <c r="X105" i="14"/>
  <c r="R106" i="14"/>
  <c r="S106" i="14"/>
  <c r="G109" i="14"/>
  <c r="I109" i="14"/>
  <c r="W109" i="14"/>
  <c r="X109" i="14"/>
  <c r="I119" i="14"/>
  <c r="G119" i="14"/>
  <c r="Y123" i="14"/>
  <c r="X123" i="14"/>
  <c r="X129" i="14"/>
  <c r="Y129" i="14"/>
  <c r="Y131" i="14"/>
  <c r="X131" i="14"/>
  <c r="G137" i="14"/>
  <c r="H137" i="14"/>
  <c r="S143" i="14"/>
  <c r="Q143" i="14"/>
  <c r="AI143" i="14" s="1"/>
  <c r="AJ143" i="14" s="1"/>
  <c r="I151" i="14"/>
  <c r="G151" i="14"/>
  <c r="AE158" i="14"/>
  <c r="AD158" i="14"/>
  <c r="H162" i="14"/>
  <c r="I162" i="14"/>
  <c r="AD162" i="14"/>
  <c r="AE162" i="14"/>
  <c r="AC162" i="14"/>
  <c r="R166" i="14"/>
  <c r="Q166" i="14"/>
  <c r="AI166" i="14" s="1"/>
  <c r="AE168" i="14"/>
  <c r="AD168" i="14"/>
  <c r="R170" i="14"/>
  <c r="S170" i="14"/>
  <c r="AI170" i="14"/>
  <c r="S176" i="14"/>
  <c r="Q176" i="14"/>
  <c r="AI176" i="14" s="1"/>
  <c r="G184" i="14"/>
  <c r="I184" i="14"/>
  <c r="H184" i="14"/>
  <c r="W186" i="14"/>
  <c r="AI186" i="14" s="1"/>
  <c r="AK186" i="14" s="1"/>
  <c r="AL186" i="14" s="1"/>
  <c r="Y186" i="14"/>
  <c r="X186" i="14"/>
  <c r="S197" i="14"/>
  <c r="Q197" i="14"/>
  <c r="X164" i="14"/>
  <c r="W164" i="14"/>
  <c r="AC165" i="14"/>
  <c r="AD165" i="14"/>
  <c r="H174" i="14"/>
  <c r="I174" i="14"/>
  <c r="G174" i="14"/>
  <c r="G185" i="14"/>
  <c r="H185" i="14"/>
  <c r="AI124" i="14"/>
  <c r="AI131" i="14"/>
  <c r="AI136" i="14"/>
  <c r="G177" i="14"/>
  <c r="H177" i="14"/>
  <c r="H180" i="14"/>
  <c r="AE180" i="14"/>
  <c r="H182" i="14"/>
  <c r="AC185" i="14"/>
  <c r="AD185" i="14"/>
  <c r="AE186" i="14"/>
  <c r="Y188" i="14"/>
  <c r="W188" i="14"/>
  <c r="R194" i="14"/>
  <c r="Q194" i="14"/>
  <c r="AI194" i="14" s="1"/>
  <c r="Y197" i="14"/>
  <c r="X197" i="14"/>
  <c r="S198" i="14"/>
  <c r="Q198" i="14"/>
  <c r="AI198" i="14" s="1"/>
  <c r="G199" i="14"/>
  <c r="H199" i="14"/>
  <c r="AC199" i="14"/>
  <c r="AD199" i="14"/>
  <c r="Y201" i="14"/>
  <c r="W201" i="14"/>
  <c r="G203" i="14"/>
  <c r="H203" i="14"/>
  <c r="Q209" i="14"/>
  <c r="AI209" i="14" s="1"/>
  <c r="R209" i="14"/>
  <c r="R211" i="14"/>
  <c r="S211" i="14"/>
  <c r="Q211" i="14"/>
  <c r="I219" i="14"/>
  <c r="G219" i="14"/>
  <c r="AE220" i="14"/>
  <c r="AD220" i="14"/>
  <c r="AC220" i="14"/>
  <c r="AE221" i="14"/>
  <c r="AD221" i="14"/>
  <c r="AC221" i="14"/>
  <c r="AI221" i="14" s="1"/>
  <c r="I227" i="14"/>
  <c r="H227" i="14"/>
  <c r="G227" i="14"/>
  <c r="R228" i="14"/>
  <c r="S228" i="14"/>
  <c r="Q241" i="14"/>
  <c r="AI241" i="14" s="1"/>
  <c r="S241" i="14"/>
  <c r="AI155" i="14"/>
  <c r="AK155" i="14" s="1"/>
  <c r="AL155" i="14" s="1"/>
  <c r="H178" i="14"/>
  <c r="I178" i="14"/>
  <c r="AD178" i="14"/>
  <c r="AC178" i="14"/>
  <c r="AI180" i="14"/>
  <c r="G181" i="14"/>
  <c r="H181" i="14"/>
  <c r="AI182" i="14"/>
  <c r="AK182" i="14" s="1"/>
  <c r="AL182" i="14" s="1"/>
  <c r="AE188" i="14"/>
  <c r="AC188" i="14"/>
  <c r="I189" i="14"/>
  <c r="G189" i="14"/>
  <c r="H192" i="14"/>
  <c r="G192" i="14"/>
  <c r="G193" i="14"/>
  <c r="H193" i="14"/>
  <c r="H196" i="14"/>
  <c r="G196" i="14"/>
  <c r="X196" i="14"/>
  <c r="W196" i="14"/>
  <c r="AI196" i="14" s="1"/>
  <c r="AJ196" i="14" s="1"/>
  <c r="AE197" i="14"/>
  <c r="AC197" i="14"/>
  <c r="X200" i="14"/>
  <c r="W200" i="14"/>
  <c r="AI200" i="14" s="1"/>
  <c r="Y202" i="14"/>
  <c r="W202" i="14"/>
  <c r="W203" i="14"/>
  <c r="X203" i="14"/>
  <c r="R207" i="14"/>
  <c r="S207" i="14"/>
  <c r="Q207" i="14"/>
  <c r="Y208" i="14"/>
  <c r="X208" i="14"/>
  <c r="W208" i="14"/>
  <c r="AE216" i="14"/>
  <c r="AD216" i="14"/>
  <c r="AC216" i="14"/>
  <c r="AI217" i="14"/>
  <c r="Y184" i="14"/>
  <c r="Q184" i="14"/>
  <c r="AI184" i="14" s="1"/>
  <c r="X192" i="14"/>
  <c r="W192" i="14"/>
  <c r="AI192" i="14" s="1"/>
  <c r="I194" i="14"/>
  <c r="G194" i="14"/>
  <c r="G198" i="14"/>
  <c r="I198" i="14"/>
  <c r="AC203" i="14"/>
  <c r="AI203" i="14" s="1"/>
  <c r="AD203" i="14"/>
  <c r="I212" i="14"/>
  <c r="H212" i="14"/>
  <c r="G212" i="14"/>
  <c r="R218" i="14"/>
  <c r="S218" i="14"/>
  <c r="Y227" i="14"/>
  <c r="X227" i="14"/>
  <c r="W227" i="14"/>
  <c r="R230" i="14"/>
  <c r="S230" i="14"/>
  <c r="S188" i="14"/>
  <c r="W189" i="14"/>
  <c r="AD189" i="14"/>
  <c r="AE192" i="14"/>
  <c r="Y209" i="14"/>
  <c r="AE209" i="14"/>
  <c r="I213" i="14"/>
  <c r="Y217" i="14"/>
  <c r="AE217" i="14"/>
  <c r="I221" i="14"/>
  <c r="AI239" i="14"/>
  <c r="AJ239" i="14" s="1"/>
  <c r="R242" i="14"/>
  <c r="S242" i="14"/>
  <c r="I256" i="14"/>
  <c r="H256" i="14"/>
  <c r="W257" i="14"/>
  <c r="X257" i="14"/>
  <c r="S259" i="14"/>
  <c r="R259" i="14"/>
  <c r="R264" i="14"/>
  <c r="S264" i="14"/>
  <c r="Q264" i="14"/>
  <c r="AI264" i="14" s="1"/>
  <c r="R267" i="14"/>
  <c r="Q267" i="14"/>
  <c r="AI267" i="14" s="1"/>
  <c r="Q307" i="14"/>
  <c r="AI307" i="14" s="1"/>
  <c r="AJ307" i="14" s="1"/>
  <c r="R308" i="14"/>
  <c r="S308" i="14"/>
  <c r="Q308" i="14"/>
  <c r="AI308" i="14" s="1"/>
  <c r="Q313" i="14"/>
  <c r="S313" i="14"/>
  <c r="R313" i="14"/>
  <c r="AD318" i="14"/>
  <c r="AC318" i="14"/>
  <c r="H320" i="14"/>
  <c r="I320" i="14"/>
  <c r="AD320" i="14"/>
  <c r="AE320" i="14"/>
  <c r="AC320" i="14"/>
  <c r="Y322" i="14"/>
  <c r="W322" i="14"/>
  <c r="Y326" i="14"/>
  <c r="X326" i="14"/>
  <c r="X329" i="14"/>
  <c r="Y329" i="14"/>
  <c r="W332" i="14"/>
  <c r="AI332" i="14" s="1"/>
  <c r="Y332" i="14"/>
  <c r="X332" i="14"/>
  <c r="S334" i="14"/>
  <c r="R334" i="14"/>
  <c r="H337" i="14"/>
  <c r="G337" i="14"/>
  <c r="X337" i="14"/>
  <c r="W337" i="14"/>
  <c r="Q348" i="14"/>
  <c r="AI348" i="14" s="1"/>
  <c r="R348" i="14"/>
  <c r="AI213" i="14"/>
  <c r="R293" i="14"/>
  <c r="S293" i="14"/>
  <c r="Q293" i="14"/>
  <c r="AI293" i="14" s="1"/>
  <c r="R310" i="14"/>
  <c r="S310" i="14"/>
  <c r="Q310" i="14"/>
  <c r="AI310" i="14" s="1"/>
  <c r="Q311" i="14"/>
  <c r="AI311" i="14" s="1"/>
  <c r="AJ311" i="14" s="1"/>
  <c r="S311" i="14"/>
  <c r="AE321" i="14"/>
  <c r="AD321" i="14"/>
  <c r="AE322" i="14"/>
  <c r="AD322" i="14"/>
  <c r="H326" i="14"/>
  <c r="G326" i="14"/>
  <c r="W326" i="14"/>
  <c r="S327" i="14"/>
  <c r="R327" i="14"/>
  <c r="AE328" i="14"/>
  <c r="X331" i="14"/>
  <c r="W331" i="14"/>
  <c r="G332" i="14"/>
  <c r="I332" i="14"/>
  <c r="I337" i="14"/>
  <c r="Y337" i="14"/>
  <c r="AC338" i="14"/>
  <c r="AE338" i="14"/>
  <c r="S347" i="14"/>
  <c r="R347" i="14"/>
  <c r="S196" i="14"/>
  <c r="H197" i="14"/>
  <c r="AE200" i="14"/>
  <c r="R202" i="14"/>
  <c r="W204" i="14"/>
  <c r="R205" i="14"/>
  <c r="AE207" i="14"/>
  <c r="R208" i="14"/>
  <c r="S210" i="14"/>
  <c r="X212" i="14"/>
  <c r="R213" i="14"/>
  <c r="S214" i="14"/>
  <c r="S215" i="14"/>
  <c r="H216" i="14"/>
  <c r="X216" i="14"/>
  <c r="Q219" i="14"/>
  <c r="AI219" i="14" s="1"/>
  <c r="H220" i="14"/>
  <c r="X220" i="14"/>
  <c r="S221" i="14"/>
  <c r="H223" i="14"/>
  <c r="W223" i="14"/>
  <c r="AD223" i="14"/>
  <c r="AI224" i="14"/>
  <c r="AK224" i="14" s="1"/>
  <c r="AL224" i="14" s="1"/>
  <c r="S225" i="14"/>
  <c r="G226" i="14"/>
  <c r="S232" i="14"/>
  <c r="AI243" i="14"/>
  <c r="S249" i="14"/>
  <c r="R249" i="14"/>
  <c r="Q250" i="14"/>
  <c r="AI250" i="14" s="1"/>
  <c r="R250" i="14"/>
  <c r="S256" i="14"/>
  <c r="R256" i="14"/>
  <c r="R262" i="14"/>
  <c r="S262" i="14"/>
  <c r="Q262" i="14"/>
  <c r="AI262" i="14" s="1"/>
  <c r="Q309" i="14"/>
  <c r="AI309" i="14" s="1"/>
  <c r="AJ309" i="14" s="1"/>
  <c r="R311" i="14"/>
  <c r="AI313" i="14"/>
  <c r="R316" i="14"/>
  <c r="S316" i="14"/>
  <c r="Q316" i="14"/>
  <c r="AI316" i="14" s="1"/>
  <c r="AJ316" i="14" s="1"/>
  <c r="X318" i="14"/>
  <c r="W318" i="14"/>
  <c r="AC322" i="14"/>
  <c r="I326" i="14"/>
  <c r="AE326" i="14"/>
  <c r="AD326" i="14"/>
  <c r="X330" i="14"/>
  <c r="Y331" i="14"/>
  <c r="AE332" i="14"/>
  <c r="H333" i="14"/>
  <c r="G333" i="14"/>
  <c r="AI336" i="14"/>
  <c r="R337" i="14"/>
  <c r="Q337" i="14"/>
  <c r="AD337" i="14"/>
  <c r="AC337" i="14"/>
  <c r="AD338" i="14"/>
  <c r="Q342" i="14"/>
  <c r="AI342" i="14" s="1"/>
  <c r="R342" i="14"/>
  <c r="Q350" i="14"/>
  <c r="AI350" i="14" s="1"/>
  <c r="R350" i="14"/>
  <c r="S351" i="14"/>
  <c r="Q351" i="14"/>
  <c r="Q249" i="14"/>
  <c r="Q256" i="14"/>
  <c r="AI256" i="14" s="1"/>
  <c r="X258" i="14"/>
  <c r="Y258" i="14"/>
  <c r="W258" i="14"/>
  <c r="X262" i="14"/>
  <c r="Y262" i="14"/>
  <c r="R263" i="14"/>
  <c r="Q263" i="14"/>
  <c r="AI263" i="14" s="1"/>
  <c r="R296" i="14"/>
  <c r="Q296" i="14"/>
  <c r="AI296" i="14" s="1"/>
  <c r="AK296" i="14" s="1"/>
  <c r="AL296" i="14" s="1"/>
  <c r="R297" i="14"/>
  <c r="S297" i="14"/>
  <c r="AE317" i="14"/>
  <c r="AD317" i="14"/>
  <c r="Y318" i="14"/>
  <c r="R326" i="14"/>
  <c r="S326" i="14"/>
  <c r="Q326" i="14"/>
  <c r="AC326" i="14"/>
  <c r="W328" i="14"/>
  <c r="AI328" i="14" s="1"/>
  <c r="Y328" i="14"/>
  <c r="X328" i="14"/>
  <c r="G330" i="14"/>
  <c r="AD331" i="14"/>
  <c r="AC331" i="14"/>
  <c r="Q338" i="14"/>
  <c r="R338" i="14"/>
  <c r="S357" i="14"/>
  <c r="R357" i="14"/>
  <c r="S358" i="14"/>
  <c r="R358" i="14"/>
  <c r="Q358" i="14"/>
  <c r="AI358" i="14" s="1"/>
  <c r="S265" i="14"/>
  <c r="X322" i="14"/>
  <c r="AI341" i="14"/>
  <c r="AJ341" i="14" s="1"/>
  <c r="AI352" i="14"/>
  <c r="AI260" i="14"/>
  <c r="AJ260" i="14" s="1"/>
  <c r="AI295" i="14"/>
  <c r="AI314" i="14"/>
  <c r="AI315" i="14"/>
  <c r="AI324" i="14"/>
  <c r="X325" i="14"/>
  <c r="I328" i="14"/>
  <c r="Q329" i="14"/>
  <c r="Q330" i="14"/>
  <c r="W335" i="14"/>
  <c r="H338" i="14"/>
  <c r="R340" i="14"/>
  <c r="AI357" i="14"/>
  <c r="W3" i="31"/>
  <c r="AC3" i="31"/>
  <c r="S5" i="31"/>
  <c r="I7" i="31"/>
  <c r="G11" i="31"/>
  <c r="S11" i="31"/>
  <c r="Y11" i="31"/>
  <c r="AE11" i="31"/>
  <c r="AC13" i="31"/>
  <c r="I15" i="31"/>
  <c r="AE15" i="31"/>
  <c r="G17" i="31"/>
  <c r="W17" i="31"/>
  <c r="G19" i="31"/>
  <c r="AC19" i="31"/>
  <c r="G21" i="31"/>
  <c r="X21" i="31"/>
  <c r="AC21" i="31"/>
  <c r="W23" i="31"/>
  <c r="X24" i="31"/>
  <c r="AI17" i="31"/>
  <c r="AJ17" i="31" s="1"/>
  <c r="Q3" i="31"/>
  <c r="X3" i="31"/>
  <c r="AD3" i="31"/>
  <c r="H11" i="31"/>
  <c r="AE13" i="31"/>
  <c r="I17" i="31"/>
  <c r="Q17" i="31"/>
  <c r="H19" i="31"/>
  <c r="AD19" i="31"/>
  <c r="I21" i="31"/>
  <c r="AE21" i="31"/>
  <c r="Q23" i="31"/>
  <c r="AD27" i="31"/>
  <c r="X17" i="31"/>
  <c r="S3" i="31"/>
  <c r="G5" i="31"/>
  <c r="W5" i="31"/>
  <c r="AE5" i="31"/>
  <c r="G9" i="31"/>
  <c r="AC9" i="31"/>
  <c r="AI9" i="31" s="1"/>
  <c r="I13" i="31"/>
  <c r="Q13" i="31"/>
  <c r="Y13" i="31"/>
  <c r="S17" i="31"/>
  <c r="Q19" i="31"/>
  <c r="Q21" i="31"/>
  <c r="Y21" i="31"/>
  <c r="S23" i="31"/>
  <c r="G25" i="31"/>
  <c r="X25" i="31"/>
  <c r="AC25" i="31"/>
  <c r="H27" i="31"/>
  <c r="R27" i="31"/>
  <c r="S146" i="26"/>
  <c r="T146" i="26" s="1"/>
  <c r="E148" i="29"/>
  <c r="S52" i="26"/>
  <c r="T52" i="26" s="1"/>
  <c r="E140" i="29"/>
  <c r="E192" i="29"/>
  <c r="S54" i="26"/>
  <c r="T54" i="26" s="1"/>
  <c r="E235" i="29"/>
  <c r="AT48" i="26"/>
  <c r="AV48" i="26" s="1"/>
  <c r="S48" i="26"/>
  <c r="T48" i="26" s="1"/>
  <c r="L61" i="26"/>
  <c r="M61" i="26" s="1"/>
  <c r="S125" i="26"/>
  <c r="T125" i="26" s="1"/>
  <c r="E152" i="29"/>
  <c r="E327" i="29"/>
  <c r="E110" i="29"/>
  <c r="E118" i="29"/>
  <c r="E126" i="29"/>
  <c r="E134" i="29"/>
  <c r="E142" i="29"/>
  <c r="E160" i="29"/>
  <c r="E166" i="29"/>
  <c r="E181" i="29"/>
  <c r="E304" i="29"/>
  <c r="E156" i="29"/>
  <c r="E178" i="29"/>
  <c r="E190" i="29"/>
  <c r="E201" i="29"/>
  <c r="E306" i="29"/>
  <c r="E106" i="29"/>
  <c r="E114" i="29"/>
  <c r="E122" i="29"/>
  <c r="E130" i="29"/>
  <c r="E138" i="29"/>
  <c r="E146" i="29"/>
  <c r="E162" i="29"/>
  <c r="E170" i="29"/>
  <c r="E183" i="29"/>
  <c r="E184" i="29"/>
  <c r="E314" i="29"/>
  <c r="E302" i="29"/>
  <c r="E323" i="29"/>
  <c r="W11" i="3"/>
  <c r="X11" i="3" s="1"/>
  <c r="Z11" i="3" s="1"/>
  <c r="W3" i="3"/>
  <c r="X3" i="3" s="1"/>
  <c r="Z3" i="3" s="1"/>
  <c r="W15" i="3"/>
  <c r="X15" i="3" s="1"/>
  <c r="Z15" i="3" s="1"/>
  <c r="W19" i="3"/>
  <c r="X19" i="3" s="1"/>
  <c r="Z19" i="3" s="1"/>
  <c r="W5" i="3"/>
  <c r="X5" i="3" s="1"/>
  <c r="Z5" i="3" s="1"/>
  <c r="W8" i="3"/>
  <c r="X8" i="3" s="1"/>
  <c r="Z8" i="3" s="1"/>
  <c r="AB8" i="3" s="1"/>
  <c r="AC8" i="3" s="1"/>
  <c r="W13" i="3"/>
  <c r="X13" i="3" s="1"/>
  <c r="Z13" i="3" s="1"/>
  <c r="W16" i="3"/>
  <c r="X16" i="3" s="1"/>
  <c r="Z16" i="3" s="1"/>
  <c r="AB16" i="3" s="1"/>
  <c r="AC16" i="3" s="1"/>
  <c r="H4" i="6"/>
  <c r="J6" i="6"/>
  <c r="I7" i="6"/>
  <c r="H10" i="6"/>
  <c r="I13" i="4"/>
  <c r="H14" i="4"/>
  <c r="AA13" i="3"/>
  <c r="H12" i="6"/>
  <c r="W9" i="3"/>
  <c r="X9" i="3" s="1"/>
  <c r="Z9" i="3" s="1"/>
  <c r="AB9" i="3" s="1"/>
  <c r="AC9" i="3" s="1"/>
  <c r="W12" i="3"/>
  <c r="X12" i="3" s="1"/>
  <c r="Z12" i="3" s="1"/>
  <c r="AB12" i="3" s="1"/>
  <c r="AC12" i="3" s="1"/>
  <c r="J16" i="6"/>
  <c r="I17" i="6"/>
  <c r="J26" i="6"/>
  <c r="Y15" i="9"/>
  <c r="Y19" i="9"/>
  <c r="Y7" i="9"/>
  <c r="W4" i="3"/>
  <c r="X4" i="3" s="1"/>
  <c r="Z4" i="3" s="1"/>
  <c r="AB4" i="3" s="1"/>
  <c r="AC4" i="3" s="1"/>
  <c r="W17" i="3"/>
  <c r="X17" i="3" s="1"/>
  <c r="Z17" i="3" s="1"/>
  <c r="AA17" i="3" s="1"/>
  <c r="I3" i="6"/>
  <c r="D8" i="10"/>
  <c r="F8" i="10"/>
  <c r="I10" i="4"/>
  <c r="J3" i="6"/>
  <c r="I4" i="6"/>
  <c r="H8" i="6"/>
  <c r="J10" i="6"/>
  <c r="J11" i="6"/>
  <c r="J12" i="6"/>
  <c r="H13" i="6"/>
  <c r="H14" i="6"/>
  <c r="H18" i="6"/>
  <c r="J4" i="6"/>
  <c r="H5" i="6"/>
  <c r="I8" i="6"/>
  <c r="H9" i="6"/>
  <c r="J14" i="6"/>
  <c r="I15" i="6"/>
  <c r="J18" i="6"/>
  <c r="J19" i="6"/>
  <c r="I20" i="6"/>
  <c r="I21" i="6"/>
  <c r="I23" i="6"/>
  <c r="H24" i="6"/>
  <c r="Y5" i="9"/>
  <c r="I5" i="6"/>
  <c r="I9" i="6"/>
  <c r="J15" i="6"/>
  <c r="I16" i="6"/>
  <c r="Y3" i="9"/>
  <c r="Y11" i="9"/>
  <c r="AA11" i="3"/>
  <c r="AB11" i="3"/>
  <c r="AC11" i="3" s="1"/>
  <c r="AA18" i="3"/>
  <c r="AB18" i="3"/>
  <c r="AC18" i="3" s="1"/>
  <c r="AM205" i="26"/>
  <c r="AN205" i="26" s="1"/>
  <c r="AM73" i="26"/>
  <c r="AN73" i="26" s="1"/>
  <c r="AM210" i="26"/>
  <c r="AN210" i="26" s="1"/>
  <c r="AM67" i="26"/>
  <c r="AN67" i="26" s="1"/>
  <c r="AM173" i="26"/>
  <c r="AN173" i="26" s="1"/>
  <c r="AM167" i="26"/>
  <c r="AN167" i="26" s="1"/>
  <c r="AQ24" i="26"/>
  <c r="AR24" i="26"/>
  <c r="AS24" i="26" s="1"/>
  <c r="AQ48" i="26"/>
  <c r="AR48" i="26"/>
  <c r="AS48" i="26" s="1"/>
  <c r="AQ92" i="26"/>
  <c r="AR92" i="26"/>
  <c r="AS92" i="26" s="1"/>
  <c r="AQ102" i="26"/>
  <c r="AR102" i="26"/>
  <c r="AS102" i="26" s="1"/>
  <c r="Y3" i="5"/>
  <c r="Y4" i="5"/>
  <c r="AA4" i="5" s="1"/>
  <c r="Z4" i="5"/>
  <c r="Z5" i="5"/>
  <c r="Y5" i="5"/>
  <c r="AA5" i="5" s="1"/>
  <c r="Y6" i="5"/>
  <c r="Z6" i="5" s="1"/>
  <c r="AA6" i="5" s="1"/>
  <c r="AA5" i="3"/>
  <c r="AB6" i="3"/>
  <c r="AC6" i="3" s="1"/>
  <c r="AA6" i="3"/>
  <c r="AA8" i="3"/>
  <c r="AB15" i="3"/>
  <c r="AC15" i="3" s="1"/>
  <c r="AA15" i="3"/>
  <c r="AM71" i="26"/>
  <c r="AN71" i="26" s="1"/>
  <c r="AM252" i="26"/>
  <c r="AN252" i="26" s="1"/>
  <c r="AM35" i="26"/>
  <c r="AN35" i="26" s="1"/>
  <c r="AM228" i="26"/>
  <c r="AN228" i="26" s="1"/>
  <c r="AM163" i="26"/>
  <c r="AN163" i="26" s="1"/>
  <c r="AM83" i="26"/>
  <c r="AN83" i="26" s="1"/>
  <c r="AM95" i="26"/>
  <c r="AN95" i="26" s="1"/>
  <c r="AM171" i="26"/>
  <c r="AN171" i="26" s="1"/>
  <c r="AM322" i="26"/>
  <c r="AN322" i="26" s="1"/>
  <c r="AP12" i="26"/>
  <c r="AR33" i="26"/>
  <c r="AS33" i="26" s="1"/>
  <c r="AQ33" i="26"/>
  <c r="AR53" i="26"/>
  <c r="AS53" i="26" s="1"/>
  <c r="AQ53" i="26"/>
  <c r="AQ76" i="26"/>
  <c r="AR76" i="26"/>
  <c r="AS76" i="26" s="1"/>
  <c r="AQ78" i="26"/>
  <c r="AB14" i="3"/>
  <c r="AC14" i="3" s="1"/>
  <c r="AA14" i="3"/>
  <c r="L3" i="10"/>
  <c r="K3" i="10"/>
  <c r="M3" i="10"/>
  <c r="M4" i="10"/>
  <c r="K4" i="10"/>
  <c r="L4" i="10"/>
  <c r="J5" i="10"/>
  <c r="V20" i="3"/>
  <c r="W20" i="3" s="1"/>
  <c r="X20" i="3" s="1"/>
  <c r="Z20" i="3" s="1"/>
  <c r="AA3" i="3"/>
  <c r="AB3" i="3"/>
  <c r="AC3" i="3" s="1"/>
  <c r="AB10" i="3"/>
  <c r="AC10" i="3" s="1"/>
  <c r="AA10" i="3"/>
  <c r="AB19" i="3"/>
  <c r="AC19" i="3" s="1"/>
  <c r="AA19" i="3"/>
  <c r="W21" i="3"/>
  <c r="X21" i="3" s="1"/>
  <c r="Z21" i="3" s="1"/>
  <c r="AA21" i="3" s="1"/>
  <c r="AM324" i="26"/>
  <c r="AN324" i="26" s="1"/>
  <c r="AM227" i="26"/>
  <c r="AN227" i="26" s="1"/>
  <c r="AM115" i="26"/>
  <c r="AN115" i="26" s="1"/>
  <c r="AM223" i="26"/>
  <c r="AN223" i="26" s="1"/>
  <c r="AM193" i="26"/>
  <c r="AN193" i="26" s="1"/>
  <c r="AM31" i="26"/>
  <c r="AN31" i="26" s="1"/>
  <c r="AM65" i="26"/>
  <c r="AN65" i="26" s="1"/>
  <c r="AM55" i="26"/>
  <c r="AN55" i="26" s="1"/>
  <c r="AR8" i="26"/>
  <c r="AS8" i="26" s="1"/>
  <c r="AQ8" i="26"/>
  <c r="AM41" i="26"/>
  <c r="AN41" i="26" s="1"/>
  <c r="AR60" i="26"/>
  <c r="AS60" i="26" s="1"/>
  <c r="AQ100" i="26"/>
  <c r="AR100" i="26"/>
  <c r="AS100" i="26" s="1"/>
  <c r="AQ104" i="26"/>
  <c r="AR104" i="26"/>
  <c r="AS104" i="26" s="1"/>
  <c r="L7" i="10"/>
  <c r="K7" i="10"/>
  <c r="M7" i="10"/>
  <c r="AA7" i="3"/>
  <c r="AB7" i="3"/>
  <c r="AC7" i="3" s="1"/>
  <c r="AM147" i="26"/>
  <c r="AN147" i="26" s="1"/>
  <c r="AM208" i="26"/>
  <c r="AN208" i="26" s="1"/>
  <c r="AM123" i="26"/>
  <c r="AN123" i="26" s="1"/>
  <c r="AM109" i="26"/>
  <c r="AN109" i="26" s="1"/>
  <c r="AM143" i="26"/>
  <c r="AN143" i="26" s="1"/>
  <c r="AM105" i="26"/>
  <c r="AN105" i="26" s="1"/>
  <c r="AR4" i="26"/>
  <c r="AS4" i="26" s="1"/>
  <c r="AQ4" i="26"/>
  <c r="AR17" i="26"/>
  <c r="AS17" i="26" s="1"/>
  <c r="AQ17" i="26"/>
  <c r="AP20" i="26"/>
  <c r="AR41" i="26"/>
  <c r="AS41" i="26" s="1"/>
  <c r="AQ41" i="26"/>
  <c r="AR49" i="26"/>
  <c r="AS49" i="26" s="1"/>
  <c r="AQ49" i="26"/>
  <c r="J6" i="10"/>
  <c r="J4" i="1"/>
  <c r="U4" i="1"/>
  <c r="W4" i="1" s="1"/>
  <c r="X4" i="1" s="1"/>
  <c r="Y4" i="1" s="1"/>
  <c r="Z4" i="1" s="1"/>
  <c r="AA4" i="1" s="1"/>
  <c r="I5" i="1"/>
  <c r="H6" i="1"/>
  <c r="G8" i="10"/>
  <c r="I8" i="10" s="1"/>
  <c r="H3" i="1"/>
  <c r="J5" i="1"/>
  <c r="U5" i="1"/>
  <c r="I6" i="1"/>
  <c r="U7" i="1"/>
  <c r="W7" i="1" s="1"/>
  <c r="X7" i="1" s="1"/>
  <c r="Y7" i="1" s="1"/>
  <c r="I3" i="1"/>
  <c r="H4" i="1"/>
  <c r="J6" i="1"/>
  <c r="U6" i="1"/>
  <c r="W6" i="1" s="1"/>
  <c r="X6" i="1" s="1"/>
  <c r="Y6" i="1" s="1"/>
  <c r="Z6" i="1" s="1"/>
  <c r="AA6" i="1" s="1"/>
  <c r="AB5" i="3"/>
  <c r="AC5" i="3" s="1"/>
  <c r="AB13" i="3"/>
  <c r="AC13" i="3" s="1"/>
  <c r="L205" i="26"/>
  <c r="M205" i="26" s="1"/>
  <c r="AM348" i="27"/>
  <c r="AO348" i="27" s="1"/>
  <c r="AN329" i="29"/>
  <c r="AP329" i="29" s="1"/>
  <c r="AM354" i="27"/>
  <c r="AO354" i="27" s="1"/>
  <c r="AM161" i="26"/>
  <c r="AN161" i="26" s="1"/>
  <c r="AM203" i="26"/>
  <c r="AN203" i="26" s="1"/>
  <c r="L227" i="26"/>
  <c r="M227" i="26" s="1"/>
  <c r="AM155" i="26"/>
  <c r="AN155" i="26" s="1"/>
  <c r="L115" i="26"/>
  <c r="M115" i="26" s="1"/>
  <c r="L223" i="26"/>
  <c r="M223" i="26" s="1"/>
  <c r="AM43" i="14"/>
  <c r="AO43" i="14" s="1"/>
  <c r="L147" i="26"/>
  <c r="M147" i="26" s="1"/>
  <c r="AM334" i="26"/>
  <c r="AN334" i="26" s="1"/>
  <c r="L193" i="26"/>
  <c r="M193" i="26" s="1"/>
  <c r="L251" i="26"/>
  <c r="M251" i="26" s="1"/>
  <c r="AM281" i="26"/>
  <c r="AN281" i="26" s="1"/>
  <c r="AM285" i="26"/>
  <c r="AN285" i="26" s="1"/>
  <c r="AM289" i="26"/>
  <c r="AN289" i="26" s="1"/>
  <c r="AM293" i="26"/>
  <c r="AN293" i="26" s="1"/>
  <c r="AM297" i="26"/>
  <c r="AN297" i="26" s="1"/>
  <c r="AM195" i="26"/>
  <c r="AN195" i="26" s="1"/>
  <c r="AM252" i="14"/>
  <c r="AO252" i="14" s="1"/>
  <c r="L252" i="26"/>
  <c r="M252" i="26" s="1"/>
  <c r="AN231" i="29"/>
  <c r="AP231" i="29" s="1"/>
  <c r="AM256" i="27"/>
  <c r="AO256" i="27" s="1"/>
  <c r="AM257" i="26"/>
  <c r="AN257" i="26" s="1"/>
  <c r="L259" i="26"/>
  <c r="M259" i="26" s="1"/>
  <c r="AM88" i="33"/>
  <c r="AO88" i="33" s="1"/>
  <c r="L208" i="26"/>
  <c r="M208" i="26" s="1"/>
  <c r="L336" i="26"/>
  <c r="M336" i="26" s="1"/>
  <c r="L163" i="26"/>
  <c r="M163" i="26" s="1"/>
  <c r="L123" i="26"/>
  <c r="M123" i="26" s="1"/>
  <c r="AM107" i="26"/>
  <c r="AN107" i="26" s="1"/>
  <c r="AM175" i="26"/>
  <c r="AN175" i="26" s="1"/>
  <c r="L143" i="26"/>
  <c r="M143" i="26" s="1"/>
  <c r="AM165" i="26"/>
  <c r="AN165" i="26" s="1"/>
  <c r="L169" i="26"/>
  <c r="M169" i="26" s="1"/>
  <c r="L171" i="26"/>
  <c r="M171" i="26" s="1"/>
  <c r="L167" i="26"/>
  <c r="M167" i="26" s="1"/>
  <c r="L177" i="26"/>
  <c r="M177" i="26" s="1"/>
  <c r="AM236" i="26"/>
  <c r="AN236" i="26" s="1"/>
  <c r="AM247" i="26"/>
  <c r="AN247" i="26" s="1"/>
  <c r="AM275" i="26"/>
  <c r="AN275" i="26" s="1"/>
  <c r="AM328" i="26"/>
  <c r="AN328" i="26" s="1"/>
  <c r="AM330" i="26"/>
  <c r="AN330" i="26" s="1"/>
  <c r="AN181" i="29"/>
  <c r="AP181" i="29" s="1"/>
  <c r="L206" i="26"/>
  <c r="M206" i="26" s="1"/>
  <c r="L197" i="26"/>
  <c r="M197" i="26" s="1"/>
  <c r="AM340" i="27"/>
  <c r="AO340" i="27" s="1"/>
  <c r="L326" i="26"/>
  <c r="M326" i="26" s="1"/>
  <c r="H4" i="26"/>
  <c r="V4" i="26"/>
  <c r="AC4" i="26"/>
  <c r="AI4" i="26"/>
  <c r="H8" i="26"/>
  <c r="V8" i="26"/>
  <c r="AC8" i="26"/>
  <c r="AI8" i="26"/>
  <c r="H12" i="26"/>
  <c r="V12" i="26"/>
  <c r="AC12" i="26"/>
  <c r="AI12" i="26"/>
  <c r="H16" i="26"/>
  <c r="V16" i="26"/>
  <c r="AC16" i="26"/>
  <c r="AI16" i="26"/>
  <c r="H20" i="26"/>
  <c r="V20" i="26"/>
  <c r="AC20" i="26"/>
  <c r="AI20" i="26"/>
  <c r="AP21" i="26"/>
  <c r="I22" i="26"/>
  <c r="V23" i="26"/>
  <c r="AD25" i="26"/>
  <c r="AD26" i="26"/>
  <c r="AB27" i="26"/>
  <c r="AI27" i="26"/>
  <c r="S28" i="26"/>
  <c r="T28" i="26" s="1"/>
  <c r="W29" i="26"/>
  <c r="AT29" i="26"/>
  <c r="AV29" i="26" s="1"/>
  <c r="I30" i="26"/>
  <c r="S30" i="26"/>
  <c r="T30" i="26" s="1"/>
  <c r="AT30" i="26"/>
  <c r="AV30" i="26" s="1"/>
  <c r="S32" i="26"/>
  <c r="T32" i="26" s="1"/>
  <c r="W33" i="26"/>
  <c r="AT33" i="26"/>
  <c r="AV33" i="26" s="1"/>
  <c r="I34" i="26"/>
  <c r="S34" i="26"/>
  <c r="T34" i="26" s="1"/>
  <c r="AT34" i="26"/>
  <c r="AV34" i="26" s="1"/>
  <c r="S36" i="26"/>
  <c r="T36" i="26" s="1"/>
  <c r="W37" i="26"/>
  <c r="AT37" i="26"/>
  <c r="AV37" i="26" s="1"/>
  <c r="I38" i="26"/>
  <c r="S38" i="26"/>
  <c r="T38" i="26" s="1"/>
  <c r="AT38" i="26"/>
  <c r="AV38" i="26" s="1"/>
  <c r="S40" i="26"/>
  <c r="T40" i="26" s="1"/>
  <c r="W41" i="26"/>
  <c r="AT41" i="26"/>
  <c r="AV41" i="26" s="1"/>
  <c r="I42" i="26"/>
  <c r="S42" i="26"/>
  <c r="T42" i="26" s="1"/>
  <c r="AT42" i="26"/>
  <c r="AV42" i="26" s="1"/>
  <c r="S44" i="26"/>
  <c r="T44" i="26" s="1"/>
  <c r="W45" i="26"/>
  <c r="AT45" i="26"/>
  <c r="AV45" i="26" s="1"/>
  <c r="S46" i="26"/>
  <c r="T46" i="26" s="1"/>
  <c r="AT46" i="26"/>
  <c r="AV46" i="26" s="1"/>
  <c r="W49" i="26"/>
  <c r="AT49" i="26"/>
  <c r="AV49" i="26" s="1"/>
  <c r="AT50" i="26"/>
  <c r="AV50" i="26" s="1"/>
  <c r="W53" i="26"/>
  <c r="AT53" i="26"/>
  <c r="AV53" i="26" s="1"/>
  <c r="AT54" i="26"/>
  <c r="AV54" i="26" s="1"/>
  <c r="W57" i="26"/>
  <c r="AT57" i="26"/>
  <c r="AV57" i="26" s="1"/>
  <c r="AT58" i="26"/>
  <c r="AV58" i="26" s="1"/>
  <c r="AT61" i="26"/>
  <c r="AV61" i="26" s="1"/>
  <c r="U63" i="26"/>
  <c r="W63" i="26"/>
  <c r="AM64" i="26"/>
  <c r="AN64" i="26" s="1"/>
  <c r="L64" i="26"/>
  <c r="M64" i="26" s="1"/>
  <c r="AT64" i="26"/>
  <c r="AV64" i="26" s="1"/>
  <c r="L65" i="26"/>
  <c r="M65" i="26" s="1"/>
  <c r="AD65" i="26"/>
  <c r="AB65" i="26"/>
  <c r="G67" i="26"/>
  <c r="I67" i="26"/>
  <c r="AH67" i="26"/>
  <c r="AJ67" i="26"/>
  <c r="W69" i="26"/>
  <c r="U69" i="26"/>
  <c r="AM70" i="26"/>
  <c r="AN70" i="26" s="1"/>
  <c r="L70" i="26"/>
  <c r="M70" i="26" s="1"/>
  <c r="S70" i="26"/>
  <c r="T70" i="26" s="1"/>
  <c r="AT71" i="26"/>
  <c r="AV71" i="26" s="1"/>
  <c r="I73" i="26"/>
  <c r="G73" i="26"/>
  <c r="AJ73" i="26"/>
  <c r="AH73" i="26"/>
  <c r="AT74" i="26"/>
  <c r="AV74" i="26" s="1"/>
  <c r="AB75" i="26"/>
  <c r="AD75" i="26"/>
  <c r="AT77" i="26"/>
  <c r="AV77" i="26" s="1"/>
  <c r="U79" i="26"/>
  <c r="W79" i="26"/>
  <c r="AM80" i="26"/>
  <c r="AN80" i="26" s="1"/>
  <c r="L80" i="26"/>
  <c r="M80" i="26" s="1"/>
  <c r="AT80" i="26"/>
  <c r="AV80" i="26" s="1"/>
  <c r="AD81" i="26"/>
  <c r="AB81" i="26"/>
  <c r="G83" i="26"/>
  <c r="I83" i="26"/>
  <c r="AH83" i="26"/>
  <c r="AJ83" i="26"/>
  <c r="W85" i="26"/>
  <c r="U85" i="26"/>
  <c r="AM86" i="26"/>
  <c r="AN86" i="26" s="1"/>
  <c r="L86" i="26"/>
  <c r="M86" i="26" s="1"/>
  <c r="S86" i="26"/>
  <c r="T86" i="26" s="1"/>
  <c r="AT87" i="26"/>
  <c r="AV87" i="26" s="1"/>
  <c r="I89" i="26"/>
  <c r="G89" i="26"/>
  <c r="AJ89" i="26"/>
  <c r="AH89" i="26"/>
  <c r="AT90" i="26"/>
  <c r="AV90" i="26" s="1"/>
  <c r="AB91" i="26"/>
  <c r="AD91" i="26"/>
  <c r="AT93" i="26"/>
  <c r="AV93" i="26" s="1"/>
  <c r="U95" i="26"/>
  <c r="W95" i="26"/>
  <c r="AM96" i="26"/>
  <c r="AN96" i="26" s="1"/>
  <c r="L96" i="26"/>
  <c r="M96" i="26" s="1"/>
  <c r="AT96" i="26"/>
  <c r="AV96" i="26" s="1"/>
  <c r="AD97" i="26"/>
  <c r="AB97" i="26"/>
  <c r="AM97" i="26"/>
  <c r="AN97" i="26" s="1"/>
  <c r="G99" i="26"/>
  <c r="I99" i="26"/>
  <c r="AH99" i="26"/>
  <c r="AJ99" i="26"/>
  <c r="W101" i="26"/>
  <c r="U101" i="26"/>
  <c r="AM102" i="26"/>
  <c r="AN102" i="26" s="1"/>
  <c r="L102" i="26"/>
  <c r="M102" i="26" s="1"/>
  <c r="S102" i="26"/>
  <c r="T102" i="26" s="1"/>
  <c r="AT103" i="26"/>
  <c r="AV103" i="26" s="1"/>
  <c r="I105" i="26"/>
  <c r="G105" i="26"/>
  <c r="AJ105" i="26"/>
  <c r="AH105" i="26"/>
  <c r="U107" i="26"/>
  <c r="W107" i="26"/>
  <c r="AM110" i="26"/>
  <c r="AN110" i="26" s="1"/>
  <c r="AT111" i="26"/>
  <c r="AV111" i="26" s="1"/>
  <c r="AT113" i="26"/>
  <c r="AV113" i="26" s="1"/>
  <c r="L113" i="26"/>
  <c r="M113" i="26" s="1"/>
  <c r="AJ113" i="26"/>
  <c r="AI113" i="26"/>
  <c r="AH113" i="26"/>
  <c r="AT117" i="26"/>
  <c r="AV117" i="26" s="1"/>
  <c r="AT119" i="26"/>
  <c r="AV119" i="26" s="1"/>
  <c r="AT120" i="26"/>
  <c r="AV120" i="26" s="1"/>
  <c r="AQ121" i="26"/>
  <c r="AT136" i="26"/>
  <c r="AV136" i="26" s="1"/>
  <c r="AR141" i="26"/>
  <c r="AS141" i="26" s="1"/>
  <c r="AQ141" i="26"/>
  <c r="AQ204" i="26"/>
  <c r="AR204" i="26"/>
  <c r="AS204" i="26" s="1"/>
  <c r="AQ222" i="26"/>
  <c r="AR222" i="26"/>
  <c r="AS222" i="26" s="1"/>
  <c r="AM233" i="26"/>
  <c r="AN233" i="26" s="1"/>
  <c r="AM241" i="26"/>
  <c r="AN241" i="26" s="1"/>
  <c r="AM249" i="26"/>
  <c r="AN249" i="26" s="1"/>
  <c r="AM270" i="26"/>
  <c r="AN270" i="26" s="1"/>
  <c r="AM277" i="26"/>
  <c r="AN277" i="26" s="1"/>
  <c r="AM313" i="26"/>
  <c r="AN313" i="26" s="1"/>
  <c r="L343" i="26"/>
  <c r="M343" i="26" s="1"/>
  <c r="J3" i="1"/>
  <c r="U3" i="1"/>
  <c r="W3" i="1" s="1"/>
  <c r="X3" i="1" s="1"/>
  <c r="Y3" i="1" s="1"/>
  <c r="Z3" i="1" s="1"/>
  <c r="AA3" i="1" s="1"/>
  <c r="I4" i="1"/>
  <c r="L187" i="26"/>
  <c r="M187" i="26" s="1"/>
  <c r="L225" i="26"/>
  <c r="M225" i="26" s="1"/>
  <c r="L157" i="26"/>
  <c r="M157" i="26" s="1"/>
  <c r="L268" i="26"/>
  <c r="M268" i="26" s="1"/>
  <c r="AM198" i="27"/>
  <c r="AO198" i="27" s="1"/>
  <c r="AT198" i="26"/>
  <c r="AV198" i="26" s="1"/>
  <c r="AN331" i="29"/>
  <c r="AP331" i="29" s="1"/>
  <c r="AM356" i="27"/>
  <c r="AO356" i="27" s="1"/>
  <c r="AM350" i="14"/>
  <c r="AO350" i="14" s="1"/>
  <c r="AM352" i="14"/>
  <c r="AO352" i="14" s="1"/>
  <c r="AN327" i="29"/>
  <c r="AP327" i="29" s="1"/>
  <c r="AM251" i="26"/>
  <c r="AN251" i="26" s="1"/>
  <c r="AM288" i="14"/>
  <c r="AO288" i="14" s="1"/>
  <c r="L288" i="26"/>
  <c r="M288" i="26" s="1"/>
  <c r="AM290" i="14"/>
  <c r="AO290" i="14" s="1"/>
  <c r="AM294" i="14"/>
  <c r="AO294" i="14" s="1"/>
  <c r="L294" i="26"/>
  <c r="M294" i="26" s="1"/>
  <c r="L298" i="26"/>
  <c r="M298" i="26" s="1"/>
  <c r="L302" i="26"/>
  <c r="M302" i="26" s="1"/>
  <c r="L255" i="26"/>
  <c r="M255" i="26" s="1"/>
  <c r="L216" i="26"/>
  <c r="M216" i="26" s="1"/>
  <c r="AM259" i="26"/>
  <c r="AN259" i="26" s="1"/>
  <c r="AM265" i="14"/>
  <c r="AO265" i="14" s="1"/>
  <c r="AM265" i="27"/>
  <c r="AO265" i="27" s="1"/>
  <c r="AT265" i="26"/>
  <c r="AV265" i="26" s="1"/>
  <c r="AM267" i="14"/>
  <c r="AO267" i="14" s="1"/>
  <c r="AM267" i="27"/>
  <c r="AO267" i="27" s="1"/>
  <c r="AT267" i="26"/>
  <c r="AV267" i="26" s="1"/>
  <c r="L212" i="26"/>
  <c r="M212" i="26" s="1"/>
  <c r="AM305" i="26"/>
  <c r="AN305" i="26" s="1"/>
  <c r="L338" i="26"/>
  <c r="M338" i="26" s="1"/>
  <c r="L135" i="26"/>
  <c r="M135" i="26" s="1"/>
  <c r="L131" i="26"/>
  <c r="M131" i="26" s="1"/>
  <c r="L139" i="26"/>
  <c r="M139" i="26" s="1"/>
  <c r="L111" i="26"/>
  <c r="M111" i="26" s="1"/>
  <c r="AM169" i="26"/>
  <c r="AN169" i="26" s="1"/>
  <c r="L183" i="26"/>
  <c r="M183" i="26" s="1"/>
  <c r="AT146" i="26"/>
  <c r="AV146" i="26" s="1"/>
  <c r="AM177" i="26"/>
  <c r="AN177" i="26" s="1"/>
  <c r="AM233" i="14"/>
  <c r="AO233" i="14" s="1"/>
  <c r="AM244" i="14"/>
  <c r="AO244" i="14" s="1"/>
  <c r="L244" i="26"/>
  <c r="M244" i="26" s="1"/>
  <c r="L191" i="26"/>
  <c r="M191" i="26" s="1"/>
  <c r="L189" i="26"/>
  <c r="M189" i="26" s="1"/>
  <c r="L185" i="26"/>
  <c r="M185" i="26" s="1"/>
  <c r="AN293" i="29"/>
  <c r="AP293" i="29" s="1"/>
  <c r="L318" i="26"/>
  <c r="M318" i="26" s="1"/>
  <c r="AM107" i="33"/>
  <c r="AO107" i="33" s="1"/>
  <c r="AN298" i="29"/>
  <c r="AP298" i="29" s="1"/>
  <c r="AM323" i="27"/>
  <c r="AO323" i="27" s="1"/>
  <c r="AM108" i="33"/>
  <c r="AO108" i="33" s="1"/>
  <c r="L332" i="26"/>
  <c r="M332" i="26" s="1"/>
  <c r="AM335" i="27"/>
  <c r="AO335" i="27" s="1"/>
  <c r="AT335" i="26"/>
  <c r="AV335" i="26" s="1"/>
  <c r="AT319" i="26"/>
  <c r="AV319" i="26" s="1"/>
  <c r="AN295" i="29"/>
  <c r="AP295" i="29" s="1"/>
  <c r="L320" i="26"/>
  <c r="M320" i="26" s="1"/>
  <c r="AM109" i="33"/>
  <c r="AO109" i="33" s="1"/>
  <c r="AM326" i="26"/>
  <c r="AN326" i="26" s="1"/>
  <c r="I4" i="26"/>
  <c r="W4" i="26"/>
  <c r="AD4" i="26"/>
  <c r="AJ4" i="26"/>
  <c r="G6" i="26"/>
  <c r="U6" i="26"/>
  <c r="AB6" i="26"/>
  <c r="AH6" i="26"/>
  <c r="I8" i="26"/>
  <c r="W8" i="26"/>
  <c r="AD8" i="26"/>
  <c r="AJ8" i="26"/>
  <c r="G10" i="26"/>
  <c r="U10" i="26"/>
  <c r="AB10" i="26"/>
  <c r="AH10" i="26"/>
  <c r="I12" i="26"/>
  <c r="W12" i="26"/>
  <c r="AD12" i="26"/>
  <c r="AJ12" i="26"/>
  <c r="G14" i="26"/>
  <c r="U14" i="26"/>
  <c r="AB14" i="26"/>
  <c r="AH14" i="26"/>
  <c r="V15" i="26"/>
  <c r="I16" i="26"/>
  <c r="W16" i="26"/>
  <c r="AD16" i="26"/>
  <c r="AJ16" i="26"/>
  <c r="G18" i="26"/>
  <c r="U18" i="26"/>
  <c r="AB18" i="26"/>
  <c r="AH18" i="26"/>
  <c r="V19" i="26"/>
  <c r="I20" i="26"/>
  <c r="W20" i="26"/>
  <c r="AD20" i="26"/>
  <c r="AJ20" i="26"/>
  <c r="AC21" i="26"/>
  <c r="AB22" i="26"/>
  <c r="AP22" i="26" s="1"/>
  <c r="AD23" i="26"/>
  <c r="AH23" i="26"/>
  <c r="W25" i="26"/>
  <c r="G26" i="26"/>
  <c r="U27" i="26"/>
  <c r="AC27" i="26"/>
  <c r="H29" i="26"/>
  <c r="S29" i="26"/>
  <c r="T29" i="26" s="1"/>
  <c r="AI29" i="26"/>
  <c r="L30" i="26"/>
  <c r="M30" i="26" s="1"/>
  <c r="AB30" i="26"/>
  <c r="AP30" i="26" s="1"/>
  <c r="AB31" i="26"/>
  <c r="AP31" i="26" s="1"/>
  <c r="H33" i="26"/>
  <c r="S33" i="26"/>
  <c r="T33" i="26" s="1"/>
  <c r="AI33" i="26"/>
  <c r="L34" i="26"/>
  <c r="M34" i="26" s="1"/>
  <c r="AB34" i="26"/>
  <c r="AP34" i="26" s="1"/>
  <c r="AB35" i="26"/>
  <c r="AP35" i="26" s="1"/>
  <c r="H37" i="26"/>
  <c r="S37" i="26"/>
  <c r="T37" i="26" s="1"/>
  <c r="AI37" i="26"/>
  <c r="L38" i="26"/>
  <c r="M38" i="26" s="1"/>
  <c r="AB38" i="26"/>
  <c r="AP38" i="26" s="1"/>
  <c r="AB39" i="26"/>
  <c r="AP39" i="26" s="1"/>
  <c r="H41" i="26"/>
  <c r="S41" i="26"/>
  <c r="T41" i="26" s="1"/>
  <c r="AI41" i="26"/>
  <c r="L42" i="26"/>
  <c r="M42" i="26" s="1"/>
  <c r="AB42" i="26"/>
  <c r="AP42" i="26" s="1"/>
  <c r="AB43" i="26"/>
  <c r="AP43" i="26" s="1"/>
  <c r="H45" i="26"/>
  <c r="S45" i="26"/>
  <c r="T45" i="26" s="1"/>
  <c r="AI45" i="26"/>
  <c r="L46" i="26"/>
  <c r="M46" i="26" s="1"/>
  <c r="AB46" i="26"/>
  <c r="AP46" i="26" s="1"/>
  <c r="AB47" i="26"/>
  <c r="H49" i="26"/>
  <c r="S49" i="26"/>
  <c r="T49" i="26" s="1"/>
  <c r="AI49" i="26"/>
  <c r="L50" i="26"/>
  <c r="M50" i="26" s="1"/>
  <c r="AB50" i="26"/>
  <c r="AP50" i="26" s="1"/>
  <c r="AB51" i="26"/>
  <c r="AT52" i="26"/>
  <c r="AV52" i="26" s="1"/>
  <c r="H53" i="26"/>
  <c r="S53" i="26"/>
  <c r="T53" i="26" s="1"/>
  <c r="AI53" i="26"/>
  <c r="L54" i="26"/>
  <c r="M54" i="26" s="1"/>
  <c r="AB54" i="26"/>
  <c r="AP54" i="26" s="1"/>
  <c r="AB55" i="26"/>
  <c r="AT56" i="26"/>
  <c r="AV56" i="26" s="1"/>
  <c r="H57" i="26"/>
  <c r="S57" i="26"/>
  <c r="T57" i="26" s="1"/>
  <c r="AI57" i="26"/>
  <c r="AB58" i="26"/>
  <c r="AP58" i="26" s="1"/>
  <c r="AB59" i="26"/>
  <c r="AD61" i="26"/>
  <c r="AB61" i="26"/>
  <c r="AM61" i="26"/>
  <c r="AN61" i="26" s="1"/>
  <c r="G63" i="26"/>
  <c r="I63" i="26"/>
  <c r="AH63" i="26"/>
  <c r="AJ63" i="26"/>
  <c r="S64" i="26"/>
  <c r="T64" i="26" s="1"/>
  <c r="W65" i="26"/>
  <c r="U65" i="26"/>
  <c r="AM66" i="26"/>
  <c r="AN66" i="26" s="1"/>
  <c r="L66" i="26"/>
  <c r="M66" i="26" s="1"/>
  <c r="S66" i="26"/>
  <c r="T66" i="26" s="1"/>
  <c r="AT67" i="26"/>
  <c r="AV67" i="26" s="1"/>
  <c r="H67" i="26"/>
  <c r="AI67" i="26"/>
  <c r="I69" i="26"/>
  <c r="G69" i="26"/>
  <c r="AJ69" i="26"/>
  <c r="AH69" i="26"/>
  <c r="AT70" i="26"/>
  <c r="AV70" i="26" s="1"/>
  <c r="L71" i="26"/>
  <c r="M71" i="26" s="1"/>
  <c r="AB71" i="26"/>
  <c r="AD71" i="26"/>
  <c r="AT73" i="26"/>
  <c r="AV73" i="26" s="1"/>
  <c r="U75" i="26"/>
  <c r="W75" i="26"/>
  <c r="AM76" i="26"/>
  <c r="AN76" i="26" s="1"/>
  <c r="L76" i="26"/>
  <c r="M76" i="26" s="1"/>
  <c r="AT76" i="26"/>
  <c r="AV76" i="26" s="1"/>
  <c r="L77" i="26"/>
  <c r="M77" i="26" s="1"/>
  <c r="AD77" i="26"/>
  <c r="AB77" i="26"/>
  <c r="G79" i="26"/>
  <c r="I79" i="26"/>
  <c r="AH79" i="26"/>
  <c r="AJ79" i="26"/>
  <c r="S80" i="26"/>
  <c r="T80" i="26" s="1"/>
  <c r="W81" i="26"/>
  <c r="U81" i="26"/>
  <c r="AM82" i="26"/>
  <c r="AN82" i="26" s="1"/>
  <c r="L82" i="26"/>
  <c r="M82" i="26" s="1"/>
  <c r="S82" i="26"/>
  <c r="T82" i="26" s="1"/>
  <c r="AT83" i="26"/>
  <c r="AV83" i="26" s="1"/>
  <c r="H83" i="26"/>
  <c r="AI83" i="26"/>
  <c r="I85" i="26"/>
  <c r="G85" i="26"/>
  <c r="AJ85" i="26"/>
  <c r="AH85" i="26"/>
  <c r="AT86" i="26"/>
  <c r="AV86" i="26" s="1"/>
  <c r="AB87" i="26"/>
  <c r="AD87" i="26"/>
  <c r="AM87" i="26"/>
  <c r="AN87" i="26" s="1"/>
  <c r="AT89" i="26"/>
  <c r="AV89" i="26" s="1"/>
  <c r="U91" i="26"/>
  <c r="W91" i="26"/>
  <c r="AM92" i="26"/>
  <c r="AN92" i="26" s="1"/>
  <c r="L92" i="26"/>
  <c r="M92" i="26" s="1"/>
  <c r="AT92" i="26"/>
  <c r="AV92" i="26" s="1"/>
  <c r="L93" i="26"/>
  <c r="M93" i="26" s="1"/>
  <c r="AD93" i="26"/>
  <c r="AB93" i="26"/>
  <c r="AM93" i="26"/>
  <c r="AN93" i="26" s="1"/>
  <c r="G95" i="26"/>
  <c r="I95" i="26"/>
  <c r="AH95" i="26"/>
  <c r="AJ95" i="26"/>
  <c r="W97" i="26"/>
  <c r="U97" i="26"/>
  <c r="AM98" i="26"/>
  <c r="AN98" i="26" s="1"/>
  <c r="L98" i="26"/>
  <c r="M98" i="26" s="1"/>
  <c r="S98" i="26"/>
  <c r="T98" i="26" s="1"/>
  <c r="AT99" i="26"/>
  <c r="AV99" i="26" s="1"/>
  <c r="H99" i="26"/>
  <c r="AI99" i="26"/>
  <c r="I101" i="26"/>
  <c r="G101" i="26"/>
  <c r="AJ101" i="26"/>
  <c r="AH101" i="26"/>
  <c r="AT102" i="26"/>
  <c r="AV102" i="26" s="1"/>
  <c r="AB103" i="26"/>
  <c r="AD103" i="26"/>
  <c r="AT105" i="26"/>
  <c r="AV105" i="26" s="1"/>
  <c r="AM108" i="26"/>
  <c r="AN108" i="26" s="1"/>
  <c r="L108" i="26"/>
  <c r="M108" i="26" s="1"/>
  <c r="AT108" i="26"/>
  <c r="AV108" i="26" s="1"/>
  <c r="U111" i="26"/>
  <c r="AP111" i="26" s="1"/>
  <c r="W111" i="26"/>
  <c r="AM113" i="26"/>
  <c r="AN113" i="26" s="1"/>
  <c r="AM114" i="26"/>
  <c r="AN114" i="26" s="1"/>
  <c r="AT115" i="26"/>
  <c r="AV115" i="26" s="1"/>
  <c r="AT116" i="26"/>
  <c r="AV116" i="26" s="1"/>
  <c r="AM118" i="26"/>
  <c r="AN118" i="26" s="1"/>
  <c r="AT124" i="26"/>
  <c r="AV124" i="26" s="1"/>
  <c r="AR125" i="26"/>
  <c r="AS125" i="26" s="1"/>
  <c r="AQ125" i="26"/>
  <c r="AT140" i="26"/>
  <c r="AV140" i="26" s="1"/>
  <c r="AT182" i="26"/>
  <c r="AV182" i="26" s="1"/>
  <c r="AT194" i="26"/>
  <c r="AV194" i="26" s="1"/>
  <c r="AQ219" i="26"/>
  <c r="AR219" i="26"/>
  <c r="AS219" i="26" s="1"/>
  <c r="AT256" i="26"/>
  <c r="AV256" i="26" s="1"/>
  <c r="AQ263" i="26"/>
  <c r="AR263" i="26"/>
  <c r="AS263" i="26" s="1"/>
  <c r="AR264" i="26"/>
  <c r="AS264" i="26" s="1"/>
  <c r="AQ266" i="26"/>
  <c r="AR266" i="26"/>
  <c r="AS266" i="26" s="1"/>
  <c r="AQ267" i="26"/>
  <c r="AR267" i="26"/>
  <c r="AS267" i="26" s="1"/>
  <c r="AM274" i="26"/>
  <c r="AN274" i="26" s="1"/>
  <c r="AM282" i="26"/>
  <c r="AN282" i="26" s="1"/>
  <c r="AM290" i="26"/>
  <c r="AN290" i="26" s="1"/>
  <c r="L127" i="26"/>
  <c r="M127" i="26" s="1"/>
  <c r="AM187" i="26"/>
  <c r="AN187" i="26" s="1"/>
  <c r="L324" i="26"/>
  <c r="M324" i="26" s="1"/>
  <c r="AM225" i="26"/>
  <c r="AN225" i="26" s="1"/>
  <c r="L117" i="26"/>
  <c r="M117" i="26" s="1"/>
  <c r="L201" i="26"/>
  <c r="M201" i="26" s="1"/>
  <c r="AM157" i="26"/>
  <c r="AN157" i="26" s="1"/>
  <c r="AM268" i="26"/>
  <c r="AN268" i="26" s="1"/>
  <c r="AM316" i="14"/>
  <c r="AO316" i="14" s="1"/>
  <c r="L316" i="26"/>
  <c r="M316" i="26" s="1"/>
  <c r="L199" i="26"/>
  <c r="M199" i="26" s="1"/>
  <c r="AM250" i="14"/>
  <c r="AO250" i="14" s="1"/>
  <c r="L218" i="26"/>
  <c r="M218" i="26" s="1"/>
  <c r="AM294" i="26"/>
  <c r="AN294" i="26" s="1"/>
  <c r="AM298" i="26"/>
  <c r="AN298" i="26" s="1"/>
  <c r="AM255" i="26"/>
  <c r="AN255" i="26" s="1"/>
  <c r="AM216" i="26"/>
  <c r="AN216" i="26" s="1"/>
  <c r="AM84" i="33"/>
  <c r="AO84" i="33" s="1"/>
  <c r="AM217" i="27"/>
  <c r="AO217" i="27" s="1"/>
  <c r="AT217" i="26"/>
  <c r="AV217" i="26" s="1"/>
  <c r="AN236" i="29"/>
  <c r="AP236" i="29" s="1"/>
  <c r="AM87" i="33"/>
  <c r="AO87" i="33" s="1"/>
  <c r="L261" i="26"/>
  <c r="M261" i="26" s="1"/>
  <c r="AM264" i="14"/>
  <c r="AO264" i="14" s="1"/>
  <c r="AM264" i="27"/>
  <c r="AO264" i="27" s="1"/>
  <c r="AT264" i="26"/>
  <c r="AV264" i="26" s="1"/>
  <c r="L220" i="26"/>
  <c r="M220" i="26" s="1"/>
  <c r="L119" i="26"/>
  <c r="M119" i="26" s="1"/>
  <c r="L210" i="26"/>
  <c r="M210" i="26" s="1"/>
  <c r="AM214" i="14"/>
  <c r="AO214" i="14" s="1"/>
  <c r="L214" i="26"/>
  <c r="M214" i="26" s="1"/>
  <c r="AM212" i="26"/>
  <c r="AN212" i="26" s="1"/>
  <c r="L306" i="26"/>
  <c r="M306" i="26" s="1"/>
  <c r="L151" i="26"/>
  <c r="M151" i="26" s="1"/>
  <c r="AM338" i="26"/>
  <c r="AN338" i="26" s="1"/>
  <c r="AM135" i="26"/>
  <c r="AN135" i="26" s="1"/>
  <c r="L179" i="26"/>
  <c r="M179" i="26" s="1"/>
  <c r="AM131" i="26"/>
  <c r="AN131" i="26" s="1"/>
  <c r="AM139" i="26"/>
  <c r="AN139" i="26" s="1"/>
  <c r="AM111" i="26"/>
  <c r="AN111" i="26" s="1"/>
  <c r="L159" i="26"/>
  <c r="M159" i="26" s="1"/>
  <c r="L173" i="26"/>
  <c r="M173" i="26" s="1"/>
  <c r="AM183" i="26"/>
  <c r="AN183" i="26" s="1"/>
  <c r="L181" i="26"/>
  <c r="M181" i="26" s="1"/>
  <c r="AM191" i="26"/>
  <c r="AN191" i="26" s="1"/>
  <c r="AM189" i="26"/>
  <c r="AN189" i="26" s="1"/>
  <c r="AM185" i="26"/>
  <c r="AN185" i="26" s="1"/>
  <c r="L153" i="26"/>
  <c r="M153" i="26" s="1"/>
  <c r="AM318" i="26"/>
  <c r="AN318" i="26" s="1"/>
  <c r="AM332" i="26"/>
  <c r="AN332" i="26" s="1"/>
  <c r="AM320" i="26"/>
  <c r="AN320" i="26" s="1"/>
  <c r="L322" i="26"/>
  <c r="M322" i="26" s="1"/>
  <c r="V6" i="26"/>
  <c r="V10" i="26"/>
  <c r="V14" i="26"/>
  <c r="AC14" i="26"/>
  <c r="V18" i="26"/>
  <c r="AC18" i="26"/>
  <c r="V27" i="26"/>
  <c r="AM28" i="26"/>
  <c r="AN28" i="26" s="1"/>
  <c r="L28" i="26"/>
  <c r="M28" i="26" s="1"/>
  <c r="AM30" i="26"/>
  <c r="AN30" i="26" s="1"/>
  <c r="L31" i="26"/>
  <c r="M31" i="26" s="1"/>
  <c r="AM32" i="26"/>
  <c r="AN32" i="26" s="1"/>
  <c r="L32" i="26"/>
  <c r="M32" i="26" s="1"/>
  <c r="AM34" i="26"/>
  <c r="AN34" i="26" s="1"/>
  <c r="L35" i="26"/>
  <c r="M35" i="26" s="1"/>
  <c r="AM36" i="26"/>
  <c r="AN36" i="26" s="1"/>
  <c r="L36" i="26"/>
  <c r="M36" i="26" s="1"/>
  <c r="L39" i="26"/>
  <c r="M39" i="26" s="1"/>
  <c r="AM40" i="26"/>
  <c r="AN40" i="26" s="1"/>
  <c r="L40" i="26"/>
  <c r="M40" i="26" s="1"/>
  <c r="AM42" i="26"/>
  <c r="AN42" i="26" s="1"/>
  <c r="L43" i="26"/>
  <c r="M43" i="26" s="1"/>
  <c r="AM43" i="26"/>
  <c r="AN43" i="26" s="1"/>
  <c r="AM44" i="26"/>
  <c r="AN44" i="26" s="1"/>
  <c r="L44" i="26"/>
  <c r="M44" i="26" s="1"/>
  <c r="AD46" i="26"/>
  <c r="AM46" i="26"/>
  <c r="AN46" i="26" s="1"/>
  <c r="L47" i="26"/>
  <c r="M47" i="26" s="1"/>
  <c r="U47" i="26"/>
  <c r="AC47" i="26"/>
  <c r="L48" i="26"/>
  <c r="M48" i="26" s="1"/>
  <c r="I49" i="26"/>
  <c r="AC49" i="26"/>
  <c r="AJ49" i="26"/>
  <c r="AD50" i="26"/>
  <c r="AM50" i="26"/>
  <c r="AN50" i="26" s="1"/>
  <c r="L51" i="26"/>
  <c r="M51" i="26" s="1"/>
  <c r="U51" i="26"/>
  <c r="AC51" i="26"/>
  <c r="AM51" i="26"/>
  <c r="AN51" i="26" s="1"/>
  <c r="AM52" i="26"/>
  <c r="AN52" i="26" s="1"/>
  <c r="L52" i="26"/>
  <c r="M52" i="26" s="1"/>
  <c r="I53" i="26"/>
  <c r="AC53" i="26"/>
  <c r="AJ53" i="26"/>
  <c r="AD54" i="26"/>
  <c r="AM54" i="26"/>
  <c r="AN54" i="26" s="1"/>
  <c r="L55" i="26"/>
  <c r="M55" i="26" s="1"/>
  <c r="U55" i="26"/>
  <c r="AC55" i="26"/>
  <c r="L56" i="26"/>
  <c r="M56" i="26" s="1"/>
  <c r="I57" i="26"/>
  <c r="AC57" i="26"/>
  <c r="AJ57" i="26"/>
  <c r="AD58" i="26"/>
  <c r="AM58" i="26"/>
  <c r="AN58" i="26" s="1"/>
  <c r="U59" i="26"/>
  <c r="AC59" i="26"/>
  <c r="AM59" i="26"/>
  <c r="AN59" i="26" s="1"/>
  <c r="AM60" i="26"/>
  <c r="AN60" i="26" s="1"/>
  <c r="L60" i="26"/>
  <c r="M60" i="26" s="1"/>
  <c r="W61" i="26"/>
  <c r="U61" i="26"/>
  <c r="AC61" i="26"/>
  <c r="AM62" i="26"/>
  <c r="AN62" i="26" s="1"/>
  <c r="L62" i="26"/>
  <c r="M62" i="26" s="1"/>
  <c r="S62" i="26"/>
  <c r="T62" i="26" s="1"/>
  <c r="AT63" i="26"/>
  <c r="AV63" i="26" s="1"/>
  <c r="H63" i="26"/>
  <c r="V63" i="26"/>
  <c r="AI63" i="26"/>
  <c r="I65" i="26"/>
  <c r="G65" i="26"/>
  <c r="AJ65" i="26"/>
  <c r="AH65" i="26"/>
  <c r="AT66" i="26"/>
  <c r="AV66" i="26" s="1"/>
  <c r="L67" i="26"/>
  <c r="M67" i="26" s="1"/>
  <c r="AB67" i="26"/>
  <c r="AD67" i="26"/>
  <c r="AT69" i="26"/>
  <c r="AV69" i="26" s="1"/>
  <c r="H69" i="26"/>
  <c r="V69" i="26"/>
  <c r="AI69" i="26"/>
  <c r="U71" i="26"/>
  <c r="W71" i="26"/>
  <c r="AC71" i="26"/>
  <c r="L72" i="26"/>
  <c r="M72" i="26" s="1"/>
  <c r="AT72" i="26"/>
  <c r="AV72" i="26" s="1"/>
  <c r="L73" i="26"/>
  <c r="M73" i="26" s="1"/>
  <c r="AD73" i="26"/>
  <c r="AB73" i="26"/>
  <c r="G75" i="26"/>
  <c r="I75" i="26"/>
  <c r="AH75" i="26"/>
  <c r="AJ75" i="26"/>
  <c r="S76" i="26"/>
  <c r="T76" i="26" s="1"/>
  <c r="W77" i="26"/>
  <c r="U77" i="26"/>
  <c r="AC77" i="26"/>
  <c r="L78" i="26"/>
  <c r="M78" i="26" s="1"/>
  <c r="S78" i="26"/>
  <c r="T78" i="26" s="1"/>
  <c r="AT79" i="26"/>
  <c r="AV79" i="26" s="1"/>
  <c r="H79" i="26"/>
  <c r="V79" i="26"/>
  <c r="AI79" i="26"/>
  <c r="I81" i="26"/>
  <c r="G81" i="26"/>
  <c r="AJ81" i="26"/>
  <c r="AH81" i="26"/>
  <c r="AP81" i="26" s="1"/>
  <c r="AT82" i="26"/>
  <c r="AV82" i="26" s="1"/>
  <c r="L83" i="26"/>
  <c r="M83" i="26" s="1"/>
  <c r="AB83" i="26"/>
  <c r="AD83" i="26"/>
  <c r="AT85" i="26"/>
  <c r="AV85" i="26" s="1"/>
  <c r="H85" i="26"/>
  <c r="V85" i="26"/>
  <c r="AI85" i="26"/>
  <c r="U87" i="26"/>
  <c r="W87" i="26"/>
  <c r="AC87" i="26"/>
  <c r="AM88" i="26"/>
  <c r="AN88" i="26" s="1"/>
  <c r="L88" i="26"/>
  <c r="M88" i="26" s="1"/>
  <c r="AT88" i="26"/>
  <c r="AV88" i="26" s="1"/>
  <c r="AD89" i="26"/>
  <c r="AB89" i="26"/>
  <c r="AM89" i="26"/>
  <c r="AN89" i="26" s="1"/>
  <c r="G91" i="26"/>
  <c r="I91" i="26"/>
  <c r="AH91" i="26"/>
  <c r="AP91" i="26" s="1"/>
  <c r="AJ91" i="26"/>
  <c r="S92" i="26"/>
  <c r="T92" i="26" s="1"/>
  <c r="W93" i="26"/>
  <c r="U93" i="26"/>
  <c r="AC93" i="26"/>
  <c r="AM94" i="26"/>
  <c r="AN94" i="26" s="1"/>
  <c r="L94" i="26"/>
  <c r="M94" i="26" s="1"/>
  <c r="S94" i="26"/>
  <c r="T94" i="26" s="1"/>
  <c r="AT95" i="26"/>
  <c r="AV95" i="26" s="1"/>
  <c r="H95" i="26"/>
  <c r="V95" i="26"/>
  <c r="AI95" i="26"/>
  <c r="I97" i="26"/>
  <c r="G97" i="26"/>
  <c r="AJ97" i="26"/>
  <c r="AH97" i="26"/>
  <c r="AT98" i="26"/>
  <c r="AV98" i="26" s="1"/>
  <c r="AB99" i="26"/>
  <c r="AD99" i="26"/>
  <c r="AM99" i="26"/>
  <c r="AN99" i="26" s="1"/>
  <c r="AT101" i="26"/>
  <c r="AV101" i="26" s="1"/>
  <c r="H101" i="26"/>
  <c r="V101" i="26"/>
  <c r="AI101" i="26"/>
  <c r="U103" i="26"/>
  <c r="W103" i="26"/>
  <c r="AC103" i="26"/>
  <c r="AM104" i="26"/>
  <c r="AN104" i="26" s="1"/>
  <c r="L104" i="26"/>
  <c r="M104" i="26" s="1"/>
  <c r="AT104" i="26"/>
  <c r="AV104" i="26" s="1"/>
  <c r="L105" i="26"/>
  <c r="M105" i="26" s="1"/>
  <c r="AD105" i="26"/>
  <c r="AB105" i="26"/>
  <c r="AP107" i="26"/>
  <c r="I109" i="26"/>
  <c r="H109" i="26"/>
  <c r="G109" i="26"/>
  <c r="AD109" i="26"/>
  <c r="AC109" i="26"/>
  <c r="AB109" i="26"/>
  <c r="V111" i="26"/>
  <c r="AM112" i="26"/>
  <c r="AN112" i="26" s="1"/>
  <c r="L112" i="26"/>
  <c r="M112" i="26" s="1"/>
  <c r="AT112" i="26"/>
  <c r="AV112" i="26" s="1"/>
  <c r="AP114" i="26"/>
  <c r="AT128" i="26"/>
  <c r="AV128" i="26" s="1"/>
  <c r="AR129" i="26"/>
  <c r="AS129" i="26" s="1"/>
  <c r="AQ129" i="26"/>
  <c r="AR145" i="26"/>
  <c r="AS145" i="26" s="1"/>
  <c r="AQ145" i="26"/>
  <c r="AT148" i="26"/>
  <c r="AV148" i="26" s="1"/>
  <c r="AT150" i="26"/>
  <c r="AV150" i="26" s="1"/>
  <c r="AT166" i="26"/>
  <c r="AV166" i="26" s="1"/>
  <c r="AT184" i="26"/>
  <c r="AV184" i="26" s="1"/>
  <c r="AQ184" i="26"/>
  <c r="AR184" i="26"/>
  <c r="AS184" i="26" s="1"/>
  <c r="AT196" i="26"/>
  <c r="AV196" i="26" s="1"/>
  <c r="AT209" i="26"/>
  <c r="AV209" i="26" s="1"/>
  <c r="AM229" i="26"/>
  <c r="AN229" i="26" s="1"/>
  <c r="AM237" i="26"/>
  <c r="AN237" i="26" s="1"/>
  <c r="AM245" i="26"/>
  <c r="AN245" i="26" s="1"/>
  <c r="AM253" i="26"/>
  <c r="AN253" i="26" s="1"/>
  <c r="AM273" i="26"/>
  <c r="AN273" i="26" s="1"/>
  <c r="AM310" i="26"/>
  <c r="AN310" i="26" s="1"/>
  <c r="L339" i="26"/>
  <c r="M339" i="26" s="1"/>
  <c r="L347" i="26"/>
  <c r="M347" i="26" s="1"/>
  <c r="L161" i="26"/>
  <c r="M161" i="26" s="1"/>
  <c r="L203" i="26"/>
  <c r="M203" i="26" s="1"/>
  <c r="L155" i="26"/>
  <c r="M155" i="26" s="1"/>
  <c r="AM201" i="26"/>
  <c r="AN201" i="26" s="1"/>
  <c r="L312" i="26"/>
  <c r="M312" i="26" s="1"/>
  <c r="AM56" i="26"/>
  <c r="AN56" i="26" s="1"/>
  <c r="L334" i="26"/>
  <c r="M334" i="26" s="1"/>
  <c r="AM110" i="33"/>
  <c r="AO110" i="33" s="1"/>
  <c r="L357" i="26"/>
  <c r="M357" i="26" s="1"/>
  <c r="AM38" i="26"/>
  <c r="AN38" i="26" s="1"/>
  <c r="AM72" i="26"/>
  <c r="AN72" i="26" s="1"/>
  <c r="AM218" i="26"/>
  <c r="AN218" i="26" s="1"/>
  <c r="L281" i="26"/>
  <c r="M281" i="26" s="1"/>
  <c r="L285" i="26"/>
  <c r="M285" i="26" s="1"/>
  <c r="L289" i="26"/>
  <c r="M289" i="26" s="1"/>
  <c r="L293" i="26"/>
  <c r="M293" i="26" s="1"/>
  <c r="AM297" i="14"/>
  <c r="AO297" i="14" s="1"/>
  <c r="L297" i="26"/>
  <c r="M297" i="26" s="1"/>
  <c r="AM299" i="14"/>
  <c r="AO299" i="14" s="1"/>
  <c r="AM301" i="14"/>
  <c r="AO301" i="14" s="1"/>
  <c r="L301" i="26"/>
  <c r="M301" i="26" s="1"/>
  <c r="L195" i="26"/>
  <c r="M195" i="26" s="1"/>
  <c r="AN232" i="29"/>
  <c r="AP232" i="29" s="1"/>
  <c r="AM83" i="33"/>
  <c r="AO83" i="33" s="1"/>
  <c r="L257" i="26"/>
  <c r="M257" i="26" s="1"/>
  <c r="AN235" i="29"/>
  <c r="AP235" i="29" s="1"/>
  <c r="AM261" i="26"/>
  <c r="AN261" i="26" s="1"/>
  <c r="AM263" i="14"/>
  <c r="AO263" i="14" s="1"/>
  <c r="AM263" i="27"/>
  <c r="AO263" i="27" s="1"/>
  <c r="AT263" i="26"/>
  <c r="AV263" i="26" s="1"/>
  <c r="AM220" i="26"/>
  <c r="AN220" i="26" s="1"/>
  <c r="AM266" i="14"/>
  <c r="AO266" i="14" s="1"/>
  <c r="AM266" i="27"/>
  <c r="AO266" i="27" s="1"/>
  <c r="AT266" i="26"/>
  <c r="AV266" i="26" s="1"/>
  <c r="AM222" i="27"/>
  <c r="AO222" i="27" s="1"/>
  <c r="AT222" i="26"/>
  <c r="AV222" i="26" s="1"/>
  <c r="AM214" i="26"/>
  <c r="AN214" i="26" s="1"/>
  <c r="AM151" i="26"/>
  <c r="AN151" i="26" s="1"/>
  <c r="AM342" i="14"/>
  <c r="AO342" i="14" s="1"/>
  <c r="AM106" i="33"/>
  <c r="AO106" i="33" s="1"/>
  <c r="L107" i="26"/>
  <c r="M107" i="26" s="1"/>
  <c r="AM48" i="26"/>
  <c r="AN48" i="26" s="1"/>
  <c r="L175" i="26"/>
  <c r="M175" i="26" s="1"/>
  <c r="AM78" i="26"/>
  <c r="AN78" i="26" s="1"/>
  <c r="L165" i="26"/>
  <c r="M165" i="26" s="1"/>
  <c r="AM241" i="14"/>
  <c r="AO241" i="14" s="1"/>
  <c r="AM243" i="14"/>
  <c r="AO243" i="14" s="1"/>
  <c r="L243" i="26"/>
  <c r="M243" i="26" s="1"/>
  <c r="L275" i="26"/>
  <c r="M275" i="26" s="1"/>
  <c r="AM153" i="26"/>
  <c r="AN153" i="26" s="1"/>
  <c r="L328" i="26"/>
  <c r="M328" i="26" s="1"/>
  <c r="L330" i="26"/>
  <c r="M330" i="26" s="1"/>
  <c r="AN300" i="29"/>
  <c r="AP300" i="29" s="1"/>
  <c r="W21" i="26"/>
  <c r="G22" i="26"/>
  <c r="U23" i="26"/>
  <c r="AC23" i="26"/>
  <c r="W24" i="26"/>
  <c r="I25" i="26"/>
  <c r="AC25" i="26"/>
  <c r="AJ25" i="26"/>
  <c r="AB26" i="26"/>
  <c r="AP26" i="26" s="1"/>
  <c r="AJ26" i="26"/>
  <c r="H27" i="26"/>
  <c r="AD27" i="26"/>
  <c r="AH27" i="26"/>
  <c r="L29" i="26"/>
  <c r="M29" i="26" s="1"/>
  <c r="V29" i="26"/>
  <c r="AD29" i="26"/>
  <c r="G30" i="26"/>
  <c r="AT31" i="26"/>
  <c r="AV31" i="26" s="1"/>
  <c r="V31" i="26"/>
  <c r="L33" i="26"/>
  <c r="M33" i="26" s="1"/>
  <c r="V33" i="26"/>
  <c r="AD33" i="26"/>
  <c r="G34" i="26"/>
  <c r="AT35" i="26"/>
  <c r="AV35" i="26" s="1"/>
  <c r="V35" i="26"/>
  <c r="AR36" i="26"/>
  <c r="AS36" i="26" s="1"/>
  <c r="L37" i="26"/>
  <c r="M37" i="26" s="1"/>
  <c r="V37" i="26"/>
  <c r="AD37" i="26"/>
  <c r="G38" i="26"/>
  <c r="AT39" i="26"/>
  <c r="AV39" i="26" s="1"/>
  <c r="V39" i="26"/>
  <c r="AR40" i="26"/>
  <c r="AS40" i="26" s="1"/>
  <c r="L41" i="26"/>
  <c r="M41" i="26" s="1"/>
  <c r="V41" i="26"/>
  <c r="AD41" i="26"/>
  <c r="G42" i="26"/>
  <c r="AT43" i="26"/>
  <c r="AV43" i="26" s="1"/>
  <c r="V43" i="26"/>
  <c r="L45" i="26"/>
  <c r="M45" i="26" s="1"/>
  <c r="V45" i="26"/>
  <c r="AD45" i="26"/>
  <c r="G46" i="26"/>
  <c r="AT47" i="26"/>
  <c r="AV47" i="26" s="1"/>
  <c r="V47" i="26"/>
  <c r="L49" i="26"/>
  <c r="M49" i="26" s="1"/>
  <c r="V49" i="26"/>
  <c r="AD49" i="26"/>
  <c r="G50" i="26"/>
  <c r="AT51" i="26"/>
  <c r="AV51" i="26" s="1"/>
  <c r="V51" i="26"/>
  <c r="L53" i="26"/>
  <c r="M53" i="26" s="1"/>
  <c r="V53" i="26"/>
  <c r="AD53" i="26"/>
  <c r="G54" i="26"/>
  <c r="AT55" i="26"/>
  <c r="AV55" i="26" s="1"/>
  <c r="V55" i="26"/>
  <c r="L57" i="26"/>
  <c r="M57" i="26" s="1"/>
  <c r="V57" i="26"/>
  <c r="AD57" i="26"/>
  <c r="G58" i="26"/>
  <c r="AT59" i="26"/>
  <c r="AV59" i="26" s="1"/>
  <c r="V59" i="26"/>
  <c r="I61" i="26"/>
  <c r="G61" i="26"/>
  <c r="AJ61" i="26"/>
  <c r="AH61" i="26"/>
  <c r="AT62" i="26"/>
  <c r="AV62" i="26" s="1"/>
  <c r="L63" i="26"/>
  <c r="M63" i="26" s="1"/>
  <c r="AB63" i="26"/>
  <c r="AD63" i="26"/>
  <c r="AM63" i="26"/>
  <c r="AN63" i="26" s="1"/>
  <c r="AT65" i="26"/>
  <c r="AV65" i="26" s="1"/>
  <c r="V65" i="26"/>
  <c r="U67" i="26"/>
  <c r="AP67" i="26" s="1"/>
  <c r="W67" i="26"/>
  <c r="AM68" i="26"/>
  <c r="AN68" i="26" s="1"/>
  <c r="L68" i="26"/>
  <c r="M68" i="26" s="1"/>
  <c r="AT68" i="26"/>
  <c r="AV68" i="26" s="1"/>
  <c r="L69" i="26"/>
  <c r="M69" i="26" s="1"/>
  <c r="AD69" i="26"/>
  <c r="AB69" i="26"/>
  <c r="AM69" i="26"/>
  <c r="AN69" i="26" s="1"/>
  <c r="G71" i="26"/>
  <c r="I71" i="26"/>
  <c r="AH71" i="26"/>
  <c r="AP71" i="26" s="1"/>
  <c r="AJ71" i="26"/>
  <c r="S72" i="26"/>
  <c r="T72" i="26" s="1"/>
  <c r="W73" i="26"/>
  <c r="U73" i="26"/>
  <c r="AP73" i="26" s="1"/>
  <c r="AC73" i="26"/>
  <c r="AM74" i="26"/>
  <c r="AN74" i="26" s="1"/>
  <c r="L74" i="26"/>
  <c r="M74" i="26" s="1"/>
  <c r="S74" i="26"/>
  <c r="T74" i="26" s="1"/>
  <c r="AT75" i="26"/>
  <c r="AV75" i="26" s="1"/>
  <c r="H75" i="26"/>
  <c r="V75" i="26"/>
  <c r="AI75" i="26"/>
  <c r="I77" i="26"/>
  <c r="G77" i="26"/>
  <c r="AJ77" i="26"/>
  <c r="AH77" i="26"/>
  <c r="AT78" i="26"/>
  <c r="AV78" i="26" s="1"/>
  <c r="L79" i="26"/>
  <c r="M79" i="26" s="1"/>
  <c r="AB79" i="26"/>
  <c r="AD79" i="26"/>
  <c r="AT81" i="26"/>
  <c r="AV81" i="26" s="1"/>
  <c r="H81" i="26"/>
  <c r="V81" i="26"/>
  <c r="AI81" i="26"/>
  <c r="U83" i="26"/>
  <c r="AP83" i="26" s="1"/>
  <c r="W83" i="26"/>
  <c r="AC83" i="26"/>
  <c r="AM84" i="26"/>
  <c r="AN84" i="26" s="1"/>
  <c r="L84" i="26"/>
  <c r="M84" i="26" s="1"/>
  <c r="AT84" i="26"/>
  <c r="AV84" i="26" s="1"/>
  <c r="L85" i="26"/>
  <c r="M85" i="26" s="1"/>
  <c r="AD85" i="26"/>
  <c r="AB85" i="26"/>
  <c r="AM85" i="26"/>
  <c r="AN85" i="26" s="1"/>
  <c r="G87" i="26"/>
  <c r="I87" i="26"/>
  <c r="AH87" i="26"/>
  <c r="AP87" i="26" s="1"/>
  <c r="AJ87" i="26"/>
  <c r="S88" i="26"/>
  <c r="T88" i="26" s="1"/>
  <c r="W89" i="26"/>
  <c r="U89" i="26"/>
  <c r="AP89" i="26" s="1"/>
  <c r="AC89" i="26"/>
  <c r="AM90" i="26"/>
  <c r="AN90" i="26" s="1"/>
  <c r="L90" i="26"/>
  <c r="M90" i="26" s="1"/>
  <c r="S90" i="26"/>
  <c r="T90" i="26" s="1"/>
  <c r="AT91" i="26"/>
  <c r="AV91" i="26" s="1"/>
  <c r="H91" i="26"/>
  <c r="V91" i="26"/>
  <c r="AI91" i="26"/>
  <c r="I93" i="26"/>
  <c r="G93" i="26"/>
  <c r="AJ93" i="26"/>
  <c r="AH93" i="26"/>
  <c r="AT94" i="26"/>
  <c r="AV94" i="26" s="1"/>
  <c r="L95" i="26"/>
  <c r="M95" i="26" s="1"/>
  <c r="AB95" i="26"/>
  <c r="AD95" i="26"/>
  <c r="AT97" i="26"/>
  <c r="AV97" i="26" s="1"/>
  <c r="H97" i="26"/>
  <c r="V97" i="26"/>
  <c r="AI97" i="26"/>
  <c r="U99" i="26"/>
  <c r="W99" i="26"/>
  <c r="AC99" i="26"/>
  <c r="AM100" i="26"/>
  <c r="AN100" i="26" s="1"/>
  <c r="L100" i="26"/>
  <c r="M100" i="26" s="1"/>
  <c r="AT100" i="26"/>
  <c r="AV100" i="26" s="1"/>
  <c r="L101" i="26"/>
  <c r="M101" i="26" s="1"/>
  <c r="AD101" i="26"/>
  <c r="AB101" i="26"/>
  <c r="G103" i="26"/>
  <c r="I103" i="26"/>
  <c r="AH103" i="26"/>
  <c r="AJ103" i="26"/>
  <c r="S104" i="26"/>
  <c r="T104" i="26" s="1"/>
  <c r="W105" i="26"/>
  <c r="U105" i="26"/>
  <c r="AC105" i="26"/>
  <c r="AM106" i="26"/>
  <c r="AN106" i="26" s="1"/>
  <c r="AT107" i="26"/>
  <c r="AV107" i="26" s="1"/>
  <c r="AT109" i="26"/>
  <c r="AV109" i="26" s="1"/>
  <c r="L109" i="26"/>
  <c r="M109" i="26" s="1"/>
  <c r="AJ109" i="26"/>
  <c r="AI109" i="26"/>
  <c r="AH109" i="26"/>
  <c r="I113" i="26"/>
  <c r="H113" i="26"/>
  <c r="G113" i="26"/>
  <c r="AD113" i="26"/>
  <c r="AC113" i="26"/>
  <c r="AB113" i="26"/>
  <c r="AT132" i="26"/>
  <c r="AV132" i="26" s="1"/>
  <c r="AT144" i="26"/>
  <c r="AV144" i="26" s="1"/>
  <c r="AM278" i="26"/>
  <c r="AN278" i="26" s="1"/>
  <c r="AM286" i="26"/>
  <c r="AN286" i="26" s="1"/>
  <c r="AM309" i="26"/>
  <c r="AN309" i="26" s="1"/>
  <c r="AM314" i="26"/>
  <c r="AN314" i="26" s="1"/>
  <c r="L351" i="26"/>
  <c r="M351" i="26" s="1"/>
  <c r="S31" i="26"/>
  <c r="T31" i="26" s="1"/>
  <c r="S35" i="26"/>
  <c r="T35" i="26" s="1"/>
  <c r="S39" i="26"/>
  <c r="T39" i="26" s="1"/>
  <c r="S43" i="26"/>
  <c r="T43" i="26" s="1"/>
  <c r="S47" i="26"/>
  <c r="T47" i="26" s="1"/>
  <c r="S51" i="26"/>
  <c r="T51" i="26" s="1"/>
  <c r="S55" i="26"/>
  <c r="T55" i="26" s="1"/>
  <c r="S59" i="26"/>
  <c r="T59" i="26" s="1"/>
  <c r="S63" i="26"/>
  <c r="T63" i="26" s="1"/>
  <c r="S67" i="26"/>
  <c r="T67" i="26" s="1"/>
  <c r="S71" i="26"/>
  <c r="T71" i="26" s="1"/>
  <c r="S75" i="26"/>
  <c r="T75" i="26" s="1"/>
  <c r="S79" i="26"/>
  <c r="T79" i="26" s="1"/>
  <c r="S83" i="26"/>
  <c r="T83" i="26" s="1"/>
  <c r="S87" i="26"/>
  <c r="T87" i="26" s="1"/>
  <c r="S91" i="26"/>
  <c r="T91" i="26" s="1"/>
  <c r="S95" i="26"/>
  <c r="T95" i="26" s="1"/>
  <c r="S99" i="26"/>
  <c r="T99" i="26" s="1"/>
  <c r="S103" i="26"/>
  <c r="T103" i="26" s="1"/>
  <c r="I107" i="26"/>
  <c r="S107" i="26"/>
  <c r="T107" i="26" s="1"/>
  <c r="AD107" i="26"/>
  <c r="AJ107" i="26"/>
  <c r="U109" i="26"/>
  <c r="I111" i="26"/>
  <c r="S111" i="26"/>
  <c r="T111" i="26" s="1"/>
  <c r="AD111" i="26"/>
  <c r="AJ111" i="26"/>
  <c r="U113" i="26"/>
  <c r="I115" i="26"/>
  <c r="S115" i="26"/>
  <c r="T115" i="26" s="1"/>
  <c r="W115" i="26"/>
  <c r="AD115" i="26"/>
  <c r="AJ115" i="26"/>
  <c r="L116" i="26"/>
  <c r="M116" i="26" s="1"/>
  <c r="AM116" i="26"/>
  <c r="AN116" i="26" s="1"/>
  <c r="AQ116" i="26"/>
  <c r="G117" i="26"/>
  <c r="U117" i="26"/>
  <c r="AB117" i="26"/>
  <c r="AH117" i="26"/>
  <c r="I119" i="26"/>
  <c r="S119" i="26"/>
  <c r="T119" i="26" s="1"/>
  <c r="W119" i="26"/>
  <c r="AD119" i="26"/>
  <c r="AJ119" i="26"/>
  <c r="AR120" i="26"/>
  <c r="AS120" i="26" s="1"/>
  <c r="L121" i="26"/>
  <c r="M121" i="26" s="1"/>
  <c r="V121" i="26"/>
  <c r="AD121" i="26"/>
  <c r="AM121" i="26"/>
  <c r="AN121" i="26" s="1"/>
  <c r="G122" i="26"/>
  <c r="AT123" i="26"/>
  <c r="AV123" i="26" s="1"/>
  <c r="V123" i="26"/>
  <c r="L125" i="26"/>
  <c r="M125" i="26" s="1"/>
  <c r="V125" i="26"/>
  <c r="AD125" i="26"/>
  <c r="AM125" i="26"/>
  <c r="AN125" i="26" s="1"/>
  <c r="G126" i="26"/>
  <c r="AT127" i="26"/>
  <c r="AV127" i="26" s="1"/>
  <c r="V127" i="26"/>
  <c r="AR128" i="26"/>
  <c r="AS128" i="26" s="1"/>
  <c r="L129" i="26"/>
  <c r="M129" i="26" s="1"/>
  <c r="V129" i="26"/>
  <c r="AD129" i="26"/>
  <c r="AM129" i="26"/>
  <c r="AN129" i="26" s="1"/>
  <c r="G130" i="26"/>
  <c r="AT131" i="26"/>
  <c r="AV131" i="26" s="1"/>
  <c r="V131" i="26"/>
  <c r="L133" i="26"/>
  <c r="M133" i="26" s="1"/>
  <c r="V133" i="26"/>
  <c r="AD133" i="26"/>
  <c r="AM133" i="26"/>
  <c r="AN133" i="26" s="1"/>
  <c r="G134" i="26"/>
  <c r="AT135" i="26"/>
  <c r="AV135" i="26" s="1"/>
  <c r="V135" i="26"/>
  <c r="L137" i="26"/>
  <c r="M137" i="26" s="1"/>
  <c r="V137" i="26"/>
  <c r="AD137" i="26"/>
  <c r="AM137" i="26"/>
  <c r="AN137" i="26" s="1"/>
  <c r="G138" i="26"/>
  <c r="AT139" i="26"/>
  <c r="AV139" i="26" s="1"/>
  <c r="V139" i="26"/>
  <c r="AR140" i="26"/>
  <c r="AS140" i="26" s="1"/>
  <c r="L141" i="26"/>
  <c r="M141" i="26" s="1"/>
  <c r="V141" i="26"/>
  <c r="AD141" i="26"/>
  <c r="AM141" i="26"/>
  <c r="AN141" i="26" s="1"/>
  <c r="G142" i="26"/>
  <c r="AT143" i="26"/>
  <c r="AV143" i="26" s="1"/>
  <c r="V143" i="26"/>
  <c r="AR144" i="26"/>
  <c r="AS144" i="26" s="1"/>
  <c r="L145" i="26"/>
  <c r="M145" i="26" s="1"/>
  <c r="V145" i="26"/>
  <c r="AD145" i="26"/>
  <c r="AM145" i="26"/>
  <c r="AN145" i="26" s="1"/>
  <c r="G146" i="26"/>
  <c r="AT147" i="26"/>
  <c r="AV147" i="26" s="1"/>
  <c r="V147" i="26"/>
  <c r="I149" i="26"/>
  <c r="G149" i="26"/>
  <c r="AJ149" i="26"/>
  <c r="AH149" i="26"/>
  <c r="AB151" i="26"/>
  <c r="AD151" i="26"/>
  <c r="AT153" i="26"/>
  <c r="AV153" i="26" s="1"/>
  <c r="U155" i="26"/>
  <c r="W155" i="26"/>
  <c r="AM156" i="26"/>
  <c r="AN156" i="26" s="1"/>
  <c r="L156" i="26"/>
  <c r="M156" i="26" s="1"/>
  <c r="AT156" i="26"/>
  <c r="AV156" i="26" s="1"/>
  <c r="AD157" i="26"/>
  <c r="AB157" i="26"/>
  <c r="G159" i="26"/>
  <c r="I159" i="26"/>
  <c r="AH159" i="26"/>
  <c r="AJ159" i="26"/>
  <c r="W161" i="26"/>
  <c r="U161" i="26"/>
  <c r="AM162" i="26"/>
  <c r="AN162" i="26" s="1"/>
  <c r="L162" i="26"/>
  <c r="M162" i="26" s="1"/>
  <c r="S162" i="26"/>
  <c r="T162" i="26" s="1"/>
  <c r="AT163" i="26"/>
  <c r="AV163" i="26" s="1"/>
  <c r="I165" i="26"/>
  <c r="G165" i="26"/>
  <c r="AJ165" i="26"/>
  <c r="AH165" i="26"/>
  <c r="AP165" i="26" s="1"/>
  <c r="AB167" i="26"/>
  <c r="AD167" i="26"/>
  <c r="AT169" i="26"/>
  <c r="AV169" i="26" s="1"/>
  <c r="U171" i="26"/>
  <c r="W171" i="26"/>
  <c r="AM172" i="26"/>
  <c r="AN172" i="26" s="1"/>
  <c r="L172" i="26"/>
  <c r="M172" i="26" s="1"/>
  <c r="AT172" i="26"/>
  <c r="AV172" i="26" s="1"/>
  <c r="AD173" i="26"/>
  <c r="AB173" i="26"/>
  <c r="G175" i="26"/>
  <c r="I175" i="26"/>
  <c r="AH175" i="26"/>
  <c r="AJ175" i="26"/>
  <c r="W177" i="26"/>
  <c r="U177" i="26"/>
  <c r="AM178" i="26"/>
  <c r="AN178" i="26" s="1"/>
  <c r="L178" i="26"/>
  <c r="M178" i="26" s="1"/>
  <c r="S178" i="26"/>
  <c r="T178" i="26" s="1"/>
  <c r="AT179" i="26"/>
  <c r="AV179" i="26" s="1"/>
  <c r="I181" i="26"/>
  <c r="G181" i="26"/>
  <c r="AJ181" i="26"/>
  <c r="AH181" i="26"/>
  <c r="AB183" i="26"/>
  <c r="AD183" i="26"/>
  <c r="AD185" i="26"/>
  <c r="AB185" i="26"/>
  <c r="G187" i="26"/>
  <c r="I187" i="26"/>
  <c r="AH187" i="26"/>
  <c r="AJ187" i="26"/>
  <c r="W189" i="26"/>
  <c r="U189" i="26"/>
  <c r="AM190" i="26"/>
  <c r="AN190" i="26" s="1"/>
  <c r="L190" i="26"/>
  <c r="M190" i="26" s="1"/>
  <c r="S190" i="26"/>
  <c r="T190" i="26" s="1"/>
  <c r="AT191" i="26"/>
  <c r="AV191" i="26" s="1"/>
  <c r="I193" i="26"/>
  <c r="G193" i="26"/>
  <c r="AJ193" i="26"/>
  <c r="AH193" i="26"/>
  <c r="AB195" i="26"/>
  <c r="AD195" i="26"/>
  <c r="AD197" i="26"/>
  <c r="AB197" i="26"/>
  <c r="G199" i="26"/>
  <c r="I199" i="26"/>
  <c r="AH199" i="26"/>
  <c r="AJ199" i="26"/>
  <c r="W201" i="26"/>
  <c r="U201" i="26"/>
  <c r="AM202" i="26"/>
  <c r="AN202" i="26" s="1"/>
  <c r="L202" i="26"/>
  <c r="M202" i="26" s="1"/>
  <c r="S202" i="26"/>
  <c r="T202" i="26" s="1"/>
  <c r="AT203" i="26"/>
  <c r="AV203" i="26" s="1"/>
  <c r="I205" i="26"/>
  <c r="G205" i="26"/>
  <c r="AJ205" i="26"/>
  <c r="AH205" i="26"/>
  <c r="I208" i="26"/>
  <c r="G208" i="26"/>
  <c r="AJ208" i="26"/>
  <c r="AH208" i="26"/>
  <c r="AB210" i="26"/>
  <c r="AD210" i="26"/>
  <c r="AT212" i="26"/>
  <c r="AV212" i="26" s="1"/>
  <c r="U214" i="26"/>
  <c r="W214" i="26"/>
  <c r="AM215" i="26"/>
  <c r="AN215" i="26" s="1"/>
  <c r="L215" i="26"/>
  <c r="M215" i="26" s="1"/>
  <c r="AT215" i="26"/>
  <c r="AV215" i="26" s="1"/>
  <c r="AD216" i="26"/>
  <c r="AB216" i="26"/>
  <c r="G218" i="26"/>
  <c r="I218" i="26"/>
  <c r="AH218" i="26"/>
  <c r="AJ218" i="26"/>
  <c r="W220" i="26"/>
  <c r="U220" i="26"/>
  <c r="AM221" i="26"/>
  <c r="AN221" i="26" s="1"/>
  <c r="L221" i="26"/>
  <c r="M221" i="26" s="1"/>
  <c r="S221" i="26"/>
  <c r="T221" i="26" s="1"/>
  <c r="AM222" i="26"/>
  <c r="AN222" i="26" s="1"/>
  <c r="W223" i="26"/>
  <c r="U223" i="26"/>
  <c r="AM224" i="26"/>
  <c r="AN224" i="26" s="1"/>
  <c r="L224" i="26"/>
  <c r="M224" i="26" s="1"/>
  <c r="S224" i="26"/>
  <c r="T224" i="26" s="1"/>
  <c r="AT225" i="26"/>
  <c r="AV225" i="26" s="1"/>
  <c r="I227" i="26"/>
  <c r="G227" i="26"/>
  <c r="AJ227" i="26"/>
  <c r="AH227" i="26"/>
  <c r="L229" i="26"/>
  <c r="M229" i="26" s="1"/>
  <c r="U230" i="26"/>
  <c r="AP230" i="26" s="1"/>
  <c r="W230" i="26"/>
  <c r="AT231" i="26"/>
  <c r="AV231" i="26" s="1"/>
  <c r="S231" i="26"/>
  <c r="T231" i="26" s="1"/>
  <c r="L233" i="26"/>
  <c r="M233" i="26" s="1"/>
  <c r="U234" i="26"/>
  <c r="AP234" i="26" s="1"/>
  <c r="W234" i="26"/>
  <c r="AT235" i="26"/>
  <c r="AV235" i="26" s="1"/>
  <c r="S235" i="26"/>
  <c r="T235" i="26" s="1"/>
  <c r="L237" i="26"/>
  <c r="M237" i="26" s="1"/>
  <c r="U238" i="26"/>
  <c r="AP238" i="26" s="1"/>
  <c r="W238" i="26"/>
  <c r="AT239" i="26"/>
  <c r="AV239" i="26" s="1"/>
  <c r="S239" i="26"/>
  <c r="T239" i="26" s="1"/>
  <c r="L241" i="26"/>
  <c r="M241" i="26" s="1"/>
  <c r="U242" i="26"/>
  <c r="AP242" i="26" s="1"/>
  <c r="W242" i="26"/>
  <c r="AT243" i="26"/>
  <c r="AV243" i="26" s="1"/>
  <c r="S243" i="26"/>
  <c r="T243" i="26" s="1"/>
  <c r="L245" i="26"/>
  <c r="M245" i="26" s="1"/>
  <c r="U246" i="26"/>
  <c r="AP246" i="26" s="1"/>
  <c r="W246" i="26"/>
  <c r="AT247" i="26"/>
  <c r="AV247" i="26" s="1"/>
  <c r="S247" i="26"/>
  <c r="T247" i="26" s="1"/>
  <c r="L249" i="26"/>
  <c r="M249" i="26" s="1"/>
  <c r="U250" i="26"/>
  <c r="AP250" i="26" s="1"/>
  <c r="W250" i="26"/>
  <c r="AT251" i="26"/>
  <c r="AV251" i="26" s="1"/>
  <c r="S251" i="26"/>
  <c r="T251" i="26" s="1"/>
  <c r="L253" i="26"/>
  <c r="M253" i="26" s="1"/>
  <c r="U254" i="26"/>
  <c r="AP254" i="26" s="1"/>
  <c r="W254" i="26"/>
  <c r="AT255" i="26"/>
  <c r="AV255" i="26" s="1"/>
  <c r="S255" i="26"/>
  <c r="T255" i="26" s="1"/>
  <c r="AB257" i="26"/>
  <c r="AD257" i="26"/>
  <c r="AT259" i="26"/>
  <c r="AV259" i="26" s="1"/>
  <c r="U261" i="26"/>
  <c r="W261" i="26"/>
  <c r="AM262" i="26"/>
  <c r="AN262" i="26" s="1"/>
  <c r="L262" i="26"/>
  <c r="M262" i="26" s="1"/>
  <c r="AT262" i="26"/>
  <c r="AV262" i="26" s="1"/>
  <c r="G268" i="26"/>
  <c r="I268" i="26"/>
  <c r="AH268" i="26"/>
  <c r="AJ268" i="26"/>
  <c r="L270" i="26"/>
  <c r="M270" i="26" s="1"/>
  <c r="W271" i="26"/>
  <c r="U271" i="26"/>
  <c r="AP271" i="26" s="1"/>
  <c r="AT272" i="26"/>
  <c r="AV272" i="26" s="1"/>
  <c r="S272" i="26"/>
  <c r="T272" i="26" s="1"/>
  <c r="L274" i="26"/>
  <c r="M274" i="26" s="1"/>
  <c r="W275" i="26"/>
  <c r="U275" i="26"/>
  <c r="AP275" i="26" s="1"/>
  <c r="AT276" i="26"/>
  <c r="AV276" i="26" s="1"/>
  <c r="S276" i="26"/>
  <c r="T276" i="26" s="1"/>
  <c r="L278" i="26"/>
  <c r="M278" i="26" s="1"/>
  <c r="W279" i="26"/>
  <c r="U279" i="26"/>
  <c r="AP279" i="26" s="1"/>
  <c r="AT280" i="26"/>
  <c r="AV280" i="26" s="1"/>
  <c r="S280" i="26"/>
  <c r="T280" i="26" s="1"/>
  <c r="L282" i="26"/>
  <c r="M282" i="26" s="1"/>
  <c r="W283" i="26"/>
  <c r="U283" i="26"/>
  <c r="AP283" i="26" s="1"/>
  <c r="AT284" i="26"/>
  <c r="AV284" i="26" s="1"/>
  <c r="S284" i="26"/>
  <c r="T284" i="26" s="1"/>
  <c r="L286" i="26"/>
  <c r="M286" i="26" s="1"/>
  <c r="W287" i="26"/>
  <c r="U287" i="26"/>
  <c r="AP287" i="26" s="1"/>
  <c r="AT288" i="26"/>
  <c r="AV288" i="26" s="1"/>
  <c r="S288" i="26"/>
  <c r="T288" i="26" s="1"/>
  <c r="L290" i="26"/>
  <c r="M290" i="26" s="1"/>
  <c r="W291" i="26"/>
  <c r="U291" i="26"/>
  <c r="AP291" i="26" s="1"/>
  <c r="AT292" i="26"/>
  <c r="AV292" i="26" s="1"/>
  <c r="S292" i="26"/>
  <c r="T292" i="26" s="1"/>
  <c r="W295" i="26"/>
  <c r="U295" i="26"/>
  <c r="AP295" i="26" s="1"/>
  <c r="AT296" i="26"/>
  <c r="AV296" i="26" s="1"/>
  <c r="S296" i="26"/>
  <c r="T296" i="26" s="1"/>
  <c r="W299" i="26"/>
  <c r="U299" i="26"/>
  <c r="AP299" i="26" s="1"/>
  <c r="AT300" i="26"/>
  <c r="AV300" i="26" s="1"/>
  <c r="S300" i="26"/>
  <c r="T300" i="26" s="1"/>
  <c r="W303" i="26"/>
  <c r="U303" i="26"/>
  <c r="AP303" i="26" s="1"/>
  <c r="AT304" i="26"/>
  <c r="AV304" i="26" s="1"/>
  <c r="S304" i="26"/>
  <c r="T304" i="26" s="1"/>
  <c r="W307" i="26"/>
  <c r="U307" i="26"/>
  <c r="AP307" i="26" s="1"/>
  <c r="AT308" i="26"/>
  <c r="AV308" i="26" s="1"/>
  <c r="S308" i="26"/>
  <c r="T308" i="26" s="1"/>
  <c r="L310" i="26"/>
  <c r="M310" i="26" s="1"/>
  <c r="W311" i="26"/>
  <c r="U311" i="26"/>
  <c r="AP311" i="26" s="1"/>
  <c r="AT312" i="26"/>
  <c r="AV312" i="26" s="1"/>
  <c r="S312" i="26"/>
  <c r="T312" i="26" s="1"/>
  <c r="L314" i="26"/>
  <c r="M314" i="26" s="1"/>
  <c r="W315" i="26"/>
  <c r="U315" i="26"/>
  <c r="AP315" i="26" s="1"/>
  <c r="AT316" i="26"/>
  <c r="AV316" i="26" s="1"/>
  <c r="S316" i="26"/>
  <c r="T316" i="26" s="1"/>
  <c r="AM319" i="26"/>
  <c r="AN319" i="26" s="1"/>
  <c r="L319" i="26"/>
  <c r="M319" i="26" s="1"/>
  <c r="W322" i="26"/>
  <c r="U322" i="26"/>
  <c r="AT324" i="26"/>
  <c r="AV324" i="26" s="1"/>
  <c r="AH324" i="26"/>
  <c r="AJ324" i="26"/>
  <c r="AI324" i="26"/>
  <c r="AP325" i="26"/>
  <c r="AT326" i="26"/>
  <c r="AV326" i="26" s="1"/>
  <c r="AT328" i="26"/>
  <c r="AV328" i="26" s="1"/>
  <c r="AH328" i="26"/>
  <c r="AJ328" i="26"/>
  <c r="AI328" i="26"/>
  <c r="AP329" i="26"/>
  <c r="AT330" i="26"/>
  <c r="AV330" i="26" s="1"/>
  <c r="AT332" i="26"/>
  <c r="AV332" i="26" s="1"/>
  <c r="AH332" i="26"/>
  <c r="AJ332" i="26"/>
  <c r="AI332" i="26"/>
  <c r="AP333" i="26"/>
  <c r="AT334" i="26"/>
  <c r="AV334" i="26" s="1"/>
  <c r="G336" i="26"/>
  <c r="I336" i="26"/>
  <c r="H336" i="26"/>
  <c r="AB336" i="26"/>
  <c r="AD336" i="26"/>
  <c r="AC336" i="26"/>
  <c r="AP339" i="26"/>
  <c r="W340" i="26"/>
  <c r="U340" i="26"/>
  <c r="AP340" i="26" s="1"/>
  <c r="AP343" i="26"/>
  <c r="W344" i="26"/>
  <c r="U344" i="26"/>
  <c r="AP344" i="26" s="1"/>
  <c r="W348" i="26"/>
  <c r="U348" i="26"/>
  <c r="AP348" i="26" s="1"/>
  <c r="W352" i="26"/>
  <c r="U352" i="26"/>
  <c r="AP352" i="26" s="1"/>
  <c r="W356" i="26"/>
  <c r="U356" i="26"/>
  <c r="AP356" i="26" s="1"/>
  <c r="G5" i="27"/>
  <c r="I5" i="27"/>
  <c r="H5" i="27"/>
  <c r="W9" i="27"/>
  <c r="Y9" i="27"/>
  <c r="X9" i="27"/>
  <c r="AI10" i="27"/>
  <c r="S11" i="27"/>
  <c r="Q11" i="27"/>
  <c r="AC13" i="27"/>
  <c r="AE13" i="27"/>
  <c r="AD13" i="27"/>
  <c r="G17" i="27"/>
  <c r="I17" i="27"/>
  <c r="H17" i="27"/>
  <c r="S19" i="27"/>
  <c r="Q19" i="27"/>
  <c r="Y19" i="27"/>
  <c r="AC21" i="27"/>
  <c r="AE21" i="27"/>
  <c r="AD21" i="27"/>
  <c r="G25" i="27"/>
  <c r="I25" i="27"/>
  <c r="H25" i="27"/>
  <c r="S27" i="27"/>
  <c r="Q27" i="27"/>
  <c r="Y27" i="27"/>
  <c r="AM29" i="27"/>
  <c r="AO29" i="27" s="1"/>
  <c r="AC29" i="27"/>
  <c r="AE29" i="27"/>
  <c r="AD29" i="27"/>
  <c r="AI30" i="27"/>
  <c r="AM31" i="27"/>
  <c r="AO31" i="27" s="1"/>
  <c r="AM33" i="27"/>
  <c r="AO33" i="27" s="1"/>
  <c r="AM35" i="27"/>
  <c r="AO35" i="27" s="1"/>
  <c r="AK45" i="27"/>
  <c r="AL45" i="27" s="1"/>
  <c r="AJ45" i="27"/>
  <c r="AM47" i="27"/>
  <c r="AO47" i="27" s="1"/>
  <c r="AM49" i="27"/>
  <c r="AO49" i="27" s="1"/>
  <c r="AK57" i="27"/>
  <c r="AL57" i="27" s="1"/>
  <c r="AJ57" i="27"/>
  <c r="AM61" i="27"/>
  <c r="AO61" i="27" s="1"/>
  <c r="AK62" i="27"/>
  <c r="AL62" i="27" s="1"/>
  <c r="AJ62" i="27"/>
  <c r="AM63" i="27"/>
  <c r="AO63" i="27" s="1"/>
  <c r="AM77" i="27"/>
  <c r="AO77" i="27" s="1"/>
  <c r="AM79" i="27"/>
  <c r="AO79" i="27" s="1"/>
  <c r="AK89" i="27"/>
  <c r="AL89" i="27" s="1"/>
  <c r="AJ89" i="27"/>
  <c r="AM93" i="27"/>
  <c r="AO93" i="27" s="1"/>
  <c r="AK94" i="27"/>
  <c r="AL94" i="27" s="1"/>
  <c r="AJ94" i="27"/>
  <c r="AM95" i="27"/>
  <c r="AO95" i="27" s="1"/>
  <c r="AJ105" i="27"/>
  <c r="AM109" i="27"/>
  <c r="AO109" i="27" s="1"/>
  <c r="AM116" i="27"/>
  <c r="AO116" i="27" s="1"/>
  <c r="AM132" i="27"/>
  <c r="AO132" i="27" s="1"/>
  <c r="AM148" i="27"/>
  <c r="AO148" i="27" s="1"/>
  <c r="AM164" i="27"/>
  <c r="AO164" i="27" s="1"/>
  <c r="AJ188" i="27"/>
  <c r="AK188" i="27"/>
  <c r="AL188" i="27" s="1"/>
  <c r="AM260" i="27"/>
  <c r="AO260" i="27" s="1"/>
  <c r="S106" i="26"/>
  <c r="T106" i="26" s="1"/>
  <c r="AT106" i="26"/>
  <c r="AV106" i="26" s="1"/>
  <c r="V109" i="26"/>
  <c r="S110" i="26"/>
  <c r="T110" i="26" s="1"/>
  <c r="AT110" i="26"/>
  <c r="AV110" i="26" s="1"/>
  <c r="V113" i="26"/>
  <c r="S114" i="26"/>
  <c r="T114" i="26" s="1"/>
  <c r="AT114" i="26"/>
  <c r="AV114" i="26" s="1"/>
  <c r="H117" i="26"/>
  <c r="V117" i="26"/>
  <c r="AC117" i="26"/>
  <c r="AI117" i="26"/>
  <c r="S118" i="26"/>
  <c r="T118" i="26" s="1"/>
  <c r="AT118" i="26"/>
  <c r="AV118" i="26" s="1"/>
  <c r="S120" i="26"/>
  <c r="T120" i="26" s="1"/>
  <c r="W121" i="26"/>
  <c r="AT121" i="26"/>
  <c r="AV121" i="26" s="1"/>
  <c r="I122" i="26"/>
  <c r="S122" i="26"/>
  <c r="T122" i="26" s="1"/>
  <c r="AT122" i="26"/>
  <c r="AV122" i="26" s="1"/>
  <c r="S124" i="26"/>
  <c r="T124" i="26" s="1"/>
  <c r="W125" i="26"/>
  <c r="AT125" i="26"/>
  <c r="AV125" i="26" s="1"/>
  <c r="I126" i="26"/>
  <c r="S126" i="26"/>
  <c r="T126" i="26" s="1"/>
  <c r="AT126" i="26"/>
  <c r="AV126" i="26" s="1"/>
  <c r="S128" i="26"/>
  <c r="T128" i="26" s="1"/>
  <c r="W129" i="26"/>
  <c r="AT129" i="26"/>
  <c r="AV129" i="26" s="1"/>
  <c r="I130" i="26"/>
  <c r="S130" i="26"/>
  <c r="T130" i="26" s="1"/>
  <c r="AT130" i="26"/>
  <c r="AV130" i="26" s="1"/>
  <c r="S132" i="26"/>
  <c r="T132" i="26" s="1"/>
  <c r="W133" i="26"/>
  <c r="AT133" i="26"/>
  <c r="AV133" i="26" s="1"/>
  <c r="I134" i="26"/>
  <c r="S134" i="26"/>
  <c r="T134" i="26" s="1"/>
  <c r="AT134" i="26"/>
  <c r="AV134" i="26" s="1"/>
  <c r="S136" i="26"/>
  <c r="T136" i="26" s="1"/>
  <c r="W137" i="26"/>
  <c r="AT137" i="26"/>
  <c r="AV137" i="26" s="1"/>
  <c r="I138" i="26"/>
  <c r="S138" i="26"/>
  <c r="T138" i="26" s="1"/>
  <c r="AT138" i="26"/>
  <c r="AV138" i="26" s="1"/>
  <c r="S140" i="26"/>
  <c r="T140" i="26" s="1"/>
  <c r="W141" i="26"/>
  <c r="AT141" i="26"/>
  <c r="AV141" i="26" s="1"/>
  <c r="S142" i="26"/>
  <c r="T142" i="26" s="1"/>
  <c r="AT142" i="26"/>
  <c r="AV142" i="26" s="1"/>
  <c r="W145" i="26"/>
  <c r="AT145" i="26"/>
  <c r="AV145" i="26" s="1"/>
  <c r="AT149" i="26"/>
  <c r="AV149" i="26" s="1"/>
  <c r="U151" i="26"/>
  <c r="W151" i="26"/>
  <c r="AM152" i="26"/>
  <c r="AN152" i="26" s="1"/>
  <c r="L152" i="26"/>
  <c r="M152" i="26" s="1"/>
  <c r="AT152" i="26"/>
  <c r="AV152" i="26" s="1"/>
  <c r="AD153" i="26"/>
  <c r="AB153" i="26"/>
  <c r="G155" i="26"/>
  <c r="I155" i="26"/>
  <c r="AH155" i="26"/>
  <c r="AJ155" i="26"/>
  <c r="W157" i="26"/>
  <c r="U157" i="26"/>
  <c r="AM158" i="26"/>
  <c r="AN158" i="26" s="1"/>
  <c r="L158" i="26"/>
  <c r="M158" i="26" s="1"/>
  <c r="S158" i="26"/>
  <c r="T158" i="26" s="1"/>
  <c r="AT159" i="26"/>
  <c r="AV159" i="26" s="1"/>
  <c r="I161" i="26"/>
  <c r="G161" i="26"/>
  <c r="AJ161" i="26"/>
  <c r="AH161" i="26"/>
  <c r="AB163" i="26"/>
  <c r="AD163" i="26"/>
  <c r="AT165" i="26"/>
  <c r="AV165" i="26" s="1"/>
  <c r="U167" i="26"/>
  <c r="W167" i="26"/>
  <c r="AM168" i="26"/>
  <c r="AN168" i="26" s="1"/>
  <c r="L168" i="26"/>
  <c r="M168" i="26" s="1"/>
  <c r="AT168" i="26"/>
  <c r="AV168" i="26" s="1"/>
  <c r="AD169" i="26"/>
  <c r="AB169" i="26"/>
  <c r="G171" i="26"/>
  <c r="I171" i="26"/>
  <c r="AH171" i="26"/>
  <c r="AJ171" i="26"/>
  <c r="W173" i="26"/>
  <c r="U173" i="26"/>
  <c r="AM174" i="26"/>
  <c r="AN174" i="26" s="1"/>
  <c r="L174" i="26"/>
  <c r="M174" i="26" s="1"/>
  <c r="S174" i="26"/>
  <c r="T174" i="26" s="1"/>
  <c r="AT175" i="26"/>
  <c r="AV175" i="26" s="1"/>
  <c r="I177" i="26"/>
  <c r="G177" i="26"/>
  <c r="AJ177" i="26"/>
  <c r="AH177" i="26"/>
  <c r="AB179" i="26"/>
  <c r="AD179" i="26"/>
  <c r="AT181" i="26"/>
  <c r="AV181" i="26" s="1"/>
  <c r="U183" i="26"/>
  <c r="W183" i="26"/>
  <c r="AM184" i="26"/>
  <c r="AN184" i="26" s="1"/>
  <c r="L184" i="26"/>
  <c r="M184" i="26" s="1"/>
  <c r="W185" i="26"/>
  <c r="U185" i="26"/>
  <c r="AM186" i="26"/>
  <c r="AN186" i="26" s="1"/>
  <c r="L186" i="26"/>
  <c r="M186" i="26" s="1"/>
  <c r="S186" i="26"/>
  <c r="T186" i="26" s="1"/>
  <c r="AT187" i="26"/>
  <c r="AV187" i="26" s="1"/>
  <c r="I189" i="26"/>
  <c r="G189" i="26"/>
  <c r="AJ189" i="26"/>
  <c r="AH189" i="26"/>
  <c r="AB191" i="26"/>
  <c r="AD191" i="26"/>
  <c r="AT193" i="26"/>
  <c r="AV193" i="26" s="1"/>
  <c r="U195" i="26"/>
  <c r="W195" i="26"/>
  <c r="AM196" i="26"/>
  <c r="AN196" i="26" s="1"/>
  <c r="L196" i="26"/>
  <c r="M196" i="26" s="1"/>
  <c r="W197" i="26"/>
  <c r="U197" i="26"/>
  <c r="AM198" i="26"/>
  <c r="AN198" i="26" s="1"/>
  <c r="L198" i="26"/>
  <c r="M198" i="26" s="1"/>
  <c r="S198" i="26"/>
  <c r="T198" i="26" s="1"/>
  <c r="AT199" i="26"/>
  <c r="AV199" i="26" s="1"/>
  <c r="I201" i="26"/>
  <c r="G201" i="26"/>
  <c r="AJ201" i="26"/>
  <c r="AH201" i="26"/>
  <c r="AB203" i="26"/>
  <c r="AD203" i="26"/>
  <c r="AT205" i="26"/>
  <c r="AV205" i="26" s="1"/>
  <c r="AT208" i="26"/>
  <c r="AV208" i="26" s="1"/>
  <c r="U210" i="26"/>
  <c r="W210" i="26"/>
  <c r="AM211" i="26"/>
  <c r="AN211" i="26" s="1"/>
  <c r="L211" i="26"/>
  <c r="M211" i="26" s="1"/>
  <c r="AT211" i="26"/>
  <c r="AV211" i="26" s="1"/>
  <c r="AD212" i="26"/>
  <c r="AB212" i="26"/>
  <c r="G214" i="26"/>
  <c r="I214" i="26"/>
  <c r="AH214" i="26"/>
  <c r="AJ214" i="26"/>
  <c r="W216" i="26"/>
  <c r="U216" i="26"/>
  <c r="AM217" i="26"/>
  <c r="AN217" i="26" s="1"/>
  <c r="L217" i="26"/>
  <c r="M217" i="26" s="1"/>
  <c r="S217" i="26"/>
  <c r="T217" i="26" s="1"/>
  <c r="AT218" i="26"/>
  <c r="AV218" i="26" s="1"/>
  <c r="I220" i="26"/>
  <c r="G220" i="26"/>
  <c r="AJ220" i="26"/>
  <c r="AH220" i="26"/>
  <c r="I223" i="26"/>
  <c r="G223" i="26"/>
  <c r="AJ223" i="26"/>
  <c r="AH223" i="26"/>
  <c r="AB225" i="26"/>
  <c r="AD225" i="26"/>
  <c r="AT227" i="26"/>
  <c r="AV227" i="26" s="1"/>
  <c r="W229" i="26"/>
  <c r="U229" i="26"/>
  <c r="AP229" i="26" s="1"/>
  <c r="AT230" i="26"/>
  <c r="AV230" i="26" s="1"/>
  <c r="S230" i="26"/>
  <c r="T230" i="26" s="1"/>
  <c r="W233" i="26"/>
  <c r="U233" i="26"/>
  <c r="AP233" i="26" s="1"/>
  <c r="AT234" i="26"/>
  <c r="AV234" i="26" s="1"/>
  <c r="S234" i="26"/>
  <c r="T234" i="26" s="1"/>
  <c r="W237" i="26"/>
  <c r="U237" i="26"/>
  <c r="AP237" i="26" s="1"/>
  <c r="AT238" i="26"/>
  <c r="AV238" i="26" s="1"/>
  <c r="S238" i="26"/>
  <c r="T238" i="26" s="1"/>
  <c r="W241" i="26"/>
  <c r="U241" i="26"/>
  <c r="AP241" i="26" s="1"/>
  <c r="AT242" i="26"/>
  <c r="AV242" i="26" s="1"/>
  <c r="S242" i="26"/>
  <c r="T242" i="26" s="1"/>
  <c r="W245" i="26"/>
  <c r="U245" i="26"/>
  <c r="AP245" i="26" s="1"/>
  <c r="AT246" i="26"/>
  <c r="AV246" i="26" s="1"/>
  <c r="S246" i="26"/>
  <c r="T246" i="26" s="1"/>
  <c r="W249" i="26"/>
  <c r="U249" i="26"/>
  <c r="AP249" i="26" s="1"/>
  <c r="AT250" i="26"/>
  <c r="AV250" i="26" s="1"/>
  <c r="S250" i="26"/>
  <c r="T250" i="26" s="1"/>
  <c r="W253" i="26"/>
  <c r="U253" i="26"/>
  <c r="AP253" i="26" s="1"/>
  <c r="AT254" i="26"/>
  <c r="AV254" i="26" s="1"/>
  <c r="S254" i="26"/>
  <c r="T254" i="26" s="1"/>
  <c r="U257" i="26"/>
  <c r="W257" i="26"/>
  <c r="AM258" i="26"/>
  <c r="AN258" i="26" s="1"/>
  <c r="L258" i="26"/>
  <c r="M258" i="26" s="1"/>
  <c r="AT258" i="26"/>
  <c r="AV258" i="26" s="1"/>
  <c r="AD259" i="26"/>
  <c r="AB259" i="26"/>
  <c r="G261" i="26"/>
  <c r="I261" i="26"/>
  <c r="AH261" i="26"/>
  <c r="AJ261" i="26"/>
  <c r="AM264" i="26"/>
  <c r="AN264" i="26" s="1"/>
  <c r="AM266" i="26"/>
  <c r="AN266" i="26" s="1"/>
  <c r="AT268" i="26"/>
  <c r="AV268" i="26" s="1"/>
  <c r="U270" i="26"/>
  <c r="AP270" i="26" s="1"/>
  <c r="W270" i="26"/>
  <c r="AT271" i="26"/>
  <c r="AV271" i="26" s="1"/>
  <c r="S271" i="26"/>
  <c r="T271" i="26" s="1"/>
  <c r="L273" i="26"/>
  <c r="M273" i="26" s="1"/>
  <c r="U274" i="26"/>
  <c r="AP274" i="26" s="1"/>
  <c r="W274" i="26"/>
  <c r="AT275" i="26"/>
  <c r="AV275" i="26" s="1"/>
  <c r="S275" i="26"/>
  <c r="T275" i="26" s="1"/>
  <c r="L277" i="26"/>
  <c r="M277" i="26" s="1"/>
  <c r="U278" i="26"/>
  <c r="AP278" i="26" s="1"/>
  <c r="W278" i="26"/>
  <c r="AT279" i="26"/>
  <c r="AV279" i="26" s="1"/>
  <c r="S279" i="26"/>
  <c r="T279" i="26" s="1"/>
  <c r="U282" i="26"/>
  <c r="AP282" i="26" s="1"/>
  <c r="W282" i="26"/>
  <c r="AT283" i="26"/>
  <c r="AV283" i="26" s="1"/>
  <c r="S283" i="26"/>
  <c r="T283" i="26" s="1"/>
  <c r="U286" i="26"/>
  <c r="AP286" i="26" s="1"/>
  <c r="W286" i="26"/>
  <c r="AT287" i="26"/>
  <c r="AV287" i="26" s="1"/>
  <c r="S287" i="26"/>
  <c r="T287" i="26" s="1"/>
  <c r="U290" i="26"/>
  <c r="AP290" i="26" s="1"/>
  <c r="W290" i="26"/>
  <c r="AT291" i="26"/>
  <c r="AV291" i="26" s="1"/>
  <c r="S291" i="26"/>
  <c r="T291" i="26" s="1"/>
  <c r="U294" i="26"/>
  <c r="AP294" i="26" s="1"/>
  <c r="W294" i="26"/>
  <c r="AT295" i="26"/>
  <c r="AV295" i="26" s="1"/>
  <c r="S295" i="26"/>
  <c r="T295" i="26" s="1"/>
  <c r="U298" i="26"/>
  <c r="AP298" i="26" s="1"/>
  <c r="W298" i="26"/>
  <c r="AT299" i="26"/>
  <c r="AV299" i="26" s="1"/>
  <c r="S299" i="26"/>
  <c r="T299" i="26" s="1"/>
  <c r="U302" i="26"/>
  <c r="AP302" i="26" s="1"/>
  <c r="W302" i="26"/>
  <c r="AT303" i="26"/>
  <c r="AV303" i="26" s="1"/>
  <c r="S303" i="26"/>
  <c r="T303" i="26" s="1"/>
  <c r="U306" i="26"/>
  <c r="AP306" i="26" s="1"/>
  <c r="W306" i="26"/>
  <c r="AT307" i="26"/>
  <c r="AV307" i="26" s="1"/>
  <c r="S307" i="26"/>
  <c r="T307" i="26" s="1"/>
  <c r="L309" i="26"/>
  <c r="M309" i="26" s="1"/>
  <c r="U310" i="26"/>
  <c r="AP310" i="26" s="1"/>
  <c r="W310" i="26"/>
  <c r="AT311" i="26"/>
  <c r="AV311" i="26" s="1"/>
  <c r="S311" i="26"/>
  <c r="T311" i="26" s="1"/>
  <c r="L313" i="26"/>
  <c r="M313" i="26" s="1"/>
  <c r="U314" i="26"/>
  <c r="AP314" i="26" s="1"/>
  <c r="W314" i="26"/>
  <c r="AT315" i="26"/>
  <c r="AV315" i="26" s="1"/>
  <c r="S315" i="26"/>
  <c r="T315" i="26" s="1"/>
  <c r="AM323" i="26"/>
  <c r="AN323" i="26" s="1"/>
  <c r="L323" i="26"/>
  <c r="M323" i="26" s="1"/>
  <c r="W326" i="26"/>
  <c r="U326" i="26"/>
  <c r="W330" i="26"/>
  <c r="U330" i="26"/>
  <c r="W334" i="26"/>
  <c r="U334" i="26"/>
  <c r="AT336" i="26"/>
  <c r="AV336" i="26" s="1"/>
  <c r="AH336" i="26"/>
  <c r="AJ336" i="26"/>
  <c r="AI336" i="26"/>
  <c r="AP337" i="26"/>
  <c r="AT338" i="26"/>
  <c r="AV338" i="26" s="1"/>
  <c r="AT341" i="26"/>
  <c r="AV341" i="26" s="1"/>
  <c r="S341" i="26"/>
  <c r="T341" i="26" s="1"/>
  <c r="AM341" i="26"/>
  <c r="AN341" i="26" s="1"/>
  <c r="AT342" i="26"/>
  <c r="AV342" i="26" s="1"/>
  <c r="AT345" i="26"/>
  <c r="AV345" i="26" s="1"/>
  <c r="S345" i="26"/>
  <c r="T345" i="26" s="1"/>
  <c r="AM345" i="26"/>
  <c r="AN345" i="26" s="1"/>
  <c r="AT346" i="26"/>
  <c r="AV346" i="26" s="1"/>
  <c r="AQ347" i="26"/>
  <c r="V348" i="26"/>
  <c r="AT349" i="26"/>
  <c r="AV349" i="26" s="1"/>
  <c r="S349" i="26"/>
  <c r="T349" i="26" s="1"/>
  <c r="AM349" i="26"/>
  <c r="AN349" i="26" s="1"/>
  <c r="AT350" i="26"/>
  <c r="AV350" i="26" s="1"/>
  <c r="AQ351" i="26"/>
  <c r="V352" i="26"/>
  <c r="AT353" i="26"/>
  <c r="AV353" i="26" s="1"/>
  <c r="S353" i="26"/>
  <c r="T353" i="26" s="1"/>
  <c r="AM353" i="26"/>
  <c r="AN353" i="26" s="1"/>
  <c r="AT354" i="26"/>
  <c r="AV354" i="26" s="1"/>
  <c r="AQ355" i="26"/>
  <c r="V356" i="26"/>
  <c r="AT357" i="26"/>
  <c r="AV357" i="26" s="1"/>
  <c r="S357" i="26"/>
  <c r="T357" i="26" s="1"/>
  <c r="AM357" i="26"/>
  <c r="AN357" i="26" s="1"/>
  <c r="AT358" i="26"/>
  <c r="AV358" i="26" s="1"/>
  <c r="W5" i="27"/>
  <c r="Y5" i="27"/>
  <c r="X5" i="27"/>
  <c r="AI6" i="27"/>
  <c r="S7" i="27"/>
  <c r="Q7" i="27"/>
  <c r="AC9" i="27"/>
  <c r="AE9" i="27"/>
  <c r="AD9" i="27"/>
  <c r="W17" i="27"/>
  <c r="Y17" i="27"/>
  <c r="X17" i="27"/>
  <c r="X19" i="27"/>
  <c r="W25" i="27"/>
  <c r="Y25" i="27"/>
  <c r="X25" i="27"/>
  <c r="X27" i="27"/>
  <c r="S31" i="27"/>
  <c r="Q31" i="27"/>
  <c r="AJ32" i="27"/>
  <c r="AK32" i="27"/>
  <c r="AL32" i="27" s="1"/>
  <c r="AI41" i="27"/>
  <c r="AM43" i="27"/>
  <c r="AO43" i="27" s="1"/>
  <c r="AM45" i="27"/>
  <c r="AO45" i="27" s="1"/>
  <c r="AI53" i="27"/>
  <c r="AM57" i="27"/>
  <c r="AO57" i="27" s="1"/>
  <c r="AM59" i="27"/>
  <c r="AO59" i="27" s="1"/>
  <c r="AI69" i="27"/>
  <c r="AM73" i="27"/>
  <c r="AO73" i="27" s="1"/>
  <c r="AM75" i="27"/>
  <c r="AO75" i="27" s="1"/>
  <c r="AI85" i="27"/>
  <c r="AM89" i="27"/>
  <c r="AO89" i="27" s="1"/>
  <c r="AM91" i="27"/>
  <c r="AO91" i="27" s="1"/>
  <c r="AI101" i="27"/>
  <c r="AM105" i="27"/>
  <c r="AO105" i="27" s="1"/>
  <c r="AK106" i="27"/>
  <c r="AL106" i="27" s="1"/>
  <c r="AJ106" i="27"/>
  <c r="AM107" i="27"/>
  <c r="AO107" i="27" s="1"/>
  <c r="AM120" i="27"/>
  <c r="AO120" i="27" s="1"/>
  <c r="AM136" i="27"/>
  <c r="AO136" i="27" s="1"/>
  <c r="AM152" i="27"/>
  <c r="AO152" i="27" s="1"/>
  <c r="AJ170" i="27"/>
  <c r="AJ262" i="27"/>
  <c r="AK262" i="27"/>
  <c r="AL262" i="27" s="1"/>
  <c r="AJ263" i="27"/>
  <c r="AJ265" i="27"/>
  <c r="AK265" i="27"/>
  <c r="AL265" i="27" s="1"/>
  <c r="AJ267" i="27"/>
  <c r="AK267" i="27"/>
  <c r="AL267" i="27" s="1"/>
  <c r="S61" i="26"/>
  <c r="T61" i="26" s="1"/>
  <c r="S65" i="26"/>
  <c r="T65" i="26" s="1"/>
  <c r="S69" i="26"/>
  <c r="T69" i="26" s="1"/>
  <c r="S73" i="26"/>
  <c r="T73" i="26" s="1"/>
  <c r="S77" i="26"/>
  <c r="T77" i="26" s="1"/>
  <c r="S81" i="26"/>
  <c r="T81" i="26" s="1"/>
  <c r="S85" i="26"/>
  <c r="T85" i="26" s="1"/>
  <c r="S89" i="26"/>
  <c r="T89" i="26" s="1"/>
  <c r="S93" i="26"/>
  <c r="T93" i="26" s="1"/>
  <c r="S97" i="26"/>
  <c r="T97" i="26" s="1"/>
  <c r="S101" i="26"/>
  <c r="T101" i="26" s="1"/>
  <c r="S105" i="26"/>
  <c r="T105" i="26" s="1"/>
  <c r="L106" i="26"/>
  <c r="M106" i="26" s="1"/>
  <c r="S109" i="26"/>
  <c r="T109" i="26" s="1"/>
  <c r="L110" i="26"/>
  <c r="M110" i="26" s="1"/>
  <c r="S113" i="26"/>
  <c r="T113" i="26" s="1"/>
  <c r="L114" i="26"/>
  <c r="M114" i="26" s="1"/>
  <c r="U115" i="26"/>
  <c r="AP115" i="26" s="1"/>
  <c r="S117" i="26"/>
  <c r="T117" i="26" s="1"/>
  <c r="L118" i="26"/>
  <c r="M118" i="26" s="1"/>
  <c r="U119" i="26"/>
  <c r="AP119" i="26" s="1"/>
  <c r="H121" i="26"/>
  <c r="AI121" i="26"/>
  <c r="L122" i="26"/>
  <c r="M122" i="26" s="1"/>
  <c r="AB122" i="26"/>
  <c r="AP122" i="26" s="1"/>
  <c r="AB123" i="26"/>
  <c r="AP123" i="26" s="1"/>
  <c r="H125" i="26"/>
  <c r="AI125" i="26"/>
  <c r="L126" i="26"/>
  <c r="M126" i="26" s="1"/>
  <c r="AB126" i="26"/>
  <c r="AP126" i="26" s="1"/>
  <c r="AB127" i="26"/>
  <c r="H129" i="26"/>
  <c r="AI129" i="26"/>
  <c r="L130" i="26"/>
  <c r="M130" i="26" s="1"/>
  <c r="AB130" i="26"/>
  <c r="AB131" i="26"/>
  <c r="AP131" i="26" s="1"/>
  <c r="H133" i="26"/>
  <c r="AI133" i="26"/>
  <c r="L134" i="26"/>
  <c r="M134" i="26" s="1"/>
  <c r="AB134" i="26"/>
  <c r="AB135" i="26"/>
  <c r="AP135" i="26" s="1"/>
  <c r="H137" i="26"/>
  <c r="AI137" i="26"/>
  <c r="L138" i="26"/>
  <c r="M138" i="26" s="1"/>
  <c r="AB138" i="26"/>
  <c r="AB139" i="26"/>
  <c r="AP139" i="26" s="1"/>
  <c r="H141" i="26"/>
  <c r="S141" i="26"/>
  <c r="T141" i="26" s="1"/>
  <c r="AI141" i="26"/>
  <c r="L142" i="26"/>
  <c r="M142" i="26" s="1"/>
  <c r="AB142" i="26"/>
  <c r="AP142" i="26" s="1"/>
  <c r="AB143" i="26"/>
  <c r="H145" i="26"/>
  <c r="S145" i="26"/>
  <c r="T145" i="26" s="1"/>
  <c r="AI145" i="26"/>
  <c r="L146" i="26"/>
  <c r="M146" i="26" s="1"/>
  <c r="AB146" i="26"/>
  <c r="AP146" i="26" s="1"/>
  <c r="AB147" i="26"/>
  <c r="AD149" i="26"/>
  <c r="AB149" i="26"/>
  <c r="G151" i="26"/>
  <c r="I151" i="26"/>
  <c r="AH151" i="26"/>
  <c r="AJ151" i="26"/>
  <c r="S152" i="26"/>
  <c r="T152" i="26" s="1"/>
  <c r="W153" i="26"/>
  <c r="U153" i="26"/>
  <c r="AC153" i="26"/>
  <c r="AM154" i="26"/>
  <c r="AN154" i="26" s="1"/>
  <c r="L154" i="26"/>
  <c r="M154" i="26" s="1"/>
  <c r="S154" i="26"/>
  <c r="T154" i="26" s="1"/>
  <c r="AT155" i="26"/>
  <c r="AV155" i="26" s="1"/>
  <c r="H155" i="26"/>
  <c r="AI155" i="26"/>
  <c r="I157" i="26"/>
  <c r="G157" i="26"/>
  <c r="AJ157" i="26"/>
  <c r="AH157" i="26"/>
  <c r="AT158" i="26"/>
  <c r="AV158" i="26" s="1"/>
  <c r="AB159" i="26"/>
  <c r="AD159" i="26"/>
  <c r="AT161" i="26"/>
  <c r="AV161" i="26" s="1"/>
  <c r="H161" i="26"/>
  <c r="AI161" i="26"/>
  <c r="U163" i="26"/>
  <c r="W163" i="26"/>
  <c r="AC163" i="26"/>
  <c r="AM164" i="26"/>
  <c r="AN164" i="26" s="1"/>
  <c r="L164" i="26"/>
  <c r="M164" i="26" s="1"/>
  <c r="AT164" i="26"/>
  <c r="AV164" i="26" s="1"/>
  <c r="AD165" i="26"/>
  <c r="AB165" i="26"/>
  <c r="G167" i="26"/>
  <c r="I167" i="26"/>
  <c r="AH167" i="26"/>
  <c r="AJ167" i="26"/>
  <c r="S168" i="26"/>
  <c r="T168" i="26" s="1"/>
  <c r="W169" i="26"/>
  <c r="U169" i="26"/>
  <c r="AC169" i="26"/>
  <c r="AM170" i="26"/>
  <c r="AN170" i="26" s="1"/>
  <c r="L170" i="26"/>
  <c r="M170" i="26" s="1"/>
  <c r="S170" i="26"/>
  <c r="T170" i="26" s="1"/>
  <c r="AT171" i="26"/>
  <c r="AV171" i="26" s="1"/>
  <c r="H171" i="26"/>
  <c r="AI171" i="26"/>
  <c r="I173" i="26"/>
  <c r="G173" i="26"/>
  <c r="AJ173" i="26"/>
  <c r="AH173" i="26"/>
  <c r="AP173" i="26" s="1"/>
  <c r="AT174" i="26"/>
  <c r="AV174" i="26" s="1"/>
  <c r="AB175" i="26"/>
  <c r="AD175" i="26"/>
  <c r="AT177" i="26"/>
  <c r="AV177" i="26" s="1"/>
  <c r="H177" i="26"/>
  <c r="AI177" i="26"/>
  <c r="U179" i="26"/>
  <c r="W179" i="26"/>
  <c r="AC179" i="26"/>
  <c r="AM180" i="26"/>
  <c r="AN180" i="26" s="1"/>
  <c r="L180" i="26"/>
  <c r="M180" i="26" s="1"/>
  <c r="AT180" i="26"/>
  <c r="AV180" i="26" s="1"/>
  <c r="AD181" i="26"/>
  <c r="AB181" i="26"/>
  <c r="G183" i="26"/>
  <c r="I183" i="26"/>
  <c r="AH183" i="26"/>
  <c r="AJ183" i="26"/>
  <c r="S184" i="26"/>
  <c r="T184" i="26" s="1"/>
  <c r="I185" i="26"/>
  <c r="G185" i="26"/>
  <c r="AJ185" i="26"/>
  <c r="AH185" i="26"/>
  <c r="AT186" i="26"/>
  <c r="AV186" i="26" s="1"/>
  <c r="AB187" i="26"/>
  <c r="AD187" i="26"/>
  <c r="AT189" i="26"/>
  <c r="AV189" i="26" s="1"/>
  <c r="U191" i="26"/>
  <c r="W191" i="26"/>
  <c r="AM192" i="26"/>
  <c r="AN192" i="26" s="1"/>
  <c r="L192" i="26"/>
  <c r="M192" i="26" s="1"/>
  <c r="AT192" i="26"/>
  <c r="AV192" i="26" s="1"/>
  <c r="AD193" i="26"/>
  <c r="AB193" i="26"/>
  <c r="G195" i="26"/>
  <c r="I195" i="26"/>
  <c r="AH195" i="26"/>
  <c r="AJ195" i="26"/>
  <c r="I197" i="26"/>
  <c r="G197" i="26"/>
  <c r="AJ197" i="26"/>
  <c r="AH197" i="26"/>
  <c r="AB199" i="26"/>
  <c r="AD199" i="26"/>
  <c r="AT201" i="26"/>
  <c r="AV201" i="26" s="1"/>
  <c r="U203" i="26"/>
  <c r="W203" i="26"/>
  <c r="AM204" i="26"/>
  <c r="AN204" i="26" s="1"/>
  <c r="L204" i="26"/>
  <c r="M204" i="26" s="1"/>
  <c r="AT204" i="26"/>
  <c r="AV204" i="26" s="1"/>
  <c r="AD205" i="26"/>
  <c r="AB205" i="26"/>
  <c r="U206" i="26"/>
  <c r="AP206" i="26" s="1"/>
  <c r="W206" i="26"/>
  <c r="AM207" i="26"/>
  <c r="AN207" i="26" s="1"/>
  <c r="L207" i="26"/>
  <c r="M207" i="26" s="1"/>
  <c r="AT207" i="26"/>
  <c r="AV207" i="26" s="1"/>
  <c r="AD208" i="26"/>
  <c r="AB208" i="26"/>
  <c r="G210" i="26"/>
  <c r="I210" i="26"/>
  <c r="AH210" i="26"/>
  <c r="AJ210" i="26"/>
  <c r="W212" i="26"/>
  <c r="U212" i="26"/>
  <c r="AM213" i="26"/>
  <c r="AN213" i="26" s="1"/>
  <c r="L213" i="26"/>
  <c r="M213" i="26" s="1"/>
  <c r="S213" i="26"/>
  <c r="T213" i="26" s="1"/>
  <c r="AT214" i="26"/>
  <c r="AV214" i="26" s="1"/>
  <c r="I216" i="26"/>
  <c r="G216" i="26"/>
  <c r="AJ216" i="26"/>
  <c r="AH216" i="26"/>
  <c r="AB218" i="26"/>
  <c r="AD218" i="26"/>
  <c r="AT220" i="26"/>
  <c r="AV220" i="26" s="1"/>
  <c r="AT223" i="26"/>
  <c r="AV223" i="26" s="1"/>
  <c r="U225" i="26"/>
  <c r="W225" i="26"/>
  <c r="AM226" i="26"/>
  <c r="AN226" i="26" s="1"/>
  <c r="L226" i="26"/>
  <c r="M226" i="26" s="1"/>
  <c r="AT226" i="26"/>
  <c r="AV226" i="26" s="1"/>
  <c r="AD227" i="26"/>
  <c r="AB227" i="26"/>
  <c r="U228" i="26"/>
  <c r="AP228" i="26" s="1"/>
  <c r="W228" i="26"/>
  <c r="AT229" i="26"/>
  <c r="AV229" i="26" s="1"/>
  <c r="S229" i="26"/>
  <c r="T229" i="26" s="1"/>
  <c r="U232" i="26"/>
  <c r="AP232" i="26" s="1"/>
  <c r="W232" i="26"/>
  <c r="AT233" i="26"/>
  <c r="AV233" i="26" s="1"/>
  <c r="S233" i="26"/>
  <c r="T233" i="26" s="1"/>
  <c r="U236" i="26"/>
  <c r="AP236" i="26" s="1"/>
  <c r="W236" i="26"/>
  <c r="AT237" i="26"/>
  <c r="AV237" i="26" s="1"/>
  <c r="S237" i="26"/>
  <c r="T237" i="26" s="1"/>
  <c r="U240" i="26"/>
  <c r="AP240" i="26" s="1"/>
  <c r="W240" i="26"/>
  <c r="AT241" i="26"/>
  <c r="AV241" i="26" s="1"/>
  <c r="S241" i="26"/>
  <c r="T241" i="26" s="1"/>
  <c r="U244" i="26"/>
  <c r="AP244" i="26" s="1"/>
  <c r="W244" i="26"/>
  <c r="AT245" i="26"/>
  <c r="AV245" i="26" s="1"/>
  <c r="S245" i="26"/>
  <c r="T245" i="26" s="1"/>
  <c r="U248" i="26"/>
  <c r="AP248" i="26" s="1"/>
  <c r="W248" i="26"/>
  <c r="AT249" i="26"/>
  <c r="AV249" i="26" s="1"/>
  <c r="S249" i="26"/>
  <c r="T249" i="26" s="1"/>
  <c r="U252" i="26"/>
  <c r="AP252" i="26" s="1"/>
  <c r="W252" i="26"/>
  <c r="AT253" i="26"/>
  <c r="AV253" i="26" s="1"/>
  <c r="S253" i="26"/>
  <c r="T253" i="26" s="1"/>
  <c r="G257" i="26"/>
  <c r="I257" i="26"/>
  <c r="AH257" i="26"/>
  <c r="AJ257" i="26"/>
  <c r="W259" i="26"/>
  <c r="U259" i="26"/>
  <c r="AM260" i="26"/>
  <c r="AN260" i="26" s="1"/>
  <c r="L260" i="26"/>
  <c r="M260" i="26" s="1"/>
  <c r="S260" i="26"/>
  <c r="T260" i="26" s="1"/>
  <c r="AT261" i="26"/>
  <c r="AV261" i="26" s="1"/>
  <c r="AB268" i="26"/>
  <c r="AD268" i="26"/>
  <c r="W269" i="26"/>
  <c r="U269" i="26"/>
  <c r="AP269" i="26" s="1"/>
  <c r="AT270" i="26"/>
  <c r="AV270" i="26" s="1"/>
  <c r="S270" i="26"/>
  <c r="T270" i="26" s="1"/>
  <c r="W273" i="26"/>
  <c r="U273" i="26"/>
  <c r="AP273" i="26" s="1"/>
  <c r="AT274" i="26"/>
  <c r="AV274" i="26" s="1"/>
  <c r="S274" i="26"/>
  <c r="T274" i="26" s="1"/>
  <c r="W277" i="26"/>
  <c r="U277" i="26"/>
  <c r="AP277" i="26" s="1"/>
  <c r="AT278" i="26"/>
  <c r="AV278" i="26" s="1"/>
  <c r="S278" i="26"/>
  <c r="T278" i="26" s="1"/>
  <c r="W281" i="26"/>
  <c r="U281" i="26"/>
  <c r="AP281" i="26" s="1"/>
  <c r="AT282" i="26"/>
  <c r="AV282" i="26" s="1"/>
  <c r="S282" i="26"/>
  <c r="T282" i="26" s="1"/>
  <c r="W285" i="26"/>
  <c r="U285" i="26"/>
  <c r="AP285" i="26" s="1"/>
  <c r="AT286" i="26"/>
  <c r="AV286" i="26" s="1"/>
  <c r="S286" i="26"/>
  <c r="T286" i="26" s="1"/>
  <c r="W289" i="26"/>
  <c r="U289" i="26"/>
  <c r="AP289" i="26" s="1"/>
  <c r="AT290" i="26"/>
  <c r="AV290" i="26" s="1"/>
  <c r="S290" i="26"/>
  <c r="T290" i="26" s="1"/>
  <c r="V291" i="26"/>
  <c r="L292" i="26"/>
  <c r="M292" i="26" s="1"/>
  <c r="AM292" i="26"/>
  <c r="AN292" i="26" s="1"/>
  <c r="W293" i="26"/>
  <c r="U293" i="26"/>
  <c r="AP293" i="26" s="1"/>
  <c r="AT294" i="26"/>
  <c r="AV294" i="26" s="1"/>
  <c r="S294" i="26"/>
  <c r="T294" i="26" s="1"/>
  <c r="V295" i="26"/>
  <c r="L296" i="26"/>
  <c r="M296" i="26" s="1"/>
  <c r="AM296" i="26"/>
  <c r="AN296" i="26" s="1"/>
  <c r="W297" i="26"/>
  <c r="U297" i="26"/>
  <c r="AP297" i="26" s="1"/>
  <c r="AT298" i="26"/>
  <c r="AV298" i="26" s="1"/>
  <c r="S298" i="26"/>
  <c r="T298" i="26" s="1"/>
  <c r="V299" i="26"/>
  <c r="L300" i="26"/>
  <c r="M300" i="26" s="1"/>
  <c r="AM300" i="26"/>
  <c r="AN300" i="26" s="1"/>
  <c r="W301" i="26"/>
  <c r="U301" i="26"/>
  <c r="AP301" i="26" s="1"/>
  <c r="AT302" i="26"/>
  <c r="AV302" i="26" s="1"/>
  <c r="S302" i="26"/>
  <c r="T302" i="26" s="1"/>
  <c r="V303" i="26"/>
  <c r="L304" i="26"/>
  <c r="M304" i="26" s="1"/>
  <c r="AM304" i="26"/>
  <c r="AN304" i="26" s="1"/>
  <c r="W305" i="26"/>
  <c r="U305" i="26"/>
  <c r="AP305" i="26" s="1"/>
  <c r="AT306" i="26"/>
  <c r="AV306" i="26" s="1"/>
  <c r="S306" i="26"/>
  <c r="T306" i="26" s="1"/>
  <c r="V307" i="26"/>
  <c r="L308" i="26"/>
  <c r="M308" i="26" s="1"/>
  <c r="AM308" i="26"/>
  <c r="AN308" i="26" s="1"/>
  <c r="W309" i="26"/>
  <c r="U309" i="26"/>
  <c r="AP309" i="26" s="1"/>
  <c r="AT310" i="26"/>
  <c r="AV310" i="26" s="1"/>
  <c r="S310" i="26"/>
  <c r="T310" i="26" s="1"/>
  <c r="W313" i="26"/>
  <c r="U313" i="26"/>
  <c r="AP313" i="26" s="1"/>
  <c r="AT314" i="26"/>
  <c r="AV314" i="26" s="1"/>
  <c r="S314" i="26"/>
  <c r="T314" i="26" s="1"/>
  <c r="AP317" i="26"/>
  <c r="AT318" i="26"/>
  <c r="AV318" i="26" s="1"/>
  <c r="G320" i="26"/>
  <c r="I320" i="26"/>
  <c r="H320" i="26"/>
  <c r="AB320" i="26"/>
  <c r="AD320" i="26"/>
  <c r="AC320" i="26"/>
  <c r="AT323" i="26"/>
  <c r="AV323" i="26" s="1"/>
  <c r="V326" i="26"/>
  <c r="AM327" i="26"/>
  <c r="AN327" i="26" s="1"/>
  <c r="L327" i="26"/>
  <c r="M327" i="26" s="1"/>
  <c r="AT327" i="26"/>
  <c r="AV327" i="26" s="1"/>
  <c r="V330" i="26"/>
  <c r="AM331" i="26"/>
  <c r="AN331" i="26" s="1"/>
  <c r="L331" i="26"/>
  <c r="M331" i="26" s="1"/>
  <c r="AT331" i="26"/>
  <c r="AV331" i="26" s="1"/>
  <c r="V334" i="26"/>
  <c r="AM335" i="26"/>
  <c r="AN335" i="26" s="1"/>
  <c r="L335" i="26"/>
  <c r="M335" i="26" s="1"/>
  <c r="W338" i="26"/>
  <c r="U338" i="26"/>
  <c r="L341" i="26"/>
  <c r="M341" i="26" s="1"/>
  <c r="AP341" i="26"/>
  <c r="W342" i="26"/>
  <c r="U342" i="26"/>
  <c r="AP342" i="26" s="1"/>
  <c r="L345" i="26"/>
  <c r="M345" i="26" s="1"/>
  <c r="AP345" i="26"/>
  <c r="W346" i="26"/>
  <c r="U346" i="26"/>
  <c r="AP346" i="26" s="1"/>
  <c r="L349" i="26"/>
  <c r="M349" i="26" s="1"/>
  <c r="AP349" i="26"/>
  <c r="W350" i="26"/>
  <c r="U350" i="26"/>
  <c r="AP350" i="26" s="1"/>
  <c r="L353" i="26"/>
  <c r="M353" i="26" s="1"/>
  <c r="AP353" i="26"/>
  <c r="W354" i="26"/>
  <c r="U354" i="26"/>
  <c r="AP354" i="26" s="1"/>
  <c r="W358" i="26"/>
  <c r="U358" i="26"/>
  <c r="AP358" i="26" s="1"/>
  <c r="S3" i="27"/>
  <c r="Q3" i="27"/>
  <c r="AC5" i="27"/>
  <c r="AE5" i="27"/>
  <c r="AD5" i="27"/>
  <c r="G13" i="27"/>
  <c r="I13" i="27"/>
  <c r="H13" i="27"/>
  <c r="AI14" i="27"/>
  <c r="S15" i="27"/>
  <c r="Q15" i="27"/>
  <c r="Y15" i="27"/>
  <c r="AC17" i="27"/>
  <c r="AE17" i="27"/>
  <c r="AD17" i="27"/>
  <c r="G21" i="27"/>
  <c r="I21" i="27"/>
  <c r="H21" i="27"/>
  <c r="AI22" i="27"/>
  <c r="S23" i="27"/>
  <c r="Q23" i="27"/>
  <c r="Y23" i="27"/>
  <c r="AC25" i="27"/>
  <c r="AE25" i="27"/>
  <c r="AD25" i="27"/>
  <c r="AK26" i="27"/>
  <c r="AL26" i="27" s="1"/>
  <c r="AM28" i="27"/>
  <c r="AO28" i="27" s="1"/>
  <c r="AM32" i="27"/>
  <c r="AO32" i="27" s="1"/>
  <c r="AI37" i="27"/>
  <c r="AM41" i="27"/>
  <c r="AO41" i="27" s="1"/>
  <c r="AM53" i="27"/>
  <c r="AO53" i="27" s="1"/>
  <c r="AM55" i="27"/>
  <c r="AO55" i="27" s="1"/>
  <c r="AI65" i="27"/>
  <c r="AM69" i="27"/>
  <c r="AO69" i="27" s="1"/>
  <c r="AM71" i="27"/>
  <c r="AO71" i="27" s="1"/>
  <c r="AI81" i="27"/>
  <c r="AM85" i="27"/>
  <c r="AO85" i="27" s="1"/>
  <c r="AM87" i="27"/>
  <c r="AO87" i="27" s="1"/>
  <c r="AI97" i="27"/>
  <c r="AM101" i="27"/>
  <c r="AO101" i="27" s="1"/>
  <c r="AM103" i="27"/>
  <c r="AO103" i="27" s="1"/>
  <c r="AM124" i="27"/>
  <c r="AO124" i="27" s="1"/>
  <c r="AM140" i="27"/>
  <c r="AO140" i="27" s="1"/>
  <c r="AK141" i="27"/>
  <c r="AL141" i="27" s="1"/>
  <c r="AM156" i="27"/>
  <c r="AO156" i="27" s="1"/>
  <c r="AM213" i="27"/>
  <c r="AO213" i="27" s="1"/>
  <c r="S116" i="26"/>
  <c r="T116" i="26" s="1"/>
  <c r="AM120" i="26"/>
  <c r="AN120" i="26" s="1"/>
  <c r="L120" i="26"/>
  <c r="M120" i="26" s="1"/>
  <c r="AM122" i="26"/>
  <c r="AN122" i="26" s="1"/>
  <c r="AM124" i="26"/>
  <c r="AN124" i="26" s="1"/>
  <c r="L124" i="26"/>
  <c r="M124" i="26" s="1"/>
  <c r="AM126" i="26"/>
  <c r="AN126" i="26" s="1"/>
  <c r="AM128" i="26"/>
  <c r="AN128" i="26" s="1"/>
  <c r="L128" i="26"/>
  <c r="M128" i="26" s="1"/>
  <c r="AM130" i="26"/>
  <c r="AN130" i="26" s="1"/>
  <c r="AM132" i="26"/>
  <c r="AN132" i="26" s="1"/>
  <c r="L132" i="26"/>
  <c r="M132" i="26" s="1"/>
  <c r="AM134" i="26"/>
  <c r="AN134" i="26" s="1"/>
  <c r="AM136" i="26"/>
  <c r="AN136" i="26" s="1"/>
  <c r="L136" i="26"/>
  <c r="M136" i="26" s="1"/>
  <c r="AM138" i="26"/>
  <c r="AN138" i="26" s="1"/>
  <c r="AM140" i="26"/>
  <c r="AN140" i="26" s="1"/>
  <c r="L140" i="26"/>
  <c r="M140" i="26" s="1"/>
  <c r="AD142" i="26"/>
  <c r="AM142" i="26"/>
  <c r="AN142" i="26" s="1"/>
  <c r="U143" i="26"/>
  <c r="AC143" i="26"/>
  <c r="AM144" i="26"/>
  <c r="AN144" i="26" s="1"/>
  <c r="L144" i="26"/>
  <c r="M144" i="26" s="1"/>
  <c r="I145" i="26"/>
  <c r="AJ145" i="26"/>
  <c r="AD146" i="26"/>
  <c r="AM146" i="26"/>
  <c r="AN146" i="26" s="1"/>
  <c r="U147" i="26"/>
  <c r="AC147" i="26"/>
  <c r="AM148" i="26"/>
  <c r="AN148" i="26" s="1"/>
  <c r="L148" i="26"/>
  <c r="M148" i="26" s="1"/>
  <c r="W149" i="26"/>
  <c r="U149" i="26"/>
  <c r="AC149" i="26"/>
  <c r="AM150" i="26"/>
  <c r="AN150" i="26" s="1"/>
  <c r="L150" i="26"/>
  <c r="M150" i="26" s="1"/>
  <c r="S150" i="26"/>
  <c r="T150" i="26" s="1"/>
  <c r="AT151" i="26"/>
  <c r="AV151" i="26" s="1"/>
  <c r="H151" i="26"/>
  <c r="V151" i="26"/>
  <c r="AI151" i="26"/>
  <c r="I153" i="26"/>
  <c r="G153" i="26"/>
  <c r="AJ153" i="26"/>
  <c r="AH153" i="26"/>
  <c r="AT154" i="26"/>
  <c r="AV154" i="26" s="1"/>
  <c r="AB155" i="26"/>
  <c r="AD155" i="26"/>
  <c r="AT157" i="26"/>
  <c r="AV157" i="26" s="1"/>
  <c r="H157" i="26"/>
  <c r="V157" i="26"/>
  <c r="AI157" i="26"/>
  <c r="U159" i="26"/>
  <c r="W159" i="26"/>
  <c r="AC159" i="26"/>
  <c r="AM160" i="26"/>
  <c r="AN160" i="26" s="1"/>
  <c r="L160" i="26"/>
  <c r="M160" i="26" s="1"/>
  <c r="AT160" i="26"/>
  <c r="AV160" i="26" s="1"/>
  <c r="AD161" i="26"/>
  <c r="AB161" i="26"/>
  <c r="G163" i="26"/>
  <c r="I163" i="26"/>
  <c r="AH163" i="26"/>
  <c r="AJ163" i="26"/>
  <c r="S164" i="26"/>
  <c r="T164" i="26" s="1"/>
  <c r="W165" i="26"/>
  <c r="U165" i="26"/>
  <c r="AM166" i="26"/>
  <c r="AN166" i="26" s="1"/>
  <c r="L166" i="26"/>
  <c r="M166" i="26" s="1"/>
  <c r="S166" i="26"/>
  <c r="T166" i="26" s="1"/>
  <c r="AT167" i="26"/>
  <c r="AV167" i="26" s="1"/>
  <c r="H167" i="26"/>
  <c r="V167" i="26"/>
  <c r="AI167" i="26"/>
  <c r="I169" i="26"/>
  <c r="G169" i="26"/>
  <c r="AJ169" i="26"/>
  <c r="AH169" i="26"/>
  <c r="AT170" i="26"/>
  <c r="AV170" i="26" s="1"/>
  <c r="AB171" i="26"/>
  <c r="AD171" i="26"/>
  <c r="AT173" i="26"/>
  <c r="AV173" i="26" s="1"/>
  <c r="V173" i="26"/>
  <c r="U175" i="26"/>
  <c r="W175" i="26"/>
  <c r="AM176" i="26"/>
  <c r="AN176" i="26" s="1"/>
  <c r="L176" i="26"/>
  <c r="M176" i="26" s="1"/>
  <c r="AT176" i="26"/>
  <c r="AV176" i="26" s="1"/>
  <c r="AD177" i="26"/>
  <c r="AB177" i="26"/>
  <c r="G179" i="26"/>
  <c r="I179" i="26"/>
  <c r="AH179" i="26"/>
  <c r="AJ179" i="26"/>
  <c r="S180" i="26"/>
  <c r="T180" i="26" s="1"/>
  <c r="W181" i="26"/>
  <c r="U181" i="26"/>
  <c r="AM182" i="26"/>
  <c r="AN182" i="26" s="1"/>
  <c r="L182" i="26"/>
  <c r="M182" i="26" s="1"/>
  <c r="S182" i="26"/>
  <c r="T182" i="26" s="1"/>
  <c r="AT183" i="26"/>
  <c r="AV183" i="26" s="1"/>
  <c r="H183" i="26"/>
  <c r="V183" i="26"/>
  <c r="AI183" i="26"/>
  <c r="AT185" i="26"/>
  <c r="AV185" i="26" s="1"/>
  <c r="H185" i="26"/>
  <c r="V185" i="26"/>
  <c r="AI185" i="26"/>
  <c r="U187" i="26"/>
  <c r="W187" i="26"/>
  <c r="AC187" i="26"/>
  <c r="AM188" i="26"/>
  <c r="AN188" i="26" s="1"/>
  <c r="L188" i="26"/>
  <c r="M188" i="26" s="1"/>
  <c r="AT188" i="26"/>
  <c r="AV188" i="26" s="1"/>
  <c r="AD189" i="26"/>
  <c r="AB189" i="26"/>
  <c r="G191" i="26"/>
  <c r="I191" i="26"/>
  <c r="AH191" i="26"/>
  <c r="AJ191" i="26"/>
  <c r="S192" i="26"/>
  <c r="T192" i="26" s="1"/>
  <c r="W193" i="26"/>
  <c r="U193" i="26"/>
  <c r="AC193" i="26"/>
  <c r="AM194" i="26"/>
  <c r="AN194" i="26" s="1"/>
  <c r="L194" i="26"/>
  <c r="M194" i="26" s="1"/>
  <c r="S194" i="26"/>
  <c r="T194" i="26" s="1"/>
  <c r="AT195" i="26"/>
  <c r="AV195" i="26" s="1"/>
  <c r="H195" i="26"/>
  <c r="V195" i="26"/>
  <c r="AI195" i="26"/>
  <c r="AT197" i="26"/>
  <c r="AV197" i="26" s="1"/>
  <c r="H197" i="26"/>
  <c r="V197" i="26"/>
  <c r="AI197" i="26"/>
  <c r="U199" i="26"/>
  <c r="W199" i="26"/>
  <c r="AC199" i="26"/>
  <c r="AM200" i="26"/>
  <c r="AN200" i="26" s="1"/>
  <c r="L200" i="26"/>
  <c r="M200" i="26" s="1"/>
  <c r="AT200" i="26"/>
  <c r="AV200" i="26" s="1"/>
  <c r="AD201" i="26"/>
  <c r="AB201" i="26"/>
  <c r="G203" i="26"/>
  <c r="I203" i="26"/>
  <c r="AH203" i="26"/>
  <c r="AJ203" i="26"/>
  <c r="S204" i="26"/>
  <c r="T204" i="26" s="1"/>
  <c r="W205" i="26"/>
  <c r="U205" i="26"/>
  <c r="AC205" i="26"/>
  <c r="AT206" i="26"/>
  <c r="AV206" i="26" s="1"/>
  <c r="S206" i="26"/>
  <c r="T206" i="26" s="1"/>
  <c r="S207" i="26"/>
  <c r="T207" i="26" s="1"/>
  <c r="W208" i="26"/>
  <c r="U208" i="26"/>
  <c r="AC208" i="26"/>
  <c r="AM209" i="26"/>
  <c r="AN209" i="26" s="1"/>
  <c r="L209" i="26"/>
  <c r="M209" i="26" s="1"/>
  <c r="S209" i="26"/>
  <c r="T209" i="26" s="1"/>
  <c r="AT210" i="26"/>
  <c r="AV210" i="26" s="1"/>
  <c r="H210" i="26"/>
  <c r="V210" i="26"/>
  <c r="AI210" i="26"/>
  <c r="I212" i="26"/>
  <c r="G212" i="26"/>
  <c r="AJ212" i="26"/>
  <c r="AH212" i="26"/>
  <c r="AT213" i="26"/>
  <c r="AV213" i="26" s="1"/>
  <c r="AB214" i="26"/>
  <c r="AD214" i="26"/>
  <c r="AT216" i="26"/>
  <c r="AV216" i="26" s="1"/>
  <c r="H216" i="26"/>
  <c r="V216" i="26"/>
  <c r="AI216" i="26"/>
  <c r="U218" i="26"/>
  <c r="W218" i="26"/>
  <c r="AC218" i="26"/>
  <c r="AM219" i="26"/>
  <c r="AN219" i="26" s="1"/>
  <c r="L219" i="26"/>
  <c r="M219" i="26" s="1"/>
  <c r="AT219" i="26"/>
  <c r="AV219" i="26" s="1"/>
  <c r="AD220" i="26"/>
  <c r="AB220" i="26"/>
  <c r="AD223" i="26"/>
  <c r="AB223" i="26"/>
  <c r="G225" i="26"/>
  <c r="I225" i="26"/>
  <c r="AH225" i="26"/>
  <c r="AJ225" i="26"/>
  <c r="S226" i="26"/>
  <c r="T226" i="26" s="1"/>
  <c r="W227" i="26"/>
  <c r="U227" i="26"/>
  <c r="AC227" i="26"/>
  <c r="AT228" i="26"/>
  <c r="AV228" i="26" s="1"/>
  <c r="S228" i="26"/>
  <c r="T228" i="26" s="1"/>
  <c r="V229" i="26"/>
  <c r="L230" i="26"/>
  <c r="M230" i="26" s="1"/>
  <c r="AM230" i="26"/>
  <c r="AN230" i="26" s="1"/>
  <c r="W231" i="26"/>
  <c r="U231" i="26"/>
  <c r="AP231" i="26" s="1"/>
  <c r="AT232" i="26"/>
  <c r="AV232" i="26" s="1"/>
  <c r="S232" i="26"/>
  <c r="T232" i="26" s="1"/>
  <c r="V233" i="26"/>
  <c r="L234" i="26"/>
  <c r="M234" i="26" s="1"/>
  <c r="AM234" i="26"/>
  <c r="AN234" i="26" s="1"/>
  <c r="W235" i="26"/>
  <c r="U235" i="26"/>
  <c r="AP235" i="26" s="1"/>
  <c r="AT236" i="26"/>
  <c r="AV236" i="26" s="1"/>
  <c r="S236" i="26"/>
  <c r="T236" i="26" s="1"/>
  <c r="V237" i="26"/>
  <c r="L238" i="26"/>
  <c r="M238" i="26" s="1"/>
  <c r="AM238" i="26"/>
  <c r="AN238" i="26" s="1"/>
  <c r="W239" i="26"/>
  <c r="U239" i="26"/>
  <c r="AP239" i="26" s="1"/>
  <c r="AT240" i="26"/>
  <c r="AV240" i="26" s="1"/>
  <c r="S240" i="26"/>
  <c r="T240" i="26" s="1"/>
  <c r="V241" i="26"/>
  <c r="L242" i="26"/>
  <c r="M242" i="26" s="1"/>
  <c r="AM242" i="26"/>
  <c r="AN242" i="26" s="1"/>
  <c r="W243" i="26"/>
  <c r="U243" i="26"/>
  <c r="AP243" i="26" s="1"/>
  <c r="AT244" i="26"/>
  <c r="AV244" i="26" s="1"/>
  <c r="S244" i="26"/>
  <c r="T244" i="26" s="1"/>
  <c r="V245" i="26"/>
  <c r="L246" i="26"/>
  <c r="M246" i="26" s="1"/>
  <c r="AM246" i="26"/>
  <c r="AN246" i="26" s="1"/>
  <c r="W247" i="26"/>
  <c r="U247" i="26"/>
  <c r="AP247" i="26" s="1"/>
  <c r="AT248" i="26"/>
  <c r="AV248" i="26" s="1"/>
  <c r="S248" i="26"/>
  <c r="T248" i="26" s="1"/>
  <c r="V249" i="26"/>
  <c r="L250" i="26"/>
  <c r="M250" i="26" s="1"/>
  <c r="AM250" i="26"/>
  <c r="AN250" i="26" s="1"/>
  <c r="W251" i="26"/>
  <c r="U251" i="26"/>
  <c r="AP251" i="26" s="1"/>
  <c r="AT252" i="26"/>
  <c r="AV252" i="26" s="1"/>
  <c r="S252" i="26"/>
  <c r="T252" i="26" s="1"/>
  <c r="V253" i="26"/>
  <c r="L254" i="26"/>
  <c r="M254" i="26" s="1"/>
  <c r="AM254" i="26"/>
  <c r="AN254" i="26" s="1"/>
  <c r="W255" i="26"/>
  <c r="U255" i="26"/>
  <c r="AP255" i="26" s="1"/>
  <c r="AM256" i="26"/>
  <c r="AN256" i="26" s="1"/>
  <c r="L256" i="26"/>
  <c r="M256" i="26" s="1"/>
  <c r="S256" i="26"/>
  <c r="T256" i="26" s="1"/>
  <c r="AT257" i="26"/>
  <c r="AV257" i="26" s="1"/>
  <c r="H257" i="26"/>
  <c r="V257" i="26"/>
  <c r="AI257" i="26"/>
  <c r="I259" i="26"/>
  <c r="G259" i="26"/>
  <c r="AJ259" i="26"/>
  <c r="AH259" i="26"/>
  <c r="AT260" i="26"/>
  <c r="AV260" i="26" s="1"/>
  <c r="AB261" i="26"/>
  <c r="AD261" i="26"/>
  <c r="AM263" i="26"/>
  <c r="AN263" i="26" s="1"/>
  <c r="AM265" i="26"/>
  <c r="AN265" i="26" s="1"/>
  <c r="AM267" i="26"/>
  <c r="AN267" i="26" s="1"/>
  <c r="U268" i="26"/>
  <c r="W268" i="26"/>
  <c r="AC268" i="26"/>
  <c r="AT269" i="26"/>
  <c r="AV269" i="26" s="1"/>
  <c r="S269" i="26"/>
  <c r="T269" i="26" s="1"/>
  <c r="V270" i="26"/>
  <c r="L271" i="26"/>
  <c r="M271" i="26" s="1"/>
  <c r="AM271" i="26"/>
  <c r="AN271" i="26" s="1"/>
  <c r="U272" i="26"/>
  <c r="AP272" i="26" s="1"/>
  <c r="W272" i="26"/>
  <c r="AT273" i="26"/>
  <c r="AV273" i="26" s="1"/>
  <c r="S273" i="26"/>
  <c r="T273" i="26" s="1"/>
  <c r="U276" i="26"/>
  <c r="W276" i="26"/>
  <c r="AP276" i="26"/>
  <c r="AT277" i="26"/>
  <c r="AV277" i="26" s="1"/>
  <c r="S277" i="26"/>
  <c r="T277" i="26" s="1"/>
  <c r="V278" i="26"/>
  <c r="L279" i="26"/>
  <c r="M279" i="26" s="1"/>
  <c r="AM279" i="26"/>
  <c r="AN279" i="26" s="1"/>
  <c r="U280" i="26"/>
  <c r="AP280" i="26" s="1"/>
  <c r="W280" i="26"/>
  <c r="AT281" i="26"/>
  <c r="AV281" i="26" s="1"/>
  <c r="S281" i="26"/>
  <c r="T281" i="26" s="1"/>
  <c r="V282" i="26"/>
  <c r="L283" i="26"/>
  <c r="M283" i="26" s="1"/>
  <c r="AM283" i="26"/>
  <c r="AN283" i="26" s="1"/>
  <c r="U284" i="26"/>
  <c r="AP284" i="26" s="1"/>
  <c r="W284" i="26"/>
  <c r="AT285" i="26"/>
  <c r="AV285" i="26" s="1"/>
  <c r="S285" i="26"/>
  <c r="T285" i="26" s="1"/>
  <c r="V286" i="26"/>
  <c r="L287" i="26"/>
  <c r="M287" i="26" s="1"/>
  <c r="AM287" i="26"/>
  <c r="AN287" i="26" s="1"/>
  <c r="U288" i="26"/>
  <c r="AP288" i="26" s="1"/>
  <c r="W288" i="26"/>
  <c r="AT289" i="26"/>
  <c r="AV289" i="26" s="1"/>
  <c r="S289" i="26"/>
  <c r="T289" i="26" s="1"/>
  <c r="V290" i="26"/>
  <c r="L291" i="26"/>
  <c r="M291" i="26" s="1"/>
  <c r="AM291" i="26"/>
  <c r="AN291" i="26" s="1"/>
  <c r="U292" i="26"/>
  <c r="AP292" i="26" s="1"/>
  <c r="W292" i="26"/>
  <c r="AT293" i="26"/>
  <c r="AV293" i="26" s="1"/>
  <c r="S293" i="26"/>
  <c r="T293" i="26" s="1"/>
  <c r="V294" i="26"/>
  <c r="L295" i="26"/>
  <c r="M295" i="26" s="1"/>
  <c r="AM295" i="26"/>
  <c r="AN295" i="26" s="1"/>
  <c r="U296" i="26"/>
  <c r="AP296" i="26" s="1"/>
  <c r="W296" i="26"/>
  <c r="AT297" i="26"/>
  <c r="AV297" i="26" s="1"/>
  <c r="S297" i="26"/>
  <c r="T297" i="26" s="1"/>
  <c r="V298" i="26"/>
  <c r="L299" i="26"/>
  <c r="M299" i="26" s="1"/>
  <c r="AM299" i="26"/>
  <c r="AN299" i="26" s="1"/>
  <c r="U300" i="26"/>
  <c r="AP300" i="26" s="1"/>
  <c r="W300" i="26"/>
  <c r="AT301" i="26"/>
  <c r="AV301" i="26" s="1"/>
  <c r="S301" i="26"/>
  <c r="T301" i="26" s="1"/>
  <c r="V302" i="26"/>
  <c r="L303" i="26"/>
  <c r="M303" i="26" s="1"/>
  <c r="AM303" i="26"/>
  <c r="AN303" i="26" s="1"/>
  <c r="U304" i="26"/>
  <c r="AP304" i="26" s="1"/>
  <c r="W304" i="26"/>
  <c r="AT305" i="26"/>
  <c r="AV305" i="26" s="1"/>
  <c r="S305" i="26"/>
  <c r="T305" i="26" s="1"/>
  <c r="V306" i="26"/>
  <c r="L307" i="26"/>
  <c r="M307" i="26" s="1"/>
  <c r="AM307" i="26"/>
  <c r="AN307" i="26" s="1"/>
  <c r="U308" i="26"/>
  <c r="AP308" i="26" s="1"/>
  <c r="W308" i="26"/>
  <c r="AT309" i="26"/>
  <c r="AV309" i="26" s="1"/>
  <c r="S309" i="26"/>
  <c r="T309" i="26" s="1"/>
  <c r="V310" i="26"/>
  <c r="L311" i="26"/>
  <c r="M311" i="26" s="1"/>
  <c r="AM311" i="26"/>
  <c r="AN311" i="26" s="1"/>
  <c r="U312" i="26"/>
  <c r="AP312" i="26" s="1"/>
  <c r="W312" i="26"/>
  <c r="AT313" i="26"/>
  <c r="AV313" i="26" s="1"/>
  <c r="S313" i="26"/>
  <c r="T313" i="26" s="1"/>
  <c r="V314" i="26"/>
  <c r="L315" i="26"/>
  <c r="M315" i="26" s="1"/>
  <c r="AM315" i="26"/>
  <c r="AN315" i="26" s="1"/>
  <c r="U316" i="26"/>
  <c r="AP316" i="26" s="1"/>
  <c r="W316" i="26"/>
  <c r="W318" i="26"/>
  <c r="U318" i="26"/>
  <c r="AT320" i="26"/>
  <c r="AV320" i="26" s="1"/>
  <c r="AH320" i="26"/>
  <c r="AJ320" i="26"/>
  <c r="AI320" i="26"/>
  <c r="AP321" i="26"/>
  <c r="AT322" i="26"/>
  <c r="AV322" i="26" s="1"/>
  <c r="G324" i="26"/>
  <c r="I324" i="26"/>
  <c r="H324" i="26"/>
  <c r="AB324" i="26"/>
  <c r="AD324" i="26"/>
  <c r="AC324" i="26"/>
  <c r="G328" i="26"/>
  <c r="I328" i="26"/>
  <c r="H328" i="26"/>
  <c r="AB328" i="26"/>
  <c r="AD328" i="26"/>
  <c r="AC328" i="26"/>
  <c r="G332" i="26"/>
  <c r="I332" i="26"/>
  <c r="H332" i="26"/>
  <c r="AB332" i="26"/>
  <c r="AD332" i="26"/>
  <c r="AC332" i="26"/>
  <c r="AT339" i="26"/>
  <c r="AV339" i="26" s="1"/>
  <c r="S339" i="26"/>
  <c r="T339" i="26" s="1"/>
  <c r="AM339" i="26"/>
  <c r="AN339" i="26" s="1"/>
  <c r="AT340" i="26"/>
  <c r="AV340" i="26" s="1"/>
  <c r="AT343" i="26"/>
  <c r="AV343" i="26" s="1"/>
  <c r="S343" i="26"/>
  <c r="T343" i="26" s="1"/>
  <c r="AM343" i="26"/>
  <c r="AN343" i="26" s="1"/>
  <c r="AT344" i="26"/>
  <c r="AV344" i="26" s="1"/>
  <c r="AT347" i="26"/>
  <c r="AV347" i="26" s="1"/>
  <c r="S347" i="26"/>
  <c r="T347" i="26" s="1"/>
  <c r="AM347" i="26"/>
  <c r="AN347" i="26" s="1"/>
  <c r="AT348" i="26"/>
  <c r="AV348" i="26" s="1"/>
  <c r="AT351" i="26"/>
  <c r="AV351" i="26" s="1"/>
  <c r="S351" i="26"/>
  <c r="T351" i="26" s="1"/>
  <c r="AM351" i="26"/>
  <c r="AN351" i="26" s="1"/>
  <c r="AT352" i="26"/>
  <c r="AV352" i="26" s="1"/>
  <c r="AT355" i="26"/>
  <c r="AV355" i="26" s="1"/>
  <c r="S355" i="26"/>
  <c r="T355" i="26" s="1"/>
  <c r="AM355" i="26"/>
  <c r="AN355" i="26" s="1"/>
  <c r="AT356" i="26"/>
  <c r="AV356" i="26" s="1"/>
  <c r="V358" i="26"/>
  <c r="G9" i="27"/>
  <c r="I9" i="27"/>
  <c r="H9" i="27"/>
  <c r="R11" i="27"/>
  <c r="W13" i="27"/>
  <c r="Y13" i="27"/>
  <c r="X13" i="27"/>
  <c r="X15" i="27"/>
  <c r="R19" i="27"/>
  <c r="W21" i="27"/>
  <c r="Y21" i="27"/>
  <c r="X21" i="27"/>
  <c r="X23" i="27"/>
  <c r="R27" i="27"/>
  <c r="G29" i="27"/>
  <c r="I29" i="27"/>
  <c r="H29" i="27"/>
  <c r="W29" i="27"/>
  <c r="Y29" i="27"/>
  <c r="X29" i="27"/>
  <c r="G33" i="27"/>
  <c r="I33" i="27"/>
  <c r="H33" i="27"/>
  <c r="AI33" i="27"/>
  <c r="AM37" i="27"/>
  <c r="AO37" i="27" s="1"/>
  <c r="AM39" i="27"/>
  <c r="AO39" i="27" s="1"/>
  <c r="AI49" i="27"/>
  <c r="AM51" i="27"/>
  <c r="AO51" i="27" s="1"/>
  <c r="AI61" i="27"/>
  <c r="AM65" i="27"/>
  <c r="AO65" i="27" s="1"/>
  <c r="AM67" i="27"/>
  <c r="AO67" i="27" s="1"/>
  <c r="AI77" i="27"/>
  <c r="AM81" i="27"/>
  <c r="AO81" i="27" s="1"/>
  <c r="AM83" i="27"/>
  <c r="AO83" i="27" s="1"/>
  <c r="AI93" i="27"/>
  <c r="AM97" i="27"/>
  <c r="AO97" i="27" s="1"/>
  <c r="AM99" i="27"/>
  <c r="AO99" i="27" s="1"/>
  <c r="AI109" i="27"/>
  <c r="AM112" i="27"/>
  <c r="AO112" i="27" s="1"/>
  <c r="AM128" i="27"/>
  <c r="AO128" i="27" s="1"/>
  <c r="AM144" i="27"/>
  <c r="AO144" i="27" s="1"/>
  <c r="AK145" i="27"/>
  <c r="AL145" i="27" s="1"/>
  <c r="AM160" i="27"/>
  <c r="AO160" i="27" s="1"/>
  <c r="AJ215" i="27"/>
  <c r="AK219" i="27"/>
  <c r="AL219" i="27" s="1"/>
  <c r="AJ222" i="27"/>
  <c r="AK222" i="27"/>
  <c r="AL222" i="27" s="1"/>
  <c r="S317" i="26"/>
  <c r="T317" i="26" s="1"/>
  <c r="AT317" i="26"/>
  <c r="AV317" i="26" s="1"/>
  <c r="V320" i="26"/>
  <c r="S321" i="26"/>
  <c r="T321" i="26" s="1"/>
  <c r="AT321" i="26"/>
  <c r="AV321" i="26" s="1"/>
  <c r="V324" i="26"/>
  <c r="S325" i="26"/>
  <c r="T325" i="26" s="1"/>
  <c r="AT325" i="26"/>
  <c r="AV325" i="26" s="1"/>
  <c r="V328" i="26"/>
  <c r="S329" i="26"/>
  <c r="T329" i="26" s="1"/>
  <c r="AT329" i="26"/>
  <c r="AV329" i="26" s="1"/>
  <c r="V332" i="26"/>
  <c r="S333" i="26"/>
  <c r="T333" i="26" s="1"/>
  <c r="AT333" i="26"/>
  <c r="AV333" i="26" s="1"/>
  <c r="V336" i="26"/>
  <c r="S337" i="26"/>
  <c r="T337" i="26" s="1"/>
  <c r="AT337" i="26"/>
  <c r="AV337" i="26" s="1"/>
  <c r="V339" i="26"/>
  <c r="L340" i="26"/>
  <c r="M340" i="26" s="1"/>
  <c r="AM340" i="26"/>
  <c r="AN340" i="26" s="1"/>
  <c r="V341" i="26"/>
  <c r="L342" i="26"/>
  <c r="M342" i="26" s="1"/>
  <c r="AM342" i="26"/>
  <c r="AN342" i="26" s="1"/>
  <c r="V343" i="26"/>
  <c r="L344" i="26"/>
  <c r="M344" i="26" s="1"/>
  <c r="AM344" i="26"/>
  <c r="AN344" i="26" s="1"/>
  <c r="V345" i="26"/>
  <c r="L346" i="26"/>
  <c r="M346" i="26" s="1"/>
  <c r="AM346" i="26"/>
  <c r="AN346" i="26" s="1"/>
  <c r="V347" i="26"/>
  <c r="L348" i="26"/>
  <c r="M348" i="26" s="1"/>
  <c r="AM348" i="26"/>
  <c r="AN348" i="26" s="1"/>
  <c r="V349" i="26"/>
  <c r="L350" i="26"/>
  <c r="M350" i="26" s="1"/>
  <c r="AM350" i="26"/>
  <c r="AN350" i="26" s="1"/>
  <c r="V351" i="26"/>
  <c r="L352" i="26"/>
  <c r="M352" i="26" s="1"/>
  <c r="AM352" i="26"/>
  <c r="AN352" i="26" s="1"/>
  <c r="V353" i="26"/>
  <c r="L354" i="26"/>
  <c r="M354" i="26" s="1"/>
  <c r="AM354" i="26"/>
  <c r="AN354" i="26" s="1"/>
  <c r="V355" i="26"/>
  <c r="L356" i="26"/>
  <c r="M356" i="26" s="1"/>
  <c r="AM356" i="26"/>
  <c r="AN356" i="26" s="1"/>
  <c r="V357" i="26"/>
  <c r="L358" i="26"/>
  <c r="M358" i="26" s="1"/>
  <c r="AM358" i="26"/>
  <c r="AN358" i="26" s="1"/>
  <c r="R5" i="27"/>
  <c r="R9" i="27"/>
  <c r="R13" i="27"/>
  <c r="R17" i="27"/>
  <c r="R21" i="27"/>
  <c r="R25" i="27"/>
  <c r="R29" i="27"/>
  <c r="AM30" i="27"/>
  <c r="AO30" i="27" s="1"/>
  <c r="R33" i="27"/>
  <c r="X33" i="27"/>
  <c r="AD33" i="27"/>
  <c r="AM34" i="27"/>
  <c r="AO34" i="27" s="1"/>
  <c r="H37" i="27"/>
  <c r="R37" i="27"/>
  <c r="X37" i="27"/>
  <c r="AD37" i="27"/>
  <c r="AM38" i="27"/>
  <c r="AO38" i="27" s="1"/>
  <c r="H41" i="27"/>
  <c r="R41" i="27"/>
  <c r="X41" i="27"/>
  <c r="AD41" i="27"/>
  <c r="AM42" i="27"/>
  <c r="AO42" i="27" s="1"/>
  <c r="H45" i="27"/>
  <c r="R45" i="27"/>
  <c r="X45" i="27"/>
  <c r="AD45" i="27"/>
  <c r="AM46" i="27"/>
  <c r="AO46" i="27" s="1"/>
  <c r="H49" i="27"/>
  <c r="R49" i="27"/>
  <c r="X49" i="27"/>
  <c r="AD49" i="27"/>
  <c r="AM50" i="27"/>
  <c r="AO50" i="27" s="1"/>
  <c r="AK52" i="27"/>
  <c r="AL52" i="27" s="1"/>
  <c r="H53" i="27"/>
  <c r="R53" i="27"/>
  <c r="X53" i="27"/>
  <c r="AD53" i="27"/>
  <c r="AM54" i="27"/>
  <c r="AO54" i="27" s="1"/>
  <c r="H57" i="27"/>
  <c r="R57" i="27"/>
  <c r="X57" i="27"/>
  <c r="AD57" i="27"/>
  <c r="AM58" i="27"/>
  <c r="AO58" i="27" s="1"/>
  <c r="H61" i="27"/>
  <c r="R61" i="27"/>
  <c r="X61" i="27"/>
  <c r="AD61" i="27"/>
  <c r="AM62" i="27"/>
  <c r="AO62" i="27" s="1"/>
  <c r="H65" i="27"/>
  <c r="R65" i="27"/>
  <c r="X65" i="27"/>
  <c r="AD65" i="27"/>
  <c r="AM66" i="27"/>
  <c r="AO66" i="27" s="1"/>
  <c r="H69" i="27"/>
  <c r="R69" i="27"/>
  <c r="X69" i="27"/>
  <c r="AD69" i="27"/>
  <c r="AM70" i="27"/>
  <c r="AO70" i="27" s="1"/>
  <c r="H73" i="27"/>
  <c r="R73" i="27"/>
  <c r="X73" i="27"/>
  <c r="AD73" i="27"/>
  <c r="AM74" i="27"/>
  <c r="AO74" i="27" s="1"/>
  <c r="H77" i="27"/>
  <c r="R77" i="27"/>
  <c r="X77" i="27"/>
  <c r="AD77" i="27"/>
  <c r="AM78" i="27"/>
  <c r="AO78" i="27" s="1"/>
  <c r="H81" i="27"/>
  <c r="R81" i="27"/>
  <c r="X81" i="27"/>
  <c r="AD81" i="27"/>
  <c r="AM82" i="27"/>
  <c r="AO82" i="27" s="1"/>
  <c r="H85" i="27"/>
  <c r="R85" i="27"/>
  <c r="X85" i="27"/>
  <c r="AD85" i="27"/>
  <c r="AM86" i="27"/>
  <c r="AO86" i="27" s="1"/>
  <c r="H89" i="27"/>
  <c r="R89" i="27"/>
  <c r="X89" i="27"/>
  <c r="AD89" i="27"/>
  <c r="AM90" i="27"/>
  <c r="AO90" i="27" s="1"/>
  <c r="H93" i="27"/>
  <c r="R93" i="27"/>
  <c r="X93" i="27"/>
  <c r="AD93" i="27"/>
  <c r="AM94" i="27"/>
  <c r="AO94" i="27" s="1"/>
  <c r="H97" i="27"/>
  <c r="R97" i="27"/>
  <c r="X97" i="27"/>
  <c r="AD97" i="27"/>
  <c r="AM98" i="27"/>
  <c r="AO98" i="27" s="1"/>
  <c r="H101" i="27"/>
  <c r="R101" i="27"/>
  <c r="X101" i="27"/>
  <c r="AD101" i="27"/>
  <c r="AM102" i="27"/>
  <c r="AO102" i="27" s="1"/>
  <c r="H105" i="27"/>
  <c r="R105" i="27"/>
  <c r="X105" i="27"/>
  <c r="AD105" i="27"/>
  <c r="AM106" i="27"/>
  <c r="AO106" i="27" s="1"/>
  <c r="H109" i="27"/>
  <c r="R109" i="27"/>
  <c r="X109" i="27"/>
  <c r="AD109" i="27"/>
  <c r="AM110" i="27"/>
  <c r="AO110" i="27" s="1"/>
  <c r="S113" i="27"/>
  <c r="AM113" i="27"/>
  <c r="AO113" i="27" s="1"/>
  <c r="I114" i="27"/>
  <c r="AM114" i="27"/>
  <c r="AO114" i="27" s="1"/>
  <c r="S117" i="27"/>
  <c r="AM117" i="27"/>
  <c r="AO117" i="27" s="1"/>
  <c r="I118" i="27"/>
  <c r="AM118" i="27"/>
  <c r="AO118" i="27" s="1"/>
  <c r="S121" i="27"/>
  <c r="AM121" i="27"/>
  <c r="AO121" i="27" s="1"/>
  <c r="I122" i="27"/>
  <c r="AM122" i="27"/>
  <c r="AO122" i="27" s="1"/>
  <c r="S125" i="27"/>
  <c r="AM125" i="27"/>
  <c r="AO125" i="27" s="1"/>
  <c r="I126" i="27"/>
  <c r="AM126" i="27"/>
  <c r="AO126" i="27" s="1"/>
  <c r="S129" i="27"/>
  <c r="AM129" i="27"/>
  <c r="AO129" i="27" s="1"/>
  <c r="I130" i="27"/>
  <c r="AM130" i="27"/>
  <c r="AO130" i="27" s="1"/>
  <c r="S133" i="27"/>
  <c r="AM133" i="27"/>
  <c r="AO133" i="27" s="1"/>
  <c r="I134" i="27"/>
  <c r="AM134" i="27"/>
  <c r="AO134" i="27" s="1"/>
  <c r="S137" i="27"/>
  <c r="AM137" i="27"/>
  <c r="AO137" i="27" s="1"/>
  <c r="I138" i="27"/>
  <c r="AM138" i="27"/>
  <c r="AO138" i="27" s="1"/>
  <c r="S141" i="27"/>
  <c r="AM141" i="27"/>
  <c r="AO141" i="27" s="1"/>
  <c r="I142" i="27"/>
  <c r="AM142" i="27"/>
  <c r="AO142" i="27" s="1"/>
  <c r="S145" i="27"/>
  <c r="AM145" i="27"/>
  <c r="AO145" i="27" s="1"/>
  <c r="I146" i="27"/>
  <c r="AM146" i="27"/>
  <c r="AO146" i="27" s="1"/>
  <c r="S149" i="27"/>
  <c r="AM149" i="27"/>
  <c r="AO149" i="27" s="1"/>
  <c r="I150" i="27"/>
  <c r="AM150" i="27"/>
  <c r="AO150" i="27" s="1"/>
  <c r="S153" i="27"/>
  <c r="AM153" i="27"/>
  <c r="AO153" i="27" s="1"/>
  <c r="I154" i="27"/>
  <c r="AM154" i="27"/>
  <c r="AO154" i="27" s="1"/>
  <c r="S157" i="27"/>
  <c r="AM157" i="27"/>
  <c r="AO157" i="27" s="1"/>
  <c r="I158" i="27"/>
  <c r="AM158" i="27"/>
  <c r="AO158" i="27" s="1"/>
  <c r="S161" i="27"/>
  <c r="AM161" i="27"/>
  <c r="AO161" i="27" s="1"/>
  <c r="I162" i="27"/>
  <c r="AM162" i="27"/>
  <c r="AO162" i="27" s="1"/>
  <c r="S165" i="27"/>
  <c r="AM165" i="27"/>
  <c r="AO165" i="27" s="1"/>
  <c r="AM166" i="27"/>
  <c r="AO166" i="27" s="1"/>
  <c r="AM169" i="27"/>
  <c r="AO169" i="27" s="1"/>
  <c r="S169" i="27"/>
  <c r="AE169" i="27"/>
  <c r="AC169" i="27"/>
  <c r="AI169" i="27" s="1"/>
  <c r="W171" i="27"/>
  <c r="Y171" i="27"/>
  <c r="AM173" i="27"/>
  <c r="AO173" i="27" s="1"/>
  <c r="Q175" i="27"/>
  <c r="S175" i="27"/>
  <c r="AM176" i="27"/>
  <c r="AO176" i="27" s="1"/>
  <c r="Y177" i="27"/>
  <c r="W177" i="27"/>
  <c r="G179" i="27"/>
  <c r="I179" i="27"/>
  <c r="AC179" i="27"/>
  <c r="AE179" i="27"/>
  <c r="S181" i="27"/>
  <c r="Q181" i="27"/>
  <c r="AM183" i="27"/>
  <c r="AO183" i="27" s="1"/>
  <c r="AM185" i="27"/>
  <c r="AO185" i="27" s="1"/>
  <c r="Q187" i="27"/>
  <c r="S187" i="27"/>
  <c r="AM188" i="27"/>
  <c r="AO188" i="27" s="1"/>
  <c r="Y189" i="27"/>
  <c r="W189" i="27"/>
  <c r="G191" i="27"/>
  <c r="I191" i="27"/>
  <c r="AC191" i="27"/>
  <c r="AE191" i="27"/>
  <c r="S193" i="27"/>
  <c r="Q193" i="27"/>
  <c r="AM195" i="27"/>
  <c r="AO195" i="27" s="1"/>
  <c r="AM197" i="27"/>
  <c r="AO197" i="27" s="1"/>
  <c r="Q199" i="27"/>
  <c r="S199" i="27"/>
  <c r="AM200" i="27"/>
  <c r="AO200" i="27" s="1"/>
  <c r="Y201" i="27"/>
  <c r="W201" i="27"/>
  <c r="G203" i="27"/>
  <c r="I203" i="27"/>
  <c r="AC203" i="27"/>
  <c r="AE203" i="27"/>
  <c r="S205" i="27"/>
  <c r="Q205" i="27"/>
  <c r="AM206" i="27"/>
  <c r="AO206" i="27" s="1"/>
  <c r="S208" i="27"/>
  <c r="Q208" i="27"/>
  <c r="AM210" i="27"/>
  <c r="AO210" i="27" s="1"/>
  <c r="I212" i="27"/>
  <c r="G212" i="27"/>
  <c r="AE212" i="27"/>
  <c r="AC212" i="27"/>
  <c r="W214" i="27"/>
  <c r="Y214" i="27"/>
  <c r="AM216" i="27"/>
  <c r="AO216" i="27" s="1"/>
  <c r="Q218" i="27"/>
  <c r="S218" i="27"/>
  <c r="AM219" i="27"/>
  <c r="AO219" i="27" s="1"/>
  <c r="Y220" i="27"/>
  <c r="W220" i="27"/>
  <c r="Y223" i="27"/>
  <c r="W223" i="27"/>
  <c r="G225" i="27"/>
  <c r="I225" i="27"/>
  <c r="AC225" i="27"/>
  <c r="AE225" i="27"/>
  <c r="S227" i="27"/>
  <c r="Q227" i="27"/>
  <c r="AM228" i="27"/>
  <c r="AO228" i="27" s="1"/>
  <c r="S231" i="27"/>
  <c r="Q231" i="27"/>
  <c r="AI231" i="27" s="1"/>
  <c r="AM232" i="27"/>
  <c r="AO232" i="27" s="1"/>
  <c r="S235" i="27"/>
  <c r="Q235" i="27"/>
  <c r="AI235" i="27" s="1"/>
  <c r="AM236" i="27"/>
  <c r="AO236" i="27" s="1"/>
  <c r="S239" i="27"/>
  <c r="Q239" i="27"/>
  <c r="AI239" i="27" s="1"/>
  <c r="AM240" i="27"/>
  <c r="AO240" i="27" s="1"/>
  <c r="S243" i="27"/>
  <c r="Q243" i="27"/>
  <c r="AI243" i="27" s="1"/>
  <c r="AM244" i="27"/>
  <c r="AO244" i="27" s="1"/>
  <c r="S247" i="27"/>
  <c r="Q247" i="27"/>
  <c r="AI247" i="27" s="1"/>
  <c r="AM248" i="27"/>
  <c r="AO248" i="27" s="1"/>
  <c r="S251" i="27"/>
  <c r="Q251" i="27"/>
  <c r="AI251" i="27" s="1"/>
  <c r="AM252" i="27"/>
  <c r="AO252" i="27" s="1"/>
  <c r="S255" i="27"/>
  <c r="Q255" i="27"/>
  <c r="AI255" i="27" s="1"/>
  <c r="AM257" i="27"/>
  <c r="AO257" i="27" s="1"/>
  <c r="I259" i="27"/>
  <c r="G259" i="27"/>
  <c r="AE259" i="27"/>
  <c r="AC259" i="27"/>
  <c r="W261" i="27"/>
  <c r="Y261" i="27"/>
  <c r="Q268" i="27"/>
  <c r="S268" i="27"/>
  <c r="AM269" i="27"/>
  <c r="AO269" i="27" s="1"/>
  <c r="Q272" i="27"/>
  <c r="AI272" i="27" s="1"/>
  <c r="S272" i="27"/>
  <c r="AM273" i="27"/>
  <c r="AO273" i="27" s="1"/>
  <c r="Q276" i="27"/>
  <c r="AI276" i="27" s="1"/>
  <c r="S276" i="27"/>
  <c r="AM277" i="27"/>
  <c r="AO277" i="27" s="1"/>
  <c r="Q280" i="27"/>
  <c r="AI280" i="27" s="1"/>
  <c r="S280" i="27"/>
  <c r="AM281" i="27"/>
  <c r="AO281" i="27" s="1"/>
  <c r="Q284" i="27"/>
  <c r="AI284" i="27" s="1"/>
  <c r="S284" i="27"/>
  <c r="AM285" i="27"/>
  <c r="AO285" i="27" s="1"/>
  <c r="Q288" i="27"/>
  <c r="AI288" i="27" s="1"/>
  <c r="S288" i="27"/>
  <c r="AM289" i="27"/>
  <c r="AO289" i="27" s="1"/>
  <c r="Q292" i="27"/>
  <c r="AI292" i="27" s="1"/>
  <c r="S292" i="27"/>
  <c r="AM293" i="27"/>
  <c r="AO293" i="27" s="1"/>
  <c r="Q296" i="27"/>
  <c r="AI296" i="27" s="1"/>
  <c r="S296" i="27"/>
  <c r="AM297" i="27"/>
  <c r="AO297" i="27" s="1"/>
  <c r="AM300" i="27"/>
  <c r="AO300" i="27" s="1"/>
  <c r="AM301" i="27"/>
  <c r="AO301" i="27" s="1"/>
  <c r="AJ302" i="27"/>
  <c r="AM304" i="27"/>
  <c r="AO304" i="27" s="1"/>
  <c r="AM305" i="27"/>
  <c r="AO305" i="27" s="1"/>
  <c r="AJ306" i="27"/>
  <c r="AM308" i="27"/>
  <c r="AO308" i="27" s="1"/>
  <c r="AM309" i="27"/>
  <c r="AO309" i="27" s="1"/>
  <c r="AJ310" i="27"/>
  <c r="AM312" i="27"/>
  <c r="AO312" i="27" s="1"/>
  <c r="AM313" i="27"/>
  <c r="AO313" i="27" s="1"/>
  <c r="AJ314" i="27"/>
  <c r="AM316" i="27"/>
  <c r="AO316" i="27" s="1"/>
  <c r="S318" i="27"/>
  <c r="Q318" i="27"/>
  <c r="AM320" i="27"/>
  <c r="AO320" i="27" s="1"/>
  <c r="AC320" i="27"/>
  <c r="AE320" i="27"/>
  <c r="AD320" i="27"/>
  <c r="AM322" i="27"/>
  <c r="AO322" i="27" s="1"/>
  <c r="G324" i="27"/>
  <c r="I324" i="27"/>
  <c r="H324" i="27"/>
  <c r="W324" i="27"/>
  <c r="Y324" i="27"/>
  <c r="X324" i="27"/>
  <c r="AM327" i="27"/>
  <c r="AO327" i="27" s="1"/>
  <c r="S328" i="27"/>
  <c r="R328" i="27"/>
  <c r="Q328" i="27"/>
  <c r="AJ330" i="27"/>
  <c r="AK342" i="27"/>
  <c r="AL342" i="27" s="1"/>
  <c r="AJ342" i="27"/>
  <c r="AK358" i="27"/>
  <c r="AL358" i="27" s="1"/>
  <c r="S123" i="26"/>
  <c r="T123" i="26" s="1"/>
  <c r="S127" i="26"/>
  <c r="T127" i="26" s="1"/>
  <c r="S131" i="26"/>
  <c r="T131" i="26" s="1"/>
  <c r="S135" i="26"/>
  <c r="T135" i="26" s="1"/>
  <c r="S139" i="26"/>
  <c r="T139" i="26" s="1"/>
  <c r="S143" i="26"/>
  <c r="T143" i="26" s="1"/>
  <c r="S147" i="26"/>
  <c r="T147" i="26" s="1"/>
  <c r="S151" i="26"/>
  <c r="T151" i="26" s="1"/>
  <c r="S155" i="26"/>
  <c r="T155" i="26" s="1"/>
  <c r="S159" i="26"/>
  <c r="T159" i="26" s="1"/>
  <c r="S163" i="26"/>
  <c r="T163" i="26" s="1"/>
  <c r="S167" i="26"/>
  <c r="T167" i="26" s="1"/>
  <c r="S171" i="26"/>
  <c r="T171" i="26" s="1"/>
  <c r="S175" i="26"/>
  <c r="T175" i="26" s="1"/>
  <c r="S179" i="26"/>
  <c r="T179" i="26" s="1"/>
  <c r="S183" i="26"/>
  <c r="T183" i="26" s="1"/>
  <c r="S187" i="26"/>
  <c r="T187" i="26" s="1"/>
  <c r="S191" i="26"/>
  <c r="T191" i="26" s="1"/>
  <c r="S195" i="26"/>
  <c r="T195" i="26" s="1"/>
  <c r="S199" i="26"/>
  <c r="T199" i="26" s="1"/>
  <c r="S203" i="26"/>
  <c r="T203" i="26" s="1"/>
  <c r="S210" i="26"/>
  <c r="T210" i="26" s="1"/>
  <c r="S214" i="26"/>
  <c r="T214" i="26" s="1"/>
  <c r="S218" i="26"/>
  <c r="T218" i="26" s="1"/>
  <c r="L222" i="26"/>
  <c r="M222" i="26" s="1"/>
  <c r="S225" i="26"/>
  <c r="T225" i="26" s="1"/>
  <c r="S257" i="26"/>
  <c r="T257" i="26" s="1"/>
  <c r="S261" i="26"/>
  <c r="T261" i="26" s="1"/>
  <c r="L264" i="26"/>
  <c r="M264" i="26" s="1"/>
  <c r="L266" i="26"/>
  <c r="M266" i="26" s="1"/>
  <c r="S268" i="26"/>
  <c r="T268" i="26" s="1"/>
  <c r="L317" i="26"/>
  <c r="M317" i="26" s="1"/>
  <c r="AM317" i="26"/>
  <c r="AN317" i="26" s="1"/>
  <c r="G318" i="26"/>
  <c r="AB318" i="26"/>
  <c r="AH318" i="26"/>
  <c r="S320" i="26"/>
  <c r="T320" i="26" s="1"/>
  <c r="W320" i="26"/>
  <c r="L321" i="26"/>
  <c r="M321" i="26" s="1"/>
  <c r="AM321" i="26"/>
  <c r="AN321" i="26" s="1"/>
  <c r="G322" i="26"/>
  <c r="AB322" i="26"/>
  <c r="AH322" i="26"/>
  <c r="S324" i="26"/>
  <c r="T324" i="26" s="1"/>
  <c r="W324" i="26"/>
  <c r="L325" i="26"/>
  <c r="M325" i="26" s="1"/>
  <c r="AM325" i="26"/>
  <c r="AN325" i="26" s="1"/>
  <c r="G326" i="26"/>
  <c r="AB326" i="26"/>
  <c r="AH326" i="26"/>
  <c r="S328" i="26"/>
  <c r="T328" i="26" s="1"/>
  <c r="W328" i="26"/>
  <c r="L329" i="26"/>
  <c r="M329" i="26" s="1"/>
  <c r="AM329" i="26"/>
  <c r="AN329" i="26" s="1"/>
  <c r="G330" i="26"/>
  <c r="AB330" i="26"/>
  <c r="AH330" i="26"/>
  <c r="S332" i="26"/>
  <c r="T332" i="26" s="1"/>
  <c r="W332" i="26"/>
  <c r="L333" i="26"/>
  <c r="M333" i="26" s="1"/>
  <c r="AM333" i="26"/>
  <c r="AN333" i="26" s="1"/>
  <c r="G334" i="26"/>
  <c r="AB334" i="26"/>
  <c r="AH334" i="26"/>
  <c r="S336" i="26"/>
  <c r="T336" i="26" s="1"/>
  <c r="W336" i="26"/>
  <c r="L337" i="26"/>
  <c r="M337" i="26" s="1"/>
  <c r="AM337" i="26"/>
  <c r="AN337" i="26" s="1"/>
  <c r="G338" i="26"/>
  <c r="AB338" i="26"/>
  <c r="AH338" i="26"/>
  <c r="W339" i="26"/>
  <c r="W341" i="26"/>
  <c r="W343" i="26"/>
  <c r="W345" i="26"/>
  <c r="W347" i="26"/>
  <c r="W349" i="26"/>
  <c r="W351" i="26"/>
  <c r="W353" i="26"/>
  <c r="W355" i="26"/>
  <c r="W357" i="26"/>
  <c r="G3" i="27"/>
  <c r="W3" i="27"/>
  <c r="AC3" i="27"/>
  <c r="S5" i="27"/>
  <c r="G7" i="27"/>
  <c r="W7" i="27"/>
  <c r="AC7" i="27"/>
  <c r="S9" i="27"/>
  <c r="G11" i="27"/>
  <c r="W11" i="27"/>
  <c r="AC11" i="27"/>
  <c r="S13" i="27"/>
  <c r="G15" i="27"/>
  <c r="W15" i="27"/>
  <c r="AC15" i="27"/>
  <c r="S17" i="27"/>
  <c r="G19" i="27"/>
  <c r="W19" i="27"/>
  <c r="AC19" i="27"/>
  <c r="S21" i="27"/>
  <c r="G23" i="27"/>
  <c r="W23" i="27"/>
  <c r="AC23" i="27"/>
  <c r="S25" i="27"/>
  <c r="G27" i="27"/>
  <c r="W27" i="27"/>
  <c r="AC27" i="27"/>
  <c r="S29" i="27"/>
  <c r="G31" i="27"/>
  <c r="W31" i="27"/>
  <c r="AC31" i="27"/>
  <c r="S33" i="27"/>
  <c r="Y33" i="27"/>
  <c r="AE33" i="27"/>
  <c r="G35" i="27"/>
  <c r="Q35" i="27"/>
  <c r="W35" i="27"/>
  <c r="AC35" i="27"/>
  <c r="I37" i="27"/>
  <c r="S37" i="27"/>
  <c r="Y37" i="27"/>
  <c r="AE37" i="27"/>
  <c r="G39" i="27"/>
  <c r="Q39" i="27"/>
  <c r="W39" i="27"/>
  <c r="AC39" i="27"/>
  <c r="I41" i="27"/>
  <c r="S41" i="27"/>
  <c r="Y41" i="27"/>
  <c r="AE41" i="27"/>
  <c r="G43" i="27"/>
  <c r="Q43" i="27"/>
  <c r="W43" i="27"/>
  <c r="AC43" i="27"/>
  <c r="I45" i="27"/>
  <c r="S45" i="27"/>
  <c r="Y45" i="27"/>
  <c r="AE45" i="27"/>
  <c r="G47" i="27"/>
  <c r="Q47" i="27"/>
  <c r="W47" i="27"/>
  <c r="AC47" i="27"/>
  <c r="I49" i="27"/>
  <c r="S49" i="27"/>
  <c r="Y49" i="27"/>
  <c r="AE49" i="27"/>
  <c r="G51" i="27"/>
  <c r="Q51" i="27"/>
  <c r="W51" i="27"/>
  <c r="AC51" i="27"/>
  <c r="I53" i="27"/>
  <c r="S53" i="27"/>
  <c r="Y53" i="27"/>
  <c r="AE53" i="27"/>
  <c r="G55" i="27"/>
  <c r="Q55" i="27"/>
  <c r="W55" i="27"/>
  <c r="AC55" i="27"/>
  <c r="I57" i="27"/>
  <c r="S57" i="27"/>
  <c r="Y57" i="27"/>
  <c r="AE57" i="27"/>
  <c r="G59" i="27"/>
  <c r="Q59" i="27"/>
  <c r="W59" i="27"/>
  <c r="AC59" i="27"/>
  <c r="I61" i="27"/>
  <c r="S61" i="27"/>
  <c r="Y61" i="27"/>
  <c r="AE61" i="27"/>
  <c r="G63" i="27"/>
  <c r="Q63" i="27"/>
  <c r="W63" i="27"/>
  <c r="AC63" i="27"/>
  <c r="I65" i="27"/>
  <c r="S65" i="27"/>
  <c r="Y65" i="27"/>
  <c r="AE65" i="27"/>
  <c r="G67" i="27"/>
  <c r="Q67" i="27"/>
  <c r="W67" i="27"/>
  <c r="AC67" i="27"/>
  <c r="I69" i="27"/>
  <c r="S69" i="27"/>
  <c r="Y69" i="27"/>
  <c r="AE69" i="27"/>
  <c r="G71" i="27"/>
  <c r="Q71" i="27"/>
  <c r="W71" i="27"/>
  <c r="AC71" i="27"/>
  <c r="I73" i="27"/>
  <c r="S73" i="27"/>
  <c r="Y73" i="27"/>
  <c r="AE73" i="27"/>
  <c r="G75" i="27"/>
  <c r="Q75" i="27"/>
  <c r="W75" i="27"/>
  <c r="AC75" i="27"/>
  <c r="I77" i="27"/>
  <c r="S77" i="27"/>
  <c r="Y77" i="27"/>
  <c r="AE77" i="27"/>
  <c r="G79" i="27"/>
  <c r="Q79" i="27"/>
  <c r="W79" i="27"/>
  <c r="AC79" i="27"/>
  <c r="I81" i="27"/>
  <c r="S81" i="27"/>
  <c r="Y81" i="27"/>
  <c r="AE81" i="27"/>
  <c r="G83" i="27"/>
  <c r="Q83" i="27"/>
  <c r="W83" i="27"/>
  <c r="AC83" i="27"/>
  <c r="I85" i="27"/>
  <c r="S85" i="27"/>
  <c r="Y85" i="27"/>
  <c r="AE85" i="27"/>
  <c r="G87" i="27"/>
  <c r="Q87" i="27"/>
  <c r="W87" i="27"/>
  <c r="AC87" i="27"/>
  <c r="I89" i="27"/>
  <c r="S89" i="27"/>
  <c r="Y89" i="27"/>
  <c r="AE89" i="27"/>
  <c r="G91" i="27"/>
  <c r="Q91" i="27"/>
  <c r="W91" i="27"/>
  <c r="AC91" i="27"/>
  <c r="I93" i="27"/>
  <c r="S93" i="27"/>
  <c r="Y93" i="27"/>
  <c r="AE93" i="27"/>
  <c r="G95" i="27"/>
  <c r="Q95" i="27"/>
  <c r="W95" i="27"/>
  <c r="AC95" i="27"/>
  <c r="I97" i="27"/>
  <c r="S97" i="27"/>
  <c r="Y97" i="27"/>
  <c r="AE97" i="27"/>
  <c r="G99" i="27"/>
  <c r="Q99" i="27"/>
  <c r="W99" i="27"/>
  <c r="AC99" i="27"/>
  <c r="I101" i="27"/>
  <c r="S101" i="27"/>
  <c r="Y101" i="27"/>
  <c r="AE101" i="27"/>
  <c r="G103" i="27"/>
  <c r="Q103" i="27"/>
  <c r="W103" i="27"/>
  <c r="AC103" i="27"/>
  <c r="I105" i="27"/>
  <c r="S105" i="27"/>
  <c r="Y105" i="27"/>
  <c r="AE105" i="27"/>
  <c r="G107" i="27"/>
  <c r="Q107" i="27"/>
  <c r="W107" i="27"/>
  <c r="AC107" i="27"/>
  <c r="I109" i="27"/>
  <c r="S109" i="27"/>
  <c r="Y109" i="27"/>
  <c r="AE109" i="27"/>
  <c r="W111" i="27"/>
  <c r="AI111" i="27" s="1"/>
  <c r="H113" i="27"/>
  <c r="AD113" i="27"/>
  <c r="W114" i="27"/>
  <c r="AI114" i="27" s="1"/>
  <c r="W115" i="27"/>
  <c r="AI115" i="27" s="1"/>
  <c r="H117" i="27"/>
  <c r="AD117" i="27"/>
  <c r="W118" i="27"/>
  <c r="W119" i="27"/>
  <c r="AI119" i="27" s="1"/>
  <c r="H121" i="27"/>
  <c r="AD121" i="27"/>
  <c r="W122" i="27"/>
  <c r="AI122" i="27" s="1"/>
  <c r="W123" i="27"/>
  <c r="AI123" i="27" s="1"/>
  <c r="H125" i="27"/>
  <c r="AD125" i="27"/>
  <c r="W126" i="27"/>
  <c r="AI126" i="27" s="1"/>
  <c r="W127" i="27"/>
  <c r="H129" i="27"/>
  <c r="AD129" i="27"/>
  <c r="W130" i="27"/>
  <c r="AI130" i="27" s="1"/>
  <c r="W131" i="27"/>
  <c r="AI131" i="27" s="1"/>
  <c r="H133" i="27"/>
  <c r="AD133" i="27"/>
  <c r="W134" i="27"/>
  <c r="W135" i="27"/>
  <c r="AI135" i="27" s="1"/>
  <c r="H137" i="27"/>
  <c r="AD137" i="27"/>
  <c r="W138" i="27"/>
  <c r="AI138" i="27" s="1"/>
  <c r="W139" i="27"/>
  <c r="H141" i="27"/>
  <c r="AD141" i="27"/>
  <c r="W142" i="27"/>
  <c r="AI142" i="27" s="1"/>
  <c r="W143" i="27"/>
  <c r="AI143" i="27" s="1"/>
  <c r="H145" i="27"/>
  <c r="AD145" i="27"/>
  <c r="W146" i="27"/>
  <c r="W147" i="27"/>
  <c r="AI147" i="27" s="1"/>
  <c r="H149" i="27"/>
  <c r="AD149" i="27"/>
  <c r="W150" i="27"/>
  <c r="W151" i="27"/>
  <c r="H153" i="27"/>
  <c r="AD153" i="27"/>
  <c r="W154" i="27"/>
  <c r="W155" i="27"/>
  <c r="AI155" i="27" s="1"/>
  <c r="H157" i="27"/>
  <c r="AD157" i="27"/>
  <c r="W158" i="27"/>
  <c r="W159" i="27"/>
  <c r="H161" i="27"/>
  <c r="AD161" i="27"/>
  <c r="W162" i="27"/>
  <c r="AI162" i="27" s="1"/>
  <c r="W163" i="27"/>
  <c r="AI163" i="27" s="1"/>
  <c r="AI165" i="27"/>
  <c r="Q171" i="27"/>
  <c r="S171" i="27"/>
  <c r="AM172" i="27"/>
  <c r="AO172" i="27" s="1"/>
  <c r="Y173" i="27"/>
  <c r="W173" i="27"/>
  <c r="G175" i="27"/>
  <c r="I175" i="27"/>
  <c r="AC175" i="27"/>
  <c r="AE175" i="27"/>
  <c r="S177" i="27"/>
  <c r="Q177" i="27"/>
  <c r="AM179" i="27"/>
  <c r="AO179" i="27" s="1"/>
  <c r="I181" i="27"/>
  <c r="G181" i="27"/>
  <c r="AE181" i="27"/>
  <c r="AC181" i="27"/>
  <c r="W183" i="27"/>
  <c r="Y183" i="27"/>
  <c r="Y185" i="27"/>
  <c r="W185" i="27"/>
  <c r="G187" i="27"/>
  <c r="I187" i="27"/>
  <c r="AC187" i="27"/>
  <c r="AE187" i="27"/>
  <c r="S189" i="27"/>
  <c r="Q189" i="27"/>
  <c r="X189" i="27"/>
  <c r="AM191" i="27"/>
  <c r="AO191" i="27" s="1"/>
  <c r="I193" i="27"/>
  <c r="G193" i="27"/>
  <c r="AE193" i="27"/>
  <c r="AC193" i="27"/>
  <c r="W195" i="27"/>
  <c r="Y195" i="27"/>
  <c r="Y197" i="27"/>
  <c r="W197" i="27"/>
  <c r="G199" i="27"/>
  <c r="I199" i="27"/>
  <c r="AC199" i="27"/>
  <c r="AE199" i="27"/>
  <c r="S201" i="27"/>
  <c r="Q201" i="27"/>
  <c r="AM203" i="27"/>
  <c r="AO203" i="27" s="1"/>
  <c r="I205" i="27"/>
  <c r="G205" i="27"/>
  <c r="AE205" i="27"/>
  <c r="AC205" i="27"/>
  <c r="I208" i="27"/>
  <c r="G208" i="27"/>
  <c r="AE208" i="27"/>
  <c r="AC208" i="27"/>
  <c r="W210" i="27"/>
  <c r="Y210" i="27"/>
  <c r="AM212" i="27"/>
  <c r="AO212" i="27" s="1"/>
  <c r="Q214" i="27"/>
  <c r="S214" i="27"/>
  <c r="AM215" i="27"/>
  <c r="AO215" i="27" s="1"/>
  <c r="Y216" i="27"/>
  <c r="W216" i="27"/>
  <c r="G218" i="27"/>
  <c r="I218" i="27"/>
  <c r="AC218" i="27"/>
  <c r="AE218" i="27"/>
  <c r="S220" i="27"/>
  <c r="Q220" i="27"/>
  <c r="S223" i="27"/>
  <c r="Q223" i="27"/>
  <c r="AM225" i="27"/>
  <c r="AO225" i="27" s="1"/>
  <c r="I227" i="27"/>
  <c r="G227" i="27"/>
  <c r="AE227" i="27"/>
  <c r="AC227" i="27"/>
  <c r="Q230" i="27"/>
  <c r="AI230" i="27" s="1"/>
  <c r="S230" i="27"/>
  <c r="AM231" i="27"/>
  <c r="AO231" i="27" s="1"/>
  <c r="Q234" i="27"/>
  <c r="AI234" i="27" s="1"/>
  <c r="S234" i="27"/>
  <c r="AM235" i="27"/>
  <c r="AO235" i="27" s="1"/>
  <c r="Q238" i="27"/>
  <c r="AI238" i="27" s="1"/>
  <c r="S238" i="27"/>
  <c r="AM239" i="27"/>
  <c r="AO239" i="27" s="1"/>
  <c r="Q242" i="27"/>
  <c r="AI242" i="27" s="1"/>
  <c r="S242" i="27"/>
  <c r="AM243" i="27"/>
  <c r="AO243" i="27" s="1"/>
  <c r="Q246" i="27"/>
  <c r="AI246" i="27" s="1"/>
  <c r="S246" i="27"/>
  <c r="AM247" i="27"/>
  <c r="AO247" i="27" s="1"/>
  <c r="Q250" i="27"/>
  <c r="AI250" i="27" s="1"/>
  <c r="S250" i="27"/>
  <c r="AM251" i="27"/>
  <c r="AO251" i="27" s="1"/>
  <c r="Q254" i="27"/>
  <c r="AI254" i="27" s="1"/>
  <c r="S254" i="27"/>
  <c r="AM255" i="27"/>
  <c r="AO255" i="27" s="1"/>
  <c r="W257" i="27"/>
  <c r="Y257" i="27"/>
  <c r="AM259" i="27"/>
  <c r="AO259" i="27" s="1"/>
  <c r="Q261" i="27"/>
  <c r="S261" i="27"/>
  <c r="AM262" i="27"/>
  <c r="AO262" i="27" s="1"/>
  <c r="G268" i="27"/>
  <c r="I268" i="27"/>
  <c r="AC268" i="27"/>
  <c r="AE268" i="27"/>
  <c r="S271" i="27"/>
  <c r="Q271" i="27"/>
  <c r="AI271" i="27" s="1"/>
  <c r="AM272" i="27"/>
  <c r="AO272" i="27" s="1"/>
  <c r="S275" i="27"/>
  <c r="Q275" i="27"/>
  <c r="AI275" i="27" s="1"/>
  <c r="AM276" i="27"/>
  <c r="AO276" i="27" s="1"/>
  <c r="S279" i="27"/>
  <c r="Q279" i="27"/>
  <c r="AI279" i="27" s="1"/>
  <c r="AM280" i="27"/>
  <c r="AO280" i="27" s="1"/>
  <c r="S283" i="27"/>
  <c r="Q283" i="27"/>
  <c r="AI283" i="27" s="1"/>
  <c r="AM284" i="27"/>
  <c r="AO284" i="27" s="1"/>
  <c r="S287" i="27"/>
  <c r="Q287" i="27"/>
  <c r="AI287" i="27" s="1"/>
  <c r="AM288" i="27"/>
  <c r="AO288" i="27" s="1"/>
  <c r="S291" i="27"/>
  <c r="Q291" i="27"/>
  <c r="AI291" i="27" s="1"/>
  <c r="AM292" i="27"/>
  <c r="AO292" i="27" s="1"/>
  <c r="S295" i="27"/>
  <c r="Q295" i="27"/>
  <c r="AI295" i="27" s="1"/>
  <c r="AM296" i="27"/>
  <c r="AO296" i="27" s="1"/>
  <c r="S301" i="27"/>
  <c r="Q301" i="27"/>
  <c r="AI301" i="27" s="1"/>
  <c r="S305" i="27"/>
  <c r="Q305" i="27"/>
  <c r="AI305" i="27" s="1"/>
  <c r="S309" i="27"/>
  <c r="Q309" i="27"/>
  <c r="AI309" i="27" s="1"/>
  <c r="S313" i="27"/>
  <c r="Q313" i="27"/>
  <c r="AI313" i="27" s="1"/>
  <c r="S322" i="27"/>
  <c r="Q322" i="27"/>
  <c r="AM324" i="27"/>
  <c r="AO324" i="27" s="1"/>
  <c r="AC324" i="27"/>
  <c r="AE324" i="27"/>
  <c r="AD324" i="27"/>
  <c r="AI325" i="27"/>
  <c r="AM326" i="27"/>
  <c r="AO326" i="27" s="1"/>
  <c r="Y328" i="27"/>
  <c r="W328" i="27"/>
  <c r="X328" i="27"/>
  <c r="R35" i="27"/>
  <c r="AM36" i="27"/>
  <c r="AO36" i="27" s="1"/>
  <c r="R39" i="27"/>
  <c r="AM40" i="27"/>
  <c r="AO40" i="27" s="1"/>
  <c r="R43" i="27"/>
  <c r="AM44" i="27"/>
  <c r="AO44" i="27" s="1"/>
  <c r="R47" i="27"/>
  <c r="AM48" i="27"/>
  <c r="AO48" i="27" s="1"/>
  <c r="R51" i="27"/>
  <c r="AM52" i="27"/>
  <c r="AO52" i="27" s="1"/>
  <c r="R55" i="27"/>
  <c r="AM56" i="27"/>
  <c r="AO56" i="27" s="1"/>
  <c r="R59" i="27"/>
  <c r="AM60" i="27"/>
  <c r="AO60" i="27" s="1"/>
  <c r="R63" i="27"/>
  <c r="AM64" i="27"/>
  <c r="AO64" i="27" s="1"/>
  <c r="R67" i="27"/>
  <c r="AM68" i="27"/>
  <c r="AO68" i="27" s="1"/>
  <c r="R71" i="27"/>
  <c r="AM72" i="27"/>
  <c r="AO72" i="27" s="1"/>
  <c r="R75" i="27"/>
  <c r="AM76" i="27"/>
  <c r="AO76" i="27" s="1"/>
  <c r="R79" i="27"/>
  <c r="AM80" i="27"/>
  <c r="AO80" i="27" s="1"/>
  <c r="R83" i="27"/>
  <c r="AM84" i="27"/>
  <c r="AO84" i="27" s="1"/>
  <c r="R87" i="27"/>
  <c r="AM88" i="27"/>
  <c r="AO88" i="27" s="1"/>
  <c r="R91" i="27"/>
  <c r="AM92" i="27"/>
  <c r="AO92" i="27" s="1"/>
  <c r="R95" i="27"/>
  <c r="AM96" i="27"/>
  <c r="AO96" i="27" s="1"/>
  <c r="R99" i="27"/>
  <c r="AM100" i="27"/>
  <c r="AO100" i="27" s="1"/>
  <c r="R103" i="27"/>
  <c r="AM104" i="27"/>
  <c r="AO104" i="27" s="1"/>
  <c r="R107" i="27"/>
  <c r="AM108" i="27"/>
  <c r="AO108" i="27" s="1"/>
  <c r="Y166" i="27"/>
  <c r="Q167" i="27"/>
  <c r="AI167" i="27" s="1"/>
  <c r="X167" i="27"/>
  <c r="R168" i="27"/>
  <c r="I169" i="27"/>
  <c r="X169" i="27"/>
  <c r="G171" i="27"/>
  <c r="I171" i="27"/>
  <c r="AC171" i="27"/>
  <c r="AE171" i="27"/>
  <c r="S173" i="27"/>
  <c r="Q173" i="27"/>
  <c r="X173" i="27"/>
  <c r="AM175" i="27"/>
  <c r="AO175" i="27" s="1"/>
  <c r="H175" i="27"/>
  <c r="R175" i="27"/>
  <c r="AD175" i="27"/>
  <c r="I177" i="27"/>
  <c r="G177" i="27"/>
  <c r="AE177" i="27"/>
  <c r="AC177" i="27"/>
  <c r="AM178" i="27"/>
  <c r="AO178" i="27" s="1"/>
  <c r="W179" i="27"/>
  <c r="Y179" i="27"/>
  <c r="AM181" i="27"/>
  <c r="AO181" i="27" s="1"/>
  <c r="H181" i="27"/>
  <c r="R181" i="27"/>
  <c r="AD181" i="27"/>
  <c r="Q183" i="27"/>
  <c r="S183" i="27"/>
  <c r="X183" i="27"/>
  <c r="S185" i="27"/>
  <c r="Q185" i="27"/>
  <c r="X185" i="27"/>
  <c r="AM187" i="27"/>
  <c r="AO187" i="27" s="1"/>
  <c r="H187" i="27"/>
  <c r="R187" i="27"/>
  <c r="AD187" i="27"/>
  <c r="I189" i="27"/>
  <c r="G189" i="27"/>
  <c r="AE189" i="27"/>
  <c r="AC189" i="27"/>
  <c r="AM190" i="27"/>
  <c r="AO190" i="27" s="1"/>
  <c r="W191" i="27"/>
  <c r="Y191" i="27"/>
  <c r="AM193" i="27"/>
  <c r="AO193" i="27" s="1"/>
  <c r="H193" i="27"/>
  <c r="R193" i="27"/>
  <c r="AD193" i="27"/>
  <c r="Q195" i="27"/>
  <c r="S195" i="27"/>
  <c r="X195" i="27"/>
  <c r="S197" i="27"/>
  <c r="Q197" i="27"/>
  <c r="X197" i="27"/>
  <c r="AM199" i="27"/>
  <c r="AO199" i="27" s="1"/>
  <c r="H199" i="27"/>
  <c r="R199" i="27"/>
  <c r="AD199" i="27"/>
  <c r="I201" i="27"/>
  <c r="G201" i="27"/>
  <c r="AE201" i="27"/>
  <c r="AC201" i="27"/>
  <c r="AM202" i="27"/>
  <c r="AO202" i="27" s="1"/>
  <c r="W203" i="27"/>
  <c r="Y203" i="27"/>
  <c r="AM205" i="27"/>
  <c r="AO205" i="27" s="1"/>
  <c r="H205" i="27"/>
  <c r="R205" i="27"/>
  <c r="AD205" i="27"/>
  <c r="AM208" i="27"/>
  <c r="AO208" i="27" s="1"/>
  <c r="H208" i="27"/>
  <c r="R208" i="27"/>
  <c r="AD208" i="27"/>
  <c r="Q210" i="27"/>
  <c r="S210" i="27"/>
  <c r="X210" i="27"/>
  <c r="AM211" i="27"/>
  <c r="AO211" i="27" s="1"/>
  <c r="Y212" i="27"/>
  <c r="W212" i="27"/>
  <c r="G214" i="27"/>
  <c r="I214" i="27"/>
  <c r="AC214" i="27"/>
  <c r="AE214" i="27"/>
  <c r="S216" i="27"/>
  <c r="Q216" i="27"/>
  <c r="X216" i="27"/>
  <c r="AM218" i="27"/>
  <c r="AO218" i="27" s="1"/>
  <c r="H218" i="27"/>
  <c r="R218" i="27"/>
  <c r="AD218" i="27"/>
  <c r="I220" i="27"/>
  <c r="G220" i="27"/>
  <c r="AE220" i="27"/>
  <c r="AC220" i="27"/>
  <c r="AM221" i="27"/>
  <c r="AO221" i="27" s="1"/>
  <c r="I223" i="27"/>
  <c r="G223" i="27"/>
  <c r="AE223" i="27"/>
  <c r="AC223" i="27"/>
  <c r="AM224" i="27"/>
  <c r="AO224" i="27" s="1"/>
  <c r="W225" i="27"/>
  <c r="Y225" i="27"/>
  <c r="AM227" i="27"/>
  <c r="AO227" i="27" s="1"/>
  <c r="H227" i="27"/>
  <c r="R227" i="27"/>
  <c r="AD227" i="27"/>
  <c r="S229" i="27"/>
  <c r="Q229" i="27"/>
  <c r="AI229" i="27" s="1"/>
  <c r="AM230" i="27"/>
  <c r="AO230" i="27" s="1"/>
  <c r="R231" i="27"/>
  <c r="S233" i="27"/>
  <c r="Q233" i="27"/>
  <c r="AI233" i="27" s="1"/>
  <c r="AM234" i="27"/>
  <c r="AO234" i="27" s="1"/>
  <c r="R235" i="27"/>
  <c r="S237" i="27"/>
  <c r="Q237" i="27"/>
  <c r="AI237" i="27" s="1"/>
  <c r="AM238" i="27"/>
  <c r="AO238" i="27" s="1"/>
  <c r="R239" i="27"/>
  <c r="S241" i="27"/>
  <c r="Q241" i="27"/>
  <c r="AI241" i="27" s="1"/>
  <c r="AM242" i="27"/>
  <c r="AO242" i="27" s="1"/>
  <c r="R243" i="27"/>
  <c r="S245" i="27"/>
  <c r="Q245" i="27"/>
  <c r="AI245" i="27" s="1"/>
  <c r="AM246" i="27"/>
  <c r="AO246" i="27" s="1"/>
  <c r="R247" i="27"/>
  <c r="S249" i="27"/>
  <c r="Q249" i="27"/>
  <c r="AI249" i="27" s="1"/>
  <c r="AM250" i="27"/>
  <c r="AO250" i="27" s="1"/>
  <c r="R251" i="27"/>
  <c r="S253" i="27"/>
  <c r="Q253" i="27"/>
  <c r="AI253" i="27" s="1"/>
  <c r="AM254" i="27"/>
  <c r="AO254" i="27" s="1"/>
  <c r="R255" i="27"/>
  <c r="Q257" i="27"/>
  <c r="S257" i="27"/>
  <c r="X257" i="27"/>
  <c r="AM258" i="27"/>
  <c r="AO258" i="27" s="1"/>
  <c r="Y259" i="27"/>
  <c r="W259" i="27"/>
  <c r="G261" i="27"/>
  <c r="I261" i="27"/>
  <c r="AC261" i="27"/>
  <c r="AE261" i="27"/>
  <c r="AM268" i="27"/>
  <c r="AO268" i="27" s="1"/>
  <c r="H268" i="27"/>
  <c r="R268" i="27"/>
  <c r="AD268" i="27"/>
  <c r="Q270" i="27"/>
  <c r="AI270" i="27" s="1"/>
  <c r="S270" i="27"/>
  <c r="AM271" i="27"/>
  <c r="AO271" i="27" s="1"/>
  <c r="R272" i="27"/>
  <c r="Q274" i="27"/>
  <c r="AI274" i="27" s="1"/>
  <c r="S274" i="27"/>
  <c r="AM275" i="27"/>
  <c r="AO275" i="27" s="1"/>
  <c r="R276" i="27"/>
  <c r="Q278" i="27"/>
  <c r="AI278" i="27" s="1"/>
  <c r="S278" i="27"/>
  <c r="AM279" i="27"/>
  <c r="AO279" i="27" s="1"/>
  <c r="Q282" i="27"/>
  <c r="AI282" i="27" s="1"/>
  <c r="S282" i="27"/>
  <c r="AM283" i="27"/>
  <c r="AO283" i="27" s="1"/>
  <c r="Q286" i="27"/>
  <c r="AI286" i="27" s="1"/>
  <c r="S286" i="27"/>
  <c r="AM287" i="27"/>
  <c r="AO287" i="27" s="1"/>
  <c r="Q290" i="27"/>
  <c r="AI290" i="27" s="1"/>
  <c r="S290" i="27"/>
  <c r="AM291" i="27"/>
  <c r="AO291" i="27" s="1"/>
  <c r="Q294" i="27"/>
  <c r="AI294" i="27" s="1"/>
  <c r="S294" i="27"/>
  <c r="AM295" i="27"/>
  <c r="AO295" i="27" s="1"/>
  <c r="Q298" i="27"/>
  <c r="AI298" i="27" s="1"/>
  <c r="S298" i="27"/>
  <c r="AM299" i="27"/>
  <c r="AO299" i="27" s="1"/>
  <c r="AJ300" i="27"/>
  <c r="R301" i="27"/>
  <c r="AM302" i="27"/>
  <c r="AO302" i="27" s="1"/>
  <c r="AM303" i="27"/>
  <c r="AO303" i="27" s="1"/>
  <c r="AJ304" i="27"/>
  <c r="R305" i="27"/>
  <c r="AM306" i="27"/>
  <c r="AO306" i="27" s="1"/>
  <c r="AM307" i="27"/>
  <c r="AO307" i="27" s="1"/>
  <c r="AJ308" i="27"/>
  <c r="R309" i="27"/>
  <c r="AM310" i="27"/>
  <c r="AO310" i="27" s="1"/>
  <c r="AM311" i="27"/>
  <c r="AO311" i="27" s="1"/>
  <c r="AJ312" i="27"/>
  <c r="R313" i="27"/>
  <c r="AM314" i="27"/>
  <c r="AO314" i="27" s="1"/>
  <c r="AM315" i="27"/>
  <c r="AO315" i="27" s="1"/>
  <c r="AJ316" i="27"/>
  <c r="AM319" i="27"/>
  <c r="AO319" i="27" s="1"/>
  <c r="R322" i="27"/>
  <c r="S326" i="27"/>
  <c r="Q326" i="27"/>
  <c r="AK350" i="27"/>
  <c r="AL350" i="27" s="1"/>
  <c r="AJ350" i="27"/>
  <c r="AK354" i="27"/>
  <c r="AL354" i="27" s="1"/>
  <c r="AJ354" i="27"/>
  <c r="S149" i="26"/>
  <c r="T149" i="26" s="1"/>
  <c r="S153" i="26"/>
  <c r="T153" i="26" s="1"/>
  <c r="S157" i="26"/>
  <c r="T157" i="26" s="1"/>
  <c r="S161" i="26"/>
  <c r="T161" i="26" s="1"/>
  <c r="S165" i="26"/>
  <c r="T165" i="26" s="1"/>
  <c r="S169" i="26"/>
  <c r="T169" i="26" s="1"/>
  <c r="S173" i="26"/>
  <c r="T173" i="26" s="1"/>
  <c r="S177" i="26"/>
  <c r="T177" i="26" s="1"/>
  <c r="S181" i="26"/>
  <c r="T181" i="26" s="1"/>
  <c r="V184" i="26"/>
  <c r="S185" i="26"/>
  <c r="T185" i="26" s="1"/>
  <c r="S189" i="26"/>
  <c r="T189" i="26" s="1"/>
  <c r="S193" i="26"/>
  <c r="T193" i="26" s="1"/>
  <c r="V196" i="26"/>
  <c r="S197" i="26"/>
  <c r="T197" i="26" s="1"/>
  <c r="S201" i="26"/>
  <c r="T201" i="26" s="1"/>
  <c r="S205" i="26"/>
  <c r="T205" i="26" s="1"/>
  <c r="S208" i="26"/>
  <c r="T208" i="26" s="1"/>
  <c r="S212" i="26"/>
  <c r="T212" i="26" s="1"/>
  <c r="S216" i="26"/>
  <c r="T216" i="26" s="1"/>
  <c r="S220" i="26"/>
  <c r="T220" i="26" s="1"/>
  <c r="S223" i="26"/>
  <c r="T223" i="26" s="1"/>
  <c r="S227" i="26"/>
  <c r="T227" i="26" s="1"/>
  <c r="S259" i="26"/>
  <c r="T259" i="26" s="1"/>
  <c r="L263" i="26"/>
  <c r="M263" i="26" s="1"/>
  <c r="L265" i="26"/>
  <c r="M265" i="26" s="1"/>
  <c r="L267" i="26"/>
  <c r="M267" i="26" s="1"/>
  <c r="S318" i="26"/>
  <c r="T318" i="26" s="1"/>
  <c r="S322" i="26"/>
  <c r="T322" i="26" s="1"/>
  <c r="S326" i="26"/>
  <c r="T326" i="26" s="1"/>
  <c r="S330" i="26"/>
  <c r="T330" i="26" s="1"/>
  <c r="S334" i="26"/>
  <c r="T334" i="26" s="1"/>
  <c r="S338" i="26"/>
  <c r="T338" i="26" s="1"/>
  <c r="S340" i="26"/>
  <c r="T340" i="26" s="1"/>
  <c r="S342" i="26"/>
  <c r="T342" i="26" s="1"/>
  <c r="S344" i="26"/>
  <c r="T344" i="26" s="1"/>
  <c r="S346" i="26"/>
  <c r="T346" i="26" s="1"/>
  <c r="S348" i="26"/>
  <c r="T348" i="26" s="1"/>
  <c r="S350" i="26"/>
  <c r="T350" i="26" s="1"/>
  <c r="S352" i="26"/>
  <c r="T352" i="26" s="1"/>
  <c r="S354" i="26"/>
  <c r="T354" i="26" s="1"/>
  <c r="S356" i="26"/>
  <c r="T356" i="26" s="1"/>
  <c r="S358" i="26"/>
  <c r="T358" i="26" s="1"/>
  <c r="R14" i="27"/>
  <c r="R18" i="27"/>
  <c r="R22" i="27"/>
  <c r="R26" i="27"/>
  <c r="AM111" i="27"/>
  <c r="AO111" i="27" s="1"/>
  <c r="R111" i="27"/>
  <c r="R113" i="27"/>
  <c r="Y113" i="27"/>
  <c r="G114" i="27"/>
  <c r="AM115" i="27"/>
  <c r="AO115" i="27" s="1"/>
  <c r="R115" i="27"/>
  <c r="R117" i="27"/>
  <c r="Y117" i="27"/>
  <c r="G118" i="27"/>
  <c r="AM119" i="27"/>
  <c r="AO119" i="27" s="1"/>
  <c r="R119" i="27"/>
  <c r="R121" i="27"/>
  <c r="Y121" i="27"/>
  <c r="G122" i="27"/>
  <c r="AM123" i="27"/>
  <c r="AO123" i="27" s="1"/>
  <c r="R123" i="27"/>
  <c r="R125" i="27"/>
  <c r="Y125" i="27"/>
  <c r="G126" i="27"/>
  <c r="AM127" i="27"/>
  <c r="AO127" i="27" s="1"/>
  <c r="R127" i="27"/>
  <c r="R129" i="27"/>
  <c r="Y129" i="27"/>
  <c r="G130" i="27"/>
  <c r="AM131" i="27"/>
  <c r="AO131" i="27" s="1"/>
  <c r="R131" i="27"/>
  <c r="R133" i="27"/>
  <c r="Y133" i="27"/>
  <c r="G134" i="27"/>
  <c r="AM135" i="27"/>
  <c r="AO135" i="27" s="1"/>
  <c r="R135" i="27"/>
  <c r="R137" i="27"/>
  <c r="Y137" i="27"/>
  <c r="G138" i="27"/>
  <c r="AM139" i="27"/>
  <c r="AO139" i="27" s="1"/>
  <c r="R139" i="27"/>
  <c r="R141" i="27"/>
  <c r="Y141" i="27"/>
  <c r="G142" i="27"/>
  <c r="AM143" i="27"/>
  <c r="AO143" i="27" s="1"/>
  <c r="R143" i="27"/>
  <c r="R145" i="27"/>
  <c r="Y145" i="27"/>
  <c r="G146" i="27"/>
  <c r="AM147" i="27"/>
  <c r="AO147" i="27" s="1"/>
  <c r="R147" i="27"/>
  <c r="R149" i="27"/>
  <c r="Y149" i="27"/>
  <c r="G150" i="27"/>
  <c r="AM151" i="27"/>
  <c r="AO151" i="27" s="1"/>
  <c r="R151" i="27"/>
  <c r="R153" i="27"/>
  <c r="Y153" i="27"/>
  <c r="G154" i="27"/>
  <c r="AM155" i="27"/>
  <c r="AO155" i="27" s="1"/>
  <c r="R155" i="27"/>
  <c r="AK156" i="27"/>
  <c r="AL156" i="27" s="1"/>
  <c r="R157" i="27"/>
  <c r="Y157" i="27"/>
  <c r="G158" i="27"/>
  <c r="AM159" i="27"/>
  <c r="AO159" i="27" s="1"/>
  <c r="R159" i="27"/>
  <c r="R161" i="27"/>
  <c r="Y161" i="27"/>
  <c r="G162" i="27"/>
  <c r="AM163" i="27"/>
  <c r="AO163" i="27" s="1"/>
  <c r="R163" i="27"/>
  <c r="R165" i="27"/>
  <c r="Y165" i="27"/>
  <c r="G166" i="27"/>
  <c r="AM167" i="27"/>
  <c r="AO167" i="27" s="1"/>
  <c r="R167" i="27"/>
  <c r="R169" i="27"/>
  <c r="Y169" i="27"/>
  <c r="AM171" i="27"/>
  <c r="AO171" i="27" s="1"/>
  <c r="H171" i="27"/>
  <c r="R171" i="27"/>
  <c r="AD171" i="27"/>
  <c r="I173" i="27"/>
  <c r="G173" i="27"/>
  <c r="AE173" i="27"/>
  <c r="AC173" i="27"/>
  <c r="AM174" i="27"/>
  <c r="AO174" i="27" s="1"/>
  <c r="W175" i="27"/>
  <c r="Y175" i="27"/>
  <c r="AM177" i="27"/>
  <c r="AO177" i="27" s="1"/>
  <c r="R177" i="27"/>
  <c r="Q179" i="27"/>
  <c r="S179" i="27"/>
  <c r="AM180" i="27"/>
  <c r="AO180" i="27" s="1"/>
  <c r="Y181" i="27"/>
  <c r="W181" i="27"/>
  <c r="G183" i="27"/>
  <c r="I183" i="27"/>
  <c r="AC183" i="27"/>
  <c r="AE183" i="27"/>
  <c r="I185" i="27"/>
  <c r="G185" i="27"/>
  <c r="AE185" i="27"/>
  <c r="AC185" i="27"/>
  <c r="W187" i="27"/>
  <c r="Y187" i="27"/>
  <c r="AM189" i="27"/>
  <c r="AO189" i="27" s="1"/>
  <c r="R189" i="27"/>
  <c r="Q191" i="27"/>
  <c r="S191" i="27"/>
  <c r="AM192" i="27"/>
  <c r="AO192" i="27" s="1"/>
  <c r="Y193" i="27"/>
  <c r="W193" i="27"/>
  <c r="G195" i="27"/>
  <c r="I195" i="27"/>
  <c r="AC195" i="27"/>
  <c r="AE195" i="27"/>
  <c r="I197" i="27"/>
  <c r="G197" i="27"/>
  <c r="AE197" i="27"/>
  <c r="AC197" i="27"/>
  <c r="W199" i="27"/>
  <c r="Y199" i="27"/>
  <c r="AM201" i="27"/>
  <c r="AO201" i="27" s="1"/>
  <c r="R201" i="27"/>
  <c r="Q203" i="27"/>
  <c r="S203" i="27"/>
  <c r="AM204" i="27"/>
  <c r="AO204" i="27" s="1"/>
  <c r="Y205" i="27"/>
  <c r="W205" i="27"/>
  <c r="Q206" i="27"/>
  <c r="AI206" i="27" s="1"/>
  <c r="S206" i="27"/>
  <c r="AM207" i="27"/>
  <c r="AO207" i="27" s="1"/>
  <c r="Y208" i="27"/>
  <c r="W208" i="27"/>
  <c r="G210" i="27"/>
  <c r="I210" i="27"/>
  <c r="AC210" i="27"/>
  <c r="AE210" i="27"/>
  <c r="S212" i="27"/>
  <c r="Q212" i="27"/>
  <c r="AM214" i="27"/>
  <c r="AO214" i="27" s="1"/>
  <c r="R214" i="27"/>
  <c r="I216" i="27"/>
  <c r="G216" i="27"/>
  <c r="AE216" i="27"/>
  <c r="AC216" i="27"/>
  <c r="W218" i="27"/>
  <c r="Y218" i="27"/>
  <c r="AM220" i="27"/>
  <c r="AO220" i="27" s="1"/>
  <c r="R220" i="27"/>
  <c r="AM223" i="27"/>
  <c r="AO223" i="27" s="1"/>
  <c r="R223" i="27"/>
  <c r="Q225" i="27"/>
  <c r="S225" i="27"/>
  <c r="AM226" i="27"/>
  <c r="AO226" i="27" s="1"/>
  <c r="Y227" i="27"/>
  <c r="W227" i="27"/>
  <c r="Q228" i="27"/>
  <c r="AI228" i="27" s="1"/>
  <c r="S228" i="27"/>
  <c r="AM229" i="27"/>
  <c r="AO229" i="27" s="1"/>
  <c r="R230" i="27"/>
  <c r="Q232" i="27"/>
  <c r="AI232" i="27" s="1"/>
  <c r="S232" i="27"/>
  <c r="AM233" i="27"/>
  <c r="AO233" i="27" s="1"/>
  <c r="R234" i="27"/>
  <c r="Q236" i="27"/>
  <c r="AI236" i="27" s="1"/>
  <c r="S236" i="27"/>
  <c r="AM237" i="27"/>
  <c r="AO237" i="27" s="1"/>
  <c r="R238" i="27"/>
  <c r="Q240" i="27"/>
  <c r="AI240" i="27" s="1"/>
  <c r="S240" i="27"/>
  <c r="AM241" i="27"/>
  <c r="AO241" i="27" s="1"/>
  <c r="R242" i="27"/>
  <c r="Q244" i="27"/>
  <c r="AI244" i="27" s="1"/>
  <c r="S244" i="27"/>
  <c r="AM245" i="27"/>
  <c r="AO245" i="27" s="1"/>
  <c r="R246" i="27"/>
  <c r="Q248" i="27"/>
  <c r="AI248" i="27" s="1"/>
  <c r="S248" i="27"/>
  <c r="AM249" i="27"/>
  <c r="AO249" i="27" s="1"/>
  <c r="R250" i="27"/>
  <c r="Q252" i="27"/>
  <c r="AI252" i="27" s="1"/>
  <c r="S252" i="27"/>
  <c r="AM253" i="27"/>
  <c r="AO253" i="27" s="1"/>
  <c r="R254" i="27"/>
  <c r="G257" i="27"/>
  <c r="I257" i="27"/>
  <c r="AC257" i="27"/>
  <c r="AE257" i="27"/>
  <c r="S259" i="27"/>
  <c r="Q259" i="27"/>
  <c r="AM261" i="27"/>
  <c r="AO261" i="27" s="1"/>
  <c r="R261" i="27"/>
  <c r="W268" i="27"/>
  <c r="Y268" i="27"/>
  <c r="S269" i="27"/>
  <c r="Q269" i="27"/>
  <c r="AI269" i="27" s="1"/>
  <c r="AM270" i="27"/>
  <c r="AO270" i="27" s="1"/>
  <c r="R271" i="27"/>
  <c r="S273" i="27"/>
  <c r="Q273" i="27"/>
  <c r="AI273" i="27" s="1"/>
  <c r="AM274" i="27"/>
  <c r="AO274" i="27" s="1"/>
  <c r="R275" i="27"/>
  <c r="S277" i="27"/>
  <c r="Q277" i="27"/>
  <c r="AI277" i="27" s="1"/>
  <c r="AM278" i="27"/>
  <c r="AO278" i="27" s="1"/>
  <c r="R279" i="27"/>
  <c r="S281" i="27"/>
  <c r="Q281" i="27"/>
  <c r="AI281" i="27" s="1"/>
  <c r="AM282" i="27"/>
  <c r="AO282" i="27" s="1"/>
  <c r="R283" i="27"/>
  <c r="S285" i="27"/>
  <c r="Q285" i="27"/>
  <c r="AI285" i="27" s="1"/>
  <c r="AM286" i="27"/>
  <c r="AO286" i="27" s="1"/>
  <c r="R287" i="27"/>
  <c r="S289" i="27"/>
  <c r="Q289" i="27"/>
  <c r="AI289" i="27" s="1"/>
  <c r="AM290" i="27"/>
  <c r="AO290" i="27" s="1"/>
  <c r="R291" i="27"/>
  <c r="S293" i="27"/>
  <c r="Q293" i="27"/>
  <c r="AI293" i="27" s="1"/>
  <c r="AM294" i="27"/>
  <c r="AO294" i="27" s="1"/>
  <c r="R295" i="27"/>
  <c r="S297" i="27"/>
  <c r="Q297" i="27"/>
  <c r="AI297" i="27" s="1"/>
  <c r="AM298" i="27"/>
  <c r="AO298" i="27" s="1"/>
  <c r="S299" i="27"/>
  <c r="Q299" i="27"/>
  <c r="AI299" i="27" s="1"/>
  <c r="S303" i="27"/>
  <c r="Q303" i="27"/>
  <c r="AI303" i="27" s="1"/>
  <c r="S307" i="27"/>
  <c r="Q307" i="27"/>
  <c r="AI307" i="27" s="1"/>
  <c r="S311" i="27"/>
  <c r="Q311" i="27"/>
  <c r="AI311" i="27" s="1"/>
  <c r="S315" i="27"/>
  <c r="Q315" i="27"/>
  <c r="AI315" i="27" s="1"/>
  <c r="AI317" i="27"/>
  <c r="AM318" i="27"/>
  <c r="AO318" i="27" s="1"/>
  <c r="G320" i="27"/>
  <c r="I320" i="27"/>
  <c r="H320" i="27"/>
  <c r="W320" i="27"/>
  <c r="Y320" i="27"/>
  <c r="X320" i="27"/>
  <c r="AK100" i="33"/>
  <c r="AL100" i="33" s="1"/>
  <c r="AJ100" i="33"/>
  <c r="R300" i="27"/>
  <c r="R302" i="27"/>
  <c r="R304" i="27"/>
  <c r="R306" i="27"/>
  <c r="R308" i="27"/>
  <c r="R310" i="27"/>
  <c r="R312" i="27"/>
  <c r="R314" i="27"/>
  <c r="R316" i="27"/>
  <c r="AM317" i="27"/>
  <c r="AO317" i="27" s="1"/>
  <c r="R320" i="27"/>
  <c r="AM321" i="27"/>
  <c r="AO321" i="27" s="1"/>
  <c r="R324" i="27"/>
  <c r="AM325" i="27"/>
  <c r="AO325" i="27" s="1"/>
  <c r="I330" i="27"/>
  <c r="AE330" i="27"/>
  <c r="Y331" i="27"/>
  <c r="Q332" i="27"/>
  <c r="X332" i="27"/>
  <c r="I334" i="27"/>
  <c r="AE334" i="27"/>
  <c r="Y335" i="27"/>
  <c r="Q336" i="27"/>
  <c r="X336" i="27"/>
  <c r="I338" i="27"/>
  <c r="AE338" i="27"/>
  <c r="AM339" i="27"/>
  <c r="AO339" i="27" s="1"/>
  <c r="Q341" i="27"/>
  <c r="AI341" i="27" s="1"/>
  <c r="AM342" i="27"/>
  <c r="AO342" i="27" s="1"/>
  <c r="S346" i="27"/>
  <c r="AM347" i="27"/>
  <c r="AO347" i="27" s="1"/>
  <c r="Q349" i="27"/>
  <c r="AI349" i="27" s="1"/>
  <c r="AM350" i="27"/>
  <c r="AO350" i="27" s="1"/>
  <c r="S354" i="27"/>
  <c r="AM355" i="27"/>
  <c r="AO355" i="27" s="1"/>
  <c r="Q357" i="27"/>
  <c r="AI357" i="27" s="1"/>
  <c r="AM358" i="27"/>
  <c r="AO358" i="27" s="1"/>
  <c r="S4" i="33"/>
  <c r="Q6" i="33"/>
  <c r="AI6" i="33" s="1"/>
  <c r="AM6" i="33"/>
  <c r="AO6" i="33" s="1"/>
  <c r="R9" i="33"/>
  <c r="AM11" i="33"/>
  <c r="AO11" i="33" s="1"/>
  <c r="R13" i="33"/>
  <c r="AM15" i="33"/>
  <c r="AO15" i="33" s="1"/>
  <c r="R17" i="33"/>
  <c r="AM19" i="33"/>
  <c r="AO19" i="33" s="1"/>
  <c r="R21" i="33"/>
  <c r="AM23" i="33"/>
  <c r="AO23" i="33" s="1"/>
  <c r="Y23" i="33"/>
  <c r="S23" i="33"/>
  <c r="W23" i="33"/>
  <c r="AM24" i="33"/>
  <c r="AO24" i="33" s="1"/>
  <c r="R26" i="33"/>
  <c r="AM28" i="33"/>
  <c r="AO28" i="33" s="1"/>
  <c r="R30" i="33"/>
  <c r="AM32" i="33"/>
  <c r="AO32" i="33" s="1"/>
  <c r="R34" i="33"/>
  <c r="AM36" i="33"/>
  <c r="AO36" i="33" s="1"/>
  <c r="R38" i="33"/>
  <c r="AM40" i="33"/>
  <c r="AO40" i="33" s="1"/>
  <c r="R42" i="33"/>
  <c r="AM44" i="33"/>
  <c r="AO44" i="33" s="1"/>
  <c r="R46" i="33"/>
  <c r="AM48" i="33"/>
  <c r="AO48" i="33" s="1"/>
  <c r="R50" i="33"/>
  <c r="AM52" i="33"/>
  <c r="AO52" i="33" s="1"/>
  <c r="R54" i="33"/>
  <c r="AM56" i="33"/>
  <c r="AO56" i="33" s="1"/>
  <c r="R58" i="33"/>
  <c r="AM60" i="33"/>
  <c r="AO60" i="33" s="1"/>
  <c r="R62" i="33"/>
  <c r="AM64" i="33"/>
  <c r="AO64" i="33" s="1"/>
  <c r="R66" i="33"/>
  <c r="AM68" i="33"/>
  <c r="AO68" i="33" s="1"/>
  <c r="R70" i="33"/>
  <c r="R71" i="33"/>
  <c r="AM73" i="33"/>
  <c r="AO73" i="33" s="1"/>
  <c r="Y82" i="33"/>
  <c r="X82" i="33"/>
  <c r="R84" i="33"/>
  <c r="R85" i="33"/>
  <c r="H87" i="33"/>
  <c r="G87" i="33"/>
  <c r="X87" i="33"/>
  <c r="W87" i="33"/>
  <c r="AM90" i="33"/>
  <c r="AO90" i="33" s="1"/>
  <c r="AM92" i="33"/>
  <c r="AO92" i="33" s="1"/>
  <c r="AM94" i="33"/>
  <c r="AO94" i="33" s="1"/>
  <c r="AM96" i="33"/>
  <c r="AO96" i="33" s="1"/>
  <c r="AM98" i="33"/>
  <c r="AO98" i="33" s="1"/>
  <c r="AM100" i="33"/>
  <c r="AO100" i="33" s="1"/>
  <c r="AM102" i="33"/>
  <c r="AO102" i="33" s="1"/>
  <c r="AM104" i="33"/>
  <c r="AO104" i="33" s="1"/>
  <c r="R3" i="29"/>
  <c r="T3" i="29"/>
  <c r="E5" i="29"/>
  <c r="AN5" i="29"/>
  <c r="AP5" i="29" s="1"/>
  <c r="R7" i="29"/>
  <c r="AJ7" i="29" s="1"/>
  <c r="T7" i="29"/>
  <c r="E9" i="29"/>
  <c r="AN9" i="29"/>
  <c r="AP9" i="29" s="1"/>
  <c r="R11" i="29"/>
  <c r="AJ11" i="29" s="1"/>
  <c r="T11" i="29"/>
  <c r="E13" i="29"/>
  <c r="AN13" i="29"/>
  <c r="AP13" i="29" s="1"/>
  <c r="R15" i="29"/>
  <c r="T15" i="29"/>
  <c r="E17" i="29"/>
  <c r="AN17" i="29"/>
  <c r="AP17" i="29" s="1"/>
  <c r="R19" i="29"/>
  <c r="T19" i="29"/>
  <c r="E21" i="29"/>
  <c r="AN21" i="29"/>
  <c r="AP21" i="29" s="1"/>
  <c r="R23" i="29"/>
  <c r="AJ23" i="29" s="1"/>
  <c r="T23" i="29"/>
  <c r="E25" i="29"/>
  <c r="AN25" i="29"/>
  <c r="AP25" i="29" s="1"/>
  <c r="R27" i="29"/>
  <c r="T27" i="29"/>
  <c r="E29" i="29"/>
  <c r="AN29" i="29"/>
  <c r="AP29" i="29" s="1"/>
  <c r="R31" i="29"/>
  <c r="T31" i="29"/>
  <c r="E33" i="29"/>
  <c r="AN33" i="29"/>
  <c r="AP33" i="29" s="1"/>
  <c r="R35" i="29"/>
  <c r="AJ35" i="29" s="1"/>
  <c r="T35" i="29"/>
  <c r="E37" i="29"/>
  <c r="AN37" i="29"/>
  <c r="AP37" i="29" s="1"/>
  <c r="R39" i="29"/>
  <c r="AJ39" i="29" s="1"/>
  <c r="T39" i="29"/>
  <c r="E41" i="29"/>
  <c r="AN41" i="29"/>
  <c r="AP41" i="29" s="1"/>
  <c r="R43" i="29"/>
  <c r="AJ43" i="29" s="1"/>
  <c r="T43" i="29"/>
  <c r="R45" i="29"/>
  <c r="T45" i="29"/>
  <c r="E47" i="29"/>
  <c r="AN47" i="29"/>
  <c r="AP47" i="29" s="1"/>
  <c r="R49" i="29"/>
  <c r="T49" i="29"/>
  <c r="E51" i="29"/>
  <c r="AN51" i="29"/>
  <c r="AP51" i="29" s="1"/>
  <c r="R53" i="29"/>
  <c r="T53" i="29"/>
  <c r="E55" i="29"/>
  <c r="AN55" i="29"/>
  <c r="AP55" i="29" s="1"/>
  <c r="R57" i="29"/>
  <c r="AJ57" i="29" s="1"/>
  <c r="T57" i="29"/>
  <c r="E59" i="29"/>
  <c r="AN59" i="29"/>
  <c r="AP59" i="29" s="1"/>
  <c r="R61" i="29"/>
  <c r="T61" i="29"/>
  <c r="E63" i="29"/>
  <c r="AN63" i="29"/>
  <c r="AP63" i="29" s="1"/>
  <c r="R65" i="29"/>
  <c r="T65" i="29"/>
  <c r="E67" i="29"/>
  <c r="AN67" i="29"/>
  <c r="AP67" i="29" s="1"/>
  <c r="R69" i="29"/>
  <c r="T69" i="29"/>
  <c r="E71" i="29"/>
  <c r="AN71" i="29"/>
  <c r="AP71" i="29" s="1"/>
  <c r="R73" i="29"/>
  <c r="T73" i="29"/>
  <c r="E75" i="29"/>
  <c r="AN75" i="29"/>
  <c r="AP75" i="29" s="1"/>
  <c r="AF77" i="29"/>
  <c r="AE77" i="29"/>
  <c r="AD77" i="29"/>
  <c r="Z78" i="29"/>
  <c r="Y78" i="29"/>
  <c r="X78" i="29"/>
  <c r="AN81" i="29"/>
  <c r="AP81" i="29" s="1"/>
  <c r="E81" i="29"/>
  <c r="AF85" i="29"/>
  <c r="AE85" i="29"/>
  <c r="AD85" i="29"/>
  <c r="Z86" i="29"/>
  <c r="Y86" i="29"/>
  <c r="X86" i="29"/>
  <c r="AN89" i="29"/>
  <c r="AP89" i="29" s="1"/>
  <c r="E89" i="29"/>
  <c r="AF93" i="29"/>
  <c r="AE93" i="29"/>
  <c r="AD93" i="29"/>
  <c r="Z94" i="29"/>
  <c r="Y94" i="29"/>
  <c r="X94" i="29"/>
  <c r="AN97" i="29"/>
  <c r="AP97" i="29" s="1"/>
  <c r="E97" i="29"/>
  <c r="AF101" i="29"/>
  <c r="AE101" i="29"/>
  <c r="AD101" i="29"/>
  <c r="Z102" i="29"/>
  <c r="Y102" i="29"/>
  <c r="X102" i="29"/>
  <c r="AN109" i="29"/>
  <c r="AP109" i="29" s="1"/>
  <c r="E109" i="29"/>
  <c r="AN111" i="29"/>
  <c r="AP111" i="29" s="1"/>
  <c r="E111" i="29"/>
  <c r="AN112" i="29"/>
  <c r="AP112" i="29" s="1"/>
  <c r="E112" i="29"/>
  <c r="AF112" i="29"/>
  <c r="AE112" i="29"/>
  <c r="AD112" i="29"/>
  <c r="AF113" i="29"/>
  <c r="AE113" i="29"/>
  <c r="AD113" i="29"/>
  <c r="Z114" i="29"/>
  <c r="Y114" i="29"/>
  <c r="X114" i="29"/>
  <c r="S300" i="27"/>
  <c r="S302" i="27"/>
  <c r="S304" i="27"/>
  <c r="S306" i="27"/>
  <c r="S308" i="27"/>
  <c r="S310" i="27"/>
  <c r="S312" i="27"/>
  <c r="S314" i="27"/>
  <c r="S316" i="27"/>
  <c r="G318" i="27"/>
  <c r="W318" i="27"/>
  <c r="AC318" i="27"/>
  <c r="S320" i="27"/>
  <c r="G322" i="27"/>
  <c r="W322" i="27"/>
  <c r="AC322" i="27"/>
  <c r="S324" i="27"/>
  <c r="G326" i="27"/>
  <c r="W326" i="27"/>
  <c r="AC326" i="27"/>
  <c r="AM328" i="27"/>
  <c r="AO328" i="27" s="1"/>
  <c r="R330" i="27"/>
  <c r="Y330" i="27"/>
  <c r="G331" i="27"/>
  <c r="AM332" i="27"/>
  <c r="AO332" i="27" s="1"/>
  <c r="R332" i="27"/>
  <c r="R334" i="27"/>
  <c r="Y334" i="27"/>
  <c r="G335" i="27"/>
  <c r="AM336" i="27"/>
  <c r="AO336" i="27" s="1"/>
  <c r="R336" i="27"/>
  <c r="AK337" i="27"/>
  <c r="AL337" i="27" s="1"/>
  <c r="R338" i="27"/>
  <c r="Y338" i="27"/>
  <c r="S340" i="27"/>
  <c r="AM341" i="27"/>
  <c r="AO341" i="27" s="1"/>
  <c r="R341" i="27"/>
  <c r="R342" i="27"/>
  <c r="Q343" i="27"/>
  <c r="AI343" i="27" s="1"/>
  <c r="AM344" i="27"/>
  <c r="AO344" i="27" s="1"/>
  <c r="S348" i="27"/>
  <c r="AM349" i="27"/>
  <c r="AO349" i="27" s="1"/>
  <c r="R349" i="27"/>
  <c r="R350" i="27"/>
  <c r="Q351" i="27"/>
  <c r="AI351" i="27" s="1"/>
  <c r="AM352" i="27"/>
  <c r="AO352" i="27" s="1"/>
  <c r="S356" i="27"/>
  <c r="AM357" i="27"/>
  <c r="AO357" i="27" s="1"/>
  <c r="R357" i="27"/>
  <c r="R358" i="27"/>
  <c r="Q5" i="33"/>
  <c r="AM5" i="33"/>
  <c r="AO5" i="33" s="1"/>
  <c r="R6" i="33"/>
  <c r="AI8" i="33"/>
  <c r="R10" i="33"/>
  <c r="Q11" i="33"/>
  <c r="AI11" i="33" s="1"/>
  <c r="AM12" i="33"/>
  <c r="AO12" i="33" s="1"/>
  <c r="R14" i="33"/>
  <c r="Q15" i="33"/>
  <c r="AI15" i="33" s="1"/>
  <c r="AM16" i="33"/>
  <c r="AO16" i="33" s="1"/>
  <c r="AI16" i="33"/>
  <c r="R18" i="33"/>
  <c r="Q19" i="33"/>
  <c r="AI19" i="33" s="1"/>
  <c r="AM20" i="33"/>
  <c r="AO20" i="33" s="1"/>
  <c r="R22" i="33"/>
  <c r="Q23" i="33"/>
  <c r="X23" i="33"/>
  <c r="Q24" i="33"/>
  <c r="AM25" i="33"/>
  <c r="AO25" i="33" s="1"/>
  <c r="AI25" i="33"/>
  <c r="R27" i="33"/>
  <c r="Q28" i="33"/>
  <c r="AI28" i="33" s="1"/>
  <c r="AM29" i="33"/>
  <c r="AO29" i="33" s="1"/>
  <c r="AI29" i="33"/>
  <c r="R31" i="33"/>
  <c r="Q32" i="33"/>
  <c r="AI32" i="33" s="1"/>
  <c r="AM33" i="33"/>
  <c r="AO33" i="33" s="1"/>
  <c r="AI33" i="33"/>
  <c r="R35" i="33"/>
  <c r="Q36" i="33"/>
  <c r="AI36" i="33" s="1"/>
  <c r="AM37" i="33"/>
  <c r="AO37" i="33" s="1"/>
  <c r="AI37" i="33"/>
  <c r="R39" i="33"/>
  <c r="Q40" i="33"/>
  <c r="AI40" i="33" s="1"/>
  <c r="AM41" i="33"/>
  <c r="AO41" i="33" s="1"/>
  <c r="AI41" i="33"/>
  <c r="R43" i="33"/>
  <c r="Q44" i="33"/>
  <c r="AI44" i="33" s="1"/>
  <c r="AM45" i="33"/>
  <c r="AO45" i="33" s="1"/>
  <c r="AI45" i="33"/>
  <c r="Q48" i="33"/>
  <c r="AM49" i="33"/>
  <c r="AO49" i="33" s="1"/>
  <c r="Q52" i="33"/>
  <c r="AI52" i="33" s="1"/>
  <c r="AM53" i="33"/>
  <c r="AO53" i="33" s="1"/>
  <c r="R55" i="33"/>
  <c r="Q56" i="33"/>
  <c r="AI56" i="33" s="1"/>
  <c r="AM57" i="33"/>
  <c r="AO57" i="33" s="1"/>
  <c r="R59" i="33"/>
  <c r="Q60" i="33"/>
  <c r="AI60" i="33" s="1"/>
  <c r="AM61" i="33"/>
  <c r="AO61" i="33" s="1"/>
  <c r="R63" i="33"/>
  <c r="Q64" i="33"/>
  <c r="AI64" i="33" s="1"/>
  <c r="AM65" i="33"/>
  <c r="AO65" i="33" s="1"/>
  <c r="AI65" i="33"/>
  <c r="R67" i="33"/>
  <c r="Q68" i="33"/>
  <c r="AI68" i="33" s="1"/>
  <c r="AM69" i="33"/>
  <c r="AO69" i="33" s="1"/>
  <c r="AI69" i="33"/>
  <c r="R72" i="33"/>
  <c r="Q73" i="33"/>
  <c r="AI73" i="33" s="1"/>
  <c r="AM74" i="33"/>
  <c r="AO74" i="33" s="1"/>
  <c r="AI77" i="33"/>
  <c r="AI80" i="33"/>
  <c r="AI81" i="33"/>
  <c r="I82" i="33"/>
  <c r="H82" i="33"/>
  <c r="W82" i="33"/>
  <c r="AD83" i="33"/>
  <c r="AC83" i="33"/>
  <c r="S84" i="33"/>
  <c r="AM85" i="33"/>
  <c r="AO85" i="33" s="1"/>
  <c r="Y86" i="33"/>
  <c r="X86" i="33"/>
  <c r="I87" i="33"/>
  <c r="Y87" i="33"/>
  <c r="R88" i="33"/>
  <c r="R90" i="33"/>
  <c r="R92" i="33"/>
  <c r="R94" i="33"/>
  <c r="R96" i="33"/>
  <c r="R98" i="33"/>
  <c r="W99" i="33"/>
  <c r="R100" i="33"/>
  <c r="R102" i="33"/>
  <c r="R104" i="33"/>
  <c r="S3" i="29"/>
  <c r="E4" i="29"/>
  <c r="AN4" i="29"/>
  <c r="AP4" i="29" s="1"/>
  <c r="R6" i="29"/>
  <c r="AJ6" i="29" s="1"/>
  <c r="T6" i="29"/>
  <c r="S7" i="29"/>
  <c r="E8" i="29"/>
  <c r="AN8" i="29"/>
  <c r="AP8" i="29" s="1"/>
  <c r="R10" i="29"/>
  <c r="AJ10" i="29" s="1"/>
  <c r="T10" i="29"/>
  <c r="E12" i="29"/>
  <c r="AN12" i="29"/>
  <c r="AP12" i="29" s="1"/>
  <c r="R14" i="29"/>
  <c r="T14" i="29"/>
  <c r="S15" i="29"/>
  <c r="E16" i="29"/>
  <c r="AN16" i="29"/>
  <c r="AP16" i="29" s="1"/>
  <c r="R18" i="29"/>
  <c r="AJ18" i="29" s="1"/>
  <c r="T18" i="29"/>
  <c r="S19" i="29"/>
  <c r="E20" i="29"/>
  <c r="AN20" i="29"/>
  <c r="AP20" i="29" s="1"/>
  <c r="R22" i="29"/>
  <c r="AJ22" i="29" s="1"/>
  <c r="T22" i="29"/>
  <c r="S23" i="29"/>
  <c r="E24" i="29"/>
  <c r="AN24" i="29"/>
  <c r="AP24" i="29" s="1"/>
  <c r="R26" i="29"/>
  <c r="AJ26" i="29" s="1"/>
  <c r="T26" i="29"/>
  <c r="S27" i="29"/>
  <c r="E28" i="29"/>
  <c r="AN28" i="29"/>
  <c r="AP28" i="29" s="1"/>
  <c r="R30" i="29"/>
  <c r="AJ30" i="29" s="1"/>
  <c r="T30" i="29"/>
  <c r="S31" i="29"/>
  <c r="E32" i="29"/>
  <c r="AN32" i="29"/>
  <c r="AP32" i="29" s="1"/>
  <c r="R34" i="29"/>
  <c r="T34" i="29"/>
  <c r="E36" i="29"/>
  <c r="AN36" i="29"/>
  <c r="AP36" i="29" s="1"/>
  <c r="R38" i="29"/>
  <c r="T38" i="29"/>
  <c r="E40" i="29"/>
  <c r="AN40" i="29"/>
  <c r="AP40" i="29" s="1"/>
  <c r="R42" i="29"/>
  <c r="T42" i="29"/>
  <c r="E44" i="29"/>
  <c r="AN44" i="29"/>
  <c r="AP44" i="29" s="1"/>
  <c r="S45" i="29"/>
  <c r="E46" i="29"/>
  <c r="AN46" i="29"/>
  <c r="AP46" i="29" s="1"/>
  <c r="R48" i="29"/>
  <c r="AJ48" i="29" s="1"/>
  <c r="T48" i="29"/>
  <c r="S49" i="29"/>
  <c r="E50" i="29"/>
  <c r="AN50" i="29"/>
  <c r="AP50" i="29" s="1"/>
  <c r="R52" i="29"/>
  <c r="T52" i="29"/>
  <c r="S53" i="29"/>
  <c r="E54" i="29"/>
  <c r="AN54" i="29"/>
  <c r="AP54" i="29" s="1"/>
  <c r="R56" i="29"/>
  <c r="AJ56" i="29" s="1"/>
  <c r="T56" i="29"/>
  <c r="S57" i="29"/>
  <c r="E58" i="29"/>
  <c r="AN58" i="29"/>
  <c r="AP58" i="29" s="1"/>
  <c r="R60" i="29"/>
  <c r="T60" i="29"/>
  <c r="S61" i="29"/>
  <c r="E62" i="29"/>
  <c r="AN62" i="29"/>
  <c r="AP62" i="29" s="1"/>
  <c r="R64" i="29"/>
  <c r="T64" i="29"/>
  <c r="S65" i="29"/>
  <c r="E66" i="29"/>
  <c r="AN66" i="29"/>
  <c r="AP66" i="29" s="1"/>
  <c r="R68" i="29"/>
  <c r="AJ68" i="29" s="1"/>
  <c r="T68" i="29"/>
  <c r="S69" i="29"/>
  <c r="E70" i="29"/>
  <c r="AN70" i="29"/>
  <c r="AP70" i="29" s="1"/>
  <c r="R72" i="29"/>
  <c r="AJ72" i="29" s="1"/>
  <c r="T72" i="29"/>
  <c r="S73" i="29"/>
  <c r="E74" i="29"/>
  <c r="AN74" i="29"/>
  <c r="AP74" i="29" s="1"/>
  <c r="J81" i="29"/>
  <c r="I81" i="29"/>
  <c r="H81" i="29"/>
  <c r="T82" i="29"/>
  <c r="S82" i="29"/>
  <c r="R82" i="29"/>
  <c r="J89" i="29"/>
  <c r="I89" i="29"/>
  <c r="H89" i="29"/>
  <c r="T90" i="29"/>
  <c r="S90" i="29"/>
  <c r="R90" i="29"/>
  <c r="J97" i="29"/>
  <c r="I97" i="29"/>
  <c r="H97" i="29"/>
  <c r="T98" i="29"/>
  <c r="S98" i="29"/>
  <c r="R98" i="29"/>
  <c r="AN105" i="29"/>
  <c r="AP105" i="29" s="1"/>
  <c r="E105" i="29"/>
  <c r="AN107" i="29"/>
  <c r="AP107" i="29" s="1"/>
  <c r="E107" i="29"/>
  <c r="AN108" i="29"/>
  <c r="AP108" i="29" s="1"/>
  <c r="E108" i="29"/>
  <c r="AF108" i="29"/>
  <c r="AE108" i="29"/>
  <c r="AD108" i="29"/>
  <c r="AF109" i="29"/>
  <c r="AE109" i="29"/>
  <c r="AD109" i="29"/>
  <c r="Z110" i="29"/>
  <c r="Y110" i="29"/>
  <c r="X110" i="29"/>
  <c r="S330" i="27"/>
  <c r="AM330" i="27"/>
  <c r="AO330" i="27" s="1"/>
  <c r="S334" i="27"/>
  <c r="AM334" i="27"/>
  <c r="AO334" i="27" s="1"/>
  <c r="S338" i="27"/>
  <c r="AM338" i="27"/>
  <c r="AO338" i="27" s="1"/>
  <c r="S342" i="27"/>
  <c r="AM343" i="27"/>
  <c r="AO343" i="27" s="1"/>
  <c r="S350" i="27"/>
  <c r="AM351" i="27"/>
  <c r="AO351" i="27" s="1"/>
  <c r="S358" i="27"/>
  <c r="AM4" i="33"/>
  <c r="AO4" i="33" s="1"/>
  <c r="AM8" i="33"/>
  <c r="AO8" i="33" s="1"/>
  <c r="AM9" i="33"/>
  <c r="AO9" i="33" s="1"/>
  <c r="AM13" i="33"/>
  <c r="AO13" i="33" s="1"/>
  <c r="AM17" i="33"/>
  <c r="AO17" i="33" s="1"/>
  <c r="AM21" i="33"/>
  <c r="AO21" i="33" s="1"/>
  <c r="AM26" i="33"/>
  <c r="AO26" i="33" s="1"/>
  <c r="AM30" i="33"/>
  <c r="AO30" i="33" s="1"/>
  <c r="AM34" i="33"/>
  <c r="AO34" i="33" s="1"/>
  <c r="AM38" i="33"/>
  <c r="AO38" i="33" s="1"/>
  <c r="AM42" i="33"/>
  <c r="AO42" i="33" s="1"/>
  <c r="AM46" i="33"/>
  <c r="AO46" i="33" s="1"/>
  <c r="AM50" i="33"/>
  <c r="AO50" i="33" s="1"/>
  <c r="AM54" i="33"/>
  <c r="AO54" i="33" s="1"/>
  <c r="AM58" i="33"/>
  <c r="AO58" i="33" s="1"/>
  <c r="AM62" i="33"/>
  <c r="AO62" i="33" s="1"/>
  <c r="AM66" i="33"/>
  <c r="AO66" i="33" s="1"/>
  <c r="AM70" i="33"/>
  <c r="AO70" i="33" s="1"/>
  <c r="AM75" i="33"/>
  <c r="AO75" i="33" s="1"/>
  <c r="AM76" i="33"/>
  <c r="AO76" i="33" s="1"/>
  <c r="AM77" i="33"/>
  <c r="AO77" i="33" s="1"/>
  <c r="AM78" i="33"/>
  <c r="AO78" i="33" s="1"/>
  <c r="AM79" i="33"/>
  <c r="AO79" i="33" s="1"/>
  <c r="AM80" i="33"/>
  <c r="AO80" i="33" s="1"/>
  <c r="AM81" i="33"/>
  <c r="AO81" i="33" s="1"/>
  <c r="AM82" i="33"/>
  <c r="AO82" i="33" s="1"/>
  <c r="AE82" i="33"/>
  <c r="AD82" i="33"/>
  <c r="I86" i="33"/>
  <c r="H86" i="33"/>
  <c r="AD87" i="33"/>
  <c r="AC87" i="33"/>
  <c r="AM89" i="33"/>
  <c r="AO89" i="33" s="1"/>
  <c r="AM91" i="33"/>
  <c r="AO91" i="33" s="1"/>
  <c r="AM93" i="33"/>
  <c r="AO93" i="33" s="1"/>
  <c r="AM95" i="33"/>
  <c r="AO95" i="33" s="1"/>
  <c r="AM97" i="33"/>
  <c r="AO97" i="33" s="1"/>
  <c r="AM99" i="33"/>
  <c r="AO99" i="33" s="1"/>
  <c r="AM101" i="33"/>
  <c r="AO101" i="33" s="1"/>
  <c r="AM103" i="33"/>
  <c r="AO103" i="33" s="1"/>
  <c r="AM105" i="33"/>
  <c r="AO105" i="33" s="1"/>
  <c r="E3" i="29"/>
  <c r="AN3" i="29"/>
  <c r="AP3" i="29" s="1"/>
  <c r="R5" i="29"/>
  <c r="T5" i="29"/>
  <c r="E7" i="29"/>
  <c r="AN7" i="29"/>
  <c r="AP7" i="29" s="1"/>
  <c r="R9" i="29"/>
  <c r="T9" i="29"/>
  <c r="E11" i="29"/>
  <c r="AN11" i="29"/>
  <c r="AP11" i="29" s="1"/>
  <c r="R13" i="29"/>
  <c r="T13" i="29"/>
  <c r="E15" i="29"/>
  <c r="AN15" i="29"/>
  <c r="AP15" i="29" s="1"/>
  <c r="R17" i="29"/>
  <c r="T17" i="29"/>
  <c r="E19" i="29"/>
  <c r="AN19" i="29"/>
  <c r="AP19" i="29" s="1"/>
  <c r="R21" i="29"/>
  <c r="AJ21" i="29" s="1"/>
  <c r="T21" i="29"/>
  <c r="E23" i="29"/>
  <c r="AN23" i="29"/>
  <c r="AP23" i="29" s="1"/>
  <c r="R25" i="29"/>
  <c r="T25" i="29"/>
  <c r="E27" i="29"/>
  <c r="AN27" i="29"/>
  <c r="AP27" i="29" s="1"/>
  <c r="R29" i="29"/>
  <c r="T29" i="29"/>
  <c r="E31" i="29"/>
  <c r="AN31" i="29"/>
  <c r="AP31" i="29" s="1"/>
  <c r="R33" i="29"/>
  <c r="AJ33" i="29" s="1"/>
  <c r="T33" i="29"/>
  <c r="E35" i="29"/>
  <c r="AN35" i="29"/>
  <c r="AP35" i="29" s="1"/>
  <c r="R37" i="29"/>
  <c r="AJ37" i="29" s="1"/>
  <c r="T37" i="29"/>
  <c r="E39" i="29"/>
  <c r="AN39" i="29"/>
  <c r="AP39" i="29" s="1"/>
  <c r="R41" i="29"/>
  <c r="AJ41" i="29" s="1"/>
  <c r="T41" i="29"/>
  <c r="E43" i="29"/>
  <c r="AN43" i="29"/>
  <c r="AP43" i="29" s="1"/>
  <c r="E45" i="29"/>
  <c r="AN45" i="29"/>
  <c r="AP45" i="29" s="1"/>
  <c r="R47" i="29"/>
  <c r="AJ47" i="29" s="1"/>
  <c r="T47" i="29"/>
  <c r="E49" i="29"/>
  <c r="AN49" i="29"/>
  <c r="AP49" i="29" s="1"/>
  <c r="R51" i="29"/>
  <c r="AJ51" i="29" s="1"/>
  <c r="T51" i="29"/>
  <c r="E53" i="29"/>
  <c r="AN53" i="29"/>
  <c r="AP53" i="29" s="1"/>
  <c r="R55" i="29"/>
  <c r="T55" i="29"/>
  <c r="E57" i="29"/>
  <c r="AN57" i="29"/>
  <c r="AP57" i="29" s="1"/>
  <c r="R59" i="29"/>
  <c r="AJ59" i="29" s="1"/>
  <c r="T59" i="29"/>
  <c r="E61" i="29"/>
  <c r="AN61" i="29"/>
  <c r="AP61" i="29" s="1"/>
  <c r="R63" i="29"/>
  <c r="AJ63" i="29" s="1"/>
  <c r="T63" i="29"/>
  <c r="E65" i="29"/>
  <c r="AN65" i="29"/>
  <c r="AP65" i="29" s="1"/>
  <c r="R67" i="29"/>
  <c r="AJ67" i="29" s="1"/>
  <c r="T67" i="29"/>
  <c r="E69" i="29"/>
  <c r="AN69" i="29"/>
  <c r="AP69" i="29" s="1"/>
  <c r="R71" i="29"/>
  <c r="T71" i="29"/>
  <c r="E73" i="29"/>
  <c r="AN73" i="29"/>
  <c r="AP73" i="29" s="1"/>
  <c r="AJ73" i="29"/>
  <c r="R75" i="29"/>
  <c r="AJ75" i="29" s="1"/>
  <c r="T75" i="29"/>
  <c r="AN77" i="29"/>
  <c r="AP77" i="29" s="1"/>
  <c r="E77" i="29"/>
  <c r="AF81" i="29"/>
  <c r="AE81" i="29"/>
  <c r="AD81" i="29"/>
  <c r="Z82" i="29"/>
  <c r="Y82" i="29"/>
  <c r="X82" i="29"/>
  <c r="AN85" i="29"/>
  <c r="AP85" i="29" s="1"/>
  <c r="E85" i="29"/>
  <c r="AF89" i="29"/>
  <c r="AE89" i="29"/>
  <c r="AD89" i="29"/>
  <c r="Z90" i="29"/>
  <c r="Y90" i="29"/>
  <c r="X90" i="29"/>
  <c r="AJ90" i="29" s="1"/>
  <c r="AN93" i="29"/>
  <c r="AP93" i="29" s="1"/>
  <c r="E93" i="29"/>
  <c r="AF97" i="29"/>
  <c r="AE97" i="29"/>
  <c r="AD97" i="29"/>
  <c r="Z98" i="29"/>
  <c r="Y98" i="29"/>
  <c r="X98" i="29"/>
  <c r="AN101" i="29"/>
  <c r="AP101" i="29" s="1"/>
  <c r="E101" i="29"/>
  <c r="AF104" i="29"/>
  <c r="AE104" i="29"/>
  <c r="AD104" i="29"/>
  <c r="AF105" i="29"/>
  <c r="AE105" i="29"/>
  <c r="AD105" i="29"/>
  <c r="Z106" i="29"/>
  <c r="Y106" i="29"/>
  <c r="X106" i="29"/>
  <c r="R184" i="27"/>
  <c r="R196" i="27"/>
  <c r="AM329" i="27"/>
  <c r="AO329" i="27" s="1"/>
  <c r="H330" i="27"/>
  <c r="AD330" i="27"/>
  <c r="W331" i="27"/>
  <c r="AI331" i="27" s="1"/>
  <c r="W332" i="27"/>
  <c r="AM333" i="27"/>
  <c r="AO333" i="27" s="1"/>
  <c r="H334" i="27"/>
  <c r="AD334" i="27"/>
  <c r="W335" i="27"/>
  <c r="W336" i="27"/>
  <c r="AM337" i="27"/>
  <c r="AO337" i="27" s="1"/>
  <c r="H338" i="27"/>
  <c r="AD338" i="27"/>
  <c r="AI339" i="27"/>
  <c r="S344" i="27"/>
  <c r="AJ344" i="27"/>
  <c r="AM345" i="27"/>
  <c r="AO345" i="27" s="1"/>
  <c r="R345" i="27"/>
  <c r="R346" i="27"/>
  <c r="AI347" i="27"/>
  <c r="S352" i="27"/>
  <c r="AJ352" i="27"/>
  <c r="AM353" i="27"/>
  <c r="AO353" i="27" s="1"/>
  <c r="R353" i="27"/>
  <c r="R354" i="27"/>
  <c r="AI355" i="27"/>
  <c r="AM3" i="33"/>
  <c r="AO3" i="33" s="1"/>
  <c r="AM7" i="33"/>
  <c r="AO7" i="33" s="1"/>
  <c r="R8" i="33"/>
  <c r="Q9" i="33"/>
  <c r="AM10" i="33"/>
  <c r="AO10" i="33" s="1"/>
  <c r="AI10" i="33"/>
  <c r="Q13" i="33"/>
  <c r="AI13" i="33" s="1"/>
  <c r="AM14" i="33"/>
  <c r="AO14" i="33" s="1"/>
  <c r="AI14" i="33"/>
  <c r="Q17" i="33"/>
  <c r="AI17" i="33" s="1"/>
  <c r="AM18" i="33"/>
  <c r="AO18" i="33" s="1"/>
  <c r="Q21" i="33"/>
  <c r="AI21" i="33" s="1"/>
  <c r="AM22" i="33"/>
  <c r="AO22" i="33" s="1"/>
  <c r="AI22" i="33"/>
  <c r="Q26" i="33"/>
  <c r="AM27" i="33"/>
  <c r="AO27" i="33" s="1"/>
  <c r="AI27" i="33"/>
  <c r="Q30" i="33"/>
  <c r="AI30" i="33" s="1"/>
  <c r="AM31" i="33"/>
  <c r="AO31" i="33" s="1"/>
  <c r="AI31" i="33"/>
  <c r="Q34" i="33"/>
  <c r="AI34" i="33" s="1"/>
  <c r="AM35" i="33"/>
  <c r="AO35" i="33" s="1"/>
  <c r="Q38" i="33"/>
  <c r="AI38" i="33" s="1"/>
  <c r="AM39" i="33"/>
  <c r="AO39" i="33" s="1"/>
  <c r="Q42" i="33"/>
  <c r="AI42" i="33" s="1"/>
  <c r="AM43" i="33"/>
  <c r="AO43" i="33" s="1"/>
  <c r="AI43" i="33"/>
  <c r="Q46" i="33"/>
  <c r="AM47" i="33"/>
  <c r="AO47" i="33" s="1"/>
  <c r="AI47" i="33"/>
  <c r="R49" i="33"/>
  <c r="Q50" i="33"/>
  <c r="AM51" i="33"/>
  <c r="AO51" i="33" s="1"/>
  <c r="Q54" i="33"/>
  <c r="AI54" i="33" s="1"/>
  <c r="AM55" i="33"/>
  <c r="AO55" i="33" s="1"/>
  <c r="Q58" i="33"/>
  <c r="AI58" i="33" s="1"/>
  <c r="AM59" i="33"/>
  <c r="AO59" i="33" s="1"/>
  <c r="AI59" i="33"/>
  <c r="Q62" i="33"/>
  <c r="AI62" i="33" s="1"/>
  <c r="AM63" i="33"/>
  <c r="AO63" i="33" s="1"/>
  <c r="AI63" i="33"/>
  <c r="Q66" i="33"/>
  <c r="AI66" i="33" s="1"/>
  <c r="AM67" i="33"/>
  <c r="AO67" i="33" s="1"/>
  <c r="AI67" i="33"/>
  <c r="Q70" i="33"/>
  <c r="AI70" i="33" s="1"/>
  <c r="AM71" i="33"/>
  <c r="AO71" i="33" s="1"/>
  <c r="Q71" i="33"/>
  <c r="AI71" i="33" s="1"/>
  <c r="AM72" i="33"/>
  <c r="AO72" i="33" s="1"/>
  <c r="AI72" i="33"/>
  <c r="AC82" i="33"/>
  <c r="H83" i="33"/>
  <c r="G83" i="33"/>
  <c r="X83" i="33"/>
  <c r="W83" i="33"/>
  <c r="Q85" i="33"/>
  <c r="AI85" i="33" s="1"/>
  <c r="AM86" i="33"/>
  <c r="AO86" i="33" s="1"/>
  <c r="G86" i="33"/>
  <c r="AE86" i="33"/>
  <c r="AD86" i="33"/>
  <c r="AI86" i="33"/>
  <c r="AE87" i="33"/>
  <c r="R4" i="29"/>
  <c r="AJ4" i="29" s="1"/>
  <c r="T4" i="29"/>
  <c r="S5" i="29"/>
  <c r="E6" i="29"/>
  <c r="AN6" i="29"/>
  <c r="AP6" i="29" s="1"/>
  <c r="R8" i="29"/>
  <c r="T8" i="29"/>
  <c r="S9" i="29"/>
  <c r="E10" i="29"/>
  <c r="AN10" i="29"/>
  <c r="AP10" i="29" s="1"/>
  <c r="R12" i="29"/>
  <c r="AJ12" i="29" s="1"/>
  <c r="T12" i="29"/>
  <c r="S13" i="29"/>
  <c r="E14" i="29"/>
  <c r="AN14" i="29"/>
  <c r="AP14" i="29" s="1"/>
  <c r="AJ14" i="29"/>
  <c r="R16" i="29"/>
  <c r="AJ16" i="29" s="1"/>
  <c r="T16" i="29"/>
  <c r="S17" i="29"/>
  <c r="E18" i="29"/>
  <c r="AN18" i="29"/>
  <c r="AP18" i="29" s="1"/>
  <c r="R20" i="29"/>
  <c r="AJ20" i="29" s="1"/>
  <c r="T20" i="29"/>
  <c r="S21" i="29"/>
  <c r="E22" i="29"/>
  <c r="AN22" i="29"/>
  <c r="AP22" i="29" s="1"/>
  <c r="R24" i="29"/>
  <c r="AJ24" i="29" s="1"/>
  <c r="T24" i="29"/>
  <c r="S25" i="29"/>
  <c r="E26" i="29"/>
  <c r="AN26" i="29"/>
  <c r="AP26" i="29" s="1"/>
  <c r="R28" i="29"/>
  <c r="AJ28" i="29" s="1"/>
  <c r="T28" i="29"/>
  <c r="S29" i="29"/>
  <c r="E30" i="29"/>
  <c r="AN30" i="29"/>
  <c r="AP30" i="29" s="1"/>
  <c r="R32" i="29"/>
  <c r="T32" i="29"/>
  <c r="S33" i="29"/>
  <c r="E34" i="29"/>
  <c r="AN34" i="29"/>
  <c r="AP34" i="29" s="1"/>
  <c r="R36" i="29"/>
  <c r="AJ36" i="29" s="1"/>
  <c r="T36" i="29"/>
  <c r="S37" i="29"/>
  <c r="E38" i="29"/>
  <c r="AN38" i="29"/>
  <c r="AP38" i="29" s="1"/>
  <c r="R40" i="29"/>
  <c r="T40" i="29"/>
  <c r="S41" i="29"/>
  <c r="E42" i="29"/>
  <c r="AN42" i="29"/>
  <c r="AP42" i="29" s="1"/>
  <c r="X44" i="29"/>
  <c r="R44" i="29"/>
  <c r="Z44" i="29"/>
  <c r="T44" i="29"/>
  <c r="R46" i="29"/>
  <c r="AJ46" i="29" s="1"/>
  <c r="T46" i="29"/>
  <c r="S47" i="29"/>
  <c r="E48" i="29"/>
  <c r="AN48" i="29"/>
  <c r="AP48" i="29" s="1"/>
  <c r="R50" i="29"/>
  <c r="AJ50" i="29" s="1"/>
  <c r="T50" i="29"/>
  <c r="S51" i="29"/>
  <c r="E52" i="29"/>
  <c r="AN52" i="29"/>
  <c r="AP52" i="29" s="1"/>
  <c r="R54" i="29"/>
  <c r="T54" i="29"/>
  <c r="S55" i="29"/>
  <c r="E56" i="29"/>
  <c r="AN56" i="29"/>
  <c r="AP56" i="29" s="1"/>
  <c r="R58" i="29"/>
  <c r="T58" i="29"/>
  <c r="S59" i="29"/>
  <c r="E60" i="29"/>
  <c r="AN60" i="29"/>
  <c r="AP60" i="29" s="1"/>
  <c r="AJ60" i="29"/>
  <c r="R62" i="29"/>
  <c r="AJ62" i="29" s="1"/>
  <c r="T62" i="29"/>
  <c r="S63" i="29"/>
  <c r="E64" i="29"/>
  <c r="AN64" i="29"/>
  <c r="AP64" i="29" s="1"/>
  <c r="R66" i="29"/>
  <c r="AJ66" i="29" s="1"/>
  <c r="T66" i="29"/>
  <c r="S67" i="29"/>
  <c r="E68" i="29"/>
  <c r="AN68" i="29"/>
  <c r="AP68" i="29" s="1"/>
  <c r="R70" i="29"/>
  <c r="AJ70" i="29" s="1"/>
  <c r="T70" i="29"/>
  <c r="S71" i="29"/>
  <c r="E72" i="29"/>
  <c r="AN72" i="29"/>
  <c r="AP72" i="29" s="1"/>
  <c r="R74" i="29"/>
  <c r="AJ74" i="29" s="1"/>
  <c r="T74" i="29"/>
  <c r="S75" i="29"/>
  <c r="AN76" i="29"/>
  <c r="AP76" i="29" s="1"/>
  <c r="E76" i="29"/>
  <c r="J77" i="29"/>
  <c r="I77" i="29"/>
  <c r="H77" i="29"/>
  <c r="T78" i="29"/>
  <c r="S78" i="29"/>
  <c r="R78" i="29"/>
  <c r="J85" i="29"/>
  <c r="I85" i="29"/>
  <c r="H85" i="29"/>
  <c r="T86" i="29"/>
  <c r="S86" i="29"/>
  <c r="R86" i="29"/>
  <c r="J93" i="29"/>
  <c r="I93" i="29"/>
  <c r="H93" i="29"/>
  <c r="T94" i="29"/>
  <c r="S94" i="29"/>
  <c r="R94" i="29"/>
  <c r="J101" i="29"/>
  <c r="I101" i="29"/>
  <c r="H101" i="29"/>
  <c r="T102" i="29"/>
  <c r="S102" i="29"/>
  <c r="R102" i="29"/>
  <c r="AN113" i="29"/>
  <c r="AP113" i="29" s="1"/>
  <c r="E113" i="29"/>
  <c r="AN115" i="29"/>
  <c r="AP115" i="29" s="1"/>
  <c r="E115" i="29"/>
  <c r="AN116" i="29"/>
  <c r="AP116" i="29" s="1"/>
  <c r="E116" i="29"/>
  <c r="AF116" i="29"/>
  <c r="AE116" i="29"/>
  <c r="AN117" i="29"/>
  <c r="AP117" i="29" s="1"/>
  <c r="AN119" i="29"/>
  <c r="AP119" i="29" s="1"/>
  <c r="AN120" i="29"/>
  <c r="AP120" i="29" s="1"/>
  <c r="E120" i="29"/>
  <c r="AF120" i="29"/>
  <c r="AE120" i="29"/>
  <c r="AN121" i="29"/>
  <c r="AP121" i="29" s="1"/>
  <c r="AN123" i="29"/>
  <c r="AP123" i="29" s="1"/>
  <c r="AN124" i="29"/>
  <c r="AP124" i="29" s="1"/>
  <c r="E124" i="29"/>
  <c r="AF124" i="29"/>
  <c r="AE124" i="29"/>
  <c r="AN125" i="29"/>
  <c r="AP125" i="29" s="1"/>
  <c r="AN127" i="29"/>
  <c r="AP127" i="29" s="1"/>
  <c r="Z128" i="29"/>
  <c r="X128" i="29"/>
  <c r="AJ128" i="29" s="1"/>
  <c r="AN129" i="29"/>
  <c r="AP129" i="29" s="1"/>
  <c r="Z130" i="29"/>
  <c r="X130" i="29"/>
  <c r="AJ130" i="29" s="1"/>
  <c r="J135" i="29"/>
  <c r="H135" i="29"/>
  <c r="T136" i="29"/>
  <c r="S136" i="29"/>
  <c r="J137" i="29"/>
  <c r="H137" i="29"/>
  <c r="AF137" i="29"/>
  <c r="AD137" i="29"/>
  <c r="T138" i="29"/>
  <c r="S138" i="29"/>
  <c r="AN143" i="29"/>
  <c r="AP143" i="29" s="1"/>
  <c r="AF143" i="29"/>
  <c r="AD143" i="29"/>
  <c r="Z144" i="29"/>
  <c r="X144" i="29"/>
  <c r="AJ144" i="29" s="1"/>
  <c r="AN145" i="29"/>
  <c r="AP145" i="29" s="1"/>
  <c r="Z146" i="29"/>
  <c r="X146" i="29"/>
  <c r="AJ146" i="29" s="1"/>
  <c r="J151" i="29"/>
  <c r="H151" i="29"/>
  <c r="T152" i="29"/>
  <c r="S152" i="29"/>
  <c r="J153" i="29"/>
  <c r="H153" i="29"/>
  <c r="AF153" i="29"/>
  <c r="AD153" i="29"/>
  <c r="T154" i="29"/>
  <c r="S154" i="29"/>
  <c r="AN159" i="29"/>
  <c r="AP159" i="29" s="1"/>
  <c r="AF159" i="29"/>
  <c r="AD159" i="29"/>
  <c r="Z160" i="29"/>
  <c r="X160" i="29"/>
  <c r="AJ160" i="29" s="1"/>
  <c r="AN161" i="29"/>
  <c r="AP161" i="29" s="1"/>
  <c r="Z162" i="29"/>
  <c r="X162" i="29"/>
  <c r="AJ162" i="29" s="1"/>
  <c r="J167" i="29"/>
  <c r="H167" i="29"/>
  <c r="T168" i="29"/>
  <c r="S168" i="29"/>
  <c r="J169" i="29"/>
  <c r="H169" i="29"/>
  <c r="AF169" i="29"/>
  <c r="AD169" i="29"/>
  <c r="T170" i="29"/>
  <c r="S170" i="29"/>
  <c r="AN175" i="29"/>
  <c r="AP175" i="29" s="1"/>
  <c r="AF175" i="29"/>
  <c r="AD175" i="29"/>
  <c r="Z176" i="29"/>
  <c r="X176" i="29"/>
  <c r="AN177" i="29"/>
  <c r="AP177" i="29" s="1"/>
  <c r="Z178" i="29"/>
  <c r="X178" i="29"/>
  <c r="AK182" i="29"/>
  <c r="S183" i="29"/>
  <c r="R183" i="29"/>
  <c r="S187" i="29"/>
  <c r="R187" i="29"/>
  <c r="AJ187" i="29" s="1"/>
  <c r="E189" i="29"/>
  <c r="S191" i="29"/>
  <c r="R191" i="29"/>
  <c r="AJ191" i="29" s="1"/>
  <c r="S195" i="29"/>
  <c r="R195" i="29"/>
  <c r="AJ195" i="29" s="1"/>
  <c r="AN197" i="29"/>
  <c r="AP197" i="29" s="1"/>
  <c r="R82" i="33"/>
  <c r="R86" i="33"/>
  <c r="AN80" i="29"/>
  <c r="AP80" i="29" s="1"/>
  <c r="AN84" i="29"/>
  <c r="AP84" i="29" s="1"/>
  <c r="AN88" i="29"/>
  <c r="AP88" i="29" s="1"/>
  <c r="AN92" i="29"/>
  <c r="AP92" i="29" s="1"/>
  <c r="AN96" i="29"/>
  <c r="AP96" i="29" s="1"/>
  <c r="AN100" i="29"/>
  <c r="AP100" i="29" s="1"/>
  <c r="AN104" i="29"/>
  <c r="AP104" i="29" s="1"/>
  <c r="T106" i="29"/>
  <c r="S106" i="29"/>
  <c r="T110" i="29"/>
  <c r="S110" i="29"/>
  <c r="T114" i="29"/>
  <c r="S114" i="29"/>
  <c r="AD116" i="29"/>
  <c r="AD117" i="29"/>
  <c r="T118" i="29"/>
  <c r="S118" i="29"/>
  <c r="X118" i="29"/>
  <c r="E119" i="29"/>
  <c r="AD120" i="29"/>
  <c r="AD121" i="29"/>
  <c r="T122" i="29"/>
  <c r="S122" i="29"/>
  <c r="X122" i="29"/>
  <c r="E123" i="29"/>
  <c r="AD124" i="29"/>
  <c r="AD125" i="29"/>
  <c r="T126" i="29"/>
  <c r="S126" i="29"/>
  <c r="X126" i="29"/>
  <c r="E127" i="29"/>
  <c r="Y128" i="29"/>
  <c r="E129" i="29"/>
  <c r="Y130" i="29"/>
  <c r="AN131" i="29"/>
  <c r="AP131" i="29" s="1"/>
  <c r="AF131" i="29"/>
  <c r="AD131" i="29"/>
  <c r="AJ131" i="29" s="1"/>
  <c r="Z132" i="29"/>
  <c r="X132" i="29"/>
  <c r="AN133" i="29"/>
  <c r="AP133" i="29" s="1"/>
  <c r="Z134" i="29"/>
  <c r="X134" i="29"/>
  <c r="AJ134" i="29" s="1"/>
  <c r="I135" i="29"/>
  <c r="R136" i="29"/>
  <c r="I137" i="29"/>
  <c r="AE137" i="29"/>
  <c r="R138" i="29"/>
  <c r="J139" i="29"/>
  <c r="H139" i="29"/>
  <c r="T140" i="29"/>
  <c r="S140" i="29"/>
  <c r="J141" i="29"/>
  <c r="H141" i="29"/>
  <c r="AF141" i="29"/>
  <c r="AD141" i="29"/>
  <c r="T142" i="29"/>
  <c r="S142" i="29"/>
  <c r="E143" i="29"/>
  <c r="AE143" i="29"/>
  <c r="Y144" i="29"/>
  <c r="E145" i="29"/>
  <c r="AN147" i="29"/>
  <c r="AP147" i="29" s="1"/>
  <c r="AF147" i="29"/>
  <c r="AD147" i="29"/>
  <c r="AJ147" i="29" s="1"/>
  <c r="Z148" i="29"/>
  <c r="X148" i="29"/>
  <c r="AN149" i="29"/>
  <c r="AP149" i="29" s="1"/>
  <c r="Z150" i="29"/>
  <c r="X150" i="29"/>
  <c r="AJ150" i="29" s="1"/>
  <c r="I151" i="29"/>
  <c r="R152" i="29"/>
  <c r="I153" i="29"/>
  <c r="AE153" i="29"/>
  <c r="R154" i="29"/>
  <c r="J155" i="29"/>
  <c r="H155" i="29"/>
  <c r="T156" i="29"/>
  <c r="S156" i="29"/>
  <c r="J157" i="29"/>
  <c r="H157" i="29"/>
  <c r="AF157" i="29"/>
  <c r="AD157" i="29"/>
  <c r="T158" i="29"/>
  <c r="S158" i="29"/>
  <c r="E159" i="29"/>
  <c r="AN163" i="29"/>
  <c r="AP163" i="29" s="1"/>
  <c r="AF163" i="29"/>
  <c r="AD163" i="29"/>
  <c r="Z164" i="29"/>
  <c r="X164" i="29"/>
  <c r="AJ164" i="29" s="1"/>
  <c r="AN165" i="29"/>
  <c r="AP165" i="29" s="1"/>
  <c r="Z166" i="29"/>
  <c r="X166" i="29"/>
  <c r="AJ166" i="29" s="1"/>
  <c r="I167" i="29"/>
  <c r="R168" i="29"/>
  <c r="I169" i="29"/>
  <c r="AE169" i="29"/>
  <c r="R170" i="29"/>
  <c r="J171" i="29"/>
  <c r="H171" i="29"/>
  <c r="T172" i="29"/>
  <c r="S172" i="29"/>
  <c r="J173" i="29"/>
  <c r="H173" i="29"/>
  <c r="AF173" i="29"/>
  <c r="AD173" i="29"/>
  <c r="T174" i="29"/>
  <c r="S174" i="29"/>
  <c r="E175" i="29"/>
  <c r="AE175" i="29"/>
  <c r="Y176" i="29"/>
  <c r="E177" i="29"/>
  <c r="Y178" i="29"/>
  <c r="AN179" i="29"/>
  <c r="AP179" i="29" s="1"/>
  <c r="AF179" i="29"/>
  <c r="AD179" i="29"/>
  <c r="AJ179" i="29" s="1"/>
  <c r="Z180" i="29"/>
  <c r="X180" i="29"/>
  <c r="AJ180" i="29" s="1"/>
  <c r="T183" i="29"/>
  <c r="E185" i="29"/>
  <c r="AJ185" i="29"/>
  <c r="T187" i="29"/>
  <c r="AN189" i="29"/>
  <c r="AP189" i="29" s="1"/>
  <c r="E193" i="29"/>
  <c r="T195" i="29"/>
  <c r="Q106" i="33"/>
  <c r="AI106" i="33" s="1"/>
  <c r="Q107" i="33"/>
  <c r="AI107" i="33" s="1"/>
  <c r="Q108" i="33"/>
  <c r="W108" i="33"/>
  <c r="AC108" i="33"/>
  <c r="Q109" i="33"/>
  <c r="W109" i="33"/>
  <c r="AC109" i="33"/>
  <c r="Q110" i="33"/>
  <c r="W110" i="33"/>
  <c r="AC110" i="33"/>
  <c r="H76" i="29"/>
  <c r="AD76" i="29"/>
  <c r="AJ76" i="29" s="1"/>
  <c r="X77" i="29"/>
  <c r="AN79" i="29"/>
  <c r="AP79" i="29" s="1"/>
  <c r="S79" i="29"/>
  <c r="H80" i="29"/>
  <c r="AD80" i="29"/>
  <c r="AJ80" i="29" s="1"/>
  <c r="X81" i="29"/>
  <c r="AN83" i="29"/>
  <c r="AP83" i="29" s="1"/>
  <c r="S83" i="29"/>
  <c r="H84" i="29"/>
  <c r="AD84" i="29"/>
  <c r="AJ84" i="29" s="1"/>
  <c r="X85" i="29"/>
  <c r="AN87" i="29"/>
  <c r="AP87" i="29" s="1"/>
  <c r="S87" i="29"/>
  <c r="H88" i="29"/>
  <c r="AD88" i="29"/>
  <c r="AJ88" i="29" s="1"/>
  <c r="X89" i="29"/>
  <c r="AN91" i="29"/>
  <c r="AP91" i="29" s="1"/>
  <c r="S91" i="29"/>
  <c r="H92" i="29"/>
  <c r="AD92" i="29"/>
  <c r="X93" i="29"/>
  <c r="AN95" i="29"/>
  <c r="AP95" i="29" s="1"/>
  <c r="S95" i="29"/>
  <c r="H96" i="29"/>
  <c r="AD96" i="29"/>
  <c r="AJ96" i="29" s="1"/>
  <c r="X97" i="29"/>
  <c r="AN99" i="29"/>
  <c r="AP99" i="29" s="1"/>
  <c r="S99" i="29"/>
  <c r="H100" i="29"/>
  <c r="AD100" i="29"/>
  <c r="AJ100" i="29" s="1"/>
  <c r="X101" i="29"/>
  <c r="AN103" i="29"/>
  <c r="AP103" i="29" s="1"/>
  <c r="S103" i="29"/>
  <c r="H104" i="29"/>
  <c r="Z104" i="29"/>
  <c r="X104" i="29"/>
  <c r="Z105" i="29"/>
  <c r="Y105" i="29"/>
  <c r="AF107" i="29"/>
  <c r="AD107" i="29"/>
  <c r="AJ107" i="29" s="1"/>
  <c r="Z108" i="29"/>
  <c r="X108" i="29"/>
  <c r="AJ108" i="29" s="1"/>
  <c r="Z109" i="29"/>
  <c r="Y109" i="29"/>
  <c r="AF111" i="29"/>
  <c r="AD111" i="29"/>
  <c r="AJ111" i="29" s="1"/>
  <c r="Z112" i="29"/>
  <c r="X112" i="29"/>
  <c r="Z113" i="29"/>
  <c r="Y113" i="29"/>
  <c r="AF115" i="29"/>
  <c r="AD115" i="29"/>
  <c r="Z116" i="29"/>
  <c r="X116" i="29"/>
  <c r="E117" i="29"/>
  <c r="Z117" i="29"/>
  <c r="Y117" i="29"/>
  <c r="AE117" i="29"/>
  <c r="Y118" i="29"/>
  <c r="AF119" i="29"/>
  <c r="AD119" i="29"/>
  <c r="AJ119" i="29" s="1"/>
  <c r="Z120" i="29"/>
  <c r="X120" i="29"/>
  <c r="E121" i="29"/>
  <c r="Z121" i="29"/>
  <c r="Y121" i="29"/>
  <c r="AE121" i="29"/>
  <c r="Y122" i="29"/>
  <c r="AF123" i="29"/>
  <c r="AD123" i="29"/>
  <c r="Z124" i="29"/>
  <c r="X124" i="29"/>
  <c r="E125" i="29"/>
  <c r="Z125" i="29"/>
  <c r="Y125" i="29"/>
  <c r="AE125" i="29"/>
  <c r="Y126" i="29"/>
  <c r="AF127" i="29"/>
  <c r="AD127" i="29"/>
  <c r="AJ127" i="29" s="1"/>
  <c r="T128" i="29"/>
  <c r="S128" i="29"/>
  <c r="J129" i="29"/>
  <c r="H129" i="29"/>
  <c r="AF129" i="29"/>
  <c r="AD129" i="29"/>
  <c r="T130" i="29"/>
  <c r="S130" i="29"/>
  <c r="E131" i="29"/>
  <c r="AE131" i="29"/>
  <c r="Y132" i="29"/>
  <c r="AJ132" i="29"/>
  <c r="E133" i="29"/>
  <c r="Y134" i="29"/>
  <c r="AN135" i="29"/>
  <c r="AP135" i="29" s="1"/>
  <c r="AF135" i="29"/>
  <c r="AD135" i="29"/>
  <c r="Z136" i="29"/>
  <c r="X136" i="29"/>
  <c r="AN137" i="29"/>
  <c r="AP137" i="29" s="1"/>
  <c r="Z138" i="29"/>
  <c r="X138" i="29"/>
  <c r="I139" i="29"/>
  <c r="R140" i="29"/>
  <c r="I141" i="29"/>
  <c r="AE141" i="29"/>
  <c r="R142" i="29"/>
  <c r="J143" i="29"/>
  <c r="H143" i="29"/>
  <c r="T144" i="29"/>
  <c r="S144" i="29"/>
  <c r="J145" i="29"/>
  <c r="H145" i="29"/>
  <c r="AF145" i="29"/>
  <c r="AD145" i="29"/>
  <c r="T146" i="29"/>
  <c r="S146" i="29"/>
  <c r="E147" i="29"/>
  <c r="AE147" i="29"/>
  <c r="Y148" i="29"/>
  <c r="E149" i="29"/>
  <c r="Y150" i="29"/>
  <c r="AN151" i="29"/>
  <c r="AP151" i="29" s="1"/>
  <c r="AF151" i="29"/>
  <c r="AD151" i="29"/>
  <c r="AJ151" i="29" s="1"/>
  <c r="Z152" i="29"/>
  <c r="X152" i="29"/>
  <c r="AN153" i="29"/>
  <c r="AP153" i="29" s="1"/>
  <c r="Z154" i="29"/>
  <c r="X154" i="29"/>
  <c r="I155" i="29"/>
  <c r="R156" i="29"/>
  <c r="I157" i="29"/>
  <c r="AE157" i="29"/>
  <c r="R158" i="29"/>
  <c r="J159" i="29"/>
  <c r="H159" i="29"/>
  <c r="T160" i="29"/>
  <c r="S160" i="29"/>
  <c r="J161" i="29"/>
  <c r="H161" i="29"/>
  <c r="AF161" i="29"/>
  <c r="AD161" i="29"/>
  <c r="T162" i="29"/>
  <c r="S162" i="29"/>
  <c r="E163" i="29"/>
  <c r="AE163" i="29"/>
  <c r="Y164" i="29"/>
  <c r="E165" i="29"/>
  <c r="Y166" i="29"/>
  <c r="AN167" i="29"/>
  <c r="AP167" i="29" s="1"/>
  <c r="AF167" i="29"/>
  <c r="AD167" i="29"/>
  <c r="Z168" i="29"/>
  <c r="X168" i="29"/>
  <c r="AN169" i="29"/>
  <c r="AP169" i="29" s="1"/>
  <c r="Z170" i="29"/>
  <c r="X170" i="29"/>
  <c r="I171" i="29"/>
  <c r="R172" i="29"/>
  <c r="I173" i="29"/>
  <c r="AE173" i="29"/>
  <c r="R174" i="29"/>
  <c r="J175" i="29"/>
  <c r="H175" i="29"/>
  <c r="T176" i="29"/>
  <c r="S176" i="29"/>
  <c r="J177" i="29"/>
  <c r="H177" i="29"/>
  <c r="AF177" i="29"/>
  <c r="AD177" i="29"/>
  <c r="T178" i="29"/>
  <c r="S178" i="29"/>
  <c r="E179" i="29"/>
  <c r="AE179" i="29"/>
  <c r="Y180" i="29"/>
  <c r="AJ183" i="29"/>
  <c r="AN185" i="29"/>
  <c r="AP185" i="29" s="1"/>
  <c r="AN193" i="29"/>
  <c r="AP193" i="29" s="1"/>
  <c r="I76" i="29"/>
  <c r="AE76" i="29"/>
  <c r="R77" i="29"/>
  <c r="Y77" i="29"/>
  <c r="AN78" i="29"/>
  <c r="AP78" i="29" s="1"/>
  <c r="AJ79" i="29"/>
  <c r="E80" i="29"/>
  <c r="I80" i="29"/>
  <c r="AE80" i="29"/>
  <c r="R81" i="29"/>
  <c r="Y81" i="29"/>
  <c r="AN82" i="29"/>
  <c r="AP82" i="29" s="1"/>
  <c r="E84" i="29"/>
  <c r="I84" i="29"/>
  <c r="AE84" i="29"/>
  <c r="R85" i="29"/>
  <c r="Y85" i="29"/>
  <c r="AN86" i="29"/>
  <c r="AP86" i="29" s="1"/>
  <c r="AJ87" i="29"/>
  <c r="E88" i="29"/>
  <c r="I88" i="29"/>
  <c r="AE88" i="29"/>
  <c r="R89" i="29"/>
  <c r="Y89" i="29"/>
  <c r="AN90" i="29"/>
  <c r="AP90" i="29" s="1"/>
  <c r="E92" i="29"/>
  <c r="I92" i="29"/>
  <c r="AE92" i="29"/>
  <c r="R93" i="29"/>
  <c r="Y93" i="29"/>
  <c r="AN94" i="29"/>
  <c r="AP94" i="29" s="1"/>
  <c r="AJ95" i="29"/>
  <c r="E96" i="29"/>
  <c r="I96" i="29"/>
  <c r="AE96" i="29"/>
  <c r="R97" i="29"/>
  <c r="Y97" i="29"/>
  <c r="AN98" i="29"/>
  <c r="AP98" i="29" s="1"/>
  <c r="AJ99" i="29"/>
  <c r="E100" i="29"/>
  <c r="I100" i="29"/>
  <c r="AE100" i="29"/>
  <c r="R101" i="29"/>
  <c r="Y101" i="29"/>
  <c r="AN102" i="29"/>
  <c r="AP102" i="29" s="1"/>
  <c r="E104" i="29"/>
  <c r="I104" i="29"/>
  <c r="T105" i="29"/>
  <c r="R105" i="29"/>
  <c r="AJ105" i="29" s="1"/>
  <c r="R106" i="29"/>
  <c r="J107" i="29"/>
  <c r="H107" i="29"/>
  <c r="J108" i="29"/>
  <c r="I108" i="29"/>
  <c r="T109" i="29"/>
  <c r="R109" i="29"/>
  <c r="R110" i="29"/>
  <c r="J111" i="29"/>
  <c r="H111" i="29"/>
  <c r="J112" i="29"/>
  <c r="I112" i="29"/>
  <c r="T113" i="29"/>
  <c r="R113" i="29"/>
  <c r="AJ113" i="29" s="1"/>
  <c r="R114" i="29"/>
  <c r="J115" i="29"/>
  <c r="H115" i="29"/>
  <c r="J116" i="29"/>
  <c r="I116" i="29"/>
  <c r="T117" i="29"/>
  <c r="R117" i="29"/>
  <c r="R118" i="29"/>
  <c r="J119" i="29"/>
  <c r="H119" i="29"/>
  <c r="J120" i="29"/>
  <c r="I120" i="29"/>
  <c r="T121" i="29"/>
  <c r="R121" i="29"/>
  <c r="R122" i="29"/>
  <c r="J123" i="29"/>
  <c r="H123" i="29"/>
  <c r="J124" i="29"/>
  <c r="I124" i="29"/>
  <c r="T125" i="29"/>
  <c r="R125" i="29"/>
  <c r="R126" i="29"/>
  <c r="J127" i="29"/>
  <c r="H127" i="29"/>
  <c r="J131" i="29"/>
  <c r="H131" i="29"/>
  <c r="T132" i="29"/>
  <c r="S132" i="29"/>
  <c r="J133" i="29"/>
  <c r="H133" i="29"/>
  <c r="AF133" i="29"/>
  <c r="AD133" i="29"/>
  <c r="T134" i="29"/>
  <c r="S134" i="29"/>
  <c r="AN139" i="29"/>
  <c r="AP139" i="29" s="1"/>
  <c r="AF139" i="29"/>
  <c r="AD139" i="29"/>
  <c r="AJ139" i="29" s="1"/>
  <c r="Z140" i="29"/>
  <c r="X140" i="29"/>
  <c r="AN141" i="29"/>
  <c r="AP141" i="29" s="1"/>
  <c r="Z142" i="29"/>
  <c r="X142" i="29"/>
  <c r="AJ142" i="29" s="1"/>
  <c r="J147" i="29"/>
  <c r="H147" i="29"/>
  <c r="T148" i="29"/>
  <c r="S148" i="29"/>
  <c r="J149" i="29"/>
  <c r="H149" i="29"/>
  <c r="AF149" i="29"/>
  <c r="AD149" i="29"/>
  <c r="T150" i="29"/>
  <c r="S150" i="29"/>
  <c r="AN155" i="29"/>
  <c r="AP155" i="29" s="1"/>
  <c r="AF155" i="29"/>
  <c r="AD155" i="29"/>
  <c r="Z156" i="29"/>
  <c r="X156" i="29"/>
  <c r="AN157" i="29"/>
  <c r="AP157" i="29" s="1"/>
  <c r="Z158" i="29"/>
  <c r="X158" i="29"/>
  <c r="J163" i="29"/>
  <c r="H163" i="29"/>
  <c r="T164" i="29"/>
  <c r="S164" i="29"/>
  <c r="J165" i="29"/>
  <c r="H165" i="29"/>
  <c r="AF165" i="29"/>
  <c r="AD165" i="29"/>
  <c r="T166" i="29"/>
  <c r="S166" i="29"/>
  <c r="AN171" i="29"/>
  <c r="AP171" i="29" s="1"/>
  <c r="AF171" i="29"/>
  <c r="AD171" i="29"/>
  <c r="AJ171" i="29" s="1"/>
  <c r="Z172" i="29"/>
  <c r="X172" i="29"/>
  <c r="AN173" i="29"/>
  <c r="AP173" i="29" s="1"/>
  <c r="Z174" i="29"/>
  <c r="X174" i="29"/>
  <c r="J179" i="29"/>
  <c r="H179" i="29"/>
  <c r="T180" i="29"/>
  <c r="S180" i="29"/>
  <c r="AN106" i="29"/>
  <c r="AP106" i="29" s="1"/>
  <c r="AN110" i="29"/>
  <c r="AP110" i="29" s="1"/>
  <c r="AN114" i="29"/>
  <c r="AP114" i="29" s="1"/>
  <c r="AN118" i="29"/>
  <c r="AP118" i="29" s="1"/>
  <c r="AN122" i="29"/>
  <c r="AP122" i="29" s="1"/>
  <c r="AN126" i="29"/>
  <c r="AP126" i="29" s="1"/>
  <c r="I128" i="29"/>
  <c r="AE128" i="29"/>
  <c r="R129" i="29"/>
  <c r="Y129" i="29"/>
  <c r="AN130" i="29"/>
  <c r="AP130" i="29" s="1"/>
  <c r="I132" i="29"/>
  <c r="AE132" i="29"/>
  <c r="R133" i="29"/>
  <c r="Y133" i="29"/>
  <c r="AN134" i="29"/>
  <c r="AP134" i="29" s="1"/>
  <c r="I136" i="29"/>
  <c r="AE136" i="29"/>
  <c r="R137" i="29"/>
  <c r="Y137" i="29"/>
  <c r="AN138" i="29"/>
  <c r="AP138" i="29" s="1"/>
  <c r="I140" i="29"/>
  <c r="AE140" i="29"/>
  <c r="R141" i="29"/>
  <c r="Y141" i="29"/>
  <c r="AN142" i="29"/>
  <c r="AP142" i="29" s="1"/>
  <c r="I144" i="29"/>
  <c r="AE144" i="29"/>
  <c r="R145" i="29"/>
  <c r="Y145" i="29"/>
  <c r="AN146" i="29"/>
  <c r="AP146" i="29" s="1"/>
  <c r="I148" i="29"/>
  <c r="AE148" i="29"/>
  <c r="R149" i="29"/>
  <c r="Y149" i="29"/>
  <c r="AN150" i="29"/>
  <c r="AP150" i="29" s="1"/>
  <c r="I152" i="29"/>
  <c r="AE152" i="29"/>
  <c r="R153" i="29"/>
  <c r="Y153" i="29"/>
  <c r="AN154" i="29"/>
  <c r="AP154" i="29" s="1"/>
  <c r="I156" i="29"/>
  <c r="AE156" i="29"/>
  <c r="R157" i="29"/>
  <c r="Y157" i="29"/>
  <c r="AN158" i="29"/>
  <c r="AP158" i="29" s="1"/>
  <c r="I160" i="29"/>
  <c r="AE160" i="29"/>
  <c r="R161" i="29"/>
  <c r="Y161" i="29"/>
  <c r="AN162" i="29"/>
  <c r="AP162" i="29" s="1"/>
  <c r="I164" i="29"/>
  <c r="AE164" i="29"/>
  <c r="R165" i="29"/>
  <c r="AN166" i="29"/>
  <c r="AP166" i="29" s="1"/>
  <c r="I168" i="29"/>
  <c r="AE168" i="29"/>
  <c r="R169" i="29"/>
  <c r="Y169" i="29"/>
  <c r="AN170" i="29"/>
  <c r="AP170" i="29" s="1"/>
  <c r="I172" i="29"/>
  <c r="AE172" i="29"/>
  <c r="R173" i="29"/>
  <c r="Y173" i="29"/>
  <c r="AN174" i="29"/>
  <c r="AP174" i="29" s="1"/>
  <c r="I176" i="29"/>
  <c r="AE176" i="29"/>
  <c r="R177" i="29"/>
  <c r="Y177" i="29"/>
  <c r="AN178" i="29"/>
  <c r="AP178" i="29" s="1"/>
  <c r="I180" i="29"/>
  <c r="AE180" i="29"/>
  <c r="S181" i="29"/>
  <c r="R184" i="29"/>
  <c r="AJ184" i="29" s="1"/>
  <c r="AN184" i="29"/>
  <c r="AP184" i="29" s="1"/>
  <c r="S185" i="29"/>
  <c r="T186" i="29"/>
  <c r="R188" i="29"/>
  <c r="AJ188" i="29" s="1"/>
  <c r="AN188" i="29"/>
  <c r="AP188" i="29" s="1"/>
  <c r="S189" i="29"/>
  <c r="R192" i="29"/>
  <c r="AJ192" i="29" s="1"/>
  <c r="AN192" i="29"/>
  <c r="AP192" i="29" s="1"/>
  <c r="S193" i="29"/>
  <c r="T194" i="29"/>
  <c r="R196" i="29"/>
  <c r="AJ196" i="29" s="1"/>
  <c r="AN196" i="29"/>
  <c r="AP196" i="29" s="1"/>
  <c r="R199" i="29"/>
  <c r="AJ199" i="29" s="1"/>
  <c r="AN199" i="29"/>
  <c r="AP199" i="29" s="1"/>
  <c r="S200" i="29"/>
  <c r="AN203" i="29"/>
  <c r="AP203" i="29" s="1"/>
  <c r="S203" i="29"/>
  <c r="S205" i="29"/>
  <c r="S207" i="29"/>
  <c r="S209" i="29"/>
  <c r="S211" i="29"/>
  <c r="S213" i="29"/>
  <c r="S215" i="29"/>
  <c r="S217" i="29"/>
  <c r="S219" i="29"/>
  <c r="S221" i="29"/>
  <c r="S223" i="29"/>
  <c r="S225" i="29"/>
  <c r="S227" i="29"/>
  <c r="S229" i="29"/>
  <c r="R233" i="29"/>
  <c r="Y235" i="29"/>
  <c r="X235" i="29"/>
  <c r="AN240" i="29"/>
  <c r="AP240" i="29" s="1"/>
  <c r="AN244" i="29"/>
  <c r="AP244" i="29" s="1"/>
  <c r="S245" i="29"/>
  <c r="R246" i="29"/>
  <c r="AJ246" i="29" s="1"/>
  <c r="AN248" i="29"/>
  <c r="AP248" i="29" s="1"/>
  <c r="S249" i="29"/>
  <c r="R250" i="29"/>
  <c r="AJ250" i="29" s="1"/>
  <c r="AN252" i="29"/>
  <c r="AP252" i="29" s="1"/>
  <c r="S253" i="29"/>
  <c r="R254" i="29"/>
  <c r="AJ254" i="29" s="1"/>
  <c r="AL255" i="29"/>
  <c r="AM255" i="29" s="1"/>
  <c r="AN256" i="29"/>
  <c r="AP256" i="29" s="1"/>
  <c r="S257" i="29"/>
  <c r="R258" i="29"/>
  <c r="AN260" i="29"/>
  <c r="AP260" i="29" s="1"/>
  <c r="S261" i="29"/>
  <c r="R262" i="29"/>
  <c r="AJ262" i="29" s="1"/>
  <c r="AN264" i="29"/>
  <c r="AP264" i="29" s="1"/>
  <c r="S265" i="29"/>
  <c r="R266" i="29"/>
  <c r="AJ266" i="29" s="1"/>
  <c r="AN183" i="29"/>
  <c r="AP183" i="29" s="1"/>
  <c r="AN187" i="29"/>
  <c r="AP187" i="29" s="1"/>
  <c r="AN191" i="29"/>
  <c r="AP191" i="29" s="1"/>
  <c r="AN195" i="29"/>
  <c r="AP195" i="29" s="1"/>
  <c r="E197" i="29"/>
  <c r="R198" i="29"/>
  <c r="AJ198" i="29" s="1"/>
  <c r="AN198" i="29"/>
  <c r="AP198" i="29" s="1"/>
  <c r="E200" i="29"/>
  <c r="R202" i="29"/>
  <c r="AJ202" i="29" s="1"/>
  <c r="AN202" i="29"/>
  <c r="AP202" i="29" s="1"/>
  <c r="Z203" i="29"/>
  <c r="X203" i="29"/>
  <c r="AJ203" i="29" s="1"/>
  <c r="E204" i="29"/>
  <c r="AF204" i="29"/>
  <c r="AE204" i="29"/>
  <c r="AN205" i="29"/>
  <c r="AP205" i="29" s="1"/>
  <c r="Z205" i="29"/>
  <c r="X205" i="29"/>
  <c r="AJ205" i="29" s="1"/>
  <c r="E206" i="29"/>
  <c r="AF206" i="29"/>
  <c r="AE206" i="29"/>
  <c r="AN207" i="29"/>
  <c r="AP207" i="29" s="1"/>
  <c r="Z207" i="29"/>
  <c r="X207" i="29"/>
  <c r="AJ207" i="29" s="1"/>
  <c r="E208" i="29"/>
  <c r="AF208" i="29"/>
  <c r="AE208" i="29"/>
  <c r="AN209" i="29"/>
  <c r="AP209" i="29" s="1"/>
  <c r="Z209" i="29"/>
  <c r="X209" i="29"/>
  <c r="AJ209" i="29" s="1"/>
  <c r="E210" i="29"/>
  <c r="AF210" i="29"/>
  <c r="AE210" i="29"/>
  <c r="AN211" i="29"/>
  <c r="AP211" i="29" s="1"/>
  <c r="Z211" i="29"/>
  <c r="X211" i="29"/>
  <c r="AJ211" i="29" s="1"/>
  <c r="E212" i="29"/>
  <c r="AF212" i="29"/>
  <c r="AE212" i="29"/>
  <c r="AN213" i="29"/>
  <c r="AP213" i="29" s="1"/>
  <c r="Z213" i="29"/>
  <c r="X213" i="29"/>
  <c r="AJ213" i="29" s="1"/>
  <c r="E214" i="29"/>
  <c r="AF214" i="29"/>
  <c r="AE214" i="29"/>
  <c r="AN215" i="29"/>
  <c r="AP215" i="29" s="1"/>
  <c r="Z215" i="29"/>
  <c r="X215" i="29"/>
  <c r="AJ215" i="29" s="1"/>
  <c r="E216" i="29"/>
  <c r="AF216" i="29"/>
  <c r="AE216" i="29"/>
  <c r="AN217" i="29"/>
  <c r="AP217" i="29" s="1"/>
  <c r="Z217" i="29"/>
  <c r="X217" i="29"/>
  <c r="AJ217" i="29" s="1"/>
  <c r="E218" i="29"/>
  <c r="AF218" i="29"/>
  <c r="AE218" i="29"/>
  <c r="AN219" i="29"/>
  <c r="AP219" i="29" s="1"/>
  <c r="Z219" i="29"/>
  <c r="X219" i="29"/>
  <c r="AJ219" i="29" s="1"/>
  <c r="E220" i="29"/>
  <c r="AF220" i="29"/>
  <c r="AE220" i="29"/>
  <c r="AN221" i="29"/>
  <c r="AP221" i="29" s="1"/>
  <c r="Z221" i="29"/>
  <c r="X221" i="29"/>
  <c r="AJ221" i="29" s="1"/>
  <c r="E222" i="29"/>
  <c r="AF222" i="29"/>
  <c r="AE222" i="29"/>
  <c r="AN223" i="29"/>
  <c r="AP223" i="29" s="1"/>
  <c r="Z223" i="29"/>
  <c r="X223" i="29"/>
  <c r="AJ223" i="29" s="1"/>
  <c r="E224" i="29"/>
  <c r="AF224" i="29"/>
  <c r="AE224" i="29"/>
  <c r="AN225" i="29"/>
  <c r="AP225" i="29" s="1"/>
  <c r="Z225" i="29"/>
  <c r="X225" i="29"/>
  <c r="AJ225" i="29" s="1"/>
  <c r="E226" i="29"/>
  <c r="AF226" i="29"/>
  <c r="AE226" i="29"/>
  <c r="AN227" i="29"/>
  <c r="AP227" i="29" s="1"/>
  <c r="Z227" i="29"/>
  <c r="X227" i="29"/>
  <c r="AJ227" i="29" s="1"/>
  <c r="E228" i="29"/>
  <c r="AF228" i="29"/>
  <c r="AE228" i="29"/>
  <c r="AN229" i="29"/>
  <c r="AP229" i="29" s="1"/>
  <c r="Z229" i="29"/>
  <c r="X229" i="29"/>
  <c r="Z230" i="29"/>
  <c r="Y230" i="29"/>
  <c r="Y231" i="29"/>
  <c r="X231" i="29"/>
  <c r="Z231" i="29"/>
  <c r="S233" i="29"/>
  <c r="J234" i="29"/>
  <c r="I234" i="29"/>
  <c r="AF234" i="29"/>
  <c r="AE234" i="29"/>
  <c r="AN239" i="29"/>
  <c r="AP239" i="29" s="1"/>
  <c r="AN243" i="29"/>
  <c r="AP243" i="29" s="1"/>
  <c r="AN245" i="29"/>
  <c r="AP245" i="29" s="1"/>
  <c r="AJ245" i="29"/>
  <c r="S246" i="29"/>
  <c r="AN249" i="29"/>
  <c r="AP249" i="29" s="1"/>
  <c r="AJ249" i="29"/>
  <c r="S250" i="29"/>
  <c r="AN253" i="29"/>
  <c r="AP253" i="29" s="1"/>
  <c r="AJ253" i="29"/>
  <c r="S254" i="29"/>
  <c r="AN257" i="29"/>
  <c r="AP257" i="29" s="1"/>
  <c r="AJ257" i="29"/>
  <c r="S258" i="29"/>
  <c r="AN261" i="29"/>
  <c r="AP261" i="29" s="1"/>
  <c r="AJ261" i="29"/>
  <c r="S262" i="29"/>
  <c r="AN265" i="29"/>
  <c r="AP265" i="29" s="1"/>
  <c r="S266" i="29"/>
  <c r="AN128" i="29"/>
  <c r="AP128" i="29" s="1"/>
  <c r="AN132" i="29"/>
  <c r="AP132" i="29" s="1"/>
  <c r="AN136" i="29"/>
  <c r="AP136" i="29" s="1"/>
  <c r="AN140" i="29"/>
  <c r="AP140" i="29" s="1"/>
  <c r="AN144" i="29"/>
  <c r="AP144" i="29" s="1"/>
  <c r="AN148" i="29"/>
  <c r="AP148" i="29" s="1"/>
  <c r="AN152" i="29"/>
  <c r="AP152" i="29" s="1"/>
  <c r="AN156" i="29"/>
  <c r="AP156" i="29" s="1"/>
  <c r="AN160" i="29"/>
  <c r="AP160" i="29" s="1"/>
  <c r="AN164" i="29"/>
  <c r="AP164" i="29" s="1"/>
  <c r="Z165" i="29"/>
  <c r="AN168" i="29"/>
  <c r="AP168" i="29" s="1"/>
  <c r="AN172" i="29"/>
  <c r="AP172" i="29" s="1"/>
  <c r="AN176" i="29"/>
  <c r="AP176" i="29" s="1"/>
  <c r="AN180" i="29"/>
  <c r="AP180" i="29" s="1"/>
  <c r="AN182" i="29"/>
  <c r="AP182" i="29" s="1"/>
  <c r="AN186" i="29"/>
  <c r="AP186" i="29" s="1"/>
  <c r="E188" i="29"/>
  <c r="AN190" i="29"/>
  <c r="AP190" i="29" s="1"/>
  <c r="AN194" i="29"/>
  <c r="AP194" i="29" s="1"/>
  <c r="E196" i="29"/>
  <c r="S198" i="29"/>
  <c r="AN201" i="29"/>
  <c r="AP201" i="29" s="1"/>
  <c r="S202" i="29"/>
  <c r="Y203" i="29"/>
  <c r="AD204" i="29"/>
  <c r="Y205" i="29"/>
  <c r="AD206" i="29"/>
  <c r="Y207" i="29"/>
  <c r="AD208" i="29"/>
  <c r="Y209" i="29"/>
  <c r="AD210" i="29"/>
  <c r="Y211" i="29"/>
  <c r="AD212" i="29"/>
  <c r="Y213" i="29"/>
  <c r="AD214" i="29"/>
  <c r="Y215" i="29"/>
  <c r="AD216" i="29"/>
  <c r="Y217" i="29"/>
  <c r="AD218" i="29"/>
  <c r="Y219" i="29"/>
  <c r="AD220" i="29"/>
  <c r="Y221" i="29"/>
  <c r="AD222" i="29"/>
  <c r="Y223" i="29"/>
  <c r="AD224" i="29"/>
  <c r="Y225" i="29"/>
  <c r="AD226" i="29"/>
  <c r="Y227" i="29"/>
  <c r="AD228" i="29"/>
  <c r="Y229" i="29"/>
  <c r="X230" i="29"/>
  <c r="AE231" i="29"/>
  <c r="AD231" i="29"/>
  <c r="R232" i="29"/>
  <c r="AJ232" i="29" s="1"/>
  <c r="T232" i="29"/>
  <c r="H234" i="29"/>
  <c r="AD234" i="29"/>
  <c r="AJ234" i="29" s="1"/>
  <c r="E237" i="29"/>
  <c r="AN237" i="29"/>
  <c r="AP237" i="29" s="1"/>
  <c r="AN238" i="29"/>
  <c r="AP238" i="29" s="1"/>
  <c r="E239" i="29"/>
  <c r="AN242" i="29"/>
  <c r="AP242" i="29" s="1"/>
  <c r="E243" i="29"/>
  <c r="R244" i="29"/>
  <c r="E245" i="29"/>
  <c r="AN246" i="29"/>
  <c r="AP246" i="29" s="1"/>
  <c r="S247" i="29"/>
  <c r="R248" i="29"/>
  <c r="AJ248" i="29" s="1"/>
  <c r="E249" i="29"/>
  <c r="AN250" i="29"/>
  <c r="AP250" i="29" s="1"/>
  <c r="S251" i="29"/>
  <c r="R252" i="29"/>
  <c r="AJ252" i="29" s="1"/>
  <c r="E253" i="29"/>
  <c r="AN254" i="29"/>
  <c r="AP254" i="29" s="1"/>
  <c r="R256" i="29"/>
  <c r="AJ256" i="29" s="1"/>
  <c r="E257" i="29"/>
  <c r="AN258" i="29"/>
  <c r="AP258" i="29" s="1"/>
  <c r="R260" i="29"/>
  <c r="AJ260" i="29" s="1"/>
  <c r="E261" i="29"/>
  <c r="AN262" i="29"/>
  <c r="AP262" i="29" s="1"/>
  <c r="AN266" i="29"/>
  <c r="AP266" i="29" s="1"/>
  <c r="AN200" i="29"/>
  <c r="AP200" i="29" s="1"/>
  <c r="AF203" i="29"/>
  <c r="AE203" i="29"/>
  <c r="AN204" i="29"/>
  <c r="AP204" i="29" s="1"/>
  <c r="Z204" i="29"/>
  <c r="X204" i="29"/>
  <c r="AF205" i="29"/>
  <c r="AE205" i="29"/>
  <c r="AN206" i="29"/>
  <c r="AP206" i="29" s="1"/>
  <c r="Z206" i="29"/>
  <c r="X206" i="29"/>
  <c r="AF207" i="29"/>
  <c r="AE207" i="29"/>
  <c r="AN208" i="29"/>
  <c r="AP208" i="29" s="1"/>
  <c r="Z208" i="29"/>
  <c r="X208" i="29"/>
  <c r="AF209" i="29"/>
  <c r="AE209" i="29"/>
  <c r="AN210" i="29"/>
  <c r="AP210" i="29" s="1"/>
  <c r="Z210" i="29"/>
  <c r="X210" i="29"/>
  <c r="AF211" i="29"/>
  <c r="AE211" i="29"/>
  <c r="AN212" i="29"/>
  <c r="AP212" i="29" s="1"/>
  <c r="Z212" i="29"/>
  <c r="X212" i="29"/>
  <c r="AF213" i="29"/>
  <c r="AE213" i="29"/>
  <c r="AN214" i="29"/>
  <c r="AP214" i="29" s="1"/>
  <c r="Z214" i="29"/>
  <c r="X214" i="29"/>
  <c r="AF215" i="29"/>
  <c r="AE215" i="29"/>
  <c r="AN216" i="29"/>
  <c r="AP216" i="29" s="1"/>
  <c r="Z216" i="29"/>
  <c r="X216" i="29"/>
  <c r="AF217" i="29"/>
  <c r="AE217" i="29"/>
  <c r="AN218" i="29"/>
  <c r="AP218" i="29" s="1"/>
  <c r="Z218" i="29"/>
  <c r="X218" i="29"/>
  <c r="AF219" i="29"/>
  <c r="AE219" i="29"/>
  <c r="AN220" i="29"/>
  <c r="AP220" i="29" s="1"/>
  <c r="Z220" i="29"/>
  <c r="X220" i="29"/>
  <c r="AF221" i="29"/>
  <c r="AE221" i="29"/>
  <c r="AN222" i="29"/>
  <c r="AP222" i="29" s="1"/>
  <c r="Z222" i="29"/>
  <c r="X222" i="29"/>
  <c r="AF223" i="29"/>
  <c r="AE223" i="29"/>
  <c r="AN224" i="29"/>
  <c r="AP224" i="29" s="1"/>
  <c r="Z224" i="29"/>
  <c r="X224" i="29"/>
  <c r="AF225" i="29"/>
  <c r="AE225" i="29"/>
  <c r="AN226" i="29"/>
  <c r="AP226" i="29" s="1"/>
  <c r="Z226" i="29"/>
  <c r="X226" i="29"/>
  <c r="AF227" i="29"/>
  <c r="AE227" i="29"/>
  <c r="AN228" i="29"/>
  <c r="AP228" i="29" s="1"/>
  <c r="Z228" i="29"/>
  <c r="X228" i="29"/>
  <c r="AF229" i="29"/>
  <c r="AE229" i="29"/>
  <c r="AN230" i="29"/>
  <c r="AP230" i="29" s="1"/>
  <c r="AF230" i="29"/>
  <c r="AE230" i="29"/>
  <c r="AD230" i="29"/>
  <c r="AN234" i="29"/>
  <c r="AP234" i="29" s="1"/>
  <c r="I235" i="29"/>
  <c r="H235" i="29"/>
  <c r="J235" i="29"/>
  <c r="AN241" i="29"/>
  <c r="AP241" i="29" s="1"/>
  <c r="AN247" i="29"/>
  <c r="AP247" i="29" s="1"/>
  <c r="AN251" i="29"/>
  <c r="AP251" i="29" s="1"/>
  <c r="AN255" i="29"/>
  <c r="AP255" i="29" s="1"/>
  <c r="AN259" i="29"/>
  <c r="AP259" i="29" s="1"/>
  <c r="AN263" i="29"/>
  <c r="AP263" i="29" s="1"/>
  <c r="AN267" i="29"/>
  <c r="AP267" i="29" s="1"/>
  <c r="AN268" i="29"/>
  <c r="AP268" i="29" s="1"/>
  <c r="AN269" i="29"/>
  <c r="AP269" i="29" s="1"/>
  <c r="AN270" i="29"/>
  <c r="AP270" i="29" s="1"/>
  <c r="AN271" i="29"/>
  <c r="AP271" i="29" s="1"/>
  <c r="R271" i="29"/>
  <c r="AN272" i="29"/>
  <c r="AP272" i="29" s="1"/>
  <c r="R272" i="29"/>
  <c r="AN273" i="29"/>
  <c r="AP273" i="29" s="1"/>
  <c r="R273" i="29"/>
  <c r="AJ273" i="29" s="1"/>
  <c r="AN274" i="29"/>
  <c r="AP274" i="29" s="1"/>
  <c r="R274" i="29"/>
  <c r="AN275" i="29"/>
  <c r="AP275" i="29" s="1"/>
  <c r="R275" i="29"/>
  <c r="T277" i="29"/>
  <c r="R277" i="29"/>
  <c r="AJ277" i="29" s="1"/>
  <c r="T279" i="29"/>
  <c r="R279" i="29"/>
  <c r="AJ279" i="29" s="1"/>
  <c r="T281" i="29"/>
  <c r="R281" i="29"/>
  <c r="AJ281" i="29" s="1"/>
  <c r="AN276" i="29"/>
  <c r="AP276" i="29" s="1"/>
  <c r="E276" i="29"/>
  <c r="AN278" i="29"/>
  <c r="AP278" i="29" s="1"/>
  <c r="E278" i="29"/>
  <c r="AN280" i="29"/>
  <c r="AP280" i="29" s="1"/>
  <c r="E280" i="29"/>
  <c r="AN282" i="29"/>
  <c r="AP282" i="29" s="1"/>
  <c r="E282" i="29"/>
  <c r="AK287" i="29"/>
  <c r="AK318" i="29"/>
  <c r="AL318" i="29"/>
  <c r="AM318" i="29" s="1"/>
  <c r="I231" i="29"/>
  <c r="H231" i="29"/>
  <c r="E233" i="29"/>
  <c r="AN233" i="29"/>
  <c r="AP233" i="29" s="1"/>
  <c r="Z234" i="29"/>
  <c r="Y234" i="29"/>
  <c r="AE235" i="29"/>
  <c r="AD235" i="29"/>
  <c r="AJ238" i="29"/>
  <c r="AJ241" i="29"/>
  <c r="AJ242" i="29"/>
  <c r="T276" i="29"/>
  <c r="R276" i="29"/>
  <c r="T278" i="29"/>
  <c r="R278" i="29"/>
  <c r="AJ278" i="29" s="1"/>
  <c r="T280" i="29"/>
  <c r="R280" i="29"/>
  <c r="AJ280" i="29" s="1"/>
  <c r="T282" i="29"/>
  <c r="R282" i="29"/>
  <c r="AJ282" i="29" s="1"/>
  <c r="AN292" i="29"/>
  <c r="AP292" i="29" s="1"/>
  <c r="AL300" i="29"/>
  <c r="AM300" i="29" s="1"/>
  <c r="AK300" i="29"/>
  <c r="AJ267" i="29"/>
  <c r="AN277" i="29"/>
  <c r="AP277" i="29" s="1"/>
  <c r="E277" i="29"/>
  <c r="AN279" i="29"/>
  <c r="AP279" i="29" s="1"/>
  <c r="E279" i="29"/>
  <c r="AN281" i="29"/>
  <c r="AP281" i="29" s="1"/>
  <c r="E281" i="29"/>
  <c r="AL293" i="29"/>
  <c r="AM293" i="29" s="1"/>
  <c r="AK293" i="29"/>
  <c r="E283" i="29"/>
  <c r="T293" i="29"/>
  <c r="T298" i="29"/>
  <c r="AJ299" i="29"/>
  <c r="Z301" i="29"/>
  <c r="T302" i="29"/>
  <c r="AJ303" i="29"/>
  <c r="AN307" i="29"/>
  <c r="AP307" i="29" s="1"/>
  <c r="T309" i="29"/>
  <c r="AN315" i="29"/>
  <c r="AP315" i="29" s="1"/>
  <c r="AN316" i="29"/>
  <c r="AP316" i="29" s="1"/>
  <c r="E317" i="29"/>
  <c r="E318" i="29"/>
  <c r="AN320" i="29"/>
  <c r="AP320" i="29" s="1"/>
  <c r="E320" i="29"/>
  <c r="AN323" i="29"/>
  <c r="AP323" i="29" s="1"/>
  <c r="AK4" i="32"/>
  <c r="Z6" i="32"/>
  <c r="Y6" i="32"/>
  <c r="X6" i="32"/>
  <c r="AJ6" i="32" s="1"/>
  <c r="G8" i="32"/>
  <c r="I8" i="32"/>
  <c r="H8" i="32"/>
  <c r="S283" i="29"/>
  <c r="S284" i="29"/>
  <c r="S285" i="29"/>
  <c r="S286" i="29"/>
  <c r="S287" i="29"/>
  <c r="S288" i="29"/>
  <c r="S289" i="29"/>
  <c r="S290" i="29"/>
  <c r="T292" i="29"/>
  <c r="I293" i="29"/>
  <c r="AE293" i="29"/>
  <c r="J294" i="29"/>
  <c r="Y294" i="29"/>
  <c r="AF294" i="29"/>
  <c r="S295" i="29"/>
  <c r="Z295" i="29"/>
  <c r="S296" i="29"/>
  <c r="Z296" i="29"/>
  <c r="T297" i="29"/>
  <c r="AN297" i="29"/>
  <c r="AP297" i="29" s="1"/>
  <c r="I298" i="29"/>
  <c r="X298" i="29"/>
  <c r="AJ298" i="29" s="1"/>
  <c r="AE298" i="29"/>
  <c r="J299" i="29"/>
  <c r="Y299" i="29"/>
  <c r="AF299" i="29"/>
  <c r="S300" i="29"/>
  <c r="Z300" i="29"/>
  <c r="T301" i="29"/>
  <c r="AN301" i="29"/>
  <c r="AP301" i="29" s="1"/>
  <c r="I302" i="29"/>
  <c r="AE302" i="29"/>
  <c r="J303" i="29"/>
  <c r="Y303" i="29"/>
  <c r="AF303" i="29"/>
  <c r="T304" i="29"/>
  <c r="AN305" i="29"/>
  <c r="AP305" i="29" s="1"/>
  <c r="E307" i="29"/>
  <c r="T307" i="29"/>
  <c r="AL311" i="29"/>
  <c r="AM311" i="29" s="1"/>
  <c r="R313" i="29"/>
  <c r="AJ313" i="29" s="1"/>
  <c r="AN313" i="29"/>
  <c r="AP313" i="29" s="1"/>
  <c r="E315" i="29"/>
  <c r="E316" i="29"/>
  <c r="AN322" i="29"/>
  <c r="AP322" i="29" s="1"/>
  <c r="E322" i="29"/>
  <c r="AN325" i="29"/>
  <c r="AP325" i="29" s="1"/>
  <c r="R3" i="32"/>
  <c r="Q3" i="32"/>
  <c r="AJ3" i="32" s="1"/>
  <c r="AE9" i="32"/>
  <c r="AF9" i="32"/>
  <c r="AD9" i="32"/>
  <c r="AL12" i="32"/>
  <c r="AM12" i="32" s="1"/>
  <c r="AK12" i="32"/>
  <c r="AJ10" i="14"/>
  <c r="AK10" i="14"/>
  <c r="AL10" i="14" s="1"/>
  <c r="S230" i="29"/>
  <c r="R231" i="29"/>
  <c r="E232" i="29"/>
  <c r="S234" i="29"/>
  <c r="R235" i="29"/>
  <c r="E236" i="29"/>
  <c r="AN283" i="29"/>
  <c r="AP283" i="29" s="1"/>
  <c r="AN284" i="29"/>
  <c r="AP284" i="29" s="1"/>
  <c r="AN285" i="29"/>
  <c r="AP285" i="29" s="1"/>
  <c r="AN286" i="29"/>
  <c r="AP286" i="29" s="1"/>
  <c r="AN287" i="29"/>
  <c r="AP287" i="29" s="1"/>
  <c r="AN288" i="29"/>
  <c r="AP288" i="29" s="1"/>
  <c r="AN289" i="29"/>
  <c r="AP289" i="29" s="1"/>
  <c r="AN290" i="29"/>
  <c r="AP290" i="29" s="1"/>
  <c r="AN291" i="29"/>
  <c r="AP291" i="29" s="1"/>
  <c r="J293" i="29"/>
  <c r="AF293" i="29"/>
  <c r="S294" i="29"/>
  <c r="Z294" i="29"/>
  <c r="T295" i="29"/>
  <c r="T296" i="29"/>
  <c r="AD296" i="29"/>
  <c r="AJ296" i="29" s="1"/>
  <c r="AN296" i="29"/>
  <c r="AP296" i="29" s="1"/>
  <c r="J298" i="29"/>
  <c r="Y298" i="29"/>
  <c r="AF298" i="29"/>
  <c r="Z299" i="29"/>
  <c r="T300" i="29"/>
  <c r="AJ301" i="29"/>
  <c r="Z303" i="29"/>
  <c r="AN303" i="29"/>
  <c r="AP303" i="29" s="1"/>
  <c r="AJ305" i="29"/>
  <c r="AN311" i="29"/>
  <c r="AP311" i="29" s="1"/>
  <c r="T313" i="29"/>
  <c r="AN319" i="29"/>
  <c r="AP319" i="29" s="1"/>
  <c r="AN324" i="29"/>
  <c r="AP324" i="29" s="1"/>
  <c r="E324" i="29"/>
  <c r="AN326" i="29"/>
  <c r="AP326" i="29" s="1"/>
  <c r="E326" i="29"/>
  <c r="AN328" i="29"/>
  <c r="AP328" i="29" s="1"/>
  <c r="E328" i="29"/>
  <c r="AN330" i="29"/>
  <c r="AP330" i="29" s="1"/>
  <c r="E330" i="29"/>
  <c r="AN332" i="29"/>
  <c r="AP332" i="29" s="1"/>
  <c r="E332" i="29"/>
  <c r="Q8" i="32"/>
  <c r="R8" i="32"/>
  <c r="AD8" i="32"/>
  <c r="AF8" i="32"/>
  <c r="AE8" i="32"/>
  <c r="Y292" i="29"/>
  <c r="S293" i="29"/>
  <c r="T294" i="29"/>
  <c r="AN294" i="29"/>
  <c r="AP294" i="29" s="1"/>
  <c r="I295" i="29"/>
  <c r="AJ295" i="29"/>
  <c r="AE296" i="29"/>
  <c r="S298" i="29"/>
  <c r="Z298" i="29"/>
  <c r="T299" i="29"/>
  <c r="AN299" i="29"/>
  <c r="AP299" i="29" s="1"/>
  <c r="I300" i="29"/>
  <c r="AE300" i="29"/>
  <c r="Y301" i="29"/>
  <c r="S302" i="29"/>
  <c r="T303" i="29"/>
  <c r="R309" i="29"/>
  <c r="AJ309" i="29" s="1"/>
  <c r="AN309" i="29"/>
  <c r="AP309" i="29" s="1"/>
  <c r="E311" i="29"/>
  <c r="AN317" i="29"/>
  <c r="AP317" i="29" s="1"/>
  <c r="AN318" i="29"/>
  <c r="AP318" i="29" s="1"/>
  <c r="AN321" i="29"/>
  <c r="AP321" i="29" s="1"/>
  <c r="I10" i="32"/>
  <c r="H10" i="32"/>
  <c r="G10" i="32"/>
  <c r="AM31" i="14"/>
  <c r="AO31" i="14" s="1"/>
  <c r="AN304" i="29"/>
  <c r="AP304" i="29" s="1"/>
  <c r="T306" i="29"/>
  <c r="R308" i="29"/>
  <c r="AJ308" i="29" s="1"/>
  <c r="AN308" i="29"/>
  <c r="AP308" i="29" s="1"/>
  <c r="T310" i="29"/>
  <c r="R312" i="29"/>
  <c r="AJ312" i="29" s="1"/>
  <c r="AN312" i="29"/>
  <c r="AP312" i="29" s="1"/>
  <c r="T314" i="29"/>
  <c r="T316" i="29"/>
  <c r="T318" i="29"/>
  <c r="T320" i="29"/>
  <c r="T322" i="29"/>
  <c r="T324" i="29"/>
  <c r="T326" i="29"/>
  <c r="T328" i="29"/>
  <c r="T330" i="29"/>
  <c r="T332" i="29"/>
  <c r="R10" i="32"/>
  <c r="X14" i="32"/>
  <c r="H16" i="32"/>
  <c r="X16" i="32"/>
  <c r="AE16" i="32"/>
  <c r="AD17" i="32"/>
  <c r="G18" i="32"/>
  <c r="R18" i="32"/>
  <c r="X22" i="32"/>
  <c r="AJ22" i="32" s="1"/>
  <c r="H24" i="32"/>
  <c r="X24" i="32"/>
  <c r="AJ24" i="32" s="1"/>
  <c r="AE24" i="32"/>
  <c r="G26" i="32"/>
  <c r="I26" i="32"/>
  <c r="AE4" i="31"/>
  <c r="AC4" i="31"/>
  <c r="AC6" i="31"/>
  <c r="AE6" i="31"/>
  <c r="AE8" i="31"/>
  <c r="AC8" i="31"/>
  <c r="AC10" i="31"/>
  <c r="AE10" i="31"/>
  <c r="AE12" i="31"/>
  <c r="AC12" i="31"/>
  <c r="AC14" i="31"/>
  <c r="AE14" i="31"/>
  <c r="S20" i="31"/>
  <c r="Q20" i="31"/>
  <c r="Y20" i="31"/>
  <c r="W20" i="31"/>
  <c r="Q22" i="31"/>
  <c r="S22" i="31"/>
  <c r="W22" i="31"/>
  <c r="Y22" i="31"/>
  <c r="I24" i="31"/>
  <c r="G24" i="31"/>
  <c r="G26" i="31"/>
  <c r="I26" i="31"/>
  <c r="Y27" i="31"/>
  <c r="Q3" i="14"/>
  <c r="R3" i="14"/>
  <c r="Q7" i="14"/>
  <c r="R7" i="14"/>
  <c r="I9" i="14"/>
  <c r="G9" i="14"/>
  <c r="Y9" i="14"/>
  <c r="W9" i="14"/>
  <c r="AI9" i="14" s="1"/>
  <c r="AC11" i="14"/>
  <c r="AD11" i="14"/>
  <c r="I13" i="14"/>
  <c r="G13" i="14"/>
  <c r="Y13" i="14"/>
  <c r="W13" i="14"/>
  <c r="AI13" i="14" s="1"/>
  <c r="X14" i="14"/>
  <c r="R14" i="14"/>
  <c r="I17" i="14"/>
  <c r="G17" i="14"/>
  <c r="Y17" i="14"/>
  <c r="W17" i="14"/>
  <c r="AI17" i="14" s="1"/>
  <c r="W22" i="14"/>
  <c r="Q23" i="14"/>
  <c r="Y23" i="14"/>
  <c r="R23" i="14"/>
  <c r="X26" i="14"/>
  <c r="R26" i="14"/>
  <c r="Q27" i="14"/>
  <c r="R27" i="14"/>
  <c r="Y27" i="14"/>
  <c r="S29" i="14"/>
  <c r="R29" i="14"/>
  <c r="AC31" i="14"/>
  <c r="AD31" i="14"/>
  <c r="H32" i="14"/>
  <c r="G32" i="14"/>
  <c r="AM34" i="14"/>
  <c r="AO34" i="14" s="1"/>
  <c r="Q35" i="14"/>
  <c r="R35" i="14"/>
  <c r="X36" i="14"/>
  <c r="W36" i="14"/>
  <c r="AI36" i="14" s="1"/>
  <c r="AM36" i="14"/>
  <c r="AO36" i="14" s="1"/>
  <c r="Y37" i="14"/>
  <c r="W37" i="14"/>
  <c r="AI37" i="14" s="1"/>
  <c r="G43" i="14"/>
  <c r="H43" i="14"/>
  <c r="S45" i="14"/>
  <c r="R45" i="14"/>
  <c r="AM48" i="14"/>
  <c r="AO48" i="14" s="1"/>
  <c r="S4" i="32"/>
  <c r="G5" i="32"/>
  <c r="Y8" i="32"/>
  <c r="X9" i="32"/>
  <c r="AD10" i="32"/>
  <c r="Q11" i="32"/>
  <c r="AJ11" i="32" s="1"/>
  <c r="S12" i="32"/>
  <c r="G13" i="32"/>
  <c r="Y14" i="32"/>
  <c r="S15" i="32"/>
  <c r="I16" i="32"/>
  <c r="Y16" i="32"/>
  <c r="AF16" i="32"/>
  <c r="X17" i="32"/>
  <c r="AF17" i="32"/>
  <c r="H18" i="32"/>
  <c r="Z18" i="32"/>
  <c r="AD18" i="32"/>
  <c r="Q19" i="32"/>
  <c r="X19" i="32"/>
  <c r="AJ19" i="32" s="1"/>
  <c r="S20" i="32"/>
  <c r="G21" i="32"/>
  <c r="Y22" i="32"/>
  <c r="S23" i="32"/>
  <c r="I24" i="32"/>
  <c r="Y24" i="32"/>
  <c r="AF24" i="32"/>
  <c r="H26" i="32"/>
  <c r="AD26" i="32"/>
  <c r="AF26" i="32"/>
  <c r="AD4" i="31"/>
  <c r="AD6" i="31"/>
  <c r="AD8" i="31"/>
  <c r="AD10" i="31"/>
  <c r="AD12" i="31"/>
  <c r="AD14" i="31"/>
  <c r="S16" i="31"/>
  <c r="Q16" i="31"/>
  <c r="Y16" i="31"/>
  <c r="W16" i="31"/>
  <c r="Q18" i="31"/>
  <c r="S18" i="31"/>
  <c r="W18" i="31"/>
  <c r="Y18" i="31"/>
  <c r="I20" i="31"/>
  <c r="G20" i="31"/>
  <c r="X20" i="31"/>
  <c r="G22" i="31"/>
  <c r="I22" i="31"/>
  <c r="X22" i="31"/>
  <c r="H24" i="31"/>
  <c r="AE24" i="31"/>
  <c r="AC24" i="31"/>
  <c r="H26" i="31"/>
  <c r="AC26" i="31"/>
  <c r="AE26" i="31"/>
  <c r="G3" i="14"/>
  <c r="H3" i="14"/>
  <c r="AD4" i="14"/>
  <c r="AC4" i="14"/>
  <c r="AI4" i="14" s="1"/>
  <c r="G7" i="14"/>
  <c r="H7" i="14"/>
  <c r="H9" i="14"/>
  <c r="X9" i="14"/>
  <c r="AE11" i="14"/>
  <c r="H13" i="14"/>
  <c r="X13" i="14"/>
  <c r="W14" i="14"/>
  <c r="Q15" i="14"/>
  <c r="Y15" i="14"/>
  <c r="R15" i="14"/>
  <c r="H17" i="14"/>
  <c r="X17" i="14"/>
  <c r="X18" i="14"/>
  <c r="R18" i="14"/>
  <c r="Q19" i="14"/>
  <c r="R19" i="14"/>
  <c r="Y19" i="14"/>
  <c r="Q22" i="14"/>
  <c r="Y22" i="14"/>
  <c r="G23" i="14"/>
  <c r="H23" i="14"/>
  <c r="X23" i="14"/>
  <c r="AD24" i="14"/>
  <c r="AC24" i="14"/>
  <c r="AI24" i="14" s="1"/>
  <c r="W26" i="14"/>
  <c r="G27" i="14"/>
  <c r="H27" i="14"/>
  <c r="X27" i="14"/>
  <c r="Q29" i="14"/>
  <c r="G31" i="14"/>
  <c r="H31" i="14"/>
  <c r="AE31" i="14"/>
  <c r="I32" i="14"/>
  <c r="S33" i="14"/>
  <c r="R33" i="14"/>
  <c r="AC35" i="14"/>
  <c r="AD35" i="14"/>
  <c r="AM35" i="14"/>
  <c r="AO35" i="14" s="1"/>
  <c r="H36" i="14"/>
  <c r="G36" i="14"/>
  <c r="Y36" i="14"/>
  <c r="X37" i="14"/>
  <c r="AM38" i="14"/>
  <c r="AO38" i="14" s="1"/>
  <c r="Q39" i="14"/>
  <c r="R39" i="14"/>
  <c r="X40" i="14"/>
  <c r="W40" i="14"/>
  <c r="AI40" i="14" s="1"/>
  <c r="AM40" i="14"/>
  <c r="AO40" i="14" s="1"/>
  <c r="Y41" i="14"/>
  <c r="W41" i="14"/>
  <c r="AI41" i="14" s="1"/>
  <c r="I43" i="14"/>
  <c r="Q45" i="14"/>
  <c r="H48" i="14"/>
  <c r="I48" i="14"/>
  <c r="G48" i="14"/>
  <c r="AN306" i="29"/>
  <c r="AP306" i="29" s="1"/>
  <c r="E308" i="29"/>
  <c r="AN310" i="29"/>
  <c r="AP310" i="29" s="1"/>
  <c r="E312" i="29"/>
  <c r="AN314" i="29"/>
  <c r="AP314" i="29" s="1"/>
  <c r="H4" i="32"/>
  <c r="AE4" i="32"/>
  <c r="I5" i="32"/>
  <c r="AD5" i="32"/>
  <c r="G6" i="32"/>
  <c r="R6" i="32"/>
  <c r="Z8" i="32"/>
  <c r="Z9" i="32"/>
  <c r="X10" i="32"/>
  <c r="AE10" i="32"/>
  <c r="R11" i="32"/>
  <c r="H12" i="32"/>
  <c r="AE12" i="32"/>
  <c r="I13" i="32"/>
  <c r="AD13" i="32"/>
  <c r="AJ13" i="32" s="1"/>
  <c r="G14" i="32"/>
  <c r="R14" i="32"/>
  <c r="R16" i="32"/>
  <c r="Z16" i="32"/>
  <c r="Z17" i="32"/>
  <c r="X18" i="32"/>
  <c r="AJ18" i="32" s="1"/>
  <c r="AE18" i="32"/>
  <c r="R19" i="32"/>
  <c r="Y19" i="32"/>
  <c r="H20" i="32"/>
  <c r="X20" i="32"/>
  <c r="AJ20" i="32" s="1"/>
  <c r="AE20" i="32"/>
  <c r="I21" i="32"/>
  <c r="AD21" i="32"/>
  <c r="AJ21" i="32" s="1"/>
  <c r="G22" i="32"/>
  <c r="R22" i="32"/>
  <c r="R24" i="32"/>
  <c r="Z24" i="32"/>
  <c r="AE26" i="32"/>
  <c r="S4" i="31"/>
  <c r="Q4" i="31"/>
  <c r="Y4" i="31"/>
  <c r="W4" i="31"/>
  <c r="Q6" i="31"/>
  <c r="S6" i="31"/>
  <c r="W6" i="31"/>
  <c r="Y6" i="31"/>
  <c r="S8" i="31"/>
  <c r="Q8" i="31"/>
  <c r="Y8" i="31"/>
  <c r="W8" i="31"/>
  <c r="Q10" i="31"/>
  <c r="S10" i="31"/>
  <c r="W10" i="31"/>
  <c r="Y10" i="31"/>
  <c r="S12" i="31"/>
  <c r="Q12" i="31"/>
  <c r="Y12" i="31"/>
  <c r="W12" i="31"/>
  <c r="Q14" i="31"/>
  <c r="S14" i="31"/>
  <c r="W14" i="31"/>
  <c r="Y14" i="31"/>
  <c r="I16" i="31"/>
  <c r="G16" i="31"/>
  <c r="X16" i="31"/>
  <c r="G18" i="31"/>
  <c r="I18" i="31"/>
  <c r="X18" i="31"/>
  <c r="H20" i="31"/>
  <c r="AE20" i="31"/>
  <c r="AC20" i="31"/>
  <c r="H22" i="31"/>
  <c r="AC22" i="31"/>
  <c r="AE22" i="31"/>
  <c r="AD24" i="31"/>
  <c r="AD26" i="31"/>
  <c r="I3" i="14"/>
  <c r="AC3" i="14"/>
  <c r="AD3" i="14"/>
  <c r="AE4" i="14"/>
  <c r="I5" i="14"/>
  <c r="G5" i="14"/>
  <c r="Y5" i="14"/>
  <c r="W5" i="14"/>
  <c r="AI5" i="14" s="1"/>
  <c r="I7" i="14"/>
  <c r="AD8" i="14"/>
  <c r="AC8" i="14"/>
  <c r="AI8" i="14" s="1"/>
  <c r="Q11" i="14"/>
  <c r="R11" i="14"/>
  <c r="Q14" i="14"/>
  <c r="Y14" i="14"/>
  <c r="G15" i="14"/>
  <c r="H15" i="14"/>
  <c r="X15" i="14"/>
  <c r="AD16" i="14"/>
  <c r="AC16" i="14"/>
  <c r="AI16" i="14" s="1"/>
  <c r="W18" i="14"/>
  <c r="AI18" i="14" s="1"/>
  <c r="G19" i="14"/>
  <c r="H19" i="14"/>
  <c r="X19" i="14"/>
  <c r="AD20" i="14"/>
  <c r="AC20" i="14"/>
  <c r="AI20" i="14" s="1"/>
  <c r="I23" i="14"/>
  <c r="AC23" i="14"/>
  <c r="AD23" i="14"/>
  <c r="AE24" i="14"/>
  <c r="Q26" i="14"/>
  <c r="Y26" i="14"/>
  <c r="I27" i="14"/>
  <c r="AC27" i="14"/>
  <c r="AD27" i="14"/>
  <c r="X28" i="14"/>
  <c r="W28" i="14"/>
  <c r="AI28" i="14" s="1"/>
  <c r="AM28" i="14"/>
  <c r="AO28" i="14" s="1"/>
  <c r="Y29" i="14"/>
  <c r="W29" i="14"/>
  <c r="I31" i="14"/>
  <c r="Q33" i="14"/>
  <c r="G35" i="14"/>
  <c r="H35" i="14"/>
  <c r="S35" i="14"/>
  <c r="AE35" i="14"/>
  <c r="I36" i="14"/>
  <c r="S37" i="14"/>
  <c r="R37" i="14"/>
  <c r="AC39" i="14"/>
  <c r="AD39" i="14"/>
  <c r="AM39" i="14"/>
  <c r="AO39" i="14" s="1"/>
  <c r="H40" i="14"/>
  <c r="G40" i="14"/>
  <c r="Y40" i="14"/>
  <c r="X41" i="14"/>
  <c r="AM42" i="14"/>
  <c r="AO42" i="14" s="1"/>
  <c r="Q43" i="14"/>
  <c r="R43" i="14"/>
  <c r="X44" i="14"/>
  <c r="W44" i="14"/>
  <c r="AI44" i="14" s="1"/>
  <c r="AM44" i="14"/>
  <c r="AO44" i="14" s="1"/>
  <c r="Y45" i="14"/>
  <c r="W45" i="14"/>
  <c r="S11" i="32"/>
  <c r="AJ14" i="32"/>
  <c r="S16" i="32"/>
  <c r="S19" i="32"/>
  <c r="Z19" i="32"/>
  <c r="S24" i="32"/>
  <c r="Q26" i="32"/>
  <c r="S26" i="32"/>
  <c r="X26" i="32"/>
  <c r="Z26" i="32"/>
  <c r="I4" i="31"/>
  <c r="G4" i="31"/>
  <c r="G6" i="31"/>
  <c r="I6" i="31"/>
  <c r="I8" i="31"/>
  <c r="G8" i="31"/>
  <c r="G10" i="31"/>
  <c r="I10" i="31"/>
  <c r="I12" i="31"/>
  <c r="G12" i="31"/>
  <c r="G14" i="31"/>
  <c r="I14" i="31"/>
  <c r="AE16" i="31"/>
  <c r="AC16" i="31"/>
  <c r="AC18" i="31"/>
  <c r="AE18" i="31"/>
  <c r="S24" i="31"/>
  <c r="Q24" i="31"/>
  <c r="Y24" i="31"/>
  <c r="W24" i="31"/>
  <c r="Q26" i="31"/>
  <c r="S26" i="31"/>
  <c r="W26" i="31"/>
  <c r="Y26" i="31"/>
  <c r="W27" i="31"/>
  <c r="AI27" i="31" s="1"/>
  <c r="X27" i="31"/>
  <c r="AC7" i="14"/>
  <c r="AD7" i="14"/>
  <c r="G11" i="14"/>
  <c r="H11" i="14"/>
  <c r="AD12" i="14"/>
  <c r="AC12" i="14"/>
  <c r="AI12" i="14" s="1"/>
  <c r="AC15" i="14"/>
  <c r="AD15" i="14"/>
  <c r="AC19" i="14"/>
  <c r="AD19" i="14"/>
  <c r="I21" i="14"/>
  <c r="G21" i="14"/>
  <c r="Y21" i="14"/>
  <c r="W21" i="14"/>
  <c r="AI21" i="14" s="1"/>
  <c r="X22" i="14"/>
  <c r="R22" i="14"/>
  <c r="I25" i="14"/>
  <c r="G25" i="14"/>
  <c r="Y25" i="14"/>
  <c r="W25" i="14"/>
  <c r="AI25" i="14" s="1"/>
  <c r="H28" i="14"/>
  <c r="G28" i="14"/>
  <c r="AM30" i="14"/>
  <c r="AO30" i="14" s="1"/>
  <c r="Q31" i="14"/>
  <c r="R31" i="14"/>
  <c r="X32" i="14"/>
  <c r="W32" i="14"/>
  <c r="AI32" i="14" s="1"/>
  <c r="Y33" i="14"/>
  <c r="W33" i="14"/>
  <c r="G39" i="14"/>
  <c r="H39" i="14"/>
  <c r="S41" i="14"/>
  <c r="R41" i="14"/>
  <c r="AC43" i="14"/>
  <c r="AD43" i="14"/>
  <c r="H44" i="14"/>
  <c r="G44" i="14"/>
  <c r="AM46" i="14"/>
  <c r="AO46" i="14" s="1"/>
  <c r="Q51" i="14"/>
  <c r="S51" i="14"/>
  <c r="AM53" i="14"/>
  <c r="AO53" i="14" s="1"/>
  <c r="G55" i="14"/>
  <c r="I55" i="14"/>
  <c r="AC55" i="14"/>
  <c r="AE55" i="14"/>
  <c r="Y57" i="14"/>
  <c r="W57" i="14"/>
  <c r="AI58" i="14"/>
  <c r="AM59" i="14"/>
  <c r="AO59" i="14" s="1"/>
  <c r="I61" i="14"/>
  <c r="H61" i="14"/>
  <c r="G61" i="14"/>
  <c r="Y61" i="14"/>
  <c r="X61" i="14"/>
  <c r="W61" i="14"/>
  <c r="AK68" i="14"/>
  <c r="AL68" i="14" s="1"/>
  <c r="AJ68" i="14"/>
  <c r="Q71" i="14"/>
  <c r="AI71" i="14" s="1"/>
  <c r="S71" i="14"/>
  <c r="AM75" i="14"/>
  <c r="AO75" i="14" s="1"/>
  <c r="AM76" i="14"/>
  <c r="AO76" i="14" s="1"/>
  <c r="AM77" i="14"/>
  <c r="AO77" i="14" s="1"/>
  <c r="AK101" i="14"/>
  <c r="AL101" i="14" s="1"/>
  <c r="AJ101" i="14"/>
  <c r="I27" i="31"/>
  <c r="AE27" i="31"/>
  <c r="Y3" i="14"/>
  <c r="Y4" i="14"/>
  <c r="AD5" i="14"/>
  <c r="I8" i="14"/>
  <c r="R9" i="14"/>
  <c r="Y11" i="14"/>
  <c r="Y12" i="14"/>
  <c r="AD13" i="14"/>
  <c r="W15" i="14"/>
  <c r="I16" i="14"/>
  <c r="R17" i="14"/>
  <c r="Y20" i="14"/>
  <c r="AD21" i="14"/>
  <c r="W23" i="14"/>
  <c r="I24" i="14"/>
  <c r="R25" i="14"/>
  <c r="AM29" i="14"/>
  <c r="AO29" i="14" s="1"/>
  <c r="Y31" i="14"/>
  <c r="AM33" i="14"/>
  <c r="AO33" i="14" s="1"/>
  <c r="Y35" i="14"/>
  <c r="AM37" i="14"/>
  <c r="AO37" i="14" s="1"/>
  <c r="Y39" i="14"/>
  <c r="AM41" i="14"/>
  <c r="AO41" i="14" s="1"/>
  <c r="Y43" i="14"/>
  <c r="AM45" i="14"/>
  <c r="AO45" i="14" s="1"/>
  <c r="R47" i="14"/>
  <c r="Y47" i="14"/>
  <c r="AM49" i="14"/>
  <c r="AO49" i="14" s="1"/>
  <c r="R49" i="14"/>
  <c r="G51" i="14"/>
  <c r="I51" i="14"/>
  <c r="AC51" i="14"/>
  <c r="AE51" i="14"/>
  <c r="AM52" i="14"/>
  <c r="AO52" i="14" s="1"/>
  <c r="Y53" i="14"/>
  <c r="W53" i="14"/>
  <c r="AM55" i="14"/>
  <c r="AO55" i="14" s="1"/>
  <c r="H55" i="14"/>
  <c r="AD55" i="14"/>
  <c r="S57" i="14"/>
  <c r="Q57" i="14"/>
  <c r="X57" i="14"/>
  <c r="Q59" i="14"/>
  <c r="AI59" i="14" s="1"/>
  <c r="S59" i="14"/>
  <c r="AM61" i="14"/>
  <c r="AO61" i="14" s="1"/>
  <c r="AE61" i="14"/>
  <c r="AD61" i="14"/>
  <c r="AC61" i="14"/>
  <c r="AI62" i="14"/>
  <c r="AM63" i="14"/>
  <c r="AO63" i="14" s="1"/>
  <c r="I65" i="14"/>
  <c r="H65" i="14"/>
  <c r="G65" i="14"/>
  <c r="Y65" i="14"/>
  <c r="X65" i="14"/>
  <c r="W65" i="14"/>
  <c r="AM68" i="14"/>
  <c r="AO68" i="14" s="1"/>
  <c r="AM72" i="14"/>
  <c r="AO72" i="14" s="1"/>
  <c r="AM73" i="14"/>
  <c r="AO73" i="14" s="1"/>
  <c r="AM87" i="14"/>
  <c r="AO87" i="14" s="1"/>
  <c r="AM88" i="14"/>
  <c r="AO88" i="14" s="1"/>
  <c r="AM89" i="14"/>
  <c r="AO89" i="14" s="1"/>
  <c r="AM92" i="14"/>
  <c r="AO92" i="14" s="1"/>
  <c r="AK93" i="14"/>
  <c r="AL93" i="14" s="1"/>
  <c r="AM96" i="14"/>
  <c r="AO96" i="14" s="1"/>
  <c r="AJ97" i="14"/>
  <c r="AM100" i="14"/>
  <c r="AO100" i="14" s="1"/>
  <c r="S47" i="14"/>
  <c r="AM47" i="14"/>
  <c r="AO47" i="14" s="1"/>
  <c r="AM51" i="14"/>
  <c r="AO51" i="14" s="1"/>
  <c r="R51" i="14"/>
  <c r="S53" i="14"/>
  <c r="Q53" i="14"/>
  <c r="AM54" i="14"/>
  <c r="AO54" i="14" s="1"/>
  <c r="W55" i="14"/>
  <c r="Y55" i="14"/>
  <c r="I57" i="14"/>
  <c r="G57" i="14"/>
  <c r="AE57" i="14"/>
  <c r="AC57" i="14"/>
  <c r="Q63" i="14"/>
  <c r="AI63" i="14" s="1"/>
  <c r="S63" i="14"/>
  <c r="AM65" i="14"/>
  <c r="AO65" i="14" s="1"/>
  <c r="AE65" i="14"/>
  <c r="AD65" i="14"/>
  <c r="AC65" i="14"/>
  <c r="AI66" i="14"/>
  <c r="AM67" i="14"/>
  <c r="AO67" i="14" s="1"/>
  <c r="I69" i="14"/>
  <c r="H69" i="14"/>
  <c r="G69" i="14"/>
  <c r="Y69" i="14"/>
  <c r="X69" i="14"/>
  <c r="W69" i="14"/>
  <c r="AM83" i="14"/>
  <c r="AO83" i="14" s="1"/>
  <c r="AM84" i="14"/>
  <c r="AO84" i="14" s="1"/>
  <c r="AM85" i="14"/>
  <c r="AO85" i="14" s="1"/>
  <c r="R27" i="32"/>
  <c r="R15" i="31"/>
  <c r="R19" i="31"/>
  <c r="R23" i="31"/>
  <c r="S27" i="31"/>
  <c r="R5" i="14"/>
  <c r="R13" i="14"/>
  <c r="W19" i="14"/>
  <c r="R21" i="14"/>
  <c r="W27" i="14"/>
  <c r="H47" i="14"/>
  <c r="AD47" i="14"/>
  <c r="W48" i="14"/>
  <c r="AI48" i="14" s="1"/>
  <c r="W49" i="14"/>
  <c r="AI49" i="14" s="1"/>
  <c r="AM50" i="14"/>
  <c r="AO50" i="14" s="1"/>
  <c r="W51" i="14"/>
  <c r="Y51" i="14"/>
  <c r="I53" i="14"/>
  <c r="G53" i="14"/>
  <c r="AE53" i="14"/>
  <c r="AC53" i="14"/>
  <c r="Q55" i="14"/>
  <c r="S55" i="14"/>
  <c r="X55" i="14"/>
  <c r="AM57" i="14"/>
  <c r="AO57" i="14" s="1"/>
  <c r="H57" i="14"/>
  <c r="AD57" i="14"/>
  <c r="AM60" i="14"/>
  <c r="AO60" i="14" s="1"/>
  <c r="AJ64" i="14"/>
  <c r="Q67" i="14"/>
  <c r="AI67" i="14" s="1"/>
  <c r="S67" i="14"/>
  <c r="AM69" i="14"/>
  <c r="AO69" i="14" s="1"/>
  <c r="AE69" i="14"/>
  <c r="AD69" i="14"/>
  <c r="AC69" i="14"/>
  <c r="AI70" i="14"/>
  <c r="AM71" i="14"/>
  <c r="AO71" i="14" s="1"/>
  <c r="AM79" i="14"/>
  <c r="AO79" i="14" s="1"/>
  <c r="AM80" i="14"/>
  <c r="AO80" i="14" s="1"/>
  <c r="AM81" i="14"/>
  <c r="AO81" i="14" s="1"/>
  <c r="AK90" i="14"/>
  <c r="AL90" i="14" s="1"/>
  <c r="I59" i="14"/>
  <c r="Y59" i="14"/>
  <c r="AE59" i="14"/>
  <c r="Q61" i="14"/>
  <c r="I63" i="14"/>
  <c r="Y63" i="14"/>
  <c r="AE63" i="14"/>
  <c r="Q65" i="14"/>
  <c r="I67" i="14"/>
  <c r="Y67" i="14"/>
  <c r="AE67" i="14"/>
  <c r="Q69" i="14"/>
  <c r="I71" i="14"/>
  <c r="Y71" i="14"/>
  <c r="AE71" i="14"/>
  <c r="AJ72" i="14"/>
  <c r="G73" i="14"/>
  <c r="Q73" i="14"/>
  <c r="W73" i="14"/>
  <c r="AC73" i="14"/>
  <c r="I75" i="14"/>
  <c r="S75" i="14"/>
  <c r="Y75" i="14"/>
  <c r="AE75" i="14"/>
  <c r="G77" i="14"/>
  <c r="Q77" i="14"/>
  <c r="W77" i="14"/>
  <c r="AC77" i="14"/>
  <c r="I79" i="14"/>
  <c r="S79" i="14"/>
  <c r="Y79" i="14"/>
  <c r="AE79" i="14"/>
  <c r="G81" i="14"/>
  <c r="Q81" i="14"/>
  <c r="W81" i="14"/>
  <c r="AC81" i="14"/>
  <c r="I83" i="14"/>
  <c r="S83" i="14"/>
  <c r="Y83" i="14"/>
  <c r="AE83" i="14"/>
  <c r="G85" i="14"/>
  <c r="Q85" i="14"/>
  <c r="W85" i="14"/>
  <c r="AC85" i="14"/>
  <c r="I87" i="14"/>
  <c r="S87" i="14"/>
  <c r="Y87" i="14"/>
  <c r="AE87" i="14"/>
  <c r="G89" i="14"/>
  <c r="Q89" i="14"/>
  <c r="W89" i="14"/>
  <c r="AC89" i="14"/>
  <c r="AM91" i="14"/>
  <c r="AO91" i="14" s="1"/>
  <c r="R91" i="14"/>
  <c r="S92" i="14"/>
  <c r="G94" i="14"/>
  <c r="AM95" i="14"/>
  <c r="AO95" i="14" s="1"/>
  <c r="S96" i="14"/>
  <c r="G98" i="14"/>
  <c r="AM99" i="14"/>
  <c r="AO99" i="14" s="1"/>
  <c r="S100" i="14"/>
  <c r="AD102" i="14"/>
  <c r="AC102" i="14"/>
  <c r="AM109" i="14"/>
  <c r="AO109" i="14" s="1"/>
  <c r="I110" i="14"/>
  <c r="H110" i="14"/>
  <c r="G110" i="14"/>
  <c r="AM111" i="14"/>
  <c r="AO111" i="14" s="1"/>
  <c r="AM113" i="14"/>
  <c r="AO113" i="14" s="1"/>
  <c r="I114" i="14"/>
  <c r="H114" i="14"/>
  <c r="G114" i="14"/>
  <c r="AM115" i="14"/>
  <c r="AO115" i="14" s="1"/>
  <c r="Q116" i="14"/>
  <c r="AI116" i="14" s="1"/>
  <c r="S116" i="14"/>
  <c r="AE118" i="14"/>
  <c r="AD118" i="14"/>
  <c r="AC118" i="14"/>
  <c r="Q120" i="14"/>
  <c r="AI120" i="14" s="1"/>
  <c r="S120" i="14"/>
  <c r="AM122" i="14"/>
  <c r="AO122" i="14" s="1"/>
  <c r="AM131" i="14"/>
  <c r="AO131" i="14" s="1"/>
  <c r="AM58" i="14"/>
  <c r="AO58" i="14" s="1"/>
  <c r="R61" i="14"/>
  <c r="AM62" i="14"/>
  <c r="AO62" i="14" s="1"/>
  <c r="R65" i="14"/>
  <c r="AM66" i="14"/>
  <c r="AO66" i="14" s="1"/>
  <c r="R69" i="14"/>
  <c r="AM70" i="14"/>
  <c r="AO70" i="14" s="1"/>
  <c r="H73" i="14"/>
  <c r="R73" i="14"/>
  <c r="X73" i="14"/>
  <c r="AD73" i="14"/>
  <c r="AM74" i="14"/>
  <c r="AO74" i="14" s="1"/>
  <c r="H77" i="14"/>
  <c r="R77" i="14"/>
  <c r="X77" i="14"/>
  <c r="AD77" i="14"/>
  <c r="AM78" i="14"/>
  <c r="AO78" i="14" s="1"/>
  <c r="H81" i="14"/>
  <c r="R81" i="14"/>
  <c r="X81" i="14"/>
  <c r="AD81" i="14"/>
  <c r="AM82" i="14"/>
  <c r="AO82" i="14" s="1"/>
  <c r="H85" i="14"/>
  <c r="R85" i="14"/>
  <c r="X85" i="14"/>
  <c r="AD85" i="14"/>
  <c r="AM86" i="14"/>
  <c r="AO86" i="14" s="1"/>
  <c r="H89" i="14"/>
  <c r="R89" i="14"/>
  <c r="X89" i="14"/>
  <c r="AD89" i="14"/>
  <c r="AM90" i="14"/>
  <c r="AO90" i="14" s="1"/>
  <c r="S93" i="14"/>
  <c r="AM93" i="14"/>
  <c r="AO93" i="14" s="1"/>
  <c r="I94" i="14"/>
  <c r="AC94" i="14"/>
  <c r="AM94" i="14"/>
  <c r="AO94" i="14" s="1"/>
  <c r="G95" i="14"/>
  <c r="AC95" i="14"/>
  <c r="S97" i="14"/>
  <c r="AM97" i="14"/>
  <c r="AO97" i="14" s="1"/>
  <c r="I98" i="14"/>
  <c r="AC98" i="14"/>
  <c r="AM98" i="14"/>
  <c r="AO98" i="14" s="1"/>
  <c r="G99" i="14"/>
  <c r="AC99" i="14"/>
  <c r="AM101" i="14"/>
  <c r="AO101" i="14" s="1"/>
  <c r="AE102" i="14"/>
  <c r="AM106" i="14"/>
  <c r="AO106" i="14" s="1"/>
  <c r="Y106" i="14"/>
  <c r="X106" i="14"/>
  <c r="W106" i="14"/>
  <c r="AI107" i="14"/>
  <c r="AI111" i="14"/>
  <c r="R116" i="14"/>
  <c r="AM117" i="14"/>
  <c r="AO117" i="14" s="1"/>
  <c r="I118" i="14"/>
  <c r="H118" i="14"/>
  <c r="G118" i="14"/>
  <c r="AM119" i="14"/>
  <c r="AO119" i="14" s="1"/>
  <c r="R120" i="14"/>
  <c r="AM127" i="14"/>
  <c r="AO127" i="14" s="1"/>
  <c r="AI128" i="14"/>
  <c r="AM134" i="14"/>
  <c r="AO134" i="14" s="1"/>
  <c r="AM139" i="14"/>
  <c r="AO139" i="14" s="1"/>
  <c r="AI140" i="14"/>
  <c r="AM142" i="14"/>
  <c r="AO142" i="14" s="1"/>
  <c r="AM147" i="14"/>
  <c r="AO147" i="14" s="1"/>
  <c r="AI148" i="14"/>
  <c r="AM150" i="14"/>
  <c r="AO150" i="14" s="1"/>
  <c r="Q75" i="14"/>
  <c r="AI75" i="14" s="1"/>
  <c r="Q79" i="14"/>
  <c r="AI79" i="14" s="1"/>
  <c r="Q83" i="14"/>
  <c r="AI83" i="14" s="1"/>
  <c r="Q87" i="14"/>
  <c r="AI87" i="14" s="1"/>
  <c r="H91" i="14"/>
  <c r="W91" i="14"/>
  <c r="AI91" i="14" s="1"/>
  <c r="AD91" i="14"/>
  <c r="H93" i="14"/>
  <c r="AD93" i="14"/>
  <c r="W94" i="14"/>
  <c r="AE94" i="14"/>
  <c r="H95" i="14"/>
  <c r="W95" i="14"/>
  <c r="AD95" i="14"/>
  <c r="H97" i="14"/>
  <c r="AD97" i="14"/>
  <c r="W98" i="14"/>
  <c r="AE98" i="14"/>
  <c r="H99" i="14"/>
  <c r="W99" i="14"/>
  <c r="AD99" i="14"/>
  <c r="R101" i="14"/>
  <c r="H102" i="14"/>
  <c r="G102" i="14"/>
  <c r="X102" i="14"/>
  <c r="W102" i="14"/>
  <c r="AM103" i="14"/>
  <c r="AO103" i="14" s="1"/>
  <c r="Q104" i="14"/>
  <c r="AI104" i="14" s="1"/>
  <c r="S104" i="14"/>
  <c r="AE106" i="14"/>
  <c r="AD106" i="14"/>
  <c r="AC106" i="14"/>
  <c r="AM110" i="14"/>
  <c r="AO110" i="14" s="1"/>
  <c r="Y110" i="14"/>
  <c r="X110" i="14"/>
  <c r="W110" i="14"/>
  <c r="AM114" i="14"/>
  <c r="AO114" i="14" s="1"/>
  <c r="Y114" i="14"/>
  <c r="X114" i="14"/>
  <c r="W114" i="14"/>
  <c r="AI115" i="14"/>
  <c r="AI119" i="14"/>
  <c r="AM123" i="14"/>
  <c r="AO123" i="14" s="1"/>
  <c r="AK124" i="14"/>
  <c r="AL124" i="14" s="1"/>
  <c r="AJ124" i="14"/>
  <c r="AM130" i="14"/>
  <c r="AO130" i="14" s="1"/>
  <c r="AJ135" i="14"/>
  <c r="AK143" i="14"/>
  <c r="AL143" i="14" s="1"/>
  <c r="AI156" i="14"/>
  <c r="AM102" i="14"/>
  <c r="AO102" i="14" s="1"/>
  <c r="AM105" i="14"/>
  <c r="AO105" i="14" s="1"/>
  <c r="I106" i="14"/>
  <c r="H106" i="14"/>
  <c r="G106" i="14"/>
  <c r="AM107" i="14"/>
  <c r="AO107" i="14" s="1"/>
  <c r="Q108" i="14"/>
  <c r="S108" i="14"/>
  <c r="AE110" i="14"/>
  <c r="AD110" i="14"/>
  <c r="AC110" i="14"/>
  <c r="Q112" i="14"/>
  <c r="AI112" i="14" s="1"/>
  <c r="S112" i="14"/>
  <c r="AE114" i="14"/>
  <c r="AD114" i="14"/>
  <c r="AC114" i="14"/>
  <c r="AM118" i="14"/>
  <c r="AO118" i="14" s="1"/>
  <c r="Y118" i="14"/>
  <c r="X118" i="14"/>
  <c r="W118" i="14"/>
  <c r="AM126" i="14"/>
  <c r="AO126" i="14" s="1"/>
  <c r="AJ131" i="14"/>
  <c r="AK131" i="14"/>
  <c r="AL131" i="14" s="1"/>
  <c r="AM135" i="14"/>
  <c r="AO135" i="14" s="1"/>
  <c r="AK136" i="14"/>
  <c r="AL136" i="14" s="1"/>
  <c r="AJ136" i="14"/>
  <c r="AM138" i="14"/>
  <c r="AO138" i="14" s="1"/>
  <c r="AM143" i="14"/>
  <c r="AO143" i="14" s="1"/>
  <c r="AM146" i="14"/>
  <c r="AO146" i="14" s="1"/>
  <c r="AM151" i="14"/>
  <c r="AO151" i="14" s="1"/>
  <c r="AM154" i="14"/>
  <c r="AO154" i="14" s="1"/>
  <c r="AM121" i="14"/>
  <c r="AO121" i="14" s="1"/>
  <c r="R124" i="14"/>
  <c r="AM125" i="14"/>
  <c r="AO125" i="14" s="1"/>
  <c r="R128" i="14"/>
  <c r="AM129" i="14"/>
  <c r="AO129" i="14" s="1"/>
  <c r="R132" i="14"/>
  <c r="AM133" i="14"/>
  <c r="AO133" i="14" s="1"/>
  <c r="R136" i="14"/>
  <c r="AM137" i="14"/>
  <c r="AO137" i="14" s="1"/>
  <c r="R140" i="14"/>
  <c r="AM141" i="14"/>
  <c r="AO141" i="14" s="1"/>
  <c r="R144" i="14"/>
  <c r="AM145" i="14"/>
  <c r="AO145" i="14" s="1"/>
  <c r="R148" i="14"/>
  <c r="AM149" i="14"/>
  <c r="AO149" i="14" s="1"/>
  <c r="R152" i="14"/>
  <c r="AM153" i="14"/>
  <c r="AO153" i="14" s="1"/>
  <c r="R156" i="14"/>
  <c r="AM157" i="14"/>
  <c r="AO157" i="14" s="1"/>
  <c r="S159" i="14"/>
  <c r="Q159" i="14"/>
  <c r="AM160" i="14"/>
  <c r="AO160" i="14" s="1"/>
  <c r="W161" i="14"/>
  <c r="Y161" i="14"/>
  <c r="I163" i="14"/>
  <c r="G163" i="14"/>
  <c r="AE163" i="14"/>
  <c r="AC163" i="14"/>
  <c r="I167" i="14"/>
  <c r="H167" i="14"/>
  <c r="G167" i="14"/>
  <c r="Y167" i="14"/>
  <c r="X167" i="14"/>
  <c r="W167" i="14"/>
  <c r="AI168" i="14"/>
  <c r="Q169" i="14"/>
  <c r="AI169" i="14" s="1"/>
  <c r="S169" i="14"/>
  <c r="AM171" i="14"/>
  <c r="AO171" i="14" s="1"/>
  <c r="AE171" i="14"/>
  <c r="AD171" i="14"/>
  <c r="AC171" i="14"/>
  <c r="AJ174" i="14"/>
  <c r="AI185" i="14"/>
  <c r="AM193" i="14"/>
  <c r="AO193" i="14" s="1"/>
  <c r="AK200" i="14"/>
  <c r="AL200" i="14" s="1"/>
  <c r="AJ200" i="14"/>
  <c r="AM221" i="14"/>
  <c r="AO221" i="14" s="1"/>
  <c r="AM224" i="14"/>
  <c r="AO224" i="14" s="1"/>
  <c r="H103" i="14"/>
  <c r="R103" i="14"/>
  <c r="X103" i="14"/>
  <c r="AD103" i="14"/>
  <c r="AM104" i="14"/>
  <c r="AO104" i="14" s="1"/>
  <c r="H107" i="14"/>
  <c r="R107" i="14"/>
  <c r="X107" i="14"/>
  <c r="AD107" i="14"/>
  <c r="AM108" i="14"/>
  <c r="AO108" i="14" s="1"/>
  <c r="R111" i="14"/>
  <c r="AM112" i="14"/>
  <c r="AO112" i="14" s="1"/>
  <c r="H115" i="14"/>
  <c r="R115" i="14"/>
  <c r="X115" i="14"/>
  <c r="AD115" i="14"/>
  <c r="AM116" i="14"/>
  <c r="AO116" i="14" s="1"/>
  <c r="R119" i="14"/>
  <c r="AM120" i="14"/>
  <c r="AO120" i="14" s="1"/>
  <c r="G122" i="14"/>
  <c r="W122" i="14"/>
  <c r="AC122" i="14"/>
  <c r="R123" i="14"/>
  <c r="S124" i="14"/>
  <c r="AM124" i="14"/>
  <c r="AO124" i="14" s="1"/>
  <c r="G126" i="14"/>
  <c r="W126" i="14"/>
  <c r="AC126" i="14"/>
  <c r="R127" i="14"/>
  <c r="S128" i="14"/>
  <c r="AM128" i="14"/>
  <c r="AO128" i="14" s="1"/>
  <c r="G130" i="14"/>
  <c r="W130" i="14"/>
  <c r="AC130" i="14"/>
  <c r="R131" i="14"/>
  <c r="S132" i="14"/>
  <c r="AM132" i="14"/>
  <c r="AO132" i="14" s="1"/>
  <c r="G134" i="14"/>
  <c r="W134" i="14"/>
  <c r="AC134" i="14"/>
  <c r="R135" i="14"/>
  <c r="S136" i="14"/>
  <c r="AM136" i="14"/>
  <c r="AO136" i="14" s="1"/>
  <c r="G138" i="14"/>
  <c r="W138" i="14"/>
  <c r="AC138" i="14"/>
  <c r="R139" i="14"/>
  <c r="S140" i="14"/>
  <c r="AM140" i="14"/>
  <c r="AO140" i="14" s="1"/>
  <c r="G142" i="14"/>
  <c r="W142" i="14"/>
  <c r="AC142" i="14"/>
  <c r="R143" i="14"/>
  <c r="S144" i="14"/>
  <c r="AM144" i="14"/>
  <c r="AO144" i="14" s="1"/>
  <c r="G146" i="14"/>
  <c r="W146" i="14"/>
  <c r="AC146" i="14"/>
  <c r="R147" i="14"/>
  <c r="S148" i="14"/>
  <c r="AM148" i="14"/>
  <c r="AO148" i="14" s="1"/>
  <c r="G150" i="14"/>
  <c r="W150" i="14"/>
  <c r="AC150" i="14"/>
  <c r="R151" i="14"/>
  <c r="S152" i="14"/>
  <c r="AM152" i="14"/>
  <c r="AO152" i="14" s="1"/>
  <c r="G154" i="14"/>
  <c r="W154" i="14"/>
  <c r="AC154" i="14"/>
  <c r="R155" i="14"/>
  <c r="S156" i="14"/>
  <c r="AM156" i="14"/>
  <c r="AO156" i="14" s="1"/>
  <c r="S158" i="14"/>
  <c r="I159" i="14"/>
  <c r="G159" i="14"/>
  <c r="AE159" i="14"/>
  <c r="AC159" i="14"/>
  <c r="Q161" i="14"/>
  <c r="S161" i="14"/>
  <c r="X161" i="14"/>
  <c r="AM163" i="14"/>
  <c r="AO163" i="14" s="1"/>
  <c r="H163" i="14"/>
  <c r="AD163" i="14"/>
  <c r="AI164" i="14"/>
  <c r="Q165" i="14"/>
  <c r="AI165" i="14" s="1"/>
  <c r="S165" i="14"/>
  <c r="AM167" i="14"/>
  <c r="AO167" i="14" s="1"/>
  <c r="AE167" i="14"/>
  <c r="AD167" i="14"/>
  <c r="AC167" i="14"/>
  <c r="R169" i="14"/>
  <c r="AK170" i="14"/>
  <c r="AL170" i="14" s="1"/>
  <c r="AJ170" i="14"/>
  <c r="AM174" i="14"/>
  <c r="AO174" i="14" s="1"/>
  <c r="AM187" i="14"/>
  <c r="AO187" i="14" s="1"/>
  <c r="AM191" i="14"/>
  <c r="AO191" i="14" s="1"/>
  <c r="Q105" i="14"/>
  <c r="Q109" i="14"/>
  <c r="Q113" i="14"/>
  <c r="AI113" i="14" s="1"/>
  <c r="Q117" i="14"/>
  <c r="AI117" i="14" s="1"/>
  <c r="G121" i="14"/>
  <c r="Q121" i="14"/>
  <c r="W121" i="14"/>
  <c r="AC121" i="14"/>
  <c r="H122" i="14"/>
  <c r="X122" i="14"/>
  <c r="AD122" i="14"/>
  <c r="G125" i="14"/>
  <c r="Q125" i="14"/>
  <c r="W125" i="14"/>
  <c r="AC125" i="14"/>
  <c r="H126" i="14"/>
  <c r="X126" i="14"/>
  <c r="AD126" i="14"/>
  <c r="G129" i="14"/>
  <c r="Q129" i="14"/>
  <c r="W129" i="14"/>
  <c r="AC129" i="14"/>
  <c r="H130" i="14"/>
  <c r="X130" i="14"/>
  <c r="AD130" i="14"/>
  <c r="G133" i="14"/>
  <c r="Q133" i="14"/>
  <c r="W133" i="14"/>
  <c r="AC133" i="14"/>
  <c r="H134" i="14"/>
  <c r="X134" i="14"/>
  <c r="AD134" i="14"/>
  <c r="Q137" i="14"/>
  <c r="AI137" i="14" s="1"/>
  <c r="H138" i="14"/>
  <c r="X138" i="14"/>
  <c r="AD138" i="14"/>
  <c r="Q141" i="14"/>
  <c r="H142" i="14"/>
  <c r="X142" i="14"/>
  <c r="AD142" i="14"/>
  <c r="Q145" i="14"/>
  <c r="H146" i="14"/>
  <c r="X146" i="14"/>
  <c r="AD146" i="14"/>
  <c r="Q149" i="14"/>
  <c r="H150" i="14"/>
  <c r="X150" i="14"/>
  <c r="AD150" i="14"/>
  <c r="Q153" i="14"/>
  <c r="AI153" i="14" s="1"/>
  <c r="H154" i="14"/>
  <c r="R154" i="14"/>
  <c r="X154" i="14"/>
  <c r="AD154" i="14"/>
  <c r="AM155" i="14"/>
  <c r="AO155" i="14" s="1"/>
  <c r="G157" i="14"/>
  <c r="AC157" i="14"/>
  <c r="AM159" i="14"/>
  <c r="AO159" i="14" s="1"/>
  <c r="H159" i="14"/>
  <c r="R159" i="14"/>
  <c r="AD159" i="14"/>
  <c r="G161" i="14"/>
  <c r="I161" i="14"/>
  <c r="AC161" i="14"/>
  <c r="AE161" i="14"/>
  <c r="AM162" i="14"/>
  <c r="AO162" i="14" s="1"/>
  <c r="Y163" i="14"/>
  <c r="W163" i="14"/>
  <c r="R165" i="14"/>
  <c r="AM170" i="14"/>
  <c r="AO170" i="14" s="1"/>
  <c r="I175" i="14"/>
  <c r="H175" i="14"/>
  <c r="G175" i="14"/>
  <c r="Y175" i="14"/>
  <c r="X175" i="14"/>
  <c r="W175" i="14"/>
  <c r="Q177" i="14"/>
  <c r="AI177" i="14" s="1"/>
  <c r="S177" i="14"/>
  <c r="AI181" i="14"/>
  <c r="AM189" i="14"/>
  <c r="AO189" i="14" s="1"/>
  <c r="AI193" i="14"/>
  <c r="H157" i="14"/>
  <c r="W157" i="14"/>
  <c r="AD157" i="14"/>
  <c r="AM158" i="14"/>
  <c r="AO158" i="14" s="1"/>
  <c r="Y159" i="14"/>
  <c r="W159" i="14"/>
  <c r="AM161" i="14"/>
  <c r="AO161" i="14" s="1"/>
  <c r="H161" i="14"/>
  <c r="R161" i="14"/>
  <c r="AD161" i="14"/>
  <c r="S163" i="14"/>
  <c r="Q163" i="14"/>
  <c r="X163" i="14"/>
  <c r="AM166" i="14"/>
  <c r="AO166" i="14" s="1"/>
  <c r="I171" i="14"/>
  <c r="H171" i="14"/>
  <c r="G171" i="14"/>
  <c r="Y171" i="14"/>
  <c r="X171" i="14"/>
  <c r="W171" i="14"/>
  <c r="AI172" i="14"/>
  <c r="Q173" i="14"/>
  <c r="AI173" i="14" s="1"/>
  <c r="S173" i="14"/>
  <c r="AM175" i="14"/>
  <c r="AO175" i="14" s="1"/>
  <c r="AE175" i="14"/>
  <c r="AD175" i="14"/>
  <c r="AC175" i="14"/>
  <c r="AM179" i="14"/>
  <c r="AO179" i="14" s="1"/>
  <c r="AJ180" i="14"/>
  <c r="AK180" i="14"/>
  <c r="AL180" i="14" s="1"/>
  <c r="AM183" i="14"/>
  <c r="AO183" i="14" s="1"/>
  <c r="AM195" i="14"/>
  <c r="AO195" i="14" s="1"/>
  <c r="AK196" i="14"/>
  <c r="AL196" i="14" s="1"/>
  <c r="AM203" i="14"/>
  <c r="AO203" i="14" s="1"/>
  <c r="AM213" i="14"/>
  <c r="AO213" i="14" s="1"/>
  <c r="AM178" i="14"/>
  <c r="AO178" i="14" s="1"/>
  <c r="R181" i="14"/>
  <c r="AM182" i="14"/>
  <c r="AO182" i="14" s="1"/>
  <c r="R185" i="14"/>
  <c r="AM186" i="14"/>
  <c r="AO186" i="14" s="1"/>
  <c r="R189" i="14"/>
  <c r="X189" i="14"/>
  <c r="AM190" i="14"/>
  <c r="AO190" i="14" s="1"/>
  <c r="R193" i="14"/>
  <c r="AM194" i="14"/>
  <c r="AO194" i="14" s="1"/>
  <c r="S206" i="14"/>
  <c r="S209" i="14"/>
  <c r="AM209" i="14"/>
  <c r="AO209" i="14" s="1"/>
  <c r="X210" i="14"/>
  <c r="W210" i="14"/>
  <c r="AM210" i="14"/>
  <c r="AO210" i="14" s="1"/>
  <c r="AM212" i="14"/>
  <c r="AO212" i="14" s="1"/>
  <c r="AE215" i="14"/>
  <c r="AD215" i="14"/>
  <c r="AK217" i="14"/>
  <c r="AL217" i="14" s="1"/>
  <c r="AJ217" i="14"/>
  <c r="AD218" i="14"/>
  <c r="AC218" i="14"/>
  <c r="AE218" i="14"/>
  <c r="AM223" i="14"/>
  <c r="AO223" i="14" s="1"/>
  <c r="AM226" i="14"/>
  <c r="AO226" i="14" s="1"/>
  <c r="AI226" i="14"/>
  <c r="AK235" i="14"/>
  <c r="AL235" i="14" s="1"/>
  <c r="AJ235" i="14"/>
  <c r="R164" i="14"/>
  <c r="I165" i="14"/>
  <c r="Y165" i="14"/>
  <c r="AE165" i="14"/>
  <c r="AM165" i="14"/>
  <c r="AO165" i="14" s="1"/>
  <c r="Q167" i="14"/>
  <c r="R168" i="14"/>
  <c r="I169" i="14"/>
  <c r="Y169" i="14"/>
  <c r="AE169" i="14"/>
  <c r="AM169" i="14"/>
  <c r="AO169" i="14" s="1"/>
  <c r="Q171" i="14"/>
  <c r="R172" i="14"/>
  <c r="I173" i="14"/>
  <c r="Y173" i="14"/>
  <c r="AE173" i="14"/>
  <c r="AM173" i="14"/>
  <c r="AO173" i="14" s="1"/>
  <c r="Q175" i="14"/>
  <c r="R176" i="14"/>
  <c r="I177" i="14"/>
  <c r="Y177" i="14"/>
  <c r="AE177" i="14"/>
  <c r="AM177" i="14"/>
  <c r="AO177" i="14" s="1"/>
  <c r="G179" i="14"/>
  <c r="Q179" i="14"/>
  <c r="W179" i="14"/>
  <c r="AC179" i="14"/>
  <c r="R180" i="14"/>
  <c r="I181" i="14"/>
  <c r="S181" i="14"/>
  <c r="Y181" i="14"/>
  <c r="AE181" i="14"/>
  <c r="AM181" i="14"/>
  <c r="AO181" i="14" s="1"/>
  <c r="AJ182" i="14"/>
  <c r="G183" i="14"/>
  <c r="Q183" i="14"/>
  <c r="W183" i="14"/>
  <c r="AC183" i="14"/>
  <c r="R184" i="14"/>
  <c r="X184" i="14"/>
  <c r="I185" i="14"/>
  <c r="S185" i="14"/>
  <c r="Y185" i="14"/>
  <c r="AE185" i="14"/>
  <c r="AM185" i="14"/>
  <c r="AO185" i="14" s="1"/>
  <c r="AJ186" i="14"/>
  <c r="G187" i="14"/>
  <c r="Q187" i="14"/>
  <c r="W187" i="14"/>
  <c r="AC187" i="14"/>
  <c r="H188" i="14"/>
  <c r="X188" i="14"/>
  <c r="AD188" i="14"/>
  <c r="S189" i="14"/>
  <c r="G191" i="14"/>
  <c r="Q191" i="14"/>
  <c r="W191" i="14"/>
  <c r="AC191" i="14"/>
  <c r="I193" i="14"/>
  <c r="S193" i="14"/>
  <c r="Y193" i="14"/>
  <c r="AE193" i="14"/>
  <c r="G195" i="14"/>
  <c r="Q195" i="14"/>
  <c r="W195" i="14"/>
  <c r="AC195" i="14"/>
  <c r="AM197" i="14"/>
  <c r="AO197" i="14" s="1"/>
  <c r="R197" i="14"/>
  <c r="R199" i="14"/>
  <c r="Y199" i="14"/>
  <c r="G200" i="14"/>
  <c r="AM201" i="14"/>
  <c r="AO201" i="14" s="1"/>
  <c r="R201" i="14"/>
  <c r="Y203" i="14"/>
  <c r="G204" i="14"/>
  <c r="AM205" i="14"/>
  <c r="AO205" i="14" s="1"/>
  <c r="G207" i="14"/>
  <c r="AM208" i="14"/>
  <c r="AO208" i="14" s="1"/>
  <c r="H210" i="14"/>
  <c r="G210" i="14"/>
  <c r="I211" i="14"/>
  <c r="H211" i="14"/>
  <c r="Y211" i="14"/>
  <c r="X211" i="14"/>
  <c r="X214" i="14"/>
  <c r="W214" i="14"/>
  <c r="AM216" i="14"/>
  <c r="AO216" i="14" s="1"/>
  <c r="AM219" i="14"/>
  <c r="AO219" i="14" s="1"/>
  <c r="AK222" i="14"/>
  <c r="AL222" i="14" s="1"/>
  <c r="H225" i="14"/>
  <c r="G225" i="14"/>
  <c r="I225" i="14"/>
  <c r="S227" i="14"/>
  <c r="Q227" i="14"/>
  <c r="AK233" i="14"/>
  <c r="AL233" i="14" s="1"/>
  <c r="AJ233" i="14"/>
  <c r="AM164" i="14"/>
  <c r="AO164" i="14" s="1"/>
  <c r="R167" i="14"/>
  <c r="AM168" i="14"/>
  <c r="AO168" i="14" s="1"/>
  <c r="R171" i="14"/>
  <c r="AM172" i="14"/>
  <c r="AO172" i="14" s="1"/>
  <c r="R175" i="14"/>
  <c r="AM176" i="14"/>
  <c r="AO176" i="14" s="1"/>
  <c r="H179" i="14"/>
  <c r="R179" i="14"/>
  <c r="X179" i="14"/>
  <c r="AD179" i="14"/>
  <c r="AM180" i="14"/>
  <c r="AO180" i="14" s="1"/>
  <c r="H183" i="14"/>
  <c r="R183" i="14"/>
  <c r="X183" i="14"/>
  <c r="AD183" i="14"/>
  <c r="S184" i="14"/>
  <c r="AM184" i="14"/>
  <c r="AO184" i="14" s="1"/>
  <c r="H187" i="14"/>
  <c r="R187" i="14"/>
  <c r="X187" i="14"/>
  <c r="AD187" i="14"/>
  <c r="AM188" i="14"/>
  <c r="AO188" i="14" s="1"/>
  <c r="Q190" i="14"/>
  <c r="AI190" i="14" s="1"/>
  <c r="H191" i="14"/>
  <c r="R191" i="14"/>
  <c r="X191" i="14"/>
  <c r="AD191" i="14"/>
  <c r="AM192" i="14"/>
  <c r="AO192" i="14" s="1"/>
  <c r="H195" i="14"/>
  <c r="R195" i="14"/>
  <c r="X195" i="14"/>
  <c r="AD195" i="14"/>
  <c r="AM196" i="14"/>
  <c r="AO196" i="14" s="1"/>
  <c r="S199" i="14"/>
  <c r="AM199" i="14"/>
  <c r="AO199" i="14" s="1"/>
  <c r="I200" i="14"/>
  <c r="AM200" i="14"/>
  <c r="AO200" i="14" s="1"/>
  <c r="AI201" i="14"/>
  <c r="S203" i="14"/>
  <c r="I204" i="14"/>
  <c r="AC204" i="14"/>
  <c r="AI204" i="14" s="1"/>
  <c r="AM204" i="14"/>
  <c r="AO204" i="14" s="1"/>
  <c r="G205" i="14"/>
  <c r="AC205" i="14"/>
  <c r="AI205" i="14"/>
  <c r="AM206" i="14"/>
  <c r="AO206" i="14" s="1"/>
  <c r="I207" i="14"/>
  <c r="AC207" i="14"/>
  <c r="AI207" i="14" s="1"/>
  <c r="AM207" i="14"/>
  <c r="AO207" i="14" s="1"/>
  <c r="G208" i="14"/>
  <c r="AC208" i="14"/>
  <c r="AI208" i="14" s="1"/>
  <c r="I210" i="14"/>
  <c r="AD210" i="14"/>
  <c r="AC210" i="14"/>
  <c r="AM211" i="14"/>
  <c r="AO211" i="14" s="1"/>
  <c r="G211" i="14"/>
  <c r="W211" i="14"/>
  <c r="AI211" i="14" s="1"/>
  <c r="R212" i="14"/>
  <c r="H214" i="14"/>
  <c r="G214" i="14"/>
  <c r="Y214" i="14"/>
  <c r="I215" i="14"/>
  <c r="H215" i="14"/>
  <c r="Y215" i="14"/>
  <c r="X215" i="14"/>
  <c r="Q216" i="14"/>
  <c r="AI216" i="14" s="1"/>
  <c r="AM217" i="14"/>
  <c r="AO217" i="14" s="1"/>
  <c r="H218" i="14"/>
  <c r="G218" i="14"/>
  <c r="I218" i="14"/>
  <c r="S220" i="14"/>
  <c r="Q220" i="14"/>
  <c r="AI220" i="14" s="1"/>
  <c r="AM222" i="14"/>
  <c r="AO222" i="14" s="1"/>
  <c r="X225" i="14"/>
  <c r="W225" i="14"/>
  <c r="Y225" i="14"/>
  <c r="AM227" i="14"/>
  <c r="AO227" i="14" s="1"/>
  <c r="R227" i="14"/>
  <c r="AK239" i="14"/>
  <c r="AL239" i="14" s="1"/>
  <c r="AK243" i="14"/>
  <c r="AL243" i="14" s="1"/>
  <c r="AJ243" i="14"/>
  <c r="Q189" i="14"/>
  <c r="AI189" i="14" s="1"/>
  <c r="W197" i="14"/>
  <c r="AM198" i="14"/>
  <c r="AO198" i="14" s="1"/>
  <c r="AI199" i="14"/>
  <c r="AM202" i="14"/>
  <c r="AO202" i="14" s="1"/>
  <c r="R206" i="14"/>
  <c r="AI206" i="14"/>
  <c r="AE211" i="14"/>
  <c r="AD211" i="14"/>
  <c r="AK213" i="14"/>
  <c r="AL213" i="14" s="1"/>
  <c r="AJ213" i="14"/>
  <c r="I214" i="14"/>
  <c r="AD214" i="14"/>
  <c r="AC214" i="14"/>
  <c r="AM215" i="14"/>
  <c r="AO215" i="14" s="1"/>
  <c r="G215" i="14"/>
  <c r="W215" i="14"/>
  <c r="AI215" i="14" s="1"/>
  <c r="R216" i="14"/>
  <c r="X218" i="14"/>
  <c r="W218" i="14"/>
  <c r="Y218" i="14"/>
  <c r="AM220" i="14"/>
  <c r="AO220" i="14" s="1"/>
  <c r="R220" i="14"/>
  <c r="S223" i="14"/>
  <c r="Q223" i="14"/>
  <c r="AI223" i="14" s="1"/>
  <c r="AD225" i="14"/>
  <c r="AC225" i="14"/>
  <c r="AE225" i="14"/>
  <c r="AM218" i="14"/>
  <c r="AO218" i="14" s="1"/>
  <c r="R221" i="14"/>
  <c r="R224" i="14"/>
  <c r="AM225" i="14"/>
  <c r="AO225" i="14" s="1"/>
  <c r="AM228" i="14"/>
  <c r="AO228" i="14" s="1"/>
  <c r="Q229" i="14"/>
  <c r="AI229" i="14" s="1"/>
  <c r="AM230" i="14"/>
  <c r="AO230" i="14" s="1"/>
  <c r="Q231" i="14"/>
  <c r="AI231" i="14" s="1"/>
  <c r="AM232" i="14"/>
  <c r="AO232" i="14" s="1"/>
  <c r="S235" i="14"/>
  <c r="AM236" i="14"/>
  <c r="AO236" i="14" s="1"/>
  <c r="R236" i="14"/>
  <c r="R237" i="14"/>
  <c r="AI237" i="14"/>
  <c r="Q238" i="14"/>
  <c r="AI238" i="14" s="1"/>
  <c r="AM239" i="14"/>
  <c r="AO239" i="14" s="1"/>
  <c r="S245" i="14"/>
  <c r="R245" i="14"/>
  <c r="Q245" i="14"/>
  <c r="AI245" i="14" s="1"/>
  <c r="AM246" i="14"/>
  <c r="AO246" i="14" s="1"/>
  <c r="AM249" i="14"/>
  <c r="AO249" i="14" s="1"/>
  <c r="AK252" i="14"/>
  <c r="AL252" i="14" s="1"/>
  <c r="AJ252" i="14"/>
  <c r="AM256" i="14"/>
  <c r="AO256" i="14" s="1"/>
  <c r="AM260" i="14"/>
  <c r="AO260" i="14" s="1"/>
  <c r="AJ262" i="14"/>
  <c r="AK262" i="14"/>
  <c r="AL262" i="14" s="1"/>
  <c r="AJ263" i="14"/>
  <c r="AK263" i="14"/>
  <c r="AL263" i="14" s="1"/>
  <c r="AJ264" i="14"/>
  <c r="AK264" i="14"/>
  <c r="AL264" i="14" s="1"/>
  <c r="AJ265" i="14"/>
  <c r="AK265" i="14"/>
  <c r="AL265" i="14" s="1"/>
  <c r="AJ266" i="14"/>
  <c r="AK266" i="14"/>
  <c r="AL266" i="14" s="1"/>
  <c r="AJ267" i="14"/>
  <c r="AK267" i="14"/>
  <c r="AL267" i="14" s="1"/>
  <c r="R229" i="14"/>
  <c r="R231" i="14"/>
  <c r="S237" i="14"/>
  <c r="AM238" i="14"/>
  <c r="AO238" i="14" s="1"/>
  <c r="R238" i="14"/>
  <c r="R239" i="14"/>
  <c r="AI240" i="14"/>
  <c r="AJ242" i="14"/>
  <c r="Q246" i="14"/>
  <c r="AI246" i="14" s="1"/>
  <c r="R246" i="14"/>
  <c r="AK250" i="14"/>
  <c r="AL250" i="14" s="1"/>
  <c r="AJ250" i="14"/>
  <c r="AI251" i="14"/>
  <c r="AM262" i="14"/>
  <c r="AO262" i="14" s="1"/>
  <c r="Q210" i="14"/>
  <c r="Q214" i="14"/>
  <c r="Q218" i="14"/>
  <c r="H219" i="14"/>
  <c r="X219" i="14"/>
  <c r="AD219" i="14"/>
  <c r="Q225" i="14"/>
  <c r="H226" i="14"/>
  <c r="X226" i="14"/>
  <c r="AD226" i="14"/>
  <c r="Q228" i="14"/>
  <c r="AI228" i="14" s="1"/>
  <c r="AM229" i="14"/>
  <c r="AO229" i="14" s="1"/>
  <c r="Q230" i="14"/>
  <c r="AI230" i="14" s="1"/>
  <c r="AM231" i="14"/>
  <c r="AO231" i="14" s="1"/>
  <c r="Q234" i="14"/>
  <c r="AI234" i="14" s="1"/>
  <c r="AM235" i="14"/>
  <c r="AO235" i="14" s="1"/>
  <c r="S239" i="14"/>
  <c r="AM240" i="14"/>
  <c r="AO240" i="14" s="1"/>
  <c r="R240" i="14"/>
  <c r="AM242" i="14"/>
  <c r="AO242" i="14" s="1"/>
  <c r="R243" i="14"/>
  <c r="AI244" i="14"/>
  <c r="S247" i="14"/>
  <c r="R247" i="14"/>
  <c r="Q247" i="14"/>
  <c r="AI247" i="14" s="1"/>
  <c r="S233" i="14"/>
  <c r="AM234" i="14"/>
  <c r="AO234" i="14" s="1"/>
  <c r="R234" i="14"/>
  <c r="R235" i="14"/>
  <c r="Q236" i="14"/>
  <c r="AI236" i="14" s="1"/>
  <c r="AM237" i="14"/>
  <c r="AO237" i="14" s="1"/>
  <c r="R241" i="14"/>
  <c r="S243" i="14"/>
  <c r="AM248" i="14"/>
  <c r="AO248" i="14" s="1"/>
  <c r="Q248" i="14"/>
  <c r="AI248" i="14" s="1"/>
  <c r="R248" i="14"/>
  <c r="S255" i="14"/>
  <c r="R255" i="14"/>
  <c r="Q255" i="14"/>
  <c r="AI255" i="14" s="1"/>
  <c r="AM257" i="14"/>
  <c r="AO257" i="14" s="1"/>
  <c r="S250" i="14"/>
  <c r="AM251" i="14"/>
  <c r="AO251" i="14" s="1"/>
  <c r="R251" i="14"/>
  <c r="R252" i="14"/>
  <c r="Q253" i="14"/>
  <c r="AI253" i="14" s="1"/>
  <c r="AM254" i="14"/>
  <c r="AO254" i="14" s="1"/>
  <c r="Y257" i="14"/>
  <c r="G258" i="14"/>
  <c r="AM259" i="14"/>
  <c r="AO259" i="14" s="1"/>
  <c r="AK260" i="14"/>
  <c r="AL260" i="14" s="1"/>
  <c r="G261" i="14"/>
  <c r="I261" i="14"/>
  <c r="AC261" i="14"/>
  <c r="AE261" i="14"/>
  <c r="G268" i="14"/>
  <c r="I268" i="14"/>
  <c r="AC268" i="14"/>
  <c r="AE268" i="14"/>
  <c r="S271" i="14"/>
  <c r="Q271" i="14"/>
  <c r="AI271" i="14" s="1"/>
  <c r="AM272" i="14"/>
  <c r="AO272" i="14" s="1"/>
  <c r="S275" i="14"/>
  <c r="Q275" i="14"/>
  <c r="AI275" i="14" s="1"/>
  <c r="AM276" i="14"/>
  <c r="AO276" i="14" s="1"/>
  <c r="AM279" i="14"/>
  <c r="AO279" i="14" s="1"/>
  <c r="AM245" i="14"/>
  <c r="AO245" i="14" s="1"/>
  <c r="S252" i="14"/>
  <c r="AM253" i="14"/>
  <c r="AO253" i="14" s="1"/>
  <c r="R253" i="14"/>
  <c r="R254" i="14"/>
  <c r="AI254" i="14"/>
  <c r="S257" i="14"/>
  <c r="I258" i="14"/>
  <c r="AC258" i="14"/>
  <c r="AI258" i="14" s="1"/>
  <c r="AM258" i="14"/>
  <c r="AO258" i="14" s="1"/>
  <c r="G259" i="14"/>
  <c r="AC259" i="14"/>
  <c r="AI259" i="14" s="1"/>
  <c r="AM261" i="14"/>
  <c r="AO261" i="14" s="1"/>
  <c r="H261" i="14"/>
  <c r="AD261" i="14"/>
  <c r="AM268" i="14"/>
  <c r="AO268" i="14" s="1"/>
  <c r="H268" i="14"/>
  <c r="AD268" i="14"/>
  <c r="Q270" i="14"/>
  <c r="AI270" i="14" s="1"/>
  <c r="S270" i="14"/>
  <c r="AM271" i="14"/>
  <c r="AO271" i="14" s="1"/>
  <c r="Q274" i="14"/>
  <c r="AI274" i="14" s="1"/>
  <c r="S274" i="14"/>
  <c r="AM275" i="14"/>
  <c r="AO275" i="14" s="1"/>
  <c r="Q280" i="14"/>
  <c r="AI280" i="14" s="1"/>
  <c r="S280" i="14"/>
  <c r="AJ295" i="14"/>
  <c r="AK295" i="14"/>
  <c r="AL295" i="14" s="1"/>
  <c r="AM247" i="14"/>
  <c r="AO247" i="14" s="1"/>
  <c r="AI249" i="14"/>
  <c r="S254" i="14"/>
  <c r="AM255" i="14"/>
  <c r="AO255" i="14" s="1"/>
  <c r="AI257" i="14"/>
  <c r="W261" i="14"/>
  <c r="Y261" i="14"/>
  <c r="W268" i="14"/>
  <c r="Y268" i="14"/>
  <c r="S269" i="14"/>
  <c r="Q269" i="14"/>
  <c r="AI269" i="14" s="1"/>
  <c r="AM270" i="14"/>
  <c r="AO270" i="14" s="1"/>
  <c r="R271" i="14"/>
  <c r="S273" i="14"/>
  <c r="Q273" i="14"/>
  <c r="AI273" i="14" s="1"/>
  <c r="AM274" i="14"/>
  <c r="AO274" i="14" s="1"/>
  <c r="R275" i="14"/>
  <c r="S277" i="14"/>
  <c r="Q277" i="14"/>
  <c r="AI277" i="14" s="1"/>
  <c r="AM281" i="14"/>
  <c r="AO281" i="14" s="1"/>
  <c r="AJ287" i="14"/>
  <c r="AK287" i="14"/>
  <c r="AL287" i="14" s="1"/>
  <c r="AJ297" i="14"/>
  <c r="AK297" i="14"/>
  <c r="AL297" i="14" s="1"/>
  <c r="AK301" i="14"/>
  <c r="AL301" i="14" s="1"/>
  <c r="AJ301" i="14"/>
  <c r="AJ313" i="14"/>
  <c r="AK313" i="14"/>
  <c r="AL313" i="14" s="1"/>
  <c r="Q261" i="14"/>
  <c r="S261" i="14"/>
  <c r="Q268" i="14"/>
  <c r="S268" i="14"/>
  <c r="X268" i="14"/>
  <c r="AM269" i="14"/>
  <c r="AO269" i="14" s="1"/>
  <c r="Q272" i="14"/>
  <c r="AI272" i="14" s="1"/>
  <c r="S272" i="14"/>
  <c r="AM273" i="14"/>
  <c r="AO273" i="14" s="1"/>
  <c r="Q276" i="14"/>
  <c r="AI276" i="14" s="1"/>
  <c r="S276" i="14"/>
  <c r="AM277" i="14"/>
  <c r="AO277" i="14" s="1"/>
  <c r="Q278" i="14"/>
  <c r="AI278" i="14" s="1"/>
  <c r="S278" i="14"/>
  <c r="Q282" i="14"/>
  <c r="AI282" i="14" s="1"/>
  <c r="S282" i="14"/>
  <c r="AJ289" i="14"/>
  <c r="AK289" i="14"/>
  <c r="AL289" i="14" s="1"/>
  <c r="AJ291" i="14"/>
  <c r="AK291" i="14"/>
  <c r="AL291" i="14" s="1"/>
  <c r="AJ293" i="14"/>
  <c r="AK293" i="14"/>
  <c r="AL293" i="14" s="1"/>
  <c r="AM278" i="14"/>
  <c r="AO278" i="14" s="1"/>
  <c r="Q279" i="14"/>
  <c r="AI279" i="14" s="1"/>
  <c r="AM280" i="14"/>
  <c r="AO280" i="14" s="1"/>
  <c r="Q281" i="14"/>
  <c r="AI281" i="14" s="1"/>
  <c r="AM282" i="14"/>
  <c r="AO282" i="14" s="1"/>
  <c r="Q283" i="14"/>
  <c r="AI283" i="14" s="1"/>
  <c r="S284" i="14"/>
  <c r="AM284" i="14"/>
  <c r="AO284" i="14" s="1"/>
  <c r="Q285" i="14"/>
  <c r="AI285" i="14" s="1"/>
  <c r="S286" i="14"/>
  <c r="AM286" i="14"/>
  <c r="AO286" i="14" s="1"/>
  <c r="S288" i="14"/>
  <c r="S290" i="14"/>
  <c r="S292" i="14"/>
  <c r="AI300" i="14"/>
  <c r="S305" i="14"/>
  <c r="AM306" i="14"/>
  <c r="AO306" i="14" s="1"/>
  <c r="AK307" i="14"/>
  <c r="AL307" i="14" s="1"/>
  <c r="AM308" i="14"/>
  <c r="AO308" i="14" s="1"/>
  <c r="R309" i="14"/>
  <c r="G319" i="14"/>
  <c r="I319" i="14"/>
  <c r="H319" i="14"/>
  <c r="W319" i="14"/>
  <c r="Y319" i="14"/>
  <c r="X319" i="14"/>
  <c r="AK324" i="14"/>
  <c r="AL324" i="14" s="1"/>
  <c r="AJ324" i="14"/>
  <c r="AM331" i="14"/>
  <c r="AO331" i="14" s="1"/>
  <c r="R279" i="14"/>
  <c r="R281" i="14"/>
  <c r="R283" i="14"/>
  <c r="R285" i="14"/>
  <c r="R287" i="14"/>
  <c r="R289" i="14"/>
  <c r="AJ296" i="14"/>
  <c r="AM298" i="14"/>
  <c r="AO298" i="14" s="1"/>
  <c r="S299" i="14"/>
  <c r="AJ299" i="14"/>
  <c r="AM300" i="14"/>
  <c r="AO300" i="14" s="1"/>
  <c r="R300" i="14"/>
  <c r="R301" i="14"/>
  <c r="Q302" i="14"/>
  <c r="AI302" i="14" s="1"/>
  <c r="AM303" i="14"/>
  <c r="AO303" i="14" s="1"/>
  <c r="R307" i="14"/>
  <c r="S309" i="14"/>
  <c r="AJ312" i="14"/>
  <c r="AM317" i="14"/>
  <c r="AO317" i="14" s="1"/>
  <c r="AM319" i="14"/>
  <c r="AO319" i="14" s="1"/>
  <c r="AC319" i="14"/>
  <c r="AE319" i="14"/>
  <c r="AD319" i="14"/>
  <c r="AI323" i="14"/>
  <c r="AM325" i="14"/>
  <c r="AO325" i="14" s="1"/>
  <c r="AJ336" i="14"/>
  <c r="AK336" i="14"/>
  <c r="AL336" i="14" s="1"/>
  <c r="AM283" i="14"/>
  <c r="AO283" i="14" s="1"/>
  <c r="Q284" i="14"/>
  <c r="AI284" i="14" s="1"/>
  <c r="AM285" i="14"/>
  <c r="AO285" i="14" s="1"/>
  <c r="Q286" i="14"/>
  <c r="AI286" i="14" s="1"/>
  <c r="AM287" i="14"/>
  <c r="AO287" i="14" s="1"/>
  <c r="Q288" i="14"/>
  <c r="AI288" i="14" s="1"/>
  <c r="AM289" i="14"/>
  <c r="AO289" i="14" s="1"/>
  <c r="Q290" i="14"/>
  <c r="AI290" i="14" s="1"/>
  <c r="AM291" i="14"/>
  <c r="AO291" i="14" s="1"/>
  <c r="Q292" i="14"/>
  <c r="AI292" i="14" s="1"/>
  <c r="AM293" i="14"/>
  <c r="AO293" i="14" s="1"/>
  <c r="Q294" i="14"/>
  <c r="AI294" i="14" s="1"/>
  <c r="AM295" i="14"/>
  <c r="AO295" i="14" s="1"/>
  <c r="S301" i="14"/>
  <c r="AM302" i="14"/>
  <c r="AO302" i="14" s="1"/>
  <c r="R302" i="14"/>
  <c r="R303" i="14"/>
  <c r="AI303" i="14"/>
  <c r="Q304" i="14"/>
  <c r="AI304" i="14" s="1"/>
  <c r="AM305" i="14"/>
  <c r="AO305" i="14" s="1"/>
  <c r="S307" i="14"/>
  <c r="AK311" i="14"/>
  <c r="AL311" i="14" s="1"/>
  <c r="AM312" i="14"/>
  <c r="AO312" i="14" s="1"/>
  <c r="AJ315" i="14"/>
  <c r="AK315" i="14"/>
  <c r="AL315" i="14" s="1"/>
  <c r="AK316" i="14"/>
  <c r="AL316" i="14" s="1"/>
  <c r="S317" i="14"/>
  <c r="Q317" i="14"/>
  <c r="AM321" i="14"/>
  <c r="AO321" i="14" s="1"/>
  <c r="AM323" i="14"/>
  <c r="AO323" i="14" s="1"/>
  <c r="AI298" i="14"/>
  <c r="S303" i="14"/>
  <c r="AM304" i="14"/>
  <c r="AO304" i="14" s="1"/>
  <c r="R304" i="14"/>
  <c r="R305" i="14"/>
  <c r="AI305" i="14"/>
  <c r="AI306" i="14"/>
  <c r="AK309" i="14"/>
  <c r="AL309" i="14" s="1"/>
  <c r="AM310" i="14"/>
  <c r="AO310" i="14" s="1"/>
  <c r="AM318" i="14"/>
  <c r="AO318" i="14" s="1"/>
  <c r="AI320" i="14"/>
  <c r="S321" i="14"/>
  <c r="Q321" i="14"/>
  <c r="AM336" i="14"/>
  <c r="AO336" i="14" s="1"/>
  <c r="AM314" i="14"/>
  <c r="AO314" i="14" s="1"/>
  <c r="R319" i="14"/>
  <c r="AM320" i="14"/>
  <c r="AO320" i="14" s="1"/>
  <c r="H323" i="14"/>
  <c r="R323" i="14"/>
  <c r="X323" i="14"/>
  <c r="AD323" i="14"/>
  <c r="AM324" i="14"/>
  <c r="AO324" i="14" s="1"/>
  <c r="S328" i="14"/>
  <c r="AM328" i="14"/>
  <c r="AO328" i="14" s="1"/>
  <c r="I329" i="14"/>
  <c r="AM329" i="14"/>
  <c r="AO329" i="14" s="1"/>
  <c r="S332" i="14"/>
  <c r="AM332" i="14"/>
  <c r="AO332" i="14" s="1"/>
  <c r="I333" i="14"/>
  <c r="AC333" i="14"/>
  <c r="AM333" i="14"/>
  <c r="AO333" i="14" s="1"/>
  <c r="G334" i="14"/>
  <c r="AC334" i="14"/>
  <c r="AK340" i="14"/>
  <c r="AL340" i="14" s="1"/>
  <c r="AJ340" i="14"/>
  <c r="G317" i="14"/>
  <c r="W317" i="14"/>
  <c r="AC317" i="14"/>
  <c r="S319" i="14"/>
  <c r="G321" i="14"/>
  <c r="W321" i="14"/>
  <c r="AC321" i="14"/>
  <c r="R322" i="14"/>
  <c r="I323" i="14"/>
  <c r="S323" i="14"/>
  <c r="Y323" i="14"/>
  <c r="AE323" i="14"/>
  <c r="G325" i="14"/>
  <c r="Q325" i="14"/>
  <c r="W325" i="14"/>
  <c r="AC325" i="14"/>
  <c r="I327" i="14"/>
  <c r="Q327" i="14"/>
  <c r="AI327" i="14" s="1"/>
  <c r="AM327" i="14"/>
  <c r="AO327" i="14" s="1"/>
  <c r="H328" i="14"/>
  <c r="AD328" i="14"/>
  <c r="W329" i="14"/>
  <c r="AI329" i="14" s="1"/>
  <c r="AE329" i="14"/>
  <c r="H330" i="14"/>
  <c r="W330" i="14"/>
  <c r="AI330" i="14" s="1"/>
  <c r="AD330" i="14"/>
  <c r="Q331" i="14"/>
  <c r="AI331" i="14" s="1"/>
  <c r="H332" i="14"/>
  <c r="AD332" i="14"/>
  <c r="W333" i="14"/>
  <c r="AE333" i="14"/>
  <c r="H334" i="14"/>
  <c r="W334" i="14"/>
  <c r="AD334" i="14"/>
  <c r="AE335" i="14"/>
  <c r="AC335" i="14"/>
  <c r="S345" i="14"/>
  <c r="R345" i="14"/>
  <c r="Q345" i="14"/>
  <c r="AI345" i="14" s="1"/>
  <c r="AM322" i="14"/>
  <c r="AO322" i="14" s="1"/>
  <c r="R325" i="14"/>
  <c r="AM326" i="14"/>
  <c r="AO326" i="14" s="1"/>
  <c r="Y333" i="14"/>
  <c r="Q334" i="14"/>
  <c r="AM335" i="14"/>
  <c r="AO335" i="14" s="1"/>
  <c r="I335" i="14"/>
  <c r="G335" i="14"/>
  <c r="W338" i="14"/>
  <c r="Y338" i="14"/>
  <c r="AK344" i="14"/>
  <c r="AL344" i="14" s="1"/>
  <c r="AJ344" i="14"/>
  <c r="R328" i="14"/>
  <c r="G329" i="14"/>
  <c r="AM330" i="14"/>
  <c r="AO330" i="14" s="1"/>
  <c r="R330" i="14"/>
  <c r="AM334" i="14"/>
  <c r="AO334" i="14" s="1"/>
  <c r="AM338" i="14"/>
  <c r="AO338" i="14" s="1"/>
  <c r="X338" i="14"/>
  <c r="AM347" i="14"/>
  <c r="AO347" i="14" s="1"/>
  <c r="AK352" i="14"/>
  <c r="AL352" i="14" s="1"/>
  <c r="AJ352" i="14"/>
  <c r="S353" i="14"/>
  <c r="R353" i="14"/>
  <c r="Q353" i="14"/>
  <c r="AI353" i="14" s="1"/>
  <c r="AM354" i="14"/>
  <c r="AO354" i="14" s="1"/>
  <c r="Q354" i="14"/>
  <c r="AI354" i="14" s="1"/>
  <c r="R354" i="14"/>
  <c r="AK357" i="14"/>
  <c r="AL357" i="14" s="1"/>
  <c r="AJ357" i="14"/>
  <c r="J8" i="4"/>
  <c r="T8" i="4"/>
  <c r="U8" i="4" s="1"/>
  <c r="V8" i="4" s="1"/>
  <c r="S8" i="4"/>
  <c r="I15" i="4"/>
  <c r="AM355" i="14"/>
  <c r="AO355" i="14" s="1"/>
  <c r="AK356" i="14"/>
  <c r="AL356" i="14" s="1"/>
  <c r="AJ356" i="14"/>
  <c r="I20" i="4"/>
  <c r="H19" i="4"/>
  <c r="J17" i="4"/>
  <c r="I16" i="4"/>
  <c r="H15" i="4"/>
  <c r="J13" i="4"/>
  <c r="I12" i="4"/>
  <c r="H11" i="4"/>
  <c r="J9" i="4"/>
  <c r="I8" i="4"/>
  <c r="H7" i="4"/>
  <c r="J5" i="4"/>
  <c r="I4" i="4"/>
  <c r="H3" i="4"/>
  <c r="J20" i="4"/>
  <c r="H18" i="4"/>
  <c r="I17" i="4"/>
  <c r="I14" i="4"/>
  <c r="I11" i="4"/>
  <c r="J10" i="4"/>
  <c r="H8" i="4"/>
  <c r="J7" i="4"/>
  <c r="H4" i="4"/>
  <c r="J3" i="4"/>
  <c r="H13" i="4"/>
  <c r="H12" i="4"/>
  <c r="H10" i="4"/>
  <c r="H9" i="4"/>
  <c r="H6" i="4"/>
  <c r="I3" i="4"/>
  <c r="J19" i="4"/>
  <c r="J18" i="4"/>
  <c r="J16" i="4"/>
  <c r="J15" i="4"/>
  <c r="J14" i="4"/>
  <c r="J6" i="4"/>
  <c r="I5" i="4"/>
  <c r="J4" i="4"/>
  <c r="I9" i="4"/>
  <c r="J11" i="4"/>
  <c r="S11" i="4"/>
  <c r="T11" i="4" s="1"/>
  <c r="U11" i="4" s="1"/>
  <c r="V11" i="4" s="1"/>
  <c r="H16" i="4"/>
  <c r="I19" i="4"/>
  <c r="AM339" i="14"/>
  <c r="AO339" i="14" s="1"/>
  <c r="S339" i="14"/>
  <c r="Q339" i="14"/>
  <c r="AI339" i="14" s="1"/>
  <c r="AK341" i="14"/>
  <c r="AL341" i="14" s="1"/>
  <c r="AM346" i="14"/>
  <c r="AO346" i="14" s="1"/>
  <c r="Q346" i="14"/>
  <c r="AI346" i="14" s="1"/>
  <c r="R346" i="14"/>
  <c r="AI349" i="14"/>
  <c r="H5" i="4"/>
  <c r="I6" i="4"/>
  <c r="I7" i="4"/>
  <c r="J12" i="4"/>
  <c r="S12" i="4"/>
  <c r="T12" i="4" s="1"/>
  <c r="U12" i="4" s="1"/>
  <c r="V12" i="4" s="1"/>
  <c r="H17" i="4"/>
  <c r="H20" i="4"/>
  <c r="S340" i="14"/>
  <c r="AM341" i="14"/>
  <c r="AO341" i="14" s="1"/>
  <c r="Q343" i="14"/>
  <c r="AI343" i="14" s="1"/>
  <c r="AM344" i="14"/>
  <c r="AO344" i="14" s="1"/>
  <c r="S348" i="14"/>
  <c r="AM349" i="14"/>
  <c r="AO349" i="14" s="1"/>
  <c r="AI351" i="14"/>
  <c r="S356" i="14"/>
  <c r="AM357" i="14"/>
  <c r="AO357" i="14" s="1"/>
  <c r="T15" i="4"/>
  <c r="U15" i="4" s="1"/>
  <c r="V15" i="4" s="1"/>
  <c r="T19" i="4"/>
  <c r="U19" i="4" s="1"/>
  <c r="V19" i="4" s="1"/>
  <c r="S19" i="4"/>
  <c r="S338" i="14"/>
  <c r="S342" i="14"/>
  <c r="AM343" i="14"/>
  <c r="AO343" i="14" s="1"/>
  <c r="R343" i="14"/>
  <c r="R344" i="14"/>
  <c r="S350" i="14"/>
  <c r="AM351" i="14"/>
  <c r="AO351" i="14" s="1"/>
  <c r="R351" i="14"/>
  <c r="R352" i="14"/>
  <c r="AM358" i="14"/>
  <c r="AO358" i="14" s="1"/>
  <c r="T14" i="4"/>
  <c r="U14" i="4" s="1"/>
  <c r="V14" i="4" s="1"/>
  <c r="S15" i="4"/>
  <c r="T16" i="4"/>
  <c r="U16" i="4" s="1"/>
  <c r="V16" i="4" s="1"/>
  <c r="T18" i="4"/>
  <c r="U18" i="4" s="1"/>
  <c r="V18" i="4" s="1"/>
  <c r="AM340" i="14"/>
  <c r="AO340" i="14" s="1"/>
  <c r="S344" i="14"/>
  <c r="AM345" i="14"/>
  <c r="AO345" i="14" s="1"/>
  <c r="Q347" i="14"/>
  <c r="AI347" i="14" s="1"/>
  <c r="AM348" i="14"/>
  <c r="AO348" i="14" s="1"/>
  <c r="S352" i="14"/>
  <c r="AM353" i="14"/>
  <c r="AO353" i="14" s="1"/>
  <c r="Q355" i="14"/>
  <c r="AI355" i="14" s="1"/>
  <c r="AM356" i="14"/>
  <c r="AO356" i="14" s="1"/>
  <c r="T7" i="4"/>
  <c r="U7" i="4" s="1"/>
  <c r="V7" i="4" s="1"/>
  <c r="H26" i="6"/>
  <c r="I25" i="6"/>
  <c r="J24" i="6"/>
  <c r="H25" i="6"/>
  <c r="I24" i="6"/>
  <c r="J23" i="6"/>
  <c r="H21" i="6"/>
  <c r="I26" i="6"/>
  <c r="J25" i="6"/>
  <c r="H23" i="6"/>
  <c r="I22" i="6"/>
  <c r="J21" i="6"/>
  <c r="H19" i="6"/>
  <c r="I18" i="6"/>
  <c r="H22" i="6"/>
  <c r="H20" i="6"/>
  <c r="J17" i="6"/>
  <c r="H15" i="6"/>
  <c r="I14" i="6"/>
  <c r="J13" i="6"/>
  <c r="H11" i="6"/>
  <c r="I10" i="6"/>
  <c r="J9" i="6"/>
  <c r="H7" i="6"/>
  <c r="I6" i="6"/>
  <c r="J5" i="6"/>
  <c r="H3" i="6"/>
  <c r="H6" i="6"/>
  <c r="J7" i="6"/>
  <c r="J8" i="6"/>
  <c r="I11" i="6"/>
  <c r="I12" i="6"/>
  <c r="I13" i="6"/>
  <c r="H16" i="6"/>
  <c r="H17" i="6"/>
  <c r="I19" i="6"/>
  <c r="J20" i="6"/>
  <c r="AJ4" i="9"/>
  <c r="AI4" i="9"/>
  <c r="AK4" i="9"/>
  <c r="AL4" i="9" s="1"/>
  <c r="AM4" i="9" s="1"/>
  <c r="AN4" i="9" s="1"/>
  <c r="AF8" i="9"/>
  <c r="AB8" i="9"/>
  <c r="AE8" i="9"/>
  <c r="AA8" i="9"/>
  <c r="AG8" i="9"/>
  <c r="AC8" i="9"/>
  <c r="AJ12" i="9"/>
  <c r="AK12" i="9" s="1"/>
  <c r="AL12" i="9" s="1"/>
  <c r="AM12" i="9" s="1"/>
  <c r="AN12" i="9" s="1"/>
  <c r="AI12" i="9"/>
  <c r="AJ8" i="9"/>
  <c r="AI8" i="9"/>
  <c r="AK8" i="9"/>
  <c r="AL8" i="9" s="1"/>
  <c r="AM8" i="9" s="1"/>
  <c r="AN8" i="9" s="1"/>
  <c r="AF12" i="9"/>
  <c r="AB12" i="9"/>
  <c r="AE12" i="9"/>
  <c r="AA12" i="9"/>
  <c r="AG12" i="9"/>
  <c r="AC12" i="9"/>
  <c r="AF16" i="9"/>
  <c r="AB16" i="9"/>
  <c r="AE16" i="9"/>
  <c r="AA16" i="9"/>
  <c r="AG16" i="9"/>
  <c r="AC16" i="9"/>
  <c r="AF20" i="9"/>
  <c r="AB20" i="9"/>
  <c r="AE20" i="9"/>
  <c r="AA20" i="9"/>
  <c r="AG20" i="9"/>
  <c r="AC20" i="9"/>
  <c r="AG6" i="9"/>
  <c r="AG10" i="9"/>
  <c r="AK10" i="9"/>
  <c r="AL10" i="9" s="1"/>
  <c r="AM10" i="9" s="1"/>
  <c r="AN10" i="9" s="1"/>
  <c r="AJ16" i="9"/>
  <c r="AI16" i="9"/>
  <c r="AK16" i="9"/>
  <c r="AL16" i="9" s="1"/>
  <c r="AM16" i="9" s="1"/>
  <c r="AN16" i="9" s="1"/>
  <c r="AB3" i="9"/>
  <c r="AC3" i="9" s="1"/>
  <c r="Y4" i="9"/>
  <c r="AE4" i="9" s="1"/>
  <c r="AF4" i="9" s="1"/>
  <c r="AG4" i="9" s="1"/>
  <c r="AA6" i="9"/>
  <c r="AE6" i="9"/>
  <c r="AB7" i="9"/>
  <c r="AC7" i="9" s="1"/>
  <c r="AF7" i="9"/>
  <c r="AG7" i="9" s="1"/>
  <c r="Y8" i="9"/>
  <c r="AA10" i="9"/>
  <c r="AE10" i="9"/>
  <c r="AI10" i="9"/>
  <c r="AB11" i="9"/>
  <c r="AC11" i="9" s="1"/>
  <c r="Y12" i="9"/>
  <c r="AA14" i="9"/>
  <c r="AE14" i="9"/>
  <c r="AI14" i="9"/>
  <c r="AB15" i="9"/>
  <c r="AC15" i="9" s="1"/>
  <c r="AF15" i="9"/>
  <c r="AG15" i="9" s="1"/>
  <c r="Y16" i="9"/>
  <c r="AA18" i="9"/>
  <c r="AE18" i="9"/>
  <c r="AB19" i="9"/>
  <c r="AC19" i="9" s="1"/>
  <c r="AF19" i="9"/>
  <c r="AG19" i="9" s="1"/>
  <c r="Y20" i="9"/>
  <c r="AK20" i="9"/>
  <c r="AL20" i="9" s="1"/>
  <c r="AM20" i="9" s="1"/>
  <c r="AN20" i="9" s="1"/>
  <c r="Y6" i="9"/>
  <c r="AC6" i="9"/>
  <c r="AB9" i="9"/>
  <c r="AC9" i="9" s="1"/>
  <c r="Y10" i="9"/>
  <c r="AC10" i="9"/>
  <c r="AB13" i="9"/>
  <c r="AC13" i="9" s="1"/>
  <c r="Y14" i="9"/>
  <c r="AC14" i="9"/>
  <c r="Y18" i="9"/>
  <c r="AC18" i="9"/>
  <c r="AI20" i="9"/>
  <c r="AA7" i="9"/>
  <c r="Y9" i="9"/>
  <c r="Y13" i="9"/>
  <c r="AA15" i="9"/>
  <c r="AA19" i="9"/>
  <c r="AI227" i="14" l="1"/>
  <c r="AJ155" i="14"/>
  <c r="AI212" i="14"/>
  <c r="AK212" i="14" s="1"/>
  <c r="AL212" i="14" s="1"/>
  <c r="AI144" i="14"/>
  <c r="AK144" i="14" s="1"/>
  <c r="AL144" i="14" s="1"/>
  <c r="AI160" i="14"/>
  <c r="AJ160" i="14" s="1"/>
  <c r="AK328" i="14"/>
  <c r="AL328" i="14" s="1"/>
  <c r="AJ328" i="14"/>
  <c r="AI179" i="14"/>
  <c r="AK179" i="14" s="1"/>
  <c r="AL179" i="14" s="1"/>
  <c r="AI57" i="14"/>
  <c r="AI127" i="14"/>
  <c r="AJ127" i="14" s="1"/>
  <c r="AK160" i="14"/>
  <c r="AL160" i="14" s="1"/>
  <c r="AI178" i="14"/>
  <c r="AK178" i="14" s="1"/>
  <c r="AL178" i="14" s="1"/>
  <c r="AI162" i="14"/>
  <c r="AI151" i="14"/>
  <c r="AJ151" i="14" s="1"/>
  <c r="AI80" i="14"/>
  <c r="AK80" i="14" s="1"/>
  <c r="AL80" i="14" s="1"/>
  <c r="AI52" i="14"/>
  <c r="AI60" i="14"/>
  <c r="AI31" i="14"/>
  <c r="AI3" i="14"/>
  <c r="AK3" i="14" s="1"/>
  <c r="AL3" i="14" s="1"/>
  <c r="AJ221" i="14"/>
  <c r="AK221" i="14"/>
  <c r="AL221" i="14" s="1"/>
  <c r="AJ219" i="14"/>
  <c r="AK219" i="14"/>
  <c r="AL219" i="14" s="1"/>
  <c r="AJ152" i="14"/>
  <c r="AK152" i="14"/>
  <c r="AL152" i="14" s="1"/>
  <c r="AJ123" i="14"/>
  <c r="AK123" i="14"/>
  <c r="AL123" i="14" s="1"/>
  <c r="AK241" i="14"/>
  <c r="AL241" i="14" s="1"/>
  <c r="AJ241" i="14"/>
  <c r="AJ332" i="14"/>
  <c r="AK332" i="14"/>
  <c r="AL332" i="14" s="1"/>
  <c r="AI103" i="14"/>
  <c r="AI74" i="14"/>
  <c r="AI42" i="14"/>
  <c r="AI100" i="14"/>
  <c r="AJ100" i="14" s="1"/>
  <c r="AI161" i="14"/>
  <c r="AI157" i="14"/>
  <c r="AJ157" i="14" s="1"/>
  <c r="AI99" i="14"/>
  <c r="AI318" i="14"/>
  <c r="AJ318" i="14" s="1"/>
  <c r="AI188" i="14"/>
  <c r="AI34" i="14"/>
  <c r="AJ34" i="14" s="1"/>
  <c r="AI159" i="14"/>
  <c r="AJ350" i="14"/>
  <c r="AK350" i="14"/>
  <c r="AL350" i="14" s="1"/>
  <c r="AJ139" i="14"/>
  <c r="AK139" i="14"/>
  <c r="AL139" i="14" s="1"/>
  <c r="AJ42" i="14"/>
  <c r="AK42" i="14"/>
  <c r="AL42" i="14" s="1"/>
  <c r="AJ348" i="14"/>
  <c r="AK348" i="14"/>
  <c r="AL348" i="14" s="1"/>
  <c r="AI319" i="14"/>
  <c r="AJ319" i="14" s="1"/>
  <c r="AI195" i="14"/>
  <c r="AI187" i="14"/>
  <c r="AJ187" i="14" s="1"/>
  <c r="AI183" i="14"/>
  <c r="AI154" i="14"/>
  <c r="AK154" i="14" s="1"/>
  <c r="AL154" i="14" s="1"/>
  <c r="AI138" i="14"/>
  <c r="AI122" i="14"/>
  <c r="AJ122" i="14" s="1"/>
  <c r="AI29" i="14"/>
  <c r="AI77" i="14"/>
  <c r="AJ77" i="14" s="1"/>
  <c r="AI53" i="14"/>
  <c r="AI7" i="14"/>
  <c r="AK7" i="14" s="1"/>
  <c r="AL7" i="14" s="1"/>
  <c r="AI11" i="14"/>
  <c r="AI129" i="14"/>
  <c r="AJ129" i="14" s="1"/>
  <c r="AI51" i="14"/>
  <c r="AI82" i="14"/>
  <c r="AK82" i="14" s="1"/>
  <c r="AL82" i="14" s="1"/>
  <c r="AI38" i="14"/>
  <c r="AK194" i="14"/>
  <c r="AL194" i="14" s="1"/>
  <c r="AJ194" i="14"/>
  <c r="AK84" i="14"/>
  <c r="AL84" i="14" s="1"/>
  <c r="AJ84" i="14"/>
  <c r="AJ50" i="14"/>
  <c r="AK50" i="14"/>
  <c r="AL50" i="14" s="1"/>
  <c r="AK184" i="14"/>
  <c r="AL184" i="14" s="1"/>
  <c r="AJ184" i="14"/>
  <c r="AJ358" i="14"/>
  <c r="AK358" i="14"/>
  <c r="AL358" i="14" s="1"/>
  <c r="AJ256" i="14"/>
  <c r="AK256" i="14"/>
  <c r="AL256" i="14" s="1"/>
  <c r="AK342" i="14"/>
  <c r="AL342" i="14" s="1"/>
  <c r="AJ342" i="14"/>
  <c r="AK232" i="14"/>
  <c r="AL232" i="14" s="1"/>
  <c r="AJ232" i="14"/>
  <c r="AI125" i="14"/>
  <c r="AK125" i="14" s="1"/>
  <c r="AL125" i="14" s="1"/>
  <c r="AI146" i="14"/>
  <c r="AI114" i="14"/>
  <c r="AJ114" i="14" s="1"/>
  <c r="AI35" i="14"/>
  <c r="AI22" i="14"/>
  <c r="AJ22" i="14" s="1"/>
  <c r="AI326" i="14"/>
  <c r="AI202" i="14"/>
  <c r="AI149" i="14"/>
  <c r="AI141" i="14"/>
  <c r="AK141" i="14" s="1"/>
  <c r="AL141" i="14" s="1"/>
  <c r="AI85" i="14"/>
  <c r="AI147" i="14"/>
  <c r="AI76" i="14"/>
  <c r="AI55" i="14"/>
  <c r="AK55" i="14" s="1"/>
  <c r="AL55" i="14" s="1"/>
  <c r="AI43" i="14"/>
  <c r="AI46" i="14"/>
  <c r="AI54" i="14"/>
  <c r="AK54" i="14" s="1"/>
  <c r="AL54" i="14" s="1"/>
  <c r="AI88" i="14"/>
  <c r="AK88" i="14" s="1"/>
  <c r="AL88" i="14" s="1"/>
  <c r="AI334" i="14"/>
  <c r="AI321" i="14"/>
  <c r="AJ321" i="14" s="1"/>
  <c r="AI214" i="14"/>
  <c r="AI191" i="14"/>
  <c r="AK191" i="14" s="1"/>
  <c r="AL191" i="14" s="1"/>
  <c r="AI163" i="14"/>
  <c r="AI19" i="14"/>
  <c r="AK19" i="14" s="1"/>
  <c r="AL19" i="14" s="1"/>
  <c r="AI45" i="14"/>
  <c r="AI337" i="14"/>
  <c r="AI30" i="14"/>
  <c r="AJ30" i="14" s="1"/>
  <c r="AI6" i="31"/>
  <c r="AI12" i="31"/>
  <c r="AI18" i="31"/>
  <c r="AI13" i="31"/>
  <c r="AI16" i="31"/>
  <c r="AJ11" i="31"/>
  <c r="AK11" i="31"/>
  <c r="AL11" i="31" s="1"/>
  <c r="AI7" i="31"/>
  <c r="AJ7" i="31" s="1"/>
  <c r="AI5" i="31"/>
  <c r="AI4" i="31"/>
  <c r="AJ9" i="31"/>
  <c r="AK9" i="31"/>
  <c r="AL9" i="31" s="1"/>
  <c r="AJ15" i="31"/>
  <c r="AK15" i="31"/>
  <c r="AL15" i="31" s="1"/>
  <c r="AI26" i="31"/>
  <c r="AJ26" i="31" s="1"/>
  <c r="AI25" i="31"/>
  <c r="AJ25" i="31" s="1"/>
  <c r="AI14" i="31"/>
  <c r="AI22" i="31"/>
  <c r="AJ22" i="31" s="1"/>
  <c r="AI8" i="31"/>
  <c r="AK8" i="31" s="1"/>
  <c r="AL8" i="31" s="1"/>
  <c r="AI3" i="31"/>
  <c r="AJ3" i="31" s="1"/>
  <c r="AL23" i="32"/>
  <c r="AM23" i="32" s="1"/>
  <c r="AK23" i="32"/>
  <c r="AJ5" i="32"/>
  <c r="AJ10" i="32"/>
  <c r="AK10" i="32" s="1"/>
  <c r="AJ16" i="32"/>
  <c r="AL27" i="32"/>
  <c r="AM27" i="32" s="1"/>
  <c r="AJ8" i="32"/>
  <c r="AL8" i="32" s="1"/>
  <c r="AM8" i="32" s="1"/>
  <c r="AJ15" i="32"/>
  <c r="AL15" i="32" s="1"/>
  <c r="AM15" i="32" s="1"/>
  <c r="AJ25" i="32"/>
  <c r="AL25" i="32" s="1"/>
  <c r="AM25" i="32" s="1"/>
  <c r="AJ26" i="32"/>
  <c r="AK26" i="32" s="1"/>
  <c r="AJ169" i="29"/>
  <c r="AJ178" i="29"/>
  <c r="AJ65" i="29"/>
  <c r="AJ251" i="29"/>
  <c r="AK251" i="29" s="1"/>
  <c r="AJ270" i="29"/>
  <c r="AJ265" i="29"/>
  <c r="AJ49" i="29"/>
  <c r="AJ193" i="29"/>
  <c r="AK193" i="29" s="1"/>
  <c r="AJ181" i="29"/>
  <c r="AJ244" i="29"/>
  <c r="AJ114" i="29"/>
  <c r="AJ154" i="29"/>
  <c r="AL154" i="29" s="1"/>
  <c r="AM154" i="29" s="1"/>
  <c r="AJ315" i="29"/>
  <c r="AJ292" i="29"/>
  <c r="AJ135" i="29"/>
  <c r="AJ275" i="29"/>
  <c r="AK275" i="29" s="1"/>
  <c r="AJ271" i="29"/>
  <c r="AJ159" i="29"/>
  <c r="AJ86" i="29"/>
  <c r="AJ332" i="29"/>
  <c r="AK332" i="29" s="1"/>
  <c r="AJ17" i="29"/>
  <c r="AJ5" i="29"/>
  <c r="AJ34" i="29"/>
  <c r="AJ31" i="29"/>
  <c r="AL31" i="29" s="1"/>
  <c r="AM31" i="29" s="1"/>
  <c r="AJ15" i="29"/>
  <c r="AK181" i="29"/>
  <c r="AL181" i="29"/>
  <c r="AM181" i="29" s="1"/>
  <c r="AK314" i="29"/>
  <c r="AL314" i="29"/>
  <c r="AM314" i="29" s="1"/>
  <c r="AK321" i="29"/>
  <c r="AL321" i="29"/>
  <c r="AM321" i="29" s="1"/>
  <c r="AL306" i="29"/>
  <c r="AM306" i="29" s="1"/>
  <c r="AJ274" i="29"/>
  <c r="AJ258" i="29"/>
  <c r="AJ167" i="29"/>
  <c r="AJ175" i="29"/>
  <c r="AL175" i="29" s="1"/>
  <c r="AM175" i="29" s="1"/>
  <c r="AJ143" i="29"/>
  <c r="AJ54" i="29"/>
  <c r="AJ8" i="29"/>
  <c r="AL186" i="29"/>
  <c r="AM186" i="29" s="1"/>
  <c r="AJ71" i="29"/>
  <c r="AJ29" i="29"/>
  <c r="AJ13" i="29"/>
  <c r="AJ64" i="29"/>
  <c r="AL64" i="29" s="1"/>
  <c r="AM64" i="29" s="1"/>
  <c r="AJ69" i="29"/>
  <c r="AJ53" i="29"/>
  <c r="AJ27" i="29"/>
  <c r="AJ247" i="29"/>
  <c r="AL247" i="29" s="1"/>
  <c r="AM247" i="29" s="1"/>
  <c r="AJ276" i="29"/>
  <c r="AJ155" i="29"/>
  <c r="AJ123" i="29"/>
  <c r="AK123" i="29" s="1"/>
  <c r="AJ115" i="29"/>
  <c r="AJ163" i="29"/>
  <c r="AJ25" i="29"/>
  <c r="AJ42" i="29"/>
  <c r="AK42" i="29" s="1"/>
  <c r="AJ272" i="29"/>
  <c r="AJ214" i="29"/>
  <c r="AJ229" i="29"/>
  <c r="AJ233" i="29"/>
  <c r="AK233" i="29" s="1"/>
  <c r="AL197" i="29"/>
  <c r="AM197" i="29" s="1"/>
  <c r="AJ137" i="29"/>
  <c r="AJ92" i="29"/>
  <c r="AJ148" i="29"/>
  <c r="AK148" i="29" s="1"/>
  <c r="AJ176" i="29"/>
  <c r="AJ58" i="29"/>
  <c r="AJ40" i="29"/>
  <c r="AJ32" i="29"/>
  <c r="AL32" i="29" s="1"/>
  <c r="AM32" i="29" s="1"/>
  <c r="AJ55" i="29"/>
  <c r="AJ9" i="29"/>
  <c r="AJ52" i="29"/>
  <c r="AJ38" i="29"/>
  <c r="AL38" i="29" s="1"/>
  <c r="AM38" i="29" s="1"/>
  <c r="AJ61" i="29"/>
  <c r="AJ45" i="29"/>
  <c r="AJ19" i="29"/>
  <c r="AJ3" i="29"/>
  <c r="AL3" i="29" s="1"/>
  <c r="AM3" i="29" s="1"/>
  <c r="AL322" i="29"/>
  <c r="AM322" i="29" s="1"/>
  <c r="AK322" i="29"/>
  <c r="AJ210" i="29"/>
  <c r="AJ307" i="29"/>
  <c r="AL307" i="29" s="1"/>
  <c r="AM307" i="29" s="1"/>
  <c r="AJ284" i="29"/>
  <c r="AJ109" i="29"/>
  <c r="AJ316" i="29"/>
  <c r="AJ291" i="29"/>
  <c r="AJ236" i="29"/>
  <c r="AJ156" i="29"/>
  <c r="AJ44" i="29"/>
  <c r="AL284" i="29"/>
  <c r="AM284" i="29" s="1"/>
  <c r="AK284" i="29"/>
  <c r="AL302" i="29"/>
  <c r="AM302" i="29" s="1"/>
  <c r="AK302" i="29"/>
  <c r="AK236" i="29"/>
  <c r="AL236" i="29"/>
  <c r="AM236" i="29" s="1"/>
  <c r="AL194" i="29"/>
  <c r="AM194" i="29" s="1"/>
  <c r="AK194" i="29"/>
  <c r="AJ226" i="29"/>
  <c r="AK226" i="29" s="1"/>
  <c r="AJ140" i="29"/>
  <c r="AJ97" i="29"/>
  <c r="AJ89" i="29"/>
  <c r="AJ304" i="29"/>
  <c r="AL304" i="29" s="1"/>
  <c r="AM304" i="29" s="1"/>
  <c r="AJ325" i="29"/>
  <c r="AL325" i="29" s="1"/>
  <c r="AM325" i="29" s="1"/>
  <c r="AJ290" i="29"/>
  <c r="AJ125" i="29"/>
  <c r="AJ329" i="29"/>
  <c r="AL329" i="29" s="1"/>
  <c r="AM329" i="29" s="1"/>
  <c r="AJ201" i="29"/>
  <c r="AJ177" i="29"/>
  <c r="AK286" i="29"/>
  <c r="AL286" i="29"/>
  <c r="AM286" i="29" s="1"/>
  <c r="AK189" i="29"/>
  <c r="AL189" i="29"/>
  <c r="AM189" i="29" s="1"/>
  <c r="AK331" i="29"/>
  <c r="AL331" i="29"/>
  <c r="AM331" i="29" s="1"/>
  <c r="AK325" i="29"/>
  <c r="AJ333" i="29"/>
  <c r="AJ310" i="29"/>
  <c r="AK310" i="29" s="1"/>
  <c r="AJ173" i="29"/>
  <c r="AJ136" i="29"/>
  <c r="AJ149" i="29"/>
  <c r="AJ172" i="29"/>
  <c r="AL172" i="29" s="1"/>
  <c r="AM172" i="29" s="1"/>
  <c r="AJ158" i="29"/>
  <c r="AJ170" i="29"/>
  <c r="AJ98" i="29"/>
  <c r="AJ288" i="29"/>
  <c r="AK288" i="29" s="1"/>
  <c r="AJ283" i="29"/>
  <c r="AJ218" i="29"/>
  <c r="AJ168" i="29"/>
  <c r="AJ117" i="29"/>
  <c r="AL117" i="29" s="1"/>
  <c r="AM117" i="29" s="1"/>
  <c r="AJ243" i="29"/>
  <c r="AK329" i="29"/>
  <c r="AL328" i="29"/>
  <c r="AM328" i="29" s="1"/>
  <c r="AK328" i="29"/>
  <c r="AK263" i="29"/>
  <c r="AL263" i="29"/>
  <c r="AM263" i="29" s="1"/>
  <c r="AK285" i="29"/>
  <c r="AL285" i="29"/>
  <c r="AM285" i="29" s="1"/>
  <c r="AK247" i="29"/>
  <c r="AJ224" i="29"/>
  <c r="AK224" i="29" s="1"/>
  <c r="AJ101" i="29"/>
  <c r="AJ141" i="29"/>
  <c r="AK141" i="29" s="1"/>
  <c r="AJ102" i="29"/>
  <c r="AJ330" i="29"/>
  <c r="AJ228" i="29"/>
  <c r="AJ161" i="29"/>
  <c r="AL161" i="29" s="1"/>
  <c r="AM161" i="29" s="1"/>
  <c r="AJ129" i="29"/>
  <c r="AJ324" i="29"/>
  <c r="AK324" i="29" s="1"/>
  <c r="AJ289" i="29"/>
  <c r="AK289" i="29" s="1"/>
  <c r="AJ327" i="29"/>
  <c r="AL327" i="29" s="1"/>
  <c r="AM327" i="29" s="1"/>
  <c r="AJ259" i="29"/>
  <c r="AJ81" i="29"/>
  <c r="AL81" i="29" s="1"/>
  <c r="AM81" i="29" s="1"/>
  <c r="AJ104" i="29"/>
  <c r="AJ317" i="29"/>
  <c r="AL317" i="29" s="1"/>
  <c r="AM317" i="29" s="1"/>
  <c r="AJ319" i="29"/>
  <c r="AJ222" i="29"/>
  <c r="AK222" i="29" s="1"/>
  <c r="AJ165" i="29"/>
  <c r="AJ174" i="29"/>
  <c r="AK174" i="29" s="1"/>
  <c r="AJ145" i="29"/>
  <c r="AJ323" i="29"/>
  <c r="AL323" i="29" s="1"/>
  <c r="AM323" i="29" s="1"/>
  <c r="AJ190" i="29"/>
  <c r="AK326" i="29"/>
  <c r="AL326" i="29"/>
  <c r="AM326" i="29" s="1"/>
  <c r="AL289" i="29"/>
  <c r="AM289" i="29" s="1"/>
  <c r="AK327" i="29"/>
  <c r="AK259" i="29"/>
  <c r="AL259" i="29"/>
  <c r="AM259" i="29" s="1"/>
  <c r="AK319" i="29"/>
  <c r="AL319" i="29"/>
  <c r="AM319" i="29" s="1"/>
  <c r="AK283" i="29"/>
  <c r="AL283" i="29"/>
  <c r="AM283" i="29" s="1"/>
  <c r="AK243" i="29"/>
  <c r="AL243" i="29"/>
  <c r="AM243" i="29" s="1"/>
  <c r="AK320" i="29"/>
  <c r="AL320" i="29"/>
  <c r="AM320" i="29" s="1"/>
  <c r="AK316" i="29"/>
  <c r="AL316" i="29"/>
  <c r="AM316" i="29" s="1"/>
  <c r="AL315" i="29"/>
  <c r="AM315" i="29" s="1"/>
  <c r="AK315" i="29"/>
  <c r="AK333" i="29"/>
  <c r="AL333" i="29"/>
  <c r="AM333" i="29" s="1"/>
  <c r="AK290" i="29"/>
  <c r="AL290" i="29"/>
  <c r="AM290" i="29" s="1"/>
  <c r="AL200" i="29"/>
  <c r="AM200" i="29" s="1"/>
  <c r="AK200" i="29"/>
  <c r="AJ152" i="29"/>
  <c r="AK152" i="29" s="1"/>
  <c r="AJ138" i="29"/>
  <c r="AL138" i="29" s="1"/>
  <c r="AM138" i="29" s="1"/>
  <c r="AJ77" i="29"/>
  <c r="AJ157" i="29"/>
  <c r="AL157" i="29" s="1"/>
  <c r="AM157" i="29" s="1"/>
  <c r="AJ126" i="29"/>
  <c r="AL126" i="29" s="1"/>
  <c r="AM126" i="29" s="1"/>
  <c r="AJ124" i="29"/>
  <c r="AK124" i="29" s="1"/>
  <c r="AJ122" i="29"/>
  <c r="AK122" i="29" s="1"/>
  <c r="AJ120" i="29"/>
  <c r="AL120" i="29" s="1"/>
  <c r="AM120" i="29" s="1"/>
  <c r="AJ118" i="29"/>
  <c r="AK118" i="29" s="1"/>
  <c r="AJ116" i="29"/>
  <c r="AK116" i="29" s="1"/>
  <c r="AJ230" i="29"/>
  <c r="AL230" i="29" s="1"/>
  <c r="AM230" i="29" s="1"/>
  <c r="AJ133" i="29"/>
  <c r="AL133" i="29" s="1"/>
  <c r="AM133" i="29" s="1"/>
  <c r="AJ85" i="29"/>
  <c r="AL85" i="29" s="1"/>
  <c r="AM85" i="29" s="1"/>
  <c r="AJ153" i="29"/>
  <c r="AK153" i="29" s="1"/>
  <c r="AJ106" i="29"/>
  <c r="AL106" i="29" s="1"/>
  <c r="AM106" i="29" s="1"/>
  <c r="AJ110" i="29"/>
  <c r="AK110" i="29" s="1"/>
  <c r="AJ94" i="29"/>
  <c r="AL94" i="29" s="1"/>
  <c r="AM94" i="29" s="1"/>
  <c r="AJ206" i="29"/>
  <c r="AL206" i="29" s="1"/>
  <c r="AM206" i="29" s="1"/>
  <c r="AJ220" i="29"/>
  <c r="AK220" i="29" s="1"/>
  <c r="AJ216" i="29"/>
  <c r="AK216" i="29" s="1"/>
  <c r="AJ212" i="29"/>
  <c r="AK212" i="29" s="1"/>
  <c r="AJ208" i="29"/>
  <c r="AK208" i="29" s="1"/>
  <c r="AJ204" i="29"/>
  <c r="AK204" i="29" s="1"/>
  <c r="AJ93" i="29"/>
  <c r="AK93" i="29" s="1"/>
  <c r="AJ82" i="29"/>
  <c r="AK82" i="29" s="1"/>
  <c r="AJ121" i="29"/>
  <c r="AK121" i="29" s="1"/>
  <c r="AJ112" i="29"/>
  <c r="AK112" i="29" s="1"/>
  <c r="AJ78" i="29"/>
  <c r="AK78" i="29" s="1"/>
  <c r="AI5" i="33"/>
  <c r="AI103" i="33"/>
  <c r="AI26" i="33"/>
  <c r="AI9" i="33"/>
  <c r="AI99" i="33"/>
  <c r="AI24" i="33"/>
  <c r="AI82" i="33"/>
  <c r="AJ82" i="33" s="1"/>
  <c r="AI50" i="33"/>
  <c r="AI46" i="33"/>
  <c r="AI87" i="33"/>
  <c r="AI48" i="33"/>
  <c r="AJ48" i="33" s="1"/>
  <c r="AK96" i="33"/>
  <c r="AL96" i="33" s="1"/>
  <c r="AI4" i="33"/>
  <c r="AJ4" i="33" s="1"/>
  <c r="AK104" i="33"/>
  <c r="AL104" i="33" s="1"/>
  <c r="AJ101" i="33"/>
  <c r="AI23" i="33"/>
  <c r="AI90" i="33"/>
  <c r="AJ90" i="33" s="1"/>
  <c r="AI98" i="33"/>
  <c r="AJ98" i="33" s="1"/>
  <c r="AJ105" i="33"/>
  <c r="AK105" i="33"/>
  <c r="AL105" i="33" s="1"/>
  <c r="AK97" i="33"/>
  <c r="AL97" i="33" s="1"/>
  <c r="AI94" i="33"/>
  <c r="AK94" i="33" s="1"/>
  <c r="AL94" i="33" s="1"/>
  <c r="AI92" i="33"/>
  <c r="AK92" i="33" s="1"/>
  <c r="AL92" i="33" s="1"/>
  <c r="AI7" i="33"/>
  <c r="AJ7" i="33" s="1"/>
  <c r="AK84" i="33"/>
  <c r="AL84" i="33" s="1"/>
  <c r="AJ84" i="33"/>
  <c r="AK102" i="33"/>
  <c r="AL102" i="33" s="1"/>
  <c r="AJ102" i="33"/>
  <c r="AK88" i="33"/>
  <c r="AL88" i="33" s="1"/>
  <c r="AJ88" i="33"/>
  <c r="AJ3" i="33"/>
  <c r="AK3" i="33"/>
  <c r="AL3" i="33" s="1"/>
  <c r="AK103" i="33"/>
  <c r="AL103" i="33" s="1"/>
  <c r="AJ103" i="33"/>
  <c r="AI95" i="33"/>
  <c r="AI93" i="33"/>
  <c r="AI91" i="33"/>
  <c r="AI89" i="33"/>
  <c r="AI168" i="27"/>
  <c r="AI104" i="27"/>
  <c r="AJ113" i="27"/>
  <c r="AK113" i="27"/>
  <c r="AL113" i="27" s="1"/>
  <c r="AJ192" i="27"/>
  <c r="AK192" i="27"/>
  <c r="AL192" i="27" s="1"/>
  <c r="AI214" i="27"/>
  <c r="AI148" i="27"/>
  <c r="AJ148" i="27" s="1"/>
  <c r="AJ110" i="27"/>
  <c r="AK207" i="27"/>
  <c r="AL207" i="27" s="1"/>
  <c r="AJ73" i="27"/>
  <c r="AI127" i="27"/>
  <c r="AJ161" i="27"/>
  <c r="AJ157" i="27"/>
  <c r="AK264" i="27"/>
  <c r="AL264" i="27" s="1"/>
  <c r="AK117" i="27"/>
  <c r="AL117" i="27" s="1"/>
  <c r="AI164" i="27"/>
  <c r="AI320" i="27"/>
  <c r="AJ320" i="27" s="1"/>
  <c r="AI324" i="27"/>
  <c r="AI158" i="27"/>
  <c r="AK158" i="27" s="1"/>
  <c r="AL158" i="27" s="1"/>
  <c r="AI259" i="27"/>
  <c r="AJ204" i="27"/>
  <c r="AK204" i="27"/>
  <c r="AL204" i="27" s="1"/>
  <c r="AI225" i="27"/>
  <c r="AJ225" i="27" s="1"/>
  <c r="AJ86" i="27"/>
  <c r="AK86" i="27"/>
  <c r="AL86" i="27" s="1"/>
  <c r="AJ133" i="27"/>
  <c r="AK133" i="27"/>
  <c r="AL133" i="27" s="1"/>
  <c r="AI171" i="27"/>
  <c r="AI79" i="27"/>
  <c r="AJ79" i="27" s="1"/>
  <c r="AI63" i="27"/>
  <c r="AI47" i="27"/>
  <c r="AJ47" i="27" s="1"/>
  <c r="AI25" i="27"/>
  <c r="AI217" i="27"/>
  <c r="AK217" i="27" s="1"/>
  <c r="AL217" i="27" s="1"/>
  <c r="AI329" i="27"/>
  <c r="AI92" i="27"/>
  <c r="AK92" i="27" s="1"/>
  <c r="AL92" i="27" s="1"/>
  <c r="AI68" i="27"/>
  <c r="AJ323" i="27"/>
  <c r="AK323" i="27"/>
  <c r="AL323" i="27" s="1"/>
  <c r="AI72" i="27"/>
  <c r="AJ72" i="27" s="1"/>
  <c r="AI84" i="27"/>
  <c r="AK84" i="27" s="1"/>
  <c r="AL84" i="27" s="1"/>
  <c r="AI185" i="27"/>
  <c r="AJ185" i="27" s="1"/>
  <c r="AI189" i="27"/>
  <c r="AI199" i="27"/>
  <c r="AJ199" i="27" s="1"/>
  <c r="AI140" i="27"/>
  <c r="AJ140" i="27" s="1"/>
  <c r="AI132" i="27"/>
  <c r="AK132" i="27" s="1"/>
  <c r="AL132" i="27" s="1"/>
  <c r="AK125" i="27"/>
  <c r="AL125" i="27" s="1"/>
  <c r="AJ125" i="27"/>
  <c r="AI187" i="27"/>
  <c r="AI216" i="27"/>
  <c r="AJ216" i="27" s="1"/>
  <c r="AI203" i="27"/>
  <c r="AI107" i="27"/>
  <c r="AK107" i="27" s="1"/>
  <c r="AL107" i="27" s="1"/>
  <c r="AI91" i="27"/>
  <c r="AI75" i="27"/>
  <c r="AK75" i="27" s="1"/>
  <c r="AL75" i="27" s="1"/>
  <c r="AI59" i="27"/>
  <c r="AI43" i="27"/>
  <c r="AJ43" i="27" s="1"/>
  <c r="AI260" i="27"/>
  <c r="AI42" i="27"/>
  <c r="AI21" i="27"/>
  <c r="AI5" i="27"/>
  <c r="AK5" i="27" s="1"/>
  <c r="AL5" i="27" s="1"/>
  <c r="AI120" i="27"/>
  <c r="AK120" i="27" s="1"/>
  <c r="AL120" i="27" s="1"/>
  <c r="AI70" i="27"/>
  <c r="AI54" i="27"/>
  <c r="AI82" i="27"/>
  <c r="AI38" i="27"/>
  <c r="AI34" i="27"/>
  <c r="AK34" i="27" s="1"/>
  <c r="AL34" i="27" s="1"/>
  <c r="AI56" i="27"/>
  <c r="AI159" i="27"/>
  <c r="AK159" i="27" s="1"/>
  <c r="AL159" i="27" s="1"/>
  <c r="AK319" i="27"/>
  <c r="AL319" i="27" s="1"/>
  <c r="AJ319" i="27"/>
  <c r="AJ129" i="27"/>
  <c r="AK129" i="27"/>
  <c r="AL129" i="27" s="1"/>
  <c r="AK140" i="27"/>
  <c r="AL140" i="27" s="1"/>
  <c r="AJ132" i="27"/>
  <c r="AK102" i="27"/>
  <c r="AL102" i="27" s="1"/>
  <c r="AJ102" i="27"/>
  <c r="AJ76" i="27"/>
  <c r="AK76" i="27"/>
  <c r="AL76" i="27" s="1"/>
  <c r="AK78" i="27"/>
  <c r="AL78" i="27" s="1"/>
  <c r="AJ78" i="27"/>
  <c r="AK338" i="27"/>
  <c r="AL338" i="27" s="1"/>
  <c r="AJ338" i="27"/>
  <c r="AJ211" i="27"/>
  <c r="AK211" i="27"/>
  <c r="AL211" i="27" s="1"/>
  <c r="AI66" i="27"/>
  <c r="AK66" i="27" s="1"/>
  <c r="AL66" i="27" s="1"/>
  <c r="AI24" i="27"/>
  <c r="AI12" i="27"/>
  <c r="AI8" i="27"/>
  <c r="AJ8" i="27" s="1"/>
  <c r="AI4" i="27"/>
  <c r="AK4" i="27" s="1"/>
  <c r="AL4" i="27" s="1"/>
  <c r="AI40" i="27"/>
  <c r="AI146" i="27"/>
  <c r="AJ346" i="27"/>
  <c r="AI13" i="27"/>
  <c r="AJ13" i="27" s="1"/>
  <c r="AK266" i="27"/>
  <c r="AL266" i="27" s="1"/>
  <c r="AI226" i="27"/>
  <c r="AI160" i="27"/>
  <c r="AJ160" i="27" s="1"/>
  <c r="AI88" i="27"/>
  <c r="AJ88" i="27" s="1"/>
  <c r="AI58" i="27"/>
  <c r="AI223" i="27"/>
  <c r="AI151" i="27"/>
  <c r="AK151" i="27" s="1"/>
  <c r="AL151" i="27" s="1"/>
  <c r="AI335" i="27"/>
  <c r="AJ335" i="27" s="1"/>
  <c r="AK333" i="27"/>
  <c r="AL333" i="27" s="1"/>
  <c r="AI197" i="27"/>
  <c r="AI201" i="27"/>
  <c r="AK201" i="27" s="1"/>
  <c r="AL201" i="27" s="1"/>
  <c r="AI328" i="27"/>
  <c r="AJ328" i="27" s="1"/>
  <c r="AI227" i="27"/>
  <c r="AI118" i="27"/>
  <c r="AI17" i="27"/>
  <c r="AK17" i="27" s="1"/>
  <c r="AL17" i="27" s="1"/>
  <c r="AI224" i="27"/>
  <c r="AK224" i="27" s="1"/>
  <c r="AL224" i="27" s="1"/>
  <c r="AI198" i="27"/>
  <c r="AI182" i="27"/>
  <c r="AJ182" i="27" s="1"/>
  <c r="AI180" i="27"/>
  <c r="AI152" i="27"/>
  <c r="AJ152" i="27" s="1"/>
  <c r="AI60" i="27"/>
  <c r="AJ60" i="27" s="1"/>
  <c r="AI20" i="27"/>
  <c r="AJ20" i="27" s="1"/>
  <c r="AI64" i="27"/>
  <c r="AK64" i="27" s="1"/>
  <c r="AL64" i="27" s="1"/>
  <c r="AI48" i="27"/>
  <c r="AJ48" i="27" s="1"/>
  <c r="AI36" i="27"/>
  <c r="AJ356" i="27"/>
  <c r="AI268" i="27"/>
  <c r="AK268" i="27" s="1"/>
  <c r="AL268" i="27" s="1"/>
  <c r="AI257" i="27"/>
  <c r="AK257" i="27" s="1"/>
  <c r="AL257" i="27" s="1"/>
  <c r="AI195" i="27"/>
  <c r="AI212" i="27"/>
  <c r="AI154" i="27"/>
  <c r="AK154" i="27" s="1"/>
  <c r="AL154" i="27" s="1"/>
  <c r="AJ217" i="27"/>
  <c r="AI128" i="27"/>
  <c r="AK128" i="27" s="1"/>
  <c r="AL128" i="27" s="1"/>
  <c r="AI80" i="27"/>
  <c r="AK327" i="27"/>
  <c r="AL327" i="27" s="1"/>
  <c r="AJ327" i="27"/>
  <c r="AK348" i="27"/>
  <c r="AL348" i="27" s="1"/>
  <c r="AJ348" i="27"/>
  <c r="AJ329" i="27"/>
  <c r="AK329" i="27"/>
  <c r="AL329" i="27" s="1"/>
  <c r="AJ108" i="27"/>
  <c r="AK108" i="27"/>
  <c r="AL108" i="27" s="1"/>
  <c r="AJ124" i="27"/>
  <c r="AK124" i="27"/>
  <c r="AL124" i="27" s="1"/>
  <c r="AK54" i="27"/>
  <c r="AL54" i="27" s="1"/>
  <c r="AJ54" i="27"/>
  <c r="AK98" i="27"/>
  <c r="AL98" i="27" s="1"/>
  <c r="AJ98" i="27"/>
  <c r="AJ100" i="27"/>
  <c r="AK100" i="27"/>
  <c r="AL100" i="27" s="1"/>
  <c r="AJ168" i="27"/>
  <c r="AK168" i="27"/>
  <c r="AL168" i="27" s="1"/>
  <c r="AJ202" i="27"/>
  <c r="AK202" i="27"/>
  <c r="AL202" i="27" s="1"/>
  <c r="AJ104" i="27"/>
  <c r="AK104" i="27"/>
  <c r="AL104" i="27" s="1"/>
  <c r="AK149" i="27"/>
  <c r="AL149" i="27" s="1"/>
  <c r="AJ149" i="27"/>
  <c r="AJ137" i="27"/>
  <c r="AK137" i="27"/>
  <c r="AL137" i="27" s="1"/>
  <c r="AJ121" i="27"/>
  <c r="AK121" i="27"/>
  <c r="AL121" i="27" s="1"/>
  <c r="AJ112" i="27"/>
  <c r="AK112" i="27"/>
  <c r="AL112" i="27" s="1"/>
  <c r="AJ28" i="27"/>
  <c r="AK28" i="27"/>
  <c r="AL28" i="27" s="1"/>
  <c r="AK340" i="27"/>
  <c r="AL340" i="27" s="1"/>
  <c r="AJ340" i="27"/>
  <c r="AJ260" i="27"/>
  <c r="AK260" i="27"/>
  <c r="AL260" i="27" s="1"/>
  <c r="AJ153" i="27"/>
  <c r="AK153" i="27"/>
  <c r="AL153" i="27" s="1"/>
  <c r="AK16" i="27"/>
  <c r="AL16" i="27" s="1"/>
  <c r="AJ16" i="27"/>
  <c r="AJ136" i="27"/>
  <c r="AK136" i="27"/>
  <c r="AL136" i="27" s="1"/>
  <c r="AJ56" i="27"/>
  <c r="AK56" i="27"/>
  <c r="AL56" i="27" s="1"/>
  <c r="AJ44" i="27"/>
  <c r="AK44" i="27"/>
  <c r="AL44" i="27" s="1"/>
  <c r="AJ256" i="27"/>
  <c r="AK256" i="27"/>
  <c r="AL256" i="27" s="1"/>
  <c r="AK334" i="27"/>
  <c r="AL334" i="27" s="1"/>
  <c r="AJ334" i="27"/>
  <c r="AJ164" i="27"/>
  <c r="AK164" i="27"/>
  <c r="AL164" i="27" s="1"/>
  <c r="AJ120" i="27"/>
  <c r="AK74" i="27"/>
  <c r="AL74" i="27" s="1"/>
  <c r="AJ74" i="27"/>
  <c r="AJ144" i="27"/>
  <c r="AK144" i="27"/>
  <c r="AL144" i="27" s="1"/>
  <c r="AJ116" i="27"/>
  <c r="AK116" i="27"/>
  <c r="AL116" i="27" s="1"/>
  <c r="AJ96" i="27"/>
  <c r="AK96" i="27"/>
  <c r="AL96" i="27" s="1"/>
  <c r="AJ92" i="27"/>
  <c r="AJ68" i="27"/>
  <c r="AK68" i="27"/>
  <c r="AL68" i="27" s="1"/>
  <c r="AJ66" i="27"/>
  <c r="AJ24" i="27"/>
  <c r="AK24" i="27"/>
  <c r="AL24" i="27" s="1"/>
  <c r="AJ12" i="27"/>
  <c r="AK12" i="27"/>
  <c r="AL12" i="27" s="1"/>
  <c r="AI186" i="27"/>
  <c r="AI174" i="27"/>
  <c r="AI258" i="27"/>
  <c r="AI205" i="27"/>
  <c r="AK205" i="27" s="1"/>
  <c r="AL205" i="27" s="1"/>
  <c r="AI193" i="27"/>
  <c r="AK193" i="27" s="1"/>
  <c r="AL193" i="27" s="1"/>
  <c r="AI209" i="27"/>
  <c r="AI200" i="27"/>
  <c r="AI184" i="27"/>
  <c r="AI176" i="27"/>
  <c r="AI210" i="27"/>
  <c r="AI175" i="27"/>
  <c r="AK175" i="27" s="1"/>
  <c r="AL175" i="27" s="1"/>
  <c r="AI179" i="27"/>
  <c r="AK179" i="27" s="1"/>
  <c r="AL179" i="27" s="1"/>
  <c r="AI208" i="27"/>
  <c r="AK208" i="27" s="1"/>
  <c r="AL208" i="27" s="1"/>
  <c r="AI95" i="27"/>
  <c r="AI332" i="27"/>
  <c r="AK332" i="27" s="1"/>
  <c r="AL332" i="27" s="1"/>
  <c r="AI183" i="27"/>
  <c r="AJ183" i="27" s="1"/>
  <c r="AI220" i="27"/>
  <c r="AJ220" i="27" s="1"/>
  <c r="AI218" i="27"/>
  <c r="AI150" i="27"/>
  <c r="AJ150" i="27" s="1"/>
  <c r="AI139" i="27"/>
  <c r="AK139" i="27" s="1"/>
  <c r="AL139" i="27" s="1"/>
  <c r="AI134" i="27"/>
  <c r="AK134" i="27" s="1"/>
  <c r="AL134" i="27" s="1"/>
  <c r="AI103" i="27"/>
  <c r="AI87" i="27"/>
  <c r="AJ87" i="27" s="1"/>
  <c r="AI71" i="27"/>
  <c r="AK71" i="27" s="1"/>
  <c r="AL71" i="27" s="1"/>
  <c r="AI55" i="27"/>
  <c r="AJ55" i="27" s="1"/>
  <c r="AI39" i="27"/>
  <c r="AK39" i="27" s="1"/>
  <c r="AL39" i="27" s="1"/>
  <c r="AI31" i="27"/>
  <c r="AK31" i="27" s="1"/>
  <c r="AL31" i="27" s="1"/>
  <c r="AI27" i="27"/>
  <c r="AK27" i="27" s="1"/>
  <c r="AL27" i="27" s="1"/>
  <c r="AI23" i="27"/>
  <c r="AK23" i="27" s="1"/>
  <c r="AL23" i="27" s="1"/>
  <c r="AI19" i="27"/>
  <c r="AI15" i="27"/>
  <c r="AJ15" i="27" s="1"/>
  <c r="AI11" i="27"/>
  <c r="AK11" i="27" s="1"/>
  <c r="AL11" i="27" s="1"/>
  <c r="AI7" i="27"/>
  <c r="AK7" i="27" s="1"/>
  <c r="AL7" i="27" s="1"/>
  <c r="AI3" i="27"/>
  <c r="AJ3" i="27" s="1"/>
  <c r="AI29" i="27"/>
  <c r="AK29" i="27" s="1"/>
  <c r="AL29" i="27" s="1"/>
  <c r="AI9" i="27"/>
  <c r="AJ9" i="27" s="1"/>
  <c r="AI221" i="27"/>
  <c r="AI172" i="27"/>
  <c r="AI196" i="27"/>
  <c r="AI190" i="27"/>
  <c r="AI166" i="27"/>
  <c r="AI46" i="27"/>
  <c r="AI194" i="27"/>
  <c r="AI90" i="27"/>
  <c r="AI50" i="27"/>
  <c r="AI18" i="27"/>
  <c r="AI336" i="27"/>
  <c r="AK336" i="27" s="1"/>
  <c r="AL336" i="27" s="1"/>
  <c r="AI326" i="27"/>
  <c r="AK326" i="27" s="1"/>
  <c r="AL326" i="27" s="1"/>
  <c r="AI322" i="27"/>
  <c r="AJ322" i="27" s="1"/>
  <c r="AI318" i="27"/>
  <c r="AK318" i="27" s="1"/>
  <c r="AL318" i="27" s="1"/>
  <c r="AI173" i="27"/>
  <c r="AK173" i="27" s="1"/>
  <c r="AL173" i="27" s="1"/>
  <c r="AI261" i="27"/>
  <c r="AJ261" i="27" s="1"/>
  <c r="AI191" i="27"/>
  <c r="AK191" i="27" s="1"/>
  <c r="AL191" i="27" s="1"/>
  <c r="AI177" i="27"/>
  <c r="AK177" i="27" s="1"/>
  <c r="AL177" i="27" s="1"/>
  <c r="AI181" i="27"/>
  <c r="AK181" i="27" s="1"/>
  <c r="AL181" i="27" s="1"/>
  <c r="AI99" i="27"/>
  <c r="AK99" i="27" s="1"/>
  <c r="AL99" i="27" s="1"/>
  <c r="AI83" i="27"/>
  <c r="AK83" i="27" s="1"/>
  <c r="AL83" i="27" s="1"/>
  <c r="AI67" i="27"/>
  <c r="AK67" i="27" s="1"/>
  <c r="AL67" i="27" s="1"/>
  <c r="AI51" i="27"/>
  <c r="AJ51" i="27" s="1"/>
  <c r="AI35" i="27"/>
  <c r="AK35" i="27" s="1"/>
  <c r="AL35" i="27" s="1"/>
  <c r="AI213" i="27"/>
  <c r="AI178" i="27"/>
  <c r="AQ37" i="26"/>
  <c r="AR37" i="26"/>
  <c r="AS37" i="26" s="1"/>
  <c r="AQ213" i="26"/>
  <c r="AR213" i="26"/>
  <c r="AS213" i="26" s="1"/>
  <c r="AQ82" i="26"/>
  <c r="AR82" i="26"/>
  <c r="AS82" i="26" s="1"/>
  <c r="AP138" i="26"/>
  <c r="AQ57" i="26"/>
  <c r="AR80" i="26"/>
  <c r="AS80" i="26" s="1"/>
  <c r="AP224" i="26"/>
  <c r="AP166" i="26"/>
  <c r="AQ166" i="26" s="1"/>
  <c r="AP9" i="26"/>
  <c r="AP179" i="26"/>
  <c r="AP134" i="26"/>
  <c r="AR180" i="26"/>
  <c r="AS180" i="26" s="1"/>
  <c r="AP113" i="26"/>
  <c r="AP27" i="26"/>
  <c r="AR150" i="26"/>
  <c r="AS150" i="26" s="1"/>
  <c r="AP62" i="26"/>
  <c r="AP56" i="26"/>
  <c r="AQ357" i="26"/>
  <c r="AP183" i="26"/>
  <c r="AP167" i="26"/>
  <c r="AP127" i="26"/>
  <c r="AP65" i="26"/>
  <c r="AP5" i="26"/>
  <c r="AQ32" i="26"/>
  <c r="AR32" i="26"/>
  <c r="AS32" i="26" s="1"/>
  <c r="AQ226" i="26"/>
  <c r="AR226" i="26"/>
  <c r="AS226" i="26" s="1"/>
  <c r="AQ62" i="26"/>
  <c r="AR62" i="26"/>
  <c r="AS62" i="26" s="1"/>
  <c r="AQ45" i="26"/>
  <c r="AR45" i="26"/>
  <c r="AS45" i="26" s="1"/>
  <c r="AQ158" i="26"/>
  <c r="AR158" i="26"/>
  <c r="AS158" i="26" s="1"/>
  <c r="AQ168" i="26"/>
  <c r="AR168" i="26"/>
  <c r="AS168" i="26" s="1"/>
  <c r="AQ262" i="26"/>
  <c r="AR262" i="26"/>
  <c r="AS262" i="26" s="1"/>
  <c r="AR319" i="26"/>
  <c r="AS319" i="26" s="1"/>
  <c r="AQ133" i="26"/>
  <c r="AP170" i="26"/>
  <c r="AP96" i="26"/>
  <c r="AP72" i="26"/>
  <c r="AP7" i="26"/>
  <c r="AP328" i="26"/>
  <c r="AP203" i="26"/>
  <c r="AP187" i="26"/>
  <c r="AP216" i="26"/>
  <c r="AP151" i="26"/>
  <c r="AP130" i="26"/>
  <c r="AP105" i="26"/>
  <c r="AP103" i="26"/>
  <c r="AP97" i="26"/>
  <c r="AR256" i="26"/>
  <c r="AS256" i="26" s="1"/>
  <c r="AQ192" i="26"/>
  <c r="AP331" i="26"/>
  <c r="AQ331" i="26" s="1"/>
  <c r="AP110" i="26"/>
  <c r="AP208" i="26"/>
  <c r="AP169" i="26"/>
  <c r="AQ176" i="26"/>
  <c r="AR137" i="26"/>
  <c r="AS137" i="26" s="1"/>
  <c r="AP207" i="26"/>
  <c r="AP209" i="26"/>
  <c r="AP136" i="26"/>
  <c r="AQ136" i="26" s="1"/>
  <c r="AP3" i="26"/>
  <c r="AR148" i="26"/>
  <c r="AS148" i="26" s="1"/>
  <c r="AQ148" i="26"/>
  <c r="AQ258" i="26"/>
  <c r="AR258" i="26"/>
  <c r="AS258" i="26" s="1"/>
  <c r="AR29" i="26"/>
  <c r="AS29" i="26" s="1"/>
  <c r="AQ29" i="26"/>
  <c r="AQ52" i="26"/>
  <c r="AR52" i="26"/>
  <c r="AS52" i="26" s="1"/>
  <c r="AR198" i="26"/>
  <c r="AS198" i="26" s="1"/>
  <c r="AQ198" i="26"/>
  <c r="AP109" i="26"/>
  <c r="AR166" i="26"/>
  <c r="AS166" i="26" s="1"/>
  <c r="AP55" i="26"/>
  <c r="AP323" i="26"/>
  <c r="AP221" i="26"/>
  <c r="AP94" i="26"/>
  <c r="AQ94" i="26" s="1"/>
  <c r="AP11" i="26"/>
  <c r="AP199" i="26"/>
  <c r="AP259" i="26"/>
  <c r="AP212" i="26"/>
  <c r="AQ212" i="26" s="1"/>
  <c r="AP205" i="26"/>
  <c r="AP197" i="26"/>
  <c r="AP336" i="26"/>
  <c r="AP171" i="26"/>
  <c r="AQ171" i="26" s="1"/>
  <c r="AQ265" i="26"/>
  <c r="AP101" i="26"/>
  <c r="AP47" i="26"/>
  <c r="AP99" i="26"/>
  <c r="AQ99" i="26" s="1"/>
  <c r="AP160" i="26"/>
  <c r="AP188" i="26"/>
  <c r="AQ188" i="26" s="1"/>
  <c r="AP74" i="26"/>
  <c r="AP88" i="26"/>
  <c r="AP28" i="26"/>
  <c r="AP178" i="26"/>
  <c r="AP181" i="26"/>
  <c r="AR181" i="26" s="1"/>
  <c r="AS181" i="26" s="1"/>
  <c r="AP332" i="26"/>
  <c r="AQ332" i="26" s="1"/>
  <c r="AP324" i="26"/>
  <c r="AP163" i="26"/>
  <c r="AP149" i="26"/>
  <c r="AR149" i="26" s="1"/>
  <c r="AS149" i="26" s="1"/>
  <c r="AP257" i="26"/>
  <c r="AR257" i="26" s="1"/>
  <c r="AS257" i="26" s="1"/>
  <c r="AP227" i="26"/>
  <c r="AP210" i="26"/>
  <c r="AP175" i="26"/>
  <c r="AR175" i="26" s="1"/>
  <c r="AS175" i="26" s="1"/>
  <c r="AP157" i="26"/>
  <c r="AR157" i="26" s="1"/>
  <c r="AS157" i="26" s="1"/>
  <c r="AP153" i="26"/>
  <c r="AP155" i="26"/>
  <c r="AR211" i="26"/>
  <c r="AS211" i="26" s="1"/>
  <c r="AP66" i="26"/>
  <c r="AP86" i="26"/>
  <c r="AP44" i="26"/>
  <c r="AR44" i="26" s="1"/>
  <c r="AS44" i="26" s="1"/>
  <c r="AP15" i="26"/>
  <c r="AQ15" i="26" s="1"/>
  <c r="AQ260" i="26"/>
  <c r="AR260" i="26"/>
  <c r="AS260" i="26" s="1"/>
  <c r="AR154" i="26"/>
  <c r="AS154" i="26" s="1"/>
  <c r="AQ154" i="26"/>
  <c r="AQ118" i="26"/>
  <c r="AR118" i="26"/>
  <c r="AS118" i="26" s="1"/>
  <c r="AR112" i="26"/>
  <c r="AS112" i="26" s="1"/>
  <c r="AQ112" i="26"/>
  <c r="AR188" i="26"/>
  <c r="AS188" i="26" s="1"/>
  <c r="AQ152" i="26"/>
  <c r="AR152" i="26"/>
  <c r="AS152" i="26" s="1"/>
  <c r="AQ70" i="26"/>
  <c r="AR70" i="26"/>
  <c r="AS70" i="26" s="1"/>
  <c r="AR16" i="26"/>
  <c r="AS16" i="26" s="1"/>
  <c r="AQ16" i="26"/>
  <c r="AQ194" i="26"/>
  <c r="AR194" i="26"/>
  <c r="AS194" i="26" s="1"/>
  <c r="AQ196" i="26"/>
  <c r="AR196" i="26"/>
  <c r="AS196" i="26" s="1"/>
  <c r="AQ132" i="26"/>
  <c r="AR132" i="26"/>
  <c r="AS132" i="26" s="1"/>
  <c r="AQ178" i="26"/>
  <c r="AR178" i="26"/>
  <c r="AS178" i="26" s="1"/>
  <c r="AQ68" i="26"/>
  <c r="AR68" i="26"/>
  <c r="AS68" i="26" s="1"/>
  <c r="AQ56" i="26"/>
  <c r="AR56" i="26"/>
  <c r="AS56" i="26" s="1"/>
  <c r="AQ3" i="26"/>
  <c r="AR3" i="26"/>
  <c r="AS3" i="26" s="1"/>
  <c r="AQ124" i="26"/>
  <c r="AR124" i="26"/>
  <c r="AS124" i="26" s="1"/>
  <c r="AQ110" i="26"/>
  <c r="AR110" i="26"/>
  <c r="AS110" i="26" s="1"/>
  <c r="AQ164" i="26"/>
  <c r="AR164" i="26"/>
  <c r="AS164" i="26" s="1"/>
  <c r="AQ44" i="26"/>
  <c r="AQ224" i="26"/>
  <c r="AR224" i="26"/>
  <c r="AS224" i="26" s="1"/>
  <c r="AQ327" i="26"/>
  <c r="AR327" i="26"/>
  <c r="AS327" i="26" s="1"/>
  <c r="AR108" i="26"/>
  <c r="AS108" i="26" s="1"/>
  <c r="AQ108" i="26"/>
  <c r="AR72" i="26"/>
  <c r="AS72" i="26" s="1"/>
  <c r="AQ72" i="26"/>
  <c r="AR5" i="26"/>
  <c r="AS5" i="26" s="1"/>
  <c r="AQ5" i="26"/>
  <c r="AP320" i="26"/>
  <c r="AQ320" i="26" s="1"/>
  <c r="AP218" i="26"/>
  <c r="AP159" i="26"/>
  <c r="AP195" i="26"/>
  <c r="AQ195" i="26" s="1"/>
  <c r="AP185" i="26"/>
  <c r="AR185" i="26" s="1"/>
  <c r="AS185" i="26" s="1"/>
  <c r="AP147" i="26"/>
  <c r="AP223" i="26"/>
  <c r="AP220" i="26"/>
  <c r="AQ220" i="26" s="1"/>
  <c r="AP93" i="26"/>
  <c r="AR93" i="26" s="1"/>
  <c r="AS93" i="26" s="1"/>
  <c r="AP75" i="26"/>
  <c r="AP85" i="26"/>
  <c r="AP79" i="26"/>
  <c r="AQ79" i="26" s="1"/>
  <c r="AP59" i="26"/>
  <c r="AR59" i="26" s="1"/>
  <c r="AS59" i="26" s="1"/>
  <c r="AP335" i="26"/>
  <c r="AP200" i="26"/>
  <c r="AP190" i="26"/>
  <c r="AP182" i="26"/>
  <c r="AP172" i="26"/>
  <c r="AP156" i="26"/>
  <c r="AP98" i="26"/>
  <c r="AP90" i="26"/>
  <c r="AP64" i="26"/>
  <c r="AP143" i="26"/>
  <c r="AP261" i="26"/>
  <c r="AP177" i="26"/>
  <c r="AR177" i="26" s="1"/>
  <c r="AS177" i="26" s="1"/>
  <c r="AP95" i="26"/>
  <c r="AR95" i="26" s="1"/>
  <c r="AS95" i="26" s="1"/>
  <c r="AP84" i="26"/>
  <c r="AP338" i="26"/>
  <c r="AR338" i="26" s="1"/>
  <c r="AS338" i="26" s="1"/>
  <c r="AP334" i="26"/>
  <c r="AQ334" i="26" s="1"/>
  <c r="AP330" i="26"/>
  <c r="AP326" i="26"/>
  <c r="AP322" i="26"/>
  <c r="AR322" i="26" s="1"/>
  <c r="AS322" i="26" s="1"/>
  <c r="AP318" i="26"/>
  <c r="AQ318" i="26" s="1"/>
  <c r="AP268" i="26"/>
  <c r="AP225" i="26"/>
  <c r="AP193" i="26"/>
  <c r="AR193" i="26" s="1"/>
  <c r="AS193" i="26" s="1"/>
  <c r="AP191" i="26"/>
  <c r="AR191" i="26" s="1"/>
  <c r="AS191" i="26" s="1"/>
  <c r="AP214" i="26"/>
  <c r="AP201" i="26"/>
  <c r="AR201" i="26" s="1"/>
  <c r="AS201" i="26" s="1"/>
  <c r="AP161" i="26"/>
  <c r="AR161" i="26" s="1"/>
  <c r="AS161" i="26" s="1"/>
  <c r="AP117" i="26"/>
  <c r="AQ117" i="26" s="1"/>
  <c r="AP77" i="26"/>
  <c r="AR77" i="26" s="1"/>
  <c r="AS77" i="26" s="1"/>
  <c r="AP61" i="26"/>
  <c r="AR61" i="26" s="1"/>
  <c r="AS61" i="26" s="1"/>
  <c r="AP23" i="26"/>
  <c r="AQ23" i="26" s="1"/>
  <c r="AP69" i="26"/>
  <c r="AR69" i="26" s="1"/>
  <c r="AS69" i="26" s="1"/>
  <c r="AP63" i="26"/>
  <c r="AR63" i="26" s="1"/>
  <c r="AS63" i="26" s="1"/>
  <c r="AP18" i="26"/>
  <c r="AR18" i="26" s="1"/>
  <c r="AS18" i="26" s="1"/>
  <c r="AP215" i="26"/>
  <c r="AP217" i="26"/>
  <c r="AP174" i="26"/>
  <c r="AP186" i="26"/>
  <c r="AP13" i="26"/>
  <c r="AP189" i="26"/>
  <c r="AQ189" i="26" s="1"/>
  <c r="AP51" i="26"/>
  <c r="AQ51" i="26" s="1"/>
  <c r="AP14" i="26"/>
  <c r="AR14" i="26" s="1"/>
  <c r="AS14" i="26" s="1"/>
  <c r="AP10" i="26"/>
  <c r="AR10" i="26" s="1"/>
  <c r="AS10" i="26" s="1"/>
  <c r="AP6" i="26"/>
  <c r="AQ6" i="26" s="1"/>
  <c r="AP202" i="26"/>
  <c r="AP162" i="26"/>
  <c r="AP19" i="26"/>
  <c r="AJ314" i="14"/>
  <c r="AK314" i="14"/>
  <c r="AL314" i="14" s="1"/>
  <c r="AJ326" i="14"/>
  <c r="AK326" i="14"/>
  <c r="AL326" i="14" s="1"/>
  <c r="AJ158" i="14"/>
  <c r="AK158" i="14"/>
  <c r="AL158" i="14" s="1"/>
  <c r="AI268" i="14"/>
  <c r="AJ268" i="14" s="1"/>
  <c r="AK166" i="14"/>
  <c r="AL166" i="14" s="1"/>
  <c r="AJ166" i="14"/>
  <c r="AJ92" i="14"/>
  <c r="AK92" i="14"/>
  <c r="AL92" i="14" s="1"/>
  <c r="AI325" i="14"/>
  <c r="AK325" i="14" s="1"/>
  <c r="AL325" i="14" s="1"/>
  <c r="AI317" i="14"/>
  <c r="AJ317" i="14" s="1"/>
  <c r="AJ192" i="14"/>
  <c r="AK192" i="14"/>
  <c r="AL192" i="14" s="1"/>
  <c r="AK209" i="14"/>
  <c r="AL209" i="14" s="1"/>
  <c r="AJ209" i="14"/>
  <c r="AJ54" i="14"/>
  <c r="AI167" i="14"/>
  <c r="AJ167" i="14" s="1"/>
  <c r="AJ198" i="14"/>
  <c r="AK198" i="14"/>
  <c r="AL198" i="14" s="1"/>
  <c r="AK308" i="14"/>
  <c r="AL308" i="14" s="1"/>
  <c r="AJ308" i="14"/>
  <c r="AI109" i="14"/>
  <c r="AK109" i="14" s="1"/>
  <c r="AL109" i="14" s="1"/>
  <c r="AJ224" i="14"/>
  <c r="AI110" i="14"/>
  <c r="AK110" i="14" s="1"/>
  <c r="AL110" i="14" s="1"/>
  <c r="AI108" i="14"/>
  <c r="AK108" i="14" s="1"/>
  <c r="AL108" i="14" s="1"/>
  <c r="AK151" i="14"/>
  <c r="AL151" i="14" s="1"/>
  <c r="AK127" i="14"/>
  <c r="AL127" i="14" s="1"/>
  <c r="AI69" i="14"/>
  <c r="AK69" i="14" s="1"/>
  <c r="AL69" i="14" s="1"/>
  <c r="AI65" i="14"/>
  <c r="AK65" i="14" s="1"/>
  <c r="AL65" i="14" s="1"/>
  <c r="AI33" i="14"/>
  <c r="AJ33" i="14" s="1"/>
  <c r="AJ47" i="14"/>
  <c r="AI23" i="14"/>
  <c r="AJ23" i="14" s="1"/>
  <c r="AI78" i="14"/>
  <c r="AI175" i="14"/>
  <c r="AK175" i="14" s="1"/>
  <c r="AL175" i="14" s="1"/>
  <c r="AI171" i="14"/>
  <c r="AK171" i="14" s="1"/>
  <c r="AL171" i="14" s="1"/>
  <c r="AI145" i="14"/>
  <c r="AK145" i="14" s="1"/>
  <c r="AL145" i="14" s="1"/>
  <c r="AI105" i="14"/>
  <c r="AK105" i="14" s="1"/>
  <c r="AL105" i="14" s="1"/>
  <c r="AI130" i="14"/>
  <c r="AJ130" i="14" s="1"/>
  <c r="AI61" i="14"/>
  <c r="AK61" i="14" s="1"/>
  <c r="AL61" i="14" s="1"/>
  <c r="AI39" i="14"/>
  <c r="AK39" i="14" s="1"/>
  <c r="AL39" i="14" s="1"/>
  <c r="AI26" i="14"/>
  <c r="AJ26" i="14" s="1"/>
  <c r="AI322" i="14"/>
  <c r="AI96" i="14"/>
  <c r="AI86" i="14"/>
  <c r="AI261" i="14"/>
  <c r="AK261" i="14" s="1"/>
  <c r="AL261" i="14" s="1"/>
  <c r="AI338" i="14"/>
  <c r="AK338" i="14" s="1"/>
  <c r="AL338" i="14" s="1"/>
  <c r="AI335" i="14"/>
  <c r="AJ335" i="14" s="1"/>
  <c r="AI197" i="14"/>
  <c r="AK197" i="14" s="1"/>
  <c r="AL197" i="14" s="1"/>
  <c r="AI95" i="14"/>
  <c r="AJ95" i="14" s="1"/>
  <c r="AI89" i="14"/>
  <c r="AJ89" i="14" s="1"/>
  <c r="AI81" i="14"/>
  <c r="AK81" i="14" s="1"/>
  <c r="AL81" i="14" s="1"/>
  <c r="AI73" i="14"/>
  <c r="AJ73" i="14" s="1"/>
  <c r="AI15" i="14"/>
  <c r="AK15" i="14" s="1"/>
  <c r="AL15" i="14" s="1"/>
  <c r="AI27" i="14"/>
  <c r="AJ27" i="14" s="1"/>
  <c r="AI14" i="14"/>
  <c r="AJ14" i="14" s="1"/>
  <c r="AK310" i="14"/>
  <c r="AL310" i="14" s="1"/>
  <c r="AJ310" i="14"/>
  <c r="AI56" i="14"/>
  <c r="AI6" i="14"/>
  <c r="AK17" i="31"/>
  <c r="AL17" i="31" s="1"/>
  <c r="AJ13" i="31"/>
  <c r="AK13" i="31"/>
  <c r="AL13" i="31" s="1"/>
  <c r="AI10" i="31"/>
  <c r="AK10" i="31" s="1"/>
  <c r="AL10" i="31" s="1"/>
  <c r="AI20" i="31"/>
  <c r="AJ20" i="31" s="1"/>
  <c r="AK25" i="31"/>
  <c r="AL25" i="31" s="1"/>
  <c r="AI23" i="31"/>
  <c r="AI19" i="31"/>
  <c r="AI24" i="31"/>
  <c r="AK24" i="31" s="1"/>
  <c r="AL24" i="31" s="1"/>
  <c r="AI21" i="31"/>
  <c r="AA16" i="3"/>
  <c r="AB17" i="3"/>
  <c r="AC17" i="3" s="1"/>
  <c r="AA9" i="3"/>
  <c r="AA4" i="3"/>
  <c r="AB21" i="3"/>
  <c r="AC21" i="3" s="1"/>
  <c r="AA12" i="3"/>
  <c r="AK87" i="14"/>
  <c r="AL87" i="14" s="1"/>
  <c r="AJ87" i="14"/>
  <c r="AJ81" i="14"/>
  <c r="AK14" i="31"/>
  <c r="AL14" i="31" s="1"/>
  <c r="AJ14" i="31"/>
  <c r="AK8" i="32"/>
  <c r="AK230" i="29"/>
  <c r="AK133" i="29"/>
  <c r="AK115" i="29"/>
  <c r="AL115" i="29"/>
  <c r="AM115" i="29" s="1"/>
  <c r="AK107" i="29"/>
  <c r="AL107" i="29"/>
  <c r="AM107" i="29" s="1"/>
  <c r="AK107" i="33"/>
  <c r="AL107" i="33" s="1"/>
  <c r="AJ107" i="33"/>
  <c r="AL163" i="29"/>
  <c r="AM163" i="29" s="1"/>
  <c r="AK163" i="29"/>
  <c r="AK134" i="29"/>
  <c r="AL134" i="29"/>
  <c r="AM134" i="29" s="1"/>
  <c r="AK126" i="29"/>
  <c r="AL122" i="29"/>
  <c r="AM122" i="29" s="1"/>
  <c r="AK120" i="29"/>
  <c r="AL118" i="29"/>
  <c r="AM118" i="29" s="1"/>
  <c r="AK195" i="29"/>
  <c r="AL195" i="29"/>
  <c r="AM195" i="29" s="1"/>
  <c r="AL66" i="29"/>
  <c r="AM66" i="29" s="1"/>
  <c r="AK66" i="29"/>
  <c r="AL36" i="29"/>
  <c r="AM36" i="29" s="1"/>
  <c r="AK36" i="29"/>
  <c r="AL24" i="29"/>
  <c r="AM24" i="29" s="1"/>
  <c r="AK24" i="29"/>
  <c r="AL16" i="29"/>
  <c r="AM16" i="29" s="1"/>
  <c r="AK16" i="29"/>
  <c r="AL4" i="29"/>
  <c r="AM4" i="29" s="1"/>
  <c r="AK4" i="29"/>
  <c r="AJ71" i="33"/>
  <c r="AK71" i="33"/>
  <c r="AL71" i="33" s="1"/>
  <c r="AJ50" i="33"/>
  <c r="AK50" i="33"/>
  <c r="AL50" i="33" s="1"/>
  <c r="AJ336" i="27"/>
  <c r="AK331" i="27"/>
  <c r="AL331" i="27" s="1"/>
  <c r="AJ331" i="27"/>
  <c r="AL63" i="29"/>
  <c r="AM63" i="29" s="1"/>
  <c r="AK63" i="29"/>
  <c r="AL47" i="29"/>
  <c r="AM47" i="29" s="1"/>
  <c r="AK47" i="29"/>
  <c r="AL41" i="29"/>
  <c r="AM41" i="29" s="1"/>
  <c r="AK41" i="29"/>
  <c r="AL9" i="29"/>
  <c r="AM9" i="29" s="1"/>
  <c r="AK9" i="29"/>
  <c r="AL34" i="29"/>
  <c r="AM34" i="29" s="1"/>
  <c r="AK34" i="29"/>
  <c r="AL18" i="29"/>
  <c r="AM18" i="29" s="1"/>
  <c r="AK18" i="29"/>
  <c r="AK99" i="33"/>
  <c r="AL99" i="33" s="1"/>
  <c r="AJ99" i="33"/>
  <c r="AJ73" i="33"/>
  <c r="AK73" i="33"/>
  <c r="AL73" i="33" s="1"/>
  <c r="AJ56" i="33"/>
  <c r="AK56" i="33"/>
  <c r="AL56" i="33" s="1"/>
  <c r="AJ32" i="33"/>
  <c r="AK32" i="33"/>
  <c r="AL32" i="33" s="1"/>
  <c r="AJ11" i="33"/>
  <c r="AK11" i="33"/>
  <c r="AL11" i="33" s="1"/>
  <c r="AK349" i="27"/>
  <c r="AL349" i="27" s="1"/>
  <c r="AJ349" i="27"/>
  <c r="AK315" i="27"/>
  <c r="AL315" i="27" s="1"/>
  <c r="AJ315" i="27"/>
  <c r="AK297" i="27"/>
  <c r="AL297" i="27" s="1"/>
  <c r="AJ297" i="27"/>
  <c r="AK244" i="27"/>
  <c r="AL244" i="27" s="1"/>
  <c r="AJ244" i="27"/>
  <c r="AK197" i="27"/>
  <c r="AL197" i="27" s="1"/>
  <c r="AJ197" i="27"/>
  <c r="AK290" i="27"/>
  <c r="AL290" i="27" s="1"/>
  <c r="AJ290" i="27"/>
  <c r="AK278" i="27"/>
  <c r="AL278" i="27" s="1"/>
  <c r="AJ278" i="27"/>
  <c r="AK253" i="27"/>
  <c r="AL253" i="27" s="1"/>
  <c r="AJ253" i="27"/>
  <c r="AK214" i="27"/>
  <c r="AL214" i="27" s="1"/>
  <c r="AJ214" i="27"/>
  <c r="AJ179" i="27"/>
  <c r="AK171" i="27"/>
  <c r="AL171" i="27" s="1"/>
  <c r="AJ171" i="27"/>
  <c r="AK167" i="27"/>
  <c r="AL167" i="27" s="1"/>
  <c r="AJ167" i="27"/>
  <c r="AK309" i="27"/>
  <c r="AL309" i="27" s="1"/>
  <c r="AJ309" i="27"/>
  <c r="AK246" i="27"/>
  <c r="AL246" i="27" s="1"/>
  <c r="AJ246" i="27"/>
  <c r="AJ205" i="27"/>
  <c r="AK162" i="27"/>
  <c r="AL162" i="27" s="1"/>
  <c r="AJ162" i="27"/>
  <c r="AJ151" i="27"/>
  <c r="AK146" i="27"/>
  <c r="AL146" i="27" s="1"/>
  <c r="AJ146" i="27"/>
  <c r="AK135" i="27"/>
  <c r="AL135" i="27" s="1"/>
  <c r="AJ135" i="27"/>
  <c r="AK130" i="27"/>
  <c r="AL130" i="27" s="1"/>
  <c r="AJ130" i="27"/>
  <c r="AK119" i="27"/>
  <c r="AL119" i="27" s="1"/>
  <c r="AJ119" i="27"/>
  <c r="AK114" i="27"/>
  <c r="AL114" i="27" s="1"/>
  <c r="AJ114" i="27"/>
  <c r="AJ107" i="27"/>
  <c r="AK95" i="27"/>
  <c r="AL95" i="27" s="1"/>
  <c r="AJ95" i="27"/>
  <c r="AK91" i="27"/>
  <c r="AL91" i="27" s="1"/>
  <c r="AJ91" i="27"/>
  <c r="AJ75" i="27"/>
  <c r="AK59" i="27"/>
  <c r="AL59" i="27" s="1"/>
  <c r="AJ59" i="27"/>
  <c r="AK43" i="27"/>
  <c r="AL43" i="27" s="1"/>
  <c r="AQ338" i="26"/>
  <c r="AR330" i="26"/>
  <c r="AS330" i="26" s="1"/>
  <c r="AQ330" i="26"/>
  <c r="AR326" i="26"/>
  <c r="AS326" i="26" s="1"/>
  <c r="AQ326" i="26"/>
  <c r="AQ322" i="26"/>
  <c r="AK231" i="27"/>
  <c r="AL231" i="27" s="1"/>
  <c r="AJ231" i="27"/>
  <c r="AR304" i="26"/>
  <c r="AS304" i="26" s="1"/>
  <c r="AQ304" i="26"/>
  <c r="AR268" i="26"/>
  <c r="AS268" i="26" s="1"/>
  <c r="AQ268" i="26"/>
  <c r="AR235" i="26"/>
  <c r="AS235" i="26" s="1"/>
  <c r="AQ235" i="26"/>
  <c r="AR225" i="26"/>
  <c r="AS225" i="26" s="1"/>
  <c r="AQ225" i="26"/>
  <c r="AQ193" i="26"/>
  <c r="AR187" i="26"/>
  <c r="AS187" i="26" s="1"/>
  <c r="AQ187" i="26"/>
  <c r="AR169" i="26"/>
  <c r="AS169" i="26" s="1"/>
  <c r="AQ169" i="26"/>
  <c r="AR358" i="26"/>
  <c r="AS358" i="26" s="1"/>
  <c r="AQ358" i="26"/>
  <c r="AR289" i="26"/>
  <c r="AS289" i="26" s="1"/>
  <c r="AQ289" i="26"/>
  <c r="AR244" i="26"/>
  <c r="AS244" i="26" s="1"/>
  <c r="AQ244" i="26"/>
  <c r="AR232" i="26"/>
  <c r="AS232" i="26" s="1"/>
  <c r="AQ232" i="26"/>
  <c r="AR206" i="26"/>
  <c r="AS206" i="26" s="1"/>
  <c r="AQ206" i="26"/>
  <c r="AR167" i="26"/>
  <c r="AS167" i="26" s="1"/>
  <c r="AQ167" i="26"/>
  <c r="AR139" i="26"/>
  <c r="AS139" i="26" s="1"/>
  <c r="AQ139" i="26"/>
  <c r="AR131" i="26"/>
  <c r="AS131" i="26" s="1"/>
  <c r="AQ131" i="26"/>
  <c r="AR123" i="26"/>
  <c r="AS123" i="26" s="1"/>
  <c r="AQ123" i="26"/>
  <c r="AR298" i="26"/>
  <c r="AS298" i="26" s="1"/>
  <c r="AQ298" i="26"/>
  <c r="AR278" i="26"/>
  <c r="AS278" i="26" s="1"/>
  <c r="AQ278" i="26"/>
  <c r="AR241" i="26"/>
  <c r="AS241" i="26" s="1"/>
  <c r="AQ241" i="26"/>
  <c r="AR214" i="26"/>
  <c r="AS214" i="26" s="1"/>
  <c r="AQ214" i="26"/>
  <c r="AQ201" i="26"/>
  <c r="AR356" i="26"/>
  <c r="AS356" i="26" s="1"/>
  <c r="AQ356" i="26"/>
  <c r="AR299" i="26"/>
  <c r="AS299" i="26" s="1"/>
  <c r="AQ299" i="26"/>
  <c r="AR113" i="26"/>
  <c r="AS113" i="26" s="1"/>
  <c r="AQ113" i="26"/>
  <c r="AQ77" i="26"/>
  <c r="AR67" i="26"/>
  <c r="AS67" i="26" s="1"/>
  <c r="AQ67" i="26"/>
  <c r="AQ61" i="26"/>
  <c r="AR23" i="26"/>
  <c r="AS23" i="26" s="1"/>
  <c r="AR55" i="26"/>
  <c r="AS55" i="26" s="1"/>
  <c r="AQ55" i="26"/>
  <c r="AR51" i="26"/>
  <c r="AS51" i="26" s="1"/>
  <c r="AR46" i="26"/>
  <c r="AS46" i="26" s="1"/>
  <c r="AQ46" i="26"/>
  <c r="AR35" i="26"/>
  <c r="AS35" i="26" s="1"/>
  <c r="AQ35" i="26"/>
  <c r="AR30" i="26"/>
  <c r="AS30" i="26" s="1"/>
  <c r="AQ30" i="26"/>
  <c r="AR22" i="26"/>
  <c r="AS22" i="26" s="1"/>
  <c r="AQ22" i="26"/>
  <c r="AR6" i="26"/>
  <c r="AS6" i="26" s="1"/>
  <c r="AB20" i="3"/>
  <c r="AC20" i="3" s="1"/>
  <c r="AA20" i="3"/>
  <c r="AJ229" i="14"/>
  <c r="AK229" i="14"/>
  <c r="AL229" i="14" s="1"/>
  <c r="AJ29" i="14"/>
  <c r="AK29" i="14"/>
  <c r="AL29" i="14" s="1"/>
  <c r="AL16" i="32"/>
  <c r="AM16" i="32" s="1"/>
  <c r="AK16" i="32"/>
  <c r="AK276" i="29"/>
  <c r="AL276" i="29"/>
  <c r="AM276" i="29" s="1"/>
  <c r="AK272" i="29"/>
  <c r="AL272" i="29"/>
  <c r="AM272" i="29" s="1"/>
  <c r="AK207" i="29"/>
  <c r="AL207" i="29"/>
  <c r="AM207" i="29" s="1"/>
  <c r="AL113" i="29"/>
  <c r="AM113" i="29" s="1"/>
  <c r="AK113" i="29"/>
  <c r="AK127" i="29"/>
  <c r="AL127" i="29"/>
  <c r="AM127" i="29" s="1"/>
  <c r="AK119" i="29"/>
  <c r="AL119" i="29"/>
  <c r="AM119" i="29" s="1"/>
  <c r="AK88" i="29"/>
  <c r="AL88" i="29"/>
  <c r="AM88" i="29" s="1"/>
  <c r="AK354" i="14"/>
  <c r="AL354" i="14" s="1"/>
  <c r="AJ354" i="14"/>
  <c r="AK329" i="14"/>
  <c r="AL329" i="14" s="1"/>
  <c r="AJ329" i="14"/>
  <c r="AK246" i="14"/>
  <c r="AL246" i="14" s="1"/>
  <c r="AJ246" i="14"/>
  <c r="AK187" i="14"/>
  <c r="AL187" i="14" s="1"/>
  <c r="AK113" i="14"/>
  <c r="AL113" i="14" s="1"/>
  <c r="AJ113" i="14"/>
  <c r="AK167" i="14"/>
  <c r="AL167" i="14" s="1"/>
  <c r="AK163" i="14"/>
  <c r="AL163" i="14" s="1"/>
  <c r="AJ163" i="14"/>
  <c r="AK112" i="14"/>
  <c r="AL112" i="14" s="1"/>
  <c r="AJ112" i="14"/>
  <c r="AK83" i="14"/>
  <c r="AL83" i="14" s="1"/>
  <c r="AJ83" i="14"/>
  <c r="AJ85" i="14"/>
  <c r="AK85" i="14"/>
  <c r="AL85" i="14" s="1"/>
  <c r="AJ21" i="14"/>
  <c r="AK21" i="14"/>
  <c r="AL21" i="14" s="1"/>
  <c r="AK27" i="31"/>
  <c r="AL27" i="31" s="1"/>
  <c r="AJ27" i="31"/>
  <c r="AJ5" i="14"/>
  <c r="AK5" i="14"/>
  <c r="AL5" i="14" s="1"/>
  <c r="AL20" i="32"/>
  <c r="AM20" i="32" s="1"/>
  <c r="AK20" i="32"/>
  <c r="AJ45" i="14"/>
  <c r="AK45" i="14"/>
  <c r="AL45" i="14" s="1"/>
  <c r="AK228" i="29"/>
  <c r="AL228" i="29"/>
  <c r="AM228" i="29" s="1"/>
  <c r="AL216" i="29"/>
  <c r="AM216" i="29" s="1"/>
  <c r="AK262" i="29"/>
  <c r="AL262" i="29"/>
  <c r="AM262" i="29" s="1"/>
  <c r="AK250" i="29"/>
  <c r="AL250" i="29"/>
  <c r="AM250" i="29" s="1"/>
  <c r="AL139" i="29"/>
  <c r="AM139" i="29" s="1"/>
  <c r="AK139" i="29"/>
  <c r="AK96" i="29"/>
  <c r="AL96" i="29"/>
  <c r="AM96" i="29" s="1"/>
  <c r="AK106" i="33"/>
  <c r="AL106" i="33" s="1"/>
  <c r="AJ106" i="33"/>
  <c r="AL159" i="29"/>
  <c r="AM159" i="29" s="1"/>
  <c r="AK159" i="29"/>
  <c r="AL143" i="29"/>
  <c r="AM143" i="29" s="1"/>
  <c r="AK143" i="29"/>
  <c r="AL46" i="29"/>
  <c r="AM46" i="29" s="1"/>
  <c r="AK46" i="29"/>
  <c r="AL44" i="29"/>
  <c r="AM44" i="29" s="1"/>
  <c r="AK44" i="29"/>
  <c r="AL40" i="29"/>
  <c r="AM40" i="29" s="1"/>
  <c r="AK40" i="29"/>
  <c r="AL28" i="29"/>
  <c r="AM28" i="29" s="1"/>
  <c r="AK28" i="29"/>
  <c r="AL75" i="29"/>
  <c r="AM75" i="29" s="1"/>
  <c r="AK75" i="29"/>
  <c r="AL59" i="29"/>
  <c r="AM59" i="29" s="1"/>
  <c r="AK59" i="29"/>
  <c r="AL37" i="29"/>
  <c r="AM37" i="29" s="1"/>
  <c r="AK37" i="29"/>
  <c r="AL33" i="29"/>
  <c r="AM33" i="29" s="1"/>
  <c r="AK33" i="29"/>
  <c r="AL29" i="29"/>
  <c r="AM29" i="29" s="1"/>
  <c r="AK29" i="29"/>
  <c r="AL5" i="29"/>
  <c r="AM5" i="29" s="1"/>
  <c r="AK5" i="29"/>
  <c r="AL110" i="29"/>
  <c r="AM110" i="29" s="1"/>
  <c r="AL6" i="29"/>
  <c r="AM6" i="29" s="1"/>
  <c r="AK6" i="29"/>
  <c r="AJ68" i="33"/>
  <c r="AK68" i="33"/>
  <c r="AL68" i="33" s="1"/>
  <c r="AJ52" i="33"/>
  <c r="AK52" i="33"/>
  <c r="AL52" i="33" s="1"/>
  <c r="AL35" i="29"/>
  <c r="AM35" i="29" s="1"/>
  <c r="AK35" i="29"/>
  <c r="AL19" i="29"/>
  <c r="AM19" i="29" s="1"/>
  <c r="AK19" i="29"/>
  <c r="AL15" i="29"/>
  <c r="AM15" i="29" s="1"/>
  <c r="AK15" i="29"/>
  <c r="AK3" i="29"/>
  <c r="AK357" i="27"/>
  <c r="AL357" i="27" s="1"/>
  <c r="AJ357" i="27"/>
  <c r="AK320" i="27"/>
  <c r="AL320" i="27" s="1"/>
  <c r="AK273" i="27"/>
  <c r="AL273" i="27" s="1"/>
  <c r="AJ273" i="27"/>
  <c r="AK252" i="27"/>
  <c r="AL252" i="27" s="1"/>
  <c r="AJ252" i="27"/>
  <c r="AK206" i="27"/>
  <c r="AL206" i="27" s="1"/>
  <c r="AJ206" i="27"/>
  <c r="AK195" i="27"/>
  <c r="AL195" i="27" s="1"/>
  <c r="AJ195" i="27"/>
  <c r="AK185" i="27"/>
  <c r="AL185" i="27" s="1"/>
  <c r="AK229" i="27"/>
  <c r="AL229" i="27" s="1"/>
  <c r="AJ229" i="27"/>
  <c r="AK271" i="27"/>
  <c r="AL271" i="27" s="1"/>
  <c r="AJ271" i="27"/>
  <c r="AK218" i="27"/>
  <c r="AL218" i="27" s="1"/>
  <c r="AJ218" i="27"/>
  <c r="AK155" i="27"/>
  <c r="AL155" i="27" s="1"/>
  <c r="AJ155" i="27"/>
  <c r="AK150" i="27"/>
  <c r="AL150" i="27" s="1"/>
  <c r="AK123" i="27"/>
  <c r="AL123" i="27" s="1"/>
  <c r="AJ123" i="27"/>
  <c r="AK118" i="27"/>
  <c r="AL118" i="27" s="1"/>
  <c r="AJ118" i="27"/>
  <c r="AK103" i="27"/>
  <c r="AL103" i="27" s="1"/>
  <c r="AJ103" i="27"/>
  <c r="AK55" i="27"/>
  <c r="AL55" i="27" s="1"/>
  <c r="AJ39" i="27"/>
  <c r="AK19" i="27"/>
  <c r="AL19" i="27" s="1"/>
  <c r="AJ19" i="27"/>
  <c r="AK3" i="27"/>
  <c r="AL3" i="27" s="1"/>
  <c r="AR312" i="26"/>
  <c r="AS312" i="26" s="1"/>
  <c r="AQ312" i="26"/>
  <c r="AR280" i="26"/>
  <c r="AS280" i="26" s="1"/>
  <c r="AQ280" i="26"/>
  <c r="AR243" i="26"/>
  <c r="AS243" i="26" s="1"/>
  <c r="AQ243" i="26"/>
  <c r="AR205" i="26"/>
  <c r="AS205" i="26" s="1"/>
  <c r="AQ205" i="26"/>
  <c r="AR203" i="26"/>
  <c r="AS203" i="26" s="1"/>
  <c r="AQ203" i="26"/>
  <c r="AR199" i="26"/>
  <c r="AS199" i="26" s="1"/>
  <c r="AQ199" i="26"/>
  <c r="AR297" i="26"/>
  <c r="AS297" i="26" s="1"/>
  <c r="AQ297" i="26"/>
  <c r="AR210" i="26"/>
  <c r="AS210" i="26" s="1"/>
  <c r="AQ210" i="26"/>
  <c r="AR197" i="26"/>
  <c r="AS197" i="26" s="1"/>
  <c r="AQ197" i="26"/>
  <c r="AQ138" i="26"/>
  <c r="AR138" i="26"/>
  <c r="AS138" i="26" s="1"/>
  <c r="AQ130" i="26"/>
  <c r="AR130" i="26"/>
  <c r="AS130" i="26" s="1"/>
  <c r="AQ122" i="26"/>
  <c r="AR122" i="26"/>
  <c r="AS122" i="26" s="1"/>
  <c r="AR171" i="26"/>
  <c r="AS171" i="26" s="1"/>
  <c r="AR155" i="26"/>
  <c r="AS155" i="26" s="1"/>
  <c r="AQ155" i="26"/>
  <c r="AR87" i="26"/>
  <c r="AS87" i="26" s="1"/>
  <c r="AQ87" i="26"/>
  <c r="AR97" i="26"/>
  <c r="AS97" i="26" s="1"/>
  <c r="AQ97" i="26"/>
  <c r="AR81" i="26"/>
  <c r="AS81" i="26" s="1"/>
  <c r="AQ81" i="26"/>
  <c r="AR85" i="26"/>
  <c r="AS85" i="26" s="1"/>
  <c r="AQ85" i="26"/>
  <c r="AR79" i="26"/>
  <c r="AS79" i="26" s="1"/>
  <c r="AR54" i="26"/>
  <c r="AS54" i="26" s="1"/>
  <c r="AQ54" i="26"/>
  <c r="AR50" i="26"/>
  <c r="AS50" i="26" s="1"/>
  <c r="AQ50" i="26"/>
  <c r="AR39" i="26"/>
  <c r="AS39" i="26" s="1"/>
  <c r="AQ39" i="26"/>
  <c r="AR34" i="26"/>
  <c r="AS34" i="26" s="1"/>
  <c r="AQ34" i="26"/>
  <c r="AK173" i="14"/>
  <c r="AL173" i="14" s="1"/>
  <c r="AJ173" i="14"/>
  <c r="AK19" i="32"/>
  <c r="AL19" i="32"/>
  <c r="AM19" i="32" s="1"/>
  <c r="AK334" i="14"/>
  <c r="AL334" i="14" s="1"/>
  <c r="AJ334" i="14"/>
  <c r="AK288" i="14"/>
  <c r="AL288" i="14" s="1"/>
  <c r="AJ288" i="14"/>
  <c r="AK286" i="14"/>
  <c r="AL286" i="14" s="1"/>
  <c r="AJ286" i="14"/>
  <c r="AK284" i="14"/>
  <c r="AL284" i="14" s="1"/>
  <c r="AJ284" i="14"/>
  <c r="AK268" i="14"/>
  <c r="AL268" i="14" s="1"/>
  <c r="AK211" i="14"/>
  <c r="AL211" i="14" s="1"/>
  <c r="AJ211" i="14"/>
  <c r="AK195" i="14"/>
  <c r="AL195" i="14" s="1"/>
  <c r="AJ195" i="14"/>
  <c r="AJ179" i="14"/>
  <c r="AK177" i="14"/>
  <c r="AL177" i="14" s="1"/>
  <c r="AJ177" i="14"/>
  <c r="AK161" i="14"/>
  <c r="AL161" i="14" s="1"/>
  <c r="AJ161" i="14"/>
  <c r="AJ108" i="14"/>
  <c r="AK120" i="14"/>
  <c r="AL120" i="14" s="1"/>
  <c r="AJ120" i="14"/>
  <c r="AJ65" i="14"/>
  <c r="AJ19" i="14"/>
  <c r="AL18" i="32"/>
  <c r="AM18" i="32" s="1"/>
  <c r="AK18" i="32"/>
  <c r="AK40" i="14"/>
  <c r="AL40" i="14" s="1"/>
  <c r="AJ40" i="14"/>
  <c r="AK35" i="14"/>
  <c r="AL35" i="14" s="1"/>
  <c r="AJ35" i="14"/>
  <c r="AK11" i="32"/>
  <c r="AL11" i="32"/>
  <c r="AM11" i="32" s="1"/>
  <c r="AJ9" i="14"/>
  <c r="AK9" i="14"/>
  <c r="AL9" i="14" s="1"/>
  <c r="AL298" i="29"/>
  <c r="AM298" i="29" s="1"/>
  <c r="AK298" i="29"/>
  <c r="AL6" i="32"/>
  <c r="AM6" i="32" s="1"/>
  <c r="AK6" i="32"/>
  <c r="AK256" i="29"/>
  <c r="AL256" i="29"/>
  <c r="AM256" i="29" s="1"/>
  <c r="AK244" i="29"/>
  <c r="AL244" i="29"/>
  <c r="AM244" i="29" s="1"/>
  <c r="AK223" i="29"/>
  <c r="AL223" i="29"/>
  <c r="AM223" i="29" s="1"/>
  <c r="AK202" i="29"/>
  <c r="AL202" i="29"/>
  <c r="AM202" i="29" s="1"/>
  <c r="AL149" i="29"/>
  <c r="AM149" i="29" s="1"/>
  <c r="AK149" i="29"/>
  <c r="AL171" i="29"/>
  <c r="AM171" i="29" s="1"/>
  <c r="AK171" i="29"/>
  <c r="AK158" i="29"/>
  <c r="AL158" i="29"/>
  <c r="AM158" i="29" s="1"/>
  <c r="AK156" i="29"/>
  <c r="AL156" i="29"/>
  <c r="AM156" i="29" s="1"/>
  <c r="AL105" i="29"/>
  <c r="AM105" i="29" s="1"/>
  <c r="AK105" i="29"/>
  <c r="AL89" i="29"/>
  <c r="AM89" i="29" s="1"/>
  <c r="AK89" i="29"/>
  <c r="AL174" i="29"/>
  <c r="AM174" i="29" s="1"/>
  <c r="AL145" i="29"/>
  <c r="AM145" i="29" s="1"/>
  <c r="AK145" i="29"/>
  <c r="AL129" i="29"/>
  <c r="AM129" i="29" s="1"/>
  <c r="AK129" i="29"/>
  <c r="AK111" i="29"/>
  <c r="AL111" i="29"/>
  <c r="AM111" i="29" s="1"/>
  <c r="AK108" i="29"/>
  <c r="AL108" i="29"/>
  <c r="AM108" i="29" s="1"/>
  <c r="AL101" i="29"/>
  <c r="AM101" i="29" s="1"/>
  <c r="AK101" i="29"/>
  <c r="AK187" i="29"/>
  <c r="AL187" i="29"/>
  <c r="AM187" i="29" s="1"/>
  <c r="AK176" i="29"/>
  <c r="AL176" i="29"/>
  <c r="AM176" i="29" s="1"/>
  <c r="AL62" i="29"/>
  <c r="AM62" i="29" s="1"/>
  <c r="AK62" i="29"/>
  <c r="AK32" i="29"/>
  <c r="AL20" i="29"/>
  <c r="AM20" i="29" s="1"/>
  <c r="AK20" i="29"/>
  <c r="AL8" i="29"/>
  <c r="AM8" i="29" s="1"/>
  <c r="AK8" i="29"/>
  <c r="AJ42" i="33"/>
  <c r="AK42" i="33"/>
  <c r="AL42" i="33" s="1"/>
  <c r="AJ34" i="33"/>
  <c r="AK34" i="33"/>
  <c r="AL34" i="33" s="1"/>
  <c r="AJ26" i="33"/>
  <c r="AK26" i="33"/>
  <c r="AL26" i="33" s="1"/>
  <c r="AL90" i="29"/>
  <c r="AM90" i="29" s="1"/>
  <c r="AK90" i="29"/>
  <c r="AL71" i="29"/>
  <c r="AM71" i="29" s="1"/>
  <c r="AK71" i="29"/>
  <c r="AL55" i="29"/>
  <c r="AM55" i="29" s="1"/>
  <c r="AK55" i="29"/>
  <c r="AL25" i="29"/>
  <c r="AM25" i="29" s="1"/>
  <c r="AK25" i="29"/>
  <c r="AL48" i="29"/>
  <c r="AM48" i="29" s="1"/>
  <c r="AK48" i="29"/>
  <c r="AL22" i="29"/>
  <c r="AM22" i="29" s="1"/>
  <c r="AK22" i="29"/>
  <c r="AJ40" i="33"/>
  <c r="AK40" i="33"/>
  <c r="AL40" i="33" s="1"/>
  <c r="AJ24" i="33"/>
  <c r="AK24" i="33"/>
  <c r="AL24" i="33" s="1"/>
  <c r="AJ6" i="33"/>
  <c r="AK6" i="33"/>
  <c r="AL6" i="33" s="1"/>
  <c r="AK311" i="27"/>
  <c r="AL311" i="27" s="1"/>
  <c r="AJ311" i="27"/>
  <c r="AK299" i="27"/>
  <c r="AL299" i="27" s="1"/>
  <c r="AJ299" i="27"/>
  <c r="AK281" i="27"/>
  <c r="AL281" i="27" s="1"/>
  <c r="AJ281" i="27"/>
  <c r="AK228" i="27"/>
  <c r="AL228" i="27" s="1"/>
  <c r="AJ228" i="27"/>
  <c r="AK210" i="27"/>
  <c r="AL210" i="27" s="1"/>
  <c r="AJ210" i="27"/>
  <c r="AJ175" i="27"/>
  <c r="AK294" i="27"/>
  <c r="AL294" i="27" s="1"/>
  <c r="AJ294" i="27"/>
  <c r="AK237" i="27"/>
  <c r="AL237" i="27" s="1"/>
  <c r="AJ237" i="27"/>
  <c r="AK313" i="27"/>
  <c r="AL313" i="27" s="1"/>
  <c r="AJ313" i="27"/>
  <c r="AK287" i="27"/>
  <c r="AL287" i="27" s="1"/>
  <c r="AJ287" i="27"/>
  <c r="AK242" i="27"/>
  <c r="AL242" i="27" s="1"/>
  <c r="AJ242" i="27"/>
  <c r="AK230" i="27"/>
  <c r="AL230" i="27" s="1"/>
  <c r="AJ230" i="27"/>
  <c r="AK122" i="27"/>
  <c r="AL122" i="27" s="1"/>
  <c r="AJ122" i="27"/>
  <c r="AK21" i="27"/>
  <c r="AL21" i="27" s="1"/>
  <c r="AJ21" i="27"/>
  <c r="AR324" i="26"/>
  <c r="AS324" i="26" s="1"/>
  <c r="AQ324" i="26"/>
  <c r="AR288" i="26"/>
  <c r="AS288" i="26" s="1"/>
  <c r="AQ288" i="26"/>
  <c r="AR251" i="26"/>
  <c r="AS251" i="26" s="1"/>
  <c r="AQ251" i="26"/>
  <c r="AR218" i="26"/>
  <c r="AS218" i="26" s="1"/>
  <c r="AQ218" i="26"/>
  <c r="AR212" i="26"/>
  <c r="AS212" i="26" s="1"/>
  <c r="AR163" i="26"/>
  <c r="AS163" i="26" s="1"/>
  <c r="AQ163" i="26"/>
  <c r="AR159" i="26"/>
  <c r="AS159" i="26" s="1"/>
  <c r="AQ159" i="26"/>
  <c r="AK25" i="27"/>
  <c r="AL25" i="27" s="1"/>
  <c r="AJ25" i="27"/>
  <c r="AR354" i="26"/>
  <c r="AS354" i="26" s="1"/>
  <c r="AQ354" i="26"/>
  <c r="AR305" i="26"/>
  <c r="AS305" i="26" s="1"/>
  <c r="AQ305" i="26"/>
  <c r="AR248" i="26"/>
  <c r="AS248" i="26" s="1"/>
  <c r="AQ248" i="26"/>
  <c r="AR228" i="26"/>
  <c r="AS228" i="26" s="1"/>
  <c r="AQ228" i="26"/>
  <c r="AR195" i="26"/>
  <c r="AS195" i="26" s="1"/>
  <c r="AR147" i="26"/>
  <c r="AS147" i="26" s="1"/>
  <c r="AQ147" i="26"/>
  <c r="AQ142" i="26"/>
  <c r="AR142" i="26"/>
  <c r="AS142" i="26" s="1"/>
  <c r="AR135" i="26"/>
  <c r="AS135" i="26" s="1"/>
  <c r="AQ135" i="26"/>
  <c r="AR127" i="26"/>
  <c r="AS127" i="26" s="1"/>
  <c r="AQ127" i="26"/>
  <c r="AR119" i="26"/>
  <c r="AS119" i="26" s="1"/>
  <c r="AQ119" i="26"/>
  <c r="AR294" i="26"/>
  <c r="AS294" i="26" s="1"/>
  <c r="AQ294" i="26"/>
  <c r="AR282" i="26"/>
  <c r="AS282" i="26" s="1"/>
  <c r="AQ282" i="26"/>
  <c r="AR270" i="26"/>
  <c r="AS270" i="26" s="1"/>
  <c r="AQ270" i="26"/>
  <c r="AR223" i="26"/>
  <c r="AS223" i="26" s="1"/>
  <c r="AQ223" i="26"/>
  <c r="AR220" i="26"/>
  <c r="AS220" i="26" s="1"/>
  <c r="AR26" i="26"/>
  <c r="AS26" i="26" s="1"/>
  <c r="AQ26" i="26"/>
  <c r="AR75" i="26"/>
  <c r="AS75" i="26" s="1"/>
  <c r="AQ75" i="26"/>
  <c r="AQ95" i="26"/>
  <c r="AR58" i="26"/>
  <c r="AS58" i="26" s="1"/>
  <c r="AQ58" i="26"/>
  <c r="AR43" i="26"/>
  <c r="AS43" i="26" s="1"/>
  <c r="AQ43" i="26"/>
  <c r="AR38" i="26"/>
  <c r="AS38" i="26" s="1"/>
  <c r="AQ38" i="26"/>
  <c r="AJ49" i="14"/>
  <c r="AK49" i="14"/>
  <c r="AL49" i="14" s="1"/>
  <c r="AJ353" i="14"/>
  <c r="AK353" i="14"/>
  <c r="AL353" i="14" s="1"/>
  <c r="AK321" i="14"/>
  <c r="AL321" i="14" s="1"/>
  <c r="AK317" i="14"/>
  <c r="AL317" i="14" s="1"/>
  <c r="AK281" i="14"/>
  <c r="AL281" i="14" s="1"/>
  <c r="AJ281" i="14"/>
  <c r="AK272" i="14"/>
  <c r="AL272" i="14" s="1"/>
  <c r="AJ272" i="14"/>
  <c r="AJ223" i="14"/>
  <c r="AK223" i="14"/>
  <c r="AL223" i="14" s="1"/>
  <c r="AK189" i="14"/>
  <c r="AL189" i="14" s="1"/>
  <c r="AJ189" i="14"/>
  <c r="AJ216" i="14"/>
  <c r="AK216" i="14"/>
  <c r="AL216" i="14" s="1"/>
  <c r="AJ171" i="14"/>
  <c r="AK153" i="14"/>
  <c r="AL153" i="14" s="1"/>
  <c r="AJ153" i="14"/>
  <c r="AK137" i="14"/>
  <c r="AL137" i="14" s="1"/>
  <c r="AJ137" i="14"/>
  <c r="AJ105" i="14"/>
  <c r="AK75" i="14"/>
  <c r="AL75" i="14" s="1"/>
  <c r="AJ75" i="14"/>
  <c r="AK63" i="14"/>
  <c r="AL63" i="14" s="1"/>
  <c r="AJ63" i="14"/>
  <c r="AK59" i="14"/>
  <c r="AL59" i="14" s="1"/>
  <c r="AJ59" i="14"/>
  <c r="AK31" i="14"/>
  <c r="AL31" i="14" s="1"/>
  <c r="AJ31" i="14"/>
  <c r="AK43" i="14"/>
  <c r="AL43" i="14" s="1"/>
  <c r="AJ43" i="14"/>
  <c r="AK28" i="14"/>
  <c r="AL28" i="14" s="1"/>
  <c r="AJ28" i="14"/>
  <c r="AL10" i="32"/>
  <c r="AM10" i="32" s="1"/>
  <c r="AK309" i="29"/>
  <c r="AL309" i="29"/>
  <c r="AM309" i="29" s="1"/>
  <c r="AK282" i="29"/>
  <c r="AL282" i="29"/>
  <c r="AM282" i="29" s="1"/>
  <c r="AK271" i="29"/>
  <c r="AL271" i="29"/>
  <c r="AM271" i="29" s="1"/>
  <c r="AK252" i="29"/>
  <c r="AL252" i="29"/>
  <c r="AM252" i="29" s="1"/>
  <c r="AL234" i="29"/>
  <c r="AM234" i="29" s="1"/>
  <c r="AK234" i="29"/>
  <c r="AK214" i="29"/>
  <c r="AL214" i="29"/>
  <c r="AM214" i="29" s="1"/>
  <c r="AK215" i="29"/>
  <c r="AL215" i="29"/>
  <c r="AM215" i="29" s="1"/>
  <c r="AK203" i="29"/>
  <c r="AL203" i="29"/>
  <c r="AM203" i="29" s="1"/>
  <c r="AK198" i="29"/>
  <c r="AL198" i="29"/>
  <c r="AM198" i="29" s="1"/>
  <c r="AL137" i="29"/>
  <c r="AM137" i="29" s="1"/>
  <c r="AK137" i="29"/>
  <c r="AL114" i="29"/>
  <c r="AM114" i="29" s="1"/>
  <c r="AK114" i="29"/>
  <c r="AL109" i="29"/>
  <c r="AM109" i="29" s="1"/>
  <c r="AK109" i="29"/>
  <c r="AK170" i="29"/>
  <c r="AL170" i="29"/>
  <c r="AM170" i="29" s="1"/>
  <c r="AK154" i="29"/>
  <c r="AK80" i="29"/>
  <c r="AL80" i="29"/>
  <c r="AM80" i="29" s="1"/>
  <c r="AL77" i="29"/>
  <c r="AM77" i="29" s="1"/>
  <c r="AK77" i="29"/>
  <c r="AL147" i="29"/>
  <c r="AM147" i="29" s="1"/>
  <c r="AK147" i="29"/>
  <c r="AL141" i="29"/>
  <c r="AM141" i="29" s="1"/>
  <c r="AL125" i="29"/>
  <c r="AM125" i="29" s="1"/>
  <c r="AK125" i="29"/>
  <c r="AL121" i="29"/>
  <c r="AM121" i="29" s="1"/>
  <c r="AL86" i="29"/>
  <c r="AM86" i="29" s="1"/>
  <c r="AK86" i="29"/>
  <c r="AL50" i="29"/>
  <c r="AM50" i="29" s="1"/>
  <c r="AK50" i="29"/>
  <c r="AL12" i="29"/>
  <c r="AM12" i="29" s="1"/>
  <c r="AK12" i="29"/>
  <c r="AJ66" i="33"/>
  <c r="AK66" i="33"/>
  <c r="AL66" i="33" s="1"/>
  <c r="AJ58" i="33"/>
  <c r="AK58" i="33"/>
  <c r="AL58" i="33" s="1"/>
  <c r="AJ17" i="33"/>
  <c r="AK17" i="33"/>
  <c r="AL17" i="33" s="1"/>
  <c r="AJ9" i="33"/>
  <c r="AK9" i="33"/>
  <c r="AL9" i="33" s="1"/>
  <c r="AJ332" i="27"/>
  <c r="AL21" i="29"/>
  <c r="AM21" i="29" s="1"/>
  <c r="AK21" i="29"/>
  <c r="AL17" i="29"/>
  <c r="AM17" i="29" s="1"/>
  <c r="AK17" i="29"/>
  <c r="AL13" i="29"/>
  <c r="AM13" i="29" s="1"/>
  <c r="AK13" i="29"/>
  <c r="AJ60" i="33"/>
  <c r="AK60" i="33"/>
  <c r="AL60" i="33" s="1"/>
  <c r="AJ36" i="33"/>
  <c r="AK36" i="33"/>
  <c r="AL36" i="33" s="1"/>
  <c r="AJ15" i="33"/>
  <c r="AK15" i="33"/>
  <c r="AL15" i="33" s="1"/>
  <c r="AK341" i="27"/>
  <c r="AL341" i="27" s="1"/>
  <c r="AJ341" i="27"/>
  <c r="AK289" i="27"/>
  <c r="AL289" i="27" s="1"/>
  <c r="AJ289" i="27"/>
  <c r="AK236" i="27"/>
  <c r="AL236" i="27" s="1"/>
  <c r="AJ236" i="27"/>
  <c r="AK183" i="27"/>
  <c r="AL183" i="27" s="1"/>
  <c r="AK270" i="27"/>
  <c r="AL270" i="27" s="1"/>
  <c r="AJ270" i="27"/>
  <c r="AK245" i="27"/>
  <c r="AL245" i="27" s="1"/>
  <c r="AJ245" i="27"/>
  <c r="AK227" i="27"/>
  <c r="AL227" i="27" s="1"/>
  <c r="AJ227" i="27"/>
  <c r="AK187" i="27"/>
  <c r="AL187" i="27" s="1"/>
  <c r="AJ187" i="27"/>
  <c r="AJ158" i="27"/>
  <c r="AK142" i="27"/>
  <c r="AL142" i="27" s="1"/>
  <c r="AJ142" i="27"/>
  <c r="AK126" i="27"/>
  <c r="AL126" i="27" s="1"/>
  <c r="AJ126" i="27"/>
  <c r="AK79" i="27"/>
  <c r="AL79" i="27" s="1"/>
  <c r="AK63" i="27"/>
  <c r="AL63" i="27" s="1"/>
  <c r="AJ63" i="27"/>
  <c r="AK47" i="27"/>
  <c r="AL47" i="27" s="1"/>
  <c r="AK13" i="27"/>
  <c r="AL13" i="27" s="1"/>
  <c r="AR296" i="26"/>
  <c r="AS296" i="26" s="1"/>
  <c r="AQ296" i="26"/>
  <c r="AR259" i="26"/>
  <c r="AS259" i="26" s="1"/>
  <c r="AQ259" i="26"/>
  <c r="AR179" i="26"/>
  <c r="AS179" i="26" s="1"/>
  <c r="AQ179" i="26"/>
  <c r="AR143" i="26"/>
  <c r="AS143" i="26" s="1"/>
  <c r="AQ143" i="26"/>
  <c r="AR350" i="26"/>
  <c r="AS350" i="26" s="1"/>
  <c r="AQ350" i="26"/>
  <c r="AR273" i="26"/>
  <c r="AS273" i="26" s="1"/>
  <c r="AQ273" i="26"/>
  <c r="AQ257" i="26"/>
  <c r="AR227" i="26"/>
  <c r="AS227" i="26" s="1"/>
  <c r="AQ227" i="26"/>
  <c r="AQ157" i="26"/>
  <c r="AQ146" i="26"/>
  <c r="AR146" i="26"/>
  <c r="AS146" i="26" s="1"/>
  <c r="AQ134" i="26"/>
  <c r="AR134" i="26"/>
  <c r="AS134" i="26" s="1"/>
  <c r="AQ126" i="26"/>
  <c r="AR126" i="26"/>
  <c r="AS126" i="26" s="1"/>
  <c r="AR115" i="26"/>
  <c r="AS115" i="26" s="1"/>
  <c r="AQ115" i="26"/>
  <c r="AJ17" i="27"/>
  <c r="AR336" i="26"/>
  <c r="AS336" i="26" s="1"/>
  <c r="AQ336" i="26"/>
  <c r="AR274" i="26"/>
  <c r="AS274" i="26" s="1"/>
  <c r="AQ274" i="26"/>
  <c r="AR261" i="26"/>
  <c r="AS261" i="26" s="1"/>
  <c r="AQ261" i="26"/>
  <c r="AR340" i="26"/>
  <c r="AS340" i="26" s="1"/>
  <c r="AQ340" i="26"/>
  <c r="AR109" i="26"/>
  <c r="AS109" i="26" s="1"/>
  <c r="AQ109" i="26"/>
  <c r="AR105" i="26"/>
  <c r="AS105" i="26" s="1"/>
  <c r="AQ105" i="26"/>
  <c r="AR103" i="26"/>
  <c r="AS103" i="26" s="1"/>
  <c r="AQ103" i="26"/>
  <c r="AR83" i="26"/>
  <c r="AS83" i="26" s="1"/>
  <c r="AQ83" i="26"/>
  <c r="AR71" i="26"/>
  <c r="AS71" i="26" s="1"/>
  <c r="AQ71" i="26"/>
  <c r="AR91" i="26"/>
  <c r="AS91" i="26" s="1"/>
  <c r="AQ91" i="26"/>
  <c r="AR65" i="26"/>
  <c r="AS65" i="26" s="1"/>
  <c r="AQ65" i="26"/>
  <c r="AR101" i="26"/>
  <c r="AS101" i="26" s="1"/>
  <c r="AQ101" i="26"/>
  <c r="AQ63" i="26"/>
  <c r="AR47" i="26"/>
  <c r="AS47" i="26" s="1"/>
  <c r="AQ47" i="26"/>
  <c r="AR42" i="26"/>
  <c r="AS42" i="26" s="1"/>
  <c r="AQ42" i="26"/>
  <c r="AR31" i="26"/>
  <c r="AS31" i="26" s="1"/>
  <c r="AQ31" i="26"/>
  <c r="AK355" i="14"/>
  <c r="AL355" i="14" s="1"/>
  <c r="AJ355" i="14"/>
  <c r="AK323" i="14"/>
  <c r="AL323" i="14" s="1"/>
  <c r="AJ323" i="14"/>
  <c r="AK276" i="14"/>
  <c r="AL276" i="14" s="1"/>
  <c r="AJ276" i="14"/>
  <c r="AK273" i="14"/>
  <c r="AL273" i="14" s="1"/>
  <c r="AJ273" i="14"/>
  <c r="AK292" i="14"/>
  <c r="AL292" i="14" s="1"/>
  <c r="AJ292" i="14"/>
  <c r="AK203" i="14"/>
  <c r="AL203" i="14" s="1"/>
  <c r="AJ203" i="14"/>
  <c r="AK193" i="14"/>
  <c r="AL193" i="14" s="1"/>
  <c r="AJ193" i="14"/>
  <c r="AK169" i="14"/>
  <c r="AL169" i="14" s="1"/>
  <c r="AJ169" i="14"/>
  <c r="AK159" i="14"/>
  <c r="AL159" i="14" s="1"/>
  <c r="AJ159" i="14"/>
  <c r="AJ115" i="14"/>
  <c r="AK115" i="14"/>
  <c r="AL115" i="14" s="1"/>
  <c r="AK128" i="14"/>
  <c r="AL128" i="14" s="1"/>
  <c r="AJ128" i="14"/>
  <c r="AJ107" i="14"/>
  <c r="AK107" i="14"/>
  <c r="AL107" i="14" s="1"/>
  <c r="AK149" i="14"/>
  <c r="AL149" i="14" s="1"/>
  <c r="AJ149" i="14"/>
  <c r="AJ103" i="14"/>
  <c r="AK103" i="14"/>
  <c r="AL103" i="14" s="1"/>
  <c r="AK67" i="14"/>
  <c r="AL67" i="14" s="1"/>
  <c r="AJ67" i="14"/>
  <c r="AK57" i="14"/>
  <c r="AL57" i="14" s="1"/>
  <c r="AJ57" i="14"/>
  <c r="AK51" i="14"/>
  <c r="AL51" i="14" s="1"/>
  <c r="AJ51" i="14"/>
  <c r="AK12" i="31"/>
  <c r="AL12" i="31" s="1"/>
  <c r="AJ12" i="31"/>
  <c r="AK346" i="14"/>
  <c r="AL346" i="14" s="1"/>
  <c r="AJ346" i="14"/>
  <c r="AJ331" i="14"/>
  <c r="AK331" i="14"/>
  <c r="AL331" i="14" s="1"/>
  <c r="AK302" i="14"/>
  <c r="AL302" i="14" s="1"/>
  <c r="AJ302" i="14"/>
  <c r="AK280" i="14"/>
  <c r="AL280" i="14" s="1"/>
  <c r="AJ280" i="14"/>
  <c r="AK282" i="14"/>
  <c r="AL282" i="14" s="1"/>
  <c r="AJ282" i="14"/>
  <c r="AK290" i="14"/>
  <c r="AL290" i="14" s="1"/>
  <c r="AJ290" i="14"/>
  <c r="AK236" i="14"/>
  <c r="AL236" i="14" s="1"/>
  <c r="AJ236" i="14"/>
  <c r="AI225" i="14"/>
  <c r="AJ205" i="14"/>
  <c r="AK205" i="14"/>
  <c r="AL205" i="14" s="1"/>
  <c r="AK190" i="14"/>
  <c r="AL190" i="14" s="1"/>
  <c r="AJ190" i="14"/>
  <c r="AK181" i="14"/>
  <c r="AL181" i="14" s="1"/>
  <c r="AJ181" i="14"/>
  <c r="AJ164" i="14"/>
  <c r="AK164" i="14"/>
  <c r="AL164" i="14" s="1"/>
  <c r="AK138" i="14"/>
  <c r="AL138" i="14" s="1"/>
  <c r="AJ138" i="14"/>
  <c r="AK122" i="14"/>
  <c r="AL122" i="14" s="1"/>
  <c r="AJ119" i="14"/>
  <c r="AK119" i="14"/>
  <c r="AL119" i="14" s="1"/>
  <c r="AK148" i="14"/>
  <c r="AL148" i="14" s="1"/>
  <c r="AJ148" i="14"/>
  <c r="AI102" i="14"/>
  <c r="AK11" i="14"/>
  <c r="AL11" i="14" s="1"/>
  <c r="AJ11" i="14"/>
  <c r="AJ16" i="14"/>
  <c r="AK16" i="14"/>
  <c r="AL16" i="14" s="1"/>
  <c r="AJ24" i="14"/>
  <c r="AK24" i="14"/>
  <c r="AL24" i="14" s="1"/>
  <c r="AK308" i="29"/>
  <c r="AL308" i="29"/>
  <c r="AM308" i="29" s="1"/>
  <c r="AL292" i="29"/>
  <c r="AM292" i="29" s="1"/>
  <c r="AK292" i="29"/>
  <c r="AK269" i="29"/>
  <c r="AL269" i="29"/>
  <c r="AM269" i="29" s="1"/>
  <c r="AK277" i="29"/>
  <c r="AL277" i="29"/>
  <c r="AM277" i="29" s="1"/>
  <c r="AK280" i="29"/>
  <c r="AL280" i="29"/>
  <c r="AM280" i="29" s="1"/>
  <c r="AK225" i="29"/>
  <c r="AL225" i="29"/>
  <c r="AM225" i="29" s="1"/>
  <c r="AK213" i="29"/>
  <c r="AL213" i="29"/>
  <c r="AM213" i="29" s="1"/>
  <c r="AK254" i="29"/>
  <c r="AL254" i="29"/>
  <c r="AM254" i="29" s="1"/>
  <c r="AL177" i="29"/>
  <c r="AM177" i="29" s="1"/>
  <c r="AK177" i="29"/>
  <c r="AL165" i="29"/>
  <c r="AM165" i="29" s="1"/>
  <c r="AK165" i="29"/>
  <c r="AK210" i="29"/>
  <c r="AL210" i="29"/>
  <c r="AM210" i="29" s="1"/>
  <c r="AK184" i="29"/>
  <c r="AL184" i="29"/>
  <c r="AM184" i="29" s="1"/>
  <c r="AL103" i="29"/>
  <c r="AM103" i="29" s="1"/>
  <c r="AK103" i="29"/>
  <c r="AK180" i="29"/>
  <c r="AL180" i="29"/>
  <c r="AM180" i="29" s="1"/>
  <c r="AK164" i="29"/>
  <c r="AL164" i="29"/>
  <c r="AM164" i="29" s="1"/>
  <c r="AK146" i="29"/>
  <c r="AL146" i="29"/>
  <c r="AM146" i="29" s="1"/>
  <c r="AK100" i="29"/>
  <c r="AL100" i="29"/>
  <c r="AM100" i="29" s="1"/>
  <c r="AK144" i="29"/>
  <c r="AL144" i="29"/>
  <c r="AM144" i="29" s="1"/>
  <c r="AK351" i="14"/>
  <c r="AL351" i="14" s="1"/>
  <c r="AJ351" i="14"/>
  <c r="AK330" i="14"/>
  <c r="AL330" i="14" s="1"/>
  <c r="AJ330" i="14"/>
  <c r="AK294" i="14"/>
  <c r="AL294" i="14" s="1"/>
  <c r="AJ294" i="14"/>
  <c r="AK269" i="14"/>
  <c r="AL269" i="14" s="1"/>
  <c r="AJ269" i="14"/>
  <c r="AK278" i="14"/>
  <c r="AL278" i="14" s="1"/>
  <c r="AJ278" i="14"/>
  <c r="AK259" i="14"/>
  <c r="AL259" i="14" s="1"/>
  <c r="AJ259" i="14"/>
  <c r="AK275" i="14"/>
  <c r="AL275" i="14" s="1"/>
  <c r="AJ275" i="14"/>
  <c r="AK244" i="14"/>
  <c r="AL244" i="14" s="1"/>
  <c r="AJ244" i="14"/>
  <c r="AK251" i="14"/>
  <c r="AL251" i="14" s="1"/>
  <c r="AJ251" i="14"/>
  <c r="AK238" i="14"/>
  <c r="AL238" i="14" s="1"/>
  <c r="AJ238" i="14"/>
  <c r="AJ220" i="14"/>
  <c r="AK220" i="14"/>
  <c r="AL220" i="14" s="1"/>
  <c r="AJ227" i="14"/>
  <c r="AK227" i="14"/>
  <c r="AL227" i="14" s="1"/>
  <c r="AK157" i="14"/>
  <c r="AL157" i="14" s="1"/>
  <c r="AI133" i="14"/>
  <c r="AJ168" i="14"/>
  <c r="AK168" i="14"/>
  <c r="AL168" i="14" s="1"/>
  <c r="AK116" i="14"/>
  <c r="AL116" i="14" s="1"/>
  <c r="AJ116" i="14"/>
  <c r="AK91" i="14"/>
  <c r="AL91" i="14" s="1"/>
  <c r="AJ91" i="14"/>
  <c r="AK104" i="14"/>
  <c r="AL104" i="14" s="1"/>
  <c r="AJ104" i="14"/>
  <c r="AK71" i="14"/>
  <c r="AL71" i="14" s="1"/>
  <c r="AJ71" i="14"/>
  <c r="AK79" i="14"/>
  <c r="AL79" i="14" s="1"/>
  <c r="AJ79" i="14"/>
  <c r="AJ41" i="14"/>
  <c r="AK41" i="14"/>
  <c r="AL41" i="14" s="1"/>
  <c r="AL5" i="32"/>
  <c r="AM5" i="32" s="1"/>
  <c r="AK5" i="32"/>
  <c r="AL295" i="29"/>
  <c r="AM295" i="29" s="1"/>
  <c r="AK295" i="29"/>
  <c r="AK305" i="29"/>
  <c r="AL305" i="29"/>
  <c r="AM305" i="29" s="1"/>
  <c r="AK7" i="32"/>
  <c r="AL7" i="32"/>
  <c r="AM7" i="32" s="1"/>
  <c r="AK303" i="29"/>
  <c r="AL303" i="29"/>
  <c r="AM303" i="29" s="1"/>
  <c r="AK268" i="29"/>
  <c r="AL268" i="29"/>
  <c r="AM268" i="29" s="1"/>
  <c r="AK279" i="29"/>
  <c r="AL279" i="29"/>
  <c r="AM279" i="29" s="1"/>
  <c r="AK241" i="29"/>
  <c r="AL241" i="29"/>
  <c r="AM241" i="29" s="1"/>
  <c r="AK237" i="29"/>
  <c r="AL237" i="29"/>
  <c r="AM237" i="29" s="1"/>
  <c r="AK260" i="29"/>
  <c r="AL260" i="29"/>
  <c r="AM260" i="29" s="1"/>
  <c r="AK199" i="29"/>
  <c r="AL199" i="29"/>
  <c r="AM199" i="29" s="1"/>
  <c r="AK188" i="29"/>
  <c r="AL188" i="29"/>
  <c r="AM188" i="29" s="1"/>
  <c r="AK166" i="29"/>
  <c r="AL166" i="29"/>
  <c r="AM166" i="29" s="1"/>
  <c r="AL99" i="29"/>
  <c r="AM99" i="29" s="1"/>
  <c r="AK99" i="29"/>
  <c r="AL83" i="29"/>
  <c r="AM83" i="29" s="1"/>
  <c r="AK83" i="29"/>
  <c r="AI108" i="33"/>
  <c r="AK185" i="29"/>
  <c r="AL185" i="29"/>
  <c r="AM185" i="29" s="1"/>
  <c r="AK140" i="29"/>
  <c r="AL140" i="29"/>
  <c r="AM140" i="29" s="1"/>
  <c r="AL60" i="29"/>
  <c r="AM60" i="29" s="1"/>
  <c r="AK60" i="29"/>
  <c r="AJ72" i="33"/>
  <c r="AK72" i="33"/>
  <c r="AL72" i="33" s="1"/>
  <c r="AJ51" i="33"/>
  <c r="AK51" i="33"/>
  <c r="AL51" i="33" s="1"/>
  <c r="AK355" i="27"/>
  <c r="AL355" i="27" s="1"/>
  <c r="AJ355" i="27"/>
  <c r="AK339" i="27"/>
  <c r="AL339" i="27" s="1"/>
  <c r="AJ339" i="27"/>
  <c r="AL98" i="29"/>
  <c r="AM98" i="29" s="1"/>
  <c r="AK98" i="29"/>
  <c r="AL73" i="29"/>
  <c r="AM73" i="29" s="1"/>
  <c r="AK73" i="29"/>
  <c r="AL57" i="29"/>
  <c r="AM57" i="29" s="1"/>
  <c r="AK57" i="29"/>
  <c r="AK87" i="33"/>
  <c r="AL87" i="33" s="1"/>
  <c r="AJ87" i="33"/>
  <c r="AJ85" i="33"/>
  <c r="AK85" i="33"/>
  <c r="AL85" i="33" s="1"/>
  <c r="AJ79" i="33"/>
  <c r="AK79" i="33"/>
  <c r="AL79" i="33" s="1"/>
  <c r="AJ75" i="33"/>
  <c r="AK75" i="33"/>
  <c r="AL75" i="33" s="1"/>
  <c r="AJ61" i="33"/>
  <c r="AK61" i="33"/>
  <c r="AL61" i="33" s="1"/>
  <c r="AJ37" i="33"/>
  <c r="AK37" i="33"/>
  <c r="AL37" i="33" s="1"/>
  <c r="AJ16" i="33"/>
  <c r="AK16" i="33"/>
  <c r="AL16" i="33" s="1"/>
  <c r="AJ5" i="33"/>
  <c r="AK5" i="33"/>
  <c r="AL5" i="33" s="1"/>
  <c r="AJ19" i="33"/>
  <c r="AK19" i="33"/>
  <c r="AL19" i="33" s="1"/>
  <c r="AK324" i="27"/>
  <c r="AL324" i="27" s="1"/>
  <c r="AJ324" i="27"/>
  <c r="AK307" i="27"/>
  <c r="AL307" i="27" s="1"/>
  <c r="AJ307" i="27"/>
  <c r="AK283" i="27"/>
  <c r="AL283" i="27" s="1"/>
  <c r="AJ283" i="27"/>
  <c r="AK255" i="27"/>
  <c r="AL255" i="27" s="1"/>
  <c r="AJ255" i="27"/>
  <c r="AK251" i="27"/>
  <c r="AL251" i="27" s="1"/>
  <c r="AJ251" i="27"/>
  <c r="AK247" i="27"/>
  <c r="AL247" i="27" s="1"/>
  <c r="AJ247" i="27"/>
  <c r="AK243" i="27"/>
  <c r="AL243" i="27" s="1"/>
  <c r="AJ243" i="27"/>
  <c r="AK239" i="27"/>
  <c r="AL239" i="27" s="1"/>
  <c r="AJ239" i="27"/>
  <c r="AK93" i="27"/>
  <c r="AL93" i="27" s="1"/>
  <c r="AJ93" i="27"/>
  <c r="AQ321" i="26"/>
  <c r="AR321" i="26"/>
  <c r="AS321" i="26" s="1"/>
  <c r="AK81" i="27"/>
  <c r="AL81" i="27" s="1"/>
  <c r="AJ81" i="27"/>
  <c r="AJ22" i="27"/>
  <c r="AK22" i="27"/>
  <c r="AL22" i="27" s="1"/>
  <c r="AR353" i="26"/>
  <c r="AS353" i="26" s="1"/>
  <c r="AQ353" i="26"/>
  <c r="AR344" i="26"/>
  <c r="AS344" i="26" s="1"/>
  <c r="AQ344" i="26"/>
  <c r="AR313" i="26"/>
  <c r="AS313" i="26" s="1"/>
  <c r="AQ313" i="26"/>
  <c r="AR285" i="26"/>
  <c r="AS285" i="26" s="1"/>
  <c r="AQ285" i="26"/>
  <c r="AR269" i="26"/>
  <c r="AS269" i="26" s="1"/>
  <c r="AQ269" i="26"/>
  <c r="AK53" i="27"/>
  <c r="AL53" i="27" s="1"/>
  <c r="AJ53" i="27"/>
  <c r="AQ337" i="26"/>
  <c r="AR337" i="26"/>
  <c r="AS337" i="26" s="1"/>
  <c r="AR253" i="26"/>
  <c r="AS253" i="26" s="1"/>
  <c r="AQ253" i="26"/>
  <c r="AR237" i="26"/>
  <c r="AS237" i="26" s="1"/>
  <c r="AQ237" i="26"/>
  <c r="AQ329" i="26"/>
  <c r="AR329" i="26"/>
  <c r="AS329" i="26" s="1"/>
  <c r="AR295" i="26"/>
  <c r="AS295" i="26" s="1"/>
  <c r="AQ295" i="26"/>
  <c r="AM117" i="26"/>
  <c r="AN117" i="26" s="1"/>
  <c r="AM127" i="26"/>
  <c r="AN127" i="26" s="1"/>
  <c r="AR107" i="26"/>
  <c r="AS107" i="26" s="1"/>
  <c r="AQ107" i="26"/>
  <c r="AM197" i="26"/>
  <c r="AN197" i="26" s="1"/>
  <c r="AQ106" i="26"/>
  <c r="AR106" i="26"/>
  <c r="AS106" i="26" s="1"/>
  <c r="AA4" i="9"/>
  <c r="AB4" i="9" s="1"/>
  <c r="AC4" i="9" s="1"/>
  <c r="J8" i="10"/>
  <c r="V5" i="1"/>
  <c r="W5" i="1" s="1"/>
  <c r="X5" i="1" s="1"/>
  <c r="Y5" i="1" s="1"/>
  <c r="Z5" i="1" s="1"/>
  <c r="AA5" i="1" s="1"/>
  <c r="Z3" i="5"/>
  <c r="AA3" i="5" s="1"/>
  <c r="AB3" i="5" s="1"/>
  <c r="AK347" i="14"/>
  <c r="AL347" i="14" s="1"/>
  <c r="AJ347" i="14"/>
  <c r="AK319" i="14"/>
  <c r="AL319" i="14" s="1"/>
  <c r="AK298" i="14"/>
  <c r="AL298" i="14" s="1"/>
  <c r="AJ298" i="14"/>
  <c r="AJ285" i="14"/>
  <c r="AK285" i="14"/>
  <c r="AL285" i="14" s="1"/>
  <c r="AJ283" i="14"/>
  <c r="AK283" i="14"/>
  <c r="AL283" i="14" s="1"/>
  <c r="AK53" i="14"/>
  <c r="AL53" i="14" s="1"/>
  <c r="AJ53" i="14"/>
  <c r="AJ62" i="14"/>
  <c r="AK62" i="14"/>
  <c r="AL62" i="14" s="1"/>
  <c r="AK117" i="14"/>
  <c r="AL117" i="14" s="1"/>
  <c r="AJ117" i="14"/>
  <c r="AK4" i="31"/>
  <c r="AL4" i="31" s="1"/>
  <c r="AJ4" i="31"/>
  <c r="AJ345" i="14"/>
  <c r="AK345" i="14"/>
  <c r="AL345" i="14" s="1"/>
  <c r="AJ327" i="14"/>
  <c r="AK327" i="14"/>
  <c r="AL327" i="14" s="1"/>
  <c r="AJ304" i="14"/>
  <c r="AK304" i="14"/>
  <c r="AL304" i="14" s="1"/>
  <c r="AK254" i="14"/>
  <c r="AL254" i="14" s="1"/>
  <c r="AJ254" i="14"/>
  <c r="AJ247" i="14"/>
  <c r="AK247" i="14"/>
  <c r="AL247" i="14" s="1"/>
  <c r="AJ245" i="14"/>
  <c r="AK245" i="14"/>
  <c r="AL245" i="14" s="1"/>
  <c r="AK204" i="14"/>
  <c r="AL204" i="14" s="1"/>
  <c r="AJ204" i="14"/>
  <c r="AK165" i="14"/>
  <c r="AL165" i="14" s="1"/>
  <c r="AJ165" i="14"/>
  <c r="AK146" i="14"/>
  <c r="AL146" i="14" s="1"/>
  <c r="AJ146" i="14"/>
  <c r="AJ111" i="14"/>
  <c r="AK111" i="14"/>
  <c r="AL111" i="14" s="1"/>
  <c r="AK6" i="31"/>
  <c r="AL6" i="31" s="1"/>
  <c r="AJ6" i="31"/>
  <c r="AJ20" i="14"/>
  <c r="AK20" i="14"/>
  <c r="AL20" i="14" s="1"/>
  <c r="AK44" i="14"/>
  <c r="AL44" i="14" s="1"/>
  <c r="AJ44" i="14"/>
  <c r="AK313" i="29"/>
  <c r="AL313" i="29"/>
  <c r="AM313" i="29" s="1"/>
  <c r="AL297" i="29"/>
  <c r="AM297" i="29" s="1"/>
  <c r="AK297" i="29"/>
  <c r="AK273" i="29"/>
  <c r="AL273" i="29"/>
  <c r="AM273" i="29" s="1"/>
  <c r="AK238" i="29"/>
  <c r="AL238" i="29"/>
  <c r="AM238" i="29" s="1"/>
  <c r="AK221" i="29"/>
  <c r="AL221" i="29"/>
  <c r="AM221" i="29" s="1"/>
  <c r="AK209" i="29"/>
  <c r="AL209" i="29"/>
  <c r="AM209" i="29" s="1"/>
  <c r="AK246" i="29"/>
  <c r="AL246" i="29"/>
  <c r="AM246" i="29" s="1"/>
  <c r="AL173" i="29"/>
  <c r="AM173" i="29" s="1"/>
  <c r="AK173" i="29"/>
  <c r="AL226" i="29"/>
  <c r="AM226" i="29" s="1"/>
  <c r="AK168" i="29"/>
  <c r="AL168" i="29"/>
  <c r="AM168" i="29" s="1"/>
  <c r="AK191" i="29"/>
  <c r="AL191" i="29"/>
  <c r="AM191" i="29" s="1"/>
  <c r="AK162" i="29"/>
  <c r="AL162" i="29"/>
  <c r="AM162" i="29" s="1"/>
  <c r="AK130" i="29"/>
  <c r="AL130" i="29"/>
  <c r="AM130" i="29" s="1"/>
  <c r="AK84" i="29"/>
  <c r="AL84" i="29"/>
  <c r="AM84" i="29" s="1"/>
  <c r="AK142" i="29"/>
  <c r="AL142" i="29"/>
  <c r="AM142" i="29" s="1"/>
  <c r="AK306" i="14"/>
  <c r="AL306" i="14" s="1"/>
  <c r="AJ306" i="14"/>
  <c r="AK277" i="14"/>
  <c r="AL277" i="14" s="1"/>
  <c r="AJ277" i="14"/>
  <c r="AK257" i="14"/>
  <c r="AL257" i="14" s="1"/>
  <c r="AJ257" i="14"/>
  <c r="AJ258" i="14"/>
  <c r="AK258" i="14"/>
  <c r="AL258" i="14" s="1"/>
  <c r="AK271" i="14"/>
  <c r="AL271" i="14" s="1"/>
  <c r="AJ271" i="14"/>
  <c r="AJ234" i="14"/>
  <c r="AK234" i="14"/>
  <c r="AL234" i="14" s="1"/>
  <c r="AK240" i="14"/>
  <c r="AL240" i="14" s="1"/>
  <c r="AJ240" i="14"/>
  <c r="AJ226" i="14"/>
  <c r="AK226" i="14"/>
  <c r="AL226" i="14" s="1"/>
  <c r="AJ176" i="14"/>
  <c r="AK176" i="14"/>
  <c r="AL176" i="14" s="1"/>
  <c r="AK349" i="14"/>
  <c r="AL349" i="14" s="1"/>
  <c r="AJ349" i="14"/>
  <c r="AI333" i="14"/>
  <c r="AJ320" i="14"/>
  <c r="AK320" i="14"/>
  <c r="AL320" i="14" s="1"/>
  <c r="AK303" i="14"/>
  <c r="AL303" i="14" s="1"/>
  <c r="AJ303" i="14"/>
  <c r="AK300" i="14"/>
  <c r="AL300" i="14" s="1"/>
  <c r="AJ300" i="14"/>
  <c r="AK249" i="14"/>
  <c r="AL249" i="14" s="1"/>
  <c r="AJ249" i="14"/>
  <c r="AK230" i="14"/>
  <c r="AL230" i="14" s="1"/>
  <c r="AJ230" i="14"/>
  <c r="AK228" i="14"/>
  <c r="AL228" i="14" s="1"/>
  <c r="AJ228" i="14"/>
  <c r="AK199" i="14"/>
  <c r="AL199" i="14" s="1"/>
  <c r="AJ199" i="14"/>
  <c r="AI210" i="14"/>
  <c r="AJ201" i="14"/>
  <c r="AK201" i="14"/>
  <c r="AL201" i="14" s="1"/>
  <c r="AJ172" i="14"/>
  <c r="AK172" i="14"/>
  <c r="AL172" i="14" s="1"/>
  <c r="AI121" i="14"/>
  <c r="AI150" i="14"/>
  <c r="AI142" i="14"/>
  <c r="AI134" i="14"/>
  <c r="AI126" i="14"/>
  <c r="AI106" i="14"/>
  <c r="AI94" i="14"/>
  <c r="AI118" i="14"/>
  <c r="AJ70" i="14"/>
  <c r="AK70" i="14"/>
  <c r="AL70" i="14" s="1"/>
  <c r="AJ66" i="14"/>
  <c r="AK66" i="14"/>
  <c r="AL66" i="14" s="1"/>
  <c r="AJ58" i="14"/>
  <c r="AK58" i="14"/>
  <c r="AL58" i="14" s="1"/>
  <c r="AK36" i="14"/>
  <c r="AL36" i="14" s="1"/>
  <c r="AJ36" i="14"/>
  <c r="AJ12" i="14"/>
  <c r="AK12" i="14"/>
  <c r="AL12" i="14" s="1"/>
  <c r="AJ18" i="14"/>
  <c r="AK18" i="14"/>
  <c r="AL18" i="14" s="1"/>
  <c r="AL13" i="32"/>
  <c r="AM13" i="32" s="1"/>
  <c r="AK13" i="32"/>
  <c r="AJ17" i="32"/>
  <c r="AL301" i="29"/>
  <c r="AM301" i="29" s="1"/>
  <c r="AK301" i="29"/>
  <c r="AJ9" i="32"/>
  <c r="AK267" i="29"/>
  <c r="AL267" i="29"/>
  <c r="AM267" i="29" s="1"/>
  <c r="AK281" i="29"/>
  <c r="AL281" i="29"/>
  <c r="AM281" i="29" s="1"/>
  <c r="AK240" i="29"/>
  <c r="AL240" i="29"/>
  <c r="AM240" i="29" s="1"/>
  <c r="AK227" i="29"/>
  <c r="AL227" i="29"/>
  <c r="AM227" i="29" s="1"/>
  <c r="AK219" i="29"/>
  <c r="AL219" i="29"/>
  <c r="AM219" i="29" s="1"/>
  <c r="AK211" i="29"/>
  <c r="AL211" i="29"/>
  <c r="AM211" i="29" s="1"/>
  <c r="AK265" i="29"/>
  <c r="AL265" i="29"/>
  <c r="AM265" i="29" s="1"/>
  <c r="AK261" i="29"/>
  <c r="AL261" i="29"/>
  <c r="AM261" i="29" s="1"/>
  <c r="AK257" i="29"/>
  <c r="AL257" i="29"/>
  <c r="AM257" i="29" s="1"/>
  <c r="AK253" i="29"/>
  <c r="AL253" i="29"/>
  <c r="AM253" i="29" s="1"/>
  <c r="AK249" i="29"/>
  <c r="AL249" i="29"/>
  <c r="AM249" i="29" s="1"/>
  <c r="AK245" i="29"/>
  <c r="AL245" i="29"/>
  <c r="AM245" i="29" s="1"/>
  <c r="AL155" i="29"/>
  <c r="AM155" i="29" s="1"/>
  <c r="AK155" i="29"/>
  <c r="AL151" i="29"/>
  <c r="AM151" i="29" s="1"/>
  <c r="AK151" i="29"/>
  <c r="AL135" i="29"/>
  <c r="AM135" i="29" s="1"/>
  <c r="AK135" i="29"/>
  <c r="AL131" i="29"/>
  <c r="AM131" i="29" s="1"/>
  <c r="AK131" i="29"/>
  <c r="AL95" i="29"/>
  <c r="AM95" i="29" s="1"/>
  <c r="AK95" i="29"/>
  <c r="AL79" i="29"/>
  <c r="AM79" i="29" s="1"/>
  <c r="AK79" i="29"/>
  <c r="AI109" i="33"/>
  <c r="AK86" i="33"/>
  <c r="AL86" i="33" s="1"/>
  <c r="AJ86" i="33"/>
  <c r="AL69" i="29"/>
  <c r="AM69" i="29" s="1"/>
  <c r="AK69" i="29"/>
  <c r="AL53" i="29"/>
  <c r="AM53" i="29" s="1"/>
  <c r="AK53" i="29"/>
  <c r="AI83" i="33"/>
  <c r="AJ78" i="33"/>
  <c r="AK78" i="33"/>
  <c r="AL78" i="33" s="1"/>
  <c r="AJ74" i="33"/>
  <c r="AK74" i="33"/>
  <c r="AL74" i="33" s="1"/>
  <c r="AJ57" i="33"/>
  <c r="AK57" i="33"/>
  <c r="AL57" i="33" s="1"/>
  <c r="AJ33" i="33"/>
  <c r="AK33" i="33"/>
  <c r="AL33" i="33" s="1"/>
  <c r="AJ12" i="33"/>
  <c r="AK12" i="33"/>
  <c r="AL12" i="33" s="1"/>
  <c r="AK169" i="27"/>
  <c r="AL169" i="27" s="1"/>
  <c r="AJ169" i="27"/>
  <c r="AJ325" i="27"/>
  <c r="AK325" i="27"/>
  <c r="AL325" i="27" s="1"/>
  <c r="AK109" i="27"/>
  <c r="AL109" i="27" s="1"/>
  <c r="AJ109" i="27"/>
  <c r="AK97" i="27"/>
  <c r="AL97" i="27" s="1"/>
  <c r="AJ97" i="27"/>
  <c r="AR349" i="26"/>
  <c r="AS349" i="26" s="1"/>
  <c r="AQ349" i="26"/>
  <c r="AK69" i="27"/>
  <c r="AL69" i="27" s="1"/>
  <c r="AJ69" i="27"/>
  <c r="AK41" i="27"/>
  <c r="AL41" i="27" s="1"/>
  <c r="AJ41" i="27"/>
  <c r="AJ10" i="27"/>
  <c r="AK10" i="27"/>
  <c r="AL10" i="27" s="1"/>
  <c r="AR343" i="26"/>
  <c r="AS343" i="26" s="1"/>
  <c r="AQ343" i="26"/>
  <c r="AR339" i="26"/>
  <c r="AS339" i="26" s="1"/>
  <c r="AQ339" i="26"/>
  <c r="AR111" i="26"/>
  <c r="AS111" i="26" s="1"/>
  <c r="AQ111" i="26"/>
  <c r="AM103" i="26"/>
  <c r="AN103" i="26" s="1"/>
  <c r="AM47" i="26"/>
  <c r="AN47" i="26" s="1"/>
  <c r="AR25" i="26"/>
  <c r="AS25" i="26" s="1"/>
  <c r="AQ25" i="26"/>
  <c r="AM336" i="26"/>
  <c r="AN336" i="26" s="1"/>
  <c r="M6" i="10"/>
  <c r="L6" i="10"/>
  <c r="K6" i="10"/>
  <c r="L5" i="10"/>
  <c r="K5" i="10"/>
  <c r="M5" i="10"/>
  <c r="AK274" i="14"/>
  <c r="AL274" i="14" s="1"/>
  <c r="AJ274" i="14"/>
  <c r="AJ255" i="14"/>
  <c r="AK255" i="14"/>
  <c r="AL255" i="14" s="1"/>
  <c r="AK248" i="14"/>
  <c r="AL248" i="14" s="1"/>
  <c r="AJ248" i="14"/>
  <c r="AK214" i="14"/>
  <c r="AL214" i="14" s="1"/>
  <c r="AJ214" i="14"/>
  <c r="AK206" i="14"/>
  <c r="AL206" i="14" s="1"/>
  <c r="AJ206" i="14"/>
  <c r="AJ208" i="14"/>
  <c r="AK208" i="14"/>
  <c r="AL208" i="14" s="1"/>
  <c r="AL22" i="32"/>
  <c r="AM22" i="32" s="1"/>
  <c r="AK22" i="32"/>
  <c r="AL14" i="32"/>
  <c r="AM14" i="32" s="1"/>
  <c r="AK14" i="32"/>
  <c r="AJ37" i="14"/>
  <c r="AK37" i="14"/>
  <c r="AL37" i="14" s="1"/>
  <c r="AJ17" i="14"/>
  <c r="AK17" i="14"/>
  <c r="AL17" i="14" s="1"/>
  <c r="AJ8" i="14"/>
  <c r="AK8" i="14"/>
  <c r="AL8" i="14" s="1"/>
  <c r="AK18" i="31"/>
  <c r="AL18" i="31" s="1"/>
  <c r="AJ18" i="31"/>
  <c r="AK16" i="31"/>
  <c r="AL16" i="31" s="1"/>
  <c r="AJ16" i="31"/>
  <c r="AK48" i="14"/>
  <c r="AL48" i="14" s="1"/>
  <c r="AJ48" i="14"/>
  <c r="AJ25" i="14"/>
  <c r="AK25" i="14"/>
  <c r="AL25" i="14" s="1"/>
  <c r="AJ13" i="14"/>
  <c r="AK13" i="14"/>
  <c r="AL13" i="14" s="1"/>
  <c r="AJ4" i="14"/>
  <c r="AK4" i="14"/>
  <c r="AL4" i="14" s="1"/>
  <c r="AK312" i="29"/>
  <c r="AL312" i="29"/>
  <c r="AM312" i="29" s="1"/>
  <c r="AL296" i="29"/>
  <c r="AM296" i="29" s="1"/>
  <c r="AK296" i="29"/>
  <c r="AK3" i="32"/>
  <c r="AL3" i="32"/>
  <c r="AM3" i="32" s="1"/>
  <c r="AL299" i="29"/>
  <c r="AM299" i="29" s="1"/>
  <c r="AK299" i="29"/>
  <c r="AK274" i="29"/>
  <c r="AL274" i="29"/>
  <c r="AM274" i="29" s="1"/>
  <c r="AK270" i="29"/>
  <c r="AL270" i="29"/>
  <c r="AM270" i="29" s="1"/>
  <c r="AK239" i="29"/>
  <c r="AL239" i="29"/>
  <c r="AM239" i="29" s="1"/>
  <c r="AJ235" i="29"/>
  <c r="AK278" i="29"/>
  <c r="AL278" i="29"/>
  <c r="AM278" i="29" s="1"/>
  <c r="AL232" i="29"/>
  <c r="AM232" i="29" s="1"/>
  <c r="AK232" i="29"/>
  <c r="AK266" i="29"/>
  <c r="AL266" i="29"/>
  <c r="AM266" i="29" s="1"/>
  <c r="AK258" i="29"/>
  <c r="AL258" i="29"/>
  <c r="AM258" i="29" s="1"/>
  <c r="AJ231" i="29"/>
  <c r="AK264" i="29"/>
  <c r="AL264" i="29"/>
  <c r="AM264" i="29" s="1"/>
  <c r="AK248" i="29"/>
  <c r="AL248" i="29"/>
  <c r="AM248" i="29" s="1"/>
  <c r="AK192" i="29"/>
  <c r="AL192" i="29"/>
  <c r="AM192" i="29" s="1"/>
  <c r="AL179" i="29"/>
  <c r="AM179" i="29" s="1"/>
  <c r="AK179" i="29"/>
  <c r="AL167" i="29"/>
  <c r="AM167" i="29" s="1"/>
  <c r="AK167" i="29"/>
  <c r="AK150" i="29"/>
  <c r="AL150" i="29"/>
  <c r="AM150" i="29" s="1"/>
  <c r="AL91" i="29"/>
  <c r="AM91" i="29" s="1"/>
  <c r="AK91" i="29"/>
  <c r="AK183" i="29"/>
  <c r="AL183" i="29"/>
  <c r="AM183" i="29" s="1"/>
  <c r="AI110" i="33"/>
  <c r="AK160" i="29"/>
  <c r="AL160" i="29"/>
  <c r="AM160" i="29" s="1"/>
  <c r="AL97" i="29"/>
  <c r="AM97" i="29" s="1"/>
  <c r="AK97" i="29"/>
  <c r="AL68" i="29"/>
  <c r="AM68" i="29" s="1"/>
  <c r="AK68" i="29"/>
  <c r="AL52" i="29"/>
  <c r="AM52" i="29" s="1"/>
  <c r="AK52" i="29"/>
  <c r="AL42" i="29"/>
  <c r="AM42" i="29" s="1"/>
  <c r="AL26" i="29"/>
  <c r="AM26" i="29" s="1"/>
  <c r="AK26" i="29"/>
  <c r="AL10" i="29"/>
  <c r="AM10" i="29" s="1"/>
  <c r="AK10" i="29"/>
  <c r="AJ47" i="33"/>
  <c r="AK47" i="33"/>
  <c r="AL47" i="33" s="1"/>
  <c r="AJ43" i="33"/>
  <c r="AK43" i="33"/>
  <c r="AL43" i="33" s="1"/>
  <c r="AJ39" i="33"/>
  <c r="AK39" i="33"/>
  <c r="AL39" i="33" s="1"/>
  <c r="AJ35" i="33"/>
  <c r="AK35" i="33"/>
  <c r="AL35" i="33" s="1"/>
  <c r="AJ31" i="33"/>
  <c r="AK31" i="33"/>
  <c r="AL31" i="33" s="1"/>
  <c r="AJ27" i="33"/>
  <c r="AK27" i="33"/>
  <c r="AL27" i="33" s="1"/>
  <c r="AJ23" i="33"/>
  <c r="AK23" i="33"/>
  <c r="AL23" i="33" s="1"/>
  <c r="AK347" i="27"/>
  <c r="AL347" i="27" s="1"/>
  <c r="AJ347" i="27"/>
  <c r="AL65" i="29"/>
  <c r="AM65" i="29" s="1"/>
  <c r="AK65" i="29"/>
  <c r="AL49" i="29"/>
  <c r="AM49" i="29" s="1"/>
  <c r="AK49" i="29"/>
  <c r="AL43" i="29"/>
  <c r="AM43" i="29" s="1"/>
  <c r="AK43" i="29"/>
  <c r="AL27" i="29"/>
  <c r="AM27" i="29" s="1"/>
  <c r="AK27" i="29"/>
  <c r="AL11" i="29"/>
  <c r="AM11" i="29" s="1"/>
  <c r="AK11" i="29"/>
  <c r="AJ353" i="27"/>
  <c r="AK353" i="27"/>
  <c r="AL353" i="27" s="1"/>
  <c r="AL70" i="29"/>
  <c r="AM70" i="29" s="1"/>
  <c r="AK70" i="29"/>
  <c r="AL54" i="29"/>
  <c r="AM54" i="29" s="1"/>
  <c r="AK54" i="29"/>
  <c r="AJ81" i="33"/>
  <c r="AK81" i="33"/>
  <c r="AL81" i="33" s="1"/>
  <c r="AJ77" i="33"/>
  <c r="AK77" i="33"/>
  <c r="AL77" i="33" s="1"/>
  <c r="AJ69" i="33"/>
  <c r="AK69" i="33"/>
  <c r="AL69" i="33" s="1"/>
  <c r="AJ53" i="33"/>
  <c r="AK53" i="33"/>
  <c r="AL53" i="33" s="1"/>
  <c r="AJ49" i="33"/>
  <c r="AK49" i="33"/>
  <c r="AL49" i="33" s="1"/>
  <c r="AJ45" i="33"/>
  <c r="AK45" i="33"/>
  <c r="AL45" i="33" s="1"/>
  <c r="AJ29" i="33"/>
  <c r="AK29" i="33"/>
  <c r="AL29" i="33" s="1"/>
  <c r="AJ8" i="33"/>
  <c r="AK8" i="33"/>
  <c r="AL8" i="33" s="1"/>
  <c r="AL67" i="29"/>
  <c r="AM67" i="29" s="1"/>
  <c r="AK67" i="29"/>
  <c r="AL51" i="29"/>
  <c r="AM51" i="29" s="1"/>
  <c r="AK51" i="29"/>
  <c r="AJ44" i="33"/>
  <c r="AK44" i="33"/>
  <c r="AL44" i="33" s="1"/>
  <c r="AJ28" i="33"/>
  <c r="AK28" i="33"/>
  <c r="AL28" i="33" s="1"/>
  <c r="AJ317" i="27"/>
  <c r="AK317" i="27"/>
  <c r="AL317" i="27" s="1"/>
  <c r="AK301" i="27"/>
  <c r="AL301" i="27" s="1"/>
  <c r="AJ301" i="27"/>
  <c r="AK298" i="27"/>
  <c r="AL298" i="27" s="1"/>
  <c r="AJ298" i="27"/>
  <c r="AK282" i="27"/>
  <c r="AL282" i="27" s="1"/>
  <c r="AJ282" i="27"/>
  <c r="AK291" i="27"/>
  <c r="AL291" i="27" s="1"/>
  <c r="AJ291" i="27"/>
  <c r="AK275" i="27"/>
  <c r="AL275" i="27" s="1"/>
  <c r="AJ275" i="27"/>
  <c r="AK250" i="27"/>
  <c r="AL250" i="27" s="1"/>
  <c r="AJ250" i="27"/>
  <c r="AK234" i="27"/>
  <c r="AL234" i="27" s="1"/>
  <c r="AJ234" i="27"/>
  <c r="AK223" i="27"/>
  <c r="AL223" i="27" s="1"/>
  <c r="AJ223" i="27"/>
  <c r="AK189" i="27"/>
  <c r="AL189" i="27" s="1"/>
  <c r="AJ189" i="27"/>
  <c r="AK165" i="27"/>
  <c r="AL165" i="27" s="1"/>
  <c r="AJ165" i="27"/>
  <c r="AJ321" i="27"/>
  <c r="AK321" i="27"/>
  <c r="AL321" i="27" s="1"/>
  <c r="AK296" i="27"/>
  <c r="AL296" i="27" s="1"/>
  <c r="AJ296" i="27"/>
  <c r="AK292" i="27"/>
  <c r="AL292" i="27" s="1"/>
  <c r="AJ292" i="27"/>
  <c r="AK288" i="27"/>
  <c r="AL288" i="27" s="1"/>
  <c r="AJ288" i="27"/>
  <c r="AK284" i="27"/>
  <c r="AL284" i="27" s="1"/>
  <c r="AJ284" i="27"/>
  <c r="AK280" i="27"/>
  <c r="AL280" i="27" s="1"/>
  <c r="AJ280" i="27"/>
  <c r="AK276" i="27"/>
  <c r="AL276" i="27" s="1"/>
  <c r="AJ276" i="27"/>
  <c r="AK272" i="27"/>
  <c r="AL272" i="27" s="1"/>
  <c r="AJ272" i="27"/>
  <c r="AK199" i="27"/>
  <c r="AL199" i="27" s="1"/>
  <c r="AK61" i="27"/>
  <c r="AL61" i="27" s="1"/>
  <c r="AJ61" i="27"/>
  <c r="AK49" i="27"/>
  <c r="AL49" i="27" s="1"/>
  <c r="AJ49" i="27"/>
  <c r="AR272" i="26"/>
  <c r="AS272" i="26" s="1"/>
  <c r="AQ272" i="26"/>
  <c r="AQ181" i="26"/>
  <c r="AR165" i="26"/>
  <c r="AS165" i="26" s="1"/>
  <c r="AQ165" i="26"/>
  <c r="AK37" i="27"/>
  <c r="AL37" i="27" s="1"/>
  <c r="AJ37" i="27"/>
  <c r="AJ14" i="27"/>
  <c r="AK14" i="27"/>
  <c r="AL14" i="27" s="1"/>
  <c r="AR352" i="26"/>
  <c r="AS352" i="26" s="1"/>
  <c r="AQ352" i="26"/>
  <c r="AR345" i="26"/>
  <c r="AS345" i="26" s="1"/>
  <c r="AQ345" i="26"/>
  <c r="AR328" i="26"/>
  <c r="AS328" i="26" s="1"/>
  <c r="AQ328" i="26"/>
  <c r="AR277" i="26"/>
  <c r="AS277" i="26" s="1"/>
  <c r="AQ277" i="26"/>
  <c r="AR252" i="26"/>
  <c r="AS252" i="26" s="1"/>
  <c r="AQ252" i="26"/>
  <c r="AR236" i="26"/>
  <c r="AS236" i="26" s="1"/>
  <c r="AQ236" i="26"/>
  <c r="AK85" i="27"/>
  <c r="AL85" i="27" s="1"/>
  <c r="AJ85" i="27"/>
  <c r="AR302" i="26"/>
  <c r="AS302" i="26" s="1"/>
  <c r="AQ302" i="26"/>
  <c r="AR286" i="26"/>
  <c r="AS286" i="26" s="1"/>
  <c r="AQ286" i="26"/>
  <c r="AR245" i="26"/>
  <c r="AS245" i="26" s="1"/>
  <c r="AQ245" i="26"/>
  <c r="AR229" i="26"/>
  <c r="AS229" i="26" s="1"/>
  <c r="AQ229" i="26"/>
  <c r="AR216" i="26"/>
  <c r="AS216" i="26" s="1"/>
  <c r="AQ216" i="26"/>
  <c r="AJ30" i="27"/>
  <c r="AK30" i="27"/>
  <c r="AL30" i="27" s="1"/>
  <c r="AR346" i="26"/>
  <c r="AS346" i="26" s="1"/>
  <c r="AQ346" i="26"/>
  <c r="AR342" i="26"/>
  <c r="AS342" i="26" s="1"/>
  <c r="AQ342" i="26"/>
  <c r="AQ333" i="26"/>
  <c r="AR333" i="26"/>
  <c r="AS333" i="26" s="1"/>
  <c r="AQ325" i="26"/>
  <c r="AR325" i="26"/>
  <c r="AS325" i="26" s="1"/>
  <c r="AR303" i="26"/>
  <c r="AS303" i="26" s="1"/>
  <c r="AQ303" i="26"/>
  <c r="AR254" i="26"/>
  <c r="AS254" i="26" s="1"/>
  <c r="AQ254" i="26"/>
  <c r="AR250" i="26"/>
  <c r="AS250" i="26" s="1"/>
  <c r="AQ250" i="26"/>
  <c r="AR246" i="26"/>
  <c r="AS246" i="26" s="1"/>
  <c r="AQ246" i="26"/>
  <c r="AR242" i="26"/>
  <c r="AS242" i="26" s="1"/>
  <c r="AQ242" i="26"/>
  <c r="AR238" i="26"/>
  <c r="AS238" i="26" s="1"/>
  <c r="AQ238" i="26"/>
  <c r="AR234" i="26"/>
  <c r="AS234" i="26" s="1"/>
  <c r="AQ234" i="26"/>
  <c r="AR230" i="26"/>
  <c r="AS230" i="26" s="1"/>
  <c r="AQ230" i="26"/>
  <c r="AR99" i="26"/>
  <c r="AS99" i="26" s="1"/>
  <c r="AR73" i="26"/>
  <c r="AS73" i="26" s="1"/>
  <c r="AQ73" i="26"/>
  <c r="AM79" i="26"/>
  <c r="AN79" i="26" s="1"/>
  <c r="AM181" i="26"/>
  <c r="AN181" i="26" s="1"/>
  <c r="AM91" i="26"/>
  <c r="AN91" i="26" s="1"/>
  <c r="AM159" i="26"/>
  <c r="AN159" i="26" s="1"/>
  <c r="AM101" i="26"/>
  <c r="AN101" i="26" s="1"/>
  <c r="AM119" i="26"/>
  <c r="AN119" i="26" s="1"/>
  <c r="AM199" i="26"/>
  <c r="AN199" i="26" s="1"/>
  <c r="AM39" i="26"/>
  <c r="AN39" i="26" s="1"/>
  <c r="AQ114" i="26"/>
  <c r="AR114" i="26"/>
  <c r="AS114" i="26" s="1"/>
  <c r="AR21" i="26"/>
  <c r="AS21" i="26" s="1"/>
  <c r="AQ21" i="26"/>
  <c r="AJ339" i="14"/>
  <c r="AK339" i="14"/>
  <c r="AL339" i="14" s="1"/>
  <c r="AK305" i="14"/>
  <c r="AL305" i="14" s="1"/>
  <c r="AJ305" i="14"/>
  <c r="AK279" i="14"/>
  <c r="AL279" i="14" s="1"/>
  <c r="AJ279" i="14"/>
  <c r="AK270" i="14"/>
  <c r="AL270" i="14" s="1"/>
  <c r="AJ270" i="14"/>
  <c r="AK253" i="14"/>
  <c r="AL253" i="14" s="1"/>
  <c r="AJ253" i="14"/>
  <c r="AK237" i="14"/>
  <c r="AL237" i="14" s="1"/>
  <c r="AJ237" i="14"/>
  <c r="AK207" i="14"/>
  <c r="AL207" i="14" s="1"/>
  <c r="AJ207" i="14"/>
  <c r="AK215" i="14"/>
  <c r="AL215" i="14" s="1"/>
  <c r="AJ215" i="14"/>
  <c r="AJ231" i="14"/>
  <c r="AK231" i="14"/>
  <c r="AL231" i="14" s="1"/>
  <c r="AI218" i="14"/>
  <c r="AK183" i="14"/>
  <c r="AL183" i="14" s="1"/>
  <c r="AJ183" i="14"/>
  <c r="AK185" i="14"/>
  <c r="AL185" i="14" s="1"/>
  <c r="AJ185" i="14"/>
  <c r="AK156" i="14"/>
  <c r="AL156" i="14" s="1"/>
  <c r="AJ156" i="14"/>
  <c r="AK140" i="14"/>
  <c r="AL140" i="14" s="1"/>
  <c r="AJ140" i="14"/>
  <c r="AK99" i="14"/>
  <c r="AL99" i="14" s="1"/>
  <c r="AJ99" i="14"/>
  <c r="AI98" i="14"/>
  <c r="AK132" i="14"/>
  <c r="AL132" i="14" s="1"/>
  <c r="AJ132" i="14"/>
  <c r="AK343" i="14"/>
  <c r="AL343" i="14" s="1"/>
  <c r="AJ343" i="14"/>
  <c r="AK32" i="14"/>
  <c r="AL32" i="14" s="1"/>
  <c r="AJ32" i="14"/>
  <c r="AL21" i="32"/>
  <c r="AM21" i="32" s="1"/>
  <c r="AK21" i="32"/>
  <c r="AL24" i="32"/>
  <c r="AM24" i="32" s="1"/>
  <c r="AK24" i="32"/>
  <c r="AL294" i="29"/>
  <c r="AM294" i="29" s="1"/>
  <c r="AK294" i="29"/>
  <c r="AK242" i="29"/>
  <c r="AL242" i="29"/>
  <c r="AM242" i="29" s="1"/>
  <c r="AK229" i="29"/>
  <c r="AL229" i="29"/>
  <c r="AM229" i="29" s="1"/>
  <c r="AK217" i="29"/>
  <c r="AL217" i="29"/>
  <c r="AM217" i="29" s="1"/>
  <c r="AK205" i="29"/>
  <c r="AL205" i="29"/>
  <c r="AM205" i="29" s="1"/>
  <c r="AL169" i="29"/>
  <c r="AM169" i="29" s="1"/>
  <c r="AK169" i="29"/>
  <c r="AK218" i="29"/>
  <c r="AL218" i="29"/>
  <c r="AM218" i="29" s="1"/>
  <c r="AK196" i="29"/>
  <c r="AL196" i="29"/>
  <c r="AM196" i="29" s="1"/>
  <c r="AK136" i="29"/>
  <c r="AL136" i="29"/>
  <c r="AM136" i="29" s="1"/>
  <c r="AL87" i="29"/>
  <c r="AM87" i="29" s="1"/>
  <c r="AK87" i="29"/>
  <c r="AK178" i="29"/>
  <c r="AL178" i="29"/>
  <c r="AM178" i="29" s="1"/>
  <c r="AL148" i="29"/>
  <c r="AM148" i="29" s="1"/>
  <c r="AK132" i="29"/>
  <c r="AL132" i="29"/>
  <c r="AM132" i="29" s="1"/>
  <c r="AK92" i="29"/>
  <c r="AL92" i="29"/>
  <c r="AM92" i="29" s="1"/>
  <c r="AK76" i="29"/>
  <c r="AL76" i="29"/>
  <c r="AM76" i="29" s="1"/>
  <c r="AK128" i="29"/>
  <c r="AL128" i="29"/>
  <c r="AM128" i="29" s="1"/>
  <c r="AK104" i="29"/>
  <c r="AL104" i="29"/>
  <c r="AM104" i="29" s="1"/>
  <c r="AL72" i="29"/>
  <c r="AM72" i="29" s="1"/>
  <c r="AK72" i="29"/>
  <c r="AL56" i="29"/>
  <c r="AM56" i="29" s="1"/>
  <c r="AK56" i="29"/>
  <c r="AL30" i="29"/>
  <c r="AM30" i="29" s="1"/>
  <c r="AK30" i="29"/>
  <c r="AL14" i="29"/>
  <c r="AM14" i="29" s="1"/>
  <c r="AK14" i="29"/>
  <c r="AJ67" i="33"/>
  <c r="AK67" i="33"/>
  <c r="AL67" i="33" s="1"/>
  <c r="AJ63" i="33"/>
  <c r="AK63" i="33"/>
  <c r="AL63" i="33" s="1"/>
  <c r="AJ59" i="33"/>
  <c r="AK59" i="33"/>
  <c r="AL59" i="33" s="1"/>
  <c r="AJ55" i="33"/>
  <c r="AK55" i="33"/>
  <c r="AL55" i="33" s="1"/>
  <c r="AJ22" i="33"/>
  <c r="AK22" i="33"/>
  <c r="AL22" i="33" s="1"/>
  <c r="AJ18" i="33"/>
  <c r="AK18" i="33"/>
  <c r="AL18" i="33" s="1"/>
  <c r="AJ14" i="33"/>
  <c r="AK14" i="33"/>
  <c r="AL14" i="33" s="1"/>
  <c r="AJ10" i="33"/>
  <c r="AK10" i="33"/>
  <c r="AL10" i="33" s="1"/>
  <c r="AL61" i="29"/>
  <c r="AM61" i="29" s="1"/>
  <c r="AK61" i="29"/>
  <c r="AL45" i="29"/>
  <c r="AM45" i="29" s="1"/>
  <c r="AK45" i="29"/>
  <c r="AL39" i="29"/>
  <c r="AM39" i="29" s="1"/>
  <c r="AK39" i="29"/>
  <c r="AL23" i="29"/>
  <c r="AM23" i="29" s="1"/>
  <c r="AK23" i="29"/>
  <c r="AL7" i="29"/>
  <c r="AM7" i="29" s="1"/>
  <c r="AK7" i="29"/>
  <c r="AJ70" i="33"/>
  <c r="AK70" i="33"/>
  <c r="AL70" i="33" s="1"/>
  <c r="AJ62" i="33"/>
  <c r="AK62" i="33"/>
  <c r="AL62" i="33" s="1"/>
  <c r="AJ54" i="33"/>
  <c r="AK54" i="33"/>
  <c r="AL54" i="33" s="1"/>
  <c r="AJ46" i="33"/>
  <c r="AK46" i="33"/>
  <c r="AL46" i="33" s="1"/>
  <c r="AJ38" i="33"/>
  <c r="AK38" i="33"/>
  <c r="AL38" i="33" s="1"/>
  <c r="AJ30" i="33"/>
  <c r="AK30" i="33"/>
  <c r="AL30" i="33" s="1"/>
  <c r="AJ21" i="33"/>
  <c r="AK21" i="33"/>
  <c r="AL21" i="33" s="1"/>
  <c r="AJ13" i="33"/>
  <c r="AK13" i="33"/>
  <c r="AL13" i="33" s="1"/>
  <c r="AJ345" i="27"/>
  <c r="AK345" i="27"/>
  <c r="AL345" i="27" s="1"/>
  <c r="AL74" i="29"/>
  <c r="AM74" i="29" s="1"/>
  <c r="AK74" i="29"/>
  <c r="AL58" i="29"/>
  <c r="AM58" i="29" s="1"/>
  <c r="AK58" i="29"/>
  <c r="AJ80" i="33"/>
  <c r="AK80" i="33"/>
  <c r="AL80" i="33" s="1"/>
  <c r="AJ76" i="33"/>
  <c r="AK76" i="33"/>
  <c r="AL76" i="33" s="1"/>
  <c r="AJ65" i="33"/>
  <c r="AK65" i="33"/>
  <c r="AL65" i="33" s="1"/>
  <c r="AJ41" i="33"/>
  <c r="AK41" i="33"/>
  <c r="AL41" i="33" s="1"/>
  <c r="AJ25" i="33"/>
  <c r="AK25" i="33"/>
  <c r="AL25" i="33" s="1"/>
  <c r="AJ20" i="33"/>
  <c r="AK20" i="33"/>
  <c r="AL20" i="33" s="1"/>
  <c r="AK351" i="27"/>
  <c r="AL351" i="27" s="1"/>
  <c r="AJ351" i="27"/>
  <c r="AK343" i="27"/>
  <c r="AL343" i="27" s="1"/>
  <c r="AJ343" i="27"/>
  <c r="AL102" i="29"/>
  <c r="AM102" i="29" s="1"/>
  <c r="AK102" i="29"/>
  <c r="AJ64" i="33"/>
  <c r="AK64" i="33"/>
  <c r="AL64" i="33" s="1"/>
  <c r="AK305" i="27"/>
  <c r="AL305" i="27" s="1"/>
  <c r="AJ305" i="27"/>
  <c r="AK293" i="27"/>
  <c r="AL293" i="27" s="1"/>
  <c r="AJ293" i="27"/>
  <c r="AK285" i="27"/>
  <c r="AL285" i="27" s="1"/>
  <c r="AJ285" i="27"/>
  <c r="AK277" i="27"/>
  <c r="AL277" i="27" s="1"/>
  <c r="AJ277" i="27"/>
  <c r="AK269" i="27"/>
  <c r="AL269" i="27" s="1"/>
  <c r="AJ269" i="27"/>
  <c r="AK259" i="27"/>
  <c r="AL259" i="27" s="1"/>
  <c r="AJ259" i="27"/>
  <c r="AK248" i="27"/>
  <c r="AL248" i="27" s="1"/>
  <c r="AJ248" i="27"/>
  <c r="AK240" i="27"/>
  <c r="AL240" i="27" s="1"/>
  <c r="AJ240" i="27"/>
  <c r="AK232" i="27"/>
  <c r="AL232" i="27" s="1"/>
  <c r="AJ232" i="27"/>
  <c r="AK225" i="27"/>
  <c r="AL225" i="27" s="1"/>
  <c r="AK212" i="27"/>
  <c r="AL212" i="27" s="1"/>
  <c r="AJ212" i="27"/>
  <c r="AK203" i="27"/>
  <c r="AL203" i="27" s="1"/>
  <c r="AJ203" i="27"/>
  <c r="AK286" i="27"/>
  <c r="AL286" i="27" s="1"/>
  <c r="AJ286" i="27"/>
  <c r="AK274" i="27"/>
  <c r="AL274" i="27" s="1"/>
  <c r="AJ274" i="27"/>
  <c r="AK249" i="27"/>
  <c r="AL249" i="27" s="1"/>
  <c r="AJ249" i="27"/>
  <c r="AK241" i="27"/>
  <c r="AL241" i="27" s="1"/>
  <c r="AJ241" i="27"/>
  <c r="AK233" i="27"/>
  <c r="AL233" i="27" s="1"/>
  <c r="AJ233" i="27"/>
  <c r="AK216" i="27"/>
  <c r="AL216" i="27" s="1"/>
  <c r="AK303" i="27"/>
  <c r="AL303" i="27" s="1"/>
  <c r="AJ303" i="27"/>
  <c r="AK295" i="27"/>
  <c r="AL295" i="27" s="1"/>
  <c r="AJ295" i="27"/>
  <c r="AK279" i="27"/>
  <c r="AL279" i="27" s="1"/>
  <c r="AJ279" i="27"/>
  <c r="AK254" i="27"/>
  <c r="AL254" i="27" s="1"/>
  <c r="AJ254" i="27"/>
  <c r="AK238" i="27"/>
  <c r="AL238" i="27" s="1"/>
  <c r="AJ238" i="27"/>
  <c r="AK235" i="27"/>
  <c r="AL235" i="27" s="1"/>
  <c r="AJ235" i="27"/>
  <c r="AK163" i="27"/>
  <c r="AL163" i="27" s="1"/>
  <c r="AJ163" i="27"/>
  <c r="AK147" i="27"/>
  <c r="AL147" i="27" s="1"/>
  <c r="AJ147" i="27"/>
  <c r="AK143" i="27"/>
  <c r="AL143" i="27" s="1"/>
  <c r="AJ143" i="27"/>
  <c r="AK131" i="27"/>
  <c r="AL131" i="27" s="1"/>
  <c r="AJ131" i="27"/>
  <c r="AK127" i="27"/>
  <c r="AL127" i="27" s="1"/>
  <c r="AJ127" i="27"/>
  <c r="AK115" i="27"/>
  <c r="AL115" i="27" s="1"/>
  <c r="AJ115" i="27"/>
  <c r="AK111" i="27"/>
  <c r="AL111" i="27" s="1"/>
  <c r="AJ111" i="27"/>
  <c r="AK138" i="27"/>
  <c r="AL138" i="27" s="1"/>
  <c r="AJ138" i="27"/>
  <c r="AK77" i="27"/>
  <c r="AL77" i="27" s="1"/>
  <c r="AJ77" i="27"/>
  <c r="AK33" i="27"/>
  <c r="AL33" i="27" s="1"/>
  <c r="AJ33" i="27"/>
  <c r="AR316" i="26"/>
  <c r="AS316" i="26" s="1"/>
  <c r="AQ316" i="26"/>
  <c r="AR308" i="26"/>
  <c r="AS308" i="26" s="1"/>
  <c r="AQ308" i="26"/>
  <c r="AR300" i="26"/>
  <c r="AS300" i="26" s="1"/>
  <c r="AQ300" i="26"/>
  <c r="AR292" i="26"/>
  <c r="AS292" i="26" s="1"/>
  <c r="AQ292" i="26"/>
  <c r="AR284" i="26"/>
  <c r="AS284" i="26" s="1"/>
  <c r="AQ284" i="26"/>
  <c r="AR276" i="26"/>
  <c r="AS276" i="26" s="1"/>
  <c r="AQ276" i="26"/>
  <c r="AR255" i="26"/>
  <c r="AS255" i="26" s="1"/>
  <c r="AQ255" i="26"/>
  <c r="AR247" i="26"/>
  <c r="AS247" i="26" s="1"/>
  <c r="AQ247" i="26"/>
  <c r="AR239" i="26"/>
  <c r="AS239" i="26" s="1"/>
  <c r="AQ239" i="26"/>
  <c r="AR231" i="26"/>
  <c r="AS231" i="26" s="1"/>
  <c r="AQ231" i="26"/>
  <c r="AR208" i="26"/>
  <c r="AS208" i="26" s="1"/>
  <c r="AQ208" i="26"/>
  <c r="AK65" i="27"/>
  <c r="AL65" i="27" s="1"/>
  <c r="AJ65" i="27"/>
  <c r="AR348" i="26"/>
  <c r="AS348" i="26" s="1"/>
  <c r="AQ348" i="26"/>
  <c r="AR341" i="26"/>
  <c r="AS341" i="26" s="1"/>
  <c r="AQ341" i="26"/>
  <c r="AR332" i="26"/>
  <c r="AS332" i="26" s="1"/>
  <c r="AQ317" i="26"/>
  <c r="AR317" i="26"/>
  <c r="AS317" i="26" s="1"/>
  <c r="AR309" i="26"/>
  <c r="AS309" i="26" s="1"/>
  <c r="AQ309" i="26"/>
  <c r="AR301" i="26"/>
  <c r="AS301" i="26" s="1"/>
  <c r="AQ301" i="26"/>
  <c r="AR293" i="26"/>
  <c r="AS293" i="26" s="1"/>
  <c r="AQ293" i="26"/>
  <c r="AR281" i="26"/>
  <c r="AS281" i="26" s="1"/>
  <c r="AQ281" i="26"/>
  <c r="AR240" i="26"/>
  <c r="AS240" i="26" s="1"/>
  <c r="AQ240" i="26"/>
  <c r="AR153" i="26"/>
  <c r="AS153" i="26" s="1"/>
  <c r="AQ153" i="26"/>
  <c r="AK101" i="27"/>
  <c r="AL101" i="27" s="1"/>
  <c r="AJ101" i="27"/>
  <c r="AJ6" i="27"/>
  <c r="AK6" i="27"/>
  <c r="AL6" i="27" s="1"/>
  <c r="AR314" i="26"/>
  <c r="AS314" i="26" s="1"/>
  <c r="AQ314" i="26"/>
  <c r="AR310" i="26"/>
  <c r="AS310" i="26" s="1"/>
  <c r="AQ310" i="26"/>
  <c r="AR306" i="26"/>
  <c r="AS306" i="26" s="1"/>
  <c r="AQ306" i="26"/>
  <c r="AR290" i="26"/>
  <c r="AS290" i="26" s="1"/>
  <c r="AQ290" i="26"/>
  <c r="AR249" i="26"/>
  <c r="AS249" i="26" s="1"/>
  <c r="AQ249" i="26"/>
  <c r="AR233" i="26"/>
  <c r="AS233" i="26" s="1"/>
  <c r="AQ233" i="26"/>
  <c r="AR183" i="26"/>
  <c r="AS183" i="26" s="1"/>
  <c r="AQ183" i="26"/>
  <c r="AR173" i="26"/>
  <c r="AS173" i="26" s="1"/>
  <c r="AQ173" i="26"/>
  <c r="AR151" i="26"/>
  <c r="AS151" i="26" s="1"/>
  <c r="AQ151" i="26"/>
  <c r="AR315" i="26"/>
  <c r="AS315" i="26" s="1"/>
  <c r="AQ315" i="26"/>
  <c r="AR311" i="26"/>
  <c r="AS311" i="26" s="1"/>
  <c r="AQ311" i="26"/>
  <c r="AR307" i="26"/>
  <c r="AS307" i="26" s="1"/>
  <c r="AQ307" i="26"/>
  <c r="AR291" i="26"/>
  <c r="AS291" i="26" s="1"/>
  <c r="AQ291" i="26"/>
  <c r="AR287" i="26"/>
  <c r="AS287" i="26" s="1"/>
  <c r="AQ287" i="26"/>
  <c r="AR283" i="26"/>
  <c r="AS283" i="26" s="1"/>
  <c r="AQ283" i="26"/>
  <c r="AR279" i="26"/>
  <c r="AS279" i="26" s="1"/>
  <c r="AQ279" i="26"/>
  <c r="AR275" i="26"/>
  <c r="AS275" i="26" s="1"/>
  <c r="AQ275" i="26"/>
  <c r="AR271" i="26"/>
  <c r="AS271" i="26" s="1"/>
  <c r="AQ271" i="26"/>
  <c r="AR89" i="26"/>
  <c r="AS89" i="26" s="1"/>
  <c r="AQ89" i="26"/>
  <c r="AR27" i="26"/>
  <c r="AS27" i="26" s="1"/>
  <c r="AQ27" i="26"/>
  <c r="AM81" i="26"/>
  <c r="AN81" i="26" s="1"/>
  <c r="AM179" i="26"/>
  <c r="AN179" i="26" s="1"/>
  <c r="AQ20" i="26"/>
  <c r="AR20" i="26"/>
  <c r="AS20" i="26" s="1"/>
  <c r="AR12" i="26"/>
  <c r="AS12" i="26" s="1"/>
  <c r="AQ12" i="26"/>
  <c r="AM33" i="26"/>
  <c r="AN33" i="26" s="1"/>
  <c r="AJ212" i="14" l="1"/>
  <c r="AK130" i="14"/>
  <c r="AL130" i="14" s="1"/>
  <c r="AJ197" i="14"/>
  <c r="AK318" i="14"/>
  <c r="AL318" i="14" s="1"/>
  <c r="AJ80" i="14"/>
  <c r="AK129" i="14"/>
  <c r="AL129" i="14" s="1"/>
  <c r="AJ3" i="14"/>
  <c r="AJ109" i="14"/>
  <c r="AK100" i="14"/>
  <c r="AL100" i="14" s="1"/>
  <c r="AJ144" i="14"/>
  <c r="AJ145" i="14"/>
  <c r="AJ69" i="14"/>
  <c r="AJ61" i="14"/>
  <c r="AK23" i="14"/>
  <c r="AL23" i="14" s="1"/>
  <c r="AJ178" i="14"/>
  <c r="AK60" i="14"/>
  <c r="AL60" i="14" s="1"/>
  <c r="AJ60" i="14"/>
  <c r="AJ162" i="14"/>
  <c r="AK162" i="14"/>
  <c r="AL162" i="14" s="1"/>
  <c r="AJ325" i="14"/>
  <c r="AK34" i="14"/>
  <c r="AL34" i="14" s="1"/>
  <c r="AJ52" i="14"/>
  <c r="AK52" i="14"/>
  <c r="AL52" i="14" s="1"/>
  <c r="AK114" i="14"/>
  <c r="AL114" i="14" s="1"/>
  <c r="AJ154" i="14"/>
  <c r="AK33" i="14"/>
  <c r="AL33" i="14" s="1"/>
  <c r="AK77" i="14"/>
  <c r="AL77" i="14" s="1"/>
  <c r="AK89" i="14"/>
  <c r="AL89" i="14" s="1"/>
  <c r="AJ88" i="14"/>
  <c r="AK335" i="14"/>
  <c r="AL335" i="14" s="1"/>
  <c r="AK74" i="14"/>
  <c r="AL74" i="14" s="1"/>
  <c r="AJ74" i="14"/>
  <c r="AK188" i="14"/>
  <c r="AL188" i="14" s="1"/>
  <c r="AJ188" i="14"/>
  <c r="AJ110" i="14"/>
  <c r="AK26" i="14"/>
  <c r="AL26" i="14" s="1"/>
  <c r="AJ191" i="14"/>
  <c r="AK22" i="14"/>
  <c r="AL22" i="14" s="1"/>
  <c r="AK95" i="14"/>
  <c r="AL95" i="14" s="1"/>
  <c r="AJ125" i="14"/>
  <c r="AJ7" i="14"/>
  <c r="AJ82" i="14"/>
  <c r="AJ55" i="14"/>
  <c r="AJ141" i="14"/>
  <c r="AJ38" i="14"/>
  <c r="AK38" i="14"/>
  <c r="AL38" i="14" s="1"/>
  <c r="AK73" i="14"/>
  <c r="AL73" i="14" s="1"/>
  <c r="AJ175" i="14"/>
  <c r="AJ261" i="14"/>
  <c r="AK30" i="14"/>
  <c r="AL30" i="14" s="1"/>
  <c r="AJ337" i="14"/>
  <c r="AK337" i="14"/>
  <c r="AL337" i="14" s="1"/>
  <c r="AK14" i="14"/>
  <c r="AL14" i="14" s="1"/>
  <c r="AJ39" i="14"/>
  <c r="AK76" i="14"/>
  <c r="AL76" i="14" s="1"/>
  <c r="AJ76" i="14"/>
  <c r="AK46" i="14"/>
  <c r="AL46" i="14" s="1"/>
  <c r="AJ46" i="14"/>
  <c r="AJ147" i="14"/>
  <c r="AK147" i="14"/>
  <c r="AL147" i="14" s="1"/>
  <c r="AJ202" i="14"/>
  <c r="AK202" i="14"/>
  <c r="AL202" i="14" s="1"/>
  <c r="AK22" i="31"/>
  <c r="AL22" i="31" s="1"/>
  <c r="AK3" i="31"/>
  <c r="AL3" i="31" s="1"/>
  <c r="AK20" i="31"/>
  <c r="AL20" i="31" s="1"/>
  <c r="AJ24" i="31"/>
  <c r="AJ10" i="31"/>
  <c r="AK7" i="31"/>
  <c r="AL7" i="31" s="1"/>
  <c r="AJ5" i="31"/>
  <c r="AK5" i="31"/>
  <c r="AL5" i="31" s="1"/>
  <c r="AJ8" i="31"/>
  <c r="AK26" i="31"/>
  <c r="AL26" i="31" s="1"/>
  <c r="AK15" i="32"/>
  <c r="AK25" i="32"/>
  <c r="AL26" i="32"/>
  <c r="AM26" i="32" s="1"/>
  <c r="AL233" i="29"/>
  <c r="AM233" i="29" s="1"/>
  <c r="AK38" i="29"/>
  <c r="AK317" i="29"/>
  <c r="AK304" i="29"/>
  <c r="AL332" i="29"/>
  <c r="AM332" i="29" s="1"/>
  <c r="AK175" i="29"/>
  <c r="AL193" i="29"/>
  <c r="AM193" i="29" s="1"/>
  <c r="AK161" i="29"/>
  <c r="AK31" i="29"/>
  <c r="AK64" i="29"/>
  <c r="AL123" i="29"/>
  <c r="AM123" i="29" s="1"/>
  <c r="AK307" i="29"/>
  <c r="AL251" i="29"/>
  <c r="AM251" i="29" s="1"/>
  <c r="AL275" i="29"/>
  <c r="AM275" i="29" s="1"/>
  <c r="AK172" i="29"/>
  <c r="AL93" i="29"/>
  <c r="AM93" i="29" s="1"/>
  <c r="AL116" i="29"/>
  <c r="AM116" i="29" s="1"/>
  <c r="AL204" i="29"/>
  <c r="AM204" i="29" s="1"/>
  <c r="AK323" i="29"/>
  <c r="AL220" i="29"/>
  <c r="AM220" i="29" s="1"/>
  <c r="AK106" i="29"/>
  <c r="AK291" i="29"/>
  <c r="AL291" i="29"/>
  <c r="AM291" i="29" s="1"/>
  <c r="AK81" i="29"/>
  <c r="AK117" i="29"/>
  <c r="AK94" i="29"/>
  <c r="AL212" i="29"/>
  <c r="AM212" i="29" s="1"/>
  <c r="AL310" i="29"/>
  <c r="AM310" i="29" s="1"/>
  <c r="AL288" i="29"/>
  <c r="AM288" i="29" s="1"/>
  <c r="AL324" i="29"/>
  <c r="AM324" i="29" s="1"/>
  <c r="AL152" i="29"/>
  <c r="AM152" i="29" s="1"/>
  <c r="AL222" i="29"/>
  <c r="AM222" i="29" s="1"/>
  <c r="AL224" i="29"/>
  <c r="AM224" i="29" s="1"/>
  <c r="AK85" i="29"/>
  <c r="AL82" i="29"/>
  <c r="AM82" i="29" s="1"/>
  <c r="AK201" i="29"/>
  <c r="AL201" i="29"/>
  <c r="AM201" i="29" s="1"/>
  <c r="AL112" i="29"/>
  <c r="AM112" i="29" s="1"/>
  <c r="AK157" i="29"/>
  <c r="AL78" i="29"/>
  <c r="AM78" i="29" s="1"/>
  <c r="AL153" i="29"/>
  <c r="AM153" i="29" s="1"/>
  <c r="AK206" i="29"/>
  <c r="AL208" i="29"/>
  <c r="AM208" i="29" s="1"/>
  <c r="AL124" i="29"/>
  <c r="AM124" i="29" s="1"/>
  <c r="AK190" i="29"/>
  <c r="AL190" i="29"/>
  <c r="AM190" i="29" s="1"/>
  <c r="AK330" i="29"/>
  <c r="AL330" i="29"/>
  <c r="AM330" i="29" s="1"/>
  <c r="AK138" i="29"/>
  <c r="AK82" i="33"/>
  <c r="AL82" i="33" s="1"/>
  <c r="AK48" i="33"/>
  <c r="AL48" i="33" s="1"/>
  <c r="AK4" i="33"/>
  <c r="AL4" i="33" s="1"/>
  <c r="AK98" i="33"/>
  <c r="AL98" i="33" s="1"/>
  <c r="AK90" i="33"/>
  <c r="AL90" i="33" s="1"/>
  <c r="AJ92" i="33"/>
  <c r="AK7" i="33"/>
  <c r="AL7" i="33" s="1"/>
  <c r="AJ94" i="33"/>
  <c r="AK93" i="33"/>
  <c r="AL93" i="33" s="1"/>
  <c r="AJ93" i="33"/>
  <c r="AK95" i="33"/>
  <c r="AL95" i="33" s="1"/>
  <c r="AJ95" i="33"/>
  <c r="AJ89" i="33"/>
  <c r="AK89" i="33"/>
  <c r="AL89" i="33" s="1"/>
  <c r="AK91" i="33"/>
  <c r="AL91" i="33" s="1"/>
  <c r="AJ91" i="33"/>
  <c r="AJ154" i="27"/>
  <c r="AJ191" i="27"/>
  <c r="AK87" i="27"/>
  <c r="AL87" i="27" s="1"/>
  <c r="AJ159" i="27"/>
  <c r="AK148" i="27"/>
  <c r="AL148" i="27" s="1"/>
  <c r="AK160" i="27"/>
  <c r="AL160" i="27" s="1"/>
  <c r="AJ5" i="27"/>
  <c r="AJ201" i="27"/>
  <c r="AJ268" i="27"/>
  <c r="AJ29" i="27"/>
  <c r="AJ31" i="27"/>
  <c r="AK220" i="27"/>
  <c r="AL220" i="27" s="1"/>
  <c r="AK8" i="27"/>
  <c r="AL8" i="27" s="1"/>
  <c r="AJ7" i="27"/>
  <c r="AJ134" i="27"/>
  <c r="AJ208" i="27"/>
  <c r="AJ4" i="27"/>
  <c r="AK335" i="27"/>
  <c r="AL335" i="27" s="1"/>
  <c r="AK328" i="27"/>
  <c r="AL328" i="27" s="1"/>
  <c r="AJ23" i="27"/>
  <c r="AJ193" i="27"/>
  <c r="AK15" i="27"/>
  <c r="AL15" i="27" s="1"/>
  <c r="AJ83" i="27"/>
  <c r="AK182" i="27"/>
  <c r="AL182" i="27" s="1"/>
  <c r="AJ64" i="27"/>
  <c r="AK60" i="27"/>
  <c r="AL60" i="27" s="1"/>
  <c r="AK322" i="27"/>
  <c r="AL322" i="27" s="1"/>
  <c r="AJ34" i="27"/>
  <c r="AJ84" i="27"/>
  <c r="AK20" i="27"/>
  <c r="AL20" i="27" s="1"/>
  <c r="AK72" i="27"/>
  <c r="AL72" i="27" s="1"/>
  <c r="AK9" i="27"/>
  <c r="AL9" i="27" s="1"/>
  <c r="AK261" i="27"/>
  <c r="AL261" i="27" s="1"/>
  <c r="AK152" i="27"/>
  <c r="AL152" i="27" s="1"/>
  <c r="AJ99" i="27"/>
  <c r="AJ257" i="27"/>
  <c r="AJ11" i="27"/>
  <c r="AJ139" i="27"/>
  <c r="AJ35" i="27"/>
  <c r="AJ181" i="27"/>
  <c r="AJ27" i="27"/>
  <c r="AJ71" i="27"/>
  <c r="AJ173" i="27"/>
  <c r="AJ326" i="27"/>
  <c r="AK48" i="27"/>
  <c r="AL48" i="27" s="1"/>
  <c r="AK51" i="27"/>
  <c r="AL51" i="27" s="1"/>
  <c r="AK88" i="27"/>
  <c r="AL88" i="27" s="1"/>
  <c r="AJ67" i="27"/>
  <c r="AJ224" i="27"/>
  <c r="AK70" i="27"/>
  <c r="AL70" i="27" s="1"/>
  <c r="AJ70" i="27"/>
  <c r="AK42" i="27"/>
  <c r="AL42" i="27" s="1"/>
  <c r="AJ42" i="27"/>
  <c r="AK38" i="27"/>
  <c r="AL38" i="27" s="1"/>
  <c r="AJ38" i="27"/>
  <c r="AJ177" i="27"/>
  <c r="AJ82" i="27"/>
  <c r="AK82" i="27"/>
  <c r="AL82" i="27" s="1"/>
  <c r="AJ318" i="27"/>
  <c r="AJ128" i="27"/>
  <c r="AK180" i="27"/>
  <c r="AL180" i="27" s="1"/>
  <c r="AJ180" i="27"/>
  <c r="AJ80" i="27"/>
  <c r="AK80" i="27"/>
  <c r="AL80" i="27" s="1"/>
  <c r="AK226" i="27"/>
  <c r="AL226" i="27" s="1"/>
  <c r="AJ226" i="27"/>
  <c r="AJ36" i="27"/>
  <c r="AK36" i="27"/>
  <c r="AL36" i="27" s="1"/>
  <c r="AJ198" i="27"/>
  <c r="AK198" i="27"/>
  <c r="AL198" i="27" s="1"/>
  <c r="AJ58" i="27"/>
  <c r="AK58" i="27"/>
  <c r="AL58" i="27" s="1"/>
  <c r="AJ40" i="27"/>
  <c r="AK40" i="27"/>
  <c r="AL40" i="27" s="1"/>
  <c r="AJ178" i="27"/>
  <c r="AK178" i="27"/>
  <c r="AL178" i="27" s="1"/>
  <c r="AJ18" i="27"/>
  <c r="AK18" i="27"/>
  <c r="AL18" i="27" s="1"/>
  <c r="AK46" i="27"/>
  <c r="AL46" i="27" s="1"/>
  <c r="AJ46" i="27"/>
  <c r="AJ172" i="27"/>
  <c r="AK172" i="27"/>
  <c r="AL172" i="27" s="1"/>
  <c r="AJ209" i="27"/>
  <c r="AK209" i="27"/>
  <c r="AL209" i="27" s="1"/>
  <c r="AJ174" i="27"/>
  <c r="AK174" i="27"/>
  <c r="AL174" i="27" s="1"/>
  <c r="AJ213" i="27"/>
  <c r="AK213" i="27"/>
  <c r="AL213" i="27" s="1"/>
  <c r="AK50" i="27"/>
  <c r="AL50" i="27" s="1"/>
  <c r="AJ50" i="27"/>
  <c r="AK166" i="27"/>
  <c r="AL166" i="27" s="1"/>
  <c r="AJ166" i="27"/>
  <c r="AK221" i="27"/>
  <c r="AL221" i="27" s="1"/>
  <c r="AJ221" i="27"/>
  <c r="AJ176" i="27"/>
  <c r="AK176" i="27"/>
  <c r="AL176" i="27" s="1"/>
  <c r="AJ186" i="27"/>
  <c r="AK186" i="27"/>
  <c r="AL186" i="27" s="1"/>
  <c r="AK90" i="27"/>
  <c r="AL90" i="27" s="1"/>
  <c r="AJ90" i="27"/>
  <c r="AK190" i="27"/>
  <c r="AL190" i="27" s="1"/>
  <c r="AJ190" i="27"/>
  <c r="AJ184" i="27"/>
  <c r="AK184" i="27"/>
  <c r="AL184" i="27" s="1"/>
  <c r="AJ194" i="27"/>
  <c r="AK194" i="27"/>
  <c r="AL194" i="27" s="1"/>
  <c r="AJ196" i="27"/>
  <c r="AK196" i="27"/>
  <c r="AL196" i="27" s="1"/>
  <c r="AJ200" i="27"/>
  <c r="AK200" i="27"/>
  <c r="AL200" i="27" s="1"/>
  <c r="AJ258" i="27"/>
  <c r="AK258" i="27"/>
  <c r="AL258" i="27" s="1"/>
  <c r="AR9" i="26"/>
  <c r="AS9" i="26" s="1"/>
  <c r="AQ9" i="26"/>
  <c r="AQ7" i="26"/>
  <c r="AR7" i="26"/>
  <c r="AS7" i="26" s="1"/>
  <c r="AQ10" i="26"/>
  <c r="AR117" i="26"/>
  <c r="AS117" i="26" s="1"/>
  <c r="AR334" i="26"/>
  <c r="AS334" i="26" s="1"/>
  <c r="AR136" i="26"/>
  <c r="AS136" i="26" s="1"/>
  <c r="AR331" i="26"/>
  <c r="AS331" i="26" s="1"/>
  <c r="AQ209" i="26"/>
  <c r="AR209" i="26"/>
  <c r="AS209" i="26" s="1"/>
  <c r="AQ175" i="26"/>
  <c r="AQ207" i="26"/>
  <c r="AR207" i="26"/>
  <c r="AS207" i="26" s="1"/>
  <c r="AR96" i="26"/>
  <c r="AS96" i="26" s="1"/>
  <c r="AQ96" i="26"/>
  <c r="AQ149" i="26"/>
  <c r="AQ18" i="26"/>
  <c r="AR320" i="26"/>
  <c r="AS320" i="26" s="1"/>
  <c r="AR318" i="26"/>
  <c r="AS318" i="26" s="1"/>
  <c r="AR15" i="26"/>
  <c r="AS15" i="26" s="1"/>
  <c r="AQ170" i="26"/>
  <c r="AR170" i="26"/>
  <c r="AS170" i="26" s="1"/>
  <c r="AQ88" i="26"/>
  <c r="AR88" i="26"/>
  <c r="AS88" i="26" s="1"/>
  <c r="AR94" i="26"/>
  <c r="AS94" i="26" s="1"/>
  <c r="AQ74" i="26"/>
  <c r="AR74" i="26"/>
  <c r="AS74" i="26" s="1"/>
  <c r="AQ221" i="26"/>
  <c r="AR221" i="26"/>
  <c r="AS221" i="26" s="1"/>
  <c r="AQ93" i="26"/>
  <c r="AQ185" i="26"/>
  <c r="AQ59" i="26"/>
  <c r="AR189" i="26"/>
  <c r="AS189" i="26" s="1"/>
  <c r="AQ161" i="26"/>
  <c r="AQ191" i="26"/>
  <c r="AQ323" i="26"/>
  <c r="AR323" i="26"/>
  <c r="AS323" i="26" s="1"/>
  <c r="AQ66" i="26"/>
  <c r="AR66" i="26"/>
  <c r="AS66" i="26" s="1"/>
  <c r="AQ69" i="26"/>
  <c r="AQ177" i="26"/>
  <c r="AQ14" i="26"/>
  <c r="AQ86" i="26"/>
  <c r="AR86" i="26"/>
  <c r="AS86" i="26" s="1"/>
  <c r="AQ28" i="26"/>
  <c r="AR28" i="26"/>
  <c r="AS28" i="26" s="1"/>
  <c r="AQ160" i="26"/>
  <c r="AR160" i="26"/>
  <c r="AS160" i="26" s="1"/>
  <c r="AQ11" i="26"/>
  <c r="AR11" i="26"/>
  <c r="AS11" i="26" s="1"/>
  <c r="AQ19" i="26"/>
  <c r="AR19" i="26"/>
  <c r="AS19" i="26" s="1"/>
  <c r="AR13" i="26"/>
  <c r="AS13" i="26" s="1"/>
  <c r="AQ13" i="26"/>
  <c r="AQ215" i="26"/>
  <c r="AR215" i="26"/>
  <c r="AS215" i="26" s="1"/>
  <c r="AQ98" i="26"/>
  <c r="AR98" i="26"/>
  <c r="AS98" i="26" s="1"/>
  <c r="AQ190" i="26"/>
  <c r="AR190" i="26"/>
  <c r="AS190" i="26" s="1"/>
  <c r="AQ162" i="26"/>
  <c r="AR162" i="26"/>
  <c r="AS162" i="26" s="1"/>
  <c r="AQ186" i="26"/>
  <c r="AR186" i="26"/>
  <c r="AS186" i="26" s="1"/>
  <c r="AQ84" i="26"/>
  <c r="AR84" i="26"/>
  <c r="AS84" i="26" s="1"/>
  <c r="AQ156" i="26"/>
  <c r="AR156" i="26"/>
  <c r="AS156" i="26" s="1"/>
  <c r="AQ200" i="26"/>
  <c r="AR200" i="26"/>
  <c r="AS200" i="26" s="1"/>
  <c r="AR174" i="26"/>
  <c r="AS174" i="26" s="1"/>
  <c r="AQ174" i="26"/>
  <c r="AQ64" i="26"/>
  <c r="AR64" i="26"/>
  <c r="AS64" i="26" s="1"/>
  <c r="AQ172" i="26"/>
  <c r="AR172" i="26"/>
  <c r="AS172" i="26" s="1"/>
  <c r="AQ335" i="26"/>
  <c r="AR335" i="26"/>
  <c r="AS335" i="26" s="1"/>
  <c r="AQ202" i="26"/>
  <c r="AR202" i="26"/>
  <c r="AS202" i="26" s="1"/>
  <c r="AQ217" i="26"/>
  <c r="AR217" i="26"/>
  <c r="AS217" i="26" s="1"/>
  <c r="AQ90" i="26"/>
  <c r="AR90" i="26"/>
  <c r="AS90" i="26" s="1"/>
  <c r="AQ182" i="26"/>
  <c r="AR182" i="26"/>
  <c r="AS182" i="26" s="1"/>
  <c r="AJ15" i="14"/>
  <c r="AK27" i="14"/>
  <c r="AL27" i="14" s="1"/>
  <c r="AJ338" i="14"/>
  <c r="AK6" i="14"/>
  <c r="AL6" i="14" s="1"/>
  <c r="AJ6" i="14"/>
  <c r="AJ96" i="14"/>
  <c r="AK96" i="14"/>
  <c r="AL96" i="14" s="1"/>
  <c r="AK78" i="14"/>
  <c r="AL78" i="14" s="1"/>
  <c r="AJ78" i="14"/>
  <c r="AJ56" i="14"/>
  <c r="AK56" i="14"/>
  <c r="AL56" i="14" s="1"/>
  <c r="AJ322" i="14"/>
  <c r="AK322" i="14"/>
  <c r="AL322" i="14" s="1"/>
  <c r="AJ86" i="14"/>
  <c r="AK86" i="14"/>
  <c r="AL86" i="14" s="1"/>
  <c r="AK23" i="31"/>
  <c r="AL23" i="31" s="1"/>
  <c r="AJ23" i="31"/>
  <c r="AJ21" i="31"/>
  <c r="AK21" i="31"/>
  <c r="AL21" i="31" s="1"/>
  <c r="AJ19" i="31"/>
  <c r="AK19" i="31"/>
  <c r="AL19" i="31" s="1"/>
  <c r="AB4" i="5"/>
  <c r="AC3" i="5"/>
  <c r="AK133" i="14"/>
  <c r="AL133" i="14" s="1"/>
  <c r="AJ133" i="14"/>
  <c r="AK225" i="14"/>
  <c r="AL225" i="14" s="1"/>
  <c r="AJ225" i="14"/>
  <c r="AK118" i="14"/>
  <c r="AL118" i="14" s="1"/>
  <c r="AJ118" i="14"/>
  <c r="AK109" i="33"/>
  <c r="AL109" i="33" s="1"/>
  <c r="AJ109" i="33"/>
  <c r="AL17" i="32"/>
  <c r="AM17" i="32" s="1"/>
  <c r="AK17" i="32"/>
  <c r="AJ94" i="14"/>
  <c r="AK94" i="14"/>
  <c r="AL94" i="14" s="1"/>
  <c r="AK142" i="14"/>
  <c r="AL142" i="14" s="1"/>
  <c r="AJ142" i="14"/>
  <c r="AK108" i="33"/>
  <c r="AL108" i="33" s="1"/>
  <c r="AJ108" i="33"/>
  <c r="AK210" i="14"/>
  <c r="AL210" i="14" s="1"/>
  <c r="AJ210" i="14"/>
  <c r="M8" i="10"/>
  <c r="L8" i="10"/>
  <c r="K8" i="10"/>
  <c r="AJ98" i="14"/>
  <c r="AK98" i="14"/>
  <c r="AL98" i="14" s="1"/>
  <c r="AL235" i="29"/>
  <c r="AM235" i="29" s="1"/>
  <c r="AK235" i="29"/>
  <c r="AK218" i="14"/>
  <c r="AL218" i="14" s="1"/>
  <c r="AJ218" i="14"/>
  <c r="AL231" i="29"/>
  <c r="AM231" i="29" s="1"/>
  <c r="AK231" i="29"/>
  <c r="AK9" i="32"/>
  <c r="AL9" i="32"/>
  <c r="AM9" i="32" s="1"/>
  <c r="AK106" i="14"/>
  <c r="AL106" i="14" s="1"/>
  <c r="AJ106" i="14"/>
  <c r="AK150" i="14"/>
  <c r="AL150" i="14" s="1"/>
  <c r="AJ150" i="14"/>
  <c r="AK83" i="33"/>
  <c r="AL83" i="33" s="1"/>
  <c r="AJ83" i="33"/>
  <c r="AK134" i="14"/>
  <c r="AL134" i="14" s="1"/>
  <c r="AJ134" i="14"/>
  <c r="AK110" i="33"/>
  <c r="AL110" i="33" s="1"/>
  <c r="AJ110" i="33"/>
  <c r="AK126" i="14"/>
  <c r="AL126" i="14" s="1"/>
  <c r="AJ126" i="14"/>
  <c r="AK121" i="14"/>
  <c r="AL121" i="14" s="1"/>
  <c r="AJ121" i="14"/>
  <c r="AK333" i="14"/>
  <c r="AL333" i="14" s="1"/>
  <c r="AJ333" i="14"/>
  <c r="AK102" i="14"/>
  <c r="AL102" i="14" s="1"/>
  <c r="AJ102" i="14"/>
  <c r="AB5" i="5" l="1"/>
  <c r="AC4" i="5"/>
  <c r="AB6" i="5" l="1"/>
  <c r="AC6" i="5" s="1"/>
  <c r="AC5" i="5"/>
  <c r="R5" i="4" s="1"/>
  <c r="S5" i="4" l="1"/>
  <c r="T5" i="4" s="1"/>
  <c r="U5" i="4" s="1"/>
  <c r="V5" i="4" s="1"/>
  <c r="R3" i="4"/>
  <c r="R6" i="4"/>
  <c r="R4" i="4"/>
  <c r="S6" i="4" l="1"/>
  <c r="T6" i="4" s="1"/>
  <c r="U6" i="4" s="1"/>
  <c r="V6" i="4" s="1"/>
  <c r="S3" i="4"/>
  <c r="T3" i="4" s="1"/>
  <c r="U3" i="4" s="1"/>
  <c r="V3" i="4" s="1"/>
  <c r="S4" i="4"/>
  <c r="T4" i="4" s="1"/>
  <c r="U4" i="4" s="1"/>
  <c r="V4" i="4" s="1"/>
</calcChain>
</file>

<file path=xl/sharedStrings.xml><?xml version="1.0" encoding="utf-8"?>
<sst xmlns="http://schemas.openxmlformats.org/spreadsheetml/2006/main" count="9071" uniqueCount="621">
  <si>
    <t>แปลง พศ เป็น คศ =&gt;</t>
  </si>
  <si>
    <t>เลข ปชช</t>
  </si>
  <si>
    <t>เกื้อกูล เริ่มต้น</t>
  </si>
  <si>
    <t>เกื้อกูล สิ้นสุด</t>
  </si>
  <si>
    <t>ปี</t>
  </si>
  <si>
    <t>เดือน</t>
  </si>
  <si>
    <t>วัน</t>
  </si>
  <si>
    <t>จำนวนวันทั้งหมด</t>
  </si>
  <si>
    <t>สัดส่วน (%)</t>
  </si>
  <si>
    <t>จำนวนวันเกื้อกูล</t>
  </si>
  <si>
    <t>เกื้อกูล สิ้นสุด สุทธิ</t>
  </si>
  <si>
    <t>ปี เกื้อกูลสุทธิ</t>
  </si>
  <si>
    <t>เดือน เกื้อกูลสุทธิ</t>
  </si>
  <si>
    <t>วัน เกื้อกูลสุทธิ</t>
  </si>
  <si>
    <t>1234567890001</t>
  </si>
  <si>
    <t>1234567890002</t>
  </si>
  <si>
    <t>ตน.ที่จะเลื่อน</t>
  </si>
  <si>
    <t>วัน เริ่มต้น</t>
  </si>
  <si>
    <t>วัน สิ้นสุด</t>
  </si>
  <si>
    <t>นักทรัพยากรบุคคล</t>
  </si>
  <si>
    <t>ตน.เดิม</t>
  </si>
  <si>
    <t>กลุ่มงาน</t>
  </si>
  <si>
    <t>กอง</t>
  </si>
  <si>
    <t>กรม</t>
  </si>
  <si>
    <t>จังหวัด</t>
  </si>
  <si>
    <t>ตน.ใหม่</t>
  </si>
  <si>
    <t>ต่างสายงาน</t>
  </si>
  <si>
    <t>ต่างหน่วยงาน</t>
  </si>
  <si>
    <t>ต่างพื้นที่</t>
  </si>
  <si>
    <t>ต่างลักษณะงาน</t>
  </si>
  <si>
    <t>ครบ 3 ต่าง</t>
  </si>
  <si>
    <t>วันที่ครบ 3 ต่าง</t>
  </si>
  <si>
    <t>สรรหา</t>
  </si>
  <si>
    <t>กองบริหารทรัพยากรบุคคล</t>
  </si>
  <si>
    <t>สำนักงานปลัดกระทรวงยุติธรรม</t>
  </si>
  <si>
    <t>กรุงเทพ</t>
  </si>
  <si>
    <t>นักวิชาการยุติธรรม</t>
  </si>
  <si>
    <t>นนทบุรี</t>
  </si>
  <si>
    <t>ข้อมูล</t>
  </si>
  <si>
    <t>บริหารทรัพยากรบุคคล</t>
  </si>
  <si>
    <t>ตน.ปฏิบัติงาน</t>
  </si>
  <si>
    <t>เทียบตำแหน่ง</t>
  </si>
  <si>
    <t>ขอ เริ่มต้น</t>
  </si>
  <si>
    <t>ขอ สิ้นสุด</t>
  </si>
  <si>
    <t>เทียบ เริ่มต้น</t>
  </si>
  <si>
    <t>เทียบ สิ้นสุด</t>
  </si>
  <si>
    <t>ผู้เชี่ยวชาญเฉพาะด้านบริหารทรัพยากรบุคคล</t>
  </si>
  <si>
    <t>อำนวยการ</t>
  </si>
  <si>
    <t>ตำแหน่ง</t>
  </si>
  <si>
    <t>ผอ.บค</t>
  </si>
  <si>
    <t>วันปิดรับสมัคร</t>
  </si>
  <si>
    <t>ลำดับที่</t>
  </si>
  <si>
    <t>เลข ปชช.</t>
  </si>
  <si>
    <t>ชื่อ - นามสกุล</t>
  </si>
  <si>
    <t>วันบรรจุ</t>
  </si>
  <si>
    <t>ตำแหน่งปัจจุบัน</t>
  </si>
  <si>
    <t>ประเภทระดับปัจจุบัน</t>
  </si>
  <si>
    <t>วันเข้าสู่ระดับปัจจุบัน</t>
  </si>
  <si>
    <t>ตำแหน่ง ก่อนปัจจุบัน</t>
  </si>
  <si>
    <t>ประเภทระดับ ก่อนปัจจุบัน</t>
  </si>
  <si>
    <t>วันเข้าสู่ระดับก่อนปัจจุบัน</t>
  </si>
  <si>
    <t>ระดับการศึกษา</t>
  </si>
  <si>
    <t>ระดับที่จะเลื่อน</t>
  </si>
  <si>
    <t>ประวัติสายงาน</t>
  </si>
  <si>
    <t>จำนวนวัน ใน ตน.ที่จะเลื่อน</t>
  </si>
  <si>
    <t>เกื้อกูล จำนวนวัน</t>
  </si>
  <si>
    <t>จำนวนวัน ตน.ที่จะเลื่อน + เกื้อกูล</t>
  </si>
  <si>
    <t>วันที่เริ่มนับ</t>
  </si>
  <si>
    <t>วันที่มีคุณสมบัติ</t>
  </si>
  <si>
    <t>จำนวนวันที่เหลือ</t>
  </si>
  <si>
    <t>สถานะ</t>
  </si>
  <si>
    <t>K1</t>
  </si>
  <si>
    <t>1/12/2019</t>
  </si>
  <si>
    <t>ป.ตรี</t>
  </si>
  <si>
    <t>K2</t>
  </si>
  <si>
    <t>1/6/2012</t>
  </si>
  <si>
    <t>1/1/2023</t>
  </si>
  <si>
    <t>1/1/2021</t>
  </si>
  <si>
    <t>ป.โท</t>
  </si>
  <si>
    <t>นิติกร</t>
  </si>
  <si>
    <t>ป.เอก</t>
  </si>
  <si>
    <t>วันเข้าสู่ระดับ ก่อนปัจจุบัน</t>
  </si>
  <si>
    <t>วันที่ดำรงตำแหน่ง ชก 4 ปี</t>
  </si>
  <si>
    <t>วันที่มีคุณสมบัติในสายงาน</t>
  </si>
  <si>
    <t>วันที่มีคุณสมบัติ ชพ</t>
  </si>
  <si>
    <t>หมายเหตุ</t>
  </si>
  <si>
    <t>15/3/2012</t>
  </si>
  <si>
    <t>27/12/2022</t>
  </si>
  <si>
    <t>K3</t>
  </si>
  <si>
    <t>14/10/2016</t>
  </si>
  <si>
    <t>10/08/2022</t>
  </si>
  <si>
    <t>4/3/2016</t>
  </si>
  <si>
    <t>9/3/2020</t>
  </si>
  <si>
    <t>13/7/2012</t>
  </si>
  <si>
    <t>28/3/2018</t>
  </si>
  <si>
    <t>28/7/2006</t>
  </si>
  <si>
    <t>27/1/2014</t>
  </si>
  <si>
    <t>1/10/2015</t>
  </si>
  <si>
    <t>1/10/2019</t>
  </si>
  <si>
    <t>15/10/2012</t>
  </si>
  <si>
    <t>14/8/2020</t>
  </si>
  <si>
    <t>16/1/2009</t>
  </si>
  <si>
    <t>19/10/2022</t>
  </si>
  <si>
    <t>22/1/2018</t>
  </si>
  <si>
    <t>20/1/2023</t>
  </si>
  <si>
    <t>18/2/2022</t>
  </si>
  <si>
    <t>19/1/2018</t>
  </si>
  <si>
    <t>28/9/1992</t>
  </si>
  <si>
    <t>25/3/2015</t>
  </si>
  <si>
    <t>นักจัดการงานทั่วไป</t>
  </si>
  <si>
    <t>26/3/2013</t>
  </si>
  <si>
    <t>1/9/2011</t>
  </si>
  <si>
    <t>17/6/2016</t>
  </si>
  <si>
    <t>20/7/2015</t>
  </si>
  <si>
    <t>11/12/2019</t>
  </si>
  <si>
    <t>16/10/2017</t>
  </si>
  <si>
    <t>22/12/2022</t>
  </si>
  <si>
    <t>14/7/2008</t>
  </si>
  <si>
    <t>19/6/2017</t>
  </si>
  <si>
    <t>20/6/2013</t>
  </si>
  <si>
    <t>15/12/2014</t>
  </si>
  <si>
    <t>21/1/2021</t>
  </si>
  <si>
    <t>3/6/1996</t>
  </si>
  <si>
    <t>8/1/2012</t>
  </si>
  <si>
    <t>เจ้าพนักงานธุรการ</t>
  </si>
  <si>
    <t>1/10/2000</t>
  </si>
  <si>
    <t>1/7/2011</t>
  </si>
  <si>
    <t>1/2/2016</t>
  </si>
  <si>
    <t>นักวิชาการศึกษา</t>
  </si>
  <si>
    <t>22/10/2012</t>
  </si>
  <si>
    <t>นักวิเคราะห์นโยบายและแผน</t>
  </si>
  <si>
    <t>11/10/2017</t>
  </si>
  <si>
    <t>ประเภทระดับ ก่อนปัจจุบัน 1</t>
  </si>
  <si>
    <t>ประเภทระดับ ก่อนปัจจุบัน 2</t>
  </si>
  <si>
    <t>วุฒิการศึกษา</t>
  </si>
  <si>
    <t>S1</t>
  </si>
  <si>
    <t>M2</t>
  </si>
  <si>
    <t>K4</t>
  </si>
  <si>
    <t>นิติศาสตร์</t>
  </si>
  <si>
    <t>กรมคุมประพฤติ</t>
  </si>
  <si>
    <t>กรมคุ้มครองสิทธิและเสรีภาพ</t>
  </si>
  <si>
    <t>กรมบังคับคดี</t>
  </si>
  <si>
    <t>กรมพินิจและคุ้มครองเด็กและเยาวชน</t>
  </si>
  <si>
    <t>กรมราชทัณฑ์</t>
  </si>
  <si>
    <t>กรมสอบสวนคดีพิเศษ</t>
  </si>
  <si>
    <t>สำนักงานกิจการยุติธรรม</t>
  </si>
  <si>
    <t>สถาบันนิติวิทยาศาสตร์</t>
  </si>
  <si>
    <t>สำนักงานรัฐมนตรี กระทรวงยุติธรรม</t>
  </si>
  <si>
    <t>M1</t>
  </si>
  <si>
    <t>O3</t>
  </si>
  <si>
    <t>เกษียณ</t>
  </si>
  <si>
    <t>เงินเดือน</t>
  </si>
  <si>
    <t>เครื่องราชฯ</t>
  </si>
  <si>
    <t>ผู้ช่วยปลัดกระทรวงยุติธรรม</t>
  </si>
  <si>
    <t>รองอธิบดีกรมคุมประพฤติ</t>
  </si>
  <si>
    <t>รองอธิบดีกรมคุ้มครองสิทธิและเสรีภาพ</t>
  </si>
  <si>
    <t>รองอธิบดีกรมบังคับคดี</t>
  </si>
  <si>
    <t>รองอธิบดีกรมพินิจและคุ้มครองเด็ก
และเยาวชน</t>
  </si>
  <si>
    <t>รองอธิบดีกรมราชทัณฑ์</t>
  </si>
  <si>
    <t>รองอธิบดีกรมสอบสวนคดีพิเศษ</t>
  </si>
  <si>
    <t>รองผู้อำนวยการสำนักงานกิจการยุติธรรม</t>
  </si>
  <si>
    <t>รองผู้อำนวยการสถาบันนิติวิทยาศาสตร์</t>
  </si>
  <si>
    <t>03/04/2532</t>
  </si>
  <si>
    <t>รัฐประศาสนศาสตรบัณฑิต</t>
  </si>
  <si>
    <t>01/05/2533</t>
  </si>
  <si>
    <t>วิทยาศาสตรบัณฑิต</t>
  </si>
  <si>
    <t>ศิลปศาสตร์มหาบัณฑิต</t>
  </si>
  <si>
    <t>ศิลปศาสตรบัณฑิต</t>
  </si>
  <si>
    <t>01/10/2560</t>
  </si>
  <si>
    <t>สังคมสงเคราะห์ศาสตรมหาบัณฑิต</t>
  </si>
  <si>
    <t>15/03/2534</t>
  </si>
  <si>
    <t>12/05/2527</t>
  </si>
  <si>
    <t>ศิลปศาสตรมหาบัณฑิต</t>
  </si>
  <si>
    <t>การจัดการภาครัฐและภาคเอกชนมหาบัณฑิต</t>
  </si>
  <si>
    <t>01/04/2535</t>
  </si>
  <si>
    <t>แพทยศาสตรบัณฑิต</t>
  </si>
  <si>
    <t>01/03/2533</t>
  </si>
  <si>
    <t>01/10/2562</t>
  </si>
  <si>
    <t>รัฐประศาสนศาสตรมหาบัณฑิต</t>
  </si>
  <si>
    <t>20/01/2566</t>
  </si>
  <si>
    <t>10/11/2538</t>
  </si>
  <si>
    <t>17/11/2564</t>
  </si>
  <si>
    <t>บริหารธุรกิจบัณฑิต</t>
  </si>
  <si>
    <t>10/08/2535</t>
  </si>
  <si>
    <t>24/07/2566</t>
  </si>
  <si>
    <t>06/01/2546</t>
  </si>
  <si>
    <t>26/01/2565</t>
  </si>
  <si>
    <t>01/08/2533</t>
  </si>
  <si>
    <t>23/12/2534</t>
  </si>
  <si>
    <t>30/11/2536</t>
  </si>
  <si>
    <t>16/03/2530</t>
  </si>
  <si>
    <t>02/04/2533</t>
  </si>
  <si>
    <t>29/11/2565</t>
  </si>
  <si>
    <t>ทันตแพทยศาสตรบัณฑิต</t>
  </si>
  <si>
    <t>06/03/2540</t>
  </si>
  <si>
    <t>24/02/2563</t>
  </si>
  <si>
    <t>รัฐศาสตรบัณฑิต</t>
  </si>
  <si>
    <t>01/05/2534</t>
  </si>
  <si>
    <t>22/09/2563</t>
  </si>
  <si>
    <t>08/05/2526</t>
  </si>
  <si>
    <t>09/03/2564</t>
  </si>
  <si>
    <t>01/10/2564</t>
  </si>
  <si>
    <t>22/10/2544</t>
  </si>
  <si>
    <t>10/08/2565</t>
  </si>
  <si>
    <t>23/12/2540</t>
  </si>
  <si>
    <t>26/10/2559</t>
  </si>
  <si>
    <t>25/12/2544</t>
  </si>
  <si>
    <t>09/06/2566</t>
  </si>
  <si>
    <t>01/02/2533</t>
  </si>
  <si>
    <t>19/12/2559</t>
  </si>
  <si>
    <t>27/01/2529</t>
  </si>
  <si>
    <t>01/05/2557</t>
  </si>
  <si>
    <t>18/06/2561</t>
  </si>
  <si>
    <t>07/05/2562</t>
  </si>
  <si>
    <t>06/01/2565</t>
  </si>
  <si>
    <t>04/08/2536</t>
  </si>
  <si>
    <t>21/12/2566</t>
  </si>
  <si>
    <t>02/01/2533</t>
  </si>
  <si>
    <t>สังคมวิทยาและมานุษยวิทยาดุษฎีบัณฑิต</t>
  </si>
  <si>
    <t>01/11/2537</t>
  </si>
  <si>
    <t>30/09/2565</t>
  </si>
  <si>
    <t>ศึกษาศาสตรมหาบัณฑิต</t>
  </si>
  <si>
    <t>20/04/2532</t>
  </si>
  <si>
    <t>15/04/2534</t>
  </si>
  <si>
    <t>23/04/2540</t>
  </si>
  <si>
    <t>30/11/2563</t>
  </si>
  <si>
    <t>11/11/2534</t>
  </si>
  <si>
    <t>12/10/2566</t>
  </si>
  <si>
    <t>04/12/2562</t>
  </si>
  <si>
    <t>04/10/2536</t>
  </si>
  <si>
    <t>03/11/2540</t>
  </si>
  <si>
    <t>15/05/2538</t>
  </si>
  <si>
    <t>02/12/2534</t>
  </si>
  <si>
    <t>08/08/2531</t>
  </si>
  <si>
    <t>15/06/2537</t>
  </si>
  <si>
    <t>02/09/2534</t>
  </si>
  <si>
    <t>09/04/2533</t>
  </si>
  <si>
    <t>27/11/2561</t>
  </si>
  <si>
    <t>19/11/2564</t>
  </si>
  <si>
    <t>01/05/2528</t>
  </si>
  <si>
    <t>16/06/2540</t>
  </si>
  <si>
    <t>08/01/2562</t>
  </si>
  <si>
    <t>20/04/2561</t>
  </si>
  <si>
    <t>03/01/2538</t>
  </si>
  <si>
    <t>02/01/2535</t>
  </si>
  <si>
    <t>19/07/2561</t>
  </si>
  <si>
    <t>13/06/2537</t>
  </si>
  <si>
    <t>12/11/2561</t>
  </si>
  <si>
    <t>03/04/2562</t>
  </si>
  <si>
    <t>25/09/2566</t>
  </si>
  <si>
    <t>01/08/2538</t>
  </si>
  <si>
    <t>15/08/2540</t>
  </si>
  <si>
    <t>01/10/2563</t>
  </si>
  <si>
    <t>26/01/2538</t>
  </si>
  <si>
    <t>13/08/2534</t>
  </si>
  <si>
    <t>20/03/2528</t>
  </si>
  <si>
    <t>01/02/2536</t>
  </si>
  <si>
    <t>19/12/2566</t>
  </si>
  <si>
    <t>02/10/2532</t>
  </si>
  <si>
    <t>15/02/2544</t>
  </si>
  <si>
    <t>04/03/2539</t>
  </si>
  <si>
    <t>03/04/2539</t>
  </si>
  <si>
    <t>11/04/2539</t>
  </si>
  <si>
    <t>01/02/2538</t>
  </si>
  <si>
    <t>25/10/2543</t>
  </si>
  <si>
    <t>01/09/2536</t>
  </si>
  <si>
    <t>16/09/2536</t>
  </si>
  <si>
    <t>18/09/2543</t>
  </si>
  <si>
    <t>21/12/2530</t>
  </si>
  <si>
    <t>การศึกษามหาบัณฑิต</t>
  </si>
  <si>
    <t>15/08/2555</t>
  </si>
  <si>
    <t>10/05/2542</t>
  </si>
  <si>
    <t>03/07/2560</t>
  </si>
  <si>
    <t>28/04/2528</t>
  </si>
  <si>
    <t>10/09/2544</t>
  </si>
  <si>
    <t>21/06/2536</t>
  </si>
  <si>
    <t>03/12/2564</t>
  </si>
  <si>
    <t>15/09/2540</t>
  </si>
  <si>
    <t>15/10/2563</t>
  </si>
  <si>
    <t>02/11/2530</t>
  </si>
  <si>
    <t>13/07/2533</t>
  </si>
  <si>
    <t>03/05/2542</t>
  </si>
  <si>
    <t>12/12/2543</t>
  </si>
  <si>
    <t>01/04/2541</t>
  </si>
  <si>
    <t>21/04/2559</t>
  </si>
  <si>
    <t>ศิลปศาสตรบัณฑิต (รัฐศาสตร์)</t>
  </si>
  <si>
    <t>22/11/2542</t>
  </si>
  <si>
    <t>29/10/2563</t>
  </si>
  <si>
    <t>13/01/2540</t>
  </si>
  <si>
    <t>01/07/2536</t>
  </si>
  <si>
    <t>02/06/2543</t>
  </si>
  <si>
    <t>01/11/2564</t>
  </si>
  <si>
    <t>01/09/2541</t>
  </si>
  <si>
    <t>01/11/2543</t>
  </si>
  <si>
    <t>18/05/2566</t>
  </si>
  <si>
    <t>02/09/2539</t>
  </si>
  <si>
    <t>02/10/2538</t>
  </si>
  <si>
    <t>22/12/2540</t>
  </si>
  <si>
    <t>18/10/2547</t>
  </si>
  <si>
    <t>01/09/2543</t>
  </si>
  <si>
    <t>22/11/2536</t>
  </si>
  <si>
    <t>29/11/2561</t>
  </si>
  <si>
    <t>27/12/2532</t>
  </si>
  <si>
    <t>15/07/2548</t>
  </si>
  <si>
    <t>01/02/2543</t>
  </si>
  <si>
    <t>01/04/2532</t>
  </si>
  <si>
    <t>19/12/2562</t>
  </si>
  <si>
    <t>05/03/2535</t>
  </si>
  <si>
    <t>16/01/2561</t>
  </si>
  <si>
    <t>01/06/2538</t>
  </si>
  <si>
    <t>07/05/2564</t>
  </si>
  <si>
    <t>26/04/2530</t>
  </si>
  <si>
    <t>04/05/2543</t>
  </si>
  <si>
    <t>10/04/2560</t>
  </si>
  <si>
    <t>04/12/2532</t>
  </si>
  <si>
    <t>23/07/2564</t>
  </si>
  <si>
    <t>15/06/2530</t>
  </si>
  <si>
    <t>01/05/2541</t>
  </si>
  <si>
    <t>บัญชีบัณฑิต</t>
  </si>
  <si>
    <t>01/08/2545</t>
  </si>
  <si>
    <t>03/12/2544</t>
  </si>
  <si>
    <t>16/08/2533</t>
  </si>
  <si>
    <t>30/07/2535</t>
  </si>
  <si>
    <t>15/05/2527</t>
  </si>
  <si>
    <t>01/09/2542</t>
  </si>
  <si>
    <t>10/10/2531</t>
  </si>
  <si>
    <t>27/02/2527</t>
  </si>
  <si>
    <t>21/06/2531</t>
  </si>
  <si>
    <t>03/06/2534</t>
  </si>
  <si>
    <t>เศรษฐศาสตรบัณฑิต</t>
  </si>
  <si>
    <t>15/06/2531</t>
  </si>
  <si>
    <t>01/04/2529</t>
  </si>
  <si>
    <t>ศิลปศาสตรบัณฑิต (ศึกษาศาสตร์)</t>
  </si>
  <si>
    <t>29/01/2533</t>
  </si>
  <si>
    <t>23/08/2539</t>
  </si>
  <si>
    <t>01/01/2542</t>
  </si>
  <si>
    <t>05/05/2563</t>
  </si>
  <si>
    <t>ศิลปศาสตรมหาบัณฑิต(รัฐศาสตร์)</t>
  </si>
  <si>
    <t>14/07/2543</t>
  </si>
  <si>
    <t>25/03/2565</t>
  </si>
  <si>
    <t>06/11/2543</t>
  </si>
  <si>
    <t>29/10/2544</t>
  </si>
  <si>
    <t>11/07/2539</t>
  </si>
  <si>
    <t>07/06/2539</t>
  </si>
  <si>
    <t>15/08/2544</t>
  </si>
  <si>
    <t>29/04/2533</t>
  </si>
  <si>
    <t>28/04/2529</t>
  </si>
  <si>
    <t>16/11/2535</t>
  </si>
  <si>
    <t>09/10/2538</t>
  </si>
  <si>
    <t>24/10/2534</t>
  </si>
  <si>
    <t>03/05/2536</t>
  </si>
  <si>
    <t>15/01/2541</t>
  </si>
  <si>
    <t>01/07/2540</t>
  </si>
  <si>
    <t>28/07/2543</t>
  </si>
  <si>
    <t>06/03/2539</t>
  </si>
  <si>
    <t>30/04/2536</t>
  </si>
  <si>
    <t>15/05/2535</t>
  </si>
  <si>
    <t>21/05/2533</t>
  </si>
  <si>
    <t>16/01/2534</t>
  </si>
  <si>
    <t>06/01/2535</t>
  </si>
  <si>
    <t>01/12/2541</t>
  </si>
  <si>
    <t>10/10/2542</t>
  </si>
  <si>
    <t>30/01/2530</t>
  </si>
  <si>
    <t>17/06/2531</t>
  </si>
  <si>
    <t>03/10/2537</t>
  </si>
  <si>
    <t>26/08/2545</t>
  </si>
  <si>
    <t>01/12/2547</t>
  </si>
  <si>
    <t>02/04/2544</t>
  </si>
  <si>
    <t>30/08/2545</t>
  </si>
  <si>
    <t>07/04/2541</t>
  </si>
  <si>
    <t>15/04/2531</t>
  </si>
  <si>
    <t>นิเทศศาสตรมหาบัณฑิต</t>
  </si>
  <si>
    <t>26/12/2534</t>
  </si>
  <si>
    <t>21/07/2566</t>
  </si>
  <si>
    <t>29/06/2541</t>
  </si>
  <si>
    <t>06/05/2529</t>
  </si>
  <si>
    <t>10/03/2564</t>
  </si>
  <si>
    <t>01/10/2536</t>
  </si>
  <si>
    <t>25/09/2555</t>
  </si>
  <si>
    <t>10/07/2530</t>
  </si>
  <si>
    <t>21/01/2563</t>
  </si>
  <si>
    <t>01/04/2536</t>
  </si>
  <si>
    <t>01/05/2532</t>
  </si>
  <si>
    <t>17/12/2564</t>
  </si>
  <si>
    <t>01/06/2537</t>
  </si>
  <si>
    <t>29/09/2563</t>
  </si>
  <si>
    <t>07/02/2537</t>
  </si>
  <si>
    <t>01/07/2562</t>
  </si>
  <si>
    <t>16/07/2558</t>
  </si>
  <si>
    <t>02/05/2559</t>
  </si>
  <si>
    <t>18/09/2538</t>
  </si>
  <si>
    <t>18/10/2564</t>
  </si>
  <si>
    <t>07/08/2549</t>
  </si>
  <si>
    <t>09/07/2547</t>
  </si>
  <si>
    <t>27/09/2566</t>
  </si>
  <si>
    <t>01/07/2546</t>
  </si>
  <si>
    <t>29/01/2539</t>
  </si>
  <si>
    <t>18/02/2562</t>
  </si>
  <si>
    <t>31/08/2544</t>
  </si>
  <si>
    <t>ผู้เชี่ยวชาญเฉพาะด้านนโยบายและยุทธศาตร์</t>
  </si>
  <si>
    <t>17/05/2544</t>
  </si>
  <si>
    <t>20/03/2563</t>
  </si>
  <si>
    <t>15/05/2563</t>
  </si>
  <si>
    <t>27/09/2564</t>
  </si>
  <si>
    <t>17/04/2562</t>
  </si>
  <si>
    <t>18/01/2565</t>
  </si>
  <si>
    <t>19/05/2565</t>
  </si>
  <si>
    <t>22/06/2563</t>
  </si>
  <si>
    <t>23/11/2559</t>
  </si>
  <si>
    <t>12/03/2563</t>
  </si>
  <si>
    <t>14/07/2566</t>
  </si>
  <si>
    <t>24/12/2562</t>
  </si>
  <si>
    <t>22/05/2563</t>
  </si>
  <si>
    <t>31/03/2558</t>
  </si>
  <si>
    <t>10/03/2563</t>
  </si>
  <si>
    <t>30/01/2561</t>
  </si>
  <si>
    <t>27/02/2563</t>
  </si>
  <si>
    <t>15/02/2561</t>
  </si>
  <si>
    <t>16/08/2547</t>
  </si>
  <si>
    <t>09/03/2566</t>
  </si>
  <si>
    <t>28/09/2537</t>
  </si>
  <si>
    <t>02/06/2564</t>
  </si>
  <si>
    <t>04/03/2563</t>
  </si>
  <si>
    <t>ม.ว.ม.</t>
  </si>
  <si>
    <t>26/10/2538</t>
  </si>
  <si>
    <t>ป.ช.</t>
  </si>
  <si>
    <t>ท.ช.</t>
  </si>
  <si>
    <t>ป.ม.</t>
  </si>
  <si>
    <t>13/12/2533</t>
  </si>
  <si>
    <t>10/06/2564</t>
  </si>
  <si>
    <t>15/11/2542</t>
  </si>
  <si>
    <t>27/07/2566</t>
  </si>
  <si>
    <t>07/11/2566</t>
  </si>
  <si>
    <t>23/04/2567</t>
  </si>
  <si>
    <t>02/07/2567</t>
  </si>
  <si>
    <t>11/09/2560</t>
  </si>
  <si>
    <t>21/09/2566</t>
  </si>
  <si>
    <t>02/10/2566</t>
  </si>
  <si>
    <t>08/12/2566</t>
  </si>
  <si>
    <t>30/01/2567</t>
  </si>
  <si>
    <t>last_col</t>
  </si>
  <si>
    <t>check</t>
  </si>
  <si>
    <t>26/11/2567</t>
  </si>
  <si>
    <t>25/07/2567</t>
  </si>
  <si>
    <t>นักวิชาการยุติธรรมเชี่ยวชาญ</t>
  </si>
  <si>
    <t>24/09/2563</t>
  </si>
  <si>
    <t>20/07/2566</t>
  </si>
  <si>
    <t>16/05/2567</t>
  </si>
  <si>
    <t>17/07/2567</t>
  </si>
  <si>
    <t>19/07/2567</t>
  </si>
  <si>
    <t>09/08/2567</t>
  </si>
  <si>
    <t>18/10/2567</t>
  </si>
  <si>
    <t>25/02/2568</t>
  </si>
  <si>
    <t>01/09/2548</t>
  </si>
  <si>
    <t>13/01/2563</t>
  </si>
  <si>
    <t>04/07/2567</t>
  </si>
  <si>
    <t>11/07/2567</t>
  </si>
  <si>
    <t>01/08/2567</t>
  </si>
  <si>
    <t>31/03/2568</t>
  </si>
  <si>
    <t>18/09/2567</t>
  </si>
  <si>
    <t>29/09/2566</t>
  </si>
  <si>
    <t>25/03/2539</t>
  </si>
  <si>
    <t>02/10/2549</t>
  </si>
  <si>
    <t>14/08/2567</t>
  </si>
  <si>
    <t>21/11/2567</t>
  </si>
  <si>
    <t>24/07/2567</t>
  </si>
  <si>
    <t>05/11/2564</t>
  </si>
  <si>
    <t>02/05/2562</t>
  </si>
  <si>
    <t>17/05/2562</t>
  </si>
  <si>
    <t>วันบรรจุ พ.ศ.</t>
  </si>
  <si>
    <t>วันบรรจุ ค.ศ.</t>
  </si>
  <si>
    <t>วันเข้าสู่ระดับปัจจุบัน พ.ศ.</t>
  </si>
  <si>
    <t>วันเข้าสู่ระดับปัจจุบัน ค.ศ.</t>
  </si>
  <si>
    <t>วันเข้าสู่ระดับ ก่อนปัจจุบัน 1 พ.ศ.</t>
  </si>
  <si>
    <t>วันเข้าสู่ระดับ ก่อนปัจจุบัน 1 ค.ศ.</t>
  </si>
  <si>
    <t>วันเข้าสู่ระดับ ก่อนปัจจุบัน 2 พ.ศ.</t>
  </si>
  <si>
    <t>วันเข้าสู่ระดับ ก่อนปัจจุบัน 2 ค.ศ.</t>
  </si>
  <si>
    <t>วันที่มีคุณสมบัติ ทรงคุณวุฒิ ค.ศ.</t>
  </si>
  <si>
    <t>วันที่มีคุณสมบัติ ทรงคุณวุฒิ พ.ศ.</t>
  </si>
  <si>
    <t>index_อส ชช รวม_level</t>
  </si>
  <si>
    <t>from Q3</t>
  </si>
  <si>
    <t>20/12/2562</t>
  </si>
  <si>
    <t>รัฐศาสตรบัณฑิต / ...</t>
  </si>
  <si>
    <t>01/04/2537</t>
  </si>
  <si>
    <t>รัฐประศาสนศาสตรบัณฑิต / ...</t>
  </si>
  <si>
    <t>รองอธิบดีกรมพินิจและคุ้มครองเด็กและเยาวชน</t>
  </si>
  <si>
    <t>ศิลปศาสตรบัณฑิต / ...</t>
  </si>
  <si>
    <t>21/01/2565</t>
  </si>
  <si>
    <t>ศึกษาบัณฑิต / ...</t>
  </si>
  <si>
    <t>2569 เกิด 14 พ.ย. 08</t>
  </si>
  <si>
    <t>M2 01/10/2560</t>
  </si>
  <si>
    <t xml:space="preserve">2574 เกิด 20 พ.ย. 13 </t>
  </si>
  <si>
    <t>M2 09/06/2566</t>
  </si>
  <si>
    <t>2579 เกิด 25 พ.ย. 18</t>
  </si>
  <si>
    <t>M2 26/10/2559</t>
  </si>
  <si>
    <t>12/11/2553</t>
  </si>
  <si>
    <t>26/07/2567</t>
  </si>
  <si>
    <t>M2 15/08/2555</t>
  </si>
  <si>
    <t>M2 20/04/2561</t>
  </si>
  <si>
    <t>M2 01/10/2562</t>
  </si>
  <si>
    <t>K4 15/05/2563</t>
  </si>
  <si>
    <t>11/12/2529</t>
  </si>
  <si>
    <t>30/01/2568</t>
  </si>
  <si>
    <t>M2 25/09/2555</t>
  </si>
  <si>
    <t>M2 02/05/2559</t>
  </si>
  <si>
    <t>M2 10/04/2560</t>
  </si>
  <si>
    <t>M2 16/01/2561</t>
  </si>
  <si>
    <t>M2 15/10/2563</t>
  </si>
  <si>
    <t>M2 18/10/2564</t>
  </si>
  <si>
    <t>รัฐประศาสนศาตรบัณฑิต / ...</t>
  </si>
  <si>
    <t>สังคมเคราะห์ศาสตรบัณฑิต / ...</t>
  </si>
  <si>
    <t>กรมคุมประพฤติ (ตรวจนามสกุล .. ณ มหาสารคาม)</t>
  </si>
  <si>
    <t>บริหารธุรกิจบัณฑิต / ...</t>
  </si>
  <si>
    <t>คุรุศาสตรบัณฑิต / ...</t>
  </si>
  <si>
    <t>อักษรศาสตรมหาบัณฑิต</t>
  </si>
  <si>
    <t>ศาสนศาสตรบัณฑิต / ...</t>
  </si>
  <si>
    <t>พยาบาลศาสตรบัณฑิต / ศิลปศาสตรมหาบัณฑิต</t>
  </si>
  <si>
    <t>วิศวกรรมศาสตรบัณฑิต / ...</t>
  </si>
  <si>
    <t>สังคมสงเคราะห์ศาสตรบัณฑิต / ...</t>
  </si>
  <si>
    <t>คุรุศาสตรบัณฑิต</t>
  </si>
  <si>
    <t>วิทยาศาสตรบัณฑิต / ...</t>
  </si>
  <si>
    <t>พยาบาลศาสตรบัณฑิต / วิทยาศาสตรมหาบัณฑิต</t>
  </si>
  <si>
    <t>11/11/2558</t>
  </si>
  <si>
    <t>08/09/2543</t>
  </si>
  <si>
    <t>วารสารศาสตรบัณฑิต / ...</t>
  </si>
  <si>
    <t>08/04/2563</t>
  </si>
  <si>
    <t>2576 เกิด 1 พ.ย. 15</t>
  </si>
  <si>
    <t>รัฐประศาสนศาสตรบัณฑิต / บริหารธุรกิจมหาบัณฑิต</t>
  </si>
  <si>
    <t>ศิลปศาสตรบัณฑิต / วิทยาศาสตมหาบัณฑิต</t>
  </si>
  <si>
    <t>การศึกษาบัณฑิต / ...</t>
  </si>
  <si>
    <t>วิทยาศาสตร์บัณฑิต (จิตวิทยา)</t>
  </si>
  <si>
    <t>25/02/2564</t>
  </si>
  <si>
    <t>01/07/2561</t>
  </si>
  <si>
    <t>K5-LAW หมายถึง นิติกร ทรงคุณวุฒิ</t>
  </si>
  <si>
    <t>K5-POLICY หมายถึง นักวิเคราะห์นโยบายแลแผน ทรงคุณวุฒิ</t>
  </si>
  <si>
    <t>วันเข้าสู่ระดับ ก่อนปัจจุบัน 1 
พ.ศ.</t>
  </si>
  <si>
    <t>วันที่นับต่างครบ</t>
  </si>
  <si>
    <t>วันที่ดำรงตำแหน่งครบ</t>
  </si>
  <si>
    <t>วันที่มีคุณสมบัติ อต.</t>
  </si>
  <si>
    <t>26/8/2020</t>
  </si>
  <si>
    <t>O2</t>
  </si>
  <si>
    <t>10/8/2022</t>
  </si>
  <si>
    <t>1/3/2016</t>
  </si>
  <si>
    <t>18/2/2002</t>
  </si>
  <si>
    <t>25/10/2016</t>
  </si>
  <si>
    <t>17/9/2020</t>
  </si>
  <si>
    <t>2/6/2014</t>
  </si>
  <si>
    <t>DropDown =&gt;</t>
  </si>
  <si>
    <t>ชช / ชพ / อว</t>
  </si>
  <si>
    <t>วันที่ อต 1 ปี</t>
  </si>
  <si>
    <t>วันที่ดำรงตำแหน่งครบ อต+ชพ / อต+อว</t>
  </si>
  <si>
    <t>วันที่ดำรงตำแหน่งครบ ชช / ชพ / อว</t>
  </si>
  <si>
    <t>วันที่มีคุณสมบัติ อส</t>
  </si>
  <si>
    <t>1/11/2019</t>
  </si>
  <si>
    <t>21/01/2015</t>
  </si>
  <si>
    <t>12/01/2016</t>
  </si>
  <si>
    <t>30/9/2023</t>
  </si>
  <si>
    <t>26/03/2013</t>
  </si>
  <si>
    <t>24/7/2020</t>
  </si>
  <si>
    <t>14/11/2016</t>
  </si>
  <si>
    <t>18/12/2015</t>
  </si>
  <si>
    <t>17/10/2011</t>
  </si>
  <si>
    <t>22/05/2013</t>
  </si>
  <si>
    <t>24/06/2005</t>
  </si>
  <si>
    <t>29/06/2012</t>
  </si>
  <si>
    <t>21/7/2023</t>
  </si>
  <si>
    <t>11/01/2018</t>
  </si>
  <si>
    <t>15/1/2019</t>
  </si>
  <si>
    <t>22/12/2011</t>
  </si>
  <si>
    <t>3/12/2022</t>
  </si>
  <si>
    <t>01/12/2008</t>
  </si>
  <si>
    <t>25/04/2013</t>
  </si>
  <si>
    <t>04/12/2013</t>
  </si>
  <si>
    <t>26/5/2023</t>
  </si>
  <si>
    <t>29/10/2018</t>
  </si>
  <si>
    <t>21/11/2011</t>
  </si>
  <si>
    <t>14/08/2016</t>
  </si>
  <si>
    <t>3/12/2021</t>
  </si>
  <si>
    <t>21/09/2017</t>
  </si>
  <si>
    <t>01/10/2008</t>
  </si>
  <si>
    <t>16/05/2008</t>
  </si>
  <si>
    <t>2/5/2022</t>
  </si>
  <si>
    <t>30/09/2013</t>
  </si>
  <si>
    <t>01/10/2015</t>
  </si>
  <si>
    <t>13/01/2020</t>
  </si>
  <si>
    <t>27/06/2012</t>
  </si>
  <si>
    <t>20/03/2020</t>
  </si>
  <si>
    <t>20/01/2014</t>
  </si>
  <si>
    <t>วันที่มีคุณสมบัติ บต</t>
  </si>
  <si>
    <t>ทว+อต/อส+ทตน</t>
  </si>
  <si>
    <t>วันที่ บต 1 ปี</t>
  </si>
  <si>
    <t>วันที่ดำรงตำแหน่งครบ บต+อต/อส</t>
  </si>
  <si>
    <t>จำนวนวันใน บต</t>
  </si>
  <si>
    <t>จำนวนวัน ทตน</t>
  </si>
  <si>
    <t>จำนวนวัน บต+ทตน</t>
  </si>
  <si>
    <t>วันที่เริ่มนับ บต+ทตน</t>
  </si>
  <si>
    <t>วันที่ดำรง ตน ครบ บต+ทตน</t>
  </si>
  <si>
    <t>จำนวนวัน อต/อส</t>
  </si>
  <si>
    <t>จำนวนวัน บต+อต/อส+ทตน</t>
  </si>
  <si>
    <t>วันที่เริ่มนับ บต+อต/อส+ทตน</t>
  </si>
  <si>
    <t>วันที่ดำรง ตน ครบ บต+อต/อส+ทตน</t>
  </si>
  <si>
    <t>จำนวนวันใน ทว</t>
  </si>
  <si>
    <t>จำนวนวัน ทว+อต/อส+ทตน</t>
  </si>
  <si>
    <t>วันที่เริ่มนับ ทว+อต/อส+ทตน</t>
  </si>
  <si>
    <t>วันที่ดำรง ตน ครบ ทว+อต/อส+ทตน</t>
  </si>
  <si>
    <t>วันที่มีคุณสมบัติ บส ผต</t>
  </si>
  <si>
    <t>S2</t>
  </si>
  <si>
    <t>4/3/2015</t>
  </si>
  <si>
    <t>24/07/2023</t>
  </si>
  <si>
    <t>09/06/2023</t>
  </si>
  <si>
    <t>18/02/2019</t>
  </si>
  <si>
    <t>26/10/2016</t>
  </si>
  <si>
    <t>15/3/2016</t>
  </si>
  <si>
    <t>25/4/2023</t>
  </si>
  <si>
    <t>25/4/2020</t>
  </si>
  <si>
    <t>25/10/2019</t>
  </si>
  <si>
    <t>4/3/2012</t>
  </si>
  <si>
    <t>1234567890003</t>
  </si>
  <si>
    <t>1234567890004</t>
  </si>
  <si>
    <t>1234567890005</t>
  </si>
  <si>
    <t>1234567890006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</si>
</sst>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90" formatCode="#,##0_ ;\(#,##0\)\ "/>
    <numFmt numFmtId="191" formatCode="[$-1E]dd\/mm\/yyyy"/>
    <numFmt numFmtId="192" formatCode="#,##0_ ;[Red]\-#,##0\ "/>
    <numFmt numFmtId="193" formatCode="[$-1000000]h:mm:ss;@"/>
  </numFmts>
  <fonts count="18">
    <font>
      <sz val="11"/>
      <color theme="1"/>
      <name val="Tahoma"/>
      <charset val="222"/>
      <scheme val="minor"/>
    </font>
    <font>
      <sz val="16"/>
      <color theme="1"/>
      <name val="TH Sarabun New"/>
      <charset val="222"/>
    </font>
    <font>
      <sz val="16"/>
      <color theme="1"/>
      <name val="TH Sarabun New"/>
      <charset val="134"/>
    </font>
    <font>
      <b/>
      <sz val="16"/>
      <color theme="1"/>
      <name val="TH Sarabun New"/>
      <charset val="134"/>
    </font>
    <font>
      <b/>
      <sz val="16"/>
      <name val="TH Sarabun New"/>
      <charset val="134"/>
    </font>
    <font>
      <sz val="16"/>
      <color indexed="8"/>
      <name val="TH Sarabun New"/>
      <charset val="134"/>
    </font>
    <font>
      <b/>
      <sz val="14"/>
      <color theme="1"/>
      <name val="TH Sarabun New"/>
      <charset val="134"/>
    </font>
    <font>
      <sz val="14"/>
      <color theme="1"/>
      <name val="TH Sarabun New"/>
      <charset val="134"/>
    </font>
    <font>
      <sz val="14"/>
      <name val="TH Sarabun New"/>
      <charset val="134"/>
    </font>
    <font>
      <sz val="14"/>
      <color indexed="8"/>
      <name val="TH Sarabun New"/>
      <charset val="134"/>
    </font>
    <font>
      <sz val="14"/>
      <color theme="1"/>
      <name val="Tahoma"/>
      <charset val="134"/>
      <scheme val="minor"/>
    </font>
    <font>
      <sz val="14"/>
      <color theme="1"/>
      <name val="TH Sarabun New"/>
      <charset val="222"/>
    </font>
    <font>
      <sz val="11"/>
      <color rgb="FF000000"/>
      <name val="Calibri"/>
      <charset val="134"/>
    </font>
    <font>
      <sz val="11"/>
      <color theme="1"/>
      <name val="Tahoma"/>
      <charset val="134"/>
      <scheme val="minor"/>
    </font>
    <font>
      <sz val="10"/>
      <name val="Arial"/>
      <charset val="134"/>
    </font>
    <font>
      <sz val="10"/>
      <color indexed="8"/>
      <name val="Tahoma"/>
      <charset val="134"/>
    </font>
    <font>
      <sz val="14"/>
      <name val="AngsanaUPC"/>
      <charset val="134"/>
    </font>
    <font>
      <sz val="14"/>
      <name val="AngsanaUPC"/>
      <charset val="22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7680593279824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3">
    <xf numFmtId="0" fontId="0" fillId="0" borderId="0"/>
    <xf numFmtId="0" fontId="13" fillId="0" borderId="0"/>
    <xf numFmtId="0" fontId="15" fillId="0" borderId="0"/>
    <xf numFmtId="0" fontId="13" fillId="0" borderId="0">
      <alignment vertical="center"/>
    </xf>
    <xf numFmtId="0" fontId="14" fillId="0" borderId="0" applyFill="0"/>
    <xf numFmtId="0" fontId="17" fillId="0" borderId="0"/>
    <xf numFmtId="0" fontId="10" fillId="0" borderId="0">
      <alignment vertical="center"/>
    </xf>
    <xf numFmtId="0" fontId="14" fillId="0" borderId="0" applyFill="0"/>
    <xf numFmtId="0" fontId="12" fillId="0" borderId="0"/>
    <xf numFmtId="0" fontId="12" fillId="0" borderId="0"/>
    <xf numFmtId="43" fontId="13" fillId="0" borderId="0" applyFont="0" applyFill="0" applyBorder="0" applyAlignment="0" applyProtection="0">
      <alignment vertical="center"/>
    </xf>
    <xf numFmtId="0" fontId="16" fillId="0" borderId="0"/>
    <xf numFmtId="43" fontId="13" fillId="0" borderId="0" applyFont="0" applyFill="0" applyBorder="0" applyAlignment="0" applyProtection="0">
      <alignment vertical="center"/>
    </xf>
  </cellStyleXfs>
  <cellXfs count="13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left"/>
    </xf>
    <xf numFmtId="190" fontId="1" fillId="0" borderId="0" xfId="0" applyNumberFormat="1" applyFont="1" applyAlignment="1">
      <alignment horizontal="right"/>
    </xf>
    <xf numFmtId="14" fontId="1" fillId="0" borderId="0" xfId="0" applyNumberFormat="1" applyFont="1"/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/>
    <xf numFmtId="1" fontId="1" fillId="0" borderId="1" xfId="0" applyNumberFormat="1" applyFont="1" applyBorder="1"/>
    <xf numFmtId="49" fontId="2" fillId="0" borderId="1" xfId="0" applyNumberFormat="1" applyFont="1" applyBorder="1"/>
    <xf numFmtId="49" fontId="1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2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14" fontId="4" fillId="0" borderId="0" xfId="0" applyNumberFormat="1" applyFont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190" fontId="1" fillId="0" borderId="0" xfId="0" applyNumberFormat="1" applyFont="1" applyAlignment="1">
      <alignment horizontal="right" vertical="center"/>
    </xf>
    <xf numFmtId="190" fontId="1" fillId="0" borderId="1" xfId="0" applyNumberFormat="1" applyFont="1" applyBorder="1" applyAlignment="1">
      <alignment horizontal="center" vertical="center" wrapText="1"/>
    </xf>
    <xf numFmtId="190" fontId="1" fillId="0" borderId="1" xfId="0" applyNumberFormat="1" applyFont="1" applyBorder="1" applyAlignment="1">
      <alignment horizontal="right"/>
    </xf>
    <xf numFmtId="0" fontId="5" fillId="2" borderId="1" xfId="0" applyFont="1" applyFill="1" applyBorder="1" applyAlignment="1">
      <alignment horizontal="left" vertical="top"/>
    </xf>
    <xf numFmtId="49" fontId="5" fillId="2" borderId="1" xfId="0" applyNumberFormat="1" applyFont="1" applyFill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90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6" fillId="0" borderId="0" xfId="0" applyFont="1"/>
    <xf numFmtId="0" fontId="6" fillId="0" borderId="0" xfId="0" applyFont="1" applyAlignment="1">
      <alignment horizontal="center"/>
    </xf>
    <xf numFmtId="14" fontId="6" fillId="0" borderId="0" xfId="0" applyNumberFormat="1" applyFont="1"/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3" borderId="1" xfId="0" applyFont="1" applyFill="1" applyBorder="1"/>
    <xf numFmtId="0" fontId="7" fillId="0" borderId="1" xfId="0" applyFont="1" applyBorder="1" applyAlignment="1">
      <alignment wrapText="1"/>
    </xf>
    <xf numFmtId="49" fontId="7" fillId="0" borderId="1" xfId="0" applyNumberFormat="1" applyFont="1" applyBorder="1"/>
    <xf numFmtId="0" fontId="7" fillId="4" borderId="1" xfId="0" applyFont="1" applyFill="1" applyBorder="1"/>
    <xf numFmtId="0" fontId="7" fillId="0" borderId="0" xfId="0" applyFont="1" applyAlignment="1">
      <alignment horizontal="center" vertical="center"/>
    </xf>
    <xf numFmtId="14" fontId="8" fillId="0" borderId="1" xfId="2" applyNumberFormat="1" applyFont="1" applyBorder="1" applyAlignment="1">
      <alignment horizontal="right" vertical="top" wrapText="1"/>
    </xf>
    <xf numFmtId="14" fontId="9" fillId="0" borderId="1" xfId="7" applyNumberFormat="1" applyFont="1" applyFill="1" applyBorder="1" applyAlignment="1">
      <alignment horizontal="right" vertical="top"/>
    </xf>
    <xf numFmtId="14" fontId="7" fillId="0" borderId="1" xfId="5" applyNumberFormat="1" applyFont="1" applyBorder="1" applyAlignment="1">
      <alignment horizontal="right" vertical="top" wrapText="1" shrinkToFit="1"/>
    </xf>
    <xf numFmtId="0" fontId="7" fillId="0" borderId="1" xfId="0" applyFont="1" applyBorder="1" applyAlignment="1">
      <alignment horizontal="right" vertical="top"/>
    </xf>
    <xf numFmtId="191" fontId="7" fillId="0" borderId="1" xfId="4" applyNumberFormat="1" applyFont="1" applyFill="1" applyBorder="1" applyAlignment="1">
      <alignment horizontal="right" vertical="top" wrapText="1"/>
    </xf>
    <xf numFmtId="14" fontId="9" fillId="0" borderId="1" xfId="4" applyNumberFormat="1" applyFont="1" applyFill="1" applyBorder="1" applyAlignment="1">
      <alignment horizontal="right" vertical="top" wrapText="1"/>
    </xf>
    <xf numFmtId="14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92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7" fillId="0" borderId="0" xfId="0" applyNumberFormat="1" applyFont="1" applyAlignment="1">
      <alignment vertical="center"/>
    </xf>
    <xf numFmtId="49" fontId="7" fillId="0" borderId="0" xfId="0" applyNumberFormat="1" applyFont="1" applyAlignment="1">
      <alignment horizontal="center" vertical="center"/>
    </xf>
    <xf numFmtId="1" fontId="7" fillId="0" borderId="1" xfId="0" applyNumberFormat="1" applyFont="1" applyBorder="1"/>
    <xf numFmtId="1" fontId="7" fillId="0" borderId="1" xfId="0" applyNumberFormat="1" applyFont="1" applyBorder="1" applyAlignment="1">
      <alignment horizontal="center"/>
    </xf>
    <xf numFmtId="0" fontId="10" fillId="0" borderId="0" xfId="0" applyFont="1"/>
    <xf numFmtId="14" fontId="6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left" wrapText="1"/>
    </xf>
    <xf numFmtId="190" fontId="7" fillId="0" borderId="0" xfId="0" applyNumberFormat="1" applyFont="1" applyAlignment="1">
      <alignment horizontal="right" vertical="center"/>
    </xf>
    <xf numFmtId="190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190" fontId="7" fillId="0" borderId="1" xfId="0" applyNumberFormat="1" applyFont="1" applyBorder="1" applyAlignment="1">
      <alignment horizontal="right"/>
    </xf>
    <xf numFmtId="193" fontId="7" fillId="0" borderId="1" xfId="0" applyNumberFormat="1" applyFont="1" applyBorder="1"/>
    <xf numFmtId="0" fontId="9" fillId="0" borderId="1" xfId="4" applyFont="1" applyFill="1" applyBorder="1" applyAlignment="1">
      <alignment horizontal="right" vertical="top"/>
    </xf>
    <xf numFmtId="0" fontId="0" fillId="0" borderId="1" xfId="0" applyBorder="1"/>
    <xf numFmtId="14" fontId="8" fillId="0" borderId="1" xfId="7" applyNumberFormat="1" applyFont="1" applyFill="1" applyBorder="1" applyAlignment="1">
      <alignment horizontal="right" vertical="top"/>
    </xf>
    <xf numFmtId="49" fontId="9" fillId="0" borderId="1" xfId="4" applyNumberFormat="1" applyFont="1" applyFill="1" applyBorder="1" applyAlignment="1">
      <alignment horizontal="right" vertical="top"/>
    </xf>
    <xf numFmtId="49" fontId="7" fillId="0" borderId="3" xfId="0" applyNumberFormat="1" applyFont="1" applyBorder="1" applyAlignment="1">
      <alignment horizontal="center"/>
    </xf>
    <xf numFmtId="49" fontId="0" fillId="0" borderId="1" xfId="0" applyNumberFormat="1" applyBorder="1"/>
    <xf numFmtId="0" fontId="7" fillId="0" borderId="0" xfId="0" applyFont="1"/>
    <xf numFmtId="0" fontId="7" fillId="0" borderId="0" xfId="0" applyFont="1" applyAlignment="1">
      <alignment horizontal="center"/>
    </xf>
    <xf numFmtId="49" fontId="8" fillId="0" borderId="1" xfId="2" applyNumberFormat="1" applyFont="1" applyBorder="1" applyAlignment="1">
      <alignment horizontal="center" vertical="top" wrapText="1"/>
    </xf>
    <xf numFmtId="192" fontId="7" fillId="0" borderId="0" xfId="0" applyNumberFormat="1" applyFont="1" applyAlignment="1">
      <alignment horizontal="center"/>
    </xf>
    <xf numFmtId="1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7" fillId="3" borderId="0" xfId="0" applyFont="1" applyFill="1"/>
    <xf numFmtId="0" fontId="7" fillId="3" borderId="1" xfId="0" applyFont="1" applyFill="1" applyBorder="1" applyAlignment="1">
      <alignment horizontal="center"/>
    </xf>
    <xf numFmtId="1" fontId="7" fillId="3" borderId="0" xfId="0" applyNumberFormat="1" applyFont="1" applyFill="1"/>
    <xf numFmtId="1" fontId="7" fillId="0" borderId="0" xfId="0" applyNumberFormat="1" applyFont="1" applyAlignment="1">
      <alignment horizontal="center"/>
    </xf>
    <xf numFmtId="0" fontId="7" fillId="3" borderId="0" xfId="0" applyFont="1" applyFill="1" applyAlignment="1">
      <alignment horizontal="center"/>
    </xf>
    <xf numFmtId="0" fontId="11" fillId="0" borderId="0" xfId="0" applyFont="1"/>
    <xf numFmtId="0" fontId="11" fillId="0" borderId="0" xfId="0" applyFont="1" applyAlignment="1">
      <alignment wrapText="1"/>
    </xf>
    <xf numFmtId="49" fontId="11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90" fontId="6" fillId="0" borderId="1" xfId="0" applyNumberFormat="1" applyFont="1" applyBorder="1" applyAlignment="1">
      <alignment horizontal="center" vertical="center" wrapText="1"/>
    </xf>
    <xf numFmtId="14" fontId="7" fillId="0" borderId="0" xfId="0" applyNumberFormat="1" applyFont="1" applyAlignment="1">
      <alignment horizontal="left" wrapText="1"/>
    </xf>
    <xf numFmtId="0" fontId="7" fillId="0" borderId="0" xfId="0" applyFont="1" applyAlignment="1">
      <alignment horizontal="center" wrapText="1"/>
    </xf>
    <xf numFmtId="190" fontId="7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shrinkToFit="1"/>
    </xf>
    <xf numFmtId="0" fontId="0" fillId="0" borderId="1" xfId="0" applyBorder="1" applyAlignment="1">
      <alignment shrinkToFi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1" fillId="4" borderId="1" xfId="0" applyFont="1" applyFill="1" applyBorder="1"/>
    <xf numFmtId="49" fontId="1" fillId="4" borderId="1" xfId="0" applyNumberFormat="1" applyFont="1" applyFill="1" applyBorder="1"/>
    <xf numFmtId="0" fontId="1" fillId="4" borderId="1" xfId="0" applyFont="1" applyFill="1" applyBorder="1" applyAlignment="1">
      <alignment horizontal="center"/>
    </xf>
    <xf numFmtId="1" fontId="1" fillId="4" borderId="1" xfId="0" applyNumberFormat="1" applyFont="1" applyFill="1" applyBorder="1"/>
    <xf numFmtId="1" fontId="1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/>
    </xf>
    <xf numFmtId="2" fontId="1" fillId="4" borderId="1" xfId="0" applyNumberFormat="1" applyFont="1" applyFill="1" applyBorder="1" applyAlignment="1">
      <alignment horizontal="right"/>
    </xf>
    <xf numFmtId="14" fontId="1" fillId="4" borderId="1" xfId="0" applyNumberFormat="1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left"/>
    </xf>
    <xf numFmtId="14" fontId="1" fillId="4" borderId="1" xfId="0" applyNumberFormat="1" applyFont="1" applyFill="1" applyBorder="1" applyAlignment="1">
      <alignment horizontal="left" wrapText="1"/>
    </xf>
    <xf numFmtId="190" fontId="1" fillId="4" borderId="1" xfId="0" applyNumberFormat="1" applyFont="1" applyFill="1" applyBorder="1" applyAlignment="1">
      <alignment horizontal="right"/>
    </xf>
    <xf numFmtId="14" fontId="1" fillId="0" borderId="1" xfId="0" applyNumberFormat="1" applyFont="1" applyBorder="1"/>
    <xf numFmtId="0" fontId="1" fillId="5" borderId="0" xfId="0" applyFont="1" applyFill="1"/>
    <xf numFmtId="0" fontId="2" fillId="5" borderId="1" xfId="0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0" fontId="7" fillId="0" borderId="1" xfId="0" quotePrefix="1" applyFont="1" applyBorder="1"/>
  </cellXfs>
  <cellStyles count="13">
    <cellStyle name="Comma 2" xfId="10" xr:uid="{00000000-0005-0000-0000-00003A000000}"/>
    <cellStyle name="Normal" xfId="0" builtinId="0"/>
    <cellStyle name="Normal 2" xfId="4" xr:uid="{00000000-0005-0000-0000-000023000000}"/>
    <cellStyle name="Normal 2 2" xfId="11" xr:uid="{00000000-0005-0000-0000-00003B000000}"/>
    <cellStyle name="Normal 3" xfId="6" xr:uid="{00000000-0005-0000-0000-000029000000}"/>
    <cellStyle name="Normal 4" xfId="3" xr:uid="{00000000-0005-0000-0000-000018000000}"/>
    <cellStyle name="Normal 5" xfId="1" xr:uid="{00000000-0005-0000-0000-000008000000}"/>
    <cellStyle name="Normal 6" xfId="8" xr:uid="{00000000-0005-0000-0000-000034000000}"/>
    <cellStyle name="Normal 7" xfId="9" xr:uid="{00000000-0005-0000-0000-000038000000}"/>
    <cellStyle name="จุลภาค 2" xfId="12" xr:uid="{00000000-0005-0000-0000-00003D000000}"/>
    <cellStyle name="ปกติ 2" xfId="5" xr:uid="{00000000-0005-0000-0000-000024000000}"/>
    <cellStyle name="ปกติ 3" xfId="7" xr:uid="{00000000-0005-0000-0000-00002A000000}"/>
    <cellStyle name="ปกติ_Sheet1" xfId="2" xr:uid="{00000000-0005-0000-0000-000009000000}"/>
  </cellStyles>
  <dxfs count="16"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8"/>
  <sheetViews>
    <sheetView workbookViewId="0">
      <selection activeCell="A3" sqref="A3:A6"/>
    </sheetView>
  </sheetViews>
  <sheetFormatPr defaultColWidth="9" defaultRowHeight="24"/>
  <cols>
    <col min="1" max="1" width="18.25" style="5" customWidth="1"/>
    <col min="2" max="2" width="11.375" style="3" customWidth="1"/>
    <col min="3" max="3" width="11.125" style="3" customWidth="1"/>
    <col min="4" max="6" width="9" style="3"/>
    <col min="7" max="8" width="13.75" style="3" customWidth="1"/>
    <col min="9" max="9" width="13.75" style="126" customWidth="1"/>
    <col min="10" max="10" width="15.375" style="3" customWidth="1"/>
    <col min="11" max="11" width="11.25" style="3" customWidth="1"/>
    <col min="12" max="12" width="14.25" style="3" customWidth="1"/>
    <col min="13" max="13" width="12.125" style="3" customWidth="1"/>
    <col min="14" max="16384" width="9" style="3"/>
  </cols>
  <sheetData>
    <row r="1" spans="1:13">
      <c r="A1" s="4" t="s">
        <v>0</v>
      </c>
      <c r="B1" s="10">
        <v>243497</v>
      </c>
      <c r="C1" s="9">
        <f>IF(AND(LEFT(B1,2)="29",MID(B1,4,1)="2"),LEFT(B1,2)&amp;"/"&amp;MID(B1,4,1)&amp;"/"&amp;RIGHT(B1,4)-543,EDATE(B1,-543*12))</f>
        <v>45170</v>
      </c>
    </row>
    <row r="2" spans="1:13" s="4" customFormat="1">
      <c r="A2" s="22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11" t="s">
        <v>8</v>
      </c>
      <c r="I2" s="127" t="s">
        <v>9</v>
      </c>
      <c r="J2" s="111" t="s">
        <v>10</v>
      </c>
      <c r="K2" s="111" t="s">
        <v>11</v>
      </c>
      <c r="L2" s="111" t="s">
        <v>12</v>
      </c>
      <c r="M2" s="111" t="s">
        <v>13</v>
      </c>
    </row>
    <row r="3" spans="1:13">
      <c r="A3" s="19" t="s">
        <v>14</v>
      </c>
      <c r="B3" s="125">
        <v>42005</v>
      </c>
      <c r="C3" s="125">
        <v>43101</v>
      </c>
      <c r="D3" s="15">
        <f>DATEDIF(B3,C3,"Y")</f>
        <v>3</v>
      </c>
      <c r="E3" s="15">
        <f>DATEDIF(B3,C3,"YM")</f>
        <v>0</v>
      </c>
      <c r="F3" s="15">
        <f>DATEDIF(B3,C3,"MD")</f>
        <v>0</v>
      </c>
      <c r="G3" s="15">
        <f>C3-B3</f>
        <v>1096</v>
      </c>
      <c r="H3" s="15">
        <v>100</v>
      </c>
      <c r="I3" s="128">
        <f>G3*H3%</f>
        <v>1096</v>
      </c>
      <c r="J3" s="125">
        <f t="shared" ref="J3:J8" si="0">B3+I3</f>
        <v>43101</v>
      </c>
      <c r="K3" s="15">
        <f>DATEDIF(B3,J3,"Y")</f>
        <v>3</v>
      </c>
      <c r="L3" s="15">
        <f>DATEDIF(B3,J3,"YM")</f>
        <v>0</v>
      </c>
      <c r="M3" s="15">
        <f>DATEDIF(B3,J3,"MD")</f>
        <v>0</v>
      </c>
    </row>
    <row r="4" spans="1:13">
      <c r="A4" s="19" t="s">
        <v>15</v>
      </c>
      <c r="B4" s="125">
        <v>42005</v>
      </c>
      <c r="C4" s="125">
        <v>43101</v>
      </c>
      <c r="D4" s="15">
        <f>DATEDIF(B4,C4,"Y")</f>
        <v>3</v>
      </c>
      <c r="E4" s="15">
        <f>DATEDIF(B4,C4,"YM")</f>
        <v>0</v>
      </c>
      <c r="F4" s="15">
        <f>DATEDIF(B4,C4,"MD")</f>
        <v>0</v>
      </c>
      <c r="G4" s="15">
        <f>C4-B4</f>
        <v>1096</v>
      </c>
      <c r="H4" s="15">
        <v>50</v>
      </c>
      <c r="I4" s="128">
        <f>G4*H4%</f>
        <v>548</v>
      </c>
      <c r="J4" s="125">
        <f t="shared" si="0"/>
        <v>42553</v>
      </c>
      <c r="K4" s="15">
        <f>DATEDIF(B4,J4,"Y")</f>
        <v>1</v>
      </c>
      <c r="L4" s="15">
        <f>DATEDIF(B4,J4,"YM")</f>
        <v>6</v>
      </c>
      <c r="M4" s="15">
        <f>DATEDIF(B4,J4,"MD")</f>
        <v>1</v>
      </c>
    </row>
    <row r="5" spans="1:13">
      <c r="A5" s="19" t="s">
        <v>617</v>
      </c>
      <c r="B5" s="125">
        <v>40725</v>
      </c>
      <c r="C5" s="125">
        <v>45214</v>
      </c>
      <c r="D5" s="15">
        <f>DATEDIF(B5,C5,"Y")</f>
        <v>12</v>
      </c>
      <c r="E5" s="15">
        <f>DATEDIF(B5,C5,"YM")</f>
        <v>3</v>
      </c>
      <c r="F5" s="15">
        <f>DATEDIF(B5,C5,"MD")</f>
        <v>14</v>
      </c>
      <c r="G5" s="15">
        <f>C5-B5</f>
        <v>4489</v>
      </c>
      <c r="H5" s="15">
        <v>100</v>
      </c>
      <c r="I5" s="128">
        <f>G5*H5%</f>
        <v>4489</v>
      </c>
      <c r="J5" s="125">
        <f t="shared" si="0"/>
        <v>45214</v>
      </c>
      <c r="K5" s="15">
        <f>DATEDIF(B5,J5,"Y")</f>
        <v>12</v>
      </c>
      <c r="L5" s="15">
        <f>DATEDIF(B5,J5,"YM")</f>
        <v>3</v>
      </c>
      <c r="M5" s="15">
        <f>DATEDIF(B5,J5,"MD")</f>
        <v>14</v>
      </c>
    </row>
    <row r="6" spans="1:13">
      <c r="A6" s="19" t="s">
        <v>618</v>
      </c>
      <c r="B6" s="125">
        <v>43800</v>
      </c>
      <c r="C6" s="125">
        <v>45170</v>
      </c>
      <c r="D6" s="15">
        <f>DATEDIF(B6,C6,"Y")</f>
        <v>3</v>
      </c>
      <c r="E6" s="15">
        <f>DATEDIF(B6,C6,"YM")</f>
        <v>9</v>
      </c>
      <c r="F6" s="15">
        <f>DATEDIF(B6,C6,"MD")</f>
        <v>0</v>
      </c>
      <c r="G6" s="15">
        <f>C6-B6</f>
        <v>1370</v>
      </c>
      <c r="H6" s="15">
        <v>100</v>
      </c>
      <c r="I6" s="128">
        <f>G6*H6%</f>
        <v>1370</v>
      </c>
      <c r="J6" s="125">
        <f t="shared" si="0"/>
        <v>45170</v>
      </c>
      <c r="K6" s="15">
        <f>DATEDIF(B6,J6,"Y")</f>
        <v>3</v>
      </c>
      <c r="L6" s="15">
        <f>DATEDIF(B6,J6,"YM")</f>
        <v>9</v>
      </c>
      <c r="M6" s="15">
        <f>DATEDIF(B6,J6,"MD")</f>
        <v>0</v>
      </c>
    </row>
    <row r="7" spans="1:13">
      <c r="A7" s="19" t="s">
        <v>619</v>
      </c>
      <c r="B7" s="125">
        <v>38353</v>
      </c>
      <c r="C7" s="125">
        <v>40909</v>
      </c>
      <c r="D7" s="15">
        <f>DATEDIF(B7,C7,"Y")</f>
        <v>7</v>
      </c>
      <c r="E7" s="15">
        <f>DATEDIF(B7,C7,"YM")</f>
        <v>0</v>
      </c>
      <c r="F7" s="15">
        <f>DATEDIF(B7,C7,"MD")</f>
        <v>0</v>
      </c>
      <c r="G7" s="15">
        <f>C7-B7</f>
        <v>2556</v>
      </c>
      <c r="H7" s="15">
        <v>80</v>
      </c>
      <c r="I7" s="128">
        <f>G7*H7%</f>
        <v>2044.8000000000002</v>
      </c>
      <c r="J7" s="125">
        <f t="shared" si="0"/>
        <v>40397.800000000003</v>
      </c>
      <c r="K7" s="15">
        <f>DATEDIF(B7,J7,"Y")</f>
        <v>5</v>
      </c>
      <c r="L7" s="15">
        <f>DATEDIF(B7,J7,"YM")</f>
        <v>7</v>
      </c>
      <c r="M7" s="15">
        <f>DATEDIF(B7,J7,"MD")</f>
        <v>6</v>
      </c>
    </row>
    <row r="8" spans="1:13">
      <c r="A8" s="19" t="s">
        <v>620</v>
      </c>
      <c r="B8" s="125">
        <v>44927</v>
      </c>
      <c r="C8" s="125">
        <f ca="1">TODAY()</f>
        <v>46102</v>
      </c>
      <c r="D8" s="15">
        <f t="shared" ref="D8" ca="1" si="1">DATEDIF(B8,C8,"Y")</f>
        <v>3</v>
      </c>
      <c r="E8" s="15">
        <f t="shared" ref="E8" ca="1" si="2">DATEDIF(B8,C8,"YM")</f>
        <v>2</v>
      </c>
      <c r="F8" s="15">
        <f t="shared" ref="F8" ca="1" si="3">DATEDIF(B8,C8,"MD")</f>
        <v>20</v>
      </c>
      <c r="G8" s="15">
        <f t="shared" ref="G8" ca="1" si="4">C8-B8</f>
        <v>1175</v>
      </c>
      <c r="H8" s="15">
        <v>100</v>
      </c>
      <c r="I8" s="128">
        <f t="shared" ref="I8" ca="1" si="5">G8*H8%</f>
        <v>1175</v>
      </c>
      <c r="J8" s="125">
        <f t="shared" ca="1" si="0"/>
        <v>46102</v>
      </c>
      <c r="K8" s="15">
        <f t="shared" ref="K8" ca="1" si="6">DATEDIF(B8,J8,"Y")</f>
        <v>3</v>
      </c>
      <c r="L8" s="15">
        <f t="shared" ref="L8" ca="1" si="7">DATEDIF(B8,J8,"YM")</f>
        <v>2</v>
      </c>
      <c r="M8" s="15">
        <f t="shared" ref="M8" ca="1" si="8">DATEDIF(B8,J8,"MD")</f>
        <v>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6"/>
  <sheetViews>
    <sheetView workbookViewId="0">
      <selection activeCell="A3" sqref="A3:A6"/>
    </sheetView>
  </sheetViews>
  <sheetFormatPr defaultColWidth="9" defaultRowHeight="24"/>
  <cols>
    <col min="1" max="1" width="18.25" style="3" customWidth="1"/>
    <col min="2" max="2" width="15.125" style="3" customWidth="1"/>
    <col min="3" max="3" width="11.375" style="3" customWidth="1"/>
    <col min="4" max="4" width="11.125" style="3" customWidth="1"/>
    <col min="5" max="7" width="9" style="3"/>
    <col min="8" max="8" width="13.75" style="3" customWidth="1"/>
    <col min="9" max="16384" width="9" style="3"/>
  </cols>
  <sheetData>
    <row r="1" spans="1:8">
      <c r="A1" s="4" t="s">
        <v>0</v>
      </c>
      <c r="B1" s="10">
        <v>243523</v>
      </c>
      <c r="C1" s="9">
        <f>IF(AND(LEFT(B1,2)="29",MID(B1,4,1)="2"),LEFT(B1,2)&amp;"/"&amp;MID(B1,4,1)&amp;"/"&amp;RIGHT(B1,4)-543,EDATE(B1,-543*12))</f>
        <v>45196</v>
      </c>
    </row>
    <row r="2" spans="1:8">
      <c r="A2" s="22" t="s">
        <v>1</v>
      </c>
      <c r="B2" s="112" t="s">
        <v>16</v>
      </c>
      <c r="C2" s="111" t="s">
        <v>17</v>
      </c>
      <c r="D2" s="111" t="s">
        <v>18</v>
      </c>
      <c r="E2" s="16" t="s">
        <v>4</v>
      </c>
      <c r="F2" s="16" t="s">
        <v>5</v>
      </c>
      <c r="G2" s="16" t="s">
        <v>6</v>
      </c>
      <c r="H2" s="16" t="s">
        <v>7</v>
      </c>
    </row>
    <row r="3" spans="1:8">
      <c r="A3" s="19" t="s">
        <v>14</v>
      </c>
      <c r="B3" s="19"/>
      <c r="C3" s="125">
        <v>42005</v>
      </c>
      <c r="D3" s="125">
        <v>43101</v>
      </c>
      <c r="E3" s="15">
        <f>DATEDIF(C3,D3,"Y")</f>
        <v>3</v>
      </c>
      <c r="F3" s="15">
        <f>DATEDIF(C3,D3,"YM")</f>
        <v>0</v>
      </c>
      <c r="G3" s="15">
        <f>DATEDIF(C3,D3,"MD")</f>
        <v>0</v>
      </c>
      <c r="H3" s="15">
        <f>D3-C3</f>
        <v>1096</v>
      </c>
    </row>
    <row r="4" spans="1:8">
      <c r="A4" s="19" t="s">
        <v>15</v>
      </c>
      <c r="B4" s="18" t="s">
        <v>19</v>
      </c>
      <c r="C4" s="125">
        <v>42005</v>
      </c>
      <c r="D4" s="125">
        <v>43101</v>
      </c>
      <c r="E4" s="15">
        <f t="shared" ref="E4:E6" si="0">DATEDIF(C4,D4,"Y")</f>
        <v>3</v>
      </c>
      <c r="F4" s="15">
        <f t="shared" ref="F4:F6" si="1">DATEDIF(C4,D4,"YM")</f>
        <v>0</v>
      </c>
      <c r="G4" s="15">
        <f t="shared" ref="G4:G6" si="2">DATEDIF(C4,D4,"MD")</f>
        <v>0</v>
      </c>
      <c r="H4" s="15">
        <f t="shared" ref="H4:H6" si="3">D4-C4</f>
        <v>1096</v>
      </c>
    </row>
    <row r="5" spans="1:8">
      <c r="A5" s="19" t="s">
        <v>617</v>
      </c>
      <c r="B5" s="18" t="s">
        <v>19</v>
      </c>
      <c r="C5" s="125">
        <v>38353</v>
      </c>
      <c r="D5" s="125">
        <v>40909</v>
      </c>
      <c r="E5" s="15">
        <f t="shared" si="0"/>
        <v>7</v>
      </c>
      <c r="F5" s="15">
        <f t="shared" si="1"/>
        <v>0</v>
      </c>
      <c r="G5" s="15">
        <f t="shared" si="2"/>
        <v>0</v>
      </c>
      <c r="H5" s="15">
        <f t="shared" si="3"/>
        <v>2556</v>
      </c>
    </row>
    <row r="6" spans="1:8">
      <c r="A6" s="19" t="s">
        <v>618</v>
      </c>
      <c r="B6" s="18" t="s">
        <v>19</v>
      </c>
      <c r="C6" s="125">
        <v>44197</v>
      </c>
      <c r="D6" s="125">
        <v>44927</v>
      </c>
      <c r="E6" s="15">
        <f t="shared" si="0"/>
        <v>2</v>
      </c>
      <c r="F6" s="15">
        <f t="shared" si="1"/>
        <v>0</v>
      </c>
      <c r="G6" s="15">
        <f t="shared" si="2"/>
        <v>0</v>
      </c>
      <c r="H6" s="15">
        <f t="shared" si="3"/>
        <v>730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C8"/>
  <sheetViews>
    <sheetView workbookViewId="0">
      <selection activeCell="A3" sqref="A3"/>
    </sheetView>
  </sheetViews>
  <sheetFormatPr defaultColWidth="9" defaultRowHeight="24"/>
  <cols>
    <col min="1" max="1" width="18.25" style="3" customWidth="1"/>
    <col min="2" max="3" width="15.125" style="3" customWidth="1"/>
    <col min="4" max="4" width="20.875" style="3" customWidth="1"/>
    <col min="5" max="5" width="24.25" style="3" customWidth="1"/>
    <col min="6" max="6" width="15.125" style="3" customWidth="1"/>
    <col min="7" max="7" width="11.375" style="3" customWidth="1"/>
    <col min="8" max="8" width="11.125" style="3" customWidth="1"/>
    <col min="9" max="11" width="9" style="3"/>
    <col min="12" max="12" width="13.75" style="3" customWidth="1"/>
    <col min="13" max="14" width="15.125" style="3" customWidth="1"/>
    <col min="15" max="16" width="30.5" style="3" customWidth="1"/>
    <col min="17" max="17" width="15.125" style="3" customWidth="1"/>
    <col min="18" max="22" width="9" style="3"/>
    <col min="23" max="23" width="13.75" style="3" customWidth="1"/>
    <col min="24" max="24" width="9.75" style="3" customWidth="1"/>
    <col min="25" max="25" width="11" style="3" customWidth="1"/>
    <col min="26" max="26" width="9" style="3"/>
    <col min="27" max="28" width="12.75" style="3" customWidth="1"/>
    <col min="29" max="29" width="12.375" style="9" customWidth="1"/>
    <col min="30" max="16384" width="9" style="3"/>
  </cols>
  <sheetData>
    <row r="1" spans="1:29">
      <c r="A1" s="4" t="s">
        <v>0</v>
      </c>
      <c r="B1" s="10">
        <v>243523</v>
      </c>
      <c r="C1" s="9">
        <f>IF(AND(LEFT(B1,2)="29",MID(B1,4,1)="2"),LEFT(B1,2)&amp;"/"&amp;MID(B1,4,1)&amp;"/"&amp;RIGHT(B1,4)-543,EDATE(B1,-543*12))</f>
        <v>45196</v>
      </c>
    </row>
    <row r="2" spans="1:29">
      <c r="A2" s="22" t="s">
        <v>1</v>
      </c>
      <c r="B2" s="112" t="s">
        <v>20</v>
      </c>
      <c r="C2" s="112" t="s">
        <v>21</v>
      </c>
      <c r="D2" s="112" t="s">
        <v>22</v>
      </c>
      <c r="E2" s="112" t="s">
        <v>23</v>
      </c>
      <c r="F2" s="112" t="s">
        <v>24</v>
      </c>
      <c r="G2" s="111" t="s">
        <v>17</v>
      </c>
      <c r="H2" s="111" t="s">
        <v>18</v>
      </c>
      <c r="I2" s="16" t="s">
        <v>4</v>
      </c>
      <c r="J2" s="16" t="s">
        <v>5</v>
      </c>
      <c r="K2" s="16" t="s">
        <v>6</v>
      </c>
      <c r="L2" s="16" t="s">
        <v>7</v>
      </c>
      <c r="M2" s="112" t="s">
        <v>25</v>
      </c>
      <c r="N2" s="112" t="s">
        <v>21</v>
      </c>
      <c r="O2" s="112" t="s">
        <v>22</v>
      </c>
      <c r="P2" s="112" t="s">
        <v>23</v>
      </c>
      <c r="Q2" s="112" t="s">
        <v>24</v>
      </c>
      <c r="R2" s="111" t="s">
        <v>17</v>
      </c>
      <c r="S2" s="111" t="s">
        <v>18</v>
      </c>
      <c r="T2" s="16" t="s">
        <v>4</v>
      </c>
      <c r="U2" s="16" t="s">
        <v>5</v>
      </c>
      <c r="V2" s="16" t="s">
        <v>6</v>
      </c>
      <c r="W2" s="16" t="s">
        <v>7</v>
      </c>
      <c r="X2" s="16" t="s">
        <v>26</v>
      </c>
      <c r="Y2" s="16" t="s">
        <v>27</v>
      </c>
      <c r="Z2" s="16" t="s">
        <v>28</v>
      </c>
      <c r="AA2" s="16" t="s">
        <v>29</v>
      </c>
      <c r="AB2" s="16" t="s">
        <v>30</v>
      </c>
      <c r="AC2" s="25" t="s">
        <v>31</v>
      </c>
    </row>
    <row r="3" spans="1:29">
      <c r="A3" s="19" t="s">
        <v>14</v>
      </c>
      <c r="B3" s="18" t="s">
        <v>19</v>
      </c>
      <c r="C3" s="19" t="s">
        <v>32</v>
      </c>
      <c r="D3" s="18" t="s">
        <v>33</v>
      </c>
      <c r="E3" s="18" t="s">
        <v>34</v>
      </c>
      <c r="F3" s="18" t="s">
        <v>35</v>
      </c>
      <c r="G3" s="125">
        <v>42005</v>
      </c>
      <c r="H3" s="125">
        <v>43101</v>
      </c>
      <c r="I3" s="15">
        <f>DATEDIF(G3,H3,"Y")</f>
        <v>3</v>
      </c>
      <c r="J3" s="15">
        <f>DATEDIF(G3,H3,"YM")</f>
        <v>0</v>
      </c>
      <c r="K3" s="15">
        <f>DATEDIF(G3,H3,"MD")</f>
        <v>0</v>
      </c>
      <c r="L3" s="15">
        <f>H3-G3</f>
        <v>1096</v>
      </c>
      <c r="M3" s="18" t="s">
        <v>36</v>
      </c>
      <c r="N3" s="19"/>
      <c r="O3" s="19"/>
      <c r="P3" s="18" t="s">
        <v>34</v>
      </c>
      <c r="Q3" s="18" t="s">
        <v>37</v>
      </c>
      <c r="R3" s="125">
        <v>43101</v>
      </c>
      <c r="S3" s="125">
        <v>43466</v>
      </c>
      <c r="T3" s="15">
        <f>DATEDIF(R3,S3,"Y")</f>
        <v>1</v>
      </c>
      <c r="U3" s="15">
        <f>DATEDIF(R3,S3,"YM")</f>
        <v>0</v>
      </c>
      <c r="V3" s="15">
        <f>DATEDIF(R3,S3,"MD")</f>
        <v>0</v>
      </c>
      <c r="W3" s="15">
        <f>S3-R3</f>
        <v>365</v>
      </c>
      <c r="X3" s="15">
        <f>_xlfn.IFS(AND(B3&lt;&gt;M3,AND(I3&gt;=2,T3&gt;=2)),2,AND(B3&lt;&gt;M3,OR(I3&gt;=2,T3&gt;=2)),1,TRUE,0)</f>
        <v>1</v>
      </c>
      <c r="Y3" s="15">
        <f>_xlfn.IFS(X3&gt;0,0,AND(OR(D3&lt;&gt;O3,E3&lt;&gt;P3),AND(I3&gt;=2,T3&gt;=2)),2,X3&gt;0,0,AND(OR(D3&lt;&gt;O3,E3&lt;&gt;P3),OR(I3&gt;=2,T3&gt;=2)),1,TRUE,0)</f>
        <v>0</v>
      </c>
      <c r="Z3" s="15">
        <f>_xlfn.IFS(OR(X3&gt;0,Y3&gt;0),0,AND(F3&lt;&gt;Q3,AND(I3&gt;=2,T3&gt;=2)),2,OR(X3&gt;0,Y3&gt;0),0,AND(F3&lt;&gt;Q3,OR(I3&gt;=2,T3&gt;=2)),1,TRUE,0)</f>
        <v>0</v>
      </c>
      <c r="AA3" s="15">
        <f>_xlfn.IFS(OR(X3&gt;0,Y3&gt;0,Z3&gt;0),0,AND(B3=M3,C3&lt;&gt;N3,AND(I3&gt;=2,T3&gt;=2)),2,AND(B3=M3,C3&lt;&gt;N3,OR(I3&gt;=2,T3&gt;=2)),1,AND(B3=M3,C3=N3,L3+W3&gt;=730),1,TRUE,0)</f>
        <v>0</v>
      </c>
      <c r="AB3" s="15">
        <f>_xlfn.IFS(A3&lt;&gt;A2,SUM(X3:AA3),A3=A2,SUM(X3:AA3)+AB2,TRUE,Check data)</f>
        <v>1</v>
      </c>
      <c r="AC3" s="125" t="str">
        <f>IF(AB3&gt;=3,S3,"")</f>
        <v/>
      </c>
    </row>
    <row r="4" spans="1:29">
      <c r="A4" s="19" t="s">
        <v>14</v>
      </c>
      <c r="B4" s="18" t="s">
        <v>19</v>
      </c>
      <c r="C4" s="18" t="s">
        <v>38</v>
      </c>
      <c r="D4" s="18" t="s">
        <v>33</v>
      </c>
      <c r="E4" s="18" t="s">
        <v>34</v>
      </c>
      <c r="F4" s="18" t="s">
        <v>35</v>
      </c>
      <c r="G4" s="125">
        <v>42005</v>
      </c>
      <c r="H4" s="125">
        <v>43101</v>
      </c>
      <c r="I4" s="15">
        <f t="shared" ref="I4:I6" si="0">DATEDIF(G4,H4,"Y")</f>
        <v>3</v>
      </c>
      <c r="J4" s="15">
        <f t="shared" ref="J4:J6" si="1">DATEDIF(G4,H4,"YM")</f>
        <v>0</v>
      </c>
      <c r="K4" s="15">
        <f t="shared" ref="K4:K6" si="2">DATEDIF(G4,H4,"MD")</f>
        <v>0</v>
      </c>
      <c r="L4" s="15">
        <f t="shared" ref="L4:L6" si="3">H4-G4</f>
        <v>1096</v>
      </c>
      <c r="M4" s="18" t="s">
        <v>19</v>
      </c>
      <c r="N4" s="18" t="s">
        <v>32</v>
      </c>
      <c r="O4" s="18" t="s">
        <v>39</v>
      </c>
      <c r="P4" s="18"/>
      <c r="Q4" s="18" t="s">
        <v>35</v>
      </c>
      <c r="R4" s="125">
        <v>42005</v>
      </c>
      <c r="S4" s="125">
        <v>43101</v>
      </c>
      <c r="T4" s="15">
        <f t="shared" ref="T4:T6" si="4">DATEDIF(R4,S4,"Y")</f>
        <v>3</v>
      </c>
      <c r="U4" s="15">
        <f t="shared" ref="U4:U6" si="5">DATEDIF(R4,S4,"YM")</f>
        <v>0</v>
      </c>
      <c r="V4" s="15">
        <f t="shared" ref="V4:V6" si="6">DATEDIF(R4,S4,"MD")</f>
        <v>0</v>
      </c>
      <c r="W4" s="15">
        <f t="shared" ref="W4:W6" si="7">S4-R4</f>
        <v>1096</v>
      </c>
      <c r="X4" s="15">
        <f t="shared" ref="X4:X6" si="8">_xlfn.IFS(AND(B4&lt;&gt;M4,AND(I4&gt;=2,T4&gt;=2)),2,AND(B4&lt;&gt;M4,OR(I4&gt;=2,T4&gt;=2)),1,TRUE,0)</f>
        <v>0</v>
      </c>
      <c r="Y4" s="15">
        <f t="shared" ref="Y4:Y6" si="9">_xlfn.IFS(X4&gt;0,0,AND(OR(D4&lt;&gt;O4,E4&lt;&gt;P4),AND(I4&gt;=2,T4&gt;=2)),2,X4&gt;0,0,AND(OR(D4&lt;&gt;O4,E4&lt;&gt;P4),OR(I4&gt;=2,T4&gt;=2)),1,TRUE,0)</f>
        <v>2</v>
      </c>
      <c r="Z4" s="15">
        <f t="shared" ref="Z4:Z6" si="10">_xlfn.IFS(OR(X4&gt;0,Y4&gt;0),0,AND(F4&lt;&gt;Q4,AND(I4&gt;=2,T4&gt;=2)),2,OR(X4&gt;0,Y4&gt;0),0,AND(F4&lt;&gt;Q4,OR(I4&gt;=2,T4&gt;=2)),1,TRUE,0)</f>
        <v>0</v>
      </c>
      <c r="AA4" s="15">
        <f t="shared" ref="AA4:AA6" si="11">_xlfn.IFS(OR(X4&gt;0,Y4&gt;0,Z4&gt;0),0,AND(B4=M4,C4&lt;&gt;N4,AND(I4&gt;=2,T4&gt;=2)),2,AND(B4=M4,C4&lt;&gt;N4,OR(I4&gt;=2,T4&gt;=2)),1,AND(B4=M4,C4=N4,L4+W4&gt;=730),1,TRUE,0)</f>
        <v>0</v>
      </c>
      <c r="AB4" s="15">
        <f>_xlfn.IFS(A4&lt;&gt;A3,SUM(X4:AA4),A4=A3,SUM(X4:AA4)+AB3,TRUE,Check data)</f>
        <v>3</v>
      </c>
      <c r="AC4" s="125">
        <f t="shared" ref="AC4:AC6" si="12">IF(AB4&gt;=3,S4,"")</f>
        <v>43101</v>
      </c>
    </row>
    <row r="5" spans="1:29">
      <c r="A5" s="19" t="s">
        <v>14</v>
      </c>
      <c r="B5" s="18" t="s">
        <v>19</v>
      </c>
      <c r="C5" s="18" t="s">
        <v>38</v>
      </c>
      <c r="D5" s="18" t="s">
        <v>33</v>
      </c>
      <c r="E5" s="18" t="s">
        <v>34</v>
      </c>
      <c r="F5" s="18" t="s">
        <v>35</v>
      </c>
      <c r="G5" s="125">
        <v>38353</v>
      </c>
      <c r="H5" s="125">
        <v>38718</v>
      </c>
      <c r="I5" s="15">
        <f t="shared" si="0"/>
        <v>1</v>
      </c>
      <c r="J5" s="15">
        <f t="shared" si="1"/>
        <v>0</v>
      </c>
      <c r="K5" s="15">
        <f t="shared" si="2"/>
        <v>0</v>
      </c>
      <c r="L5" s="15">
        <f t="shared" si="3"/>
        <v>365</v>
      </c>
      <c r="M5" s="18" t="s">
        <v>19</v>
      </c>
      <c r="N5" s="18" t="s">
        <v>38</v>
      </c>
      <c r="O5" s="18" t="s">
        <v>39</v>
      </c>
      <c r="P5" s="18"/>
      <c r="Q5" s="18"/>
      <c r="R5" s="125">
        <v>41640</v>
      </c>
      <c r="S5" s="125">
        <v>42005</v>
      </c>
      <c r="T5" s="15">
        <f t="shared" si="4"/>
        <v>1</v>
      </c>
      <c r="U5" s="15">
        <f t="shared" si="5"/>
        <v>0</v>
      </c>
      <c r="V5" s="15">
        <f t="shared" si="6"/>
        <v>0</v>
      </c>
      <c r="W5" s="15">
        <f t="shared" si="7"/>
        <v>365</v>
      </c>
      <c r="X5" s="15">
        <f t="shared" si="8"/>
        <v>0</v>
      </c>
      <c r="Y5" s="15">
        <f t="shared" si="9"/>
        <v>0</v>
      </c>
      <c r="Z5" s="15">
        <f t="shared" si="10"/>
        <v>0</v>
      </c>
      <c r="AA5" s="15">
        <f t="shared" si="11"/>
        <v>1</v>
      </c>
      <c r="AB5" s="15">
        <f>_xlfn.IFS(A5&lt;&gt;A4,SUM(X5:AA5),A5=A4,SUM(X5:AA5)+AB4,TRUE,Check data)</f>
        <v>4</v>
      </c>
      <c r="AC5" s="125">
        <f t="shared" si="12"/>
        <v>42005</v>
      </c>
    </row>
    <row r="6" spans="1:29">
      <c r="A6" s="19" t="s">
        <v>15</v>
      </c>
      <c r="B6" s="18"/>
      <c r="C6" s="18"/>
      <c r="D6" s="18"/>
      <c r="E6" s="18"/>
      <c r="F6" s="18"/>
      <c r="G6" s="125"/>
      <c r="H6" s="125"/>
      <c r="I6" s="15">
        <f t="shared" si="0"/>
        <v>0</v>
      </c>
      <c r="J6" s="15">
        <f t="shared" si="1"/>
        <v>0</v>
      </c>
      <c r="K6" s="15">
        <f t="shared" si="2"/>
        <v>0</v>
      </c>
      <c r="L6" s="15">
        <f t="shared" si="3"/>
        <v>0</v>
      </c>
      <c r="M6" s="18"/>
      <c r="N6" s="18"/>
      <c r="O6" s="18"/>
      <c r="P6" s="18"/>
      <c r="Q6" s="18"/>
      <c r="R6" s="125"/>
      <c r="S6" s="125"/>
      <c r="T6" s="15">
        <f t="shared" si="4"/>
        <v>0</v>
      </c>
      <c r="U6" s="15">
        <f t="shared" si="5"/>
        <v>0</v>
      </c>
      <c r="V6" s="15">
        <f t="shared" si="6"/>
        <v>0</v>
      </c>
      <c r="W6" s="15">
        <f t="shared" si="7"/>
        <v>0</v>
      </c>
      <c r="X6" s="15">
        <f t="shared" si="8"/>
        <v>0</v>
      </c>
      <c r="Y6" s="15">
        <f t="shared" si="9"/>
        <v>0</v>
      </c>
      <c r="Z6" s="15">
        <f t="shared" si="10"/>
        <v>0</v>
      </c>
      <c r="AA6" s="15">
        <f t="shared" si="11"/>
        <v>0</v>
      </c>
      <c r="AB6" s="15">
        <f>_xlfn.IFS(A6&lt;&gt;A5,SUM(X6:AA6),A6=A5,SUM(X6:AA6)+AB5,TRUE,Check data)</f>
        <v>0</v>
      </c>
      <c r="AC6" s="125" t="str">
        <f t="shared" si="12"/>
        <v/>
      </c>
    </row>
    <row r="7" spans="1:29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25"/>
    </row>
    <row r="8" spans="1:29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25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7"/>
  <sheetViews>
    <sheetView tabSelected="1" workbookViewId="0">
      <selection activeCell="O3" sqref="O3"/>
    </sheetView>
  </sheetViews>
  <sheetFormatPr defaultColWidth="9" defaultRowHeight="24"/>
  <cols>
    <col min="1" max="1" width="18.25" style="3" customWidth="1"/>
    <col min="2" max="2" width="14" style="3" customWidth="1"/>
    <col min="3" max="3" width="15.125" style="3" customWidth="1"/>
    <col min="4" max="4" width="11.375" style="3" customWidth="1"/>
    <col min="5" max="5" width="11.125" style="3" customWidth="1"/>
    <col min="6" max="8" width="9" style="3"/>
    <col min="9" max="9" width="13.75" style="3" customWidth="1"/>
    <col min="10" max="10" width="10.5" style="3" customWidth="1"/>
    <col min="11" max="11" width="12.25" style="3" customWidth="1"/>
    <col min="12" max="14" width="5.125" style="3" customWidth="1"/>
    <col min="15" max="15" width="13.75" style="3" customWidth="1"/>
    <col min="16" max="16384" width="9" style="3"/>
  </cols>
  <sheetData>
    <row r="1" spans="1:15">
      <c r="A1" s="4" t="s">
        <v>0</v>
      </c>
      <c r="B1" s="10">
        <v>243523</v>
      </c>
      <c r="C1" s="9">
        <f>IF(AND(LEFT(B1,2)="29",MID(B1,4,1)="2"),LEFT(B1,2)&amp;"/"&amp;MID(B1,4,1)&amp;"/"&amp;RIGHT(B1,4)-543,EDATE(B1,-543*12))</f>
        <v>45196</v>
      </c>
    </row>
    <row r="2" spans="1:15">
      <c r="A2" s="22" t="s">
        <v>1</v>
      </c>
      <c r="B2" s="22" t="s">
        <v>40</v>
      </c>
      <c r="C2" s="112" t="s">
        <v>41</v>
      </c>
      <c r="D2" s="111" t="s">
        <v>42</v>
      </c>
      <c r="E2" s="111" t="s">
        <v>43</v>
      </c>
      <c r="F2" s="16" t="s">
        <v>4</v>
      </c>
      <c r="G2" s="16" t="s">
        <v>5</v>
      </c>
      <c r="H2" s="16" t="s">
        <v>6</v>
      </c>
      <c r="I2" s="16" t="s">
        <v>7</v>
      </c>
      <c r="J2" s="111" t="s">
        <v>44</v>
      </c>
      <c r="K2" s="111" t="s">
        <v>45</v>
      </c>
      <c r="L2" s="16" t="s">
        <v>4</v>
      </c>
      <c r="M2" s="16" t="s">
        <v>5</v>
      </c>
      <c r="N2" s="16" t="s">
        <v>6</v>
      </c>
      <c r="O2" s="16" t="s">
        <v>7</v>
      </c>
    </row>
    <row r="3" spans="1:15">
      <c r="A3" s="19" t="s">
        <v>14</v>
      </c>
      <c r="B3" s="19" t="s">
        <v>46</v>
      </c>
      <c r="C3" s="19" t="s">
        <v>47</v>
      </c>
      <c r="D3" s="125">
        <v>43514</v>
      </c>
      <c r="E3" s="125">
        <v>45085</v>
      </c>
      <c r="F3" s="15">
        <f>DATEDIF(D3,E3,"Y")</f>
        <v>4</v>
      </c>
      <c r="G3" s="15">
        <f>DATEDIF(D3,E3,"YM")</f>
        <v>3</v>
      </c>
      <c r="H3" s="15">
        <f>DATEDIF(D3,E3,"MD")</f>
        <v>21</v>
      </c>
      <c r="I3" s="15">
        <f>E3-D3</f>
        <v>1571</v>
      </c>
      <c r="J3" s="125">
        <v>43514</v>
      </c>
      <c r="K3" s="125">
        <v>45085</v>
      </c>
      <c r="L3" s="15">
        <f>DATEDIF(J3,K3,"Y")</f>
        <v>4</v>
      </c>
      <c r="M3" s="15">
        <f>DATEDIF(J3,K3,"YM")</f>
        <v>3</v>
      </c>
      <c r="N3" s="15">
        <f>DATEDIF(J3,K3,"MD")</f>
        <v>21</v>
      </c>
      <c r="O3" s="15">
        <f>K3-J3</f>
        <v>1571</v>
      </c>
    </row>
    <row r="4" spans="1:15">
      <c r="A4" s="19" t="s">
        <v>14</v>
      </c>
      <c r="B4" s="19"/>
      <c r="C4" s="19" t="s">
        <v>47</v>
      </c>
      <c r="D4" s="125">
        <v>42005</v>
      </c>
      <c r="E4" s="125">
        <v>43101</v>
      </c>
      <c r="F4" s="15">
        <f t="shared" ref="F4:F6" si="0">DATEDIF(D4,E4,"Y")</f>
        <v>3</v>
      </c>
      <c r="G4" s="15">
        <f t="shared" ref="G4:G6" si="1">DATEDIF(D4,E4,"YM")</f>
        <v>0</v>
      </c>
      <c r="H4" s="15">
        <f t="shared" ref="H4:H6" si="2">DATEDIF(D4,E4,"MD")</f>
        <v>0</v>
      </c>
      <c r="I4" s="15">
        <f t="shared" ref="I4:I6" si="3">E4-D4</f>
        <v>1096</v>
      </c>
      <c r="J4" s="125">
        <v>42005</v>
      </c>
      <c r="K4" s="125">
        <v>43101</v>
      </c>
      <c r="L4" s="15">
        <f t="shared" ref="L4:L6" si="4">DATEDIF(J4,K4,"Y")</f>
        <v>3</v>
      </c>
      <c r="M4" s="15">
        <f t="shared" ref="M4:M6" si="5">DATEDIF(J4,K4,"YM")</f>
        <v>0</v>
      </c>
      <c r="N4" s="15">
        <f t="shared" ref="N4:N6" si="6">DATEDIF(J4,K4,"MD")</f>
        <v>0</v>
      </c>
      <c r="O4" s="15">
        <f t="shared" ref="O4:O6" si="7">K4-J4</f>
        <v>1096</v>
      </c>
    </row>
    <row r="5" spans="1:15">
      <c r="A5" s="19" t="s">
        <v>14</v>
      </c>
      <c r="B5" s="19"/>
      <c r="C5" s="19" t="s">
        <v>47</v>
      </c>
      <c r="D5" s="125">
        <v>38353</v>
      </c>
      <c r="E5" s="125">
        <v>40909</v>
      </c>
      <c r="F5" s="15">
        <f t="shared" si="0"/>
        <v>7</v>
      </c>
      <c r="G5" s="15">
        <f t="shared" si="1"/>
        <v>0</v>
      </c>
      <c r="H5" s="15">
        <f t="shared" si="2"/>
        <v>0</v>
      </c>
      <c r="I5" s="15">
        <f t="shared" si="3"/>
        <v>2556</v>
      </c>
      <c r="J5" s="125">
        <v>38353</v>
      </c>
      <c r="K5" s="125">
        <v>40909</v>
      </c>
      <c r="L5" s="15">
        <f t="shared" si="4"/>
        <v>7</v>
      </c>
      <c r="M5" s="15">
        <f t="shared" si="5"/>
        <v>0</v>
      </c>
      <c r="N5" s="15">
        <f t="shared" si="6"/>
        <v>0</v>
      </c>
      <c r="O5" s="15">
        <f t="shared" si="7"/>
        <v>2556</v>
      </c>
    </row>
    <row r="6" spans="1:15">
      <c r="A6" s="19" t="s">
        <v>15</v>
      </c>
      <c r="B6" s="19"/>
      <c r="C6" s="19" t="s">
        <v>47</v>
      </c>
      <c r="D6" s="125">
        <v>44197</v>
      </c>
      <c r="E6" s="125">
        <v>44927</v>
      </c>
      <c r="F6" s="15">
        <f t="shared" si="0"/>
        <v>2</v>
      </c>
      <c r="G6" s="15">
        <f t="shared" si="1"/>
        <v>0</v>
      </c>
      <c r="H6" s="15">
        <f t="shared" si="2"/>
        <v>0</v>
      </c>
      <c r="I6" s="15">
        <f t="shared" si="3"/>
        <v>730</v>
      </c>
      <c r="J6" s="125">
        <v>44197</v>
      </c>
      <c r="K6" s="125">
        <v>44927</v>
      </c>
      <c r="L6" s="15">
        <f t="shared" si="4"/>
        <v>2</v>
      </c>
      <c r="M6" s="15">
        <f t="shared" si="5"/>
        <v>0</v>
      </c>
      <c r="N6" s="15">
        <f t="shared" si="6"/>
        <v>0</v>
      </c>
      <c r="O6" s="15">
        <f t="shared" si="7"/>
        <v>730</v>
      </c>
    </row>
    <row r="7" spans="1:1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7"/>
  <sheetViews>
    <sheetView workbookViewId="0">
      <selection sqref="A1:XFD1048576"/>
    </sheetView>
  </sheetViews>
  <sheetFormatPr defaultColWidth="9" defaultRowHeight="24"/>
  <cols>
    <col min="1" max="1" width="18.25" style="3" customWidth="1"/>
    <col min="2" max="2" width="15.125" style="3" customWidth="1"/>
    <col min="3" max="3" width="11.375" style="3" customWidth="1"/>
    <col min="4" max="4" width="11.125" style="3" customWidth="1"/>
    <col min="5" max="7" width="9" style="3"/>
    <col min="8" max="8" width="13.75" style="3" customWidth="1"/>
    <col min="9" max="16384" width="9" style="3"/>
  </cols>
  <sheetData>
    <row r="1" spans="1:8">
      <c r="A1" s="4" t="s">
        <v>0</v>
      </c>
      <c r="B1" s="10">
        <v>243523</v>
      </c>
      <c r="C1" s="9">
        <f>IF(AND(LEFT(B1,2)="29",MID(B1,4,1)="2"),LEFT(B1,2)&amp;"/"&amp;MID(B1,4,1)&amp;"/"&amp;RIGHT(B1,4)-543,EDATE(B1,-543*12))</f>
        <v>45196</v>
      </c>
    </row>
    <row r="2" spans="1:8">
      <c r="A2" s="22" t="s">
        <v>1</v>
      </c>
      <c r="B2" s="112" t="s">
        <v>48</v>
      </c>
      <c r="C2" s="111" t="s">
        <v>17</v>
      </c>
      <c r="D2" s="111" t="s">
        <v>18</v>
      </c>
      <c r="E2" s="16" t="s">
        <v>4</v>
      </c>
      <c r="F2" s="16" t="s">
        <v>5</v>
      </c>
      <c r="G2" s="16" t="s">
        <v>6</v>
      </c>
      <c r="H2" s="16" t="s">
        <v>7</v>
      </c>
    </row>
    <row r="3" spans="1:8">
      <c r="A3" s="19" t="s">
        <v>14</v>
      </c>
      <c r="B3" s="19"/>
      <c r="C3" s="125">
        <v>42005</v>
      </c>
      <c r="D3" s="125">
        <v>43101</v>
      </c>
      <c r="E3" s="15">
        <f>DATEDIF(C3,D3,"Y")</f>
        <v>3</v>
      </c>
      <c r="F3" s="15">
        <f>DATEDIF(C3,D3,"YM")</f>
        <v>0</v>
      </c>
      <c r="G3" s="15">
        <f>DATEDIF(C3,D3,"MD")</f>
        <v>0</v>
      </c>
      <c r="H3" s="15">
        <f>D3-C3</f>
        <v>1096</v>
      </c>
    </row>
    <row r="4" spans="1:8">
      <c r="A4" s="19" t="s">
        <v>14</v>
      </c>
      <c r="B4" s="18" t="s">
        <v>19</v>
      </c>
      <c r="C4" s="125">
        <v>42005</v>
      </c>
      <c r="D4" s="125">
        <v>43101</v>
      </c>
      <c r="E4" s="15">
        <f t="shared" ref="E4:E6" si="0">DATEDIF(C4,D4,"Y")</f>
        <v>3</v>
      </c>
      <c r="F4" s="15">
        <f t="shared" ref="F4:F6" si="1">DATEDIF(C4,D4,"YM")</f>
        <v>0</v>
      </c>
      <c r="G4" s="15">
        <f t="shared" ref="G4:G6" si="2">DATEDIF(C4,D4,"MD")</f>
        <v>0</v>
      </c>
      <c r="H4" s="15">
        <f t="shared" ref="H4:H6" si="3">D4-C4</f>
        <v>1096</v>
      </c>
    </row>
    <row r="5" spans="1:8">
      <c r="A5" s="19" t="s">
        <v>14</v>
      </c>
      <c r="B5" s="18" t="s">
        <v>49</v>
      </c>
      <c r="C5" s="125">
        <v>42622</v>
      </c>
      <c r="D5" s="125">
        <v>43513</v>
      </c>
      <c r="E5" s="15">
        <f t="shared" si="0"/>
        <v>2</v>
      </c>
      <c r="F5" s="15">
        <f t="shared" si="1"/>
        <v>5</v>
      </c>
      <c r="G5" s="15">
        <f t="shared" si="2"/>
        <v>8</v>
      </c>
      <c r="H5" s="15">
        <f t="shared" si="3"/>
        <v>891</v>
      </c>
    </row>
    <row r="6" spans="1:8">
      <c r="A6" s="19" t="s">
        <v>15</v>
      </c>
      <c r="B6" s="18" t="s">
        <v>19</v>
      </c>
      <c r="C6" s="125">
        <v>44197</v>
      </c>
      <c r="D6" s="125">
        <v>44927</v>
      </c>
      <c r="E6" s="15">
        <f t="shared" si="0"/>
        <v>2</v>
      </c>
      <c r="F6" s="15">
        <f t="shared" si="1"/>
        <v>0</v>
      </c>
      <c r="G6" s="15">
        <f t="shared" si="2"/>
        <v>0</v>
      </c>
      <c r="H6" s="15">
        <f t="shared" si="3"/>
        <v>730</v>
      </c>
    </row>
    <row r="7" spans="1:8">
      <c r="A7" s="15"/>
      <c r="B7" s="15"/>
      <c r="C7" s="15"/>
      <c r="D7" s="15"/>
      <c r="E7" s="15"/>
      <c r="F7" s="15"/>
      <c r="G7" s="15"/>
      <c r="H7" s="15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A8"/>
  <sheetViews>
    <sheetView workbookViewId="0">
      <selection activeCell="AA1" sqref="AA1:AA1048576"/>
    </sheetView>
  </sheetViews>
  <sheetFormatPr defaultColWidth="9" defaultRowHeight="24"/>
  <cols>
    <col min="1" max="1" width="11.125" style="3" customWidth="1"/>
    <col min="2" max="2" width="14" style="3" customWidth="1"/>
    <col min="3" max="3" width="11.5" style="3" customWidth="1"/>
    <col min="4" max="4" width="9" style="3"/>
    <col min="5" max="5" width="17.125" style="3" customWidth="1"/>
    <col min="6" max="6" width="16.125" style="4" customWidth="1"/>
    <col min="7" max="7" width="21.125" style="5" customWidth="1"/>
    <col min="8" max="10" width="6.375" style="5" customWidth="1"/>
    <col min="11" max="11" width="16.75" style="5" customWidth="1"/>
    <col min="12" max="12" width="20.25" style="5" customWidth="1"/>
    <col min="13" max="13" width="19.5" style="5" customWidth="1"/>
    <col min="14" max="14" width="3.875" style="5" customWidth="1"/>
    <col min="15" max="15" width="4.875" style="5" customWidth="1"/>
    <col min="16" max="16" width="2.875" style="5" customWidth="1"/>
    <col min="17" max="17" width="12" style="3" customWidth="1"/>
    <col min="18" max="18" width="15.125" style="3" customWidth="1"/>
    <col min="19" max="20" width="12" style="4" customWidth="1"/>
    <col min="21" max="21" width="21.25" style="4" customWidth="1"/>
    <col min="22" max="22" width="13.75" style="4" customWidth="1"/>
    <col min="23" max="23" width="26.875" style="4" customWidth="1"/>
    <col min="24" max="24" width="21.25" style="10" customWidth="1"/>
    <col min="25" max="25" width="24.625" style="9" customWidth="1"/>
    <col min="26" max="26" width="21.75" style="8" customWidth="1"/>
    <col min="27" max="27" width="23" style="3" customWidth="1"/>
    <col min="28" max="16384" width="9" style="3"/>
  </cols>
  <sheetData>
    <row r="1" spans="1:27">
      <c r="B1" s="3" t="s">
        <v>50</v>
      </c>
      <c r="C1" s="9">
        <f ca="1">TODAY()</f>
        <v>46102</v>
      </c>
      <c r="E1" s="4" t="s">
        <v>0</v>
      </c>
      <c r="F1" s="10">
        <v>243523</v>
      </c>
      <c r="G1" s="9">
        <f>IF(AND(LEFT(F1,2)="29",MID(F1,4,1)="2"),LEFT(F1,2)&amp;"/"&amp;MID(F1,4,1)&amp;"/"&amp;RIGHT(F1,4)-543,EDATE(F1,-543*12))</f>
        <v>45196</v>
      </c>
    </row>
    <row r="2" spans="1:27" s="23" customFormat="1">
      <c r="A2" s="39" t="s">
        <v>51</v>
      </c>
      <c r="B2" s="13" t="s">
        <v>52</v>
      </c>
      <c r="C2" s="39" t="s">
        <v>53</v>
      </c>
      <c r="D2" s="39" t="s">
        <v>54</v>
      </c>
      <c r="E2" s="39" t="s">
        <v>55</v>
      </c>
      <c r="F2" s="39" t="s">
        <v>56</v>
      </c>
      <c r="G2" s="40" t="s">
        <v>57</v>
      </c>
      <c r="H2" s="40" t="s">
        <v>4</v>
      </c>
      <c r="I2" s="40" t="s">
        <v>5</v>
      </c>
      <c r="J2" s="40" t="s">
        <v>6</v>
      </c>
      <c r="K2" s="39" t="s">
        <v>58</v>
      </c>
      <c r="L2" s="39" t="s">
        <v>59</v>
      </c>
      <c r="M2" s="40" t="s">
        <v>60</v>
      </c>
      <c r="N2" s="40" t="s">
        <v>4</v>
      </c>
      <c r="O2" s="40" t="s">
        <v>5</v>
      </c>
      <c r="P2" s="40" t="s">
        <v>6</v>
      </c>
      <c r="Q2" s="39" t="s">
        <v>61</v>
      </c>
      <c r="R2" s="118" t="s">
        <v>16</v>
      </c>
      <c r="S2" s="39" t="s">
        <v>62</v>
      </c>
      <c r="T2" s="39" t="s">
        <v>63</v>
      </c>
      <c r="U2" s="118" t="s">
        <v>64</v>
      </c>
      <c r="V2" s="13" t="s">
        <v>65</v>
      </c>
      <c r="W2" s="13" t="s">
        <v>66</v>
      </c>
      <c r="X2" s="41" t="s">
        <v>67</v>
      </c>
      <c r="Y2" s="41" t="s">
        <v>68</v>
      </c>
      <c r="Z2" s="42" t="s">
        <v>69</v>
      </c>
      <c r="AA2" s="39" t="s">
        <v>70</v>
      </c>
    </row>
    <row r="3" spans="1:27">
      <c r="A3" s="15"/>
      <c r="B3" s="15"/>
      <c r="C3" s="15"/>
      <c r="D3" s="15"/>
      <c r="E3" s="15" t="s">
        <v>36</v>
      </c>
      <c r="F3" s="16" t="s">
        <v>71</v>
      </c>
      <c r="G3" s="17" t="s">
        <v>72</v>
      </c>
      <c r="H3" s="18">
        <f ca="1">DATEDIF(G3,$C$1,"Y")</f>
        <v>6</v>
      </c>
      <c r="I3" s="18">
        <f ca="1">DATEDIF(G3,$C$1,"YM")</f>
        <v>3</v>
      </c>
      <c r="J3" s="18">
        <f ca="1">DATEDIF(G3,$C$1,"MD")</f>
        <v>20</v>
      </c>
      <c r="K3" s="15" t="s">
        <v>36</v>
      </c>
      <c r="L3" s="16" t="s">
        <v>71</v>
      </c>
      <c r="M3" s="17" t="s">
        <v>72</v>
      </c>
      <c r="N3" s="18">
        <f>DATEDIF(M3,G3,"Y")</f>
        <v>0</v>
      </c>
      <c r="O3" s="18">
        <f>DATEDIF(M3,G3,"YM")</f>
        <v>0</v>
      </c>
      <c r="P3" s="18">
        <f>DATEDIF(M3,G3,"MD")</f>
        <v>0</v>
      </c>
      <c r="Q3" s="15" t="s">
        <v>73</v>
      </c>
      <c r="R3" s="15" t="s">
        <v>36</v>
      </c>
      <c r="S3" s="16" t="s">
        <v>74</v>
      </c>
      <c r="T3" s="16">
        <v>1</v>
      </c>
      <c r="U3" s="16">
        <f ca="1">_xlfn.IFS(AND(T3=1,K3=R3,E3=R3),$C$1-M3,AND(T3=2,K3=R3,E3&lt;&gt;R3),G3-M3,AND(T3=2,K3&lt;&gt;R3,E3=R3),$C$1-G3,AND(K3&lt;&gt;R3,E3&lt;&gt;R3),0,T3&gt;2,SUMIFS('นับวันใน-ตน.'!H:H,'นับวันใน-ตน.'!A:A,B3,'นับวันใน-ตน.'!B:B,R3),TRUE,0)</f>
        <v>2302</v>
      </c>
      <c r="V3" s="16">
        <f>SUMIF(นับเกื้อกูล!A:A,B3,นับเกื้อกูล!I:I)</f>
        <v>0</v>
      </c>
      <c r="W3" s="21">
        <f t="shared" ref="W3:W7" ca="1" si="0">U3+V3</f>
        <v>2302</v>
      </c>
      <c r="X3" s="29">
        <f ca="1">IF(W3&gt;0,$C$1-W3,"Check Data")</f>
        <v>43800</v>
      </c>
      <c r="Y3" s="29">
        <f ca="1">_xlfn.IFS(Q3="ป.ตรี",EDATE(X3,12*6),Q3="ป.ตรี 5 ปี",EDATE(X3,12*5),Q3="ป.ตรี 6 ปี",EDATE(X3,12*4),Q3="ป.โท",EDATE(X3,12*4),Q3="ป.เอก",EDATE(X3,12*2),TRUE,"Check Data")</f>
        <v>45992</v>
      </c>
      <c r="Z3" s="36">
        <f ca="1">IF(TODAY()&gt;Y3,Y3-TODAY(),DATEDIF(TODAY(),Y3,"d"))</f>
        <v>-110</v>
      </c>
      <c r="AA3" s="15" t="str">
        <f ca="1">_xlfn.IFS(Z3&gt;30,"ยังไม่ถึงเกณฑ์",Z3&gt;0,"ใกล้ถึงเกณฑ์",Z3=0,"ถึงเกณฑ์",Z3&lt;0,"ถึงเกณฑ์นานแล้ว")</f>
        <v>ถึงเกณฑ์นานแล้ว</v>
      </c>
    </row>
    <row r="4" spans="1:27">
      <c r="A4" s="15"/>
      <c r="B4" s="15"/>
      <c r="C4" s="15"/>
      <c r="D4" s="15"/>
      <c r="E4" s="18" t="s">
        <v>19</v>
      </c>
      <c r="F4" s="16" t="s">
        <v>71</v>
      </c>
      <c r="G4" s="19" t="s">
        <v>75</v>
      </c>
      <c r="H4" s="18">
        <f t="shared" ref="H4:H6" ca="1" si="1">DATEDIF(G4,$C$1,"Y")</f>
        <v>13</v>
      </c>
      <c r="I4" s="18">
        <f t="shared" ref="I4:I6" ca="1" si="2">DATEDIF(G4,$C$1,"YM")</f>
        <v>9</v>
      </c>
      <c r="J4" s="18">
        <f t="shared" ref="J4:J6" ca="1" si="3">DATEDIF(G4,$C$1,"MD")</f>
        <v>20</v>
      </c>
      <c r="K4" s="18" t="s">
        <v>19</v>
      </c>
      <c r="L4" s="16" t="s">
        <v>71</v>
      </c>
      <c r="M4" s="19" t="s">
        <v>75</v>
      </c>
      <c r="N4" s="18">
        <f t="shared" ref="N4:N6" si="4">DATEDIF(M4,G4,"Y")</f>
        <v>0</v>
      </c>
      <c r="O4" s="18">
        <f t="shared" ref="O4:O6" si="5">DATEDIF(M4,G4,"YM")</f>
        <v>0</v>
      </c>
      <c r="P4" s="18">
        <f t="shared" ref="P4:P6" si="6">DATEDIF(M4,G4,"MD")</f>
        <v>0</v>
      </c>
      <c r="Q4" s="15" t="s">
        <v>73</v>
      </c>
      <c r="R4" s="18" t="s">
        <v>19</v>
      </c>
      <c r="S4" s="16" t="s">
        <v>74</v>
      </c>
      <c r="T4" s="16">
        <v>1</v>
      </c>
      <c r="U4" s="16">
        <f ca="1">_xlfn.IFS(AND(T4=1,K4=R4,E4=R4),$C$1-M4,AND(T4=2,K4=R4,E4&lt;&gt;R4),G4-M4,AND(T4=2,K4&lt;&gt;R4,E4=R4),$C$1-G4,AND(K4&lt;&gt;R4,E4&lt;&gt;R4),0,T4&gt;2,SUMIFS('นับวันใน-ตน.'!H:H,'นับวันใน-ตน.'!A:A,B4,'นับวันใน-ตน.'!B:B,R4),TRUE,0)</f>
        <v>5041</v>
      </c>
      <c r="V4" s="16">
        <f>SUMIF(นับเกื้อกูล!A:A,B4,นับเกื้อกูล!I:I)</f>
        <v>0</v>
      </c>
      <c r="W4" s="21">
        <f t="shared" ca="1" si="0"/>
        <v>5041</v>
      </c>
      <c r="X4" s="29">
        <f t="shared" ref="X4:X7" ca="1" si="7">IF(W4&gt;0,$C$1-W4,"Check Data")</f>
        <v>41061</v>
      </c>
      <c r="Y4" s="29">
        <f t="shared" ref="Y4:Y7" ca="1" si="8">_xlfn.IFS(Q4="ป.ตรี",EDATE(X4,12*6),Q4="ป.ตรี 5 ปี",EDATE(X4,12*5),Q4="ป.ตรี 6 ปี",EDATE(X4,12*4),Q4="ป.โท",EDATE(X4,12*4),Q4="ป.เอก",EDATE(X4,12*2),TRUE,"Check Data")</f>
        <v>43252</v>
      </c>
      <c r="Z4" s="36">
        <f ca="1">IF(TODAY()&gt;Y4,Y4-TODAY(),DATEDIF(TODAY(),Y4,"d"))</f>
        <v>-2850</v>
      </c>
      <c r="AA4" s="15" t="str">
        <f ca="1">_xlfn.IFS(Z4&gt;30,"ยังไม่ถึงเกณฑ์",Z4&gt;0,"ใกล้ถึงเกณฑ์",Z4=0,"ถึงเกณฑ์",Z4&lt;0,"ถึงเกณฑ์นานแล้ว")</f>
        <v>ถึงเกณฑ์นานแล้ว</v>
      </c>
    </row>
    <row r="5" spans="1:27">
      <c r="A5" s="15"/>
      <c r="B5" s="19" t="s">
        <v>15</v>
      </c>
      <c r="C5" s="15"/>
      <c r="D5" s="15"/>
      <c r="E5" s="15" t="s">
        <v>36</v>
      </c>
      <c r="F5" s="16" t="s">
        <v>71</v>
      </c>
      <c r="G5" s="17" t="s">
        <v>76</v>
      </c>
      <c r="H5" s="18">
        <f t="shared" ca="1" si="1"/>
        <v>3</v>
      </c>
      <c r="I5" s="18">
        <f t="shared" ca="1" si="2"/>
        <v>2</v>
      </c>
      <c r="J5" s="18">
        <f t="shared" ca="1" si="3"/>
        <v>20</v>
      </c>
      <c r="K5" s="18" t="s">
        <v>19</v>
      </c>
      <c r="L5" s="16" t="s">
        <v>71</v>
      </c>
      <c r="M5" s="17" t="s">
        <v>77</v>
      </c>
      <c r="N5" s="18">
        <f t="shared" si="4"/>
        <v>2</v>
      </c>
      <c r="O5" s="18">
        <f t="shared" si="5"/>
        <v>0</v>
      </c>
      <c r="P5" s="18">
        <f t="shared" si="6"/>
        <v>0</v>
      </c>
      <c r="Q5" s="15" t="s">
        <v>78</v>
      </c>
      <c r="R5" s="18" t="s">
        <v>19</v>
      </c>
      <c r="S5" s="16" t="s">
        <v>74</v>
      </c>
      <c r="T5" s="16">
        <v>2</v>
      </c>
      <c r="U5" s="16">
        <f ca="1">_xlfn.IFS(AND(T5=1,K5=R5,E5=R5),$C$1-M5,AND(T5=2,K5=R5,E5&lt;&gt;R5),G5-M5,AND(T5=2,K5&lt;&gt;R5,E5=R5),$C$1-G5,AND(K5&lt;&gt;R5,E5&lt;&gt;R5),0,T5&gt;2,SUMIFS('นับวันใน-ตน.'!H:H,'นับวันใน-ตน.'!A:A,B5,'นับวันใน-ตน.'!B:B,R5),TRUE,0)</f>
        <v>730</v>
      </c>
      <c r="V5" s="16">
        <f>SUMIF(นับเกื้อกูล!A:A,B5,นับเกื้อกูล!I:I)</f>
        <v>548</v>
      </c>
      <c r="W5" s="21">
        <f t="shared" ca="1" si="0"/>
        <v>1278</v>
      </c>
      <c r="X5" s="29">
        <f t="shared" ca="1" si="7"/>
        <v>44824</v>
      </c>
      <c r="Y5" s="29">
        <f t="shared" ca="1" si="8"/>
        <v>46285</v>
      </c>
      <c r="Z5" s="36">
        <f ca="1">IF(TODAY()&gt;Y5,Y5-TODAY(),DATEDIF(TODAY(),Y5,"d"))</f>
        <v>183</v>
      </c>
      <c r="AA5" s="15" t="str">
        <f ca="1">_xlfn.IFS(Z5&gt;30,"ยังไม่ถึงเกณฑ์",Z5&gt;0,"ใกล้ถึงเกณฑ์",Z5=0,"ถึงเกณฑ์",Z5&lt;0,"ถึงเกณฑ์นานแล้ว")</f>
        <v>ยังไม่ถึงเกณฑ์</v>
      </c>
    </row>
    <row r="6" spans="1:27">
      <c r="A6" s="15"/>
      <c r="B6" s="15"/>
      <c r="C6" s="15"/>
      <c r="D6" s="15"/>
      <c r="E6" s="15" t="s">
        <v>79</v>
      </c>
      <c r="F6" s="16" t="s">
        <v>71</v>
      </c>
      <c r="G6" s="17" t="s">
        <v>72</v>
      </c>
      <c r="H6" s="18">
        <f t="shared" ca="1" si="1"/>
        <v>6</v>
      </c>
      <c r="I6" s="18">
        <f t="shared" ca="1" si="2"/>
        <v>3</v>
      </c>
      <c r="J6" s="18">
        <f t="shared" ca="1" si="3"/>
        <v>20</v>
      </c>
      <c r="K6" s="18" t="s">
        <v>79</v>
      </c>
      <c r="L6" s="18"/>
      <c r="M6" s="17"/>
      <c r="N6" s="18">
        <f t="shared" si="4"/>
        <v>119</v>
      </c>
      <c r="O6" s="18">
        <f t="shared" si="5"/>
        <v>11</v>
      </c>
      <c r="P6" s="18">
        <f t="shared" si="6"/>
        <v>1</v>
      </c>
      <c r="Q6" s="15" t="s">
        <v>80</v>
      </c>
      <c r="R6" s="15" t="s">
        <v>79</v>
      </c>
      <c r="S6" s="16" t="s">
        <v>74</v>
      </c>
      <c r="T6" s="16">
        <v>1</v>
      </c>
      <c r="U6" s="16">
        <f ca="1">_xlfn.IFS(AND(T6=1,K6=R6,E6=R6),$C$1-M6,AND(T6=2,K6=R6,E6&lt;&gt;R6),G6-M6,AND(T6=2,K6&lt;&gt;R6,E6=R6),$C$1-G6,AND(K6&lt;&gt;R6,E6&lt;&gt;R6),0,T6&gt;2,SUMIFS('นับวันใน-ตน.'!H:H,'นับวันใน-ตน.'!A:A,B6,'นับวันใน-ตน.'!B:B,R6),TRUE,0)</f>
        <v>46102</v>
      </c>
      <c r="V6" s="16">
        <f>SUMIF(นับเกื้อกูล!A:A,B6,นับเกื้อกูล!I:I)</f>
        <v>0</v>
      </c>
      <c r="W6" s="21">
        <f t="shared" ca="1" si="0"/>
        <v>46102</v>
      </c>
      <c r="X6" s="29">
        <f t="shared" ca="1" si="7"/>
        <v>0</v>
      </c>
      <c r="Y6" s="29">
        <f t="shared" ca="1" si="8"/>
        <v>731</v>
      </c>
      <c r="Z6" s="36">
        <f ca="1">IF(TODAY()&gt;Y6,Y6-TODAY(),DATEDIF(TODAY(),Y6,"d"))</f>
        <v>-45371</v>
      </c>
      <c r="AA6" s="15" t="str">
        <f ca="1">_xlfn.IFS(Z6&gt;30,"ยังไม่ถึงเกณฑ์",Z6&gt;0,"ใกล้ถึงเกณฑ์",Z6=0,"ถึงเกณฑ์",Z6&lt;0,"ถึงเกณฑ์นานแล้ว")</f>
        <v>ถึงเกณฑ์นานแล้ว</v>
      </c>
    </row>
    <row r="7" spans="1:27">
      <c r="A7" s="15"/>
      <c r="B7" s="15"/>
      <c r="C7" s="15"/>
      <c r="D7" s="15"/>
      <c r="E7" s="15"/>
      <c r="F7" s="16"/>
      <c r="G7" s="17"/>
      <c r="H7" s="17"/>
      <c r="I7" s="17"/>
      <c r="J7" s="17"/>
      <c r="K7" s="17"/>
      <c r="L7" s="17"/>
      <c r="M7" s="17"/>
      <c r="N7" s="17"/>
      <c r="O7" s="17"/>
      <c r="P7" s="17"/>
      <c r="Q7" s="15"/>
      <c r="R7" s="15"/>
      <c r="S7" s="16"/>
      <c r="T7" s="16"/>
      <c r="U7" s="16">
        <f ca="1">_xlfn.IFS(AND(T7=1,K7=R7,E7=R7),$C$1-M7,AND(T7=2,K7=R7,E7&lt;&gt;R7),G7-M7,AND(T7=2,K7&lt;&gt;R7,E7=R7),$C$1-G7,AND(K7&lt;&gt;R7,E7&lt;&gt;R7),0,T7&gt;2,SUMIFS('นับวันใน-ตน.'!H:H,'นับวันใน-ตน.'!A:A,B7,'นับวันใน-ตน.'!B:B,R7),TRUE,0)</f>
        <v>0</v>
      </c>
      <c r="V7" s="16">
        <f>SUMIF(นับเกื้อกูล!A:A,B7,นับเกื้อกูล!I:I)</f>
        <v>0</v>
      </c>
      <c r="W7" s="21">
        <f t="shared" ca="1" si="0"/>
        <v>0</v>
      </c>
      <c r="X7" s="29" t="str">
        <f t="shared" ca="1" si="7"/>
        <v>Check Data</v>
      </c>
      <c r="Y7" s="29" t="str">
        <f t="shared" ca="1" si="8"/>
        <v>Check Data</v>
      </c>
      <c r="Z7" s="36"/>
      <c r="AA7" s="15"/>
    </row>
    <row r="8" spans="1:27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5"/>
      <c r="R8" s="15"/>
      <c r="S8" s="16"/>
      <c r="T8" s="16"/>
      <c r="U8" s="16"/>
      <c r="V8" s="16"/>
      <c r="W8" s="16"/>
      <c r="X8" s="25"/>
      <c r="Y8" s="125"/>
      <c r="Z8" s="36"/>
      <c r="AA8" s="15"/>
    </row>
  </sheetData>
  <conditionalFormatting sqref="AA1:AA1048576">
    <cfRule type="containsText" dxfId="15" priority="5" operator="containsText" text="ถึงเกณฑ์นานแล้ว">
      <formula>NOT(ISERROR(SEARCH("ถึงเกณฑ์นานแล้ว",AA1)))</formula>
    </cfRule>
    <cfRule type="containsText" dxfId="14" priority="6" operator="containsText" text="ยังไม่ถึงเกณฑ์">
      <formula>NOT(ISERROR(SEARCH("ยังไม่ถึงเกณฑ์",AA1)))</formula>
    </cfRule>
    <cfRule type="containsText" dxfId="13" priority="7" operator="containsText" text="ใกล้ถึงเกณฑ์">
      <formula>NOT(ISERROR(SEARCH("ใกล้ถึงเกณฑ์",AA1)))</formula>
    </cfRule>
    <cfRule type="containsText" dxfId="12" priority="8" operator="containsText" text="ถึงเกณฑ์">
      <formula>NOT(ISERROR(SEARCH("ถึงเกณฑ์",AA1)))</formula>
    </cfRule>
  </conditionalFormatting>
  <dataValidations count="1">
    <dataValidation type="list" showInputMessage="1" showErrorMessage="1" sqref="Q3:Q6" xr:uid="{00000000-0002-0000-0500-000000000000}">
      <formula1>"ป.ตรี,ป.ตรี 5 ปี,ป.ตรี 6 ปี,ป.โท,ป.เอก"</formula1>
    </dataValidation>
  </dataValidation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1"/>
  <sheetViews>
    <sheetView workbookViewId="0">
      <selection activeCell="B3" sqref="B3:C21"/>
    </sheetView>
  </sheetViews>
  <sheetFormatPr defaultColWidth="9" defaultRowHeight="14.25"/>
  <sheetData>
    <row r="1" spans="1:30" ht="24">
      <c r="B1" s="3" t="s">
        <v>50</v>
      </c>
      <c r="C1" s="9">
        <v>45170</v>
      </c>
      <c r="E1" s="4" t="s">
        <v>0</v>
      </c>
      <c r="F1" s="10">
        <v>241346</v>
      </c>
      <c r="G1" s="9">
        <f>IF(AND(LEFT(F1,2)="29",MID(F1,4,1)="2"),LEFT(F1,2)&amp;"/"&amp;MID(F1,4,1)&amp;"/"&amp;RIGHT(F1,4)-543,EDATE(F1,-543*12))</f>
        <v>43019</v>
      </c>
    </row>
    <row r="2" spans="1:30" ht="24">
      <c r="A2" s="39" t="s">
        <v>51</v>
      </c>
      <c r="B2" s="13" t="s">
        <v>52</v>
      </c>
      <c r="C2" s="39" t="s">
        <v>53</v>
      </c>
      <c r="D2" s="40" t="s">
        <v>54</v>
      </c>
      <c r="E2" s="39" t="s">
        <v>55</v>
      </c>
      <c r="F2" s="39" t="s">
        <v>56</v>
      </c>
      <c r="G2" s="40" t="s">
        <v>57</v>
      </c>
      <c r="H2" s="40" t="s">
        <v>4</v>
      </c>
      <c r="I2" s="40" t="s">
        <v>5</v>
      </c>
      <c r="J2" s="40" t="s">
        <v>6</v>
      </c>
      <c r="K2" s="39" t="s">
        <v>58</v>
      </c>
      <c r="L2" s="40" t="s">
        <v>59</v>
      </c>
      <c r="M2" s="40" t="s">
        <v>81</v>
      </c>
      <c r="N2" s="40" t="s">
        <v>4</v>
      </c>
      <c r="O2" s="40" t="s">
        <v>5</v>
      </c>
      <c r="P2" s="40" t="s">
        <v>6</v>
      </c>
      <c r="Q2" s="39" t="s">
        <v>61</v>
      </c>
      <c r="R2" s="39" t="s">
        <v>16</v>
      </c>
      <c r="S2" s="39" t="s">
        <v>62</v>
      </c>
      <c r="T2" s="39" t="s">
        <v>63</v>
      </c>
      <c r="U2" s="118" t="s">
        <v>64</v>
      </c>
      <c r="V2" s="13" t="s">
        <v>65</v>
      </c>
      <c r="W2" s="13" t="s">
        <v>66</v>
      </c>
      <c r="X2" s="40" t="s">
        <v>67</v>
      </c>
      <c r="Y2" s="41" t="s">
        <v>82</v>
      </c>
      <c r="Z2" s="41" t="s">
        <v>83</v>
      </c>
      <c r="AA2" s="41" t="s">
        <v>84</v>
      </c>
      <c r="AB2" s="42" t="s">
        <v>69</v>
      </c>
      <c r="AC2" s="39" t="s">
        <v>70</v>
      </c>
      <c r="AD2" s="23" t="s">
        <v>85</v>
      </c>
    </row>
    <row r="3" spans="1:30" ht="48">
      <c r="A3" s="15"/>
      <c r="B3" s="17"/>
      <c r="C3" s="15"/>
      <c r="D3" s="17" t="s">
        <v>86</v>
      </c>
      <c r="E3" s="15" t="s">
        <v>19</v>
      </c>
      <c r="F3" s="16" t="s">
        <v>74</v>
      </c>
      <c r="G3" s="17" t="s">
        <v>87</v>
      </c>
      <c r="H3" s="18">
        <f>DATEDIF(G3,$C$1,"Y")</f>
        <v>0</v>
      </c>
      <c r="I3" s="18">
        <f>DATEDIF(G3,$C$1,"YM")</f>
        <v>8</v>
      </c>
      <c r="J3" s="18">
        <f>DATEDIF(G3,$C$1,"MD")</f>
        <v>5</v>
      </c>
      <c r="K3" s="15" t="s">
        <v>19</v>
      </c>
      <c r="L3" s="21" t="s">
        <v>71</v>
      </c>
      <c r="M3" s="17" t="s">
        <v>86</v>
      </c>
      <c r="N3" s="18">
        <f>DATEDIF(M3,G3,"Y")</f>
        <v>10</v>
      </c>
      <c r="O3" s="18">
        <f>DATEDIF(M3,G3,"YM")</f>
        <v>9</v>
      </c>
      <c r="P3" s="18">
        <f>DATEDIF(M3,G3,"MD")</f>
        <v>12</v>
      </c>
      <c r="Q3" s="15" t="s">
        <v>78</v>
      </c>
      <c r="R3" s="15" t="s">
        <v>19</v>
      </c>
      <c r="S3" s="16" t="s">
        <v>88</v>
      </c>
      <c r="T3" s="16">
        <v>1</v>
      </c>
      <c r="U3" s="16">
        <f>_xlfn.IFS(AND(T3=1,K3=R3,E3=R3),$C$1-M3,AND(T3=2,K3=R3,E3&lt;&gt;R3),G3-M3,AND(T3=2,K3&lt;&gt;R3,E3=R3),$C$1-G3,AND(K3&lt;&gt;R3,E3&lt;&gt;R3),0,T3&gt;2,SUMIFS('นับวันใน-ตน.'!H:H,'นับวันใน-ตน.'!A:A,B3,'นับวันใน-ตน.'!B:B,R3),TRUE,0)</f>
        <v>4187</v>
      </c>
      <c r="V3" s="119">
        <f>SUMIF(นับเกื้อกูล!A:A,B3,นับเกื้อกูล!I:I)</f>
        <v>0</v>
      </c>
      <c r="W3" s="119">
        <f>U3+V3</f>
        <v>4187</v>
      </c>
      <c r="X3" s="25">
        <f>IF(W3&gt;0,$C$1-W3,"Check Data")</f>
        <v>40983</v>
      </c>
      <c r="Y3" s="29">
        <f t="shared" ref="Y3:Y21" si="0">EDATE(G3,12*4)</f>
        <v>46383</v>
      </c>
      <c r="Z3" s="30">
        <f>IFERROR(_xlfn.IFS(Q3="ป.ตรี",EDATE(X3,12*10),Q3="ป.ตรี 5 ปี",EDATE(X3,12*9),Q3="ป.ตรี 6 ปี",EDATE(X3,12*8),Q3="ป.โท",EDATE(X3,12*8),Q3="ป.เอก",EDATE(X3,12*6),TRUE,"Check Data"),"Check Data")</f>
        <v>43905</v>
      </c>
      <c r="AA3" s="30">
        <f t="shared" ref="AA3:AA21" si="1">IF(Y3&gt;Z3,Y3,Z3)</f>
        <v>46383</v>
      </c>
      <c r="AB3" s="36">
        <f t="shared" ref="AB3:AB21" ca="1" si="2">_xlfn.IFS(AND(TODAY()&gt;Y3,Y3&gt;Z3),Y3-TODAY(),AND(TODAY()&gt;Z3,Z3&gt;Y3),Z3-TODAY(),AND(TODAY()&lt;Y3,Y3&gt;Z3),DATEDIF(TODAY(),Y3,"d"),AND(TODAY()&lt;Z3,Z3&gt;Y3),DATEDIF(TODAY(),Z3,"d"),Y3=Z3,DATEDIF(TODAY(),Y3,"d"))</f>
        <v>281</v>
      </c>
      <c r="AC3" s="15" t="str">
        <f ca="1">_xlfn.IFS(AB3&gt;30,"ยังไม่ถึงเกณฑ์",AB3&gt;0,"ใกล้ถึงเกณฑ์",AB3=0,"ถึงเกณฑ์",AB3&lt;0,"ถึงเกณฑ์นานแล้ว")</f>
        <v>ยังไม่ถึงเกณฑ์</v>
      </c>
    </row>
    <row r="4" spans="1:30" ht="48">
      <c r="A4" s="15"/>
      <c r="B4" s="19"/>
      <c r="C4" s="110"/>
      <c r="D4" s="17" t="s">
        <v>89</v>
      </c>
      <c r="E4" s="15" t="s">
        <v>19</v>
      </c>
      <c r="F4" s="16" t="s">
        <v>74</v>
      </c>
      <c r="G4" s="17" t="s">
        <v>90</v>
      </c>
      <c r="H4" s="18">
        <f t="shared" ref="H4:H19" si="3">DATEDIF(G4,$C$1,"Y")</f>
        <v>1</v>
      </c>
      <c r="I4" s="18">
        <f t="shared" ref="I4:I19" si="4">DATEDIF(G4,$C$1,"YM")</f>
        <v>0</v>
      </c>
      <c r="J4" s="18">
        <f t="shared" ref="J4:J19" si="5">DATEDIF(G4,$C$1,"MD")</f>
        <v>22</v>
      </c>
      <c r="K4" s="15" t="s">
        <v>19</v>
      </c>
      <c r="L4" s="21" t="s">
        <v>71</v>
      </c>
      <c r="M4" s="17" t="s">
        <v>89</v>
      </c>
      <c r="N4" s="18">
        <f>DATEDIF(M4,G4,"Y")</f>
        <v>5</v>
      </c>
      <c r="O4" s="18">
        <f>DATEDIF(M4,G4,"YM")</f>
        <v>9</v>
      </c>
      <c r="P4" s="18">
        <f>DATEDIF(M4,G4,"MD")</f>
        <v>27</v>
      </c>
      <c r="Q4" s="15" t="s">
        <v>78</v>
      </c>
      <c r="R4" s="15" t="s">
        <v>19</v>
      </c>
      <c r="S4" s="16" t="s">
        <v>88</v>
      </c>
      <c r="T4" s="16">
        <v>1</v>
      </c>
      <c r="U4" s="16">
        <f>_xlfn.IFS(AND(T4=1,K4=R4,E4=R4),$C$1-M4,AND(T4=2,K4=R4,E4&lt;&gt;R4),G4-M4,AND(T4=2,K4&lt;&gt;R4,E4=R4),$C$1-G4,AND(K4&lt;&gt;R4,E4&lt;&gt;R4),0,T4&gt;2,SUMIFS('นับวันใน-ตน.'!H:H,'นับวันใน-ตน.'!A:A,B4,'นับวันใน-ตน.'!B:B,R4),TRUE,0)</f>
        <v>2513</v>
      </c>
      <c r="V4" s="119">
        <f>SUMIF(นับเกื้อกูล!A:A,B4,นับเกื้อกูล!I:I)</f>
        <v>0</v>
      </c>
      <c r="W4" s="119">
        <f t="shared" ref="W4:W21" si="6">U4+V4</f>
        <v>2513</v>
      </c>
      <c r="X4" s="25">
        <f t="shared" ref="X4:X19" si="7">IF(W4&gt;0,$C$1-W4,"Check Data")</f>
        <v>42657</v>
      </c>
      <c r="Y4" s="29">
        <f t="shared" si="0"/>
        <v>46244</v>
      </c>
      <c r="Z4" s="30">
        <f t="shared" ref="Z4:Z21" si="8">IFERROR(_xlfn.IFS(Q4="ป.ตรี",EDATE(X4,12*10),Q4="ป.ตรี 5 ปี",EDATE(X4,12*9),Q4="ป.ตรี 6 ปี",EDATE(X4,12*8),Q4="ป.โท",EDATE(X4,12*8),Q4="ป.เอก",EDATE(X4,12*6),TRUE,"Check Data"),"Check Data")</f>
        <v>45579</v>
      </c>
      <c r="AA4" s="30">
        <f t="shared" si="1"/>
        <v>46244</v>
      </c>
      <c r="AB4" s="36">
        <f t="shared" ca="1" si="2"/>
        <v>142</v>
      </c>
      <c r="AC4" s="15" t="str">
        <f ca="1">_xlfn.IFS(AB4&gt;30,"ยังไม่ถึงเกณฑ์",AB4&gt;0,"ใกล้ถึงเกณฑ์",AB4=0,"ถึงเกณฑ์",AB4&lt;0,"ถึงเกณฑ์นานแล้ว")</f>
        <v>ยังไม่ถึงเกณฑ์</v>
      </c>
    </row>
    <row r="5" spans="1:30" ht="24">
      <c r="A5" s="15"/>
      <c r="B5" s="19"/>
      <c r="C5" s="15"/>
      <c r="D5" s="17" t="s">
        <v>91</v>
      </c>
      <c r="E5" s="15" t="s">
        <v>19</v>
      </c>
      <c r="F5" s="16" t="s">
        <v>74</v>
      </c>
      <c r="G5" s="19" t="s">
        <v>92</v>
      </c>
      <c r="H5" s="18">
        <f t="shared" si="3"/>
        <v>3</v>
      </c>
      <c r="I5" s="18">
        <f t="shared" si="4"/>
        <v>5</v>
      </c>
      <c r="J5" s="18">
        <f t="shared" si="5"/>
        <v>23</v>
      </c>
      <c r="K5" s="15" t="s">
        <v>19</v>
      </c>
      <c r="L5" s="21" t="s">
        <v>71</v>
      </c>
      <c r="M5" s="17" t="s">
        <v>91</v>
      </c>
      <c r="N5" s="18">
        <f>DATEDIF(M5,G5,"Y")</f>
        <v>4</v>
      </c>
      <c r="O5" s="18">
        <f>DATEDIF(M5,G5,"YM")</f>
        <v>0</v>
      </c>
      <c r="P5" s="18">
        <f>DATEDIF(M5,G5,"MD")</f>
        <v>5</v>
      </c>
      <c r="Q5" s="15" t="s">
        <v>78</v>
      </c>
      <c r="R5" s="15" t="s">
        <v>19</v>
      </c>
      <c r="S5" s="16" t="s">
        <v>88</v>
      </c>
      <c r="T5" s="16">
        <v>1</v>
      </c>
      <c r="U5" s="16">
        <f>_xlfn.IFS(AND(T5=1,K5=R5,E5=R5),$C$1-M5,AND(T5=2,K5=R5,E5&lt;&gt;R5),G5-M5,AND(T5=2,K5&lt;&gt;R5,E5=R5),$C$1-G5,AND(K5&lt;&gt;R5,E5&lt;&gt;R5),0,T5&gt;2,SUMIFS('นับวันใน-ตน.'!H:H,'นับวันใน-ตน.'!A:A,B5,'นับวันใน-ตน.'!B:B,R5),TRUE,0)</f>
        <v>2737</v>
      </c>
      <c r="V5" s="119">
        <f>SUMIF(นับเกื้อกูล!A:A,B5,นับเกื้อกูล!I:I)</f>
        <v>0</v>
      </c>
      <c r="W5" s="119">
        <f t="shared" si="6"/>
        <v>2737</v>
      </c>
      <c r="X5" s="25">
        <f t="shared" si="7"/>
        <v>42433</v>
      </c>
      <c r="Y5" s="29">
        <f t="shared" si="0"/>
        <v>45360</v>
      </c>
      <c r="Z5" s="30">
        <f t="shared" si="8"/>
        <v>45355</v>
      </c>
      <c r="AA5" s="30">
        <f t="shared" si="1"/>
        <v>45360</v>
      </c>
      <c r="AB5" s="36">
        <f t="shared" ca="1" si="2"/>
        <v>-742</v>
      </c>
      <c r="AC5" s="15" t="str">
        <f ca="1">_xlfn.IFS(AB5&gt;30,"ยังไม่ถึงเกณฑ์",AB5&gt;0,"ใกล้ถึงเกณฑ์",AB5=0,"ถึงเกณฑ์",AB5&lt;0,"ถึงเกณฑ์นานแล้ว")</f>
        <v>ถึงเกณฑ์นานแล้ว</v>
      </c>
    </row>
    <row r="6" spans="1:30" ht="48">
      <c r="A6" s="15"/>
      <c r="B6" s="17"/>
      <c r="C6" s="15"/>
      <c r="D6" s="17" t="s">
        <v>93</v>
      </c>
      <c r="E6" s="15" t="s">
        <v>19</v>
      </c>
      <c r="F6" s="16" t="s">
        <v>74</v>
      </c>
      <c r="G6" s="17" t="s">
        <v>94</v>
      </c>
      <c r="H6" s="18">
        <f t="shared" si="3"/>
        <v>5</v>
      </c>
      <c r="I6" s="18">
        <f t="shared" si="4"/>
        <v>5</v>
      </c>
      <c r="J6" s="18">
        <f t="shared" si="5"/>
        <v>4</v>
      </c>
      <c r="K6" s="15" t="s">
        <v>19</v>
      </c>
      <c r="L6" s="21" t="s">
        <v>71</v>
      </c>
      <c r="M6" s="17" t="s">
        <v>93</v>
      </c>
      <c r="N6" s="18">
        <f>DATEDIF(M6,G6,"Y")</f>
        <v>5</v>
      </c>
      <c r="O6" s="18">
        <f>DATEDIF(M6,G6,"YM")</f>
        <v>8</v>
      </c>
      <c r="P6" s="18">
        <f>DATEDIF(M6,G6,"MD")</f>
        <v>15</v>
      </c>
      <c r="Q6" s="15" t="s">
        <v>78</v>
      </c>
      <c r="R6" s="15" t="s">
        <v>19</v>
      </c>
      <c r="S6" s="16" t="s">
        <v>88</v>
      </c>
      <c r="T6" s="16">
        <v>1</v>
      </c>
      <c r="U6" s="16">
        <f>_xlfn.IFS(AND(T6=1,K6=R6,E6=R6),$C$1-M6,AND(T6=2,K6=R6,E6&lt;&gt;R6),G6-M6,AND(T6=2,K6&lt;&gt;R6,E6=R6),$C$1-G6,AND(K6&lt;&gt;R6,E6&lt;&gt;R6),0,T6&gt;2,SUMIFS('นับวันใน-ตน.'!H:H,'นับวันใน-ตน.'!A:A,B6,'นับวันใน-ตน.'!B:B,R6),TRUE,0)</f>
        <v>4067</v>
      </c>
      <c r="V6" s="119">
        <f>SUMIF(นับเกื้อกูล!A:A,B6,นับเกื้อกูล!I:I)</f>
        <v>0</v>
      </c>
      <c r="W6" s="119">
        <f t="shared" si="6"/>
        <v>4067</v>
      </c>
      <c r="X6" s="25">
        <f t="shared" si="7"/>
        <v>41103</v>
      </c>
      <c r="Y6" s="29">
        <f t="shared" si="0"/>
        <v>44648</v>
      </c>
      <c r="Z6" s="30">
        <f t="shared" si="8"/>
        <v>44025</v>
      </c>
      <c r="AA6" s="30">
        <f t="shared" si="1"/>
        <v>44648</v>
      </c>
      <c r="AB6" s="36">
        <f t="shared" ca="1" si="2"/>
        <v>-1454</v>
      </c>
      <c r="AC6" s="15" t="str">
        <f ca="1">_xlfn.IFS(AB6&gt;30,"ยังไม่ถึงเกณฑ์",AB6&gt;0,"ใกล้ถึงเกณฑ์",AB6=0,"ถึงเกณฑ์",AB6&lt;0,"ถึงเกณฑ์นานแล้ว")</f>
        <v>ถึงเกณฑ์นานแล้ว</v>
      </c>
    </row>
    <row r="7" spans="1:30" ht="48">
      <c r="A7" s="15"/>
      <c r="B7" s="19"/>
      <c r="C7" s="15"/>
      <c r="D7" s="17" t="s">
        <v>95</v>
      </c>
      <c r="E7" s="15" t="s">
        <v>19</v>
      </c>
      <c r="F7" s="16" t="s">
        <v>74</v>
      </c>
      <c r="G7" s="17" t="s">
        <v>96</v>
      </c>
      <c r="H7" s="18">
        <f t="shared" si="3"/>
        <v>9</v>
      </c>
      <c r="I7" s="18">
        <f t="shared" si="4"/>
        <v>7</v>
      </c>
      <c r="J7" s="18">
        <f t="shared" si="5"/>
        <v>5</v>
      </c>
      <c r="K7" s="15" t="s">
        <v>19</v>
      </c>
      <c r="L7" s="21" t="s">
        <v>71</v>
      </c>
      <c r="M7" s="17" t="s">
        <v>95</v>
      </c>
      <c r="N7" s="18">
        <f t="shared" ref="N7:N21" si="9">DATEDIF(M7,G7,"Y")</f>
        <v>7</v>
      </c>
      <c r="O7" s="18">
        <f t="shared" ref="O7:O21" si="10">DATEDIF(M7,G7,"YM")</f>
        <v>5</v>
      </c>
      <c r="P7" s="18">
        <f t="shared" ref="P7:P21" si="11">DATEDIF(M7,G7,"MD")</f>
        <v>30</v>
      </c>
      <c r="Q7" s="15" t="s">
        <v>78</v>
      </c>
      <c r="R7" s="15" t="s">
        <v>19</v>
      </c>
      <c r="S7" s="16" t="s">
        <v>88</v>
      </c>
      <c r="T7" s="16">
        <v>1</v>
      </c>
      <c r="U7" s="16">
        <f>_xlfn.IFS(AND(T7=1,K7=R7,E7=R7),$C$1-M7,AND(T7=2,K7=R7,E7&lt;&gt;R7),G7-M7,AND(T7=2,K7&lt;&gt;R7,E7=R7),$C$1-G7,AND(K7&lt;&gt;R7,E7&lt;&gt;R7),0,T7&gt;2,SUMIFS('นับวันใน-ตน.'!H:H,'นับวันใน-ตน.'!A:A,B7,'นับวันใน-ตน.'!B:B,R7),TRUE,0)</f>
        <v>6244</v>
      </c>
      <c r="V7" s="119">
        <f>SUMIF(นับเกื้อกูล!A:A,B7,นับเกื้อกูล!I:I)</f>
        <v>0</v>
      </c>
      <c r="W7" s="119">
        <f t="shared" si="6"/>
        <v>6244</v>
      </c>
      <c r="X7" s="25">
        <f t="shared" si="7"/>
        <v>38926</v>
      </c>
      <c r="Y7" s="29">
        <f t="shared" si="0"/>
        <v>43127</v>
      </c>
      <c r="Z7" s="30">
        <f t="shared" si="8"/>
        <v>41848</v>
      </c>
      <c r="AA7" s="30">
        <f t="shared" si="1"/>
        <v>43127</v>
      </c>
      <c r="AB7" s="36">
        <f t="shared" ca="1" si="2"/>
        <v>-2975</v>
      </c>
      <c r="AC7" s="15" t="str">
        <f t="shared" ref="AC7:AC21" ca="1" si="12">_xlfn.IFS(AB7&gt;30,"ยังไม่ถึงเกณฑ์",AB7&gt;0,"ใกล้ถึงเกณฑ์",AB7=0,"ถึงเกณฑ์",AB7&lt;0,"ถึงเกณฑ์นานแล้ว")</f>
        <v>ถึงเกณฑ์นานแล้ว</v>
      </c>
    </row>
    <row r="8" spans="1:30" ht="48">
      <c r="A8" s="15"/>
      <c r="B8" s="17"/>
      <c r="C8" s="15"/>
      <c r="D8" s="17" t="s">
        <v>97</v>
      </c>
      <c r="E8" s="15" t="s">
        <v>19</v>
      </c>
      <c r="F8" s="16" t="s">
        <v>74</v>
      </c>
      <c r="G8" s="17" t="s">
        <v>98</v>
      </c>
      <c r="H8" s="18">
        <f t="shared" si="3"/>
        <v>3</v>
      </c>
      <c r="I8" s="18">
        <f t="shared" si="4"/>
        <v>11</v>
      </c>
      <c r="J8" s="18">
        <f t="shared" si="5"/>
        <v>0</v>
      </c>
      <c r="K8" s="15" t="s">
        <v>19</v>
      </c>
      <c r="L8" s="21" t="s">
        <v>71</v>
      </c>
      <c r="M8" s="17" t="s">
        <v>97</v>
      </c>
      <c r="N8" s="18">
        <f t="shared" si="9"/>
        <v>4</v>
      </c>
      <c r="O8" s="18">
        <f t="shared" si="10"/>
        <v>0</v>
      </c>
      <c r="P8" s="18">
        <f t="shared" si="11"/>
        <v>0</v>
      </c>
      <c r="Q8" s="15" t="s">
        <v>78</v>
      </c>
      <c r="R8" s="15" t="s">
        <v>19</v>
      </c>
      <c r="S8" s="16" t="s">
        <v>88</v>
      </c>
      <c r="T8" s="16">
        <v>1</v>
      </c>
      <c r="U8" s="16">
        <f>_xlfn.IFS(AND(T8=1,K8=R8,E8=R8),$C$1-M8,AND(T8=2,K8=R8,E8&lt;&gt;R8),G8-M8,AND(T8=2,K8&lt;&gt;R8,E8=R8),$C$1-G8,AND(K8&lt;&gt;R8,E8&lt;&gt;R8),0,T8&gt;2,SUMIFS('นับวันใน-ตน.'!H:H,'นับวันใน-ตน.'!A:A,B8,'นับวันใน-ตน.'!B:B,R8),TRUE,0)</f>
        <v>2892</v>
      </c>
      <c r="V8" s="119">
        <f>SUMIF(นับเกื้อกูล!A:A,B8,นับเกื้อกูล!I:I)</f>
        <v>0</v>
      </c>
      <c r="W8" s="119">
        <f t="shared" si="6"/>
        <v>2892</v>
      </c>
      <c r="X8" s="25">
        <f t="shared" si="7"/>
        <v>42278</v>
      </c>
      <c r="Y8" s="29">
        <f t="shared" si="0"/>
        <v>45200</v>
      </c>
      <c r="Z8" s="30">
        <f t="shared" si="8"/>
        <v>45200</v>
      </c>
      <c r="AA8" s="30">
        <f t="shared" si="1"/>
        <v>45200</v>
      </c>
      <c r="AB8" s="36" t="e">
        <f t="shared" ca="1" si="2"/>
        <v>#NUM!</v>
      </c>
      <c r="AC8" s="15" t="e">
        <f t="shared" ca="1" si="12"/>
        <v>#NUM!</v>
      </c>
    </row>
    <row r="9" spans="1:30" ht="48">
      <c r="A9" s="15"/>
      <c r="B9" s="17"/>
      <c r="C9" s="15"/>
      <c r="D9" s="17" t="s">
        <v>99</v>
      </c>
      <c r="E9" s="15" t="s">
        <v>19</v>
      </c>
      <c r="F9" s="16" t="s">
        <v>74</v>
      </c>
      <c r="G9" s="17" t="s">
        <v>100</v>
      </c>
      <c r="H9" s="18">
        <f t="shared" si="3"/>
        <v>3</v>
      </c>
      <c r="I9" s="18">
        <f t="shared" si="4"/>
        <v>0</v>
      </c>
      <c r="J9" s="18">
        <f t="shared" si="5"/>
        <v>18</v>
      </c>
      <c r="K9" s="15" t="s">
        <v>19</v>
      </c>
      <c r="L9" s="21" t="s">
        <v>71</v>
      </c>
      <c r="M9" s="17" t="s">
        <v>99</v>
      </c>
      <c r="N9" s="18">
        <f t="shared" si="9"/>
        <v>7</v>
      </c>
      <c r="O9" s="18">
        <f t="shared" si="10"/>
        <v>9</v>
      </c>
      <c r="P9" s="18">
        <f t="shared" si="11"/>
        <v>30</v>
      </c>
      <c r="Q9" s="15" t="s">
        <v>78</v>
      </c>
      <c r="R9" s="15" t="s">
        <v>19</v>
      </c>
      <c r="S9" s="16" t="s">
        <v>88</v>
      </c>
      <c r="T9" s="16">
        <v>1</v>
      </c>
      <c r="U9" s="16">
        <f>_xlfn.IFS(AND(T9=1,K9=R9,E9=R9),$C$1-M9,AND(T9=2,K9=R9,E9&lt;&gt;R9),G9-M9,AND(T9=2,K9&lt;&gt;R9,E9=R9),$C$1-G9,AND(K9&lt;&gt;R9,E9&lt;&gt;R9),0,T9&gt;2,SUMIFS('นับวันใน-ตน.'!H:H,'นับวันใน-ตน.'!A:A,B9,'นับวันใน-ตน.'!B:B,R9),TRUE,0)</f>
        <v>3973</v>
      </c>
      <c r="V9" s="119">
        <f>SUMIF(นับเกื้อกูล!A:A,B9,นับเกื้อกูล!I:I)</f>
        <v>0</v>
      </c>
      <c r="W9" s="119">
        <f t="shared" si="6"/>
        <v>3973</v>
      </c>
      <c r="X9" s="25">
        <f t="shared" si="7"/>
        <v>41197</v>
      </c>
      <c r="Y9" s="29">
        <f t="shared" si="0"/>
        <v>45518</v>
      </c>
      <c r="Z9" s="30">
        <f t="shared" si="8"/>
        <v>44119</v>
      </c>
      <c r="AA9" s="30">
        <f t="shared" si="1"/>
        <v>45518</v>
      </c>
      <c r="AB9" s="36">
        <f t="shared" ca="1" si="2"/>
        <v>-584</v>
      </c>
      <c r="AC9" s="15" t="str">
        <f t="shared" ca="1" si="12"/>
        <v>ถึงเกณฑ์นานแล้ว</v>
      </c>
    </row>
    <row r="10" spans="1:30" ht="48">
      <c r="A10" s="15"/>
      <c r="B10" s="17"/>
      <c r="C10" s="15"/>
      <c r="D10" s="17" t="s">
        <v>101</v>
      </c>
      <c r="E10" s="15" t="s">
        <v>19</v>
      </c>
      <c r="F10" s="16" t="s">
        <v>74</v>
      </c>
      <c r="G10" s="17" t="s">
        <v>102</v>
      </c>
      <c r="H10" s="18">
        <f t="shared" si="3"/>
        <v>0</v>
      </c>
      <c r="I10" s="18">
        <f t="shared" si="4"/>
        <v>10</v>
      </c>
      <c r="J10" s="18">
        <f t="shared" si="5"/>
        <v>13</v>
      </c>
      <c r="K10" s="15" t="s">
        <v>19</v>
      </c>
      <c r="L10" s="21" t="s">
        <v>71</v>
      </c>
      <c r="M10" s="17" t="s">
        <v>101</v>
      </c>
      <c r="N10" s="18">
        <f t="shared" si="9"/>
        <v>13</v>
      </c>
      <c r="O10" s="18">
        <f t="shared" si="10"/>
        <v>9</v>
      </c>
      <c r="P10" s="18">
        <f t="shared" si="11"/>
        <v>3</v>
      </c>
      <c r="Q10" s="15" t="s">
        <v>78</v>
      </c>
      <c r="R10" s="15" t="s">
        <v>19</v>
      </c>
      <c r="S10" s="16" t="s">
        <v>88</v>
      </c>
      <c r="T10" s="16">
        <v>1</v>
      </c>
      <c r="U10" s="16">
        <f>_xlfn.IFS(AND(T10=1,K10=R10,E10=R10),$C$1-M10,AND(T10=2,K10=R10,E10&lt;&gt;R10),G10-M10,AND(T10=2,K10&lt;&gt;R10,E10=R10),$C$1-G10,AND(K10&lt;&gt;R10,E10&lt;&gt;R10),0,T10&gt;2,SUMIFS('นับวันใน-ตน.'!H:H,'นับวันใน-ตน.'!A:A,B10,'นับวันใน-ตน.'!B:B,R10),TRUE,0)</f>
        <v>5341</v>
      </c>
      <c r="V10" s="119">
        <f>SUMIF(นับเกื้อกูล!A:A,B10,นับเกื้อกูล!I:I)</f>
        <v>0</v>
      </c>
      <c r="W10" s="119">
        <f t="shared" si="6"/>
        <v>5341</v>
      </c>
      <c r="X10" s="25">
        <f t="shared" si="7"/>
        <v>39829</v>
      </c>
      <c r="Y10" s="29">
        <f t="shared" si="0"/>
        <v>46314</v>
      </c>
      <c r="Z10" s="30">
        <f t="shared" si="8"/>
        <v>42751</v>
      </c>
      <c r="AA10" s="30">
        <f t="shared" si="1"/>
        <v>46314</v>
      </c>
      <c r="AB10" s="36">
        <f t="shared" ca="1" si="2"/>
        <v>212</v>
      </c>
      <c r="AC10" s="15" t="str">
        <f t="shared" ca="1" si="12"/>
        <v>ยังไม่ถึงเกณฑ์</v>
      </c>
    </row>
    <row r="11" spans="1:30" ht="48">
      <c r="A11" s="15"/>
      <c r="B11" s="17"/>
      <c r="C11" s="15"/>
      <c r="D11" s="17" t="s">
        <v>103</v>
      </c>
      <c r="E11" s="15" t="s">
        <v>19</v>
      </c>
      <c r="F11" s="16" t="s">
        <v>74</v>
      </c>
      <c r="G11" s="17" t="s">
        <v>104</v>
      </c>
      <c r="H11" s="18">
        <f t="shared" si="3"/>
        <v>0</v>
      </c>
      <c r="I11" s="18">
        <f t="shared" si="4"/>
        <v>7</v>
      </c>
      <c r="J11" s="18">
        <f t="shared" si="5"/>
        <v>12</v>
      </c>
      <c r="K11" s="15" t="s">
        <v>19</v>
      </c>
      <c r="L11" s="21" t="s">
        <v>71</v>
      </c>
      <c r="M11" s="17" t="s">
        <v>103</v>
      </c>
      <c r="N11" s="18">
        <f t="shared" si="9"/>
        <v>4</v>
      </c>
      <c r="O11" s="18">
        <f t="shared" si="10"/>
        <v>11</v>
      </c>
      <c r="P11" s="18">
        <f t="shared" si="11"/>
        <v>29</v>
      </c>
      <c r="Q11" s="15" t="s">
        <v>78</v>
      </c>
      <c r="R11" s="15" t="s">
        <v>19</v>
      </c>
      <c r="S11" s="16" t="s">
        <v>88</v>
      </c>
      <c r="T11" s="16">
        <v>1</v>
      </c>
      <c r="U11" s="16">
        <f>_xlfn.IFS(AND(T11=1,K11=R11,E11=R11),$C$1-M11,AND(T11=2,K11=R11,E11&lt;&gt;R11),G11-M11,AND(T11=2,K11&lt;&gt;R11,E11=R11),$C$1-G11,AND(K11&lt;&gt;R11,E11&lt;&gt;R11),0,T11&gt;2,SUMIFS('นับวันใน-ตน.'!H:H,'นับวันใน-ตน.'!A:A,B11,'นับวันใน-ตน.'!B:B,R11),TRUE,0)</f>
        <v>2048</v>
      </c>
      <c r="V11" s="119">
        <f>SUMIF(นับเกื้อกูล!A:A,B11,นับเกื้อกูล!I:I)</f>
        <v>0</v>
      </c>
      <c r="W11" s="119">
        <f t="shared" si="6"/>
        <v>2048</v>
      </c>
      <c r="X11" s="25">
        <f t="shared" si="7"/>
        <v>43122</v>
      </c>
      <c r="Y11" s="29">
        <f t="shared" si="0"/>
        <v>46407</v>
      </c>
      <c r="Z11" s="30">
        <f t="shared" si="8"/>
        <v>46044</v>
      </c>
      <c r="AA11" s="30">
        <f t="shared" si="1"/>
        <v>46407</v>
      </c>
      <c r="AB11" s="36">
        <f t="shared" ca="1" si="2"/>
        <v>305</v>
      </c>
      <c r="AC11" s="15" t="str">
        <f t="shared" ca="1" si="12"/>
        <v>ยังไม่ถึงเกณฑ์</v>
      </c>
    </row>
    <row r="12" spans="1:30" ht="48">
      <c r="A12" s="15"/>
      <c r="B12" s="17"/>
      <c r="C12" s="15"/>
      <c r="D12" s="17" t="s">
        <v>105</v>
      </c>
      <c r="E12" s="15" t="s">
        <v>19</v>
      </c>
      <c r="F12" s="16" t="s">
        <v>74</v>
      </c>
      <c r="G12" s="17" t="s">
        <v>106</v>
      </c>
      <c r="H12" s="18">
        <f t="shared" si="3"/>
        <v>5</v>
      </c>
      <c r="I12" s="18">
        <f t="shared" si="4"/>
        <v>7</v>
      </c>
      <c r="J12" s="18">
        <f t="shared" si="5"/>
        <v>13</v>
      </c>
      <c r="K12" s="15" t="s">
        <v>19</v>
      </c>
      <c r="L12" s="21" t="s">
        <v>71</v>
      </c>
      <c r="M12" s="17" t="s">
        <v>105</v>
      </c>
      <c r="N12" s="18" t="e">
        <f t="shared" si="9"/>
        <v>#NUM!</v>
      </c>
      <c r="O12" s="18" t="e">
        <f t="shared" si="10"/>
        <v>#NUM!</v>
      </c>
      <c r="P12" s="18" t="e">
        <f t="shared" si="11"/>
        <v>#NUM!</v>
      </c>
      <c r="Q12" s="15" t="s">
        <v>78</v>
      </c>
      <c r="R12" s="15" t="s">
        <v>19</v>
      </c>
      <c r="S12" s="16" t="s">
        <v>88</v>
      </c>
      <c r="T12" s="16">
        <v>1</v>
      </c>
      <c r="U12" s="16">
        <f>_xlfn.IFS(AND(T12=1,K12=R12,E12=R12),$C$1-M12,AND(T12=2,K12=R12,E12&lt;&gt;R12),G12-M12,AND(T12=2,K12&lt;&gt;R12,E12=R12),$C$1-G12,AND(K12&lt;&gt;R12,E12&lt;&gt;R12),0,T12&gt;2,SUMIFS('นับวันใน-ตน.'!H:H,'นับวันใน-ตน.'!A:A,B12,'นับวันใน-ตน.'!B:B,R12),TRUE,0)</f>
        <v>560</v>
      </c>
      <c r="V12" s="119">
        <f>SUMIF(นับเกื้อกูล!A:A,B12,นับเกื้อกูล!I:I)</f>
        <v>0</v>
      </c>
      <c r="W12" s="119">
        <f t="shared" si="6"/>
        <v>560</v>
      </c>
      <c r="X12" s="25">
        <f t="shared" si="7"/>
        <v>44610</v>
      </c>
      <c r="Y12" s="29">
        <f t="shared" si="0"/>
        <v>44580</v>
      </c>
      <c r="Z12" s="30">
        <f t="shared" si="8"/>
        <v>47532</v>
      </c>
      <c r="AA12" s="30">
        <f t="shared" si="1"/>
        <v>47532</v>
      </c>
      <c r="AB12" s="36">
        <f t="shared" ca="1" si="2"/>
        <v>1430</v>
      </c>
      <c r="AC12" s="15" t="str">
        <f t="shared" ca="1" si="12"/>
        <v>ยังไม่ถึงเกณฑ์</v>
      </c>
    </row>
    <row r="13" spans="1:30" ht="48">
      <c r="A13" s="113"/>
      <c r="B13" s="114"/>
      <c r="C13" s="113"/>
      <c r="D13" s="114" t="s">
        <v>107</v>
      </c>
      <c r="E13" s="113" t="s">
        <v>19</v>
      </c>
      <c r="F13" s="115" t="s">
        <v>74</v>
      </c>
      <c r="G13" s="114" t="s">
        <v>108</v>
      </c>
      <c r="H13" s="116">
        <f t="shared" si="3"/>
        <v>8</v>
      </c>
      <c r="I13" s="116">
        <f t="shared" si="4"/>
        <v>5</v>
      </c>
      <c r="J13" s="116">
        <f t="shared" si="5"/>
        <v>7</v>
      </c>
      <c r="K13" s="113" t="s">
        <v>109</v>
      </c>
      <c r="L13" s="117" t="s">
        <v>71</v>
      </c>
      <c r="M13" s="114" t="s">
        <v>110</v>
      </c>
      <c r="N13" s="116">
        <f t="shared" si="9"/>
        <v>1</v>
      </c>
      <c r="O13" s="116">
        <f t="shared" si="10"/>
        <v>11</v>
      </c>
      <c r="P13" s="116">
        <f t="shared" si="11"/>
        <v>27</v>
      </c>
      <c r="Q13" s="113" t="s">
        <v>78</v>
      </c>
      <c r="R13" s="113" t="s">
        <v>19</v>
      </c>
      <c r="S13" s="115" t="s">
        <v>88</v>
      </c>
      <c r="T13" s="115">
        <v>2</v>
      </c>
      <c r="U13" s="115">
        <f>_xlfn.IFS(AND(T13=1,K13=R13,E13=R13),$C$1-M13,AND(T13=2,K13=R13,E13&lt;&gt;R13),G13-M13,AND(T13=2,K13&lt;&gt;R13,E13=R13),$C$1-G13,AND(K13&lt;&gt;R13,E13&lt;&gt;R13),0,T13&gt;2,SUMIFS('นับวันใน-ตน.'!H:H,'นับวันใน-ตน.'!A:A,B13,'นับวันใน-ตน.'!B:B,R13),TRUE,0)</f>
        <v>3082</v>
      </c>
      <c r="V13" s="120">
        <f>SUMIF(นับเกื้อกูล!A:A,B13,นับเกื้อกูล!I:I)</f>
        <v>0</v>
      </c>
      <c r="W13" s="120">
        <f t="shared" si="6"/>
        <v>3082</v>
      </c>
      <c r="X13" s="121">
        <f t="shared" si="7"/>
        <v>42088</v>
      </c>
      <c r="Y13" s="122">
        <f t="shared" si="0"/>
        <v>43549</v>
      </c>
      <c r="Z13" s="123">
        <f t="shared" si="8"/>
        <v>45010</v>
      </c>
      <c r="AA13" s="123">
        <f t="shared" si="1"/>
        <v>45010</v>
      </c>
      <c r="AB13" s="124">
        <f t="shared" ca="1" si="2"/>
        <v>-1092</v>
      </c>
      <c r="AC13" s="113" t="str">
        <f t="shared" ca="1" si="12"/>
        <v>ถึงเกณฑ์นานแล้ว</v>
      </c>
    </row>
    <row r="14" spans="1:30" ht="48">
      <c r="A14" s="15"/>
      <c r="B14" s="17"/>
      <c r="C14" s="15"/>
      <c r="D14" s="17" t="s">
        <v>111</v>
      </c>
      <c r="E14" s="15" t="s">
        <v>19</v>
      </c>
      <c r="F14" s="16" t="s">
        <v>74</v>
      </c>
      <c r="G14" s="17" t="s">
        <v>112</v>
      </c>
      <c r="H14" s="18">
        <f t="shared" si="3"/>
        <v>7</v>
      </c>
      <c r="I14" s="18">
        <f t="shared" si="4"/>
        <v>2</v>
      </c>
      <c r="J14" s="18">
        <f t="shared" si="5"/>
        <v>15</v>
      </c>
      <c r="K14" s="15" t="s">
        <v>19</v>
      </c>
      <c r="L14" s="21" t="s">
        <v>71</v>
      </c>
      <c r="M14" s="17" t="s">
        <v>111</v>
      </c>
      <c r="N14" s="18">
        <f t="shared" si="9"/>
        <v>4</v>
      </c>
      <c r="O14" s="18">
        <f t="shared" si="10"/>
        <v>9</v>
      </c>
      <c r="P14" s="18">
        <f t="shared" si="11"/>
        <v>16</v>
      </c>
      <c r="Q14" s="15" t="s">
        <v>78</v>
      </c>
      <c r="R14" s="15" t="s">
        <v>19</v>
      </c>
      <c r="S14" s="16" t="s">
        <v>88</v>
      </c>
      <c r="T14" s="16">
        <v>1</v>
      </c>
      <c r="U14" s="16">
        <f>_xlfn.IFS(AND(T14=1,K14=R14,E14=R14),$C$1-M14,AND(T14=2,K14=R14,E14&lt;&gt;R14),G14-M14,AND(T14=2,K14&lt;&gt;R14,E14=R14),$C$1-G14,AND(K14&lt;&gt;R14,E14&lt;&gt;R14),0,T14&gt;2,SUMIFS('นับวันใน-ตน.'!H:H,'นับวันใน-ตน.'!A:A,B14,'นับวันใน-ตน.'!B:B,R14),TRUE,0)</f>
        <v>4383</v>
      </c>
      <c r="V14" s="119">
        <f>SUMIF(นับเกื้อกูล!A:A,B14,นับเกื้อกูล!I:I)</f>
        <v>0</v>
      </c>
      <c r="W14" s="119">
        <f t="shared" si="6"/>
        <v>4383</v>
      </c>
      <c r="X14" s="25">
        <f t="shared" si="7"/>
        <v>40787</v>
      </c>
      <c r="Y14" s="29">
        <f t="shared" si="0"/>
        <v>43999</v>
      </c>
      <c r="Z14" s="30">
        <f t="shared" si="8"/>
        <v>43709</v>
      </c>
      <c r="AA14" s="30">
        <f t="shared" si="1"/>
        <v>43999</v>
      </c>
      <c r="AB14" s="36">
        <f t="shared" ca="1" si="2"/>
        <v>-2103</v>
      </c>
      <c r="AC14" s="15" t="str">
        <f t="shared" ca="1" si="12"/>
        <v>ถึงเกณฑ์นานแล้ว</v>
      </c>
    </row>
    <row r="15" spans="1:30" ht="48">
      <c r="A15" s="15"/>
      <c r="B15" s="17"/>
      <c r="C15" s="15"/>
      <c r="D15" s="17" t="s">
        <v>113</v>
      </c>
      <c r="E15" s="15" t="s">
        <v>19</v>
      </c>
      <c r="F15" s="16" t="s">
        <v>74</v>
      </c>
      <c r="G15" s="17" t="s">
        <v>114</v>
      </c>
      <c r="H15" s="18">
        <f t="shared" si="3"/>
        <v>3</v>
      </c>
      <c r="I15" s="18">
        <f t="shared" si="4"/>
        <v>8</v>
      </c>
      <c r="J15" s="18">
        <f t="shared" si="5"/>
        <v>21</v>
      </c>
      <c r="K15" s="15" t="s">
        <v>19</v>
      </c>
      <c r="L15" s="21" t="s">
        <v>71</v>
      </c>
      <c r="M15" s="17" t="s">
        <v>113</v>
      </c>
      <c r="N15" s="18">
        <f t="shared" si="9"/>
        <v>4</v>
      </c>
      <c r="O15" s="18">
        <f t="shared" si="10"/>
        <v>4</v>
      </c>
      <c r="P15" s="18">
        <f t="shared" si="11"/>
        <v>21</v>
      </c>
      <c r="Q15" s="15" t="s">
        <v>78</v>
      </c>
      <c r="R15" s="15" t="s">
        <v>19</v>
      </c>
      <c r="S15" s="16" t="s">
        <v>88</v>
      </c>
      <c r="T15" s="16">
        <v>1</v>
      </c>
      <c r="U15" s="16">
        <f>_xlfn.IFS(AND(T15=1,K15=R15,E15=R15),$C$1-M15,AND(T15=2,K15=R15,E15&lt;&gt;R15),G15-M15,AND(T15=2,K15&lt;&gt;R15,E15=R15),$C$1-G15,AND(K15&lt;&gt;R15,E15&lt;&gt;R15),0,T15&gt;2,SUMIFS('นับวันใน-ตน.'!H:H,'นับวันใน-ตน.'!A:A,B15,'นับวันใน-ตน.'!B:B,R15),TRUE,0)</f>
        <v>2965</v>
      </c>
      <c r="V15" s="119">
        <f>SUMIF(นับเกื้อกูล!A:A,B15,นับเกื้อกูล!I:I)</f>
        <v>0</v>
      </c>
      <c r="W15" s="119">
        <f t="shared" si="6"/>
        <v>2965</v>
      </c>
      <c r="X15" s="25">
        <f t="shared" si="7"/>
        <v>42205</v>
      </c>
      <c r="Y15" s="29">
        <f t="shared" si="0"/>
        <v>45271</v>
      </c>
      <c r="Z15" s="30">
        <f t="shared" si="8"/>
        <v>45127</v>
      </c>
      <c r="AA15" s="30">
        <f t="shared" si="1"/>
        <v>45271</v>
      </c>
      <c r="AB15" s="36">
        <f t="shared" ca="1" si="2"/>
        <v>-831</v>
      </c>
      <c r="AC15" s="15" t="str">
        <f t="shared" ca="1" si="12"/>
        <v>ถึงเกณฑ์นานแล้ว</v>
      </c>
    </row>
    <row r="16" spans="1:30" ht="48">
      <c r="A16" s="15"/>
      <c r="B16" s="17"/>
      <c r="C16" s="15"/>
      <c r="D16" s="17" t="s">
        <v>115</v>
      </c>
      <c r="E16" s="15" t="s">
        <v>19</v>
      </c>
      <c r="F16" s="16" t="s">
        <v>74</v>
      </c>
      <c r="G16" s="17" t="s">
        <v>116</v>
      </c>
      <c r="H16" s="18">
        <f t="shared" si="3"/>
        <v>0</v>
      </c>
      <c r="I16" s="18">
        <f t="shared" si="4"/>
        <v>8</v>
      </c>
      <c r="J16" s="18">
        <f t="shared" si="5"/>
        <v>10</v>
      </c>
      <c r="K16" s="15" t="s">
        <v>19</v>
      </c>
      <c r="L16" s="21" t="s">
        <v>71</v>
      </c>
      <c r="M16" s="17" t="s">
        <v>115</v>
      </c>
      <c r="N16" s="18">
        <f t="shared" si="9"/>
        <v>5</v>
      </c>
      <c r="O16" s="18">
        <f t="shared" si="10"/>
        <v>2</v>
      </c>
      <c r="P16" s="18">
        <f t="shared" si="11"/>
        <v>6</v>
      </c>
      <c r="Q16" s="15" t="s">
        <v>78</v>
      </c>
      <c r="R16" s="15" t="s">
        <v>19</v>
      </c>
      <c r="S16" s="16" t="s">
        <v>88</v>
      </c>
      <c r="T16" s="16">
        <v>1</v>
      </c>
      <c r="U16" s="16">
        <f>_xlfn.IFS(AND(T16=1,K16=R16,E16=R16),$C$1-M16,AND(T16=2,K16=R16,E16&lt;&gt;R16),G16-M16,AND(T16=2,K16&lt;&gt;R16,E16=R16),$C$1-G16,AND(K16&lt;&gt;R16,E16&lt;&gt;R16),0,T16&gt;2,SUMIFS('นับวันใน-ตน.'!H:H,'นับวันใน-ตน.'!A:A,B16,'นับวันใน-ตน.'!B:B,R16),TRUE,0)</f>
        <v>2146</v>
      </c>
      <c r="V16" s="119">
        <f>SUMIF(นับเกื้อกูล!A:A,B16,นับเกื้อกูล!I:I)</f>
        <v>0</v>
      </c>
      <c r="W16" s="119">
        <f t="shared" si="6"/>
        <v>2146</v>
      </c>
      <c r="X16" s="25">
        <f t="shared" si="7"/>
        <v>43024</v>
      </c>
      <c r="Y16" s="29">
        <f t="shared" si="0"/>
        <v>46378</v>
      </c>
      <c r="Z16" s="30">
        <f t="shared" si="8"/>
        <v>45946</v>
      </c>
      <c r="AA16" s="30">
        <f t="shared" si="1"/>
        <v>46378</v>
      </c>
      <c r="AB16" s="36">
        <f t="shared" ca="1" si="2"/>
        <v>276</v>
      </c>
      <c r="AC16" s="15" t="str">
        <f t="shared" ca="1" si="12"/>
        <v>ยังไม่ถึงเกณฑ์</v>
      </c>
    </row>
    <row r="17" spans="1:29" ht="48">
      <c r="A17" s="113"/>
      <c r="B17" s="114"/>
      <c r="C17" s="113"/>
      <c r="D17" s="114" t="s">
        <v>117</v>
      </c>
      <c r="E17" s="113" t="s">
        <v>19</v>
      </c>
      <c r="F17" s="115" t="s">
        <v>74</v>
      </c>
      <c r="G17" s="114" t="s">
        <v>118</v>
      </c>
      <c r="H17" s="116">
        <f t="shared" si="3"/>
        <v>6</v>
      </c>
      <c r="I17" s="116">
        <f t="shared" si="4"/>
        <v>2</v>
      </c>
      <c r="J17" s="116">
        <f t="shared" si="5"/>
        <v>13</v>
      </c>
      <c r="K17" s="113" t="s">
        <v>19</v>
      </c>
      <c r="L17" s="117" t="s">
        <v>71</v>
      </c>
      <c r="M17" s="114" t="s">
        <v>119</v>
      </c>
      <c r="N17" s="116">
        <f t="shared" si="9"/>
        <v>3</v>
      </c>
      <c r="O17" s="116">
        <f t="shared" si="10"/>
        <v>11</v>
      </c>
      <c r="P17" s="116">
        <f t="shared" si="11"/>
        <v>30</v>
      </c>
      <c r="Q17" s="113" t="s">
        <v>78</v>
      </c>
      <c r="R17" s="113" t="s">
        <v>19</v>
      </c>
      <c r="S17" s="115" t="s">
        <v>88</v>
      </c>
      <c r="T17" s="115">
        <v>1</v>
      </c>
      <c r="U17" s="115">
        <f>_xlfn.IFS(AND(T17=1,K17=R17,E17=R17),$C$1-M17,AND(T17=2,K17=R17,E17&lt;&gt;R17),G17-M17,AND(T17=2,K17&lt;&gt;R17,E17=R17),$C$1-G17,AND(K17&lt;&gt;R17,E17&lt;&gt;R17),0,T17&gt;2,SUMIFS('นับวันใน-ตน.'!H:H,'นับวันใน-ตน.'!A:A,B17,'นับวันใน-ตน.'!B:B,R17),TRUE,0)</f>
        <v>3725</v>
      </c>
      <c r="V17" s="120">
        <f>SUMIF(นับเกื้อกูล!A:A,B17,นับเกื้อกูล!I:I)</f>
        <v>0</v>
      </c>
      <c r="W17" s="120">
        <f t="shared" si="6"/>
        <v>3725</v>
      </c>
      <c r="X17" s="121">
        <f t="shared" si="7"/>
        <v>41445</v>
      </c>
      <c r="Y17" s="122">
        <f t="shared" si="0"/>
        <v>44366</v>
      </c>
      <c r="Z17" s="123">
        <f t="shared" si="8"/>
        <v>44367</v>
      </c>
      <c r="AA17" s="123">
        <f t="shared" si="1"/>
        <v>44367</v>
      </c>
      <c r="AB17" s="124">
        <f t="shared" ca="1" si="2"/>
        <v>-1735</v>
      </c>
      <c r="AC17" s="113" t="str">
        <f t="shared" ca="1" si="12"/>
        <v>ถึงเกณฑ์นานแล้ว</v>
      </c>
    </row>
    <row r="18" spans="1:29" ht="48">
      <c r="A18" s="15"/>
      <c r="B18" s="17"/>
      <c r="C18" s="15"/>
      <c r="D18" s="17" t="s">
        <v>120</v>
      </c>
      <c r="E18" s="15" t="s">
        <v>19</v>
      </c>
      <c r="F18" s="16" t="s">
        <v>74</v>
      </c>
      <c r="G18" s="17" t="s">
        <v>121</v>
      </c>
      <c r="H18" s="18">
        <f t="shared" si="3"/>
        <v>2</v>
      </c>
      <c r="I18" s="18">
        <f t="shared" si="4"/>
        <v>7</v>
      </c>
      <c r="J18" s="18">
        <f t="shared" si="5"/>
        <v>11</v>
      </c>
      <c r="K18" s="15" t="s">
        <v>19</v>
      </c>
      <c r="L18" s="21" t="s">
        <v>71</v>
      </c>
      <c r="M18" s="17" t="s">
        <v>120</v>
      </c>
      <c r="N18" s="18">
        <f t="shared" si="9"/>
        <v>6</v>
      </c>
      <c r="O18" s="18">
        <f t="shared" si="10"/>
        <v>1</v>
      </c>
      <c r="P18" s="18">
        <f t="shared" si="11"/>
        <v>6</v>
      </c>
      <c r="Q18" s="15" t="s">
        <v>78</v>
      </c>
      <c r="R18" s="15" t="s">
        <v>19</v>
      </c>
      <c r="S18" s="16" t="s">
        <v>88</v>
      </c>
      <c r="T18" s="16">
        <v>1</v>
      </c>
      <c r="U18" s="16">
        <f>_xlfn.IFS(AND(T18=1,K18=R18,E18=R18),$C$1-M18,AND(T18=2,K18=R18,E18&lt;&gt;R18),G18-M18,AND(T18=2,K18&lt;&gt;R18,E18=R18),$C$1-G18,AND(K18&lt;&gt;R18,E18&lt;&gt;R18),0,T18&gt;2,SUMIFS('นับวันใน-ตน.'!H:H,'นับวันใน-ตน.'!A:A,B18,'นับวันใน-ตน.'!B:B,R18),TRUE,0)</f>
        <v>3182</v>
      </c>
      <c r="V18" s="119">
        <f>SUMIF(นับเกื้อกูล!A:A,B18,นับเกื้อกูล!I:I)</f>
        <v>0</v>
      </c>
      <c r="W18" s="119">
        <f t="shared" si="6"/>
        <v>3182</v>
      </c>
      <c r="X18" s="25">
        <f t="shared" si="7"/>
        <v>41988</v>
      </c>
      <c r="Y18" s="29">
        <f t="shared" si="0"/>
        <v>45678</v>
      </c>
      <c r="Z18" s="30">
        <f t="shared" si="8"/>
        <v>44910</v>
      </c>
      <c r="AA18" s="30">
        <f t="shared" si="1"/>
        <v>45678</v>
      </c>
      <c r="AB18" s="36">
        <f t="shared" ca="1" si="2"/>
        <v>-424</v>
      </c>
      <c r="AC18" s="15" t="str">
        <f t="shared" ca="1" si="12"/>
        <v>ถึงเกณฑ์นานแล้ว</v>
      </c>
    </row>
    <row r="19" spans="1:29" ht="24">
      <c r="A19" s="113"/>
      <c r="B19" s="114"/>
      <c r="C19" s="113"/>
      <c r="D19" s="114" t="s">
        <v>122</v>
      </c>
      <c r="E19" s="113" t="s">
        <v>19</v>
      </c>
      <c r="F19" s="115" t="s">
        <v>74</v>
      </c>
      <c r="G19" s="114" t="s">
        <v>123</v>
      </c>
      <c r="H19" s="116">
        <f t="shared" si="3"/>
        <v>11</v>
      </c>
      <c r="I19" s="116">
        <f t="shared" si="4"/>
        <v>7</v>
      </c>
      <c r="J19" s="116">
        <f t="shared" si="5"/>
        <v>24</v>
      </c>
      <c r="K19" s="113" t="s">
        <v>124</v>
      </c>
      <c r="L19" s="117" t="s">
        <v>71</v>
      </c>
      <c r="M19" s="114" t="s">
        <v>125</v>
      </c>
      <c r="N19" s="116">
        <f t="shared" si="9"/>
        <v>11</v>
      </c>
      <c r="O19" s="116">
        <f t="shared" si="10"/>
        <v>3</v>
      </c>
      <c r="P19" s="116">
        <f t="shared" si="11"/>
        <v>7</v>
      </c>
      <c r="Q19" s="113" t="s">
        <v>73</v>
      </c>
      <c r="R19" s="113" t="s">
        <v>19</v>
      </c>
      <c r="S19" s="115" t="s">
        <v>88</v>
      </c>
      <c r="T19" s="115">
        <v>2</v>
      </c>
      <c r="U19" s="115">
        <f>_xlfn.IFS(AND(T19=1,K19=R19,E19=R19),$C$1-M19,AND(T19=2,K19=R19,E19&lt;&gt;R19),G19-M19,AND(T19=2,K19&lt;&gt;R19,E19=R19),$C$1-G19,AND(K19&lt;&gt;R19,E19&lt;&gt;R19),0,T19&gt;2,SUMIFS('นับวันใน-ตน.'!H:H,'นับวันใน-ตน.'!A:A,B19,'นับวันใน-ตน.'!B:B,R19),TRUE,0)</f>
        <v>4254</v>
      </c>
      <c r="V19" s="120">
        <f>SUMIF(นับเกื้อกูล!A:A,B19,นับเกื้อกูล!I:I)</f>
        <v>0</v>
      </c>
      <c r="W19" s="120">
        <f t="shared" si="6"/>
        <v>4254</v>
      </c>
      <c r="X19" s="121">
        <f t="shared" si="7"/>
        <v>40916</v>
      </c>
      <c r="Y19" s="122">
        <f t="shared" si="0"/>
        <v>42377</v>
      </c>
      <c r="Z19" s="123">
        <f t="shared" si="8"/>
        <v>44569</v>
      </c>
      <c r="AA19" s="123">
        <f t="shared" si="1"/>
        <v>44569</v>
      </c>
      <c r="AB19" s="124">
        <f t="shared" ca="1" si="2"/>
        <v>-1533</v>
      </c>
      <c r="AC19" s="113" t="str">
        <f t="shared" ca="1" si="12"/>
        <v>ถึงเกณฑ์นานแล้ว</v>
      </c>
    </row>
    <row r="20" spans="1:29" ht="48">
      <c r="A20" s="15"/>
      <c r="B20" s="17"/>
      <c r="C20" s="15"/>
      <c r="D20" s="17" t="s">
        <v>126</v>
      </c>
      <c r="E20" s="15" t="s">
        <v>109</v>
      </c>
      <c r="F20" s="16" t="s">
        <v>74</v>
      </c>
      <c r="G20" s="17" t="s">
        <v>127</v>
      </c>
      <c r="H20" s="18">
        <f>DATEDIF(G20,$C$1,"Y")</f>
        <v>7</v>
      </c>
      <c r="I20" s="18">
        <f>DATEDIF(G20,$C$1,"YM")</f>
        <v>7</v>
      </c>
      <c r="J20" s="18">
        <f>DATEDIF(G20,$C$1,"MD")</f>
        <v>0</v>
      </c>
      <c r="K20" s="15" t="s">
        <v>128</v>
      </c>
      <c r="L20" s="21" t="s">
        <v>71</v>
      </c>
      <c r="M20" s="17" t="s">
        <v>126</v>
      </c>
      <c r="N20" s="18">
        <f t="shared" si="9"/>
        <v>4</v>
      </c>
      <c r="O20" s="18">
        <f t="shared" si="10"/>
        <v>7</v>
      </c>
      <c r="P20" s="18">
        <f t="shared" si="11"/>
        <v>0</v>
      </c>
      <c r="Q20" s="15" t="s">
        <v>80</v>
      </c>
      <c r="R20" s="15" t="s">
        <v>36</v>
      </c>
      <c r="S20" s="16" t="s">
        <v>88</v>
      </c>
      <c r="T20" s="16">
        <v>3</v>
      </c>
      <c r="U20" s="16">
        <f>_xlfn.IFS(AND(T20=1,K20=R20,E20=R20),$C$1-M20,AND(T20=2,K20=R20,E20&lt;&gt;R20),G20-M20,AND(T20=2,K20&lt;&gt;R20,E20=R20),$C$1-G20,AND(K20&lt;&gt;R20,E20&lt;&gt;R20),0,T20&gt;2,SUMIFS('นับวันใน-ตน.'!H:H,'นับวันใน-ตน.'!A:A,B20,'นับวันใน-ตน.'!B:B,R20),TRUE,0)</f>
        <v>0</v>
      </c>
      <c r="V20" s="119">
        <f>SUMIF(นับเกื้อกูล!A:A,B20,นับเกื้อกูล!I:I)</f>
        <v>0</v>
      </c>
      <c r="W20" s="119">
        <f t="shared" si="6"/>
        <v>0</v>
      </c>
      <c r="X20" s="25" t="str">
        <f>IF(W20&gt;0,$C$1-W20,"Check Data")</f>
        <v>Check Data</v>
      </c>
      <c r="Y20" s="29">
        <f t="shared" si="0"/>
        <v>43862</v>
      </c>
      <c r="Z20" s="30" t="str">
        <f t="shared" si="8"/>
        <v>Check Data</v>
      </c>
      <c r="AA20" s="30" t="str">
        <f t="shared" si="1"/>
        <v>Check Data</v>
      </c>
      <c r="AB20" s="36" t="e">
        <f t="shared" ca="1" si="2"/>
        <v>#VALUE!</v>
      </c>
      <c r="AC20" s="15" t="e">
        <f t="shared" ca="1" si="12"/>
        <v>#VALUE!</v>
      </c>
    </row>
    <row r="21" spans="1:29" ht="48">
      <c r="A21" s="15"/>
      <c r="B21" s="17"/>
      <c r="C21" s="15"/>
      <c r="D21" s="17" t="s">
        <v>129</v>
      </c>
      <c r="E21" s="15" t="s">
        <v>130</v>
      </c>
      <c r="F21" s="16" t="s">
        <v>74</v>
      </c>
      <c r="G21" s="17" t="s">
        <v>131</v>
      </c>
      <c r="H21" s="18">
        <f>DATEDIF(G21,$C$1,"Y")</f>
        <v>5</v>
      </c>
      <c r="I21" s="18">
        <f>DATEDIF(G21,$C$1,"YM")</f>
        <v>10</v>
      </c>
      <c r="J21" s="18">
        <f>DATEDIF(G21,$C$1,"MD")</f>
        <v>21</v>
      </c>
      <c r="K21" s="15" t="s">
        <v>36</v>
      </c>
      <c r="L21" s="22" t="s">
        <v>71</v>
      </c>
      <c r="M21" s="17" t="s">
        <v>129</v>
      </c>
      <c r="N21" s="18">
        <f t="shared" si="9"/>
        <v>4</v>
      </c>
      <c r="O21" s="18">
        <f t="shared" si="10"/>
        <v>11</v>
      </c>
      <c r="P21" s="18">
        <f t="shared" si="11"/>
        <v>19</v>
      </c>
      <c r="Q21" s="15" t="s">
        <v>78</v>
      </c>
      <c r="R21" s="15" t="s">
        <v>130</v>
      </c>
      <c r="S21" s="16" t="s">
        <v>88</v>
      </c>
      <c r="T21" s="16">
        <v>2</v>
      </c>
      <c r="U21" s="16">
        <f>_xlfn.IFS(AND(T21=1,K21=R21,E21=R21),$C$1-M21,AND(T21=2,K21=R21,E21&lt;&gt;R21),G21-M21,AND(T21=2,K21&lt;&gt;R21,E21=R21),$C$1-G21,AND(K21&lt;&gt;R21,E21&lt;&gt;R21),0,T21&gt;2,SUMIFS('นับวันใน-ตน.'!H:H,'นับวันใน-ตน.'!A:A,B21,'นับวันใน-ตน.'!B:B,R21),TRUE,0)</f>
        <v>2151</v>
      </c>
      <c r="V21" s="119">
        <f>SUMIF(นับเกื้อกูล!A:A,B21,นับเกื้อกูล!I:I)</f>
        <v>0</v>
      </c>
      <c r="W21" s="119">
        <f t="shared" si="6"/>
        <v>2151</v>
      </c>
      <c r="X21" s="25">
        <f>IF(W21&gt;0,$C$1-W21,"Check Data")</f>
        <v>43019</v>
      </c>
      <c r="Y21" s="29">
        <f t="shared" si="0"/>
        <v>44480</v>
      </c>
      <c r="Z21" s="30">
        <f t="shared" si="8"/>
        <v>45941</v>
      </c>
      <c r="AA21" s="30">
        <f t="shared" si="1"/>
        <v>45941</v>
      </c>
      <c r="AB21" s="36">
        <f t="shared" ca="1" si="2"/>
        <v>-161</v>
      </c>
      <c r="AC21" s="15" t="str">
        <f t="shared" ca="1" si="12"/>
        <v>ถึงเกณฑ์นานแล้ว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W358"/>
  <sheetViews>
    <sheetView workbookViewId="0">
      <pane xSplit="3" ySplit="2" topLeftCell="D3" activePane="bottomRight" state="frozen"/>
      <selection pane="topRight"/>
      <selection pane="bottomLeft"/>
      <selection pane="bottomRight" activeCell="E1" sqref="E1:E1048576"/>
    </sheetView>
  </sheetViews>
  <sheetFormatPr defaultColWidth="9" defaultRowHeight="14.25"/>
  <cols>
    <col min="2" max="2" width="17.625" customWidth="1"/>
    <col min="3" max="3" width="38.25" customWidth="1"/>
    <col min="4" max="4" width="45.5" customWidth="1"/>
    <col min="5" max="5" width="16.5" customWidth="1"/>
    <col min="6" max="6" width="16.125" customWidth="1"/>
    <col min="10" max="10" width="41.25" customWidth="1"/>
    <col min="11" max="13" width="22.875" customWidth="1"/>
    <col min="16" max="16" width="21.75" customWidth="1"/>
    <col min="17" max="17" width="28.75" customWidth="1"/>
    <col min="18" max="18" width="28.5" customWidth="1"/>
    <col min="19" max="19" width="13.75" customWidth="1"/>
    <col min="24" max="24" width="14.375" customWidth="1"/>
    <col min="25" max="25" width="30.125" style="43" customWidth="1"/>
    <col min="26" max="26" width="43.125" style="43" customWidth="1"/>
    <col min="27" max="27" width="43.125" customWidth="1"/>
    <col min="31" max="31" width="33.625" customWidth="1"/>
    <col min="32" max="33" width="43.25" customWidth="1"/>
    <col min="37" max="37" width="17.875" customWidth="1"/>
    <col min="38" max="38" width="47.25" customWidth="1"/>
    <col min="39" max="39" width="47.125" customWidth="1"/>
    <col min="41" max="41" width="17.25" customWidth="1"/>
    <col min="42" max="42" width="36.25" customWidth="1"/>
    <col min="43" max="43" width="36.625" customWidth="1"/>
    <col min="44" max="44" width="20" customWidth="1"/>
    <col min="45" max="45" width="16.375" customWidth="1"/>
    <col min="46" max="47" width="24.375" customWidth="1"/>
    <col min="48" max="48" width="16.375" customWidth="1"/>
  </cols>
  <sheetData>
    <row r="1" spans="1:49" ht="21.75">
      <c r="B1" s="44" t="s">
        <v>50</v>
      </c>
      <c r="C1" s="46">
        <v>45828</v>
      </c>
      <c r="D1" s="46"/>
      <c r="E1" s="45"/>
      <c r="F1" s="55"/>
      <c r="J1" s="45" t="s">
        <v>0</v>
      </c>
      <c r="K1" s="62">
        <v>232387</v>
      </c>
      <c r="L1" s="62"/>
      <c r="M1" s="62"/>
      <c r="N1" s="62">
        <f>IF(AND(LEFT(K1,2)="29",MID(K1,4,1)="2"),LEFT(K1,2)&amp;"/"&amp;MID(K1,4,1)&amp;"/"&amp;RIGHT(K1,4)-543,EDATE(K1,-543*12))</f>
        <v>34060</v>
      </c>
      <c r="O1" s="62"/>
      <c r="P1" s="62"/>
      <c r="Q1" s="63"/>
      <c r="R1" s="45"/>
      <c r="S1" s="45"/>
      <c r="T1" s="45"/>
      <c r="U1" s="66"/>
      <c r="V1" s="66"/>
      <c r="W1" s="66"/>
      <c r="X1" s="66"/>
      <c r="Y1" s="67"/>
      <c r="Z1" s="67"/>
      <c r="AB1" s="66"/>
      <c r="AC1" s="66"/>
      <c r="AD1" s="66"/>
      <c r="AE1" s="67"/>
      <c r="AF1" s="67"/>
      <c r="AH1" s="66"/>
      <c r="AI1" s="66"/>
      <c r="AJ1" s="66"/>
      <c r="AO1" s="55"/>
      <c r="AP1" s="70"/>
      <c r="AQ1" s="70"/>
      <c r="AR1" s="73"/>
    </row>
    <row r="2" spans="1:49" ht="21.75">
      <c r="A2" s="47" t="s">
        <v>51</v>
      </c>
      <c r="B2" s="48" t="s">
        <v>52</v>
      </c>
      <c r="C2" s="47" t="s">
        <v>53</v>
      </c>
      <c r="D2" s="47" t="s">
        <v>23</v>
      </c>
      <c r="E2" s="47" t="s">
        <v>469</v>
      </c>
      <c r="F2" s="47" t="s">
        <v>470</v>
      </c>
      <c r="G2" s="48" t="s">
        <v>4</v>
      </c>
      <c r="H2" s="48" t="s">
        <v>5</v>
      </c>
      <c r="I2" s="48" t="s">
        <v>6</v>
      </c>
      <c r="J2" s="47" t="s">
        <v>55</v>
      </c>
      <c r="K2" s="47" t="s">
        <v>56</v>
      </c>
      <c r="L2" s="47"/>
      <c r="M2" s="47"/>
      <c r="N2" s="47" t="s">
        <v>151</v>
      </c>
      <c r="O2" s="47" t="s">
        <v>152</v>
      </c>
      <c r="P2" s="47" t="s">
        <v>150</v>
      </c>
      <c r="Q2" s="48" t="s">
        <v>471</v>
      </c>
      <c r="R2" s="47" t="s">
        <v>472</v>
      </c>
      <c r="S2" s="47"/>
      <c r="T2" s="47"/>
      <c r="U2" s="48" t="s">
        <v>4</v>
      </c>
      <c r="V2" s="48" t="s">
        <v>5</v>
      </c>
      <c r="W2" s="48" t="s">
        <v>6</v>
      </c>
      <c r="X2" s="48"/>
      <c r="Y2" s="48" t="s">
        <v>132</v>
      </c>
      <c r="Z2" s="48" t="s">
        <v>473</v>
      </c>
      <c r="AA2" s="47" t="s">
        <v>474</v>
      </c>
      <c r="AB2" s="48" t="s">
        <v>4</v>
      </c>
      <c r="AC2" s="48" t="s">
        <v>5</v>
      </c>
      <c r="AD2" s="48" t="s">
        <v>6</v>
      </c>
      <c r="AE2" s="48" t="s">
        <v>133</v>
      </c>
      <c r="AF2" s="48" t="s">
        <v>475</v>
      </c>
      <c r="AG2" s="47" t="s">
        <v>476</v>
      </c>
      <c r="AH2" s="48" t="s">
        <v>4</v>
      </c>
      <c r="AI2" s="48" t="s">
        <v>5</v>
      </c>
      <c r="AJ2" s="48" t="s">
        <v>6</v>
      </c>
      <c r="AK2" s="47" t="s">
        <v>61</v>
      </c>
      <c r="AL2" s="47" t="s">
        <v>134</v>
      </c>
      <c r="AM2" s="47"/>
      <c r="AN2" s="47"/>
      <c r="AO2" s="47" t="s">
        <v>62</v>
      </c>
      <c r="AP2" s="71" t="s">
        <v>477</v>
      </c>
      <c r="AQ2" s="71" t="s">
        <v>478</v>
      </c>
      <c r="AR2" s="74" t="s">
        <v>69</v>
      </c>
      <c r="AS2" s="47" t="s">
        <v>70</v>
      </c>
      <c r="AT2" s="47" t="s">
        <v>479</v>
      </c>
      <c r="AU2" s="47" t="s">
        <v>480</v>
      </c>
      <c r="AV2" s="47" t="s">
        <v>441</v>
      </c>
      <c r="AW2" s="47" t="s">
        <v>440</v>
      </c>
    </row>
    <row r="3" spans="1:49" ht="21.75">
      <c r="A3" s="49">
        <v>1</v>
      </c>
      <c r="B3" s="50"/>
      <c r="C3" s="51"/>
      <c r="D3" s="50" t="s">
        <v>145</v>
      </c>
      <c r="E3" s="49" t="s">
        <v>171</v>
      </c>
      <c r="F3" s="49" t="str">
        <f t="shared" ref="F3:F66" si="0">IF(E3="","",TEXT(EDATE(E3,-543*12),"dd/mm/yyyy"))</f>
        <v>12/05/1984</v>
      </c>
      <c r="G3" s="50">
        <f t="shared" ref="G3:G66" si="1">IF(F3="",0,DATEDIF(F3,$C$1,"Y"))</f>
        <v>41</v>
      </c>
      <c r="H3" s="50">
        <f t="shared" ref="H3:H66" si="2">IF(F3="",0,DATEDIF(F3,$C$1,"YM"))</f>
        <v>1</v>
      </c>
      <c r="I3" s="50">
        <f t="shared" ref="I3:I66" si="3">IF(F3="",0,DATEDIF(F3,$C$1,"MD"))</f>
        <v>8</v>
      </c>
      <c r="J3" s="50" t="s">
        <v>160</v>
      </c>
      <c r="K3" s="49" t="s">
        <v>135</v>
      </c>
      <c r="L3" s="49" t="str">
        <f>IF(B3="","",IF(K3="S1",K3,INDEX(#REF!,#REF!)))</f>
        <v/>
      </c>
      <c r="M3" s="49" t="b">
        <f t="shared" ref="M3:M66" si="4">K3=L3</f>
        <v>0</v>
      </c>
      <c r="N3" s="64"/>
      <c r="O3" s="49"/>
      <c r="P3" s="49">
        <v>2569</v>
      </c>
      <c r="Q3" s="65" t="s">
        <v>481</v>
      </c>
      <c r="R3" s="49" t="str">
        <f t="shared" ref="R3:R66" si="5">TEXT(EDATE(Q3,-543*12),"dd/mm/yyyy")</f>
        <v>20/12/2019</v>
      </c>
      <c r="S3" s="49" t="str">
        <f>IF(B3="","",IF(K3="S1",K3,INDEX(#REF!,#REF!)))</f>
        <v/>
      </c>
      <c r="T3" s="49" t="b">
        <f t="shared" ref="T3:T66" si="6">Q3=S3</f>
        <v>0</v>
      </c>
      <c r="U3" s="68">
        <f t="shared" ref="U3:U66" si="7">IF(R3="",0,DATEDIF(R3,$C$1,"Y"))</f>
        <v>5</v>
      </c>
      <c r="V3" s="68">
        <f t="shared" ref="V3:V66" si="8">IF(R3="",0,DATEDIF(R3,$C$1,"YM"))</f>
        <v>6</v>
      </c>
      <c r="W3" s="68">
        <f t="shared" ref="W3:W66" si="9">IF(R3="",0,DATEDIF(R3,$C$1,"MD"))</f>
        <v>0</v>
      </c>
      <c r="X3" s="68"/>
      <c r="Y3" s="65"/>
      <c r="Z3" s="65"/>
      <c r="AA3" s="49" t="str">
        <f t="shared" ref="AA3:AA66" si="10">IF(Z3="","",TEXT(EDATE(Z3,-543*12),"dd/mm/yyyy"))</f>
        <v/>
      </c>
      <c r="AB3" s="68">
        <f t="shared" ref="AB3:AB66" si="11">IF(AA3="",0,DATEDIF(AA3,R3,"Y"))</f>
        <v>0</v>
      </c>
      <c r="AC3" s="68">
        <f t="shared" ref="AC3:AC66" si="12">IF(AA3="",0,DATEDIF(AA3,R3,"YM"))</f>
        <v>0</v>
      </c>
      <c r="AD3" s="68">
        <f t="shared" ref="AD3:AD66" si="13">IF(AA3="",0,DATEDIF(AA3,R3,"MD"))</f>
        <v>0</v>
      </c>
      <c r="AE3" s="49"/>
      <c r="AF3" s="65"/>
      <c r="AG3" s="50" t="str">
        <f t="shared" ref="AG3:AG66" si="14">IF(AF3="","",TEXT(EDATE(AF3,-543*12),"dd/mm/yyyy"))</f>
        <v/>
      </c>
      <c r="AH3" s="68">
        <f t="shared" ref="AH3:AH66" si="15">IF(AG3="",0,DATEDIF(AG3,AA3,"Y"))</f>
        <v>0</v>
      </c>
      <c r="AI3" s="68">
        <f t="shared" ref="AI3:AI66" si="16">IF(AG3="",0,DATEDIF(AG3,AA3,"YM"))</f>
        <v>0</v>
      </c>
      <c r="AJ3" s="68">
        <f t="shared" ref="AJ3:AJ66" si="17">IF(AG3="",0,DATEDIF(AG3,AA3,"MD"))</f>
        <v>0</v>
      </c>
      <c r="AK3" s="50"/>
      <c r="AL3" s="50" t="s">
        <v>163</v>
      </c>
      <c r="AM3" s="50" t="str">
        <f>IF(B3="","",IF(K3="S1",K3,INDEX(#REF!,#REF!)))</f>
        <v/>
      </c>
      <c r="AN3" s="50" t="b">
        <f t="shared" ref="AN3:AN66" si="18">AL3=AM3</f>
        <v>0</v>
      </c>
      <c r="AO3" s="49" t="str">
        <f t="shared" ref="AO3:AO66" si="19">IF(AL3="นิติศาสตร์","K5-LAW","K5-POLICY")</f>
        <v>K5-POLICY</v>
      </c>
      <c r="AP3" s="72" t="str">
        <f>_xlfn.IFS(B3="","",AND(AO3="K5-LAW",AL3="นิติศาสตร์",K3="S2",Y3="",AE3=""),R3,AND(AO3="K5-LAW",AL3="นิติศาสตร์",K3="S1",Y3="",AE3=""),EDATE(R3,12),AND(AO3="K5-LAW",AL3="นิติศาสตร์",OR(K3="M2",K3="K4"),Y3="",AE3=""),EDATE(R3,12*2),AND(AO3="K5-LAW",AL3="นิติศาสตร์",OR(AE3="M2",AE3="K4"),AH3&gt;=2,OR(AG3&lt;AA3,AG3&lt;R3)),EDATE(AG3,12*2),AND(AO3="K5-LAW",AL3="นิติศาสตร์",AE3="S1",AH3&gt;=1,OR(AG3&lt;AA3,AG3&lt;R3)),EDATE(AG3,12),AND(AO3="K5-LAW",AL3="นิติศาสตร์",OR(Y3="M2",Y3="K4"),AB3&gt;=2,AA3&lt;R3),EDATE(AA3,12*2),AND(AO3="K5-LAW",AL3="นิติศาสตร์",Y3="S1",AB3&gt;=1,AA3&lt;R3),EDATE(AA3,12),AND(AO3="K5-LAW",AL3="นิติศาสตร์",OR(Y3="S2",Y3="K5")),AA3,AND(AO3="K5-LAW",AL3="นิติศาสตร์",OR(K3="M2",K3="K4"),U3&gt;=2),EDATE(R3,12*2),AND(AO3="K5-LAW",AL3="นิติศาสตร์",K3="S1",U3&gt;=1),EDATE(R3,12),AND(AO3="K5-LAW",AL3="นิติศาสตร์",OR(K3="S2",K3="K5")),R3,AND(AO3="K5-POLICY",AL3&lt;&gt;"นิติศาสตร์",K3="S2",Y3="",AE3=""),R3,AND(AO3="K5-POLICY",AL3&lt;&gt;"นิติศาสตร์",K3="S1",Y3="",AE3=""),EDATE(R3,12),AND(AO3="K5-POLICY",AL3&lt;&gt;"นิติศาสตร์",OR(K3="M2",K3="K4"),Y3="",AE3=""),EDATE(R3,12*2),AND(AO3="K5-POLICY",AL3&lt;&gt;"นิติศาสตร์",OR(AE3="M2",AE3="K4"),AH3&gt;=2,OR(AG3&lt;AA3,AG3&lt;R3)),EDATE(AG3,12*2),AND(AO3="K5-POLICY",AL3&lt;&gt;"นิติศาสตร์",AE3="S1",AH3&gt;=1,OR(AG3&lt;AA3,AG3&lt;R3)),EDATE(AG3,12),AND(AO3="K5-POLICY",AL3&lt;&gt;"นิติศาสตร์",OR(Y3="M2",Y3="K4"),AB3&gt;=2,AA3&lt;R3),EDATE(AA3,12*2),AND(AO3="K5-POLICY",AL3&lt;&gt;"นิติศาสตร์",Y3="S1",AB3&gt;=1,AA3&lt;R3),EDATE(AA3,12),AND(AO3="K5-POLICY",AL3&lt;&gt;"นิติศาสตร์",OR(Y3="S2",Y3="K5")),AA3,AND(AO3="K5-POLICY",AL3&lt;&gt;"นิติศาสตร์",OR(K3="M2",K3="K4"),U3&gt;=2),EDATE(R3,12*2),AND(AO3="K5-POLICY",AL3&lt;&gt;"นิติศาสตร์",K3="S1",U3&gt;=1),EDATE(R3,12),AND(AO3="K5-POLICY",AL3&lt;&gt;"นิติศาสตร์",OR(K3="S2",K3="K5")),R3,TRUE,"Check Data")</f>
        <v/>
      </c>
      <c r="AQ3" s="75" t="str">
        <f t="shared" ref="AQ3:AQ66" si="20">IFERROR(TEXT(EDATE(AP3,543*12),"dd/mm/yyyy"),"Check Data")</f>
        <v>Check Data</v>
      </c>
      <c r="AR3" s="76" t="str">
        <f t="shared" ref="AR3:AR66" si="21">IFERROR(IF($C$1&gt;AP3,AP3-$C$1,DATEDIF($C$1,AP3,"d")),"Check Data")</f>
        <v>Check Data</v>
      </c>
      <c r="AS3" s="50" t="str">
        <f t="shared" ref="AS3:AS66" si="22">_xlfn.IFS(AR3="Check Data","Check Data",AR3&gt;30,"ยังไม่ถึงเกณฑ์",AR3&gt;0,"ใกล้ถึงเกณฑ์",AR3=0,"ถึงเกณฑ์",AR3&lt;0,"ถึงเกณฑ์นานแล้ว")</f>
        <v>Check Data</v>
      </c>
      <c r="AT3" s="49" t="str">
        <f>IF(B3="","",IF(K3="S1","S1",INDEX(#REF!,#REF!)))</f>
        <v/>
      </c>
      <c r="AU3" s="49" t="str">
        <f t="shared" ref="AU3:AU66" si="23">K3</f>
        <v>S1</v>
      </c>
      <c r="AV3" s="50" t="b">
        <f t="shared" ref="AV3:AV66" si="24">K3=AT3</f>
        <v>0</v>
      </c>
      <c r="AW3" s="77"/>
    </row>
    <row r="4" spans="1:49" ht="21.75">
      <c r="A4" s="49">
        <v>2</v>
      </c>
      <c r="B4" s="50"/>
      <c r="C4" s="51"/>
      <c r="D4" s="50" t="s">
        <v>139</v>
      </c>
      <c r="E4" s="49" t="s">
        <v>194</v>
      </c>
      <c r="F4" s="49" t="str">
        <f t="shared" si="0"/>
        <v>06/03/1997</v>
      </c>
      <c r="G4" s="50">
        <f t="shared" si="1"/>
        <v>28</v>
      </c>
      <c r="H4" s="50">
        <f t="shared" si="2"/>
        <v>3</v>
      </c>
      <c r="I4" s="50">
        <f t="shared" si="3"/>
        <v>14</v>
      </c>
      <c r="J4" s="50" t="s">
        <v>154</v>
      </c>
      <c r="K4" s="49" t="s">
        <v>135</v>
      </c>
      <c r="L4" s="49" t="str">
        <f>IF(B4="","",IF(K4="S1",K4,INDEX(#REF!,#REF!)))</f>
        <v/>
      </c>
      <c r="M4" s="49" t="b">
        <f t="shared" si="4"/>
        <v>0</v>
      </c>
      <c r="N4" s="64"/>
      <c r="O4" s="49"/>
      <c r="P4" s="49">
        <v>2574</v>
      </c>
      <c r="Q4" s="65" t="s">
        <v>195</v>
      </c>
      <c r="R4" s="49" t="str">
        <f t="shared" si="5"/>
        <v>24/02/2020</v>
      </c>
      <c r="S4" s="49" t="str">
        <f>IF(B4="","",IF(K4="S1",K4,INDEX(#REF!,#REF!)))</f>
        <v/>
      </c>
      <c r="T4" s="49" t="b">
        <f t="shared" si="6"/>
        <v>0</v>
      </c>
      <c r="U4" s="68">
        <f t="shared" si="7"/>
        <v>5</v>
      </c>
      <c r="V4" s="68">
        <f t="shared" si="8"/>
        <v>3</v>
      </c>
      <c r="W4" s="68">
        <f t="shared" si="9"/>
        <v>27</v>
      </c>
      <c r="X4" s="68"/>
      <c r="Y4" s="65"/>
      <c r="Z4" s="65"/>
      <c r="AA4" s="49" t="str">
        <f t="shared" si="10"/>
        <v/>
      </c>
      <c r="AB4" s="68">
        <f t="shared" si="11"/>
        <v>0</v>
      </c>
      <c r="AC4" s="68">
        <f t="shared" si="12"/>
        <v>0</v>
      </c>
      <c r="AD4" s="68">
        <f t="shared" si="13"/>
        <v>0</v>
      </c>
      <c r="AE4" s="49"/>
      <c r="AF4" s="65"/>
      <c r="AG4" s="50" t="str">
        <f t="shared" si="14"/>
        <v/>
      </c>
      <c r="AH4" s="68">
        <f t="shared" si="15"/>
        <v>0</v>
      </c>
      <c r="AI4" s="68">
        <f t="shared" si="16"/>
        <v>0</v>
      </c>
      <c r="AJ4" s="68">
        <f t="shared" si="17"/>
        <v>0</v>
      </c>
      <c r="AK4" s="50"/>
      <c r="AL4" s="50" t="s">
        <v>482</v>
      </c>
      <c r="AM4" s="50" t="str">
        <f>IF(B4="","",IF(K4="S1",K4,INDEX(#REF!,#REF!)))</f>
        <v/>
      </c>
      <c r="AN4" s="50" t="b">
        <f t="shared" si="18"/>
        <v>0</v>
      </c>
      <c r="AO4" s="49" t="str">
        <f t="shared" si="19"/>
        <v>K5-POLICY</v>
      </c>
      <c r="AP4" s="72" t="str">
        <f>_xlfn.IFS(B4="","",AND(AO4="K5-LAW",AL4="นิติศาสตร์",K4="S2",Y4="",AE4=""),R4,AND(AO4="K5-LAW",AL4="นิติศาสตร์",K4="S1",Y4="",AE4=""),EDATE(R4,12),AND(AO4="K5-LAW",AL4="นิติศาสตร์",OR(K4="M2",K4="K4"),Y4="",AE4=""),EDATE(R4,12*2),AND(AO4="K5-LAW",AL4="นิติศาสตร์",OR(AE4="M2",AE4="K4"),AH4&gt;=2,OR(AG4&lt;AA4,AG4&lt;R4)),EDATE(AG4,12*2),AND(AO4="K5-LAW",AL4="นิติศาสตร์",AE4="S1",AH4&gt;=1,OR(AG4&lt;AA4,AG4&lt;R4)),EDATE(AG4,12),AND(AO4="K5-LAW",AL4="นิติศาสตร์",OR(Y4="M2",Y4="K4"),AB4&gt;=2,AA4&lt;R4),EDATE(AA4,12*2),AND(AO4="K5-LAW",AL4="นิติศาสตร์",Y4="S1",AB4&gt;=1,AA4&lt;R4),EDATE(AA4,12),AND(AO4="K5-LAW",AL4="นิติศาสตร์",OR(Y4="S2",Y4="K5")),AA4,AND(AO4="K5-LAW",AL4="นิติศาสตร์",OR(K4="M2",K4="K4"),U4&gt;=2),EDATE(R4,12*2),AND(AO4="K5-LAW",AL4="นิติศาสตร์",K4="S1",U4&gt;=1),EDATE(R4,12),AND(AO4="K5-LAW",AL4="นิติศาสตร์",OR(K4="S2",K4="K5")),R4,AND(AO4="K5-POLICY",AL4&lt;&gt;"นิติศาสตร์",K4="S2",Y4="",AE4=""),R4,AND(AO4="K5-POLICY",AL4&lt;&gt;"นิติศาสตร์",K4="S1",Y4="",AE4=""),EDATE(R4,12),AND(AO4="K5-POLICY",AL4&lt;&gt;"นิติศาสตร์",OR(K4="M2",K4="K4"),Y4="",AE4=""),EDATE(R4,12*2),AND(AO4="K5-POLICY",AL4&lt;&gt;"นิติศาสตร์",OR(AE4="M2",AE4="K4"),AH4&gt;=2,OR(AG4&lt;AA4,AG4&lt;R4)),EDATE(AG4,12*2),AND(AO4="K5-POLICY",AL4&lt;&gt;"นิติศาสตร์",AE4="S1",AH4&gt;=1,OR(AG4&lt;AA4,AG4&lt;R4)),EDATE(AG4,12),AND(AO4="K5-POLICY",AL4&lt;&gt;"นิติศาสตร์",OR(Y4="M2",Y4="K4"),AB4&gt;=2,AA4&lt;R4),EDATE(AA4,12*2),AND(AO4="K5-POLICY",AL4&lt;&gt;"นิติศาสตร์",Y4="S1",AB4&gt;=1,AA4&lt;R4),EDATE(AA4,12),AND(AO4="K5-POLICY",AL4&lt;&gt;"นิติศาสตร์",OR(Y4="S2",Y4="K5")),AA4,AND(AO4="K5-POLICY",AL4&lt;&gt;"นิติศาสตร์",OR(K4="M2",K4="K4"),U4&gt;=2),EDATE(R4,12*2),AND(AO4="K5-POLICY",AL4&lt;&gt;"นิติศาสตร์",K4="S1",U4&gt;=1),EDATE(R4,12),AND(AO4="K5-POLICY",AL4&lt;&gt;"นิติศาสตร์",OR(K4="S2",K4="K5")),R4,TRUE,"Check Data")</f>
        <v/>
      </c>
      <c r="AQ4" s="75" t="str">
        <f t="shared" si="20"/>
        <v>Check Data</v>
      </c>
      <c r="AR4" s="76" t="str">
        <f t="shared" si="21"/>
        <v>Check Data</v>
      </c>
      <c r="AS4" s="50" t="str">
        <f t="shared" si="22"/>
        <v>Check Data</v>
      </c>
      <c r="AT4" s="49" t="str">
        <f>IF(B4="","",IF(K4="S1","S1",INDEX(#REF!,#REF!)))</f>
        <v/>
      </c>
      <c r="AU4" s="49" t="str">
        <f t="shared" si="23"/>
        <v>S1</v>
      </c>
      <c r="AV4" s="50" t="b">
        <f t="shared" si="24"/>
        <v>0</v>
      </c>
      <c r="AW4" s="77"/>
    </row>
    <row r="5" spans="1:49" ht="21.75">
      <c r="A5" s="49">
        <v>3</v>
      </c>
      <c r="B5" s="50"/>
      <c r="C5" s="51"/>
      <c r="D5" s="50" t="s">
        <v>146</v>
      </c>
      <c r="E5" s="49" t="s">
        <v>483</v>
      </c>
      <c r="F5" s="49" t="str">
        <f t="shared" si="0"/>
        <v>01/04/1994</v>
      </c>
      <c r="G5" s="50">
        <f t="shared" si="1"/>
        <v>31</v>
      </c>
      <c r="H5" s="50">
        <f t="shared" si="2"/>
        <v>2</v>
      </c>
      <c r="I5" s="50">
        <f t="shared" si="3"/>
        <v>19</v>
      </c>
      <c r="J5" s="50" t="s">
        <v>161</v>
      </c>
      <c r="K5" s="49" t="s">
        <v>135</v>
      </c>
      <c r="L5" s="49" t="str">
        <f>IF(B5="","",IF(K5="S1",K5,INDEX(#REF!,#REF!)))</f>
        <v/>
      </c>
      <c r="M5" s="49" t="b">
        <f t="shared" si="4"/>
        <v>0</v>
      </c>
      <c r="N5" s="64"/>
      <c r="O5" s="49" t="s">
        <v>423</v>
      </c>
      <c r="P5" s="49">
        <v>2575</v>
      </c>
      <c r="Q5" s="65" t="s">
        <v>198</v>
      </c>
      <c r="R5" s="49" t="str">
        <f t="shared" si="5"/>
        <v>22/09/2020</v>
      </c>
      <c r="S5" s="49" t="str">
        <f>IF(B5="","",IF(K5="S1",K5,INDEX(#REF!,#REF!)))</f>
        <v/>
      </c>
      <c r="T5" s="49" t="b">
        <f t="shared" si="6"/>
        <v>0</v>
      </c>
      <c r="U5" s="68">
        <f t="shared" si="7"/>
        <v>4</v>
      </c>
      <c r="V5" s="68">
        <f t="shared" si="8"/>
        <v>8</v>
      </c>
      <c r="W5" s="68">
        <f t="shared" si="9"/>
        <v>29</v>
      </c>
      <c r="X5" s="68"/>
      <c r="Y5" s="65"/>
      <c r="Z5" s="65"/>
      <c r="AA5" s="49" t="str">
        <f t="shared" si="10"/>
        <v/>
      </c>
      <c r="AB5" s="68">
        <f t="shared" si="11"/>
        <v>0</v>
      </c>
      <c r="AC5" s="68">
        <f t="shared" si="12"/>
        <v>0</v>
      </c>
      <c r="AD5" s="68">
        <f t="shared" si="13"/>
        <v>0</v>
      </c>
      <c r="AE5" s="49"/>
      <c r="AF5" s="65"/>
      <c r="AG5" s="50" t="str">
        <f t="shared" si="14"/>
        <v/>
      </c>
      <c r="AH5" s="68">
        <f t="shared" si="15"/>
        <v>0</v>
      </c>
      <c r="AI5" s="68">
        <f t="shared" si="16"/>
        <v>0</v>
      </c>
      <c r="AJ5" s="68">
        <f t="shared" si="17"/>
        <v>0</v>
      </c>
      <c r="AK5" s="50"/>
      <c r="AL5" s="50" t="s">
        <v>175</v>
      </c>
      <c r="AM5" s="50" t="str">
        <f>IF(B5="","",IF(K5="S1",K5,INDEX(#REF!,#REF!)))</f>
        <v/>
      </c>
      <c r="AN5" s="50" t="b">
        <f t="shared" si="18"/>
        <v>0</v>
      </c>
      <c r="AO5" s="49" t="str">
        <f t="shared" si="19"/>
        <v>K5-POLICY</v>
      </c>
      <c r="AP5" s="72" t="str">
        <f>_xlfn.IFS(B5="","",AND(AO5="K5-LAW",AL5="นิติศาสตร์",K5="S2",Y5="",AE5=""),R5,AND(AO5="K5-LAW",AL5="นิติศาสตร์",K5="S1",Y5="",AE5=""),EDATE(R5,12),AND(AO5="K5-LAW",AL5="นิติศาสตร์",OR(K5="M2",K5="K4"),Y5="",AE5=""),EDATE(R5,12*2),AND(AO5="K5-LAW",AL5="นิติศาสตร์",OR(AE5="M2",AE5="K4"),AH5&gt;=2,OR(AG5&lt;AA5,AG5&lt;R5)),EDATE(AG5,12*2),AND(AO5="K5-LAW",AL5="นิติศาสตร์",AE5="S1",AH5&gt;=1,OR(AG5&lt;AA5,AG5&lt;R5)),EDATE(AG5,12),AND(AO5="K5-LAW",AL5="นิติศาสตร์",OR(Y5="M2",Y5="K4"),AB5&gt;=2,AA5&lt;R5),EDATE(AA5,12*2),AND(AO5="K5-LAW",AL5="นิติศาสตร์",Y5="S1",AB5&gt;=1,AA5&lt;R5),EDATE(AA5,12),AND(AO5="K5-LAW",AL5="นิติศาสตร์",OR(Y5="S2",Y5="K5")),AA5,AND(AO5="K5-LAW",AL5="นิติศาสตร์",OR(K5="M2",K5="K4"),U5&gt;=2),EDATE(R5,12*2),AND(AO5="K5-LAW",AL5="นิติศาสตร์",K5="S1",U5&gt;=1),EDATE(R5,12),AND(AO5="K5-LAW",AL5="นิติศาสตร์",OR(K5="S2",K5="K5")),R5,AND(AO5="K5-POLICY",AL5&lt;&gt;"นิติศาสตร์",K5="S2",Y5="",AE5=""),R5,AND(AO5="K5-POLICY",AL5&lt;&gt;"นิติศาสตร์",K5="S1",Y5="",AE5=""),EDATE(R5,12),AND(AO5="K5-POLICY",AL5&lt;&gt;"นิติศาสตร์",OR(K5="M2",K5="K4"),Y5="",AE5=""),EDATE(R5,12*2),AND(AO5="K5-POLICY",AL5&lt;&gt;"นิติศาสตร์",OR(AE5="M2",AE5="K4"),AH5&gt;=2,OR(AG5&lt;AA5,AG5&lt;R5)),EDATE(AG5,12*2),AND(AO5="K5-POLICY",AL5&lt;&gt;"นิติศาสตร์",AE5="S1",AH5&gt;=1,OR(AG5&lt;AA5,AG5&lt;R5)),EDATE(AG5,12),AND(AO5="K5-POLICY",AL5&lt;&gt;"นิติศาสตร์",OR(Y5="M2",Y5="K4"),AB5&gt;=2,AA5&lt;R5),EDATE(AA5,12*2),AND(AO5="K5-POLICY",AL5&lt;&gt;"นิติศาสตร์",Y5="S1",AB5&gt;=1,AA5&lt;R5),EDATE(AA5,12),AND(AO5="K5-POLICY",AL5&lt;&gt;"นิติศาสตร์",OR(Y5="S2",Y5="K5")),AA5,AND(AO5="K5-POLICY",AL5&lt;&gt;"นิติศาสตร์",OR(K5="M2",K5="K4"),U5&gt;=2),EDATE(R5,12*2),AND(AO5="K5-POLICY",AL5&lt;&gt;"นิติศาสตร์",K5="S1",U5&gt;=1),EDATE(R5,12),AND(AO5="K5-POLICY",AL5&lt;&gt;"นิติศาสตร์",OR(K5="S2",K5="K5")),R5,TRUE,"Check Data")</f>
        <v/>
      </c>
      <c r="AQ5" s="75" t="str">
        <f t="shared" si="20"/>
        <v>Check Data</v>
      </c>
      <c r="AR5" s="76" t="str">
        <f t="shared" si="21"/>
        <v>Check Data</v>
      </c>
      <c r="AS5" s="50" t="str">
        <f t="shared" si="22"/>
        <v>Check Data</v>
      </c>
      <c r="AT5" s="49" t="str">
        <f>IF(B5="","",IF(K5="S1","S1",INDEX(#REF!,#REF!)))</f>
        <v/>
      </c>
      <c r="AU5" s="49" t="str">
        <f t="shared" si="23"/>
        <v>S1</v>
      </c>
      <c r="AV5" s="50" t="b">
        <f t="shared" si="24"/>
        <v>0</v>
      </c>
      <c r="AW5" s="77"/>
    </row>
    <row r="6" spans="1:49" ht="21.75">
      <c r="A6" s="49">
        <v>4</v>
      </c>
      <c r="B6" s="50"/>
      <c r="C6" s="51"/>
      <c r="D6" s="50" t="s">
        <v>143</v>
      </c>
      <c r="E6" s="49" t="s">
        <v>199</v>
      </c>
      <c r="F6" s="49" t="str">
        <f t="shared" si="0"/>
        <v>08/05/1983</v>
      </c>
      <c r="G6" s="50">
        <f t="shared" si="1"/>
        <v>42</v>
      </c>
      <c r="H6" s="50">
        <f t="shared" si="2"/>
        <v>1</v>
      </c>
      <c r="I6" s="50">
        <f t="shared" si="3"/>
        <v>12</v>
      </c>
      <c r="J6" s="50" t="s">
        <v>158</v>
      </c>
      <c r="K6" s="49" t="s">
        <v>135</v>
      </c>
      <c r="L6" s="49" t="str">
        <f>IF(B6="","",IF(K6="S1",K6,INDEX(#REF!,#REF!)))</f>
        <v/>
      </c>
      <c r="M6" s="49" t="b">
        <f t="shared" si="4"/>
        <v>0</v>
      </c>
      <c r="N6" s="64"/>
      <c r="O6" s="49"/>
      <c r="P6" s="49">
        <v>2568</v>
      </c>
      <c r="Q6" s="65" t="s">
        <v>200</v>
      </c>
      <c r="R6" s="49" t="str">
        <f t="shared" si="5"/>
        <v>09/03/2021</v>
      </c>
      <c r="S6" s="49" t="str">
        <f>IF(B6="","",IF(K6="S1",K6,INDEX(#REF!,#REF!)))</f>
        <v/>
      </c>
      <c r="T6" s="49" t="b">
        <f t="shared" si="6"/>
        <v>0</v>
      </c>
      <c r="U6" s="68">
        <f t="shared" si="7"/>
        <v>4</v>
      </c>
      <c r="V6" s="68">
        <f t="shared" si="8"/>
        <v>3</v>
      </c>
      <c r="W6" s="68">
        <f t="shared" si="9"/>
        <v>11</v>
      </c>
      <c r="X6" s="68"/>
      <c r="Y6" s="65"/>
      <c r="Z6" s="65"/>
      <c r="AA6" s="49" t="str">
        <f t="shared" si="10"/>
        <v/>
      </c>
      <c r="AB6" s="68">
        <f t="shared" si="11"/>
        <v>0</v>
      </c>
      <c r="AC6" s="68">
        <f t="shared" si="12"/>
        <v>0</v>
      </c>
      <c r="AD6" s="68">
        <f t="shared" si="13"/>
        <v>0</v>
      </c>
      <c r="AE6" s="49"/>
      <c r="AF6" s="65"/>
      <c r="AG6" s="50" t="str">
        <f t="shared" si="14"/>
        <v/>
      </c>
      <c r="AH6" s="68">
        <f t="shared" si="15"/>
        <v>0</v>
      </c>
      <c r="AI6" s="68">
        <f t="shared" si="16"/>
        <v>0</v>
      </c>
      <c r="AJ6" s="68">
        <f t="shared" si="17"/>
        <v>0</v>
      </c>
      <c r="AK6" s="50"/>
      <c r="AL6" s="50" t="s">
        <v>484</v>
      </c>
      <c r="AM6" s="50" t="str">
        <f>IF(B6="","",IF(K6="S1",K6,INDEX(#REF!,#REF!)))</f>
        <v/>
      </c>
      <c r="AN6" s="50" t="b">
        <f t="shared" si="18"/>
        <v>0</v>
      </c>
      <c r="AO6" s="49" t="str">
        <f t="shared" si="19"/>
        <v>K5-POLICY</v>
      </c>
      <c r="AP6" s="72" t="str">
        <f>_xlfn.IFS(B6="","",AND(AO6="K5-LAW",AL6="นิติศาสตร์",K6="S2",Y6="",AE6=""),R6,AND(AO6="K5-LAW",AL6="นิติศาสตร์",K6="S1",Y6="",AE6=""),EDATE(R6,12),AND(AO6="K5-LAW",AL6="นิติศาสตร์",OR(K6="M2",K6="K4"),Y6="",AE6=""),EDATE(R6,12*2),AND(AO6="K5-LAW",AL6="นิติศาสตร์",OR(AE6="M2",AE6="K4"),AH6&gt;=2,OR(AG6&lt;AA6,AG6&lt;R6)),EDATE(AG6,12*2),AND(AO6="K5-LAW",AL6="นิติศาสตร์",AE6="S1",AH6&gt;=1,OR(AG6&lt;AA6,AG6&lt;R6)),EDATE(AG6,12),AND(AO6="K5-LAW",AL6="นิติศาสตร์",OR(Y6="M2",Y6="K4"),AB6&gt;=2,AA6&lt;R6),EDATE(AA6,12*2),AND(AO6="K5-LAW",AL6="นิติศาสตร์",Y6="S1",AB6&gt;=1,AA6&lt;R6),EDATE(AA6,12),AND(AO6="K5-LAW",AL6="นิติศาสตร์",OR(Y6="S2",Y6="K5")),AA6,AND(AO6="K5-LAW",AL6="นิติศาสตร์",OR(K6="M2",K6="K4"),U6&gt;=2),EDATE(R6,12*2),AND(AO6="K5-LAW",AL6="นิติศาสตร์",K6="S1",U6&gt;=1),EDATE(R6,12),AND(AO6="K5-LAW",AL6="นิติศาสตร์",OR(K6="S2",K6="K5")),R6,AND(AO6="K5-POLICY",AL6&lt;&gt;"นิติศาสตร์",K6="S2",Y6="",AE6=""),R6,AND(AO6="K5-POLICY",AL6&lt;&gt;"นิติศาสตร์",K6="S1",Y6="",AE6=""),EDATE(R6,12),AND(AO6="K5-POLICY",AL6&lt;&gt;"นิติศาสตร์",OR(K6="M2",K6="K4"),Y6="",AE6=""),EDATE(R6,12*2),AND(AO6="K5-POLICY",AL6&lt;&gt;"นิติศาสตร์",OR(AE6="M2",AE6="K4"),AH6&gt;=2,OR(AG6&lt;AA6,AG6&lt;R6)),EDATE(AG6,12*2),AND(AO6="K5-POLICY",AL6&lt;&gt;"นิติศาสตร์",AE6="S1",AH6&gt;=1,OR(AG6&lt;AA6,AG6&lt;R6)),EDATE(AG6,12),AND(AO6="K5-POLICY",AL6&lt;&gt;"นิติศาสตร์",OR(Y6="M2",Y6="K4"),AB6&gt;=2,AA6&lt;R6),EDATE(AA6,12*2),AND(AO6="K5-POLICY",AL6&lt;&gt;"นิติศาสตร์",Y6="S1",AB6&gt;=1,AA6&lt;R6),EDATE(AA6,12),AND(AO6="K5-POLICY",AL6&lt;&gt;"นิติศาสตร์",OR(Y6="S2",Y6="K5")),AA6,AND(AO6="K5-POLICY",AL6&lt;&gt;"นิติศาสตร์",OR(K6="M2",K6="K4"),U6&gt;=2),EDATE(R6,12*2),AND(AO6="K5-POLICY",AL6&lt;&gt;"นิติศาสตร์",K6="S1",U6&gt;=1),EDATE(R6,12),AND(AO6="K5-POLICY",AL6&lt;&gt;"นิติศาสตร์",OR(K6="S2",K6="K5")),R6,TRUE,"Check Data")</f>
        <v/>
      </c>
      <c r="AQ6" s="75" t="str">
        <f t="shared" si="20"/>
        <v>Check Data</v>
      </c>
      <c r="AR6" s="76" t="str">
        <f t="shared" si="21"/>
        <v>Check Data</v>
      </c>
      <c r="AS6" s="50" t="str">
        <f t="shared" si="22"/>
        <v>Check Data</v>
      </c>
      <c r="AT6" s="49" t="str">
        <f>IF(B6="","",IF(K6="S1","S1",INDEX(#REF!,#REF!)))</f>
        <v/>
      </c>
      <c r="AU6" s="49" t="str">
        <f t="shared" si="23"/>
        <v>S1</v>
      </c>
      <c r="AV6" s="50" t="b">
        <f t="shared" si="24"/>
        <v>0</v>
      </c>
      <c r="AW6" s="77"/>
    </row>
    <row r="7" spans="1:49" ht="21.75">
      <c r="A7" s="49">
        <v>5</v>
      </c>
      <c r="B7" s="50"/>
      <c r="C7" s="51"/>
      <c r="D7" s="50" t="s">
        <v>142</v>
      </c>
      <c r="E7" s="49" t="s">
        <v>180</v>
      </c>
      <c r="F7" s="49" t="str">
        <f t="shared" si="0"/>
        <v>10/11/1995</v>
      </c>
      <c r="G7" s="50">
        <f t="shared" si="1"/>
        <v>29</v>
      </c>
      <c r="H7" s="50">
        <f t="shared" si="2"/>
        <v>7</v>
      </c>
      <c r="I7" s="50">
        <f t="shared" si="3"/>
        <v>10</v>
      </c>
      <c r="J7" s="50" t="s">
        <v>485</v>
      </c>
      <c r="K7" s="49" t="s">
        <v>135</v>
      </c>
      <c r="L7" s="49" t="str">
        <f>IF(B7="","",IF(K7="S1",K7,INDEX(#REF!,#REF!)))</f>
        <v/>
      </c>
      <c r="M7" s="49" t="b">
        <f t="shared" si="4"/>
        <v>0</v>
      </c>
      <c r="N7" s="64"/>
      <c r="O7" s="49"/>
      <c r="P7" s="49">
        <v>2572</v>
      </c>
      <c r="Q7" s="65" t="s">
        <v>181</v>
      </c>
      <c r="R7" s="49" t="str">
        <f t="shared" si="5"/>
        <v>17/11/2021</v>
      </c>
      <c r="S7" s="49" t="str">
        <f>IF(B7="","",IF(K7="S1",K7,INDEX(#REF!,#REF!)))</f>
        <v/>
      </c>
      <c r="T7" s="49" t="b">
        <f t="shared" si="6"/>
        <v>0</v>
      </c>
      <c r="U7" s="68">
        <f t="shared" si="7"/>
        <v>3</v>
      </c>
      <c r="V7" s="68">
        <f t="shared" si="8"/>
        <v>7</v>
      </c>
      <c r="W7" s="68">
        <f t="shared" si="9"/>
        <v>3</v>
      </c>
      <c r="X7" s="68"/>
      <c r="Y7" s="65"/>
      <c r="Z7" s="65"/>
      <c r="AA7" s="49" t="str">
        <f t="shared" si="10"/>
        <v/>
      </c>
      <c r="AB7" s="68">
        <f t="shared" si="11"/>
        <v>0</v>
      </c>
      <c r="AC7" s="68">
        <f t="shared" si="12"/>
        <v>0</v>
      </c>
      <c r="AD7" s="68">
        <f t="shared" si="13"/>
        <v>0</v>
      </c>
      <c r="AE7" s="69"/>
      <c r="AF7" s="65"/>
      <c r="AG7" s="50" t="str">
        <f t="shared" si="14"/>
        <v/>
      </c>
      <c r="AH7" s="68">
        <f t="shared" si="15"/>
        <v>0</v>
      </c>
      <c r="AI7" s="68">
        <f t="shared" si="16"/>
        <v>0</v>
      </c>
      <c r="AJ7" s="68">
        <f t="shared" si="17"/>
        <v>0</v>
      </c>
      <c r="AK7" s="50"/>
      <c r="AL7" s="50" t="s">
        <v>138</v>
      </c>
      <c r="AM7" s="50" t="str">
        <f>IF(B7="","",IF(K7="S1",K7,INDEX(#REF!,#REF!)))</f>
        <v/>
      </c>
      <c r="AN7" s="50" t="b">
        <f t="shared" si="18"/>
        <v>0</v>
      </c>
      <c r="AO7" s="49" t="str">
        <f t="shared" si="19"/>
        <v>K5-LAW</v>
      </c>
      <c r="AP7" s="72" t="str">
        <f>_xlfn.IFS(B7="","",AND(AO7="K5-LAW",AL7="นิติศาสตร์",K7="S2",Y7="",AE7=""),R7,AND(AO7="K5-LAW",AL7="นิติศาสตร์",K7="S1",Y7="",AE7=""),EDATE(R7,12),AND(AO7="K5-LAW",AL7="นิติศาสตร์",OR(K7="M2",K7="K4"),Y7="",AE7=""),EDATE(R7,12*2),AND(AO7="K5-LAW",AL7="นิติศาสตร์",OR(AE7="M2",AE7="K4"),AH7&gt;=2,OR(AG7&lt;AA7,AG7&lt;R7)),EDATE(AG7,12*2),AND(AO7="K5-LAW",AL7="นิติศาสตร์",AE7="S1",AH7&gt;=1,OR(AG7&lt;AA7,AG7&lt;R7)),EDATE(AG7,12),AND(AO7="K5-LAW",AL7="นิติศาสตร์",OR(Y7="M2",Y7="K4"),AB7&gt;=2,AA7&lt;R7),EDATE(AA7,12*2),AND(AO7="K5-LAW",AL7="นิติศาสตร์",Y7="S1",AB7&gt;=1,AA7&lt;R7),EDATE(AA7,12),AND(AO7="K5-LAW",AL7="นิติศาสตร์",OR(Y7="S2",Y7="K5")),AA7,AND(AO7="K5-LAW",AL7="นิติศาสตร์",OR(K7="M2",K7="K4"),U7&gt;=2),EDATE(R7,12*2),AND(AO7="K5-LAW",AL7="นิติศาสตร์",K7="S1",U7&gt;=1),EDATE(R7,12),AND(AO7="K5-LAW",AL7="นิติศาสตร์",OR(K7="S2",K7="K5")),R7,AND(AO7="K5-POLICY",AL7&lt;&gt;"นิติศาสตร์",K7="S2",Y7="",AE7=""),R7,AND(AO7="K5-POLICY",AL7&lt;&gt;"นิติศาสตร์",K7="S1",Y7="",AE7=""),EDATE(R7,12),AND(AO7="K5-POLICY",AL7&lt;&gt;"นิติศาสตร์",OR(K7="M2",K7="K4"),Y7="",AE7=""),EDATE(R7,12*2),AND(AO7="K5-POLICY",AL7&lt;&gt;"นิติศาสตร์",OR(AE7="M2",AE7="K4"),AH7&gt;=2,OR(AG7&lt;AA7,AG7&lt;R7)),EDATE(AG7,12*2),AND(AO7="K5-POLICY",AL7&lt;&gt;"นิติศาสตร์",AE7="S1",AH7&gt;=1,OR(AG7&lt;AA7,AG7&lt;R7)),EDATE(AG7,12),AND(AO7="K5-POLICY",AL7&lt;&gt;"นิติศาสตร์",OR(Y7="M2",Y7="K4"),AB7&gt;=2,AA7&lt;R7),EDATE(AA7,12*2),AND(AO7="K5-POLICY",AL7&lt;&gt;"นิติศาสตร์",Y7="S1",AB7&gt;=1,AA7&lt;R7),EDATE(AA7,12),AND(AO7="K5-POLICY",AL7&lt;&gt;"นิติศาสตร์",OR(Y7="S2",Y7="K5")),AA7,AND(AO7="K5-POLICY",AL7&lt;&gt;"นิติศาสตร์",OR(K7="M2",K7="K4"),U7&gt;=2),EDATE(R7,12*2),AND(AO7="K5-POLICY",AL7&lt;&gt;"นิติศาสตร์",K7="S1",U7&gt;=1),EDATE(R7,12),AND(AO7="K5-POLICY",AL7&lt;&gt;"นิติศาสตร์",OR(K7="S2",K7="K5")),R7,TRUE,"Check Data")</f>
        <v/>
      </c>
      <c r="AQ7" s="75" t="str">
        <f t="shared" si="20"/>
        <v>Check Data</v>
      </c>
      <c r="AR7" s="76" t="str">
        <f t="shared" si="21"/>
        <v>Check Data</v>
      </c>
      <c r="AS7" s="50" t="str">
        <f t="shared" si="22"/>
        <v>Check Data</v>
      </c>
      <c r="AT7" s="49" t="str">
        <f>IF(B7="","",IF(K7="S1","S1",INDEX(#REF!,#REF!)))</f>
        <v/>
      </c>
      <c r="AU7" s="49" t="str">
        <f t="shared" si="23"/>
        <v>S1</v>
      </c>
      <c r="AV7" s="50" t="b">
        <f t="shared" si="24"/>
        <v>0</v>
      </c>
      <c r="AW7" s="50"/>
    </row>
    <row r="8" spans="1:49" ht="21.75">
      <c r="A8" s="49">
        <v>6</v>
      </c>
      <c r="B8" s="50"/>
      <c r="C8" s="51"/>
      <c r="D8" s="50" t="s">
        <v>142</v>
      </c>
      <c r="E8" s="49" t="s">
        <v>188</v>
      </c>
      <c r="F8" s="49" t="str">
        <f t="shared" si="0"/>
        <v>23/12/1991</v>
      </c>
      <c r="G8" s="50">
        <f t="shared" si="1"/>
        <v>33</v>
      </c>
      <c r="H8" s="50">
        <f t="shared" si="2"/>
        <v>5</v>
      </c>
      <c r="I8" s="50">
        <f t="shared" si="3"/>
        <v>28</v>
      </c>
      <c r="J8" s="50" t="s">
        <v>157</v>
      </c>
      <c r="K8" s="49" t="s">
        <v>135</v>
      </c>
      <c r="L8" s="49" t="str">
        <f>IF(B8="","",IF(K8="S1",K8,INDEX(#REF!,#REF!)))</f>
        <v/>
      </c>
      <c r="M8" s="49" t="b">
        <f t="shared" si="4"/>
        <v>0</v>
      </c>
      <c r="N8" s="64"/>
      <c r="O8" s="49" t="s">
        <v>425</v>
      </c>
      <c r="P8" s="49">
        <v>2572</v>
      </c>
      <c r="Q8" s="65" t="s">
        <v>181</v>
      </c>
      <c r="R8" s="49" t="str">
        <f t="shared" si="5"/>
        <v>17/11/2021</v>
      </c>
      <c r="S8" s="49" t="str">
        <f>IF(B8="","",IF(K8="S1",K8,INDEX(#REF!,#REF!)))</f>
        <v/>
      </c>
      <c r="T8" s="49" t="b">
        <f t="shared" si="6"/>
        <v>0</v>
      </c>
      <c r="U8" s="68">
        <f t="shared" si="7"/>
        <v>3</v>
      </c>
      <c r="V8" s="68">
        <f t="shared" si="8"/>
        <v>7</v>
      </c>
      <c r="W8" s="68">
        <f t="shared" si="9"/>
        <v>3</v>
      </c>
      <c r="X8" s="68"/>
      <c r="Y8" s="65"/>
      <c r="Z8" s="65"/>
      <c r="AA8" s="49" t="str">
        <f t="shared" si="10"/>
        <v/>
      </c>
      <c r="AB8" s="68">
        <f t="shared" si="11"/>
        <v>0</v>
      </c>
      <c r="AC8" s="68">
        <f t="shared" si="12"/>
        <v>0</v>
      </c>
      <c r="AD8" s="68">
        <f t="shared" si="13"/>
        <v>0</v>
      </c>
      <c r="AE8" s="49"/>
      <c r="AF8" s="65"/>
      <c r="AG8" s="50" t="str">
        <f t="shared" si="14"/>
        <v/>
      </c>
      <c r="AH8" s="68">
        <f t="shared" si="15"/>
        <v>0</v>
      </c>
      <c r="AI8" s="68">
        <f t="shared" si="16"/>
        <v>0</v>
      </c>
      <c r="AJ8" s="68">
        <f t="shared" si="17"/>
        <v>0</v>
      </c>
      <c r="AK8" s="50"/>
      <c r="AL8" s="50" t="s">
        <v>486</v>
      </c>
      <c r="AM8" s="50" t="str">
        <f>IF(B8="","",IF(K8="S1",K8,INDEX(#REF!,#REF!)))</f>
        <v/>
      </c>
      <c r="AN8" s="50" t="b">
        <f t="shared" si="18"/>
        <v>0</v>
      </c>
      <c r="AO8" s="49" t="str">
        <f t="shared" si="19"/>
        <v>K5-POLICY</v>
      </c>
      <c r="AP8" s="72" t="str">
        <f>_xlfn.IFS(B8="","",AND(AO8="K5-LAW",AL8="นิติศาสตร์",K8="S2",Y8="",AE8=""),R8,AND(AO8="K5-LAW",AL8="นิติศาสตร์",K8="S1",Y8="",AE8=""),EDATE(R8,12),AND(AO8="K5-LAW",AL8="นิติศาสตร์",OR(K8="M2",K8="K4"),Y8="",AE8=""),EDATE(R8,12*2),AND(AO8="K5-LAW",AL8="นิติศาสตร์",OR(AE8="M2",AE8="K4"),AH8&gt;=2,OR(AG8&lt;AA8,AG8&lt;R8)),EDATE(AG8,12*2),AND(AO8="K5-LAW",AL8="นิติศาสตร์",AE8="S1",AH8&gt;=1,OR(AG8&lt;AA8,AG8&lt;R8)),EDATE(AG8,12),AND(AO8="K5-LAW",AL8="นิติศาสตร์",OR(Y8="M2",Y8="K4"),AB8&gt;=2,AA8&lt;R8),EDATE(AA8,12*2),AND(AO8="K5-LAW",AL8="นิติศาสตร์",Y8="S1",AB8&gt;=1,AA8&lt;R8),EDATE(AA8,12),AND(AO8="K5-LAW",AL8="นิติศาสตร์",OR(Y8="S2",Y8="K5")),AA8,AND(AO8="K5-LAW",AL8="นิติศาสตร์",OR(K8="M2",K8="K4"),U8&gt;=2),EDATE(R8,12*2),AND(AO8="K5-LAW",AL8="นิติศาสตร์",K8="S1",U8&gt;=1),EDATE(R8,12),AND(AO8="K5-LAW",AL8="นิติศาสตร์",OR(K8="S2",K8="K5")),R8,AND(AO8="K5-POLICY",AL8&lt;&gt;"นิติศาสตร์",K8="S2",Y8="",AE8=""),R8,AND(AO8="K5-POLICY",AL8&lt;&gt;"นิติศาสตร์",K8="S1",Y8="",AE8=""),EDATE(R8,12),AND(AO8="K5-POLICY",AL8&lt;&gt;"นิติศาสตร์",OR(K8="M2",K8="K4"),Y8="",AE8=""),EDATE(R8,12*2),AND(AO8="K5-POLICY",AL8&lt;&gt;"นิติศาสตร์",OR(AE8="M2",AE8="K4"),AH8&gt;=2,OR(AG8&lt;AA8,AG8&lt;R8)),EDATE(AG8,12*2),AND(AO8="K5-POLICY",AL8&lt;&gt;"นิติศาสตร์",AE8="S1",AH8&gt;=1,OR(AG8&lt;AA8,AG8&lt;R8)),EDATE(AG8,12),AND(AO8="K5-POLICY",AL8&lt;&gt;"นิติศาสตร์",OR(Y8="M2",Y8="K4"),AB8&gt;=2,AA8&lt;R8),EDATE(AA8,12*2),AND(AO8="K5-POLICY",AL8&lt;&gt;"นิติศาสตร์",Y8="S1",AB8&gt;=1,AA8&lt;R8),EDATE(AA8,12),AND(AO8="K5-POLICY",AL8&lt;&gt;"นิติศาสตร์",OR(Y8="S2",Y8="K5")),AA8,AND(AO8="K5-POLICY",AL8&lt;&gt;"นิติศาสตร์",OR(K8="M2",K8="K4"),U8&gt;=2),EDATE(R8,12*2),AND(AO8="K5-POLICY",AL8&lt;&gt;"นิติศาสตร์",K8="S1",U8&gt;=1),EDATE(R8,12),AND(AO8="K5-POLICY",AL8&lt;&gt;"นิติศาสตร์",OR(K8="S2",K8="K5")),R8,TRUE,"Check Data")</f>
        <v/>
      </c>
      <c r="AQ8" s="75" t="str">
        <f t="shared" si="20"/>
        <v>Check Data</v>
      </c>
      <c r="AR8" s="76" t="str">
        <f t="shared" si="21"/>
        <v>Check Data</v>
      </c>
      <c r="AS8" s="50" t="str">
        <f t="shared" si="22"/>
        <v>Check Data</v>
      </c>
      <c r="AT8" s="49" t="str">
        <f>IF(B8="","",IF(K8="S1","S1",INDEX(#REF!,#REF!)))</f>
        <v/>
      </c>
      <c r="AU8" s="49" t="str">
        <f t="shared" si="23"/>
        <v>S1</v>
      </c>
      <c r="AV8" s="50" t="b">
        <f t="shared" si="24"/>
        <v>0</v>
      </c>
      <c r="AW8" s="50"/>
    </row>
    <row r="9" spans="1:49" ht="21.75">
      <c r="A9" s="49">
        <v>7</v>
      </c>
      <c r="B9" s="50"/>
      <c r="C9" s="51"/>
      <c r="D9" s="50" t="s">
        <v>143</v>
      </c>
      <c r="E9" s="49" t="s">
        <v>189</v>
      </c>
      <c r="F9" s="49" t="str">
        <f t="shared" si="0"/>
        <v>30/11/1993</v>
      </c>
      <c r="G9" s="50">
        <f t="shared" si="1"/>
        <v>31</v>
      </c>
      <c r="H9" s="50">
        <f t="shared" si="2"/>
        <v>6</v>
      </c>
      <c r="I9" s="50">
        <f t="shared" si="3"/>
        <v>21</v>
      </c>
      <c r="J9" s="50" t="s">
        <v>158</v>
      </c>
      <c r="K9" s="49" t="s">
        <v>135</v>
      </c>
      <c r="L9" s="49" t="str">
        <f>IF(B9="","",IF(K9="S1",K9,INDEX(#REF!,#REF!)))</f>
        <v/>
      </c>
      <c r="M9" s="49" t="b">
        <f t="shared" si="4"/>
        <v>0</v>
      </c>
      <c r="N9" s="64"/>
      <c r="O9" s="49" t="s">
        <v>425</v>
      </c>
      <c r="P9" s="49">
        <v>2574</v>
      </c>
      <c r="Q9" s="65" t="s">
        <v>487</v>
      </c>
      <c r="R9" s="49" t="str">
        <f t="shared" si="5"/>
        <v>21/01/2022</v>
      </c>
      <c r="S9" s="49" t="str">
        <f>IF(B9="","",IF(K9="S1",K9,INDEX(#REF!,#REF!)))</f>
        <v/>
      </c>
      <c r="T9" s="49" t="b">
        <f t="shared" si="6"/>
        <v>0</v>
      </c>
      <c r="U9" s="68">
        <f t="shared" si="7"/>
        <v>3</v>
      </c>
      <c r="V9" s="68">
        <f t="shared" si="8"/>
        <v>4</v>
      </c>
      <c r="W9" s="68">
        <f t="shared" si="9"/>
        <v>30</v>
      </c>
      <c r="X9" s="68"/>
      <c r="Y9" s="65"/>
      <c r="Z9" s="65"/>
      <c r="AA9" s="49" t="str">
        <f t="shared" si="10"/>
        <v/>
      </c>
      <c r="AB9" s="68">
        <f t="shared" si="11"/>
        <v>0</v>
      </c>
      <c r="AC9" s="68">
        <f t="shared" si="12"/>
        <v>0</v>
      </c>
      <c r="AD9" s="68">
        <f t="shared" si="13"/>
        <v>0</v>
      </c>
      <c r="AE9" s="49"/>
      <c r="AF9" s="65"/>
      <c r="AG9" s="50" t="str">
        <f t="shared" si="14"/>
        <v/>
      </c>
      <c r="AH9" s="68">
        <f t="shared" si="15"/>
        <v>0</v>
      </c>
      <c r="AI9" s="68">
        <f t="shared" si="16"/>
        <v>0</v>
      </c>
      <c r="AJ9" s="68">
        <f t="shared" si="17"/>
        <v>0</v>
      </c>
      <c r="AK9" s="50"/>
      <c r="AL9" s="50" t="s">
        <v>488</v>
      </c>
      <c r="AM9" s="50" t="str">
        <f>IF(B9="","",IF(K9="S1",K9,INDEX(#REF!,#REF!)))</f>
        <v/>
      </c>
      <c r="AN9" s="50" t="b">
        <f t="shared" si="18"/>
        <v>0</v>
      </c>
      <c r="AO9" s="49" t="str">
        <f t="shared" si="19"/>
        <v>K5-POLICY</v>
      </c>
      <c r="AP9" s="72" t="str">
        <f>_xlfn.IFS(B9="","",AND(AO9="K5-LAW",AL9="นิติศาสตร์",K9="S2",Y9="",AE9=""),R9,AND(AO9="K5-LAW",AL9="นิติศาสตร์",K9="S1",Y9="",AE9=""),EDATE(R9,12),AND(AO9="K5-LAW",AL9="นิติศาสตร์",OR(K9="M2",K9="K4"),Y9="",AE9=""),EDATE(R9,12*2),AND(AO9="K5-LAW",AL9="นิติศาสตร์",OR(AE9="M2",AE9="K4"),AH9&gt;=2,OR(AG9&lt;AA9,AG9&lt;R9)),EDATE(AG9,12*2),AND(AO9="K5-LAW",AL9="นิติศาสตร์",AE9="S1",AH9&gt;=1,OR(AG9&lt;AA9,AG9&lt;R9)),EDATE(AG9,12),AND(AO9="K5-LAW",AL9="นิติศาสตร์",OR(Y9="M2",Y9="K4"),AB9&gt;=2,AA9&lt;R9),EDATE(AA9,12*2),AND(AO9="K5-LAW",AL9="นิติศาสตร์",Y9="S1",AB9&gt;=1,AA9&lt;R9),EDATE(AA9,12),AND(AO9="K5-LAW",AL9="นิติศาสตร์",OR(Y9="S2",Y9="K5")),AA9,AND(AO9="K5-LAW",AL9="นิติศาสตร์",OR(K9="M2",K9="K4"),U9&gt;=2),EDATE(R9,12*2),AND(AO9="K5-LAW",AL9="นิติศาสตร์",K9="S1",U9&gt;=1),EDATE(R9,12),AND(AO9="K5-LAW",AL9="นิติศาสตร์",OR(K9="S2",K9="K5")),R9,AND(AO9="K5-POLICY",AL9&lt;&gt;"นิติศาสตร์",K9="S2",Y9="",AE9=""),R9,AND(AO9="K5-POLICY",AL9&lt;&gt;"นิติศาสตร์",K9="S1",Y9="",AE9=""),EDATE(R9,12),AND(AO9="K5-POLICY",AL9&lt;&gt;"นิติศาสตร์",OR(K9="M2",K9="K4"),Y9="",AE9=""),EDATE(R9,12*2),AND(AO9="K5-POLICY",AL9&lt;&gt;"นิติศาสตร์",OR(AE9="M2",AE9="K4"),AH9&gt;=2,OR(AG9&lt;AA9,AG9&lt;R9)),EDATE(AG9,12*2),AND(AO9="K5-POLICY",AL9&lt;&gt;"นิติศาสตร์",AE9="S1",AH9&gt;=1,OR(AG9&lt;AA9,AG9&lt;R9)),EDATE(AG9,12),AND(AO9="K5-POLICY",AL9&lt;&gt;"นิติศาสตร์",OR(Y9="M2",Y9="K4"),AB9&gt;=2,AA9&lt;R9),EDATE(AA9,12*2),AND(AO9="K5-POLICY",AL9&lt;&gt;"นิติศาสตร์",Y9="S1",AB9&gt;=1,AA9&lt;R9),EDATE(AA9,12),AND(AO9="K5-POLICY",AL9&lt;&gt;"นิติศาสตร์",OR(Y9="S2",Y9="K5")),AA9,AND(AO9="K5-POLICY",AL9&lt;&gt;"นิติศาสตร์",OR(K9="M2",K9="K4"),U9&gt;=2),EDATE(R9,12*2),AND(AO9="K5-POLICY",AL9&lt;&gt;"นิติศาสตร์",K9="S1",U9&gt;=1),EDATE(R9,12),AND(AO9="K5-POLICY",AL9&lt;&gt;"นิติศาสตร์",OR(K9="S2",K9="K5")),R9,TRUE,"Check Data")</f>
        <v/>
      </c>
      <c r="AQ9" s="75" t="str">
        <f t="shared" si="20"/>
        <v>Check Data</v>
      </c>
      <c r="AR9" s="76" t="str">
        <f t="shared" si="21"/>
        <v>Check Data</v>
      </c>
      <c r="AS9" s="50" t="str">
        <f t="shared" si="22"/>
        <v>Check Data</v>
      </c>
      <c r="AT9" s="49" t="str">
        <f>IF(B9="","",IF(K9="S1","S1",INDEX(#REF!,#REF!)))</f>
        <v/>
      </c>
      <c r="AU9" s="49" t="str">
        <f t="shared" si="23"/>
        <v>S1</v>
      </c>
      <c r="AV9" s="50" t="b">
        <f t="shared" si="24"/>
        <v>0</v>
      </c>
      <c r="AW9" s="50"/>
    </row>
    <row r="10" spans="1:49" ht="21.75">
      <c r="A10" s="49">
        <v>8</v>
      </c>
      <c r="B10" s="50"/>
      <c r="C10" s="51"/>
      <c r="D10" s="50" t="s">
        <v>140</v>
      </c>
      <c r="E10" s="49" t="s">
        <v>185</v>
      </c>
      <c r="F10" s="49" t="str">
        <f t="shared" si="0"/>
        <v>06/01/2003</v>
      </c>
      <c r="G10" s="50">
        <f t="shared" si="1"/>
        <v>22</v>
      </c>
      <c r="H10" s="50">
        <f t="shared" si="2"/>
        <v>5</v>
      </c>
      <c r="I10" s="50">
        <f t="shared" si="3"/>
        <v>14</v>
      </c>
      <c r="J10" s="50" t="s">
        <v>155</v>
      </c>
      <c r="K10" s="49" t="s">
        <v>135</v>
      </c>
      <c r="L10" s="49" t="str">
        <f>IF(B10="","",IF(K10="S1",K10,INDEX(#REF!,#REF!)))</f>
        <v/>
      </c>
      <c r="M10" s="49" t="b">
        <f t="shared" si="4"/>
        <v>0</v>
      </c>
      <c r="N10" s="64"/>
      <c r="O10" s="49"/>
      <c r="P10" s="49">
        <v>2578</v>
      </c>
      <c r="Q10" s="65" t="s">
        <v>186</v>
      </c>
      <c r="R10" s="49" t="str">
        <f t="shared" si="5"/>
        <v>26/01/2022</v>
      </c>
      <c r="S10" s="49" t="str">
        <f>IF(B10="","",IF(K10="S1",K10,INDEX(#REF!,#REF!)))</f>
        <v/>
      </c>
      <c r="T10" s="49" t="b">
        <f t="shared" si="6"/>
        <v>0</v>
      </c>
      <c r="U10" s="68">
        <f t="shared" si="7"/>
        <v>3</v>
      </c>
      <c r="V10" s="68">
        <f t="shared" si="8"/>
        <v>4</v>
      </c>
      <c r="W10" s="68">
        <f t="shared" si="9"/>
        <v>25</v>
      </c>
      <c r="X10" s="68"/>
      <c r="Y10" s="65"/>
      <c r="Z10" s="65"/>
      <c r="AA10" s="49" t="str">
        <f t="shared" si="10"/>
        <v/>
      </c>
      <c r="AB10" s="68">
        <f t="shared" si="11"/>
        <v>0</v>
      </c>
      <c r="AC10" s="68">
        <f t="shared" si="12"/>
        <v>0</v>
      </c>
      <c r="AD10" s="68">
        <f t="shared" si="13"/>
        <v>0</v>
      </c>
      <c r="AE10" s="49"/>
      <c r="AF10" s="65"/>
      <c r="AG10" s="50" t="str">
        <f t="shared" si="14"/>
        <v/>
      </c>
      <c r="AH10" s="68">
        <f t="shared" si="15"/>
        <v>0</v>
      </c>
      <c r="AI10" s="68">
        <f t="shared" si="16"/>
        <v>0</v>
      </c>
      <c r="AJ10" s="68">
        <f t="shared" si="17"/>
        <v>0</v>
      </c>
      <c r="AK10" s="50"/>
      <c r="AL10" s="50" t="s">
        <v>196</v>
      </c>
      <c r="AM10" s="50" t="str">
        <f>IF(B10="","",IF(K10="S1",K10,INDEX(#REF!,#REF!)))</f>
        <v/>
      </c>
      <c r="AN10" s="50" t="b">
        <f t="shared" si="18"/>
        <v>0</v>
      </c>
      <c r="AO10" s="49" t="str">
        <f t="shared" si="19"/>
        <v>K5-POLICY</v>
      </c>
      <c r="AP10" s="72" t="str">
        <f>_xlfn.IFS(B10="","",AND(AO10="K5-LAW",AL10="นิติศาสตร์",K10="S2",Y10="",AE10=""),R10,AND(AO10="K5-LAW",AL10="นิติศาสตร์",K10="S1",Y10="",AE10=""),EDATE(R10,12),AND(AO10="K5-LAW",AL10="นิติศาสตร์",OR(K10="M2",K10="K4"),Y10="",AE10=""),EDATE(R10,12*2),AND(AO10="K5-LAW",AL10="นิติศาสตร์",OR(AE10="M2",AE10="K4"),AH10&gt;=2,OR(AG10&lt;AA10,AG10&lt;R10)),EDATE(AG10,12*2),AND(AO10="K5-LAW",AL10="นิติศาสตร์",AE10="S1",AH10&gt;=1,OR(AG10&lt;AA10,AG10&lt;R10)),EDATE(AG10,12),AND(AO10="K5-LAW",AL10="นิติศาสตร์",OR(Y10="M2",Y10="K4"),AB10&gt;=2,AA10&lt;R10),EDATE(AA10,12*2),AND(AO10="K5-LAW",AL10="นิติศาสตร์",Y10="S1",AB10&gt;=1,AA10&lt;R10),EDATE(AA10,12),AND(AO10="K5-LAW",AL10="นิติศาสตร์",OR(Y10="S2",Y10="K5")),AA10,AND(AO10="K5-LAW",AL10="นิติศาสตร์",OR(K10="M2",K10="K4"),U10&gt;=2),EDATE(R10,12*2),AND(AO10="K5-LAW",AL10="นิติศาสตร์",K10="S1",U10&gt;=1),EDATE(R10,12),AND(AO10="K5-LAW",AL10="นิติศาสตร์",OR(K10="S2",K10="K5")),R10,AND(AO10="K5-POLICY",AL10&lt;&gt;"นิติศาสตร์",K10="S2",Y10="",AE10=""),R10,AND(AO10="K5-POLICY",AL10&lt;&gt;"นิติศาสตร์",K10="S1",Y10="",AE10=""),EDATE(R10,12),AND(AO10="K5-POLICY",AL10&lt;&gt;"นิติศาสตร์",OR(K10="M2",K10="K4"),Y10="",AE10=""),EDATE(R10,12*2),AND(AO10="K5-POLICY",AL10&lt;&gt;"นิติศาสตร์",OR(AE10="M2",AE10="K4"),AH10&gt;=2,OR(AG10&lt;AA10,AG10&lt;R10)),EDATE(AG10,12*2),AND(AO10="K5-POLICY",AL10&lt;&gt;"นิติศาสตร์",AE10="S1",AH10&gt;=1,OR(AG10&lt;AA10,AG10&lt;R10)),EDATE(AG10,12),AND(AO10="K5-POLICY",AL10&lt;&gt;"นิติศาสตร์",OR(Y10="M2",Y10="K4"),AB10&gt;=2,AA10&lt;R10),EDATE(AA10,12*2),AND(AO10="K5-POLICY",AL10&lt;&gt;"นิติศาสตร์",Y10="S1",AB10&gt;=1,AA10&lt;R10),EDATE(AA10,12),AND(AO10="K5-POLICY",AL10&lt;&gt;"นิติศาสตร์",OR(Y10="S2",Y10="K5")),AA10,AND(AO10="K5-POLICY",AL10&lt;&gt;"นิติศาสตร์",OR(K10="M2",K10="K4"),U10&gt;=2),EDATE(R10,12*2),AND(AO10="K5-POLICY",AL10&lt;&gt;"นิติศาสตร์",K10="S1",U10&gt;=1),EDATE(R10,12),AND(AO10="K5-POLICY",AL10&lt;&gt;"นิติศาสตร์",OR(K10="S2",K10="K5")),R10,TRUE,"Check Data")</f>
        <v/>
      </c>
      <c r="AQ10" s="75" t="str">
        <f t="shared" si="20"/>
        <v>Check Data</v>
      </c>
      <c r="AR10" s="76" t="str">
        <f t="shared" si="21"/>
        <v>Check Data</v>
      </c>
      <c r="AS10" s="50" t="str">
        <f t="shared" si="22"/>
        <v>Check Data</v>
      </c>
      <c r="AT10" s="49" t="str">
        <f>IF(B10="","",IF(K10="S1","S1",INDEX(#REF!,#REF!)))</f>
        <v/>
      </c>
      <c r="AU10" s="49" t="str">
        <f t="shared" si="23"/>
        <v>S1</v>
      </c>
      <c r="AV10" s="50" t="b">
        <f t="shared" si="24"/>
        <v>0</v>
      </c>
      <c r="AW10" s="50"/>
    </row>
    <row r="11" spans="1:49" ht="21.75">
      <c r="A11" s="49">
        <v>9</v>
      </c>
      <c r="B11" s="50"/>
      <c r="C11" s="51"/>
      <c r="D11" s="50" t="s">
        <v>146</v>
      </c>
      <c r="E11" s="49" t="s">
        <v>191</v>
      </c>
      <c r="F11" s="49" t="str">
        <f t="shared" si="0"/>
        <v>02/04/1990</v>
      </c>
      <c r="G11" s="50">
        <f t="shared" si="1"/>
        <v>35</v>
      </c>
      <c r="H11" s="50">
        <f t="shared" si="2"/>
        <v>2</v>
      </c>
      <c r="I11" s="50">
        <f t="shared" si="3"/>
        <v>18</v>
      </c>
      <c r="J11" s="50" t="s">
        <v>161</v>
      </c>
      <c r="K11" s="49" t="s">
        <v>135</v>
      </c>
      <c r="L11" s="49" t="str">
        <f>IF(B11="","",IF(K11="S1",K11,INDEX(#REF!,#REF!)))</f>
        <v/>
      </c>
      <c r="M11" s="49" t="b">
        <f t="shared" si="4"/>
        <v>0</v>
      </c>
      <c r="N11" s="64"/>
      <c r="O11" s="49"/>
      <c r="P11" s="49">
        <v>2569</v>
      </c>
      <c r="Q11" s="65" t="s">
        <v>192</v>
      </c>
      <c r="R11" s="49" t="str">
        <f t="shared" si="5"/>
        <v>29/11/2022</v>
      </c>
      <c r="S11" s="49" t="str">
        <f>IF(B11="","",IF(K11="S1",K11,INDEX(#REF!,#REF!)))</f>
        <v/>
      </c>
      <c r="T11" s="49" t="b">
        <f t="shared" si="6"/>
        <v>0</v>
      </c>
      <c r="U11" s="68">
        <f t="shared" si="7"/>
        <v>2</v>
      </c>
      <c r="V11" s="68">
        <f t="shared" si="8"/>
        <v>6</v>
      </c>
      <c r="W11" s="68">
        <f t="shared" si="9"/>
        <v>22</v>
      </c>
      <c r="X11" s="68"/>
      <c r="Y11" s="65"/>
      <c r="Z11" s="65"/>
      <c r="AA11" s="49" t="str">
        <f t="shared" si="10"/>
        <v/>
      </c>
      <c r="AB11" s="68">
        <f t="shared" si="11"/>
        <v>0</v>
      </c>
      <c r="AC11" s="68">
        <f t="shared" si="12"/>
        <v>0</v>
      </c>
      <c r="AD11" s="68">
        <f t="shared" si="13"/>
        <v>0</v>
      </c>
      <c r="AE11" s="49"/>
      <c r="AF11" s="65"/>
      <c r="AG11" s="50" t="str">
        <f t="shared" si="14"/>
        <v/>
      </c>
      <c r="AH11" s="68">
        <f t="shared" si="15"/>
        <v>0</v>
      </c>
      <c r="AI11" s="68">
        <f t="shared" si="16"/>
        <v>0</v>
      </c>
      <c r="AJ11" s="68">
        <f t="shared" si="17"/>
        <v>0</v>
      </c>
      <c r="AK11" s="50"/>
      <c r="AL11" s="50" t="s">
        <v>193</v>
      </c>
      <c r="AM11" s="50" t="str">
        <f>IF(B11="","",IF(K11="S1",K11,INDEX(#REF!,#REF!)))</f>
        <v/>
      </c>
      <c r="AN11" s="50" t="b">
        <f t="shared" si="18"/>
        <v>0</v>
      </c>
      <c r="AO11" s="49" t="str">
        <f t="shared" si="19"/>
        <v>K5-POLICY</v>
      </c>
      <c r="AP11" s="72" t="str">
        <f>_xlfn.IFS(B11="","",AND(AO11="K5-LAW",AL11="นิติศาสตร์",K11="S2",Y11="",AE11=""),R11,AND(AO11="K5-LAW",AL11="นิติศาสตร์",K11="S1",Y11="",AE11=""),EDATE(R11,12),AND(AO11="K5-LAW",AL11="นิติศาสตร์",OR(K11="M2",K11="K4"),Y11="",AE11=""),EDATE(R11,12*2),AND(AO11="K5-LAW",AL11="นิติศาสตร์",OR(AE11="M2",AE11="K4"),AH11&gt;=2,OR(AG11&lt;AA11,AG11&lt;R11)),EDATE(AG11,12*2),AND(AO11="K5-LAW",AL11="นิติศาสตร์",AE11="S1",AH11&gt;=1,OR(AG11&lt;AA11,AG11&lt;R11)),EDATE(AG11,12),AND(AO11="K5-LAW",AL11="นิติศาสตร์",OR(Y11="M2",Y11="K4"),AB11&gt;=2,AA11&lt;R11),EDATE(AA11,12*2),AND(AO11="K5-LAW",AL11="นิติศาสตร์",Y11="S1",AB11&gt;=1,AA11&lt;R11),EDATE(AA11,12),AND(AO11="K5-LAW",AL11="นิติศาสตร์",OR(Y11="S2",Y11="K5")),AA11,AND(AO11="K5-LAW",AL11="นิติศาสตร์",OR(K11="M2",K11="K4"),U11&gt;=2),EDATE(R11,12*2),AND(AO11="K5-LAW",AL11="นิติศาสตร์",K11="S1",U11&gt;=1),EDATE(R11,12),AND(AO11="K5-LAW",AL11="นิติศาสตร์",OR(K11="S2",K11="K5")),R11,AND(AO11="K5-POLICY",AL11&lt;&gt;"นิติศาสตร์",K11="S2",Y11="",AE11=""),R11,AND(AO11="K5-POLICY",AL11&lt;&gt;"นิติศาสตร์",K11="S1",Y11="",AE11=""),EDATE(R11,12),AND(AO11="K5-POLICY",AL11&lt;&gt;"นิติศาสตร์",OR(K11="M2",K11="K4"),Y11="",AE11=""),EDATE(R11,12*2),AND(AO11="K5-POLICY",AL11&lt;&gt;"นิติศาสตร์",OR(AE11="M2",AE11="K4"),AH11&gt;=2,OR(AG11&lt;AA11,AG11&lt;R11)),EDATE(AG11,12*2),AND(AO11="K5-POLICY",AL11&lt;&gt;"นิติศาสตร์",AE11="S1",AH11&gt;=1,OR(AG11&lt;AA11,AG11&lt;R11)),EDATE(AG11,12),AND(AO11="K5-POLICY",AL11&lt;&gt;"นิติศาสตร์",OR(Y11="M2",Y11="K4"),AB11&gt;=2,AA11&lt;R11),EDATE(AA11,12*2),AND(AO11="K5-POLICY",AL11&lt;&gt;"นิติศาสตร์",Y11="S1",AB11&gt;=1,AA11&lt;R11),EDATE(AA11,12),AND(AO11="K5-POLICY",AL11&lt;&gt;"นิติศาสตร์",OR(Y11="S2",Y11="K5")),AA11,AND(AO11="K5-POLICY",AL11&lt;&gt;"นิติศาสตร์",OR(K11="M2",K11="K4"),U11&gt;=2),EDATE(R11,12*2),AND(AO11="K5-POLICY",AL11&lt;&gt;"นิติศาสตร์",K11="S1",U11&gt;=1),EDATE(R11,12),AND(AO11="K5-POLICY",AL11&lt;&gt;"นิติศาสตร์",OR(K11="S2",K11="K5")),R11,TRUE,"Check Data")</f>
        <v/>
      </c>
      <c r="AQ11" s="75" t="str">
        <f t="shared" si="20"/>
        <v>Check Data</v>
      </c>
      <c r="AR11" s="76" t="str">
        <f t="shared" si="21"/>
        <v>Check Data</v>
      </c>
      <c r="AS11" s="50" t="str">
        <f t="shared" si="22"/>
        <v>Check Data</v>
      </c>
      <c r="AT11" s="49" t="str">
        <f>IF(B11="","",IF(K11="S1","S1",INDEX(#REF!,#REF!)))</f>
        <v/>
      </c>
      <c r="AU11" s="49" t="str">
        <f t="shared" si="23"/>
        <v>S1</v>
      </c>
      <c r="AV11" s="50" t="b">
        <f t="shared" si="24"/>
        <v>0</v>
      </c>
      <c r="AW11" s="50"/>
    </row>
    <row r="12" spans="1:49" ht="21.75">
      <c r="A12" s="49">
        <v>10</v>
      </c>
      <c r="B12" s="50"/>
      <c r="C12" s="51"/>
      <c r="D12" s="50" t="s">
        <v>144</v>
      </c>
      <c r="E12" s="49" t="s">
        <v>197</v>
      </c>
      <c r="F12" s="49" t="str">
        <f t="shared" si="0"/>
        <v>01/05/1991</v>
      </c>
      <c r="G12" s="50">
        <f t="shared" si="1"/>
        <v>34</v>
      </c>
      <c r="H12" s="50">
        <f t="shared" si="2"/>
        <v>1</v>
      </c>
      <c r="I12" s="50">
        <f t="shared" si="3"/>
        <v>19</v>
      </c>
      <c r="J12" s="50" t="s">
        <v>159</v>
      </c>
      <c r="K12" s="49" t="s">
        <v>135</v>
      </c>
      <c r="L12" s="49" t="str">
        <f>IF(B12="","",IF(K12="S1",K12,INDEX(#REF!,#REF!)))</f>
        <v/>
      </c>
      <c r="M12" s="49" t="b">
        <f t="shared" si="4"/>
        <v>0</v>
      </c>
      <c r="N12" s="64"/>
      <c r="O12" s="49" t="s">
        <v>425</v>
      </c>
      <c r="P12" s="49">
        <v>2574</v>
      </c>
      <c r="Q12" s="65" t="s">
        <v>179</v>
      </c>
      <c r="R12" s="49" t="str">
        <f t="shared" si="5"/>
        <v>20/01/2023</v>
      </c>
      <c r="S12" s="49" t="str">
        <f>IF(B12="","",IF(K12="S1",K12,INDEX(#REF!,#REF!)))</f>
        <v/>
      </c>
      <c r="T12" s="49" t="b">
        <f t="shared" si="6"/>
        <v>0</v>
      </c>
      <c r="U12" s="68">
        <f t="shared" si="7"/>
        <v>2</v>
      </c>
      <c r="V12" s="68">
        <f t="shared" si="8"/>
        <v>5</v>
      </c>
      <c r="W12" s="68">
        <f t="shared" si="9"/>
        <v>0</v>
      </c>
      <c r="X12" s="68"/>
      <c r="Y12" s="65"/>
      <c r="Z12" s="65"/>
      <c r="AA12" s="49" t="str">
        <f t="shared" si="10"/>
        <v/>
      </c>
      <c r="AB12" s="68">
        <f t="shared" si="11"/>
        <v>0</v>
      </c>
      <c r="AC12" s="68">
        <f t="shared" si="12"/>
        <v>0</v>
      </c>
      <c r="AD12" s="68">
        <f t="shared" si="13"/>
        <v>0</v>
      </c>
      <c r="AE12" s="49"/>
      <c r="AF12" s="65"/>
      <c r="AG12" s="50" t="str">
        <f t="shared" si="14"/>
        <v/>
      </c>
      <c r="AH12" s="68">
        <f t="shared" si="15"/>
        <v>0</v>
      </c>
      <c r="AI12" s="68">
        <f t="shared" si="16"/>
        <v>0</v>
      </c>
      <c r="AJ12" s="68">
        <f t="shared" si="17"/>
        <v>0</v>
      </c>
      <c r="AK12" s="50"/>
      <c r="AL12" s="50" t="s">
        <v>138</v>
      </c>
      <c r="AM12" s="50" t="str">
        <f>IF(B12="","",IF(K12="S1",K12,INDEX(#REF!,#REF!)))</f>
        <v/>
      </c>
      <c r="AN12" s="50" t="b">
        <f t="shared" si="18"/>
        <v>0</v>
      </c>
      <c r="AO12" s="49" t="str">
        <f t="shared" si="19"/>
        <v>K5-LAW</v>
      </c>
      <c r="AP12" s="72" t="str">
        <f>_xlfn.IFS(B12="","",AND(AO12="K5-LAW",AL12="นิติศาสตร์",K12="S2",Y12="",AE12=""),R12,AND(AO12="K5-LAW",AL12="นิติศาสตร์",K12="S1",Y12="",AE12=""),EDATE(R12,12),AND(AO12="K5-LAW",AL12="นิติศาสตร์",OR(K12="M2",K12="K4"),Y12="",AE12=""),EDATE(R12,12*2),AND(AO12="K5-LAW",AL12="นิติศาสตร์",OR(AE12="M2",AE12="K4"),AH12&gt;=2,OR(AG12&lt;AA12,AG12&lt;R12)),EDATE(AG12,12*2),AND(AO12="K5-LAW",AL12="นิติศาสตร์",AE12="S1",AH12&gt;=1,OR(AG12&lt;AA12,AG12&lt;R12)),EDATE(AG12,12),AND(AO12="K5-LAW",AL12="นิติศาสตร์",OR(Y12="M2",Y12="K4"),AB12&gt;=2,AA12&lt;R12),EDATE(AA12,12*2),AND(AO12="K5-LAW",AL12="นิติศาสตร์",Y12="S1",AB12&gt;=1,AA12&lt;R12),EDATE(AA12,12),AND(AO12="K5-LAW",AL12="นิติศาสตร์",OR(Y12="S2",Y12="K5")),AA12,AND(AO12="K5-LAW",AL12="นิติศาสตร์",OR(K12="M2",K12="K4"),U12&gt;=2),EDATE(R12,12*2),AND(AO12="K5-LAW",AL12="นิติศาสตร์",K12="S1",U12&gt;=1),EDATE(R12,12),AND(AO12="K5-LAW",AL12="นิติศาสตร์",OR(K12="S2",K12="K5")),R12,AND(AO12="K5-POLICY",AL12&lt;&gt;"นิติศาสตร์",K12="S2",Y12="",AE12=""),R12,AND(AO12="K5-POLICY",AL12&lt;&gt;"นิติศาสตร์",K12="S1",Y12="",AE12=""),EDATE(R12,12),AND(AO12="K5-POLICY",AL12&lt;&gt;"นิติศาสตร์",OR(K12="M2",K12="K4"),Y12="",AE12=""),EDATE(R12,12*2),AND(AO12="K5-POLICY",AL12&lt;&gt;"นิติศาสตร์",OR(AE12="M2",AE12="K4"),AH12&gt;=2,OR(AG12&lt;AA12,AG12&lt;R12)),EDATE(AG12,12*2),AND(AO12="K5-POLICY",AL12&lt;&gt;"นิติศาสตร์",AE12="S1",AH12&gt;=1,OR(AG12&lt;AA12,AG12&lt;R12)),EDATE(AG12,12),AND(AO12="K5-POLICY",AL12&lt;&gt;"นิติศาสตร์",OR(Y12="M2",Y12="K4"),AB12&gt;=2,AA12&lt;R12),EDATE(AA12,12*2),AND(AO12="K5-POLICY",AL12&lt;&gt;"นิติศาสตร์",Y12="S1",AB12&gt;=1,AA12&lt;R12),EDATE(AA12,12),AND(AO12="K5-POLICY",AL12&lt;&gt;"นิติศาสตร์",OR(Y12="S2",Y12="K5")),AA12,AND(AO12="K5-POLICY",AL12&lt;&gt;"นิติศาสตร์",OR(K12="M2",K12="K4"),U12&gt;=2),EDATE(R12,12*2),AND(AO12="K5-POLICY",AL12&lt;&gt;"นิติศาสตร์",K12="S1",U12&gt;=1),EDATE(R12,12),AND(AO12="K5-POLICY",AL12&lt;&gt;"นิติศาสตร์",OR(K12="S2",K12="K5")),R12,TRUE,"Check Data")</f>
        <v/>
      </c>
      <c r="AQ12" s="75" t="str">
        <f t="shared" si="20"/>
        <v>Check Data</v>
      </c>
      <c r="AR12" s="76" t="str">
        <f t="shared" si="21"/>
        <v>Check Data</v>
      </c>
      <c r="AS12" s="50" t="str">
        <f t="shared" si="22"/>
        <v>Check Data</v>
      </c>
      <c r="AT12" s="49" t="str">
        <f>IF(B12="","",IF(K12="S1","S1",INDEX(#REF!,#REF!)))</f>
        <v/>
      </c>
      <c r="AU12" s="49" t="str">
        <f t="shared" si="23"/>
        <v>S1</v>
      </c>
      <c r="AV12" s="50" t="b">
        <f t="shared" si="24"/>
        <v>0</v>
      </c>
      <c r="AW12" s="50"/>
    </row>
    <row r="13" spans="1:49" ht="21.75">
      <c r="A13" s="49">
        <v>11</v>
      </c>
      <c r="B13" s="50"/>
      <c r="C13" s="51"/>
      <c r="D13" s="50" t="s">
        <v>139</v>
      </c>
      <c r="E13" s="49" t="s">
        <v>164</v>
      </c>
      <c r="F13" s="49" t="str">
        <f t="shared" si="0"/>
        <v>01/05/1990</v>
      </c>
      <c r="G13" s="50">
        <f t="shared" si="1"/>
        <v>35</v>
      </c>
      <c r="H13" s="50">
        <f t="shared" si="2"/>
        <v>1</v>
      </c>
      <c r="I13" s="50">
        <f t="shared" si="3"/>
        <v>19</v>
      </c>
      <c r="J13" s="50" t="s">
        <v>154</v>
      </c>
      <c r="K13" s="49" t="s">
        <v>135</v>
      </c>
      <c r="L13" s="49" t="str">
        <f>IF(B13="","",IF(K13="S1",K13,INDEX(#REF!,#REF!)))</f>
        <v/>
      </c>
      <c r="M13" s="49" t="b">
        <f t="shared" si="4"/>
        <v>0</v>
      </c>
      <c r="N13" s="64"/>
      <c r="O13" s="49" t="s">
        <v>425</v>
      </c>
      <c r="P13" s="49">
        <v>2572</v>
      </c>
      <c r="Q13" s="65" t="s">
        <v>179</v>
      </c>
      <c r="R13" s="49" t="str">
        <f t="shared" si="5"/>
        <v>20/01/2023</v>
      </c>
      <c r="S13" s="49" t="str">
        <f>IF(B13="","",IF(K13="S1",K13,INDEX(#REF!,#REF!)))</f>
        <v/>
      </c>
      <c r="T13" s="49" t="b">
        <f t="shared" si="6"/>
        <v>0</v>
      </c>
      <c r="U13" s="68">
        <f t="shared" si="7"/>
        <v>2</v>
      </c>
      <c r="V13" s="68">
        <f t="shared" si="8"/>
        <v>5</v>
      </c>
      <c r="W13" s="68">
        <f t="shared" si="9"/>
        <v>0</v>
      </c>
      <c r="X13" s="68"/>
      <c r="Y13" s="65"/>
      <c r="Z13" s="65"/>
      <c r="AA13" s="49" t="str">
        <f t="shared" si="10"/>
        <v/>
      </c>
      <c r="AB13" s="68">
        <f t="shared" si="11"/>
        <v>0</v>
      </c>
      <c r="AC13" s="68">
        <f t="shared" si="12"/>
        <v>0</v>
      </c>
      <c r="AD13" s="68">
        <f t="shared" si="13"/>
        <v>0</v>
      </c>
      <c r="AE13" s="69"/>
      <c r="AF13" s="65"/>
      <c r="AG13" s="50" t="str">
        <f t="shared" si="14"/>
        <v/>
      </c>
      <c r="AH13" s="68">
        <f t="shared" si="15"/>
        <v>0</v>
      </c>
      <c r="AI13" s="68">
        <f t="shared" si="16"/>
        <v>0</v>
      </c>
      <c r="AJ13" s="68">
        <f t="shared" si="17"/>
        <v>0</v>
      </c>
      <c r="AK13" s="50"/>
      <c r="AL13" s="50" t="s">
        <v>138</v>
      </c>
      <c r="AM13" s="50" t="str">
        <f>IF(B13="","",IF(K13="S1",K13,INDEX(#REF!,#REF!)))</f>
        <v/>
      </c>
      <c r="AN13" s="50" t="b">
        <f t="shared" si="18"/>
        <v>0</v>
      </c>
      <c r="AO13" s="49" t="str">
        <f t="shared" si="19"/>
        <v>K5-LAW</v>
      </c>
      <c r="AP13" s="72" t="str">
        <f>_xlfn.IFS(B13="","",AND(AO13="K5-LAW",AL13="นิติศาสตร์",K13="S2",Y13="",AE13=""),R13,AND(AO13="K5-LAW",AL13="นิติศาสตร์",K13="S1",Y13="",AE13=""),EDATE(R13,12),AND(AO13="K5-LAW",AL13="นิติศาสตร์",OR(K13="M2",K13="K4"),Y13="",AE13=""),EDATE(R13,12*2),AND(AO13="K5-LAW",AL13="นิติศาสตร์",OR(AE13="M2",AE13="K4"),AH13&gt;=2,OR(AG13&lt;AA13,AG13&lt;R13)),EDATE(AG13,12*2),AND(AO13="K5-LAW",AL13="นิติศาสตร์",AE13="S1",AH13&gt;=1,OR(AG13&lt;AA13,AG13&lt;R13)),EDATE(AG13,12),AND(AO13="K5-LAW",AL13="นิติศาสตร์",OR(Y13="M2",Y13="K4"),AB13&gt;=2,AA13&lt;R13),EDATE(AA13,12*2),AND(AO13="K5-LAW",AL13="นิติศาสตร์",Y13="S1",AB13&gt;=1,AA13&lt;R13),EDATE(AA13,12),AND(AO13="K5-LAW",AL13="นิติศาสตร์",OR(Y13="S2",Y13="K5")),AA13,AND(AO13="K5-LAW",AL13="นิติศาสตร์",OR(K13="M2",K13="K4"),U13&gt;=2),EDATE(R13,12*2),AND(AO13="K5-LAW",AL13="นิติศาสตร์",K13="S1",U13&gt;=1),EDATE(R13,12),AND(AO13="K5-LAW",AL13="นิติศาสตร์",OR(K13="S2",K13="K5")),R13,AND(AO13="K5-POLICY",AL13&lt;&gt;"นิติศาสตร์",K13="S2",Y13="",AE13=""),R13,AND(AO13="K5-POLICY",AL13&lt;&gt;"นิติศาสตร์",K13="S1",Y13="",AE13=""),EDATE(R13,12),AND(AO13="K5-POLICY",AL13&lt;&gt;"นิติศาสตร์",OR(K13="M2",K13="K4"),Y13="",AE13=""),EDATE(R13,12*2),AND(AO13="K5-POLICY",AL13&lt;&gt;"นิติศาสตร์",OR(AE13="M2",AE13="K4"),AH13&gt;=2,OR(AG13&lt;AA13,AG13&lt;R13)),EDATE(AG13,12*2),AND(AO13="K5-POLICY",AL13&lt;&gt;"นิติศาสตร์",AE13="S1",AH13&gt;=1,OR(AG13&lt;AA13,AG13&lt;R13)),EDATE(AG13,12),AND(AO13="K5-POLICY",AL13&lt;&gt;"นิติศาสตร์",OR(Y13="M2",Y13="K4"),AB13&gt;=2,AA13&lt;R13),EDATE(AA13,12*2),AND(AO13="K5-POLICY",AL13&lt;&gt;"นิติศาสตร์",Y13="S1",AB13&gt;=1,AA13&lt;R13),EDATE(AA13,12),AND(AO13="K5-POLICY",AL13&lt;&gt;"นิติศาสตร์",OR(Y13="S2",Y13="K5")),AA13,AND(AO13="K5-POLICY",AL13&lt;&gt;"นิติศาสตร์",OR(K13="M2",K13="K4"),U13&gt;=2),EDATE(R13,12*2),AND(AO13="K5-POLICY",AL13&lt;&gt;"นิติศาสตร์",K13="S1",U13&gt;=1),EDATE(R13,12),AND(AO13="K5-POLICY",AL13&lt;&gt;"นิติศาสตร์",OR(K13="S2",K13="K5")),R13,TRUE,"Check Data")</f>
        <v/>
      </c>
      <c r="AQ13" s="75" t="str">
        <f t="shared" si="20"/>
        <v>Check Data</v>
      </c>
      <c r="AR13" s="76" t="str">
        <f t="shared" si="21"/>
        <v>Check Data</v>
      </c>
      <c r="AS13" s="50" t="str">
        <f t="shared" si="22"/>
        <v>Check Data</v>
      </c>
      <c r="AT13" s="49" t="str">
        <f>IF(B13="","",IF(K13="S1","S1",INDEX(#REF!,#REF!)))</f>
        <v/>
      </c>
      <c r="AU13" s="49" t="str">
        <f t="shared" si="23"/>
        <v>S1</v>
      </c>
      <c r="AV13" s="50" t="b">
        <f t="shared" si="24"/>
        <v>0</v>
      </c>
      <c r="AW13" s="50"/>
    </row>
    <row r="14" spans="1:49" ht="21.75">
      <c r="A14" s="49">
        <v>12</v>
      </c>
      <c r="B14" s="50"/>
      <c r="C14" s="51"/>
      <c r="D14" s="50" t="s">
        <v>141</v>
      </c>
      <c r="E14" s="49" t="s">
        <v>183</v>
      </c>
      <c r="F14" s="49" t="str">
        <f t="shared" si="0"/>
        <v>10/08/1992</v>
      </c>
      <c r="G14" s="50">
        <f t="shared" si="1"/>
        <v>32</v>
      </c>
      <c r="H14" s="50">
        <f t="shared" si="2"/>
        <v>10</v>
      </c>
      <c r="I14" s="50">
        <f t="shared" si="3"/>
        <v>10</v>
      </c>
      <c r="J14" s="50" t="s">
        <v>156</v>
      </c>
      <c r="K14" s="49" t="s">
        <v>135</v>
      </c>
      <c r="L14" s="49" t="str">
        <f>IF(B14="","",IF(K14="S1",K14,INDEX(#REF!,#REF!)))</f>
        <v/>
      </c>
      <c r="M14" s="49" t="b">
        <f t="shared" si="4"/>
        <v>0</v>
      </c>
      <c r="N14" s="64"/>
      <c r="O14" s="49" t="s">
        <v>425</v>
      </c>
      <c r="P14" s="49" t="s">
        <v>489</v>
      </c>
      <c r="Q14" s="65" t="s">
        <v>184</v>
      </c>
      <c r="R14" s="49" t="str">
        <f t="shared" si="5"/>
        <v>24/07/2023</v>
      </c>
      <c r="S14" s="49" t="str">
        <f>IF(B14="","",IF(K14="S1",K14,INDEX(#REF!,#REF!)))</f>
        <v/>
      </c>
      <c r="T14" s="49" t="b">
        <f t="shared" si="6"/>
        <v>0</v>
      </c>
      <c r="U14" s="68">
        <f t="shared" si="7"/>
        <v>1</v>
      </c>
      <c r="V14" s="68">
        <f t="shared" si="8"/>
        <v>10</v>
      </c>
      <c r="W14" s="68">
        <f t="shared" si="9"/>
        <v>27</v>
      </c>
      <c r="X14" s="69" t="s">
        <v>490</v>
      </c>
      <c r="Y14" s="65" t="s">
        <v>136</v>
      </c>
      <c r="Z14" s="65" t="s">
        <v>168</v>
      </c>
      <c r="AA14" s="49" t="str">
        <f t="shared" si="10"/>
        <v>01/10/2017</v>
      </c>
      <c r="AB14" s="68">
        <f t="shared" si="11"/>
        <v>5</v>
      </c>
      <c r="AC14" s="68">
        <f t="shared" si="12"/>
        <v>9</v>
      </c>
      <c r="AD14" s="68">
        <f t="shared" si="13"/>
        <v>23</v>
      </c>
      <c r="AE14" s="49"/>
      <c r="AF14" s="65"/>
      <c r="AG14" s="50" t="str">
        <f t="shared" si="14"/>
        <v/>
      </c>
      <c r="AH14" s="68">
        <f t="shared" si="15"/>
        <v>0</v>
      </c>
      <c r="AI14" s="68">
        <f t="shared" si="16"/>
        <v>0</v>
      </c>
      <c r="AJ14" s="68">
        <f t="shared" si="17"/>
        <v>0</v>
      </c>
      <c r="AK14" s="50"/>
      <c r="AL14" s="50" t="s">
        <v>138</v>
      </c>
      <c r="AM14" s="50" t="str">
        <f>IF(B14="","",IF(K14="S1",K14,INDEX(#REF!,#REF!)))</f>
        <v/>
      </c>
      <c r="AN14" s="50" t="b">
        <f t="shared" si="18"/>
        <v>0</v>
      </c>
      <c r="AO14" s="49" t="str">
        <f t="shared" si="19"/>
        <v>K5-LAW</v>
      </c>
      <c r="AP14" s="72" t="str">
        <f>_xlfn.IFS(B14="","",AND(AO14="K5-LAW",AL14="นิติศาสตร์",K14="S2",Y14="",AE14=""),R14,AND(AO14="K5-LAW",AL14="นิติศาสตร์",K14="S1",Y14="",AE14=""),EDATE(R14,12),AND(AO14="K5-LAW",AL14="นิติศาสตร์",OR(K14="M2",K14="K4"),Y14="",AE14=""),EDATE(R14,12*2),AND(AO14="K5-LAW",AL14="นิติศาสตร์",OR(AE14="M2",AE14="K4"),AH14&gt;=2,OR(AG14&lt;AA14,AG14&lt;R14)),EDATE(AG14,12*2),AND(AO14="K5-LAW",AL14="นิติศาสตร์",AE14="S1",AH14&gt;=1,OR(AG14&lt;AA14,AG14&lt;R14)),EDATE(AG14,12),AND(AO14="K5-LAW",AL14="นิติศาสตร์",OR(Y14="M2",Y14="K4"),AB14&gt;=2,AA14&lt;R14),EDATE(AA14,12*2),AND(AO14="K5-LAW",AL14="นิติศาสตร์",Y14="S1",AB14&gt;=1,AA14&lt;R14),EDATE(AA14,12),AND(AO14="K5-LAW",AL14="นิติศาสตร์",OR(Y14="S2",Y14="K5")),AA14,AND(AO14="K5-LAW",AL14="นิติศาสตร์",OR(K14="M2",K14="K4"),U14&gt;=2),EDATE(R14,12*2),AND(AO14="K5-LAW",AL14="นิติศาสตร์",K14="S1",U14&gt;=1),EDATE(R14,12),AND(AO14="K5-LAW",AL14="นิติศาสตร์",OR(K14="S2",K14="K5")),R14,AND(AO14="K5-POLICY",AL14&lt;&gt;"นิติศาสตร์",K14="S2",Y14="",AE14=""),R14,AND(AO14="K5-POLICY",AL14&lt;&gt;"นิติศาสตร์",K14="S1",Y14="",AE14=""),EDATE(R14,12),AND(AO14="K5-POLICY",AL14&lt;&gt;"นิติศาสตร์",OR(K14="M2",K14="K4"),Y14="",AE14=""),EDATE(R14,12*2),AND(AO14="K5-POLICY",AL14&lt;&gt;"นิติศาสตร์",OR(AE14="M2",AE14="K4"),AH14&gt;=2,OR(AG14&lt;AA14,AG14&lt;R14)),EDATE(AG14,12*2),AND(AO14="K5-POLICY",AL14&lt;&gt;"นิติศาสตร์",AE14="S1",AH14&gt;=1,OR(AG14&lt;AA14,AG14&lt;R14)),EDATE(AG14,12),AND(AO14="K5-POLICY",AL14&lt;&gt;"นิติศาสตร์",OR(Y14="M2",Y14="K4"),AB14&gt;=2,AA14&lt;R14),EDATE(AA14,12*2),AND(AO14="K5-POLICY",AL14&lt;&gt;"นิติศาสตร์",Y14="S1",AB14&gt;=1,AA14&lt;R14),EDATE(AA14,12),AND(AO14="K5-POLICY",AL14&lt;&gt;"นิติศาสตร์",OR(Y14="S2",Y14="K5")),AA14,AND(AO14="K5-POLICY",AL14&lt;&gt;"นิติศาสตร์",OR(K14="M2",K14="K4"),U14&gt;=2),EDATE(R14,12*2),AND(AO14="K5-POLICY",AL14&lt;&gt;"นิติศาสตร์",K14="S1",U14&gt;=1),EDATE(R14,12),AND(AO14="K5-POLICY",AL14&lt;&gt;"นิติศาสตร์",OR(K14="S2",K14="K5")),R14,TRUE,"Check Data")</f>
        <v/>
      </c>
      <c r="AQ14" s="75" t="str">
        <f t="shared" si="20"/>
        <v>Check Data</v>
      </c>
      <c r="AR14" s="76" t="str">
        <f t="shared" si="21"/>
        <v>Check Data</v>
      </c>
      <c r="AS14" s="50" t="str">
        <f t="shared" si="22"/>
        <v>Check Data</v>
      </c>
      <c r="AT14" s="49" t="str">
        <f>IF(B14="","",IF(K14="S1","S1",INDEX(#REF!,#REF!)))</f>
        <v/>
      </c>
      <c r="AU14" s="49" t="str">
        <f t="shared" si="23"/>
        <v>S1</v>
      </c>
      <c r="AV14" s="50" t="b">
        <f t="shared" si="24"/>
        <v>0</v>
      </c>
      <c r="AW14" s="50"/>
    </row>
    <row r="15" spans="1:49" ht="21.75">
      <c r="A15" s="49">
        <v>13</v>
      </c>
      <c r="B15" s="50"/>
      <c r="C15" s="51"/>
      <c r="D15" s="50" t="s">
        <v>34</v>
      </c>
      <c r="E15" s="49" t="s">
        <v>396</v>
      </c>
      <c r="F15" s="49" t="str">
        <f t="shared" si="0"/>
        <v>29/01/1996</v>
      </c>
      <c r="G15" s="50">
        <f t="shared" si="1"/>
        <v>29</v>
      </c>
      <c r="H15" s="50">
        <f t="shared" si="2"/>
        <v>4</v>
      </c>
      <c r="I15" s="50">
        <f t="shared" si="3"/>
        <v>22</v>
      </c>
      <c r="J15" s="50" t="s">
        <v>153</v>
      </c>
      <c r="K15" s="49" t="s">
        <v>135</v>
      </c>
      <c r="L15" s="49" t="str">
        <f>IF(B15="","",IF(K15="S1",K15,INDEX(#REF!,#REF!)))</f>
        <v/>
      </c>
      <c r="M15" s="49" t="b">
        <f t="shared" si="4"/>
        <v>0</v>
      </c>
      <c r="N15" s="64"/>
      <c r="O15" s="49" t="s">
        <v>427</v>
      </c>
      <c r="P15" s="49" t="s">
        <v>491</v>
      </c>
      <c r="Q15" s="65" t="s">
        <v>184</v>
      </c>
      <c r="R15" s="49" t="str">
        <f t="shared" si="5"/>
        <v>24/07/2023</v>
      </c>
      <c r="S15" s="49" t="str">
        <f>IF(B15="","",IF(K15="S1",K15,INDEX(#REF!,#REF!)))</f>
        <v/>
      </c>
      <c r="T15" s="49" t="b">
        <f t="shared" si="6"/>
        <v>0</v>
      </c>
      <c r="U15" s="68">
        <f t="shared" si="7"/>
        <v>1</v>
      </c>
      <c r="V15" s="68">
        <f t="shared" si="8"/>
        <v>10</v>
      </c>
      <c r="W15" s="68">
        <f t="shared" si="9"/>
        <v>27</v>
      </c>
      <c r="X15" s="69" t="s">
        <v>492</v>
      </c>
      <c r="Y15" s="65" t="s">
        <v>136</v>
      </c>
      <c r="Z15" s="65" t="s">
        <v>207</v>
      </c>
      <c r="AA15" s="49" t="str">
        <f t="shared" si="10"/>
        <v>09/06/2023</v>
      </c>
      <c r="AB15" s="68">
        <f t="shared" si="11"/>
        <v>0</v>
      </c>
      <c r="AC15" s="68">
        <f t="shared" si="12"/>
        <v>1</v>
      </c>
      <c r="AD15" s="68">
        <f t="shared" si="13"/>
        <v>15</v>
      </c>
      <c r="AE15" s="69" t="s">
        <v>137</v>
      </c>
      <c r="AF15" s="65" t="s">
        <v>397</v>
      </c>
      <c r="AG15" s="50" t="str">
        <f t="shared" si="14"/>
        <v>18/02/2019</v>
      </c>
      <c r="AH15" s="68">
        <f t="shared" si="15"/>
        <v>4</v>
      </c>
      <c r="AI15" s="68">
        <f t="shared" si="16"/>
        <v>3</v>
      </c>
      <c r="AJ15" s="68">
        <f t="shared" si="17"/>
        <v>22</v>
      </c>
      <c r="AK15" s="50"/>
      <c r="AL15" s="50" t="s">
        <v>138</v>
      </c>
      <c r="AM15" s="50" t="str">
        <f>IF(B15="","",IF(K15="S1",K15,INDEX(#REF!,#REF!)))</f>
        <v/>
      </c>
      <c r="AN15" s="50" t="b">
        <f t="shared" si="18"/>
        <v>0</v>
      </c>
      <c r="AO15" s="49" t="str">
        <f t="shared" si="19"/>
        <v>K5-LAW</v>
      </c>
      <c r="AP15" s="72" t="str">
        <f>_xlfn.IFS(B15="","",AND(AO15="K5-LAW",AL15="นิติศาสตร์",K15="S2",Y15="",AE15=""),R15,AND(AO15="K5-LAW",AL15="นิติศาสตร์",K15="S1",Y15="",AE15=""),EDATE(R15,12),AND(AO15="K5-LAW",AL15="นิติศาสตร์",OR(K15="M2",K15="K4"),Y15="",AE15=""),EDATE(R15,12*2),AND(AO15="K5-LAW",AL15="นิติศาสตร์",OR(AE15="M2",AE15="K4"),AH15&gt;=2,OR(AG15&lt;AA15,AG15&lt;R15)),EDATE(AG15,12*2),AND(AO15="K5-LAW",AL15="นิติศาสตร์",AE15="S1",AH15&gt;=1,OR(AG15&lt;AA15,AG15&lt;R15)),EDATE(AG15,12),AND(AO15="K5-LAW",AL15="นิติศาสตร์",OR(Y15="M2",Y15="K4"),AB15&gt;=2,AA15&lt;R15),EDATE(AA15,12*2),AND(AO15="K5-LAW",AL15="นิติศาสตร์",Y15="S1",AB15&gt;=1,AA15&lt;R15),EDATE(AA15,12),AND(AO15="K5-LAW",AL15="นิติศาสตร์",OR(Y15="S2",Y15="K5")),AA15,AND(AO15="K5-LAW",AL15="นิติศาสตร์",OR(K15="M2",K15="K4"),U15&gt;=2),EDATE(R15,12*2),AND(AO15="K5-LAW",AL15="นิติศาสตร์",K15="S1",U15&gt;=1),EDATE(R15,12),AND(AO15="K5-LAW",AL15="นิติศาสตร์",OR(K15="S2",K15="K5")),R15,AND(AO15="K5-POLICY",AL15&lt;&gt;"นิติศาสตร์",K15="S2",Y15="",AE15=""),R15,AND(AO15="K5-POLICY",AL15&lt;&gt;"นิติศาสตร์",K15="S1",Y15="",AE15=""),EDATE(R15,12),AND(AO15="K5-POLICY",AL15&lt;&gt;"นิติศาสตร์",OR(K15="M2",K15="K4"),Y15="",AE15=""),EDATE(R15,12*2),AND(AO15="K5-POLICY",AL15&lt;&gt;"นิติศาสตร์",OR(AE15="M2",AE15="K4"),AH15&gt;=2,OR(AG15&lt;AA15,AG15&lt;R15)),EDATE(AG15,12*2),AND(AO15="K5-POLICY",AL15&lt;&gt;"นิติศาสตร์",AE15="S1",AH15&gt;=1,OR(AG15&lt;AA15,AG15&lt;R15)),EDATE(AG15,12),AND(AO15="K5-POLICY",AL15&lt;&gt;"นิติศาสตร์",OR(Y15="M2",Y15="K4"),AB15&gt;=2,AA15&lt;R15),EDATE(AA15,12*2),AND(AO15="K5-POLICY",AL15&lt;&gt;"นิติศาสตร์",Y15="S1",AB15&gt;=1,AA15&lt;R15),EDATE(AA15,12),AND(AO15="K5-POLICY",AL15&lt;&gt;"นิติศาสตร์",OR(Y15="S2",Y15="K5")),AA15,AND(AO15="K5-POLICY",AL15&lt;&gt;"นิติศาสตร์",OR(K15="M2",K15="K4"),U15&gt;=2),EDATE(R15,12*2),AND(AO15="K5-POLICY",AL15&lt;&gt;"นิติศาสตร์",K15="S1",U15&gt;=1),EDATE(R15,12),AND(AO15="K5-POLICY",AL15&lt;&gt;"นิติศาสตร์",OR(K15="S2",K15="K5")),R15,TRUE,"Check Data")</f>
        <v/>
      </c>
      <c r="AQ15" s="75" t="str">
        <f t="shared" si="20"/>
        <v>Check Data</v>
      </c>
      <c r="AR15" s="76" t="str">
        <f t="shared" si="21"/>
        <v>Check Data</v>
      </c>
      <c r="AS15" s="50" t="str">
        <f t="shared" si="22"/>
        <v>Check Data</v>
      </c>
      <c r="AT15" s="49" t="str">
        <f>IF(B15="","",IF(K15="S1","S1",INDEX(#REF!,#REF!)))</f>
        <v/>
      </c>
      <c r="AU15" s="49" t="str">
        <f t="shared" si="23"/>
        <v>S1</v>
      </c>
      <c r="AV15" s="50" t="b">
        <f t="shared" si="24"/>
        <v>0</v>
      </c>
      <c r="AW15" s="50"/>
    </row>
    <row r="16" spans="1:49" ht="21.75">
      <c r="A16" s="49">
        <v>14</v>
      </c>
      <c r="B16" s="50"/>
      <c r="C16" s="51"/>
      <c r="D16" s="50" t="s">
        <v>34</v>
      </c>
      <c r="E16" s="49" t="s">
        <v>204</v>
      </c>
      <c r="F16" s="49" t="str">
        <f t="shared" si="0"/>
        <v>23/12/1997</v>
      </c>
      <c r="G16" s="50">
        <f t="shared" si="1"/>
        <v>27</v>
      </c>
      <c r="H16" s="50">
        <f t="shared" si="2"/>
        <v>5</v>
      </c>
      <c r="I16" s="50">
        <f t="shared" si="3"/>
        <v>28</v>
      </c>
      <c r="J16" s="50" t="s">
        <v>153</v>
      </c>
      <c r="K16" s="49" t="s">
        <v>135</v>
      </c>
      <c r="L16" s="49" t="str">
        <f>IF(B16="","",IF(K16="S1",K16,INDEX(#REF!,#REF!)))</f>
        <v/>
      </c>
      <c r="M16" s="49" t="b">
        <f t="shared" si="4"/>
        <v>0</v>
      </c>
      <c r="N16" s="64"/>
      <c r="O16" s="49" t="s">
        <v>425</v>
      </c>
      <c r="P16" s="49" t="s">
        <v>493</v>
      </c>
      <c r="Q16" s="65" t="s">
        <v>184</v>
      </c>
      <c r="R16" s="49" t="str">
        <f t="shared" si="5"/>
        <v>24/07/2023</v>
      </c>
      <c r="S16" s="49" t="str">
        <f>IF(B16="","",IF(K16="S1",K16,INDEX(#REF!,#REF!)))</f>
        <v/>
      </c>
      <c r="T16" s="49" t="b">
        <f t="shared" si="6"/>
        <v>0</v>
      </c>
      <c r="U16" s="68">
        <f t="shared" si="7"/>
        <v>1</v>
      </c>
      <c r="V16" s="68">
        <f t="shared" si="8"/>
        <v>10</v>
      </c>
      <c r="W16" s="68">
        <f t="shared" si="9"/>
        <v>27</v>
      </c>
      <c r="X16" s="69" t="s">
        <v>494</v>
      </c>
      <c r="Y16" s="65" t="s">
        <v>136</v>
      </c>
      <c r="Z16" s="65" t="s">
        <v>205</v>
      </c>
      <c r="AA16" s="49" t="str">
        <f t="shared" si="10"/>
        <v>26/10/2016</v>
      </c>
      <c r="AB16" s="68">
        <f t="shared" si="11"/>
        <v>6</v>
      </c>
      <c r="AC16" s="68">
        <f t="shared" si="12"/>
        <v>8</v>
      </c>
      <c r="AD16" s="68">
        <f t="shared" si="13"/>
        <v>28</v>
      </c>
      <c r="AE16" s="69" t="s">
        <v>88</v>
      </c>
      <c r="AF16" s="65" t="s">
        <v>495</v>
      </c>
      <c r="AG16" s="50" t="str">
        <f t="shared" si="14"/>
        <v>12/11/2010</v>
      </c>
      <c r="AH16" s="68">
        <f t="shared" si="15"/>
        <v>5</v>
      </c>
      <c r="AI16" s="68">
        <f t="shared" si="16"/>
        <v>11</v>
      </c>
      <c r="AJ16" s="68">
        <f t="shared" si="17"/>
        <v>14</v>
      </c>
      <c r="AK16" s="50"/>
      <c r="AL16" s="50" t="s">
        <v>138</v>
      </c>
      <c r="AM16" s="50" t="str">
        <f>IF(B16="","",IF(K16="S1",K16,INDEX(#REF!,#REF!)))</f>
        <v/>
      </c>
      <c r="AN16" s="50" t="b">
        <f t="shared" si="18"/>
        <v>0</v>
      </c>
      <c r="AO16" s="49" t="str">
        <f t="shared" si="19"/>
        <v>K5-LAW</v>
      </c>
      <c r="AP16" s="72" t="str">
        <f>_xlfn.IFS(B16="","",AND(AO16="K5-LAW",AL16="นิติศาสตร์",K16="S2",Y16="",AE16=""),R16,AND(AO16="K5-LAW",AL16="นิติศาสตร์",K16="S1",Y16="",AE16=""),EDATE(R16,12),AND(AO16="K5-LAW",AL16="นิติศาสตร์",OR(K16="M2",K16="K4"),Y16="",AE16=""),EDATE(R16,12*2),AND(AO16="K5-LAW",AL16="นิติศาสตร์",OR(AE16="M2",AE16="K4"),AH16&gt;=2,OR(AG16&lt;AA16,AG16&lt;R16)),EDATE(AG16,12*2),AND(AO16="K5-LAW",AL16="นิติศาสตร์",AE16="S1",AH16&gt;=1,OR(AG16&lt;AA16,AG16&lt;R16)),EDATE(AG16,12),AND(AO16="K5-LAW",AL16="นิติศาสตร์",OR(Y16="M2",Y16="K4"),AB16&gt;=2,AA16&lt;R16),EDATE(AA16,12*2),AND(AO16="K5-LAW",AL16="นิติศาสตร์",Y16="S1",AB16&gt;=1,AA16&lt;R16),EDATE(AA16,12),AND(AO16="K5-LAW",AL16="นิติศาสตร์",OR(Y16="S2",Y16="K5")),AA16,AND(AO16="K5-LAW",AL16="นิติศาสตร์",OR(K16="M2",K16="K4"),U16&gt;=2),EDATE(R16,12*2),AND(AO16="K5-LAW",AL16="นิติศาสตร์",K16="S1",U16&gt;=1),EDATE(R16,12),AND(AO16="K5-LAW",AL16="นิติศาสตร์",OR(K16="S2",K16="K5")),R16,AND(AO16="K5-POLICY",AL16&lt;&gt;"นิติศาสตร์",K16="S2",Y16="",AE16=""),R16,AND(AO16="K5-POLICY",AL16&lt;&gt;"นิติศาสตร์",K16="S1",Y16="",AE16=""),EDATE(R16,12),AND(AO16="K5-POLICY",AL16&lt;&gt;"นิติศาสตร์",OR(K16="M2",K16="K4"),Y16="",AE16=""),EDATE(R16,12*2),AND(AO16="K5-POLICY",AL16&lt;&gt;"นิติศาสตร์",OR(AE16="M2",AE16="K4"),AH16&gt;=2,OR(AG16&lt;AA16,AG16&lt;R16)),EDATE(AG16,12*2),AND(AO16="K5-POLICY",AL16&lt;&gt;"นิติศาสตร์",AE16="S1",AH16&gt;=1,OR(AG16&lt;AA16,AG16&lt;R16)),EDATE(AG16,12),AND(AO16="K5-POLICY",AL16&lt;&gt;"นิติศาสตร์",OR(Y16="M2",Y16="K4"),AB16&gt;=2,AA16&lt;R16),EDATE(AA16,12*2),AND(AO16="K5-POLICY",AL16&lt;&gt;"นิติศาสตร์",Y16="S1",AB16&gt;=1,AA16&lt;R16),EDATE(AA16,12),AND(AO16="K5-POLICY",AL16&lt;&gt;"นิติศาสตร์",OR(Y16="S2",Y16="K5")),AA16,AND(AO16="K5-POLICY",AL16&lt;&gt;"นิติศาสตร์",OR(K16="M2",K16="K4"),U16&gt;=2),EDATE(R16,12*2),AND(AO16="K5-POLICY",AL16&lt;&gt;"นิติศาสตร์",K16="S1",U16&gt;=1),EDATE(R16,12),AND(AO16="K5-POLICY",AL16&lt;&gt;"นิติศาสตร์",OR(K16="S2",K16="K5")),R16,TRUE,"Check Data")</f>
        <v/>
      </c>
      <c r="AQ16" s="75" t="str">
        <f t="shared" si="20"/>
        <v>Check Data</v>
      </c>
      <c r="AR16" s="76" t="str">
        <f t="shared" si="21"/>
        <v>Check Data</v>
      </c>
      <c r="AS16" s="50" t="str">
        <f t="shared" si="22"/>
        <v>Check Data</v>
      </c>
      <c r="AT16" s="49" t="str">
        <f>IF(B16="","",IF(K16="S1","S1",INDEX(#REF!,#REF!)))</f>
        <v/>
      </c>
      <c r="AU16" s="49" t="str">
        <f t="shared" si="23"/>
        <v>S1</v>
      </c>
      <c r="AV16" s="50" t="b">
        <f t="shared" si="24"/>
        <v>0</v>
      </c>
      <c r="AW16" s="50"/>
    </row>
    <row r="17" spans="1:49" ht="21.75">
      <c r="A17" s="49">
        <v>15</v>
      </c>
      <c r="B17" s="50"/>
      <c r="C17" s="50"/>
      <c r="D17" s="50" t="s">
        <v>142</v>
      </c>
      <c r="E17" s="49" t="s">
        <v>424</v>
      </c>
      <c r="F17" s="49" t="str">
        <f t="shared" si="0"/>
        <v>26/10/1995</v>
      </c>
      <c r="G17" s="50">
        <f t="shared" si="1"/>
        <v>29</v>
      </c>
      <c r="H17" s="50">
        <f t="shared" si="2"/>
        <v>7</v>
      </c>
      <c r="I17" s="50">
        <f t="shared" si="3"/>
        <v>25</v>
      </c>
      <c r="J17" s="50" t="s">
        <v>157</v>
      </c>
      <c r="K17" s="49" t="s">
        <v>135</v>
      </c>
      <c r="L17" s="49" t="str">
        <f>IF(B17="","",IF(K17="S1",K17,INDEX(#REF!,#REF!)))</f>
        <v/>
      </c>
      <c r="M17" s="49" t="b">
        <f t="shared" si="4"/>
        <v>0</v>
      </c>
      <c r="N17" s="64"/>
      <c r="O17" s="49"/>
      <c r="P17" s="49">
        <v>2571</v>
      </c>
      <c r="Q17" s="65" t="s">
        <v>496</v>
      </c>
      <c r="R17" s="49" t="str">
        <f t="shared" si="5"/>
        <v>26/07/2024</v>
      </c>
      <c r="S17" s="49" t="str">
        <f>IF(B17="","",IF(K17="S1",K17,INDEX(#REF!,#REF!)))</f>
        <v/>
      </c>
      <c r="T17" s="49" t="b">
        <f t="shared" si="6"/>
        <v>0</v>
      </c>
      <c r="U17" s="68">
        <f t="shared" si="7"/>
        <v>0</v>
      </c>
      <c r="V17" s="68">
        <f t="shared" si="8"/>
        <v>10</v>
      </c>
      <c r="W17" s="68">
        <f t="shared" si="9"/>
        <v>25</v>
      </c>
      <c r="X17" s="49" t="s">
        <v>497</v>
      </c>
      <c r="Y17" s="65" t="s">
        <v>136</v>
      </c>
      <c r="Z17" s="65" t="s">
        <v>270</v>
      </c>
      <c r="AA17" s="49" t="str">
        <f t="shared" si="10"/>
        <v>15/08/2012</v>
      </c>
      <c r="AB17" s="68">
        <f t="shared" si="11"/>
        <v>11</v>
      </c>
      <c r="AC17" s="68">
        <f t="shared" si="12"/>
        <v>11</v>
      </c>
      <c r="AD17" s="68">
        <f t="shared" si="13"/>
        <v>11</v>
      </c>
      <c r="AE17" s="49"/>
      <c r="AF17" s="65"/>
      <c r="AG17" s="50" t="str">
        <f t="shared" si="14"/>
        <v/>
      </c>
      <c r="AH17" s="68">
        <f t="shared" si="15"/>
        <v>0</v>
      </c>
      <c r="AI17" s="68">
        <f t="shared" si="16"/>
        <v>0</v>
      </c>
      <c r="AJ17" s="68">
        <f t="shared" si="17"/>
        <v>0</v>
      </c>
      <c r="AK17" s="50"/>
      <c r="AL17" s="50" t="s">
        <v>138</v>
      </c>
      <c r="AM17" s="50" t="str">
        <f>IF(B17="","",IF(K17="S1",K17,INDEX(#REF!,#REF!)))</f>
        <v/>
      </c>
      <c r="AN17" s="50" t="b">
        <f t="shared" si="18"/>
        <v>0</v>
      </c>
      <c r="AO17" s="49" t="str">
        <f t="shared" si="19"/>
        <v>K5-LAW</v>
      </c>
      <c r="AP17" s="72" t="str">
        <f>_xlfn.IFS(B17="","",AND(AO17="K5-LAW",AL17="นิติศาสตร์",K17="S2",Y17="",AE17=""),R17,AND(AO17="K5-LAW",AL17="นิติศาสตร์",K17="S1",Y17="",AE17=""),EDATE(R17,12),AND(AO17="K5-LAW",AL17="นิติศาสตร์",OR(K17="M2",K17="K4"),Y17="",AE17=""),EDATE(R17,12*2),AND(AO17="K5-LAW",AL17="นิติศาสตร์",OR(AE17="M2",AE17="K4"),AH17&gt;=2,OR(AG17&lt;AA17,AG17&lt;R17)),EDATE(AG17,12*2),AND(AO17="K5-LAW",AL17="นิติศาสตร์",AE17="S1",AH17&gt;=1,OR(AG17&lt;AA17,AG17&lt;R17)),EDATE(AG17,12),AND(AO17="K5-LAW",AL17="นิติศาสตร์",OR(Y17="M2",Y17="K4"),AB17&gt;=2,AA17&lt;R17),EDATE(AA17,12*2),AND(AO17="K5-LAW",AL17="นิติศาสตร์",Y17="S1",AB17&gt;=1,AA17&lt;R17),EDATE(AA17,12),AND(AO17="K5-LAW",AL17="นิติศาสตร์",OR(Y17="S2",Y17="K5")),AA17,AND(AO17="K5-LAW",AL17="นิติศาสตร์",OR(K17="M2",K17="K4"),U17&gt;=2),EDATE(R17,12*2),AND(AO17="K5-LAW",AL17="นิติศาสตร์",K17="S1",U17&gt;=1),EDATE(R17,12),AND(AO17="K5-LAW",AL17="นิติศาสตร์",OR(K17="S2",K17="K5")),R17,AND(AO17="K5-POLICY",AL17&lt;&gt;"นิติศาสตร์",K17="S2",Y17="",AE17=""),R17,AND(AO17="K5-POLICY",AL17&lt;&gt;"นิติศาสตร์",K17="S1",Y17="",AE17=""),EDATE(R17,12),AND(AO17="K5-POLICY",AL17&lt;&gt;"นิติศาสตร์",OR(K17="M2",K17="K4"),Y17="",AE17=""),EDATE(R17,12*2),AND(AO17="K5-POLICY",AL17&lt;&gt;"นิติศาสตร์",OR(AE17="M2",AE17="K4"),AH17&gt;=2,OR(AG17&lt;AA17,AG17&lt;R17)),EDATE(AG17,12*2),AND(AO17="K5-POLICY",AL17&lt;&gt;"นิติศาสตร์",AE17="S1",AH17&gt;=1,OR(AG17&lt;AA17,AG17&lt;R17)),EDATE(AG17,12),AND(AO17="K5-POLICY",AL17&lt;&gt;"นิติศาสตร์",OR(Y17="M2",Y17="K4"),AB17&gt;=2,AA17&lt;R17),EDATE(AA17,12*2),AND(AO17="K5-POLICY",AL17&lt;&gt;"นิติศาสตร์",Y17="S1",AB17&gt;=1,AA17&lt;R17),EDATE(AA17,12),AND(AO17="K5-POLICY",AL17&lt;&gt;"นิติศาสตร์",OR(Y17="S2",Y17="K5")),AA17,AND(AO17="K5-POLICY",AL17&lt;&gt;"นิติศาสตร์",OR(K17="M2",K17="K4"),U17&gt;=2),EDATE(R17,12*2),AND(AO17="K5-POLICY",AL17&lt;&gt;"นิติศาสตร์",K17="S1",U17&gt;=1),EDATE(R17,12),AND(AO17="K5-POLICY",AL17&lt;&gt;"นิติศาสตร์",OR(K17="S2",K17="K5")),R17,TRUE,"Check Data")</f>
        <v/>
      </c>
      <c r="AQ17" s="75" t="str">
        <f t="shared" si="20"/>
        <v>Check Data</v>
      </c>
      <c r="AR17" s="76" t="str">
        <f t="shared" si="21"/>
        <v>Check Data</v>
      </c>
      <c r="AS17" s="50" t="str">
        <f t="shared" si="22"/>
        <v>Check Data</v>
      </c>
      <c r="AT17" s="49" t="str">
        <f>IF(B17="","",IF(K17="S1","S1",INDEX(#REF!,#REF!)))</f>
        <v/>
      </c>
      <c r="AU17" s="49" t="str">
        <f t="shared" si="23"/>
        <v>S1</v>
      </c>
      <c r="AV17" s="50" t="b">
        <f t="shared" si="24"/>
        <v>0</v>
      </c>
      <c r="AW17" s="50"/>
    </row>
    <row r="18" spans="1:49" ht="21.75">
      <c r="A18" s="49">
        <v>16</v>
      </c>
      <c r="B18" s="50"/>
      <c r="C18" s="50"/>
      <c r="D18" s="50" t="s">
        <v>141</v>
      </c>
      <c r="E18" s="49" t="s">
        <v>176</v>
      </c>
      <c r="F18" s="49" t="str">
        <f t="shared" si="0"/>
        <v>01/03/1990</v>
      </c>
      <c r="G18" s="50">
        <f t="shared" si="1"/>
        <v>35</v>
      </c>
      <c r="H18" s="50">
        <f t="shared" si="2"/>
        <v>3</v>
      </c>
      <c r="I18" s="50">
        <f t="shared" si="3"/>
        <v>19</v>
      </c>
      <c r="J18" s="50" t="s">
        <v>156</v>
      </c>
      <c r="K18" s="49" t="s">
        <v>135</v>
      </c>
      <c r="L18" s="49" t="str">
        <f>IF(B18="","",IF(K18="S1",K18,INDEX(#REF!,#REF!)))</f>
        <v/>
      </c>
      <c r="M18" s="49" t="b">
        <f t="shared" si="4"/>
        <v>0</v>
      </c>
      <c r="N18" s="64"/>
      <c r="O18" s="49"/>
      <c r="P18" s="49">
        <v>2569</v>
      </c>
      <c r="Q18" s="65" t="s">
        <v>496</v>
      </c>
      <c r="R18" s="49" t="str">
        <f t="shared" si="5"/>
        <v>26/07/2024</v>
      </c>
      <c r="S18" s="49" t="str">
        <f>IF(B18="","",IF(K18="S1",K18,INDEX(#REF!,#REF!)))</f>
        <v/>
      </c>
      <c r="T18" s="49" t="b">
        <f t="shared" si="6"/>
        <v>0</v>
      </c>
      <c r="U18" s="68">
        <f t="shared" si="7"/>
        <v>0</v>
      </c>
      <c r="V18" s="68">
        <f t="shared" si="8"/>
        <v>10</v>
      </c>
      <c r="W18" s="68">
        <f t="shared" si="9"/>
        <v>25</v>
      </c>
      <c r="X18" s="49" t="s">
        <v>498</v>
      </c>
      <c r="Y18" s="65" t="s">
        <v>136</v>
      </c>
      <c r="Z18" s="65" t="s">
        <v>242</v>
      </c>
      <c r="AA18" s="49" t="str">
        <f t="shared" si="10"/>
        <v>20/04/2018</v>
      </c>
      <c r="AB18" s="68">
        <f t="shared" si="11"/>
        <v>6</v>
      </c>
      <c r="AC18" s="68">
        <f t="shared" si="12"/>
        <v>3</v>
      </c>
      <c r="AD18" s="68">
        <f t="shared" si="13"/>
        <v>6</v>
      </c>
      <c r="AE18" s="49"/>
      <c r="AF18" s="65"/>
      <c r="AG18" s="50" t="str">
        <f t="shared" si="14"/>
        <v/>
      </c>
      <c r="AH18" s="68">
        <f t="shared" si="15"/>
        <v>0</v>
      </c>
      <c r="AI18" s="68">
        <f t="shared" si="16"/>
        <v>0</v>
      </c>
      <c r="AJ18" s="68">
        <f t="shared" si="17"/>
        <v>0</v>
      </c>
      <c r="AK18" s="50"/>
      <c r="AL18" s="50" t="s">
        <v>138</v>
      </c>
      <c r="AM18" s="50" t="str">
        <f>IF(B18="","",IF(K18="S1",K18,INDEX(#REF!,#REF!)))</f>
        <v/>
      </c>
      <c r="AN18" s="50" t="b">
        <f t="shared" si="18"/>
        <v>0</v>
      </c>
      <c r="AO18" s="49" t="str">
        <f t="shared" si="19"/>
        <v>K5-LAW</v>
      </c>
      <c r="AP18" s="72" t="str">
        <f>_xlfn.IFS(B18="","",AND(AO18="K5-LAW",AL18="นิติศาสตร์",K18="S2",Y18="",AE18=""),R18,AND(AO18="K5-LAW",AL18="นิติศาสตร์",K18="S1",Y18="",AE18=""),EDATE(R18,12),AND(AO18="K5-LAW",AL18="นิติศาสตร์",OR(K18="M2",K18="K4"),Y18="",AE18=""),EDATE(R18,12*2),AND(AO18="K5-LAW",AL18="นิติศาสตร์",OR(AE18="M2",AE18="K4"),AH18&gt;=2,OR(AG18&lt;AA18,AG18&lt;R18)),EDATE(AG18,12*2),AND(AO18="K5-LAW",AL18="นิติศาสตร์",AE18="S1",AH18&gt;=1,OR(AG18&lt;AA18,AG18&lt;R18)),EDATE(AG18,12),AND(AO18="K5-LAW",AL18="นิติศาสตร์",OR(Y18="M2",Y18="K4"),AB18&gt;=2,AA18&lt;R18),EDATE(AA18,12*2),AND(AO18="K5-LAW",AL18="นิติศาสตร์",Y18="S1",AB18&gt;=1,AA18&lt;R18),EDATE(AA18,12),AND(AO18="K5-LAW",AL18="นิติศาสตร์",OR(Y18="S2",Y18="K5")),AA18,AND(AO18="K5-LAW",AL18="นิติศาสตร์",OR(K18="M2",K18="K4"),U18&gt;=2),EDATE(R18,12*2),AND(AO18="K5-LAW",AL18="นิติศาสตร์",K18="S1",U18&gt;=1),EDATE(R18,12),AND(AO18="K5-LAW",AL18="นิติศาสตร์",OR(K18="S2",K18="K5")),R18,AND(AO18="K5-POLICY",AL18&lt;&gt;"นิติศาสตร์",K18="S2",Y18="",AE18=""),R18,AND(AO18="K5-POLICY",AL18&lt;&gt;"นิติศาสตร์",K18="S1",Y18="",AE18=""),EDATE(R18,12),AND(AO18="K5-POLICY",AL18&lt;&gt;"นิติศาสตร์",OR(K18="M2",K18="K4"),Y18="",AE18=""),EDATE(R18,12*2),AND(AO18="K5-POLICY",AL18&lt;&gt;"นิติศาสตร์",OR(AE18="M2",AE18="K4"),AH18&gt;=2,OR(AG18&lt;AA18,AG18&lt;R18)),EDATE(AG18,12*2),AND(AO18="K5-POLICY",AL18&lt;&gt;"นิติศาสตร์",AE18="S1",AH18&gt;=1,OR(AG18&lt;AA18,AG18&lt;R18)),EDATE(AG18,12),AND(AO18="K5-POLICY",AL18&lt;&gt;"นิติศาสตร์",OR(Y18="M2",Y18="K4"),AB18&gt;=2,AA18&lt;R18),EDATE(AA18,12*2),AND(AO18="K5-POLICY",AL18&lt;&gt;"นิติศาสตร์",Y18="S1",AB18&gt;=1,AA18&lt;R18),EDATE(AA18,12),AND(AO18="K5-POLICY",AL18&lt;&gt;"นิติศาสตร์",OR(Y18="S2",Y18="K5")),AA18,AND(AO18="K5-POLICY",AL18&lt;&gt;"นิติศาสตร์",OR(K18="M2",K18="K4"),U18&gt;=2),EDATE(R18,12*2),AND(AO18="K5-POLICY",AL18&lt;&gt;"นิติศาสตร์",K18="S1",U18&gt;=1),EDATE(R18,12),AND(AO18="K5-POLICY",AL18&lt;&gt;"นิติศาสตร์",OR(K18="S2",K18="K5")),R18,TRUE,"Check Data")</f>
        <v/>
      </c>
      <c r="AQ18" s="75" t="str">
        <f t="shared" si="20"/>
        <v>Check Data</v>
      </c>
      <c r="AR18" s="76" t="str">
        <f t="shared" si="21"/>
        <v>Check Data</v>
      </c>
      <c r="AS18" s="50" t="str">
        <f t="shared" si="22"/>
        <v>Check Data</v>
      </c>
      <c r="AT18" s="49" t="str">
        <f>IF(B18="","",IF(K18="S1","S1",INDEX(#REF!,#REF!)))</f>
        <v/>
      </c>
      <c r="AU18" s="49" t="str">
        <f t="shared" si="23"/>
        <v>S1</v>
      </c>
      <c r="AV18" s="50" t="b">
        <f t="shared" si="24"/>
        <v>0</v>
      </c>
      <c r="AW18" s="50"/>
    </row>
    <row r="19" spans="1:49" ht="21.75">
      <c r="A19" s="49">
        <v>17</v>
      </c>
      <c r="B19" s="50"/>
      <c r="C19" s="50"/>
      <c r="D19" s="50" t="s">
        <v>141</v>
      </c>
      <c r="E19" s="49" t="s">
        <v>208</v>
      </c>
      <c r="F19" s="49" t="str">
        <f t="shared" si="0"/>
        <v>01/02/1990</v>
      </c>
      <c r="G19" s="50">
        <f t="shared" si="1"/>
        <v>35</v>
      </c>
      <c r="H19" s="50">
        <f t="shared" si="2"/>
        <v>4</v>
      </c>
      <c r="I19" s="50">
        <f t="shared" si="3"/>
        <v>19</v>
      </c>
      <c r="J19" s="50" t="s">
        <v>156</v>
      </c>
      <c r="K19" s="49" t="s">
        <v>135</v>
      </c>
      <c r="L19" s="49" t="str">
        <f>IF(B19="","",IF(K19="S1",K19,INDEX(#REF!,#REF!)))</f>
        <v/>
      </c>
      <c r="M19" s="49" t="b">
        <f t="shared" si="4"/>
        <v>0</v>
      </c>
      <c r="N19" s="64"/>
      <c r="O19" s="49"/>
      <c r="P19" s="49">
        <v>2569</v>
      </c>
      <c r="Q19" s="65" t="s">
        <v>496</v>
      </c>
      <c r="R19" s="49" t="str">
        <f t="shared" si="5"/>
        <v>26/07/2024</v>
      </c>
      <c r="S19" s="49" t="str">
        <f>IF(B19="","",IF(K19="S1",K19,INDEX(#REF!,#REF!)))</f>
        <v/>
      </c>
      <c r="T19" s="49" t="b">
        <f t="shared" si="6"/>
        <v>0</v>
      </c>
      <c r="U19" s="68">
        <f t="shared" si="7"/>
        <v>0</v>
      </c>
      <c r="V19" s="68">
        <f t="shared" si="8"/>
        <v>10</v>
      </c>
      <c r="W19" s="68">
        <f t="shared" si="9"/>
        <v>25</v>
      </c>
      <c r="X19" s="49" t="s">
        <v>498</v>
      </c>
      <c r="Y19" s="65" t="s">
        <v>136</v>
      </c>
      <c r="Z19" s="65" t="s">
        <v>242</v>
      </c>
      <c r="AA19" s="49" t="str">
        <f t="shared" si="10"/>
        <v>20/04/2018</v>
      </c>
      <c r="AB19" s="68">
        <f t="shared" si="11"/>
        <v>6</v>
      </c>
      <c r="AC19" s="68">
        <f t="shared" si="12"/>
        <v>3</v>
      </c>
      <c r="AD19" s="68">
        <f t="shared" si="13"/>
        <v>6</v>
      </c>
      <c r="AE19" s="49"/>
      <c r="AF19" s="65"/>
      <c r="AG19" s="50" t="str">
        <f t="shared" si="14"/>
        <v/>
      </c>
      <c r="AH19" s="68">
        <f t="shared" si="15"/>
        <v>0</v>
      </c>
      <c r="AI19" s="68">
        <f t="shared" si="16"/>
        <v>0</v>
      </c>
      <c r="AJ19" s="68">
        <f t="shared" si="17"/>
        <v>0</v>
      </c>
      <c r="AK19" s="50"/>
      <c r="AL19" s="50" t="s">
        <v>138</v>
      </c>
      <c r="AM19" s="50" t="str">
        <f>IF(B19="","",IF(K19="S1",K19,INDEX(#REF!,#REF!)))</f>
        <v/>
      </c>
      <c r="AN19" s="50" t="b">
        <f t="shared" si="18"/>
        <v>0</v>
      </c>
      <c r="AO19" s="49" t="str">
        <f t="shared" si="19"/>
        <v>K5-LAW</v>
      </c>
      <c r="AP19" s="72" t="str">
        <f>_xlfn.IFS(B19="","",AND(AO19="K5-LAW",AL19="นิติศาสตร์",K19="S2",Y19="",AE19=""),R19,AND(AO19="K5-LAW",AL19="นิติศาสตร์",K19="S1",Y19="",AE19=""),EDATE(R19,12),AND(AO19="K5-LAW",AL19="นิติศาสตร์",OR(K19="M2",K19="K4"),Y19="",AE19=""),EDATE(R19,12*2),AND(AO19="K5-LAW",AL19="นิติศาสตร์",OR(AE19="M2",AE19="K4"),AH19&gt;=2,OR(AG19&lt;AA19,AG19&lt;R19)),EDATE(AG19,12*2),AND(AO19="K5-LAW",AL19="นิติศาสตร์",AE19="S1",AH19&gt;=1,OR(AG19&lt;AA19,AG19&lt;R19)),EDATE(AG19,12),AND(AO19="K5-LAW",AL19="นิติศาสตร์",OR(Y19="M2",Y19="K4"),AB19&gt;=2,AA19&lt;R19),EDATE(AA19,12*2),AND(AO19="K5-LAW",AL19="นิติศาสตร์",Y19="S1",AB19&gt;=1,AA19&lt;R19),EDATE(AA19,12),AND(AO19="K5-LAW",AL19="นิติศาสตร์",OR(Y19="S2",Y19="K5")),AA19,AND(AO19="K5-LAW",AL19="นิติศาสตร์",OR(K19="M2",K19="K4"),U19&gt;=2),EDATE(R19,12*2),AND(AO19="K5-LAW",AL19="นิติศาสตร์",K19="S1",U19&gt;=1),EDATE(R19,12),AND(AO19="K5-LAW",AL19="นิติศาสตร์",OR(K19="S2",K19="K5")),R19,AND(AO19="K5-POLICY",AL19&lt;&gt;"นิติศาสตร์",K19="S2",Y19="",AE19=""),R19,AND(AO19="K5-POLICY",AL19&lt;&gt;"นิติศาสตร์",K19="S1",Y19="",AE19=""),EDATE(R19,12),AND(AO19="K5-POLICY",AL19&lt;&gt;"นิติศาสตร์",OR(K19="M2",K19="K4"),Y19="",AE19=""),EDATE(R19,12*2),AND(AO19="K5-POLICY",AL19&lt;&gt;"นิติศาสตร์",OR(AE19="M2",AE19="K4"),AH19&gt;=2,OR(AG19&lt;AA19,AG19&lt;R19)),EDATE(AG19,12*2),AND(AO19="K5-POLICY",AL19&lt;&gt;"นิติศาสตร์",AE19="S1",AH19&gt;=1,OR(AG19&lt;AA19,AG19&lt;R19)),EDATE(AG19,12),AND(AO19="K5-POLICY",AL19&lt;&gt;"นิติศาสตร์",OR(Y19="M2",Y19="K4"),AB19&gt;=2,AA19&lt;R19),EDATE(AA19,12*2),AND(AO19="K5-POLICY",AL19&lt;&gt;"นิติศาสตร์",Y19="S1",AB19&gt;=1,AA19&lt;R19),EDATE(AA19,12),AND(AO19="K5-POLICY",AL19&lt;&gt;"นิติศาสตร์",OR(Y19="S2",Y19="K5")),AA19,AND(AO19="K5-POLICY",AL19&lt;&gt;"นิติศาสตร์",OR(K19="M2",K19="K4"),U19&gt;=2),EDATE(R19,12*2),AND(AO19="K5-POLICY",AL19&lt;&gt;"นิติศาสตร์",K19="S1",U19&gt;=1),EDATE(R19,12),AND(AO19="K5-POLICY",AL19&lt;&gt;"นิติศาสตร์",OR(K19="S2",K19="K5")),R19,TRUE,"Check Data")</f>
        <v/>
      </c>
      <c r="AQ19" s="75" t="str">
        <f t="shared" si="20"/>
        <v>Check Data</v>
      </c>
      <c r="AR19" s="76" t="str">
        <f t="shared" si="21"/>
        <v>Check Data</v>
      </c>
      <c r="AS19" s="50" t="str">
        <f t="shared" si="22"/>
        <v>Check Data</v>
      </c>
      <c r="AT19" s="49" t="str">
        <f>IF(B19="","",IF(K19="S1","S1",INDEX(#REF!,#REF!)))</f>
        <v/>
      </c>
      <c r="AU19" s="49" t="str">
        <f t="shared" si="23"/>
        <v>S1</v>
      </c>
      <c r="AV19" s="50" t="b">
        <f t="shared" si="24"/>
        <v>0</v>
      </c>
      <c r="AW19" s="50"/>
    </row>
    <row r="20" spans="1:49" ht="21.75">
      <c r="A20" s="49">
        <v>18</v>
      </c>
      <c r="B20" s="50"/>
      <c r="C20" s="50"/>
      <c r="D20" s="50" t="s">
        <v>139</v>
      </c>
      <c r="E20" s="49" t="s">
        <v>217</v>
      </c>
      <c r="F20" s="49" t="str">
        <f t="shared" si="0"/>
        <v>02/01/1990</v>
      </c>
      <c r="G20" s="50">
        <f t="shared" si="1"/>
        <v>35</v>
      </c>
      <c r="H20" s="50">
        <f t="shared" si="2"/>
        <v>5</v>
      </c>
      <c r="I20" s="50">
        <f t="shared" si="3"/>
        <v>18</v>
      </c>
      <c r="J20" s="50" t="s">
        <v>154</v>
      </c>
      <c r="K20" s="49" t="s">
        <v>135</v>
      </c>
      <c r="L20" s="49" t="str">
        <f>IF(B20="","",IF(K20="S1",K20,INDEX(#REF!,#REF!)))</f>
        <v/>
      </c>
      <c r="M20" s="49" t="b">
        <f t="shared" si="4"/>
        <v>0</v>
      </c>
      <c r="N20" s="64"/>
      <c r="O20" s="49"/>
      <c r="P20" s="49">
        <v>2571</v>
      </c>
      <c r="Q20" s="65" t="s">
        <v>496</v>
      </c>
      <c r="R20" s="49" t="str">
        <f t="shared" si="5"/>
        <v>26/07/2024</v>
      </c>
      <c r="S20" s="49" t="str">
        <f>IF(B20="","",IF(K20="S1",K20,INDEX(#REF!,#REF!)))</f>
        <v/>
      </c>
      <c r="T20" s="49" t="b">
        <f t="shared" si="6"/>
        <v>0</v>
      </c>
      <c r="U20" s="68">
        <f t="shared" si="7"/>
        <v>0</v>
      </c>
      <c r="V20" s="68">
        <f t="shared" si="8"/>
        <v>10</v>
      </c>
      <c r="W20" s="68">
        <f t="shared" si="9"/>
        <v>25</v>
      </c>
      <c r="X20" s="49" t="s">
        <v>499</v>
      </c>
      <c r="Y20" s="65" t="s">
        <v>136</v>
      </c>
      <c r="Z20" s="65" t="s">
        <v>177</v>
      </c>
      <c r="AA20" s="49" t="str">
        <f t="shared" si="10"/>
        <v>01/10/2019</v>
      </c>
      <c r="AB20" s="68">
        <f t="shared" si="11"/>
        <v>4</v>
      </c>
      <c r="AC20" s="68">
        <f t="shared" si="12"/>
        <v>9</v>
      </c>
      <c r="AD20" s="68">
        <f t="shared" si="13"/>
        <v>25</v>
      </c>
      <c r="AE20" s="49"/>
      <c r="AF20" s="65"/>
      <c r="AG20" s="50" t="str">
        <f t="shared" si="14"/>
        <v/>
      </c>
      <c r="AH20" s="68">
        <f t="shared" si="15"/>
        <v>0</v>
      </c>
      <c r="AI20" s="68">
        <f t="shared" si="16"/>
        <v>0</v>
      </c>
      <c r="AJ20" s="68">
        <f t="shared" si="17"/>
        <v>0</v>
      </c>
      <c r="AK20" s="50"/>
      <c r="AL20" s="50" t="s">
        <v>218</v>
      </c>
      <c r="AM20" s="50" t="str">
        <f>IF(B20="","",IF(K20="S1",K20,INDEX(#REF!,#REF!)))</f>
        <v/>
      </c>
      <c r="AN20" s="50" t="b">
        <f t="shared" si="18"/>
        <v>0</v>
      </c>
      <c r="AO20" s="49" t="str">
        <f t="shared" si="19"/>
        <v>K5-POLICY</v>
      </c>
      <c r="AP20" s="72" t="str">
        <f>_xlfn.IFS(B20="","",AND(AO20="K5-LAW",AL20="นิติศาสตร์",K20="S2",Y20="",AE20=""),R20,AND(AO20="K5-LAW",AL20="นิติศาสตร์",K20="S1",Y20="",AE20=""),EDATE(R20,12),AND(AO20="K5-LAW",AL20="นิติศาสตร์",OR(K20="M2",K20="K4"),Y20="",AE20=""),EDATE(R20,12*2),AND(AO20="K5-LAW",AL20="นิติศาสตร์",OR(AE20="M2",AE20="K4"),AH20&gt;=2,OR(AG20&lt;AA20,AG20&lt;R20)),EDATE(AG20,12*2),AND(AO20="K5-LAW",AL20="นิติศาสตร์",AE20="S1",AH20&gt;=1,OR(AG20&lt;AA20,AG20&lt;R20)),EDATE(AG20,12),AND(AO20="K5-LAW",AL20="นิติศาสตร์",OR(Y20="M2",Y20="K4"),AB20&gt;=2,AA20&lt;R20),EDATE(AA20,12*2),AND(AO20="K5-LAW",AL20="นิติศาสตร์",Y20="S1",AB20&gt;=1,AA20&lt;R20),EDATE(AA20,12),AND(AO20="K5-LAW",AL20="นิติศาสตร์",OR(Y20="S2",Y20="K5")),AA20,AND(AO20="K5-LAW",AL20="นิติศาสตร์",OR(K20="M2",K20="K4"),U20&gt;=2),EDATE(R20,12*2),AND(AO20="K5-LAW",AL20="นิติศาสตร์",K20="S1",U20&gt;=1),EDATE(R20,12),AND(AO20="K5-LAW",AL20="นิติศาสตร์",OR(K20="S2",K20="K5")),R20,AND(AO20="K5-POLICY",AL20&lt;&gt;"นิติศาสตร์",K20="S2",Y20="",AE20=""),R20,AND(AO20="K5-POLICY",AL20&lt;&gt;"นิติศาสตร์",K20="S1",Y20="",AE20=""),EDATE(R20,12),AND(AO20="K5-POLICY",AL20&lt;&gt;"นิติศาสตร์",OR(K20="M2",K20="K4"),Y20="",AE20=""),EDATE(R20,12*2),AND(AO20="K5-POLICY",AL20&lt;&gt;"นิติศาสตร์",OR(AE20="M2",AE20="K4"),AH20&gt;=2,OR(AG20&lt;AA20,AG20&lt;R20)),EDATE(AG20,12*2),AND(AO20="K5-POLICY",AL20&lt;&gt;"นิติศาสตร์",AE20="S1",AH20&gt;=1,OR(AG20&lt;AA20,AG20&lt;R20)),EDATE(AG20,12),AND(AO20="K5-POLICY",AL20&lt;&gt;"นิติศาสตร์",OR(Y20="M2",Y20="K4"),AB20&gt;=2,AA20&lt;R20),EDATE(AA20,12*2),AND(AO20="K5-POLICY",AL20&lt;&gt;"นิติศาสตร์",Y20="S1",AB20&gt;=1,AA20&lt;R20),EDATE(AA20,12),AND(AO20="K5-POLICY",AL20&lt;&gt;"นิติศาสตร์",OR(Y20="S2",Y20="K5")),AA20,AND(AO20="K5-POLICY",AL20&lt;&gt;"นิติศาสตร์",OR(K20="M2",K20="K4"),U20&gt;=2),EDATE(R20,12*2),AND(AO20="K5-POLICY",AL20&lt;&gt;"นิติศาสตร์",K20="S1",U20&gt;=1),EDATE(R20,12),AND(AO20="K5-POLICY",AL20&lt;&gt;"นิติศาสตร์",OR(K20="S2",K20="K5")),R20,TRUE,"Check Data")</f>
        <v/>
      </c>
      <c r="AQ20" s="75" t="str">
        <f t="shared" si="20"/>
        <v>Check Data</v>
      </c>
      <c r="AR20" s="76" t="str">
        <f t="shared" si="21"/>
        <v>Check Data</v>
      </c>
      <c r="AS20" s="50" t="str">
        <f t="shared" si="22"/>
        <v>Check Data</v>
      </c>
      <c r="AT20" s="49" t="str">
        <f>IF(B20="","",IF(K20="S1","S1",INDEX(#REF!,#REF!)))</f>
        <v/>
      </c>
      <c r="AU20" s="49" t="str">
        <f t="shared" si="23"/>
        <v>S1</v>
      </c>
      <c r="AV20" s="50" t="b">
        <f t="shared" si="24"/>
        <v>0</v>
      </c>
      <c r="AW20" s="50"/>
    </row>
    <row r="21" spans="1:49" ht="21.75">
      <c r="A21" s="49">
        <v>19</v>
      </c>
      <c r="B21" s="50"/>
      <c r="C21" s="50"/>
      <c r="D21" s="50" t="s">
        <v>140</v>
      </c>
      <c r="E21" s="49" t="s">
        <v>176</v>
      </c>
      <c r="F21" s="49" t="str">
        <f t="shared" si="0"/>
        <v>01/03/1990</v>
      </c>
      <c r="G21" s="50">
        <f t="shared" si="1"/>
        <v>35</v>
      </c>
      <c r="H21" s="50">
        <f t="shared" si="2"/>
        <v>3</v>
      </c>
      <c r="I21" s="50">
        <f t="shared" si="3"/>
        <v>19</v>
      </c>
      <c r="J21" s="50" t="s">
        <v>155</v>
      </c>
      <c r="K21" s="49" t="s">
        <v>135</v>
      </c>
      <c r="L21" s="49" t="str">
        <f>IF(B21="","",IF(K21="S1",K21,INDEX(#REF!,#REF!)))</f>
        <v/>
      </c>
      <c r="M21" s="49" t="b">
        <f t="shared" si="4"/>
        <v>0</v>
      </c>
      <c r="N21" s="64"/>
      <c r="O21" s="49"/>
      <c r="P21" s="49">
        <v>2577</v>
      </c>
      <c r="Q21" s="65" t="s">
        <v>496</v>
      </c>
      <c r="R21" s="49" t="str">
        <f t="shared" si="5"/>
        <v>26/07/2024</v>
      </c>
      <c r="S21" s="49" t="str">
        <f>IF(B21="","",IF(K21="S1",K21,INDEX(#REF!,#REF!)))</f>
        <v/>
      </c>
      <c r="T21" s="49" t="b">
        <f t="shared" si="6"/>
        <v>0</v>
      </c>
      <c r="U21" s="68">
        <f t="shared" si="7"/>
        <v>0</v>
      </c>
      <c r="V21" s="68">
        <f t="shared" si="8"/>
        <v>10</v>
      </c>
      <c r="W21" s="68">
        <f t="shared" si="9"/>
        <v>25</v>
      </c>
      <c r="X21" s="49" t="s">
        <v>500</v>
      </c>
      <c r="Y21" s="65" t="s">
        <v>137</v>
      </c>
      <c r="Z21" s="65" t="s">
        <v>402</v>
      </c>
      <c r="AA21" s="49" t="str">
        <f t="shared" si="10"/>
        <v>15/05/2020</v>
      </c>
      <c r="AB21" s="68">
        <f t="shared" si="11"/>
        <v>4</v>
      </c>
      <c r="AC21" s="68">
        <f t="shared" si="12"/>
        <v>2</v>
      </c>
      <c r="AD21" s="68">
        <f t="shared" si="13"/>
        <v>11</v>
      </c>
      <c r="AE21" s="69"/>
      <c r="AF21" s="65"/>
      <c r="AG21" s="50" t="str">
        <f t="shared" si="14"/>
        <v/>
      </c>
      <c r="AH21" s="68">
        <f t="shared" si="15"/>
        <v>0</v>
      </c>
      <c r="AI21" s="68">
        <f t="shared" si="16"/>
        <v>0</v>
      </c>
      <c r="AJ21" s="68">
        <f t="shared" si="17"/>
        <v>0</v>
      </c>
      <c r="AK21" s="50"/>
      <c r="AL21" s="50" t="s">
        <v>138</v>
      </c>
      <c r="AM21" s="50" t="str">
        <f>IF(B21="","",IF(K21="S1",K21,INDEX(#REF!,#REF!)))</f>
        <v/>
      </c>
      <c r="AN21" s="50" t="b">
        <f t="shared" si="18"/>
        <v>0</v>
      </c>
      <c r="AO21" s="49" t="str">
        <f t="shared" si="19"/>
        <v>K5-LAW</v>
      </c>
      <c r="AP21" s="72" t="str">
        <f>_xlfn.IFS(B21="","",AND(AO21="K5-LAW",AL21="นิติศาสตร์",K21="S2",Y21="",AE21=""),R21,AND(AO21="K5-LAW",AL21="นิติศาสตร์",K21="S1",Y21="",AE21=""),EDATE(R21,12),AND(AO21="K5-LAW",AL21="นิติศาสตร์",OR(K21="M2",K21="K4"),Y21="",AE21=""),EDATE(R21,12*2),AND(AO21="K5-LAW",AL21="นิติศาสตร์",OR(AE21="M2",AE21="K4"),AH21&gt;=2,OR(AG21&lt;AA21,AG21&lt;R21)),EDATE(AG21,12*2),AND(AO21="K5-LAW",AL21="นิติศาสตร์",AE21="S1",AH21&gt;=1,OR(AG21&lt;AA21,AG21&lt;R21)),EDATE(AG21,12),AND(AO21="K5-LAW",AL21="นิติศาสตร์",OR(Y21="M2",Y21="K4"),AB21&gt;=2,AA21&lt;R21),EDATE(AA21,12*2),AND(AO21="K5-LAW",AL21="นิติศาสตร์",Y21="S1",AB21&gt;=1,AA21&lt;R21),EDATE(AA21,12),AND(AO21="K5-LAW",AL21="นิติศาสตร์",OR(Y21="S2",Y21="K5")),AA21,AND(AO21="K5-LAW",AL21="นิติศาสตร์",OR(K21="M2",K21="K4"),U21&gt;=2),EDATE(R21,12*2),AND(AO21="K5-LAW",AL21="นิติศาสตร์",K21="S1",U21&gt;=1),EDATE(R21,12),AND(AO21="K5-LAW",AL21="นิติศาสตร์",OR(K21="S2",K21="K5")),R21,AND(AO21="K5-POLICY",AL21&lt;&gt;"นิติศาสตร์",K21="S2",Y21="",AE21=""),R21,AND(AO21="K5-POLICY",AL21&lt;&gt;"นิติศาสตร์",K21="S1",Y21="",AE21=""),EDATE(R21,12),AND(AO21="K5-POLICY",AL21&lt;&gt;"นิติศาสตร์",OR(K21="M2",K21="K4"),Y21="",AE21=""),EDATE(R21,12*2),AND(AO21="K5-POLICY",AL21&lt;&gt;"นิติศาสตร์",OR(AE21="M2",AE21="K4"),AH21&gt;=2,OR(AG21&lt;AA21,AG21&lt;R21)),EDATE(AG21,12*2),AND(AO21="K5-POLICY",AL21&lt;&gt;"นิติศาสตร์",AE21="S1",AH21&gt;=1,OR(AG21&lt;AA21,AG21&lt;R21)),EDATE(AG21,12),AND(AO21="K5-POLICY",AL21&lt;&gt;"นิติศาสตร์",OR(Y21="M2",Y21="K4"),AB21&gt;=2,AA21&lt;R21),EDATE(AA21,12*2),AND(AO21="K5-POLICY",AL21&lt;&gt;"นิติศาสตร์",Y21="S1",AB21&gt;=1,AA21&lt;R21),EDATE(AA21,12),AND(AO21="K5-POLICY",AL21&lt;&gt;"นิติศาสตร์",OR(Y21="S2",Y21="K5")),AA21,AND(AO21="K5-POLICY",AL21&lt;&gt;"นิติศาสตร์",OR(K21="M2",K21="K4"),U21&gt;=2),EDATE(R21,12*2),AND(AO21="K5-POLICY",AL21&lt;&gt;"นิติศาสตร์",K21="S1",U21&gt;=1),EDATE(R21,12),AND(AO21="K5-POLICY",AL21&lt;&gt;"นิติศาสตร์",OR(K21="S2",K21="K5")),R21,TRUE,"Check Data")</f>
        <v/>
      </c>
      <c r="AQ21" s="75" t="str">
        <f t="shared" si="20"/>
        <v>Check Data</v>
      </c>
      <c r="AR21" s="76" t="str">
        <f t="shared" si="21"/>
        <v>Check Data</v>
      </c>
      <c r="AS21" s="50" t="str">
        <f t="shared" si="22"/>
        <v>Check Data</v>
      </c>
      <c r="AT21" s="49" t="str">
        <f>IF(B21="","",IF(K21="S1","S1",INDEX(#REF!,#REF!)))</f>
        <v/>
      </c>
      <c r="AU21" s="49" t="str">
        <f t="shared" si="23"/>
        <v>S1</v>
      </c>
      <c r="AV21" s="50" t="b">
        <f t="shared" si="24"/>
        <v>0</v>
      </c>
      <c r="AW21" s="50"/>
    </row>
    <row r="22" spans="1:49" ht="21.75">
      <c r="A22" s="49">
        <v>20</v>
      </c>
      <c r="B22" s="50"/>
      <c r="C22" s="50"/>
      <c r="D22" s="50" t="s">
        <v>144</v>
      </c>
      <c r="E22" s="49" t="s">
        <v>501</v>
      </c>
      <c r="F22" s="49" t="str">
        <f t="shared" si="0"/>
        <v>11/12/1986</v>
      </c>
      <c r="G22" s="50">
        <f t="shared" si="1"/>
        <v>38</v>
      </c>
      <c r="H22" s="50">
        <f t="shared" si="2"/>
        <v>6</v>
      </c>
      <c r="I22" s="50">
        <f t="shared" si="3"/>
        <v>9</v>
      </c>
      <c r="J22" s="50" t="s">
        <v>159</v>
      </c>
      <c r="K22" s="49" t="s">
        <v>135</v>
      </c>
      <c r="L22" s="49" t="str">
        <f>IF(B22="","",IF(K22="S1",K22,INDEX(#REF!,#REF!)))</f>
        <v/>
      </c>
      <c r="M22" s="49" t="b">
        <f t="shared" si="4"/>
        <v>0</v>
      </c>
      <c r="N22" s="64"/>
      <c r="O22" s="49"/>
      <c r="P22" s="49">
        <v>2572</v>
      </c>
      <c r="Q22" s="65" t="s">
        <v>502</v>
      </c>
      <c r="R22" s="49" t="str">
        <f t="shared" si="5"/>
        <v>30/01/2025</v>
      </c>
      <c r="S22" s="49" t="str">
        <f>IF(B22="","",IF(K22="S1",K22,INDEX(#REF!,#REF!)))</f>
        <v/>
      </c>
      <c r="T22" s="49" t="b">
        <f t="shared" si="6"/>
        <v>0</v>
      </c>
      <c r="U22" s="68">
        <f t="shared" si="7"/>
        <v>0</v>
      </c>
      <c r="V22" s="68">
        <f t="shared" si="8"/>
        <v>4</v>
      </c>
      <c r="W22" s="68">
        <f t="shared" si="9"/>
        <v>21</v>
      </c>
      <c r="X22" s="49" t="s">
        <v>503</v>
      </c>
      <c r="Y22" s="65" t="s">
        <v>136</v>
      </c>
      <c r="Z22" s="65" t="s">
        <v>378</v>
      </c>
      <c r="AA22" s="49" t="str">
        <f t="shared" si="10"/>
        <v>25/09/2012</v>
      </c>
      <c r="AB22" s="68">
        <f t="shared" si="11"/>
        <v>12</v>
      </c>
      <c r="AC22" s="68">
        <f t="shared" si="12"/>
        <v>4</v>
      </c>
      <c r="AD22" s="68">
        <f t="shared" si="13"/>
        <v>5</v>
      </c>
      <c r="AE22" s="49"/>
      <c r="AF22" s="65"/>
      <c r="AG22" s="50" t="str">
        <f t="shared" si="14"/>
        <v/>
      </c>
      <c r="AH22" s="68">
        <f t="shared" si="15"/>
        <v>0</v>
      </c>
      <c r="AI22" s="68">
        <f t="shared" si="16"/>
        <v>0</v>
      </c>
      <c r="AJ22" s="68">
        <f t="shared" si="17"/>
        <v>0</v>
      </c>
      <c r="AK22" s="50"/>
      <c r="AL22" s="50" t="s">
        <v>163</v>
      </c>
      <c r="AM22" s="50" t="str">
        <f>IF(B22="","",IF(K22="S1",K22,INDEX(#REF!,#REF!)))</f>
        <v/>
      </c>
      <c r="AN22" s="50" t="b">
        <f t="shared" si="18"/>
        <v>0</v>
      </c>
      <c r="AO22" s="49" t="str">
        <f t="shared" si="19"/>
        <v>K5-POLICY</v>
      </c>
      <c r="AP22" s="72" t="str">
        <f>_xlfn.IFS(B22="","",AND(AO22="K5-LAW",AL22="นิติศาสตร์",K22="S2",Y22="",AE22=""),R22,AND(AO22="K5-LAW",AL22="นิติศาสตร์",K22="S1",Y22="",AE22=""),EDATE(R22,12),AND(AO22="K5-LAW",AL22="นิติศาสตร์",OR(K22="M2",K22="K4"),Y22="",AE22=""),EDATE(R22,12*2),AND(AO22="K5-LAW",AL22="นิติศาสตร์",OR(AE22="M2",AE22="K4"),AH22&gt;=2,OR(AG22&lt;AA22,AG22&lt;R22)),EDATE(AG22,12*2),AND(AO22="K5-LAW",AL22="นิติศาสตร์",AE22="S1",AH22&gt;=1,OR(AG22&lt;AA22,AG22&lt;R22)),EDATE(AG22,12),AND(AO22="K5-LAW",AL22="นิติศาสตร์",OR(Y22="M2",Y22="K4"),AB22&gt;=2,AA22&lt;R22),EDATE(AA22,12*2),AND(AO22="K5-LAW",AL22="นิติศาสตร์",Y22="S1",AB22&gt;=1,AA22&lt;R22),EDATE(AA22,12),AND(AO22="K5-LAW",AL22="นิติศาสตร์",OR(Y22="S2",Y22="K5")),AA22,AND(AO22="K5-LAW",AL22="นิติศาสตร์",OR(K22="M2",K22="K4"),U22&gt;=2),EDATE(R22,12*2),AND(AO22="K5-LAW",AL22="นิติศาสตร์",K22="S1",U22&gt;=1),EDATE(R22,12),AND(AO22="K5-LAW",AL22="นิติศาสตร์",OR(K22="S2",K22="K5")),R22,AND(AO22="K5-POLICY",AL22&lt;&gt;"นิติศาสตร์",K22="S2",Y22="",AE22=""),R22,AND(AO22="K5-POLICY",AL22&lt;&gt;"นิติศาสตร์",K22="S1",Y22="",AE22=""),EDATE(R22,12),AND(AO22="K5-POLICY",AL22&lt;&gt;"นิติศาสตร์",OR(K22="M2",K22="K4"),Y22="",AE22=""),EDATE(R22,12*2),AND(AO22="K5-POLICY",AL22&lt;&gt;"นิติศาสตร์",OR(AE22="M2",AE22="K4"),AH22&gt;=2,OR(AG22&lt;AA22,AG22&lt;R22)),EDATE(AG22,12*2),AND(AO22="K5-POLICY",AL22&lt;&gt;"นิติศาสตร์",AE22="S1",AH22&gt;=1,OR(AG22&lt;AA22,AG22&lt;R22)),EDATE(AG22,12),AND(AO22="K5-POLICY",AL22&lt;&gt;"นิติศาสตร์",OR(Y22="M2",Y22="K4"),AB22&gt;=2,AA22&lt;R22),EDATE(AA22,12*2),AND(AO22="K5-POLICY",AL22&lt;&gt;"นิติศาสตร์",Y22="S1",AB22&gt;=1,AA22&lt;R22),EDATE(AA22,12),AND(AO22="K5-POLICY",AL22&lt;&gt;"นิติศาสตร์",OR(Y22="S2",Y22="K5")),AA22,AND(AO22="K5-POLICY",AL22&lt;&gt;"นิติศาสตร์",OR(K22="M2",K22="K4"),U22&gt;=2),EDATE(R22,12*2),AND(AO22="K5-POLICY",AL22&lt;&gt;"นิติศาสตร์",K22="S1",U22&gt;=1),EDATE(R22,12),AND(AO22="K5-POLICY",AL22&lt;&gt;"นิติศาสตร์",OR(K22="S2",K22="K5")),R22,TRUE,"Check Data")</f>
        <v/>
      </c>
      <c r="AQ22" s="75" t="str">
        <f t="shared" si="20"/>
        <v>Check Data</v>
      </c>
      <c r="AR22" s="76" t="str">
        <f t="shared" si="21"/>
        <v>Check Data</v>
      </c>
      <c r="AS22" s="50" t="str">
        <f t="shared" si="22"/>
        <v>Check Data</v>
      </c>
      <c r="AT22" s="49" t="str">
        <f>IF(B22="","",IF(K22="S1","S1",INDEX(#REF!,#REF!)))</f>
        <v/>
      </c>
      <c r="AU22" s="49" t="str">
        <f t="shared" si="23"/>
        <v>S1</v>
      </c>
      <c r="AV22" s="50" t="b">
        <f t="shared" si="24"/>
        <v>0</v>
      </c>
      <c r="AW22" s="50"/>
    </row>
    <row r="23" spans="1:49" ht="21.75">
      <c r="A23" s="49">
        <v>21</v>
      </c>
      <c r="B23" s="50"/>
      <c r="C23" s="50"/>
      <c r="D23" s="50" t="s">
        <v>144</v>
      </c>
      <c r="E23" s="49" t="s">
        <v>197</v>
      </c>
      <c r="F23" s="49" t="str">
        <f t="shared" si="0"/>
        <v>01/05/1991</v>
      </c>
      <c r="G23" s="50">
        <f t="shared" si="1"/>
        <v>34</v>
      </c>
      <c r="H23" s="50">
        <f t="shared" si="2"/>
        <v>1</v>
      </c>
      <c r="I23" s="50">
        <f t="shared" si="3"/>
        <v>19</v>
      </c>
      <c r="J23" s="50" t="s">
        <v>159</v>
      </c>
      <c r="K23" s="49" t="s">
        <v>135</v>
      </c>
      <c r="L23" s="49" t="str">
        <f>IF(B23="","",IF(K23="S1",K23,INDEX(#REF!,#REF!)))</f>
        <v/>
      </c>
      <c r="M23" s="49" t="b">
        <f t="shared" si="4"/>
        <v>0</v>
      </c>
      <c r="N23" s="64"/>
      <c r="O23" s="49"/>
      <c r="P23" s="49">
        <v>2574</v>
      </c>
      <c r="Q23" s="65" t="s">
        <v>502</v>
      </c>
      <c r="R23" s="49" t="str">
        <f t="shared" si="5"/>
        <v>30/01/2025</v>
      </c>
      <c r="S23" s="49" t="str">
        <f>IF(B23="","",IF(K23="S1",K23,INDEX(#REF!,#REF!)))</f>
        <v/>
      </c>
      <c r="T23" s="49" t="b">
        <f t="shared" si="6"/>
        <v>0</v>
      </c>
      <c r="U23" s="68">
        <f t="shared" si="7"/>
        <v>0</v>
      </c>
      <c r="V23" s="68">
        <f t="shared" si="8"/>
        <v>4</v>
      </c>
      <c r="W23" s="68">
        <f t="shared" si="9"/>
        <v>21</v>
      </c>
      <c r="X23" s="49" t="s">
        <v>504</v>
      </c>
      <c r="Y23" s="65" t="s">
        <v>136</v>
      </c>
      <c r="Z23" s="65" t="s">
        <v>389</v>
      </c>
      <c r="AA23" s="49" t="str">
        <f t="shared" si="10"/>
        <v>02/05/2016</v>
      </c>
      <c r="AB23" s="68">
        <f t="shared" si="11"/>
        <v>8</v>
      </c>
      <c r="AC23" s="68">
        <f t="shared" si="12"/>
        <v>8</v>
      </c>
      <c r="AD23" s="68">
        <f t="shared" si="13"/>
        <v>28</v>
      </c>
      <c r="AE23" s="49"/>
      <c r="AF23" s="65"/>
      <c r="AG23" s="50" t="str">
        <f t="shared" si="14"/>
        <v/>
      </c>
      <c r="AH23" s="68">
        <f t="shared" si="15"/>
        <v>0</v>
      </c>
      <c r="AI23" s="68">
        <f t="shared" si="16"/>
        <v>0</v>
      </c>
      <c r="AJ23" s="68">
        <f t="shared" si="17"/>
        <v>0</v>
      </c>
      <c r="AK23" s="50"/>
      <c r="AL23" s="50" t="s">
        <v>221</v>
      </c>
      <c r="AM23" s="50" t="str">
        <f>IF(B23="","",IF(K23="S1",K23,INDEX(#REF!,#REF!)))</f>
        <v/>
      </c>
      <c r="AN23" s="50" t="b">
        <f t="shared" si="18"/>
        <v>0</v>
      </c>
      <c r="AO23" s="49" t="str">
        <f t="shared" si="19"/>
        <v>K5-POLICY</v>
      </c>
      <c r="AP23" s="72" t="str">
        <f>_xlfn.IFS(B23="","",AND(AO23="K5-LAW",AL23="นิติศาสตร์",K23="S2",Y23="",AE23=""),R23,AND(AO23="K5-LAW",AL23="นิติศาสตร์",K23="S1",Y23="",AE23=""),EDATE(R23,12),AND(AO23="K5-LAW",AL23="นิติศาสตร์",OR(K23="M2",K23="K4"),Y23="",AE23=""),EDATE(R23,12*2),AND(AO23="K5-LAW",AL23="นิติศาสตร์",OR(AE23="M2",AE23="K4"),AH23&gt;=2,OR(AG23&lt;AA23,AG23&lt;R23)),EDATE(AG23,12*2),AND(AO23="K5-LAW",AL23="นิติศาสตร์",AE23="S1",AH23&gt;=1,OR(AG23&lt;AA23,AG23&lt;R23)),EDATE(AG23,12),AND(AO23="K5-LAW",AL23="นิติศาสตร์",OR(Y23="M2",Y23="K4"),AB23&gt;=2,AA23&lt;R23),EDATE(AA23,12*2),AND(AO23="K5-LAW",AL23="นิติศาสตร์",Y23="S1",AB23&gt;=1,AA23&lt;R23),EDATE(AA23,12),AND(AO23="K5-LAW",AL23="นิติศาสตร์",OR(Y23="S2",Y23="K5")),AA23,AND(AO23="K5-LAW",AL23="นิติศาสตร์",OR(K23="M2",K23="K4"),U23&gt;=2),EDATE(R23,12*2),AND(AO23="K5-LAW",AL23="นิติศาสตร์",K23="S1",U23&gt;=1),EDATE(R23,12),AND(AO23="K5-LAW",AL23="นิติศาสตร์",OR(K23="S2",K23="K5")),R23,AND(AO23="K5-POLICY",AL23&lt;&gt;"นิติศาสตร์",K23="S2",Y23="",AE23=""),R23,AND(AO23="K5-POLICY",AL23&lt;&gt;"นิติศาสตร์",K23="S1",Y23="",AE23=""),EDATE(R23,12),AND(AO23="K5-POLICY",AL23&lt;&gt;"นิติศาสตร์",OR(K23="M2",K23="K4"),Y23="",AE23=""),EDATE(R23,12*2),AND(AO23="K5-POLICY",AL23&lt;&gt;"นิติศาสตร์",OR(AE23="M2",AE23="K4"),AH23&gt;=2,OR(AG23&lt;AA23,AG23&lt;R23)),EDATE(AG23,12*2),AND(AO23="K5-POLICY",AL23&lt;&gt;"นิติศาสตร์",AE23="S1",AH23&gt;=1,OR(AG23&lt;AA23,AG23&lt;R23)),EDATE(AG23,12),AND(AO23="K5-POLICY",AL23&lt;&gt;"นิติศาสตร์",OR(Y23="M2",Y23="K4"),AB23&gt;=2,AA23&lt;R23),EDATE(AA23,12*2),AND(AO23="K5-POLICY",AL23&lt;&gt;"นิติศาสตร์",Y23="S1",AB23&gt;=1,AA23&lt;R23),EDATE(AA23,12),AND(AO23="K5-POLICY",AL23&lt;&gt;"นิติศาสตร์",OR(Y23="S2",Y23="K5")),AA23,AND(AO23="K5-POLICY",AL23&lt;&gt;"นิติศาสตร์",OR(K23="M2",K23="K4"),U23&gt;=2),EDATE(R23,12*2),AND(AO23="K5-POLICY",AL23&lt;&gt;"นิติศาสตร์",K23="S1",U23&gt;=1),EDATE(R23,12),AND(AO23="K5-POLICY",AL23&lt;&gt;"นิติศาสตร์",OR(K23="S2",K23="K5")),R23,TRUE,"Check Data")</f>
        <v/>
      </c>
      <c r="AQ23" s="75" t="str">
        <f t="shared" si="20"/>
        <v>Check Data</v>
      </c>
      <c r="AR23" s="76" t="str">
        <f t="shared" si="21"/>
        <v>Check Data</v>
      </c>
      <c r="AS23" s="50" t="str">
        <f t="shared" si="22"/>
        <v>Check Data</v>
      </c>
      <c r="AT23" s="49" t="str">
        <f>IF(B23="","",IF(K23="S1","S1",INDEX(#REF!,#REF!)))</f>
        <v/>
      </c>
      <c r="AU23" s="49" t="str">
        <f t="shared" si="23"/>
        <v>S1</v>
      </c>
      <c r="AV23" s="50" t="b">
        <f t="shared" si="24"/>
        <v>0</v>
      </c>
      <c r="AW23" s="50"/>
    </row>
    <row r="24" spans="1:49" ht="21.75">
      <c r="A24" s="49">
        <v>22</v>
      </c>
      <c r="B24" s="50"/>
      <c r="C24" s="50"/>
      <c r="D24" s="50" t="s">
        <v>143</v>
      </c>
      <c r="E24" s="49" t="s">
        <v>190</v>
      </c>
      <c r="F24" s="49" t="str">
        <f t="shared" si="0"/>
        <v>16/03/1987</v>
      </c>
      <c r="G24" s="50">
        <f t="shared" si="1"/>
        <v>38</v>
      </c>
      <c r="H24" s="50">
        <f t="shared" si="2"/>
        <v>3</v>
      </c>
      <c r="I24" s="50">
        <f t="shared" si="3"/>
        <v>4</v>
      </c>
      <c r="J24" s="50" t="s">
        <v>158</v>
      </c>
      <c r="K24" s="49" t="s">
        <v>135</v>
      </c>
      <c r="L24" s="49" t="str">
        <f>IF(B24="","",IF(K24="S1",K24,INDEX(#REF!,#REF!)))</f>
        <v/>
      </c>
      <c r="M24" s="49" t="b">
        <f t="shared" si="4"/>
        <v>0</v>
      </c>
      <c r="N24" s="64"/>
      <c r="O24" s="49"/>
      <c r="P24" s="49">
        <v>2570</v>
      </c>
      <c r="Q24" s="65" t="s">
        <v>502</v>
      </c>
      <c r="R24" s="49" t="str">
        <f t="shared" si="5"/>
        <v>30/01/2025</v>
      </c>
      <c r="S24" s="49" t="str">
        <f>IF(B24="","",IF(K24="S1",K24,INDEX(#REF!,#REF!)))</f>
        <v/>
      </c>
      <c r="T24" s="49" t="b">
        <f t="shared" si="6"/>
        <v>0</v>
      </c>
      <c r="U24" s="68">
        <f t="shared" si="7"/>
        <v>0</v>
      </c>
      <c r="V24" s="68">
        <f t="shared" si="8"/>
        <v>4</v>
      </c>
      <c r="W24" s="68">
        <f t="shared" si="9"/>
        <v>21</v>
      </c>
      <c r="X24" s="49" t="s">
        <v>505</v>
      </c>
      <c r="Y24" s="65" t="s">
        <v>136</v>
      </c>
      <c r="Z24" s="65" t="s">
        <v>313</v>
      </c>
      <c r="AA24" s="49" t="str">
        <f t="shared" si="10"/>
        <v>10/04/2017</v>
      </c>
      <c r="AB24" s="68">
        <f t="shared" si="11"/>
        <v>7</v>
      </c>
      <c r="AC24" s="68">
        <f t="shared" si="12"/>
        <v>9</v>
      </c>
      <c r="AD24" s="68">
        <f t="shared" si="13"/>
        <v>20</v>
      </c>
      <c r="AE24" s="49"/>
      <c r="AF24" s="65"/>
      <c r="AG24" s="50" t="str">
        <f t="shared" si="14"/>
        <v/>
      </c>
      <c r="AH24" s="68">
        <f t="shared" si="15"/>
        <v>0</v>
      </c>
      <c r="AI24" s="68">
        <f t="shared" si="16"/>
        <v>0</v>
      </c>
      <c r="AJ24" s="68">
        <f t="shared" si="17"/>
        <v>0</v>
      </c>
      <c r="AK24" s="50"/>
      <c r="AL24" s="50" t="s">
        <v>172</v>
      </c>
      <c r="AM24" s="50" t="str">
        <f>IF(B24="","",IF(K24="S1",K24,INDEX(#REF!,#REF!)))</f>
        <v/>
      </c>
      <c r="AN24" s="50" t="b">
        <f t="shared" si="18"/>
        <v>0</v>
      </c>
      <c r="AO24" s="49" t="str">
        <f t="shared" si="19"/>
        <v>K5-POLICY</v>
      </c>
      <c r="AP24" s="72" t="str">
        <f>_xlfn.IFS(B24="","",AND(AO24="K5-LAW",AL24="นิติศาสตร์",K24="S2",Y24="",AE24=""),R24,AND(AO24="K5-LAW",AL24="นิติศาสตร์",K24="S1",Y24="",AE24=""),EDATE(R24,12),AND(AO24="K5-LAW",AL24="นิติศาสตร์",OR(K24="M2",K24="K4"),Y24="",AE24=""),EDATE(R24,12*2),AND(AO24="K5-LAW",AL24="นิติศาสตร์",OR(AE24="M2",AE24="K4"),AH24&gt;=2,OR(AG24&lt;AA24,AG24&lt;R24)),EDATE(AG24,12*2),AND(AO24="K5-LAW",AL24="นิติศาสตร์",AE24="S1",AH24&gt;=1,OR(AG24&lt;AA24,AG24&lt;R24)),EDATE(AG24,12),AND(AO24="K5-LAW",AL24="นิติศาสตร์",OR(Y24="M2",Y24="K4"),AB24&gt;=2,AA24&lt;R24),EDATE(AA24,12*2),AND(AO24="K5-LAW",AL24="นิติศาสตร์",Y24="S1",AB24&gt;=1,AA24&lt;R24),EDATE(AA24,12),AND(AO24="K5-LAW",AL24="นิติศาสตร์",OR(Y24="S2",Y24="K5")),AA24,AND(AO24="K5-LAW",AL24="นิติศาสตร์",OR(K24="M2",K24="K4"),U24&gt;=2),EDATE(R24,12*2),AND(AO24="K5-LAW",AL24="นิติศาสตร์",K24="S1",U24&gt;=1),EDATE(R24,12),AND(AO24="K5-LAW",AL24="นิติศาสตร์",OR(K24="S2",K24="K5")),R24,AND(AO24="K5-POLICY",AL24&lt;&gt;"นิติศาสตร์",K24="S2",Y24="",AE24=""),R24,AND(AO24="K5-POLICY",AL24&lt;&gt;"นิติศาสตร์",K24="S1",Y24="",AE24=""),EDATE(R24,12),AND(AO24="K5-POLICY",AL24&lt;&gt;"นิติศาสตร์",OR(K24="M2",K24="K4"),Y24="",AE24=""),EDATE(R24,12*2),AND(AO24="K5-POLICY",AL24&lt;&gt;"นิติศาสตร์",OR(AE24="M2",AE24="K4"),AH24&gt;=2,OR(AG24&lt;AA24,AG24&lt;R24)),EDATE(AG24,12*2),AND(AO24="K5-POLICY",AL24&lt;&gt;"นิติศาสตร์",AE24="S1",AH24&gt;=1,OR(AG24&lt;AA24,AG24&lt;R24)),EDATE(AG24,12),AND(AO24="K5-POLICY",AL24&lt;&gt;"นิติศาสตร์",OR(Y24="M2",Y24="K4"),AB24&gt;=2,AA24&lt;R24),EDATE(AA24,12*2),AND(AO24="K5-POLICY",AL24&lt;&gt;"นิติศาสตร์",Y24="S1",AB24&gt;=1,AA24&lt;R24),EDATE(AA24,12),AND(AO24="K5-POLICY",AL24&lt;&gt;"นิติศาสตร์",OR(Y24="S2",Y24="K5")),AA24,AND(AO24="K5-POLICY",AL24&lt;&gt;"นิติศาสตร์",OR(K24="M2",K24="K4"),U24&gt;=2),EDATE(R24,12*2),AND(AO24="K5-POLICY",AL24&lt;&gt;"นิติศาสตร์",K24="S1",U24&gt;=1),EDATE(R24,12),AND(AO24="K5-POLICY",AL24&lt;&gt;"นิติศาสตร์",OR(K24="S2",K24="K5")),R24,TRUE,"Check Data")</f>
        <v/>
      </c>
      <c r="AQ24" s="75" t="str">
        <f t="shared" si="20"/>
        <v>Check Data</v>
      </c>
      <c r="AR24" s="76" t="str">
        <f t="shared" si="21"/>
        <v>Check Data</v>
      </c>
      <c r="AS24" s="50" t="str">
        <f t="shared" si="22"/>
        <v>Check Data</v>
      </c>
      <c r="AT24" s="49" t="str">
        <f>IF(B24="","",IF(K24="S1","S1",INDEX(#REF!,#REF!)))</f>
        <v/>
      </c>
      <c r="AU24" s="49" t="str">
        <f t="shared" si="23"/>
        <v>S1</v>
      </c>
      <c r="AV24" s="50" t="b">
        <f t="shared" si="24"/>
        <v>0</v>
      </c>
      <c r="AW24" s="50"/>
    </row>
    <row r="25" spans="1:49" ht="21.75">
      <c r="A25" s="49">
        <v>23</v>
      </c>
      <c r="B25" s="50"/>
      <c r="C25" s="50"/>
      <c r="D25" s="50" t="s">
        <v>143</v>
      </c>
      <c r="E25" s="49" t="s">
        <v>230</v>
      </c>
      <c r="F25" s="49" t="str">
        <f t="shared" si="0"/>
        <v>03/11/1997</v>
      </c>
      <c r="G25" s="50">
        <f t="shared" si="1"/>
        <v>27</v>
      </c>
      <c r="H25" s="50">
        <f t="shared" si="2"/>
        <v>7</v>
      </c>
      <c r="I25" s="50">
        <f t="shared" si="3"/>
        <v>17</v>
      </c>
      <c r="J25" s="50" t="s">
        <v>158</v>
      </c>
      <c r="K25" s="49" t="s">
        <v>135</v>
      </c>
      <c r="L25" s="49" t="str">
        <f>IF(B25="","",IF(K25="S1",K25,INDEX(#REF!,#REF!)))</f>
        <v/>
      </c>
      <c r="M25" s="49" t="b">
        <f t="shared" si="4"/>
        <v>0</v>
      </c>
      <c r="N25" s="64"/>
      <c r="O25" s="49"/>
      <c r="P25" s="49">
        <v>2571</v>
      </c>
      <c r="Q25" s="65" t="s">
        <v>502</v>
      </c>
      <c r="R25" s="49" t="str">
        <f t="shared" si="5"/>
        <v>30/01/2025</v>
      </c>
      <c r="S25" s="49" t="str">
        <f>IF(B25="","",IF(K25="S1",K25,INDEX(#REF!,#REF!)))</f>
        <v/>
      </c>
      <c r="T25" s="49" t="b">
        <f t="shared" si="6"/>
        <v>0</v>
      </c>
      <c r="U25" s="68">
        <f t="shared" si="7"/>
        <v>0</v>
      </c>
      <c r="V25" s="68">
        <f t="shared" si="8"/>
        <v>4</v>
      </c>
      <c r="W25" s="68">
        <f t="shared" si="9"/>
        <v>21</v>
      </c>
      <c r="X25" s="49" t="s">
        <v>506</v>
      </c>
      <c r="Y25" s="65" t="s">
        <v>136</v>
      </c>
      <c r="Z25" s="65" t="s">
        <v>308</v>
      </c>
      <c r="AA25" s="49" t="str">
        <f t="shared" si="10"/>
        <v>16/01/2018</v>
      </c>
      <c r="AB25" s="68">
        <f t="shared" si="11"/>
        <v>7</v>
      </c>
      <c r="AC25" s="68">
        <f t="shared" si="12"/>
        <v>0</v>
      </c>
      <c r="AD25" s="68">
        <f t="shared" si="13"/>
        <v>14</v>
      </c>
      <c r="AE25" s="49"/>
      <c r="AF25" s="65"/>
      <c r="AG25" s="50" t="str">
        <f t="shared" si="14"/>
        <v/>
      </c>
      <c r="AH25" s="68">
        <f t="shared" si="15"/>
        <v>0</v>
      </c>
      <c r="AI25" s="68">
        <f t="shared" si="16"/>
        <v>0</v>
      </c>
      <c r="AJ25" s="68">
        <f t="shared" si="17"/>
        <v>0</v>
      </c>
      <c r="AK25" s="50"/>
      <c r="AL25" s="50" t="s">
        <v>167</v>
      </c>
      <c r="AM25" s="50" t="str">
        <f>IF(B25="","",IF(K25="S1",K25,INDEX(#REF!,#REF!)))</f>
        <v/>
      </c>
      <c r="AN25" s="50" t="b">
        <f t="shared" si="18"/>
        <v>0</v>
      </c>
      <c r="AO25" s="49" t="str">
        <f t="shared" si="19"/>
        <v>K5-POLICY</v>
      </c>
      <c r="AP25" s="72" t="str">
        <f>_xlfn.IFS(B25="","",AND(AO25="K5-LAW",AL25="นิติศาสตร์",K25="S2",Y25="",AE25=""),R25,AND(AO25="K5-LAW",AL25="นิติศาสตร์",K25="S1",Y25="",AE25=""),EDATE(R25,12),AND(AO25="K5-LAW",AL25="นิติศาสตร์",OR(K25="M2",K25="K4"),Y25="",AE25=""),EDATE(R25,12*2),AND(AO25="K5-LAW",AL25="นิติศาสตร์",OR(AE25="M2",AE25="K4"),AH25&gt;=2,OR(AG25&lt;AA25,AG25&lt;R25)),EDATE(AG25,12*2),AND(AO25="K5-LAW",AL25="นิติศาสตร์",AE25="S1",AH25&gt;=1,OR(AG25&lt;AA25,AG25&lt;R25)),EDATE(AG25,12),AND(AO25="K5-LAW",AL25="นิติศาสตร์",OR(Y25="M2",Y25="K4"),AB25&gt;=2,AA25&lt;R25),EDATE(AA25,12*2),AND(AO25="K5-LAW",AL25="นิติศาสตร์",Y25="S1",AB25&gt;=1,AA25&lt;R25),EDATE(AA25,12),AND(AO25="K5-LAW",AL25="นิติศาสตร์",OR(Y25="S2",Y25="K5")),AA25,AND(AO25="K5-LAW",AL25="นิติศาสตร์",OR(K25="M2",K25="K4"),U25&gt;=2),EDATE(R25,12*2),AND(AO25="K5-LAW",AL25="นิติศาสตร์",K25="S1",U25&gt;=1),EDATE(R25,12),AND(AO25="K5-LAW",AL25="นิติศาสตร์",OR(K25="S2",K25="K5")),R25,AND(AO25="K5-POLICY",AL25&lt;&gt;"นิติศาสตร์",K25="S2",Y25="",AE25=""),R25,AND(AO25="K5-POLICY",AL25&lt;&gt;"นิติศาสตร์",K25="S1",Y25="",AE25=""),EDATE(R25,12),AND(AO25="K5-POLICY",AL25&lt;&gt;"นิติศาสตร์",OR(K25="M2",K25="K4"),Y25="",AE25=""),EDATE(R25,12*2),AND(AO25="K5-POLICY",AL25&lt;&gt;"นิติศาสตร์",OR(AE25="M2",AE25="K4"),AH25&gt;=2,OR(AG25&lt;AA25,AG25&lt;R25)),EDATE(AG25,12*2),AND(AO25="K5-POLICY",AL25&lt;&gt;"นิติศาสตร์",AE25="S1",AH25&gt;=1,OR(AG25&lt;AA25,AG25&lt;R25)),EDATE(AG25,12),AND(AO25="K5-POLICY",AL25&lt;&gt;"นิติศาสตร์",OR(Y25="M2",Y25="K4"),AB25&gt;=2,AA25&lt;R25),EDATE(AA25,12*2),AND(AO25="K5-POLICY",AL25&lt;&gt;"นิติศาสตร์",Y25="S1",AB25&gt;=1,AA25&lt;R25),EDATE(AA25,12),AND(AO25="K5-POLICY",AL25&lt;&gt;"นิติศาสตร์",OR(Y25="S2",Y25="K5")),AA25,AND(AO25="K5-POLICY",AL25&lt;&gt;"นิติศาสตร์",OR(K25="M2",K25="K4"),U25&gt;=2),EDATE(R25,12*2),AND(AO25="K5-POLICY",AL25&lt;&gt;"นิติศาสตร์",K25="S1",U25&gt;=1),EDATE(R25,12),AND(AO25="K5-POLICY",AL25&lt;&gt;"นิติศาสตร์",OR(K25="S2",K25="K5")),R25,TRUE,"Check Data")</f>
        <v/>
      </c>
      <c r="AQ25" s="75" t="str">
        <f t="shared" si="20"/>
        <v>Check Data</v>
      </c>
      <c r="AR25" s="76" t="str">
        <f t="shared" si="21"/>
        <v>Check Data</v>
      </c>
      <c r="AS25" s="50" t="str">
        <f t="shared" si="22"/>
        <v>Check Data</v>
      </c>
      <c r="AT25" s="49" t="str">
        <f>IF(B25="","",IF(K25="S1","S1",INDEX(#REF!,#REF!)))</f>
        <v/>
      </c>
      <c r="AU25" s="49" t="str">
        <f t="shared" si="23"/>
        <v>S1</v>
      </c>
      <c r="AV25" s="50" t="b">
        <f t="shared" si="24"/>
        <v>0</v>
      </c>
      <c r="AW25" s="50"/>
    </row>
    <row r="26" spans="1:49" ht="21.75">
      <c r="A26" s="49">
        <v>24</v>
      </c>
      <c r="B26" s="50"/>
      <c r="C26" s="50"/>
      <c r="D26" s="50" t="s">
        <v>144</v>
      </c>
      <c r="E26" s="49" t="s">
        <v>256</v>
      </c>
      <c r="F26" s="49" t="str">
        <f t="shared" si="0"/>
        <v>01/02/1993</v>
      </c>
      <c r="G26" s="50">
        <f t="shared" si="1"/>
        <v>32</v>
      </c>
      <c r="H26" s="50">
        <f t="shared" si="2"/>
        <v>4</v>
      </c>
      <c r="I26" s="50">
        <f t="shared" si="3"/>
        <v>19</v>
      </c>
      <c r="J26" s="50" t="s">
        <v>159</v>
      </c>
      <c r="K26" s="49" t="s">
        <v>135</v>
      </c>
      <c r="L26" s="49" t="str">
        <f>IF(B26="","",IF(K26="S1",K26,INDEX(#REF!,#REF!)))</f>
        <v/>
      </c>
      <c r="M26" s="49" t="b">
        <f t="shared" si="4"/>
        <v>0</v>
      </c>
      <c r="N26" s="64"/>
      <c r="O26" s="49"/>
      <c r="P26" s="49">
        <v>2574</v>
      </c>
      <c r="Q26" s="65" t="s">
        <v>502</v>
      </c>
      <c r="R26" s="49" t="str">
        <f t="shared" si="5"/>
        <v>30/01/2025</v>
      </c>
      <c r="S26" s="49" t="str">
        <f>IF(B26="","",IF(K26="S1",K26,INDEX(#REF!,#REF!)))</f>
        <v/>
      </c>
      <c r="T26" s="49" t="b">
        <f t="shared" si="6"/>
        <v>0</v>
      </c>
      <c r="U26" s="68">
        <f t="shared" si="7"/>
        <v>0</v>
      </c>
      <c r="V26" s="68">
        <f t="shared" si="8"/>
        <v>4</v>
      </c>
      <c r="W26" s="68">
        <f t="shared" si="9"/>
        <v>21</v>
      </c>
      <c r="X26" s="49" t="s">
        <v>507</v>
      </c>
      <c r="Y26" s="65" t="s">
        <v>136</v>
      </c>
      <c r="Z26" s="65" t="s">
        <v>278</v>
      </c>
      <c r="AA26" s="49" t="str">
        <f t="shared" si="10"/>
        <v>15/10/2020</v>
      </c>
      <c r="AB26" s="68">
        <f t="shared" si="11"/>
        <v>4</v>
      </c>
      <c r="AC26" s="68">
        <f t="shared" si="12"/>
        <v>3</v>
      </c>
      <c r="AD26" s="68">
        <f t="shared" si="13"/>
        <v>15</v>
      </c>
      <c r="AE26" s="49"/>
      <c r="AF26" s="65"/>
      <c r="AG26" s="50" t="str">
        <f t="shared" si="14"/>
        <v/>
      </c>
      <c r="AH26" s="68">
        <f t="shared" si="15"/>
        <v>0</v>
      </c>
      <c r="AI26" s="68">
        <f t="shared" si="16"/>
        <v>0</v>
      </c>
      <c r="AJ26" s="68">
        <f t="shared" si="17"/>
        <v>0</v>
      </c>
      <c r="AK26" s="50"/>
      <c r="AL26" s="50" t="s">
        <v>138</v>
      </c>
      <c r="AM26" s="50" t="str">
        <f>IF(B26="","",IF(K26="S1",K26,INDEX(#REF!,#REF!)))</f>
        <v/>
      </c>
      <c r="AN26" s="50" t="b">
        <f t="shared" si="18"/>
        <v>0</v>
      </c>
      <c r="AO26" s="49" t="str">
        <f t="shared" si="19"/>
        <v>K5-LAW</v>
      </c>
      <c r="AP26" s="72" t="str">
        <f>_xlfn.IFS(B26="","",AND(AO26="K5-LAW",AL26="นิติศาสตร์",K26="S2",Y26="",AE26=""),R26,AND(AO26="K5-LAW",AL26="นิติศาสตร์",K26="S1",Y26="",AE26=""),EDATE(R26,12),AND(AO26="K5-LAW",AL26="นิติศาสตร์",OR(K26="M2",K26="K4"),Y26="",AE26=""),EDATE(R26,12*2),AND(AO26="K5-LAW",AL26="นิติศาสตร์",OR(AE26="M2",AE26="K4"),AH26&gt;=2,OR(AG26&lt;AA26,AG26&lt;R26)),EDATE(AG26,12*2),AND(AO26="K5-LAW",AL26="นิติศาสตร์",AE26="S1",AH26&gt;=1,OR(AG26&lt;AA26,AG26&lt;R26)),EDATE(AG26,12),AND(AO26="K5-LAW",AL26="นิติศาสตร์",OR(Y26="M2",Y26="K4"),AB26&gt;=2,AA26&lt;R26),EDATE(AA26,12*2),AND(AO26="K5-LAW",AL26="นิติศาสตร์",Y26="S1",AB26&gt;=1,AA26&lt;R26),EDATE(AA26,12),AND(AO26="K5-LAW",AL26="นิติศาสตร์",OR(Y26="S2",Y26="K5")),AA26,AND(AO26="K5-LAW",AL26="นิติศาสตร์",OR(K26="M2",K26="K4"),U26&gt;=2),EDATE(R26,12*2),AND(AO26="K5-LAW",AL26="นิติศาสตร์",K26="S1",U26&gt;=1),EDATE(R26,12),AND(AO26="K5-LAW",AL26="นิติศาสตร์",OR(K26="S2",K26="K5")),R26,AND(AO26="K5-POLICY",AL26&lt;&gt;"นิติศาสตร์",K26="S2",Y26="",AE26=""),R26,AND(AO26="K5-POLICY",AL26&lt;&gt;"นิติศาสตร์",K26="S1",Y26="",AE26=""),EDATE(R26,12),AND(AO26="K5-POLICY",AL26&lt;&gt;"นิติศาสตร์",OR(K26="M2",K26="K4"),Y26="",AE26=""),EDATE(R26,12*2),AND(AO26="K5-POLICY",AL26&lt;&gt;"นิติศาสตร์",OR(AE26="M2",AE26="K4"),AH26&gt;=2,OR(AG26&lt;AA26,AG26&lt;R26)),EDATE(AG26,12*2),AND(AO26="K5-POLICY",AL26&lt;&gt;"นิติศาสตร์",AE26="S1",AH26&gt;=1,OR(AG26&lt;AA26,AG26&lt;R26)),EDATE(AG26,12),AND(AO26="K5-POLICY",AL26&lt;&gt;"นิติศาสตร์",OR(Y26="M2",Y26="K4"),AB26&gt;=2,AA26&lt;R26),EDATE(AA26,12*2),AND(AO26="K5-POLICY",AL26&lt;&gt;"นิติศาสตร์",Y26="S1",AB26&gt;=1,AA26&lt;R26),EDATE(AA26,12),AND(AO26="K5-POLICY",AL26&lt;&gt;"นิติศาสตร์",OR(Y26="S2",Y26="K5")),AA26,AND(AO26="K5-POLICY",AL26&lt;&gt;"นิติศาสตร์",OR(K26="M2",K26="K4"),U26&gt;=2),EDATE(R26,12*2),AND(AO26="K5-POLICY",AL26&lt;&gt;"นิติศาสตร์",K26="S1",U26&gt;=1),EDATE(R26,12),AND(AO26="K5-POLICY",AL26&lt;&gt;"นิติศาสตร์",OR(K26="S2",K26="K5")),R26,TRUE,"Check Data")</f>
        <v/>
      </c>
      <c r="AQ26" s="75" t="str">
        <f t="shared" si="20"/>
        <v>Check Data</v>
      </c>
      <c r="AR26" s="76" t="str">
        <f t="shared" si="21"/>
        <v>Check Data</v>
      </c>
      <c r="AS26" s="50" t="str">
        <f t="shared" si="22"/>
        <v>Check Data</v>
      </c>
      <c r="AT26" s="49" t="str">
        <f>IF(B26="","",IF(K26="S1","S1",INDEX(#REF!,#REF!)))</f>
        <v/>
      </c>
      <c r="AU26" s="49" t="str">
        <f t="shared" si="23"/>
        <v>S1</v>
      </c>
      <c r="AV26" s="50" t="b">
        <f t="shared" si="24"/>
        <v>0</v>
      </c>
      <c r="AW26" s="50"/>
    </row>
    <row r="27" spans="1:49" ht="21.75">
      <c r="A27" s="49">
        <v>25</v>
      </c>
      <c r="B27" s="50"/>
      <c r="C27" s="50"/>
      <c r="D27" s="50" t="s">
        <v>145</v>
      </c>
      <c r="E27" s="49" t="s">
        <v>390</v>
      </c>
      <c r="F27" s="49" t="str">
        <f t="shared" si="0"/>
        <v>18/09/1995</v>
      </c>
      <c r="G27" s="50">
        <f t="shared" si="1"/>
        <v>29</v>
      </c>
      <c r="H27" s="50">
        <f t="shared" si="2"/>
        <v>9</v>
      </c>
      <c r="I27" s="50">
        <f t="shared" si="3"/>
        <v>2</v>
      </c>
      <c r="J27" s="50" t="s">
        <v>160</v>
      </c>
      <c r="K27" s="49" t="s">
        <v>135</v>
      </c>
      <c r="L27" s="49" t="str">
        <f>IF(B27="","",IF(K27="S1",K27,INDEX(#REF!,#REF!)))</f>
        <v/>
      </c>
      <c r="M27" s="49" t="b">
        <f t="shared" si="4"/>
        <v>0</v>
      </c>
      <c r="N27" s="64"/>
      <c r="O27" s="49"/>
      <c r="P27" s="49">
        <v>2571</v>
      </c>
      <c r="Q27" s="65" t="s">
        <v>502</v>
      </c>
      <c r="R27" s="49" t="str">
        <f t="shared" si="5"/>
        <v>30/01/2025</v>
      </c>
      <c r="S27" s="49" t="str">
        <f>IF(B27="","",IF(K27="S1",K27,INDEX(#REF!,#REF!)))</f>
        <v/>
      </c>
      <c r="T27" s="49" t="b">
        <f t="shared" si="6"/>
        <v>0</v>
      </c>
      <c r="U27" s="68">
        <f t="shared" si="7"/>
        <v>0</v>
      </c>
      <c r="V27" s="68">
        <f t="shared" si="8"/>
        <v>4</v>
      </c>
      <c r="W27" s="68">
        <f t="shared" si="9"/>
        <v>21</v>
      </c>
      <c r="X27" s="49" t="s">
        <v>508</v>
      </c>
      <c r="Y27" s="65" t="s">
        <v>136</v>
      </c>
      <c r="Z27" s="65" t="s">
        <v>391</v>
      </c>
      <c r="AA27" s="49" t="str">
        <f t="shared" si="10"/>
        <v>18/10/2021</v>
      </c>
      <c r="AB27" s="68">
        <f t="shared" si="11"/>
        <v>3</v>
      </c>
      <c r="AC27" s="68">
        <f t="shared" si="12"/>
        <v>3</v>
      </c>
      <c r="AD27" s="68">
        <f t="shared" si="13"/>
        <v>12</v>
      </c>
      <c r="AE27" s="49"/>
      <c r="AF27" s="65"/>
      <c r="AG27" s="50" t="str">
        <f t="shared" si="14"/>
        <v/>
      </c>
      <c r="AH27" s="68">
        <f t="shared" si="15"/>
        <v>0</v>
      </c>
      <c r="AI27" s="68">
        <f t="shared" si="16"/>
        <v>0</v>
      </c>
      <c r="AJ27" s="68">
        <f t="shared" si="17"/>
        <v>0</v>
      </c>
      <c r="AK27" s="50"/>
      <c r="AL27" s="50" t="s">
        <v>172</v>
      </c>
      <c r="AM27" s="50" t="str">
        <f>IF(B27="","",IF(K27="S1",K27,INDEX(#REF!,#REF!)))</f>
        <v/>
      </c>
      <c r="AN27" s="50" t="b">
        <f t="shared" si="18"/>
        <v>0</v>
      </c>
      <c r="AO27" s="49" t="str">
        <f t="shared" si="19"/>
        <v>K5-POLICY</v>
      </c>
      <c r="AP27" s="72" t="str">
        <f>_xlfn.IFS(B27="","",AND(AO27="K5-LAW",AL27="นิติศาสตร์",K27="S2",Y27="",AE27=""),R27,AND(AO27="K5-LAW",AL27="นิติศาสตร์",K27="S1",Y27="",AE27=""),EDATE(R27,12),AND(AO27="K5-LAW",AL27="นิติศาสตร์",OR(K27="M2",K27="K4"),Y27="",AE27=""),EDATE(R27,12*2),AND(AO27="K5-LAW",AL27="นิติศาสตร์",OR(AE27="M2",AE27="K4"),AH27&gt;=2,OR(AG27&lt;AA27,AG27&lt;R27)),EDATE(AG27,12*2),AND(AO27="K5-LAW",AL27="นิติศาสตร์",AE27="S1",AH27&gt;=1,OR(AG27&lt;AA27,AG27&lt;R27)),EDATE(AG27,12),AND(AO27="K5-LAW",AL27="นิติศาสตร์",OR(Y27="M2",Y27="K4"),AB27&gt;=2,AA27&lt;R27),EDATE(AA27,12*2),AND(AO27="K5-LAW",AL27="นิติศาสตร์",Y27="S1",AB27&gt;=1,AA27&lt;R27),EDATE(AA27,12),AND(AO27="K5-LAW",AL27="นิติศาสตร์",OR(Y27="S2",Y27="K5")),AA27,AND(AO27="K5-LAW",AL27="นิติศาสตร์",OR(K27="M2",K27="K4"),U27&gt;=2),EDATE(R27,12*2),AND(AO27="K5-LAW",AL27="นิติศาสตร์",K27="S1",U27&gt;=1),EDATE(R27,12),AND(AO27="K5-LAW",AL27="นิติศาสตร์",OR(K27="S2",K27="K5")),R27,AND(AO27="K5-POLICY",AL27&lt;&gt;"นิติศาสตร์",K27="S2",Y27="",AE27=""),R27,AND(AO27="K5-POLICY",AL27&lt;&gt;"นิติศาสตร์",K27="S1",Y27="",AE27=""),EDATE(R27,12),AND(AO27="K5-POLICY",AL27&lt;&gt;"นิติศาสตร์",OR(K27="M2",K27="K4"),Y27="",AE27=""),EDATE(R27,12*2),AND(AO27="K5-POLICY",AL27&lt;&gt;"นิติศาสตร์",OR(AE27="M2",AE27="K4"),AH27&gt;=2,OR(AG27&lt;AA27,AG27&lt;R27)),EDATE(AG27,12*2),AND(AO27="K5-POLICY",AL27&lt;&gt;"นิติศาสตร์",AE27="S1",AH27&gt;=1,OR(AG27&lt;AA27,AG27&lt;R27)),EDATE(AG27,12),AND(AO27="K5-POLICY",AL27&lt;&gt;"นิติศาสตร์",OR(Y27="M2",Y27="K4"),AB27&gt;=2,AA27&lt;R27),EDATE(AA27,12*2),AND(AO27="K5-POLICY",AL27&lt;&gt;"นิติศาสตร์",Y27="S1",AB27&gt;=1,AA27&lt;R27),EDATE(AA27,12),AND(AO27="K5-POLICY",AL27&lt;&gt;"นิติศาสตร์",OR(Y27="S2",Y27="K5")),AA27,AND(AO27="K5-POLICY",AL27&lt;&gt;"นิติศาสตร์",OR(K27="M2",K27="K4"),U27&gt;=2),EDATE(R27,12*2),AND(AO27="K5-POLICY",AL27&lt;&gt;"นิติศาสตร์",K27="S1",U27&gt;=1),EDATE(R27,12),AND(AO27="K5-POLICY",AL27&lt;&gt;"นิติศาสตร์",OR(K27="S2",K27="K5")),R27,TRUE,"Check Data")</f>
        <v/>
      </c>
      <c r="AQ27" s="75" t="str">
        <f t="shared" si="20"/>
        <v>Check Data</v>
      </c>
      <c r="AR27" s="76" t="str">
        <f t="shared" si="21"/>
        <v>Check Data</v>
      </c>
      <c r="AS27" s="50" t="str">
        <f t="shared" si="22"/>
        <v>Check Data</v>
      </c>
      <c r="AT27" s="49" t="str">
        <f>IF(B27="","",IF(K27="S1","S1",INDEX(#REF!,#REF!)))</f>
        <v/>
      </c>
      <c r="AU27" s="49" t="str">
        <f t="shared" si="23"/>
        <v>S1</v>
      </c>
      <c r="AV27" s="50" t="b">
        <f t="shared" si="24"/>
        <v>0</v>
      </c>
      <c r="AW27" s="50"/>
    </row>
    <row r="28" spans="1:49" ht="21.75">
      <c r="A28" s="49">
        <v>26</v>
      </c>
      <c r="B28" s="50"/>
      <c r="C28" s="50"/>
      <c r="D28" s="50" t="s">
        <v>139</v>
      </c>
      <c r="E28" s="49" t="s">
        <v>208</v>
      </c>
      <c r="F28" s="49" t="str">
        <f t="shared" si="0"/>
        <v>01/02/1990</v>
      </c>
      <c r="G28" s="50">
        <f t="shared" si="1"/>
        <v>35</v>
      </c>
      <c r="H28" s="50">
        <f t="shared" si="2"/>
        <v>4</v>
      </c>
      <c r="I28" s="50">
        <f t="shared" si="3"/>
        <v>19</v>
      </c>
      <c r="J28" s="56"/>
      <c r="K28" s="49" t="s">
        <v>136</v>
      </c>
      <c r="L28" s="49" t="str">
        <f>IF(B28="","",IF(K28="S1",K28,INDEX(#REF!,#REF!)))</f>
        <v/>
      </c>
      <c r="M28" s="49" t="b">
        <f t="shared" si="4"/>
        <v>0</v>
      </c>
      <c r="N28" s="64"/>
      <c r="O28" s="49" t="s">
        <v>425</v>
      </c>
      <c r="P28" s="49">
        <v>2568</v>
      </c>
      <c r="Q28" s="65" t="s">
        <v>211</v>
      </c>
      <c r="R28" s="49" t="str">
        <f t="shared" si="5"/>
        <v>01/05/2014</v>
      </c>
      <c r="S28" s="49" t="str">
        <f>IF(B28="","",IF(K28="S1",K28,INDEX(#REF!,#REF!)))</f>
        <v/>
      </c>
      <c r="T28" s="49" t="b">
        <f t="shared" si="6"/>
        <v>0</v>
      </c>
      <c r="U28" s="68">
        <f t="shared" si="7"/>
        <v>11</v>
      </c>
      <c r="V28" s="68">
        <f t="shared" si="8"/>
        <v>1</v>
      </c>
      <c r="W28" s="68">
        <f t="shared" si="9"/>
        <v>19</v>
      </c>
      <c r="X28" s="68"/>
      <c r="Y28" s="65"/>
      <c r="Z28" s="65"/>
      <c r="AA28" s="49" t="str">
        <f t="shared" si="10"/>
        <v/>
      </c>
      <c r="AB28" s="68">
        <f t="shared" si="11"/>
        <v>0</v>
      </c>
      <c r="AC28" s="68">
        <f t="shared" si="12"/>
        <v>0</v>
      </c>
      <c r="AD28" s="68">
        <f t="shared" si="13"/>
        <v>0</v>
      </c>
      <c r="AE28" s="49"/>
      <c r="AF28" s="65"/>
      <c r="AG28" s="50" t="str">
        <f t="shared" si="14"/>
        <v/>
      </c>
      <c r="AH28" s="68">
        <f t="shared" si="15"/>
        <v>0</v>
      </c>
      <c r="AI28" s="68">
        <f t="shared" si="16"/>
        <v>0</v>
      </c>
      <c r="AJ28" s="68">
        <f t="shared" si="17"/>
        <v>0</v>
      </c>
      <c r="AK28" s="50"/>
      <c r="AL28" s="50" t="s">
        <v>165</v>
      </c>
      <c r="AM28" s="129" t="str">
        <f>IF(B28="","",IF(K28="S1",K28,INDEX(#REF!,#REF!)))</f>
        <v/>
      </c>
      <c r="AN28" s="50" t="b">
        <f t="shared" si="18"/>
        <v>0</v>
      </c>
      <c r="AO28" s="49" t="str">
        <f t="shared" si="19"/>
        <v>K5-POLICY</v>
      </c>
      <c r="AP28" s="72" t="str">
        <f>_xlfn.IFS(B28="","",AND(AO28="K5-LAW",AL28="นิติศาสตร์",K28="S2",Y28="",AE28=""),R28,AND(AO28="K5-LAW",AL28="นิติศาสตร์",K28="S1",Y28="",AE28=""),EDATE(R28,12),AND(AO28="K5-LAW",AL28="นิติศาสตร์",OR(K28="M2",K28="K4"),Y28="",AE28=""),EDATE(R28,12*2),AND(AO28="K5-LAW",AL28="นิติศาสตร์",OR(AE28="M2",AE28="K4"),AH28&gt;=2,OR(AG28&lt;AA28,AG28&lt;R28)),EDATE(AG28,12*2),AND(AO28="K5-LAW",AL28="นิติศาสตร์",AE28="S1",AH28&gt;=1,OR(AG28&lt;AA28,AG28&lt;R28)),EDATE(AG28,12),AND(AO28="K5-LAW",AL28="นิติศาสตร์",OR(Y28="M2",Y28="K4"),AB28&gt;=2,AA28&lt;R28),EDATE(AA28,12*2),AND(AO28="K5-LAW",AL28="นิติศาสตร์",Y28="S1",AB28&gt;=1,AA28&lt;R28),EDATE(AA28,12),AND(AO28="K5-LAW",AL28="นิติศาสตร์",OR(Y28="S2",Y28="K5")),AA28,AND(AO28="K5-LAW",AL28="นิติศาสตร์",OR(K28="M2",K28="K4"),U28&gt;=2),EDATE(R28,12*2),AND(AO28="K5-LAW",AL28="นิติศาสตร์",K28="S1",U28&gt;=1),EDATE(R28,12),AND(AO28="K5-LAW",AL28="นิติศาสตร์",OR(K28="S2",K28="K5")),R28,AND(AO28="K5-POLICY",AL28&lt;&gt;"นิติศาสตร์",K28="S2",Y28="",AE28=""),R28,AND(AO28="K5-POLICY",AL28&lt;&gt;"นิติศาสตร์",K28="S1",Y28="",AE28=""),EDATE(R28,12),AND(AO28="K5-POLICY",AL28&lt;&gt;"นิติศาสตร์",OR(K28="M2",K28="K4"),Y28="",AE28=""),EDATE(R28,12*2),AND(AO28="K5-POLICY",AL28&lt;&gt;"นิติศาสตร์",OR(AE28="M2",AE28="K4"),AH28&gt;=2,OR(AG28&lt;AA28,AG28&lt;R28)),EDATE(AG28,12*2),AND(AO28="K5-POLICY",AL28&lt;&gt;"นิติศาสตร์",AE28="S1",AH28&gt;=1,OR(AG28&lt;AA28,AG28&lt;R28)),EDATE(AG28,12),AND(AO28="K5-POLICY",AL28&lt;&gt;"นิติศาสตร์",OR(Y28="M2",Y28="K4"),AB28&gt;=2,AA28&lt;R28),EDATE(AA28,12*2),AND(AO28="K5-POLICY",AL28&lt;&gt;"นิติศาสตร์",Y28="S1",AB28&gt;=1,AA28&lt;R28),EDATE(AA28,12),AND(AO28="K5-POLICY",AL28&lt;&gt;"นิติศาสตร์",OR(Y28="S2",Y28="K5")),AA28,AND(AO28="K5-POLICY",AL28&lt;&gt;"นิติศาสตร์",OR(K28="M2",K28="K4"),U28&gt;=2),EDATE(R28,12*2),AND(AO28="K5-POLICY",AL28&lt;&gt;"นิติศาสตร์",K28="S1",U28&gt;=1),EDATE(R28,12),AND(AO28="K5-POLICY",AL28&lt;&gt;"นิติศาสตร์",OR(K28="S2",K28="K5")),R28,TRUE,"Check Data")</f>
        <v/>
      </c>
      <c r="AQ28" s="75" t="str">
        <f t="shared" si="20"/>
        <v>Check Data</v>
      </c>
      <c r="AR28" s="76" t="str">
        <f t="shared" si="21"/>
        <v>Check Data</v>
      </c>
      <c r="AS28" s="50" t="str">
        <f t="shared" si="22"/>
        <v>Check Data</v>
      </c>
      <c r="AT28" s="49" t="str">
        <f>IF(B28="","",IF(K28="S1","S1",INDEX(#REF!,#REF!)))</f>
        <v/>
      </c>
      <c r="AU28" s="49" t="str">
        <f t="shared" si="23"/>
        <v>M2</v>
      </c>
      <c r="AV28" s="50" t="b">
        <f t="shared" si="24"/>
        <v>0</v>
      </c>
      <c r="AW28" s="50"/>
    </row>
    <row r="29" spans="1:49" ht="21.75">
      <c r="A29" s="49">
        <v>27</v>
      </c>
      <c r="B29" s="50"/>
      <c r="C29" s="50"/>
      <c r="D29" s="50" t="s">
        <v>139</v>
      </c>
      <c r="E29" s="49" t="s">
        <v>164</v>
      </c>
      <c r="F29" s="49" t="str">
        <f t="shared" si="0"/>
        <v>01/05/1990</v>
      </c>
      <c r="G29" s="50">
        <f t="shared" si="1"/>
        <v>35</v>
      </c>
      <c r="H29" s="50">
        <f t="shared" si="2"/>
        <v>1</v>
      </c>
      <c r="I29" s="50">
        <f t="shared" si="3"/>
        <v>19</v>
      </c>
      <c r="J29" s="56"/>
      <c r="K29" s="49" t="s">
        <v>136</v>
      </c>
      <c r="L29" s="49" t="str">
        <f>IF(B29="","",IF(K29="S1",K29,INDEX(#REF!,#REF!)))</f>
        <v/>
      </c>
      <c r="M29" s="49" t="b">
        <f t="shared" si="4"/>
        <v>0</v>
      </c>
      <c r="N29" s="64"/>
      <c r="O29" s="49" t="s">
        <v>425</v>
      </c>
      <c r="P29" s="49">
        <v>2570</v>
      </c>
      <c r="Q29" s="65" t="s">
        <v>211</v>
      </c>
      <c r="R29" s="49" t="str">
        <f t="shared" si="5"/>
        <v>01/05/2014</v>
      </c>
      <c r="S29" s="49" t="str">
        <f>IF(B29="","",IF(K29="S1",K29,INDEX(#REF!,#REF!)))</f>
        <v/>
      </c>
      <c r="T29" s="49" t="b">
        <f t="shared" si="6"/>
        <v>0</v>
      </c>
      <c r="U29" s="68">
        <f t="shared" si="7"/>
        <v>11</v>
      </c>
      <c r="V29" s="68">
        <f t="shared" si="8"/>
        <v>1</v>
      </c>
      <c r="W29" s="68">
        <f t="shared" si="9"/>
        <v>19</v>
      </c>
      <c r="X29" s="68"/>
      <c r="Y29" s="65"/>
      <c r="Z29" s="65"/>
      <c r="AA29" s="49" t="str">
        <f t="shared" si="10"/>
        <v/>
      </c>
      <c r="AB29" s="68">
        <f t="shared" si="11"/>
        <v>0</v>
      </c>
      <c r="AC29" s="68">
        <f t="shared" si="12"/>
        <v>0</v>
      </c>
      <c r="AD29" s="68">
        <f t="shared" si="13"/>
        <v>0</v>
      </c>
      <c r="AE29" s="49"/>
      <c r="AF29" s="65"/>
      <c r="AG29" s="50" t="str">
        <f t="shared" si="14"/>
        <v/>
      </c>
      <c r="AH29" s="68">
        <f t="shared" si="15"/>
        <v>0</v>
      </c>
      <c r="AI29" s="68">
        <f t="shared" si="16"/>
        <v>0</v>
      </c>
      <c r="AJ29" s="68">
        <f t="shared" si="17"/>
        <v>0</v>
      </c>
      <c r="AK29" s="50"/>
      <c r="AL29" s="50" t="s">
        <v>167</v>
      </c>
      <c r="AM29" s="129" t="str">
        <f>IF(B29="","",IF(K29="S1",K29,INDEX(#REF!,#REF!)))</f>
        <v/>
      </c>
      <c r="AN29" s="50" t="b">
        <f t="shared" si="18"/>
        <v>0</v>
      </c>
      <c r="AO29" s="49" t="str">
        <f t="shared" si="19"/>
        <v>K5-POLICY</v>
      </c>
      <c r="AP29" s="72" t="str">
        <f>_xlfn.IFS(B29="","",AND(AO29="K5-LAW",AL29="นิติศาสตร์",K29="S2",Y29="",AE29=""),R29,AND(AO29="K5-LAW",AL29="นิติศาสตร์",K29="S1",Y29="",AE29=""),EDATE(R29,12),AND(AO29="K5-LAW",AL29="นิติศาสตร์",OR(K29="M2",K29="K4"),Y29="",AE29=""),EDATE(R29,12*2),AND(AO29="K5-LAW",AL29="นิติศาสตร์",OR(AE29="M2",AE29="K4"),AH29&gt;=2,OR(AG29&lt;AA29,AG29&lt;R29)),EDATE(AG29,12*2),AND(AO29="K5-LAW",AL29="นิติศาสตร์",AE29="S1",AH29&gt;=1,OR(AG29&lt;AA29,AG29&lt;R29)),EDATE(AG29,12),AND(AO29="K5-LAW",AL29="นิติศาสตร์",OR(Y29="M2",Y29="K4"),AB29&gt;=2,AA29&lt;R29),EDATE(AA29,12*2),AND(AO29="K5-LAW",AL29="นิติศาสตร์",Y29="S1",AB29&gt;=1,AA29&lt;R29),EDATE(AA29,12),AND(AO29="K5-LAW",AL29="นิติศาสตร์",OR(Y29="S2",Y29="K5")),AA29,AND(AO29="K5-LAW",AL29="นิติศาสตร์",OR(K29="M2",K29="K4"),U29&gt;=2),EDATE(R29,12*2),AND(AO29="K5-LAW",AL29="นิติศาสตร์",K29="S1",U29&gt;=1),EDATE(R29,12),AND(AO29="K5-LAW",AL29="นิติศาสตร์",OR(K29="S2",K29="K5")),R29,AND(AO29="K5-POLICY",AL29&lt;&gt;"นิติศาสตร์",K29="S2",Y29="",AE29=""),R29,AND(AO29="K5-POLICY",AL29&lt;&gt;"นิติศาสตร์",K29="S1",Y29="",AE29=""),EDATE(R29,12),AND(AO29="K5-POLICY",AL29&lt;&gt;"นิติศาสตร์",OR(K29="M2",K29="K4"),Y29="",AE29=""),EDATE(R29,12*2),AND(AO29="K5-POLICY",AL29&lt;&gt;"นิติศาสตร์",OR(AE29="M2",AE29="K4"),AH29&gt;=2,OR(AG29&lt;AA29,AG29&lt;R29)),EDATE(AG29,12*2),AND(AO29="K5-POLICY",AL29&lt;&gt;"นิติศาสตร์",AE29="S1",AH29&gt;=1,OR(AG29&lt;AA29,AG29&lt;R29)),EDATE(AG29,12),AND(AO29="K5-POLICY",AL29&lt;&gt;"นิติศาสตร์",OR(Y29="M2",Y29="K4"),AB29&gt;=2,AA29&lt;R29),EDATE(AA29,12*2),AND(AO29="K5-POLICY",AL29&lt;&gt;"นิติศาสตร์",Y29="S1",AB29&gt;=1,AA29&lt;R29),EDATE(AA29,12),AND(AO29="K5-POLICY",AL29&lt;&gt;"นิติศาสตร์",OR(Y29="S2",Y29="K5")),AA29,AND(AO29="K5-POLICY",AL29&lt;&gt;"นิติศาสตร์",OR(K29="M2",K29="K4"),U29&gt;=2),EDATE(R29,12*2),AND(AO29="K5-POLICY",AL29&lt;&gt;"นิติศาสตร์",K29="S1",U29&gt;=1),EDATE(R29,12),AND(AO29="K5-POLICY",AL29&lt;&gt;"นิติศาสตร์",OR(K29="S2",K29="K5")),R29,TRUE,"Check Data")</f>
        <v/>
      </c>
      <c r="AQ29" s="75" t="str">
        <f t="shared" si="20"/>
        <v>Check Data</v>
      </c>
      <c r="AR29" s="76" t="str">
        <f t="shared" si="21"/>
        <v>Check Data</v>
      </c>
      <c r="AS29" s="50" t="str">
        <f t="shared" si="22"/>
        <v>Check Data</v>
      </c>
      <c r="AT29" s="49" t="str">
        <f>IF(B29="","",IF(K29="S1","S1",INDEX(#REF!,#REF!)))</f>
        <v/>
      </c>
      <c r="AU29" s="49" t="str">
        <f t="shared" si="23"/>
        <v>M2</v>
      </c>
      <c r="AV29" s="50" t="b">
        <f t="shared" si="24"/>
        <v>0</v>
      </c>
      <c r="AW29" s="50"/>
    </row>
    <row r="30" spans="1:49" ht="21.75">
      <c r="A30" s="49">
        <v>28</v>
      </c>
      <c r="B30" s="50"/>
      <c r="C30" s="50"/>
      <c r="D30" s="50" t="s">
        <v>144</v>
      </c>
      <c r="E30" s="49" t="s">
        <v>382</v>
      </c>
      <c r="F30" s="49" t="str">
        <f t="shared" si="0"/>
        <v>01/05/1989</v>
      </c>
      <c r="G30" s="50">
        <f t="shared" si="1"/>
        <v>36</v>
      </c>
      <c r="H30" s="50">
        <f t="shared" si="2"/>
        <v>1</v>
      </c>
      <c r="I30" s="50">
        <f t="shared" si="3"/>
        <v>19</v>
      </c>
      <c r="J30" s="57"/>
      <c r="K30" s="49" t="s">
        <v>136</v>
      </c>
      <c r="L30" s="49" t="str">
        <f>IF(B30="","",IF(K30="S1",K30,INDEX(#REF!,#REF!)))</f>
        <v/>
      </c>
      <c r="M30" s="49" t="b">
        <f t="shared" si="4"/>
        <v>0</v>
      </c>
      <c r="N30" s="64"/>
      <c r="O30" s="49" t="s">
        <v>425</v>
      </c>
      <c r="P30" s="49">
        <v>2572</v>
      </c>
      <c r="Q30" s="65" t="s">
        <v>388</v>
      </c>
      <c r="R30" s="49" t="str">
        <f t="shared" si="5"/>
        <v>16/07/2015</v>
      </c>
      <c r="S30" s="49" t="str">
        <f>IF(B30="","",IF(K30="S1",K30,INDEX(#REF!,#REF!)))</f>
        <v/>
      </c>
      <c r="T30" s="49" t="b">
        <f t="shared" si="6"/>
        <v>0</v>
      </c>
      <c r="U30" s="68">
        <f t="shared" si="7"/>
        <v>9</v>
      </c>
      <c r="V30" s="68">
        <f t="shared" si="8"/>
        <v>11</v>
      </c>
      <c r="W30" s="68">
        <f t="shared" si="9"/>
        <v>4</v>
      </c>
      <c r="X30" s="68"/>
      <c r="Y30" s="65"/>
      <c r="Z30" s="65"/>
      <c r="AA30" s="49" t="str">
        <f t="shared" si="10"/>
        <v/>
      </c>
      <c r="AB30" s="68">
        <f t="shared" si="11"/>
        <v>0</v>
      </c>
      <c r="AC30" s="68">
        <f t="shared" si="12"/>
        <v>0</v>
      </c>
      <c r="AD30" s="68">
        <f t="shared" si="13"/>
        <v>0</v>
      </c>
      <c r="AE30" s="49"/>
      <c r="AF30" s="65"/>
      <c r="AG30" s="50" t="str">
        <f t="shared" si="14"/>
        <v/>
      </c>
      <c r="AH30" s="68">
        <f t="shared" si="15"/>
        <v>0</v>
      </c>
      <c r="AI30" s="68">
        <f t="shared" si="16"/>
        <v>0</v>
      </c>
      <c r="AJ30" s="68">
        <f t="shared" si="17"/>
        <v>0</v>
      </c>
      <c r="AK30" s="50"/>
      <c r="AL30" s="50" t="s">
        <v>509</v>
      </c>
      <c r="AM30" s="50" t="str">
        <f>IF(B30="","",IF(K30="S1",K30,INDEX(#REF!,#REF!)))</f>
        <v/>
      </c>
      <c r="AN30" s="50" t="b">
        <f t="shared" si="18"/>
        <v>0</v>
      </c>
      <c r="AO30" s="49" t="str">
        <f t="shared" si="19"/>
        <v>K5-POLICY</v>
      </c>
      <c r="AP30" s="72" t="str">
        <f>_xlfn.IFS(B30="","",AND(AO30="K5-LAW",AL30="นิติศาสตร์",K30="S2",Y30="",AE30=""),R30,AND(AO30="K5-LAW",AL30="นิติศาสตร์",K30="S1",Y30="",AE30=""),EDATE(R30,12),AND(AO30="K5-LAW",AL30="นิติศาสตร์",OR(K30="M2",K30="K4"),Y30="",AE30=""),EDATE(R30,12*2),AND(AO30="K5-LAW",AL30="นิติศาสตร์",OR(AE30="M2",AE30="K4"),AH30&gt;=2,OR(AG30&lt;AA30,AG30&lt;R30)),EDATE(AG30,12*2),AND(AO30="K5-LAW",AL30="นิติศาสตร์",AE30="S1",AH30&gt;=1,OR(AG30&lt;AA30,AG30&lt;R30)),EDATE(AG30,12),AND(AO30="K5-LAW",AL30="นิติศาสตร์",OR(Y30="M2",Y30="K4"),AB30&gt;=2,AA30&lt;R30),EDATE(AA30,12*2),AND(AO30="K5-LAW",AL30="นิติศาสตร์",Y30="S1",AB30&gt;=1,AA30&lt;R30),EDATE(AA30,12),AND(AO30="K5-LAW",AL30="นิติศาสตร์",OR(Y30="S2",Y30="K5")),AA30,AND(AO30="K5-LAW",AL30="นิติศาสตร์",OR(K30="M2",K30="K4"),U30&gt;=2),EDATE(R30,12*2),AND(AO30="K5-LAW",AL30="นิติศาสตร์",K30="S1",U30&gt;=1),EDATE(R30,12),AND(AO30="K5-LAW",AL30="นิติศาสตร์",OR(K30="S2",K30="K5")),R30,AND(AO30="K5-POLICY",AL30&lt;&gt;"นิติศาสตร์",K30="S2",Y30="",AE30=""),R30,AND(AO30="K5-POLICY",AL30&lt;&gt;"นิติศาสตร์",K30="S1",Y30="",AE30=""),EDATE(R30,12),AND(AO30="K5-POLICY",AL30&lt;&gt;"นิติศาสตร์",OR(K30="M2",K30="K4"),Y30="",AE30=""),EDATE(R30,12*2),AND(AO30="K5-POLICY",AL30&lt;&gt;"นิติศาสตร์",OR(AE30="M2",AE30="K4"),AH30&gt;=2,OR(AG30&lt;AA30,AG30&lt;R30)),EDATE(AG30,12*2),AND(AO30="K5-POLICY",AL30&lt;&gt;"นิติศาสตร์",AE30="S1",AH30&gt;=1,OR(AG30&lt;AA30,AG30&lt;R30)),EDATE(AG30,12),AND(AO30="K5-POLICY",AL30&lt;&gt;"นิติศาสตร์",OR(Y30="M2",Y30="K4"),AB30&gt;=2,AA30&lt;R30),EDATE(AA30,12*2),AND(AO30="K5-POLICY",AL30&lt;&gt;"นิติศาสตร์",Y30="S1",AB30&gt;=1,AA30&lt;R30),EDATE(AA30,12),AND(AO30="K5-POLICY",AL30&lt;&gt;"นิติศาสตร์",OR(Y30="S2",Y30="K5")),AA30,AND(AO30="K5-POLICY",AL30&lt;&gt;"นิติศาสตร์",OR(K30="M2",K30="K4"),U30&gt;=2),EDATE(R30,12*2),AND(AO30="K5-POLICY",AL30&lt;&gt;"นิติศาสตร์",K30="S1",U30&gt;=1),EDATE(R30,12),AND(AO30="K5-POLICY",AL30&lt;&gt;"นิติศาสตร์",OR(K30="S2",K30="K5")),R30,TRUE,"Check Data")</f>
        <v/>
      </c>
      <c r="AQ30" s="75" t="str">
        <f t="shared" si="20"/>
        <v>Check Data</v>
      </c>
      <c r="AR30" s="76" t="str">
        <f t="shared" si="21"/>
        <v>Check Data</v>
      </c>
      <c r="AS30" s="50" t="str">
        <f t="shared" si="22"/>
        <v>Check Data</v>
      </c>
      <c r="AT30" s="49" t="str">
        <f>IF(B30="","",IF(K30="S1","S1",INDEX(#REF!,#REF!)))</f>
        <v/>
      </c>
      <c r="AU30" s="49" t="str">
        <f t="shared" si="23"/>
        <v>M2</v>
      </c>
      <c r="AV30" s="50" t="b">
        <f t="shared" si="24"/>
        <v>0</v>
      </c>
      <c r="AW30" s="50"/>
    </row>
    <row r="31" spans="1:49" ht="21.75">
      <c r="A31" s="49">
        <v>29</v>
      </c>
      <c r="B31" s="50"/>
      <c r="C31" s="50"/>
      <c r="D31" s="50" t="s">
        <v>142</v>
      </c>
      <c r="E31" s="49" t="s">
        <v>283</v>
      </c>
      <c r="F31" s="49" t="str">
        <f t="shared" si="0"/>
        <v>01/04/1998</v>
      </c>
      <c r="G31" s="50">
        <f t="shared" si="1"/>
        <v>27</v>
      </c>
      <c r="H31" s="50">
        <f t="shared" si="2"/>
        <v>2</v>
      </c>
      <c r="I31" s="50">
        <f t="shared" si="3"/>
        <v>19</v>
      </c>
      <c r="J31" s="58"/>
      <c r="K31" s="49" t="s">
        <v>136</v>
      </c>
      <c r="L31" s="49" t="str">
        <f>IF(B31="","",IF(K31="S1",K31,INDEX(#REF!,#REF!)))</f>
        <v/>
      </c>
      <c r="M31" s="49" t="b">
        <f t="shared" si="4"/>
        <v>0</v>
      </c>
      <c r="N31" s="64"/>
      <c r="O31" s="49" t="s">
        <v>425</v>
      </c>
      <c r="P31" s="49">
        <v>2575</v>
      </c>
      <c r="Q31" s="65" t="s">
        <v>284</v>
      </c>
      <c r="R31" s="49" t="str">
        <f t="shared" si="5"/>
        <v>21/04/2016</v>
      </c>
      <c r="S31" s="49" t="str">
        <f>IF(B31="","",IF(K31="S1",K31,INDEX(#REF!,#REF!)))</f>
        <v/>
      </c>
      <c r="T31" s="49" t="b">
        <f t="shared" si="6"/>
        <v>0</v>
      </c>
      <c r="U31" s="68">
        <f t="shared" si="7"/>
        <v>9</v>
      </c>
      <c r="V31" s="68">
        <f t="shared" si="8"/>
        <v>1</v>
      </c>
      <c r="W31" s="68">
        <f t="shared" si="9"/>
        <v>30</v>
      </c>
      <c r="X31" s="68"/>
      <c r="Y31" s="65"/>
      <c r="Z31" s="65"/>
      <c r="AA31" s="49" t="str">
        <f t="shared" si="10"/>
        <v/>
      </c>
      <c r="AB31" s="68">
        <f t="shared" si="11"/>
        <v>0</v>
      </c>
      <c r="AC31" s="68">
        <f t="shared" si="12"/>
        <v>0</v>
      </c>
      <c r="AD31" s="68">
        <f t="shared" si="13"/>
        <v>0</v>
      </c>
      <c r="AE31" s="49"/>
      <c r="AF31" s="65"/>
      <c r="AG31" s="50" t="str">
        <f t="shared" si="14"/>
        <v/>
      </c>
      <c r="AH31" s="68">
        <f t="shared" si="15"/>
        <v>0</v>
      </c>
      <c r="AI31" s="68">
        <f t="shared" si="16"/>
        <v>0</v>
      </c>
      <c r="AJ31" s="68">
        <f t="shared" si="17"/>
        <v>0</v>
      </c>
      <c r="AK31" s="50"/>
      <c r="AL31" s="50" t="s">
        <v>138</v>
      </c>
      <c r="AM31" s="50" t="str">
        <f>IF(B31="","",IF(K31="S1",K31,INDEX(#REF!,#REF!)))</f>
        <v/>
      </c>
      <c r="AN31" s="50" t="b">
        <f t="shared" si="18"/>
        <v>0</v>
      </c>
      <c r="AO31" s="49" t="str">
        <f t="shared" si="19"/>
        <v>K5-LAW</v>
      </c>
      <c r="AP31" s="72" t="str">
        <f>_xlfn.IFS(B31="","",AND(AO31="K5-LAW",AL31="นิติศาสตร์",K31="S2",Y31="",AE31=""),R31,AND(AO31="K5-LAW",AL31="นิติศาสตร์",K31="S1",Y31="",AE31=""),EDATE(R31,12),AND(AO31="K5-LAW",AL31="นิติศาสตร์",OR(K31="M2",K31="K4"),Y31="",AE31=""),EDATE(R31,12*2),AND(AO31="K5-LAW",AL31="นิติศาสตร์",OR(AE31="M2",AE31="K4"),AH31&gt;=2,OR(AG31&lt;AA31,AG31&lt;R31)),EDATE(AG31,12*2),AND(AO31="K5-LAW",AL31="นิติศาสตร์",AE31="S1",AH31&gt;=1,OR(AG31&lt;AA31,AG31&lt;R31)),EDATE(AG31,12),AND(AO31="K5-LAW",AL31="นิติศาสตร์",OR(Y31="M2",Y31="K4"),AB31&gt;=2,AA31&lt;R31),EDATE(AA31,12*2),AND(AO31="K5-LAW",AL31="นิติศาสตร์",Y31="S1",AB31&gt;=1,AA31&lt;R31),EDATE(AA31,12),AND(AO31="K5-LAW",AL31="นิติศาสตร์",OR(Y31="S2",Y31="K5")),AA31,AND(AO31="K5-LAW",AL31="นิติศาสตร์",OR(K31="M2",K31="K4"),U31&gt;=2),EDATE(R31,12*2),AND(AO31="K5-LAW",AL31="นิติศาสตร์",K31="S1",U31&gt;=1),EDATE(R31,12),AND(AO31="K5-LAW",AL31="นิติศาสตร์",OR(K31="S2",K31="K5")),R31,AND(AO31="K5-POLICY",AL31&lt;&gt;"นิติศาสตร์",K31="S2",Y31="",AE31=""),R31,AND(AO31="K5-POLICY",AL31&lt;&gt;"นิติศาสตร์",K31="S1",Y31="",AE31=""),EDATE(R31,12),AND(AO31="K5-POLICY",AL31&lt;&gt;"นิติศาสตร์",OR(K31="M2",K31="K4"),Y31="",AE31=""),EDATE(R31,12*2),AND(AO31="K5-POLICY",AL31&lt;&gt;"นิติศาสตร์",OR(AE31="M2",AE31="K4"),AH31&gt;=2,OR(AG31&lt;AA31,AG31&lt;R31)),EDATE(AG31,12*2),AND(AO31="K5-POLICY",AL31&lt;&gt;"นิติศาสตร์",AE31="S1",AH31&gt;=1,OR(AG31&lt;AA31,AG31&lt;R31)),EDATE(AG31,12),AND(AO31="K5-POLICY",AL31&lt;&gt;"นิติศาสตร์",OR(Y31="M2",Y31="K4"),AB31&gt;=2,AA31&lt;R31),EDATE(AA31,12*2),AND(AO31="K5-POLICY",AL31&lt;&gt;"นิติศาสตร์",Y31="S1",AB31&gt;=1,AA31&lt;R31),EDATE(AA31,12),AND(AO31="K5-POLICY",AL31&lt;&gt;"นิติศาสตร์",OR(Y31="S2",Y31="K5")),AA31,AND(AO31="K5-POLICY",AL31&lt;&gt;"นิติศาสตร์",OR(K31="M2",K31="K4"),U31&gt;=2),EDATE(R31,12*2),AND(AO31="K5-POLICY",AL31&lt;&gt;"นิติศาสตร์",K31="S1",U31&gt;=1),EDATE(R31,12),AND(AO31="K5-POLICY",AL31&lt;&gt;"นิติศาสตร์",OR(K31="S2",K31="K5")),R31,TRUE,"Check Data")</f>
        <v/>
      </c>
      <c r="AQ31" s="75" t="str">
        <f t="shared" si="20"/>
        <v>Check Data</v>
      </c>
      <c r="AR31" s="76" t="str">
        <f t="shared" si="21"/>
        <v>Check Data</v>
      </c>
      <c r="AS31" s="50" t="str">
        <f t="shared" si="22"/>
        <v>Check Data</v>
      </c>
      <c r="AT31" s="49" t="str">
        <f>IF(B31="","",IF(K31="S1","S1",INDEX(#REF!,#REF!)))</f>
        <v/>
      </c>
      <c r="AU31" s="49" t="str">
        <f t="shared" si="23"/>
        <v>M2</v>
      </c>
      <c r="AV31" s="50" t="b">
        <f t="shared" si="24"/>
        <v>0</v>
      </c>
      <c r="AW31" s="50"/>
    </row>
    <row r="32" spans="1:49" ht="21.75">
      <c r="A32" s="49">
        <v>30</v>
      </c>
      <c r="B32" s="50"/>
      <c r="C32" s="50"/>
      <c r="D32" s="50" t="s">
        <v>142</v>
      </c>
      <c r="E32" s="49" t="s">
        <v>262</v>
      </c>
      <c r="F32" s="49" t="str">
        <f t="shared" si="0"/>
        <v>11/04/1996</v>
      </c>
      <c r="G32" s="50">
        <f t="shared" si="1"/>
        <v>29</v>
      </c>
      <c r="H32" s="50">
        <f t="shared" si="2"/>
        <v>2</v>
      </c>
      <c r="I32" s="50">
        <f t="shared" si="3"/>
        <v>9</v>
      </c>
      <c r="J32" s="58"/>
      <c r="K32" s="49" t="s">
        <v>136</v>
      </c>
      <c r="L32" s="49" t="str">
        <f>IF(B32="","",IF(K32="S1",K32,INDEX(#REF!,#REF!)))</f>
        <v/>
      </c>
      <c r="M32" s="49" t="b">
        <f t="shared" si="4"/>
        <v>0</v>
      </c>
      <c r="N32" s="64"/>
      <c r="O32" s="49" t="s">
        <v>425</v>
      </c>
      <c r="P32" s="49">
        <v>2573</v>
      </c>
      <c r="Q32" s="65" t="s">
        <v>205</v>
      </c>
      <c r="R32" s="49" t="str">
        <f t="shared" si="5"/>
        <v>26/10/2016</v>
      </c>
      <c r="S32" s="49" t="str">
        <f>IF(B32="","",IF(K32="S1",K32,INDEX(#REF!,#REF!)))</f>
        <v/>
      </c>
      <c r="T32" s="49" t="b">
        <f t="shared" si="6"/>
        <v>0</v>
      </c>
      <c r="U32" s="68">
        <f t="shared" si="7"/>
        <v>8</v>
      </c>
      <c r="V32" s="68">
        <f t="shared" si="8"/>
        <v>7</v>
      </c>
      <c r="W32" s="68">
        <f t="shared" si="9"/>
        <v>25</v>
      </c>
      <c r="X32" s="68"/>
      <c r="Y32" s="65"/>
      <c r="Z32" s="65"/>
      <c r="AA32" s="49" t="str">
        <f t="shared" si="10"/>
        <v/>
      </c>
      <c r="AB32" s="68">
        <f t="shared" si="11"/>
        <v>0</v>
      </c>
      <c r="AC32" s="68">
        <f t="shared" si="12"/>
        <v>0</v>
      </c>
      <c r="AD32" s="68">
        <f t="shared" si="13"/>
        <v>0</v>
      </c>
      <c r="AE32" s="49"/>
      <c r="AF32" s="65"/>
      <c r="AG32" s="50" t="str">
        <f t="shared" si="14"/>
        <v/>
      </c>
      <c r="AH32" s="68">
        <f t="shared" si="15"/>
        <v>0</v>
      </c>
      <c r="AI32" s="68">
        <f t="shared" si="16"/>
        <v>0</v>
      </c>
      <c r="AJ32" s="68">
        <f t="shared" si="17"/>
        <v>0</v>
      </c>
      <c r="AK32" s="50"/>
      <c r="AL32" s="50" t="s">
        <v>138</v>
      </c>
      <c r="AM32" s="50" t="str">
        <f>IF(B32="","",IF(K32="S1",K32,INDEX(#REF!,#REF!)))</f>
        <v/>
      </c>
      <c r="AN32" s="50" t="b">
        <f t="shared" si="18"/>
        <v>0</v>
      </c>
      <c r="AO32" s="49" t="str">
        <f t="shared" si="19"/>
        <v>K5-LAW</v>
      </c>
      <c r="AP32" s="72" t="str">
        <f>_xlfn.IFS(B32="","",AND(AO32="K5-LAW",AL32="นิติศาสตร์",K32="S2",Y32="",AE32=""),R32,AND(AO32="K5-LAW",AL32="นิติศาสตร์",K32="S1",Y32="",AE32=""),EDATE(R32,12),AND(AO32="K5-LAW",AL32="นิติศาสตร์",OR(K32="M2",K32="K4"),Y32="",AE32=""),EDATE(R32,12*2),AND(AO32="K5-LAW",AL32="นิติศาสตร์",OR(AE32="M2",AE32="K4"),AH32&gt;=2,OR(AG32&lt;AA32,AG32&lt;R32)),EDATE(AG32,12*2),AND(AO32="K5-LAW",AL32="นิติศาสตร์",AE32="S1",AH32&gt;=1,OR(AG32&lt;AA32,AG32&lt;R32)),EDATE(AG32,12),AND(AO32="K5-LAW",AL32="นิติศาสตร์",OR(Y32="M2",Y32="K4"),AB32&gt;=2,AA32&lt;R32),EDATE(AA32,12*2),AND(AO32="K5-LAW",AL32="นิติศาสตร์",Y32="S1",AB32&gt;=1,AA32&lt;R32),EDATE(AA32,12),AND(AO32="K5-LAW",AL32="นิติศาสตร์",OR(Y32="S2",Y32="K5")),AA32,AND(AO32="K5-LAW",AL32="นิติศาสตร์",OR(K32="M2",K32="K4"),U32&gt;=2),EDATE(R32,12*2),AND(AO32="K5-LAW",AL32="นิติศาสตร์",K32="S1",U32&gt;=1),EDATE(R32,12),AND(AO32="K5-LAW",AL32="นิติศาสตร์",OR(K32="S2",K32="K5")),R32,AND(AO32="K5-POLICY",AL32&lt;&gt;"นิติศาสตร์",K32="S2",Y32="",AE32=""),R32,AND(AO32="K5-POLICY",AL32&lt;&gt;"นิติศาสตร์",K32="S1",Y32="",AE32=""),EDATE(R32,12),AND(AO32="K5-POLICY",AL32&lt;&gt;"นิติศาสตร์",OR(K32="M2",K32="K4"),Y32="",AE32=""),EDATE(R32,12*2),AND(AO32="K5-POLICY",AL32&lt;&gt;"นิติศาสตร์",OR(AE32="M2",AE32="K4"),AH32&gt;=2,OR(AG32&lt;AA32,AG32&lt;R32)),EDATE(AG32,12*2),AND(AO32="K5-POLICY",AL32&lt;&gt;"นิติศาสตร์",AE32="S1",AH32&gt;=1,OR(AG32&lt;AA32,AG32&lt;R32)),EDATE(AG32,12),AND(AO32="K5-POLICY",AL32&lt;&gt;"นิติศาสตร์",OR(Y32="M2",Y32="K4"),AB32&gt;=2,AA32&lt;R32),EDATE(AA32,12*2),AND(AO32="K5-POLICY",AL32&lt;&gt;"นิติศาสตร์",Y32="S1",AB32&gt;=1,AA32&lt;R32),EDATE(AA32,12),AND(AO32="K5-POLICY",AL32&lt;&gt;"นิติศาสตร์",OR(Y32="S2",Y32="K5")),AA32,AND(AO32="K5-POLICY",AL32&lt;&gt;"นิติศาสตร์",OR(K32="M2",K32="K4"),U32&gt;=2),EDATE(R32,12*2),AND(AO32="K5-POLICY",AL32&lt;&gt;"นิติศาสตร์",K32="S1",U32&gt;=1),EDATE(R32,12),AND(AO32="K5-POLICY",AL32&lt;&gt;"นิติศาสตร์",OR(K32="S2",K32="K5")),R32,TRUE,"Check Data")</f>
        <v/>
      </c>
      <c r="AQ32" s="75" t="str">
        <f t="shared" si="20"/>
        <v>Check Data</v>
      </c>
      <c r="AR32" s="76" t="str">
        <f t="shared" si="21"/>
        <v>Check Data</v>
      </c>
      <c r="AS32" s="50" t="str">
        <f t="shared" si="22"/>
        <v>Check Data</v>
      </c>
      <c r="AT32" s="49" t="str">
        <f>IF(B32="","",IF(K32="S1","S1",INDEX(#REF!,#REF!)))</f>
        <v/>
      </c>
      <c r="AU32" s="49" t="str">
        <f t="shared" si="23"/>
        <v>M2</v>
      </c>
      <c r="AV32" s="50" t="b">
        <f t="shared" si="24"/>
        <v>0</v>
      </c>
      <c r="AW32" s="50"/>
    </row>
    <row r="33" spans="1:49" ht="21.75">
      <c r="A33" s="49">
        <v>31</v>
      </c>
      <c r="B33" s="50"/>
      <c r="C33" s="50"/>
      <c r="D33" s="50" t="s">
        <v>139</v>
      </c>
      <c r="E33" s="49" t="s">
        <v>208</v>
      </c>
      <c r="F33" s="49" t="str">
        <f t="shared" si="0"/>
        <v>01/02/1990</v>
      </c>
      <c r="G33" s="50">
        <f t="shared" si="1"/>
        <v>35</v>
      </c>
      <c r="H33" s="50">
        <f t="shared" si="2"/>
        <v>4</v>
      </c>
      <c r="I33" s="50">
        <f t="shared" si="3"/>
        <v>19</v>
      </c>
      <c r="J33" s="56"/>
      <c r="K33" s="49" t="s">
        <v>136</v>
      </c>
      <c r="L33" s="49" t="str">
        <f>IF(B33="","",IF(K33="S1",K33,INDEX(#REF!,#REF!)))</f>
        <v/>
      </c>
      <c r="M33" s="49" t="b">
        <f t="shared" si="4"/>
        <v>0</v>
      </c>
      <c r="N33" s="64"/>
      <c r="O33" s="49" t="s">
        <v>425</v>
      </c>
      <c r="P33" s="49">
        <v>2569</v>
      </c>
      <c r="Q33" s="65" t="s">
        <v>209</v>
      </c>
      <c r="R33" s="49" t="str">
        <f t="shared" si="5"/>
        <v>19/12/2016</v>
      </c>
      <c r="S33" s="49" t="str">
        <f>IF(B33="","",IF(K33="S1",K33,INDEX(#REF!,#REF!)))</f>
        <v/>
      </c>
      <c r="T33" s="49" t="b">
        <f t="shared" si="6"/>
        <v>0</v>
      </c>
      <c r="U33" s="68">
        <f t="shared" si="7"/>
        <v>8</v>
      </c>
      <c r="V33" s="68">
        <f t="shared" si="8"/>
        <v>6</v>
      </c>
      <c r="W33" s="68">
        <f t="shared" si="9"/>
        <v>1</v>
      </c>
      <c r="X33" s="68"/>
      <c r="Y33" s="65"/>
      <c r="Z33" s="65"/>
      <c r="AA33" s="49" t="str">
        <f t="shared" si="10"/>
        <v/>
      </c>
      <c r="AB33" s="68">
        <f t="shared" si="11"/>
        <v>0</v>
      </c>
      <c r="AC33" s="68">
        <f t="shared" si="12"/>
        <v>0</v>
      </c>
      <c r="AD33" s="68">
        <f t="shared" si="13"/>
        <v>0</v>
      </c>
      <c r="AE33" s="49"/>
      <c r="AF33" s="65"/>
      <c r="AG33" s="50" t="str">
        <f t="shared" si="14"/>
        <v/>
      </c>
      <c r="AH33" s="68">
        <f t="shared" si="15"/>
        <v>0</v>
      </c>
      <c r="AI33" s="68">
        <f t="shared" si="16"/>
        <v>0</v>
      </c>
      <c r="AJ33" s="68">
        <f t="shared" si="17"/>
        <v>0</v>
      </c>
      <c r="AK33" s="50"/>
      <c r="AL33" s="50" t="s">
        <v>165</v>
      </c>
      <c r="AM33" s="129" t="str">
        <f>IF(B33="","",IF(K33="S1",K33,INDEX(#REF!,#REF!)))</f>
        <v/>
      </c>
      <c r="AN33" s="50" t="b">
        <f t="shared" si="18"/>
        <v>0</v>
      </c>
      <c r="AO33" s="49" t="str">
        <f t="shared" si="19"/>
        <v>K5-POLICY</v>
      </c>
      <c r="AP33" s="72" t="str">
        <f>_xlfn.IFS(B33="","",AND(AO33="K5-LAW",AL33="นิติศาสตร์",K33="S2",Y33="",AE33=""),R33,AND(AO33="K5-LAW",AL33="นิติศาสตร์",K33="S1",Y33="",AE33=""),EDATE(R33,12),AND(AO33="K5-LAW",AL33="นิติศาสตร์",OR(K33="M2",K33="K4"),Y33="",AE33=""),EDATE(R33,12*2),AND(AO33="K5-LAW",AL33="นิติศาสตร์",OR(AE33="M2",AE33="K4"),AH33&gt;=2,OR(AG33&lt;AA33,AG33&lt;R33)),EDATE(AG33,12*2),AND(AO33="K5-LAW",AL33="นิติศาสตร์",AE33="S1",AH33&gt;=1,OR(AG33&lt;AA33,AG33&lt;R33)),EDATE(AG33,12),AND(AO33="K5-LAW",AL33="นิติศาสตร์",OR(Y33="M2",Y33="K4"),AB33&gt;=2,AA33&lt;R33),EDATE(AA33,12*2),AND(AO33="K5-LAW",AL33="นิติศาสตร์",Y33="S1",AB33&gt;=1,AA33&lt;R33),EDATE(AA33,12),AND(AO33="K5-LAW",AL33="นิติศาสตร์",OR(Y33="S2",Y33="K5")),AA33,AND(AO33="K5-LAW",AL33="นิติศาสตร์",OR(K33="M2",K33="K4"),U33&gt;=2),EDATE(R33,12*2),AND(AO33="K5-LAW",AL33="นิติศาสตร์",K33="S1",U33&gt;=1),EDATE(R33,12),AND(AO33="K5-LAW",AL33="นิติศาสตร์",OR(K33="S2",K33="K5")),R33,AND(AO33="K5-POLICY",AL33&lt;&gt;"นิติศาสตร์",K33="S2",Y33="",AE33=""),R33,AND(AO33="K5-POLICY",AL33&lt;&gt;"นิติศาสตร์",K33="S1",Y33="",AE33=""),EDATE(R33,12),AND(AO33="K5-POLICY",AL33&lt;&gt;"นิติศาสตร์",OR(K33="M2",K33="K4"),Y33="",AE33=""),EDATE(R33,12*2),AND(AO33="K5-POLICY",AL33&lt;&gt;"นิติศาสตร์",OR(AE33="M2",AE33="K4"),AH33&gt;=2,OR(AG33&lt;AA33,AG33&lt;R33)),EDATE(AG33,12*2),AND(AO33="K5-POLICY",AL33&lt;&gt;"นิติศาสตร์",AE33="S1",AH33&gt;=1,OR(AG33&lt;AA33,AG33&lt;R33)),EDATE(AG33,12),AND(AO33="K5-POLICY",AL33&lt;&gt;"นิติศาสตร์",OR(Y33="M2",Y33="K4"),AB33&gt;=2,AA33&lt;R33),EDATE(AA33,12*2),AND(AO33="K5-POLICY",AL33&lt;&gt;"นิติศาสตร์",Y33="S1",AB33&gt;=1,AA33&lt;R33),EDATE(AA33,12),AND(AO33="K5-POLICY",AL33&lt;&gt;"นิติศาสตร์",OR(Y33="S2",Y33="K5")),AA33,AND(AO33="K5-POLICY",AL33&lt;&gt;"นิติศาสตร์",OR(K33="M2",K33="K4"),U33&gt;=2),EDATE(R33,12*2),AND(AO33="K5-POLICY",AL33&lt;&gt;"นิติศาสตร์",K33="S1",U33&gt;=1),EDATE(R33,12),AND(AO33="K5-POLICY",AL33&lt;&gt;"นิติศาสตร์",OR(K33="S2",K33="K5")),R33,TRUE,"Check Data")</f>
        <v/>
      </c>
      <c r="AQ33" s="75" t="str">
        <f t="shared" si="20"/>
        <v>Check Data</v>
      </c>
      <c r="AR33" s="76" t="str">
        <f t="shared" si="21"/>
        <v>Check Data</v>
      </c>
      <c r="AS33" s="50" t="str">
        <f t="shared" si="22"/>
        <v>Check Data</v>
      </c>
      <c r="AT33" s="49" t="str">
        <f>IF(B33="","",IF(K33="S1","S1",INDEX(#REF!,#REF!)))</f>
        <v/>
      </c>
      <c r="AU33" s="49" t="str">
        <f t="shared" si="23"/>
        <v>M2</v>
      </c>
      <c r="AV33" s="50" t="b">
        <f t="shared" si="24"/>
        <v>0</v>
      </c>
      <c r="AW33" s="50"/>
    </row>
    <row r="34" spans="1:49" ht="21.75">
      <c r="A34" s="49">
        <v>32</v>
      </c>
      <c r="B34" s="50"/>
      <c r="C34" s="50"/>
      <c r="D34" s="50" t="s">
        <v>139</v>
      </c>
      <c r="E34" s="49" t="s">
        <v>164</v>
      </c>
      <c r="F34" s="49" t="str">
        <f t="shared" si="0"/>
        <v>01/05/1990</v>
      </c>
      <c r="G34" s="50">
        <f t="shared" si="1"/>
        <v>35</v>
      </c>
      <c r="H34" s="50">
        <f t="shared" si="2"/>
        <v>1</v>
      </c>
      <c r="I34" s="50">
        <f t="shared" si="3"/>
        <v>19</v>
      </c>
      <c r="J34" s="56"/>
      <c r="K34" s="49" t="s">
        <v>136</v>
      </c>
      <c r="L34" s="49" t="str">
        <f>IF(B34="","",IF(K34="S1",K34,INDEX(#REF!,#REF!)))</f>
        <v/>
      </c>
      <c r="M34" s="49" t="b">
        <f t="shared" si="4"/>
        <v>0</v>
      </c>
      <c r="N34" s="64"/>
      <c r="O34" s="49" t="s">
        <v>425</v>
      </c>
      <c r="P34" s="49">
        <v>2570</v>
      </c>
      <c r="Q34" s="65" t="s">
        <v>209</v>
      </c>
      <c r="R34" s="49" t="str">
        <f t="shared" si="5"/>
        <v>19/12/2016</v>
      </c>
      <c r="S34" s="49" t="str">
        <f>IF(B34="","",IF(K34="S1",K34,INDEX(#REF!,#REF!)))</f>
        <v/>
      </c>
      <c r="T34" s="49" t="b">
        <f t="shared" si="6"/>
        <v>0</v>
      </c>
      <c r="U34" s="68">
        <f t="shared" si="7"/>
        <v>8</v>
      </c>
      <c r="V34" s="68">
        <f t="shared" si="8"/>
        <v>6</v>
      </c>
      <c r="W34" s="68">
        <f t="shared" si="9"/>
        <v>1</v>
      </c>
      <c r="X34" s="68"/>
      <c r="Y34" s="65"/>
      <c r="Z34" s="65"/>
      <c r="AA34" s="49" t="str">
        <f t="shared" si="10"/>
        <v/>
      </c>
      <c r="AB34" s="68">
        <f t="shared" si="11"/>
        <v>0</v>
      </c>
      <c r="AC34" s="68">
        <f t="shared" si="12"/>
        <v>0</v>
      </c>
      <c r="AD34" s="68">
        <f t="shared" si="13"/>
        <v>0</v>
      </c>
      <c r="AE34" s="49"/>
      <c r="AF34" s="65"/>
      <c r="AG34" s="50" t="str">
        <f t="shared" si="14"/>
        <v/>
      </c>
      <c r="AH34" s="68">
        <f t="shared" si="15"/>
        <v>0</v>
      </c>
      <c r="AI34" s="68">
        <f t="shared" si="16"/>
        <v>0</v>
      </c>
      <c r="AJ34" s="68">
        <f t="shared" si="17"/>
        <v>0</v>
      </c>
      <c r="AK34" s="50"/>
      <c r="AL34" s="50" t="s">
        <v>178</v>
      </c>
      <c r="AM34" s="50" t="str">
        <f>IF(B34="","",IF(K34="S1",K34,INDEX(#REF!,#REF!)))</f>
        <v/>
      </c>
      <c r="AN34" s="50" t="b">
        <f t="shared" si="18"/>
        <v>0</v>
      </c>
      <c r="AO34" s="49" t="str">
        <f t="shared" si="19"/>
        <v>K5-POLICY</v>
      </c>
      <c r="AP34" s="72" t="str">
        <f>_xlfn.IFS(B34="","",AND(AO34="K5-LAW",AL34="นิติศาสตร์",K34="S2",Y34="",AE34=""),R34,AND(AO34="K5-LAW",AL34="นิติศาสตร์",K34="S1",Y34="",AE34=""),EDATE(R34,12),AND(AO34="K5-LAW",AL34="นิติศาสตร์",OR(K34="M2",K34="K4"),Y34="",AE34=""),EDATE(R34,12*2),AND(AO34="K5-LAW",AL34="นิติศาสตร์",OR(AE34="M2",AE34="K4"),AH34&gt;=2,OR(AG34&lt;AA34,AG34&lt;R34)),EDATE(AG34,12*2),AND(AO34="K5-LAW",AL34="นิติศาสตร์",AE34="S1",AH34&gt;=1,OR(AG34&lt;AA34,AG34&lt;R34)),EDATE(AG34,12),AND(AO34="K5-LAW",AL34="นิติศาสตร์",OR(Y34="M2",Y34="K4"),AB34&gt;=2,AA34&lt;R34),EDATE(AA34,12*2),AND(AO34="K5-LAW",AL34="นิติศาสตร์",Y34="S1",AB34&gt;=1,AA34&lt;R34),EDATE(AA34,12),AND(AO34="K5-LAW",AL34="นิติศาสตร์",OR(Y34="S2",Y34="K5")),AA34,AND(AO34="K5-LAW",AL34="นิติศาสตร์",OR(K34="M2",K34="K4"),U34&gt;=2),EDATE(R34,12*2),AND(AO34="K5-LAW",AL34="นิติศาสตร์",K34="S1",U34&gt;=1),EDATE(R34,12),AND(AO34="K5-LAW",AL34="นิติศาสตร์",OR(K34="S2",K34="K5")),R34,AND(AO34="K5-POLICY",AL34&lt;&gt;"นิติศาสตร์",K34="S2",Y34="",AE34=""),R34,AND(AO34="K5-POLICY",AL34&lt;&gt;"นิติศาสตร์",K34="S1",Y34="",AE34=""),EDATE(R34,12),AND(AO34="K5-POLICY",AL34&lt;&gt;"นิติศาสตร์",OR(K34="M2",K34="K4"),Y34="",AE34=""),EDATE(R34,12*2),AND(AO34="K5-POLICY",AL34&lt;&gt;"นิติศาสตร์",OR(AE34="M2",AE34="K4"),AH34&gt;=2,OR(AG34&lt;AA34,AG34&lt;R34)),EDATE(AG34,12*2),AND(AO34="K5-POLICY",AL34&lt;&gt;"นิติศาสตร์",AE34="S1",AH34&gt;=1,OR(AG34&lt;AA34,AG34&lt;R34)),EDATE(AG34,12),AND(AO34="K5-POLICY",AL34&lt;&gt;"นิติศาสตร์",OR(Y34="M2",Y34="K4"),AB34&gt;=2,AA34&lt;R34),EDATE(AA34,12*2),AND(AO34="K5-POLICY",AL34&lt;&gt;"นิติศาสตร์",Y34="S1",AB34&gt;=1,AA34&lt;R34),EDATE(AA34,12),AND(AO34="K5-POLICY",AL34&lt;&gt;"นิติศาสตร์",OR(Y34="S2",Y34="K5")),AA34,AND(AO34="K5-POLICY",AL34&lt;&gt;"นิติศาสตร์",OR(K34="M2",K34="K4"),U34&gt;=2),EDATE(R34,12*2),AND(AO34="K5-POLICY",AL34&lt;&gt;"นิติศาสตร์",K34="S1",U34&gt;=1),EDATE(R34,12),AND(AO34="K5-POLICY",AL34&lt;&gt;"นิติศาสตร์",OR(K34="S2",K34="K5")),R34,TRUE,"Check Data")</f>
        <v/>
      </c>
      <c r="AQ34" s="75" t="str">
        <f t="shared" si="20"/>
        <v>Check Data</v>
      </c>
      <c r="AR34" s="76" t="str">
        <f t="shared" si="21"/>
        <v>Check Data</v>
      </c>
      <c r="AS34" s="50" t="str">
        <f t="shared" si="22"/>
        <v>Check Data</v>
      </c>
      <c r="AT34" s="49" t="str">
        <f>IF(B34="","",IF(K34="S1","S1",INDEX(#REF!,#REF!)))</f>
        <v/>
      </c>
      <c r="AU34" s="49" t="str">
        <f t="shared" si="23"/>
        <v>M2</v>
      </c>
      <c r="AV34" s="50" t="b">
        <f t="shared" si="24"/>
        <v>0</v>
      </c>
      <c r="AW34" s="50"/>
    </row>
    <row r="35" spans="1:49" ht="21.75">
      <c r="A35" s="49">
        <v>33</v>
      </c>
      <c r="B35" s="50"/>
      <c r="C35" s="50"/>
      <c r="D35" s="50" t="s">
        <v>142</v>
      </c>
      <c r="E35" s="49" t="s">
        <v>271</v>
      </c>
      <c r="F35" s="49" t="str">
        <f t="shared" si="0"/>
        <v>10/05/1999</v>
      </c>
      <c r="G35" s="50">
        <f t="shared" si="1"/>
        <v>26</v>
      </c>
      <c r="H35" s="50">
        <f t="shared" si="2"/>
        <v>1</v>
      </c>
      <c r="I35" s="50">
        <f t="shared" si="3"/>
        <v>10</v>
      </c>
      <c r="J35" s="58"/>
      <c r="K35" s="49" t="s">
        <v>136</v>
      </c>
      <c r="L35" s="49" t="str">
        <f>IF(B35="","",IF(K35="S1",K35,INDEX(#REF!,#REF!)))</f>
        <v/>
      </c>
      <c r="M35" s="49" t="b">
        <f t="shared" si="4"/>
        <v>0</v>
      </c>
      <c r="N35" s="64"/>
      <c r="O35" s="49" t="s">
        <v>425</v>
      </c>
      <c r="P35" s="49">
        <v>2573</v>
      </c>
      <c r="Q35" s="65" t="s">
        <v>272</v>
      </c>
      <c r="R35" s="49" t="str">
        <f t="shared" si="5"/>
        <v>03/07/2017</v>
      </c>
      <c r="S35" s="49" t="str">
        <f>IF(B35="","",IF(K35="S1",K35,INDEX(#REF!,#REF!)))</f>
        <v/>
      </c>
      <c r="T35" s="49" t="b">
        <f t="shared" si="6"/>
        <v>0</v>
      </c>
      <c r="U35" s="68">
        <f t="shared" si="7"/>
        <v>7</v>
      </c>
      <c r="V35" s="68">
        <f t="shared" si="8"/>
        <v>11</v>
      </c>
      <c r="W35" s="68">
        <f t="shared" si="9"/>
        <v>17</v>
      </c>
      <c r="X35" s="68"/>
      <c r="Y35" s="65"/>
      <c r="Z35" s="65"/>
      <c r="AA35" s="49" t="str">
        <f t="shared" si="10"/>
        <v/>
      </c>
      <c r="AB35" s="68">
        <f t="shared" si="11"/>
        <v>0</v>
      </c>
      <c r="AC35" s="68">
        <f t="shared" si="12"/>
        <v>0</v>
      </c>
      <c r="AD35" s="68">
        <f t="shared" si="13"/>
        <v>0</v>
      </c>
      <c r="AE35" s="49"/>
      <c r="AF35" s="65"/>
      <c r="AG35" s="50" t="str">
        <f t="shared" si="14"/>
        <v/>
      </c>
      <c r="AH35" s="68">
        <f t="shared" si="15"/>
        <v>0</v>
      </c>
      <c r="AI35" s="68">
        <f t="shared" si="16"/>
        <v>0</v>
      </c>
      <c r="AJ35" s="68">
        <f t="shared" si="17"/>
        <v>0</v>
      </c>
      <c r="AK35" s="50"/>
      <c r="AL35" s="50" t="s">
        <v>510</v>
      </c>
      <c r="AM35" s="50" t="str">
        <f>IF(B35="","",IF(K35="S1",K35,INDEX(#REF!,#REF!)))</f>
        <v/>
      </c>
      <c r="AN35" s="50" t="b">
        <f t="shared" si="18"/>
        <v>0</v>
      </c>
      <c r="AO35" s="49" t="str">
        <f t="shared" si="19"/>
        <v>K5-POLICY</v>
      </c>
      <c r="AP35" s="72" t="str">
        <f>_xlfn.IFS(B35="","",AND(AO35="K5-LAW",AL35="นิติศาสตร์",K35="S2",Y35="",AE35=""),R35,AND(AO35="K5-LAW",AL35="นิติศาสตร์",K35="S1",Y35="",AE35=""),EDATE(R35,12),AND(AO35="K5-LAW",AL35="นิติศาสตร์",OR(K35="M2",K35="K4"),Y35="",AE35=""),EDATE(R35,12*2),AND(AO35="K5-LAW",AL35="นิติศาสตร์",OR(AE35="M2",AE35="K4"),AH35&gt;=2,OR(AG35&lt;AA35,AG35&lt;R35)),EDATE(AG35,12*2),AND(AO35="K5-LAW",AL35="นิติศาสตร์",AE35="S1",AH35&gt;=1,OR(AG35&lt;AA35,AG35&lt;R35)),EDATE(AG35,12),AND(AO35="K5-LAW",AL35="นิติศาสตร์",OR(Y35="M2",Y35="K4"),AB35&gt;=2,AA35&lt;R35),EDATE(AA35,12*2),AND(AO35="K5-LAW",AL35="นิติศาสตร์",Y35="S1",AB35&gt;=1,AA35&lt;R35),EDATE(AA35,12),AND(AO35="K5-LAW",AL35="นิติศาสตร์",OR(Y35="S2",Y35="K5")),AA35,AND(AO35="K5-LAW",AL35="นิติศาสตร์",OR(K35="M2",K35="K4"),U35&gt;=2),EDATE(R35,12*2),AND(AO35="K5-LAW",AL35="นิติศาสตร์",K35="S1",U35&gt;=1),EDATE(R35,12),AND(AO35="K5-LAW",AL35="นิติศาสตร์",OR(K35="S2",K35="K5")),R35,AND(AO35="K5-POLICY",AL35&lt;&gt;"นิติศาสตร์",K35="S2",Y35="",AE35=""),R35,AND(AO35="K5-POLICY",AL35&lt;&gt;"นิติศาสตร์",K35="S1",Y35="",AE35=""),EDATE(R35,12),AND(AO35="K5-POLICY",AL35&lt;&gt;"นิติศาสตร์",OR(K35="M2",K35="K4"),Y35="",AE35=""),EDATE(R35,12*2),AND(AO35="K5-POLICY",AL35&lt;&gt;"นิติศาสตร์",OR(AE35="M2",AE35="K4"),AH35&gt;=2,OR(AG35&lt;AA35,AG35&lt;R35)),EDATE(AG35,12*2),AND(AO35="K5-POLICY",AL35&lt;&gt;"นิติศาสตร์",AE35="S1",AH35&gt;=1,OR(AG35&lt;AA35,AG35&lt;R35)),EDATE(AG35,12),AND(AO35="K5-POLICY",AL35&lt;&gt;"นิติศาสตร์",OR(Y35="M2",Y35="K4"),AB35&gt;=2,AA35&lt;R35),EDATE(AA35,12*2),AND(AO35="K5-POLICY",AL35&lt;&gt;"นิติศาสตร์",Y35="S1",AB35&gt;=1,AA35&lt;R35),EDATE(AA35,12),AND(AO35="K5-POLICY",AL35&lt;&gt;"นิติศาสตร์",OR(Y35="S2",Y35="K5")),AA35,AND(AO35="K5-POLICY",AL35&lt;&gt;"นิติศาสตร์",OR(K35="M2",K35="K4"),U35&gt;=2),EDATE(R35,12*2),AND(AO35="K5-POLICY",AL35&lt;&gt;"นิติศาสตร์",K35="S1",U35&gt;=1),EDATE(R35,12),AND(AO35="K5-POLICY",AL35&lt;&gt;"นิติศาสตร์",OR(K35="S2",K35="K5")),R35,TRUE,"Check Data")</f>
        <v/>
      </c>
      <c r="AQ35" s="75" t="str">
        <f t="shared" si="20"/>
        <v>Check Data</v>
      </c>
      <c r="AR35" s="76" t="str">
        <f t="shared" si="21"/>
        <v>Check Data</v>
      </c>
      <c r="AS35" s="50" t="str">
        <f t="shared" si="22"/>
        <v>Check Data</v>
      </c>
      <c r="AT35" s="49" t="str">
        <f>IF(B35="","",IF(K35="S1","S1",INDEX(#REF!,#REF!)))</f>
        <v/>
      </c>
      <c r="AU35" s="49" t="str">
        <f t="shared" si="23"/>
        <v>M2</v>
      </c>
      <c r="AV35" s="50" t="b">
        <f t="shared" si="24"/>
        <v>0</v>
      </c>
      <c r="AW35" s="50"/>
    </row>
    <row r="36" spans="1:49" ht="21.75">
      <c r="A36" s="49">
        <v>34</v>
      </c>
      <c r="B36" s="50"/>
      <c r="C36" s="50"/>
      <c r="D36" s="50" t="s">
        <v>143</v>
      </c>
      <c r="E36" s="49" t="s">
        <v>328</v>
      </c>
      <c r="F36" s="49" t="str">
        <f t="shared" si="0"/>
        <v>03/06/1991</v>
      </c>
      <c r="G36" s="50">
        <f t="shared" si="1"/>
        <v>34</v>
      </c>
      <c r="H36" s="50">
        <f t="shared" si="2"/>
        <v>0</v>
      </c>
      <c r="I36" s="50">
        <f t="shared" si="3"/>
        <v>17</v>
      </c>
      <c r="J36" s="59"/>
      <c r="K36" s="49" t="s">
        <v>136</v>
      </c>
      <c r="L36" s="49" t="str">
        <f>IF(B36="","",IF(K36="S1",K36,INDEX(#REF!,#REF!)))</f>
        <v/>
      </c>
      <c r="M36" s="49" t="b">
        <f t="shared" si="4"/>
        <v>0</v>
      </c>
      <c r="N36" s="64"/>
      <c r="O36" s="49" t="s">
        <v>425</v>
      </c>
      <c r="P36" s="49">
        <v>2569</v>
      </c>
      <c r="Q36" s="65" t="s">
        <v>435</v>
      </c>
      <c r="R36" s="49" t="str">
        <f t="shared" si="5"/>
        <v>11/09/2017</v>
      </c>
      <c r="S36" s="49" t="str">
        <f>IF(B36="","",IF(K36="S1",K36,INDEX(#REF!,#REF!)))</f>
        <v/>
      </c>
      <c r="T36" s="49" t="b">
        <f t="shared" si="6"/>
        <v>0</v>
      </c>
      <c r="U36" s="68">
        <f t="shared" si="7"/>
        <v>7</v>
      </c>
      <c r="V36" s="68">
        <f t="shared" si="8"/>
        <v>9</v>
      </c>
      <c r="W36" s="68">
        <f t="shared" si="9"/>
        <v>9</v>
      </c>
      <c r="X36" s="68"/>
      <c r="Y36" s="65"/>
      <c r="Z36" s="65"/>
      <c r="AA36" s="49" t="str">
        <f t="shared" si="10"/>
        <v/>
      </c>
      <c r="AB36" s="68">
        <f t="shared" si="11"/>
        <v>0</v>
      </c>
      <c r="AC36" s="68">
        <f t="shared" si="12"/>
        <v>0</v>
      </c>
      <c r="AD36" s="68">
        <f t="shared" si="13"/>
        <v>0</v>
      </c>
      <c r="AE36" s="49"/>
      <c r="AF36" s="65"/>
      <c r="AG36" s="50" t="str">
        <f t="shared" si="14"/>
        <v/>
      </c>
      <c r="AH36" s="68">
        <f t="shared" si="15"/>
        <v>0</v>
      </c>
      <c r="AI36" s="68">
        <f t="shared" si="16"/>
        <v>0</v>
      </c>
      <c r="AJ36" s="68">
        <f t="shared" si="17"/>
        <v>0</v>
      </c>
      <c r="AK36" s="50"/>
      <c r="AL36" s="50" t="s">
        <v>329</v>
      </c>
      <c r="AM36" s="50" t="str">
        <f>IF(B36="","",IF(K36="S1",K36,INDEX(#REF!,#REF!)))</f>
        <v/>
      </c>
      <c r="AN36" s="50" t="b">
        <f t="shared" si="18"/>
        <v>0</v>
      </c>
      <c r="AO36" s="49" t="str">
        <f t="shared" si="19"/>
        <v>K5-POLICY</v>
      </c>
      <c r="AP36" s="72" t="str">
        <f>_xlfn.IFS(B36="","",AND(AO36="K5-LAW",AL36="นิติศาสตร์",K36="S2",Y36="",AE36=""),R36,AND(AO36="K5-LAW",AL36="นิติศาสตร์",K36="S1",Y36="",AE36=""),EDATE(R36,12),AND(AO36="K5-LAW",AL36="นิติศาสตร์",OR(K36="M2",K36="K4"),Y36="",AE36=""),EDATE(R36,12*2),AND(AO36="K5-LAW",AL36="นิติศาสตร์",OR(AE36="M2",AE36="K4"),AH36&gt;=2,OR(AG36&lt;AA36,AG36&lt;R36)),EDATE(AG36,12*2),AND(AO36="K5-LAW",AL36="นิติศาสตร์",AE36="S1",AH36&gt;=1,OR(AG36&lt;AA36,AG36&lt;R36)),EDATE(AG36,12),AND(AO36="K5-LAW",AL36="นิติศาสตร์",OR(Y36="M2",Y36="K4"),AB36&gt;=2,AA36&lt;R36),EDATE(AA36,12*2),AND(AO36="K5-LAW",AL36="นิติศาสตร์",Y36="S1",AB36&gt;=1,AA36&lt;R36),EDATE(AA36,12),AND(AO36="K5-LAW",AL36="นิติศาสตร์",OR(Y36="S2",Y36="K5")),AA36,AND(AO36="K5-LAW",AL36="นิติศาสตร์",OR(K36="M2",K36="K4"),U36&gt;=2),EDATE(R36,12*2),AND(AO36="K5-LAW",AL36="นิติศาสตร์",K36="S1",U36&gt;=1),EDATE(R36,12),AND(AO36="K5-LAW",AL36="นิติศาสตร์",OR(K36="S2",K36="K5")),R36,AND(AO36="K5-POLICY",AL36&lt;&gt;"นิติศาสตร์",K36="S2",Y36="",AE36=""),R36,AND(AO36="K5-POLICY",AL36&lt;&gt;"นิติศาสตร์",K36="S1",Y36="",AE36=""),EDATE(R36,12),AND(AO36="K5-POLICY",AL36&lt;&gt;"นิติศาสตร์",OR(K36="M2",K36="K4"),Y36="",AE36=""),EDATE(R36,12*2),AND(AO36="K5-POLICY",AL36&lt;&gt;"นิติศาสตร์",OR(AE36="M2",AE36="K4"),AH36&gt;=2,OR(AG36&lt;AA36,AG36&lt;R36)),EDATE(AG36,12*2),AND(AO36="K5-POLICY",AL36&lt;&gt;"นิติศาสตร์",AE36="S1",AH36&gt;=1,OR(AG36&lt;AA36,AG36&lt;R36)),EDATE(AG36,12),AND(AO36="K5-POLICY",AL36&lt;&gt;"นิติศาสตร์",OR(Y36="M2",Y36="K4"),AB36&gt;=2,AA36&lt;R36),EDATE(AA36,12*2),AND(AO36="K5-POLICY",AL36&lt;&gt;"นิติศาสตร์",Y36="S1",AB36&gt;=1,AA36&lt;R36),EDATE(AA36,12),AND(AO36="K5-POLICY",AL36&lt;&gt;"นิติศาสตร์",OR(Y36="S2",Y36="K5")),AA36,AND(AO36="K5-POLICY",AL36&lt;&gt;"นิติศาสตร์",OR(K36="M2",K36="K4"),U36&gt;=2),EDATE(R36,12*2),AND(AO36="K5-POLICY",AL36&lt;&gt;"นิติศาสตร์",K36="S1",U36&gt;=1),EDATE(R36,12),AND(AO36="K5-POLICY",AL36&lt;&gt;"นิติศาสตร์",OR(K36="S2",K36="K5")),R36,TRUE,"Check Data")</f>
        <v/>
      </c>
      <c r="AQ36" s="75" t="str">
        <f t="shared" si="20"/>
        <v>Check Data</v>
      </c>
      <c r="AR36" s="76" t="str">
        <f t="shared" si="21"/>
        <v>Check Data</v>
      </c>
      <c r="AS36" s="50" t="str">
        <f t="shared" si="22"/>
        <v>Check Data</v>
      </c>
      <c r="AT36" s="49" t="str">
        <f>IF(B36="","",IF(K36="S1","S1",INDEX(#REF!,#REF!)))</f>
        <v/>
      </c>
      <c r="AU36" s="49" t="str">
        <f t="shared" si="23"/>
        <v>M2</v>
      </c>
      <c r="AV36" s="50" t="b">
        <f t="shared" si="24"/>
        <v>0</v>
      </c>
      <c r="AW36" s="50"/>
    </row>
    <row r="37" spans="1:49" ht="21.75">
      <c r="A37" s="49">
        <v>35</v>
      </c>
      <c r="B37" s="50"/>
      <c r="C37" s="50"/>
      <c r="D37" s="50" t="s">
        <v>143</v>
      </c>
      <c r="E37" s="49" t="s">
        <v>208</v>
      </c>
      <c r="F37" s="49" t="str">
        <f t="shared" si="0"/>
        <v>01/02/1990</v>
      </c>
      <c r="G37" s="50">
        <f t="shared" si="1"/>
        <v>35</v>
      </c>
      <c r="H37" s="50">
        <f t="shared" si="2"/>
        <v>4</v>
      </c>
      <c r="I37" s="50">
        <f t="shared" si="3"/>
        <v>19</v>
      </c>
      <c r="J37" s="59"/>
      <c r="K37" s="49" t="s">
        <v>136</v>
      </c>
      <c r="L37" s="49" t="str">
        <f>IF(B37="","",IF(K37="S1",K37,INDEX(#REF!,#REF!)))</f>
        <v/>
      </c>
      <c r="M37" s="49" t="b">
        <f t="shared" si="4"/>
        <v>0</v>
      </c>
      <c r="N37" s="64"/>
      <c r="O37" s="49" t="s">
        <v>425</v>
      </c>
      <c r="P37" s="49">
        <v>2569</v>
      </c>
      <c r="Q37" s="65" t="s">
        <v>308</v>
      </c>
      <c r="R37" s="49" t="str">
        <f t="shared" si="5"/>
        <v>16/01/2018</v>
      </c>
      <c r="S37" s="49" t="str">
        <f>IF(B37="","",IF(K37="S1",K37,INDEX(#REF!,#REF!)))</f>
        <v/>
      </c>
      <c r="T37" s="49" t="b">
        <f t="shared" si="6"/>
        <v>0</v>
      </c>
      <c r="U37" s="68">
        <f t="shared" si="7"/>
        <v>7</v>
      </c>
      <c r="V37" s="68">
        <f t="shared" si="8"/>
        <v>5</v>
      </c>
      <c r="W37" s="68">
        <f t="shared" si="9"/>
        <v>4</v>
      </c>
      <c r="X37" s="68"/>
      <c r="Y37" s="65"/>
      <c r="Z37" s="65"/>
      <c r="AA37" s="49" t="str">
        <f t="shared" si="10"/>
        <v/>
      </c>
      <c r="AB37" s="68">
        <f t="shared" si="11"/>
        <v>0</v>
      </c>
      <c r="AC37" s="68">
        <f t="shared" si="12"/>
        <v>0</v>
      </c>
      <c r="AD37" s="68">
        <f t="shared" si="13"/>
        <v>0</v>
      </c>
      <c r="AE37" s="49"/>
      <c r="AF37" s="65"/>
      <c r="AG37" s="50" t="str">
        <f t="shared" si="14"/>
        <v/>
      </c>
      <c r="AH37" s="68">
        <f t="shared" si="15"/>
        <v>0</v>
      </c>
      <c r="AI37" s="68">
        <f t="shared" si="16"/>
        <v>0</v>
      </c>
      <c r="AJ37" s="68">
        <f t="shared" si="17"/>
        <v>0</v>
      </c>
      <c r="AK37" s="50"/>
      <c r="AL37" s="50" t="s">
        <v>269</v>
      </c>
      <c r="AM37" s="50" t="str">
        <f>IF(B37="","",IF(K37="S1",K37,INDEX(#REF!,#REF!)))</f>
        <v/>
      </c>
      <c r="AN37" s="50" t="b">
        <f t="shared" si="18"/>
        <v>0</v>
      </c>
      <c r="AO37" s="49" t="str">
        <f t="shared" si="19"/>
        <v>K5-POLICY</v>
      </c>
      <c r="AP37" s="72" t="str">
        <f>_xlfn.IFS(B37="","",AND(AO37="K5-LAW",AL37="นิติศาสตร์",K37="S2",Y37="",AE37=""),R37,AND(AO37="K5-LAW",AL37="นิติศาสตร์",K37="S1",Y37="",AE37=""),EDATE(R37,12),AND(AO37="K5-LAW",AL37="นิติศาสตร์",OR(K37="M2",K37="K4"),Y37="",AE37=""),EDATE(R37,12*2),AND(AO37="K5-LAW",AL37="นิติศาสตร์",OR(AE37="M2",AE37="K4"),AH37&gt;=2,OR(AG37&lt;AA37,AG37&lt;R37)),EDATE(AG37,12*2),AND(AO37="K5-LAW",AL37="นิติศาสตร์",AE37="S1",AH37&gt;=1,OR(AG37&lt;AA37,AG37&lt;R37)),EDATE(AG37,12),AND(AO37="K5-LAW",AL37="นิติศาสตร์",OR(Y37="M2",Y37="K4"),AB37&gt;=2,AA37&lt;R37),EDATE(AA37,12*2),AND(AO37="K5-LAW",AL37="นิติศาสตร์",Y37="S1",AB37&gt;=1,AA37&lt;R37),EDATE(AA37,12),AND(AO37="K5-LAW",AL37="นิติศาสตร์",OR(Y37="S2",Y37="K5")),AA37,AND(AO37="K5-LAW",AL37="นิติศาสตร์",OR(K37="M2",K37="K4"),U37&gt;=2),EDATE(R37,12*2),AND(AO37="K5-LAW",AL37="นิติศาสตร์",K37="S1",U37&gt;=1),EDATE(R37,12),AND(AO37="K5-LAW",AL37="นิติศาสตร์",OR(K37="S2",K37="K5")),R37,AND(AO37="K5-POLICY",AL37&lt;&gt;"นิติศาสตร์",K37="S2",Y37="",AE37=""),R37,AND(AO37="K5-POLICY",AL37&lt;&gt;"นิติศาสตร์",K37="S1",Y37="",AE37=""),EDATE(R37,12),AND(AO37="K5-POLICY",AL37&lt;&gt;"นิติศาสตร์",OR(K37="M2",K37="K4"),Y37="",AE37=""),EDATE(R37,12*2),AND(AO37="K5-POLICY",AL37&lt;&gt;"นิติศาสตร์",OR(AE37="M2",AE37="K4"),AH37&gt;=2,OR(AG37&lt;AA37,AG37&lt;R37)),EDATE(AG37,12*2),AND(AO37="K5-POLICY",AL37&lt;&gt;"นิติศาสตร์",AE37="S1",AH37&gt;=1,OR(AG37&lt;AA37,AG37&lt;R37)),EDATE(AG37,12),AND(AO37="K5-POLICY",AL37&lt;&gt;"นิติศาสตร์",OR(Y37="M2",Y37="K4"),AB37&gt;=2,AA37&lt;R37),EDATE(AA37,12*2),AND(AO37="K5-POLICY",AL37&lt;&gt;"นิติศาสตร์",Y37="S1",AB37&gt;=1,AA37&lt;R37),EDATE(AA37,12),AND(AO37="K5-POLICY",AL37&lt;&gt;"นิติศาสตร์",OR(Y37="S2",Y37="K5")),AA37,AND(AO37="K5-POLICY",AL37&lt;&gt;"นิติศาสตร์",OR(K37="M2",K37="K4"),U37&gt;=2),EDATE(R37,12*2),AND(AO37="K5-POLICY",AL37&lt;&gt;"นิติศาสตร์",K37="S1",U37&gt;=1),EDATE(R37,12),AND(AO37="K5-POLICY",AL37&lt;&gt;"นิติศาสตร์",OR(K37="S2",K37="K5")),R37,TRUE,"Check Data")</f>
        <v/>
      </c>
      <c r="AQ37" s="75" t="str">
        <f t="shared" si="20"/>
        <v>Check Data</v>
      </c>
      <c r="AR37" s="76" t="str">
        <f t="shared" si="21"/>
        <v>Check Data</v>
      </c>
      <c r="AS37" s="50" t="str">
        <f t="shared" si="22"/>
        <v>Check Data</v>
      </c>
      <c r="AT37" s="49" t="str">
        <f>IF(B37="","",IF(K37="S1","S1",INDEX(#REF!,#REF!)))</f>
        <v/>
      </c>
      <c r="AU37" s="49" t="str">
        <f t="shared" si="23"/>
        <v>M2</v>
      </c>
      <c r="AV37" s="50" t="b">
        <f t="shared" si="24"/>
        <v>0</v>
      </c>
      <c r="AW37" s="50"/>
    </row>
    <row r="38" spans="1:49" ht="21.75">
      <c r="A38" s="49">
        <v>36</v>
      </c>
      <c r="B38" s="50"/>
      <c r="C38" s="50"/>
      <c r="D38" s="50" t="s">
        <v>141</v>
      </c>
      <c r="E38" s="49" t="s">
        <v>243</v>
      </c>
      <c r="F38" s="49" t="str">
        <f t="shared" si="0"/>
        <v>03/01/1995</v>
      </c>
      <c r="G38" s="50">
        <f t="shared" si="1"/>
        <v>30</v>
      </c>
      <c r="H38" s="50">
        <f t="shared" si="2"/>
        <v>5</v>
      </c>
      <c r="I38" s="50">
        <f t="shared" si="3"/>
        <v>17</v>
      </c>
      <c r="J38" s="60"/>
      <c r="K38" s="49" t="s">
        <v>136</v>
      </c>
      <c r="L38" s="49" t="str">
        <f>IF(B38="","",IF(K38="S1",K38,INDEX(#REF!,#REF!)))</f>
        <v/>
      </c>
      <c r="M38" s="49" t="b">
        <f t="shared" si="4"/>
        <v>0</v>
      </c>
      <c r="N38" s="64"/>
      <c r="O38" s="49" t="s">
        <v>425</v>
      </c>
      <c r="P38" s="49">
        <v>2573</v>
      </c>
      <c r="Q38" s="65" t="s">
        <v>242</v>
      </c>
      <c r="R38" s="49" t="str">
        <f t="shared" si="5"/>
        <v>20/04/2018</v>
      </c>
      <c r="S38" s="49" t="str">
        <f>IF(B38="","",IF(K38="S1",K38,INDEX(#REF!,#REF!)))</f>
        <v/>
      </c>
      <c r="T38" s="49" t="b">
        <f t="shared" si="6"/>
        <v>0</v>
      </c>
      <c r="U38" s="68">
        <f t="shared" si="7"/>
        <v>7</v>
      </c>
      <c r="V38" s="68">
        <f t="shared" si="8"/>
        <v>2</v>
      </c>
      <c r="W38" s="68">
        <f t="shared" si="9"/>
        <v>0</v>
      </c>
      <c r="X38" s="68"/>
      <c r="Y38" s="65"/>
      <c r="Z38" s="65"/>
      <c r="AA38" s="49" t="str">
        <f t="shared" si="10"/>
        <v/>
      </c>
      <c r="AB38" s="68">
        <f t="shared" si="11"/>
        <v>0</v>
      </c>
      <c r="AC38" s="68">
        <f t="shared" si="12"/>
        <v>0</v>
      </c>
      <c r="AD38" s="68">
        <f t="shared" si="13"/>
        <v>0</v>
      </c>
      <c r="AE38" s="49"/>
      <c r="AF38" s="65"/>
      <c r="AG38" s="50" t="str">
        <f t="shared" si="14"/>
        <v/>
      </c>
      <c r="AH38" s="68">
        <f t="shared" si="15"/>
        <v>0</v>
      </c>
      <c r="AI38" s="68">
        <f t="shared" si="16"/>
        <v>0</v>
      </c>
      <c r="AJ38" s="68">
        <f t="shared" si="17"/>
        <v>0</v>
      </c>
      <c r="AK38" s="50"/>
      <c r="AL38" s="50" t="s">
        <v>138</v>
      </c>
      <c r="AM38" s="50" t="str">
        <f>IF(B38="","",IF(K38="S1",K38,INDEX(#REF!,#REF!)))</f>
        <v/>
      </c>
      <c r="AN38" s="50" t="b">
        <f t="shared" si="18"/>
        <v>0</v>
      </c>
      <c r="AO38" s="49" t="str">
        <f t="shared" si="19"/>
        <v>K5-LAW</v>
      </c>
      <c r="AP38" s="72" t="str">
        <f>_xlfn.IFS(B38="","",AND(AO38="K5-LAW",AL38="นิติศาสตร์",K38="S2",Y38="",AE38=""),R38,AND(AO38="K5-LAW",AL38="นิติศาสตร์",K38="S1",Y38="",AE38=""),EDATE(R38,12),AND(AO38="K5-LAW",AL38="นิติศาสตร์",OR(K38="M2",K38="K4"),Y38="",AE38=""),EDATE(R38,12*2),AND(AO38="K5-LAW",AL38="นิติศาสตร์",OR(AE38="M2",AE38="K4"),AH38&gt;=2,OR(AG38&lt;AA38,AG38&lt;R38)),EDATE(AG38,12*2),AND(AO38="K5-LAW",AL38="นิติศาสตร์",AE38="S1",AH38&gt;=1,OR(AG38&lt;AA38,AG38&lt;R38)),EDATE(AG38,12),AND(AO38="K5-LAW",AL38="นิติศาสตร์",OR(Y38="M2",Y38="K4"),AB38&gt;=2,AA38&lt;R38),EDATE(AA38,12*2),AND(AO38="K5-LAW",AL38="นิติศาสตร์",Y38="S1",AB38&gt;=1,AA38&lt;R38),EDATE(AA38,12),AND(AO38="K5-LAW",AL38="นิติศาสตร์",OR(Y38="S2",Y38="K5")),AA38,AND(AO38="K5-LAW",AL38="นิติศาสตร์",OR(K38="M2",K38="K4"),U38&gt;=2),EDATE(R38,12*2),AND(AO38="K5-LAW",AL38="นิติศาสตร์",K38="S1",U38&gt;=1),EDATE(R38,12),AND(AO38="K5-LAW",AL38="นิติศาสตร์",OR(K38="S2",K38="K5")),R38,AND(AO38="K5-POLICY",AL38&lt;&gt;"นิติศาสตร์",K38="S2",Y38="",AE38=""),R38,AND(AO38="K5-POLICY",AL38&lt;&gt;"นิติศาสตร์",K38="S1",Y38="",AE38=""),EDATE(R38,12),AND(AO38="K5-POLICY",AL38&lt;&gt;"นิติศาสตร์",OR(K38="M2",K38="K4"),Y38="",AE38=""),EDATE(R38,12*2),AND(AO38="K5-POLICY",AL38&lt;&gt;"นิติศาสตร์",OR(AE38="M2",AE38="K4"),AH38&gt;=2,OR(AG38&lt;AA38,AG38&lt;R38)),EDATE(AG38,12*2),AND(AO38="K5-POLICY",AL38&lt;&gt;"นิติศาสตร์",AE38="S1",AH38&gt;=1,OR(AG38&lt;AA38,AG38&lt;R38)),EDATE(AG38,12),AND(AO38="K5-POLICY",AL38&lt;&gt;"นิติศาสตร์",OR(Y38="M2",Y38="K4"),AB38&gt;=2,AA38&lt;R38),EDATE(AA38,12*2),AND(AO38="K5-POLICY",AL38&lt;&gt;"นิติศาสตร์",Y38="S1",AB38&gt;=1,AA38&lt;R38),EDATE(AA38,12),AND(AO38="K5-POLICY",AL38&lt;&gt;"นิติศาสตร์",OR(Y38="S2",Y38="K5")),AA38,AND(AO38="K5-POLICY",AL38&lt;&gt;"นิติศาสตร์",OR(K38="M2",K38="K4"),U38&gt;=2),EDATE(R38,12*2),AND(AO38="K5-POLICY",AL38&lt;&gt;"นิติศาสตร์",K38="S1",U38&gt;=1),EDATE(R38,12),AND(AO38="K5-POLICY",AL38&lt;&gt;"นิติศาสตร์",OR(K38="S2",K38="K5")),R38,TRUE,"Check Data")</f>
        <v/>
      </c>
      <c r="AQ38" s="75" t="str">
        <f t="shared" si="20"/>
        <v>Check Data</v>
      </c>
      <c r="AR38" s="76" t="str">
        <f t="shared" si="21"/>
        <v>Check Data</v>
      </c>
      <c r="AS38" s="50" t="str">
        <f t="shared" si="22"/>
        <v>Check Data</v>
      </c>
      <c r="AT38" s="49" t="str">
        <f>IF(B38="","",IF(K38="S1","S1",INDEX(#REF!,#REF!)))</f>
        <v/>
      </c>
      <c r="AU38" s="49" t="str">
        <f t="shared" si="23"/>
        <v>M2</v>
      </c>
      <c r="AV38" s="50" t="b">
        <f t="shared" si="24"/>
        <v>0</v>
      </c>
      <c r="AW38" s="50"/>
    </row>
    <row r="39" spans="1:49" ht="21.75">
      <c r="A39" s="49">
        <v>37</v>
      </c>
      <c r="B39" s="50"/>
      <c r="C39" s="50"/>
      <c r="D39" s="50" t="s">
        <v>139</v>
      </c>
      <c r="E39" s="49" t="s">
        <v>208</v>
      </c>
      <c r="F39" s="49" t="str">
        <f t="shared" si="0"/>
        <v>01/02/1990</v>
      </c>
      <c r="G39" s="50">
        <f t="shared" si="1"/>
        <v>35</v>
      </c>
      <c r="H39" s="50">
        <f t="shared" si="2"/>
        <v>4</v>
      </c>
      <c r="I39" s="50">
        <f t="shared" si="3"/>
        <v>19</v>
      </c>
      <c r="J39" s="56"/>
      <c r="K39" s="49" t="s">
        <v>136</v>
      </c>
      <c r="L39" s="49" t="str">
        <f>IF(B39="","",IF(K39="S1",K39,INDEX(#REF!,#REF!)))</f>
        <v/>
      </c>
      <c r="M39" s="49" t="b">
        <f t="shared" si="4"/>
        <v>0</v>
      </c>
      <c r="N39" s="64"/>
      <c r="O39" s="49" t="s">
        <v>425</v>
      </c>
      <c r="P39" s="49">
        <v>2569</v>
      </c>
      <c r="Q39" s="65" t="s">
        <v>212</v>
      </c>
      <c r="R39" s="49" t="str">
        <f t="shared" si="5"/>
        <v>18/06/2018</v>
      </c>
      <c r="S39" s="49" t="str">
        <f>IF(B39="","",IF(K39="S1",K39,INDEX(#REF!,#REF!)))</f>
        <v/>
      </c>
      <c r="T39" s="49" t="b">
        <f t="shared" si="6"/>
        <v>0</v>
      </c>
      <c r="U39" s="68">
        <f t="shared" si="7"/>
        <v>7</v>
      </c>
      <c r="V39" s="68">
        <f t="shared" si="8"/>
        <v>0</v>
      </c>
      <c r="W39" s="68">
        <f t="shared" si="9"/>
        <v>2</v>
      </c>
      <c r="X39" s="68"/>
      <c r="Y39" s="65"/>
      <c r="Z39" s="65"/>
      <c r="AA39" s="49" t="str">
        <f t="shared" si="10"/>
        <v/>
      </c>
      <c r="AB39" s="68">
        <f t="shared" si="11"/>
        <v>0</v>
      </c>
      <c r="AC39" s="68">
        <f t="shared" si="12"/>
        <v>0</v>
      </c>
      <c r="AD39" s="68">
        <f t="shared" si="13"/>
        <v>0</v>
      </c>
      <c r="AE39" s="49"/>
      <c r="AF39" s="65"/>
      <c r="AG39" s="50" t="str">
        <f t="shared" si="14"/>
        <v/>
      </c>
      <c r="AH39" s="68">
        <f t="shared" si="15"/>
        <v>0</v>
      </c>
      <c r="AI39" s="68">
        <f t="shared" si="16"/>
        <v>0</v>
      </c>
      <c r="AJ39" s="68">
        <f t="shared" si="17"/>
        <v>0</v>
      </c>
      <c r="AK39" s="50"/>
      <c r="AL39" s="50" t="s">
        <v>167</v>
      </c>
      <c r="AM39" s="129" t="str">
        <f>IF(B39="","",IF(K39="S1",K39,INDEX(#REF!,#REF!)))</f>
        <v/>
      </c>
      <c r="AN39" s="50" t="b">
        <f t="shared" si="18"/>
        <v>0</v>
      </c>
      <c r="AO39" s="49" t="str">
        <f t="shared" si="19"/>
        <v>K5-POLICY</v>
      </c>
      <c r="AP39" s="72" t="str">
        <f>_xlfn.IFS(B39="","",AND(AO39="K5-LAW",AL39="นิติศาสตร์",K39="S2",Y39="",AE39=""),R39,AND(AO39="K5-LAW",AL39="นิติศาสตร์",K39="S1",Y39="",AE39=""),EDATE(R39,12),AND(AO39="K5-LAW",AL39="นิติศาสตร์",OR(K39="M2",K39="K4"),Y39="",AE39=""),EDATE(R39,12*2),AND(AO39="K5-LAW",AL39="นิติศาสตร์",OR(AE39="M2",AE39="K4"),AH39&gt;=2,OR(AG39&lt;AA39,AG39&lt;R39)),EDATE(AG39,12*2),AND(AO39="K5-LAW",AL39="นิติศาสตร์",AE39="S1",AH39&gt;=1,OR(AG39&lt;AA39,AG39&lt;R39)),EDATE(AG39,12),AND(AO39="K5-LAW",AL39="นิติศาสตร์",OR(Y39="M2",Y39="K4"),AB39&gt;=2,AA39&lt;R39),EDATE(AA39,12*2),AND(AO39="K5-LAW",AL39="นิติศาสตร์",Y39="S1",AB39&gt;=1,AA39&lt;R39),EDATE(AA39,12),AND(AO39="K5-LAW",AL39="นิติศาสตร์",OR(Y39="S2",Y39="K5")),AA39,AND(AO39="K5-LAW",AL39="นิติศาสตร์",OR(K39="M2",K39="K4"),U39&gt;=2),EDATE(R39,12*2),AND(AO39="K5-LAW",AL39="นิติศาสตร์",K39="S1",U39&gt;=1),EDATE(R39,12),AND(AO39="K5-LAW",AL39="นิติศาสตร์",OR(K39="S2",K39="K5")),R39,AND(AO39="K5-POLICY",AL39&lt;&gt;"นิติศาสตร์",K39="S2",Y39="",AE39=""),R39,AND(AO39="K5-POLICY",AL39&lt;&gt;"นิติศาสตร์",K39="S1",Y39="",AE39=""),EDATE(R39,12),AND(AO39="K5-POLICY",AL39&lt;&gt;"นิติศาสตร์",OR(K39="M2",K39="K4"),Y39="",AE39=""),EDATE(R39,12*2),AND(AO39="K5-POLICY",AL39&lt;&gt;"นิติศาสตร์",OR(AE39="M2",AE39="K4"),AH39&gt;=2,OR(AG39&lt;AA39,AG39&lt;R39)),EDATE(AG39,12*2),AND(AO39="K5-POLICY",AL39&lt;&gt;"นิติศาสตร์",AE39="S1",AH39&gt;=1,OR(AG39&lt;AA39,AG39&lt;R39)),EDATE(AG39,12),AND(AO39="K5-POLICY",AL39&lt;&gt;"นิติศาสตร์",OR(Y39="M2",Y39="K4"),AB39&gt;=2,AA39&lt;R39),EDATE(AA39,12*2),AND(AO39="K5-POLICY",AL39&lt;&gt;"นิติศาสตร์",Y39="S1",AB39&gt;=1,AA39&lt;R39),EDATE(AA39,12),AND(AO39="K5-POLICY",AL39&lt;&gt;"นิติศาสตร์",OR(Y39="S2",Y39="K5")),AA39,AND(AO39="K5-POLICY",AL39&lt;&gt;"นิติศาสตร์",OR(K39="M2",K39="K4"),U39&gt;=2),EDATE(R39,12*2),AND(AO39="K5-POLICY",AL39&lt;&gt;"นิติศาสตร์",K39="S1",U39&gt;=1),EDATE(R39,12),AND(AO39="K5-POLICY",AL39&lt;&gt;"นิติศาสตร์",OR(K39="S2",K39="K5")),R39,TRUE,"Check Data")</f>
        <v/>
      </c>
      <c r="AQ39" s="75" t="str">
        <f t="shared" si="20"/>
        <v>Check Data</v>
      </c>
      <c r="AR39" s="76" t="str">
        <f t="shared" si="21"/>
        <v>Check Data</v>
      </c>
      <c r="AS39" s="50" t="str">
        <f t="shared" si="22"/>
        <v>Check Data</v>
      </c>
      <c r="AT39" s="49" t="str">
        <f>IF(B39="","",IF(K39="S1","S1",INDEX(#REF!,#REF!)))</f>
        <v/>
      </c>
      <c r="AU39" s="49" t="str">
        <f t="shared" si="23"/>
        <v>M2</v>
      </c>
      <c r="AV39" s="50" t="b">
        <f t="shared" si="24"/>
        <v>0</v>
      </c>
      <c r="AW39" s="50"/>
    </row>
    <row r="40" spans="1:49" ht="21.75">
      <c r="A40" s="49">
        <v>38</v>
      </c>
      <c r="B40" s="50"/>
      <c r="C40" s="50"/>
      <c r="D40" s="50" t="s">
        <v>141</v>
      </c>
      <c r="E40" s="49" t="s">
        <v>244</v>
      </c>
      <c r="F40" s="49" t="str">
        <f t="shared" si="0"/>
        <v>02/01/1992</v>
      </c>
      <c r="G40" s="50">
        <f t="shared" si="1"/>
        <v>33</v>
      </c>
      <c r="H40" s="50">
        <f t="shared" si="2"/>
        <v>5</v>
      </c>
      <c r="I40" s="50">
        <f t="shared" si="3"/>
        <v>18</v>
      </c>
      <c r="J40" s="60"/>
      <c r="K40" s="49" t="s">
        <v>136</v>
      </c>
      <c r="L40" s="49" t="str">
        <f>IF(B40="","",IF(K40="S1",K40,INDEX(#REF!,#REF!)))</f>
        <v/>
      </c>
      <c r="M40" s="49" t="b">
        <f t="shared" si="4"/>
        <v>0</v>
      </c>
      <c r="N40" s="64"/>
      <c r="O40" s="49" t="s">
        <v>425</v>
      </c>
      <c r="P40" s="49">
        <v>2570</v>
      </c>
      <c r="Q40" s="65" t="s">
        <v>245</v>
      </c>
      <c r="R40" s="49" t="str">
        <f t="shared" si="5"/>
        <v>19/07/2018</v>
      </c>
      <c r="S40" s="49" t="str">
        <f>IF(B40="","",IF(K40="S1",K40,INDEX(#REF!,#REF!)))</f>
        <v/>
      </c>
      <c r="T40" s="49" t="b">
        <f t="shared" si="6"/>
        <v>0</v>
      </c>
      <c r="U40" s="68">
        <f t="shared" si="7"/>
        <v>6</v>
      </c>
      <c r="V40" s="68">
        <f t="shared" si="8"/>
        <v>11</v>
      </c>
      <c r="W40" s="68">
        <f t="shared" si="9"/>
        <v>1</v>
      </c>
      <c r="X40" s="68"/>
      <c r="Y40" s="65"/>
      <c r="Z40" s="65"/>
      <c r="AA40" s="49" t="str">
        <f t="shared" si="10"/>
        <v/>
      </c>
      <c r="AB40" s="68">
        <f t="shared" si="11"/>
        <v>0</v>
      </c>
      <c r="AC40" s="68">
        <f t="shared" si="12"/>
        <v>0</v>
      </c>
      <c r="AD40" s="68">
        <f t="shared" si="13"/>
        <v>0</v>
      </c>
      <c r="AE40" s="49"/>
      <c r="AF40" s="65"/>
      <c r="AG40" s="50" t="str">
        <f t="shared" si="14"/>
        <v/>
      </c>
      <c r="AH40" s="68">
        <f t="shared" si="15"/>
        <v>0</v>
      </c>
      <c r="AI40" s="68">
        <f t="shared" si="16"/>
        <v>0</v>
      </c>
      <c r="AJ40" s="68">
        <f t="shared" si="17"/>
        <v>0</v>
      </c>
      <c r="AK40" s="50"/>
      <c r="AL40" s="50" t="s">
        <v>138</v>
      </c>
      <c r="AM40" s="50" t="str">
        <f>IF(B40="","",IF(K40="S1",K40,INDEX(#REF!,#REF!)))</f>
        <v/>
      </c>
      <c r="AN40" s="50" t="b">
        <f t="shared" si="18"/>
        <v>0</v>
      </c>
      <c r="AO40" s="49" t="str">
        <f t="shared" si="19"/>
        <v>K5-LAW</v>
      </c>
      <c r="AP40" s="72" t="str">
        <f>_xlfn.IFS(B40="","",AND(AO40="K5-LAW",AL40="นิติศาสตร์",K40="S2",Y40="",AE40=""),R40,AND(AO40="K5-LAW",AL40="นิติศาสตร์",K40="S1",Y40="",AE40=""),EDATE(R40,12),AND(AO40="K5-LAW",AL40="นิติศาสตร์",OR(K40="M2",K40="K4"),Y40="",AE40=""),EDATE(R40,12*2),AND(AO40="K5-LAW",AL40="นิติศาสตร์",OR(AE40="M2",AE40="K4"),AH40&gt;=2,OR(AG40&lt;AA40,AG40&lt;R40)),EDATE(AG40,12*2),AND(AO40="K5-LAW",AL40="นิติศาสตร์",AE40="S1",AH40&gt;=1,OR(AG40&lt;AA40,AG40&lt;R40)),EDATE(AG40,12),AND(AO40="K5-LAW",AL40="นิติศาสตร์",OR(Y40="M2",Y40="K4"),AB40&gt;=2,AA40&lt;R40),EDATE(AA40,12*2),AND(AO40="K5-LAW",AL40="นิติศาสตร์",Y40="S1",AB40&gt;=1,AA40&lt;R40),EDATE(AA40,12),AND(AO40="K5-LAW",AL40="นิติศาสตร์",OR(Y40="S2",Y40="K5")),AA40,AND(AO40="K5-LAW",AL40="นิติศาสตร์",OR(K40="M2",K40="K4"),U40&gt;=2),EDATE(R40,12*2),AND(AO40="K5-LAW",AL40="นิติศาสตร์",K40="S1",U40&gt;=1),EDATE(R40,12),AND(AO40="K5-LAW",AL40="นิติศาสตร์",OR(K40="S2",K40="K5")),R40,AND(AO40="K5-POLICY",AL40&lt;&gt;"นิติศาสตร์",K40="S2",Y40="",AE40=""),R40,AND(AO40="K5-POLICY",AL40&lt;&gt;"นิติศาสตร์",K40="S1",Y40="",AE40=""),EDATE(R40,12),AND(AO40="K5-POLICY",AL40&lt;&gt;"นิติศาสตร์",OR(K40="M2",K40="K4"),Y40="",AE40=""),EDATE(R40,12*2),AND(AO40="K5-POLICY",AL40&lt;&gt;"นิติศาสตร์",OR(AE40="M2",AE40="K4"),AH40&gt;=2,OR(AG40&lt;AA40,AG40&lt;R40)),EDATE(AG40,12*2),AND(AO40="K5-POLICY",AL40&lt;&gt;"นิติศาสตร์",AE40="S1",AH40&gt;=1,OR(AG40&lt;AA40,AG40&lt;R40)),EDATE(AG40,12),AND(AO40="K5-POLICY",AL40&lt;&gt;"นิติศาสตร์",OR(Y40="M2",Y40="K4"),AB40&gt;=2,AA40&lt;R40),EDATE(AA40,12*2),AND(AO40="K5-POLICY",AL40&lt;&gt;"นิติศาสตร์",Y40="S1",AB40&gt;=1,AA40&lt;R40),EDATE(AA40,12),AND(AO40="K5-POLICY",AL40&lt;&gt;"นิติศาสตร์",OR(Y40="S2",Y40="K5")),AA40,AND(AO40="K5-POLICY",AL40&lt;&gt;"นิติศาสตร์",OR(K40="M2",K40="K4"),U40&gt;=2),EDATE(R40,12*2),AND(AO40="K5-POLICY",AL40&lt;&gt;"นิติศาสตร์",K40="S1",U40&gt;=1),EDATE(R40,12),AND(AO40="K5-POLICY",AL40&lt;&gt;"นิติศาสตร์",OR(K40="S2",K40="K5")),R40,TRUE,"Check Data")</f>
        <v/>
      </c>
      <c r="AQ40" s="75" t="str">
        <f t="shared" si="20"/>
        <v>Check Data</v>
      </c>
      <c r="AR40" s="76" t="str">
        <f t="shared" si="21"/>
        <v>Check Data</v>
      </c>
      <c r="AS40" s="50" t="str">
        <f t="shared" si="22"/>
        <v>Check Data</v>
      </c>
      <c r="AT40" s="49" t="str">
        <f>IF(B40="","",IF(K40="S1","S1",INDEX(#REF!,#REF!)))</f>
        <v/>
      </c>
      <c r="AU40" s="49" t="str">
        <f t="shared" si="23"/>
        <v>M2</v>
      </c>
      <c r="AV40" s="50" t="b">
        <f t="shared" si="24"/>
        <v>0</v>
      </c>
      <c r="AW40" s="50"/>
    </row>
    <row r="41" spans="1:49" ht="21.75">
      <c r="A41" s="49">
        <v>39</v>
      </c>
      <c r="B41" s="50"/>
      <c r="C41" s="53"/>
      <c r="D41" s="50" t="s">
        <v>141</v>
      </c>
      <c r="E41" s="49" t="s">
        <v>246</v>
      </c>
      <c r="F41" s="49" t="str">
        <f t="shared" si="0"/>
        <v>13/06/1994</v>
      </c>
      <c r="G41" s="50">
        <f t="shared" si="1"/>
        <v>31</v>
      </c>
      <c r="H41" s="50">
        <f t="shared" si="2"/>
        <v>0</v>
      </c>
      <c r="I41" s="50">
        <f t="shared" si="3"/>
        <v>7</v>
      </c>
      <c r="J41" s="60"/>
      <c r="K41" s="49" t="s">
        <v>136</v>
      </c>
      <c r="L41" s="49" t="str">
        <f>IF(B41="","",IF(K41="S1",K41,INDEX(#REF!,#REF!)))</f>
        <v/>
      </c>
      <c r="M41" s="49" t="b">
        <f t="shared" si="4"/>
        <v>0</v>
      </c>
      <c r="N41" s="64"/>
      <c r="O41" s="49" t="s">
        <v>425</v>
      </c>
      <c r="P41" s="49">
        <v>2569</v>
      </c>
      <c r="Q41" s="65" t="s">
        <v>247</v>
      </c>
      <c r="R41" s="49" t="str">
        <f t="shared" si="5"/>
        <v>12/11/2018</v>
      </c>
      <c r="S41" s="49" t="str">
        <f>IF(B41="","",IF(K41="S1",K41,INDEX(#REF!,#REF!)))</f>
        <v/>
      </c>
      <c r="T41" s="49" t="b">
        <f t="shared" si="6"/>
        <v>0</v>
      </c>
      <c r="U41" s="68">
        <f t="shared" si="7"/>
        <v>6</v>
      </c>
      <c r="V41" s="68">
        <f t="shared" si="8"/>
        <v>7</v>
      </c>
      <c r="W41" s="68">
        <f t="shared" si="9"/>
        <v>8</v>
      </c>
      <c r="X41" s="68"/>
      <c r="Y41" s="65"/>
      <c r="Z41" s="65"/>
      <c r="AA41" s="49" t="str">
        <f t="shared" si="10"/>
        <v/>
      </c>
      <c r="AB41" s="68">
        <f t="shared" si="11"/>
        <v>0</v>
      </c>
      <c r="AC41" s="68">
        <f t="shared" si="12"/>
        <v>0</v>
      </c>
      <c r="AD41" s="68">
        <f t="shared" si="13"/>
        <v>0</v>
      </c>
      <c r="AE41" s="49"/>
      <c r="AF41" s="65"/>
      <c r="AG41" s="50" t="str">
        <f t="shared" si="14"/>
        <v/>
      </c>
      <c r="AH41" s="68">
        <f t="shared" si="15"/>
        <v>0</v>
      </c>
      <c r="AI41" s="68">
        <f t="shared" si="16"/>
        <v>0</v>
      </c>
      <c r="AJ41" s="68">
        <f t="shared" si="17"/>
        <v>0</v>
      </c>
      <c r="AK41" s="50"/>
      <c r="AL41" s="50" t="s">
        <v>138</v>
      </c>
      <c r="AM41" s="50" t="str">
        <f>IF(B41="","",IF(K41="S1",K41,INDEX(#REF!,#REF!)))</f>
        <v/>
      </c>
      <c r="AN41" s="50" t="b">
        <f t="shared" si="18"/>
        <v>0</v>
      </c>
      <c r="AO41" s="49" t="str">
        <f t="shared" si="19"/>
        <v>K5-LAW</v>
      </c>
      <c r="AP41" s="72" t="str">
        <f>_xlfn.IFS(B41="","",AND(AO41="K5-LAW",AL41="นิติศาสตร์",K41="S2",Y41="",AE41=""),R41,AND(AO41="K5-LAW",AL41="นิติศาสตร์",K41="S1",Y41="",AE41=""),EDATE(R41,12),AND(AO41="K5-LAW",AL41="นิติศาสตร์",OR(K41="M2",K41="K4"),Y41="",AE41=""),EDATE(R41,12*2),AND(AO41="K5-LAW",AL41="นิติศาสตร์",OR(AE41="M2",AE41="K4"),AH41&gt;=2,OR(AG41&lt;AA41,AG41&lt;R41)),EDATE(AG41,12*2),AND(AO41="K5-LAW",AL41="นิติศาสตร์",AE41="S1",AH41&gt;=1,OR(AG41&lt;AA41,AG41&lt;R41)),EDATE(AG41,12),AND(AO41="K5-LAW",AL41="นิติศาสตร์",OR(Y41="M2",Y41="K4"),AB41&gt;=2,AA41&lt;R41),EDATE(AA41,12*2),AND(AO41="K5-LAW",AL41="นิติศาสตร์",Y41="S1",AB41&gt;=1,AA41&lt;R41),EDATE(AA41,12),AND(AO41="K5-LAW",AL41="นิติศาสตร์",OR(Y41="S2",Y41="K5")),AA41,AND(AO41="K5-LAW",AL41="นิติศาสตร์",OR(K41="M2",K41="K4"),U41&gt;=2),EDATE(R41,12*2),AND(AO41="K5-LAW",AL41="นิติศาสตร์",K41="S1",U41&gt;=1),EDATE(R41,12),AND(AO41="K5-LAW",AL41="นิติศาสตร์",OR(K41="S2",K41="K5")),R41,AND(AO41="K5-POLICY",AL41&lt;&gt;"นิติศาสตร์",K41="S2",Y41="",AE41=""),R41,AND(AO41="K5-POLICY",AL41&lt;&gt;"นิติศาสตร์",K41="S1",Y41="",AE41=""),EDATE(R41,12),AND(AO41="K5-POLICY",AL41&lt;&gt;"นิติศาสตร์",OR(K41="M2",K41="K4"),Y41="",AE41=""),EDATE(R41,12*2),AND(AO41="K5-POLICY",AL41&lt;&gt;"นิติศาสตร์",OR(AE41="M2",AE41="K4"),AH41&gt;=2,OR(AG41&lt;AA41,AG41&lt;R41)),EDATE(AG41,12*2),AND(AO41="K5-POLICY",AL41&lt;&gt;"นิติศาสตร์",AE41="S1",AH41&gt;=1,OR(AG41&lt;AA41,AG41&lt;R41)),EDATE(AG41,12),AND(AO41="K5-POLICY",AL41&lt;&gt;"นิติศาสตร์",OR(Y41="M2",Y41="K4"),AB41&gt;=2,AA41&lt;R41),EDATE(AA41,12*2),AND(AO41="K5-POLICY",AL41&lt;&gt;"นิติศาสตร์",Y41="S1",AB41&gt;=1,AA41&lt;R41),EDATE(AA41,12),AND(AO41="K5-POLICY",AL41&lt;&gt;"นิติศาสตร์",OR(Y41="S2",Y41="K5")),AA41,AND(AO41="K5-POLICY",AL41&lt;&gt;"นิติศาสตร์",OR(K41="M2",K41="K4"),U41&gt;=2),EDATE(R41,12*2),AND(AO41="K5-POLICY",AL41&lt;&gt;"นิติศาสตร์",K41="S1",U41&gt;=1),EDATE(R41,12),AND(AO41="K5-POLICY",AL41&lt;&gt;"นิติศาสตร์",OR(K41="S2",K41="K5")),R41,TRUE,"Check Data")</f>
        <v/>
      </c>
      <c r="AQ41" s="75" t="str">
        <f t="shared" si="20"/>
        <v>Check Data</v>
      </c>
      <c r="AR41" s="76" t="str">
        <f t="shared" si="21"/>
        <v>Check Data</v>
      </c>
      <c r="AS41" s="50" t="str">
        <f t="shared" si="22"/>
        <v>Check Data</v>
      </c>
      <c r="AT41" s="49" t="str">
        <f>IF(B41="","",IF(K41="S1","S1",INDEX(#REF!,#REF!)))</f>
        <v/>
      </c>
      <c r="AU41" s="49" t="str">
        <f t="shared" si="23"/>
        <v>M2</v>
      </c>
      <c r="AV41" s="50" t="b">
        <f t="shared" si="24"/>
        <v>0</v>
      </c>
      <c r="AW41" s="50"/>
    </row>
    <row r="42" spans="1:49" ht="21.75">
      <c r="A42" s="49">
        <v>40</v>
      </c>
      <c r="B42" s="50"/>
      <c r="C42" s="50"/>
      <c r="D42" s="50" t="s">
        <v>139</v>
      </c>
      <c r="E42" s="49" t="s">
        <v>236</v>
      </c>
      <c r="F42" s="49" t="str">
        <f t="shared" si="0"/>
        <v>09/04/1990</v>
      </c>
      <c r="G42" s="50">
        <f t="shared" si="1"/>
        <v>35</v>
      </c>
      <c r="H42" s="50">
        <f t="shared" si="2"/>
        <v>2</v>
      </c>
      <c r="I42" s="50">
        <f t="shared" si="3"/>
        <v>11</v>
      </c>
      <c r="J42" s="56"/>
      <c r="K42" s="49" t="s">
        <v>136</v>
      </c>
      <c r="L42" s="49" t="str">
        <f>IF(B42="","",IF(K42="S1",K42,INDEX(#REF!,#REF!)))</f>
        <v/>
      </c>
      <c r="M42" s="49" t="b">
        <f t="shared" si="4"/>
        <v>0</v>
      </c>
      <c r="N42" s="64"/>
      <c r="O42" s="49" t="s">
        <v>427</v>
      </c>
      <c r="P42" s="49">
        <v>2569</v>
      </c>
      <c r="Q42" s="65" t="s">
        <v>237</v>
      </c>
      <c r="R42" s="49" t="str">
        <f t="shared" si="5"/>
        <v>27/11/2018</v>
      </c>
      <c r="S42" s="49" t="str">
        <f>IF(B42="","",IF(K42="S1",K42,INDEX(#REF!,#REF!)))</f>
        <v/>
      </c>
      <c r="T42" s="49" t="b">
        <f t="shared" si="6"/>
        <v>0</v>
      </c>
      <c r="U42" s="68">
        <f t="shared" si="7"/>
        <v>6</v>
      </c>
      <c r="V42" s="68">
        <f t="shared" si="8"/>
        <v>6</v>
      </c>
      <c r="W42" s="68">
        <f t="shared" si="9"/>
        <v>24</v>
      </c>
      <c r="X42" s="68"/>
      <c r="Y42" s="65"/>
      <c r="Z42" s="65"/>
      <c r="AA42" s="49" t="str">
        <f t="shared" si="10"/>
        <v/>
      </c>
      <c r="AB42" s="68">
        <f t="shared" si="11"/>
        <v>0</v>
      </c>
      <c r="AC42" s="68">
        <f t="shared" si="12"/>
        <v>0</v>
      </c>
      <c r="AD42" s="68">
        <f t="shared" si="13"/>
        <v>0</v>
      </c>
      <c r="AE42" s="49"/>
      <c r="AF42" s="65"/>
      <c r="AG42" s="50" t="str">
        <f t="shared" si="14"/>
        <v/>
      </c>
      <c r="AH42" s="68">
        <f t="shared" si="15"/>
        <v>0</v>
      </c>
      <c r="AI42" s="68">
        <f t="shared" si="16"/>
        <v>0</v>
      </c>
      <c r="AJ42" s="68">
        <f t="shared" si="17"/>
        <v>0</v>
      </c>
      <c r="AK42" s="50"/>
      <c r="AL42" s="50" t="s">
        <v>138</v>
      </c>
      <c r="AM42" s="129" t="str">
        <f>IF(B42="","",IF(K42="S1",K42,INDEX(#REF!,#REF!)))</f>
        <v/>
      </c>
      <c r="AN42" s="50" t="b">
        <f t="shared" si="18"/>
        <v>0</v>
      </c>
      <c r="AO42" s="49" t="str">
        <f t="shared" si="19"/>
        <v>K5-LAW</v>
      </c>
      <c r="AP42" s="72" t="str">
        <f>_xlfn.IFS(B42="","",AND(AO42="K5-LAW",AL42="นิติศาสตร์",K42="S2",Y42="",AE42=""),R42,AND(AO42="K5-LAW",AL42="นิติศาสตร์",K42="S1",Y42="",AE42=""),EDATE(R42,12),AND(AO42="K5-LAW",AL42="นิติศาสตร์",OR(K42="M2",K42="K4"),Y42="",AE42=""),EDATE(R42,12*2),AND(AO42="K5-LAW",AL42="นิติศาสตร์",OR(AE42="M2",AE42="K4"),AH42&gt;=2,OR(AG42&lt;AA42,AG42&lt;R42)),EDATE(AG42,12*2),AND(AO42="K5-LAW",AL42="นิติศาสตร์",AE42="S1",AH42&gt;=1,OR(AG42&lt;AA42,AG42&lt;R42)),EDATE(AG42,12),AND(AO42="K5-LAW",AL42="นิติศาสตร์",OR(Y42="M2",Y42="K4"),AB42&gt;=2,AA42&lt;R42),EDATE(AA42,12*2),AND(AO42="K5-LAW",AL42="นิติศาสตร์",Y42="S1",AB42&gt;=1,AA42&lt;R42),EDATE(AA42,12),AND(AO42="K5-LAW",AL42="นิติศาสตร์",OR(Y42="S2",Y42="K5")),AA42,AND(AO42="K5-LAW",AL42="นิติศาสตร์",OR(K42="M2",K42="K4"),U42&gt;=2),EDATE(R42,12*2),AND(AO42="K5-LAW",AL42="นิติศาสตร์",K42="S1",U42&gt;=1),EDATE(R42,12),AND(AO42="K5-LAW",AL42="นิติศาสตร์",OR(K42="S2",K42="K5")),R42,AND(AO42="K5-POLICY",AL42&lt;&gt;"นิติศาสตร์",K42="S2",Y42="",AE42=""),R42,AND(AO42="K5-POLICY",AL42&lt;&gt;"นิติศาสตร์",K42="S1",Y42="",AE42=""),EDATE(R42,12),AND(AO42="K5-POLICY",AL42&lt;&gt;"นิติศาสตร์",OR(K42="M2",K42="K4"),Y42="",AE42=""),EDATE(R42,12*2),AND(AO42="K5-POLICY",AL42&lt;&gt;"นิติศาสตร์",OR(AE42="M2",AE42="K4"),AH42&gt;=2,OR(AG42&lt;AA42,AG42&lt;R42)),EDATE(AG42,12*2),AND(AO42="K5-POLICY",AL42&lt;&gt;"นิติศาสตร์",AE42="S1",AH42&gt;=1,OR(AG42&lt;AA42,AG42&lt;R42)),EDATE(AG42,12),AND(AO42="K5-POLICY",AL42&lt;&gt;"นิติศาสตร์",OR(Y42="M2",Y42="K4"),AB42&gt;=2,AA42&lt;R42),EDATE(AA42,12*2),AND(AO42="K5-POLICY",AL42&lt;&gt;"นิติศาสตร์",Y42="S1",AB42&gt;=1,AA42&lt;R42),EDATE(AA42,12),AND(AO42="K5-POLICY",AL42&lt;&gt;"นิติศาสตร์",OR(Y42="S2",Y42="K5")),AA42,AND(AO42="K5-POLICY",AL42&lt;&gt;"นิติศาสตร์",OR(K42="M2",K42="K4"),U42&gt;=2),EDATE(R42,12*2),AND(AO42="K5-POLICY",AL42&lt;&gt;"นิติศาสตร์",K42="S1",U42&gt;=1),EDATE(R42,12),AND(AO42="K5-POLICY",AL42&lt;&gt;"นิติศาสตร์",OR(K42="S2",K42="K5")),R42,TRUE,"Check Data")</f>
        <v/>
      </c>
      <c r="AQ42" s="75" t="str">
        <f t="shared" si="20"/>
        <v>Check Data</v>
      </c>
      <c r="AR42" s="76" t="str">
        <f t="shared" si="21"/>
        <v>Check Data</v>
      </c>
      <c r="AS42" s="50" t="str">
        <f t="shared" si="22"/>
        <v>Check Data</v>
      </c>
      <c r="AT42" s="49" t="str">
        <f>IF(B42="","",IF(K42="S1","S1",INDEX(#REF!,#REF!)))</f>
        <v/>
      </c>
      <c r="AU42" s="49" t="str">
        <f t="shared" si="23"/>
        <v>M2</v>
      </c>
      <c r="AV42" s="50" t="b">
        <f t="shared" si="24"/>
        <v>0</v>
      </c>
      <c r="AW42" s="50"/>
    </row>
    <row r="43" spans="1:49" ht="21.75">
      <c r="A43" s="49">
        <v>41</v>
      </c>
      <c r="B43" s="50"/>
      <c r="C43" s="54"/>
      <c r="D43" s="50" t="s">
        <v>511</v>
      </c>
      <c r="E43" s="49" t="s">
        <v>187</v>
      </c>
      <c r="F43" s="49" t="str">
        <f t="shared" si="0"/>
        <v>01/08/1990</v>
      </c>
      <c r="G43" s="50">
        <f t="shared" si="1"/>
        <v>34</v>
      </c>
      <c r="H43" s="50">
        <f t="shared" si="2"/>
        <v>10</v>
      </c>
      <c r="I43" s="50">
        <f t="shared" si="3"/>
        <v>19</v>
      </c>
      <c r="J43" s="56"/>
      <c r="K43" s="49" t="s">
        <v>136</v>
      </c>
      <c r="L43" s="49" t="str">
        <f>IF(B43="","",IF(K43="S1",K43,INDEX(#REF!,#REF!)))</f>
        <v/>
      </c>
      <c r="M43" s="49" t="b">
        <f t="shared" si="4"/>
        <v>0</v>
      </c>
      <c r="N43" s="64"/>
      <c r="O43" s="49" t="s">
        <v>427</v>
      </c>
      <c r="P43" s="49">
        <v>2568</v>
      </c>
      <c r="Q43" s="65" t="s">
        <v>237</v>
      </c>
      <c r="R43" s="49" t="str">
        <f t="shared" si="5"/>
        <v>27/11/2018</v>
      </c>
      <c r="S43" s="49" t="str">
        <f>IF(B43="","",IF(K43="S1",K43,INDEX(#REF!,#REF!)))</f>
        <v/>
      </c>
      <c r="T43" s="49" t="b">
        <f t="shared" si="6"/>
        <v>0</v>
      </c>
      <c r="U43" s="68">
        <f t="shared" si="7"/>
        <v>6</v>
      </c>
      <c r="V43" s="68">
        <f t="shared" si="8"/>
        <v>6</v>
      </c>
      <c r="W43" s="68">
        <f t="shared" si="9"/>
        <v>24</v>
      </c>
      <c r="X43" s="68"/>
      <c r="Y43" s="65"/>
      <c r="Z43" s="65"/>
      <c r="AA43" s="49" t="str">
        <f t="shared" si="10"/>
        <v/>
      </c>
      <c r="AB43" s="68">
        <f t="shared" si="11"/>
        <v>0</v>
      </c>
      <c r="AC43" s="68">
        <f t="shared" si="12"/>
        <v>0</v>
      </c>
      <c r="AD43" s="68">
        <f t="shared" si="13"/>
        <v>0</v>
      </c>
      <c r="AE43" s="49"/>
      <c r="AF43" s="65"/>
      <c r="AG43" s="50" t="str">
        <f t="shared" si="14"/>
        <v/>
      </c>
      <c r="AH43" s="68">
        <f t="shared" si="15"/>
        <v>0</v>
      </c>
      <c r="AI43" s="68">
        <f t="shared" si="16"/>
        <v>0</v>
      </c>
      <c r="AJ43" s="68">
        <f t="shared" si="17"/>
        <v>0</v>
      </c>
      <c r="AK43" s="50"/>
      <c r="AL43" s="50" t="s">
        <v>165</v>
      </c>
      <c r="AM43" s="129" t="str">
        <f>IF(B43="","",IF(K43="S1",K43,INDEX(#REF!,#REF!)))</f>
        <v/>
      </c>
      <c r="AN43" s="50" t="b">
        <f t="shared" si="18"/>
        <v>0</v>
      </c>
      <c r="AO43" s="49" t="str">
        <f t="shared" si="19"/>
        <v>K5-POLICY</v>
      </c>
      <c r="AP43" s="72" t="str">
        <f>_xlfn.IFS(B43="","",AND(AO43="K5-LAW",AL43="นิติศาสตร์",K43="S2",Y43="",AE43=""),R43,AND(AO43="K5-LAW",AL43="นิติศาสตร์",K43="S1",Y43="",AE43=""),EDATE(R43,12),AND(AO43="K5-LAW",AL43="นิติศาสตร์",OR(K43="M2",K43="K4"),Y43="",AE43=""),EDATE(R43,12*2),AND(AO43="K5-LAW",AL43="นิติศาสตร์",OR(AE43="M2",AE43="K4"),AH43&gt;=2,OR(AG43&lt;AA43,AG43&lt;R43)),EDATE(AG43,12*2),AND(AO43="K5-LAW",AL43="นิติศาสตร์",AE43="S1",AH43&gt;=1,OR(AG43&lt;AA43,AG43&lt;R43)),EDATE(AG43,12),AND(AO43="K5-LAW",AL43="นิติศาสตร์",OR(Y43="M2",Y43="K4"),AB43&gt;=2,AA43&lt;R43),EDATE(AA43,12*2),AND(AO43="K5-LAW",AL43="นิติศาสตร์",Y43="S1",AB43&gt;=1,AA43&lt;R43),EDATE(AA43,12),AND(AO43="K5-LAW",AL43="นิติศาสตร์",OR(Y43="S2",Y43="K5")),AA43,AND(AO43="K5-LAW",AL43="นิติศาสตร์",OR(K43="M2",K43="K4"),U43&gt;=2),EDATE(R43,12*2),AND(AO43="K5-LAW",AL43="นิติศาสตร์",K43="S1",U43&gt;=1),EDATE(R43,12),AND(AO43="K5-LAW",AL43="นิติศาสตร์",OR(K43="S2",K43="K5")),R43,AND(AO43="K5-POLICY",AL43&lt;&gt;"นิติศาสตร์",K43="S2",Y43="",AE43=""),R43,AND(AO43="K5-POLICY",AL43&lt;&gt;"นิติศาสตร์",K43="S1",Y43="",AE43=""),EDATE(R43,12),AND(AO43="K5-POLICY",AL43&lt;&gt;"นิติศาสตร์",OR(K43="M2",K43="K4"),Y43="",AE43=""),EDATE(R43,12*2),AND(AO43="K5-POLICY",AL43&lt;&gt;"นิติศาสตร์",OR(AE43="M2",AE43="K4"),AH43&gt;=2,OR(AG43&lt;AA43,AG43&lt;R43)),EDATE(AG43,12*2),AND(AO43="K5-POLICY",AL43&lt;&gt;"นิติศาสตร์",AE43="S1",AH43&gt;=1,OR(AG43&lt;AA43,AG43&lt;R43)),EDATE(AG43,12),AND(AO43="K5-POLICY",AL43&lt;&gt;"นิติศาสตร์",OR(Y43="M2",Y43="K4"),AB43&gt;=2,AA43&lt;R43),EDATE(AA43,12*2),AND(AO43="K5-POLICY",AL43&lt;&gt;"นิติศาสตร์",Y43="S1",AB43&gt;=1,AA43&lt;R43),EDATE(AA43,12),AND(AO43="K5-POLICY",AL43&lt;&gt;"นิติศาสตร์",OR(Y43="S2",Y43="K5")),AA43,AND(AO43="K5-POLICY",AL43&lt;&gt;"นิติศาสตร์",OR(K43="M2",K43="K4"),U43&gt;=2),EDATE(R43,12*2),AND(AO43="K5-POLICY",AL43&lt;&gt;"นิติศาสตร์",K43="S1",U43&gt;=1),EDATE(R43,12),AND(AO43="K5-POLICY",AL43&lt;&gt;"นิติศาสตร์",OR(K43="S2",K43="K5")),R43,TRUE,"Check Data")</f>
        <v/>
      </c>
      <c r="AQ43" s="75" t="str">
        <f t="shared" si="20"/>
        <v>Check Data</v>
      </c>
      <c r="AR43" s="76" t="str">
        <f t="shared" si="21"/>
        <v>Check Data</v>
      </c>
      <c r="AS43" s="50" t="str">
        <f t="shared" si="22"/>
        <v>Check Data</v>
      </c>
      <c r="AT43" s="49" t="str">
        <f>IF(B43="","",IF(K43="S1","S1",INDEX(#REF!,#REF!)))</f>
        <v/>
      </c>
      <c r="AU43" s="49" t="str">
        <f t="shared" si="23"/>
        <v>M2</v>
      </c>
      <c r="AV43" s="50" t="b">
        <f t="shared" si="24"/>
        <v>0</v>
      </c>
      <c r="AW43" s="50"/>
    </row>
    <row r="44" spans="1:49" ht="21.75">
      <c r="A44" s="49">
        <v>42</v>
      </c>
      <c r="B44" s="50"/>
      <c r="C44" s="50"/>
      <c r="D44" s="50" t="s">
        <v>143</v>
      </c>
      <c r="E44" s="49" t="s">
        <v>331</v>
      </c>
      <c r="F44" s="49" t="str">
        <f t="shared" si="0"/>
        <v>01/04/1986</v>
      </c>
      <c r="G44" s="50">
        <f t="shared" si="1"/>
        <v>39</v>
      </c>
      <c r="H44" s="50">
        <f t="shared" si="2"/>
        <v>2</v>
      </c>
      <c r="I44" s="50">
        <f t="shared" si="3"/>
        <v>19</v>
      </c>
      <c r="J44" s="59"/>
      <c r="K44" s="49" t="s">
        <v>136</v>
      </c>
      <c r="L44" s="49" t="str">
        <f>IF(B44="","",IF(K44="S1",K44,INDEX(#REF!,#REF!)))</f>
        <v/>
      </c>
      <c r="M44" s="49" t="b">
        <f t="shared" si="4"/>
        <v>0</v>
      </c>
      <c r="N44" s="64"/>
      <c r="O44" s="49" t="s">
        <v>425</v>
      </c>
      <c r="P44" s="49">
        <v>2569</v>
      </c>
      <c r="Q44" s="65" t="s">
        <v>301</v>
      </c>
      <c r="R44" s="49" t="str">
        <f t="shared" si="5"/>
        <v>29/11/2018</v>
      </c>
      <c r="S44" s="49" t="str">
        <f>IF(B44="","",IF(K44="S1",K44,INDEX(#REF!,#REF!)))</f>
        <v/>
      </c>
      <c r="T44" s="49" t="b">
        <f t="shared" si="6"/>
        <v>0</v>
      </c>
      <c r="U44" s="68">
        <f t="shared" si="7"/>
        <v>6</v>
      </c>
      <c r="V44" s="68">
        <f t="shared" si="8"/>
        <v>6</v>
      </c>
      <c r="W44" s="68">
        <f t="shared" si="9"/>
        <v>22</v>
      </c>
      <c r="X44" s="68"/>
      <c r="Y44" s="65"/>
      <c r="Z44" s="65"/>
      <c r="AA44" s="49" t="str">
        <f t="shared" si="10"/>
        <v/>
      </c>
      <c r="AB44" s="68">
        <f t="shared" si="11"/>
        <v>0</v>
      </c>
      <c r="AC44" s="68">
        <f t="shared" si="12"/>
        <v>0</v>
      </c>
      <c r="AD44" s="68">
        <f t="shared" si="13"/>
        <v>0</v>
      </c>
      <c r="AE44" s="49"/>
      <c r="AF44" s="65"/>
      <c r="AG44" s="50" t="str">
        <f t="shared" si="14"/>
        <v/>
      </c>
      <c r="AH44" s="68">
        <f t="shared" si="15"/>
        <v>0</v>
      </c>
      <c r="AI44" s="68">
        <f t="shared" si="16"/>
        <v>0</v>
      </c>
      <c r="AJ44" s="68">
        <f t="shared" si="17"/>
        <v>0</v>
      </c>
      <c r="AK44" s="50"/>
      <c r="AL44" s="50" t="s">
        <v>285</v>
      </c>
      <c r="AM44" s="50" t="str">
        <f>IF(B44="","",IF(K44="S1",K44,INDEX(#REF!,#REF!)))</f>
        <v/>
      </c>
      <c r="AN44" s="50" t="b">
        <f t="shared" si="18"/>
        <v>0</v>
      </c>
      <c r="AO44" s="49" t="str">
        <f t="shared" si="19"/>
        <v>K5-POLICY</v>
      </c>
      <c r="AP44" s="72" t="str">
        <f>_xlfn.IFS(B44="","",AND(AO44="K5-LAW",AL44="นิติศาสตร์",K44="S2",Y44="",AE44=""),R44,AND(AO44="K5-LAW",AL44="นิติศาสตร์",K44="S1",Y44="",AE44=""),EDATE(R44,12),AND(AO44="K5-LAW",AL44="นิติศาสตร์",OR(K44="M2",K44="K4"),Y44="",AE44=""),EDATE(R44,12*2),AND(AO44="K5-LAW",AL44="นิติศาสตร์",OR(AE44="M2",AE44="K4"),AH44&gt;=2,OR(AG44&lt;AA44,AG44&lt;R44)),EDATE(AG44,12*2),AND(AO44="K5-LAW",AL44="นิติศาสตร์",AE44="S1",AH44&gt;=1,OR(AG44&lt;AA44,AG44&lt;R44)),EDATE(AG44,12),AND(AO44="K5-LAW",AL44="นิติศาสตร์",OR(Y44="M2",Y44="K4"),AB44&gt;=2,AA44&lt;R44),EDATE(AA44,12*2),AND(AO44="K5-LAW",AL44="นิติศาสตร์",Y44="S1",AB44&gt;=1,AA44&lt;R44),EDATE(AA44,12),AND(AO44="K5-LAW",AL44="นิติศาสตร์",OR(Y44="S2",Y44="K5")),AA44,AND(AO44="K5-LAW",AL44="นิติศาสตร์",OR(K44="M2",K44="K4"),U44&gt;=2),EDATE(R44,12*2),AND(AO44="K5-LAW",AL44="นิติศาสตร์",K44="S1",U44&gt;=1),EDATE(R44,12),AND(AO44="K5-LAW",AL44="นิติศาสตร์",OR(K44="S2",K44="K5")),R44,AND(AO44="K5-POLICY",AL44&lt;&gt;"นิติศาสตร์",K44="S2",Y44="",AE44=""),R44,AND(AO44="K5-POLICY",AL44&lt;&gt;"นิติศาสตร์",K44="S1",Y44="",AE44=""),EDATE(R44,12),AND(AO44="K5-POLICY",AL44&lt;&gt;"นิติศาสตร์",OR(K44="M2",K44="K4"),Y44="",AE44=""),EDATE(R44,12*2),AND(AO44="K5-POLICY",AL44&lt;&gt;"นิติศาสตร์",OR(AE44="M2",AE44="K4"),AH44&gt;=2,OR(AG44&lt;AA44,AG44&lt;R44)),EDATE(AG44,12*2),AND(AO44="K5-POLICY",AL44&lt;&gt;"นิติศาสตร์",AE44="S1",AH44&gt;=1,OR(AG44&lt;AA44,AG44&lt;R44)),EDATE(AG44,12),AND(AO44="K5-POLICY",AL44&lt;&gt;"นิติศาสตร์",OR(Y44="M2",Y44="K4"),AB44&gt;=2,AA44&lt;R44),EDATE(AA44,12*2),AND(AO44="K5-POLICY",AL44&lt;&gt;"นิติศาสตร์",Y44="S1",AB44&gt;=1,AA44&lt;R44),EDATE(AA44,12),AND(AO44="K5-POLICY",AL44&lt;&gt;"นิติศาสตร์",OR(Y44="S2",Y44="K5")),AA44,AND(AO44="K5-POLICY",AL44&lt;&gt;"นิติศาสตร์",OR(K44="M2",K44="K4"),U44&gt;=2),EDATE(R44,12*2),AND(AO44="K5-POLICY",AL44&lt;&gt;"นิติศาสตร์",K44="S1",U44&gt;=1),EDATE(R44,12),AND(AO44="K5-POLICY",AL44&lt;&gt;"นิติศาสตร์",OR(K44="S2",K44="K5")),R44,TRUE,"Check Data")</f>
        <v/>
      </c>
      <c r="AQ44" s="75" t="str">
        <f t="shared" si="20"/>
        <v>Check Data</v>
      </c>
      <c r="AR44" s="76" t="str">
        <f t="shared" si="21"/>
        <v>Check Data</v>
      </c>
      <c r="AS44" s="50" t="str">
        <f t="shared" si="22"/>
        <v>Check Data</v>
      </c>
      <c r="AT44" s="49" t="str">
        <f>IF(B44="","",IF(K44="S1","S1",INDEX(#REF!,#REF!)))</f>
        <v/>
      </c>
      <c r="AU44" s="49" t="str">
        <f t="shared" si="23"/>
        <v>M2</v>
      </c>
      <c r="AV44" s="50" t="b">
        <f t="shared" si="24"/>
        <v>0</v>
      </c>
      <c r="AW44" s="50"/>
    </row>
    <row r="45" spans="1:49" ht="21.75">
      <c r="A45" s="49">
        <v>43</v>
      </c>
      <c r="B45" s="50"/>
      <c r="C45" s="50"/>
      <c r="D45" s="50" t="s">
        <v>143</v>
      </c>
      <c r="E45" s="49" t="s">
        <v>316</v>
      </c>
      <c r="F45" s="49" t="str">
        <f t="shared" si="0"/>
        <v>15/06/1987</v>
      </c>
      <c r="G45" s="50">
        <f t="shared" si="1"/>
        <v>38</v>
      </c>
      <c r="H45" s="50">
        <f t="shared" si="2"/>
        <v>0</v>
      </c>
      <c r="I45" s="50">
        <f t="shared" si="3"/>
        <v>5</v>
      </c>
      <c r="J45" s="58"/>
      <c r="K45" s="49" t="s">
        <v>136</v>
      </c>
      <c r="L45" s="49" t="str">
        <f>IF(B45="","",IF(K45="S1",K45,INDEX(#REF!,#REF!)))</f>
        <v/>
      </c>
      <c r="M45" s="49" t="b">
        <f t="shared" si="4"/>
        <v>0</v>
      </c>
      <c r="N45" s="64"/>
      <c r="O45" s="49" t="s">
        <v>425</v>
      </c>
      <c r="P45" s="49">
        <v>2569</v>
      </c>
      <c r="Q45" s="65" t="s">
        <v>301</v>
      </c>
      <c r="R45" s="49" t="str">
        <f t="shared" si="5"/>
        <v>29/11/2018</v>
      </c>
      <c r="S45" s="49" t="str">
        <f>IF(B45="","",IF(K45="S1",K45,INDEX(#REF!,#REF!)))</f>
        <v/>
      </c>
      <c r="T45" s="49" t="b">
        <f t="shared" si="6"/>
        <v>0</v>
      </c>
      <c r="U45" s="68">
        <f t="shared" si="7"/>
        <v>6</v>
      </c>
      <c r="V45" s="68">
        <f t="shared" si="8"/>
        <v>6</v>
      </c>
      <c r="W45" s="68">
        <f t="shared" si="9"/>
        <v>22</v>
      </c>
      <c r="X45" s="68"/>
      <c r="Y45" s="65"/>
      <c r="Z45" s="65"/>
      <c r="AA45" s="49" t="str">
        <f t="shared" si="10"/>
        <v/>
      </c>
      <c r="AB45" s="68">
        <f t="shared" si="11"/>
        <v>0</v>
      </c>
      <c r="AC45" s="68">
        <f t="shared" si="12"/>
        <v>0</v>
      </c>
      <c r="AD45" s="68">
        <f t="shared" si="13"/>
        <v>0</v>
      </c>
      <c r="AE45" s="49"/>
      <c r="AF45" s="65"/>
      <c r="AG45" s="50" t="str">
        <f t="shared" si="14"/>
        <v/>
      </c>
      <c r="AH45" s="68">
        <f t="shared" si="15"/>
        <v>0</v>
      </c>
      <c r="AI45" s="68">
        <f t="shared" si="16"/>
        <v>0</v>
      </c>
      <c r="AJ45" s="68">
        <f t="shared" si="17"/>
        <v>0</v>
      </c>
      <c r="AK45" s="50"/>
      <c r="AL45" s="50" t="s">
        <v>167</v>
      </c>
      <c r="AM45" s="50" t="str">
        <f>IF(B45="","",IF(K45="S1",K45,INDEX(#REF!,#REF!)))</f>
        <v/>
      </c>
      <c r="AN45" s="50" t="b">
        <f t="shared" si="18"/>
        <v>0</v>
      </c>
      <c r="AO45" s="49" t="str">
        <f t="shared" si="19"/>
        <v>K5-POLICY</v>
      </c>
      <c r="AP45" s="72" t="str">
        <f>_xlfn.IFS(B45="","",AND(AO45="K5-LAW",AL45="นิติศาสตร์",K45="S2",Y45="",AE45=""),R45,AND(AO45="K5-LAW",AL45="นิติศาสตร์",K45="S1",Y45="",AE45=""),EDATE(R45,12),AND(AO45="K5-LAW",AL45="นิติศาสตร์",OR(K45="M2",K45="K4"),Y45="",AE45=""),EDATE(R45,12*2),AND(AO45="K5-LAW",AL45="นิติศาสตร์",OR(AE45="M2",AE45="K4"),AH45&gt;=2,OR(AG45&lt;AA45,AG45&lt;R45)),EDATE(AG45,12*2),AND(AO45="K5-LAW",AL45="นิติศาสตร์",AE45="S1",AH45&gt;=1,OR(AG45&lt;AA45,AG45&lt;R45)),EDATE(AG45,12),AND(AO45="K5-LAW",AL45="นิติศาสตร์",OR(Y45="M2",Y45="K4"),AB45&gt;=2,AA45&lt;R45),EDATE(AA45,12*2),AND(AO45="K5-LAW",AL45="นิติศาสตร์",Y45="S1",AB45&gt;=1,AA45&lt;R45),EDATE(AA45,12),AND(AO45="K5-LAW",AL45="นิติศาสตร์",OR(Y45="S2",Y45="K5")),AA45,AND(AO45="K5-LAW",AL45="นิติศาสตร์",OR(K45="M2",K45="K4"),U45&gt;=2),EDATE(R45,12*2),AND(AO45="K5-LAW",AL45="นิติศาสตร์",K45="S1",U45&gt;=1),EDATE(R45,12),AND(AO45="K5-LAW",AL45="นิติศาสตร์",OR(K45="S2",K45="K5")),R45,AND(AO45="K5-POLICY",AL45&lt;&gt;"นิติศาสตร์",K45="S2",Y45="",AE45=""),R45,AND(AO45="K5-POLICY",AL45&lt;&gt;"นิติศาสตร์",K45="S1",Y45="",AE45=""),EDATE(R45,12),AND(AO45="K5-POLICY",AL45&lt;&gt;"นิติศาสตร์",OR(K45="M2",K45="K4"),Y45="",AE45=""),EDATE(R45,12*2),AND(AO45="K5-POLICY",AL45&lt;&gt;"นิติศาสตร์",OR(AE45="M2",AE45="K4"),AH45&gt;=2,OR(AG45&lt;AA45,AG45&lt;R45)),EDATE(AG45,12*2),AND(AO45="K5-POLICY",AL45&lt;&gt;"นิติศาสตร์",AE45="S1",AH45&gt;=1,OR(AG45&lt;AA45,AG45&lt;R45)),EDATE(AG45,12),AND(AO45="K5-POLICY",AL45&lt;&gt;"นิติศาสตร์",OR(Y45="M2",Y45="K4"),AB45&gt;=2,AA45&lt;R45),EDATE(AA45,12*2),AND(AO45="K5-POLICY",AL45&lt;&gt;"นิติศาสตร์",Y45="S1",AB45&gt;=1,AA45&lt;R45),EDATE(AA45,12),AND(AO45="K5-POLICY",AL45&lt;&gt;"นิติศาสตร์",OR(Y45="S2",Y45="K5")),AA45,AND(AO45="K5-POLICY",AL45&lt;&gt;"นิติศาสตร์",OR(K45="M2",K45="K4"),U45&gt;=2),EDATE(R45,12*2),AND(AO45="K5-POLICY",AL45&lt;&gt;"นิติศาสตร์",K45="S1",U45&gt;=1),EDATE(R45,12),AND(AO45="K5-POLICY",AL45&lt;&gt;"นิติศาสตร์",OR(K45="S2",K45="K5")),R45,TRUE,"Check Data")</f>
        <v/>
      </c>
      <c r="AQ45" s="75" t="str">
        <f t="shared" si="20"/>
        <v>Check Data</v>
      </c>
      <c r="AR45" s="76" t="str">
        <f t="shared" si="21"/>
        <v>Check Data</v>
      </c>
      <c r="AS45" s="50" t="str">
        <f t="shared" si="22"/>
        <v>Check Data</v>
      </c>
      <c r="AT45" s="49" t="str">
        <f>IF(B45="","",IF(K45="S1","S1",INDEX(#REF!,#REF!)))</f>
        <v/>
      </c>
      <c r="AU45" s="49" t="str">
        <f t="shared" si="23"/>
        <v>M2</v>
      </c>
      <c r="AV45" s="50" t="b">
        <f t="shared" si="24"/>
        <v>0</v>
      </c>
      <c r="AW45" s="50"/>
    </row>
    <row r="46" spans="1:49" ht="21.75">
      <c r="A46" s="49">
        <v>44</v>
      </c>
      <c r="B46" s="50"/>
      <c r="C46" s="50"/>
      <c r="D46" s="50" t="s">
        <v>143</v>
      </c>
      <c r="E46" s="49" t="s">
        <v>327</v>
      </c>
      <c r="F46" s="49" t="str">
        <f t="shared" si="0"/>
        <v>21/06/1988</v>
      </c>
      <c r="G46" s="50">
        <f t="shared" si="1"/>
        <v>36</v>
      </c>
      <c r="H46" s="50">
        <f t="shared" si="2"/>
        <v>11</v>
      </c>
      <c r="I46" s="50">
        <f t="shared" si="3"/>
        <v>30</v>
      </c>
      <c r="J46" s="59"/>
      <c r="K46" s="49" t="s">
        <v>136</v>
      </c>
      <c r="L46" s="49" t="str">
        <f>IF(B46="","",IF(K46="S1",K46,INDEX(#REF!,#REF!)))</f>
        <v/>
      </c>
      <c r="M46" s="49" t="b">
        <f t="shared" si="4"/>
        <v>0</v>
      </c>
      <c r="N46" s="64"/>
      <c r="O46" s="49" t="s">
        <v>425</v>
      </c>
      <c r="P46" s="49">
        <v>2570</v>
      </c>
      <c r="Q46" s="65" t="s">
        <v>301</v>
      </c>
      <c r="R46" s="49" t="str">
        <f t="shared" si="5"/>
        <v>29/11/2018</v>
      </c>
      <c r="S46" s="49" t="str">
        <f>IF(B46="","",IF(K46="S1",K46,INDEX(#REF!,#REF!)))</f>
        <v/>
      </c>
      <c r="T46" s="49" t="b">
        <f t="shared" si="6"/>
        <v>0</v>
      </c>
      <c r="U46" s="68">
        <f t="shared" si="7"/>
        <v>6</v>
      </c>
      <c r="V46" s="68">
        <f t="shared" si="8"/>
        <v>6</v>
      </c>
      <c r="W46" s="68">
        <f t="shared" si="9"/>
        <v>22</v>
      </c>
      <c r="X46" s="68"/>
      <c r="Y46" s="65"/>
      <c r="Z46" s="65"/>
      <c r="AA46" s="49" t="str">
        <f t="shared" si="10"/>
        <v/>
      </c>
      <c r="AB46" s="68">
        <f t="shared" si="11"/>
        <v>0</v>
      </c>
      <c r="AC46" s="68">
        <f t="shared" si="12"/>
        <v>0</v>
      </c>
      <c r="AD46" s="68">
        <f t="shared" si="13"/>
        <v>0</v>
      </c>
      <c r="AE46" s="49"/>
      <c r="AF46" s="65"/>
      <c r="AG46" s="50" t="str">
        <f t="shared" si="14"/>
        <v/>
      </c>
      <c r="AH46" s="68">
        <f t="shared" si="15"/>
        <v>0</v>
      </c>
      <c r="AI46" s="68">
        <f t="shared" si="16"/>
        <v>0</v>
      </c>
      <c r="AJ46" s="68">
        <f t="shared" si="17"/>
        <v>0</v>
      </c>
      <c r="AK46" s="50"/>
      <c r="AL46" s="50" t="s">
        <v>138</v>
      </c>
      <c r="AM46" s="50" t="str">
        <f>IF(B46="","",IF(K46="S1",K46,INDEX(#REF!,#REF!)))</f>
        <v/>
      </c>
      <c r="AN46" s="50" t="b">
        <f t="shared" si="18"/>
        <v>0</v>
      </c>
      <c r="AO46" s="49" t="str">
        <f t="shared" si="19"/>
        <v>K5-LAW</v>
      </c>
      <c r="AP46" s="72" t="str">
        <f>_xlfn.IFS(B46="","",AND(AO46="K5-LAW",AL46="นิติศาสตร์",K46="S2",Y46="",AE46=""),R46,AND(AO46="K5-LAW",AL46="นิติศาสตร์",K46="S1",Y46="",AE46=""),EDATE(R46,12),AND(AO46="K5-LAW",AL46="นิติศาสตร์",OR(K46="M2",K46="K4"),Y46="",AE46=""),EDATE(R46,12*2),AND(AO46="K5-LAW",AL46="นิติศาสตร์",OR(AE46="M2",AE46="K4"),AH46&gt;=2,OR(AG46&lt;AA46,AG46&lt;R46)),EDATE(AG46,12*2),AND(AO46="K5-LAW",AL46="นิติศาสตร์",AE46="S1",AH46&gt;=1,OR(AG46&lt;AA46,AG46&lt;R46)),EDATE(AG46,12),AND(AO46="K5-LAW",AL46="นิติศาสตร์",OR(Y46="M2",Y46="K4"),AB46&gt;=2,AA46&lt;R46),EDATE(AA46,12*2),AND(AO46="K5-LAW",AL46="นิติศาสตร์",Y46="S1",AB46&gt;=1,AA46&lt;R46),EDATE(AA46,12),AND(AO46="K5-LAW",AL46="นิติศาสตร์",OR(Y46="S2",Y46="K5")),AA46,AND(AO46="K5-LAW",AL46="นิติศาสตร์",OR(K46="M2",K46="K4"),U46&gt;=2),EDATE(R46,12*2),AND(AO46="K5-LAW",AL46="นิติศาสตร์",K46="S1",U46&gt;=1),EDATE(R46,12),AND(AO46="K5-LAW",AL46="นิติศาสตร์",OR(K46="S2",K46="K5")),R46,AND(AO46="K5-POLICY",AL46&lt;&gt;"นิติศาสตร์",K46="S2",Y46="",AE46=""),R46,AND(AO46="K5-POLICY",AL46&lt;&gt;"นิติศาสตร์",K46="S1",Y46="",AE46=""),EDATE(R46,12),AND(AO46="K5-POLICY",AL46&lt;&gt;"นิติศาสตร์",OR(K46="M2",K46="K4"),Y46="",AE46=""),EDATE(R46,12*2),AND(AO46="K5-POLICY",AL46&lt;&gt;"นิติศาสตร์",OR(AE46="M2",AE46="K4"),AH46&gt;=2,OR(AG46&lt;AA46,AG46&lt;R46)),EDATE(AG46,12*2),AND(AO46="K5-POLICY",AL46&lt;&gt;"นิติศาสตร์",AE46="S1",AH46&gt;=1,OR(AG46&lt;AA46,AG46&lt;R46)),EDATE(AG46,12),AND(AO46="K5-POLICY",AL46&lt;&gt;"นิติศาสตร์",OR(Y46="M2",Y46="K4"),AB46&gt;=2,AA46&lt;R46),EDATE(AA46,12*2),AND(AO46="K5-POLICY",AL46&lt;&gt;"นิติศาสตร์",Y46="S1",AB46&gt;=1,AA46&lt;R46),EDATE(AA46,12),AND(AO46="K5-POLICY",AL46&lt;&gt;"นิติศาสตร์",OR(Y46="S2",Y46="K5")),AA46,AND(AO46="K5-POLICY",AL46&lt;&gt;"นิติศาสตร์",OR(K46="M2",K46="K4"),U46&gt;=2),EDATE(R46,12*2),AND(AO46="K5-POLICY",AL46&lt;&gt;"นิติศาสตร์",K46="S1",U46&gt;=1),EDATE(R46,12),AND(AO46="K5-POLICY",AL46&lt;&gt;"นิติศาสตร์",OR(K46="S2",K46="K5")),R46,TRUE,"Check Data")</f>
        <v/>
      </c>
      <c r="AQ46" s="75" t="str">
        <f t="shared" si="20"/>
        <v>Check Data</v>
      </c>
      <c r="AR46" s="76" t="str">
        <f t="shared" si="21"/>
        <v>Check Data</v>
      </c>
      <c r="AS46" s="50" t="str">
        <f t="shared" si="22"/>
        <v>Check Data</v>
      </c>
      <c r="AT46" s="49" t="str">
        <f>IF(B46="","",IF(K46="S1","S1",INDEX(#REF!,#REF!)))</f>
        <v/>
      </c>
      <c r="AU46" s="49" t="str">
        <f t="shared" si="23"/>
        <v>M2</v>
      </c>
      <c r="AV46" s="50" t="b">
        <f t="shared" si="24"/>
        <v>0</v>
      </c>
      <c r="AW46" s="50"/>
    </row>
    <row r="47" spans="1:49" ht="21.75">
      <c r="A47" s="49">
        <v>45</v>
      </c>
      <c r="B47" s="50"/>
      <c r="C47" s="50"/>
      <c r="D47" s="50" t="s">
        <v>143</v>
      </c>
      <c r="E47" s="49" t="s">
        <v>246</v>
      </c>
      <c r="F47" s="49" t="str">
        <f t="shared" si="0"/>
        <v>13/06/1994</v>
      </c>
      <c r="G47" s="50">
        <f t="shared" si="1"/>
        <v>31</v>
      </c>
      <c r="H47" s="50">
        <f t="shared" si="2"/>
        <v>0</v>
      </c>
      <c r="I47" s="50">
        <f t="shared" si="3"/>
        <v>7</v>
      </c>
      <c r="J47" s="59"/>
      <c r="K47" s="49" t="s">
        <v>136</v>
      </c>
      <c r="L47" s="49" t="str">
        <f>IF(B47="","",IF(K47="S1",K47,INDEX(#REF!,#REF!)))</f>
        <v/>
      </c>
      <c r="M47" s="49" t="b">
        <f t="shared" si="4"/>
        <v>0</v>
      </c>
      <c r="N47" s="64"/>
      <c r="O47" s="49" t="s">
        <v>425</v>
      </c>
      <c r="P47" s="49">
        <v>2569</v>
      </c>
      <c r="Q47" s="65" t="s">
        <v>301</v>
      </c>
      <c r="R47" s="49" t="str">
        <f t="shared" si="5"/>
        <v>29/11/2018</v>
      </c>
      <c r="S47" s="49" t="str">
        <f>IF(B47="","",IF(K47="S1",K47,INDEX(#REF!,#REF!)))</f>
        <v/>
      </c>
      <c r="T47" s="49" t="b">
        <f t="shared" si="6"/>
        <v>0</v>
      </c>
      <c r="U47" s="68">
        <f t="shared" si="7"/>
        <v>6</v>
      </c>
      <c r="V47" s="68">
        <f t="shared" si="8"/>
        <v>6</v>
      </c>
      <c r="W47" s="68">
        <f t="shared" si="9"/>
        <v>22</v>
      </c>
      <c r="X47" s="68"/>
      <c r="Y47" s="65"/>
      <c r="Z47" s="65"/>
      <c r="AA47" s="49" t="str">
        <f t="shared" si="10"/>
        <v/>
      </c>
      <c r="AB47" s="68">
        <f t="shared" si="11"/>
        <v>0</v>
      </c>
      <c r="AC47" s="68">
        <f t="shared" si="12"/>
        <v>0</v>
      </c>
      <c r="AD47" s="68">
        <f t="shared" si="13"/>
        <v>0</v>
      </c>
      <c r="AE47" s="49"/>
      <c r="AF47" s="65"/>
      <c r="AG47" s="50" t="str">
        <f t="shared" si="14"/>
        <v/>
      </c>
      <c r="AH47" s="68">
        <f t="shared" si="15"/>
        <v>0</v>
      </c>
      <c r="AI47" s="68">
        <f t="shared" si="16"/>
        <v>0</v>
      </c>
      <c r="AJ47" s="68">
        <f t="shared" si="17"/>
        <v>0</v>
      </c>
      <c r="AK47" s="50"/>
      <c r="AL47" s="50" t="s">
        <v>138</v>
      </c>
      <c r="AM47" s="50" t="str">
        <f>IF(B47="","",IF(K47="S1",K47,INDEX(#REF!,#REF!)))</f>
        <v/>
      </c>
      <c r="AN47" s="50" t="b">
        <f t="shared" si="18"/>
        <v>0</v>
      </c>
      <c r="AO47" s="49" t="str">
        <f t="shared" si="19"/>
        <v>K5-LAW</v>
      </c>
      <c r="AP47" s="72" t="str">
        <f>_xlfn.IFS(B47="","",AND(AO47="K5-LAW",AL47="นิติศาสตร์",K47="S2",Y47="",AE47=""),R47,AND(AO47="K5-LAW",AL47="นิติศาสตร์",K47="S1",Y47="",AE47=""),EDATE(R47,12),AND(AO47="K5-LAW",AL47="นิติศาสตร์",OR(K47="M2",K47="K4"),Y47="",AE47=""),EDATE(R47,12*2),AND(AO47="K5-LAW",AL47="นิติศาสตร์",OR(AE47="M2",AE47="K4"),AH47&gt;=2,OR(AG47&lt;AA47,AG47&lt;R47)),EDATE(AG47,12*2),AND(AO47="K5-LAW",AL47="นิติศาสตร์",AE47="S1",AH47&gt;=1,OR(AG47&lt;AA47,AG47&lt;R47)),EDATE(AG47,12),AND(AO47="K5-LAW",AL47="นิติศาสตร์",OR(Y47="M2",Y47="K4"),AB47&gt;=2,AA47&lt;R47),EDATE(AA47,12*2),AND(AO47="K5-LAW",AL47="นิติศาสตร์",Y47="S1",AB47&gt;=1,AA47&lt;R47),EDATE(AA47,12),AND(AO47="K5-LAW",AL47="นิติศาสตร์",OR(Y47="S2",Y47="K5")),AA47,AND(AO47="K5-LAW",AL47="นิติศาสตร์",OR(K47="M2",K47="K4"),U47&gt;=2),EDATE(R47,12*2),AND(AO47="K5-LAW",AL47="นิติศาสตร์",K47="S1",U47&gt;=1),EDATE(R47,12),AND(AO47="K5-LAW",AL47="นิติศาสตร์",OR(K47="S2",K47="K5")),R47,AND(AO47="K5-POLICY",AL47&lt;&gt;"นิติศาสตร์",K47="S2",Y47="",AE47=""),R47,AND(AO47="K5-POLICY",AL47&lt;&gt;"นิติศาสตร์",K47="S1",Y47="",AE47=""),EDATE(R47,12),AND(AO47="K5-POLICY",AL47&lt;&gt;"นิติศาสตร์",OR(K47="M2",K47="K4"),Y47="",AE47=""),EDATE(R47,12*2),AND(AO47="K5-POLICY",AL47&lt;&gt;"นิติศาสตร์",OR(AE47="M2",AE47="K4"),AH47&gt;=2,OR(AG47&lt;AA47,AG47&lt;R47)),EDATE(AG47,12*2),AND(AO47="K5-POLICY",AL47&lt;&gt;"นิติศาสตร์",AE47="S1",AH47&gt;=1,OR(AG47&lt;AA47,AG47&lt;R47)),EDATE(AG47,12),AND(AO47="K5-POLICY",AL47&lt;&gt;"นิติศาสตร์",OR(Y47="M2",Y47="K4"),AB47&gt;=2,AA47&lt;R47),EDATE(AA47,12*2),AND(AO47="K5-POLICY",AL47&lt;&gt;"นิติศาสตร์",Y47="S1",AB47&gt;=1,AA47&lt;R47),EDATE(AA47,12),AND(AO47="K5-POLICY",AL47&lt;&gt;"นิติศาสตร์",OR(Y47="S2",Y47="K5")),AA47,AND(AO47="K5-POLICY",AL47&lt;&gt;"นิติศาสตร์",OR(K47="M2",K47="K4"),U47&gt;=2),EDATE(R47,12*2),AND(AO47="K5-POLICY",AL47&lt;&gt;"นิติศาสตร์",K47="S1",U47&gt;=1),EDATE(R47,12),AND(AO47="K5-POLICY",AL47&lt;&gt;"นิติศาสตร์",OR(K47="S2",K47="K5")),R47,TRUE,"Check Data")</f>
        <v/>
      </c>
      <c r="AQ47" s="75" t="str">
        <f t="shared" si="20"/>
        <v>Check Data</v>
      </c>
      <c r="AR47" s="76" t="str">
        <f t="shared" si="21"/>
        <v>Check Data</v>
      </c>
      <c r="AS47" s="50" t="str">
        <f t="shared" si="22"/>
        <v>Check Data</v>
      </c>
      <c r="AT47" s="49" t="str">
        <f>IF(B47="","",IF(K47="S1","S1",INDEX(#REF!,#REF!)))</f>
        <v/>
      </c>
      <c r="AU47" s="49" t="str">
        <f t="shared" si="23"/>
        <v>M2</v>
      </c>
      <c r="AV47" s="50" t="b">
        <f t="shared" si="24"/>
        <v>0</v>
      </c>
      <c r="AW47" s="50"/>
    </row>
    <row r="48" spans="1:49" ht="21.75">
      <c r="A48" s="49">
        <v>46</v>
      </c>
      <c r="B48" s="50"/>
      <c r="C48" s="50"/>
      <c r="D48" s="50" t="s">
        <v>143</v>
      </c>
      <c r="E48" s="49" t="s">
        <v>312</v>
      </c>
      <c r="F48" s="49" t="str">
        <f t="shared" si="0"/>
        <v>04/05/2000</v>
      </c>
      <c r="G48" s="50">
        <f t="shared" si="1"/>
        <v>25</v>
      </c>
      <c r="H48" s="50">
        <f t="shared" si="2"/>
        <v>1</v>
      </c>
      <c r="I48" s="50">
        <f t="shared" si="3"/>
        <v>16</v>
      </c>
      <c r="J48" s="59"/>
      <c r="K48" s="49" t="s">
        <v>136</v>
      </c>
      <c r="L48" s="49" t="str">
        <f>IF(B48="","",IF(K48="S1",K48,INDEX(#REF!,#REF!)))</f>
        <v/>
      </c>
      <c r="M48" s="49" t="b">
        <f t="shared" si="4"/>
        <v>0</v>
      </c>
      <c r="N48" s="64"/>
      <c r="O48" s="49" t="s">
        <v>425</v>
      </c>
      <c r="P48" s="49">
        <v>2574</v>
      </c>
      <c r="Q48" s="65" t="s">
        <v>301</v>
      </c>
      <c r="R48" s="49" t="str">
        <f t="shared" si="5"/>
        <v>29/11/2018</v>
      </c>
      <c r="S48" s="49" t="str">
        <f>IF(B48="","",IF(K48="S1",K48,INDEX(#REF!,#REF!)))</f>
        <v/>
      </c>
      <c r="T48" s="49" t="b">
        <f t="shared" si="6"/>
        <v>0</v>
      </c>
      <c r="U48" s="68">
        <f t="shared" si="7"/>
        <v>6</v>
      </c>
      <c r="V48" s="68">
        <f t="shared" si="8"/>
        <v>6</v>
      </c>
      <c r="W48" s="68">
        <f t="shared" si="9"/>
        <v>22</v>
      </c>
      <c r="X48" s="68"/>
      <c r="Y48" s="65"/>
      <c r="Z48" s="65"/>
      <c r="AA48" s="49" t="str">
        <f t="shared" si="10"/>
        <v/>
      </c>
      <c r="AB48" s="68">
        <f t="shared" si="11"/>
        <v>0</v>
      </c>
      <c r="AC48" s="68">
        <f t="shared" si="12"/>
        <v>0</v>
      </c>
      <c r="AD48" s="68">
        <f t="shared" si="13"/>
        <v>0</v>
      </c>
      <c r="AE48" s="49"/>
      <c r="AF48" s="65"/>
      <c r="AG48" s="50" t="str">
        <f t="shared" si="14"/>
        <v/>
      </c>
      <c r="AH48" s="68">
        <f t="shared" si="15"/>
        <v>0</v>
      </c>
      <c r="AI48" s="68">
        <f t="shared" si="16"/>
        <v>0</v>
      </c>
      <c r="AJ48" s="68">
        <f t="shared" si="17"/>
        <v>0</v>
      </c>
      <c r="AK48" s="50"/>
      <c r="AL48" s="50" t="s">
        <v>166</v>
      </c>
      <c r="AM48" s="50" t="str">
        <f>IF(B48="","",IF(K48="S1",K48,INDEX(#REF!,#REF!)))</f>
        <v/>
      </c>
      <c r="AN48" s="50" t="b">
        <f t="shared" si="18"/>
        <v>0</v>
      </c>
      <c r="AO48" s="49" t="str">
        <f t="shared" si="19"/>
        <v>K5-POLICY</v>
      </c>
      <c r="AP48" s="72" t="str">
        <f>_xlfn.IFS(B48="","",AND(AO48="K5-LAW",AL48="นิติศาสตร์",K48="S2",Y48="",AE48=""),R48,AND(AO48="K5-LAW",AL48="นิติศาสตร์",K48="S1",Y48="",AE48=""),EDATE(R48,12),AND(AO48="K5-LAW",AL48="นิติศาสตร์",OR(K48="M2",K48="K4"),Y48="",AE48=""),EDATE(R48,12*2),AND(AO48="K5-LAW",AL48="นิติศาสตร์",OR(AE48="M2",AE48="K4"),AH48&gt;=2,OR(AG48&lt;AA48,AG48&lt;R48)),EDATE(AG48,12*2),AND(AO48="K5-LAW",AL48="นิติศาสตร์",AE48="S1",AH48&gt;=1,OR(AG48&lt;AA48,AG48&lt;R48)),EDATE(AG48,12),AND(AO48="K5-LAW",AL48="นิติศาสตร์",OR(Y48="M2",Y48="K4"),AB48&gt;=2,AA48&lt;R48),EDATE(AA48,12*2),AND(AO48="K5-LAW",AL48="นิติศาสตร์",Y48="S1",AB48&gt;=1,AA48&lt;R48),EDATE(AA48,12),AND(AO48="K5-LAW",AL48="นิติศาสตร์",OR(Y48="S2",Y48="K5")),AA48,AND(AO48="K5-LAW",AL48="นิติศาสตร์",OR(K48="M2",K48="K4"),U48&gt;=2),EDATE(R48,12*2),AND(AO48="K5-LAW",AL48="นิติศาสตร์",K48="S1",U48&gt;=1),EDATE(R48,12),AND(AO48="K5-LAW",AL48="นิติศาสตร์",OR(K48="S2",K48="K5")),R48,AND(AO48="K5-POLICY",AL48&lt;&gt;"นิติศาสตร์",K48="S2",Y48="",AE48=""),R48,AND(AO48="K5-POLICY",AL48&lt;&gt;"นิติศาสตร์",K48="S1",Y48="",AE48=""),EDATE(R48,12),AND(AO48="K5-POLICY",AL48&lt;&gt;"นิติศาสตร์",OR(K48="M2",K48="K4"),Y48="",AE48=""),EDATE(R48,12*2),AND(AO48="K5-POLICY",AL48&lt;&gt;"นิติศาสตร์",OR(AE48="M2",AE48="K4"),AH48&gt;=2,OR(AG48&lt;AA48,AG48&lt;R48)),EDATE(AG48,12*2),AND(AO48="K5-POLICY",AL48&lt;&gt;"นิติศาสตร์",AE48="S1",AH48&gt;=1,OR(AG48&lt;AA48,AG48&lt;R48)),EDATE(AG48,12),AND(AO48="K5-POLICY",AL48&lt;&gt;"นิติศาสตร์",OR(Y48="M2",Y48="K4"),AB48&gt;=2,AA48&lt;R48),EDATE(AA48,12*2),AND(AO48="K5-POLICY",AL48&lt;&gt;"นิติศาสตร์",Y48="S1",AB48&gt;=1,AA48&lt;R48),EDATE(AA48,12),AND(AO48="K5-POLICY",AL48&lt;&gt;"นิติศาสตร์",OR(Y48="S2",Y48="K5")),AA48,AND(AO48="K5-POLICY",AL48&lt;&gt;"นิติศาสตร์",OR(K48="M2",K48="K4"),U48&gt;=2),EDATE(R48,12*2),AND(AO48="K5-POLICY",AL48&lt;&gt;"นิติศาสตร์",K48="S1",U48&gt;=1),EDATE(R48,12),AND(AO48="K5-POLICY",AL48&lt;&gt;"นิติศาสตร์",OR(K48="S2",K48="K5")),R48,TRUE,"Check Data")</f>
        <v/>
      </c>
      <c r="AQ48" s="75" t="str">
        <f t="shared" si="20"/>
        <v>Check Data</v>
      </c>
      <c r="AR48" s="76" t="str">
        <f t="shared" si="21"/>
        <v>Check Data</v>
      </c>
      <c r="AS48" s="50" t="str">
        <f t="shared" si="22"/>
        <v>Check Data</v>
      </c>
      <c r="AT48" s="49" t="str">
        <f>IF(B48="","",IF(K48="S1","S1",INDEX(#REF!,#REF!)))</f>
        <v/>
      </c>
      <c r="AU48" s="49" t="str">
        <f t="shared" si="23"/>
        <v>M2</v>
      </c>
      <c r="AV48" s="50" t="b">
        <f t="shared" si="24"/>
        <v>0</v>
      </c>
      <c r="AW48" s="50"/>
    </row>
    <row r="49" spans="1:49" ht="21.75">
      <c r="A49" s="49">
        <v>47</v>
      </c>
      <c r="B49" s="50"/>
      <c r="C49" s="50"/>
      <c r="D49" s="50" t="s">
        <v>140</v>
      </c>
      <c r="E49" s="49" t="s">
        <v>240</v>
      </c>
      <c r="F49" s="49" t="str">
        <f t="shared" si="0"/>
        <v>16/06/1997</v>
      </c>
      <c r="G49" s="50">
        <f t="shared" si="1"/>
        <v>28</v>
      </c>
      <c r="H49" s="50">
        <f t="shared" si="2"/>
        <v>0</v>
      </c>
      <c r="I49" s="50">
        <f t="shared" si="3"/>
        <v>4</v>
      </c>
      <c r="J49" s="57"/>
      <c r="K49" s="49" t="s">
        <v>136</v>
      </c>
      <c r="L49" s="49" t="str">
        <f>IF(B49="","",IF(K49="S1",K49,INDEX(#REF!,#REF!)))</f>
        <v/>
      </c>
      <c r="M49" s="49" t="b">
        <f t="shared" si="4"/>
        <v>0</v>
      </c>
      <c r="N49" s="64"/>
      <c r="O49" s="49" t="s">
        <v>425</v>
      </c>
      <c r="P49" s="49">
        <v>2580</v>
      </c>
      <c r="Q49" s="65" t="s">
        <v>241</v>
      </c>
      <c r="R49" s="49" t="str">
        <f t="shared" si="5"/>
        <v>08/01/2019</v>
      </c>
      <c r="S49" s="49" t="str">
        <f>IF(B49="","",IF(K49="S1",K49,INDEX(#REF!,#REF!)))</f>
        <v/>
      </c>
      <c r="T49" s="49" t="b">
        <f t="shared" si="6"/>
        <v>0</v>
      </c>
      <c r="U49" s="68">
        <f t="shared" si="7"/>
        <v>6</v>
      </c>
      <c r="V49" s="68">
        <f t="shared" si="8"/>
        <v>5</v>
      </c>
      <c r="W49" s="68">
        <f t="shared" si="9"/>
        <v>12</v>
      </c>
      <c r="X49" s="68"/>
      <c r="Y49" s="65"/>
      <c r="Z49" s="65"/>
      <c r="AA49" s="49" t="str">
        <f t="shared" si="10"/>
        <v/>
      </c>
      <c r="AB49" s="68">
        <f t="shared" si="11"/>
        <v>0</v>
      </c>
      <c r="AC49" s="68">
        <f t="shared" si="12"/>
        <v>0</v>
      </c>
      <c r="AD49" s="68">
        <f t="shared" si="13"/>
        <v>0</v>
      </c>
      <c r="AE49" s="49"/>
      <c r="AF49" s="65"/>
      <c r="AG49" s="50" t="str">
        <f t="shared" si="14"/>
        <v/>
      </c>
      <c r="AH49" s="68">
        <f t="shared" si="15"/>
        <v>0</v>
      </c>
      <c r="AI49" s="68">
        <f t="shared" si="16"/>
        <v>0</v>
      </c>
      <c r="AJ49" s="68">
        <f t="shared" si="17"/>
        <v>0</v>
      </c>
      <c r="AK49" s="50"/>
      <c r="AL49" s="50" t="s">
        <v>172</v>
      </c>
      <c r="AM49" s="50" t="str">
        <f>IF(B49="","",IF(K49="S1",K49,INDEX(#REF!,#REF!)))</f>
        <v/>
      </c>
      <c r="AN49" s="50" t="b">
        <f t="shared" si="18"/>
        <v>0</v>
      </c>
      <c r="AO49" s="49" t="str">
        <f t="shared" si="19"/>
        <v>K5-POLICY</v>
      </c>
      <c r="AP49" s="72" t="str">
        <f>_xlfn.IFS(B49="","",AND(AO49="K5-LAW",AL49="นิติศาสตร์",K49="S2",Y49="",AE49=""),R49,AND(AO49="K5-LAW",AL49="นิติศาสตร์",K49="S1",Y49="",AE49=""),EDATE(R49,12),AND(AO49="K5-LAW",AL49="นิติศาสตร์",OR(K49="M2",K49="K4"),Y49="",AE49=""),EDATE(R49,12*2),AND(AO49="K5-LAW",AL49="นิติศาสตร์",OR(AE49="M2",AE49="K4"),AH49&gt;=2,OR(AG49&lt;AA49,AG49&lt;R49)),EDATE(AG49,12*2),AND(AO49="K5-LAW",AL49="นิติศาสตร์",AE49="S1",AH49&gt;=1,OR(AG49&lt;AA49,AG49&lt;R49)),EDATE(AG49,12),AND(AO49="K5-LAW",AL49="นิติศาสตร์",OR(Y49="M2",Y49="K4"),AB49&gt;=2,AA49&lt;R49),EDATE(AA49,12*2),AND(AO49="K5-LAW",AL49="นิติศาสตร์",Y49="S1",AB49&gt;=1,AA49&lt;R49),EDATE(AA49,12),AND(AO49="K5-LAW",AL49="นิติศาสตร์",OR(Y49="S2",Y49="K5")),AA49,AND(AO49="K5-LAW",AL49="นิติศาสตร์",OR(K49="M2",K49="K4"),U49&gt;=2),EDATE(R49,12*2),AND(AO49="K5-LAW",AL49="นิติศาสตร์",K49="S1",U49&gt;=1),EDATE(R49,12),AND(AO49="K5-LAW",AL49="นิติศาสตร์",OR(K49="S2",K49="K5")),R49,AND(AO49="K5-POLICY",AL49&lt;&gt;"นิติศาสตร์",K49="S2",Y49="",AE49=""),R49,AND(AO49="K5-POLICY",AL49&lt;&gt;"นิติศาสตร์",K49="S1",Y49="",AE49=""),EDATE(R49,12),AND(AO49="K5-POLICY",AL49&lt;&gt;"นิติศาสตร์",OR(K49="M2",K49="K4"),Y49="",AE49=""),EDATE(R49,12*2),AND(AO49="K5-POLICY",AL49&lt;&gt;"นิติศาสตร์",OR(AE49="M2",AE49="K4"),AH49&gt;=2,OR(AG49&lt;AA49,AG49&lt;R49)),EDATE(AG49,12*2),AND(AO49="K5-POLICY",AL49&lt;&gt;"นิติศาสตร์",AE49="S1",AH49&gt;=1,OR(AG49&lt;AA49,AG49&lt;R49)),EDATE(AG49,12),AND(AO49="K5-POLICY",AL49&lt;&gt;"นิติศาสตร์",OR(Y49="M2",Y49="K4"),AB49&gt;=2,AA49&lt;R49),EDATE(AA49,12*2),AND(AO49="K5-POLICY",AL49&lt;&gt;"นิติศาสตร์",Y49="S1",AB49&gt;=1,AA49&lt;R49),EDATE(AA49,12),AND(AO49="K5-POLICY",AL49&lt;&gt;"นิติศาสตร์",OR(Y49="S2",Y49="K5")),AA49,AND(AO49="K5-POLICY",AL49&lt;&gt;"นิติศาสตร์",OR(K49="M2",K49="K4"),U49&gt;=2),EDATE(R49,12*2),AND(AO49="K5-POLICY",AL49&lt;&gt;"นิติศาสตร์",K49="S1",U49&gt;=1),EDATE(R49,12),AND(AO49="K5-POLICY",AL49&lt;&gt;"นิติศาสตร์",OR(K49="S2",K49="K5")),R49,TRUE,"Check Data")</f>
        <v/>
      </c>
      <c r="AQ49" s="75" t="str">
        <f t="shared" si="20"/>
        <v>Check Data</v>
      </c>
      <c r="AR49" s="76" t="str">
        <f t="shared" si="21"/>
        <v>Check Data</v>
      </c>
      <c r="AS49" s="50" t="str">
        <f t="shared" si="22"/>
        <v>Check Data</v>
      </c>
      <c r="AT49" s="49" t="str">
        <f>IF(B49="","",IF(K49="S1","S1",INDEX(#REF!,#REF!)))</f>
        <v/>
      </c>
      <c r="AU49" s="49" t="str">
        <f t="shared" si="23"/>
        <v>M2</v>
      </c>
      <c r="AV49" s="50" t="b">
        <f t="shared" si="24"/>
        <v>0</v>
      </c>
      <c r="AW49" s="50"/>
    </row>
    <row r="50" spans="1:49" ht="21.75">
      <c r="A50" s="49">
        <v>48</v>
      </c>
      <c r="B50" s="50"/>
      <c r="C50" s="50"/>
      <c r="D50" s="50" t="s">
        <v>141</v>
      </c>
      <c r="E50" s="49" t="s">
        <v>260</v>
      </c>
      <c r="F50" s="49" t="str">
        <f t="shared" si="0"/>
        <v>04/03/1996</v>
      </c>
      <c r="G50" s="50">
        <f t="shared" si="1"/>
        <v>29</v>
      </c>
      <c r="H50" s="50">
        <f t="shared" si="2"/>
        <v>3</v>
      </c>
      <c r="I50" s="50">
        <f t="shared" si="3"/>
        <v>16</v>
      </c>
      <c r="J50" s="60"/>
      <c r="K50" s="49" t="s">
        <v>136</v>
      </c>
      <c r="L50" s="49" t="str">
        <f>IF(B50="","",IF(K50="S1",K50,INDEX(#REF!,#REF!)))</f>
        <v/>
      </c>
      <c r="M50" s="49" t="b">
        <f t="shared" si="4"/>
        <v>0</v>
      </c>
      <c r="N50" s="64"/>
      <c r="O50" s="49" t="s">
        <v>425</v>
      </c>
      <c r="P50" s="49">
        <v>2571</v>
      </c>
      <c r="Q50" s="65" t="s">
        <v>248</v>
      </c>
      <c r="R50" s="49" t="str">
        <f t="shared" si="5"/>
        <v>03/04/2019</v>
      </c>
      <c r="S50" s="49" t="str">
        <f>IF(B50="","",IF(K50="S1",K50,INDEX(#REF!,#REF!)))</f>
        <v/>
      </c>
      <c r="T50" s="49" t="b">
        <f t="shared" si="6"/>
        <v>0</v>
      </c>
      <c r="U50" s="68">
        <f t="shared" si="7"/>
        <v>6</v>
      </c>
      <c r="V50" s="68">
        <f t="shared" si="8"/>
        <v>2</v>
      </c>
      <c r="W50" s="68">
        <f t="shared" si="9"/>
        <v>17</v>
      </c>
      <c r="X50" s="68"/>
      <c r="Y50" s="65"/>
      <c r="Z50" s="65"/>
      <c r="AA50" s="49" t="str">
        <f t="shared" si="10"/>
        <v/>
      </c>
      <c r="AB50" s="68">
        <f t="shared" si="11"/>
        <v>0</v>
      </c>
      <c r="AC50" s="68">
        <f t="shared" si="12"/>
        <v>0</v>
      </c>
      <c r="AD50" s="68">
        <f t="shared" si="13"/>
        <v>0</v>
      </c>
      <c r="AE50" s="49"/>
      <c r="AF50" s="65"/>
      <c r="AG50" s="50" t="str">
        <f t="shared" si="14"/>
        <v/>
      </c>
      <c r="AH50" s="68">
        <f t="shared" si="15"/>
        <v>0</v>
      </c>
      <c r="AI50" s="68">
        <f t="shared" si="16"/>
        <v>0</v>
      </c>
      <c r="AJ50" s="68">
        <f t="shared" si="17"/>
        <v>0</v>
      </c>
      <c r="AK50" s="50"/>
      <c r="AL50" s="50" t="s">
        <v>138</v>
      </c>
      <c r="AM50" s="50" t="str">
        <f>IF(B50="","",IF(K50="S1",K50,INDEX(#REF!,#REF!)))</f>
        <v/>
      </c>
      <c r="AN50" s="50" t="b">
        <f t="shared" si="18"/>
        <v>0</v>
      </c>
      <c r="AO50" s="49" t="str">
        <f t="shared" si="19"/>
        <v>K5-LAW</v>
      </c>
      <c r="AP50" s="72" t="str">
        <f>_xlfn.IFS(B50="","",AND(AO50="K5-LAW",AL50="นิติศาสตร์",K50="S2",Y50="",AE50=""),R50,AND(AO50="K5-LAW",AL50="นิติศาสตร์",K50="S1",Y50="",AE50=""),EDATE(R50,12),AND(AO50="K5-LAW",AL50="นิติศาสตร์",OR(K50="M2",K50="K4"),Y50="",AE50=""),EDATE(R50,12*2),AND(AO50="K5-LAW",AL50="นิติศาสตร์",OR(AE50="M2",AE50="K4"),AH50&gt;=2,OR(AG50&lt;AA50,AG50&lt;R50)),EDATE(AG50,12*2),AND(AO50="K5-LAW",AL50="นิติศาสตร์",AE50="S1",AH50&gt;=1,OR(AG50&lt;AA50,AG50&lt;R50)),EDATE(AG50,12),AND(AO50="K5-LAW",AL50="นิติศาสตร์",OR(Y50="M2",Y50="K4"),AB50&gt;=2,AA50&lt;R50),EDATE(AA50,12*2),AND(AO50="K5-LAW",AL50="นิติศาสตร์",Y50="S1",AB50&gt;=1,AA50&lt;R50),EDATE(AA50,12),AND(AO50="K5-LAW",AL50="นิติศาสตร์",OR(Y50="S2",Y50="K5")),AA50,AND(AO50="K5-LAW",AL50="นิติศาสตร์",OR(K50="M2",K50="K4"),U50&gt;=2),EDATE(R50,12*2),AND(AO50="K5-LAW",AL50="นิติศาสตร์",K50="S1",U50&gt;=1),EDATE(R50,12),AND(AO50="K5-LAW",AL50="นิติศาสตร์",OR(K50="S2",K50="K5")),R50,AND(AO50="K5-POLICY",AL50&lt;&gt;"นิติศาสตร์",K50="S2",Y50="",AE50=""),R50,AND(AO50="K5-POLICY",AL50&lt;&gt;"นิติศาสตร์",K50="S1",Y50="",AE50=""),EDATE(R50,12),AND(AO50="K5-POLICY",AL50&lt;&gt;"นิติศาสตร์",OR(K50="M2",K50="K4"),Y50="",AE50=""),EDATE(R50,12*2),AND(AO50="K5-POLICY",AL50&lt;&gt;"นิติศาสตร์",OR(AE50="M2",AE50="K4"),AH50&gt;=2,OR(AG50&lt;AA50,AG50&lt;R50)),EDATE(AG50,12*2),AND(AO50="K5-POLICY",AL50&lt;&gt;"นิติศาสตร์",AE50="S1",AH50&gt;=1,OR(AG50&lt;AA50,AG50&lt;R50)),EDATE(AG50,12),AND(AO50="K5-POLICY",AL50&lt;&gt;"นิติศาสตร์",OR(Y50="M2",Y50="K4"),AB50&gt;=2,AA50&lt;R50),EDATE(AA50,12*2),AND(AO50="K5-POLICY",AL50&lt;&gt;"นิติศาสตร์",Y50="S1",AB50&gt;=1,AA50&lt;R50),EDATE(AA50,12),AND(AO50="K5-POLICY",AL50&lt;&gt;"นิติศาสตร์",OR(Y50="S2",Y50="K5")),AA50,AND(AO50="K5-POLICY",AL50&lt;&gt;"นิติศาสตร์",OR(K50="M2",K50="K4"),U50&gt;=2),EDATE(R50,12*2),AND(AO50="K5-POLICY",AL50&lt;&gt;"นิติศาสตร์",K50="S1",U50&gt;=1),EDATE(R50,12),AND(AO50="K5-POLICY",AL50&lt;&gt;"นิติศาสตร์",OR(K50="S2",K50="K5")),R50,TRUE,"Check Data")</f>
        <v/>
      </c>
      <c r="AQ50" s="75" t="str">
        <f t="shared" si="20"/>
        <v>Check Data</v>
      </c>
      <c r="AR50" s="76" t="str">
        <f t="shared" si="21"/>
        <v>Check Data</v>
      </c>
      <c r="AS50" s="50" t="str">
        <f t="shared" si="22"/>
        <v>Check Data</v>
      </c>
      <c r="AT50" s="49" t="str">
        <f>IF(B50="","",IF(K50="S1","S1",INDEX(#REF!,#REF!)))</f>
        <v/>
      </c>
      <c r="AU50" s="49" t="str">
        <f t="shared" si="23"/>
        <v>M2</v>
      </c>
      <c r="AV50" s="50" t="b">
        <f t="shared" si="24"/>
        <v>0</v>
      </c>
      <c r="AW50" s="50"/>
    </row>
    <row r="51" spans="1:49" ht="21.75">
      <c r="A51" s="49">
        <v>49</v>
      </c>
      <c r="B51" s="50"/>
      <c r="C51" s="50"/>
      <c r="D51" s="50" t="s">
        <v>145</v>
      </c>
      <c r="E51" s="49" t="s">
        <v>392</v>
      </c>
      <c r="F51" s="49" t="str">
        <f t="shared" si="0"/>
        <v>07/08/2006</v>
      </c>
      <c r="G51" s="50">
        <f t="shared" si="1"/>
        <v>18</v>
      </c>
      <c r="H51" s="50">
        <f t="shared" si="2"/>
        <v>10</v>
      </c>
      <c r="I51" s="50">
        <f t="shared" si="3"/>
        <v>13</v>
      </c>
      <c r="J51" s="61"/>
      <c r="K51" s="49" t="s">
        <v>136</v>
      </c>
      <c r="L51" s="49" t="str">
        <f>IF(B51="","",IF(K51="S1",K51,INDEX(#REF!,#REF!)))</f>
        <v/>
      </c>
      <c r="M51" s="49" t="b">
        <f t="shared" si="4"/>
        <v>0</v>
      </c>
      <c r="N51" s="64"/>
      <c r="O51" s="49" t="s">
        <v>427</v>
      </c>
      <c r="P51" s="49">
        <v>2575</v>
      </c>
      <c r="Q51" s="65" t="s">
        <v>467</v>
      </c>
      <c r="R51" s="49" t="str">
        <f t="shared" si="5"/>
        <v>02/05/2019</v>
      </c>
      <c r="S51" s="49" t="str">
        <f>IF(B51="","",IF(K51="S1",K51,INDEX(#REF!,#REF!)))</f>
        <v/>
      </c>
      <c r="T51" s="49" t="b">
        <f t="shared" si="6"/>
        <v>0</v>
      </c>
      <c r="U51" s="68">
        <f t="shared" si="7"/>
        <v>6</v>
      </c>
      <c r="V51" s="68">
        <f t="shared" si="8"/>
        <v>1</v>
      </c>
      <c r="W51" s="68">
        <f t="shared" si="9"/>
        <v>18</v>
      </c>
      <c r="X51" s="68"/>
      <c r="Y51" s="65"/>
      <c r="Z51" s="65"/>
      <c r="AA51" s="49" t="str">
        <f t="shared" si="10"/>
        <v/>
      </c>
      <c r="AB51" s="68">
        <f t="shared" si="11"/>
        <v>0</v>
      </c>
      <c r="AC51" s="68">
        <f t="shared" si="12"/>
        <v>0</v>
      </c>
      <c r="AD51" s="68">
        <f t="shared" si="13"/>
        <v>0</v>
      </c>
      <c r="AE51" s="49"/>
      <c r="AF51" s="65"/>
      <c r="AG51" s="50" t="str">
        <f t="shared" si="14"/>
        <v/>
      </c>
      <c r="AH51" s="68">
        <f t="shared" si="15"/>
        <v>0</v>
      </c>
      <c r="AI51" s="68">
        <f t="shared" si="16"/>
        <v>0</v>
      </c>
      <c r="AJ51" s="68">
        <f t="shared" si="17"/>
        <v>0</v>
      </c>
      <c r="AK51" s="50"/>
      <c r="AL51" s="50" t="s">
        <v>165</v>
      </c>
      <c r="AM51" s="50" t="str">
        <f>IF(B51="","",IF(K51="S1",K51,INDEX(#REF!,#REF!)))</f>
        <v/>
      </c>
      <c r="AN51" s="50" t="b">
        <f t="shared" si="18"/>
        <v>0</v>
      </c>
      <c r="AO51" s="49" t="str">
        <f t="shared" si="19"/>
        <v>K5-POLICY</v>
      </c>
      <c r="AP51" s="72" t="str">
        <f>_xlfn.IFS(B51="","",AND(AO51="K5-LAW",AL51="นิติศาสตร์",K51="S2",Y51="",AE51=""),R51,AND(AO51="K5-LAW",AL51="นิติศาสตร์",K51="S1",Y51="",AE51=""),EDATE(R51,12),AND(AO51="K5-LAW",AL51="นิติศาสตร์",OR(K51="M2",K51="K4"),Y51="",AE51=""),EDATE(R51,12*2),AND(AO51="K5-LAW",AL51="นิติศาสตร์",OR(AE51="M2",AE51="K4"),AH51&gt;=2,OR(AG51&lt;AA51,AG51&lt;R51)),EDATE(AG51,12*2),AND(AO51="K5-LAW",AL51="นิติศาสตร์",AE51="S1",AH51&gt;=1,OR(AG51&lt;AA51,AG51&lt;R51)),EDATE(AG51,12),AND(AO51="K5-LAW",AL51="นิติศาสตร์",OR(Y51="M2",Y51="K4"),AB51&gt;=2,AA51&lt;R51),EDATE(AA51,12*2),AND(AO51="K5-LAW",AL51="นิติศาสตร์",Y51="S1",AB51&gt;=1,AA51&lt;R51),EDATE(AA51,12),AND(AO51="K5-LAW",AL51="นิติศาสตร์",OR(Y51="S2",Y51="K5")),AA51,AND(AO51="K5-LAW",AL51="นิติศาสตร์",OR(K51="M2",K51="K4"),U51&gt;=2),EDATE(R51,12*2),AND(AO51="K5-LAW",AL51="นิติศาสตร์",K51="S1",U51&gt;=1),EDATE(R51,12),AND(AO51="K5-LAW",AL51="นิติศาสตร์",OR(K51="S2",K51="K5")),R51,AND(AO51="K5-POLICY",AL51&lt;&gt;"นิติศาสตร์",K51="S2",Y51="",AE51=""),R51,AND(AO51="K5-POLICY",AL51&lt;&gt;"นิติศาสตร์",K51="S1",Y51="",AE51=""),EDATE(R51,12),AND(AO51="K5-POLICY",AL51&lt;&gt;"นิติศาสตร์",OR(K51="M2",K51="K4"),Y51="",AE51=""),EDATE(R51,12*2),AND(AO51="K5-POLICY",AL51&lt;&gt;"นิติศาสตร์",OR(AE51="M2",AE51="K4"),AH51&gt;=2,OR(AG51&lt;AA51,AG51&lt;R51)),EDATE(AG51,12*2),AND(AO51="K5-POLICY",AL51&lt;&gt;"นิติศาสตร์",AE51="S1",AH51&gt;=1,OR(AG51&lt;AA51,AG51&lt;R51)),EDATE(AG51,12),AND(AO51="K5-POLICY",AL51&lt;&gt;"นิติศาสตร์",OR(Y51="M2",Y51="K4"),AB51&gt;=2,AA51&lt;R51),EDATE(AA51,12*2),AND(AO51="K5-POLICY",AL51&lt;&gt;"นิติศาสตร์",Y51="S1",AB51&gt;=1,AA51&lt;R51),EDATE(AA51,12),AND(AO51="K5-POLICY",AL51&lt;&gt;"นิติศาสตร์",OR(Y51="S2",Y51="K5")),AA51,AND(AO51="K5-POLICY",AL51&lt;&gt;"นิติศาสตร์",OR(K51="M2",K51="K4"),U51&gt;=2),EDATE(R51,12*2),AND(AO51="K5-POLICY",AL51&lt;&gt;"นิติศาสตร์",K51="S1",U51&gt;=1),EDATE(R51,12),AND(AO51="K5-POLICY",AL51&lt;&gt;"นิติศาสตร์",OR(K51="S2",K51="K5")),R51,TRUE,"Check Data")</f>
        <v/>
      </c>
      <c r="AQ51" s="75" t="str">
        <f t="shared" si="20"/>
        <v>Check Data</v>
      </c>
      <c r="AR51" s="76" t="str">
        <f t="shared" si="21"/>
        <v>Check Data</v>
      </c>
      <c r="AS51" s="50" t="str">
        <f t="shared" si="22"/>
        <v>Check Data</v>
      </c>
      <c r="AT51" s="49" t="str">
        <f>IF(B51="","",IF(K51="S1","S1",INDEX(#REF!,#REF!)))</f>
        <v/>
      </c>
      <c r="AU51" s="49" t="str">
        <f t="shared" si="23"/>
        <v>M2</v>
      </c>
      <c r="AV51" s="50" t="b">
        <f t="shared" si="24"/>
        <v>0</v>
      </c>
      <c r="AW51" s="50"/>
    </row>
    <row r="52" spans="1:49" ht="21.75">
      <c r="A52" s="49">
        <v>50</v>
      </c>
      <c r="B52" s="50"/>
      <c r="C52" s="50"/>
      <c r="D52" s="50" t="s">
        <v>139</v>
      </c>
      <c r="E52" s="49" t="s">
        <v>233</v>
      </c>
      <c r="F52" s="49" t="str">
        <f t="shared" si="0"/>
        <v>08/08/1988</v>
      </c>
      <c r="G52" s="50">
        <f t="shared" si="1"/>
        <v>36</v>
      </c>
      <c r="H52" s="50">
        <f t="shared" si="2"/>
        <v>10</v>
      </c>
      <c r="I52" s="50">
        <f t="shared" si="3"/>
        <v>12</v>
      </c>
      <c r="J52" s="56"/>
      <c r="K52" s="49" t="s">
        <v>136</v>
      </c>
      <c r="L52" s="49" t="str">
        <f>IF(B52="","",IF(K52="S1",K52,INDEX(#REF!,#REF!)))</f>
        <v/>
      </c>
      <c r="M52" s="49" t="b">
        <f t="shared" si="4"/>
        <v>0</v>
      </c>
      <c r="N52" s="64"/>
      <c r="O52" s="49" t="s">
        <v>425</v>
      </c>
      <c r="P52" s="49">
        <v>2568</v>
      </c>
      <c r="Q52" s="65" t="s">
        <v>213</v>
      </c>
      <c r="R52" s="49" t="str">
        <f t="shared" si="5"/>
        <v>07/05/2019</v>
      </c>
      <c r="S52" s="49" t="str">
        <f>IF(B52="","",IF(K52="S1",K52,INDEX(#REF!,#REF!)))</f>
        <v/>
      </c>
      <c r="T52" s="49" t="b">
        <f t="shared" si="6"/>
        <v>0</v>
      </c>
      <c r="U52" s="68">
        <f t="shared" si="7"/>
        <v>6</v>
      </c>
      <c r="V52" s="68">
        <f t="shared" si="8"/>
        <v>1</v>
      </c>
      <c r="W52" s="68">
        <f t="shared" si="9"/>
        <v>13</v>
      </c>
      <c r="X52" s="68"/>
      <c r="Y52" s="65"/>
      <c r="Z52" s="65"/>
      <c r="AA52" s="49" t="str">
        <f t="shared" si="10"/>
        <v/>
      </c>
      <c r="AB52" s="68">
        <f t="shared" si="11"/>
        <v>0</v>
      </c>
      <c r="AC52" s="68">
        <f t="shared" si="12"/>
        <v>0</v>
      </c>
      <c r="AD52" s="68">
        <f t="shared" si="13"/>
        <v>0</v>
      </c>
      <c r="AE52" s="49"/>
      <c r="AF52" s="65"/>
      <c r="AG52" s="50" t="str">
        <f t="shared" si="14"/>
        <v/>
      </c>
      <c r="AH52" s="68">
        <f t="shared" si="15"/>
        <v>0</v>
      </c>
      <c r="AI52" s="68">
        <f t="shared" si="16"/>
        <v>0</v>
      </c>
      <c r="AJ52" s="68">
        <f t="shared" si="17"/>
        <v>0</v>
      </c>
      <c r="AK52" s="50"/>
      <c r="AL52" s="50" t="s">
        <v>167</v>
      </c>
      <c r="AM52" s="129" t="str">
        <f>IF(B52="","",IF(K52="S1",K52,INDEX(#REF!,#REF!)))</f>
        <v/>
      </c>
      <c r="AN52" s="50" t="b">
        <f t="shared" si="18"/>
        <v>0</v>
      </c>
      <c r="AO52" s="49" t="str">
        <f t="shared" si="19"/>
        <v>K5-POLICY</v>
      </c>
      <c r="AP52" s="72" t="str">
        <f>_xlfn.IFS(B52="","",AND(AO52="K5-LAW",AL52="นิติศาสตร์",K52="S2",Y52="",AE52=""),R52,AND(AO52="K5-LAW",AL52="นิติศาสตร์",K52="S1",Y52="",AE52=""),EDATE(R52,12),AND(AO52="K5-LAW",AL52="นิติศาสตร์",OR(K52="M2",K52="K4"),Y52="",AE52=""),EDATE(R52,12*2),AND(AO52="K5-LAW",AL52="นิติศาสตร์",OR(AE52="M2",AE52="K4"),AH52&gt;=2,OR(AG52&lt;AA52,AG52&lt;R52)),EDATE(AG52,12*2),AND(AO52="K5-LAW",AL52="นิติศาสตร์",AE52="S1",AH52&gt;=1,OR(AG52&lt;AA52,AG52&lt;R52)),EDATE(AG52,12),AND(AO52="K5-LAW",AL52="นิติศาสตร์",OR(Y52="M2",Y52="K4"),AB52&gt;=2,AA52&lt;R52),EDATE(AA52,12*2),AND(AO52="K5-LAW",AL52="นิติศาสตร์",Y52="S1",AB52&gt;=1,AA52&lt;R52),EDATE(AA52,12),AND(AO52="K5-LAW",AL52="นิติศาสตร์",OR(Y52="S2",Y52="K5")),AA52,AND(AO52="K5-LAW",AL52="นิติศาสตร์",OR(K52="M2",K52="K4"),U52&gt;=2),EDATE(R52,12*2),AND(AO52="K5-LAW",AL52="นิติศาสตร์",K52="S1",U52&gt;=1),EDATE(R52,12),AND(AO52="K5-LAW",AL52="นิติศาสตร์",OR(K52="S2",K52="K5")),R52,AND(AO52="K5-POLICY",AL52&lt;&gt;"นิติศาสตร์",K52="S2",Y52="",AE52=""),R52,AND(AO52="K5-POLICY",AL52&lt;&gt;"นิติศาสตร์",K52="S1",Y52="",AE52=""),EDATE(R52,12),AND(AO52="K5-POLICY",AL52&lt;&gt;"นิติศาสตร์",OR(K52="M2",K52="K4"),Y52="",AE52=""),EDATE(R52,12*2),AND(AO52="K5-POLICY",AL52&lt;&gt;"นิติศาสตร์",OR(AE52="M2",AE52="K4"),AH52&gt;=2,OR(AG52&lt;AA52,AG52&lt;R52)),EDATE(AG52,12*2),AND(AO52="K5-POLICY",AL52&lt;&gt;"นิติศาสตร์",AE52="S1",AH52&gt;=1,OR(AG52&lt;AA52,AG52&lt;R52)),EDATE(AG52,12),AND(AO52="K5-POLICY",AL52&lt;&gt;"นิติศาสตร์",OR(Y52="M2",Y52="K4"),AB52&gt;=2,AA52&lt;R52),EDATE(AA52,12*2),AND(AO52="K5-POLICY",AL52&lt;&gt;"นิติศาสตร์",Y52="S1",AB52&gt;=1,AA52&lt;R52),EDATE(AA52,12),AND(AO52="K5-POLICY",AL52&lt;&gt;"นิติศาสตร์",OR(Y52="S2",Y52="K5")),AA52,AND(AO52="K5-POLICY",AL52&lt;&gt;"นิติศาสตร์",OR(K52="M2",K52="K4"),U52&gt;=2),EDATE(R52,12*2),AND(AO52="K5-POLICY",AL52&lt;&gt;"นิติศาสตร์",K52="S1",U52&gt;=1),EDATE(R52,12),AND(AO52="K5-POLICY",AL52&lt;&gt;"นิติศาสตร์",OR(K52="S2",K52="K5")),R52,TRUE,"Check Data")</f>
        <v/>
      </c>
      <c r="AQ52" s="75" t="str">
        <f t="shared" si="20"/>
        <v>Check Data</v>
      </c>
      <c r="AR52" s="76" t="str">
        <f t="shared" si="21"/>
        <v>Check Data</v>
      </c>
      <c r="AS52" s="50" t="str">
        <f t="shared" si="22"/>
        <v>Check Data</v>
      </c>
      <c r="AT52" s="49" t="str">
        <f>IF(B52="","",IF(K52="S1","S1",INDEX(#REF!,#REF!)))</f>
        <v/>
      </c>
      <c r="AU52" s="49" t="str">
        <f t="shared" si="23"/>
        <v>M2</v>
      </c>
      <c r="AV52" s="50" t="b">
        <f t="shared" si="24"/>
        <v>0</v>
      </c>
      <c r="AW52" s="50"/>
    </row>
    <row r="53" spans="1:49" ht="21.75">
      <c r="A53" s="49">
        <v>51</v>
      </c>
      <c r="B53" s="50"/>
      <c r="C53" s="50"/>
      <c r="D53" s="50" t="s">
        <v>139</v>
      </c>
      <c r="E53" s="49" t="s">
        <v>164</v>
      </c>
      <c r="F53" s="49" t="str">
        <f t="shared" si="0"/>
        <v>01/05/1990</v>
      </c>
      <c r="G53" s="50">
        <f t="shared" si="1"/>
        <v>35</v>
      </c>
      <c r="H53" s="50">
        <f t="shared" si="2"/>
        <v>1</v>
      </c>
      <c r="I53" s="50">
        <f t="shared" si="3"/>
        <v>19</v>
      </c>
      <c r="J53" s="56"/>
      <c r="K53" s="49" t="s">
        <v>136</v>
      </c>
      <c r="L53" s="49" t="str">
        <f>IF(B53="","",IF(K53="S1",K53,INDEX(#REF!,#REF!)))</f>
        <v/>
      </c>
      <c r="M53" s="49" t="b">
        <f t="shared" si="4"/>
        <v>0</v>
      </c>
      <c r="N53" s="64"/>
      <c r="O53" s="49" t="s">
        <v>425</v>
      </c>
      <c r="P53" s="49">
        <v>2568</v>
      </c>
      <c r="Q53" s="65" t="s">
        <v>213</v>
      </c>
      <c r="R53" s="49" t="str">
        <f t="shared" si="5"/>
        <v>07/05/2019</v>
      </c>
      <c r="S53" s="49" t="str">
        <f>IF(B53="","",IF(K53="S1",K53,INDEX(#REF!,#REF!)))</f>
        <v/>
      </c>
      <c r="T53" s="49" t="b">
        <f t="shared" si="6"/>
        <v>0</v>
      </c>
      <c r="U53" s="68">
        <f t="shared" si="7"/>
        <v>6</v>
      </c>
      <c r="V53" s="68">
        <f t="shared" si="8"/>
        <v>1</v>
      </c>
      <c r="W53" s="68">
        <f t="shared" si="9"/>
        <v>13</v>
      </c>
      <c r="X53" s="68"/>
      <c r="Y53" s="65"/>
      <c r="Z53" s="65"/>
      <c r="AA53" s="49" t="str">
        <f t="shared" si="10"/>
        <v/>
      </c>
      <c r="AB53" s="68">
        <f t="shared" si="11"/>
        <v>0</v>
      </c>
      <c r="AC53" s="68">
        <f t="shared" si="12"/>
        <v>0</v>
      </c>
      <c r="AD53" s="68">
        <f t="shared" si="13"/>
        <v>0</v>
      </c>
      <c r="AE53" s="49"/>
      <c r="AF53" s="65"/>
      <c r="AG53" s="50" t="str">
        <f t="shared" si="14"/>
        <v/>
      </c>
      <c r="AH53" s="68">
        <f t="shared" si="15"/>
        <v>0</v>
      </c>
      <c r="AI53" s="68">
        <f t="shared" si="16"/>
        <v>0</v>
      </c>
      <c r="AJ53" s="68">
        <f t="shared" si="17"/>
        <v>0</v>
      </c>
      <c r="AK53" s="50"/>
      <c r="AL53" s="50" t="s">
        <v>167</v>
      </c>
      <c r="AM53" s="129" t="str">
        <f>IF(B53="","",IF(K53="S1",K53,INDEX(#REF!,#REF!)))</f>
        <v/>
      </c>
      <c r="AN53" s="50" t="b">
        <f t="shared" si="18"/>
        <v>0</v>
      </c>
      <c r="AO53" s="49" t="str">
        <f t="shared" si="19"/>
        <v>K5-POLICY</v>
      </c>
      <c r="AP53" s="72" t="str">
        <f>_xlfn.IFS(B53="","",AND(AO53="K5-LAW",AL53="นิติศาสตร์",K53="S2",Y53="",AE53=""),R53,AND(AO53="K5-LAW",AL53="นิติศาสตร์",K53="S1",Y53="",AE53=""),EDATE(R53,12),AND(AO53="K5-LAW",AL53="นิติศาสตร์",OR(K53="M2",K53="K4"),Y53="",AE53=""),EDATE(R53,12*2),AND(AO53="K5-LAW",AL53="นิติศาสตร์",OR(AE53="M2",AE53="K4"),AH53&gt;=2,OR(AG53&lt;AA53,AG53&lt;R53)),EDATE(AG53,12*2),AND(AO53="K5-LAW",AL53="นิติศาสตร์",AE53="S1",AH53&gt;=1,OR(AG53&lt;AA53,AG53&lt;R53)),EDATE(AG53,12),AND(AO53="K5-LAW",AL53="นิติศาสตร์",OR(Y53="M2",Y53="K4"),AB53&gt;=2,AA53&lt;R53),EDATE(AA53,12*2),AND(AO53="K5-LAW",AL53="นิติศาสตร์",Y53="S1",AB53&gt;=1,AA53&lt;R53),EDATE(AA53,12),AND(AO53="K5-LAW",AL53="นิติศาสตร์",OR(Y53="S2",Y53="K5")),AA53,AND(AO53="K5-LAW",AL53="นิติศาสตร์",OR(K53="M2",K53="K4"),U53&gt;=2),EDATE(R53,12*2),AND(AO53="K5-LAW",AL53="นิติศาสตร์",K53="S1",U53&gt;=1),EDATE(R53,12),AND(AO53="K5-LAW",AL53="นิติศาสตร์",OR(K53="S2",K53="K5")),R53,AND(AO53="K5-POLICY",AL53&lt;&gt;"นิติศาสตร์",K53="S2",Y53="",AE53=""),R53,AND(AO53="K5-POLICY",AL53&lt;&gt;"นิติศาสตร์",K53="S1",Y53="",AE53=""),EDATE(R53,12),AND(AO53="K5-POLICY",AL53&lt;&gt;"นิติศาสตร์",OR(K53="M2",K53="K4"),Y53="",AE53=""),EDATE(R53,12*2),AND(AO53="K5-POLICY",AL53&lt;&gt;"นิติศาสตร์",OR(AE53="M2",AE53="K4"),AH53&gt;=2,OR(AG53&lt;AA53,AG53&lt;R53)),EDATE(AG53,12*2),AND(AO53="K5-POLICY",AL53&lt;&gt;"นิติศาสตร์",AE53="S1",AH53&gt;=1,OR(AG53&lt;AA53,AG53&lt;R53)),EDATE(AG53,12),AND(AO53="K5-POLICY",AL53&lt;&gt;"นิติศาสตร์",OR(Y53="M2",Y53="K4"),AB53&gt;=2,AA53&lt;R53),EDATE(AA53,12*2),AND(AO53="K5-POLICY",AL53&lt;&gt;"นิติศาสตร์",Y53="S1",AB53&gt;=1,AA53&lt;R53),EDATE(AA53,12),AND(AO53="K5-POLICY",AL53&lt;&gt;"นิติศาสตร์",OR(Y53="S2",Y53="K5")),AA53,AND(AO53="K5-POLICY",AL53&lt;&gt;"นิติศาสตร์",OR(K53="M2",K53="K4"),U53&gt;=2),EDATE(R53,12*2),AND(AO53="K5-POLICY",AL53&lt;&gt;"นิติศาสตร์",K53="S1",U53&gt;=1),EDATE(R53,12),AND(AO53="K5-POLICY",AL53&lt;&gt;"นิติศาสตร์",OR(K53="S2",K53="K5")),R53,TRUE,"Check Data")</f>
        <v/>
      </c>
      <c r="AQ53" s="75" t="str">
        <f t="shared" si="20"/>
        <v>Check Data</v>
      </c>
      <c r="AR53" s="76" t="str">
        <f t="shared" si="21"/>
        <v>Check Data</v>
      </c>
      <c r="AS53" s="50" t="str">
        <f t="shared" si="22"/>
        <v>Check Data</v>
      </c>
      <c r="AT53" s="49" t="str">
        <f>IF(B53="","",IF(K53="S1","S1",INDEX(#REF!,#REF!)))</f>
        <v/>
      </c>
      <c r="AU53" s="49" t="str">
        <f t="shared" si="23"/>
        <v>M2</v>
      </c>
      <c r="AV53" s="50" t="b">
        <f t="shared" si="24"/>
        <v>0</v>
      </c>
      <c r="AW53" s="50"/>
    </row>
    <row r="54" spans="1:49" ht="21.75">
      <c r="A54" s="49">
        <v>52</v>
      </c>
      <c r="B54" s="50"/>
      <c r="C54" s="50"/>
      <c r="D54" s="50" t="s">
        <v>140</v>
      </c>
      <c r="E54" s="49" t="s">
        <v>239</v>
      </c>
      <c r="F54" s="49" t="str">
        <f t="shared" si="0"/>
        <v>01/05/1985</v>
      </c>
      <c r="G54" s="50">
        <f t="shared" si="1"/>
        <v>40</v>
      </c>
      <c r="H54" s="50">
        <f t="shared" si="2"/>
        <v>1</v>
      </c>
      <c r="I54" s="50">
        <f t="shared" si="3"/>
        <v>19</v>
      </c>
      <c r="J54" s="57"/>
      <c r="K54" s="49" t="s">
        <v>136</v>
      </c>
      <c r="L54" s="49" t="str">
        <f>IF(B54="","",IF(K54="S1",K54,INDEX(#REF!,#REF!)))</f>
        <v/>
      </c>
      <c r="M54" s="49" t="b">
        <f t="shared" si="4"/>
        <v>0</v>
      </c>
      <c r="N54" s="64"/>
      <c r="O54" s="49" t="s">
        <v>425</v>
      </c>
      <c r="P54" s="49">
        <v>2568</v>
      </c>
      <c r="Q54" s="65" t="s">
        <v>213</v>
      </c>
      <c r="R54" s="49" t="str">
        <f t="shared" si="5"/>
        <v>07/05/2019</v>
      </c>
      <c r="S54" s="49" t="str">
        <f>IF(B54="","",IF(K54="S1",K54,INDEX(#REF!,#REF!)))</f>
        <v/>
      </c>
      <c r="T54" s="49" t="b">
        <f t="shared" si="6"/>
        <v>0</v>
      </c>
      <c r="U54" s="68">
        <f t="shared" si="7"/>
        <v>6</v>
      </c>
      <c r="V54" s="68">
        <f t="shared" si="8"/>
        <v>1</v>
      </c>
      <c r="W54" s="68">
        <f t="shared" si="9"/>
        <v>13</v>
      </c>
      <c r="X54" s="68"/>
      <c r="Y54" s="65"/>
      <c r="Z54" s="65"/>
      <c r="AA54" s="49" t="str">
        <f t="shared" si="10"/>
        <v/>
      </c>
      <c r="AB54" s="68">
        <f t="shared" si="11"/>
        <v>0</v>
      </c>
      <c r="AC54" s="68">
        <f t="shared" si="12"/>
        <v>0</v>
      </c>
      <c r="AD54" s="68">
        <f t="shared" si="13"/>
        <v>0</v>
      </c>
      <c r="AE54" s="49"/>
      <c r="AF54" s="65"/>
      <c r="AG54" s="50" t="str">
        <f t="shared" si="14"/>
        <v/>
      </c>
      <c r="AH54" s="68">
        <f t="shared" si="15"/>
        <v>0</v>
      </c>
      <c r="AI54" s="68">
        <f t="shared" si="16"/>
        <v>0</v>
      </c>
      <c r="AJ54" s="68">
        <f t="shared" si="17"/>
        <v>0</v>
      </c>
      <c r="AK54" s="50"/>
      <c r="AL54" s="50" t="s">
        <v>138</v>
      </c>
      <c r="AM54" s="50" t="str">
        <f>IF(B54="","",IF(K54="S1",K54,INDEX(#REF!,#REF!)))</f>
        <v/>
      </c>
      <c r="AN54" s="50" t="b">
        <f t="shared" si="18"/>
        <v>0</v>
      </c>
      <c r="AO54" s="49" t="str">
        <f t="shared" si="19"/>
        <v>K5-LAW</v>
      </c>
      <c r="AP54" s="72" t="str">
        <f>_xlfn.IFS(B54="","",AND(AO54="K5-LAW",AL54="นิติศาสตร์",K54="S2",Y54="",AE54=""),R54,AND(AO54="K5-LAW",AL54="นิติศาสตร์",K54="S1",Y54="",AE54=""),EDATE(R54,12),AND(AO54="K5-LAW",AL54="นิติศาสตร์",OR(K54="M2",K54="K4"),Y54="",AE54=""),EDATE(R54,12*2),AND(AO54="K5-LAW",AL54="นิติศาสตร์",OR(AE54="M2",AE54="K4"),AH54&gt;=2,OR(AG54&lt;AA54,AG54&lt;R54)),EDATE(AG54,12*2),AND(AO54="K5-LAW",AL54="นิติศาสตร์",AE54="S1",AH54&gt;=1,OR(AG54&lt;AA54,AG54&lt;R54)),EDATE(AG54,12),AND(AO54="K5-LAW",AL54="นิติศาสตร์",OR(Y54="M2",Y54="K4"),AB54&gt;=2,AA54&lt;R54),EDATE(AA54,12*2),AND(AO54="K5-LAW",AL54="นิติศาสตร์",Y54="S1",AB54&gt;=1,AA54&lt;R54),EDATE(AA54,12),AND(AO54="K5-LAW",AL54="นิติศาสตร์",OR(Y54="S2",Y54="K5")),AA54,AND(AO54="K5-LAW",AL54="นิติศาสตร์",OR(K54="M2",K54="K4"),U54&gt;=2),EDATE(R54,12*2),AND(AO54="K5-LAW",AL54="นิติศาสตร์",K54="S1",U54&gt;=1),EDATE(R54,12),AND(AO54="K5-LAW",AL54="นิติศาสตร์",OR(K54="S2",K54="K5")),R54,AND(AO54="K5-POLICY",AL54&lt;&gt;"นิติศาสตร์",K54="S2",Y54="",AE54=""),R54,AND(AO54="K5-POLICY",AL54&lt;&gt;"นิติศาสตร์",K54="S1",Y54="",AE54=""),EDATE(R54,12),AND(AO54="K5-POLICY",AL54&lt;&gt;"นิติศาสตร์",OR(K54="M2",K54="K4"),Y54="",AE54=""),EDATE(R54,12*2),AND(AO54="K5-POLICY",AL54&lt;&gt;"นิติศาสตร์",OR(AE54="M2",AE54="K4"),AH54&gt;=2,OR(AG54&lt;AA54,AG54&lt;R54)),EDATE(AG54,12*2),AND(AO54="K5-POLICY",AL54&lt;&gt;"นิติศาสตร์",AE54="S1",AH54&gt;=1,OR(AG54&lt;AA54,AG54&lt;R54)),EDATE(AG54,12),AND(AO54="K5-POLICY",AL54&lt;&gt;"นิติศาสตร์",OR(Y54="M2",Y54="K4"),AB54&gt;=2,AA54&lt;R54),EDATE(AA54,12*2),AND(AO54="K5-POLICY",AL54&lt;&gt;"นิติศาสตร์",Y54="S1",AB54&gt;=1,AA54&lt;R54),EDATE(AA54,12),AND(AO54="K5-POLICY",AL54&lt;&gt;"นิติศาสตร์",OR(Y54="S2",Y54="K5")),AA54,AND(AO54="K5-POLICY",AL54&lt;&gt;"นิติศาสตร์",OR(K54="M2",K54="K4"),U54&gt;=2),EDATE(R54,12*2),AND(AO54="K5-POLICY",AL54&lt;&gt;"นิติศาสตร์",K54="S1",U54&gt;=1),EDATE(R54,12),AND(AO54="K5-POLICY",AL54&lt;&gt;"นิติศาสตร์",OR(K54="S2",K54="K5")),R54,TRUE,"Check Data")</f>
        <v/>
      </c>
      <c r="AQ54" s="75" t="str">
        <f t="shared" si="20"/>
        <v>Check Data</v>
      </c>
      <c r="AR54" s="76" t="str">
        <f t="shared" si="21"/>
        <v>Check Data</v>
      </c>
      <c r="AS54" s="50" t="str">
        <f t="shared" si="22"/>
        <v>Check Data</v>
      </c>
      <c r="AT54" s="49" t="str">
        <f>IF(B54="","",IF(K54="S1","S1",INDEX(#REF!,#REF!)))</f>
        <v/>
      </c>
      <c r="AU54" s="49" t="str">
        <f t="shared" si="23"/>
        <v>M2</v>
      </c>
      <c r="AV54" s="50" t="b">
        <f t="shared" si="24"/>
        <v>0</v>
      </c>
      <c r="AW54" s="50"/>
    </row>
    <row r="55" spans="1:49" ht="21.75">
      <c r="A55" s="49">
        <v>53</v>
      </c>
      <c r="B55" s="50"/>
      <c r="C55" s="50"/>
      <c r="D55" s="50" t="s">
        <v>144</v>
      </c>
      <c r="E55" s="49" t="s">
        <v>386</v>
      </c>
      <c r="F55" s="49" t="str">
        <f t="shared" si="0"/>
        <v>07/02/1994</v>
      </c>
      <c r="G55" s="50">
        <f t="shared" si="1"/>
        <v>31</v>
      </c>
      <c r="H55" s="50">
        <f t="shared" si="2"/>
        <v>4</v>
      </c>
      <c r="I55" s="50">
        <f t="shared" si="3"/>
        <v>13</v>
      </c>
      <c r="J55" s="57"/>
      <c r="K55" s="49" t="s">
        <v>136</v>
      </c>
      <c r="L55" s="49" t="str">
        <f>IF(B55="","",IF(K55="S1",K55,INDEX(#REF!,#REF!)))</f>
        <v/>
      </c>
      <c r="M55" s="49" t="b">
        <f t="shared" si="4"/>
        <v>0</v>
      </c>
      <c r="N55" s="64"/>
      <c r="O55" s="49" t="s">
        <v>425</v>
      </c>
      <c r="P55" s="49">
        <v>2568</v>
      </c>
      <c r="Q55" s="65" t="s">
        <v>387</v>
      </c>
      <c r="R55" s="49" t="str">
        <f t="shared" si="5"/>
        <v>01/07/2019</v>
      </c>
      <c r="S55" s="49" t="str">
        <f>IF(B55="","",IF(K55="S1",K55,INDEX(#REF!,#REF!)))</f>
        <v/>
      </c>
      <c r="T55" s="49" t="b">
        <f t="shared" si="6"/>
        <v>0</v>
      </c>
      <c r="U55" s="68">
        <f t="shared" si="7"/>
        <v>5</v>
      </c>
      <c r="V55" s="68">
        <f t="shared" si="8"/>
        <v>11</v>
      </c>
      <c r="W55" s="68">
        <f t="shared" si="9"/>
        <v>19</v>
      </c>
      <c r="X55" s="68"/>
      <c r="Y55" s="65"/>
      <c r="Z55" s="65"/>
      <c r="AA55" s="49" t="str">
        <f t="shared" si="10"/>
        <v/>
      </c>
      <c r="AB55" s="68">
        <f t="shared" si="11"/>
        <v>0</v>
      </c>
      <c r="AC55" s="68">
        <f t="shared" si="12"/>
        <v>0</v>
      </c>
      <c r="AD55" s="68">
        <f t="shared" si="13"/>
        <v>0</v>
      </c>
      <c r="AE55" s="49"/>
      <c r="AF55" s="65"/>
      <c r="AG55" s="50" t="str">
        <f t="shared" si="14"/>
        <v/>
      </c>
      <c r="AH55" s="68">
        <f t="shared" si="15"/>
        <v>0</v>
      </c>
      <c r="AI55" s="68">
        <f t="shared" si="16"/>
        <v>0</v>
      </c>
      <c r="AJ55" s="68">
        <f t="shared" si="17"/>
        <v>0</v>
      </c>
      <c r="AK55" s="50"/>
      <c r="AL55" s="50" t="s">
        <v>138</v>
      </c>
      <c r="AM55" s="50" t="str">
        <f>IF(B55="","",IF(K55="S1",K55,INDEX(#REF!,#REF!)))</f>
        <v/>
      </c>
      <c r="AN55" s="50" t="b">
        <f t="shared" si="18"/>
        <v>0</v>
      </c>
      <c r="AO55" s="49" t="str">
        <f t="shared" si="19"/>
        <v>K5-LAW</v>
      </c>
      <c r="AP55" s="72" t="str">
        <f>_xlfn.IFS(B55="","",AND(AO55="K5-LAW",AL55="นิติศาสตร์",K55="S2",Y55="",AE55=""),R55,AND(AO55="K5-LAW",AL55="นิติศาสตร์",K55="S1",Y55="",AE55=""),EDATE(R55,12),AND(AO55="K5-LAW",AL55="นิติศาสตร์",OR(K55="M2",K55="K4"),Y55="",AE55=""),EDATE(R55,12*2),AND(AO55="K5-LAW",AL55="นิติศาสตร์",OR(AE55="M2",AE55="K4"),AH55&gt;=2,OR(AG55&lt;AA55,AG55&lt;R55)),EDATE(AG55,12*2),AND(AO55="K5-LAW",AL55="นิติศาสตร์",AE55="S1",AH55&gt;=1,OR(AG55&lt;AA55,AG55&lt;R55)),EDATE(AG55,12),AND(AO55="K5-LAW",AL55="นิติศาสตร์",OR(Y55="M2",Y55="K4"),AB55&gt;=2,AA55&lt;R55),EDATE(AA55,12*2),AND(AO55="K5-LAW",AL55="นิติศาสตร์",Y55="S1",AB55&gt;=1,AA55&lt;R55),EDATE(AA55,12),AND(AO55="K5-LAW",AL55="นิติศาสตร์",OR(Y55="S2",Y55="K5")),AA55,AND(AO55="K5-LAW",AL55="นิติศาสตร์",OR(K55="M2",K55="K4"),U55&gt;=2),EDATE(R55,12*2),AND(AO55="K5-LAW",AL55="นิติศาสตร์",K55="S1",U55&gt;=1),EDATE(R55,12),AND(AO55="K5-LAW",AL55="นิติศาสตร์",OR(K55="S2",K55="K5")),R55,AND(AO55="K5-POLICY",AL55&lt;&gt;"นิติศาสตร์",K55="S2",Y55="",AE55=""),R55,AND(AO55="K5-POLICY",AL55&lt;&gt;"นิติศาสตร์",K55="S1",Y55="",AE55=""),EDATE(R55,12),AND(AO55="K5-POLICY",AL55&lt;&gt;"นิติศาสตร์",OR(K55="M2",K55="K4"),Y55="",AE55=""),EDATE(R55,12*2),AND(AO55="K5-POLICY",AL55&lt;&gt;"นิติศาสตร์",OR(AE55="M2",AE55="K4"),AH55&gt;=2,OR(AG55&lt;AA55,AG55&lt;R55)),EDATE(AG55,12*2),AND(AO55="K5-POLICY",AL55&lt;&gt;"นิติศาสตร์",AE55="S1",AH55&gt;=1,OR(AG55&lt;AA55,AG55&lt;R55)),EDATE(AG55,12),AND(AO55="K5-POLICY",AL55&lt;&gt;"นิติศาสตร์",OR(Y55="M2",Y55="K4"),AB55&gt;=2,AA55&lt;R55),EDATE(AA55,12*2),AND(AO55="K5-POLICY",AL55&lt;&gt;"นิติศาสตร์",Y55="S1",AB55&gt;=1,AA55&lt;R55),EDATE(AA55,12),AND(AO55="K5-POLICY",AL55&lt;&gt;"นิติศาสตร์",OR(Y55="S2",Y55="K5")),AA55,AND(AO55="K5-POLICY",AL55&lt;&gt;"นิติศาสตร์",OR(K55="M2",K55="K4"),U55&gt;=2),EDATE(R55,12*2),AND(AO55="K5-POLICY",AL55&lt;&gt;"นิติศาสตร์",K55="S1",U55&gt;=1),EDATE(R55,12),AND(AO55="K5-POLICY",AL55&lt;&gt;"นิติศาสตร์",OR(K55="S2",K55="K5")),R55,TRUE,"Check Data")</f>
        <v/>
      </c>
      <c r="AQ55" s="75" t="str">
        <f t="shared" si="20"/>
        <v>Check Data</v>
      </c>
      <c r="AR55" s="76" t="str">
        <f t="shared" si="21"/>
        <v>Check Data</v>
      </c>
      <c r="AS55" s="50" t="str">
        <f t="shared" si="22"/>
        <v>Check Data</v>
      </c>
      <c r="AT55" s="49" t="str">
        <f>IF(B55="","",IF(K55="S1","S1",INDEX(#REF!,#REF!)))</f>
        <v/>
      </c>
      <c r="AU55" s="49" t="str">
        <f t="shared" si="23"/>
        <v>M2</v>
      </c>
      <c r="AV55" s="50" t="b">
        <f t="shared" si="24"/>
        <v>0</v>
      </c>
      <c r="AW55" s="50"/>
    </row>
    <row r="56" spans="1:49" ht="21.75">
      <c r="A56" s="49">
        <v>54</v>
      </c>
      <c r="B56" s="50"/>
      <c r="C56" s="50"/>
      <c r="D56" s="50" t="s">
        <v>139</v>
      </c>
      <c r="E56" s="49" t="s">
        <v>187</v>
      </c>
      <c r="F56" s="49" t="str">
        <f t="shared" si="0"/>
        <v>01/08/1990</v>
      </c>
      <c r="G56" s="50">
        <f t="shared" si="1"/>
        <v>34</v>
      </c>
      <c r="H56" s="50">
        <f t="shared" si="2"/>
        <v>10</v>
      </c>
      <c r="I56" s="50">
        <f t="shared" si="3"/>
        <v>19</v>
      </c>
      <c r="J56" s="56"/>
      <c r="K56" s="49" t="s">
        <v>136</v>
      </c>
      <c r="L56" s="49" t="str">
        <f>IF(B56="","",IF(K56="S1",K56,INDEX(#REF!,#REF!)))</f>
        <v/>
      </c>
      <c r="M56" s="49" t="b">
        <f t="shared" si="4"/>
        <v>0</v>
      </c>
      <c r="N56" s="64"/>
      <c r="O56" s="49" t="s">
        <v>425</v>
      </c>
      <c r="P56" s="49">
        <v>2571</v>
      </c>
      <c r="Q56" s="65" t="s">
        <v>228</v>
      </c>
      <c r="R56" s="49" t="str">
        <f t="shared" si="5"/>
        <v>04/12/2019</v>
      </c>
      <c r="S56" s="49" t="str">
        <f>IF(B56="","",IF(K56="S1",K56,INDEX(#REF!,#REF!)))</f>
        <v/>
      </c>
      <c r="T56" s="49" t="b">
        <f t="shared" si="6"/>
        <v>0</v>
      </c>
      <c r="U56" s="68">
        <f t="shared" si="7"/>
        <v>5</v>
      </c>
      <c r="V56" s="68">
        <f t="shared" si="8"/>
        <v>6</v>
      </c>
      <c r="W56" s="68">
        <f t="shared" si="9"/>
        <v>16</v>
      </c>
      <c r="X56" s="68"/>
      <c r="Y56" s="65"/>
      <c r="Z56" s="65"/>
      <c r="AA56" s="49" t="str">
        <f t="shared" si="10"/>
        <v/>
      </c>
      <c r="AB56" s="68">
        <f t="shared" si="11"/>
        <v>0</v>
      </c>
      <c r="AC56" s="68">
        <f t="shared" si="12"/>
        <v>0</v>
      </c>
      <c r="AD56" s="68">
        <f t="shared" si="13"/>
        <v>0</v>
      </c>
      <c r="AE56" s="49"/>
      <c r="AF56" s="65"/>
      <c r="AG56" s="50" t="str">
        <f t="shared" si="14"/>
        <v/>
      </c>
      <c r="AH56" s="68">
        <f t="shared" si="15"/>
        <v>0</v>
      </c>
      <c r="AI56" s="68">
        <f t="shared" si="16"/>
        <v>0</v>
      </c>
      <c r="AJ56" s="68">
        <f t="shared" si="17"/>
        <v>0</v>
      </c>
      <c r="AK56" s="50"/>
      <c r="AL56" s="50" t="s">
        <v>165</v>
      </c>
      <c r="AM56" s="129" t="str">
        <f>IF(B56="","",IF(K56="S1",K56,INDEX(#REF!,#REF!)))</f>
        <v/>
      </c>
      <c r="AN56" s="50" t="b">
        <f t="shared" si="18"/>
        <v>0</v>
      </c>
      <c r="AO56" s="49" t="str">
        <f t="shared" si="19"/>
        <v>K5-POLICY</v>
      </c>
      <c r="AP56" s="72" t="str">
        <f>_xlfn.IFS(B56="","",AND(AO56="K5-LAW",AL56="นิติศาสตร์",K56="S2",Y56="",AE56=""),R56,AND(AO56="K5-LAW",AL56="นิติศาสตร์",K56="S1",Y56="",AE56=""),EDATE(R56,12),AND(AO56="K5-LAW",AL56="นิติศาสตร์",OR(K56="M2",K56="K4"),Y56="",AE56=""),EDATE(R56,12*2),AND(AO56="K5-LAW",AL56="นิติศาสตร์",OR(AE56="M2",AE56="K4"),AH56&gt;=2,OR(AG56&lt;AA56,AG56&lt;R56)),EDATE(AG56,12*2),AND(AO56="K5-LAW",AL56="นิติศาสตร์",AE56="S1",AH56&gt;=1,OR(AG56&lt;AA56,AG56&lt;R56)),EDATE(AG56,12),AND(AO56="K5-LAW",AL56="นิติศาสตร์",OR(Y56="M2",Y56="K4"),AB56&gt;=2,AA56&lt;R56),EDATE(AA56,12*2),AND(AO56="K5-LAW",AL56="นิติศาสตร์",Y56="S1",AB56&gt;=1,AA56&lt;R56),EDATE(AA56,12),AND(AO56="K5-LAW",AL56="นิติศาสตร์",OR(Y56="S2",Y56="K5")),AA56,AND(AO56="K5-LAW",AL56="นิติศาสตร์",OR(K56="M2",K56="K4"),U56&gt;=2),EDATE(R56,12*2),AND(AO56="K5-LAW",AL56="นิติศาสตร์",K56="S1",U56&gt;=1),EDATE(R56,12),AND(AO56="K5-LAW",AL56="นิติศาสตร์",OR(K56="S2",K56="K5")),R56,AND(AO56="K5-POLICY",AL56&lt;&gt;"นิติศาสตร์",K56="S2",Y56="",AE56=""),R56,AND(AO56="K5-POLICY",AL56&lt;&gt;"นิติศาสตร์",K56="S1",Y56="",AE56=""),EDATE(R56,12),AND(AO56="K5-POLICY",AL56&lt;&gt;"นิติศาสตร์",OR(K56="M2",K56="K4"),Y56="",AE56=""),EDATE(R56,12*2),AND(AO56="K5-POLICY",AL56&lt;&gt;"นิติศาสตร์",OR(AE56="M2",AE56="K4"),AH56&gt;=2,OR(AG56&lt;AA56,AG56&lt;R56)),EDATE(AG56,12*2),AND(AO56="K5-POLICY",AL56&lt;&gt;"นิติศาสตร์",AE56="S1",AH56&gt;=1,OR(AG56&lt;AA56,AG56&lt;R56)),EDATE(AG56,12),AND(AO56="K5-POLICY",AL56&lt;&gt;"นิติศาสตร์",OR(Y56="M2",Y56="K4"),AB56&gt;=2,AA56&lt;R56),EDATE(AA56,12*2),AND(AO56="K5-POLICY",AL56&lt;&gt;"นิติศาสตร์",Y56="S1",AB56&gt;=1,AA56&lt;R56),EDATE(AA56,12),AND(AO56="K5-POLICY",AL56&lt;&gt;"นิติศาสตร์",OR(Y56="S2",Y56="K5")),AA56,AND(AO56="K5-POLICY",AL56&lt;&gt;"นิติศาสตร์",OR(K56="M2",K56="K4"),U56&gt;=2),EDATE(R56,12*2),AND(AO56="K5-POLICY",AL56&lt;&gt;"นิติศาสตร์",K56="S1",U56&gt;=1),EDATE(R56,12),AND(AO56="K5-POLICY",AL56&lt;&gt;"นิติศาสตร์",OR(K56="S2",K56="K5")),R56,TRUE,"Check Data")</f>
        <v/>
      </c>
      <c r="AQ56" s="75" t="str">
        <f t="shared" si="20"/>
        <v>Check Data</v>
      </c>
      <c r="AR56" s="76" t="str">
        <f t="shared" si="21"/>
        <v>Check Data</v>
      </c>
      <c r="AS56" s="50" t="str">
        <f t="shared" si="22"/>
        <v>Check Data</v>
      </c>
      <c r="AT56" s="49" t="str">
        <f>IF(B56="","",IF(K56="S1","S1",INDEX(#REF!,#REF!)))</f>
        <v/>
      </c>
      <c r="AU56" s="49" t="str">
        <f t="shared" si="23"/>
        <v>M2</v>
      </c>
      <c r="AV56" s="50" t="b">
        <f t="shared" si="24"/>
        <v>0</v>
      </c>
      <c r="AW56" s="50"/>
    </row>
    <row r="57" spans="1:49" ht="21.75">
      <c r="A57" s="49">
        <v>55</v>
      </c>
      <c r="B57" s="50"/>
      <c r="C57" s="50"/>
      <c r="D57" s="50" t="s">
        <v>139</v>
      </c>
      <c r="E57" s="49" t="s">
        <v>229</v>
      </c>
      <c r="F57" s="49" t="str">
        <f t="shared" si="0"/>
        <v>04/10/1993</v>
      </c>
      <c r="G57" s="50">
        <f t="shared" si="1"/>
        <v>31</v>
      </c>
      <c r="H57" s="50">
        <f t="shared" si="2"/>
        <v>8</v>
      </c>
      <c r="I57" s="50">
        <f t="shared" si="3"/>
        <v>16</v>
      </c>
      <c r="J57" s="56"/>
      <c r="K57" s="49" t="s">
        <v>136</v>
      </c>
      <c r="L57" s="49" t="str">
        <f>IF(B57="","",IF(K57="S1",K57,INDEX(#REF!,#REF!)))</f>
        <v/>
      </c>
      <c r="M57" s="49" t="b">
        <f t="shared" si="4"/>
        <v>0</v>
      </c>
      <c r="N57" s="64"/>
      <c r="O57" s="49" t="s">
        <v>425</v>
      </c>
      <c r="P57" s="49">
        <v>2569</v>
      </c>
      <c r="Q57" s="65" t="s">
        <v>228</v>
      </c>
      <c r="R57" s="49" t="str">
        <f t="shared" si="5"/>
        <v>04/12/2019</v>
      </c>
      <c r="S57" s="49" t="str">
        <f>IF(B57="","",IF(K57="S1",K57,INDEX(#REF!,#REF!)))</f>
        <v/>
      </c>
      <c r="T57" s="49" t="b">
        <f t="shared" si="6"/>
        <v>0</v>
      </c>
      <c r="U57" s="68">
        <f t="shared" si="7"/>
        <v>5</v>
      </c>
      <c r="V57" s="68">
        <f t="shared" si="8"/>
        <v>6</v>
      </c>
      <c r="W57" s="68">
        <f t="shared" si="9"/>
        <v>16</v>
      </c>
      <c r="X57" s="68"/>
      <c r="Y57" s="65"/>
      <c r="Z57" s="65"/>
      <c r="AA57" s="49" t="str">
        <f t="shared" si="10"/>
        <v/>
      </c>
      <c r="AB57" s="68">
        <f t="shared" si="11"/>
        <v>0</v>
      </c>
      <c r="AC57" s="68">
        <f t="shared" si="12"/>
        <v>0</v>
      </c>
      <c r="AD57" s="68">
        <f t="shared" si="13"/>
        <v>0</v>
      </c>
      <c r="AE57" s="49"/>
      <c r="AF57" s="65"/>
      <c r="AG57" s="50" t="str">
        <f t="shared" si="14"/>
        <v/>
      </c>
      <c r="AH57" s="68">
        <f t="shared" si="15"/>
        <v>0</v>
      </c>
      <c r="AI57" s="68">
        <f t="shared" si="16"/>
        <v>0</v>
      </c>
      <c r="AJ57" s="68">
        <f t="shared" si="17"/>
        <v>0</v>
      </c>
      <c r="AK57" s="50"/>
      <c r="AL57" s="50" t="s">
        <v>138</v>
      </c>
      <c r="AM57" s="50" t="str">
        <f>IF(B57="","",IF(K57="S1",K57,INDEX(#REF!,#REF!)))</f>
        <v/>
      </c>
      <c r="AN57" s="50" t="b">
        <f t="shared" si="18"/>
        <v>0</v>
      </c>
      <c r="AO57" s="49" t="str">
        <f t="shared" si="19"/>
        <v>K5-LAW</v>
      </c>
      <c r="AP57" s="72" t="str">
        <f>_xlfn.IFS(B57="","",AND(AO57="K5-LAW",AL57="นิติศาสตร์",K57="S2",Y57="",AE57=""),R57,AND(AO57="K5-LAW",AL57="นิติศาสตร์",K57="S1",Y57="",AE57=""),EDATE(R57,12),AND(AO57="K5-LAW",AL57="นิติศาสตร์",OR(K57="M2",K57="K4"),Y57="",AE57=""),EDATE(R57,12*2),AND(AO57="K5-LAW",AL57="นิติศาสตร์",OR(AE57="M2",AE57="K4"),AH57&gt;=2,OR(AG57&lt;AA57,AG57&lt;R57)),EDATE(AG57,12*2),AND(AO57="K5-LAW",AL57="นิติศาสตร์",AE57="S1",AH57&gt;=1,OR(AG57&lt;AA57,AG57&lt;R57)),EDATE(AG57,12),AND(AO57="K5-LAW",AL57="นิติศาสตร์",OR(Y57="M2",Y57="K4"),AB57&gt;=2,AA57&lt;R57),EDATE(AA57,12*2),AND(AO57="K5-LAW",AL57="นิติศาสตร์",Y57="S1",AB57&gt;=1,AA57&lt;R57),EDATE(AA57,12),AND(AO57="K5-LAW",AL57="นิติศาสตร์",OR(Y57="S2",Y57="K5")),AA57,AND(AO57="K5-LAW",AL57="นิติศาสตร์",OR(K57="M2",K57="K4"),U57&gt;=2),EDATE(R57,12*2),AND(AO57="K5-LAW",AL57="นิติศาสตร์",K57="S1",U57&gt;=1),EDATE(R57,12),AND(AO57="K5-LAW",AL57="นิติศาสตร์",OR(K57="S2",K57="K5")),R57,AND(AO57="K5-POLICY",AL57&lt;&gt;"นิติศาสตร์",K57="S2",Y57="",AE57=""),R57,AND(AO57="K5-POLICY",AL57&lt;&gt;"นิติศาสตร์",K57="S1",Y57="",AE57=""),EDATE(R57,12),AND(AO57="K5-POLICY",AL57&lt;&gt;"นิติศาสตร์",OR(K57="M2",K57="K4"),Y57="",AE57=""),EDATE(R57,12*2),AND(AO57="K5-POLICY",AL57&lt;&gt;"นิติศาสตร์",OR(AE57="M2",AE57="K4"),AH57&gt;=2,OR(AG57&lt;AA57,AG57&lt;R57)),EDATE(AG57,12*2),AND(AO57="K5-POLICY",AL57&lt;&gt;"นิติศาสตร์",AE57="S1",AH57&gt;=1,OR(AG57&lt;AA57,AG57&lt;R57)),EDATE(AG57,12),AND(AO57="K5-POLICY",AL57&lt;&gt;"นิติศาสตร์",OR(Y57="M2",Y57="K4"),AB57&gt;=2,AA57&lt;R57),EDATE(AA57,12*2),AND(AO57="K5-POLICY",AL57&lt;&gt;"นิติศาสตร์",Y57="S1",AB57&gt;=1,AA57&lt;R57),EDATE(AA57,12),AND(AO57="K5-POLICY",AL57&lt;&gt;"นิติศาสตร์",OR(Y57="S2",Y57="K5")),AA57,AND(AO57="K5-POLICY",AL57&lt;&gt;"นิติศาสตร์",OR(K57="M2",K57="K4"),U57&gt;=2),EDATE(R57,12*2),AND(AO57="K5-POLICY",AL57&lt;&gt;"นิติศาสตร์",K57="S1",U57&gt;=1),EDATE(R57,12),AND(AO57="K5-POLICY",AL57&lt;&gt;"นิติศาสตร์",OR(K57="S2",K57="K5")),R57,TRUE,"Check Data")</f>
        <v/>
      </c>
      <c r="AQ57" s="75" t="str">
        <f t="shared" si="20"/>
        <v>Check Data</v>
      </c>
      <c r="AR57" s="76" t="str">
        <f t="shared" si="21"/>
        <v>Check Data</v>
      </c>
      <c r="AS57" s="50" t="str">
        <f t="shared" si="22"/>
        <v>Check Data</v>
      </c>
      <c r="AT57" s="49" t="str">
        <f>IF(B57="","",IF(K57="S1","S1",INDEX(#REF!,#REF!)))</f>
        <v/>
      </c>
      <c r="AU57" s="49" t="str">
        <f t="shared" si="23"/>
        <v>M2</v>
      </c>
      <c r="AV57" s="50" t="b">
        <f t="shared" si="24"/>
        <v>0</v>
      </c>
      <c r="AW57" s="50"/>
    </row>
    <row r="58" spans="1:49" ht="21.75">
      <c r="A58" s="49">
        <v>56</v>
      </c>
      <c r="B58" s="50"/>
      <c r="C58" s="50"/>
      <c r="D58" s="50" t="s">
        <v>141</v>
      </c>
      <c r="E58" s="49" t="s">
        <v>255</v>
      </c>
      <c r="F58" s="49" t="str">
        <f t="shared" si="0"/>
        <v>20/03/1985</v>
      </c>
      <c r="G58" s="50">
        <f t="shared" si="1"/>
        <v>40</v>
      </c>
      <c r="H58" s="50">
        <f t="shared" si="2"/>
        <v>3</v>
      </c>
      <c r="I58" s="50">
        <f t="shared" si="3"/>
        <v>0</v>
      </c>
      <c r="J58" s="60"/>
      <c r="K58" s="49" t="s">
        <v>136</v>
      </c>
      <c r="L58" s="49" t="str">
        <f>IF(B58="","",IF(K58="S1",K58,INDEX(#REF!,#REF!)))</f>
        <v/>
      </c>
      <c r="M58" s="49" t="b">
        <f t="shared" si="4"/>
        <v>0</v>
      </c>
      <c r="N58" s="64"/>
      <c r="O58" s="49" t="s">
        <v>425</v>
      </c>
      <c r="P58" s="49">
        <v>2569</v>
      </c>
      <c r="Q58" s="65" t="s">
        <v>228</v>
      </c>
      <c r="R58" s="49" t="str">
        <f t="shared" si="5"/>
        <v>04/12/2019</v>
      </c>
      <c r="S58" s="49" t="str">
        <f>IF(B58="","",IF(K58="S1",K58,INDEX(#REF!,#REF!)))</f>
        <v/>
      </c>
      <c r="T58" s="49" t="b">
        <f t="shared" si="6"/>
        <v>0</v>
      </c>
      <c r="U58" s="68">
        <f t="shared" si="7"/>
        <v>5</v>
      </c>
      <c r="V58" s="68">
        <f t="shared" si="8"/>
        <v>6</v>
      </c>
      <c r="W58" s="68">
        <f t="shared" si="9"/>
        <v>16</v>
      </c>
      <c r="X58" s="68"/>
      <c r="Y58" s="65"/>
      <c r="Z58" s="65"/>
      <c r="AA58" s="49" t="str">
        <f t="shared" si="10"/>
        <v/>
      </c>
      <c r="AB58" s="68">
        <f t="shared" si="11"/>
        <v>0</v>
      </c>
      <c r="AC58" s="68">
        <f t="shared" si="12"/>
        <v>0</v>
      </c>
      <c r="AD58" s="68">
        <f t="shared" si="13"/>
        <v>0</v>
      </c>
      <c r="AE58" s="49"/>
      <c r="AF58" s="65"/>
      <c r="AG58" s="50" t="str">
        <f t="shared" si="14"/>
        <v/>
      </c>
      <c r="AH58" s="68">
        <f t="shared" si="15"/>
        <v>0</v>
      </c>
      <c r="AI58" s="68">
        <f t="shared" si="16"/>
        <v>0</v>
      </c>
      <c r="AJ58" s="68">
        <f t="shared" si="17"/>
        <v>0</v>
      </c>
      <c r="AK58" s="50"/>
      <c r="AL58" s="50" t="s">
        <v>138</v>
      </c>
      <c r="AM58" s="50" t="str">
        <f>IF(B58="","",IF(K58="S1",K58,INDEX(#REF!,#REF!)))</f>
        <v/>
      </c>
      <c r="AN58" s="50" t="b">
        <f t="shared" si="18"/>
        <v>0</v>
      </c>
      <c r="AO58" s="49" t="str">
        <f t="shared" si="19"/>
        <v>K5-LAW</v>
      </c>
      <c r="AP58" s="72" t="str">
        <f>_xlfn.IFS(B58="","",AND(AO58="K5-LAW",AL58="นิติศาสตร์",K58="S2",Y58="",AE58=""),R58,AND(AO58="K5-LAW",AL58="นิติศาสตร์",K58="S1",Y58="",AE58=""),EDATE(R58,12),AND(AO58="K5-LAW",AL58="นิติศาสตร์",OR(K58="M2",K58="K4"),Y58="",AE58=""),EDATE(R58,12*2),AND(AO58="K5-LAW",AL58="นิติศาสตร์",OR(AE58="M2",AE58="K4"),AH58&gt;=2,OR(AG58&lt;AA58,AG58&lt;R58)),EDATE(AG58,12*2),AND(AO58="K5-LAW",AL58="นิติศาสตร์",AE58="S1",AH58&gt;=1,OR(AG58&lt;AA58,AG58&lt;R58)),EDATE(AG58,12),AND(AO58="K5-LAW",AL58="นิติศาสตร์",OR(Y58="M2",Y58="K4"),AB58&gt;=2,AA58&lt;R58),EDATE(AA58,12*2),AND(AO58="K5-LAW",AL58="นิติศาสตร์",Y58="S1",AB58&gt;=1,AA58&lt;R58),EDATE(AA58,12),AND(AO58="K5-LAW",AL58="นิติศาสตร์",OR(Y58="S2",Y58="K5")),AA58,AND(AO58="K5-LAW",AL58="นิติศาสตร์",OR(K58="M2",K58="K4"),U58&gt;=2),EDATE(R58,12*2),AND(AO58="K5-LAW",AL58="นิติศาสตร์",K58="S1",U58&gt;=1),EDATE(R58,12),AND(AO58="K5-LAW",AL58="นิติศาสตร์",OR(K58="S2",K58="K5")),R58,AND(AO58="K5-POLICY",AL58&lt;&gt;"นิติศาสตร์",K58="S2",Y58="",AE58=""),R58,AND(AO58="K5-POLICY",AL58&lt;&gt;"นิติศาสตร์",K58="S1",Y58="",AE58=""),EDATE(R58,12),AND(AO58="K5-POLICY",AL58&lt;&gt;"นิติศาสตร์",OR(K58="M2",K58="K4"),Y58="",AE58=""),EDATE(R58,12*2),AND(AO58="K5-POLICY",AL58&lt;&gt;"นิติศาสตร์",OR(AE58="M2",AE58="K4"),AH58&gt;=2,OR(AG58&lt;AA58,AG58&lt;R58)),EDATE(AG58,12*2),AND(AO58="K5-POLICY",AL58&lt;&gt;"นิติศาสตร์",AE58="S1",AH58&gt;=1,OR(AG58&lt;AA58,AG58&lt;R58)),EDATE(AG58,12),AND(AO58="K5-POLICY",AL58&lt;&gt;"นิติศาสตร์",OR(Y58="M2",Y58="K4"),AB58&gt;=2,AA58&lt;R58),EDATE(AA58,12*2),AND(AO58="K5-POLICY",AL58&lt;&gt;"นิติศาสตร์",Y58="S1",AB58&gt;=1,AA58&lt;R58),EDATE(AA58,12),AND(AO58="K5-POLICY",AL58&lt;&gt;"นิติศาสตร์",OR(Y58="S2",Y58="K5")),AA58,AND(AO58="K5-POLICY",AL58&lt;&gt;"นิติศาสตร์",OR(K58="M2",K58="K4"),U58&gt;=2),EDATE(R58,12*2),AND(AO58="K5-POLICY",AL58&lt;&gt;"นิติศาสตร์",K58="S1",U58&gt;=1),EDATE(R58,12),AND(AO58="K5-POLICY",AL58&lt;&gt;"นิติศาสตร์",OR(K58="S2",K58="K5")),R58,TRUE,"Check Data")</f>
        <v/>
      </c>
      <c r="AQ58" s="75" t="str">
        <f t="shared" si="20"/>
        <v>Check Data</v>
      </c>
      <c r="AR58" s="76" t="str">
        <f t="shared" si="21"/>
        <v>Check Data</v>
      </c>
      <c r="AS58" s="50" t="str">
        <f t="shared" si="22"/>
        <v>Check Data</v>
      </c>
      <c r="AT58" s="49" t="str">
        <f>IF(B58="","",IF(K58="S1","S1",INDEX(#REF!,#REF!)))</f>
        <v/>
      </c>
      <c r="AU58" s="49" t="str">
        <f t="shared" si="23"/>
        <v>M2</v>
      </c>
      <c r="AV58" s="50" t="b">
        <f t="shared" si="24"/>
        <v>0</v>
      </c>
      <c r="AW58" s="50"/>
    </row>
    <row r="59" spans="1:49" ht="21.75">
      <c r="A59" s="49">
        <v>57</v>
      </c>
      <c r="B59" s="50"/>
      <c r="C59" s="50"/>
      <c r="D59" s="50" t="s">
        <v>141</v>
      </c>
      <c r="E59" s="49" t="s">
        <v>176</v>
      </c>
      <c r="F59" s="49" t="str">
        <f t="shared" si="0"/>
        <v>01/03/1990</v>
      </c>
      <c r="G59" s="50">
        <f t="shared" si="1"/>
        <v>35</v>
      </c>
      <c r="H59" s="50">
        <f t="shared" si="2"/>
        <v>3</v>
      </c>
      <c r="I59" s="50">
        <f t="shared" si="3"/>
        <v>19</v>
      </c>
      <c r="J59" s="60"/>
      <c r="K59" s="49" t="s">
        <v>136</v>
      </c>
      <c r="L59" s="49" t="str">
        <f>IF(B59="","",IF(K59="S1",K59,INDEX(#REF!,#REF!)))</f>
        <v/>
      </c>
      <c r="M59" s="49" t="b">
        <f t="shared" si="4"/>
        <v>0</v>
      </c>
      <c r="N59" s="64"/>
      <c r="O59" s="49" t="s">
        <v>425</v>
      </c>
      <c r="P59" s="49">
        <v>2568</v>
      </c>
      <c r="Q59" s="65" t="s">
        <v>228</v>
      </c>
      <c r="R59" s="49" t="str">
        <f t="shared" si="5"/>
        <v>04/12/2019</v>
      </c>
      <c r="S59" s="49" t="str">
        <f>IF(B59="","",IF(K59="S1",K59,INDEX(#REF!,#REF!)))</f>
        <v/>
      </c>
      <c r="T59" s="49" t="b">
        <f t="shared" si="6"/>
        <v>0</v>
      </c>
      <c r="U59" s="68">
        <f t="shared" si="7"/>
        <v>5</v>
      </c>
      <c r="V59" s="68">
        <f t="shared" si="8"/>
        <v>6</v>
      </c>
      <c r="W59" s="68">
        <f t="shared" si="9"/>
        <v>16</v>
      </c>
      <c r="X59" s="68"/>
      <c r="Y59" s="65"/>
      <c r="Z59" s="65"/>
      <c r="AA59" s="49" t="str">
        <f t="shared" si="10"/>
        <v/>
      </c>
      <c r="AB59" s="68">
        <f t="shared" si="11"/>
        <v>0</v>
      </c>
      <c r="AC59" s="68">
        <f t="shared" si="12"/>
        <v>0</v>
      </c>
      <c r="AD59" s="68">
        <f t="shared" si="13"/>
        <v>0</v>
      </c>
      <c r="AE59" s="49"/>
      <c r="AF59" s="65"/>
      <c r="AG59" s="50" t="str">
        <f t="shared" si="14"/>
        <v/>
      </c>
      <c r="AH59" s="68">
        <f t="shared" si="15"/>
        <v>0</v>
      </c>
      <c r="AI59" s="68">
        <f t="shared" si="16"/>
        <v>0</v>
      </c>
      <c r="AJ59" s="68">
        <f t="shared" si="17"/>
        <v>0</v>
      </c>
      <c r="AK59" s="50"/>
      <c r="AL59" s="50" t="s">
        <v>138</v>
      </c>
      <c r="AM59" s="50" t="str">
        <f>IF(B59="","",IF(K59="S1",K59,INDEX(#REF!,#REF!)))</f>
        <v/>
      </c>
      <c r="AN59" s="50" t="b">
        <f t="shared" si="18"/>
        <v>0</v>
      </c>
      <c r="AO59" s="49" t="str">
        <f t="shared" si="19"/>
        <v>K5-LAW</v>
      </c>
      <c r="AP59" s="72" t="str">
        <f>_xlfn.IFS(B59="","",AND(AO59="K5-LAW",AL59="นิติศาสตร์",K59="S2",Y59="",AE59=""),R59,AND(AO59="K5-LAW",AL59="นิติศาสตร์",K59="S1",Y59="",AE59=""),EDATE(R59,12),AND(AO59="K5-LAW",AL59="นิติศาสตร์",OR(K59="M2",K59="K4"),Y59="",AE59=""),EDATE(R59,12*2),AND(AO59="K5-LAW",AL59="นิติศาสตร์",OR(AE59="M2",AE59="K4"),AH59&gt;=2,OR(AG59&lt;AA59,AG59&lt;R59)),EDATE(AG59,12*2),AND(AO59="K5-LAW",AL59="นิติศาสตร์",AE59="S1",AH59&gt;=1,OR(AG59&lt;AA59,AG59&lt;R59)),EDATE(AG59,12),AND(AO59="K5-LAW",AL59="นิติศาสตร์",OR(Y59="M2",Y59="K4"),AB59&gt;=2,AA59&lt;R59),EDATE(AA59,12*2),AND(AO59="K5-LAW",AL59="นิติศาสตร์",Y59="S1",AB59&gt;=1,AA59&lt;R59),EDATE(AA59,12),AND(AO59="K5-LAW",AL59="นิติศาสตร์",OR(Y59="S2",Y59="K5")),AA59,AND(AO59="K5-LAW",AL59="นิติศาสตร์",OR(K59="M2",K59="K4"),U59&gt;=2),EDATE(R59,12*2),AND(AO59="K5-LAW",AL59="นิติศาสตร์",K59="S1",U59&gt;=1),EDATE(R59,12),AND(AO59="K5-LAW",AL59="นิติศาสตร์",OR(K59="S2",K59="K5")),R59,AND(AO59="K5-POLICY",AL59&lt;&gt;"นิติศาสตร์",K59="S2",Y59="",AE59=""),R59,AND(AO59="K5-POLICY",AL59&lt;&gt;"นิติศาสตร์",K59="S1",Y59="",AE59=""),EDATE(R59,12),AND(AO59="K5-POLICY",AL59&lt;&gt;"นิติศาสตร์",OR(K59="M2",K59="K4"),Y59="",AE59=""),EDATE(R59,12*2),AND(AO59="K5-POLICY",AL59&lt;&gt;"นิติศาสตร์",OR(AE59="M2",AE59="K4"),AH59&gt;=2,OR(AG59&lt;AA59,AG59&lt;R59)),EDATE(AG59,12*2),AND(AO59="K5-POLICY",AL59&lt;&gt;"นิติศาสตร์",AE59="S1",AH59&gt;=1,OR(AG59&lt;AA59,AG59&lt;R59)),EDATE(AG59,12),AND(AO59="K5-POLICY",AL59&lt;&gt;"นิติศาสตร์",OR(Y59="M2",Y59="K4"),AB59&gt;=2,AA59&lt;R59),EDATE(AA59,12*2),AND(AO59="K5-POLICY",AL59&lt;&gt;"นิติศาสตร์",Y59="S1",AB59&gt;=1,AA59&lt;R59),EDATE(AA59,12),AND(AO59="K5-POLICY",AL59&lt;&gt;"นิติศาสตร์",OR(Y59="S2",Y59="K5")),AA59,AND(AO59="K5-POLICY",AL59&lt;&gt;"นิติศาสตร์",OR(K59="M2",K59="K4"),U59&gt;=2),EDATE(R59,12*2),AND(AO59="K5-POLICY",AL59&lt;&gt;"นิติศาสตร์",K59="S1",U59&gt;=1),EDATE(R59,12),AND(AO59="K5-POLICY",AL59&lt;&gt;"นิติศาสตร์",OR(K59="S2",K59="K5")),R59,TRUE,"Check Data")</f>
        <v/>
      </c>
      <c r="AQ59" s="75" t="str">
        <f t="shared" si="20"/>
        <v>Check Data</v>
      </c>
      <c r="AR59" s="76" t="str">
        <f t="shared" si="21"/>
        <v>Check Data</v>
      </c>
      <c r="AS59" s="50" t="str">
        <f t="shared" si="22"/>
        <v>Check Data</v>
      </c>
      <c r="AT59" s="49" t="str">
        <f>IF(B59="","",IF(K59="S1","S1",INDEX(#REF!,#REF!)))</f>
        <v/>
      </c>
      <c r="AU59" s="49" t="str">
        <f t="shared" si="23"/>
        <v>M2</v>
      </c>
      <c r="AV59" s="50" t="b">
        <f t="shared" si="24"/>
        <v>0</v>
      </c>
      <c r="AW59" s="50"/>
    </row>
    <row r="60" spans="1:49" ht="21.75">
      <c r="A60" s="49">
        <v>58</v>
      </c>
      <c r="B60" s="50"/>
      <c r="C60" s="50"/>
      <c r="D60" s="50" t="s">
        <v>142</v>
      </c>
      <c r="E60" s="49" t="s">
        <v>239</v>
      </c>
      <c r="F60" s="49" t="str">
        <f t="shared" si="0"/>
        <v>01/05/1985</v>
      </c>
      <c r="G60" s="50">
        <f t="shared" si="1"/>
        <v>40</v>
      </c>
      <c r="H60" s="50">
        <f t="shared" si="2"/>
        <v>1</v>
      </c>
      <c r="I60" s="50">
        <f t="shared" si="3"/>
        <v>19</v>
      </c>
      <c r="J60" s="58"/>
      <c r="K60" s="49" t="s">
        <v>136</v>
      </c>
      <c r="L60" s="49" t="str">
        <f>IF(B60="","",IF(K60="S1",K60,INDEX(#REF!,#REF!)))</f>
        <v/>
      </c>
      <c r="M60" s="49" t="b">
        <f t="shared" si="4"/>
        <v>0</v>
      </c>
      <c r="N60" s="64"/>
      <c r="O60" s="49" t="s">
        <v>425</v>
      </c>
      <c r="P60" s="49">
        <v>2569</v>
      </c>
      <c r="Q60" s="65" t="s">
        <v>228</v>
      </c>
      <c r="R60" s="49" t="str">
        <f t="shared" si="5"/>
        <v>04/12/2019</v>
      </c>
      <c r="S60" s="49" t="str">
        <f>IF(B60="","",IF(K60="S1",K60,INDEX(#REF!,#REF!)))</f>
        <v/>
      </c>
      <c r="T60" s="49" t="b">
        <f t="shared" si="6"/>
        <v>0</v>
      </c>
      <c r="U60" s="68">
        <f t="shared" si="7"/>
        <v>5</v>
      </c>
      <c r="V60" s="68">
        <f t="shared" si="8"/>
        <v>6</v>
      </c>
      <c r="W60" s="68">
        <f t="shared" si="9"/>
        <v>16</v>
      </c>
      <c r="X60" s="68"/>
      <c r="Y60" s="65"/>
      <c r="Z60" s="65"/>
      <c r="AA60" s="49" t="str">
        <f t="shared" si="10"/>
        <v/>
      </c>
      <c r="AB60" s="68">
        <f t="shared" si="11"/>
        <v>0</v>
      </c>
      <c r="AC60" s="68">
        <f t="shared" si="12"/>
        <v>0</v>
      </c>
      <c r="AD60" s="68">
        <f t="shared" si="13"/>
        <v>0</v>
      </c>
      <c r="AE60" s="49"/>
      <c r="AF60" s="65"/>
      <c r="AG60" s="50" t="str">
        <f t="shared" si="14"/>
        <v/>
      </c>
      <c r="AH60" s="68">
        <f t="shared" si="15"/>
        <v>0</v>
      </c>
      <c r="AI60" s="68">
        <f t="shared" si="16"/>
        <v>0</v>
      </c>
      <c r="AJ60" s="68">
        <f t="shared" si="17"/>
        <v>0</v>
      </c>
      <c r="AK60" s="50"/>
      <c r="AL60" s="50" t="s">
        <v>138</v>
      </c>
      <c r="AM60" s="50" t="str">
        <f>IF(B60="","",IF(K60="S1",K60,INDEX(#REF!,#REF!)))</f>
        <v/>
      </c>
      <c r="AN60" s="50" t="b">
        <f t="shared" si="18"/>
        <v>0</v>
      </c>
      <c r="AO60" s="49" t="str">
        <f t="shared" si="19"/>
        <v>K5-LAW</v>
      </c>
      <c r="AP60" s="72" t="str">
        <f>_xlfn.IFS(B60="","",AND(AO60="K5-LAW",AL60="นิติศาสตร์",K60="S2",Y60="",AE60=""),R60,AND(AO60="K5-LAW",AL60="นิติศาสตร์",K60="S1",Y60="",AE60=""),EDATE(R60,12),AND(AO60="K5-LAW",AL60="นิติศาสตร์",OR(K60="M2",K60="K4"),Y60="",AE60=""),EDATE(R60,12*2),AND(AO60="K5-LAW",AL60="นิติศาสตร์",OR(AE60="M2",AE60="K4"),AH60&gt;=2,OR(AG60&lt;AA60,AG60&lt;R60)),EDATE(AG60,12*2),AND(AO60="K5-LAW",AL60="นิติศาสตร์",AE60="S1",AH60&gt;=1,OR(AG60&lt;AA60,AG60&lt;R60)),EDATE(AG60,12),AND(AO60="K5-LAW",AL60="นิติศาสตร์",OR(Y60="M2",Y60="K4"),AB60&gt;=2,AA60&lt;R60),EDATE(AA60,12*2),AND(AO60="K5-LAW",AL60="นิติศาสตร์",Y60="S1",AB60&gt;=1,AA60&lt;R60),EDATE(AA60,12),AND(AO60="K5-LAW",AL60="นิติศาสตร์",OR(Y60="S2",Y60="K5")),AA60,AND(AO60="K5-LAW",AL60="นิติศาสตร์",OR(K60="M2",K60="K4"),U60&gt;=2),EDATE(R60,12*2),AND(AO60="K5-LAW",AL60="นิติศาสตร์",K60="S1",U60&gt;=1),EDATE(R60,12),AND(AO60="K5-LAW",AL60="นิติศาสตร์",OR(K60="S2",K60="K5")),R60,AND(AO60="K5-POLICY",AL60&lt;&gt;"นิติศาสตร์",K60="S2",Y60="",AE60=""),R60,AND(AO60="K5-POLICY",AL60&lt;&gt;"นิติศาสตร์",K60="S1",Y60="",AE60=""),EDATE(R60,12),AND(AO60="K5-POLICY",AL60&lt;&gt;"นิติศาสตร์",OR(K60="M2",K60="K4"),Y60="",AE60=""),EDATE(R60,12*2),AND(AO60="K5-POLICY",AL60&lt;&gt;"นิติศาสตร์",OR(AE60="M2",AE60="K4"),AH60&gt;=2,OR(AG60&lt;AA60,AG60&lt;R60)),EDATE(AG60,12*2),AND(AO60="K5-POLICY",AL60&lt;&gt;"นิติศาสตร์",AE60="S1",AH60&gt;=1,OR(AG60&lt;AA60,AG60&lt;R60)),EDATE(AG60,12),AND(AO60="K5-POLICY",AL60&lt;&gt;"นิติศาสตร์",OR(Y60="M2",Y60="K4"),AB60&gt;=2,AA60&lt;R60),EDATE(AA60,12*2),AND(AO60="K5-POLICY",AL60&lt;&gt;"นิติศาสตร์",Y60="S1",AB60&gt;=1,AA60&lt;R60),EDATE(AA60,12),AND(AO60="K5-POLICY",AL60&lt;&gt;"นิติศาสตร์",OR(Y60="S2",Y60="K5")),AA60,AND(AO60="K5-POLICY",AL60&lt;&gt;"นิติศาสตร์",OR(K60="M2",K60="K4"),U60&gt;=2),EDATE(R60,12*2),AND(AO60="K5-POLICY",AL60&lt;&gt;"นิติศาสตร์",K60="S1",U60&gt;=1),EDATE(R60,12),AND(AO60="K5-POLICY",AL60&lt;&gt;"นิติศาสตร์",OR(K60="S2",K60="K5")),R60,TRUE,"Check Data")</f>
        <v/>
      </c>
      <c r="AQ60" s="75" t="str">
        <f t="shared" si="20"/>
        <v>Check Data</v>
      </c>
      <c r="AR60" s="76" t="str">
        <f t="shared" si="21"/>
        <v>Check Data</v>
      </c>
      <c r="AS60" s="50" t="str">
        <f t="shared" si="22"/>
        <v>Check Data</v>
      </c>
      <c r="AT60" s="49" t="str">
        <f>IF(B60="","",IF(K60="S1","S1",INDEX(#REF!,#REF!)))</f>
        <v/>
      </c>
      <c r="AU60" s="49" t="str">
        <f t="shared" si="23"/>
        <v>M2</v>
      </c>
      <c r="AV60" s="50" t="b">
        <f t="shared" si="24"/>
        <v>0</v>
      </c>
      <c r="AW60" s="50"/>
    </row>
    <row r="61" spans="1:49" ht="21.75">
      <c r="A61" s="49">
        <v>59</v>
      </c>
      <c r="B61" s="50"/>
      <c r="C61" s="50"/>
      <c r="D61" s="50" t="s">
        <v>142</v>
      </c>
      <c r="E61" s="49" t="s">
        <v>262</v>
      </c>
      <c r="F61" s="49" t="str">
        <f t="shared" si="0"/>
        <v>11/04/1996</v>
      </c>
      <c r="G61" s="50">
        <f t="shared" si="1"/>
        <v>29</v>
      </c>
      <c r="H61" s="50">
        <f t="shared" si="2"/>
        <v>2</v>
      </c>
      <c r="I61" s="50">
        <f t="shared" si="3"/>
        <v>9</v>
      </c>
      <c r="J61" s="58"/>
      <c r="K61" s="49" t="s">
        <v>136</v>
      </c>
      <c r="L61" s="49" t="str">
        <f>IF(B61="","",IF(K61="S1",K61,INDEX(#REF!,#REF!)))</f>
        <v/>
      </c>
      <c r="M61" s="49" t="b">
        <f t="shared" si="4"/>
        <v>0</v>
      </c>
      <c r="N61" s="64"/>
      <c r="O61" s="49" t="s">
        <v>425</v>
      </c>
      <c r="P61" s="49">
        <v>2571</v>
      </c>
      <c r="Q61" s="65" t="s">
        <v>228</v>
      </c>
      <c r="R61" s="49" t="str">
        <f t="shared" si="5"/>
        <v>04/12/2019</v>
      </c>
      <c r="S61" s="49" t="str">
        <f>IF(B61="","",IF(K61="S1",K61,INDEX(#REF!,#REF!)))</f>
        <v/>
      </c>
      <c r="T61" s="49" t="b">
        <f t="shared" si="6"/>
        <v>0</v>
      </c>
      <c r="U61" s="68">
        <f t="shared" si="7"/>
        <v>5</v>
      </c>
      <c r="V61" s="68">
        <f t="shared" si="8"/>
        <v>6</v>
      </c>
      <c r="W61" s="68">
        <f t="shared" si="9"/>
        <v>16</v>
      </c>
      <c r="X61" s="68"/>
      <c r="Y61" s="65"/>
      <c r="Z61" s="65"/>
      <c r="AA61" s="49" t="str">
        <f t="shared" si="10"/>
        <v/>
      </c>
      <c r="AB61" s="68">
        <f t="shared" si="11"/>
        <v>0</v>
      </c>
      <c r="AC61" s="68">
        <f t="shared" si="12"/>
        <v>0</v>
      </c>
      <c r="AD61" s="68">
        <f t="shared" si="13"/>
        <v>0</v>
      </c>
      <c r="AE61" s="49"/>
      <c r="AF61" s="65"/>
      <c r="AG61" s="50" t="str">
        <f t="shared" si="14"/>
        <v/>
      </c>
      <c r="AH61" s="68">
        <f t="shared" si="15"/>
        <v>0</v>
      </c>
      <c r="AI61" s="68">
        <f t="shared" si="16"/>
        <v>0</v>
      </c>
      <c r="AJ61" s="68">
        <f t="shared" si="17"/>
        <v>0</v>
      </c>
      <c r="AK61" s="50"/>
      <c r="AL61" s="50" t="s">
        <v>138</v>
      </c>
      <c r="AM61" s="50" t="str">
        <f>IF(B61="","",IF(K61="S1",K61,INDEX(#REF!,#REF!)))</f>
        <v/>
      </c>
      <c r="AN61" s="50" t="b">
        <f t="shared" si="18"/>
        <v>0</v>
      </c>
      <c r="AO61" s="49" t="str">
        <f t="shared" si="19"/>
        <v>K5-LAW</v>
      </c>
      <c r="AP61" s="72" t="str">
        <f>_xlfn.IFS(B61="","",AND(AO61="K5-LAW",AL61="นิติศาสตร์",K61="S2",Y61="",AE61=""),R61,AND(AO61="K5-LAW",AL61="นิติศาสตร์",K61="S1",Y61="",AE61=""),EDATE(R61,12),AND(AO61="K5-LAW",AL61="นิติศาสตร์",OR(K61="M2",K61="K4"),Y61="",AE61=""),EDATE(R61,12*2),AND(AO61="K5-LAW",AL61="นิติศาสตร์",OR(AE61="M2",AE61="K4"),AH61&gt;=2,OR(AG61&lt;AA61,AG61&lt;R61)),EDATE(AG61,12*2),AND(AO61="K5-LAW",AL61="นิติศาสตร์",AE61="S1",AH61&gt;=1,OR(AG61&lt;AA61,AG61&lt;R61)),EDATE(AG61,12),AND(AO61="K5-LAW",AL61="นิติศาสตร์",OR(Y61="M2",Y61="K4"),AB61&gt;=2,AA61&lt;R61),EDATE(AA61,12*2),AND(AO61="K5-LAW",AL61="นิติศาสตร์",Y61="S1",AB61&gt;=1,AA61&lt;R61),EDATE(AA61,12),AND(AO61="K5-LAW",AL61="นิติศาสตร์",OR(Y61="S2",Y61="K5")),AA61,AND(AO61="K5-LAW",AL61="นิติศาสตร์",OR(K61="M2",K61="K4"),U61&gt;=2),EDATE(R61,12*2),AND(AO61="K5-LAW",AL61="นิติศาสตร์",K61="S1",U61&gt;=1),EDATE(R61,12),AND(AO61="K5-LAW",AL61="นิติศาสตร์",OR(K61="S2",K61="K5")),R61,AND(AO61="K5-POLICY",AL61&lt;&gt;"นิติศาสตร์",K61="S2",Y61="",AE61=""),R61,AND(AO61="K5-POLICY",AL61&lt;&gt;"นิติศาสตร์",K61="S1",Y61="",AE61=""),EDATE(R61,12),AND(AO61="K5-POLICY",AL61&lt;&gt;"นิติศาสตร์",OR(K61="M2",K61="K4"),Y61="",AE61=""),EDATE(R61,12*2),AND(AO61="K5-POLICY",AL61&lt;&gt;"นิติศาสตร์",OR(AE61="M2",AE61="K4"),AH61&gt;=2,OR(AG61&lt;AA61,AG61&lt;R61)),EDATE(AG61,12*2),AND(AO61="K5-POLICY",AL61&lt;&gt;"นิติศาสตร์",AE61="S1",AH61&gt;=1,OR(AG61&lt;AA61,AG61&lt;R61)),EDATE(AG61,12),AND(AO61="K5-POLICY",AL61&lt;&gt;"นิติศาสตร์",OR(Y61="M2",Y61="K4"),AB61&gt;=2,AA61&lt;R61),EDATE(AA61,12*2),AND(AO61="K5-POLICY",AL61&lt;&gt;"นิติศาสตร์",Y61="S1",AB61&gt;=1,AA61&lt;R61),EDATE(AA61,12),AND(AO61="K5-POLICY",AL61&lt;&gt;"นิติศาสตร์",OR(Y61="S2",Y61="K5")),AA61,AND(AO61="K5-POLICY",AL61&lt;&gt;"นิติศาสตร์",OR(K61="M2",K61="K4"),U61&gt;=2),EDATE(R61,12*2),AND(AO61="K5-POLICY",AL61&lt;&gt;"นิติศาสตร์",K61="S1",U61&gt;=1),EDATE(R61,12),AND(AO61="K5-POLICY",AL61&lt;&gt;"นิติศาสตร์",OR(K61="S2",K61="K5")),R61,TRUE,"Check Data")</f>
        <v/>
      </c>
      <c r="AQ61" s="75" t="str">
        <f t="shared" si="20"/>
        <v>Check Data</v>
      </c>
      <c r="AR61" s="76" t="str">
        <f t="shared" si="21"/>
        <v>Check Data</v>
      </c>
      <c r="AS61" s="50" t="str">
        <f t="shared" si="22"/>
        <v>Check Data</v>
      </c>
      <c r="AT61" s="49" t="str">
        <f>IF(B61="","",IF(K61="S1","S1",INDEX(#REF!,#REF!)))</f>
        <v/>
      </c>
      <c r="AU61" s="49" t="str">
        <f t="shared" si="23"/>
        <v>M2</v>
      </c>
      <c r="AV61" s="50" t="b">
        <f t="shared" si="24"/>
        <v>0</v>
      </c>
      <c r="AW61" s="50"/>
    </row>
    <row r="62" spans="1:49" ht="21.75">
      <c r="A62" s="49">
        <v>60</v>
      </c>
      <c r="B62" s="50"/>
      <c r="C62" s="50"/>
      <c r="D62" s="50" t="s">
        <v>142</v>
      </c>
      <c r="E62" s="49" t="s">
        <v>262</v>
      </c>
      <c r="F62" s="49" t="str">
        <f t="shared" si="0"/>
        <v>11/04/1996</v>
      </c>
      <c r="G62" s="50">
        <f t="shared" si="1"/>
        <v>29</v>
      </c>
      <c r="H62" s="50">
        <f t="shared" si="2"/>
        <v>2</v>
      </c>
      <c r="I62" s="50">
        <f t="shared" si="3"/>
        <v>9</v>
      </c>
      <c r="J62" s="58"/>
      <c r="K62" s="49" t="s">
        <v>136</v>
      </c>
      <c r="L62" s="49" t="str">
        <f>IF(B62="","",IF(K62="S1",K62,INDEX(#REF!,#REF!)))</f>
        <v/>
      </c>
      <c r="M62" s="49" t="b">
        <f t="shared" si="4"/>
        <v>0</v>
      </c>
      <c r="N62" s="64"/>
      <c r="O62" s="49" t="s">
        <v>425</v>
      </c>
      <c r="P62" s="49">
        <v>2570</v>
      </c>
      <c r="Q62" s="65" t="s">
        <v>228</v>
      </c>
      <c r="R62" s="49" t="str">
        <f t="shared" si="5"/>
        <v>04/12/2019</v>
      </c>
      <c r="S62" s="49" t="str">
        <f>IF(B62="","",IF(K62="S1",K62,INDEX(#REF!,#REF!)))</f>
        <v/>
      </c>
      <c r="T62" s="49" t="b">
        <f t="shared" si="6"/>
        <v>0</v>
      </c>
      <c r="U62" s="68">
        <f t="shared" si="7"/>
        <v>5</v>
      </c>
      <c r="V62" s="68">
        <f t="shared" si="8"/>
        <v>6</v>
      </c>
      <c r="W62" s="68">
        <f t="shared" si="9"/>
        <v>16</v>
      </c>
      <c r="X62" s="68"/>
      <c r="Y62" s="65"/>
      <c r="Z62" s="65"/>
      <c r="AA62" s="49" t="str">
        <f t="shared" si="10"/>
        <v/>
      </c>
      <c r="AB62" s="68">
        <f t="shared" si="11"/>
        <v>0</v>
      </c>
      <c r="AC62" s="68">
        <f t="shared" si="12"/>
        <v>0</v>
      </c>
      <c r="AD62" s="68">
        <f t="shared" si="13"/>
        <v>0</v>
      </c>
      <c r="AE62" s="49"/>
      <c r="AF62" s="65"/>
      <c r="AG62" s="50" t="str">
        <f t="shared" si="14"/>
        <v/>
      </c>
      <c r="AH62" s="68">
        <f t="shared" si="15"/>
        <v>0</v>
      </c>
      <c r="AI62" s="68">
        <f t="shared" si="16"/>
        <v>0</v>
      </c>
      <c r="AJ62" s="68">
        <f t="shared" si="17"/>
        <v>0</v>
      </c>
      <c r="AK62" s="50"/>
      <c r="AL62" s="50" t="s">
        <v>138</v>
      </c>
      <c r="AM62" s="50" t="str">
        <f>IF(B62="","",IF(K62="S1",K62,INDEX(#REF!,#REF!)))</f>
        <v/>
      </c>
      <c r="AN62" s="50" t="b">
        <f t="shared" si="18"/>
        <v>0</v>
      </c>
      <c r="AO62" s="49" t="str">
        <f t="shared" si="19"/>
        <v>K5-LAW</v>
      </c>
      <c r="AP62" s="72" t="str">
        <f>_xlfn.IFS(B62="","",AND(AO62="K5-LAW",AL62="นิติศาสตร์",K62="S2",Y62="",AE62=""),R62,AND(AO62="K5-LAW",AL62="นิติศาสตร์",K62="S1",Y62="",AE62=""),EDATE(R62,12),AND(AO62="K5-LAW",AL62="นิติศาสตร์",OR(K62="M2",K62="K4"),Y62="",AE62=""),EDATE(R62,12*2),AND(AO62="K5-LAW",AL62="นิติศาสตร์",OR(AE62="M2",AE62="K4"),AH62&gt;=2,OR(AG62&lt;AA62,AG62&lt;R62)),EDATE(AG62,12*2),AND(AO62="K5-LAW",AL62="นิติศาสตร์",AE62="S1",AH62&gt;=1,OR(AG62&lt;AA62,AG62&lt;R62)),EDATE(AG62,12),AND(AO62="K5-LAW",AL62="นิติศาสตร์",OR(Y62="M2",Y62="K4"),AB62&gt;=2,AA62&lt;R62),EDATE(AA62,12*2),AND(AO62="K5-LAW",AL62="นิติศาสตร์",Y62="S1",AB62&gt;=1,AA62&lt;R62),EDATE(AA62,12),AND(AO62="K5-LAW",AL62="นิติศาสตร์",OR(Y62="S2",Y62="K5")),AA62,AND(AO62="K5-LAW",AL62="นิติศาสตร์",OR(K62="M2",K62="K4"),U62&gt;=2),EDATE(R62,12*2),AND(AO62="K5-LAW",AL62="นิติศาสตร์",K62="S1",U62&gt;=1),EDATE(R62,12),AND(AO62="K5-LAW",AL62="นิติศาสตร์",OR(K62="S2",K62="K5")),R62,AND(AO62="K5-POLICY",AL62&lt;&gt;"นิติศาสตร์",K62="S2",Y62="",AE62=""),R62,AND(AO62="K5-POLICY",AL62&lt;&gt;"นิติศาสตร์",K62="S1",Y62="",AE62=""),EDATE(R62,12),AND(AO62="K5-POLICY",AL62&lt;&gt;"นิติศาสตร์",OR(K62="M2",K62="K4"),Y62="",AE62=""),EDATE(R62,12*2),AND(AO62="K5-POLICY",AL62&lt;&gt;"นิติศาสตร์",OR(AE62="M2",AE62="K4"),AH62&gt;=2,OR(AG62&lt;AA62,AG62&lt;R62)),EDATE(AG62,12*2),AND(AO62="K5-POLICY",AL62&lt;&gt;"นิติศาสตร์",AE62="S1",AH62&gt;=1,OR(AG62&lt;AA62,AG62&lt;R62)),EDATE(AG62,12),AND(AO62="K5-POLICY",AL62&lt;&gt;"นิติศาสตร์",OR(Y62="M2",Y62="K4"),AB62&gt;=2,AA62&lt;R62),EDATE(AA62,12*2),AND(AO62="K5-POLICY",AL62&lt;&gt;"นิติศาสตร์",Y62="S1",AB62&gt;=1,AA62&lt;R62),EDATE(AA62,12),AND(AO62="K5-POLICY",AL62&lt;&gt;"นิติศาสตร์",OR(Y62="S2",Y62="K5")),AA62,AND(AO62="K5-POLICY",AL62&lt;&gt;"นิติศาสตร์",OR(K62="M2",K62="K4"),U62&gt;=2),EDATE(R62,12*2),AND(AO62="K5-POLICY",AL62&lt;&gt;"นิติศาสตร์",K62="S1",U62&gt;=1),EDATE(R62,12),AND(AO62="K5-POLICY",AL62&lt;&gt;"นิติศาสตร์",OR(K62="S2",K62="K5")),R62,TRUE,"Check Data")</f>
        <v/>
      </c>
      <c r="AQ62" s="75" t="str">
        <f t="shared" si="20"/>
        <v>Check Data</v>
      </c>
      <c r="AR62" s="76" t="str">
        <f t="shared" si="21"/>
        <v>Check Data</v>
      </c>
      <c r="AS62" s="50" t="str">
        <f t="shared" si="22"/>
        <v>Check Data</v>
      </c>
      <c r="AT62" s="49" t="str">
        <f>IF(B62="","",IF(K62="S1","S1",INDEX(#REF!,#REF!)))</f>
        <v/>
      </c>
      <c r="AU62" s="49" t="str">
        <f t="shared" si="23"/>
        <v>M2</v>
      </c>
      <c r="AV62" s="50" t="b">
        <f t="shared" si="24"/>
        <v>0</v>
      </c>
      <c r="AW62" s="50"/>
    </row>
    <row r="63" spans="1:49" ht="21.75">
      <c r="A63" s="49">
        <v>61</v>
      </c>
      <c r="B63" s="50"/>
      <c r="C63" s="50"/>
      <c r="D63" s="50" t="s">
        <v>142</v>
      </c>
      <c r="E63" s="49" t="s">
        <v>251</v>
      </c>
      <c r="F63" s="49" t="str">
        <f t="shared" si="0"/>
        <v>15/08/1997</v>
      </c>
      <c r="G63" s="50">
        <f t="shared" si="1"/>
        <v>27</v>
      </c>
      <c r="H63" s="50">
        <f t="shared" si="2"/>
        <v>10</v>
      </c>
      <c r="I63" s="50">
        <f t="shared" si="3"/>
        <v>5</v>
      </c>
      <c r="J63" s="58"/>
      <c r="K63" s="49" t="s">
        <v>136</v>
      </c>
      <c r="L63" s="49" t="str">
        <f>IF(B63="","",IF(K63="S1",K63,INDEX(#REF!,#REF!)))</f>
        <v/>
      </c>
      <c r="M63" s="49" t="b">
        <f t="shared" si="4"/>
        <v>0</v>
      </c>
      <c r="N63" s="64"/>
      <c r="O63" s="49" t="s">
        <v>425</v>
      </c>
      <c r="P63" s="49">
        <v>2571</v>
      </c>
      <c r="Q63" s="65" t="s">
        <v>228</v>
      </c>
      <c r="R63" s="49" t="str">
        <f t="shared" si="5"/>
        <v>04/12/2019</v>
      </c>
      <c r="S63" s="49" t="str">
        <f>IF(B63="","",IF(K63="S1",K63,INDEX(#REF!,#REF!)))</f>
        <v/>
      </c>
      <c r="T63" s="49" t="b">
        <f t="shared" si="6"/>
        <v>0</v>
      </c>
      <c r="U63" s="68">
        <f t="shared" si="7"/>
        <v>5</v>
      </c>
      <c r="V63" s="68">
        <f t="shared" si="8"/>
        <v>6</v>
      </c>
      <c r="W63" s="68">
        <f t="shared" si="9"/>
        <v>16</v>
      </c>
      <c r="X63" s="68"/>
      <c r="Y63" s="65"/>
      <c r="Z63" s="65"/>
      <c r="AA63" s="49" t="str">
        <f t="shared" si="10"/>
        <v/>
      </c>
      <c r="AB63" s="68">
        <f t="shared" si="11"/>
        <v>0</v>
      </c>
      <c r="AC63" s="68">
        <f t="shared" si="12"/>
        <v>0</v>
      </c>
      <c r="AD63" s="68">
        <f t="shared" si="13"/>
        <v>0</v>
      </c>
      <c r="AE63" s="49"/>
      <c r="AF63" s="65"/>
      <c r="AG63" s="50" t="str">
        <f t="shared" si="14"/>
        <v/>
      </c>
      <c r="AH63" s="68">
        <f t="shared" si="15"/>
        <v>0</v>
      </c>
      <c r="AI63" s="68">
        <f t="shared" si="16"/>
        <v>0</v>
      </c>
      <c r="AJ63" s="68">
        <f t="shared" si="17"/>
        <v>0</v>
      </c>
      <c r="AK63" s="50"/>
      <c r="AL63" s="50" t="s">
        <v>138</v>
      </c>
      <c r="AM63" s="50" t="str">
        <f>IF(B63="","",IF(K63="S1",K63,INDEX(#REF!,#REF!)))</f>
        <v/>
      </c>
      <c r="AN63" s="50" t="b">
        <f t="shared" si="18"/>
        <v>0</v>
      </c>
      <c r="AO63" s="49" t="str">
        <f t="shared" si="19"/>
        <v>K5-LAW</v>
      </c>
      <c r="AP63" s="72" t="str">
        <f>_xlfn.IFS(B63="","",AND(AO63="K5-LAW",AL63="นิติศาสตร์",K63="S2",Y63="",AE63=""),R63,AND(AO63="K5-LAW",AL63="นิติศาสตร์",K63="S1",Y63="",AE63=""),EDATE(R63,12),AND(AO63="K5-LAW",AL63="นิติศาสตร์",OR(K63="M2",K63="K4"),Y63="",AE63=""),EDATE(R63,12*2),AND(AO63="K5-LAW",AL63="นิติศาสตร์",OR(AE63="M2",AE63="K4"),AH63&gt;=2,OR(AG63&lt;AA63,AG63&lt;R63)),EDATE(AG63,12*2),AND(AO63="K5-LAW",AL63="นิติศาสตร์",AE63="S1",AH63&gt;=1,OR(AG63&lt;AA63,AG63&lt;R63)),EDATE(AG63,12),AND(AO63="K5-LAW",AL63="นิติศาสตร์",OR(Y63="M2",Y63="K4"),AB63&gt;=2,AA63&lt;R63),EDATE(AA63,12*2),AND(AO63="K5-LAW",AL63="นิติศาสตร์",Y63="S1",AB63&gt;=1,AA63&lt;R63),EDATE(AA63,12),AND(AO63="K5-LAW",AL63="นิติศาสตร์",OR(Y63="S2",Y63="K5")),AA63,AND(AO63="K5-LAW",AL63="นิติศาสตร์",OR(K63="M2",K63="K4"),U63&gt;=2),EDATE(R63,12*2),AND(AO63="K5-LAW",AL63="นิติศาสตร์",K63="S1",U63&gt;=1),EDATE(R63,12),AND(AO63="K5-LAW",AL63="นิติศาสตร์",OR(K63="S2",K63="K5")),R63,AND(AO63="K5-POLICY",AL63&lt;&gt;"นิติศาสตร์",K63="S2",Y63="",AE63=""),R63,AND(AO63="K5-POLICY",AL63&lt;&gt;"นิติศาสตร์",K63="S1",Y63="",AE63=""),EDATE(R63,12),AND(AO63="K5-POLICY",AL63&lt;&gt;"นิติศาสตร์",OR(K63="M2",K63="K4"),Y63="",AE63=""),EDATE(R63,12*2),AND(AO63="K5-POLICY",AL63&lt;&gt;"นิติศาสตร์",OR(AE63="M2",AE63="K4"),AH63&gt;=2,OR(AG63&lt;AA63,AG63&lt;R63)),EDATE(AG63,12*2),AND(AO63="K5-POLICY",AL63&lt;&gt;"นิติศาสตร์",AE63="S1",AH63&gt;=1,OR(AG63&lt;AA63,AG63&lt;R63)),EDATE(AG63,12),AND(AO63="K5-POLICY",AL63&lt;&gt;"นิติศาสตร์",OR(Y63="M2",Y63="K4"),AB63&gt;=2,AA63&lt;R63),EDATE(AA63,12*2),AND(AO63="K5-POLICY",AL63&lt;&gt;"นิติศาสตร์",Y63="S1",AB63&gt;=1,AA63&lt;R63),EDATE(AA63,12),AND(AO63="K5-POLICY",AL63&lt;&gt;"นิติศาสตร์",OR(Y63="S2",Y63="K5")),AA63,AND(AO63="K5-POLICY",AL63&lt;&gt;"นิติศาสตร์",OR(K63="M2",K63="K4"),U63&gt;=2),EDATE(R63,12*2),AND(AO63="K5-POLICY",AL63&lt;&gt;"นิติศาสตร์",K63="S1",U63&gt;=1),EDATE(R63,12),AND(AO63="K5-POLICY",AL63&lt;&gt;"นิติศาสตร์",OR(K63="S2",K63="K5")),R63,TRUE,"Check Data")</f>
        <v/>
      </c>
      <c r="AQ63" s="75" t="str">
        <f t="shared" si="20"/>
        <v>Check Data</v>
      </c>
      <c r="AR63" s="76" t="str">
        <f t="shared" si="21"/>
        <v>Check Data</v>
      </c>
      <c r="AS63" s="50" t="str">
        <f t="shared" si="22"/>
        <v>Check Data</v>
      </c>
      <c r="AT63" s="49" t="str">
        <f>IF(B63="","",IF(K63="S1","S1",INDEX(#REF!,#REF!)))</f>
        <v/>
      </c>
      <c r="AU63" s="49" t="str">
        <f t="shared" si="23"/>
        <v>M2</v>
      </c>
      <c r="AV63" s="50" t="b">
        <f t="shared" si="24"/>
        <v>0</v>
      </c>
      <c r="AW63" s="50"/>
    </row>
    <row r="64" spans="1:49" ht="21.75">
      <c r="A64" s="49">
        <v>62</v>
      </c>
      <c r="B64" s="50"/>
      <c r="C64" s="50"/>
      <c r="D64" s="50" t="s">
        <v>143</v>
      </c>
      <c r="E64" s="49" t="s">
        <v>305</v>
      </c>
      <c r="F64" s="49" t="str">
        <f t="shared" si="0"/>
        <v>01/04/1989</v>
      </c>
      <c r="G64" s="50">
        <f t="shared" si="1"/>
        <v>36</v>
      </c>
      <c r="H64" s="50">
        <f t="shared" si="2"/>
        <v>2</v>
      </c>
      <c r="I64" s="50">
        <f t="shared" si="3"/>
        <v>19</v>
      </c>
      <c r="J64" s="59"/>
      <c r="K64" s="49" t="s">
        <v>136</v>
      </c>
      <c r="L64" s="49" t="str">
        <f>IF(B64="","",IF(K64="S1",K64,INDEX(#REF!,#REF!)))</f>
        <v/>
      </c>
      <c r="M64" s="49" t="b">
        <f t="shared" si="4"/>
        <v>0</v>
      </c>
      <c r="N64" s="64"/>
      <c r="O64" s="49" t="s">
        <v>425</v>
      </c>
      <c r="P64" s="49">
        <v>2570</v>
      </c>
      <c r="Q64" s="65" t="s">
        <v>306</v>
      </c>
      <c r="R64" s="49" t="str">
        <f t="shared" si="5"/>
        <v>19/12/2019</v>
      </c>
      <c r="S64" s="49" t="str">
        <f>IF(B64="","",IF(K64="S1",K64,INDEX(#REF!,#REF!)))</f>
        <v/>
      </c>
      <c r="T64" s="49" t="b">
        <f t="shared" si="6"/>
        <v>0</v>
      </c>
      <c r="U64" s="68">
        <f t="shared" si="7"/>
        <v>5</v>
      </c>
      <c r="V64" s="68">
        <f t="shared" si="8"/>
        <v>6</v>
      </c>
      <c r="W64" s="68">
        <f t="shared" si="9"/>
        <v>1</v>
      </c>
      <c r="X64" s="68"/>
      <c r="Y64" s="65"/>
      <c r="Z64" s="65"/>
      <c r="AA64" s="49" t="str">
        <f t="shared" si="10"/>
        <v/>
      </c>
      <c r="AB64" s="68">
        <f t="shared" si="11"/>
        <v>0</v>
      </c>
      <c r="AC64" s="68">
        <f t="shared" si="12"/>
        <v>0</v>
      </c>
      <c r="AD64" s="68">
        <f t="shared" si="13"/>
        <v>0</v>
      </c>
      <c r="AE64" s="49"/>
      <c r="AF64" s="65"/>
      <c r="AG64" s="50" t="str">
        <f t="shared" si="14"/>
        <v/>
      </c>
      <c r="AH64" s="68">
        <f t="shared" si="15"/>
        <v>0</v>
      </c>
      <c r="AI64" s="68">
        <f t="shared" si="16"/>
        <v>0</v>
      </c>
      <c r="AJ64" s="68">
        <f t="shared" si="17"/>
        <v>0</v>
      </c>
      <c r="AK64" s="50"/>
      <c r="AL64" s="50" t="s">
        <v>178</v>
      </c>
      <c r="AM64" s="50" t="str">
        <f>IF(B64="","",IF(K64="S1",K64,INDEX(#REF!,#REF!)))</f>
        <v/>
      </c>
      <c r="AN64" s="50" t="b">
        <f t="shared" si="18"/>
        <v>0</v>
      </c>
      <c r="AO64" s="49" t="str">
        <f t="shared" si="19"/>
        <v>K5-POLICY</v>
      </c>
      <c r="AP64" s="72" t="str">
        <f>_xlfn.IFS(B64="","",AND(AO64="K5-LAW",AL64="นิติศาสตร์",K64="S2",Y64="",AE64=""),R64,AND(AO64="K5-LAW",AL64="นิติศาสตร์",K64="S1",Y64="",AE64=""),EDATE(R64,12),AND(AO64="K5-LAW",AL64="นิติศาสตร์",OR(K64="M2",K64="K4"),Y64="",AE64=""),EDATE(R64,12*2),AND(AO64="K5-LAW",AL64="นิติศาสตร์",OR(AE64="M2",AE64="K4"),AH64&gt;=2,OR(AG64&lt;AA64,AG64&lt;R64)),EDATE(AG64,12*2),AND(AO64="K5-LAW",AL64="นิติศาสตร์",AE64="S1",AH64&gt;=1,OR(AG64&lt;AA64,AG64&lt;R64)),EDATE(AG64,12),AND(AO64="K5-LAW",AL64="นิติศาสตร์",OR(Y64="M2",Y64="K4"),AB64&gt;=2,AA64&lt;R64),EDATE(AA64,12*2),AND(AO64="K5-LAW",AL64="นิติศาสตร์",Y64="S1",AB64&gt;=1,AA64&lt;R64),EDATE(AA64,12),AND(AO64="K5-LAW",AL64="นิติศาสตร์",OR(Y64="S2",Y64="K5")),AA64,AND(AO64="K5-LAW",AL64="นิติศาสตร์",OR(K64="M2",K64="K4"),U64&gt;=2),EDATE(R64,12*2),AND(AO64="K5-LAW",AL64="นิติศาสตร์",K64="S1",U64&gt;=1),EDATE(R64,12),AND(AO64="K5-LAW",AL64="นิติศาสตร์",OR(K64="S2",K64="K5")),R64,AND(AO64="K5-POLICY",AL64&lt;&gt;"นิติศาสตร์",K64="S2",Y64="",AE64=""),R64,AND(AO64="K5-POLICY",AL64&lt;&gt;"นิติศาสตร์",K64="S1",Y64="",AE64=""),EDATE(R64,12),AND(AO64="K5-POLICY",AL64&lt;&gt;"นิติศาสตร์",OR(K64="M2",K64="K4"),Y64="",AE64=""),EDATE(R64,12*2),AND(AO64="K5-POLICY",AL64&lt;&gt;"นิติศาสตร์",OR(AE64="M2",AE64="K4"),AH64&gt;=2,OR(AG64&lt;AA64,AG64&lt;R64)),EDATE(AG64,12*2),AND(AO64="K5-POLICY",AL64&lt;&gt;"นิติศาสตร์",AE64="S1",AH64&gt;=1,OR(AG64&lt;AA64,AG64&lt;R64)),EDATE(AG64,12),AND(AO64="K5-POLICY",AL64&lt;&gt;"นิติศาสตร์",OR(Y64="M2",Y64="K4"),AB64&gt;=2,AA64&lt;R64),EDATE(AA64,12*2),AND(AO64="K5-POLICY",AL64&lt;&gt;"นิติศาสตร์",Y64="S1",AB64&gt;=1,AA64&lt;R64),EDATE(AA64,12),AND(AO64="K5-POLICY",AL64&lt;&gt;"นิติศาสตร์",OR(Y64="S2",Y64="K5")),AA64,AND(AO64="K5-POLICY",AL64&lt;&gt;"นิติศาสตร์",OR(K64="M2",K64="K4"),U64&gt;=2),EDATE(R64,12*2),AND(AO64="K5-POLICY",AL64&lt;&gt;"นิติศาสตร์",K64="S1",U64&gt;=1),EDATE(R64,12),AND(AO64="K5-POLICY",AL64&lt;&gt;"นิติศาสตร์",OR(K64="S2",K64="K5")),R64,TRUE,"Check Data")</f>
        <v/>
      </c>
      <c r="AQ64" s="75" t="str">
        <f t="shared" si="20"/>
        <v>Check Data</v>
      </c>
      <c r="AR64" s="76" t="str">
        <f t="shared" si="21"/>
        <v>Check Data</v>
      </c>
      <c r="AS64" s="50" t="str">
        <f t="shared" si="22"/>
        <v>Check Data</v>
      </c>
      <c r="AT64" s="49" t="str">
        <f>IF(B64="","",IF(K64="S1","S1",INDEX(#REF!,#REF!)))</f>
        <v/>
      </c>
      <c r="AU64" s="49" t="str">
        <f t="shared" si="23"/>
        <v>M2</v>
      </c>
      <c r="AV64" s="50" t="b">
        <f t="shared" si="24"/>
        <v>0</v>
      </c>
      <c r="AW64" s="50"/>
    </row>
    <row r="65" spans="1:49" ht="21.75">
      <c r="A65" s="49">
        <v>63</v>
      </c>
      <c r="B65" s="50"/>
      <c r="C65" s="50"/>
      <c r="D65" s="50" t="s">
        <v>143</v>
      </c>
      <c r="E65" s="49" t="s">
        <v>307</v>
      </c>
      <c r="F65" s="49" t="str">
        <f t="shared" si="0"/>
        <v>05/03/1992</v>
      </c>
      <c r="G65" s="50">
        <f t="shared" si="1"/>
        <v>33</v>
      </c>
      <c r="H65" s="50">
        <f t="shared" si="2"/>
        <v>3</v>
      </c>
      <c r="I65" s="50">
        <f t="shared" si="3"/>
        <v>15</v>
      </c>
      <c r="J65" s="59"/>
      <c r="K65" s="49" t="s">
        <v>136</v>
      </c>
      <c r="L65" s="49" t="str">
        <f>IF(B65="","",IF(K65="S1",K65,INDEX(#REF!,#REF!)))</f>
        <v/>
      </c>
      <c r="M65" s="49" t="b">
        <f t="shared" si="4"/>
        <v>0</v>
      </c>
      <c r="N65" s="64"/>
      <c r="O65" s="49" t="s">
        <v>425</v>
      </c>
      <c r="P65" s="49">
        <v>2568</v>
      </c>
      <c r="Q65" s="65" t="s">
        <v>306</v>
      </c>
      <c r="R65" s="49" t="str">
        <f t="shared" si="5"/>
        <v>19/12/2019</v>
      </c>
      <c r="S65" s="49" t="str">
        <f>IF(B65="","",IF(K65="S1",K65,INDEX(#REF!,#REF!)))</f>
        <v/>
      </c>
      <c r="T65" s="49" t="b">
        <f t="shared" si="6"/>
        <v>0</v>
      </c>
      <c r="U65" s="68">
        <f t="shared" si="7"/>
        <v>5</v>
      </c>
      <c r="V65" s="68">
        <f t="shared" si="8"/>
        <v>6</v>
      </c>
      <c r="W65" s="68">
        <f t="shared" si="9"/>
        <v>1</v>
      </c>
      <c r="X65" s="68"/>
      <c r="Y65" s="65"/>
      <c r="Z65" s="65"/>
      <c r="AA65" s="49" t="str">
        <f t="shared" si="10"/>
        <v/>
      </c>
      <c r="AB65" s="68">
        <f t="shared" si="11"/>
        <v>0</v>
      </c>
      <c r="AC65" s="68">
        <f t="shared" si="12"/>
        <v>0</v>
      </c>
      <c r="AD65" s="68">
        <f t="shared" si="13"/>
        <v>0</v>
      </c>
      <c r="AE65" s="49"/>
      <c r="AF65" s="65"/>
      <c r="AG65" s="50" t="str">
        <f t="shared" si="14"/>
        <v/>
      </c>
      <c r="AH65" s="68">
        <f t="shared" si="15"/>
        <v>0</v>
      </c>
      <c r="AI65" s="68">
        <f t="shared" si="16"/>
        <v>0</v>
      </c>
      <c r="AJ65" s="68">
        <f t="shared" si="17"/>
        <v>0</v>
      </c>
      <c r="AK65" s="50"/>
      <c r="AL65" s="50" t="s">
        <v>167</v>
      </c>
      <c r="AM65" s="50" t="str">
        <f>IF(B65="","",IF(K65="S1",K65,INDEX(#REF!,#REF!)))</f>
        <v/>
      </c>
      <c r="AN65" s="50" t="b">
        <f t="shared" si="18"/>
        <v>0</v>
      </c>
      <c r="AO65" s="49" t="str">
        <f t="shared" si="19"/>
        <v>K5-POLICY</v>
      </c>
      <c r="AP65" s="72" t="str">
        <f>_xlfn.IFS(B65="","",AND(AO65="K5-LAW",AL65="นิติศาสตร์",K65="S2",Y65="",AE65=""),R65,AND(AO65="K5-LAW",AL65="นิติศาสตร์",K65="S1",Y65="",AE65=""),EDATE(R65,12),AND(AO65="K5-LAW",AL65="นิติศาสตร์",OR(K65="M2",K65="K4"),Y65="",AE65=""),EDATE(R65,12*2),AND(AO65="K5-LAW",AL65="นิติศาสตร์",OR(AE65="M2",AE65="K4"),AH65&gt;=2,OR(AG65&lt;AA65,AG65&lt;R65)),EDATE(AG65,12*2),AND(AO65="K5-LAW",AL65="นิติศาสตร์",AE65="S1",AH65&gt;=1,OR(AG65&lt;AA65,AG65&lt;R65)),EDATE(AG65,12),AND(AO65="K5-LAW",AL65="นิติศาสตร์",OR(Y65="M2",Y65="K4"),AB65&gt;=2,AA65&lt;R65),EDATE(AA65,12*2),AND(AO65="K5-LAW",AL65="นิติศาสตร์",Y65="S1",AB65&gt;=1,AA65&lt;R65),EDATE(AA65,12),AND(AO65="K5-LAW",AL65="นิติศาสตร์",OR(Y65="S2",Y65="K5")),AA65,AND(AO65="K5-LAW",AL65="นิติศาสตร์",OR(K65="M2",K65="K4"),U65&gt;=2),EDATE(R65,12*2),AND(AO65="K5-LAW",AL65="นิติศาสตร์",K65="S1",U65&gt;=1),EDATE(R65,12),AND(AO65="K5-LAW",AL65="นิติศาสตร์",OR(K65="S2",K65="K5")),R65,AND(AO65="K5-POLICY",AL65&lt;&gt;"นิติศาสตร์",K65="S2",Y65="",AE65=""),R65,AND(AO65="K5-POLICY",AL65&lt;&gt;"นิติศาสตร์",K65="S1",Y65="",AE65=""),EDATE(R65,12),AND(AO65="K5-POLICY",AL65&lt;&gt;"นิติศาสตร์",OR(K65="M2",K65="K4"),Y65="",AE65=""),EDATE(R65,12*2),AND(AO65="K5-POLICY",AL65&lt;&gt;"นิติศาสตร์",OR(AE65="M2",AE65="K4"),AH65&gt;=2,OR(AG65&lt;AA65,AG65&lt;R65)),EDATE(AG65,12*2),AND(AO65="K5-POLICY",AL65&lt;&gt;"นิติศาสตร์",AE65="S1",AH65&gt;=1,OR(AG65&lt;AA65,AG65&lt;R65)),EDATE(AG65,12),AND(AO65="K5-POLICY",AL65&lt;&gt;"นิติศาสตร์",OR(Y65="M2",Y65="K4"),AB65&gt;=2,AA65&lt;R65),EDATE(AA65,12*2),AND(AO65="K5-POLICY",AL65&lt;&gt;"นิติศาสตร์",Y65="S1",AB65&gt;=1,AA65&lt;R65),EDATE(AA65,12),AND(AO65="K5-POLICY",AL65&lt;&gt;"นิติศาสตร์",OR(Y65="S2",Y65="K5")),AA65,AND(AO65="K5-POLICY",AL65&lt;&gt;"นิติศาสตร์",OR(K65="M2",K65="K4"),U65&gt;=2),EDATE(R65,12*2),AND(AO65="K5-POLICY",AL65&lt;&gt;"นิติศาสตร์",K65="S1",U65&gt;=1),EDATE(R65,12),AND(AO65="K5-POLICY",AL65&lt;&gt;"นิติศาสตร์",OR(K65="S2",K65="K5")),R65,TRUE,"Check Data")</f>
        <v/>
      </c>
      <c r="AQ65" s="75" t="str">
        <f t="shared" si="20"/>
        <v>Check Data</v>
      </c>
      <c r="AR65" s="76" t="str">
        <f t="shared" si="21"/>
        <v>Check Data</v>
      </c>
      <c r="AS65" s="50" t="str">
        <f t="shared" si="22"/>
        <v>Check Data</v>
      </c>
      <c r="AT65" s="49" t="str">
        <f>IF(B65="","",IF(K65="S1","S1",INDEX(#REF!,#REF!)))</f>
        <v/>
      </c>
      <c r="AU65" s="49" t="str">
        <f t="shared" si="23"/>
        <v>M2</v>
      </c>
      <c r="AV65" s="50" t="b">
        <f t="shared" si="24"/>
        <v>0</v>
      </c>
      <c r="AW65" s="50"/>
    </row>
    <row r="66" spans="1:49" ht="21.75">
      <c r="A66" s="49">
        <v>64</v>
      </c>
      <c r="B66" s="50"/>
      <c r="C66" s="50"/>
      <c r="D66" s="50" t="s">
        <v>143</v>
      </c>
      <c r="E66" s="49" t="s">
        <v>307</v>
      </c>
      <c r="F66" s="49" t="str">
        <f t="shared" si="0"/>
        <v>05/03/1992</v>
      </c>
      <c r="G66" s="50">
        <f t="shared" si="1"/>
        <v>33</v>
      </c>
      <c r="H66" s="50">
        <f t="shared" si="2"/>
        <v>3</v>
      </c>
      <c r="I66" s="50">
        <f t="shared" si="3"/>
        <v>15</v>
      </c>
      <c r="J66" s="59"/>
      <c r="K66" s="49" t="s">
        <v>136</v>
      </c>
      <c r="L66" s="49" t="str">
        <f>IF(B66="","",IF(K66="S1",K66,INDEX(#REF!,#REF!)))</f>
        <v/>
      </c>
      <c r="M66" s="49" t="b">
        <f t="shared" si="4"/>
        <v>0</v>
      </c>
      <c r="N66" s="64"/>
      <c r="O66" s="49" t="s">
        <v>425</v>
      </c>
      <c r="P66" s="49">
        <v>2570</v>
      </c>
      <c r="Q66" s="65" t="s">
        <v>306</v>
      </c>
      <c r="R66" s="49" t="str">
        <f t="shared" si="5"/>
        <v>19/12/2019</v>
      </c>
      <c r="S66" s="49" t="str">
        <f>IF(B66="","",IF(K66="S1",K66,INDEX(#REF!,#REF!)))</f>
        <v/>
      </c>
      <c r="T66" s="49" t="b">
        <f t="shared" si="6"/>
        <v>0</v>
      </c>
      <c r="U66" s="68">
        <f t="shared" si="7"/>
        <v>5</v>
      </c>
      <c r="V66" s="68">
        <f t="shared" si="8"/>
        <v>6</v>
      </c>
      <c r="W66" s="68">
        <f t="shared" si="9"/>
        <v>1</v>
      </c>
      <c r="X66" s="68"/>
      <c r="Y66" s="65"/>
      <c r="Z66" s="65"/>
      <c r="AA66" s="49" t="str">
        <f t="shared" si="10"/>
        <v/>
      </c>
      <c r="AB66" s="68">
        <f t="shared" si="11"/>
        <v>0</v>
      </c>
      <c r="AC66" s="68">
        <f t="shared" si="12"/>
        <v>0</v>
      </c>
      <c r="AD66" s="68">
        <f t="shared" si="13"/>
        <v>0</v>
      </c>
      <c r="AE66" s="49"/>
      <c r="AF66" s="65"/>
      <c r="AG66" s="50" t="str">
        <f t="shared" si="14"/>
        <v/>
      </c>
      <c r="AH66" s="68">
        <f t="shared" si="15"/>
        <v>0</v>
      </c>
      <c r="AI66" s="68">
        <f t="shared" si="16"/>
        <v>0</v>
      </c>
      <c r="AJ66" s="68">
        <f t="shared" si="17"/>
        <v>0</v>
      </c>
      <c r="AK66" s="50"/>
      <c r="AL66" s="50" t="s">
        <v>285</v>
      </c>
      <c r="AM66" s="50" t="str">
        <f>IF(B66="","",IF(K66="S1",K66,INDEX(#REF!,#REF!)))</f>
        <v/>
      </c>
      <c r="AN66" s="50" t="b">
        <f t="shared" si="18"/>
        <v>0</v>
      </c>
      <c r="AO66" s="49" t="str">
        <f t="shared" si="19"/>
        <v>K5-POLICY</v>
      </c>
      <c r="AP66" s="72" t="str">
        <f>_xlfn.IFS(B66="","",AND(AO66="K5-LAW",AL66="นิติศาสตร์",K66="S2",Y66="",AE66=""),R66,AND(AO66="K5-LAW",AL66="นิติศาสตร์",K66="S1",Y66="",AE66=""),EDATE(R66,12),AND(AO66="K5-LAW",AL66="นิติศาสตร์",OR(K66="M2",K66="K4"),Y66="",AE66=""),EDATE(R66,12*2),AND(AO66="K5-LAW",AL66="นิติศาสตร์",OR(AE66="M2",AE66="K4"),AH66&gt;=2,OR(AG66&lt;AA66,AG66&lt;R66)),EDATE(AG66,12*2),AND(AO66="K5-LAW",AL66="นิติศาสตร์",AE66="S1",AH66&gt;=1,OR(AG66&lt;AA66,AG66&lt;R66)),EDATE(AG66,12),AND(AO66="K5-LAW",AL66="นิติศาสตร์",OR(Y66="M2",Y66="K4"),AB66&gt;=2,AA66&lt;R66),EDATE(AA66,12*2),AND(AO66="K5-LAW",AL66="นิติศาสตร์",Y66="S1",AB66&gt;=1,AA66&lt;R66),EDATE(AA66,12),AND(AO66="K5-LAW",AL66="นิติศาสตร์",OR(Y66="S2",Y66="K5")),AA66,AND(AO66="K5-LAW",AL66="นิติศาสตร์",OR(K66="M2",K66="K4"),U66&gt;=2),EDATE(R66,12*2),AND(AO66="K5-LAW",AL66="นิติศาสตร์",K66="S1",U66&gt;=1),EDATE(R66,12),AND(AO66="K5-LAW",AL66="นิติศาสตร์",OR(K66="S2",K66="K5")),R66,AND(AO66="K5-POLICY",AL66&lt;&gt;"นิติศาสตร์",K66="S2",Y66="",AE66=""),R66,AND(AO66="K5-POLICY",AL66&lt;&gt;"นิติศาสตร์",K66="S1",Y66="",AE66=""),EDATE(R66,12),AND(AO66="K5-POLICY",AL66&lt;&gt;"นิติศาสตร์",OR(K66="M2",K66="K4"),Y66="",AE66=""),EDATE(R66,12*2),AND(AO66="K5-POLICY",AL66&lt;&gt;"นิติศาสตร์",OR(AE66="M2",AE66="K4"),AH66&gt;=2,OR(AG66&lt;AA66,AG66&lt;R66)),EDATE(AG66,12*2),AND(AO66="K5-POLICY",AL66&lt;&gt;"นิติศาสตร์",AE66="S1",AH66&gt;=1,OR(AG66&lt;AA66,AG66&lt;R66)),EDATE(AG66,12),AND(AO66="K5-POLICY",AL66&lt;&gt;"นิติศาสตร์",OR(Y66="M2",Y66="K4"),AB66&gt;=2,AA66&lt;R66),EDATE(AA66,12*2),AND(AO66="K5-POLICY",AL66&lt;&gt;"นิติศาสตร์",Y66="S1",AB66&gt;=1,AA66&lt;R66),EDATE(AA66,12),AND(AO66="K5-POLICY",AL66&lt;&gt;"นิติศาสตร์",OR(Y66="S2",Y66="K5")),AA66,AND(AO66="K5-POLICY",AL66&lt;&gt;"นิติศาสตร์",OR(K66="M2",K66="K4"),U66&gt;=2),EDATE(R66,12*2),AND(AO66="K5-POLICY",AL66&lt;&gt;"นิติศาสตร์",K66="S1",U66&gt;=1),EDATE(R66,12),AND(AO66="K5-POLICY",AL66&lt;&gt;"นิติศาสตร์",OR(K66="S2",K66="K5")),R66,TRUE,"Check Data")</f>
        <v/>
      </c>
      <c r="AQ66" s="75" t="str">
        <f t="shared" si="20"/>
        <v>Check Data</v>
      </c>
      <c r="AR66" s="76" t="str">
        <f t="shared" si="21"/>
        <v>Check Data</v>
      </c>
      <c r="AS66" s="50" t="str">
        <f t="shared" si="22"/>
        <v>Check Data</v>
      </c>
      <c r="AT66" s="49" t="str">
        <f>IF(B66="","",IF(K66="S1","S1",INDEX(#REF!,#REF!)))</f>
        <v/>
      </c>
      <c r="AU66" s="49" t="str">
        <f t="shared" si="23"/>
        <v>M2</v>
      </c>
      <c r="AV66" s="50" t="b">
        <f t="shared" si="24"/>
        <v>0</v>
      </c>
      <c r="AW66" s="50"/>
    </row>
    <row r="67" spans="1:49" ht="21.75">
      <c r="A67" s="49">
        <v>65</v>
      </c>
      <c r="B67" s="50"/>
      <c r="C67" s="50"/>
      <c r="D67" s="50" t="s">
        <v>143</v>
      </c>
      <c r="E67" s="49" t="s">
        <v>348</v>
      </c>
      <c r="F67" s="49" t="str">
        <f t="shared" ref="F67:F130" si="25">IF(E67="","",TEXT(EDATE(E67,-543*12),"dd/mm/yyyy"))</f>
        <v>09/10/1995</v>
      </c>
      <c r="G67" s="50">
        <f t="shared" ref="G67:G130" si="26">IF(F67="",0,DATEDIF(F67,$C$1,"Y"))</f>
        <v>29</v>
      </c>
      <c r="H67" s="50">
        <f t="shared" ref="H67:H130" si="27">IF(F67="",0,DATEDIF(F67,$C$1,"YM"))</f>
        <v>8</v>
      </c>
      <c r="I67" s="50">
        <f t="shared" ref="I67:I130" si="28">IF(F67="",0,DATEDIF(F67,$C$1,"MD"))</f>
        <v>11</v>
      </c>
      <c r="J67" s="59"/>
      <c r="K67" s="49" t="s">
        <v>136</v>
      </c>
      <c r="L67" s="49" t="str">
        <f>IF(B67="","",IF(K67="S1",K67,INDEX(#REF!,#REF!)))</f>
        <v/>
      </c>
      <c r="M67" s="49" t="b">
        <f t="shared" ref="M67:M130" si="29">K67=L67</f>
        <v>0</v>
      </c>
      <c r="N67" s="64"/>
      <c r="O67" s="49" t="s">
        <v>425</v>
      </c>
      <c r="P67" s="49">
        <v>2569</v>
      </c>
      <c r="Q67" s="65" t="s">
        <v>306</v>
      </c>
      <c r="R67" s="49" t="str">
        <f t="shared" ref="R67:R130" si="30">TEXT(EDATE(Q67,-543*12),"dd/mm/yyyy")</f>
        <v>19/12/2019</v>
      </c>
      <c r="S67" s="49" t="str">
        <f>IF(B67="","",IF(K67="S1",K67,INDEX(#REF!,#REF!)))</f>
        <v/>
      </c>
      <c r="T67" s="49" t="b">
        <f t="shared" ref="T67:T130" si="31">Q67=S67</f>
        <v>0</v>
      </c>
      <c r="U67" s="68">
        <f t="shared" ref="U67:U130" si="32">IF(R67="",0,DATEDIF(R67,$C$1,"Y"))</f>
        <v>5</v>
      </c>
      <c r="V67" s="68">
        <f t="shared" ref="V67:V130" si="33">IF(R67="",0,DATEDIF(R67,$C$1,"YM"))</f>
        <v>6</v>
      </c>
      <c r="W67" s="68">
        <f t="shared" ref="W67:W130" si="34">IF(R67="",0,DATEDIF(R67,$C$1,"MD"))</f>
        <v>1</v>
      </c>
      <c r="X67" s="68"/>
      <c r="Y67" s="65"/>
      <c r="Z67" s="65"/>
      <c r="AA67" s="49" t="str">
        <f t="shared" ref="AA67:AA130" si="35">IF(Z67="","",TEXT(EDATE(Z67,-543*12),"dd/mm/yyyy"))</f>
        <v/>
      </c>
      <c r="AB67" s="68">
        <f t="shared" ref="AB67:AB130" si="36">IF(AA67="",0,DATEDIF(AA67,R67,"Y"))</f>
        <v>0</v>
      </c>
      <c r="AC67" s="68">
        <f t="shared" ref="AC67:AC130" si="37">IF(AA67="",0,DATEDIF(AA67,R67,"YM"))</f>
        <v>0</v>
      </c>
      <c r="AD67" s="68">
        <f t="shared" ref="AD67:AD130" si="38">IF(AA67="",0,DATEDIF(AA67,R67,"MD"))</f>
        <v>0</v>
      </c>
      <c r="AE67" s="49"/>
      <c r="AF67" s="65"/>
      <c r="AG67" s="50" t="str">
        <f t="shared" ref="AG67:AG130" si="39">IF(AF67="","",TEXT(EDATE(AF67,-543*12),"dd/mm/yyyy"))</f>
        <v/>
      </c>
      <c r="AH67" s="68">
        <f t="shared" ref="AH67:AH130" si="40">IF(AG67="",0,DATEDIF(AG67,AA67,"Y"))</f>
        <v>0</v>
      </c>
      <c r="AI67" s="68">
        <f t="shared" ref="AI67:AI130" si="41">IF(AG67="",0,DATEDIF(AG67,AA67,"YM"))</f>
        <v>0</v>
      </c>
      <c r="AJ67" s="68">
        <f t="shared" ref="AJ67:AJ130" si="42">IF(AG67="",0,DATEDIF(AG67,AA67,"MD"))</f>
        <v>0</v>
      </c>
      <c r="AK67" s="50"/>
      <c r="AL67" s="50" t="s">
        <v>138</v>
      </c>
      <c r="AM67" s="50" t="str">
        <f>IF(B67="","",IF(K67="S1",K67,INDEX(#REF!,#REF!)))</f>
        <v/>
      </c>
      <c r="AN67" s="50" t="b">
        <f t="shared" ref="AN67:AN130" si="43">AL67=AM67</f>
        <v>0</v>
      </c>
      <c r="AO67" s="49" t="str">
        <f t="shared" ref="AO67:AO130" si="44">IF(AL67="นิติศาสตร์","K5-LAW","K5-POLICY")</f>
        <v>K5-LAW</v>
      </c>
      <c r="AP67" s="72" t="str">
        <f>_xlfn.IFS(B67="","",AND(AO67="K5-LAW",AL67="นิติศาสตร์",K67="S2",Y67="",AE67=""),R67,AND(AO67="K5-LAW",AL67="นิติศาสตร์",K67="S1",Y67="",AE67=""),EDATE(R67,12),AND(AO67="K5-LAW",AL67="นิติศาสตร์",OR(K67="M2",K67="K4"),Y67="",AE67=""),EDATE(R67,12*2),AND(AO67="K5-LAW",AL67="นิติศาสตร์",OR(AE67="M2",AE67="K4"),AH67&gt;=2,OR(AG67&lt;AA67,AG67&lt;R67)),EDATE(AG67,12*2),AND(AO67="K5-LAW",AL67="นิติศาสตร์",AE67="S1",AH67&gt;=1,OR(AG67&lt;AA67,AG67&lt;R67)),EDATE(AG67,12),AND(AO67="K5-LAW",AL67="นิติศาสตร์",OR(Y67="M2",Y67="K4"),AB67&gt;=2,AA67&lt;R67),EDATE(AA67,12*2),AND(AO67="K5-LAW",AL67="นิติศาสตร์",Y67="S1",AB67&gt;=1,AA67&lt;R67),EDATE(AA67,12),AND(AO67="K5-LAW",AL67="นิติศาสตร์",OR(Y67="S2",Y67="K5")),AA67,AND(AO67="K5-LAW",AL67="นิติศาสตร์",OR(K67="M2",K67="K4"),U67&gt;=2),EDATE(R67,12*2),AND(AO67="K5-LAW",AL67="นิติศาสตร์",K67="S1",U67&gt;=1),EDATE(R67,12),AND(AO67="K5-LAW",AL67="นิติศาสตร์",OR(K67="S2",K67="K5")),R67,AND(AO67="K5-POLICY",AL67&lt;&gt;"นิติศาสตร์",K67="S2",Y67="",AE67=""),R67,AND(AO67="K5-POLICY",AL67&lt;&gt;"นิติศาสตร์",K67="S1",Y67="",AE67=""),EDATE(R67,12),AND(AO67="K5-POLICY",AL67&lt;&gt;"นิติศาสตร์",OR(K67="M2",K67="K4"),Y67="",AE67=""),EDATE(R67,12*2),AND(AO67="K5-POLICY",AL67&lt;&gt;"นิติศาสตร์",OR(AE67="M2",AE67="K4"),AH67&gt;=2,OR(AG67&lt;AA67,AG67&lt;R67)),EDATE(AG67,12*2),AND(AO67="K5-POLICY",AL67&lt;&gt;"นิติศาสตร์",AE67="S1",AH67&gt;=1,OR(AG67&lt;AA67,AG67&lt;R67)),EDATE(AG67,12),AND(AO67="K5-POLICY",AL67&lt;&gt;"นิติศาสตร์",OR(Y67="M2",Y67="K4"),AB67&gt;=2,AA67&lt;R67),EDATE(AA67,12*2),AND(AO67="K5-POLICY",AL67&lt;&gt;"นิติศาสตร์",Y67="S1",AB67&gt;=1,AA67&lt;R67),EDATE(AA67,12),AND(AO67="K5-POLICY",AL67&lt;&gt;"นิติศาสตร์",OR(Y67="S2",Y67="K5")),AA67,AND(AO67="K5-POLICY",AL67&lt;&gt;"นิติศาสตร์",OR(K67="M2",K67="K4"),U67&gt;=2),EDATE(R67,12*2),AND(AO67="K5-POLICY",AL67&lt;&gt;"นิติศาสตร์",K67="S1",U67&gt;=1),EDATE(R67,12),AND(AO67="K5-POLICY",AL67&lt;&gt;"นิติศาสตร์",OR(K67="S2",K67="K5")),R67,TRUE,"Check Data")</f>
        <v/>
      </c>
      <c r="AQ67" s="75" t="str">
        <f t="shared" ref="AQ67:AQ130" si="45">IFERROR(TEXT(EDATE(AP67,543*12),"dd/mm/yyyy"),"Check Data")</f>
        <v>Check Data</v>
      </c>
      <c r="AR67" s="76" t="str">
        <f t="shared" ref="AR67:AR130" si="46">IFERROR(IF($C$1&gt;AP67,AP67-$C$1,DATEDIF($C$1,AP67,"d")),"Check Data")</f>
        <v>Check Data</v>
      </c>
      <c r="AS67" s="50" t="str">
        <f t="shared" ref="AS67:AS130" si="47">_xlfn.IFS(AR67="Check Data","Check Data",AR67&gt;30,"ยังไม่ถึงเกณฑ์",AR67&gt;0,"ใกล้ถึงเกณฑ์",AR67=0,"ถึงเกณฑ์",AR67&lt;0,"ถึงเกณฑ์นานแล้ว")</f>
        <v>Check Data</v>
      </c>
      <c r="AT67" s="49" t="str">
        <f>IF(B67="","",IF(K67="S1","S1",INDEX(#REF!,#REF!)))</f>
        <v/>
      </c>
      <c r="AU67" s="49" t="str">
        <f t="shared" ref="AU67:AU130" si="48">K67</f>
        <v>M2</v>
      </c>
      <c r="AV67" s="50" t="b">
        <f t="shared" ref="AV67:AV130" si="49">K67=AT67</f>
        <v>0</v>
      </c>
      <c r="AW67" s="50"/>
    </row>
    <row r="68" spans="1:49" ht="21.75">
      <c r="A68" s="49">
        <v>66</v>
      </c>
      <c r="B68" s="50"/>
      <c r="C68" s="50"/>
      <c r="D68" s="50" t="s">
        <v>144</v>
      </c>
      <c r="E68" s="49" t="s">
        <v>379</v>
      </c>
      <c r="F68" s="49" t="str">
        <f t="shared" si="25"/>
        <v>10/07/1987</v>
      </c>
      <c r="G68" s="50">
        <f t="shared" si="26"/>
        <v>37</v>
      </c>
      <c r="H68" s="50">
        <f t="shared" si="27"/>
        <v>11</v>
      </c>
      <c r="I68" s="50">
        <f t="shared" si="28"/>
        <v>10</v>
      </c>
      <c r="J68" s="57"/>
      <c r="K68" s="49" t="s">
        <v>136</v>
      </c>
      <c r="L68" s="49" t="str">
        <f>IF(B68="","",IF(K68="S1",K68,INDEX(#REF!,#REF!)))</f>
        <v/>
      </c>
      <c r="M68" s="49" t="b">
        <f t="shared" si="29"/>
        <v>0</v>
      </c>
      <c r="N68" s="64"/>
      <c r="O68" s="49" t="s">
        <v>425</v>
      </c>
      <c r="P68" s="49">
        <v>2572</v>
      </c>
      <c r="Q68" s="65" t="s">
        <v>380</v>
      </c>
      <c r="R68" s="49" t="str">
        <f t="shared" si="30"/>
        <v>21/01/2020</v>
      </c>
      <c r="S68" s="49" t="str">
        <f>IF(B68="","",IF(K68="S1",K68,INDEX(#REF!,#REF!)))</f>
        <v/>
      </c>
      <c r="T68" s="49" t="b">
        <f t="shared" si="31"/>
        <v>0</v>
      </c>
      <c r="U68" s="68">
        <f t="shared" si="32"/>
        <v>5</v>
      </c>
      <c r="V68" s="68">
        <f t="shared" si="33"/>
        <v>4</v>
      </c>
      <c r="W68" s="68">
        <f t="shared" si="34"/>
        <v>30</v>
      </c>
      <c r="X68" s="68"/>
      <c r="Y68" s="65"/>
      <c r="Z68" s="65"/>
      <c r="AA68" s="49" t="str">
        <f t="shared" si="35"/>
        <v/>
      </c>
      <c r="AB68" s="68">
        <f t="shared" si="36"/>
        <v>0</v>
      </c>
      <c r="AC68" s="68">
        <f t="shared" si="37"/>
        <v>0</v>
      </c>
      <c r="AD68" s="68">
        <f t="shared" si="38"/>
        <v>0</v>
      </c>
      <c r="AE68" s="49"/>
      <c r="AF68" s="65"/>
      <c r="AG68" s="50" t="str">
        <f t="shared" si="39"/>
        <v/>
      </c>
      <c r="AH68" s="68">
        <f t="shared" si="40"/>
        <v>0</v>
      </c>
      <c r="AI68" s="68">
        <f t="shared" si="41"/>
        <v>0</v>
      </c>
      <c r="AJ68" s="68">
        <f t="shared" si="42"/>
        <v>0</v>
      </c>
      <c r="AK68" s="50"/>
      <c r="AL68" s="50" t="s">
        <v>138</v>
      </c>
      <c r="AM68" s="50" t="str">
        <f>IF(B68="","",IF(K68="S1",K68,INDEX(#REF!,#REF!)))</f>
        <v/>
      </c>
      <c r="AN68" s="50" t="b">
        <f t="shared" si="43"/>
        <v>0</v>
      </c>
      <c r="AO68" s="49" t="str">
        <f t="shared" si="44"/>
        <v>K5-LAW</v>
      </c>
      <c r="AP68" s="72" t="str">
        <f>_xlfn.IFS(B68="","",AND(AO68="K5-LAW",AL68="นิติศาสตร์",K68="S2",Y68="",AE68=""),R68,AND(AO68="K5-LAW",AL68="นิติศาสตร์",K68="S1",Y68="",AE68=""),EDATE(R68,12),AND(AO68="K5-LAW",AL68="นิติศาสตร์",OR(K68="M2",K68="K4"),Y68="",AE68=""),EDATE(R68,12*2),AND(AO68="K5-LAW",AL68="นิติศาสตร์",OR(AE68="M2",AE68="K4"),AH68&gt;=2,OR(AG68&lt;AA68,AG68&lt;R68)),EDATE(AG68,12*2),AND(AO68="K5-LAW",AL68="นิติศาสตร์",AE68="S1",AH68&gt;=1,OR(AG68&lt;AA68,AG68&lt;R68)),EDATE(AG68,12),AND(AO68="K5-LAW",AL68="นิติศาสตร์",OR(Y68="M2",Y68="K4"),AB68&gt;=2,AA68&lt;R68),EDATE(AA68,12*2),AND(AO68="K5-LAW",AL68="นิติศาสตร์",Y68="S1",AB68&gt;=1,AA68&lt;R68),EDATE(AA68,12),AND(AO68="K5-LAW",AL68="นิติศาสตร์",OR(Y68="S2",Y68="K5")),AA68,AND(AO68="K5-LAW",AL68="นิติศาสตร์",OR(K68="M2",K68="K4"),U68&gt;=2),EDATE(R68,12*2),AND(AO68="K5-LAW",AL68="นิติศาสตร์",K68="S1",U68&gt;=1),EDATE(R68,12),AND(AO68="K5-LAW",AL68="นิติศาสตร์",OR(K68="S2",K68="K5")),R68,AND(AO68="K5-POLICY",AL68&lt;&gt;"นิติศาสตร์",K68="S2",Y68="",AE68=""),R68,AND(AO68="K5-POLICY",AL68&lt;&gt;"นิติศาสตร์",K68="S1",Y68="",AE68=""),EDATE(R68,12),AND(AO68="K5-POLICY",AL68&lt;&gt;"นิติศาสตร์",OR(K68="M2",K68="K4"),Y68="",AE68=""),EDATE(R68,12*2),AND(AO68="K5-POLICY",AL68&lt;&gt;"นิติศาสตร์",OR(AE68="M2",AE68="K4"),AH68&gt;=2,OR(AG68&lt;AA68,AG68&lt;R68)),EDATE(AG68,12*2),AND(AO68="K5-POLICY",AL68&lt;&gt;"นิติศาสตร์",AE68="S1",AH68&gt;=1,OR(AG68&lt;AA68,AG68&lt;R68)),EDATE(AG68,12),AND(AO68="K5-POLICY",AL68&lt;&gt;"นิติศาสตร์",OR(Y68="M2",Y68="K4"),AB68&gt;=2,AA68&lt;R68),EDATE(AA68,12*2),AND(AO68="K5-POLICY",AL68&lt;&gt;"นิติศาสตร์",Y68="S1",AB68&gt;=1,AA68&lt;R68),EDATE(AA68,12),AND(AO68="K5-POLICY",AL68&lt;&gt;"นิติศาสตร์",OR(Y68="S2",Y68="K5")),AA68,AND(AO68="K5-POLICY",AL68&lt;&gt;"นิติศาสตร์",OR(K68="M2",K68="K4"),U68&gt;=2),EDATE(R68,12*2),AND(AO68="K5-POLICY",AL68&lt;&gt;"นิติศาสตร์",K68="S1",U68&gt;=1),EDATE(R68,12),AND(AO68="K5-POLICY",AL68&lt;&gt;"นิติศาสตร์",OR(K68="S2",K68="K5")),R68,TRUE,"Check Data")</f>
        <v/>
      </c>
      <c r="AQ68" s="75" t="str">
        <f t="shared" si="45"/>
        <v>Check Data</v>
      </c>
      <c r="AR68" s="76" t="str">
        <f t="shared" si="46"/>
        <v>Check Data</v>
      </c>
      <c r="AS68" s="50" t="str">
        <f t="shared" si="47"/>
        <v>Check Data</v>
      </c>
      <c r="AT68" s="49" t="str">
        <f>IF(B68="","",IF(K68="S1","S1",INDEX(#REF!,#REF!)))</f>
        <v/>
      </c>
      <c r="AU68" s="49" t="str">
        <f t="shared" si="48"/>
        <v>M2</v>
      </c>
      <c r="AV68" s="50" t="b">
        <f t="shared" si="49"/>
        <v>0</v>
      </c>
      <c r="AW68" s="50"/>
    </row>
    <row r="69" spans="1:49" ht="21.75">
      <c r="A69" s="49">
        <v>67</v>
      </c>
      <c r="B69" s="50"/>
      <c r="C69" s="50"/>
      <c r="D69" s="50" t="s">
        <v>143</v>
      </c>
      <c r="E69" s="49" t="s">
        <v>335</v>
      </c>
      <c r="F69" s="49" t="str">
        <f t="shared" si="25"/>
        <v>01/01/1999</v>
      </c>
      <c r="G69" s="50">
        <f t="shared" si="26"/>
        <v>26</v>
      </c>
      <c r="H69" s="50">
        <f t="shared" si="27"/>
        <v>5</v>
      </c>
      <c r="I69" s="50">
        <f t="shared" si="28"/>
        <v>19</v>
      </c>
      <c r="J69" s="59"/>
      <c r="K69" s="49" t="s">
        <v>136</v>
      </c>
      <c r="L69" s="49" t="str">
        <f>IF(B69="","",IF(K69="S1",K69,INDEX(#REF!,#REF!)))</f>
        <v/>
      </c>
      <c r="M69" s="49" t="b">
        <f t="shared" si="29"/>
        <v>0</v>
      </c>
      <c r="N69" s="64"/>
      <c r="O69" s="49" t="s">
        <v>427</v>
      </c>
      <c r="P69" s="49">
        <v>2579</v>
      </c>
      <c r="Q69" s="65" t="s">
        <v>336</v>
      </c>
      <c r="R69" s="49" t="str">
        <f t="shared" si="30"/>
        <v>05/05/2020</v>
      </c>
      <c r="S69" s="49" t="str">
        <f>IF(B69="","",IF(K69="S1",K69,INDEX(#REF!,#REF!)))</f>
        <v/>
      </c>
      <c r="T69" s="49" t="b">
        <f t="shared" si="31"/>
        <v>0</v>
      </c>
      <c r="U69" s="68">
        <f t="shared" si="32"/>
        <v>5</v>
      </c>
      <c r="V69" s="68">
        <f t="shared" si="33"/>
        <v>1</v>
      </c>
      <c r="W69" s="68">
        <f t="shared" si="34"/>
        <v>15</v>
      </c>
      <c r="X69" s="68"/>
      <c r="Y69" s="65"/>
      <c r="Z69" s="65"/>
      <c r="AA69" s="49" t="str">
        <f t="shared" si="35"/>
        <v/>
      </c>
      <c r="AB69" s="68">
        <f t="shared" si="36"/>
        <v>0</v>
      </c>
      <c r="AC69" s="68">
        <f t="shared" si="37"/>
        <v>0</v>
      </c>
      <c r="AD69" s="68">
        <f t="shared" si="38"/>
        <v>0</v>
      </c>
      <c r="AE69" s="49"/>
      <c r="AF69" s="65"/>
      <c r="AG69" s="50" t="str">
        <f t="shared" si="39"/>
        <v/>
      </c>
      <c r="AH69" s="68">
        <f t="shared" si="40"/>
        <v>0</v>
      </c>
      <c r="AI69" s="68">
        <f t="shared" si="41"/>
        <v>0</v>
      </c>
      <c r="AJ69" s="68">
        <f t="shared" si="42"/>
        <v>0</v>
      </c>
      <c r="AK69" s="50"/>
      <c r="AL69" s="50" t="s">
        <v>337</v>
      </c>
      <c r="AM69" s="50" t="str">
        <f>IF(B69="","",IF(K69="S1",K69,INDEX(#REF!,#REF!)))</f>
        <v/>
      </c>
      <c r="AN69" s="50" t="b">
        <f t="shared" si="43"/>
        <v>0</v>
      </c>
      <c r="AO69" s="49" t="str">
        <f t="shared" si="44"/>
        <v>K5-POLICY</v>
      </c>
      <c r="AP69" s="72" t="str">
        <f>_xlfn.IFS(B69="","",AND(AO69="K5-LAW",AL69="นิติศาสตร์",K69="S2",Y69="",AE69=""),R69,AND(AO69="K5-LAW",AL69="นิติศาสตร์",K69="S1",Y69="",AE69=""),EDATE(R69,12),AND(AO69="K5-LAW",AL69="นิติศาสตร์",OR(K69="M2",K69="K4"),Y69="",AE69=""),EDATE(R69,12*2),AND(AO69="K5-LAW",AL69="นิติศาสตร์",OR(AE69="M2",AE69="K4"),AH69&gt;=2,OR(AG69&lt;AA69,AG69&lt;R69)),EDATE(AG69,12*2),AND(AO69="K5-LAW",AL69="นิติศาสตร์",AE69="S1",AH69&gt;=1,OR(AG69&lt;AA69,AG69&lt;R69)),EDATE(AG69,12),AND(AO69="K5-LAW",AL69="นิติศาสตร์",OR(Y69="M2",Y69="K4"),AB69&gt;=2,AA69&lt;R69),EDATE(AA69,12*2),AND(AO69="K5-LAW",AL69="นิติศาสตร์",Y69="S1",AB69&gt;=1,AA69&lt;R69),EDATE(AA69,12),AND(AO69="K5-LAW",AL69="นิติศาสตร์",OR(Y69="S2",Y69="K5")),AA69,AND(AO69="K5-LAW",AL69="นิติศาสตร์",OR(K69="M2",K69="K4"),U69&gt;=2),EDATE(R69,12*2),AND(AO69="K5-LAW",AL69="นิติศาสตร์",K69="S1",U69&gt;=1),EDATE(R69,12),AND(AO69="K5-LAW",AL69="นิติศาสตร์",OR(K69="S2",K69="K5")),R69,AND(AO69="K5-POLICY",AL69&lt;&gt;"นิติศาสตร์",K69="S2",Y69="",AE69=""),R69,AND(AO69="K5-POLICY",AL69&lt;&gt;"นิติศาสตร์",K69="S1",Y69="",AE69=""),EDATE(R69,12),AND(AO69="K5-POLICY",AL69&lt;&gt;"นิติศาสตร์",OR(K69="M2",K69="K4"),Y69="",AE69=""),EDATE(R69,12*2),AND(AO69="K5-POLICY",AL69&lt;&gt;"นิติศาสตร์",OR(AE69="M2",AE69="K4"),AH69&gt;=2,OR(AG69&lt;AA69,AG69&lt;R69)),EDATE(AG69,12*2),AND(AO69="K5-POLICY",AL69&lt;&gt;"นิติศาสตร์",AE69="S1",AH69&gt;=1,OR(AG69&lt;AA69,AG69&lt;R69)),EDATE(AG69,12),AND(AO69="K5-POLICY",AL69&lt;&gt;"นิติศาสตร์",OR(Y69="M2",Y69="K4"),AB69&gt;=2,AA69&lt;R69),EDATE(AA69,12*2),AND(AO69="K5-POLICY",AL69&lt;&gt;"นิติศาสตร์",Y69="S1",AB69&gt;=1,AA69&lt;R69),EDATE(AA69,12),AND(AO69="K5-POLICY",AL69&lt;&gt;"นิติศาสตร์",OR(Y69="S2",Y69="K5")),AA69,AND(AO69="K5-POLICY",AL69&lt;&gt;"นิติศาสตร์",OR(K69="M2",K69="K4"),U69&gt;=2),EDATE(R69,12*2),AND(AO69="K5-POLICY",AL69&lt;&gt;"นิติศาสตร์",K69="S1",U69&gt;=1),EDATE(R69,12),AND(AO69="K5-POLICY",AL69&lt;&gt;"นิติศาสตร์",OR(K69="S2",K69="K5")),R69,TRUE,"Check Data")</f>
        <v/>
      </c>
      <c r="AQ69" s="75" t="str">
        <f t="shared" si="45"/>
        <v>Check Data</v>
      </c>
      <c r="AR69" s="76" t="str">
        <f t="shared" si="46"/>
        <v>Check Data</v>
      </c>
      <c r="AS69" s="50" t="str">
        <f t="shared" si="47"/>
        <v>Check Data</v>
      </c>
      <c r="AT69" s="49" t="str">
        <f>IF(B69="","",IF(K69="S1","S1",INDEX(#REF!,#REF!)))</f>
        <v/>
      </c>
      <c r="AU69" s="49" t="str">
        <f t="shared" si="48"/>
        <v>M2</v>
      </c>
      <c r="AV69" s="50" t="b">
        <f t="shared" si="49"/>
        <v>0</v>
      </c>
      <c r="AW69" s="50"/>
    </row>
    <row r="70" spans="1:49" ht="21.75">
      <c r="A70" s="49">
        <v>68</v>
      </c>
      <c r="B70" s="50"/>
      <c r="C70" s="50"/>
      <c r="D70" s="50" t="s">
        <v>144</v>
      </c>
      <c r="E70" s="49" t="s">
        <v>384</v>
      </c>
      <c r="F70" s="49" t="str">
        <f t="shared" si="25"/>
        <v>01/06/1994</v>
      </c>
      <c r="G70" s="50">
        <f t="shared" si="26"/>
        <v>31</v>
      </c>
      <c r="H70" s="50">
        <f t="shared" si="27"/>
        <v>0</v>
      </c>
      <c r="I70" s="50">
        <f t="shared" si="28"/>
        <v>19</v>
      </c>
      <c r="J70" s="57"/>
      <c r="K70" s="49" t="s">
        <v>136</v>
      </c>
      <c r="L70" s="49" t="str">
        <f>IF(B70="","",IF(K70="S1",K70,INDEX(#REF!,#REF!)))</f>
        <v/>
      </c>
      <c r="M70" s="49" t="b">
        <f t="shared" si="29"/>
        <v>0</v>
      </c>
      <c r="N70" s="64"/>
      <c r="O70" s="49" t="s">
        <v>425</v>
      </c>
      <c r="P70" s="49">
        <v>2569</v>
      </c>
      <c r="Q70" s="65" t="s">
        <v>385</v>
      </c>
      <c r="R70" s="49" t="str">
        <f t="shared" si="30"/>
        <v>29/09/2020</v>
      </c>
      <c r="S70" s="49" t="str">
        <f>IF(B70="","",IF(K70="S1",K70,INDEX(#REF!,#REF!)))</f>
        <v/>
      </c>
      <c r="T70" s="49" t="b">
        <f t="shared" si="31"/>
        <v>0</v>
      </c>
      <c r="U70" s="68">
        <f t="shared" si="32"/>
        <v>4</v>
      </c>
      <c r="V70" s="68">
        <f t="shared" si="33"/>
        <v>8</v>
      </c>
      <c r="W70" s="68">
        <f t="shared" si="34"/>
        <v>22</v>
      </c>
      <c r="X70" s="68"/>
      <c r="Y70" s="65"/>
      <c r="Z70" s="65"/>
      <c r="AA70" s="49" t="str">
        <f t="shared" si="35"/>
        <v/>
      </c>
      <c r="AB70" s="68">
        <f t="shared" si="36"/>
        <v>0</v>
      </c>
      <c r="AC70" s="68">
        <f t="shared" si="37"/>
        <v>0</v>
      </c>
      <c r="AD70" s="68">
        <f t="shared" si="38"/>
        <v>0</v>
      </c>
      <c r="AE70" s="49"/>
      <c r="AF70" s="65"/>
      <c r="AG70" s="50" t="str">
        <f t="shared" si="39"/>
        <v/>
      </c>
      <c r="AH70" s="68">
        <f t="shared" si="40"/>
        <v>0</v>
      </c>
      <c r="AI70" s="68">
        <f t="shared" si="41"/>
        <v>0</v>
      </c>
      <c r="AJ70" s="68">
        <f t="shared" si="42"/>
        <v>0</v>
      </c>
      <c r="AK70" s="50"/>
      <c r="AL70" s="50" t="s">
        <v>138</v>
      </c>
      <c r="AM70" s="50" t="str">
        <f>IF(B70="","",IF(K70="S1",K70,INDEX(#REF!,#REF!)))</f>
        <v/>
      </c>
      <c r="AN70" s="50" t="b">
        <f t="shared" si="43"/>
        <v>0</v>
      </c>
      <c r="AO70" s="49" t="str">
        <f t="shared" si="44"/>
        <v>K5-LAW</v>
      </c>
      <c r="AP70" s="72" t="str">
        <f>_xlfn.IFS(B70="","",AND(AO70="K5-LAW",AL70="นิติศาสตร์",K70="S2",Y70="",AE70=""),R70,AND(AO70="K5-LAW",AL70="นิติศาสตร์",K70="S1",Y70="",AE70=""),EDATE(R70,12),AND(AO70="K5-LAW",AL70="นิติศาสตร์",OR(K70="M2",K70="K4"),Y70="",AE70=""),EDATE(R70,12*2),AND(AO70="K5-LAW",AL70="นิติศาสตร์",OR(AE70="M2",AE70="K4"),AH70&gt;=2,OR(AG70&lt;AA70,AG70&lt;R70)),EDATE(AG70,12*2),AND(AO70="K5-LAW",AL70="นิติศาสตร์",AE70="S1",AH70&gt;=1,OR(AG70&lt;AA70,AG70&lt;R70)),EDATE(AG70,12),AND(AO70="K5-LAW",AL70="นิติศาสตร์",OR(Y70="M2",Y70="K4"),AB70&gt;=2,AA70&lt;R70),EDATE(AA70,12*2),AND(AO70="K5-LAW",AL70="นิติศาสตร์",Y70="S1",AB70&gt;=1,AA70&lt;R70),EDATE(AA70,12),AND(AO70="K5-LAW",AL70="นิติศาสตร์",OR(Y70="S2",Y70="K5")),AA70,AND(AO70="K5-LAW",AL70="นิติศาสตร์",OR(K70="M2",K70="K4"),U70&gt;=2),EDATE(R70,12*2),AND(AO70="K5-LAW",AL70="นิติศาสตร์",K70="S1",U70&gt;=1),EDATE(R70,12),AND(AO70="K5-LAW",AL70="นิติศาสตร์",OR(K70="S2",K70="K5")),R70,AND(AO70="K5-POLICY",AL70&lt;&gt;"นิติศาสตร์",K70="S2",Y70="",AE70=""),R70,AND(AO70="K5-POLICY",AL70&lt;&gt;"นิติศาสตร์",K70="S1",Y70="",AE70=""),EDATE(R70,12),AND(AO70="K5-POLICY",AL70&lt;&gt;"นิติศาสตร์",OR(K70="M2",K70="K4"),Y70="",AE70=""),EDATE(R70,12*2),AND(AO70="K5-POLICY",AL70&lt;&gt;"นิติศาสตร์",OR(AE70="M2",AE70="K4"),AH70&gt;=2,OR(AG70&lt;AA70,AG70&lt;R70)),EDATE(AG70,12*2),AND(AO70="K5-POLICY",AL70&lt;&gt;"นิติศาสตร์",AE70="S1",AH70&gt;=1,OR(AG70&lt;AA70,AG70&lt;R70)),EDATE(AG70,12),AND(AO70="K5-POLICY",AL70&lt;&gt;"นิติศาสตร์",OR(Y70="M2",Y70="K4"),AB70&gt;=2,AA70&lt;R70),EDATE(AA70,12*2),AND(AO70="K5-POLICY",AL70&lt;&gt;"นิติศาสตร์",Y70="S1",AB70&gt;=1,AA70&lt;R70),EDATE(AA70,12),AND(AO70="K5-POLICY",AL70&lt;&gt;"นิติศาสตร์",OR(Y70="S2",Y70="K5")),AA70,AND(AO70="K5-POLICY",AL70&lt;&gt;"นิติศาสตร์",OR(K70="M2",K70="K4"),U70&gt;=2),EDATE(R70,12*2),AND(AO70="K5-POLICY",AL70&lt;&gt;"นิติศาสตร์",K70="S1",U70&gt;=1),EDATE(R70,12),AND(AO70="K5-POLICY",AL70&lt;&gt;"นิติศาสตร์",OR(K70="S2",K70="K5")),R70,TRUE,"Check Data")</f>
        <v/>
      </c>
      <c r="AQ70" s="75" t="str">
        <f t="shared" si="45"/>
        <v>Check Data</v>
      </c>
      <c r="AR70" s="76" t="str">
        <f t="shared" si="46"/>
        <v>Check Data</v>
      </c>
      <c r="AS70" s="50" t="str">
        <f t="shared" si="47"/>
        <v>Check Data</v>
      </c>
      <c r="AT70" s="49" t="str">
        <f>IF(B70="","",IF(K70="S1","S1",INDEX(#REF!,#REF!)))</f>
        <v/>
      </c>
      <c r="AU70" s="49" t="str">
        <f t="shared" si="48"/>
        <v>M2</v>
      </c>
      <c r="AV70" s="50" t="b">
        <f t="shared" si="49"/>
        <v>0</v>
      </c>
      <c r="AW70" s="50"/>
    </row>
    <row r="71" spans="1:49" ht="21.75">
      <c r="A71" s="49">
        <v>69</v>
      </c>
      <c r="B71" s="50"/>
      <c r="C71" s="50"/>
      <c r="D71" s="50" t="s">
        <v>141</v>
      </c>
      <c r="E71" s="49" t="s">
        <v>254</v>
      </c>
      <c r="F71" s="49" t="str">
        <f t="shared" si="25"/>
        <v>13/08/1991</v>
      </c>
      <c r="G71" s="50">
        <f t="shared" si="26"/>
        <v>33</v>
      </c>
      <c r="H71" s="50">
        <f t="shared" si="27"/>
        <v>10</v>
      </c>
      <c r="I71" s="50">
        <f t="shared" si="28"/>
        <v>7</v>
      </c>
      <c r="J71" s="60"/>
      <c r="K71" s="49" t="s">
        <v>136</v>
      </c>
      <c r="L71" s="49" t="str">
        <f>IF(B71="","",IF(K71="S1",K71,INDEX(#REF!,#REF!)))</f>
        <v/>
      </c>
      <c r="M71" s="49" t="b">
        <f t="shared" si="29"/>
        <v>0</v>
      </c>
      <c r="N71" s="64"/>
      <c r="O71" s="49" t="s">
        <v>427</v>
      </c>
      <c r="P71" s="49">
        <v>2568</v>
      </c>
      <c r="Q71" s="65" t="s">
        <v>252</v>
      </c>
      <c r="R71" s="49" t="str">
        <f t="shared" si="30"/>
        <v>01/10/2020</v>
      </c>
      <c r="S71" s="49" t="str">
        <f>IF(B71="","",IF(K71="S1",K71,INDEX(#REF!,#REF!)))</f>
        <v/>
      </c>
      <c r="T71" s="49" t="b">
        <f t="shared" si="31"/>
        <v>0</v>
      </c>
      <c r="U71" s="68">
        <f t="shared" si="32"/>
        <v>4</v>
      </c>
      <c r="V71" s="68">
        <f t="shared" si="33"/>
        <v>8</v>
      </c>
      <c r="W71" s="68">
        <f t="shared" si="34"/>
        <v>19</v>
      </c>
      <c r="X71" s="68"/>
      <c r="Y71" s="65"/>
      <c r="Z71" s="65"/>
      <c r="AA71" s="49" t="str">
        <f t="shared" si="35"/>
        <v/>
      </c>
      <c r="AB71" s="68">
        <f t="shared" si="36"/>
        <v>0</v>
      </c>
      <c r="AC71" s="68">
        <f t="shared" si="37"/>
        <v>0</v>
      </c>
      <c r="AD71" s="68">
        <f t="shared" si="38"/>
        <v>0</v>
      </c>
      <c r="AE71" s="49"/>
      <c r="AF71" s="65"/>
      <c r="AG71" s="50" t="str">
        <f t="shared" si="39"/>
        <v/>
      </c>
      <c r="AH71" s="68">
        <f t="shared" si="40"/>
        <v>0</v>
      </c>
      <c r="AI71" s="68">
        <f t="shared" si="41"/>
        <v>0</v>
      </c>
      <c r="AJ71" s="68">
        <f t="shared" si="42"/>
        <v>0</v>
      </c>
      <c r="AK71" s="50"/>
      <c r="AL71" s="50" t="s">
        <v>138</v>
      </c>
      <c r="AM71" s="50" t="str">
        <f>IF(B71="","",IF(K71="S1",K71,INDEX(#REF!,#REF!)))</f>
        <v/>
      </c>
      <c r="AN71" s="50" t="b">
        <f t="shared" si="43"/>
        <v>0</v>
      </c>
      <c r="AO71" s="49" t="str">
        <f t="shared" si="44"/>
        <v>K5-LAW</v>
      </c>
      <c r="AP71" s="72" t="str">
        <f>_xlfn.IFS(B71="","",AND(AO71="K5-LAW",AL71="นิติศาสตร์",K71="S2",Y71="",AE71=""),R71,AND(AO71="K5-LAW",AL71="นิติศาสตร์",K71="S1",Y71="",AE71=""),EDATE(R71,12),AND(AO71="K5-LAW",AL71="นิติศาสตร์",OR(K71="M2",K71="K4"),Y71="",AE71=""),EDATE(R71,12*2),AND(AO71="K5-LAW",AL71="นิติศาสตร์",OR(AE71="M2",AE71="K4"),AH71&gt;=2,OR(AG71&lt;AA71,AG71&lt;R71)),EDATE(AG71,12*2),AND(AO71="K5-LAW",AL71="นิติศาสตร์",AE71="S1",AH71&gt;=1,OR(AG71&lt;AA71,AG71&lt;R71)),EDATE(AG71,12),AND(AO71="K5-LAW",AL71="นิติศาสตร์",OR(Y71="M2",Y71="K4"),AB71&gt;=2,AA71&lt;R71),EDATE(AA71,12*2),AND(AO71="K5-LAW",AL71="นิติศาสตร์",Y71="S1",AB71&gt;=1,AA71&lt;R71),EDATE(AA71,12),AND(AO71="K5-LAW",AL71="นิติศาสตร์",OR(Y71="S2",Y71="K5")),AA71,AND(AO71="K5-LAW",AL71="นิติศาสตร์",OR(K71="M2",K71="K4"),U71&gt;=2),EDATE(R71,12*2),AND(AO71="K5-LAW",AL71="นิติศาสตร์",K71="S1",U71&gt;=1),EDATE(R71,12),AND(AO71="K5-LAW",AL71="นิติศาสตร์",OR(K71="S2",K71="K5")),R71,AND(AO71="K5-POLICY",AL71&lt;&gt;"นิติศาสตร์",K71="S2",Y71="",AE71=""),R71,AND(AO71="K5-POLICY",AL71&lt;&gt;"นิติศาสตร์",K71="S1",Y71="",AE71=""),EDATE(R71,12),AND(AO71="K5-POLICY",AL71&lt;&gt;"นิติศาสตร์",OR(K71="M2",K71="K4"),Y71="",AE71=""),EDATE(R71,12*2),AND(AO71="K5-POLICY",AL71&lt;&gt;"นิติศาสตร์",OR(AE71="M2",AE71="K4"),AH71&gt;=2,OR(AG71&lt;AA71,AG71&lt;R71)),EDATE(AG71,12*2),AND(AO71="K5-POLICY",AL71&lt;&gt;"นิติศาสตร์",AE71="S1",AH71&gt;=1,OR(AG71&lt;AA71,AG71&lt;R71)),EDATE(AG71,12),AND(AO71="K5-POLICY",AL71&lt;&gt;"นิติศาสตร์",OR(Y71="M2",Y71="K4"),AB71&gt;=2,AA71&lt;R71),EDATE(AA71,12*2),AND(AO71="K5-POLICY",AL71&lt;&gt;"นิติศาสตร์",Y71="S1",AB71&gt;=1,AA71&lt;R71),EDATE(AA71,12),AND(AO71="K5-POLICY",AL71&lt;&gt;"นิติศาสตร์",OR(Y71="S2",Y71="K5")),AA71,AND(AO71="K5-POLICY",AL71&lt;&gt;"นิติศาสตร์",OR(K71="M2",K71="K4"),U71&gt;=2),EDATE(R71,12*2),AND(AO71="K5-POLICY",AL71&lt;&gt;"นิติศาสตร์",K71="S1",U71&gt;=1),EDATE(R71,12),AND(AO71="K5-POLICY",AL71&lt;&gt;"นิติศาสตร์",OR(K71="S2",K71="K5")),R71,TRUE,"Check Data")</f>
        <v/>
      </c>
      <c r="AQ71" s="75" t="str">
        <f t="shared" si="45"/>
        <v>Check Data</v>
      </c>
      <c r="AR71" s="76" t="str">
        <f t="shared" si="46"/>
        <v>Check Data</v>
      </c>
      <c r="AS71" s="50" t="str">
        <f t="shared" si="47"/>
        <v>Check Data</v>
      </c>
      <c r="AT71" s="49" t="str">
        <f>IF(B71="","",IF(K71="S1","S1",INDEX(#REF!,#REF!)))</f>
        <v/>
      </c>
      <c r="AU71" s="49" t="str">
        <f t="shared" si="48"/>
        <v>M2</v>
      </c>
      <c r="AV71" s="50" t="b">
        <f t="shared" si="49"/>
        <v>0</v>
      </c>
      <c r="AW71" s="50"/>
    </row>
    <row r="72" spans="1:49" ht="21.75">
      <c r="A72" s="49">
        <v>70</v>
      </c>
      <c r="B72" s="50"/>
      <c r="C72" s="50"/>
      <c r="D72" s="50" t="s">
        <v>141</v>
      </c>
      <c r="E72" s="49" t="s">
        <v>251</v>
      </c>
      <c r="F72" s="49" t="str">
        <f t="shared" si="25"/>
        <v>15/08/1997</v>
      </c>
      <c r="G72" s="50">
        <f t="shared" si="26"/>
        <v>27</v>
      </c>
      <c r="H72" s="50">
        <f t="shared" si="27"/>
        <v>10</v>
      </c>
      <c r="I72" s="50">
        <f t="shared" si="28"/>
        <v>5</v>
      </c>
      <c r="J72" s="60"/>
      <c r="K72" s="49" t="s">
        <v>136</v>
      </c>
      <c r="L72" s="49" t="str">
        <f>IF(B72="","",IF(K72="S1",K72,INDEX(#REF!,#REF!)))</f>
        <v/>
      </c>
      <c r="M72" s="49" t="b">
        <f t="shared" si="29"/>
        <v>0</v>
      </c>
      <c r="N72" s="64"/>
      <c r="O72" s="49" t="s">
        <v>425</v>
      </c>
      <c r="P72" s="49">
        <v>2575</v>
      </c>
      <c r="Q72" s="65" t="s">
        <v>252</v>
      </c>
      <c r="R72" s="49" t="str">
        <f t="shared" si="30"/>
        <v>01/10/2020</v>
      </c>
      <c r="S72" s="49" t="str">
        <f>IF(B72="","",IF(K72="S1",K72,INDEX(#REF!,#REF!)))</f>
        <v/>
      </c>
      <c r="T72" s="49" t="b">
        <f t="shared" si="31"/>
        <v>0</v>
      </c>
      <c r="U72" s="68">
        <f t="shared" si="32"/>
        <v>4</v>
      </c>
      <c r="V72" s="68">
        <f t="shared" si="33"/>
        <v>8</v>
      </c>
      <c r="W72" s="68">
        <f t="shared" si="34"/>
        <v>19</v>
      </c>
      <c r="X72" s="68"/>
      <c r="Y72" s="65"/>
      <c r="Z72" s="65"/>
      <c r="AA72" s="49" t="str">
        <f t="shared" si="35"/>
        <v/>
      </c>
      <c r="AB72" s="68">
        <f t="shared" si="36"/>
        <v>0</v>
      </c>
      <c r="AC72" s="68">
        <f t="shared" si="37"/>
        <v>0</v>
      </c>
      <c r="AD72" s="68">
        <f t="shared" si="38"/>
        <v>0</v>
      </c>
      <c r="AE72" s="49"/>
      <c r="AF72" s="65"/>
      <c r="AG72" s="50" t="str">
        <f t="shared" si="39"/>
        <v/>
      </c>
      <c r="AH72" s="68">
        <f t="shared" si="40"/>
        <v>0</v>
      </c>
      <c r="AI72" s="68">
        <f t="shared" si="41"/>
        <v>0</v>
      </c>
      <c r="AJ72" s="68">
        <f t="shared" si="42"/>
        <v>0</v>
      </c>
      <c r="AK72" s="50"/>
      <c r="AL72" s="50" t="s">
        <v>138</v>
      </c>
      <c r="AM72" s="50" t="str">
        <f>IF(B72="","",IF(K72="S1",K72,INDEX(#REF!,#REF!)))</f>
        <v/>
      </c>
      <c r="AN72" s="50" t="b">
        <f t="shared" si="43"/>
        <v>0</v>
      </c>
      <c r="AO72" s="49" t="str">
        <f t="shared" si="44"/>
        <v>K5-LAW</v>
      </c>
      <c r="AP72" s="72" t="str">
        <f>_xlfn.IFS(B72="","",AND(AO72="K5-LAW",AL72="นิติศาสตร์",K72="S2",Y72="",AE72=""),R72,AND(AO72="K5-LAW",AL72="นิติศาสตร์",K72="S1",Y72="",AE72=""),EDATE(R72,12),AND(AO72="K5-LAW",AL72="นิติศาสตร์",OR(K72="M2",K72="K4"),Y72="",AE72=""),EDATE(R72,12*2),AND(AO72="K5-LAW",AL72="นิติศาสตร์",OR(AE72="M2",AE72="K4"),AH72&gt;=2,OR(AG72&lt;AA72,AG72&lt;R72)),EDATE(AG72,12*2),AND(AO72="K5-LAW",AL72="นิติศาสตร์",AE72="S1",AH72&gt;=1,OR(AG72&lt;AA72,AG72&lt;R72)),EDATE(AG72,12),AND(AO72="K5-LAW",AL72="นิติศาสตร์",OR(Y72="M2",Y72="K4"),AB72&gt;=2,AA72&lt;R72),EDATE(AA72,12*2),AND(AO72="K5-LAW",AL72="นิติศาสตร์",Y72="S1",AB72&gt;=1,AA72&lt;R72),EDATE(AA72,12),AND(AO72="K5-LAW",AL72="นิติศาสตร์",OR(Y72="S2",Y72="K5")),AA72,AND(AO72="K5-LAW",AL72="นิติศาสตร์",OR(K72="M2",K72="K4"),U72&gt;=2),EDATE(R72,12*2),AND(AO72="K5-LAW",AL72="นิติศาสตร์",K72="S1",U72&gt;=1),EDATE(R72,12),AND(AO72="K5-LAW",AL72="นิติศาสตร์",OR(K72="S2",K72="K5")),R72,AND(AO72="K5-POLICY",AL72&lt;&gt;"นิติศาสตร์",K72="S2",Y72="",AE72=""),R72,AND(AO72="K5-POLICY",AL72&lt;&gt;"นิติศาสตร์",K72="S1",Y72="",AE72=""),EDATE(R72,12),AND(AO72="K5-POLICY",AL72&lt;&gt;"นิติศาสตร์",OR(K72="M2",K72="K4"),Y72="",AE72=""),EDATE(R72,12*2),AND(AO72="K5-POLICY",AL72&lt;&gt;"นิติศาสตร์",OR(AE72="M2",AE72="K4"),AH72&gt;=2,OR(AG72&lt;AA72,AG72&lt;R72)),EDATE(AG72,12*2),AND(AO72="K5-POLICY",AL72&lt;&gt;"นิติศาสตร์",AE72="S1",AH72&gt;=1,OR(AG72&lt;AA72,AG72&lt;R72)),EDATE(AG72,12),AND(AO72="K5-POLICY",AL72&lt;&gt;"นิติศาสตร์",OR(Y72="M2",Y72="K4"),AB72&gt;=2,AA72&lt;R72),EDATE(AA72,12*2),AND(AO72="K5-POLICY",AL72&lt;&gt;"นิติศาสตร์",Y72="S1",AB72&gt;=1,AA72&lt;R72),EDATE(AA72,12),AND(AO72="K5-POLICY",AL72&lt;&gt;"นิติศาสตร์",OR(Y72="S2",Y72="K5")),AA72,AND(AO72="K5-POLICY",AL72&lt;&gt;"นิติศาสตร์",OR(K72="M2",K72="K4"),U72&gt;=2),EDATE(R72,12*2),AND(AO72="K5-POLICY",AL72&lt;&gt;"นิติศาสตร์",K72="S1",U72&gt;=1),EDATE(R72,12),AND(AO72="K5-POLICY",AL72&lt;&gt;"นิติศาสตร์",OR(K72="S2",K72="K5")),R72,TRUE,"Check Data")</f>
        <v/>
      </c>
      <c r="AQ72" s="75" t="str">
        <f t="shared" si="45"/>
        <v>Check Data</v>
      </c>
      <c r="AR72" s="76" t="str">
        <f t="shared" si="46"/>
        <v>Check Data</v>
      </c>
      <c r="AS72" s="50" t="str">
        <f t="shared" si="47"/>
        <v>Check Data</v>
      </c>
      <c r="AT72" s="49" t="str">
        <f>IF(B72="","",IF(K72="S1","S1",INDEX(#REF!,#REF!)))</f>
        <v/>
      </c>
      <c r="AU72" s="49" t="str">
        <f t="shared" si="48"/>
        <v>M2</v>
      </c>
      <c r="AV72" s="50" t="b">
        <f t="shared" si="49"/>
        <v>0</v>
      </c>
      <c r="AW72" s="50"/>
    </row>
    <row r="73" spans="1:49" ht="21.75">
      <c r="A73" s="49">
        <v>71</v>
      </c>
      <c r="B73" s="50"/>
      <c r="C73" s="50"/>
      <c r="D73" s="50" t="s">
        <v>142</v>
      </c>
      <c r="E73" s="49" t="s">
        <v>428</v>
      </c>
      <c r="F73" s="49" t="str">
        <f t="shared" si="25"/>
        <v>13/12/1990</v>
      </c>
      <c r="G73" s="50">
        <f t="shared" si="26"/>
        <v>34</v>
      </c>
      <c r="H73" s="50">
        <f t="shared" si="27"/>
        <v>6</v>
      </c>
      <c r="I73" s="50">
        <f t="shared" si="28"/>
        <v>7</v>
      </c>
      <c r="J73" s="58"/>
      <c r="K73" s="49" t="s">
        <v>136</v>
      </c>
      <c r="L73" s="49" t="str">
        <f>IF(B73="","",IF(K73="S1",K73,INDEX(#REF!,#REF!)))</f>
        <v/>
      </c>
      <c r="M73" s="49" t="b">
        <f t="shared" si="29"/>
        <v>0</v>
      </c>
      <c r="N73" s="64"/>
      <c r="O73" s="49" t="s">
        <v>425</v>
      </c>
      <c r="P73" s="49">
        <v>2569</v>
      </c>
      <c r="Q73" s="65" t="s">
        <v>278</v>
      </c>
      <c r="R73" s="49" t="str">
        <f t="shared" si="30"/>
        <v>15/10/2020</v>
      </c>
      <c r="S73" s="49" t="str">
        <f>IF(B73="","",IF(K73="S1",K73,INDEX(#REF!,#REF!)))</f>
        <v/>
      </c>
      <c r="T73" s="49" t="b">
        <f t="shared" si="31"/>
        <v>0</v>
      </c>
      <c r="U73" s="68">
        <f t="shared" si="32"/>
        <v>4</v>
      </c>
      <c r="V73" s="68">
        <f t="shared" si="33"/>
        <v>8</v>
      </c>
      <c r="W73" s="68">
        <f t="shared" si="34"/>
        <v>5</v>
      </c>
      <c r="X73" s="68"/>
      <c r="Y73" s="65"/>
      <c r="Z73" s="65"/>
      <c r="AA73" s="49" t="str">
        <f t="shared" si="35"/>
        <v/>
      </c>
      <c r="AB73" s="68">
        <f t="shared" si="36"/>
        <v>0</v>
      </c>
      <c r="AC73" s="68">
        <f t="shared" si="37"/>
        <v>0</v>
      </c>
      <c r="AD73" s="68">
        <f t="shared" si="38"/>
        <v>0</v>
      </c>
      <c r="AE73" s="49"/>
      <c r="AF73" s="65"/>
      <c r="AG73" s="50" t="str">
        <f t="shared" si="39"/>
        <v/>
      </c>
      <c r="AH73" s="68">
        <f t="shared" si="40"/>
        <v>0</v>
      </c>
      <c r="AI73" s="68">
        <f t="shared" si="41"/>
        <v>0</v>
      </c>
      <c r="AJ73" s="68">
        <f t="shared" si="42"/>
        <v>0</v>
      </c>
      <c r="AK73" s="50"/>
      <c r="AL73" s="50" t="s">
        <v>165</v>
      </c>
      <c r="AM73" s="50" t="str">
        <f>IF(B73="","",IF(K73="S1",K73,INDEX(#REF!,#REF!)))</f>
        <v/>
      </c>
      <c r="AN73" s="50" t="b">
        <f t="shared" si="43"/>
        <v>0</v>
      </c>
      <c r="AO73" s="49" t="str">
        <f t="shared" si="44"/>
        <v>K5-POLICY</v>
      </c>
      <c r="AP73" s="72" t="str">
        <f>_xlfn.IFS(B73="","",AND(AO73="K5-LAW",AL73="นิติศาสตร์",K73="S2",Y73="",AE73=""),R73,AND(AO73="K5-LAW",AL73="นิติศาสตร์",K73="S1",Y73="",AE73=""),EDATE(R73,12),AND(AO73="K5-LAW",AL73="นิติศาสตร์",OR(K73="M2",K73="K4"),Y73="",AE73=""),EDATE(R73,12*2),AND(AO73="K5-LAW",AL73="นิติศาสตร์",OR(AE73="M2",AE73="K4"),AH73&gt;=2,OR(AG73&lt;AA73,AG73&lt;R73)),EDATE(AG73,12*2),AND(AO73="K5-LAW",AL73="นิติศาสตร์",AE73="S1",AH73&gt;=1,OR(AG73&lt;AA73,AG73&lt;R73)),EDATE(AG73,12),AND(AO73="K5-LAW",AL73="นิติศาสตร์",OR(Y73="M2",Y73="K4"),AB73&gt;=2,AA73&lt;R73),EDATE(AA73,12*2),AND(AO73="K5-LAW",AL73="นิติศาสตร์",Y73="S1",AB73&gt;=1,AA73&lt;R73),EDATE(AA73,12),AND(AO73="K5-LAW",AL73="นิติศาสตร์",OR(Y73="S2",Y73="K5")),AA73,AND(AO73="K5-LAW",AL73="นิติศาสตร์",OR(K73="M2",K73="K4"),U73&gt;=2),EDATE(R73,12*2),AND(AO73="K5-LAW",AL73="นิติศาสตร์",K73="S1",U73&gt;=1),EDATE(R73,12),AND(AO73="K5-LAW",AL73="นิติศาสตร์",OR(K73="S2",K73="K5")),R73,AND(AO73="K5-POLICY",AL73&lt;&gt;"นิติศาสตร์",K73="S2",Y73="",AE73=""),R73,AND(AO73="K5-POLICY",AL73&lt;&gt;"นิติศาสตร์",K73="S1",Y73="",AE73=""),EDATE(R73,12),AND(AO73="K5-POLICY",AL73&lt;&gt;"นิติศาสตร์",OR(K73="M2",K73="K4"),Y73="",AE73=""),EDATE(R73,12*2),AND(AO73="K5-POLICY",AL73&lt;&gt;"นิติศาสตร์",OR(AE73="M2",AE73="K4"),AH73&gt;=2,OR(AG73&lt;AA73,AG73&lt;R73)),EDATE(AG73,12*2),AND(AO73="K5-POLICY",AL73&lt;&gt;"นิติศาสตร์",AE73="S1",AH73&gt;=1,OR(AG73&lt;AA73,AG73&lt;R73)),EDATE(AG73,12),AND(AO73="K5-POLICY",AL73&lt;&gt;"นิติศาสตร์",OR(Y73="M2",Y73="K4"),AB73&gt;=2,AA73&lt;R73),EDATE(AA73,12*2),AND(AO73="K5-POLICY",AL73&lt;&gt;"นิติศาสตร์",Y73="S1",AB73&gt;=1,AA73&lt;R73),EDATE(AA73,12),AND(AO73="K5-POLICY",AL73&lt;&gt;"นิติศาสตร์",OR(Y73="S2",Y73="K5")),AA73,AND(AO73="K5-POLICY",AL73&lt;&gt;"นิติศาสตร์",OR(K73="M2",K73="K4"),U73&gt;=2),EDATE(R73,12*2),AND(AO73="K5-POLICY",AL73&lt;&gt;"นิติศาสตร์",K73="S1",U73&gt;=1),EDATE(R73,12),AND(AO73="K5-POLICY",AL73&lt;&gt;"นิติศาสตร์",OR(K73="S2",K73="K5")),R73,TRUE,"Check Data")</f>
        <v/>
      </c>
      <c r="AQ73" s="75" t="str">
        <f t="shared" si="45"/>
        <v>Check Data</v>
      </c>
      <c r="AR73" s="76" t="str">
        <f t="shared" si="46"/>
        <v>Check Data</v>
      </c>
      <c r="AS73" s="50" t="str">
        <f t="shared" si="47"/>
        <v>Check Data</v>
      </c>
      <c r="AT73" s="49" t="str">
        <f>IF(B73="","",IF(K73="S1","S1",INDEX(#REF!,#REF!)))</f>
        <v/>
      </c>
      <c r="AU73" s="49" t="str">
        <f t="shared" si="48"/>
        <v>M2</v>
      </c>
      <c r="AV73" s="50" t="b">
        <f t="shared" si="49"/>
        <v>0</v>
      </c>
      <c r="AW73" s="50"/>
    </row>
    <row r="74" spans="1:49" ht="21.75">
      <c r="A74" s="49">
        <v>72</v>
      </c>
      <c r="B74" s="50"/>
      <c r="C74" s="50"/>
      <c r="D74" s="50" t="s">
        <v>143</v>
      </c>
      <c r="E74" s="49" t="s">
        <v>307</v>
      </c>
      <c r="F74" s="49" t="str">
        <f t="shared" si="25"/>
        <v>05/03/1992</v>
      </c>
      <c r="G74" s="50">
        <f t="shared" si="26"/>
        <v>33</v>
      </c>
      <c r="H74" s="50">
        <f t="shared" si="27"/>
        <v>3</v>
      </c>
      <c r="I74" s="50">
        <f t="shared" si="28"/>
        <v>15</v>
      </c>
      <c r="J74" s="59"/>
      <c r="K74" s="49" t="s">
        <v>136</v>
      </c>
      <c r="L74" s="49" t="str">
        <f>IF(B74="","",IF(K74="S1",K74,INDEX(#REF!,#REF!)))</f>
        <v/>
      </c>
      <c r="M74" s="49" t="b">
        <f t="shared" si="29"/>
        <v>0</v>
      </c>
      <c r="N74" s="64"/>
      <c r="O74" s="49" t="s">
        <v>425</v>
      </c>
      <c r="P74" s="49">
        <v>2569</v>
      </c>
      <c r="Q74" s="65" t="s">
        <v>287</v>
      </c>
      <c r="R74" s="49" t="str">
        <f t="shared" si="30"/>
        <v>29/10/2020</v>
      </c>
      <c r="S74" s="49" t="str">
        <f>IF(B74="","",IF(K74="S1",K74,INDEX(#REF!,#REF!)))</f>
        <v/>
      </c>
      <c r="T74" s="49" t="b">
        <f t="shared" si="31"/>
        <v>0</v>
      </c>
      <c r="U74" s="68">
        <f t="shared" si="32"/>
        <v>4</v>
      </c>
      <c r="V74" s="68">
        <f t="shared" si="33"/>
        <v>7</v>
      </c>
      <c r="W74" s="68">
        <f t="shared" si="34"/>
        <v>22</v>
      </c>
      <c r="X74" s="68"/>
      <c r="Y74" s="65"/>
      <c r="Z74" s="65"/>
      <c r="AA74" s="49" t="str">
        <f t="shared" si="35"/>
        <v/>
      </c>
      <c r="AB74" s="68">
        <f t="shared" si="36"/>
        <v>0</v>
      </c>
      <c r="AC74" s="68">
        <f t="shared" si="37"/>
        <v>0</v>
      </c>
      <c r="AD74" s="68">
        <f t="shared" si="38"/>
        <v>0</v>
      </c>
      <c r="AE74" s="49"/>
      <c r="AF74" s="65"/>
      <c r="AG74" s="50" t="str">
        <f t="shared" si="39"/>
        <v/>
      </c>
      <c r="AH74" s="68">
        <f t="shared" si="40"/>
        <v>0</v>
      </c>
      <c r="AI74" s="68">
        <f t="shared" si="41"/>
        <v>0</v>
      </c>
      <c r="AJ74" s="68">
        <f t="shared" si="42"/>
        <v>0</v>
      </c>
      <c r="AK74" s="50"/>
      <c r="AL74" s="50" t="s">
        <v>486</v>
      </c>
      <c r="AM74" s="50" t="str">
        <f>IF(B74="","",IF(K74="S1",K74,INDEX(#REF!,#REF!)))</f>
        <v/>
      </c>
      <c r="AN74" s="50" t="b">
        <f t="shared" si="43"/>
        <v>0</v>
      </c>
      <c r="AO74" s="49" t="str">
        <f t="shared" si="44"/>
        <v>K5-POLICY</v>
      </c>
      <c r="AP74" s="72" t="str">
        <f>_xlfn.IFS(B74="","",AND(AO74="K5-LAW",AL74="นิติศาสตร์",K74="S2",Y74="",AE74=""),R74,AND(AO74="K5-LAW",AL74="นิติศาสตร์",K74="S1",Y74="",AE74=""),EDATE(R74,12),AND(AO74="K5-LAW",AL74="นิติศาสตร์",OR(K74="M2",K74="K4"),Y74="",AE74=""),EDATE(R74,12*2),AND(AO74="K5-LAW",AL74="นิติศาสตร์",OR(AE74="M2",AE74="K4"),AH74&gt;=2,OR(AG74&lt;AA74,AG74&lt;R74)),EDATE(AG74,12*2),AND(AO74="K5-LAW",AL74="นิติศาสตร์",AE74="S1",AH74&gt;=1,OR(AG74&lt;AA74,AG74&lt;R74)),EDATE(AG74,12),AND(AO74="K5-LAW",AL74="นิติศาสตร์",OR(Y74="M2",Y74="K4"),AB74&gt;=2,AA74&lt;R74),EDATE(AA74,12*2),AND(AO74="K5-LAW",AL74="นิติศาสตร์",Y74="S1",AB74&gt;=1,AA74&lt;R74),EDATE(AA74,12),AND(AO74="K5-LAW",AL74="นิติศาสตร์",OR(Y74="S2",Y74="K5")),AA74,AND(AO74="K5-LAW",AL74="นิติศาสตร์",OR(K74="M2",K74="K4"),U74&gt;=2),EDATE(R74,12*2),AND(AO74="K5-LAW",AL74="นิติศาสตร์",K74="S1",U74&gt;=1),EDATE(R74,12),AND(AO74="K5-LAW",AL74="นิติศาสตร์",OR(K74="S2",K74="K5")),R74,AND(AO74="K5-POLICY",AL74&lt;&gt;"นิติศาสตร์",K74="S2",Y74="",AE74=""),R74,AND(AO74="K5-POLICY",AL74&lt;&gt;"นิติศาสตร์",K74="S1",Y74="",AE74=""),EDATE(R74,12),AND(AO74="K5-POLICY",AL74&lt;&gt;"นิติศาสตร์",OR(K74="M2",K74="K4"),Y74="",AE74=""),EDATE(R74,12*2),AND(AO74="K5-POLICY",AL74&lt;&gt;"นิติศาสตร์",OR(AE74="M2",AE74="K4"),AH74&gt;=2,OR(AG74&lt;AA74,AG74&lt;R74)),EDATE(AG74,12*2),AND(AO74="K5-POLICY",AL74&lt;&gt;"นิติศาสตร์",AE74="S1",AH74&gt;=1,OR(AG74&lt;AA74,AG74&lt;R74)),EDATE(AG74,12),AND(AO74="K5-POLICY",AL74&lt;&gt;"นิติศาสตร์",OR(Y74="M2",Y74="K4"),AB74&gt;=2,AA74&lt;R74),EDATE(AA74,12*2),AND(AO74="K5-POLICY",AL74&lt;&gt;"นิติศาสตร์",Y74="S1",AB74&gt;=1,AA74&lt;R74),EDATE(AA74,12),AND(AO74="K5-POLICY",AL74&lt;&gt;"นิติศาสตร์",OR(Y74="S2",Y74="K5")),AA74,AND(AO74="K5-POLICY",AL74&lt;&gt;"นิติศาสตร์",OR(K74="M2",K74="K4"),U74&gt;=2),EDATE(R74,12*2),AND(AO74="K5-POLICY",AL74&lt;&gt;"นิติศาสตร์",K74="S1",U74&gt;=1),EDATE(R74,12),AND(AO74="K5-POLICY",AL74&lt;&gt;"นิติศาสตร์",OR(K74="S2",K74="K5")),R74,TRUE,"Check Data")</f>
        <v/>
      </c>
      <c r="AQ74" s="75" t="str">
        <f t="shared" si="45"/>
        <v>Check Data</v>
      </c>
      <c r="AR74" s="76" t="str">
        <f t="shared" si="46"/>
        <v>Check Data</v>
      </c>
      <c r="AS74" s="50" t="str">
        <f t="shared" si="47"/>
        <v>Check Data</v>
      </c>
      <c r="AT74" s="49" t="str">
        <f>IF(B74="","",IF(K74="S1","S1",INDEX(#REF!,#REF!)))</f>
        <v/>
      </c>
      <c r="AU74" s="49" t="str">
        <f t="shared" si="48"/>
        <v>M2</v>
      </c>
      <c r="AV74" s="50" t="b">
        <f t="shared" si="49"/>
        <v>0</v>
      </c>
      <c r="AW74" s="50"/>
    </row>
    <row r="75" spans="1:49" ht="21.75">
      <c r="A75" s="49">
        <v>73</v>
      </c>
      <c r="B75" s="50"/>
      <c r="C75" s="50"/>
      <c r="D75" s="50" t="s">
        <v>143</v>
      </c>
      <c r="E75" s="49" t="s">
        <v>359</v>
      </c>
      <c r="F75" s="49" t="str">
        <f t="shared" si="25"/>
        <v>06/01/1992</v>
      </c>
      <c r="G75" s="50">
        <f t="shared" si="26"/>
        <v>33</v>
      </c>
      <c r="H75" s="50">
        <f t="shared" si="27"/>
        <v>5</v>
      </c>
      <c r="I75" s="50">
        <f t="shared" si="28"/>
        <v>14</v>
      </c>
      <c r="J75" s="58"/>
      <c r="K75" s="49" t="s">
        <v>136</v>
      </c>
      <c r="L75" s="49" t="str">
        <f>IF(B75="","",IF(K75="S1",K75,INDEX(#REF!,#REF!)))</f>
        <v/>
      </c>
      <c r="M75" s="49" t="b">
        <f t="shared" si="29"/>
        <v>0</v>
      </c>
      <c r="N75" s="64"/>
      <c r="O75" s="49" t="s">
        <v>427</v>
      </c>
      <c r="P75" s="49">
        <v>2571</v>
      </c>
      <c r="Q75" s="65" t="s">
        <v>287</v>
      </c>
      <c r="R75" s="49" t="str">
        <f t="shared" si="30"/>
        <v>29/10/2020</v>
      </c>
      <c r="S75" s="49" t="str">
        <f>IF(B75="","",IF(K75="S1",K75,INDEX(#REF!,#REF!)))</f>
        <v/>
      </c>
      <c r="T75" s="49" t="b">
        <f t="shared" si="31"/>
        <v>0</v>
      </c>
      <c r="U75" s="68">
        <f t="shared" si="32"/>
        <v>4</v>
      </c>
      <c r="V75" s="68">
        <f t="shared" si="33"/>
        <v>7</v>
      </c>
      <c r="W75" s="68">
        <f t="shared" si="34"/>
        <v>22</v>
      </c>
      <c r="X75" s="68"/>
      <c r="Y75" s="65"/>
      <c r="Z75" s="65"/>
      <c r="AA75" s="49" t="str">
        <f t="shared" si="35"/>
        <v/>
      </c>
      <c r="AB75" s="68">
        <f t="shared" si="36"/>
        <v>0</v>
      </c>
      <c r="AC75" s="68">
        <f t="shared" si="37"/>
        <v>0</v>
      </c>
      <c r="AD75" s="68">
        <f t="shared" si="38"/>
        <v>0</v>
      </c>
      <c r="AE75" s="49"/>
      <c r="AF75" s="65"/>
      <c r="AG75" s="50" t="str">
        <f t="shared" si="39"/>
        <v/>
      </c>
      <c r="AH75" s="68">
        <f t="shared" si="40"/>
        <v>0</v>
      </c>
      <c r="AI75" s="68">
        <f t="shared" si="41"/>
        <v>0</v>
      </c>
      <c r="AJ75" s="68">
        <f t="shared" si="42"/>
        <v>0</v>
      </c>
      <c r="AK75" s="50"/>
      <c r="AL75" s="50" t="s">
        <v>172</v>
      </c>
      <c r="AM75" s="50" t="str">
        <f>IF(B75="","",IF(K75="S1",K75,INDEX(#REF!,#REF!)))</f>
        <v/>
      </c>
      <c r="AN75" s="50" t="b">
        <f t="shared" si="43"/>
        <v>0</v>
      </c>
      <c r="AO75" s="49" t="str">
        <f t="shared" si="44"/>
        <v>K5-POLICY</v>
      </c>
      <c r="AP75" s="72" t="str">
        <f>_xlfn.IFS(B75="","",AND(AO75="K5-LAW",AL75="นิติศาสตร์",K75="S2",Y75="",AE75=""),R75,AND(AO75="K5-LAW",AL75="นิติศาสตร์",K75="S1",Y75="",AE75=""),EDATE(R75,12),AND(AO75="K5-LAW",AL75="นิติศาสตร์",OR(K75="M2",K75="K4"),Y75="",AE75=""),EDATE(R75,12*2),AND(AO75="K5-LAW",AL75="นิติศาสตร์",OR(AE75="M2",AE75="K4"),AH75&gt;=2,OR(AG75&lt;AA75,AG75&lt;R75)),EDATE(AG75,12*2),AND(AO75="K5-LAW",AL75="นิติศาสตร์",AE75="S1",AH75&gt;=1,OR(AG75&lt;AA75,AG75&lt;R75)),EDATE(AG75,12),AND(AO75="K5-LAW",AL75="นิติศาสตร์",OR(Y75="M2",Y75="K4"),AB75&gt;=2,AA75&lt;R75),EDATE(AA75,12*2),AND(AO75="K5-LAW",AL75="นิติศาสตร์",Y75="S1",AB75&gt;=1,AA75&lt;R75),EDATE(AA75,12),AND(AO75="K5-LAW",AL75="นิติศาสตร์",OR(Y75="S2",Y75="K5")),AA75,AND(AO75="K5-LAW",AL75="นิติศาสตร์",OR(K75="M2",K75="K4"),U75&gt;=2),EDATE(R75,12*2),AND(AO75="K5-LAW",AL75="นิติศาสตร์",K75="S1",U75&gt;=1),EDATE(R75,12),AND(AO75="K5-LAW",AL75="นิติศาสตร์",OR(K75="S2",K75="K5")),R75,AND(AO75="K5-POLICY",AL75&lt;&gt;"นิติศาสตร์",K75="S2",Y75="",AE75=""),R75,AND(AO75="K5-POLICY",AL75&lt;&gt;"นิติศาสตร์",K75="S1",Y75="",AE75=""),EDATE(R75,12),AND(AO75="K5-POLICY",AL75&lt;&gt;"นิติศาสตร์",OR(K75="M2",K75="K4"),Y75="",AE75=""),EDATE(R75,12*2),AND(AO75="K5-POLICY",AL75&lt;&gt;"นิติศาสตร์",OR(AE75="M2",AE75="K4"),AH75&gt;=2,OR(AG75&lt;AA75,AG75&lt;R75)),EDATE(AG75,12*2),AND(AO75="K5-POLICY",AL75&lt;&gt;"นิติศาสตร์",AE75="S1",AH75&gt;=1,OR(AG75&lt;AA75,AG75&lt;R75)),EDATE(AG75,12),AND(AO75="K5-POLICY",AL75&lt;&gt;"นิติศาสตร์",OR(Y75="M2",Y75="K4"),AB75&gt;=2,AA75&lt;R75),EDATE(AA75,12*2),AND(AO75="K5-POLICY",AL75&lt;&gt;"นิติศาสตร์",Y75="S1",AB75&gt;=1,AA75&lt;R75),EDATE(AA75,12),AND(AO75="K5-POLICY",AL75&lt;&gt;"นิติศาสตร์",OR(Y75="S2",Y75="K5")),AA75,AND(AO75="K5-POLICY",AL75&lt;&gt;"นิติศาสตร์",OR(K75="M2",K75="K4"),U75&gt;=2),EDATE(R75,12*2),AND(AO75="K5-POLICY",AL75&lt;&gt;"นิติศาสตร์",K75="S1",U75&gt;=1),EDATE(R75,12),AND(AO75="K5-POLICY",AL75&lt;&gt;"นิติศาสตร์",OR(K75="S2",K75="K5")),R75,TRUE,"Check Data")</f>
        <v/>
      </c>
      <c r="AQ75" s="75" t="str">
        <f t="shared" si="45"/>
        <v>Check Data</v>
      </c>
      <c r="AR75" s="76" t="str">
        <f t="shared" si="46"/>
        <v>Check Data</v>
      </c>
      <c r="AS75" s="50" t="str">
        <f t="shared" si="47"/>
        <v>Check Data</v>
      </c>
      <c r="AT75" s="49" t="str">
        <f>IF(B75="","",IF(K75="S1","S1",INDEX(#REF!,#REF!)))</f>
        <v/>
      </c>
      <c r="AU75" s="49" t="str">
        <f t="shared" si="48"/>
        <v>M2</v>
      </c>
      <c r="AV75" s="50" t="b">
        <f t="shared" si="49"/>
        <v>0</v>
      </c>
      <c r="AW75" s="50"/>
    </row>
    <row r="76" spans="1:49" ht="21.75">
      <c r="A76" s="49">
        <v>74</v>
      </c>
      <c r="B76" s="50"/>
      <c r="C76" s="50"/>
      <c r="D76" s="50" t="s">
        <v>143</v>
      </c>
      <c r="E76" s="49" t="s">
        <v>300</v>
      </c>
      <c r="F76" s="49" t="str">
        <f t="shared" si="25"/>
        <v>22/11/1993</v>
      </c>
      <c r="G76" s="50">
        <f t="shared" si="26"/>
        <v>31</v>
      </c>
      <c r="H76" s="50">
        <f t="shared" si="27"/>
        <v>6</v>
      </c>
      <c r="I76" s="50">
        <f t="shared" si="28"/>
        <v>29</v>
      </c>
      <c r="J76" s="59"/>
      <c r="K76" s="49" t="s">
        <v>136</v>
      </c>
      <c r="L76" s="49" t="str">
        <f>IF(B76="","",IF(K76="S1",K76,INDEX(#REF!,#REF!)))</f>
        <v/>
      </c>
      <c r="M76" s="49" t="b">
        <f t="shared" si="29"/>
        <v>0</v>
      </c>
      <c r="N76" s="64"/>
      <c r="O76" s="49" t="s">
        <v>425</v>
      </c>
      <c r="P76" s="49">
        <v>2568</v>
      </c>
      <c r="Q76" s="65" t="s">
        <v>287</v>
      </c>
      <c r="R76" s="49" t="str">
        <f t="shared" si="30"/>
        <v>29/10/2020</v>
      </c>
      <c r="S76" s="49" t="str">
        <f>IF(B76="","",IF(K76="S1",K76,INDEX(#REF!,#REF!)))</f>
        <v/>
      </c>
      <c r="T76" s="49" t="b">
        <f t="shared" si="31"/>
        <v>0</v>
      </c>
      <c r="U76" s="68">
        <f t="shared" si="32"/>
        <v>4</v>
      </c>
      <c r="V76" s="68">
        <f t="shared" si="33"/>
        <v>7</v>
      </c>
      <c r="W76" s="68">
        <f t="shared" si="34"/>
        <v>22</v>
      </c>
      <c r="X76" s="68"/>
      <c r="Y76" s="65"/>
      <c r="Z76" s="65"/>
      <c r="AA76" s="49" t="str">
        <f t="shared" si="35"/>
        <v/>
      </c>
      <c r="AB76" s="68">
        <f t="shared" si="36"/>
        <v>0</v>
      </c>
      <c r="AC76" s="68">
        <f t="shared" si="37"/>
        <v>0</v>
      </c>
      <c r="AD76" s="68">
        <f t="shared" si="38"/>
        <v>0</v>
      </c>
      <c r="AE76" s="49"/>
      <c r="AF76" s="65"/>
      <c r="AG76" s="50" t="str">
        <f t="shared" si="39"/>
        <v/>
      </c>
      <c r="AH76" s="68">
        <f t="shared" si="40"/>
        <v>0</v>
      </c>
      <c r="AI76" s="68">
        <f t="shared" si="41"/>
        <v>0</v>
      </c>
      <c r="AJ76" s="68">
        <f t="shared" si="42"/>
        <v>0</v>
      </c>
      <c r="AK76" s="50"/>
      <c r="AL76" s="50" t="s">
        <v>486</v>
      </c>
      <c r="AM76" s="50" t="str">
        <f>IF(B76="","",IF(K76="S1",K76,INDEX(#REF!,#REF!)))</f>
        <v/>
      </c>
      <c r="AN76" s="50" t="b">
        <f t="shared" si="43"/>
        <v>0</v>
      </c>
      <c r="AO76" s="49" t="str">
        <f t="shared" si="44"/>
        <v>K5-POLICY</v>
      </c>
      <c r="AP76" s="72" t="str">
        <f>_xlfn.IFS(B76="","",AND(AO76="K5-LAW",AL76="นิติศาสตร์",K76="S2",Y76="",AE76=""),R76,AND(AO76="K5-LAW",AL76="นิติศาสตร์",K76="S1",Y76="",AE76=""),EDATE(R76,12),AND(AO76="K5-LAW",AL76="นิติศาสตร์",OR(K76="M2",K76="K4"),Y76="",AE76=""),EDATE(R76,12*2),AND(AO76="K5-LAW",AL76="นิติศาสตร์",OR(AE76="M2",AE76="K4"),AH76&gt;=2,OR(AG76&lt;AA76,AG76&lt;R76)),EDATE(AG76,12*2),AND(AO76="K5-LAW",AL76="นิติศาสตร์",AE76="S1",AH76&gt;=1,OR(AG76&lt;AA76,AG76&lt;R76)),EDATE(AG76,12),AND(AO76="K5-LAW",AL76="นิติศาสตร์",OR(Y76="M2",Y76="K4"),AB76&gt;=2,AA76&lt;R76),EDATE(AA76,12*2),AND(AO76="K5-LAW",AL76="นิติศาสตร์",Y76="S1",AB76&gt;=1,AA76&lt;R76),EDATE(AA76,12),AND(AO76="K5-LAW",AL76="นิติศาสตร์",OR(Y76="S2",Y76="K5")),AA76,AND(AO76="K5-LAW",AL76="นิติศาสตร์",OR(K76="M2",K76="K4"),U76&gt;=2),EDATE(R76,12*2),AND(AO76="K5-LAW",AL76="นิติศาสตร์",K76="S1",U76&gt;=1),EDATE(R76,12),AND(AO76="K5-LAW",AL76="นิติศาสตร์",OR(K76="S2",K76="K5")),R76,AND(AO76="K5-POLICY",AL76&lt;&gt;"นิติศาสตร์",K76="S2",Y76="",AE76=""),R76,AND(AO76="K5-POLICY",AL76&lt;&gt;"นิติศาสตร์",K76="S1",Y76="",AE76=""),EDATE(R76,12),AND(AO76="K5-POLICY",AL76&lt;&gt;"นิติศาสตร์",OR(K76="M2",K76="K4"),Y76="",AE76=""),EDATE(R76,12*2),AND(AO76="K5-POLICY",AL76&lt;&gt;"นิติศาสตร์",OR(AE76="M2",AE76="K4"),AH76&gt;=2,OR(AG76&lt;AA76,AG76&lt;R76)),EDATE(AG76,12*2),AND(AO76="K5-POLICY",AL76&lt;&gt;"นิติศาสตร์",AE76="S1",AH76&gt;=1,OR(AG76&lt;AA76,AG76&lt;R76)),EDATE(AG76,12),AND(AO76="K5-POLICY",AL76&lt;&gt;"นิติศาสตร์",OR(Y76="M2",Y76="K4"),AB76&gt;=2,AA76&lt;R76),EDATE(AA76,12*2),AND(AO76="K5-POLICY",AL76&lt;&gt;"นิติศาสตร์",Y76="S1",AB76&gt;=1,AA76&lt;R76),EDATE(AA76,12),AND(AO76="K5-POLICY",AL76&lt;&gt;"นิติศาสตร์",OR(Y76="S2",Y76="K5")),AA76,AND(AO76="K5-POLICY",AL76&lt;&gt;"นิติศาสตร์",OR(K76="M2",K76="K4"),U76&gt;=2),EDATE(R76,12*2),AND(AO76="K5-POLICY",AL76&lt;&gt;"นิติศาสตร์",K76="S1",U76&gt;=1),EDATE(R76,12),AND(AO76="K5-POLICY",AL76&lt;&gt;"นิติศาสตร์",OR(K76="S2",K76="K5")),R76,TRUE,"Check Data")</f>
        <v/>
      </c>
      <c r="AQ76" s="75" t="str">
        <f t="shared" si="45"/>
        <v>Check Data</v>
      </c>
      <c r="AR76" s="76" t="str">
        <f t="shared" si="46"/>
        <v>Check Data</v>
      </c>
      <c r="AS76" s="50" t="str">
        <f t="shared" si="47"/>
        <v>Check Data</v>
      </c>
      <c r="AT76" s="49" t="str">
        <f>IF(B76="","",IF(K76="S1","S1",INDEX(#REF!,#REF!)))</f>
        <v/>
      </c>
      <c r="AU76" s="49" t="str">
        <f t="shared" si="48"/>
        <v>M2</v>
      </c>
      <c r="AV76" s="50" t="b">
        <f t="shared" si="49"/>
        <v>0</v>
      </c>
      <c r="AW76" s="50"/>
    </row>
    <row r="77" spans="1:49" ht="21.75">
      <c r="A77" s="49">
        <v>75</v>
      </c>
      <c r="B77" s="50"/>
      <c r="C77" s="50"/>
      <c r="D77" s="50" t="s">
        <v>143</v>
      </c>
      <c r="E77" s="49" t="s">
        <v>358</v>
      </c>
      <c r="F77" s="49" t="str">
        <f t="shared" si="25"/>
        <v>16/01/1991</v>
      </c>
      <c r="G77" s="50">
        <f t="shared" si="26"/>
        <v>34</v>
      </c>
      <c r="H77" s="50">
        <f t="shared" si="27"/>
        <v>5</v>
      </c>
      <c r="I77" s="50">
        <f t="shared" si="28"/>
        <v>4</v>
      </c>
      <c r="J77" s="59"/>
      <c r="K77" s="49" t="s">
        <v>136</v>
      </c>
      <c r="L77" s="49" t="str">
        <f>IF(B77="","",IF(K77="S1",K77,INDEX(#REF!,#REF!)))</f>
        <v/>
      </c>
      <c r="M77" s="49" t="b">
        <f t="shared" si="29"/>
        <v>0</v>
      </c>
      <c r="N77" s="64"/>
      <c r="O77" s="49" t="s">
        <v>425</v>
      </c>
      <c r="P77" s="49">
        <v>2569</v>
      </c>
      <c r="Q77" s="65" t="s">
        <v>287</v>
      </c>
      <c r="R77" s="49" t="str">
        <f t="shared" si="30"/>
        <v>29/10/2020</v>
      </c>
      <c r="S77" s="49" t="str">
        <f>IF(B77="","",IF(K77="S1",K77,INDEX(#REF!,#REF!)))</f>
        <v/>
      </c>
      <c r="T77" s="49" t="b">
        <f t="shared" si="31"/>
        <v>0</v>
      </c>
      <c r="U77" s="68">
        <f t="shared" si="32"/>
        <v>4</v>
      </c>
      <c r="V77" s="68">
        <f t="shared" si="33"/>
        <v>7</v>
      </c>
      <c r="W77" s="68">
        <f t="shared" si="34"/>
        <v>22</v>
      </c>
      <c r="X77" s="68"/>
      <c r="Y77" s="65"/>
      <c r="Z77" s="65"/>
      <c r="AA77" s="49" t="str">
        <f t="shared" si="35"/>
        <v/>
      </c>
      <c r="AB77" s="68">
        <f t="shared" si="36"/>
        <v>0</v>
      </c>
      <c r="AC77" s="68">
        <f t="shared" si="37"/>
        <v>0</v>
      </c>
      <c r="AD77" s="68">
        <f t="shared" si="38"/>
        <v>0</v>
      </c>
      <c r="AE77" s="49"/>
      <c r="AF77" s="65"/>
      <c r="AG77" s="50" t="str">
        <f t="shared" si="39"/>
        <v/>
      </c>
      <c r="AH77" s="68">
        <f t="shared" si="40"/>
        <v>0</v>
      </c>
      <c r="AI77" s="68">
        <f t="shared" si="41"/>
        <v>0</v>
      </c>
      <c r="AJ77" s="68">
        <f t="shared" si="42"/>
        <v>0</v>
      </c>
      <c r="AK77" s="50"/>
      <c r="AL77" s="50" t="s">
        <v>167</v>
      </c>
      <c r="AM77" s="50" t="str">
        <f>IF(B77="","",IF(K77="S1",K77,INDEX(#REF!,#REF!)))</f>
        <v/>
      </c>
      <c r="AN77" s="50" t="b">
        <f t="shared" si="43"/>
        <v>0</v>
      </c>
      <c r="AO77" s="49" t="str">
        <f t="shared" si="44"/>
        <v>K5-POLICY</v>
      </c>
      <c r="AP77" s="72" t="str">
        <f>_xlfn.IFS(B77="","",AND(AO77="K5-LAW",AL77="นิติศาสตร์",K77="S2",Y77="",AE77=""),R77,AND(AO77="K5-LAW",AL77="นิติศาสตร์",K77="S1",Y77="",AE77=""),EDATE(R77,12),AND(AO77="K5-LAW",AL77="นิติศาสตร์",OR(K77="M2",K77="K4"),Y77="",AE77=""),EDATE(R77,12*2),AND(AO77="K5-LAW",AL77="นิติศาสตร์",OR(AE77="M2",AE77="K4"),AH77&gt;=2,OR(AG77&lt;AA77,AG77&lt;R77)),EDATE(AG77,12*2),AND(AO77="K5-LAW",AL77="นิติศาสตร์",AE77="S1",AH77&gt;=1,OR(AG77&lt;AA77,AG77&lt;R77)),EDATE(AG77,12),AND(AO77="K5-LAW",AL77="นิติศาสตร์",OR(Y77="M2",Y77="K4"),AB77&gt;=2,AA77&lt;R77),EDATE(AA77,12*2),AND(AO77="K5-LAW",AL77="นิติศาสตร์",Y77="S1",AB77&gt;=1,AA77&lt;R77),EDATE(AA77,12),AND(AO77="K5-LAW",AL77="นิติศาสตร์",OR(Y77="S2",Y77="K5")),AA77,AND(AO77="K5-LAW",AL77="นิติศาสตร์",OR(K77="M2",K77="K4"),U77&gt;=2),EDATE(R77,12*2),AND(AO77="K5-LAW",AL77="นิติศาสตร์",K77="S1",U77&gt;=1),EDATE(R77,12),AND(AO77="K5-LAW",AL77="นิติศาสตร์",OR(K77="S2",K77="K5")),R77,AND(AO77="K5-POLICY",AL77&lt;&gt;"นิติศาสตร์",K77="S2",Y77="",AE77=""),R77,AND(AO77="K5-POLICY",AL77&lt;&gt;"นิติศาสตร์",K77="S1",Y77="",AE77=""),EDATE(R77,12),AND(AO77="K5-POLICY",AL77&lt;&gt;"นิติศาสตร์",OR(K77="M2",K77="K4"),Y77="",AE77=""),EDATE(R77,12*2),AND(AO77="K5-POLICY",AL77&lt;&gt;"นิติศาสตร์",OR(AE77="M2",AE77="K4"),AH77&gt;=2,OR(AG77&lt;AA77,AG77&lt;R77)),EDATE(AG77,12*2),AND(AO77="K5-POLICY",AL77&lt;&gt;"นิติศาสตร์",AE77="S1",AH77&gt;=1,OR(AG77&lt;AA77,AG77&lt;R77)),EDATE(AG77,12),AND(AO77="K5-POLICY",AL77&lt;&gt;"นิติศาสตร์",OR(Y77="M2",Y77="K4"),AB77&gt;=2,AA77&lt;R77),EDATE(AA77,12*2),AND(AO77="K5-POLICY",AL77&lt;&gt;"นิติศาสตร์",Y77="S1",AB77&gt;=1,AA77&lt;R77),EDATE(AA77,12),AND(AO77="K5-POLICY",AL77&lt;&gt;"นิติศาสตร์",OR(Y77="S2",Y77="K5")),AA77,AND(AO77="K5-POLICY",AL77&lt;&gt;"นิติศาสตร์",OR(K77="M2",K77="K4"),U77&gt;=2),EDATE(R77,12*2),AND(AO77="K5-POLICY",AL77&lt;&gt;"นิติศาสตร์",K77="S1",U77&gt;=1),EDATE(R77,12),AND(AO77="K5-POLICY",AL77&lt;&gt;"นิติศาสตร์",OR(K77="S2",K77="K5")),R77,TRUE,"Check Data")</f>
        <v/>
      </c>
      <c r="AQ77" s="75" t="str">
        <f t="shared" si="45"/>
        <v>Check Data</v>
      </c>
      <c r="AR77" s="76" t="str">
        <f t="shared" si="46"/>
        <v>Check Data</v>
      </c>
      <c r="AS77" s="50" t="str">
        <f t="shared" si="47"/>
        <v>Check Data</v>
      </c>
      <c r="AT77" s="49" t="str">
        <f>IF(B77="","",IF(K77="S1","S1",INDEX(#REF!,#REF!)))</f>
        <v/>
      </c>
      <c r="AU77" s="49" t="str">
        <f t="shared" si="48"/>
        <v>M2</v>
      </c>
      <c r="AV77" s="50" t="b">
        <f t="shared" si="49"/>
        <v>0</v>
      </c>
      <c r="AW77" s="50"/>
    </row>
    <row r="78" spans="1:49" ht="21.75">
      <c r="A78" s="49">
        <v>76</v>
      </c>
      <c r="B78" s="50"/>
      <c r="C78" s="50"/>
      <c r="D78" s="50" t="s">
        <v>143</v>
      </c>
      <c r="E78" s="49" t="s">
        <v>170</v>
      </c>
      <c r="F78" s="49" t="str">
        <f t="shared" si="25"/>
        <v>15/03/1991</v>
      </c>
      <c r="G78" s="50">
        <f t="shared" si="26"/>
        <v>34</v>
      </c>
      <c r="H78" s="50">
        <f t="shared" si="27"/>
        <v>3</v>
      </c>
      <c r="I78" s="50">
        <f t="shared" si="28"/>
        <v>5</v>
      </c>
      <c r="J78" s="59"/>
      <c r="K78" s="49" t="s">
        <v>136</v>
      </c>
      <c r="L78" s="49" t="str">
        <f>IF(B78="","",IF(K78="S1",K78,INDEX(#REF!,#REF!)))</f>
        <v/>
      </c>
      <c r="M78" s="49" t="b">
        <f t="shared" si="29"/>
        <v>0</v>
      </c>
      <c r="N78" s="64"/>
      <c r="O78" s="49" t="s">
        <v>427</v>
      </c>
      <c r="P78" s="49">
        <v>2571</v>
      </c>
      <c r="Q78" s="65" t="s">
        <v>287</v>
      </c>
      <c r="R78" s="49" t="str">
        <f t="shared" si="30"/>
        <v>29/10/2020</v>
      </c>
      <c r="S78" s="49" t="str">
        <f>IF(B78="","",IF(K78="S1",K78,INDEX(#REF!,#REF!)))</f>
        <v/>
      </c>
      <c r="T78" s="49" t="b">
        <f t="shared" si="31"/>
        <v>0</v>
      </c>
      <c r="U78" s="68">
        <f t="shared" si="32"/>
        <v>4</v>
      </c>
      <c r="V78" s="68">
        <f t="shared" si="33"/>
        <v>7</v>
      </c>
      <c r="W78" s="68">
        <f t="shared" si="34"/>
        <v>22</v>
      </c>
      <c r="X78" s="68"/>
      <c r="Y78" s="65"/>
      <c r="Z78" s="65"/>
      <c r="AA78" s="49" t="str">
        <f t="shared" si="35"/>
        <v/>
      </c>
      <c r="AB78" s="68">
        <f t="shared" si="36"/>
        <v>0</v>
      </c>
      <c r="AC78" s="68">
        <f t="shared" si="37"/>
        <v>0</v>
      </c>
      <c r="AD78" s="68">
        <f t="shared" si="38"/>
        <v>0</v>
      </c>
      <c r="AE78" s="49"/>
      <c r="AF78" s="65"/>
      <c r="AG78" s="50" t="str">
        <f t="shared" si="39"/>
        <v/>
      </c>
      <c r="AH78" s="68">
        <f t="shared" si="40"/>
        <v>0</v>
      </c>
      <c r="AI78" s="68">
        <f t="shared" si="41"/>
        <v>0</v>
      </c>
      <c r="AJ78" s="68">
        <f t="shared" si="42"/>
        <v>0</v>
      </c>
      <c r="AK78" s="50"/>
      <c r="AL78" s="50" t="s">
        <v>512</v>
      </c>
      <c r="AM78" s="50" t="str">
        <f>IF(B78="","",IF(K78="S1",K78,INDEX(#REF!,#REF!)))</f>
        <v/>
      </c>
      <c r="AN78" s="50" t="b">
        <f t="shared" si="43"/>
        <v>0</v>
      </c>
      <c r="AO78" s="49" t="str">
        <f t="shared" si="44"/>
        <v>K5-POLICY</v>
      </c>
      <c r="AP78" s="72" t="str">
        <f>_xlfn.IFS(B78="","",AND(AO78="K5-LAW",AL78="นิติศาสตร์",K78="S2",Y78="",AE78=""),R78,AND(AO78="K5-LAW",AL78="นิติศาสตร์",K78="S1",Y78="",AE78=""),EDATE(R78,12),AND(AO78="K5-LAW",AL78="นิติศาสตร์",OR(K78="M2",K78="K4"),Y78="",AE78=""),EDATE(R78,12*2),AND(AO78="K5-LAW",AL78="นิติศาสตร์",OR(AE78="M2",AE78="K4"),AH78&gt;=2,OR(AG78&lt;AA78,AG78&lt;R78)),EDATE(AG78,12*2),AND(AO78="K5-LAW",AL78="นิติศาสตร์",AE78="S1",AH78&gt;=1,OR(AG78&lt;AA78,AG78&lt;R78)),EDATE(AG78,12),AND(AO78="K5-LAW",AL78="นิติศาสตร์",OR(Y78="M2",Y78="K4"),AB78&gt;=2,AA78&lt;R78),EDATE(AA78,12*2),AND(AO78="K5-LAW",AL78="นิติศาสตร์",Y78="S1",AB78&gt;=1,AA78&lt;R78),EDATE(AA78,12),AND(AO78="K5-LAW",AL78="นิติศาสตร์",OR(Y78="S2",Y78="K5")),AA78,AND(AO78="K5-LAW",AL78="นิติศาสตร์",OR(K78="M2",K78="K4"),U78&gt;=2),EDATE(R78,12*2),AND(AO78="K5-LAW",AL78="นิติศาสตร์",K78="S1",U78&gt;=1),EDATE(R78,12),AND(AO78="K5-LAW",AL78="นิติศาสตร์",OR(K78="S2",K78="K5")),R78,AND(AO78="K5-POLICY",AL78&lt;&gt;"นิติศาสตร์",K78="S2",Y78="",AE78=""),R78,AND(AO78="K5-POLICY",AL78&lt;&gt;"นิติศาสตร์",K78="S1",Y78="",AE78=""),EDATE(R78,12),AND(AO78="K5-POLICY",AL78&lt;&gt;"นิติศาสตร์",OR(K78="M2",K78="K4"),Y78="",AE78=""),EDATE(R78,12*2),AND(AO78="K5-POLICY",AL78&lt;&gt;"นิติศาสตร์",OR(AE78="M2",AE78="K4"),AH78&gt;=2,OR(AG78&lt;AA78,AG78&lt;R78)),EDATE(AG78,12*2),AND(AO78="K5-POLICY",AL78&lt;&gt;"นิติศาสตร์",AE78="S1",AH78&gt;=1,OR(AG78&lt;AA78,AG78&lt;R78)),EDATE(AG78,12),AND(AO78="K5-POLICY",AL78&lt;&gt;"นิติศาสตร์",OR(Y78="M2",Y78="K4"),AB78&gt;=2,AA78&lt;R78),EDATE(AA78,12*2),AND(AO78="K5-POLICY",AL78&lt;&gt;"นิติศาสตร์",Y78="S1",AB78&gt;=1,AA78&lt;R78),EDATE(AA78,12),AND(AO78="K5-POLICY",AL78&lt;&gt;"นิติศาสตร์",OR(Y78="S2",Y78="K5")),AA78,AND(AO78="K5-POLICY",AL78&lt;&gt;"นิติศาสตร์",OR(K78="M2",K78="K4"),U78&gt;=2),EDATE(R78,12*2),AND(AO78="K5-POLICY",AL78&lt;&gt;"นิติศาสตร์",K78="S1",U78&gt;=1),EDATE(R78,12),AND(AO78="K5-POLICY",AL78&lt;&gt;"นิติศาสตร์",OR(K78="S2",K78="K5")),R78,TRUE,"Check Data")</f>
        <v/>
      </c>
      <c r="AQ78" s="75" t="str">
        <f t="shared" si="45"/>
        <v>Check Data</v>
      </c>
      <c r="AR78" s="76" t="str">
        <f t="shared" si="46"/>
        <v>Check Data</v>
      </c>
      <c r="AS78" s="50" t="str">
        <f t="shared" si="47"/>
        <v>Check Data</v>
      </c>
      <c r="AT78" s="49" t="str">
        <f>IF(B78="","",IF(K78="S1","S1",INDEX(#REF!,#REF!)))</f>
        <v/>
      </c>
      <c r="AU78" s="49" t="str">
        <f t="shared" si="48"/>
        <v>M2</v>
      </c>
      <c r="AV78" s="50" t="b">
        <f t="shared" si="49"/>
        <v>0</v>
      </c>
      <c r="AW78" s="50"/>
    </row>
    <row r="79" spans="1:49" ht="21.75">
      <c r="A79" s="49">
        <v>77</v>
      </c>
      <c r="B79" s="50"/>
      <c r="C79" s="50"/>
      <c r="D79" s="50" t="s">
        <v>143</v>
      </c>
      <c r="E79" s="49" t="s">
        <v>307</v>
      </c>
      <c r="F79" s="49" t="str">
        <f t="shared" si="25"/>
        <v>05/03/1992</v>
      </c>
      <c r="G79" s="50">
        <f t="shared" si="26"/>
        <v>33</v>
      </c>
      <c r="H79" s="50">
        <f t="shared" si="27"/>
        <v>3</v>
      </c>
      <c r="I79" s="50">
        <f t="shared" si="28"/>
        <v>15</v>
      </c>
      <c r="J79" s="59"/>
      <c r="K79" s="49" t="s">
        <v>136</v>
      </c>
      <c r="L79" s="49" t="str">
        <f>IF(B79="","",IF(K79="S1",K79,INDEX(#REF!,#REF!)))</f>
        <v/>
      </c>
      <c r="M79" s="49" t="b">
        <f t="shared" si="29"/>
        <v>0</v>
      </c>
      <c r="N79" s="64"/>
      <c r="O79" s="49" t="s">
        <v>427</v>
      </c>
      <c r="P79" s="49">
        <v>2569</v>
      </c>
      <c r="Q79" s="65" t="s">
        <v>287</v>
      </c>
      <c r="R79" s="49" t="str">
        <f t="shared" si="30"/>
        <v>29/10/2020</v>
      </c>
      <c r="S79" s="49" t="str">
        <f>IF(B79="","",IF(K79="S1",K79,INDEX(#REF!,#REF!)))</f>
        <v/>
      </c>
      <c r="T79" s="49" t="b">
        <f t="shared" si="31"/>
        <v>0</v>
      </c>
      <c r="U79" s="68">
        <f t="shared" si="32"/>
        <v>4</v>
      </c>
      <c r="V79" s="68">
        <f t="shared" si="33"/>
        <v>7</v>
      </c>
      <c r="W79" s="68">
        <f t="shared" si="34"/>
        <v>22</v>
      </c>
      <c r="X79" s="68"/>
      <c r="Y79" s="65"/>
      <c r="Z79" s="65"/>
      <c r="AA79" s="49" t="str">
        <f t="shared" si="35"/>
        <v/>
      </c>
      <c r="AB79" s="68">
        <f t="shared" si="36"/>
        <v>0</v>
      </c>
      <c r="AC79" s="68">
        <f t="shared" si="37"/>
        <v>0</v>
      </c>
      <c r="AD79" s="68">
        <f t="shared" si="38"/>
        <v>0</v>
      </c>
      <c r="AE79" s="49"/>
      <c r="AF79" s="65"/>
      <c r="AG79" s="50" t="str">
        <f t="shared" si="39"/>
        <v/>
      </c>
      <c r="AH79" s="68">
        <f t="shared" si="40"/>
        <v>0</v>
      </c>
      <c r="AI79" s="68">
        <f t="shared" si="41"/>
        <v>0</v>
      </c>
      <c r="AJ79" s="68">
        <f t="shared" si="42"/>
        <v>0</v>
      </c>
      <c r="AK79" s="50"/>
      <c r="AL79" s="50" t="s">
        <v>371</v>
      </c>
      <c r="AM79" s="50" t="str">
        <f>IF(B79="","",IF(K79="S1",K79,INDEX(#REF!,#REF!)))</f>
        <v/>
      </c>
      <c r="AN79" s="50" t="b">
        <f t="shared" si="43"/>
        <v>0</v>
      </c>
      <c r="AO79" s="49" t="str">
        <f t="shared" si="44"/>
        <v>K5-POLICY</v>
      </c>
      <c r="AP79" s="72" t="str">
        <f>_xlfn.IFS(B79="","",AND(AO79="K5-LAW",AL79="นิติศาสตร์",K79="S2",Y79="",AE79=""),R79,AND(AO79="K5-LAW",AL79="นิติศาสตร์",K79="S1",Y79="",AE79=""),EDATE(R79,12),AND(AO79="K5-LAW",AL79="นิติศาสตร์",OR(K79="M2",K79="K4"),Y79="",AE79=""),EDATE(R79,12*2),AND(AO79="K5-LAW",AL79="นิติศาสตร์",OR(AE79="M2",AE79="K4"),AH79&gt;=2,OR(AG79&lt;AA79,AG79&lt;R79)),EDATE(AG79,12*2),AND(AO79="K5-LAW",AL79="นิติศาสตร์",AE79="S1",AH79&gt;=1,OR(AG79&lt;AA79,AG79&lt;R79)),EDATE(AG79,12),AND(AO79="K5-LAW",AL79="นิติศาสตร์",OR(Y79="M2",Y79="K4"),AB79&gt;=2,AA79&lt;R79),EDATE(AA79,12*2),AND(AO79="K5-LAW",AL79="นิติศาสตร์",Y79="S1",AB79&gt;=1,AA79&lt;R79),EDATE(AA79,12),AND(AO79="K5-LAW",AL79="นิติศาสตร์",OR(Y79="S2",Y79="K5")),AA79,AND(AO79="K5-LAW",AL79="นิติศาสตร์",OR(K79="M2",K79="K4"),U79&gt;=2),EDATE(R79,12*2),AND(AO79="K5-LAW",AL79="นิติศาสตร์",K79="S1",U79&gt;=1),EDATE(R79,12),AND(AO79="K5-LAW",AL79="นิติศาสตร์",OR(K79="S2",K79="K5")),R79,AND(AO79="K5-POLICY",AL79&lt;&gt;"นิติศาสตร์",K79="S2",Y79="",AE79=""),R79,AND(AO79="K5-POLICY",AL79&lt;&gt;"นิติศาสตร์",K79="S1",Y79="",AE79=""),EDATE(R79,12),AND(AO79="K5-POLICY",AL79&lt;&gt;"นิติศาสตร์",OR(K79="M2",K79="K4"),Y79="",AE79=""),EDATE(R79,12*2),AND(AO79="K5-POLICY",AL79&lt;&gt;"นิติศาสตร์",OR(AE79="M2",AE79="K4"),AH79&gt;=2,OR(AG79&lt;AA79,AG79&lt;R79)),EDATE(AG79,12*2),AND(AO79="K5-POLICY",AL79&lt;&gt;"นิติศาสตร์",AE79="S1",AH79&gt;=1,OR(AG79&lt;AA79,AG79&lt;R79)),EDATE(AG79,12),AND(AO79="K5-POLICY",AL79&lt;&gt;"นิติศาสตร์",OR(Y79="M2",Y79="K4"),AB79&gt;=2,AA79&lt;R79),EDATE(AA79,12*2),AND(AO79="K5-POLICY",AL79&lt;&gt;"นิติศาสตร์",Y79="S1",AB79&gt;=1,AA79&lt;R79),EDATE(AA79,12),AND(AO79="K5-POLICY",AL79&lt;&gt;"นิติศาสตร์",OR(Y79="S2",Y79="K5")),AA79,AND(AO79="K5-POLICY",AL79&lt;&gt;"นิติศาสตร์",OR(K79="M2",K79="K4"),U79&gt;=2),EDATE(R79,12*2),AND(AO79="K5-POLICY",AL79&lt;&gt;"นิติศาสตร์",K79="S1",U79&gt;=1),EDATE(R79,12),AND(AO79="K5-POLICY",AL79&lt;&gt;"นิติศาสตร์",OR(K79="S2",K79="K5")),R79,TRUE,"Check Data")</f>
        <v/>
      </c>
      <c r="AQ79" s="75" t="str">
        <f t="shared" si="45"/>
        <v>Check Data</v>
      </c>
      <c r="AR79" s="76" t="str">
        <f t="shared" si="46"/>
        <v>Check Data</v>
      </c>
      <c r="AS79" s="50" t="str">
        <f t="shared" si="47"/>
        <v>Check Data</v>
      </c>
      <c r="AT79" s="49" t="str">
        <f>IF(B79="","",IF(K79="S1","S1",INDEX(#REF!,#REF!)))</f>
        <v/>
      </c>
      <c r="AU79" s="49" t="str">
        <f t="shared" si="48"/>
        <v>M2</v>
      </c>
      <c r="AV79" s="50" t="b">
        <f t="shared" si="49"/>
        <v>0</v>
      </c>
      <c r="AW79" s="50"/>
    </row>
    <row r="80" spans="1:49" ht="21.75">
      <c r="A80" s="49">
        <v>78</v>
      </c>
      <c r="B80" s="50"/>
      <c r="C80" s="50"/>
      <c r="D80" s="50" t="s">
        <v>143</v>
      </c>
      <c r="E80" s="49" t="s">
        <v>322</v>
      </c>
      <c r="F80" s="49" t="str">
        <f t="shared" si="25"/>
        <v>30/07/1992</v>
      </c>
      <c r="G80" s="50">
        <f t="shared" si="26"/>
        <v>32</v>
      </c>
      <c r="H80" s="50">
        <f t="shared" si="27"/>
        <v>10</v>
      </c>
      <c r="I80" s="50">
        <f t="shared" si="28"/>
        <v>21</v>
      </c>
      <c r="J80" s="59"/>
      <c r="K80" s="49" t="s">
        <v>136</v>
      </c>
      <c r="L80" s="49" t="str">
        <f>IF(B80="","",IF(K80="S1",K80,INDEX(#REF!,#REF!)))</f>
        <v/>
      </c>
      <c r="M80" s="49" t="b">
        <f t="shared" si="29"/>
        <v>0</v>
      </c>
      <c r="N80" s="64"/>
      <c r="O80" s="49" t="s">
        <v>427</v>
      </c>
      <c r="P80" s="49">
        <v>2570</v>
      </c>
      <c r="Q80" s="65" t="s">
        <v>287</v>
      </c>
      <c r="R80" s="49" t="str">
        <f t="shared" si="30"/>
        <v>29/10/2020</v>
      </c>
      <c r="S80" s="49" t="str">
        <f>IF(B80="","",IF(K80="S1",K80,INDEX(#REF!,#REF!)))</f>
        <v/>
      </c>
      <c r="T80" s="49" t="b">
        <f t="shared" si="31"/>
        <v>0</v>
      </c>
      <c r="U80" s="68">
        <f t="shared" si="32"/>
        <v>4</v>
      </c>
      <c r="V80" s="68">
        <f t="shared" si="33"/>
        <v>7</v>
      </c>
      <c r="W80" s="68">
        <f t="shared" si="34"/>
        <v>22</v>
      </c>
      <c r="X80" s="68"/>
      <c r="Y80" s="65"/>
      <c r="Z80" s="65"/>
      <c r="AA80" s="49" t="str">
        <f t="shared" si="35"/>
        <v/>
      </c>
      <c r="AB80" s="68">
        <f t="shared" si="36"/>
        <v>0</v>
      </c>
      <c r="AC80" s="68">
        <f t="shared" si="37"/>
        <v>0</v>
      </c>
      <c r="AD80" s="68">
        <f t="shared" si="38"/>
        <v>0</v>
      </c>
      <c r="AE80" s="49"/>
      <c r="AF80" s="65"/>
      <c r="AG80" s="50" t="str">
        <f t="shared" si="39"/>
        <v/>
      </c>
      <c r="AH80" s="68">
        <f t="shared" si="40"/>
        <v>0</v>
      </c>
      <c r="AI80" s="68">
        <f t="shared" si="41"/>
        <v>0</v>
      </c>
      <c r="AJ80" s="68">
        <f t="shared" si="42"/>
        <v>0</v>
      </c>
      <c r="AK80" s="50"/>
      <c r="AL80" s="50" t="s">
        <v>138</v>
      </c>
      <c r="AM80" s="50" t="str">
        <f>IF(B80="","",IF(K80="S1",K80,INDEX(#REF!,#REF!)))</f>
        <v/>
      </c>
      <c r="AN80" s="50" t="b">
        <f t="shared" si="43"/>
        <v>0</v>
      </c>
      <c r="AO80" s="49" t="str">
        <f t="shared" si="44"/>
        <v>K5-LAW</v>
      </c>
      <c r="AP80" s="72" t="str">
        <f>_xlfn.IFS(B80="","",AND(AO80="K5-LAW",AL80="นิติศาสตร์",K80="S2",Y80="",AE80=""),R80,AND(AO80="K5-LAW",AL80="นิติศาสตร์",K80="S1",Y80="",AE80=""),EDATE(R80,12),AND(AO80="K5-LAW",AL80="นิติศาสตร์",OR(K80="M2",K80="K4"),Y80="",AE80=""),EDATE(R80,12*2),AND(AO80="K5-LAW",AL80="นิติศาสตร์",OR(AE80="M2",AE80="K4"),AH80&gt;=2,OR(AG80&lt;AA80,AG80&lt;R80)),EDATE(AG80,12*2),AND(AO80="K5-LAW",AL80="นิติศาสตร์",AE80="S1",AH80&gt;=1,OR(AG80&lt;AA80,AG80&lt;R80)),EDATE(AG80,12),AND(AO80="K5-LAW",AL80="นิติศาสตร์",OR(Y80="M2",Y80="K4"),AB80&gt;=2,AA80&lt;R80),EDATE(AA80,12*2),AND(AO80="K5-LAW",AL80="นิติศาสตร์",Y80="S1",AB80&gt;=1,AA80&lt;R80),EDATE(AA80,12),AND(AO80="K5-LAW",AL80="นิติศาสตร์",OR(Y80="S2",Y80="K5")),AA80,AND(AO80="K5-LAW",AL80="นิติศาสตร์",OR(K80="M2",K80="K4"),U80&gt;=2),EDATE(R80,12*2),AND(AO80="K5-LAW",AL80="นิติศาสตร์",K80="S1",U80&gt;=1),EDATE(R80,12),AND(AO80="K5-LAW",AL80="นิติศาสตร์",OR(K80="S2",K80="K5")),R80,AND(AO80="K5-POLICY",AL80&lt;&gt;"นิติศาสตร์",K80="S2",Y80="",AE80=""),R80,AND(AO80="K5-POLICY",AL80&lt;&gt;"นิติศาสตร์",K80="S1",Y80="",AE80=""),EDATE(R80,12),AND(AO80="K5-POLICY",AL80&lt;&gt;"นิติศาสตร์",OR(K80="M2",K80="K4"),Y80="",AE80=""),EDATE(R80,12*2),AND(AO80="K5-POLICY",AL80&lt;&gt;"นิติศาสตร์",OR(AE80="M2",AE80="K4"),AH80&gt;=2,OR(AG80&lt;AA80,AG80&lt;R80)),EDATE(AG80,12*2),AND(AO80="K5-POLICY",AL80&lt;&gt;"นิติศาสตร์",AE80="S1",AH80&gt;=1,OR(AG80&lt;AA80,AG80&lt;R80)),EDATE(AG80,12),AND(AO80="K5-POLICY",AL80&lt;&gt;"นิติศาสตร์",OR(Y80="M2",Y80="K4"),AB80&gt;=2,AA80&lt;R80),EDATE(AA80,12*2),AND(AO80="K5-POLICY",AL80&lt;&gt;"นิติศาสตร์",Y80="S1",AB80&gt;=1,AA80&lt;R80),EDATE(AA80,12),AND(AO80="K5-POLICY",AL80&lt;&gt;"นิติศาสตร์",OR(Y80="S2",Y80="K5")),AA80,AND(AO80="K5-POLICY",AL80&lt;&gt;"นิติศาสตร์",OR(K80="M2",K80="K4"),U80&gt;=2),EDATE(R80,12*2),AND(AO80="K5-POLICY",AL80&lt;&gt;"นิติศาสตร์",K80="S1",U80&gt;=1),EDATE(R80,12),AND(AO80="K5-POLICY",AL80&lt;&gt;"นิติศาสตร์",OR(K80="S2",K80="K5")),R80,TRUE,"Check Data")</f>
        <v/>
      </c>
      <c r="AQ80" s="75" t="str">
        <f t="shared" si="45"/>
        <v>Check Data</v>
      </c>
      <c r="AR80" s="76" t="str">
        <f t="shared" si="46"/>
        <v>Check Data</v>
      </c>
      <c r="AS80" s="50" t="str">
        <f t="shared" si="47"/>
        <v>Check Data</v>
      </c>
      <c r="AT80" s="49" t="str">
        <f>IF(B80="","",IF(K80="S1","S1",INDEX(#REF!,#REF!)))</f>
        <v/>
      </c>
      <c r="AU80" s="49" t="str">
        <f t="shared" si="48"/>
        <v>M2</v>
      </c>
      <c r="AV80" s="50" t="b">
        <f t="shared" si="49"/>
        <v>0</v>
      </c>
      <c r="AW80" s="50"/>
    </row>
    <row r="81" spans="1:49" ht="21.75">
      <c r="A81" s="49">
        <v>79</v>
      </c>
      <c r="B81" s="50"/>
      <c r="C81" s="50"/>
      <c r="D81" s="50" t="s">
        <v>143</v>
      </c>
      <c r="E81" s="49" t="s">
        <v>357</v>
      </c>
      <c r="F81" s="49" t="str">
        <f t="shared" si="25"/>
        <v>21/05/1990</v>
      </c>
      <c r="G81" s="50">
        <f t="shared" si="26"/>
        <v>35</v>
      </c>
      <c r="H81" s="50">
        <f t="shared" si="27"/>
        <v>0</v>
      </c>
      <c r="I81" s="50">
        <f t="shared" si="28"/>
        <v>30</v>
      </c>
      <c r="J81" s="59"/>
      <c r="K81" s="49" t="s">
        <v>136</v>
      </c>
      <c r="L81" s="49" t="str">
        <f>IF(B81="","",IF(K81="S1",K81,INDEX(#REF!,#REF!)))</f>
        <v/>
      </c>
      <c r="M81" s="49" t="b">
        <f t="shared" si="29"/>
        <v>0</v>
      </c>
      <c r="N81" s="64"/>
      <c r="O81" s="49" t="s">
        <v>427</v>
      </c>
      <c r="P81" s="49">
        <v>2569</v>
      </c>
      <c r="Q81" s="65" t="s">
        <v>287</v>
      </c>
      <c r="R81" s="49" t="str">
        <f t="shared" si="30"/>
        <v>29/10/2020</v>
      </c>
      <c r="S81" s="49" t="str">
        <f>IF(B81="","",IF(K81="S1",K81,INDEX(#REF!,#REF!)))</f>
        <v/>
      </c>
      <c r="T81" s="49" t="b">
        <f t="shared" si="31"/>
        <v>0</v>
      </c>
      <c r="U81" s="68">
        <f t="shared" si="32"/>
        <v>4</v>
      </c>
      <c r="V81" s="68">
        <f t="shared" si="33"/>
        <v>7</v>
      </c>
      <c r="W81" s="68">
        <f t="shared" si="34"/>
        <v>22</v>
      </c>
      <c r="X81" s="68"/>
      <c r="Y81" s="65"/>
      <c r="Z81" s="65"/>
      <c r="AA81" s="49" t="str">
        <f t="shared" si="35"/>
        <v/>
      </c>
      <c r="AB81" s="68">
        <f t="shared" si="36"/>
        <v>0</v>
      </c>
      <c r="AC81" s="68">
        <f t="shared" si="37"/>
        <v>0</v>
      </c>
      <c r="AD81" s="68">
        <f t="shared" si="38"/>
        <v>0</v>
      </c>
      <c r="AE81" s="49"/>
      <c r="AF81" s="65"/>
      <c r="AG81" s="50" t="str">
        <f t="shared" si="39"/>
        <v/>
      </c>
      <c r="AH81" s="68">
        <f t="shared" si="40"/>
        <v>0</v>
      </c>
      <c r="AI81" s="68">
        <f t="shared" si="41"/>
        <v>0</v>
      </c>
      <c r="AJ81" s="68">
        <f t="shared" si="42"/>
        <v>0</v>
      </c>
      <c r="AK81" s="50"/>
      <c r="AL81" s="50" t="s">
        <v>332</v>
      </c>
      <c r="AM81" s="50" t="str">
        <f>IF(B81="","",IF(K81="S1",K81,INDEX(#REF!,#REF!)))</f>
        <v/>
      </c>
      <c r="AN81" s="50" t="b">
        <f t="shared" si="43"/>
        <v>0</v>
      </c>
      <c r="AO81" s="49" t="str">
        <f t="shared" si="44"/>
        <v>K5-POLICY</v>
      </c>
      <c r="AP81" s="72" t="str">
        <f>_xlfn.IFS(B81="","",AND(AO81="K5-LAW",AL81="นิติศาสตร์",K81="S2",Y81="",AE81=""),R81,AND(AO81="K5-LAW",AL81="นิติศาสตร์",K81="S1",Y81="",AE81=""),EDATE(R81,12),AND(AO81="K5-LAW",AL81="นิติศาสตร์",OR(K81="M2",K81="K4"),Y81="",AE81=""),EDATE(R81,12*2),AND(AO81="K5-LAW",AL81="นิติศาสตร์",OR(AE81="M2",AE81="K4"),AH81&gt;=2,OR(AG81&lt;AA81,AG81&lt;R81)),EDATE(AG81,12*2),AND(AO81="K5-LAW",AL81="นิติศาสตร์",AE81="S1",AH81&gt;=1,OR(AG81&lt;AA81,AG81&lt;R81)),EDATE(AG81,12),AND(AO81="K5-LAW",AL81="นิติศาสตร์",OR(Y81="M2",Y81="K4"),AB81&gt;=2,AA81&lt;R81),EDATE(AA81,12*2),AND(AO81="K5-LAW",AL81="นิติศาสตร์",Y81="S1",AB81&gt;=1,AA81&lt;R81),EDATE(AA81,12),AND(AO81="K5-LAW",AL81="นิติศาสตร์",OR(Y81="S2",Y81="K5")),AA81,AND(AO81="K5-LAW",AL81="นิติศาสตร์",OR(K81="M2",K81="K4"),U81&gt;=2),EDATE(R81,12*2),AND(AO81="K5-LAW",AL81="นิติศาสตร์",K81="S1",U81&gt;=1),EDATE(R81,12),AND(AO81="K5-LAW",AL81="นิติศาสตร์",OR(K81="S2",K81="K5")),R81,AND(AO81="K5-POLICY",AL81&lt;&gt;"นิติศาสตร์",K81="S2",Y81="",AE81=""),R81,AND(AO81="K5-POLICY",AL81&lt;&gt;"นิติศาสตร์",K81="S1",Y81="",AE81=""),EDATE(R81,12),AND(AO81="K5-POLICY",AL81&lt;&gt;"นิติศาสตร์",OR(K81="M2",K81="K4"),Y81="",AE81=""),EDATE(R81,12*2),AND(AO81="K5-POLICY",AL81&lt;&gt;"นิติศาสตร์",OR(AE81="M2",AE81="K4"),AH81&gt;=2,OR(AG81&lt;AA81,AG81&lt;R81)),EDATE(AG81,12*2),AND(AO81="K5-POLICY",AL81&lt;&gt;"นิติศาสตร์",AE81="S1",AH81&gt;=1,OR(AG81&lt;AA81,AG81&lt;R81)),EDATE(AG81,12),AND(AO81="K5-POLICY",AL81&lt;&gt;"นิติศาสตร์",OR(Y81="M2",Y81="K4"),AB81&gt;=2,AA81&lt;R81),EDATE(AA81,12*2),AND(AO81="K5-POLICY",AL81&lt;&gt;"นิติศาสตร์",Y81="S1",AB81&gt;=1,AA81&lt;R81),EDATE(AA81,12),AND(AO81="K5-POLICY",AL81&lt;&gt;"นิติศาสตร์",OR(Y81="S2",Y81="K5")),AA81,AND(AO81="K5-POLICY",AL81&lt;&gt;"นิติศาสตร์",OR(K81="M2",K81="K4"),U81&gt;=2),EDATE(R81,12*2),AND(AO81="K5-POLICY",AL81&lt;&gt;"นิติศาสตร์",K81="S1",U81&gt;=1),EDATE(R81,12),AND(AO81="K5-POLICY",AL81&lt;&gt;"นิติศาสตร์",OR(K81="S2",K81="K5")),R81,TRUE,"Check Data")</f>
        <v/>
      </c>
      <c r="AQ81" s="75" t="str">
        <f t="shared" si="45"/>
        <v>Check Data</v>
      </c>
      <c r="AR81" s="76" t="str">
        <f t="shared" si="46"/>
        <v>Check Data</v>
      </c>
      <c r="AS81" s="50" t="str">
        <f t="shared" si="47"/>
        <v>Check Data</v>
      </c>
      <c r="AT81" s="49" t="str">
        <f>IF(B81="","",IF(K81="S1","S1",INDEX(#REF!,#REF!)))</f>
        <v/>
      </c>
      <c r="AU81" s="49" t="str">
        <f t="shared" si="48"/>
        <v>M2</v>
      </c>
      <c r="AV81" s="50" t="b">
        <f t="shared" si="49"/>
        <v>0</v>
      </c>
      <c r="AW81" s="50"/>
    </row>
    <row r="82" spans="1:49" ht="21.75">
      <c r="A82" s="49">
        <v>80</v>
      </c>
      <c r="B82" s="50"/>
      <c r="C82" s="50"/>
      <c r="D82" s="50" t="s">
        <v>143</v>
      </c>
      <c r="E82" s="49" t="s">
        <v>346</v>
      </c>
      <c r="F82" s="49" t="str">
        <f t="shared" si="25"/>
        <v>28/04/1986</v>
      </c>
      <c r="G82" s="50">
        <f t="shared" si="26"/>
        <v>39</v>
      </c>
      <c r="H82" s="50">
        <f t="shared" si="27"/>
        <v>1</v>
      </c>
      <c r="I82" s="50">
        <f t="shared" si="28"/>
        <v>23</v>
      </c>
      <c r="J82" s="59"/>
      <c r="K82" s="49" t="s">
        <v>136</v>
      </c>
      <c r="L82" s="49" t="str">
        <f>IF(B82="","",IF(K82="S1",K82,INDEX(#REF!,#REF!)))</f>
        <v/>
      </c>
      <c r="M82" s="49" t="b">
        <f t="shared" si="29"/>
        <v>0</v>
      </c>
      <c r="N82" s="64"/>
      <c r="O82" s="49" t="s">
        <v>427</v>
      </c>
      <c r="P82" s="49">
        <v>2570</v>
      </c>
      <c r="Q82" s="65" t="s">
        <v>287</v>
      </c>
      <c r="R82" s="49" t="str">
        <f t="shared" si="30"/>
        <v>29/10/2020</v>
      </c>
      <c r="S82" s="49" t="str">
        <f>IF(B82="","",IF(K82="S1",K82,INDEX(#REF!,#REF!)))</f>
        <v/>
      </c>
      <c r="T82" s="49" t="b">
        <f t="shared" si="31"/>
        <v>0</v>
      </c>
      <c r="U82" s="68">
        <f t="shared" si="32"/>
        <v>4</v>
      </c>
      <c r="V82" s="68">
        <f t="shared" si="33"/>
        <v>7</v>
      </c>
      <c r="W82" s="68">
        <f t="shared" si="34"/>
        <v>22</v>
      </c>
      <c r="X82" s="68"/>
      <c r="Y82" s="65"/>
      <c r="Z82" s="65"/>
      <c r="AA82" s="49" t="str">
        <f t="shared" si="35"/>
        <v/>
      </c>
      <c r="AB82" s="68">
        <f t="shared" si="36"/>
        <v>0</v>
      </c>
      <c r="AC82" s="68">
        <f t="shared" si="37"/>
        <v>0</v>
      </c>
      <c r="AD82" s="68">
        <f t="shared" si="38"/>
        <v>0</v>
      </c>
      <c r="AE82" s="49"/>
      <c r="AF82" s="65"/>
      <c r="AG82" s="50" t="str">
        <f t="shared" si="39"/>
        <v/>
      </c>
      <c r="AH82" s="68">
        <f t="shared" si="40"/>
        <v>0</v>
      </c>
      <c r="AI82" s="68">
        <f t="shared" si="41"/>
        <v>0</v>
      </c>
      <c r="AJ82" s="68">
        <f t="shared" si="42"/>
        <v>0</v>
      </c>
      <c r="AK82" s="50"/>
      <c r="AL82" s="50" t="s">
        <v>509</v>
      </c>
      <c r="AM82" s="50" t="str">
        <f>IF(B82="","",IF(K82="S1",K82,INDEX(#REF!,#REF!)))</f>
        <v/>
      </c>
      <c r="AN82" s="50" t="b">
        <f t="shared" si="43"/>
        <v>0</v>
      </c>
      <c r="AO82" s="49" t="str">
        <f t="shared" si="44"/>
        <v>K5-POLICY</v>
      </c>
      <c r="AP82" s="72" t="str">
        <f>_xlfn.IFS(B82="","",AND(AO82="K5-LAW",AL82="นิติศาสตร์",K82="S2",Y82="",AE82=""),R82,AND(AO82="K5-LAW",AL82="นิติศาสตร์",K82="S1",Y82="",AE82=""),EDATE(R82,12),AND(AO82="K5-LAW",AL82="นิติศาสตร์",OR(K82="M2",K82="K4"),Y82="",AE82=""),EDATE(R82,12*2),AND(AO82="K5-LAW",AL82="นิติศาสตร์",OR(AE82="M2",AE82="K4"),AH82&gt;=2,OR(AG82&lt;AA82,AG82&lt;R82)),EDATE(AG82,12*2),AND(AO82="K5-LAW",AL82="นิติศาสตร์",AE82="S1",AH82&gt;=1,OR(AG82&lt;AA82,AG82&lt;R82)),EDATE(AG82,12),AND(AO82="K5-LAW",AL82="นิติศาสตร์",OR(Y82="M2",Y82="K4"),AB82&gt;=2,AA82&lt;R82),EDATE(AA82,12*2),AND(AO82="K5-LAW",AL82="นิติศาสตร์",Y82="S1",AB82&gt;=1,AA82&lt;R82),EDATE(AA82,12),AND(AO82="K5-LAW",AL82="นิติศาสตร์",OR(Y82="S2",Y82="K5")),AA82,AND(AO82="K5-LAW",AL82="นิติศาสตร์",OR(K82="M2",K82="K4"),U82&gt;=2),EDATE(R82,12*2),AND(AO82="K5-LAW",AL82="นิติศาสตร์",K82="S1",U82&gt;=1),EDATE(R82,12),AND(AO82="K5-LAW",AL82="นิติศาสตร์",OR(K82="S2",K82="K5")),R82,AND(AO82="K5-POLICY",AL82&lt;&gt;"นิติศาสตร์",K82="S2",Y82="",AE82=""),R82,AND(AO82="K5-POLICY",AL82&lt;&gt;"นิติศาสตร์",K82="S1",Y82="",AE82=""),EDATE(R82,12),AND(AO82="K5-POLICY",AL82&lt;&gt;"นิติศาสตร์",OR(K82="M2",K82="K4"),Y82="",AE82=""),EDATE(R82,12*2),AND(AO82="K5-POLICY",AL82&lt;&gt;"นิติศาสตร์",OR(AE82="M2",AE82="K4"),AH82&gt;=2,OR(AG82&lt;AA82,AG82&lt;R82)),EDATE(AG82,12*2),AND(AO82="K5-POLICY",AL82&lt;&gt;"นิติศาสตร์",AE82="S1",AH82&gt;=1,OR(AG82&lt;AA82,AG82&lt;R82)),EDATE(AG82,12),AND(AO82="K5-POLICY",AL82&lt;&gt;"นิติศาสตร์",OR(Y82="M2",Y82="K4"),AB82&gt;=2,AA82&lt;R82),EDATE(AA82,12*2),AND(AO82="K5-POLICY",AL82&lt;&gt;"นิติศาสตร์",Y82="S1",AB82&gt;=1,AA82&lt;R82),EDATE(AA82,12),AND(AO82="K5-POLICY",AL82&lt;&gt;"นิติศาสตร์",OR(Y82="S2",Y82="K5")),AA82,AND(AO82="K5-POLICY",AL82&lt;&gt;"นิติศาสตร์",OR(K82="M2",K82="K4"),U82&gt;=2),EDATE(R82,12*2),AND(AO82="K5-POLICY",AL82&lt;&gt;"นิติศาสตร์",K82="S1",U82&gt;=1),EDATE(R82,12),AND(AO82="K5-POLICY",AL82&lt;&gt;"นิติศาสตร์",OR(K82="S2",K82="K5")),R82,TRUE,"Check Data")</f>
        <v/>
      </c>
      <c r="AQ82" s="75" t="str">
        <f t="shared" si="45"/>
        <v>Check Data</v>
      </c>
      <c r="AR82" s="76" t="str">
        <f t="shared" si="46"/>
        <v>Check Data</v>
      </c>
      <c r="AS82" s="50" t="str">
        <f t="shared" si="47"/>
        <v>Check Data</v>
      </c>
      <c r="AT82" s="49" t="str">
        <f>IF(B82="","",IF(K82="S1","S1",INDEX(#REF!,#REF!)))</f>
        <v/>
      </c>
      <c r="AU82" s="49" t="str">
        <f t="shared" si="48"/>
        <v>M2</v>
      </c>
      <c r="AV82" s="50" t="b">
        <f t="shared" si="49"/>
        <v>0</v>
      </c>
      <c r="AW82" s="50"/>
    </row>
    <row r="83" spans="1:49" ht="21.75">
      <c r="A83" s="49">
        <v>81</v>
      </c>
      <c r="B83" s="50"/>
      <c r="C83" s="50"/>
      <c r="D83" s="50" t="s">
        <v>143</v>
      </c>
      <c r="E83" s="49" t="s">
        <v>321</v>
      </c>
      <c r="F83" s="49" t="str">
        <f t="shared" si="25"/>
        <v>16/08/1990</v>
      </c>
      <c r="G83" s="50">
        <f t="shared" si="26"/>
        <v>34</v>
      </c>
      <c r="H83" s="50">
        <f t="shared" si="27"/>
        <v>10</v>
      </c>
      <c r="I83" s="50">
        <f t="shared" si="28"/>
        <v>4</v>
      </c>
      <c r="J83" s="59"/>
      <c r="K83" s="49" t="s">
        <v>136</v>
      </c>
      <c r="L83" s="49" t="str">
        <f>IF(B83="","",IF(K83="S1",K83,INDEX(#REF!,#REF!)))</f>
        <v/>
      </c>
      <c r="M83" s="49" t="b">
        <f t="shared" si="29"/>
        <v>0</v>
      </c>
      <c r="N83" s="64"/>
      <c r="O83" s="49" t="s">
        <v>427</v>
      </c>
      <c r="P83" s="49">
        <v>2568</v>
      </c>
      <c r="Q83" s="65" t="s">
        <v>287</v>
      </c>
      <c r="R83" s="49" t="str">
        <f t="shared" si="30"/>
        <v>29/10/2020</v>
      </c>
      <c r="S83" s="49" t="str">
        <f>IF(B83="","",IF(K83="S1",K83,INDEX(#REF!,#REF!)))</f>
        <v/>
      </c>
      <c r="T83" s="49" t="b">
        <f t="shared" si="31"/>
        <v>0</v>
      </c>
      <c r="U83" s="68">
        <f t="shared" si="32"/>
        <v>4</v>
      </c>
      <c r="V83" s="68">
        <f t="shared" si="33"/>
        <v>7</v>
      </c>
      <c r="W83" s="68">
        <f t="shared" si="34"/>
        <v>22</v>
      </c>
      <c r="X83" s="68"/>
      <c r="Y83" s="65"/>
      <c r="Z83" s="65"/>
      <c r="AA83" s="49" t="str">
        <f t="shared" si="35"/>
        <v/>
      </c>
      <c r="AB83" s="68">
        <f t="shared" si="36"/>
        <v>0</v>
      </c>
      <c r="AC83" s="68">
        <f t="shared" si="37"/>
        <v>0</v>
      </c>
      <c r="AD83" s="68">
        <f t="shared" si="38"/>
        <v>0</v>
      </c>
      <c r="AE83" s="49"/>
      <c r="AF83" s="65"/>
      <c r="AG83" s="50" t="str">
        <f t="shared" si="39"/>
        <v/>
      </c>
      <c r="AH83" s="68">
        <f t="shared" si="40"/>
        <v>0</v>
      </c>
      <c r="AI83" s="68">
        <f t="shared" si="41"/>
        <v>0</v>
      </c>
      <c r="AJ83" s="68">
        <f t="shared" si="42"/>
        <v>0</v>
      </c>
      <c r="AK83" s="50"/>
      <c r="AL83" s="50" t="s">
        <v>172</v>
      </c>
      <c r="AM83" s="50" t="str">
        <f>IF(B83="","",IF(K83="S1",K83,INDEX(#REF!,#REF!)))</f>
        <v/>
      </c>
      <c r="AN83" s="50" t="b">
        <f t="shared" si="43"/>
        <v>0</v>
      </c>
      <c r="AO83" s="49" t="str">
        <f t="shared" si="44"/>
        <v>K5-POLICY</v>
      </c>
      <c r="AP83" s="72" t="str">
        <f>_xlfn.IFS(B83="","",AND(AO83="K5-LAW",AL83="นิติศาสตร์",K83="S2",Y83="",AE83=""),R83,AND(AO83="K5-LAW",AL83="นิติศาสตร์",K83="S1",Y83="",AE83=""),EDATE(R83,12),AND(AO83="K5-LAW",AL83="นิติศาสตร์",OR(K83="M2",K83="K4"),Y83="",AE83=""),EDATE(R83,12*2),AND(AO83="K5-LAW",AL83="นิติศาสตร์",OR(AE83="M2",AE83="K4"),AH83&gt;=2,OR(AG83&lt;AA83,AG83&lt;R83)),EDATE(AG83,12*2),AND(AO83="K5-LAW",AL83="นิติศาสตร์",AE83="S1",AH83&gt;=1,OR(AG83&lt;AA83,AG83&lt;R83)),EDATE(AG83,12),AND(AO83="K5-LAW",AL83="นิติศาสตร์",OR(Y83="M2",Y83="K4"),AB83&gt;=2,AA83&lt;R83),EDATE(AA83,12*2),AND(AO83="K5-LAW",AL83="นิติศาสตร์",Y83="S1",AB83&gt;=1,AA83&lt;R83),EDATE(AA83,12),AND(AO83="K5-LAW",AL83="นิติศาสตร์",OR(Y83="S2",Y83="K5")),AA83,AND(AO83="K5-LAW",AL83="นิติศาสตร์",OR(K83="M2",K83="K4"),U83&gt;=2),EDATE(R83,12*2),AND(AO83="K5-LAW",AL83="นิติศาสตร์",K83="S1",U83&gt;=1),EDATE(R83,12),AND(AO83="K5-LAW",AL83="นิติศาสตร์",OR(K83="S2",K83="K5")),R83,AND(AO83="K5-POLICY",AL83&lt;&gt;"นิติศาสตร์",K83="S2",Y83="",AE83=""),R83,AND(AO83="K5-POLICY",AL83&lt;&gt;"นิติศาสตร์",K83="S1",Y83="",AE83=""),EDATE(R83,12),AND(AO83="K5-POLICY",AL83&lt;&gt;"นิติศาสตร์",OR(K83="M2",K83="K4"),Y83="",AE83=""),EDATE(R83,12*2),AND(AO83="K5-POLICY",AL83&lt;&gt;"นิติศาสตร์",OR(AE83="M2",AE83="K4"),AH83&gt;=2,OR(AG83&lt;AA83,AG83&lt;R83)),EDATE(AG83,12*2),AND(AO83="K5-POLICY",AL83&lt;&gt;"นิติศาสตร์",AE83="S1",AH83&gt;=1,OR(AG83&lt;AA83,AG83&lt;R83)),EDATE(AG83,12),AND(AO83="K5-POLICY",AL83&lt;&gt;"นิติศาสตร์",OR(Y83="M2",Y83="K4"),AB83&gt;=2,AA83&lt;R83),EDATE(AA83,12*2),AND(AO83="K5-POLICY",AL83&lt;&gt;"นิติศาสตร์",Y83="S1",AB83&gt;=1,AA83&lt;R83),EDATE(AA83,12),AND(AO83="K5-POLICY",AL83&lt;&gt;"นิติศาสตร์",OR(Y83="S2",Y83="K5")),AA83,AND(AO83="K5-POLICY",AL83&lt;&gt;"นิติศาสตร์",OR(K83="M2",K83="K4"),U83&gt;=2),EDATE(R83,12*2),AND(AO83="K5-POLICY",AL83&lt;&gt;"นิติศาสตร์",K83="S1",U83&gt;=1),EDATE(R83,12),AND(AO83="K5-POLICY",AL83&lt;&gt;"นิติศาสตร์",OR(K83="S2",K83="K5")),R83,TRUE,"Check Data")</f>
        <v/>
      </c>
      <c r="AQ83" s="75" t="str">
        <f t="shared" si="45"/>
        <v>Check Data</v>
      </c>
      <c r="AR83" s="76" t="str">
        <f t="shared" si="46"/>
        <v>Check Data</v>
      </c>
      <c r="AS83" s="50" t="str">
        <f t="shared" si="47"/>
        <v>Check Data</v>
      </c>
      <c r="AT83" s="49" t="str">
        <f>IF(B83="","",IF(K83="S1","S1",INDEX(#REF!,#REF!)))</f>
        <v/>
      </c>
      <c r="AU83" s="49" t="str">
        <f t="shared" si="48"/>
        <v>M2</v>
      </c>
      <c r="AV83" s="50" t="b">
        <f t="shared" si="49"/>
        <v>0</v>
      </c>
      <c r="AW83" s="50"/>
    </row>
    <row r="84" spans="1:49" ht="21.75">
      <c r="A84" s="49">
        <v>82</v>
      </c>
      <c r="B84" s="50"/>
      <c r="C84" s="50"/>
      <c r="D84" s="50" t="s">
        <v>143</v>
      </c>
      <c r="E84" s="49" t="s">
        <v>323</v>
      </c>
      <c r="F84" s="49" t="str">
        <f t="shared" si="25"/>
        <v>15/05/1984</v>
      </c>
      <c r="G84" s="50">
        <f t="shared" si="26"/>
        <v>41</v>
      </c>
      <c r="H84" s="50">
        <f t="shared" si="27"/>
        <v>1</v>
      </c>
      <c r="I84" s="50">
        <f t="shared" si="28"/>
        <v>5</v>
      </c>
      <c r="J84" s="59"/>
      <c r="K84" s="49" t="s">
        <v>136</v>
      </c>
      <c r="L84" s="49" t="str">
        <f>IF(B84="","",IF(K84="S1",K84,INDEX(#REF!,#REF!)))</f>
        <v/>
      </c>
      <c r="M84" s="49" t="b">
        <f t="shared" si="29"/>
        <v>0</v>
      </c>
      <c r="N84" s="64"/>
      <c r="O84" s="49" t="s">
        <v>427</v>
      </c>
      <c r="P84" s="49">
        <v>2568</v>
      </c>
      <c r="Q84" s="65" t="s">
        <v>287</v>
      </c>
      <c r="R84" s="49" t="str">
        <f t="shared" si="30"/>
        <v>29/10/2020</v>
      </c>
      <c r="S84" s="49" t="str">
        <f>IF(B84="","",IF(K84="S1",K84,INDEX(#REF!,#REF!)))</f>
        <v/>
      </c>
      <c r="T84" s="49" t="b">
        <f t="shared" si="31"/>
        <v>0</v>
      </c>
      <c r="U84" s="68">
        <f t="shared" si="32"/>
        <v>4</v>
      </c>
      <c r="V84" s="68">
        <f t="shared" si="33"/>
        <v>7</v>
      </c>
      <c r="W84" s="68">
        <f t="shared" si="34"/>
        <v>22</v>
      </c>
      <c r="X84" s="68"/>
      <c r="Y84" s="65"/>
      <c r="Z84" s="65"/>
      <c r="AA84" s="49" t="str">
        <f t="shared" si="35"/>
        <v/>
      </c>
      <c r="AB84" s="68">
        <f t="shared" si="36"/>
        <v>0</v>
      </c>
      <c r="AC84" s="68">
        <f t="shared" si="37"/>
        <v>0</v>
      </c>
      <c r="AD84" s="68">
        <f t="shared" si="38"/>
        <v>0</v>
      </c>
      <c r="AE84" s="49"/>
      <c r="AF84" s="65"/>
      <c r="AG84" s="50" t="str">
        <f t="shared" si="39"/>
        <v/>
      </c>
      <c r="AH84" s="68">
        <f t="shared" si="40"/>
        <v>0</v>
      </c>
      <c r="AI84" s="68">
        <f t="shared" si="41"/>
        <v>0</v>
      </c>
      <c r="AJ84" s="68">
        <f t="shared" si="42"/>
        <v>0</v>
      </c>
      <c r="AK84" s="50"/>
      <c r="AL84" s="50" t="s">
        <v>513</v>
      </c>
      <c r="AM84" s="50" t="str">
        <f>IF(B84="","",IF(K84="S1",K84,INDEX(#REF!,#REF!)))</f>
        <v/>
      </c>
      <c r="AN84" s="50" t="b">
        <f t="shared" si="43"/>
        <v>0</v>
      </c>
      <c r="AO84" s="49" t="str">
        <f t="shared" si="44"/>
        <v>K5-POLICY</v>
      </c>
      <c r="AP84" s="72" t="str">
        <f>_xlfn.IFS(B84="","",AND(AO84="K5-LAW",AL84="นิติศาสตร์",K84="S2",Y84="",AE84=""),R84,AND(AO84="K5-LAW",AL84="นิติศาสตร์",K84="S1",Y84="",AE84=""),EDATE(R84,12),AND(AO84="K5-LAW",AL84="นิติศาสตร์",OR(K84="M2",K84="K4"),Y84="",AE84=""),EDATE(R84,12*2),AND(AO84="K5-LAW",AL84="นิติศาสตร์",OR(AE84="M2",AE84="K4"),AH84&gt;=2,OR(AG84&lt;AA84,AG84&lt;R84)),EDATE(AG84,12*2),AND(AO84="K5-LAW",AL84="นิติศาสตร์",AE84="S1",AH84&gt;=1,OR(AG84&lt;AA84,AG84&lt;R84)),EDATE(AG84,12),AND(AO84="K5-LAW",AL84="นิติศาสตร์",OR(Y84="M2",Y84="K4"),AB84&gt;=2,AA84&lt;R84),EDATE(AA84,12*2),AND(AO84="K5-LAW",AL84="นิติศาสตร์",Y84="S1",AB84&gt;=1,AA84&lt;R84),EDATE(AA84,12),AND(AO84="K5-LAW",AL84="นิติศาสตร์",OR(Y84="S2",Y84="K5")),AA84,AND(AO84="K5-LAW",AL84="นิติศาสตร์",OR(K84="M2",K84="K4"),U84&gt;=2),EDATE(R84,12*2),AND(AO84="K5-LAW",AL84="นิติศาสตร์",K84="S1",U84&gt;=1),EDATE(R84,12),AND(AO84="K5-LAW",AL84="นิติศาสตร์",OR(K84="S2",K84="K5")),R84,AND(AO84="K5-POLICY",AL84&lt;&gt;"นิติศาสตร์",K84="S2",Y84="",AE84=""),R84,AND(AO84="K5-POLICY",AL84&lt;&gt;"นิติศาสตร์",K84="S1",Y84="",AE84=""),EDATE(R84,12),AND(AO84="K5-POLICY",AL84&lt;&gt;"นิติศาสตร์",OR(K84="M2",K84="K4"),Y84="",AE84=""),EDATE(R84,12*2),AND(AO84="K5-POLICY",AL84&lt;&gt;"นิติศาสตร์",OR(AE84="M2",AE84="K4"),AH84&gt;=2,OR(AG84&lt;AA84,AG84&lt;R84)),EDATE(AG84,12*2),AND(AO84="K5-POLICY",AL84&lt;&gt;"นิติศาสตร์",AE84="S1",AH84&gt;=1,OR(AG84&lt;AA84,AG84&lt;R84)),EDATE(AG84,12),AND(AO84="K5-POLICY",AL84&lt;&gt;"นิติศาสตร์",OR(Y84="M2",Y84="K4"),AB84&gt;=2,AA84&lt;R84),EDATE(AA84,12*2),AND(AO84="K5-POLICY",AL84&lt;&gt;"นิติศาสตร์",Y84="S1",AB84&gt;=1,AA84&lt;R84),EDATE(AA84,12),AND(AO84="K5-POLICY",AL84&lt;&gt;"นิติศาสตร์",OR(Y84="S2",Y84="K5")),AA84,AND(AO84="K5-POLICY",AL84&lt;&gt;"นิติศาสตร์",OR(K84="M2",K84="K4"),U84&gt;=2),EDATE(R84,12*2),AND(AO84="K5-POLICY",AL84&lt;&gt;"นิติศาสตร์",K84="S1",U84&gt;=1),EDATE(R84,12),AND(AO84="K5-POLICY",AL84&lt;&gt;"นิติศาสตร์",OR(K84="S2",K84="K5")),R84,TRUE,"Check Data")</f>
        <v/>
      </c>
      <c r="AQ84" s="75" t="str">
        <f t="shared" si="45"/>
        <v>Check Data</v>
      </c>
      <c r="AR84" s="76" t="str">
        <f t="shared" si="46"/>
        <v>Check Data</v>
      </c>
      <c r="AS84" s="50" t="str">
        <f t="shared" si="47"/>
        <v>Check Data</v>
      </c>
      <c r="AT84" s="49" t="str">
        <f>IF(B84="","",IF(K84="S1","S1",INDEX(#REF!,#REF!)))</f>
        <v/>
      </c>
      <c r="AU84" s="49" t="str">
        <f t="shared" si="48"/>
        <v>M2</v>
      </c>
      <c r="AV84" s="50" t="b">
        <f t="shared" si="49"/>
        <v>0</v>
      </c>
      <c r="AW84" s="50"/>
    </row>
    <row r="85" spans="1:49" ht="21.75">
      <c r="A85" s="49">
        <v>83</v>
      </c>
      <c r="B85" s="50"/>
      <c r="C85" s="50"/>
      <c r="D85" s="50" t="s">
        <v>143</v>
      </c>
      <c r="E85" s="49" t="s">
        <v>222</v>
      </c>
      <c r="F85" s="49" t="str">
        <f t="shared" si="25"/>
        <v>20/04/1989</v>
      </c>
      <c r="G85" s="50">
        <f t="shared" si="26"/>
        <v>36</v>
      </c>
      <c r="H85" s="50">
        <f t="shared" si="27"/>
        <v>2</v>
      </c>
      <c r="I85" s="50">
        <f t="shared" si="28"/>
        <v>0</v>
      </c>
      <c r="J85" s="59"/>
      <c r="K85" s="49" t="s">
        <v>136</v>
      </c>
      <c r="L85" s="49" t="str">
        <f>IF(B85="","",IF(K85="S1",K85,INDEX(#REF!,#REF!)))</f>
        <v/>
      </c>
      <c r="M85" s="49" t="b">
        <f t="shared" si="29"/>
        <v>0</v>
      </c>
      <c r="N85" s="64"/>
      <c r="O85" s="49" t="s">
        <v>427</v>
      </c>
      <c r="P85" s="49">
        <v>2570</v>
      </c>
      <c r="Q85" s="65" t="s">
        <v>287</v>
      </c>
      <c r="R85" s="49" t="str">
        <f t="shared" si="30"/>
        <v>29/10/2020</v>
      </c>
      <c r="S85" s="49" t="str">
        <f>IF(B85="","",IF(K85="S1",K85,INDEX(#REF!,#REF!)))</f>
        <v/>
      </c>
      <c r="T85" s="49" t="b">
        <f t="shared" si="31"/>
        <v>0</v>
      </c>
      <c r="U85" s="68">
        <f t="shared" si="32"/>
        <v>4</v>
      </c>
      <c r="V85" s="68">
        <f t="shared" si="33"/>
        <v>7</v>
      </c>
      <c r="W85" s="68">
        <f t="shared" si="34"/>
        <v>22</v>
      </c>
      <c r="X85" s="68"/>
      <c r="Y85" s="65"/>
      <c r="Z85" s="65"/>
      <c r="AA85" s="49" t="str">
        <f t="shared" si="35"/>
        <v/>
      </c>
      <c r="AB85" s="68">
        <f t="shared" si="36"/>
        <v>0</v>
      </c>
      <c r="AC85" s="68">
        <f t="shared" si="37"/>
        <v>0</v>
      </c>
      <c r="AD85" s="68">
        <f t="shared" si="38"/>
        <v>0</v>
      </c>
      <c r="AE85" s="49"/>
      <c r="AF85" s="65"/>
      <c r="AG85" s="50" t="str">
        <f t="shared" si="39"/>
        <v/>
      </c>
      <c r="AH85" s="68">
        <f t="shared" si="40"/>
        <v>0</v>
      </c>
      <c r="AI85" s="68">
        <f t="shared" si="41"/>
        <v>0</v>
      </c>
      <c r="AJ85" s="68">
        <f t="shared" si="42"/>
        <v>0</v>
      </c>
      <c r="AK85" s="50"/>
      <c r="AL85" s="50" t="s">
        <v>163</v>
      </c>
      <c r="AM85" s="50" t="str">
        <f>IF(B85="","",IF(K85="S1",K85,INDEX(#REF!,#REF!)))</f>
        <v/>
      </c>
      <c r="AN85" s="50" t="b">
        <f t="shared" si="43"/>
        <v>0</v>
      </c>
      <c r="AO85" s="49" t="str">
        <f t="shared" si="44"/>
        <v>K5-POLICY</v>
      </c>
      <c r="AP85" s="72" t="str">
        <f>_xlfn.IFS(B85="","",AND(AO85="K5-LAW",AL85="นิติศาสตร์",K85="S2",Y85="",AE85=""),R85,AND(AO85="K5-LAW",AL85="นิติศาสตร์",K85="S1",Y85="",AE85=""),EDATE(R85,12),AND(AO85="K5-LAW",AL85="นิติศาสตร์",OR(K85="M2",K85="K4"),Y85="",AE85=""),EDATE(R85,12*2),AND(AO85="K5-LAW",AL85="นิติศาสตร์",OR(AE85="M2",AE85="K4"),AH85&gt;=2,OR(AG85&lt;AA85,AG85&lt;R85)),EDATE(AG85,12*2),AND(AO85="K5-LAW",AL85="นิติศาสตร์",AE85="S1",AH85&gt;=1,OR(AG85&lt;AA85,AG85&lt;R85)),EDATE(AG85,12),AND(AO85="K5-LAW",AL85="นิติศาสตร์",OR(Y85="M2",Y85="K4"),AB85&gt;=2,AA85&lt;R85),EDATE(AA85,12*2),AND(AO85="K5-LAW",AL85="นิติศาสตร์",Y85="S1",AB85&gt;=1,AA85&lt;R85),EDATE(AA85,12),AND(AO85="K5-LAW",AL85="นิติศาสตร์",OR(Y85="S2",Y85="K5")),AA85,AND(AO85="K5-LAW",AL85="นิติศาสตร์",OR(K85="M2",K85="K4"),U85&gt;=2),EDATE(R85,12*2),AND(AO85="K5-LAW",AL85="นิติศาสตร์",K85="S1",U85&gt;=1),EDATE(R85,12),AND(AO85="K5-LAW",AL85="นิติศาสตร์",OR(K85="S2",K85="K5")),R85,AND(AO85="K5-POLICY",AL85&lt;&gt;"นิติศาสตร์",K85="S2",Y85="",AE85=""),R85,AND(AO85="K5-POLICY",AL85&lt;&gt;"นิติศาสตร์",K85="S1",Y85="",AE85=""),EDATE(R85,12),AND(AO85="K5-POLICY",AL85&lt;&gt;"นิติศาสตร์",OR(K85="M2",K85="K4"),Y85="",AE85=""),EDATE(R85,12*2),AND(AO85="K5-POLICY",AL85&lt;&gt;"นิติศาสตร์",OR(AE85="M2",AE85="K4"),AH85&gt;=2,OR(AG85&lt;AA85,AG85&lt;R85)),EDATE(AG85,12*2),AND(AO85="K5-POLICY",AL85&lt;&gt;"นิติศาสตร์",AE85="S1",AH85&gt;=1,OR(AG85&lt;AA85,AG85&lt;R85)),EDATE(AG85,12),AND(AO85="K5-POLICY",AL85&lt;&gt;"นิติศาสตร์",OR(Y85="M2",Y85="K4"),AB85&gt;=2,AA85&lt;R85),EDATE(AA85,12*2),AND(AO85="K5-POLICY",AL85&lt;&gt;"นิติศาสตร์",Y85="S1",AB85&gt;=1,AA85&lt;R85),EDATE(AA85,12),AND(AO85="K5-POLICY",AL85&lt;&gt;"นิติศาสตร์",OR(Y85="S2",Y85="K5")),AA85,AND(AO85="K5-POLICY",AL85&lt;&gt;"นิติศาสตร์",OR(K85="M2",K85="K4"),U85&gt;=2),EDATE(R85,12*2),AND(AO85="K5-POLICY",AL85&lt;&gt;"นิติศาสตร์",K85="S1",U85&gt;=1),EDATE(R85,12),AND(AO85="K5-POLICY",AL85&lt;&gt;"นิติศาสตร์",OR(K85="S2",K85="K5")),R85,TRUE,"Check Data")</f>
        <v/>
      </c>
      <c r="AQ85" s="75" t="str">
        <f t="shared" si="45"/>
        <v>Check Data</v>
      </c>
      <c r="AR85" s="76" t="str">
        <f t="shared" si="46"/>
        <v>Check Data</v>
      </c>
      <c r="AS85" s="50" t="str">
        <f t="shared" si="47"/>
        <v>Check Data</v>
      </c>
      <c r="AT85" s="49" t="str">
        <f>IF(B85="","",IF(K85="S1","S1",INDEX(#REF!,#REF!)))</f>
        <v/>
      </c>
      <c r="AU85" s="49" t="str">
        <f t="shared" si="48"/>
        <v>M2</v>
      </c>
      <c r="AV85" s="50" t="b">
        <f t="shared" si="49"/>
        <v>0</v>
      </c>
      <c r="AW85" s="50"/>
    </row>
    <row r="86" spans="1:49" ht="21.75">
      <c r="A86" s="49">
        <v>84</v>
      </c>
      <c r="B86" s="50"/>
      <c r="C86" s="50"/>
      <c r="D86" s="50" t="s">
        <v>143</v>
      </c>
      <c r="E86" s="49" t="s">
        <v>327</v>
      </c>
      <c r="F86" s="49" t="str">
        <f t="shared" si="25"/>
        <v>21/06/1988</v>
      </c>
      <c r="G86" s="50">
        <f t="shared" si="26"/>
        <v>36</v>
      </c>
      <c r="H86" s="50">
        <f t="shared" si="27"/>
        <v>11</v>
      </c>
      <c r="I86" s="50">
        <f t="shared" si="28"/>
        <v>30</v>
      </c>
      <c r="J86" s="58"/>
      <c r="K86" s="49" t="s">
        <v>136</v>
      </c>
      <c r="L86" s="49" t="str">
        <f>IF(B86="","",IF(K86="S1",K86,INDEX(#REF!,#REF!)))</f>
        <v/>
      </c>
      <c r="M86" s="49" t="b">
        <f t="shared" si="29"/>
        <v>0</v>
      </c>
      <c r="N86" s="64"/>
      <c r="O86" s="49" t="s">
        <v>427</v>
      </c>
      <c r="P86" s="49">
        <v>2570</v>
      </c>
      <c r="Q86" s="65" t="s">
        <v>287</v>
      </c>
      <c r="R86" s="49" t="str">
        <f t="shared" si="30"/>
        <v>29/10/2020</v>
      </c>
      <c r="S86" s="49" t="str">
        <f>IF(B86="","",IF(K86="S1",K86,INDEX(#REF!,#REF!)))</f>
        <v/>
      </c>
      <c r="T86" s="49" t="b">
        <f t="shared" si="31"/>
        <v>0</v>
      </c>
      <c r="U86" s="68">
        <f t="shared" si="32"/>
        <v>4</v>
      </c>
      <c r="V86" s="68">
        <f t="shared" si="33"/>
        <v>7</v>
      </c>
      <c r="W86" s="68">
        <f t="shared" si="34"/>
        <v>22</v>
      </c>
      <c r="X86" s="68"/>
      <c r="Y86" s="65"/>
      <c r="Z86" s="65"/>
      <c r="AA86" s="49" t="str">
        <f t="shared" si="35"/>
        <v/>
      </c>
      <c r="AB86" s="68">
        <f t="shared" si="36"/>
        <v>0</v>
      </c>
      <c r="AC86" s="68">
        <f t="shared" si="37"/>
        <v>0</v>
      </c>
      <c r="AD86" s="68">
        <f t="shared" si="38"/>
        <v>0</v>
      </c>
      <c r="AE86" s="49"/>
      <c r="AF86" s="65"/>
      <c r="AG86" s="50" t="str">
        <f t="shared" si="39"/>
        <v/>
      </c>
      <c r="AH86" s="68">
        <f t="shared" si="40"/>
        <v>0</v>
      </c>
      <c r="AI86" s="68">
        <f t="shared" si="41"/>
        <v>0</v>
      </c>
      <c r="AJ86" s="68">
        <f t="shared" si="42"/>
        <v>0</v>
      </c>
      <c r="AK86" s="50"/>
      <c r="AL86" s="50" t="s">
        <v>178</v>
      </c>
      <c r="AM86" s="50" t="str">
        <f>IF(B86="","",IF(K86="S1",K86,INDEX(#REF!,#REF!)))</f>
        <v/>
      </c>
      <c r="AN86" s="50" t="b">
        <f t="shared" si="43"/>
        <v>0</v>
      </c>
      <c r="AO86" s="49" t="str">
        <f t="shared" si="44"/>
        <v>K5-POLICY</v>
      </c>
      <c r="AP86" s="72" t="str">
        <f>_xlfn.IFS(B86="","",AND(AO86="K5-LAW",AL86="นิติศาสตร์",K86="S2",Y86="",AE86=""),R86,AND(AO86="K5-LAW",AL86="นิติศาสตร์",K86="S1",Y86="",AE86=""),EDATE(R86,12),AND(AO86="K5-LAW",AL86="นิติศาสตร์",OR(K86="M2",K86="K4"),Y86="",AE86=""),EDATE(R86,12*2),AND(AO86="K5-LAW",AL86="นิติศาสตร์",OR(AE86="M2",AE86="K4"),AH86&gt;=2,OR(AG86&lt;AA86,AG86&lt;R86)),EDATE(AG86,12*2),AND(AO86="K5-LAW",AL86="นิติศาสตร์",AE86="S1",AH86&gt;=1,OR(AG86&lt;AA86,AG86&lt;R86)),EDATE(AG86,12),AND(AO86="K5-LAW",AL86="นิติศาสตร์",OR(Y86="M2",Y86="K4"),AB86&gt;=2,AA86&lt;R86),EDATE(AA86,12*2),AND(AO86="K5-LAW",AL86="นิติศาสตร์",Y86="S1",AB86&gt;=1,AA86&lt;R86),EDATE(AA86,12),AND(AO86="K5-LAW",AL86="นิติศาสตร์",OR(Y86="S2",Y86="K5")),AA86,AND(AO86="K5-LAW",AL86="นิติศาสตร์",OR(K86="M2",K86="K4"),U86&gt;=2),EDATE(R86,12*2),AND(AO86="K5-LAW",AL86="นิติศาสตร์",K86="S1",U86&gt;=1),EDATE(R86,12),AND(AO86="K5-LAW",AL86="นิติศาสตร์",OR(K86="S2",K86="K5")),R86,AND(AO86="K5-POLICY",AL86&lt;&gt;"นิติศาสตร์",K86="S2",Y86="",AE86=""),R86,AND(AO86="K5-POLICY",AL86&lt;&gt;"นิติศาสตร์",K86="S1",Y86="",AE86=""),EDATE(R86,12),AND(AO86="K5-POLICY",AL86&lt;&gt;"นิติศาสตร์",OR(K86="M2",K86="K4"),Y86="",AE86=""),EDATE(R86,12*2),AND(AO86="K5-POLICY",AL86&lt;&gt;"นิติศาสตร์",OR(AE86="M2",AE86="K4"),AH86&gt;=2,OR(AG86&lt;AA86,AG86&lt;R86)),EDATE(AG86,12*2),AND(AO86="K5-POLICY",AL86&lt;&gt;"นิติศาสตร์",AE86="S1",AH86&gt;=1,OR(AG86&lt;AA86,AG86&lt;R86)),EDATE(AG86,12),AND(AO86="K5-POLICY",AL86&lt;&gt;"นิติศาสตร์",OR(Y86="M2",Y86="K4"),AB86&gt;=2,AA86&lt;R86),EDATE(AA86,12*2),AND(AO86="K5-POLICY",AL86&lt;&gt;"นิติศาสตร์",Y86="S1",AB86&gt;=1,AA86&lt;R86),EDATE(AA86,12),AND(AO86="K5-POLICY",AL86&lt;&gt;"นิติศาสตร์",OR(Y86="S2",Y86="K5")),AA86,AND(AO86="K5-POLICY",AL86&lt;&gt;"นิติศาสตร์",OR(K86="M2",K86="K4"),U86&gt;=2),EDATE(R86,12*2),AND(AO86="K5-POLICY",AL86&lt;&gt;"นิติศาสตร์",K86="S1",U86&gt;=1),EDATE(R86,12),AND(AO86="K5-POLICY",AL86&lt;&gt;"นิติศาสตร์",OR(K86="S2",K86="K5")),R86,TRUE,"Check Data")</f>
        <v/>
      </c>
      <c r="AQ86" s="75" t="str">
        <f t="shared" si="45"/>
        <v>Check Data</v>
      </c>
      <c r="AR86" s="76" t="str">
        <f t="shared" si="46"/>
        <v>Check Data</v>
      </c>
      <c r="AS86" s="50" t="str">
        <f t="shared" si="47"/>
        <v>Check Data</v>
      </c>
      <c r="AT86" s="49" t="str">
        <f>IF(B86="","",IF(K86="S1","S1",INDEX(#REF!,#REF!)))</f>
        <v/>
      </c>
      <c r="AU86" s="49" t="str">
        <f t="shared" si="48"/>
        <v>M2</v>
      </c>
      <c r="AV86" s="50" t="b">
        <f t="shared" si="49"/>
        <v>0</v>
      </c>
      <c r="AW86" s="50"/>
    </row>
    <row r="87" spans="1:49" ht="21.75">
      <c r="A87" s="49">
        <v>85</v>
      </c>
      <c r="B87" s="50"/>
      <c r="C87" s="50"/>
      <c r="D87" s="50" t="s">
        <v>143</v>
      </c>
      <c r="E87" s="49" t="s">
        <v>347</v>
      </c>
      <c r="F87" s="49" t="str">
        <f t="shared" si="25"/>
        <v>16/11/1992</v>
      </c>
      <c r="G87" s="50">
        <f t="shared" si="26"/>
        <v>32</v>
      </c>
      <c r="H87" s="50">
        <f t="shared" si="27"/>
        <v>7</v>
      </c>
      <c r="I87" s="50">
        <f t="shared" si="28"/>
        <v>4</v>
      </c>
      <c r="J87" s="59"/>
      <c r="K87" s="49" t="s">
        <v>136</v>
      </c>
      <c r="L87" s="49" t="str">
        <f>IF(B87="","",IF(K87="S1",K87,INDEX(#REF!,#REF!)))</f>
        <v/>
      </c>
      <c r="M87" s="49" t="b">
        <f t="shared" si="29"/>
        <v>0</v>
      </c>
      <c r="N87" s="64"/>
      <c r="O87" s="49" t="s">
        <v>427</v>
      </c>
      <c r="P87" s="49">
        <v>2568</v>
      </c>
      <c r="Q87" s="65" t="s">
        <v>287</v>
      </c>
      <c r="R87" s="49" t="str">
        <f t="shared" si="30"/>
        <v>29/10/2020</v>
      </c>
      <c r="S87" s="49" t="str">
        <f>IF(B87="","",IF(K87="S1",K87,INDEX(#REF!,#REF!)))</f>
        <v/>
      </c>
      <c r="T87" s="49" t="b">
        <f t="shared" si="31"/>
        <v>0</v>
      </c>
      <c r="U87" s="68">
        <f t="shared" si="32"/>
        <v>4</v>
      </c>
      <c r="V87" s="68">
        <f t="shared" si="33"/>
        <v>7</v>
      </c>
      <c r="W87" s="68">
        <f t="shared" si="34"/>
        <v>22</v>
      </c>
      <c r="X87" s="68"/>
      <c r="Y87" s="65"/>
      <c r="Z87" s="65"/>
      <c r="AA87" s="49" t="str">
        <f t="shared" si="35"/>
        <v/>
      </c>
      <c r="AB87" s="68">
        <f t="shared" si="36"/>
        <v>0</v>
      </c>
      <c r="AC87" s="68">
        <f t="shared" si="37"/>
        <v>0</v>
      </c>
      <c r="AD87" s="68">
        <f t="shared" si="38"/>
        <v>0</v>
      </c>
      <c r="AE87" s="49"/>
      <c r="AF87" s="65"/>
      <c r="AG87" s="50" t="str">
        <f t="shared" si="39"/>
        <v/>
      </c>
      <c r="AH87" s="68">
        <f t="shared" si="40"/>
        <v>0</v>
      </c>
      <c r="AI87" s="68">
        <f t="shared" si="41"/>
        <v>0</v>
      </c>
      <c r="AJ87" s="68">
        <f t="shared" si="42"/>
        <v>0</v>
      </c>
      <c r="AK87" s="50"/>
      <c r="AL87" s="50" t="s">
        <v>514</v>
      </c>
      <c r="AM87" s="50" t="str">
        <f>IF(B87="","",IF(K87="S1",K87,INDEX(#REF!,#REF!)))</f>
        <v/>
      </c>
      <c r="AN87" s="50" t="b">
        <f t="shared" si="43"/>
        <v>0</v>
      </c>
      <c r="AO87" s="49" t="str">
        <f t="shared" si="44"/>
        <v>K5-POLICY</v>
      </c>
      <c r="AP87" s="72" t="str">
        <f>_xlfn.IFS(B87="","",AND(AO87="K5-LAW",AL87="นิติศาสตร์",K87="S2",Y87="",AE87=""),R87,AND(AO87="K5-LAW",AL87="นิติศาสตร์",K87="S1",Y87="",AE87=""),EDATE(R87,12),AND(AO87="K5-LAW",AL87="นิติศาสตร์",OR(K87="M2",K87="K4"),Y87="",AE87=""),EDATE(R87,12*2),AND(AO87="K5-LAW",AL87="นิติศาสตร์",OR(AE87="M2",AE87="K4"),AH87&gt;=2,OR(AG87&lt;AA87,AG87&lt;R87)),EDATE(AG87,12*2),AND(AO87="K5-LAW",AL87="นิติศาสตร์",AE87="S1",AH87&gt;=1,OR(AG87&lt;AA87,AG87&lt;R87)),EDATE(AG87,12),AND(AO87="K5-LAW",AL87="นิติศาสตร์",OR(Y87="M2",Y87="K4"),AB87&gt;=2,AA87&lt;R87),EDATE(AA87,12*2),AND(AO87="K5-LAW",AL87="นิติศาสตร์",Y87="S1",AB87&gt;=1,AA87&lt;R87),EDATE(AA87,12),AND(AO87="K5-LAW",AL87="นิติศาสตร์",OR(Y87="S2",Y87="K5")),AA87,AND(AO87="K5-LAW",AL87="นิติศาสตร์",OR(K87="M2",K87="K4"),U87&gt;=2),EDATE(R87,12*2),AND(AO87="K5-LAW",AL87="นิติศาสตร์",K87="S1",U87&gt;=1),EDATE(R87,12),AND(AO87="K5-LAW",AL87="นิติศาสตร์",OR(K87="S2",K87="K5")),R87,AND(AO87="K5-POLICY",AL87&lt;&gt;"นิติศาสตร์",K87="S2",Y87="",AE87=""),R87,AND(AO87="K5-POLICY",AL87&lt;&gt;"นิติศาสตร์",K87="S1",Y87="",AE87=""),EDATE(R87,12),AND(AO87="K5-POLICY",AL87&lt;&gt;"นิติศาสตร์",OR(K87="M2",K87="K4"),Y87="",AE87=""),EDATE(R87,12*2),AND(AO87="K5-POLICY",AL87&lt;&gt;"นิติศาสตร์",OR(AE87="M2",AE87="K4"),AH87&gt;=2,OR(AG87&lt;AA87,AG87&lt;R87)),EDATE(AG87,12*2),AND(AO87="K5-POLICY",AL87&lt;&gt;"นิติศาสตร์",AE87="S1",AH87&gt;=1,OR(AG87&lt;AA87,AG87&lt;R87)),EDATE(AG87,12),AND(AO87="K5-POLICY",AL87&lt;&gt;"นิติศาสตร์",OR(Y87="M2",Y87="K4"),AB87&gt;=2,AA87&lt;R87),EDATE(AA87,12*2),AND(AO87="K5-POLICY",AL87&lt;&gt;"นิติศาสตร์",Y87="S1",AB87&gt;=1,AA87&lt;R87),EDATE(AA87,12),AND(AO87="K5-POLICY",AL87&lt;&gt;"นิติศาสตร์",OR(Y87="S2",Y87="K5")),AA87,AND(AO87="K5-POLICY",AL87&lt;&gt;"นิติศาสตร์",OR(K87="M2",K87="K4"),U87&gt;=2),EDATE(R87,12*2),AND(AO87="K5-POLICY",AL87&lt;&gt;"นิติศาสตร์",K87="S1",U87&gt;=1),EDATE(R87,12),AND(AO87="K5-POLICY",AL87&lt;&gt;"นิติศาสตร์",OR(K87="S2",K87="K5")),R87,TRUE,"Check Data")</f>
        <v/>
      </c>
      <c r="AQ87" s="75" t="str">
        <f t="shared" si="45"/>
        <v>Check Data</v>
      </c>
      <c r="AR87" s="76" t="str">
        <f t="shared" si="46"/>
        <v>Check Data</v>
      </c>
      <c r="AS87" s="50" t="str">
        <f t="shared" si="47"/>
        <v>Check Data</v>
      </c>
      <c r="AT87" s="49" t="str">
        <f>IF(B87="","",IF(K87="S1","S1",INDEX(#REF!,#REF!)))</f>
        <v/>
      </c>
      <c r="AU87" s="49" t="str">
        <f t="shared" si="48"/>
        <v>M2</v>
      </c>
      <c r="AV87" s="50" t="b">
        <f t="shared" si="49"/>
        <v>0</v>
      </c>
      <c r="AW87" s="50"/>
    </row>
    <row r="88" spans="1:49" ht="21.75">
      <c r="A88" s="49">
        <v>86</v>
      </c>
      <c r="B88" s="50"/>
      <c r="C88" s="50"/>
      <c r="D88" s="50" t="s">
        <v>143</v>
      </c>
      <c r="E88" s="49" t="s">
        <v>327</v>
      </c>
      <c r="F88" s="49" t="str">
        <f t="shared" si="25"/>
        <v>21/06/1988</v>
      </c>
      <c r="G88" s="50">
        <f t="shared" si="26"/>
        <v>36</v>
      </c>
      <c r="H88" s="50">
        <f t="shared" si="27"/>
        <v>11</v>
      </c>
      <c r="I88" s="50">
        <f t="shared" si="28"/>
        <v>30</v>
      </c>
      <c r="J88" s="59"/>
      <c r="K88" s="49" t="s">
        <v>136</v>
      </c>
      <c r="L88" s="49" t="str">
        <f>IF(B88="","",IF(K88="S1",K88,INDEX(#REF!,#REF!)))</f>
        <v/>
      </c>
      <c r="M88" s="49" t="b">
        <f t="shared" si="29"/>
        <v>0</v>
      </c>
      <c r="N88" s="64"/>
      <c r="O88" s="49" t="s">
        <v>427</v>
      </c>
      <c r="P88" s="49">
        <v>2569</v>
      </c>
      <c r="Q88" s="65" t="s">
        <v>287</v>
      </c>
      <c r="R88" s="49" t="str">
        <f t="shared" si="30"/>
        <v>29/10/2020</v>
      </c>
      <c r="S88" s="49" t="str">
        <f>IF(B88="","",IF(K88="S1",K88,INDEX(#REF!,#REF!)))</f>
        <v/>
      </c>
      <c r="T88" s="49" t="b">
        <f t="shared" si="31"/>
        <v>0</v>
      </c>
      <c r="U88" s="68">
        <f t="shared" si="32"/>
        <v>4</v>
      </c>
      <c r="V88" s="68">
        <f t="shared" si="33"/>
        <v>7</v>
      </c>
      <c r="W88" s="68">
        <f t="shared" si="34"/>
        <v>22</v>
      </c>
      <c r="X88" s="68"/>
      <c r="Y88" s="65"/>
      <c r="Z88" s="65"/>
      <c r="AA88" s="49" t="str">
        <f t="shared" si="35"/>
        <v/>
      </c>
      <c r="AB88" s="68">
        <f t="shared" si="36"/>
        <v>0</v>
      </c>
      <c r="AC88" s="68">
        <f t="shared" si="37"/>
        <v>0</v>
      </c>
      <c r="AD88" s="68">
        <f t="shared" si="38"/>
        <v>0</v>
      </c>
      <c r="AE88" s="49"/>
      <c r="AF88" s="65"/>
      <c r="AG88" s="50" t="str">
        <f t="shared" si="39"/>
        <v/>
      </c>
      <c r="AH88" s="68">
        <f t="shared" si="40"/>
        <v>0</v>
      </c>
      <c r="AI88" s="68">
        <f t="shared" si="41"/>
        <v>0</v>
      </c>
      <c r="AJ88" s="68">
        <f t="shared" si="42"/>
        <v>0</v>
      </c>
      <c r="AK88" s="50"/>
      <c r="AL88" s="50" t="s">
        <v>513</v>
      </c>
      <c r="AM88" s="50" t="str">
        <f>IF(B88="","",IF(K88="S1",K88,INDEX(#REF!,#REF!)))</f>
        <v/>
      </c>
      <c r="AN88" s="50" t="b">
        <f t="shared" si="43"/>
        <v>0</v>
      </c>
      <c r="AO88" s="49" t="str">
        <f t="shared" si="44"/>
        <v>K5-POLICY</v>
      </c>
      <c r="AP88" s="72" t="str">
        <f>_xlfn.IFS(B88="","",AND(AO88="K5-LAW",AL88="นิติศาสตร์",K88="S2",Y88="",AE88=""),R88,AND(AO88="K5-LAW",AL88="นิติศาสตร์",K88="S1",Y88="",AE88=""),EDATE(R88,12),AND(AO88="K5-LAW",AL88="นิติศาสตร์",OR(K88="M2",K88="K4"),Y88="",AE88=""),EDATE(R88,12*2),AND(AO88="K5-LAW",AL88="นิติศาสตร์",OR(AE88="M2",AE88="K4"),AH88&gt;=2,OR(AG88&lt;AA88,AG88&lt;R88)),EDATE(AG88,12*2),AND(AO88="K5-LAW",AL88="นิติศาสตร์",AE88="S1",AH88&gt;=1,OR(AG88&lt;AA88,AG88&lt;R88)),EDATE(AG88,12),AND(AO88="K5-LAW",AL88="นิติศาสตร์",OR(Y88="M2",Y88="K4"),AB88&gt;=2,AA88&lt;R88),EDATE(AA88,12*2),AND(AO88="K5-LAW",AL88="นิติศาสตร์",Y88="S1",AB88&gt;=1,AA88&lt;R88),EDATE(AA88,12),AND(AO88="K5-LAW",AL88="นิติศาสตร์",OR(Y88="S2",Y88="K5")),AA88,AND(AO88="K5-LAW",AL88="นิติศาสตร์",OR(K88="M2",K88="K4"),U88&gt;=2),EDATE(R88,12*2),AND(AO88="K5-LAW",AL88="นิติศาสตร์",K88="S1",U88&gt;=1),EDATE(R88,12),AND(AO88="K5-LAW",AL88="นิติศาสตร์",OR(K88="S2",K88="K5")),R88,AND(AO88="K5-POLICY",AL88&lt;&gt;"นิติศาสตร์",K88="S2",Y88="",AE88=""),R88,AND(AO88="K5-POLICY",AL88&lt;&gt;"นิติศาสตร์",K88="S1",Y88="",AE88=""),EDATE(R88,12),AND(AO88="K5-POLICY",AL88&lt;&gt;"นิติศาสตร์",OR(K88="M2",K88="K4"),Y88="",AE88=""),EDATE(R88,12*2),AND(AO88="K5-POLICY",AL88&lt;&gt;"นิติศาสตร์",OR(AE88="M2",AE88="K4"),AH88&gt;=2,OR(AG88&lt;AA88,AG88&lt;R88)),EDATE(AG88,12*2),AND(AO88="K5-POLICY",AL88&lt;&gt;"นิติศาสตร์",AE88="S1",AH88&gt;=1,OR(AG88&lt;AA88,AG88&lt;R88)),EDATE(AG88,12),AND(AO88="K5-POLICY",AL88&lt;&gt;"นิติศาสตร์",OR(Y88="M2",Y88="K4"),AB88&gt;=2,AA88&lt;R88),EDATE(AA88,12*2),AND(AO88="K5-POLICY",AL88&lt;&gt;"นิติศาสตร์",Y88="S1",AB88&gt;=1,AA88&lt;R88),EDATE(AA88,12),AND(AO88="K5-POLICY",AL88&lt;&gt;"นิติศาสตร์",OR(Y88="S2",Y88="K5")),AA88,AND(AO88="K5-POLICY",AL88&lt;&gt;"นิติศาสตร์",OR(K88="M2",K88="K4"),U88&gt;=2),EDATE(R88,12*2),AND(AO88="K5-POLICY",AL88&lt;&gt;"นิติศาสตร์",K88="S1",U88&gt;=1),EDATE(R88,12),AND(AO88="K5-POLICY",AL88&lt;&gt;"นิติศาสตร์",OR(K88="S2",K88="K5")),R88,TRUE,"Check Data")</f>
        <v/>
      </c>
      <c r="AQ88" s="75" t="str">
        <f t="shared" si="45"/>
        <v>Check Data</v>
      </c>
      <c r="AR88" s="76" t="str">
        <f t="shared" si="46"/>
        <v>Check Data</v>
      </c>
      <c r="AS88" s="50" t="str">
        <f t="shared" si="47"/>
        <v>Check Data</v>
      </c>
      <c r="AT88" s="49" t="str">
        <f>IF(B88="","",IF(K88="S1","S1",INDEX(#REF!,#REF!)))</f>
        <v/>
      </c>
      <c r="AU88" s="49" t="str">
        <f t="shared" si="48"/>
        <v>M2</v>
      </c>
      <c r="AV88" s="50" t="b">
        <f t="shared" si="49"/>
        <v>0</v>
      </c>
      <c r="AW88" s="50"/>
    </row>
    <row r="89" spans="1:49" ht="21.75">
      <c r="A89" s="49">
        <v>87</v>
      </c>
      <c r="B89" s="50"/>
      <c r="C89" s="50"/>
      <c r="D89" s="50" t="s">
        <v>143</v>
      </c>
      <c r="E89" s="49" t="s">
        <v>349</v>
      </c>
      <c r="F89" s="49" t="str">
        <f t="shared" si="25"/>
        <v>24/10/1991</v>
      </c>
      <c r="G89" s="50">
        <f t="shared" si="26"/>
        <v>33</v>
      </c>
      <c r="H89" s="50">
        <f t="shared" si="27"/>
        <v>7</v>
      </c>
      <c r="I89" s="50">
        <f t="shared" si="28"/>
        <v>27</v>
      </c>
      <c r="J89" s="59"/>
      <c r="K89" s="49" t="s">
        <v>136</v>
      </c>
      <c r="L89" s="49" t="str">
        <f>IF(B89="","",IF(K89="S1",K89,INDEX(#REF!,#REF!)))</f>
        <v/>
      </c>
      <c r="M89" s="49" t="b">
        <f t="shared" si="29"/>
        <v>0</v>
      </c>
      <c r="N89" s="64"/>
      <c r="O89" s="49" t="s">
        <v>427</v>
      </c>
      <c r="P89" s="49">
        <v>2572</v>
      </c>
      <c r="Q89" s="65" t="s">
        <v>287</v>
      </c>
      <c r="R89" s="49" t="str">
        <f t="shared" si="30"/>
        <v>29/10/2020</v>
      </c>
      <c r="S89" s="49" t="str">
        <f>IF(B89="","",IF(K89="S1",K89,INDEX(#REF!,#REF!)))</f>
        <v/>
      </c>
      <c r="T89" s="49" t="b">
        <f t="shared" si="31"/>
        <v>0</v>
      </c>
      <c r="U89" s="68">
        <f t="shared" si="32"/>
        <v>4</v>
      </c>
      <c r="V89" s="68">
        <f t="shared" si="33"/>
        <v>7</v>
      </c>
      <c r="W89" s="68">
        <f t="shared" si="34"/>
        <v>22</v>
      </c>
      <c r="X89" s="68"/>
      <c r="Y89" s="65"/>
      <c r="Z89" s="65"/>
      <c r="AA89" s="49" t="str">
        <f t="shared" si="35"/>
        <v/>
      </c>
      <c r="AB89" s="68">
        <f t="shared" si="36"/>
        <v>0</v>
      </c>
      <c r="AC89" s="68">
        <f t="shared" si="37"/>
        <v>0</v>
      </c>
      <c r="AD89" s="68">
        <f t="shared" si="38"/>
        <v>0</v>
      </c>
      <c r="AE89" s="49"/>
      <c r="AF89" s="65"/>
      <c r="AG89" s="50" t="str">
        <f t="shared" si="39"/>
        <v/>
      </c>
      <c r="AH89" s="68">
        <f t="shared" si="40"/>
        <v>0</v>
      </c>
      <c r="AI89" s="68">
        <f t="shared" si="41"/>
        <v>0</v>
      </c>
      <c r="AJ89" s="68">
        <f t="shared" si="42"/>
        <v>0</v>
      </c>
      <c r="AK89" s="50"/>
      <c r="AL89" s="50" t="s">
        <v>178</v>
      </c>
      <c r="AM89" s="50" t="str">
        <f>IF(B89="","",IF(K89="S1",K89,INDEX(#REF!,#REF!)))</f>
        <v/>
      </c>
      <c r="AN89" s="50" t="b">
        <f t="shared" si="43"/>
        <v>0</v>
      </c>
      <c r="AO89" s="49" t="str">
        <f t="shared" si="44"/>
        <v>K5-POLICY</v>
      </c>
      <c r="AP89" s="72" t="str">
        <f>_xlfn.IFS(B89="","",AND(AO89="K5-LAW",AL89="นิติศาสตร์",K89="S2",Y89="",AE89=""),R89,AND(AO89="K5-LAW",AL89="นิติศาสตร์",K89="S1",Y89="",AE89=""),EDATE(R89,12),AND(AO89="K5-LAW",AL89="นิติศาสตร์",OR(K89="M2",K89="K4"),Y89="",AE89=""),EDATE(R89,12*2),AND(AO89="K5-LAW",AL89="นิติศาสตร์",OR(AE89="M2",AE89="K4"),AH89&gt;=2,OR(AG89&lt;AA89,AG89&lt;R89)),EDATE(AG89,12*2),AND(AO89="K5-LAW",AL89="นิติศาสตร์",AE89="S1",AH89&gt;=1,OR(AG89&lt;AA89,AG89&lt;R89)),EDATE(AG89,12),AND(AO89="K5-LAW",AL89="นิติศาสตร์",OR(Y89="M2",Y89="K4"),AB89&gt;=2,AA89&lt;R89),EDATE(AA89,12*2),AND(AO89="K5-LAW",AL89="นิติศาสตร์",Y89="S1",AB89&gt;=1,AA89&lt;R89),EDATE(AA89,12),AND(AO89="K5-LAW",AL89="นิติศาสตร์",OR(Y89="S2",Y89="K5")),AA89,AND(AO89="K5-LAW",AL89="นิติศาสตร์",OR(K89="M2",K89="K4"),U89&gt;=2),EDATE(R89,12*2),AND(AO89="K5-LAW",AL89="นิติศาสตร์",K89="S1",U89&gt;=1),EDATE(R89,12),AND(AO89="K5-LAW",AL89="นิติศาสตร์",OR(K89="S2",K89="K5")),R89,AND(AO89="K5-POLICY",AL89&lt;&gt;"นิติศาสตร์",K89="S2",Y89="",AE89=""),R89,AND(AO89="K5-POLICY",AL89&lt;&gt;"นิติศาสตร์",K89="S1",Y89="",AE89=""),EDATE(R89,12),AND(AO89="K5-POLICY",AL89&lt;&gt;"นิติศาสตร์",OR(K89="M2",K89="K4"),Y89="",AE89=""),EDATE(R89,12*2),AND(AO89="K5-POLICY",AL89&lt;&gt;"นิติศาสตร์",OR(AE89="M2",AE89="K4"),AH89&gt;=2,OR(AG89&lt;AA89,AG89&lt;R89)),EDATE(AG89,12*2),AND(AO89="K5-POLICY",AL89&lt;&gt;"นิติศาสตร์",AE89="S1",AH89&gt;=1,OR(AG89&lt;AA89,AG89&lt;R89)),EDATE(AG89,12),AND(AO89="K5-POLICY",AL89&lt;&gt;"นิติศาสตร์",OR(Y89="M2",Y89="K4"),AB89&gt;=2,AA89&lt;R89),EDATE(AA89,12*2),AND(AO89="K5-POLICY",AL89&lt;&gt;"นิติศาสตร์",Y89="S1",AB89&gt;=1,AA89&lt;R89),EDATE(AA89,12),AND(AO89="K5-POLICY",AL89&lt;&gt;"นิติศาสตร์",OR(Y89="S2",Y89="K5")),AA89,AND(AO89="K5-POLICY",AL89&lt;&gt;"นิติศาสตร์",OR(K89="M2",K89="K4"),U89&gt;=2),EDATE(R89,12*2),AND(AO89="K5-POLICY",AL89&lt;&gt;"นิติศาสตร์",K89="S1",U89&gt;=1),EDATE(R89,12),AND(AO89="K5-POLICY",AL89&lt;&gt;"นิติศาสตร์",OR(K89="S2",K89="K5")),R89,TRUE,"Check Data")</f>
        <v/>
      </c>
      <c r="AQ89" s="75" t="str">
        <f t="shared" si="45"/>
        <v>Check Data</v>
      </c>
      <c r="AR89" s="76" t="str">
        <f t="shared" si="46"/>
        <v>Check Data</v>
      </c>
      <c r="AS89" s="50" t="str">
        <f t="shared" si="47"/>
        <v>Check Data</v>
      </c>
      <c r="AT89" s="49" t="str">
        <f>IF(B89="","",IF(K89="S1","S1",INDEX(#REF!,#REF!)))</f>
        <v/>
      </c>
      <c r="AU89" s="49" t="str">
        <f t="shared" si="48"/>
        <v>M2</v>
      </c>
      <c r="AV89" s="50" t="b">
        <f t="shared" si="49"/>
        <v>0</v>
      </c>
      <c r="AW89" s="50"/>
    </row>
    <row r="90" spans="1:49" ht="21.75">
      <c r="A90" s="49">
        <v>88</v>
      </c>
      <c r="B90" s="50"/>
      <c r="C90" s="50"/>
      <c r="D90" s="50" t="s">
        <v>143</v>
      </c>
      <c r="E90" s="49" t="s">
        <v>354</v>
      </c>
      <c r="F90" s="49" t="str">
        <f t="shared" si="25"/>
        <v>06/03/1996</v>
      </c>
      <c r="G90" s="50">
        <f t="shared" si="26"/>
        <v>29</v>
      </c>
      <c r="H90" s="50">
        <f t="shared" si="27"/>
        <v>3</v>
      </c>
      <c r="I90" s="50">
        <f t="shared" si="28"/>
        <v>14</v>
      </c>
      <c r="J90" s="59"/>
      <c r="K90" s="49" t="s">
        <v>136</v>
      </c>
      <c r="L90" s="49" t="str">
        <f>IF(B90="","",IF(K90="S1",K90,INDEX(#REF!,#REF!)))</f>
        <v/>
      </c>
      <c r="M90" s="49" t="b">
        <f t="shared" si="29"/>
        <v>0</v>
      </c>
      <c r="N90" s="64"/>
      <c r="O90" s="49" t="s">
        <v>427</v>
      </c>
      <c r="P90" s="49">
        <v>2573</v>
      </c>
      <c r="Q90" s="65" t="s">
        <v>287</v>
      </c>
      <c r="R90" s="49" t="str">
        <f t="shared" si="30"/>
        <v>29/10/2020</v>
      </c>
      <c r="S90" s="49" t="str">
        <f>IF(B90="","",IF(K90="S1",K90,INDEX(#REF!,#REF!)))</f>
        <v/>
      </c>
      <c r="T90" s="49" t="b">
        <f t="shared" si="31"/>
        <v>0</v>
      </c>
      <c r="U90" s="68">
        <f t="shared" si="32"/>
        <v>4</v>
      </c>
      <c r="V90" s="68">
        <f t="shared" si="33"/>
        <v>7</v>
      </c>
      <c r="W90" s="68">
        <f t="shared" si="34"/>
        <v>22</v>
      </c>
      <c r="X90" s="68"/>
      <c r="Y90" s="65"/>
      <c r="Z90" s="65"/>
      <c r="AA90" s="49" t="str">
        <f t="shared" si="35"/>
        <v/>
      </c>
      <c r="AB90" s="68">
        <f t="shared" si="36"/>
        <v>0</v>
      </c>
      <c r="AC90" s="68">
        <f t="shared" si="37"/>
        <v>0</v>
      </c>
      <c r="AD90" s="68">
        <f t="shared" si="38"/>
        <v>0</v>
      </c>
      <c r="AE90" s="49"/>
      <c r="AF90" s="65"/>
      <c r="AG90" s="50" t="str">
        <f t="shared" si="39"/>
        <v/>
      </c>
      <c r="AH90" s="68">
        <f t="shared" si="40"/>
        <v>0</v>
      </c>
      <c r="AI90" s="68">
        <f t="shared" si="41"/>
        <v>0</v>
      </c>
      <c r="AJ90" s="68">
        <f t="shared" si="42"/>
        <v>0</v>
      </c>
      <c r="AK90" s="50"/>
      <c r="AL90" s="50" t="s">
        <v>486</v>
      </c>
      <c r="AM90" s="50" t="str">
        <f>IF(B90="","",IF(K90="S1",K90,INDEX(#REF!,#REF!)))</f>
        <v/>
      </c>
      <c r="AN90" s="50" t="b">
        <f t="shared" si="43"/>
        <v>0</v>
      </c>
      <c r="AO90" s="49" t="str">
        <f t="shared" si="44"/>
        <v>K5-POLICY</v>
      </c>
      <c r="AP90" s="72" t="str">
        <f>_xlfn.IFS(B90="","",AND(AO90="K5-LAW",AL90="นิติศาสตร์",K90="S2",Y90="",AE90=""),R90,AND(AO90="K5-LAW",AL90="นิติศาสตร์",K90="S1",Y90="",AE90=""),EDATE(R90,12),AND(AO90="K5-LAW",AL90="นิติศาสตร์",OR(K90="M2",K90="K4"),Y90="",AE90=""),EDATE(R90,12*2),AND(AO90="K5-LAW",AL90="นิติศาสตร์",OR(AE90="M2",AE90="K4"),AH90&gt;=2,OR(AG90&lt;AA90,AG90&lt;R90)),EDATE(AG90,12*2),AND(AO90="K5-LAW",AL90="นิติศาสตร์",AE90="S1",AH90&gt;=1,OR(AG90&lt;AA90,AG90&lt;R90)),EDATE(AG90,12),AND(AO90="K5-LAW",AL90="นิติศาสตร์",OR(Y90="M2",Y90="K4"),AB90&gt;=2,AA90&lt;R90),EDATE(AA90,12*2),AND(AO90="K5-LAW",AL90="นิติศาสตร์",Y90="S1",AB90&gt;=1,AA90&lt;R90),EDATE(AA90,12),AND(AO90="K5-LAW",AL90="นิติศาสตร์",OR(Y90="S2",Y90="K5")),AA90,AND(AO90="K5-LAW",AL90="นิติศาสตร์",OR(K90="M2",K90="K4"),U90&gt;=2),EDATE(R90,12*2),AND(AO90="K5-LAW",AL90="นิติศาสตร์",K90="S1",U90&gt;=1),EDATE(R90,12),AND(AO90="K5-LAW",AL90="นิติศาสตร์",OR(K90="S2",K90="K5")),R90,AND(AO90="K5-POLICY",AL90&lt;&gt;"นิติศาสตร์",K90="S2",Y90="",AE90=""),R90,AND(AO90="K5-POLICY",AL90&lt;&gt;"นิติศาสตร์",K90="S1",Y90="",AE90=""),EDATE(R90,12),AND(AO90="K5-POLICY",AL90&lt;&gt;"นิติศาสตร์",OR(K90="M2",K90="K4"),Y90="",AE90=""),EDATE(R90,12*2),AND(AO90="K5-POLICY",AL90&lt;&gt;"นิติศาสตร์",OR(AE90="M2",AE90="K4"),AH90&gt;=2,OR(AG90&lt;AA90,AG90&lt;R90)),EDATE(AG90,12*2),AND(AO90="K5-POLICY",AL90&lt;&gt;"นิติศาสตร์",AE90="S1",AH90&gt;=1,OR(AG90&lt;AA90,AG90&lt;R90)),EDATE(AG90,12),AND(AO90="K5-POLICY",AL90&lt;&gt;"นิติศาสตร์",OR(Y90="M2",Y90="K4"),AB90&gt;=2,AA90&lt;R90),EDATE(AA90,12*2),AND(AO90="K5-POLICY",AL90&lt;&gt;"นิติศาสตร์",Y90="S1",AB90&gt;=1,AA90&lt;R90),EDATE(AA90,12),AND(AO90="K5-POLICY",AL90&lt;&gt;"นิติศาสตร์",OR(Y90="S2",Y90="K5")),AA90,AND(AO90="K5-POLICY",AL90&lt;&gt;"นิติศาสตร์",OR(K90="M2",K90="K4"),U90&gt;=2),EDATE(R90,12*2),AND(AO90="K5-POLICY",AL90&lt;&gt;"นิติศาสตร์",K90="S1",U90&gt;=1),EDATE(R90,12),AND(AO90="K5-POLICY",AL90&lt;&gt;"นิติศาสตร์",OR(K90="S2",K90="K5")),R90,TRUE,"Check Data")</f>
        <v/>
      </c>
      <c r="AQ90" s="75" t="str">
        <f t="shared" si="45"/>
        <v>Check Data</v>
      </c>
      <c r="AR90" s="76" t="str">
        <f t="shared" si="46"/>
        <v>Check Data</v>
      </c>
      <c r="AS90" s="50" t="str">
        <f t="shared" si="47"/>
        <v>Check Data</v>
      </c>
      <c r="AT90" s="49" t="str">
        <f>IF(B90="","",IF(K90="S1","S1",INDEX(#REF!,#REF!)))</f>
        <v/>
      </c>
      <c r="AU90" s="49" t="str">
        <f t="shared" si="48"/>
        <v>M2</v>
      </c>
      <c r="AV90" s="50" t="b">
        <f t="shared" si="49"/>
        <v>0</v>
      </c>
      <c r="AW90" s="50"/>
    </row>
    <row r="91" spans="1:49" ht="21.75">
      <c r="A91" s="49">
        <v>89</v>
      </c>
      <c r="B91" s="50"/>
      <c r="C91" s="50"/>
      <c r="D91" s="50" t="s">
        <v>143</v>
      </c>
      <c r="E91" s="49" t="s">
        <v>296</v>
      </c>
      <c r="F91" s="49" t="str">
        <f t="shared" si="25"/>
        <v>02/10/1995</v>
      </c>
      <c r="G91" s="50">
        <f t="shared" si="26"/>
        <v>29</v>
      </c>
      <c r="H91" s="50">
        <f t="shared" si="27"/>
        <v>8</v>
      </c>
      <c r="I91" s="50">
        <f t="shared" si="28"/>
        <v>18</v>
      </c>
      <c r="J91" s="59"/>
      <c r="K91" s="49" t="s">
        <v>136</v>
      </c>
      <c r="L91" s="49" t="str">
        <f>IF(B91="","",IF(K91="S1",K91,INDEX(#REF!,#REF!)))</f>
        <v/>
      </c>
      <c r="M91" s="49" t="b">
        <f t="shared" si="29"/>
        <v>0</v>
      </c>
      <c r="N91" s="64"/>
      <c r="O91" s="49" t="s">
        <v>427</v>
      </c>
      <c r="P91" s="49">
        <v>2570</v>
      </c>
      <c r="Q91" s="65" t="s">
        <v>287</v>
      </c>
      <c r="R91" s="49" t="str">
        <f t="shared" si="30"/>
        <v>29/10/2020</v>
      </c>
      <c r="S91" s="49" t="str">
        <f>IF(B91="","",IF(K91="S1",K91,INDEX(#REF!,#REF!)))</f>
        <v/>
      </c>
      <c r="T91" s="49" t="b">
        <f t="shared" si="31"/>
        <v>0</v>
      </c>
      <c r="U91" s="68">
        <f t="shared" si="32"/>
        <v>4</v>
      </c>
      <c r="V91" s="68">
        <f t="shared" si="33"/>
        <v>7</v>
      </c>
      <c r="W91" s="68">
        <f t="shared" si="34"/>
        <v>22</v>
      </c>
      <c r="X91" s="68"/>
      <c r="Y91" s="65"/>
      <c r="Z91" s="65"/>
      <c r="AA91" s="49" t="str">
        <f t="shared" si="35"/>
        <v/>
      </c>
      <c r="AB91" s="68">
        <f t="shared" si="36"/>
        <v>0</v>
      </c>
      <c r="AC91" s="68">
        <f t="shared" si="37"/>
        <v>0</v>
      </c>
      <c r="AD91" s="68">
        <f t="shared" si="38"/>
        <v>0</v>
      </c>
      <c r="AE91" s="49"/>
      <c r="AF91" s="65"/>
      <c r="AG91" s="50" t="str">
        <f t="shared" si="39"/>
        <v/>
      </c>
      <c r="AH91" s="68">
        <f t="shared" si="40"/>
        <v>0</v>
      </c>
      <c r="AI91" s="68">
        <f t="shared" si="41"/>
        <v>0</v>
      </c>
      <c r="AJ91" s="68">
        <f t="shared" si="42"/>
        <v>0</v>
      </c>
      <c r="AK91" s="50"/>
      <c r="AL91" s="50" t="s">
        <v>515</v>
      </c>
      <c r="AM91" s="50" t="str">
        <f>IF(B91="","",IF(K91="S1",K91,INDEX(#REF!,#REF!)))</f>
        <v/>
      </c>
      <c r="AN91" s="50" t="b">
        <f t="shared" si="43"/>
        <v>0</v>
      </c>
      <c r="AO91" s="49" t="str">
        <f t="shared" si="44"/>
        <v>K5-POLICY</v>
      </c>
      <c r="AP91" s="72" t="str">
        <f>_xlfn.IFS(B91="","",AND(AO91="K5-LAW",AL91="นิติศาสตร์",K91="S2",Y91="",AE91=""),R91,AND(AO91="K5-LAW",AL91="นิติศาสตร์",K91="S1",Y91="",AE91=""),EDATE(R91,12),AND(AO91="K5-LAW",AL91="นิติศาสตร์",OR(K91="M2",K91="K4"),Y91="",AE91=""),EDATE(R91,12*2),AND(AO91="K5-LAW",AL91="นิติศาสตร์",OR(AE91="M2",AE91="K4"),AH91&gt;=2,OR(AG91&lt;AA91,AG91&lt;R91)),EDATE(AG91,12*2),AND(AO91="K5-LAW",AL91="นิติศาสตร์",AE91="S1",AH91&gt;=1,OR(AG91&lt;AA91,AG91&lt;R91)),EDATE(AG91,12),AND(AO91="K5-LAW",AL91="นิติศาสตร์",OR(Y91="M2",Y91="K4"),AB91&gt;=2,AA91&lt;R91),EDATE(AA91,12*2),AND(AO91="K5-LAW",AL91="นิติศาสตร์",Y91="S1",AB91&gt;=1,AA91&lt;R91),EDATE(AA91,12),AND(AO91="K5-LAW",AL91="นิติศาสตร์",OR(Y91="S2",Y91="K5")),AA91,AND(AO91="K5-LAW",AL91="นิติศาสตร์",OR(K91="M2",K91="K4"),U91&gt;=2),EDATE(R91,12*2),AND(AO91="K5-LAW",AL91="นิติศาสตร์",K91="S1",U91&gt;=1),EDATE(R91,12),AND(AO91="K5-LAW",AL91="นิติศาสตร์",OR(K91="S2",K91="K5")),R91,AND(AO91="K5-POLICY",AL91&lt;&gt;"นิติศาสตร์",K91="S2",Y91="",AE91=""),R91,AND(AO91="K5-POLICY",AL91&lt;&gt;"นิติศาสตร์",K91="S1",Y91="",AE91=""),EDATE(R91,12),AND(AO91="K5-POLICY",AL91&lt;&gt;"นิติศาสตร์",OR(K91="M2",K91="K4"),Y91="",AE91=""),EDATE(R91,12*2),AND(AO91="K5-POLICY",AL91&lt;&gt;"นิติศาสตร์",OR(AE91="M2",AE91="K4"),AH91&gt;=2,OR(AG91&lt;AA91,AG91&lt;R91)),EDATE(AG91,12*2),AND(AO91="K5-POLICY",AL91&lt;&gt;"นิติศาสตร์",AE91="S1",AH91&gt;=1,OR(AG91&lt;AA91,AG91&lt;R91)),EDATE(AG91,12),AND(AO91="K5-POLICY",AL91&lt;&gt;"นิติศาสตร์",OR(Y91="M2",Y91="K4"),AB91&gt;=2,AA91&lt;R91),EDATE(AA91,12*2),AND(AO91="K5-POLICY",AL91&lt;&gt;"นิติศาสตร์",Y91="S1",AB91&gt;=1,AA91&lt;R91),EDATE(AA91,12),AND(AO91="K5-POLICY",AL91&lt;&gt;"นิติศาสตร์",OR(Y91="S2",Y91="K5")),AA91,AND(AO91="K5-POLICY",AL91&lt;&gt;"นิติศาสตร์",OR(K91="M2",K91="K4"),U91&gt;=2),EDATE(R91,12*2),AND(AO91="K5-POLICY",AL91&lt;&gt;"นิติศาสตร์",K91="S1",U91&gt;=1),EDATE(R91,12),AND(AO91="K5-POLICY",AL91&lt;&gt;"นิติศาสตร์",OR(K91="S2",K91="K5")),R91,TRUE,"Check Data")</f>
        <v/>
      </c>
      <c r="AQ91" s="75" t="str">
        <f t="shared" si="45"/>
        <v>Check Data</v>
      </c>
      <c r="AR91" s="76" t="str">
        <f t="shared" si="46"/>
        <v>Check Data</v>
      </c>
      <c r="AS91" s="50" t="str">
        <f t="shared" si="47"/>
        <v>Check Data</v>
      </c>
      <c r="AT91" s="49" t="str">
        <f>IF(B91="","",IF(K91="S1","S1",INDEX(#REF!,#REF!)))</f>
        <v/>
      </c>
      <c r="AU91" s="49" t="str">
        <f t="shared" si="48"/>
        <v>M2</v>
      </c>
      <c r="AV91" s="50" t="b">
        <f t="shared" si="49"/>
        <v>0</v>
      </c>
      <c r="AW91" s="50"/>
    </row>
    <row r="92" spans="1:49" ht="21.75">
      <c r="A92" s="49">
        <v>90</v>
      </c>
      <c r="B92" s="50"/>
      <c r="C92" s="50"/>
      <c r="D92" s="50" t="s">
        <v>143</v>
      </c>
      <c r="E92" s="49" t="s">
        <v>230</v>
      </c>
      <c r="F92" s="49" t="str">
        <f t="shared" si="25"/>
        <v>03/11/1997</v>
      </c>
      <c r="G92" s="50">
        <f t="shared" si="26"/>
        <v>27</v>
      </c>
      <c r="H92" s="50">
        <f t="shared" si="27"/>
        <v>7</v>
      </c>
      <c r="I92" s="50">
        <f t="shared" si="28"/>
        <v>17</v>
      </c>
      <c r="J92" s="59"/>
      <c r="K92" s="49" t="s">
        <v>136</v>
      </c>
      <c r="L92" s="49" t="str">
        <f>IF(B92="","",IF(K92="S1",K92,INDEX(#REF!,#REF!)))</f>
        <v/>
      </c>
      <c r="M92" s="49" t="b">
        <f t="shared" si="29"/>
        <v>0</v>
      </c>
      <c r="N92" s="64"/>
      <c r="O92" s="49" t="s">
        <v>427</v>
      </c>
      <c r="P92" s="49">
        <v>2576</v>
      </c>
      <c r="Q92" s="65" t="s">
        <v>287</v>
      </c>
      <c r="R92" s="49" t="str">
        <f t="shared" si="30"/>
        <v>29/10/2020</v>
      </c>
      <c r="S92" s="49" t="str">
        <f>IF(B92="","",IF(K92="S1",K92,INDEX(#REF!,#REF!)))</f>
        <v/>
      </c>
      <c r="T92" s="49" t="b">
        <f t="shared" si="31"/>
        <v>0</v>
      </c>
      <c r="U92" s="68">
        <f t="shared" si="32"/>
        <v>4</v>
      </c>
      <c r="V92" s="68">
        <f t="shared" si="33"/>
        <v>7</v>
      </c>
      <c r="W92" s="68">
        <f t="shared" si="34"/>
        <v>22</v>
      </c>
      <c r="X92" s="68"/>
      <c r="Y92" s="65"/>
      <c r="Z92" s="65"/>
      <c r="AA92" s="49" t="str">
        <f t="shared" si="35"/>
        <v/>
      </c>
      <c r="AB92" s="68">
        <f t="shared" si="36"/>
        <v>0</v>
      </c>
      <c r="AC92" s="68">
        <f t="shared" si="37"/>
        <v>0</v>
      </c>
      <c r="AD92" s="68">
        <f t="shared" si="38"/>
        <v>0</v>
      </c>
      <c r="AE92" s="49"/>
      <c r="AF92" s="65"/>
      <c r="AG92" s="50" t="str">
        <f t="shared" si="39"/>
        <v/>
      </c>
      <c r="AH92" s="68">
        <f t="shared" si="40"/>
        <v>0</v>
      </c>
      <c r="AI92" s="68">
        <f t="shared" si="41"/>
        <v>0</v>
      </c>
      <c r="AJ92" s="68">
        <f t="shared" si="42"/>
        <v>0</v>
      </c>
      <c r="AK92" s="50"/>
      <c r="AL92" s="50" t="s">
        <v>138</v>
      </c>
      <c r="AM92" s="50" t="str">
        <f>IF(B92="","",IF(K92="S1",K92,INDEX(#REF!,#REF!)))</f>
        <v/>
      </c>
      <c r="AN92" s="50" t="b">
        <f t="shared" si="43"/>
        <v>0</v>
      </c>
      <c r="AO92" s="49" t="str">
        <f t="shared" si="44"/>
        <v>K5-LAW</v>
      </c>
      <c r="AP92" s="72" t="str">
        <f>_xlfn.IFS(B92="","",AND(AO92="K5-LAW",AL92="นิติศาสตร์",K92="S2",Y92="",AE92=""),R92,AND(AO92="K5-LAW",AL92="นิติศาสตร์",K92="S1",Y92="",AE92=""),EDATE(R92,12),AND(AO92="K5-LAW",AL92="นิติศาสตร์",OR(K92="M2",K92="K4"),Y92="",AE92=""),EDATE(R92,12*2),AND(AO92="K5-LAW",AL92="นิติศาสตร์",OR(AE92="M2",AE92="K4"),AH92&gt;=2,OR(AG92&lt;AA92,AG92&lt;R92)),EDATE(AG92,12*2),AND(AO92="K5-LAW",AL92="นิติศาสตร์",AE92="S1",AH92&gt;=1,OR(AG92&lt;AA92,AG92&lt;R92)),EDATE(AG92,12),AND(AO92="K5-LAW",AL92="นิติศาสตร์",OR(Y92="M2",Y92="K4"),AB92&gt;=2,AA92&lt;R92),EDATE(AA92,12*2),AND(AO92="K5-LAW",AL92="นิติศาสตร์",Y92="S1",AB92&gt;=1,AA92&lt;R92),EDATE(AA92,12),AND(AO92="K5-LAW",AL92="นิติศาสตร์",OR(Y92="S2",Y92="K5")),AA92,AND(AO92="K5-LAW",AL92="นิติศาสตร์",OR(K92="M2",K92="K4"),U92&gt;=2),EDATE(R92,12*2),AND(AO92="K5-LAW",AL92="นิติศาสตร์",K92="S1",U92&gt;=1),EDATE(R92,12),AND(AO92="K5-LAW",AL92="นิติศาสตร์",OR(K92="S2",K92="K5")),R92,AND(AO92="K5-POLICY",AL92&lt;&gt;"นิติศาสตร์",K92="S2",Y92="",AE92=""),R92,AND(AO92="K5-POLICY",AL92&lt;&gt;"นิติศาสตร์",K92="S1",Y92="",AE92=""),EDATE(R92,12),AND(AO92="K5-POLICY",AL92&lt;&gt;"นิติศาสตร์",OR(K92="M2",K92="K4"),Y92="",AE92=""),EDATE(R92,12*2),AND(AO92="K5-POLICY",AL92&lt;&gt;"นิติศาสตร์",OR(AE92="M2",AE92="K4"),AH92&gt;=2,OR(AG92&lt;AA92,AG92&lt;R92)),EDATE(AG92,12*2),AND(AO92="K5-POLICY",AL92&lt;&gt;"นิติศาสตร์",AE92="S1",AH92&gt;=1,OR(AG92&lt;AA92,AG92&lt;R92)),EDATE(AG92,12),AND(AO92="K5-POLICY",AL92&lt;&gt;"นิติศาสตร์",OR(Y92="M2",Y92="K4"),AB92&gt;=2,AA92&lt;R92),EDATE(AA92,12*2),AND(AO92="K5-POLICY",AL92&lt;&gt;"นิติศาสตร์",Y92="S1",AB92&gt;=1,AA92&lt;R92),EDATE(AA92,12),AND(AO92="K5-POLICY",AL92&lt;&gt;"นิติศาสตร์",OR(Y92="S2",Y92="K5")),AA92,AND(AO92="K5-POLICY",AL92&lt;&gt;"นิติศาสตร์",OR(K92="M2",K92="K4"),U92&gt;=2),EDATE(R92,12*2),AND(AO92="K5-POLICY",AL92&lt;&gt;"นิติศาสตร์",K92="S1",U92&gt;=1),EDATE(R92,12),AND(AO92="K5-POLICY",AL92&lt;&gt;"นิติศาสตร์",OR(K92="S2",K92="K5")),R92,TRUE,"Check Data")</f>
        <v/>
      </c>
      <c r="AQ92" s="75" t="str">
        <f t="shared" si="45"/>
        <v>Check Data</v>
      </c>
      <c r="AR92" s="76" t="str">
        <f t="shared" si="46"/>
        <v>Check Data</v>
      </c>
      <c r="AS92" s="50" t="str">
        <f t="shared" si="47"/>
        <v>Check Data</v>
      </c>
      <c r="AT92" s="49" t="str">
        <f>IF(B92="","",IF(K92="S1","S1",INDEX(#REF!,#REF!)))</f>
        <v/>
      </c>
      <c r="AU92" s="49" t="str">
        <f t="shared" si="48"/>
        <v>M2</v>
      </c>
      <c r="AV92" s="50" t="b">
        <f t="shared" si="49"/>
        <v>0</v>
      </c>
      <c r="AW92" s="50"/>
    </row>
    <row r="93" spans="1:49" ht="21.75">
      <c r="A93" s="49">
        <v>91</v>
      </c>
      <c r="B93" s="50"/>
      <c r="C93" s="50"/>
      <c r="D93" s="50" t="s">
        <v>143</v>
      </c>
      <c r="E93" s="49" t="s">
        <v>334</v>
      </c>
      <c r="F93" s="49" t="str">
        <f t="shared" si="25"/>
        <v>23/08/1996</v>
      </c>
      <c r="G93" s="50">
        <f t="shared" si="26"/>
        <v>28</v>
      </c>
      <c r="H93" s="50">
        <f t="shared" si="27"/>
        <v>9</v>
      </c>
      <c r="I93" s="50">
        <f t="shared" si="28"/>
        <v>28</v>
      </c>
      <c r="J93" s="59"/>
      <c r="K93" s="49" t="s">
        <v>136</v>
      </c>
      <c r="L93" s="49" t="str">
        <f>IF(B93="","",IF(K93="S1",K93,INDEX(#REF!,#REF!)))</f>
        <v/>
      </c>
      <c r="M93" s="49" t="b">
        <f t="shared" si="29"/>
        <v>0</v>
      </c>
      <c r="N93" s="64"/>
      <c r="O93" s="49" t="s">
        <v>427</v>
      </c>
      <c r="P93" s="49">
        <v>2576</v>
      </c>
      <c r="Q93" s="65" t="s">
        <v>287</v>
      </c>
      <c r="R93" s="49" t="str">
        <f t="shared" si="30"/>
        <v>29/10/2020</v>
      </c>
      <c r="S93" s="49" t="str">
        <f>IF(B93="","",IF(K93="S1",K93,INDEX(#REF!,#REF!)))</f>
        <v/>
      </c>
      <c r="T93" s="49" t="b">
        <f t="shared" si="31"/>
        <v>0</v>
      </c>
      <c r="U93" s="68">
        <f t="shared" si="32"/>
        <v>4</v>
      </c>
      <c r="V93" s="68">
        <f t="shared" si="33"/>
        <v>7</v>
      </c>
      <c r="W93" s="68">
        <f t="shared" si="34"/>
        <v>22</v>
      </c>
      <c r="X93" s="68"/>
      <c r="Y93" s="65"/>
      <c r="Z93" s="65"/>
      <c r="AA93" s="49" t="str">
        <f t="shared" si="35"/>
        <v/>
      </c>
      <c r="AB93" s="68">
        <f t="shared" si="36"/>
        <v>0</v>
      </c>
      <c r="AC93" s="68">
        <f t="shared" si="37"/>
        <v>0</v>
      </c>
      <c r="AD93" s="68">
        <f t="shared" si="38"/>
        <v>0</v>
      </c>
      <c r="AE93" s="49"/>
      <c r="AF93" s="65"/>
      <c r="AG93" s="50" t="str">
        <f t="shared" si="39"/>
        <v/>
      </c>
      <c r="AH93" s="68">
        <f t="shared" si="40"/>
        <v>0</v>
      </c>
      <c r="AI93" s="68">
        <f t="shared" si="41"/>
        <v>0</v>
      </c>
      <c r="AJ93" s="68">
        <f t="shared" si="42"/>
        <v>0</v>
      </c>
      <c r="AK93" s="50"/>
      <c r="AL93" s="50" t="s">
        <v>513</v>
      </c>
      <c r="AM93" s="50" t="str">
        <f>IF(B93="","",IF(K93="S1",K93,INDEX(#REF!,#REF!)))</f>
        <v/>
      </c>
      <c r="AN93" s="50" t="b">
        <f t="shared" si="43"/>
        <v>0</v>
      </c>
      <c r="AO93" s="49" t="str">
        <f t="shared" si="44"/>
        <v>K5-POLICY</v>
      </c>
      <c r="AP93" s="72" t="str">
        <f>_xlfn.IFS(B93="","",AND(AO93="K5-LAW",AL93="นิติศาสตร์",K93="S2",Y93="",AE93=""),R93,AND(AO93="K5-LAW",AL93="นิติศาสตร์",K93="S1",Y93="",AE93=""),EDATE(R93,12),AND(AO93="K5-LAW",AL93="นิติศาสตร์",OR(K93="M2",K93="K4"),Y93="",AE93=""),EDATE(R93,12*2),AND(AO93="K5-LAW",AL93="นิติศาสตร์",OR(AE93="M2",AE93="K4"),AH93&gt;=2,OR(AG93&lt;AA93,AG93&lt;R93)),EDATE(AG93,12*2),AND(AO93="K5-LAW",AL93="นิติศาสตร์",AE93="S1",AH93&gt;=1,OR(AG93&lt;AA93,AG93&lt;R93)),EDATE(AG93,12),AND(AO93="K5-LAW",AL93="นิติศาสตร์",OR(Y93="M2",Y93="K4"),AB93&gt;=2,AA93&lt;R93),EDATE(AA93,12*2),AND(AO93="K5-LAW",AL93="นิติศาสตร์",Y93="S1",AB93&gt;=1,AA93&lt;R93),EDATE(AA93,12),AND(AO93="K5-LAW",AL93="นิติศาสตร์",OR(Y93="S2",Y93="K5")),AA93,AND(AO93="K5-LAW",AL93="นิติศาสตร์",OR(K93="M2",K93="K4"),U93&gt;=2),EDATE(R93,12*2),AND(AO93="K5-LAW",AL93="นิติศาสตร์",K93="S1",U93&gt;=1),EDATE(R93,12),AND(AO93="K5-LAW",AL93="นิติศาสตร์",OR(K93="S2",K93="K5")),R93,AND(AO93="K5-POLICY",AL93&lt;&gt;"นิติศาสตร์",K93="S2",Y93="",AE93=""),R93,AND(AO93="K5-POLICY",AL93&lt;&gt;"นิติศาสตร์",K93="S1",Y93="",AE93=""),EDATE(R93,12),AND(AO93="K5-POLICY",AL93&lt;&gt;"นิติศาสตร์",OR(K93="M2",K93="K4"),Y93="",AE93=""),EDATE(R93,12*2),AND(AO93="K5-POLICY",AL93&lt;&gt;"นิติศาสตร์",OR(AE93="M2",AE93="K4"),AH93&gt;=2,OR(AG93&lt;AA93,AG93&lt;R93)),EDATE(AG93,12*2),AND(AO93="K5-POLICY",AL93&lt;&gt;"นิติศาสตร์",AE93="S1",AH93&gt;=1,OR(AG93&lt;AA93,AG93&lt;R93)),EDATE(AG93,12),AND(AO93="K5-POLICY",AL93&lt;&gt;"นิติศาสตร์",OR(Y93="M2",Y93="K4"),AB93&gt;=2,AA93&lt;R93),EDATE(AA93,12*2),AND(AO93="K5-POLICY",AL93&lt;&gt;"นิติศาสตร์",Y93="S1",AB93&gt;=1,AA93&lt;R93),EDATE(AA93,12),AND(AO93="K5-POLICY",AL93&lt;&gt;"นิติศาสตร์",OR(Y93="S2",Y93="K5")),AA93,AND(AO93="K5-POLICY",AL93&lt;&gt;"นิติศาสตร์",OR(K93="M2",K93="K4"),U93&gt;=2),EDATE(R93,12*2),AND(AO93="K5-POLICY",AL93&lt;&gt;"นิติศาสตร์",K93="S1",U93&gt;=1),EDATE(R93,12),AND(AO93="K5-POLICY",AL93&lt;&gt;"นิติศาสตร์",OR(K93="S2",K93="K5")),R93,TRUE,"Check Data")</f>
        <v/>
      </c>
      <c r="AQ93" s="75" t="str">
        <f t="shared" si="45"/>
        <v>Check Data</v>
      </c>
      <c r="AR93" s="76" t="str">
        <f t="shared" si="46"/>
        <v>Check Data</v>
      </c>
      <c r="AS93" s="50" t="str">
        <f t="shared" si="47"/>
        <v>Check Data</v>
      </c>
      <c r="AT93" s="49" t="str">
        <f>IF(B93="","",IF(K93="S1","S1",INDEX(#REF!,#REF!)))</f>
        <v/>
      </c>
      <c r="AU93" s="49" t="str">
        <f t="shared" si="48"/>
        <v>M2</v>
      </c>
      <c r="AV93" s="50" t="b">
        <f t="shared" si="49"/>
        <v>0</v>
      </c>
      <c r="AW93" s="50"/>
    </row>
    <row r="94" spans="1:49" ht="21.75">
      <c r="A94" s="49">
        <v>92</v>
      </c>
      <c r="B94" s="50"/>
      <c r="C94" s="50"/>
      <c r="D94" s="50" t="s">
        <v>143</v>
      </c>
      <c r="E94" s="49" t="s">
        <v>302</v>
      </c>
      <c r="F94" s="49" t="str">
        <f t="shared" si="25"/>
        <v>27/12/1989</v>
      </c>
      <c r="G94" s="50">
        <f t="shared" si="26"/>
        <v>35</v>
      </c>
      <c r="H94" s="50">
        <f t="shared" si="27"/>
        <v>5</v>
      </c>
      <c r="I94" s="50">
        <f t="shared" si="28"/>
        <v>24</v>
      </c>
      <c r="J94" s="59"/>
      <c r="K94" s="49" t="s">
        <v>136</v>
      </c>
      <c r="L94" s="49" t="str">
        <f>IF(B94="","",IF(K94="S1",K94,INDEX(#REF!,#REF!)))</f>
        <v/>
      </c>
      <c r="M94" s="49" t="b">
        <f t="shared" si="29"/>
        <v>0</v>
      </c>
      <c r="N94" s="64"/>
      <c r="O94" s="49" t="s">
        <v>427</v>
      </c>
      <c r="P94" s="49">
        <v>2571</v>
      </c>
      <c r="Q94" s="65" t="s">
        <v>287</v>
      </c>
      <c r="R94" s="49" t="str">
        <f t="shared" si="30"/>
        <v>29/10/2020</v>
      </c>
      <c r="S94" s="49" t="str">
        <f>IF(B94="","",IF(K94="S1",K94,INDEX(#REF!,#REF!)))</f>
        <v/>
      </c>
      <c r="T94" s="49" t="b">
        <f t="shared" si="31"/>
        <v>0</v>
      </c>
      <c r="U94" s="68">
        <f t="shared" si="32"/>
        <v>4</v>
      </c>
      <c r="V94" s="68">
        <f t="shared" si="33"/>
        <v>7</v>
      </c>
      <c r="W94" s="68">
        <f t="shared" si="34"/>
        <v>22</v>
      </c>
      <c r="X94" s="68"/>
      <c r="Y94" s="65"/>
      <c r="Z94" s="65"/>
      <c r="AA94" s="49" t="str">
        <f t="shared" si="35"/>
        <v/>
      </c>
      <c r="AB94" s="68">
        <f t="shared" si="36"/>
        <v>0</v>
      </c>
      <c r="AC94" s="68">
        <f t="shared" si="37"/>
        <v>0</v>
      </c>
      <c r="AD94" s="68">
        <f t="shared" si="38"/>
        <v>0</v>
      </c>
      <c r="AE94" s="49"/>
      <c r="AF94" s="65"/>
      <c r="AG94" s="50" t="str">
        <f t="shared" si="39"/>
        <v/>
      </c>
      <c r="AH94" s="68">
        <f t="shared" si="40"/>
        <v>0</v>
      </c>
      <c r="AI94" s="68">
        <f t="shared" si="41"/>
        <v>0</v>
      </c>
      <c r="AJ94" s="68">
        <f t="shared" si="42"/>
        <v>0</v>
      </c>
      <c r="AK94" s="50"/>
      <c r="AL94" s="50" t="s">
        <v>167</v>
      </c>
      <c r="AM94" s="50" t="str">
        <f>IF(B94="","",IF(K94="S1",K94,INDEX(#REF!,#REF!)))</f>
        <v/>
      </c>
      <c r="AN94" s="50" t="b">
        <f t="shared" si="43"/>
        <v>0</v>
      </c>
      <c r="AO94" s="49" t="str">
        <f t="shared" si="44"/>
        <v>K5-POLICY</v>
      </c>
      <c r="AP94" s="72" t="str">
        <f>_xlfn.IFS(B94="","",AND(AO94="K5-LAW",AL94="นิติศาสตร์",K94="S2",Y94="",AE94=""),R94,AND(AO94="K5-LAW",AL94="นิติศาสตร์",K94="S1",Y94="",AE94=""),EDATE(R94,12),AND(AO94="K5-LAW",AL94="นิติศาสตร์",OR(K94="M2",K94="K4"),Y94="",AE94=""),EDATE(R94,12*2),AND(AO94="K5-LAW",AL94="นิติศาสตร์",OR(AE94="M2",AE94="K4"),AH94&gt;=2,OR(AG94&lt;AA94,AG94&lt;R94)),EDATE(AG94,12*2),AND(AO94="K5-LAW",AL94="นิติศาสตร์",AE94="S1",AH94&gt;=1,OR(AG94&lt;AA94,AG94&lt;R94)),EDATE(AG94,12),AND(AO94="K5-LAW",AL94="นิติศาสตร์",OR(Y94="M2",Y94="K4"),AB94&gt;=2,AA94&lt;R94),EDATE(AA94,12*2),AND(AO94="K5-LAW",AL94="นิติศาสตร์",Y94="S1",AB94&gt;=1,AA94&lt;R94),EDATE(AA94,12),AND(AO94="K5-LAW",AL94="นิติศาสตร์",OR(Y94="S2",Y94="K5")),AA94,AND(AO94="K5-LAW",AL94="นิติศาสตร์",OR(K94="M2",K94="K4"),U94&gt;=2),EDATE(R94,12*2),AND(AO94="K5-LAW",AL94="นิติศาสตร์",K94="S1",U94&gt;=1),EDATE(R94,12),AND(AO94="K5-LAW",AL94="นิติศาสตร์",OR(K94="S2",K94="K5")),R94,AND(AO94="K5-POLICY",AL94&lt;&gt;"นิติศาสตร์",K94="S2",Y94="",AE94=""),R94,AND(AO94="K5-POLICY",AL94&lt;&gt;"นิติศาสตร์",K94="S1",Y94="",AE94=""),EDATE(R94,12),AND(AO94="K5-POLICY",AL94&lt;&gt;"นิติศาสตร์",OR(K94="M2",K94="K4"),Y94="",AE94=""),EDATE(R94,12*2),AND(AO94="K5-POLICY",AL94&lt;&gt;"นิติศาสตร์",OR(AE94="M2",AE94="K4"),AH94&gt;=2,OR(AG94&lt;AA94,AG94&lt;R94)),EDATE(AG94,12*2),AND(AO94="K5-POLICY",AL94&lt;&gt;"นิติศาสตร์",AE94="S1",AH94&gt;=1,OR(AG94&lt;AA94,AG94&lt;R94)),EDATE(AG94,12),AND(AO94="K5-POLICY",AL94&lt;&gt;"นิติศาสตร์",OR(Y94="M2",Y94="K4"),AB94&gt;=2,AA94&lt;R94),EDATE(AA94,12*2),AND(AO94="K5-POLICY",AL94&lt;&gt;"นิติศาสตร์",Y94="S1",AB94&gt;=1,AA94&lt;R94),EDATE(AA94,12),AND(AO94="K5-POLICY",AL94&lt;&gt;"นิติศาสตร์",OR(Y94="S2",Y94="K5")),AA94,AND(AO94="K5-POLICY",AL94&lt;&gt;"นิติศาสตร์",OR(K94="M2",K94="K4"),U94&gt;=2),EDATE(R94,12*2),AND(AO94="K5-POLICY",AL94&lt;&gt;"นิติศาสตร์",K94="S1",U94&gt;=1),EDATE(R94,12),AND(AO94="K5-POLICY",AL94&lt;&gt;"นิติศาสตร์",OR(K94="S2",K94="K5")),R94,TRUE,"Check Data")</f>
        <v/>
      </c>
      <c r="AQ94" s="75" t="str">
        <f t="shared" si="45"/>
        <v>Check Data</v>
      </c>
      <c r="AR94" s="76" t="str">
        <f t="shared" si="46"/>
        <v>Check Data</v>
      </c>
      <c r="AS94" s="50" t="str">
        <f t="shared" si="47"/>
        <v>Check Data</v>
      </c>
      <c r="AT94" s="49" t="str">
        <f>IF(B94="","",IF(K94="S1","S1",INDEX(#REF!,#REF!)))</f>
        <v/>
      </c>
      <c r="AU94" s="49" t="str">
        <f t="shared" si="48"/>
        <v>M2</v>
      </c>
      <c r="AV94" s="50" t="b">
        <f t="shared" si="49"/>
        <v>0</v>
      </c>
      <c r="AW94" s="50"/>
    </row>
    <row r="95" spans="1:49" ht="21.75">
      <c r="A95" s="49">
        <v>93</v>
      </c>
      <c r="B95" s="50"/>
      <c r="C95" s="50"/>
      <c r="D95" s="50" t="s">
        <v>143</v>
      </c>
      <c r="E95" s="49" t="s">
        <v>324</v>
      </c>
      <c r="F95" s="49" t="str">
        <f t="shared" si="25"/>
        <v>01/09/1999</v>
      </c>
      <c r="G95" s="50">
        <f t="shared" si="26"/>
        <v>25</v>
      </c>
      <c r="H95" s="50">
        <f t="shared" si="27"/>
        <v>9</v>
      </c>
      <c r="I95" s="50">
        <f t="shared" si="28"/>
        <v>19</v>
      </c>
      <c r="J95" s="59"/>
      <c r="K95" s="49" t="s">
        <v>136</v>
      </c>
      <c r="L95" s="49" t="str">
        <f>IF(B95="","",IF(K95="S1",K95,INDEX(#REF!,#REF!)))</f>
        <v/>
      </c>
      <c r="M95" s="49" t="b">
        <f t="shared" si="29"/>
        <v>0</v>
      </c>
      <c r="N95" s="64"/>
      <c r="O95" s="49" t="s">
        <v>427</v>
      </c>
      <c r="P95" s="49">
        <v>2575</v>
      </c>
      <c r="Q95" s="65" t="s">
        <v>287</v>
      </c>
      <c r="R95" s="49" t="str">
        <f t="shared" si="30"/>
        <v>29/10/2020</v>
      </c>
      <c r="S95" s="49" t="str">
        <f>IF(B95="","",IF(K95="S1",K95,INDEX(#REF!,#REF!)))</f>
        <v/>
      </c>
      <c r="T95" s="49" t="b">
        <f t="shared" si="31"/>
        <v>0</v>
      </c>
      <c r="U95" s="68">
        <f t="shared" si="32"/>
        <v>4</v>
      </c>
      <c r="V95" s="68">
        <f t="shared" si="33"/>
        <v>7</v>
      </c>
      <c r="W95" s="68">
        <f t="shared" si="34"/>
        <v>22</v>
      </c>
      <c r="X95" s="68"/>
      <c r="Y95" s="65"/>
      <c r="Z95" s="65"/>
      <c r="AA95" s="49" t="str">
        <f t="shared" si="35"/>
        <v/>
      </c>
      <c r="AB95" s="68">
        <f t="shared" si="36"/>
        <v>0</v>
      </c>
      <c r="AC95" s="68">
        <f t="shared" si="37"/>
        <v>0</v>
      </c>
      <c r="AD95" s="68">
        <f t="shared" si="38"/>
        <v>0</v>
      </c>
      <c r="AE95" s="49"/>
      <c r="AF95" s="65"/>
      <c r="AG95" s="50" t="str">
        <f t="shared" si="39"/>
        <v/>
      </c>
      <c r="AH95" s="68">
        <f t="shared" si="40"/>
        <v>0</v>
      </c>
      <c r="AI95" s="68">
        <f t="shared" si="41"/>
        <v>0</v>
      </c>
      <c r="AJ95" s="68">
        <f t="shared" si="42"/>
        <v>0</v>
      </c>
      <c r="AK95" s="50"/>
      <c r="AL95" s="50" t="s">
        <v>512</v>
      </c>
      <c r="AM95" s="50" t="str">
        <f>IF(B95="","",IF(K95="S1",K95,INDEX(#REF!,#REF!)))</f>
        <v/>
      </c>
      <c r="AN95" s="50" t="b">
        <f t="shared" si="43"/>
        <v>0</v>
      </c>
      <c r="AO95" s="49" t="str">
        <f t="shared" si="44"/>
        <v>K5-POLICY</v>
      </c>
      <c r="AP95" s="72" t="str">
        <f>_xlfn.IFS(B95="","",AND(AO95="K5-LAW",AL95="นิติศาสตร์",K95="S2",Y95="",AE95=""),R95,AND(AO95="K5-LAW",AL95="นิติศาสตร์",K95="S1",Y95="",AE95=""),EDATE(R95,12),AND(AO95="K5-LAW",AL95="นิติศาสตร์",OR(K95="M2",K95="K4"),Y95="",AE95=""),EDATE(R95,12*2),AND(AO95="K5-LAW",AL95="นิติศาสตร์",OR(AE95="M2",AE95="K4"),AH95&gt;=2,OR(AG95&lt;AA95,AG95&lt;R95)),EDATE(AG95,12*2),AND(AO95="K5-LAW",AL95="นิติศาสตร์",AE95="S1",AH95&gt;=1,OR(AG95&lt;AA95,AG95&lt;R95)),EDATE(AG95,12),AND(AO95="K5-LAW",AL95="นิติศาสตร์",OR(Y95="M2",Y95="K4"),AB95&gt;=2,AA95&lt;R95),EDATE(AA95,12*2),AND(AO95="K5-LAW",AL95="นิติศาสตร์",Y95="S1",AB95&gt;=1,AA95&lt;R95),EDATE(AA95,12),AND(AO95="K5-LAW",AL95="นิติศาสตร์",OR(Y95="S2",Y95="K5")),AA95,AND(AO95="K5-LAW",AL95="นิติศาสตร์",OR(K95="M2",K95="K4"),U95&gt;=2),EDATE(R95,12*2),AND(AO95="K5-LAW",AL95="นิติศาสตร์",K95="S1",U95&gt;=1),EDATE(R95,12),AND(AO95="K5-LAW",AL95="นิติศาสตร์",OR(K95="S2",K95="K5")),R95,AND(AO95="K5-POLICY",AL95&lt;&gt;"นิติศาสตร์",K95="S2",Y95="",AE95=""),R95,AND(AO95="K5-POLICY",AL95&lt;&gt;"นิติศาสตร์",K95="S1",Y95="",AE95=""),EDATE(R95,12),AND(AO95="K5-POLICY",AL95&lt;&gt;"นิติศาสตร์",OR(K95="M2",K95="K4"),Y95="",AE95=""),EDATE(R95,12*2),AND(AO95="K5-POLICY",AL95&lt;&gt;"นิติศาสตร์",OR(AE95="M2",AE95="K4"),AH95&gt;=2,OR(AG95&lt;AA95,AG95&lt;R95)),EDATE(AG95,12*2),AND(AO95="K5-POLICY",AL95&lt;&gt;"นิติศาสตร์",AE95="S1",AH95&gt;=1,OR(AG95&lt;AA95,AG95&lt;R95)),EDATE(AG95,12),AND(AO95="K5-POLICY",AL95&lt;&gt;"นิติศาสตร์",OR(Y95="M2",Y95="K4"),AB95&gt;=2,AA95&lt;R95),EDATE(AA95,12*2),AND(AO95="K5-POLICY",AL95&lt;&gt;"นิติศาสตร์",Y95="S1",AB95&gt;=1,AA95&lt;R95),EDATE(AA95,12),AND(AO95="K5-POLICY",AL95&lt;&gt;"นิติศาสตร์",OR(Y95="S2",Y95="K5")),AA95,AND(AO95="K5-POLICY",AL95&lt;&gt;"นิติศาสตร์",OR(K95="M2",K95="K4"),U95&gt;=2),EDATE(R95,12*2),AND(AO95="K5-POLICY",AL95&lt;&gt;"นิติศาสตร์",K95="S1",U95&gt;=1),EDATE(R95,12),AND(AO95="K5-POLICY",AL95&lt;&gt;"นิติศาสตร์",OR(K95="S2",K95="K5")),R95,TRUE,"Check Data")</f>
        <v/>
      </c>
      <c r="AQ95" s="75" t="str">
        <f t="shared" si="45"/>
        <v>Check Data</v>
      </c>
      <c r="AR95" s="76" t="str">
        <f t="shared" si="46"/>
        <v>Check Data</v>
      </c>
      <c r="AS95" s="50" t="str">
        <f t="shared" si="47"/>
        <v>Check Data</v>
      </c>
      <c r="AT95" s="49" t="str">
        <f>IF(B95="","",IF(K95="S1","S1",INDEX(#REF!,#REF!)))</f>
        <v/>
      </c>
      <c r="AU95" s="49" t="str">
        <f t="shared" si="48"/>
        <v>M2</v>
      </c>
      <c r="AV95" s="50" t="b">
        <f t="shared" si="49"/>
        <v>0</v>
      </c>
      <c r="AW95" s="50"/>
    </row>
    <row r="96" spans="1:49" ht="21.75">
      <c r="A96" s="49">
        <v>94</v>
      </c>
      <c r="B96" s="50"/>
      <c r="C96" s="50"/>
      <c r="D96" s="50" t="s">
        <v>143</v>
      </c>
      <c r="E96" s="49" t="s">
        <v>288</v>
      </c>
      <c r="F96" s="49" t="str">
        <f t="shared" si="25"/>
        <v>13/01/1997</v>
      </c>
      <c r="G96" s="50">
        <f t="shared" si="26"/>
        <v>28</v>
      </c>
      <c r="H96" s="50">
        <f t="shared" si="27"/>
        <v>5</v>
      </c>
      <c r="I96" s="50">
        <f t="shared" si="28"/>
        <v>7</v>
      </c>
      <c r="J96" s="59"/>
      <c r="K96" s="49" t="s">
        <v>136</v>
      </c>
      <c r="L96" s="49" t="str">
        <f>IF(B96="","",IF(K96="S1",K96,INDEX(#REF!,#REF!)))</f>
        <v/>
      </c>
      <c r="M96" s="49" t="b">
        <f t="shared" si="29"/>
        <v>0</v>
      </c>
      <c r="N96" s="64"/>
      <c r="O96" s="49" t="s">
        <v>427</v>
      </c>
      <c r="P96" s="49">
        <v>2571</v>
      </c>
      <c r="Q96" s="65" t="s">
        <v>287</v>
      </c>
      <c r="R96" s="49" t="str">
        <f t="shared" si="30"/>
        <v>29/10/2020</v>
      </c>
      <c r="S96" s="49" t="str">
        <f>IF(B96="","",IF(K96="S1",K96,INDEX(#REF!,#REF!)))</f>
        <v/>
      </c>
      <c r="T96" s="49" t="b">
        <f t="shared" si="31"/>
        <v>0</v>
      </c>
      <c r="U96" s="68">
        <f t="shared" si="32"/>
        <v>4</v>
      </c>
      <c r="V96" s="68">
        <f t="shared" si="33"/>
        <v>7</v>
      </c>
      <c r="W96" s="68">
        <f t="shared" si="34"/>
        <v>22</v>
      </c>
      <c r="X96" s="68"/>
      <c r="Y96" s="65"/>
      <c r="Z96" s="65"/>
      <c r="AA96" s="49" t="str">
        <f t="shared" si="35"/>
        <v/>
      </c>
      <c r="AB96" s="68">
        <f t="shared" si="36"/>
        <v>0</v>
      </c>
      <c r="AC96" s="68">
        <f t="shared" si="37"/>
        <v>0</v>
      </c>
      <c r="AD96" s="68">
        <f t="shared" si="38"/>
        <v>0</v>
      </c>
      <c r="AE96" s="49"/>
      <c r="AF96" s="65"/>
      <c r="AG96" s="50" t="str">
        <f t="shared" si="39"/>
        <v/>
      </c>
      <c r="AH96" s="68">
        <f t="shared" si="40"/>
        <v>0</v>
      </c>
      <c r="AI96" s="68">
        <f t="shared" si="41"/>
        <v>0</v>
      </c>
      <c r="AJ96" s="68">
        <f t="shared" si="42"/>
        <v>0</v>
      </c>
      <c r="AK96" s="50"/>
      <c r="AL96" s="50" t="s">
        <v>512</v>
      </c>
      <c r="AM96" s="50" t="str">
        <f>IF(B96="","",IF(K96="S1",K96,INDEX(#REF!,#REF!)))</f>
        <v/>
      </c>
      <c r="AN96" s="50" t="b">
        <f t="shared" si="43"/>
        <v>0</v>
      </c>
      <c r="AO96" s="49" t="str">
        <f t="shared" si="44"/>
        <v>K5-POLICY</v>
      </c>
      <c r="AP96" s="72" t="str">
        <f>_xlfn.IFS(B96="","",AND(AO96="K5-LAW",AL96="นิติศาสตร์",K96="S2",Y96="",AE96=""),R96,AND(AO96="K5-LAW",AL96="นิติศาสตร์",K96="S1",Y96="",AE96=""),EDATE(R96,12),AND(AO96="K5-LAW",AL96="นิติศาสตร์",OR(K96="M2",K96="K4"),Y96="",AE96=""),EDATE(R96,12*2),AND(AO96="K5-LAW",AL96="นิติศาสตร์",OR(AE96="M2",AE96="K4"),AH96&gt;=2,OR(AG96&lt;AA96,AG96&lt;R96)),EDATE(AG96,12*2),AND(AO96="K5-LAW",AL96="นิติศาสตร์",AE96="S1",AH96&gt;=1,OR(AG96&lt;AA96,AG96&lt;R96)),EDATE(AG96,12),AND(AO96="K5-LAW",AL96="นิติศาสตร์",OR(Y96="M2",Y96="K4"),AB96&gt;=2,AA96&lt;R96),EDATE(AA96,12*2),AND(AO96="K5-LAW",AL96="นิติศาสตร์",Y96="S1",AB96&gt;=1,AA96&lt;R96),EDATE(AA96,12),AND(AO96="K5-LAW",AL96="นิติศาสตร์",OR(Y96="S2",Y96="K5")),AA96,AND(AO96="K5-LAW",AL96="นิติศาสตร์",OR(K96="M2",K96="K4"),U96&gt;=2),EDATE(R96,12*2),AND(AO96="K5-LAW",AL96="นิติศาสตร์",K96="S1",U96&gt;=1),EDATE(R96,12),AND(AO96="K5-LAW",AL96="นิติศาสตร์",OR(K96="S2",K96="K5")),R96,AND(AO96="K5-POLICY",AL96&lt;&gt;"นิติศาสตร์",K96="S2",Y96="",AE96=""),R96,AND(AO96="K5-POLICY",AL96&lt;&gt;"นิติศาสตร์",K96="S1",Y96="",AE96=""),EDATE(R96,12),AND(AO96="K5-POLICY",AL96&lt;&gt;"นิติศาสตร์",OR(K96="M2",K96="K4"),Y96="",AE96=""),EDATE(R96,12*2),AND(AO96="K5-POLICY",AL96&lt;&gt;"นิติศาสตร์",OR(AE96="M2",AE96="K4"),AH96&gt;=2,OR(AG96&lt;AA96,AG96&lt;R96)),EDATE(AG96,12*2),AND(AO96="K5-POLICY",AL96&lt;&gt;"นิติศาสตร์",AE96="S1",AH96&gt;=1,OR(AG96&lt;AA96,AG96&lt;R96)),EDATE(AG96,12),AND(AO96="K5-POLICY",AL96&lt;&gt;"นิติศาสตร์",OR(Y96="M2",Y96="K4"),AB96&gt;=2,AA96&lt;R96),EDATE(AA96,12*2),AND(AO96="K5-POLICY",AL96&lt;&gt;"นิติศาสตร์",Y96="S1",AB96&gt;=1,AA96&lt;R96),EDATE(AA96,12),AND(AO96="K5-POLICY",AL96&lt;&gt;"นิติศาสตร์",OR(Y96="S2",Y96="K5")),AA96,AND(AO96="K5-POLICY",AL96&lt;&gt;"นิติศาสตร์",OR(K96="M2",K96="K4"),U96&gt;=2),EDATE(R96,12*2),AND(AO96="K5-POLICY",AL96&lt;&gt;"นิติศาสตร์",K96="S1",U96&gt;=1),EDATE(R96,12),AND(AO96="K5-POLICY",AL96&lt;&gt;"นิติศาสตร์",OR(K96="S2",K96="K5")),R96,TRUE,"Check Data")</f>
        <v/>
      </c>
      <c r="AQ96" s="75" t="str">
        <f t="shared" si="45"/>
        <v>Check Data</v>
      </c>
      <c r="AR96" s="76" t="str">
        <f t="shared" si="46"/>
        <v>Check Data</v>
      </c>
      <c r="AS96" s="50" t="str">
        <f t="shared" si="47"/>
        <v>Check Data</v>
      </c>
      <c r="AT96" s="49" t="str">
        <f>IF(B96="","",IF(K96="S1","S1",INDEX(#REF!,#REF!)))</f>
        <v/>
      </c>
      <c r="AU96" s="49" t="str">
        <f t="shared" si="48"/>
        <v>M2</v>
      </c>
      <c r="AV96" s="50" t="b">
        <f t="shared" si="49"/>
        <v>0</v>
      </c>
      <c r="AW96" s="50"/>
    </row>
    <row r="97" spans="1:49" ht="21.75">
      <c r="A97" s="49">
        <v>95</v>
      </c>
      <c r="B97" s="50"/>
      <c r="C97" s="50"/>
      <c r="D97" s="50" t="s">
        <v>143</v>
      </c>
      <c r="E97" s="49" t="s">
        <v>309</v>
      </c>
      <c r="F97" s="49" t="str">
        <f t="shared" si="25"/>
        <v>01/06/1995</v>
      </c>
      <c r="G97" s="50">
        <f t="shared" si="26"/>
        <v>30</v>
      </c>
      <c r="H97" s="50">
        <f t="shared" si="27"/>
        <v>0</v>
      </c>
      <c r="I97" s="50">
        <f t="shared" si="28"/>
        <v>19</v>
      </c>
      <c r="J97" s="59"/>
      <c r="K97" s="49" t="s">
        <v>136</v>
      </c>
      <c r="L97" s="49" t="str">
        <f>IF(B97="","",IF(K97="S1",K97,INDEX(#REF!,#REF!)))</f>
        <v/>
      </c>
      <c r="M97" s="49" t="b">
        <f t="shared" si="29"/>
        <v>0</v>
      </c>
      <c r="N97" s="64"/>
      <c r="O97" s="49" t="s">
        <v>427</v>
      </c>
      <c r="P97" s="49">
        <v>2575</v>
      </c>
      <c r="Q97" s="65" t="s">
        <v>287</v>
      </c>
      <c r="R97" s="49" t="str">
        <f t="shared" si="30"/>
        <v>29/10/2020</v>
      </c>
      <c r="S97" s="49" t="str">
        <f>IF(B97="","",IF(K97="S1",K97,INDEX(#REF!,#REF!)))</f>
        <v/>
      </c>
      <c r="T97" s="49" t="b">
        <f t="shared" si="31"/>
        <v>0</v>
      </c>
      <c r="U97" s="68">
        <f t="shared" si="32"/>
        <v>4</v>
      </c>
      <c r="V97" s="68">
        <f t="shared" si="33"/>
        <v>7</v>
      </c>
      <c r="W97" s="68">
        <f t="shared" si="34"/>
        <v>22</v>
      </c>
      <c r="X97" s="68"/>
      <c r="Y97" s="65"/>
      <c r="Z97" s="65"/>
      <c r="AA97" s="49" t="str">
        <f t="shared" si="35"/>
        <v/>
      </c>
      <c r="AB97" s="68">
        <f t="shared" si="36"/>
        <v>0</v>
      </c>
      <c r="AC97" s="68">
        <f t="shared" si="37"/>
        <v>0</v>
      </c>
      <c r="AD97" s="68">
        <f t="shared" si="38"/>
        <v>0</v>
      </c>
      <c r="AE97" s="49"/>
      <c r="AF97" s="65"/>
      <c r="AG97" s="50" t="str">
        <f t="shared" si="39"/>
        <v/>
      </c>
      <c r="AH97" s="68">
        <f t="shared" si="40"/>
        <v>0</v>
      </c>
      <c r="AI97" s="68">
        <f t="shared" si="41"/>
        <v>0</v>
      </c>
      <c r="AJ97" s="68">
        <f t="shared" si="42"/>
        <v>0</v>
      </c>
      <c r="AK97" s="50"/>
      <c r="AL97" s="50" t="s">
        <v>172</v>
      </c>
      <c r="AM97" s="50" t="str">
        <f>IF(B97="","",IF(K97="S1",K97,INDEX(#REF!,#REF!)))</f>
        <v/>
      </c>
      <c r="AN97" s="50" t="b">
        <f t="shared" si="43"/>
        <v>0</v>
      </c>
      <c r="AO97" s="49" t="str">
        <f t="shared" si="44"/>
        <v>K5-POLICY</v>
      </c>
      <c r="AP97" s="72" t="str">
        <f>_xlfn.IFS(B97="","",AND(AO97="K5-LAW",AL97="นิติศาสตร์",K97="S2",Y97="",AE97=""),R97,AND(AO97="K5-LAW",AL97="นิติศาสตร์",K97="S1",Y97="",AE97=""),EDATE(R97,12),AND(AO97="K5-LAW",AL97="นิติศาสตร์",OR(K97="M2",K97="K4"),Y97="",AE97=""),EDATE(R97,12*2),AND(AO97="K5-LAW",AL97="นิติศาสตร์",OR(AE97="M2",AE97="K4"),AH97&gt;=2,OR(AG97&lt;AA97,AG97&lt;R97)),EDATE(AG97,12*2),AND(AO97="K5-LAW",AL97="นิติศาสตร์",AE97="S1",AH97&gt;=1,OR(AG97&lt;AA97,AG97&lt;R97)),EDATE(AG97,12),AND(AO97="K5-LAW",AL97="นิติศาสตร์",OR(Y97="M2",Y97="K4"),AB97&gt;=2,AA97&lt;R97),EDATE(AA97,12*2),AND(AO97="K5-LAW",AL97="นิติศาสตร์",Y97="S1",AB97&gt;=1,AA97&lt;R97),EDATE(AA97,12),AND(AO97="K5-LAW",AL97="นิติศาสตร์",OR(Y97="S2",Y97="K5")),AA97,AND(AO97="K5-LAW",AL97="นิติศาสตร์",OR(K97="M2",K97="K4"),U97&gt;=2),EDATE(R97,12*2),AND(AO97="K5-LAW",AL97="นิติศาสตร์",K97="S1",U97&gt;=1),EDATE(R97,12),AND(AO97="K5-LAW",AL97="นิติศาสตร์",OR(K97="S2",K97="K5")),R97,AND(AO97="K5-POLICY",AL97&lt;&gt;"นิติศาสตร์",K97="S2",Y97="",AE97=""),R97,AND(AO97="K5-POLICY",AL97&lt;&gt;"นิติศาสตร์",K97="S1",Y97="",AE97=""),EDATE(R97,12),AND(AO97="K5-POLICY",AL97&lt;&gt;"นิติศาสตร์",OR(K97="M2",K97="K4"),Y97="",AE97=""),EDATE(R97,12*2),AND(AO97="K5-POLICY",AL97&lt;&gt;"นิติศาสตร์",OR(AE97="M2",AE97="K4"),AH97&gt;=2,OR(AG97&lt;AA97,AG97&lt;R97)),EDATE(AG97,12*2),AND(AO97="K5-POLICY",AL97&lt;&gt;"นิติศาสตร์",AE97="S1",AH97&gt;=1,OR(AG97&lt;AA97,AG97&lt;R97)),EDATE(AG97,12),AND(AO97="K5-POLICY",AL97&lt;&gt;"นิติศาสตร์",OR(Y97="M2",Y97="K4"),AB97&gt;=2,AA97&lt;R97),EDATE(AA97,12*2),AND(AO97="K5-POLICY",AL97&lt;&gt;"นิติศาสตร์",Y97="S1",AB97&gt;=1,AA97&lt;R97),EDATE(AA97,12),AND(AO97="K5-POLICY",AL97&lt;&gt;"นิติศาสตร์",OR(Y97="S2",Y97="K5")),AA97,AND(AO97="K5-POLICY",AL97&lt;&gt;"นิติศาสตร์",OR(K97="M2",K97="K4"),U97&gt;=2),EDATE(R97,12*2),AND(AO97="K5-POLICY",AL97&lt;&gt;"นิติศาสตร์",K97="S1",U97&gt;=1),EDATE(R97,12),AND(AO97="K5-POLICY",AL97&lt;&gt;"นิติศาสตร์",OR(K97="S2",K97="K5")),R97,TRUE,"Check Data")</f>
        <v/>
      </c>
      <c r="AQ97" s="75" t="str">
        <f t="shared" si="45"/>
        <v>Check Data</v>
      </c>
      <c r="AR97" s="76" t="str">
        <f t="shared" si="46"/>
        <v>Check Data</v>
      </c>
      <c r="AS97" s="50" t="str">
        <f t="shared" si="47"/>
        <v>Check Data</v>
      </c>
      <c r="AT97" s="49" t="str">
        <f>IF(B97="","",IF(K97="S1","S1",INDEX(#REF!,#REF!)))</f>
        <v/>
      </c>
      <c r="AU97" s="49" t="str">
        <f t="shared" si="48"/>
        <v>M2</v>
      </c>
      <c r="AV97" s="50" t="b">
        <f t="shared" si="49"/>
        <v>0</v>
      </c>
      <c r="AW97" s="50"/>
    </row>
    <row r="98" spans="1:49" ht="21.75">
      <c r="A98" s="49">
        <v>96</v>
      </c>
      <c r="B98" s="50"/>
      <c r="C98" s="50"/>
      <c r="D98" s="50" t="s">
        <v>143</v>
      </c>
      <c r="E98" s="49" t="s">
        <v>312</v>
      </c>
      <c r="F98" s="49" t="str">
        <f t="shared" si="25"/>
        <v>04/05/2000</v>
      </c>
      <c r="G98" s="50">
        <f t="shared" si="26"/>
        <v>25</v>
      </c>
      <c r="H98" s="50">
        <f t="shared" si="27"/>
        <v>1</v>
      </c>
      <c r="I98" s="50">
        <f t="shared" si="28"/>
        <v>16</v>
      </c>
      <c r="J98" s="59"/>
      <c r="K98" s="49" t="s">
        <v>136</v>
      </c>
      <c r="L98" s="49" t="str">
        <f>IF(B98="","",IF(K98="S1",K98,INDEX(#REF!,#REF!)))</f>
        <v/>
      </c>
      <c r="M98" s="49" t="b">
        <f t="shared" si="29"/>
        <v>0</v>
      </c>
      <c r="N98" s="64"/>
      <c r="O98" s="49" t="s">
        <v>427</v>
      </c>
      <c r="P98" s="49">
        <v>2581</v>
      </c>
      <c r="Q98" s="65" t="s">
        <v>287</v>
      </c>
      <c r="R98" s="49" t="str">
        <f t="shared" si="30"/>
        <v>29/10/2020</v>
      </c>
      <c r="S98" s="49" t="str">
        <f>IF(B98="","",IF(K98="S1",K98,INDEX(#REF!,#REF!)))</f>
        <v/>
      </c>
      <c r="T98" s="49" t="b">
        <f t="shared" si="31"/>
        <v>0</v>
      </c>
      <c r="U98" s="68">
        <f t="shared" si="32"/>
        <v>4</v>
      </c>
      <c r="V98" s="68">
        <f t="shared" si="33"/>
        <v>7</v>
      </c>
      <c r="W98" s="68">
        <f t="shared" si="34"/>
        <v>22</v>
      </c>
      <c r="X98" s="68"/>
      <c r="Y98" s="65"/>
      <c r="Z98" s="65"/>
      <c r="AA98" s="49" t="str">
        <f t="shared" si="35"/>
        <v/>
      </c>
      <c r="AB98" s="68">
        <f t="shared" si="36"/>
        <v>0</v>
      </c>
      <c r="AC98" s="68">
        <f t="shared" si="37"/>
        <v>0</v>
      </c>
      <c r="AD98" s="68">
        <f t="shared" si="38"/>
        <v>0</v>
      </c>
      <c r="AE98" s="49"/>
      <c r="AF98" s="65"/>
      <c r="AG98" s="50" t="str">
        <f t="shared" si="39"/>
        <v/>
      </c>
      <c r="AH98" s="68">
        <f t="shared" si="40"/>
        <v>0</v>
      </c>
      <c r="AI98" s="68">
        <f t="shared" si="41"/>
        <v>0</v>
      </c>
      <c r="AJ98" s="68">
        <f t="shared" si="42"/>
        <v>0</v>
      </c>
      <c r="AK98" s="50"/>
      <c r="AL98" s="50" t="s">
        <v>138</v>
      </c>
      <c r="AM98" s="50" t="str">
        <f>IF(B98="","",IF(K98="S1",K98,INDEX(#REF!,#REF!)))</f>
        <v/>
      </c>
      <c r="AN98" s="50" t="b">
        <f t="shared" si="43"/>
        <v>0</v>
      </c>
      <c r="AO98" s="49" t="str">
        <f t="shared" si="44"/>
        <v>K5-LAW</v>
      </c>
      <c r="AP98" s="72" t="str">
        <f>_xlfn.IFS(B98="","",AND(AO98="K5-LAW",AL98="นิติศาสตร์",K98="S2",Y98="",AE98=""),R98,AND(AO98="K5-LAW",AL98="นิติศาสตร์",K98="S1",Y98="",AE98=""),EDATE(R98,12),AND(AO98="K5-LAW",AL98="นิติศาสตร์",OR(K98="M2",K98="K4"),Y98="",AE98=""),EDATE(R98,12*2),AND(AO98="K5-LAW",AL98="นิติศาสตร์",OR(AE98="M2",AE98="K4"),AH98&gt;=2,OR(AG98&lt;AA98,AG98&lt;R98)),EDATE(AG98,12*2),AND(AO98="K5-LAW",AL98="นิติศาสตร์",AE98="S1",AH98&gt;=1,OR(AG98&lt;AA98,AG98&lt;R98)),EDATE(AG98,12),AND(AO98="K5-LAW",AL98="นิติศาสตร์",OR(Y98="M2",Y98="K4"),AB98&gt;=2,AA98&lt;R98),EDATE(AA98,12*2),AND(AO98="K5-LAW",AL98="นิติศาสตร์",Y98="S1",AB98&gt;=1,AA98&lt;R98),EDATE(AA98,12),AND(AO98="K5-LAW",AL98="นิติศาสตร์",OR(Y98="S2",Y98="K5")),AA98,AND(AO98="K5-LAW",AL98="นิติศาสตร์",OR(K98="M2",K98="K4"),U98&gt;=2),EDATE(R98,12*2),AND(AO98="K5-LAW",AL98="นิติศาสตร์",K98="S1",U98&gt;=1),EDATE(R98,12),AND(AO98="K5-LAW",AL98="นิติศาสตร์",OR(K98="S2",K98="K5")),R98,AND(AO98="K5-POLICY",AL98&lt;&gt;"นิติศาสตร์",K98="S2",Y98="",AE98=""),R98,AND(AO98="K5-POLICY",AL98&lt;&gt;"นิติศาสตร์",K98="S1",Y98="",AE98=""),EDATE(R98,12),AND(AO98="K5-POLICY",AL98&lt;&gt;"นิติศาสตร์",OR(K98="M2",K98="K4"),Y98="",AE98=""),EDATE(R98,12*2),AND(AO98="K5-POLICY",AL98&lt;&gt;"นิติศาสตร์",OR(AE98="M2",AE98="K4"),AH98&gt;=2,OR(AG98&lt;AA98,AG98&lt;R98)),EDATE(AG98,12*2),AND(AO98="K5-POLICY",AL98&lt;&gt;"นิติศาสตร์",AE98="S1",AH98&gt;=1,OR(AG98&lt;AA98,AG98&lt;R98)),EDATE(AG98,12),AND(AO98="K5-POLICY",AL98&lt;&gt;"นิติศาสตร์",OR(Y98="M2",Y98="K4"),AB98&gt;=2,AA98&lt;R98),EDATE(AA98,12*2),AND(AO98="K5-POLICY",AL98&lt;&gt;"นิติศาสตร์",Y98="S1",AB98&gt;=1,AA98&lt;R98),EDATE(AA98,12),AND(AO98="K5-POLICY",AL98&lt;&gt;"นิติศาสตร์",OR(Y98="S2",Y98="K5")),AA98,AND(AO98="K5-POLICY",AL98&lt;&gt;"นิติศาสตร์",OR(K98="M2",K98="K4"),U98&gt;=2),EDATE(R98,12*2),AND(AO98="K5-POLICY",AL98&lt;&gt;"นิติศาสตร์",K98="S1",U98&gt;=1),EDATE(R98,12),AND(AO98="K5-POLICY",AL98&lt;&gt;"นิติศาสตร์",OR(K98="S2",K98="K5")),R98,TRUE,"Check Data")</f>
        <v/>
      </c>
      <c r="AQ98" s="75" t="str">
        <f t="shared" si="45"/>
        <v>Check Data</v>
      </c>
      <c r="AR98" s="76" t="str">
        <f t="shared" si="46"/>
        <v>Check Data</v>
      </c>
      <c r="AS98" s="50" t="str">
        <f t="shared" si="47"/>
        <v>Check Data</v>
      </c>
      <c r="AT98" s="49" t="str">
        <f>IF(B98="","",IF(K98="S1","S1",INDEX(#REF!,#REF!)))</f>
        <v/>
      </c>
      <c r="AU98" s="49" t="str">
        <f t="shared" si="48"/>
        <v>M2</v>
      </c>
      <c r="AV98" s="50" t="b">
        <f t="shared" si="49"/>
        <v>0</v>
      </c>
      <c r="AW98" s="50"/>
    </row>
    <row r="99" spans="1:49" ht="21.75">
      <c r="A99" s="49">
        <v>97</v>
      </c>
      <c r="B99" s="50"/>
      <c r="C99" s="50"/>
      <c r="D99" s="50" t="s">
        <v>143</v>
      </c>
      <c r="E99" s="49" t="s">
        <v>345</v>
      </c>
      <c r="F99" s="49" t="str">
        <f t="shared" si="25"/>
        <v>29/04/1990</v>
      </c>
      <c r="G99" s="50">
        <f t="shared" si="26"/>
        <v>35</v>
      </c>
      <c r="H99" s="50">
        <f t="shared" si="27"/>
        <v>1</v>
      </c>
      <c r="I99" s="50">
        <f t="shared" si="28"/>
        <v>22</v>
      </c>
      <c r="J99" s="59"/>
      <c r="K99" s="49" t="s">
        <v>136</v>
      </c>
      <c r="L99" s="49" t="str">
        <f>IF(B99="","",IF(K99="S1",K99,INDEX(#REF!,#REF!)))</f>
        <v/>
      </c>
      <c r="M99" s="49" t="b">
        <f t="shared" si="29"/>
        <v>0</v>
      </c>
      <c r="N99" s="64"/>
      <c r="O99" s="49" t="s">
        <v>427</v>
      </c>
      <c r="P99" s="49">
        <v>2574</v>
      </c>
      <c r="Q99" s="65" t="s">
        <v>287</v>
      </c>
      <c r="R99" s="49" t="str">
        <f t="shared" si="30"/>
        <v>29/10/2020</v>
      </c>
      <c r="S99" s="49" t="str">
        <f>IF(B99="","",IF(K99="S1",K99,INDEX(#REF!,#REF!)))</f>
        <v/>
      </c>
      <c r="T99" s="49" t="b">
        <f t="shared" si="31"/>
        <v>0</v>
      </c>
      <c r="U99" s="68">
        <f t="shared" si="32"/>
        <v>4</v>
      </c>
      <c r="V99" s="68">
        <f t="shared" si="33"/>
        <v>7</v>
      </c>
      <c r="W99" s="68">
        <f t="shared" si="34"/>
        <v>22</v>
      </c>
      <c r="X99" s="68"/>
      <c r="Y99" s="65"/>
      <c r="Z99" s="65"/>
      <c r="AA99" s="49" t="str">
        <f t="shared" si="35"/>
        <v/>
      </c>
      <c r="AB99" s="68">
        <f t="shared" si="36"/>
        <v>0</v>
      </c>
      <c r="AC99" s="68">
        <f t="shared" si="37"/>
        <v>0</v>
      </c>
      <c r="AD99" s="68">
        <f t="shared" si="38"/>
        <v>0</v>
      </c>
      <c r="AE99" s="49"/>
      <c r="AF99" s="65"/>
      <c r="AG99" s="50" t="str">
        <f t="shared" si="39"/>
        <v/>
      </c>
      <c r="AH99" s="68">
        <f t="shared" si="40"/>
        <v>0</v>
      </c>
      <c r="AI99" s="68">
        <f t="shared" si="41"/>
        <v>0</v>
      </c>
      <c r="AJ99" s="68">
        <f t="shared" si="42"/>
        <v>0</v>
      </c>
      <c r="AK99" s="50"/>
      <c r="AL99" s="50" t="s">
        <v>172</v>
      </c>
      <c r="AM99" s="50" t="str">
        <f>IF(B99="","",IF(K99="S1",K99,INDEX(#REF!,#REF!)))</f>
        <v/>
      </c>
      <c r="AN99" s="50" t="b">
        <f t="shared" si="43"/>
        <v>0</v>
      </c>
      <c r="AO99" s="49" t="str">
        <f t="shared" si="44"/>
        <v>K5-POLICY</v>
      </c>
      <c r="AP99" s="72" t="str">
        <f>_xlfn.IFS(B99="","",AND(AO99="K5-LAW",AL99="นิติศาสตร์",K99="S2",Y99="",AE99=""),R99,AND(AO99="K5-LAW",AL99="นิติศาสตร์",K99="S1",Y99="",AE99=""),EDATE(R99,12),AND(AO99="K5-LAW",AL99="นิติศาสตร์",OR(K99="M2",K99="K4"),Y99="",AE99=""),EDATE(R99,12*2),AND(AO99="K5-LAW",AL99="นิติศาสตร์",OR(AE99="M2",AE99="K4"),AH99&gt;=2,OR(AG99&lt;AA99,AG99&lt;R99)),EDATE(AG99,12*2),AND(AO99="K5-LAW",AL99="นิติศาสตร์",AE99="S1",AH99&gt;=1,OR(AG99&lt;AA99,AG99&lt;R99)),EDATE(AG99,12),AND(AO99="K5-LAW",AL99="นิติศาสตร์",OR(Y99="M2",Y99="K4"),AB99&gt;=2,AA99&lt;R99),EDATE(AA99,12*2),AND(AO99="K5-LAW",AL99="นิติศาสตร์",Y99="S1",AB99&gt;=1,AA99&lt;R99),EDATE(AA99,12),AND(AO99="K5-LAW",AL99="นิติศาสตร์",OR(Y99="S2",Y99="K5")),AA99,AND(AO99="K5-LAW",AL99="นิติศาสตร์",OR(K99="M2",K99="K4"),U99&gt;=2),EDATE(R99,12*2),AND(AO99="K5-LAW",AL99="นิติศาสตร์",K99="S1",U99&gt;=1),EDATE(R99,12),AND(AO99="K5-LAW",AL99="นิติศาสตร์",OR(K99="S2",K99="K5")),R99,AND(AO99="K5-POLICY",AL99&lt;&gt;"นิติศาสตร์",K99="S2",Y99="",AE99=""),R99,AND(AO99="K5-POLICY",AL99&lt;&gt;"นิติศาสตร์",K99="S1",Y99="",AE99=""),EDATE(R99,12),AND(AO99="K5-POLICY",AL99&lt;&gt;"นิติศาสตร์",OR(K99="M2",K99="K4"),Y99="",AE99=""),EDATE(R99,12*2),AND(AO99="K5-POLICY",AL99&lt;&gt;"นิติศาสตร์",OR(AE99="M2",AE99="K4"),AH99&gt;=2,OR(AG99&lt;AA99,AG99&lt;R99)),EDATE(AG99,12*2),AND(AO99="K5-POLICY",AL99&lt;&gt;"นิติศาสตร์",AE99="S1",AH99&gt;=1,OR(AG99&lt;AA99,AG99&lt;R99)),EDATE(AG99,12),AND(AO99="K5-POLICY",AL99&lt;&gt;"นิติศาสตร์",OR(Y99="M2",Y99="K4"),AB99&gt;=2,AA99&lt;R99),EDATE(AA99,12*2),AND(AO99="K5-POLICY",AL99&lt;&gt;"นิติศาสตร์",Y99="S1",AB99&gt;=1,AA99&lt;R99),EDATE(AA99,12),AND(AO99="K5-POLICY",AL99&lt;&gt;"นิติศาสตร์",OR(Y99="S2",Y99="K5")),AA99,AND(AO99="K5-POLICY",AL99&lt;&gt;"นิติศาสตร์",OR(K99="M2",K99="K4"),U99&gt;=2),EDATE(R99,12*2),AND(AO99="K5-POLICY",AL99&lt;&gt;"นิติศาสตร์",K99="S1",U99&gt;=1),EDATE(R99,12),AND(AO99="K5-POLICY",AL99&lt;&gt;"นิติศาสตร์",OR(K99="S2",K99="K5")),R99,TRUE,"Check Data")</f>
        <v/>
      </c>
      <c r="AQ99" s="75" t="str">
        <f t="shared" si="45"/>
        <v>Check Data</v>
      </c>
      <c r="AR99" s="76" t="str">
        <f t="shared" si="46"/>
        <v>Check Data</v>
      </c>
      <c r="AS99" s="50" t="str">
        <f t="shared" si="47"/>
        <v>Check Data</v>
      </c>
      <c r="AT99" s="49" t="str">
        <f>IF(B99="","",IF(K99="S1","S1",INDEX(#REF!,#REF!)))</f>
        <v/>
      </c>
      <c r="AU99" s="49" t="str">
        <f t="shared" si="48"/>
        <v>M2</v>
      </c>
      <c r="AV99" s="50" t="b">
        <f t="shared" si="49"/>
        <v>0</v>
      </c>
      <c r="AW99" s="50"/>
    </row>
    <row r="100" spans="1:49" ht="21.75">
      <c r="A100" s="49">
        <v>98</v>
      </c>
      <c r="B100" s="50"/>
      <c r="C100" s="50"/>
      <c r="D100" s="50" t="s">
        <v>143</v>
      </c>
      <c r="E100" s="49" t="s">
        <v>343</v>
      </c>
      <c r="F100" s="49" t="str">
        <f t="shared" si="25"/>
        <v>07/06/1996</v>
      </c>
      <c r="G100" s="50">
        <f t="shared" si="26"/>
        <v>29</v>
      </c>
      <c r="H100" s="50">
        <f t="shared" si="27"/>
        <v>0</v>
      </c>
      <c r="I100" s="50">
        <f t="shared" si="28"/>
        <v>13</v>
      </c>
      <c r="J100" s="58"/>
      <c r="K100" s="49" t="s">
        <v>136</v>
      </c>
      <c r="L100" s="49" t="str">
        <f>IF(B100="","",IF(K100="S1",K100,INDEX(#REF!,#REF!)))</f>
        <v/>
      </c>
      <c r="M100" s="49" t="b">
        <f t="shared" si="29"/>
        <v>0</v>
      </c>
      <c r="N100" s="64"/>
      <c r="O100" s="49" t="s">
        <v>427</v>
      </c>
      <c r="P100" s="49">
        <v>2572</v>
      </c>
      <c r="Q100" s="65" t="s">
        <v>287</v>
      </c>
      <c r="R100" s="49" t="str">
        <f t="shared" si="30"/>
        <v>29/10/2020</v>
      </c>
      <c r="S100" s="49" t="str">
        <f>IF(B100="","",IF(K100="S1",K100,INDEX(#REF!,#REF!)))</f>
        <v/>
      </c>
      <c r="T100" s="49" t="b">
        <f t="shared" si="31"/>
        <v>0</v>
      </c>
      <c r="U100" s="68">
        <f t="shared" si="32"/>
        <v>4</v>
      </c>
      <c r="V100" s="68">
        <f t="shared" si="33"/>
        <v>7</v>
      </c>
      <c r="W100" s="68">
        <f t="shared" si="34"/>
        <v>22</v>
      </c>
      <c r="X100" s="68"/>
      <c r="Y100" s="65"/>
      <c r="Z100" s="65"/>
      <c r="AA100" s="49" t="str">
        <f t="shared" si="35"/>
        <v/>
      </c>
      <c r="AB100" s="68">
        <f t="shared" si="36"/>
        <v>0</v>
      </c>
      <c r="AC100" s="68">
        <f t="shared" si="37"/>
        <v>0</v>
      </c>
      <c r="AD100" s="68">
        <f t="shared" si="38"/>
        <v>0</v>
      </c>
      <c r="AE100" s="49"/>
      <c r="AF100" s="65"/>
      <c r="AG100" s="50" t="str">
        <f t="shared" si="39"/>
        <v/>
      </c>
      <c r="AH100" s="68">
        <f t="shared" si="40"/>
        <v>0</v>
      </c>
      <c r="AI100" s="68">
        <f t="shared" si="41"/>
        <v>0</v>
      </c>
      <c r="AJ100" s="68">
        <f t="shared" si="42"/>
        <v>0</v>
      </c>
      <c r="AK100" s="50"/>
      <c r="AL100" s="50" t="s">
        <v>486</v>
      </c>
      <c r="AM100" s="50" t="str">
        <f>IF(B100="","",IF(K100="S1",K100,INDEX(#REF!,#REF!)))</f>
        <v/>
      </c>
      <c r="AN100" s="50" t="b">
        <f t="shared" si="43"/>
        <v>0</v>
      </c>
      <c r="AO100" s="49" t="str">
        <f t="shared" si="44"/>
        <v>K5-POLICY</v>
      </c>
      <c r="AP100" s="72" t="str">
        <f>_xlfn.IFS(B100="","",AND(AO100="K5-LAW",AL100="นิติศาสตร์",K100="S2",Y100="",AE100=""),R100,AND(AO100="K5-LAW",AL100="นิติศาสตร์",K100="S1",Y100="",AE100=""),EDATE(R100,12),AND(AO100="K5-LAW",AL100="นิติศาสตร์",OR(K100="M2",K100="K4"),Y100="",AE100=""),EDATE(R100,12*2),AND(AO100="K5-LAW",AL100="นิติศาสตร์",OR(AE100="M2",AE100="K4"),AH100&gt;=2,OR(AG100&lt;AA100,AG100&lt;R100)),EDATE(AG100,12*2),AND(AO100="K5-LAW",AL100="นิติศาสตร์",AE100="S1",AH100&gt;=1,OR(AG100&lt;AA100,AG100&lt;R100)),EDATE(AG100,12),AND(AO100="K5-LAW",AL100="นิติศาสตร์",OR(Y100="M2",Y100="K4"),AB100&gt;=2,AA100&lt;R100),EDATE(AA100,12*2),AND(AO100="K5-LAW",AL100="นิติศาสตร์",Y100="S1",AB100&gt;=1,AA100&lt;R100),EDATE(AA100,12),AND(AO100="K5-LAW",AL100="นิติศาสตร์",OR(Y100="S2",Y100="K5")),AA100,AND(AO100="K5-LAW",AL100="นิติศาสตร์",OR(K100="M2",K100="K4"),U100&gt;=2),EDATE(R100,12*2),AND(AO100="K5-LAW",AL100="นิติศาสตร์",K100="S1",U100&gt;=1),EDATE(R100,12),AND(AO100="K5-LAW",AL100="นิติศาสตร์",OR(K100="S2",K100="K5")),R100,AND(AO100="K5-POLICY",AL100&lt;&gt;"นิติศาสตร์",K100="S2",Y100="",AE100=""),R100,AND(AO100="K5-POLICY",AL100&lt;&gt;"นิติศาสตร์",K100="S1",Y100="",AE100=""),EDATE(R100,12),AND(AO100="K5-POLICY",AL100&lt;&gt;"นิติศาสตร์",OR(K100="M2",K100="K4"),Y100="",AE100=""),EDATE(R100,12*2),AND(AO100="K5-POLICY",AL100&lt;&gt;"นิติศาสตร์",OR(AE100="M2",AE100="K4"),AH100&gt;=2,OR(AG100&lt;AA100,AG100&lt;R100)),EDATE(AG100,12*2),AND(AO100="K5-POLICY",AL100&lt;&gt;"นิติศาสตร์",AE100="S1",AH100&gt;=1,OR(AG100&lt;AA100,AG100&lt;R100)),EDATE(AG100,12),AND(AO100="K5-POLICY",AL100&lt;&gt;"นิติศาสตร์",OR(Y100="M2",Y100="K4"),AB100&gt;=2,AA100&lt;R100),EDATE(AA100,12*2),AND(AO100="K5-POLICY",AL100&lt;&gt;"นิติศาสตร์",Y100="S1",AB100&gt;=1,AA100&lt;R100),EDATE(AA100,12),AND(AO100="K5-POLICY",AL100&lt;&gt;"นิติศาสตร์",OR(Y100="S2",Y100="K5")),AA100,AND(AO100="K5-POLICY",AL100&lt;&gt;"นิติศาสตร์",OR(K100="M2",K100="K4"),U100&gt;=2),EDATE(R100,12*2),AND(AO100="K5-POLICY",AL100&lt;&gt;"นิติศาสตร์",K100="S1",U100&gt;=1),EDATE(R100,12),AND(AO100="K5-POLICY",AL100&lt;&gt;"นิติศาสตร์",OR(K100="S2",K100="K5")),R100,TRUE,"Check Data")</f>
        <v/>
      </c>
      <c r="AQ100" s="75" t="str">
        <f t="shared" si="45"/>
        <v>Check Data</v>
      </c>
      <c r="AR100" s="76" t="str">
        <f t="shared" si="46"/>
        <v>Check Data</v>
      </c>
      <c r="AS100" s="50" t="str">
        <f t="shared" si="47"/>
        <v>Check Data</v>
      </c>
      <c r="AT100" s="49" t="str">
        <f>IF(B100="","",IF(K100="S1","S1",INDEX(#REF!,#REF!)))</f>
        <v/>
      </c>
      <c r="AU100" s="49" t="str">
        <f t="shared" si="48"/>
        <v>M2</v>
      </c>
      <c r="AV100" s="50" t="b">
        <f t="shared" si="49"/>
        <v>0</v>
      </c>
      <c r="AW100" s="50"/>
    </row>
    <row r="101" spans="1:49" ht="21.75">
      <c r="A101" s="49">
        <v>99</v>
      </c>
      <c r="B101" s="50"/>
      <c r="C101" s="50"/>
      <c r="D101" s="50" t="s">
        <v>143</v>
      </c>
      <c r="E101" s="49" t="s">
        <v>320</v>
      </c>
      <c r="F101" s="49" t="str">
        <f t="shared" si="25"/>
        <v>03/12/2001</v>
      </c>
      <c r="G101" s="50">
        <f t="shared" si="26"/>
        <v>23</v>
      </c>
      <c r="H101" s="50">
        <f t="shared" si="27"/>
        <v>6</v>
      </c>
      <c r="I101" s="50">
        <f t="shared" si="28"/>
        <v>17</v>
      </c>
      <c r="J101" s="58"/>
      <c r="K101" s="49" t="s">
        <v>136</v>
      </c>
      <c r="L101" s="49" t="str">
        <f>IF(B101="","",IF(K101="S1",K101,INDEX(#REF!,#REF!)))</f>
        <v/>
      </c>
      <c r="M101" s="49" t="b">
        <f t="shared" si="29"/>
        <v>0</v>
      </c>
      <c r="N101" s="64"/>
      <c r="O101" s="49" t="s">
        <v>427</v>
      </c>
      <c r="P101" s="49">
        <v>2574</v>
      </c>
      <c r="Q101" s="65" t="s">
        <v>287</v>
      </c>
      <c r="R101" s="49" t="str">
        <f t="shared" si="30"/>
        <v>29/10/2020</v>
      </c>
      <c r="S101" s="49" t="str">
        <f>IF(B101="","",IF(K101="S1",K101,INDEX(#REF!,#REF!)))</f>
        <v/>
      </c>
      <c r="T101" s="49" t="b">
        <f t="shared" si="31"/>
        <v>0</v>
      </c>
      <c r="U101" s="68">
        <f t="shared" si="32"/>
        <v>4</v>
      </c>
      <c r="V101" s="68">
        <f t="shared" si="33"/>
        <v>7</v>
      </c>
      <c r="W101" s="68">
        <f t="shared" si="34"/>
        <v>22</v>
      </c>
      <c r="X101" s="68"/>
      <c r="Y101" s="65"/>
      <c r="Z101" s="65"/>
      <c r="AA101" s="49" t="str">
        <f t="shared" si="35"/>
        <v/>
      </c>
      <c r="AB101" s="68">
        <f t="shared" si="36"/>
        <v>0</v>
      </c>
      <c r="AC101" s="68">
        <f t="shared" si="37"/>
        <v>0</v>
      </c>
      <c r="AD101" s="68">
        <f t="shared" si="38"/>
        <v>0</v>
      </c>
      <c r="AE101" s="49"/>
      <c r="AF101" s="65"/>
      <c r="AG101" s="50" t="str">
        <f t="shared" si="39"/>
        <v/>
      </c>
      <c r="AH101" s="68">
        <f t="shared" si="40"/>
        <v>0</v>
      </c>
      <c r="AI101" s="68">
        <f t="shared" si="41"/>
        <v>0</v>
      </c>
      <c r="AJ101" s="68">
        <f t="shared" si="42"/>
        <v>0</v>
      </c>
      <c r="AK101" s="50"/>
      <c r="AL101" s="50" t="s">
        <v>138</v>
      </c>
      <c r="AM101" s="50" t="str">
        <f>IF(B101="","",IF(K101="S1",K101,INDEX(#REF!,#REF!)))</f>
        <v/>
      </c>
      <c r="AN101" s="50" t="b">
        <f t="shared" si="43"/>
        <v>0</v>
      </c>
      <c r="AO101" s="49" t="str">
        <f t="shared" si="44"/>
        <v>K5-LAW</v>
      </c>
      <c r="AP101" s="72" t="str">
        <f>_xlfn.IFS(B101="","",AND(AO101="K5-LAW",AL101="นิติศาสตร์",K101="S2",Y101="",AE101=""),R101,AND(AO101="K5-LAW",AL101="นิติศาสตร์",K101="S1",Y101="",AE101=""),EDATE(R101,12),AND(AO101="K5-LAW",AL101="นิติศาสตร์",OR(K101="M2",K101="K4"),Y101="",AE101=""),EDATE(R101,12*2),AND(AO101="K5-LAW",AL101="นิติศาสตร์",OR(AE101="M2",AE101="K4"),AH101&gt;=2,OR(AG101&lt;AA101,AG101&lt;R101)),EDATE(AG101,12*2),AND(AO101="K5-LAW",AL101="นิติศาสตร์",AE101="S1",AH101&gt;=1,OR(AG101&lt;AA101,AG101&lt;R101)),EDATE(AG101,12),AND(AO101="K5-LAW",AL101="นิติศาสตร์",OR(Y101="M2",Y101="K4"),AB101&gt;=2,AA101&lt;R101),EDATE(AA101,12*2),AND(AO101="K5-LAW",AL101="นิติศาสตร์",Y101="S1",AB101&gt;=1,AA101&lt;R101),EDATE(AA101,12),AND(AO101="K5-LAW",AL101="นิติศาสตร์",OR(Y101="S2",Y101="K5")),AA101,AND(AO101="K5-LAW",AL101="นิติศาสตร์",OR(K101="M2",K101="K4"),U101&gt;=2),EDATE(R101,12*2),AND(AO101="K5-LAW",AL101="นิติศาสตร์",K101="S1",U101&gt;=1),EDATE(R101,12),AND(AO101="K5-LAW",AL101="นิติศาสตร์",OR(K101="S2",K101="K5")),R101,AND(AO101="K5-POLICY",AL101&lt;&gt;"นิติศาสตร์",K101="S2",Y101="",AE101=""),R101,AND(AO101="K5-POLICY",AL101&lt;&gt;"นิติศาสตร์",K101="S1",Y101="",AE101=""),EDATE(R101,12),AND(AO101="K5-POLICY",AL101&lt;&gt;"นิติศาสตร์",OR(K101="M2",K101="K4"),Y101="",AE101=""),EDATE(R101,12*2),AND(AO101="K5-POLICY",AL101&lt;&gt;"นิติศาสตร์",OR(AE101="M2",AE101="K4"),AH101&gt;=2,OR(AG101&lt;AA101,AG101&lt;R101)),EDATE(AG101,12*2),AND(AO101="K5-POLICY",AL101&lt;&gt;"นิติศาสตร์",AE101="S1",AH101&gt;=1,OR(AG101&lt;AA101,AG101&lt;R101)),EDATE(AG101,12),AND(AO101="K5-POLICY",AL101&lt;&gt;"นิติศาสตร์",OR(Y101="M2",Y101="K4"),AB101&gt;=2,AA101&lt;R101),EDATE(AA101,12*2),AND(AO101="K5-POLICY",AL101&lt;&gt;"นิติศาสตร์",Y101="S1",AB101&gt;=1,AA101&lt;R101),EDATE(AA101,12),AND(AO101="K5-POLICY",AL101&lt;&gt;"นิติศาสตร์",OR(Y101="S2",Y101="K5")),AA101,AND(AO101="K5-POLICY",AL101&lt;&gt;"นิติศาสตร์",OR(K101="M2",K101="K4"),U101&gt;=2),EDATE(R101,12*2),AND(AO101="K5-POLICY",AL101&lt;&gt;"นิติศาสตร์",K101="S1",U101&gt;=1),EDATE(R101,12),AND(AO101="K5-POLICY",AL101&lt;&gt;"นิติศาสตร์",OR(K101="S2",K101="K5")),R101,TRUE,"Check Data")</f>
        <v/>
      </c>
      <c r="AQ101" s="75" t="str">
        <f t="shared" si="45"/>
        <v>Check Data</v>
      </c>
      <c r="AR101" s="76" t="str">
        <f t="shared" si="46"/>
        <v>Check Data</v>
      </c>
      <c r="AS101" s="50" t="str">
        <f t="shared" si="47"/>
        <v>Check Data</v>
      </c>
      <c r="AT101" s="49" t="str">
        <f>IF(B101="","",IF(K101="S1","S1",INDEX(#REF!,#REF!)))</f>
        <v/>
      </c>
      <c r="AU101" s="49" t="str">
        <f t="shared" si="48"/>
        <v>M2</v>
      </c>
      <c r="AV101" s="50" t="b">
        <f t="shared" si="49"/>
        <v>0</v>
      </c>
      <c r="AW101" s="50"/>
    </row>
    <row r="102" spans="1:49" ht="21.75">
      <c r="A102" s="49">
        <v>100</v>
      </c>
      <c r="B102" s="50"/>
      <c r="C102" s="50"/>
      <c r="D102" s="50" t="s">
        <v>143</v>
      </c>
      <c r="E102" s="49" t="s">
        <v>312</v>
      </c>
      <c r="F102" s="49" t="str">
        <f t="shared" si="25"/>
        <v>04/05/2000</v>
      </c>
      <c r="G102" s="50">
        <f t="shared" si="26"/>
        <v>25</v>
      </c>
      <c r="H102" s="50">
        <f t="shared" si="27"/>
        <v>1</v>
      </c>
      <c r="I102" s="50">
        <f t="shared" si="28"/>
        <v>16</v>
      </c>
      <c r="J102" s="59"/>
      <c r="K102" s="49" t="s">
        <v>136</v>
      </c>
      <c r="L102" s="49" t="str">
        <f>IF(B102="","",IF(K102="S1",K102,INDEX(#REF!,#REF!)))</f>
        <v/>
      </c>
      <c r="M102" s="49" t="b">
        <f t="shared" si="29"/>
        <v>0</v>
      </c>
      <c r="N102" s="64"/>
      <c r="O102" s="49" t="s">
        <v>427</v>
      </c>
      <c r="P102" s="49">
        <v>2576</v>
      </c>
      <c r="Q102" s="65" t="s">
        <v>287</v>
      </c>
      <c r="R102" s="49" t="str">
        <f t="shared" si="30"/>
        <v>29/10/2020</v>
      </c>
      <c r="S102" s="49" t="str">
        <f>IF(B102="","",IF(K102="S1",K102,INDEX(#REF!,#REF!)))</f>
        <v/>
      </c>
      <c r="T102" s="49" t="b">
        <f t="shared" si="31"/>
        <v>0</v>
      </c>
      <c r="U102" s="68">
        <f t="shared" si="32"/>
        <v>4</v>
      </c>
      <c r="V102" s="68">
        <f t="shared" si="33"/>
        <v>7</v>
      </c>
      <c r="W102" s="68">
        <f t="shared" si="34"/>
        <v>22</v>
      </c>
      <c r="X102" s="68"/>
      <c r="Y102" s="65"/>
      <c r="Z102" s="65"/>
      <c r="AA102" s="49" t="str">
        <f t="shared" si="35"/>
        <v/>
      </c>
      <c r="AB102" s="68">
        <f t="shared" si="36"/>
        <v>0</v>
      </c>
      <c r="AC102" s="68">
        <f t="shared" si="37"/>
        <v>0</v>
      </c>
      <c r="AD102" s="68">
        <f t="shared" si="38"/>
        <v>0</v>
      </c>
      <c r="AE102" s="49"/>
      <c r="AF102" s="65"/>
      <c r="AG102" s="50" t="str">
        <f t="shared" si="39"/>
        <v/>
      </c>
      <c r="AH102" s="68">
        <f t="shared" si="40"/>
        <v>0</v>
      </c>
      <c r="AI102" s="68">
        <f t="shared" si="41"/>
        <v>0</v>
      </c>
      <c r="AJ102" s="68">
        <f t="shared" si="42"/>
        <v>0</v>
      </c>
      <c r="AK102" s="50"/>
      <c r="AL102" s="50" t="s">
        <v>486</v>
      </c>
      <c r="AM102" s="50" t="str">
        <f>IF(B102="","",IF(K102="S1",K102,INDEX(#REF!,#REF!)))</f>
        <v/>
      </c>
      <c r="AN102" s="50" t="b">
        <f t="shared" si="43"/>
        <v>0</v>
      </c>
      <c r="AO102" s="49" t="str">
        <f t="shared" si="44"/>
        <v>K5-POLICY</v>
      </c>
      <c r="AP102" s="72" t="str">
        <f>_xlfn.IFS(B102="","",AND(AO102="K5-LAW",AL102="นิติศาสตร์",K102="S2",Y102="",AE102=""),R102,AND(AO102="K5-LAW",AL102="นิติศาสตร์",K102="S1",Y102="",AE102=""),EDATE(R102,12),AND(AO102="K5-LAW",AL102="นิติศาสตร์",OR(K102="M2",K102="K4"),Y102="",AE102=""),EDATE(R102,12*2),AND(AO102="K5-LAW",AL102="นิติศาสตร์",OR(AE102="M2",AE102="K4"),AH102&gt;=2,OR(AG102&lt;AA102,AG102&lt;R102)),EDATE(AG102,12*2),AND(AO102="K5-LAW",AL102="นิติศาสตร์",AE102="S1",AH102&gt;=1,OR(AG102&lt;AA102,AG102&lt;R102)),EDATE(AG102,12),AND(AO102="K5-LAW",AL102="นิติศาสตร์",OR(Y102="M2",Y102="K4"),AB102&gt;=2,AA102&lt;R102),EDATE(AA102,12*2),AND(AO102="K5-LAW",AL102="นิติศาสตร์",Y102="S1",AB102&gt;=1,AA102&lt;R102),EDATE(AA102,12),AND(AO102="K5-LAW",AL102="นิติศาสตร์",OR(Y102="S2",Y102="K5")),AA102,AND(AO102="K5-LAW",AL102="นิติศาสตร์",OR(K102="M2",K102="K4"),U102&gt;=2),EDATE(R102,12*2),AND(AO102="K5-LAW",AL102="นิติศาสตร์",K102="S1",U102&gt;=1),EDATE(R102,12),AND(AO102="K5-LAW",AL102="นิติศาสตร์",OR(K102="S2",K102="K5")),R102,AND(AO102="K5-POLICY",AL102&lt;&gt;"นิติศาสตร์",K102="S2",Y102="",AE102=""),R102,AND(AO102="K5-POLICY",AL102&lt;&gt;"นิติศาสตร์",K102="S1",Y102="",AE102=""),EDATE(R102,12),AND(AO102="K5-POLICY",AL102&lt;&gt;"นิติศาสตร์",OR(K102="M2",K102="K4"),Y102="",AE102=""),EDATE(R102,12*2),AND(AO102="K5-POLICY",AL102&lt;&gt;"นิติศาสตร์",OR(AE102="M2",AE102="K4"),AH102&gt;=2,OR(AG102&lt;AA102,AG102&lt;R102)),EDATE(AG102,12*2),AND(AO102="K5-POLICY",AL102&lt;&gt;"นิติศาสตร์",AE102="S1",AH102&gt;=1,OR(AG102&lt;AA102,AG102&lt;R102)),EDATE(AG102,12),AND(AO102="K5-POLICY",AL102&lt;&gt;"นิติศาสตร์",OR(Y102="M2",Y102="K4"),AB102&gt;=2,AA102&lt;R102),EDATE(AA102,12*2),AND(AO102="K5-POLICY",AL102&lt;&gt;"นิติศาสตร์",Y102="S1",AB102&gt;=1,AA102&lt;R102),EDATE(AA102,12),AND(AO102="K5-POLICY",AL102&lt;&gt;"นิติศาสตร์",OR(Y102="S2",Y102="K5")),AA102,AND(AO102="K5-POLICY",AL102&lt;&gt;"นิติศาสตร์",OR(K102="M2",K102="K4"),U102&gt;=2),EDATE(R102,12*2),AND(AO102="K5-POLICY",AL102&lt;&gt;"นิติศาสตร์",K102="S1",U102&gt;=1),EDATE(R102,12),AND(AO102="K5-POLICY",AL102&lt;&gt;"นิติศาสตร์",OR(K102="S2",K102="K5")),R102,TRUE,"Check Data")</f>
        <v/>
      </c>
      <c r="AQ102" s="75" t="str">
        <f t="shared" si="45"/>
        <v>Check Data</v>
      </c>
      <c r="AR102" s="76" t="str">
        <f t="shared" si="46"/>
        <v>Check Data</v>
      </c>
      <c r="AS102" s="50" t="str">
        <f t="shared" si="47"/>
        <v>Check Data</v>
      </c>
      <c r="AT102" s="49" t="str">
        <f>IF(B102="","",IF(K102="S1","S1",INDEX(#REF!,#REF!)))</f>
        <v/>
      </c>
      <c r="AU102" s="49" t="str">
        <f t="shared" si="48"/>
        <v>M2</v>
      </c>
      <c r="AV102" s="50" t="b">
        <f t="shared" si="49"/>
        <v>0</v>
      </c>
      <c r="AW102" s="50"/>
    </row>
    <row r="103" spans="1:49" ht="21.75">
      <c r="A103" s="49">
        <v>101</v>
      </c>
      <c r="B103" s="50"/>
      <c r="C103" s="50"/>
      <c r="D103" s="50" t="s">
        <v>143</v>
      </c>
      <c r="E103" s="49" t="s">
        <v>290</v>
      </c>
      <c r="F103" s="49" t="str">
        <f t="shared" si="25"/>
        <v>02/06/2000</v>
      </c>
      <c r="G103" s="50">
        <f t="shared" si="26"/>
        <v>25</v>
      </c>
      <c r="H103" s="50">
        <f t="shared" si="27"/>
        <v>0</v>
      </c>
      <c r="I103" s="50">
        <f t="shared" si="28"/>
        <v>18</v>
      </c>
      <c r="J103" s="59"/>
      <c r="K103" s="49" t="s">
        <v>136</v>
      </c>
      <c r="L103" s="49" t="str">
        <f>IF(B103="","",IF(K103="S1",K103,INDEX(#REF!,#REF!)))</f>
        <v/>
      </c>
      <c r="M103" s="49" t="b">
        <f t="shared" si="29"/>
        <v>0</v>
      </c>
      <c r="N103" s="64"/>
      <c r="O103" s="49" t="s">
        <v>427</v>
      </c>
      <c r="P103" s="49">
        <v>2577</v>
      </c>
      <c r="Q103" s="65" t="s">
        <v>287</v>
      </c>
      <c r="R103" s="49" t="str">
        <f t="shared" si="30"/>
        <v>29/10/2020</v>
      </c>
      <c r="S103" s="49" t="str">
        <f>IF(B103="","",IF(K103="S1",K103,INDEX(#REF!,#REF!)))</f>
        <v/>
      </c>
      <c r="T103" s="49" t="b">
        <f t="shared" si="31"/>
        <v>0</v>
      </c>
      <c r="U103" s="68">
        <f t="shared" si="32"/>
        <v>4</v>
      </c>
      <c r="V103" s="68">
        <f t="shared" si="33"/>
        <v>7</v>
      </c>
      <c r="W103" s="68">
        <f t="shared" si="34"/>
        <v>22</v>
      </c>
      <c r="X103" s="68"/>
      <c r="Y103" s="65"/>
      <c r="Z103" s="65"/>
      <c r="AA103" s="49" t="str">
        <f t="shared" si="35"/>
        <v/>
      </c>
      <c r="AB103" s="68">
        <f t="shared" si="36"/>
        <v>0</v>
      </c>
      <c r="AC103" s="68">
        <f t="shared" si="37"/>
        <v>0</v>
      </c>
      <c r="AD103" s="68">
        <f t="shared" si="38"/>
        <v>0</v>
      </c>
      <c r="AE103" s="49"/>
      <c r="AF103" s="65"/>
      <c r="AG103" s="50" t="str">
        <f t="shared" si="39"/>
        <v/>
      </c>
      <c r="AH103" s="68">
        <f t="shared" si="40"/>
        <v>0</v>
      </c>
      <c r="AI103" s="68">
        <f t="shared" si="41"/>
        <v>0</v>
      </c>
      <c r="AJ103" s="68">
        <f t="shared" si="42"/>
        <v>0</v>
      </c>
      <c r="AK103" s="50"/>
      <c r="AL103" s="50" t="s">
        <v>486</v>
      </c>
      <c r="AM103" s="50" t="str">
        <f>IF(B103="","",IF(K103="S1",K103,INDEX(#REF!,#REF!)))</f>
        <v/>
      </c>
      <c r="AN103" s="50" t="b">
        <f t="shared" si="43"/>
        <v>0</v>
      </c>
      <c r="AO103" s="49" t="str">
        <f t="shared" si="44"/>
        <v>K5-POLICY</v>
      </c>
      <c r="AP103" s="72" t="str">
        <f>_xlfn.IFS(B103="","",AND(AO103="K5-LAW",AL103="นิติศาสตร์",K103="S2",Y103="",AE103=""),R103,AND(AO103="K5-LAW",AL103="นิติศาสตร์",K103="S1",Y103="",AE103=""),EDATE(R103,12),AND(AO103="K5-LAW",AL103="นิติศาสตร์",OR(K103="M2",K103="K4"),Y103="",AE103=""),EDATE(R103,12*2),AND(AO103="K5-LAW",AL103="นิติศาสตร์",OR(AE103="M2",AE103="K4"),AH103&gt;=2,OR(AG103&lt;AA103,AG103&lt;R103)),EDATE(AG103,12*2),AND(AO103="K5-LAW",AL103="นิติศาสตร์",AE103="S1",AH103&gt;=1,OR(AG103&lt;AA103,AG103&lt;R103)),EDATE(AG103,12),AND(AO103="K5-LAW",AL103="นิติศาสตร์",OR(Y103="M2",Y103="K4"),AB103&gt;=2,AA103&lt;R103),EDATE(AA103,12*2),AND(AO103="K5-LAW",AL103="นิติศาสตร์",Y103="S1",AB103&gt;=1,AA103&lt;R103),EDATE(AA103,12),AND(AO103="K5-LAW",AL103="นิติศาสตร์",OR(Y103="S2",Y103="K5")),AA103,AND(AO103="K5-LAW",AL103="นิติศาสตร์",OR(K103="M2",K103="K4"),U103&gt;=2),EDATE(R103,12*2),AND(AO103="K5-LAW",AL103="นิติศาสตร์",K103="S1",U103&gt;=1),EDATE(R103,12),AND(AO103="K5-LAW",AL103="นิติศาสตร์",OR(K103="S2",K103="K5")),R103,AND(AO103="K5-POLICY",AL103&lt;&gt;"นิติศาสตร์",K103="S2",Y103="",AE103=""),R103,AND(AO103="K5-POLICY",AL103&lt;&gt;"นิติศาสตร์",K103="S1",Y103="",AE103=""),EDATE(R103,12),AND(AO103="K5-POLICY",AL103&lt;&gt;"นิติศาสตร์",OR(K103="M2",K103="K4"),Y103="",AE103=""),EDATE(R103,12*2),AND(AO103="K5-POLICY",AL103&lt;&gt;"นิติศาสตร์",OR(AE103="M2",AE103="K4"),AH103&gt;=2,OR(AG103&lt;AA103,AG103&lt;R103)),EDATE(AG103,12*2),AND(AO103="K5-POLICY",AL103&lt;&gt;"นิติศาสตร์",AE103="S1",AH103&gt;=1,OR(AG103&lt;AA103,AG103&lt;R103)),EDATE(AG103,12),AND(AO103="K5-POLICY",AL103&lt;&gt;"นิติศาสตร์",OR(Y103="M2",Y103="K4"),AB103&gt;=2,AA103&lt;R103),EDATE(AA103,12*2),AND(AO103="K5-POLICY",AL103&lt;&gt;"นิติศาสตร์",Y103="S1",AB103&gt;=1,AA103&lt;R103),EDATE(AA103,12),AND(AO103="K5-POLICY",AL103&lt;&gt;"นิติศาสตร์",OR(Y103="S2",Y103="K5")),AA103,AND(AO103="K5-POLICY",AL103&lt;&gt;"นิติศาสตร์",OR(K103="M2",K103="K4"),U103&gt;=2),EDATE(R103,12*2),AND(AO103="K5-POLICY",AL103&lt;&gt;"นิติศาสตร์",K103="S1",U103&gt;=1),EDATE(R103,12),AND(AO103="K5-POLICY",AL103&lt;&gt;"นิติศาสตร์",OR(K103="S2",K103="K5")),R103,TRUE,"Check Data")</f>
        <v/>
      </c>
      <c r="AQ103" s="75" t="str">
        <f t="shared" si="45"/>
        <v>Check Data</v>
      </c>
      <c r="AR103" s="76" t="str">
        <f t="shared" si="46"/>
        <v>Check Data</v>
      </c>
      <c r="AS103" s="50" t="str">
        <f t="shared" si="47"/>
        <v>Check Data</v>
      </c>
      <c r="AT103" s="49" t="str">
        <f>IF(B103="","",IF(K103="S1","S1",INDEX(#REF!,#REF!)))</f>
        <v/>
      </c>
      <c r="AU103" s="49" t="str">
        <f t="shared" si="48"/>
        <v>M2</v>
      </c>
      <c r="AV103" s="50" t="b">
        <f t="shared" si="49"/>
        <v>0</v>
      </c>
      <c r="AW103" s="50"/>
    </row>
    <row r="104" spans="1:49" ht="21.75">
      <c r="A104" s="49">
        <v>102</v>
      </c>
      <c r="B104" s="50"/>
      <c r="C104" s="50"/>
      <c r="D104" s="50" t="s">
        <v>143</v>
      </c>
      <c r="E104" s="49" t="s">
        <v>340</v>
      </c>
      <c r="F104" s="49" t="str">
        <f t="shared" si="25"/>
        <v>06/11/2000</v>
      </c>
      <c r="G104" s="50">
        <f t="shared" si="26"/>
        <v>24</v>
      </c>
      <c r="H104" s="50">
        <f t="shared" si="27"/>
        <v>7</v>
      </c>
      <c r="I104" s="50">
        <f t="shared" si="28"/>
        <v>14</v>
      </c>
      <c r="J104" s="59"/>
      <c r="K104" s="49" t="s">
        <v>136</v>
      </c>
      <c r="L104" s="49" t="str">
        <f>IF(B104="","",IF(K104="S1",K104,INDEX(#REF!,#REF!)))</f>
        <v/>
      </c>
      <c r="M104" s="49" t="b">
        <f t="shared" si="29"/>
        <v>0</v>
      </c>
      <c r="N104" s="64"/>
      <c r="O104" s="49" t="s">
        <v>427</v>
      </c>
      <c r="P104" s="49">
        <v>2575</v>
      </c>
      <c r="Q104" s="65" t="s">
        <v>287</v>
      </c>
      <c r="R104" s="49" t="str">
        <f t="shared" si="30"/>
        <v>29/10/2020</v>
      </c>
      <c r="S104" s="49" t="str">
        <f>IF(B104="","",IF(K104="S1",K104,INDEX(#REF!,#REF!)))</f>
        <v/>
      </c>
      <c r="T104" s="49" t="b">
        <f t="shared" si="31"/>
        <v>0</v>
      </c>
      <c r="U104" s="68">
        <f t="shared" si="32"/>
        <v>4</v>
      </c>
      <c r="V104" s="68">
        <f t="shared" si="33"/>
        <v>7</v>
      </c>
      <c r="W104" s="68">
        <f t="shared" si="34"/>
        <v>22</v>
      </c>
      <c r="X104" s="68"/>
      <c r="Y104" s="65"/>
      <c r="Z104" s="65"/>
      <c r="AA104" s="49" t="str">
        <f t="shared" si="35"/>
        <v/>
      </c>
      <c r="AB104" s="68">
        <f t="shared" si="36"/>
        <v>0</v>
      </c>
      <c r="AC104" s="68">
        <f t="shared" si="37"/>
        <v>0</v>
      </c>
      <c r="AD104" s="68">
        <f t="shared" si="38"/>
        <v>0</v>
      </c>
      <c r="AE104" s="49"/>
      <c r="AF104" s="65"/>
      <c r="AG104" s="50" t="str">
        <f t="shared" si="39"/>
        <v/>
      </c>
      <c r="AH104" s="68">
        <f t="shared" si="40"/>
        <v>0</v>
      </c>
      <c r="AI104" s="68">
        <f t="shared" si="41"/>
        <v>0</v>
      </c>
      <c r="AJ104" s="68">
        <f t="shared" si="42"/>
        <v>0</v>
      </c>
      <c r="AK104" s="50"/>
      <c r="AL104" s="50" t="s">
        <v>138</v>
      </c>
      <c r="AM104" s="50" t="str">
        <f>IF(B104="","",IF(K104="S1",K104,INDEX(#REF!,#REF!)))</f>
        <v/>
      </c>
      <c r="AN104" s="50" t="b">
        <f t="shared" si="43"/>
        <v>0</v>
      </c>
      <c r="AO104" s="49" t="str">
        <f t="shared" si="44"/>
        <v>K5-LAW</v>
      </c>
      <c r="AP104" s="72" t="str">
        <f>_xlfn.IFS(B104="","",AND(AO104="K5-LAW",AL104="นิติศาสตร์",K104="S2",Y104="",AE104=""),R104,AND(AO104="K5-LAW",AL104="นิติศาสตร์",K104="S1",Y104="",AE104=""),EDATE(R104,12),AND(AO104="K5-LAW",AL104="นิติศาสตร์",OR(K104="M2",K104="K4"),Y104="",AE104=""),EDATE(R104,12*2),AND(AO104="K5-LAW",AL104="นิติศาสตร์",OR(AE104="M2",AE104="K4"),AH104&gt;=2,OR(AG104&lt;AA104,AG104&lt;R104)),EDATE(AG104,12*2),AND(AO104="K5-LAW",AL104="นิติศาสตร์",AE104="S1",AH104&gt;=1,OR(AG104&lt;AA104,AG104&lt;R104)),EDATE(AG104,12),AND(AO104="K5-LAW",AL104="นิติศาสตร์",OR(Y104="M2",Y104="K4"),AB104&gt;=2,AA104&lt;R104),EDATE(AA104,12*2),AND(AO104="K5-LAW",AL104="นิติศาสตร์",Y104="S1",AB104&gt;=1,AA104&lt;R104),EDATE(AA104,12),AND(AO104="K5-LAW",AL104="นิติศาสตร์",OR(Y104="S2",Y104="K5")),AA104,AND(AO104="K5-LAW",AL104="นิติศาสตร์",OR(K104="M2",K104="K4"),U104&gt;=2),EDATE(R104,12*2),AND(AO104="K5-LAW",AL104="นิติศาสตร์",K104="S1",U104&gt;=1),EDATE(R104,12),AND(AO104="K5-LAW",AL104="นิติศาสตร์",OR(K104="S2",K104="K5")),R104,AND(AO104="K5-POLICY",AL104&lt;&gt;"นิติศาสตร์",K104="S2",Y104="",AE104=""),R104,AND(AO104="K5-POLICY",AL104&lt;&gt;"นิติศาสตร์",K104="S1",Y104="",AE104=""),EDATE(R104,12),AND(AO104="K5-POLICY",AL104&lt;&gt;"นิติศาสตร์",OR(K104="M2",K104="K4"),Y104="",AE104=""),EDATE(R104,12*2),AND(AO104="K5-POLICY",AL104&lt;&gt;"นิติศาสตร์",OR(AE104="M2",AE104="K4"),AH104&gt;=2,OR(AG104&lt;AA104,AG104&lt;R104)),EDATE(AG104,12*2),AND(AO104="K5-POLICY",AL104&lt;&gt;"นิติศาสตร์",AE104="S1",AH104&gt;=1,OR(AG104&lt;AA104,AG104&lt;R104)),EDATE(AG104,12),AND(AO104="K5-POLICY",AL104&lt;&gt;"นิติศาสตร์",OR(Y104="M2",Y104="K4"),AB104&gt;=2,AA104&lt;R104),EDATE(AA104,12*2),AND(AO104="K5-POLICY",AL104&lt;&gt;"นิติศาสตร์",Y104="S1",AB104&gt;=1,AA104&lt;R104),EDATE(AA104,12),AND(AO104="K5-POLICY",AL104&lt;&gt;"นิติศาสตร์",OR(Y104="S2",Y104="K5")),AA104,AND(AO104="K5-POLICY",AL104&lt;&gt;"นิติศาสตร์",OR(K104="M2",K104="K4"),U104&gt;=2),EDATE(R104,12*2),AND(AO104="K5-POLICY",AL104&lt;&gt;"นิติศาสตร์",K104="S1",U104&gt;=1),EDATE(R104,12),AND(AO104="K5-POLICY",AL104&lt;&gt;"นิติศาสตร์",OR(K104="S2",K104="K5")),R104,TRUE,"Check Data")</f>
        <v/>
      </c>
      <c r="AQ104" s="75" t="str">
        <f t="shared" si="45"/>
        <v>Check Data</v>
      </c>
      <c r="AR104" s="76" t="str">
        <f t="shared" si="46"/>
        <v>Check Data</v>
      </c>
      <c r="AS104" s="50" t="str">
        <f t="shared" si="47"/>
        <v>Check Data</v>
      </c>
      <c r="AT104" s="49" t="str">
        <f>IF(B104="","",IF(K104="S1","S1",INDEX(#REF!,#REF!)))</f>
        <v/>
      </c>
      <c r="AU104" s="49" t="str">
        <f t="shared" si="48"/>
        <v>M2</v>
      </c>
      <c r="AV104" s="50" t="b">
        <f t="shared" si="49"/>
        <v>0</v>
      </c>
      <c r="AW104" s="50"/>
    </row>
    <row r="105" spans="1:49" ht="21.75">
      <c r="A105" s="49">
        <v>103</v>
      </c>
      <c r="B105" s="50"/>
      <c r="C105" s="50"/>
      <c r="D105" s="50" t="s">
        <v>143</v>
      </c>
      <c r="E105" s="49" t="s">
        <v>353</v>
      </c>
      <c r="F105" s="49" t="str">
        <f t="shared" si="25"/>
        <v>28/07/2000</v>
      </c>
      <c r="G105" s="50">
        <f t="shared" si="26"/>
        <v>24</v>
      </c>
      <c r="H105" s="50">
        <f t="shared" si="27"/>
        <v>10</v>
      </c>
      <c r="I105" s="50">
        <f t="shared" si="28"/>
        <v>23</v>
      </c>
      <c r="J105" s="59"/>
      <c r="K105" s="49" t="s">
        <v>136</v>
      </c>
      <c r="L105" s="49" t="str">
        <f>IF(B105="","",IF(K105="S1",K105,INDEX(#REF!,#REF!)))</f>
        <v/>
      </c>
      <c r="M105" s="49" t="b">
        <f t="shared" si="29"/>
        <v>0</v>
      </c>
      <c r="N105" s="64"/>
      <c r="O105" s="49" t="s">
        <v>427</v>
      </c>
      <c r="P105" s="49">
        <v>2578</v>
      </c>
      <c r="Q105" s="65" t="s">
        <v>287</v>
      </c>
      <c r="R105" s="49" t="str">
        <f t="shared" si="30"/>
        <v>29/10/2020</v>
      </c>
      <c r="S105" s="49" t="str">
        <f>IF(B105="","",IF(K105="S1",K105,INDEX(#REF!,#REF!)))</f>
        <v/>
      </c>
      <c r="T105" s="49" t="b">
        <f t="shared" si="31"/>
        <v>0</v>
      </c>
      <c r="U105" s="68">
        <f t="shared" si="32"/>
        <v>4</v>
      </c>
      <c r="V105" s="68">
        <f t="shared" si="33"/>
        <v>7</v>
      </c>
      <c r="W105" s="68">
        <f t="shared" si="34"/>
        <v>22</v>
      </c>
      <c r="X105" s="68"/>
      <c r="Y105" s="65"/>
      <c r="Z105" s="65"/>
      <c r="AA105" s="49" t="str">
        <f t="shared" si="35"/>
        <v/>
      </c>
      <c r="AB105" s="68">
        <f t="shared" si="36"/>
        <v>0</v>
      </c>
      <c r="AC105" s="68">
        <f t="shared" si="37"/>
        <v>0</v>
      </c>
      <c r="AD105" s="68">
        <f t="shared" si="38"/>
        <v>0</v>
      </c>
      <c r="AE105" s="49"/>
      <c r="AF105" s="65"/>
      <c r="AG105" s="50" t="str">
        <f t="shared" si="39"/>
        <v/>
      </c>
      <c r="AH105" s="68">
        <f t="shared" si="40"/>
        <v>0</v>
      </c>
      <c r="AI105" s="68">
        <f t="shared" si="41"/>
        <v>0</v>
      </c>
      <c r="AJ105" s="68">
        <f t="shared" si="42"/>
        <v>0</v>
      </c>
      <c r="AK105" s="50"/>
      <c r="AL105" s="50" t="s">
        <v>138</v>
      </c>
      <c r="AM105" s="50" t="str">
        <f>IF(B105="","",IF(K105="S1",K105,INDEX(#REF!,#REF!)))</f>
        <v/>
      </c>
      <c r="AN105" s="50" t="b">
        <f t="shared" si="43"/>
        <v>0</v>
      </c>
      <c r="AO105" s="49" t="str">
        <f t="shared" si="44"/>
        <v>K5-LAW</v>
      </c>
      <c r="AP105" s="72" t="str">
        <f>_xlfn.IFS(B105="","",AND(AO105="K5-LAW",AL105="นิติศาสตร์",K105="S2",Y105="",AE105=""),R105,AND(AO105="K5-LAW",AL105="นิติศาสตร์",K105="S1",Y105="",AE105=""),EDATE(R105,12),AND(AO105="K5-LAW",AL105="นิติศาสตร์",OR(K105="M2",K105="K4"),Y105="",AE105=""),EDATE(R105,12*2),AND(AO105="K5-LAW",AL105="นิติศาสตร์",OR(AE105="M2",AE105="K4"),AH105&gt;=2,OR(AG105&lt;AA105,AG105&lt;R105)),EDATE(AG105,12*2),AND(AO105="K5-LAW",AL105="นิติศาสตร์",AE105="S1",AH105&gt;=1,OR(AG105&lt;AA105,AG105&lt;R105)),EDATE(AG105,12),AND(AO105="K5-LAW",AL105="นิติศาสตร์",OR(Y105="M2",Y105="K4"),AB105&gt;=2,AA105&lt;R105),EDATE(AA105,12*2),AND(AO105="K5-LAW",AL105="นิติศาสตร์",Y105="S1",AB105&gt;=1,AA105&lt;R105),EDATE(AA105,12),AND(AO105="K5-LAW",AL105="นิติศาสตร์",OR(Y105="S2",Y105="K5")),AA105,AND(AO105="K5-LAW",AL105="นิติศาสตร์",OR(K105="M2",K105="K4"),U105&gt;=2),EDATE(R105,12*2),AND(AO105="K5-LAW",AL105="นิติศาสตร์",K105="S1",U105&gt;=1),EDATE(R105,12),AND(AO105="K5-LAW",AL105="นิติศาสตร์",OR(K105="S2",K105="K5")),R105,AND(AO105="K5-POLICY",AL105&lt;&gt;"นิติศาสตร์",K105="S2",Y105="",AE105=""),R105,AND(AO105="K5-POLICY",AL105&lt;&gt;"นิติศาสตร์",K105="S1",Y105="",AE105=""),EDATE(R105,12),AND(AO105="K5-POLICY",AL105&lt;&gt;"นิติศาสตร์",OR(K105="M2",K105="K4"),Y105="",AE105=""),EDATE(R105,12*2),AND(AO105="K5-POLICY",AL105&lt;&gt;"นิติศาสตร์",OR(AE105="M2",AE105="K4"),AH105&gt;=2,OR(AG105&lt;AA105,AG105&lt;R105)),EDATE(AG105,12*2),AND(AO105="K5-POLICY",AL105&lt;&gt;"นิติศาสตร์",AE105="S1",AH105&gt;=1,OR(AG105&lt;AA105,AG105&lt;R105)),EDATE(AG105,12),AND(AO105="K5-POLICY",AL105&lt;&gt;"นิติศาสตร์",OR(Y105="M2",Y105="K4"),AB105&gt;=2,AA105&lt;R105),EDATE(AA105,12*2),AND(AO105="K5-POLICY",AL105&lt;&gt;"นิติศาสตร์",Y105="S1",AB105&gt;=1,AA105&lt;R105),EDATE(AA105,12),AND(AO105="K5-POLICY",AL105&lt;&gt;"นิติศาสตร์",OR(Y105="S2",Y105="K5")),AA105,AND(AO105="K5-POLICY",AL105&lt;&gt;"นิติศาสตร์",OR(K105="M2",K105="K4"),U105&gt;=2),EDATE(R105,12*2),AND(AO105="K5-POLICY",AL105&lt;&gt;"นิติศาสตร์",K105="S1",U105&gt;=1),EDATE(R105,12),AND(AO105="K5-POLICY",AL105&lt;&gt;"นิติศาสตร์",OR(K105="S2",K105="K5")),R105,TRUE,"Check Data")</f>
        <v/>
      </c>
      <c r="AQ105" s="75" t="str">
        <f t="shared" si="45"/>
        <v>Check Data</v>
      </c>
      <c r="AR105" s="76" t="str">
        <f t="shared" si="46"/>
        <v>Check Data</v>
      </c>
      <c r="AS105" s="50" t="str">
        <f t="shared" si="47"/>
        <v>Check Data</v>
      </c>
      <c r="AT105" s="49" t="str">
        <f>IF(B105="","",IF(K105="S1","S1",INDEX(#REF!,#REF!)))</f>
        <v/>
      </c>
      <c r="AU105" s="49" t="str">
        <f t="shared" si="48"/>
        <v>M2</v>
      </c>
      <c r="AV105" s="50" t="b">
        <f t="shared" si="49"/>
        <v>0</v>
      </c>
      <c r="AW105" s="50"/>
    </row>
    <row r="106" spans="1:49" ht="21.75">
      <c r="A106" s="49">
        <v>104</v>
      </c>
      <c r="B106" s="50"/>
      <c r="C106" s="50"/>
      <c r="D106" s="50" t="s">
        <v>143</v>
      </c>
      <c r="E106" s="49" t="s">
        <v>304</v>
      </c>
      <c r="F106" s="49" t="str">
        <f t="shared" si="25"/>
        <v>01/02/2000</v>
      </c>
      <c r="G106" s="50">
        <f t="shared" si="26"/>
        <v>25</v>
      </c>
      <c r="H106" s="50">
        <f t="shared" si="27"/>
        <v>4</v>
      </c>
      <c r="I106" s="50">
        <f t="shared" si="28"/>
        <v>19</v>
      </c>
      <c r="J106" s="59"/>
      <c r="K106" s="49" t="s">
        <v>136</v>
      </c>
      <c r="L106" s="49" t="str">
        <f>IF(B106="","",IF(K106="S1",K106,INDEX(#REF!,#REF!)))</f>
        <v/>
      </c>
      <c r="M106" s="49" t="b">
        <f t="shared" si="29"/>
        <v>0</v>
      </c>
      <c r="N106" s="64"/>
      <c r="O106" s="49" t="s">
        <v>427</v>
      </c>
      <c r="P106" s="49">
        <v>2577</v>
      </c>
      <c r="Q106" s="65" t="s">
        <v>287</v>
      </c>
      <c r="R106" s="49" t="str">
        <f t="shared" si="30"/>
        <v>29/10/2020</v>
      </c>
      <c r="S106" s="49" t="str">
        <f>IF(B106="","",IF(K106="S1",K106,INDEX(#REF!,#REF!)))</f>
        <v/>
      </c>
      <c r="T106" s="49" t="b">
        <f t="shared" si="31"/>
        <v>0</v>
      </c>
      <c r="U106" s="68">
        <f t="shared" si="32"/>
        <v>4</v>
      </c>
      <c r="V106" s="68">
        <f t="shared" si="33"/>
        <v>7</v>
      </c>
      <c r="W106" s="68">
        <f t="shared" si="34"/>
        <v>22</v>
      </c>
      <c r="X106" s="68"/>
      <c r="Y106" s="65"/>
      <c r="Z106" s="65"/>
      <c r="AA106" s="49" t="str">
        <f t="shared" si="35"/>
        <v/>
      </c>
      <c r="AB106" s="68">
        <f t="shared" si="36"/>
        <v>0</v>
      </c>
      <c r="AC106" s="68">
        <f t="shared" si="37"/>
        <v>0</v>
      </c>
      <c r="AD106" s="68">
        <f t="shared" si="38"/>
        <v>0</v>
      </c>
      <c r="AE106" s="49"/>
      <c r="AF106" s="65"/>
      <c r="AG106" s="50" t="str">
        <f t="shared" si="39"/>
        <v/>
      </c>
      <c r="AH106" s="68">
        <f t="shared" si="40"/>
        <v>0</v>
      </c>
      <c r="AI106" s="68">
        <f t="shared" si="41"/>
        <v>0</v>
      </c>
      <c r="AJ106" s="68">
        <f t="shared" si="42"/>
        <v>0</v>
      </c>
      <c r="AK106" s="50"/>
      <c r="AL106" s="50" t="s">
        <v>482</v>
      </c>
      <c r="AM106" s="50" t="str">
        <f>IF(B106="","",IF(K106="S1",K106,INDEX(#REF!,#REF!)))</f>
        <v/>
      </c>
      <c r="AN106" s="50" t="b">
        <f t="shared" si="43"/>
        <v>0</v>
      </c>
      <c r="AO106" s="49" t="str">
        <f t="shared" si="44"/>
        <v>K5-POLICY</v>
      </c>
      <c r="AP106" s="72" t="str">
        <f>_xlfn.IFS(B106="","",AND(AO106="K5-LAW",AL106="นิติศาสตร์",K106="S2",Y106="",AE106=""),R106,AND(AO106="K5-LAW",AL106="นิติศาสตร์",K106="S1",Y106="",AE106=""),EDATE(R106,12),AND(AO106="K5-LAW",AL106="นิติศาสตร์",OR(K106="M2",K106="K4"),Y106="",AE106=""),EDATE(R106,12*2),AND(AO106="K5-LAW",AL106="นิติศาสตร์",OR(AE106="M2",AE106="K4"),AH106&gt;=2,OR(AG106&lt;AA106,AG106&lt;R106)),EDATE(AG106,12*2),AND(AO106="K5-LAW",AL106="นิติศาสตร์",AE106="S1",AH106&gt;=1,OR(AG106&lt;AA106,AG106&lt;R106)),EDATE(AG106,12),AND(AO106="K5-LAW",AL106="นิติศาสตร์",OR(Y106="M2",Y106="K4"),AB106&gt;=2,AA106&lt;R106),EDATE(AA106,12*2),AND(AO106="K5-LAW",AL106="นิติศาสตร์",Y106="S1",AB106&gt;=1,AA106&lt;R106),EDATE(AA106,12),AND(AO106="K5-LAW",AL106="นิติศาสตร์",OR(Y106="S2",Y106="K5")),AA106,AND(AO106="K5-LAW",AL106="นิติศาสตร์",OR(K106="M2",K106="K4"),U106&gt;=2),EDATE(R106,12*2),AND(AO106="K5-LAW",AL106="นิติศาสตร์",K106="S1",U106&gt;=1),EDATE(R106,12),AND(AO106="K5-LAW",AL106="นิติศาสตร์",OR(K106="S2",K106="K5")),R106,AND(AO106="K5-POLICY",AL106&lt;&gt;"นิติศาสตร์",K106="S2",Y106="",AE106=""),R106,AND(AO106="K5-POLICY",AL106&lt;&gt;"นิติศาสตร์",K106="S1",Y106="",AE106=""),EDATE(R106,12),AND(AO106="K5-POLICY",AL106&lt;&gt;"นิติศาสตร์",OR(K106="M2",K106="K4"),Y106="",AE106=""),EDATE(R106,12*2),AND(AO106="K5-POLICY",AL106&lt;&gt;"นิติศาสตร์",OR(AE106="M2",AE106="K4"),AH106&gt;=2,OR(AG106&lt;AA106,AG106&lt;R106)),EDATE(AG106,12*2),AND(AO106="K5-POLICY",AL106&lt;&gt;"นิติศาสตร์",AE106="S1",AH106&gt;=1,OR(AG106&lt;AA106,AG106&lt;R106)),EDATE(AG106,12),AND(AO106="K5-POLICY",AL106&lt;&gt;"นิติศาสตร์",OR(Y106="M2",Y106="K4"),AB106&gt;=2,AA106&lt;R106),EDATE(AA106,12*2),AND(AO106="K5-POLICY",AL106&lt;&gt;"นิติศาสตร์",Y106="S1",AB106&gt;=1,AA106&lt;R106),EDATE(AA106,12),AND(AO106="K5-POLICY",AL106&lt;&gt;"นิติศาสตร์",OR(Y106="S2",Y106="K5")),AA106,AND(AO106="K5-POLICY",AL106&lt;&gt;"นิติศาสตร์",OR(K106="M2",K106="K4"),U106&gt;=2),EDATE(R106,12*2),AND(AO106="K5-POLICY",AL106&lt;&gt;"นิติศาสตร์",K106="S1",U106&gt;=1),EDATE(R106,12),AND(AO106="K5-POLICY",AL106&lt;&gt;"นิติศาสตร์",OR(K106="S2",K106="K5")),R106,TRUE,"Check Data")</f>
        <v/>
      </c>
      <c r="AQ106" s="75" t="str">
        <f t="shared" si="45"/>
        <v>Check Data</v>
      </c>
      <c r="AR106" s="76" t="str">
        <f t="shared" si="46"/>
        <v>Check Data</v>
      </c>
      <c r="AS106" s="50" t="str">
        <f t="shared" si="47"/>
        <v>Check Data</v>
      </c>
      <c r="AT106" s="49" t="str">
        <f>IF(B106="","",IF(K106="S1","S1",INDEX(#REF!,#REF!)))</f>
        <v/>
      </c>
      <c r="AU106" s="49" t="str">
        <f t="shared" si="48"/>
        <v>M2</v>
      </c>
      <c r="AV106" s="50" t="b">
        <f t="shared" si="49"/>
        <v>0</v>
      </c>
      <c r="AW106" s="50"/>
    </row>
    <row r="107" spans="1:49" ht="21.75">
      <c r="A107" s="49">
        <v>105</v>
      </c>
      <c r="B107" s="50"/>
      <c r="C107" s="50"/>
      <c r="D107" s="50" t="s">
        <v>143</v>
      </c>
      <c r="E107" s="49" t="s">
        <v>281</v>
      </c>
      <c r="F107" s="49" t="str">
        <f t="shared" si="25"/>
        <v>03/05/1999</v>
      </c>
      <c r="G107" s="50">
        <f t="shared" si="26"/>
        <v>26</v>
      </c>
      <c r="H107" s="50">
        <f t="shared" si="27"/>
        <v>1</v>
      </c>
      <c r="I107" s="50">
        <f t="shared" si="28"/>
        <v>17</v>
      </c>
      <c r="J107" s="59"/>
      <c r="K107" s="49" t="s">
        <v>136</v>
      </c>
      <c r="L107" s="49" t="str">
        <f>IF(B107="","",IF(K107="S1",K107,INDEX(#REF!,#REF!)))</f>
        <v/>
      </c>
      <c r="M107" s="49" t="b">
        <f t="shared" si="29"/>
        <v>0</v>
      </c>
      <c r="N107" s="64"/>
      <c r="O107" s="49" t="s">
        <v>427</v>
      </c>
      <c r="P107" s="49">
        <v>2576</v>
      </c>
      <c r="Q107" s="65" t="s">
        <v>287</v>
      </c>
      <c r="R107" s="49" t="str">
        <f t="shared" si="30"/>
        <v>29/10/2020</v>
      </c>
      <c r="S107" s="49" t="str">
        <f>IF(B107="","",IF(K107="S1",K107,INDEX(#REF!,#REF!)))</f>
        <v/>
      </c>
      <c r="T107" s="49" t="b">
        <f t="shared" si="31"/>
        <v>0</v>
      </c>
      <c r="U107" s="68">
        <f t="shared" si="32"/>
        <v>4</v>
      </c>
      <c r="V107" s="68">
        <f t="shared" si="33"/>
        <v>7</v>
      </c>
      <c r="W107" s="68">
        <f t="shared" si="34"/>
        <v>22</v>
      </c>
      <c r="X107" s="68"/>
      <c r="Y107" s="65"/>
      <c r="Z107" s="65"/>
      <c r="AA107" s="49" t="str">
        <f t="shared" si="35"/>
        <v/>
      </c>
      <c r="AB107" s="68">
        <f t="shared" si="36"/>
        <v>0</v>
      </c>
      <c r="AC107" s="68">
        <f t="shared" si="37"/>
        <v>0</v>
      </c>
      <c r="AD107" s="68">
        <f t="shared" si="38"/>
        <v>0</v>
      </c>
      <c r="AE107" s="49"/>
      <c r="AF107" s="65"/>
      <c r="AG107" s="50" t="str">
        <f t="shared" si="39"/>
        <v/>
      </c>
      <c r="AH107" s="68">
        <f t="shared" si="40"/>
        <v>0</v>
      </c>
      <c r="AI107" s="68">
        <f t="shared" si="41"/>
        <v>0</v>
      </c>
      <c r="AJ107" s="68">
        <f t="shared" si="42"/>
        <v>0</v>
      </c>
      <c r="AK107" s="50"/>
      <c r="AL107" s="50" t="s">
        <v>516</v>
      </c>
      <c r="AM107" s="50" t="str">
        <f>IF(B107="","",IF(K107="S1",K107,INDEX(#REF!,#REF!)))</f>
        <v/>
      </c>
      <c r="AN107" s="50" t="b">
        <f t="shared" si="43"/>
        <v>0</v>
      </c>
      <c r="AO107" s="49" t="str">
        <f t="shared" si="44"/>
        <v>K5-POLICY</v>
      </c>
      <c r="AP107" s="72" t="str">
        <f>_xlfn.IFS(B107="","",AND(AO107="K5-LAW",AL107="นิติศาสตร์",K107="S2",Y107="",AE107=""),R107,AND(AO107="K5-LAW",AL107="นิติศาสตร์",K107="S1",Y107="",AE107=""),EDATE(R107,12),AND(AO107="K5-LAW",AL107="นิติศาสตร์",OR(K107="M2",K107="K4"),Y107="",AE107=""),EDATE(R107,12*2),AND(AO107="K5-LAW",AL107="นิติศาสตร์",OR(AE107="M2",AE107="K4"),AH107&gt;=2,OR(AG107&lt;AA107,AG107&lt;R107)),EDATE(AG107,12*2),AND(AO107="K5-LAW",AL107="นิติศาสตร์",AE107="S1",AH107&gt;=1,OR(AG107&lt;AA107,AG107&lt;R107)),EDATE(AG107,12),AND(AO107="K5-LAW",AL107="นิติศาสตร์",OR(Y107="M2",Y107="K4"),AB107&gt;=2,AA107&lt;R107),EDATE(AA107,12*2),AND(AO107="K5-LAW",AL107="นิติศาสตร์",Y107="S1",AB107&gt;=1,AA107&lt;R107),EDATE(AA107,12),AND(AO107="K5-LAW",AL107="นิติศาสตร์",OR(Y107="S2",Y107="K5")),AA107,AND(AO107="K5-LAW",AL107="นิติศาสตร์",OR(K107="M2",K107="K4"),U107&gt;=2),EDATE(R107,12*2),AND(AO107="K5-LAW",AL107="นิติศาสตร์",K107="S1",U107&gt;=1),EDATE(R107,12),AND(AO107="K5-LAW",AL107="นิติศาสตร์",OR(K107="S2",K107="K5")),R107,AND(AO107="K5-POLICY",AL107&lt;&gt;"นิติศาสตร์",K107="S2",Y107="",AE107=""),R107,AND(AO107="K5-POLICY",AL107&lt;&gt;"นิติศาสตร์",K107="S1",Y107="",AE107=""),EDATE(R107,12),AND(AO107="K5-POLICY",AL107&lt;&gt;"นิติศาสตร์",OR(K107="M2",K107="K4"),Y107="",AE107=""),EDATE(R107,12*2),AND(AO107="K5-POLICY",AL107&lt;&gt;"นิติศาสตร์",OR(AE107="M2",AE107="K4"),AH107&gt;=2,OR(AG107&lt;AA107,AG107&lt;R107)),EDATE(AG107,12*2),AND(AO107="K5-POLICY",AL107&lt;&gt;"นิติศาสตร์",AE107="S1",AH107&gt;=1,OR(AG107&lt;AA107,AG107&lt;R107)),EDATE(AG107,12),AND(AO107="K5-POLICY",AL107&lt;&gt;"นิติศาสตร์",OR(Y107="M2",Y107="K4"),AB107&gt;=2,AA107&lt;R107),EDATE(AA107,12*2),AND(AO107="K5-POLICY",AL107&lt;&gt;"นิติศาสตร์",Y107="S1",AB107&gt;=1,AA107&lt;R107),EDATE(AA107,12),AND(AO107="K5-POLICY",AL107&lt;&gt;"นิติศาสตร์",OR(Y107="S2",Y107="K5")),AA107,AND(AO107="K5-POLICY",AL107&lt;&gt;"นิติศาสตร์",OR(K107="M2",K107="K4"),U107&gt;=2),EDATE(R107,12*2),AND(AO107="K5-POLICY",AL107&lt;&gt;"นิติศาสตร์",K107="S1",U107&gt;=1),EDATE(R107,12),AND(AO107="K5-POLICY",AL107&lt;&gt;"นิติศาสตร์",OR(K107="S2",K107="K5")),R107,TRUE,"Check Data")</f>
        <v/>
      </c>
      <c r="AQ107" s="75" t="str">
        <f t="shared" si="45"/>
        <v>Check Data</v>
      </c>
      <c r="AR107" s="76" t="str">
        <f t="shared" si="46"/>
        <v>Check Data</v>
      </c>
      <c r="AS107" s="50" t="str">
        <f t="shared" si="47"/>
        <v>Check Data</v>
      </c>
      <c r="AT107" s="49" t="str">
        <f>IF(B107="","",IF(K107="S1","S1",INDEX(#REF!,#REF!)))</f>
        <v/>
      </c>
      <c r="AU107" s="49" t="str">
        <f t="shared" si="48"/>
        <v>M2</v>
      </c>
      <c r="AV107" s="50" t="b">
        <f t="shared" si="49"/>
        <v>0</v>
      </c>
      <c r="AW107" s="50"/>
    </row>
    <row r="108" spans="1:49" ht="21.75">
      <c r="A108" s="49">
        <v>106</v>
      </c>
      <c r="B108" s="50"/>
      <c r="C108" s="50"/>
      <c r="D108" s="50" t="s">
        <v>143</v>
      </c>
      <c r="E108" s="49" t="s">
        <v>334</v>
      </c>
      <c r="F108" s="49" t="str">
        <f t="shared" si="25"/>
        <v>23/08/1996</v>
      </c>
      <c r="G108" s="50">
        <f t="shared" si="26"/>
        <v>28</v>
      </c>
      <c r="H108" s="50">
        <f t="shared" si="27"/>
        <v>9</v>
      </c>
      <c r="I108" s="50">
        <f t="shared" si="28"/>
        <v>28</v>
      </c>
      <c r="J108" s="59"/>
      <c r="K108" s="49" t="s">
        <v>136</v>
      </c>
      <c r="L108" s="49" t="str">
        <f>IF(B108="","",IF(K108="S1",K108,INDEX(#REF!,#REF!)))</f>
        <v/>
      </c>
      <c r="M108" s="49" t="b">
        <f t="shared" si="29"/>
        <v>0</v>
      </c>
      <c r="N108" s="64"/>
      <c r="O108" s="49" t="s">
        <v>427</v>
      </c>
      <c r="P108" s="49">
        <v>2575</v>
      </c>
      <c r="Q108" s="65" t="s">
        <v>287</v>
      </c>
      <c r="R108" s="49" t="str">
        <f t="shared" si="30"/>
        <v>29/10/2020</v>
      </c>
      <c r="S108" s="49" t="str">
        <f>IF(B108="","",IF(K108="S1",K108,INDEX(#REF!,#REF!)))</f>
        <v/>
      </c>
      <c r="T108" s="49" t="b">
        <f t="shared" si="31"/>
        <v>0</v>
      </c>
      <c r="U108" s="68">
        <f t="shared" si="32"/>
        <v>4</v>
      </c>
      <c r="V108" s="68">
        <f t="shared" si="33"/>
        <v>7</v>
      </c>
      <c r="W108" s="68">
        <f t="shared" si="34"/>
        <v>22</v>
      </c>
      <c r="X108" s="68"/>
      <c r="Y108" s="65"/>
      <c r="Z108" s="65"/>
      <c r="AA108" s="49" t="str">
        <f t="shared" si="35"/>
        <v/>
      </c>
      <c r="AB108" s="68">
        <f t="shared" si="36"/>
        <v>0</v>
      </c>
      <c r="AC108" s="68">
        <f t="shared" si="37"/>
        <v>0</v>
      </c>
      <c r="AD108" s="68">
        <f t="shared" si="38"/>
        <v>0</v>
      </c>
      <c r="AE108" s="49"/>
      <c r="AF108" s="65"/>
      <c r="AG108" s="50" t="str">
        <f t="shared" si="39"/>
        <v/>
      </c>
      <c r="AH108" s="68">
        <f t="shared" si="40"/>
        <v>0</v>
      </c>
      <c r="AI108" s="68">
        <f t="shared" si="41"/>
        <v>0</v>
      </c>
      <c r="AJ108" s="68">
        <f t="shared" si="42"/>
        <v>0</v>
      </c>
      <c r="AK108" s="50"/>
      <c r="AL108" s="50" t="s">
        <v>512</v>
      </c>
      <c r="AM108" s="50" t="str">
        <f>IF(B108="","",IF(K108="S1",K108,INDEX(#REF!,#REF!)))</f>
        <v/>
      </c>
      <c r="AN108" s="50" t="b">
        <f t="shared" si="43"/>
        <v>0</v>
      </c>
      <c r="AO108" s="49" t="str">
        <f t="shared" si="44"/>
        <v>K5-POLICY</v>
      </c>
      <c r="AP108" s="72" t="str">
        <f>_xlfn.IFS(B108="","",AND(AO108="K5-LAW",AL108="นิติศาสตร์",K108="S2",Y108="",AE108=""),R108,AND(AO108="K5-LAW",AL108="นิติศาสตร์",K108="S1",Y108="",AE108=""),EDATE(R108,12),AND(AO108="K5-LAW",AL108="นิติศาสตร์",OR(K108="M2",K108="K4"),Y108="",AE108=""),EDATE(R108,12*2),AND(AO108="K5-LAW",AL108="นิติศาสตร์",OR(AE108="M2",AE108="K4"),AH108&gt;=2,OR(AG108&lt;AA108,AG108&lt;R108)),EDATE(AG108,12*2),AND(AO108="K5-LAW",AL108="นิติศาสตร์",AE108="S1",AH108&gt;=1,OR(AG108&lt;AA108,AG108&lt;R108)),EDATE(AG108,12),AND(AO108="K5-LAW",AL108="นิติศาสตร์",OR(Y108="M2",Y108="K4"),AB108&gt;=2,AA108&lt;R108),EDATE(AA108,12*2),AND(AO108="K5-LAW",AL108="นิติศาสตร์",Y108="S1",AB108&gt;=1,AA108&lt;R108),EDATE(AA108,12),AND(AO108="K5-LAW",AL108="นิติศาสตร์",OR(Y108="S2",Y108="K5")),AA108,AND(AO108="K5-LAW",AL108="นิติศาสตร์",OR(K108="M2",K108="K4"),U108&gt;=2),EDATE(R108,12*2),AND(AO108="K5-LAW",AL108="นิติศาสตร์",K108="S1",U108&gt;=1),EDATE(R108,12),AND(AO108="K5-LAW",AL108="นิติศาสตร์",OR(K108="S2",K108="K5")),R108,AND(AO108="K5-POLICY",AL108&lt;&gt;"นิติศาสตร์",K108="S2",Y108="",AE108=""),R108,AND(AO108="K5-POLICY",AL108&lt;&gt;"นิติศาสตร์",K108="S1",Y108="",AE108=""),EDATE(R108,12),AND(AO108="K5-POLICY",AL108&lt;&gt;"นิติศาสตร์",OR(K108="M2",K108="K4"),Y108="",AE108=""),EDATE(R108,12*2),AND(AO108="K5-POLICY",AL108&lt;&gt;"นิติศาสตร์",OR(AE108="M2",AE108="K4"),AH108&gt;=2,OR(AG108&lt;AA108,AG108&lt;R108)),EDATE(AG108,12*2),AND(AO108="K5-POLICY",AL108&lt;&gt;"นิติศาสตร์",AE108="S1",AH108&gt;=1,OR(AG108&lt;AA108,AG108&lt;R108)),EDATE(AG108,12),AND(AO108="K5-POLICY",AL108&lt;&gt;"นิติศาสตร์",OR(Y108="M2",Y108="K4"),AB108&gt;=2,AA108&lt;R108),EDATE(AA108,12*2),AND(AO108="K5-POLICY",AL108&lt;&gt;"นิติศาสตร์",Y108="S1",AB108&gt;=1,AA108&lt;R108),EDATE(AA108,12),AND(AO108="K5-POLICY",AL108&lt;&gt;"นิติศาสตร์",OR(Y108="S2",Y108="K5")),AA108,AND(AO108="K5-POLICY",AL108&lt;&gt;"นิติศาสตร์",OR(K108="M2",K108="K4"),U108&gt;=2),EDATE(R108,12*2),AND(AO108="K5-POLICY",AL108&lt;&gt;"นิติศาสตร์",K108="S1",U108&gt;=1),EDATE(R108,12),AND(AO108="K5-POLICY",AL108&lt;&gt;"นิติศาสตร์",OR(K108="S2",K108="K5")),R108,TRUE,"Check Data")</f>
        <v/>
      </c>
      <c r="AQ108" s="75" t="str">
        <f t="shared" si="45"/>
        <v>Check Data</v>
      </c>
      <c r="AR108" s="76" t="str">
        <f t="shared" si="46"/>
        <v>Check Data</v>
      </c>
      <c r="AS108" s="50" t="str">
        <f t="shared" si="47"/>
        <v>Check Data</v>
      </c>
      <c r="AT108" s="49" t="str">
        <f>IF(B108="","",IF(K108="S1","S1",INDEX(#REF!,#REF!)))</f>
        <v/>
      </c>
      <c r="AU108" s="49" t="str">
        <f t="shared" si="48"/>
        <v>M2</v>
      </c>
      <c r="AV108" s="50" t="b">
        <f t="shared" si="49"/>
        <v>0</v>
      </c>
      <c r="AW108" s="50"/>
    </row>
    <row r="109" spans="1:49" ht="21.75">
      <c r="A109" s="49">
        <v>107</v>
      </c>
      <c r="B109" s="50"/>
      <c r="C109" s="50"/>
      <c r="D109" s="50" t="s">
        <v>143</v>
      </c>
      <c r="E109" s="49" t="s">
        <v>341</v>
      </c>
      <c r="F109" s="49" t="str">
        <f t="shared" si="25"/>
        <v>29/10/2001</v>
      </c>
      <c r="G109" s="50">
        <f t="shared" si="26"/>
        <v>23</v>
      </c>
      <c r="H109" s="50">
        <f t="shared" si="27"/>
        <v>7</v>
      </c>
      <c r="I109" s="50">
        <f t="shared" si="28"/>
        <v>22</v>
      </c>
      <c r="J109" s="59"/>
      <c r="K109" s="49" t="s">
        <v>136</v>
      </c>
      <c r="L109" s="49" t="str">
        <f>IF(B109="","",IF(K109="S1",K109,INDEX(#REF!,#REF!)))</f>
        <v/>
      </c>
      <c r="M109" s="49" t="b">
        <f t="shared" si="29"/>
        <v>0</v>
      </c>
      <c r="N109" s="64"/>
      <c r="O109" s="49" t="s">
        <v>426</v>
      </c>
      <c r="P109" s="49">
        <v>2575</v>
      </c>
      <c r="Q109" s="65" t="s">
        <v>287</v>
      </c>
      <c r="R109" s="49" t="str">
        <f t="shared" si="30"/>
        <v>29/10/2020</v>
      </c>
      <c r="S109" s="49" t="str">
        <f>IF(B109="","",IF(K109="S1",K109,INDEX(#REF!,#REF!)))</f>
        <v/>
      </c>
      <c r="T109" s="49" t="b">
        <f t="shared" si="31"/>
        <v>0</v>
      </c>
      <c r="U109" s="68">
        <f t="shared" si="32"/>
        <v>4</v>
      </c>
      <c r="V109" s="68">
        <f t="shared" si="33"/>
        <v>7</v>
      </c>
      <c r="W109" s="68">
        <f t="shared" si="34"/>
        <v>22</v>
      </c>
      <c r="X109" s="68"/>
      <c r="Y109" s="65"/>
      <c r="Z109" s="65"/>
      <c r="AA109" s="49" t="str">
        <f t="shared" si="35"/>
        <v/>
      </c>
      <c r="AB109" s="68">
        <f t="shared" si="36"/>
        <v>0</v>
      </c>
      <c r="AC109" s="68">
        <f t="shared" si="37"/>
        <v>0</v>
      </c>
      <c r="AD109" s="68">
        <f t="shared" si="38"/>
        <v>0</v>
      </c>
      <c r="AE109" s="49"/>
      <c r="AF109" s="65"/>
      <c r="AG109" s="50" t="str">
        <f t="shared" si="39"/>
        <v/>
      </c>
      <c r="AH109" s="68">
        <f t="shared" si="40"/>
        <v>0</v>
      </c>
      <c r="AI109" s="68">
        <f t="shared" si="41"/>
        <v>0</v>
      </c>
      <c r="AJ109" s="68">
        <f t="shared" si="42"/>
        <v>0</v>
      </c>
      <c r="AK109" s="50"/>
      <c r="AL109" s="50" t="s">
        <v>486</v>
      </c>
      <c r="AM109" s="50" t="str">
        <f>IF(B109="","",IF(K109="S1",K109,INDEX(#REF!,#REF!)))</f>
        <v/>
      </c>
      <c r="AN109" s="50" t="b">
        <f t="shared" si="43"/>
        <v>0</v>
      </c>
      <c r="AO109" s="49" t="str">
        <f t="shared" si="44"/>
        <v>K5-POLICY</v>
      </c>
      <c r="AP109" s="72" t="str">
        <f>_xlfn.IFS(B109="","",AND(AO109="K5-LAW",AL109="นิติศาสตร์",K109="S2",Y109="",AE109=""),R109,AND(AO109="K5-LAW",AL109="นิติศาสตร์",K109="S1",Y109="",AE109=""),EDATE(R109,12),AND(AO109="K5-LAW",AL109="นิติศาสตร์",OR(K109="M2",K109="K4"),Y109="",AE109=""),EDATE(R109,12*2),AND(AO109="K5-LAW",AL109="นิติศาสตร์",OR(AE109="M2",AE109="K4"),AH109&gt;=2,OR(AG109&lt;AA109,AG109&lt;R109)),EDATE(AG109,12*2),AND(AO109="K5-LAW",AL109="นิติศาสตร์",AE109="S1",AH109&gt;=1,OR(AG109&lt;AA109,AG109&lt;R109)),EDATE(AG109,12),AND(AO109="K5-LAW",AL109="นิติศาสตร์",OR(Y109="M2",Y109="K4"),AB109&gt;=2,AA109&lt;R109),EDATE(AA109,12*2),AND(AO109="K5-LAW",AL109="นิติศาสตร์",Y109="S1",AB109&gt;=1,AA109&lt;R109),EDATE(AA109,12),AND(AO109="K5-LAW",AL109="นิติศาสตร์",OR(Y109="S2",Y109="K5")),AA109,AND(AO109="K5-LAW",AL109="นิติศาสตร์",OR(K109="M2",K109="K4"),U109&gt;=2),EDATE(R109,12*2),AND(AO109="K5-LAW",AL109="นิติศาสตร์",K109="S1",U109&gt;=1),EDATE(R109,12),AND(AO109="K5-LAW",AL109="นิติศาสตร์",OR(K109="S2",K109="K5")),R109,AND(AO109="K5-POLICY",AL109&lt;&gt;"นิติศาสตร์",K109="S2",Y109="",AE109=""),R109,AND(AO109="K5-POLICY",AL109&lt;&gt;"นิติศาสตร์",K109="S1",Y109="",AE109=""),EDATE(R109,12),AND(AO109="K5-POLICY",AL109&lt;&gt;"นิติศาสตร์",OR(K109="M2",K109="K4"),Y109="",AE109=""),EDATE(R109,12*2),AND(AO109="K5-POLICY",AL109&lt;&gt;"นิติศาสตร์",OR(AE109="M2",AE109="K4"),AH109&gt;=2,OR(AG109&lt;AA109,AG109&lt;R109)),EDATE(AG109,12*2),AND(AO109="K5-POLICY",AL109&lt;&gt;"นิติศาสตร์",AE109="S1",AH109&gt;=1,OR(AG109&lt;AA109,AG109&lt;R109)),EDATE(AG109,12),AND(AO109="K5-POLICY",AL109&lt;&gt;"นิติศาสตร์",OR(Y109="M2",Y109="K4"),AB109&gt;=2,AA109&lt;R109),EDATE(AA109,12*2),AND(AO109="K5-POLICY",AL109&lt;&gt;"นิติศาสตร์",Y109="S1",AB109&gt;=1,AA109&lt;R109),EDATE(AA109,12),AND(AO109="K5-POLICY",AL109&lt;&gt;"นิติศาสตร์",OR(Y109="S2",Y109="K5")),AA109,AND(AO109="K5-POLICY",AL109&lt;&gt;"นิติศาสตร์",OR(K109="M2",K109="K4"),U109&gt;=2),EDATE(R109,12*2),AND(AO109="K5-POLICY",AL109&lt;&gt;"นิติศาสตร์",K109="S1",U109&gt;=1),EDATE(R109,12),AND(AO109="K5-POLICY",AL109&lt;&gt;"นิติศาสตร์",OR(K109="S2",K109="K5")),R109,TRUE,"Check Data")</f>
        <v/>
      </c>
      <c r="AQ109" s="75" t="str">
        <f t="shared" si="45"/>
        <v>Check Data</v>
      </c>
      <c r="AR109" s="76" t="str">
        <f t="shared" si="46"/>
        <v>Check Data</v>
      </c>
      <c r="AS109" s="50" t="str">
        <f t="shared" si="47"/>
        <v>Check Data</v>
      </c>
      <c r="AT109" s="49" t="str">
        <f>IF(B109="","",IF(K109="S1","S1",INDEX(#REF!,#REF!)))</f>
        <v/>
      </c>
      <c r="AU109" s="49" t="str">
        <f t="shared" si="48"/>
        <v>M2</v>
      </c>
      <c r="AV109" s="50" t="b">
        <f t="shared" si="49"/>
        <v>0</v>
      </c>
      <c r="AW109" s="50"/>
    </row>
    <row r="110" spans="1:49" ht="21.75">
      <c r="A110" s="49">
        <v>108</v>
      </c>
      <c r="B110" s="50"/>
      <c r="C110" s="50"/>
      <c r="D110" s="50" t="s">
        <v>143</v>
      </c>
      <c r="E110" s="49" t="s">
        <v>355</v>
      </c>
      <c r="F110" s="49" t="str">
        <f t="shared" si="25"/>
        <v>30/04/1993</v>
      </c>
      <c r="G110" s="50">
        <f t="shared" si="26"/>
        <v>32</v>
      </c>
      <c r="H110" s="50">
        <f t="shared" si="27"/>
        <v>1</v>
      </c>
      <c r="I110" s="50">
        <f t="shared" si="28"/>
        <v>21</v>
      </c>
      <c r="J110" s="59"/>
      <c r="K110" s="49" t="s">
        <v>136</v>
      </c>
      <c r="L110" s="49" t="str">
        <f>IF(B110="","",IF(K110="S1",K110,INDEX(#REF!,#REF!)))</f>
        <v/>
      </c>
      <c r="M110" s="49" t="b">
        <f t="shared" si="29"/>
        <v>0</v>
      </c>
      <c r="N110" s="64"/>
      <c r="O110" s="49" t="s">
        <v>427</v>
      </c>
      <c r="P110" s="49">
        <v>2575</v>
      </c>
      <c r="Q110" s="65" t="s">
        <v>287</v>
      </c>
      <c r="R110" s="49" t="str">
        <f t="shared" si="30"/>
        <v>29/10/2020</v>
      </c>
      <c r="S110" s="49" t="str">
        <f>IF(B110="","",IF(K110="S1",K110,INDEX(#REF!,#REF!)))</f>
        <v/>
      </c>
      <c r="T110" s="49" t="b">
        <f t="shared" si="31"/>
        <v>0</v>
      </c>
      <c r="U110" s="68">
        <f t="shared" si="32"/>
        <v>4</v>
      </c>
      <c r="V110" s="68">
        <f t="shared" si="33"/>
        <v>7</v>
      </c>
      <c r="W110" s="68">
        <f t="shared" si="34"/>
        <v>22</v>
      </c>
      <c r="X110" s="68"/>
      <c r="Y110" s="65"/>
      <c r="Z110" s="65"/>
      <c r="AA110" s="49" t="str">
        <f t="shared" si="35"/>
        <v/>
      </c>
      <c r="AB110" s="68">
        <f t="shared" si="36"/>
        <v>0</v>
      </c>
      <c r="AC110" s="68">
        <f t="shared" si="37"/>
        <v>0</v>
      </c>
      <c r="AD110" s="68">
        <f t="shared" si="38"/>
        <v>0</v>
      </c>
      <c r="AE110" s="49"/>
      <c r="AF110" s="65"/>
      <c r="AG110" s="50" t="str">
        <f t="shared" si="39"/>
        <v/>
      </c>
      <c r="AH110" s="68">
        <f t="shared" si="40"/>
        <v>0</v>
      </c>
      <c r="AI110" s="68">
        <f t="shared" si="41"/>
        <v>0</v>
      </c>
      <c r="AJ110" s="68">
        <f t="shared" si="42"/>
        <v>0</v>
      </c>
      <c r="AK110" s="50"/>
      <c r="AL110" s="50" t="s">
        <v>484</v>
      </c>
      <c r="AM110" s="50" t="str">
        <f>IF(B110="","",IF(K110="S1",K110,INDEX(#REF!,#REF!)))</f>
        <v/>
      </c>
      <c r="AN110" s="50" t="b">
        <f t="shared" si="43"/>
        <v>0</v>
      </c>
      <c r="AO110" s="49" t="str">
        <f t="shared" si="44"/>
        <v>K5-POLICY</v>
      </c>
      <c r="AP110" s="72" t="str">
        <f>_xlfn.IFS(B110="","",AND(AO110="K5-LAW",AL110="นิติศาสตร์",K110="S2",Y110="",AE110=""),R110,AND(AO110="K5-LAW",AL110="นิติศาสตร์",K110="S1",Y110="",AE110=""),EDATE(R110,12),AND(AO110="K5-LAW",AL110="นิติศาสตร์",OR(K110="M2",K110="K4"),Y110="",AE110=""),EDATE(R110,12*2),AND(AO110="K5-LAW",AL110="นิติศาสตร์",OR(AE110="M2",AE110="K4"),AH110&gt;=2,OR(AG110&lt;AA110,AG110&lt;R110)),EDATE(AG110,12*2),AND(AO110="K5-LAW",AL110="นิติศาสตร์",AE110="S1",AH110&gt;=1,OR(AG110&lt;AA110,AG110&lt;R110)),EDATE(AG110,12),AND(AO110="K5-LAW",AL110="นิติศาสตร์",OR(Y110="M2",Y110="K4"),AB110&gt;=2,AA110&lt;R110),EDATE(AA110,12*2),AND(AO110="K5-LAW",AL110="นิติศาสตร์",Y110="S1",AB110&gt;=1,AA110&lt;R110),EDATE(AA110,12),AND(AO110="K5-LAW",AL110="นิติศาสตร์",OR(Y110="S2",Y110="K5")),AA110,AND(AO110="K5-LAW",AL110="นิติศาสตร์",OR(K110="M2",K110="K4"),U110&gt;=2),EDATE(R110,12*2),AND(AO110="K5-LAW",AL110="นิติศาสตร์",K110="S1",U110&gt;=1),EDATE(R110,12),AND(AO110="K5-LAW",AL110="นิติศาสตร์",OR(K110="S2",K110="K5")),R110,AND(AO110="K5-POLICY",AL110&lt;&gt;"นิติศาสตร์",K110="S2",Y110="",AE110=""),R110,AND(AO110="K5-POLICY",AL110&lt;&gt;"นิติศาสตร์",K110="S1",Y110="",AE110=""),EDATE(R110,12),AND(AO110="K5-POLICY",AL110&lt;&gt;"นิติศาสตร์",OR(K110="M2",K110="K4"),Y110="",AE110=""),EDATE(R110,12*2),AND(AO110="K5-POLICY",AL110&lt;&gt;"นิติศาสตร์",OR(AE110="M2",AE110="K4"),AH110&gt;=2,OR(AG110&lt;AA110,AG110&lt;R110)),EDATE(AG110,12*2),AND(AO110="K5-POLICY",AL110&lt;&gt;"นิติศาสตร์",AE110="S1",AH110&gt;=1,OR(AG110&lt;AA110,AG110&lt;R110)),EDATE(AG110,12),AND(AO110="K5-POLICY",AL110&lt;&gt;"นิติศาสตร์",OR(Y110="M2",Y110="K4"),AB110&gt;=2,AA110&lt;R110),EDATE(AA110,12*2),AND(AO110="K5-POLICY",AL110&lt;&gt;"นิติศาสตร์",Y110="S1",AB110&gt;=1,AA110&lt;R110),EDATE(AA110,12),AND(AO110="K5-POLICY",AL110&lt;&gt;"นิติศาสตร์",OR(Y110="S2",Y110="K5")),AA110,AND(AO110="K5-POLICY",AL110&lt;&gt;"นิติศาสตร์",OR(K110="M2",K110="K4"),U110&gt;=2),EDATE(R110,12*2),AND(AO110="K5-POLICY",AL110&lt;&gt;"นิติศาสตร์",K110="S1",U110&gt;=1),EDATE(R110,12),AND(AO110="K5-POLICY",AL110&lt;&gt;"นิติศาสตร์",OR(K110="S2",K110="K5")),R110,TRUE,"Check Data")</f>
        <v/>
      </c>
      <c r="AQ110" s="75" t="str">
        <f t="shared" si="45"/>
        <v>Check Data</v>
      </c>
      <c r="AR110" s="76" t="str">
        <f t="shared" si="46"/>
        <v>Check Data</v>
      </c>
      <c r="AS110" s="50" t="str">
        <f t="shared" si="47"/>
        <v>Check Data</v>
      </c>
      <c r="AT110" s="49" t="str">
        <f>IF(B110="","",IF(K110="S1","S1",INDEX(#REF!,#REF!)))</f>
        <v/>
      </c>
      <c r="AU110" s="49" t="str">
        <f t="shared" si="48"/>
        <v>M2</v>
      </c>
      <c r="AV110" s="50" t="b">
        <f t="shared" si="49"/>
        <v>0</v>
      </c>
      <c r="AW110" s="50"/>
    </row>
    <row r="111" spans="1:49" ht="21.75">
      <c r="A111" s="49">
        <v>109</v>
      </c>
      <c r="B111" s="50"/>
      <c r="C111" s="50"/>
      <c r="D111" s="50" t="s">
        <v>143</v>
      </c>
      <c r="E111" s="49" t="s">
        <v>312</v>
      </c>
      <c r="F111" s="49" t="str">
        <f t="shared" si="25"/>
        <v>04/05/2000</v>
      </c>
      <c r="G111" s="50">
        <f t="shared" si="26"/>
        <v>25</v>
      </c>
      <c r="H111" s="50">
        <f t="shared" si="27"/>
        <v>1</v>
      </c>
      <c r="I111" s="50">
        <f t="shared" si="28"/>
        <v>16</v>
      </c>
      <c r="J111" s="59"/>
      <c r="K111" s="49" t="s">
        <v>136</v>
      </c>
      <c r="L111" s="49" t="str">
        <f>IF(B111="","",IF(K111="S1",K111,INDEX(#REF!,#REF!)))</f>
        <v/>
      </c>
      <c r="M111" s="49" t="b">
        <f t="shared" si="29"/>
        <v>0</v>
      </c>
      <c r="N111" s="64"/>
      <c r="O111" s="49" t="s">
        <v>427</v>
      </c>
      <c r="P111" s="49">
        <v>2572</v>
      </c>
      <c r="Q111" s="65" t="s">
        <v>287</v>
      </c>
      <c r="R111" s="49" t="str">
        <f t="shared" si="30"/>
        <v>29/10/2020</v>
      </c>
      <c r="S111" s="49" t="str">
        <f>IF(B111="","",IF(K111="S1",K111,INDEX(#REF!,#REF!)))</f>
        <v/>
      </c>
      <c r="T111" s="49" t="b">
        <f t="shared" si="31"/>
        <v>0</v>
      </c>
      <c r="U111" s="68">
        <f t="shared" si="32"/>
        <v>4</v>
      </c>
      <c r="V111" s="68">
        <f t="shared" si="33"/>
        <v>7</v>
      </c>
      <c r="W111" s="68">
        <f t="shared" si="34"/>
        <v>22</v>
      </c>
      <c r="X111" s="68"/>
      <c r="Y111" s="65"/>
      <c r="Z111" s="65"/>
      <c r="AA111" s="49" t="str">
        <f t="shared" si="35"/>
        <v/>
      </c>
      <c r="AB111" s="68">
        <f t="shared" si="36"/>
        <v>0</v>
      </c>
      <c r="AC111" s="68">
        <f t="shared" si="37"/>
        <v>0</v>
      </c>
      <c r="AD111" s="68">
        <f t="shared" si="38"/>
        <v>0</v>
      </c>
      <c r="AE111" s="49"/>
      <c r="AF111" s="65"/>
      <c r="AG111" s="50" t="str">
        <f t="shared" si="39"/>
        <v/>
      </c>
      <c r="AH111" s="68">
        <f t="shared" si="40"/>
        <v>0</v>
      </c>
      <c r="AI111" s="68">
        <f t="shared" si="41"/>
        <v>0</v>
      </c>
      <c r="AJ111" s="68">
        <f t="shared" si="42"/>
        <v>0</v>
      </c>
      <c r="AK111" s="50"/>
      <c r="AL111" s="50" t="s">
        <v>163</v>
      </c>
      <c r="AM111" s="50" t="str">
        <f>IF(B111="","",IF(K111="S1",K111,INDEX(#REF!,#REF!)))</f>
        <v/>
      </c>
      <c r="AN111" s="50" t="b">
        <f t="shared" si="43"/>
        <v>0</v>
      </c>
      <c r="AO111" s="49" t="str">
        <f t="shared" si="44"/>
        <v>K5-POLICY</v>
      </c>
      <c r="AP111" s="72" t="str">
        <f>_xlfn.IFS(B111="","",AND(AO111="K5-LAW",AL111="นิติศาสตร์",K111="S2",Y111="",AE111=""),R111,AND(AO111="K5-LAW",AL111="นิติศาสตร์",K111="S1",Y111="",AE111=""),EDATE(R111,12),AND(AO111="K5-LAW",AL111="นิติศาสตร์",OR(K111="M2",K111="K4"),Y111="",AE111=""),EDATE(R111,12*2),AND(AO111="K5-LAW",AL111="นิติศาสตร์",OR(AE111="M2",AE111="K4"),AH111&gt;=2,OR(AG111&lt;AA111,AG111&lt;R111)),EDATE(AG111,12*2),AND(AO111="K5-LAW",AL111="นิติศาสตร์",AE111="S1",AH111&gt;=1,OR(AG111&lt;AA111,AG111&lt;R111)),EDATE(AG111,12),AND(AO111="K5-LAW",AL111="นิติศาสตร์",OR(Y111="M2",Y111="K4"),AB111&gt;=2,AA111&lt;R111),EDATE(AA111,12*2),AND(AO111="K5-LAW",AL111="นิติศาสตร์",Y111="S1",AB111&gt;=1,AA111&lt;R111),EDATE(AA111,12),AND(AO111="K5-LAW",AL111="นิติศาสตร์",OR(Y111="S2",Y111="K5")),AA111,AND(AO111="K5-LAW",AL111="นิติศาสตร์",OR(K111="M2",K111="K4"),U111&gt;=2),EDATE(R111,12*2),AND(AO111="K5-LAW",AL111="นิติศาสตร์",K111="S1",U111&gt;=1),EDATE(R111,12),AND(AO111="K5-LAW",AL111="นิติศาสตร์",OR(K111="S2",K111="K5")),R111,AND(AO111="K5-POLICY",AL111&lt;&gt;"นิติศาสตร์",K111="S2",Y111="",AE111=""),R111,AND(AO111="K5-POLICY",AL111&lt;&gt;"นิติศาสตร์",K111="S1",Y111="",AE111=""),EDATE(R111,12),AND(AO111="K5-POLICY",AL111&lt;&gt;"นิติศาสตร์",OR(K111="M2",K111="K4"),Y111="",AE111=""),EDATE(R111,12*2),AND(AO111="K5-POLICY",AL111&lt;&gt;"นิติศาสตร์",OR(AE111="M2",AE111="K4"),AH111&gt;=2,OR(AG111&lt;AA111,AG111&lt;R111)),EDATE(AG111,12*2),AND(AO111="K5-POLICY",AL111&lt;&gt;"นิติศาสตร์",AE111="S1",AH111&gt;=1,OR(AG111&lt;AA111,AG111&lt;R111)),EDATE(AG111,12),AND(AO111="K5-POLICY",AL111&lt;&gt;"นิติศาสตร์",OR(Y111="M2",Y111="K4"),AB111&gt;=2,AA111&lt;R111),EDATE(AA111,12*2),AND(AO111="K5-POLICY",AL111&lt;&gt;"นิติศาสตร์",Y111="S1",AB111&gt;=1,AA111&lt;R111),EDATE(AA111,12),AND(AO111="K5-POLICY",AL111&lt;&gt;"นิติศาสตร์",OR(Y111="S2",Y111="K5")),AA111,AND(AO111="K5-POLICY",AL111&lt;&gt;"นิติศาสตร์",OR(K111="M2",K111="K4"),U111&gt;=2),EDATE(R111,12*2),AND(AO111="K5-POLICY",AL111&lt;&gt;"นิติศาสตร์",K111="S1",U111&gt;=1),EDATE(R111,12),AND(AO111="K5-POLICY",AL111&lt;&gt;"นิติศาสตร์",OR(K111="S2",K111="K5")),R111,TRUE,"Check Data")</f>
        <v/>
      </c>
      <c r="AQ111" s="75" t="str">
        <f t="shared" si="45"/>
        <v>Check Data</v>
      </c>
      <c r="AR111" s="76" t="str">
        <f t="shared" si="46"/>
        <v>Check Data</v>
      </c>
      <c r="AS111" s="50" t="str">
        <f t="shared" si="47"/>
        <v>Check Data</v>
      </c>
      <c r="AT111" s="49" t="str">
        <f>IF(B111="","",IF(K111="S1","S1",INDEX(#REF!,#REF!)))</f>
        <v/>
      </c>
      <c r="AU111" s="49" t="str">
        <f t="shared" si="48"/>
        <v>M2</v>
      </c>
      <c r="AV111" s="50" t="b">
        <f t="shared" si="49"/>
        <v>0</v>
      </c>
      <c r="AW111" s="50"/>
    </row>
    <row r="112" spans="1:49" ht="21.75">
      <c r="A112" s="49">
        <v>110</v>
      </c>
      <c r="B112" s="50"/>
      <c r="C112" s="50"/>
      <c r="D112" s="50" t="s">
        <v>143</v>
      </c>
      <c r="E112" s="49" t="s">
        <v>289</v>
      </c>
      <c r="F112" s="49" t="str">
        <f t="shared" si="25"/>
        <v>01/07/1993</v>
      </c>
      <c r="G112" s="50">
        <f t="shared" si="26"/>
        <v>31</v>
      </c>
      <c r="H112" s="50">
        <f t="shared" si="27"/>
        <v>11</v>
      </c>
      <c r="I112" s="50">
        <f t="shared" si="28"/>
        <v>19</v>
      </c>
      <c r="J112" s="59"/>
      <c r="K112" s="49" t="s">
        <v>136</v>
      </c>
      <c r="L112" s="49" t="str">
        <f>IF(B112="","",IF(K112="S1",K112,INDEX(#REF!,#REF!)))</f>
        <v/>
      </c>
      <c r="M112" s="49" t="b">
        <f t="shared" si="29"/>
        <v>0</v>
      </c>
      <c r="N112" s="64"/>
      <c r="O112" s="49" t="s">
        <v>427</v>
      </c>
      <c r="P112" s="49">
        <v>2571</v>
      </c>
      <c r="Q112" s="65" t="s">
        <v>287</v>
      </c>
      <c r="R112" s="49" t="str">
        <f t="shared" si="30"/>
        <v>29/10/2020</v>
      </c>
      <c r="S112" s="49" t="str">
        <f>IF(B112="","",IF(K112="S1",K112,INDEX(#REF!,#REF!)))</f>
        <v/>
      </c>
      <c r="T112" s="49" t="b">
        <f t="shared" si="31"/>
        <v>0</v>
      </c>
      <c r="U112" s="68">
        <f t="shared" si="32"/>
        <v>4</v>
      </c>
      <c r="V112" s="68">
        <f t="shared" si="33"/>
        <v>7</v>
      </c>
      <c r="W112" s="68">
        <f t="shared" si="34"/>
        <v>22</v>
      </c>
      <c r="X112" s="68"/>
      <c r="Y112" s="65"/>
      <c r="Z112" s="65"/>
      <c r="AA112" s="49" t="str">
        <f t="shared" si="35"/>
        <v/>
      </c>
      <c r="AB112" s="68">
        <f t="shared" si="36"/>
        <v>0</v>
      </c>
      <c r="AC112" s="68">
        <f t="shared" si="37"/>
        <v>0</v>
      </c>
      <c r="AD112" s="68">
        <f t="shared" si="38"/>
        <v>0</v>
      </c>
      <c r="AE112" s="49"/>
      <c r="AF112" s="65"/>
      <c r="AG112" s="50" t="str">
        <f t="shared" si="39"/>
        <v/>
      </c>
      <c r="AH112" s="68">
        <f t="shared" si="40"/>
        <v>0</v>
      </c>
      <c r="AI112" s="68">
        <f t="shared" si="41"/>
        <v>0</v>
      </c>
      <c r="AJ112" s="68">
        <f t="shared" si="42"/>
        <v>0</v>
      </c>
      <c r="AK112" s="50"/>
      <c r="AL112" s="50" t="s">
        <v>196</v>
      </c>
      <c r="AM112" s="50" t="str">
        <f>IF(B112="","",IF(K112="S1",K112,INDEX(#REF!,#REF!)))</f>
        <v/>
      </c>
      <c r="AN112" s="50" t="b">
        <f t="shared" si="43"/>
        <v>0</v>
      </c>
      <c r="AO112" s="49" t="str">
        <f t="shared" si="44"/>
        <v>K5-POLICY</v>
      </c>
      <c r="AP112" s="72" t="str">
        <f>_xlfn.IFS(B112="","",AND(AO112="K5-LAW",AL112="นิติศาสตร์",K112="S2",Y112="",AE112=""),R112,AND(AO112="K5-LAW",AL112="นิติศาสตร์",K112="S1",Y112="",AE112=""),EDATE(R112,12),AND(AO112="K5-LAW",AL112="นิติศาสตร์",OR(K112="M2",K112="K4"),Y112="",AE112=""),EDATE(R112,12*2),AND(AO112="K5-LAW",AL112="นิติศาสตร์",OR(AE112="M2",AE112="K4"),AH112&gt;=2,OR(AG112&lt;AA112,AG112&lt;R112)),EDATE(AG112,12*2),AND(AO112="K5-LAW",AL112="นิติศาสตร์",AE112="S1",AH112&gt;=1,OR(AG112&lt;AA112,AG112&lt;R112)),EDATE(AG112,12),AND(AO112="K5-LAW",AL112="นิติศาสตร์",OR(Y112="M2",Y112="K4"),AB112&gt;=2,AA112&lt;R112),EDATE(AA112,12*2),AND(AO112="K5-LAW",AL112="นิติศาสตร์",Y112="S1",AB112&gt;=1,AA112&lt;R112),EDATE(AA112,12),AND(AO112="K5-LAW",AL112="นิติศาสตร์",OR(Y112="S2",Y112="K5")),AA112,AND(AO112="K5-LAW",AL112="นิติศาสตร์",OR(K112="M2",K112="K4"),U112&gt;=2),EDATE(R112,12*2),AND(AO112="K5-LAW",AL112="นิติศาสตร์",K112="S1",U112&gt;=1),EDATE(R112,12),AND(AO112="K5-LAW",AL112="นิติศาสตร์",OR(K112="S2",K112="K5")),R112,AND(AO112="K5-POLICY",AL112&lt;&gt;"นิติศาสตร์",K112="S2",Y112="",AE112=""),R112,AND(AO112="K5-POLICY",AL112&lt;&gt;"นิติศาสตร์",K112="S1",Y112="",AE112=""),EDATE(R112,12),AND(AO112="K5-POLICY",AL112&lt;&gt;"นิติศาสตร์",OR(K112="M2",K112="K4"),Y112="",AE112=""),EDATE(R112,12*2),AND(AO112="K5-POLICY",AL112&lt;&gt;"นิติศาสตร์",OR(AE112="M2",AE112="K4"),AH112&gt;=2,OR(AG112&lt;AA112,AG112&lt;R112)),EDATE(AG112,12*2),AND(AO112="K5-POLICY",AL112&lt;&gt;"นิติศาสตร์",AE112="S1",AH112&gt;=1,OR(AG112&lt;AA112,AG112&lt;R112)),EDATE(AG112,12),AND(AO112="K5-POLICY",AL112&lt;&gt;"นิติศาสตร์",OR(Y112="M2",Y112="K4"),AB112&gt;=2,AA112&lt;R112),EDATE(AA112,12*2),AND(AO112="K5-POLICY",AL112&lt;&gt;"นิติศาสตร์",Y112="S1",AB112&gt;=1,AA112&lt;R112),EDATE(AA112,12),AND(AO112="K5-POLICY",AL112&lt;&gt;"นิติศาสตร์",OR(Y112="S2",Y112="K5")),AA112,AND(AO112="K5-POLICY",AL112&lt;&gt;"นิติศาสตร์",OR(K112="M2",K112="K4"),U112&gt;=2),EDATE(R112,12*2),AND(AO112="K5-POLICY",AL112&lt;&gt;"นิติศาสตร์",K112="S1",U112&gt;=1),EDATE(R112,12),AND(AO112="K5-POLICY",AL112&lt;&gt;"นิติศาสตร์",OR(K112="S2",K112="K5")),R112,TRUE,"Check Data")</f>
        <v/>
      </c>
      <c r="AQ112" s="75" t="str">
        <f t="shared" si="45"/>
        <v>Check Data</v>
      </c>
      <c r="AR112" s="76" t="str">
        <f t="shared" si="46"/>
        <v>Check Data</v>
      </c>
      <c r="AS112" s="50" t="str">
        <f t="shared" si="47"/>
        <v>Check Data</v>
      </c>
      <c r="AT112" s="49" t="str">
        <f>IF(B112="","",IF(K112="S1","S1",INDEX(#REF!,#REF!)))</f>
        <v/>
      </c>
      <c r="AU112" s="49" t="str">
        <f t="shared" si="48"/>
        <v>M2</v>
      </c>
      <c r="AV112" s="50" t="b">
        <f t="shared" si="49"/>
        <v>0</v>
      </c>
      <c r="AW112" s="50"/>
    </row>
    <row r="113" spans="1:49" ht="21.75">
      <c r="A113" s="49">
        <v>111</v>
      </c>
      <c r="B113" s="50"/>
      <c r="C113" s="50"/>
      <c r="D113" s="50" t="s">
        <v>143</v>
      </c>
      <c r="E113" s="49" t="s">
        <v>319</v>
      </c>
      <c r="F113" s="49" t="str">
        <f t="shared" si="25"/>
        <v>01/08/2002</v>
      </c>
      <c r="G113" s="50">
        <f t="shared" si="26"/>
        <v>22</v>
      </c>
      <c r="H113" s="50">
        <f t="shared" si="27"/>
        <v>10</v>
      </c>
      <c r="I113" s="50">
        <f t="shared" si="28"/>
        <v>19</v>
      </c>
      <c r="J113" s="59"/>
      <c r="K113" s="49" t="s">
        <v>136</v>
      </c>
      <c r="L113" s="49" t="str">
        <f>IF(B113="","",IF(K113="S1",K113,INDEX(#REF!,#REF!)))</f>
        <v/>
      </c>
      <c r="M113" s="49" t="b">
        <f t="shared" si="29"/>
        <v>0</v>
      </c>
      <c r="N113" s="64"/>
      <c r="O113" s="49" t="s">
        <v>427</v>
      </c>
      <c r="P113" s="49">
        <v>2575</v>
      </c>
      <c r="Q113" s="65" t="s">
        <v>287</v>
      </c>
      <c r="R113" s="49" t="str">
        <f t="shared" si="30"/>
        <v>29/10/2020</v>
      </c>
      <c r="S113" s="49" t="str">
        <f>IF(B113="","",IF(K113="S1",K113,INDEX(#REF!,#REF!)))</f>
        <v/>
      </c>
      <c r="T113" s="49" t="b">
        <f t="shared" si="31"/>
        <v>0</v>
      </c>
      <c r="U113" s="68">
        <f t="shared" si="32"/>
        <v>4</v>
      </c>
      <c r="V113" s="68">
        <f t="shared" si="33"/>
        <v>7</v>
      </c>
      <c r="W113" s="68">
        <f t="shared" si="34"/>
        <v>22</v>
      </c>
      <c r="X113" s="68"/>
      <c r="Y113" s="65"/>
      <c r="Z113" s="65"/>
      <c r="AA113" s="49" t="str">
        <f t="shared" si="35"/>
        <v/>
      </c>
      <c r="AB113" s="68">
        <f t="shared" si="36"/>
        <v>0</v>
      </c>
      <c r="AC113" s="68">
        <f t="shared" si="37"/>
        <v>0</v>
      </c>
      <c r="AD113" s="68">
        <f t="shared" si="38"/>
        <v>0</v>
      </c>
      <c r="AE113" s="49"/>
      <c r="AF113" s="65"/>
      <c r="AG113" s="50" t="str">
        <f t="shared" si="39"/>
        <v/>
      </c>
      <c r="AH113" s="68">
        <f t="shared" si="40"/>
        <v>0</v>
      </c>
      <c r="AI113" s="68">
        <f t="shared" si="41"/>
        <v>0</v>
      </c>
      <c r="AJ113" s="68">
        <f t="shared" si="42"/>
        <v>0</v>
      </c>
      <c r="AK113" s="50"/>
      <c r="AL113" s="50" t="s">
        <v>517</v>
      </c>
      <c r="AM113" s="50" t="str">
        <f>IF(B113="","",IF(K113="S1",K113,INDEX(#REF!,#REF!)))</f>
        <v/>
      </c>
      <c r="AN113" s="50" t="b">
        <f t="shared" si="43"/>
        <v>0</v>
      </c>
      <c r="AO113" s="49" t="str">
        <f t="shared" si="44"/>
        <v>K5-POLICY</v>
      </c>
      <c r="AP113" s="72" t="str">
        <f>_xlfn.IFS(B113="","",AND(AO113="K5-LAW",AL113="นิติศาสตร์",K113="S2",Y113="",AE113=""),R113,AND(AO113="K5-LAW",AL113="นิติศาสตร์",K113="S1",Y113="",AE113=""),EDATE(R113,12),AND(AO113="K5-LAW",AL113="นิติศาสตร์",OR(K113="M2",K113="K4"),Y113="",AE113=""),EDATE(R113,12*2),AND(AO113="K5-LAW",AL113="นิติศาสตร์",OR(AE113="M2",AE113="K4"),AH113&gt;=2,OR(AG113&lt;AA113,AG113&lt;R113)),EDATE(AG113,12*2),AND(AO113="K5-LAW",AL113="นิติศาสตร์",AE113="S1",AH113&gt;=1,OR(AG113&lt;AA113,AG113&lt;R113)),EDATE(AG113,12),AND(AO113="K5-LAW",AL113="นิติศาสตร์",OR(Y113="M2",Y113="K4"),AB113&gt;=2,AA113&lt;R113),EDATE(AA113,12*2),AND(AO113="K5-LAW",AL113="นิติศาสตร์",Y113="S1",AB113&gt;=1,AA113&lt;R113),EDATE(AA113,12),AND(AO113="K5-LAW",AL113="นิติศาสตร์",OR(Y113="S2",Y113="K5")),AA113,AND(AO113="K5-LAW",AL113="นิติศาสตร์",OR(K113="M2",K113="K4"),U113&gt;=2),EDATE(R113,12*2),AND(AO113="K5-LAW",AL113="นิติศาสตร์",K113="S1",U113&gt;=1),EDATE(R113,12),AND(AO113="K5-LAW",AL113="นิติศาสตร์",OR(K113="S2",K113="K5")),R113,AND(AO113="K5-POLICY",AL113&lt;&gt;"นิติศาสตร์",K113="S2",Y113="",AE113=""),R113,AND(AO113="K5-POLICY",AL113&lt;&gt;"นิติศาสตร์",K113="S1",Y113="",AE113=""),EDATE(R113,12),AND(AO113="K5-POLICY",AL113&lt;&gt;"นิติศาสตร์",OR(K113="M2",K113="K4"),Y113="",AE113=""),EDATE(R113,12*2),AND(AO113="K5-POLICY",AL113&lt;&gt;"นิติศาสตร์",OR(AE113="M2",AE113="K4"),AH113&gt;=2,OR(AG113&lt;AA113,AG113&lt;R113)),EDATE(AG113,12*2),AND(AO113="K5-POLICY",AL113&lt;&gt;"นิติศาสตร์",AE113="S1",AH113&gt;=1,OR(AG113&lt;AA113,AG113&lt;R113)),EDATE(AG113,12),AND(AO113="K5-POLICY",AL113&lt;&gt;"นิติศาสตร์",OR(Y113="M2",Y113="K4"),AB113&gt;=2,AA113&lt;R113),EDATE(AA113,12*2),AND(AO113="K5-POLICY",AL113&lt;&gt;"นิติศาสตร์",Y113="S1",AB113&gt;=1,AA113&lt;R113),EDATE(AA113,12),AND(AO113="K5-POLICY",AL113&lt;&gt;"นิติศาสตร์",OR(Y113="S2",Y113="K5")),AA113,AND(AO113="K5-POLICY",AL113&lt;&gt;"นิติศาสตร์",OR(K113="M2",K113="K4"),U113&gt;=2),EDATE(R113,12*2),AND(AO113="K5-POLICY",AL113&lt;&gt;"นิติศาสตร์",K113="S1",U113&gt;=1),EDATE(R113,12),AND(AO113="K5-POLICY",AL113&lt;&gt;"นิติศาสตร์",OR(K113="S2",K113="K5")),R113,TRUE,"Check Data")</f>
        <v/>
      </c>
      <c r="AQ113" s="75" t="str">
        <f t="shared" si="45"/>
        <v>Check Data</v>
      </c>
      <c r="AR113" s="76" t="str">
        <f t="shared" si="46"/>
        <v>Check Data</v>
      </c>
      <c r="AS113" s="50" t="str">
        <f t="shared" si="47"/>
        <v>Check Data</v>
      </c>
      <c r="AT113" s="49" t="str">
        <f>IF(B113="","",IF(K113="S1","S1",INDEX(#REF!,#REF!)))</f>
        <v/>
      </c>
      <c r="AU113" s="49" t="str">
        <f t="shared" si="48"/>
        <v>M2</v>
      </c>
      <c r="AV113" s="50" t="b">
        <f t="shared" si="49"/>
        <v>0</v>
      </c>
      <c r="AW113" s="50"/>
    </row>
    <row r="114" spans="1:49" ht="21.75">
      <c r="A114" s="49">
        <v>112</v>
      </c>
      <c r="B114" s="50"/>
      <c r="C114" s="50"/>
      <c r="D114" s="50" t="s">
        <v>139</v>
      </c>
      <c r="E114" s="49" t="s">
        <v>208</v>
      </c>
      <c r="F114" s="49" t="str">
        <f t="shared" si="25"/>
        <v>01/02/1990</v>
      </c>
      <c r="G114" s="50">
        <f t="shared" si="26"/>
        <v>35</v>
      </c>
      <c r="H114" s="50">
        <f t="shared" si="27"/>
        <v>4</v>
      </c>
      <c r="I114" s="50">
        <f t="shared" si="28"/>
        <v>19</v>
      </c>
      <c r="J114" s="56"/>
      <c r="K114" s="49" t="s">
        <v>136</v>
      </c>
      <c r="L114" s="49" t="str">
        <f>IF(B114="","",IF(K114="S1",K114,INDEX(#REF!,#REF!)))</f>
        <v/>
      </c>
      <c r="M114" s="49" t="b">
        <f t="shared" si="29"/>
        <v>0</v>
      </c>
      <c r="N114" s="64"/>
      <c r="O114" s="49" t="s">
        <v>425</v>
      </c>
      <c r="P114" s="49">
        <v>2571</v>
      </c>
      <c r="Q114" s="65" t="s">
        <v>225</v>
      </c>
      <c r="R114" s="49" t="str">
        <f t="shared" si="30"/>
        <v>30/11/2020</v>
      </c>
      <c r="S114" s="49" t="str">
        <f>IF(B114="","",IF(K114="S1",K114,INDEX(#REF!,#REF!)))</f>
        <v/>
      </c>
      <c r="T114" s="49" t="b">
        <f t="shared" si="31"/>
        <v>0</v>
      </c>
      <c r="U114" s="68">
        <f t="shared" si="32"/>
        <v>4</v>
      </c>
      <c r="V114" s="68">
        <f t="shared" si="33"/>
        <v>6</v>
      </c>
      <c r="W114" s="68">
        <f t="shared" si="34"/>
        <v>21</v>
      </c>
      <c r="X114" s="68"/>
      <c r="Y114" s="65"/>
      <c r="Z114" s="65"/>
      <c r="AA114" s="49" t="str">
        <f t="shared" si="35"/>
        <v/>
      </c>
      <c r="AB114" s="68">
        <f t="shared" si="36"/>
        <v>0</v>
      </c>
      <c r="AC114" s="68">
        <f t="shared" si="37"/>
        <v>0</v>
      </c>
      <c r="AD114" s="68">
        <f t="shared" si="38"/>
        <v>0</v>
      </c>
      <c r="AE114" s="49"/>
      <c r="AF114" s="65"/>
      <c r="AG114" s="50" t="str">
        <f t="shared" si="39"/>
        <v/>
      </c>
      <c r="AH114" s="68">
        <f t="shared" si="40"/>
        <v>0</v>
      </c>
      <c r="AI114" s="68">
        <f t="shared" si="41"/>
        <v>0</v>
      </c>
      <c r="AJ114" s="68">
        <f t="shared" si="42"/>
        <v>0</v>
      </c>
      <c r="AK114" s="50"/>
      <c r="AL114" s="50" t="s">
        <v>167</v>
      </c>
      <c r="AM114" s="129" t="str">
        <f>IF(B114="","",IF(K114="S1",K114,INDEX(#REF!,#REF!)))</f>
        <v/>
      </c>
      <c r="AN114" s="50" t="b">
        <f t="shared" si="43"/>
        <v>0</v>
      </c>
      <c r="AO114" s="49" t="str">
        <f t="shared" si="44"/>
        <v>K5-POLICY</v>
      </c>
      <c r="AP114" s="72" t="str">
        <f>_xlfn.IFS(B114="","",AND(AO114="K5-LAW",AL114="นิติศาสตร์",K114="S2",Y114="",AE114=""),R114,AND(AO114="K5-LAW",AL114="นิติศาสตร์",K114="S1",Y114="",AE114=""),EDATE(R114,12),AND(AO114="K5-LAW",AL114="นิติศาสตร์",OR(K114="M2",K114="K4"),Y114="",AE114=""),EDATE(R114,12*2),AND(AO114="K5-LAW",AL114="นิติศาสตร์",OR(AE114="M2",AE114="K4"),AH114&gt;=2,OR(AG114&lt;AA114,AG114&lt;R114)),EDATE(AG114,12*2),AND(AO114="K5-LAW",AL114="นิติศาสตร์",AE114="S1",AH114&gt;=1,OR(AG114&lt;AA114,AG114&lt;R114)),EDATE(AG114,12),AND(AO114="K5-LAW",AL114="นิติศาสตร์",OR(Y114="M2",Y114="K4"),AB114&gt;=2,AA114&lt;R114),EDATE(AA114,12*2),AND(AO114="K5-LAW",AL114="นิติศาสตร์",Y114="S1",AB114&gt;=1,AA114&lt;R114),EDATE(AA114,12),AND(AO114="K5-LAW",AL114="นิติศาสตร์",OR(Y114="S2",Y114="K5")),AA114,AND(AO114="K5-LAW",AL114="นิติศาสตร์",OR(K114="M2",K114="K4"),U114&gt;=2),EDATE(R114,12*2),AND(AO114="K5-LAW",AL114="นิติศาสตร์",K114="S1",U114&gt;=1),EDATE(R114,12),AND(AO114="K5-LAW",AL114="นิติศาสตร์",OR(K114="S2",K114="K5")),R114,AND(AO114="K5-POLICY",AL114&lt;&gt;"นิติศาสตร์",K114="S2",Y114="",AE114=""),R114,AND(AO114="K5-POLICY",AL114&lt;&gt;"นิติศาสตร์",K114="S1",Y114="",AE114=""),EDATE(R114,12),AND(AO114="K5-POLICY",AL114&lt;&gt;"นิติศาสตร์",OR(K114="M2",K114="K4"),Y114="",AE114=""),EDATE(R114,12*2),AND(AO114="K5-POLICY",AL114&lt;&gt;"นิติศาสตร์",OR(AE114="M2",AE114="K4"),AH114&gt;=2,OR(AG114&lt;AA114,AG114&lt;R114)),EDATE(AG114,12*2),AND(AO114="K5-POLICY",AL114&lt;&gt;"นิติศาสตร์",AE114="S1",AH114&gt;=1,OR(AG114&lt;AA114,AG114&lt;R114)),EDATE(AG114,12),AND(AO114="K5-POLICY",AL114&lt;&gt;"นิติศาสตร์",OR(Y114="M2",Y114="K4"),AB114&gt;=2,AA114&lt;R114),EDATE(AA114,12*2),AND(AO114="K5-POLICY",AL114&lt;&gt;"นิติศาสตร์",Y114="S1",AB114&gt;=1,AA114&lt;R114),EDATE(AA114,12),AND(AO114="K5-POLICY",AL114&lt;&gt;"นิติศาสตร์",OR(Y114="S2",Y114="K5")),AA114,AND(AO114="K5-POLICY",AL114&lt;&gt;"นิติศาสตร์",OR(K114="M2",K114="K4"),U114&gt;=2),EDATE(R114,12*2),AND(AO114="K5-POLICY",AL114&lt;&gt;"นิติศาสตร์",K114="S1",U114&gt;=1),EDATE(R114,12),AND(AO114="K5-POLICY",AL114&lt;&gt;"นิติศาสตร์",OR(K114="S2",K114="K5")),R114,TRUE,"Check Data")</f>
        <v/>
      </c>
      <c r="AQ114" s="75" t="str">
        <f t="shared" si="45"/>
        <v>Check Data</v>
      </c>
      <c r="AR114" s="76" t="str">
        <f t="shared" si="46"/>
        <v>Check Data</v>
      </c>
      <c r="AS114" s="50" t="str">
        <f t="shared" si="47"/>
        <v>Check Data</v>
      </c>
      <c r="AT114" s="49" t="str">
        <f>IF(B114="","",IF(K114="S1","S1",INDEX(#REF!,#REF!)))</f>
        <v/>
      </c>
      <c r="AU114" s="49" t="str">
        <f t="shared" si="48"/>
        <v>M2</v>
      </c>
      <c r="AV114" s="50" t="b">
        <f t="shared" si="49"/>
        <v>0</v>
      </c>
      <c r="AW114" s="50"/>
    </row>
    <row r="115" spans="1:49" ht="21.75">
      <c r="A115" s="49">
        <v>113</v>
      </c>
      <c r="B115" s="50"/>
      <c r="C115" s="50"/>
      <c r="D115" s="50" t="s">
        <v>139</v>
      </c>
      <c r="E115" s="49" t="s">
        <v>176</v>
      </c>
      <c r="F115" s="49" t="str">
        <f t="shared" si="25"/>
        <v>01/03/1990</v>
      </c>
      <c r="G115" s="50">
        <f t="shared" si="26"/>
        <v>35</v>
      </c>
      <c r="H115" s="50">
        <f t="shared" si="27"/>
        <v>3</v>
      </c>
      <c r="I115" s="50">
        <f t="shared" si="28"/>
        <v>19</v>
      </c>
      <c r="J115" s="58"/>
      <c r="K115" s="49" t="s">
        <v>136</v>
      </c>
      <c r="L115" s="49" t="str">
        <f>IF(B115="","",IF(K115="S1",K115,INDEX(#REF!,#REF!)))</f>
        <v/>
      </c>
      <c r="M115" s="49" t="b">
        <f t="shared" si="29"/>
        <v>0</v>
      </c>
      <c r="N115" s="64"/>
      <c r="O115" s="49" t="s">
        <v>427</v>
      </c>
      <c r="P115" s="49">
        <v>2569</v>
      </c>
      <c r="Q115" s="65" t="s">
        <v>225</v>
      </c>
      <c r="R115" s="49" t="str">
        <f t="shared" si="30"/>
        <v>30/11/2020</v>
      </c>
      <c r="S115" s="49" t="str">
        <f>IF(B115="","",IF(K115="S1",K115,INDEX(#REF!,#REF!)))</f>
        <v/>
      </c>
      <c r="T115" s="49" t="b">
        <f t="shared" si="31"/>
        <v>0</v>
      </c>
      <c r="U115" s="68">
        <f t="shared" si="32"/>
        <v>4</v>
      </c>
      <c r="V115" s="68">
        <f t="shared" si="33"/>
        <v>6</v>
      </c>
      <c r="W115" s="68">
        <f t="shared" si="34"/>
        <v>21</v>
      </c>
      <c r="X115" s="68"/>
      <c r="Y115" s="65"/>
      <c r="Z115" s="65"/>
      <c r="AA115" s="49" t="str">
        <f t="shared" si="35"/>
        <v/>
      </c>
      <c r="AB115" s="68">
        <f t="shared" si="36"/>
        <v>0</v>
      </c>
      <c r="AC115" s="68">
        <f t="shared" si="37"/>
        <v>0</v>
      </c>
      <c r="AD115" s="68">
        <f t="shared" si="38"/>
        <v>0</v>
      </c>
      <c r="AE115" s="49"/>
      <c r="AF115" s="65"/>
      <c r="AG115" s="50" t="str">
        <f t="shared" si="39"/>
        <v/>
      </c>
      <c r="AH115" s="68">
        <f t="shared" si="40"/>
        <v>0</v>
      </c>
      <c r="AI115" s="68">
        <f t="shared" si="41"/>
        <v>0</v>
      </c>
      <c r="AJ115" s="68">
        <f t="shared" si="42"/>
        <v>0</v>
      </c>
      <c r="AK115" s="50"/>
      <c r="AL115" s="50" t="s">
        <v>138</v>
      </c>
      <c r="AM115" s="50" t="str">
        <f>IF(B115="","",IF(K115="S1",K115,INDEX(#REF!,#REF!)))</f>
        <v/>
      </c>
      <c r="AN115" s="50" t="b">
        <f t="shared" si="43"/>
        <v>0</v>
      </c>
      <c r="AO115" s="49" t="str">
        <f t="shared" si="44"/>
        <v>K5-LAW</v>
      </c>
      <c r="AP115" s="72" t="str">
        <f>_xlfn.IFS(B115="","",AND(AO115="K5-LAW",AL115="นิติศาสตร์",K115="S2",Y115="",AE115=""),R115,AND(AO115="K5-LAW",AL115="นิติศาสตร์",K115="S1",Y115="",AE115=""),EDATE(R115,12),AND(AO115="K5-LAW",AL115="นิติศาสตร์",OR(K115="M2",K115="K4"),Y115="",AE115=""),EDATE(R115,12*2),AND(AO115="K5-LAW",AL115="นิติศาสตร์",OR(AE115="M2",AE115="K4"),AH115&gt;=2,OR(AG115&lt;AA115,AG115&lt;R115)),EDATE(AG115,12*2),AND(AO115="K5-LAW",AL115="นิติศาสตร์",AE115="S1",AH115&gt;=1,OR(AG115&lt;AA115,AG115&lt;R115)),EDATE(AG115,12),AND(AO115="K5-LAW",AL115="นิติศาสตร์",OR(Y115="M2",Y115="K4"),AB115&gt;=2,AA115&lt;R115),EDATE(AA115,12*2),AND(AO115="K5-LAW",AL115="นิติศาสตร์",Y115="S1",AB115&gt;=1,AA115&lt;R115),EDATE(AA115,12),AND(AO115="K5-LAW",AL115="นิติศาสตร์",OR(Y115="S2",Y115="K5")),AA115,AND(AO115="K5-LAW",AL115="นิติศาสตร์",OR(K115="M2",K115="K4"),U115&gt;=2),EDATE(R115,12*2),AND(AO115="K5-LAW",AL115="นิติศาสตร์",K115="S1",U115&gt;=1),EDATE(R115,12),AND(AO115="K5-LAW",AL115="นิติศาสตร์",OR(K115="S2",K115="K5")),R115,AND(AO115="K5-POLICY",AL115&lt;&gt;"นิติศาสตร์",K115="S2",Y115="",AE115=""),R115,AND(AO115="K5-POLICY",AL115&lt;&gt;"นิติศาสตร์",K115="S1",Y115="",AE115=""),EDATE(R115,12),AND(AO115="K5-POLICY",AL115&lt;&gt;"นิติศาสตร์",OR(K115="M2",K115="K4"),Y115="",AE115=""),EDATE(R115,12*2),AND(AO115="K5-POLICY",AL115&lt;&gt;"นิติศาสตร์",OR(AE115="M2",AE115="K4"),AH115&gt;=2,OR(AG115&lt;AA115,AG115&lt;R115)),EDATE(AG115,12*2),AND(AO115="K5-POLICY",AL115&lt;&gt;"นิติศาสตร์",AE115="S1",AH115&gt;=1,OR(AG115&lt;AA115,AG115&lt;R115)),EDATE(AG115,12),AND(AO115="K5-POLICY",AL115&lt;&gt;"นิติศาสตร์",OR(Y115="M2",Y115="K4"),AB115&gt;=2,AA115&lt;R115),EDATE(AA115,12*2),AND(AO115="K5-POLICY",AL115&lt;&gt;"นิติศาสตร์",Y115="S1",AB115&gt;=1,AA115&lt;R115),EDATE(AA115,12),AND(AO115="K5-POLICY",AL115&lt;&gt;"นิติศาสตร์",OR(Y115="S2",Y115="K5")),AA115,AND(AO115="K5-POLICY",AL115&lt;&gt;"นิติศาสตร์",OR(K115="M2",K115="K4"),U115&gt;=2),EDATE(R115,12*2),AND(AO115="K5-POLICY",AL115&lt;&gt;"นิติศาสตร์",K115="S1",U115&gt;=1),EDATE(R115,12),AND(AO115="K5-POLICY",AL115&lt;&gt;"นิติศาสตร์",OR(K115="S2",K115="K5")),R115,TRUE,"Check Data")</f>
        <v/>
      </c>
      <c r="AQ115" s="75" t="str">
        <f t="shared" si="45"/>
        <v>Check Data</v>
      </c>
      <c r="AR115" s="76" t="str">
        <f t="shared" si="46"/>
        <v>Check Data</v>
      </c>
      <c r="AS115" s="50" t="str">
        <f t="shared" si="47"/>
        <v>Check Data</v>
      </c>
      <c r="AT115" s="49" t="str">
        <f>IF(B115="","",IF(K115="S1","S1",INDEX(#REF!,#REF!)))</f>
        <v/>
      </c>
      <c r="AU115" s="49" t="str">
        <f t="shared" si="48"/>
        <v>M2</v>
      </c>
      <c r="AV115" s="50" t="b">
        <f t="shared" si="49"/>
        <v>0</v>
      </c>
      <c r="AW115" s="50"/>
    </row>
    <row r="116" spans="1:49" ht="21.75">
      <c r="A116" s="49">
        <v>114</v>
      </c>
      <c r="B116" s="50"/>
      <c r="C116" s="50"/>
      <c r="D116" s="50" t="s">
        <v>139</v>
      </c>
      <c r="E116" s="49" t="s">
        <v>231</v>
      </c>
      <c r="F116" s="49" t="str">
        <f t="shared" si="25"/>
        <v>15/05/1995</v>
      </c>
      <c r="G116" s="50">
        <f t="shared" si="26"/>
        <v>30</v>
      </c>
      <c r="H116" s="50">
        <f t="shared" si="27"/>
        <v>1</v>
      </c>
      <c r="I116" s="50">
        <f t="shared" si="28"/>
        <v>5</v>
      </c>
      <c r="J116" s="58"/>
      <c r="K116" s="49" t="s">
        <v>136</v>
      </c>
      <c r="L116" s="49" t="str">
        <f>IF(B116="","",IF(K116="S1",K116,INDEX(#REF!,#REF!)))</f>
        <v/>
      </c>
      <c r="M116" s="49" t="b">
        <f t="shared" si="29"/>
        <v>0</v>
      </c>
      <c r="N116" s="64"/>
      <c r="O116" s="49" t="s">
        <v>427</v>
      </c>
      <c r="P116" s="49">
        <v>2574</v>
      </c>
      <c r="Q116" s="65" t="s">
        <v>225</v>
      </c>
      <c r="R116" s="49" t="str">
        <f t="shared" si="30"/>
        <v>30/11/2020</v>
      </c>
      <c r="S116" s="49" t="str">
        <f>IF(B116="","",IF(K116="S1",K116,INDEX(#REF!,#REF!)))</f>
        <v/>
      </c>
      <c r="T116" s="49" t="b">
        <f t="shared" si="31"/>
        <v>0</v>
      </c>
      <c r="U116" s="68">
        <f t="shared" si="32"/>
        <v>4</v>
      </c>
      <c r="V116" s="68">
        <f t="shared" si="33"/>
        <v>6</v>
      </c>
      <c r="W116" s="68">
        <f t="shared" si="34"/>
        <v>21</v>
      </c>
      <c r="X116" s="68"/>
      <c r="Y116" s="65"/>
      <c r="Z116" s="65"/>
      <c r="AA116" s="49" t="str">
        <f t="shared" si="35"/>
        <v/>
      </c>
      <c r="AB116" s="68">
        <f t="shared" si="36"/>
        <v>0</v>
      </c>
      <c r="AC116" s="68">
        <f t="shared" si="37"/>
        <v>0</v>
      </c>
      <c r="AD116" s="68">
        <f t="shared" si="38"/>
        <v>0</v>
      </c>
      <c r="AE116" s="49"/>
      <c r="AF116" s="65"/>
      <c r="AG116" s="50" t="str">
        <f t="shared" si="39"/>
        <v/>
      </c>
      <c r="AH116" s="68">
        <f t="shared" si="40"/>
        <v>0</v>
      </c>
      <c r="AI116" s="68">
        <f t="shared" si="41"/>
        <v>0</v>
      </c>
      <c r="AJ116" s="68">
        <f t="shared" si="42"/>
        <v>0</v>
      </c>
      <c r="AK116" s="50"/>
      <c r="AL116" s="50" t="s">
        <v>163</v>
      </c>
      <c r="AM116" s="129" t="str">
        <f>IF(B116="","",IF(K116="S1",K116,INDEX(#REF!,#REF!)))</f>
        <v/>
      </c>
      <c r="AN116" s="50" t="b">
        <f t="shared" si="43"/>
        <v>0</v>
      </c>
      <c r="AO116" s="49" t="str">
        <f t="shared" si="44"/>
        <v>K5-POLICY</v>
      </c>
      <c r="AP116" s="72" t="str">
        <f>_xlfn.IFS(B116="","",AND(AO116="K5-LAW",AL116="นิติศาสตร์",K116="S2",Y116="",AE116=""),R116,AND(AO116="K5-LAW",AL116="นิติศาสตร์",K116="S1",Y116="",AE116=""),EDATE(R116,12),AND(AO116="K5-LAW",AL116="นิติศาสตร์",OR(K116="M2",K116="K4"),Y116="",AE116=""),EDATE(R116,12*2),AND(AO116="K5-LAW",AL116="นิติศาสตร์",OR(AE116="M2",AE116="K4"),AH116&gt;=2,OR(AG116&lt;AA116,AG116&lt;R116)),EDATE(AG116,12*2),AND(AO116="K5-LAW",AL116="นิติศาสตร์",AE116="S1",AH116&gt;=1,OR(AG116&lt;AA116,AG116&lt;R116)),EDATE(AG116,12),AND(AO116="K5-LAW",AL116="นิติศาสตร์",OR(Y116="M2",Y116="K4"),AB116&gt;=2,AA116&lt;R116),EDATE(AA116,12*2),AND(AO116="K5-LAW",AL116="นิติศาสตร์",Y116="S1",AB116&gt;=1,AA116&lt;R116),EDATE(AA116,12),AND(AO116="K5-LAW",AL116="นิติศาสตร์",OR(Y116="S2",Y116="K5")),AA116,AND(AO116="K5-LAW",AL116="นิติศาสตร์",OR(K116="M2",K116="K4"),U116&gt;=2),EDATE(R116,12*2),AND(AO116="K5-LAW",AL116="นิติศาสตร์",K116="S1",U116&gt;=1),EDATE(R116,12),AND(AO116="K5-LAW",AL116="นิติศาสตร์",OR(K116="S2",K116="K5")),R116,AND(AO116="K5-POLICY",AL116&lt;&gt;"นิติศาสตร์",K116="S2",Y116="",AE116=""),R116,AND(AO116="K5-POLICY",AL116&lt;&gt;"นิติศาสตร์",K116="S1",Y116="",AE116=""),EDATE(R116,12),AND(AO116="K5-POLICY",AL116&lt;&gt;"นิติศาสตร์",OR(K116="M2",K116="K4"),Y116="",AE116=""),EDATE(R116,12*2),AND(AO116="K5-POLICY",AL116&lt;&gt;"นิติศาสตร์",OR(AE116="M2",AE116="K4"),AH116&gt;=2,OR(AG116&lt;AA116,AG116&lt;R116)),EDATE(AG116,12*2),AND(AO116="K5-POLICY",AL116&lt;&gt;"นิติศาสตร์",AE116="S1",AH116&gt;=1,OR(AG116&lt;AA116,AG116&lt;R116)),EDATE(AG116,12),AND(AO116="K5-POLICY",AL116&lt;&gt;"นิติศาสตร์",OR(Y116="M2",Y116="K4"),AB116&gt;=2,AA116&lt;R116),EDATE(AA116,12*2),AND(AO116="K5-POLICY",AL116&lt;&gt;"นิติศาสตร์",Y116="S1",AB116&gt;=1,AA116&lt;R116),EDATE(AA116,12),AND(AO116="K5-POLICY",AL116&lt;&gt;"นิติศาสตร์",OR(Y116="S2",Y116="K5")),AA116,AND(AO116="K5-POLICY",AL116&lt;&gt;"นิติศาสตร์",OR(K116="M2",K116="K4"),U116&gt;=2),EDATE(R116,12*2),AND(AO116="K5-POLICY",AL116&lt;&gt;"นิติศาสตร์",K116="S1",U116&gt;=1),EDATE(R116,12),AND(AO116="K5-POLICY",AL116&lt;&gt;"นิติศาสตร์",OR(K116="S2",K116="K5")),R116,TRUE,"Check Data")</f>
        <v/>
      </c>
      <c r="AQ116" s="75" t="str">
        <f t="shared" si="45"/>
        <v>Check Data</v>
      </c>
      <c r="AR116" s="76" t="str">
        <f t="shared" si="46"/>
        <v>Check Data</v>
      </c>
      <c r="AS116" s="50" t="str">
        <f t="shared" si="47"/>
        <v>Check Data</v>
      </c>
      <c r="AT116" s="49" t="str">
        <f>IF(B116="","",IF(K116="S1","S1",INDEX(#REF!,#REF!)))</f>
        <v/>
      </c>
      <c r="AU116" s="49" t="str">
        <f t="shared" si="48"/>
        <v>M2</v>
      </c>
      <c r="AV116" s="50" t="b">
        <f t="shared" si="49"/>
        <v>0</v>
      </c>
      <c r="AW116" s="50"/>
    </row>
    <row r="117" spans="1:49" ht="21.75">
      <c r="A117" s="49">
        <v>115</v>
      </c>
      <c r="B117" s="50"/>
      <c r="C117" s="50"/>
      <c r="D117" s="50" t="s">
        <v>139</v>
      </c>
      <c r="E117" s="49" t="s">
        <v>224</v>
      </c>
      <c r="F117" s="49" t="str">
        <f t="shared" si="25"/>
        <v>23/04/1997</v>
      </c>
      <c r="G117" s="50">
        <f t="shared" si="26"/>
        <v>28</v>
      </c>
      <c r="H117" s="50">
        <f t="shared" si="27"/>
        <v>1</v>
      </c>
      <c r="I117" s="50">
        <f t="shared" si="28"/>
        <v>28</v>
      </c>
      <c r="J117" s="56"/>
      <c r="K117" s="49" t="s">
        <v>136</v>
      </c>
      <c r="L117" s="49" t="str">
        <f>IF(B117="","",IF(K117="S1",K117,INDEX(#REF!,#REF!)))</f>
        <v/>
      </c>
      <c r="M117" s="49" t="b">
        <f t="shared" si="29"/>
        <v>0</v>
      </c>
      <c r="N117" s="64"/>
      <c r="O117" s="49" t="s">
        <v>427</v>
      </c>
      <c r="P117" s="49">
        <v>2573</v>
      </c>
      <c r="Q117" s="65" t="s">
        <v>225</v>
      </c>
      <c r="R117" s="49" t="str">
        <f t="shared" si="30"/>
        <v>30/11/2020</v>
      </c>
      <c r="S117" s="49" t="str">
        <f>IF(B117="","",IF(K117="S1",K117,INDEX(#REF!,#REF!)))</f>
        <v/>
      </c>
      <c r="T117" s="49" t="b">
        <f t="shared" si="31"/>
        <v>0</v>
      </c>
      <c r="U117" s="68">
        <f t="shared" si="32"/>
        <v>4</v>
      </c>
      <c r="V117" s="68">
        <f t="shared" si="33"/>
        <v>6</v>
      </c>
      <c r="W117" s="68">
        <f t="shared" si="34"/>
        <v>21</v>
      </c>
      <c r="X117" s="68"/>
      <c r="Y117" s="65"/>
      <c r="Z117" s="65"/>
      <c r="AA117" s="49" t="str">
        <f t="shared" si="35"/>
        <v/>
      </c>
      <c r="AB117" s="68">
        <f t="shared" si="36"/>
        <v>0</v>
      </c>
      <c r="AC117" s="68">
        <f t="shared" si="37"/>
        <v>0</v>
      </c>
      <c r="AD117" s="68">
        <f t="shared" si="38"/>
        <v>0</v>
      </c>
      <c r="AE117" s="49"/>
      <c r="AF117" s="65"/>
      <c r="AG117" s="50" t="str">
        <f t="shared" si="39"/>
        <v/>
      </c>
      <c r="AH117" s="68">
        <f t="shared" si="40"/>
        <v>0</v>
      </c>
      <c r="AI117" s="68">
        <f t="shared" si="41"/>
        <v>0</v>
      </c>
      <c r="AJ117" s="68">
        <f t="shared" si="42"/>
        <v>0</v>
      </c>
      <c r="AK117" s="50"/>
      <c r="AL117" s="50" t="s">
        <v>167</v>
      </c>
      <c r="AM117" s="129" t="str">
        <f>IF(B117="","",IF(K117="S1",K117,INDEX(#REF!,#REF!)))</f>
        <v/>
      </c>
      <c r="AN117" s="50" t="b">
        <f t="shared" si="43"/>
        <v>0</v>
      </c>
      <c r="AO117" s="49" t="str">
        <f t="shared" si="44"/>
        <v>K5-POLICY</v>
      </c>
      <c r="AP117" s="72" t="str">
        <f>_xlfn.IFS(B117="","",AND(AO117="K5-LAW",AL117="นิติศาสตร์",K117="S2",Y117="",AE117=""),R117,AND(AO117="K5-LAW",AL117="นิติศาสตร์",K117="S1",Y117="",AE117=""),EDATE(R117,12),AND(AO117="K5-LAW",AL117="นิติศาสตร์",OR(K117="M2",K117="K4"),Y117="",AE117=""),EDATE(R117,12*2),AND(AO117="K5-LAW",AL117="นิติศาสตร์",OR(AE117="M2",AE117="K4"),AH117&gt;=2,OR(AG117&lt;AA117,AG117&lt;R117)),EDATE(AG117,12*2),AND(AO117="K5-LAW",AL117="นิติศาสตร์",AE117="S1",AH117&gt;=1,OR(AG117&lt;AA117,AG117&lt;R117)),EDATE(AG117,12),AND(AO117="K5-LAW",AL117="นิติศาสตร์",OR(Y117="M2",Y117="K4"),AB117&gt;=2,AA117&lt;R117),EDATE(AA117,12*2),AND(AO117="K5-LAW",AL117="นิติศาสตร์",Y117="S1",AB117&gt;=1,AA117&lt;R117),EDATE(AA117,12),AND(AO117="K5-LAW",AL117="นิติศาสตร์",OR(Y117="S2",Y117="K5")),AA117,AND(AO117="K5-LAW",AL117="นิติศาสตร์",OR(K117="M2",K117="K4"),U117&gt;=2),EDATE(R117,12*2),AND(AO117="K5-LAW",AL117="นิติศาสตร์",K117="S1",U117&gt;=1),EDATE(R117,12),AND(AO117="K5-LAW",AL117="นิติศาสตร์",OR(K117="S2",K117="K5")),R117,AND(AO117="K5-POLICY",AL117&lt;&gt;"นิติศาสตร์",K117="S2",Y117="",AE117=""),R117,AND(AO117="K5-POLICY",AL117&lt;&gt;"นิติศาสตร์",K117="S1",Y117="",AE117=""),EDATE(R117,12),AND(AO117="K5-POLICY",AL117&lt;&gt;"นิติศาสตร์",OR(K117="M2",K117="K4"),Y117="",AE117=""),EDATE(R117,12*2),AND(AO117="K5-POLICY",AL117&lt;&gt;"นิติศาสตร์",OR(AE117="M2",AE117="K4"),AH117&gt;=2,OR(AG117&lt;AA117,AG117&lt;R117)),EDATE(AG117,12*2),AND(AO117="K5-POLICY",AL117&lt;&gt;"นิติศาสตร์",AE117="S1",AH117&gt;=1,OR(AG117&lt;AA117,AG117&lt;R117)),EDATE(AG117,12),AND(AO117="K5-POLICY",AL117&lt;&gt;"นิติศาสตร์",OR(Y117="M2",Y117="K4"),AB117&gt;=2,AA117&lt;R117),EDATE(AA117,12*2),AND(AO117="K5-POLICY",AL117&lt;&gt;"นิติศาสตร์",Y117="S1",AB117&gt;=1,AA117&lt;R117),EDATE(AA117,12),AND(AO117="K5-POLICY",AL117&lt;&gt;"นิติศาสตร์",OR(Y117="S2",Y117="K5")),AA117,AND(AO117="K5-POLICY",AL117&lt;&gt;"นิติศาสตร์",OR(K117="M2",K117="K4"),U117&gt;=2),EDATE(R117,12*2),AND(AO117="K5-POLICY",AL117&lt;&gt;"นิติศาสตร์",K117="S1",U117&gt;=1),EDATE(R117,12),AND(AO117="K5-POLICY",AL117&lt;&gt;"นิติศาสตร์",OR(K117="S2",K117="K5")),R117,TRUE,"Check Data")</f>
        <v/>
      </c>
      <c r="AQ117" s="75" t="str">
        <f t="shared" si="45"/>
        <v>Check Data</v>
      </c>
      <c r="AR117" s="76" t="str">
        <f t="shared" si="46"/>
        <v>Check Data</v>
      </c>
      <c r="AS117" s="50" t="str">
        <f t="shared" si="47"/>
        <v>Check Data</v>
      </c>
      <c r="AT117" s="49" t="str">
        <f>IF(B117="","",IF(K117="S1","S1",INDEX(#REF!,#REF!)))</f>
        <v/>
      </c>
      <c r="AU117" s="49" t="str">
        <f t="shared" si="48"/>
        <v>M2</v>
      </c>
      <c r="AV117" s="50" t="b">
        <f t="shared" si="49"/>
        <v>0</v>
      </c>
      <c r="AW117" s="50"/>
    </row>
    <row r="118" spans="1:49" ht="21.75">
      <c r="A118" s="49">
        <v>116</v>
      </c>
      <c r="B118" s="50"/>
      <c r="C118" s="50"/>
      <c r="D118" s="50" t="s">
        <v>146</v>
      </c>
      <c r="E118" s="49" t="s">
        <v>395</v>
      </c>
      <c r="F118" s="49" t="str">
        <f t="shared" si="25"/>
        <v>01/07/2003</v>
      </c>
      <c r="G118" s="50">
        <f t="shared" si="26"/>
        <v>21</v>
      </c>
      <c r="H118" s="50">
        <f t="shared" si="27"/>
        <v>11</v>
      </c>
      <c r="I118" s="50">
        <f t="shared" si="28"/>
        <v>19</v>
      </c>
      <c r="J118" s="57"/>
      <c r="K118" s="49" t="s">
        <v>136</v>
      </c>
      <c r="L118" s="49" t="str">
        <f>IF(B118="","",IF(K118="S1",K118,INDEX(#REF!,#REF!)))</f>
        <v/>
      </c>
      <c r="M118" s="49" t="b">
        <f t="shared" si="29"/>
        <v>0</v>
      </c>
      <c r="N118" s="64"/>
      <c r="O118" s="49" t="s">
        <v>427</v>
      </c>
      <c r="P118" s="49">
        <v>2578</v>
      </c>
      <c r="Q118" s="65" t="s">
        <v>225</v>
      </c>
      <c r="R118" s="49" t="str">
        <f t="shared" si="30"/>
        <v>30/11/2020</v>
      </c>
      <c r="S118" s="49" t="str">
        <f>IF(B118="","",IF(K118="S1",K118,INDEX(#REF!,#REF!)))</f>
        <v/>
      </c>
      <c r="T118" s="49" t="b">
        <f t="shared" si="31"/>
        <v>0</v>
      </c>
      <c r="U118" s="68">
        <f t="shared" si="32"/>
        <v>4</v>
      </c>
      <c r="V118" s="68">
        <f t="shared" si="33"/>
        <v>6</v>
      </c>
      <c r="W118" s="68">
        <f t="shared" si="34"/>
        <v>21</v>
      </c>
      <c r="X118" s="68"/>
      <c r="Y118" s="65"/>
      <c r="Z118" s="65"/>
      <c r="AA118" s="49" t="str">
        <f t="shared" si="35"/>
        <v/>
      </c>
      <c r="AB118" s="68">
        <f t="shared" si="36"/>
        <v>0</v>
      </c>
      <c r="AC118" s="68">
        <f t="shared" si="37"/>
        <v>0</v>
      </c>
      <c r="AD118" s="68">
        <f t="shared" si="38"/>
        <v>0</v>
      </c>
      <c r="AE118" s="49"/>
      <c r="AF118" s="65"/>
      <c r="AG118" s="50" t="str">
        <f t="shared" si="39"/>
        <v/>
      </c>
      <c r="AH118" s="68">
        <f t="shared" si="40"/>
        <v>0</v>
      </c>
      <c r="AI118" s="68">
        <f t="shared" si="41"/>
        <v>0</v>
      </c>
      <c r="AJ118" s="68">
        <f t="shared" si="42"/>
        <v>0</v>
      </c>
      <c r="AK118" s="50"/>
      <c r="AL118" s="50" t="s">
        <v>175</v>
      </c>
      <c r="AM118" s="50" t="str">
        <f>IF(B118="","",IF(K118="S1",K118,INDEX(#REF!,#REF!)))</f>
        <v/>
      </c>
      <c r="AN118" s="50" t="b">
        <f t="shared" si="43"/>
        <v>0</v>
      </c>
      <c r="AO118" s="49" t="str">
        <f t="shared" si="44"/>
        <v>K5-POLICY</v>
      </c>
      <c r="AP118" s="72" t="str">
        <f>_xlfn.IFS(B118="","",AND(AO118="K5-LAW",AL118="นิติศาสตร์",K118="S2",Y118="",AE118=""),R118,AND(AO118="K5-LAW",AL118="นิติศาสตร์",K118="S1",Y118="",AE118=""),EDATE(R118,12),AND(AO118="K5-LAW",AL118="นิติศาสตร์",OR(K118="M2",K118="K4"),Y118="",AE118=""),EDATE(R118,12*2),AND(AO118="K5-LAW",AL118="นิติศาสตร์",OR(AE118="M2",AE118="K4"),AH118&gt;=2,OR(AG118&lt;AA118,AG118&lt;R118)),EDATE(AG118,12*2),AND(AO118="K5-LAW",AL118="นิติศาสตร์",AE118="S1",AH118&gt;=1,OR(AG118&lt;AA118,AG118&lt;R118)),EDATE(AG118,12),AND(AO118="K5-LAW",AL118="นิติศาสตร์",OR(Y118="M2",Y118="K4"),AB118&gt;=2,AA118&lt;R118),EDATE(AA118,12*2),AND(AO118="K5-LAW",AL118="นิติศาสตร์",Y118="S1",AB118&gt;=1,AA118&lt;R118),EDATE(AA118,12),AND(AO118="K5-LAW",AL118="นิติศาสตร์",OR(Y118="S2",Y118="K5")),AA118,AND(AO118="K5-LAW",AL118="นิติศาสตร์",OR(K118="M2",K118="K4"),U118&gt;=2),EDATE(R118,12*2),AND(AO118="K5-LAW",AL118="นิติศาสตร์",K118="S1",U118&gt;=1),EDATE(R118,12),AND(AO118="K5-LAW",AL118="นิติศาสตร์",OR(K118="S2",K118="K5")),R118,AND(AO118="K5-POLICY",AL118&lt;&gt;"นิติศาสตร์",K118="S2",Y118="",AE118=""),R118,AND(AO118="K5-POLICY",AL118&lt;&gt;"นิติศาสตร์",K118="S1",Y118="",AE118=""),EDATE(R118,12),AND(AO118="K5-POLICY",AL118&lt;&gt;"นิติศาสตร์",OR(K118="M2",K118="K4"),Y118="",AE118=""),EDATE(R118,12*2),AND(AO118="K5-POLICY",AL118&lt;&gt;"นิติศาสตร์",OR(AE118="M2",AE118="K4"),AH118&gt;=2,OR(AG118&lt;AA118,AG118&lt;R118)),EDATE(AG118,12*2),AND(AO118="K5-POLICY",AL118&lt;&gt;"นิติศาสตร์",AE118="S1",AH118&gt;=1,OR(AG118&lt;AA118,AG118&lt;R118)),EDATE(AG118,12),AND(AO118="K5-POLICY",AL118&lt;&gt;"นิติศาสตร์",OR(Y118="M2",Y118="K4"),AB118&gt;=2,AA118&lt;R118),EDATE(AA118,12*2),AND(AO118="K5-POLICY",AL118&lt;&gt;"นิติศาสตร์",Y118="S1",AB118&gt;=1,AA118&lt;R118),EDATE(AA118,12),AND(AO118="K5-POLICY",AL118&lt;&gt;"นิติศาสตร์",OR(Y118="S2",Y118="K5")),AA118,AND(AO118="K5-POLICY",AL118&lt;&gt;"นิติศาสตร์",OR(K118="M2",K118="K4"),U118&gt;=2),EDATE(R118,12*2),AND(AO118="K5-POLICY",AL118&lt;&gt;"นิติศาสตร์",K118="S1",U118&gt;=1),EDATE(R118,12),AND(AO118="K5-POLICY",AL118&lt;&gt;"นิติศาสตร์",OR(K118="S2",K118="K5")),R118,TRUE,"Check Data")</f>
        <v/>
      </c>
      <c r="AQ118" s="75" t="str">
        <f t="shared" si="45"/>
        <v>Check Data</v>
      </c>
      <c r="AR118" s="76" t="str">
        <f t="shared" si="46"/>
        <v>Check Data</v>
      </c>
      <c r="AS118" s="50" t="str">
        <f t="shared" si="47"/>
        <v>Check Data</v>
      </c>
      <c r="AT118" s="49" t="str">
        <f>IF(B118="","",IF(K118="S1","S1",INDEX(#REF!,#REF!)))</f>
        <v/>
      </c>
      <c r="AU118" s="49" t="str">
        <f t="shared" si="48"/>
        <v>M2</v>
      </c>
      <c r="AV118" s="50" t="b">
        <f t="shared" si="49"/>
        <v>0</v>
      </c>
      <c r="AW118" s="50"/>
    </row>
    <row r="119" spans="1:49" ht="21.75">
      <c r="A119" s="49">
        <v>117</v>
      </c>
      <c r="B119" s="50"/>
      <c r="C119" s="53"/>
      <c r="D119" s="50" t="s">
        <v>142</v>
      </c>
      <c r="E119" s="49" t="s">
        <v>273</v>
      </c>
      <c r="F119" s="49" t="str">
        <f t="shared" si="25"/>
        <v>28/04/1985</v>
      </c>
      <c r="G119" s="50">
        <f t="shared" si="26"/>
        <v>40</v>
      </c>
      <c r="H119" s="50">
        <f t="shared" si="27"/>
        <v>1</v>
      </c>
      <c r="I119" s="50">
        <f t="shared" si="28"/>
        <v>23</v>
      </c>
      <c r="J119" s="58"/>
      <c r="K119" s="49" t="s">
        <v>136</v>
      </c>
      <c r="L119" s="49" t="str">
        <f>IF(B119="","",IF(K119="S1",K119,INDEX(#REF!,#REF!)))</f>
        <v/>
      </c>
      <c r="M119" s="49" t="b">
        <f t="shared" si="29"/>
        <v>0</v>
      </c>
      <c r="N119" s="64"/>
      <c r="O119" s="49" t="s">
        <v>427</v>
      </c>
      <c r="P119" s="49">
        <v>2569</v>
      </c>
      <c r="Q119" s="65" t="s">
        <v>225</v>
      </c>
      <c r="R119" s="49" t="str">
        <f t="shared" si="30"/>
        <v>30/11/2020</v>
      </c>
      <c r="S119" s="49" t="str">
        <f>IF(B119="","",IF(K119="S1",K119,INDEX(#REF!,#REF!)))</f>
        <v/>
      </c>
      <c r="T119" s="49" t="b">
        <f t="shared" si="31"/>
        <v>0</v>
      </c>
      <c r="U119" s="68">
        <f t="shared" si="32"/>
        <v>4</v>
      </c>
      <c r="V119" s="68">
        <f t="shared" si="33"/>
        <v>6</v>
      </c>
      <c r="W119" s="68">
        <f t="shared" si="34"/>
        <v>21</v>
      </c>
      <c r="X119" s="68"/>
      <c r="Y119" s="65"/>
      <c r="Z119" s="65"/>
      <c r="AA119" s="49" t="str">
        <f t="shared" si="35"/>
        <v/>
      </c>
      <c r="AB119" s="68">
        <f t="shared" si="36"/>
        <v>0</v>
      </c>
      <c r="AC119" s="68">
        <f t="shared" si="37"/>
        <v>0</v>
      </c>
      <c r="AD119" s="68">
        <f t="shared" si="38"/>
        <v>0</v>
      </c>
      <c r="AE119" s="49"/>
      <c r="AF119" s="65"/>
      <c r="AG119" s="50" t="str">
        <f t="shared" si="39"/>
        <v/>
      </c>
      <c r="AH119" s="68">
        <f t="shared" si="40"/>
        <v>0</v>
      </c>
      <c r="AI119" s="68">
        <f t="shared" si="41"/>
        <v>0</v>
      </c>
      <c r="AJ119" s="68">
        <f t="shared" si="42"/>
        <v>0</v>
      </c>
      <c r="AK119" s="50"/>
      <c r="AL119" s="50" t="s">
        <v>178</v>
      </c>
      <c r="AM119" s="50" t="str">
        <f>IF(B119="","",IF(K119="S1",K119,INDEX(#REF!,#REF!)))</f>
        <v/>
      </c>
      <c r="AN119" s="50" t="b">
        <f t="shared" si="43"/>
        <v>0</v>
      </c>
      <c r="AO119" s="49" t="str">
        <f t="shared" si="44"/>
        <v>K5-POLICY</v>
      </c>
      <c r="AP119" s="72" t="str">
        <f>_xlfn.IFS(B119="","",AND(AO119="K5-LAW",AL119="นิติศาสตร์",K119="S2",Y119="",AE119=""),R119,AND(AO119="K5-LAW",AL119="นิติศาสตร์",K119="S1",Y119="",AE119=""),EDATE(R119,12),AND(AO119="K5-LAW",AL119="นิติศาสตร์",OR(K119="M2",K119="K4"),Y119="",AE119=""),EDATE(R119,12*2),AND(AO119="K5-LAW",AL119="นิติศาสตร์",OR(AE119="M2",AE119="K4"),AH119&gt;=2,OR(AG119&lt;AA119,AG119&lt;R119)),EDATE(AG119,12*2),AND(AO119="K5-LAW",AL119="นิติศาสตร์",AE119="S1",AH119&gt;=1,OR(AG119&lt;AA119,AG119&lt;R119)),EDATE(AG119,12),AND(AO119="K5-LAW",AL119="นิติศาสตร์",OR(Y119="M2",Y119="K4"),AB119&gt;=2,AA119&lt;R119),EDATE(AA119,12*2),AND(AO119="K5-LAW",AL119="นิติศาสตร์",Y119="S1",AB119&gt;=1,AA119&lt;R119),EDATE(AA119,12),AND(AO119="K5-LAW",AL119="นิติศาสตร์",OR(Y119="S2",Y119="K5")),AA119,AND(AO119="K5-LAW",AL119="นิติศาสตร์",OR(K119="M2",K119="K4"),U119&gt;=2),EDATE(R119,12*2),AND(AO119="K5-LAW",AL119="นิติศาสตร์",K119="S1",U119&gt;=1),EDATE(R119,12),AND(AO119="K5-LAW",AL119="นิติศาสตร์",OR(K119="S2",K119="K5")),R119,AND(AO119="K5-POLICY",AL119&lt;&gt;"นิติศาสตร์",K119="S2",Y119="",AE119=""),R119,AND(AO119="K5-POLICY",AL119&lt;&gt;"นิติศาสตร์",K119="S1",Y119="",AE119=""),EDATE(R119,12),AND(AO119="K5-POLICY",AL119&lt;&gt;"นิติศาสตร์",OR(K119="M2",K119="K4"),Y119="",AE119=""),EDATE(R119,12*2),AND(AO119="K5-POLICY",AL119&lt;&gt;"นิติศาสตร์",OR(AE119="M2",AE119="K4"),AH119&gt;=2,OR(AG119&lt;AA119,AG119&lt;R119)),EDATE(AG119,12*2),AND(AO119="K5-POLICY",AL119&lt;&gt;"นิติศาสตร์",AE119="S1",AH119&gt;=1,OR(AG119&lt;AA119,AG119&lt;R119)),EDATE(AG119,12),AND(AO119="K5-POLICY",AL119&lt;&gt;"นิติศาสตร์",OR(Y119="M2",Y119="K4"),AB119&gt;=2,AA119&lt;R119),EDATE(AA119,12*2),AND(AO119="K5-POLICY",AL119&lt;&gt;"นิติศาสตร์",Y119="S1",AB119&gt;=1,AA119&lt;R119),EDATE(AA119,12),AND(AO119="K5-POLICY",AL119&lt;&gt;"นิติศาสตร์",OR(Y119="S2",Y119="K5")),AA119,AND(AO119="K5-POLICY",AL119&lt;&gt;"นิติศาสตร์",OR(K119="M2",K119="K4"),U119&gt;=2),EDATE(R119,12*2),AND(AO119="K5-POLICY",AL119&lt;&gt;"นิติศาสตร์",K119="S1",U119&gt;=1),EDATE(R119,12),AND(AO119="K5-POLICY",AL119&lt;&gt;"นิติศาสตร์",OR(K119="S2",K119="K5")),R119,TRUE,"Check Data")</f>
        <v/>
      </c>
      <c r="AQ119" s="75" t="str">
        <f t="shared" si="45"/>
        <v>Check Data</v>
      </c>
      <c r="AR119" s="76" t="str">
        <f t="shared" si="46"/>
        <v>Check Data</v>
      </c>
      <c r="AS119" s="50" t="str">
        <f t="shared" si="47"/>
        <v>Check Data</v>
      </c>
      <c r="AT119" s="49" t="str">
        <f>IF(B119="","",IF(K119="S1","S1",INDEX(#REF!,#REF!)))</f>
        <v/>
      </c>
      <c r="AU119" s="49" t="str">
        <f t="shared" si="48"/>
        <v>M2</v>
      </c>
      <c r="AV119" s="50" t="b">
        <f t="shared" si="49"/>
        <v>0</v>
      </c>
      <c r="AW119" s="50"/>
    </row>
    <row r="120" spans="1:49" ht="21.75">
      <c r="A120" s="49">
        <v>118</v>
      </c>
      <c r="B120" s="50"/>
      <c r="C120" s="50"/>
      <c r="D120" s="50" t="s">
        <v>142</v>
      </c>
      <c r="E120" s="49" t="s">
        <v>282</v>
      </c>
      <c r="F120" s="49" t="str">
        <f t="shared" si="25"/>
        <v>12/12/2000</v>
      </c>
      <c r="G120" s="50">
        <f t="shared" si="26"/>
        <v>24</v>
      </c>
      <c r="H120" s="50">
        <f t="shared" si="27"/>
        <v>6</v>
      </c>
      <c r="I120" s="50">
        <f t="shared" si="28"/>
        <v>8</v>
      </c>
      <c r="J120" s="58"/>
      <c r="K120" s="49" t="s">
        <v>136</v>
      </c>
      <c r="L120" s="49" t="str">
        <f>IF(B120="","",IF(K120="S1",K120,INDEX(#REF!,#REF!)))</f>
        <v/>
      </c>
      <c r="M120" s="49" t="b">
        <f t="shared" si="29"/>
        <v>0</v>
      </c>
      <c r="N120" s="64"/>
      <c r="O120" s="49" t="s">
        <v>427</v>
      </c>
      <c r="P120" s="49">
        <v>2581</v>
      </c>
      <c r="Q120" s="65" t="s">
        <v>225</v>
      </c>
      <c r="R120" s="49" t="str">
        <f t="shared" si="30"/>
        <v>30/11/2020</v>
      </c>
      <c r="S120" s="49" t="str">
        <f>IF(B120="","",IF(K120="S1",K120,INDEX(#REF!,#REF!)))</f>
        <v/>
      </c>
      <c r="T120" s="49" t="b">
        <f t="shared" si="31"/>
        <v>0</v>
      </c>
      <c r="U120" s="68">
        <f t="shared" si="32"/>
        <v>4</v>
      </c>
      <c r="V120" s="68">
        <f t="shared" si="33"/>
        <v>6</v>
      </c>
      <c r="W120" s="68">
        <f t="shared" si="34"/>
        <v>21</v>
      </c>
      <c r="X120" s="68"/>
      <c r="Y120" s="65"/>
      <c r="Z120" s="65"/>
      <c r="AA120" s="49" t="str">
        <f t="shared" si="35"/>
        <v/>
      </c>
      <c r="AB120" s="68">
        <f t="shared" si="36"/>
        <v>0</v>
      </c>
      <c r="AC120" s="68">
        <f t="shared" si="37"/>
        <v>0</v>
      </c>
      <c r="AD120" s="68">
        <f t="shared" si="38"/>
        <v>0</v>
      </c>
      <c r="AE120" s="49"/>
      <c r="AF120" s="65"/>
      <c r="AG120" s="50" t="str">
        <f t="shared" si="39"/>
        <v/>
      </c>
      <c r="AH120" s="68">
        <f t="shared" si="40"/>
        <v>0</v>
      </c>
      <c r="AI120" s="68">
        <f t="shared" si="41"/>
        <v>0</v>
      </c>
      <c r="AJ120" s="68">
        <f t="shared" si="42"/>
        <v>0</v>
      </c>
      <c r="AK120" s="50"/>
      <c r="AL120" s="50" t="s">
        <v>138</v>
      </c>
      <c r="AM120" s="50" t="str">
        <f>IF(B120="","",IF(K120="S1",K120,INDEX(#REF!,#REF!)))</f>
        <v/>
      </c>
      <c r="AN120" s="50" t="b">
        <f t="shared" si="43"/>
        <v>0</v>
      </c>
      <c r="AO120" s="49" t="str">
        <f t="shared" si="44"/>
        <v>K5-LAW</v>
      </c>
      <c r="AP120" s="72" t="str">
        <f>_xlfn.IFS(B120="","",AND(AO120="K5-LAW",AL120="นิติศาสตร์",K120="S2",Y120="",AE120=""),R120,AND(AO120="K5-LAW",AL120="นิติศาสตร์",K120="S1",Y120="",AE120=""),EDATE(R120,12),AND(AO120="K5-LAW",AL120="นิติศาสตร์",OR(K120="M2",K120="K4"),Y120="",AE120=""),EDATE(R120,12*2),AND(AO120="K5-LAW",AL120="นิติศาสตร์",OR(AE120="M2",AE120="K4"),AH120&gt;=2,OR(AG120&lt;AA120,AG120&lt;R120)),EDATE(AG120,12*2),AND(AO120="K5-LAW",AL120="นิติศาสตร์",AE120="S1",AH120&gt;=1,OR(AG120&lt;AA120,AG120&lt;R120)),EDATE(AG120,12),AND(AO120="K5-LAW",AL120="นิติศาสตร์",OR(Y120="M2",Y120="K4"),AB120&gt;=2,AA120&lt;R120),EDATE(AA120,12*2),AND(AO120="K5-LAW",AL120="นิติศาสตร์",Y120="S1",AB120&gt;=1,AA120&lt;R120),EDATE(AA120,12),AND(AO120="K5-LAW",AL120="นิติศาสตร์",OR(Y120="S2",Y120="K5")),AA120,AND(AO120="K5-LAW",AL120="นิติศาสตร์",OR(K120="M2",K120="K4"),U120&gt;=2),EDATE(R120,12*2),AND(AO120="K5-LAW",AL120="นิติศาสตร์",K120="S1",U120&gt;=1),EDATE(R120,12),AND(AO120="K5-LAW",AL120="นิติศาสตร์",OR(K120="S2",K120="K5")),R120,AND(AO120="K5-POLICY",AL120&lt;&gt;"นิติศาสตร์",K120="S2",Y120="",AE120=""),R120,AND(AO120="K5-POLICY",AL120&lt;&gt;"นิติศาสตร์",K120="S1",Y120="",AE120=""),EDATE(R120,12),AND(AO120="K5-POLICY",AL120&lt;&gt;"นิติศาสตร์",OR(K120="M2",K120="K4"),Y120="",AE120=""),EDATE(R120,12*2),AND(AO120="K5-POLICY",AL120&lt;&gt;"นิติศาสตร์",OR(AE120="M2",AE120="K4"),AH120&gt;=2,OR(AG120&lt;AA120,AG120&lt;R120)),EDATE(AG120,12*2),AND(AO120="K5-POLICY",AL120&lt;&gt;"นิติศาสตร์",AE120="S1",AH120&gt;=1,OR(AG120&lt;AA120,AG120&lt;R120)),EDATE(AG120,12),AND(AO120="K5-POLICY",AL120&lt;&gt;"นิติศาสตร์",OR(Y120="M2",Y120="K4"),AB120&gt;=2,AA120&lt;R120),EDATE(AA120,12*2),AND(AO120="K5-POLICY",AL120&lt;&gt;"นิติศาสตร์",Y120="S1",AB120&gt;=1,AA120&lt;R120),EDATE(AA120,12),AND(AO120="K5-POLICY",AL120&lt;&gt;"นิติศาสตร์",OR(Y120="S2",Y120="K5")),AA120,AND(AO120="K5-POLICY",AL120&lt;&gt;"นิติศาสตร์",OR(K120="M2",K120="K4"),U120&gt;=2),EDATE(R120,12*2),AND(AO120="K5-POLICY",AL120&lt;&gt;"นิติศาสตร์",K120="S1",U120&gt;=1),EDATE(R120,12),AND(AO120="K5-POLICY",AL120&lt;&gt;"นิติศาสตร์",OR(K120="S2",K120="K5")),R120,TRUE,"Check Data")</f>
        <v/>
      </c>
      <c r="AQ120" s="75" t="str">
        <f t="shared" si="45"/>
        <v>Check Data</v>
      </c>
      <c r="AR120" s="76" t="str">
        <f t="shared" si="46"/>
        <v>Check Data</v>
      </c>
      <c r="AS120" s="50" t="str">
        <f t="shared" si="47"/>
        <v>Check Data</v>
      </c>
      <c r="AT120" s="49" t="str">
        <f>IF(B120="","",IF(K120="S1","S1",INDEX(#REF!,#REF!)))</f>
        <v/>
      </c>
      <c r="AU120" s="49" t="str">
        <f t="shared" si="48"/>
        <v>M2</v>
      </c>
      <c r="AV120" s="50" t="b">
        <f t="shared" si="49"/>
        <v>0</v>
      </c>
      <c r="AW120" s="50"/>
    </row>
    <row r="121" spans="1:49" ht="21.75">
      <c r="A121" s="49">
        <v>119</v>
      </c>
      <c r="B121" s="50"/>
      <c r="C121" s="50"/>
      <c r="D121" s="50" t="s">
        <v>144</v>
      </c>
      <c r="E121" s="49" t="s">
        <v>375</v>
      </c>
      <c r="F121" s="49" t="str">
        <f t="shared" si="25"/>
        <v>06/05/1986</v>
      </c>
      <c r="G121" s="50">
        <f t="shared" si="26"/>
        <v>39</v>
      </c>
      <c r="H121" s="50">
        <f t="shared" si="27"/>
        <v>1</v>
      </c>
      <c r="I121" s="50">
        <f t="shared" si="28"/>
        <v>14</v>
      </c>
      <c r="J121" s="57"/>
      <c r="K121" s="49" t="s">
        <v>136</v>
      </c>
      <c r="L121" s="49" t="str">
        <f>IF(B121="","",IF(K121="S1",K121,INDEX(#REF!,#REF!)))</f>
        <v/>
      </c>
      <c r="M121" s="49" t="b">
        <f t="shared" si="29"/>
        <v>0</v>
      </c>
      <c r="N121" s="64"/>
      <c r="O121" s="49" t="s">
        <v>425</v>
      </c>
      <c r="P121" s="49">
        <v>2570</v>
      </c>
      <c r="Q121" s="65" t="s">
        <v>376</v>
      </c>
      <c r="R121" s="49" t="str">
        <f t="shared" si="30"/>
        <v>10/03/2021</v>
      </c>
      <c r="S121" s="49" t="str">
        <f>IF(B121="","",IF(K121="S1",K121,INDEX(#REF!,#REF!)))</f>
        <v/>
      </c>
      <c r="T121" s="49" t="b">
        <f t="shared" si="31"/>
        <v>0</v>
      </c>
      <c r="U121" s="68">
        <f t="shared" si="32"/>
        <v>4</v>
      </c>
      <c r="V121" s="68">
        <f t="shared" si="33"/>
        <v>3</v>
      </c>
      <c r="W121" s="68">
        <f t="shared" si="34"/>
        <v>10</v>
      </c>
      <c r="X121" s="68"/>
      <c r="Y121" s="65"/>
      <c r="Z121" s="65"/>
      <c r="AA121" s="49" t="str">
        <f t="shared" si="35"/>
        <v/>
      </c>
      <c r="AB121" s="68">
        <f t="shared" si="36"/>
        <v>0</v>
      </c>
      <c r="AC121" s="68">
        <f t="shared" si="37"/>
        <v>0</v>
      </c>
      <c r="AD121" s="68">
        <f t="shared" si="38"/>
        <v>0</v>
      </c>
      <c r="AE121" s="49"/>
      <c r="AF121" s="65"/>
      <c r="AG121" s="50" t="str">
        <f t="shared" si="39"/>
        <v/>
      </c>
      <c r="AH121" s="68">
        <f t="shared" si="40"/>
        <v>0</v>
      </c>
      <c r="AI121" s="68">
        <f t="shared" si="41"/>
        <v>0</v>
      </c>
      <c r="AJ121" s="68">
        <f t="shared" si="42"/>
        <v>0</v>
      </c>
      <c r="AK121" s="50"/>
      <c r="AL121" s="50" t="s">
        <v>138</v>
      </c>
      <c r="AM121" s="50" t="str">
        <f>IF(B121="","",IF(K121="S1",K121,INDEX(#REF!,#REF!)))</f>
        <v/>
      </c>
      <c r="AN121" s="50" t="b">
        <f t="shared" si="43"/>
        <v>0</v>
      </c>
      <c r="AO121" s="49" t="str">
        <f t="shared" si="44"/>
        <v>K5-LAW</v>
      </c>
      <c r="AP121" s="72" t="str">
        <f>_xlfn.IFS(B121="","",AND(AO121="K5-LAW",AL121="นิติศาสตร์",K121="S2",Y121="",AE121=""),R121,AND(AO121="K5-LAW",AL121="นิติศาสตร์",K121="S1",Y121="",AE121=""),EDATE(R121,12),AND(AO121="K5-LAW",AL121="นิติศาสตร์",OR(K121="M2",K121="K4"),Y121="",AE121=""),EDATE(R121,12*2),AND(AO121="K5-LAW",AL121="นิติศาสตร์",OR(AE121="M2",AE121="K4"),AH121&gt;=2,OR(AG121&lt;AA121,AG121&lt;R121)),EDATE(AG121,12*2),AND(AO121="K5-LAW",AL121="นิติศาสตร์",AE121="S1",AH121&gt;=1,OR(AG121&lt;AA121,AG121&lt;R121)),EDATE(AG121,12),AND(AO121="K5-LAW",AL121="นิติศาสตร์",OR(Y121="M2",Y121="K4"),AB121&gt;=2,AA121&lt;R121),EDATE(AA121,12*2),AND(AO121="K5-LAW",AL121="นิติศาสตร์",Y121="S1",AB121&gt;=1,AA121&lt;R121),EDATE(AA121,12),AND(AO121="K5-LAW",AL121="นิติศาสตร์",OR(Y121="S2",Y121="K5")),AA121,AND(AO121="K5-LAW",AL121="นิติศาสตร์",OR(K121="M2",K121="K4"),U121&gt;=2),EDATE(R121,12*2),AND(AO121="K5-LAW",AL121="นิติศาสตร์",K121="S1",U121&gt;=1),EDATE(R121,12),AND(AO121="K5-LAW",AL121="นิติศาสตร์",OR(K121="S2",K121="K5")),R121,AND(AO121="K5-POLICY",AL121&lt;&gt;"นิติศาสตร์",K121="S2",Y121="",AE121=""),R121,AND(AO121="K5-POLICY",AL121&lt;&gt;"นิติศาสตร์",K121="S1",Y121="",AE121=""),EDATE(R121,12),AND(AO121="K5-POLICY",AL121&lt;&gt;"นิติศาสตร์",OR(K121="M2",K121="K4"),Y121="",AE121=""),EDATE(R121,12*2),AND(AO121="K5-POLICY",AL121&lt;&gt;"นิติศาสตร์",OR(AE121="M2",AE121="K4"),AH121&gt;=2,OR(AG121&lt;AA121,AG121&lt;R121)),EDATE(AG121,12*2),AND(AO121="K5-POLICY",AL121&lt;&gt;"นิติศาสตร์",AE121="S1",AH121&gt;=1,OR(AG121&lt;AA121,AG121&lt;R121)),EDATE(AG121,12),AND(AO121="K5-POLICY",AL121&lt;&gt;"นิติศาสตร์",OR(Y121="M2",Y121="K4"),AB121&gt;=2,AA121&lt;R121),EDATE(AA121,12*2),AND(AO121="K5-POLICY",AL121&lt;&gt;"นิติศาสตร์",Y121="S1",AB121&gt;=1,AA121&lt;R121),EDATE(AA121,12),AND(AO121="K5-POLICY",AL121&lt;&gt;"นิติศาสตร์",OR(Y121="S2",Y121="K5")),AA121,AND(AO121="K5-POLICY",AL121&lt;&gt;"นิติศาสตร์",OR(K121="M2",K121="K4"),U121&gt;=2),EDATE(R121,12*2),AND(AO121="K5-POLICY",AL121&lt;&gt;"นิติศาสตร์",K121="S1",U121&gt;=1),EDATE(R121,12),AND(AO121="K5-POLICY",AL121&lt;&gt;"นิติศาสตร์",OR(K121="S2",K121="K5")),R121,TRUE,"Check Data")</f>
        <v/>
      </c>
      <c r="AQ121" s="75" t="str">
        <f t="shared" si="45"/>
        <v>Check Data</v>
      </c>
      <c r="AR121" s="76" t="str">
        <f t="shared" si="46"/>
        <v>Check Data</v>
      </c>
      <c r="AS121" s="50" t="str">
        <f t="shared" si="47"/>
        <v>Check Data</v>
      </c>
      <c r="AT121" s="49" t="str">
        <f>IF(B121="","",IF(K121="S1","S1",INDEX(#REF!,#REF!)))</f>
        <v/>
      </c>
      <c r="AU121" s="49" t="str">
        <f t="shared" si="48"/>
        <v>M2</v>
      </c>
      <c r="AV121" s="50" t="b">
        <f t="shared" si="49"/>
        <v>0</v>
      </c>
      <c r="AW121" s="50"/>
    </row>
    <row r="122" spans="1:49" ht="21.75">
      <c r="A122" s="49">
        <v>120</v>
      </c>
      <c r="B122" s="50"/>
      <c r="C122" s="50"/>
      <c r="D122" s="50" t="s">
        <v>143</v>
      </c>
      <c r="E122" s="49" t="s">
        <v>309</v>
      </c>
      <c r="F122" s="49" t="str">
        <f t="shared" si="25"/>
        <v>01/06/1995</v>
      </c>
      <c r="G122" s="50">
        <f t="shared" si="26"/>
        <v>30</v>
      </c>
      <c r="H122" s="50">
        <f t="shared" si="27"/>
        <v>0</v>
      </c>
      <c r="I122" s="50">
        <f t="shared" si="28"/>
        <v>19</v>
      </c>
      <c r="J122" s="59"/>
      <c r="K122" s="49" t="s">
        <v>136</v>
      </c>
      <c r="L122" s="49" t="str">
        <f>IF(B122="","",IF(K122="S1",K122,INDEX(#REF!,#REF!)))</f>
        <v/>
      </c>
      <c r="M122" s="49" t="b">
        <f t="shared" si="29"/>
        <v>0</v>
      </c>
      <c r="N122" s="64"/>
      <c r="O122" s="49" t="s">
        <v>427</v>
      </c>
      <c r="P122" s="49">
        <v>2573</v>
      </c>
      <c r="Q122" s="65" t="s">
        <v>310</v>
      </c>
      <c r="R122" s="49" t="str">
        <f t="shared" si="30"/>
        <v>07/05/2021</v>
      </c>
      <c r="S122" s="49" t="str">
        <f>IF(B122="","",IF(K122="S1",K122,INDEX(#REF!,#REF!)))</f>
        <v/>
      </c>
      <c r="T122" s="49" t="b">
        <f t="shared" si="31"/>
        <v>0</v>
      </c>
      <c r="U122" s="68">
        <f t="shared" si="32"/>
        <v>4</v>
      </c>
      <c r="V122" s="68">
        <f t="shared" si="33"/>
        <v>1</v>
      </c>
      <c r="W122" s="68">
        <f t="shared" si="34"/>
        <v>13</v>
      </c>
      <c r="X122" s="68"/>
      <c r="Y122" s="65"/>
      <c r="Z122" s="65"/>
      <c r="AA122" s="49" t="str">
        <f t="shared" si="35"/>
        <v/>
      </c>
      <c r="AB122" s="68">
        <f t="shared" si="36"/>
        <v>0</v>
      </c>
      <c r="AC122" s="68">
        <f t="shared" si="37"/>
        <v>0</v>
      </c>
      <c r="AD122" s="68">
        <f t="shared" si="38"/>
        <v>0</v>
      </c>
      <c r="AE122" s="49"/>
      <c r="AF122" s="65"/>
      <c r="AG122" s="50" t="str">
        <f t="shared" si="39"/>
        <v/>
      </c>
      <c r="AH122" s="68">
        <f t="shared" si="40"/>
        <v>0</v>
      </c>
      <c r="AI122" s="68">
        <f t="shared" si="41"/>
        <v>0</v>
      </c>
      <c r="AJ122" s="68">
        <f t="shared" si="42"/>
        <v>0</v>
      </c>
      <c r="AK122" s="50"/>
      <c r="AL122" s="50" t="s">
        <v>518</v>
      </c>
      <c r="AM122" s="50" t="str">
        <f>IF(B122="","",IF(K122="S1",K122,INDEX(#REF!,#REF!)))</f>
        <v/>
      </c>
      <c r="AN122" s="50" t="b">
        <f t="shared" si="43"/>
        <v>0</v>
      </c>
      <c r="AO122" s="49" t="str">
        <f t="shared" si="44"/>
        <v>K5-POLICY</v>
      </c>
      <c r="AP122" s="72" t="str">
        <f>_xlfn.IFS(B122="","",AND(AO122="K5-LAW",AL122="นิติศาสตร์",K122="S2",Y122="",AE122=""),R122,AND(AO122="K5-LAW",AL122="นิติศาสตร์",K122="S1",Y122="",AE122=""),EDATE(R122,12),AND(AO122="K5-LAW",AL122="นิติศาสตร์",OR(K122="M2",K122="K4"),Y122="",AE122=""),EDATE(R122,12*2),AND(AO122="K5-LAW",AL122="นิติศาสตร์",OR(AE122="M2",AE122="K4"),AH122&gt;=2,OR(AG122&lt;AA122,AG122&lt;R122)),EDATE(AG122,12*2),AND(AO122="K5-LAW",AL122="นิติศาสตร์",AE122="S1",AH122&gt;=1,OR(AG122&lt;AA122,AG122&lt;R122)),EDATE(AG122,12),AND(AO122="K5-LAW",AL122="นิติศาสตร์",OR(Y122="M2",Y122="K4"),AB122&gt;=2,AA122&lt;R122),EDATE(AA122,12*2),AND(AO122="K5-LAW",AL122="นิติศาสตร์",Y122="S1",AB122&gt;=1,AA122&lt;R122),EDATE(AA122,12),AND(AO122="K5-LAW",AL122="นิติศาสตร์",OR(Y122="S2",Y122="K5")),AA122,AND(AO122="K5-LAW",AL122="นิติศาสตร์",OR(K122="M2",K122="K4"),U122&gt;=2),EDATE(R122,12*2),AND(AO122="K5-LAW",AL122="นิติศาสตร์",K122="S1",U122&gt;=1),EDATE(R122,12),AND(AO122="K5-LAW",AL122="นิติศาสตร์",OR(K122="S2",K122="K5")),R122,AND(AO122="K5-POLICY",AL122&lt;&gt;"นิติศาสตร์",K122="S2",Y122="",AE122=""),R122,AND(AO122="K5-POLICY",AL122&lt;&gt;"นิติศาสตร์",K122="S1",Y122="",AE122=""),EDATE(R122,12),AND(AO122="K5-POLICY",AL122&lt;&gt;"นิติศาสตร์",OR(K122="M2",K122="K4"),Y122="",AE122=""),EDATE(R122,12*2),AND(AO122="K5-POLICY",AL122&lt;&gt;"นิติศาสตร์",OR(AE122="M2",AE122="K4"),AH122&gt;=2,OR(AG122&lt;AA122,AG122&lt;R122)),EDATE(AG122,12*2),AND(AO122="K5-POLICY",AL122&lt;&gt;"นิติศาสตร์",AE122="S1",AH122&gt;=1,OR(AG122&lt;AA122,AG122&lt;R122)),EDATE(AG122,12),AND(AO122="K5-POLICY",AL122&lt;&gt;"นิติศาสตร์",OR(Y122="M2",Y122="K4"),AB122&gt;=2,AA122&lt;R122),EDATE(AA122,12*2),AND(AO122="K5-POLICY",AL122&lt;&gt;"นิติศาสตร์",Y122="S1",AB122&gt;=1,AA122&lt;R122),EDATE(AA122,12),AND(AO122="K5-POLICY",AL122&lt;&gt;"นิติศาสตร์",OR(Y122="S2",Y122="K5")),AA122,AND(AO122="K5-POLICY",AL122&lt;&gt;"นิติศาสตร์",OR(K122="M2",K122="K4"),U122&gt;=2),EDATE(R122,12*2),AND(AO122="K5-POLICY",AL122&lt;&gt;"นิติศาสตร์",K122="S1",U122&gt;=1),EDATE(R122,12),AND(AO122="K5-POLICY",AL122&lt;&gt;"นิติศาสตร์",OR(K122="S2",K122="K5")),R122,TRUE,"Check Data")</f>
        <v/>
      </c>
      <c r="AQ122" s="75" t="str">
        <f t="shared" si="45"/>
        <v>Check Data</v>
      </c>
      <c r="AR122" s="76" t="str">
        <f t="shared" si="46"/>
        <v>Check Data</v>
      </c>
      <c r="AS122" s="50" t="str">
        <f t="shared" si="47"/>
        <v>Check Data</v>
      </c>
      <c r="AT122" s="49" t="str">
        <f>IF(B122="","",IF(K122="S1","S1",INDEX(#REF!,#REF!)))</f>
        <v/>
      </c>
      <c r="AU122" s="49" t="str">
        <f t="shared" si="48"/>
        <v>M2</v>
      </c>
      <c r="AV122" s="50" t="b">
        <f t="shared" si="49"/>
        <v>0</v>
      </c>
      <c r="AW122" s="50"/>
    </row>
    <row r="123" spans="1:49" ht="21.75">
      <c r="A123" s="49">
        <v>121</v>
      </c>
      <c r="B123" s="50"/>
      <c r="C123" s="50"/>
      <c r="D123" s="50" t="s">
        <v>143</v>
      </c>
      <c r="E123" s="49" t="s">
        <v>311</v>
      </c>
      <c r="F123" s="49" t="str">
        <f t="shared" si="25"/>
        <v>26/04/1987</v>
      </c>
      <c r="G123" s="50">
        <f t="shared" si="26"/>
        <v>38</v>
      </c>
      <c r="H123" s="50">
        <f t="shared" si="27"/>
        <v>1</v>
      </c>
      <c r="I123" s="50">
        <f t="shared" si="28"/>
        <v>25</v>
      </c>
      <c r="J123" s="59"/>
      <c r="K123" s="49" t="s">
        <v>136</v>
      </c>
      <c r="L123" s="49" t="str">
        <f>IF(B123="","",IF(K123="S1",K123,INDEX(#REF!,#REF!)))</f>
        <v/>
      </c>
      <c r="M123" s="49" t="b">
        <f t="shared" si="29"/>
        <v>0</v>
      </c>
      <c r="N123" s="64"/>
      <c r="O123" s="49" t="s">
        <v>427</v>
      </c>
      <c r="P123" s="49">
        <v>2573</v>
      </c>
      <c r="Q123" s="65" t="s">
        <v>310</v>
      </c>
      <c r="R123" s="49" t="str">
        <f t="shared" si="30"/>
        <v>07/05/2021</v>
      </c>
      <c r="S123" s="49" t="str">
        <f>IF(B123="","",IF(K123="S1",K123,INDEX(#REF!,#REF!)))</f>
        <v/>
      </c>
      <c r="T123" s="49" t="b">
        <f t="shared" si="31"/>
        <v>0</v>
      </c>
      <c r="U123" s="68">
        <f t="shared" si="32"/>
        <v>4</v>
      </c>
      <c r="V123" s="68">
        <f t="shared" si="33"/>
        <v>1</v>
      </c>
      <c r="W123" s="68">
        <f t="shared" si="34"/>
        <v>13</v>
      </c>
      <c r="X123" s="68"/>
      <c r="Y123" s="65"/>
      <c r="Z123" s="65"/>
      <c r="AA123" s="49" t="str">
        <f t="shared" si="35"/>
        <v/>
      </c>
      <c r="AB123" s="68">
        <f t="shared" si="36"/>
        <v>0</v>
      </c>
      <c r="AC123" s="68">
        <f t="shared" si="37"/>
        <v>0</v>
      </c>
      <c r="AD123" s="68">
        <f t="shared" si="38"/>
        <v>0</v>
      </c>
      <c r="AE123" s="49"/>
      <c r="AF123" s="65"/>
      <c r="AG123" s="50" t="str">
        <f t="shared" si="39"/>
        <v/>
      </c>
      <c r="AH123" s="68">
        <f t="shared" si="40"/>
        <v>0</v>
      </c>
      <c r="AI123" s="68">
        <f t="shared" si="41"/>
        <v>0</v>
      </c>
      <c r="AJ123" s="68">
        <f t="shared" si="42"/>
        <v>0</v>
      </c>
      <c r="AK123" s="50"/>
      <c r="AL123" s="50" t="s">
        <v>484</v>
      </c>
      <c r="AM123" s="50" t="str">
        <f>IF(B123="","",IF(K123="S1",K123,INDEX(#REF!,#REF!)))</f>
        <v/>
      </c>
      <c r="AN123" s="50" t="b">
        <f t="shared" si="43"/>
        <v>0</v>
      </c>
      <c r="AO123" s="49" t="str">
        <f t="shared" si="44"/>
        <v>K5-POLICY</v>
      </c>
      <c r="AP123" s="72" t="str">
        <f>_xlfn.IFS(B123="","",AND(AO123="K5-LAW",AL123="นิติศาสตร์",K123="S2",Y123="",AE123=""),R123,AND(AO123="K5-LAW",AL123="นิติศาสตร์",K123="S1",Y123="",AE123=""),EDATE(R123,12),AND(AO123="K5-LAW",AL123="นิติศาสตร์",OR(K123="M2",K123="K4"),Y123="",AE123=""),EDATE(R123,12*2),AND(AO123="K5-LAW",AL123="นิติศาสตร์",OR(AE123="M2",AE123="K4"),AH123&gt;=2,OR(AG123&lt;AA123,AG123&lt;R123)),EDATE(AG123,12*2),AND(AO123="K5-LAW",AL123="นิติศาสตร์",AE123="S1",AH123&gt;=1,OR(AG123&lt;AA123,AG123&lt;R123)),EDATE(AG123,12),AND(AO123="K5-LAW",AL123="นิติศาสตร์",OR(Y123="M2",Y123="K4"),AB123&gt;=2,AA123&lt;R123),EDATE(AA123,12*2),AND(AO123="K5-LAW",AL123="นิติศาสตร์",Y123="S1",AB123&gt;=1,AA123&lt;R123),EDATE(AA123,12),AND(AO123="K5-LAW",AL123="นิติศาสตร์",OR(Y123="S2",Y123="K5")),AA123,AND(AO123="K5-LAW",AL123="นิติศาสตร์",OR(K123="M2",K123="K4"),U123&gt;=2),EDATE(R123,12*2),AND(AO123="K5-LAW",AL123="นิติศาสตร์",K123="S1",U123&gt;=1),EDATE(R123,12),AND(AO123="K5-LAW",AL123="นิติศาสตร์",OR(K123="S2",K123="K5")),R123,AND(AO123="K5-POLICY",AL123&lt;&gt;"นิติศาสตร์",K123="S2",Y123="",AE123=""),R123,AND(AO123="K5-POLICY",AL123&lt;&gt;"นิติศาสตร์",K123="S1",Y123="",AE123=""),EDATE(R123,12),AND(AO123="K5-POLICY",AL123&lt;&gt;"นิติศาสตร์",OR(K123="M2",K123="K4"),Y123="",AE123=""),EDATE(R123,12*2),AND(AO123="K5-POLICY",AL123&lt;&gt;"นิติศาสตร์",OR(AE123="M2",AE123="K4"),AH123&gt;=2,OR(AG123&lt;AA123,AG123&lt;R123)),EDATE(AG123,12*2),AND(AO123="K5-POLICY",AL123&lt;&gt;"นิติศาสตร์",AE123="S1",AH123&gt;=1,OR(AG123&lt;AA123,AG123&lt;R123)),EDATE(AG123,12),AND(AO123="K5-POLICY",AL123&lt;&gt;"นิติศาสตร์",OR(Y123="M2",Y123="K4"),AB123&gt;=2,AA123&lt;R123),EDATE(AA123,12*2),AND(AO123="K5-POLICY",AL123&lt;&gt;"นิติศาสตร์",Y123="S1",AB123&gt;=1,AA123&lt;R123),EDATE(AA123,12),AND(AO123="K5-POLICY",AL123&lt;&gt;"นิติศาสตร์",OR(Y123="S2",Y123="K5")),AA123,AND(AO123="K5-POLICY",AL123&lt;&gt;"นิติศาสตร์",OR(K123="M2",K123="K4"),U123&gt;=2),EDATE(R123,12*2),AND(AO123="K5-POLICY",AL123&lt;&gt;"นิติศาสตร์",K123="S1",U123&gt;=1),EDATE(R123,12),AND(AO123="K5-POLICY",AL123&lt;&gt;"นิติศาสตร์",OR(K123="S2",K123="K5")),R123,TRUE,"Check Data")</f>
        <v/>
      </c>
      <c r="AQ123" s="75" t="str">
        <f t="shared" si="45"/>
        <v>Check Data</v>
      </c>
      <c r="AR123" s="76" t="str">
        <f t="shared" si="46"/>
        <v>Check Data</v>
      </c>
      <c r="AS123" s="50" t="str">
        <f t="shared" si="47"/>
        <v>Check Data</v>
      </c>
      <c r="AT123" s="49" t="str">
        <f>IF(B123="","",IF(K123="S1","S1",INDEX(#REF!,#REF!)))</f>
        <v/>
      </c>
      <c r="AU123" s="49" t="str">
        <f t="shared" si="48"/>
        <v>M2</v>
      </c>
      <c r="AV123" s="50" t="b">
        <f t="shared" si="49"/>
        <v>0</v>
      </c>
      <c r="AW123" s="50"/>
    </row>
    <row r="124" spans="1:49" ht="21.75">
      <c r="A124" s="49">
        <v>122</v>
      </c>
      <c r="B124" s="50"/>
      <c r="C124" s="50"/>
      <c r="D124" s="50" t="s">
        <v>34</v>
      </c>
      <c r="E124" s="49" t="s">
        <v>430</v>
      </c>
      <c r="F124" s="49" t="str">
        <f t="shared" si="25"/>
        <v>15/11/1999</v>
      </c>
      <c r="G124" s="50">
        <f t="shared" si="26"/>
        <v>25</v>
      </c>
      <c r="H124" s="50">
        <f t="shared" si="27"/>
        <v>7</v>
      </c>
      <c r="I124" s="50">
        <f t="shared" si="28"/>
        <v>5</v>
      </c>
      <c r="J124" s="78"/>
      <c r="K124" s="49" t="s">
        <v>136</v>
      </c>
      <c r="L124" s="49" t="str">
        <f>IF(B124="","",IF(K124="S1",K124,INDEX(#REF!,#REF!)))</f>
        <v/>
      </c>
      <c r="M124" s="49" t="b">
        <f t="shared" si="29"/>
        <v>0</v>
      </c>
      <c r="N124" s="64"/>
      <c r="O124" s="49" t="s">
        <v>427</v>
      </c>
      <c r="P124" s="49">
        <v>2579</v>
      </c>
      <c r="Q124" s="65" t="s">
        <v>429</v>
      </c>
      <c r="R124" s="49" t="str">
        <f t="shared" si="30"/>
        <v>10/06/2021</v>
      </c>
      <c r="S124" s="49" t="str">
        <f>IF(B124="","",IF(K124="S1",K124,INDEX(#REF!,#REF!)))</f>
        <v/>
      </c>
      <c r="T124" s="49" t="b">
        <f t="shared" si="31"/>
        <v>0</v>
      </c>
      <c r="U124" s="68">
        <f t="shared" si="32"/>
        <v>4</v>
      </c>
      <c r="V124" s="68">
        <f t="shared" si="33"/>
        <v>0</v>
      </c>
      <c r="W124" s="68">
        <f t="shared" si="34"/>
        <v>10</v>
      </c>
      <c r="X124" s="68"/>
      <c r="Y124" s="65"/>
      <c r="Z124" s="65"/>
      <c r="AA124" s="49" t="str">
        <f t="shared" si="35"/>
        <v/>
      </c>
      <c r="AB124" s="68">
        <f t="shared" si="36"/>
        <v>0</v>
      </c>
      <c r="AC124" s="68">
        <f t="shared" si="37"/>
        <v>0</v>
      </c>
      <c r="AD124" s="68">
        <f t="shared" si="38"/>
        <v>0</v>
      </c>
      <c r="AE124" s="49"/>
      <c r="AF124" s="65"/>
      <c r="AG124" s="50" t="str">
        <f t="shared" si="39"/>
        <v/>
      </c>
      <c r="AH124" s="68">
        <f t="shared" si="40"/>
        <v>0</v>
      </c>
      <c r="AI124" s="68">
        <f t="shared" si="41"/>
        <v>0</v>
      </c>
      <c r="AJ124" s="68">
        <f t="shared" si="42"/>
        <v>0</v>
      </c>
      <c r="AK124" s="50"/>
      <c r="AL124" s="50" t="s">
        <v>517</v>
      </c>
      <c r="AM124" s="50" t="str">
        <f>IF(B124="","",IF(K124="S1",K124,INDEX(#REF!,#REF!)))</f>
        <v/>
      </c>
      <c r="AN124" s="50" t="b">
        <f t="shared" si="43"/>
        <v>0</v>
      </c>
      <c r="AO124" s="49" t="str">
        <f t="shared" si="44"/>
        <v>K5-POLICY</v>
      </c>
      <c r="AP124" s="72" t="str">
        <f>_xlfn.IFS(B124="","",AND(AO124="K5-LAW",AL124="นิติศาสตร์",K124="S2",Y124="",AE124=""),R124,AND(AO124="K5-LAW",AL124="นิติศาสตร์",K124="S1",Y124="",AE124=""),EDATE(R124,12),AND(AO124="K5-LAW",AL124="นิติศาสตร์",OR(K124="M2",K124="K4"),Y124="",AE124=""),EDATE(R124,12*2),AND(AO124="K5-LAW",AL124="นิติศาสตร์",OR(AE124="M2",AE124="K4"),AH124&gt;=2,OR(AG124&lt;AA124,AG124&lt;R124)),EDATE(AG124,12*2),AND(AO124="K5-LAW",AL124="นิติศาสตร์",AE124="S1",AH124&gt;=1,OR(AG124&lt;AA124,AG124&lt;R124)),EDATE(AG124,12),AND(AO124="K5-LAW",AL124="นิติศาสตร์",OR(Y124="M2",Y124="K4"),AB124&gt;=2,AA124&lt;R124),EDATE(AA124,12*2),AND(AO124="K5-LAW",AL124="นิติศาสตร์",Y124="S1",AB124&gt;=1,AA124&lt;R124),EDATE(AA124,12),AND(AO124="K5-LAW",AL124="นิติศาสตร์",OR(Y124="S2",Y124="K5")),AA124,AND(AO124="K5-LAW",AL124="นิติศาสตร์",OR(K124="M2",K124="K4"),U124&gt;=2),EDATE(R124,12*2),AND(AO124="K5-LAW",AL124="นิติศาสตร์",K124="S1",U124&gt;=1),EDATE(R124,12),AND(AO124="K5-LAW",AL124="นิติศาสตร์",OR(K124="S2",K124="K5")),R124,AND(AO124="K5-POLICY",AL124&lt;&gt;"นิติศาสตร์",K124="S2",Y124="",AE124=""),R124,AND(AO124="K5-POLICY",AL124&lt;&gt;"นิติศาสตร์",K124="S1",Y124="",AE124=""),EDATE(R124,12),AND(AO124="K5-POLICY",AL124&lt;&gt;"นิติศาสตร์",OR(K124="M2",K124="K4"),Y124="",AE124=""),EDATE(R124,12*2),AND(AO124="K5-POLICY",AL124&lt;&gt;"นิติศาสตร์",OR(AE124="M2",AE124="K4"),AH124&gt;=2,OR(AG124&lt;AA124,AG124&lt;R124)),EDATE(AG124,12*2),AND(AO124="K5-POLICY",AL124&lt;&gt;"นิติศาสตร์",AE124="S1",AH124&gt;=1,OR(AG124&lt;AA124,AG124&lt;R124)),EDATE(AG124,12),AND(AO124="K5-POLICY",AL124&lt;&gt;"นิติศาสตร์",OR(Y124="M2",Y124="K4"),AB124&gt;=2,AA124&lt;R124),EDATE(AA124,12*2),AND(AO124="K5-POLICY",AL124&lt;&gt;"นิติศาสตร์",Y124="S1",AB124&gt;=1,AA124&lt;R124),EDATE(AA124,12),AND(AO124="K5-POLICY",AL124&lt;&gt;"นิติศาสตร์",OR(Y124="S2",Y124="K5")),AA124,AND(AO124="K5-POLICY",AL124&lt;&gt;"นิติศาสตร์",OR(K124="M2",K124="K4"),U124&gt;=2),EDATE(R124,12*2),AND(AO124="K5-POLICY",AL124&lt;&gt;"นิติศาสตร์",K124="S1",U124&gt;=1),EDATE(R124,12),AND(AO124="K5-POLICY",AL124&lt;&gt;"นิติศาสตร์",OR(K124="S2",K124="K5")),R124,TRUE,"Check Data")</f>
        <v/>
      </c>
      <c r="AQ124" s="75" t="str">
        <f t="shared" si="45"/>
        <v>Check Data</v>
      </c>
      <c r="AR124" s="76" t="str">
        <f t="shared" si="46"/>
        <v>Check Data</v>
      </c>
      <c r="AS124" s="50" t="str">
        <f t="shared" si="47"/>
        <v>Check Data</v>
      </c>
      <c r="AT124" s="49" t="str">
        <f>IF(B124="","",IF(K124="S1","S1",INDEX(#REF!,#REF!)))</f>
        <v/>
      </c>
      <c r="AU124" s="49" t="str">
        <f t="shared" si="48"/>
        <v>M2</v>
      </c>
      <c r="AV124" s="50" t="b">
        <f t="shared" si="49"/>
        <v>0</v>
      </c>
      <c r="AW124" s="50"/>
    </row>
    <row r="125" spans="1:49" ht="21.75">
      <c r="A125" s="49">
        <v>123</v>
      </c>
      <c r="B125" s="50"/>
      <c r="C125" s="50"/>
      <c r="D125" s="50" t="s">
        <v>143</v>
      </c>
      <c r="E125" s="49" t="s">
        <v>314</v>
      </c>
      <c r="F125" s="49" t="str">
        <f t="shared" si="25"/>
        <v>04/12/1989</v>
      </c>
      <c r="G125" s="50">
        <f t="shared" si="26"/>
        <v>35</v>
      </c>
      <c r="H125" s="50">
        <f t="shared" si="27"/>
        <v>6</v>
      </c>
      <c r="I125" s="50">
        <f t="shared" si="28"/>
        <v>16</v>
      </c>
      <c r="J125" s="59"/>
      <c r="K125" s="49" t="s">
        <v>136</v>
      </c>
      <c r="L125" s="49" t="str">
        <f>IF(B125="","",IF(K125="S1",K125,INDEX(#REF!,#REF!)))</f>
        <v/>
      </c>
      <c r="M125" s="49" t="b">
        <f t="shared" si="29"/>
        <v>0</v>
      </c>
      <c r="N125" s="64"/>
      <c r="O125" s="49" t="s">
        <v>425</v>
      </c>
      <c r="P125" s="49">
        <v>2568</v>
      </c>
      <c r="Q125" s="65" t="s">
        <v>315</v>
      </c>
      <c r="R125" s="49" t="str">
        <f t="shared" si="30"/>
        <v>23/07/2021</v>
      </c>
      <c r="S125" s="49" t="str">
        <f>IF(B125="","",IF(K125="S1",K125,INDEX(#REF!,#REF!)))</f>
        <v/>
      </c>
      <c r="T125" s="49" t="b">
        <f t="shared" si="31"/>
        <v>0</v>
      </c>
      <c r="U125" s="68">
        <f t="shared" si="32"/>
        <v>3</v>
      </c>
      <c r="V125" s="68">
        <f t="shared" si="33"/>
        <v>10</v>
      </c>
      <c r="W125" s="68">
        <f t="shared" si="34"/>
        <v>28</v>
      </c>
      <c r="X125" s="68"/>
      <c r="Y125" s="65"/>
      <c r="Z125" s="65"/>
      <c r="AA125" s="49" t="str">
        <f t="shared" si="35"/>
        <v/>
      </c>
      <c r="AB125" s="68">
        <f t="shared" si="36"/>
        <v>0</v>
      </c>
      <c r="AC125" s="68">
        <f t="shared" si="37"/>
        <v>0</v>
      </c>
      <c r="AD125" s="68">
        <f t="shared" si="38"/>
        <v>0</v>
      </c>
      <c r="AE125" s="49"/>
      <c r="AF125" s="65"/>
      <c r="AG125" s="50" t="str">
        <f t="shared" si="39"/>
        <v/>
      </c>
      <c r="AH125" s="68">
        <f t="shared" si="40"/>
        <v>0</v>
      </c>
      <c r="AI125" s="68">
        <f t="shared" si="41"/>
        <v>0</v>
      </c>
      <c r="AJ125" s="68">
        <f t="shared" si="42"/>
        <v>0</v>
      </c>
      <c r="AK125" s="50"/>
      <c r="AL125" s="50" t="s">
        <v>172</v>
      </c>
      <c r="AM125" s="50" t="str">
        <f>IF(B125="","",IF(K125="S1",K125,INDEX(#REF!,#REF!)))</f>
        <v/>
      </c>
      <c r="AN125" s="50" t="b">
        <f t="shared" si="43"/>
        <v>0</v>
      </c>
      <c r="AO125" s="49" t="str">
        <f t="shared" si="44"/>
        <v>K5-POLICY</v>
      </c>
      <c r="AP125" s="72" t="str">
        <f>_xlfn.IFS(B125="","",AND(AO125="K5-LAW",AL125="นิติศาสตร์",K125="S2",Y125="",AE125=""),R125,AND(AO125="K5-LAW",AL125="นิติศาสตร์",K125="S1",Y125="",AE125=""),EDATE(R125,12),AND(AO125="K5-LAW",AL125="นิติศาสตร์",OR(K125="M2",K125="K4"),Y125="",AE125=""),EDATE(R125,12*2),AND(AO125="K5-LAW",AL125="นิติศาสตร์",OR(AE125="M2",AE125="K4"),AH125&gt;=2,OR(AG125&lt;AA125,AG125&lt;R125)),EDATE(AG125,12*2),AND(AO125="K5-LAW",AL125="นิติศาสตร์",AE125="S1",AH125&gt;=1,OR(AG125&lt;AA125,AG125&lt;R125)),EDATE(AG125,12),AND(AO125="K5-LAW",AL125="นิติศาสตร์",OR(Y125="M2",Y125="K4"),AB125&gt;=2,AA125&lt;R125),EDATE(AA125,12*2),AND(AO125="K5-LAW",AL125="นิติศาสตร์",Y125="S1",AB125&gt;=1,AA125&lt;R125),EDATE(AA125,12),AND(AO125="K5-LAW",AL125="นิติศาสตร์",OR(Y125="S2",Y125="K5")),AA125,AND(AO125="K5-LAW",AL125="นิติศาสตร์",OR(K125="M2",K125="K4"),U125&gt;=2),EDATE(R125,12*2),AND(AO125="K5-LAW",AL125="นิติศาสตร์",K125="S1",U125&gt;=1),EDATE(R125,12),AND(AO125="K5-LAW",AL125="นิติศาสตร์",OR(K125="S2",K125="K5")),R125,AND(AO125="K5-POLICY",AL125&lt;&gt;"นิติศาสตร์",K125="S2",Y125="",AE125=""),R125,AND(AO125="K5-POLICY",AL125&lt;&gt;"นิติศาสตร์",K125="S1",Y125="",AE125=""),EDATE(R125,12),AND(AO125="K5-POLICY",AL125&lt;&gt;"นิติศาสตร์",OR(K125="M2",K125="K4"),Y125="",AE125=""),EDATE(R125,12*2),AND(AO125="K5-POLICY",AL125&lt;&gt;"นิติศาสตร์",OR(AE125="M2",AE125="K4"),AH125&gt;=2,OR(AG125&lt;AA125,AG125&lt;R125)),EDATE(AG125,12*2),AND(AO125="K5-POLICY",AL125&lt;&gt;"นิติศาสตร์",AE125="S1",AH125&gt;=1,OR(AG125&lt;AA125,AG125&lt;R125)),EDATE(AG125,12),AND(AO125="K5-POLICY",AL125&lt;&gt;"นิติศาสตร์",OR(Y125="M2",Y125="K4"),AB125&gt;=2,AA125&lt;R125),EDATE(AA125,12*2),AND(AO125="K5-POLICY",AL125&lt;&gt;"นิติศาสตร์",Y125="S1",AB125&gt;=1,AA125&lt;R125),EDATE(AA125,12),AND(AO125="K5-POLICY",AL125&lt;&gt;"นิติศาสตร์",OR(Y125="S2",Y125="K5")),AA125,AND(AO125="K5-POLICY",AL125&lt;&gt;"นิติศาสตร์",OR(K125="M2",K125="K4"),U125&gt;=2),EDATE(R125,12*2),AND(AO125="K5-POLICY",AL125&lt;&gt;"นิติศาสตร์",K125="S1",U125&gt;=1),EDATE(R125,12),AND(AO125="K5-POLICY",AL125&lt;&gt;"นิติศาสตร์",OR(K125="S2",K125="K5")),R125,TRUE,"Check Data")</f>
        <v/>
      </c>
      <c r="AQ125" s="75" t="str">
        <f t="shared" si="45"/>
        <v>Check Data</v>
      </c>
      <c r="AR125" s="76" t="str">
        <f t="shared" si="46"/>
        <v>Check Data</v>
      </c>
      <c r="AS125" s="50" t="str">
        <f t="shared" si="47"/>
        <v>Check Data</v>
      </c>
      <c r="AT125" s="49" t="str">
        <f>IF(B125="","",IF(K125="S1","S1",INDEX(#REF!,#REF!)))</f>
        <v/>
      </c>
      <c r="AU125" s="49" t="str">
        <f t="shared" si="48"/>
        <v>M2</v>
      </c>
      <c r="AV125" s="50" t="b">
        <f t="shared" si="49"/>
        <v>0</v>
      </c>
      <c r="AW125" s="50"/>
    </row>
    <row r="126" spans="1:49" ht="21.75">
      <c r="A126" s="49">
        <v>124</v>
      </c>
      <c r="B126" s="50"/>
      <c r="C126" s="50"/>
      <c r="D126" s="50" t="s">
        <v>141</v>
      </c>
      <c r="E126" s="49" t="s">
        <v>250</v>
      </c>
      <c r="F126" s="49" t="str">
        <f t="shared" si="25"/>
        <v>01/08/1995</v>
      </c>
      <c r="G126" s="50">
        <f t="shared" si="26"/>
        <v>29</v>
      </c>
      <c r="H126" s="50">
        <f t="shared" si="27"/>
        <v>10</v>
      </c>
      <c r="I126" s="50">
        <f t="shared" si="28"/>
        <v>19</v>
      </c>
      <c r="J126" s="60"/>
      <c r="K126" s="49" t="s">
        <v>136</v>
      </c>
      <c r="L126" s="49" t="str">
        <f>IF(B126="","",IF(K126="S1",K126,INDEX(#REF!,#REF!)))</f>
        <v/>
      </c>
      <c r="M126" s="49" t="b">
        <f t="shared" si="29"/>
        <v>0</v>
      </c>
      <c r="N126" s="64"/>
      <c r="O126" s="49" t="s">
        <v>427</v>
      </c>
      <c r="P126" s="49">
        <v>2571</v>
      </c>
      <c r="Q126" s="65" t="s">
        <v>201</v>
      </c>
      <c r="R126" s="49" t="str">
        <f t="shared" si="30"/>
        <v>01/10/2021</v>
      </c>
      <c r="S126" s="49" t="str">
        <f>IF(B126="","",IF(K126="S1",K126,INDEX(#REF!,#REF!)))</f>
        <v/>
      </c>
      <c r="T126" s="49" t="b">
        <f t="shared" si="31"/>
        <v>0</v>
      </c>
      <c r="U126" s="68">
        <f t="shared" si="32"/>
        <v>3</v>
      </c>
      <c r="V126" s="68">
        <f t="shared" si="33"/>
        <v>8</v>
      </c>
      <c r="W126" s="68">
        <f t="shared" si="34"/>
        <v>19</v>
      </c>
      <c r="X126" s="68"/>
      <c r="Y126" s="65"/>
      <c r="Z126" s="65"/>
      <c r="AA126" s="49" t="str">
        <f t="shared" si="35"/>
        <v/>
      </c>
      <c r="AB126" s="68">
        <f t="shared" si="36"/>
        <v>0</v>
      </c>
      <c r="AC126" s="68">
        <f t="shared" si="37"/>
        <v>0</v>
      </c>
      <c r="AD126" s="68">
        <f t="shared" si="38"/>
        <v>0</v>
      </c>
      <c r="AE126" s="49"/>
      <c r="AF126" s="65"/>
      <c r="AG126" s="50" t="str">
        <f t="shared" si="39"/>
        <v/>
      </c>
      <c r="AH126" s="68">
        <f t="shared" si="40"/>
        <v>0</v>
      </c>
      <c r="AI126" s="68">
        <f t="shared" si="41"/>
        <v>0</v>
      </c>
      <c r="AJ126" s="68">
        <f t="shared" si="42"/>
        <v>0</v>
      </c>
      <c r="AK126" s="50"/>
      <c r="AL126" s="50" t="s">
        <v>138</v>
      </c>
      <c r="AM126" s="50" t="str">
        <f>IF(B126="","",IF(K126="S1",K126,INDEX(#REF!,#REF!)))</f>
        <v/>
      </c>
      <c r="AN126" s="50" t="b">
        <f t="shared" si="43"/>
        <v>0</v>
      </c>
      <c r="AO126" s="49" t="str">
        <f t="shared" si="44"/>
        <v>K5-LAW</v>
      </c>
      <c r="AP126" s="72" t="str">
        <f>_xlfn.IFS(B126="","",AND(AO126="K5-LAW",AL126="นิติศาสตร์",K126="S2",Y126="",AE126=""),R126,AND(AO126="K5-LAW",AL126="นิติศาสตร์",K126="S1",Y126="",AE126=""),EDATE(R126,12),AND(AO126="K5-LAW",AL126="นิติศาสตร์",OR(K126="M2",K126="K4"),Y126="",AE126=""),EDATE(R126,12*2),AND(AO126="K5-LAW",AL126="นิติศาสตร์",OR(AE126="M2",AE126="K4"),AH126&gt;=2,OR(AG126&lt;AA126,AG126&lt;R126)),EDATE(AG126,12*2),AND(AO126="K5-LAW",AL126="นิติศาสตร์",AE126="S1",AH126&gt;=1,OR(AG126&lt;AA126,AG126&lt;R126)),EDATE(AG126,12),AND(AO126="K5-LAW",AL126="นิติศาสตร์",OR(Y126="M2",Y126="K4"),AB126&gt;=2,AA126&lt;R126),EDATE(AA126,12*2),AND(AO126="K5-LAW",AL126="นิติศาสตร์",Y126="S1",AB126&gt;=1,AA126&lt;R126),EDATE(AA126,12),AND(AO126="K5-LAW",AL126="นิติศาสตร์",OR(Y126="S2",Y126="K5")),AA126,AND(AO126="K5-LAW",AL126="นิติศาสตร์",OR(K126="M2",K126="K4"),U126&gt;=2),EDATE(R126,12*2),AND(AO126="K5-LAW",AL126="นิติศาสตร์",K126="S1",U126&gt;=1),EDATE(R126,12),AND(AO126="K5-LAW",AL126="นิติศาสตร์",OR(K126="S2",K126="K5")),R126,AND(AO126="K5-POLICY",AL126&lt;&gt;"นิติศาสตร์",K126="S2",Y126="",AE126=""),R126,AND(AO126="K5-POLICY",AL126&lt;&gt;"นิติศาสตร์",K126="S1",Y126="",AE126=""),EDATE(R126,12),AND(AO126="K5-POLICY",AL126&lt;&gt;"นิติศาสตร์",OR(K126="M2",K126="K4"),Y126="",AE126=""),EDATE(R126,12*2),AND(AO126="K5-POLICY",AL126&lt;&gt;"นิติศาสตร์",OR(AE126="M2",AE126="K4"),AH126&gt;=2,OR(AG126&lt;AA126,AG126&lt;R126)),EDATE(AG126,12*2),AND(AO126="K5-POLICY",AL126&lt;&gt;"นิติศาสตร์",AE126="S1",AH126&gt;=1,OR(AG126&lt;AA126,AG126&lt;R126)),EDATE(AG126,12),AND(AO126="K5-POLICY",AL126&lt;&gt;"นิติศาสตร์",OR(Y126="M2",Y126="K4"),AB126&gt;=2,AA126&lt;R126),EDATE(AA126,12*2),AND(AO126="K5-POLICY",AL126&lt;&gt;"นิติศาสตร์",Y126="S1",AB126&gt;=1,AA126&lt;R126),EDATE(AA126,12),AND(AO126="K5-POLICY",AL126&lt;&gt;"นิติศาสตร์",OR(Y126="S2",Y126="K5")),AA126,AND(AO126="K5-POLICY",AL126&lt;&gt;"นิติศาสตร์",OR(K126="M2",K126="K4"),U126&gt;=2),EDATE(R126,12*2),AND(AO126="K5-POLICY",AL126&lt;&gt;"นิติศาสตร์",K126="S1",U126&gt;=1),EDATE(R126,12),AND(AO126="K5-POLICY",AL126&lt;&gt;"นิติศาสตร์",OR(K126="S2",K126="K5")),R126,TRUE,"Check Data")</f>
        <v/>
      </c>
      <c r="AQ126" s="75" t="str">
        <f t="shared" si="45"/>
        <v>Check Data</v>
      </c>
      <c r="AR126" s="76" t="str">
        <f t="shared" si="46"/>
        <v>Check Data</v>
      </c>
      <c r="AS126" s="50" t="str">
        <f t="shared" si="47"/>
        <v>Check Data</v>
      </c>
      <c r="AT126" s="49" t="str">
        <f>IF(B126="","",IF(K126="S1","S1",INDEX(#REF!,#REF!)))</f>
        <v/>
      </c>
      <c r="AU126" s="49" t="str">
        <f t="shared" si="48"/>
        <v>M2</v>
      </c>
      <c r="AV126" s="50" t="b">
        <f t="shared" si="49"/>
        <v>0</v>
      </c>
      <c r="AW126" s="50"/>
    </row>
    <row r="127" spans="1:49" ht="21.75">
      <c r="A127" s="49">
        <v>125</v>
      </c>
      <c r="B127" s="50"/>
      <c r="C127" s="50"/>
      <c r="D127" s="50" t="s">
        <v>34</v>
      </c>
      <c r="E127" s="49" t="s">
        <v>309</v>
      </c>
      <c r="F127" s="49" t="str">
        <f t="shared" si="25"/>
        <v>01/06/1995</v>
      </c>
      <c r="G127" s="50">
        <f t="shared" si="26"/>
        <v>30</v>
      </c>
      <c r="H127" s="50">
        <f t="shared" si="27"/>
        <v>0</v>
      </c>
      <c r="I127" s="50">
        <f t="shared" si="28"/>
        <v>19</v>
      </c>
      <c r="J127" s="78"/>
      <c r="K127" s="49" t="s">
        <v>136</v>
      </c>
      <c r="L127" s="49" t="str">
        <f>IF(B127="","",IF(K127="S1",K127,INDEX(#REF!,#REF!)))</f>
        <v/>
      </c>
      <c r="M127" s="49" t="b">
        <f t="shared" si="29"/>
        <v>0</v>
      </c>
      <c r="N127" s="64"/>
      <c r="O127" s="49" t="s">
        <v>427</v>
      </c>
      <c r="P127" s="49">
        <v>2575</v>
      </c>
      <c r="Q127" s="65" t="s">
        <v>391</v>
      </c>
      <c r="R127" s="49" t="str">
        <f t="shared" si="30"/>
        <v>18/10/2021</v>
      </c>
      <c r="S127" s="49" t="str">
        <f>IF(B127="","",IF(K127="S1",K127,INDEX(#REF!,#REF!)))</f>
        <v/>
      </c>
      <c r="T127" s="49" t="b">
        <f t="shared" si="31"/>
        <v>0</v>
      </c>
      <c r="U127" s="68">
        <f t="shared" si="32"/>
        <v>3</v>
      </c>
      <c r="V127" s="68">
        <f t="shared" si="33"/>
        <v>8</v>
      </c>
      <c r="W127" s="68">
        <f t="shared" si="34"/>
        <v>2</v>
      </c>
      <c r="X127" s="68"/>
      <c r="Y127" s="65"/>
      <c r="Z127" s="65"/>
      <c r="AA127" s="49" t="str">
        <f t="shared" si="35"/>
        <v/>
      </c>
      <c r="AB127" s="68">
        <f t="shared" si="36"/>
        <v>0</v>
      </c>
      <c r="AC127" s="68">
        <f t="shared" si="37"/>
        <v>0</v>
      </c>
      <c r="AD127" s="68">
        <f t="shared" si="38"/>
        <v>0</v>
      </c>
      <c r="AE127" s="49"/>
      <c r="AF127" s="65"/>
      <c r="AG127" s="50" t="str">
        <f t="shared" si="39"/>
        <v/>
      </c>
      <c r="AH127" s="68">
        <f t="shared" si="40"/>
        <v>0</v>
      </c>
      <c r="AI127" s="68">
        <f t="shared" si="41"/>
        <v>0</v>
      </c>
      <c r="AJ127" s="68">
        <f t="shared" si="42"/>
        <v>0</v>
      </c>
      <c r="AK127" s="50"/>
      <c r="AL127" s="50" t="s">
        <v>167</v>
      </c>
      <c r="AM127" s="50" t="str">
        <f>IF(B127="","",IF(K127="S1",K127,INDEX(#REF!,#REF!)))</f>
        <v/>
      </c>
      <c r="AN127" s="50" t="b">
        <f t="shared" si="43"/>
        <v>0</v>
      </c>
      <c r="AO127" s="49" t="str">
        <f t="shared" si="44"/>
        <v>K5-POLICY</v>
      </c>
      <c r="AP127" s="72" t="str">
        <f>_xlfn.IFS(B127="","",AND(AO127="K5-LAW",AL127="นิติศาสตร์",K127="S2",Y127="",AE127=""),R127,AND(AO127="K5-LAW",AL127="นิติศาสตร์",K127="S1",Y127="",AE127=""),EDATE(R127,12),AND(AO127="K5-LAW",AL127="นิติศาสตร์",OR(K127="M2",K127="K4"),Y127="",AE127=""),EDATE(R127,12*2),AND(AO127="K5-LAW",AL127="นิติศาสตร์",OR(AE127="M2",AE127="K4"),AH127&gt;=2,OR(AG127&lt;AA127,AG127&lt;R127)),EDATE(AG127,12*2),AND(AO127="K5-LAW",AL127="นิติศาสตร์",AE127="S1",AH127&gt;=1,OR(AG127&lt;AA127,AG127&lt;R127)),EDATE(AG127,12),AND(AO127="K5-LAW",AL127="นิติศาสตร์",OR(Y127="M2",Y127="K4"),AB127&gt;=2,AA127&lt;R127),EDATE(AA127,12*2),AND(AO127="K5-LAW",AL127="นิติศาสตร์",Y127="S1",AB127&gt;=1,AA127&lt;R127),EDATE(AA127,12),AND(AO127="K5-LAW",AL127="นิติศาสตร์",OR(Y127="S2",Y127="K5")),AA127,AND(AO127="K5-LAW",AL127="นิติศาสตร์",OR(K127="M2",K127="K4"),U127&gt;=2),EDATE(R127,12*2),AND(AO127="K5-LAW",AL127="นิติศาสตร์",K127="S1",U127&gt;=1),EDATE(R127,12),AND(AO127="K5-LAW",AL127="นิติศาสตร์",OR(K127="S2",K127="K5")),R127,AND(AO127="K5-POLICY",AL127&lt;&gt;"นิติศาสตร์",K127="S2",Y127="",AE127=""),R127,AND(AO127="K5-POLICY",AL127&lt;&gt;"นิติศาสตร์",K127="S1",Y127="",AE127=""),EDATE(R127,12),AND(AO127="K5-POLICY",AL127&lt;&gt;"นิติศาสตร์",OR(K127="M2",K127="K4"),Y127="",AE127=""),EDATE(R127,12*2),AND(AO127="K5-POLICY",AL127&lt;&gt;"นิติศาสตร์",OR(AE127="M2",AE127="K4"),AH127&gt;=2,OR(AG127&lt;AA127,AG127&lt;R127)),EDATE(AG127,12*2),AND(AO127="K5-POLICY",AL127&lt;&gt;"นิติศาสตร์",AE127="S1",AH127&gt;=1,OR(AG127&lt;AA127,AG127&lt;R127)),EDATE(AG127,12),AND(AO127="K5-POLICY",AL127&lt;&gt;"นิติศาสตร์",OR(Y127="M2",Y127="K4"),AB127&gt;=2,AA127&lt;R127),EDATE(AA127,12*2),AND(AO127="K5-POLICY",AL127&lt;&gt;"นิติศาสตร์",Y127="S1",AB127&gt;=1,AA127&lt;R127),EDATE(AA127,12),AND(AO127="K5-POLICY",AL127&lt;&gt;"นิติศาสตร์",OR(Y127="S2",Y127="K5")),AA127,AND(AO127="K5-POLICY",AL127&lt;&gt;"นิติศาสตร์",OR(K127="M2",K127="K4"),U127&gt;=2),EDATE(R127,12*2),AND(AO127="K5-POLICY",AL127&lt;&gt;"นิติศาสตร์",K127="S1",U127&gt;=1),EDATE(R127,12),AND(AO127="K5-POLICY",AL127&lt;&gt;"นิติศาสตร์",OR(K127="S2",K127="K5")),R127,TRUE,"Check Data")</f>
        <v/>
      </c>
      <c r="AQ127" s="75" t="str">
        <f t="shared" si="45"/>
        <v>Check Data</v>
      </c>
      <c r="AR127" s="76" t="str">
        <f t="shared" si="46"/>
        <v>Check Data</v>
      </c>
      <c r="AS127" s="50" t="str">
        <f t="shared" si="47"/>
        <v>Check Data</v>
      </c>
      <c r="AT127" s="49" t="str">
        <f>IF(B127="","",IF(K127="S1","S1",INDEX(#REF!,#REF!)))</f>
        <v/>
      </c>
      <c r="AU127" s="49" t="str">
        <f t="shared" si="48"/>
        <v>M2</v>
      </c>
      <c r="AV127" s="50" t="b">
        <f t="shared" si="49"/>
        <v>0</v>
      </c>
      <c r="AW127" s="50"/>
    </row>
    <row r="128" spans="1:49" ht="21.75">
      <c r="A128" s="49">
        <v>126</v>
      </c>
      <c r="B128" s="50"/>
      <c r="C128" s="50"/>
      <c r="D128" s="50" t="s">
        <v>143</v>
      </c>
      <c r="E128" s="49" t="s">
        <v>325</v>
      </c>
      <c r="F128" s="49" t="str">
        <f t="shared" si="25"/>
        <v>10/10/1988</v>
      </c>
      <c r="G128" s="50">
        <f t="shared" si="26"/>
        <v>36</v>
      </c>
      <c r="H128" s="50">
        <f t="shared" si="27"/>
        <v>8</v>
      </c>
      <c r="I128" s="50">
        <f t="shared" si="28"/>
        <v>10</v>
      </c>
      <c r="J128" s="59"/>
      <c r="K128" s="49" t="s">
        <v>136</v>
      </c>
      <c r="L128" s="49" t="str">
        <f>IF(B128="","",IF(K128="S1",K128,INDEX(#REF!,#REF!)))</f>
        <v/>
      </c>
      <c r="M128" s="49" t="b">
        <f t="shared" si="29"/>
        <v>0</v>
      </c>
      <c r="N128" s="64"/>
      <c r="O128" s="49" t="s">
        <v>427</v>
      </c>
      <c r="P128" s="49">
        <v>2568</v>
      </c>
      <c r="Q128" s="65" t="s">
        <v>291</v>
      </c>
      <c r="R128" s="49" t="str">
        <f t="shared" si="30"/>
        <v>01/11/2021</v>
      </c>
      <c r="S128" s="49" t="str">
        <f>IF(B128="","",IF(K128="S1",K128,INDEX(#REF!,#REF!)))</f>
        <v/>
      </c>
      <c r="T128" s="49" t="b">
        <f t="shared" si="31"/>
        <v>0</v>
      </c>
      <c r="U128" s="68">
        <f t="shared" si="32"/>
        <v>3</v>
      </c>
      <c r="V128" s="68">
        <f t="shared" si="33"/>
        <v>7</v>
      </c>
      <c r="W128" s="68">
        <f t="shared" si="34"/>
        <v>19</v>
      </c>
      <c r="X128" s="68"/>
      <c r="Y128" s="65"/>
      <c r="Z128" s="65"/>
      <c r="AA128" s="49" t="str">
        <f t="shared" si="35"/>
        <v/>
      </c>
      <c r="AB128" s="68">
        <f t="shared" si="36"/>
        <v>0</v>
      </c>
      <c r="AC128" s="68">
        <f t="shared" si="37"/>
        <v>0</v>
      </c>
      <c r="AD128" s="68">
        <f t="shared" si="38"/>
        <v>0</v>
      </c>
      <c r="AE128" s="49"/>
      <c r="AF128" s="65"/>
      <c r="AG128" s="50" t="str">
        <f t="shared" si="39"/>
        <v/>
      </c>
      <c r="AH128" s="68">
        <f t="shared" si="40"/>
        <v>0</v>
      </c>
      <c r="AI128" s="68">
        <f t="shared" si="41"/>
        <v>0</v>
      </c>
      <c r="AJ128" s="68">
        <f t="shared" si="42"/>
        <v>0</v>
      </c>
      <c r="AK128" s="50"/>
      <c r="AL128" s="50" t="s">
        <v>486</v>
      </c>
      <c r="AM128" s="50" t="str">
        <f>IF(B128="","",IF(K128="S1",K128,INDEX(#REF!,#REF!)))</f>
        <v/>
      </c>
      <c r="AN128" s="50" t="b">
        <f t="shared" si="43"/>
        <v>0</v>
      </c>
      <c r="AO128" s="49" t="str">
        <f t="shared" si="44"/>
        <v>K5-POLICY</v>
      </c>
      <c r="AP128" s="72" t="str">
        <f>_xlfn.IFS(B128="","",AND(AO128="K5-LAW",AL128="นิติศาสตร์",K128="S2",Y128="",AE128=""),R128,AND(AO128="K5-LAW",AL128="นิติศาสตร์",K128="S1",Y128="",AE128=""),EDATE(R128,12),AND(AO128="K5-LAW",AL128="นิติศาสตร์",OR(K128="M2",K128="K4"),Y128="",AE128=""),EDATE(R128,12*2),AND(AO128="K5-LAW",AL128="นิติศาสตร์",OR(AE128="M2",AE128="K4"),AH128&gt;=2,OR(AG128&lt;AA128,AG128&lt;R128)),EDATE(AG128,12*2),AND(AO128="K5-LAW",AL128="นิติศาสตร์",AE128="S1",AH128&gt;=1,OR(AG128&lt;AA128,AG128&lt;R128)),EDATE(AG128,12),AND(AO128="K5-LAW",AL128="นิติศาสตร์",OR(Y128="M2",Y128="K4"),AB128&gt;=2,AA128&lt;R128),EDATE(AA128,12*2),AND(AO128="K5-LAW",AL128="นิติศาสตร์",Y128="S1",AB128&gt;=1,AA128&lt;R128),EDATE(AA128,12),AND(AO128="K5-LAW",AL128="นิติศาสตร์",OR(Y128="S2",Y128="K5")),AA128,AND(AO128="K5-LAW",AL128="นิติศาสตร์",OR(K128="M2",K128="K4"),U128&gt;=2),EDATE(R128,12*2),AND(AO128="K5-LAW",AL128="นิติศาสตร์",K128="S1",U128&gt;=1),EDATE(R128,12),AND(AO128="K5-LAW",AL128="นิติศาสตร์",OR(K128="S2",K128="K5")),R128,AND(AO128="K5-POLICY",AL128&lt;&gt;"นิติศาสตร์",K128="S2",Y128="",AE128=""),R128,AND(AO128="K5-POLICY",AL128&lt;&gt;"นิติศาสตร์",K128="S1",Y128="",AE128=""),EDATE(R128,12),AND(AO128="K5-POLICY",AL128&lt;&gt;"นิติศาสตร์",OR(K128="M2",K128="K4"),Y128="",AE128=""),EDATE(R128,12*2),AND(AO128="K5-POLICY",AL128&lt;&gt;"นิติศาสตร์",OR(AE128="M2",AE128="K4"),AH128&gt;=2,OR(AG128&lt;AA128,AG128&lt;R128)),EDATE(AG128,12*2),AND(AO128="K5-POLICY",AL128&lt;&gt;"นิติศาสตร์",AE128="S1",AH128&gt;=1,OR(AG128&lt;AA128,AG128&lt;R128)),EDATE(AG128,12),AND(AO128="K5-POLICY",AL128&lt;&gt;"นิติศาสตร์",OR(Y128="M2",Y128="K4"),AB128&gt;=2,AA128&lt;R128),EDATE(AA128,12*2),AND(AO128="K5-POLICY",AL128&lt;&gt;"นิติศาสตร์",Y128="S1",AB128&gt;=1,AA128&lt;R128),EDATE(AA128,12),AND(AO128="K5-POLICY",AL128&lt;&gt;"นิติศาสตร์",OR(Y128="S2",Y128="K5")),AA128,AND(AO128="K5-POLICY",AL128&lt;&gt;"นิติศาสตร์",OR(K128="M2",K128="K4"),U128&gt;=2),EDATE(R128,12*2),AND(AO128="K5-POLICY",AL128&lt;&gt;"นิติศาสตร์",K128="S1",U128&gt;=1),EDATE(R128,12),AND(AO128="K5-POLICY",AL128&lt;&gt;"นิติศาสตร์",OR(K128="S2",K128="K5")),R128,TRUE,"Check Data")</f>
        <v/>
      </c>
      <c r="AQ128" s="75" t="str">
        <f t="shared" si="45"/>
        <v>Check Data</v>
      </c>
      <c r="AR128" s="76" t="str">
        <f t="shared" si="46"/>
        <v>Check Data</v>
      </c>
      <c r="AS128" s="50" t="str">
        <f t="shared" si="47"/>
        <v>Check Data</v>
      </c>
      <c r="AT128" s="49" t="str">
        <f>IF(B128="","",IF(K128="S1","S1",INDEX(#REF!,#REF!)))</f>
        <v/>
      </c>
      <c r="AU128" s="49" t="str">
        <f t="shared" si="48"/>
        <v>M2</v>
      </c>
      <c r="AV128" s="50" t="b">
        <f t="shared" si="49"/>
        <v>0</v>
      </c>
      <c r="AW128" s="50"/>
    </row>
    <row r="129" spans="1:49" ht="21.75">
      <c r="A129" s="49">
        <v>127</v>
      </c>
      <c r="B129" s="50"/>
      <c r="C129" s="50"/>
      <c r="D129" s="50" t="s">
        <v>143</v>
      </c>
      <c r="E129" s="49" t="s">
        <v>350</v>
      </c>
      <c r="F129" s="49" t="str">
        <f t="shared" si="25"/>
        <v>03/05/1993</v>
      </c>
      <c r="G129" s="50">
        <f t="shared" si="26"/>
        <v>32</v>
      </c>
      <c r="H129" s="50">
        <f t="shared" si="27"/>
        <v>1</v>
      </c>
      <c r="I129" s="50">
        <f t="shared" si="28"/>
        <v>17</v>
      </c>
      <c r="J129" s="58"/>
      <c r="K129" s="49" t="s">
        <v>136</v>
      </c>
      <c r="L129" s="49" t="str">
        <f>IF(B129="","",IF(K129="S1",K129,INDEX(#REF!,#REF!)))</f>
        <v/>
      </c>
      <c r="M129" s="49" t="b">
        <f t="shared" si="29"/>
        <v>0</v>
      </c>
      <c r="N129" s="64"/>
      <c r="O129" s="49" t="s">
        <v>426</v>
      </c>
      <c r="P129" s="49">
        <v>2569</v>
      </c>
      <c r="Q129" s="65" t="s">
        <v>291</v>
      </c>
      <c r="R129" s="49" t="str">
        <f t="shared" si="30"/>
        <v>01/11/2021</v>
      </c>
      <c r="S129" s="49" t="str">
        <f>IF(B129="","",IF(K129="S1",K129,INDEX(#REF!,#REF!)))</f>
        <v/>
      </c>
      <c r="T129" s="49" t="b">
        <f t="shared" si="31"/>
        <v>0</v>
      </c>
      <c r="U129" s="68">
        <f t="shared" si="32"/>
        <v>3</v>
      </c>
      <c r="V129" s="68">
        <f t="shared" si="33"/>
        <v>7</v>
      </c>
      <c r="W129" s="68">
        <f t="shared" si="34"/>
        <v>19</v>
      </c>
      <c r="X129" s="68"/>
      <c r="Y129" s="65"/>
      <c r="Z129" s="65"/>
      <c r="AA129" s="49" t="str">
        <f t="shared" si="35"/>
        <v/>
      </c>
      <c r="AB129" s="68">
        <f t="shared" si="36"/>
        <v>0</v>
      </c>
      <c r="AC129" s="68">
        <f t="shared" si="37"/>
        <v>0</v>
      </c>
      <c r="AD129" s="68">
        <f t="shared" si="38"/>
        <v>0</v>
      </c>
      <c r="AE129" s="49"/>
      <c r="AF129" s="65"/>
      <c r="AG129" s="50" t="str">
        <f t="shared" si="39"/>
        <v/>
      </c>
      <c r="AH129" s="68">
        <f t="shared" si="40"/>
        <v>0</v>
      </c>
      <c r="AI129" s="68">
        <f t="shared" si="41"/>
        <v>0</v>
      </c>
      <c r="AJ129" s="68">
        <f t="shared" si="42"/>
        <v>0</v>
      </c>
      <c r="AK129" s="50"/>
      <c r="AL129" s="50" t="s">
        <v>138</v>
      </c>
      <c r="AM129" s="50" t="str">
        <f>IF(B129="","",IF(K129="S1",K129,INDEX(#REF!,#REF!)))</f>
        <v/>
      </c>
      <c r="AN129" s="50" t="b">
        <f t="shared" si="43"/>
        <v>0</v>
      </c>
      <c r="AO129" s="49" t="str">
        <f t="shared" si="44"/>
        <v>K5-LAW</v>
      </c>
      <c r="AP129" s="72" t="str">
        <f>_xlfn.IFS(B129="","",AND(AO129="K5-LAW",AL129="นิติศาสตร์",K129="S2",Y129="",AE129=""),R129,AND(AO129="K5-LAW",AL129="นิติศาสตร์",K129="S1",Y129="",AE129=""),EDATE(R129,12),AND(AO129="K5-LAW",AL129="นิติศาสตร์",OR(K129="M2",K129="K4"),Y129="",AE129=""),EDATE(R129,12*2),AND(AO129="K5-LAW",AL129="นิติศาสตร์",OR(AE129="M2",AE129="K4"),AH129&gt;=2,OR(AG129&lt;AA129,AG129&lt;R129)),EDATE(AG129,12*2),AND(AO129="K5-LAW",AL129="นิติศาสตร์",AE129="S1",AH129&gt;=1,OR(AG129&lt;AA129,AG129&lt;R129)),EDATE(AG129,12),AND(AO129="K5-LAW",AL129="นิติศาสตร์",OR(Y129="M2",Y129="K4"),AB129&gt;=2,AA129&lt;R129),EDATE(AA129,12*2),AND(AO129="K5-LAW",AL129="นิติศาสตร์",Y129="S1",AB129&gt;=1,AA129&lt;R129),EDATE(AA129,12),AND(AO129="K5-LAW",AL129="นิติศาสตร์",OR(Y129="S2",Y129="K5")),AA129,AND(AO129="K5-LAW",AL129="นิติศาสตร์",OR(K129="M2",K129="K4"),U129&gt;=2),EDATE(R129,12*2),AND(AO129="K5-LAW",AL129="นิติศาสตร์",K129="S1",U129&gt;=1),EDATE(R129,12),AND(AO129="K5-LAW",AL129="นิติศาสตร์",OR(K129="S2",K129="K5")),R129,AND(AO129="K5-POLICY",AL129&lt;&gt;"นิติศาสตร์",K129="S2",Y129="",AE129=""),R129,AND(AO129="K5-POLICY",AL129&lt;&gt;"นิติศาสตร์",K129="S1",Y129="",AE129=""),EDATE(R129,12),AND(AO129="K5-POLICY",AL129&lt;&gt;"นิติศาสตร์",OR(K129="M2",K129="K4"),Y129="",AE129=""),EDATE(R129,12*2),AND(AO129="K5-POLICY",AL129&lt;&gt;"นิติศาสตร์",OR(AE129="M2",AE129="K4"),AH129&gt;=2,OR(AG129&lt;AA129,AG129&lt;R129)),EDATE(AG129,12*2),AND(AO129="K5-POLICY",AL129&lt;&gt;"นิติศาสตร์",AE129="S1",AH129&gt;=1,OR(AG129&lt;AA129,AG129&lt;R129)),EDATE(AG129,12),AND(AO129="K5-POLICY",AL129&lt;&gt;"นิติศาสตร์",OR(Y129="M2",Y129="K4"),AB129&gt;=2,AA129&lt;R129),EDATE(AA129,12*2),AND(AO129="K5-POLICY",AL129&lt;&gt;"นิติศาสตร์",Y129="S1",AB129&gt;=1,AA129&lt;R129),EDATE(AA129,12),AND(AO129="K5-POLICY",AL129&lt;&gt;"นิติศาสตร์",OR(Y129="S2",Y129="K5")),AA129,AND(AO129="K5-POLICY",AL129&lt;&gt;"นิติศาสตร์",OR(K129="M2",K129="K4"),U129&gt;=2),EDATE(R129,12*2),AND(AO129="K5-POLICY",AL129&lt;&gt;"นิติศาสตร์",K129="S1",U129&gt;=1),EDATE(R129,12),AND(AO129="K5-POLICY",AL129&lt;&gt;"นิติศาสตร์",OR(K129="S2",K129="K5")),R129,TRUE,"Check Data")</f>
        <v/>
      </c>
      <c r="AQ129" s="75" t="str">
        <f t="shared" si="45"/>
        <v>Check Data</v>
      </c>
      <c r="AR129" s="76" t="str">
        <f t="shared" si="46"/>
        <v>Check Data</v>
      </c>
      <c r="AS129" s="50" t="str">
        <f t="shared" si="47"/>
        <v>Check Data</v>
      </c>
      <c r="AT129" s="49" t="str">
        <f>IF(B129="","",IF(K129="S1","S1",INDEX(#REF!,#REF!)))</f>
        <v/>
      </c>
      <c r="AU129" s="49" t="str">
        <f t="shared" si="48"/>
        <v>M2</v>
      </c>
      <c r="AV129" s="50" t="b">
        <f t="shared" si="49"/>
        <v>0</v>
      </c>
      <c r="AW129" s="50"/>
    </row>
    <row r="130" spans="1:49" ht="21.75">
      <c r="A130" s="49">
        <v>128</v>
      </c>
      <c r="B130" s="50"/>
      <c r="C130" s="50"/>
      <c r="D130" s="50" t="s">
        <v>143</v>
      </c>
      <c r="E130" s="49" t="s">
        <v>322</v>
      </c>
      <c r="F130" s="49" t="str">
        <f t="shared" si="25"/>
        <v>30/07/1992</v>
      </c>
      <c r="G130" s="50">
        <f t="shared" si="26"/>
        <v>32</v>
      </c>
      <c r="H130" s="50">
        <f t="shared" si="27"/>
        <v>10</v>
      </c>
      <c r="I130" s="50">
        <f t="shared" si="28"/>
        <v>21</v>
      </c>
      <c r="J130" s="59"/>
      <c r="K130" s="49" t="s">
        <v>136</v>
      </c>
      <c r="L130" s="49" t="str">
        <f>IF(B130="","",IF(K130="S1",K130,INDEX(#REF!,#REF!)))</f>
        <v/>
      </c>
      <c r="M130" s="49" t="b">
        <f t="shared" si="29"/>
        <v>0</v>
      </c>
      <c r="N130" s="64"/>
      <c r="O130" s="49" t="s">
        <v>426</v>
      </c>
      <c r="P130" s="49">
        <v>2569</v>
      </c>
      <c r="Q130" s="65" t="s">
        <v>291</v>
      </c>
      <c r="R130" s="49" t="str">
        <f t="shared" si="30"/>
        <v>01/11/2021</v>
      </c>
      <c r="S130" s="49" t="str">
        <f>IF(B130="","",IF(K130="S1",K130,INDEX(#REF!,#REF!)))</f>
        <v/>
      </c>
      <c r="T130" s="49" t="b">
        <f t="shared" si="31"/>
        <v>0</v>
      </c>
      <c r="U130" s="68">
        <f t="shared" si="32"/>
        <v>3</v>
      </c>
      <c r="V130" s="68">
        <f t="shared" si="33"/>
        <v>7</v>
      </c>
      <c r="W130" s="68">
        <f t="shared" si="34"/>
        <v>19</v>
      </c>
      <c r="X130" s="68"/>
      <c r="Y130" s="65"/>
      <c r="Z130" s="65"/>
      <c r="AA130" s="49" t="str">
        <f t="shared" si="35"/>
        <v/>
      </c>
      <c r="AB130" s="68">
        <f t="shared" si="36"/>
        <v>0</v>
      </c>
      <c r="AC130" s="68">
        <f t="shared" si="37"/>
        <v>0</v>
      </c>
      <c r="AD130" s="68">
        <f t="shared" si="38"/>
        <v>0</v>
      </c>
      <c r="AE130" s="49"/>
      <c r="AF130" s="65"/>
      <c r="AG130" s="50" t="str">
        <f t="shared" si="39"/>
        <v/>
      </c>
      <c r="AH130" s="68">
        <f t="shared" si="40"/>
        <v>0</v>
      </c>
      <c r="AI130" s="68">
        <f t="shared" si="41"/>
        <v>0</v>
      </c>
      <c r="AJ130" s="68">
        <f t="shared" si="42"/>
        <v>0</v>
      </c>
      <c r="AK130" s="50"/>
      <c r="AL130" s="50" t="s">
        <v>138</v>
      </c>
      <c r="AM130" s="50" t="str">
        <f>IF(B130="","",IF(K130="S1",K130,INDEX(#REF!,#REF!)))</f>
        <v/>
      </c>
      <c r="AN130" s="50" t="b">
        <f t="shared" si="43"/>
        <v>0</v>
      </c>
      <c r="AO130" s="49" t="str">
        <f t="shared" si="44"/>
        <v>K5-LAW</v>
      </c>
      <c r="AP130" s="72" t="str">
        <f>_xlfn.IFS(B130="","",AND(AO130="K5-LAW",AL130="นิติศาสตร์",K130="S2",Y130="",AE130=""),R130,AND(AO130="K5-LAW",AL130="นิติศาสตร์",K130="S1",Y130="",AE130=""),EDATE(R130,12),AND(AO130="K5-LAW",AL130="นิติศาสตร์",OR(K130="M2",K130="K4"),Y130="",AE130=""),EDATE(R130,12*2),AND(AO130="K5-LAW",AL130="นิติศาสตร์",OR(AE130="M2",AE130="K4"),AH130&gt;=2,OR(AG130&lt;AA130,AG130&lt;R130)),EDATE(AG130,12*2),AND(AO130="K5-LAW",AL130="นิติศาสตร์",AE130="S1",AH130&gt;=1,OR(AG130&lt;AA130,AG130&lt;R130)),EDATE(AG130,12),AND(AO130="K5-LAW",AL130="นิติศาสตร์",OR(Y130="M2",Y130="K4"),AB130&gt;=2,AA130&lt;R130),EDATE(AA130,12*2),AND(AO130="K5-LAW",AL130="นิติศาสตร์",Y130="S1",AB130&gt;=1,AA130&lt;R130),EDATE(AA130,12),AND(AO130="K5-LAW",AL130="นิติศาสตร์",OR(Y130="S2",Y130="K5")),AA130,AND(AO130="K5-LAW",AL130="นิติศาสตร์",OR(K130="M2",K130="K4"),U130&gt;=2),EDATE(R130,12*2),AND(AO130="K5-LAW",AL130="นิติศาสตร์",K130="S1",U130&gt;=1),EDATE(R130,12),AND(AO130="K5-LAW",AL130="นิติศาสตร์",OR(K130="S2",K130="K5")),R130,AND(AO130="K5-POLICY",AL130&lt;&gt;"นิติศาสตร์",K130="S2",Y130="",AE130=""),R130,AND(AO130="K5-POLICY",AL130&lt;&gt;"นิติศาสตร์",K130="S1",Y130="",AE130=""),EDATE(R130,12),AND(AO130="K5-POLICY",AL130&lt;&gt;"นิติศาสตร์",OR(K130="M2",K130="K4"),Y130="",AE130=""),EDATE(R130,12*2),AND(AO130="K5-POLICY",AL130&lt;&gt;"นิติศาสตร์",OR(AE130="M2",AE130="K4"),AH130&gt;=2,OR(AG130&lt;AA130,AG130&lt;R130)),EDATE(AG130,12*2),AND(AO130="K5-POLICY",AL130&lt;&gt;"นิติศาสตร์",AE130="S1",AH130&gt;=1,OR(AG130&lt;AA130,AG130&lt;R130)),EDATE(AG130,12),AND(AO130="K5-POLICY",AL130&lt;&gt;"นิติศาสตร์",OR(Y130="M2",Y130="K4"),AB130&gt;=2,AA130&lt;R130),EDATE(AA130,12*2),AND(AO130="K5-POLICY",AL130&lt;&gt;"นิติศาสตร์",Y130="S1",AB130&gt;=1,AA130&lt;R130),EDATE(AA130,12),AND(AO130="K5-POLICY",AL130&lt;&gt;"นิติศาสตร์",OR(Y130="S2",Y130="K5")),AA130,AND(AO130="K5-POLICY",AL130&lt;&gt;"นิติศาสตร์",OR(K130="M2",K130="K4"),U130&gt;=2),EDATE(R130,12*2),AND(AO130="K5-POLICY",AL130&lt;&gt;"นิติศาสตร์",K130="S1",U130&gt;=1),EDATE(R130,12),AND(AO130="K5-POLICY",AL130&lt;&gt;"นิติศาสตร์",OR(K130="S2",K130="K5")),R130,TRUE,"Check Data")</f>
        <v/>
      </c>
      <c r="AQ130" s="75" t="str">
        <f t="shared" si="45"/>
        <v>Check Data</v>
      </c>
      <c r="AR130" s="76" t="str">
        <f t="shared" si="46"/>
        <v>Check Data</v>
      </c>
      <c r="AS130" s="50" t="str">
        <f t="shared" si="47"/>
        <v>Check Data</v>
      </c>
      <c r="AT130" s="49" t="str">
        <f>IF(B130="","",IF(K130="S1","S1",INDEX(#REF!,#REF!)))</f>
        <v/>
      </c>
      <c r="AU130" s="49" t="str">
        <f t="shared" si="48"/>
        <v>M2</v>
      </c>
      <c r="AV130" s="50" t="b">
        <f t="shared" si="49"/>
        <v>0</v>
      </c>
      <c r="AW130" s="50"/>
    </row>
    <row r="131" spans="1:49" ht="21.75">
      <c r="A131" s="49">
        <v>129</v>
      </c>
      <c r="B131" s="50"/>
      <c r="C131" s="50"/>
      <c r="D131" s="50" t="s">
        <v>143</v>
      </c>
      <c r="E131" s="49" t="s">
        <v>297</v>
      </c>
      <c r="F131" s="49" t="str">
        <f t="shared" ref="F131:F194" si="50">IF(E131="","",TEXT(EDATE(E131,-543*12),"dd/mm/yyyy"))</f>
        <v>22/12/1997</v>
      </c>
      <c r="G131" s="50">
        <f t="shared" ref="G131:G194" si="51">IF(F131="",0,DATEDIF(F131,$C$1,"Y"))</f>
        <v>27</v>
      </c>
      <c r="H131" s="50">
        <f t="shared" ref="H131:H194" si="52">IF(F131="",0,DATEDIF(F131,$C$1,"YM"))</f>
        <v>5</v>
      </c>
      <c r="I131" s="50">
        <f t="shared" ref="I131:I194" si="53">IF(F131="",0,DATEDIF(F131,$C$1,"MD"))</f>
        <v>29</v>
      </c>
      <c r="J131" s="59"/>
      <c r="K131" s="49" t="s">
        <v>136</v>
      </c>
      <c r="L131" s="49" t="str">
        <f>IF(B131="","",IF(K131="S1",K131,INDEX(#REF!,#REF!)))</f>
        <v/>
      </c>
      <c r="M131" s="49" t="b">
        <f t="shared" ref="M131:M194" si="54">K131=L131</f>
        <v>0</v>
      </c>
      <c r="N131" s="64"/>
      <c r="O131" s="49" t="s">
        <v>427</v>
      </c>
      <c r="P131" s="49">
        <v>2573</v>
      </c>
      <c r="Q131" s="65" t="s">
        <v>291</v>
      </c>
      <c r="R131" s="49" t="str">
        <f t="shared" ref="R131:R194" si="55">TEXT(EDATE(Q131,-543*12),"dd/mm/yyyy")</f>
        <v>01/11/2021</v>
      </c>
      <c r="S131" s="49" t="str">
        <f>IF(B131="","",IF(K131="S1",K131,INDEX(#REF!,#REF!)))</f>
        <v/>
      </c>
      <c r="T131" s="49" t="b">
        <f t="shared" ref="T131:T194" si="56">Q131=S131</f>
        <v>0</v>
      </c>
      <c r="U131" s="68">
        <f t="shared" ref="U131:U194" si="57">IF(R131="",0,DATEDIF(R131,$C$1,"Y"))</f>
        <v>3</v>
      </c>
      <c r="V131" s="68">
        <f t="shared" ref="V131:V194" si="58">IF(R131="",0,DATEDIF(R131,$C$1,"YM"))</f>
        <v>7</v>
      </c>
      <c r="W131" s="68">
        <f t="shared" ref="W131:W194" si="59">IF(R131="",0,DATEDIF(R131,$C$1,"MD"))</f>
        <v>19</v>
      </c>
      <c r="X131" s="68"/>
      <c r="Y131" s="65"/>
      <c r="Z131" s="65"/>
      <c r="AA131" s="49" t="str">
        <f t="shared" ref="AA131:AA194" si="60">IF(Z131="","",TEXT(EDATE(Z131,-543*12),"dd/mm/yyyy"))</f>
        <v/>
      </c>
      <c r="AB131" s="68">
        <f t="shared" ref="AB131:AB194" si="61">IF(AA131="",0,DATEDIF(AA131,R131,"Y"))</f>
        <v>0</v>
      </c>
      <c r="AC131" s="68">
        <f t="shared" ref="AC131:AC194" si="62">IF(AA131="",0,DATEDIF(AA131,R131,"YM"))</f>
        <v>0</v>
      </c>
      <c r="AD131" s="68">
        <f t="shared" ref="AD131:AD194" si="63">IF(AA131="",0,DATEDIF(AA131,R131,"MD"))</f>
        <v>0</v>
      </c>
      <c r="AE131" s="49"/>
      <c r="AF131" s="65"/>
      <c r="AG131" s="50" t="str">
        <f t="shared" ref="AG131:AG194" si="64">IF(AF131="","",TEXT(EDATE(AF131,-543*12),"dd/mm/yyyy"))</f>
        <v/>
      </c>
      <c r="AH131" s="68">
        <f t="shared" ref="AH131:AH194" si="65">IF(AG131="",0,DATEDIF(AG131,AA131,"Y"))</f>
        <v>0</v>
      </c>
      <c r="AI131" s="68">
        <f t="shared" ref="AI131:AI194" si="66">IF(AG131="",0,DATEDIF(AG131,AA131,"YM"))</f>
        <v>0</v>
      </c>
      <c r="AJ131" s="68">
        <f t="shared" ref="AJ131:AJ194" si="67">IF(AG131="",0,DATEDIF(AG131,AA131,"MD"))</f>
        <v>0</v>
      </c>
      <c r="AK131" s="50"/>
      <c r="AL131" s="50" t="s">
        <v>169</v>
      </c>
      <c r="AM131" s="50" t="str">
        <f>IF(B131="","",IF(K131="S1",K131,INDEX(#REF!,#REF!)))</f>
        <v/>
      </c>
      <c r="AN131" s="50" t="b">
        <f t="shared" ref="AN131:AN194" si="68">AL131=AM131</f>
        <v>0</v>
      </c>
      <c r="AO131" s="49" t="str">
        <f t="shared" ref="AO131:AO194" si="69">IF(AL131="นิติศาสตร์","K5-LAW","K5-POLICY")</f>
        <v>K5-POLICY</v>
      </c>
      <c r="AP131" s="72" t="str">
        <f>_xlfn.IFS(B131="","",AND(AO131="K5-LAW",AL131="นิติศาสตร์",K131="S2",Y131="",AE131=""),R131,AND(AO131="K5-LAW",AL131="นิติศาสตร์",K131="S1",Y131="",AE131=""),EDATE(R131,12),AND(AO131="K5-LAW",AL131="นิติศาสตร์",OR(K131="M2",K131="K4"),Y131="",AE131=""),EDATE(R131,12*2),AND(AO131="K5-LAW",AL131="นิติศาสตร์",OR(AE131="M2",AE131="K4"),AH131&gt;=2,OR(AG131&lt;AA131,AG131&lt;R131)),EDATE(AG131,12*2),AND(AO131="K5-LAW",AL131="นิติศาสตร์",AE131="S1",AH131&gt;=1,OR(AG131&lt;AA131,AG131&lt;R131)),EDATE(AG131,12),AND(AO131="K5-LAW",AL131="นิติศาสตร์",OR(Y131="M2",Y131="K4"),AB131&gt;=2,AA131&lt;R131),EDATE(AA131,12*2),AND(AO131="K5-LAW",AL131="นิติศาสตร์",Y131="S1",AB131&gt;=1,AA131&lt;R131),EDATE(AA131,12),AND(AO131="K5-LAW",AL131="นิติศาสตร์",OR(Y131="S2",Y131="K5")),AA131,AND(AO131="K5-LAW",AL131="นิติศาสตร์",OR(K131="M2",K131="K4"),U131&gt;=2),EDATE(R131,12*2),AND(AO131="K5-LAW",AL131="นิติศาสตร์",K131="S1",U131&gt;=1),EDATE(R131,12),AND(AO131="K5-LAW",AL131="นิติศาสตร์",OR(K131="S2",K131="K5")),R131,AND(AO131="K5-POLICY",AL131&lt;&gt;"นิติศาสตร์",K131="S2",Y131="",AE131=""),R131,AND(AO131="K5-POLICY",AL131&lt;&gt;"นิติศาสตร์",K131="S1",Y131="",AE131=""),EDATE(R131,12),AND(AO131="K5-POLICY",AL131&lt;&gt;"นิติศาสตร์",OR(K131="M2",K131="K4"),Y131="",AE131=""),EDATE(R131,12*2),AND(AO131="K5-POLICY",AL131&lt;&gt;"นิติศาสตร์",OR(AE131="M2",AE131="K4"),AH131&gt;=2,OR(AG131&lt;AA131,AG131&lt;R131)),EDATE(AG131,12*2),AND(AO131="K5-POLICY",AL131&lt;&gt;"นิติศาสตร์",AE131="S1",AH131&gt;=1,OR(AG131&lt;AA131,AG131&lt;R131)),EDATE(AG131,12),AND(AO131="K5-POLICY",AL131&lt;&gt;"นิติศาสตร์",OR(Y131="M2",Y131="K4"),AB131&gt;=2,AA131&lt;R131),EDATE(AA131,12*2),AND(AO131="K5-POLICY",AL131&lt;&gt;"นิติศาสตร์",Y131="S1",AB131&gt;=1,AA131&lt;R131),EDATE(AA131,12),AND(AO131="K5-POLICY",AL131&lt;&gt;"นิติศาสตร์",OR(Y131="S2",Y131="K5")),AA131,AND(AO131="K5-POLICY",AL131&lt;&gt;"นิติศาสตร์",OR(K131="M2",K131="K4"),U131&gt;=2),EDATE(R131,12*2),AND(AO131="K5-POLICY",AL131&lt;&gt;"นิติศาสตร์",K131="S1",U131&gt;=1),EDATE(R131,12),AND(AO131="K5-POLICY",AL131&lt;&gt;"นิติศาสตร์",OR(K131="S2",K131="K5")),R131,TRUE,"Check Data")</f>
        <v/>
      </c>
      <c r="AQ131" s="75" t="str">
        <f t="shared" ref="AQ131:AQ194" si="70">IFERROR(TEXT(EDATE(AP131,543*12),"dd/mm/yyyy"),"Check Data")</f>
        <v>Check Data</v>
      </c>
      <c r="AR131" s="76" t="str">
        <f t="shared" ref="AR131:AR194" si="71">IFERROR(IF($C$1&gt;AP131,AP131-$C$1,DATEDIF($C$1,AP131,"d")),"Check Data")</f>
        <v>Check Data</v>
      </c>
      <c r="AS131" s="50" t="str">
        <f t="shared" ref="AS131:AS194" si="72">_xlfn.IFS(AR131="Check Data","Check Data",AR131&gt;30,"ยังไม่ถึงเกณฑ์",AR131&gt;0,"ใกล้ถึงเกณฑ์",AR131=0,"ถึงเกณฑ์",AR131&lt;0,"ถึงเกณฑ์นานแล้ว")</f>
        <v>Check Data</v>
      </c>
      <c r="AT131" s="49" t="str">
        <f>IF(B131="","",IF(K131="S1","S1",INDEX(#REF!,#REF!)))</f>
        <v/>
      </c>
      <c r="AU131" s="49" t="str">
        <f t="shared" ref="AU131:AU194" si="73">K131</f>
        <v>M2</v>
      </c>
      <c r="AV131" s="50" t="b">
        <f t="shared" ref="AV131:AV194" si="74">K131=AT131</f>
        <v>0</v>
      </c>
      <c r="AW131" s="50"/>
    </row>
    <row r="132" spans="1:49" ht="21.75">
      <c r="A132" s="49">
        <v>130</v>
      </c>
      <c r="B132" s="50"/>
      <c r="C132" s="50"/>
      <c r="D132" s="50" t="s">
        <v>143</v>
      </c>
      <c r="E132" s="49" t="s">
        <v>342</v>
      </c>
      <c r="F132" s="49" t="str">
        <f t="shared" si="50"/>
        <v>11/07/1996</v>
      </c>
      <c r="G132" s="50">
        <f t="shared" si="51"/>
        <v>28</v>
      </c>
      <c r="H132" s="50">
        <f t="shared" si="52"/>
        <v>11</v>
      </c>
      <c r="I132" s="50">
        <f t="shared" si="53"/>
        <v>9</v>
      </c>
      <c r="J132" s="59"/>
      <c r="K132" s="49" t="s">
        <v>136</v>
      </c>
      <c r="L132" s="49" t="str">
        <f>IF(B132="","",IF(K132="S1",K132,INDEX(#REF!,#REF!)))</f>
        <v/>
      </c>
      <c r="M132" s="49" t="b">
        <f t="shared" si="54"/>
        <v>0</v>
      </c>
      <c r="N132" s="64"/>
      <c r="O132" s="49" t="s">
        <v>427</v>
      </c>
      <c r="P132" s="49">
        <v>2576</v>
      </c>
      <c r="Q132" s="65" t="s">
        <v>291</v>
      </c>
      <c r="R132" s="49" t="str">
        <f t="shared" si="55"/>
        <v>01/11/2021</v>
      </c>
      <c r="S132" s="49" t="str">
        <f>IF(B132="","",IF(K132="S1",K132,INDEX(#REF!,#REF!)))</f>
        <v/>
      </c>
      <c r="T132" s="49" t="b">
        <f t="shared" si="56"/>
        <v>0</v>
      </c>
      <c r="U132" s="68">
        <f t="shared" si="57"/>
        <v>3</v>
      </c>
      <c r="V132" s="68">
        <f t="shared" si="58"/>
        <v>7</v>
      </c>
      <c r="W132" s="68">
        <f t="shared" si="59"/>
        <v>19</v>
      </c>
      <c r="X132" s="68"/>
      <c r="Y132" s="65"/>
      <c r="Z132" s="65"/>
      <c r="AA132" s="49" t="str">
        <f t="shared" si="60"/>
        <v/>
      </c>
      <c r="AB132" s="68">
        <f t="shared" si="61"/>
        <v>0</v>
      </c>
      <c r="AC132" s="68">
        <f t="shared" si="62"/>
        <v>0</v>
      </c>
      <c r="AD132" s="68">
        <f t="shared" si="63"/>
        <v>0</v>
      </c>
      <c r="AE132" s="49"/>
      <c r="AF132" s="65"/>
      <c r="AG132" s="50" t="str">
        <f t="shared" si="64"/>
        <v/>
      </c>
      <c r="AH132" s="68">
        <f t="shared" si="65"/>
        <v>0</v>
      </c>
      <c r="AI132" s="68">
        <f t="shared" si="66"/>
        <v>0</v>
      </c>
      <c r="AJ132" s="68">
        <f t="shared" si="67"/>
        <v>0</v>
      </c>
      <c r="AK132" s="50"/>
      <c r="AL132" s="50" t="s">
        <v>518</v>
      </c>
      <c r="AM132" s="50" t="str">
        <f>IF(B132="","",IF(K132="S1",K132,INDEX(#REF!,#REF!)))</f>
        <v/>
      </c>
      <c r="AN132" s="50" t="b">
        <f t="shared" si="68"/>
        <v>0</v>
      </c>
      <c r="AO132" s="49" t="str">
        <f t="shared" si="69"/>
        <v>K5-POLICY</v>
      </c>
      <c r="AP132" s="72" t="str">
        <f>_xlfn.IFS(B132="","",AND(AO132="K5-LAW",AL132="นิติศาสตร์",K132="S2",Y132="",AE132=""),R132,AND(AO132="K5-LAW",AL132="นิติศาสตร์",K132="S1",Y132="",AE132=""),EDATE(R132,12),AND(AO132="K5-LAW",AL132="นิติศาสตร์",OR(K132="M2",K132="K4"),Y132="",AE132=""),EDATE(R132,12*2),AND(AO132="K5-LAW",AL132="นิติศาสตร์",OR(AE132="M2",AE132="K4"),AH132&gt;=2,OR(AG132&lt;AA132,AG132&lt;R132)),EDATE(AG132,12*2),AND(AO132="K5-LAW",AL132="นิติศาสตร์",AE132="S1",AH132&gt;=1,OR(AG132&lt;AA132,AG132&lt;R132)),EDATE(AG132,12),AND(AO132="K5-LAW",AL132="นิติศาสตร์",OR(Y132="M2",Y132="K4"),AB132&gt;=2,AA132&lt;R132),EDATE(AA132,12*2),AND(AO132="K5-LAW",AL132="นิติศาสตร์",Y132="S1",AB132&gt;=1,AA132&lt;R132),EDATE(AA132,12),AND(AO132="K5-LAW",AL132="นิติศาสตร์",OR(Y132="S2",Y132="K5")),AA132,AND(AO132="K5-LAW",AL132="นิติศาสตร์",OR(K132="M2",K132="K4"),U132&gt;=2),EDATE(R132,12*2),AND(AO132="K5-LAW",AL132="นิติศาสตร์",K132="S1",U132&gt;=1),EDATE(R132,12),AND(AO132="K5-LAW",AL132="นิติศาสตร์",OR(K132="S2",K132="K5")),R132,AND(AO132="K5-POLICY",AL132&lt;&gt;"นิติศาสตร์",K132="S2",Y132="",AE132=""),R132,AND(AO132="K5-POLICY",AL132&lt;&gt;"นิติศาสตร์",K132="S1",Y132="",AE132=""),EDATE(R132,12),AND(AO132="K5-POLICY",AL132&lt;&gt;"นิติศาสตร์",OR(K132="M2",K132="K4"),Y132="",AE132=""),EDATE(R132,12*2),AND(AO132="K5-POLICY",AL132&lt;&gt;"นิติศาสตร์",OR(AE132="M2",AE132="K4"),AH132&gt;=2,OR(AG132&lt;AA132,AG132&lt;R132)),EDATE(AG132,12*2),AND(AO132="K5-POLICY",AL132&lt;&gt;"นิติศาสตร์",AE132="S1",AH132&gt;=1,OR(AG132&lt;AA132,AG132&lt;R132)),EDATE(AG132,12),AND(AO132="K5-POLICY",AL132&lt;&gt;"นิติศาสตร์",OR(Y132="M2",Y132="K4"),AB132&gt;=2,AA132&lt;R132),EDATE(AA132,12*2),AND(AO132="K5-POLICY",AL132&lt;&gt;"นิติศาสตร์",Y132="S1",AB132&gt;=1,AA132&lt;R132),EDATE(AA132,12),AND(AO132="K5-POLICY",AL132&lt;&gt;"นิติศาสตร์",OR(Y132="S2",Y132="K5")),AA132,AND(AO132="K5-POLICY",AL132&lt;&gt;"นิติศาสตร์",OR(K132="M2",K132="K4"),U132&gt;=2),EDATE(R132,12*2),AND(AO132="K5-POLICY",AL132&lt;&gt;"นิติศาสตร์",K132="S1",U132&gt;=1),EDATE(R132,12),AND(AO132="K5-POLICY",AL132&lt;&gt;"นิติศาสตร์",OR(K132="S2",K132="K5")),R132,TRUE,"Check Data")</f>
        <v/>
      </c>
      <c r="AQ132" s="75" t="str">
        <f t="shared" si="70"/>
        <v>Check Data</v>
      </c>
      <c r="AR132" s="76" t="str">
        <f t="shared" si="71"/>
        <v>Check Data</v>
      </c>
      <c r="AS132" s="50" t="str">
        <f t="shared" si="72"/>
        <v>Check Data</v>
      </c>
      <c r="AT132" s="49" t="str">
        <f>IF(B132="","",IF(K132="S1","S1",INDEX(#REF!,#REF!)))</f>
        <v/>
      </c>
      <c r="AU132" s="49" t="str">
        <f t="shared" si="73"/>
        <v>M2</v>
      </c>
      <c r="AV132" s="50" t="b">
        <f t="shared" si="74"/>
        <v>0</v>
      </c>
      <c r="AW132" s="50"/>
    </row>
    <row r="133" spans="1:49" ht="21.75">
      <c r="A133" s="49">
        <v>131</v>
      </c>
      <c r="B133" s="50"/>
      <c r="C133" s="50"/>
      <c r="D133" s="50" t="s">
        <v>143</v>
      </c>
      <c r="E133" s="49" t="s">
        <v>164</v>
      </c>
      <c r="F133" s="49" t="str">
        <f t="shared" si="50"/>
        <v>01/05/1990</v>
      </c>
      <c r="G133" s="50">
        <f t="shared" si="51"/>
        <v>35</v>
      </c>
      <c r="H133" s="50">
        <f t="shared" si="52"/>
        <v>1</v>
      </c>
      <c r="I133" s="50">
        <f t="shared" si="53"/>
        <v>19</v>
      </c>
      <c r="J133" s="59"/>
      <c r="K133" s="49" t="s">
        <v>136</v>
      </c>
      <c r="L133" s="49" t="str">
        <f>IF(B133="","",IF(K133="S1",K133,INDEX(#REF!,#REF!)))</f>
        <v/>
      </c>
      <c r="M133" s="49" t="b">
        <f t="shared" si="54"/>
        <v>0</v>
      </c>
      <c r="N133" s="64"/>
      <c r="O133" s="49" t="s">
        <v>427</v>
      </c>
      <c r="P133" s="49">
        <v>2575</v>
      </c>
      <c r="Q133" s="65" t="s">
        <v>291</v>
      </c>
      <c r="R133" s="49" t="str">
        <f t="shared" si="55"/>
        <v>01/11/2021</v>
      </c>
      <c r="S133" s="49" t="str">
        <f>IF(B133="","",IF(K133="S1",K133,INDEX(#REF!,#REF!)))</f>
        <v/>
      </c>
      <c r="T133" s="49" t="b">
        <f t="shared" si="56"/>
        <v>0</v>
      </c>
      <c r="U133" s="68">
        <f t="shared" si="57"/>
        <v>3</v>
      </c>
      <c r="V133" s="68">
        <f t="shared" si="58"/>
        <v>7</v>
      </c>
      <c r="W133" s="68">
        <f t="shared" si="59"/>
        <v>19</v>
      </c>
      <c r="X133" s="68"/>
      <c r="Y133" s="65"/>
      <c r="Z133" s="65"/>
      <c r="AA133" s="49" t="str">
        <f t="shared" si="60"/>
        <v/>
      </c>
      <c r="AB133" s="68">
        <f t="shared" si="61"/>
        <v>0</v>
      </c>
      <c r="AC133" s="68">
        <f t="shared" si="62"/>
        <v>0</v>
      </c>
      <c r="AD133" s="68">
        <f t="shared" si="63"/>
        <v>0</v>
      </c>
      <c r="AE133" s="49"/>
      <c r="AF133" s="65"/>
      <c r="AG133" s="50" t="str">
        <f t="shared" si="64"/>
        <v/>
      </c>
      <c r="AH133" s="68">
        <f t="shared" si="65"/>
        <v>0</v>
      </c>
      <c r="AI133" s="68">
        <f t="shared" si="66"/>
        <v>0</v>
      </c>
      <c r="AJ133" s="68">
        <f t="shared" si="67"/>
        <v>0</v>
      </c>
      <c r="AK133" s="50"/>
      <c r="AL133" s="50" t="s">
        <v>163</v>
      </c>
      <c r="AM133" s="50" t="str">
        <f>IF(B133="","",IF(K133="S1",K133,INDEX(#REF!,#REF!)))</f>
        <v/>
      </c>
      <c r="AN133" s="50" t="b">
        <f t="shared" si="68"/>
        <v>0</v>
      </c>
      <c r="AO133" s="49" t="str">
        <f t="shared" si="69"/>
        <v>K5-POLICY</v>
      </c>
      <c r="AP133" s="72" t="str">
        <f>_xlfn.IFS(B133="","",AND(AO133="K5-LAW",AL133="นิติศาสตร์",K133="S2",Y133="",AE133=""),R133,AND(AO133="K5-LAW",AL133="นิติศาสตร์",K133="S1",Y133="",AE133=""),EDATE(R133,12),AND(AO133="K5-LAW",AL133="นิติศาสตร์",OR(K133="M2",K133="K4"),Y133="",AE133=""),EDATE(R133,12*2),AND(AO133="K5-LAW",AL133="นิติศาสตร์",OR(AE133="M2",AE133="K4"),AH133&gt;=2,OR(AG133&lt;AA133,AG133&lt;R133)),EDATE(AG133,12*2),AND(AO133="K5-LAW",AL133="นิติศาสตร์",AE133="S1",AH133&gt;=1,OR(AG133&lt;AA133,AG133&lt;R133)),EDATE(AG133,12),AND(AO133="K5-LAW",AL133="นิติศาสตร์",OR(Y133="M2",Y133="K4"),AB133&gt;=2,AA133&lt;R133),EDATE(AA133,12*2),AND(AO133="K5-LAW",AL133="นิติศาสตร์",Y133="S1",AB133&gt;=1,AA133&lt;R133),EDATE(AA133,12),AND(AO133="K5-LAW",AL133="นิติศาสตร์",OR(Y133="S2",Y133="K5")),AA133,AND(AO133="K5-LAW",AL133="นิติศาสตร์",OR(K133="M2",K133="K4"),U133&gt;=2),EDATE(R133,12*2),AND(AO133="K5-LAW",AL133="นิติศาสตร์",K133="S1",U133&gt;=1),EDATE(R133,12),AND(AO133="K5-LAW",AL133="นิติศาสตร์",OR(K133="S2",K133="K5")),R133,AND(AO133="K5-POLICY",AL133&lt;&gt;"นิติศาสตร์",K133="S2",Y133="",AE133=""),R133,AND(AO133="K5-POLICY",AL133&lt;&gt;"นิติศาสตร์",K133="S1",Y133="",AE133=""),EDATE(R133,12),AND(AO133="K5-POLICY",AL133&lt;&gt;"นิติศาสตร์",OR(K133="M2",K133="K4"),Y133="",AE133=""),EDATE(R133,12*2),AND(AO133="K5-POLICY",AL133&lt;&gt;"นิติศาสตร์",OR(AE133="M2",AE133="K4"),AH133&gt;=2,OR(AG133&lt;AA133,AG133&lt;R133)),EDATE(AG133,12*2),AND(AO133="K5-POLICY",AL133&lt;&gt;"นิติศาสตร์",AE133="S1",AH133&gt;=1,OR(AG133&lt;AA133,AG133&lt;R133)),EDATE(AG133,12),AND(AO133="K5-POLICY",AL133&lt;&gt;"นิติศาสตร์",OR(Y133="M2",Y133="K4"),AB133&gt;=2,AA133&lt;R133),EDATE(AA133,12*2),AND(AO133="K5-POLICY",AL133&lt;&gt;"นิติศาสตร์",Y133="S1",AB133&gt;=1,AA133&lt;R133),EDATE(AA133,12),AND(AO133="K5-POLICY",AL133&lt;&gt;"นิติศาสตร์",OR(Y133="S2",Y133="K5")),AA133,AND(AO133="K5-POLICY",AL133&lt;&gt;"นิติศาสตร์",OR(K133="M2",K133="K4"),U133&gt;=2),EDATE(R133,12*2),AND(AO133="K5-POLICY",AL133&lt;&gt;"นิติศาสตร์",K133="S1",U133&gt;=1),EDATE(R133,12),AND(AO133="K5-POLICY",AL133&lt;&gt;"นิติศาสตร์",OR(K133="S2",K133="K5")),R133,TRUE,"Check Data")</f>
        <v/>
      </c>
      <c r="AQ133" s="75" t="str">
        <f t="shared" si="70"/>
        <v>Check Data</v>
      </c>
      <c r="AR133" s="76" t="str">
        <f t="shared" si="71"/>
        <v>Check Data</v>
      </c>
      <c r="AS133" s="50" t="str">
        <f t="shared" si="72"/>
        <v>Check Data</v>
      </c>
      <c r="AT133" s="49" t="str">
        <f>IF(B133="","",IF(K133="S1","S1",INDEX(#REF!,#REF!)))</f>
        <v/>
      </c>
      <c r="AU133" s="49" t="str">
        <f t="shared" si="73"/>
        <v>M2</v>
      </c>
      <c r="AV133" s="50" t="b">
        <f t="shared" si="74"/>
        <v>0</v>
      </c>
      <c r="AW133" s="50"/>
    </row>
    <row r="134" spans="1:49" ht="21.75">
      <c r="A134" s="49">
        <v>132</v>
      </c>
      <c r="B134" s="50"/>
      <c r="C134" s="50"/>
      <c r="D134" s="50" t="s">
        <v>143</v>
      </c>
      <c r="E134" s="49" t="s">
        <v>299</v>
      </c>
      <c r="F134" s="49" t="str">
        <f t="shared" si="50"/>
        <v>01/09/2000</v>
      </c>
      <c r="G134" s="50">
        <f t="shared" si="51"/>
        <v>24</v>
      </c>
      <c r="H134" s="50">
        <f t="shared" si="52"/>
        <v>9</v>
      </c>
      <c r="I134" s="50">
        <f t="shared" si="53"/>
        <v>19</v>
      </c>
      <c r="J134" s="59"/>
      <c r="K134" s="49" t="s">
        <v>136</v>
      </c>
      <c r="L134" s="49" t="str">
        <f>IF(B134="","",IF(K134="S1",K134,INDEX(#REF!,#REF!)))</f>
        <v/>
      </c>
      <c r="M134" s="49" t="b">
        <f t="shared" si="54"/>
        <v>0</v>
      </c>
      <c r="N134" s="64"/>
      <c r="O134" s="49" t="s">
        <v>427</v>
      </c>
      <c r="P134" s="49">
        <v>2575</v>
      </c>
      <c r="Q134" s="65" t="s">
        <v>291</v>
      </c>
      <c r="R134" s="49" t="str">
        <f t="shared" si="55"/>
        <v>01/11/2021</v>
      </c>
      <c r="S134" s="49" t="str">
        <f>IF(B134="","",IF(K134="S1",K134,INDEX(#REF!,#REF!)))</f>
        <v/>
      </c>
      <c r="T134" s="49" t="b">
        <f t="shared" si="56"/>
        <v>0</v>
      </c>
      <c r="U134" s="68">
        <f t="shared" si="57"/>
        <v>3</v>
      </c>
      <c r="V134" s="68">
        <f t="shared" si="58"/>
        <v>7</v>
      </c>
      <c r="W134" s="68">
        <f t="shared" si="59"/>
        <v>19</v>
      </c>
      <c r="X134" s="68"/>
      <c r="Y134" s="65"/>
      <c r="Z134" s="65"/>
      <c r="AA134" s="49" t="str">
        <f t="shared" si="60"/>
        <v/>
      </c>
      <c r="AB134" s="68">
        <f t="shared" si="61"/>
        <v>0</v>
      </c>
      <c r="AC134" s="68">
        <f t="shared" si="62"/>
        <v>0</v>
      </c>
      <c r="AD134" s="68">
        <f t="shared" si="63"/>
        <v>0</v>
      </c>
      <c r="AE134" s="49"/>
      <c r="AF134" s="65"/>
      <c r="AG134" s="50" t="str">
        <f t="shared" si="64"/>
        <v/>
      </c>
      <c r="AH134" s="68">
        <f t="shared" si="65"/>
        <v>0</v>
      </c>
      <c r="AI134" s="68">
        <f t="shared" si="66"/>
        <v>0</v>
      </c>
      <c r="AJ134" s="68">
        <f t="shared" si="67"/>
        <v>0</v>
      </c>
      <c r="AK134" s="50"/>
      <c r="AL134" s="50" t="s">
        <v>512</v>
      </c>
      <c r="AM134" s="50" t="str">
        <f>IF(B134="","",IF(K134="S1",K134,INDEX(#REF!,#REF!)))</f>
        <v/>
      </c>
      <c r="AN134" s="50" t="b">
        <f t="shared" si="68"/>
        <v>0</v>
      </c>
      <c r="AO134" s="49" t="str">
        <f t="shared" si="69"/>
        <v>K5-POLICY</v>
      </c>
      <c r="AP134" s="72" t="str">
        <f>_xlfn.IFS(B134="","",AND(AO134="K5-LAW",AL134="นิติศาสตร์",K134="S2",Y134="",AE134=""),R134,AND(AO134="K5-LAW",AL134="นิติศาสตร์",K134="S1",Y134="",AE134=""),EDATE(R134,12),AND(AO134="K5-LAW",AL134="นิติศาสตร์",OR(K134="M2",K134="K4"),Y134="",AE134=""),EDATE(R134,12*2),AND(AO134="K5-LAW",AL134="นิติศาสตร์",OR(AE134="M2",AE134="K4"),AH134&gt;=2,OR(AG134&lt;AA134,AG134&lt;R134)),EDATE(AG134,12*2),AND(AO134="K5-LAW",AL134="นิติศาสตร์",AE134="S1",AH134&gt;=1,OR(AG134&lt;AA134,AG134&lt;R134)),EDATE(AG134,12),AND(AO134="K5-LAW",AL134="นิติศาสตร์",OR(Y134="M2",Y134="K4"),AB134&gt;=2,AA134&lt;R134),EDATE(AA134,12*2),AND(AO134="K5-LAW",AL134="นิติศาสตร์",Y134="S1",AB134&gt;=1,AA134&lt;R134),EDATE(AA134,12),AND(AO134="K5-LAW",AL134="นิติศาสตร์",OR(Y134="S2",Y134="K5")),AA134,AND(AO134="K5-LAW",AL134="นิติศาสตร์",OR(K134="M2",K134="K4"),U134&gt;=2),EDATE(R134,12*2),AND(AO134="K5-LAW",AL134="นิติศาสตร์",K134="S1",U134&gt;=1),EDATE(R134,12),AND(AO134="K5-LAW",AL134="นิติศาสตร์",OR(K134="S2",K134="K5")),R134,AND(AO134="K5-POLICY",AL134&lt;&gt;"นิติศาสตร์",K134="S2",Y134="",AE134=""),R134,AND(AO134="K5-POLICY",AL134&lt;&gt;"นิติศาสตร์",K134="S1",Y134="",AE134=""),EDATE(R134,12),AND(AO134="K5-POLICY",AL134&lt;&gt;"นิติศาสตร์",OR(K134="M2",K134="K4"),Y134="",AE134=""),EDATE(R134,12*2),AND(AO134="K5-POLICY",AL134&lt;&gt;"นิติศาสตร์",OR(AE134="M2",AE134="K4"),AH134&gt;=2,OR(AG134&lt;AA134,AG134&lt;R134)),EDATE(AG134,12*2),AND(AO134="K5-POLICY",AL134&lt;&gt;"นิติศาสตร์",AE134="S1",AH134&gt;=1,OR(AG134&lt;AA134,AG134&lt;R134)),EDATE(AG134,12),AND(AO134="K5-POLICY",AL134&lt;&gt;"นิติศาสตร์",OR(Y134="M2",Y134="K4"),AB134&gt;=2,AA134&lt;R134),EDATE(AA134,12*2),AND(AO134="K5-POLICY",AL134&lt;&gt;"นิติศาสตร์",Y134="S1",AB134&gt;=1,AA134&lt;R134),EDATE(AA134,12),AND(AO134="K5-POLICY",AL134&lt;&gt;"นิติศาสตร์",OR(Y134="S2",Y134="K5")),AA134,AND(AO134="K5-POLICY",AL134&lt;&gt;"นิติศาสตร์",OR(K134="M2",K134="K4"),U134&gt;=2),EDATE(R134,12*2),AND(AO134="K5-POLICY",AL134&lt;&gt;"นิติศาสตร์",K134="S1",U134&gt;=1),EDATE(R134,12),AND(AO134="K5-POLICY",AL134&lt;&gt;"นิติศาสตร์",OR(K134="S2",K134="K5")),R134,TRUE,"Check Data")</f>
        <v/>
      </c>
      <c r="AQ134" s="75" t="str">
        <f t="shared" si="70"/>
        <v>Check Data</v>
      </c>
      <c r="AR134" s="76" t="str">
        <f t="shared" si="71"/>
        <v>Check Data</v>
      </c>
      <c r="AS134" s="50" t="str">
        <f t="shared" si="72"/>
        <v>Check Data</v>
      </c>
      <c r="AT134" s="49" t="str">
        <f>IF(B134="","",IF(K134="S1","S1",INDEX(#REF!,#REF!)))</f>
        <v/>
      </c>
      <c r="AU134" s="49" t="str">
        <f t="shared" si="73"/>
        <v>M2</v>
      </c>
      <c r="AV134" s="50" t="b">
        <f t="shared" si="74"/>
        <v>0</v>
      </c>
      <c r="AW134" s="50"/>
    </row>
    <row r="135" spans="1:49" ht="21.75">
      <c r="A135" s="49">
        <v>133</v>
      </c>
      <c r="B135" s="50"/>
      <c r="C135" s="50"/>
      <c r="D135" s="50" t="s">
        <v>143</v>
      </c>
      <c r="E135" s="49" t="s">
        <v>292</v>
      </c>
      <c r="F135" s="49" t="str">
        <f t="shared" si="50"/>
        <v>01/09/1998</v>
      </c>
      <c r="G135" s="50">
        <f t="shared" si="51"/>
        <v>26</v>
      </c>
      <c r="H135" s="50">
        <f t="shared" si="52"/>
        <v>9</v>
      </c>
      <c r="I135" s="50">
        <f t="shared" si="53"/>
        <v>19</v>
      </c>
      <c r="J135" s="59"/>
      <c r="K135" s="49" t="s">
        <v>136</v>
      </c>
      <c r="L135" s="49" t="str">
        <f>IF(B135="","",IF(K135="S1",K135,INDEX(#REF!,#REF!)))</f>
        <v/>
      </c>
      <c r="M135" s="49" t="b">
        <f t="shared" si="54"/>
        <v>0</v>
      </c>
      <c r="N135" s="64"/>
      <c r="O135" s="49" t="s">
        <v>427</v>
      </c>
      <c r="P135" s="49">
        <v>2578</v>
      </c>
      <c r="Q135" s="65" t="s">
        <v>291</v>
      </c>
      <c r="R135" s="49" t="str">
        <f t="shared" si="55"/>
        <v>01/11/2021</v>
      </c>
      <c r="S135" s="49" t="str">
        <f>IF(B135="","",IF(K135="S1",K135,INDEX(#REF!,#REF!)))</f>
        <v/>
      </c>
      <c r="T135" s="49" t="b">
        <f t="shared" si="56"/>
        <v>0</v>
      </c>
      <c r="U135" s="68">
        <f t="shared" si="57"/>
        <v>3</v>
      </c>
      <c r="V135" s="68">
        <f t="shared" si="58"/>
        <v>7</v>
      </c>
      <c r="W135" s="68">
        <f t="shared" si="59"/>
        <v>19</v>
      </c>
      <c r="X135" s="68"/>
      <c r="Y135" s="65"/>
      <c r="Z135" s="65"/>
      <c r="AA135" s="49" t="str">
        <f t="shared" si="60"/>
        <v/>
      </c>
      <c r="AB135" s="68">
        <f t="shared" si="61"/>
        <v>0</v>
      </c>
      <c r="AC135" s="68">
        <f t="shared" si="62"/>
        <v>0</v>
      </c>
      <c r="AD135" s="68">
        <f t="shared" si="63"/>
        <v>0</v>
      </c>
      <c r="AE135" s="49"/>
      <c r="AF135" s="65"/>
      <c r="AG135" s="50" t="str">
        <f t="shared" si="64"/>
        <v/>
      </c>
      <c r="AH135" s="68">
        <f t="shared" si="65"/>
        <v>0</v>
      </c>
      <c r="AI135" s="68">
        <f t="shared" si="66"/>
        <v>0</v>
      </c>
      <c r="AJ135" s="68">
        <f t="shared" si="67"/>
        <v>0</v>
      </c>
      <c r="AK135" s="50"/>
      <c r="AL135" s="50" t="s">
        <v>516</v>
      </c>
      <c r="AM135" s="50" t="str">
        <f>IF(B135="","",IF(K135="S1",K135,INDEX(#REF!,#REF!)))</f>
        <v/>
      </c>
      <c r="AN135" s="50" t="b">
        <f t="shared" si="68"/>
        <v>0</v>
      </c>
      <c r="AO135" s="49" t="str">
        <f t="shared" si="69"/>
        <v>K5-POLICY</v>
      </c>
      <c r="AP135" s="72" t="str">
        <f>_xlfn.IFS(B135="","",AND(AO135="K5-LAW",AL135="นิติศาสตร์",K135="S2",Y135="",AE135=""),R135,AND(AO135="K5-LAW",AL135="นิติศาสตร์",K135="S1",Y135="",AE135=""),EDATE(R135,12),AND(AO135="K5-LAW",AL135="นิติศาสตร์",OR(K135="M2",K135="K4"),Y135="",AE135=""),EDATE(R135,12*2),AND(AO135="K5-LAW",AL135="นิติศาสตร์",OR(AE135="M2",AE135="K4"),AH135&gt;=2,OR(AG135&lt;AA135,AG135&lt;R135)),EDATE(AG135,12*2),AND(AO135="K5-LAW",AL135="นิติศาสตร์",AE135="S1",AH135&gt;=1,OR(AG135&lt;AA135,AG135&lt;R135)),EDATE(AG135,12),AND(AO135="K5-LAW",AL135="นิติศาสตร์",OR(Y135="M2",Y135="K4"),AB135&gt;=2,AA135&lt;R135),EDATE(AA135,12*2),AND(AO135="K5-LAW",AL135="นิติศาสตร์",Y135="S1",AB135&gt;=1,AA135&lt;R135),EDATE(AA135,12),AND(AO135="K5-LAW",AL135="นิติศาสตร์",OR(Y135="S2",Y135="K5")),AA135,AND(AO135="K5-LAW",AL135="นิติศาสตร์",OR(K135="M2",K135="K4"),U135&gt;=2),EDATE(R135,12*2),AND(AO135="K5-LAW",AL135="นิติศาสตร์",K135="S1",U135&gt;=1),EDATE(R135,12),AND(AO135="K5-LAW",AL135="นิติศาสตร์",OR(K135="S2",K135="K5")),R135,AND(AO135="K5-POLICY",AL135&lt;&gt;"นิติศาสตร์",K135="S2",Y135="",AE135=""),R135,AND(AO135="K5-POLICY",AL135&lt;&gt;"นิติศาสตร์",K135="S1",Y135="",AE135=""),EDATE(R135,12),AND(AO135="K5-POLICY",AL135&lt;&gt;"นิติศาสตร์",OR(K135="M2",K135="K4"),Y135="",AE135=""),EDATE(R135,12*2),AND(AO135="K5-POLICY",AL135&lt;&gt;"นิติศาสตร์",OR(AE135="M2",AE135="K4"),AH135&gt;=2,OR(AG135&lt;AA135,AG135&lt;R135)),EDATE(AG135,12*2),AND(AO135="K5-POLICY",AL135&lt;&gt;"นิติศาสตร์",AE135="S1",AH135&gt;=1,OR(AG135&lt;AA135,AG135&lt;R135)),EDATE(AG135,12),AND(AO135="K5-POLICY",AL135&lt;&gt;"นิติศาสตร์",OR(Y135="M2",Y135="K4"),AB135&gt;=2,AA135&lt;R135),EDATE(AA135,12*2),AND(AO135="K5-POLICY",AL135&lt;&gt;"นิติศาสตร์",Y135="S1",AB135&gt;=1,AA135&lt;R135),EDATE(AA135,12),AND(AO135="K5-POLICY",AL135&lt;&gt;"นิติศาสตร์",OR(Y135="S2",Y135="K5")),AA135,AND(AO135="K5-POLICY",AL135&lt;&gt;"นิติศาสตร์",OR(K135="M2",K135="K4"),U135&gt;=2),EDATE(R135,12*2),AND(AO135="K5-POLICY",AL135&lt;&gt;"นิติศาสตร์",K135="S1",U135&gt;=1),EDATE(R135,12),AND(AO135="K5-POLICY",AL135&lt;&gt;"นิติศาสตร์",OR(K135="S2",K135="K5")),R135,TRUE,"Check Data")</f>
        <v/>
      </c>
      <c r="AQ135" s="75" t="str">
        <f t="shared" si="70"/>
        <v>Check Data</v>
      </c>
      <c r="AR135" s="76" t="str">
        <f t="shared" si="71"/>
        <v>Check Data</v>
      </c>
      <c r="AS135" s="50" t="str">
        <f t="shared" si="72"/>
        <v>Check Data</v>
      </c>
      <c r="AT135" s="49" t="str">
        <f>IF(B135="","",IF(K135="S1","S1",INDEX(#REF!,#REF!)))</f>
        <v/>
      </c>
      <c r="AU135" s="49" t="str">
        <f t="shared" si="73"/>
        <v>M2</v>
      </c>
      <c r="AV135" s="50" t="b">
        <f t="shared" si="74"/>
        <v>0</v>
      </c>
      <c r="AW135" s="50"/>
    </row>
    <row r="136" spans="1:49" ht="21.75">
      <c r="A136" s="49">
        <v>134</v>
      </c>
      <c r="B136" s="50"/>
      <c r="C136" s="50"/>
      <c r="D136" s="50" t="s">
        <v>143</v>
      </c>
      <c r="E136" s="49" t="s">
        <v>330</v>
      </c>
      <c r="F136" s="49" t="str">
        <f t="shared" si="50"/>
        <v>15/06/1988</v>
      </c>
      <c r="G136" s="50">
        <f t="shared" si="51"/>
        <v>37</v>
      </c>
      <c r="H136" s="50">
        <f t="shared" si="52"/>
        <v>0</v>
      </c>
      <c r="I136" s="50">
        <f t="shared" si="53"/>
        <v>5</v>
      </c>
      <c r="J136" s="59"/>
      <c r="K136" s="49" t="s">
        <v>136</v>
      </c>
      <c r="L136" s="49" t="str">
        <f>IF(B136="","",IF(K136="S1",K136,INDEX(#REF!,#REF!)))</f>
        <v/>
      </c>
      <c r="M136" s="49" t="b">
        <f t="shared" si="54"/>
        <v>0</v>
      </c>
      <c r="N136" s="64"/>
      <c r="O136" s="49" t="s">
        <v>427</v>
      </c>
      <c r="P136" s="49">
        <v>2571</v>
      </c>
      <c r="Q136" s="65" t="s">
        <v>291</v>
      </c>
      <c r="R136" s="49" t="str">
        <f t="shared" si="55"/>
        <v>01/11/2021</v>
      </c>
      <c r="S136" s="49" t="str">
        <f>IF(B136="","",IF(K136="S1",K136,INDEX(#REF!,#REF!)))</f>
        <v/>
      </c>
      <c r="T136" s="49" t="b">
        <f t="shared" si="56"/>
        <v>0</v>
      </c>
      <c r="U136" s="68">
        <f t="shared" si="57"/>
        <v>3</v>
      </c>
      <c r="V136" s="68">
        <f t="shared" si="58"/>
        <v>7</v>
      </c>
      <c r="W136" s="68">
        <f t="shared" si="59"/>
        <v>19</v>
      </c>
      <c r="X136" s="68"/>
      <c r="Y136" s="65"/>
      <c r="Z136" s="65"/>
      <c r="AA136" s="49" t="str">
        <f t="shared" si="60"/>
        <v/>
      </c>
      <c r="AB136" s="68">
        <f t="shared" si="61"/>
        <v>0</v>
      </c>
      <c r="AC136" s="68">
        <f t="shared" si="62"/>
        <v>0</v>
      </c>
      <c r="AD136" s="68">
        <f t="shared" si="63"/>
        <v>0</v>
      </c>
      <c r="AE136" s="49"/>
      <c r="AF136" s="65"/>
      <c r="AG136" s="50" t="str">
        <f t="shared" si="64"/>
        <v/>
      </c>
      <c r="AH136" s="68">
        <f t="shared" si="65"/>
        <v>0</v>
      </c>
      <c r="AI136" s="68">
        <f t="shared" si="66"/>
        <v>0</v>
      </c>
      <c r="AJ136" s="68">
        <f t="shared" si="67"/>
        <v>0</v>
      </c>
      <c r="AK136" s="50"/>
      <c r="AL136" s="50" t="s">
        <v>138</v>
      </c>
      <c r="AM136" s="50" t="str">
        <f>IF(B136="","",IF(K136="S1",K136,INDEX(#REF!,#REF!)))</f>
        <v/>
      </c>
      <c r="AN136" s="50" t="b">
        <f t="shared" si="68"/>
        <v>0</v>
      </c>
      <c r="AO136" s="49" t="str">
        <f t="shared" si="69"/>
        <v>K5-LAW</v>
      </c>
      <c r="AP136" s="72" t="str">
        <f>_xlfn.IFS(B136="","",AND(AO136="K5-LAW",AL136="นิติศาสตร์",K136="S2",Y136="",AE136=""),R136,AND(AO136="K5-LAW",AL136="นิติศาสตร์",K136="S1",Y136="",AE136=""),EDATE(R136,12),AND(AO136="K5-LAW",AL136="นิติศาสตร์",OR(K136="M2",K136="K4"),Y136="",AE136=""),EDATE(R136,12*2),AND(AO136="K5-LAW",AL136="นิติศาสตร์",OR(AE136="M2",AE136="K4"),AH136&gt;=2,OR(AG136&lt;AA136,AG136&lt;R136)),EDATE(AG136,12*2),AND(AO136="K5-LAW",AL136="นิติศาสตร์",AE136="S1",AH136&gt;=1,OR(AG136&lt;AA136,AG136&lt;R136)),EDATE(AG136,12),AND(AO136="K5-LAW",AL136="นิติศาสตร์",OR(Y136="M2",Y136="K4"),AB136&gt;=2,AA136&lt;R136),EDATE(AA136,12*2),AND(AO136="K5-LAW",AL136="นิติศาสตร์",Y136="S1",AB136&gt;=1,AA136&lt;R136),EDATE(AA136,12),AND(AO136="K5-LAW",AL136="นิติศาสตร์",OR(Y136="S2",Y136="K5")),AA136,AND(AO136="K5-LAW",AL136="นิติศาสตร์",OR(K136="M2",K136="K4"),U136&gt;=2),EDATE(R136,12*2),AND(AO136="K5-LAW",AL136="นิติศาสตร์",K136="S1",U136&gt;=1),EDATE(R136,12),AND(AO136="K5-LAW",AL136="นิติศาสตร์",OR(K136="S2",K136="K5")),R136,AND(AO136="K5-POLICY",AL136&lt;&gt;"นิติศาสตร์",K136="S2",Y136="",AE136=""),R136,AND(AO136="K5-POLICY",AL136&lt;&gt;"นิติศาสตร์",K136="S1",Y136="",AE136=""),EDATE(R136,12),AND(AO136="K5-POLICY",AL136&lt;&gt;"นิติศาสตร์",OR(K136="M2",K136="K4"),Y136="",AE136=""),EDATE(R136,12*2),AND(AO136="K5-POLICY",AL136&lt;&gt;"นิติศาสตร์",OR(AE136="M2",AE136="K4"),AH136&gt;=2,OR(AG136&lt;AA136,AG136&lt;R136)),EDATE(AG136,12*2),AND(AO136="K5-POLICY",AL136&lt;&gt;"นิติศาสตร์",AE136="S1",AH136&gt;=1,OR(AG136&lt;AA136,AG136&lt;R136)),EDATE(AG136,12),AND(AO136="K5-POLICY",AL136&lt;&gt;"นิติศาสตร์",OR(Y136="M2",Y136="K4"),AB136&gt;=2,AA136&lt;R136),EDATE(AA136,12*2),AND(AO136="K5-POLICY",AL136&lt;&gt;"นิติศาสตร์",Y136="S1",AB136&gt;=1,AA136&lt;R136),EDATE(AA136,12),AND(AO136="K5-POLICY",AL136&lt;&gt;"นิติศาสตร์",OR(Y136="S2",Y136="K5")),AA136,AND(AO136="K5-POLICY",AL136&lt;&gt;"นิติศาสตร์",OR(K136="M2",K136="K4"),U136&gt;=2),EDATE(R136,12*2),AND(AO136="K5-POLICY",AL136&lt;&gt;"นิติศาสตร์",K136="S1",U136&gt;=1),EDATE(R136,12),AND(AO136="K5-POLICY",AL136&lt;&gt;"นิติศาสตร์",OR(K136="S2",K136="K5")),R136,TRUE,"Check Data")</f>
        <v/>
      </c>
      <c r="AQ136" s="75" t="str">
        <f t="shared" si="70"/>
        <v>Check Data</v>
      </c>
      <c r="AR136" s="76" t="str">
        <f t="shared" si="71"/>
        <v>Check Data</v>
      </c>
      <c r="AS136" s="50" t="str">
        <f t="shared" si="72"/>
        <v>Check Data</v>
      </c>
      <c r="AT136" s="49" t="str">
        <f>IF(B136="","",IF(K136="S1","S1",INDEX(#REF!,#REF!)))</f>
        <v/>
      </c>
      <c r="AU136" s="49" t="str">
        <f t="shared" si="73"/>
        <v>M2</v>
      </c>
      <c r="AV136" s="50" t="b">
        <f t="shared" si="74"/>
        <v>0</v>
      </c>
      <c r="AW136" s="50"/>
    </row>
    <row r="137" spans="1:49" ht="21.75">
      <c r="A137" s="49">
        <v>135</v>
      </c>
      <c r="B137" s="50"/>
      <c r="C137" s="50"/>
      <c r="D137" s="50" t="s">
        <v>143</v>
      </c>
      <c r="E137" s="49" t="s">
        <v>351</v>
      </c>
      <c r="F137" s="49" t="str">
        <f t="shared" si="50"/>
        <v>15/01/1998</v>
      </c>
      <c r="G137" s="50">
        <f t="shared" si="51"/>
        <v>27</v>
      </c>
      <c r="H137" s="50">
        <f t="shared" si="52"/>
        <v>5</v>
      </c>
      <c r="I137" s="50">
        <f t="shared" si="53"/>
        <v>5</v>
      </c>
      <c r="J137" s="59"/>
      <c r="K137" s="49" t="s">
        <v>136</v>
      </c>
      <c r="L137" s="49" t="str">
        <f>IF(B137="","",IF(K137="S1",K137,INDEX(#REF!,#REF!)))</f>
        <v/>
      </c>
      <c r="M137" s="49" t="b">
        <f t="shared" si="54"/>
        <v>0</v>
      </c>
      <c r="N137" s="64"/>
      <c r="O137" s="49" t="s">
        <v>427</v>
      </c>
      <c r="P137" s="49">
        <v>2576</v>
      </c>
      <c r="Q137" s="65" t="s">
        <v>291</v>
      </c>
      <c r="R137" s="49" t="str">
        <f t="shared" si="55"/>
        <v>01/11/2021</v>
      </c>
      <c r="S137" s="49" t="str">
        <f>IF(B137="","",IF(K137="S1",K137,INDEX(#REF!,#REF!)))</f>
        <v/>
      </c>
      <c r="T137" s="49" t="b">
        <f t="shared" si="56"/>
        <v>0</v>
      </c>
      <c r="U137" s="68">
        <f t="shared" si="57"/>
        <v>3</v>
      </c>
      <c r="V137" s="68">
        <f t="shared" si="58"/>
        <v>7</v>
      </c>
      <c r="W137" s="68">
        <f t="shared" si="59"/>
        <v>19</v>
      </c>
      <c r="X137" s="68"/>
      <c r="Y137" s="65"/>
      <c r="Z137" s="65"/>
      <c r="AA137" s="49" t="str">
        <f t="shared" si="60"/>
        <v/>
      </c>
      <c r="AB137" s="68">
        <f t="shared" si="61"/>
        <v>0</v>
      </c>
      <c r="AC137" s="68">
        <f t="shared" si="62"/>
        <v>0</v>
      </c>
      <c r="AD137" s="68">
        <f t="shared" si="63"/>
        <v>0</v>
      </c>
      <c r="AE137" s="49"/>
      <c r="AF137" s="65"/>
      <c r="AG137" s="50" t="str">
        <f t="shared" si="64"/>
        <v/>
      </c>
      <c r="AH137" s="68">
        <f t="shared" si="65"/>
        <v>0</v>
      </c>
      <c r="AI137" s="68">
        <f t="shared" si="66"/>
        <v>0</v>
      </c>
      <c r="AJ137" s="68">
        <f t="shared" si="67"/>
        <v>0</v>
      </c>
      <c r="AK137" s="50"/>
      <c r="AL137" s="50" t="s">
        <v>482</v>
      </c>
      <c r="AM137" s="50" t="str">
        <f>IF(B137="","",IF(K137="S1",K137,INDEX(#REF!,#REF!)))</f>
        <v/>
      </c>
      <c r="AN137" s="50" t="b">
        <f t="shared" si="68"/>
        <v>0</v>
      </c>
      <c r="AO137" s="49" t="str">
        <f t="shared" si="69"/>
        <v>K5-POLICY</v>
      </c>
      <c r="AP137" s="72" t="str">
        <f>_xlfn.IFS(B137="","",AND(AO137="K5-LAW",AL137="นิติศาสตร์",K137="S2",Y137="",AE137=""),R137,AND(AO137="K5-LAW",AL137="นิติศาสตร์",K137="S1",Y137="",AE137=""),EDATE(R137,12),AND(AO137="K5-LAW",AL137="นิติศาสตร์",OR(K137="M2",K137="K4"),Y137="",AE137=""),EDATE(R137,12*2),AND(AO137="K5-LAW",AL137="นิติศาสตร์",OR(AE137="M2",AE137="K4"),AH137&gt;=2,OR(AG137&lt;AA137,AG137&lt;R137)),EDATE(AG137,12*2),AND(AO137="K5-LAW",AL137="นิติศาสตร์",AE137="S1",AH137&gt;=1,OR(AG137&lt;AA137,AG137&lt;R137)),EDATE(AG137,12),AND(AO137="K5-LAW",AL137="นิติศาสตร์",OR(Y137="M2",Y137="K4"),AB137&gt;=2,AA137&lt;R137),EDATE(AA137,12*2),AND(AO137="K5-LAW",AL137="นิติศาสตร์",Y137="S1",AB137&gt;=1,AA137&lt;R137),EDATE(AA137,12),AND(AO137="K5-LAW",AL137="นิติศาสตร์",OR(Y137="S2",Y137="K5")),AA137,AND(AO137="K5-LAW",AL137="นิติศาสตร์",OR(K137="M2",K137="K4"),U137&gt;=2),EDATE(R137,12*2),AND(AO137="K5-LAW",AL137="นิติศาสตร์",K137="S1",U137&gt;=1),EDATE(R137,12),AND(AO137="K5-LAW",AL137="นิติศาสตร์",OR(K137="S2",K137="K5")),R137,AND(AO137="K5-POLICY",AL137&lt;&gt;"นิติศาสตร์",K137="S2",Y137="",AE137=""),R137,AND(AO137="K5-POLICY",AL137&lt;&gt;"นิติศาสตร์",K137="S1",Y137="",AE137=""),EDATE(R137,12),AND(AO137="K5-POLICY",AL137&lt;&gt;"นิติศาสตร์",OR(K137="M2",K137="K4"),Y137="",AE137=""),EDATE(R137,12*2),AND(AO137="K5-POLICY",AL137&lt;&gt;"นิติศาสตร์",OR(AE137="M2",AE137="K4"),AH137&gt;=2,OR(AG137&lt;AA137,AG137&lt;R137)),EDATE(AG137,12*2),AND(AO137="K5-POLICY",AL137&lt;&gt;"นิติศาสตร์",AE137="S1",AH137&gt;=1,OR(AG137&lt;AA137,AG137&lt;R137)),EDATE(AG137,12),AND(AO137="K5-POLICY",AL137&lt;&gt;"นิติศาสตร์",OR(Y137="M2",Y137="K4"),AB137&gt;=2,AA137&lt;R137),EDATE(AA137,12*2),AND(AO137="K5-POLICY",AL137&lt;&gt;"นิติศาสตร์",Y137="S1",AB137&gt;=1,AA137&lt;R137),EDATE(AA137,12),AND(AO137="K5-POLICY",AL137&lt;&gt;"นิติศาสตร์",OR(Y137="S2",Y137="K5")),AA137,AND(AO137="K5-POLICY",AL137&lt;&gt;"นิติศาสตร์",OR(K137="M2",K137="K4"),U137&gt;=2),EDATE(R137,12*2),AND(AO137="K5-POLICY",AL137&lt;&gt;"นิติศาสตร์",K137="S1",U137&gt;=1),EDATE(R137,12),AND(AO137="K5-POLICY",AL137&lt;&gt;"นิติศาสตร์",OR(K137="S2",K137="K5")),R137,TRUE,"Check Data")</f>
        <v/>
      </c>
      <c r="AQ137" s="75" t="str">
        <f t="shared" si="70"/>
        <v>Check Data</v>
      </c>
      <c r="AR137" s="76" t="str">
        <f t="shared" si="71"/>
        <v>Check Data</v>
      </c>
      <c r="AS137" s="50" t="str">
        <f t="shared" si="72"/>
        <v>Check Data</v>
      </c>
      <c r="AT137" s="49" t="str">
        <f>IF(B137="","",IF(K137="S1","S1",INDEX(#REF!,#REF!)))</f>
        <v/>
      </c>
      <c r="AU137" s="49" t="str">
        <f t="shared" si="73"/>
        <v>M2</v>
      </c>
      <c r="AV137" s="50" t="b">
        <f t="shared" si="74"/>
        <v>0</v>
      </c>
      <c r="AW137" s="50"/>
    </row>
    <row r="138" spans="1:49" ht="21.75">
      <c r="A138" s="49">
        <v>136</v>
      </c>
      <c r="B138" s="50"/>
      <c r="C138" s="50"/>
      <c r="D138" s="50" t="s">
        <v>143</v>
      </c>
      <c r="E138" s="49" t="s">
        <v>293</v>
      </c>
      <c r="F138" s="49" t="str">
        <f t="shared" si="50"/>
        <v>01/11/2000</v>
      </c>
      <c r="G138" s="50">
        <f t="shared" si="51"/>
        <v>24</v>
      </c>
      <c r="H138" s="50">
        <f t="shared" si="52"/>
        <v>7</v>
      </c>
      <c r="I138" s="50">
        <f t="shared" si="53"/>
        <v>19</v>
      </c>
      <c r="J138" s="59"/>
      <c r="K138" s="49" t="s">
        <v>136</v>
      </c>
      <c r="L138" s="49" t="str">
        <f>IF(B138="","",IF(K138="S1",K138,INDEX(#REF!,#REF!)))</f>
        <v/>
      </c>
      <c r="M138" s="49" t="b">
        <f t="shared" si="54"/>
        <v>0</v>
      </c>
      <c r="N138" s="64"/>
      <c r="O138" s="49" t="s">
        <v>426</v>
      </c>
      <c r="P138" s="49">
        <v>2581</v>
      </c>
      <c r="Q138" s="65" t="s">
        <v>291</v>
      </c>
      <c r="R138" s="49" t="str">
        <f t="shared" si="55"/>
        <v>01/11/2021</v>
      </c>
      <c r="S138" s="49" t="str">
        <f>IF(B138="","",IF(K138="S1",K138,INDEX(#REF!,#REF!)))</f>
        <v/>
      </c>
      <c r="T138" s="49" t="b">
        <f t="shared" si="56"/>
        <v>0</v>
      </c>
      <c r="U138" s="68">
        <f t="shared" si="57"/>
        <v>3</v>
      </c>
      <c r="V138" s="68">
        <f t="shared" si="58"/>
        <v>7</v>
      </c>
      <c r="W138" s="68">
        <f t="shared" si="59"/>
        <v>19</v>
      </c>
      <c r="X138" s="68"/>
      <c r="Y138" s="65"/>
      <c r="Z138" s="65"/>
      <c r="AA138" s="49" t="str">
        <f t="shared" si="60"/>
        <v/>
      </c>
      <c r="AB138" s="68">
        <f t="shared" si="61"/>
        <v>0</v>
      </c>
      <c r="AC138" s="68">
        <f t="shared" si="62"/>
        <v>0</v>
      </c>
      <c r="AD138" s="68">
        <f t="shared" si="63"/>
        <v>0</v>
      </c>
      <c r="AE138" s="49"/>
      <c r="AF138" s="65"/>
      <c r="AG138" s="50" t="str">
        <f t="shared" si="64"/>
        <v/>
      </c>
      <c r="AH138" s="68">
        <f t="shared" si="65"/>
        <v>0</v>
      </c>
      <c r="AI138" s="68">
        <f t="shared" si="66"/>
        <v>0</v>
      </c>
      <c r="AJ138" s="68">
        <f t="shared" si="67"/>
        <v>0</v>
      </c>
      <c r="AK138" s="50"/>
      <c r="AL138" s="50" t="s">
        <v>518</v>
      </c>
      <c r="AM138" s="50" t="str">
        <f>IF(B138="","",IF(K138="S1",K138,INDEX(#REF!,#REF!)))</f>
        <v/>
      </c>
      <c r="AN138" s="50" t="b">
        <f t="shared" si="68"/>
        <v>0</v>
      </c>
      <c r="AO138" s="49" t="str">
        <f t="shared" si="69"/>
        <v>K5-POLICY</v>
      </c>
      <c r="AP138" s="72" t="str">
        <f>_xlfn.IFS(B138="","",AND(AO138="K5-LAW",AL138="นิติศาสตร์",K138="S2",Y138="",AE138=""),R138,AND(AO138="K5-LAW",AL138="นิติศาสตร์",K138="S1",Y138="",AE138=""),EDATE(R138,12),AND(AO138="K5-LAW",AL138="นิติศาสตร์",OR(K138="M2",K138="K4"),Y138="",AE138=""),EDATE(R138,12*2),AND(AO138="K5-LAW",AL138="นิติศาสตร์",OR(AE138="M2",AE138="K4"),AH138&gt;=2,OR(AG138&lt;AA138,AG138&lt;R138)),EDATE(AG138,12*2),AND(AO138="K5-LAW",AL138="นิติศาสตร์",AE138="S1",AH138&gt;=1,OR(AG138&lt;AA138,AG138&lt;R138)),EDATE(AG138,12),AND(AO138="K5-LAW",AL138="นิติศาสตร์",OR(Y138="M2",Y138="K4"),AB138&gt;=2,AA138&lt;R138),EDATE(AA138,12*2),AND(AO138="K5-LAW",AL138="นิติศาสตร์",Y138="S1",AB138&gt;=1,AA138&lt;R138),EDATE(AA138,12),AND(AO138="K5-LAW",AL138="นิติศาสตร์",OR(Y138="S2",Y138="K5")),AA138,AND(AO138="K5-LAW",AL138="นิติศาสตร์",OR(K138="M2",K138="K4"),U138&gt;=2),EDATE(R138,12*2),AND(AO138="K5-LAW",AL138="นิติศาสตร์",K138="S1",U138&gt;=1),EDATE(R138,12),AND(AO138="K5-LAW",AL138="นิติศาสตร์",OR(K138="S2",K138="K5")),R138,AND(AO138="K5-POLICY",AL138&lt;&gt;"นิติศาสตร์",K138="S2",Y138="",AE138=""),R138,AND(AO138="K5-POLICY",AL138&lt;&gt;"นิติศาสตร์",K138="S1",Y138="",AE138=""),EDATE(R138,12),AND(AO138="K5-POLICY",AL138&lt;&gt;"นิติศาสตร์",OR(K138="M2",K138="K4"),Y138="",AE138=""),EDATE(R138,12*2),AND(AO138="K5-POLICY",AL138&lt;&gt;"นิติศาสตร์",OR(AE138="M2",AE138="K4"),AH138&gt;=2,OR(AG138&lt;AA138,AG138&lt;R138)),EDATE(AG138,12*2),AND(AO138="K5-POLICY",AL138&lt;&gt;"นิติศาสตร์",AE138="S1",AH138&gt;=1,OR(AG138&lt;AA138,AG138&lt;R138)),EDATE(AG138,12),AND(AO138="K5-POLICY",AL138&lt;&gt;"นิติศาสตร์",OR(Y138="M2",Y138="K4"),AB138&gt;=2,AA138&lt;R138),EDATE(AA138,12*2),AND(AO138="K5-POLICY",AL138&lt;&gt;"นิติศาสตร์",Y138="S1",AB138&gt;=1,AA138&lt;R138),EDATE(AA138,12),AND(AO138="K5-POLICY",AL138&lt;&gt;"นิติศาสตร์",OR(Y138="S2",Y138="K5")),AA138,AND(AO138="K5-POLICY",AL138&lt;&gt;"นิติศาสตร์",OR(K138="M2",K138="K4"),U138&gt;=2),EDATE(R138,12*2),AND(AO138="K5-POLICY",AL138&lt;&gt;"นิติศาสตร์",K138="S1",U138&gt;=1),EDATE(R138,12),AND(AO138="K5-POLICY",AL138&lt;&gt;"นิติศาสตร์",OR(K138="S2",K138="K5")),R138,TRUE,"Check Data")</f>
        <v/>
      </c>
      <c r="AQ138" s="75" t="str">
        <f t="shared" si="70"/>
        <v>Check Data</v>
      </c>
      <c r="AR138" s="76" t="str">
        <f t="shared" si="71"/>
        <v>Check Data</v>
      </c>
      <c r="AS138" s="50" t="str">
        <f t="shared" si="72"/>
        <v>Check Data</v>
      </c>
      <c r="AT138" s="49" t="str">
        <f>IF(B138="","",IF(K138="S1","S1",INDEX(#REF!,#REF!)))</f>
        <v/>
      </c>
      <c r="AU138" s="49" t="str">
        <f t="shared" si="73"/>
        <v>M2</v>
      </c>
      <c r="AV138" s="50" t="b">
        <f t="shared" si="74"/>
        <v>0</v>
      </c>
      <c r="AW138" s="50"/>
    </row>
    <row r="139" spans="1:49" ht="21.75">
      <c r="A139" s="49">
        <v>137</v>
      </c>
      <c r="B139" s="50"/>
      <c r="C139" s="50"/>
      <c r="D139" s="50" t="s">
        <v>143</v>
      </c>
      <c r="E139" s="49" t="s">
        <v>303</v>
      </c>
      <c r="F139" s="49" t="str">
        <f t="shared" si="50"/>
        <v>15/07/2005</v>
      </c>
      <c r="G139" s="50">
        <f t="shared" si="51"/>
        <v>19</v>
      </c>
      <c r="H139" s="50">
        <f t="shared" si="52"/>
        <v>11</v>
      </c>
      <c r="I139" s="50">
        <f t="shared" si="53"/>
        <v>5</v>
      </c>
      <c r="J139" s="59"/>
      <c r="K139" s="49" t="s">
        <v>136</v>
      </c>
      <c r="L139" s="49" t="str">
        <f>IF(B139="","",IF(K139="S1",K139,INDEX(#REF!,#REF!)))</f>
        <v/>
      </c>
      <c r="M139" s="49" t="b">
        <f t="shared" si="54"/>
        <v>0</v>
      </c>
      <c r="N139" s="64"/>
      <c r="O139" s="49" t="s">
        <v>427</v>
      </c>
      <c r="P139" s="49">
        <v>2584</v>
      </c>
      <c r="Q139" s="65" t="s">
        <v>291</v>
      </c>
      <c r="R139" s="49" t="str">
        <f t="shared" si="55"/>
        <v>01/11/2021</v>
      </c>
      <c r="S139" s="49" t="str">
        <f>IF(B139="","",IF(K139="S1",K139,INDEX(#REF!,#REF!)))</f>
        <v/>
      </c>
      <c r="T139" s="49" t="b">
        <f t="shared" si="56"/>
        <v>0</v>
      </c>
      <c r="U139" s="68">
        <f t="shared" si="57"/>
        <v>3</v>
      </c>
      <c r="V139" s="68">
        <f t="shared" si="58"/>
        <v>7</v>
      </c>
      <c r="W139" s="68">
        <f t="shared" si="59"/>
        <v>19</v>
      </c>
      <c r="X139" s="68"/>
      <c r="Y139" s="65"/>
      <c r="Z139" s="65"/>
      <c r="AA139" s="49" t="str">
        <f t="shared" si="60"/>
        <v/>
      </c>
      <c r="AB139" s="68">
        <f t="shared" si="61"/>
        <v>0</v>
      </c>
      <c r="AC139" s="68">
        <f t="shared" si="62"/>
        <v>0</v>
      </c>
      <c r="AD139" s="68">
        <f t="shared" si="63"/>
        <v>0</v>
      </c>
      <c r="AE139" s="49"/>
      <c r="AF139" s="65"/>
      <c r="AG139" s="50" t="str">
        <f t="shared" si="64"/>
        <v/>
      </c>
      <c r="AH139" s="68">
        <f t="shared" si="65"/>
        <v>0</v>
      </c>
      <c r="AI139" s="68">
        <f t="shared" si="66"/>
        <v>0</v>
      </c>
      <c r="AJ139" s="68">
        <f t="shared" si="67"/>
        <v>0</v>
      </c>
      <c r="AK139" s="50"/>
      <c r="AL139" s="50" t="s">
        <v>175</v>
      </c>
      <c r="AM139" s="50" t="str">
        <f>IF(B139="","",IF(K139="S1",K139,INDEX(#REF!,#REF!)))</f>
        <v/>
      </c>
      <c r="AN139" s="50" t="b">
        <f t="shared" si="68"/>
        <v>0</v>
      </c>
      <c r="AO139" s="49" t="str">
        <f t="shared" si="69"/>
        <v>K5-POLICY</v>
      </c>
      <c r="AP139" s="72" t="str">
        <f>_xlfn.IFS(B139="","",AND(AO139="K5-LAW",AL139="นิติศาสตร์",K139="S2",Y139="",AE139=""),R139,AND(AO139="K5-LAW",AL139="นิติศาสตร์",K139="S1",Y139="",AE139=""),EDATE(R139,12),AND(AO139="K5-LAW",AL139="นิติศาสตร์",OR(K139="M2",K139="K4"),Y139="",AE139=""),EDATE(R139,12*2),AND(AO139="K5-LAW",AL139="นิติศาสตร์",OR(AE139="M2",AE139="K4"),AH139&gt;=2,OR(AG139&lt;AA139,AG139&lt;R139)),EDATE(AG139,12*2),AND(AO139="K5-LAW",AL139="นิติศาสตร์",AE139="S1",AH139&gt;=1,OR(AG139&lt;AA139,AG139&lt;R139)),EDATE(AG139,12),AND(AO139="K5-LAW",AL139="นิติศาสตร์",OR(Y139="M2",Y139="K4"),AB139&gt;=2,AA139&lt;R139),EDATE(AA139,12*2),AND(AO139="K5-LAW",AL139="นิติศาสตร์",Y139="S1",AB139&gt;=1,AA139&lt;R139),EDATE(AA139,12),AND(AO139="K5-LAW",AL139="นิติศาสตร์",OR(Y139="S2",Y139="K5")),AA139,AND(AO139="K5-LAW",AL139="นิติศาสตร์",OR(K139="M2",K139="K4"),U139&gt;=2),EDATE(R139,12*2),AND(AO139="K5-LAW",AL139="นิติศาสตร์",K139="S1",U139&gt;=1),EDATE(R139,12),AND(AO139="K5-LAW",AL139="นิติศาสตร์",OR(K139="S2",K139="K5")),R139,AND(AO139="K5-POLICY",AL139&lt;&gt;"นิติศาสตร์",K139="S2",Y139="",AE139=""),R139,AND(AO139="K5-POLICY",AL139&lt;&gt;"นิติศาสตร์",K139="S1",Y139="",AE139=""),EDATE(R139,12),AND(AO139="K5-POLICY",AL139&lt;&gt;"นิติศาสตร์",OR(K139="M2",K139="K4"),Y139="",AE139=""),EDATE(R139,12*2),AND(AO139="K5-POLICY",AL139&lt;&gt;"นิติศาสตร์",OR(AE139="M2",AE139="K4"),AH139&gt;=2,OR(AG139&lt;AA139,AG139&lt;R139)),EDATE(AG139,12*2),AND(AO139="K5-POLICY",AL139&lt;&gt;"นิติศาสตร์",AE139="S1",AH139&gt;=1,OR(AG139&lt;AA139,AG139&lt;R139)),EDATE(AG139,12),AND(AO139="K5-POLICY",AL139&lt;&gt;"นิติศาสตร์",OR(Y139="M2",Y139="K4"),AB139&gt;=2,AA139&lt;R139),EDATE(AA139,12*2),AND(AO139="K5-POLICY",AL139&lt;&gt;"นิติศาสตร์",Y139="S1",AB139&gt;=1,AA139&lt;R139),EDATE(AA139,12),AND(AO139="K5-POLICY",AL139&lt;&gt;"นิติศาสตร์",OR(Y139="S2",Y139="K5")),AA139,AND(AO139="K5-POLICY",AL139&lt;&gt;"นิติศาสตร์",OR(K139="M2",K139="K4"),U139&gt;=2),EDATE(R139,12*2),AND(AO139="K5-POLICY",AL139&lt;&gt;"นิติศาสตร์",K139="S1",U139&gt;=1),EDATE(R139,12),AND(AO139="K5-POLICY",AL139&lt;&gt;"นิติศาสตร์",OR(K139="S2",K139="K5")),R139,TRUE,"Check Data")</f>
        <v/>
      </c>
      <c r="AQ139" s="75" t="str">
        <f t="shared" si="70"/>
        <v>Check Data</v>
      </c>
      <c r="AR139" s="76" t="str">
        <f t="shared" si="71"/>
        <v>Check Data</v>
      </c>
      <c r="AS139" s="50" t="str">
        <f t="shared" si="72"/>
        <v>Check Data</v>
      </c>
      <c r="AT139" s="49" t="str">
        <f>IF(B139="","",IF(K139="S1","S1",INDEX(#REF!,#REF!)))</f>
        <v/>
      </c>
      <c r="AU139" s="49" t="str">
        <f t="shared" si="73"/>
        <v>M2</v>
      </c>
      <c r="AV139" s="50" t="b">
        <f t="shared" si="74"/>
        <v>0</v>
      </c>
      <c r="AW139" s="50"/>
    </row>
    <row r="140" spans="1:49" ht="21.75">
      <c r="A140" s="49">
        <v>138</v>
      </c>
      <c r="B140" s="50"/>
      <c r="C140" s="50"/>
      <c r="D140" s="50" t="s">
        <v>143</v>
      </c>
      <c r="E140" s="49" t="s">
        <v>352</v>
      </c>
      <c r="F140" s="49" t="str">
        <f t="shared" si="50"/>
        <v>01/07/1997</v>
      </c>
      <c r="G140" s="50">
        <f t="shared" si="51"/>
        <v>27</v>
      </c>
      <c r="H140" s="50">
        <f t="shared" si="52"/>
        <v>11</v>
      </c>
      <c r="I140" s="50">
        <f t="shared" si="53"/>
        <v>19</v>
      </c>
      <c r="J140" s="59"/>
      <c r="K140" s="49" t="s">
        <v>136</v>
      </c>
      <c r="L140" s="49" t="str">
        <f>IF(B140="","",IF(K140="S1",K140,INDEX(#REF!,#REF!)))</f>
        <v/>
      </c>
      <c r="M140" s="49" t="b">
        <f t="shared" si="54"/>
        <v>0</v>
      </c>
      <c r="N140" s="64"/>
      <c r="O140" s="49" t="s">
        <v>427</v>
      </c>
      <c r="P140" s="49">
        <v>2577</v>
      </c>
      <c r="Q140" s="65" t="s">
        <v>291</v>
      </c>
      <c r="R140" s="49" t="str">
        <f t="shared" si="55"/>
        <v>01/11/2021</v>
      </c>
      <c r="S140" s="49" t="str">
        <f>IF(B140="","",IF(K140="S1",K140,INDEX(#REF!,#REF!)))</f>
        <v/>
      </c>
      <c r="T140" s="49" t="b">
        <f t="shared" si="56"/>
        <v>0</v>
      </c>
      <c r="U140" s="68">
        <f t="shared" si="57"/>
        <v>3</v>
      </c>
      <c r="V140" s="68">
        <f t="shared" si="58"/>
        <v>7</v>
      </c>
      <c r="W140" s="68">
        <f t="shared" si="59"/>
        <v>19</v>
      </c>
      <c r="X140" s="68"/>
      <c r="Y140" s="65"/>
      <c r="Z140" s="65"/>
      <c r="AA140" s="49" t="str">
        <f t="shared" si="60"/>
        <v/>
      </c>
      <c r="AB140" s="68">
        <f t="shared" si="61"/>
        <v>0</v>
      </c>
      <c r="AC140" s="68">
        <f t="shared" si="62"/>
        <v>0</v>
      </c>
      <c r="AD140" s="68">
        <f t="shared" si="63"/>
        <v>0</v>
      </c>
      <c r="AE140" s="49"/>
      <c r="AF140" s="65"/>
      <c r="AG140" s="50" t="str">
        <f t="shared" si="64"/>
        <v/>
      </c>
      <c r="AH140" s="68">
        <f t="shared" si="65"/>
        <v>0</v>
      </c>
      <c r="AI140" s="68">
        <f t="shared" si="66"/>
        <v>0</v>
      </c>
      <c r="AJ140" s="68">
        <f t="shared" si="67"/>
        <v>0</v>
      </c>
      <c r="AK140" s="50"/>
      <c r="AL140" s="50" t="s">
        <v>486</v>
      </c>
      <c r="AM140" s="50" t="str">
        <f>IF(B140="","",IF(K140="S1",K140,INDEX(#REF!,#REF!)))</f>
        <v/>
      </c>
      <c r="AN140" s="50" t="b">
        <f t="shared" si="68"/>
        <v>0</v>
      </c>
      <c r="AO140" s="49" t="str">
        <f t="shared" si="69"/>
        <v>K5-POLICY</v>
      </c>
      <c r="AP140" s="72" t="str">
        <f>_xlfn.IFS(B140="","",AND(AO140="K5-LAW",AL140="นิติศาสตร์",K140="S2",Y140="",AE140=""),R140,AND(AO140="K5-LAW",AL140="นิติศาสตร์",K140="S1",Y140="",AE140=""),EDATE(R140,12),AND(AO140="K5-LAW",AL140="นิติศาสตร์",OR(K140="M2",K140="K4"),Y140="",AE140=""),EDATE(R140,12*2),AND(AO140="K5-LAW",AL140="นิติศาสตร์",OR(AE140="M2",AE140="K4"),AH140&gt;=2,OR(AG140&lt;AA140,AG140&lt;R140)),EDATE(AG140,12*2),AND(AO140="K5-LAW",AL140="นิติศาสตร์",AE140="S1",AH140&gt;=1,OR(AG140&lt;AA140,AG140&lt;R140)),EDATE(AG140,12),AND(AO140="K5-LAW",AL140="นิติศาสตร์",OR(Y140="M2",Y140="K4"),AB140&gt;=2,AA140&lt;R140),EDATE(AA140,12*2),AND(AO140="K5-LAW",AL140="นิติศาสตร์",Y140="S1",AB140&gt;=1,AA140&lt;R140),EDATE(AA140,12),AND(AO140="K5-LAW",AL140="นิติศาสตร์",OR(Y140="S2",Y140="K5")),AA140,AND(AO140="K5-LAW",AL140="นิติศาสตร์",OR(K140="M2",K140="K4"),U140&gt;=2),EDATE(R140,12*2),AND(AO140="K5-LAW",AL140="นิติศาสตร์",K140="S1",U140&gt;=1),EDATE(R140,12),AND(AO140="K5-LAW",AL140="นิติศาสตร์",OR(K140="S2",K140="K5")),R140,AND(AO140="K5-POLICY",AL140&lt;&gt;"นิติศาสตร์",K140="S2",Y140="",AE140=""),R140,AND(AO140="K5-POLICY",AL140&lt;&gt;"นิติศาสตร์",K140="S1",Y140="",AE140=""),EDATE(R140,12),AND(AO140="K5-POLICY",AL140&lt;&gt;"นิติศาสตร์",OR(K140="M2",K140="K4"),Y140="",AE140=""),EDATE(R140,12*2),AND(AO140="K5-POLICY",AL140&lt;&gt;"นิติศาสตร์",OR(AE140="M2",AE140="K4"),AH140&gt;=2,OR(AG140&lt;AA140,AG140&lt;R140)),EDATE(AG140,12*2),AND(AO140="K5-POLICY",AL140&lt;&gt;"นิติศาสตร์",AE140="S1",AH140&gt;=1,OR(AG140&lt;AA140,AG140&lt;R140)),EDATE(AG140,12),AND(AO140="K5-POLICY",AL140&lt;&gt;"นิติศาสตร์",OR(Y140="M2",Y140="K4"),AB140&gt;=2,AA140&lt;R140),EDATE(AA140,12*2),AND(AO140="K5-POLICY",AL140&lt;&gt;"นิติศาสตร์",Y140="S1",AB140&gt;=1,AA140&lt;R140),EDATE(AA140,12),AND(AO140="K5-POLICY",AL140&lt;&gt;"นิติศาสตร์",OR(Y140="S2",Y140="K5")),AA140,AND(AO140="K5-POLICY",AL140&lt;&gt;"นิติศาสตร์",OR(K140="M2",K140="K4"),U140&gt;=2),EDATE(R140,12*2),AND(AO140="K5-POLICY",AL140&lt;&gt;"นิติศาสตร์",K140="S1",U140&gt;=1),EDATE(R140,12),AND(AO140="K5-POLICY",AL140&lt;&gt;"นิติศาสตร์",OR(K140="S2",K140="K5")),R140,TRUE,"Check Data")</f>
        <v/>
      </c>
      <c r="AQ140" s="75" t="str">
        <f t="shared" si="70"/>
        <v>Check Data</v>
      </c>
      <c r="AR140" s="76" t="str">
        <f t="shared" si="71"/>
        <v>Check Data</v>
      </c>
      <c r="AS140" s="50" t="str">
        <f t="shared" si="72"/>
        <v>Check Data</v>
      </c>
      <c r="AT140" s="49" t="str">
        <f>IF(B140="","",IF(K140="S1","S1",INDEX(#REF!,#REF!)))</f>
        <v/>
      </c>
      <c r="AU140" s="49" t="str">
        <f t="shared" si="73"/>
        <v>M2</v>
      </c>
      <c r="AV140" s="50" t="b">
        <f t="shared" si="74"/>
        <v>0</v>
      </c>
      <c r="AW140" s="50"/>
    </row>
    <row r="141" spans="1:49" ht="21.75">
      <c r="A141" s="49">
        <v>139</v>
      </c>
      <c r="B141" s="50"/>
      <c r="C141" s="50"/>
      <c r="D141" s="50" t="s">
        <v>143</v>
      </c>
      <c r="E141" s="49" t="s">
        <v>367</v>
      </c>
      <c r="F141" s="49" t="str">
        <f t="shared" si="50"/>
        <v>02/04/2001</v>
      </c>
      <c r="G141" s="50">
        <f t="shared" si="51"/>
        <v>24</v>
      </c>
      <c r="H141" s="50">
        <f t="shared" si="52"/>
        <v>2</v>
      </c>
      <c r="I141" s="50">
        <f t="shared" si="53"/>
        <v>18</v>
      </c>
      <c r="J141" s="59"/>
      <c r="K141" s="49" t="s">
        <v>136</v>
      </c>
      <c r="L141" s="49" t="str">
        <f>IF(B141="","",IF(K141="S1",K141,INDEX(#REF!,#REF!)))</f>
        <v/>
      </c>
      <c r="M141" s="49" t="b">
        <f t="shared" si="54"/>
        <v>0</v>
      </c>
      <c r="N141" s="64"/>
      <c r="O141" s="49" t="s">
        <v>427</v>
      </c>
      <c r="P141" s="49">
        <v>2578</v>
      </c>
      <c r="Q141" s="65" t="s">
        <v>291</v>
      </c>
      <c r="R141" s="49" t="str">
        <f t="shared" si="55"/>
        <v>01/11/2021</v>
      </c>
      <c r="S141" s="49" t="str">
        <f>IF(B141="","",IF(K141="S1",K141,INDEX(#REF!,#REF!)))</f>
        <v/>
      </c>
      <c r="T141" s="49" t="b">
        <f t="shared" si="56"/>
        <v>0</v>
      </c>
      <c r="U141" s="68">
        <f t="shared" si="57"/>
        <v>3</v>
      </c>
      <c r="V141" s="68">
        <f t="shared" si="58"/>
        <v>7</v>
      </c>
      <c r="W141" s="68">
        <f t="shared" si="59"/>
        <v>19</v>
      </c>
      <c r="X141" s="68"/>
      <c r="Y141" s="65"/>
      <c r="Z141" s="65"/>
      <c r="AA141" s="49" t="str">
        <f t="shared" si="60"/>
        <v/>
      </c>
      <c r="AB141" s="68">
        <f t="shared" si="61"/>
        <v>0</v>
      </c>
      <c r="AC141" s="68">
        <f t="shared" si="62"/>
        <v>0</v>
      </c>
      <c r="AD141" s="68">
        <f t="shared" si="63"/>
        <v>0</v>
      </c>
      <c r="AE141" s="49"/>
      <c r="AF141" s="65"/>
      <c r="AG141" s="50" t="str">
        <f t="shared" si="64"/>
        <v/>
      </c>
      <c r="AH141" s="68">
        <f t="shared" si="65"/>
        <v>0</v>
      </c>
      <c r="AI141" s="68">
        <f t="shared" si="66"/>
        <v>0</v>
      </c>
      <c r="AJ141" s="68">
        <f t="shared" si="67"/>
        <v>0</v>
      </c>
      <c r="AK141" s="50"/>
      <c r="AL141" s="50" t="s">
        <v>486</v>
      </c>
      <c r="AM141" s="50" t="str">
        <f>IF(B141="","",IF(K141="S1",K141,INDEX(#REF!,#REF!)))</f>
        <v/>
      </c>
      <c r="AN141" s="50" t="b">
        <f t="shared" si="68"/>
        <v>0</v>
      </c>
      <c r="AO141" s="49" t="str">
        <f t="shared" si="69"/>
        <v>K5-POLICY</v>
      </c>
      <c r="AP141" s="72" t="str">
        <f>_xlfn.IFS(B141="","",AND(AO141="K5-LAW",AL141="นิติศาสตร์",K141="S2",Y141="",AE141=""),R141,AND(AO141="K5-LAW",AL141="นิติศาสตร์",K141="S1",Y141="",AE141=""),EDATE(R141,12),AND(AO141="K5-LAW",AL141="นิติศาสตร์",OR(K141="M2",K141="K4"),Y141="",AE141=""),EDATE(R141,12*2),AND(AO141="K5-LAW",AL141="นิติศาสตร์",OR(AE141="M2",AE141="K4"),AH141&gt;=2,OR(AG141&lt;AA141,AG141&lt;R141)),EDATE(AG141,12*2),AND(AO141="K5-LAW",AL141="นิติศาสตร์",AE141="S1",AH141&gt;=1,OR(AG141&lt;AA141,AG141&lt;R141)),EDATE(AG141,12),AND(AO141="K5-LAW",AL141="นิติศาสตร์",OR(Y141="M2",Y141="K4"),AB141&gt;=2,AA141&lt;R141),EDATE(AA141,12*2),AND(AO141="K5-LAW",AL141="นิติศาสตร์",Y141="S1",AB141&gt;=1,AA141&lt;R141),EDATE(AA141,12),AND(AO141="K5-LAW",AL141="นิติศาสตร์",OR(Y141="S2",Y141="K5")),AA141,AND(AO141="K5-LAW",AL141="นิติศาสตร์",OR(K141="M2",K141="K4"),U141&gt;=2),EDATE(R141,12*2),AND(AO141="K5-LAW",AL141="นิติศาสตร์",K141="S1",U141&gt;=1),EDATE(R141,12),AND(AO141="K5-LAW",AL141="นิติศาสตร์",OR(K141="S2",K141="K5")),R141,AND(AO141="K5-POLICY",AL141&lt;&gt;"นิติศาสตร์",K141="S2",Y141="",AE141=""),R141,AND(AO141="K5-POLICY",AL141&lt;&gt;"นิติศาสตร์",K141="S1",Y141="",AE141=""),EDATE(R141,12),AND(AO141="K5-POLICY",AL141&lt;&gt;"นิติศาสตร์",OR(K141="M2",K141="K4"),Y141="",AE141=""),EDATE(R141,12*2),AND(AO141="K5-POLICY",AL141&lt;&gt;"นิติศาสตร์",OR(AE141="M2",AE141="K4"),AH141&gt;=2,OR(AG141&lt;AA141,AG141&lt;R141)),EDATE(AG141,12*2),AND(AO141="K5-POLICY",AL141&lt;&gt;"นิติศาสตร์",AE141="S1",AH141&gt;=1,OR(AG141&lt;AA141,AG141&lt;R141)),EDATE(AG141,12),AND(AO141="K5-POLICY",AL141&lt;&gt;"นิติศาสตร์",OR(Y141="M2",Y141="K4"),AB141&gt;=2,AA141&lt;R141),EDATE(AA141,12*2),AND(AO141="K5-POLICY",AL141&lt;&gt;"นิติศาสตร์",Y141="S1",AB141&gt;=1,AA141&lt;R141),EDATE(AA141,12),AND(AO141="K5-POLICY",AL141&lt;&gt;"นิติศาสตร์",OR(Y141="S2",Y141="K5")),AA141,AND(AO141="K5-POLICY",AL141&lt;&gt;"นิติศาสตร์",OR(K141="M2",K141="K4"),U141&gt;=2),EDATE(R141,12*2),AND(AO141="K5-POLICY",AL141&lt;&gt;"นิติศาสตร์",K141="S1",U141&gt;=1),EDATE(R141,12),AND(AO141="K5-POLICY",AL141&lt;&gt;"นิติศาสตร์",OR(K141="S2",K141="K5")),R141,TRUE,"Check Data")</f>
        <v/>
      </c>
      <c r="AQ141" s="75" t="str">
        <f t="shared" si="70"/>
        <v>Check Data</v>
      </c>
      <c r="AR141" s="76" t="str">
        <f t="shared" si="71"/>
        <v>Check Data</v>
      </c>
      <c r="AS141" s="50" t="str">
        <f t="shared" si="72"/>
        <v>Check Data</v>
      </c>
      <c r="AT141" s="49" t="str">
        <f>IF(B141="","",IF(K141="S1","S1",INDEX(#REF!,#REF!)))</f>
        <v/>
      </c>
      <c r="AU141" s="49" t="str">
        <f t="shared" si="73"/>
        <v>M2</v>
      </c>
      <c r="AV141" s="50" t="b">
        <f t="shared" si="74"/>
        <v>0</v>
      </c>
      <c r="AW141" s="50"/>
    </row>
    <row r="142" spans="1:49" ht="21.75">
      <c r="A142" s="49">
        <v>140</v>
      </c>
      <c r="B142" s="50"/>
      <c r="C142" s="50"/>
      <c r="D142" s="50" t="s">
        <v>143</v>
      </c>
      <c r="E142" s="49" t="s">
        <v>340</v>
      </c>
      <c r="F142" s="49" t="str">
        <f t="shared" si="50"/>
        <v>06/11/2000</v>
      </c>
      <c r="G142" s="50">
        <f t="shared" si="51"/>
        <v>24</v>
      </c>
      <c r="H142" s="50">
        <f t="shared" si="52"/>
        <v>7</v>
      </c>
      <c r="I142" s="50">
        <f t="shared" si="53"/>
        <v>14</v>
      </c>
      <c r="J142" s="59"/>
      <c r="K142" s="49" t="s">
        <v>136</v>
      </c>
      <c r="L142" s="49" t="str">
        <f>IF(B142="","",IF(K142="S1",K142,INDEX(#REF!,#REF!)))</f>
        <v/>
      </c>
      <c r="M142" s="49" t="b">
        <f t="shared" si="54"/>
        <v>0</v>
      </c>
      <c r="N142" s="64"/>
      <c r="O142" s="49" t="s">
        <v>427</v>
      </c>
      <c r="P142" s="49">
        <v>2575</v>
      </c>
      <c r="Q142" s="65" t="s">
        <v>291</v>
      </c>
      <c r="R142" s="49" t="str">
        <f t="shared" si="55"/>
        <v>01/11/2021</v>
      </c>
      <c r="S142" s="49" t="str">
        <f>IF(B142="","",IF(K142="S1",K142,INDEX(#REF!,#REF!)))</f>
        <v/>
      </c>
      <c r="T142" s="49" t="b">
        <f t="shared" si="56"/>
        <v>0</v>
      </c>
      <c r="U142" s="68">
        <f t="shared" si="57"/>
        <v>3</v>
      </c>
      <c r="V142" s="68">
        <f t="shared" si="58"/>
        <v>7</v>
      </c>
      <c r="W142" s="68">
        <f t="shared" si="59"/>
        <v>19</v>
      </c>
      <c r="X142" s="68"/>
      <c r="Y142" s="65"/>
      <c r="Z142" s="65"/>
      <c r="AA142" s="49" t="str">
        <f t="shared" si="60"/>
        <v/>
      </c>
      <c r="AB142" s="68">
        <f t="shared" si="61"/>
        <v>0</v>
      </c>
      <c r="AC142" s="68">
        <f t="shared" si="62"/>
        <v>0</v>
      </c>
      <c r="AD142" s="68">
        <f t="shared" si="63"/>
        <v>0</v>
      </c>
      <c r="AE142" s="49"/>
      <c r="AF142" s="65"/>
      <c r="AG142" s="50" t="str">
        <f t="shared" si="64"/>
        <v/>
      </c>
      <c r="AH142" s="68">
        <f t="shared" si="65"/>
        <v>0</v>
      </c>
      <c r="AI142" s="68">
        <f t="shared" si="66"/>
        <v>0</v>
      </c>
      <c r="AJ142" s="68">
        <f t="shared" si="67"/>
        <v>0</v>
      </c>
      <c r="AK142" s="50"/>
      <c r="AL142" s="50" t="s">
        <v>163</v>
      </c>
      <c r="AM142" s="50" t="str">
        <f>IF(B142="","",IF(K142="S1",K142,INDEX(#REF!,#REF!)))</f>
        <v/>
      </c>
      <c r="AN142" s="50" t="b">
        <f t="shared" si="68"/>
        <v>0</v>
      </c>
      <c r="AO142" s="49" t="str">
        <f t="shared" si="69"/>
        <v>K5-POLICY</v>
      </c>
      <c r="AP142" s="72" t="str">
        <f>_xlfn.IFS(B142="","",AND(AO142="K5-LAW",AL142="นิติศาสตร์",K142="S2",Y142="",AE142=""),R142,AND(AO142="K5-LAW",AL142="นิติศาสตร์",K142="S1",Y142="",AE142=""),EDATE(R142,12),AND(AO142="K5-LAW",AL142="นิติศาสตร์",OR(K142="M2",K142="K4"),Y142="",AE142=""),EDATE(R142,12*2),AND(AO142="K5-LAW",AL142="นิติศาสตร์",OR(AE142="M2",AE142="K4"),AH142&gt;=2,OR(AG142&lt;AA142,AG142&lt;R142)),EDATE(AG142,12*2),AND(AO142="K5-LAW",AL142="นิติศาสตร์",AE142="S1",AH142&gt;=1,OR(AG142&lt;AA142,AG142&lt;R142)),EDATE(AG142,12),AND(AO142="K5-LAW",AL142="นิติศาสตร์",OR(Y142="M2",Y142="K4"),AB142&gt;=2,AA142&lt;R142),EDATE(AA142,12*2),AND(AO142="K5-LAW",AL142="นิติศาสตร์",Y142="S1",AB142&gt;=1,AA142&lt;R142),EDATE(AA142,12),AND(AO142="K5-LAW",AL142="นิติศาสตร์",OR(Y142="S2",Y142="K5")),AA142,AND(AO142="K5-LAW",AL142="นิติศาสตร์",OR(K142="M2",K142="K4"),U142&gt;=2),EDATE(R142,12*2),AND(AO142="K5-LAW",AL142="นิติศาสตร์",K142="S1",U142&gt;=1),EDATE(R142,12),AND(AO142="K5-LAW",AL142="นิติศาสตร์",OR(K142="S2",K142="K5")),R142,AND(AO142="K5-POLICY",AL142&lt;&gt;"นิติศาสตร์",K142="S2",Y142="",AE142=""),R142,AND(AO142="K5-POLICY",AL142&lt;&gt;"นิติศาสตร์",K142="S1",Y142="",AE142=""),EDATE(R142,12),AND(AO142="K5-POLICY",AL142&lt;&gt;"นิติศาสตร์",OR(K142="M2",K142="K4"),Y142="",AE142=""),EDATE(R142,12*2),AND(AO142="K5-POLICY",AL142&lt;&gt;"นิติศาสตร์",OR(AE142="M2",AE142="K4"),AH142&gt;=2,OR(AG142&lt;AA142,AG142&lt;R142)),EDATE(AG142,12*2),AND(AO142="K5-POLICY",AL142&lt;&gt;"นิติศาสตร์",AE142="S1",AH142&gt;=1,OR(AG142&lt;AA142,AG142&lt;R142)),EDATE(AG142,12),AND(AO142="K5-POLICY",AL142&lt;&gt;"นิติศาสตร์",OR(Y142="M2",Y142="K4"),AB142&gt;=2,AA142&lt;R142),EDATE(AA142,12*2),AND(AO142="K5-POLICY",AL142&lt;&gt;"นิติศาสตร์",Y142="S1",AB142&gt;=1,AA142&lt;R142),EDATE(AA142,12),AND(AO142="K5-POLICY",AL142&lt;&gt;"นิติศาสตร์",OR(Y142="S2",Y142="K5")),AA142,AND(AO142="K5-POLICY",AL142&lt;&gt;"นิติศาสตร์",OR(K142="M2",K142="K4"),U142&gt;=2),EDATE(R142,12*2),AND(AO142="K5-POLICY",AL142&lt;&gt;"นิติศาสตร์",K142="S1",U142&gt;=1),EDATE(R142,12),AND(AO142="K5-POLICY",AL142&lt;&gt;"นิติศาสตร์",OR(K142="S2",K142="K5")),R142,TRUE,"Check Data")</f>
        <v/>
      </c>
      <c r="AQ142" s="75" t="str">
        <f t="shared" si="70"/>
        <v>Check Data</v>
      </c>
      <c r="AR142" s="76" t="str">
        <f t="shared" si="71"/>
        <v>Check Data</v>
      </c>
      <c r="AS142" s="50" t="str">
        <f t="shared" si="72"/>
        <v>Check Data</v>
      </c>
      <c r="AT142" s="49" t="str">
        <f>IF(B142="","",IF(K142="S1","S1",INDEX(#REF!,#REF!)))</f>
        <v/>
      </c>
      <c r="AU142" s="49" t="str">
        <f t="shared" si="73"/>
        <v>M2</v>
      </c>
      <c r="AV142" s="50" t="b">
        <f t="shared" si="74"/>
        <v>0</v>
      </c>
      <c r="AW142" s="50"/>
    </row>
    <row r="143" spans="1:49" ht="21.75">
      <c r="A143" s="49">
        <v>141</v>
      </c>
      <c r="B143" s="50"/>
      <c r="C143" s="50"/>
      <c r="D143" s="50" t="s">
        <v>143</v>
      </c>
      <c r="E143" s="49" t="s">
        <v>344</v>
      </c>
      <c r="F143" s="49" t="str">
        <f t="shared" si="50"/>
        <v>15/08/2001</v>
      </c>
      <c r="G143" s="50">
        <f t="shared" si="51"/>
        <v>23</v>
      </c>
      <c r="H143" s="50">
        <f t="shared" si="52"/>
        <v>10</v>
      </c>
      <c r="I143" s="50">
        <f t="shared" si="53"/>
        <v>5</v>
      </c>
      <c r="J143" s="59"/>
      <c r="K143" s="49" t="s">
        <v>136</v>
      </c>
      <c r="L143" s="49" t="str">
        <f>IF(B143="","",IF(K143="S1",K143,INDEX(#REF!,#REF!)))</f>
        <v/>
      </c>
      <c r="M143" s="49" t="b">
        <f t="shared" si="54"/>
        <v>0</v>
      </c>
      <c r="N143" s="64"/>
      <c r="O143" s="49" t="s">
        <v>427</v>
      </c>
      <c r="P143" s="49">
        <v>2581</v>
      </c>
      <c r="Q143" s="65" t="s">
        <v>291</v>
      </c>
      <c r="R143" s="49" t="str">
        <f t="shared" si="55"/>
        <v>01/11/2021</v>
      </c>
      <c r="S143" s="49" t="str">
        <f>IF(B143="","",IF(K143="S1",K143,INDEX(#REF!,#REF!)))</f>
        <v/>
      </c>
      <c r="T143" s="49" t="b">
        <f t="shared" si="56"/>
        <v>0</v>
      </c>
      <c r="U143" s="68">
        <f t="shared" si="57"/>
        <v>3</v>
      </c>
      <c r="V143" s="68">
        <f t="shared" si="58"/>
        <v>7</v>
      </c>
      <c r="W143" s="68">
        <f t="shared" si="59"/>
        <v>19</v>
      </c>
      <c r="X143" s="68"/>
      <c r="Y143" s="65"/>
      <c r="Z143" s="65"/>
      <c r="AA143" s="49" t="str">
        <f t="shared" si="60"/>
        <v/>
      </c>
      <c r="AB143" s="68">
        <f t="shared" si="61"/>
        <v>0</v>
      </c>
      <c r="AC143" s="68">
        <f t="shared" si="62"/>
        <v>0</v>
      </c>
      <c r="AD143" s="68">
        <f t="shared" si="63"/>
        <v>0</v>
      </c>
      <c r="AE143" s="49"/>
      <c r="AF143" s="65"/>
      <c r="AG143" s="50" t="str">
        <f t="shared" si="64"/>
        <v/>
      </c>
      <c r="AH143" s="68">
        <f t="shared" si="65"/>
        <v>0</v>
      </c>
      <c r="AI143" s="68">
        <f t="shared" si="66"/>
        <v>0</v>
      </c>
      <c r="AJ143" s="68">
        <f t="shared" si="67"/>
        <v>0</v>
      </c>
      <c r="AK143" s="50"/>
      <c r="AL143" s="50" t="s">
        <v>484</v>
      </c>
      <c r="AM143" s="50" t="str">
        <f>IF(B143="","",IF(K143="S1",K143,INDEX(#REF!,#REF!)))</f>
        <v/>
      </c>
      <c r="AN143" s="50" t="b">
        <f t="shared" si="68"/>
        <v>0</v>
      </c>
      <c r="AO143" s="49" t="str">
        <f t="shared" si="69"/>
        <v>K5-POLICY</v>
      </c>
      <c r="AP143" s="72" t="str">
        <f>_xlfn.IFS(B143="","",AND(AO143="K5-LAW",AL143="นิติศาสตร์",K143="S2",Y143="",AE143=""),R143,AND(AO143="K5-LAW",AL143="นิติศาสตร์",K143="S1",Y143="",AE143=""),EDATE(R143,12),AND(AO143="K5-LAW",AL143="นิติศาสตร์",OR(K143="M2",K143="K4"),Y143="",AE143=""),EDATE(R143,12*2),AND(AO143="K5-LAW",AL143="นิติศาสตร์",OR(AE143="M2",AE143="K4"),AH143&gt;=2,OR(AG143&lt;AA143,AG143&lt;R143)),EDATE(AG143,12*2),AND(AO143="K5-LAW",AL143="นิติศาสตร์",AE143="S1",AH143&gt;=1,OR(AG143&lt;AA143,AG143&lt;R143)),EDATE(AG143,12),AND(AO143="K5-LAW",AL143="นิติศาสตร์",OR(Y143="M2",Y143="K4"),AB143&gt;=2,AA143&lt;R143),EDATE(AA143,12*2),AND(AO143="K5-LAW",AL143="นิติศาสตร์",Y143="S1",AB143&gt;=1,AA143&lt;R143),EDATE(AA143,12),AND(AO143="K5-LAW",AL143="นิติศาสตร์",OR(Y143="S2",Y143="K5")),AA143,AND(AO143="K5-LAW",AL143="นิติศาสตร์",OR(K143="M2",K143="K4"),U143&gt;=2),EDATE(R143,12*2),AND(AO143="K5-LAW",AL143="นิติศาสตร์",K143="S1",U143&gt;=1),EDATE(R143,12),AND(AO143="K5-LAW",AL143="นิติศาสตร์",OR(K143="S2",K143="K5")),R143,AND(AO143="K5-POLICY",AL143&lt;&gt;"นิติศาสตร์",K143="S2",Y143="",AE143=""),R143,AND(AO143="K5-POLICY",AL143&lt;&gt;"นิติศาสตร์",K143="S1",Y143="",AE143=""),EDATE(R143,12),AND(AO143="K5-POLICY",AL143&lt;&gt;"นิติศาสตร์",OR(K143="M2",K143="K4"),Y143="",AE143=""),EDATE(R143,12*2),AND(AO143="K5-POLICY",AL143&lt;&gt;"นิติศาสตร์",OR(AE143="M2",AE143="K4"),AH143&gt;=2,OR(AG143&lt;AA143,AG143&lt;R143)),EDATE(AG143,12*2),AND(AO143="K5-POLICY",AL143&lt;&gt;"นิติศาสตร์",AE143="S1",AH143&gt;=1,OR(AG143&lt;AA143,AG143&lt;R143)),EDATE(AG143,12),AND(AO143="K5-POLICY",AL143&lt;&gt;"นิติศาสตร์",OR(Y143="M2",Y143="K4"),AB143&gt;=2,AA143&lt;R143),EDATE(AA143,12*2),AND(AO143="K5-POLICY",AL143&lt;&gt;"นิติศาสตร์",Y143="S1",AB143&gt;=1,AA143&lt;R143),EDATE(AA143,12),AND(AO143="K5-POLICY",AL143&lt;&gt;"นิติศาสตร์",OR(Y143="S2",Y143="K5")),AA143,AND(AO143="K5-POLICY",AL143&lt;&gt;"นิติศาสตร์",OR(K143="M2",K143="K4"),U143&gt;=2),EDATE(R143,12*2),AND(AO143="K5-POLICY",AL143&lt;&gt;"นิติศาสตร์",K143="S1",U143&gt;=1),EDATE(R143,12),AND(AO143="K5-POLICY",AL143&lt;&gt;"นิติศาสตร์",OR(K143="S2",K143="K5")),R143,TRUE,"Check Data")</f>
        <v/>
      </c>
      <c r="AQ143" s="75" t="str">
        <f t="shared" si="70"/>
        <v>Check Data</v>
      </c>
      <c r="AR143" s="76" t="str">
        <f t="shared" si="71"/>
        <v>Check Data</v>
      </c>
      <c r="AS143" s="50" t="str">
        <f t="shared" si="72"/>
        <v>Check Data</v>
      </c>
      <c r="AT143" s="49" t="str">
        <f>IF(B143="","",IF(K143="S1","S1",INDEX(#REF!,#REF!)))</f>
        <v/>
      </c>
      <c r="AU143" s="49" t="str">
        <f t="shared" si="73"/>
        <v>M2</v>
      </c>
      <c r="AV143" s="50" t="b">
        <f t="shared" si="74"/>
        <v>0</v>
      </c>
      <c r="AW143" s="50"/>
    </row>
    <row r="144" spans="1:49" ht="21.75">
      <c r="A144" s="49">
        <v>142</v>
      </c>
      <c r="B144" s="50"/>
      <c r="C144" s="50"/>
      <c r="D144" s="50" t="s">
        <v>143</v>
      </c>
      <c r="E144" s="49" t="s">
        <v>365</v>
      </c>
      <c r="F144" s="49" t="str">
        <f t="shared" si="50"/>
        <v>26/08/2002</v>
      </c>
      <c r="G144" s="50">
        <f t="shared" si="51"/>
        <v>22</v>
      </c>
      <c r="H144" s="50">
        <f t="shared" si="52"/>
        <v>9</v>
      </c>
      <c r="I144" s="50">
        <f t="shared" si="53"/>
        <v>25</v>
      </c>
      <c r="J144" s="59"/>
      <c r="K144" s="49" t="s">
        <v>136</v>
      </c>
      <c r="L144" s="49" t="str">
        <f>IF(B144="","",IF(K144="S1",K144,INDEX(#REF!,#REF!)))</f>
        <v/>
      </c>
      <c r="M144" s="49" t="b">
        <f t="shared" si="54"/>
        <v>0</v>
      </c>
      <c r="N144" s="64"/>
      <c r="O144" s="49" t="s">
        <v>427</v>
      </c>
      <c r="P144" s="49">
        <v>2582</v>
      </c>
      <c r="Q144" s="65" t="s">
        <v>291</v>
      </c>
      <c r="R144" s="49" t="str">
        <f t="shared" si="55"/>
        <v>01/11/2021</v>
      </c>
      <c r="S144" s="49" t="str">
        <f>IF(B144="","",IF(K144="S1",K144,INDEX(#REF!,#REF!)))</f>
        <v/>
      </c>
      <c r="T144" s="49" t="b">
        <f t="shared" si="56"/>
        <v>0</v>
      </c>
      <c r="U144" s="68">
        <f t="shared" si="57"/>
        <v>3</v>
      </c>
      <c r="V144" s="68">
        <f t="shared" si="58"/>
        <v>7</v>
      </c>
      <c r="W144" s="68">
        <f t="shared" si="59"/>
        <v>19</v>
      </c>
      <c r="X144" s="68"/>
      <c r="Y144" s="65"/>
      <c r="Z144" s="65"/>
      <c r="AA144" s="49" t="str">
        <f t="shared" si="60"/>
        <v/>
      </c>
      <c r="AB144" s="68">
        <f t="shared" si="61"/>
        <v>0</v>
      </c>
      <c r="AC144" s="68">
        <f t="shared" si="62"/>
        <v>0</v>
      </c>
      <c r="AD144" s="68">
        <f t="shared" si="63"/>
        <v>0</v>
      </c>
      <c r="AE144" s="49"/>
      <c r="AF144" s="65"/>
      <c r="AG144" s="50" t="str">
        <f t="shared" si="64"/>
        <v/>
      </c>
      <c r="AH144" s="68">
        <f t="shared" si="65"/>
        <v>0</v>
      </c>
      <c r="AI144" s="68">
        <f t="shared" si="66"/>
        <v>0</v>
      </c>
      <c r="AJ144" s="68">
        <f t="shared" si="67"/>
        <v>0</v>
      </c>
      <c r="AK144" s="50"/>
      <c r="AL144" s="50" t="s">
        <v>517</v>
      </c>
      <c r="AM144" s="50" t="str">
        <f>IF(B144="","",IF(K144="S1",K144,INDEX(#REF!,#REF!)))</f>
        <v/>
      </c>
      <c r="AN144" s="50" t="b">
        <f t="shared" si="68"/>
        <v>0</v>
      </c>
      <c r="AO144" s="49" t="str">
        <f t="shared" si="69"/>
        <v>K5-POLICY</v>
      </c>
      <c r="AP144" s="72" t="str">
        <f>_xlfn.IFS(B144="","",AND(AO144="K5-LAW",AL144="นิติศาสตร์",K144="S2",Y144="",AE144=""),R144,AND(AO144="K5-LAW",AL144="นิติศาสตร์",K144="S1",Y144="",AE144=""),EDATE(R144,12),AND(AO144="K5-LAW",AL144="นิติศาสตร์",OR(K144="M2",K144="K4"),Y144="",AE144=""),EDATE(R144,12*2),AND(AO144="K5-LAW",AL144="นิติศาสตร์",OR(AE144="M2",AE144="K4"),AH144&gt;=2,OR(AG144&lt;AA144,AG144&lt;R144)),EDATE(AG144,12*2),AND(AO144="K5-LAW",AL144="นิติศาสตร์",AE144="S1",AH144&gt;=1,OR(AG144&lt;AA144,AG144&lt;R144)),EDATE(AG144,12),AND(AO144="K5-LAW",AL144="นิติศาสตร์",OR(Y144="M2",Y144="K4"),AB144&gt;=2,AA144&lt;R144),EDATE(AA144,12*2),AND(AO144="K5-LAW",AL144="นิติศาสตร์",Y144="S1",AB144&gt;=1,AA144&lt;R144),EDATE(AA144,12),AND(AO144="K5-LAW",AL144="นิติศาสตร์",OR(Y144="S2",Y144="K5")),AA144,AND(AO144="K5-LAW",AL144="นิติศาสตร์",OR(K144="M2",K144="K4"),U144&gt;=2),EDATE(R144,12*2),AND(AO144="K5-LAW",AL144="นิติศาสตร์",K144="S1",U144&gt;=1),EDATE(R144,12),AND(AO144="K5-LAW",AL144="นิติศาสตร์",OR(K144="S2",K144="K5")),R144,AND(AO144="K5-POLICY",AL144&lt;&gt;"นิติศาสตร์",K144="S2",Y144="",AE144=""),R144,AND(AO144="K5-POLICY",AL144&lt;&gt;"นิติศาสตร์",K144="S1",Y144="",AE144=""),EDATE(R144,12),AND(AO144="K5-POLICY",AL144&lt;&gt;"นิติศาสตร์",OR(K144="M2",K144="K4"),Y144="",AE144=""),EDATE(R144,12*2),AND(AO144="K5-POLICY",AL144&lt;&gt;"นิติศาสตร์",OR(AE144="M2",AE144="K4"),AH144&gt;=2,OR(AG144&lt;AA144,AG144&lt;R144)),EDATE(AG144,12*2),AND(AO144="K5-POLICY",AL144&lt;&gt;"นิติศาสตร์",AE144="S1",AH144&gt;=1,OR(AG144&lt;AA144,AG144&lt;R144)),EDATE(AG144,12),AND(AO144="K5-POLICY",AL144&lt;&gt;"นิติศาสตร์",OR(Y144="M2",Y144="K4"),AB144&gt;=2,AA144&lt;R144),EDATE(AA144,12*2),AND(AO144="K5-POLICY",AL144&lt;&gt;"นิติศาสตร์",Y144="S1",AB144&gt;=1,AA144&lt;R144),EDATE(AA144,12),AND(AO144="K5-POLICY",AL144&lt;&gt;"นิติศาสตร์",OR(Y144="S2",Y144="K5")),AA144,AND(AO144="K5-POLICY",AL144&lt;&gt;"นิติศาสตร์",OR(K144="M2",K144="K4"),U144&gt;=2),EDATE(R144,12*2),AND(AO144="K5-POLICY",AL144&lt;&gt;"นิติศาสตร์",K144="S1",U144&gt;=1),EDATE(R144,12),AND(AO144="K5-POLICY",AL144&lt;&gt;"นิติศาสตร์",OR(K144="S2",K144="K5")),R144,TRUE,"Check Data")</f>
        <v/>
      </c>
      <c r="AQ144" s="75" t="str">
        <f t="shared" si="70"/>
        <v>Check Data</v>
      </c>
      <c r="AR144" s="76" t="str">
        <f t="shared" si="71"/>
        <v>Check Data</v>
      </c>
      <c r="AS144" s="50" t="str">
        <f t="shared" si="72"/>
        <v>Check Data</v>
      </c>
      <c r="AT144" s="49" t="str">
        <f>IF(B144="","",IF(K144="S1","S1",INDEX(#REF!,#REF!)))</f>
        <v/>
      </c>
      <c r="AU144" s="49" t="str">
        <f t="shared" si="73"/>
        <v>M2</v>
      </c>
      <c r="AV144" s="50" t="b">
        <f t="shared" si="74"/>
        <v>0</v>
      </c>
      <c r="AW144" s="50"/>
    </row>
    <row r="145" spans="1:49" ht="21.75">
      <c r="A145" s="49">
        <v>143</v>
      </c>
      <c r="B145" s="50"/>
      <c r="C145" s="50"/>
      <c r="D145" s="50" t="s">
        <v>143</v>
      </c>
      <c r="E145" s="49" t="s">
        <v>355</v>
      </c>
      <c r="F145" s="49" t="str">
        <f t="shared" si="50"/>
        <v>30/04/1993</v>
      </c>
      <c r="G145" s="50">
        <f t="shared" si="51"/>
        <v>32</v>
      </c>
      <c r="H145" s="50">
        <f t="shared" si="52"/>
        <v>1</v>
      </c>
      <c r="I145" s="50">
        <f t="shared" si="53"/>
        <v>21</v>
      </c>
      <c r="J145" s="58"/>
      <c r="K145" s="49" t="s">
        <v>136</v>
      </c>
      <c r="L145" s="49" t="str">
        <f>IF(B145="","",IF(K145="S1",K145,INDEX(#REF!,#REF!)))</f>
        <v/>
      </c>
      <c r="M145" s="49" t="b">
        <f t="shared" si="54"/>
        <v>0</v>
      </c>
      <c r="N145" s="64"/>
      <c r="O145" s="49" t="s">
        <v>427</v>
      </c>
      <c r="P145" s="49">
        <v>2569</v>
      </c>
      <c r="Q145" s="65" t="s">
        <v>291</v>
      </c>
      <c r="R145" s="49" t="str">
        <f t="shared" si="55"/>
        <v>01/11/2021</v>
      </c>
      <c r="S145" s="49" t="str">
        <f>IF(B145="","",IF(K145="S1",K145,INDEX(#REF!,#REF!)))</f>
        <v/>
      </c>
      <c r="T145" s="49" t="b">
        <f t="shared" si="56"/>
        <v>0</v>
      </c>
      <c r="U145" s="68">
        <f t="shared" si="57"/>
        <v>3</v>
      </c>
      <c r="V145" s="68">
        <f t="shared" si="58"/>
        <v>7</v>
      </c>
      <c r="W145" s="68">
        <f t="shared" si="59"/>
        <v>19</v>
      </c>
      <c r="X145" s="68"/>
      <c r="Y145" s="65"/>
      <c r="Z145" s="65"/>
      <c r="AA145" s="49" t="str">
        <f t="shared" si="60"/>
        <v/>
      </c>
      <c r="AB145" s="68">
        <f t="shared" si="61"/>
        <v>0</v>
      </c>
      <c r="AC145" s="68">
        <f t="shared" si="62"/>
        <v>0</v>
      </c>
      <c r="AD145" s="68">
        <f t="shared" si="63"/>
        <v>0</v>
      </c>
      <c r="AE145" s="49"/>
      <c r="AF145" s="65"/>
      <c r="AG145" s="50" t="str">
        <f t="shared" si="64"/>
        <v/>
      </c>
      <c r="AH145" s="68">
        <f t="shared" si="65"/>
        <v>0</v>
      </c>
      <c r="AI145" s="68">
        <f t="shared" si="66"/>
        <v>0</v>
      </c>
      <c r="AJ145" s="68">
        <f t="shared" si="67"/>
        <v>0</v>
      </c>
      <c r="AK145" s="50"/>
      <c r="AL145" s="50" t="s">
        <v>167</v>
      </c>
      <c r="AM145" s="50" t="str">
        <f>IF(B145="","",IF(K145="S1",K145,INDEX(#REF!,#REF!)))</f>
        <v/>
      </c>
      <c r="AN145" s="50" t="b">
        <f t="shared" si="68"/>
        <v>0</v>
      </c>
      <c r="AO145" s="49" t="str">
        <f t="shared" si="69"/>
        <v>K5-POLICY</v>
      </c>
      <c r="AP145" s="72" t="str">
        <f>_xlfn.IFS(B145="","",AND(AO145="K5-LAW",AL145="นิติศาสตร์",K145="S2",Y145="",AE145=""),R145,AND(AO145="K5-LAW",AL145="นิติศาสตร์",K145="S1",Y145="",AE145=""),EDATE(R145,12),AND(AO145="K5-LAW",AL145="นิติศาสตร์",OR(K145="M2",K145="K4"),Y145="",AE145=""),EDATE(R145,12*2),AND(AO145="K5-LAW",AL145="นิติศาสตร์",OR(AE145="M2",AE145="K4"),AH145&gt;=2,OR(AG145&lt;AA145,AG145&lt;R145)),EDATE(AG145,12*2),AND(AO145="K5-LAW",AL145="นิติศาสตร์",AE145="S1",AH145&gt;=1,OR(AG145&lt;AA145,AG145&lt;R145)),EDATE(AG145,12),AND(AO145="K5-LAW",AL145="นิติศาสตร์",OR(Y145="M2",Y145="K4"),AB145&gt;=2,AA145&lt;R145),EDATE(AA145,12*2),AND(AO145="K5-LAW",AL145="นิติศาสตร์",Y145="S1",AB145&gt;=1,AA145&lt;R145),EDATE(AA145,12),AND(AO145="K5-LAW",AL145="นิติศาสตร์",OR(Y145="S2",Y145="K5")),AA145,AND(AO145="K5-LAW",AL145="นิติศาสตร์",OR(K145="M2",K145="K4"),U145&gt;=2),EDATE(R145,12*2),AND(AO145="K5-LAW",AL145="นิติศาสตร์",K145="S1",U145&gt;=1),EDATE(R145,12),AND(AO145="K5-LAW",AL145="นิติศาสตร์",OR(K145="S2",K145="K5")),R145,AND(AO145="K5-POLICY",AL145&lt;&gt;"นิติศาสตร์",K145="S2",Y145="",AE145=""),R145,AND(AO145="K5-POLICY",AL145&lt;&gt;"นิติศาสตร์",K145="S1",Y145="",AE145=""),EDATE(R145,12),AND(AO145="K5-POLICY",AL145&lt;&gt;"นิติศาสตร์",OR(K145="M2",K145="K4"),Y145="",AE145=""),EDATE(R145,12*2),AND(AO145="K5-POLICY",AL145&lt;&gt;"นิติศาสตร์",OR(AE145="M2",AE145="K4"),AH145&gt;=2,OR(AG145&lt;AA145,AG145&lt;R145)),EDATE(AG145,12*2),AND(AO145="K5-POLICY",AL145&lt;&gt;"นิติศาสตร์",AE145="S1",AH145&gt;=1,OR(AG145&lt;AA145,AG145&lt;R145)),EDATE(AG145,12),AND(AO145="K5-POLICY",AL145&lt;&gt;"นิติศาสตร์",OR(Y145="M2",Y145="K4"),AB145&gt;=2,AA145&lt;R145),EDATE(AA145,12*2),AND(AO145="K5-POLICY",AL145&lt;&gt;"นิติศาสตร์",Y145="S1",AB145&gt;=1,AA145&lt;R145),EDATE(AA145,12),AND(AO145="K5-POLICY",AL145&lt;&gt;"นิติศาสตร์",OR(Y145="S2",Y145="K5")),AA145,AND(AO145="K5-POLICY",AL145&lt;&gt;"นิติศาสตร์",OR(K145="M2",K145="K4"),U145&gt;=2),EDATE(R145,12*2),AND(AO145="K5-POLICY",AL145&lt;&gt;"นิติศาสตร์",K145="S1",U145&gt;=1),EDATE(R145,12),AND(AO145="K5-POLICY",AL145&lt;&gt;"นิติศาสตร์",OR(K145="S2",K145="K5")),R145,TRUE,"Check Data")</f>
        <v/>
      </c>
      <c r="AQ145" s="75" t="str">
        <f t="shared" si="70"/>
        <v>Check Data</v>
      </c>
      <c r="AR145" s="76" t="str">
        <f t="shared" si="71"/>
        <v>Check Data</v>
      </c>
      <c r="AS145" s="50" t="str">
        <f t="shared" si="72"/>
        <v>Check Data</v>
      </c>
      <c r="AT145" s="49" t="str">
        <f>IF(B145="","",IF(K145="S1","S1",INDEX(#REF!,#REF!)))</f>
        <v/>
      </c>
      <c r="AU145" s="49" t="str">
        <f t="shared" si="73"/>
        <v>M2</v>
      </c>
      <c r="AV145" s="50" t="b">
        <f t="shared" si="74"/>
        <v>0</v>
      </c>
      <c r="AW145" s="50"/>
    </row>
    <row r="146" spans="1:49" ht="21.75">
      <c r="A146" s="49">
        <v>144</v>
      </c>
      <c r="B146" s="50"/>
      <c r="C146" s="50"/>
      <c r="D146" s="50" t="s">
        <v>143</v>
      </c>
      <c r="E146" s="49" t="s">
        <v>342</v>
      </c>
      <c r="F146" s="49" t="str">
        <f t="shared" si="50"/>
        <v>11/07/1996</v>
      </c>
      <c r="G146" s="50">
        <f t="shared" si="51"/>
        <v>28</v>
      </c>
      <c r="H146" s="50">
        <f t="shared" si="52"/>
        <v>11</v>
      </c>
      <c r="I146" s="50">
        <f t="shared" si="53"/>
        <v>9</v>
      </c>
      <c r="J146" s="58"/>
      <c r="K146" s="49" t="s">
        <v>136</v>
      </c>
      <c r="L146" s="49" t="str">
        <f>IF(B146="","",IF(K146="S1",K146,INDEX(#REF!,#REF!)))</f>
        <v/>
      </c>
      <c r="M146" s="49" t="b">
        <f t="shared" si="54"/>
        <v>0</v>
      </c>
      <c r="N146" s="64"/>
      <c r="O146" s="49" t="s">
        <v>427</v>
      </c>
      <c r="P146" s="49">
        <v>2573</v>
      </c>
      <c r="Q146" s="65" t="s">
        <v>291</v>
      </c>
      <c r="R146" s="49" t="str">
        <f t="shared" si="55"/>
        <v>01/11/2021</v>
      </c>
      <c r="S146" s="49" t="str">
        <f>IF(B146="","",IF(K146="S1",K146,INDEX(#REF!,#REF!)))</f>
        <v/>
      </c>
      <c r="T146" s="49" t="b">
        <f t="shared" si="56"/>
        <v>0</v>
      </c>
      <c r="U146" s="68">
        <f t="shared" si="57"/>
        <v>3</v>
      </c>
      <c r="V146" s="68">
        <f t="shared" si="58"/>
        <v>7</v>
      </c>
      <c r="W146" s="68">
        <f t="shared" si="59"/>
        <v>19</v>
      </c>
      <c r="X146" s="68"/>
      <c r="Y146" s="65"/>
      <c r="Z146" s="65"/>
      <c r="AA146" s="49" t="str">
        <f t="shared" si="60"/>
        <v/>
      </c>
      <c r="AB146" s="68">
        <f t="shared" si="61"/>
        <v>0</v>
      </c>
      <c r="AC146" s="68">
        <f t="shared" si="62"/>
        <v>0</v>
      </c>
      <c r="AD146" s="68">
        <f t="shared" si="63"/>
        <v>0</v>
      </c>
      <c r="AE146" s="49"/>
      <c r="AF146" s="65"/>
      <c r="AG146" s="50" t="str">
        <f t="shared" si="64"/>
        <v/>
      </c>
      <c r="AH146" s="68">
        <f t="shared" si="65"/>
        <v>0</v>
      </c>
      <c r="AI146" s="68">
        <f t="shared" si="66"/>
        <v>0</v>
      </c>
      <c r="AJ146" s="68">
        <f t="shared" si="67"/>
        <v>0</v>
      </c>
      <c r="AK146" s="50"/>
      <c r="AL146" s="50" t="s">
        <v>486</v>
      </c>
      <c r="AM146" s="50" t="str">
        <f>IF(B146="","",IF(K146="S1",K146,INDEX(#REF!,#REF!)))</f>
        <v/>
      </c>
      <c r="AN146" s="50" t="b">
        <f t="shared" si="68"/>
        <v>0</v>
      </c>
      <c r="AO146" s="49" t="str">
        <f t="shared" si="69"/>
        <v>K5-POLICY</v>
      </c>
      <c r="AP146" s="72" t="str">
        <f>_xlfn.IFS(B146="","",AND(AO146="K5-LAW",AL146="นิติศาสตร์",K146="S2",Y146="",AE146=""),R146,AND(AO146="K5-LAW",AL146="นิติศาสตร์",K146="S1",Y146="",AE146=""),EDATE(R146,12),AND(AO146="K5-LAW",AL146="นิติศาสตร์",OR(K146="M2",K146="K4"),Y146="",AE146=""),EDATE(R146,12*2),AND(AO146="K5-LAW",AL146="นิติศาสตร์",OR(AE146="M2",AE146="K4"),AH146&gt;=2,OR(AG146&lt;AA146,AG146&lt;R146)),EDATE(AG146,12*2),AND(AO146="K5-LAW",AL146="นิติศาสตร์",AE146="S1",AH146&gt;=1,OR(AG146&lt;AA146,AG146&lt;R146)),EDATE(AG146,12),AND(AO146="K5-LAW",AL146="นิติศาสตร์",OR(Y146="M2",Y146="K4"),AB146&gt;=2,AA146&lt;R146),EDATE(AA146,12*2),AND(AO146="K5-LAW",AL146="นิติศาสตร์",Y146="S1",AB146&gt;=1,AA146&lt;R146),EDATE(AA146,12),AND(AO146="K5-LAW",AL146="นิติศาสตร์",OR(Y146="S2",Y146="K5")),AA146,AND(AO146="K5-LAW",AL146="นิติศาสตร์",OR(K146="M2",K146="K4"),U146&gt;=2),EDATE(R146,12*2),AND(AO146="K5-LAW",AL146="นิติศาสตร์",K146="S1",U146&gt;=1),EDATE(R146,12),AND(AO146="K5-LAW",AL146="นิติศาสตร์",OR(K146="S2",K146="K5")),R146,AND(AO146="K5-POLICY",AL146&lt;&gt;"นิติศาสตร์",K146="S2",Y146="",AE146=""),R146,AND(AO146="K5-POLICY",AL146&lt;&gt;"นิติศาสตร์",K146="S1",Y146="",AE146=""),EDATE(R146,12),AND(AO146="K5-POLICY",AL146&lt;&gt;"นิติศาสตร์",OR(K146="M2",K146="K4"),Y146="",AE146=""),EDATE(R146,12*2),AND(AO146="K5-POLICY",AL146&lt;&gt;"นิติศาสตร์",OR(AE146="M2",AE146="K4"),AH146&gt;=2,OR(AG146&lt;AA146,AG146&lt;R146)),EDATE(AG146,12*2),AND(AO146="K5-POLICY",AL146&lt;&gt;"นิติศาสตร์",AE146="S1",AH146&gt;=1,OR(AG146&lt;AA146,AG146&lt;R146)),EDATE(AG146,12),AND(AO146="K5-POLICY",AL146&lt;&gt;"นิติศาสตร์",OR(Y146="M2",Y146="K4"),AB146&gt;=2,AA146&lt;R146),EDATE(AA146,12*2),AND(AO146="K5-POLICY",AL146&lt;&gt;"นิติศาสตร์",Y146="S1",AB146&gt;=1,AA146&lt;R146),EDATE(AA146,12),AND(AO146="K5-POLICY",AL146&lt;&gt;"นิติศาสตร์",OR(Y146="S2",Y146="K5")),AA146,AND(AO146="K5-POLICY",AL146&lt;&gt;"นิติศาสตร์",OR(K146="M2",K146="K4"),U146&gt;=2),EDATE(R146,12*2),AND(AO146="K5-POLICY",AL146&lt;&gt;"นิติศาสตร์",K146="S1",U146&gt;=1),EDATE(R146,12),AND(AO146="K5-POLICY",AL146&lt;&gt;"นิติศาสตร์",OR(K146="S2",K146="K5")),R146,TRUE,"Check Data")</f>
        <v/>
      </c>
      <c r="AQ146" s="75" t="str">
        <f t="shared" si="70"/>
        <v>Check Data</v>
      </c>
      <c r="AR146" s="76" t="str">
        <f t="shared" si="71"/>
        <v>Check Data</v>
      </c>
      <c r="AS146" s="50" t="str">
        <f t="shared" si="72"/>
        <v>Check Data</v>
      </c>
      <c r="AT146" s="49" t="str">
        <f>IF(B146="","",IF(K146="S1","S1",INDEX(#REF!,#REF!)))</f>
        <v/>
      </c>
      <c r="AU146" s="49" t="str">
        <f t="shared" si="73"/>
        <v>M2</v>
      </c>
      <c r="AV146" s="50" t="b">
        <f t="shared" si="74"/>
        <v>0</v>
      </c>
      <c r="AW146" s="50"/>
    </row>
    <row r="147" spans="1:49" ht="21.75">
      <c r="A147" s="49">
        <v>145</v>
      </c>
      <c r="B147" s="50"/>
      <c r="C147" s="50"/>
      <c r="D147" s="50" t="s">
        <v>140</v>
      </c>
      <c r="E147" s="49" t="s">
        <v>162</v>
      </c>
      <c r="F147" s="49" t="str">
        <f t="shared" si="50"/>
        <v>03/04/1989</v>
      </c>
      <c r="G147" s="50">
        <f t="shared" si="51"/>
        <v>36</v>
      </c>
      <c r="H147" s="50">
        <f t="shared" si="52"/>
        <v>2</v>
      </c>
      <c r="I147" s="50">
        <f t="shared" si="53"/>
        <v>17</v>
      </c>
      <c r="J147" s="57"/>
      <c r="K147" s="49" t="s">
        <v>136</v>
      </c>
      <c r="L147" s="49" t="str">
        <f>IF(B147="","",IF(K147="S1",K147,INDEX(#REF!,#REF!)))</f>
        <v/>
      </c>
      <c r="M147" s="49" t="b">
        <f t="shared" si="54"/>
        <v>0</v>
      </c>
      <c r="N147" s="64"/>
      <c r="O147" s="49" t="s">
        <v>425</v>
      </c>
      <c r="P147" s="49">
        <v>2570</v>
      </c>
      <c r="Q147" s="65" t="s">
        <v>238</v>
      </c>
      <c r="R147" s="49" t="str">
        <f t="shared" si="55"/>
        <v>19/11/2021</v>
      </c>
      <c r="S147" s="49" t="str">
        <f>IF(B147="","",IF(K147="S1",K147,INDEX(#REF!,#REF!)))</f>
        <v/>
      </c>
      <c r="T147" s="49" t="b">
        <f t="shared" si="56"/>
        <v>0</v>
      </c>
      <c r="U147" s="68">
        <f t="shared" si="57"/>
        <v>3</v>
      </c>
      <c r="V147" s="68">
        <f t="shared" si="58"/>
        <v>7</v>
      </c>
      <c r="W147" s="68">
        <f t="shared" si="59"/>
        <v>1</v>
      </c>
      <c r="X147" s="68"/>
      <c r="Y147" s="65"/>
      <c r="Z147" s="65"/>
      <c r="AA147" s="49" t="str">
        <f t="shared" si="60"/>
        <v/>
      </c>
      <c r="AB147" s="68">
        <f t="shared" si="61"/>
        <v>0</v>
      </c>
      <c r="AC147" s="68">
        <f t="shared" si="62"/>
        <v>0</v>
      </c>
      <c r="AD147" s="68">
        <f t="shared" si="63"/>
        <v>0</v>
      </c>
      <c r="AE147" s="49"/>
      <c r="AF147" s="65"/>
      <c r="AG147" s="50" t="str">
        <f t="shared" si="64"/>
        <v/>
      </c>
      <c r="AH147" s="68">
        <f t="shared" si="65"/>
        <v>0</v>
      </c>
      <c r="AI147" s="68">
        <f t="shared" si="66"/>
        <v>0</v>
      </c>
      <c r="AJ147" s="68">
        <f t="shared" si="67"/>
        <v>0</v>
      </c>
      <c r="AK147" s="50"/>
      <c r="AL147" s="50" t="s">
        <v>138</v>
      </c>
      <c r="AM147" s="50" t="str">
        <f>IF(B147="","",IF(K147="S1",K147,INDEX(#REF!,#REF!)))</f>
        <v/>
      </c>
      <c r="AN147" s="50" t="b">
        <f t="shared" si="68"/>
        <v>0</v>
      </c>
      <c r="AO147" s="49" t="str">
        <f t="shared" si="69"/>
        <v>K5-LAW</v>
      </c>
      <c r="AP147" s="72" t="str">
        <f>_xlfn.IFS(B147="","",AND(AO147="K5-LAW",AL147="นิติศาสตร์",K147="S2",Y147="",AE147=""),R147,AND(AO147="K5-LAW",AL147="นิติศาสตร์",K147="S1",Y147="",AE147=""),EDATE(R147,12),AND(AO147="K5-LAW",AL147="นิติศาสตร์",OR(K147="M2",K147="K4"),Y147="",AE147=""),EDATE(R147,12*2),AND(AO147="K5-LAW",AL147="นิติศาสตร์",OR(AE147="M2",AE147="K4"),AH147&gt;=2,OR(AG147&lt;AA147,AG147&lt;R147)),EDATE(AG147,12*2),AND(AO147="K5-LAW",AL147="นิติศาสตร์",AE147="S1",AH147&gt;=1,OR(AG147&lt;AA147,AG147&lt;R147)),EDATE(AG147,12),AND(AO147="K5-LAW",AL147="นิติศาสตร์",OR(Y147="M2",Y147="K4"),AB147&gt;=2,AA147&lt;R147),EDATE(AA147,12*2),AND(AO147="K5-LAW",AL147="นิติศาสตร์",Y147="S1",AB147&gt;=1,AA147&lt;R147),EDATE(AA147,12),AND(AO147="K5-LAW",AL147="นิติศาสตร์",OR(Y147="S2",Y147="K5")),AA147,AND(AO147="K5-LAW",AL147="นิติศาสตร์",OR(K147="M2",K147="K4"),U147&gt;=2),EDATE(R147,12*2),AND(AO147="K5-LAW",AL147="นิติศาสตร์",K147="S1",U147&gt;=1),EDATE(R147,12),AND(AO147="K5-LAW",AL147="นิติศาสตร์",OR(K147="S2",K147="K5")),R147,AND(AO147="K5-POLICY",AL147&lt;&gt;"นิติศาสตร์",K147="S2",Y147="",AE147=""),R147,AND(AO147="K5-POLICY",AL147&lt;&gt;"นิติศาสตร์",K147="S1",Y147="",AE147=""),EDATE(R147,12),AND(AO147="K5-POLICY",AL147&lt;&gt;"นิติศาสตร์",OR(K147="M2",K147="K4"),Y147="",AE147=""),EDATE(R147,12*2),AND(AO147="K5-POLICY",AL147&lt;&gt;"นิติศาสตร์",OR(AE147="M2",AE147="K4"),AH147&gt;=2,OR(AG147&lt;AA147,AG147&lt;R147)),EDATE(AG147,12*2),AND(AO147="K5-POLICY",AL147&lt;&gt;"นิติศาสตร์",AE147="S1",AH147&gt;=1,OR(AG147&lt;AA147,AG147&lt;R147)),EDATE(AG147,12),AND(AO147="K5-POLICY",AL147&lt;&gt;"นิติศาสตร์",OR(Y147="M2",Y147="K4"),AB147&gt;=2,AA147&lt;R147),EDATE(AA147,12*2),AND(AO147="K5-POLICY",AL147&lt;&gt;"นิติศาสตร์",Y147="S1",AB147&gt;=1,AA147&lt;R147),EDATE(AA147,12),AND(AO147="K5-POLICY",AL147&lt;&gt;"นิติศาสตร์",OR(Y147="S2",Y147="K5")),AA147,AND(AO147="K5-POLICY",AL147&lt;&gt;"นิติศาสตร์",OR(K147="M2",K147="K4"),U147&gt;=2),EDATE(R147,12*2),AND(AO147="K5-POLICY",AL147&lt;&gt;"นิติศาสตร์",K147="S1",U147&gt;=1),EDATE(R147,12),AND(AO147="K5-POLICY",AL147&lt;&gt;"นิติศาสตร์",OR(K147="S2",K147="K5")),R147,TRUE,"Check Data")</f>
        <v/>
      </c>
      <c r="AQ147" s="75" t="str">
        <f t="shared" si="70"/>
        <v>Check Data</v>
      </c>
      <c r="AR147" s="76" t="str">
        <f t="shared" si="71"/>
        <v>Check Data</v>
      </c>
      <c r="AS147" s="50" t="str">
        <f t="shared" si="72"/>
        <v>Check Data</v>
      </c>
      <c r="AT147" s="49" t="str">
        <f>IF(B147="","",IF(K147="S1","S1",INDEX(#REF!,#REF!)))</f>
        <v/>
      </c>
      <c r="AU147" s="49" t="str">
        <f t="shared" si="73"/>
        <v>M2</v>
      </c>
      <c r="AV147" s="50" t="b">
        <f t="shared" si="74"/>
        <v>0</v>
      </c>
      <c r="AW147" s="50"/>
    </row>
    <row r="148" spans="1:49" ht="21.75">
      <c r="A148" s="49">
        <v>146</v>
      </c>
      <c r="B148" s="50"/>
      <c r="C148" s="50"/>
      <c r="D148" s="50" t="s">
        <v>144</v>
      </c>
      <c r="E148" s="49" t="s">
        <v>174</v>
      </c>
      <c r="F148" s="49" t="str">
        <f t="shared" si="50"/>
        <v>01/04/1992</v>
      </c>
      <c r="G148" s="50">
        <f t="shared" si="51"/>
        <v>33</v>
      </c>
      <c r="H148" s="50">
        <f t="shared" si="52"/>
        <v>2</v>
      </c>
      <c r="I148" s="50">
        <f t="shared" si="53"/>
        <v>19</v>
      </c>
      <c r="J148" s="57"/>
      <c r="K148" s="49" t="s">
        <v>136</v>
      </c>
      <c r="L148" s="49" t="str">
        <f>IF(B148="","",IF(K148="S1",K148,INDEX(#REF!,#REF!)))</f>
        <v/>
      </c>
      <c r="M148" s="49" t="b">
        <f t="shared" si="54"/>
        <v>0</v>
      </c>
      <c r="N148" s="64"/>
      <c r="O148" s="49" t="s">
        <v>427</v>
      </c>
      <c r="P148" s="49">
        <v>2577</v>
      </c>
      <c r="Q148" s="65" t="s">
        <v>238</v>
      </c>
      <c r="R148" s="49" t="str">
        <f t="shared" si="55"/>
        <v>19/11/2021</v>
      </c>
      <c r="S148" s="49" t="str">
        <f>IF(B148="","",IF(K148="S1",K148,INDEX(#REF!,#REF!)))</f>
        <v/>
      </c>
      <c r="T148" s="49" t="b">
        <f t="shared" si="56"/>
        <v>0</v>
      </c>
      <c r="U148" s="68">
        <f t="shared" si="57"/>
        <v>3</v>
      </c>
      <c r="V148" s="68">
        <f t="shared" si="58"/>
        <v>7</v>
      </c>
      <c r="W148" s="68">
        <f t="shared" si="59"/>
        <v>1</v>
      </c>
      <c r="X148" s="68"/>
      <c r="Y148" s="65"/>
      <c r="Z148" s="65"/>
      <c r="AA148" s="49" t="str">
        <f t="shared" si="60"/>
        <v/>
      </c>
      <c r="AB148" s="68">
        <f t="shared" si="61"/>
        <v>0</v>
      </c>
      <c r="AC148" s="68">
        <f t="shared" si="62"/>
        <v>0</v>
      </c>
      <c r="AD148" s="68">
        <f t="shared" si="63"/>
        <v>0</v>
      </c>
      <c r="AE148" s="49"/>
      <c r="AF148" s="65"/>
      <c r="AG148" s="50" t="str">
        <f t="shared" si="64"/>
        <v/>
      </c>
      <c r="AH148" s="68">
        <f t="shared" si="65"/>
        <v>0</v>
      </c>
      <c r="AI148" s="68">
        <f t="shared" si="66"/>
        <v>0</v>
      </c>
      <c r="AJ148" s="68">
        <f t="shared" si="67"/>
        <v>0</v>
      </c>
      <c r="AK148" s="50"/>
      <c r="AL148" s="50" t="s">
        <v>163</v>
      </c>
      <c r="AM148" s="50" t="str">
        <f>IF(B148="","",IF(K148="S1",K148,INDEX(#REF!,#REF!)))</f>
        <v/>
      </c>
      <c r="AN148" s="50" t="b">
        <f t="shared" si="68"/>
        <v>0</v>
      </c>
      <c r="AO148" s="49" t="str">
        <f t="shared" si="69"/>
        <v>K5-POLICY</v>
      </c>
      <c r="AP148" s="72" t="str">
        <f>_xlfn.IFS(B148="","",AND(AO148="K5-LAW",AL148="นิติศาสตร์",K148="S2",Y148="",AE148=""),R148,AND(AO148="K5-LAW",AL148="นิติศาสตร์",K148="S1",Y148="",AE148=""),EDATE(R148,12),AND(AO148="K5-LAW",AL148="นิติศาสตร์",OR(K148="M2",K148="K4"),Y148="",AE148=""),EDATE(R148,12*2),AND(AO148="K5-LAW",AL148="นิติศาสตร์",OR(AE148="M2",AE148="K4"),AH148&gt;=2,OR(AG148&lt;AA148,AG148&lt;R148)),EDATE(AG148,12*2),AND(AO148="K5-LAW",AL148="นิติศาสตร์",AE148="S1",AH148&gt;=1,OR(AG148&lt;AA148,AG148&lt;R148)),EDATE(AG148,12),AND(AO148="K5-LAW",AL148="นิติศาสตร์",OR(Y148="M2",Y148="K4"),AB148&gt;=2,AA148&lt;R148),EDATE(AA148,12*2),AND(AO148="K5-LAW",AL148="นิติศาสตร์",Y148="S1",AB148&gt;=1,AA148&lt;R148),EDATE(AA148,12),AND(AO148="K5-LAW",AL148="นิติศาสตร์",OR(Y148="S2",Y148="K5")),AA148,AND(AO148="K5-LAW",AL148="นิติศาสตร์",OR(K148="M2",K148="K4"),U148&gt;=2),EDATE(R148,12*2),AND(AO148="K5-LAW",AL148="นิติศาสตร์",K148="S1",U148&gt;=1),EDATE(R148,12),AND(AO148="K5-LAW",AL148="นิติศาสตร์",OR(K148="S2",K148="K5")),R148,AND(AO148="K5-POLICY",AL148&lt;&gt;"นิติศาสตร์",K148="S2",Y148="",AE148=""),R148,AND(AO148="K5-POLICY",AL148&lt;&gt;"นิติศาสตร์",K148="S1",Y148="",AE148=""),EDATE(R148,12),AND(AO148="K5-POLICY",AL148&lt;&gt;"นิติศาสตร์",OR(K148="M2",K148="K4"),Y148="",AE148=""),EDATE(R148,12*2),AND(AO148="K5-POLICY",AL148&lt;&gt;"นิติศาสตร์",OR(AE148="M2",AE148="K4"),AH148&gt;=2,OR(AG148&lt;AA148,AG148&lt;R148)),EDATE(AG148,12*2),AND(AO148="K5-POLICY",AL148&lt;&gt;"นิติศาสตร์",AE148="S1",AH148&gt;=1,OR(AG148&lt;AA148,AG148&lt;R148)),EDATE(AG148,12),AND(AO148="K5-POLICY",AL148&lt;&gt;"นิติศาสตร์",OR(Y148="M2",Y148="K4"),AB148&gt;=2,AA148&lt;R148),EDATE(AA148,12*2),AND(AO148="K5-POLICY",AL148&lt;&gt;"นิติศาสตร์",Y148="S1",AB148&gt;=1,AA148&lt;R148),EDATE(AA148,12),AND(AO148="K5-POLICY",AL148&lt;&gt;"นิติศาสตร์",OR(Y148="S2",Y148="K5")),AA148,AND(AO148="K5-POLICY",AL148&lt;&gt;"นิติศาสตร์",OR(K148="M2",K148="K4"),U148&gt;=2),EDATE(R148,12*2),AND(AO148="K5-POLICY",AL148&lt;&gt;"นิติศาสตร์",K148="S1",U148&gt;=1),EDATE(R148,12),AND(AO148="K5-POLICY",AL148&lt;&gt;"นิติศาสตร์",OR(K148="S2",K148="K5")),R148,TRUE,"Check Data")</f>
        <v/>
      </c>
      <c r="AQ148" s="75" t="str">
        <f t="shared" si="70"/>
        <v>Check Data</v>
      </c>
      <c r="AR148" s="76" t="str">
        <f t="shared" si="71"/>
        <v>Check Data</v>
      </c>
      <c r="AS148" s="50" t="str">
        <f t="shared" si="72"/>
        <v>Check Data</v>
      </c>
      <c r="AT148" s="49" t="str">
        <f>IF(B148="","",IF(K148="S1","S1",INDEX(#REF!,#REF!)))</f>
        <v/>
      </c>
      <c r="AU148" s="49" t="str">
        <f t="shared" si="73"/>
        <v>M2</v>
      </c>
      <c r="AV148" s="50" t="b">
        <f t="shared" si="74"/>
        <v>0</v>
      </c>
      <c r="AW148" s="50"/>
    </row>
    <row r="149" spans="1:49" ht="21.75">
      <c r="A149" s="49">
        <v>147</v>
      </c>
      <c r="B149" s="50"/>
      <c r="C149" s="50"/>
      <c r="D149" s="50" t="s">
        <v>142</v>
      </c>
      <c r="E149" s="49" t="s">
        <v>275</v>
      </c>
      <c r="F149" s="49" t="str">
        <f t="shared" si="50"/>
        <v>21/06/1993</v>
      </c>
      <c r="G149" s="50">
        <f t="shared" si="51"/>
        <v>31</v>
      </c>
      <c r="H149" s="50">
        <f t="shared" si="52"/>
        <v>11</v>
      </c>
      <c r="I149" s="50">
        <f t="shared" si="53"/>
        <v>30</v>
      </c>
      <c r="J149" s="58"/>
      <c r="K149" s="49" t="s">
        <v>136</v>
      </c>
      <c r="L149" s="49" t="str">
        <f>IF(B149="","",IF(K149="S1",K149,INDEX(#REF!,#REF!)))</f>
        <v/>
      </c>
      <c r="M149" s="49" t="b">
        <f t="shared" si="54"/>
        <v>0</v>
      </c>
      <c r="N149" s="64"/>
      <c r="O149" s="49" t="s">
        <v>427</v>
      </c>
      <c r="P149" s="49">
        <v>2569</v>
      </c>
      <c r="Q149" s="65" t="s">
        <v>276</v>
      </c>
      <c r="R149" s="49" t="str">
        <f t="shared" si="55"/>
        <v>03/12/2021</v>
      </c>
      <c r="S149" s="49" t="str">
        <f>IF(B149="","",IF(K149="S1",K149,INDEX(#REF!,#REF!)))</f>
        <v/>
      </c>
      <c r="T149" s="49" t="b">
        <f t="shared" si="56"/>
        <v>0</v>
      </c>
      <c r="U149" s="68">
        <f t="shared" si="57"/>
        <v>3</v>
      </c>
      <c r="V149" s="68">
        <f t="shared" si="58"/>
        <v>6</v>
      </c>
      <c r="W149" s="68">
        <f t="shared" si="59"/>
        <v>17</v>
      </c>
      <c r="X149" s="68"/>
      <c r="Y149" s="65"/>
      <c r="Z149" s="65"/>
      <c r="AA149" s="49" t="str">
        <f t="shared" si="60"/>
        <v/>
      </c>
      <c r="AB149" s="68">
        <f t="shared" si="61"/>
        <v>0</v>
      </c>
      <c r="AC149" s="68">
        <f t="shared" si="62"/>
        <v>0</v>
      </c>
      <c r="AD149" s="68">
        <f t="shared" si="63"/>
        <v>0</v>
      </c>
      <c r="AE149" s="49"/>
      <c r="AF149" s="65"/>
      <c r="AG149" s="50" t="str">
        <f t="shared" si="64"/>
        <v/>
      </c>
      <c r="AH149" s="68">
        <f t="shared" si="65"/>
        <v>0</v>
      </c>
      <c r="AI149" s="68">
        <f t="shared" si="66"/>
        <v>0</v>
      </c>
      <c r="AJ149" s="68">
        <f t="shared" si="67"/>
        <v>0</v>
      </c>
      <c r="AK149" s="50"/>
      <c r="AL149" s="50" t="s">
        <v>138</v>
      </c>
      <c r="AM149" s="50" t="str">
        <f>IF(B149="","",IF(K149="S1",K149,INDEX(#REF!,#REF!)))</f>
        <v/>
      </c>
      <c r="AN149" s="50" t="b">
        <f t="shared" si="68"/>
        <v>0</v>
      </c>
      <c r="AO149" s="49" t="str">
        <f t="shared" si="69"/>
        <v>K5-LAW</v>
      </c>
      <c r="AP149" s="72" t="str">
        <f>_xlfn.IFS(B149="","",AND(AO149="K5-LAW",AL149="นิติศาสตร์",K149="S2",Y149="",AE149=""),R149,AND(AO149="K5-LAW",AL149="นิติศาสตร์",K149="S1",Y149="",AE149=""),EDATE(R149,12),AND(AO149="K5-LAW",AL149="นิติศาสตร์",OR(K149="M2",K149="K4"),Y149="",AE149=""),EDATE(R149,12*2),AND(AO149="K5-LAW",AL149="นิติศาสตร์",OR(AE149="M2",AE149="K4"),AH149&gt;=2,OR(AG149&lt;AA149,AG149&lt;R149)),EDATE(AG149,12*2),AND(AO149="K5-LAW",AL149="นิติศาสตร์",AE149="S1",AH149&gt;=1,OR(AG149&lt;AA149,AG149&lt;R149)),EDATE(AG149,12),AND(AO149="K5-LAW",AL149="นิติศาสตร์",OR(Y149="M2",Y149="K4"),AB149&gt;=2,AA149&lt;R149),EDATE(AA149,12*2),AND(AO149="K5-LAW",AL149="นิติศาสตร์",Y149="S1",AB149&gt;=1,AA149&lt;R149),EDATE(AA149,12),AND(AO149="K5-LAW",AL149="นิติศาสตร์",OR(Y149="S2",Y149="K5")),AA149,AND(AO149="K5-LAW",AL149="นิติศาสตร์",OR(K149="M2",K149="K4"),U149&gt;=2),EDATE(R149,12*2),AND(AO149="K5-LAW",AL149="นิติศาสตร์",K149="S1",U149&gt;=1),EDATE(R149,12),AND(AO149="K5-LAW",AL149="นิติศาสตร์",OR(K149="S2",K149="K5")),R149,AND(AO149="K5-POLICY",AL149&lt;&gt;"นิติศาสตร์",K149="S2",Y149="",AE149=""),R149,AND(AO149="K5-POLICY",AL149&lt;&gt;"นิติศาสตร์",K149="S1",Y149="",AE149=""),EDATE(R149,12),AND(AO149="K5-POLICY",AL149&lt;&gt;"นิติศาสตร์",OR(K149="M2",K149="K4"),Y149="",AE149=""),EDATE(R149,12*2),AND(AO149="K5-POLICY",AL149&lt;&gt;"นิติศาสตร์",OR(AE149="M2",AE149="K4"),AH149&gt;=2,OR(AG149&lt;AA149,AG149&lt;R149)),EDATE(AG149,12*2),AND(AO149="K5-POLICY",AL149&lt;&gt;"นิติศาสตร์",AE149="S1",AH149&gt;=1,OR(AG149&lt;AA149,AG149&lt;R149)),EDATE(AG149,12),AND(AO149="K5-POLICY",AL149&lt;&gt;"นิติศาสตร์",OR(Y149="M2",Y149="K4"),AB149&gt;=2,AA149&lt;R149),EDATE(AA149,12*2),AND(AO149="K5-POLICY",AL149&lt;&gt;"นิติศาสตร์",Y149="S1",AB149&gt;=1,AA149&lt;R149),EDATE(AA149,12),AND(AO149="K5-POLICY",AL149&lt;&gt;"นิติศาสตร์",OR(Y149="S2",Y149="K5")),AA149,AND(AO149="K5-POLICY",AL149&lt;&gt;"นิติศาสตร์",OR(K149="M2",K149="K4"),U149&gt;=2),EDATE(R149,12*2),AND(AO149="K5-POLICY",AL149&lt;&gt;"นิติศาสตร์",K149="S1",U149&gt;=1),EDATE(R149,12),AND(AO149="K5-POLICY",AL149&lt;&gt;"นิติศาสตร์",OR(K149="S2",K149="K5")),R149,TRUE,"Check Data")</f>
        <v/>
      </c>
      <c r="AQ149" s="75" t="str">
        <f t="shared" si="70"/>
        <v>Check Data</v>
      </c>
      <c r="AR149" s="76" t="str">
        <f t="shared" si="71"/>
        <v>Check Data</v>
      </c>
      <c r="AS149" s="50" t="str">
        <f t="shared" si="72"/>
        <v>Check Data</v>
      </c>
      <c r="AT149" s="49" t="str">
        <f>IF(B149="","",IF(K149="S1","S1",INDEX(#REF!,#REF!)))</f>
        <v/>
      </c>
      <c r="AU149" s="49" t="str">
        <f t="shared" si="73"/>
        <v>M2</v>
      </c>
      <c r="AV149" s="50" t="b">
        <f t="shared" si="74"/>
        <v>0</v>
      </c>
      <c r="AW149" s="50"/>
    </row>
    <row r="150" spans="1:49" ht="21.75">
      <c r="A150" s="49">
        <v>148</v>
      </c>
      <c r="B150" s="50"/>
      <c r="C150" s="50"/>
      <c r="D150" s="50" t="s">
        <v>142</v>
      </c>
      <c r="E150" s="49" t="s">
        <v>277</v>
      </c>
      <c r="F150" s="49" t="str">
        <f t="shared" si="50"/>
        <v>15/09/1997</v>
      </c>
      <c r="G150" s="50">
        <f t="shared" si="51"/>
        <v>27</v>
      </c>
      <c r="H150" s="50">
        <f t="shared" si="52"/>
        <v>9</v>
      </c>
      <c r="I150" s="50">
        <f t="shared" si="53"/>
        <v>5</v>
      </c>
      <c r="J150" s="58"/>
      <c r="K150" s="49" t="s">
        <v>136</v>
      </c>
      <c r="L150" s="49" t="str">
        <f>IF(B150="","",IF(K150="S1",K150,INDEX(#REF!,#REF!)))</f>
        <v/>
      </c>
      <c r="M150" s="49" t="b">
        <f t="shared" si="54"/>
        <v>0</v>
      </c>
      <c r="N150" s="64"/>
      <c r="O150" s="49" t="s">
        <v>427</v>
      </c>
      <c r="P150" s="49">
        <v>2573</v>
      </c>
      <c r="Q150" s="65" t="s">
        <v>276</v>
      </c>
      <c r="R150" s="49" t="str">
        <f t="shared" si="55"/>
        <v>03/12/2021</v>
      </c>
      <c r="S150" s="49" t="str">
        <f>IF(B150="","",IF(K150="S1",K150,INDEX(#REF!,#REF!)))</f>
        <v/>
      </c>
      <c r="T150" s="49" t="b">
        <f t="shared" si="56"/>
        <v>0</v>
      </c>
      <c r="U150" s="68">
        <f t="shared" si="57"/>
        <v>3</v>
      </c>
      <c r="V150" s="68">
        <f t="shared" si="58"/>
        <v>6</v>
      </c>
      <c r="W150" s="68">
        <f t="shared" si="59"/>
        <v>17</v>
      </c>
      <c r="X150" s="68"/>
      <c r="Y150" s="65"/>
      <c r="Z150" s="65"/>
      <c r="AA150" s="49" t="str">
        <f t="shared" si="60"/>
        <v/>
      </c>
      <c r="AB150" s="68">
        <f t="shared" si="61"/>
        <v>0</v>
      </c>
      <c r="AC150" s="68">
        <f t="shared" si="62"/>
        <v>0</v>
      </c>
      <c r="AD150" s="68">
        <f t="shared" si="63"/>
        <v>0</v>
      </c>
      <c r="AE150" s="49"/>
      <c r="AF150" s="65"/>
      <c r="AG150" s="50" t="str">
        <f t="shared" si="64"/>
        <v/>
      </c>
      <c r="AH150" s="68">
        <f t="shared" si="65"/>
        <v>0</v>
      </c>
      <c r="AI150" s="68">
        <f t="shared" si="66"/>
        <v>0</v>
      </c>
      <c r="AJ150" s="68">
        <f t="shared" si="67"/>
        <v>0</v>
      </c>
      <c r="AK150" s="50"/>
      <c r="AL150" s="50" t="s">
        <v>138</v>
      </c>
      <c r="AM150" s="50" t="str">
        <f>IF(B150="","",IF(K150="S1",K150,INDEX(#REF!,#REF!)))</f>
        <v/>
      </c>
      <c r="AN150" s="50" t="b">
        <f t="shared" si="68"/>
        <v>0</v>
      </c>
      <c r="AO150" s="49" t="str">
        <f t="shared" si="69"/>
        <v>K5-LAW</v>
      </c>
      <c r="AP150" s="72" t="str">
        <f>_xlfn.IFS(B150="","",AND(AO150="K5-LAW",AL150="นิติศาสตร์",K150="S2",Y150="",AE150=""),R150,AND(AO150="K5-LAW",AL150="นิติศาสตร์",K150="S1",Y150="",AE150=""),EDATE(R150,12),AND(AO150="K5-LAW",AL150="นิติศาสตร์",OR(K150="M2",K150="K4"),Y150="",AE150=""),EDATE(R150,12*2),AND(AO150="K5-LAW",AL150="นิติศาสตร์",OR(AE150="M2",AE150="K4"),AH150&gt;=2,OR(AG150&lt;AA150,AG150&lt;R150)),EDATE(AG150,12*2),AND(AO150="K5-LAW",AL150="นิติศาสตร์",AE150="S1",AH150&gt;=1,OR(AG150&lt;AA150,AG150&lt;R150)),EDATE(AG150,12),AND(AO150="K5-LAW",AL150="นิติศาสตร์",OR(Y150="M2",Y150="K4"),AB150&gt;=2,AA150&lt;R150),EDATE(AA150,12*2),AND(AO150="K5-LAW",AL150="นิติศาสตร์",Y150="S1",AB150&gt;=1,AA150&lt;R150),EDATE(AA150,12),AND(AO150="K5-LAW",AL150="นิติศาสตร์",OR(Y150="S2",Y150="K5")),AA150,AND(AO150="K5-LAW",AL150="นิติศาสตร์",OR(K150="M2",K150="K4"),U150&gt;=2),EDATE(R150,12*2),AND(AO150="K5-LAW",AL150="นิติศาสตร์",K150="S1",U150&gt;=1),EDATE(R150,12),AND(AO150="K5-LAW",AL150="นิติศาสตร์",OR(K150="S2",K150="K5")),R150,AND(AO150="K5-POLICY",AL150&lt;&gt;"นิติศาสตร์",K150="S2",Y150="",AE150=""),R150,AND(AO150="K5-POLICY",AL150&lt;&gt;"นิติศาสตร์",K150="S1",Y150="",AE150=""),EDATE(R150,12),AND(AO150="K5-POLICY",AL150&lt;&gt;"นิติศาสตร์",OR(K150="M2",K150="K4"),Y150="",AE150=""),EDATE(R150,12*2),AND(AO150="K5-POLICY",AL150&lt;&gt;"นิติศาสตร์",OR(AE150="M2",AE150="K4"),AH150&gt;=2,OR(AG150&lt;AA150,AG150&lt;R150)),EDATE(AG150,12*2),AND(AO150="K5-POLICY",AL150&lt;&gt;"นิติศาสตร์",AE150="S1",AH150&gt;=1,OR(AG150&lt;AA150,AG150&lt;R150)),EDATE(AG150,12),AND(AO150="K5-POLICY",AL150&lt;&gt;"นิติศาสตร์",OR(Y150="M2",Y150="K4"),AB150&gt;=2,AA150&lt;R150),EDATE(AA150,12*2),AND(AO150="K5-POLICY",AL150&lt;&gt;"นิติศาสตร์",Y150="S1",AB150&gt;=1,AA150&lt;R150),EDATE(AA150,12),AND(AO150="K5-POLICY",AL150&lt;&gt;"นิติศาสตร์",OR(Y150="S2",Y150="K5")),AA150,AND(AO150="K5-POLICY",AL150&lt;&gt;"นิติศาสตร์",OR(K150="M2",K150="K4"),U150&gt;=2),EDATE(R150,12*2),AND(AO150="K5-POLICY",AL150&lt;&gt;"นิติศาสตร์",K150="S1",U150&gt;=1),EDATE(R150,12),AND(AO150="K5-POLICY",AL150&lt;&gt;"นิติศาสตร์",OR(K150="S2",K150="K5")),R150,TRUE,"Check Data")</f>
        <v/>
      </c>
      <c r="AQ150" s="75" t="str">
        <f t="shared" si="70"/>
        <v>Check Data</v>
      </c>
      <c r="AR150" s="76" t="str">
        <f t="shared" si="71"/>
        <v>Check Data</v>
      </c>
      <c r="AS150" s="50" t="str">
        <f t="shared" si="72"/>
        <v>Check Data</v>
      </c>
      <c r="AT150" s="49" t="str">
        <f>IF(B150="","",IF(K150="S1","S1",INDEX(#REF!,#REF!)))</f>
        <v/>
      </c>
      <c r="AU150" s="49" t="str">
        <f t="shared" si="73"/>
        <v>M2</v>
      </c>
      <c r="AV150" s="50" t="b">
        <f t="shared" si="74"/>
        <v>0</v>
      </c>
      <c r="AW150" s="50"/>
    </row>
    <row r="151" spans="1:49" ht="21.75">
      <c r="A151" s="49">
        <v>149</v>
      </c>
      <c r="B151" s="50"/>
      <c r="C151" s="50"/>
      <c r="D151" s="50" t="s">
        <v>142</v>
      </c>
      <c r="E151" s="49" t="s">
        <v>277</v>
      </c>
      <c r="F151" s="49" t="str">
        <f t="shared" si="50"/>
        <v>15/09/1997</v>
      </c>
      <c r="G151" s="50">
        <f t="shared" si="51"/>
        <v>27</v>
      </c>
      <c r="H151" s="50">
        <f t="shared" si="52"/>
        <v>9</v>
      </c>
      <c r="I151" s="50">
        <f t="shared" si="53"/>
        <v>5</v>
      </c>
      <c r="J151" s="58"/>
      <c r="K151" s="49" t="s">
        <v>136</v>
      </c>
      <c r="L151" s="49" t="str">
        <f>IF(B151="","",IF(K151="S1",K151,INDEX(#REF!,#REF!)))</f>
        <v/>
      </c>
      <c r="M151" s="49" t="b">
        <f t="shared" si="54"/>
        <v>0</v>
      </c>
      <c r="N151" s="64"/>
      <c r="O151" s="49" t="s">
        <v>427</v>
      </c>
      <c r="P151" s="49">
        <v>2573</v>
      </c>
      <c r="Q151" s="65" t="s">
        <v>276</v>
      </c>
      <c r="R151" s="49" t="str">
        <f t="shared" si="55"/>
        <v>03/12/2021</v>
      </c>
      <c r="S151" s="49" t="str">
        <f>IF(B151="","",IF(K151="S1",K151,INDEX(#REF!,#REF!)))</f>
        <v/>
      </c>
      <c r="T151" s="49" t="b">
        <f t="shared" si="56"/>
        <v>0</v>
      </c>
      <c r="U151" s="68">
        <f t="shared" si="57"/>
        <v>3</v>
      </c>
      <c r="V151" s="68">
        <f t="shared" si="58"/>
        <v>6</v>
      </c>
      <c r="W151" s="68">
        <f t="shared" si="59"/>
        <v>17</v>
      </c>
      <c r="X151" s="68"/>
      <c r="Y151" s="65"/>
      <c r="Z151" s="65"/>
      <c r="AA151" s="49" t="str">
        <f t="shared" si="60"/>
        <v/>
      </c>
      <c r="AB151" s="68">
        <f t="shared" si="61"/>
        <v>0</v>
      </c>
      <c r="AC151" s="68">
        <f t="shared" si="62"/>
        <v>0</v>
      </c>
      <c r="AD151" s="68">
        <f t="shared" si="63"/>
        <v>0</v>
      </c>
      <c r="AE151" s="49"/>
      <c r="AF151" s="65"/>
      <c r="AG151" s="50" t="str">
        <f t="shared" si="64"/>
        <v/>
      </c>
      <c r="AH151" s="68">
        <f t="shared" si="65"/>
        <v>0</v>
      </c>
      <c r="AI151" s="68">
        <f t="shared" si="66"/>
        <v>0</v>
      </c>
      <c r="AJ151" s="68">
        <f t="shared" si="67"/>
        <v>0</v>
      </c>
      <c r="AK151" s="50"/>
      <c r="AL151" s="50" t="s">
        <v>178</v>
      </c>
      <c r="AM151" s="50" t="str">
        <f>IF(B151="","",IF(K151="S1",K151,INDEX(#REF!,#REF!)))</f>
        <v/>
      </c>
      <c r="AN151" s="50" t="b">
        <f t="shared" si="68"/>
        <v>0</v>
      </c>
      <c r="AO151" s="49" t="str">
        <f t="shared" si="69"/>
        <v>K5-POLICY</v>
      </c>
      <c r="AP151" s="72" t="str">
        <f>_xlfn.IFS(B151="","",AND(AO151="K5-LAW",AL151="นิติศาสตร์",K151="S2",Y151="",AE151=""),R151,AND(AO151="K5-LAW",AL151="นิติศาสตร์",K151="S1",Y151="",AE151=""),EDATE(R151,12),AND(AO151="K5-LAW",AL151="นิติศาสตร์",OR(K151="M2",K151="K4"),Y151="",AE151=""),EDATE(R151,12*2),AND(AO151="K5-LAW",AL151="นิติศาสตร์",OR(AE151="M2",AE151="K4"),AH151&gt;=2,OR(AG151&lt;AA151,AG151&lt;R151)),EDATE(AG151,12*2),AND(AO151="K5-LAW",AL151="นิติศาสตร์",AE151="S1",AH151&gt;=1,OR(AG151&lt;AA151,AG151&lt;R151)),EDATE(AG151,12),AND(AO151="K5-LAW",AL151="นิติศาสตร์",OR(Y151="M2",Y151="K4"),AB151&gt;=2,AA151&lt;R151),EDATE(AA151,12*2),AND(AO151="K5-LAW",AL151="นิติศาสตร์",Y151="S1",AB151&gt;=1,AA151&lt;R151),EDATE(AA151,12),AND(AO151="K5-LAW",AL151="นิติศาสตร์",OR(Y151="S2",Y151="K5")),AA151,AND(AO151="K5-LAW",AL151="นิติศาสตร์",OR(K151="M2",K151="K4"),U151&gt;=2),EDATE(R151,12*2),AND(AO151="K5-LAW",AL151="นิติศาสตร์",K151="S1",U151&gt;=1),EDATE(R151,12),AND(AO151="K5-LAW",AL151="นิติศาสตร์",OR(K151="S2",K151="K5")),R151,AND(AO151="K5-POLICY",AL151&lt;&gt;"นิติศาสตร์",K151="S2",Y151="",AE151=""),R151,AND(AO151="K5-POLICY",AL151&lt;&gt;"นิติศาสตร์",K151="S1",Y151="",AE151=""),EDATE(R151,12),AND(AO151="K5-POLICY",AL151&lt;&gt;"นิติศาสตร์",OR(K151="M2",K151="K4"),Y151="",AE151=""),EDATE(R151,12*2),AND(AO151="K5-POLICY",AL151&lt;&gt;"นิติศาสตร์",OR(AE151="M2",AE151="K4"),AH151&gt;=2,OR(AG151&lt;AA151,AG151&lt;R151)),EDATE(AG151,12*2),AND(AO151="K5-POLICY",AL151&lt;&gt;"นิติศาสตร์",AE151="S1",AH151&gt;=1,OR(AG151&lt;AA151,AG151&lt;R151)),EDATE(AG151,12),AND(AO151="K5-POLICY",AL151&lt;&gt;"นิติศาสตร์",OR(Y151="M2",Y151="K4"),AB151&gt;=2,AA151&lt;R151),EDATE(AA151,12*2),AND(AO151="K5-POLICY",AL151&lt;&gt;"นิติศาสตร์",Y151="S1",AB151&gt;=1,AA151&lt;R151),EDATE(AA151,12),AND(AO151="K5-POLICY",AL151&lt;&gt;"นิติศาสตร์",OR(Y151="S2",Y151="K5")),AA151,AND(AO151="K5-POLICY",AL151&lt;&gt;"นิติศาสตร์",OR(K151="M2",K151="K4"),U151&gt;=2),EDATE(R151,12*2),AND(AO151="K5-POLICY",AL151&lt;&gt;"นิติศาสตร์",K151="S1",U151&gt;=1),EDATE(R151,12),AND(AO151="K5-POLICY",AL151&lt;&gt;"นิติศาสตร์",OR(K151="S2",K151="K5")),R151,TRUE,"Check Data")</f>
        <v/>
      </c>
      <c r="AQ151" s="75" t="str">
        <f t="shared" si="70"/>
        <v>Check Data</v>
      </c>
      <c r="AR151" s="76" t="str">
        <f t="shared" si="71"/>
        <v>Check Data</v>
      </c>
      <c r="AS151" s="50" t="str">
        <f t="shared" si="72"/>
        <v>Check Data</v>
      </c>
      <c r="AT151" s="49" t="str">
        <f>IF(B151="","",IF(K151="S1","S1",INDEX(#REF!,#REF!)))</f>
        <v/>
      </c>
      <c r="AU151" s="49" t="str">
        <f t="shared" si="73"/>
        <v>M2</v>
      </c>
      <c r="AV151" s="50" t="b">
        <f t="shared" si="74"/>
        <v>0</v>
      </c>
      <c r="AW151" s="50"/>
    </row>
    <row r="152" spans="1:49" ht="21.75">
      <c r="A152" s="49">
        <v>150</v>
      </c>
      <c r="B152" s="50"/>
      <c r="C152" s="50"/>
      <c r="D152" s="50" t="s">
        <v>142</v>
      </c>
      <c r="E152" s="49" t="s">
        <v>251</v>
      </c>
      <c r="F152" s="49" t="str">
        <f t="shared" si="50"/>
        <v>15/08/1997</v>
      </c>
      <c r="G152" s="50">
        <f t="shared" si="51"/>
        <v>27</v>
      </c>
      <c r="H152" s="50">
        <f t="shared" si="52"/>
        <v>10</v>
      </c>
      <c r="I152" s="50">
        <f t="shared" si="53"/>
        <v>5</v>
      </c>
      <c r="J152" s="58"/>
      <c r="K152" s="49" t="s">
        <v>136</v>
      </c>
      <c r="L152" s="49" t="str">
        <f>IF(B152="","",IF(K152="S1",K152,INDEX(#REF!,#REF!)))</f>
        <v/>
      </c>
      <c r="M152" s="49" t="b">
        <f t="shared" si="54"/>
        <v>0</v>
      </c>
      <c r="N152" s="64"/>
      <c r="O152" s="49" t="s">
        <v>427</v>
      </c>
      <c r="P152" s="49">
        <v>2572</v>
      </c>
      <c r="Q152" s="65" t="s">
        <v>276</v>
      </c>
      <c r="R152" s="49" t="str">
        <f t="shared" si="55"/>
        <v>03/12/2021</v>
      </c>
      <c r="S152" s="49" t="str">
        <f>IF(B152="","",IF(K152="S1",K152,INDEX(#REF!,#REF!)))</f>
        <v/>
      </c>
      <c r="T152" s="49" t="b">
        <f t="shared" si="56"/>
        <v>0</v>
      </c>
      <c r="U152" s="68">
        <f t="shared" si="57"/>
        <v>3</v>
      </c>
      <c r="V152" s="68">
        <f t="shared" si="58"/>
        <v>6</v>
      </c>
      <c r="W152" s="68">
        <f t="shared" si="59"/>
        <v>17</v>
      </c>
      <c r="X152" s="68"/>
      <c r="Y152" s="65"/>
      <c r="Z152" s="65"/>
      <c r="AA152" s="49" t="str">
        <f t="shared" si="60"/>
        <v/>
      </c>
      <c r="AB152" s="68">
        <f t="shared" si="61"/>
        <v>0</v>
      </c>
      <c r="AC152" s="68">
        <f t="shared" si="62"/>
        <v>0</v>
      </c>
      <c r="AD152" s="68">
        <f t="shared" si="63"/>
        <v>0</v>
      </c>
      <c r="AE152" s="49"/>
      <c r="AF152" s="65"/>
      <c r="AG152" s="50" t="str">
        <f t="shared" si="64"/>
        <v/>
      </c>
      <c r="AH152" s="68">
        <f t="shared" si="65"/>
        <v>0</v>
      </c>
      <c r="AI152" s="68">
        <f t="shared" si="66"/>
        <v>0</v>
      </c>
      <c r="AJ152" s="68">
        <f t="shared" si="67"/>
        <v>0</v>
      </c>
      <c r="AK152" s="50"/>
      <c r="AL152" s="50" t="s">
        <v>172</v>
      </c>
      <c r="AM152" s="50" t="str">
        <f>IF(B152="","",IF(K152="S1",K152,INDEX(#REF!,#REF!)))</f>
        <v/>
      </c>
      <c r="AN152" s="50" t="b">
        <f t="shared" si="68"/>
        <v>0</v>
      </c>
      <c r="AO152" s="49" t="str">
        <f t="shared" si="69"/>
        <v>K5-POLICY</v>
      </c>
      <c r="AP152" s="72" t="str">
        <f>_xlfn.IFS(B152="","",AND(AO152="K5-LAW",AL152="นิติศาสตร์",K152="S2",Y152="",AE152=""),R152,AND(AO152="K5-LAW",AL152="นิติศาสตร์",K152="S1",Y152="",AE152=""),EDATE(R152,12),AND(AO152="K5-LAW",AL152="นิติศาสตร์",OR(K152="M2",K152="K4"),Y152="",AE152=""),EDATE(R152,12*2),AND(AO152="K5-LAW",AL152="นิติศาสตร์",OR(AE152="M2",AE152="K4"),AH152&gt;=2,OR(AG152&lt;AA152,AG152&lt;R152)),EDATE(AG152,12*2),AND(AO152="K5-LAW",AL152="นิติศาสตร์",AE152="S1",AH152&gt;=1,OR(AG152&lt;AA152,AG152&lt;R152)),EDATE(AG152,12),AND(AO152="K5-LAW",AL152="นิติศาสตร์",OR(Y152="M2",Y152="K4"),AB152&gt;=2,AA152&lt;R152),EDATE(AA152,12*2),AND(AO152="K5-LAW",AL152="นิติศาสตร์",Y152="S1",AB152&gt;=1,AA152&lt;R152),EDATE(AA152,12),AND(AO152="K5-LAW",AL152="นิติศาสตร์",OR(Y152="S2",Y152="K5")),AA152,AND(AO152="K5-LAW",AL152="นิติศาสตร์",OR(K152="M2",K152="K4"),U152&gt;=2),EDATE(R152,12*2),AND(AO152="K5-LAW",AL152="นิติศาสตร์",K152="S1",U152&gt;=1),EDATE(R152,12),AND(AO152="K5-LAW",AL152="นิติศาสตร์",OR(K152="S2",K152="K5")),R152,AND(AO152="K5-POLICY",AL152&lt;&gt;"นิติศาสตร์",K152="S2",Y152="",AE152=""),R152,AND(AO152="K5-POLICY",AL152&lt;&gt;"นิติศาสตร์",K152="S1",Y152="",AE152=""),EDATE(R152,12),AND(AO152="K5-POLICY",AL152&lt;&gt;"นิติศาสตร์",OR(K152="M2",K152="K4"),Y152="",AE152=""),EDATE(R152,12*2),AND(AO152="K5-POLICY",AL152&lt;&gt;"นิติศาสตร์",OR(AE152="M2",AE152="K4"),AH152&gt;=2,OR(AG152&lt;AA152,AG152&lt;R152)),EDATE(AG152,12*2),AND(AO152="K5-POLICY",AL152&lt;&gt;"นิติศาสตร์",AE152="S1",AH152&gt;=1,OR(AG152&lt;AA152,AG152&lt;R152)),EDATE(AG152,12),AND(AO152="K5-POLICY",AL152&lt;&gt;"นิติศาสตร์",OR(Y152="M2",Y152="K4"),AB152&gt;=2,AA152&lt;R152),EDATE(AA152,12*2),AND(AO152="K5-POLICY",AL152&lt;&gt;"นิติศาสตร์",Y152="S1",AB152&gt;=1,AA152&lt;R152),EDATE(AA152,12),AND(AO152="K5-POLICY",AL152&lt;&gt;"นิติศาสตร์",OR(Y152="S2",Y152="K5")),AA152,AND(AO152="K5-POLICY",AL152&lt;&gt;"นิติศาสตร์",OR(K152="M2",K152="K4"),U152&gt;=2),EDATE(R152,12*2),AND(AO152="K5-POLICY",AL152&lt;&gt;"นิติศาสตร์",K152="S1",U152&gt;=1),EDATE(R152,12),AND(AO152="K5-POLICY",AL152&lt;&gt;"นิติศาสตร์",OR(K152="S2",K152="K5")),R152,TRUE,"Check Data")</f>
        <v/>
      </c>
      <c r="AQ152" s="75" t="str">
        <f t="shared" si="70"/>
        <v>Check Data</v>
      </c>
      <c r="AR152" s="76" t="str">
        <f t="shared" si="71"/>
        <v>Check Data</v>
      </c>
      <c r="AS152" s="50" t="str">
        <f t="shared" si="72"/>
        <v>Check Data</v>
      </c>
      <c r="AT152" s="49" t="str">
        <f>IF(B152="","",IF(K152="S1","S1",INDEX(#REF!,#REF!)))</f>
        <v/>
      </c>
      <c r="AU152" s="49" t="str">
        <f t="shared" si="73"/>
        <v>M2</v>
      </c>
      <c r="AV152" s="50" t="b">
        <f t="shared" si="74"/>
        <v>0</v>
      </c>
      <c r="AW152" s="50"/>
    </row>
    <row r="153" spans="1:49" ht="21.75">
      <c r="A153" s="49">
        <v>151</v>
      </c>
      <c r="B153" s="50"/>
      <c r="C153" s="50"/>
      <c r="D153" s="50" t="s">
        <v>144</v>
      </c>
      <c r="E153" s="49" t="s">
        <v>382</v>
      </c>
      <c r="F153" s="49" t="str">
        <f t="shared" si="50"/>
        <v>01/05/1989</v>
      </c>
      <c r="G153" s="50">
        <f t="shared" si="51"/>
        <v>36</v>
      </c>
      <c r="H153" s="50">
        <f t="shared" si="52"/>
        <v>1</v>
      </c>
      <c r="I153" s="50">
        <f t="shared" si="53"/>
        <v>19</v>
      </c>
      <c r="J153" s="59"/>
      <c r="K153" s="49" t="s">
        <v>136</v>
      </c>
      <c r="L153" s="49" t="str">
        <f>IF(B153="","",IF(K153="S1",K153,INDEX(#REF!,#REF!)))</f>
        <v/>
      </c>
      <c r="M153" s="49" t="b">
        <f t="shared" si="54"/>
        <v>0</v>
      </c>
      <c r="N153" s="64"/>
      <c r="O153" s="49" t="s">
        <v>425</v>
      </c>
      <c r="P153" s="49">
        <v>2573</v>
      </c>
      <c r="Q153" s="65" t="s">
        <v>383</v>
      </c>
      <c r="R153" s="49" t="str">
        <f t="shared" si="55"/>
        <v>17/12/2021</v>
      </c>
      <c r="S153" s="49" t="str">
        <f>IF(B153="","",IF(K153="S1",K153,INDEX(#REF!,#REF!)))</f>
        <v/>
      </c>
      <c r="T153" s="49" t="b">
        <f t="shared" si="56"/>
        <v>0</v>
      </c>
      <c r="U153" s="68">
        <f t="shared" si="57"/>
        <v>3</v>
      </c>
      <c r="V153" s="68">
        <f t="shared" si="58"/>
        <v>6</v>
      </c>
      <c r="W153" s="68">
        <f t="shared" si="59"/>
        <v>3</v>
      </c>
      <c r="X153" s="68"/>
      <c r="Y153" s="65"/>
      <c r="Z153" s="65"/>
      <c r="AA153" s="49" t="str">
        <f t="shared" si="60"/>
        <v/>
      </c>
      <c r="AB153" s="68">
        <f t="shared" si="61"/>
        <v>0</v>
      </c>
      <c r="AC153" s="68">
        <f t="shared" si="62"/>
        <v>0</v>
      </c>
      <c r="AD153" s="68">
        <f t="shared" si="63"/>
        <v>0</v>
      </c>
      <c r="AE153" s="49"/>
      <c r="AF153" s="65"/>
      <c r="AG153" s="50" t="str">
        <f t="shared" si="64"/>
        <v/>
      </c>
      <c r="AH153" s="68">
        <f t="shared" si="65"/>
        <v>0</v>
      </c>
      <c r="AI153" s="68">
        <f t="shared" si="66"/>
        <v>0</v>
      </c>
      <c r="AJ153" s="68">
        <f t="shared" si="67"/>
        <v>0</v>
      </c>
      <c r="AK153" s="50"/>
      <c r="AL153" s="50" t="s">
        <v>172</v>
      </c>
      <c r="AM153" s="50" t="str">
        <f>IF(B153="","",IF(K153="S1",K153,INDEX(#REF!,#REF!)))</f>
        <v/>
      </c>
      <c r="AN153" s="50" t="b">
        <f t="shared" si="68"/>
        <v>0</v>
      </c>
      <c r="AO153" s="49" t="str">
        <f t="shared" si="69"/>
        <v>K5-POLICY</v>
      </c>
      <c r="AP153" s="72" t="str">
        <f>_xlfn.IFS(B153="","",AND(AO153="K5-LAW",AL153="นิติศาสตร์",K153="S2",Y153="",AE153=""),R153,AND(AO153="K5-LAW",AL153="นิติศาสตร์",K153="S1",Y153="",AE153=""),EDATE(R153,12),AND(AO153="K5-LAW",AL153="นิติศาสตร์",OR(K153="M2",K153="K4"),Y153="",AE153=""),EDATE(R153,12*2),AND(AO153="K5-LAW",AL153="นิติศาสตร์",OR(AE153="M2",AE153="K4"),AH153&gt;=2,OR(AG153&lt;AA153,AG153&lt;R153)),EDATE(AG153,12*2),AND(AO153="K5-LAW",AL153="นิติศาสตร์",AE153="S1",AH153&gt;=1,OR(AG153&lt;AA153,AG153&lt;R153)),EDATE(AG153,12),AND(AO153="K5-LAW",AL153="นิติศาสตร์",OR(Y153="M2",Y153="K4"),AB153&gt;=2,AA153&lt;R153),EDATE(AA153,12*2),AND(AO153="K5-LAW",AL153="นิติศาสตร์",Y153="S1",AB153&gt;=1,AA153&lt;R153),EDATE(AA153,12),AND(AO153="K5-LAW",AL153="นิติศาสตร์",OR(Y153="S2",Y153="K5")),AA153,AND(AO153="K5-LAW",AL153="นิติศาสตร์",OR(K153="M2",K153="K4"),U153&gt;=2),EDATE(R153,12*2),AND(AO153="K5-LAW",AL153="นิติศาสตร์",K153="S1",U153&gt;=1),EDATE(R153,12),AND(AO153="K5-LAW",AL153="นิติศาสตร์",OR(K153="S2",K153="K5")),R153,AND(AO153="K5-POLICY",AL153&lt;&gt;"นิติศาสตร์",K153="S2",Y153="",AE153=""),R153,AND(AO153="K5-POLICY",AL153&lt;&gt;"นิติศาสตร์",K153="S1",Y153="",AE153=""),EDATE(R153,12),AND(AO153="K5-POLICY",AL153&lt;&gt;"นิติศาสตร์",OR(K153="M2",K153="K4"),Y153="",AE153=""),EDATE(R153,12*2),AND(AO153="K5-POLICY",AL153&lt;&gt;"นิติศาสตร์",OR(AE153="M2",AE153="K4"),AH153&gt;=2,OR(AG153&lt;AA153,AG153&lt;R153)),EDATE(AG153,12*2),AND(AO153="K5-POLICY",AL153&lt;&gt;"นิติศาสตร์",AE153="S1",AH153&gt;=1,OR(AG153&lt;AA153,AG153&lt;R153)),EDATE(AG153,12),AND(AO153="K5-POLICY",AL153&lt;&gt;"นิติศาสตร์",OR(Y153="M2",Y153="K4"),AB153&gt;=2,AA153&lt;R153),EDATE(AA153,12*2),AND(AO153="K5-POLICY",AL153&lt;&gt;"นิติศาสตร์",Y153="S1",AB153&gt;=1,AA153&lt;R153),EDATE(AA153,12),AND(AO153="K5-POLICY",AL153&lt;&gt;"นิติศาสตร์",OR(Y153="S2",Y153="K5")),AA153,AND(AO153="K5-POLICY",AL153&lt;&gt;"นิติศาสตร์",OR(K153="M2",K153="K4"),U153&gt;=2),EDATE(R153,12*2),AND(AO153="K5-POLICY",AL153&lt;&gt;"นิติศาสตร์",K153="S1",U153&gt;=1),EDATE(R153,12),AND(AO153="K5-POLICY",AL153&lt;&gt;"นิติศาสตร์",OR(K153="S2",K153="K5")),R153,TRUE,"Check Data")</f>
        <v/>
      </c>
      <c r="AQ153" s="75" t="str">
        <f t="shared" si="70"/>
        <v>Check Data</v>
      </c>
      <c r="AR153" s="76" t="str">
        <f t="shared" si="71"/>
        <v>Check Data</v>
      </c>
      <c r="AS153" s="50" t="str">
        <f t="shared" si="72"/>
        <v>Check Data</v>
      </c>
      <c r="AT153" s="49" t="str">
        <f>IF(B153="","",IF(K153="S1","S1",INDEX(#REF!,#REF!)))</f>
        <v/>
      </c>
      <c r="AU153" s="49" t="str">
        <f t="shared" si="73"/>
        <v>M2</v>
      </c>
      <c r="AV153" s="50" t="b">
        <f t="shared" si="74"/>
        <v>0</v>
      </c>
      <c r="AW153" s="50"/>
    </row>
    <row r="154" spans="1:49" ht="21.75">
      <c r="A154" s="49">
        <v>152</v>
      </c>
      <c r="B154" s="50"/>
      <c r="C154" s="50"/>
      <c r="D154" s="50" t="s">
        <v>144</v>
      </c>
      <c r="E154" s="49" t="s">
        <v>377</v>
      </c>
      <c r="F154" s="49" t="str">
        <f t="shared" si="50"/>
        <v>01/10/1993</v>
      </c>
      <c r="G154" s="50">
        <f t="shared" si="51"/>
        <v>31</v>
      </c>
      <c r="H154" s="50">
        <f t="shared" si="52"/>
        <v>8</v>
      </c>
      <c r="I154" s="50">
        <f t="shared" si="53"/>
        <v>19</v>
      </c>
      <c r="J154" s="57"/>
      <c r="K154" s="49" t="s">
        <v>136</v>
      </c>
      <c r="L154" s="49" t="str">
        <f>IF(B154="","",IF(K154="S1",K154,INDEX(#REF!,#REF!)))</f>
        <v/>
      </c>
      <c r="M154" s="49" t="b">
        <f t="shared" si="54"/>
        <v>0</v>
      </c>
      <c r="N154" s="64"/>
      <c r="O154" s="49" t="s">
        <v>427</v>
      </c>
      <c r="P154" s="49">
        <v>2568</v>
      </c>
      <c r="Q154" s="65" t="s">
        <v>383</v>
      </c>
      <c r="R154" s="49" t="str">
        <f t="shared" si="55"/>
        <v>17/12/2021</v>
      </c>
      <c r="S154" s="49" t="str">
        <f>IF(B154="","",IF(K154="S1",K154,INDEX(#REF!,#REF!)))</f>
        <v/>
      </c>
      <c r="T154" s="49" t="b">
        <f t="shared" si="56"/>
        <v>0</v>
      </c>
      <c r="U154" s="68">
        <f t="shared" si="57"/>
        <v>3</v>
      </c>
      <c r="V154" s="68">
        <f t="shared" si="58"/>
        <v>6</v>
      </c>
      <c r="W154" s="68">
        <f t="shared" si="59"/>
        <v>3</v>
      </c>
      <c r="X154" s="68"/>
      <c r="Y154" s="65"/>
      <c r="Z154" s="65"/>
      <c r="AA154" s="49" t="str">
        <f t="shared" si="60"/>
        <v/>
      </c>
      <c r="AB154" s="68">
        <f t="shared" si="61"/>
        <v>0</v>
      </c>
      <c r="AC154" s="68">
        <f t="shared" si="62"/>
        <v>0</v>
      </c>
      <c r="AD154" s="68">
        <f t="shared" si="63"/>
        <v>0</v>
      </c>
      <c r="AE154" s="49"/>
      <c r="AF154" s="65"/>
      <c r="AG154" s="50" t="str">
        <f t="shared" si="64"/>
        <v/>
      </c>
      <c r="AH154" s="68">
        <f t="shared" si="65"/>
        <v>0</v>
      </c>
      <c r="AI154" s="68">
        <f t="shared" si="66"/>
        <v>0</v>
      </c>
      <c r="AJ154" s="68">
        <f t="shared" si="67"/>
        <v>0</v>
      </c>
      <c r="AK154" s="50"/>
      <c r="AL154" s="50" t="s">
        <v>138</v>
      </c>
      <c r="AM154" s="50" t="str">
        <f>IF(B154="","",IF(K154="S1",K154,INDEX(#REF!,#REF!)))</f>
        <v/>
      </c>
      <c r="AN154" s="50" t="b">
        <f t="shared" si="68"/>
        <v>0</v>
      </c>
      <c r="AO154" s="49" t="str">
        <f t="shared" si="69"/>
        <v>K5-LAW</v>
      </c>
      <c r="AP154" s="72" t="str">
        <f>_xlfn.IFS(B154="","",AND(AO154="K5-LAW",AL154="นิติศาสตร์",K154="S2",Y154="",AE154=""),R154,AND(AO154="K5-LAW",AL154="นิติศาสตร์",K154="S1",Y154="",AE154=""),EDATE(R154,12),AND(AO154="K5-LAW",AL154="นิติศาสตร์",OR(K154="M2",K154="K4"),Y154="",AE154=""),EDATE(R154,12*2),AND(AO154="K5-LAW",AL154="นิติศาสตร์",OR(AE154="M2",AE154="K4"),AH154&gt;=2,OR(AG154&lt;AA154,AG154&lt;R154)),EDATE(AG154,12*2),AND(AO154="K5-LAW",AL154="นิติศาสตร์",AE154="S1",AH154&gt;=1,OR(AG154&lt;AA154,AG154&lt;R154)),EDATE(AG154,12),AND(AO154="K5-LAW",AL154="นิติศาสตร์",OR(Y154="M2",Y154="K4"),AB154&gt;=2,AA154&lt;R154),EDATE(AA154,12*2),AND(AO154="K5-LAW",AL154="นิติศาสตร์",Y154="S1",AB154&gt;=1,AA154&lt;R154),EDATE(AA154,12),AND(AO154="K5-LAW",AL154="นิติศาสตร์",OR(Y154="S2",Y154="K5")),AA154,AND(AO154="K5-LAW",AL154="นิติศาสตร์",OR(K154="M2",K154="K4"),U154&gt;=2),EDATE(R154,12*2),AND(AO154="K5-LAW",AL154="นิติศาสตร์",K154="S1",U154&gt;=1),EDATE(R154,12),AND(AO154="K5-LAW",AL154="นิติศาสตร์",OR(K154="S2",K154="K5")),R154,AND(AO154="K5-POLICY",AL154&lt;&gt;"นิติศาสตร์",K154="S2",Y154="",AE154=""),R154,AND(AO154="K5-POLICY",AL154&lt;&gt;"นิติศาสตร์",K154="S1",Y154="",AE154=""),EDATE(R154,12),AND(AO154="K5-POLICY",AL154&lt;&gt;"นิติศาสตร์",OR(K154="M2",K154="K4"),Y154="",AE154=""),EDATE(R154,12*2),AND(AO154="K5-POLICY",AL154&lt;&gt;"นิติศาสตร์",OR(AE154="M2",AE154="K4"),AH154&gt;=2,OR(AG154&lt;AA154,AG154&lt;R154)),EDATE(AG154,12*2),AND(AO154="K5-POLICY",AL154&lt;&gt;"นิติศาสตร์",AE154="S1",AH154&gt;=1,OR(AG154&lt;AA154,AG154&lt;R154)),EDATE(AG154,12),AND(AO154="K5-POLICY",AL154&lt;&gt;"นิติศาสตร์",OR(Y154="M2",Y154="K4"),AB154&gt;=2,AA154&lt;R154),EDATE(AA154,12*2),AND(AO154="K5-POLICY",AL154&lt;&gt;"นิติศาสตร์",Y154="S1",AB154&gt;=1,AA154&lt;R154),EDATE(AA154,12),AND(AO154="K5-POLICY",AL154&lt;&gt;"นิติศาสตร์",OR(Y154="S2",Y154="K5")),AA154,AND(AO154="K5-POLICY",AL154&lt;&gt;"นิติศาสตร์",OR(K154="M2",K154="K4"),U154&gt;=2),EDATE(R154,12*2),AND(AO154="K5-POLICY",AL154&lt;&gt;"นิติศาสตร์",K154="S1",U154&gt;=1),EDATE(R154,12),AND(AO154="K5-POLICY",AL154&lt;&gt;"นิติศาสตร์",OR(K154="S2",K154="K5")),R154,TRUE,"Check Data")</f>
        <v/>
      </c>
      <c r="AQ154" s="75" t="str">
        <f t="shared" si="70"/>
        <v>Check Data</v>
      </c>
      <c r="AR154" s="76" t="str">
        <f t="shared" si="71"/>
        <v>Check Data</v>
      </c>
      <c r="AS154" s="50" t="str">
        <f t="shared" si="72"/>
        <v>Check Data</v>
      </c>
      <c r="AT154" s="49" t="str">
        <f>IF(B154="","",IF(K154="S1","S1",INDEX(#REF!,#REF!)))</f>
        <v/>
      </c>
      <c r="AU154" s="49" t="str">
        <f t="shared" si="73"/>
        <v>M2</v>
      </c>
      <c r="AV154" s="50" t="b">
        <f t="shared" si="74"/>
        <v>0</v>
      </c>
      <c r="AW154" s="50"/>
    </row>
    <row r="155" spans="1:49" ht="21.75">
      <c r="A155" s="49">
        <v>153</v>
      </c>
      <c r="B155" s="50"/>
      <c r="C155" s="50"/>
      <c r="D155" s="50" t="s">
        <v>139</v>
      </c>
      <c r="E155" s="49" t="s">
        <v>187</v>
      </c>
      <c r="F155" s="49" t="str">
        <f t="shared" si="50"/>
        <v>01/08/1990</v>
      </c>
      <c r="G155" s="50">
        <f t="shared" si="51"/>
        <v>34</v>
      </c>
      <c r="H155" s="50">
        <f t="shared" si="52"/>
        <v>10</v>
      </c>
      <c r="I155" s="50">
        <f t="shared" si="53"/>
        <v>19</v>
      </c>
      <c r="J155" s="56"/>
      <c r="K155" s="49" t="s">
        <v>136</v>
      </c>
      <c r="L155" s="49" t="str">
        <f>IF(B155="","",IF(K155="S1",K155,INDEX(#REF!,#REF!)))</f>
        <v/>
      </c>
      <c r="M155" s="49" t="b">
        <f t="shared" si="54"/>
        <v>0</v>
      </c>
      <c r="N155" s="64"/>
      <c r="O155" s="49" t="s">
        <v>425</v>
      </c>
      <c r="P155" s="49">
        <v>2569</v>
      </c>
      <c r="Q155" s="65" t="s">
        <v>214</v>
      </c>
      <c r="R155" s="49" t="str">
        <f t="shared" si="55"/>
        <v>06/01/2022</v>
      </c>
      <c r="S155" s="49" t="str">
        <f>IF(B155="","",IF(K155="S1",K155,INDEX(#REF!,#REF!)))</f>
        <v/>
      </c>
      <c r="T155" s="49" t="b">
        <f t="shared" si="56"/>
        <v>0</v>
      </c>
      <c r="U155" s="68">
        <f t="shared" si="57"/>
        <v>3</v>
      </c>
      <c r="V155" s="68">
        <f t="shared" si="58"/>
        <v>5</v>
      </c>
      <c r="W155" s="68">
        <f t="shared" si="59"/>
        <v>14</v>
      </c>
      <c r="X155" s="68"/>
      <c r="Y155" s="65"/>
      <c r="Z155" s="65"/>
      <c r="AA155" s="49" t="str">
        <f t="shared" si="60"/>
        <v/>
      </c>
      <c r="AB155" s="68">
        <f t="shared" si="61"/>
        <v>0</v>
      </c>
      <c r="AC155" s="68">
        <f t="shared" si="62"/>
        <v>0</v>
      </c>
      <c r="AD155" s="68">
        <f t="shared" si="63"/>
        <v>0</v>
      </c>
      <c r="AE155" s="49"/>
      <c r="AF155" s="65"/>
      <c r="AG155" s="50" t="str">
        <f t="shared" si="64"/>
        <v/>
      </c>
      <c r="AH155" s="68">
        <f t="shared" si="65"/>
        <v>0</v>
      </c>
      <c r="AI155" s="68">
        <f t="shared" si="66"/>
        <v>0</v>
      </c>
      <c r="AJ155" s="68">
        <f t="shared" si="67"/>
        <v>0</v>
      </c>
      <c r="AK155" s="50"/>
      <c r="AL155" s="50" t="s">
        <v>167</v>
      </c>
      <c r="AM155" s="50" t="str">
        <f>IF(B155="","",IF(K155="S1",K155,INDEX(#REF!,#REF!)))</f>
        <v/>
      </c>
      <c r="AN155" s="50" t="b">
        <f t="shared" si="68"/>
        <v>0</v>
      </c>
      <c r="AO155" s="49" t="str">
        <f t="shared" si="69"/>
        <v>K5-POLICY</v>
      </c>
      <c r="AP155" s="72" t="str">
        <f>_xlfn.IFS(B155="","",AND(AO155="K5-LAW",AL155="นิติศาสตร์",K155="S2",Y155="",AE155=""),R155,AND(AO155="K5-LAW",AL155="นิติศาสตร์",K155="S1",Y155="",AE155=""),EDATE(R155,12),AND(AO155="K5-LAW",AL155="นิติศาสตร์",OR(K155="M2",K155="K4"),Y155="",AE155=""),EDATE(R155,12*2),AND(AO155="K5-LAW",AL155="นิติศาสตร์",OR(AE155="M2",AE155="K4"),AH155&gt;=2,OR(AG155&lt;AA155,AG155&lt;R155)),EDATE(AG155,12*2),AND(AO155="K5-LAW",AL155="นิติศาสตร์",AE155="S1",AH155&gt;=1,OR(AG155&lt;AA155,AG155&lt;R155)),EDATE(AG155,12),AND(AO155="K5-LAW",AL155="นิติศาสตร์",OR(Y155="M2",Y155="K4"),AB155&gt;=2,AA155&lt;R155),EDATE(AA155,12*2),AND(AO155="K5-LAW",AL155="นิติศาสตร์",Y155="S1",AB155&gt;=1,AA155&lt;R155),EDATE(AA155,12),AND(AO155="K5-LAW",AL155="นิติศาสตร์",OR(Y155="S2",Y155="K5")),AA155,AND(AO155="K5-LAW",AL155="นิติศาสตร์",OR(K155="M2",K155="K4"),U155&gt;=2),EDATE(R155,12*2),AND(AO155="K5-LAW",AL155="นิติศาสตร์",K155="S1",U155&gt;=1),EDATE(R155,12),AND(AO155="K5-LAW",AL155="นิติศาสตร์",OR(K155="S2",K155="K5")),R155,AND(AO155="K5-POLICY",AL155&lt;&gt;"นิติศาสตร์",K155="S2",Y155="",AE155=""),R155,AND(AO155="K5-POLICY",AL155&lt;&gt;"นิติศาสตร์",K155="S1",Y155="",AE155=""),EDATE(R155,12),AND(AO155="K5-POLICY",AL155&lt;&gt;"นิติศาสตร์",OR(K155="M2",K155="K4"),Y155="",AE155=""),EDATE(R155,12*2),AND(AO155="K5-POLICY",AL155&lt;&gt;"นิติศาสตร์",OR(AE155="M2",AE155="K4"),AH155&gt;=2,OR(AG155&lt;AA155,AG155&lt;R155)),EDATE(AG155,12*2),AND(AO155="K5-POLICY",AL155&lt;&gt;"นิติศาสตร์",AE155="S1",AH155&gt;=1,OR(AG155&lt;AA155,AG155&lt;R155)),EDATE(AG155,12),AND(AO155="K5-POLICY",AL155&lt;&gt;"นิติศาสตร์",OR(Y155="M2",Y155="K4"),AB155&gt;=2,AA155&lt;R155),EDATE(AA155,12*2),AND(AO155="K5-POLICY",AL155&lt;&gt;"นิติศาสตร์",Y155="S1",AB155&gt;=1,AA155&lt;R155),EDATE(AA155,12),AND(AO155="K5-POLICY",AL155&lt;&gt;"นิติศาสตร์",OR(Y155="S2",Y155="K5")),AA155,AND(AO155="K5-POLICY",AL155&lt;&gt;"นิติศาสตร์",OR(K155="M2",K155="K4"),U155&gt;=2),EDATE(R155,12*2),AND(AO155="K5-POLICY",AL155&lt;&gt;"นิติศาสตร์",K155="S1",U155&gt;=1),EDATE(R155,12),AND(AO155="K5-POLICY",AL155&lt;&gt;"นิติศาสตร์",OR(K155="S2",K155="K5")),R155,TRUE,"Check Data")</f>
        <v/>
      </c>
      <c r="AQ155" s="75" t="str">
        <f t="shared" si="70"/>
        <v>Check Data</v>
      </c>
      <c r="AR155" s="76" t="str">
        <f t="shared" si="71"/>
        <v>Check Data</v>
      </c>
      <c r="AS155" s="50" t="str">
        <f t="shared" si="72"/>
        <v>Check Data</v>
      </c>
      <c r="AT155" s="49" t="str">
        <f>IF(B155="","",IF(K155="S1","S1",INDEX(#REF!,#REF!)))</f>
        <v/>
      </c>
      <c r="AU155" s="49" t="str">
        <f t="shared" si="73"/>
        <v>M2</v>
      </c>
      <c r="AV155" s="50" t="b">
        <f t="shared" si="74"/>
        <v>0</v>
      </c>
      <c r="AW155" s="50"/>
    </row>
    <row r="156" spans="1:49" ht="21.75">
      <c r="A156" s="49">
        <v>154</v>
      </c>
      <c r="B156" s="50"/>
      <c r="C156" s="50"/>
      <c r="D156" s="50" t="s">
        <v>139</v>
      </c>
      <c r="E156" s="49" t="s">
        <v>208</v>
      </c>
      <c r="F156" s="49" t="str">
        <f t="shared" si="50"/>
        <v>01/02/1990</v>
      </c>
      <c r="G156" s="50">
        <f t="shared" si="51"/>
        <v>35</v>
      </c>
      <c r="H156" s="50">
        <f t="shared" si="52"/>
        <v>4</v>
      </c>
      <c r="I156" s="50">
        <f t="shared" si="53"/>
        <v>19</v>
      </c>
      <c r="J156" s="56"/>
      <c r="K156" s="49" t="s">
        <v>136</v>
      </c>
      <c r="L156" s="49" t="str">
        <f>IF(B156="","",IF(K156="S1",K156,INDEX(#REF!,#REF!)))</f>
        <v/>
      </c>
      <c r="M156" s="49" t="b">
        <f t="shared" si="54"/>
        <v>0</v>
      </c>
      <c r="N156" s="64"/>
      <c r="O156" s="49" t="s">
        <v>427</v>
      </c>
      <c r="P156" s="49">
        <v>2571</v>
      </c>
      <c r="Q156" s="65" t="s">
        <v>214</v>
      </c>
      <c r="R156" s="49" t="str">
        <f t="shared" si="55"/>
        <v>06/01/2022</v>
      </c>
      <c r="S156" s="49" t="str">
        <f>IF(B156="","",IF(K156="S1",K156,INDEX(#REF!,#REF!)))</f>
        <v/>
      </c>
      <c r="T156" s="49" t="b">
        <f t="shared" si="56"/>
        <v>0</v>
      </c>
      <c r="U156" s="68">
        <f t="shared" si="57"/>
        <v>3</v>
      </c>
      <c r="V156" s="68">
        <f t="shared" si="58"/>
        <v>5</v>
      </c>
      <c r="W156" s="68">
        <f t="shared" si="59"/>
        <v>14</v>
      </c>
      <c r="X156" s="68"/>
      <c r="Y156" s="65"/>
      <c r="Z156" s="65"/>
      <c r="AA156" s="49" t="str">
        <f t="shared" si="60"/>
        <v/>
      </c>
      <c r="AB156" s="68">
        <f t="shared" si="61"/>
        <v>0</v>
      </c>
      <c r="AC156" s="68">
        <f t="shared" si="62"/>
        <v>0</v>
      </c>
      <c r="AD156" s="68">
        <f t="shared" si="63"/>
        <v>0</v>
      </c>
      <c r="AE156" s="49"/>
      <c r="AF156" s="65"/>
      <c r="AG156" s="50" t="str">
        <f t="shared" si="64"/>
        <v/>
      </c>
      <c r="AH156" s="68">
        <f t="shared" si="65"/>
        <v>0</v>
      </c>
      <c r="AI156" s="68">
        <f t="shared" si="66"/>
        <v>0</v>
      </c>
      <c r="AJ156" s="68">
        <f t="shared" si="67"/>
        <v>0</v>
      </c>
      <c r="AK156" s="50"/>
      <c r="AL156" s="50" t="s">
        <v>169</v>
      </c>
      <c r="AM156" s="129" t="str">
        <f>IF(B156="","",IF(K156="S1",K156,INDEX(#REF!,#REF!)))</f>
        <v/>
      </c>
      <c r="AN156" s="50" t="b">
        <f t="shared" si="68"/>
        <v>0</v>
      </c>
      <c r="AO156" s="49" t="str">
        <f t="shared" si="69"/>
        <v>K5-POLICY</v>
      </c>
      <c r="AP156" s="72" t="str">
        <f>_xlfn.IFS(B156="","",AND(AO156="K5-LAW",AL156="นิติศาสตร์",K156="S2",Y156="",AE156=""),R156,AND(AO156="K5-LAW",AL156="นิติศาสตร์",K156="S1",Y156="",AE156=""),EDATE(R156,12),AND(AO156="K5-LAW",AL156="นิติศาสตร์",OR(K156="M2",K156="K4"),Y156="",AE156=""),EDATE(R156,12*2),AND(AO156="K5-LAW",AL156="นิติศาสตร์",OR(AE156="M2",AE156="K4"),AH156&gt;=2,OR(AG156&lt;AA156,AG156&lt;R156)),EDATE(AG156,12*2),AND(AO156="K5-LAW",AL156="นิติศาสตร์",AE156="S1",AH156&gt;=1,OR(AG156&lt;AA156,AG156&lt;R156)),EDATE(AG156,12),AND(AO156="K5-LAW",AL156="นิติศาสตร์",OR(Y156="M2",Y156="K4"),AB156&gt;=2,AA156&lt;R156),EDATE(AA156,12*2),AND(AO156="K5-LAW",AL156="นิติศาสตร์",Y156="S1",AB156&gt;=1,AA156&lt;R156),EDATE(AA156,12),AND(AO156="K5-LAW",AL156="นิติศาสตร์",OR(Y156="S2",Y156="K5")),AA156,AND(AO156="K5-LAW",AL156="นิติศาสตร์",OR(K156="M2",K156="K4"),U156&gt;=2),EDATE(R156,12*2),AND(AO156="K5-LAW",AL156="นิติศาสตร์",K156="S1",U156&gt;=1),EDATE(R156,12),AND(AO156="K5-LAW",AL156="นิติศาสตร์",OR(K156="S2",K156="K5")),R156,AND(AO156="K5-POLICY",AL156&lt;&gt;"นิติศาสตร์",K156="S2",Y156="",AE156=""),R156,AND(AO156="K5-POLICY",AL156&lt;&gt;"นิติศาสตร์",K156="S1",Y156="",AE156=""),EDATE(R156,12),AND(AO156="K5-POLICY",AL156&lt;&gt;"นิติศาสตร์",OR(K156="M2",K156="K4"),Y156="",AE156=""),EDATE(R156,12*2),AND(AO156="K5-POLICY",AL156&lt;&gt;"นิติศาสตร์",OR(AE156="M2",AE156="K4"),AH156&gt;=2,OR(AG156&lt;AA156,AG156&lt;R156)),EDATE(AG156,12*2),AND(AO156="K5-POLICY",AL156&lt;&gt;"นิติศาสตร์",AE156="S1",AH156&gt;=1,OR(AG156&lt;AA156,AG156&lt;R156)),EDATE(AG156,12),AND(AO156="K5-POLICY",AL156&lt;&gt;"นิติศาสตร์",OR(Y156="M2",Y156="K4"),AB156&gt;=2,AA156&lt;R156),EDATE(AA156,12*2),AND(AO156="K5-POLICY",AL156&lt;&gt;"นิติศาสตร์",Y156="S1",AB156&gt;=1,AA156&lt;R156),EDATE(AA156,12),AND(AO156="K5-POLICY",AL156&lt;&gt;"นิติศาสตร์",OR(Y156="S2",Y156="K5")),AA156,AND(AO156="K5-POLICY",AL156&lt;&gt;"นิติศาสตร์",OR(K156="M2",K156="K4"),U156&gt;=2),EDATE(R156,12*2),AND(AO156="K5-POLICY",AL156&lt;&gt;"นิติศาสตร์",K156="S1",U156&gt;=1),EDATE(R156,12),AND(AO156="K5-POLICY",AL156&lt;&gt;"นิติศาสตร์",OR(K156="S2",K156="K5")),R156,TRUE,"Check Data")</f>
        <v/>
      </c>
      <c r="AQ156" s="75" t="str">
        <f t="shared" si="70"/>
        <v>Check Data</v>
      </c>
      <c r="AR156" s="76" t="str">
        <f t="shared" si="71"/>
        <v>Check Data</v>
      </c>
      <c r="AS156" s="50" t="str">
        <f t="shared" si="72"/>
        <v>Check Data</v>
      </c>
      <c r="AT156" s="49" t="str">
        <f>IF(B156="","",IF(K156="S1","S1",INDEX(#REF!,#REF!)))</f>
        <v/>
      </c>
      <c r="AU156" s="49" t="str">
        <f t="shared" si="73"/>
        <v>M2</v>
      </c>
      <c r="AV156" s="50" t="b">
        <f t="shared" si="74"/>
        <v>0</v>
      </c>
      <c r="AW156" s="50"/>
    </row>
    <row r="157" spans="1:49" ht="21.75">
      <c r="A157" s="49">
        <v>155</v>
      </c>
      <c r="B157" s="50"/>
      <c r="C157" s="50"/>
      <c r="D157" s="50" t="s">
        <v>139</v>
      </c>
      <c r="E157" s="49" t="s">
        <v>230</v>
      </c>
      <c r="F157" s="49" t="str">
        <f t="shared" si="50"/>
        <v>03/11/1997</v>
      </c>
      <c r="G157" s="50">
        <f t="shared" si="51"/>
        <v>27</v>
      </c>
      <c r="H157" s="50">
        <f t="shared" si="52"/>
        <v>7</v>
      </c>
      <c r="I157" s="50">
        <f t="shared" si="53"/>
        <v>17</v>
      </c>
      <c r="J157" s="56"/>
      <c r="K157" s="49" t="s">
        <v>136</v>
      </c>
      <c r="L157" s="49" t="str">
        <f>IF(B157="","",IF(K157="S1",K157,INDEX(#REF!,#REF!)))</f>
        <v/>
      </c>
      <c r="M157" s="49" t="b">
        <f t="shared" si="54"/>
        <v>0</v>
      </c>
      <c r="N157" s="64"/>
      <c r="O157" s="49" t="s">
        <v>427</v>
      </c>
      <c r="P157" s="49">
        <v>2576</v>
      </c>
      <c r="Q157" s="65" t="s">
        <v>214</v>
      </c>
      <c r="R157" s="49" t="str">
        <f t="shared" si="55"/>
        <v>06/01/2022</v>
      </c>
      <c r="S157" s="49" t="str">
        <f>IF(B157="","",IF(K157="S1",K157,INDEX(#REF!,#REF!)))</f>
        <v/>
      </c>
      <c r="T157" s="49" t="b">
        <f t="shared" si="56"/>
        <v>0</v>
      </c>
      <c r="U157" s="68">
        <f t="shared" si="57"/>
        <v>3</v>
      </c>
      <c r="V157" s="68">
        <f t="shared" si="58"/>
        <v>5</v>
      </c>
      <c r="W157" s="68">
        <f t="shared" si="59"/>
        <v>14</v>
      </c>
      <c r="X157" s="68"/>
      <c r="Y157" s="65"/>
      <c r="Z157" s="65"/>
      <c r="AA157" s="49" t="str">
        <f t="shared" si="60"/>
        <v/>
      </c>
      <c r="AB157" s="68">
        <f t="shared" si="61"/>
        <v>0</v>
      </c>
      <c r="AC157" s="68">
        <f t="shared" si="62"/>
        <v>0</v>
      </c>
      <c r="AD157" s="68">
        <f t="shared" si="63"/>
        <v>0</v>
      </c>
      <c r="AE157" s="49"/>
      <c r="AF157" s="65"/>
      <c r="AG157" s="50" t="str">
        <f t="shared" si="64"/>
        <v/>
      </c>
      <c r="AH157" s="68">
        <f t="shared" si="65"/>
        <v>0</v>
      </c>
      <c r="AI157" s="68">
        <f t="shared" si="66"/>
        <v>0</v>
      </c>
      <c r="AJ157" s="68">
        <f t="shared" si="67"/>
        <v>0</v>
      </c>
      <c r="AK157" s="50"/>
      <c r="AL157" s="50" t="s">
        <v>172</v>
      </c>
      <c r="AM157" s="50" t="str">
        <f>IF(B157="","",IF(K157="S1",K157,INDEX(#REF!,#REF!)))</f>
        <v/>
      </c>
      <c r="AN157" s="50" t="b">
        <f t="shared" si="68"/>
        <v>0</v>
      </c>
      <c r="AO157" s="49" t="str">
        <f t="shared" si="69"/>
        <v>K5-POLICY</v>
      </c>
      <c r="AP157" s="72" t="str">
        <f>_xlfn.IFS(B157="","",AND(AO157="K5-LAW",AL157="นิติศาสตร์",K157="S2",Y157="",AE157=""),R157,AND(AO157="K5-LAW",AL157="นิติศาสตร์",K157="S1",Y157="",AE157=""),EDATE(R157,12),AND(AO157="K5-LAW",AL157="นิติศาสตร์",OR(K157="M2",K157="K4"),Y157="",AE157=""),EDATE(R157,12*2),AND(AO157="K5-LAW",AL157="นิติศาสตร์",OR(AE157="M2",AE157="K4"),AH157&gt;=2,OR(AG157&lt;AA157,AG157&lt;R157)),EDATE(AG157,12*2),AND(AO157="K5-LAW",AL157="นิติศาสตร์",AE157="S1",AH157&gt;=1,OR(AG157&lt;AA157,AG157&lt;R157)),EDATE(AG157,12),AND(AO157="K5-LAW",AL157="นิติศาสตร์",OR(Y157="M2",Y157="K4"),AB157&gt;=2,AA157&lt;R157),EDATE(AA157,12*2),AND(AO157="K5-LAW",AL157="นิติศาสตร์",Y157="S1",AB157&gt;=1,AA157&lt;R157),EDATE(AA157,12),AND(AO157="K5-LAW",AL157="นิติศาสตร์",OR(Y157="S2",Y157="K5")),AA157,AND(AO157="K5-LAW",AL157="นิติศาสตร์",OR(K157="M2",K157="K4"),U157&gt;=2),EDATE(R157,12*2),AND(AO157="K5-LAW",AL157="นิติศาสตร์",K157="S1",U157&gt;=1),EDATE(R157,12),AND(AO157="K5-LAW",AL157="นิติศาสตร์",OR(K157="S2",K157="K5")),R157,AND(AO157="K5-POLICY",AL157&lt;&gt;"นิติศาสตร์",K157="S2",Y157="",AE157=""),R157,AND(AO157="K5-POLICY",AL157&lt;&gt;"นิติศาสตร์",K157="S1",Y157="",AE157=""),EDATE(R157,12),AND(AO157="K5-POLICY",AL157&lt;&gt;"นิติศาสตร์",OR(K157="M2",K157="K4"),Y157="",AE157=""),EDATE(R157,12*2),AND(AO157="K5-POLICY",AL157&lt;&gt;"นิติศาสตร์",OR(AE157="M2",AE157="K4"),AH157&gt;=2,OR(AG157&lt;AA157,AG157&lt;R157)),EDATE(AG157,12*2),AND(AO157="K5-POLICY",AL157&lt;&gt;"นิติศาสตร์",AE157="S1",AH157&gt;=1,OR(AG157&lt;AA157,AG157&lt;R157)),EDATE(AG157,12),AND(AO157="K5-POLICY",AL157&lt;&gt;"นิติศาสตร์",OR(Y157="M2",Y157="K4"),AB157&gt;=2,AA157&lt;R157),EDATE(AA157,12*2),AND(AO157="K5-POLICY",AL157&lt;&gt;"นิติศาสตร์",Y157="S1",AB157&gt;=1,AA157&lt;R157),EDATE(AA157,12),AND(AO157="K5-POLICY",AL157&lt;&gt;"นิติศาสตร์",OR(Y157="S2",Y157="K5")),AA157,AND(AO157="K5-POLICY",AL157&lt;&gt;"นิติศาสตร์",OR(K157="M2",K157="K4"),U157&gt;=2),EDATE(R157,12*2),AND(AO157="K5-POLICY",AL157&lt;&gt;"นิติศาสตร์",K157="S1",U157&gt;=1),EDATE(R157,12),AND(AO157="K5-POLICY",AL157&lt;&gt;"นิติศาสตร์",OR(K157="S2",K157="K5")),R157,TRUE,"Check Data")</f>
        <v/>
      </c>
      <c r="AQ157" s="75" t="str">
        <f t="shared" si="70"/>
        <v>Check Data</v>
      </c>
      <c r="AR157" s="76" t="str">
        <f t="shared" si="71"/>
        <v>Check Data</v>
      </c>
      <c r="AS157" s="50" t="str">
        <f t="shared" si="72"/>
        <v>Check Data</v>
      </c>
      <c r="AT157" s="49" t="str">
        <f>IF(B157="","",IF(K157="S1","S1",INDEX(#REF!,#REF!)))</f>
        <v/>
      </c>
      <c r="AU157" s="49" t="str">
        <f t="shared" si="73"/>
        <v>M2</v>
      </c>
      <c r="AV157" s="50" t="b">
        <f t="shared" si="74"/>
        <v>0</v>
      </c>
      <c r="AW157" s="50"/>
    </row>
    <row r="158" spans="1:49" ht="21.75">
      <c r="A158" s="49">
        <v>156</v>
      </c>
      <c r="B158" s="50"/>
      <c r="C158" s="50"/>
      <c r="D158" s="50" t="s">
        <v>143</v>
      </c>
      <c r="E158" s="49" t="s">
        <v>356</v>
      </c>
      <c r="F158" s="49" t="str">
        <f t="shared" si="50"/>
        <v>15/05/1992</v>
      </c>
      <c r="G158" s="50">
        <f t="shared" si="51"/>
        <v>33</v>
      </c>
      <c r="H158" s="50">
        <f t="shared" si="52"/>
        <v>1</v>
      </c>
      <c r="I158" s="50">
        <f t="shared" si="53"/>
        <v>5</v>
      </c>
      <c r="J158" s="59"/>
      <c r="K158" s="49" t="s">
        <v>136</v>
      </c>
      <c r="L158" s="49" t="str">
        <f>IF(B158="","",IF(K158="S1",K158,INDEX(#REF!,#REF!)))</f>
        <v/>
      </c>
      <c r="M158" s="49" t="b">
        <f t="shared" si="54"/>
        <v>0</v>
      </c>
      <c r="N158" s="64"/>
      <c r="O158" s="49" t="s">
        <v>427</v>
      </c>
      <c r="P158" s="49">
        <v>2575</v>
      </c>
      <c r="Q158" s="65" t="s">
        <v>214</v>
      </c>
      <c r="R158" s="49" t="str">
        <f t="shared" si="55"/>
        <v>06/01/2022</v>
      </c>
      <c r="S158" s="49" t="str">
        <f>IF(B158="","",IF(K158="S1",K158,INDEX(#REF!,#REF!)))</f>
        <v/>
      </c>
      <c r="T158" s="49" t="b">
        <f t="shared" si="56"/>
        <v>0</v>
      </c>
      <c r="U158" s="68">
        <f t="shared" si="57"/>
        <v>3</v>
      </c>
      <c r="V158" s="68">
        <f t="shared" si="58"/>
        <v>5</v>
      </c>
      <c r="W158" s="68">
        <f t="shared" si="59"/>
        <v>14</v>
      </c>
      <c r="X158" s="68"/>
      <c r="Y158" s="65"/>
      <c r="Z158" s="65"/>
      <c r="AA158" s="49" t="str">
        <f t="shared" si="60"/>
        <v/>
      </c>
      <c r="AB158" s="68">
        <f t="shared" si="61"/>
        <v>0</v>
      </c>
      <c r="AC158" s="68">
        <f t="shared" si="62"/>
        <v>0</v>
      </c>
      <c r="AD158" s="68">
        <f t="shared" si="63"/>
        <v>0</v>
      </c>
      <c r="AE158" s="49"/>
      <c r="AF158" s="65"/>
      <c r="AG158" s="50" t="str">
        <f t="shared" si="64"/>
        <v/>
      </c>
      <c r="AH158" s="68">
        <f t="shared" si="65"/>
        <v>0</v>
      </c>
      <c r="AI158" s="68">
        <f t="shared" si="66"/>
        <v>0</v>
      </c>
      <c r="AJ158" s="68">
        <f t="shared" si="67"/>
        <v>0</v>
      </c>
      <c r="AK158" s="50"/>
      <c r="AL158" s="50" t="s">
        <v>486</v>
      </c>
      <c r="AM158" s="50" t="str">
        <f>IF(B158="","",IF(K158="S1",K158,INDEX(#REF!,#REF!)))</f>
        <v/>
      </c>
      <c r="AN158" s="50" t="b">
        <f t="shared" si="68"/>
        <v>0</v>
      </c>
      <c r="AO158" s="49" t="str">
        <f t="shared" si="69"/>
        <v>K5-POLICY</v>
      </c>
      <c r="AP158" s="72" t="str">
        <f>_xlfn.IFS(B158="","",AND(AO158="K5-LAW",AL158="นิติศาสตร์",K158="S2",Y158="",AE158=""),R158,AND(AO158="K5-LAW",AL158="นิติศาสตร์",K158="S1",Y158="",AE158=""),EDATE(R158,12),AND(AO158="K5-LAW",AL158="นิติศาสตร์",OR(K158="M2",K158="K4"),Y158="",AE158=""),EDATE(R158,12*2),AND(AO158="K5-LAW",AL158="นิติศาสตร์",OR(AE158="M2",AE158="K4"),AH158&gt;=2,OR(AG158&lt;AA158,AG158&lt;R158)),EDATE(AG158,12*2),AND(AO158="K5-LAW",AL158="นิติศาสตร์",AE158="S1",AH158&gt;=1,OR(AG158&lt;AA158,AG158&lt;R158)),EDATE(AG158,12),AND(AO158="K5-LAW",AL158="นิติศาสตร์",OR(Y158="M2",Y158="K4"),AB158&gt;=2,AA158&lt;R158),EDATE(AA158,12*2),AND(AO158="K5-LAW",AL158="นิติศาสตร์",Y158="S1",AB158&gt;=1,AA158&lt;R158),EDATE(AA158,12),AND(AO158="K5-LAW",AL158="นิติศาสตร์",OR(Y158="S2",Y158="K5")),AA158,AND(AO158="K5-LAW",AL158="นิติศาสตร์",OR(K158="M2",K158="K4"),U158&gt;=2),EDATE(R158,12*2),AND(AO158="K5-LAW",AL158="นิติศาสตร์",K158="S1",U158&gt;=1),EDATE(R158,12),AND(AO158="K5-LAW",AL158="นิติศาสตร์",OR(K158="S2",K158="K5")),R158,AND(AO158="K5-POLICY",AL158&lt;&gt;"นิติศาสตร์",K158="S2",Y158="",AE158=""),R158,AND(AO158="K5-POLICY",AL158&lt;&gt;"นิติศาสตร์",K158="S1",Y158="",AE158=""),EDATE(R158,12),AND(AO158="K5-POLICY",AL158&lt;&gt;"นิติศาสตร์",OR(K158="M2",K158="K4"),Y158="",AE158=""),EDATE(R158,12*2),AND(AO158="K5-POLICY",AL158&lt;&gt;"นิติศาสตร์",OR(AE158="M2",AE158="K4"),AH158&gt;=2,OR(AG158&lt;AA158,AG158&lt;R158)),EDATE(AG158,12*2),AND(AO158="K5-POLICY",AL158&lt;&gt;"นิติศาสตร์",AE158="S1",AH158&gt;=1,OR(AG158&lt;AA158,AG158&lt;R158)),EDATE(AG158,12),AND(AO158="K5-POLICY",AL158&lt;&gt;"นิติศาสตร์",OR(Y158="M2",Y158="K4"),AB158&gt;=2,AA158&lt;R158),EDATE(AA158,12*2),AND(AO158="K5-POLICY",AL158&lt;&gt;"นิติศาสตร์",Y158="S1",AB158&gt;=1,AA158&lt;R158),EDATE(AA158,12),AND(AO158="K5-POLICY",AL158&lt;&gt;"นิติศาสตร์",OR(Y158="S2",Y158="K5")),AA158,AND(AO158="K5-POLICY",AL158&lt;&gt;"นิติศาสตร์",OR(K158="M2",K158="K4"),U158&gt;=2),EDATE(R158,12*2),AND(AO158="K5-POLICY",AL158&lt;&gt;"นิติศาสตร์",K158="S1",U158&gt;=1),EDATE(R158,12),AND(AO158="K5-POLICY",AL158&lt;&gt;"นิติศาสตร์",OR(K158="S2",K158="K5")),R158,TRUE,"Check Data")</f>
        <v/>
      </c>
      <c r="AQ158" s="75" t="str">
        <f t="shared" si="70"/>
        <v>Check Data</v>
      </c>
      <c r="AR158" s="76" t="str">
        <f t="shared" si="71"/>
        <v>Check Data</v>
      </c>
      <c r="AS158" s="50" t="str">
        <f t="shared" si="72"/>
        <v>Check Data</v>
      </c>
      <c r="AT158" s="49" t="str">
        <f>IF(B158="","",IF(K158="S1","S1",INDEX(#REF!,#REF!)))</f>
        <v/>
      </c>
      <c r="AU158" s="49" t="str">
        <f t="shared" si="73"/>
        <v>M2</v>
      </c>
      <c r="AV158" s="50" t="b">
        <f t="shared" si="74"/>
        <v>0</v>
      </c>
      <c r="AW158" s="50"/>
    </row>
    <row r="159" spans="1:49" ht="21.75">
      <c r="A159" s="49">
        <v>157</v>
      </c>
      <c r="B159" s="50"/>
      <c r="C159" s="50"/>
      <c r="D159" s="50" t="s">
        <v>143</v>
      </c>
      <c r="E159" s="49" t="s">
        <v>338</v>
      </c>
      <c r="F159" s="49" t="str">
        <f t="shared" si="50"/>
        <v>14/07/2000</v>
      </c>
      <c r="G159" s="50">
        <f t="shared" si="51"/>
        <v>24</v>
      </c>
      <c r="H159" s="50">
        <f t="shared" si="52"/>
        <v>11</v>
      </c>
      <c r="I159" s="50">
        <f t="shared" si="53"/>
        <v>6</v>
      </c>
      <c r="J159" s="59"/>
      <c r="K159" s="49" t="s">
        <v>136</v>
      </c>
      <c r="L159" s="49" t="str">
        <f>IF(B159="","",IF(K159="S1",K159,INDEX(#REF!,#REF!)))</f>
        <v/>
      </c>
      <c r="M159" s="49" t="b">
        <f t="shared" si="54"/>
        <v>0</v>
      </c>
      <c r="N159" s="64"/>
      <c r="O159" s="49" t="s">
        <v>427</v>
      </c>
      <c r="P159" s="49">
        <v>2574</v>
      </c>
      <c r="Q159" s="65" t="s">
        <v>339</v>
      </c>
      <c r="R159" s="49" t="str">
        <f t="shared" si="55"/>
        <v>25/03/2022</v>
      </c>
      <c r="S159" s="49" t="str">
        <f>IF(B159="","",IF(K159="S1",K159,INDEX(#REF!,#REF!)))</f>
        <v/>
      </c>
      <c r="T159" s="49" t="b">
        <f t="shared" si="56"/>
        <v>0</v>
      </c>
      <c r="U159" s="68">
        <f t="shared" si="57"/>
        <v>3</v>
      </c>
      <c r="V159" s="68">
        <f t="shared" si="58"/>
        <v>2</v>
      </c>
      <c r="W159" s="68">
        <f t="shared" si="59"/>
        <v>26</v>
      </c>
      <c r="X159" s="68"/>
      <c r="Y159" s="65"/>
      <c r="Z159" s="65"/>
      <c r="AA159" s="49" t="str">
        <f t="shared" si="60"/>
        <v/>
      </c>
      <c r="AB159" s="68">
        <f t="shared" si="61"/>
        <v>0</v>
      </c>
      <c r="AC159" s="68">
        <f t="shared" si="62"/>
        <v>0</v>
      </c>
      <c r="AD159" s="68">
        <f t="shared" si="63"/>
        <v>0</v>
      </c>
      <c r="AE159" s="49"/>
      <c r="AF159" s="65"/>
      <c r="AG159" s="50" t="str">
        <f t="shared" si="64"/>
        <v/>
      </c>
      <c r="AH159" s="68">
        <f t="shared" si="65"/>
        <v>0</v>
      </c>
      <c r="AI159" s="68">
        <f t="shared" si="66"/>
        <v>0</v>
      </c>
      <c r="AJ159" s="68">
        <f t="shared" si="67"/>
        <v>0</v>
      </c>
      <c r="AK159" s="50"/>
      <c r="AL159" s="50" t="s">
        <v>138</v>
      </c>
      <c r="AM159" s="50" t="str">
        <f>IF(B159="","",IF(K159="S1",K159,INDEX(#REF!,#REF!)))</f>
        <v/>
      </c>
      <c r="AN159" s="50" t="b">
        <f t="shared" si="68"/>
        <v>0</v>
      </c>
      <c r="AO159" s="49" t="str">
        <f t="shared" si="69"/>
        <v>K5-LAW</v>
      </c>
      <c r="AP159" s="72" t="str">
        <f>_xlfn.IFS(B159="","",AND(AO159="K5-LAW",AL159="นิติศาสตร์",K159="S2",Y159="",AE159=""),R159,AND(AO159="K5-LAW",AL159="นิติศาสตร์",K159="S1",Y159="",AE159=""),EDATE(R159,12),AND(AO159="K5-LAW",AL159="นิติศาสตร์",OR(K159="M2",K159="K4"),Y159="",AE159=""),EDATE(R159,12*2),AND(AO159="K5-LAW",AL159="นิติศาสตร์",OR(AE159="M2",AE159="K4"),AH159&gt;=2,OR(AG159&lt;AA159,AG159&lt;R159)),EDATE(AG159,12*2),AND(AO159="K5-LAW",AL159="นิติศาสตร์",AE159="S1",AH159&gt;=1,OR(AG159&lt;AA159,AG159&lt;R159)),EDATE(AG159,12),AND(AO159="K5-LAW",AL159="นิติศาสตร์",OR(Y159="M2",Y159="K4"),AB159&gt;=2,AA159&lt;R159),EDATE(AA159,12*2),AND(AO159="K5-LAW",AL159="นิติศาสตร์",Y159="S1",AB159&gt;=1,AA159&lt;R159),EDATE(AA159,12),AND(AO159="K5-LAW",AL159="นิติศาสตร์",OR(Y159="S2",Y159="K5")),AA159,AND(AO159="K5-LAW",AL159="นิติศาสตร์",OR(K159="M2",K159="K4"),U159&gt;=2),EDATE(R159,12*2),AND(AO159="K5-LAW",AL159="นิติศาสตร์",K159="S1",U159&gt;=1),EDATE(R159,12),AND(AO159="K5-LAW",AL159="นิติศาสตร์",OR(K159="S2",K159="K5")),R159,AND(AO159="K5-POLICY",AL159&lt;&gt;"นิติศาสตร์",K159="S2",Y159="",AE159=""),R159,AND(AO159="K5-POLICY",AL159&lt;&gt;"นิติศาสตร์",K159="S1",Y159="",AE159=""),EDATE(R159,12),AND(AO159="K5-POLICY",AL159&lt;&gt;"นิติศาสตร์",OR(K159="M2",K159="K4"),Y159="",AE159=""),EDATE(R159,12*2),AND(AO159="K5-POLICY",AL159&lt;&gt;"นิติศาสตร์",OR(AE159="M2",AE159="K4"),AH159&gt;=2,OR(AG159&lt;AA159,AG159&lt;R159)),EDATE(AG159,12*2),AND(AO159="K5-POLICY",AL159&lt;&gt;"นิติศาสตร์",AE159="S1",AH159&gt;=1,OR(AG159&lt;AA159,AG159&lt;R159)),EDATE(AG159,12),AND(AO159="K5-POLICY",AL159&lt;&gt;"นิติศาสตร์",OR(Y159="M2",Y159="K4"),AB159&gt;=2,AA159&lt;R159),EDATE(AA159,12*2),AND(AO159="K5-POLICY",AL159&lt;&gt;"นิติศาสตร์",Y159="S1",AB159&gt;=1,AA159&lt;R159),EDATE(AA159,12),AND(AO159="K5-POLICY",AL159&lt;&gt;"นิติศาสตร์",OR(Y159="S2",Y159="K5")),AA159,AND(AO159="K5-POLICY",AL159&lt;&gt;"นิติศาสตร์",OR(K159="M2",K159="K4"),U159&gt;=2),EDATE(R159,12*2),AND(AO159="K5-POLICY",AL159&lt;&gt;"นิติศาสตร์",K159="S1",U159&gt;=1),EDATE(R159,12),AND(AO159="K5-POLICY",AL159&lt;&gt;"นิติศาสตร์",OR(K159="S2",K159="K5")),R159,TRUE,"Check Data")</f>
        <v/>
      </c>
      <c r="AQ159" s="75" t="str">
        <f t="shared" si="70"/>
        <v>Check Data</v>
      </c>
      <c r="AR159" s="76" t="str">
        <f t="shared" si="71"/>
        <v>Check Data</v>
      </c>
      <c r="AS159" s="50" t="str">
        <f t="shared" si="72"/>
        <v>Check Data</v>
      </c>
      <c r="AT159" s="49" t="str">
        <f>IF(B159="","",IF(K159="S1","S1",INDEX(#REF!,#REF!)))</f>
        <v/>
      </c>
      <c r="AU159" s="49" t="str">
        <f t="shared" si="73"/>
        <v>M2</v>
      </c>
      <c r="AV159" s="50" t="b">
        <f t="shared" si="74"/>
        <v>0</v>
      </c>
      <c r="AW159" s="50"/>
    </row>
    <row r="160" spans="1:49" ht="21.75">
      <c r="A160" s="49">
        <v>158</v>
      </c>
      <c r="B160" s="50"/>
      <c r="C160" s="50"/>
      <c r="D160" s="50" t="s">
        <v>34</v>
      </c>
      <c r="E160" s="49" t="s">
        <v>202</v>
      </c>
      <c r="F160" s="49" t="str">
        <f t="shared" si="50"/>
        <v>22/10/2001</v>
      </c>
      <c r="G160" s="50">
        <f t="shared" si="51"/>
        <v>23</v>
      </c>
      <c r="H160" s="50">
        <f t="shared" si="52"/>
        <v>7</v>
      </c>
      <c r="I160" s="50">
        <f t="shared" si="53"/>
        <v>29</v>
      </c>
      <c r="J160" s="58"/>
      <c r="K160" s="49" t="s">
        <v>136</v>
      </c>
      <c r="L160" s="49" t="str">
        <f>IF(B160="","",IF(K160="S1",K160,INDEX(#REF!,#REF!)))</f>
        <v/>
      </c>
      <c r="M160" s="49" t="b">
        <f t="shared" si="54"/>
        <v>0</v>
      </c>
      <c r="N160" s="64"/>
      <c r="O160" s="49" t="s">
        <v>427</v>
      </c>
      <c r="P160" s="49">
        <v>2582</v>
      </c>
      <c r="Q160" s="65" t="s">
        <v>203</v>
      </c>
      <c r="R160" s="49" t="str">
        <f t="shared" si="55"/>
        <v>10/08/2022</v>
      </c>
      <c r="S160" s="49" t="str">
        <f>IF(B160="","",IF(K160="S1",K160,INDEX(#REF!,#REF!)))</f>
        <v/>
      </c>
      <c r="T160" s="49" t="b">
        <f t="shared" si="56"/>
        <v>0</v>
      </c>
      <c r="U160" s="68">
        <f t="shared" si="57"/>
        <v>2</v>
      </c>
      <c r="V160" s="68">
        <f t="shared" si="58"/>
        <v>10</v>
      </c>
      <c r="W160" s="68">
        <f t="shared" si="59"/>
        <v>10</v>
      </c>
      <c r="X160" s="68"/>
      <c r="Y160" s="65"/>
      <c r="Z160" s="65"/>
      <c r="AA160" s="49" t="str">
        <f t="shared" si="60"/>
        <v/>
      </c>
      <c r="AB160" s="68">
        <f t="shared" si="61"/>
        <v>0</v>
      </c>
      <c r="AC160" s="68">
        <f t="shared" si="62"/>
        <v>0</v>
      </c>
      <c r="AD160" s="68">
        <f t="shared" si="63"/>
        <v>0</v>
      </c>
      <c r="AE160" s="49"/>
      <c r="AF160" s="65"/>
      <c r="AG160" s="50" t="str">
        <f t="shared" si="64"/>
        <v/>
      </c>
      <c r="AH160" s="68">
        <f t="shared" si="65"/>
        <v>0</v>
      </c>
      <c r="AI160" s="68">
        <f t="shared" si="66"/>
        <v>0</v>
      </c>
      <c r="AJ160" s="68">
        <f t="shared" si="67"/>
        <v>0</v>
      </c>
      <c r="AK160" s="50"/>
      <c r="AL160" s="50" t="s">
        <v>138</v>
      </c>
      <c r="AM160" s="50" t="str">
        <f>IF(B160="","",IF(K160="S1",K160,INDEX(#REF!,#REF!)))</f>
        <v/>
      </c>
      <c r="AN160" s="50" t="b">
        <f t="shared" si="68"/>
        <v>0</v>
      </c>
      <c r="AO160" s="49" t="str">
        <f t="shared" si="69"/>
        <v>K5-LAW</v>
      </c>
      <c r="AP160" s="72" t="str">
        <f>_xlfn.IFS(B160="","",AND(AO160="K5-LAW",AL160="นิติศาสตร์",K160="S2",Y160="",AE160=""),R160,AND(AO160="K5-LAW",AL160="นิติศาสตร์",K160="S1",Y160="",AE160=""),EDATE(R160,12),AND(AO160="K5-LAW",AL160="นิติศาสตร์",OR(K160="M2",K160="K4"),Y160="",AE160=""),EDATE(R160,12*2),AND(AO160="K5-LAW",AL160="นิติศาสตร์",OR(AE160="M2",AE160="K4"),AH160&gt;=2,OR(AG160&lt;AA160,AG160&lt;R160)),EDATE(AG160,12*2),AND(AO160="K5-LAW",AL160="นิติศาสตร์",AE160="S1",AH160&gt;=1,OR(AG160&lt;AA160,AG160&lt;R160)),EDATE(AG160,12),AND(AO160="K5-LAW",AL160="นิติศาสตร์",OR(Y160="M2",Y160="K4"),AB160&gt;=2,AA160&lt;R160),EDATE(AA160,12*2),AND(AO160="K5-LAW",AL160="นิติศาสตร์",Y160="S1",AB160&gt;=1,AA160&lt;R160),EDATE(AA160,12),AND(AO160="K5-LAW",AL160="นิติศาสตร์",OR(Y160="S2",Y160="K5")),AA160,AND(AO160="K5-LAW",AL160="นิติศาสตร์",OR(K160="M2",K160="K4"),U160&gt;=2),EDATE(R160,12*2),AND(AO160="K5-LAW",AL160="นิติศาสตร์",K160="S1",U160&gt;=1),EDATE(R160,12),AND(AO160="K5-LAW",AL160="นิติศาสตร์",OR(K160="S2",K160="K5")),R160,AND(AO160="K5-POLICY",AL160&lt;&gt;"นิติศาสตร์",K160="S2",Y160="",AE160=""),R160,AND(AO160="K5-POLICY",AL160&lt;&gt;"นิติศาสตร์",K160="S1",Y160="",AE160=""),EDATE(R160,12),AND(AO160="K5-POLICY",AL160&lt;&gt;"นิติศาสตร์",OR(K160="M2",K160="K4"),Y160="",AE160=""),EDATE(R160,12*2),AND(AO160="K5-POLICY",AL160&lt;&gt;"นิติศาสตร์",OR(AE160="M2",AE160="K4"),AH160&gt;=2,OR(AG160&lt;AA160,AG160&lt;R160)),EDATE(AG160,12*2),AND(AO160="K5-POLICY",AL160&lt;&gt;"นิติศาสตร์",AE160="S1",AH160&gt;=1,OR(AG160&lt;AA160,AG160&lt;R160)),EDATE(AG160,12),AND(AO160="K5-POLICY",AL160&lt;&gt;"นิติศาสตร์",OR(Y160="M2",Y160="K4"),AB160&gt;=2,AA160&lt;R160),EDATE(AA160,12*2),AND(AO160="K5-POLICY",AL160&lt;&gt;"นิติศาสตร์",Y160="S1",AB160&gt;=1,AA160&lt;R160),EDATE(AA160,12),AND(AO160="K5-POLICY",AL160&lt;&gt;"นิติศาสตร์",OR(Y160="S2",Y160="K5")),AA160,AND(AO160="K5-POLICY",AL160&lt;&gt;"นิติศาสตร์",OR(K160="M2",K160="K4"),U160&gt;=2),EDATE(R160,12*2),AND(AO160="K5-POLICY",AL160&lt;&gt;"นิติศาสตร์",K160="S1",U160&gt;=1),EDATE(R160,12),AND(AO160="K5-POLICY",AL160&lt;&gt;"นิติศาสตร์",OR(K160="S2",K160="K5")),R160,TRUE,"Check Data")</f>
        <v/>
      </c>
      <c r="AQ160" s="75" t="str">
        <f t="shared" si="70"/>
        <v>Check Data</v>
      </c>
      <c r="AR160" s="76" t="str">
        <f t="shared" si="71"/>
        <v>Check Data</v>
      </c>
      <c r="AS160" s="50" t="str">
        <f t="shared" si="72"/>
        <v>Check Data</v>
      </c>
      <c r="AT160" s="49" t="str">
        <f>IF(B160="","",IF(K160="S1","S1",INDEX(#REF!,#REF!)))</f>
        <v/>
      </c>
      <c r="AU160" s="49" t="str">
        <f t="shared" si="73"/>
        <v>M2</v>
      </c>
      <c r="AV160" s="50" t="b">
        <f t="shared" si="74"/>
        <v>0</v>
      </c>
      <c r="AW160" s="50"/>
    </row>
    <row r="161" spans="1:49" ht="21.75">
      <c r="A161" s="49">
        <v>159</v>
      </c>
      <c r="B161" s="50"/>
      <c r="C161" s="50"/>
      <c r="D161" s="50" t="s">
        <v>139</v>
      </c>
      <c r="E161" s="49" t="s">
        <v>223</v>
      </c>
      <c r="F161" s="49" t="str">
        <f t="shared" si="50"/>
        <v>15/04/1991</v>
      </c>
      <c r="G161" s="50">
        <f t="shared" si="51"/>
        <v>34</v>
      </c>
      <c r="H161" s="50">
        <f t="shared" si="52"/>
        <v>2</v>
      </c>
      <c r="I161" s="50">
        <f t="shared" si="53"/>
        <v>5</v>
      </c>
      <c r="J161" s="58"/>
      <c r="K161" s="49" t="s">
        <v>136</v>
      </c>
      <c r="L161" s="49" t="str">
        <f>IF(B161="","",IF(K161="S1",K161,INDEX(#REF!,#REF!)))</f>
        <v/>
      </c>
      <c r="M161" s="49" t="b">
        <f t="shared" si="54"/>
        <v>0</v>
      </c>
      <c r="N161" s="64"/>
      <c r="O161" s="49" t="s">
        <v>425</v>
      </c>
      <c r="P161" s="49">
        <v>2570</v>
      </c>
      <c r="Q161" s="65" t="s">
        <v>220</v>
      </c>
      <c r="R161" s="49" t="str">
        <f t="shared" si="55"/>
        <v>30/09/2022</v>
      </c>
      <c r="S161" s="49" t="str">
        <f>IF(B161="","",IF(K161="S1",K161,INDEX(#REF!,#REF!)))</f>
        <v/>
      </c>
      <c r="T161" s="49" t="b">
        <f t="shared" si="56"/>
        <v>0</v>
      </c>
      <c r="U161" s="68">
        <f t="shared" si="57"/>
        <v>2</v>
      </c>
      <c r="V161" s="68">
        <f t="shared" si="58"/>
        <v>8</v>
      </c>
      <c r="W161" s="68">
        <f t="shared" si="59"/>
        <v>21</v>
      </c>
      <c r="X161" s="68"/>
      <c r="Y161" s="65"/>
      <c r="Z161" s="65"/>
      <c r="AA161" s="49" t="str">
        <f t="shared" si="60"/>
        <v/>
      </c>
      <c r="AB161" s="68">
        <f t="shared" si="61"/>
        <v>0</v>
      </c>
      <c r="AC161" s="68">
        <f t="shared" si="62"/>
        <v>0</v>
      </c>
      <c r="AD161" s="68">
        <f t="shared" si="63"/>
        <v>0</v>
      </c>
      <c r="AE161" s="49"/>
      <c r="AF161" s="65"/>
      <c r="AG161" s="50" t="str">
        <f t="shared" si="64"/>
        <v/>
      </c>
      <c r="AH161" s="68">
        <f t="shared" si="65"/>
        <v>0</v>
      </c>
      <c r="AI161" s="68">
        <f t="shared" si="66"/>
        <v>0</v>
      </c>
      <c r="AJ161" s="68">
        <f t="shared" si="67"/>
        <v>0</v>
      </c>
      <c r="AK161" s="50"/>
      <c r="AL161" s="50" t="s">
        <v>165</v>
      </c>
      <c r="AM161" s="50" t="str">
        <f>IF(B161="","",IF(K161="S1",K161,INDEX(#REF!,#REF!)))</f>
        <v/>
      </c>
      <c r="AN161" s="50" t="b">
        <f t="shared" si="68"/>
        <v>0</v>
      </c>
      <c r="AO161" s="49" t="str">
        <f t="shared" si="69"/>
        <v>K5-POLICY</v>
      </c>
      <c r="AP161" s="72" t="str">
        <f>_xlfn.IFS(B161="","",AND(AO161="K5-LAW",AL161="นิติศาสตร์",K161="S2",Y161="",AE161=""),R161,AND(AO161="K5-LAW",AL161="นิติศาสตร์",K161="S1",Y161="",AE161=""),EDATE(R161,12),AND(AO161="K5-LAW",AL161="นิติศาสตร์",OR(K161="M2",K161="K4"),Y161="",AE161=""),EDATE(R161,12*2),AND(AO161="K5-LAW",AL161="นิติศาสตร์",OR(AE161="M2",AE161="K4"),AH161&gt;=2,OR(AG161&lt;AA161,AG161&lt;R161)),EDATE(AG161,12*2),AND(AO161="K5-LAW",AL161="นิติศาสตร์",AE161="S1",AH161&gt;=1,OR(AG161&lt;AA161,AG161&lt;R161)),EDATE(AG161,12),AND(AO161="K5-LAW",AL161="นิติศาสตร์",OR(Y161="M2",Y161="K4"),AB161&gt;=2,AA161&lt;R161),EDATE(AA161,12*2),AND(AO161="K5-LAW",AL161="นิติศาสตร์",Y161="S1",AB161&gt;=1,AA161&lt;R161),EDATE(AA161,12),AND(AO161="K5-LAW",AL161="นิติศาสตร์",OR(Y161="S2",Y161="K5")),AA161,AND(AO161="K5-LAW",AL161="นิติศาสตร์",OR(K161="M2",K161="K4"),U161&gt;=2),EDATE(R161,12*2),AND(AO161="K5-LAW",AL161="นิติศาสตร์",K161="S1",U161&gt;=1),EDATE(R161,12),AND(AO161="K5-LAW",AL161="นิติศาสตร์",OR(K161="S2",K161="K5")),R161,AND(AO161="K5-POLICY",AL161&lt;&gt;"นิติศาสตร์",K161="S2",Y161="",AE161=""),R161,AND(AO161="K5-POLICY",AL161&lt;&gt;"นิติศาสตร์",K161="S1",Y161="",AE161=""),EDATE(R161,12),AND(AO161="K5-POLICY",AL161&lt;&gt;"นิติศาสตร์",OR(K161="M2",K161="K4"),Y161="",AE161=""),EDATE(R161,12*2),AND(AO161="K5-POLICY",AL161&lt;&gt;"นิติศาสตร์",OR(AE161="M2",AE161="K4"),AH161&gt;=2,OR(AG161&lt;AA161,AG161&lt;R161)),EDATE(AG161,12*2),AND(AO161="K5-POLICY",AL161&lt;&gt;"นิติศาสตร์",AE161="S1",AH161&gt;=1,OR(AG161&lt;AA161,AG161&lt;R161)),EDATE(AG161,12),AND(AO161="K5-POLICY",AL161&lt;&gt;"นิติศาสตร์",OR(Y161="M2",Y161="K4"),AB161&gt;=2,AA161&lt;R161),EDATE(AA161,12*2),AND(AO161="K5-POLICY",AL161&lt;&gt;"นิติศาสตร์",Y161="S1",AB161&gt;=1,AA161&lt;R161),EDATE(AA161,12),AND(AO161="K5-POLICY",AL161&lt;&gt;"นิติศาสตร์",OR(Y161="S2",Y161="K5")),AA161,AND(AO161="K5-POLICY",AL161&lt;&gt;"นิติศาสตร์",OR(K161="M2",K161="K4"),U161&gt;=2),EDATE(R161,12*2),AND(AO161="K5-POLICY",AL161&lt;&gt;"นิติศาสตร์",K161="S1",U161&gt;=1),EDATE(R161,12),AND(AO161="K5-POLICY",AL161&lt;&gt;"นิติศาสตร์",OR(K161="S2",K161="K5")),R161,TRUE,"Check Data")</f>
        <v/>
      </c>
      <c r="AQ161" s="75" t="str">
        <f t="shared" si="70"/>
        <v>Check Data</v>
      </c>
      <c r="AR161" s="76" t="str">
        <f t="shared" si="71"/>
        <v>Check Data</v>
      </c>
      <c r="AS161" s="50" t="str">
        <f t="shared" si="72"/>
        <v>Check Data</v>
      </c>
      <c r="AT161" s="49" t="str">
        <f>IF(B161="","",IF(K161="S1","S1",INDEX(#REF!,#REF!)))</f>
        <v/>
      </c>
      <c r="AU161" s="49" t="str">
        <f t="shared" si="73"/>
        <v>M2</v>
      </c>
      <c r="AV161" s="50" t="b">
        <f t="shared" si="74"/>
        <v>0</v>
      </c>
      <c r="AW161" s="50"/>
    </row>
    <row r="162" spans="1:49" ht="21.75">
      <c r="A162" s="49">
        <v>160</v>
      </c>
      <c r="B162" s="50"/>
      <c r="C162" s="50"/>
      <c r="D162" s="50" t="s">
        <v>139</v>
      </c>
      <c r="E162" s="49" t="s">
        <v>219</v>
      </c>
      <c r="F162" s="49" t="str">
        <f t="shared" si="50"/>
        <v>01/11/1994</v>
      </c>
      <c r="G162" s="50">
        <f t="shared" si="51"/>
        <v>30</v>
      </c>
      <c r="H162" s="50">
        <f t="shared" si="52"/>
        <v>7</v>
      </c>
      <c r="I162" s="50">
        <f t="shared" si="53"/>
        <v>19</v>
      </c>
      <c r="J162" s="56"/>
      <c r="K162" s="49" t="s">
        <v>136</v>
      </c>
      <c r="L162" s="49" t="str">
        <f>IF(B162="","",IF(K162="S1",K162,INDEX(#REF!,#REF!)))</f>
        <v/>
      </c>
      <c r="M162" s="49" t="b">
        <f t="shared" si="54"/>
        <v>0</v>
      </c>
      <c r="N162" s="64"/>
      <c r="O162" s="49" t="s">
        <v>427</v>
      </c>
      <c r="P162" s="49">
        <v>2571</v>
      </c>
      <c r="Q162" s="65" t="s">
        <v>220</v>
      </c>
      <c r="R162" s="49" t="str">
        <f t="shared" si="55"/>
        <v>30/09/2022</v>
      </c>
      <c r="S162" s="49" t="str">
        <f>IF(B162="","",IF(K162="S1",K162,INDEX(#REF!,#REF!)))</f>
        <v/>
      </c>
      <c r="T162" s="49" t="b">
        <f t="shared" si="56"/>
        <v>0</v>
      </c>
      <c r="U162" s="68">
        <f t="shared" si="57"/>
        <v>2</v>
      </c>
      <c r="V162" s="68">
        <f t="shared" si="58"/>
        <v>8</v>
      </c>
      <c r="W162" s="68">
        <f t="shared" si="59"/>
        <v>21</v>
      </c>
      <c r="X162" s="68"/>
      <c r="Y162" s="65"/>
      <c r="Z162" s="65"/>
      <c r="AA162" s="49" t="str">
        <f t="shared" si="60"/>
        <v/>
      </c>
      <c r="AB162" s="68">
        <f t="shared" si="61"/>
        <v>0</v>
      </c>
      <c r="AC162" s="68">
        <f t="shared" si="62"/>
        <v>0</v>
      </c>
      <c r="AD162" s="68">
        <f t="shared" si="63"/>
        <v>0</v>
      </c>
      <c r="AE162" s="49"/>
      <c r="AF162" s="65"/>
      <c r="AG162" s="50" t="str">
        <f t="shared" si="64"/>
        <v/>
      </c>
      <c r="AH162" s="68">
        <f t="shared" si="65"/>
        <v>0</v>
      </c>
      <c r="AI162" s="68">
        <f t="shared" si="66"/>
        <v>0</v>
      </c>
      <c r="AJ162" s="68">
        <f t="shared" si="67"/>
        <v>0</v>
      </c>
      <c r="AK162" s="50"/>
      <c r="AL162" s="50" t="s">
        <v>165</v>
      </c>
      <c r="AM162" s="50" t="str">
        <f>IF(B162="","",IF(K162="S1",K162,INDEX(#REF!,#REF!)))</f>
        <v/>
      </c>
      <c r="AN162" s="50" t="b">
        <f t="shared" si="68"/>
        <v>0</v>
      </c>
      <c r="AO162" s="49" t="str">
        <f t="shared" si="69"/>
        <v>K5-POLICY</v>
      </c>
      <c r="AP162" s="72" t="str">
        <f>_xlfn.IFS(B162="","",AND(AO162="K5-LAW",AL162="นิติศาสตร์",K162="S2",Y162="",AE162=""),R162,AND(AO162="K5-LAW",AL162="นิติศาสตร์",K162="S1",Y162="",AE162=""),EDATE(R162,12),AND(AO162="K5-LAW",AL162="นิติศาสตร์",OR(K162="M2",K162="K4"),Y162="",AE162=""),EDATE(R162,12*2),AND(AO162="K5-LAW",AL162="นิติศาสตร์",OR(AE162="M2",AE162="K4"),AH162&gt;=2,OR(AG162&lt;AA162,AG162&lt;R162)),EDATE(AG162,12*2),AND(AO162="K5-LAW",AL162="นิติศาสตร์",AE162="S1",AH162&gt;=1,OR(AG162&lt;AA162,AG162&lt;R162)),EDATE(AG162,12),AND(AO162="K5-LAW",AL162="นิติศาสตร์",OR(Y162="M2",Y162="K4"),AB162&gt;=2,AA162&lt;R162),EDATE(AA162,12*2),AND(AO162="K5-LAW",AL162="นิติศาสตร์",Y162="S1",AB162&gt;=1,AA162&lt;R162),EDATE(AA162,12),AND(AO162="K5-LAW",AL162="นิติศาสตร์",OR(Y162="S2",Y162="K5")),AA162,AND(AO162="K5-LAW",AL162="นิติศาสตร์",OR(K162="M2",K162="K4"),U162&gt;=2),EDATE(R162,12*2),AND(AO162="K5-LAW",AL162="นิติศาสตร์",K162="S1",U162&gt;=1),EDATE(R162,12),AND(AO162="K5-LAW",AL162="นิติศาสตร์",OR(K162="S2",K162="K5")),R162,AND(AO162="K5-POLICY",AL162&lt;&gt;"นิติศาสตร์",K162="S2",Y162="",AE162=""),R162,AND(AO162="K5-POLICY",AL162&lt;&gt;"นิติศาสตร์",K162="S1",Y162="",AE162=""),EDATE(R162,12),AND(AO162="K5-POLICY",AL162&lt;&gt;"นิติศาสตร์",OR(K162="M2",K162="K4"),Y162="",AE162=""),EDATE(R162,12*2),AND(AO162="K5-POLICY",AL162&lt;&gt;"นิติศาสตร์",OR(AE162="M2",AE162="K4"),AH162&gt;=2,OR(AG162&lt;AA162,AG162&lt;R162)),EDATE(AG162,12*2),AND(AO162="K5-POLICY",AL162&lt;&gt;"นิติศาสตร์",AE162="S1",AH162&gt;=1,OR(AG162&lt;AA162,AG162&lt;R162)),EDATE(AG162,12),AND(AO162="K5-POLICY",AL162&lt;&gt;"นิติศาสตร์",OR(Y162="M2",Y162="K4"),AB162&gt;=2,AA162&lt;R162),EDATE(AA162,12*2),AND(AO162="K5-POLICY",AL162&lt;&gt;"นิติศาสตร์",Y162="S1",AB162&gt;=1,AA162&lt;R162),EDATE(AA162,12),AND(AO162="K5-POLICY",AL162&lt;&gt;"นิติศาสตร์",OR(Y162="S2",Y162="K5")),AA162,AND(AO162="K5-POLICY",AL162&lt;&gt;"นิติศาสตร์",OR(K162="M2",K162="K4"),U162&gt;=2),EDATE(R162,12*2),AND(AO162="K5-POLICY",AL162&lt;&gt;"นิติศาสตร์",K162="S1",U162&gt;=1),EDATE(R162,12),AND(AO162="K5-POLICY",AL162&lt;&gt;"นิติศาสตร์",OR(K162="S2",K162="K5")),R162,TRUE,"Check Data")</f>
        <v/>
      </c>
      <c r="AQ162" s="75" t="str">
        <f t="shared" si="70"/>
        <v>Check Data</v>
      </c>
      <c r="AR162" s="76" t="str">
        <f t="shared" si="71"/>
        <v>Check Data</v>
      </c>
      <c r="AS162" s="50" t="str">
        <f t="shared" si="72"/>
        <v>Check Data</v>
      </c>
      <c r="AT162" s="49" t="str">
        <f>IF(B162="","",IF(K162="S1","S1",INDEX(#REF!,#REF!)))</f>
        <v/>
      </c>
      <c r="AU162" s="49" t="str">
        <f t="shared" si="73"/>
        <v>M2</v>
      </c>
      <c r="AV162" s="50" t="b">
        <f t="shared" si="74"/>
        <v>0</v>
      </c>
      <c r="AW162" s="50"/>
    </row>
    <row r="163" spans="1:49" ht="21.75">
      <c r="A163" s="49">
        <v>161</v>
      </c>
      <c r="B163" s="50"/>
      <c r="C163" s="50"/>
      <c r="D163" s="50" t="s">
        <v>143</v>
      </c>
      <c r="E163" s="49" t="s">
        <v>296</v>
      </c>
      <c r="F163" s="49" t="str">
        <f t="shared" si="50"/>
        <v>02/10/1995</v>
      </c>
      <c r="G163" s="50">
        <f t="shared" si="51"/>
        <v>29</v>
      </c>
      <c r="H163" s="50">
        <f t="shared" si="52"/>
        <v>8</v>
      </c>
      <c r="I163" s="50">
        <f t="shared" si="53"/>
        <v>18</v>
      </c>
      <c r="J163" s="59"/>
      <c r="K163" s="49" t="s">
        <v>136</v>
      </c>
      <c r="L163" s="49" t="str">
        <f>IF(B163="","",IF(K163="S1",K163,INDEX(#REF!,#REF!)))</f>
        <v/>
      </c>
      <c r="M163" s="49" t="b">
        <f t="shared" si="54"/>
        <v>0</v>
      </c>
      <c r="N163" s="64"/>
      <c r="O163" s="49" t="s">
        <v>427</v>
      </c>
      <c r="P163" s="49">
        <v>2570</v>
      </c>
      <c r="Q163" s="65" t="s">
        <v>220</v>
      </c>
      <c r="R163" s="49" t="str">
        <f t="shared" si="55"/>
        <v>30/09/2022</v>
      </c>
      <c r="S163" s="49" t="str">
        <f>IF(B163="","",IF(K163="S1",K163,INDEX(#REF!,#REF!)))</f>
        <v/>
      </c>
      <c r="T163" s="49" t="b">
        <f t="shared" si="56"/>
        <v>0</v>
      </c>
      <c r="U163" s="68">
        <f t="shared" si="57"/>
        <v>2</v>
      </c>
      <c r="V163" s="68">
        <f t="shared" si="58"/>
        <v>8</v>
      </c>
      <c r="W163" s="68">
        <f t="shared" si="59"/>
        <v>21</v>
      </c>
      <c r="X163" s="68"/>
      <c r="Y163" s="65"/>
      <c r="Z163" s="65"/>
      <c r="AA163" s="49" t="str">
        <f t="shared" si="60"/>
        <v/>
      </c>
      <c r="AB163" s="68">
        <f t="shared" si="61"/>
        <v>0</v>
      </c>
      <c r="AC163" s="68">
        <f t="shared" si="62"/>
        <v>0</v>
      </c>
      <c r="AD163" s="68">
        <f t="shared" si="63"/>
        <v>0</v>
      </c>
      <c r="AE163" s="49"/>
      <c r="AF163" s="65"/>
      <c r="AG163" s="50" t="str">
        <f t="shared" si="64"/>
        <v/>
      </c>
      <c r="AH163" s="68">
        <f t="shared" si="65"/>
        <v>0</v>
      </c>
      <c r="AI163" s="68">
        <f t="shared" si="66"/>
        <v>0</v>
      </c>
      <c r="AJ163" s="68">
        <f t="shared" si="67"/>
        <v>0</v>
      </c>
      <c r="AK163" s="50"/>
      <c r="AL163" s="50" t="s">
        <v>513</v>
      </c>
      <c r="AM163" s="50" t="str">
        <f>IF(B163="","",IF(K163="S1",K163,INDEX(#REF!,#REF!)))</f>
        <v/>
      </c>
      <c r="AN163" s="50" t="b">
        <f t="shared" si="68"/>
        <v>0</v>
      </c>
      <c r="AO163" s="49" t="str">
        <f t="shared" si="69"/>
        <v>K5-POLICY</v>
      </c>
      <c r="AP163" s="72" t="str">
        <f>_xlfn.IFS(B163="","",AND(AO163="K5-LAW",AL163="นิติศาสตร์",K163="S2",Y163="",AE163=""),R163,AND(AO163="K5-LAW",AL163="นิติศาสตร์",K163="S1",Y163="",AE163=""),EDATE(R163,12),AND(AO163="K5-LAW",AL163="นิติศาสตร์",OR(K163="M2",K163="K4"),Y163="",AE163=""),EDATE(R163,12*2),AND(AO163="K5-LAW",AL163="นิติศาสตร์",OR(AE163="M2",AE163="K4"),AH163&gt;=2,OR(AG163&lt;AA163,AG163&lt;R163)),EDATE(AG163,12*2),AND(AO163="K5-LAW",AL163="นิติศาสตร์",AE163="S1",AH163&gt;=1,OR(AG163&lt;AA163,AG163&lt;R163)),EDATE(AG163,12),AND(AO163="K5-LAW",AL163="นิติศาสตร์",OR(Y163="M2",Y163="K4"),AB163&gt;=2,AA163&lt;R163),EDATE(AA163,12*2),AND(AO163="K5-LAW",AL163="นิติศาสตร์",Y163="S1",AB163&gt;=1,AA163&lt;R163),EDATE(AA163,12),AND(AO163="K5-LAW",AL163="นิติศาสตร์",OR(Y163="S2",Y163="K5")),AA163,AND(AO163="K5-LAW",AL163="นิติศาสตร์",OR(K163="M2",K163="K4"),U163&gt;=2),EDATE(R163,12*2),AND(AO163="K5-LAW",AL163="นิติศาสตร์",K163="S1",U163&gt;=1),EDATE(R163,12),AND(AO163="K5-LAW",AL163="นิติศาสตร์",OR(K163="S2",K163="K5")),R163,AND(AO163="K5-POLICY",AL163&lt;&gt;"นิติศาสตร์",K163="S2",Y163="",AE163=""),R163,AND(AO163="K5-POLICY",AL163&lt;&gt;"นิติศาสตร์",K163="S1",Y163="",AE163=""),EDATE(R163,12),AND(AO163="K5-POLICY",AL163&lt;&gt;"นิติศาสตร์",OR(K163="M2",K163="K4"),Y163="",AE163=""),EDATE(R163,12*2),AND(AO163="K5-POLICY",AL163&lt;&gt;"นิติศาสตร์",OR(AE163="M2",AE163="K4"),AH163&gt;=2,OR(AG163&lt;AA163,AG163&lt;R163)),EDATE(AG163,12*2),AND(AO163="K5-POLICY",AL163&lt;&gt;"นิติศาสตร์",AE163="S1",AH163&gt;=1,OR(AG163&lt;AA163,AG163&lt;R163)),EDATE(AG163,12),AND(AO163="K5-POLICY",AL163&lt;&gt;"นิติศาสตร์",OR(Y163="M2",Y163="K4"),AB163&gt;=2,AA163&lt;R163),EDATE(AA163,12*2),AND(AO163="K5-POLICY",AL163&lt;&gt;"นิติศาสตร์",Y163="S1",AB163&gt;=1,AA163&lt;R163),EDATE(AA163,12),AND(AO163="K5-POLICY",AL163&lt;&gt;"นิติศาสตร์",OR(Y163="S2",Y163="K5")),AA163,AND(AO163="K5-POLICY",AL163&lt;&gt;"นิติศาสตร์",OR(K163="M2",K163="K4"),U163&gt;=2),EDATE(R163,12*2),AND(AO163="K5-POLICY",AL163&lt;&gt;"นิติศาสตร์",K163="S1",U163&gt;=1),EDATE(R163,12),AND(AO163="K5-POLICY",AL163&lt;&gt;"นิติศาสตร์",OR(K163="S2",K163="K5")),R163,TRUE,"Check Data")</f>
        <v/>
      </c>
      <c r="AQ163" s="75" t="str">
        <f t="shared" si="70"/>
        <v>Check Data</v>
      </c>
      <c r="AR163" s="76" t="str">
        <f t="shared" si="71"/>
        <v>Check Data</v>
      </c>
      <c r="AS163" s="50" t="str">
        <f t="shared" si="72"/>
        <v>Check Data</v>
      </c>
      <c r="AT163" s="49" t="str">
        <f>IF(B163="","",IF(K163="S1","S1",INDEX(#REF!,#REF!)))</f>
        <v/>
      </c>
      <c r="AU163" s="49" t="str">
        <f t="shared" si="73"/>
        <v>M2</v>
      </c>
      <c r="AV163" s="50" t="b">
        <f t="shared" si="74"/>
        <v>0</v>
      </c>
      <c r="AW163" s="50"/>
    </row>
    <row r="164" spans="1:49" ht="21.75">
      <c r="A164" s="49">
        <v>162</v>
      </c>
      <c r="B164" s="50"/>
      <c r="C164" s="50"/>
      <c r="D164" s="50" t="s">
        <v>143</v>
      </c>
      <c r="E164" s="49" t="s">
        <v>295</v>
      </c>
      <c r="F164" s="49" t="str">
        <f t="shared" si="50"/>
        <v>02/09/1996</v>
      </c>
      <c r="G164" s="50">
        <f t="shared" si="51"/>
        <v>28</v>
      </c>
      <c r="H164" s="50">
        <f t="shared" si="52"/>
        <v>9</v>
      </c>
      <c r="I164" s="50">
        <f t="shared" si="53"/>
        <v>18</v>
      </c>
      <c r="J164" s="59"/>
      <c r="K164" s="49" t="s">
        <v>136</v>
      </c>
      <c r="L164" s="49" t="str">
        <f>IF(B164="","",IF(K164="S1",K164,INDEX(#REF!,#REF!)))</f>
        <v/>
      </c>
      <c r="M164" s="49" t="b">
        <f t="shared" si="54"/>
        <v>0</v>
      </c>
      <c r="N164" s="64"/>
      <c r="O164" s="49" t="s">
        <v>426</v>
      </c>
      <c r="P164" s="49">
        <v>2576</v>
      </c>
      <c r="Q164" s="65" t="s">
        <v>220</v>
      </c>
      <c r="R164" s="49" t="str">
        <f t="shared" si="55"/>
        <v>30/09/2022</v>
      </c>
      <c r="S164" s="49" t="str">
        <f>IF(B164="","",IF(K164="S1",K164,INDEX(#REF!,#REF!)))</f>
        <v/>
      </c>
      <c r="T164" s="49" t="b">
        <f t="shared" si="56"/>
        <v>0</v>
      </c>
      <c r="U164" s="68">
        <f t="shared" si="57"/>
        <v>2</v>
      </c>
      <c r="V164" s="68">
        <f t="shared" si="58"/>
        <v>8</v>
      </c>
      <c r="W164" s="68">
        <f t="shared" si="59"/>
        <v>21</v>
      </c>
      <c r="X164" s="68"/>
      <c r="Y164" s="65"/>
      <c r="Z164" s="65"/>
      <c r="AA164" s="49" t="str">
        <f t="shared" si="60"/>
        <v/>
      </c>
      <c r="AB164" s="68">
        <f t="shared" si="61"/>
        <v>0</v>
      </c>
      <c r="AC164" s="68">
        <f t="shared" si="62"/>
        <v>0</v>
      </c>
      <c r="AD164" s="68">
        <f t="shared" si="63"/>
        <v>0</v>
      </c>
      <c r="AE164" s="49"/>
      <c r="AF164" s="65"/>
      <c r="AG164" s="50" t="str">
        <f t="shared" si="64"/>
        <v/>
      </c>
      <c r="AH164" s="68">
        <f t="shared" si="65"/>
        <v>0</v>
      </c>
      <c r="AI164" s="68">
        <f t="shared" si="66"/>
        <v>0</v>
      </c>
      <c r="AJ164" s="68">
        <f t="shared" si="67"/>
        <v>0</v>
      </c>
      <c r="AK164" s="50"/>
      <c r="AL164" s="50" t="s">
        <v>318</v>
      </c>
      <c r="AM164" s="50" t="str">
        <f>IF(B164="","",IF(K164="S1",K164,INDEX(#REF!,#REF!)))</f>
        <v/>
      </c>
      <c r="AN164" s="50" t="b">
        <f t="shared" si="68"/>
        <v>0</v>
      </c>
      <c r="AO164" s="49" t="str">
        <f t="shared" si="69"/>
        <v>K5-POLICY</v>
      </c>
      <c r="AP164" s="72" t="str">
        <f>_xlfn.IFS(B164="","",AND(AO164="K5-LAW",AL164="นิติศาสตร์",K164="S2",Y164="",AE164=""),R164,AND(AO164="K5-LAW",AL164="นิติศาสตร์",K164="S1",Y164="",AE164=""),EDATE(R164,12),AND(AO164="K5-LAW",AL164="นิติศาสตร์",OR(K164="M2",K164="K4"),Y164="",AE164=""),EDATE(R164,12*2),AND(AO164="K5-LAW",AL164="นิติศาสตร์",OR(AE164="M2",AE164="K4"),AH164&gt;=2,OR(AG164&lt;AA164,AG164&lt;R164)),EDATE(AG164,12*2),AND(AO164="K5-LAW",AL164="นิติศาสตร์",AE164="S1",AH164&gt;=1,OR(AG164&lt;AA164,AG164&lt;R164)),EDATE(AG164,12),AND(AO164="K5-LAW",AL164="นิติศาสตร์",OR(Y164="M2",Y164="K4"),AB164&gt;=2,AA164&lt;R164),EDATE(AA164,12*2),AND(AO164="K5-LAW",AL164="นิติศาสตร์",Y164="S1",AB164&gt;=1,AA164&lt;R164),EDATE(AA164,12),AND(AO164="K5-LAW",AL164="นิติศาสตร์",OR(Y164="S2",Y164="K5")),AA164,AND(AO164="K5-LAW",AL164="นิติศาสตร์",OR(K164="M2",K164="K4"),U164&gt;=2),EDATE(R164,12*2),AND(AO164="K5-LAW",AL164="นิติศาสตร์",K164="S1",U164&gt;=1),EDATE(R164,12),AND(AO164="K5-LAW",AL164="นิติศาสตร์",OR(K164="S2",K164="K5")),R164,AND(AO164="K5-POLICY",AL164&lt;&gt;"นิติศาสตร์",K164="S2",Y164="",AE164=""),R164,AND(AO164="K5-POLICY",AL164&lt;&gt;"นิติศาสตร์",K164="S1",Y164="",AE164=""),EDATE(R164,12),AND(AO164="K5-POLICY",AL164&lt;&gt;"นิติศาสตร์",OR(K164="M2",K164="K4"),Y164="",AE164=""),EDATE(R164,12*2),AND(AO164="K5-POLICY",AL164&lt;&gt;"นิติศาสตร์",OR(AE164="M2",AE164="K4"),AH164&gt;=2,OR(AG164&lt;AA164,AG164&lt;R164)),EDATE(AG164,12*2),AND(AO164="K5-POLICY",AL164&lt;&gt;"นิติศาสตร์",AE164="S1",AH164&gt;=1,OR(AG164&lt;AA164,AG164&lt;R164)),EDATE(AG164,12),AND(AO164="K5-POLICY",AL164&lt;&gt;"นิติศาสตร์",OR(Y164="M2",Y164="K4"),AB164&gt;=2,AA164&lt;R164),EDATE(AA164,12*2),AND(AO164="K5-POLICY",AL164&lt;&gt;"นิติศาสตร์",Y164="S1",AB164&gt;=1,AA164&lt;R164),EDATE(AA164,12),AND(AO164="K5-POLICY",AL164&lt;&gt;"นิติศาสตร์",OR(Y164="S2",Y164="K5")),AA164,AND(AO164="K5-POLICY",AL164&lt;&gt;"นิติศาสตร์",OR(K164="M2",K164="K4"),U164&gt;=2),EDATE(R164,12*2),AND(AO164="K5-POLICY",AL164&lt;&gt;"นิติศาสตร์",K164="S1",U164&gt;=1),EDATE(R164,12),AND(AO164="K5-POLICY",AL164&lt;&gt;"นิติศาสตร์",OR(K164="S2",K164="K5")),R164,TRUE,"Check Data")</f>
        <v/>
      </c>
      <c r="AQ164" s="75" t="str">
        <f t="shared" si="70"/>
        <v>Check Data</v>
      </c>
      <c r="AR164" s="76" t="str">
        <f t="shared" si="71"/>
        <v>Check Data</v>
      </c>
      <c r="AS164" s="50" t="str">
        <f t="shared" si="72"/>
        <v>Check Data</v>
      </c>
      <c r="AT164" s="49" t="str">
        <f>IF(B164="","",IF(K164="S1","S1",INDEX(#REF!,#REF!)))</f>
        <v/>
      </c>
      <c r="AU164" s="49" t="str">
        <f t="shared" si="73"/>
        <v>M2</v>
      </c>
      <c r="AV164" s="50" t="b">
        <f t="shared" si="74"/>
        <v>0</v>
      </c>
      <c r="AW164" s="50"/>
    </row>
    <row r="165" spans="1:49" ht="21.75">
      <c r="A165" s="49">
        <v>163</v>
      </c>
      <c r="B165" s="50"/>
      <c r="C165" s="50"/>
      <c r="D165" s="50" t="s">
        <v>143</v>
      </c>
      <c r="E165" s="49" t="s">
        <v>363</v>
      </c>
      <c r="F165" s="49" t="str">
        <f t="shared" si="50"/>
        <v>17/06/1988</v>
      </c>
      <c r="G165" s="50">
        <f t="shared" si="51"/>
        <v>37</v>
      </c>
      <c r="H165" s="50">
        <f t="shared" si="52"/>
        <v>0</v>
      </c>
      <c r="I165" s="50">
        <f t="shared" si="53"/>
        <v>3</v>
      </c>
      <c r="J165" s="59"/>
      <c r="K165" s="49" t="s">
        <v>136</v>
      </c>
      <c r="L165" s="49" t="str">
        <f>IF(B165="","",IF(K165="S1",K165,INDEX(#REF!,#REF!)))</f>
        <v/>
      </c>
      <c r="M165" s="49" t="b">
        <f t="shared" si="54"/>
        <v>0</v>
      </c>
      <c r="N165" s="64"/>
      <c r="O165" s="49" t="s">
        <v>427</v>
      </c>
      <c r="P165" s="49">
        <v>2571</v>
      </c>
      <c r="Q165" s="65" t="s">
        <v>294</v>
      </c>
      <c r="R165" s="49" t="str">
        <f t="shared" si="55"/>
        <v>18/05/2023</v>
      </c>
      <c r="S165" s="49" t="str">
        <f>IF(B165="","",IF(K165="S1",K165,INDEX(#REF!,#REF!)))</f>
        <v/>
      </c>
      <c r="T165" s="49" t="b">
        <f t="shared" si="56"/>
        <v>0</v>
      </c>
      <c r="U165" s="68">
        <f t="shared" si="57"/>
        <v>2</v>
      </c>
      <c r="V165" s="68">
        <f t="shared" si="58"/>
        <v>1</v>
      </c>
      <c r="W165" s="68">
        <f t="shared" si="59"/>
        <v>2</v>
      </c>
      <c r="X165" s="68"/>
      <c r="Y165" s="65"/>
      <c r="Z165" s="65"/>
      <c r="AA165" s="49" t="str">
        <f t="shared" si="60"/>
        <v/>
      </c>
      <c r="AB165" s="68">
        <f t="shared" si="61"/>
        <v>0</v>
      </c>
      <c r="AC165" s="68">
        <f t="shared" si="62"/>
        <v>0</v>
      </c>
      <c r="AD165" s="68">
        <f t="shared" si="63"/>
        <v>0</v>
      </c>
      <c r="AE165" s="49"/>
      <c r="AF165" s="65"/>
      <c r="AG165" s="50" t="str">
        <f t="shared" si="64"/>
        <v/>
      </c>
      <c r="AH165" s="68">
        <f t="shared" si="65"/>
        <v>0</v>
      </c>
      <c r="AI165" s="68">
        <f t="shared" si="66"/>
        <v>0</v>
      </c>
      <c r="AJ165" s="68">
        <f t="shared" si="67"/>
        <v>0</v>
      </c>
      <c r="AK165" s="50"/>
      <c r="AL165" s="50" t="s">
        <v>167</v>
      </c>
      <c r="AM165" s="50" t="str">
        <f>IF(B165="","",IF(K165="S1",K165,INDEX(#REF!,#REF!)))</f>
        <v/>
      </c>
      <c r="AN165" s="50" t="b">
        <f t="shared" si="68"/>
        <v>0</v>
      </c>
      <c r="AO165" s="49" t="str">
        <f t="shared" si="69"/>
        <v>K5-POLICY</v>
      </c>
      <c r="AP165" s="72" t="str">
        <f>_xlfn.IFS(B165="","",AND(AO165="K5-LAW",AL165="นิติศาสตร์",K165="S2",Y165="",AE165=""),R165,AND(AO165="K5-LAW",AL165="นิติศาสตร์",K165="S1",Y165="",AE165=""),EDATE(R165,12),AND(AO165="K5-LAW",AL165="นิติศาสตร์",OR(K165="M2",K165="K4"),Y165="",AE165=""),EDATE(R165,12*2),AND(AO165="K5-LAW",AL165="นิติศาสตร์",OR(AE165="M2",AE165="K4"),AH165&gt;=2,OR(AG165&lt;AA165,AG165&lt;R165)),EDATE(AG165,12*2),AND(AO165="K5-LAW",AL165="นิติศาสตร์",AE165="S1",AH165&gt;=1,OR(AG165&lt;AA165,AG165&lt;R165)),EDATE(AG165,12),AND(AO165="K5-LAW",AL165="นิติศาสตร์",OR(Y165="M2",Y165="K4"),AB165&gt;=2,AA165&lt;R165),EDATE(AA165,12*2),AND(AO165="K5-LAW",AL165="นิติศาสตร์",Y165="S1",AB165&gt;=1,AA165&lt;R165),EDATE(AA165,12),AND(AO165="K5-LAW",AL165="นิติศาสตร์",OR(Y165="S2",Y165="K5")),AA165,AND(AO165="K5-LAW",AL165="นิติศาสตร์",OR(K165="M2",K165="K4"),U165&gt;=2),EDATE(R165,12*2),AND(AO165="K5-LAW",AL165="นิติศาสตร์",K165="S1",U165&gt;=1),EDATE(R165,12),AND(AO165="K5-LAW",AL165="นิติศาสตร์",OR(K165="S2",K165="K5")),R165,AND(AO165="K5-POLICY",AL165&lt;&gt;"นิติศาสตร์",K165="S2",Y165="",AE165=""),R165,AND(AO165="K5-POLICY",AL165&lt;&gt;"นิติศาสตร์",K165="S1",Y165="",AE165=""),EDATE(R165,12),AND(AO165="K5-POLICY",AL165&lt;&gt;"นิติศาสตร์",OR(K165="M2",K165="K4"),Y165="",AE165=""),EDATE(R165,12*2),AND(AO165="K5-POLICY",AL165&lt;&gt;"นิติศาสตร์",OR(AE165="M2",AE165="K4"),AH165&gt;=2,OR(AG165&lt;AA165,AG165&lt;R165)),EDATE(AG165,12*2),AND(AO165="K5-POLICY",AL165&lt;&gt;"นิติศาสตร์",AE165="S1",AH165&gt;=1,OR(AG165&lt;AA165,AG165&lt;R165)),EDATE(AG165,12),AND(AO165="K5-POLICY",AL165&lt;&gt;"นิติศาสตร์",OR(Y165="M2",Y165="K4"),AB165&gt;=2,AA165&lt;R165),EDATE(AA165,12*2),AND(AO165="K5-POLICY",AL165&lt;&gt;"นิติศาสตร์",Y165="S1",AB165&gt;=1,AA165&lt;R165),EDATE(AA165,12),AND(AO165="K5-POLICY",AL165&lt;&gt;"นิติศาสตร์",OR(Y165="S2",Y165="K5")),AA165,AND(AO165="K5-POLICY",AL165&lt;&gt;"นิติศาสตร์",OR(K165="M2",K165="K4"),U165&gt;=2),EDATE(R165,12*2),AND(AO165="K5-POLICY",AL165&lt;&gt;"นิติศาสตร์",K165="S1",U165&gt;=1),EDATE(R165,12),AND(AO165="K5-POLICY",AL165&lt;&gt;"นิติศาสตร์",OR(K165="S2",K165="K5")),R165,TRUE,"Check Data")</f>
        <v/>
      </c>
      <c r="AQ165" s="75" t="str">
        <f t="shared" si="70"/>
        <v>Check Data</v>
      </c>
      <c r="AR165" s="76" t="str">
        <f t="shared" si="71"/>
        <v>Check Data</v>
      </c>
      <c r="AS165" s="50" t="str">
        <f t="shared" si="72"/>
        <v>Check Data</v>
      </c>
      <c r="AT165" s="49" t="str">
        <f>IF(B165="","",IF(K165="S1","S1",INDEX(#REF!,#REF!)))</f>
        <v/>
      </c>
      <c r="AU165" s="49" t="str">
        <f t="shared" si="73"/>
        <v>M2</v>
      </c>
      <c r="AV165" s="50" t="b">
        <f t="shared" si="74"/>
        <v>0</v>
      </c>
      <c r="AW165" s="50"/>
    </row>
    <row r="166" spans="1:49" ht="21.75">
      <c r="A166" s="49">
        <v>164</v>
      </c>
      <c r="B166" s="50"/>
      <c r="C166" s="50"/>
      <c r="D166" s="50" t="s">
        <v>143</v>
      </c>
      <c r="E166" s="49" t="s">
        <v>190</v>
      </c>
      <c r="F166" s="49" t="str">
        <f t="shared" si="50"/>
        <v>16/03/1987</v>
      </c>
      <c r="G166" s="50">
        <f t="shared" si="51"/>
        <v>38</v>
      </c>
      <c r="H166" s="50">
        <f t="shared" si="52"/>
        <v>3</v>
      </c>
      <c r="I166" s="50">
        <f t="shared" si="53"/>
        <v>4</v>
      </c>
      <c r="J166" s="59"/>
      <c r="K166" s="49" t="s">
        <v>136</v>
      </c>
      <c r="L166" s="49" t="str">
        <f>IF(B166="","",IF(K166="S1",K166,INDEX(#REF!,#REF!)))</f>
        <v/>
      </c>
      <c r="M166" s="49" t="b">
        <f t="shared" si="54"/>
        <v>0</v>
      </c>
      <c r="N166" s="64"/>
      <c r="O166" s="49" t="s">
        <v>427</v>
      </c>
      <c r="P166" s="49">
        <v>2569</v>
      </c>
      <c r="Q166" s="65" t="s">
        <v>294</v>
      </c>
      <c r="R166" s="49" t="str">
        <f t="shared" si="55"/>
        <v>18/05/2023</v>
      </c>
      <c r="S166" s="49" t="str">
        <f>IF(B166="","",IF(K166="S1",K166,INDEX(#REF!,#REF!)))</f>
        <v/>
      </c>
      <c r="T166" s="49" t="b">
        <f t="shared" si="56"/>
        <v>0</v>
      </c>
      <c r="U166" s="68">
        <f t="shared" si="57"/>
        <v>2</v>
      </c>
      <c r="V166" s="68">
        <f t="shared" si="58"/>
        <v>1</v>
      </c>
      <c r="W166" s="68">
        <f t="shared" si="59"/>
        <v>2</v>
      </c>
      <c r="X166" s="68"/>
      <c r="Y166" s="65"/>
      <c r="Z166" s="65"/>
      <c r="AA166" s="49" t="str">
        <f t="shared" si="60"/>
        <v/>
      </c>
      <c r="AB166" s="68">
        <f t="shared" si="61"/>
        <v>0</v>
      </c>
      <c r="AC166" s="68">
        <f t="shared" si="62"/>
        <v>0</v>
      </c>
      <c r="AD166" s="68">
        <f t="shared" si="63"/>
        <v>0</v>
      </c>
      <c r="AE166" s="49"/>
      <c r="AF166" s="65"/>
      <c r="AG166" s="50" t="str">
        <f t="shared" si="64"/>
        <v/>
      </c>
      <c r="AH166" s="68">
        <f t="shared" si="65"/>
        <v>0</v>
      </c>
      <c r="AI166" s="68">
        <f t="shared" si="66"/>
        <v>0</v>
      </c>
      <c r="AJ166" s="68">
        <f t="shared" si="67"/>
        <v>0</v>
      </c>
      <c r="AK166" s="50"/>
      <c r="AL166" s="50" t="s">
        <v>519</v>
      </c>
      <c r="AM166" s="50" t="str">
        <f>IF(B166="","",IF(K166="S1",K166,INDEX(#REF!,#REF!)))</f>
        <v/>
      </c>
      <c r="AN166" s="50" t="b">
        <f t="shared" si="68"/>
        <v>0</v>
      </c>
      <c r="AO166" s="49" t="str">
        <f t="shared" si="69"/>
        <v>K5-POLICY</v>
      </c>
      <c r="AP166" s="72" t="str">
        <f>_xlfn.IFS(B166="","",AND(AO166="K5-LAW",AL166="นิติศาสตร์",K166="S2",Y166="",AE166=""),R166,AND(AO166="K5-LAW",AL166="นิติศาสตร์",K166="S1",Y166="",AE166=""),EDATE(R166,12),AND(AO166="K5-LAW",AL166="นิติศาสตร์",OR(K166="M2",K166="K4"),Y166="",AE166=""),EDATE(R166,12*2),AND(AO166="K5-LAW",AL166="นิติศาสตร์",OR(AE166="M2",AE166="K4"),AH166&gt;=2,OR(AG166&lt;AA166,AG166&lt;R166)),EDATE(AG166,12*2),AND(AO166="K5-LAW",AL166="นิติศาสตร์",AE166="S1",AH166&gt;=1,OR(AG166&lt;AA166,AG166&lt;R166)),EDATE(AG166,12),AND(AO166="K5-LAW",AL166="นิติศาสตร์",OR(Y166="M2",Y166="K4"),AB166&gt;=2,AA166&lt;R166),EDATE(AA166,12*2),AND(AO166="K5-LAW",AL166="นิติศาสตร์",Y166="S1",AB166&gt;=1,AA166&lt;R166),EDATE(AA166,12),AND(AO166="K5-LAW",AL166="นิติศาสตร์",OR(Y166="S2",Y166="K5")),AA166,AND(AO166="K5-LAW",AL166="นิติศาสตร์",OR(K166="M2",K166="K4"),U166&gt;=2),EDATE(R166,12*2),AND(AO166="K5-LAW",AL166="นิติศาสตร์",K166="S1",U166&gt;=1),EDATE(R166,12),AND(AO166="K5-LAW",AL166="นิติศาสตร์",OR(K166="S2",K166="K5")),R166,AND(AO166="K5-POLICY",AL166&lt;&gt;"นิติศาสตร์",K166="S2",Y166="",AE166=""),R166,AND(AO166="K5-POLICY",AL166&lt;&gt;"นิติศาสตร์",K166="S1",Y166="",AE166=""),EDATE(R166,12),AND(AO166="K5-POLICY",AL166&lt;&gt;"นิติศาสตร์",OR(K166="M2",K166="K4"),Y166="",AE166=""),EDATE(R166,12*2),AND(AO166="K5-POLICY",AL166&lt;&gt;"นิติศาสตร์",OR(AE166="M2",AE166="K4"),AH166&gt;=2,OR(AG166&lt;AA166,AG166&lt;R166)),EDATE(AG166,12*2),AND(AO166="K5-POLICY",AL166&lt;&gt;"นิติศาสตร์",AE166="S1",AH166&gt;=1,OR(AG166&lt;AA166,AG166&lt;R166)),EDATE(AG166,12),AND(AO166="K5-POLICY",AL166&lt;&gt;"นิติศาสตร์",OR(Y166="M2",Y166="K4"),AB166&gt;=2,AA166&lt;R166),EDATE(AA166,12*2),AND(AO166="K5-POLICY",AL166&lt;&gt;"นิติศาสตร์",Y166="S1",AB166&gt;=1,AA166&lt;R166),EDATE(AA166,12),AND(AO166="K5-POLICY",AL166&lt;&gt;"นิติศาสตร์",OR(Y166="S2",Y166="K5")),AA166,AND(AO166="K5-POLICY",AL166&lt;&gt;"นิติศาสตร์",OR(K166="M2",K166="K4"),U166&gt;=2),EDATE(R166,12*2),AND(AO166="K5-POLICY",AL166&lt;&gt;"นิติศาสตร์",K166="S1",U166&gt;=1),EDATE(R166,12),AND(AO166="K5-POLICY",AL166&lt;&gt;"นิติศาสตร์",OR(K166="S2",K166="K5")),R166,TRUE,"Check Data")</f>
        <v/>
      </c>
      <c r="AQ166" s="75" t="str">
        <f t="shared" si="70"/>
        <v>Check Data</v>
      </c>
      <c r="AR166" s="76" t="str">
        <f t="shared" si="71"/>
        <v>Check Data</v>
      </c>
      <c r="AS166" s="50" t="str">
        <f t="shared" si="72"/>
        <v>Check Data</v>
      </c>
      <c r="AT166" s="49" t="str">
        <f>IF(B166="","",IF(K166="S1","S1",INDEX(#REF!,#REF!)))</f>
        <v/>
      </c>
      <c r="AU166" s="49" t="str">
        <f t="shared" si="73"/>
        <v>M2</v>
      </c>
      <c r="AV166" s="50" t="b">
        <f t="shared" si="74"/>
        <v>0</v>
      </c>
      <c r="AW166" s="50"/>
    </row>
    <row r="167" spans="1:49" ht="21.75">
      <c r="A167" s="49">
        <v>165</v>
      </c>
      <c r="B167" s="50"/>
      <c r="C167" s="50"/>
      <c r="D167" s="50" t="s">
        <v>143</v>
      </c>
      <c r="E167" s="49" t="s">
        <v>370</v>
      </c>
      <c r="F167" s="49" t="str">
        <f t="shared" si="50"/>
        <v>15/04/1988</v>
      </c>
      <c r="G167" s="50">
        <f t="shared" si="51"/>
        <v>37</v>
      </c>
      <c r="H167" s="50">
        <f t="shared" si="52"/>
        <v>2</v>
      </c>
      <c r="I167" s="50">
        <f t="shared" si="53"/>
        <v>5</v>
      </c>
      <c r="J167" s="59"/>
      <c r="K167" s="49" t="s">
        <v>136</v>
      </c>
      <c r="L167" s="49" t="str">
        <f>IF(B167="","",IF(K167="S1",K167,INDEX(#REF!,#REF!)))</f>
        <v/>
      </c>
      <c r="M167" s="49" t="b">
        <f t="shared" si="54"/>
        <v>0</v>
      </c>
      <c r="N167" s="64"/>
      <c r="O167" s="49" t="s">
        <v>427</v>
      </c>
      <c r="P167" s="49">
        <v>2569</v>
      </c>
      <c r="Q167" s="65" t="s">
        <v>294</v>
      </c>
      <c r="R167" s="49" t="str">
        <f t="shared" si="55"/>
        <v>18/05/2023</v>
      </c>
      <c r="S167" s="49" t="str">
        <f>IF(B167="","",IF(K167="S1",K167,INDEX(#REF!,#REF!)))</f>
        <v/>
      </c>
      <c r="T167" s="49" t="b">
        <f t="shared" si="56"/>
        <v>0</v>
      </c>
      <c r="U167" s="68">
        <f t="shared" si="57"/>
        <v>2</v>
      </c>
      <c r="V167" s="68">
        <f t="shared" si="58"/>
        <v>1</v>
      </c>
      <c r="W167" s="68">
        <f t="shared" si="59"/>
        <v>2</v>
      </c>
      <c r="X167" s="68"/>
      <c r="Y167" s="65"/>
      <c r="Z167" s="65"/>
      <c r="AA167" s="49" t="str">
        <f t="shared" si="60"/>
        <v/>
      </c>
      <c r="AB167" s="68">
        <f t="shared" si="61"/>
        <v>0</v>
      </c>
      <c r="AC167" s="68">
        <f t="shared" si="62"/>
        <v>0</v>
      </c>
      <c r="AD167" s="68">
        <f t="shared" si="63"/>
        <v>0</v>
      </c>
      <c r="AE167" s="49"/>
      <c r="AF167" s="65"/>
      <c r="AG167" s="50" t="str">
        <f t="shared" si="64"/>
        <v/>
      </c>
      <c r="AH167" s="68">
        <f t="shared" si="65"/>
        <v>0</v>
      </c>
      <c r="AI167" s="68">
        <f t="shared" si="66"/>
        <v>0</v>
      </c>
      <c r="AJ167" s="68">
        <f t="shared" si="67"/>
        <v>0</v>
      </c>
      <c r="AK167" s="50"/>
      <c r="AL167" s="50" t="s">
        <v>482</v>
      </c>
      <c r="AM167" s="50" t="str">
        <f>IF(B167="","",IF(K167="S1",K167,INDEX(#REF!,#REF!)))</f>
        <v/>
      </c>
      <c r="AN167" s="50" t="b">
        <f t="shared" si="68"/>
        <v>0</v>
      </c>
      <c r="AO167" s="49" t="str">
        <f t="shared" si="69"/>
        <v>K5-POLICY</v>
      </c>
      <c r="AP167" s="72" t="str">
        <f>_xlfn.IFS(B167="","",AND(AO167="K5-LAW",AL167="นิติศาสตร์",K167="S2",Y167="",AE167=""),R167,AND(AO167="K5-LAW",AL167="นิติศาสตร์",K167="S1",Y167="",AE167=""),EDATE(R167,12),AND(AO167="K5-LAW",AL167="นิติศาสตร์",OR(K167="M2",K167="K4"),Y167="",AE167=""),EDATE(R167,12*2),AND(AO167="K5-LAW",AL167="นิติศาสตร์",OR(AE167="M2",AE167="K4"),AH167&gt;=2,OR(AG167&lt;AA167,AG167&lt;R167)),EDATE(AG167,12*2),AND(AO167="K5-LAW",AL167="นิติศาสตร์",AE167="S1",AH167&gt;=1,OR(AG167&lt;AA167,AG167&lt;R167)),EDATE(AG167,12),AND(AO167="K5-LAW",AL167="นิติศาสตร์",OR(Y167="M2",Y167="K4"),AB167&gt;=2,AA167&lt;R167),EDATE(AA167,12*2),AND(AO167="K5-LAW",AL167="นิติศาสตร์",Y167="S1",AB167&gt;=1,AA167&lt;R167),EDATE(AA167,12),AND(AO167="K5-LAW",AL167="นิติศาสตร์",OR(Y167="S2",Y167="K5")),AA167,AND(AO167="K5-LAW",AL167="นิติศาสตร์",OR(K167="M2",K167="K4"),U167&gt;=2),EDATE(R167,12*2),AND(AO167="K5-LAW",AL167="นิติศาสตร์",K167="S1",U167&gt;=1),EDATE(R167,12),AND(AO167="K5-LAW",AL167="นิติศาสตร์",OR(K167="S2",K167="K5")),R167,AND(AO167="K5-POLICY",AL167&lt;&gt;"นิติศาสตร์",K167="S2",Y167="",AE167=""),R167,AND(AO167="K5-POLICY",AL167&lt;&gt;"นิติศาสตร์",K167="S1",Y167="",AE167=""),EDATE(R167,12),AND(AO167="K5-POLICY",AL167&lt;&gt;"นิติศาสตร์",OR(K167="M2",K167="K4"),Y167="",AE167=""),EDATE(R167,12*2),AND(AO167="K5-POLICY",AL167&lt;&gt;"นิติศาสตร์",OR(AE167="M2",AE167="K4"),AH167&gt;=2,OR(AG167&lt;AA167,AG167&lt;R167)),EDATE(AG167,12*2),AND(AO167="K5-POLICY",AL167&lt;&gt;"นิติศาสตร์",AE167="S1",AH167&gt;=1,OR(AG167&lt;AA167,AG167&lt;R167)),EDATE(AG167,12),AND(AO167="K5-POLICY",AL167&lt;&gt;"นิติศาสตร์",OR(Y167="M2",Y167="K4"),AB167&gt;=2,AA167&lt;R167),EDATE(AA167,12*2),AND(AO167="K5-POLICY",AL167&lt;&gt;"นิติศาสตร์",Y167="S1",AB167&gt;=1,AA167&lt;R167),EDATE(AA167,12),AND(AO167="K5-POLICY",AL167&lt;&gt;"นิติศาสตร์",OR(Y167="S2",Y167="K5")),AA167,AND(AO167="K5-POLICY",AL167&lt;&gt;"นิติศาสตร์",OR(K167="M2",K167="K4"),U167&gt;=2),EDATE(R167,12*2),AND(AO167="K5-POLICY",AL167&lt;&gt;"นิติศาสตร์",K167="S1",U167&gt;=1),EDATE(R167,12),AND(AO167="K5-POLICY",AL167&lt;&gt;"นิติศาสตร์",OR(K167="S2",K167="K5")),R167,TRUE,"Check Data")</f>
        <v/>
      </c>
      <c r="AQ167" s="75" t="str">
        <f t="shared" si="70"/>
        <v>Check Data</v>
      </c>
      <c r="AR167" s="76" t="str">
        <f t="shared" si="71"/>
        <v>Check Data</v>
      </c>
      <c r="AS167" s="50" t="str">
        <f t="shared" si="72"/>
        <v>Check Data</v>
      </c>
      <c r="AT167" s="49" t="str">
        <f>IF(B167="","",IF(K167="S1","S1",INDEX(#REF!,#REF!)))</f>
        <v/>
      </c>
      <c r="AU167" s="49" t="str">
        <f t="shared" si="73"/>
        <v>M2</v>
      </c>
      <c r="AV167" s="50" t="b">
        <f t="shared" si="74"/>
        <v>0</v>
      </c>
      <c r="AW167" s="50"/>
    </row>
    <row r="168" spans="1:49" ht="21.75">
      <c r="A168" s="49">
        <v>166</v>
      </c>
      <c r="B168" s="50"/>
      <c r="C168" s="50"/>
      <c r="D168" s="50" t="s">
        <v>143</v>
      </c>
      <c r="E168" s="49" t="s">
        <v>361</v>
      </c>
      <c r="F168" s="49" t="str">
        <f t="shared" si="50"/>
        <v>10/10/1999</v>
      </c>
      <c r="G168" s="50">
        <f t="shared" si="51"/>
        <v>25</v>
      </c>
      <c r="H168" s="50">
        <f t="shared" si="52"/>
        <v>8</v>
      </c>
      <c r="I168" s="50">
        <f t="shared" si="53"/>
        <v>10</v>
      </c>
      <c r="J168" s="59"/>
      <c r="K168" s="49" t="s">
        <v>136</v>
      </c>
      <c r="L168" s="49" t="str">
        <f>IF(B168="","",IF(K168="S1",K168,INDEX(#REF!,#REF!)))</f>
        <v/>
      </c>
      <c r="M168" s="49" t="b">
        <f t="shared" si="54"/>
        <v>0</v>
      </c>
      <c r="N168" s="64"/>
      <c r="O168" s="49" t="s">
        <v>427</v>
      </c>
      <c r="P168" s="49">
        <v>2574</v>
      </c>
      <c r="Q168" s="65" t="s">
        <v>294</v>
      </c>
      <c r="R168" s="49" t="str">
        <f t="shared" si="55"/>
        <v>18/05/2023</v>
      </c>
      <c r="S168" s="49" t="str">
        <f>IF(B168="","",IF(K168="S1",K168,INDEX(#REF!,#REF!)))</f>
        <v/>
      </c>
      <c r="T168" s="49" t="b">
        <f t="shared" si="56"/>
        <v>0</v>
      </c>
      <c r="U168" s="68">
        <f t="shared" si="57"/>
        <v>2</v>
      </c>
      <c r="V168" s="68">
        <f t="shared" si="58"/>
        <v>1</v>
      </c>
      <c r="W168" s="68">
        <f t="shared" si="59"/>
        <v>2</v>
      </c>
      <c r="X168" s="68"/>
      <c r="Y168" s="65"/>
      <c r="Z168" s="65"/>
      <c r="AA168" s="49" t="str">
        <f t="shared" si="60"/>
        <v/>
      </c>
      <c r="AB168" s="68">
        <f t="shared" si="61"/>
        <v>0</v>
      </c>
      <c r="AC168" s="68">
        <f t="shared" si="62"/>
        <v>0</v>
      </c>
      <c r="AD168" s="68">
        <f t="shared" si="63"/>
        <v>0</v>
      </c>
      <c r="AE168" s="49"/>
      <c r="AF168" s="65"/>
      <c r="AG168" s="50" t="str">
        <f t="shared" si="64"/>
        <v/>
      </c>
      <c r="AH168" s="68">
        <f t="shared" si="65"/>
        <v>0</v>
      </c>
      <c r="AI168" s="68">
        <f t="shared" si="66"/>
        <v>0</v>
      </c>
      <c r="AJ168" s="68">
        <f t="shared" si="67"/>
        <v>0</v>
      </c>
      <c r="AK168" s="50"/>
      <c r="AL168" s="50" t="s">
        <v>513</v>
      </c>
      <c r="AM168" s="50" t="str">
        <f>IF(B168="","",IF(K168="S1",K168,INDEX(#REF!,#REF!)))</f>
        <v/>
      </c>
      <c r="AN168" s="50" t="b">
        <f t="shared" si="68"/>
        <v>0</v>
      </c>
      <c r="AO168" s="49" t="str">
        <f t="shared" si="69"/>
        <v>K5-POLICY</v>
      </c>
      <c r="AP168" s="72" t="str">
        <f>_xlfn.IFS(B168="","",AND(AO168="K5-LAW",AL168="นิติศาสตร์",K168="S2",Y168="",AE168=""),R168,AND(AO168="K5-LAW",AL168="นิติศาสตร์",K168="S1",Y168="",AE168=""),EDATE(R168,12),AND(AO168="K5-LAW",AL168="นิติศาสตร์",OR(K168="M2",K168="K4"),Y168="",AE168=""),EDATE(R168,12*2),AND(AO168="K5-LAW",AL168="นิติศาสตร์",OR(AE168="M2",AE168="K4"),AH168&gt;=2,OR(AG168&lt;AA168,AG168&lt;R168)),EDATE(AG168,12*2),AND(AO168="K5-LAW",AL168="นิติศาสตร์",AE168="S1",AH168&gt;=1,OR(AG168&lt;AA168,AG168&lt;R168)),EDATE(AG168,12),AND(AO168="K5-LAW",AL168="นิติศาสตร์",OR(Y168="M2",Y168="K4"),AB168&gt;=2,AA168&lt;R168),EDATE(AA168,12*2),AND(AO168="K5-LAW",AL168="นิติศาสตร์",Y168="S1",AB168&gt;=1,AA168&lt;R168),EDATE(AA168,12),AND(AO168="K5-LAW",AL168="นิติศาสตร์",OR(Y168="S2",Y168="K5")),AA168,AND(AO168="K5-LAW",AL168="นิติศาสตร์",OR(K168="M2",K168="K4"),U168&gt;=2),EDATE(R168,12*2),AND(AO168="K5-LAW",AL168="นิติศาสตร์",K168="S1",U168&gt;=1),EDATE(R168,12),AND(AO168="K5-LAW",AL168="นิติศาสตร์",OR(K168="S2",K168="K5")),R168,AND(AO168="K5-POLICY",AL168&lt;&gt;"นิติศาสตร์",K168="S2",Y168="",AE168=""),R168,AND(AO168="K5-POLICY",AL168&lt;&gt;"นิติศาสตร์",K168="S1",Y168="",AE168=""),EDATE(R168,12),AND(AO168="K5-POLICY",AL168&lt;&gt;"นิติศาสตร์",OR(K168="M2",K168="K4"),Y168="",AE168=""),EDATE(R168,12*2),AND(AO168="K5-POLICY",AL168&lt;&gt;"นิติศาสตร์",OR(AE168="M2",AE168="K4"),AH168&gt;=2,OR(AG168&lt;AA168,AG168&lt;R168)),EDATE(AG168,12*2),AND(AO168="K5-POLICY",AL168&lt;&gt;"นิติศาสตร์",AE168="S1",AH168&gt;=1,OR(AG168&lt;AA168,AG168&lt;R168)),EDATE(AG168,12),AND(AO168="K5-POLICY",AL168&lt;&gt;"นิติศาสตร์",OR(Y168="M2",Y168="K4"),AB168&gt;=2,AA168&lt;R168),EDATE(AA168,12*2),AND(AO168="K5-POLICY",AL168&lt;&gt;"นิติศาสตร์",Y168="S1",AB168&gt;=1,AA168&lt;R168),EDATE(AA168,12),AND(AO168="K5-POLICY",AL168&lt;&gt;"นิติศาสตร์",OR(Y168="S2",Y168="K5")),AA168,AND(AO168="K5-POLICY",AL168&lt;&gt;"นิติศาสตร์",OR(K168="M2",K168="K4"),U168&gt;=2),EDATE(R168,12*2),AND(AO168="K5-POLICY",AL168&lt;&gt;"นิติศาสตร์",K168="S1",U168&gt;=1),EDATE(R168,12),AND(AO168="K5-POLICY",AL168&lt;&gt;"นิติศาสตร์",OR(K168="S2",K168="K5")),R168,TRUE,"Check Data")</f>
        <v/>
      </c>
      <c r="AQ168" s="75" t="str">
        <f t="shared" si="70"/>
        <v>Check Data</v>
      </c>
      <c r="AR168" s="76" t="str">
        <f t="shared" si="71"/>
        <v>Check Data</v>
      </c>
      <c r="AS168" s="50" t="str">
        <f t="shared" si="72"/>
        <v>Check Data</v>
      </c>
      <c r="AT168" s="49" t="str">
        <f>IF(B168="","",IF(K168="S1","S1",INDEX(#REF!,#REF!)))</f>
        <v/>
      </c>
      <c r="AU168" s="49" t="str">
        <f t="shared" si="73"/>
        <v>M2</v>
      </c>
      <c r="AV168" s="50" t="b">
        <f t="shared" si="74"/>
        <v>0</v>
      </c>
      <c r="AW168" s="50"/>
    </row>
    <row r="169" spans="1:49" ht="21.75">
      <c r="A169" s="49">
        <v>167</v>
      </c>
      <c r="B169" s="50"/>
      <c r="C169" s="50"/>
      <c r="D169" s="50" t="s">
        <v>143</v>
      </c>
      <c r="E169" s="49" t="s">
        <v>364</v>
      </c>
      <c r="F169" s="49" t="str">
        <f t="shared" si="50"/>
        <v>03/10/1994</v>
      </c>
      <c r="G169" s="50">
        <f t="shared" si="51"/>
        <v>30</v>
      </c>
      <c r="H169" s="50">
        <f t="shared" si="52"/>
        <v>8</v>
      </c>
      <c r="I169" s="50">
        <f t="shared" si="53"/>
        <v>17</v>
      </c>
      <c r="J169" s="59"/>
      <c r="K169" s="49" t="s">
        <v>136</v>
      </c>
      <c r="L169" s="49" t="str">
        <f>IF(B169="","",IF(K169="S1",K169,INDEX(#REF!,#REF!)))</f>
        <v/>
      </c>
      <c r="M169" s="49" t="b">
        <f t="shared" si="54"/>
        <v>0</v>
      </c>
      <c r="N169" s="64"/>
      <c r="O169" s="49" t="s">
        <v>427</v>
      </c>
      <c r="P169" s="49">
        <v>2576</v>
      </c>
      <c r="Q169" s="65" t="s">
        <v>294</v>
      </c>
      <c r="R169" s="49" t="str">
        <f t="shared" si="55"/>
        <v>18/05/2023</v>
      </c>
      <c r="S169" s="49" t="str">
        <f>IF(B169="","",IF(K169="S1",K169,INDEX(#REF!,#REF!)))</f>
        <v/>
      </c>
      <c r="T169" s="49" t="b">
        <f t="shared" si="56"/>
        <v>0</v>
      </c>
      <c r="U169" s="68">
        <f t="shared" si="57"/>
        <v>2</v>
      </c>
      <c r="V169" s="68">
        <f t="shared" si="58"/>
        <v>1</v>
      </c>
      <c r="W169" s="68">
        <f t="shared" si="59"/>
        <v>2</v>
      </c>
      <c r="X169" s="68"/>
      <c r="Y169" s="65"/>
      <c r="Z169" s="65"/>
      <c r="AA169" s="49" t="str">
        <f t="shared" si="60"/>
        <v/>
      </c>
      <c r="AB169" s="68">
        <f t="shared" si="61"/>
        <v>0</v>
      </c>
      <c r="AC169" s="68">
        <f t="shared" si="62"/>
        <v>0</v>
      </c>
      <c r="AD169" s="68">
        <f t="shared" si="63"/>
        <v>0</v>
      </c>
      <c r="AE169" s="49"/>
      <c r="AF169" s="65"/>
      <c r="AG169" s="50" t="str">
        <f t="shared" si="64"/>
        <v/>
      </c>
      <c r="AH169" s="68">
        <f t="shared" si="65"/>
        <v>0</v>
      </c>
      <c r="AI169" s="68">
        <f t="shared" si="66"/>
        <v>0</v>
      </c>
      <c r="AJ169" s="68">
        <f t="shared" si="67"/>
        <v>0</v>
      </c>
      <c r="AK169" s="50"/>
      <c r="AL169" s="50" t="s">
        <v>482</v>
      </c>
      <c r="AM169" s="50" t="str">
        <f>IF(B169="","",IF(K169="S1",K169,INDEX(#REF!,#REF!)))</f>
        <v/>
      </c>
      <c r="AN169" s="50" t="b">
        <f t="shared" si="68"/>
        <v>0</v>
      </c>
      <c r="AO169" s="49" t="str">
        <f t="shared" si="69"/>
        <v>K5-POLICY</v>
      </c>
      <c r="AP169" s="72" t="str">
        <f>_xlfn.IFS(B169="","",AND(AO169="K5-LAW",AL169="นิติศาสตร์",K169="S2",Y169="",AE169=""),R169,AND(AO169="K5-LAW",AL169="นิติศาสตร์",K169="S1",Y169="",AE169=""),EDATE(R169,12),AND(AO169="K5-LAW",AL169="นิติศาสตร์",OR(K169="M2",K169="K4"),Y169="",AE169=""),EDATE(R169,12*2),AND(AO169="K5-LAW",AL169="นิติศาสตร์",OR(AE169="M2",AE169="K4"),AH169&gt;=2,OR(AG169&lt;AA169,AG169&lt;R169)),EDATE(AG169,12*2),AND(AO169="K5-LAW",AL169="นิติศาสตร์",AE169="S1",AH169&gt;=1,OR(AG169&lt;AA169,AG169&lt;R169)),EDATE(AG169,12),AND(AO169="K5-LAW",AL169="นิติศาสตร์",OR(Y169="M2",Y169="K4"),AB169&gt;=2,AA169&lt;R169),EDATE(AA169,12*2),AND(AO169="K5-LAW",AL169="นิติศาสตร์",Y169="S1",AB169&gt;=1,AA169&lt;R169),EDATE(AA169,12),AND(AO169="K5-LAW",AL169="นิติศาสตร์",OR(Y169="S2",Y169="K5")),AA169,AND(AO169="K5-LAW",AL169="นิติศาสตร์",OR(K169="M2",K169="K4"),U169&gt;=2),EDATE(R169,12*2),AND(AO169="K5-LAW",AL169="นิติศาสตร์",K169="S1",U169&gt;=1),EDATE(R169,12),AND(AO169="K5-LAW",AL169="นิติศาสตร์",OR(K169="S2",K169="K5")),R169,AND(AO169="K5-POLICY",AL169&lt;&gt;"นิติศาสตร์",K169="S2",Y169="",AE169=""),R169,AND(AO169="K5-POLICY",AL169&lt;&gt;"นิติศาสตร์",K169="S1",Y169="",AE169=""),EDATE(R169,12),AND(AO169="K5-POLICY",AL169&lt;&gt;"นิติศาสตร์",OR(K169="M2",K169="K4"),Y169="",AE169=""),EDATE(R169,12*2),AND(AO169="K5-POLICY",AL169&lt;&gt;"นิติศาสตร์",OR(AE169="M2",AE169="K4"),AH169&gt;=2,OR(AG169&lt;AA169,AG169&lt;R169)),EDATE(AG169,12*2),AND(AO169="K5-POLICY",AL169&lt;&gt;"นิติศาสตร์",AE169="S1",AH169&gt;=1,OR(AG169&lt;AA169,AG169&lt;R169)),EDATE(AG169,12),AND(AO169="K5-POLICY",AL169&lt;&gt;"นิติศาสตร์",OR(Y169="M2",Y169="K4"),AB169&gt;=2,AA169&lt;R169),EDATE(AA169,12*2),AND(AO169="K5-POLICY",AL169&lt;&gt;"นิติศาสตร์",Y169="S1",AB169&gt;=1,AA169&lt;R169),EDATE(AA169,12),AND(AO169="K5-POLICY",AL169&lt;&gt;"นิติศาสตร์",OR(Y169="S2",Y169="K5")),AA169,AND(AO169="K5-POLICY",AL169&lt;&gt;"นิติศาสตร์",OR(K169="M2",K169="K4"),U169&gt;=2),EDATE(R169,12*2),AND(AO169="K5-POLICY",AL169&lt;&gt;"นิติศาสตร์",K169="S1",U169&gt;=1),EDATE(R169,12),AND(AO169="K5-POLICY",AL169&lt;&gt;"นิติศาสตร์",OR(K169="S2",K169="K5")),R169,TRUE,"Check Data")</f>
        <v/>
      </c>
      <c r="AQ169" s="75" t="str">
        <f t="shared" si="70"/>
        <v>Check Data</v>
      </c>
      <c r="AR169" s="76" t="str">
        <f t="shared" si="71"/>
        <v>Check Data</v>
      </c>
      <c r="AS169" s="50" t="str">
        <f t="shared" si="72"/>
        <v>Check Data</v>
      </c>
      <c r="AT169" s="49" t="str">
        <f>IF(B169="","",IF(K169="S1","S1",INDEX(#REF!,#REF!)))</f>
        <v/>
      </c>
      <c r="AU169" s="49" t="str">
        <f t="shared" si="73"/>
        <v>M2</v>
      </c>
      <c r="AV169" s="50" t="b">
        <f t="shared" si="74"/>
        <v>0</v>
      </c>
      <c r="AW169" s="50"/>
    </row>
    <row r="170" spans="1:49" ht="21.75">
      <c r="A170" s="49">
        <v>168</v>
      </c>
      <c r="B170" s="50"/>
      <c r="C170" s="50"/>
      <c r="D170" s="50" t="s">
        <v>143</v>
      </c>
      <c r="E170" s="49" t="s">
        <v>352</v>
      </c>
      <c r="F170" s="49" t="str">
        <f t="shared" si="50"/>
        <v>01/07/1997</v>
      </c>
      <c r="G170" s="50">
        <f t="shared" si="51"/>
        <v>27</v>
      </c>
      <c r="H170" s="50">
        <f t="shared" si="52"/>
        <v>11</v>
      </c>
      <c r="I170" s="50">
        <f t="shared" si="53"/>
        <v>19</v>
      </c>
      <c r="J170" s="59"/>
      <c r="K170" s="49" t="s">
        <v>136</v>
      </c>
      <c r="L170" s="49" t="str">
        <f>IF(B170="","",IF(K170="S1",K170,INDEX(#REF!,#REF!)))</f>
        <v/>
      </c>
      <c r="M170" s="49" t="b">
        <f t="shared" si="54"/>
        <v>0</v>
      </c>
      <c r="N170" s="64"/>
      <c r="O170" s="49" t="s">
        <v>427</v>
      </c>
      <c r="P170" s="49">
        <v>2575</v>
      </c>
      <c r="Q170" s="65" t="s">
        <v>294</v>
      </c>
      <c r="R170" s="49" t="str">
        <f t="shared" si="55"/>
        <v>18/05/2023</v>
      </c>
      <c r="S170" s="49" t="str">
        <f>IF(B170="","",IF(K170="S1",K170,INDEX(#REF!,#REF!)))</f>
        <v/>
      </c>
      <c r="T170" s="49" t="b">
        <f t="shared" si="56"/>
        <v>0</v>
      </c>
      <c r="U170" s="68">
        <f t="shared" si="57"/>
        <v>2</v>
      </c>
      <c r="V170" s="68">
        <f t="shared" si="58"/>
        <v>1</v>
      </c>
      <c r="W170" s="68">
        <f t="shared" si="59"/>
        <v>2</v>
      </c>
      <c r="X170" s="68"/>
      <c r="Y170" s="65"/>
      <c r="Z170" s="65"/>
      <c r="AA170" s="49" t="str">
        <f t="shared" si="60"/>
        <v/>
      </c>
      <c r="AB170" s="68">
        <f t="shared" si="61"/>
        <v>0</v>
      </c>
      <c r="AC170" s="68">
        <f t="shared" si="62"/>
        <v>0</v>
      </c>
      <c r="AD170" s="68">
        <f t="shared" si="63"/>
        <v>0</v>
      </c>
      <c r="AE170" s="49"/>
      <c r="AF170" s="65"/>
      <c r="AG170" s="50" t="str">
        <f t="shared" si="64"/>
        <v/>
      </c>
      <c r="AH170" s="68">
        <f t="shared" si="65"/>
        <v>0</v>
      </c>
      <c r="AI170" s="68">
        <f t="shared" si="66"/>
        <v>0</v>
      </c>
      <c r="AJ170" s="68">
        <f t="shared" si="67"/>
        <v>0</v>
      </c>
      <c r="AK170" s="50"/>
      <c r="AL170" s="50" t="s">
        <v>486</v>
      </c>
      <c r="AM170" s="50" t="str">
        <f>IF(B170="","",IF(K170="S1",K170,INDEX(#REF!,#REF!)))</f>
        <v/>
      </c>
      <c r="AN170" s="50" t="b">
        <f t="shared" si="68"/>
        <v>0</v>
      </c>
      <c r="AO170" s="49" t="str">
        <f t="shared" si="69"/>
        <v>K5-POLICY</v>
      </c>
      <c r="AP170" s="72" t="str">
        <f>_xlfn.IFS(B170="","",AND(AO170="K5-LAW",AL170="นิติศาสตร์",K170="S2",Y170="",AE170=""),R170,AND(AO170="K5-LAW",AL170="นิติศาสตร์",K170="S1",Y170="",AE170=""),EDATE(R170,12),AND(AO170="K5-LAW",AL170="นิติศาสตร์",OR(K170="M2",K170="K4"),Y170="",AE170=""),EDATE(R170,12*2),AND(AO170="K5-LAW",AL170="นิติศาสตร์",OR(AE170="M2",AE170="K4"),AH170&gt;=2,OR(AG170&lt;AA170,AG170&lt;R170)),EDATE(AG170,12*2),AND(AO170="K5-LAW",AL170="นิติศาสตร์",AE170="S1",AH170&gt;=1,OR(AG170&lt;AA170,AG170&lt;R170)),EDATE(AG170,12),AND(AO170="K5-LAW",AL170="นิติศาสตร์",OR(Y170="M2",Y170="K4"),AB170&gt;=2,AA170&lt;R170),EDATE(AA170,12*2),AND(AO170="K5-LAW",AL170="นิติศาสตร์",Y170="S1",AB170&gt;=1,AA170&lt;R170),EDATE(AA170,12),AND(AO170="K5-LAW",AL170="นิติศาสตร์",OR(Y170="S2",Y170="K5")),AA170,AND(AO170="K5-LAW",AL170="นิติศาสตร์",OR(K170="M2",K170="K4"),U170&gt;=2),EDATE(R170,12*2),AND(AO170="K5-LAW",AL170="นิติศาสตร์",K170="S1",U170&gt;=1),EDATE(R170,12),AND(AO170="K5-LAW",AL170="นิติศาสตร์",OR(K170="S2",K170="K5")),R170,AND(AO170="K5-POLICY",AL170&lt;&gt;"นิติศาสตร์",K170="S2",Y170="",AE170=""),R170,AND(AO170="K5-POLICY",AL170&lt;&gt;"นิติศาสตร์",K170="S1",Y170="",AE170=""),EDATE(R170,12),AND(AO170="K5-POLICY",AL170&lt;&gt;"นิติศาสตร์",OR(K170="M2",K170="K4"),Y170="",AE170=""),EDATE(R170,12*2),AND(AO170="K5-POLICY",AL170&lt;&gt;"นิติศาสตร์",OR(AE170="M2",AE170="K4"),AH170&gt;=2,OR(AG170&lt;AA170,AG170&lt;R170)),EDATE(AG170,12*2),AND(AO170="K5-POLICY",AL170&lt;&gt;"นิติศาสตร์",AE170="S1",AH170&gt;=1,OR(AG170&lt;AA170,AG170&lt;R170)),EDATE(AG170,12),AND(AO170="K5-POLICY",AL170&lt;&gt;"นิติศาสตร์",OR(Y170="M2",Y170="K4"),AB170&gt;=2,AA170&lt;R170),EDATE(AA170,12*2),AND(AO170="K5-POLICY",AL170&lt;&gt;"นิติศาสตร์",Y170="S1",AB170&gt;=1,AA170&lt;R170),EDATE(AA170,12),AND(AO170="K5-POLICY",AL170&lt;&gt;"นิติศาสตร์",OR(Y170="S2",Y170="K5")),AA170,AND(AO170="K5-POLICY",AL170&lt;&gt;"นิติศาสตร์",OR(K170="M2",K170="K4"),U170&gt;=2),EDATE(R170,12*2),AND(AO170="K5-POLICY",AL170&lt;&gt;"นิติศาสตร์",K170="S1",U170&gt;=1),EDATE(R170,12),AND(AO170="K5-POLICY",AL170&lt;&gt;"นิติศาสตร์",OR(K170="S2",K170="K5")),R170,TRUE,"Check Data")</f>
        <v/>
      </c>
      <c r="AQ170" s="75" t="str">
        <f t="shared" si="70"/>
        <v>Check Data</v>
      </c>
      <c r="AR170" s="76" t="str">
        <f t="shared" si="71"/>
        <v>Check Data</v>
      </c>
      <c r="AS170" s="50" t="str">
        <f t="shared" si="72"/>
        <v>Check Data</v>
      </c>
      <c r="AT170" s="49" t="str">
        <f>IF(B170="","",IF(K170="S1","S1",INDEX(#REF!,#REF!)))</f>
        <v/>
      </c>
      <c r="AU170" s="49" t="str">
        <f t="shared" si="73"/>
        <v>M2</v>
      </c>
      <c r="AV170" s="50" t="b">
        <f t="shared" si="74"/>
        <v>0</v>
      </c>
      <c r="AW170" s="50"/>
    </row>
    <row r="171" spans="1:49" ht="21.75">
      <c r="A171" s="49">
        <v>169</v>
      </c>
      <c r="B171" s="50"/>
      <c r="C171" s="50"/>
      <c r="D171" s="50" t="s">
        <v>143</v>
      </c>
      <c r="E171" s="49" t="s">
        <v>352</v>
      </c>
      <c r="F171" s="49" t="str">
        <f t="shared" si="50"/>
        <v>01/07/1997</v>
      </c>
      <c r="G171" s="50">
        <f t="shared" si="51"/>
        <v>27</v>
      </c>
      <c r="H171" s="50">
        <f t="shared" si="52"/>
        <v>11</v>
      </c>
      <c r="I171" s="50">
        <f t="shared" si="53"/>
        <v>19</v>
      </c>
      <c r="J171" s="59"/>
      <c r="K171" s="49" t="s">
        <v>136</v>
      </c>
      <c r="L171" s="49" t="str">
        <f>IF(B171="","",IF(K171="S1",K171,INDEX(#REF!,#REF!)))</f>
        <v/>
      </c>
      <c r="M171" s="49" t="b">
        <f t="shared" si="54"/>
        <v>0</v>
      </c>
      <c r="N171" s="64"/>
      <c r="O171" s="49" t="s">
        <v>427</v>
      </c>
      <c r="P171" s="49">
        <v>2576</v>
      </c>
      <c r="Q171" s="65" t="s">
        <v>294</v>
      </c>
      <c r="R171" s="49" t="str">
        <f t="shared" si="55"/>
        <v>18/05/2023</v>
      </c>
      <c r="S171" s="49" t="str">
        <f>IF(B171="","",IF(K171="S1",K171,INDEX(#REF!,#REF!)))</f>
        <v/>
      </c>
      <c r="T171" s="49" t="b">
        <f t="shared" si="56"/>
        <v>0</v>
      </c>
      <c r="U171" s="68">
        <f t="shared" si="57"/>
        <v>2</v>
      </c>
      <c r="V171" s="68">
        <f t="shared" si="58"/>
        <v>1</v>
      </c>
      <c r="W171" s="68">
        <f t="shared" si="59"/>
        <v>2</v>
      </c>
      <c r="X171" s="68"/>
      <c r="Y171" s="65"/>
      <c r="Z171" s="65"/>
      <c r="AA171" s="49" t="str">
        <f t="shared" si="60"/>
        <v/>
      </c>
      <c r="AB171" s="68">
        <f t="shared" si="61"/>
        <v>0</v>
      </c>
      <c r="AC171" s="68">
        <f t="shared" si="62"/>
        <v>0</v>
      </c>
      <c r="AD171" s="68">
        <f t="shared" si="63"/>
        <v>0</v>
      </c>
      <c r="AE171" s="49"/>
      <c r="AF171" s="65"/>
      <c r="AG171" s="50" t="str">
        <f t="shared" si="64"/>
        <v/>
      </c>
      <c r="AH171" s="68">
        <f t="shared" si="65"/>
        <v>0</v>
      </c>
      <c r="AI171" s="68">
        <f t="shared" si="66"/>
        <v>0</v>
      </c>
      <c r="AJ171" s="68">
        <f t="shared" si="67"/>
        <v>0</v>
      </c>
      <c r="AK171" s="50"/>
      <c r="AL171" s="50" t="s">
        <v>520</v>
      </c>
      <c r="AM171" s="50" t="str">
        <f>IF(B171="","",IF(K171="S1",K171,INDEX(#REF!,#REF!)))</f>
        <v/>
      </c>
      <c r="AN171" s="50" t="b">
        <f t="shared" si="68"/>
        <v>0</v>
      </c>
      <c r="AO171" s="49" t="str">
        <f t="shared" si="69"/>
        <v>K5-POLICY</v>
      </c>
      <c r="AP171" s="72" t="str">
        <f>_xlfn.IFS(B171="","",AND(AO171="K5-LAW",AL171="นิติศาสตร์",K171="S2",Y171="",AE171=""),R171,AND(AO171="K5-LAW",AL171="นิติศาสตร์",K171="S1",Y171="",AE171=""),EDATE(R171,12),AND(AO171="K5-LAW",AL171="นิติศาสตร์",OR(K171="M2",K171="K4"),Y171="",AE171=""),EDATE(R171,12*2),AND(AO171="K5-LAW",AL171="นิติศาสตร์",OR(AE171="M2",AE171="K4"),AH171&gt;=2,OR(AG171&lt;AA171,AG171&lt;R171)),EDATE(AG171,12*2),AND(AO171="K5-LAW",AL171="นิติศาสตร์",AE171="S1",AH171&gt;=1,OR(AG171&lt;AA171,AG171&lt;R171)),EDATE(AG171,12),AND(AO171="K5-LAW",AL171="นิติศาสตร์",OR(Y171="M2",Y171="K4"),AB171&gt;=2,AA171&lt;R171),EDATE(AA171,12*2),AND(AO171="K5-LAW",AL171="นิติศาสตร์",Y171="S1",AB171&gt;=1,AA171&lt;R171),EDATE(AA171,12),AND(AO171="K5-LAW",AL171="นิติศาสตร์",OR(Y171="S2",Y171="K5")),AA171,AND(AO171="K5-LAW",AL171="นิติศาสตร์",OR(K171="M2",K171="K4"),U171&gt;=2),EDATE(R171,12*2),AND(AO171="K5-LAW",AL171="นิติศาสตร์",K171="S1",U171&gt;=1),EDATE(R171,12),AND(AO171="K5-LAW",AL171="นิติศาสตร์",OR(K171="S2",K171="K5")),R171,AND(AO171="K5-POLICY",AL171&lt;&gt;"นิติศาสตร์",K171="S2",Y171="",AE171=""),R171,AND(AO171="K5-POLICY",AL171&lt;&gt;"นิติศาสตร์",K171="S1",Y171="",AE171=""),EDATE(R171,12),AND(AO171="K5-POLICY",AL171&lt;&gt;"นิติศาสตร์",OR(K171="M2",K171="K4"),Y171="",AE171=""),EDATE(R171,12*2),AND(AO171="K5-POLICY",AL171&lt;&gt;"นิติศาสตร์",OR(AE171="M2",AE171="K4"),AH171&gt;=2,OR(AG171&lt;AA171,AG171&lt;R171)),EDATE(AG171,12*2),AND(AO171="K5-POLICY",AL171&lt;&gt;"นิติศาสตร์",AE171="S1",AH171&gt;=1,OR(AG171&lt;AA171,AG171&lt;R171)),EDATE(AG171,12),AND(AO171="K5-POLICY",AL171&lt;&gt;"นิติศาสตร์",OR(Y171="M2",Y171="K4"),AB171&gt;=2,AA171&lt;R171),EDATE(AA171,12*2),AND(AO171="K5-POLICY",AL171&lt;&gt;"นิติศาสตร์",Y171="S1",AB171&gt;=1,AA171&lt;R171),EDATE(AA171,12),AND(AO171="K5-POLICY",AL171&lt;&gt;"นิติศาสตร์",OR(Y171="S2",Y171="K5")),AA171,AND(AO171="K5-POLICY",AL171&lt;&gt;"นิติศาสตร์",OR(K171="M2",K171="K4"),U171&gt;=2),EDATE(R171,12*2),AND(AO171="K5-POLICY",AL171&lt;&gt;"นิติศาสตร์",K171="S1",U171&gt;=1),EDATE(R171,12),AND(AO171="K5-POLICY",AL171&lt;&gt;"นิติศาสตร์",OR(K171="S2",K171="K5")),R171,TRUE,"Check Data")</f>
        <v/>
      </c>
      <c r="AQ171" s="75" t="str">
        <f t="shared" si="70"/>
        <v>Check Data</v>
      </c>
      <c r="AR171" s="76" t="str">
        <f t="shared" si="71"/>
        <v>Check Data</v>
      </c>
      <c r="AS171" s="50" t="str">
        <f t="shared" si="72"/>
        <v>Check Data</v>
      </c>
      <c r="AT171" s="49" t="str">
        <f>IF(B171="","",IF(K171="S1","S1",INDEX(#REF!,#REF!)))</f>
        <v/>
      </c>
      <c r="AU171" s="49" t="str">
        <f t="shared" si="73"/>
        <v>M2</v>
      </c>
      <c r="AV171" s="50" t="b">
        <f t="shared" si="74"/>
        <v>0</v>
      </c>
      <c r="AW171" s="50"/>
    </row>
    <row r="172" spans="1:49" ht="21.75">
      <c r="A172" s="49">
        <v>170</v>
      </c>
      <c r="B172" s="50"/>
      <c r="C172" s="50"/>
      <c r="D172" s="50" t="s">
        <v>143</v>
      </c>
      <c r="E172" s="49" t="s">
        <v>312</v>
      </c>
      <c r="F172" s="49" t="str">
        <f t="shared" si="50"/>
        <v>04/05/2000</v>
      </c>
      <c r="G172" s="50">
        <f t="shared" si="51"/>
        <v>25</v>
      </c>
      <c r="H172" s="50">
        <f t="shared" si="52"/>
        <v>1</v>
      </c>
      <c r="I172" s="50">
        <f t="shared" si="53"/>
        <v>16</v>
      </c>
      <c r="J172" s="59"/>
      <c r="K172" s="49" t="s">
        <v>136</v>
      </c>
      <c r="L172" s="49" t="str">
        <f>IF(B172="","",IF(K172="S1",K172,INDEX(#REF!,#REF!)))</f>
        <v/>
      </c>
      <c r="M172" s="49" t="b">
        <f t="shared" si="54"/>
        <v>0</v>
      </c>
      <c r="N172" s="64"/>
      <c r="O172" s="49" t="s">
        <v>427</v>
      </c>
      <c r="P172" s="49">
        <v>2574</v>
      </c>
      <c r="Q172" s="65" t="s">
        <v>294</v>
      </c>
      <c r="R172" s="49" t="str">
        <f t="shared" si="55"/>
        <v>18/05/2023</v>
      </c>
      <c r="S172" s="49" t="str">
        <f>IF(B172="","",IF(K172="S1",K172,INDEX(#REF!,#REF!)))</f>
        <v/>
      </c>
      <c r="T172" s="49" t="b">
        <f t="shared" si="56"/>
        <v>0</v>
      </c>
      <c r="U172" s="68">
        <f t="shared" si="57"/>
        <v>2</v>
      </c>
      <c r="V172" s="68">
        <f t="shared" si="58"/>
        <v>1</v>
      </c>
      <c r="W172" s="68">
        <f t="shared" si="59"/>
        <v>2</v>
      </c>
      <c r="X172" s="68"/>
      <c r="Y172" s="65"/>
      <c r="Z172" s="65"/>
      <c r="AA172" s="49" t="str">
        <f t="shared" si="60"/>
        <v/>
      </c>
      <c r="AB172" s="68">
        <f t="shared" si="61"/>
        <v>0</v>
      </c>
      <c r="AC172" s="68">
        <f t="shared" si="62"/>
        <v>0</v>
      </c>
      <c r="AD172" s="68">
        <f t="shared" si="63"/>
        <v>0</v>
      </c>
      <c r="AE172" s="49"/>
      <c r="AF172" s="65"/>
      <c r="AG172" s="50" t="str">
        <f t="shared" si="64"/>
        <v/>
      </c>
      <c r="AH172" s="68">
        <f t="shared" si="65"/>
        <v>0</v>
      </c>
      <c r="AI172" s="68">
        <f t="shared" si="66"/>
        <v>0</v>
      </c>
      <c r="AJ172" s="68">
        <f t="shared" si="67"/>
        <v>0</v>
      </c>
      <c r="AK172" s="50"/>
      <c r="AL172" s="50" t="s">
        <v>482</v>
      </c>
      <c r="AM172" s="50" t="str">
        <f>IF(B172="","",IF(K172="S1",K172,INDEX(#REF!,#REF!)))</f>
        <v/>
      </c>
      <c r="AN172" s="50" t="b">
        <f t="shared" si="68"/>
        <v>0</v>
      </c>
      <c r="AO172" s="49" t="str">
        <f t="shared" si="69"/>
        <v>K5-POLICY</v>
      </c>
      <c r="AP172" s="72" t="str">
        <f>_xlfn.IFS(B172="","",AND(AO172="K5-LAW",AL172="นิติศาสตร์",K172="S2",Y172="",AE172=""),R172,AND(AO172="K5-LAW",AL172="นิติศาสตร์",K172="S1",Y172="",AE172=""),EDATE(R172,12),AND(AO172="K5-LAW",AL172="นิติศาสตร์",OR(K172="M2",K172="K4"),Y172="",AE172=""),EDATE(R172,12*2),AND(AO172="K5-LAW",AL172="นิติศาสตร์",OR(AE172="M2",AE172="K4"),AH172&gt;=2,OR(AG172&lt;AA172,AG172&lt;R172)),EDATE(AG172,12*2),AND(AO172="K5-LAW",AL172="นิติศาสตร์",AE172="S1",AH172&gt;=1,OR(AG172&lt;AA172,AG172&lt;R172)),EDATE(AG172,12),AND(AO172="K5-LAW",AL172="นิติศาสตร์",OR(Y172="M2",Y172="K4"),AB172&gt;=2,AA172&lt;R172),EDATE(AA172,12*2),AND(AO172="K5-LAW",AL172="นิติศาสตร์",Y172="S1",AB172&gt;=1,AA172&lt;R172),EDATE(AA172,12),AND(AO172="K5-LAW",AL172="นิติศาสตร์",OR(Y172="S2",Y172="K5")),AA172,AND(AO172="K5-LAW",AL172="นิติศาสตร์",OR(K172="M2",K172="K4"),U172&gt;=2),EDATE(R172,12*2),AND(AO172="K5-LAW",AL172="นิติศาสตร์",K172="S1",U172&gt;=1),EDATE(R172,12),AND(AO172="K5-LAW",AL172="นิติศาสตร์",OR(K172="S2",K172="K5")),R172,AND(AO172="K5-POLICY",AL172&lt;&gt;"นิติศาสตร์",K172="S2",Y172="",AE172=""),R172,AND(AO172="K5-POLICY",AL172&lt;&gt;"นิติศาสตร์",K172="S1",Y172="",AE172=""),EDATE(R172,12),AND(AO172="K5-POLICY",AL172&lt;&gt;"นิติศาสตร์",OR(K172="M2",K172="K4"),Y172="",AE172=""),EDATE(R172,12*2),AND(AO172="K5-POLICY",AL172&lt;&gt;"นิติศาสตร์",OR(AE172="M2",AE172="K4"),AH172&gt;=2,OR(AG172&lt;AA172,AG172&lt;R172)),EDATE(AG172,12*2),AND(AO172="K5-POLICY",AL172&lt;&gt;"นิติศาสตร์",AE172="S1",AH172&gt;=1,OR(AG172&lt;AA172,AG172&lt;R172)),EDATE(AG172,12),AND(AO172="K5-POLICY",AL172&lt;&gt;"นิติศาสตร์",OR(Y172="M2",Y172="K4"),AB172&gt;=2,AA172&lt;R172),EDATE(AA172,12*2),AND(AO172="K5-POLICY",AL172&lt;&gt;"นิติศาสตร์",Y172="S1",AB172&gt;=1,AA172&lt;R172),EDATE(AA172,12),AND(AO172="K5-POLICY",AL172&lt;&gt;"นิติศาสตร์",OR(Y172="S2",Y172="K5")),AA172,AND(AO172="K5-POLICY",AL172&lt;&gt;"นิติศาสตร์",OR(K172="M2",K172="K4"),U172&gt;=2),EDATE(R172,12*2),AND(AO172="K5-POLICY",AL172&lt;&gt;"นิติศาสตร์",K172="S1",U172&gt;=1),EDATE(R172,12),AND(AO172="K5-POLICY",AL172&lt;&gt;"นิติศาสตร์",OR(K172="S2",K172="K5")),R172,TRUE,"Check Data")</f>
        <v/>
      </c>
      <c r="AQ172" s="75" t="str">
        <f t="shared" si="70"/>
        <v>Check Data</v>
      </c>
      <c r="AR172" s="76" t="str">
        <f t="shared" si="71"/>
        <v>Check Data</v>
      </c>
      <c r="AS172" s="50" t="str">
        <f t="shared" si="72"/>
        <v>Check Data</v>
      </c>
      <c r="AT172" s="49" t="str">
        <f>IF(B172="","",IF(K172="S1","S1",INDEX(#REF!,#REF!)))</f>
        <v/>
      </c>
      <c r="AU172" s="49" t="str">
        <f t="shared" si="73"/>
        <v>M2</v>
      </c>
      <c r="AV172" s="50" t="b">
        <f t="shared" si="74"/>
        <v>0</v>
      </c>
      <c r="AW172" s="50"/>
    </row>
    <row r="173" spans="1:49" ht="21.75">
      <c r="A173" s="49">
        <v>171</v>
      </c>
      <c r="B173" s="50"/>
      <c r="C173" s="50"/>
      <c r="D173" s="50" t="s">
        <v>143</v>
      </c>
      <c r="E173" s="49" t="s">
        <v>360</v>
      </c>
      <c r="F173" s="49" t="str">
        <f t="shared" si="50"/>
        <v>01/12/1998</v>
      </c>
      <c r="G173" s="50">
        <f t="shared" si="51"/>
        <v>26</v>
      </c>
      <c r="H173" s="50">
        <f t="shared" si="52"/>
        <v>6</v>
      </c>
      <c r="I173" s="50">
        <f t="shared" si="53"/>
        <v>19</v>
      </c>
      <c r="J173" s="59"/>
      <c r="K173" s="49" t="s">
        <v>136</v>
      </c>
      <c r="L173" s="49" t="str">
        <f>IF(B173="","",IF(K173="S1",K173,INDEX(#REF!,#REF!)))</f>
        <v/>
      </c>
      <c r="M173" s="49" t="b">
        <f t="shared" si="54"/>
        <v>0</v>
      </c>
      <c r="N173" s="64"/>
      <c r="O173" s="49" t="s">
        <v>427</v>
      </c>
      <c r="P173" s="49">
        <v>2572</v>
      </c>
      <c r="Q173" s="65" t="s">
        <v>294</v>
      </c>
      <c r="R173" s="49" t="str">
        <f t="shared" si="55"/>
        <v>18/05/2023</v>
      </c>
      <c r="S173" s="49" t="str">
        <f>IF(B173="","",IF(K173="S1",K173,INDEX(#REF!,#REF!)))</f>
        <v/>
      </c>
      <c r="T173" s="49" t="b">
        <f t="shared" si="56"/>
        <v>0</v>
      </c>
      <c r="U173" s="68">
        <f t="shared" si="57"/>
        <v>2</v>
      </c>
      <c r="V173" s="68">
        <f t="shared" si="58"/>
        <v>1</v>
      </c>
      <c r="W173" s="68">
        <f t="shared" si="59"/>
        <v>2</v>
      </c>
      <c r="X173" s="68"/>
      <c r="Y173" s="65"/>
      <c r="Z173" s="65"/>
      <c r="AA173" s="49" t="str">
        <f t="shared" si="60"/>
        <v/>
      </c>
      <c r="AB173" s="68">
        <f t="shared" si="61"/>
        <v>0</v>
      </c>
      <c r="AC173" s="68">
        <f t="shared" si="62"/>
        <v>0</v>
      </c>
      <c r="AD173" s="68">
        <f t="shared" si="63"/>
        <v>0</v>
      </c>
      <c r="AE173" s="49"/>
      <c r="AF173" s="65"/>
      <c r="AG173" s="50" t="str">
        <f t="shared" si="64"/>
        <v/>
      </c>
      <c r="AH173" s="68">
        <f t="shared" si="65"/>
        <v>0</v>
      </c>
      <c r="AI173" s="68">
        <f t="shared" si="66"/>
        <v>0</v>
      </c>
      <c r="AJ173" s="68">
        <f t="shared" si="67"/>
        <v>0</v>
      </c>
      <c r="AK173" s="50"/>
      <c r="AL173" s="50" t="s">
        <v>521</v>
      </c>
      <c r="AM173" s="50" t="str">
        <f>IF(B173="","",IF(K173="S1",K173,INDEX(#REF!,#REF!)))</f>
        <v/>
      </c>
      <c r="AN173" s="50" t="b">
        <f t="shared" si="68"/>
        <v>0</v>
      </c>
      <c r="AO173" s="49" t="str">
        <f t="shared" si="69"/>
        <v>K5-POLICY</v>
      </c>
      <c r="AP173" s="72" t="str">
        <f>_xlfn.IFS(B173="","",AND(AO173="K5-LAW",AL173="นิติศาสตร์",K173="S2",Y173="",AE173=""),R173,AND(AO173="K5-LAW",AL173="นิติศาสตร์",K173="S1",Y173="",AE173=""),EDATE(R173,12),AND(AO173="K5-LAW",AL173="นิติศาสตร์",OR(K173="M2",K173="K4"),Y173="",AE173=""),EDATE(R173,12*2),AND(AO173="K5-LAW",AL173="นิติศาสตร์",OR(AE173="M2",AE173="K4"),AH173&gt;=2,OR(AG173&lt;AA173,AG173&lt;R173)),EDATE(AG173,12*2),AND(AO173="K5-LAW",AL173="นิติศาสตร์",AE173="S1",AH173&gt;=1,OR(AG173&lt;AA173,AG173&lt;R173)),EDATE(AG173,12),AND(AO173="K5-LAW",AL173="นิติศาสตร์",OR(Y173="M2",Y173="K4"),AB173&gt;=2,AA173&lt;R173),EDATE(AA173,12*2),AND(AO173="K5-LAW",AL173="นิติศาสตร์",Y173="S1",AB173&gt;=1,AA173&lt;R173),EDATE(AA173,12),AND(AO173="K5-LAW",AL173="นิติศาสตร์",OR(Y173="S2",Y173="K5")),AA173,AND(AO173="K5-LAW",AL173="นิติศาสตร์",OR(K173="M2",K173="K4"),U173&gt;=2),EDATE(R173,12*2),AND(AO173="K5-LAW",AL173="นิติศาสตร์",K173="S1",U173&gt;=1),EDATE(R173,12),AND(AO173="K5-LAW",AL173="นิติศาสตร์",OR(K173="S2",K173="K5")),R173,AND(AO173="K5-POLICY",AL173&lt;&gt;"นิติศาสตร์",K173="S2",Y173="",AE173=""),R173,AND(AO173="K5-POLICY",AL173&lt;&gt;"นิติศาสตร์",K173="S1",Y173="",AE173=""),EDATE(R173,12),AND(AO173="K5-POLICY",AL173&lt;&gt;"นิติศาสตร์",OR(K173="M2",K173="K4"),Y173="",AE173=""),EDATE(R173,12*2),AND(AO173="K5-POLICY",AL173&lt;&gt;"นิติศาสตร์",OR(AE173="M2",AE173="K4"),AH173&gt;=2,OR(AG173&lt;AA173,AG173&lt;R173)),EDATE(AG173,12*2),AND(AO173="K5-POLICY",AL173&lt;&gt;"นิติศาสตร์",AE173="S1",AH173&gt;=1,OR(AG173&lt;AA173,AG173&lt;R173)),EDATE(AG173,12),AND(AO173="K5-POLICY",AL173&lt;&gt;"นิติศาสตร์",OR(Y173="M2",Y173="K4"),AB173&gt;=2,AA173&lt;R173),EDATE(AA173,12*2),AND(AO173="K5-POLICY",AL173&lt;&gt;"นิติศาสตร์",Y173="S1",AB173&gt;=1,AA173&lt;R173),EDATE(AA173,12),AND(AO173="K5-POLICY",AL173&lt;&gt;"นิติศาสตร์",OR(Y173="S2",Y173="K5")),AA173,AND(AO173="K5-POLICY",AL173&lt;&gt;"นิติศาสตร์",OR(K173="M2",K173="K4"),U173&gt;=2),EDATE(R173,12*2),AND(AO173="K5-POLICY",AL173&lt;&gt;"นิติศาสตร์",K173="S1",U173&gt;=1),EDATE(R173,12),AND(AO173="K5-POLICY",AL173&lt;&gt;"นิติศาสตร์",OR(K173="S2",K173="K5")),R173,TRUE,"Check Data")</f>
        <v/>
      </c>
      <c r="AQ173" s="75" t="str">
        <f t="shared" si="70"/>
        <v>Check Data</v>
      </c>
      <c r="AR173" s="76" t="str">
        <f t="shared" si="71"/>
        <v>Check Data</v>
      </c>
      <c r="AS173" s="50" t="str">
        <f t="shared" si="72"/>
        <v>Check Data</v>
      </c>
      <c r="AT173" s="49" t="str">
        <f>IF(B173="","",IF(K173="S1","S1",INDEX(#REF!,#REF!)))</f>
        <v/>
      </c>
      <c r="AU173" s="49" t="str">
        <f t="shared" si="73"/>
        <v>M2</v>
      </c>
      <c r="AV173" s="50" t="b">
        <f t="shared" si="74"/>
        <v>0</v>
      </c>
      <c r="AW173" s="50"/>
    </row>
    <row r="174" spans="1:49" ht="21.75">
      <c r="A174" s="49">
        <v>172</v>
      </c>
      <c r="B174" s="50"/>
      <c r="C174" s="50"/>
      <c r="D174" s="50" t="s">
        <v>143</v>
      </c>
      <c r="E174" s="49" t="s">
        <v>353</v>
      </c>
      <c r="F174" s="49" t="str">
        <f t="shared" si="50"/>
        <v>28/07/2000</v>
      </c>
      <c r="G174" s="50">
        <f t="shared" si="51"/>
        <v>24</v>
      </c>
      <c r="H174" s="50">
        <f t="shared" si="52"/>
        <v>10</v>
      </c>
      <c r="I174" s="50">
        <f t="shared" si="53"/>
        <v>23</v>
      </c>
      <c r="J174" s="59"/>
      <c r="K174" s="49" t="s">
        <v>136</v>
      </c>
      <c r="L174" s="49" t="str">
        <f>IF(B174="","",IF(K174="S1",K174,INDEX(#REF!,#REF!)))</f>
        <v/>
      </c>
      <c r="M174" s="49" t="b">
        <f t="shared" si="54"/>
        <v>0</v>
      </c>
      <c r="N174" s="64"/>
      <c r="O174" s="49" t="s">
        <v>427</v>
      </c>
      <c r="P174" s="49">
        <v>2578</v>
      </c>
      <c r="Q174" s="65" t="s">
        <v>294</v>
      </c>
      <c r="R174" s="49" t="str">
        <f t="shared" si="55"/>
        <v>18/05/2023</v>
      </c>
      <c r="S174" s="49" t="str">
        <f>IF(B174="","",IF(K174="S1",K174,INDEX(#REF!,#REF!)))</f>
        <v/>
      </c>
      <c r="T174" s="49" t="b">
        <f t="shared" si="56"/>
        <v>0</v>
      </c>
      <c r="U174" s="68">
        <f t="shared" si="57"/>
        <v>2</v>
      </c>
      <c r="V174" s="68">
        <f t="shared" si="58"/>
        <v>1</v>
      </c>
      <c r="W174" s="68">
        <f t="shared" si="59"/>
        <v>2</v>
      </c>
      <c r="X174" s="68"/>
      <c r="Y174" s="65"/>
      <c r="Z174" s="65"/>
      <c r="AA174" s="49" t="str">
        <f t="shared" si="60"/>
        <v/>
      </c>
      <c r="AB174" s="68">
        <f t="shared" si="61"/>
        <v>0</v>
      </c>
      <c r="AC174" s="68">
        <f t="shared" si="62"/>
        <v>0</v>
      </c>
      <c r="AD174" s="68">
        <f t="shared" si="63"/>
        <v>0</v>
      </c>
      <c r="AE174" s="49"/>
      <c r="AF174" s="65"/>
      <c r="AG174" s="50" t="str">
        <f t="shared" si="64"/>
        <v/>
      </c>
      <c r="AH174" s="68">
        <f t="shared" si="65"/>
        <v>0</v>
      </c>
      <c r="AI174" s="68">
        <f t="shared" si="66"/>
        <v>0</v>
      </c>
      <c r="AJ174" s="68">
        <f t="shared" si="67"/>
        <v>0</v>
      </c>
      <c r="AK174" s="50"/>
      <c r="AL174" s="50" t="s">
        <v>486</v>
      </c>
      <c r="AM174" s="50" t="str">
        <f>IF(B174="","",IF(K174="S1",K174,INDEX(#REF!,#REF!)))</f>
        <v/>
      </c>
      <c r="AN174" s="50" t="b">
        <f t="shared" si="68"/>
        <v>0</v>
      </c>
      <c r="AO174" s="49" t="str">
        <f t="shared" si="69"/>
        <v>K5-POLICY</v>
      </c>
      <c r="AP174" s="72" t="str">
        <f>_xlfn.IFS(B174="","",AND(AO174="K5-LAW",AL174="นิติศาสตร์",K174="S2",Y174="",AE174=""),R174,AND(AO174="K5-LAW",AL174="นิติศาสตร์",K174="S1",Y174="",AE174=""),EDATE(R174,12),AND(AO174="K5-LAW",AL174="นิติศาสตร์",OR(K174="M2",K174="K4"),Y174="",AE174=""),EDATE(R174,12*2),AND(AO174="K5-LAW",AL174="นิติศาสตร์",OR(AE174="M2",AE174="K4"),AH174&gt;=2,OR(AG174&lt;AA174,AG174&lt;R174)),EDATE(AG174,12*2),AND(AO174="K5-LAW",AL174="นิติศาสตร์",AE174="S1",AH174&gt;=1,OR(AG174&lt;AA174,AG174&lt;R174)),EDATE(AG174,12),AND(AO174="K5-LAW",AL174="นิติศาสตร์",OR(Y174="M2",Y174="K4"),AB174&gt;=2,AA174&lt;R174),EDATE(AA174,12*2),AND(AO174="K5-LAW",AL174="นิติศาสตร์",Y174="S1",AB174&gt;=1,AA174&lt;R174),EDATE(AA174,12),AND(AO174="K5-LAW",AL174="นิติศาสตร์",OR(Y174="S2",Y174="K5")),AA174,AND(AO174="K5-LAW",AL174="นิติศาสตร์",OR(K174="M2",K174="K4"),U174&gt;=2),EDATE(R174,12*2),AND(AO174="K5-LAW",AL174="นิติศาสตร์",K174="S1",U174&gt;=1),EDATE(R174,12),AND(AO174="K5-LAW",AL174="นิติศาสตร์",OR(K174="S2",K174="K5")),R174,AND(AO174="K5-POLICY",AL174&lt;&gt;"นิติศาสตร์",K174="S2",Y174="",AE174=""),R174,AND(AO174="K5-POLICY",AL174&lt;&gt;"นิติศาสตร์",K174="S1",Y174="",AE174=""),EDATE(R174,12),AND(AO174="K5-POLICY",AL174&lt;&gt;"นิติศาสตร์",OR(K174="M2",K174="K4"),Y174="",AE174=""),EDATE(R174,12*2),AND(AO174="K5-POLICY",AL174&lt;&gt;"นิติศาสตร์",OR(AE174="M2",AE174="K4"),AH174&gt;=2,OR(AG174&lt;AA174,AG174&lt;R174)),EDATE(AG174,12*2),AND(AO174="K5-POLICY",AL174&lt;&gt;"นิติศาสตร์",AE174="S1",AH174&gt;=1,OR(AG174&lt;AA174,AG174&lt;R174)),EDATE(AG174,12),AND(AO174="K5-POLICY",AL174&lt;&gt;"นิติศาสตร์",OR(Y174="M2",Y174="K4"),AB174&gt;=2,AA174&lt;R174),EDATE(AA174,12*2),AND(AO174="K5-POLICY",AL174&lt;&gt;"นิติศาสตร์",Y174="S1",AB174&gt;=1,AA174&lt;R174),EDATE(AA174,12),AND(AO174="K5-POLICY",AL174&lt;&gt;"นิติศาสตร์",OR(Y174="S2",Y174="K5")),AA174,AND(AO174="K5-POLICY",AL174&lt;&gt;"นิติศาสตร์",OR(K174="M2",K174="K4"),U174&gt;=2),EDATE(R174,12*2),AND(AO174="K5-POLICY",AL174&lt;&gt;"นิติศาสตร์",K174="S1",U174&gt;=1),EDATE(R174,12),AND(AO174="K5-POLICY",AL174&lt;&gt;"นิติศาสตร์",OR(K174="S2",K174="K5")),R174,TRUE,"Check Data")</f>
        <v/>
      </c>
      <c r="AQ174" s="75" t="str">
        <f t="shared" si="70"/>
        <v>Check Data</v>
      </c>
      <c r="AR174" s="76" t="str">
        <f t="shared" si="71"/>
        <v>Check Data</v>
      </c>
      <c r="AS174" s="50" t="str">
        <f t="shared" si="72"/>
        <v>Check Data</v>
      </c>
      <c r="AT174" s="49" t="str">
        <f>IF(B174="","",IF(K174="S1","S1",INDEX(#REF!,#REF!)))</f>
        <v/>
      </c>
      <c r="AU174" s="49" t="str">
        <f t="shared" si="73"/>
        <v>M2</v>
      </c>
      <c r="AV174" s="50" t="b">
        <f t="shared" si="74"/>
        <v>0</v>
      </c>
      <c r="AW174" s="50"/>
    </row>
    <row r="175" spans="1:49" ht="21.75">
      <c r="A175" s="49">
        <v>173</v>
      </c>
      <c r="B175" s="50"/>
      <c r="C175" s="50"/>
      <c r="D175" s="50" t="s">
        <v>143</v>
      </c>
      <c r="E175" s="49" t="s">
        <v>343</v>
      </c>
      <c r="F175" s="49" t="str">
        <f t="shared" si="50"/>
        <v>07/06/1996</v>
      </c>
      <c r="G175" s="50">
        <f t="shared" si="51"/>
        <v>29</v>
      </c>
      <c r="H175" s="50">
        <f t="shared" si="52"/>
        <v>0</v>
      </c>
      <c r="I175" s="50">
        <f t="shared" si="53"/>
        <v>13</v>
      </c>
      <c r="J175" s="59"/>
      <c r="K175" s="49" t="s">
        <v>136</v>
      </c>
      <c r="L175" s="49" t="str">
        <f>IF(B175="","",IF(K175="S1",K175,INDEX(#REF!,#REF!)))</f>
        <v/>
      </c>
      <c r="M175" s="49" t="b">
        <f t="shared" si="54"/>
        <v>0</v>
      </c>
      <c r="N175" s="64"/>
      <c r="O175" s="49" t="s">
        <v>427</v>
      </c>
      <c r="P175" s="49">
        <v>2576</v>
      </c>
      <c r="Q175" s="65" t="s">
        <v>294</v>
      </c>
      <c r="R175" s="49" t="str">
        <f t="shared" si="55"/>
        <v>18/05/2023</v>
      </c>
      <c r="S175" s="49" t="str">
        <f>IF(B175="","",IF(K175="S1",K175,INDEX(#REF!,#REF!)))</f>
        <v/>
      </c>
      <c r="T175" s="49" t="b">
        <f t="shared" si="56"/>
        <v>0</v>
      </c>
      <c r="U175" s="68">
        <f t="shared" si="57"/>
        <v>2</v>
      </c>
      <c r="V175" s="68">
        <f t="shared" si="58"/>
        <v>1</v>
      </c>
      <c r="W175" s="68">
        <f t="shared" si="59"/>
        <v>2</v>
      </c>
      <c r="X175" s="68"/>
      <c r="Y175" s="65"/>
      <c r="Z175" s="65"/>
      <c r="AA175" s="49" t="str">
        <f t="shared" si="60"/>
        <v/>
      </c>
      <c r="AB175" s="68">
        <f t="shared" si="61"/>
        <v>0</v>
      </c>
      <c r="AC175" s="68">
        <f t="shared" si="62"/>
        <v>0</v>
      </c>
      <c r="AD175" s="68">
        <f t="shared" si="63"/>
        <v>0</v>
      </c>
      <c r="AE175" s="49"/>
      <c r="AF175" s="65"/>
      <c r="AG175" s="50" t="str">
        <f t="shared" si="64"/>
        <v/>
      </c>
      <c r="AH175" s="68">
        <f t="shared" si="65"/>
        <v>0</v>
      </c>
      <c r="AI175" s="68">
        <f t="shared" si="66"/>
        <v>0</v>
      </c>
      <c r="AJ175" s="68">
        <f t="shared" si="67"/>
        <v>0</v>
      </c>
      <c r="AK175" s="50"/>
      <c r="AL175" s="50" t="s">
        <v>512</v>
      </c>
      <c r="AM175" s="50" t="str">
        <f>IF(B175="","",IF(K175="S1",K175,INDEX(#REF!,#REF!)))</f>
        <v/>
      </c>
      <c r="AN175" s="50" t="b">
        <f t="shared" si="68"/>
        <v>0</v>
      </c>
      <c r="AO175" s="49" t="str">
        <f t="shared" si="69"/>
        <v>K5-POLICY</v>
      </c>
      <c r="AP175" s="72" t="str">
        <f>_xlfn.IFS(B175="","",AND(AO175="K5-LAW",AL175="นิติศาสตร์",K175="S2",Y175="",AE175=""),R175,AND(AO175="K5-LAW",AL175="นิติศาสตร์",K175="S1",Y175="",AE175=""),EDATE(R175,12),AND(AO175="K5-LAW",AL175="นิติศาสตร์",OR(K175="M2",K175="K4"),Y175="",AE175=""),EDATE(R175,12*2),AND(AO175="K5-LAW",AL175="นิติศาสตร์",OR(AE175="M2",AE175="K4"),AH175&gt;=2,OR(AG175&lt;AA175,AG175&lt;R175)),EDATE(AG175,12*2),AND(AO175="K5-LAW",AL175="นิติศาสตร์",AE175="S1",AH175&gt;=1,OR(AG175&lt;AA175,AG175&lt;R175)),EDATE(AG175,12),AND(AO175="K5-LAW",AL175="นิติศาสตร์",OR(Y175="M2",Y175="K4"),AB175&gt;=2,AA175&lt;R175),EDATE(AA175,12*2),AND(AO175="K5-LAW",AL175="นิติศาสตร์",Y175="S1",AB175&gt;=1,AA175&lt;R175),EDATE(AA175,12),AND(AO175="K5-LAW",AL175="นิติศาสตร์",OR(Y175="S2",Y175="K5")),AA175,AND(AO175="K5-LAW",AL175="นิติศาสตร์",OR(K175="M2",K175="K4"),U175&gt;=2),EDATE(R175,12*2),AND(AO175="K5-LAW",AL175="นิติศาสตร์",K175="S1",U175&gt;=1),EDATE(R175,12),AND(AO175="K5-LAW",AL175="นิติศาสตร์",OR(K175="S2",K175="K5")),R175,AND(AO175="K5-POLICY",AL175&lt;&gt;"นิติศาสตร์",K175="S2",Y175="",AE175=""),R175,AND(AO175="K5-POLICY",AL175&lt;&gt;"นิติศาสตร์",K175="S1",Y175="",AE175=""),EDATE(R175,12),AND(AO175="K5-POLICY",AL175&lt;&gt;"นิติศาสตร์",OR(K175="M2",K175="K4"),Y175="",AE175=""),EDATE(R175,12*2),AND(AO175="K5-POLICY",AL175&lt;&gt;"นิติศาสตร์",OR(AE175="M2",AE175="K4"),AH175&gt;=2,OR(AG175&lt;AA175,AG175&lt;R175)),EDATE(AG175,12*2),AND(AO175="K5-POLICY",AL175&lt;&gt;"นิติศาสตร์",AE175="S1",AH175&gt;=1,OR(AG175&lt;AA175,AG175&lt;R175)),EDATE(AG175,12),AND(AO175="K5-POLICY",AL175&lt;&gt;"นิติศาสตร์",OR(Y175="M2",Y175="K4"),AB175&gt;=2,AA175&lt;R175),EDATE(AA175,12*2),AND(AO175="K5-POLICY",AL175&lt;&gt;"นิติศาสตร์",Y175="S1",AB175&gt;=1,AA175&lt;R175),EDATE(AA175,12),AND(AO175="K5-POLICY",AL175&lt;&gt;"นิติศาสตร์",OR(Y175="S2",Y175="K5")),AA175,AND(AO175="K5-POLICY",AL175&lt;&gt;"นิติศาสตร์",OR(K175="M2",K175="K4"),U175&gt;=2),EDATE(R175,12*2),AND(AO175="K5-POLICY",AL175&lt;&gt;"นิติศาสตร์",K175="S1",U175&gt;=1),EDATE(R175,12),AND(AO175="K5-POLICY",AL175&lt;&gt;"นิติศาสตร์",OR(K175="S2",K175="K5")),R175,TRUE,"Check Data")</f>
        <v/>
      </c>
      <c r="AQ175" s="75" t="str">
        <f t="shared" si="70"/>
        <v>Check Data</v>
      </c>
      <c r="AR175" s="76" t="str">
        <f t="shared" si="71"/>
        <v>Check Data</v>
      </c>
      <c r="AS175" s="50" t="str">
        <f t="shared" si="72"/>
        <v>Check Data</v>
      </c>
      <c r="AT175" s="49" t="str">
        <f>IF(B175="","",IF(K175="S1","S1",INDEX(#REF!,#REF!)))</f>
        <v/>
      </c>
      <c r="AU175" s="49" t="str">
        <f t="shared" si="73"/>
        <v>M2</v>
      </c>
      <c r="AV175" s="50" t="b">
        <f t="shared" si="74"/>
        <v>0</v>
      </c>
      <c r="AW175" s="50"/>
    </row>
    <row r="176" spans="1:49" ht="21.75">
      <c r="A176" s="49">
        <v>174</v>
      </c>
      <c r="B176" s="50"/>
      <c r="C176" s="50"/>
      <c r="D176" s="50" t="s">
        <v>143</v>
      </c>
      <c r="E176" s="49" t="s">
        <v>312</v>
      </c>
      <c r="F176" s="49" t="str">
        <f t="shared" si="50"/>
        <v>04/05/2000</v>
      </c>
      <c r="G176" s="50">
        <f t="shared" si="51"/>
        <v>25</v>
      </c>
      <c r="H176" s="50">
        <f t="shared" si="52"/>
        <v>1</v>
      </c>
      <c r="I176" s="50">
        <f t="shared" si="53"/>
        <v>16</v>
      </c>
      <c r="J176" s="59"/>
      <c r="K176" s="49" t="s">
        <v>136</v>
      </c>
      <c r="L176" s="49" t="str">
        <f>IF(B176="","",IF(K176="S1",K176,INDEX(#REF!,#REF!)))</f>
        <v/>
      </c>
      <c r="M176" s="49" t="b">
        <f t="shared" si="54"/>
        <v>0</v>
      </c>
      <c r="N176" s="64"/>
      <c r="O176" s="49" t="s">
        <v>427</v>
      </c>
      <c r="P176" s="49">
        <v>2577</v>
      </c>
      <c r="Q176" s="65" t="s">
        <v>294</v>
      </c>
      <c r="R176" s="49" t="str">
        <f t="shared" si="55"/>
        <v>18/05/2023</v>
      </c>
      <c r="S176" s="49" t="str">
        <f>IF(B176="","",IF(K176="S1",K176,INDEX(#REF!,#REF!)))</f>
        <v/>
      </c>
      <c r="T176" s="49" t="b">
        <f t="shared" si="56"/>
        <v>0</v>
      </c>
      <c r="U176" s="68">
        <f t="shared" si="57"/>
        <v>2</v>
      </c>
      <c r="V176" s="68">
        <f t="shared" si="58"/>
        <v>1</v>
      </c>
      <c r="W176" s="68">
        <f t="shared" si="59"/>
        <v>2</v>
      </c>
      <c r="X176" s="68"/>
      <c r="Y176" s="65"/>
      <c r="Z176" s="65"/>
      <c r="AA176" s="49" t="str">
        <f t="shared" si="60"/>
        <v/>
      </c>
      <c r="AB176" s="68">
        <f t="shared" si="61"/>
        <v>0</v>
      </c>
      <c r="AC176" s="68">
        <f t="shared" si="62"/>
        <v>0</v>
      </c>
      <c r="AD176" s="68">
        <f t="shared" si="63"/>
        <v>0</v>
      </c>
      <c r="AE176" s="49"/>
      <c r="AF176" s="65"/>
      <c r="AG176" s="50" t="str">
        <f t="shared" si="64"/>
        <v/>
      </c>
      <c r="AH176" s="68">
        <f t="shared" si="65"/>
        <v>0</v>
      </c>
      <c r="AI176" s="68">
        <f t="shared" si="66"/>
        <v>0</v>
      </c>
      <c r="AJ176" s="68">
        <f t="shared" si="67"/>
        <v>0</v>
      </c>
      <c r="AK176" s="50"/>
      <c r="AL176" s="50" t="s">
        <v>138</v>
      </c>
      <c r="AM176" s="50" t="str">
        <f>IF(B176="","",IF(K176="S1",K176,INDEX(#REF!,#REF!)))</f>
        <v/>
      </c>
      <c r="AN176" s="50" t="b">
        <f t="shared" si="68"/>
        <v>0</v>
      </c>
      <c r="AO176" s="49" t="str">
        <f t="shared" si="69"/>
        <v>K5-LAW</v>
      </c>
      <c r="AP176" s="72" t="str">
        <f>_xlfn.IFS(B176="","",AND(AO176="K5-LAW",AL176="นิติศาสตร์",K176="S2",Y176="",AE176=""),R176,AND(AO176="K5-LAW",AL176="นิติศาสตร์",K176="S1",Y176="",AE176=""),EDATE(R176,12),AND(AO176="K5-LAW",AL176="นิติศาสตร์",OR(K176="M2",K176="K4"),Y176="",AE176=""),EDATE(R176,12*2),AND(AO176="K5-LAW",AL176="นิติศาสตร์",OR(AE176="M2",AE176="K4"),AH176&gt;=2,OR(AG176&lt;AA176,AG176&lt;R176)),EDATE(AG176,12*2),AND(AO176="K5-LAW",AL176="นิติศาสตร์",AE176="S1",AH176&gt;=1,OR(AG176&lt;AA176,AG176&lt;R176)),EDATE(AG176,12),AND(AO176="K5-LAW",AL176="นิติศาสตร์",OR(Y176="M2",Y176="K4"),AB176&gt;=2,AA176&lt;R176),EDATE(AA176,12*2),AND(AO176="K5-LAW",AL176="นิติศาสตร์",Y176="S1",AB176&gt;=1,AA176&lt;R176),EDATE(AA176,12),AND(AO176="K5-LAW",AL176="นิติศาสตร์",OR(Y176="S2",Y176="K5")),AA176,AND(AO176="K5-LAW",AL176="นิติศาสตร์",OR(K176="M2",K176="K4"),U176&gt;=2),EDATE(R176,12*2),AND(AO176="K5-LAW",AL176="นิติศาสตร์",K176="S1",U176&gt;=1),EDATE(R176,12),AND(AO176="K5-LAW",AL176="นิติศาสตร์",OR(K176="S2",K176="K5")),R176,AND(AO176="K5-POLICY",AL176&lt;&gt;"นิติศาสตร์",K176="S2",Y176="",AE176=""),R176,AND(AO176="K5-POLICY",AL176&lt;&gt;"นิติศาสตร์",K176="S1",Y176="",AE176=""),EDATE(R176,12),AND(AO176="K5-POLICY",AL176&lt;&gt;"นิติศาสตร์",OR(K176="M2",K176="K4"),Y176="",AE176=""),EDATE(R176,12*2),AND(AO176="K5-POLICY",AL176&lt;&gt;"นิติศาสตร์",OR(AE176="M2",AE176="K4"),AH176&gt;=2,OR(AG176&lt;AA176,AG176&lt;R176)),EDATE(AG176,12*2),AND(AO176="K5-POLICY",AL176&lt;&gt;"นิติศาสตร์",AE176="S1",AH176&gt;=1,OR(AG176&lt;AA176,AG176&lt;R176)),EDATE(AG176,12),AND(AO176="K5-POLICY",AL176&lt;&gt;"นิติศาสตร์",OR(Y176="M2",Y176="K4"),AB176&gt;=2,AA176&lt;R176),EDATE(AA176,12*2),AND(AO176="K5-POLICY",AL176&lt;&gt;"นิติศาสตร์",Y176="S1",AB176&gt;=1,AA176&lt;R176),EDATE(AA176,12),AND(AO176="K5-POLICY",AL176&lt;&gt;"นิติศาสตร์",OR(Y176="S2",Y176="K5")),AA176,AND(AO176="K5-POLICY",AL176&lt;&gt;"นิติศาสตร์",OR(K176="M2",K176="K4"),U176&gt;=2),EDATE(R176,12*2),AND(AO176="K5-POLICY",AL176&lt;&gt;"นิติศาสตร์",K176="S1",U176&gt;=1),EDATE(R176,12),AND(AO176="K5-POLICY",AL176&lt;&gt;"นิติศาสตร์",OR(K176="S2",K176="K5")),R176,TRUE,"Check Data")</f>
        <v/>
      </c>
      <c r="AQ176" s="75" t="str">
        <f t="shared" si="70"/>
        <v>Check Data</v>
      </c>
      <c r="AR176" s="76" t="str">
        <f t="shared" si="71"/>
        <v>Check Data</v>
      </c>
      <c r="AS176" s="50" t="str">
        <f t="shared" si="72"/>
        <v>Check Data</v>
      </c>
      <c r="AT176" s="49" t="str">
        <f>IF(B176="","",IF(K176="S1","S1",INDEX(#REF!,#REF!)))</f>
        <v/>
      </c>
      <c r="AU176" s="49" t="str">
        <f t="shared" si="73"/>
        <v>M2</v>
      </c>
      <c r="AV176" s="50" t="b">
        <f t="shared" si="74"/>
        <v>0</v>
      </c>
      <c r="AW176" s="50"/>
    </row>
    <row r="177" spans="1:49" ht="21.75">
      <c r="A177" s="49">
        <v>175</v>
      </c>
      <c r="B177" s="50"/>
      <c r="C177" s="50"/>
      <c r="D177" s="50" t="s">
        <v>143</v>
      </c>
      <c r="E177" s="49" t="s">
        <v>353</v>
      </c>
      <c r="F177" s="49" t="str">
        <f t="shared" si="50"/>
        <v>28/07/2000</v>
      </c>
      <c r="G177" s="50">
        <f t="shared" si="51"/>
        <v>24</v>
      </c>
      <c r="H177" s="50">
        <f t="shared" si="52"/>
        <v>10</v>
      </c>
      <c r="I177" s="50">
        <f t="shared" si="53"/>
        <v>23</v>
      </c>
      <c r="J177" s="59"/>
      <c r="K177" s="49" t="s">
        <v>136</v>
      </c>
      <c r="L177" s="49" t="str">
        <f>IF(B177="","",IF(K177="S1",K177,INDEX(#REF!,#REF!)))</f>
        <v/>
      </c>
      <c r="M177" s="49" t="b">
        <f t="shared" si="54"/>
        <v>0</v>
      </c>
      <c r="N177" s="64"/>
      <c r="O177" s="49" t="s">
        <v>427</v>
      </c>
      <c r="P177" s="49">
        <v>2579</v>
      </c>
      <c r="Q177" s="65" t="s">
        <v>294</v>
      </c>
      <c r="R177" s="49" t="str">
        <f t="shared" si="55"/>
        <v>18/05/2023</v>
      </c>
      <c r="S177" s="49" t="str">
        <f>IF(B177="","",IF(K177="S1",K177,INDEX(#REF!,#REF!)))</f>
        <v/>
      </c>
      <c r="T177" s="49" t="b">
        <f t="shared" si="56"/>
        <v>0</v>
      </c>
      <c r="U177" s="68">
        <f t="shared" si="57"/>
        <v>2</v>
      </c>
      <c r="V177" s="68">
        <f t="shared" si="58"/>
        <v>1</v>
      </c>
      <c r="W177" s="68">
        <f t="shared" si="59"/>
        <v>2</v>
      </c>
      <c r="X177" s="68"/>
      <c r="Y177" s="65"/>
      <c r="Z177" s="65"/>
      <c r="AA177" s="49" t="str">
        <f t="shared" si="60"/>
        <v/>
      </c>
      <c r="AB177" s="68">
        <f t="shared" si="61"/>
        <v>0</v>
      </c>
      <c r="AC177" s="68">
        <f t="shared" si="62"/>
        <v>0</v>
      </c>
      <c r="AD177" s="68">
        <f t="shared" si="63"/>
        <v>0</v>
      </c>
      <c r="AE177" s="49"/>
      <c r="AF177" s="65"/>
      <c r="AG177" s="50" t="str">
        <f t="shared" si="64"/>
        <v/>
      </c>
      <c r="AH177" s="68">
        <f t="shared" si="65"/>
        <v>0</v>
      </c>
      <c r="AI177" s="68">
        <f t="shared" si="66"/>
        <v>0</v>
      </c>
      <c r="AJ177" s="68">
        <f t="shared" si="67"/>
        <v>0</v>
      </c>
      <c r="AK177" s="50"/>
      <c r="AL177" s="50" t="s">
        <v>486</v>
      </c>
      <c r="AM177" s="50" t="str">
        <f>IF(B177="","",IF(K177="S1",K177,INDEX(#REF!,#REF!)))</f>
        <v/>
      </c>
      <c r="AN177" s="50" t="b">
        <f t="shared" si="68"/>
        <v>0</v>
      </c>
      <c r="AO177" s="49" t="str">
        <f t="shared" si="69"/>
        <v>K5-POLICY</v>
      </c>
      <c r="AP177" s="72" t="str">
        <f>_xlfn.IFS(B177="","",AND(AO177="K5-LAW",AL177="นิติศาสตร์",K177="S2",Y177="",AE177=""),R177,AND(AO177="K5-LAW",AL177="นิติศาสตร์",K177="S1",Y177="",AE177=""),EDATE(R177,12),AND(AO177="K5-LAW",AL177="นิติศาสตร์",OR(K177="M2",K177="K4"),Y177="",AE177=""),EDATE(R177,12*2),AND(AO177="K5-LAW",AL177="นิติศาสตร์",OR(AE177="M2",AE177="K4"),AH177&gt;=2,OR(AG177&lt;AA177,AG177&lt;R177)),EDATE(AG177,12*2),AND(AO177="K5-LAW",AL177="นิติศาสตร์",AE177="S1",AH177&gt;=1,OR(AG177&lt;AA177,AG177&lt;R177)),EDATE(AG177,12),AND(AO177="K5-LAW",AL177="นิติศาสตร์",OR(Y177="M2",Y177="K4"),AB177&gt;=2,AA177&lt;R177),EDATE(AA177,12*2),AND(AO177="K5-LAW",AL177="นิติศาสตร์",Y177="S1",AB177&gt;=1,AA177&lt;R177),EDATE(AA177,12),AND(AO177="K5-LAW",AL177="นิติศาสตร์",OR(Y177="S2",Y177="K5")),AA177,AND(AO177="K5-LAW",AL177="นิติศาสตร์",OR(K177="M2",K177="K4"),U177&gt;=2),EDATE(R177,12*2),AND(AO177="K5-LAW",AL177="นิติศาสตร์",K177="S1",U177&gt;=1),EDATE(R177,12),AND(AO177="K5-LAW",AL177="นิติศาสตร์",OR(K177="S2",K177="K5")),R177,AND(AO177="K5-POLICY",AL177&lt;&gt;"นิติศาสตร์",K177="S2",Y177="",AE177=""),R177,AND(AO177="K5-POLICY",AL177&lt;&gt;"นิติศาสตร์",K177="S1",Y177="",AE177=""),EDATE(R177,12),AND(AO177="K5-POLICY",AL177&lt;&gt;"นิติศาสตร์",OR(K177="M2",K177="K4"),Y177="",AE177=""),EDATE(R177,12*2),AND(AO177="K5-POLICY",AL177&lt;&gt;"นิติศาสตร์",OR(AE177="M2",AE177="K4"),AH177&gt;=2,OR(AG177&lt;AA177,AG177&lt;R177)),EDATE(AG177,12*2),AND(AO177="K5-POLICY",AL177&lt;&gt;"นิติศาสตร์",AE177="S1",AH177&gt;=1,OR(AG177&lt;AA177,AG177&lt;R177)),EDATE(AG177,12),AND(AO177="K5-POLICY",AL177&lt;&gt;"นิติศาสตร์",OR(Y177="M2",Y177="K4"),AB177&gt;=2,AA177&lt;R177),EDATE(AA177,12*2),AND(AO177="K5-POLICY",AL177&lt;&gt;"นิติศาสตร์",Y177="S1",AB177&gt;=1,AA177&lt;R177),EDATE(AA177,12),AND(AO177="K5-POLICY",AL177&lt;&gt;"นิติศาสตร์",OR(Y177="S2",Y177="K5")),AA177,AND(AO177="K5-POLICY",AL177&lt;&gt;"นิติศาสตร์",OR(K177="M2",K177="K4"),U177&gt;=2),EDATE(R177,12*2),AND(AO177="K5-POLICY",AL177&lt;&gt;"นิติศาสตร์",K177="S1",U177&gt;=1),EDATE(R177,12),AND(AO177="K5-POLICY",AL177&lt;&gt;"นิติศาสตร์",OR(K177="S2",K177="K5")),R177,TRUE,"Check Data")</f>
        <v/>
      </c>
      <c r="AQ177" s="75" t="str">
        <f t="shared" si="70"/>
        <v>Check Data</v>
      </c>
      <c r="AR177" s="76" t="str">
        <f t="shared" si="71"/>
        <v>Check Data</v>
      </c>
      <c r="AS177" s="50" t="str">
        <f t="shared" si="72"/>
        <v>Check Data</v>
      </c>
      <c r="AT177" s="49" t="str">
        <f>IF(B177="","",IF(K177="S1","S1",INDEX(#REF!,#REF!)))</f>
        <v/>
      </c>
      <c r="AU177" s="49" t="str">
        <f t="shared" si="73"/>
        <v>M2</v>
      </c>
      <c r="AV177" s="50" t="b">
        <f t="shared" si="74"/>
        <v>0</v>
      </c>
      <c r="AW177" s="50"/>
    </row>
    <row r="178" spans="1:49" ht="21.75">
      <c r="A178" s="49">
        <v>176</v>
      </c>
      <c r="B178" s="50"/>
      <c r="C178" s="50"/>
      <c r="D178" s="50" t="s">
        <v>143</v>
      </c>
      <c r="E178" s="49" t="s">
        <v>251</v>
      </c>
      <c r="F178" s="49" t="str">
        <f t="shared" si="50"/>
        <v>15/08/1997</v>
      </c>
      <c r="G178" s="50">
        <f t="shared" si="51"/>
        <v>27</v>
      </c>
      <c r="H178" s="50">
        <f t="shared" si="52"/>
        <v>10</v>
      </c>
      <c r="I178" s="50">
        <f t="shared" si="53"/>
        <v>5</v>
      </c>
      <c r="J178" s="59"/>
      <c r="K178" s="49" t="s">
        <v>136</v>
      </c>
      <c r="L178" s="49" t="str">
        <f>IF(B178="","",IF(K178="S1",K178,INDEX(#REF!,#REF!)))</f>
        <v/>
      </c>
      <c r="M178" s="49" t="b">
        <f t="shared" si="54"/>
        <v>0</v>
      </c>
      <c r="N178" s="64"/>
      <c r="O178" s="49" t="s">
        <v>426</v>
      </c>
      <c r="P178" s="49">
        <v>2573</v>
      </c>
      <c r="Q178" s="65" t="s">
        <v>294</v>
      </c>
      <c r="R178" s="49" t="str">
        <f t="shared" si="55"/>
        <v>18/05/2023</v>
      </c>
      <c r="S178" s="49" t="str">
        <f>IF(B178="","",IF(K178="S1",K178,INDEX(#REF!,#REF!)))</f>
        <v/>
      </c>
      <c r="T178" s="49" t="b">
        <f t="shared" si="56"/>
        <v>0</v>
      </c>
      <c r="U178" s="68">
        <f t="shared" si="57"/>
        <v>2</v>
      </c>
      <c r="V178" s="68">
        <f t="shared" si="58"/>
        <v>1</v>
      </c>
      <c r="W178" s="68">
        <f t="shared" si="59"/>
        <v>2</v>
      </c>
      <c r="X178" s="68"/>
      <c r="Y178" s="65"/>
      <c r="Z178" s="65"/>
      <c r="AA178" s="49" t="str">
        <f t="shared" si="60"/>
        <v/>
      </c>
      <c r="AB178" s="68">
        <f t="shared" si="61"/>
        <v>0</v>
      </c>
      <c r="AC178" s="68">
        <f t="shared" si="62"/>
        <v>0</v>
      </c>
      <c r="AD178" s="68">
        <f t="shared" si="63"/>
        <v>0</v>
      </c>
      <c r="AE178" s="49"/>
      <c r="AF178" s="65"/>
      <c r="AG178" s="50" t="str">
        <f t="shared" si="64"/>
        <v/>
      </c>
      <c r="AH178" s="68">
        <f t="shared" si="65"/>
        <v>0</v>
      </c>
      <c r="AI178" s="68">
        <f t="shared" si="66"/>
        <v>0</v>
      </c>
      <c r="AJ178" s="68">
        <f t="shared" si="67"/>
        <v>0</v>
      </c>
      <c r="AK178" s="50"/>
      <c r="AL178" s="50" t="s">
        <v>163</v>
      </c>
      <c r="AM178" s="50" t="str">
        <f>IF(B178="","",IF(K178="S1",K178,INDEX(#REF!,#REF!)))</f>
        <v/>
      </c>
      <c r="AN178" s="50" t="b">
        <f t="shared" si="68"/>
        <v>0</v>
      </c>
      <c r="AO178" s="49" t="str">
        <f t="shared" si="69"/>
        <v>K5-POLICY</v>
      </c>
      <c r="AP178" s="72" t="str">
        <f>_xlfn.IFS(B178="","",AND(AO178="K5-LAW",AL178="นิติศาสตร์",K178="S2",Y178="",AE178=""),R178,AND(AO178="K5-LAW",AL178="นิติศาสตร์",K178="S1",Y178="",AE178=""),EDATE(R178,12),AND(AO178="K5-LAW",AL178="นิติศาสตร์",OR(K178="M2",K178="K4"),Y178="",AE178=""),EDATE(R178,12*2),AND(AO178="K5-LAW",AL178="นิติศาสตร์",OR(AE178="M2",AE178="K4"),AH178&gt;=2,OR(AG178&lt;AA178,AG178&lt;R178)),EDATE(AG178,12*2),AND(AO178="K5-LAW",AL178="นิติศาสตร์",AE178="S1",AH178&gt;=1,OR(AG178&lt;AA178,AG178&lt;R178)),EDATE(AG178,12),AND(AO178="K5-LAW",AL178="นิติศาสตร์",OR(Y178="M2",Y178="K4"),AB178&gt;=2,AA178&lt;R178),EDATE(AA178,12*2),AND(AO178="K5-LAW",AL178="นิติศาสตร์",Y178="S1",AB178&gt;=1,AA178&lt;R178),EDATE(AA178,12),AND(AO178="K5-LAW",AL178="นิติศาสตร์",OR(Y178="S2",Y178="K5")),AA178,AND(AO178="K5-LAW",AL178="นิติศาสตร์",OR(K178="M2",K178="K4"),U178&gt;=2),EDATE(R178,12*2),AND(AO178="K5-LAW",AL178="นิติศาสตร์",K178="S1",U178&gt;=1),EDATE(R178,12),AND(AO178="K5-LAW",AL178="นิติศาสตร์",OR(K178="S2",K178="K5")),R178,AND(AO178="K5-POLICY",AL178&lt;&gt;"นิติศาสตร์",K178="S2",Y178="",AE178=""),R178,AND(AO178="K5-POLICY",AL178&lt;&gt;"นิติศาสตร์",K178="S1",Y178="",AE178=""),EDATE(R178,12),AND(AO178="K5-POLICY",AL178&lt;&gt;"นิติศาสตร์",OR(K178="M2",K178="K4"),Y178="",AE178=""),EDATE(R178,12*2),AND(AO178="K5-POLICY",AL178&lt;&gt;"นิติศาสตร์",OR(AE178="M2",AE178="K4"),AH178&gt;=2,OR(AG178&lt;AA178,AG178&lt;R178)),EDATE(AG178,12*2),AND(AO178="K5-POLICY",AL178&lt;&gt;"นิติศาสตร์",AE178="S1",AH178&gt;=1,OR(AG178&lt;AA178,AG178&lt;R178)),EDATE(AG178,12),AND(AO178="K5-POLICY",AL178&lt;&gt;"นิติศาสตร์",OR(Y178="M2",Y178="K4"),AB178&gt;=2,AA178&lt;R178),EDATE(AA178,12*2),AND(AO178="K5-POLICY",AL178&lt;&gt;"นิติศาสตร์",Y178="S1",AB178&gt;=1,AA178&lt;R178),EDATE(AA178,12),AND(AO178="K5-POLICY",AL178&lt;&gt;"นิติศาสตร์",OR(Y178="S2",Y178="K5")),AA178,AND(AO178="K5-POLICY",AL178&lt;&gt;"นิติศาสตร์",OR(K178="M2",K178="K4"),U178&gt;=2),EDATE(R178,12*2),AND(AO178="K5-POLICY",AL178&lt;&gt;"นิติศาสตร์",K178="S1",U178&gt;=1),EDATE(R178,12),AND(AO178="K5-POLICY",AL178&lt;&gt;"นิติศาสตร์",OR(K178="S2",K178="K5")),R178,TRUE,"Check Data")</f>
        <v/>
      </c>
      <c r="AQ178" s="75" t="str">
        <f t="shared" si="70"/>
        <v>Check Data</v>
      </c>
      <c r="AR178" s="76" t="str">
        <f t="shared" si="71"/>
        <v>Check Data</v>
      </c>
      <c r="AS178" s="50" t="str">
        <f t="shared" si="72"/>
        <v>Check Data</v>
      </c>
      <c r="AT178" s="49" t="str">
        <f>IF(B178="","",IF(K178="S1","S1",INDEX(#REF!,#REF!)))</f>
        <v/>
      </c>
      <c r="AU178" s="49" t="str">
        <f t="shared" si="73"/>
        <v>M2</v>
      </c>
      <c r="AV178" s="50" t="b">
        <f t="shared" si="74"/>
        <v>0</v>
      </c>
      <c r="AW178" s="50"/>
    </row>
    <row r="179" spans="1:49" ht="21.75">
      <c r="A179" s="49">
        <v>177</v>
      </c>
      <c r="B179" s="50"/>
      <c r="C179" s="50"/>
      <c r="D179" s="50" t="s">
        <v>143</v>
      </c>
      <c r="E179" s="49" t="s">
        <v>293</v>
      </c>
      <c r="F179" s="49" t="str">
        <f t="shared" si="50"/>
        <v>01/11/2000</v>
      </c>
      <c r="G179" s="50">
        <f t="shared" si="51"/>
        <v>24</v>
      </c>
      <c r="H179" s="50">
        <f t="shared" si="52"/>
        <v>7</v>
      </c>
      <c r="I179" s="50">
        <f t="shared" si="53"/>
        <v>19</v>
      </c>
      <c r="J179" s="59"/>
      <c r="K179" s="49" t="s">
        <v>136</v>
      </c>
      <c r="L179" s="49" t="str">
        <f>IF(B179="","",IF(K179="S1",K179,INDEX(#REF!,#REF!)))</f>
        <v/>
      </c>
      <c r="M179" s="49" t="b">
        <f t="shared" si="54"/>
        <v>0</v>
      </c>
      <c r="N179" s="64"/>
      <c r="O179" s="49" t="s">
        <v>427</v>
      </c>
      <c r="P179" s="49">
        <v>2580</v>
      </c>
      <c r="Q179" s="65" t="s">
        <v>294</v>
      </c>
      <c r="R179" s="49" t="str">
        <f t="shared" si="55"/>
        <v>18/05/2023</v>
      </c>
      <c r="S179" s="49" t="str">
        <f>IF(B179="","",IF(K179="S1",K179,INDEX(#REF!,#REF!)))</f>
        <v/>
      </c>
      <c r="T179" s="49" t="b">
        <f t="shared" si="56"/>
        <v>0</v>
      </c>
      <c r="U179" s="68">
        <f t="shared" si="57"/>
        <v>2</v>
      </c>
      <c r="V179" s="68">
        <f t="shared" si="58"/>
        <v>1</v>
      </c>
      <c r="W179" s="68">
        <f t="shared" si="59"/>
        <v>2</v>
      </c>
      <c r="X179" s="68"/>
      <c r="Y179" s="65"/>
      <c r="Z179" s="65"/>
      <c r="AA179" s="49" t="str">
        <f t="shared" si="60"/>
        <v/>
      </c>
      <c r="AB179" s="68">
        <f t="shared" si="61"/>
        <v>0</v>
      </c>
      <c r="AC179" s="68">
        <f t="shared" si="62"/>
        <v>0</v>
      </c>
      <c r="AD179" s="68">
        <f t="shared" si="63"/>
        <v>0</v>
      </c>
      <c r="AE179" s="49"/>
      <c r="AF179" s="65"/>
      <c r="AG179" s="50" t="str">
        <f t="shared" si="64"/>
        <v/>
      </c>
      <c r="AH179" s="68">
        <f t="shared" si="65"/>
        <v>0</v>
      </c>
      <c r="AI179" s="68">
        <f t="shared" si="66"/>
        <v>0</v>
      </c>
      <c r="AJ179" s="68">
        <f t="shared" si="67"/>
        <v>0</v>
      </c>
      <c r="AK179" s="50"/>
      <c r="AL179" s="50" t="s">
        <v>520</v>
      </c>
      <c r="AM179" s="50" t="str">
        <f>IF(B179="","",IF(K179="S1",K179,INDEX(#REF!,#REF!)))</f>
        <v/>
      </c>
      <c r="AN179" s="50" t="b">
        <f t="shared" si="68"/>
        <v>0</v>
      </c>
      <c r="AO179" s="49" t="str">
        <f t="shared" si="69"/>
        <v>K5-POLICY</v>
      </c>
      <c r="AP179" s="72" t="str">
        <f>_xlfn.IFS(B179="","",AND(AO179="K5-LAW",AL179="นิติศาสตร์",K179="S2",Y179="",AE179=""),R179,AND(AO179="K5-LAW",AL179="นิติศาสตร์",K179="S1",Y179="",AE179=""),EDATE(R179,12),AND(AO179="K5-LAW",AL179="นิติศาสตร์",OR(K179="M2",K179="K4"),Y179="",AE179=""),EDATE(R179,12*2),AND(AO179="K5-LAW",AL179="นิติศาสตร์",OR(AE179="M2",AE179="K4"),AH179&gt;=2,OR(AG179&lt;AA179,AG179&lt;R179)),EDATE(AG179,12*2),AND(AO179="K5-LAW",AL179="นิติศาสตร์",AE179="S1",AH179&gt;=1,OR(AG179&lt;AA179,AG179&lt;R179)),EDATE(AG179,12),AND(AO179="K5-LAW",AL179="นิติศาสตร์",OR(Y179="M2",Y179="K4"),AB179&gt;=2,AA179&lt;R179),EDATE(AA179,12*2),AND(AO179="K5-LAW",AL179="นิติศาสตร์",Y179="S1",AB179&gt;=1,AA179&lt;R179),EDATE(AA179,12),AND(AO179="K5-LAW",AL179="นิติศาสตร์",OR(Y179="S2",Y179="K5")),AA179,AND(AO179="K5-LAW",AL179="นิติศาสตร์",OR(K179="M2",K179="K4"),U179&gt;=2),EDATE(R179,12*2),AND(AO179="K5-LAW",AL179="นิติศาสตร์",K179="S1",U179&gt;=1),EDATE(R179,12),AND(AO179="K5-LAW",AL179="นิติศาสตร์",OR(K179="S2",K179="K5")),R179,AND(AO179="K5-POLICY",AL179&lt;&gt;"นิติศาสตร์",K179="S2",Y179="",AE179=""),R179,AND(AO179="K5-POLICY",AL179&lt;&gt;"นิติศาสตร์",K179="S1",Y179="",AE179=""),EDATE(R179,12),AND(AO179="K5-POLICY",AL179&lt;&gt;"นิติศาสตร์",OR(K179="M2",K179="K4"),Y179="",AE179=""),EDATE(R179,12*2),AND(AO179="K5-POLICY",AL179&lt;&gt;"นิติศาสตร์",OR(AE179="M2",AE179="K4"),AH179&gt;=2,OR(AG179&lt;AA179,AG179&lt;R179)),EDATE(AG179,12*2),AND(AO179="K5-POLICY",AL179&lt;&gt;"นิติศาสตร์",AE179="S1",AH179&gt;=1,OR(AG179&lt;AA179,AG179&lt;R179)),EDATE(AG179,12),AND(AO179="K5-POLICY",AL179&lt;&gt;"นิติศาสตร์",OR(Y179="M2",Y179="K4"),AB179&gt;=2,AA179&lt;R179),EDATE(AA179,12*2),AND(AO179="K5-POLICY",AL179&lt;&gt;"นิติศาสตร์",Y179="S1",AB179&gt;=1,AA179&lt;R179),EDATE(AA179,12),AND(AO179="K5-POLICY",AL179&lt;&gt;"นิติศาสตร์",OR(Y179="S2",Y179="K5")),AA179,AND(AO179="K5-POLICY",AL179&lt;&gt;"นิติศาสตร์",OR(K179="M2",K179="K4"),U179&gt;=2),EDATE(R179,12*2),AND(AO179="K5-POLICY",AL179&lt;&gt;"นิติศาสตร์",K179="S1",U179&gt;=1),EDATE(R179,12),AND(AO179="K5-POLICY",AL179&lt;&gt;"นิติศาสตร์",OR(K179="S2",K179="K5")),R179,TRUE,"Check Data")</f>
        <v/>
      </c>
      <c r="AQ179" s="75" t="str">
        <f t="shared" si="70"/>
        <v>Check Data</v>
      </c>
      <c r="AR179" s="76" t="str">
        <f t="shared" si="71"/>
        <v>Check Data</v>
      </c>
      <c r="AS179" s="50" t="str">
        <f t="shared" si="72"/>
        <v>Check Data</v>
      </c>
      <c r="AT179" s="49" t="str">
        <f>IF(B179="","",IF(K179="S1","S1",INDEX(#REF!,#REF!)))</f>
        <v/>
      </c>
      <c r="AU179" s="49" t="str">
        <f t="shared" si="73"/>
        <v>M2</v>
      </c>
      <c r="AV179" s="50" t="b">
        <f t="shared" si="74"/>
        <v>0</v>
      </c>
      <c r="AW179" s="50"/>
    </row>
    <row r="180" spans="1:49" ht="21.75">
      <c r="A180" s="49">
        <v>178</v>
      </c>
      <c r="B180" s="50"/>
      <c r="C180" s="50"/>
      <c r="D180" s="50" t="s">
        <v>143</v>
      </c>
      <c r="E180" s="49" t="s">
        <v>366</v>
      </c>
      <c r="F180" s="49" t="str">
        <f t="shared" si="50"/>
        <v>01/12/2004</v>
      </c>
      <c r="G180" s="50">
        <f t="shared" si="51"/>
        <v>20</v>
      </c>
      <c r="H180" s="50">
        <f t="shared" si="52"/>
        <v>6</v>
      </c>
      <c r="I180" s="50">
        <f t="shared" si="53"/>
        <v>19</v>
      </c>
      <c r="J180" s="59"/>
      <c r="K180" s="49" t="s">
        <v>136</v>
      </c>
      <c r="L180" s="49" t="str">
        <f>IF(B180="","",IF(K180="S1",K180,INDEX(#REF!,#REF!)))</f>
        <v/>
      </c>
      <c r="M180" s="49" t="b">
        <f t="shared" si="54"/>
        <v>0</v>
      </c>
      <c r="N180" s="64"/>
      <c r="O180" s="49" t="s">
        <v>427</v>
      </c>
      <c r="P180" s="49">
        <v>2580</v>
      </c>
      <c r="Q180" s="65" t="s">
        <v>294</v>
      </c>
      <c r="R180" s="49" t="str">
        <f t="shared" si="55"/>
        <v>18/05/2023</v>
      </c>
      <c r="S180" s="49" t="str">
        <f>IF(B180="","",IF(K180="S1",K180,INDEX(#REF!,#REF!)))</f>
        <v/>
      </c>
      <c r="T180" s="49" t="b">
        <f t="shared" si="56"/>
        <v>0</v>
      </c>
      <c r="U180" s="68">
        <f t="shared" si="57"/>
        <v>2</v>
      </c>
      <c r="V180" s="68">
        <f t="shared" si="58"/>
        <v>1</v>
      </c>
      <c r="W180" s="68">
        <f t="shared" si="59"/>
        <v>2</v>
      </c>
      <c r="X180" s="68"/>
      <c r="Y180" s="65"/>
      <c r="Z180" s="65"/>
      <c r="AA180" s="49" t="str">
        <f t="shared" si="60"/>
        <v/>
      </c>
      <c r="AB180" s="68">
        <f t="shared" si="61"/>
        <v>0</v>
      </c>
      <c r="AC180" s="68">
        <f t="shared" si="62"/>
        <v>0</v>
      </c>
      <c r="AD180" s="68">
        <f t="shared" si="63"/>
        <v>0</v>
      </c>
      <c r="AE180" s="49"/>
      <c r="AF180" s="65"/>
      <c r="AG180" s="50" t="str">
        <f t="shared" si="64"/>
        <v/>
      </c>
      <c r="AH180" s="68">
        <f t="shared" si="65"/>
        <v>0</v>
      </c>
      <c r="AI180" s="68">
        <f t="shared" si="66"/>
        <v>0</v>
      </c>
      <c r="AJ180" s="68">
        <f t="shared" si="67"/>
        <v>0</v>
      </c>
      <c r="AK180" s="50"/>
      <c r="AL180" s="50" t="s">
        <v>512</v>
      </c>
      <c r="AM180" s="50" t="str">
        <f>IF(B180="","",IF(K180="S1",K180,INDEX(#REF!,#REF!)))</f>
        <v/>
      </c>
      <c r="AN180" s="50" t="b">
        <f t="shared" si="68"/>
        <v>0</v>
      </c>
      <c r="AO180" s="49" t="str">
        <f t="shared" si="69"/>
        <v>K5-POLICY</v>
      </c>
      <c r="AP180" s="72" t="str">
        <f>_xlfn.IFS(B180="","",AND(AO180="K5-LAW",AL180="นิติศาสตร์",K180="S2",Y180="",AE180=""),R180,AND(AO180="K5-LAW",AL180="นิติศาสตร์",K180="S1",Y180="",AE180=""),EDATE(R180,12),AND(AO180="K5-LAW",AL180="นิติศาสตร์",OR(K180="M2",K180="K4"),Y180="",AE180=""),EDATE(R180,12*2),AND(AO180="K5-LAW",AL180="นิติศาสตร์",OR(AE180="M2",AE180="K4"),AH180&gt;=2,OR(AG180&lt;AA180,AG180&lt;R180)),EDATE(AG180,12*2),AND(AO180="K5-LAW",AL180="นิติศาสตร์",AE180="S1",AH180&gt;=1,OR(AG180&lt;AA180,AG180&lt;R180)),EDATE(AG180,12),AND(AO180="K5-LAW",AL180="นิติศาสตร์",OR(Y180="M2",Y180="K4"),AB180&gt;=2,AA180&lt;R180),EDATE(AA180,12*2),AND(AO180="K5-LAW",AL180="นิติศาสตร์",Y180="S1",AB180&gt;=1,AA180&lt;R180),EDATE(AA180,12),AND(AO180="K5-LAW",AL180="นิติศาสตร์",OR(Y180="S2",Y180="K5")),AA180,AND(AO180="K5-LAW",AL180="นิติศาสตร์",OR(K180="M2",K180="K4"),U180&gt;=2),EDATE(R180,12*2),AND(AO180="K5-LAW",AL180="นิติศาสตร์",K180="S1",U180&gt;=1),EDATE(R180,12),AND(AO180="K5-LAW",AL180="นิติศาสตร์",OR(K180="S2",K180="K5")),R180,AND(AO180="K5-POLICY",AL180&lt;&gt;"นิติศาสตร์",K180="S2",Y180="",AE180=""),R180,AND(AO180="K5-POLICY",AL180&lt;&gt;"นิติศาสตร์",K180="S1",Y180="",AE180=""),EDATE(R180,12),AND(AO180="K5-POLICY",AL180&lt;&gt;"นิติศาสตร์",OR(K180="M2",K180="K4"),Y180="",AE180=""),EDATE(R180,12*2),AND(AO180="K5-POLICY",AL180&lt;&gt;"นิติศาสตร์",OR(AE180="M2",AE180="K4"),AH180&gt;=2,OR(AG180&lt;AA180,AG180&lt;R180)),EDATE(AG180,12*2),AND(AO180="K5-POLICY",AL180&lt;&gt;"นิติศาสตร์",AE180="S1",AH180&gt;=1,OR(AG180&lt;AA180,AG180&lt;R180)),EDATE(AG180,12),AND(AO180="K5-POLICY",AL180&lt;&gt;"นิติศาสตร์",OR(Y180="M2",Y180="K4"),AB180&gt;=2,AA180&lt;R180),EDATE(AA180,12*2),AND(AO180="K5-POLICY",AL180&lt;&gt;"นิติศาสตร์",Y180="S1",AB180&gt;=1,AA180&lt;R180),EDATE(AA180,12),AND(AO180="K5-POLICY",AL180&lt;&gt;"นิติศาสตร์",OR(Y180="S2",Y180="K5")),AA180,AND(AO180="K5-POLICY",AL180&lt;&gt;"นิติศาสตร์",OR(K180="M2",K180="K4"),U180&gt;=2),EDATE(R180,12*2),AND(AO180="K5-POLICY",AL180&lt;&gt;"นิติศาสตร์",K180="S1",U180&gt;=1),EDATE(R180,12),AND(AO180="K5-POLICY",AL180&lt;&gt;"นิติศาสตร์",OR(K180="S2",K180="K5")),R180,TRUE,"Check Data")</f>
        <v/>
      </c>
      <c r="AQ180" s="75" t="str">
        <f t="shared" si="70"/>
        <v>Check Data</v>
      </c>
      <c r="AR180" s="76" t="str">
        <f t="shared" si="71"/>
        <v>Check Data</v>
      </c>
      <c r="AS180" s="50" t="str">
        <f t="shared" si="72"/>
        <v>Check Data</v>
      </c>
      <c r="AT180" s="49" t="str">
        <f>IF(B180="","",IF(K180="S1","S1",INDEX(#REF!,#REF!)))</f>
        <v/>
      </c>
      <c r="AU180" s="49" t="str">
        <f t="shared" si="73"/>
        <v>M2</v>
      </c>
      <c r="AV180" s="50" t="b">
        <f t="shared" si="74"/>
        <v>0</v>
      </c>
      <c r="AW180" s="50"/>
    </row>
    <row r="181" spans="1:49" ht="21.75">
      <c r="A181" s="49">
        <v>179</v>
      </c>
      <c r="B181" s="50"/>
      <c r="C181" s="50"/>
      <c r="D181" s="50" t="s">
        <v>143</v>
      </c>
      <c r="E181" s="49" t="s">
        <v>344</v>
      </c>
      <c r="F181" s="49" t="str">
        <f t="shared" si="50"/>
        <v>15/08/2001</v>
      </c>
      <c r="G181" s="50">
        <f t="shared" si="51"/>
        <v>23</v>
      </c>
      <c r="H181" s="50">
        <f t="shared" si="52"/>
        <v>10</v>
      </c>
      <c r="I181" s="50">
        <f t="shared" si="53"/>
        <v>5</v>
      </c>
      <c r="J181" s="59"/>
      <c r="K181" s="49" t="s">
        <v>136</v>
      </c>
      <c r="L181" s="49" t="str">
        <f>IF(B181="","",IF(K181="S1",K181,INDEX(#REF!,#REF!)))</f>
        <v/>
      </c>
      <c r="M181" s="49" t="b">
        <f t="shared" si="54"/>
        <v>0</v>
      </c>
      <c r="N181" s="64"/>
      <c r="O181" s="49" t="s">
        <v>427</v>
      </c>
      <c r="P181" s="49">
        <v>2578</v>
      </c>
      <c r="Q181" s="65" t="s">
        <v>294</v>
      </c>
      <c r="R181" s="49" t="str">
        <f t="shared" si="55"/>
        <v>18/05/2023</v>
      </c>
      <c r="S181" s="49" t="str">
        <f>IF(B181="","",IF(K181="S1",K181,INDEX(#REF!,#REF!)))</f>
        <v/>
      </c>
      <c r="T181" s="49" t="b">
        <f t="shared" si="56"/>
        <v>0</v>
      </c>
      <c r="U181" s="68">
        <f t="shared" si="57"/>
        <v>2</v>
      </c>
      <c r="V181" s="68">
        <f t="shared" si="58"/>
        <v>1</v>
      </c>
      <c r="W181" s="68">
        <f t="shared" si="59"/>
        <v>2</v>
      </c>
      <c r="X181" s="68"/>
      <c r="Y181" s="65"/>
      <c r="Z181" s="65"/>
      <c r="AA181" s="49" t="str">
        <f t="shared" si="60"/>
        <v/>
      </c>
      <c r="AB181" s="68">
        <f t="shared" si="61"/>
        <v>0</v>
      </c>
      <c r="AC181" s="68">
        <f t="shared" si="62"/>
        <v>0</v>
      </c>
      <c r="AD181" s="68">
        <f t="shared" si="63"/>
        <v>0</v>
      </c>
      <c r="AE181" s="49"/>
      <c r="AF181" s="65"/>
      <c r="AG181" s="50" t="str">
        <f t="shared" si="64"/>
        <v/>
      </c>
      <c r="AH181" s="68">
        <f t="shared" si="65"/>
        <v>0</v>
      </c>
      <c r="AI181" s="68">
        <f t="shared" si="66"/>
        <v>0</v>
      </c>
      <c r="AJ181" s="68">
        <f t="shared" si="67"/>
        <v>0</v>
      </c>
      <c r="AK181" s="50"/>
      <c r="AL181" s="50" t="s">
        <v>138</v>
      </c>
      <c r="AM181" s="50" t="str">
        <f>IF(B181="","",IF(K181="S1",K181,INDEX(#REF!,#REF!)))</f>
        <v/>
      </c>
      <c r="AN181" s="50" t="b">
        <f t="shared" si="68"/>
        <v>0</v>
      </c>
      <c r="AO181" s="49" t="str">
        <f t="shared" si="69"/>
        <v>K5-LAW</v>
      </c>
      <c r="AP181" s="72" t="str">
        <f>_xlfn.IFS(B181="","",AND(AO181="K5-LAW",AL181="นิติศาสตร์",K181="S2",Y181="",AE181=""),R181,AND(AO181="K5-LAW",AL181="นิติศาสตร์",K181="S1",Y181="",AE181=""),EDATE(R181,12),AND(AO181="K5-LAW",AL181="นิติศาสตร์",OR(K181="M2",K181="K4"),Y181="",AE181=""),EDATE(R181,12*2),AND(AO181="K5-LAW",AL181="นิติศาสตร์",OR(AE181="M2",AE181="K4"),AH181&gt;=2,OR(AG181&lt;AA181,AG181&lt;R181)),EDATE(AG181,12*2),AND(AO181="K5-LAW",AL181="นิติศาสตร์",AE181="S1",AH181&gt;=1,OR(AG181&lt;AA181,AG181&lt;R181)),EDATE(AG181,12),AND(AO181="K5-LAW",AL181="นิติศาสตร์",OR(Y181="M2",Y181="K4"),AB181&gt;=2,AA181&lt;R181),EDATE(AA181,12*2),AND(AO181="K5-LAW",AL181="นิติศาสตร์",Y181="S1",AB181&gt;=1,AA181&lt;R181),EDATE(AA181,12),AND(AO181="K5-LAW",AL181="นิติศาสตร์",OR(Y181="S2",Y181="K5")),AA181,AND(AO181="K5-LAW",AL181="นิติศาสตร์",OR(K181="M2",K181="K4"),U181&gt;=2),EDATE(R181,12*2),AND(AO181="K5-LAW",AL181="นิติศาสตร์",K181="S1",U181&gt;=1),EDATE(R181,12),AND(AO181="K5-LAW",AL181="นิติศาสตร์",OR(K181="S2",K181="K5")),R181,AND(AO181="K5-POLICY",AL181&lt;&gt;"นิติศาสตร์",K181="S2",Y181="",AE181=""),R181,AND(AO181="K5-POLICY",AL181&lt;&gt;"นิติศาสตร์",K181="S1",Y181="",AE181=""),EDATE(R181,12),AND(AO181="K5-POLICY",AL181&lt;&gt;"นิติศาสตร์",OR(K181="M2",K181="K4"),Y181="",AE181=""),EDATE(R181,12*2),AND(AO181="K5-POLICY",AL181&lt;&gt;"นิติศาสตร์",OR(AE181="M2",AE181="K4"),AH181&gt;=2,OR(AG181&lt;AA181,AG181&lt;R181)),EDATE(AG181,12*2),AND(AO181="K5-POLICY",AL181&lt;&gt;"นิติศาสตร์",AE181="S1",AH181&gt;=1,OR(AG181&lt;AA181,AG181&lt;R181)),EDATE(AG181,12),AND(AO181="K5-POLICY",AL181&lt;&gt;"นิติศาสตร์",OR(Y181="M2",Y181="K4"),AB181&gt;=2,AA181&lt;R181),EDATE(AA181,12*2),AND(AO181="K5-POLICY",AL181&lt;&gt;"นิติศาสตร์",Y181="S1",AB181&gt;=1,AA181&lt;R181),EDATE(AA181,12),AND(AO181="K5-POLICY",AL181&lt;&gt;"นิติศาสตร์",OR(Y181="S2",Y181="K5")),AA181,AND(AO181="K5-POLICY",AL181&lt;&gt;"นิติศาสตร์",OR(K181="M2",K181="K4"),U181&gt;=2),EDATE(R181,12*2),AND(AO181="K5-POLICY",AL181&lt;&gt;"นิติศาสตร์",K181="S1",U181&gt;=1),EDATE(R181,12),AND(AO181="K5-POLICY",AL181&lt;&gt;"นิติศาสตร์",OR(K181="S2",K181="K5")),R181,TRUE,"Check Data")</f>
        <v/>
      </c>
      <c r="AQ181" s="75" t="str">
        <f t="shared" si="70"/>
        <v>Check Data</v>
      </c>
      <c r="AR181" s="76" t="str">
        <f t="shared" si="71"/>
        <v>Check Data</v>
      </c>
      <c r="AS181" s="50" t="str">
        <f t="shared" si="72"/>
        <v>Check Data</v>
      </c>
      <c r="AT181" s="49" t="str">
        <f>IF(B181="","",IF(K181="S1","S1",INDEX(#REF!,#REF!)))</f>
        <v/>
      </c>
      <c r="AU181" s="49" t="str">
        <f t="shared" si="73"/>
        <v>M2</v>
      </c>
      <c r="AV181" s="50" t="b">
        <f t="shared" si="74"/>
        <v>0</v>
      </c>
      <c r="AW181" s="50"/>
    </row>
    <row r="182" spans="1:49" ht="21.75">
      <c r="A182" s="49">
        <v>180</v>
      </c>
      <c r="B182" s="50"/>
      <c r="C182" s="50"/>
      <c r="D182" s="50" t="s">
        <v>143</v>
      </c>
      <c r="E182" s="49" t="s">
        <v>369</v>
      </c>
      <c r="F182" s="49" t="str">
        <f t="shared" si="50"/>
        <v>07/04/1998</v>
      </c>
      <c r="G182" s="50">
        <f t="shared" si="51"/>
        <v>27</v>
      </c>
      <c r="H182" s="50">
        <f t="shared" si="52"/>
        <v>2</v>
      </c>
      <c r="I182" s="50">
        <f t="shared" si="53"/>
        <v>13</v>
      </c>
      <c r="J182" s="59"/>
      <c r="K182" s="49" t="s">
        <v>136</v>
      </c>
      <c r="L182" s="49" t="str">
        <f>IF(B182="","",IF(K182="S1",K182,INDEX(#REF!,#REF!)))</f>
        <v/>
      </c>
      <c r="M182" s="49" t="b">
        <f t="shared" si="54"/>
        <v>0</v>
      </c>
      <c r="N182" s="64"/>
      <c r="O182" s="49" t="s">
        <v>427</v>
      </c>
      <c r="P182" s="49">
        <v>2581</v>
      </c>
      <c r="Q182" s="65" t="s">
        <v>294</v>
      </c>
      <c r="R182" s="49" t="str">
        <f t="shared" si="55"/>
        <v>18/05/2023</v>
      </c>
      <c r="S182" s="49" t="str">
        <f>IF(B182="","",IF(K182="S1",K182,INDEX(#REF!,#REF!)))</f>
        <v/>
      </c>
      <c r="T182" s="49" t="b">
        <f t="shared" si="56"/>
        <v>0</v>
      </c>
      <c r="U182" s="68">
        <f t="shared" si="57"/>
        <v>2</v>
      </c>
      <c r="V182" s="68">
        <f t="shared" si="58"/>
        <v>1</v>
      </c>
      <c r="W182" s="68">
        <f t="shared" si="59"/>
        <v>2</v>
      </c>
      <c r="X182" s="68"/>
      <c r="Y182" s="65"/>
      <c r="Z182" s="65"/>
      <c r="AA182" s="49" t="str">
        <f t="shared" si="60"/>
        <v/>
      </c>
      <c r="AB182" s="68">
        <f t="shared" si="61"/>
        <v>0</v>
      </c>
      <c r="AC182" s="68">
        <f t="shared" si="62"/>
        <v>0</v>
      </c>
      <c r="AD182" s="68">
        <f t="shared" si="63"/>
        <v>0</v>
      </c>
      <c r="AE182" s="49"/>
      <c r="AF182" s="65"/>
      <c r="AG182" s="50" t="str">
        <f t="shared" si="64"/>
        <v/>
      </c>
      <c r="AH182" s="68">
        <f t="shared" si="65"/>
        <v>0</v>
      </c>
      <c r="AI182" s="68">
        <f t="shared" si="66"/>
        <v>0</v>
      </c>
      <c r="AJ182" s="68">
        <f t="shared" si="67"/>
        <v>0</v>
      </c>
      <c r="AK182" s="50"/>
      <c r="AL182" s="50" t="s">
        <v>486</v>
      </c>
      <c r="AM182" s="50" t="str">
        <f>IF(B182="","",IF(K182="S1",K182,INDEX(#REF!,#REF!)))</f>
        <v/>
      </c>
      <c r="AN182" s="50" t="b">
        <f t="shared" si="68"/>
        <v>0</v>
      </c>
      <c r="AO182" s="49" t="str">
        <f t="shared" si="69"/>
        <v>K5-POLICY</v>
      </c>
      <c r="AP182" s="72" t="str">
        <f>_xlfn.IFS(B182="","",AND(AO182="K5-LAW",AL182="นิติศาสตร์",K182="S2",Y182="",AE182=""),R182,AND(AO182="K5-LAW",AL182="นิติศาสตร์",K182="S1",Y182="",AE182=""),EDATE(R182,12),AND(AO182="K5-LAW",AL182="นิติศาสตร์",OR(K182="M2",K182="K4"),Y182="",AE182=""),EDATE(R182,12*2),AND(AO182="K5-LAW",AL182="นิติศาสตร์",OR(AE182="M2",AE182="K4"),AH182&gt;=2,OR(AG182&lt;AA182,AG182&lt;R182)),EDATE(AG182,12*2),AND(AO182="K5-LAW",AL182="นิติศาสตร์",AE182="S1",AH182&gt;=1,OR(AG182&lt;AA182,AG182&lt;R182)),EDATE(AG182,12),AND(AO182="K5-LAW",AL182="นิติศาสตร์",OR(Y182="M2",Y182="K4"),AB182&gt;=2,AA182&lt;R182),EDATE(AA182,12*2),AND(AO182="K5-LAW",AL182="นิติศาสตร์",Y182="S1",AB182&gt;=1,AA182&lt;R182),EDATE(AA182,12),AND(AO182="K5-LAW",AL182="นิติศาสตร์",OR(Y182="S2",Y182="K5")),AA182,AND(AO182="K5-LAW",AL182="นิติศาสตร์",OR(K182="M2",K182="K4"),U182&gt;=2),EDATE(R182,12*2),AND(AO182="K5-LAW",AL182="นิติศาสตร์",K182="S1",U182&gt;=1),EDATE(R182,12),AND(AO182="K5-LAW",AL182="นิติศาสตร์",OR(K182="S2",K182="K5")),R182,AND(AO182="K5-POLICY",AL182&lt;&gt;"นิติศาสตร์",K182="S2",Y182="",AE182=""),R182,AND(AO182="K5-POLICY",AL182&lt;&gt;"นิติศาสตร์",K182="S1",Y182="",AE182=""),EDATE(R182,12),AND(AO182="K5-POLICY",AL182&lt;&gt;"นิติศาสตร์",OR(K182="M2",K182="K4"),Y182="",AE182=""),EDATE(R182,12*2),AND(AO182="K5-POLICY",AL182&lt;&gt;"นิติศาสตร์",OR(AE182="M2",AE182="K4"),AH182&gt;=2,OR(AG182&lt;AA182,AG182&lt;R182)),EDATE(AG182,12*2),AND(AO182="K5-POLICY",AL182&lt;&gt;"นิติศาสตร์",AE182="S1",AH182&gt;=1,OR(AG182&lt;AA182,AG182&lt;R182)),EDATE(AG182,12),AND(AO182="K5-POLICY",AL182&lt;&gt;"นิติศาสตร์",OR(Y182="M2",Y182="K4"),AB182&gt;=2,AA182&lt;R182),EDATE(AA182,12*2),AND(AO182="K5-POLICY",AL182&lt;&gt;"นิติศาสตร์",Y182="S1",AB182&gt;=1,AA182&lt;R182),EDATE(AA182,12),AND(AO182="K5-POLICY",AL182&lt;&gt;"นิติศาสตร์",OR(Y182="S2",Y182="K5")),AA182,AND(AO182="K5-POLICY",AL182&lt;&gt;"นิติศาสตร์",OR(K182="M2",K182="K4"),U182&gt;=2),EDATE(R182,12*2),AND(AO182="K5-POLICY",AL182&lt;&gt;"นิติศาสตร์",K182="S1",U182&gt;=1),EDATE(R182,12),AND(AO182="K5-POLICY",AL182&lt;&gt;"นิติศาสตร์",OR(K182="S2",K182="K5")),R182,TRUE,"Check Data")</f>
        <v/>
      </c>
      <c r="AQ182" s="75" t="str">
        <f t="shared" si="70"/>
        <v>Check Data</v>
      </c>
      <c r="AR182" s="76" t="str">
        <f t="shared" si="71"/>
        <v>Check Data</v>
      </c>
      <c r="AS182" s="50" t="str">
        <f t="shared" si="72"/>
        <v>Check Data</v>
      </c>
      <c r="AT182" s="49" t="str">
        <f>IF(B182="","",IF(K182="S1","S1",INDEX(#REF!,#REF!)))</f>
        <v/>
      </c>
      <c r="AU182" s="49" t="str">
        <f t="shared" si="73"/>
        <v>M2</v>
      </c>
      <c r="AV182" s="50" t="b">
        <f t="shared" si="74"/>
        <v>0</v>
      </c>
      <c r="AW182" s="50"/>
    </row>
    <row r="183" spans="1:49" ht="21.75">
      <c r="A183" s="49">
        <v>181</v>
      </c>
      <c r="B183" s="50"/>
      <c r="C183" s="50"/>
      <c r="D183" s="50" t="s">
        <v>143</v>
      </c>
      <c r="E183" s="49" t="s">
        <v>368</v>
      </c>
      <c r="F183" s="49" t="str">
        <f t="shared" si="50"/>
        <v>30/08/2002</v>
      </c>
      <c r="G183" s="50">
        <f t="shared" si="51"/>
        <v>22</v>
      </c>
      <c r="H183" s="50">
        <f t="shared" si="52"/>
        <v>9</v>
      </c>
      <c r="I183" s="50">
        <f t="shared" si="53"/>
        <v>21</v>
      </c>
      <c r="J183" s="59"/>
      <c r="K183" s="49" t="s">
        <v>136</v>
      </c>
      <c r="L183" s="49" t="str">
        <f>IF(B183="","",IF(K183="S1",K183,INDEX(#REF!,#REF!)))</f>
        <v/>
      </c>
      <c r="M183" s="49" t="b">
        <f t="shared" si="54"/>
        <v>0</v>
      </c>
      <c r="N183" s="64"/>
      <c r="O183" s="49" t="s">
        <v>427</v>
      </c>
      <c r="P183" s="49">
        <v>2577</v>
      </c>
      <c r="Q183" s="65" t="s">
        <v>294</v>
      </c>
      <c r="R183" s="49" t="str">
        <f t="shared" si="55"/>
        <v>18/05/2023</v>
      </c>
      <c r="S183" s="49" t="str">
        <f>IF(B183="","",IF(K183="S1",K183,INDEX(#REF!,#REF!)))</f>
        <v/>
      </c>
      <c r="T183" s="49" t="b">
        <f t="shared" si="56"/>
        <v>0</v>
      </c>
      <c r="U183" s="68">
        <f t="shared" si="57"/>
        <v>2</v>
      </c>
      <c r="V183" s="68">
        <f t="shared" si="58"/>
        <v>1</v>
      </c>
      <c r="W183" s="68">
        <f t="shared" si="59"/>
        <v>2</v>
      </c>
      <c r="X183" s="68"/>
      <c r="Y183" s="65"/>
      <c r="Z183" s="65"/>
      <c r="AA183" s="49" t="str">
        <f t="shared" si="60"/>
        <v/>
      </c>
      <c r="AB183" s="68">
        <f t="shared" si="61"/>
        <v>0</v>
      </c>
      <c r="AC183" s="68">
        <f t="shared" si="62"/>
        <v>0</v>
      </c>
      <c r="AD183" s="68">
        <f t="shared" si="63"/>
        <v>0</v>
      </c>
      <c r="AE183" s="49"/>
      <c r="AF183" s="65"/>
      <c r="AG183" s="50" t="str">
        <f t="shared" si="64"/>
        <v/>
      </c>
      <c r="AH183" s="68">
        <f t="shared" si="65"/>
        <v>0</v>
      </c>
      <c r="AI183" s="68">
        <f t="shared" si="66"/>
        <v>0</v>
      </c>
      <c r="AJ183" s="68">
        <f t="shared" si="67"/>
        <v>0</v>
      </c>
      <c r="AK183" s="50"/>
      <c r="AL183" s="50" t="s">
        <v>138</v>
      </c>
      <c r="AM183" s="50" t="str">
        <f>IF(B183="","",IF(K183="S1",K183,INDEX(#REF!,#REF!)))</f>
        <v/>
      </c>
      <c r="AN183" s="50" t="b">
        <f t="shared" si="68"/>
        <v>0</v>
      </c>
      <c r="AO183" s="49" t="str">
        <f t="shared" si="69"/>
        <v>K5-LAW</v>
      </c>
      <c r="AP183" s="72" t="str">
        <f>_xlfn.IFS(B183="","",AND(AO183="K5-LAW",AL183="นิติศาสตร์",K183="S2",Y183="",AE183=""),R183,AND(AO183="K5-LAW",AL183="นิติศาสตร์",K183="S1",Y183="",AE183=""),EDATE(R183,12),AND(AO183="K5-LAW",AL183="นิติศาสตร์",OR(K183="M2",K183="K4"),Y183="",AE183=""),EDATE(R183,12*2),AND(AO183="K5-LAW",AL183="นิติศาสตร์",OR(AE183="M2",AE183="K4"),AH183&gt;=2,OR(AG183&lt;AA183,AG183&lt;R183)),EDATE(AG183,12*2),AND(AO183="K5-LAW",AL183="นิติศาสตร์",AE183="S1",AH183&gt;=1,OR(AG183&lt;AA183,AG183&lt;R183)),EDATE(AG183,12),AND(AO183="K5-LAW",AL183="นิติศาสตร์",OR(Y183="M2",Y183="K4"),AB183&gt;=2,AA183&lt;R183),EDATE(AA183,12*2),AND(AO183="K5-LAW",AL183="นิติศาสตร์",Y183="S1",AB183&gt;=1,AA183&lt;R183),EDATE(AA183,12),AND(AO183="K5-LAW",AL183="นิติศาสตร์",OR(Y183="S2",Y183="K5")),AA183,AND(AO183="K5-LAW",AL183="นิติศาสตร์",OR(K183="M2",K183="K4"),U183&gt;=2),EDATE(R183,12*2),AND(AO183="K5-LAW",AL183="นิติศาสตร์",K183="S1",U183&gt;=1),EDATE(R183,12),AND(AO183="K5-LAW",AL183="นิติศาสตร์",OR(K183="S2",K183="K5")),R183,AND(AO183="K5-POLICY",AL183&lt;&gt;"นิติศาสตร์",K183="S2",Y183="",AE183=""),R183,AND(AO183="K5-POLICY",AL183&lt;&gt;"นิติศาสตร์",K183="S1",Y183="",AE183=""),EDATE(R183,12),AND(AO183="K5-POLICY",AL183&lt;&gt;"นิติศาสตร์",OR(K183="M2",K183="K4"),Y183="",AE183=""),EDATE(R183,12*2),AND(AO183="K5-POLICY",AL183&lt;&gt;"นิติศาสตร์",OR(AE183="M2",AE183="K4"),AH183&gt;=2,OR(AG183&lt;AA183,AG183&lt;R183)),EDATE(AG183,12*2),AND(AO183="K5-POLICY",AL183&lt;&gt;"นิติศาสตร์",AE183="S1",AH183&gt;=1,OR(AG183&lt;AA183,AG183&lt;R183)),EDATE(AG183,12),AND(AO183="K5-POLICY",AL183&lt;&gt;"นิติศาสตร์",OR(Y183="M2",Y183="K4"),AB183&gt;=2,AA183&lt;R183),EDATE(AA183,12*2),AND(AO183="K5-POLICY",AL183&lt;&gt;"นิติศาสตร์",Y183="S1",AB183&gt;=1,AA183&lt;R183),EDATE(AA183,12),AND(AO183="K5-POLICY",AL183&lt;&gt;"นิติศาสตร์",OR(Y183="S2",Y183="K5")),AA183,AND(AO183="K5-POLICY",AL183&lt;&gt;"นิติศาสตร์",OR(K183="M2",K183="K4"),U183&gt;=2),EDATE(R183,12*2),AND(AO183="K5-POLICY",AL183&lt;&gt;"นิติศาสตร์",K183="S1",U183&gt;=1),EDATE(R183,12),AND(AO183="K5-POLICY",AL183&lt;&gt;"นิติศาสตร์",OR(K183="S2",K183="K5")),R183,TRUE,"Check Data")</f>
        <v/>
      </c>
      <c r="AQ183" s="75" t="str">
        <f t="shared" si="70"/>
        <v>Check Data</v>
      </c>
      <c r="AR183" s="76" t="str">
        <f t="shared" si="71"/>
        <v>Check Data</v>
      </c>
      <c r="AS183" s="50" t="str">
        <f t="shared" si="72"/>
        <v>Check Data</v>
      </c>
      <c r="AT183" s="49" t="str">
        <f>IF(B183="","",IF(K183="S1","S1",INDEX(#REF!,#REF!)))</f>
        <v/>
      </c>
      <c r="AU183" s="49" t="str">
        <f t="shared" si="73"/>
        <v>M2</v>
      </c>
      <c r="AV183" s="50" t="b">
        <f t="shared" si="74"/>
        <v>0</v>
      </c>
      <c r="AW183" s="50"/>
    </row>
    <row r="184" spans="1:49" ht="21.75">
      <c r="A184" s="49">
        <v>182</v>
      </c>
      <c r="B184" s="50"/>
      <c r="C184" s="50"/>
      <c r="D184" s="50" t="s">
        <v>144</v>
      </c>
      <c r="E184" s="49" t="s">
        <v>164</v>
      </c>
      <c r="F184" s="49" t="str">
        <f t="shared" si="50"/>
        <v>01/05/1990</v>
      </c>
      <c r="G184" s="50">
        <f t="shared" si="51"/>
        <v>35</v>
      </c>
      <c r="H184" s="50">
        <f t="shared" si="52"/>
        <v>1</v>
      </c>
      <c r="I184" s="50">
        <f t="shared" si="53"/>
        <v>19</v>
      </c>
      <c r="J184" s="59"/>
      <c r="K184" s="49" t="s">
        <v>136</v>
      </c>
      <c r="L184" s="49" t="str">
        <f>IF(B184="","",IF(K184="S1",K184,INDEX(#REF!,#REF!)))</f>
        <v/>
      </c>
      <c r="M184" s="49" t="b">
        <f t="shared" si="54"/>
        <v>0</v>
      </c>
      <c r="N184" s="64"/>
      <c r="O184" s="49" t="s">
        <v>425</v>
      </c>
      <c r="P184" s="49">
        <v>2573</v>
      </c>
      <c r="Q184" s="65" t="s">
        <v>207</v>
      </c>
      <c r="R184" s="49" t="str">
        <f t="shared" si="55"/>
        <v>09/06/2023</v>
      </c>
      <c r="S184" s="49" t="str">
        <f>IF(B184="","",IF(K184="S1",K184,INDEX(#REF!,#REF!)))</f>
        <v/>
      </c>
      <c r="T184" s="49" t="b">
        <f t="shared" si="56"/>
        <v>0</v>
      </c>
      <c r="U184" s="68">
        <f t="shared" si="57"/>
        <v>2</v>
      </c>
      <c r="V184" s="68">
        <f t="shared" si="58"/>
        <v>0</v>
      </c>
      <c r="W184" s="68">
        <f t="shared" si="59"/>
        <v>11</v>
      </c>
      <c r="X184" s="68"/>
      <c r="Y184" s="65" t="s">
        <v>137</v>
      </c>
      <c r="Z184" s="65" t="s">
        <v>522</v>
      </c>
      <c r="AA184" s="49" t="str">
        <f t="shared" si="60"/>
        <v>11/11/2015</v>
      </c>
      <c r="AB184" s="68">
        <f t="shared" si="61"/>
        <v>7</v>
      </c>
      <c r="AC184" s="68">
        <f t="shared" si="62"/>
        <v>6</v>
      </c>
      <c r="AD184" s="68">
        <f t="shared" si="63"/>
        <v>29</v>
      </c>
      <c r="AE184" s="49"/>
      <c r="AF184" s="65"/>
      <c r="AG184" s="50" t="str">
        <f t="shared" si="64"/>
        <v/>
      </c>
      <c r="AH184" s="68">
        <f t="shared" si="65"/>
        <v>0</v>
      </c>
      <c r="AI184" s="68">
        <f t="shared" si="66"/>
        <v>0</v>
      </c>
      <c r="AJ184" s="68">
        <f t="shared" si="67"/>
        <v>0</v>
      </c>
      <c r="AK184" s="50"/>
      <c r="AL184" s="50" t="s">
        <v>163</v>
      </c>
      <c r="AM184" s="50" t="str">
        <f>IF(B184="","",IF(K184="S1",K184,INDEX(#REF!,#REF!)))</f>
        <v/>
      </c>
      <c r="AN184" s="50" t="b">
        <f t="shared" si="68"/>
        <v>0</v>
      </c>
      <c r="AO184" s="49" t="str">
        <f t="shared" si="69"/>
        <v>K5-POLICY</v>
      </c>
      <c r="AP184" s="72" t="str">
        <f>_xlfn.IFS(B184="","",AND(AO184="K5-LAW",AL184="นิติศาสตร์",K184="S2",Y184="",AE184=""),R184,AND(AO184="K5-LAW",AL184="นิติศาสตร์",K184="S1",Y184="",AE184=""),EDATE(R184,12),AND(AO184="K5-LAW",AL184="นิติศาสตร์",OR(K184="M2",K184="K4"),Y184="",AE184=""),EDATE(R184,12*2),AND(AO184="K5-LAW",AL184="นิติศาสตร์",OR(AE184="M2",AE184="K4"),AH184&gt;=2,OR(AG184&lt;AA184,AG184&lt;R184)),EDATE(AG184,12*2),AND(AO184="K5-LAW",AL184="นิติศาสตร์",AE184="S1",AH184&gt;=1,OR(AG184&lt;AA184,AG184&lt;R184)),EDATE(AG184,12),AND(AO184="K5-LAW",AL184="นิติศาสตร์",OR(Y184="M2",Y184="K4"),AB184&gt;=2,AA184&lt;R184),EDATE(AA184,12*2),AND(AO184="K5-LAW",AL184="นิติศาสตร์",Y184="S1",AB184&gt;=1,AA184&lt;R184),EDATE(AA184,12),AND(AO184="K5-LAW",AL184="นิติศาสตร์",OR(Y184="S2",Y184="K5")),AA184,AND(AO184="K5-LAW",AL184="นิติศาสตร์",OR(K184="M2",K184="K4"),U184&gt;=2),EDATE(R184,12*2),AND(AO184="K5-LAW",AL184="นิติศาสตร์",K184="S1",U184&gt;=1),EDATE(R184,12),AND(AO184="K5-LAW",AL184="นิติศาสตร์",OR(K184="S2",K184="K5")),R184,AND(AO184="K5-POLICY",AL184&lt;&gt;"นิติศาสตร์",K184="S2",Y184="",AE184=""),R184,AND(AO184="K5-POLICY",AL184&lt;&gt;"นิติศาสตร์",K184="S1",Y184="",AE184=""),EDATE(R184,12),AND(AO184="K5-POLICY",AL184&lt;&gt;"นิติศาสตร์",OR(K184="M2",K184="K4"),Y184="",AE184=""),EDATE(R184,12*2),AND(AO184="K5-POLICY",AL184&lt;&gt;"นิติศาสตร์",OR(AE184="M2",AE184="K4"),AH184&gt;=2,OR(AG184&lt;AA184,AG184&lt;R184)),EDATE(AG184,12*2),AND(AO184="K5-POLICY",AL184&lt;&gt;"นิติศาสตร์",AE184="S1",AH184&gt;=1,OR(AG184&lt;AA184,AG184&lt;R184)),EDATE(AG184,12),AND(AO184="K5-POLICY",AL184&lt;&gt;"นิติศาสตร์",OR(Y184="M2",Y184="K4"),AB184&gt;=2,AA184&lt;R184),EDATE(AA184,12*2),AND(AO184="K5-POLICY",AL184&lt;&gt;"นิติศาสตร์",Y184="S1",AB184&gt;=1,AA184&lt;R184),EDATE(AA184,12),AND(AO184="K5-POLICY",AL184&lt;&gt;"นิติศาสตร์",OR(Y184="S2",Y184="K5")),AA184,AND(AO184="K5-POLICY",AL184&lt;&gt;"นิติศาสตร์",OR(K184="M2",K184="K4"),U184&gt;=2),EDATE(R184,12*2),AND(AO184="K5-POLICY",AL184&lt;&gt;"นิติศาสตร์",K184="S1",U184&gt;=1),EDATE(R184,12),AND(AO184="K5-POLICY",AL184&lt;&gt;"นิติศาสตร์",OR(K184="S2",K184="K5")),R184,TRUE,"Check Data")</f>
        <v/>
      </c>
      <c r="AQ184" s="75" t="str">
        <f t="shared" si="70"/>
        <v>Check Data</v>
      </c>
      <c r="AR184" s="76" t="str">
        <f t="shared" si="71"/>
        <v>Check Data</v>
      </c>
      <c r="AS184" s="50" t="str">
        <f t="shared" si="72"/>
        <v>Check Data</v>
      </c>
      <c r="AT184" s="49" t="str">
        <f>IF(B184="","",IF(K184="S1","S1",INDEX(#REF!,#REF!)))</f>
        <v/>
      </c>
      <c r="AU184" s="49" t="str">
        <f t="shared" si="73"/>
        <v>M2</v>
      </c>
      <c r="AV184" s="50" t="b">
        <f t="shared" si="74"/>
        <v>0</v>
      </c>
      <c r="AW184" s="50"/>
    </row>
    <row r="185" spans="1:49" ht="21.75">
      <c r="A185" s="49">
        <v>183</v>
      </c>
      <c r="B185" s="50"/>
      <c r="C185" s="50"/>
      <c r="D185" s="50" t="s">
        <v>144</v>
      </c>
      <c r="E185" s="49" t="s">
        <v>381</v>
      </c>
      <c r="F185" s="49" t="str">
        <f t="shared" si="50"/>
        <v>01/04/1993</v>
      </c>
      <c r="G185" s="50">
        <f t="shared" si="51"/>
        <v>32</v>
      </c>
      <c r="H185" s="50">
        <f t="shared" si="52"/>
        <v>2</v>
      </c>
      <c r="I185" s="50">
        <f t="shared" si="53"/>
        <v>19</v>
      </c>
      <c r="J185" s="57"/>
      <c r="K185" s="49" t="s">
        <v>136</v>
      </c>
      <c r="L185" s="49" t="str">
        <f>IF(B185="","",IF(K185="S1",K185,INDEX(#REF!,#REF!)))</f>
        <v/>
      </c>
      <c r="M185" s="49" t="b">
        <f t="shared" si="54"/>
        <v>0</v>
      </c>
      <c r="N185" s="64"/>
      <c r="O185" s="49" t="s">
        <v>427</v>
      </c>
      <c r="P185" s="49">
        <v>2577</v>
      </c>
      <c r="Q185" s="65" t="s">
        <v>207</v>
      </c>
      <c r="R185" s="49" t="str">
        <f t="shared" si="55"/>
        <v>09/06/2023</v>
      </c>
      <c r="S185" s="49" t="str">
        <f>IF(B185="","",IF(K185="S1",K185,INDEX(#REF!,#REF!)))</f>
        <v/>
      </c>
      <c r="T185" s="49" t="b">
        <f t="shared" si="56"/>
        <v>0</v>
      </c>
      <c r="U185" s="68">
        <f t="shared" si="57"/>
        <v>2</v>
      </c>
      <c r="V185" s="68">
        <f t="shared" si="58"/>
        <v>0</v>
      </c>
      <c r="W185" s="68">
        <f t="shared" si="59"/>
        <v>11</v>
      </c>
      <c r="X185" s="68"/>
      <c r="Y185" s="65"/>
      <c r="Z185" s="65"/>
      <c r="AA185" s="49" t="str">
        <f t="shared" si="60"/>
        <v/>
      </c>
      <c r="AB185" s="68">
        <f t="shared" si="61"/>
        <v>0</v>
      </c>
      <c r="AC185" s="68">
        <f t="shared" si="62"/>
        <v>0</v>
      </c>
      <c r="AD185" s="68">
        <f t="shared" si="63"/>
        <v>0</v>
      </c>
      <c r="AE185" s="49"/>
      <c r="AF185" s="65"/>
      <c r="AG185" s="50" t="str">
        <f t="shared" si="64"/>
        <v/>
      </c>
      <c r="AH185" s="68">
        <f t="shared" si="65"/>
        <v>0</v>
      </c>
      <c r="AI185" s="68">
        <f t="shared" si="66"/>
        <v>0</v>
      </c>
      <c r="AJ185" s="68">
        <f t="shared" si="67"/>
        <v>0</v>
      </c>
      <c r="AK185" s="50"/>
      <c r="AL185" s="50" t="s">
        <v>163</v>
      </c>
      <c r="AM185" s="50" t="str">
        <f>IF(B185="","",IF(K185="S1",K185,INDEX(#REF!,#REF!)))</f>
        <v/>
      </c>
      <c r="AN185" s="50" t="b">
        <f t="shared" si="68"/>
        <v>0</v>
      </c>
      <c r="AO185" s="49" t="str">
        <f t="shared" si="69"/>
        <v>K5-POLICY</v>
      </c>
      <c r="AP185" s="72" t="str">
        <f>_xlfn.IFS(B185="","",AND(AO185="K5-LAW",AL185="นิติศาสตร์",K185="S2",Y185="",AE185=""),R185,AND(AO185="K5-LAW",AL185="นิติศาสตร์",K185="S1",Y185="",AE185=""),EDATE(R185,12),AND(AO185="K5-LAW",AL185="นิติศาสตร์",OR(K185="M2",K185="K4"),Y185="",AE185=""),EDATE(R185,12*2),AND(AO185="K5-LAW",AL185="นิติศาสตร์",OR(AE185="M2",AE185="K4"),AH185&gt;=2,OR(AG185&lt;AA185,AG185&lt;R185)),EDATE(AG185,12*2),AND(AO185="K5-LAW",AL185="นิติศาสตร์",AE185="S1",AH185&gt;=1,OR(AG185&lt;AA185,AG185&lt;R185)),EDATE(AG185,12),AND(AO185="K5-LAW",AL185="นิติศาสตร์",OR(Y185="M2",Y185="K4"),AB185&gt;=2,AA185&lt;R185),EDATE(AA185,12*2),AND(AO185="K5-LAW",AL185="นิติศาสตร์",Y185="S1",AB185&gt;=1,AA185&lt;R185),EDATE(AA185,12),AND(AO185="K5-LAW",AL185="นิติศาสตร์",OR(Y185="S2",Y185="K5")),AA185,AND(AO185="K5-LAW",AL185="นิติศาสตร์",OR(K185="M2",K185="K4"),U185&gt;=2),EDATE(R185,12*2),AND(AO185="K5-LAW",AL185="นิติศาสตร์",K185="S1",U185&gt;=1),EDATE(R185,12),AND(AO185="K5-LAW",AL185="นิติศาสตร์",OR(K185="S2",K185="K5")),R185,AND(AO185="K5-POLICY",AL185&lt;&gt;"นิติศาสตร์",K185="S2",Y185="",AE185=""),R185,AND(AO185="K5-POLICY",AL185&lt;&gt;"นิติศาสตร์",K185="S1",Y185="",AE185=""),EDATE(R185,12),AND(AO185="K5-POLICY",AL185&lt;&gt;"นิติศาสตร์",OR(K185="M2",K185="K4"),Y185="",AE185=""),EDATE(R185,12*2),AND(AO185="K5-POLICY",AL185&lt;&gt;"นิติศาสตร์",OR(AE185="M2",AE185="K4"),AH185&gt;=2,OR(AG185&lt;AA185,AG185&lt;R185)),EDATE(AG185,12*2),AND(AO185="K5-POLICY",AL185&lt;&gt;"นิติศาสตร์",AE185="S1",AH185&gt;=1,OR(AG185&lt;AA185,AG185&lt;R185)),EDATE(AG185,12),AND(AO185="K5-POLICY",AL185&lt;&gt;"นิติศาสตร์",OR(Y185="M2",Y185="K4"),AB185&gt;=2,AA185&lt;R185),EDATE(AA185,12*2),AND(AO185="K5-POLICY",AL185&lt;&gt;"นิติศาสตร์",Y185="S1",AB185&gt;=1,AA185&lt;R185),EDATE(AA185,12),AND(AO185="K5-POLICY",AL185&lt;&gt;"นิติศาสตร์",OR(Y185="S2",Y185="K5")),AA185,AND(AO185="K5-POLICY",AL185&lt;&gt;"นิติศาสตร์",OR(K185="M2",K185="K4"),U185&gt;=2),EDATE(R185,12*2),AND(AO185="K5-POLICY",AL185&lt;&gt;"นิติศาสตร์",K185="S1",U185&gt;=1),EDATE(R185,12),AND(AO185="K5-POLICY",AL185&lt;&gt;"นิติศาสตร์",OR(K185="S2",K185="K5")),R185,TRUE,"Check Data")</f>
        <v/>
      </c>
      <c r="AQ185" s="75" t="str">
        <f t="shared" si="70"/>
        <v>Check Data</v>
      </c>
      <c r="AR185" s="76" t="str">
        <f t="shared" si="71"/>
        <v>Check Data</v>
      </c>
      <c r="AS185" s="50" t="str">
        <f t="shared" si="72"/>
        <v>Check Data</v>
      </c>
      <c r="AT185" s="49" t="str">
        <f>IF(B185="","",IF(K185="S1","S1",INDEX(#REF!,#REF!)))</f>
        <v/>
      </c>
      <c r="AU185" s="49" t="str">
        <f t="shared" si="73"/>
        <v>M2</v>
      </c>
      <c r="AV185" s="50" t="b">
        <f t="shared" si="74"/>
        <v>0</v>
      </c>
      <c r="AW185" s="50"/>
    </row>
    <row r="186" spans="1:49" ht="21.75">
      <c r="A186" s="49">
        <v>184</v>
      </c>
      <c r="B186" s="50"/>
      <c r="C186" s="50"/>
      <c r="D186" s="50" t="s">
        <v>144</v>
      </c>
      <c r="E186" s="49" t="s">
        <v>374</v>
      </c>
      <c r="F186" s="49" t="str">
        <f t="shared" si="50"/>
        <v>29/06/1998</v>
      </c>
      <c r="G186" s="50">
        <f t="shared" si="51"/>
        <v>26</v>
      </c>
      <c r="H186" s="50">
        <f t="shared" si="52"/>
        <v>11</v>
      </c>
      <c r="I186" s="50">
        <f t="shared" si="53"/>
        <v>22</v>
      </c>
      <c r="J186" s="57"/>
      <c r="K186" s="49" t="s">
        <v>136</v>
      </c>
      <c r="L186" s="49" t="str">
        <f>IF(B186="","",IF(K186="S1",K186,INDEX(#REF!,#REF!)))</f>
        <v/>
      </c>
      <c r="M186" s="49" t="b">
        <f t="shared" si="54"/>
        <v>0</v>
      </c>
      <c r="N186" s="64"/>
      <c r="O186" s="49" t="s">
        <v>426</v>
      </c>
      <c r="P186" s="49">
        <v>2574</v>
      </c>
      <c r="Q186" s="65" t="s">
        <v>207</v>
      </c>
      <c r="R186" s="49" t="str">
        <f t="shared" si="55"/>
        <v>09/06/2023</v>
      </c>
      <c r="S186" s="49" t="str">
        <f>IF(B186="","",IF(K186="S1",K186,INDEX(#REF!,#REF!)))</f>
        <v/>
      </c>
      <c r="T186" s="49" t="b">
        <f t="shared" si="56"/>
        <v>0</v>
      </c>
      <c r="U186" s="68">
        <f t="shared" si="57"/>
        <v>2</v>
      </c>
      <c r="V186" s="68">
        <f t="shared" si="58"/>
        <v>0</v>
      </c>
      <c r="W186" s="68">
        <f t="shared" si="59"/>
        <v>11</v>
      </c>
      <c r="X186" s="68"/>
      <c r="Y186" s="65"/>
      <c r="Z186" s="65"/>
      <c r="AA186" s="49" t="str">
        <f t="shared" si="60"/>
        <v/>
      </c>
      <c r="AB186" s="68">
        <f t="shared" si="61"/>
        <v>0</v>
      </c>
      <c r="AC186" s="68">
        <f t="shared" si="62"/>
        <v>0</v>
      </c>
      <c r="AD186" s="68">
        <f t="shared" si="63"/>
        <v>0</v>
      </c>
      <c r="AE186" s="49"/>
      <c r="AF186" s="65"/>
      <c r="AG186" s="50" t="str">
        <f t="shared" si="64"/>
        <v/>
      </c>
      <c r="AH186" s="68">
        <f t="shared" si="65"/>
        <v>0</v>
      </c>
      <c r="AI186" s="68">
        <f t="shared" si="66"/>
        <v>0</v>
      </c>
      <c r="AJ186" s="68">
        <f t="shared" si="67"/>
        <v>0</v>
      </c>
      <c r="AK186" s="50"/>
      <c r="AL186" s="50" t="s">
        <v>138</v>
      </c>
      <c r="AM186" s="50" t="str">
        <f>IF(B186="","",IF(K186="S1",K186,INDEX(#REF!,#REF!)))</f>
        <v/>
      </c>
      <c r="AN186" s="50" t="b">
        <f t="shared" si="68"/>
        <v>0</v>
      </c>
      <c r="AO186" s="49" t="str">
        <f t="shared" si="69"/>
        <v>K5-LAW</v>
      </c>
      <c r="AP186" s="72" t="str">
        <f>_xlfn.IFS(B186="","",AND(AO186="K5-LAW",AL186="นิติศาสตร์",K186="S2",Y186="",AE186=""),R186,AND(AO186="K5-LAW",AL186="นิติศาสตร์",K186="S1",Y186="",AE186=""),EDATE(R186,12),AND(AO186="K5-LAW",AL186="นิติศาสตร์",OR(K186="M2",K186="K4"),Y186="",AE186=""),EDATE(R186,12*2),AND(AO186="K5-LAW",AL186="นิติศาสตร์",OR(AE186="M2",AE186="K4"),AH186&gt;=2,OR(AG186&lt;AA186,AG186&lt;R186)),EDATE(AG186,12*2),AND(AO186="K5-LAW",AL186="นิติศาสตร์",AE186="S1",AH186&gt;=1,OR(AG186&lt;AA186,AG186&lt;R186)),EDATE(AG186,12),AND(AO186="K5-LAW",AL186="นิติศาสตร์",OR(Y186="M2",Y186="K4"),AB186&gt;=2,AA186&lt;R186),EDATE(AA186,12*2),AND(AO186="K5-LAW",AL186="นิติศาสตร์",Y186="S1",AB186&gt;=1,AA186&lt;R186),EDATE(AA186,12),AND(AO186="K5-LAW",AL186="นิติศาสตร์",OR(Y186="S2",Y186="K5")),AA186,AND(AO186="K5-LAW",AL186="นิติศาสตร์",OR(K186="M2",K186="K4"),U186&gt;=2),EDATE(R186,12*2),AND(AO186="K5-LAW",AL186="นิติศาสตร์",K186="S1",U186&gt;=1),EDATE(R186,12),AND(AO186="K5-LAW",AL186="นิติศาสตร์",OR(K186="S2",K186="K5")),R186,AND(AO186="K5-POLICY",AL186&lt;&gt;"นิติศาสตร์",K186="S2",Y186="",AE186=""),R186,AND(AO186="K5-POLICY",AL186&lt;&gt;"นิติศาสตร์",K186="S1",Y186="",AE186=""),EDATE(R186,12),AND(AO186="K5-POLICY",AL186&lt;&gt;"นิติศาสตร์",OR(K186="M2",K186="K4"),Y186="",AE186=""),EDATE(R186,12*2),AND(AO186="K5-POLICY",AL186&lt;&gt;"นิติศาสตร์",OR(AE186="M2",AE186="K4"),AH186&gt;=2,OR(AG186&lt;AA186,AG186&lt;R186)),EDATE(AG186,12*2),AND(AO186="K5-POLICY",AL186&lt;&gt;"นิติศาสตร์",AE186="S1",AH186&gt;=1,OR(AG186&lt;AA186,AG186&lt;R186)),EDATE(AG186,12),AND(AO186="K5-POLICY",AL186&lt;&gt;"นิติศาสตร์",OR(Y186="M2",Y186="K4"),AB186&gt;=2,AA186&lt;R186),EDATE(AA186,12*2),AND(AO186="K5-POLICY",AL186&lt;&gt;"นิติศาสตร์",Y186="S1",AB186&gt;=1,AA186&lt;R186),EDATE(AA186,12),AND(AO186="K5-POLICY",AL186&lt;&gt;"นิติศาสตร์",OR(Y186="S2",Y186="K5")),AA186,AND(AO186="K5-POLICY",AL186&lt;&gt;"นิติศาสตร์",OR(K186="M2",K186="K4"),U186&gt;=2),EDATE(R186,12*2),AND(AO186="K5-POLICY",AL186&lt;&gt;"นิติศาสตร์",K186="S1",U186&gt;=1),EDATE(R186,12),AND(AO186="K5-POLICY",AL186&lt;&gt;"นิติศาสตร์",OR(K186="S2",K186="K5")),R186,TRUE,"Check Data")</f>
        <v/>
      </c>
      <c r="AQ186" s="75" t="str">
        <f t="shared" si="70"/>
        <v>Check Data</v>
      </c>
      <c r="AR186" s="76" t="str">
        <f t="shared" si="71"/>
        <v>Check Data</v>
      </c>
      <c r="AS186" s="50" t="str">
        <f t="shared" si="72"/>
        <v>Check Data</v>
      </c>
      <c r="AT186" s="49" t="str">
        <f>IF(B186="","",IF(K186="S1","S1",INDEX(#REF!,#REF!)))</f>
        <v/>
      </c>
      <c r="AU186" s="49" t="str">
        <f t="shared" si="73"/>
        <v>M2</v>
      </c>
      <c r="AV186" s="50" t="b">
        <f t="shared" si="74"/>
        <v>0</v>
      </c>
      <c r="AW186" s="50"/>
    </row>
    <row r="187" spans="1:49" ht="21.75">
      <c r="A187" s="49">
        <v>185</v>
      </c>
      <c r="B187" s="50"/>
      <c r="C187" s="50"/>
      <c r="D187" s="50" t="s">
        <v>34</v>
      </c>
      <c r="E187" s="49" t="s">
        <v>206</v>
      </c>
      <c r="F187" s="49" t="str">
        <f t="shared" si="50"/>
        <v>25/12/2001</v>
      </c>
      <c r="G187" s="50">
        <f t="shared" si="51"/>
        <v>23</v>
      </c>
      <c r="H187" s="50">
        <f t="shared" si="52"/>
        <v>5</v>
      </c>
      <c r="I187" s="50">
        <f t="shared" si="53"/>
        <v>26</v>
      </c>
      <c r="J187" s="78"/>
      <c r="K187" s="49" t="s">
        <v>136</v>
      </c>
      <c r="L187" s="49" t="str">
        <f>IF(B187="","",IF(K187="S1",K187,INDEX(#REF!,#REF!)))</f>
        <v/>
      </c>
      <c r="M187" s="49" t="b">
        <f t="shared" si="54"/>
        <v>0</v>
      </c>
      <c r="N187" s="64"/>
      <c r="O187" s="49" t="s">
        <v>426</v>
      </c>
      <c r="P187" s="49">
        <v>2577</v>
      </c>
      <c r="Q187" s="65" t="s">
        <v>207</v>
      </c>
      <c r="R187" s="49" t="str">
        <f t="shared" si="55"/>
        <v>09/06/2023</v>
      </c>
      <c r="S187" s="49" t="str">
        <f>IF(B187="","",IF(K187="S1",K187,INDEX(#REF!,#REF!)))</f>
        <v/>
      </c>
      <c r="T187" s="49" t="b">
        <f t="shared" si="56"/>
        <v>0</v>
      </c>
      <c r="U187" s="68">
        <f t="shared" si="57"/>
        <v>2</v>
      </c>
      <c r="V187" s="68">
        <f t="shared" si="58"/>
        <v>0</v>
      </c>
      <c r="W187" s="68">
        <f t="shared" si="59"/>
        <v>11</v>
      </c>
      <c r="X187" s="68"/>
      <c r="Y187" s="65"/>
      <c r="Z187" s="65"/>
      <c r="AA187" s="49" t="str">
        <f t="shared" si="60"/>
        <v/>
      </c>
      <c r="AB187" s="68">
        <f t="shared" si="61"/>
        <v>0</v>
      </c>
      <c r="AC187" s="68">
        <f t="shared" si="62"/>
        <v>0</v>
      </c>
      <c r="AD187" s="68">
        <f t="shared" si="63"/>
        <v>0</v>
      </c>
      <c r="AE187" s="49"/>
      <c r="AF187" s="65"/>
      <c r="AG187" s="50" t="str">
        <f t="shared" si="64"/>
        <v/>
      </c>
      <c r="AH187" s="68">
        <f t="shared" si="65"/>
        <v>0</v>
      </c>
      <c r="AI187" s="68">
        <f t="shared" si="66"/>
        <v>0</v>
      </c>
      <c r="AJ187" s="68">
        <f t="shared" si="67"/>
        <v>0</v>
      </c>
      <c r="AK187" s="50"/>
      <c r="AL187" s="50" t="s">
        <v>173</v>
      </c>
      <c r="AM187" s="50" t="str">
        <f>IF(B187="","",IF(K187="S1",K187,INDEX(#REF!,#REF!)))</f>
        <v/>
      </c>
      <c r="AN187" s="50" t="b">
        <f t="shared" si="68"/>
        <v>0</v>
      </c>
      <c r="AO187" s="49" t="str">
        <f t="shared" si="69"/>
        <v>K5-POLICY</v>
      </c>
      <c r="AP187" s="72" t="str">
        <f>_xlfn.IFS(B187="","",AND(AO187="K5-LAW",AL187="นิติศาสตร์",K187="S2",Y187="",AE187=""),R187,AND(AO187="K5-LAW",AL187="นิติศาสตร์",K187="S1",Y187="",AE187=""),EDATE(R187,12),AND(AO187="K5-LAW",AL187="นิติศาสตร์",OR(K187="M2",K187="K4"),Y187="",AE187=""),EDATE(R187,12*2),AND(AO187="K5-LAW",AL187="นิติศาสตร์",OR(AE187="M2",AE187="K4"),AH187&gt;=2,OR(AG187&lt;AA187,AG187&lt;R187)),EDATE(AG187,12*2),AND(AO187="K5-LAW",AL187="นิติศาสตร์",AE187="S1",AH187&gt;=1,OR(AG187&lt;AA187,AG187&lt;R187)),EDATE(AG187,12),AND(AO187="K5-LAW",AL187="นิติศาสตร์",OR(Y187="M2",Y187="K4"),AB187&gt;=2,AA187&lt;R187),EDATE(AA187,12*2),AND(AO187="K5-LAW",AL187="นิติศาสตร์",Y187="S1",AB187&gt;=1,AA187&lt;R187),EDATE(AA187,12),AND(AO187="K5-LAW",AL187="นิติศาสตร์",OR(Y187="S2",Y187="K5")),AA187,AND(AO187="K5-LAW",AL187="นิติศาสตร์",OR(K187="M2",K187="K4"),U187&gt;=2),EDATE(R187,12*2),AND(AO187="K5-LAW",AL187="นิติศาสตร์",K187="S1",U187&gt;=1),EDATE(R187,12),AND(AO187="K5-LAW",AL187="นิติศาสตร์",OR(K187="S2",K187="K5")),R187,AND(AO187="K5-POLICY",AL187&lt;&gt;"นิติศาสตร์",K187="S2",Y187="",AE187=""),R187,AND(AO187="K5-POLICY",AL187&lt;&gt;"นิติศาสตร์",K187="S1",Y187="",AE187=""),EDATE(R187,12),AND(AO187="K5-POLICY",AL187&lt;&gt;"นิติศาสตร์",OR(K187="M2",K187="K4"),Y187="",AE187=""),EDATE(R187,12*2),AND(AO187="K5-POLICY",AL187&lt;&gt;"นิติศาสตร์",OR(AE187="M2",AE187="K4"),AH187&gt;=2,OR(AG187&lt;AA187,AG187&lt;R187)),EDATE(AG187,12*2),AND(AO187="K5-POLICY",AL187&lt;&gt;"นิติศาสตร์",AE187="S1",AH187&gt;=1,OR(AG187&lt;AA187,AG187&lt;R187)),EDATE(AG187,12),AND(AO187="K5-POLICY",AL187&lt;&gt;"นิติศาสตร์",OR(Y187="M2",Y187="K4"),AB187&gt;=2,AA187&lt;R187),EDATE(AA187,12*2),AND(AO187="K5-POLICY",AL187&lt;&gt;"นิติศาสตร์",Y187="S1",AB187&gt;=1,AA187&lt;R187),EDATE(AA187,12),AND(AO187="K5-POLICY",AL187&lt;&gt;"นิติศาสตร์",OR(Y187="S2",Y187="K5")),AA187,AND(AO187="K5-POLICY",AL187&lt;&gt;"นิติศาสตร์",OR(K187="M2",K187="K4"),U187&gt;=2),EDATE(R187,12*2),AND(AO187="K5-POLICY",AL187&lt;&gt;"นิติศาสตร์",K187="S1",U187&gt;=1),EDATE(R187,12),AND(AO187="K5-POLICY",AL187&lt;&gt;"นิติศาสตร์",OR(K187="S2",K187="K5")),R187,TRUE,"Check Data")</f>
        <v/>
      </c>
      <c r="AQ187" s="75" t="str">
        <f t="shared" si="70"/>
        <v>Check Data</v>
      </c>
      <c r="AR187" s="76" t="str">
        <f t="shared" si="71"/>
        <v>Check Data</v>
      </c>
      <c r="AS187" s="50" t="str">
        <f t="shared" si="72"/>
        <v>Check Data</v>
      </c>
      <c r="AT187" s="49" t="str">
        <f>IF(B187="","",IF(K187="S1","S1",INDEX(#REF!,#REF!)))</f>
        <v/>
      </c>
      <c r="AU187" s="49" t="str">
        <f t="shared" si="73"/>
        <v>M2</v>
      </c>
      <c r="AV187" s="50" t="b">
        <f t="shared" si="74"/>
        <v>0</v>
      </c>
      <c r="AW187" s="50"/>
    </row>
    <row r="188" spans="1:49" ht="21.75">
      <c r="A188" s="49">
        <v>186</v>
      </c>
      <c r="B188" s="50"/>
      <c r="C188" s="50"/>
      <c r="D188" s="50" t="s">
        <v>143</v>
      </c>
      <c r="E188" s="49" t="s">
        <v>298</v>
      </c>
      <c r="F188" s="49" t="str">
        <f t="shared" si="50"/>
        <v>18/10/2004</v>
      </c>
      <c r="G188" s="50">
        <f t="shared" si="51"/>
        <v>20</v>
      </c>
      <c r="H188" s="50">
        <f t="shared" si="52"/>
        <v>8</v>
      </c>
      <c r="I188" s="50">
        <f t="shared" si="53"/>
        <v>2</v>
      </c>
      <c r="J188" s="58"/>
      <c r="K188" s="49" t="s">
        <v>136</v>
      </c>
      <c r="L188" s="49" t="str">
        <f>IF(B188="","",IF(K188="S1",K188,INDEX(#REF!,#REF!)))</f>
        <v/>
      </c>
      <c r="M188" s="49" t="b">
        <f t="shared" si="54"/>
        <v>0</v>
      </c>
      <c r="N188" s="64"/>
      <c r="O188" s="49" t="s">
        <v>426</v>
      </c>
      <c r="P188" s="49">
        <v>2582</v>
      </c>
      <c r="Q188" s="65" t="s">
        <v>207</v>
      </c>
      <c r="R188" s="49" t="str">
        <f t="shared" si="55"/>
        <v>09/06/2023</v>
      </c>
      <c r="S188" s="49" t="str">
        <f>IF(B188="","",IF(K188="S1",K188,INDEX(#REF!,#REF!)))</f>
        <v/>
      </c>
      <c r="T188" s="49" t="b">
        <f t="shared" si="56"/>
        <v>0</v>
      </c>
      <c r="U188" s="68">
        <f t="shared" si="57"/>
        <v>2</v>
      </c>
      <c r="V188" s="68">
        <f t="shared" si="58"/>
        <v>0</v>
      </c>
      <c r="W188" s="68">
        <f t="shared" si="59"/>
        <v>11</v>
      </c>
      <c r="X188" s="68"/>
      <c r="Y188" s="65"/>
      <c r="Z188" s="65"/>
      <c r="AA188" s="49" t="str">
        <f t="shared" si="60"/>
        <v/>
      </c>
      <c r="AB188" s="68">
        <f t="shared" si="61"/>
        <v>0</v>
      </c>
      <c r="AC188" s="68">
        <f t="shared" si="62"/>
        <v>0</v>
      </c>
      <c r="AD188" s="68">
        <f t="shared" si="63"/>
        <v>0</v>
      </c>
      <c r="AE188" s="49"/>
      <c r="AF188" s="65"/>
      <c r="AG188" s="50" t="str">
        <f t="shared" si="64"/>
        <v/>
      </c>
      <c r="AH188" s="68">
        <f t="shared" si="65"/>
        <v>0</v>
      </c>
      <c r="AI188" s="68">
        <f t="shared" si="66"/>
        <v>0</v>
      </c>
      <c r="AJ188" s="68">
        <f t="shared" si="67"/>
        <v>0</v>
      </c>
      <c r="AK188" s="50"/>
      <c r="AL188" s="50" t="s">
        <v>482</v>
      </c>
      <c r="AM188" s="50" t="str">
        <f>IF(B188="","",IF(K188="S1",K188,INDEX(#REF!,#REF!)))</f>
        <v/>
      </c>
      <c r="AN188" s="50" t="b">
        <f t="shared" si="68"/>
        <v>0</v>
      </c>
      <c r="AO188" s="49" t="str">
        <f t="shared" si="69"/>
        <v>K5-POLICY</v>
      </c>
      <c r="AP188" s="72" t="str">
        <f>_xlfn.IFS(B188="","",AND(AO188="K5-LAW",AL188="นิติศาสตร์",K188="S2",Y188="",AE188=""),R188,AND(AO188="K5-LAW",AL188="นิติศาสตร์",K188="S1",Y188="",AE188=""),EDATE(R188,12),AND(AO188="K5-LAW",AL188="นิติศาสตร์",OR(K188="M2",K188="K4"),Y188="",AE188=""),EDATE(R188,12*2),AND(AO188="K5-LAW",AL188="นิติศาสตร์",OR(AE188="M2",AE188="K4"),AH188&gt;=2,OR(AG188&lt;AA188,AG188&lt;R188)),EDATE(AG188,12*2),AND(AO188="K5-LAW",AL188="นิติศาสตร์",AE188="S1",AH188&gt;=1,OR(AG188&lt;AA188,AG188&lt;R188)),EDATE(AG188,12),AND(AO188="K5-LAW",AL188="นิติศาสตร์",OR(Y188="M2",Y188="K4"),AB188&gt;=2,AA188&lt;R188),EDATE(AA188,12*2),AND(AO188="K5-LAW",AL188="นิติศาสตร์",Y188="S1",AB188&gt;=1,AA188&lt;R188),EDATE(AA188,12),AND(AO188="K5-LAW",AL188="นิติศาสตร์",OR(Y188="S2",Y188="K5")),AA188,AND(AO188="K5-LAW",AL188="นิติศาสตร์",OR(K188="M2",K188="K4"),U188&gt;=2),EDATE(R188,12*2),AND(AO188="K5-LAW",AL188="นิติศาสตร์",K188="S1",U188&gt;=1),EDATE(R188,12),AND(AO188="K5-LAW",AL188="นิติศาสตร์",OR(K188="S2",K188="K5")),R188,AND(AO188="K5-POLICY",AL188&lt;&gt;"นิติศาสตร์",K188="S2",Y188="",AE188=""),R188,AND(AO188="K5-POLICY",AL188&lt;&gt;"นิติศาสตร์",K188="S1",Y188="",AE188=""),EDATE(R188,12),AND(AO188="K5-POLICY",AL188&lt;&gt;"นิติศาสตร์",OR(K188="M2",K188="K4"),Y188="",AE188=""),EDATE(R188,12*2),AND(AO188="K5-POLICY",AL188&lt;&gt;"นิติศาสตร์",OR(AE188="M2",AE188="K4"),AH188&gt;=2,OR(AG188&lt;AA188,AG188&lt;R188)),EDATE(AG188,12*2),AND(AO188="K5-POLICY",AL188&lt;&gt;"นิติศาสตร์",AE188="S1",AH188&gt;=1,OR(AG188&lt;AA188,AG188&lt;R188)),EDATE(AG188,12),AND(AO188="K5-POLICY",AL188&lt;&gt;"นิติศาสตร์",OR(Y188="M2",Y188="K4"),AB188&gt;=2,AA188&lt;R188),EDATE(AA188,12*2),AND(AO188="K5-POLICY",AL188&lt;&gt;"นิติศาสตร์",Y188="S1",AB188&gt;=1,AA188&lt;R188),EDATE(AA188,12),AND(AO188="K5-POLICY",AL188&lt;&gt;"นิติศาสตร์",OR(Y188="S2",Y188="K5")),AA188,AND(AO188="K5-POLICY",AL188&lt;&gt;"นิติศาสตร์",OR(K188="M2",K188="K4"),U188&gt;=2),EDATE(R188,12*2),AND(AO188="K5-POLICY",AL188&lt;&gt;"นิติศาสตร์",K188="S1",U188&gt;=1),EDATE(R188,12),AND(AO188="K5-POLICY",AL188&lt;&gt;"นิติศาสตร์",OR(K188="S2",K188="K5")),R188,TRUE,"Check Data")</f>
        <v/>
      </c>
      <c r="AQ188" s="75" t="str">
        <f t="shared" si="70"/>
        <v>Check Data</v>
      </c>
      <c r="AR188" s="76" t="str">
        <f t="shared" si="71"/>
        <v>Check Data</v>
      </c>
      <c r="AS188" s="50" t="str">
        <f t="shared" si="72"/>
        <v>Check Data</v>
      </c>
      <c r="AT188" s="49" t="str">
        <f>IF(B188="","",IF(K188="S1","S1",INDEX(#REF!,#REF!)))</f>
        <v/>
      </c>
      <c r="AU188" s="49" t="str">
        <f t="shared" si="73"/>
        <v>M2</v>
      </c>
      <c r="AV188" s="50" t="b">
        <f t="shared" si="74"/>
        <v>0</v>
      </c>
      <c r="AW188" s="50"/>
    </row>
    <row r="189" spans="1:49" ht="21.75">
      <c r="A189" s="49">
        <v>187</v>
      </c>
      <c r="B189" s="50"/>
      <c r="C189" s="50"/>
      <c r="D189" s="50" t="s">
        <v>144</v>
      </c>
      <c r="E189" s="49" t="s">
        <v>190</v>
      </c>
      <c r="F189" s="49" t="str">
        <f t="shared" si="50"/>
        <v>16/03/1987</v>
      </c>
      <c r="G189" s="50">
        <f t="shared" si="51"/>
        <v>38</v>
      </c>
      <c r="H189" s="50">
        <f t="shared" si="52"/>
        <v>3</v>
      </c>
      <c r="I189" s="50">
        <f t="shared" si="53"/>
        <v>4</v>
      </c>
      <c r="J189" s="50"/>
      <c r="K189" s="49" t="s">
        <v>136</v>
      </c>
      <c r="L189" s="49" t="str">
        <f>IF(B189="","",IF(K189="S1",K189,INDEX(#REF!,#REF!)))</f>
        <v/>
      </c>
      <c r="M189" s="49" t="b">
        <f t="shared" si="54"/>
        <v>0</v>
      </c>
      <c r="N189" s="64"/>
      <c r="O189" s="49"/>
      <c r="P189" s="49"/>
      <c r="Q189" s="65" t="s">
        <v>207</v>
      </c>
      <c r="R189" s="49" t="str">
        <f t="shared" si="55"/>
        <v>09/06/2023</v>
      </c>
      <c r="S189" s="49" t="str">
        <f>IF(B189="","",IF(K189="S1",K189,INDEX(#REF!,#REF!)))</f>
        <v/>
      </c>
      <c r="T189" s="49" t="b">
        <f t="shared" si="56"/>
        <v>0</v>
      </c>
      <c r="U189" s="68">
        <f t="shared" si="57"/>
        <v>2</v>
      </c>
      <c r="V189" s="68">
        <f t="shared" si="58"/>
        <v>0</v>
      </c>
      <c r="W189" s="68">
        <f t="shared" si="59"/>
        <v>11</v>
      </c>
      <c r="X189" s="68"/>
      <c r="Y189" s="65" t="s">
        <v>137</v>
      </c>
      <c r="Z189" s="65" t="s">
        <v>276</v>
      </c>
      <c r="AA189" s="49" t="str">
        <f t="shared" si="60"/>
        <v>03/12/2021</v>
      </c>
      <c r="AB189" s="68">
        <f t="shared" si="61"/>
        <v>1</v>
      </c>
      <c r="AC189" s="68">
        <f t="shared" si="62"/>
        <v>6</v>
      </c>
      <c r="AD189" s="68">
        <f t="shared" si="63"/>
        <v>6</v>
      </c>
      <c r="AE189" s="49"/>
      <c r="AF189" s="65"/>
      <c r="AG189" s="50" t="str">
        <f t="shared" si="64"/>
        <v/>
      </c>
      <c r="AH189" s="68">
        <f t="shared" si="65"/>
        <v>0</v>
      </c>
      <c r="AI189" s="68">
        <f t="shared" si="66"/>
        <v>0</v>
      </c>
      <c r="AJ189" s="68">
        <f t="shared" si="67"/>
        <v>0</v>
      </c>
      <c r="AK189" s="50"/>
      <c r="AL189" s="50" t="s">
        <v>486</v>
      </c>
      <c r="AM189" s="50" t="str">
        <f>IF(B189="","",IF(K189="S1",K189,INDEX(#REF!,#REF!)))</f>
        <v/>
      </c>
      <c r="AN189" s="50" t="b">
        <f t="shared" si="68"/>
        <v>0</v>
      </c>
      <c r="AO189" s="49" t="str">
        <f t="shared" si="69"/>
        <v>K5-POLICY</v>
      </c>
      <c r="AP189" s="72" t="str">
        <f>_xlfn.IFS(B189="","",AND(AO189="K5-LAW",AL189="นิติศาสตร์",K189="S2",Y189="",AE189=""),R189,AND(AO189="K5-LAW",AL189="นิติศาสตร์",K189="S1",Y189="",AE189=""),EDATE(R189,12),AND(AO189="K5-LAW",AL189="นิติศาสตร์",OR(K189="M2",K189="K4"),Y189="",AE189=""),EDATE(R189,12*2),AND(AO189="K5-LAW",AL189="นิติศาสตร์",OR(AE189="M2",AE189="K4"),AH189&gt;=2,OR(AG189&lt;AA189,AG189&lt;R189)),EDATE(AG189,12*2),AND(AO189="K5-LAW",AL189="นิติศาสตร์",AE189="S1",AH189&gt;=1,OR(AG189&lt;AA189,AG189&lt;R189)),EDATE(AG189,12),AND(AO189="K5-LAW",AL189="นิติศาสตร์",OR(Y189="M2",Y189="K4"),AB189&gt;=2,AA189&lt;R189),EDATE(AA189,12*2),AND(AO189="K5-LAW",AL189="นิติศาสตร์",Y189="S1",AB189&gt;=1,AA189&lt;R189),EDATE(AA189,12),AND(AO189="K5-LAW",AL189="นิติศาสตร์",OR(Y189="S2",Y189="K5")),AA189,AND(AO189="K5-LAW",AL189="นิติศาสตร์",OR(K189="M2",K189="K4"),U189&gt;=2),EDATE(R189,12*2),AND(AO189="K5-LAW",AL189="นิติศาสตร์",K189="S1",U189&gt;=1),EDATE(R189,12),AND(AO189="K5-LAW",AL189="นิติศาสตร์",OR(K189="S2",K189="K5")),R189,AND(AO189="K5-POLICY",AL189&lt;&gt;"นิติศาสตร์",K189="S2",Y189="",AE189=""),R189,AND(AO189="K5-POLICY",AL189&lt;&gt;"นิติศาสตร์",K189="S1",Y189="",AE189=""),EDATE(R189,12),AND(AO189="K5-POLICY",AL189&lt;&gt;"นิติศาสตร์",OR(K189="M2",K189="K4"),Y189="",AE189=""),EDATE(R189,12*2),AND(AO189="K5-POLICY",AL189&lt;&gt;"นิติศาสตร์",OR(AE189="M2",AE189="K4"),AH189&gt;=2,OR(AG189&lt;AA189,AG189&lt;R189)),EDATE(AG189,12*2),AND(AO189="K5-POLICY",AL189&lt;&gt;"นิติศาสตร์",AE189="S1",AH189&gt;=1,OR(AG189&lt;AA189,AG189&lt;R189)),EDATE(AG189,12),AND(AO189="K5-POLICY",AL189&lt;&gt;"นิติศาสตร์",OR(Y189="M2",Y189="K4"),AB189&gt;=2,AA189&lt;R189),EDATE(AA189,12*2),AND(AO189="K5-POLICY",AL189&lt;&gt;"นิติศาสตร์",Y189="S1",AB189&gt;=1,AA189&lt;R189),EDATE(AA189,12),AND(AO189="K5-POLICY",AL189&lt;&gt;"นิติศาสตร์",OR(Y189="S2",Y189="K5")),AA189,AND(AO189="K5-POLICY",AL189&lt;&gt;"นิติศาสตร์",OR(K189="M2",K189="K4"),U189&gt;=2),EDATE(R189,12*2),AND(AO189="K5-POLICY",AL189&lt;&gt;"นิติศาสตร์",K189="S1",U189&gt;=1),EDATE(R189,12),AND(AO189="K5-POLICY",AL189&lt;&gt;"นิติศาสตร์",OR(K189="S2",K189="K5")),R189,TRUE,"Check Data")</f>
        <v/>
      </c>
      <c r="AQ189" s="75" t="str">
        <f t="shared" si="70"/>
        <v>Check Data</v>
      </c>
      <c r="AR189" s="76" t="str">
        <f t="shared" si="71"/>
        <v>Check Data</v>
      </c>
      <c r="AS189" s="50" t="str">
        <f t="shared" si="72"/>
        <v>Check Data</v>
      </c>
      <c r="AT189" s="49" t="str">
        <f>IF(B189="","",IF(K189="S1","S1",INDEX(#REF!,#REF!)))</f>
        <v/>
      </c>
      <c r="AU189" s="49" t="str">
        <f t="shared" si="73"/>
        <v>M2</v>
      </c>
      <c r="AV189" s="50" t="b">
        <f t="shared" si="74"/>
        <v>0</v>
      </c>
      <c r="AW189" s="50"/>
    </row>
    <row r="190" spans="1:49" ht="21.75">
      <c r="A190" s="49">
        <v>188</v>
      </c>
      <c r="B190" s="50"/>
      <c r="C190" s="50"/>
      <c r="D190" s="50" t="s">
        <v>144</v>
      </c>
      <c r="E190" s="49" t="s">
        <v>523</v>
      </c>
      <c r="F190" s="49" t="str">
        <f t="shared" si="50"/>
        <v>08/09/2000</v>
      </c>
      <c r="G190" s="50">
        <f t="shared" si="51"/>
        <v>24</v>
      </c>
      <c r="H190" s="50">
        <f t="shared" si="52"/>
        <v>9</v>
      </c>
      <c r="I190" s="50">
        <f t="shared" si="53"/>
        <v>12</v>
      </c>
      <c r="J190" s="57"/>
      <c r="K190" s="49" t="s">
        <v>136</v>
      </c>
      <c r="L190" s="49" t="str">
        <f>IF(B190="","",IF(K190="S1",K190,INDEX(#REF!,#REF!)))</f>
        <v/>
      </c>
      <c r="M190" s="49" t="b">
        <f t="shared" si="54"/>
        <v>0</v>
      </c>
      <c r="N190" s="64"/>
      <c r="O190" s="49" t="s">
        <v>426</v>
      </c>
      <c r="P190" s="49">
        <v>2580</v>
      </c>
      <c r="Q190" s="65" t="s">
        <v>373</v>
      </c>
      <c r="R190" s="49" t="str">
        <f t="shared" si="55"/>
        <v>21/07/2023</v>
      </c>
      <c r="S190" s="49" t="str">
        <f>IF(B190="","",IF(K190="S1",K190,INDEX(#REF!,#REF!)))</f>
        <v/>
      </c>
      <c r="T190" s="49" t="b">
        <f t="shared" si="56"/>
        <v>0</v>
      </c>
      <c r="U190" s="68">
        <f t="shared" si="57"/>
        <v>1</v>
      </c>
      <c r="V190" s="68">
        <f t="shared" si="58"/>
        <v>10</v>
      </c>
      <c r="W190" s="68">
        <f t="shared" si="59"/>
        <v>30</v>
      </c>
      <c r="X190" s="68"/>
      <c r="Y190" s="65"/>
      <c r="Z190" s="65"/>
      <c r="AA190" s="49" t="str">
        <f t="shared" si="60"/>
        <v/>
      </c>
      <c r="AB190" s="68">
        <f t="shared" si="61"/>
        <v>0</v>
      </c>
      <c r="AC190" s="68">
        <f t="shared" si="62"/>
        <v>0</v>
      </c>
      <c r="AD190" s="68">
        <f t="shared" si="63"/>
        <v>0</v>
      </c>
      <c r="AE190" s="49"/>
      <c r="AF190" s="65"/>
      <c r="AG190" s="50" t="str">
        <f t="shared" si="64"/>
        <v/>
      </c>
      <c r="AH190" s="68">
        <f t="shared" si="65"/>
        <v>0</v>
      </c>
      <c r="AI190" s="68">
        <f t="shared" si="66"/>
        <v>0</v>
      </c>
      <c r="AJ190" s="68">
        <f t="shared" si="67"/>
        <v>0</v>
      </c>
      <c r="AK190" s="50"/>
      <c r="AL190" s="50" t="s">
        <v>138</v>
      </c>
      <c r="AM190" s="50" t="str">
        <f>IF(B190="","",IF(K190="S1",K190,INDEX(#REF!,#REF!)))</f>
        <v/>
      </c>
      <c r="AN190" s="50" t="b">
        <f t="shared" si="68"/>
        <v>0</v>
      </c>
      <c r="AO190" s="49" t="str">
        <f t="shared" si="69"/>
        <v>K5-LAW</v>
      </c>
      <c r="AP190" s="72" t="str">
        <f>_xlfn.IFS(B190="","",AND(AO190="K5-LAW",AL190="นิติศาสตร์",K190="S2",Y190="",AE190=""),R190,AND(AO190="K5-LAW",AL190="นิติศาสตร์",K190="S1",Y190="",AE190=""),EDATE(R190,12),AND(AO190="K5-LAW",AL190="นิติศาสตร์",OR(K190="M2",K190="K4"),Y190="",AE190=""),EDATE(R190,12*2),AND(AO190="K5-LAW",AL190="นิติศาสตร์",OR(AE190="M2",AE190="K4"),AH190&gt;=2,OR(AG190&lt;AA190,AG190&lt;R190)),EDATE(AG190,12*2),AND(AO190="K5-LAW",AL190="นิติศาสตร์",AE190="S1",AH190&gt;=1,OR(AG190&lt;AA190,AG190&lt;R190)),EDATE(AG190,12),AND(AO190="K5-LAW",AL190="นิติศาสตร์",OR(Y190="M2",Y190="K4"),AB190&gt;=2,AA190&lt;R190),EDATE(AA190,12*2),AND(AO190="K5-LAW",AL190="นิติศาสตร์",Y190="S1",AB190&gt;=1,AA190&lt;R190),EDATE(AA190,12),AND(AO190="K5-LAW",AL190="นิติศาสตร์",OR(Y190="S2",Y190="K5")),AA190,AND(AO190="K5-LAW",AL190="นิติศาสตร์",OR(K190="M2",K190="K4"),U190&gt;=2),EDATE(R190,12*2),AND(AO190="K5-LAW",AL190="นิติศาสตร์",K190="S1",U190&gt;=1),EDATE(R190,12),AND(AO190="K5-LAW",AL190="นิติศาสตร์",OR(K190="S2",K190="K5")),R190,AND(AO190="K5-POLICY",AL190&lt;&gt;"นิติศาสตร์",K190="S2",Y190="",AE190=""),R190,AND(AO190="K5-POLICY",AL190&lt;&gt;"นิติศาสตร์",K190="S1",Y190="",AE190=""),EDATE(R190,12),AND(AO190="K5-POLICY",AL190&lt;&gt;"นิติศาสตร์",OR(K190="M2",K190="K4"),Y190="",AE190=""),EDATE(R190,12*2),AND(AO190="K5-POLICY",AL190&lt;&gt;"นิติศาสตร์",OR(AE190="M2",AE190="K4"),AH190&gt;=2,OR(AG190&lt;AA190,AG190&lt;R190)),EDATE(AG190,12*2),AND(AO190="K5-POLICY",AL190&lt;&gt;"นิติศาสตร์",AE190="S1",AH190&gt;=1,OR(AG190&lt;AA190,AG190&lt;R190)),EDATE(AG190,12),AND(AO190="K5-POLICY",AL190&lt;&gt;"นิติศาสตร์",OR(Y190="M2",Y190="K4"),AB190&gt;=2,AA190&lt;R190),EDATE(AA190,12*2),AND(AO190="K5-POLICY",AL190&lt;&gt;"นิติศาสตร์",Y190="S1",AB190&gt;=1,AA190&lt;R190),EDATE(AA190,12),AND(AO190="K5-POLICY",AL190&lt;&gt;"นิติศาสตร์",OR(Y190="S2",Y190="K5")),AA190,AND(AO190="K5-POLICY",AL190&lt;&gt;"นิติศาสตร์",OR(K190="M2",K190="K4"),U190&gt;=2),EDATE(R190,12*2),AND(AO190="K5-POLICY",AL190&lt;&gt;"นิติศาสตร์",K190="S1",U190&gt;=1),EDATE(R190,12),AND(AO190="K5-POLICY",AL190&lt;&gt;"นิติศาสตร์",OR(K190="S2",K190="K5")),R190,TRUE,"Check Data")</f>
        <v/>
      </c>
      <c r="AQ190" s="75" t="str">
        <f t="shared" si="70"/>
        <v>Check Data</v>
      </c>
      <c r="AR190" s="76" t="str">
        <f t="shared" si="71"/>
        <v>Check Data</v>
      </c>
      <c r="AS190" s="50" t="str">
        <f t="shared" si="72"/>
        <v>Check Data</v>
      </c>
      <c r="AT190" s="49" t="str">
        <f>IF(B190="","",IF(K190="S1","S1",INDEX(#REF!,#REF!)))</f>
        <v/>
      </c>
      <c r="AU190" s="49" t="str">
        <f t="shared" si="73"/>
        <v>M2</v>
      </c>
      <c r="AV190" s="50" t="b">
        <f t="shared" si="74"/>
        <v>0</v>
      </c>
      <c r="AW190" s="50"/>
    </row>
    <row r="191" spans="1:49" ht="21.75">
      <c r="A191" s="49">
        <v>189</v>
      </c>
      <c r="B191" s="50"/>
      <c r="C191" s="50"/>
      <c r="D191" s="50" t="s">
        <v>144</v>
      </c>
      <c r="E191" s="49" t="s">
        <v>372</v>
      </c>
      <c r="F191" s="49" t="str">
        <f t="shared" si="50"/>
        <v>26/12/1991</v>
      </c>
      <c r="G191" s="50">
        <f t="shared" si="51"/>
        <v>33</v>
      </c>
      <c r="H191" s="50">
        <f t="shared" si="52"/>
        <v>5</v>
      </c>
      <c r="I191" s="50">
        <f t="shared" si="53"/>
        <v>25</v>
      </c>
      <c r="J191" s="57"/>
      <c r="K191" s="49" t="s">
        <v>136</v>
      </c>
      <c r="L191" s="49" t="str">
        <f>IF(B191="","",IF(K191="S1",K191,INDEX(#REF!,#REF!)))</f>
        <v/>
      </c>
      <c r="M191" s="49" t="b">
        <f t="shared" si="54"/>
        <v>0</v>
      </c>
      <c r="N191" s="64"/>
      <c r="O191" s="49" t="s">
        <v>426</v>
      </c>
      <c r="P191" s="49">
        <v>2577</v>
      </c>
      <c r="Q191" s="65" t="s">
        <v>373</v>
      </c>
      <c r="R191" s="49" t="str">
        <f t="shared" si="55"/>
        <v>21/07/2023</v>
      </c>
      <c r="S191" s="49" t="str">
        <f>IF(B191="","",IF(K191="S1",K191,INDEX(#REF!,#REF!)))</f>
        <v/>
      </c>
      <c r="T191" s="49" t="b">
        <f t="shared" si="56"/>
        <v>0</v>
      </c>
      <c r="U191" s="68">
        <f t="shared" si="57"/>
        <v>1</v>
      </c>
      <c r="V191" s="68">
        <f t="shared" si="58"/>
        <v>10</v>
      </c>
      <c r="W191" s="68">
        <f t="shared" si="59"/>
        <v>30</v>
      </c>
      <c r="X191" s="68"/>
      <c r="Y191" s="65"/>
      <c r="Z191" s="65"/>
      <c r="AA191" s="49" t="str">
        <f t="shared" si="60"/>
        <v/>
      </c>
      <c r="AB191" s="68">
        <f t="shared" si="61"/>
        <v>0</v>
      </c>
      <c r="AC191" s="68">
        <f t="shared" si="62"/>
        <v>0</v>
      </c>
      <c r="AD191" s="68">
        <f t="shared" si="63"/>
        <v>0</v>
      </c>
      <c r="AE191" s="49"/>
      <c r="AF191" s="65"/>
      <c r="AG191" s="50" t="str">
        <f t="shared" si="64"/>
        <v/>
      </c>
      <c r="AH191" s="68">
        <f t="shared" si="65"/>
        <v>0</v>
      </c>
      <c r="AI191" s="68">
        <f t="shared" si="66"/>
        <v>0</v>
      </c>
      <c r="AJ191" s="68">
        <f t="shared" si="67"/>
        <v>0</v>
      </c>
      <c r="AK191" s="50"/>
      <c r="AL191" s="50" t="s">
        <v>163</v>
      </c>
      <c r="AM191" s="50" t="str">
        <f>IF(B191="","",IF(K191="S1",K191,INDEX(#REF!,#REF!)))</f>
        <v/>
      </c>
      <c r="AN191" s="50" t="b">
        <f t="shared" si="68"/>
        <v>0</v>
      </c>
      <c r="AO191" s="49" t="str">
        <f t="shared" si="69"/>
        <v>K5-POLICY</v>
      </c>
      <c r="AP191" s="72" t="str">
        <f>_xlfn.IFS(B191="","",AND(AO191="K5-LAW",AL191="นิติศาสตร์",K191="S2",Y191="",AE191=""),R191,AND(AO191="K5-LAW",AL191="นิติศาสตร์",K191="S1",Y191="",AE191=""),EDATE(R191,12),AND(AO191="K5-LAW",AL191="นิติศาสตร์",OR(K191="M2",K191="K4"),Y191="",AE191=""),EDATE(R191,12*2),AND(AO191="K5-LAW",AL191="นิติศาสตร์",OR(AE191="M2",AE191="K4"),AH191&gt;=2,OR(AG191&lt;AA191,AG191&lt;R191)),EDATE(AG191,12*2),AND(AO191="K5-LAW",AL191="นิติศาสตร์",AE191="S1",AH191&gt;=1,OR(AG191&lt;AA191,AG191&lt;R191)),EDATE(AG191,12),AND(AO191="K5-LAW",AL191="นิติศาสตร์",OR(Y191="M2",Y191="K4"),AB191&gt;=2,AA191&lt;R191),EDATE(AA191,12*2),AND(AO191="K5-LAW",AL191="นิติศาสตร์",Y191="S1",AB191&gt;=1,AA191&lt;R191),EDATE(AA191,12),AND(AO191="K5-LAW",AL191="นิติศาสตร์",OR(Y191="S2",Y191="K5")),AA191,AND(AO191="K5-LAW",AL191="นิติศาสตร์",OR(K191="M2",K191="K4"),U191&gt;=2),EDATE(R191,12*2),AND(AO191="K5-LAW",AL191="นิติศาสตร์",K191="S1",U191&gt;=1),EDATE(R191,12),AND(AO191="K5-LAW",AL191="นิติศาสตร์",OR(K191="S2",K191="K5")),R191,AND(AO191="K5-POLICY",AL191&lt;&gt;"นิติศาสตร์",K191="S2",Y191="",AE191=""),R191,AND(AO191="K5-POLICY",AL191&lt;&gt;"นิติศาสตร์",K191="S1",Y191="",AE191=""),EDATE(R191,12),AND(AO191="K5-POLICY",AL191&lt;&gt;"นิติศาสตร์",OR(K191="M2",K191="K4"),Y191="",AE191=""),EDATE(R191,12*2),AND(AO191="K5-POLICY",AL191&lt;&gt;"นิติศาสตร์",OR(AE191="M2",AE191="K4"),AH191&gt;=2,OR(AG191&lt;AA191,AG191&lt;R191)),EDATE(AG191,12*2),AND(AO191="K5-POLICY",AL191&lt;&gt;"นิติศาสตร์",AE191="S1",AH191&gt;=1,OR(AG191&lt;AA191,AG191&lt;R191)),EDATE(AG191,12),AND(AO191="K5-POLICY",AL191&lt;&gt;"นิติศาสตร์",OR(Y191="M2",Y191="K4"),AB191&gt;=2,AA191&lt;R191),EDATE(AA191,12*2),AND(AO191="K5-POLICY",AL191&lt;&gt;"นิติศาสตร์",Y191="S1",AB191&gt;=1,AA191&lt;R191),EDATE(AA191,12),AND(AO191="K5-POLICY",AL191&lt;&gt;"นิติศาสตร์",OR(Y191="S2",Y191="K5")),AA191,AND(AO191="K5-POLICY",AL191&lt;&gt;"นิติศาสตร์",OR(K191="M2",K191="K4"),U191&gt;=2),EDATE(R191,12*2),AND(AO191="K5-POLICY",AL191&lt;&gt;"นิติศาสตร์",K191="S1",U191&gt;=1),EDATE(R191,12),AND(AO191="K5-POLICY",AL191&lt;&gt;"นิติศาสตร์",OR(K191="S2",K191="K5")),R191,TRUE,"Check Data")</f>
        <v/>
      </c>
      <c r="AQ191" s="75" t="str">
        <f t="shared" si="70"/>
        <v>Check Data</v>
      </c>
      <c r="AR191" s="76" t="str">
        <f t="shared" si="71"/>
        <v>Check Data</v>
      </c>
      <c r="AS191" s="50" t="str">
        <f t="shared" si="72"/>
        <v>Check Data</v>
      </c>
      <c r="AT191" s="49" t="str">
        <f>IF(B191="","",IF(K191="S1","S1",INDEX(#REF!,#REF!)))</f>
        <v/>
      </c>
      <c r="AU191" s="49" t="str">
        <f t="shared" si="73"/>
        <v>M2</v>
      </c>
      <c r="AV191" s="50" t="b">
        <f t="shared" si="74"/>
        <v>0</v>
      </c>
      <c r="AW191" s="50"/>
    </row>
    <row r="192" spans="1:49" ht="21.75">
      <c r="A192" s="49">
        <v>190</v>
      </c>
      <c r="B192" s="50"/>
      <c r="C192" s="50"/>
      <c r="D192" s="50" t="s">
        <v>34</v>
      </c>
      <c r="E192" s="49" t="s">
        <v>453</v>
      </c>
      <c r="F192" s="49" t="str">
        <f t="shared" si="50"/>
        <v>01/09/2005</v>
      </c>
      <c r="G192" s="50">
        <f t="shared" si="51"/>
        <v>19</v>
      </c>
      <c r="H192" s="50">
        <f t="shared" si="52"/>
        <v>9</v>
      </c>
      <c r="I192" s="50">
        <f t="shared" si="53"/>
        <v>19</v>
      </c>
      <c r="J192" s="78"/>
      <c r="K192" s="49" t="s">
        <v>136</v>
      </c>
      <c r="L192" s="49" t="str">
        <f>IF(B192="","",IF(K192="S1",K192,INDEX(#REF!,#REF!)))</f>
        <v/>
      </c>
      <c r="M192" s="49" t="b">
        <f t="shared" si="54"/>
        <v>0</v>
      </c>
      <c r="N192" s="64"/>
      <c r="O192" s="49" t="s">
        <v>426</v>
      </c>
      <c r="P192" s="49">
        <v>2582</v>
      </c>
      <c r="Q192" s="65" t="s">
        <v>431</v>
      </c>
      <c r="R192" s="49" t="str">
        <f t="shared" si="55"/>
        <v>27/07/2023</v>
      </c>
      <c r="S192" s="49" t="str">
        <f>IF(B192="","",IF(K192="S1",K192,INDEX(#REF!,#REF!)))</f>
        <v/>
      </c>
      <c r="T192" s="49" t="b">
        <f t="shared" si="56"/>
        <v>0</v>
      </c>
      <c r="U192" s="68">
        <f t="shared" si="57"/>
        <v>1</v>
      </c>
      <c r="V192" s="68">
        <f t="shared" si="58"/>
        <v>10</v>
      </c>
      <c r="W192" s="68">
        <f t="shared" si="59"/>
        <v>24</v>
      </c>
      <c r="X192" s="68"/>
      <c r="Y192" s="65"/>
      <c r="Z192" s="65"/>
      <c r="AA192" s="49" t="str">
        <f t="shared" si="60"/>
        <v/>
      </c>
      <c r="AB192" s="68">
        <f t="shared" si="61"/>
        <v>0</v>
      </c>
      <c r="AC192" s="68">
        <f t="shared" si="62"/>
        <v>0</v>
      </c>
      <c r="AD192" s="68">
        <f t="shared" si="63"/>
        <v>0</v>
      </c>
      <c r="AE192" s="49"/>
      <c r="AF192" s="65"/>
      <c r="AG192" s="50" t="str">
        <f t="shared" si="64"/>
        <v/>
      </c>
      <c r="AH192" s="68">
        <f t="shared" si="65"/>
        <v>0</v>
      </c>
      <c r="AI192" s="68">
        <f t="shared" si="66"/>
        <v>0</v>
      </c>
      <c r="AJ192" s="68">
        <f t="shared" si="67"/>
        <v>0</v>
      </c>
      <c r="AK192" s="50"/>
      <c r="AL192" s="50" t="s">
        <v>524</v>
      </c>
      <c r="AM192" s="50" t="str">
        <f>IF(B192="","",IF(K192="S1",K192,INDEX(#REF!,#REF!)))</f>
        <v/>
      </c>
      <c r="AN192" s="50" t="b">
        <f t="shared" si="68"/>
        <v>0</v>
      </c>
      <c r="AO192" s="49" t="str">
        <f t="shared" si="69"/>
        <v>K5-POLICY</v>
      </c>
      <c r="AP192" s="72" t="str">
        <f>_xlfn.IFS(B192="","",AND(AO192="K5-LAW",AL192="นิติศาสตร์",K192="S2",Y192="",AE192=""),R192,AND(AO192="K5-LAW",AL192="นิติศาสตร์",K192="S1",Y192="",AE192=""),EDATE(R192,12),AND(AO192="K5-LAW",AL192="นิติศาสตร์",OR(K192="M2",K192="K4"),Y192="",AE192=""),EDATE(R192,12*2),AND(AO192="K5-LAW",AL192="นิติศาสตร์",OR(AE192="M2",AE192="K4"),AH192&gt;=2,OR(AG192&lt;AA192,AG192&lt;R192)),EDATE(AG192,12*2),AND(AO192="K5-LAW",AL192="นิติศาสตร์",AE192="S1",AH192&gt;=1,OR(AG192&lt;AA192,AG192&lt;R192)),EDATE(AG192,12),AND(AO192="K5-LAW",AL192="นิติศาสตร์",OR(Y192="M2",Y192="K4"),AB192&gt;=2,AA192&lt;R192),EDATE(AA192,12*2),AND(AO192="K5-LAW",AL192="นิติศาสตร์",Y192="S1",AB192&gt;=1,AA192&lt;R192),EDATE(AA192,12),AND(AO192="K5-LAW",AL192="นิติศาสตร์",OR(Y192="S2",Y192="K5")),AA192,AND(AO192="K5-LAW",AL192="นิติศาสตร์",OR(K192="M2",K192="K4"),U192&gt;=2),EDATE(R192,12*2),AND(AO192="K5-LAW",AL192="นิติศาสตร์",K192="S1",U192&gt;=1),EDATE(R192,12),AND(AO192="K5-LAW",AL192="นิติศาสตร์",OR(K192="S2",K192="K5")),R192,AND(AO192="K5-POLICY",AL192&lt;&gt;"นิติศาสตร์",K192="S2",Y192="",AE192=""),R192,AND(AO192="K5-POLICY",AL192&lt;&gt;"นิติศาสตร์",K192="S1",Y192="",AE192=""),EDATE(R192,12),AND(AO192="K5-POLICY",AL192&lt;&gt;"นิติศาสตร์",OR(K192="M2",K192="K4"),Y192="",AE192=""),EDATE(R192,12*2),AND(AO192="K5-POLICY",AL192&lt;&gt;"นิติศาสตร์",OR(AE192="M2",AE192="K4"),AH192&gt;=2,OR(AG192&lt;AA192,AG192&lt;R192)),EDATE(AG192,12*2),AND(AO192="K5-POLICY",AL192&lt;&gt;"นิติศาสตร์",AE192="S1",AH192&gt;=1,OR(AG192&lt;AA192,AG192&lt;R192)),EDATE(AG192,12),AND(AO192="K5-POLICY",AL192&lt;&gt;"นิติศาสตร์",OR(Y192="M2",Y192="K4"),AB192&gt;=2,AA192&lt;R192),EDATE(AA192,12*2),AND(AO192="K5-POLICY",AL192&lt;&gt;"นิติศาสตร์",Y192="S1",AB192&gt;=1,AA192&lt;R192),EDATE(AA192,12),AND(AO192="K5-POLICY",AL192&lt;&gt;"นิติศาสตร์",OR(Y192="S2",Y192="K5")),AA192,AND(AO192="K5-POLICY",AL192&lt;&gt;"นิติศาสตร์",OR(K192="M2",K192="K4"),U192&gt;=2),EDATE(R192,12*2),AND(AO192="K5-POLICY",AL192&lt;&gt;"นิติศาสตร์",K192="S1",U192&gt;=1),EDATE(R192,12),AND(AO192="K5-POLICY",AL192&lt;&gt;"นิติศาสตร์",OR(K192="S2",K192="K5")),R192,TRUE,"Check Data")</f>
        <v/>
      </c>
      <c r="AQ192" s="75" t="str">
        <f t="shared" si="70"/>
        <v>Check Data</v>
      </c>
      <c r="AR192" s="76" t="str">
        <f t="shared" si="71"/>
        <v>Check Data</v>
      </c>
      <c r="AS192" s="50" t="str">
        <f t="shared" si="72"/>
        <v>Check Data</v>
      </c>
      <c r="AT192" s="49" t="str">
        <f>IF(B192="","",IF(K192="S1","S1",INDEX(#REF!,#REF!)))</f>
        <v/>
      </c>
      <c r="AU192" s="49" t="str">
        <f t="shared" si="73"/>
        <v>M2</v>
      </c>
      <c r="AV192" s="50" t="b">
        <f t="shared" si="74"/>
        <v>0</v>
      </c>
      <c r="AW192" s="50"/>
    </row>
    <row r="193" spans="1:49" ht="21.75">
      <c r="A193" s="49">
        <v>191</v>
      </c>
      <c r="B193" s="50"/>
      <c r="C193" s="50"/>
      <c r="D193" s="50" t="s">
        <v>141</v>
      </c>
      <c r="E193" s="49" t="s">
        <v>243</v>
      </c>
      <c r="F193" s="49" t="str">
        <f t="shared" si="50"/>
        <v>03/01/1995</v>
      </c>
      <c r="G193" s="50">
        <f t="shared" si="51"/>
        <v>30</v>
      </c>
      <c r="H193" s="50">
        <f t="shared" si="52"/>
        <v>5</v>
      </c>
      <c r="I193" s="50">
        <f t="shared" si="53"/>
        <v>17</v>
      </c>
      <c r="J193" s="60"/>
      <c r="K193" s="49" t="s">
        <v>136</v>
      </c>
      <c r="L193" s="49" t="str">
        <f>IF(B193="","",IF(K193="S1",K193,INDEX(#REF!,#REF!)))</f>
        <v/>
      </c>
      <c r="M193" s="49" t="b">
        <f t="shared" si="54"/>
        <v>0</v>
      </c>
      <c r="N193" s="64"/>
      <c r="O193" s="49" t="s">
        <v>427</v>
      </c>
      <c r="P193" s="49">
        <v>2573</v>
      </c>
      <c r="Q193" s="65" t="s">
        <v>249</v>
      </c>
      <c r="R193" s="49" t="str">
        <f t="shared" si="55"/>
        <v>25/09/2023</v>
      </c>
      <c r="S193" s="49" t="str">
        <f>IF(B193="","",IF(K193="S1",K193,INDEX(#REF!,#REF!)))</f>
        <v/>
      </c>
      <c r="T193" s="49" t="b">
        <f t="shared" si="56"/>
        <v>0</v>
      </c>
      <c r="U193" s="68">
        <f t="shared" si="57"/>
        <v>1</v>
      </c>
      <c r="V193" s="68">
        <f t="shared" si="58"/>
        <v>8</v>
      </c>
      <c r="W193" s="68">
        <f t="shared" si="59"/>
        <v>26</v>
      </c>
      <c r="X193" s="68"/>
      <c r="Y193" s="65"/>
      <c r="Z193" s="65"/>
      <c r="AA193" s="49" t="str">
        <f t="shared" si="60"/>
        <v/>
      </c>
      <c r="AB193" s="68">
        <f t="shared" si="61"/>
        <v>0</v>
      </c>
      <c r="AC193" s="68">
        <f t="shared" si="62"/>
        <v>0</v>
      </c>
      <c r="AD193" s="68">
        <f t="shared" si="63"/>
        <v>0</v>
      </c>
      <c r="AE193" s="49"/>
      <c r="AF193" s="65"/>
      <c r="AG193" s="50" t="str">
        <f t="shared" si="64"/>
        <v/>
      </c>
      <c r="AH193" s="68">
        <f t="shared" si="65"/>
        <v>0</v>
      </c>
      <c r="AI193" s="68">
        <f t="shared" si="66"/>
        <v>0</v>
      </c>
      <c r="AJ193" s="68">
        <f t="shared" si="67"/>
        <v>0</v>
      </c>
      <c r="AK193" s="50"/>
      <c r="AL193" s="50" t="s">
        <v>138</v>
      </c>
      <c r="AM193" s="50" t="str">
        <f>IF(B193="","",IF(K193="S1",K193,INDEX(#REF!,#REF!)))</f>
        <v/>
      </c>
      <c r="AN193" s="50" t="b">
        <f t="shared" si="68"/>
        <v>0</v>
      </c>
      <c r="AO193" s="49" t="str">
        <f t="shared" si="69"/>
        <v>K5-LAW</v>
      </c>
      <c r="AP193" s="72" t="str">
        <f>_xlfn.IFS(B193="","",AND(AO193="K5-LAW",AL193="นิติศาสตร์",K193="S2",Y193="",AE193=""),R193,AND(AO193="K5-LAW",AL193="นิติศาสตร์",K193="S1",Y193="",AE193=""),EDATE(R193,12),AND(AO193="K5-LAW",AL193="นิติศาสตร์",OR(K193="M2",K193="K4"),Y193="",AE193=""),EDATE(R193,12*2),AND(AO193="K5-LAW",AL193="นิติศาสตร์",OR(AE193="M2",AE193="K4"),AH193&gt;=2,OR(AG193&lt;AA193,AG193&lt;R193)),EDATE(AG193,12*2),AND(AO193="K5-LAW",AL193="นิติศาสตร์",AE193="S1",AH193&gt;=1,OR(AG193&lt;AA193,AG193&lt;R193)),EDATE(AG193,12),AND(AO193="K5-LAW",AL193="นิติศาสตร์",OR(Y193="M2",Y193="K4"),AB193&gt;=2,AA193&lt;R193),EDATE(AA193,12*2),AND(AO193="K5-LAW",AL193="นิติศาสตร์",Y193="S1",AB193&gt;=1,AA193&lt;R193),EDATE(AA193,12),AND(AO193="K5-LAW",AL193="นิติศาสตร์",OR(Y193="S2",Y193="K5")),AA193,AND(AO193="K5-LAW",AL193="นิติศาสตร์",OR(K193="M2",K193="K4"),U193&gt;=2),EDATE(R193,12*2),AND(AO193="K5-LAW",AL193="นิติศาสตร์",K193="S1",U193&gt;=1),EDATE(R193,12),AND(AO193="K5-LAW",AL193="นิติศาสตร์",OR(K193="S2",K193="K5")),R193,AND(AO193="K5-POLICY",AL193&lt;&gt;"นิติศาสตร์",K193="S2",Y193="",AE193=""),R193,AND(AO193="K5-POLICY",AL193&lt;&gt;"นิติศาสตร์",K193="S1",Y193="",AE193=""),EDATE(R193,12),AND(AO193="K5-POLICY",AL193&lt;&gt;"นิติศาสตร์",OR(K193="M2",K193="K4"),Y193="",AE193=""),EDATE(R193,12*2),AND(AO193="K5-POLICY",AL193&lt;&gt;"นิติศาสตร์",OR(AE193="M2",AE193="K4"),AH193&gt;=2,OR(AG193&lt;AA193,AG193&lt;R193)),EDATE(AG193,12*2),AND(AO193="K5-POLICY",AL193&lt;&gt;"นิติศาสตร์",AE193="S1",AH193&gt;=1,OR(AG193&lt;AA193,AG193&lt;R193)),EDATE(AG193,12),AND(AO193="K5-POLICY",AL193&lt;&gt;"นิติศาสตร์",OR(Y193="M2",Y193="K4"),AB193&gt;=2,AA193&lt;R193),EDATE(AA193,12*2),AND(AO193="K5-POLICY",AL193&lt;&gt;"นิติศาสตร์",Y193="S1",AB193&gt;=1,AA193&lt;R193),EDATE(AA193,12),AND(AO193="K5-POLICY",AL193&lt;&gt;"นิติศาสตร์",OR(Y193="S2",Y193="K5")),AA193,AND(AO193="K5-POLICY",AL193&lt;&gt;"นิติศาสตร์",OR(K193="M2",K193="K4"),U193&gt;=2),EDATE(R193,12*2),AND(AO193="K5-POLICY",AL193&lt;&gt;"นิติศาสตร์",K193="S1",U193&gt;=1),EDATE(R193,12),AND(AO193="K5-POLICY",AL193&lt;&gt;"นิติศาสตร์",OR(K193="S2",K193="K5")),R193,TRUE,"Check Data")</f>
        <v/>
      </c>
      <c r="AQ193" s="75" t="str">
        <f t="shared" si="70"/>
        <v>Check Data</v>
      </c>
      <c r="AR193" s="76" t="str">
        <f t="shared" si="71"/>
        <v>Check Data</v>
      </c>
      <c r="AS193" s="50" t="str">
        <f t="shared" si="72"/>
        <v>Check Data</v>
      </c>
      <c r="AT193" s="49" t="str">
        <f>IF(B193="","",IF(K193="S1","S1",INDEX(#REF!,#REF!)))</f>
        <v/>
      </c>
      <c r="AU193" s="49" t="str">
        <f t="shared" si="73"/>
        <v>M2</v>
      </c>
      <c r="AV193" s="50" t="b">
        <f t="shared" si="74"/>
        <v>0</v>
      </c>
      <c r="AW193" s="50"/>
    </row>
    <row r="194" spans="1:49" ht="21.75">
      <c r="A194" s="49">
        <v>192</v>
      </c>
      <c r="B194" s="50"/>
      <c r="C194" s="53"/>
      <c r="D194" s="50" t="s">
        <v>141</v>
      </c>
      <c r="E194" s="49" t="s">
        <v>253</v>
      </c>
      <c r="F194" s="49" t="str">
        <f t="shared" si="50"/>
        <v>26/01/1995</v>
      </c>
      <c r="G194" s="50">
        <f t="shared" si="51"/>
        <v>30</v>
      </c>
      <c r="H194" s="50">
        <f t="shared" si="52"/>
        <v>4</v>
      </c>
      <c r="I194" s="50">
        <f t="shared" si="53"/>
        <v>25</v>
      </c>
      <c r="J194" s="60"/>
      <c r="K194" s="49" t="s">
        <v>136</v>
      </c>
      <c r="L194" s="49" t="str">
        <f>IF(B194="","",IF(K194="S1",K194,INDEX(#REF!,#REF!)))</f>
        <v/>
      </c>
      <c r="M194" s="49" t="b">
        <f t="shared" si="54"/>
        <v>0</v>
      </c>
      <c r="N194" s="64"/>
      <c r="O194" s="49" t="s">
        <v>427</v>
      </c>
      <c r="P194" s="49">
        <v>2574</v>
      </c>
      <c r="Q194" s="65" t="s">
        <v>249</v>
      </c>
      <c r="R194" s="49" t="str">
        <f t="shared" si="55"/>
        <v>25/09/2023</v>
      </c>
      <c r="S194" s="49" t="str">
        <f>IF(B194="","",IF(K194="S1",K194,INDEX(#REF!,#REF!)))</f>
        <v/>
      </c>
      <c r="T194" s="49" t="b">
        <f t="shared" si="56"/>
        <v>0</v>
      </c>
      <c r="U194" s="68">
        <f t="shared" si="57"/>
        <v>1</v>
      </c>
      <c r="V194" s="68">
        <f t="shared" si="58"/>
        <v>8</v>
      </c>
      <c r="W194" s="68">
        <f t="shared" si="59"/>
        <v>26</v>
      </c>
      <c r="X194" s="68"/>
      <c r="Y194" s="65"/>
      <c r="Z194" s="65"/>
      <c r="AA194" s="49" t="str">
        <f t="shared" si="60"/>
        <v/>
      </c>
      <c r="AB194" s="68">
        <f t="shared" si="61"/>
        <v>0</v>
      </c>
      <c r="AC194" s="68">
        <f t="shared" si="62"/>
        <v>0</v>
      </c>
      <c r="AD194" s="68">
        <f t="shared" si="63"/>
        <v>0</v>
      </c>
      <c r="AE194" s="49"/>
      <c r="AF194" s="65"/>
      <c r="AG194" s="50" t="str">
        <f t="shared" si="64"/>
        <v/>
      </c>
      <c r="AH194" s="68">
        <f t="shared" si="65"/>
        <v>0</v>
      </c>
      <c r="AI194" s="68">
        <f t="shared" si="66"/>
        <v>0</v>
      </c>
      <c r="AJ194" s="68">
        <f t="shared" si="67"/>
        <v>0</v>
      </c>
      <c r="AK194" s="50"/>
      <c r="AL194" s="50" t="s">
        <v>138</v>
      </c>
      <c r="AM194" s="50" t="str">
        <f>IF(B194="","",IF(K194="S1",K194,INDEX(#REF!,#REF!)))</f>
        <v/>
      </c>
      <c r="AN194" s="50" t="b">
        <f t="shared" si="68"/>
        <v>0</v>
      </c>
      <c r="AO194" s="49" t="str">
        <f t="shared" si="69"/>
        <v>K5-LAW</v>
      </c>
      <c r="AP194" s="72" t="str">
        <f>_xlfn.IFS(B194="","",AND(AO194="K5-LAW",AL194="นิติศาสตร์",K194="S2",Y194="",AE194=""),R194,AND(AO194="K5-LAW",AL194="นิติศาสตร์",K194="S1",Y194="",AE194=""),EDATE(R194,12),AND(AO194="K5-LAW",AL194="นิติศาสตร์",OR(K194="M2",K194="K4"),Y194="",AE194=""),EDATE(R194,12*2),AND(AO194="K5-LAW",AL194="นิติศาสตร์",OR(AE194="M2",AE194="K4"),AH194&gt;=2,OR(AG194&lt;AA194,AG194&lt;R194)),EDATE(AG194,12*2),AND(AO194="K5-LAW",AL194="นิติศาสตร์",AE194="S1",AH194&gt;=1,OR(AG194&lt;AA194,AG194&lt;R194)),EDATE(AG194,12),AND(AO194="K5-LAW",AL194="นิติศาสตร์",OR(Y194="M2",Y194="K4"),AB194&gt;=2,AA194&lt;R194),EDATE(AA194,12*2),AND(AO194="K5-LAW",AL194="นิติศาสตร์",Y194="S1",AB194&gt;=1,AA194&lt;R194),EDATE(AA194,12),AND(AO194="K5-LAW",AL194="นิติศาสตร์",OR(Y194="S2",Y194="K5")),AA194,AND(AO194="K5-LAW",AL194="นิติศาสตร์",OR(K194="M2",K194="K4"),U194&gt;=2),EDATE(R194,12*2),AND(AO194="K5-LAW",AL194="นิติศาสตร์",K194="S1",U194&gt;=1),EDATE(R194,12),AND(AO194="K5-LAW",AL194="นิติศาสตร์",OR(K194="S2",K194="K5")),R194,AND(AO194="K5-POLICY",AL194&lt;&gt;"นิติศาสตร์",K194="S2",Y194="",AE194=""),R194,AND(AO194="K5-POLICY",AL194&lt;&gt;"นิติศาสตร์",K194="S1",Y194="",AE194=""),EDATE(R194,12),AND(AO194="K5-POLICY",AL194&lt;&gt;"นิติศาสตร์",OR(K194="M2",K194="K4"),Y194="",AE194=""),EDATE(R194,12*2),AND(AO194="K5-POLICY",AL194&lt;&gt;"นิติศาสตร์",OR(AE194="M2",AE194="K4"),AH194&gt;=2,OR(AG194&lt;AA194,AG194&lt;R194)),EDATE(AG194,12*2),AND(AO194="K5-POLICY",AL194&lt;&gt;"นิติศาสตร์",AE194="S1",AH194&gt;=1,OR(AG194&lt;AA194,AG194&lt;R194)),EDATE(AG194,12),AND(AO194="K5-POLICY",AL194&lt;&gt;"นิติศาสตร์",OR(Y194="M2",Y194="K4"),AB194&gt;=2,AA194&lt;R194),EDATE(AA194,12*2),AND(AO194="K5-POLICY",AL194&lt;&gt;"นิติศาสตร์",Y194="S1",AB194&gt;=1,AA194&lt;R194),EDATE(AA194,12),AND(AO194="K5-POLICY",AL194&lt;&gt;"นิติศาสตร์",OR(Y194="S2",Y194="K5")),AA194,AND(AO194="K5-POLICY",AL194&lt;&gt;"นิติศาสตร์",OR(K194="M2",K194="K4"),U194&gt;=2),EDATE(R194,12*2),AND(AO194="K5-POLICY",AL194&lt;&gt;"นิติศาสตร์",K194="S1",U194&gt;=1),EDATE(R194,12),AND(AO194="K5-POLICY",AL194&lt;&gt;"นิติศาสตร์",OR(K194="S2",K194="K5")),R194,TRUE,"Check Data")</f>
        <v/>
      </c>
      <c r="AQ194" s="75" t="str">
        <f t="shared" si="70"/>
        <v>Check Data</v>
      </c>
      <c r="AR194" s="76" t="str">
        <f t="shared" si="71"/>
        <v>Check Data</v>
      </c>
      <c r="AS194" s="50" t="str">
        <f t="shared" si="72"/>
        <v>Check Data</v>
      </c>
      <c r="AT194" s="49" t="str">
        <f>IF(B194="","",IF(K194="S1","S1",INDEX(#REF!,#REF!)))</f>
        <v/>
      </c>
      <c r="AU194" s="49" t="str">
        <f t="shared" si="73"/>
        <v>M2</v>
      </c>
      <c r="AV194" s="50" t="b">
        <f t="shared" si="74"/>
        <v>0</v>
      </c>
      <c r="AW194" s="50"/>
    </row>
    <row r="195" spans="1:49" ht="21.75">
      <c r="A195" s="49">
        <v>193</v>
      </c>
      <c r="B195" s="50"/>
      <c r="C195" s="50"/>
      <c r="D195" s="50" t="s">
        <v>141</v>
      </c>
      <c r="E195" s="49" t="s">
        <v>259</v>
      </c>
      <c r="F195" s="49" t="str">
        <f t="shared" ref="F195:F205" si="75">IF(E195="","",TEXT(EDATE(E195,-543*12),"dd/mm/yyyy"))</f>
        <v>15/02/2001</v>
      </c>
      <c r="G195" s="50">
        <f t="shared" ref="G195:G258" si="76">IF(F195="",0,DATEDIF(F195,$C$1,"Y"))</f>
        <v>24</v>
      </c>
      <c r="H195" s="50">
        <f t="shared" ref="H195:H258" si="77">IF(F195="",0,DATEDIF(F195,$C$1,"YM"))</f>
        <v>4</v>
      </c>
      <c r="I195" s="50">
        <f t="shared" ref="I195:I258" si="78">IF(F195="",0,DATEDIF(F195,$C$1,"MD"))</f>
        <v>5</v>
      </c>
      <c r="J195" s="60"/>
      <c r="K195" s="49" t="s">
        <v>136</v>
      </c>
      <c r="L195" s="49" t="str">
        <f>IF(B195="","",IF(K195="S1",K195,INDEX(#REF!,#REF!)))</f>
        <v/>
      </c>
      <c r="M195" s="49" t="b">
        <f t="shared" ref="M195:M258" si="79">K195=L195</f>
        <v>0</v>
      </c>
      <c r="N195" s="64"/>
      <c r="O195" s="49" t="s">
        <v>426</v>
      </c>
      <c r="P195" s="49">
        <v>2577</v>
      </c>
      <c r="Q195" s="65" t="s">
        <v>249</v>
      </c>
      <c r="R195" s="49" t="str">
        <f t="shared" ref="R195:R258" si="80">TEXT(EDATE(Q195,-543*12),"dd/mm/yyyy")</f>
        <v>25/09/2023</v>
      </c>
      <c r="S195" s="49" t="str">
        <f>IF(B195="","",IF(K195="S1",K195,INDEX(#REF!,#REF!)))</f>
        <v/>
      </c>
      <c r="T195" s="49" t="b">
        <f t="shared" ref="T195:T258" si="81">Q195=S195</f>
        <v>0</v>
      </c>
      <c r="U195" s="68">
        <f t="shared" ref="U195:U258" si="82">IF(R195="",0,DATEDIF(R195,$C$1,"Y"))</f>
        <v>1</v>
      </c>
      <c r="V195" s="68">
        <f t="shared" ref="V195:V258" si="83">IF(R195="",0,DATEDIF(R195,$C$1,"YM"))</f>
        <v>8</v>
      </c>
      <c r="W195" s="68">
        <f t="shared" ref="W195:W258" si="84">IF(R195="",0,DATEDIF(R195,$C$1,"MD"))</f>
        <v>26</v>
      </c>
      <c r="X195" s="68"/>
      <c r="Y195" s="65"/>
      <c r="Z195" s="65"/>
      <c r="AA195" s="49" t="str">
        <f t="shared" ref="AA195:AA205" si="85">IF(Z195="","",TEXT(EDATE(Z195,-543*12),"dd/mm/yyyy"))</f>
        <v/>
      </c>
      <c r="AB195" s="68">
        <f t="shared" ref="AB195:AB205" si="86">IF(AA195="",0,DATEDIF(AA195,R195,"Y"))</f>
        <v>0</v>
      </c>
      <c r="AC195" s="68">
        <f t="shared" ref="AC195:AC205" si="87">IF(AA195="",0,DATEDIF(AA195,R195,"YM"))</f>
        <v>0</v>
      </c>
      <c r="AD195" s="68">
        <f t="shared" ref="AD195:AD205" si="88">IF(AA195="",0,DATEDIF(AA195,R195,"MD"))</f>
        <v>0</v>
      </c>
      <c r="AE195" s="49"/>
      <c r="AF195" s="65"/>
      <c r="AG195" s="50" t="str">
        <f t="shared" ref="AG195:AG205" si="89">IF(AF195="","",TEXT(EDATE(AF195,-543*12),"dd/mm/yyyy"))</f>
        <v/>
      </c>
      <c r="AH195" s="68">
        <f t="shared" ref="AH195:AH205" si="90">IF(AG195="",0,DATEDIF(AG195,AA195,"Y"))</f>
        <v>0</v>
      </c>
      <c r="AI195" s="68">
        <f t="shared" ref="AI195:AI205" si="91">IF(AG195="",0,DATEDIF(AG195,AA195,"YM"))</f>
        <v>0</v>
      </c>
      <c r="AJ195" s="68">
        <f t="shared" ref="AJ195:AJ205" si="92">IF(AG195="",0,DATEDIF(AG195,AA195,"MD"))</f>
        <v>0</v>
      </c>
      <c r="AK195" s="50"/>
      <c r="AL195" s="50" t="s">
        <v>138</v>
      </c>
      <c r="AM195" s="50" t="str">
        <f>IF(B195="","",IF(K195="S1",K195,INDEX(#REF!,#REF!)))</f>
        <v/>
      </c>
      <c r="AN195" s="50" t="b">
        <f t="shared" ref="AN195:AN258" si="93">AL195=AM195</f>
        <v>0</v>
      </c>
      <c r="AO195" s="49" t="str">
        <f t="shared" ref="AO195:AO258" si="94">IF(AL195="นิติศาสตร์","K5-LAW","K5-POLICY")</f>
        <v>K5-LAW</v>
      </c>
      <c r="AP195" s="72" t="str">
        <f>_xlfn.IFS(B195="","",AND(AO195="K5-LAW",AL195="นิติศาสตร์",K195="S2",Y195="",AE195=""),R195,AND(AO195="K5-LAW",AL195="นิติศาสตร์",K195="S1",Y195="",AE195=""),EDATE(R195,12),AND(AO195="K5-LAW",AL195="นิติศาสตร์",OR(K195="M2",K195="K4"),Y195="",AE195=""),EDATE(R195,12*2),AND(AO195="K5-LAW",AL195="นิติศาสตร์",OR(AE195="M2",AE195="K4"),AH195&gt;=2,OR(AG195&lt;AA195,AG195&lt;R195)),EDATE(AG195,12*2),AND(AO195="K5-LAW",AL195="นิติศาสตร์",AE195="S1",AH195&gt;=1,OR(AG195&lt;AA195,AG195&lt;R195)),EDATE(AG195,12),AND(AO195="K5-LAW",AL195="นิติศาสตร์",OR(Y195="M2",Y195="K4"),AB195&gt;=2,AA195&lt;R195),EDATE(AA195,12*2),AND(AO195="K5-LAW",AL195="นิติศาสตร์",Y195="S1",AB195&gt;=1,AA195&lt;R195),EDATE(AA195,12),AND(AO195="K5-LAW",AL195="นิติศาสตร์",OR(Y195="S2",Y195="K5")),AA195,AND(AO195="K5-LAW",AL195="นิติศาสตร์",OR(K195="M2",K195="K4"),U195&gt;=2),EDATE(R195,12*2),AND(AO195="K5-LAW",AL195="นิติศาสตร์",K195="S1",U195&gt;=1),EDATE(R195,12),AND(AO195="K5-LAW",AL195="นิติศาสตร์",OR(K195="S2",K195="K5")),R195,AND(AO195="K5-POLICY",AL195&lt;&gt;"นิติศาสตร์",K195="S2",Y195="",AE195=""),R195,AND(AO195="K5-POLICY",AL195&lt;&gt;"นิติศาสตร์",K195="S1",Y195="",AE195=""),EDATE(R195,12),AND(AO195="K5-POLICY",AL195&lt;&gt;"นิติศาสตร์",OR(K195="M2",K195="K4"),Y195="",AE195=""),EDATE(R195,12*2),AND(AO195="K5-POLICY",AL195&lt;&gt;"นิติศาสตร์",OR(AE195="M2",AE195="K4"),AH195&gt;=2,OR(AG195&lt;AA195,AG195&lt;R195)),EDATE(AG195,12*2),AND(AO195="K5-POLICY",AL195&lt;&gt;"นิติศาสตร์",AE195="S1",AH195&gt;=1,OR(AG195&lt;AA195,AG195&lt;R195)),EDATE(AG195,12),AND(AO195="K5-POLICY",AL195&lt;&gt;"นิติศาสตร์",OR(Y195="M2",Y195="K4"),AB195&gt;=2,AA195&lt;R195),EDATE(AA195,12*2),AND(AO195="K5-POLICY",AL195&lt;&gt;"นิติศาสตร์",Y195="S1",AB195&gt;=1,AA195&lt;R195),EDATE(AA195,12),AND(AO195="K5-POLICY",AL195&lt;&gt;"นิติศาสตร์",OR(Y195="S2",Y195="K5")),AA195,AND(AO195="K5-POLICY",AL195&lt;&gt;"นิติศาสตร์",OR(K195="M2",K195="K4"),U195&gt;=2),EDATE(R195,12*2),AND(AO195="K5-POLICY",AL195&lt;&gt;"นิติศาสตร์",K195="S1",U195&gt;=1),EDATE(R195,12),AND(AO195="K5-POLICY",AL195&lt;&gt;"นิติศาสตร์",OR(K195="S2",K195="K5")),R195,TRUE,"Check Data")</f>
        <v/>
      </c>
      <c r="AQ195" s="75" t="str">
        <f t="shared" ref="AQ195:AQ258" si="95">IFERROR(TEXT(EDATE(AP195,543*12),"dd/mm/yyyy"),"Check Data")</f>
        <v>Check Data</v>
      </c>
      <c r="AR195" s="76" t="str">
        <f t="shared" ref="AR195:AR258" si="96">IFERROR(IF($C$1&gt;AP195,AP195-$C$1,DATEDIF($C$1,AP195,"d")),"Check Data")</f>
        <v>Check Data</v>
      </c>
      <c r="AS195" s="50" t="str">
        <f t="shared" ref="AS195:AS258" si="97">_xlfn.IFS(AR195="Check Data","Check Data",AR195&gt;30,"ยังไม่ถึงเกณฑ์",AR195&gt;0,"ใกล้ถึงเกณฑ์",AR195=0,"ถึงเกณฑ์",AR195&lt;0,"ถึงเกณฑ์นานแล้ว")</f>
        <v>Check Data</v>
      </c>
      <c r="AT195" s="49" t="str">
        <f>IF(B195="","",IF(K195="S1","S1",INDEX(#REF!,#REF!)))</f>
        <v/>
      </c>
      <c r="AU195" s="49" t="str">
        <f t="shared" ref="AU195:AU258" si="98">K195</f>
        <v>M2</v>
      </c>
      <c r="AV195" s="50" t="b">
        <f t="shared" ref="AV195:AV258" si="99">K195=AT195</f>
        <v>0</v>
      </c>
      <c r="AW195" s="50"/>
    </row>
    <row r="196" spans="1:49" ht="21.75">
      <c r="A196" s="49">
        <v>194</v>
      </c>
      <c r="B196" s="50"/>
      <c r="C196" s="50"/>
      <c r="D196" s="50" t="s">
        <v>146</v>
      </c>
      <c r="E196" s="49" t="s">
        <v>420</v>
      </c>
      <c r="F196" s="49" t="str">
        <f t="shared" si="75"/>
        <v>28/09/1994</v>
      </c>
      <c r="G196" s="50">
        <f t="shared" si="76"/>
        <v>30</v>
      </c>
      <c r="H196" s="50">
        <f t="shared" si="77"/>
        <v>8</v>
      </c>
      <c r="I196" s="50">
        <f t="shared" si="78"/>
        <v>23</v>
      </c>
      <c r="J196" s="80"/>
      <c r="K196" s="49" t="s">
        <v>136</v>
      </c>
      <c r="L196" s="49" t="str">
        <f>IF(B196="","",IF(K196="S1",K196,INDEX(#REF!,#REF!)))</f>
        <v/>
      </c>
      <c r="M196" s="49" t="b">
        <f t="shared" si="79"/>
        <v>0</v>
      </c>
      <c r="N196" s="64"/>
      <c r="O196" s="49" t="s">
        <v>427</v>
      </c>
      <c r="P196" s="49">
        <v>2572</v>
      </c>
      <c r="Q196" s="65" t="s">
        <v>394</v>
      </c>
      <c r="R196" s="49" t="str">
        <f t="shared" si="80"/>
        <v>27/09/2023</v>
      </c>
      <c r="S196" s="49" t="str">
        <f>IF(B196="","",IF(K196="S1",K196,INDEX(#REF!,#REF!)))</f>
        <v/>
      </c>
      <c r="T196" s="49" t="b">
        <f t="shared" si="81"/>
        <v>0</v>
      </c>
      <c r="U196" s="68">
        <f t="shared" si="82"/>
        <v>1</v>
      </c>
      <c r="V196" s="68">
        <f t="shared" si="83"/>
        <v>8</v>
      </c>
      <c r="W196" s="68">
        <f t="shared" si="84"/>
        <v>24</v>
      </c>
      <c r="X196" s="68"/>
      <c r="Y196" s="65" t="s">
        <v>137</v>
      </c>
      <c r="Z196" s="65" t="s">
        <v>525</v>
      </c>
      <c r="AA196" s="49" t="str">
        <f t="shared" si="85"/>
        <v>08/04/2020</v>
      </c>
      <c r="AB196" s="68">
        <f t="shared" si="86"/>
        <v>3</v>
      </c>
      <c r="AC196" s="68">
        <f t="shared" si="87"/>
        <v>5</v>
      </c>
      <c r="AD196" s="68">
        <f t="shared" si="88"/>
        <v>19</v>
      </c>
      <c r="AE196" s="49"/>
      <c r="AF196" s="65"/>
      <c r="AG196" s="50" t="str">
        <f t="shared" si="89"/>
        <v/>
      </c>
      <c r="AH196" s="68">
        <f t="shared" si="90"/>
        <v>0</v>
      </c>
      <c r="AI196" s="68">
        <f t="shared" si="91"/>
        <v>0</v>
      </c>
      <c r="AJ196" s="68">
        <f t="shared" si="92"/>
        <v>0</v>
      </c>
      <c r="AK196" s="50"/>
      <c r="AL196" s="50" t="s">
        <v>138</v>
      </c>
      <c r="AM196" s="50" t="str">
        <f>IF(B196="","",IF(K196="S1",K196,INDEX(#REF!,#REF!)))</f>
        <v/>
      </c>
      <c r="AN196" s="50" t="b">
        <f t="shared" si="93"/>
        <v>0</v>
      </c>
      <c r="AO196" s="49" t="str">
        <f t="shared" si="94"/>
        <v>K5-LAW</v>
      </c>
      <c r="AP196" s="72" t="str">
        <f>_xlfn.IFS(B196="","",AND(AO196="K5-LAW",AL196="นิติศาสตร์",K196="S2",Y196="",AE196=""),R196,AND(AO196="K5-LAW",AL196="นิติศาสตร์",K196="S1",Y196="",AE196=""),EDATE(R196,12),AND(AO196="K5-LAW",AL196="นิติศาสตร์",OR(K196="M2",K196="K4"),Y196="",AE196=""),EDATE(R196,12*2),AND(AO196="K5-LAW",AL196="นิติศาสตร์",OR(AE196="M2",AE196="K4"),AH196&gt;=2,OR(AG196&lt;AA196,AG196&lt;R196)),EDATE(AG196,12*2),AND(AO196="K5-LAW",AL196="นิติศาสตร์",AE196="S1",AH196&gt;=1,OR(AG196&lt;AA196,AG196&lt;R196)),EDATE(AG196,12),AND(AO196="K5-LAW",AL196="นิติศาสตร์",OR(Y196="M2",Y196="K4"),AB196&gt;=2,AA196&lt;R196),EDATE(AA196,12*2),AND(AO196="K5-LAW",AL196="นิติศาสตร์",Y196="S1",AB196&gt;=1,AA196&lt;R196),EDATE(AA196,12),AND(AO196="K5-LAW",AL196="นิติศาสตร์",OR(Y196="S2",Y196="K5")),AA196,AND(AO196="K5-LAW",AL196="นิติศาสตร์",OR(K196="M2",K196="K4"),U196&gt;=2),EDATE(R196,12*2),AND(AO196="K5-LAW",AL196="นิติศาสตร์",K196="S1",U196&gt;=1),EDATE(R196,12),AND(AO196="K5-LAW",AL196="นิติศาสตร์",OR(K196="S2",K196="K5")),R196,AND(AO196="K5-POLICY",AL196&lt;&gt;"นิติศาสตร์",K196="S2",Y196="",AE196=""),R196,AND(AO196="K5-POLICY",AL196&lt;&gt;"นิติศาสตร์",K196="S1",Y196="",AE196=""),EDATE(R196,12),AND(AO196="K5-POLICY",AL196&lt;&gt;"นิติศาสตร์",OR(K196="M2",K196="K4"),Y196="",AE196=""),EDATE(R196,12*2),AND(AO196="K5-POLICY",AL196&lt;&gt;"นิติศาสตร์",OR(AE196="M2",AE196="K4"),AH196&gt;=2,OR(AG196&lt;AA196,AG196&lt;R196)),EDATE(AG196,12*2),AND(AO196="K5-POLICY",AL196&lt;&gt;"นิติศาสตร์",AE196="S1",AH196&gt;=1,OR(AG196&lt;AA196,AG196&lt;R196)),EDATE(AG196,12),AND(AO196="K5-POLICY",AL196&lt;&gt;"นิติศาสตร์",OR(Y196="M2",Y196="K4"),AB196&gt;=2,AA196&lt;R196),EDATE(AA196,12*2),AND(AO196="K5-POLICY",AL196&lt;&gt;"นิติศาสตร์",Y196="S1",AB196&gt;=1,AA196&lt;R196),EDATE(AA196,12),AND(AO196="K5-POLICY",AL196&lt;&gt;"นิติศาสตร์",OR(Y196="S2",Y196="K5")),AA196,AND(AO196="K5-POLICY",AL196&lt;&gt;"นิติศาสตร์",OR(K196="M2",K196="K4"),U196&gt;=2),EDATE(R196,12*2),AND(AO196="K5-POLICY",AL196&lt;&gt;"นิติศาสตร์",K196="S1",U196&gt;=1),EDATE(R196,12),AND(AO196="K5-POLICY",AL196&lt;&gt;"นิติศาสตร์",OR(K196="S2",K196="K5")),R196,TRUE,"Check Data")</f>
        <v/>
      </c>
      <c r="AQ196" s="75" t="str">
        <f t="shared" si="95"/>
        <v>Check Data</v>
      </c>
      <c r="AR196" s="76" t="str">
        <f t="shared" si="96"/>
        <v>Check Data</v>
      </c>
      <c r="AS196" s="50" t="str">
        <f t="shared" si="97"/>
        <v>Check Data</v>
      </c>
      <c r="AT196" s="49" t="str">
        <f>IF(B196="","",IF(K196="S1","S1",INDEX(#REF!,#REF!)))</f>
        <v/>
      </c>
      <c r="AU196" s="49" t="str">
        <f t="shared" si="98"/>
        <v>M2</v>
      </c>
      <c r="AV196" s="50" t="b">
        <f t="shared" si="99"/>
        <v>0</v>
      </c>
      <c r="AW196" s="50"/>
    </row>
    <row r="197" spans="1:49" ht="21.75">
      <c r="A197" s="49">
        <v>195</v>
      </c>
      <c r="B197" s="50"/>
      <c r="C197" s="50"/>
      <c r="D197" s="50" t="s">
        <v>146</v>
      </c>
      <c r="E197" s="49" t="s">
        <v>393</v>
      </c>
      <c r="F197" s="49" t="str">
        <f t="shared" si="75"/>
        <v>09/07/2004</v>
      </c>
      <c r="G197" s="50">
        <f t="shared" si="76"/>
        <v>20</v>
      </c>
      <c r="H197" s="50">
        <f t="shared" si="77"/>
        <v>11</v>
      </c>
      <c r="I197" s="50">
        <f t="shared" si="78"/>
        <v>11</v>
      </c>
      <c r="J197" s="80"/>
      <c r="K197" s="49" t="s">
        <v>136</v>
      </c>
      <c r="L197" s="49" t="str">
        <f>IF(B197="","",IF(K197="S1",K197,INDEX(#REF!,#REF!)))</f>
        <v/>
      </c>
      <c r="M197" s="49" t="b">
        <f t="shared" si="79"/>
        <v>0</v>
      </c>
      <c r="N197" s="64"/>
      <c r="O197" s="49" t="s">
        <v>426</v>
      </c>
      <c r="P197" s="49">
        <v>2580</v>
      </c>
      <c r="Q197" s="65" t="s">
        <v>394</v>
      </c>
      <c r="R197" s="49" t="str">
        <f t="shared" si="80"/>
        <v>27/09/2023</v>
      </c>
      <c r="S197" s="49" t="str">
        <f>IF(B197="","",IF(K197="S1",K197,INDEX(#REF!,#REF!)))</f>
        <v/>
      </c>
      <c r="T197" s="49" t="b">
        <f t="shared" si="81"/>
        <v>0</v>
      </c>
      <c r="U197" s="68">
        <f t="shared" si="82"/>
        <v>1</v>
      </c>
      <c r="V197" s="68">
        <f t="shared" si="83"/>
        <v>8</v>
      </c>
      <c r="W197" s="68">
        <f t="shared" si="84"/>
        <v>24</v>
      </c>
      <c r="X197" s="68"/>
      <c r="Y197" s="65"/>
      <c r="Z197" s="65"/>
      <c r="AA197" s="49" t="str">
        <f t="shared" si="85"/>
        <v/>
      </c>
      <c r="AB197" s="68">
        <f t="shared" si="86"/>
        <v>0</v>
      </c>
      <c r="AC197" s="68">
        <f t="shared" si="87"/>
        <v>0</v>
      </c>
      <c r="AD197" s="68">
        <f t="shared" si="88"/>
        <v>0</v>
      </c>
      <c r="AE197" s="49"/>
      <c r="AF197" s="65"/>
      <c r="AG197" s="50" t="str">
        <f t="shared" si="89"/>
        <v/>
      </c>
      <c r="AH197" s="68">
        <f t="shared" si="90"/>
        <v>0</v>
      </c>
      <c r="AI197" s="68">
        <f t="shared" si="91"/>
        <v>0</v>
      </c>
      <c r="AJ197" s="68">
        <f t="shared" si="92"/>
        <v>0</v>
      </c>
      <c r="AK197" s="50"/>
      <c r="AL197" s="50" t="s">
        <v>175</v>
      </c>
      <c r="AM197" s="50" t="str">
        <f>IF(B197="","",IF(K197="S1",K197,INDEX(#REF!,#REF!)))</f>
        <v/>
      </c>
      <c r="AN197" s="50" t="b">
        <f t="shared" si="93"/>
        <v>0</v>
      </c>
      <c r="AO197" s="49" t="str">
        <f t="shared" si="94"/>
        <v>K5-POLICY</v>
      </c>
      <c r="AP197" s="72" t="str">
        <f>_xlfn.IFS(B197="","",AND(AO197="K5-LAW",AL197="นิติศาสตร์",K197="S2",Y197="",AE197=""),R197,AND(AO197="K5-LAW",AL197="นิติศาสตร์",K197="S1",Y197="",AE197=""),EDATE(R197,12),AND(AO197="K5-LAW",AL197="นิติศาสตร์",OR(K197="M2",K197="K4"),Y197="",AE197=""),EDATE(R197,12*2),AND(AO197="K5-LAW",AL197="นิติศาสตร์",OR(AE197="M2",AE197="K4"),AH197&gt;=2,OR(AG197&lt;AA197,AG197&lt;R197)),EDATE(AG197,12*2),AND(AO197="K5-LAW",AL197="นิติศาสตร์",AE197="S1",AH197&gt;=1,OR(AG197&lt;AA197,AG197&lt;R197)),EDATE(AG197,12),AND(AO197="K5-LAW",AL197="นิติศาสตร์",OR(Y197="M2",Y197="K4"),AB197&gt;=2,AA197&lt;R197),EDATE(AA197,12*2),AND(AO197="K5-LAW",AL197="นิติศาสตร์",Y197="S1",AB197&gt;=1,AA197&lt;R197),EDATE(AA197,12),AND(AO197="K5-LAW",AL197="นิติศาสตร์",OR(Y197="S2",Y197="K5")),AA197,AND(AO197="K5-LAW",AL197="นิติศาสตร์",OR(K197="M2",K197="K4"),U197&gt;=2),EDATE(R197,12*2),AND(AO197="K5-LAW",AL197="นิติศาสตร์",K197="S1",U197&gt;=1),EDATE(R197,12),AND(AO197="K5-LAW",AL197="นิติศาสตร์",OR(K197="S2",K197="K5")),R197,AND(AO197="K5-POLICY",AL197&lt;&gt;"นิติศาสตร์",K197="S2",Y197="",AE197=""),R197,AND(AO197="K5-POLICY",AL197&lt;&gt;"นิติศาสตร์",K197="S1",Y197="",AE197=""),EDATE(R197,12),AND(AO197="K5-POLICY",AL197&lt;&gt;"นิติศาสตร์",OR(K197="M2",K197="K4"),Y197="",AE197=""),EDATE(R197,12*2),AND(AO197="K5-POLICY",AL197&lt;&gt;"นิติศาสตร์",OR(AE197="M2",AE197="K4"),AH197&gt;=2,OR(AG197&lt;AA197,AG197&lt;R197)),EDATE(AG197,12*2),AND(AO197="K5-POLICY",AL197&lt;&gt;"นิติศาสตร์",AE197="S1",AH197&gt;=1,OR(AG197&lt;AA197,AG197&lt;R197)),EDATE(AG197,12),AND(AO197="K5-POLICY",AL197&lt;&gt;"นิติศาสตร์",OR(Y197="M2",Y197="K4"),AB197&gt;=2,AA197&lt;R197),EDATE(AA197,12*2),AND(AO197="K5-POLICY",AL197&lt;&gt;"นิติศาสตร์",Y197="S1",AB197&gt;=1,AA197&lt;R197),EDATE(AA197,12),AND(AO197="K5-POLICY",AL197&lt;&gt;"นิติศาสตร์",OR(Y197="S2",Y197="K5")),AA197,AND(AO197="K5-POLICY",AL197&lt;&gt;"นิติศาสตร์",OR(K197="M2",K197="K4"),U197&gt;=2),EDATE(R197,12*2),AND(AO197="K5-POLICY",AL197&lt;&gt;"นิติศาสตร์",K197="S1",U197&gt;=1),EDATE(R197,12),AND(AO197="K5-POLICY",AL197&lt;&gt;"นิติศาสตร์",OR(K197="S2",K197="K5")),R197,TRUE,"Check Data")</f>
        <v/>
      </c>
      <c r="AQ197" s="75" t="str">
        <f t="shared" si="95"/>
        <v>Check Data</v>
      </c>
      <c r="AR197" s="76" t="str">
        <f t="shared" si="96"/>
        <v>Check Data</v>
      </c>
      <c r="AS197" s="50" t="str">
        <f t="shared" si="97"/>
        <v>Check Data</v>
      </c>
      <c r="AT197" s="49" t="str">
        <f>IF(B197="","",IF(K197="S1","S1",INDEX(#REF!,#REF!)))</f>
        <v/>
      </c>
      <c r="AU197" s="49" t="str">
        <f t="shared" si="98"/>
        <v>M2</v>
      </c>
      <c r="AV197" s="50" t="b">
        <f t="shared" si="99"/>
        <v>0</v>
      </c>
      <c r="AW197" s="50"/>
    </row>
    <row r="198" spans="1:49" ht="21.75">
      <c r="A198" s="49">
        <v>196</v>
      </c>
      <c r="B198" s="50"/>
      <c r="C198" s="50"/>
      <c r="D198" s="50" t="s">
        <v>140</v>
      </c>
      <c r="E198" s="49" t="s">
        <v>461</v>
      </c>
      <c r="F198" s="49" t="str">
        <f t="shared" si="75"/>
        <v>25/03/1996</v>
      </c>
      <c r="G198" s="50">
        <f t="shared" si="76"/>
        <v>29</v>
      </c>
      <c r="H198" s="50">
        <f t="shared" si="77"/>
        <v>2</v>
      </c>
      <c r="I198" s="50">
        <f t="shared" si="78"/>
        <v>26</v>
      </c>
      <c r="J198" s="57"/>
      <c r="K198" s="49" t="s">
        <v>136</v>
      </c>
      <c r="L198" s="49" t="str">
        <f>IF(B198="","",IF(K198="S1",K198,INDEX(#REF!,#REF!)))</f>
        <v/>
      </c>
      <c r="M198" s="49" t="b">
        <f t="shared" si="79"/>
        <v>0</v>
      </c>
      <c r="N198" s="64"/>
      <c r="O198" s="49" t="s">
        <v>426</v>
      </c>
      <c r="P198" s="49">
        <v>2573</v>
      </c>
      <c r="Q198" s="65" t="s">
        <v>460</v>
      </c>
      <c r="R198" s="49" t="str">
        <f t="shared" si="80"/>
        <v>29/09/2023</v>
      </c>
      <c r="S198" s="49" t="str">
        <f>IF(B198="","",IF(K198="S1",K198,INDEX(#REF!,#REF!)))</f>
        <v/>
      </c>
      <c r="T198" s="49" t="b">
        <f t="shared" si="81"/>
        <v>0</v>
      </c>
      <c r="U198" s="68">
        <f t="shared" si="82"/>
        <v>1</v>
      </c>
      <c r="V198" s="68">
        <f t="shared" si="83"/>
        <v>8</v>
      </c>
      <c r="W198" s="68">
        <f t="shared" si="84"/>
        <v>22</v>
      </c>
      <c r="X198" s="68"/>
      <c r="Y198" s="65"/>
      <c r="Z198" s="65"/>
      <c r="AA198" s="49" t="str">
        <f t="shared" si="85"/>
        <v/>
      </c>
      <c r="AB198" s="68">
        <f t="shared" si="86"/>
        <v>0</v>
      </c>
      <c r="AC198" s="68">
        <f t="shared" si="87"/>
        <v>0</v>
      </c>
      <c r="AD198" s="68">
        <f t="shared" si="88"/>
        <v>0</v>
      </c>
      <c r="AE198" s="49"/>
      <c r="AF198" s="65"/>
      <c r="AG198" s="50" t="str">
        <f t="shared" si="89"/>
        <v/>
      </c>
      <c r="AH198" s="68">
        <f t="shared" si="90"/>
        <v>0</v>
      </c>
      <c r="AI198" s="68">
        <f t="shared" si="91"/>
        <v>0</v>
      </c>
      <c r="AJ198" s="68">
        <f t="shared" si="92"/>
        <v>0</v>
      </c>
      <c r="AK198" s="50"/>
      <c r="AL198" s="50" t="s">
        <v>138</v>
      </c>
      <c r="AM198" s="50" t="str">
        <f>IF(B198="","",IF(K198="S1",K198,INDEX(#REF!,#REF!)))</f>
        <v/>
      </c>
      <c r="AN198" s="50" t="b">
        <f t="shared" si="93"/>
        <v>0</v>
      </c>
      <c r="AO198" s="49" t="str">
        <f t="shared" si="94"/>
        <v>K5-LAW</v>
      </c>
      <c r="AP198" s="72" t="str">
        <f>_xlfn.IFS(B198="","",AND(AO198="K5-LAW",AL198="นิติศาสตร์",K198="S2",Y198="",AE198=""),R198,AND(AO198="K5-LAW",AL198="นิติศาสตร์",K198="S1",Y198="",AE198=""),EDATE(R198,12),AND(AO198="K5-LAW",AL198="นิติศาสตร์",OR(K198="M2",K198="K4"),Y198="",AE198=""),EDATE(R198,12*2),AND(AO198="K5-LAW",AL198="นิติศาสตร์",OR(AE198="M2",AE198="K4"),AH198&gt;=2,OR(AG198&lt;AA198,AG198&lt;R198)),EDATE(AG198,12*2),AND(AO198="K5-LAW",AL198="นิติศาสตร์",AE198="S1",AH198&gt;=1,OR(AG198&lt;AA198,AG198&lt;R198)),EDATE(AG198,12),AND(AO198="K5-LAW",AL198="นิติศาสตร์",OR(Y198="M2",Y198="K4"),AB198&gt;=2,AA198&lt;R198),EDATE(AA198,12*2),AND(AO198="K5-LAW",AL198="นิติศาสตร์",Y198="S1",AB198&gt;=1,AA198&lt;R198),EDATE(AA198,12),AND(AO198="K5-LAW",AL198="นิติศาสตร์",OR(Y198="S2",Y198="K5")),AA198,AND(AO198="K5-LAW",AL198="นิติศาสตร์",OR(K198="M2",K198="K4"),U198&gt;=2),EDATE(R198,12*2),AND(AO198="K5-LAW",AL198="นิติศาสตร์",K198="S1",U198&gt;=1),EDATE(R198,12),AND(AO198="K5-LAW",AL198="นิติศาสตร์",OR(K198="S2",K198="K5")),R198,AND(AO198="K5-POLICY",AL198&lt;&gt;"นิติศาสตร์",K198="S2",Y198="",AE198=""),R198,AND(AO198="K5-POLICY",AL198&lt;&gt;"นิติศาสตร์",K198="S1",Y198="",AE198=""),EDATE(R198,12),AND(AO198="K5-POLICY",AL198&lt;&gt;"นิติศาสตร์",OR(K198="M2",K198="K4"),Y198="",AE198=""),EDATE(R198,12*2),AND(AO198="K5-POLICY",AL198&lt;&gt;"นิติศาสตร์",OR(AE198="M2",AE198="K4"),AH198&gt;=2,OR(AG198&lt;AA198,AG198&lt;R198)),EDATE(AG198,12*2),AND(AO198="K5-POLICY",AL198&lt;&gt;"นิติศาสตร์",AE198="S1",AH198&gt;=1,OR(AG198&lt;AA198,AG198&lt;R198)),EDATE(AG198,12),AND(AO198="K5-POLICY",AL198&lt;&gt;"นิติศาสตร์",OR(Y198="M2",Y198="K4"),AB198&gt;=2,AA198&lt;R198),EDATE(AA198,12*2),AND(AO198="K5-POLICY",AL198&lt;&gt;"นิติศาสตร์",Y198="S1",AB198&gt;=1,AA198&lt;R198),EDATE(AA198,12),AND(AO198="K5-POLICY",AL198&lt;&gt;"นิติศาสตร์",OR(Y198="S2",Y198="K5")),AA198,AND(AO198="K5-POLICY",AL198&lt;&gt;"นิติศาสตร์",OR(K198="M2",K198="K4"),U198&gt;=2),EDATE(R198,12*2),AND(AO198="K5-POLICY",AL198&lt;&gt;"นิติศาสตร์",K198="S1",U198&gt;=1),EDATE(R198,12),AND(AO198="K5-POLICY",AL198&lt;&gt;"นิติศาสตร์",OR(K198="S2",K198="K5")),R198,TRUE,"Check Data")</f>
        <v/>
      </c>
      <c r="AQ198" s="75" t="str">
        <f t="shared" si="95"/>
        <v>Check Data</v>
      </c>
      <c r="AR198" s="76" t="str">
        <f t="shared" si="96"/>
        <v>Check Data</v>
      </c>
      <c r="AS198" s="50" t="str">
        <f t="shared" si="97"/>
        <v>Check Data</v>
      </c>
      <c r="AT198" s="49" t="str">
        <f>IF(B198="","",IF(K198="S1","S1",INDEX(#REF!,#REF!)))</f>
        <v/>
      </c>
      <c r="AU198" s="49" t="str">
        <f t="shared" si="98"/>
        <v>M2</v>
      </c>
      <c r="AV198" s="50" t="b">
        <f t="shared" si="99"/>
        <v>0</v>
      </c>
      <c r="AW198" s="50"/>
    </row>
    <row r="199" spans="1:49" ht="21.75">
      <c r="A199" s="49">
        <v>197</v>
      </c>
      <c r="B199" s="50"/>
      <c r="C199" s="50"/>
      <c r="D199" s="50" t="s">
        <v>140</v>
      </c>
      <c r="E199" s="49" t="s">
        <v>462</v>
      </c>
      <c r="F199" s="49" t="str">
        <f t="shared" si="75"/>
        <v>02/10/2006</v>
      </c>
      <c r="G199" s="50">
        <f t="shared" si="76"/>
        <v>18</v>
      </c>
      <c r="H199" s="50">
        <f t="shared" si="77"/>
        <v>8</v>
      </c>
      <c r="I199" s="50">
        <f t="shared" si="78"/>
        <v>18</v>
      </c>
      <c r="J199" s="57"/>
      <c r="K199" s="49" t="s">
        <v>136</v>
      </c>
      <c r="L199" s="49" t="str">
        <f>IF(B199="","",IF(K199="S1",K199,INDEX(#REF!,#REF!)))</f>
        <v/>
      </c>
      <c r="M199" s="49" t="b">
        <f t="shared" si="79"/>
        <v>0</v>
      </c>
      <c r="N199" s="64"/>
      <c r="O199" s="49" t="s">
        <v>426</v>
      </c>
      <c r="P199" s="49">
        <v>2582</v>
      </c>
      <c r="Q199" s="65" t="s">
        <v>460</v>
      </c>
      <c r="R199" s="49" t="str">
        <f t="shared" si="80"/>
        <v>29/09/2023</v>
      </c>
      <c r="S199" s="49" t="str">
        <f>IF(B199="","",IF(K199="S1",K199,INDEX(#REF!,#REF!)))</f>
        <v/>
      </c>
      <c r="T199" s="49" t="b">
        <f t="shared" si="81"/>
        <v>0</v>
      </c>
      <c r="U199" s="68">
        <f t="shared" si="82"/>
        <v>1</v>
      </c>
      <c r="V199" s="68">
        <f t="shared" si="83"/>
        <v>8</v>
      </c>
      <c r="W199" s="68">
        <f t="shared" si="84"/>
        <v>22</v>
      </c>
      <c r="X199" s="68"/>
      <c r="Y199" s="65"/>
      <c r="Z199" s="65"/>
      <c r="AA199" s="49" t="str">
        <f t="shared" si="85"/>
        <v/>
      </c>
      <c r="AB199" s="68">
        <f t="shared" si="86"/>
        <v>0</v>
      </c>
      <c r="AC199" s="68">
        <f t="shared" si="87"/>
        <v>0</v>
      </c>
      <c r="AD199" s="68">
        <f t="shared" si="88"/>
        <v>0</v>
      </c>
      <c r="AE199" s="49"/>
      <c r="AF199" s="65"/>
      <c r="AG199" s="50" t="str">
        <f t="shared" si="89"/>
        <v/>
      </c>
      <c r="AH199" s="68">
        <f t="shared" si="90"/>
        <v>0</v>
      </c>
      <c r="AI199" s="68">
        <f t="shared" si="91"/>
        <v>0</v>
      </c>
      <c r="AJ199" s="68">
        <f t="shared" si="92"/>
        <v>0</v>
      </c>
      <c r="AK199" s="50"/>
      <c r="AL199" s="50" t="s">
        <v>138</v>
      </c>
      <c r="AM199" s="50" t="str">
        <f>IF(B199="","",IF(K199="S1",K199,INDEX(#REF!,#REF!)))</f>
        <v/>
      </c>
      <c r="AN199" s="50" t="b">
        <f t="shared" si="93"/>
        <v>0</v>
      </c>
      <c r="AO199" s="49" t="str">
        <f t="shared" si="94"/>
        <v>K5-LAW</v>
      </c>
      <c r="AP199" s="72" t="str">
        <f>_xlfn.IFS(B199="","",AND(AO199="K5-LAW",AL199="นิติศาสตร์",K199="S2",Y199="",AE199=""),R199,AND(AO199="K5-LAW",AL199="นิติศาสตร์",K199="S1",Y199="",AE199=""),EDATE(R199,12),AND(AO199="K5-LAW",AL199="นิติศาสตร์",OR(K199="M2",K199="K4"),Y199="",AE199=""),EDATE(R199,12*2),AND(AO199="K5-LAW",AL199="นิติศาสตร์",OR(AE199="M2",AE199="K4"),AH199&gt;=2,OR(AG199&lt;AA199,AG199&lt;R199)),EDATE(AG199,12*2),AND(AO199="K5-LAW",AL199="นิติศาสตร์",AE199="S1",AH199&gt;=1,OR(AG199&lt;AA199,AG199&lt;R199)),EDATE(AG199,12),AND(AO199="K5-LAW",AL199="นิติศาสตร์",OR(Y199="M2",Y199="K4"),AB199&gt;=2,AA199&lt;R199),EDATE(AA199,12*2),AND(AO199="K5-LAW",AL199="นิติศาสตร์",Y199="S1",AB199&gt;=1,AA199&lt;R199),EDATE(AA199,12),AND(AO199="K5-LAW",AL199="นิติศาสตร์",OR(Y199="S2",Y199="K5")),AA199,AND(AO199="K5-LAW",AL199="นิติศาสตร์",OR(K199="M2",K199="K4"),U199&gt;=2),EDATE(R199,12*2),AND(AO199="K5-LAW",AL199="นิติศาสตร์",K199="S1",U199&gt;=1),EDATE(R199,12),AND(AO199="K5-LAW",AL199="นิติศาสตร์",OR(K199="S2",K199="K5")),R199,AND(AO199="K5-POLICY",AL199&lt;&gt;"นิติศาสตร์",K199="S2",Y199="",AE199=""),R199,AND(AO199="K5-POLICY",AL199&lt;&gt;"นิติศาสตร์",K199="S1",Y199="",AE199=""),EDATE(R199,12),AND(AO199="K5-POLICY",AL199&lt;&gt;"นิติศาสตร์",OR(K199="M2",K199="K4"),Y199="",AE199=""),EDATE(R199,12*2),AND(AO199="K5-POLICY",AL199&lt;&gt;"นิติศาสตร์",OR(AE199="M2",AE199="K4"),AH199&gt;=2,OR(AG199&lt;AA199,AG199&lt;R199)),EDATE(AG199,12*2),AND(AO199="K5-POLICY",AL199&lt;&gt;"นิติศาสตร์",AE199="S1",AH199&gt;=1,OR(AG199&lt;AA199,AG199&lt;R199)),EDATE(AG199,12),AND(AO199="K5-POLICY",AL199&lt;&gt;"นิติศาสตร์",OR(Y199="M2",Y199="K4"),AB199&gt;=2,AA199&lt;R199),EDATE(AA199,12*2),AND(AO199="K5-POLICY",AL199&lt;&gt;"นิติศาสตร์",Y199="S1",AB199&gt;=1,AA199&lt;R199),EDATE(AA199,12),AND(AO199="K5-POLICY",AL199&lt;&gt;"นิติศาสตร์",OR(Y199="S2",Y199="K5")),AA199,AND(AO199="K5-POLICY",AL199&lt;&gt;"นิติศาสตร์",OR(K199="M2",K199="K4"),U199&gt;=2),EDATE(R199,12*2),AND(AO199="K5-POLICY",AL199&lt;&gt;"นิติศาสตร์",K199="S1",U199&gt;=1),EDATE(R199,12),AND(AO199="K5-POLICY",AL199&lt;&gt;"นิติศาสตร์",OR(K199="S2",K199="K5")),R199,TRUE,"Check Data")</f>
        <v/>
      </c>
      <c r="AQ199" s="75" t="str">
        <f t="shared" si="95"/>
        <v>Check Data</v>
      </c>
      <c r="AR199" s="76" t="str">
        <f t="shared" si="96"/>
        <v>Check Data</v>
      </c>
      <c r="AS199" s="50" t="str">
        <f t="shared" si="97"/>
        <v>Check Data</v>
      </c>
      <c r="AT199" s="49" t="str">
        <f>IF(B199="","",IF(K199="S1","S1",INDEX(#REF!,#REF!)))</f>
        <v/>
      </c>
      <c r="AU199" s="49" t="str">
        <f t="shared" si="98"/>
        <v>M2</v>
      </c>
      <c r="AV199" s="50" t="b">
        <f t="shared" si="99"/>
        <v>0</v>
      </c>
      <c r="AW199" s="50"/>
    </row>
    <row r="200" spans="1:49" ht="21.75">
      <c r="A200" s="49">
        <v>198</v>
      </c>
      <c r="B200" s="50"/>
      <c r="C200" s="50"/>
      <c r="D200" s="50" t="s">
        <v>139</v>
      </c>
      <c r="E200" s="49" t="s">
        <v>208</v>
      </c>
      <c r="F200" s="49" t="str">
        <f t="shared" si="75"/>
        <v>01/02/1990</v>
      </c>
      <c r="G200" s="50">
        <f t="shared" si="76"/>
        <v>35</v>
      </c>
      <c r="H200" s="50">
        <f t="shared" si="77"/>
        <v>4</v>
      </c>
      <c r="I200" s="50">
        <f t="shared" si="78"/>
        <v>19</v>
      </c>
      <c r="J200" s="56"/>
      <c r="K200" s="49" t="s">
        <v>136</v>
      </c>
      <c r="L200" s="49" t="str">
        <f>IF(B200="","",IF(K200="S1",K200,INDEX(#REF!,#REF!)))</f>
        <v/>
      </c>
      <c r="M200" s="49" t="b">
        <f t="shared" si="79"/>
        <v>0</v>
      </c>
      <c r="N200" s="64"/>
      <c r="O200" s="49" t="s">
        <v>427</v>
      </c>
      <c r="P200" s="49">
        <v>2570</v>
      </c>
      <c r="Q200" s="65" t="s">
        <v>227</v>
      </c>
      <c r="R200" s="49" t="str">
        <f t="shared" si="80"/>
        <v>12/10/2023</v>
      </c>
      <c r="S200" s="49" t="str">
        <f>IF(B200="","",IF(K200="S1",K200,INDEX(#REF!,#REF!)))</f>
        <v/>
      </c>
      <c r="T200" s="49" t="b">
        <f t="shared" si="81"/>
        <v>0</v>
      </c>
      <c r="U200" s="68">
        <f t="shared" si="82"/>
        <v>1</v>
      </c>
      <c r="V200" s="68">
        <f t="shared" si="83"/>
        <v>8</v>
      </c>
      <c r="W200" s="68">
        <f t="shared" si="84"/>
        <v>8</v>
      </c>
      <c r="X200" s="68"/>
      <c r="Y200" s="65"/>
      <c r="Z200" s="65"/>
      <c r="AA200" s="49" t="str">
        <f t="shared" si="85"/>
        <v/>
      </c>
      <c r="AB200" s="68">
        <f t="shared" si="86"/>
        <v>0</v>
      </c>
      <c r="AC200" s="68">
        <f t="shared" si="87"/>
        <v>0</v>
      </c>
      <c r="AD200" s="68">
        <f t="shared" si="88"/>
        <v>0</v>
      </c>
      <c r="AE200" s="49"/>
      <c r="AF200" s="65"/>
      <c r="AG200" s="50" t="str">
        <f t="shared" si="89"/>
        <v/>
      </c>
      <c r="AH200" s="68">
        <f t="shared" si="90"/>
        <v>0</v>
      </c>
      <c r="AI200" s="68">
        <f t="shared" si="91"/>
        <v>0</v>
      </c>
      <c r="AJ200" s="68">
        <f t="shared" si="92"/>
        <v>0</v>
      </c>
      <c r="AK200" s="50"/>
      <c r="AL200" s="50" t="s">
        <v>167</v>
      </c>
      <c r="AM200" s="50" t="str">
        <f>IF(B200="","",IF(K200="S1",K200,INDEX(#REF!,#REF!)))</f>
        <v/>
      </c>
      <c r="AN200" s="50" t="b">
        <f t="shared" si="93"/>
        <v>0</v>
      </c>
      <c r="AO200" s="49" t="str">
        <f t="shared" si="94"/>
        <v>K5-POLICY</v>
      </c>
      <c r="AP200" s="72" t="str">
        <f>_xlfn.IFS(B200="","",AND(AO200="K5-LAW",AL200="นิติศาสตร์",K200="S2",Y200="",AE200=""),R200,AND(AO200="K5-LAW",AL200="นิติศาสตร์",K200="S1",Y200="",AE200=""),EDATE(R200,12),AND(AO200="K5-LAW",AL200="นิติศาสตร์",OR(K200="M2",K200="K4"),Y200="",AE200=""),EDATE(R200,12*2),AND(AO200="K5-LAW",AL200="นิติศาสตร์",OR(AE200="M2",AE200="K4"),AH200&gt;=2,OR(AG200&lt;AA200,AG200&lt;R200)),EDATE(AG200,12*2),AND(AO200="K5-LAW",AL200="นิติศาสตร์",AE200="S1",AH200&gt;=1,OR(AG200&lt;AA200,AG200&lt;R200)),EDATE(AG200,12),AND(AO200="K5-LAW",AL200="นิติศาสตร์",OR(Y200="M2",Y200="K4"),AB200&gt;=2,AA200&lt;R200),EDATE(AA200,12*2),AND(AO200="K5-LAW",AL200="นิติศาสตร์",Y200="S1",AB200&gt;=1,AA200&lt;R200),EDATE(AA200,12),AND(AO200="K5-LAW",AL200="นิติศาสตร์",OR(Y200="S2",Y200="K5")),AA200,AND(AO200="K5-LAW",AL200="นิติศาสตร์",OR(K200="M2",K200="K4"),U200&gt;=2),EDATE(R200,12*2),AND(AO200="K5-LAW",AL200="นิติศาสตร์",K200="S1",U200&gt;=1),EDATE(R200,12),AND(AO200="K5-LAW",AL200="นิติศาสตร์",OR(K200="S2",K200="K5")),R200,AND(AO200="K5-POLICY",AL200&lt;&gt;"นิติศาสตร์",K200="S2",Y200="",AE200=""),R200,AND(AO200="K5-POLICY",AL200&lt;&gt;"นิติศาสตร์",K200="S1",Y200="",AE200=""),EDATE(R200,12),AND(AO200="K5-POLICY",AL200&lt;&gt;"นิติศาสตร์",OR(K200="M2",K200="K4"),Y200="",AE200=""),EDATE(R200,12*2),AND(AO200="K5-POLICY",AL200&lt;&gt;"นิติศาสตร์",OR(AE200="M2",AE200="K4"),AH200&gt;=2,OR(AG200&lt;AA200,AG200&lt;R200)),EDATE(AG200,12*2),AND(AO200="K5-POLICY",AL200&lt;&gt;"นิติศาสตร์",AE200="S1",AH200&gt;=1,OR(AG200&lt;AA200,AG200&lt;R200)),EDATE(AG200,12),AND(AO200="K5-POLICY",AL200&lt;&gt;"นิติศาสตร์",OR(Y200="M2",Y200="K4"),AB200&gt;=2,AA200&lt;R200),EDATE(AA200,12*2),AND(AO200="K5-POLICY",AL200&lt;&gt;"นิติศาสตร์",Y200="S1",AB200&gt;=1,AA200&lt;R200),EDATE(AA200,12),AND(AO200="K5-POLICY",AL200&lt;&gt;"นิติศาสตร์",OR(Y200="S2",Y200="K5")),AA200,AND(AO200="K5-POLICY",AL200&lt;&gt;"นิติศาสตร์",OR(K200="M2",K200="K4"),U200&gt;=2),EDATE(R200,12*2),AND(AO200="K5-POLICY",AL200&lt;&gt;"นิติศาสตร์",K200="S1",U200&gt;=1),EDATE(R200,12),AND(AO200="K5-POLICY",AL200&lt;&gt;"นิติศาสตร์",OR(K200="S2",K200="K5")),R200,TRUE,"Check Data")</f>
        <v/>
      </c>
      <c r="AQ200" s="75" t="str">
        <f t="shared" si="95"/>
        <v>Check Data</v>
      </c>
      <c r="AR200" s="76" t="str">
        <f t="shared" si="96"/>
        <v>Check Data</v>
      </c>
      <c r="AS200" s="50" t="str">
        <f t="shared" si="97"/>
        <v>Check Data</v>
      </c>
      <c r="AT200" s="49" t="str">
        <f>IF(B200="","",IF(K200="S1","S1",INDEX(#REF!,#REF!)))</f>
        <v/>
      </c>
      <c r="AU200" s="49" t="str">
        <f t="shared" si="98"/>
        <v>M2</v>
      </c>
      <c r="AV200" s="50" t="b">
        <f t="shared" si="99"/>
        <v>0</v>
      </c>
      <c r="AW200" s="50"/>
    </row>
    <row r="201" spans="1:49" ht="21.75">
      <c r="A201" s="49">
        <v>199</v>
      </c>
      <c r="B201" s="50"/>
      <c r="C201" s="50"/>
      <c r="D201" s="50" t="s">
        <v>139</v>
      </c>
      <c r="E201" s="49" t="s">
        <v>164</v>
      </c>
      <c r="F201" s="49" t="str">
        <f t="shared" si="75"/>
        <v>01/05/1990</v>
      </c>
      <c r="G201" s="50">
        <f t="shared" si="76"/>
        <v>35</v>
      </c>
      <c r="H201" s="50">
        <f t="shared" si="77"/>
        <v>1</v>
      </c>
      <c r="I201" s="50">
        <f t="shared" si="78"/>
        <v>19</v>
      </c>
      <c r="J201" s="56"/>
      <c r="K201" s="49" t="s">
        <v>136</v>
      </c>
      <c r="L201" s="49" t="str">
        <f>IF(B201="","",IF(K201="S1",K201,INDEX(#REF!,#REF!)))</f>
        <v/>
      </c>
      <c r="M201" s="49" t="b">
        <f t="shared" si="79"/>
        <v>0</v>
      </c>
      <c r="N201" s="64"/>
      <c r="O201" s="49" t="s">
        <v>427</v>
      </c>
      <c r="P201" s="49">
        <v>2569</v>
      </c>
      <c r="Q201" s="65" t="s">
        <v>227</v>
      </c>
      <c r="R201" s="49" t="str">
        <f t="shared" si="80"/>
        <v>12/10/2023</v>
      </c>
      <c r="S201" s="49" t="str">
        <f>IF(B201="","",IF(K201="S1",K201,INDEX(#REF!,#REF!)))</f>
        <v/>
      </c>
      <c r="T201" s="49" t="b">
        <f t="shared" si="81"/>
        <v>0</v>
      </c>
      <c r="U201" s="68">
        <f t="shared" si="82"/>
        <v>1</v>
      </c>
      <c r="V201" s="68">
        <f t="shared" si="83"/>
        <v>8</v>
      </c>
      <c r="W201" s="68">
        <f t="shared" si="84"/>
        <v>8</v>
      </c>
      <c r="X201" s="68"/>
      <c r="Y201" s="65"/>
      <c r="Z201" s="65"/>
      <c r="AA201" s="49" t="str">
        <f t="shared" si="85"/>
        <v/>
      </c>
      <c r="AB201" s="68">
        <f t="shared" si="86"/>
        <v>0</v>
      </c>
      <c r="AC201" s="68">
        <f t="shared" si="87"/>
        <v>0</v>
      </c>
      <c r="AD201" s="68">
        <f t="shared" si="88"/>
        <v>0</v>
      </c>
      <c r="AE201" s="49"/>
      <c r="AF201" s="65"/>
      <c r="AG201" s="50" t="str">
        <f t="shared" si="89"/>
        <v/>
      </c>
      <c r="AH201" s="68">
        <f t="shared" si="90"/>
        <v>0</v>
      </c>
      <c r="AI201" s="68">
        <f t="shared" si="91"/>
        <v>0</v>
      </c>
      <c r="AJ201" s="68">
        <f t="shared" si="92"/>
        <v>0</v>
      </c>
      <c r="AK201" s="50"/>
      <c r="AL201" s="50" t="s">
        <v>167</v>
      </c>
      <c r="AM201" s="50" t="str">
        <f>IF(B201="","",IF(K201="S1",K201,INDEX(#REF!,#REF!)))</f>
        <v/>
      </c>
      <c r="AN201" s="50" t="b">
        <f t="shared" si="93"/>
        <v>0</v>
      </c>
      <c r="AO201" s="49" t="str">
        <f t="shared" si="94"/>
        <v>K5-POLICY</v>
      </c>
      <c r="AP201" s="72" t="str">
        <f>_xlfn.IFS(B201="","",AND(AO201="K5-LAW",AL201="นิติศาสตร์",K201="S2",Y201="",AE201=""),R201,AND(AO201="K5-LAW",AL201="นิติศาสตร์",K201="S1",Y201="",AE201=""),EDATE(R201,12),AND(AO201="K5-LAW",AL201="นิติศาสตร์",OR(K201="M2",K201="K4"),Y201="",AE201=""),EDATE(R201,12*2),AND(AO201="K5-LAW",AL201="นิติศาสตร์",OR(AE201="M2",AE201="K4"),AH201&gt;=2,OR(AG201&lt;AA201,AG201&lt;R201)),EDATE(AG201,12*2),AND(AO201="K5-LAW",AL201="นิติศาสตร์",AE201="S1",AH201&gt;=1,OR(AG201&lt;AA201,AG201&lt;R201)),EDATE(AG201,12),AND(AO201="K5-LAW",AL201="นิติศาสตร์",OR(Y201="M2",Y201="K4"),AB201&gt;=2,AA201&lt;R201),EDATE(AA201,12*2),AND(AO201="K5-LAW",AL201="นิติศาสตร์",Y201="S1",AB201&gt;=1,AA201&lt;R201),EDATE(AA201,12),AND(AO201="K5-LAW",AL201="นิติศาสตร์",OR(Y201="S2",Y201="K5")),AA201,AND(AO201="K5-LAW",AL201="นิติศาสตร์",OR(K201="M2",K201="K4"),U201&gt;=2),EDATE(R201,12*2),AND(AO201="K5-LAW",AL201="นิติศาสตร์",K201="S1",U201&gt;=1),EDATE(R201,12),AND(AO201="K5-LAW",AL201="นิติศาสตร์",OR(K201="S2",K201="K5")),R201,AND(AO201="K5-POLICY",AL201&lt;&gt;"นิติศาสตร์",K201="S2",Y201="",AE201=""),R201,AND(AO201="K5-POLICY",AL201&lt;&gt;"นิติศาสตร์",K201="S1",Y201="",AE201=""),EDATE(R201,12),AND(AO201="K5-POLICY",AL201&lt;&gt;"นิติศาสตร์",OR(K201="M2",K201="K4"),Y201="",AE201=""),EDATE(R201,12*2),AND(AO201="K5-POLICY",AL201&lt;&gt;"นิติศาสตร์",OR(AE201="M2",AE201="K4"),AH201&gt;=2,OR(AG201&lt;AA201,AG201&lt;R201)),EDATE(AG201,12*2),AND(AO201="K5-POLICY",AL201&lt;&gt;"นิติศาสตร์",AE201="S1",AH201&gt;=1,OR(AG201&lt;AA201,AG201&lt;R201)),EDATE(AG201,12),AND(AO201="K5-POLICY",AL201&lt;&gt;"นิติศาสตร์",OR(Y201="M2",Y201="K4"),AB201&gt;=2,AA201&lt;R201),EDATE(AA201,12*2),AND(AO201="K5-POLICY",AL201&lt;&gt;"นิติศาสตร์",Y201="S1",AB201&gt;=1,AA201&lt;R201),EDATE(AA201,12),AND(AO201="K5-POLICY",AL201&lt;&gt;"นิติศาสตร์",OR(Y201="S2",Y201="K5")),AA201,AND(AO201="K5-POLICY",AL201&lt;&gt;"นิติศาสตร์",OR(K201="M2",K201="K4"),U201&gt;=2),EDATE(R201,12*2),AND(AO201="K5-POLICY",AL201&lt;&gt;"นิติศาสตร์",K201="S1",U201&gt;=1),EDATE(R201,12),AND(AO201="K5-POLICY",AL201&lt;&gt;"นิติศาสตร์",OR(K201="S2",K201="K5")),R201,TRUE,"Check Data")</f>
        <v/>
      </c>
      <c r="AQ201" s="75" t="str">
        <f t="shared" si="95"/>
        <v>Check Data</v>
      </c>
      <c r="AR201" s="76" t="str">
        <f t="shared" si="96"/>
        <v>Check Data</v>
      </c>
      <c r="AS201" s="50" t="str">
        <f t="shared" si="97"/>
        <v>Check Data</v>
      </c>
      <c r="AT201" s="49" t="str">
        <f>IF(B201="","",IF(K201="S1","S1",INDEX(#REF!,#REF!)))</f>
        <v/>
      </c>
      <c r="AU201" s="49" t="str">
        <f t="shared" si="98"/>
        <v>M2</v>
      </c>
      <c r="AV201" s="50" t="b">
        <f t="shared" si="99"/>
        <v>0</v>
      </c>
      <c r="AW201" s="50"/>
    </row>
    <row r="202" spans="1:49" ht="21.75">
      <c r="A202" s="49">
        <v>200</v>
      </c>
      <c r="B202" s="50"/>
      <c r="C202" s="50"/>
      <c r="D202" s="50" t="s">
        <v>139</v>
      </c>
      <c r="E202" s="49" t="s">
        <v>232</v>
      </c>
      <c r="F202" s="49" t="str">
        <f t="shared" si="75"/>
        <v>02/12/1991</v>
      </c>
      <c r="G202" s="50">
        <f t="shared" si="76"/>
        <v>33</v>
      </c>
      <c r="H202" s="50">
        <f t="shared" si="77"/>
        <v>6</v>
      </c>
      <c r="I202" s="50">
        <f t="shared" si="78"/>
        <v>18</v>
      </c>
      <c r="J202" s="56"/>
      <c r="K202" s="49" t="s">
        <v>136</v>
      </c>
      <c r="L202" s="49" t="str">
        <f>IF(B202="","",IF(K202="S1",K202,INDEX(#REF!,#REF!)))</f>
        <v/>
      </c>
      <c r="M202" s="49" t="b">
        <f t="shared" si="79"/>
        <v>0</v>
      </c>
      <c r="N202" s="64"/>
      <c r="O202" s="49" t="s">
        <v>427</v>
      </c>
      <c r="P202" s="49">
        <v>2570</v>
      </c>
      <c r="Q202" s="65" t="s">
        <v>227</v>
      </c>
      <c r="R202" s="49" t="str">
        <f t="shared" si="80"/>
        <v>12/10/2023</v>
      </c>
      <c r="S202" s="49" t="str">
        <f>IF(B202="","",IF(K202="S1",K202,INDEX(#REF!,#REF!)))</f>
        <v/>
      </c>
      <c r="T202" s="49" t="b">
        <f t="shared" si="81"/>
        <v>0</v>
      </c>
      <c r="U202" s="68">
        <f t="shared" si="82"/>
        <v>1</v>
      </c>
      <c r="V202" s="68">
        <f t="shared" si="83"/>
        <v>8</v>
      </c>
      <c r="W202" s="68">
        <f t="shared" si="84"/>
        <v>8</v>
      </c>
      <c r="X202" s="68"/>
      <c r="Y202" s="65"/>
      <c r="Z202" s="65"/>
      <c r="AA202" s="49" t="str">
        <f t="shared" si="85"/>
        <v/>
      </c>
      <c r="AB202" s="68">
        <f t="shared" si="86"/>
        <v>0</v>
      </c>
      <c r="AC202" s="68">
        <f t="shared" si="87"/>
        <v>0</v>
      </c>
      <c r="AD202" s="68">
        <f t="shared" si="88"/>
        <v>0</v>
      </c>
      <c r="AE202" s="49"/>
      <c r="AF202" s="65"/>
      <c r="AG202" s="50" t="str">
        <f t="shared" si="89"/>
        <v/>
      </c>
      <c r="AH202" s="68">
        <f t="shared" si="90"/>
        <v>0</v>
      </c>
      <c r="AI202" s="68">
        <f t="shared" si="91"/>
        <v>0</v>
      </c>
      <c r="AJ202" s="68">
        <f t="shared" si="92"/>
        <v>0</v>
      </c>
      <c r="AK202" s="50"/>
      <c r="AL202" s="50" t="s">
        <v>165</v>
      </c>
      <c r="AM202" s="129" t="str">
        <f>IF(B202="","",IF(K202="S1",K202,INDEX(#REF!,#REF!)))</f>
        <v/>
      </c>
      <c r="AN202" s="50" t="b">
        <f t="shared" si="93"/>
        <v>0</v>
      </c>
      <c r="AO202" s="49" t="str">
        <f t="shared" si="94"/>
        <v>K5-POLICY</v>
      </c>
      <c r="AP202" s="72" t="str">
        <f>_xlfn.IFS(B202="","",AND(AO202="K5-LAW",AL202="นิติศาสตร์",K202="S2",Y202="",AE202=""),R202,AND(AO202="K5-LAW",AL202="นิติศาสตร์",K202="S1",Y202="",AE202=""),EDATE(R202,12),AND(AO202="K5-LAW",AL202="นิติศาสตร์",OR(K202="M2",K202="K4"),Y202="",AE202=""),EDATE(R202,12*2),AND(AO202="K5-LAW",AL202="นิติศาสตร์",OR(AE202="M2",AE202="K4"),AH202&gt;=2,OR(AG202&lt;AA202,AG202&lt;R202)),EDATE(AG202,12*2),AND(AO202="K5-LAW",AL202="นิติศาสตร์",AE202="S1",AH202&gt;=1,OR(AG202&lt;AA202,AG202&lt;R202)),EDATE(AG202,12),AND(AO202="K5-LAW",AL202="นิติศาสตร์",OR(Y202="M2",Y202="K4"),AB202&gt;=2,AA202&lt;R202),EDATE(AA202,12*2),AND(AO202="K5-LAW",AL202="นิติศาสตร์",Y202="S1",AB202&gt;=1,AA202&lt;R202),EDATE(AA202,12),AND(AO202="K5-LAW",AL202="นิติศาสตร์",OR(Y202="S2",Y202="K5")),AA202,AND(AO202="K5-LAW",AL202="นิติศาสตร์",OR(K202="M2",K202="K4"),U202&gt;=2),EDATE(R202,12*2),AND(AO202="K5-LAW",AL202="นิติศาสตร์",K202="S1",U202&gt;=1),EDATE(R202,12),AND(AO202="K5-LAW",AL202="นิติศาสตร์",OR(K202="S2",K202="K5")),R202,AND(AO202="K5-POLICY",AL202&lt;&gt;"นิติศาสตร์",K202="S2",Y202="",AE202=""),R202,AND(AO202="K5-POLICY",AL202&lt;&gt;"นิติศาสตร์",K202="S1",Y202="",AE202=""),EDATE(R202,12),AND(AO202="K5-POLICY",AL202&lt;&gt;"นิติศาสตร์",OR(K202="M2",K202="K4"),Y202="",AE202=""),EDATE(R202,12*2),AND(AO202="K5-POLICY",AL202&lt;&gt;"นิติศาสตร์",OR(AE202="M2",AE202="K4"),AH202&gt;=2,OR(AG202&lt;AA202,AG202&lt;R202)),EDATE(AG202,12*2),AND(AO202="K5-POLICY",AL202&lt;&gt;"นิติศาสตร์",AE202="S1",AH202&gt;=1,OR(AG202&lt;AA202,AG202&lt;R202)),EDATE(AG202,12),AND(AO202="K5-POLICY",AL202&lt;&gt;"นิติศาสตร์",OR(Y202="M2",Y202="K4"),AB202&gt;=2,AA202&lt;R202),EDATE(AA202,12*2),AND(AO202="K5-POLICY",AL202&lt;&gt;"นิติศาสตร์",Y202="S1",AB202&gt;=1,AA202&lt;R202),EDATE(AA202,12),AND(AO202="K5-POLICY",AL202&lt;&gt;"นิติศาสตร์",OR(Y202="S2",Y202="K5")),AA202,AND(AO202="K5-POLICY",AL202&lt;&gt;"นิติศาสตร์",OR(K202="M2",K202="K4"),U202&gt;=2),EDATE(R202,12*2),AND(AO202="K5-POLICY",AL202&lt;&gt;"นิติศาสตร์",K202="S1",U202&gt;=1),EDATE(R202,12),AND(AO202="K5-POLICY",AL202&lt;&gt;"นิติศาสตร์",OR(K202="S2",K202="K5")),R202,TRUE,"Check Data")</f>
        <v/>
      </c>
      <c r="AQ202" s="75" t="str">
        <f t="shared" si="95"/>
        <v>Check Data</v>
      </c>
      <c r="AR202" s="76" t="str">
        <f t="shared" si="96"/>
        <v>Check Data</v>
      </c>
      <c r="AS202" s="50" t="str">
        <f t="shared" si="97"/>
        <v>Check Data</v>
      </c>
      <c r="AT202" s="49" t="str">
        <f>IF(B202="","",IF(K202="S1","S1",INDEX(#REF!,#REF!)))</f>
        <v/>
      </c>
      <c r="AU202" s="49" t="str">
        <f t="shared" si="98"/>
        <v>M2</v>
      </c>
      <c r="AV202" s="50" t="b">
        <f t="shared" si="99"/>
        <v>0</v>
      </c>
      <c r="AW202" s="50"/>
    </row>
    <row r="203" spans="1:49" ht="21.75">
      <c r="A203" s="49">
        <v>201</v>
      </c>
      <c r="B203" s="50"/>
      <c r="C203" s="50"/>
      <c r="D203" s="50" t="s">
        <v>139</v>
      </c>
      <c r="E203" s="49" t="s">
        <v>226</v>
      </c>
      <c r="F203" s="49" t="str">
        <f t="shared" si="75"/>
        <v>11/11/1991</v>
      </c>
      <c r="G203" s="50">
        <f t="shared" si="76"/>
        <v>33</v>
      </c>
      <c r="H203" s="50">
        <f t="shared" si="77"/>
        <v>7</v>
      </c>
      <c r="I203" s="50">
        <f t="shared" si="78"/>
        <v>9</v>
      </c>
      <c r="J203" s="56"/>
      <c r="K203" s="49" t="s">
        <v>136</v>
      </c>
      <c r="L203" s="49" t="str">
        <f>IF(B203="","",IF(K203="S1",K203,INDEX(#REF!,#REF!)))</f>
        <v/>
      </c>
      <c r="M203" s="49" t="b">
        <f t="shared" si="79"/>
        <v>0</v>
      </c>
      <c r="N203" s="64"/>
      <c r="O203" s="49" t="s">
        <v>427</v>
      </c>
      <c r="P203" s="49">
        <v>2569</v>
      </c>
      <c r="Q203" s="65" t="s">
        <v>227</v>
      </c>
      <c r="R203" s="49" t="str">
        <f t="shared" si="80"/>
        <v>12/10/2023</v>
      </c>
      <c r="S203" s="49" t="str">
        <f>IF(B203="","",IF(K203="S1",K203,INDEX(#REF!,#REF!)))</f>
        <v/>
      </c>
      <c r="T203" s="49" t="b">
        <f t="shared" si="81"/>
        <v>0</v>
      </c>
      <c r="U203" s="68">
        <f t="shared" si="82"/>
        <v>1</v>
      </c>
      <c r="V203" s="68">
        <f t="shared" si="83"/>
        <v>8</v>
      </c>
      <c r="W203" s="68">
        <f t="shared" si="84"/>
        <v>8</v>
      </c>
      <c r="X203" s="68"/>
      <c r="Y203" s="65"/>
      <c r="Z203" s="65"/>
      <c r="AA203" s="49" t="str">
        <f t="shared" si="85"/>
        <v/>
      </c>
      <c r="AB203" s="68">
        <f t="shared" si="86"/>
        <v>0</v>
      </c>
      <c r="AC203" s="68">
        <f t="shared" si="87"/>
        <v>0</v>
      </c>
      <c r="AD203" s="68">
        <f t="shared" si="88"/>
        <v>0</v>
      </c>
      <c r="AE203" s="49"/>
      <c r="AF203" s="65"/>
      <c r="AG203" s="50" t="str">
        <f t="shared" si="89"/>
        <v/>
      </c>
      <c r="AH203" s="68">
        <f t="shared" si="90"/>
        <v>0</v>
      </c>
      <c r="AI203" s="68">
        <f t="shared" si="91"/>
        <v>0</v>
      </c>
      <c r="AJ203" s="68">
        <f t="shared" si="92"/>
        <v>0</v>
      </c>
      <c r="AK203" s="50"/>
      <c r="AL203" s="50" t="s">
        <v>165</v>
      </c>
      <c r="AM203" s="129" t="str">
        <f>IF(B203="","",IF(K203="S1",K203,INDEX(#REF!,#REF!)))</f>
        <v/>
      </c>
      <c r="AN203" s="50" t="b">
        <f t="shared" si="93"/>
        <v>0</v>
      </c>
      <c r="AO203" s="49" t="str">
        <f t="shared" si="94"/>
        <v>K5-POLICY</v>
      </c>
      <c r="AP203" s="72" t="str">
        <f>_xlfn.IFS(B203="","",AND(AO203="K5-LAW",AL203="นิติศาสตร์",K203="S2",Y203="",AE203=""),R203,AND(AO203="K5-LAW",AL203="นิติศาสตร์",K203="S1",Y203="",AE203=""),EDATE(R203,12),AND(AO203="K5-LAW",AL203="นิติศาสตร์",OR(K203="M2",K203="K4"),Y203="",AE203=""),EDATE(R203,12*2),AND(AO203="K5-LAW",AL203="นิติศาสตร์",OR(AE203="M2",AE203="K4"),AH203&gt;=2,OR(AG203&lt;AA203,AG203&lt;R203)),EDATE(AG203,12*2),AND(AO203="K5-LAW",AL203="นิติศาสตร์",AE203="S1",AH203&gt;=1,OR(AG203&lt;AA203,AG203&lt;R203)),EDATE(AG203,12),AND(AO203="K5-LAW",AL203="นิติศาสตร์",OR(Y203="M2",Y203="K4"),AB203&gt;=2,AA203&lt;R203),EDATE(AA203,12*2),AND(AO203="K5-LAW",AL203="นิติศาสตร์",Y203="S1",AB203&gt;=1,AA203&lt;R203),EDATE(AA203,12),AND(AO203="K5-LAW",AL203="นิติศาสตร์",OR(Y203="S2",Y203="K5")),AA203,AND(AO203="K5-LAW",AL203="นิติศาสตร์",OR(K203="M2",K203="K4"),U203&gt;=2),EDATE(R203,12*2),AND(AO203="K5-LAW",AL203="นิติศาสตร์",K203="S1",U203&gt;=1),EDATE(R203,12),AND(AO203="K5-LAW",AL203="นิติศาสตร์",OR(K203="S2",K203="K5")),R203,AND(AO203="K5-POLICY",AL203&lt;&gt;"นิติศาสตร์",K203="S2",Y203="",AE203=""),R203,AND(AO203="K5-POLICY",AL203&lt;&gt;"นิติศาสตร์",K203="S1",Y203="",AE203=""),EDATE(R203,12),AND(AO203="K5-POLICY",AL203&lt;&gt;"นิติศาสตร์",OR(K203="M2",K203="K4"),Y203="",AE203=""),EDATE(R203,12*2),AND(AO203="K5-POLICY",AL203&lt;&gt;"นิติศาสตร์",OR(AE203="M2",AE203="K4"),AH203&gt;=2,OR(AG203&lt;AA203,AG203&lt;R203)),EDATE(AG203,12*2),AND(AO203="K5-POLICY",AL203&lt;&gt;"นิติศาสตร์",AE203="S1",AH203&gt;=1,OR(AG203&lt;AA203,AG203&lt;R203)),EDATE(AG203,12),AND(AO203="K5-POLICY",AL203&lt;&gt;"นิติศาสตร์",OR(Y203="M2",Y203="K4"),AB203&gt;=2,AA203&lt;R203),EDATE(AA203,12*2),AND(AO203="K5-POLICY",AL203&lt;&gt;"นิติศาสตร์",Y203="S1",AB203&gt;=1,AA203&lt;R203),EDATE(AA203,12),AND(AO203="K5-POLICY",AL203&lt;&gt;"นิติศาสตร์",OR(Y203="S2",Y203="K5")),AA203,AND(AO203="K5-POLICY",AL203&lt;&gt;"นิติศาสตร์",OR(K203="M2",K203="K4"),U203&gt;=2),EDATE(R203,12*2),AND(AO203="K5-POLICY",AL203&lt;&gt;"นิติศาสตร์",K203="S1",U203&gt;=1),EDATE(R203,12),AND(AO203="K5-POLICY",AL203&lt;&gt;"นิติศาสตร์",OR(K203="S2",K203="K5")),R203,TRUE,"Check Data")</f>
        <v/>
      </c>
      <c r="AQ203" s="75" t="str">
        <f t="shared" si="95"/>
        <v>Check Data</v>
      </c>
      <c r="AR203" s="76" t="str">
        <f t="shared" si="96"/>
        <v>Check Data</v>
      </c>
      <c r="AS203" s="50" t="str">
        <f t="shared" si="97"/>
        <v>Check Data</v>
      </c>
      <c r="AT203" s="49" t="str">
        <f>IF(B203="","",IF(K203="S1","S1",INDEX(#REF!,#REF!)))</f>
        <v/>
      </c>
      <c r="AU203" s="49" t="str">
        <f t="shared" si="98"/>
        <v>M2</v>
      </c>
      <c r="AV203" s="50" t="b">
        <f t="shared" si="99"/>
        <v>0</v>
      </c>
      <c r="AW203" s="50"/>
    </row>
    <row r="204" spans="1:49" ht="21.75">
      <c r="A204" s="49">
        <v>202</v>
      </c>
      <c r="B204" s="50"/>
      <c r="C204" s="50"/>
      <c r="D204" s="50" t="s">
        <v>139</v>
      </c>
      <c r="E204" s="49" t="s">
        <v>231</v>
      </c>
      <c r="F204" s="49" t="str">
        <f t="shared" si="75"/>
        <v>15/05/1995</v>
      </c>
      <c r="G204" s="50">
        <f t="shared" si="76"/>
        <v>30</v>
      </c>
      <c r="H204" s="50">
        <f t="shared" si="77"/>
        <v>1</v>
      </c>
      <c r="I204" s="50">
        <f t="shared" si="78"/>
        <v>5</v>
      </c>
      <c r="J204" s="56"/>
      <c r="K204" s="49" t="s">
        <v>136</v>
      </c>
      <c r="L204" s="49" t="str">
        <f>IF(B204="","",IF(K204="S1",K204,INDEX(#REF!,#REF!)))</f>
        <v/>
      </c>
      <c r="M204" s="49" t="b">
        <f t="shared" si="79"/>
        <v>0</v>
      </c>
      <c r="N204" s="64"/>
      <c r="O204" s="49" t="s">
        <v>427</v>
      </c>
      <c r="P204" s="49">
        <v>2573</v>
      </c>
      <c r="Q204" s="65" t="s">
        <v>227</v>
      </c>
      <c r="R204" s="49" t="str">
        <f t="shared" si="80"/>
        <v>12/10/2023</v>
      </c>
      <c r="S204" s="49" t="str">
        <f>IF(B204="","",IF(K204="S1",K204,INDEX(#REF!,#REF!)))</f>
        <v/>
      </c>
      <c r="T204" s="49" t="b">
        <f t="shared" si="81"/>
        <v>0</v>
      </c>
      <c r="U204" s="68">
        <f t="shared" si="82"/>
        <v>1</v>
      </c>
      <c r="V204" s="68">
        <f t="shared" si="83"/>
        <v>8</v>
      </c>
      <c r="W204" s="68">
        <f t="shared" si="84"/>
        <v>8</v>
      </c>
      <c r="X204" s="68"/>
      <c r="Y204" s="65"/>
      <c r="Z204" s="65"/>
      <c r="AA204" s="49" t="str">
        <f t="shared" si="85"/>
        <v/>
      </c>
      <c r="AB204" s="68">
        <f t="shared" si="86"/>
        <v>0</v>
      </c>
      <c r="AC204" s="68">
        <f t="shared" si="87"/>
        <v>0</v>
      </c>
      <c r="AD204" s="68">
        <f t="shared" si="88"/>
        <v>0</v>
      </c>
      <c r="AE204" s="49"/>
      <c r="AF204" s="65"/>
      <c r="AG204" s="50" t="str">
        <f t="shared" si="89"/>
        <v/>
      </c>
      <c r="AH204" s="68">
        <f t="shared" si="90"/>
        <v>0</v>
      </c>
      <c r="AI204" s="68">
        <f t="shared" si="91"/>
        <v>0</v>
      </c>
      <c r="AJ204" s="68">
        <f t="shared" si="92"/>
        <v>0</v>
      </c>
      <c r="AK204" s="50"/>
      <c r="AL204" s="50" t="s">
        <v>138</v>
      </c>
      <c r="AM204" s="50" t="str">
        <f>IF(B204="","",IF(K204="S1",K204,INDEX(#REF!,#REF!)))</f>
        <v/>
      </c>
      <c r="AN204" s="50" t="b">
        <f t="shared" si="93"/>
        <v>0</v>
      </c>
      <c r="AO204" s="49" t="str">
        <f t="shared" si="94"/>
        <v>K5-LAW</v>
      </c>
      <c r="AP204" s="72" t="str">
        <f>_xlfn.IFS(B204="","",AND(AO204="K5-LAW",AL204="นิติศาสตร์",K204="S2",Y204="",AE204=""),R204,AND(AO204="K5-LAW",AL204="นิติศาสตร์",K204="S1",Y204="",AE204=""),EDATE(R204,12),AND(AO204="K5-LAW",AL204="นิติศาสตร์",OR(K204="M2",K204="K4"),Y204="",AE204=""),EDATE(R204,12*2),AND(AO204="K5-LAW",AL204="นิติศาสตร์",OR(AE204="M2",AE204="K4"),AH204&gt;=2,OR(AG204&lt;AA204,AG204&lt;R204)),EDATE(AG204,12*2),AND(AO204="K5-LAW",AL204="นิติศาสตร์",AE204="S1",AH204&gt;=1,OR(AG204&lt;AA204,AG204&lt;R204)),EDATE(AG204,12),AND(AO204="K5-LAW",AL204="นิติศาสตร์",OR(Y204="M2",Y204="K4"),AB204&gt;=2,AA204&lt;R204),EDATE(AA204,12*2),AND(AO204="K5-LAW",AL204="นิติศาสตร์",Y204="S1",AB204&gt;=1,AA204&lt;R204),EDATE(AA204,12),AND(AO204="K5-LAW",AL204="นิติศาสตร์",OR(Y204="S2",Y204="K5")),AA204,AND(AO204="K5-LAW",AL204="นิติศาสตร์",OR(K204="M2",K204="K4"),U204&gt;=2),EDATE(R204,12*2),AND(AO204="K5-LAW",AL204="นิติศาสตร์",K204="S1",U204&gt;=1),EDATE(R204,12),AND(AO204="K5-LAW",AL204="นิติศาสตร์",OR(K204="S2",K204="K5")),R204,AND(AO204="K5-POLICY",AL204&lt;&gt;"นิติศาสตร์",K204="S2",Y204="",AE204=""),R204,AND(AO204="K5-POLICY",AL204&lt;&gt;"นิติศาสตร์",K204="S1",Y204="",AE204=""),EDATE(R204,12),AND(AO204="K5-POLICY",AL204&lt;&gt;"นิติศาสตร์",OR(K204="M2",K204="K4"),Y204="",AE204=""),EDATE(R204,12*2),AND(AO204="K5-POLICY",AL204&lt;&gt;"นิติศาสตร์",OR(AE204="M2",AE204="K4"),AH204&gt;=2,OR(AG204&lt;AA204,AG204&lt;R204)),EDATE(AG204,12*2),AND(AO204="K5-POLICY",AL204&lt;&gt;"นิติศาสตร์",AE204="S1",AH204&gt;=1,OR(AG204&lt;AA204,AG204&lt;R204)),EDATE(AG204,12),AND(AO204="K5-POLICY",AL204&lt;&gt;"นิติศาสตร์",OR(Y204="M2",Y204="K4"),AB204&gt;=2,AA204&lt;R204),EDATE(AA204,12*2),AND(AO204="K5-POLICY",AL204&lt;&gt;"นิติศาสตร์",Y204="S1",AB204&gt;=1,AA204&lt;R204),EDATE(AA204,12),AND(AO204="K5-POLICY",AL204&lt;&gt;"นิติศาสตร์",OR(Y204="S2",Y204="K5")),AA204,AND(AO204="K5-POLICY",AL204&lt;&gt;"นิติศาสตร์",OR(K204="M2",K204="K4"),U204&gt;=2),EDATE(R204,12*2),AND(AO204="K5-POLICY",AL204&lt;&gt;"นิติศาสตร์",K204="S1",U204&gt;=1),EDATE(R204,12),AND(AO204="K5-POLICY",AL204&lt;&gt;"นิติศาสตร์",OR(K204="S2",K204="K5")),R204,TRUE,"Check Data")</f>
        <v/>
      </c>
      <c r="AQ204" s="75" t="str">
        <f t="shared" si="95"/>
        <v>Check Data</v>
      </c>
      <c r="AR204" s="76" t="str">
        <f t="shared" si="96"/>
        <v>Check Data</v>
      </c>
      <c r="AS204" s="50" t="str">
        <f t="shared" si="97"/>
        <v>Check Data</v>
      </c>
      <c r="AT204" s="49" t="str">
        <f>IF(B204="","",IF(K204="S1","S1",INDEX(#REF!,#REF!)))</f>
        <v/>
      </c>
      <c r="AU204" s="49" t="str">
        <f t="shared" si="98"/>
        <v>M2</v>
      </c>
      <c r="AV204" s="50" t="b">
        <f t="shared" si="99"/>
        <v>0</v>
      </c>
      <c r="AW204" s="50"/>
    </row>
    <row r="205" spans="1:49" ht="21.75">
      <c r="A205" s="49">
        <v>203</v>
      </c>
      <c r="B205" s="50"/>
      <c r="C205" s="50"/>
      <c r="D205" s="50" t="s">
        <v>147</v>
      </c>
      <c r="E205" s="49" t="s">
        <v>418</v>
      </c>
      <c r="F205" s="49" t="str">
        <f t="shared" si="75"/>
        <v>16/08/2004</v>
      </c>
      <c r="G205" s="50">
        <f t="shared" si="76"/>
        <v>20</v>
      </c>
      <c r="H205" s="50">
        <f t="shared" si="77"/>
        <v>10</v>
      </c>
      <c r="I205" s="50">
        <f t="shared" si="78"/>
        <v>4</v>
      </c>
      <c r="J205" s="81"/>
      <c r="K205" s="49" t="s">
        <v>136</v>
      </c>
      <c r="L205" s="49" t="str">
        <f>IF(B205="","",IF(K205="S1",K205,INDEX(#REF!,#REF!)))</f>
        <v/>
      </c>
      <c r="M205" s="49" t="b">
        <f t="shared" si="79"/>
        <v>0</v>
      </c>
      <c r="N205" s="64"/>
      <c r="O205" s="49" t="s">
        <v>426</v>
      </c>
      <c r="P205" s="49">
        <v>2582</v>
      </c>
      <c r="Q205" s="65" t="s">
        <v>432</v>
      </c>
      <c r="R205" s="49" t="str">
        <f t="shared" si="80"/>
        <v>07/11/2023</v>
      </c>
      <c r="S205" s="49" t="str">
        <f>IF(B205="","",IF(K205="S1",K205,INDEX(#REF!,#REF!)))</f>
        <v/>
      </c>
      <c r="T205" s="49" t="b">
        <f t="shared" si="81"/>
        <v>0</v>
      </c>
      <c r="U205" s="68">
        <f t="shared" si="82"/>
        <v>1</v>
      </c>
      <c r="V205" s="68">
        <f t="shared" si="83"/>
        <v>7</v>
      </c>
      <c r="W205" s="68">
        <f t="shared" si="84"/>
        <v>13</v>
      </c>
      <c r="X205" s="68"/>
      <c r="Y205" s="65"/>
      <c r="Z205" s="65"/>
      <c r="AA205" s="49" t="str">
        <f t="shared" si="85"/>
        <v/>
      </c>
      <c r="AB205" s="68">
        <f t="shared" si="86"/>
        <v>0</v>
      </c>
      <c r="AC205" s="68">
        <f t="shared" si="87"/>
        <v>0</v>
      </c>
      <c r="AD205" s="68">
        <f t="shared" si="88"/>
        <v>0</v>
      </c>
      <c r="AE205" s="49"/>
      <c r="AF205" s="65"/>
      <c r="AG205" s="50" t="str">
        <f t="shared" si="89"/>
        <v/>
      </c>
      <c r="AH205" s="68">
        <f t="shared" si="90"/>
        <v>0</v>
      </c>
      <c r="AI205" s="68">
        <f t="shared" si="91"/>
        <v>0</v>
      </c>
      <c r="AJ205" s="68">
        <f t="shared" si="92"/>
        <v>0</v>
      </c>
      <c r="AK205" s="50"/>
      <c r="AL205" s="50" t="s">
        <v>486</v>
      </c>
      <c r="AM205" s="50" t="str">
        <f>IF(B205="","",IF(K205="S1",K205,INDEX(#REF!,#REF!)))</f>
        <v/>
      </c>
      <c r="AN205" s="50" t="b">
        <f t="shared" si="93"/>
        <v>0</v>
      </c>
      <c r="AO205" s="49" t="str">
        <f t="shared" si="94"/>
        <v>K5-POLICY</v>
      </c>
      <c r="AP205" s="72" t="str">
        <f>_xlfn.IFS(B205="","",AND(AO205="K5-LAW",AL205="นิติศาสตร์",K205="S2",Y205="",AE205=""),R205,AND(AO205="K5-LAW",AL205="นิติศาสตร์",K205="S1",Y205="",AE205=""),EDATE(R205,12),AND(AO205="K5-LAW",AL205="นิติศาสตร์",OR(K205="M2",K205="K4"),Y205="",AE205=""),EDATE(R205,12*2),AND(AO205="K5-LAW",AL205="นิติศาสตร์",OR(AE205="M2",AE205="K4"),AH205&gt;=2,OR(AG205&lt;AA205,AG205&lt;R205)),EDATE(AG205,12*2),AND(AO205="K5-LAW",AL205="นิติศาสตร์",AE205="S1",AH205&gt;=1,OR(AG205&lt;AA205,AG205&lt;R205)),EDATE(AG205,12),AND(AO205="K5-LAW",AL205="นิติศาสตร์",OR(Y205="M2",Y205="K4"),AB205&gt;=2,AA205&lt;R205),EDATE(AA205,12*2),AND(AO205="K5-LAW",AL205="นิติศาสตร์",Y205="S1",AB205&gt;=1,AA205&lt;R205),EDATE(AA205,12),AND(AO205="K5-LAW",AL205="นิติศาสตร์",OR(Y205="S2",Y205="K5")),AA205,AND(AO205="K5-LAW",AL205="นิติศาสตร์",OR(K205="M2",K205="K4"),U205&gt;=2),EDATE(R205,12*2),AND(AO205="K5-LAW",AL205="นิติศาสตร์",K205="S1",U205&gt;=1),EDATE(R205,12),AND(AO205="K5-LAW",AL205="นิติศาสตร์",OR(K205="S2",K205="K5")),R205,AND(AO205="K5-POLICY",AL205&lt;&gt;"นิติศาสตร์",K205="S2",Y205="",AE205=""),R205,AND(AO205="K5-POLICY",AL205&lt;&gt;"นิติศาสตร์",K205="S1",Y205="",AE205=""),EDATE(R205,12),AND(AO205="K5-POLICY",AL205&lt;&gt;"นิติศาสตร์",OR(K205="M2",K205="K4"),Y205="",AE205=""),EDATE(R205,12*2),AND(AO205="K5-POLICY",AL205&lt;&gt;"นิติศาสตร์",OR(AE205="M2",AE205="K4"),AH205&gt;=2,OR(AG205&lt;AA205,AG205&lt;R205)),EDATE(AG205,12*2),AND(AO205="K5-POLICY",AL205&lt;&gt;"นิติศาสตร์",AE205="S1",AH205&gt;=1,OR(AG205&lt;AA205,AG205&lt;R205)),EDATE(AG205,12),AND(AO205="K5-POLICY",AL205&lt;&gt;"นิติศาสตร์",OR(Y205="M2",Y205="K4"),AB205&gt;=2,AA205&lt;R205),EDATE(AA205,12*2),AND(AO205="K5-POLICY",AL205&lt;&gt;"นิติศาสตร์",Y205="S1",AB205&gt;=1,AA205&lt;R205),EDATE(AA205,12),AND(AO205="K5-POLICY",AL205&lt;&gt;"นิติศาสตร์",OR(Y205="S2",Y205="K5")),AA205,AND(AO205="K5-POLICY",AL205&lt;&gt;"นิติศาสตร์",OR(K205="M2",K205="K4"),U205&gt;=2),EDATE(R205,12*2),AND(AO205="K5-POLICY",AL205&lt;&gt;"นิติศาสตร์",K205="S1",U205&gt;=1),EDATE(R205,12),AND(AO205="K5-POLICY",AL205&lt;&gt;"นิติศาสตร์",OR(K205="S2",K205="K5")),R205,TRUE,"Check Data")</f>
        <v/>
      </c>
      <c r="AQ205" s="75" t="str">
        <f t="shared" si="95"/>
        <v>Check Data</v>
      </c>
      <c r="AR205" s="76" t="str">
        <f t="shared" si="96"/>
        <v>Check Data</v>
      </c>
      <c r="AS205" s="50" t="str">
        <f t="shared" si="97"/>
        <v>Check Data</v>
      </c>
      <c r="AT205" s="49" t="str">
        <f>IF(B205="","",IF(K205="S1","S1",INDEX(#REF!,#REF!)))</f>
        <v/>
      </c>
      <c r="AU205" s="49" t="str">
        <f t="shared" si="98"/>
        <v>M2</v>
      </c>
      <c r="AV205" s="50" t="b">
        <f t="shared" si="99"/>
        <v>0</v>
      </c>
      <c r="AW205" s="50"/>
    </row>
    <row r="206" spans="1:49" ht="21.75">
      <c r="A206" s="49">
        <v>204</v>
      </c>
      <c r="B206" s="50"/>
      <c r="C206" s="52"/>
      <c r="D206" s="79"/>
      <c r="E206" s="79"/>
      <c r="F206" s="79"/>
      <c r="G206" s="50">
        <f t="shared" si="76"/>
        <v>0</v>
      </c>
      <c r="H206" s="50">
        <f t="shared" si="77"/>
        <v>0</v>
      </c>
      <c r="I206" s="50">
        <f t="shared" si="78"/>
        <v>0</v>
      </c>
      <c r="J206" s="79"/>
      <c r="K206" s="49" t="s">
        <v>136</v>
      </c>
      <c r="L206" s="49" t="str">
        <f>IF(B206="","",IF(K206="S1",K206,INDEX(#REF!,#REF!)))</f>
        <v/>
      </c>
      <c r="M206" s="49" t="b">
        <f t="shared" si="79"/>
        <v>0</v>
      </c>
      <c r="N206" s="79"/>
      <c r="O206" s="79"/>
      <c r="P206" s="79"/>
      <c r="Q206" s="65" t="s">
        <v>438</v>
      </c>
      <c r="R206" s="49" t="str">
        <f t="shared" si="80"/>
        <v>08/12/2023</v>
      </c>
      <c r="S206" s="49" t="str">
        <f>IF(B206="","",IF(K206="S1",K206,INDEX(#REF!,#REF!)))</f>
        <v/>
      </c>
      <c r="T206" s="49" t="b">
        <f t="shared" si="81"/>
        <v>0</v>
      </c>
      <c r="U206" s="68">
        <f t="shared" si="82"/>
        <v>1</v>
      </c>
      <c r="V206" s="68">
        <f t="shared" si="83"/>
        <v>6</v>
      </c>
      <c r="W206" s="68">
        <f t="shared" si="84"/>
        <v>12</v>
      </c>
      <c r="X206" s="79"/>
      <c r="Y206" s="65"/>
      <c r="Z206" s="83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50" t="str">
        <f>IF(B206="","",IF(K206="S1",K206,INDEX(#REF!,#REF!)))</f>
        <v/>
      </c>
      <c r="AN206" s="50" t="b">
        <f t="shared" si="93"/>
        <v>1</v>
      </c>
      <c r="AO206" s="49" t="str">
        <f t="shared" si="94"/>
        <v>K5-POLICY</v>
      </c>
      <c r="AP206" s="72" t="str">
        <f>_xlfn.IFS(B206="","",AND(AO206="K5-LAW",AL206="นิติศาสตร์",K206="S2",Y206="",AE206=""),R206,AND(AO206="K5-LAW",AL206="นิติศาสตร์",K206="S1",Y206="",AE206=""),EDATE(R206,12),AND(AO206="K5-LAW",AL206="นิติศาสตร์",OR(K206="M2",K206="K4"),Y206="",AE206=""),EDATE(R206,12*2),AND(AO206="K5-LAW",AL206="นิติศาสตร์",OR(AE206="M2",AE206="K4"),AH206&gt;=2,OR(AG206&lt;AA206,AG206&lt;R206)),EDATE(AG206,12*2),AND(AO206="K5-LAW",AL206="นิติศาสตร์",AE206="S1",AH206&gt;=1,OR(AG206&lt;AA206,AG206&lt;R206)),EDATE(AG206,12),AND(AO206="K5-LAW",AL206="นิติศาสตร์",OR(Y206="M2",Y206="K4"),AB206&gt;=2,AA206&lt;R206),EDATE(AA206,12*2),AND(AO206="K5-LAW",AL206="นิติศาสตร์",Y206="S1",AB206&gt;=1,AA206&lt;R206),EDATE(AA206,12),AND(AO206="K5-LAW",AL206="นิติศาสตร์",OR(Y206="S2",Y206="K5")),AA206,AND(AO206="K5-LAW",AL206="นิติศาสตร์",OR(K206="M2",K206="K4"),U206&gt;=2),EDATE(R206,12*2),AND(AO206="K5-LAW",AL206="นิติศาสตร์",K206="S1",U206&gt;=1),EDATE(R206,12),AND(AO206="K5-LAW",AL206="นิติศาสตร์",OR(K206="S2",K206="K5")),R206,AND(AO206="K5-POLICY",AL206&lt;&gt;"นิติศาสตร์",K206="S2",Y206="",AE206=""),R206,AND(AO206="K5-POLICY",AL206&lt;&gt;"นิติศาสตร์",K206="S1",Y206="",AE206=""),EDATE(R206,12),AND(AO206="K5-POLICY",AL206&lt;&gt;"นิติศาสตร์",OR(K206="M2",K206="K4"),Y206="",AE206=""),EDATE(R206,12*2),AND(AO206="K5-POLICY",AL206&lt;&gt;"นิติศาสตร์",OR(AE206="M2",AE206="K4"),AH206&gt;=2,OR(AG206&lt;AA206,AG206&lt;R206)),EDATE(AG206,12*2),AND(AO206="K5-POLICY",AL206&lt;&gt;"นิติศาสตร์",AE206="S1",AH206&gt;=1,OR(AG206&lt;AA206,AG206&lt;R206)),EDATE(AG206,12),AND(AO206="K5-POLICY",AL206&lt;&gt;"นิติศาสตร์",OR(Y206="M2",Y206="K4"),AB206&gt;=2,AA206&lt;R206),EDATE(AA206,12*2),AND(AO206="K5-POLICY",AL206&lt;&gt;"นิติศาสตร์",Y206="S1",AB206&gt;=1,AA206&lt;R206),EDATE(AA206,12),AND(AO206="K5-POLICY",AL206&lt;&gt;"นิติศาสตร์",OR(Y206="S2",Y206="K5")),AA206,AND(AO206="K5-POLICY",AL206&lt;&gt;"นิติศาสตร์",OR(K206="M2",K206="K4"),U206&gt;=2),EDATE(R206,12*2),AND(AO206="K5-POLICY",AL206&lt;&gt;"นิติศาสตร์",K206="S1",U206&gt;=1),EDATE(R206,12),AND(AO206="K5-POLICY",AL206&lt;&gt;"นิติศาสตร์",OR(K206="S2",K206="K5")),R206,TRUE,"Check Data")</f>
        <v/>
      </c>
      <c r="AQ206" s="75" t="str">
        <f t="shared" si="95"/>
        <v>Check Data</v>
      </c>
      <c r="AR206" s="76" t="str">
        <f t="shared" si="96"/>
        <v>Check Data</v>
      </c>
      <c r="AS206" s="50" t="str">
        <f t="shared" si="97"/>
        <v>Check Data</v>
      </c>
      <c r="AT206" s="49" t="str">
        <f>IF(B206="","",IF(K206="S1","S1",INDEX(#REF!,#REF!)))</f>
        <v/>
      </c>
      <c r="AU206" s="49" t="str">
        <f t="shared" si="98"/>
        <v>M2</v>
      </c>
      <c r="AV206" s="50" t="b">
        <f t="shared" si="99"/>
        <v>0</v>
      </c>
      <c r="AW206" s="50"/>
    </row>
    <row r="207" spans="1:49" ht="21.75">
      <c r="A207" s="49">
        <v>205</v>
      </c>
      <c r="B207" s="50"/>
      <c r="C207" s="50"/>
      <c r="D207" s="50" t="s">
        <v>142</v>
      </c>
      <c r="E207" s="49" t="s">
        <v>279</v>
      </c>
      <c r="F207" s="49" t="str">
        <f t="shared" ref="F207:F221" si="100">IF(E207="","",TEXT(EDATE(E207,-543*12),"dd/mm/yyyy"))</f>
        <v>02/11/1987</v>
      </c>
      <c r="G207" s="50">
        <f t="shared" si="76"/>
        <v>37</v>
      </c>
      <c r="H207" s="50">
        <f t="shared" si="77"/>
        <v>7</v>
      </c>
      <c r="I207" s="50">
        <f t="shared" si="78"/>
        <v>18</v>
      </c>
      <c r="J207" s="58"/>
      <c r="K207" s="49" t="s">
        <v>136</v>
      </c>
      <c r="L207" s="49" t="str">
        <f>IF(B207="","",IF(K207="S1",K207,INDEX(#REF!,#REF!)))</f>
        <v/>
      </c>
      <c r="M207" s="49" t="b">
        <f t="shared" si="79"/>
        <v>0</v>
      </c>
      <c r="N207" s="64"/>
      <c r="O207" s="49" t="s">
        <v>427</v>
      </c>
      <c r="P207" s="49">
        <v>0</v>
      </c>
      <c r="Q207" s="65" t="s">
        <v>257</v>
      </c>
      <c r="R207" s="49" t="str">
        <f t="shared" si="80"/>
        <v>19/12/2023</v>
      </c>
      <c r="S207" s="49" t="str">
        <f>IF(B207="","",IF(K207="S1",K207,INDEX(#REF!,#REF!)))</f>
        <v/>
      </c>
      <c r="T207" s="49" t="b">
        <f t="shared" si="81"/>
        <v>0</v>
      </c>
      <c r="U207" s="68">
        <f t="shared" si="82"/>
        <v>1</v>
      </c>
      <c r="V207" s="68">
        <f t="shared" si="83"/>
        <v>6</v>
      </c>
      <c r="W207" s="68">
        <f t="shared" si="84"/>
        <v>1</v>
      </c>
      <c r="X207" s="68"/>
      <c r="Y207" s="65"/>
      <c r="Z207" s="65"/>
      <c r="AA207" s="49" t="str">
        <f t="shared" ref="AA207:AA221" si="101">IF(Z207="","",TEXT(EDATE(Z207,-543*12),"dd/mm/yyyy"))</f>
        <v/>
      </c>
      <c r="AB207" s="68">
        <f t="shared" ref="AB207:AB221" si="102">IF(AA207="",0,DATEDIF(AA207,R207,"Y"))</f>
        <v>0</v>
      </c>
      <c r="AC207" s="68">
        <f t="shared" ref="AC207:AC221" si="103">IF(AA207="",0,DATEDIF(AA207,R207,"YM"))</f>
        <v>0</v>
      </c>
      <c r="AD207" s="68">
        <f t="shared" ref="AD207:AD221" si="104">IF(AA207="",0,DATEDIF(AA207,R207,"MD"))</f>
        <v>0</v>
      </c>
      <c r="AE207" s="49"/>
      <c r="AF207" s="65"/>
      <c r="AG207" s="50" t="str">
        <f t="shared" ref="AG207:AG221" si="105">IF(AF207="","",TEXT(EDATE(AF207,-543*12),"dd/mm/yyyy"))</f>
        <v/>
      </c>
      <c r="AH207" s="68">
        <f t="shared" ref="AH207:AH221" si="106">IF(AG207="",0,DATEDIF(AG207,AA207,"Y"))</f>
        <v>0</v>
      </c>
      <c r="AI207" s="68">
        <f t="shared" ref="AI207:AI221" si="107">IF(AG207="",0,DATEDIF(AG207,AA207,"YM"))</f>
        <v>0</v>
      </c>
      <c r="AJ207" s="68">
        <f t="shared" ref="AJ207:AJ221" si="108">IF(AG207="",0,DATEDIF(AG207,AA207,"MD"))</f>
        <v>0</v>
      </c>
      <c r="AK207" s="50"/>
      <c r="AL207" s="50" t="s">
        <v>138</v>
      </c>
      <c r="AM207" s="50" t="str">
        <f>IF(B207="","",IF(K207="S1",K207,INDEX(#REF!,#REF!)))</f>
        <v/>
      </c>
      <c r="AN207" s="50" t="b">
        <f t="shared" si="93"/>
        <v>0</v>
      </c>
      <c r="AO207" s="49" t="str">
        <f t="shared" si="94"/>
        <v>K5-LAW</v>
      </c>
      <c r="AP207" s="72" t="str">
        <f>_xlfn.IFS(B207="","",AND(AO207="K5-LAW",AL207="นิติศาสตร์",K207="S2",Y207="",AE207=""),R207,AND(AO207="K5-LAW",AL207="นิติศาสตร์",K207="S1",Y207="",AE207=""),EDATE(R207,12),AND(AO207="K5-LAW",AL207="นิติศาสตร์",OR(K207="M2",K207="K4"),Y207="",AE207=""),EDATE(R207,12*2),AND(AO207="K5-LAW",AL207="นิติศาสตร์",OR(AE207="M2",AE207="K4"),AH207&gt;=2,OR(AG207&lt;AA207,AG207&lt;R207)),EDATE(AG207,12*2),AND(AO207="K5-LAW",AL207="นิติศาสตร์",AE207="S1",AH207&gt;=1,OR(AG207&lt;AA207,AG207&lt;R207)),EDATE(AG207,12),AND(AO207="K5-LAW",AL207="นิติศาสตร์",OR(Y207="M2",Y207="K4"),AB207&gt;=2,AA207&lt;R207),EDATE(AA207,12*2),AND(AO207="K5-LAW",AL207="นิติศาสตร์",Y207="S1",AB207&gt;=1,AA207&lt;R207),EDATE(AA207,12),AND(AO207="K5-LAW",AL207="นิติศาสตร์",OR(Y207="S2",Y207="K5")),AA207,AND(AO207="K5-LAW",AL207="นิติศาสตร์",OR(K207="M2",K207="K4"),U207&gt;=2),EDATE(R207,12*2),AND(AO207="K5-LAW",AL207="นิติศาสตร์",K207="S1",U207&gt;=1),EDATE(R207,12),AND(AO207="K5-LAW",AL207="นิติศาสตร์",OR(K207="S2",K207="K5")),R207,AND(AO207="K5-POLICY",AL207&lt;&gt;"นิติศาสตร์",K207="S2",Y207="",AE207=""),R207,AND(AO207="K5-POLICY",AL207&lt;&gt;"นิติศาสตร์",K207="S1",Y207="",AE207=""),EDATE(R207,12),AND(AO207="K5-POLICY",AL207&lt;&gt;"นิติศาสตร์",OR(K207="M2",K207="K4"),Y207="",AE207=""),EDATE(R207,12*2),AND(AO207="K5-POLICY",AL207&lt;&gt;"นิติศาสตร์",OR(AE207="M2",AE207="K4"),AH207&gt;=2,OR(AG207&lt;AA207,AG207&lt;R207)),EDATE(AG207,12*2),AND(AO207="K5-POLICY",AL207&lt;&gt;"นิติศาสตร์",AE207="S1",AH207&gt;=1,OR(AG207&lt;AA207,AG207&lt;R207)),EDATE(AG207,12),AND(AO207="K5-POLICY",AL207&lt;&gt;"นิติศาสตร์",OR(Y207="M2",Y207="K4"),AB207&gt;=2,AA207&lt;R207),EDATE(AA207,12*2),AND(AO207="K5-POLICY",AL207&lt;&gt;"นิติศาสตร์",Y207="S1",AB207&gt;=1,AA207&lt;R207),EDATE(AA207,12),AND(AO207="K5-POLICY",AL207&lt;&gt;"นิติศาสตร์",OR(Y207="S2",Y207="K5")),AA207,AND(AO207="K5-POLICY",AL207&lt;&gt;"นิติศาสตร์",OR(K207="M2",K207="K4"),U207&gt;=2),EDATE(R207,12*2),AND(AO207="K5-POLICY",AL207&lt;&gt;"นิติศาสตร์",K207="S1",U207&gt;=1),EDATE(R207,12),AND(AO207="K5-POLICY",AL207&lt;&gt;"นิติศาสตร์",OR(K207="S2",K207="K5")),R207,TRUE,"Check Data")</f>
        <v/>
      </c>
      <c r="AQ207" s="75" t="str">
        <f t="shared" si="95"/>
        <v>Check Data</v>
      </c>
      <c r="AR207" s="76" t="str">
        <f t="shared" si="96"/>
        <v>Check Data</v>
      </c>
      <c r="AS207" s="50" t="str">
        <f t="shared" si="97"/>
        <v>Check Data</v>
      </c>
      <c r="AT207" s="49" t="str">
        <f>IF(B207="","",IF(K207="S1","S1",INDEX(#REF!,#REF!)))</f>
        <v/>
      </c>
      <c r="AU207" s="49" t="str">
        <f t="shared" si="98"/>
        <v>M2</v>
      </c>
      <c r="AV207" s="50" t="b">
        <f t="shared" si="99"/>
        <v>0</v>
      </c>
      <c r="AW207" s="50"/>
    </row>
    <row r="208" spans="1:49" ht="21.75">
      <c r="A208" s="49">
        <v>206</v>
      </c>
      <c r="B208" s="50"/>
      <c r="C208" s="50"/>
      <c r="D208" s="50" t="s">
        <v>141</v>
      </c>
      <c r="E208" s="49" t="s">
        <v>265</v>
      </c>
      <c r="F208" s="49" t="str">
        <f t="shared" si="100"/>
        <v>01/09/1993</v>
      </c>
      <c r="G208" s="50">
        <f t="shared" si="76"/>
        <v>31</v>
      </c>
      <c r="H208" s="50">
        <f t="shared" si="77"/>
        <v>9</v>
      </c>
      <c r="I208" s="50">
        <f t="shared" si="78"/>
        <v>19</v>
      </c>
      <c r="J208" s="60"/>
      <c r="K208" s="49" t="s">
        <v>136</v>
      </c>
      <c r="L208" s="49" t="str">
        <f>IF(B208="","",IF(K208="S1",K208,INDEX(#REF!,#REF!)))</f>
        <v/>
      </c>
      <c r="M208" s="49" t="b">
        <f t="shared" si="79"/>
        <v>0</v>
      </c>
      <c r="N208" s="64"/>
      <c r="O208" s="49" t="s">
        <v>427</v>
      </c>
      <c r="P208" s="49">
        <v>2569</v>
      </c>
      <c r="Q208" s="65" t="s">
        <v>257</v>
      </c>
      <c r="R208" s="49" t="str">
        <f t="shared" si="80"/>
        <v>19/12/2023</v>
      </c>
      <c r="S208" s="49" t="str">
        <f>IF(B208="","",IF(K208="S1",K208,INDEX(#REF!,#REF!)))</f>
        <v/>
      </c>
      <c r="T208" s="49" t="b">
        <f t="shared" si="81"/>
        <v>0</v>
      </c>
      <c r="U208" s="68">
        <f t="shared" si="82"/>
        <v>1</v>
      </c>
      <c r="V208" s="68">
        <f t="shared" si="83"/>
        <v>6</v>
      </c>
      <c r="W208" s="68">
        <f t="shared" si="84"/>
        <v>1</v>
      </c>
      <c r="X208" s="68"/>
      <c r="Y208" s="65"/>
      <c r="Z208" s="65"/>
      <c r="AA208" s="49" t="str">
        <f t="shared" si="101"/>
        <v/>
      </c>
      <c r="AB208" s="68">
        <f t="shared" si="102"/>
        <v>0</v>
      </c>
      <c r="AC208" s="68">
        <f t="shared" si="103"/>
        <v>0</v>
      </c>
      <c r="AD208" s="68">
        <f t="shared" si="104"/>
        <v>0</v>
      </c>
      <c r="AE208" s="49"/>
      <c r="AF208" s="65"/>
      <c r="AG208" s="50" t="str">
        <f t="shared" si="105"/>
        <v/>
      </c>
      <c r="AH208" s="68">
        <f t="shared" si="106"/>
        <v>0</v>
      </c>
      <c r="AI208" s="68">
        <f t="shared" si="107"/>
        <v>0</v>
      </c>
      <c r="AJ208" s="68">
        <f t="shared" si="108"/>
        <v>0</v>
      </c>
      <c r="AK208" s="50"/>
      <c r="AL208" s="50" t="s">
        <v>138</v>
      </c>
      <c r="AM208" s="50" t="str">
        <f>IF(B208="","",IF(K208="S1",K208,INDEX(#REF!,#REF!)))</f>
        <v/>
      </c>
      <c r="AN208" s="50" t="b">
        <f t="shared" si="93"/>
        <v>0</v>
      </c>
      <c r="AO208" s="49" t="str">
        <f t="shared" si="94"/>
        <v>K5-LAW</v>
      </c>
      <c r="AP208" s="72" t="str">
        <f>_xlfn.IFS(B208="","",AND(AO208="K5-LAW",AL208="นิติศาสตร์",K208="S2",Y208="",AE208=""),R208,AND(AO208="K5-LAW",AL208="นิติศาสตร์",K208="S1",Y208="",AE208=""),EDATE(R208,12),AND(AO208="K5-LAW",AL208="นิติศาสตร์",OR(K208="M2",K208="K4"),Y208="",AE208=""),EDATE(R208,12*2),AND(AO208="K5-LAW",AL208="นิติศาสตร์",OR(AE208="M2",AE208="K4"),AH208&gt;=2,OR(AG208&lt;AA208,AG208&lt;R208)),EDATE(AG208,12*2),AND(AO208="K5-LAW",AL208="นิติศาสตร์",AE208="S1",AH208&gt;=1,OR(AG208&lt;AA208,AG208&lt;R208)),EDATE(AG208,12),AND(AO208="K5-LAW",AL208="นิติศาสตร์",OR(Y208="M2",Y208="K4"),AB208&gt;=2,AA208&lt;R208),EDATE(AA208,12*2),AND(AO208="K5-LAW",AL208="นิติศาสตร์",Y208="S1",AB208&gt;=1,AA208&lt;R208),EDATE(AA208,12),AND(AO208="K5-LAW",AL208="นิติศาสตร์",OR(Y208="S2",Y208="K5")),AA208,AND(AO208="K5-LAW",AL208="นิติศาสตร์",OR(K208="M2",K208="K4"),U208&gt;=2),EDATE(R208,12*2),AND(AO208="K5-LAW",AL208="นิติศาสตร์",K208="S1",U208&gt;=1),EDATE(R208,12),AND(AO208="K5-LAW",AL208="นิติศาสตร์",OR(K208="S2",K208="K5")),R208,AND(AO208="K5-POLICY",AL208&lt;&gt;"นิติศาสตร์",K208="S2",Y208="",AE208=""),R208,AND(AO208="K5-POLICY",AL208&lt;&gt;"นิติศาสตร์",K208="S1",Y208="",AE208=""),EDATE(R208,12),AND(AO208="K5-POLICY",AL208&lt;&gt;"นิติศาสตร์",OR(K208="M2",K208="K4"),Y208="",AE208=""),EDATE(R208,12*2),AND(AO208="K5-POLICY",AL208&lt;&gt;"นิติศาสตร์",OR(AE208="M2",AE208="K4"),AH208&gt;=2,OR(AG208&lt;AA208,AG208&lt;R208)),EDATE(AG208,12*2),AND(AO208="K5-POLICY",AL208&lt;&gt;"นิติศาสตร์",AE208="S1",AH208&gt;=1,OR(AG208&lt;AA208,AG208&lt;R208)),EDATE(AG208,12),AND(AO208="K5-POLICY",AL208&lt;&gt;"นิติศาสตร์",OR(Y208="M2",Y208="K4"),AB208&gt;=2,AA208&lt;R208),EDATE(AA208,12*2),AND(AO208="K5-POLICY",AL208&lt;&gt;"นิติศาสตร์",Y208="S1",AB208&gt;=1,AA208&lt;R208),EDATE(AA208,12),AND(AO208="K5-POLICY",AL208&lt;&gt;"นิติศาสตร์",OR(Y208="S2",Y208="K5")),AA208,AND(AO208="K5-POLICY",AL208&lt;&gt;"นิติศาสตร์",OR(K208="M2",K208="K4"),U208&gt;=2),EDATE(R208,12*2),AND(AO208="K5-POLICY",AL208&lt;&gt;"นิติศาสตร์",K208="S1",U208&gt;=1),EDATE(R208,12),AND(AO208="K5-POLICY",AL208&lt;&gt;"นิติศาสตร์",OR(K208="S2",K208="K5")),R208,TRUE,"Check Data")</f>
        <v/>
      </c>
      <c r="AQ208" s="75" t="str">
        <f t="shared" si="95"/>
        <v>Check Data</v>
      </c>
      <c r="AR208" s="76" t="str">
        <f t="shared" si="96"/>
        <v>Check Data</v>
      </c>
      <c r="AS208" s="50" t="str">
        <f t="shared" si="97"/>
        <v>Check Data</v>
      </c>
      <c r="AT208" s="49" t="str">
        <f>IF(B208="","",IF(K208="S1","S1",INDEX(#REF!,#REF!)))</f>
        <v/>
      </c>
      <c r="AU208" s="49" t="str">
        <f t="shared" si="98"/>
        <v>M2</v>
      </c>
      <c r="AV208" s="50" t="b">
        <f t="shared" si="99"/>
        <v>0</v>
      </c>
      <c r="AW208" s="50"/>
    </row>
    <row r="209" spans="1:49" ht="21.75">
      <c r="A209" s="49">
        <v>207</v>
      </c>
      <c r="B209" s="50"/>
      <c r="C209" s="50"/>
      <c r="D209" s="50" t="s">
        <v>141</v>
      </c>
      <c r="E209" s="49" t="s">
        <v>256</v>
      </c>
      <c r="F209" s="49" t="str">
        <f t="shared" si="100"/>
        <v>01/02/1993</v>
      </c>
      <c r="G209" s="50">
        <f t="shared" si="76"/>
        <v>32</v>
      </c>
      <c r="H209" s="50">
        <f t="shared" si="77"/>
        <v>4</v>
      </c>
      <c r="I209" s="50">
        <f t="shared" si="78"/>
        <v>19</v>
      </c>
      <c r="J209" s="58"/>
      <c r="K209" s="49" t="s">
        <v>136</v>
      </c>
      <c r="L209" s="49" t="str">
        <f>IF(B209="","",IF(K209="S1",K209,INDEX(#REF!,#REF!)))</f>
        <v/>
      </c>
      <c r="M209" s="49" t="b">
        <f t="shared" si="79"/>
        <v>0</v>
      </c>
      <c r="N209" s="64"/>
      <c r="O209" s="49" t="s">
        <v>427</v>
      </c>
      <c r="P209" s="49">
        <v>2571</v>
      </c>
      <c r="Q209" s="65" t="s">
        <v>257</v>
      </c>
      <c r="R209" s="49" t="str">
        <f t="shared" si="80"/>
        <v>19/12/2023</v>
      </c>
      <c r="S209" s="49" t="str">
        <f>IF(B209="","",IF(K209="S1",K209,INDEX(#REF!,#REF!)))</f>
        <v/>
      </c>
      <c r="T209" s="49" t="b">
        <f t="shared" si="81"/>
        <v>0</v>
      </c>
      <c r="U209" s="68">
        <f t="shared" si="82"/>
        <v>1</v>
      </c>
      <c r="V209" s="68">
        <f t="shared" si="83"/>
        <v>6</v>
      </c>
      <c r="W209" s="68">
        <f t="shared" si="84"/>
        <v>1</v>
      </c>
      <c r="X209" s="68"/>
      <c r="Y209" s="65"/>
      <c r="Z209" s="65"/>
      <c r="AA209" s="49" t="str">
        <f t="shared" si="101"/>
        <v/>
      </c>
      <c r="AB209" s="68">
        <f t="shared" si="102"/>
        <v>0</v>
      </c>
      <c r="AC209" s="68">
        <f t="shared" si="103"/>
        <v>0</v>
      </c>
      <c r="AD209" s="68">
        <f t="shared" si="104"/>
        <v>0</v>
      </c>
      <c r="AE209" s="49"/>
      <c r="AF209" s="65"/>
      <c r="AG209" s="50" t="str">
        <f t="shared" si="105"/>
        <v/>
      </c>
      <c r="AH209" s="68">
        <f t="shared" si="106"/>
        <v>0</v>
      </c>
      <c r="AI209" s="68">
        <f t="shared" si="107"/>
        <v>0</v>
      </c>
      <c r="AJ209" s="68">
        <f t="shared" si="108"/>
        <v>0</v>
      </c>
      <c r="AK209" s="50"/>
      <c r="AL209" s="50" t="s">
        <v>138</v>
      </c>
      <c r="AM209" s="50" t="str">
        <f>IF(B209="","",IF(K209="S1",K209,INDEX(#REF!,#REF!)))</f>
        <v/>
      </c>
      <c r="AN209" s="50" t="b">
        <f t="shared" si="93"/>
        <v>0</v>
      </c>
      <c r="AO209" s="49" t="str">
        <f t="shared" si="94"/>
        <v>K5-LAW</v>
      </c>
      <c r="AP209" s="72" t="str">
        <f>_xlfn.IFS(B209="","",AND(AO209="K5-LAW",AL209="นิติศาสตร์",K209="S2",Y209="",AE209=""),R209,AND(AO209="K5-LAW",AL209="นิติศาสตร์",K209="S1",Y209="",AE209=""),EDATE(R209,12),AND(AO209="K5-LAW",AL209="นิติศาสตร์",OR(K209="M2",K209="K4"),Y209="",AE209=""),EDATE(R209,12*2),AND(AO209="K5-LAW",AL209="นิติศาสตร์",OR(AE209="M2",AE209="K4"),AH209&gt;=2,OR(AG209&lt;AA209,AG209&lt;R209)),EDATE(AG209,12*2),AND(AO209="K5-LAW",AL209="นิติศาสตร์",AE209="S1",AH209&gt;=1,OR(AG209&lt;AA209,AG209&lt;R209)),EDATE(AG209,12),AND(AO209="K5-LAW",AL209="นิติศาสตร์",OR(Y209="M2",Y209="K4"),AB209&gt;=2,AA209&lt;R209),EDATE(AA209,12*2),AND(AO209="K5-LAW",AL209="นิติศาสตร์",Y209="S1",AB209&gt;=1,AA209&lt;R209),EDATE(AA209,12),AND(AO209="K5-LAW",AL209="นิติศาสตร์",OR(Y209="S2",Y209="K5")),AA209,AND(AO209="K5-LAW",AL209="นิติศาสตร์",OR(K209="M2",K209="K4"),U209&gt;=2),EDATE(R209,12*2),AND(AO209="K5-LAW",AL209="นิติศาสตร์",K209="S1",U209&gt;=1),EDATE(R209,12),AND(AO209="K5-LAW",AL209="นิติศาสตร์",OR(K209="S2",K209="K5")),R209,AND(AO209="K5-POLICY",AL209&lt;&gt;"นิติศาสตร์",K209="S2",Y209="",AE209=""),R209,AND(AO209="K5-POLICY",AL209&lt;&gt;"นิติศาสตร์",K209="S1",Y209="",AE209=""),EDATE(R209,12),AND(AO209="K5-POLICY",AL209&lt;&gt;"นิติศาสตร์",OR(K209="M2",K209="K4"),Y209="",AE209=""),EDATE(R209,12*2),AND(AO209="K5-POLICY",AL209&lt;&gt;"นิติศาสตร์",OR(AE209="M2",AE209="K4"),AH209&gt;=2,OR(AG209&lt;AA209,AG209&lt;R209)),EDATE(AG209,12*2),AND(AO209="K5-POLICY",AL209&lt;&gt;"นิติศาสตร์",AE209="S1",AH209&gt;=1,OR(AG209&lt;AA209,AG209&lt;R209)),EDATE(AG209,12),AND(AO209="K5-POLICY",AL209&lt;&gt;"นิติศาสตร์",OR(Y209="M2",Y209="K4"),AB209&gt;=2,AA209&lt;R209),EDATE(AA209,12*2),AND(AO209="K5-POLICY",AL209&lt;&gt;"นิติศาสตร์",Y209="S1",AB209&gt;=1,AA209&lt;R209),EDATE(AA209,12),AND(AO209="K5-POLICY",AL209&lt;&gt;"นิติศาสตร์",OR(Y209="S2",Y209="K5")),AA209,AND(AO209="K5-POLICY",AL209&lt;&gt;"นิติศาสตร์",OR(K209="M2",K209="K4"),U209&gt;=2),EDATE(R209,12*2),AND(AO209="K5-POLICY",AL209&lt;&gt;"นิติศาสตร์",K209="S1",U209&gt;=1),EDATE(R209,12),AND(AO209="K5-POLICY",AL209&lt;&gt;"นิติศาสตร์",OR(K209="S2",K209="K5")),R209,TRUE,"Check Data")</f>
        <v/>
      </c>
      <c r="AQ209" s="75" t="str">
        <f t="shared" si="95"/>
        <v>Check Data</v>
      </c>
      <c r="AR209" s="76" t="str">
        <f t="shared" si="96"/>
        <v>Check Data</v>
      </c>
      <c r="AS209" s="50" t="str">
        <f t="shared" si="97"/>
        <v>Check Data</v>
      </c>
      <c r="AT209" s="49" t="str">
        <f>IF(B209="","",IF(K209="S1","S1",INDEX(#REF!,#REF!)))</f>
        <v/>
      </c>
      <c r="AU209" s="49" t="str">
        <f t="shared" si="98"/>
        <v>M2</v>
      </c>
      <c r="AV209" s="50" t="b">
        <f t="shared" si="99"/>
        <v>0</v>
      </c>
      <c r="AW209" s="50"/>
    </row>
    <row r="210" spans="1:49" ht="21.75">
      <c r="A210" s="49">
        <v>208</v>
      </c>
      <c r="B210" s="50"/>
      <c r="C210" s="50"/>
      <c r="D210" s="50" t="s">
        <v>142</v>
      </c>
      <c r="E210" s="49" t="s">
        <v>280</v>
      </c>
      <c r="F210" s="49" t="str">
        <f t="shared" si="100"/>
        <v>13/07/1990</v>
      </c>
      <c r="G210" s="50">
        <f t="shared" si="76"/>
        <v>34</v>
      </c>
      <c r="H210" s="50">
        <f t="shared" si="77"/>
        <v>11</v>
      </c>
      <c r="I210" s="50">
        <f t="shared" si="78"/>
        <v>7</v>
      </c>
      <c r="J210" s="58"/>
      <c r="K210" s="49" t="s">
        <v>136</v>
      </c>
      <c r="L210" s="49" t="str">
        <f>IF(B210="","",IF(K210="S1",K210,INDEX(#REF!,#REF!)))</f>
        <v/>
      </c>
      <c r="M210" s="49" t="b">
        <f t="shared" si="79"/>
        <v>0</v>
      </c>
      <c r="N210" s="64"/>
      <c r="O210" s="49">
        <v>0</v>
      </c>
      <c r="P210" s="49">
        <v>0</v>
      </c>
      <c r="Q210" s="65" t="s">
        <v>257</v>
      </c>
      <c r="R210" s="49" t="str">
        <f t="shared" si="80"/>
        <v>19/12/2023</v>
      </c>
      <c r="S210" s="49" t="str">
        <f>IF(B210="","",IF(K210="S1",K210,INDEX(#REF!,#REF!)))</f>
        <v/>
      </c>
      <c r="T210" s="49" t="b">
        <f t="shared" si="81"/>
        <v>0</v>
      </c>
      <c r="U210" s="68">
        <f t="shared" si="82"/>
        <v>1</v>
      </c>
      <c r="V210" s="68">
        <f t="shared" si="83"/>
        <v>6</v>
      </c>
      <c r="W210" s="68">
        <f t="shared" si="84"/>
        <v>1</v>
      </c>
      <c r="X210" s="68"/>
      <c r="Y210" s="65"/>
      <c r="Z210" s="65"/>
      <c r="AA210" s="49" t="str">
        <f t="shared" si="101"/>
        <v/>
      </c>
      <c r="AB210" s="68">
        <f t="shared" si="102"/>
        <v>0</v>
      </c>
      <c r="AC210" s="68">
        <f t="shared" si="103"/>
        <v>0</v>
      </c>
      <c r="AD210" s="68">
        <f t="shared" si="104"/>
        <v>0</v>
      </c>
      <c r="AE210" s="49"/>
      <c r="AF210" s="65"/>
      <c r="AG210" s="50" t="str">
        <f t="shared" si="105"/>
        <v/>
      </c>
      <c r="AH210" s="68">
        <f t="shared" si="106"/>
        <v>0</v>
      </c>
      <c r="AI210" s="68">
        <f t="shared" si="107"/>
        <v>0</v>
      </c>
      <c r="AJ210" s="68">
        <f t="shared" si="108"/>
        <v>0</v>
      </c>
      <c r="AK210" s="50"/>
      <c r="AL210" s="50" t="s">
        <v>138</v>
      </c>
      <c r="AM210" s="50" t="str">
        <f>IF(B210="","",IF(K210="S1",K210,INDEX(#REF!,#REF!)))</f>
        <v/>
      </c>
      <c r="AN210" s="50" t="b">
        <f t="shared" si="93"/>
        <v>0</v>
      </c>
      <c r="AO210" s="49" t="str">
        <f t="shared" si="94"/>
        <v>K5-LAW</v>
      </c>
      <c r="AP210" s="72" t="str">
        <f>_xlfn.IFS(B210="","",AND(AO210="K5-LAW",AL210="นิติศาสตร์",K210="S2",Y210="",AE210=""),R210,AND(AO210="K5-LAW",AL210="นิติศาสตร์",K210="S1",Y210="",AE210=""),EDATE(R210,12),AND(AO210="K5-LAW",AL210="นิติศาสตร์",OR(K210="M2",K210="K4"),Y210="",AE210=""),EDATE(R210,12*2),AND(AO210="K5-LAW",AL210="นิติศาสตร์",OR(AE210="M2",AE210="K4"),AH210&gt;=2,OR(AG210&lt;AA210,AG210&lt;R210)),EDATE(AG210,12*2),AND(AO210="K5-LAW",AL210="นิติศาสตร์",AE210="S1",AH210&gt;=1,OR(AG210&lt;AA210,AG210&lt;R210)),EDATE(AG210,12),AND(AO210="K5-LAW",AL210="นิติศาสตร์",OR(Y210="M2",Y210="K4"),AB210&gt;=2,AA210&lt;R210),EDATE(AA210,12*2),AND(AO210="K5-LAW",AL210="นิติศาสตร์",Y210="S1",AB210&gt;=1,AA210&lt;R210),EDATE(AA210,12),AND(AO210="K5-LAW",AL210="นิติศาสตร์",OR(Y210="S2",Y210="K5")),AA210,AND(AO210="K5-LAW",AL210="นิติศาสตร์",OR(K210="M2",K210="K4"),U210&gt;=2),EDATE(R210,12*2),AND(AO210="K5-LAW",AL210="นิติศาสตร์",K210="S1",U210&gt;=1),EDATE(R210,12),AND(AO210="K5-LAW",AL210="นิติศาสตร์",OR(K210="S2",K210="K5")),R210,AND(AO210="K5-POLICY",AL210&lt;&gt;"นิติศาสตร์",K210="S2",Y210="",AE210=""),R210,AND(AO210="K5-POLICY",AL210&lt;&gt;"นิติศาสตร์",K210="S1",Y210="",AE210=""),EDATE(R210,12),AND(AO210="K5-POLICY",AL210&lt;&gt;"นิติศาสตร์",OR(K210="M2",K210="K4"),Y210="",AE210=""),EDATE(R210,12*2),AND(AO210="K5-POLICY",AL210&lt;&gt;"นิติศาสตร์",OR(AE210="M2",AE210="K4"),AH210&gt;=2,OR(AG210&lt;AA210,AG210&lt;R210)),EDATE(AG210,12*2),AND(AO210="K5-POLICY",AL210&lt;&gt;"นิติศาสตร์",AE210="S1",AH210&gt;=1,OR(AG210&lt;AA210,AG210&lt;R210)),EDATE(AG210,12),AND(AO210="K5-POLICY",AL210&lt;&gt;"นิติศาสตร์",OR(Y210="M2",Y210="K4"),AB210&gt;=2,AA210&lt;R210),EDATE(AA210,12*2),AND(AO210="K5-POLICY",AL210&lt;&gt;"นิติศาสตร์",Y210="S1",AB210&gt;=1,AA210&lt;R210),EDATE(AA210,12),AND(AO210="K5-POLICY",AL210&lt;&gt;"นิติศาสตร์",OR(Y210="S2",Y210="K5")),AA210,AND(AO210="K5-POLICY",AL210&lt;&gt;"นิติศาสตร์",OR(K210="M2",K210="K4"),U210&gt;=2),EDATE(R210,12*2),AND(AO210="K5-POLICY",AL210&lt;&gt;"นิติศาสตร์",K210="S1",U210&gt;=1),EDATE(R210,12),AND(AO210="K5-POLICY",AL210&lt;&gt;"นิติศาสตร์",OR(K210="S2",K210="K5")),R210,TRUE,"Check Data")</f>
        <v/>
      </c>
      <c r="AQ210" s="75" t="str">
        <f t="shared" si="95"/>
        <v>Check Data</v>
      </c>
      <c r="AR210" s="76" t="str">
        <f t="shared" si="96"/>
        <v>Check Data</v>
      </c>
      <c r="AS210" s="50" t="str">
        <f t="shared" si="97"/>
        <v>Check Data</v>
      </c>
      <c r="AT210" s="49" t="str">
        <f>IF(B210="","",IF(K210="S1","S1",INDEX(#REF!,#REF!)))</f>
        <v/>
      </c>
      <c r="AU210" s="49" t="str">
        <f t="shared" si="98"/>
        <v>M2</v>
      </c>
      <c r="AV210" s="50" t="b">
        <f t="shared" si="99"/>
        <v>0</v>
      </c>
      <c r="AW210" s="50"/>
    </row>
    <row r="211" spans="1:49" ht="21.75">
      <c r="A211" s="49">
        <v>209</v>
      </c>
      <c r="B211" s="50"/>
      <c r="C211" s="50"/>
      <c r="D211" s="50" t="s">
        <v>141</v>
      </c>
      <c r="E211" s="49" t="s">
        <v>266</v>
      </c>
      <c r="F211" s="49" t="str">
        <f t="shared" si="100"/>
        <v>16/09/1993</v>
      </c>
      <c r="G211" s="50">
        <f t="shared" si="76"/>
        <v>31</v>
      </c>
      <c r="H211" s="50">
        <f t="shared" si="77"/>
        <v>9</v>
      </c>
      <c r="I211" s="50">
        <f t="shared" si="78"/>
        <v>4</v>
      </c>
      <c r="J211" s="60"/>
      <c r="K211" s="49" t="s">
        <v>136</v>
      </c>
      <c r="L211" s="49" t="str">
        <f>IF(B211="","",IF(K211="S1",K211,INDEX(#REF!,#REF!)))</f>
        <v/>
      </c>
      <c r="M211" s="49" t="b">
        <f t="shared" si="79"/>
        <v>0</v>
      </c>
      <c r="N211" s="64"/>
      <c r="O211" s="49" t="s">
        <v>426</v>
      </c>
      <c r="P211" s="49">
        <v>2570</v>
      </c>
      <c r="Q211" s="65" t="s">
        <v>257</v>
      </c>
      <c r="R211" s="49" t="str">
        <f t="shared" si="80"/>
        <v>19/12/2023</v>
      </c>
      <c r="S211" s="49" t="str">
        <f>IF(B211="","",IF(K211="S1",K211,INDEX(#REF!,#REF!)))</f>
        <v/>
      </c>
      <c r="T211" s="49" t="b">
        <f t="shared" si="81"/>
        <v>0</v>
      </c>
      <c r="U211" s="68">
        <f t="shared" si="82"/>
        <v>1</v>
      </c>
      <c r="V211" s="68">
        <f t="shared" si="83"/>
        <v>6</v>
      </c>
      <c r="W211" s="68">
        <f t="shared" si="84"/>
        <v>1</v>
      </c>
      <c r="X211" s="68"/>
      <c r="Y211" s="65"/>
      <c r="Z211" s="65"/>
      <c r="AA211" s="49" t="str">
        <f t="shared" si="101"/>
        <v/>
      </c>
      <c r="AB211" s="68">
        <f t="shared" si="102"/>
        <v>0</v>
      </c>
      <c r="AC211" s="68">
        <f t="shared" si="103"/>
        <v>0</v>
      </c>
      <c r="AD211" s="68">
        <f t="shared" si="104"/>
        <v>0</v>
      </c>
      <c r="AE211" s="49"/>
      <c r="AF211" s="65"/>
      <c r="AG211" s="50" t="str">
        <f t="shared" si="105"/>
        <v/>
      </c>
      <c r="AH211" s="68">
        <f t="shared" si="106"/>
        <v>0</v>
      </c>
      <c r="AI211" s="68">
        <f t="shared" si="107"/>
        <v>0</v>
      </c>
      <c r="AJ211" s="68">
        <f t="shared" si="108"/>
        <v>0</v>
      </c>
      <c r="AK211" s="50"/>
      <c r="AL211" s="50" t="s">
        <v>138</v>
      </c>
      <c r="AM211" s="50" t="str">
        <f>IF(B211="","",IF(K211="S1",K211,INDEX(#REF!,#REF!)))</f>
        <v/>
      </c>
      <c r="AN211" s="50" t="b">
        <f t="shared" si="93"/>
        <v>0</v>
      </c>
      <c r="AO211" s="49" t="str">
        <f t="shared" si="94"/>
        <v>K5-LAW</v>
      </c>
      <c r="AP211" s="72" t="str">
        <f>_xlfn.IFS(B211="","",AND(AO211="K5-LAW",AL211="นิติศาสตร์",K211="S2",Y211="",AE211=""),R211,AND(AO211="K5-LAW",AL211="นิติศาสตร์",K211="S1",Y211="",AE211=""),EDATE(R211,12),AND(AO211="K5-LAW",AL211="นิติศาสตร์",OR(K211="M2",K211="K4"),Y211="",AE211=""),EDATE(R211,12*2),AND(AO211="K5-LAW",AL211="นิติศาสตร์",OR(AE211="M2",AE211="K4"),AH211&gt;=2,OR(AG211&lt;AA211,AG211&lt;R211)),EDATE(AG211,12*2),AND(AO211="K5-LAW",AL211="นิติศาสตร์",AE211="S1",AH211&gt;=1,OR(AG211&lt;AA211,AG211&lt;R211)),EDATE(AG211,12),AND(AO211="K5-LAW",AL211="นิติศาสตร์",OR(Y211="M2",Y211="K4"),AB211&gt;=2,AA211&lt;R211),EDATE(AA211,12*2),AND(AO211="K5-LAW",AL211="นิติศาสตร์",Y211="S1",AB211&gt;=1,AA211&lt;R211),EDATE(AA211,12),AND(AO211="K5-LAW",AL211="นิติศาสตร์",OR(Y211="S2",Y211="K5")),AA211,AND(AO211="K5-LAW",AL211="นิติศาสตร์",OR(K211="M2",K211="K4"),U211&gt;=2),EDATE(R211,12*2),AND(AO211="K5-LAW",AL211="นิติศาสตร์",K211="S1",U211&gt;=1),EDATE(R211,12),AND(AO211="K5-LAW",AL211="นิติศาสตร์",OR(K211="S2",K211="K5")),R211,AND(AO211="K5-POLICY",AL211&lt;&gt;"นิติศาสตร์",K211="S2",Y211="",AE211=""),R211,AND(AO211="K5-POLICY",AL211&lt;&gt;"นิติศาสตร์",K211="S1",Y211="",AE211=""),EDATE(R211,12),AND(AO211="K5-POLICY",AL211&lt;&gt;"นิติศาสตร์",OR(K211="M2",K211="K4"),Y211="",AE211=""),EDATE(R211,12*2),AND(AO211="K5-POLICY",AL211&lt;&gt;"นิติศาสตร์",OR(AE211="M2",AE211="K4"),AH211&gt;=2,OR(AG211&lt;AA211,AG211&lt;R211)),EDATE(AG211,12*2),AND(AO211="K5-POLICY",AL211&lt;&gt;"นิติศาสตร์",AE211="S1",AH211&gt;=1,OR(AG211&lt;AA211,AG211&lt;R211)),EDATE(AG211,12),AND(AO211="K5-POLICY",AL211&lt;&gt;"นิติศาสตร์",OR(Y211="M2",Y211="K4"),AB211&gt;=2,AA211&lt;R211),EDATE(AA211,12*2),AND(AO211="K5-POLICY",AL211&lt;&gt;"นิติศาสตร์",Y211="S1",AB211&gt;=1,AA211&lt;R211),EDATE(AA211,12),AND(AO211="K5-POLICY",AL211&lt;&gt;"นิติศาสตร์",OR(Y211="S2",Y211="K5")),AA211,AND(AO211="K5-POLICY",AL211&lt;&gt;"นิติศาสตร์",OR(K211="M2",K211="K4"),U211&gt;=2),EDATE(R211,12*2),AND(AO211="K5-POLICY",AL211&lt;&gt;"นิติศาสตร์",K211="S1",U211&gt;=1),EDATE(R211,12),AND(AO211="K5-POLICY",AL211&lt;&gt;"นิติศาสตร์",OR(K211="S2",K211="K5")),R211,TRUE,"Check Data")</f>
        <v/>
      </c>
      <c r="AQ211" s="75" t="str">
        <f t="shared" si="95"/>
        <v>Check Data</v>
      </c>
      <c r="AR211" s="76" t="str">
        <f t="shared" si="96"/>
        <v>Check Data</v>
      </c>
      <c r="AS211" s="50" t="str">
        <f t="shared" si="97"/>
        <v>Check Data</v>
      </c>
      <c r="AT211" s="49" t="str">
        <f>IF(B211="","",IF(K211="S1","S1",INDEX(#REF!,#REF!)))</f>
        <v/>
      </c>
      <c r="AU211" s="49" t="str">
        <f t="shared" si="98"/>
        <v>M2</v>
      </c>
      <c r="AV211" s="50" t="b">
        <f t="shared" si="99"/>
        <v>0</v>
      </c>
      <c r="AW211" s="50"/>
    </row>
    <row r="212" spans="1:49" ht="21.75">
      <c r="A212" s="49">
        <v>210</v>
      </c>
      <c r="B212" s="50"/>
      <c r="C212" s="50"/>
      <c r="D212" s="50" t="s">
        <v>142</v>
      </c>
      <c r="E212" s="49" t="s">
        <v>277</v>
      </c>
      <c r="F212" s="49" t="str">
        <f t="shared" si="100"/>
        <v>15/09/1997</v>
      </c>
      <c r="G212" s="50">
        <f t="shared" si="76"/>
        <v>27</v>
      </c>
      <c r="H212" s="50">
        <f t="shared" si="77"/>
        <v>9</v>
      </c>
      <c r="I212" s="50">
        <f t="shared" si="78"/>
        <v>5</v>
      </c>
      <c r="J212" s="58"/>
      <c r="K212" s="49" t="s">
        <v>136</v>
      </c>
      <c r="L212" s="49" t="str">
        <f>IF(B212="","",IF(K212="S1",K212,INDEX(#REF!,#REF!)))</f>
        <v/>
      </c>
      <c r="M212" s="49" t="b">
        <f t="shared" si="79"/>
        <v>0</v>
      </c>
      <c r="N212" s="64"/>
      <c r="O212" s="49">
        <v>0</v>
      </c>
      <c r="P212" s="49">
        <v>0</v>
      </c>
      <c r="Q212" s="65" t="s">
        <v>257</v>
      </c>
      <c r="R212" s="49" t="str">
        <f t="shared" si="80"/>
        <v>19/12/2023</v>
      </c>
      <c r="S212" s="49" t="str">
        <f>IF(B212="","",IF(K212="S1",K212,INDEX(#REF!,#REF!)))</f>
        <v/>
      </c>
      <c r="T212" s="49" t="b">
        <f t="shared" si="81"/>
        <v>0</v>
      </c>
      <c r="U212" s="68">
        <f t="shared" si="82"/>
        <v>1</v>
      </c>
      <c r="V212" s="68">
        <f t="shared" si="83"/>
        <v>6</v>
      </c>
      <c r="W212" s="68">
        <f t="shared" si="84"/>
        <v>1</v>
      </c>
      <c r="X212" s="68"/>
      <c r="Y212" s="65"/>
      <c r="Z212" s="65"/>
      <c r="AA212" s="49" t="str">
        <f t="shared" si="101"/>
        <v/>
      </c>
      <c r="AB212" s="68">
        <f t="shared" si="102"/>
        <v>0</v>
      </c>
      <c r="AC212" s="68">
        <f t="shared" si="103"/>
        <v>0</v>
      </c>
      <c r="AD212" s="68">
        <f t="shared" si="104"/>
        <v>0</v>
      </c>
      <c r="AE212" s="49"/>
      <c r="AF212" s="65"/>
      <c r="AG212" s="50" t="str">
        <f t="shared" si="105"/>
        <v/>
      </c>
      <c r="AH212" s="68">
        <f t="shared" si="106"/>
        <v>0</v>
      </c>
      <c r="AI212" s="68">
        <f t="shared" si="107"/>
        <v>0</v>
      </c>
      <c r="AJ212" s="68">
        <f t="shared" si="108"/>
        <v>0</v>
      </c>
      <c r="AK212" s="50"/>
      <c r="AL212" s="50" t="s">
        <v>138</v>
      </c>
      <c r="AM212" s="50" t="str">
        <f>IF(B212="","",IF(K212="S1",K212,INDEX(#REF!,#REF!)))</f>
        <v/>
      </c>
      <c r="AN212" s="50" t="b">
        <f t="shared" si="93"/>
        <v>0</v>
      </c>
      <c r="AO212" s="49" t="str">
        <f t="shared" si="94"/>
        <v>K5-LAW</v>
      </c>
      <c r="AP212" s="72" t="str">
        <f>_xlfn.IFS(B212="","",AND(AO212="K5-LAW",AL212="นิติศาสตร์",K212="S2",Y212="",AE212=""),R212,AND(AO212="K5-LAW",AL212="นิติศาสตร์",K212="S1",Y212="",AE212=""),EDATE(R212,12),AND(AO212="K5-LAW",AL212="นิติศาสตร์",OR(K212="M2",K212="K4"),Y212="",AE212=""),EDATE(R212,12*2),AND(AO212="K5-LAW",AL212="นิติศาสตร์",OR(AE212="M2",AE212="K4"),AH212&gt;=2,OR(AG212&lt;AA212,AG212&lt;R212)),EDATE(AG212,12*2),AND(AO212="K5-LAW",AL212="นิติศาสตร์",AE212="S1",AH212&gt;=1,OR(AG212&lt;AA212,AG212&lt;R212)),EDATE(AG212,12),AND(AO212="K5-LAW",AL212="นิติศาสตร์",OR(Y212="M2",Y212="K4"),AB212&gt;=2,AA212&lt;R212),EDATE(AA212,12*2),AND(AO212="K5-LAW",AL212="นิติศาสตร์",Y212="S1",AB212&gt;=1,AA212&lt;R212),EDATE(AA212,12),AND(AO212="K5-LAW",AL212="นิติศาสตร์",OR(Y212="S2",Y212="K5")),AA212,AND(AO212="K5-LAW",AL212="นิติศาสตร์",OR(K212="M2",K212="K4"),U212&gt;=2),EDATE(R212,12*2),AND(AO212="K5-LAW",AL212="นิติศาสตร์",K212="S1",U212&gt;=1),EDATE(R212,12),AND(AO212="K5-LAW",AL212="นิติศาสตร์",OR(K212="S2",K212="K5")),R212,AND(AO212="K5-POLICY",AL212&lt;&gt;"นิติศาสตร์",K212="S2",Y212="",AE212=""),R212,AND(AO212="K5-POLICY",AL212&lt;&gt;"นิติศาสตร์",K212="S1",Y212="",AE212=""),EDATE(R212,12),AND(AO212="K5-POLICY",AL212&lt;&gt;"นิติศาสตร์",OR(K212="M2",K212="K4"),Y212="",AE212=""),EDATE(R212,12*2),AND(AO212="K5-POLICY",AL212&lt;&gt;"นิติศาสตร์",OR(AE212="M2",AE212="K4"),AH212&gt;=2,OR(AG212&lt;AA212,AG212&lt;R212)),EDATE(AG212,12*2),AND(AO212="K5-POLICY",AL212&lt;&gt;"นิติศาสตร์",AE212="S1",AH212&gt;=1,OR(AG212&lt;AA212,AG212&lt;R212)),EDATE(AG212,12),AND(AO212="K5-POLICY",AL212&lt;&gt;"นิติศาสตร์",OR(Y212="M2",Y212="K4"),AB212&gt;=2,AA212&lt;R212),EDATE(AA212,12*2),AND(AO212="K5-POLICY",AL212&lt;&gt;"นิติศาสตร์",Y212="S1",AB212&gt;=1,AA212&lt;R212),EDATE(AA212,12),AND(AO212="K5-POLICY",AL212&lt;&gt;"นิติศาสตร์",OR(Y212="S2",Y212="K5")),AA212,AND(AO212="K5-POLICY",AL212&lt;&gt;"นิติศาสตร์",OR(K212="M2",K212="K4"),U212&gt;=2),EDATE(R212,12*2),AND(AO212="K5-POLICY",AL212&lt;&gt;"นิติศาสตร์",K212="S1",U212&gt;=1),EDATE(R212,12),AND(AO212="K5-POLICY",AL212&lt;&gt;"นิติศาสตร์",OR(K212="S2",K212="K5")),R212,TRUE,"Check Data")</f>
        <v/>
      </c>
      <c r="AQ212" s="75" t="str">
        <f t="shared" si="95"/>
        <v>Check Data</v>
      </c>
      <c r="AR212" s="76" t="str">
        <f t="shared" si="96"/>
        <v>Check Data</v>
      </c>
      <c r="AS212" s="50" t="str">
        <f t="shared" si="97"/>
        <v>Check Data</v>
      </c>
      <c r="AT212" s="49" t="str">
        <f>IF(B212="","",IF(K212="S1","S1",INDEX(#REF!,#REF!)))</f>
        <v/>
      </c>
      <c r="AU212" s="49" t="str">
        <f t="shared" si="98"/>
        <v>M2</v>
      </c>
      <c r="AV212" s="50" t="b">
        <f t="shared" si="99"/>
        <v>0</v>
      </c>
      <c r="AW212" s="50"/>
    </row>
    <row r="213" spans="1:49" ht="21.75">
      <c r="A213" s="49">
        <v>211</v>
      </c>
      <c r="B213" s="50"/>
      <c r="C213" s="50"/>
      <c r="D213" s="50" t="s">
        <v>141</v>
      </c>
      <c r="E213" s="49" t="s">
        <v>250</v>
      </c>
      <c r="F213" s="49" t="str">
        <f t="shared" si="100"/>
        <v>01/08/1995</v>
      </c>
      <c r="G213" s="50">
        <f t="shared" si="76"/>
        <v>29</v>
      </c>
      <c r="H213" s="50">
        <f t="shared" si="77"/>
        <v>10</v>
      </c>
      <c r="I213" s="50">
        <f t="shared" si="78"/>
        <v>19</v>
      </c>
      <c r="J213" s="60"/>
      <c r="K213" s="49" t="s">
        <v>136</v>
      </c>
      <c r="L213" s="49" t="str">
        <f>IF(B213="","",IF(K213="S1",K213,INDEX(#REF!,#REF!)))</f>
        <v/>
      </c>
      <c r="M213" s="49" t="b">
        <f t="shared" si="79"/>
        <v>0</v>
      </c>
      <c r="N213" s="64"/>
      <c r="O213" s="49" t="s">
        <v>426</v>
      </c>
      <c r="P213" s="49">
        <v>2574</v>
      </c>
      <c r="Q213" s="65" t="s">
        <v>257</v>
      </c>
      <c r="R213" s="49" t="str">
        <f t="shared" si="80"/>
        <v>19/12/2023</v>
      </c>
      <c r="S213" s="49" t="str">
        <f>IF(B213="","",IF(K213="S1",K213,INDEX(#REF!,#REF!)))</f>
        <v/>
      </c>
      <c r="T213" s="49" t="b">
        <f t="shared" si="81"/>
        <v>0</v>
      </c>
      <c r="U213" s="68">
        <f t="shared" si="82"/>
        <v>1</v>
      </c>
      <c r="V213" s="68">
        <f t="shared" si="83"/>
        <v>6</v>
      </c>
      <c r="W213" s="68">
        <f t="shared" si="84"/>
        <v>1</v>
      </c>
      <c r="X213" s="68"/>
      <c r="Y213" s="65"/>
      <c r="Z213" s="65"/>
      <c r="AA213" s="49" t="str">
        <f t="shared" si="101"/>
        <v/>
      </c>
      <c r="AB213" s="68">
        <f t="shared" si="102"/>
        <v>0</v>
      </c>
      <c r="AC213" s="68">
        <f t="shared" si="103"/>
        <v>0</v>
      </c>
      <c r="AD213" s="68">
        <f t="shared" si="104"/>
        <v>0</v>
      </c>
      <c r="AE213" s="49"/>
      <c r="AF213" s="65"/>
      <c r="AG213" s="50" t="str">
        <f t="shared" si="105"/>
        <v/>
      </c>
      <c r="AH213" s="68">
        <f t="shared" si="106"/>
        <v>0</v>
      </c>
      <c r="AI213" s="68">
        <f t="shared" si="107"/>
        <v>0</v>
      </c>
      <c r="AJ213" s="68">
        <f t="shared" si="108"/>
        <v>0</v>
      </c>
      <c r="AK213" s="50"/>
      <c r="AL213" s="50" t="s">
        <v>138</v>
      </c>
      <c r="AM213" s="50" t="str">
        <f>IF(B213="","",IF(K213="S1",K213,INDEX(#REF!,#REF!)))</f>
        <v/>
      </c>
      <c r="AN213" s="50" t="b">
        <f t="shared" si="93"/>
        <v>0</v>
      </c>
      <c r="AO213" s="49" t="str">
        <f t="shared" si="94"/>
        <v>K5-LAW</v>
      </c>
      <c r="AP213" s="72" t="str">
        <f>_xlfn.IFS(B213="","",AND(AO213="K5-LAW",AL213="นิติศาสตร์",K213="S2",Y213="",AE213=""),R213,AND(AO213="K5-LAW",AL213="นิติศาสตร์",K213="S1",Y213="",AE213=""),EDATE(R213,12),AND(AO213="K5-LAW",AL213="นิติศาสตร์",OR(K213="M2",K213="K4"),Y213="",AE213=""),EDATE(R213,12*2),AND(AO213="K5-LAW",AL213="นิติศาสตร์",OR(AE213="M2",AE213="K4"),AH213&gt;=2,OR(AG213&lt;AA213,AG213&lt;R213)),EDATE(AG213,12*2),AND(AO213="K5-LAW",AL213="นิติศาสตร์",AE213="S1",AH213&gt;=1,OR(AG213&lt;AA213,AG213&lt;R213)),EDATE(AG213,12),AND(AO213="K5-LAW",AL213="นิติศาสตร์",OR(Y213="M2",Y213="K4"),AB213&gt;=2,AA213&lt;R213),EDATE(AA213,12*2),AND(AO213="K5-LAW",AL213="นิติศาสตร์",Y213="S1",AB213&gt;=1,AA213&lt;R213),EDATE(AA213,12),AND(AO213="K5-LAW",AL213="นิติศาสตร์",OR(Y213="S2",Y213="K5")),AA213,AND(AO213="K5-LAW",AL213="นิติศาสตร์",OR(K213="M2",K213="K4"),U213&gt;=2),EDATE(R213,12*2),AND(AO213="K5-LAW",AL213="นิติศาสตร์",K213="S1",U213&gt;=1),EDATE(R213,12),AND(AO213="K5-LAW",AL213="นิติศาสตร์",OR(K213="S2",K213="K5")),R213,AND(AO213="K5-POLICY",AL213&lt;&gt;"นิติศาสตร์",K213="S2",Y213="",AE213=""),R213,AND(AO213="K5-POLICY",AL213&lt;&gt;"นิติศาสตร์",K213="S1",Y213="",AE213=""),EDATE(R213,12),AND(AO213="K5-POLICY",AL213&lt;&gt;"นิติศาสตร์",OR(K213="M2",K213="K4"),Y213="",AE213=""),EDATE(R213,12*2),AND(AO213="K5-POLICY",AL213&lt;&gt;"นิติศาสตร์",OR(AE213="M2",AE213="K4"),AH213&gt;=2,OR(AG213&lt;AA213,AG213&lt;R213)),EDATE(AG213,12*2),AND(AO213="K5-POLICY",AL213&lt;&gt;"นิติศาสตร์",AE213="S1",AH213&gt;=1,OR(AG213&lt;AA213,AG213&lt;R213)),EDATE(AG213,12),AND(AO213="K5-POLICY",AL213&lt;&gt;"นิติศาสตร์",OR(Y213="M2",Y213="K4"),AB213&gt;=2,AA213&lt;R213),EDATE(AA213,12*2),AND(AO213="K5-POLICY",AL213&lt;&gt;"นิติศาสตร์",Y213="S1",AB213&gt;=1,AA213&lt;R213),EDATE(AA213,12),AND(AO213="K5-POLICY",AL213&lt;&gt;"นิติศาสตร์",OR(Y213="S2",Y213="K5")),AA213,AND(AO213="K5-POLICY",AL213&lt;&gt;"นิติศาสตร์",OR(K213="M2",K213="K4"),U213&gt;=2),EDATE(R213,12*2),AND(AO213="K5-POLICY",AL213&lt;&gt;"นิติศาสตร์",K213="S1",U213&gt;=1),EDATE(R213,12),AND(AO213="K5-POLICY",AL213&lt;&gt;"นิติศาสตร์",OR(K213="S2",K213="K5")),R213,TRUE,"Check Data")</f>
        <v/>
      </c>
      <c r="AQ213" s="75" t="str">
        <f t="shared" si="95"/>
        <v>Check Data</v>
      </c>
      <c r="AR213" s="76" t="str">
        <f t="shared" si="96"/>
        <v>Check Data</v>
      </c>
      <c r="AS213" s="50" t="str">
        <f t="shared" si="97"/>
        <v>Check Data</v>
      </c>
      <c r="AT213" s="49" t="str">
        <f>IF(B213="","",IF(K213="S1","S1",INDEX(#REF!,#REF!)))</f>
        <v/>
      </c>
      <c r="AU213" s="49" t="str">
        <f t="shared" si="98"/>
        <v>M2</v>
      </c>
      <c r="AV213" s="50" t="b">
        <f t="shared" si="99"/>
        <v>0</v>
      </c>
      <c r="AW213" s="50"/>
    </row>
    <row r="214" spans="1:49" ht="21.75">
      <c r="A214" s="49">
        <v>212</v>
      </c>
      <c r="B214" s="50"/>
      <c r="C214" s="50"/>
      <c r="D214" s="50" t="s">
        <v>142</v>
      </c>
      <c r="E214" s="49" t="s">
        <v>281</v>
      </c>
      <c r="F214" s="49" t="str">
        <f t="shared" si="100"/>
        <v>03/05/1999</v>
      </c>
      <c r="G214" s="50">
        <f t="shared" si="76"/>
        <v>26</v>
      </c>
      <c r="H214" s="50">
        <f t="shared" si="77"/>
        <v>1</v>
      </c>
      <c r="I214" s="50">
        <f t="shared" si="78"/>
        <v>17</v>
      </c>
      <c r="J214" s="58"/>
      <c r="K214" s="49" t="s">
        <v>136</v>
      </c>
      <c r="L214" s="49" t="str">
        <f>IF(B214="","",IF(K214="S1",K214,INDEX(#REF!,#REF!)))</f>
        <v/>
      </c>
      <c r="M214" s="49" t="b">
        <f t="shared" si="79"/>
        <v>0</v>
      </c>
      <c r="N214" s="64"/>
      <c r="O214" s="49">
        <v>0</v>
      </c>
      <c r="P214" s="49">
        <v>0</v>
      </c>
      <c r="Q214" s="65" t="s">
        <v>257</v>
      </c>
      <c r="R214" s="49" t="str">
        <f t="shared" si="80"/>
        <v>19/12/2023</v>
      </c>
      <c r="S214" s="49" t="str">
        <f>IF(B214="","",IF(K214="S1",K214,INDEX(#REF!,#REF!)))</f>
        <v/>
      </c>
      <c r="T214" s="49" t="b">
        <f t="shared" si="81"/>
        <v>0</v>
      </c>
      <c r="U214" s="68">
        <f t="shared" si="82"/>
        <v>1</v>
      </c>
      <c r="V214" s="68">
        <f t="shared" si="83"/>
        <v>6</v>
      </c>
      <c r="W214" s="68">
        <f t="shared" si="84"/>
        <v>1</v>
      </c>
      <c r="X214" s="68"/>
      <c r="Y214" s="65"/>
      <c r="Z214" s="65"/>
      <c r="AA214" s="49" t="str">
        <f t="shared" si="101"/>
        <v/>
      </c>
      <c r="AB214" s="68">
        <f t="shared" si="102"/>
        <v>0</v>
      </c>
      <c r="AC214" s="68">
        <f t="shared" si="103"/>
        <v>0</v>
      </c>
      <c r="AD214" s="68">
        <f t="shared" si="104"/>
        <v>0</v>
      </c>
      <c r="AE214" s="49"/>
      <c r="AF214" s="65"/>
      <c r="AG214" s="50" t="str">
        <f t="shared" si="105"/>
        <v/>
      </c>
      <c r="AH214" s="68">
        <f t="shared" si="106"/>
        <v>0</v>
      </c>
      <c r="AI214" s="68">
        <f t="shared" si="107"/>
        <v>0</v>
      </c>
      <c r="AJ214" s="68">
        <f t="shared" si="108"/>
        <v>0</v>
      </c>
      <c r="AK214" s="50"/>
      <c r="AL214" s="50" t="s">
        <v>178</v>
      </c>
      <c r="AM214" s="50" t="str">
        <f>IF(B214="","",IF(K214="S1",K214,INDEX(#REF!,#REF!)))</f>
        <v/>
      </c>
      <c r="AN214" s="50" t="b">
        <f t="shared" si="93"/>
        <v>0</v>
      </c>
      <c r="AO214" s="49" t="str">
        <f t="shared" si="94"/>
        <v>K5-POLICY</v>
      </c>
      <c r="AP214" s="72" t="str">
        <f>_xlfn.IFS(B214="","",AND(AO214="K5-LAW",AL214="นิติศาสตร์",K214="S2",Y214="",AE214=""),R214,AND(AO214="K5-LAW",AL214="นิติศาสตร์",K214="S1",Y214="",AE214=""),EDATE(R214,12),AND(AO214="K5-LAW",AL214="นิติศาสตร์",OR(K214="M2",K214="K4"),Y214="",AE214=""),EDATE(R214,12*2),AND(AO214="K5-LAW",AL214="นิติศาสตร์",OR(AE214="M2",AE214="K4"),AH214&gt;=2,OR(AG214&lt;AA214,AG214&lt;R214)),EDATE(AG214,12*2),AND(AO214="K5-LAW",AL214="นิติศาสตร์",AE214="S1",AH214&gt;=1,OR(AG214&lt;AA214,AG214&lt;R214)),EDATE(AG214,12),AND(AO214="K5-LAW",AL214="นิติศาสตร์",OR(Y214="M2",Y214="K4"),AB214&gt;=2,AA214&lt;R214),EDATE(AA214,12*2),AND(AO214="K5-LAW",AL214="นิติศาสตร์",Y214="S1",AB214&gt;=1,AA214&lt;R214),EDATE(AA214,12),AND(AO214="K5-LAW",AL214="นิติศาสตร์",OR(Y214="S2",Y214="K5")),AA214,AND(AO214="K5-LAW",AL214="นิติศาสตร์",OR(K214="M2",K214="K4"),U214&gt;=2),EDATE(R214,12*2),AND(AO214="K5-LAW",AL214="นิติศาสตร์",K214="S1",U214&gt;=1),EDATE(R214,12),AND(AO214="K5-LAW",AL214="นิติศาสตร์",OR(K214="S2",K214="K5")),R214,AND(AO214="K5-POLICY",AL214&lt;&gt;"นิติศาสตร์",K214="S2",Y214="",AE214=""),R214,AND(AO214="K5-POLICY",AL214&lt;&gt;"นิติศาสตร์",K214="S1",Y214="",AE214=""),EDATE(R214,12),AND(AO214="K5-POLICY",AL214&lt;&gt;"นิติศาสตร์",OR(K214="M2",K214="K4"),Y214="",AE214=""),EDATE(R214,12*2),AND(AO214="K5-POLICY",AL214&lt;&gt;"นิติศาสตร์",OR(AE214="M2",AE214="K4"),AH214&gt;=2,OR(AG214&lt;AA214,AG214&lt;R214)),EDATE(AG214,12*2),AND(AO214="K5-POLICY",AL214&lt;&gt;"นิติศาสตร์",AE214="S1",AH214&gt;=1,OR(AG214&lt;AA214,AG214&lt;R214)),EDATE(AG214,12),AND(AO214="K5-POLICY",AL214&lt;&gt;"นิติศาสตร์",OR(Y214="M2",Y214="K4"),AB214&gt;=2,AA214&lt;R214),EDATE(AA214,12*2),AND(AO214="K5-POLICY",AL214&lt;&gt;"นิติศาสตร์",Y214="S1",AB214&gt;=1,AA214&lt;R214),EDATE(AA214,12),AND(AO214="K5-POLICY",AL214&lt;&gt;"นิติศาสตร์",OR(Y214="S2",Y214="K5")),AA214,AND(AO214="K5-POLICY",AL214&lt;&gt;"นิติศาสตร์",OR(K214="M2",K214="K4"),U214&gt;=2),EDATE(R214,12*2),AND(AO214="K5-POLICY",AL214&lt;&gt;"นิติศาสตร์",K214="S1",U214&gt;=1),EDATE(R214,12),AND(AO214="K5-POLICY",AL214&lt;&gt;"นิติศาสตร์",OR(K214="S2",K214="K5")),R214,TRUE,"Check Data")</f>
        <v/>
      </c>
      <c r="AQ214" s="75" t="str">
        <f t="shared" si="95"/>
        <v>Check Data</v>
      </c>
      <c r="AR214" s="76" t="str">
        <f t="shared" si="96"/>
        <v>Check Data</v>
      </c>
      <c r="AS214" s="50" t="str">
        <f t="shared" si="97"/>
        <v>Check Data</v>
      </c>
      <c r="AT214" s="49" t="str">
        <f>IF(B214="","",IF(K214="S1","S1",INDEX(#REF!,#REF!)))</f>
        <v/>
      </c>
      <c r="AU214" s="49" t="str">
        <f t="shared" si="98"/>
        <v>M2</v>
      </c>
      <c r="AV214" s="50" t="b">
        <f t="shared" si="99"/>
        <v>0</v>
      </c>
      <c r="AW214" s="50"/>
    </row>
    <row r="215" spans="1:49" ht="21.75">
      <c r="A215" s="49">
        <v>213</v>
      </c>
      <c r="B215" s="50"/>
      <c r="C215" s="50"/>
      <c r="D215" s="50" t="s">
        <v>141</v>
      </c>
      <c r="E215" s="49" t="s">
        <v>262</v>
      </c>
      <c r="F215" s="49" t="str">
        <f t="shared" si="100"/>
        <v>11/04/1996</v>
      </c>
      <c r="G215" s="50">
        <f t="shared" si="76"/>
        <v>29</v>
      </c>
      <c r="H215" s="50">
        <f t="shared" si="77"/>
        <v>2</v>
      </c>
      <c r="I215" s="50">
        <f t="shared" si="78"/>
        <v>9</v>
      </c>
      <c r="J215" s="60"/>
      <c r="K215" s="49" t="s">
        <v>136</v>
      </c>
      <c r="L215" s="49" t="str">
        <f>IF(B215="","",IF(K215="S1",K215,INDEX(#REF!,#REF!)))</f>
        <v/>
      </c>
      <c r="M215" s="49" t="b">
        <f t="shared" si="79"/>
        <v>0</v>
      </c>
      <c r="N215" s="64"/>
      <c r="O215" s="49" t="s">
        <v>426</v>
      </c>
      <c r="P215" s="49">
        <v>2571</v>
      </c>
      <c r="Q215" s="65" t="s">
        <v>257</v>
      </c>
      <c r="R215" s="49" t="str">
        <f t="shared" si="80"/>
        <v>19/12/2023</v>
      </c>
      <c r="S215" s="49" t="str">
        <f>IF(B215="","",IF(K215="S1",K215,INDEX(#REF!,#REF!)))</f>
        <v/>
      </c>
      <c r="T215" s="49" t="b">
        <f t="shared" si="81"/>
        <v>0</v>
      </c>
      <c r="U215" s="68">
        <f t="shared" si="82"/>
        <v>1</v>
      </c>
      <c r="V215" s="68">
        <f t="shared" si="83"/>
        <v>6</v>
      </c>
      <c r="W215" s="68">
        <f t="shared" si="84"/>
        <v>1</v>
      </c>
      <c r="X215" s="68"/>
      <c r="Y215" s="65"/>
      <c r="Z215" s="65"/>
      <c r="AA215" s="49" t="str">
        <f t="shared" si="101"/>
        <v/>
      </c>
      <c r="AB215" s="68">
        <f t="shared" si="102"/>
        <v>0</v>
      </c>
      <c r="AC215" s="68">
        <f t="shared" si="103"/>
        <v>0</v>
      </c>
      <c r="AD215" s="68">
        <f t="shared" si="104"/>
        <v>0</v>
      </c>
      <c r="AE215" s="49"/>
      <c r="AF215" s="65"/>
      <c r="AG215" s="50" t="str">
        <f t="shared" si="105"/>
        <v/>
      </c>
      <c r="AH215" s="68">
        <f t="shared" si="106"/>
        <v>0</v>
      </c>
      <c r="AI215" s="68">
        <f t="shared" si="107"/>
        <v>0</v>
      </c>
      <c r="AJ215" s="68">
        <f t="shared" si="108"/>
        <v>0</v>
      </c>
      <c r="AK215" s="50"/>
      <c r="AL215" s="50" t="s">
        <v>138</v>
      </c>
      <c r="AM215" s="50" t="str">
        <f>IF(B215="","",IF(K215="S1",K215,INDEX(#REF!,#REF!)))</f>
        <v/>
      </c>
      <c r="AN215" s="50" t="b">
        <f t="shared" si="93"/>
        <v>0</v>
      </c>
      <c r="AO215" s="49" t="str">
        <f t="shared" si="94"/>
        <v>K5-LAW</v>
      </c>
      <c r="AP215" s="72" t="str">
        <f>_xlfn.IFS(B215="","",AND(AO215="K5-LAW",AL215="นิติศาสตร์",K215="S2",Y215="",AE215=""),R215,AND(AO215="K5-LAW",AL215="นิติศาสตร์",K215="S1",Y215="",AE215=""),EDATE(R215,12),AND(AO215="K5-LAW",AL215="นิติศาสตร์",OR(K215="M2",K215="K4"),Y215="",AE215=""),EDATE(R215,12*2),AND(AO215="K5-LAW",AL215="นิติศาสตร์",OR(AE215="M2",AE215="K4"),AH215&gt;=2,OR(AG215&lt;AA215,AG215&lt;R215)),EDATE(AG215,12*2),AND(AO215="K5-LAW",AL215="นิติศาสตร์",AE215="S1",AH215&gt;=1,OR(AG215&lt;AA215,AG215&lt;R215)),EDATE(AG215,12),AND(AO215="K5-LAW",AL215="นิติศาสตร์",OR(Y215="M2",Y215="K4"),AB215&gt;=2,AA215&lt;R215),EDATE(AA215,12*2),AND(AO215="K5-LAW",AL215="นิติศาสตร์",Y215="S1",AB215&gt;=1,AA215&lt;R215),EDATE(AA215,12),AND(AO215="K5-LAW",AL215="นิติศาสตร์",OR(Y215="S2",Y215="K5")),AA215,AND(AO215="K5-LAW",AL215="นิติศาสตร์",OR(K215="M2",K215="K4"),U215&gt;=2),EDATE(R215,12*2),AND(AO215="K5-LAW",AL215="นิติศาสตร์",K215="S1",U215&gt;=1),EDATE(R215,12),AND(AO215="K5-LAW",AL215="นิติศาสตร์",OR(K215="S2",K215="K5")),R215,AND(AO215="K5-POLICY",AL215&lt;&gt;"นิติศาสตร์",K215="S2",Y215="",AE215=""),R215,AND(AO215="K5-POLICY",AL215&lt;&gt;"นิติศาสตร์",K215="S1",Y215="",AE215=""),EDATE(R215,12),AND(AO215="K5-POLICY",AL215&lt;&gt;"นิติศาสตร์",OR(K215="M2",K215="K4"),Y215="",AE215=""),EDATE(R215,12*2),AND(AO215="K5-POLICY",AL215&lt;&gt;"นิติศาสตร์",OR(AE215="M2",AE215="K4"),AH215&gt;=2,OR(AG215&lt;AA215,AG215&lt;R215)),EDATE(AG215,12*2),AND(AO215="K5-POLICY",AL215&lt;&gt;"นิติศาสตร์",AE215="S1",AH215&gt;=1,OR(AG215&lt;AA215,AG215&lt;R215)),EDATE(AG215,12),AND(AO215="K5-POLICY",AL215&lt;&gt;"นิติศาสตร์",OR(Y215="M2",Y215="K4"),AB215&gt;=2,AA215&lt;R215),EDATE(AA215,12*2),AND(AO215="K5-POLICY",AL215&lt;&gt;"นิติศาสตร์",Y215="S1",AB215&gt;=1,AA215&lt;R215),EDATE(AA215,12),AND(AO215="K5-POLICY",AL215&lt;&gt;"นิติศาสตร์",OR(Y215="S2",Y215="K5")),AA215,AND(AO215="K5-POLICY",AL215&lt;&gt;"นิติศาสตร์",OR(K215="M2",K215="K4"),U215&gt;=2),EDATE(R215,12*2),AND(AO215="K5-POLICY",AL215&lt;&gt;"นิติศาสตร์",K215="S1",U215&gt;=1),EDATE(R215,12),AND(AO215="K5-POLICY",AL215&lt;&gt;"นิติศาสตร์",OR(K215="S2",K215="K5")),R215,TRUE,"Check Data")</f>
        <v/>
      </c>
      <c r="AQ215" s="75" t="str">
        <f t="shared" si="95"/>
        <v>Check Data</v>
      </c>
      <c r="AR215" s="76" t="str">
        <f t="shared" si="96"/>
        <v>Check Data</v>
      </c>
      <c r="AS215" s="50" t="str">
        <f t="shared" si="97"/>
        <v>Check Data</v>
      </c>
      <c r="AT215" s="49" t="str">
        <f>IF(B215="","",IF(K215="S1","S1",INDEX(#REF!,#REF!)))</f>
        <v/>
      </c>
      <c r="AU215" s="49" t="str">
        <f t="shared" si="98"/>
        <v>M2</v>
      </c>
      <c r="AV215" s="50" t="b">
        <f t="shared" si="99"/>
        <v>0</v>
      </c>
      <c r="AW215" s="50"/>
    </row>
    <row r="216" spans="1:49" ht="21.75">
      <c r="A216" s="49">
        <v>214</v>
      </c>
      <c r="B216" s="50"/>
      <c r="C216" s="50"/>
      <c r="D216" s="50" t="s">
        <v>141</v>
      </c>
      <c r="E216" s="49" t="s">
        <v>261</v>
      </c>
      <c r="F216" s="49" t="str">
        <f t="shared" si="100"/>
        <v>03/04/1996</v>
      </c>
      <c r="G216" s="50">
        <f t="shared" si="76"/>
        <v>29</v>
      </c>
      <c r="H216" s="50">
        <f t="shared" si="77"/>
        <v>2</v>
      </c>
      <c r="I216" s="50">
        <f t="shared" si="78"/>
        <v>17</v>
      </c>
      <c r="J216" s="60"/>
      <c r="K216" s="49" t="s">
        <v>136</v>
      </c>
      <c r="L216" s="49" t="str">
        <f>IF(B216="","",IF(K216="S1",K216,INDEX(#REF!,#REF!)))</f>
        <v/>
      </c>
      <c r="M216" s="49" t="b">
        <f t="shared" si="79"/>
        <v>0</v>
      </c>
      <c r="N216" s="64"/>
      <c r="O216" s="49" t="s">
        <v>426</v>
      </c>
      <c r="P216" s="49">
        <v>2574</v>
      </c>
      <c r="Q216" s="65" t="s">
        <v>257</v>
      </c>
      <c r="R216" s="49" t="str">
        <f t="shared" si="80"/>
        <v>19/12/2023</v>
      </c>
      <c r="S216" s="49" t="str">
        <f>IF(B216="","",IF(K216="S1",K216,INDEX(#REF!,#REF!)))</f>
        <v/>
      </c>
      <c r="T216" s="49" t="b">
        <f t="shared" si="81"/>
        <v>0</v>
      </c>
      <c r="U216" s="68">
        <f t="shared" si="82"/>
        <v>1</v>
      </c>
      <c r="V216" s="68">
        <f t="shared" si="83"/>
        <v>6</v>
      </c>
      <c r="W216" s="68">
        <f t="shared" si="84"/>
        <v>1</v>
      </c>
      <c r="X216" s="68"/>
      <c r="Y216" s="65"/>
      <c r="Z216" s="65"/>
      <c r="AA216" s="49" t="str">
        <f t="shared" si="101"/>
        <v/>
      </c>
      <c r="AB216" s="68">
        <f t="shared" si="102"/>
        <v>0</v>
      </c>
      <c r="AC216" s="68">
        <f t="shared" si="103"/>
        <v>0</v>
      </c>
      <c r="AD216" s="68">
        <f t="shared" si="104"/>
        <v>0</v>
      </c>
      <c r="AE216" s="49"/>
      <c r="AF216" s="65"/>
      <c r="AG216" s="50" t="str">
        <f t="shared" si="105"/>
        <v/>
      </c>
      <c r="AH216" s="68">
        <f t="shared" si="106"/>
        <v>0</v>
      </c>
      <c r="AI216" s="68">
        <f t="shared" si="107"/>
        <v>0</v>
      </c>
      <c r="AJ216" s="68">
        <f t="shared" si="108"/>
        <v>0</v>
      </c>
      <c r="AK216" s="50"/>
      <c r="AL216" s="50" t="s">
        <v>138</v>
      </c>
      <c r="AM216" s="50" t="str">
        <f>IF(B216="","",IF(K216="S1",K216,INDEX(#REF!,#REF!)))</f>
        <v/>
      </c>
      <c r="AN216" s="50" t="b">
        <f t="shared" si="93"/>
        <v>0</v>
      </c>
      <c r="AO216" s="49" t="str">
        <f t="shared" si="94"/>
        <v>K5-LAW</v>
      </c>
      <c r="AP216" s="72" t="str">
        <f>_xlfn.IFS(B216="","",AND(AO216="K5-LAW",AL216="นิติศาสตร์",K216="S2",Y216="",AE216=""),R216,AND(AO216="K5-LAW",AL216="นิติศาสตร์",K216="S1",Y216="",AE216=""),EDATE(R216,12),AND(AO216="K5-LAW",AL216="นิติศาสตร์",OR(K216="M2",K216="K4"),Y216="",AE216=""),EDATE(R216,12*2),AND(AO216="K5-LAW",AL216="นิติศาสตร์",OR(AE216="M2",AE216="K4"),AH216&gt;=2,OR(AG216&lt;AA216,AG216&lt;R216)),EDATE(AG216,12*2),AND(AO216="K5-LAW",AL216="นิติศาสตร์",AE216="S1",AH216&gt;=1,OR(AG216&lt;AA216,AG216&lt;R216)),EDATE(AG216,12),AND(AO216="K5-LAW",AL216="นิติศาสตร์",OR(Y216="M2",Y216="K4"),AB216&gt;=2,AA216&lt;R216),EDATE(AA216,12*2),AND(AO216="K5-LAW",AL216="นิติศาสตร์",Y216="S1",AB216&gt;=1,AA216&lt;R216),EDATE(AA216,12),AND(AO216="K5-LAW",AL216="นิติศาสตร์",OR(Y216="S2",Y216="K5")),AA216,AND(AO216="K5-LAW",AL216="นิติศาสตร์",OR(K216="M2",K216="K4"),U216&gt;=2),EDATE(R216,12*2),AND(AO216="K5-LAW",AL216="นิติศาสตร์",K216="S1",U216&gt;=1),EDATE(R216,12),AND(AO216="K5-LAW",AL216="นิติศาสตร์",OR(K216="S2",K216="K5")),R216,AND(AO216="K5-POLICY",AL216&lt;&gt;"นิติศาสตร์",K216="S2",Y216="",AE216=""),R216,AND(AO216="K5-POLICY",AL216&lt;&gt;"นิติศาสตร์",K216="S1",Y216="",AE216=""),EDATE(R216,12),AND(AO216="K5-POLICY",AL216&lt;&gt;"นิติศาสตร์",OR(K216="M2",K216="K4"),Y216="",AE216=""),EDATE(R216,12*2),AND(AO216="K5-POLICY",AL216&lt;&gt;"นิติศาสตร์",OR(AE216="M2",AE216="K4"),AH216&gt;=2,OR(AG216&lt;AA216,AG216&lt;R216)),EDATE(AG216,12*2),AND(AO216="K5-POLICY",AL216&lt;&gt;"นิติศาสตร์",AE216="S1",AH216&gt;=1,OR(AG216&lt;AA216,AG216&lt;R216)),EDATE(AG216,12),AND(AO216="K5-POLICY",AL216&lt;&gt;"นิติศาสตร์",OR(Y216="M2",Y216="K4"),AB216&gt;=2,AA216&lt;R216),EDATE(AA216,12*2),AND(AO216="K5-POLICY",AL216&lt;&gt;"นิติศาสตร์",Y216="S1",AB216&gt;=1,AA216&lt;R216),EDATE(AA216,12),AND(AO216="K5-POLICY",AL216&lt;&gt;"นิติศาสตร์",OR(Y216="S2",Y216="K5")),AA216,AND(AO216="K5-POLICY",AL216&lt;&gt;"นิติศาสตร์",OR(K216="M2",K216="K4"),U216&gt;=2),EDATE(R216,12*2),AND(AO216="K5-POLICY",AL216&lt;&gt;"นิติศาสตร์",K216="S1",U216&gt;=1),EDATE(R216,12),AND(AO216="K5-POLICY",AL216&lt;&gt;"นิติศาสตร์",OR(K216="S2",K216="K5")),R216,TRUE,"Check Data")</f>
        <v/>
      </c>
      <c r="AQ216" s="75" t="str">
        <f t="shared" si="95"/>
        <v>Check Data</v>
      </c>
      <c r="AR216" s="76" t="str">
        <f t="shared" si="96"/>
        <v>Check Data</v>
      </c>
      <c r="AS216" s="50" t="str">
        <f t="shared" si="97"/>
        <v>Check Data</v>
      </c>
      <c r="AT216" s="49" t="str">
        <f>IF(B216="","",IF(K216="S1","S1",INDEX(#REF!,#REF!)))</f>
        <v/>
      </c>
      <c r="AU216" s="49" t="str">
        <f t="shared" si="98"/>
        <v>M2</v>
      </c>
      <c r="AV216" s="50" t="b">
        <f t="shared" si="99"/>
        <v>0</v>
      </c>
      <c r="AW216" s="50"/>
    </row>
    <row r="217" spans="1:49" ht="21.75">
      <c r="A217" s="49">
        <v>215</v>
      </c>
      <c r="B217" s="50"/>
      <c r="C217" s="50"/>
      <c r="D217" s="50" t="s">
        <v>141</v>
      </c>
      <c r="E217" s="49" t="s">
        <v>263</v>
      </c>
      <c r="F217" s="49" t="str">
        <f t="shared" si="100"/>
        <v>01/02/1995</v>
      </c>
      <c r="G217" s="50">
        <f t="shared" si="76"/>
        <v>30</v>
      </c>
      <c r="H217" s="50">
        <f t="shared" si="77"/>
        <v>4</v>
      </c>
      <c r="I217" s="50">
        <f t="shared" si="78"/>
        <v>19</v>
      </c>
      <c r="J217" s="60"/>
      <c r="K217" s="49" t="s">
        <v>136</v>
      </c>
      <c r="L217" s="49" t="str">
        <f>IF(B217="","",IF(K217="S1",K217,INDEX(#REF!,#REF!)))</f>
        <v/>
      </c>
      <c r="M217" s="49" t="b">
        <f t="shared" si="79"/>
        <v>0</v>
      </c>
      <c r="N217" s="64"/>
      <c r="O217" s="49" t="s">
        <v>426</v>
      </c>
      <c r="P217" s="49">
        <v>2569</v>
      </c>
      <c r="Q217" s="65" t="s">
        <v>257</v>
      </c>
      <c r="R217" s="49" t="str">
        <f t="shared" si="80"/>
        <v>19/12/2023</v>
      </c>
      <c r="S217" s="49" t="str">
        <f>IF(B217="","",IF(K217="S1",K217,INDEX(#REF!,#REF!)))</f>
        <v/>
      </c>
      <c r="T217" s="49" t="b">
        <f t="shared" si="81"/>
        <v>0</v>
      </c>
      <c r="U217" s="68">
        <f t="shared" si="82"/>
        <v>1</v>
      </c>
      <c r="V217" s="68">
        <f t="shared" si="83"/>
        <v>6</v>
      </c>
      <c r="W217" s="68">
        <f t="shared" si="84"/>
        <v>1</v>
      </c>
      <c r="X217" s="68"/>
      <c r="Y217" s="65"/>
      <c r="Z217" s="65"/>
      <c r="AA217" s="49" t="str">
        <f t="shared" si="101"/>
        <v/>
      </c>
      <c r="AB217" s="68">
        <f t="shared" si="102"/>
        <v>0</v>
      </c>
      <c r="AC217" s="68">
        <f t="shared" si="103"/>
        <v>0</v>
      </c>
      <c r="AD217" s="68">
        <f t="shared" si="104"/>
        <v>0</v>
      </c>
      <c r="AE217" s="49"/>
      <c r="AF217" s="65"/>
      <c r="AG217" s="50" t="str">
        <f t="shared" si="105"/>
        <v/>
      </c>
      <c r="AH217" s="68">
        <f t="shared" si="106"/>
        <v>0</v>
      </c>
      <c r="AI217" s="68">
        <f t="shared" si="107"/>
        <v>0</v>
      </c>
      <c r="AJ217" s="68">
        <f t="shared" si="108"/>
        <v>0</v>
      </c>
      <c r="AK217" s="50"/>
      <c r="AL217" s="50" t="s">
        <v>138</v>
      </c>
      <c r="AM217" s="50" t="str">
        <f>IF(B217="","",IF(K217="S1",K217,INDEX(#REF!,#REF!)))</f>
        <v/>
      </c>
      <c r="AN217" s="50" t="b">
        <f t="shared" si="93"/>
        <v>0</v>
      </c>
      <c r="AO217" s="49" t="str">
        <f t="shared" si="94"/>
        <v>K5-LAW</v>
      </c>
      <c r="AP217" s="72" t="str">
        <f>_xlfn.IFS(B217="","",AND(AO217="K5-LAW",AL217="นิติศาสตร์",K217="S2",Y217="",AE217=""),R217,AND(AO217="K5-LAW",AL217="นิติศาสตร์",K217="S1",Y217="",AE217=""),EDATE(R217,12),AND(AO217="K5-LAW",AL217="นิติศาสตร์",OR(K217="M2",K217="K4"),Y217="",AE217=""),EDATE(R217,12*2),AND(AO217="K5-LAW",AL217="นิติศาสตร์",OR(AE217="M2",AE217="K4"),AH217&gt;=2,OR(AG217&lt;AA217,AG217&lt;R217)),EDATE(AG217,12*2),AND(AO217="K5-LAW",AL217="นิติศาสตร์",AE217="S1",AH217&gt;=1,OR(AG217&lt;AA217,AG217&lt;R217)),EDATE(AG217,12),AND(AO217="K5-LAW",AL217="นิติศาสตร์",OR(Y217="M2",Y217="K4"),AB217&gt;=2,AA217&lt;R217),EDATE(AA217,12*2),AND(AO217="K5-LAW",AL217="นิติศาสตร์",Y217="S1",AB217&gt;=1,AA217&lt;R217),EDATE(AA217,12),AND(AO217="K5-LAW",AL217="นิติศาสตร์",OR(Y217="S2",Y217="K5")),AA217,AND(AO217="K5-LAW",AL217="นิติศาสตร์",OR(K217="M2",K217="K4"),U217&gt;=2),EDATE(R217,12*2),AND(AO217="K5-LAW",AL217="นิติศาสตร์",K217="S1",U217&gt;=1),EDATE(R217,12),AND(AO217="K5-LAW",AL217="นิติศาสตร์",OR(K217="S2",K217="K5")),R217,AND(AO217="K5-POLICY",AL217&lt;&gt;"นิติศาสตร์",K217="S2",Y217="",AE217=""),R217,AND(AO217="K5-POLICY",AL217&lt;&gt;"นิติศาสตร์",K217="S1",Y217="",AE217=""),EDATE(R217,12),AND(AO217="K5-POLICY",AL217&lt;&gt;"นิติศาสตร์",OR(K217="M2",K217="K4"),Y217="",AE217=""),EDATE(R217,12*2),AND(AO217="K5-POLICY",AL217&lt;&gt;"นิติศาสตร์",OR(AE217="M2",AE217="K4"),AH217&gt;=2,OR(AG217&lt;AA217,AG217&lt;R217)),EDATE(AG217,12*2),AND(AO217="K5-POLICY",AL217&lt;&gt;"นิติศาสตร์",AE217="S1",AH217&gt;=1,OR(AG217&lt;AA217,AG217&lt;R217)),EDATE(AG217,12),AND(AO217="K5-POLICY",AL217&lt;&gt;"นิติศาสตร์",OR(Y217="M2",Y217="K4"),AB217&gt;=2,AA217&lt;R217),EDATE(AA217,12*2),AND(AO217="K5-POLICY",AL217&lt;&gt;"นิติศาสตร์",Y217="S1",AB217&gt;=1,AA217&lt;R217),EDATE(AA217,12),AND(AO217="K5-POLICY",AL217&lt;&gt;"นิติศาสตร์",OR(Y217="S2",Y217="K5")),AA217,AND(AO217="K5-POLICY",AL217&lt;&gt;"นิติศาสตร์",OR(K217="M2",K217="K4"),U217&gt;=2),EDATE(R217,12*2),AND(AO217="K5-POLICY",AL217&lt;&gt;"นิติศาสตร์",K217="S1",U217&gt;=1),EDATE(R217,12),AND(AO217="K5-POLICY",AL217&lt;&gt;"นิติศาสตร์",OR(K217="S2",K217="K5")),R217,TRUE,"Check Data")</f>
        <v/>
      </c>
      <c r="AQ217" s="75" t="str">
        <f t="shared" si="95"/>
        <v>Check Data</v>
      </c>
      <c r="AR217" s="76" t="str">
        <f t="shared" si="96"/>
        <v>Check Data</v>
      </c>
      <c r="AS217" s="50" t="str">
        <f t="shared" si="97"/>
        <v>Check Data</v>
      </c>
      <c r="AT217" s="49" t="str">
        <f>IF(B217="","",IF(K217="S1","S1",INDEX(#REF!,#REF!)))</f>
        <v/>
      </c>
      <c r="AU217" s="49" t="str">
        <f t="shared" si="98"/>
        <v>M2</v>
      </c>
      <c r="AV217" s="50" t="b">
        <f t="shared" si="99"/>
        <v>0</v>
      </c>
      <c r="AW217" s="50"/>
    </row>
    <row r="218" spans="1:49" ht="21.75">
      <c r="A218" s="49">
        <v>216</v>
      </c>
      <c r="B218" s="50"/>
      <c r="C218" s="50"/>
      <c r="D218" s="50" t="s">
        <v>141</v>
      </c>
      <c r="E218" s="49" t="s">
        <v>258</v>
      </c>
      <c r="F218" s="49" t="str">
        <f t="shared" si="100"/>
        <v>02/10/1989</v>
      </c>
      <c r="G218" s="50">
        <f t="shared" si="76"/>
        <v>35</v>
      </c>
      <c r="H218" s="50">
        <f t="shared" si="77"/>
        <v>8</v>
      </c>
      <c r="I218" s="50">
        <f t="shared" si="78"/>
        <v>18</v>
      </c>
      <c r="J218" s="60"/>
      <c r="K218" s="49" t="s">
        <v>136</v>
      </c>
      <c r="L218" s="49" t="str">
        <f>IF(B218="","",IF(K218="S1",K218,INDEX(#REF!,#REF!)))</f>
        <v/>
      </c>
      <c r="M218" s="49" t="b">
        <f t="shared" si="79"/>
        <v>0</v>
      </c>
      <c r="N218" s="64"/>
      <c r="O218" s="49" t="s">
        <v>426</v>
      </c>
      <c r="P218" s="49">
        <v>2572</v>
      </c>
      <c r="Q218" s="65" t="s">
        <v>257</v>
      </c>
      <c r="R218" s="49" t="str">
        <f t="shared" si="80"/>
        <v>19/12/2023</v>
      </c>
      <c r="S218" s="49" t="str">
        <f>IF(B218="","",IF(K218="S1",K218,INDEX(#REF!,#REF!)))</f>
        <v/>
      </c>
      <c r="T218" s="49" t="b">
        <f t="shared" si="81"/>
        <v>0</v>
      </c>
      <c r="U218" s="68">
        <f t="shared" si="82"/>
        <v>1</v>
      </c>
      <c r="V218" s="68">
        <f t="shared" si="83"/>
        <v>6</v>
      </c>
      <c r="W218" s="68">
        <f t="shared" si="84"/>
        <v>1</v>
      </c>
      <c r="X218" s="68"/>
      <c r="Y218" s="65"/>
      <c r="Z218" s="65"/>
      <c r="AA218" s="49" t="str">
        <f t="shared" si="101"/>
        <v/>
      </c>
      <c r="AB218" s="68">
        <f t="shared" si="102"/>
        <v>0</v>
      </c>
      <c r="AC218" s="68">
        <f t="shared" si="103"/>
        <v>0</v>
      </c>
      <c r="AD218" s="68">
        <f t="shared" si="104"/>
        <v>0</v>
      </c>
      <c r="AE218" s="49"/>
      <c r="AF218" s="65"/>
      <c r="AG218" s="50" t="str">
        <f t="shared" si="105"/>
        <v/>
      </c>
      <c r="AH218" s="68">
        <f t="shared" si="106"/>
        <v>0</v>
      </c>
      <c r="AI218" s="68">
        <f t="shared" si="107"/>
        <v>0</v>
      </c>
      <c r="AJ218" s="68">
        <f t="shared" si="108"/>
        <v>0</v>
      </c>
      <c r="AK218" s="50"/>
      <c r="AL218" s="50" t="s">
        <v>138</v>
      </c>
      <c r="AM218" s="50" t="str">
        <f>IF(B218="","",IF(K218="S1",K218,INDEX(#REF!,#REF!)))</f>
        <v/>
      </c>
      <c r="AN218" s="50" t="b">
        <f t="shared" si="93"/>
        <v>0</v>
      </c>
      <c r="AO218" s="49" t="str">
        <f t="shared" si="94"/>
        <v>K5-LAW</v>
      </c>
      <c r="AP218" s="72" t="str">
        <f>_xlfn.IFS(B218="","",AND(AO218="K5-LAW",AL218="นิติศาสตร์",K218="S2",Y218="",AE218=""),R218,AND(AO218="K5-LAW",AL218="นิติศาสตร์",K218="S1",Y218="",AE218=""),EDATE(R218,12),AND(AO218="K5-LAW",AL218="นิติศาสตร์",OR(K218="M2",K218="K4"),Y218="",AE218=""),EDATE(R218,12*2),AND(AO218="K5-LAW",AL218="นิติศาสตร์",OR(AE218="M2",AE218="K4"),AH218&gt;=2,OR(AG218&lt;AA218,AG218&lt;R218)),EDATE(AG218,12*2),AND(AO218="K5-LAW",AL218="นิติศาสตร์",AE218="S1",AH218&gt;=1,OR(AG218&lt;AA218,AG218&lt;R218)),EDATE(AG218,12),AND(AO218="K5-LAW",AL218="นิติศาสตร์",OR(Y218="M2",Y218="K4"),AB218&gt;=2,AA218&lt;R218),EDATE(AA218,12*2),AND(AO218="K5-LAW",AL218="นิติศาสตร์",Y218="S1",AB218&gt;=1,AA218&lt;R218),EDATE(AA218,12),AND(AO218="K5-LAW",AL218="นิติศาสตร์",OR(Y218="S2",Y218="K5")),AA218,AND(AO218="K5-LAW",AL218="นิติศาสตร์",OR(K218="M2",K218="K4"),U218&gt;=2),EDATE(R218,12*2),AND(AO218="K5-LAW",AL218="นิติศาสตร์",K218="S1",U218&gt;=1),EDATE(R218,12),AND(AO218="K5-LAW",AL218="นิติศาสตร์",OR(K218="S2",K218="K5")),R218,AND(AO218="K5-POLICY",AL218&lt;&gt;"นิติศาสตร์",K218="S2",Y218="",AE218=""),R218,AND(AO218="K5-POLICY",AL218&lt;&gt;"นิติศาสตร์",K218="S1",Y218="",AE218=""),EDATE(R218,12),AND(AO218="K5-POLICY",AL218&lt;&gt;"นิติศาสตร์",OR(K218="M2",K218="K4"),Y218="",AE218=""),EDATE(R218,12*2),AND(AO218="K5-POLICY",AL218&lt;&gt;"นิติศาสตร์",OR(AE218="M2",AE218="K4"),AH218&gt;=2,OR(AG218&lt;AA218,AG218&lt;R218)),EDATE(AG218,12*2),AND(AO218="K5-POLICY",AL218&lt;&gt;"นิติศาสตร์",AE218="S1",AH218&gt;=1,OR(AG218&lt;AA218,AG218&lt;R218)),EDATE(AG218,12),AND(AO218="K5-POLICY",AL218&lt;&gt;"นิติศาสตร์",OR(Y218="M2",Y218="K4"),AB218&gt;=2,AA218&lt;R218),EDATE(AA218,12*2),AND(AO218="K5-POLICY",AL218&lt;&gt;"นิติศาสตร์",Y218="S1",AB218&gt;=1,AA218&lt;R218),EDATE(AA218,12),AND(AO218="K5-POLICY",AL218&lt;&gt;"นิติศาสตร์",OR(Y218="S2",Y218="K5")),AA218,AND(AO218="K5-POLICY",AL218&lt;&gt;"นิติศาสตร์",OR(K218="M2",K218="K4"),U218&gt;=2),EDATE(R218,12*2),AND(AO218="K5-POLICY",AL218&lt;&gt;"นิติศาสตร์",K218="S1",U218&gt;=1),EDATE(R218,12),AND(AO218="K5-POLICY",AL218&lt;&gt;"นิติศาสตร์",OR(K218="S2",K218="K5")),R218,TRUE,"Check Data")</f>
        <v/>
      </c>
      <c r="AQ218" s="75" t="str">
        <f t="shared" si="95"/>
        <v>Check Data</v>
      </c>
      <c r="AR218" s="76" t="str">
        <f t="shared" si="96"/>
        <v>Check Data</v>
      </c>
      <c r="AS218" s="50" t="str">
        <f t="shared" si="97"/>
        <v>Check Data</v>
      </c>
      <c r="AT218" s="49" t="str">
        <f>IF(B218="","",IF(K218="S1","S1",INDEX(#REF!,#REF!)))</f>
        <v/>
      </c>
      <c r="AU218" s="49" t="str">
        <f t="shared" si="98"/>
        <v>M2</v>
      </c>
      <c r="AV218" s="50" t="b">
        <f t="shared" si="99"/>
        <v>0</v>
      </c>
      <c r="AW218" s="50"/>
    </row>
    <row r="219" spans="1:49" ht="21.75">
      <c r="A219" s="49">
        <v>217</v>
      </c>
      <c r="B219" s="50"/>
      <c r="C219" s="50"/>
      <c r="D219" s="50" t="s">
        <v>142</v>
      </c>
      <c r="E219" s="49" t="s">
        <v>274</v>
      </c>
      <c r="F219" s="49" t="str">
        <f t="shared" si="100"/>
        <v>10/09/2001</v>
      </c>
      <c r="G219" s="50">
        <f t="shared" si="76"/>
        <v>23</v>
      </c>
      <c r="H219" s="50">
        <f t="shared" si="77"/>
        <v>9</v>
      </c>
      <c r="I219" s="50">
        <f t="shared" si="78"/>
        <v>10</v>
      </c>
      <c r="J219" s="58"/>
      <c r="K219" s="49" t="s">
        <v>136</v>
      </c>
      <c r="L219" s="49" t="str">
        <f>IF(B219="","",IF(K219="S1",K219,INDEX(#REF!,#REF!)))</f>
        <v/>
      </c>
      <c r="M219" s="49" t="b">
        <f t="shared" si="79"/>
        <v>0</v>
      </c>
      <c r="N219" s="64"/>
      <c r="O219" s="49">
        <v>0</v>
      </c>
      <c r="P219" s="49">
        <v>0</v>
      </c>
      <c r="Q219" s="65" t="s">
        <v>257</v>
      </c>
      <c r="R219" s="49" t="str">
        <f t="shared" si="80"/>
        <v>19/12/2023</v>
      </c>
      <c r="S219" s="49" t="str">
        <f>IF(B219="","",IF(K219="S1",K219,INDEX(#REF!,#REF!)))</f>
        <v/>
      </c>
      <c r="T219" s="49" t="b">
        <f t="shared" si="81"/>
        <v>0</v>
      </c>
      <c r="U219" s="68">
        <f t="shared" si="82"/>
        <v>1</v>
      </c>
      <c r="V219" s="68">
        <f t="shared" si="83"/>
        <v>6</v>
      </c>
      <c r="W219" s="68">
        <f t="shared" si="84"/>
        <v>1</v>
      </c>
      <c r="X219" s="68"/>
      <c r="Y219" s="65"/>
      <c r="Z219" s="65"/>
      <c r="AA219" s="49" t="str">
        <f t="shared" si="101"/>
        <v/>
      </c>
      <c r="AB219" s="68">
        <f t="shared" si="102"/>
        <v>0</v>
      </c>
      <c r="AC219" s="68">
        <f t="shared" si="103"/>
        <v>0</v>
      </c>
      <c r="AD219" s="68">
        <f t="shared" si="104"/>
        <v>0</v>
      </c>
      <c r="AE219" s="49"/>
      <c r="AF219" s="65"/>
      <c r="AG219" s="50" t="str">
        <f t="shared" si="105"/>
        <v/>
      </c>
      <c r="AH219" s="68">
        <f t="shared" si="106"/>
        <v>0</v>
      </c>
      <c r="AI219" s="68">
        <f t="shared" si="107"/>
        <v>0</v>
      </c>
      <c r="AJ219" s="68">
        <f t="shared" si="108"/>
        <v>0</v>
      </c>
      <c r="AK219" s="50"/>
      <c r="AL219" s="50" t="s">
        <v>138</v>
      </c>
      <c r="AM219" s="50" t="str">
        <f>IF(B219="","",IF(K219="S1",K219,INDEX(#REF!,#REF!)))</f>
        <v/>
      </c>
      <c r="AN219" s="50" t="b">
        <f t="shared" si="93"/>
        <v>0</v>
      </c>
      <c r="AO219" s="49" t="str">
        <f t="shared" si="94"/>
        <v>K5-LAW</v>
      </c>
      <c r="AP219" s="72" t="str">
        <f>_xlfn.IFS(B219="","",AND(AO219="K5-LAW",AL219="นิติศาสตร์",K219="S2",Y219="",AE219=""),R219,AND(AO219="K5-LAW",AL219="นิติศาสตร์",K219="S1",Y219="",AE219=""),EDATE(R219,12),AND(AO219="K5-LAW",AL219="นิติศาสตร์",OR(K219="M2",K219="K4"),Y219="",AE219=""),EDATE(R219,12*2),AND(AO219="K5-LAW",AL219="นิติศาสตร์",OR(AE219="M2",AE219="K4"),AH219&gt;=2,OR(AG219&lt;AA219,AG219&lt;R219)),EDATE(AG219,12*2),AND(AO219="K5-LAW",AL219="นิติศาสตร์",AE219="S1",AH219&gt;=1,OR(AG219&lt;AA219,AG219&lt;R219)),EDATE(AG219,12),AND(AO219="K5-LAW",AL219="นิติศาสตร์",OR(Y219="M2",Y219="K4"),AB219&gt;=2,AA219&lt;R219),EDATE(AA219,12*2),AND(AO219="K5-LAW",AL219="นิติศาสตร์",Y219="S1",AB219&gt;=1,AA219&lt;R219),EDATE(AA219,12),AND(AO219="K5-LAW",AL219="นิติศาสตร์",OR(Y219="S2",Y219="K5")),AA219,AND(AO219="K5-LAW",AL219="นิติศาสตร์",OR(K219="M2",K219="K4"),U219&gt;=2),EDATE(R219,12*2),AND(AO219="K5-LAW",AL219="นิติศาสตร์",K219="S1",U219&gt;=1),EDATE(R219,12),AND(AO219="K5-LAW",AL219="นิติศาสตร์",OR(K219="S2",K219="K5")),R219,AND(AO219="K5-POLICY",AL219&lt;&gt;"นิติศาสตร์",K219="S2",Y219="",AE219=""),R219,AND(AO219="K5-POLICY",AL219&lt;&gt;"นิติศาสตร์",K219="S1",Y219="",AE219=""),EDATE(R219,12),AND(AO219="K5-POLICY",AL219&lt;&gt;"นิติศาสตร์",OR(K219="M2",K219="K4"),Y219="",AE219=""),EDATE(R219,12*2),AND(AO219="K5-POLICY",AL219&lt;&gt;"นิติศาสตร์",OR(AE219="M2",AE219="K4"),AH219&gt;=2,OR(AG219&lt;AA219,AG219&lt;R219)),EDATE(AG219,12*2),AND(AO219="K5-POLICY",AL219&lt;&gt;"นิติศาสตร์",AE219="S1",AH219&gt;=1,OR(AG219&lt;AA219,AG219&lt;R219)),EDATE(AG219,12),AND(AO219="K5-POLICY",AL219&lt;&gt;"นิติศาสตร์",OR(Y219="M2",Y219="K4"),AB219&gt;=2,AA219&lt;R219),EDATE(AA219,12*2),AND(AO219="K5-POLICY",AL219&lt;&gt;"นิติศาสตร์",Y219="S1",AB219&gt;=1,AA219&lt;R219),EDATE(AA219,12),AND(AO219="K5-POLICY",AL219&lt;&gt;"นิติศาสตร์",OR(Y219="S2",Y219="K5")),AA219,AND(AO219="K5-POLICY",AL219&lt;&gt;"นิติศาสตร์",OR(K219="M2",K219="K4"),U219&gt;=2),EDATE(R219,12*2),AND(AO219="K5-POLICY",AL219&lt;&gt;"นิติศาสตร์",K219="S1",U219&gt;=1),EDATE(R219,12),AND(AO219="K5-POLICY",AL219&lt;&gt;"นิติศาสตร์",OR(K219="S2",K219="K5")),R219,TRUE,"Check Data")</f>
        <v/>
      </c>
      <c r="AQ219" s="75" t="str">
        <f t="shared" si="95"/>
        <v>Check Data</v>
      </c>
      <c r="AR219" s="76" t="str">
        <f t="shared" si="96"/>
        <v>Check Data</v>
      </c>
      <c r="AS219" s="50" t="str">
        <f t="shared" si="97"/>
        <v>Check Data</v>
      </c>
      <c r="AT219" s="49" t="str">
        <f>IF(B219="","",IF(K219="S1","S1",INDEX(#REF!,#REF!)))</f>
        <v/>
      </c>
      <c r="AU219" s="49" t="str">
        <f t="shared" si="98"/>
        <v>M2</v>
      </c>
      <c r="AV219" s="50" t="b">
        <f t="shared" si="99"/>
        <v>0</v>
      </c>
      <c r="AW219" s="50"/>
    </row>
    <row r="220" spans="1:49" ht="21.75">
      <c r="A220" s="49">
        <v>218</v>
      </c>
      <c r="B220" s="50"/>
      <c r="C220" s="50"/>
      <c r="D220" s="50" t="s">
        <v>141</v>
      </c>
      <c r="E220" s="49" t="s">
        <v>267</v>
      </c>
      <c r="F220" s="49" t="str">
        <f t="shared" si="100"/>
        <v>18/09/2000</v>
      </c>
      <c r="G220" s="50">
        <f t="shared" si="76"/>
        <v>24</v>
      </c>
      <c r="H220" s="50">
        <f t="shared" si="77"/>
        <v>9</v>
      </c>
      <c r="I220" s="50">
        <f t="shared" si="78"/>
        <v>2</v>
      </c>
      <c r="J220" s="60"/>
      <c r="K220" s="49" t="s">
        <v>136</v>
      </c>
      <c r="L220" s="49" t="str">
        <f>IF(B220="","",IF(K220="S1",K220,INDEX(#REF!,#REF!)))</f>
        <v/>
      </c>
      <c r="M220" s="49" t="b">
        <f t="shared" si="79"/>
        <v>0</v>
      </c>
      <c r="N220" s="64"/>
      <c r="O220" s="49" t="s">
        <v>426</v>
      </c>
      <c r="P220" s="49">
        <v>2577</v>
      </c>
      <c r="Q220" s="65" t="s">
        <v>257</v>
      </c>
      <c r="R220" s="49" t="str">
        <f t="shared" si="80"/>
        <v>19/12/2023</v>
      </c>
      <c r="S220" s="49" t="str">
        <f>IF(B220="","",IF(K220="S1",K220,INDEX(#REF!,#REF!)))</f>
        <v/>
      </c>
      <c r="T220" s="49" t="b">
        <f t="shared" si="81"/>
        <v>0</v>
      </c>
      <c r="U220" s="68">
        <f t="shared" si="82"/>
        <v>1</v>
      </c>
      <c r="V220" s="68">
        <f t="shared" si="83"/>
        <v>6</v>
      </c>
      <c r="W220" s="68">
        <f t="shared" si="84"/>
        <v>1</v>
      </c>
      <c r="X220" s="68"/>
      <c r="Y220" s="65"/>
      <c r="Z220" s="65"/>
      <c r="AA220" s="49" t="str">
        <f t="shared" si="101"/>
        <v/>
      </c>
      <c r="AB220" s="68">
        <f t="shared" si="102"/>
        <v>0</v>
      </c>
      <c r="AC220" s="68">
        <f t="shared" si="103"/>
        <v>0</v>
      </c>
      <c r="AD220" s="68">
        <f t="shared" si="104"/>
        <v>0</v>
      </c>
      <c r="AE220" s="49"/>
      <c r="AF220" s="65"/>
      <c r="AG220" s="50" t="str">
        <f t="shared" si="105"/>
        <v/>
      </c>
      <c r="AH220" s="68">
        <f t="shared" si="106"/>
        <v>0</v>
      </c>
      <c r="AI220" s="68">
        <f t="shared" si="107"/>
        <v>0</v>
      </c>
      <c r="AJ220" s="68">
        <f t="shared" si="108"/>
        <v>0</v>
      </c>
      <c r="AK220" s="50"/>
      <c r="AL220" s="50" t="s">
        <v>138</v>
      </c>
      <c r="AM220" s="50" t="str">
        <f>IF(B220="","",IF(K220="S1",K220,INDEX(#REF!,#REF!)))</f>
        <v/>
      </c>
      <c r="AN220" s="50" t="b">
        <f t="shared" si="93"/>
        <v>0</v>
      </c>
      <c r="AO220" s="49" t="str">
        <f t="shared" si="94"/>
        <v>K5-LAW</v>
      </c>
      <c r="AP220" s="72" t="str">
        <f>_xlfn.IFS(B220="","",AND(AO220="K5-LAW",AL220="นิติศาสตร์",K220="S2",Y220="",AE220=""),R220,AND(AO220="K5-LAW",AL220="นิติศาสตร์",K220="S1",Y220="",AE220=""),EDATE(R220,12),AND(AO220="K5-LAW",AL220="นิติศาสตร์",OR(K220="M2",K220="K4"),Y220="",AE220=""),EDATE(R220,12*2),AND(AO220="K5-LAW",AL220="นิติศาสตร์",OR(AE220="M2",AE220="K4"),AH220&gt;=2,OR(AG220&lt;AA220,AG220&lt;R220)),EDATE(AG220,12*2),AND(AO220="K5-LAW",AL220="นิติศาสตร์",AE220="S1",AH220&gt;=1,OR(AG220&lt;AA220,AG220&lt;R220)),EDATE(AG220,12),AND(AO220="K5-LAW",AL220="นิติศาสตร์",OR(Y220="M2",Y220="K4"),AB220&gt;=2,AA220&lt;R220),EDATE(AA220,12*2),AND(AO220="K5-LAW",AL220="นิติศาสตร์",Y220="S1",AB220&gt;=1,AA220&lt;R220),EDATE(AA220,12),AND(AO220="K5-LAW",AL220="นิติศาสตร์",OR(Y220="S2",Y220="K5")),AA220,AND(AO220="K5-LAW",AL220="นิติศาสตร์",OR(K220="M2",K220="K4"),U220&gt;=2),EDATE(R220,12*2),AND(AO220="K5-LAW",AL220="นิติศาสตร์",K220="S1",U220&gt;=1),EDATE(R220,12),AND(AO220="K5-LAW",AL220="นิติศาสตร์",OR(K220="S2",K220="K5")),R220,AND(AO220="K5-POLICY",AL220&lt;&gt;"นิติศาสตร์",K220="S2",Y220="",AE220=""),R220,AND(AO220="K5-POLICY",AL220&lt;&gt;"นิติศาสตร์",K220="S1",Y220="",AE220=""),EDATE(R220,12),AND(AO220="K5-POLICY",AL220&lt;&gt;"นิติศาสตร์",OR(K220="M2",K220="K4"),Y220="",AE220=""),EDATE(R220,12*2),AND(AO220="K5-POLICY",AL220&lt;&gt;"นิติศาสตร์",OR(AE220="M2",AE220="K4"),AH220&gt;=2,OR(AG220&lt;AA220,AG220&lt;R220)),EDATE(AG220,12*2),AND(AO220="K5-POLICY",AL220&lt;&gt;"นิติศาสตร์",AE220="S1",AH220&gt;=1,OR(AG220&lt;AA220,AG220&lt;R220)),EDATE(AG220,12),AND(AO220="K5-POLICY",AL220&lt;&gt;"นิติศาสตร์",OR(Y220="M2",Y220="K4"),AB220&gt;=2,AA220&lt;R220),EDATE(AA220,12*2),AND(AO220="K5-POLICY",AL220&lt;&gt;"นิติศาสตร์",Y220="S1",AB220&gt;=1,AA220&lt;R220),EDATE(AA220,12),AND(AO220="K5-POLICY",AL220&lt;&gt;"นิติศาสตร์",OR(Y220="S2",Y220="K5")),AA220,AND(AO220="K5-POLICY",AL220&lt;&gt;"นิติศาสตร์",OR(K220="M2",K220="K4"),U220&gt;=2),EDATE(R220,12*2),AND(AO220="K5-POLICY",AL220&lt;&gt;"นิติศาสตร์",K220="S1",U220&gt;=1),EDATE(R220,12),AND(AO220="K5-POLICY",AL220&lt;&gt;"นิติศาสตร์",OR(K220="S2",K220="K5")),R220,TRUE,"Check Data")</f>
        <v/>
      </c>
      <c r="AQ220" s="75" t="str">
        <f t="shared" si="95"/>
        <v>Check Data</v>
      </c>
      <c r="AR220" s="76" t="str">
        <f t="shared" si="96"/>
        <v>Check Data</v>
      </c>
      <c r="AS220" s="50" t="str">
        <f t="shared" si="97"/>
        <v>Check Data</v>
      </c>
      <c r="AT220" s="49" t="str">
        <f>IF(B220="","",IF(K220="S1","S1",INDEX(#REF!,#REF!)))</f>
        <v/>
      </c>
      <c r="AU220" s="49" t="str">
        <f t="shared" si="98"/>
        <v>M2</v>
      </c>
      <c r="AV220" s="50" t="b">
        <f t="shared" si="99"/>
        <v>0</v>
      </c>
      <c r="AW220" s="50"/>
    </row>
    <row r="221" spans="1:49" ht="21.75">
      <c r="A221" s="49">
        <v>219</v>
      </c>
      <c r="B221" s="50"/>
      <c r="C221" s="50"/>
      <c r="D221" s="50" t="s">
        <v>141</v>
      </c>
      <c r="E221" s="49" t="s">
        <v>264</v>
      </c>
      <c r="F221" s="49" t="str">
        <f t="shared" si="100"/>
        <v>25/10/2000</v>
      </c>
      <c r="G221" s="50">
        <f t="shared" si="76"/>
        <v>24</v>
      </c>
      <c r="H221" s="50">
        <f t="shared" si="77"/>
        <v>7</v>
      </c>
      <c r="I221" s="50">
        <f t="shared" si="78"/>
        <v>26</v>
      </c>
      <c r="J221" s="60"/>
      <c r="K221" s="49" t="s">
        <v>136</v>
      </c>
      <c r="L221" s="49" t="str">
        <f>IF(B221="","",IF(K221="S1",K221,INDEX(#REF!,#REF!)))</f>
        <v/>
      </c>
      <c r="M221" s="49" t="b">
        <f t="shared" si="79"/>
        <v>0</v>
      </c>
      <c r="N221" s="64"/>
      <c r="O221" s="49" t="s">
        <v>426</v>
      </c>
      <c r="P221" s="49">
        <v>2578</v>
      </c>
      <c r="Q221" s="65" t="s">
        <v>257</v>
      </c>
      <c r="R221" s="49" t="str">
        <f t="shared" si="80"/>
        <v>19/12/2023</v>
      </c>
      <c r="S221" s="49" t="str">
        <f>IF(B221="","",IF(K221="S1",K221,INDEX(#REF!,#REF!)))</f>
        <v/>
      </c>
      <c r="T221" s="49" t="b">
        <f t="shared" si="81"/>
        <v>0</v>
      </c>
      <c r="U221" s="68">
        <f t="shared" si="82"/>
        <v>1</v>
      </c>
      <c r="V221" s="68">
        <f t="shared" si="83"/>
        <v>6</v>
      </c>
      <c r="W221" s="68">
        <f t="shared" si="84"/>
        <v>1</v>
      </c>
      <c r="X221" s="68"/>
      <c r="Y221" s="65"/>
      <c r="Z221" s="65"/>
      <c r="AA221" s="49" t="str">
        <f t="shared" si="101"/>
        <v/>
      </c>
      <c r="AB221" s="68">
        <f t="shared" si="102"/>
        <v>0</v>
      </c>
      <c r="AC221" s="68">
        <f t="shared" si="103"/>
        <v>0</v>
      </c>
      <c r="AD221" s="68">
        <f t="shared" si="104"/>
        <v>0</v>
      </c>
      <c r="AE221" s="49"/>
      <c r="AF221" s="65"/>
      <c r="AG221" s="50" t="str">
        <f t="shared" si="105"/>
        <v/>
      </c>
      <c r="AH221" s="68">
        <f t="shared" si="106"/>
        <v>0</v>
      </c>
      <c r="AI221" s="68">
        <f t="shared" si="107"/>
        <v>0</v>
      </c>
      <c r="AJ221" s="68">
        <f t="shared" si="108"/>
        <v>0</v>
      </c>
      <c r="AK221" s="50"/>
      <c r="AL221" s="50" t="s">
        <v>138</v>
      </c>
      <c r="AM221" s="50" t="str">
        <f>IF(B221="","",IF(K221="S1",K221,INDEX(#REF!,#REF!)))</f>
        <v/>
      </c>
      <c r="AN221" s="50" t="b">
        <f t="shared" si="93"/>
        <v>0</v>
      </c>
      <c r="AO221" s="49" t="str">
        <f t="shared" si="94"/>
        <v>K5-LAW</v>
      </c>
      <c r="AP221" s="72" t="str">
        <f>_xlfn.IFS(B221="","",AND(AO221="K5-LAW",AL221="นิติศาสตร์",K221="S2",Y221="",AE221=""),R221,AND(AO221="K5-LAW",AL221="นิติศาสตร์",K221="S1",Y221="",AE221=""),EDATE(R221,12),AND(AO221="K5-LAW",AL221="นิติศาสตร์",OR(K221="M2",K221="K4"),Y221="",AE221=""),EDATE(R221,12*2),AND(AO221="K5-LAW",AL221="นิติศาสตร์",OR(AE221="M2",AE221="K4"),AH221&gt;=2,OR(AG221&lt;AA221,AG221&lt;R221)),EDATE(AG221,12*2),AND(AO221="K5-LAW",AL221="นิติศาสตร์",AE221="S1",AH221&gt;=1,OR(AG221&lt;AA221,AG221&lt;R221)),EDATE(AG221,12),AND(AO221="K5-LAW",AL221="นิติศาสตร์",OR(Y221="M2",Y221="K4"),AB221&gt;=2,AA221&lt;R221),EDATE(AA221,12*2),AND(AO221="K5-LAW",AL221="นิติศาสตร์",Y221="S1",AB221&gt;=1,AA221&lt;R221),EDATE(AA221,12),AND(AO221="K5-LAW",AL221="นิติศาสตร์",OR(Y221="S2",Y221="K5")),AA221,AND(AO221="K5-LAW",AL221="นิติศาสตร์",OR(K221="M2",K221="K4"),U221&gt;=2),EDATE(R221,12*2),AND(AO221="K5-LAW",AL221="นิติศาสตร์",K221="S1",U221&gt;=1),EDATE(R221,12),AND(AO221="K5-LAW",AL221="นิติศาสตร์",OR(K221="S2",K221="K5")),R221,AND(AO221="K5-POLICY",AL221&lt;&gt;"นิติศาสตร์",K221="S2",Y221="",AE221=""),R221,AND(AO221="K5-POLICY",AL221&lt;&gt;"นิติศาสตร์",K221="S1",Y221="",AE221=""),EDATE(R221,12),AND(AO221="K5-POLICY",AL221&lt;&gt;"นิติศาสตร์",OR(K221="M2",K221="K4"),Y221="",AE221=""),EDATE(R221,12*2),AND(AO221="K5-POLICY",AL221&lt;&gt;"นิติศาสตร์",OR(AE221="M2",AE221="K4"),AH221&gt;=2,OR(AG221&lt;AA221,AG221&lt;R221)),EDATE(AG221,12*2),AND(AO221="K5-POLICY",AL221&lt;&gt;"นิติศาสตร์",AE221="S1",AH221&gt;=1,OR(AG221&lt;AA221,AG221&lt;R221)),EDATE(AG221,12),AND(AO221="K5-POLICY",AL221&lt;&gt;"นิติศาสตร์",OR(Y221="M2",Y221="K4"),AB221&gt;=2,AA221&lt;R221),EDATE(AA221,12*2),AND(AO221="K5-POLICY",AL221&lt;&gt;"นิติศาสตร์",Y221="S1",AB221&gt;=1,AA221&lt;R221),EDATE(AA221,12),AND(AO221="K5-POLICY",AL221&lt;&gt;"นิติศาสตร์",OR(Y221="S2",Y221="K5")),AA221,AND(AO221="K5-POLICY",AL221&lt;&gt;"นิติศาสตร์",OR(K221="M2",K221="K4"),U221&gt;=2),EDATE(R221,12*2),AND(AO221="K5-POLICY",AL221&lt;&gt;"นิติศาสตร์",K221="S1",U221&gt;=1),EDATE(R221,12),AND(AO221="K5-POLICY",AL221&lt;&gt;"นิติศาสตร์",OR(K221="S2",K221="K5")),R221,TRUE,"Check Data")</f>
        <v/>
      </c>
      <c r="AQ221" s="75" t="str">
        <f t="shared" si="95"/>
        <v>Check Data</v>
      </c>
      <c r="AR221" s="76" t="str">
        <f t="shared" si="96"/>
        <v>Check Data</v>
      </c>
      <c r="AS221" s="50" t="str">
        <f t="shared" si="97"/>
        <v>Check Data</v>
      </c>
      <c r="AT221" s="49" t="str">
        <f>IF(B221="","",IF(K221="S1","S1",INDEX(#REF!,#REF!)))</f>
        <v/>
      </c>
      <c r="AU221" s="49" t="str">
        <f t="shared" si="98"/>
        <v>M2</v>
      </c>
      <c r="AV221" s="50" t="b">
        <f t="shared" si="99"/>
        <v>0</v>
      </c>
      <c r="AW221" s="50"/>
    </row>
    <row r="222" spans="1:49" ht="21.75">
      <c r="A222" s="49">
        <v>220</v>
      </c>
      <c r="B222" s="50"/>
      <c r="C222" s="52"/>
      <c r="D222" s="79"/>
      <c r="E222" s="79"/>
      <c r="F222" s="79"/>
      <c r="G222" s="50">
        <f t="shared" si="76"/>
        <v>0</v>
      </c>
      <c r="H222" s="50">
        <f t="shared" si="77"/>
        <v>0</v>
      </c>
      <c r="I222" s="50">
        <f t="shared" si="78"/>
        <v>0</v>
      </c>
      <c r="J222" s="79"/>
      <c r="K222" s="49" t="s">
        <v>136</v>
      </c>
      <c r="L222" s="49" t="str">
        <f>IF(B222="","",IF(K222="S1",K222,INDEX(#REF!,#REF!)))</f>
        <v/>
      </c>
      <c r="M222" s="49" t="b">
        <f t="shared" si="79"/>
        <v>0</v>
      </c>
      <c r="N222" s="79"/>
      <c r="O222" s="79"/>
      <c r="P222" s="79"/>
      <c r="Q222" s="65" t="s">
        <v>257</v>
      </c>
      <c r="R222" s="49" t="str">
        <f t="shared" si="80"/>
        <v>19/12/2023</v>
      </c>
      <c r="S222" s="49" t="str">
        <f>IF(B222="","",IF(K222="S1",K222,INDEX(#REF!,#REF!)))</f>
        <v/>
      </c>
      <c r="T222" s="49" t="b">
        <f t="shared" si="81"/>
        <v>0</v>
      </c>
      <c r="U222" s="68">
        <f t="shared" si="82"/>
        <v>1</v>
      </c>
      <c r="V222" s="68">
        <f t="shared" si="83"/>
        <v>6</v>
      </c>
      <c r="W222" s="68">
        <f t="shared" si="84"/>
        <v>1</v>
      </c>
      <c r="X222" s="79"/>
      <c r="Y222" s="65"/>
      <c r="Z222" s="83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50" t="str">
        <f>IF(B222="","",IF(K222="S1",K222,INDEX(#REF!,#REF!)))</f>
        <v/>
      </c>
      <c r="AN222" s="50" t="b">
        <f t="shared" si="93"/>
        <v>1</v>
      </c>
      <c r="AO222" s="49" t="str">
        <f t="shared" si="94"/>
        <v>K5-POLICY</v>
      </c>
      <c r="AP222" s="72" t="str">
        <f>_xlfn.IFS(B222="","",AND(AO222="K5-LAW",AL222="นิติศาสตร์",K222="S2",Y222="",AE222=""),R222,AND(AO222="K5-LAW",AL222="นิติศาสตร์",K222="S1",Y222="",AE222=""),EDATE(R222,12),AND(AO222="K5-LAW",AL222="นิติศาสตร์",OR(K222="M2",K222="K4"),Y222="",AE222=""),EDATE(R222,12*2),AND(AO222="K5-LAW",AL222="นิติศาสตร์",OR(AE222="M2",AE222="K4"),AH222&gt;=2,OR(AG222&lt;AA222,AG222&lt;R222)),EDATE(AG222,12*2),AND(AO222="K5-LAW",AL222="นิติศาสตร์",AE222="S1",AH222&gt;=1,OR(AG222&lt;AA222,AG222&lt;R222)),EDATE(AG222,12),AND(AO222="K5-LAW",AL222="นิติศาสตร์",OR(Y222="M2",Y222="K4"),AB222&gt;=2,AA222&lt;R222),EDATE(AA222,12*2),AND(AO222="K5-LAW",AL222="นิติศาสตร์",Y222="S1",AB222&gt;=1,AA222&lt;R222),EDATE(AA222,12),AND(AO222="K5-LAW",AL222="นิติศาสตร์",OR(Y222="S2",Y222="K5")),AA222,AND(AO222="K5-LAW",AL222="นิติศาสตร์",OR(K222="M2",K222="K4"),U222&gt;=2),EDATE(R222,12*2),AND(AO222="K5-LAW",AL222="นิติศาสตร์",K222="S1",U222&gt;=1),EDATE(R222,12),AND(AO222="K5-LAW",AL222="นิติศาสตร์",OR(K222="S2",K222="K5")),R222,AND(AO222="K5-POLICY",AL222&lt;&gt;"นิติศาสตร์",K222="S2",Y222="",AE222=""),R222,AND(AO222="K5-POLICY",AL222&lt;&gt;"นิติศาสตร์",K222="S1",Y222="",AE222=""),EDATE(R222,12),AND(AO222="K5-POLICY",AL222&lt;&gt;"นิติศาสตร์",OR(K222="M2",K222="K4"),Y222="",AE222=""),EDATE(R222,12*2),AND(AO222="K5-POLICY",AL222&lt;&gt;"นิติศาสตร์",OR(AE222="M2",AE222="K4"),AH222&gt;=2,OR(AG222&lt;AA222,AG222&lt;R222)),EDATE(AG222,12*2),AND(AO222="K5-POLICY",AL222&lt;&gt;"นิติศาสตร์",AE222="S1",AH222&gt;=1,OR(AG222&lt;AA222,AG222&lt;R222)),EDATE(AG222,12),AND(AO222="K5-POLICY",AL222&lt;&gt;"นิติศาสตร์",OR(Y222="M2",Y222="K4"),AB222&gt;=2,AA222&lt;R222),EDATE(AA222,12*2),AND(AO222="K5-POLICY",AL222&lt;&gt;"นิติศาสตร์",Y222="S1",AB222&gt;=1,AA222&lt;R222),EDATE(AA222,12),AND(AO222="K5-POLICY",AL222&lt;&gt;"นิติศาสตร์",OR(Y222="S2",Y222="K5")),AA222,AND(AO222="K5-POLICY",AL222&lt;&gt;"นิติศาสตร์",OR(K222="M2",K222="K4"),U222&gt;=2),EDATE(R222,12*2),AND(AO222="K5-POLICY",AL222&lt;&gt;"นิติศาสตร์",K222="S1",U222&gt;=1),EDATE(R222,12),AND(AO222="K5-POLICY",AL222&lt;&gt;"นิติศาสตร์",OR(K222="S2",K222="K5")),R222,TRUE,"Check Data")</f>
        <v/>
      </c>
      <c r="AQ222" s="75" t="str">
        <f t="shared" si="95"/>
        <v>Check Data</v>
      </c>
      <c r="AR222" s="76" t="str">
        <f t="shared" si="96"/>
        <v>Check Data</v>
      </c>
      <c r="AS222" s="50" t="str">
        <f t="shared" si="97"/>
        <v>Check Data</v>
      </c>
      <c r="AT222" s="49" t="str">
        <f>IF(B222="","",IF(K222="S1","S1",INDEX(#REF!,#REF!)))</f>
        <v/>
      </c>
      <c r="AU222" s="49" t="str">
        <f t="shared" si="98"/>
        <v>M2</v>
      </c>
      <c r="AV222" s="50" t="b">
        <f t="shared" si="99"/>
        <v>0</v>
      </c>
      <c r="AW222" s="50"/>
    </row>
    <row r="223" spans="1:49" ht="21.75">
      <c r="A223" s="49">
        <v>221</v>
      </c>
      <c r="B223" s="50"/>
      <c r="C223" s="50"/>
      <c r="D223" s="50" t="s">
        <v>139</v>
      </c>
      <c r="E223" s="49" t="s">
        <v>235</v>
      </c>
      <c r="F223" s="49" t="str">
        <f t="shared" ref="F223:F227" si="109">IF(E223="","",TEXT(EDATE(E223,-543*12),"dd/mm/yyyy"))</f>
        <v>02/09/1991</v>
      </c>
      <c r="G223" s="50">
        <f t="shared" si="76"/>
        <v>33</v>
      </c>
      <c r="H223" s="50">
        <f t="shared" si="77"/>
        <v>9</v>
      </c>
      <c r="I223" s="50">
        <f t="shared" si="78"/>
        <v>18</v>
      </c>
      <c r="J223" s="56"/>
      <c r="K223" s="49" t="s">
        <v>136</v>
      </c>
      <c r="L223" s="49" t="str">
        <f>IF(B223="","",IF(K223="S1",K223,INDEX(#REF!,#REF!)))</f>
        <v/>
      </c>
      <c r="M223" s="49" t="b">
        <f t="shared" si="79"/>
        <v>0</v>
      </c>
      <c r="N223" s="64"/>
      <c r="O223" s="49" t="s">
        <v>427</v>
      </c>
      <c r="P223" s="49">
        <v>2572</v>
      </c>
      <c r="Q223" s="65" t="s">
        <v>216</v>
      </c>
      <c r="R223" s="49" t="str">
        <f t="shared" si="80"/>
        <v>21/12/2023</v>
      </c>
      <c r="S223" s="49" t="str">
        <f>IF(B223="","",IF(K223="S1",K223,INDEX(#REF!,#REF!)))</f>
        <v/>
      </c>
      <c r="T223" s="49" t="b">
        <f t="shared" si="81"/>
        <v>0</v>
      </c>
      <c r="U223" s="68">
        <f t="shared" si="82"/>
        <v>1</v>
      </c>
      <c r="V223" s="68">
        <f t="shared" si="83"/>
        <v>5</v>
      </c>
      <c r="W223" s="68">
        <f t="shared" si="84"/>
        <v>30</v>
      </c>
      <c r="X223" s="68"/>
      <c r="Y223" s="65"/>
      <c r="Z223" s="65"/>
      <c r="AA223" s="49" t="str">
        <f t="shared" ref="AA223:AA227" si="110">IF(Z223="","",TEXT(EDATE(Z223,-543*12),"dd/mm/yyyy"))</f>
        <v/>
      </c>
      <c r="AB223" s="68">
        <f t="shared" ref="AB223:AB227" si="111">IF(AA223="",0,DATEDIF(AA223,R223,"Y"))</f>
        <v>0</v>
      </c>
      <c r="AC223" s="68">
        <f t="shared" ref="AC223:AC227" si="112">IF(AA223="",0,DATEDIF(AA223,R223,"YM"))</f>
        <v>0</v>
      </c>
      <c r="AD223" s="68">
        <f t="shared" ref="AD223:AD227" si="113">IF(AA223="",0,DATEDIF(AA223,R223,"MD"))</f>
        <v>0</v>
      </c>
      <c r="AE223" s="49"/>
      <c r="AF223" s="65"/>
      <c r="AG223" s="50" t="str">
        <f t="shared" ref="AG223:AG227" si="114">IF(AF223="","",TEXT(EDATE(AF223,-543*12),"dd/mm/yyyy"))</f>
        <v/>
      </c>
      <c r="AH223" s="68">
        <f t="shared" ref="AH223:AH227" si="115">IF(AG223="",0,DATEDIF(AG223,AA223,"Y"))</f>
        <v>0</v>
      </c>
      <c r="AI223" s="68">
        <f t="shared" ref="AI223:AI227" si="116">IF(AG223="",0,DATEDIF(AG223,AA223,"YM"))</f>
        <v>0</v>
      </c>
      <c r="AJ223" s="68">
        <f t="shared" ref="AJ223:AJ227" si="117">IF(AG223="",0,DATEDIF(AG223,AA223,"MD"))</f>
        <v>0</v>
      </c>
      <c r="AK223" s="50"/>
      <c r="AL223" s="50" t="s">
        <v>167</v>
      </c>
      <c r="AM223" s="50" t="str">
        <f>IF(B223="","",IF(K223="S1",K223,INDEX(#REF!,#REF!)))</f>
        <v/>
      </c>
      <c r="AN223" s="50" t="b">
        <f t="shared" si="93"/>
        <v>0</v>
      </c>
      <c r="AO223" s="49" t="str">
        <f t="shared" si="94"/>
        <v>K5-POLICY</v>
      </c>
      <c r="AP223" s="72" t="str">
        <f>_xlfn.IFS(B223="","",AND(AO223="K5-LAW",AL223="นิติศาสตร์",K223="S2",Y223="",AE223=""),R223,AND(AO223="K5-LAW",AL223="นิติศาสตร์",K223="S1",Y223="",AE223=""),EDATE(R223,12),AND(AO223="K5-LAW",AL223="นิติศาสตร์",OR(K223="M2",K223="K4"),Y223="",AE223=""),EDATE(R223,12*2),AND(AO223="K5-LAW",AL223="นิติศาสตร์",OR(AE223="M2",AE223="K4"),AH223&gt;=2,OR(AG223&lt;AA223,AG223&lt;R223)),EDATE(AG223,12*2),AND(AO223="K5-LAW",AL223="นิติศาสตร์",AE223="S1",AH223&gt;=1,OR(AG223&lt;AA223,AG223&lt;R223)),EDATE(AG223,12),AND(AO223="K5-LAW",AL223="นิติศาสตร์",OR(Y223="M2",Y223="K4"),AB223&gt;=2,AA223&lt;R223),EDATE(AA223,12*2),AND(AO223="K5-LAW",AL223="นิติศาสตร์",Y223="S1",AB223&gt;=1,AA223&lt;R223),EDATE(AA223,12),AND(AO223="K5-LAW",AL223="นิติศาสตร์",OR(Y223="S2",Y223="K5")),AA223,AND(AO223="K5-LAW",AL223="นิติศาสตร์",OR(K223="M2",K223="K4"),U223&gt;=2),EDATE(R223,12*2),AND(AO223="K5-LAW",AL223="นิติศาสตร์",K223="S1",U223&gt;=1),EDATE(R223,12),AND(AO223="K5-LAW",AL223="นิติศาสตร์",OR(K223="S2",K223="K5")),R223,AND(AO223="K5-POLICY",AL223&lt;&gt;"นิติศาสตร์",K223="S2",Y223="",AE223=""),R223,AND(AO223="K5-POLICY",AL223&lt;&gt;"นิติศาสตร์",K223="S1",Y223="",AE223=""),EDATE(R223,12),AND(AO223="K5-POLICY",AL223&lt;&gt;"นิติศาสตร์",OR(K223="M2",K223="K4"),Y223="",AE223=""),EDATE(R223,12*2),AND(AO223="K5-POLICY",AL223&lt;&gt;"นิติศาสตร์",OR(AE223="M2",AE223="K4"),AH223&gt;=2,OR(AG223&lt;AA223,AG223&lt;R223)),EDATE(AG223,12*2),AND(AO223="K5-POLICY",AL223&lt;&gt;"นิติศาสตร์",AE223="S1",AH223&gt;=1,OR(AG223&lt;AA223,AG223&lt;R223)),EDATE(AG223,12),AND(AO223="K5-POLICY",AL223&lt;&gt;"นิติศาสตร์",OR(Y223="M2",Y223="K4"),AB223&gt;=2,AA223&lt;R223),EDATE(AA223,12*2),AND(AO223="K5-POLICY",AL223&lt;&gt;"นิติศาสตร์",Y223="S1",AB223&gt;=1,AA223&lt;R223),EDATE(AA223,12),AND(AO223="K5-POLICY",AL223&lt;&gt;"นิติศาสตร์",OR(Y223="S2",Y223="K5")),AA223,AND(AO223="K5-POLICY",AL223&lt;&gt;"นิติศาสตร์",OR(K223="M2",K223="K4"),U223&gt;=2),EDATE(R223,12*2),AND(AO223="K5-POLICY",AL223&lt;&gt;"นิติศาสตร์",K223="S1",U223&gt;=1),EDATE(R223,12),AND(AO223="K5-POLICY",AL223&lt;&gt;"นิติศาสตร์",OR(K223="S2",K223="K5")),R223,TRUE,"Check Data")</f>
        <v/>
      </c>
      <c r="AQ223" s="75" t="str">
        <f t="shared" si="95"/>
        <v>Check Data</v>
      </c>
      <c r="AR223" s="76" t="str">
        <f t="shared" si="96"/>
        <v>Check Data</v>
      </c>
      <c r="AS223" s="50" t="str">
        <f t="shared" si="97"/>
        <v>Check Data</v>
      </c>
      <c r="AT223" s="49" t="str">
        <f>IF(B223="","",IF(K223="S1","S1",INDEX(#REF!,#REF!)))</f>
        <v/>
      </c>
      <c r="AU223" s="49" t="str">
        <f t="shared" si="98"/>
        <v>M2</v>
      </c>
      <c r="AV223" s="50" t="b">
        <f t="shared" si="99"/>
        <v>0</v>
      </c>
      <c r="AW223" s="50"/>
    </row>
    <row r="224" spans="1:49" ht="21.75">
      <c r="A224" s="49">
        <v>222</v>
      </c>
      <c r="B224" s="50"/>
      <c r="C224" s="50"/>
      <c r="D224" s="50" t="s">
        <v>139</v>
      </c>
      <c r="E224" s="49" t="s">
        <v>234</v>
      </c>
      <c r="F224" s="49" t="str">
        <f t="shared" si="109"/>
        <v>15/06/1994</v>
      </c>
      <c r="G224" s="50">
        <f t="shared" si="76"/>
        <v>31</v>
      </c>
      <c r="H224" s="50">
        <f t="shared" si="77"/>
        <v>0</v>
      </c>
      <c r="I224" s="50">
        <f t="shared" si="78"/>
        <v>5</v>
      </c>
      <c r="J224" s="56"/>
      <c r="K224" s="49" t="s">
        <v>136</v>
      </c>
      <c r="L224" s="49" t="str">
        <f>IF(B224="","",IF(K224="S1",K224,INDEX(#REF!,#REF!)))</f>
        <v/>
      </c>
      <c r="M224" s="49" t="b">
        <f t="shared" si="79"/>
        <v>0</v>
      </c>
      <c r="N224" s="64"/>
      <c r="O224" s="49" t="s">
        <v>427</v>
      </c>
      <c r="P224" s="49">
        <v>2574</v>
      </c>
      <c r="Q224" s="65" t="s">
        <v>216</v>
      </c>
      <c r="R224" s="49" t="str">
        <f t="shared" si="80"/>
        <v>21/12/2023</v>
      </c>
      <c r="S224" s="49" t="str">
        <f>IF(B224="","",IF(K224="S1",K224,INDEX(#REF!,#REF!)))</f>
        <v/>
      </c>
      <c r="T224" s="49" t="b">
        <f t="shared" si="81"/>
        <v>0</v>
      </c>
      <c r="U224" s="68">
        <f t="shared" si="82"/>
        <v>1</v>
      </c>
      <c r="V224" s="68">
        <f t="shared" si="83"/>
        <v>5</v>
      </c>
      <c r="W224" s="68">
        <f t="shared" si="84"/>
        <v>30</v>
      </c>
      <c r="X224" s="68"/>
      <c r="Y224" s="65"/>
      <c r="Z224" s="65"/>
      <c r="AA224" s="49" t="str">
        <f t="shared" si="110"/>
        <v/>
      </c>
      <c r="AB224" s="68">
        <f t="shared" si="111"/>
        <v>0</v>
      </c>
      <c r="AC224" s="68">
        <f t="shared" si="112"/>
        <v>0</v>
      </c>
      <c r="AD224" s="68">
        <f t="shared" si="113"/>
        <v>0</v>
      </c>
      <c r="AE224" s="49"/>
      <c r="AF224" s="65"/>
      <c r="AG224" s="50" t="str">
        <f t="shared" si="114"/>
        <v/>
      </c>
      <c r="AH224" s="68">
        <f t="shared" si="115"/>
        <v>0</v>
      </c>
      <c r="AI224" s="68">
        <f t="shared" si="116"/>
        <v>0</v>
      </c>
      <c r="AJ224" s="68">
        <f t="shared" si="117"/>
        <v>0</v>
      </c>
      <c r="AK224" s="50"/>
      <c r="AL224" s="50" t="s">
        <v>167</v>
      </c>
      <c r="AM224" s="50" t="str">
        <f>IF(B224="","",IF(K224="S1",K224,INDEX(#REF!,#REF!)))</f>
        <v/>
      </c>
      <c r="AN224" s="50" t="b">
        <f t="shared" si="93"/>
        <v>0</v>
      </c>
      <c r="AO224" s="49" t="str">
        <f t="shared" si="94"/>
        <v>K5-POLICY</v>
      </c>
      <c r="AP224" s="72" t="str">
        <f>_xlfn.IFS(B224="","",AND(AO224="K5-LAW",AL224="นิติศาสตร์",K224="S2",Y224="",AE224=""),R224,AND(AO224="K5-LAW",AL224="นิติศาสตร์",K224="S1",Y224="",AE224=""),EDATE(R224,12),AND(AO224="K5-LAW",AL224="นิติศาสตร์",OR(K224="M2",K224="K4"),Y224="",AE224=""),EDATE(R224,12*2),AND(AO224="K5-LAW",AL224="นิติศาสตร์",OR(AE224="M2",AE224="K4"),AH224&gt;=2,OR(AG224&lt;AA224,AG224&lt;R224)),EDATE(AG224,12*2),AND(AO224="K5-LAW",AL224="นิติศาสตร์",AE224="S1",AH224&gt;=1,OR(AG224&lt;AA224,AG224&lt;R224)),EDATE(AG224,12),AND(AO224="K5-LAW",AL224="นิติศาสตร์",OR(Y224="M2",Y224="K4"),AB224&gt;=2,AA224&lt;R224),EDATE(AA224,12*2),AND(AO224="K5-LAW",AL224="นิติศาสตร์",Y224="S1",AB224&gt;=1,AA224&lt;R224),EDATE(AA224,12),AND(AO224="K5-LAW",AL224="นิติศาสตร์",OR(Y224="S2",Y224="K5")),AA224,AND(AO224="K5-LAW",AL224="นิติศาสตร์",OR(K224="M2",K224="K4"),U224&gt;=2),EDATE(R224,12*2),AND(AO224="K5-LAW",AL224="นิติศาสตร์",K224="S1",U224&gt;=1),EDATE(R224,12),AND(AO224="K5-LAW",AL224="นิติศาสตร์",OR(K224="S2",K224="K5")),R224,AND(AO224="K5-POLICY",AL224&lt;&gt;"นิติศาสตร์",K224="S2",Y224="",AE224=""),R224,AND(AO224="K5-POLICY",AL224&lt;&gt;"นิติศาสตร์",K224="S1",Y224="",AE224=""),EDATE(R224,12),AND(AO224="K5-POLICY",AL224&lt;&gt;"นิติศาสตร์",OR(K224="M2",K224="K4"),Y224="",AE224=""),EDATE(R224,12*2),AND(AO224="K5-POLICY",AL224&lt;&gt;"นิติศาสตร์",OR(AE224="M2",AE224="K4"),AH224&gt;=2,OR(AG224&lt;AA224,AG224&lt;R224)),EDATE(AG224,12*2),AND(AO224="K5-POLICY",AL224&lt;&gt;"นิติศาสตร์",AE224="S1",AH224&gt;=1,OR(AG224&lt;AA224,AG224&lt;R224)),EDATE(AG224,12),AND(AO224="K5-POLICY",AL224&lt;&gt;"นิติศาสตร์",OR(Y224="M2",Y224="K4"),AB224&gt;=2,AA224&lt;R224),EDATE(AA224,12*2),AND(AO224="K5-POLICY",AL224&lt;&gt;"นิติศาสตร์",Y224="S1",AB224&gt;=1,AA224&lt;R224),EDATE(AA224,12),AND(AO224="K5-POLICY",AL224&lt;&gt;"นิติศาสตร์",OR(Y224="S2",Y224="K5")),AA224,AND(AO224="K5-POLICY",AL224&lt;&gt;"นิติศาสตร์",OR(K224="M2",K224="K4"),U224&gt;=2),EDATE(R224,12*2),AND(AO224="K5-POLICY",AL224&lt;&gt;"นิติศาสตร์",K224="S1",U224&gt;=1),EDATE(R224,12),AND(AO224="K5-POLICY",AL224&lt;&gt;"นิติศาสตร์",OR(K224="S2",K224="K5")),R224,TRUE,"Check Data")</f>
        <v/>
      </c>
      <c r="AQ224" s="75" t="str">
        <f t="shared" si="95"/>
        <v>Check Data</v>
      </c>
      <c r="AR224" s="76" t="str">
        <f t="shared" si="96"/>
        <v>Check Data</v>
      </c>
      <c r="AS224" s="50" t="str">
        <f t="shared" si="97"/>
        <v>Check Data</v>
      </c>
      <c r="AT224" s="49" t="str">
        <f>IF(B224="","",IF(K224="S1","S1",INDEX(#REF!,#REF!)))</f>
        <v/>
      </c>
      <c r="AU224" s="49" t="str">
        <f t="shared" si="98"/>
        <v>M2</v>
      </c>
      <c r="AV224" s="50" t="b">
        <f t="shared" si="99"/>
        <v>0</v>
      </c>
      <c r="AW224" s="50"/>
    </row>
    <row r="225" spans="1:49" ht="21.75">
      <c r="A225" s="49">
        <v>223</v>
      </c>
      <c r="B225" s="50"/>
      <c r="C225" s="50"/>
      <c r="D225" s="50" t="s">
        <v>139</v>
      </c>
      <c r="E225" s="49" t="s">
        <v>215</v>
      </c>
      <c r="F225" s="49" t="str">
        <f t="shared" si="109"/>
        <v>04/08/1993</v>
      </c>
      <c r="G225" s="50">
        <f t="shared" si="76"/>
        <v>31</v>
      </c>
      <c r="H225" s="50">
        <f t="shared" si="77"/>
        <v>10</v>
      </c>
      <c r="I225" s="50">
        <f t="shared" si="78"/>
        <v>16</v>
      </c>
      <c r="J225" s="56"/>
      <c r="K225" s="49" t="s">
        <v>136</v>
      </c>
      <c r="L225" s="49" t="str">
        <f>IF(B225="","",IF(K225="S1",K225,INDEX(#REF!,#REF!)))</f>
        <v/>
      </c>
      <c r="M225" s="49" t="b">
        <f t="shared" si="79"/>
        <v>0</v>
      </c>
      <c r="N225" s="64"/>
      <c r="O225" s="49" t="s">
        <v>427</v>
      </c>
      <c r="P225" s="49">
        <v>2568</v>
      </c>
      <c r="Q225" s="65" t="s">
        <v>216</v>
      </c>
      <c r="R225" s="49" t="str">
        <f t="shared" si="80"/>
        <v>21/12/2023</v>
      </c>
      <c r="S225" s="49" t="str">
        <f>IF(B225="","",IF(K225="S1",K225,INDEX(#REF!,#REF!)))</f>
        <v/>
      </c>
      <c r="T225" s="49" t="b">
        <f t="shared" si="81"/>
        <v>0</v>
      </c>
      <c r="U225" s="68">
        <f t="shared" si="82"/>
        <v>1</v>
      </c>
      <c r="V225" s="68">
        <f t="shared" si="83"/>
        <v>5</v>
      </c>
      <c r="W225" s="68">
        <f t="shared" si="84"/>
        <v>30</v>
      </c>
      <c r="X225" s="68"/>
      <c r="Y225" s="65"/>
      <c r="Z225" s="65"/>
      <c r="AA225" s="49" t="str">
        <f t="shared" si="110"/>
        <v/>
      </c>
      <c r="AB225" s="68">
        <f t="shared" si="111"/>
        <v>0</v>
      </c>
      <c r="AC225" s="68">
        <f t="shared" si="112"/>
        <v>0</v>
      </c>
      <c r="AD225" s="68">
        <f t="shared" si="113"/>
        <v>0</v>
      </c>
      <c r="AE225" s="49"/>
      <c r="AF225" s="65"/>
      <c r="AG225" s="50" t="str">
        <f t="shared" si="114"/>
        <v/>
      </c>
      <c r="AH225" s="68">
        <f t="shared" si="115"/>
        <v>0</v>
      </c>
      <c r="AI225" s="68">
        <f t="shared" si="116"/>
        <v>0</v>
      </c>
      <c r="AJ225" s="68">
        <f t="shared" si="117"/>
        <v>0</v>
      </c>
      <c r="AK225" s="50"/>
      <c r="AL225" s="50" t="s">
        <v>138</v>
      </c>
      <c r="AM225" s="129" t="str">
        <f>IF(B225="","",IF(K225="S1",K225,INDEX(#REF!,#REF!)))</f>
        <v/>
      </c>
      <c r="AN225" s="50" t="b">
        <f t="shared" si="93"/>
        <v>0</v>
      </c>
      <c r="AO225" s="49" t="str">
        <f t="shared" si="94"/>
        <v>K5-LAW</v>
      </c>
      <c r="AP225" s="72" t="str">
        <f>_xlfn.IFS(B225="","",AND(AO225="K5-LAW",AL225="นิติศาสตร์",K225="S2",Y225="",AE225=""),R225,AND(AO225="K5-LAW",AL225="นิติศาสตร์",K225="S1",Y225="",AE225=""),EDATE(R225,12),AND(AO225="K5-LAW",AL225="นิติศาสตร์",OR(K225="M2",K225="K4"),Y225="",AE225=""),EDATE(R225,12*2),AND(AO225="K5-LAW",AL225="นิติศาสตร์",OR(AE225="M2",AE225="K4"),AH225&gt;=2,OR(AG225&lt;AA225,AG225&lt;R225)),EDATE(AG225,12*2),AND(AO225="K5-LAW",AL225="นิติศาสตร์",AE225="S1",AH225&gt;=1,OR(AG225&lt;AA225,AG225&lt;R225)),EDATE(AG225,12),AND(AO225="K5-LAW",AL225="นิติศาสตร์",OR(Y225="M2",Y225="K4"),AB225&gt;=2,AA225&lt;R225),EDATE(AA225,12*2),AND(AO225="K5-LAW",AL225="นิติศาสตร์",Y225="S1",AB225&gt;=1,AA225&lt;R225),EDATE(AA225,12),AND(AO225="K5-LAW",AL225="นิติศาสตร์",OR(Y225="S2",Y225="K5")),AA225,AND(AO225="K5-LAW",AL225="นิติศาสตร์",OR(K225="M2",K225="K4"),U225&gt;=2),EDATE(R225,12*2),AND(AO225="K5-LAW",AL225="นิติศาสตร์",K225="S1",U225&gt;=1),EDATE(R225,12),AND(AO225="K5-LAW",AL225="นิติศาสตร์",OR(K225="S2",K225="K5")),R225,AND(AO225="K5-POLICY",AL225&lt;&gt;"นิติศาสตร์",K225="S2",Y225="",AE225=""),R225,AND(AO225="K5-POLICY",AL225&lt;&gt;"นิติศาสตร์",K225="S1",Y225="",AE225=""),EDATE(R225,12),AND(AO225="K5-POLICY",AL225&lt;&gt;"นิติศาสตร์",OR(K225="M2",K225="K4"),Y225="",AE225=""),EDATE(R225,12*2),AND(AO225="K5-POLICY",AL225&lt;&gt;"นิติศาสตร์",OR(AE225="M2",AE225="K4"),AH225&gt;=2,OR(AG225&lt;AA225,AG225&lt;R225)),EDATE(AG225,12*2),AND(AO225="K5-POLICY",AL225&lt;&gt;"นิติศาสตร์",AE225="S1",AH225&gt;=1,OR(AG225&lt;AA225,AG225&lt;R225)),EDATE(AG225,12),AND(AO225="K5-POLICY",AL225&lt;&gt;"นิติศาสตร์",OR(Y225="M2",Y225="K4"),AB225&gt;=2,AA225&lt;R225),EDATE(AA225,12*2),AND(AO225="K5-POLICY",AL225&lt;&gt;"นิติศาสตร์",Y225="S1",AB225&gt;=1,AA225&lt;R225),EDATE(AA225,12),AND(AO225="K5-POLICY",AL225&lt;&gt;"นิติศาสตร์",OR(Y225="S2",Y225="K5")),AA225,AND(AO225="K5-POLICY",AL225&lt;&gt;"นิติศาสตร์",OR(K225="M2",K225="K4"),U225&gt;=2),EDATE(R225,12*2),AND(AO225="K5-POLICY",AL225&lt;&gt;"นิติศาสตร์",K225="S1",U225&gt;=1),EDATE(R225,12),AND(AO225="K5-POLICY",AL225&lt;&gt;"นิติศาสตร์",OR(K225="S2",K225="K5")),R225,TRUE,"Check Data")</f>
        <v/>
      </c>
      <c r="AQ225" s="75" t="str">
        <f t="shared" si="95"/>
        <v>Check Data</v>
      </c>
      <c r="AR225" s="76" t="str">
        <f t="shared" si="96"/>
        <v>Check Data</v>
      </c>
      <c r="AS225" s="50" t="str">
        <f t="shared" si="97"/>
        <v>Check Data</v>
      </c>
      <c r="AT225" s="49" t="str">
        <f>IF(B225="","",IF(K225="S1","S1",INDEX(#REF!,#REF!)))</f>
        <v/>
      </c>
      <c r="AU225" s="49" t="str">
        <f t="shared" si="98"/>
        <v>M2</v>
      </c>
      <c r="AV225" s="50" t="b">
        <f t="shared" si="99"/>
        <v>0</v>
      </c>
      <c r="AW225" s="50"/>
    </row>
    <row r="226" spans="1:49" ht="21.75">
      <c r="A226" s="49">
        <v>224</v>
      </c>
      <c r="B226" s="50"/>
      <c r="C226" s="50"/>
      <c r="D226" s="50" t="s">
        <v>139</v>
      </c>
      <c r="E226" s="49" t="s">
        <v>222</v>
      </c>
      <c r="F226" s="49" t="str">
        <f t="shared" si="109"/>
        <v>20/04/1989</v>
      </c>
      <c r="G226" s="50">
        <f t="shared" si="76"/>
        <v>36</v>
      </c>
      <c r="H226" s="50">
        <f t="shared" si="77"/>
        <v>2</v>
      </c>
      <c r="I226" s="50">
        <f t="shared" si="78"/>
        <v>0</v>
      </c>
      <c r="J226" s="56"/>
      <c r="K226" s="49" t="s">
        <v>136</v>
      </c>
      <c r="L226" s="49" t="str">
        <f>IF(B226="","",IF(K226="S1",K226,INDEX(#REF!,#REF!)))</f>
        <v/>
      </c>
      <c r="M226" s="49" t="b">
        <f t="shared" si="79"/>
        <v>0</v>
      </c>
      <c r="N226" s="64"/>
      <c r="O226" s="49" t="s">
        <v>426</v>
      </c>
      <c r="P226" s="49">
        <v>2571</v>
      </c>
      <c r="Q226" s="65" t="s">
        <v>216</v>
      </c>
      <c r="R226" s="49" t="str">
        <f t="shared" si="80"/>
        <v>21/12/2023</v>
      </c>
      <c r="S226" s="49" t="str">
        <f>IF(B226="","",IF(K226="S1",K226,INDEX(#REF!,#REF!)))</f>
        <v/>
      </c>
      <c r="T226" s="49" t="b">
        <f t="shared" si="81"/>
        <v>0</v>
      </c>
      <c r="U226" s="68">
        <f t="shared" si="82"/>
        <v>1</v>
      </c>
      <c r="V226" s="68">
        <f t="shared" si="83"/>
        <v>5</v>
      </c>
      <c r="W226" s="68">
        <f t="shared" si="84"/>
        <v>30</v>
      </c>
      <c r="X226" s="68"/>
      <c r="Y226" s="65"/>
      <c r="Z226" s="65"/>
      <c r="AA226" s="49" t="str">
        <f t="shared" si="110"/>
        <v/>
      </c>
      <c r="AB226" s="68">
        <f t="shared" si="111"/>
        <v>0</v>
      </c>
      <c r="AC226" s="68">
        <f t="shared" si="112"/>
        <v>0</v>
      </c>
      <c r="AD226" s="68">
        <f t="shared" si="113"/>
        <v>0</v>
      </c>
      <c r="AE226" s="49"/>
      <c r="AF226" s="65"/>
      <c r="AG226" s="50" t="str">
        <f t="shared" si="114"/>
        <v/>
      </c>
      <c r="AH226" s="68">
        <f t="shared" si="115"/>
        <v>0</v>
      </c>
      <c r="AI226" s="68">
        <f t="shared" si="116"/>
        <v>0</v>
      </c>
      <c r="AJ226" s="68">
        <f t="shared" si="117"/>
        <v>0</v>
      </c>
      <c r="AK226" s="50"/>
      <c r="AL226" s="50" t="s">
        <v>138</v>
      </c>
      <c r="AM226" s="50" t="str">
        <f>IF(B226="","",IF(K226="S1",K226,INDEX(#REF!,#REF!)))</f>
        <v/>
      </c>
      <c r="AN226" s="50" t="b">
        <f t="shared" si="93"/>
        <v>0</v>
      </c>
      <c r="AO226" s="49" t="str">
        <f t="shared" si="94"/>
        <v>K5-LAW</v>
      </c>
      <c r="AP226" s="72" t="str">
        <f>_xlfn.IFS(B226="","",AND(AO226="K5-LAW",AL226="นิติศาสตร์",K226="S2",Y226="",AE226=""),R226,AND(AO226="K5-LAW",AL226="นิติศาสตร์",K226="S1",Y226="",AE226=""),EDATE(R226,12),AND(AO226="K5-LAW",AL226="นิติศาสตร์",OR(K226="M2",K226="K4"),Y226="",AE226=""),EDATE(R226,12*2),AND(AO226="K5-LAW",AL226="นิติศาสตร์",OR(AE226="M2",AE226="K4"),AH226&gt;=2,OR(AG226&lt;AA226,AG226&lt;R226)),EDATE(AG226,12*2),AND(AO226="K5-LAW",AL226="นิติศาสตร์",AE226="S1",AH226&gt;=1,OR(AG226&lt;AA226,AG226&lt;R226)),EDATE(AG226,12),AND(AO226="K5-LAW",AL226="นิติศาสตร์",OR(Y226="M2",Y226="K4"),AB226&gt;=2,AA226&lt;R226),EDATE(AA226,12*2),AND(AO226="K5-LAW",AL226="นิติศาสตร์",Y226="S1",AB226&gt;=1,AA226&lt;R226),EDATE(AA226,12),AND(AO226="K5-LAW",AL226="นิติศาสตร์",OR(Y226="S2",Y226="K5")),AA226,AND(AO226="K5-LAW",AL226="นิติศาสตร์",OR(K226="M2",K226="K4"),U226&gt;=2),EDATE(R226,12*2),AND(AO226="K5-LAW",AL226="นิติศาสตร์",K226="S1",U226&gt;=1),EDATE(R226,12),AND(AO226="K5-LAW",AL226="นิติศาสตร์",OR(K226="S2",K226="K5")),R226,AND(AO226="K5-POLICY",AL226&lt;&gt;"นิติศาสตร์",K226="S2",Y226="",AE226=""),R226,AND(AO226="K5-POLICY",AL226&lt;&gt;"นิติศาสตร์",K226="S1",Y226="",AE226=""),EDATE(R226,12),AND(AO226="K5-POLICY",AL226&lt;&gt;"นิติศาสตร์",OR(K226="M2",K226="K4"),Y226="",AE226=""),EDATE(R226,12*2),AND(AO226="K5-POLICY",AL226&lt;&gt;"นิติศาสตร์",OR(AE226="M2",AE226="K4"),AH226&gt;=2,OR(AG226&lt;AA226,AG226&lt;R226)),EDATE(AG226,12*2),AND(AO226="K5-POLICY",AL226&lt;&gt;"นิติศาสตร์",AE226="S1",AH226&gt;=1,OR(AG226&lt;AA226,AG226&lt;R226)),EDATE(AG226,12),AND(AO226="K5-POLICY",AL226&lt;&gt;"นิติศาสตร์",OR(Y226="M2",Y226="K4"),AB226&gt;=2,AA226&lt;R226),EDATE(AA226,12*2),AND(AO226="K5-POLICY",AL226&lt;&gt;"นิติศาสตร์",Y226="S1",AB226&gt;=1,AA226&lt;R226),EDATE(AA226,12),AND(AO226="K5-POLICY",AL226&lt;&gt;"นิติศาสตร์",OR(Y226="S2",Y226="K5")),AA226,AND(AO226="K5-POLICY",AL226&lt;&gt;"นิติศาสตร์",OR(K226="M2",K226="K4"),U226&gt;=2),EDATE(R226,12*2),AND(AO226="K5-POLICY",AL226&lt;&gt;"นิติศาสตร์",K226="S1",U226&gt;=1),EDATE(R226,12),AND(AO226="K5-POLICY",AL226&lt;&gt;"นิติศาสตร์",OR(K226="S2",K226="K5")),R226,TRUE,"Check Data")</f>
        <v/>
      </c>
      <c r="AQ226" s="75" t="str">
        <f t="shared" si="95"/>
        <v>Check Data</v>
      </c>
      <c r="AR226" s="76" t="str">
        <f t="shared" si="96"/>
        <v>Check Data</v>
      </c>
      <c r="AS226" s="50" t="str">
        <f t="shared" si="97"/>
        <v>Check Data</v>
      </c>
      <c r="AT226" s="49" t="str">
        <f>IF(B226="","",IF(K226="S1","S1",INDEX(#REF!,#REF!)))</f>
        <v/>
      </c>
      <c r="AU226" s="49" t="str">
        <f t="shared" si="98"/>
        <v>M2</v>
      </c>
      <c r="AV226" s="50" t="b">
        <f t="shared" si="99"/>
        <v>0</v>
      </c>
      <c r="AW226" s="50"/>
    </row>
    <row r="227" spans="1:49" ht="21.75">
      <c r="A227" s="49">
        <v>225</v>
      </c>
      <c r="B227" s="50"/>
      <c r="C227" s="50"/>
      <c r="D227" s="50" t="s">
        <v>139</v>
      </c>
      <c r="E227" s="49" t="s">
        <v>231</v>
      </c>
      <c r="F227" s="49" t="str">
        <f t="shared" si="109"/>
        <v>15/05/1995</v>
      </c>
      <c r="G227" s="50">
        <f t="shared" si="76"/>
        <v>30</v>
      </c>
      <c r="H227" s="50">
        <f t="shared" si="77"/>
        <v>1</v>
      </c>
      <c r="I227" s="50">
        <f t="shared" si="78"/>
        <v>5</v>
      </c>
      <c r="J227" s="59"/>
      <c r="K227" s="49" t="s">
        <v>136</v>
      </c>
      <c r="L227" s="49" t="str">
        <f>IF(B227="","",IF(K227="S1",K227,INDEX(#REF!,#REF!)))</f>
        <v/>
      </c>
      <c r="M227" s="49" t="b">
        <f t="shared" si="79"/>
        <v>0</v>
      </c>
      <c r="N227" s="64"/>
      <c r="O227" s="49" t="s">
        <v>426</v>
      </c>
      <c r="P227" s="49">
        <v>2572</v>
      </c>
      <c r="Q227" s="65" t="s">
        <v>216</v>
      </c>
      <c r="R227" s="49" t="str">
        <f t="shared" si="80"/>
        <v>21/12/2023</v>
      </c>
      <c r="S227" s="49" t="str">
        <f>IF(B227="","",IF(K227="S1",K227,INDEX(#REF!,#REF!)))</f>
        <v/>
      </c>
      <c r="T227" s="49" t="b">
        <f t="shared" si="81"/>
        <v>0</v>
      </c>
      <c r="U227" s="68">
        <f t="shared" si="82"/>
        <v>1</v>
      </c>
      <c r="V227" s="68">
        <f t="shared" si="83"/>
        <v>5</v>
      </c>
      <c r="W227" s="68">
        <f t="shared" si="84"/>
        <v>30</v>
      </c>
      <c r="X227" s="68"/>
      <c r="Y227" s="65"/>
      <c r="Z227" s="65"/>
      <c r="AA227" s="49" t="str">
        <f t="shared" si="110"/>
        <v/>
      </c>
      <c r="AB227" s="68">
        <f t="shared" si="111"/>
        <v>0</v>
      </c>
      <c r="AC227" s="68">
        <f t="shared" si="112"/>
        <v>0</v>
      </c>
      <c r="AD227" s="68">
        <f t="shared" si="113"/>
        <v>0</v>
      </c>
      <c r="AE227" s="49"/>
      <c r="AF227" s="65"/>
      <c r="AG227" s="50" t="str">
        <f t="shared" si="114"/>
        <v/>
      </c>
      <c r="AH227" s="68">
        <f t="shared" si="115"/>
        <v>0</v>
      </c>
      <c r="AI227" s="68">
        <f t="shared" si="116"/>
        <v>0</v>
      </c>
      <c r="AJ227" s="68">
        <f t="shared" si="117"/>
        <v>0</v>
      </c>
      <c r="AK227" s="50"/>
      <c r="AL227" s="50" t="s">
        <v>138</v>
      </c>
      <c r="AM227" s="129" t="str">
        <f>IF(B227="","",IF(K227="S1",K227,INDEX(#REF!,#REF!)))</f>
        <v/>
      </c>
      <c r="AN227" s="50" t="b">
        <f t="shared" si="93"/>
        <v>0</v>
      </c>
      <c r="AO227" s="49" t="str">
        <f t="shared" si="94"/>
        <v>K5-LAW</v>
      </c>
      <c r="AP227" s="72" t="str">
        <f>_xlfn.IFS(B227="","",AND(AO227="K5-LAW",AL227="นิติศาสตร์",K227="S2",Y227="",AE227=""),R227,AND(AO227="K5-LAW",AL227="นิติศาสตร์",K227="S1",Y227="",AE227=""),EDATE(R227,12),AND(AO227="K5-LAW",AL227="นิติศาสตร์",OR(K227="M2",K227="K4"),Y227="",AE227=""),EDATE(R227,12*2),AND(AO227="K5-LAW",AL227="นิติศาสตร์",OR(AE227="M2",AE227="K4"),AH227&gt;=2,OR(AG227&lt;AA227,AG227&lt;R227)),EDATE(AG227,12*2),AND(AO227="K5-LAW",AL227="นิติศาสตร์",AE227="S1",AH227&gt;=1,OR(AG227&lt;AA227,AG227&lt;R227)),EDATE(AG227,12),AND(AO227="K5-LAW",AL227="นิติศาสตร์",OR(Y227="M2",Y227="K4"),AB227&gt;=2,AA227&lt;R227),EDATE(AA227,12*2),AND(AO227="K5-LAW",AL227="นิติศาสตร์",Y227="S1",AB227&gt;=1,AA227&lt;R227),EDATE(AA227,12),AND(AO227="K5-LAW",AL227="นิติศาสตร์",OR(Y227="S2",Y227="K5")),AA227,AND(AO227="K5-LAW",AL227="นิติศาสตร์",OR(K227="M2",K227="K4"),U227&gt;=2),EDATE(R227,12*2),AND(AO227="K5-LAW",AL227="นิติศาสตร์",K227="S1",U227&gt;=1),EDATE(R227,12),AND(AO227="K5-LAW",AL227="นิติศาสตร์",OR(K227="S2",K227="K5")),R227,AND(AO227="K5-POLICY",AL227&lt;&gt;"นิติศาสตร์",K227="S2",Y227="",AE227=""),R227,AND(AO227="K5-POLICY",AL227&lt;&gt;"นิติศาสตร์",K227="S1",Y227="",AE227=""),EDATE(R227,12),AND(AO227="K5-POLICY",AL227&lt;&gt;"นิติศาสตร์",OR(K227="M2",K227="K4"),Y227="",AE227=""),EDATE(R227,12*2),AND(AO227="K5-POLICY",AL227&lt;&gt;"นิติศาสตร์",OR(AE227="M2",AE227="K4"),AH227&gt;=2,OR(AG227&lt;AA227,AG227&lt;R227)),EDATE(AG227,12*2),AND(AO227="K5-POLICY",AL227&lt;&gt;"นิติศาสตร์",AE227="S1",AH227&gt;=1,OR(AG227&lt;AA227,AG227&lt;R227)),EDATE(AG227,12),AND(AO227="K5-POLICY",AL227&lt;&gt;"นิติศาสตร์",OR(Y227="M2",Y227="K4"),AB227&gt;=2,AA227&lt;R227),EDATE(AA227,12*2),AND(AO227="K5-POLICY",AL227&lt;&gt;"นิติศาสตร์",Y227="S1",AB227&gt;=1,AA227&lt;R227),EDATE(AA227,12),AND(AO227="K5-POLICY",AL227&lt;&gt;"นิติศาสตร์",OR(Y227="S2",Y227="K5")),AA227,AND(AO227="K5-POLICY",AL227&lt;&gt;"นิติศาสตร์",OR(K227="M2",K227="K4"),U227&gt;=2),EDATE(R227,12*2),AND(AO227="K5-POLICY",AL227&lt;&gt;"นิติศาสตร์",K227="S1",U227&gt;=1),EDATE(R227,12),AND(AO227="K5-POLICY",AL227&lt;&gt;"นิติศาสตร์",OR(K227="S2",K227="K5")),R227,TRUE,"Check Data")</f>
        <v/>
      </c>
      <c r="AQ227" s="75" t="str">
        <f t="shared" si="95"/>
        <v>Check Data</v>
      </c>
      <c r="AR227" s="76" t="str">
        <f t="shared" si="96"/>
        <v>Check Data</v>
      </c>
      <c r="AS227" s="50" t="str">
        <f t="shared" si="97"/>
        <v>Check Data</v>
      </c>
      <c r="AT227" s="49" t="str">
        <f>IF(B227="","",IF(K227="S1","S1",INDEX(#REF!,#REF!)))</f>
        <v/>
      </c>
      <c r="AU227" s="49" t="str">
        <f t="shared" si="98"/>
        <v>M2</v>
      </c>
      <c r="AV227" s="50" t="b">
        <f t="shared" si="99"/>
        <v>0</v>
      </c>
      <c r="AW227" s="51"/>
    </row>
    <row r="228" spans="1:49" ht="21.75">
      <c r="A228" s="49">
        <v>226</v>
      </c>
      <c r="B228" s="50"/>
      <c r="C228" s="52"/>
      <c r="D228" s="79"/>
      <c r="E228" s="79"/>
      <c r="F228" s="79"/>
      <c r="G228" s="50">
        <f t="shared" si="76"/>
        <v>0</v>
      </c>
      <c r="H228" s="50">
        <f t="shared" si="77"/>
        <v>0</v>
      </c>
      <c r="I228" s="50">
        <f t="shared" si="78"/>
        <v>0</v>
      </c>
      <c r="J228" s="79"/>
      <c r="K228" s="49" t="s">
        <v>136</v>
      </c>
      <c r="L228" s="49" t="str">
        <f>IF(B228="","",IF(K228="S1",K228,INDEX(#REF!,#REF!)))</f>
        <v/>
      </c>
      <c r="M228" s="49" t="b">
        <f t="shared" si="79"/>
        <v>0</v>
      </c>
      <c r="N228" s="79"/>
      <c r="O228" s="79"/>
      <c r="P228" s="79"/>
      <c r="Q228" s="65" t="s">
        <v>433</v>
      </c>
      <c r="R228" s="49" t="str">
        <f t="shared" si="80"/>
        <v>23/04/2024</v>
      </c>
      <c r="S228" s="49" t="str">
        <f>IF(B228="","",IF(K228="S1",K228,INDEX(#REF!,#REF!)))</f>
        <v/>
      </c>
      <c r="T228" s="49" t="b">
        <f t="shared" si="81"/>
        <v>0</v>
      </c>
      <c r="U228" s="68">
        <f t="shared" si="82"/>
        <v>1</v>
      </c>
      <c r="V228" s="68">
        <f t="shared" si="83"/>
        <v>1</v>
      </c>
      <c r="W228" s="68">
        <f t="shared" si="84"/>
        <v>28</v>
      </c>
      <c r="X228" s="79"/>
      <c r="Y228" s="65"/>
      <c r="Z228" s="83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50" t="str">
        <f>IF(B228="","",IF(K228="S1",K228,INDEX(#REF!,#REF!)))</f>
        <v/>
      </c>
      <c r="AN228" s="50" t="b">
        <f t="shared" si="93"/>
        <v>1</v>
      </c>
      <c r="AO228" s="49" t="str">
        <f t="shared" si="94"/>
        <v>K5-POLICY</v>
      </c>
      <c r="AP228" s="72" t="str">
        <f>_xlfn.IFS(B228="","",AND(AO228="K5-LAW",AL228="นิติศาสตร์",K228="S2",Y228="",AE228=""),R228,AND(AO228="K5-LAW",AL228="นิติศาสตร์",K228="S1",Y228="",AE228=""),EDATE(R228,12),AND(AO228="K5-LAW",AL228="นิติศาสตร์",OR(K228="M2",K228="K4"),Y228="",AE228=""),EDATE(R228,12*2),AND(AO228="K5-LAW",AL228="นิติศาสตร์",OR(AE228="M2",AE228="K4"),AH228&gt;=2,OR(AG228&lt;AA228,AG228&lt;R228)),EDATE(AG228,12*2),AND(AO228="K5-LAW",AL228="นิติศาสตร์",AE228="S1",AH228&gt;=1,OR(AG228&lt;AA228,AG228&lt;R228)),EDATE(AG228,12),AND(AO228="K5-LAW",AL228="นิติศาสตร์",OR(Y228="M2",Y228="K4"),AB228&gt;=2,AA228&lt;R228),EDATE(AA228,12*2),AND(AO228="K5-LAW",AL228="นิติศาสตร์",Y228="S1",AB228&gt;=1,AA228&lt;R228),EDATE(AA228,12),AND(AO228="K5-LAW",AL228="นิติศาสตร์",OR(Y228="S2",Y228="K5")),AA228,AND(AO228="K5-LAW",AL228="นิติศาสตร์",OR(K228="M2",K228="K4"),U228&gt;=2),EDATE(R228,12*2),AND(AO228="K5-LAW",AL228="นิติศาสตร์",K228="S1",U228&gt;=1),EDATE(R228,12),AND(AO228="K5-LAW",AL228="นิติศาสตร์",OR(K228="S2",K228="K5")),R228,AND(AO228="K5-POLICY",AL228&lt;&gt;"นิติศาสตร์",K228="S2",Y228="",AE228=""),R228,AND(AO228="K5-POLICY",AL228&lt;&gt;"นิติศาสตร์",K228="S1",Y228="",AE228=""),EDATE(R228,12),AND(AO228="K5-POLICY",AL228&lt;&gt;"นิติศาสตร์",OR(K228="M2",K228="K4"),Y228="",AE228=""),EDATE(R228,12*2),AND(AO228="K5-POLICY",AL228&lt;&gt;"นิติศาสตร์",OR(AE228="M2",AE228="K4"),AH228&gt;=2,OR(AG228&lt;AA228,AG228&lt;R228)),EDATE(AG228,12*2),AND(AO228="K5-POLICY",AL228&lt;&gt;"นิติศาสตร์",AE228="S1",AH228&gt;=1,OR(AG228&lt;AA228,AG228&lt;R228)),EDATE(AG228,12),AND(AO228="K5-POLICY",AL228&lt;&gt;"นิติศาสตร์",OR(Y228="M2",Y228="K4"),AB228&gt;=2,AA228&lt;R228),EDATE(AA228,12*2),AND(AO228="K5-POLICY",AL228&lt;&gt;"นิติศาสตร์",Y228="S1",AB228&gt;=1,AA228&lt;R228),EDATE(AA228,12),AND(AO228="K5-POLICY",AL228&lt;&gt;"นิติศาสตร์",OR(Y228="S2",Y228="K5")),AA228,AND(AO228="K5-POLICY",AL228&lt;&gt;"นิติศาสตร์",OR(K228="M2",K228="K4"),U228&gt;=2),EDATE(R228,12*2),AND(AO228="K5-POLICY",AL228&lt;&gt;"นิติศาสตร์",K228="S1",U228&gt;=1),EDATE(R228,12),AND(AO228="K5-POLICY",AL228&lt;&gt;"นิติศาสตร์",OR(K228="S2",K228="K5")),R228,TRUE,"Check Data")</f>
        <v/>
      </c>
      <c r="AQ228" s="75" t="str">
        <f t="shared" si="95"/>
        <v>Check Data</v>
      </c>
      <c r="AR228" s="76" t="str">
        <f t="shared" si="96"/>
        <v>Check Data</v>
      </c>
      <c r="AS228" s="50" t="str">
        <f t="shared" si="97"/>
        <v>Check Data</v>
      </c>
      <c r="AT228" s="49" t="str">
        <f>IF(B228="","",IF(K228="S1","S1",INDEX(#REF!,#REF!)))</f>
        <v/>
      </c>
      <c r="AU228" s="49" t="str">
        <f t="shared" si="98"/>
        <v>M2</v>
      </c>
      <c r="AV228" s="50" t="b">
        <f t="shared" si="99"/>
        <v>0</v>
      </c>
      <c r="AW228" s="50"/>
    </row>
    <row r="229" spans="1:49" ht="21.75">
      <c r="A229" s="49">
        <v>227</v>
      </c>
      <c r="B229" s="50"/>
      <c r="C229" s="52"/>
      <c r="D229" s="79"/>
      <c r="E229" s="79"/>
      <c r="F229" s="79"/>
      <c r="G229" s="50">
        <f t="shared" si="76"/>
        <v>0</v>
      </c>
      <c r="H229" s="50">
        <f t="shared" si="77"/>
        <v>0</v>
      </c>
      <c r="I229" s="50">
        <f t="shared" si="78"/>
        <v>0</v>
      </c>
      <c r="J229" s="79"/>
      <c r="K229" s="49" t="s">
        <v>136</v>
      </c>
      <c r="L229" s="49" t="str">
        <f>IF(B229="","",IF(K229="S1",K229,INDEX(#REF!,#REF!)))</f>
        <v/>
      </c>
      <c r="M229" s="49" t="b">
        <f t="shared" si="79"/>
        <v>0</v>
      </c>
      <c r="N229" s="79"/>
      <c r="O229" s="79"/>
      <c r="P229" s="79"/>
      <c r="Q229" s="65" t="s">
        <v>433</v>
      </c>
      <c r="R229" s="49" t="str">
        <f t="shared" si="80"/>
        <v>23/04/2024</v>
      </c>
      <c r="S229" s="49" t="str">
        <f>IF(B229="","",IF(K229="S1",K229,INDEX(#REF!,#REF!)))</f>
        <v/>
      </c>
      <c r="T229" s="49" t="b">
        <f t="shared" si="81"/>
        <v>0</v>
      </c>
      <c r="U229" s="68">
        <f t="shared" si="82"/>
        <v>1</v>
      </c>
      <c r="V229" s="68">
        <f t="shared" si="83"/>
        <v>1</v>
      </c>
      <c r="W229" s="68">
        <f t="shared" si="84"/>
        <v>28</v>
      </c>
      <c r="X229" s="79"/>
      <c r="Y229" s="65"/>
      <c r="Z229" s="83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50" t="str">
        <f>IF(B229="","",IF(K229="S1",K229,INDEX(#REF!,#REF!)))</f>
        <v/>
      </c>
      <c r="AN229" s="50" t="b">
        <f t="shared" si="93"/>
        <v>1</v>
      </c>
      <c r="AO229" s="49" t="str">
        <f t="shared" si="94"/>
        <v>K5-POLICY</v>
      </c>
      <c r="AP229" s="72" t="str">
        <f>_xlfn.IFS(B229="","",AND(AO229="K5-LAW",AL229="นิติศาสตร์",K229="S2",Y229="",AE229=""),R229,AND(AO229="K5-LAW",AL229="นิติศาสตร์",K229="S1",Y229="",AE229=""),EDATE(R229,12),AND(AO229="K5-LAW",AL229="นิติศาสตร์",OR(K229="M2",K229="K4"),Y229="",AE229=""),EDATE(R229,12*2),AND(AO229="K5-LAW",AL229="นิติศาสตร์",OR(AE229="M2",AE229="K4"),AH229&gt;=2,OR(AG229&lt;AA229,AG229&lt;R229)),EDATE(AG229,12*2),AND(AO229="K5-LAW",AL229="นิติศาสตร์",AE229="S1",AH229&gt;=1,OR(AG229&lt;AA229,AG229&lt;R229)),EDATE(AG229,12),AND(AO229="K5-LAW",AL229="นิติศาสตร์",OR(Y229="M2",Y229="K4"),AB229&gt;=2,AA229&lt;R229),EDATE(AA229,12*2),AND(AO229="K5-LAW",AL229="นิติศาสตร์",Y229="S1",AB229&gt;=1,AA229&lt;R229),EDATE(AA229,12),AND(AO229="K5-LAW",AL229="นิติศาสตร์",OR(Y229="S2",Y229="K5")),AA229,AND(AO229="K5-LAW",AL229="นิติศาสตร์",OR(K229="M2",K229="K4"),U229&gt;=2),EDATE(R229,12*2),AND(AO229="K5-LAW",AL229="นิติศาสตร์",K229="S1",U229&gt;=1),EDATE(R229,12),AND(AO229="K5-LAW",AL229="นิติศาสตร์",OR(K229="S2",K229="K5")),R229,AND(AO229="K5-POLICY",AL229&lt;&gt;"นิติศาสตร์",K229="S2",Y229="",AE229=""),R229,AND(AO229="K5-POLICY",AL229&lt;&gt;"นิติศาสตร์",K229="S1",Y229="",AE229=""),EDATE(R229,12),AND(AO229="K5-POLICY",AL229&lt;&gt;"นิติศาสตร์",OR(K229="M2",K229="K4"),Y229="",AE229=""),EDATE(R229,12*2),AND(AO229="K5-POLICY",AL229&lt;&gt;"นิติศาสตร์",OR(AE229="M2",AE229="K4"),AH229&gt;=2,OR(AG229&lt;AA229,AG229&lt;R229)),EDATE(AG229,12*2),AND(AO229="K5-POLICY",AL229&lt;&gt;"นิติศาสตร์",AE229="S1",AH229&gt;=1,OR(AG229&lt;AA229,AG229&lt;R229)),EDATE(AG229,12),AND(AO229="K5-POLICY",AL229&lt;&gt;"นิติศาสตร์",OR(Y229="M2",Y229="K4"),AB229&gt;=2,AA229&lt;R229),EDATE(AA229,12*2),AND(AO229="K5-POLICY",AL229&lt;&gt;"นิติศาสตร์",Y229="S1",AB229&gt;=1,AA229&lt;R229),EDATE(AA229,12),AND(AO229="K5-POLICY",AL229&lt;&gt;"นิติศาสตร์",OR(Y229="S2",Y229="K5")),AA229,AND(AO229="K5-POLICY",AL229&lt;&gt;"นิติศาสตร์",OR(K229="M2",K229="K4"),U229&gt;=2),EDATE(R229,12*2),AND(AO229="K5-POLICY",AL229&lt;&gt;"นิติศาสตร์",K229="S1",U229&gt;=1),EDATE(R229,12),AND(AO229="K5-POLICY",AL229&lt;&gt;"นิติศาสตร์",OR(K229="S2",K229="K5")),R229,TRUE,"Check Data")</f>
        <v/>
      </c>
      <c r="AQ229" s="75" t="str">
        <f t="shared" si="95"/>
        <v>Check Data</v>
      </c>
      <c r="AR229" s="76" t="str">
        <f t="shared" si="96"/>
        <v>Check Data</v>
      </c>
      <c r="AS229" s="50" t="str">
        <f t="shared" si="97"/>
        <v>Check Data</v>
      </c>
      <c r="AT229" s="49" t="str">
        <f>IF(B229="","",IF(K229="S1","S1",INDEX(#REF!,#REF!)))</f>
        <v/>
      </c>
      <c r="AU229" s="49" t="str">
        <f t="shared" si="98"/>
        <v>M2</v>
      </c>
      <c r="AV229" s="50" t="b">
        <f t="shared" si="99"/>
        <v>0</v>
      </c>
      <c r="AW229" s="50"/>
    </row>
    <row r="230" spans="1:49" ht="21.75">
      <c r="A230" s="49">
        <v>228</v>
      </c>
      <c r="B230" s="50"/>
      <c r="C230" s="52"/>
      <c r="D230" s="79"/>
      <c r="E230" s="79"/>
      <c r="F230" s="79"/>
      <c r="G230" s="50">
        <f t="shared" si="76"/>
        <v>0</v>
      </c>
      <c r="H230" s="50">
        <f t="shared" si="77"/>
        <v>0</v>
      </c>
      <c r="I230" s="50">
        <f t="shared" si="78"/>
        <v>0</v>
      </c>
      <c r="J230" s="79"/>
      <c r="K230" s="49" t="s">
        <v>136</v>
      </c>
      <c r="L230" s="49" t="str">
        <f>IF(B230="","",IF(K230="S1",K230,INDEX(#REF!,#REF!)))</f>
        <v/>
      </c>
      <c r="M230" s="49" t="b">
        <f t="shared" si="79"/>
        <v>0</v>
      </c>
      <c r="N230" s="79"/>
      <c r="O230" s="79"/>
      <c r="P230" s="79"/>
      <c r="Q230" s="65" t="s">
        <v>433</v>
      </c>
      <c r="R230" s="49" t="str">
        <f t="shared" si="80"/>
        <v>23/04/2024</v>
      </c>
      <c r="S230" s="49" t="str">
        <f>IF(B230="","",IF(K230="S1",K230,INDEX(#REF!,#REF!)))</f>
        <v/>
      </c>
      <c r="T230" s="49" t="b">
        <f t="shared" si="81"/>
        <v>0</v>
      </c>
      <c r="U230" s="68">
        <f t="shared" si="82"/>
        <v>1</v>
      </c>
      <c r="V230" s="68">
        <f t="shared" si="83"/>
        <v>1</v>
      </c>
      <c r="W230" s="68">
        <f t="shared" si="84"/>
        <v>28</v>
      </c>
      <c r="X230" s="79"/>
      <c r="Y230" s="65"/>
      <c r="Z230" s="83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50" t="str">
        <f>IF(B230="","",IF(K230="S1",K230,INDEX(#REF!,#REF!)))</f>
        <v/>
      </c>
      <c r="AN230" s="50" t="b">
        <f t="shared" si="93"/>
        <v>1</v>
      </c>
      <c r="AO230" s="49" t="str">
        <f t="shared" si="94"/>
        <v>K5-POLICY</v>
      </c>
      <c r="AP230" s="72" t="str">
        <f>_xlfn.IFS(B230="","",AND(AO230="K5-LAW",AL230="นิติศาสตร์",K230="S2",Y230="",AE230=""),R230,AND(AO230="K5-LAW",AL230="นิติศาสตร์",K230="S1",Y230="",AE230=""),EDATE(R230,12),AND(AO230="K5-LAW",AL230="นิติศาสตร์",OR(K230="M2",K230="K4"),Y230="",AE230=""),EDATE(R230,12*2),AND(AO230="K5-LAW",AL230="นิติศาสตร์",OR(AE230="M2",AE230="K4"),AH230&gt;=2,OR(AG230&lt;AA230,AG230&lt;R230)),EDATE(AG230,12*2),AND(AO230="K5-LAW",AL230="นิติศาสตร์",AE230="S1",AH230&gt;=1,OR(AG230&lt;AA230,AG230&lt;R230)),EDATE(AG230,12),AND(AO230="K5-LAW",AL230="นิติศาสตร์",OR(Y230="M2",Y230="K4"),AB230&gt;=2,AA230&lt;R230),EDATE(AA230,12*2),AND(AO230="K5-LAW",AL230="นิติศาสตร์",Y230="S1",AB230&gt;=1,AA230&lt;R230),EDATE(AA230,12),AND(AO230="K5-LAW",AL230="นิติศาสตร์",OR(Y230="S2",Y230="K5")),AA230,AND(AO230="K5-LAW",AL230="นิติศาสตร์",OR(K230="M2",K230="K4"),U230&gt;=2),EDATE(R230,12*2),AND(AO230="K5-LAW",AL230="นิติศาสตร์",K230="S1",U230&gt;=1),EDATE(R230,12),AND(AO230="K5-LAW",AL230="นิติศาสตร์",OR(K230="S2",K230="K5")),R230,AND(AO230="K5-POLICY",AL230&lt;&gt;"นิติศาสตร์",K230="S2",Y230="",AE230=""),R230,AND(AO230="K5-POLICY",AL230&lt;&gt;"นิติศาสตร์",K230="S1",Y230="",AE230=""),EDATE(R230,12),AND(AO230="K5-POLICY",AL230&lt;&gt;"นิติศาสตร์",OR(K230="M2",K230="K4"),Y230="",AE230=""),EDATE(R230,12*2),AND(AO230="K5-POLICY",AL230&lt;&gt;"นิติศาสตร์",OR(AE230="M2",AE230="K4"),AH230&gt;=2,OR(AG230&lt;AA230,AG230&lt;R230)),EDATE(AG230,12*2),AND(AO230="K5-POLICY",AL230&lt;&gt;"นิติศาสตร์",AE230="S1",AH230&gt;=1,OR(AG230&lt;AA230,AG230&lt;R230)),EDATE(AG230,12),AND(AO230="K5-POLICY",AL230&lt;&gt;"นิติศาสตร์",OR(Y230="M2",Y230="K4"),AB230&gt;=2,AA230&lt;R230),EDATE(AA230,12*2),AND(AO230="K5-POLICY",AL230&lt;&gt;"นิติศาสตร์",Y230="S1",AB230&gt;=1,AA230&lt;R230),EDATE(AA230,12),AND(AO230="K5-POLICY",AL230&lt;&gt;"นิติศาสตร์",OR(Y230="S2",Y230="K5")),AA230,AND(AO230="K5-POLICY",AL230&lt;&gt;"นิติศาสตร์",OR(K230="M2",K230="K4"),U230&gt;=2),EDATE(R230,12*2),AND(AO230="K5-POLICY",AL230&lt;&gt;"นิติศาสตร์",K230="S1",U230&gt;=1),EDATE(R230,12),AND(AO230="K5-POLICY",AL230&lt;&gt;"นิติศาสตร์",OR(K230="S2",K230="K5")),R230,TRUE,"Check Data")</f>
        <v/>
      </c>
      <c r="AQ230" s="75" t="str">
        <f t="shared" si="95"/>
        <v>Check Data</v>
      </c>
      <c r="AR230" s="76" t="str">
        <f t="shared" si="96"/>
        <v>Check Data</v>
      </c>
      <c r="AS230" s="50" t="str">
        <f t="shared" si="97"/>
        <v>Check Data</v>
      </c>
      <c r="AT230" s="49" t="str">
        <f>IF(B230="","",IF(K230="S1","S1",INDEX(#REF!,#REF!)))</f>
        <v/>
      </c>
      <c r="AU230" s="49" t="str">
        <f t="shared" si="98"/>
        <v>M2</v>
      </c>
      <c r="AV230" s="50" t="b">
        <f t="shared" si="99"/>
        <v>0</v>
      </c>
      <c r="AW230" s="50"/>
    </row>
    <row r="231" spans="1:49" ht="21.75">
      <c r="A231" s="49">
        <v>229</v>
      </c>
      <c r="B231" s="50"/>
      <c r="C231" s="52"/>
      <c r="D231" s="79"/>
      <c r="E231" s="79"/>
      <c r="F231" s="79"/>
      <c r="G231" s="50">
        <f t="shared" si="76"/>
        <v>0</v>
      </c>
      <c r="H231" s="50">
        <f t="shared" si="77"/>
        <v>0</v>
      </c>
      <c r="I231" s="50">
        <f t="shared" si="78"/>
        <v>0</v>
      </c>
      <c r="J231" s="79"/>
      <c r="K231" s="49" t="s">
        <v>136</v>
      </c>
      <c r="L231" s="49" t="str">
        <f>IF(B231="","",IF(K231="S1",K231,INDEX(#REF!,#REF!)))</f>
        <v/>
      </c>
      <c r="M231" s="49" t="b">
        <f t="shared" si="79"/>
        <v>0</v>
      </c>
      <c r="N231" s="79"/>
      <c r="O231" s="79"/>
      <c r="P231" s="79"/>
      <c r="Q231" s="65" t="s">
        <v>433</v>
      </c>
      <c r="R231" s="49" t="str">
        <f t="shared" si="80"/>
        <v>23/04/2024</v>
      </c>
      <c r="S231" s="49" t="str">
        <f>IF(B231="","",IF(K231="S1",K231,INDEX(#REF!,#REF!)))</f>
        <v/>
      </c>
      <c r="T231" s="49" t="b">
        <f t="shared" si="81"/>
        <v>0</v>
      </c>
      <c r="U231" s="68">
        <f t="shared" si="82"/>
        <v>1</v>
      </c>
      <c r="V231" s="68">
        <f t="shared" si="83"/>
        <v>1</v>
      </c>
      <c r="W231" s="68">
        <f t="shared" si="84"/>
        <v>28</v>
      </c>
      <c r="X231" s="79"/>
      <c r="Y231" s="65"/>
      <c r="Z231" s="83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50" t="str">
        <f>IF(B231="","",IF(K231="S1",K231,INDEX(#REF!,#REF!)))</f>
        <v/>
      </c>
      <c r="AN231" s="50" t="b">
        <f t="shared" si="93"/>
        <v>1</v>
      </c>
      <c r="AO231" s="49" t="str">
        <f t="shared" si="94"/>
        <v>K5-POLICY</v>
      </c>
      <c r="AP231" s="72" t="str">
        <f>_xlfn.IFS(B231="","",AND(AO231="K5-LAW",AL231="นิติศาสตร์",K231="S2",Y231="",AE231=""),R231,AND(AO231="K5-LAW",AL231="นิติศาสตร์",K231="S1",Y231="",AE231=""),EDATE(R231,12),AND(AO231="K5-LAW",AL231="นิติศาสตร์",OR(K231="M2",K231="K4"),Y231="",AE231=""),EDATE(R231,12*2),AND(AO231="K5-LAW",AL231="นิติศาสตร์",OR(AE231="M2",AE231="K4"),AH231&gt;=2,OR(AG231&lt;AA231,AG231&lt;R231)),EDATE(AG231,12*2),AND(AO231="K5-LAW",AL231="นิติศาสตร์",AE231="S1",AH231&gt;=1,OR(AG231&lt;AA231,AG231&lt;R231)),EDATE(AG231,12),AND(AO231="K5-LAW",AL231="นิติศาสตร์",OR(Y231="M2",Y231="K4"),AB231&gt;=2,AA231&lt;R231),EDATE(AA231,12*2),AND(AO231="K5-LAW",AL231="นิติศาสตร์",Y231="S1",AB231&gt;=1,AA231&lt;R231),EDATE(AA231,12),AND(AO231="K5-LAW",AL231="นิติศาสตร์",OR(Y231="S2",Y231="K5")),AA231,AND(AO231="K5-LAW",AL231="นิติศาสตร์",OR(K231="M2",K231="K4"),U231&gt;=2),EDATE(R231,12*2),AND(AO231="K5-LAW",AL231="นิติศาสตร์",K231="S1",U231&gt;=1),EDATE(R231,12),AND(AO231="K5-LAW",AL231="นิติศาสตร์",OR(K231="S2",K231="K5")),R231,AND(AO231="K5-POLICY",AL231&lt;&gt;"นิติศาสตร์",K231="S2",Y231="",AE231=""),R231,AND(AO231="K5-POLICY",AL231&lt;&gt;"นิติศาสตร์",K231="S1",Y231="",AE231=""),EDATE(R231,12),AND(AO231="K5-POLICY",AL231&lt;&gt;"นิติศาสตร์",OR(K231="M2",K231="K4"),Y231="",AE231=""),EDATE(R231,12*2),AND(AO231="K5-POLICY",AL231&lt;&gt;"นิติศาสตร์",OR(AE231="M2",AE231="K4"),AH231&gt;=2,OR(AG231&lt;AA231,AG231&lt;R231)),EDATE(AG231,12*2),AND(AO231="K5-POLICY",AL231&lt;&gt;"นิติศาสตร์",AE231="S1",AH231&gt;=1,OR(AG231&lt;AA231,AG231&lt;R231)),EDATE(AG231,12),AND(AO231="K5-POLICY",AL231&lt;&gt;"นิติศาสตร์",OR(Y231="M2",Y231="K4"),AB231&gt;=2,AA231&lt;R231),EDATE(AA231,12*2),AND(AO231="K5-POLICY",AL231&lt;&gt;"นิติศาสตร์",Y231="S1",AB231&gt;=1,AA231&lt;R231),EDATE(AA231,12),AND(AO231="K5-POLICY",AL231&lt;&gt;"นิติศาสตร์",OR(Y231="S2",Y231="K5")),AA231,AND(AO231="K5-POLICY",AL231&lt;&gt;"นิติศาสตร์",OR(K231="M2",K231="K4"),U231&gt;=2),EDATE(R231,12*2),AND(AO231="K5-POLICY",AL231&lt;&gt;"นิติศาสตร์",K231="S1",U231&gt;=1),EDATE(R231,12),AND(AO231="K5-POLICY",AL231&lt;&gt;"นิติศาสตร์",OR(K231="S2",K231="K5")),R231,TRUE,"Check Data")</f>
        <v/>
      </c>
      <c r="AQ231" s="75" t="str">
        <f t="shared" si="95"/>
        <v>Check Data</v>
      </c>
      <c r="AR231" s="76" t="str">
        <f t="shared" si="96"/>
        <v>Check Data</v>
      </c>
      <c r="AS231" s="50" t="str">
        <f t="shared" si="97"/>
        <v>Check Data</v>
      </c>
      <c r="AT231" s="49" t="str">
        <f>IF(B231="","",IF(K231="S1","S1",INDEX(#REF!,#REF!)))</f>
        <v/>
      </c>
      <c r="AU231" s="49" t="str">
        <f t="shared" si="98"/>
        <v>M2</v>
      </c>
      <c r="AV231" s="50" t="b">
        <f t="shared" si="99"/>
        <v>0</v>
      </c>
      <c r="AW231" s="50"/>
    </row>
    <row r="232" spans="1:49" ht="21.75">
      <c r="A232" s="49">
        <v>230</v>
      </c>
      <c r="B232" s="50"/>
      <c r="C232" s="52"/>
      <c r="D232" s="79"/>
      <c r="E232" s="79"/>
      <c r="F232" s="79"/>
      <c r="G232" s="50">
        <f t="shared" si="76"/>
        <v>0</v>
      </c>
      <c r="H232" s="50">
        <f t="shared" si="77"/>
        <v>0</v>
      </c>
      <c r="I232" s="50">
        <f t="shared" si="78"/>
        <v>0</v>
      </c>
      <c r="J232" s="79"/>
      <c r="K232" s="49" t="s">
        <v>136</v>
      </c>
      <c r="L232" s="49" t="str">
        <f>IF(B232="","",IF(K232="S1",K232,INDEX(#REF!,#REF!)))</f>
        <v/>
      </c>
      <c r="M232" s="49" t="b">
        <f t="shared" si="79"/>
        <v>0</v>
      </c>
      <c r="N232" s="79"/>
      <c r="O232" s="79"/>
      <c r="P232" s="79"/>
      <c r="Q232" s="65" t="s">
        <v>433</v>
      </c>
      <c r="R232" s="49" t="str">
        <f t="shared" si="80"/>
        <v>23/04/2024</v>
      </c>
      <c r="S232" s="49" t="str">
        <f>IF(B232="","",IF(K232="S1",K232,INDEX(#REF!,#REF!)))</f>
        <v/>
      </c>
      <c r="T232" s="49" t="b">
        <f t="shared" si="81"/>
        <v>0</v>
      </c>
      <c r="U232" s="68">
        <f t="shared" si="82"/>
        <v>1</v>
      </c>
      <c r="V232" s="68">
        <f t="shared" si="83"/>
        <v>1</v>
      </c>
      <c r="W232" s="68">
        <f t="shared" si="84"/>
        <v>28</v>
      </c>
      <c r="X232" s="79"/>
      <c r="Y232" s="65"/>
      <c r="Z232" s="83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50" t="str">
        <f>IF(B232="","",IF(K232="S1",K232,INDEX(#REF!,#REF!)))</f>
        <v/>
      </c>
      <c r="AN232" s="50" t="b">
        <f t="shared" si="93"/>
        <v>1</v>
      </c>
      <c r="AO232" s="49" t="str">
        <f t="shared" si="94"/>
        <v>K5-POLICY</v>
      </c>
      <c r="AP232" s="72" t="str">
        <f>_xlfn.IFS(B232="","",AND(AO232="K5-LAW",AL232="นิติศาสตร์",K232="S2",Y232="",AE232=""),R232,AND(AO232="K5-LAW",AL232="นิติศาสตร์",K232="S1",Y232="",AE232=""),EDATE(R232,12),AND(AO232="K5-LAW",AL232="นิติศาสตร์",OR(K232="M2",K232="K4"),Y232="",AE232=""),EDATE(R232,12*2),AND(AO232="K5-LAW",AL232="นิติศาสตร์",OR(AE232="M2",AE232="K4"),AH232&gt;=2,OR(AG232&lt;AA232,AG232&lt;R232)),EDATE(AG232,12*2),AND(AO232="K5-LAW",AL232="นิติศาสตร์",AE232="S1",AH232&gt;=1,OR(AG232&lt;AA232,AG232&lt;R232)),EDATE(AG232,12),AND(AO232="K5-LAW",AL232="นิติศาสตร์",OR(Y232="M2",Y232="K4"),AB232&gt;=2,AA232&lt;R232),EDATE(AA232,12*2),AND(AO232="K5-LAW",AL232="นิติศาสตร์",Y232="S1",AB232&gt;=1,AA232&lt;R232),EDATE(AA232,12),AND(AO232="K5-LAW",AL232="นิติศาสตร์",OR(Y232="S2",Y232="K5")),AA232,AND(AO232="K5-LAW",AL232="นิติศาสตร์",OR(K232="M2",K232="K4"),U232&gt;=2),EDATE(R232,12*2),AND(AO232="K5-LAW",AL232="นิติศาสตร์",K232="S1",U232&gt;=1),EDATE(R232,12),AND(AO232="K5-LAW",AL232="นิติศาสตร์",OR(K232="S2",K232="K5")),R232,AND(AO232="K5-POLICY",AL232&lt;&gt;"นิติศาสตร์",K232="S2",Y232="",AE232=""),R232,AND(AO232="K5-POLICY",AL232&lt;&gt;"นิติศาสตร์",K232="S1",Y232="",AE232=""),EDATE(R232,12),AND(AO232="K5-POLICY",AL232&lt;&gt;"นิติศาสตร์",OR(K232="M2",K232="K4"),Y232="",AE232=""),EDATE(R232,12*2),AND(AO232="K5-POLICY",AL232&lt;&gt;"นิติศาสตร์",OR(AE232="M2",AE232="K4"),AH232&gt;=2,OR(AG232&lt;AA232,AG232&lt;R232)),EDATE(AG232,12*2),AND(AO232="K5-POLICY",AL232&lt;&gt;"นิติศาสตร์",AE232="S1",AH232&gt;=1,OR(AG232&lt;AA232,AG232&lt;R232)),EDATE(AG232,12),AND(AO232="K5-POLICY",AL232&lt;&gt;"นิติศาสตร์",OR(Y232="M2",Y232="K4"),AB232&gt;=2,AA232&lt;R232),EDATE(AA232,12*2),AND(AO232="K5-POLICY",AL232&lt;&gt;"นิติศาสตร์",Y232="S1",AB232&gt;=1,AA232&lt;R232),EDATE(AA232,12),AND(AO232="K5-POLICY",AL232&lt;&gt;"นิติศาสตร์",OR(Y232="S2",Y232="K5")),AA232,AND(AO232="K5-POLICY",AL232&lt;&gt;"นิติศาสตร์",OR(K232="M2",K232="K4"),U232&gt;=2),EDATE(R232,12*2),AND(AO232="K5-POLICY",AL232&lt;&gt;"นิติศาสตร์",K232="S1",U232&gt;=1),EDATE(R232,12),AND(AO232="K5-POLICY",AL232&lt;&gt;"นิติศาสตร์",OR(K232="S2",K232="K5")),R232,TRUE,"Check Data")</f>
        <v/>
      </c>
      <c r="AQ232" s="75" t="str">
        <f t="shared" si="95"/>
        <v>Check Data</v>
      </c>
      <c r="AR232" s="76" t="str">
        <f t="shared" si="96"/>
        <v>Check Data</v>
      </c>
      <c r="AS232" s="50" t="str">
        <f t="shared" si="97"/>
        <v>Check Data</v>
      </c>
      <c r="AT232" s="49" t="str">
        <f>IF(B232="","",IF(K232="S1","S1",INDEX(#REF!,#REF!)))</f>
        <v/>
      </c>
      <c r="AU232" s="49" t="str">
        <f t="shared" si="98"/>
        <v>M2</v>
      </c>
      <c r="AV232" s="50" t="b">
        <f t="shared" si="99"/>
        <v>0</v>
      </c>
      <c r="AW232" s="50"/>
    </row>
    <row r="233" spans="1:49" ht="21.75">
      <c r="A233" s="49">
        <v>231</v>
      </c>
      <c r="B233" s="50"/>
      <c r="C233" s="52"/>
      <c r="D233" s="79"/>
      <c r="E233" s="79"/>
      <c r="F233" s="79"/>
      <c r="G233" s="50">
        <f t="shared" si="76"/>
        <v>0</v>
      </c>
      <c r="H233" s="50">
        <f t="shared" si="77"/>
        <v>0</v>
      </c>
      <c r="I233" s="50">
        <f t="shared" si="78"/>
        <v>0</v>
      </c>
      <c r="J233" s="79"/>
      <c r="K233" s="49" t="s">
        <v>136</v>
      </c>
      <c r="L233" s="49" t="str">
        <f>IF(B233="","",IF(K233="S1",K233,INDEX(#REF!,#REF!)))</f>
        <v/>
      </c>
      <c r="M233" s="49" t="b">
        <f t="shared" si="79"/>
        <v>0</v>
      </c>
      <c r="N233" s="79"/>
      <c r="O233" s="79"/>
      <c r="P233" s="79"/>
      <c r="Q233" s="65" t="s">
        <v>433</v>
      </c>
      <c r="R233" s="49" t="str">
        <f t="shared" si="80"/>
        <v>23/04/2024</v>
      </c>
      <c r="S233" s="49" t="str">
        <f>IF(B233="","",IF(K233="S1",K233,INDEX(#REF!,#REF!)))</f>
        <v/>
      </c>
      <c r="T233" s="49" t="b">
        <f t="shared" si="81"/>
        <v>0</v>
      </c>
      <c r="U233" s="68">
        <f t="shared" si="82"/>
        <v>1</v>
      </c>
      <c r="V233" s="68">
        <f t="shared" si="83"/>
        <v>1</v>
      </c>
      <c r="W233" s="68">
        <f t="shared" si="84"/>
        <v>28</v>
      </c>
      <c r="X233" s="79"/>
      <c r="Y233" s="65"/>
      <c r="Z233" s="83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50" t="str">
        <f>IF(B233="","",IF(K233="S1",K233,INDEX(#REF!,#REF!)))</f>
        <v/>
      </c>
      <c r="AN233" s="50" t="b">
        <f t="shared" si="93"/>
        <v>1</v>
      </c>
      <c r="AO233" s="49" t="str">
        <f t="shared" si="94"/>
        <v>K5-POLICY</v>
      </c>
      <c r="AP233" s="72" t="str">
        <f>_xlfn.IFS(B233="","",AND(AO233="K5-LAW",AL233="นิติศาสตร์",K233="S2",Y233="",AE233=""),R233,AND(AO233="K5-LAW",AL233="นิติศาสตร์",K233="S1",Y233="",AE233=""),EDATE(R233,12),AND(AO233="K5-LAW",AL233="นิติศาสตร์",OR(K233="M2",K233="K4"),Y233="",AE233=""),EDATE(R233,12*2),AND(AO233="K5-LAW",AL233="นิติศาสตร์",OR(AE233="M2",AE233="K4"),AH233&gt;=2,OR(AG233&lt;AA233,AG233&lt;R233)),EDATE(AG233,12*2),AND(AO233="K5-LAW",AL233="นิติศาสตร์",AE233="S1",AH233&gt;=1,OR(AG233&lt;AA233,AG233&lt;R233)),EDATE(AG233,12),AND(AO233="K5-LAW",AL233="นิติศาสตร์",OR(Y233="M2",Y233="K4"),AB233&gt;=2,AA233&lt;R233),EDATE(AA233,12*2),AND(AO233="K5-LAW",AL233="นิติศาสตร์",Y233="S1",AB233&gt;=1,AA233&lt;R233),EDATE(AA233,12),AND(AO233="K5-LAW",AL233="นิติศาสตร์",OR(Y233="S2",Y233="K5")),AA233,AND(AO233="K5-LAW",AL233="นิติศาสตร์",OR(K233="M2",K233="K4"),U233&gt;=2),EDATE(R233,12*2),AND(AO233="K5-LAW",AL233="นิติศาสตร์",K233="S1",U233&gt;=1),EDATE(R233,12),AND(AO233="K5-LAW",AL233="นิติศาสตร์",OR(K233="S2",K233="K5")),R233,AND(AO233="K5-POLICY",AL233&lt;&gt;"นิติศาสตร์",K233="S2",Y233="",AE233=""),R233,AND(AO233="K5-POLICY",AL233&lt;&gt;"นิติศาสตร์",K233="S1",Y233="",AE233=""),EDATE(R233,12),AND(AO233="K5-POLICY",AL233&lt;&gt;"นิติศาสตร์",OR(K233="M2",K233="K4"),Y233="",AE233=""),EDATE(R233,12*2),AND(AO233="K5-POLICY",AL233&lt;&gt;"นิติศาสตร์",OR(AE233="M2",AE233="K4"),AH233&gt;=2,OR(AG233&lt;AA233,AG233&lt;R233)),EDATE(AG233,12*2),AND(AO233="K5-POLICY",AL233&lt;&gt;"นิติศาสตร์",AE233="S1",AH233&gt;=1,OR(AG233&lt;AA233,AG233&lt;R233)),EDATE(AG233,12),AND(AO233="K5-POLICY",AL233&lt;&gt;"นิติศาสตร์",OR(Y233="M2",Y233="K4"),AB233&gt;=2,AA233&lt;R233),EDATE(AA233,12*2),AND(AO233="K5-POLICY",AL233&lt;&gt;"นิติศาสตร์",Y233="S1",AB233&gt;=1,AA233&lt;R233),EDATE(AA233,12),AND(AO233="K5-POLICY",AL233&lt;&gt;"นิติศาสตร์",OR(Y233="S2",Y233="K5")),AA233,AND(AO233="K5-POLICY",AL233&lt;&gt;"นิติศาสตร์",OR(K233="M2",K233="K4"),U233&gt;=2),EDATE(R233,12*2),AND(AO233="K5-POLICY",AL233&lt;&gt;"นิติศาสตร์",K233="S1",U233&gt;=1),EDATE(R233,12),AND(AO233="K5-POLICY",AL233&lt;&gt;"นิติศาสตร์",OR(K233="S2",K233="K5")),R233,TRUE,"Check Data")</f>
        <v/>
      </c>
      <c r="AQ233" s="75" t="str">
        <f t="shared" si="95"/>
        <v>Check Data</v>
      </c>
      <c r="AR233" s="76" t="str">
        <f t="shared" si="96"/>
        <v>Check Data</v>
      </c>
      <c r="AS233" s="50" t="str">
        <f t="shared" si="97"/>
        <v>Check Data</v>
      </c>
      <c r="AT233" s="49" t="str">
        <f>IF(B233="","",IF(K233="S1","S1",INDEX(#REF!,#REF!)))</f>
        <v/>
      </c>
      <c r="AU233" s="49" t="str">
        <f t="shared" si="98"/>
        <v>M2</v>
      </c>
      <c r="AV233" s="50" t="b">
        <f t="shared" si="99"/>
        <v>0</v>
      </c>
      <c r="AW233" s="50"/>
    </row>
    <row r="234" spans="1:49" ht="21.75">
      <c r="A234" s="49">
        <v>232</v>
      </c>
      <c r="B234" s="50"/>
      <c r="C234" s="52"/>
      <c r="D234" s="79"/>
      <c r="E234" s="79"/>
      <c r="F234" s="79"/>
      <c r="G234" s="50">
        <f t="shared" si="76"/>
        <v>0</v>
      </c>
      <c r="H234" s="50">
        <f t="shared" si="77"/>
        <v>0</v>
      </c>
      <c r="I234" s="50">
        <f t="shared" si="78"/>
        <v>0</v>
      </c>
      <c r="J234" s="79"/>
      <c r="K234" s="49" t="s">
        <v>136</v>
      </c>
      <c r="L234" s="49" t="str">
        <f>IF(B234="","",IF(K234="S1",K234,INDEX(#REF!,#REF!)))</f>
        <v/>
      </c>
      <c r="M234" s="49" t="b">
        <f t="shared" si="79"/>
        <v>0</v>
      </c>
      <c r="N234" s="79"/>
      <c r="O234" s="79"/>
      <c r="P234" s="79"/>
      <c r="Q234" s="65" t="s">
        <v>433</v>
      </c>
      <c r="R234" s="49" t="str">
        <f t="shared" si="80"/>
        <v>23/04/2024</v>
      </c>
      <c r="S234" s="49" t="str">
        <f>IF(B234="","",IF(K234="S1",K234,INDEX(#REF!,#REF!)))</f>
        <v/>
      </c>
      <c r="T234" s="49" t="b">
        <f t="shared" si="81"/>
        <v>0</v>
      </c>
      <c r="U234" s="68">
        <f t="shared" si="82"/>
        <v>1</v>
      </c>
      <c r="V234" s="68">
        <f t="shared" si="83"/>
        <v>1</v>
      </c>
      <c r="W234" s="68">
        <f t="shared" si="84"/>
        <v>28</v>
      </c>
      <c r="X234" s="79"/>
      <c r="Y234" s="65"/>
      <c r="Z234" s="83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50" t="str">
        <f>IF(B234="","",IF(K234="S1",K234,INDEX(#REF!,#REF!)))</f>
        <v/>
      </c>
      <c r="AN234" s="50" t="b">
        <f t="shared" si="93"/>
        <v>1</v>
      </c>
      <c r="AO234" s="49" t="str">
        <f t="shared" si="94"/>
        <v>K5-POLICY</v>
      </c>
      <c r="AP234" s="72" t="str">
        <f>_xlfn.IFS(B234="","",AND(AO234="K5-LAW",AL234="นิติศาสตร์",K234="S2",Y234="",AE234=""),R234,AND(AO234="K5-LAW",AL234="นิติศาสตร์",K234="S1",Y234="",AE234=""),EDATE(R234,12),AND(AO234="K5-LAW",AL234="นิติศาสตร์",OR(K234="M2",K234="K4"),Y234="",AE234=""),EDATE(R234,12*2),AND(AO234="K5-LAW",AL234="นิติศาสตร์",OR(AE234="M2",AE234="K4"),AH234&gt;=2,OR(AG234&lt;AA234,AG234&lt;R234)),EDATE(AG234,12*2),AND(AO234="K5-LAW",AL234="นิติศาสตร์",AE234="S1",AH234&gt;=1,OR(AG234&lt;AA234,AG234&lt;R234)),EDATE(AG234,12),AND(AO234="K5-LAW",AL234="นิติศาสตร์",OR(Y234="M2",Y234="K4"),AB234&gt;=2,AA234&lt;R234),EDATE(AA234,12*2),AND(AO234="K5-LAW",AL234="นิติศาสตร์",Y234="S1",AB234&gt;=1,AA234&lt;R234),EDATE(AA234,12),AND(AO234="K5-LAW",AL234="นิติศาสตร์",OR(Y234="S2",Y234="K5")),AA234,AND(AO234="K5-LAW",AL234="นิติศาสตร์",OR(K234="M2",K234="K4"),U234&gt;=2),EDATE(R234,12*2),AND(AO234="K5-LAW",AL234="นิติศาสตร์",K234="S1",U234&gt;=1),EDATE(R234,12),AND(AO234="K5-LAW",AL234="นิติศาสตร์",OR(K234="S2",K234="K5")),R234,AND(AO234="K5-POLICY",AL234&lt;&gt;"นิติศาสตร์",K234="S2",Y234="",AE234=""),R234,AND(AO234="K5-POLICY",AL234&lt;&gt;"นิติศาสตร์",K234="S1",Y234="",AE234=""),EDATE(R234,12),AND(AO234="K5-POLICY",AL234&lt;&gt;"นิติศาสตร์",OR(K234="M2",K234="K4"),Y234="",AE234=""),EDATE(R234,12*2),AND(AO234="K5-POLICY",AL234&lt;&gt;"นิติศาสตร์",OR(AE234="M2",AE234="K4"),AH234&gt;=2,OR(AG234&lt;AA234,AG234&lt;R234)),EDATE(AG234,12*2),AND(AO234="K5-POLICY",AL234&lt;&gt;"นิติศาสตร์",AE234="S1",AH234&gt;=1,OR(AG234&lt;AA234,AG234&lt;R234)),EDATE(AG234,12),AND(AO234="K5-POLICY",AL234&lt;&gt;"นิติศาสตร์",OR(Y234="M2",Y234="K4"),AB234&gt;=2,AA234&lt;R234),EDATE(AA234,12*2),AND(AO234="K5-POLICY",AL234&lt;&gt;"นิติศาสตร์",Y234="S1",AB234&gt;=1,AA234&lt;R234),EDATE(AA234,12),AND(AO234="K5-POLICY",AL234&lt;&gt;"นิติศาสตร์",OR(Y234="S2",Y234="K5")),AA234,AND(AO234="K5-POLICY",AL234&lt;&gt;"นิติศาสตร์",OR(K234="M2",K234="K4"),U234&gt;=2),EDATE(R234,12*2),AND(AO234="K5-POLICY",AL234&lt;&gt;"นิติศาสตร์",K234="S1",U234&gt;=1),EDATE(R234,12),AND(AO234="K5-POLICY",AL234&lt;&gt;"นิติศาสตร์",OR(K234="S2",K234="K5")),R234,TRUE,"Check Data")</f>
        <v/>
      </c>
      <c r="AQ234" s="75" t="str">
        <f t="shared" si="95"/>
        <v>Check Data</v>
      </c>
      <c r="AR234" s="76" t="str">
        <f t="shared" si="96"/>
        <v>Check Data</v>
      </c>
      <c r="AS234" s="50" t="str">
        <f t="shared" si="97"/>
        <v>Check Data</v>
      </c>
      <c r="AT234" s="49" t="str">
        <f>IF(B234="","",IF(K234="S1","S1",INDEX(#REF!,#REF!)))</f>
        <v/>
      </c>
      <c r="AU234" s="49" t="str">
        <f t="shared" si="98"/>
        <v>M2</v>
      </c>
      <c r="AV234" s="50" t="b">
        <f t="shared" si="99"/>
        <v>0</v>
      </c>
      <c r="AW234" s="50"/>
    </row>
    <row r="235" spans="1:49" ht="21.75">
      <c r="A235" s="49">
        <v>233</v>
      </c>
      <c r="B235" s="50"/>
      <c r="C235" s="52"/>
      <c r="D235" s="79"/>
      <c r="E235" s="79"/>
      <c r="F235" s="79"/>
      <c r="G235" s="50">
        <f t="shared" si="76"/>
        <v>0</v>
      </c>
      <c r="H235" s="50">
        <f t="shared" si="77"/>
        <v>0</v>
      </c>
      <c r="I235" s="50">
        <f t="shared" si="78"/>
        <v>0</v>
      </c>
      <c r="J235" s="79"/>
      <c r="K235" s="49" t="s">
        <v>136</v>
      </c>
      <c r="L235" s="49" t="str">
        <f>IF(B235="","",IF(K235="S1",K235,INDEX(#REF!,#REF!)))</f>
        <v/>
      </c>
      <c r="M235" s="49" t="b">
        <f t="shared" si="79"/>
        <v>0</v>
      </c>
      <c r="N235" s="79"/>
      <c r="O235" s="79"/>
      <c r="P235" s="79"/>
      <c r="Q235" s="65" t="s">
        <v>433</v>
      </c>
      <c r="R235" s="49" t="str">
        <f t="shared" si="80"/>
        <v>23/04/2024</v>
      </c>
      <c r="S235" s="49" t="str">
        <f>IF(B235="","",IF(K235="S1",K235,INDEX(#REF!,#REF!)))</f>
        <v/>
      </c>
      <c r="T235" s="49" t="b">
        <f t="shared" si="81"/>
        <v>0</v>
      </c>
      <c r="U235" s="68">
        <f t="shared" si="82"/>
        <v>1</v>
      </c>
      <c r="V235" s="68">
        <f t="shared" si="83"/>
        <v>1</v>
      </c>
      <c r="W235" s="68">
        <f t="shared" si="84"/>
        <v>28</v>
      </c>
      <c r="X235" s="79"/>
      <c r="Y235" s="65"/>
      <c r="Z235" s="83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50" t="str">
        <f>IF(B235="","",IF(K235="S1",K235,INDEX(#REF!,#REF!)))</f>
        <v/>
      </c>
      <c r="AN235" s="50" t="b">
        <f t="shared" si="93"/>
        <v>1</v>
      </c>
      <c r="AO235" s="49" t="str">
        <f t="shared" si="94"/>
        <v>K5-POLICY</v>
      </c>
      <c r="AP235" s="72" t="str">
        <f>_xlfn.IFS(B235="","",AND(AO235="K5-LAW",AL235="นิติศาสตร์",K235="S2",Y235="",AE235=""),R235,AND(AO235="K5-LAW",AL235="นิติศาสตร์",K235="S1",Y235="",AE235=""),EDATE(R235,12),AND(AO235="K5-LAW",AL235="นิติศาสตร์",OR(K235="M2",K235="K4"),Y235="",AE235=""),EDATE(R235,12*2),AND(AO235="K5-LAW",AL235="นิติศาสตร์",OR(AE235="M2",AE235="K4"),AH235&gt;=2,OR(AG235&lt;AA235,AG235&lt;R235)),EDATE(AG235,12*2),AND(AO235="K5-LAW",AL235="นิติศาสตร์",AE235="S1",AH235&gt;=1,OR(AG235&lt;AA235,AG235&lt;R235)),EDATE(AG235,12),AND(AO235="K5-LAW",AL235="นิติศาสตร์",OR(Y235="M2",Y235="K4"),AB235&gt;=2,AA235&lt;R235),EDATE(AA235,12*2),AND(AO235="K5-LAW",AL235="นิติศาสตร์",Y235="S1",AB235&gt;=1,AA235&lt;R235),EDATE(AA235,12),AND(AO235="K5-LAW",AL235="นิติศาสตร์",OR(Y235="S2",Y235="K5")),AA235,AND(AO235="K5-LAW",AL235="นิติศาสตร์",OR(K235="M2",K235="K4"),U235&gt;=2),EDATE(R235,12*2),AND(AO235="K5-LAW",AL235="นิติศาสตร์",K235="S1",U235&gt;=1),EDATE(R235,12),AND(AO235="K5-LAW",AL235="นิติศาสตร์",OR(K235="S2",K235="K5")),R235,AND(AO235="K5-POLICY",AL235&lt;&gt;"นิติศาสตร์",K235="S2",Y235="",AE235=""),R235,AND(AO235="K5-POLICY",AL235&lt;&gt;"นิติศาสตร์",K235="S1",Y235="",AE235=""),EDATE(R235,12),AND(AO235="K5-POLICY",AL235&lt;&gt;"นิติศาสตร์",OR(K235="M2",K235="K4"),Y235="",AE235=""),EDATE(R235,12*2),AND(AO235="K5-POLICY",AL235&lt;&gt;"นิติศาสตร์",OR(AE235="M2",AE235="K4"),AH235&gt;=2,OR(AG235&lt;AA235,AG235&lt;R235)),EDATE(AG235,12*2),AND(AO235="K5-POLICY",AL235&lt;&gt;"นิติศาสตร์",AE235="S1",AH235&gt;=1,OR(AG235&lt;AA235,AG235&lt;R235)),EDATE(AG235,12),AND(AO235="K5-POLICY",AL235&lt;&gt;"นิติศาสตร์",OR(Y235="M2",Y235="K4"),AB235&gt;=2,AA235&lt;R235),EDATE(AA235,12*2),AND(AO235="K5-POLICY",AL235&lt;&gt;"นิติศาสตร์",Y235="S1",AB235&gt;=1,AA235&lt;R235),EDATE(AA235,12),AND(AO235="K5-POLICY",AL235&lt;&gt;"นิติศาสตร์",OR(Y235="S2",Y235="K5")),AA235,AND(AO235="K5-POLICY",AL235&lt;&gt;"นิติศาสตร์",OR(K235="M2",K235="K4"),U235&gt;=2),EDATE(R235,12*2),AND(AO235="K5-POLICY",AL235&lt;&gt;"นิติศาสตร์",K235="S1",U235&gt;=1),EDATE(R235,12),AND(AO235="K5-POLICY",AL235&lt;&gt;"นิติศาสตร์",OR(K235="S2",K235="K5")),R235,TRUE,"Check Data")</f>
        <v/>
      </c>
      <c r="AQ235" s="75" t="str">
        <f t="shared" si="95"/>
        <v>Check Data</v>
      </c>
      <c r="AR235" s="76" t="str">
        <f t="shared" si="96"/>
        <v>Check Data</v>
      </c>
      <c r="AS235" s="50" t="str">
        <f t="shared" si="97"/>
        <v>Check Data</v>
      </c>
      <c r="AT235" s="49" t="str">
        <f>IF(B235="","",IF(K235="S1","S1",INDEX(#REF!,#REF!)))</f>
        <v/>
      </c>
      <c r="AU235" s="49" t="str">
        <f t="shared" si="98"/>
        <v>M2</v>
      </c>
      <c r="AV235" s="50" t="b">
        <f t="shared" si="99"/>
        <v>0</v>
      </c>
      <c r="AW235" s="50"/>
    </row>
    <row r="236" spans="1:49" ht="21.75">
      <c r="A236" s="49">
        <v>234</v>
      </c>
      <c r="B236" s="50"/>
      <c r="C236" s="52"/>
      <c r="D236" s="79"/>
      <c r="E236" s="79"/>
      <c r="F236" s="79"/>
      <c r="G236" s="50">
        <f t="shared" si="76"/>
        <v>0</v>
      </c>
      <c r="H236" s="50">
        <f t="shared" si="77"/>
        <v>0</v>
      </c>
      <c r="I236" s="50">
        <f t="shared" si="78"/>
        <v>0</v>
      </c>
      <c r="J236" s="79"/>
      <c r="K236" s="49" t="s">
        <v>136</v>
      </c>
      <c r="L236" s="49" t="str">
        <f>IF(B236="","",IF(K236="S1",K236,INDEX(#REF!,#REF!)))</f>
        <v/>
      </c>
      <c r="M236" s="49" t="b">
        <f t="shared" si="79"/>
        <v>0</v>
      </c>
      <c r="N236" s="79"/>
      <c r="O236" s="79"/>
      <c r="P236" s="79"/>
      <c r="Q236" s="65" t="s">
        <v>433</v>
      </c>
      <c r="R236" s="49" t="str">
        <f t="shared" si="80"/>
        <v>23/04/2024</v>
      </c>
      <c r="S236" s="49" t="str">
        <f>IF(B236="","",IF(K236="S1",K236,INDEX(#REF!,#REF!)))</f>
        <v/>
      </c>
      <c r="T236" s="49" t="b">
        <f t="shared" si="81"/>
        <v>0</v>
      </c>
      <c r="U236" s="68">
        <f t="shared" si="82"/>
        <v>1</v>
      </c>
      <c r="V236" s="68">
        <f t="shared" si="83"/>
        <v>1</v>
      </c>
      <c r="W236" s="68">
        <f t="shared" si="84"/>
        <v>28</v>
      </c>
      <c r="X236" s="79"/>
      <c r="Y236" s="65"/>
      <c r="Z236" s="83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50" t="str">
        <f>IF(B236="","",IF(K236="S1",K236,INDEX(#REF!,#REF!)))</f>
        <v/>
      </c>
      <c r="AN236" s="50" t="b">
        <f t="shared" si="93"/>
        <v>1</v>
      </c>
      <c r="AO236" s="49" t="str">
        <f t="shared" si="94"/>
        <v>K5-POLICY</v>
      </c>
      <c r="AP236" s="72" t="str">
        <f>_xlfn.IFS(B236="","",AND(AO236="K5-LAW",AL236="นิติศาสตร์",K236="S2",Y236="",AE236=""),R236,AND(AO236="K5-LAW",AL236="นิติศาสตร์",K236="S1",Y236="",AE236=""),EDATE(R236,12),AND(AO236="K5-LAW",AL236="นิติศาสตร์",OR(K236="M2",K236="K4"),Y236="",AE236=""),EDATE(R236,12*2),AND(AO236="K5-LAW",AL236="นิติศาสตร์",OR(AE236="M2",AE236="K4"),AH236&gt;=2,OR(AG236&lt;AA236,AG236&lt;R236)),EDATE(AG236,12*2),AND(AO236="K5-LAW",AL236="นิติศาสตร์",AE236="S1",AH236&gt;=1,OR(AG236&lt;AA236,AG236&lt;R236)),EDATE(AG236,12),AND(AO236="K5-LAW",AL236="นิติศาสตร์",OR(Y236="M2",Y236="K4"),AB236&gt;=2,AA236&lt;R236),EDATE(AA236,12*2),AND(AO236="K5-LAW",AL236="นิติศาสตร์",Y236="S1",AB236&gt;=1,AA236&lt;R236),EDATE(AA236,12),AND(AO236="K5-LAW",AL236="นิติศาสตร์",OR(Y236="S2",Y236="K5")),AA236,AND(AO236="K5-LAW",AL236="นิติศาสตร์",OR(K236="M2",K236="K4"),U236&gt;=2),EDATE(R236,12*2),AND(AO236="K5-LAW",AL236="นิติศาสตร์",K236="S1",U236&gt;=1),EDATE(R236,12),AND(AO236="K5-LAW",AL236="นิติศาสตร์",OR(K236="S2",K236="K5")),R236,AND(AO236="K5-POLICY",AL236&lt;&gt;"นิติศาสตร์",K236="S2",Y236="",AE236=""),R236,AND(AO236="K5-POLICY",AL236&lt;&gt;"นิติศาสตร์",K236="S1",Y236="",AE236=""),EDATE(R236,12),AND(AO236="K5-POLICY",AL236&lt;&gt;"นิติศาสตร์",OR(K236="M2",K236="K4"),Y236="",AE236=""),EDATE(R236,12*2),AND(AO236="K5-POLICY",AL236&lt;&gt;"นิติศาสตร์",OR(AE236="M2",AE236="K4"),AH236&gt;=2,OR(AG236&lt;AA236,AG236&lt;R236)),EDATE(AG236,12*2),AND(AO236="K5-POLICY",AL236&lt;&gt;"นิติศาสตร์",AE236="S1",AH236&gt;=1,OR(AG236&lt;AA236,AG236&lt;R236)),EDATE(AG236,12),AND(AO236="K5-POLICY",AL236&lt;&gt;"นิติศาสตร์",OR(Y236="M2",Y236="K4"),AB236&gt;=2,AA236&lt;R236),EDATE(AA236,12*2),AND(AO236="K5-POLICY",AL236&lt;&gt;"นิติศาสตร์",Y236="S1",AB236&gt;=1,AA236&lt;R236),EDATE(AA236,12),AND(AO236="K5-POLICY",AL236&lt;&gt;"นิติศาสตร์",OR(Y236="S2",Y236="K5")),AA236,AND(AO236="K5-POLICY",AL236&lt;&gt;"นิติศาสตร์",OR(K236="M2",K236="K4"),U236&gt;=2),EDATE(R236,12*2),AND(AO236="K5-POLICY",AL236&lt;&gt;"นิติศาสตร์",K236="S1",U236&gt;=1),EDATE(R236,12),AND(AO236="K5-POLICY",AL236&lt;&gt;"นิติศาสตร์",OR(K236="S2",K236="K5")),R236,TRUE,"Check Data")</f>
        <v/>
      </c>
      <c r="AQ236" s="75" t="str">
        <f t="shared" si="95"/>
        <v>Check Data</v>
      </c>
      <c r="AR236" s="76" t="str">
        <f t="shared" si="96"/>
        <v>Check Data</v>
      </c>
      <c r="AS236" s="50" t="str">
        <f t="shared" si="97"/>
        <v>Check Data</v>
      </c>
      <c r="AT236" s="49" t="str">
        <f>IF(B236="","",IF(K236="S1","S1",INDEX(#REF!,#REF!)))</f>
        <v/>
      </c>
      <c r="AU236" s="49" t="str">
        <f t="shared" si="98"/>
        <v>M2</v>
      </c>
      <c r="AV236" s="50" t="b">
        <f t="shared" si="99"/>
        <v>0</v>
      </c>
      <c r="AW236" s="50"/>
    </row>
    <row r="237" spans="1:49" ht="21.75">
      <c r="A237" s="49">
        <v>235</v>
      </c>
      <c r="B237" s="50"/>
      <c r="C237" s="52"/>
      <c r="D237" s="79"/>
      <c r="E237" s="79"/>
      <c r="F237" s="79"/>
      <c r="G237" s="50">
        <f t="shared" si="76"/>
        <v>0</v>
      </c>
      <c r="H237" s="50">
        <f t="shared" si="77"/>
        <v>0</v>
      </c>
      <c r="I237" s="50">
        <f t="shared" si="78"/>
        <v>0</v>
      </c>
      <c r="J237" s="79"/>
      <c r="K237" s="49" t="s">
        <v>136</v>
      </c>
      <c r="L237" s="49" t="str">
        <f>IF(B237="","",IF(K237="S1",K237,INDEX(#REF!,#REF!)))</f>
        <v/>
      </c>
      <c r="M237" s="49" t="b">
        <f t="shared" si="79"/>
        <v>0</v>
      </c>
      <c r="N237" s="79"/>
      <c r="O237" s="79"/>
      <c r="P237" s="79"/>
      <c r="Q237" s="65" t="s">
        <v>433</v>
      </c>
      <c r="R237" s="49" t="str">
        <f t="shared" si="80"/>
        <v>23/04/2024</v>
      </c>
      <c r="S237" s="49" t="str">
        <f>IF(B237="","",IF(K237="S1",K237,INDEX(#REF!,#REF!)))</f>
        <v/>
      </c>
      <c r="T237" s="49" t="b">
        <f t="shared" si="81"/>
        <v>0</v>
      </c>
      <c r="U237" s="68">
        <f t="shared" si="82"/>
        <v>1</v>
      </c>
      <c r="V237" s="68">
        <f t="shared" si="83"/>
        <v>1</v>
      </c>
      <c r="W237" s="68">
        <f t="shared" si="84"/>
        <v>28</v>
      </c>
      <c r="X237" s="79"/>
      <c r="Y237" s="65"/>
      <c r="Z237" s="83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50" t="str">
        <f>IF(B237="","",IF(K237="S1",K237,INDEX(#REF!,#REF!)))</f>
        <v/>
      </c>
      <c r="AN237" s="50" t="b">
        <f t="shared" si="93"/>
        <v>1</v>
      </c>
      <c r="AO237" s="49" t="str">
        <f t="shared" si="94"/>
        <v>K5-POLICY</v>
      </c>
      <c r="AP237" s="72" t="str">
        <f>_xlfn.IFS(B237="","",AND(AO237="K5-LAW",AL237="นิติศาสตร์",K237="S2",Y237="",AE237=""),R237,AND(AO237="K5-LAW",AL237="นิติศาสตร์",K237="S1",Y237="",AE237=""),EDATE(R237,12),AND(AO237="K5-LAW",AL237="นิติศาสตร์",OR(K237="M2",K237="K4"),Y237="",AE237=""),EDATE(R237,12*2),AND(AO237="K5-LAW",AL237="นิติศาสตร์",OR(AE237="M2",AE237="K4"),AH237&gt;=2,OR(AG237&lt;AA237,AG237&lt;R237)),EDATE(AG237,12*2),AND(AO237="K5-LAW",AL237="นิติศาสตร์",AE237="S1",AH237&gt;=1,OR(AG237&lt;AA237,AG237&lt;R237)),EDATE(AG237,12),AND(AO237="K5-LAW",AL237="นิติศาสตร์",OR(Y237="M2",Y237="K4"),AB237&gt;=2,AA237&lt;R237),EDATE(AA237,12*2),AND(AO237="K5-LAW",AL237="นิติศาสตร์",Y237="S1",AB237&gt;=1,AA237&lt;R237),EDATE(AA237,12),AND(AO237="K5-LAW",AL237="นิติศาสตร์",OR(Y237="S2",Y237="K5")),AA237,AND(AO237="K5-LAW",AL237="นิติศาสตร์",OR(K237="M2",K237="K4"),U237&gt;=2),EDATE(R237,12*2),AND(AO237="K5-LAW",AL237="นิติศาสตร์",K237="S1",U237&gt;=1),EDATE(R237,12),AND(AO237="K5-LAW",AL237="นิติศาสตร์",OR(K237="S2",K237="K5")),R237,AND(AO237="K5-POLICY",AL237&lt;&gt;"นิติศาสตร์",K237="S2",Y237="",AE237=""),R237,AND(AO237="K5-POLICY",AL237&lt;&gt;"นิติศาสตร์",K237="S1",Y237="",AE237=""),EDATE(R237,12),AND(AO237="K5-POLICY",AL237&lt;&gt;"นิติศาสตร์",OR(K237="M2",K237="K4"),Y237="",AE237=""),EDATE(R237,12*2),AND(AO237="K5-POLICY",AL237&lt;&gt;"นิติศาสตร์",OR(AE237="M2",AE237="K4"),AH237&gt;=2,OR(AG237&lt;AA237,AG237&lt;R237)),EDATE(AG237,12*2),AND(AO237="K5-POLICY",AL237&lt;&gt;"นิติศาสตร์",AE237="S1",AH237&gt;=1,OR(AG237&lt;AA237,AG237&lt;R237)),EDATE(AG237,12),AND(AO237="K5-POLICY",AL237&lt;&gt;"นิติศาสตร์",OR(Y237="M2",Y237="K4"),AB237&gt;=2,AA237&lt;R237),EDATE(AA237,12*2),AND(AO237="K5-POLICY",AL237&lt;&gt;"นิติศาสตร์",Y237="S1",AB237&gt;=1,AA237&lt;R237),EDATE(AA237,12),AND(AO237="K5-POLICY",AL237&lt;&gt;"นิติศาสตร์",OR(Y237="S2",Y237="K5")),AA237,AND(AO237="K5-POLICY",AL237&lt;&gt;"นิติศาสตร์",OR(K237="M2",K237="K4"),U237&gt;=2),EDATE(R237,12*2),AND(AO237="K5-POLICY",AL237&lt;&gt;"นิติศาสตร์",K237="S1",U237&gt;=1),EDATE(R237,12),AND(AO237="K5-POLICY",AL237&lt;&gt;"นิติศาสตร์",OR(K237="S2",K237="K5")),R237,TRUE,"Check Data")</f>
        <v/>
      </c>
      <c r="AQ237" s="75" t="str">
        <f t="shared" si="95"/>
        <v>Check Data</v>
      </c>
      <c r="AR237" s="76" t="str">
        <f t="shared" si="96"/>
        <v>Check Data</v>
      </c>
      <c r="AS237" s="50" t="str">
        <f t="shared" si="97"/>
        <v>Check Data</v>
      </c>
      <c r="AT237" s="49" t="str">
        <f>IF(B237="","",IF(K237="S1","S1",INDEX(#REF!,#REF!)))</f>
        <v/>
      </c>
      <c r="AU237" s="49" t="str">
        <f t="shared" si="98"/>
        <v>M2</v>
      </c>
      <c r="AV237" s="50" t="b">
        <f t="shared" si="99"/>
        <v>0</v>
      </c>
      <c r="AW237" s="50"/>
    </row>
    <row r="238" spans="1:49" ht="21.75">
      <c r="A238" s="49">
        <v>236</v>
      </c>
      <c r="B238" s="50"/>
      <c r="C238" s="52"/>
      <c r="D238" s="79"/>
      <c r="E238" s="79"/>
      <c r="F238" s="79"/>
      <c r="G238" s="50">
        <f t="shared" si="76"/>
        <v>0</v>
      </c>
      <c r="H238" s="50">
        <f t="shared" si="77"/>
        <v>0</v>
      </c>
      <c r="I238" s="50">
        <f t="shared" si="78"/>
        <v>0</v>
      </c>
      <c r="J238" s="79"/>
      <c r="K238" s="49" t="s">
        <v>136</v>
      </c>
      <c r="L238" s="49" t="str">
        <f>IF(B238="","",IF(K238="S1",K238,INDEX(#REF!,#REF!)))</f>
        <v/>
      </c>
      <c r="M238" s="49" t="b">
        <f t="shared" si="79"/>
        <v>0</v>
      </c>
      <c r="N238" s="79"/>
      <c r="O238" s="79"/>
      <c r="P238" s="79"/>
      <c r="Q238" s="65" t="s">
        <v>433</v>
      </c>
      <c r="R238" s="49" t="str">
        <f t="shared" si="80"/>
        <v>23/04/2024</v>
      </c>
      <c r="S238" s="49" t="str">
        <f>IF(B238="","",IF(K238="S1",K238,INDEX(#REF!,#REF!)))</f>
        <v/>
      </c>
      <c r="T238" s="49" t="b">
        <f t="shared" si="81"/>
        <v>0</v>
      </c>
      <c r="U238" s="68">
        <f t="shared" si="82"/>
        <v>1</v>
      </c>
      <c r="V238" s="68">
        <f t="shared" si="83"/>
        <v>1</v>
      </c>
      <c r="W238" s="68">
        <f t="shared" si="84"/>
        <v>28</v>
      </c>
      <c r="X238" s="79"/>
      <c r="Y238" s="65"/>
      <c r="Z238" s="83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50" t="str">
        <f>IF(B238="","",IF(K238="S1",K238,INDEX(#REF!,#REF!)))</f>
        <v/>
      </c>
      <c r="AN238" s="50" t="b">
        <f t="shared" si="93"/>
        <v>1</v>
      </c>
      <c r="AO238" s="49" t="str">
        <f t="shared" si="94"/>
        <v>K5-POLICY</v>
      </c>
      <c r="AP238" s="72" t="str">
        <f>_xlfn.IFS(B238="","",AND(AO238="K5-LAW",AL238="นิติศาสตร์",K238="S2",Y238="",AE238=""),R238,AND(AO238="K5-LAW",AL238="นิติศาสตร์",K238="S1",Y238="",AE238=""),EDATE(R238,12),AND(AO238="K5-LAW",AL238="นิติศาสตร์",OR(K238="M2",K238="K4"),Y238="",AE238=""),EDATE(R238,12*2),AND(AO238="K5-LAW",AL238="นิติศาสตร์",OR(AE238="M2",AE238="K4"),AH238&gt;=2,OR(AG238&lt;AA238,AG238&lt;R238)),EDATE(AG238,12*2),AND(AO238="K5-LAW",AL238="นิติศาสตร์",AE238="S1",AH238&gt;=1,OR(AG238&lt;AA238,AG238&lt;R238)),EDATE(AG238,12),AND(AO238="K5-LAW",AL238="นิติศาสตร์",OR(Y238="M2",Y238="K4"),AB238&gt;=2,AA238&lt;R238),EDATE(AA238,12*2),AND(AO238="K5-LAW",AL238="นิติศาสตร์",Y238="S1",AB238&gt;=1,AA238&lt;R238),EDATE(AA238,12),AND(AO238="K5-LAW",AL238="นิติศาสตร์",OR(Y238="S2",Y238="K5")),AA238,AND(AO238="K5-LAW",AL238="นิติศาสตร์",OR(K238="M2",K238="K4"),U238&gt;=2),EDATE(R238,12*2),AND(AO238="K5-LAW",AL238="นิติศาสตร์",K238="S1",U238&gt;=1),EDATE(R238,12),AND(AO238="K5-LAW",AL238="นิติศาสตร์",OR(K238="S2",K238="K5")),R238,AND(AO238="K5-POLICY",AL238&lt;&gt;"นิติศาสตร์",K238="S2",Y238="",AE238=""),R238,AND(AO238="K5-POLICY",AL238&lt;&gt;"นิติศาสตร์",K238="S1",Y238="",AE238=""),EDATE(R238,12),AND(AO238="K5-POLICY",AL238&lt;&gt;"นิติศาสตร์",OR(K238="M2",K238="K4"),Y238="",AE238=""),EDATE(R238,12*2),AND(AO238="K5-POLICY",AL238&lt;&gt;"นิติศาสตร์",OR(AE238="M2",AE238="K4"),AH238&gt;=2,OR(AG238&lt;AA238,AG238&lt;R238)),EDATE(AG238,12*2),AND(AO238="K5-POLICY",AL238&lt;&gt;"นิติศาสตร์",AE238="S1",AH238&gt;=1,OR(AG238&lt;AA238,AG238&lt;R238)),EDATE(AG238,12),AND(AO238="K5-POLICY",AL238&lt;&gt;"นิติศาสตร์",OR(Y238="M2",Y238="K4"),AB238&gt;=2,AA238&lt;R238),EDATE(AA238,12*2),AND(AO238="K5-POLICY",AL238&lt;&gt;"นิติศาสตร์",Y238="S1",AB238&gt;=1,AA238&lt;R238),EDATE(AA238,12),AND(AO238="K5-POLICY",AL238&lt;&gt;"นิติศาสตร์",OR(Y238="S2",Y238="K5")),AA238,AND(AO238="K5-POLICY",AL238&lt;&gt;"นิติศาสตร์",OR(K238="M2",K238="K4"),U238&gt;=2),EDATE(R238,12*2),AND(AO238="K5-POLICY",AL238&lt;&gt;"นิติศาสตร์",K238="S1",U238&gt;=1),EDATE(R238,12),AND(AO238="K5-POLICY",AL238&lt;&gt;"นิติศาสตร์",OR(K238="S2",K238="K5")),R238,TRUE,"Check Data")</f>
        <v/>
      </c>
      <c r="AQ238" s="75" t="str">
        <f t="shared" si="95"/>
        <v>Check Data</v>
      </c>
      <c r="AR238" s="76" t="str">
        <f t="shared" si="96"/>
        <v>Check Data</v>
      </c>
      <c r="AS238" s="50" t="str">
        <f t="shared" si="97"/>
        <v>Check Data</v>
      </c>
      <c r="AT238" s="49" t="str">
        <f>IF(B238="","",IF(K238="S1","S1",INDEX(#REF!,#REF!)))</f>
        <v/>
      </c>
      <c r="AU238" s="49" t="str">
        <f t="shared" si="98"/>
        <v>M2</v>
      </c>
      <c r="AV238" s="50" t="b">
        <f t="shared" si="99"/>
        <v>0</v>
      </c>
      <c r="AW238" s="50"/>
    </row>
    <row r="239" spans="1:49" ht="21.75">
      <c r="A239" s="49">
        <v>237</v>
      </c>
      <c r="B239" s="50"/>
      <c r="C239" s="52"/>
      <c r="D239" s="79"/>
      <c r="E239" s="79"/>
      <c r="F239" s="79"/>
      <c r="G239" s="50">
        <f t="shared" si="76"/>
        <v>0</v>
      </c>
      <c r="H239" s="50">
        <f t="shared" si="77"/>
        <v>0</v>
      </c>
      <c r="I239" s="50">
        <f t="shared" si="78"/>
        <v>0</v>
      </c>
      <c r="J239" s="79"/>
      <c r="K239" s="49" t="s">
        <v>136</v>
      </c>
      <c r="L239" s="49" t="str">
        <f>IF(B239="","",IF(K239="S1",K239,INDEX(#REF!,#REF!)))</f>
        <v/>
      </c>
      <c r="M239" s="49" t="b">
        <f t="shared" si="79"/>
        <v>0</v>
      </c>
      <c r="N239" s="79"/>
      <c r="O239" s="79"/>
      <c r="P239" s="79"/>
      <c r="Q239" s="65" t="s">
        <v>433</v>
      </c>
      <c r="R239" s="49" t="str">
        <f t="shared" si="80"/>
        <v>23/04/2024</v>
      </c>
      <c r="S239" s="49" t="str">
        <f>IF(B239="","",IF(K239="S1",K239,INDEX(#REF!,#REF!)))</f>
        <v/>
      </c>
      <c r="T239" s="49" t="b">
        <f t="shared" si="81"/>
        <v>0</v>
      </c>
      <c r="U239" s="68">
        <f t="shared" si="82"/>
        <v>1</v>
      </c>
      <c r="V239" s="68">
        <f t="shared" si="83"/>
        <v>1</v>
      </c>
      <c r="W239" s="68">
        <f t="shared" si="84"/>
        <v>28</v>
      </c>
      <c r="X239" s="79"/>
      <c r="Y239" s="65"/>
      <c r="Z239" s="83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50" t="str">
        <f>IF(B239="","",IF(K239="S1",K239,INDEX(#REF!,#REF!)))</f>
        <v/>
      </c>
      <c r="AN239" s="50" t="b">
        <f t="shared" si="93"/>
        <v>1</v>
      </c>
      <c r="AO239" s="49" t="str">
        <f t="shared" si="94"/>
        <v>K5-POLICY</v>
      </c>
      <c r="AP239" s="72" t="str">
        <f>_xlfn.IFS(B239="","",AND(AO239="K5-LAW",AL239="นิติศาสตร์",K239="S2",Y239="",AE239=""),R239,AND(AO239="K5-LAW",AL239="นิติศาสตร์",K239="S1",Y239="",AE239=""),EDATE(R239,12),AND(AO239="K5-LAW",AL239="นิติศาสตร์",OR(K239="M2",K239="K4"),Y239="",AE239=""),EDATE(R239,12*2),AND(AO239="K5-LAW",AL239="นิติศาสตร์",OR(AE239="M2",AE239="K4"),AH239&gt;=2,OR(AG239&lt;AA239,AG239&lt;R239)),EDATE(AG239,12*2),AND(AO239="K5-LAW",AL239="นิติศาสตร์",AE239="S1",AH239&gt;=1,OR(AG239&lt;AA239,AG239&lt;R239)),EDATE(AG239,12),AND(AO239="K5-LAW",AL239="นิติศาสตร์",OR(Y239="M2",Y239="K4"),AB239&gt;=2,AA239&lt;R239),EDATE(AA239,12*2),AND(AO239="K5-LAW",AL239="นิติศาสตร์",Y239="S1",AB239&gt;=1,AA239&lt;R239),EDATE(AA239,12),AND(AO239="K5-LAW",AL239="นิติศาสตร์",OR(Y239="S2",Y239="K5")),AA239,AND(AO239="K5-LAW",AL239="นิติศาสตร์",OR(K239="M2",K239="K4"),U239&gt;=2),EDATE(R239,12*2),AND(AO239="K5-LAW",AL239="นิติศาสตร์",K239="S1",U239&gt;=1),EDATE(R239,12),AND(AO239="K5-LAW",AL239="นิติศาสตร์",OR(K239="S2",K239="K5")),R239,AND(AO239="K5-POLICY",AL239&lt;&gt;"นิติศาสตร์",K239="S2",Y239="",AE239=""),R239,AND(AO239="K5-POLICY",AL239&lt;&gt;"นิติศาสตร์",K239="S1",Y239="",AE239=""),EDATE(R239,12),AND(AO239="K5-POLICY",AL239&lt;&gt;"นิติศาสตร์",OR(K239="M2",K239="K4"),Y239="",AE239=""),EDATE(R239,12*2),AND(AO239="K5-POLICY",AL239&lt;&gt;"นิติศาสตร์",OR(AE239="M2",AE239="K4"),AH239&gt;=2,OR(AG239&lt;AA239,AG239&lt;R239)),EDATE(AG239,12*2),AND(AO239="K5-POLICY",AL239&lt;&gt;"นิติศาสตร์",AE239="S1",AH239&gt;=1,OR(AG239&lt;AA239,AG239&lt;R239)),EDATE(AG239,12),AND(AO239="K5-POLICY",AL239&lt;&gt;"นิติศาสตร์",OR(Y239="M2",Y239="K4"),AB239&gt;=2,AA239&lt;R239),EDATE(AA239,12*2),AND(AO239="K5-POLICY",AL239&lt;&gt;"นิติศาสตร์",Y239="S1",AB239&gt;=1,AA239&lt;R239),EDATE(AA239,12),AND(AO239="K5-POLICY",AL239&lt;&gt;"นิติศาสตร์",OR(Y239="S2",Y239="K5")),AA239,AND(AO239="K5-POLICY",AL239&lt;&gt;"นิติศาสตร์",OR(K239="M2",K239="K4"),U239&gt;=2),EDATE(R239,12*2),AND(AO239="K5-POLICY",AL239&lt;&gt;"นิติศาสตร์",K239="S1",U239&gt;=1),EDATE(R239,12),AND(AO239="K5-POLICY",AL239&lt;&gt;"นิติศาสตร์",OR(K239="S2",K239="K5")),R239,TRUE,"Check Data")</f>
        <v/>
      </c>
      <c r="AQ239" s="75" t="str">
        <f t="shared" si="95"/>
        <v>Check Data</v>
      </c>
      <c r="AR239" s="76" t="str">
        <f t="shared" si="96"/>
        <v>Check Data</v>
      </c>
      <c r="AS239" s="50" t="str">
        <f t="shared" si="97"/>
        <v>Check Data</v>
      </c>
      <c r="AT239" s="49" t="str">
        <f>IF(B239="","",IF(K239="S1","S1",INDEX(#REF!,#REF!)))</f>
        <v/>
      </c>
      <c r="AU239" s="49" t="str">
        <f t="shared" si="98"/>
        <v>M2</v>
      </c>
      <c r="AV239" s="50" t="b">
        <f t="shared" si="99"/>
        <v>0</v>
      </c>
      <c r="AW239" s="50"/>
    </row>
    <row r="240" spans="1:49" ht="21.75">
      <c r="A240" s="49">
        <v>238</v>
      </c>
      <c r="B240" s="50"/>
      <c r="C240" s="52"/>
      <c r="D240" s="79"/>
      <c r="E240" s="79"/>
      <c r="F240" s="79"/>
      <c r="G240" s="50">
        <f t="shared" si="76"/>
        <v>0</v>
      </c>
      <c r="H240" s="50">
        <f t="shared" si="77"/>
        <v>0</v>
      </c>
      <c r="I240" s="50">
        <f t="shared" si="78"/>
        <v>0</v>
      </c>
      <c r="J240" s="79"/>
      <c r="K240" s="49" t="s">
        <v>136</v>
      </c>
      <c r="L240" s="49" t="str">
        <f>IF(B240="","",IF(K240="S1",K240,INDEX(#REF!,#REF!)))</f>
        <v/>
      </c>
      <c r="M240" s="49" t="b">
        <f t="shared" si="79"/>
        <v>0</v>
      </c>
      <c r="N240" s="79"/>
      <c r="O240" s="79"/>
      <c r="P240" s="79"/>
      <c r="Q240" s="65" t="s">
        <v>433</v>
      </c>
      <c r="R240" s="49" t="str">
        <f t="shared" si="80"/>
        <v>23/04/2024</v>
      </c>
      <c r="S240" s="49" t="str">
        <f>IF(B240="","",IF(K240="S1",K240,INDEX(#REF!,#REF!)))</f>
        <v/>
      </c>
      <c r="T240" s="49" t="b">
        <f t="shared" si="81"/>
        <v>0</v>
      </c>
      <c r="U240" s="68">
        <f t="shared" si="82"/>
        <v>1</v>
      </c>
      <c r="V240" s="68">
        <f t="shared" si="83"/>
        <v>1</v>
      </c>
      <c r="W240" s="68">
        <f t="shared" si="84"/>
        <v>28</v>
      </c>
      <c r="X240" s="79"/>
      <c r="Y240" s="65"/>
      <c r="Z240" s="83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50" t="str">
        <f>IF(B240="","",IF(K240="S1",K240,INDEX(#REF!,#REF!)))</f>
        <v/>
      </c>
      <c r="AN240" s="50" t="b">
        <f t="shared" si="93"/>
        <v>1</v>
      </c>
      <c r="AO240" s="49" t="str">
        <f t="shared" si="94"/>
        <v>K5-POLICY</v>
      </c>
      <c r="AP240" s="72" t="str">
        <f>_xlfn.IFS(B240="","",AND(AO240="K5-LAW",AL240="นิติศาสตร์",K240="S2",Y240="",AE240=""),R240,AND(AO240="K5-LAW",AL240="นิติศาสตร์",K240="S1",Y240="",AE240=""),EDATE(R240,12),AND(AO240="K5-LAW",AL240="นิติศาสตร์",OR(K240="M2",K240="K4"),Y240="",AE240=""),EDATE(R240,12*2),AND(AO240="K5-LAW",AL240="นิติศาสตร์",OR(AE240="M2",AE240="K4"),AH240&gt;=2,OR(AG240&lt;AA240,AG240&lt;R240)),EDATE(AG240,12*2),AND(AO240="K5-LAW",AL240="นิติศาสตร์",AE240="S1",AH240&gt;=1,OR(AG240&lt;AA240,AG240&lt;R240)),EDATE(AG240,12),AND(AO240="K5-LAW",AL240="นิติศาสตร์",OR(Y240="M2",Y240="K4"),AB240&gt;=2,AA240&lt;R240),EDATE(AA240,12*2),AND(AO240="K5-LAW",AL240="นิติศาสตร์",Y240="S1",AB240&gt;=1,AA240&lt;R240),EDATE(AA240,12),AND(AO240="K5-LAW",AL240="นิติศาสตร์",OR(Y240="S2",Y240="K5")),AA240,AND(AO240="K5-LAW",AL240="นิติศาสตร์",OR(K240="M2",K240="K4"),U240&gt;=2),EDATE(R240,12*2),AND(AO240="K5-LAW",AL240="นิติศาสตร์",K240="S1",U240&gt;=1),EDATE(R240,12),AND(AO240="K5-LAW",AL240="นิติศาสตร์",OR(K240="S2",K240="K5")),R240,AND(AO240="K5-POLICY",AL240&lt;&gt;"นิติศาสตร์",K240="S2",Y240="",AE240=""),R240,AND(AO240="K5-POLICY",AL240&lt;&gt;"นิติศาสตร์",K240="S1",Y240="",AE240=""),EDATE(R240,12),AND(AO240="K5-POLICY",AL240&lt;&gt;"นิติศาสตร์",OR(K240="M2",K240="K4"),Y240="",AE240=""),EDATE(R240,12*2),AND(AO240="K5-POLICY",AL240&lt;&gt;"นิติศาสตร์",OR(AE240="M2",AE240="K4"),AH240&gt;=2,OR(AG240&lt;AA240,AG240&lt;R240)),EDATE(AG240,12*2),AND(AO240="K5-POLICY",AL240&lt;&gt;"นิติศาสตร์",AE240="S1",AH240&gt;=1,OR(AG240&lt;AA240,AG240&lt;R240)),EDATE(AG240,12),AND(AO240="K5-POLICY",AL240&lt;&gt;"นิติศาสตร์",OR(Y240="M2",Y240="K4"),AB240&gt;=2,AA240&lt;R240),EDATE(AA240,12*2),AND(AO240="K5-POLICY",AL240&lt;&gt;"นิติศาสตร์",Y240="S1",AB240&gt;=1,AA240&lt;R240),EDATE(AA240,12),AND(AO240="K5-POLICY",AL240&lt;&gt;"นิติศาสตร์",OR(Y240="S2",Y240="K5")),AA240,AND(AO240="K5-POLICY",AL240&lt;&gt;"นิติศาสตร์",OR(K240="M2",K240="K4"),U240&gt;=2),EDATE(R240,12*2),AND(AO240="K5-POLICY",AL240&lt;&gt;"นิติศาสตร์",K240="S1",U240&gt;=1),EDATE(R240,12),AND(AO240="K5-POLICY",AL240&lt;&gt;"นิติศาสตร์",OR(K240="S2",K240="K5")),R240,TRUE,"Check Data")</f>
        <v/>
      </c>
      <c r="AQ240" s="75" t="str">
        <f t="shared" si="95"/>
        <v>Check Data</v>
      </c>
      <c r="AR240" s="76" t="str">
        <f t="shared" si="96"/>
        <v>Check Data</v>
      </c>
      <c r="AS240" s="50" t="str">
        <f t="shared" si="97"/>
        <v>Check Data</v>
      </c>
      <c r="AT240" s="49" t="str">
        <f>IF(B240="","",IF(K240="S1","S1",INDEX(#REF!,#REF!)))</f>
        <v/>
      </c>
      <c r="AU240" s="49" t="str">
        <f t="shared" si="98"/>
        <v>M2</v>
      </c>
      <c r="AV240" s="50" t="b">
        <f t="shared" si="99"/>
        <v>0</v>
      </c>
      <c r="AW240" s="50"/>
    </row>
    <row r="241" spans="1:49" ht="21.75">
      <c r="A241" s="49">
        <v>239</v>
      </c>
      <c r="B241" s="50"/>
      <c r="C241" s="52"/>
      <c r="D241" s="79"/>
      <c r="E241" s="79"/>
      <c r="F241" s="79"/>
      <c r="G241" s="50">
        <f t="shared" si="76"/>
        <v>0</v>
      </c>
      <c r="H241" s="50">
        <f t="shared" si="77"/>
        <v>0</v>
      </c>
      <c r="I241" s="50">
        <f t="shared" si="78"/>
        <v>0</v>
      </c>
      <c r="J241" s="79"/>
      <c r="K241" s="49" t="s">
        <v>136</v>
      </c>
      <c r="L241" s="49" t="str">
        <f>IF(B241="","",IF(K241="S1",K241,INDEX(#REF!,#REF!)))</f>
        <v/>
      </c>
      <c r="M241" s="49" t="b">
        <f t="shared" si="79"/>
        <v>0</v>
      </c>
      <c r="N241" s="79"/>
      <c r="O241" s="79"/>
      <c r="P241" s="79"/>
      <c r="Q241" s="65" t="s">
        <v>433</v>
      </c>
      <c r="R241" s="49" t="str">
        <f t="shared" si="80"/>
        <v>23/04/2024</v>
      </c>
      <c r="S241" s="49" t="str">
        <f>IF(B241="","",IF(K241="S1",K241,INDEX(#REF!,#REF!)))</f>
        <v/>
      </c>
      <c r="T241" s="49" t="b">
        <f t="shared" si="81"/>
        <v>0</v>
      </c>
      <c r="U241" s="68">
        <f t="shared" si="82"/>
        <v>1</v>
      </c>
      <c r="V241" s="68">
        <f t="shared" si="83"/>
        <v>1</v>
      </c>
      <c r="W241" s="68">
        <f t="shared" si="84"/>
        <v>28</v>
      </c>
      <c r="X241" s="79"/>
      <c r="Y241" s="65"/>
      <c r="Z241" s="83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50" t="str">
        <f>IF(B241="","",IF(K241="S1",K241,INDEX(#REF!,#REF!)))</f>
        <v/>
      </c>
      <c r="AN241" s="50" t="b">
        <f t="shared" si="93"/>
        <v>1</v>
      </c>
      <c r="AO241" s="49" t="str">
        <f t="shared" si="94"/>
        <v>K5-POLICY</v>
      </c>
      <c r="AP241" s="72" t="str">
        <f>_xlfn.IFS(B241="","",AND(AO241="K5-LAW",AL241="นิติศาสตร์",K241="S2",Y241="",AE241=""),R241,AND(AO241="K5-LAW",AL241="นิติศาสตร์",K241="S1",Y241="",AE241=""),EDATE(R241,12),AND(AO241="K5-LAW",AL241="นิติศาสตร์",OR(K241="M2",K241="K4"),Y241="",AE241=""),EDATE(R241,12*2),AND(AO241="K5-LAW",AL241="นิติศาสตร์",OR(AE241="M2",AE241="K4"),AH241&gt;=2,OR(AG241&lt;AA241,AG241&lt;R241)),EDATE(AG241,12*2),AND(AO241="K5-LAW",AL241="นิติศาสตร์",AE241="S1",AH241&gt;=1,OR(AG241&lt;AA241,AG241&lt;R241)),EDATE(AG241,12),AND(AO241="K5-LAW",AL241="นิติศาสตร์",OR(Y241="M2",Y241="K4"),AB241&gt;=2,AA241&lt;R241),EDATE(AA241,12*2),AND(AO241="K5-LAW",AL241="นิติศาสตร์",Y241="S1",AB241&gt;=1,AA241&lt;R241),EDATE(AA241,12),AND(AO241="K5-LAW",AL241="นิติศาสตร์",OR(Y241="S2",Y241="K5")),AA241,AND(AO241="K5-LAW",AL241="นิติศาสตร์",OR(K241="M2",K241="K4"),U241&gt;=2),EDATE(R241,12*2),AND(AO241="K5-LAW",AL241="นิติศาสตร์",K241="S1",U241&gt;=1),EDATE(R241,12),AND(AO241="K5-LAW",AL241="นิติศาสตร์",OR(K241="S2",K241="K5")),R241,AND(AO241="K5-POLICY",AL241&lt;&gt;"นิติศาสตร์",K241="S2",Y241="",AE241=""),R241,AND(AO241="K5-POLICY",AL241&lt;&gt;"นิติศาสตร์",K241="S1",Y241="",AE241=""),EDATE(R241,12),AND(AO241="K5-POLICY",AL241&lt;&gt;"นิติศาสตร์",OR(K241="M2",K241="K4"),Y241="",AE241=""),EDATE(R241,12*2),AND(AO241="K5-POLICY",AL241&lt;&gt;"นิติศาสตร์",OR(AE241="M2",AE241="K4"),AH241&gt;=2,OR(AG241&lt;AA241,AG241&lt;R241)),EDATE(AG241,12*2),AND(AO241="K5-POLICY",AL241&lt;&gt;"นิติศาสตร์",AE241="S1",AH241&gt;=1,OR(AG241&lt;AA241,AG241&lt;R241)),EDATE(AG241,12),AND(AO241="K5-POLICY",AL241&lt;&gt;"นิติศาสตร์",OR(Y241="M2",Y241="K4"),AB241&gt;=2,AA241&lt;R241),EDATE(AA241,12*2),AND(AO241="K5-POLICY",AL241&lt;&gt;"นิติศาสตร์",Y241="S1",AB241&gt;=1,AA241&lt;R241),EDATE(AA241,12),AND(AO241="K5-POLICY",AL241&lt;&gt;"นิติศาสตร์",OR(Y241="S2",Y241="K5")),AA241,AND(AO241="K5-POLICY",AL241&lt;&gt;"นิติศาสตร์",OR(K241="M2",K241="K4"),U241&gt;=2),EDATE(R241,12*2),AND(AO241="K5-POLICY",AL241&lt;&gt;"นิติศาสตร์",K241="S1",U241&gt;=1),EDATE(R241,12),AND(AO241="K5-POLICY",AL241&lt;&gt;"นิติศาสตร์",OR(K241="S2",K241="K5")),R241,TRUE,"Check Data")</f>
        <v/>
      </c>
      <c r="AQ241" s="75" t="str">
        <f t="shared" si="95"/>
        <v>Check Data</v>
      </c>
      <c r="AR241" s="76" t="str">
        <f t="shared" si="96"/>
        <v>Check Data</v>
      </c>
      <c r="AS241" s="50" t="str">
        <f t="shared" si="97"/>
        <v>Check Data</v>
      </c>
      <c r="AT241" s="49" t="str">
        <f>IF(B241="","",IF(K241="S1","S1",INDEX(#REF!,#REF!)))</f>
        <v/>
      </c>
      <c r="AU241" s="49" t="str">
        <f t="shared" si="98"/>
        <v>M2</v>
      </c>
      <c r="AV241" s="50" t="b">
        <f t="shared" si="99"/>
        <v>0</v>
      </c>
      <c r="AW241" s="50"/>
    </row>
    <row r="242" spans="1:49" ht="21.75">
      <c r="A242" s="49">
        <v>240</v>
      </c>
      <c r="B242" s="50"/>
      <c r="C242" s="52"/>
      <c r="D242" s="79"/>
      <c r="E242" s="79"/>
      <c r="F242" s="79"/>
      <c r="G242" s="50">
        <f t="shared" si="76"/>
        <v>0</v>
      </c>
      <c r="H242" s="50">
        <f t="shared" si="77"/>
        <v>0</v>
      </c>
      <c r="I242" s="50">
        <f t="shared" si="78"/>
        <v>0</v>
      </c>
      <c r="J242" s="79"/>
      <c r="K242" s="49" t="s">
        <v>136</v>
      </c>
      <c r="L242" s="49" t="str">
        <f>IF(B242="","",IF(K242="S1",K242,INDEX(#REF!,#REF!)))</f>
        <v/>
      </c>
      <c r="M242" s="49" t="b">
        <f t="shared" si="79"/>
        <v>0</v>
      </c>
      <c r="N242" s="79"/>
      <c r="O242" s="79"/>
      <c r="P242" s="79"/>
      <c r="Q242" s="65" t="s">
        <v>433</v>
      </c>
      <c r="R242" s="49" t="str">
        <f t="shared" si="80"/>
        <v>23/04/2024</v>
      </c>
      <c r="S242" s="49" t="str">
        <f>IF(B242="","",IF(K242="S1",K242,INDEX(#REF!,#REF!)))</f>
        <v/>
      </c>
      <c r="T242" s="49" t="b">
        <f t="shared" si="81"/>
        <v>0</v>
      </c>
      <c r="U242" s="68">
        <f t="shared" si="82"/>
        <v>1</v>
      </c>
      <c r="V242" s="68">
        <f t="shared" si="83"/>
        <v>1</v>
      </c>
      <c r="W242" s="68">
        <f t="shared" si="84"/>
        <v>28</v>
      </c>
      <c r="X242" s="79"/>
      <c r="Y242" s="65"/>
      <c r="Z242" s="83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50" t="str">
        <f>IF(B242="","",IF(K242="S1",K242,INDEX(#REF!,#REF!)))</f>
        <v/>
      </c>
      <c r="AN242" s="50" t="b">
        <f t="shared" si="93"/>
        <v>1</v>
      </c>
      <c r="AO242" s="49" t="str">
        <f t="shared" si="94"/>
        <v>K5-POLICY</v>
      </c>
      <c r="AP242" s="72" t="str">
        <f>_xlfn.IFS(B242="","",AND(AO242="K5-LAW",AL242="นิติศาสตร์",K242="S2",Y242="",AE242=""),R242,AND(AO242="K5-LAW",AL242="นิติศาสตร์",K242="S1",Y242="",AE242=""),EDATE(R242,12),AND(AO242="K5-LAW",AL242="นิติศาสตร์",OR(K242="M2",K242="K4"),Y242="",AE242=""),EDATE(R242,12*2),AND(AO242="K5-LAW",AL242="นิติศาสตร์",OR(AE242="M2",AE242="K4"),AH242&gt;=2,OR(AG242&lt;AA242,AG242&lt;R242)),EDATE(AG242,12*2),AND(AO242="K5-LAW",AL242="นิติศาสตร์",AE242="S1",AH242&gt;=1,OR(AG242&lt;AA242,AG242&lt;R242)),EDATE(AG242,12),AND(AO242="K5-LAW",AL242="นิติศาสตร์",OR(Y242="M2",Y242="K4"),AB242&gt;=2,AA242&lt;R242),EDATE(AA242,12*2),AND(AO242="K5-LAW",AL242="นิติศาสตร์",Y242="S1",AB242&gt;=1,AA242&lt;R242),EDATE(AA242,12),AND(AO242="K5-LAW",AL242="นิติศาสตร์",OR(Y242="S2",Y242="K5")),AA242,AND(AO242="K5-LAW",AL242="นิติศาสตร์",OR(K242="M2",K242="K4"),U242&gt;=2),EDATE(R242,12*2),AND(AO242="K5-LAW",AL242="นิติศาสตร์",K242="S1",U242&gt;=1),EDATE(R242,12),AND(AO242="K5-LAW",AL242="นิติศาสตร์",OR(K242="S2",K242="K5")),R242,AND(AO242="K5-POLICY",AL242&lt;&gt;"นิติศาสตร์",K242="S2",Y242="",AE242=""),R242,AND(AO242="K5-POLICY",AL242&lt;&gt;"นิติศาสตร์",K242="S1",Y242="",AE242=""),EDATE(R242,12),AND(AO242="K5-POLICY",AL242&lt;&gt;"นิติศาสตร์",OR(K242="M2",K242="K4"),Y242="",AE242=""),EDATE(R242,12*2),AND(AO242="K5-POLICY",AL242&lt;&gt;"นิติศาสตร์",OR(AE242="M2",AE242="K4"),AH242&gt;=2,OR(AG242&lt;AA242,AG242&lt;R242)),EDATE(AG242,12*2),AND(AO242="K5-POLICY",AL242&lt;&gt;"นิติศาสตร์",AE242="S1",AH242&gt;=1,OR(AG242&lt;AA242,AG242&lt;R242)),EDATE(AG242,12),AND(AO242="K5-POLICY",AL242&lt;&gt;"นิติศาสตร์",OR(Y242="M2",Y242="K4"),AB242&gt;=2,AA242&lt;R242),EDATE(AA242,12*2),AND(AO242="K5-POLICY",AL242&lt;&gt;"นิติศาสตร์",Y242="S1",AB242&gt;=1,AA242&lt;R242),EDATE(AA242,12),AND(AO242="K5-POLICY",AL242&lt;&gt;"นิติศาสตร์",OR(Y242="S2",Y242="K5")),AA242,AND(AO242="K5-POLICY",AL242&lt;&gt;"นิติศาสตร์",OR(K242="M2",K242="K4"),U242&gt;=2),EDATE(R242,12*2),AND(AO242="K5-POLICY",AL242&lt;&gt;"นิติศาสตร์",K242="S1",U242&gt;=1),EDATE(R242,12),AND(AO242="K5-POLICY",AL242&lt;&gt;"นิติศาสตร์",OR(K242="S2",K242="K5")),R242,TRUE,"Check Data")</f>
        <v/>
      </c>
      <c r="AQ242" s="75" t="str">
        <f t="shared" si="95"/>
        <v>Check Data</v>
      </c>
      <c r="AR242" s="76" t="str">
        <f t="shared" si="96"/>
        <v>Check Data</v>
      </c>
      <c r="AS242" s="50" t="str">
        <f t="shared" si="97"/>
        <v>Check Data</v>
      </c>
      <c r="AT242" s="49" t="str">
        <f>IF(B242="","",IF(K242="S1","S1",INDEX(#REF!,#REF!)))</f>
        <v/>
      </c>
      <c r="AU242" s="49" t="str">
        <f t="shared" si="98"/>
        <v>M2</v>
      </c>
      <c r="AV242" s="50" t="b">
        <f t="shared" si="99"/>
        <v>0</v>
      </c>
      <c r="AW242" s="50"/>
    </row>
    <row r="243" spans="1:49" ht="21.75">
      <c r="A243" s="49">
        <v>241</v>
      </c>
      <c r="B243" s="50"/>
      <c r="C243" s="52"/>
      <c r="D243" s="79"/>
      <c r="E243" s="79"/>
      <c r="F243" s="79"/>
      <c r="G243" s="50">
        <f t="shared" si="76"/>
        <v>0</v>
      </c>
      <c r="H243" s="50">
        <f t="shared" si="77"/>
        <v>0</v>
      </c>
      <c r="I243" s="50">
        <f t="shared" si="78"/>
        <v>0</v>
      </c>
      <c r="J243" s="79"/>
      <c r="K243" s="49" t="s">
        <v>136</v>
      </c>
      <c r="L243" s="49" t="str">
        <f>IF(B243="","",IF(K243="S1",K243,INDEX(#REF!,#REF!)))</f>
        <v/>
      </c>
      <c r="M243" s="49" t="b">
        <f t="shared" si="79"/>
        <v>0</v>
      </c>
      <c r="N243" s="79"/>
      <c r="O243" s="79"/>
      <c r="P243" s="79"/>
      <c r="Q243" s="65" t="s">
        <v>433</v>
      </c>
      <c r="R243" s="49" t="str">
        <f t="shared" si="80"/>
        <v>23/04/2024</v>
      </c>
      <c r="S243" s="49" t="str">
        <f>IF(B243="","",IF(K243="S1",K243,INDEX(#REF!,#REF!)))</f>
        <v/>
      </c>
      <c r="T243" s="49" t="b">
        <f t="shared" si="81"/>
        <v>0</v>
      </c>
      <c r="U243" s="68">
        <f t="shared" si="82"/>
        <v>1</v>
      </c>
      <c r="V243" s="68">
        <f t="shared" si="83"/>
        <v>1</v>
      </c>
      <c r="W243" s="68">
        <f t="shared" si="84"/>
        <v>28</v>
      </c>
      <c r="X243" s="79"/>
      <c r="Y243" s="65"/>
      <c r="Z243" s="83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50" t="str">
        <f>IF(B243="","",IF(K243="S1",K243,INDEX(#REF!,#REF!)))</f>
        <v/>
      </c>
      <c r="AN243" s="50" t="b">
        <f t="shared" si="93"/>
        <v>1</v>
      </c>
      <c r="AO243" s="49" t="str">
        <f t="shared" si="94"/>
        <v>K5-POLICY</v>
      </c>
      <c r="AP243" s="72" t="str">
        <f>_xlfn.IFS(B243="","",AND(AO243="K5-LAW",AL243="นิติศาสตร์",K243="S2",Y243="",AE243=""),R243,AND(AO243="K5-LAW",AL243="นิติศาสตร์",K243="S1",Y243="",AE243=""),EDATE(R243,12),AND(AO243="K5-LAW",AL243="นิติศาสตร์",OR(K243="M2",K243="K4"),Y243="",AE243=""),EDATE(R243,12*2),AND(AO243="K5-LAW",AL243="นิติศาสตร์",OR(AE243="M2",AE243="K4"),AH243&gt;=2,OR(AG243&lt;AA243,AG243&lt;R243)),EDATE(AG243,12*2),AND(AO243="K5-LAW",AL243="นิติศาสตร์",AE243="S1",AH243&gt;=1,OR(AG243&lt;AA243,AG243&lt;R243)),EDATE(AG243,12),AND(AO243="K5-LAW",AL243="นิติศาสตร์",OR(Y243="M2",Y243="K4"),AB243&gt;=2,AA243&lt;R243),EDATE(AA243,12*2),AND(AO243="K5-LAW",AL243="นิติศาสตร์",Y243="S1",AB243&gt;=1,AA243&lt;R243),EDATE(AA243,12),AND(AO243="K5-LAW",AL243="นิติศาสตร์",OR(Y243="S2",Y243="K5")),AA243,AND(AO243="K5-LAW",AL243="นิติศาสตร์",OR(K243="M2",K243="K4"),U243&gt;=2),EDATE(R243,12*2),AND(AO243="K5-LAW",AL243="นิติศาสตร์",K243="S1",U243&gt;=1),EDATE(R243,12),AND(AO243="K5-LAW",AL243="นิติศาสตร์",OR(K243="S2",K243="K5")),R243,AND(AO243="K5-POLICY",AL243&lt;&gt;"นิติศาสตร์",K243="S2",Y243="",AE243=""),R243,AND(AO243="K5-POLICY",AL243&lt;&gt;"นิติศาสตร์",K243="S1",Y243="",AE243=""),EDATE(R243,12),AND(AO243="K5-POLICY",AL243&lt;&gt;"นิติศาสตร์",OR(K243="M2",K243="K4"),Y243="",AE243=""),EDATE(R243,12*2),AND(AO243="K5-POLICY",AL243&lt;&gt;"นิติศาสตร์",OR(AE243="M2",AE243="K4"),AH243&gt;=2,OR(AG243&lt;AA243,AG243&lt;R243)),EDATE(AG243,12*2),AND(AO243="K5-POLICY",AL243&lt;&gt;"นิติศาสตร์",AE243="S1",AH243&gt;=1,OR(AG243&lt;AA243,AG243&lt;R243)),EDATE(AG243,12),AND(AO243="K5-POLICY",AL243&lt;&gt;"นิติศาสตร์",OR(Y243="M2",Y243="K4"),AB243&gt;=2,AA243&lt;R243),EDATE(AA243,12*2),AND(AO243="K5-POLICY",AL243&lt;&gt;"นิติศาสตร์",Y243="S1",AB243&gt;=1,AA243&lt;R243),EDATE(AA243,12),AND(AO243="K5-POLICY",AL243&lt;&gt;"นิติศาสตร์",OR(Y243="S2",Y243="K5")),AA243,AND(AO243="K5-POLICY",AL243&lt;&gt;"นิติศาสตร์",OR(K243="M2",K243="K4"),U243&gt;=2),EDATE(R243,12*2),AND(AO243="K5-POLICY",AL243&lt;&gt;"นิติศาสตร์",K243="S1",U243&gt;=1),EDATE(R243,12),AND(AO243="K5-POLICY",AL243&lt;&gt;"นิติศาสตร์",OR(K243="S2",K243="K5")),R243,TRUE,"Check Data")</f>
        <v/>
      </c>
      <c r="AQ243" s="75" t="str">
        <f t="shared" si="95"/>
        <v>Check Data</v>
      </c>
      <c r="AR243" s="76" t="str">
        <f t="shared" si="96"/>
        <v>Check Data</v>
      </c>
      <c r="AS243" s="50" t="str">
        <f t="shared" si="97"/>
        <v>Check Data</v>
      </c>
      <c r="AT243" s="49" t="str">
        <f>IF(B243="","",IF(K243="S1","S1",INDEX(#REF!,#REF!)))</f>
        <v/>
      </c>
      <c r="AU243" s="49" t="str">
        <f t="shared" si="98"/>
        <v>M2</v>
      </c>
      <c r="AV243" s="50" t="b">
        <f t="shared" si="99"/>
        <v>0</v>
      </c>
      <c r="AW243" s="50"/>
    </row>
    <row r="244" spans="1:49" ht="21.75">
      <c r="A244" s="49">
        <v>242</v>
      </c>
      <c r="B244" s="50"/>
      <c r="C244" s="52"/>
      <c r="D244" s="79"/>
      <c r="E244" s="79"/>
      <c r="F244" s="79"/>
      <c r="G244" s="50">
        <f t="shared" si="76"/>
        <v>0</v>
      </c>
      <c r="H244" s="50">
        <f t="shared" si="77"/>
        <v>0</v>
      </c>
      <c r="I244" s="50">
        <f t="shared" si="78"/>
        <v>0</v>
      </c>
      <c r="J244" s="79"/>
      <c r="K244" s="49" t="s">
        <v>136</v>
      </c>
      <c r="L244" s="49" t="str">
        <f>IF(B244="","",IF(K244="S1",K244,INDEX(#REF!,#REF!)))</f>
        <v/>
      </c>
      <c r="M244" s="49" t="b">
        <f t="shared" si="79"/>
        <v>0</v>
      </c>
      <c r="N244" s="79"/>
      <c r="O244" s="79"/>
      <c r="P244" s="79"/>
      <c r="Q244" s="65" t="s">
        <v>433</v>
      </c>
      <c r="R244" s="49" t="str">
        <f t="shared" si="80"/>
        <v>23/04/2024</v>
      </c>
      <c r="S244" s="49" t="str">
        <f>IF(B244="","",IF(K244="S1",K244,INDEX(#REF!,#REF!)))</f>
        <v/>
      </c>
      <c r="T244" s="49" t="b">
        <f t="shared" si="81"/>
        <v>0</v>
      </c>
      <c r="U244" s="68">
        <f t="shared" si="82"/>
        <v>1</v>
      </c>
      <c r="V244" s="68">
        <f t="shared" si="83"/>
        <v>1</v>
      </c>
      <c r="W244" s="68">
        <f t="shared" si="84"/>
        <v>28</v>
      </c>
      <c r="X244" s="79"/>
      <c r="Y244" s="65"/>
      <c r="Z244" s="83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50" t="str">
        <f>IF(B244="","",IF(K244="S1",K244,INDEX(#REF!,#REF!)))</f>
        <v/>
      </c>
      <c r="AN244" s="50" t="b">
        <f t="shared" si="93"/>
        <v>1</v>
      </c>
      <c r="AO244" s="49" t="str">
        <f t="shared" si="94"/>
        <v>K5-POLICY</v>
      </c>
      <c r="AP244" s="72" t="str">
        <f>_xlfn.IFS(B244="","",AND(AO244="K5-LAW",AL244="นิติศาสตร์",K244="S2",Y244="",AE244=""),R244,AND(AO244="K5-LAW",AL244="นิติศาสตร์",K244="S1",Y244="",AE244=""),EDATE(R244,12),AND(AO244="K5-LAW",AL244="นิติศาสตร์",OR(K244="M2",K244="K4"),Y244="",AE244=""),EDATE(R244,12*2),AND(AO244="K5-LAW",AL244="นิติศาสตร์",OR(AE244="M2",AE244="K4"),AH244&gt;=2,OR(AG244&lt;AA244,AG244&lt;R244)),EDATE(AG244,12*2),AND(AO244="K5-LAW",AL244="นิติศาสตร์",AE244="S1",AH244&gt;=1,OR(AG244&lt;AA244,AG244&lt;R244)),EDATE(AG244,12),AND(AO244="K5-LAW",AL244="นิติศาสตร์",OR(Y244="M2",Y244="K4"),AB244&gt;=2,AA244&lt;R244),EDATE(AA244,12*2),AND(AO244="K5-LAW",AL244="นิติศาสตร์",Y244="S1",AB244&gt;=1,AA244&lt;R244),EDATE(AA244,12),AND(AO244="K5-LAW",AL244="นิติศาสตร์",OR(Y244="S2",Y244="K5")),AA244,AND(AO244="K5-LAW",AL244="นิติศาสตร์",OR(K244="M2",K244="K4"),U244&gt;=2),EDATE(R244,12*2),AND(AO244="K5-LAW",AL244="นิติศาสตร์",K244="S1",U244&gt;=1),EDATE(R244,12),AND(AO244="K5-LAW",AL244="นิติศาสตร์",OR(K244="S2",K244="K5")),R244,AND(AO244="K5-POLICY",AL244&lt;&gt;"นิติศาสตร์",K244="S2",Y244="",AE244=""),R244,AND(AO244="K5-POLICY",AL244&lt;&gt;"นิติศาสตร์",K244="S1",Y244="",AE244=""),EDATE(R244,12),AND(AO244="K5-POLICY",AL244&lt;&gt;"นิติศาสตร์",OR(K244="M2",K244="K4"),Y244="",AE244=""),EDATE(R244,12*2),AND(AO244="K5-POLICY",AL244&lt;&gt;"นิติศาสตร์",OR(AE244="M2",AE244="K4"),AH244&gt;=2,OR(AG244&lt;AA244,AG244&lt;R244)),EDATE(AG244,12*2),AND(AO244="K5-POLICY",AL244&lt;&gt;"นิติศาสตร์",AE244="S1",AH244&gt;=1,OR(AG244&lt;AA244,AG244&lt;R244)),EDATE(AG244,12),AND(AO244="K5-POLICY",AL244&lt;&gt;"นิติศาสตร์",OR(Y244="M2",Y244="K4"),AB244&gt;=2,AA244&lt;R244),EDATE(AA244,12*2),AND(AO244="K5-POLICY",AL244&lt;&gt;"นิติศาสตร์",Y244="S1",AB244&gt;=1,AA244&lt;R244),EDATE(AA244,12),AND(AO244="K5-POLICY",AL244&lt;&gt;"นิติศาสตร์",OR(Y244="S2",Y244="K5")),AA244,AND(AO244="K5-POLICY",AL244&lt;&gt;"นิติศาสตร์",OR(K244="M2",K244="K4"),U244&gt;=2),EDATE(R244,12*2),AND(AO244="K5-POLICY",AL244&lt;&gt;"นิติศาสตร์",K244="S1",U244&gt;=1),EDATE(R244,12),AND(AO244="K5-POLICY",AL244&lt;&gt;"นิติศาสตร์",OR(K244="S2",K244="K5")),R244,TRUE,"Check Data")</f>
        <v/>
      </c>
      <c r="AQ244" s="75" t="str">
        <f t="shared" si="95"/>
        <v>Check Data</v>
      </c>
      <c r="AR244" s="76" t="str">
        <f t="shared" si="96"/>
        <v>Check Data</v>
      </c>
      <c r="AS244" s="50" t="str">
        <f t="shared" si="97"/>
        <v>Check Data</v>
      </c>
      <c r="AT244" s="49" t="str">
        <f>IF(B244="","",IF(K244="S1","S1",INDEX(#REF!,#REF!)))</f>
        <v/>
      </c>
      <c r="AU244" s="49" t="str">
        <f t="shared" si="98"/>
        <v>M2</v>
      </c>
      <c r="AV244" s="50" t="b">
        <f t="shared" si="99"/>
        <v>0</v>
      </c>
      <c r="AW244" s="50"/>
    </row>
    <row r="245" spans="1:49" ht="21.75">
      <c r="A245" s="49">
        <v>243</v>
      </c>
      <c r="B245" s="50"/>
      <c r="C245" s="52"/>
      <c r="D245" s="79"/>
      <c r="E245" s="79"/>
      <c r="F245" s="79"/>
      <c r="G245" s="50">
        <f t="shared" si="76"/>
        <v>0</v>
      </c>
      <c r="H245" s="50">
        <f t="shared" si="77"/>
        <v>0</v>
      </c>
      <c r="I245" s="50">
        <f t="shared" si="78"/>
        <v>0</v>
      </c>
      <c r="J245" s="79"/>
      <c r="K245" s="49" t="s">
        <v>136</v>
      </c>
      <c r="L245" s="49" t="str">
        <f>IF(B245="","",IF(K245="S1",K245,INDEX(#REF!,#REF!)))</f>
        <v/>
      </c>
      <c r="M245" s="49" t="b">
        <f t="shared" si="79"/>
        <v>0</v>
      </c>
      <c r="N245" s="79"/>
      <c r="O245" s="79"/>
      <c r="P245" s="79"/>
      <c r="Q245" s="65" t="s">
        <v>433</v>
      </c>
      <c r="R245" s="49" t="str">
        <f t="shared" si="80"/>
        <v>23/04/2024</v>
      </c>
      <c r="S245" s="49" t="str">
        <f>IF(B245="","",IF(K245="S1",K245,INDEX(#REF!,#REF!)))</f>
        <v/>
      </c>
      <c r="T245" s="49" t="b">
        <f t="shared" si="81"/>
        <v>0</v>
      </c>
      <c r="U245" s="68">
        <f t="shared" si="82"/>
        <v>1</v>
      </c>
      <c r="V245" s="68">
        <f t="shared" si="83"/>
        <v>1</v>
      </c>
      <c r="W245" s="68">
        <f t="shared" si="84"/>
        <v>28</v>
      </c>
      <c r="X245" s="79"/>
      <c r="Y245" s="65"/>
      <c r="Z245" s="83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50" t="str">
        <f>IF(B245="","",IF(K245="S1",K245,INDEX(#REF!,#REF!)))</f>
        <v/>
      </c>
      <c r="AN245" s="50" t="b">
        <f t="shared" si="93"/>
        <v>1</v>
      </c>
      <c r="AO245" s="49" t="str">
        <f t="shared" si="94"/>
        <v>K5-POLICY</v>
      </c>
      <c r="AP245" s="72" t="str">
        <f>_xlfn.IFS(B245="","",AND(AO245="K5-LAW",AL245="นิติศาสตร์",K245="S2",Y245="",AE245=""),R245,AND(AO245="K5-LAW",AL245="นิติศาสตร์",K245="S1",Y245="",AE245=""),EDATE(R245,12),AND(AO245="K5-LAW",AL245="นิติศาสตร์",OR(K245="M2",K245="K4"),Y245="",AE245=""),EDATE(R245,12*2),AND(AO245="K5-LAW",AL245="นิติศาสตร์",OR(AE245="M2",AE245="K4"),AH245&gt;=2,OR(AG245&lt;AA245,AG245&lt;R245)),EDATE(AG245,12*2),AND(AO245="K5-LAW",AL245="นิติศาสตร์",AE245="S1",AH245&gt;=1,OR(AG245&lt;AA245,AG245&lt;R245)),EDATE(AG245,12),AND(AO245="K5-LAW",AL245="นิติศาสตร์",OR(Y245="M2",Y245="K4"),AB245&gt;=2,AA245&lt;R245),EDATE(AA245,12*2),AND(AO245="K5-LAW",AL245="นิติศาสตร์",Y245="S1",AB245&gt;=1,AA245&lt;R245),EDATE(AA245,12),AND(AO245="K5-LAW",AL245="นิติศาสตร์",OR(Y245="S2",Y245="K5")),AA245,AND(AO245="K5-LAW",AL245="นิติศาสตร์",OR(K245="M2",K245="K4"),U245&gt;=2),EDATE(R245,12*2),AND(AO245="K5-LAW",AL245="นิติศาสตร์",K245="S1",U245&gt;=1),EDATE(R245,12),AND(AO245="K5-LAW",AL245="นิติศาสตร์",OR(K245="S2",K245="K5")),R245,AND(AO245="K5-POLICY",AL245&lt;&gt;"นิติศาสตร์",K245="S2",Y245="",AE245=""),R245,AND(AO245="K5-POLICY",AL245&lt;&gt;"นิติศาสตร์",K245="S1",Y245="",AE245=""),EDATE(R245,12),AND(AO245="K5-POLICY",AL245&lt;&gt;"นิติศาสตร์",OR(K245="M2",K245="K4"),Y245="",AE245=""),EDATE(R245,12*2),AND(AO245="K5-POLICY",AL245&lt;&gt;"นิติศาสตร์",OR(AE245="M2",AE245="K4"),AH245&gt;=2,OR(AG245&lt;AA245,AG245&lt;R245)),EDATE(AG245,12*2),AND(AO245="K5-POLICY",AL245&lt;&gt;"นิติศาสตร์",AE245="S1",AH245&gt;=1,OR(AG245&lt;AA245,AG245&lt;R245)),EDATE(AG245,12),AND(AO245="K5-POLICY",AL245&lt;&gt;"นิติศาสตร์",OR(Y245="M2",Y245="K4"),AB245&gt;=2,AA245&lt;R245),EDATE(AA245,12*2),AND(AO245="K5-POLICY",AL245&lt;&gt;"นิติศาสตร์",Y245="S1",AB245&gt;=1,AA245&lt;R245),EDATE(AA245,12),AND(AO245="K5-POLICY",AL245&lt;&gt;"นิติศาสตร์",OR(Y245="S2",Y245="K5")),AA245,AND(AO245="K5-POLICY",AL245&lt;&gt;"นิติศาสตร์",OR(K245="M2",K245="K4"),U245&gt;=2),EDATE(R245,12*2),AND(AO245="K5-POLICY",AL245&lt;&gt;"นิติศาสตร์",K245="S1",U245&gt;=1),EDATE(R245,12),AND(AO245="K5-POLICY",AL245&lt;&gt;"นิติศาสตร์",OR(K245="S2",K245="K5")),R245,TRUE,"Check Data")</f>
        <v/>
      </c>
      <c r="AQ245" s="75" t="str">
        <f t="shared" si="95"/>
        <v>Check Data</v>
      </c>
      <c r="AR245" s="76" t="str">
        <f t="shared" si="96"/>
        <v>Check Data</v>
      </c>
      <c r="AS245" s="50" t="str">
        <f t="shared" si="97"/>
        <v>Check Data</v>
      </c>
      <c r="AT245" s="49" t="str">
        <f>IF(B245="","",IF(K245="S1","S1",INDEX(#REF!,#REF!)))</f>
        <v/>
      </c>
      <c r="AU245" s="49" t="str">
        <f t="shared" si="98"/>
        <v>M2</v>
      </c>
      <c r="AV245" s="50" t="b">
        <f t="shared" si="99"/>
        <v>0</v>
      </c>
      <c r="AW245" s="50"/>
    </row>
    <row r="246" spans="1:49" ht="21.75">
      <c r="A246" s="49">
        <v>244</v>
      </c>
      <c r="B246" s="50"/>
      <c r="C246" s="52"/>
      <c r="D246" s="79"/>
      <c r="E246" s="79"/>
      <c r="F246" s="79"/>
      <c r="G246" s="50">
        <f t="shared" si="76"/>
        <v>0</v>
      </c>
      <c r="H246" s="50">
        <f t="shared" si="77"/>
        <v>0</v>
      </c>
      <c r="I246" s="50">
        <f t="shared" si="78"/>
        <v>0</v>
      </c>
      <c r="J246" s="79"/>
      <c r="K246" s="49" t="s">
        <v>136</v>
      </c>
      <c r="L246" s="49" t="str">
        <f>IF(B246="","",IF(K246="S1",K246,INDEX(#REF!,#REF!)))</f>
        <v/>
      </c>
      <c r="M246" s="49" t="b">
        <f t="shared" si="79"/>
        <v>0</v>
      </c>
      <c r="N246" s="79"/>
      <c r="O246" s="79"/>
      <c r="P246" s="79"/>
      <c r="Q246" s="65" t="s">
        <v>433</v>
      </c>
      <c r="R246" s="49" t="str">
        <f t="shared" si="80"/>
        <v>23/04/2024</v>
      </c>
      <c r="S246" s="49" t="str">
        <f>IF(B246="","",IF(K246="S1",K246,INDEX(#REF!,#REF!)))</f>
        <v/>
      </c>
      <c r="T246" s="49" t="b">
        <f t="shared" si="81"/>
        <v>0</v>
      </c>
      <c r="U246" s="68">
        <f t="shared" si="82"/>
        <v>1</v>
      </c>
      <c r="V246" s="68">
        <f t="shared" si="83"/>
        <v>1</v>
      </c>
      <c r="W246" s="68">
        <f t="shared" si="84"/>
        <v>28</v>
      </c>
      <c r="X246" s="79"/>
      <c r="Y246" s="65"/>
      <c r="Z246" s="83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50" t="str">
        <f>IF(B246="","",IF(K246="S1",K246,INDEX(#REF!,#REF!)))</f>
        <v/>
      </c>
      <c r="AN246" s="50" t="b">
        <f t="shared" si="93"/>
        <v>1</v>
      </c>
      <c r="AO246" s="49" t="str">
        <f t="shared" si="94"/>
        <v>K5-POLICY</v>
      </c>
      <c r="AP246" s="72" t="str">
        <f>_xlfn.IFS(B246="","",AND(AO246="K5-LAW",AL246="นิติศาสตร์",K246="S2",Y246="",AE246=""),R246,AND(AO246="K5-LAW",AL246="นิติศาสตร์",K246="S1",Y246="",AE246=""),EDATE(R246,12),AND(AO246="K5-LAW",AL246="นิติศาสตร์",OR(K246="M2",K246="K4"),Y246="",AE246=""),EDATE(R246,12*2),AND(AO246="K5-LAW",AL246="นิติศาสตร์",OR(AE246="M2",AE246="K4"),AH246&gt;=2,OR(AG246&lt;AA246,AG246&lt;R246)),EDATE(AG246,12*2),AND(AO246="K5-LAW",AL246="นิติศาสตร์",AE246="S1",AH246&gt;=1,OR(AG246&lt;AA246,AG246&lt;R246)),EDATE(AG246,12),AND(AO246="K5-LAW",AL246="นิติศาสตร์",OR(Y246="M2",Y246="K4"),AB246&gt;=2,AA246&lt;R246),EDATE(AA246,12*2),AND(AO246="K5-LAW",AL246="นิติศาสตร์",Y246="S1",AB246&gt;=1,AA246&lt;R246),EDATE(AA246,12),AND(AO246="K5-LAW",AL246="นิติศาสตร์",OR(Y246="S2",Y246="K5")),AA246,AND(AO246="K5-LAW",AL246="นิติศาสตร์",OR(K246="M2",K246="K4"),U246&gt;=2),EDATE(R246,12*2),AND(AO246="K5-LAW",AL246="นิติศาสตร์",K246="S1",U246&gt;=1),EDATE(R246,12),AND(AO246="K5-LAW",AL246="นิติศาสตร์",OR(K246="S2",K246="K5")),R246,AND(AO246="K5-POLICY",AL246&lt;&gt;"นิติศาสตร์",K246="S2",Y246="",AE246=""),R246,AND(AO246="K5-POLICY",AL246&lt;&gt;"นิติศาสตร์",K246="S1",Y246="",AE246=""),EDATE(R246,12),AND(AO246="K5-POLICY",AL246&lt;&gt;"นิติศาสตร์",OR(K246="M2",K246="K4"),Y246="",AE246=""),EDATE(R246,12*2),AND(AO246="K5-POLICY",AL246&lt;&gt;"นิติศาสตร์",OR(AE246="M2",AE246="K4"),AH246&gt;=2,OR(AG246&lt;AA246,AG246&lt;R246)),EDATE(AG246,12*2),AND(AO246="K5-POLICY",AL246&lt;&gt;"นิติศาสตร์",AE246="S1",AH246&gt;=1,OR(AG246&lt;AA246,AG246&lt;R246)),EDATE(AG246,12),AND(AO246="K5-POLICY",AL246&lt;&gt;"นิติศาสตร์",OR(Y246="M2",Y246="K4"),AB246&gt;=2,AA246&lt;R246),EDATE(AA246,12*2),AND(AO246="K5-POLICY",AL246&lt;&gt;"นิติศาสตร์",Y246="S1",AB246&gt;=1,AA246&lt;R246),EDATE(AA246,12),AND(AO246="K5-POLICY",AL246&lt;&gt;"นิติศาสตร์",OR(Y246="S2",Y246="K5")),AA246,AND(AO246="K5-POLICY",AL246&lt;&gt;"นิติศาสตร์",OR(K246="M2",K246="K4"),U246&gt;=2),EDATE(R246,12*2),AND(AO246="K5-POLICY",AL246&lt;&gt;"นิติศาสตร์",K246="S1",U246&gt;=1),EDATE(R246,12),AND(AO246="K5-POLICY",AL246&lt;&gt;"นิติศาสตร์",OR(K246="S2",K246="K5")),R246,TRUE,"Check Data")</f>
        <v/>
      </c>
      <c r="AQ246" s="75" t="str">
        <f t="shared" si="95"/>
        <v>Check Data</v>
      </c>
      <c r="AR246" s="76" t="str">
        <f t="shared" si="96"/>
        <v>Check Data</v>
      </c>
      <c r="AS246" s="50" t="str">
        <f t="shared" si="97"/>
        <v>Check Data</v>
      </c>
      <c r="AT246" s="49" t="str">
        <f>IF(B246="","",IF(K246="S1","S1",INDEX(#REF!,#REF!)))</f>
        <v/>
      </c>
      <c r="AU246" s="49" t="str">
        <f t="shared" si="98"/>
        <v>M2</v>
      </c>
      <c r="AV246" s="50" t="b">
        <f t="shared" si="99"/>
        <v>0</v>
      </c>
      <c r="AW246" s="50"/>
    </row>
    <row r="247" spans="1:49" ht="21.75">
      <c r="A247" s="49">
        <v>245</v>
      </c>
      <c r="B247" s="50"/>
      <c r="C247" s="52"/>
      <c r="D247" s="79"/>
      <c r="E247" s="79"/>
      <c r="F247" s="79"/>
      <c r="G247" s="50">
        <f t="shared" si="76"/>
        <v>0</v>
      </c>
      <c r="H247" s="50">
        <f t="shared" si="77"/>
        <v>0</v>
      </c>
      <c r="I247" s="50">
        <f t="shared" si="78"/>
        <v>0</v>
      </c>
      <c r="J247" s="79"/>
      <c r="K247" s="49" t="s">
        <v>136</v>
      </c>
      <c r="L247" s="49" t="str">
        <f>IF(B247="","",IF(K247="S1",K247,INDEX(#REF!,#REF!)))</f>
        <v/>
      </c>
      <c r="M247" s="49" t="b">
        <f t="shared" si="79"/>
        <v>0</v>
      </c>
      <c r="N247" s="79"/>
      <c r="O247" s="79"/>
      <c r="P247" s="79"/>
      <c r="Q247" s="65" t="s">
        <v>433</v>
      </c>
      <c r="R247" s="49" t="str">
        <f t="shared" si="80"/>
        <v>23/04/2024</v>
      </c>
      <c r="S247" s="49" t="str">
        <f>IF(B247="","",IF(K247="S1",K247,INDEX(#REF!,#REF!)))</f>
        <v/>
      </c>
      <c r="T247" s="49" t="b">
        <f t="shared" si="81"/>
        <v>0</v>
      </c>
      <c r="U247" s="68">
        <f t="shared" si="82"/>
        <v>1</v>
      </c>
      <c r="V247" s="68">
        <f t="shared" si="83"/>
        <v>1</v>
      </c>
      <c r="W247" s="68">
        <f t="shared" si="84"/>
        <v>28</v>
      </c>
      <c r="X247" s="79"/>
      <c r="Y247" s="65"/>
      <c r="Z247" s="83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50" t="str">
        <f>IF(B247="","",IF(K247="S1",K247,INDEX(#REF!,#REF!)))</f>
        <v/>
      </c>
      <c r="AN247" s="50" t="b">
        <f t="shared" si="93"/>
        <v>1</v>
      </c>
      <c r="AO247" s="49" t="str">
        <f t="shared" si="94"/>
        <v>K5-POLICY</v>
      </c>
      <c r="AP247" s="72" t="str">
        <f>_xlfn.IFS(B247="","",AND(AO247="K5-LAW",AL247="นิติศาสตร์",K247="S2",Y247="",AE247=""),R247,AND(AO247="K5-LAW",AL247="นิติศาสตร์",K247="S1",Y247="",AE247=""),EDATE(R247,12),AND(AO247="K5-LAW",AL247="นิติศาสตร์",OR(K247="M2",K247="K4"),Y247="",AE247=""),EDATE(R247,12*2),AND(AO247="K5-LAW",AL247="นิติศาสตร์",OR(AE247="M2",AE247="K4"),AH247&gt;=2,OR(AG247&lt;AA247,AG247&lt;R247)),EDATE(AG247,12*2),AND(AO247="K5-LAW",AL247="นิติศาสตร์",AE247="S1",AH247&gt;=1,OR(AG247&lt;AA247,AG247&lt;R247)),EDATE(AG247,12),AND(AO247="K5-LAW",AL247="นิติศาสตร์",OR(Y247="M2",Y247="K4"),AB247&gt;=2,AA247&lt;R247),EDATE(AA247,12*2),AND(AO247="K5-LAW",AL247="นิติศาสตร์",Y247="S1",AB247&gt;=1,AA247&lt;R247),EDATE(AA247,12),AND(AO247="K5-LAW",AL247="นิติศาสตร์",OR(Y247="S2",Y247="K5")),AA247,AND(AO247="K5-LAW",AL247="นิติศาสตร์",OR(K247="M2",K247="K4"),U247&gt;=2),EDATE(R247,12*2),AND(AO247="K5-LAW",AL247="นิติศาสตร์",K247="S1",U247&gt;=1),EDATE(R247,12),AND(AO247="K5-LAW",AL247="นิติศาสตร์",OR(K247="S2",K247="K5")),R247,AND(AO247="K5-POLICY",AL247&lt;&gt;"นิติศาสตร์",K247="S2",Y247="",AE247=""),R247,AND(AO247="K5-POLICY",AL247&lt;&gt;"นิติศาสตร์",K247="S1",Y247="",AE247=""),EDATE(R247,12),AND(AO247="K5-POLICY",AL247&lt;&gt;"นิติศาสตร์",OR(K247="M2",K247="K4"),Y247="",AE247=""),EDATE(R247,12*2),AND(AO247="K5-POLICY",AL247&lt;&gt;"นิติศาสตร์",OR(AE247="M2",AE247="K4"),AH247&gt;=2,OR(AG247&lt;AA247,AG247&lt;R247)),EDATE(AG247,12*2),AND(AO247="K5-POLICY",AL247&lt;&gt;"นิติศาสตร์",AE247="S1",AH247&gt;=1,OR(AG247&lt;AA247,AG247&lt;R247)),EDATE(AG247,12),AND(AO247="K5-POLICY",AL247&lt;&gt;"นิติศาสตร์",OR(Y247="M2",Y247="K4"),AB247&gt;=2,AA247&lt;R247),EDATE(AA247,12*2),AND(AO247="K5-POLICY",AL247&lt;&gt;"นิติศาสตร์",Y247="S1",AB247&gt;=1,AA247&lt;R247),EDATE(AA247,12),AND(AO247="K5-POLICY",AL247&lt;&gt;"นิติศาสตร์",OR(Y247="S2",Y247="K5")),AA247,AND(AO247="K5-POLICY",AL247&lt;&gt;"นิติศาสตร์",OR(K247="M2",K247="K4"),U247&gt;=2),EDATE(R247,12*2),AND(AO247="K5-POLICY",AL247&lt;&gt;"นิติศาสตร์",K247="S1",U247&gt;=1),EDATE(R247,12),AND(AO247="K5-POLICY",AL247&lt;&gt;"นิติศาสตร์",OR(K247="S2",K247="K5")),R247,TRUE,"Check Data")</f>
        <v/>
      </c>
      <c r="AQ247" s="75" t="str">
        <f t="shared" si="95"/>
        <v>Check Data</v>
      </c>
      <c r="AR247" s="76" t="str">
        <f t="shared" si="96"/>
        <v>Check Data</v>
      </c>
      <c r="AS247" s="50" t="str">
        <f t="shared" si="97"/>
        <v>Check Data</v>
      </c>
      <c r="AT247" s="49" t="str">
        <f>IF(B247="","",IF(K247="S1","S1",INDEX(#REF!,#REF!)))</f>
        <v/>
      </c>
      <c r="AU247" s="49" t="str">
        <f t="shared" si="98"/>
        <v>M2</v>
      </c>
      <c r="AV247" s="50" t="b">
        <f t="shared" si="99"/>
        <v>0</v>
      </c>
      <c r="AW247" s="50"/>
    </row>
    <row r="248" spans="1:49" ht="21.75">
      <c r="A248" s="49">
        <v>246</v>
      </c>
      <c r="B248" s="50"/>
      <c r="C248" s="52"/>
      <c r="D248" s="79"/>
      <c r="E248" s="79"/>
      <c r="F248" s="79"/>
      <c r="G248" s="50">
        <f t="shared" si="76"/>
        <v>0</v>
      </c>
      <c r="H248" s="50">
        <f t="shared" si="77"/>
        <v>0</v>
      </c>
      <c r="I248" s="50">
        <f t="shared" si="78"/>
        <v>0</v>
      </c>
      <c r="J248" s="79"/>
      <c r="K248" s="49" t="s">
        <v>136</v>
      </c>
      <c r="L248" s="49" t="str">
        <f>IF(B248="","",IF(K248="S1",K248,INDEX(#REF!,#REF!)))</f>
        <v/>
      </c>
      <c r="M248" s="49" t="b">
        <f t="shared" si="79"/>
        <v>0</v>
      </c>
      <c r="N248" s="79"/>
      <c r="O248" s="79"/>
      <c r="P248" s="79"/>
      <c r="Q248" s="82" t="s">
        <v>433</v>
      </c>
      <c r="R248" s="49" t="str">
        <f t="shared" si="80"/>
        <v>23/04/2024</v>
      </c>
      <c r="S248" s="49" t="str">
        <f>IF(B248="","",IF(K248="S1",K248,INDEX(#REF!,#REF!)))</f>
        <v/>
      </c>
      <c r="T248" s="49" t="b">
        <f t="shared" si="81"/>
        <v>0</v>
      </c>
      <c r="U248" s="68">
        <f t="shared" si="82"/>
        <v>1</v>
      </c>
      <c r="V248" s="68">
        <f t="shared" si="83"/>
        <v>1</v>
      </c>
      <c r="W248" s="68">
        <f t="shared" si="84"/>
        <v>28</v>
      </c>
      <c r="X248" s="79"/>
      <c r="Y248" s="65"/>
      <c r="Z248" s="83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50" t="str">
        <f>IF(B248="","",IF(K248="S1",K248,INDEX(#REF!,#REF!)))</f>
        <v/>
      </c>
      <c r="AN248" s="50" t="b">
        <f t="shared" si="93"/>
        <v>1</v>
      </c>
      <c r="AO248" s="49" t="str">
        <f t="shared" si="94"/>
        <v>K5-POLICY</v>
      </c>
      <c r="AP248" s="72" t="str">
        <f>_xlfn.IFS(B248="","",AND(AO248="K5-LAW",AL248="นิติศาสตร์",K248="S2",Y248="",AE248=""),R248,AND(AO248="K5-LAW",AL248="นิติศาสตร์",K248="S1",Y248="",AE248=""),EDATE(R248,12),AND(AO248="K5-LAW",AL248="นิติศาสตร์",OR(K248="M2",K248="K4"),Y248="",AE248=""),EDATE(R248,12*2),AND(AO248="K5-LAW",AL248="นิติศาสตร์",OR(AE248="M2",AE248="K4"),AH248&gt;=2,OR(AG248&lt;AA248,AG248&lt;R248)),EDATE(AG248,12*2),AND(AO248="K5-LAW",AL248="นิติศาสตร์",AE248="S1",AH248&gt;=1,OR(AG248&lt;AA248,AG248&lt;R248)),EDATE(AG248,12),AND(AO248="K5-LAW",AL248="นิติศาสตร์",OR(Y248="M2",Y248="K4"),AB248&gt;=2,AA248&lt;R248),EDATE(AA248,12*2),AND(AO248="K5-LAW",AL248="นิติศาสตร์",Y248="S1",AB248&gt;=1,AA248&lt;R248),EDATE(AA248,12),AND(AO248="K5-LAW",AL248="นิติศาสตร์",OR(Y248="S2",Y248="K5")),AA248,AND(AO248="K5-LAW",AL248="นิติศาสตร์",OR(K248="M2",K248="K4"),U248&gt;=2),EDATE(R248,12*2),AND(AO248="K5-LAW",AL248="นิติศาสตร์",K248="S1",U248&gt;=1),EDATE(R248,12),AND(AO248="K5-LAW",AL248="นิติศาสตร์",OR(K248="S2",K248="K5")),R248,AND(AO248="K5-POLICY",AL248&lt;&gt;"นิติศาสตร์",K248="S2",Y248="",AE248=""),R248,AND(AO248="K5-POLICY",AL248&lt;&gt;"นิติศาสตร์",K248="S1",Y248="",AE248=""),EDATE(R248,12),AND(AO248="K5-POLICY",AL248&lt;&gt;"นิติศาสตร์",OR(K248="M2",K248="K4"),Y248="",AE248=""),EDATE(R248,12*2),AND(AO248="K5-POLICY",AL248&lt;&gt;"นิติศาสตร์",OR(AE248="M2",AE248="K4"),AH248&gt;=2,OR(AG248&lt;AA248,AG248&lt;R248)),EDATE(AG248,12*2),AND(AO248="K5-POLICY",AL248&lt;&gt;"นิติศาสตร์",AE248="S1",AH248&gt;=1,OR(AG248&lt;AA248,AG248&lt;R248)),EDATE(AG248,12),AND(AO248="K5-POLICY",AL248&lt;&gt;"นิติศาสตร์",OR(Y248="M2",Y248="K4"),AB248&gt;=2,AA248&lt;R248),EDATE(AA248,12*2),AND(AO248="K5-POLICY",AL248&lt;&gt;"นิติศาสตร์",Y248="S1",AB248&gt;=1,AA248&lt;R248),EDATE(AA248,12),AND(AO248="K5-POLICY",AL248&lt;&gt;"นิติศาสตร์",OR(Y248="S2",Y248="K5")),AA248,AND(AO248="K5-POLICY",AL248&lt;&gt;"นิติศาสตร์",OR(K248="M2",K248="K4"),U248&gt;=2),EDATE(R248,12*2),AND(AO248="K5-POLICY",AL248&lt;&gt;"นิติศาสตร์",K248="S1",U248&gt;=1),EDATE(R248,12),AND(AO248="K5-POLICY",AL248&lt;&gt;"นิติศาสตร์",OR(K248="S2",K248="K5")),R248,TRUE,"Check Data")</f>
        <v/>
      </c>
      <c r="AQ248" s="75" t="str">
        <f t="shared" si="95"/>
        <v>Check Data</v>
      </c>
      <c r="AR248" s="76" t="str">
        <f t="shared" si="96"/>
        <v>Check Data</v>
      </c>
      <c r="AS248" s="50" t="str">
        <f t="shared" si="97"/>
        <v>Check Data</v>
      </c>
      <c r="AT248" s="49" t="str">
        <f>IF(B248="","",IF(K248="S1","S1",INDEX(#REF!,#REF!)))</f>
        <v/>
      </c>
      <c r="AU248" s="49" t="str">
        <f t="shared" si="98"/>
        <v>M2</v>
      </c>
      <c r="AV248" s="50" t="b">
        <f t="shared" si="99"/>
        <v>0</v>
      </c>
      <c r="AW248" s="50"/>
    </row>
    <row r="249" spans="1:49" ht="21.75">
      <c r="A249" s="49">
        <v>247</v>
      </c>
      <c r="B249" s="50"/>
      <c r="C249" s="52"/>
      <c r="D249" s="79"/>
      <c r="E249" s="79"/>
      <c r="F249" s="79"/>
      <c r="G249" s="50">
        <f t="shared" si="76"/>
        <v>0</v>
      </c>
      <c r="H249" s="50">
        <f t="shared" si="77"/>
        <v>0</v>
      </c>
      <c r="I249" s="50">
        <f t="shared" si="78"/>
        <v>0</v>
      </c>
      <c r="J249" s="79"/>
      <c r="K249" s="49" t="s">
        <v>136</v>
      </c>
      <c r="L249" s="49" t="str">
        <f>IF(B249="","",IF(K249="S1",K249,INDEX(#REF!,#REF!)))</f>
        <v/>
      </c>
      <c r="M249" s="49" t="b">
        <f t="shared" si="79"/>
        <v>0</v>
      </c>
      <c r="N249" s="79"/>
      <c r="O249" s="79"/>
      <c r="P249" s="79"/>
      <c r="Q249" s="65" t="s">
        <v>433</v>
      </c>
      <c r="R249" s="49" t="str">
        <f t="shared" si="80"/>
        <v>23/04/2024</v>
      </c>
      <c r="S249" s="49" t="str">
        <f>IF(B249="","",IF(K249="S1",K249,INDEX(#REF!,#REF!)))</f>
        <v/>
      </c>
      <c r="T249" s="49" t="b">
        <f t="shared" si="81"/>
        <v>0</v>
      </c>
      <c r="U249" s="68">
        <f t="shared" si="82"/>
        <v>1</v>
      </c>
      <c r="V249" s="68">
        <f t="shared" si="83"/>
        <v>1</v>
      </c>
      <c r="W249" s="68">
        <f t="shared" si="84"/>
        <v>28</v>
      </c>
      <c r="X249" s="79"/>
      <c r="Y249" s="65"/>
      <c r="Z249" s="83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50" t="str">
        <f>IF(B249="","",IF(K249="S1",K249,INDEX(#REF!,#REF!)))</f>
        <v/>
      </c>
      <c r="AN249" s="50" t="b">
        <f t="shared" si="93"/>
        <v>1</v>
      </c>
      <c r="AO249" s="49" t="str">
        <f t="shared" si="94"/>
        <v>K5-POLICY</v>
      </c>
      <c r="AP249" s="72" t="str">
        <f>_xlfn.IFS(B249="","",AND(AO249="K5-LAW",AL249="นิติศาสตร์",K249="S2",Y249="",AE249=""),R249,AND(AO249="K5-LAW",AL249="นิติศาสตร์",K249="S1",Y249="",AE249=""),EDATE(R249,12),AND(AO249="K5-LAW",AL249="นิติศาสตร์",OR(K249="M2",K249="K4"),Y249="",AE249=""),EDATE(R249,12*2),AND(AO249="K5-LAW",AL249="นิติศาสตร์",OR(AE249="M2",AE249="K4"),AH249&gt;=2,OR(AG249&lt;AA249,AG249&lt;R249)),EDATE(AG249,12*2),AND(AO249="K5-LAW",AL249="นิติศาสตร์",AE249="S1",AH249&gt;=1,OR(AG249&lt;AA249,AG249&lt;R249)),EDATE(AG249,12),AND(AO249="K5-LAW",AL249="นิติศาสตร์",OR(Y249="M2",Y249="K4"),AB249&gt;=2,AA249&lt;R249),EDATE(AA249,12*2),AND(AO249="K5-LAW",AL249="นิติศาสตร์",Y249="S1",AB249&gt;=1,AA249&lt;R249),EDATE(AA249,12),AND(AO249="K5-LAW",AL249="นิติศาสตร์",OR(Y249="S2",Y249="K5")),AA249,AND(AO249="K5-LAW",AL249="นิติศาสตร์",OR(K249="M2",K249="K4"),U249&gt;=2),EDATE(R249,12*2),AND(AO249="K5-LAW",AL249="นิติศาสตร์",K249="S1",U249&gt;=1),EDATE(R249,12),AND(AO249="K5-LAW",AL249="นิติศาสตร์",OR(K249="S2",K249="K5")),R249,AND(AO249="K5-POLICY",AL249&lt;&gt;"นิติศาสตร์",K249="S2",Y249="",AE249=""),R249,AND(AO249="K5-POLICY",AL249&lt;&gt;"นิติศาสตร์",K249="S1",Y249="",AE249=""),EDATE(R249,12),AND(AO249="K5-POLICY",AL249&lt;&gt;"นิติศาสตร์",OR(K249="M2",K249="K4"),Y249="",AE249=""),EDATE(R249,12*2),AND(AO249="K5-POLICY",AL249&lt;&gt;"นิติศาสตร์",OR(AE249="M2",AE249="K4"),AH249&gt;=2,OR(AG249&lt;AA249,AG249&lt;R249)),EDATE(AG249,12*2),AND(AO249="K5-POLICY",AL249&lt;&gt;"นิติศาสตร์",AE249="S1",AH249&gt;=1,OR(AG249&lt;AA249,AG249&lt;R249)),EDATE(AG249,12),AND(AO249="K5-POLICY",AL249&lt;&gt;"นิติศาสตร์",OR(Y249="M2",Y249="K4"),AB249&gt;=2,AA249&lt;R249),EDATE(AA249,12*2),AND(AO249="K5-POLICY",AL249&lt;&gt;"นิติศาสตร์",Y249="S1",AB249&gt;=1,AA249&lt;R249),EDATE(AA249,12),AND(AO249="K5-POLICY",AL249&lt;&gt;"นิติศาสตร์",OR(Y249="S2",Y249="K5")),AA249,AND(AO249="K5-POLICY",AL249&lt;&gt;"นิติศาสตร์",OR(K249="M2",K249="K4"),U249&gt;=2),EDATE(R249,12*2),AND(AO249="K5-POLICY",AL249&lt;&gt;"นิติศาสตร์",K249="S1",U249&gt;=1),EDATE(R249,12),AND(AO249="K5-POLICY",AL249&lt;&gt;"นิติศาสตร์",OR(K249="S2",K249="K5")),R249,TRUE,"Check Data")</f>
        <v/>
      </c>
      <c r="AQ249" s="75" t="str">
        <f t="shared" si="95"/>
        <v>Check Data</v>
      </c>
      <c r="AR249" s="76" t="str">
        <f t="shared" si="96"/>
        <v>Check Data</v>
      </c>
      <c r="AS249" s="50" t="str">
        <f t="shared" si="97"/>
        <v>Check Data</v>
      </c>
      <c r="AT249" s="49" t="str">
        <f>IF(B249="","",IF(K249="S1","S1",INDEX(#REF!,#REF!)))</f>
        <v/>
      </c>
      <c r="AU249" s="49" t="str">
        <f t="shared" si="98"/>
        <v>M2</v>
      </c>
      <c r="AV249" s="50" t="b">
        <f t="shared" si="99"/>
        <v>0</v>
      </c>
      <c r="AW249" s="50"/>
    </row>
    <row r="250" spans="1:49" ht="21.75">
      <c r="A250" s="49">
        <v>248</v>
      </c>
      <c r="B250" s="50"/>
      <c r="C250" s="52"/>
      <c r="D250" s="50"/>
      <c r="E250" s="49"/>
      <c r="F250" s="49"/>
      <c r="G250" s="50">
        <f t="shared" si="76"/>
        <v>0</v>
      </c>
      <c r="H250" s="50">
        <f t="shared" si="77"/>
        <v>0</v>
      </c>
      <c r="I250" s="50">
        <f t="shared" si="78"/>
        <v>0</v>
      </c>
      <c r="J250" s="50"/>
      <c r="K250" s="49" t="s">
        <v>136</v>
      </c>
      <c r="L250" s="49" t="str">
        <f>IF(B250="","",IF(K250="S1",K250,INDEX(#REF!,#REF!)))</f>
        <v/>
      </c>
      <c r="M250" s="49" t="b">
        <f t="shared" si="79"/>
        <v>0</v>
      </c>
      <c r="N250" s="64"/>
      <c r="O250" s="49"/>
      <c r="P250" s="49"/>
      <c r="Q250" s="65" t="s">
        <v>434</v>
      </c>
      <c r="R250" s="49" t="str">
        <f t="shared" si="80"/>
        <v>02/07/2024</v>
      </c>
      <c r="S250" s="49" t="str">
        <f>IF(B250="","",IF(K250="S1",K250,INDEX(#REF!,#REF!)))</f>
        <v/>
      </c>
      <c r="T250" s="49" t="b">
        <f t="shared" si="81"/>
        <v>0</v>
      </c>
      <c r="U250" s="68">
        <f t="shared" si="82"/>
        <v>0</v>
      </c>
      <c r="V250" s="68">
        <f t="shared" si="83"/>
        <v>11</v>
      </c>
      <c r="W250" s="68">
        <f t="shared" si="84"/>
        <v>18</v>
      </c>
      <c r="X250" s="68"/>
      <c r="Y250" s="65"/>
      <c r="Z250" s="65"/>
      <c r="AA250" s="49"/>
      <c r="AB250" s="68"/>
      <c r="AC250" s="68"/>
      <c r="AD250" s="68"/>
      <c r="AE250" s="49"/>
      <c r="AF250" s="65"/>
      <c r="AG250" s="50"/>
      <c r="AH250" s="68"/>
      <c r="AI250" s="68"/>
      <c r="AJ250" s="68"/>
      <c r="AK250" s="50"/>
      <c r="AL250" s="50"/>
      <c r="AM250" s="50" t="str">
        <f>IF(B250="","",IF(K250="S1",K250,INDEX(#REF!,#REF!)))</f>
        <v/>
      </c>
      <c r="AN250" s="50" t="b">
        <f t="shared" si="93"/>
        <v>1</v>
      </c>
      <c r="AO250" s="49" t="str">
        <f t="shared" si="94"/>
        <v>K5-POLICY</v>
      </c>
      <c r="AP250" s="72" t="str">
        <f>_xlfn.IFS(B250="","",AND(AO250="K5-LAW",AL250="นิติศาสตร์",K250="S2",Y250="",AE250=""),R250,AND(AO250="K5-LAW",AL250="นิติศาสตร์",K250="S1",Y250="",AE250=""),EDATE(R250,12),AND(AO250="K5-LAW",AL250="นิติศาสตร์",OR(K250="M2",K250="K4"),Y250="",AE250=""),EDATE(R250,12*2),AND(AO250="K5-LAW",AL250="นิติศาสตร์",OR(AE250="M2",AE250="K4"),AH250&gt;=2,OR(AG250&lt;AA250,AG250&lt;R250)),EDATE(AG250,12*2),AND(AO250="K5-LAW",AL250="นิติศาสตร์",AE250="S1",AH250&gt;=1,OR(AG250&lt;AA250,AG250&lt;R250)),EDATE(AG250,12),AND(AO250="K5-LAW",AL250="นิติศาสตร์",OR(Y250="M2",Y250="K4"),AB250&gt;=2,AA250&lt;R250),EDATE(AA250,12*2),AND(AO250="K5-LAW",AL250="นิติศาสตร์",Y250="S1",AB250&gt;=1,AA250&lt;R250),EDATE(AA250,12),AND(AO250="K5-LAW",AL250="นิติศาสตร์",OR(Y250="S2",Y250="K5")),AA250,AND(AO250="K5-LAW",AL250="นิติศาสตร์",OR(K250="M2",K250="K4"),U250&gt;=2),EDATE(R250,12*2),AND(AO250="K5-LAW",AL250="นิติศาสตร์",K250="S1",U250&gt;=1),EDATE(R250,12),AND(AO250="K5-LAW",AL250="นิติศาสตร์",OR(K250="S2",K250="K5")),R250,AND(AO250="K5-POLICY",AL250&lt;&gt;"นิติศาสตร์",K250="S2",Y250="",AE250=""),R250,AND(AO250="K5-POLICY",AL250&lt;&gt;"นิติศาสตร์",K250="S1",Y250="",AE250=""),EDATE(R250,12),AND(AO250="K5-POLICY",AL250&lt;&gt;"นิติศาสตร์",OR(K250="M2",K250="K4"),Y250="",AE250=""),EDATE(R250,12*2),AND(AO250="K5-POLICY",AL250&lt;&gt;"นิติศาสตร์",OR(AE250="M2",AE250="K4"),AH250&gt;=2,OR(AG250&lt;AA250,AG250&lt;R250)),EDATE(AG250,12*2),AND(AO250="K5-POLICY",AL250&lt;&gt;"นิติศาสตร์",AE250="S1",AH250&gt;=1,OR(AG250&lt;AA250,AG250&lt;R250)),EDATE(AG250,12),AND(AO250="K5-POLICY",AL250&lt;&gt;"นิติศาสตร์",OR(Y250="M2",Y250="K4"),AB250&gt;=2,AA250&lt;R250),EDATE(AA250,12*2),AND(AO250="K5-POLICY",AL250&lt;&gt;"นิติศาสตร์",Y250="S1",AB250&gt;=1,AA250&lt;R250),EDATE(AA250,12),AND(AO250="K5-POLICY",AL250&lt;&gt;"นิติศาสตร์",OR(Y250="S2",Y250="K5")),AA250,AND(AO250="K5-POLICY",AL250&lt;&gt;"นิติศาสตร์",OR(K250="M2",K250="K4"),U250&gt;=2),EDATE(R250,12*2),AND(AO250="K5-POLICY",AL250&lt;&gt;"นิติศาสตร์",K250="S1",U250&gt;=1),EDATE(R250,12),AND(AO250="K5-POLICY",AL250&lt;&gt;"นิติศาสตร์",OR(K250="S2",K250="K5")),R250,TRUE,"Check Data")</f>
        <v/>
      </c>
      <c r="AQ250" s="75" t="str">
        <f t="shared" si="95"/>
        <v>Check Data</v>
      </c>
      <c r="AR250" s="76" t="str">
        <f t="shared" si="96"/>
        <v>Check Data</v>
      </c>
      <c r="AS250" s="50" t="str">
        <f t="shared" si="97"/>
        <v>Check Data</v>
      </c>
      <c r="AT250" s="49" t="str">
        <f>IF(B250="","",IF(K250="S1","S1",INDEX(#REF!,#REF!)))</f>
        <v/>
      </c>
      <c r="AU250" s="49" t="str">
        <f t="shared" si="98"/>
        <v>M2</v>
      </c>
      <c r="AV250" s="50" t="b">
        <f t="shared" si="99"/>
        <v>0</v>
      </c>
      <c r="AW250" s="50"/>
    </row>
    <row r="251" spans="1:49" ht="21.75">
      <c r="A251" s="49">
        <v>249</v>
      </c>
      <c r="B251" s="50"/>
      <c r="C251" s="52"/>
      <c r="D251" s="50"/>
      <c r="E251" s="49"/>
      <c r="F251" s="49"/>
      <c r="G251" s="50">
        <f t="shared" si="76"/>
        <v>0</v>
      </c>
      <c r="H251" s="50">
        <f t="shared" si="77"/>
        <v>0</v>
      </c>
      <c r="I251" s="50">
        <f t="shared" si="78"/>
        <v>0</v>
      </c>
      <c r="J251" s="50"/>
      <c r="K251" s="49" t="s">
        <v>136</v>
      </c>
      <c r="L251" s="49" t="str">
        <f>IF(B251="","",IF(K251="S1",K251,INDEX(#REF!,#REF!)))</f>
        <v/>
      </c>
      <c r="M251" s="49" t="b">
        <f t="shared" si="79"/>
        <v>0</v>
      </c>
      <c r="N251" s="64"/>
      <c r="O251" s="49"/>
      <c r="P251" s="49"/>
      <c r="Q251" s="65" t="s">
        <v>434</v>
      </c>
      <c r="R251" s="49" t="str">
        <f t="shared" si="80"/>
        <v>02/07/2024</v>
      </c>
      <c r="S251" s="49" t="str">
        <f>IF(B251="","",IF(K251="S1",K251,INDEX(#REF!,#REF!)))</f>
        <v/>
      </c>
      <c r="T251" s="49" t="b">
        <f t="shared" si="81"/>
        <v>0</v>
      </c>
      <c r="U251" s="68">
        <f t="shared" si="82"/>
        <v>0</v>
      </c>
      <c r="V251" s="68">
        <f t="shared" si="83"/>
        <v>11</v>
      </c>
      <c r="W251" s="68">
        <f t="shared" si="84"/>
        <v>18</v>
      </c>
      <c r="X251" s="68"/>
      <c r="Y251" s="65"/>
      <c r="Z251" s="65"/>
      <c r="AA251" s="49"/>
      <c r="AB251" s="68"/>
      <c r="AC251" s="68"/>
      <c r="AD251" s="68"/>
      <c r="AE251" s="49"/>
      <c r="AF251" s="65"/>
      <c r="AG251" s="50"/>
      <c r="AH251" s="68"/>
      <c r="AI251" s="68"/>
      <c r="AJ251" s="68"/>
      <c r="AK251" s="50"/>
      <c r="AL251" s="50"/>
      <c r="AM251" s="50" t="str">
        <f>IF(B251="","",IF(K251="S1",K251,INDEX(#REF!,#REF!)))</f>
        <v/>
      </c>
      <c r="AN251" s="50" t="b">
        <f t="shared" si="93"/>
        <v>1</v>
      </c>
      <c r="AO251" s="49" t="str">
        <f t="shared" si="94"/>
        <v>K5-POLICY</v>
      </c>
      <c r="AP251" s="72" t="str">
        <f>_xlfn.IFS(B251="","",AND(AO251="K5-LAW",AL251="นิติศาสตร์",K251="S2",Y251="",AE251=""),R251,AND(AO251="K5-LAW",AL251="นิติศาสตร์",K251="S1",Y251="",AE251=""),EDATE(R251,12),AND(AO251="K5-LAW",AL251="นิติศาสตร์",OR(K251="M2",K251="K4"),Y251="",AE251=""),EDATE(R251,12*2),AND(AO251="K5-LAW",AL251="นิติศาสตร์",OR(AE251="M2",AE251="K4"),AH251&gt;=2,OR(AG251&lt;AA251,AG251&lt;R251)),EDATE(AG251,12*2),AND(AO251="K5-LAW",AL251="นิติศาสตร์",AE251="S1",AH251&gt;=1,OR(AG251&lt;AA251,AG251&lt;R251)),EDATE(AG251,12),AND(AO251="K5-LAW",AL251="นิติศาสตร์",OR(Y251="M2",Y251="K4"),AB251&gt;=2,AA251&lt;R251),EDATE(AA251,12*2),AND(AO251="K5-LAW",AL251="นิติศาสตร์",Y251="S1",AB251&gt;=1,AA251&lt;R251),EDATE(AA251,12),AND(AO251="K5-LAW",AL251="นิติศาสตร์",OR(Y251="S2",Y251="K5")),AA251,AND(AO251="K5-LAW",AL251="นิติศาสตร์",OR(K251="M2",K251="K4"),U251&gt;=2),EDATE(R251,12*2),AND(AO251="K5-LAW",AL251="นิติศาสตร์",K251="S1",U251&gt;=1),EDATE(R251,12),AND(AO251="K5-LAW",AL251="นิติศาสตร์",OR(K251="S2",K251="K5")),R251,AND(AO251="K5-POLICY",AL251&lt;&gt;"นิติศาสตร์",K251="S2",Y251="",AE251=""),R251,AND(AO251="K5-POLICY",AL251&lt;&gt;"นิติศาสตร์",K251="S1",Y251="",AE251=""),EDATE(R251,12),AND(AO251="K5-POLICY",AL251&lt;&gt;"นิติศาสตร์",OR(K251="M2",K251="K4"),Y251="",AE251=""),EDATE(R251,12*2),AND(AO251="K5-POLICY",AL251&lt;&gt;"นิติศาสตร์",OR(AE251="M2",AE251="K4"),AH251&gt;=2,OR(AG251&lt;AA251,AG251&lt;R251)),EDATE(AG251,12*2),AND(AO251="K5-POLICY",AL251&lt;&gt;"นิติศาสตร์",AE251="S1",AH251&gt;=1,OR(AG251&lt;AA251,AG251&lt;R251)),EDATE(AG251,12),AND(AO251="K5-POLICY",AL251&lt;&gt;"นิติศาสตร์",OR(Y251="M2",Y251="K4"),AB251&gt;=2,AA251&lt;R251),EDATE(AA251,12*2),AND(AO251="K5-POLICY",AL251&lt;&gt;"นิติศาสตร์",Y251="S1",AB251&gt;=1,AA251&lt;R251),EDATE(AA251,12),AND(AO251="K5-POLICY",AL251&lt;&gt;"นิติศาสตร์",OR(Y251="S2",Y251="K5")),AA251,AND(AO251="K5-POLICY",AL251&lt;&gt;"นิติศาสตร์",OR(K251="M2",K251="K4"),U251&gt;=2),EDATE(R251,12*2),AND(AO251="K5-POLICY",AL251&lt;&gt;"นิติศาสตร์",K251="S1",U251&gt;=1),EDATE(R251,12),AND(AO251="K5-POLICY",AL251&lt;&gt;"นิติศาสตร์",OR(K251="S2",K251="K5")),R251,TRUE,"Check Data")</f>
        <v/>
      </c>
      <c r="AQ251" s="75" t="str">
        <f t="shared" si="95"/>
        <v>Check Data</v>
      </c>
      <c r="AR251" s="76" t="str">
        <f t="shared" si="96"/>
        <v>Check Data</v>
      </c>
      <c r="AS251" s="50" t="str">
        <f t="shared" si="97"/>
        <v>Check Data</v>
      </c>
      <c r="AT251" s="49" t="str">
        <f>IF(B251="","",IF(K251="S1","S1",INDEX(#REF!,#REF!)))</f>
        <v/>
      </c>
      <c r="AU251" s="49" t="str">
        <f t="shared" si="98"/>
        <v>M2</v>
      </c>
      <c r="AV251" s="50" t="b">
        <f t="shared" si="99"/>
        <v>0</v>
      </c>
      <c r="AW251" s="50"/>
    </row>
    <row r="252" spans="1:49" ht="21.75">
      <c r="A252" s="49">
        <v>250</v>
      </c>
      <c r="B252" s="50"/>
      <c r="C252" s="52"/>
      <c r="D252" s="50"/>
      <c r="E252" s="49"/>
      <c r="F252" s="49"/>
      <c r="G252" s="50">
        <f t="shared" si="76"/>
        <v>0</v>
      </c>
      <c r="H252" s="50">
        <f t="shared" si="77"/>
        <v>0</v>
      </c>
      <c r="I252" s="50">
        <f t="shared" si="78"/>
        <v>0</v>
      </c>
      <c r="J252" s="50"/>
      <c r="K252" s="49" t="s">
        <v>136</v>
      </c>
      <c r="L252" s="49" t="str">
        <f>IF(B252="","",IF(K252="S1",K252,INDEX(#REF!,#REF!)))</f>
        <v/>
      </c>
      <c r="M252" s="49" t="b">
        <f t="shared" si="79"/>
        <v>0</v>
      </c>
      <c r="N252" s="64"/>
      <c r="O252" s="49"/>
      <c r="P252" s="49"/>
      <c r="Q252" s="65" t="s">
        <v>434</v>
      </c>
      <c r="R252" s="49" t="str">
        <f t="shared" si="80"/>
        <v>02/07/2024</v>
      </c>
      <c r="S252" s="49" t="str">
        <f>IF(B252="","",IF(K252="S1",K252,INDEX(#REF!,#REF!)))</f>
        <v/>
      </c>
      <c r="T252" s="49" t="b">
        <f t="shared" si="81"/>
        <v>0</v>
      </c>
      <c r="U252" s="68">
        <f t="shared" si="82"/>
        <v>0</v>
      </c>
      <c r="V252" s="68">
        <f t="shared" si="83"/>
        <v>11</v>
      </c>
      <c r="W252" s="68">
        <f t="shared" si="84"/>
        <v>18</v>
      </c>
      <c r="X252" s="68"/>
      <c r="Y252" s="65"/>
      <c r="Z252" s="65"/>
      <c r="AA252" s="49"/>
      <c r="AB252" s="68"/>
      <c r="AC252" s="68"/>
      <c r="AD252" s="68"/>
      <c r="AE252" s="49"/>
      <c r="AF252" s="65"/>
      <c r="AG252" s="50"/>
      <c r="AH252" s="68"/>
      <c r="AI252" s="68"/>
      <c r="AJ252" s="68"/>
      <c r="AK252" s="50"/>
      <c r="AL252" s="50"/>
      <c r="AM252" s="50" t="str">
        <f>IF(B252="","",IF(K252="S1",K252,INDEX(#REF!,#REF!)))</f>
        <v/>
      </c>
      <c r="AN252" s="50" t="b">
        <f t="shared" si="93"/>
        <v>1</v>
      </c>
      <c r="AO252" s="49" t="str">
        <f t="shared" si="94"/>
        <v>K5-POLICY</v>
      </c>
      <c r="AP252" s="72" t="str">
        <f>_xlfn.IFS(B252="","",AND(AO252="K5-LAW",AL252="นิติศาสตร์",K252="S2",Y252="",AE252=""),R252,AND(AO252="K5-LAW",AL252="นิติศาสตร์",K252="S1",Y252="",AE252=""),EDATE(R252,12),AND(AO252="K5-LAW",AL252="นิติศาสตร์",OR(K252="M2",K252="K4"),Y252="",AE252=""),EDATE(R252,12*2),AND(AO252="K5-LAW",AL252="นิติศาสตร์",OR(AE252="M2",AE252="K4"),AH252&gt;=2,OR(AG252&lt;AA252,AG252&lt;R252)),EDATE(AG252,12*2),AND(AO252="K5-LAW",AL252="นิติศาสตร์",AE252="S1",AH252&gt;=1,OR(AG252&lt;AA252,AG252&lt;R252)),EDATE(AG252,12),AND(AO252="K5-LAW",AL252="นิติศาสตร์",OR(Y252="M2",Y252="K4"),AB252&gt;=2,AA252&lt;R252),EDATE(AA252,12*2),AND(AO252="K5-LAW",AL252="นิติศาสตร์",Y252="S1",AB252&gt;=1,AA252&lt;R252),EDATE(AA252,12),AND(AO252="K5-LAW",AL252="นิติศาสตร์",OR(Y252="S2",Y252="K5")),AA252,AND(AO252="K5-LAW",AL252="นิติศาสตร์",OR(K252="M2",K252="K4"),U252&gt;=2),EDATE(R252,12*2),AND(AO252="K5-LAW",AL252="นิติศาสตร์",K252="S1",U252&gt;=1),EDATE(R252,12),AND(AO252="K5-LAW",AL252="นิติศาสตร์",OR(K252="S2",K252="K5")),R252,AND(AO252="K5-POLICY",AL252&lt;&gt;"นิติศาสตร์",K252="S2",Y252="",AE252=""),R252,AND(AO252="K5-POLICY",AL252&lt;&gt;"นิติศาสตร์",K252="S1",Y252="",AE252=""),EDATE(R252,12),AND(AO252="K5-POLICY",AL252&lt;&gt;"นิติศาสตร์",OR(K252="M2",K252="K4"),Y252="",AE252=""),EDATE(R252,12*2),AND(AO252="K5-POLICY",AL252&lt;&gt;"นิติศาสตร์",OR(AE252="M2",AE252="K4"),AH252&gt;=2,OR(AG252&lt;AA252,AG252&lt;R252)),EDATE(AG252,12*2),AND(AO252="K5-POLICY",AL252&lt;&gt;"นิติศาสตร์",AE252="S1",AH252&gt;=1,OR(AG252&lt;AA252,AG252&lt;R252)),EDATE(AG252,12),AND(AO252="K5-POLICY",AL252&lt;&gt;"นิติศาสตร์",OR(Y252="M2",Y252="K4"),AB252&gt;=2,AA252&lt;R252),EDATE(AA252,12*2),AND(AO252="K5-POLICY",AL252&lt;&gt;"นิติศาสตร์",Y252="S1",AB252&gt;=1,AA252&lt;R252),EDATE(AA252,12),AND(AO252="K5-POLICY",AL252&lt;&gt;"นิติศาสตร์",OR(Y252="S2",Y252="K5")),AA252,AND(AO252="K5-POLICY",AL252&lt;&gt;"นิติศาสตร์",OR(K252="M2",K252="K4"),U252&gt;=2),EDATE(R252,12*2),AND(AO252="K5-POLICY",AL252&lt;&gt;"นิติศาสตร์",K252="S1",U252&gt;=1),EDATE(R252,12),AND(AO252="K5-POLICY",AL252&lt;&gt;"นิติศาสตร์",OR(K252="S2",K252="K5")),R252,TRUE,"Check Data")</f>
        <v/>
      </c>
      <c r="AQ252" s="75" t="str">
        <f t="shared" si="95"/>
        <v>Check Data</v>
      </c>
      <c r="AR252" s="76" t="str">
        <f t="shared" si="96"/>
        <v>Check Data</v>
      </c>
      <c r="AS252" s="50" t="str">
        <f t="shared" si="97"/>
        <v>Check Data</v>
      </c>
      <c r="AT252" s="49" t="str">
        <f>IF(B252="","",IF(K252="S1","S1",INDEX(#REF!,#REF!)))</f>
        <v/>
      </c>
      <c r="AU252" s="49" t="str">
        <f t="shared" si="98"/>
        <v>M2</v>
      </c>
      <c r="AV252" s="50" t="b">
        <f t="shared" si="99"/>
        <v>0</v>
      </c>
      <c r="AW252" s="50"/>
    </row>
    <row r="253" spans="1:49" ht="21.75">
      <c r="A253" s="49">
        <v>251</v>
      </c>
      <c r="B253" s="50"/>
      <c r="C253" s="52"/>
      <c r="D253" s="50"/>
      <c r="E253" s="49"/>
      <c r="F253" s="49"/>
      <c r="G253" s="50">
        <f t="shared" si="76"/>
        <v>0</v>
      </c>
      <c r="H253" s="50">
        <f t="shared" si="77"/>
        <v>0</v>
      </c>
      <c r="I253" s="50">
        <f t="shared" si="78"/>
        <v>0</v>
      </c>
      <c r="J253" s="50"/>
      <c r="K253" s="49" t="s">
        <v>136</v>
      </c>
      <c r="L253" s="49" t="str">
        <f>IF(B253="","",IF(K253="S1",K253,INDEX(#REF!,#REF!)))</f>
        <v/>
      </c>
      <c r="M253" s="49" t="b">
        <f t="shared" si="79"/>
        <v>0</v>
      </c>
      <c r="N253" s="64"/>
      <c r="O253" s="49"/>
      <c r="P253" s="49"/>
      <c r="Q253" s="65" t="s">
        <v>434</v>
      </c>
      <c r="R253" s="49" t="str">
        <f t="shared" si="80"/>
        <v>02/07/2024</v>
      </c>
      <c r="S253" s="49" t="str">
        <f>IF(B253="","",IF(K253="S1",K253,INDEX(#REF!,#REF!)))</f>
        <v/>
      </c>
      <c r="T253" s="49" t="b">
        <f t="shared" si="81"/>
        <v>0</v>
      </c>
      <c r="U253" s="68">
        <f t="shared" si="82"/>
        <v>0</v>
      </c>
      <c r="V253" s="68">
        <f t="shared" si="83"/>
        <v>11</v>
      </c>
      <c r="W253" s="68">
        <f t="shared" si="84"/>
        <v>18</v>
      </c>
      <c r="X253" s="68"/>
      <c r="Y253" s="65"/>
      <c r="Z253" s="65"/>
      <c r="AA253" s="49"/>
      <c r="AB253" s="68"/>
      <c r="AC253" s="68"/>
      <c r="AD253" s="68"/>
      <c r="AE253" s="49"/>
      <c r="AF253" s="65"/>
      <c r="AG253" s="50"/>
      <c r="AH253" s="68"/>
      <c r="AI253" s="68"/>
      <c r="AJ253" s="68"/>
      <c r="AK253" s="50"/>
      <c r="AL253" s="50"/>
      <c r="AM253" s="50" t="str">
        <f>IF(B253="","",IF(K253="S1",K253,INDEX(#REF!,#REF!)))</f>
        <v/>
      </c>
      <c r="AN253" s="50" t="b">
        <f t="shared" si="93"/>
        <v>1</v>
      </c>
      <c r="AO253" s="49" t="str">
        <f t="shared" si="94"/>
        <v>K5-POLICY</v>
      </c>
      <c r="AP253" s="72" t="str">
        <f>_xlfn.IFS(B253="","",AND(AO253="K5-LAW",AL253="นิติศาสตร์",K253="S2",Y253="",AE253=""),R253,AND(AO253="K5-LAW",AL253="นิติศาสตร์",K253="S1",Y253="",AE253=""),EDATE(R253,12),AND(AO253="K5-LAW",AL253="นิติศาสตร์",OR(K253="M2",K253="K4"),Y253="",AE253=""),EDATE(R253,12*2),AND(AO253="K5-LAW",AL253="นิติศาสตร์",OR(AE253="M2",AE253="K4"),AH253&gt;=2,OR(AG253&lt;AA253,AG253&lt;R253)),EDATE(AG253,12*2),AND(AO253="K5-LAW",AL253="นิติศาสตร์",AE253="S1",AH253&gt;=1,OR(AG253&lt;AA253,AG253&lt;R253)),EDATE(AG253,12),AND(AO253="K5-LAW",AL253="นิติศาสตร์",OR(Y253="M2",Y253="K4"),AB253&gt;=2,AA253&lt;R253),EDATE(AA253,12*2),AND(AO253="K5-LAW",AL253="นิติศาสตร์",Y253="S1",AB253&gt;=1,AA253&lt;R253),EDATE(AA253,12),AND(AO253="K5-LAW",AL253="นิติศาสตร์",OR(Y253="S2",Y253="K5")),AA253,AND(AO253="K5-LAW",AL253="นิติศาสตร์",OR(K253="M2",K253="K4"),U253&gt;=2),EDATE(R253,12*2),AND(AO253="K5-LAW",AL253="นิติศาสตร์",K253="S1",U253&gt;=1),EDATE(R253,12),AND(AO253="K5-LAW",AL253="นิติศาสตร์",OR(K253="S2",K253="K5")),R253,AND(AO253="K5-POLICY",AL253&lt;&gt;"นิติศาสตร์",K253="S2",Y253="",AE253=""),R253,AND(AO253="K5-POLICY",AL253&lt;&gt;"นิติศาสตร์",K253="S1",Y253="",AE253=""),EDATE(R253,12),AND(AO253="K5-POLICY",AL253&lt;&gt;"นิติศาสตร์",OR(K253="M2",K253="K4"),Y253="",AE253=""),EDATE(R253,12*2),AND(AO253="K5-POLICY",AL253&lt;&gt;"นิติศาสตร์",OR(AE253="M2",AE253="K4"),AH253&gt;=2,OR(AG253&lt;AA253,AG253&lt;R253)),EDATE(AG253,12*2),AND(AO253="K5-POLICY",AL253&lt;&gt;"นิติศาสตร์",AE253="S1",AH253&gt;=1,OR(AG253&lt;AA253,AG253&lt;R253)),EDATE(AG253,12),AND(AO253="K5-POLICY",AL253&lt;&gt;"นิติศาสตร์",OR(Y253="M2",Y253="K4"),AB253&gt;=2,AA253&lt;R253),EDATE(AA253,12*2),AND(AO253="K5-POLICY",AL253&lt;&gt;"นิติศาสตร์",Y253="S1",AB253&gt;=1,AA253&lt;R253),EDATE(AA253,12),AND(AO253="K5-POLICY",AL253&lt;&gt;"นิติศาสตร์",OR(Y253="S2",Y253="K5")),AA253,AND(AO253="K5-POLICY",AL253&lt;&gt;"นิติศาสตร์",OR(K253="M2",K253="K4"),U253&gt;=2),EDATE(R253,12*2),AND(AO253="K5-POLICY",AL253&lt;&gt;"นิติศาสตร์",K253="S1",U253&gt;=1),EDATE(R253,12),AND(AO253="K5-POLICY",AL253&lt;&gt;"นิติศาสตร์",OR(K253="S2",K253="K5")),R253,TRUE,"Check Data")</f>
        <v/>
      </c>
      <c r="AQ253" s="75" t="str">
        <f t="shared" si="95"/>
        <v>Check Data</v>
      </c>
      <c r="AR253" s="76" t="str">
        <f t="shared" si="96"/>
        <v>Check Data</v>
      </c>
      <c r="AS253" s="50" t="str">
        <f t="shared" si="97"/>
        <v>Check Data</v>
      </c>
      <c r="AT253" s="49" t="str">
        <f>IF(B253="","",IF(K253="S1","S1",INDEX(#REF!,#REF!)))</f>
        <v/>
      </c>
      <c r="AU253" s="49" t="str">
        <f t="shared" si="98"/>
        <v>M2</v>
      </c>
      <c r="AV253" s="50" t="b">
        <f t="shared" si="99"/>
        <v>0</v>
      </c>
      <c r="AW253" s="50"/>
    </row>
    <row r="254" spans="1:49" ht="21.75">
      <c r="A254" s="49">
        <v>252</v>
      </c>
      <c r="B254" s="50"/>
      <c r="C254" s="52"/>
      <c r="D254" s="50"/>
      <c r="E254" s="49"/>
      <c r="F254" s="49"/>
      <c r="G254" s="50">
        <f t="shared" si="76"/>
        <v>0</v>
      </c>
      <c r="H254" s="50">
        <f t="shared" si="77"/>
        <v>0</v>
      </c>
      <c r="I254" s="50">
        <f t="shared" si="78"/>
        <v>0</v>
      </c>
      <c r="J254" s="50"/>
      <c r="K254" s="49" t="s">
        <v>136</v>
      </c>
      <c r="L254" s="49" t="str">
        <f>IF(B254="","",IF(K254="S1",K254,INDEX(#REF!,#REF!)))</f>
        <v/>
      </c>
      <c r="M254" s="49" t="b">
        <f t="shared" si="79"/>
        <v>0</v>
      </c>
      <c r="N254" s="64"/>
      <c r="O254" s="49"/>
      <c r="P254" s="49"/>
      <c r="Q254" s="65" t="s">
        <v>434</v>
      </c>
      <c r="R254" s="49" t="str">
        <f t="shared" si="80"/>
        <v>02/07/2024</v>
      </c>
      <c r="S254" s="49" t="str">
        <f>IF(B254="","",IF(K254="S1",K254,INDEX(#REF!,#REF!)))</f>
        <v/>
      </c>
      <c r="T254" s="49" t="b">
        <f t="shared" si="81"/>
        <v>0</v>
      </c>
      <c r="U254" s="68">
        <f t="shared" si="82"/>
        <v>0</v>
      </c>
      <c r="V254" s="68">
        <f t="shared" si="83"/>
        <v>11</v>
      </c>
      <c r="W254" s="68">
        <f t="shared" si="84"/>
        <v>18</v>
      </c>
      <c r="X254" s="68"/>
      <c r="Y254" s="65"/>
      <c r="Z254" s="65"/>
      <c r="AA254" s="49"/>
      <c r="AB254" s="68"/>
      <c r="AC254" s="68"/>
      <c r="AD254" s="68"/>
      <c r="AE254" s="49"/>
      <c r="AF254" s="65"/>
      <c r="AG254" s="50"/>
      <c r="AH254" s="68"/>
      <c r="AI254" s="68"/>
      <c r="AJ254" s="68"/>
      <c r="AK254" s="50"/>
      <c r="AL254" s="50"/>
      <c r="AM254" s="50" t="str">
        <f>IF(B254="","",IF(K254="S1",K254,INDEX(#REF!,#REF!)))</f>
        <v/>
      </c>
      <c r="AN254" s="50" t="b">
        <f t="shared" si="93"/>
        <v>1</v>
      </c>
      <c r="AO254" s="49" t="str">
        <f t="shared" si="94"/>
        <v>K5-POLICY</v>
      </c>
      <c r="AP254" s="72" t="str">
        <f>_xlfn.IFS(B254="","",AND(AO254="K5-LAW",AL254="นิติศาสตร์",K254="S2",Y254="",AE254=""),R254,AND(AO254="K5-LAW",AL254="นิติศาสตร์",K254="S1",Y254="",AE254=""),EDATE(R254,12),AND(AO254="K5-LAW",AL254="นิติศาสตร์",OR(K254="M2",K254="K4"),Y254="",AE254=""),EDATE(R254,12*2),AND(AO254="K5-LAW",AL254="นิติศาสตร์",OR(AE254="M2",AE254="K4"),AH254&gt;=2,OR(AG254&lt;AA254,AG254&lt;R254)),EDATE(AG254,12*2),AND(AO254="K5-LAW",AL254="นิติศาสตร์",AE254="S1",AH254&gt;=1,OR(AG254&lt;AA254,AG254&lt;R254)),EDATE(AG254,12),AND(AO254="K5-LAW",AL254="นิติศาสตร์",OR(Y254="M2",Y254="K4"),AB254&gt;=2,AA254&lt;R254),EDATE(AA254,12*2),AND(AO254="K5-LAW",AL254="นิติศาสตร์",Y254="S1",AB254&gt;=1,AA254&lt;R254),EDATE(AA254,12),AND(AO254="K5-LAW",AL254="นิติศาสตร์",OR(Y254="S2",Y254="K5")),AA254,AND(AO254="K5-LAW",AL254="นิติศาสตร์",OR(K254="M2",K254="K4"),U254&gt;=2),EDATE(R254,12*2),AND(AO254="K5-LAW",AL254="นิติศาสตร์",K254="S1",U254&gt;=1),EDATE(R254,12),AND(AO254="K5-LAW",AL254="นิติศาสตร์",OR(K254="S2",K254="K5")),R254,AND(AO254="K5-POLICY",AL254&lt;&gt;"นิติศาสตร์",K254="S2",Y254="",AE254=""),R254,AND(AO254="K5-POLICY",AL254&lt;&gt;"นิติศาสตร์",K254="S1",Y254="",AE254=""),EDATE(R254,12),AND(AO254="K5-POLICY",AL254&lt;&gt;"นิติศาสตร์",OR(K254="M2",K254="K4"),Y254="",AE254=""),EDATE(R254,12*2),AND(AO254="K5-POLICY",AL254&lt;&gt;"นิติศาสตร์",OR(AE254="M2",AE254="K4"),AH254&gt;=2,OR(AG254&lt;AA254,AG254&lt;R254)),EDATE(AG254,12*2),AND(AO254="K5-POLICY",AL254&lt;&gt;"นิติศาสตร์",AE254="S1",AH254&gt;=1,OR(AG254&lt;AA254,AG254&lt;R254)),EDATE(AG254,12),AND(AO254="K5-POLICY",AL254&lt;&gt;"นิติศาสตร์",OR(Y254="M2",Y254="K4"),AB254&gt;=2,AA254&lt;R254),EDATE(AA254,12*2),AND(AO254="K5-POLICY",AL254&lt;&gt;"นิติศาสตร์",Y254="S1",AB254&gt;=1,AA254&lt;R254),EDATE(AA254,12),AND(AO254="K5-POLICY",AL254&lt;&gt;"นิติศาสตร์",OR(Y254="S2",Y254="K5")),AA254,AND(AO254="K5-POLICY",AL254&lt;&gt;"นิติศาสตร์",OR(K254="M2",K254="K4"),U254&gt;=2),EDATE(R254,12*2),AND(AO254="K5-POLICY",AL254&lt;&gt;"นิติศาสตร์",K254="S1",U254&gt;=1),EDATE(R254,12),AND(AO254="K5-POLICY",AL254&lt;&gt;"นิติศาสตร์",OR(K254="S2",K254="K5")),R254,TRUE,"Check Data")</f>
        <v/>
      </c>
      <c r="AQ254" s="75" t="str">
        <f t="shared" si="95"/>
        <v>Check Data</v>
      </c>
      <c r="AR254" s="76" t="str">
        <f t="shared" si="96"/>
        <v>Check Data</v>
      </c>
      <c r="AS254" s="50" t="str">
        <f t="shared" si="97"/>
        <v>Check Data</v>
      </c>
      <c r="AT254" s="49" t="str">
        <f>IF(B254="","",IF(K254="S1","S1",INDEX(#REF!,#REF!)))</f>
        <v/>
      </c>
      <c r="AU254" s="49" t="str">
        <f t="shared" si="98"/>
        <v>M2</v>
      </c>
      <c r="AV254" s="50" t="b">
        <f t="shared" si="99"/>
        <v>0</v>
      </c>
      <c r="AW254" s="50"/>
    </row>
    <row r="255" spans="1:49" ht="21.75">
      <c r="A255" s="49">
        <v>253</v>
      </c>
      <c r="B255" s="50"/>
      <c r="C255" s="52"/>
      <c r="D255" s="50"/>
      <c r="E255" s="49"/>
      <c r="F255" s="49"/>
      <c r="G255" s="50">
        <f t="shared" si="76"/>
        <v>0</v>
      </c>
      <c r="H255" s="50">
        <f t="shared" si="77"/>
        <v>0</v>
      </c>
      <c r="I255" s="50">
        <f t="shared" si="78"/>
        <v>0</v>
      </c>
      <c r="J255" s="50"/>
      <c r="K255" s="49" t="s">
        <v>136</v>
      </c>
      <c r="L255" s="49" t="str">
        <f>IF(B255="","",IF(K255="S1",K255,INDEX(#REF!,#REF!)))</f>
        <v/>
      </c>
      <c r="M255" s="49" t="b">
        <f t="shared" si="79"/>
        <v>0</v>
      </c>
      <c r="N255" s="64"/>
      <c r="O255" s="49"/>
      <c r="P255" s="49"/>
      <c r="Q255" s="65" t="s">
        <v>434</v>
      </c>
      <c r="R255" s="49" t="str">
        <f t="shared" si="80"/>
        <v>02/07/2024</v>
      </c>
      <c r="S255" s="49" t="str">
        <f>IF(B255="","",IF(K255="S1",K255,INDEX(#REF!,#REF!)))</f>
        <v/>
      </c>
      <c r="T255" s="49" t="b">
        <f t="shared" si="81"/>
        <v>0</v>
      </c>
      <c r="U255" s="68">
        <f t="shared" si="82"/>
        <v>0</v>
      </c>
      <c r="V255" s="68">
        <f t="shared" si="83"/>
        <v>11</v>
      </c>
      <c r="W255" s="68">
        <f t="shared" si="84"/>
        <v>18</v>
      </c>
      <c r="X255" s="68"/>
      <c r="Y255" s="65"/>
      <c r="Z255" s="65"/>
      <c r="AA255" s="49"/>
      <c r="AB255" s="68"/>
      <c r="AC255" s="68"/>
      <c r="AD255" s="68"/>
      <c r="AE255" s="49"/>
      <c r="AF255" s="65"/>
      <c r="AG255" s="50"/>
      <c r="AH255" s="68"/>
      <c r="AI255" s="68"/>
      <c r="AJ255" s="68"/>
      <c r="AK255" s="50"/>
      <c r="AL255" s="50"/>
      <c r="AM255" s="50" t="str">
        <f>IF(B255="","",IF(K255="S1",K255,INDEX(#REF!,#REF!)))</f>
        <v/>
      </c>
      <c r="AN255" s="50" t="b">
        <f t="shared" si="93"/>
        <v>1</v>
      </c>
      <c r="AO255" s="49" t="str">
        <f t="shared" si="94"/>
        <v>K5-POLICY</v>
      </c>
      <c r="AP255" s="72" t="str">
        <f>_xlfn.IFS(B255="","",AND(AO255="K5-LAW",AL255="นิติศาสตร์",K255="S2",Y255="",AE255=""),R255,AND(AO255="K5-LAW",AL255="นิติศาสตร์",K255="S1",Y255="",AE255=""),EDATE(R255,12),AND(AO255="K5-LAW",AL255="นิติศาสตร์",OR(K255="M2",K255="K4"),Y255="",AE255=""),EDATE(R255,12*2),AND(AO255="K5-LAW",AL255="นิติศาสตร์",OR(AE255="M2",AE255="K4"),AH255&gt;=2,OR(AG255&lt;AA255,AG255&lt;R255)),EDATE(AG255,12*2),AND(AO255="K5-LAW",AL255="นิติศาสตร์",AE255="S1",AH255&gt;=1,OR(AG255&lt;AA255,AG255&lt;R255)),EDATE(AG255,12),AND(AO255="K5-LAW",AL255="นิติศาสตร์",OR(Y255="M2",Y255="K4"),AB255&gt;=2,AA255&lt;R255),EDATE(AA255,12*2),AND(AO255="K5-LAW",AL255="นิติศาสตร์",Y255="S1",AB255&gt;=1,AA255&lt;R255),EDATE(AA255,12),AND(AO255="K5-LAW",AL255="นิติศาสตร์",OR(Y255="S2",Y255="K5")),AA255,AND(AO255="K5-LAW",AL255="นิติศาสตร์",OR(K255="M2",K255="K4"),U255&gt;=2),EDATE(R255,12*2),AND(AO255="K5-LAW",AL255="นิติศาสตร์",K255="S1",U255&gt;=1),EDATE(R255,12),AND(AO255="K5-LAW",AL255="นิติศาสตร์",OR(K255="S2",K255="K5")),R255,AND(AO255="K5-POLICY",AL255&lt;&gt;"นิติศาสตร์",K255="S2",Y255="",AE255=""),R255,AND(AO255="K5-POLICY",AL255&lt;&gt;"นิติศาสตร์",K255="S1",Y255="",AE255=""),EDATE(R255,12),AND(AO255="K5-POLICY",AL255&lt;&gt;"นิติศาสตร์",OR(K255="M2",K255="K4"),Y255="",AE255=""),EDATE(R255,12*2),AND(AO255="K5-POLICY",AL255&lt;&gt;"นิติศาสตร์",OR(AE255="M2",AE255="K4"),AH255&gt;=2,OR(AG255&lt;AA255,AG255&lt;R255)),EDATE(AG255,12*2),AND(AO255="K5-POLICY",AL255&lt;&gt;"นิติศาสตร์",AE255="S1",AH255&gt;=1,OR(AG255&lt;AA255,AG255&lt;R255)),EDATE(AG255,12),AND(AO255="K5-POLICY",AL255&lt;&gt;"นิติศาสตร์",OR(Y255="M2",Y255="K4"),AB255&gt;=2,AA255&lt;R255),EDATE(AA255,12*2),AND(AO255="K5-POLICY",AL255&lt;&gt;"นิติศาสตร์",Y255="S1",AB255&gt;=1,AA255&lt;R255),EDATE(AA255,12),AND(AO255="K5-POLICY",AL255&lt;&gt;"นิติศาสตร์",OR(Y255="S2",Y255="K5")),AA255,AND(AO255="K5-POLICY",AL255&lt;&gt;"นิติศาสตร์",OR(K255="M2",K255="K4"),U255&gt;=2),EDATE(R255,12*2),AND(AO255="K5-POLICY",AL255&lt;&gt;"นิติศาสตร์",K255="S1",U255&gt;=1),EDATE(R255,12),AND(AO255="K5-POLICY",AL255&lt;&gt;"นิติศาสตร์",OR(K255="S2",K255="K5")),R255,TRUE,"Check Data")</f>
        <v/>
      </c>
      <c r="AQ255" s="75" t="str">
        <f t="shared" si="95"/>
        <v>Check Data</v>
      </c>
      <c r="AR255" s="76" t="str">
        <f t="shared" si="96"/>
        <v>Check Data</v>
      </c>
      <c r="AS255" s="50" t="str">
        <f t="shared" si="97"/>
        <v>Check Data</v>
      </c>
      <c r="AT255" s="49" t="str">
        <f>IF(B255="","",IF(K255="S1","S1",INDEX(#REF!,#REF!)))</f>
        <v/>
      </c>
      <c r="AU255" s="49" t="str">
        <f t="shared" si="98"/>
        <v>M2</v>
      </c>
      <c r="AV255" s="50" t="b">
        <f t="shared" si="99"/>
        <v>0</v>
      </c>
      <c r="AW255" s="50"/>
    </row>
    <row r="256" spans="1:49" ht="21.75">
      <c r="A256" s="49">
        <v>254</v>
      </c>
      <c r="B256" s="50"/>
      <c r="C256" s="52"/>
      <c r="D256" s="50"/>
      <c r="E256" s="49"/>
      <c r="F256" s="49" t="str">
        <f t="shared" ref="F256:F262" si="118">IF(E256="","",TEXT(EDATE(E256,-543*12),"dd/mm/yyyy"))</f>
        <v/>
      </c>
      <c r="G256" s="50">
        <f t="shared" si="76"/>
        <v>0</v>
      </c>
      <c r="H256" s="50">
        <f t="shared" si="77"/>
        <v>0</v>
      </c>
      <c r="I256" s="50">
        <f t="shared" si="78"/>
        <v>0</v>
      </c>
      <c r="J256" s="50"/>
      <c r="K256" s="49" t="s">
        <v>136</v>
      </c>
      <c r="L256" s="49" t="str">
        <f>IF(B256="","",IF(K256="S1",K256,INDEX(#REF!,#REF!)))</f>
        <v/>
      </c>
      <c r="M256" s="49" t="b">
        <f t="shared" si="79"/>
        <v>0</v>
      </c>
      <c r="N256" s="64"/>
      <c r="O256" s="49"/>
      <c r="P256" s="49"/>
      <c r="Q256" s="65" t="s">
        <v>434</v>
      </c>
      <c r="R256" s="49" t="str">
        <f t="shared" si="80"/>
        <v>02/07/2024</v>
      </c>
      <c r="S256" s="49" t="str">
        <f>IF(B256="","",IF(K256="S1",K256,INDEX(#REF!,#REF!)))</f>
        <v/>
      </c>
      <c r="T256" s="49" t="b">
        <f t="shared" si="81"/>
        <v>0</v>
      </c>
      <c r="U256" s="68">
        <f t="shared" si="82"/>
        <v>0</v>
      </c>
      <c r="V256" s="68">
        <f t="shared" si="83"/>
        <v>11</v>
      </c>
      <c r="W256" s="68">
        <f t="shared" si="84"/>
        <v>18</v>
      </c>
      <c r="X256" s="68"/>
      <c r="Y256" s="65"/>
      <c r="Z256" s="65"/>
      <c r="AA256" s="49" t="str">
        <f t="shared" ref="AA256:AA262" si="119">IF(Z256="","",TEXT(EDATE(Z256,-543*12),"dd/mm/yyyy"))</f>
        <v/>
      </c>
      <c r="AB256" s="68">
        <f t="shared" ref="AB256:AB262" si="120">IF(AA256="",0,DATEDIF(AA256,R256,"Y"))</f>
        <v>0</v>
      </c>
      <c r="AC256" s="68">
        <f t="shared" ref="AC256:AC262" si="121">IF(AA256="",0,DATEDIF(AA256,R256,"YM"))</f>
        <v>0</v>
      </c>
      <c r="AD256" s="68">
        <f t="shared" ref="AD256:AD262" si="122">IF(AA256="",0,DATEDIF(AA256,R256,"MD"))</f>
        <v>0</v>
      </c>
      <c r="AE256" s="49"/>
      <c r="AF256" s="65"/>
      <c r="AG256" s="50" t="str">
        <f t="shared" ref="AG256:AG262" si="123">IF(AF256="","",TEXT(EDATE(AF256,-543*12),"dd/mm/yyyy"))</f>
        <v/>
      </c>
      <c r="AH256" s="68">
        <f t="shared" ref="AH256:AH262" si="124">IF(AG256="",0,DATEDIF(AG256,AA256,"Y"))</f>
        <v>0</v>
      </c>
      <c r="AI256" s="68">
        <f t="shared" ref="AI256:AI262" si="125">IF(AG256="",0,DATEDIF(AG256,AA256,"YM"))</f>
        <v>0</v>
      </c>
      <c r="AJ256" s="68">
        <f t="shared" ref="AJ256:AJ262" si="126">IF(AG256="",0,DATEDIF(AG256,AA256,"MD"))</f>
        <v>0</v>
      </c>
      <c r="AK256" s="50"/>
      <c r="AL256" s="50"/>
      <c r="AM256" s="50" t="str">
        <f>IF(B256="","",IF(K256="S1",K256,INDEX(#REF!,#REF!)))</f>
        <v/>
      </c>
      <c r="AN256" s="50" t="b">
        <f t="shared" si="93"/>
        <v>1</v>
      </c>
      <c r="AO256" s="49" t="str">
        <f t="shared" si="94"/>
        <v>K5-POLICY</v>
      </c>
      <c r="AP256" s="72" t="str">
        <f>_xlfn.IFS(B256="","",AND(AO256="K5-LAW",AL256="นิติศาสตร์",K256="S2",Y256="",AE256=""),R256,AND(AO256="K5-LAW",AL256="นิติศาสตร์",K256="S1",Y256="",AE256=""),EDATE(R256,12),AND(AO256="K5-LAW",AL256="นิติศาสตร์",OR(K256="M2",K256="K4"),Y256="",AE256=""),EDATE(R256,12*2),AND(AO256="K5-LAW",AL256="นิติศาสตร์",OR(AE256="M2",AE256="K4"),AH256&gt;=2,OR(AG256&lt;AA256,AG256&lt;R256)),EDATE(AG256,12*2),AND(AO256="K5-LAW",AL256="นิติศาสตร์",AE256="S1",AH256&gt;=1,OR(AG256&lt;AA256,AG256&lt;R256)),EDATE(AG256,12),AND(AO256="K5-LAW",AL256="นิติศาสตร์",OR(Y256="M2",Y256="K4"),AB256&gt;=2,AA256&lt;R256),EDATE(AA256,12*2),AND(AO256="K5-LAW",AL256="นิติศาสตร์",Y256="S1",AB256&gt;=1,AA256&lt;R256),EDATE(AA256,12),AND(AO256="K5-LAW",AL256="นิติศาสตร์",OR(Y256="S2",Y256="K5")),AA256,AND(AO256="K5-LAW",AL256="นิติศาสตร์",OR(K256="M2",K256="K4"),U256&gt;=2),EDATE(R256,12*2),AND(AO256="K5-LAW",AL256="นิติศาสตร์",K256="S1",U256&gt;=1),EDATE(R256,12),AND(AO256="K5-LAW",AL256="นิติศาสตร์",OR(K256="S2",K256="K5")),R256,AND(AO256="K5-POLICY",AL256&lt;&gt;"นิติศาสตร์",K256="S2",Y256="",AE256=""),R256,AND(AO256="K5-POLICY",AL256&lt;&gt;"นิติศาสตร์",K256="S1",Y256="",AE256=""),EDATE(R256,12),AND(AO256="K5-POLICY",AL256&lt;&gt;"นิติศาสตร์",OR(K256="M2",K256="K4"),Y256="",AE256=""),EDATE(R256,12*2),AND(AO256="K5-POLICY",AL256&lt;&gt;"นิติศาสตร์",OR(AE256="M2",AE256="K4"),AH256&gt;=2,OR(AG256&lt;AA256,AG256&lt;R256)),EDATE(AG256,12*2),AND(AO256="K5-POLICY",AL256&lt;&gt;"นิติศาสตร์",AE256="S1",AH256&gt;=1,OR(AG256&lt;AA256,AG256&lt;R256)),EDATE(AG256,12),AND(AO256="K5-POLICY",AL256&lt;&gt;"นิติศาสตร์",OR(Y256="M2",Y256="K4"),AB256&gt;=2,AA256&lt;R256),EDATE(AA256,12*2),AND(AO256="K5-POLICY",AL256&lt;&gt;"นิติศาสตร์",Y256="S1",AB256&gt;=1,AA256&lt;R256),EDATE(AA256,12),AND(AO256="K5-POLICY",AL256&lt;&gt;"นิติศาสตร์",OR(Y256="S2",Y256="K5")),AA256,AND(AO256="K5-POLICY",AL256&lt;&gt;"นิติศาสตร์",OR(K256="M2",K256="K4"),U256&gt;=2),EDATE(R256,12*2),AND(AO256="K5-POLICY",AL256&lt;&gt;"นิติศาสตร์",K256="S1",U256&gt;=1),EDATE(R256,12),AND(AO256="K5-POLICY",AL256&lt;&gt;"นิติศาสตร์",OR(K256="S2",K256="K5")),R256,TRUE,"Check Data")</f>
        <v/>
      </c>
      <c r="AQ256" s="75" t="str">
        <f t="shared" si="95"/>
        <v>Check Data</v>
      </c>
      <c r="AR256" s="76" t="str">
        <f t="shared" si="96"/>
        <v>Check Data</v>
      </c>
      <c r="AS256" s="50" t="str">
        <f t="shared" si="97"/>
        <v>Check Data</v>
      </c>
      <c r="AT256" s="49" t="str">
        <f>IF(B256="","",IF(K256="S1","S1",INDEX(#REF!,#REF!)))</f>
        <v/>
      </c>
      <c r="AU256" s="49" t="str">
        <f t="shared" si="98"/>
        <v>M2</v>
      </c>
      <c r="AV256" s="50" t="b">
        <f t="shared" si="99"/>
        <v>0</v>
      </c>
      <c r="AW256" s="50"/>
    </row>
    <row r="257" spans="1:49" ht="21.75">
      <c r="A257" s="49">
        <v>255</v>
      </c>
      <c r="B257" s="50"/>
      <c r="C257" s="52"/>
      <c r="D257" s="50"/>
      <c r="E257" s="49"/>
      <c r="F257" s="49" t="str">
        <f t="shared" si="118"/>
        <v/>
      </c>
      <c r="G257" s="50">
        <f t="shared" si="76"/>
        <v>0</v>
      </c>
      <c r="H257" s="50">
        <f t="shared" si="77"/>
        <v>0</v>
      </c>
      <c r="I257" s="50">
        <f t="shared" si="78"/>
        <v>0</v>
      </c>
      <c r="J257" s="50"/>
      <c r="K257" s="49" t="s">
        <v>136</v>
      </c>
      <c r="L257" s="49" t="str">
        <f>IF(B257="","",IF(K257="S1",K257,INDEX(#REF!,#REF!)))</f>
        <v/>
      </c>
      <c r="M257" s="49" t="b">
        <f t="shared" si="79"/>
        <v>0</v>
      </c>
      <c r="N257" s="64"/>
      <c r="O257" s="49"/>
      <c r="P257" s="49"/>
      <c r="Q257" s="65" t="s">
        <v>434</v>
      </c>
      <c r="R257" s="49" t="str">
        <f t="shared" si="80"/>
        <v>02/07/2024</v>
      </c>
      <c r="S257" s="49" t="str">
        <f>IF(B257="","",IF(K257="S1",K257,INDEX(#REF!,#REF!)))</f>
        <v/>
      </c>
      <c r="T257" s="49" t="b">
        <f t="shared" si="81"/>
        <v>0</v>
      </c>
      <c r="U257" s="68">
        <f t="shared" si="82"/>
        <v>0</v>
      </c>
      <c r="V257" s="68">
        <f t="shared" si="83"/>
        <v>11</v>
      </c>
      <c r="W257" s="68">
        <f t="shared" si="84"/>
        <v>18</v>
      </c>
      <c r="X257" s="68"/>
      <c r="Y257" s="65"/>
      <c r="Z257" s="65"/>
      <c r="AA257" s="49" t="str">
        <f t="shared" si="119"/>
        <v/>
      </c>
      <c r="AB257" s="68">
        <f t="shared" si="120"/>
        <v>0</v>
      </c>
      <c r="AC257" s="68">
        <f t="shared" si="121"/>
        <v>0</v>
      </c>
      <c r="AD257" s="68">
        <f t="shared" si="122"/>
        <v>0</v>
      </c>
      <c r="AE257" s="49"/>
      <c r="AF257" s="65"/>
      <c r="AG257" s="50" t="str">
        <f t="shared" si="123"/>
        <v/>
      </c>
      <c r="AH257" s="68">
        <f t="shared" si="124"/>
        <v>0</v>
      </c>
      <c r="AI257" s="68">
        <f t="shared" si="125"/>
        <v>0</v>
      </c>
      <c r="AJ257" s="68">
        <f t="shared" si="126"/>
        <v>0</v>
      </c>
      <c r="AK257" s="50"/>
      <c r="AL257" s="50"/>
      <c r="AM257" s="50" t="str">
        <f>IF(B257="","",IF(K257="S1",K257,INDEX(#REF!,#REF!)))</f>
        <v/>
      </c>
      <c r="AN257" s="50" t="b">
        <f t="shared" si="93"/>
        <v>1</v>
      </c>
      <c r="AO257" s="49" t="str">
        <f t="shared" si="94"/>
        <v>K5-POLICY</v>
      </c>
      <c r="AP257" s="72" t="str">
        <f>_xlfn.IFS(B257="","",AND(AO257="K5-LAW",AL257="นิติศาสตร์",K257="S2",Y257="",AE257=""),R257,AND(AO257="K5-LAW",AL257="นิติศาสตร์",K257="S1",Y257="",AE257=""),EDATE(R257,12),AND(AO257="K5-LAW",AL257="นิติศาสตร์",OR(K257="M2",K257="K4"),Y257="",AE257=""),EDATE(R257,12*2),AND(AO257="K5-LAW",AL257="นิติศาสตร์",OR(AE257="M2",AE257="K4"),AH257&gt;=2,OR(AG257&lt;AA257,AG257&lt;R257)),EDATE(AG257,12*2),AND(AO257="K5-LAW",AL257="นิติศาสตร์",AE257="S1",AH257&gt;=1,OR(AG257&lt;AA257,AG257&lt;R257)),EDATE(AG257,12),AND(AO257="K5-LAW",AL257="นิติศาสตร์",OR(Y257="M2",Y257="K4"),AB257&gt;=2,AA257&lt;R257),EDATE(AA257,12*2),AND(AO257="K5-LAW",AL257="นิติศาสตร์",Y257="S1",AB257&gt;=1,AA257&lt;R257),EDATE(AA257,12),AND(AO257="K5-LAW",AL257="นิติศาสตร์",OR(Y257="S2",Y257="K5")),AA257,AND(AO257="K5-LAW",AL257="นิติศาสตร์",OR(K257="M2",K257="K4"),U257&gt;=2),EDATE(R257,12*2),AND(AO257="K5-LAW",AL257="นิติศาสตร์",K257="S1",U257&gt;=1),EDATE(R257,12),AND(AO257="K5-LAW",AL257="นิติศาสตร์",OR(K257="S2",K257="K5")),R257,AND(AO257="K5-POLICY",AL257&lt;&gt;"นิติศาสตร์",K257="S2",Y257="",AE257=""),R257,AND(AO257="K5-POLICY",AL257&lt;&gt;"นิติศาสตร์",K257="S1",Y257="",AE257=""),EDATE(R257,12),AND(AO257="K5-POLICY",AL257&lt;&gt;"นิติศาสตร์",OR(K257="M2",K257="K4"),Y257="",AE257=""),EDATE(R257,12*2),AND(AO257="K5-POLICY",AL257&lt;&gt;"นิติศาสตร์",OR(AE257="M2",AE257="K4"),AH257&gt;=2,OR(AG257&lt;AA257,AG257&lt;R257)),EDATE(AG257,12*2),AND(AO257="K5-POLICY",AL257&lt;&gt;"นิติศาสตร์",AE257="S1",AH257&gt;=1,OR(AG257&lt;AA257,AG257&lt;R257)),EDATE(AG257,12),AND(AO257="K5-POLICY",AL257&lt;&gt;"นิติศาสตร์",OR(Y257="M2",Y257="K4"),AB257&gt;=2,AA257&lt;R257),EDATE(AA257,12*2),AND(AO257="K5-POLICY",AL257&lt;&gt;"นิติศาสตร์",Y257="S1",AB257&gt;=1,AA257&lt;R257),EDATE(AA257,12),AND(AO257="K5-POLICY",AL257&lt;&gt;"นิติศาสตร์",OR(Y257="S2",Y257="K5")),AA257,AND(AO257="K5-POLICY",AL257&lt;&gt;"นิติศาสตร์",OR(K257="M2",K257="K4"),U257&gt;=2),EDATE(R257,12*2),AND(AO257="K5-POLICY",AL257&lt;&gt;"นิติศาสตร์",K257="S1",U257&gt;=1),EDATE(R257,12),AND(AO257="K5-POLICY",AL257&lt;&gt;"นิติศาสตร์",OR(K257="S2",K257="K5")),R257,TRUE,"Check Data")</f>
        <v/>
      </c>
      <c r="AQ257" s="75" t="str">
        <f t="shared" si="95"/>
        <v>Check Data</v>
      </c>
      <c r="AR257" s="76" t="str">
        <f t="shared" si="96"/>
        <v>Check Data</v>
      </c>
      <c r="AS257" s="50" t="str">
        <f t="shared" si="97"/>
        <v>Check Data</v>
      </c>
      <c r="AT257" s="49" t="str">
        <f>IF(B257="","",IF(K257="S1","S1",INDEX(#REF!,#REF!)))</f>
        <v/>
      </c>
      <c r="AU257" s="49" t="str">
        <f t="shared" si="98"/>
        <v>M2</v>
      </c>
      <c r="AV257" s="50" t="b">
        <f t="shared" si="99"/>
        <v>0</v>
      </c>
      <c r="AW257" s="50"/>
    </row>
    <row r="258" spans="1:49" ht="21.75">
      <c r="A258" s="49">
        <v>256</v>
      </c>
      <c r="B258" s="50"/>
      <c r="C258" s="52"/>
      <c r="D258" s="50"/>
      <c r="E258" s="49"/>
      <c r="F258" s="49" t="str">
        <f t="shared" si="118"/>
        <v/>
      </c>
      <c r="G258" s="50">
        <f t="shared" si="76"/>
        <v>0</v>
      </c>
      <c r="H258" s="50">
        <f t="shared" si="77"/>
        <v>0</v>
      </c>
      <c r="I258" s="50">
        <f t="shared" si="78"/>
        <v>0</v>
      </c>
      <c r="J258" s="50"/>
      <c r="K258" s="49" t="s">
        <v>136</v>
      </c>
      <c r="L258" s="49" t="str">
        <f>IF(B258="","",IF(K258="S1",K258,INDEX(#REF!,#REF!)))</f>
        <v/>
      </c>
      <c r="M258" s="49" t="b">
        <f t="shared" si="79"/>
        <v>0</v>
      </c>
      <c r="N258" s="64"/>
      <c r="O258" s="49"/>
      <c r="P258" s="49"/>
      <c r="Q258" s="65" t="s">
        <v>434</v>
      </c>
      <c r="R258" s="49" t="str">
        <f t="shared" si="80"/>
        <v>02/07/2024</v>
      </c>
      <c r="S258" s="49" t="str">
        <f>IF(B258="","",IF(K258="S1",K258,INDEX(#REF!,#REF!)))</f>
        <v/>
      </c>
      <c r="T258" s="49" t="b">
        <f t="shared" si="81"/>
        <v>0</v>
      </c>
      <c r="U258" s="68">
        <f t="shared" si="82"/>
        <v>0</v>
      </c>
      <c r="V258" s="68">
        <f t="shared" si="83"/>
        <v>11</v>
      </c>
      <c r="W258" s="68">
        <f t="shared" si="84"/>
        <v>18</v>
      </c>
      <c r="X258" s="68"/>
      <c r="Y258" s="65"/>
      <c r="Z258" s="65"/>
      <c r="AA258" s="49" t="str">
        <f t="shared" si="119"/>
        <v/>
      </c>
      <c r="AB258" s="68">
        <f t="shared" si="120"/>
        <v>0</v>
      </c>
      <c r="AC258" s="68">
        <f t="shared" si="121"/>
        <v>0</v>
      </c>
      <c r="AD258" s="68">
        <f t="shared" si="122"/>
        <v>0</v>
      </c>
      <c r="AE258" s="49"/>
      <c r="AF258" s="65"/>
      <c r="AG258" s="50" t="str">
        <f t="shared" si="123"/>
        <v/>
      </c>
      <c r="AH258" s="68">
        <f t="shared" si="124"/>
        <v>0</v>
      </c>
      <c r="AI258" s="68">
        <f t="shared" si="125"/>
        <v>0</v>
      </c>
      <c r="AJ258" s="68">
        <f t="shared" si="126"/>
        <v>0</v>
      </c>
      <c r="AK258" s="50"/>
      <c r="AL258" s="50"/>
      <c r="AM258" s="50" t="str">
        <f>IF(B258="","",IF(K258="S1",K258,INDEX(#REF!,#REF!)))</f>
        <v/>
      </c>
      <c r="AN258" s="50" t="b">
        <f t="shared" si="93"/>
        <v>1</v>
      </c>
      <c r="AO258" s="49" t="str">
        <f t="shared" si="94"/>
        <v>K5-POLICY</v>
      </c>
      <c r="AP258" s="72" t="str">
        <f>_xlfn.IFS(B258="","",AND(AO258="K5-LAW",AL258="นิติศาสตร์",K258="S2",Y258="",AE258=""),R258,AND(AO258="K5-LAW",AL258="นิติศาสตร์",K258="S1",Y258="",AE258=""),EDATE(R258,12),AND(AO258="K5-LAW",AL258="นิติศาสตร์",OR(K258="M2",K258="K4"),Y258="",AE258=""),EDATE(R258,12*2),AND(AO258="K5-LAW",AL258="นิติศาสตร์",OR(AE258="M2",AE258="K4"),AH258&gt;=2,OR(AG258&lt;AA258,AG258&lt;R258)),EDATE(AG258,12*2),AND(AO258="K5-LAW",AL258="นิติศาสตร์",AE258="S1",AH258&gt;=1,OR(AG258&lt;AA258,AG258&lt;R258)),EDATE(AG258,12),AND(AO258="K5-LAW",AL258="นิติศาสตร์",OR(Y258="M2",Y258="K4"),AB258&gt;=2,AA258&lt;R258),EDATE(AA258,12*2),AND(AO258="K5-LAW",AL258="นิติศาสตร์",Y258="S1",AB258&gt;=1,AA258&lt;R258),EDATE(AA258,12),AND(AO258="K5-LAW",AL258="นิติศาสตร์",OR(Y258="S2",Y258="K5")),AA258,AND(AO258="K5-LAW",AL258="นิติศาสตร์",OR(K258="M2",K258="K4"),U258&gt;=2),EDATE(R258,12*2),AND(AO258="K5-LAW",AL258="นิติศาสตร์",K258="S1",U258&gt;=1),EDATE(R258,12),AND(AO258="K5-LAW",AL258="นิติศาสตร์",OR(K258="S2",K258="K5")),R258,AND(AO258="K5-POLICY",AL258&lt;&gt;"นิติศาสตร์",K258="S2",Y258="",AE258=""),R258,AND(AO258="K5-POLICY",AL258&lt;&gt;"นิติศาสตร์",K258="S1",Y258="",AE258=""),EDATE(R258,12),AND(AO258="K5-POLICY",AL258&lt;&gt;"นิติศาสตร์",OR(K258="M2",K258="K4"),Y258="",AE258=""),EDATE(R258,12*2),AND(AO258="K5-POLICY",AL258&lt;&gt;"นิติศาสตร์",OR(AE258="M2",AE258="K4"),AH258&gt;=2,OR(AG258&lt;AA258,AG258&lt;R258)),EDATE(AG258,12*2),AND(AO258="K5-POLICY",AL258&lt;&gt;"นิติศาสตร์",AE258="S1",AH258&gt;=1,OR(AG258&lt;AA258,AG258&lt;R258)),EDATE(AG258,12),AND(AO258="K5-POLICY",AL258&lt;&gt;"นิติศาสตร์",OR(Y258="M2",Y258="K4"),AB258&gt;=2,AA258&lt;R258),EDATE(AA258,12*2),AND(AO258="K5-POLICY",AL258&lt;&gt;"นิติศาสตร์",Y258="S1",AB258&gt;=1,AA258&lt;R258),EDATE(AA258,12),AND(AO258="K5-POLICY",AL258&lt;&gt;"นิติศาสตร์",OR(Y258="S2",Y258="K5")),AA258,AND(AO258="K5-POLICY",AL258&lt;&gt;"นิติศาสตร์",OR(K258="M2",K258="K4"),U258&gt;=2),EDATE(R258,12*2),AND(AO258="K5-POLICY",AL258&lt;&gt;"นิติศาสตร์",K258="S1",U258&gt;=1),EDATE(R258,12),AND(AO258="K5-POLICY",AL258&lt;&gt;"นิติศาสตร์",OR(K258="S2",K258="K5")),R258,TRUE,"Check Data")</f>
        <v/>
      </c>
      <c r="AQ258" s="75" t="str">
        <f t="shared" si="95"/>
        <v>Check Data</v>
      </c>
      <c r="AR258" s="76" t="str">
        <f t="shared" si="96"/>
        <v>Check Data</v>
      </c>
      <c r="AS258" s="50" t="str">
        <f t="shared" si="97"/>
        <v>Check Data</v>
      </c>
      <c r="AT258" s="49" t="str">
        <f>IF(B258="","",IF(K258="S1","S1",INDEX(#REF!,#REF!)))</f>
        <v/>
      </c>
      <c r="AU258" s="49" t="str">
        <f t="shared" si="98"/>
        <v>M2</v>
      </c>
      <c r="AV258" s="50" t="b">
        <f t="shared" si="99"/>
        <v>0</v>
      </c>
      <c r="AW258" s="50"/>
    </row>
    <row r="259" spans="1:49" ht="21.75">
      <c r="A259" s="49">
        <v>257</v>
      </c>
      <c r="B259" s="50"/>
      <c r="C259" s="52"/>
      <c r="D259" s="50"/>
      <c r="E259" s="49"/>
      <c r="F259" s="49" t="str">
        <f t="shared" si="118"/>
        <v/>
      </c>
      <c r="G259" s="50">
        <f t="shared" ref="G259:G322" si="127">IF(F259="",0,DATEDIF(F259,$C$1,"Y"))</f>
        <v>0</v>
      </c>
      <c r="H259" s="50">
        <f t="shared" ref="H259:H322" si="128">IF(F259="",0,DATEDIF(F259,$C$1,"YM"))</f>
        <v>0</v>
      </c>
      <c r="I259" s="50">
        <f t="shared" ref="I259:I322" si="129">IF(F259="",0,DATEDIF(F259,$C$1,"MD"))</f>
        <v>0</v>
      </c>
      <c r="J259" s="50"/>
      <c r="K259" s="49" t="s">
        <v>136</v>
      </c>
      <c r="L259" s="49" t="str">
        <f>IF(B259="","",IF(K259="S1",K259,INDEX(#REF!,#REF!)))</f>
        <v/>
      </c>
      <c r="M259" s="49" t="b">
        <f t="shared" ref="M259:M322" si="130">K259=L259</f>
        <v>0</v>
      </c>
      <c r="N259" s="64"/>
      <c r="O259" s="49"/>
      <c r="P259" s="49"/>
      <c r="Q259" s="65" t="s">
        <v>434</v>
      </c>
      <c r="R259" s="49" t="str">
        <f t="shared" ref="R259:R322" si="131">TEXT(EDATE(Q259,-543*12),"dd/mm/yyyy")</f>
        <v>02/07/2024</v>
      </c>
      <c r="S259" s="49" t="str">
        <f>IF(B259="","",IF(K259="S1",K259,INDEX(#REF!,#REF!)))</f>
        <v/>
      </c>
      <c r="T259" s="49" t="b">
        <f t="shared" ref="T259:T322" si="132">Q259=S259</f>
        <v>0</v>
      </c>
      <c r="U259" s="68">
        <f t="shared" ref="U259:U322" si="133">IF(R259="",0,DATEDIF(R259,$C$1,"Y"))</f>
        <v>0</v>
      </c>
      <c r="V259" s="68">
        <f t="shared" ref="V259:V322" si="134">IF(R259="",0,DATEDIF(R259,$C$1,"YM"))</f>
        <v>11</v>
      </c>
      <c r="W259" s="68">
        <f t="shared" ref="W259:W322" si="135">IF(R259="",0,DATEDIF(R259,$C$1,"MD"))</f>
        <v>18</v>
      </c>
      <c r="X259" s="68"/>
      <c r="Y259" s="65"/>
      <c r="Z259" s="65"/>
      <c r="AA259" s="49" t="str">
        <f t="shared" si="119"/>
        <v/>
      </c>
      <c r="AB259" s="68">
        <f t="shared" si="120"/>
        <v>0</v>
      </c>
      <c r="AC259" s="68">
        <f t="shared" si="121"/>
        <v>0</v>
      </c>
      <c r="AD259" s="68">
        <f t="shared" si="122"/>
        <v>0</v>
      </c>
      <c r="AE259" s="49"/>
      <c r="AF259" s="65"/>
      <c r="AG259" s="50" t="str">
        <f t="shared" si="123"/>
        <v/>
      </c>
      <c r="AH259" s="68">
        <f t="shared" si="124"/>
        <v>0</v>
      </c>
      <c r="AI259" s="68">
        <f t="shared" si="125"/>
        <v>0</v>
      </c>
      <c r="AJ259" s="68">
        <f t="shared" si="126"/>
        <v>0</v>
      </c>
      <c r="AK259" s="50"/>
      <c r="AL259" s="50"/>
      <c r="AM259" s="50" t="str">
        <f>IF(B259="","",IF(K259="S1",K259,INDEX(#REF!,#REF!)))</f>
        <v/>
      </c>
      <c r="AN259" s="50" t="b">
        <f t="shared" ref="AN259:AN322" si="136">AL259=AM259</f>
        <v>1</v>
      </c>
      <c r="AO259" s="49" t="str">
        <f t="shared" ref="AO259:AO322" si="137">IF(AL259="นิติศาสตร์","K5-LAW","K5-POLICY")</f>
        <v>K5-POLICY</v>
      </c>
      <c r="AP259" s="72" t="str">
        <f>_xlfn.IFS(B259="","",AND(AO259="K5-LAW",AL259="นิติศาสตร์",K259="S2",Y259="",AE259=""),R259,AND(AO259="K5-LAW",AL259="นิติศาสตร์",K259="S1",Y259="",AE259=""),EDATE(R259,12),AND(AO259="K5-LAW",AL259="นิติศาสตร์",OR(K259="M2",K259="K4"),Y259="",AE259=""),EDATE(R259,12*2),AND(AO259="K5-LAW",AL259="นิติศาสตร์",OR(AE259="M2",AE259="K4"),AH259&gt;=2,OR(AG259&lt;AA259,AG259&lt;R259)),EDATE(AG259,12*2),AND(AO259="K5-LAW",AL259="นิติศาสตร์",AE259="S1",AH259&gt;=1,OR(AG259&lt;AA259,AG259&lt;R259)),EDATE(AG259,12),AND(AO259="K5-LAW",AL259="นิติศาสตร์",OR(Y259="M2",Y259="K4"),AB259&gt;=2,AA259&lt;R259),EDATE(AA259,12*2),AND(AO259="K5-LAW",AL259="นิติศาสตร์",Y259="S1",AB259&gt;=1,AA259&lt;R259),EDATE(AA259,12),AND(AO259="K5-LAW",AL259="นิติศาสตร์",OR(Y259="S2",Y259="K5")),AA259,AND(AO259="K5-LAW",AL259="นิติศาสตร์",OR(K259="M2",K259="K4"),U259&gt;=2),EDATE(R259,12*2),AND(AO259="K5-LAW",AL259="นิติศาสตร์",K259="S1",U259&gt;=1),EDATE(R259,12),AND(AO259="K5-LAW",AL259="นิติศาสตร์",OR(K259="S2",K259="K5")),R259,AND(AO259="K5-POLICY",AL259&lt;&gt;"นิติศาสตร์",K259="S2",Y259="",AE259=""),R259,AND(AO259="K5-POLICY",AL259&lt;&gt;"นิติศาสตร์",K259="S1",Y259="",AE259=""),EDATE(R259,12),AND(AO259="K5-POLICY",AL259&lt;&gt;"นิติศาสตร์",OR(K259="M2",K259="K4"),Y259="",AE259=""),EDATE(R259,12*2),AND(AO259="K5-POLICY",AL259&lt;&gt;"นิติศาสตร์",OR(AE259="M2",AE259="K4"),AH259&gt;=2,OR(AG259&lt;AA259,AG259&lt;R259)),EDATE(AG259,12*2),AND(AO259="K5-POLICY",AL259&lt;&gt;"นิติศาสตร์",AE259="S1",AH259&gt;=1,OR(AG259&lt;AA259,AG259&lt;R259)),EDATE(AG259,12),AND(AO259="K5-POLICY",AL259&lt;&gt;"นิติศาสตร์",OR(Y259="M2",Y259="K4"),AB259&gt;=2,AA259&lt;R259),EDATE(AA259,12*2),AND(AO259="K5-POLICY",AL259&lt;&gt;"นิติศาสตร์",Y259="S1",AB259&gt;=1,AA259&lt;R259),EDATE(AA259,12),AND(AO259="K5-POLICY",AL259&lt;&gt;"นิติศาสตร์",OR(Y259="S2",Y259="K5")),AA259,AND(AO259="K5-POLICY",AL259&lt;&gt;"นิติศาสตร์",OR(K259="M2",K259="K4"),U259&gt;=2),EDATE(R259,12*2),AND(AO259="K5-POLICY",AL259&lt;&gt;"นิติศาสตร์",K259="S1",U259&gt;=1),EDATE(R259,12),AND(AO259="K5-POLICY",AL259&lt;&gt;"นิติศาสตร์",OR(K259="S2",K259="K5")),R259,TRUE,"Check Data")</f>
        <v/>
      </c>
      <c r="AQ259" s="75" t="str">
        <f t="shared" ref="AQ259:AQ322" si="138">IFERROR(TEXT(EDATE(AP259,543*12),"dd/mm/yyyy"),"Check Data")</f>
        <v>Check Data</v>
      </c>
      <c r="AR259" s="76" t="str">
        <f t="shared" ref="AR259:AR322" si="139">IFERROR(IF($C$1&gt;AP259,AP259-$C$1,DATEDIF($C$1,AP259,"d")),"Check Data")</f>
        <v>Check Data</v>
      </c>
      <c r="AS259" s="50" t="str">
        <f t="shared" ref="AS259:AS322" si="140">_xlfn.IFS(AR259="Check Data","Check Data",AR259&gt;30,"ยังไม่ถึงเกณฑ์",AR259&gt;0,"ใกล้ถึงเกณฑ์",AR259=0,"ถึงเกณฑ์",AR259&lt;0,"ถึงเกณฑ์นานแล้ว")</f>
        <v>Check Data</v>
      </c>
      <c r="AT259" s="49" t="str">
        <f>IF(B259="","",IF(K259="S1","S1",INDEX(#REF!,#REF!)))</f>
        <v/>
      </c>
      <c r="AU259" s="49" t="str">
        <f t="shared" ref="AU259:AU322" si="141">K259</f>
        <v>M2</v>
      </c>
      <c r="AV259" s="50" t="b">
        <f t="shared" ref="AV259:AV322" si="142">K259=AT259</f>
        <v>0</v>
      </c>
      <c r="AW259" s="50"/>
    </row>
    <row r="260" spans="1:49" ht="21.75">
      <c r="A260" s="49">
        <v>258</v>
      </c>
      <c r="B260" s="50"/>
      <c r="C260" s="52"/>
      <c r="D260" s="50"/>
      <c r="E260" s="49"/>
      <c r="F260" s="49" t="str">
        <f t="shared" si="118"/>
        <v/>
      </c>
      <c r="G260" s="50">
        <f t="shared" si="127"/>
        <v>0</v>
      </c>
      <c r="H260" s="50">
        <f t="shared" si="128"/>
        <v>0</v>
      </c>
      <c r="I260" s="50">
        <f t="shared" si="129"/>
        <v>0</v>
      </c>
      <c r="J260" s="50"/>
      <c r="K260" s="49" t="s">
        <v>136</v>
      </c>
      <c r="L260" s="49" t="str">
        <f>IF(B260="","",IF(K260="S1",K260,INDEX(#REF!,#REF!)))</f>
        <v/>
      </c>
      <c r="M260" s="49" t="b">
        <f t="shared" si="130"/>
        <v>0</v>
      </c>
      <c r="N260" s="64"/>
      <c r="O260" s="49"/>
      <c r="P260" s="49"/>
      <c r="Q260" s="65" t="s">
        <v>434</v>
      </c>
      <c r="R260" s="49" t="str">
        <f t="shared" si="131"/>
        <v>02/07/2024</v>
      </c>
      <c r="S260" s="49" t="str">
        <f>IF(B260="","",IF(K260="S1",K260,INDEX(#REF!,#REF!)))</f>
        <v/>
      </c>
      <c r="T260" s="49" t="b">
        <f t="shared" si="132"/>
        <v>0</v>
      </c>
      <c r="U260" s="68">
        <f t="shared" si="133"/>
        <v>0</v>
      </c>
      <c r="V260" s="68">
        <f t="shared" si="134"/>
        <v>11</v>
      </c>
      <c r="W260" s="68">
        <f t="shared" si="135"/>
        <v>18</v>
      </c>
      <c r="X260" s="68"/>
      <c r="Y260" s="65"/>
      <c r="Z260" s="65"/>
      <c r="AA260" s="49" t="str">
        <f t="shared" si="119"/>
        <v/>
      </c>
      <c r="AB260" s="68">
        <f t="shared" si="120"/>
        <v>0</v>
      </c>
      <c r="AC260" s="68">
        <f t="shared" si="121"/>
        <v>0</v>
      </c>
      <c r="AD260" s="68">
        <f t="shared" si="122"/>
        <v>0</v>
      </c>
      <c r="AE260" s="49"/>
      <c r="AF260" s="65"/>
      <c r="AG260" s="50" t="str">
        <f t="shared" si="123"/>
        <v/>
      </c>
      <c r="AH260" s="68">
        <f t="shared" si="124"/>
        <v>0</v>
      </c>
      <c r="AI260" s="68">
        <f t="shared" si="125"/>
        <v>0</v>
      </c>
      <c r="AJ260" s="68">
        <f t="shared" si="126"/>
        <v>0</v>
      </c>
      <c r="AK260" s="50"/>
      <c r="AL260" s="50"/>
      <c r="AM260" s="50" t="str">
        <f>IF(B260="","",IF(K260="S1",K260,INDEX(#REF!,#REF!)))</f>
        <v/>
      </c>
      <c r="AN260" s="50" t="b">
        <f t="shared" si="136"/>
        <v>1</v>
      </c>
      <c r="AO260" s="49" t="str">
        <f t="shared" si="137"/>
        <v>K5-POLICY</v>
      </c>
      <c r="AP260" s="72" t="str">
        <f>_xlfn.IFS(B260="","",AND(AO260="K5-LAW",AL260="นิติศาสตร์",K260="S2",Y260="",AE260=""),R260,AND(AO260="K5-LAW",AL260="นิติศาสตร์",K260="S1",Y260="",AE260=""),EDATE(R260,12),AND(AO260="K5-LAW",AL260="นิติศาสตร์",OR(K260="M2",K260="K4"),Y260="",AE260=""),EDATE(R260,12*2),AND(AO260="K5-LAW",AL260="นิติศาสตร์",OR(AE260="M2",AE260="K4"),AH260&gt;=2,OR(AG260&lt;AA260,AG260&lt;R260)),EDATE(AG260,12*2),AND(AO260="K5-LAW",AL260="นิติศาสตร์",AE260="S1",AH260&gt;=1,OR(AG260&lt;AA260,AG260&lt;R260)),EDATE(AG260,12),AND(AO260="K5-LAW",AL260="นิติศาสตร์",OR(Y260="M2",Y260="K4"),AB260&gt;=2,AA260&lt;R260),EDATE(AA260,12*2),AND(AO260="K5-LAW",AL260="นิติศาสตร์",Y260="S1",AB260&gt;=1,AA260&lt;R260),EDATE(AA260,12),AND(AO260="K5-LAW",AL260="นิติศาสตร์",OR(Y260="S2",Y260="K5")),AA260,AND(AO260="K5-LAW",AL260="นิติศาสตร์",OR(K260="M2",K260="K4"),U260&gt;=2),EDATE(R260,12*2),AND(AO260="K5-LAW",AL260="นิติศาสตร์",K260="S1",U260&gt;=1),EDATE(R260,12),AND(AO260="K5-LAW",AL260="นิติศาสตร์",OR(K260="S2",K260="K5")),R260,AND(AO260="K5-POLICY",AL260&lt;&gt;"นิติศาสตร์",K260="S2",Y260="",AE260=""),R260,AND(AO260="K5-POLICY",AL260&lt;&gt;"นิติศาสตร์",K260="S1",Y260="",AE260=""),EDATE(R260,12),AND(AO260="K5-POLICY",AL260&lt;&gt;"นิติศาสตร์",OR(K260="M2",K260="K4"),Y260="",AE260=""),EDATE(R260,12*2),AND(AO260="K5-POLICY",AL260&lt;&gt;"นิติศาสตร์",OR(AE260="M2",AE260="K4"),AH260&gt;=2,OR(AG260&lt;AA260,AG260&lt;R260)),EDATE(AG260,12*2),AND(AO260="K5-POLICY",AL260&lt;&gt;"นิติศาสตร์",AE260="S1",AH260&gt;=1,OR(AG260&lt;AA260,AG260&lt;R260)),EDATE(AG260,12),AND(AO260="K5-POLICY",AL260&lt;&gt;"นิติศาสตร์",OR(Y260="M2",Y260="K4"),AB260&gt;=2,AA260&lt;R260),EDATE(AA260,12*2),AND(AO260="K5-POLICY",AL260&lt;&gt;"นิติศาสตร์",Y260="S1",AB260&gt;=1,AA260&lt;R260),EDATE(AA260,12),AND(AO260="K5-POLICY",AL260&lt;&gt;"นิติศาสตร์",OR(Y260="S2",Y260="K5")),AA260,AND(AO260="K5-POLICY",AL260&lt;&gt;"นิติศาสตร์",OR(K260="M2",K260="K4"),U260&gt;=2),EDATE(R260,12*2),AND(AO260="K5-POLICY",AL260&lt;&gt;"นิติศาสตร์",K260="S1",U260&gt;=1),EDATE(R260,12),AND(AO260="K5-POLICY",AL260&lt;&gt;"นิติศาสตร์",OR(K260="S2",K260="K5")),R260,TRUE,"Check Data")</f>
        <v/>
      </c>
      <c r="AQ260" s="75" t="str">
        <f t="shared" si="138"/>
        <v>Check Data</v>
      </c>
      <c r="AR260" s="76" t="str">
        <f t="shared" si="139"/>
        <v>Check Data</v>
      </c>
      <c r="AS260" s="50" t="str">
        <f t="shared" si="140"/>
        <v>Check Data</v>
      </c>
      <c r="AT260" s="49" t="str">
        <f>IF(B260="","",IF(K260="S1","S1",INDEX(#REF!,#REF!)))</f>
        <v/>
      </c>
      <c r="AU260" s="49" t="str">
        <f t="shared" si="141"/>
        <v>M2</v>
      </c>
      <c r="AV260" s="50" t="b">
        <f t="shared" si="142"/>
        <v>0</v>
      </c>
      <c r="AW260" s="50"/>
    </row>
    <row r="261" spans="1:49" ht="21.75">
      <c r="A261" s="49">
        <v>259</v>
      </c>
      <c r="B261" s="50"/>
      <c r="C261" s="52"/>
      <c r="D261" s="50"/>
      <c r="E261" s="49"/>
      <c r="F261" s="49" t="str">
        <f t="shared" si="118"/>
        <v/>
      </c>
      <c r="G261" s="50">
        <f t="shared" si="127"/>
        <v>0</v>
      </c>
      <c r="H261" s="50">
        <f t="shared" si="128"/>
        <v>0</v>
      </c>
      <c r="I261" s="50">
        <f t="shared" si="129"/>
        <v>0</v>
      </c>
      <c r="J261" s="50"/>
      <c r="K261" s="49" t="s">
        <v>136</v>
      </c>
      <c r="L261" s="49" t="str">
        <f>IF(B261="","",IF(K261="S1",K261,INDEX(#REF!,#REF!)))</f>
        <v/>
      </c>
      <c r="M261" s="49" t="b">
        <f t="shared" si="130"/>
        <v>0</v>
      </c>
      <c r="N261" s="64"/>
      <c r="O261" s="49"/>
      <c r="P261" s="49"/>
      <c r="Q261" s="65" t="s">
        <v>434</v>
      </c>
      <c r="R261" s="49" t="str">
        <f t="shared" si="131"/>
        <v>02/07/2024</v>
      </c>
      <c r="S261" s="49" t="str">
        <f>IF(B261="","",IF(K261="S1",K261,INDEX(#REF!,#REF!)))</f>
        <v/>
      </c>
      <c r="T261" s="49" t="b">
        <f t="shared" si="132"/>
        <v>0</v>
      </c>
      <c r="U261" s="68">
        <f t="shared" si="133"/>
        <v>0</v>
      </c>
      <c r="V261" s="68">
        <f t="shared" si="134"/>
        <v>11</v>
      </c>
      <c r="W261" s="68">
        <f t="shared" si="135"/>
        <v>18</v>
      </c>
      <c r="X261" s="68"/>
      <c r="Y261" s="65"/>
      <c r="Z261" s="65"/>
      <c r="AA261" s="49" t="str">
        <f t="shared" si="119"/>
        <v/>
      </c>
      <c r="AB261" s="68">
        <f t="shared" si="120"/>
        <v>0</v>
      </c>
      <c r="AC261" s="68">
        <f t="shared" si="121"/>
        <v>0</v>
      </c>
      <c r="AD261" s="68">
        <f t="shared" si="122"/>
        <v>0</v>
      </c>
      <c r="AE261" s="49"/>
      <c r="AF261" s="65"/>
      <c r="AG261" s="50" t="str">
        <f t="shared" si="123"/>
        <v/>
      </c>
      <c r="AH261" s="68">
        <f t="shared" si="124"/>
        <v>0</v>
      </c>
      <c r="AI261" s="68">
        <f t="shared" si="125"/>
        <v>0</v>
      </c>
      <c r="AJ261" s="68">
        <f t="shared" si="126"/>
        <v>0</v>
      </c>
      <c r="AK261" s="50"/>
      <c r="AL261" s="50"/>
      <c r="AM261" s="50" t="str">
        <f>IF(B261="","",IF(K261="S1",K261,INDEX(#REF!,#REF!)))</f>
        <v/>
      </c>
      <c r="AN261" s="50" t="b">
        <f t="shared" si="136"/>
        <v>1</v>
      </c>
      <c r="AO261" s="49" t="str">
        <f t="shared" si="137"/>
        <v>K5-POLICY</v>
      </c>
      <c r="AP261" s="72" t="str">
        <f>_xlfn.IFS(B261="","",AND(AO261="K5-LAW",AL261="นิติศาสตร์",K261="S2",Y261="",AE261=""),R261,AND(AO261="K5-LAW",AL261="นิติศาสตร์",K261="S1",Y261="",AE261=""),EDATE(R261,12),AND(AO261="K5-LAW",AL261="นิติศาสตร์",OR(K261="M2",K261="K4"),Y261="",AE261=""),EDATE(R261,12*2),AND(AO261="K5-LAW",AL261="นิติศาสตร์",OR(AE261="M2",AE261="K4"),AH261&gt;=2,OR(AG261&lt;AA261,AG261&lt;R261)),EDATE(AG261,12*2),AND(AO261="K5-LAW",AL261="นิติศาสตร์",AE261="S1",AH261&gt;=1,OR(AG261&lt;AA261,AG261&lt;R261)),EDATE(AG261,12),AND(AO261="K5-LAW",AL261="นิติศาสตร์",OR(Y261="M2",Y261="K4"),AB261&gt;=2,AA261&lt;R261),EDATE(AA261,12*2),AND(AO261="K5-LAW",AL261="นิติศาสตร์",Y261="S1",AB261&gt;=1,AA261&lt;R261),EDATE(AA261,12),AND(AO261="K5-LAW",AL261="นิติศาสตร์",OR(Y261="S2",Y261="K5")),AA261,AND(AO261="K5-LAW",AL261="นิติศาสตร์",OR(K261="M2",K261="K4"),U261&gt;=2),EDATE(R261,12*2),AND(AO261="K5-LAW",AL261="นิติศาสตร์",K261="S1",U261&gt;=1),EDATE(R261,12),AND(AO261="K5-LAW",AL261="นิติศาสตร์",OR(K261="S2",K261="K5")),R261,AND(AO261="K5-POLICY",AL261&lt;&gt;"นิติศาสตร์",K261="S2",Y261="",AE261=""),R261,AND(AO261="K5-POLICY",AL261&lt;&gt;"นิติศาสตร์",K261="S1",Y261="",AE261=""),EDATE(R261,12),AND(AO261="K5-POLICY",AL261&lt;&gt;"นิติศาสตร์",OR(K261="M2",K261="K4"),Y261="",AE261=""),EDATE(R261,12*2),AND(AO261="K5-POLICY",AL261&lt;&gt;"นิติศาสตร์",OR(AE261="M2",AE261="K4"),AH261&gt;=2,OR(AG261&lt;AA261,AG261&lt;R261)),EDATE(AG261,12*2),AND(AO261="K5-POLICY",AL261&lt;&gt;"นิติศาสตร์",AE261="S1",AH261&gt;=1,OR(AG261&lt;AA261,AG261&lt;R261)),EDATE(AG261,12),AND(AO261="K5-POLICY",AL261&lt;&gt;"นิติศาสตร์",OR(Y261="M2",Y261="K4"),AB261&gt;=2,AA261&lt;R261),EDATE(AA261,12*2),AND(AO261="K5-POLICY",AL261&lt;&gt;"นิติศาสตร์",Y261="S1",AB261&gt;=1,AA261&lt;R261),EDATE(AA261,12),AND(AO261="K5-POLICY",AL261&lt;&gt;"นิติศาสตร์",OR(Y261="S2",Y261="K5")),AA261,AND(AO261="K5-POLICY",AL261&lt;&gt;"นิติศาสตร์",OR(K261="M2",K261="K4"),U261&gt;=2),EDATE(R261,12*2),AND(AO261="K5-POLICY",AL261&lt;&gt;"นิติศาสตร์",K261="S1",U261&gt;=1),EDATE(R261,12),AND(AO261="K5-POLICY",AL261&lt;&gt;"นิติศาสตร์",OR(K261="S2",K261="K5")),R261,TRUE,"Check Data")</f>
        <v/>
      </c>
      <c r="AQ261" s="75" t="str">
        <f t="shared" si="138"/>
        <v>Check Data</v>
      </c>
      <c r="AR261" s="76" t="str">
        <f t="shared" si="139"/>
        <v>Check Data</v>
      </c>
      <c r="AS261" s="50" t="str">
        <f t="shared" si="140"/>
        <v>Check Data</v>
      </c>
      <c r="AT261" s="49" t="str">
        <f>IF(B261="","",IF(K261="S1","S1",INDEX(#REF!,#REF!)))</f>
        <v/>
      </c>
      <c r="AU261" s="49" t="str">
        <f t="shared" si="141"/>
        <v>M2</v>
      </c>
      <c r="AV261" s="50" t="b">
        <f t="shared" si="142"/>
        <v>0</v>
      </c>
      <c r="AW261" s="50"/>
    </row>
    <row r="262" spans="1:49" ht="21.75">
      <c r="A262" s="49">
        <v>260</v>
      </c>
      <c r="B262" s="50"/>
      <c r="C262" s="52"/>
      <c r="D262" s="50"/>
      <c r="E262" s="49"/>
      <c r="F262" s="49" t="str">
        <f t="shared" si="118"/>
        <v/>
      </c>
      <c r="G262" s="50">
        <f t="shared" si="127"/>
        <v>0</v>
      </c>
      <c r="H262" s="50">
        <f t="shared" si="128"/>
        <v>0</v>
      </c>
      <c r="I262" s="50">
        <f t="shared" si="129"/>
        <v>0</v>
      </c>
      <c r="J262" s="50"/>
      <c r="K262" s="49" t="s">
        <v>136</v>
      </c>
      <c r="L262" s="49" t="str">
        <f>IF(B262="","",IF(K262="S1",K262,INDEX(#REF!,#REF!)))</f>
        <v/>
      </c>
      <c r="M262" s="49" t="b">
        <f t="shared" si="130"/>
        <v>0</v>
      </c>
      <c r="N262" s="64"/>
      <c r="O262" s="49"/>
      <c r="P262" s="49"/>
      <c r="Q262" s="65" t="s">
        <v>434</v>
      </c>
      <c r="R262" s="49" t="str">
        <f t="shared" si="131"/>
        <v>02/07/2024</v>
      </c>
      <c r="S262" s="49" t="str">
        <f>IF(B262="","",IF(K262="S1",K262,INDEX(#REF!,#REF!)))</f>
        <v/>
      </c>
      <c r="T262" s="49" t="b">
        <f t="shared" si="132"/>
        <v>0</v>
      </c>
      <c r="U262" s="68">
        <f t="shared" si="133"/>
        <v>0</v>
      </c>
      <c r="V262" s="68">
        <f t="shared" si="134"/>
        <v>11</v>
      </c>
      <c r="W262" s="68">
        <f t="shared" si="135"/>
        <v>18</v>
      </c>
      <c r="X262" s="68"/>
      <c r="Y262" s="65"/>
      <c r="Z262" s="65"/>
      <c r="AA262" s="49" t="str">
        <f t="shared" si="119"/>
        <v/>
      </c>
      <c r="AB262" s="68">
        <f t="shared" si="120"/>
        <v>0</v>
      </c>
      <c r="AC262" s="68">
        <f t="shared" si="121"/>
        <v>0</v>
      </c>
      <c r="AD262" s="68">
        <f t="shared" si="122"/>
        <v>0</v>
      </c>
      <c r="AE262" s="65"/>
      <c r="AF262" s="65"/>
      <c r="AG262" s="50" t="str">
        <f t="shared" si="123"/>
        <v/>
      </c>
      <c r="AH262" s="68">
        <f t="shared" si="124"/>
        <v>0</v>
      </c>
      <c r="AI262" s="68">
        <f t="shared" si="125"/>
        <v>0</v>
      </c>
      <c r="AJ262" s="68">
        <f t="shared" si="126"/>
        <v>0</v>
      </c>
      <c r="AK262" s="50"/>
      <c r="AL262" s="50"/>
      <c r="AM262" s="50" t="str">
        <f>IF(B262="","",IF(K262="S1",K262,INDEX(#REF!,#REF!)))</f>
        <v/>
      </c>
      <c r="AN262" s="50" t="b">
        <f t="shared" si="136"/>
        <v>1</v>
      </c>
      <c r="AO262" s="49" t="str">
        <f t="shared" si="137"/>
        <v>K5-POLICY</v>
      </c>
      <c r="AP262" s="72" t="str">
        <f>_xlfn.IFS(B262="","",AND(AO262="K5-LAW",AL262="นิติศาสตร์",K262="S2",Y262="",AE262=""),R262,AND(AO262="K5-LAW",AL262="นิติศาสตร์",K262="S1",Y262="",AE262=""),EDATE(R262,12),AND(AO262="K5-LAW",AL262="นิติศาสตร์",OR(K262="M2",K262="K4"),Y262="",AE262=""),EDATE(R262,12*2),AND(AO262="K5-LAW",AL262="นิติศาสตร์",OR(AE262="M2",AE262="K4"),AH262&gt;=2,OR(AG262&lt;AA262,AG262&lt;R262)),EDATE(AG262,12*2),AND(AO262="K5-LAW",AL262="นิติศาสตร์",AE262="S1",AH262&gt;=1,OR(AG262&lt;AA262,AG262&lt;R262)),EDATE(AG262,12),AND(AO262="K5-LAW",AL262="นิติศาสตร์",OR(Y262="M2",Y262="K4"),AB262&gt;=2,AA262&lt;R262),EDATE(AA262,12*2),AND(AO262="K5-LAW",AL262="นิติศาสตร์",Y262="S1",AB262&gt;=1,AA262&lt;R262),EDATE(AA262,12),AND(AO262="K5-LAW",AL262="นิติศาสตร์",OR(Y262="S2",Y262="K5")),AA262,AND(AO262="K5-LAW",AL262="นิติศาสตร์",OR(K262="M2",K262="K4"),U262&gt;=2),EDATE(R262,12*2),AND(AO262="K5-LAW",AL262="นิติศาสตร์",K262="S1",U262&gt;=1),EDATE(R262,12),AND(AO262="K5-LAW",AL262="นิติศาสตร์",OR(K262="S2",K262="K5")),R262,AND(AO262="K5-POLICY",AL262&lt;&gt;"นิติศาสตร์",K262="S2",Y262="",AE262=""),R262,AND(AO262="K5-POLICY",AL262&lt;&gt;"นิติศาสตร์",K262="S1",Y262="",AE262=""),EDATE(R262,12),AND(AO262="K5-POLICY",AL262&lt;&gt;"นิติศาสตร์",OR(K262="M2",K262="K4"),Y262="",AE262=""),EDATE(R262,12*2),AND(AO262="K5-POLICY",AL262&lt;&gt;"นิติศาสตร์",OR(AE262="M2",AE262="K4"),AH262&gt;=2,OR(AG262&lt;AA262,AG262&lt;R262)),EDATE(AG262,12*2),AND(AO262="K5-POLICY",AL262&lt;&gt;"นิติศาสตร์",AE262="S1",AH262&gt;=1,OR(AG262&lt;AA262,AG262&lt;R262)),EDATE(AG262,12),AND(AO262="K5-POLICY",AL262&lt;&gt;"นิติศาสตร์",OR(Y262="M2",Y262="K4"),AB262&gt;=2,AA262&lt;R262),EDATE(AA262,12*2),AND(AO262="K5-POLICY",AL262&lt;&gt;"นิติศาสตร์",Y262="S1",AB262&gt;=1,AA262&lt;R262),EDATE(AA262,12),AND(AO262="K5-POLICY",AL262&lt;&gt;"นิติศาสตร์",OR(Y262="S2",Y262="K5")),AA262,AND(AO262="K5-POLICY",AL262&lt;&gt;"นิติศาสตร์",OR(K262="M2",K262="K4"),U262&gt;=2),EDATE(R262,12*2),AND(AO262="K5-POLICY",AL262&lt;&gt;"นิติศาสตร์",K262="S1",U262&gt;=1),EDATE(R262,12),AND(AO262="K5-POLICY",AL262&lt;&gt;"นิติศาสตร์",OR(K262="S2",K262="K5")),R262,TRUE,"Check Data")</f>
        <v/>
      </c>
      <c r="AQ262" s="75" t="str">
        <f t="shared" si="138"/>
        <v>Check Data</v>
      </c>
      <c r="AR262" s="76" t="str">
        <f t="shared" si="139"/>
        <v>Check Data</v>
      </c>
      <c r="AS262" s="50" t="str">
        <f t="shared" si="140"/>
        <v>Check Data</v>
      </c>
      <c r="AT262" s="49" t="str">
        <f>IF(B262="","",IF(K262="S1","S1",INDEX(#REF!,#REF!)))</f>
        <v/>
      </c>
      <c r="AU262" s="49" t="str">
        <f t="shared" si="141"/>
        <v>M2</v>
      </c>
      <c r="AV262" s="50" t="b">
        <f t="shared" si="142"/>
        <v>0</v>
      </c>
      <c r="AW262" s="50"/>
    </row>
    <row r="263" spans="1:49" ht="21.75">
      <c r="A263" s="49">
        <v>261</v>
      </c>
      <c r="B263" s="50"/>
      <c r="C263" s="52"/>
      <c r="D263" s="79"/>
      <c r="E263" s="79"/>
      <c r="F263" s="79"/>
      <c r="G263" s="50">
        <f t="shared" si="127"/>
        <v>0</v>
      </c>
      <c r="H263" s="50">
        <f t="shared" si="128"/>
        <v>0</v>
      </c>
      <c r="I263" s="50">
        <f t="shared" si="129"/>
        <v>0</v>
      </c>
      <c r="J263" s="79"/>
      <c r="K263" s="49" t="s">
        <v>136</v>
      </c>
      <c r="L263" s="49" t="str">
        <f>IF(B263="","",IF(K263="S1",K263,INDEX(#REF!,#REF!)))</f>
        <v/>
      </c>
      <c r="M263" s="49" t="b">
        <f t="shared" si="130"/>
        <v>0</v>
      </c>
      <c r="N263" s="79"/>
      <c r="O263" s="79"/>
      <c r="P263" s="79"/>
      <c r="Q263" s="65" t="s">
        <v>434</v>
      </c>
      <c r="R263" s="49" t="str">
        <f t="shared" si="131"/>
        <v>02/07/2024</v>
      </c>
      <c r="S263" s="49" t="str">
        <f>IF(B263="","",IF(K263="S1",K263,INDEX(#REF!,#REF!)))</f>
        <v/>
      </c>
      <c r="T263" s="49" t="b">
        <f t="shared" si="132"/>
        <v>0</v>
      </c>
      <c r="U263" s="68">
        <f t="shared" si="133"/>
        <v>0</v>
      </c>
      <c r="V263" s="68">
        <f t="shared" si="134"/>
        <v>11</v>
      </c>
      <c r="W263" s="68">
        <f t="shared" si="135"/>
        <v>18</v>
      </c>
      <c r="X263" s="79"/>
      <c r="Y263" s="65"/>
      <c r="Z263" s="83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50" t="str">
        <f>IF(B263="","",IF(K263="S1",K263,INDEX(#REF!,#REF!)))</f>
        <v/>
      </c>
      <c r="AN263" s="50" t="b">
        <f t="shared" si="136"/>
        <v>1</v>
      </c>
      <c r="AO263" s="49" t="str">
        <f t="shared" si="137"/>
        <v>K5-POLICY</v>
      </c>
      <c r="AP263" s="72" t="str">
        <f>_xlfn.IFS(B263="","",AND(AO263="K5-LAW",AL263="นิติศาสตร์",K263="S2",Y263="",AE263=""),R263,AND(AO263="K5-LAW",AL263="นิติศาสตร์",K263="S1",Y263="",AE263=""),EDATE(R263,12),AND(AO263="K5-LAW",AL263="นิติศาสตร์",OR(K263="M2",K263="K4"),Y263="",AE263=""),EDATE(R263,12*2),AND(AO263="K5-LAW",AL263="นิติศาสตร์",OR(AE263="M2",AE263="K4"),AH263&gt;=2,OR(AG263&lt;AA263,AG263&lt;R263)),EDATE(AG263,12*2),AND(AO263="K5-LAW",AL263="นิติศาสตร์",AE263="S1",AH263&gt;=1,OR(AG263&lt;AA263,AG263&lt;R263)),EDATE(AG263,12),AND(AO263="K5-LAW",AL263="นิติศาสตร์",OR(Y263="M2",Y263="K4"),AB263&gt;=2,AA263&lt;R263),EDATE(AA263,12*2),AND(AO263="K5-LAW",AL263="นิติศาสตร์",Y263="S1",AB263&gt;=1,AA263&lt;R263),EDATE(AA263,12),AND(AO263="K5-LAW",AL263="นิติศาสตร์",OR(Y263="S2",Y263="K5")),AA263,AND(AO263="K5-LAW",AL263="นิติศาสตร์",OR(K263="M2",K263="K4"),U263&gt;=2),EDATE(R263,12*2),AND(AO263="K5-LAW",AL263="นิติศาสตร์",K263="S1",U263&gt;=1),EDATE(R263,12),AND(AO263="K5-LAW",AL263="นิติศาสตร์",OR(K263="S2",K263="K5")),R263,AND(AO263="K5-POLICY",AL263&lt;&gt;"นิติศาสตร์",K263="S2",Y263="",AE263=""),R263,AND(AO263="K5-POLICY",AL263&lt;&gt;"นิติศาสตร์",K263="S1",Y263="",AE263=""),EDATE(R263,12),AND(AO263="K5-POLICY",AL263&lt;&gt;"นิติศาสตร์",OR(K263="M2",K263="K4"),Y263="",AE263=""),EDATE(R263,12*2),AND(AO263="K5-POLICY",AL263&lt;&gt;"นิติศาสตร์",OR(AE263="M2",AE263="K4"),AH263&gt;=2,OR(AG263&lt;AA263,AG263&lt;R263)),EDATE(AG263,12*2),AND(AO263="K5-POLICY",AL263&lt;&gt;"นิติศาสตร์",AE263="S1",AH263&gt;=1,OR(AG263&lt;AA263,AG263&lt;R263)),EDATE(AG263,12),AND(AO263="K5-POLICY",AL263&lt;&gt;"นิติศาสตร์",OR(Y263="M2",Y263="K4"),AB263&gt;=2,AA263&lt;R263),EDATE(AA263,12*2),AND(AO263="K5-POLICY",AL263&lt;&gt;"นิติศาสตร์",Y263="S1",AB263&gt;=1,AA263&lt;R263),EDATE(AA263,12),AND(AO263="K5-POLICY",AL263&lt;&gt;"นิติศาสตร์",OR(Y263="S2",Y263="K5")),AA263,AND(AO263="K5-POLICY",AL263&lt;&gt;"นิติศาสตร์",OR(K263="M2",K263="K4"),U263&gt;=2),EDATE(R263,12*2),AND(AO263="K5-POLICY",AL263&lt;&gt;"นิติศาสตร์",K263="S1",U263&gt;=1),EDATE(R263,12),AND(AO263="K5-POLICY",AL263&lt;&gt;"นิติศาสตร์",OR(K263="S2",K263="K5")),R263,TRUE,"Check Data")</f>
        <v/>
      </c>
      <c r="AQ263" s="75" t="str">
        <f t="shared" si="138"/>
        <v>Check Data</v>
      </c>
      <c r="AR263" s="76" t="str">
        <f t="shared" si="139"/>
        <v>Check Data</v>
      </c>
      <c r="AS263" s="50" t="str">
        <f t="shared" si="140"/>
        <v>Check Data</v>
      </c>
      <c r="AT263" s="49" t="str">
        <f>IF(B263="","",IF(K263="S1","S1",INDEX(#REF!,#REF!)))</f>
        <v/>
      </c>
      <c r="AU263" s="49" t="str">
        <f t="shared" si="141"/>
        <v>M2</v>
      </c>
      <c r="AV263" s="50" t="b">
        <f t="shared" si="142"/>
        <v>0</v>
      </c>
      <c r="AW263" s="50"/>
    </row>
    <row r="264" spans="1:49" ht="21.75">
      <c r="A264" s="49">
        <v>262</v>
      </c>
      <c r="B264" s="50"/>
      <c r="C264" s="52"/>
      <c r="D264" s="79"/>
      <c r="E264" s="79"/>
      <c r="F264" s="79"/>
      <c r="G264" s="50">
        <f t="shared" si="127"/>
        <v>0</v>
      </c>
      <c r="H264" s="50">
        <f t="shared" si="128"/>
        <v>0</v>
      </c>
      <c r="I264" s="50">
        <f t="shared" si="129"/>
        <v>0</v>
      </c>
      <c r="J264" s="79"/>
      <c r="K264" s="49" t="s">
        <v>136</v>
      </c>
      <c r="L264" s="49" t="str">
        <f>IF(B264="","",IF(K264="S1",K264,INDEX(#REF!,#REF!)))</f>
        <v/>
      </c>
      <c r="M264" s="49" t="b">
        <f t="shared" si="130"/>
        <v>0</v>
      </c>
      <c r="N264" s="79"/>
      <c r="O264" s="79"/>
      <c r="P264" s="79"/>
      <c r="Q264" s="65" t="s">
        <v>434</v>
      </c>
      <c r="R264" s="49" t="str">
        <f t="shared" si="131"/>
        <v>02/07/2024</v>
      </c>
      <c r="S264" s="49" t="str">
        <f>IF(B264="","",IF(K264="S1",K264,INDEX(#REF!,#REF!)))</f>
        <v/>
      </c>
      <c r="T264" s="49" t="b">
        <f t="shared" si="132"/>
        <v>0</v>
      </c>
      <c r="U264" s="68">
        <f t="shared" si="133"/>
        <v>0</v>
      </c>
      <c r="V264" s="68">
        <f t="shared" si="134"/>
        <v>11</v>
      </c>
      <c r="W264" s="68">
        <f t="shared" si="135"/>
        <v>18</v>
      </c>
      <c r="X264" s="79"/>
      <c r="Y264" s="65"/>
      <c r="Z264" s="83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50" t="str">
        <f>IF(B264="","",IF(K264="S1",K264,INDEX(#REF!,#REF!)))</f>
        <v/>
      </c>
      <c r="AN264" s="50" t="b">
        <f t="shared" si="136"/>
        <v>1</v>
      </c>
      <c r="AO264" s="49" t="str">
        <f t="shared" si="137"/>
        <v>K5-POLICY</v>
      </c>
      <c r="AP264" s="72" t="str">
        <f>_xlfn.IFS(B264="","",AND(AO264="K5-LAW",AL264="นิติศาสตร์",K264="S2",Y264="",AE264=""),R264,AND(AO264="K5-LAW",AL264="นิติศาสตร์",K264="S1",Y264="",AE264=""),EDATE(R264,12),AND(AO264="K5-LAW",AL264="นิติศาสตร์",OR(K264="M2",K264="K4"),Y264="",AE264=""),EDATE(R264,12*2),AND(AO264="K5-LAW",AL264="นิติศาสตร์",OR(AE264="M2",AE264="K4"),AH264&gt;=2,OR(AG264&lt;AA264,AG264&lt;R264)),EDATE(AG264,12*2),AND(AO264="K5-LAW",AL264="นิติศาสตร์",AE264="S1",AH264&gt;=1,OR(AG264&lt;AA264,AG264&lt;R264)),EDATE(AG264,12),AND(AO264="K5-LAW",AL264="นิติศาสตร์",OR(Y264="M2",Y264="K4"),AB264&gt;=2,AA264&lt;R264),EDATE(AA264,12*2),AND(AO264="K5-LAW",AL264="นิติศาสตร์",Y264="S1",AB264&gt;=1,AA264&lt;R264),EDATE(AA264,12),AND(AO264="K5-LAW",AL264="นิติศาสตร์",OR(Y264="S2",Y264="K5")),AA264,AND(AO264="K5-LAW",AL264="นิติศาสตร์",OR(K264="M2",K264="K4"),U264&gt;=2),EDATE(R264,12*2),AND(AO264="K5-LAW",AL264="นิติศาสตร์",K264="S1",U264&gt;=1),EDATE(R264,12),AND(AO264="K5-LAW",AL264="นิติศาสตร์",OR(K264="S2",K264="K5")),R264,AND(AO264="K5-POLICY",AL264&lt;&gt;"นิติศาสตร์",K264="S2",Y264="",AE264=""),R264,AND(AO264="K5-POLICY",AL264&lt;&gt;"นิติศาสตร์",K264="S1",Y264="",AE264=""),EDATE(R264,12),AND(AO264="K5-POLICY",AL264&lt;&gt;"นิติศาสตร์",OR(K264="M2",K264="K4"),Y264="",AE264=""),EDATE(R264,12*2),AND(AO264="K5-POLICY",AL264&lt;&gt;"นิติศาสตร์",OR(AE264="M2",AE264="K4"),AH264&gt;=2,OR(AG264&lt;AA264,AG264&lt;R264)),EDATE(AG264,12*2),AND(AO264="K5-POLICY",AL264&lt;&gt;"นิติศาสตร์",AE264="S1",AH264&gt;=1,OR(AG264&lt;AA264,AG264&lt;R264)),EDATE(AG264,12),AND(AO264="K5-POLICY",AL264&lt;&gt;"นิติศาสตร์",OR(Y264="M2",Y264="K4"),AB264&gt;=2,AA264&lt;R264),EDATE(AA264,12*2),AND(AO264="K5-POLICY",AL264&lt;&gt;"นิติศาสตร์",Y264="S1",AB264&gt;=1,AA264&lt;R264),EDATE(AA264,12),AND(AO264="K5-POLICY",AL264&lt;&gt;"นิติศาสตร์",OR(Y264="S2",Y264="K5")),AA264,AND(AO264="K5-POLICY",AL264&lt;&gt;"นิติศาสตร์",OR(K264="M2",K264="K4"),U264&gt;=2),EDATE(R264,12*2),AND(AO264="K5-POLICY",AL264&lt;&gt;"นิติศาสตร์",K264="S1",U264&gt;=1),EDATE(R264,12),AND(AO264="K5-POLICY",AL264&lt;&gt;"นิติศาสตร์",OR(K264="S2",K264="K5")),R264,TRUE,"Check Data")</f>
        <v/>
      </c>
      <c r="AQ264" s="75" t="str">
        <f t="shared" si="138"/>
        <v>Check Data</v>
      </c>
      <c r="AR264" s="76" t="str">
        <f t="shared" si="139"/>
        <v>Check Data</v>
      </c>
      <c r="AS264" s="50" t="str">
        <f t="shared" si="140"/>
        <v>Check Data</v>
      </c>
      <c r="AT264" s="49" t="str">
        <f>IF(B264="","",IF(K264="S1","S1",INDEX(#REF!,#REF!)))</f>
        <v/>
      </c>
      <c r="AU264" s="49" t="str">
        <f t="shared" si="141"/>
        <v>M2</v>
      </c>
      <c r="AV264" s="50" t="b">
        <f t="shared" si="142"/>
        <v>0</v>
      </c>
      <c r="AW264" s="50"/>
    </row>
    <row r="265" spans="1:49" ht="21.75">
      <c r="A265" s="49">
        <v>263</v>
      </c>
      <c r="B265" s="50"/>
      <c r="C265" s="52"/>
      <c r="D265" s="79"/>
      <c r="E265" s="79"/>
      <c r="F265" s="79"/>
      <c r="G265" s="50">
        <f t="shared" si="127"/>
        <v>0</v>
      </c>
      <c r="H265" s="50">
        <f t="shared" si="128"/>
        <v>0</v>
      </c>
      <c r="I265" s="50">
        <f t="shared" si="129"/>
        <v>0</v>
      </c>
      <c r="J265" s="79"/>
      <c r="K265" s="49" t="s">
        <v>136</v>
      </c>
      <c r="L265" s="49" t="str">
        <f>IF(B265="","",IF(K265="S1",K265,INDEX(#REF!,#REF!)))</f>
        <v/>
      </c>
      <c r="M265" s="49" t="b">
        <f t="shared" si="130"/>
        <v>0</v>
      </c>
      <c r="N265" s="79"/>
      <c r="O265" s="79"/>
      <c r="P265" s="79"/>
      <c r="Q265" s="65" t="s">
        <v>434</v>
      </c>
      <c r="R265" s="49" t="str">
        <f t="shared" si="131"/>
        <v>02/07/2024</v>
      </c>
      <c r="S265" s="49" t="str">
        <f>IF(B265="","",IF(K265="S1",K265,INDEX(#REF!,#REF!)))</f>
        <v/>
      </c>
      <c r="T265" s="49" t="b">
        <f t="shared" si="132"/>
        <v>0</v>
      </c>
      <c r="U265" s="68">
        <f t="shared" si="133"/>
        <v>0</v>
      </c>
      <c r="V265" s="68">
        <f t="shared" si="134"/>
        <v>11</v>
      </c>
      <c r="W265" s="68">
        <f t="shared" si="135"/>
        <v>18</v>
      </c>
      <c r="X265" s="79"/>
      <c r="Y265" s="65"/>
      <c r="Z265" s="83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50" t="str">
        <f>IF(B265="","",IF(K265="S1",K265,INDEX(#REF!,#REF!)))</f>
        <v/>
      </c>
      <c r="AN265" s="50" t="b">
        <f t="shared" si="136"/>
        <v>1</v>
      </c>
      <c r="AO265" s="49" t="str">
        <f t="shared" si="137"/>
        <v>K5-POLICY</v>
      </c>
      <c r="AP265" s="72" t="str">
        <f>_xlfn.IFS(B265="","",AND(AO265="K5-LAW",AL265="นิติศาสตร์",K265="S2",Y265="",AE265=""),R265,AND(AO265="K5-LAW",AL265="นิติศาสตร์",K265="S1",Y265="",AE265=""),EDATE(R265,12),AND(AO265="K5-LAW",AL265="นิติศาสตร์",OR(K265="M2",K265="K4"),Y265="",AE265=""),EDATE(R265,12*2),AND(AO265="K5-LAW",AL265="นิติศาสตร์",OR(AE265="M2",AE265="K4"),AH265&gt;=2,OR(AG265&lt;AA265,AG265&lt;R265)),EDATE(AG265,12*2),AND(AO265="K5-LAW",AL265="นิติศาสตร์",AE265="S1",AH265&gt;=1,OR(AG265&lt;AA265,AG265&lt;R265)),EDATE(AG265,12),AND(AO265="K5-LAW",AL265="นิติศาสตร์",OR(Y265="M2",Y265="K4"),AB265&gt;=2,AA265&lt;R265),EDATE(AA265,12*2),AND(AO265="K5-LAW",AL265="นิติศาสตร์",Y265="S1",AB265&gt;=1,AA265&lt;R265),EDATE(AA265,12),AND(AO265="K5-LAW",AL265="นิติศาสตร์",OR(Y265="S2",Y265="K5")),AA265,AND(AO265="K5-LAW",AL265="นิติศาสตร์",OR(K265="M2",K265="K4"),U265&gt;=2),EDATE(R265,12*2),AND(AO265="K5-LAW",AL265="นิติศาสตร์",K265="S1",U265&gt;=1),EDATE(R265,12),AND(AO265="K5-LAW",AL265="นิติศาสตร์",OR(K265="S2",K265="K5")),R265,AND(AO265="K5-POLICY",AL265&lt;&gt;"นิติศาสตร์",K265="S2",Y265="",AE265=""),R265,AND(AO265="K5-POLICY",AL265&lt;&gt;"นิติศาสตร์",K265="S1",Y265="",AE265=""),EDATE(R265,12),AND(AO265="K5-POLICY",AL265&lt;&gt;"นิติศาสตร์",OR(K265="M2",K265="K4"),Y265="",AE265=""),EDATE(R265,12*2),AND(AO265="K5-POLICY",AL265&lt;&gt;"นิติศาสตร์",OR(AE265="M2",AE265="K4"),AH265&gt;=2,OR(AG265&lt;AA265,AG265&lt;R265)),EDATE(AG265,12*2),AND(AO265="K5-POLICY",AL265&lt;&gt;"นิติศาสตร์",AE265="S1",AH265&gt;=1,OR(AG265&lt;AA265,AG265&lt;R265)),EDATE(AG265,12),AND(AO265="K5-POLICY",AL265&lt;&gt;"นิติศาสตร์",OR(Y265="M2",Y265="K4"),AB265&gt;=2,AA265&lt;R265),EDATE(AA265,12*2),AND(AO265="K5-POLICY",AL265&lt;&gt;"นิติศาสตร์",Y265="S1",AB265&gt;=1,AA265&lt;R265),EDATE(AA265,12),AND(AO265="K5-POLICY",AL265&lt;&gt;"นิติศาสตร์",OR(Y265="S2",Y265="K5")),AA265,AND(AO265="K5-POLICY",AL265&lt;&gt;"นิติศาสตร์",OR(K265="M2",K265="K4"),U265&gt;=2),EDATE(R265,12*2),AND(AO265="K5-POLICY",AL265&lt;&gt;"นิติศาสตร์",K265="S1",U265&gt;=1),EDATE(R265,12),AND(AO265="K5-POLICY",AL265&lt;&gt;"นิติศาสตร์",OR(K265="S2",K265="K5")),R265,TRUE,"Check Data")</f>
        <v/>
      </c>
      <c r="AQ265" s="75" t="str">
        <f t="shared" si="138"/>
        <v>Check Data</v>
      </c>
      <c r="AR265" s="76" t="str">
        <f t="shared" si="139"/>
        <v>Check Data</v>
      </c>
      <c r="AS265" s="50" t="str">
        <f t="shared" si="140"/>
        <v>Check Data</v>
      </c>
      <c r="AT265" s="49" t="str">
        <f>IF(B265="","",IF(K265="S1","S1",INDEX(#REF!,#REF!)))</f>
        <v/>
      </c>
      <c r="AU265" s="49" t="str">
        <f t="shared" si="141"/>
        <v>M2</v>
      </c>
      <c r="AV265" s="50" t="b">
        <f t="shared" si="142"/>
        <v>0</v>
      </c>
      <c r="AW265" s="50"/>
    </row>
    <row r="266" spans="1:49" ht="21.75">
      <c r="A266" s="49">
        <v>264</v>
      </c>
      <c r="B266" s="50"/>
      <c r="C266" s="52"/>
      <c r="D266" s="79"/>
      <c r="E266" s="79"/>
      <c r="F266" s="79"/>
      <c r="G266" s="50">
        <f t="shared" si="127"/>
        <v>0</v>
      </c>
      <c r="H266" s="50">
        <f t="shared" si="128"/>
        <v>0</v>
      </c>
      <c r="I266" s="50">
        <f t="shared" si="129"/>
        <v>0</v>
      </c>
      <c r="J266" s="79"/>
      <c r="K266" s="49" t="s">
        <v>136</v>
      </c>
      <c r="L266" s="49" t="str">
        <f>IF(B266="","",IF(K266="S1",K266,INDEX(#REF!,#REF!)))</f>
        <v/>
      </c>
      <c r="M266" s="49" t="b">
        <f t="shared" si="130"/>
        <v>0</v>
      </c>
      <c r="N266" s="79"/>
      <c r="O266" s="79"/>
      <c r="P266" s="79"/>
      <c r="Q266" s="65" t="s">
        <v>434</v>
      </c>
      <c r="R266" s="49" t="str">
        <f t="shared" si="131"/>
        <v>02/07/2024</v>
      </c>
      <c r="S266" s="49" t="str">
        <f>IF(B266="","",IF(K266="S1",K266,INDEX(#REF!,#REF!)))</f>
        <v/>
      </c>
      <c r="T266" s="49" t="b">
        <f t="shared" si="132"/>
        <v>0</v>
      </c>
      <c r="U266" s="68">
        <f t="shared" si="133"/>
        <v>0</v>
      </c>
      <c r="V266" s="68">
        <f t="shared" si="134"/>
        <v>11</v>
      </c>
      <c r="W266" s="68">
        <f t="shared" si="135"/>
        <v>18</v>
      </c>
      <c r="X266" s="79"/>
      <c r="Y266" s="65"/>
      <c r="Z266" s="83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50" t="str">
        <f>IF(B266="","",IF(K266="S1",K266,INDEX(#REF!,#REF!)))</f>
        <v/>
      </c>
      <c r="AN266" s="50" t="b">
        <f t="shared" si="136"/>
        <v>1</v>
      </c>
      <c r="AO266" s="49" t="str">
        <f t="shared" si="137"/>
        <v>K5-POLICY</v>
      </c>
      <c r="AP266" s="72" t="str">
        <f>_xlfn.IFS(B266="","",AND(AO266="K5-LAW",AL266="นิติศาสตร์",K266="S2",Y266="",AE266=""),R266,AND(AO266="K5-LAW",AL266="นิติศาสตร์",K266="S1",Y266="",AE266=""),EDATE(R266,12),AND(AO266="K5-LAW",AL266="นิติศาสตร์",OR(K266="M2",K266="K4"),Y266="",AE266=""),EDATE(R266,12*2),AND(AO266="K5-LAW",AL266="นิติศาสตร์",OR(AE266="M2",AE266="K4"),AH266&gt;=2,OR(AG266&lt;AA266,AG266&lt;R266)),EDATE(AG266,12*2),AND(AO266="K5-LAW",AL266="นิติศาสตร์",AE266="S1",AH266&gt;=1,OR(AG266&lt;AA266,AG266&lt;R266)),EDATE(AG266,12),AND(AO266="K5-LAW",AL266="นิติศาสตร์",OR(Y266="M2",Y266="K4"),AB266&gt;=2,AA266&lt;R266),EDATE(AA266,12*2),AND(AO266="K5-LAW",AL266="นิติศาสตร์",Y266="S1",AB266&gt;=1,AA266&lt;R266),EDATE(AA266,12),AND(AO266="K5-LAW",AL266="นิติศาสตร์",OR(Y266="S2",Y266="K5")),AA266,AND(AO266="K5-LAW",AL266="นิติศาสตร์",OR(K266="M2",K266="K4"),U266&gt;=2),EDATE(R266,12*2),AND(AO266="K5-LAW",AL266="นิติศาสตร์",K266="S1",U266&gt;=1),EDATE(R266,12),AND(AO266="K5-LAW",AL266="นิติศาสตร์",OR(K266="S2",K266="K5")),R266,AND(AO266="K5-POLICY",AL266&lt;&gt;"นิติศาสตร์",K266="S2",Y266="",AE266=""),R266,AND(AO266="K5-POLICY",AL266&lt;&gt;"นิติศาสตร์",K266="S1",Y266="",AE266=""),EDATE(R266,12),AND(AO266="K5-POLICY",AL266&lt;&gt;"นิติศาสตร์",OR(K266="M2",K266="K4"),Y266="",AE266=""),EDATE(R266,12*2),AND(AO266="K5-POLICY",AL266&lt;&gt;"นิติศาสตร์",OR(AE266="M2",AE266="K4"),AH266&gt;=2,OR(AG266&lt;AA266,AG266&lt;R266)),EDATE(AG266,12*2),AND(AO266="K5-POLICY",AL266&lt;&gt;"นิติศาสตร์",AE266="S1",AH266&gt;=1,OR(AG266&lt;AA266,AG266&lt;R266)),EDATE(AG266,12),AND(AO266="K5-POLICY",AL266&lt;&gt;"นิติศาสตร์",OR(Y266="M2",Y266="K4"),AB266&gt;=2,AA266&lt;R266),EDATE(AA266,12*2),AND(AO266="K5-POLICY",AL266&lt;&gt;"นิติศาสตร์",Y266="S1",AB266&gt;=1,AA266&lt;R266),EDATE(AA266,12),AND(AO266="K5-POLICY",AL266&lt;&gt;"นิติศาสตร์",OR(Y266="S2",Y266="K5")),AA266,AND(AO266="K5-POLICY",AL266&lt;&gt;"นิติศาสตร์",OR(K266="M2",K266="K4"),U266&gt;=2),EDATE(R266,12*2),AND(AO266="K5-POLICY",AL266&lt;&gt;"นิติศาสตร์",K266="S1",U266&gt;=1),EDATE(R266,12),AND(AO266="K5-POLICY",AL266&lt;&gt;"นิติศาสตร์",OR(K266="S2",K266="K5")),R266,TRUE,"Check Data")</f>
        <v/>
      </c>
      <c r="AQ266" s="75" t="str">
        <f t="shared" si="138"/>
        <v>Check Data</v>
      </c>
      <c r="AR266" s="76" t="str">
        <f t="shared" si="139"/>
        <v>Check Data</v>
      </c>
      <c r="AS266" s="50" t="str">
        <f t="shared" si="140"/>
        <v>Check Data</v>
      </c>
      <c r="AT266" s="49" t="str">
        <f>IF(B266="","",IF(K266="S1","S1",INDEX(#REF!,#REF!)))</f>
        <v/>
      </c>
      <c r="AU266" s="49" t="str">
        <f t="shared" si="141"/>
        <v>M2</v>
      </c>
      <c r="AV266" s="50" t="b">
        <f t="shared" si="142"/>
        <v>0</v>
      </c>
      <c r="AW266" s="50"/>
    </row>
    <row r="267" spans="1:49" ht="21.75">
      <c r="A267" s="49">
        <v>265</v>
      </c>
      <c r="B267" s="50"/>
      <c r="C267" s="52"/>
      <c r="D267" s="79"/>
      <c r="E267" s="79"/>
      <c r="F267" s="79"/>
      <c r="G267" s="50">
        <f t="shared" si="127"/>
        <v>0</v>
      </c>
      <c r="H267" s="50">
        <f t="shared" si="128"/>
        <v>0</v>
      </c>
      <c r="I267" s="50">
        <f t="shared" si="129"/>
        <v>0</v>
      </c>
      <c r="J267" s="79"/>
      <c r="K267" s="49" t="s">
        <v>136</v>
      </c>
      <c r="L267" s="49" t="str">
        <f>IF(B267="","",IF(K267="S1",K267,INDEX(#REF!,#REF!)))</f>
        <v/>
      </c>
      <c r="M267" s="49" t="b">
        <f t="shared" si="130"/>
        <v>0</v>
      </c>
      <c r="N267" s="79"/>
      <c r="O267" s="79"/>
      <c r="P267" s="79"/>
      <c r="Q267" s="65" t="s">
        <v>434</v>
      </c>
      <c r="R267" s="49" t="str">
        <f t="shared" si="131"/>
        <v>02/07/2024</v>
      </c>
      <c r="S267" s="49" t="str">
        <f>IF(B267="","",IF(K267="S1",K267,INDEX(#REF!,#REF!)))</f>
        <v/>
      </c>
      <c r="T267" s="49" t="b">
        <f t="shared" si="132"/>
        <v>0</v>
      </c>
      <c r="U267" s="68">
        <f t="shared" si="133"/>
        <v>0</v>
      </c>
      <c r="V267" s="68">
        <f t="shared" si="134"/>
        <v>11</v>
      </c>
      <c r="W267" s="68">
        <f t="shared" si="135"/>
        <v>18</v>
      </c>
      <c r="X267" s="79"/>
      <c r="Y267" s="65"/>
      <c r="Z267" s="83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50" t="str">
        <f>IF(B267="","",IF(K267="S1",K267,INDEX(#REF!,#REF!)))</f>
        <v/>
      </c>
      <c r="AN267" s="50" t="b">
        <f t="shared" si="136"/>
        <v>1</v>
      </c>
      <c r="AO267" s="49" t="str">
        <f t="shared" si="137"/>
        <v>K5-POLICY</v>
      </c>
      <c r="AP267" s="72" t="str">
        <f>_xlfn.IFS(B267="","",AND(AO267="K5-LAW",AL267="นิติศาสตร์",K267="S2",Y267="",AE267=""),R267,AND(AO267="K5-LAW",AL267="นิติศาสตร์",K267="S1",Y267="",AE267=""),EDATE(R267,12),AND(AO267="K5-LAW",AL267="นิติศาสตร์",OR(K267="M2",K267="K4"),Y267="",AE267=""),EDATE(R267,12*2),AND(AO267="K5-LAW",AL267="นิติศาสตร์",OR(AE267="M2",AE267="K4"),AH267&gt;=2,OR(AG267&lt;AA267,AG267&lt;R267)),EDATE(AG267,12*2),AND(AO267="K5-LAW",AL267="นิติศาสตร์",AE267="S1",AH267&gt;=1,OR(AG267&lt;AA267,AG267&lt;R267)),EDATE(AG267,12),AND(AO267="K5-LAW",AL267="นิติศาสตร์",OR(Y267="M2",Y267="K4"),AB267&gt;=2,AA267&lt;R267),EDATE(AA267,12*2),AND(AO267="K5-LAW",AL267="นิติศาสตร์",Y267="S1",AB267&gt;=1,AA267&lt;R267),EDATE(AA267,12),AND(AO267="K5-LAW",AL267="นิติศาสตร์",OR(Y267="S2",Y267="K5")),AA267,AND(AO267="K5-LAW",AL267="นิติศาสตร์",OR(K267="M2",K267="K4"),U267&gt;=2),EDATE(R267,12*2),AND(AO267="K5-LAW",AL267="นิติศาสตร์",K267="S1",U267&gt;=1),EDATE(R267,12),AND(AO267="K5-LAW",AL267="นิติศาสตร์",OR(K267="S2",K267="K5")),R267,AND(AO267="K5-POLICY",AL267&lt;&gt;"นิติศาสตร์",K267="S2",Y267="",AE267=""),R267,AND(AO267="K5-POLICY",AL267&lt;&gt;"นิติศาสตร์",K267="S1",Y267="",AE267=""),EDATE(R267,12),AND(AO267="K5-POLICY",AL267&lt;&gt;"นิติศาสตร์",OR(K267="M2",K267="K4"),Y267="",AE267=""),EDATE(R267,12*2),AND(AO267="K5-POLICY",AL267&lt;&gt;"นิติศาสตร์",OR(AE267="M2",AE267="K4"),AH267&gt;=2,OR(AG267&lt;AA267,AG267&lt;R267)),EDATE(AG267,12*2),AND(AO267="K5-POLICY",AL267&lt;&gt;"นิติศาสตร์",AE267="S1",AH267&gt;=1,OR(AG267&lt;AA267,AG267&lt;R267)),EDATE(AG267,12),AND(AO267="K5-POLICY",AL267&lt;&gt;"นิติศาสตร์",OR(Y267="M2",Y267="K4"),AB267&gt;=2,AA267&lt;R267),EDATE(AA267,12*2),AND(AO267="K5-POLICY",AL267&lt;&gt;"นิติศาสตร์",Y267="S1",AB267&gt;=1,AA267&lt;R267),EDATE(AA267,12),AND(AO267="K5-POLICY",AL267&lt;&gt;"นิติศาสตร์",OR(Y267="S2",Y267="K5")),AA267,AND(AO267="K5-POLICY",AL267&lt;&gt;"นิติศาสตร์",OR(K267="M2",K267="K4"),U267&gt;=2),EDATE(R267,12*2),AND(AO267="K5-POLICY",AL267&lt;&gt;"นิติศาสตร์",K267="S1",U267&gt;=1),EDATE(R267,12),AND(AO267="K5-POLICY",AL267&lt;&gt;"นิติศาสตร์",OR(K267="S2",K267="K5")),R267,TRUE,"Check Data")</f>
        <v/>
      </c>
      <c r="AQ267" s="75" t="str">
        <f t="shared" si="138"/>
        <v>Check Data</v>
      </c>
      <c r="AR267" s="76" t="str">
        <f t="shared" si="139"/>
        <v>Check Data</v>
      </c>
      <c r="AS267" s="50" t="str">
        <f t="shared" si="140"/>
        <v>Check Data</v>
      </c>
      <c r="AT267" s="49" t="str">
        <f>IF(B267="","",IF(K267="S1","S1",INDEX(#REF!,#REF!)))</f>
        <v/>
      </c>
      <c r="AU267" s="49" t="str">
        <f t="shared" si="141"/>
        <v>M2</v>
      </c>
      <c r="AV267" s="50" t="b">
        <f t="shared" si="142"/>
        <v>0</v>
      </c>
      <c r="AW267" s="50"/>
    </row>
    <row r="268" spans="1:49" ht="21.75">
      <c r="A268" s="49">
        <v>266</v>
      </c>
      <c r="B268" s="50"/>
      <c r="C268" s="50"/>
      <c r="D268" s="50" t="s">
        <v>139</v>
      </c>
      <c r="E268" s="49"/>
      <c r="F268" s="49" t="str">
        <f>IF(E268="","",TEXT(EDATE(E268,-543*12),"dd/mm/yyyy"))</f>
        <v/>
      </c>
      <c r="G268" s="50">
        <f t="shared" si="127"/>
        <v>0</v>
      </c>
      <c r="H268" s="50">
        <f t="shared" si="128"/>
        <v>0</v>
      </c>
      <c r="I268" s="50">
        <f t="shared" si="129"/>
        <v>0</v>
      </c>
      <c r="J268" s="50"/>
      <c r="K268" s="49" t="s">
        <v>136</v>
      </c>
      <c r="L268" s="49" t="str">
        <f>IF(B268="","",IF(K268="S1",K268,INDEX(#REF!,#REF!)))</f>
        <v/>
      </c>
      <c r="M268" s="49" t="b">
        <f t="shared" si="130"/>
        <v>0</v>
      </c>
      <c r="N268" s="64"/>
      <c r="O268" s="49"/>
      <c r="P268" s="49"/>
      <c r="Q268" s="86" t="s">
        <v>443</v>
      </c>
      <c r="R268" s="49" t="str">
        <f t="shared" si="131"/>
        <v>25/07/2024</v>
      </c>
      <c r="S268" s="49" t="str">
        <f>IF(B268="","",IF(K268="S1",K268,INDEX(#REF!,#REF!)))</f>
        <v/>
      </c>
      <c r="T268" s="49" t="b">
        <f t="shared" si="132"/>
        <v>0</v>
      </c>
      <c r="U268" s="68">
        <f t="shared" si="133"/>
        <v>0</v>
      </c>
      <c r="V268" s="68">
        <f t="shared" si="134"/>
        <v>10</v>
      </c>
      <c r="W268" s="68">
        <f t="shared" si="135"/>
        <v>26</v>
      </c>
      <c r="X268" s="68"/>
      <c r="Y268" s="65"/>
      <c r="Z268" s="65"/>
      <c r="AA268" s="49" t="str">
        <f>IF(Z268="","",TEXT(EDATE(Z268,-543*12),"dd/mm/yyyy"))</f>
        <v/>
      </c>
      <c r="AB268" s="68">
        <f>IF(AA268="",0,DATEDIF(AA268,R268,"Y"))</f>
        <v>0</v>
      </c>
      <c r="AC268" s="68">
        <f>IF(AA268="",0,DATEDIF(AA268,R268,"YM"))</f>
        <v>0</v>
      </c>
      <c r="AD268" s="68">
        <f>IF(AA268="",0,DATEDIF(AA268,R268,"MD"))</f>
        <v>0</v>
      </c>
      <c r="AE268" s="49"/>
      <c r="AF268" s="65"/>
      <c r="AG268" s="50" t="str">
        <f>IF(AF268="","",TEXT(EDATE(AF268,-543*12),"dd/mm/yyyy"))</f>
        <v/>
      </c>
      <c r="AH268" s="68">
        <f>IF(AG268="",0,DATEDIF(AG268,AA268,"Y"))</f>
        <v>0</v>
      </c>
      <c r="AI268" s="68">
        <f>IF(AG268="",0,DATEDIF(AG268,AA268,"YM"))</f>
        <v>0</v>
      </c>
      <c r="AJ268" s="68">
        <f>IF(AG268="",0,DATEDIF(AG268,AA268,"MD"))</f>
        <v>0</v>
      </c>
      <c r="AK268" s="50"/>
      <c r="AL268" s="50"/>
      <c r="AM268" s="50" t="str">
        <f>IF(B268="","",IF(K268="S1",K268,INDEX(#REF!,#REF!)))</f>
        <v/>
      </c>
      <c r="AN268" s="50" t="b">
        <f t="shared" si="136"/>
        <v>1</v>
      </c>
      <c r="AO268" s="49" t="str">
        <f t="shared" si="137"/>
        <v>K5-POLICY</v>
      </c>
      <c r="AP268" s="72" t="str">
        <f>_xlfn.IFS(B268="","",AND(AO268="K5-LAW",AL268="นิติศาสตร์",K268="S2",Y268="",AE268=""),R268,AND(AO268="K5-LAW",AL268="นิติศาสตร์",K268="S1",Y268="",AE268=""),EDATE(R268,12),AND(AO268="K5-LAW",AL268="นิติศาสตร์",OR(K268="M2",K268="K4"),Y268="",AE268=""),EDATE(R268,12*2),AND(AO268="K5-LAW",AL268="นิติศาสตร์",OR(AE268="M2",AE268="K4"),AH268&gt;=2,OR(AG268&lt;AA268,AG268&lt;R268)),EDATE(AG268,12*2),AND(AO268="K5-LAW",AL268="นิติศาสตร์",AE268="S1",AH268&gt;=1,OR(AG268&lt;AA268,AG268&lt;R268)),EDATE(AG268,12),AND(AO268="K5-LAW",AL268="นิติศาสตร์",OR(Y268="M2",Y268="K4"),AB268&gt;=2,AA268&lt;R268),EDATE(AA268,12*2),AND(AO268="K5-LAW",AL268="นิติศาสตร์",Y268="S1",AB268&gt;=1,AA268&lt;R268),EDATE(AA268,12),AND(AO268="K5-LAW",AL268="นิติศาสตร์",OR(Y268="S2",Y268="K5")),AA268,AND(AO268="K5-LAW",AL268="นิติศาสตร์",OR(K268="M2",K268="K4"),U268&gt;=2),EDATE(R268,12*2),AND(AO268="K5-LAW",AL268="นิติศาสตร์",K268="S1",U268&gt;=1),EDATE(R268,12),AND(AO268="K5-LAW",AL268="นิติศาสตร์",OR(K268="S2",K268="K5")),R268,AND(AO268="K5-POLICY",AL268&lt;&gt;"นิติศาสตร์",K268="S2",Y268="",AE268=""),R268,AND(AO268="K5-POLICY",AL268&lt;&gt;"นิติศาสตร์",K268="S1",Y268="",AE268=""),EDATE(R268,12),AND(AO268="K5-POLICY",AL268&lt;&gt;"นิติศาสตร์",OR(K268="M2",K268="K4"),Y268="",AE268=""),EDATE(R268,12*2),AND(AO268="K5-POLICY",AL268&lt;&gt;"นิติศาสตร์",OR(AE268="M2",AE268="K4"),AH268&gt;=2,OR(AG268&lt;AA268,AG268&lt;R268)),EDATE(AG268,12*2),AND(AO268="K5-POLICY",AL268&lt;&gt;"นิติศาสตร์",AE268="S1",AH268&gt;=1,OR(AG268&lt;AA268,AG268&lt;R268)),EDATE(AG268,12),AND(AO268="K5-POLICY",AL268&lt;&gt;"นิติศาสตร์",OR(Y268="M2",Y268="K4"),AB268&gt;=2,AA268&lt;R268),EDATE(AA268,12*2),AND(AO268="K5-POLICY",AL268&lt;&gt;"นิติศาสตร์",Y268="S1",AB268&gt;=1,AA268&lt;R268),EDATE(AA268,12),AND(AO268="K5-POLICY",AL268&lt;&gt;"นิติศาสตร์",OR(Y268="S2",Y268="K5")),AA268,AND(AO268="K5-POLICY",AL268&lt;&gt;"นิติศาสตร์",OR(K268="M2",K268="K4"),U268&gt;=2),EDATE(R268,12*2),AND(AO268="K5-POLICY",AL268&lt;&gt;"นิติศาสตร์",K268="S1",U268&gt;=1),EDATE(R268,12),AND(AO268="K5-POLICY",AL268&lt;&gt;"นิติศาสตร์",OR(K268="S2",K268="K5")),R268,TRUE,"Check Data")</f>
        <v/>
      </c>
      <c r="AQ268" s="75" t="str">
        <f t="shared" si="138"/>
        <v>Check Data</v>
      </c>
      <c r="AR268" s="76" t="str">
        <f t="shared" si="139"/>
        <v>Check Data</v>
      </c>
      <c r="AS268" s="50" t="str">
        <f t="shared" si="140"/>
        <v>Check Data</v>
      </c>
      <c r="AT268" s="49" t="str">
        <f>IF(B268="","",IF(K268="S1","S1",INDEX(#REF!,#REF!)))</f>
        <v/>
      </c>
      <c r="AU268" s="49" t="str">
        <f t="shared" si="141"/>
        <v>M2</v>
      </c>
      <c r="AV268" s="50" t="b">
        <f t="shared" si="142"/>
        <v>0</v>
      </c>
      <c r="AW268" s="50"/>
    </row>
    <row r="269" spans="1:49" ht="21.75">
      <c r="A269" s="49">
        <v>267</v>
      </c>
      <c r="B269" s="50"/>
      <c r="C269" s="52"/>
      <c r="D269" s="50"/>
      <c r="E269" s="49"/>
      <c r="F269" s="49"/>
      <c r="G269" s="50">
        <f t="shared" si="127"/>
        <v>0</v>
      </c>
      <c r="H269" s="50">
        <f t="shared" si="128"/>
        <v>0</v>
      </c>
      <c r="I269" s="50">
        <f t="shared" si="129"/>
        <v>0</v>
      </c>
      <c r="J269" s="50"/>
      <c r="K269" s="49" t="s">
        <v>136</v>
      </c>
      <c r="L269" s="49" t="str">
        <f>IF(B269="","",IF(K269="S1",K269,INDEX(#REF!,#REF!)))</f>
        <v/>
      </c>
      <c r="M269" s="49" t="b">
        <f t="shared" si="130"/>
        <v>0</v>
      </c>
      <c r="N269" s="64"/>
      <c r="O269" s="49"/>
      <c r="P269" s="49"/>
      <c r="Q269" s="65" t="s">
        <v>459</v>
      </c>
      <c r="R269" s="49" t="str">
        <f t="shared" si="131"/>
        <v>18/09/2024</v>
      </c>
      <c r="S269" s="49" t="str">
        <f>IF(B269="","",IF(K269="S1",K269,INDEX(#REF!,#REF!)))</f>
        <v/>
      </c>
      <c r="T269" s="49" t="b">
        <f t="shared" si="132"/>
        <v>0</v>
      </c>
      <c r="U269" s="68">
        <f t="shared" si="133"/>
        <v>0</v>
      </c>
      <c r="V269" s="68">
        <f t="shared" si="134"/>
        <v>9</v>
      </c>
      <c r="W269" s="68">
        <f t="shared" si="135"/>
        <v>2</v>
      </c>
      <c r="X269" s="68"/>
      <c r="Y269" s="65"/>
      <c r="Z269" s="65"/>
      <c r="AA269" s="49"/>
      <c r="AB269" s="68"/>
      <c r="AC269" s="68"/>
      <c r="AD269" s="68"/>
      <c r="AE269" s="49"/>
      <c r="AF269" s="65"/>
      <c r="AG269" s="50"/>
      <c r="AH269" s="68"/>
      <c r="AI269" s="68"/>
      <c r="AJ269" s="68"/>
      <c r="AK269" s="50"/>
      <c r="AL269" s="50"/>
      <c r="AM269" s="50" t="str">
        <f>IF(B269="","",IF(K269="S1",K269,INDEX(#REF!,#REF!)))</f>
        <v/>
      </c>
      <c r="AN269" s="50" t="b">
        <f t="shared" si="136"/>
        <v>1</v>
      </c>
      <c r="AO269" s="49" t="str">
        <f t="shared" si="137"/>
        <v>K5-POLICY</v>
      </c>
      <c r="AP269" s="72" t="str">
        <f>_xlfn.IFS(B269="","",AND(AO269="K5-LAW",AL269="นิติศาสตร์",K269="S2",Y269="",AE269=""),R269,AND(AO269="K5-LAW",AL269="นิติศาสตร์",K269="S1",Y269="",AE269=""),EDATE(R269,12),AND(AO269="K5-LAW",AL269="นิติศาสตร์",OR(K269="M2",K269="K4"),Y269="",AE269=""),EDATE(R269,12*2),AND(AO269="K5-LAW",AL269="นิติศาสตร์",OR(AE269="M2",AE269="K4"),AH269&gt;=2,OR(AG269&lt;AA269,AG269&lt;R269)),EDATE(AG269,12*2),AND(AO269="K5-LAW",AL269="นิติศาสตร์",AE269="S1",AH269&gt;=1,OR(AG269&lt;AA269,AG269&lt;R269)),EDATE(AG269,12),AND(AO269="K5-LAW",AL269="นิติศาสตร์",OR(Y269="M2",Y269="K4"),AB269&gt;=2,AA269&lt;R269),EDATE(AA269,12*2),AND(AO269="K5-LAW",AL269="นิติศาสตร์",Y269="S1",AB269&gt;=1,AA269&lt;R269),EDATE(AA269,12),AND(AO269="K5-LAW",AL269="นิติศาสตร์",OR(Y269="S2",Y269="K5")),AA269,AND(AO269="K5-LAW",AL269="นิติศาสตร์",OR(K269="M2",K269="K4"),U269&gt;=2),EDATE(R269,12*2),AND(AO269="K5-LAW",AL269="นิติศาสตร์",K269="S1",U269&gt;=1),EDATE(R269,12),AND(AO269="K5-LAW",AL269="นิติศาสตร์",OR(K269="S2",K269="K5")),R269,AND(AO269="K5-POLICY",AL269&lt;&gt;"นิติศาสตร์",K269="S2",Y269="",AE269=""),R269,AND(AO269="K5-POLICY",AL269&lt;&gt;"นิติศาสตร์",K269="S1",Y269="",AE269=""),EDATE(R269,12),AND(AO269="K5-POLICY",AL269&lt;&gt;"นิติศาสตร์",OR(K269="M2",K269="K4"),Y269="",AE269=""),EDATE(R269,12*2),AND(AO269="K5-POLICY",AL269&lt;&gt;"นิติศาสตร์",OR(AE269="M2",AE269="K4"),AH269&gt;=2,OR(AG269&lt;AA269,AG269&lt;R269)),EDATE(AG269,12*2),AND(AO269="K5-POLICY",AL269&lt;&gt;"นิติศาสตร์",AE269="S1",AH269&gt;=1,OR(AG269&lt;AA269,AG269&lt;R269)),EDATE(AG269,12),AND(AO269="K5-POLICY",AL269&lt;&gt;"นิติศาสตร์",OR(Y269="M2",Y269="K4"),AB269&gt;=2,AA269&lt;R269),EDATE(AA269,12*2),AND(AO269="K5-POLICY",AL269&lt;&gt;"นิติศาสตร์",Y269="S1",AB269&gt;=1,AA269&lt;R269),EDATE(AA269,12),AND(AO269="K5-POLICY",AL269&lt;&gt;"นิติศาสตร์",OR(Y269="S2",Y269="K5")),AA269,AND(AO269="K5-POLICY",AL269&lt;&gt;"นิติศาสตร์",OR(K269="M2",K269="K4"),U269&gt;=2),EDATE(R269,12*2),AND(AO269="K5-POLICY",AL269&lt;&gt;"นิติศาสตร์",K269="S1",U269&gt;=1),EDATE(R269,12),AND(AO269="K5-POLICY",AL269&lt;&gt;"นิติศาสตร์",OR(K269="S2",K269="K5")),R269,TRUE,"Check Data")</f>
        <v/>
      </c>
      <c r="AQ269" s="75" t="str">
        <f t="shared" si="138"/>
        <v>Check Data</v>
      </c>
      <c r="AR269" s="76" t="str">
        <f t="shared" si="139"/>
        <v>Check Data</v>
      </c>
      <c r="AS269" s="50" t="str">
        <f t="shared" si="140"/>
        <v>Check Data</v>
      </c>
      <c r="AT269" s="49" t="str">
        <f>IF(B269="","",IF(K269="S1","S1",INDEX(#REF!,#REF!)))</f>
        <v/>
      </c>
      <c r="AU269" s="49" t="str">
        <f t="shared" si="141"/>
        <v>M2</v>
      </c>
      <c r="AV269" s="50" t="b">
        <f t="shared" si="142"/>
        <v>0</v>
      </c>
      <c r="AW269" s="50"/>
    </row>
    <row r="270" spans="1:49" ht="21.75">
      <c r="A270" s="49">
        <v>268</v>
      </c>
      <c r="B270" s="50"/>
      <c r="C270" s="52"/>
      <c r="D270" s="79"/>
      <c r="E270" s="79"/>
      <c r="F270" s="79"/>
      <c r="G270" s="50">
        <f t="shared" si="127"/>
        <v>0</v>
      </c>
      <c r="H270" s="50">
        <f t="shared" si="128"/>
        <v>0</v>
      </c>
      <c r="I270" s="50">
        <f t="shared" si="129"/>
        <v>0</v>
      </c>
      <c r="J270" s="79"/>
      <c r="K270" s="49" t="s">
        <v>136</v>
      </c>
      <c r="L270" s="49" t="str">
        <f>IF(B270="","",IF(K270="S1",K270,INDEX(#REF!,#REF!)))</f>
        <v/>
      </c>
      <c r="M270" s="49" t="b">
        <f t="shared" si="130"/>
        <v>0</v>
      </c>
      <c r="N270" s="79"/>
      <c r="O270" s="79"/>
      <c r="P270" s="79"/>
      <c r="Q270" s="65" t="s">
        <v>464</v>
      </c>
      <c r="R270" s="49" t="str">
        <f t="shared" si="131"/>
        <v>21/11/2024</v>
      </c>
      <c r="S270" s="49" t="str">
        <f>IF(B270="","",IF(K270="S1",K270,INDEX(#REF!,#REF!)))</f>
        <v/>
      </c>
      <c r="T270" s="49" t="b">
        <f t="shared" si="132"/>
        <v>0</v>
      </c>
      <c r="U270" s="68">
        <f t="shared" si="133"/>
        <v>0</v>
      </c>
      <c r="V270" s="68">
        <f t="shared" si="134"/>
        <v>6</v>
      </c>
      <c r="W270" s="68">
        <f t="shared" si="135"/>
        <v>30</v>
      </c>
      <c r="X270" s="79"/>
      <c r="Y270" s="65"/>
      <c r="Z270" s="83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50" t="str">
        <f>IF(B270="","",IF(K270="S1",K270,INDEX(#REF!,#REF!)))</f>
        <v/>
      </c>
      <c r="AN270" s="50" t="b">
        <f t="shared" si="136"/>
        <v>1</v>
      </c>
      <c r="AO270" s="49" t="str">
        <f t="shared" si="137"/>
        <v>K5-POLICY</v>
      </c>
      <c r="AP270" s="72" t="str">
        <f>_xlfn.IFS(B270="","",AND(AO270="K5-LAW",AL270="นิติศาสตร์",K270="S2",Y270="",AE270=""),R270,AND(AO270="K5-LAW",AL270="นิติศาสตร์",K270="S1",Y270="",AE270=""),EDATE(R270,12),AND(AO270="K5-LAW",AL270="นิติศาสตร์",OR(K270="M2",K270="K4"),Y270="",AE270=""),EDATE(R270,12*2),AND(AO270="K5-LAW",AL270="นิติศาสตร์",OR(AE270="M2",AE270="K4"),AH270&gt;=2,OR(AG270&lt;AA270,AG270&lt;R270)),EDATE(AG270,12*2),AND(AO270="K5-LAW",AL270="นิติศาสตร์",AE270="S1",AH270&gt;=1,OR(AG270&lt;AA270,AG270&lt;R270)),EDATE(AG270,12),AND(AO270="K5-LAW",AL270="นิติศาสตร์",OR(Y270="M2",Y270="K4"),AB270&gt;=2,AA270&lt;R270),EDATE(AA270,12*2),AND(AO270="K5-LAW",AL270="นิติศาสตร์",Y270="S1",AB270&gt;=1,AA270&lt;R270),EDATE(AA270,12),AND(AO270="K5-LAW",AL270="นิติศาสตร์",OR(Y270="S2",Y270="K5")),AA270,AND(AO270="K5-LAW",AL270="นิติศาสตร์",OR(K270="M2",K270="K4"),U270&gt;=2),EDATE(R270,12*2),AND(AO270="K5-LAW",AL270="นิติศาสตร์",K270="S1",U270&gt;=1),EDATE(R270,12),AND(AO270="K5-LAW",AL270="นิติศาสตร์",OR(K270="S2",K270="K5")),R270,AND(AO270="K5-POLICY",AL270&lt;&gt;"นิติศาสตร์",K270="S2",Y270="",AE270=""),R270,AND(AO270="K5-POLICY",AL270&lt;&gt;"นิติศาสตร์",K270="S1",Y270="",AE270=""),EDATE(R270,12),AND(AO270="K5-POLICY",AL270&lt;&gt;"นิติศาสตร์",OR(K270="M2",K270="K4"),Y270="",AE270=""),EDATE(R270,12*2),AND(AO270="K5-POLICY",AL270&lt;&gt;"นิติศาสตร์",OR(AE270="M2",AE270="K4"),AH270&gt;=2,OR(AG270&lt;AA270,AG270&lt;R270)),EDATE(AG270,12*2),AND(AO270="K5-POLICY",AL270&lt;&gt;"นิติศาสตร์",AE270="S1",AH270&gt;=1,OR(AG270&lt;AA270,AG270&lt;R270)),EDATE(AG270,12),AND(AO270="K5-POLICY",AL270&lt;&gt;"นิติศาสตร์",OR(Y270="M2",Y270="K4"),AB270&gt;=2,AA270&lt;R270),EDATE(AA270,12*2),AND(AO270="K5-POLICY",AL270&lt;&gt;"นิติศาสตร์",Y270="S1",AB270&gt;=1,AA270&lt;R270),EDATE(AA270,12),AND(AO270="K5-POLICY",AL270&lt;&gt;"นิติศาสตร์",OR(Y270="S2",Y270="K5")),AA270,AND(AO270="K5-POLICY",AL270&lt;&gt;"นิติศาสตร์",OR(K270="M2",K270="K4"),U270&gt;=2),EDATE(R270,12*2),AND(AO270="K5-POLICY",AL270&lt;&gt;"นิติศาสตร์",K270="S1",U270&gt;=1),EDATE(R270,12),AND(AO270="K5-POLICY",AL270&lt;&gt;"นิติศาสตร์",OR(K270="S2",K270="K5")),R270,TRUE,"Check Data")</f>
        <v/>
      </c>
      <c r="AQ270" s="75" t="str">
        <f t="shared" si="138"/>
        <v>Check Data</v>
      </c>
      <c r="AR270" s="76" t="str">
        <f t="shared" si="139"/>
        <v>Check Data</v>
      </c>
      <c r="AS270" s="50" t="str">
        <f t="shared" si="140"/>
        <v>Check Data</v>
      </c>
      <c r="AT270" s="49" t="str">
        <f>IF(B270="","",IF(K270="S1","S1",INDEX(#REF!,#REF!)))</f>
        <v/>
      </c>
      <c r="AU270" s="49" t="str">
        <f t="shared" si="141"/>
        <v>M2</v>
      </c>
      <c r="AV270" s="50" t="b">
        <f t="shared" si="142"/>
        <v>0</v>
      </c>
      <c r="AW270" s="50"/>
    </row>
    <row r="271" spans="1:49" ht="21.75">
      <c r="A271" s="49">
        <v>269</v>
      </c>
      <c r="B271" s="50"/>
      <c r="C271" s="52"/>
      <c r="D271" s="79"/>
      <c r="E271" s="79"/>
      <c r="F271" s="79"/>
      <c r="G271" s="50">
        <f t="shared" si="127"/>
        <v>0</v>
      </c>
      <c r="H271" s="50">
        <f t="shared" si="128"/>
        <v>0</v>
      </c>
      <c r="I271" s="50">
        <f t="shared" si="129"/>
        <v>0</v>
      </c>
      <c r="J271" s="79"/>
      <c r="K271" s="49" t="s">
        <v>136</v>
      </c>
      <c r="L271" s="49" t="str">
        <f>IF(B271="","",IF(K271="S1",K271,INDEX(#REF!,#REF!)))</f>
        <v/>
      </c>
      <c r="M271" s="49" t="b">
        <f t="shared" si="130"/>
        <v>0</v>
      </c>
      <c r="N271" s="79"/>
      <c r="O271" s="79"/>
      <c r="P271" s="79"/>
      <c r="Q271" s="65" t="s">
        <v>464</v>
      </c>
      <c r="R271" s="49" t="str">
        <f t="shared" si="131"/>
        <v>21/11/2024</v>
      </c>
      <c r="S271" s="49" t="str">
        <f>IF(B271="","",IF(K271="S1",K271,INDEX(#REF!,#REF!)))</f>
        <v/>
      </c>
      <c r="T271" s="49" t="b">
        <f t="shared" si="132"/>
        <v>0</v>
      </c>
      <c r="U271" s="68">
        <f t="shared" si="133"/>
        <v>0</v>
      </c>
      <c r="V271" s="68">
        <f t="shared" si="134"/>
        <v>6</v>
      </c>
      <c r="W271" s="68">
        <f t="shared" si="135"/>
        <v>30</v>
      </c>
      <c r="X271" s="79"/>
      <c r="Y271" s="65"/>
      <c r="Z271" s="83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50" t="str">
        <f>IF(B271="","",IF(K271="S1",K271,INDEX(#REF!,#REF!)))</f>
        <v/>
      </c>
      <c r="AN271" s="50" t="b">
        <f t="shared" si="136"/>
        <v>1</v>
      </c>
      <c r="AO271" s="49" t="str">
        <f t="shared" si="137"/>
        <v>K5-POLICY</v>
      </c>
      <c r="AP271" s="72" t="str">
        <f>_xlfn.IFS(B271="","",AND(AO271="K5-LAW",AL271="นิติศาสตร์",K271="S2",Y271="",AE271=""),R271,AND(AO271="K5-LAW",AL271="นิติศาสตร์",K271="S1",Y271="",AE271=""),EDATE(R271,12),AND(AO271="K5-LAW",AL271="นิติศาสตร์",OR(K271="M2",K271="K4"),Y271="",AE271=""),EDATE(R271,12*2),AND(AO271="K5-LAW",AL271="นิติศาสตร์",OR(AE271="M2",AE271="K4"),AH271&gt;=2,OR(AG271&lt;AA271,AG271&lt;R271)),EDATE(AG271,12*2),AND(AO271="K5-LAW",AL271="นิติศาสตร์",AE271="S1",AH271&gt;=1,OR(AG271&lt;AA271,AG271&lt;R271)),EDATE(AG271,12),AND(AO271="K5-LAW",AL271="นิติศาสตร์",OR(Y271="M2",Y271="K4"),AB271&gt;=2,AA271&lt;R271),EDATE(AA271,12*2),AND(AO271="K5-LAW",AL271="นิติศาสตร์",Y271="S1",AB271&gt;=1,AA271&lt;R271),EDATE(AA271,12),AND(AO271="K5-LAW",AL271="นิติศาสตร์",OR(Y271="S2",Y271="K5")),AA271,AND(AO271="K5-LAW",AL271="นิติศาสตร์",OR(K271="M2",K271="K4"),U271&gt;=2),EDATE(R271,12*2),AND(AO271="K5-LAW",AL271="นิติศาสตร์",K271="S1",U271&gt;=1),EDATE(R271,12),AND(AO271="K5-LAW",AL271="นิติศาสตร์",OR(K271="S2",K271="K5")),R271,AND(AO271="K5-POLICY",AL271&lt;&gt;"นิติศาสตร์",K271="S2",Y271="",AE271=""),R271,AND(AO271="K5-POLICY",AL271&lt;&gt;"นิติศาสตร์",K271="S1",Y271="",AE271=""),EDATE(R271,12),AND(AO271="K5-POLICY",AL271&lt;&gt;"นิติศาสตร์",OR(K271="M2",K271="K4"),Y271="",AE271=""),EDATE(R271,12*2),AND(AO271="K5-POLICY",AL271&lt;&gt;"นิติศาสตร์",OR(AE271="M2",AE271="K4"),AH271&gt;=2,OR(AG271&lt;AA271,AG271&lt;R271)),EDATE(AG271,12*2),AND(AO271="K5-POLICY",AL271&lt;&gt;"นิติศาสตร์",AE271="S1",AH271&gt;=1,OR(AG271&lt;AA271,AG271&lt;R271)),EDATE(AG271,12),AND(AO271="K5-POLICY",AL271&lt;&gt;"นิติศาสตร์",OR(Y271="M2",Y271="K4"),AB271&gt;=2,AA271&lt;R271),EDATE(AA271,12*2),AND(AO271="K5-POLICY",AL271&lt;&gt;"นิติศาสตร์",Y271="S1",AB271&gt;=1,AA271&lt;R271),EDATE(AA271,12),AND(AO271="K5-POLICY",AL271&lt;&gt;"นิติศาสตร์",OR(Y271="S2",Y271="K5")),AA271,AND(AO271="K5-POLICY",AL271&lt;&gt;"นิติศาสตร์",OR(K271="M2",K271="K4"),U271&gt;=2),EDATE(R271,12*2),AND(AO271="K5-POLICY",AL271&lt;&gt;"นิติศาสตร์",K271="S1",U271&gt;=1),EDATE(R271,12),AND(AO271="K5-POLICY",AL271&lt;&gt;"นิติศาสตร์",OR(K271="S2",K271="K5")),R271,TRUE,"Check Data")</f>
        <v/>
      </c>
      <c r="AQ271" s="75" t="str">
        <f t="shared" si="138"/>
        <v>Check Data</v>
      </c>
      <c r="AR271" s="76" t="str">
        <f t="shared" si="139"/>
        <v>Check Data</v>
      </c>
      <c r="AS271" s="50" t="str">
        <f t="shared" si="140"/>
        <v>Check Data</v>
      </c>
      <c r="AT271" s="49" t="str">
        <f>IF(B271="","",IF(K271="S1","S1",INDEX(#REF!,#REF!)))</f>
        <v/>
      </c>
      <c r="AU271" s="49" t="str">
        <f t="shared" si="141"/>
        <v>M2</v>
      </c>
      <c r="AV271" s="50" t="b">
        <f t="shared" si="142"/>
        <v>0</v>
      </c>
      <c r="AW271" s="50"/>
    </row>
    <row r="272" spans="1:49" ht="21.75">
      <c r="A272" s="49">
        <v>270</v>
      </c>
      <c r="B272" s="50"/>
      <c r="C272" s="52"/>
      <c r="D272" s="79"/>
      <c r="E272" s="79"/>
      <c r="F272" s="79"/>
      <c r="G272" s="50">
        <f t="shared" si="127"/>
        <v>0</v>
      </c>
      <c r="H272" s="50">
        <f t="shared" si="128"/>
        <v>0</v>
      </c>
      <c r="I272" s="50">
        <f t="shared" si="129"/>
        <v>0</v>
      </c>
      <c r="J272" s="79"/>
      <c r="K272" s="49" t="s">
        <v>136</v>
      </c>
      <c r="L272" s="49" t="str">
        <f>IF(B272="","",IF(K272="S1",K272,INDEX(#REF!,#REF!)))</f>
        <v/>
      </c>
      <c r="M272" s="49" t="b">
        <f t="shared" si="130"/>
        <v>0</v>
      </c>
      <c r="N272" s="79"/>
      <c r="O272" s="79"/>
      <c r="P272" s="79"/>
      <c r="Q272" s="65" t="s">
        <v>464</v>
      </c>
      <c r="R272" s="49" t="str">
        <f t="shared" si="131"/>
        <v>21/11/2024</v>
      </c>
      <c r="S272" s="49" t="str">
        <f>IF(B272="","",IF(K272="S1",K272,INDEX(#REF!,#REF!)))</f>
        <v/>
      </c>
      <c r="T272" s="49" t="b">
        <f t="shared" si="132"/>
        <v>0</v>
      </c>
      <c r="U272" s="68">
        <f t="shared" si="133"/>
        <v>0</v>
      </c>
      <c r="V272" s="68">
        <f t="shared" si="134"/>
        <v>6</v>
      </c>
      <c r="W272" s="68">
        <f t="shared" si="135"/>
        <v>30</v>
      </c>
      <c r="X272" s="79"/>
      <c r="Y272" s="65"/>
      <c r="Z272" s="83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50" t="str">
        <f>IF(B272="","",IF(K272="S1",K272,INDEX(#REF!,#REF!)))</f>
        <v/>
      </c>
      <c r="AN272" s="50" t="b">
        <f t="shared" si="136"/>
        <v>1</v>
      </c>
      <c r="AO272" s="49" t="str">
        <f t="shared" si="137"/>
        <v>K5-POLICY</v>
      </c>
      <c r="AP272" s="72" t="str">
        <f>_xlfn.IFS(B272="","",AND(AO272="K5-LAW",AL272="นิติศาสตร์",K272="S2",Y272="",AE272=""),R272,AND(AO272="K5-LAW",AL272="นิติศาสตร์",K272="S1",Y272="",AE272=""),EDATE(R272,12),AND(AO272="K5-LAW",AL272="นิติศาสตร์",OR(K272="M2",K272="K4"),Y272="",AE272=""),EDATE(R272,12*2),AND(AO272="K5-LAW",AL272="นิติศาสตร์",OR(AE272="M2",AE272="K4"),AH272&gt;=2,OR(AG272&lt;AA272,AG272&lt;R272)),EDATE(AG272,12*2),AND(AO272="K5-LAW",AL272="นิติศาสตร์",AE272="S1",AH272&gt;=1,OR(AG272&lt;AA272,AG272&lt;R272)),EDATE(AG272,12),AND(AO272="K5-LAW",AL272="นิติศาสตร์",OR(Y272="M2",Y272="K4"),AB272&gt;=2,AA272&lt;R272),EDATE(AA272,12*2),AND(AO272="K5-LAW",AL272="นิติศาสตร์",Y272="S1",AB272&gt;=1,AA272&lt;R272),EDATE(AA272,12),AND(AO272="K5-LAW",AL272="นิติศาสตร์",OR(Y272="S2",Y272="K5")),AA272,AND(AO272="K5-LAW",AL272="นิติศาสตร์",OR(K272="M2",K272="K4"),U272&gt;=2),EDATE(R272,12*2),AND(AO272="K5-LAW",AL272="นิติศาสตร์",K272="S1",U272&gt;=1),EDATE(R272,12),AND(AO272="K5-LAW",AL272="นิติศาสตร์",OR(K272="S2",K272="K5")),R272,AND(AO272="K5-POLICY",AL272&lt;&gt;"นิติศาสตร์",K272="S2",Y272="",AE272=""),R272,AND(AO272="K5-POLICY",AL272&lt;&gt;"นิติศาสตร์",K272="S1",Y272="",AE272=""),EDATE(R272,12),AND(AO272="K5-POLICY",AL272&lt;&gt;"นิติศาสตร์",OR(K272="M2",K272="K4"),Y272="",AE272=""),EDATE(R272,12*2),AND(AO272="K5-POLICY",AL272&lt;&gt;"นิติศาสตร์",OR(AE272="M2",AE272="K4"),AH272&gt;=2,OR(AG272&lt;AA272,AG272&lt;R272)),EDATE(AG272,12*2),AND(AO272="K5-POLICY",AL272&lt;&gt;"นิติศาสตร์",AE272="S1",AH272&gt;=1,OR(AG272&lt;AA272,AG272&lt;R272)),EDATE(AG272,12),AND(AO272="K5-POLICY",AL272&lt;&gt;"นิติศาสตร์",OR(Y272="M2",Y272="K4"),AB272&gt;=2,AA272&lt;R272),EDATE(AA272,12*2),AND(AO272="K5-POLICY",AL272&lt;&gt;"นิติศาสตร์",Y272="S1",AB272&gt;=1,AA272&lt;R272),EDATE(AA272,12),AND(AO272="K5-POLICY",AL272&lt;&gt;"นิติศาสตร์",OR(Y272="S2",Y272="K5")),AA272,AND(AO272="K5-POLICY",AL272&lt;&gt;"นิติศาสตร์",OR(K272="M2",K272="K4"),U272&gt;=2),EDATE(R272,12*2),AND(AO272="K5-POLICY",AL272&lt;&gt;"นิติศาสตร์",K272="S1",U272&gt;=1),EDATE(R272,12),AND(AO272="K5-POLICY",AL272&lt;&gt;"นิติศาสตร์",OR(K272="S2",K272="K5")),R272,TRUE,"Check Data")</f>
        <v/>
      </c>
      <c r="AQ272" s="75" t="str">
        <f t="shared" si="138"/>
        <v>Check Data</v>
      </c>
      <c r="AR272" s="76" t="str">
        <f t="shared" si="139"/>
        <v>Check Data</v>
      </c>
      <c r="AS272" s="50" t="str">
        <f t="shared" si="140"/>
        <v>Check Data</v>
      </c>
      <c r="AT272" s="49" t="str">
        <f>IF(B272="","",IF(K272="S1","S1",INDEX(#REF!,#REF!)))</f>
        <v/>
      </c>
      <c r="AU272" s="49" t="str">
        <f t="shared" si="141"/>
        <v>M2</v>
      </c>
      <c r="AV272" s="50" t="b">
        <f t="shared" si="142"/>
        <v>0</v>
      </c>
      <c r="AW272" s="50"/>
    </row>
    <row r="273" spans="1:49" ht="21.75">
      <c r="A273" s="49">
        <v>271</v>
      </c>
      <c r="B273" s="50"/>
      <c r="C273" s="52"/>
      <c r="D273" s="79"/>
      <c r="E273" s="79"/>
      <c r="F273" s="79"/>
      <c r="G273" s="50">
        <f t="shared" si="127"/>
        <v>0</v>
      </c>
      <c r="H273" s="50">
        <f t="shared" si="128"/>
        <v>0</v>
      </c>
      <c r="I273" s="50">
        <f t="shared" si="129"/>
        <v>0</v>
      </c>
      <c r="J273" s="79"/>
      <c r="K273" s="49" t="s">
        <v>136</v>
      </c>
      <c r="L273" s="49" t="str">
        <f>IF(B273="","",IF(K273="S1",K273,INDEX(#REF!,#REF!)))</f>
        <v/>
      </c>
      <c r="M273" s="49" t="b">
        <f t="shared" si="130"/>
        <v>0</v>
      </c>
      <c r="N273" s="79"/>
      <c r="O273" s="79"/>
      <c r="P273" s="79"/>
      <c r="Q273" s="65" t="s">
        <v>464</v>
      </c>
      <c r="R273" s="49" t="str">
        <f t="shared" si="131"/>
        <v>21/11/2024</v>
      </c>
      <c r="S273" s="49" t="str">
        <f>IF(B273="","",IF(K273="S1",K273,INDEX(#REF!,#REF!)))</f>
        <v/>
      </c>
      <c r="T273" s="49" t="b">
        <f t="shared" si="132"/>
        <v>0</v>
      </c>
      <c r="U273" s="68">
        <f t="shared" si="133"/>
        <v>0</v>
      </c>
      <c r="V273" s="68">
        <f t="shared" si="134"/>
        <v>6</v>
      </c>
      <c r="W273" s="68">
        <f t="shared" si="135"/>
        <v>30</v>
      </c>
      <c r="X273" s="79"/>
      <c r="Y273" s="65"/>
      <c r="Z273" s="83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50" t="str">
        <f>IF(B273="","",IF(K273="S1",K273,INDEX(#REF!,#REF!)))</f>
        <v/>
      </c>
      <c r="AN273" s="50" t="b">
        <f t="shared" si="136"/>
        <v>1</v>
      </c>
      <c r="AO273" s="49" t="str">
        <f t="shared" si="137"/>
        <v>K5-POLICY</v>
      </c>
      <c r="AP273" s="72" t="str">
        <f>_xlfn.IFS(B273="","",AND(AO273="K5-LAW",AL273="นิติศาสตร์",K273="S2",Y273="",AE273=""),R273,AND(AO273="K5-LAW",AL273="นิติศาสตร์",K273="S1",Y273="",AE273=""),EDATE(R273,12),AND(AO273="K5-LAW",AL273="นิติศาสตร์",OR(K273="M2",K273="K4"),Y273="",AE273=""),EDATE(R273,12*2),AND(AO273="K5-LAW",AL273="นิติศาสตร์",OR(AE273="M2",AE273="K4"),AH273&gt;=2,OR(AG273&lt;AA273,AG273&lt;R273)),EDATE(AG273,12*2),AND(AO273="K5-LAW",AL273="นิติศาสตร์",AE273="S1",AH273&gt;=1,OR(AG273&lt;AA273,AG273&lt;R273)),EDATE(AG273,12),AND(AO273="K5-LAW",AL273="นิติศาสตร์",OR(Y273="M2",Y273="K4"),AB273&gt;=2,AA273&lt;R273),EDATE(AA273,12*2),AND(AO273="K5-LAW",AL273="นิติศาสตร์",Y273="S1",AB273&gt;=1,AA273&lt;R273),EDATE(AA273,12),AND(AO273="K5-LAW",AL273="นิติศาสตร์",OR(Y273="S2",Y273="K5")),AA273,AND(AO273="K5-LAW",AL273="นิติศาสตร์",OR(K273="M2",K273="K4"),U273&gt;=2),EDATE(R273,12*2),AND(AO273="K5-LAW",AL273="นิติศาสตร์",K273="S1",U273&gt;=1),EDATE(R273,12),AND(AO273="K5-LAW",AL273="นิติศาสตร์",OR(K273="S2",K273="K5")),R273,AND(AO273="K5-POLICY",AL273&lt;&gt;"นิติศาสตร์",K273="S2",Y273="",AE273=""),R273,AND(AO273="K5-POLICY",AL273&lt;&gt;"นิติศาสตร์",K273="S1",Y273="",AE273=""),EDATE(R273,12),AND(AO273="K5-POLICY",AL273&lt;&gt;"นิติศาสตร์",OR(K273="M2",K273="K4"),Y273="",AE273=""),EDATE(R273,12*2),AND(AO273="K5-POLICY",AL273&lt;&gt;"นิติศาสตร์",OR(AE273="M2",AE273="K4"),AH273&gt;=2,OR(AG273&lt;AA273,AG273&lt;R273)),EDATE(AG273,12*2),AND(AO273="K5-POLICY",AL273&lt;&gt;"นิติศาสตร์",AE273="S1",AH273&gt;=1,OR(AG273&lt;AA273,AG273&lt;R273)),EDATE(AG273,12),AND(AO273="K5-POLICY",AL273&lt;&gt;"นิติศาสตร์",OR(Y273="M2",Y273="K4"),AB273&gt;=2,AA273&lt;R273),EDATE(AA273,12*2),AND(AO273="K5-POLICY",AL273&lt;&gt;"นิติศาสตร์",Y273="S1",AB273&gt;=1,AA273&lt;R273),EDATE(AA273,12),AND(AO273="K5-POLICY",AL273&lt;&gt;"นิติศาสตร์",OR(Y273="S2",Y273="K5")),AA273,AND(AO273="K5-POLICY",AL273&lt;&gt;"นิติศาสตร์",OR(K273="M2",K273="K4"),U273&gt;=2),EDATE(R273,12*2),AND(AO273="K5-POLICY",AL273&lt;&gt;"นิติศาสตร์",K273="S1",U273&gt;=1),EDATE(R273,12),AND(AO273="K5-POLICY",AL273&lt;&gt;"นิติศาสตร์",OR(K273="S2",K273="K5")),R273,TRUE,"Check Data")</f>
        <v/>
      </c>
      <c r="AQ273" s="75" t="str">
        <f t="shared" si="138"/>
        <v>Check Data</v>
      </c>
      <c r="AR273" s="76" t="str">
        <f t="shared" si="139"/>
        <v>Check Data</v>
      </c>
      <c r="AS273" s="50" t="str">
        <f t="shared" si="140"/>
        <v>Check Data</v>
      </c>
      <c r="AT273" s="49" t="str">
        <f>IF(B273="","",IF(K273="S1","S1",INDEX(#REF!,#REF!)))</f>
        <v/>
      </c>
      <c r="AU273" s="49" t="str">
        <f t="shared" si="141"/>
        <v>M2</v>
      </c>
      <c r="AV273" s="50" t="b">
        <f t="shared" si="142"/>
        <v>0</v>
      </c>
      <c r="AW273" s="50"/>
    </row>
    <row r="274" spans="1:49" ht="21.75">
      <c r="A274" s="49">
        <v>272</v>
      </c>
      <c r="B274" s="50"/>
      <c r="C274" s="52"/>
      <c r="D274" s="79"/>
      <c r="E274" s="79"/>
      <c r="F274" s="79"/>
      <c r="G274" s="50">
        <f t="shared" si="127"/>
        <v>0</v>
      </c>
      <c r="H274" s="50">
        <f t="shared" si="128"/>
        <v>0</v>
      </c>
      <c r="I274" s="50">
        <f t="shared" si="129"/>
        <v>0</v>
      </c>
      <c r="J274" s="79"/>
      <c r="K274" s="49" t="s">
        <v>136</v>
      </c>
      <c r="L274" s="49" t="str">
        <f>IF(B274="","",IF(K274="S1",K274,INDEX(#REF!,#REF!)))</f>
        <v/>
      </c>
      <c r="M274" s="49" t="b">
        <f t="shared" si="130"/>
        <v>0</v>
      </c>
      <c r="N274" s="79"/>
      <c r="O274" s="79"/>
      <c r="P274" s="79"/>
      <c r="Q274" s="65" t="s">
        <v>464</v>
      </c>
      <c r="R274" s="49" t="str">
        <f t="shared" si="131"/>
        <v>21/11/2024</v>
      </c>
      <c r="S274" s="49" t="str">
        <f>IF(B274="","",IF(K274="S1",K274,INDEX(#REF!,#REF!)))</f>
        <v/>
      </c>
      <c r="T274" s="49" t="b">
        <f t="shared" si="132"/>
        <v>0</v>
      </c>
      <c r="U274" s="68">
        <f t="shared" si="133"/>
        <v>0</v>
      </c>
      <c r="V274" s="68">
        <f t="shared" si="134"/>
        <v>6</v>
      </c>
      <c r="W274" s="68">
        <f t="shared" si="135"/>
        <v>30</v>
      </c>
      <c r="X274" s="79"/>
      <c r="Y274" s="65"/>
      <c r="Z274" s="83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50" t="str">
        <f>IF(B274="","",IF(K274="S1",K274,INDEX(#REF!,#REF!)))</f>
        <v/>
      </c>
      <c r="AN274" s="50" t="b">
        <f t="shared" si="136"/>
        <v>1</v>
      </c>
      <c r="AO274" s="49" t="str">
        <f t="shared" si="137"/>
        <v>K5-POLICY</v>
      </c>
      <c r="AP274" s="72" t="str">
        <f>_xlfn.IFS(B274="","",AND(AO274="K5-LAW",AL274="นิติศาสตร์",K274="S2",Y274="",AE274=""),R274,AND(AO274="K5-LAW",AL274="นิติศาสตร์",K274="S1",Y274="",AE274=""),EDATE(R274,12),AND(AO274="K5-LAW",AL274="นิติศาสตร์",OR(K274="M2",K274="K4"),Y274="",AE274=""),EDATE(R274,12*2),AND(AO274="K5-LAW",AL274="นิติศาสตร์",OR(AE274="M2",AE274="K4"),AH274&gt;=2,OR(AG274&lt;AA274,AG274&lt;R274)),EDATE(AG274,12*2),AND(AO274="K5-LAW",AL274="นิติศาสตร์",AE274="S1",AH274&gt;=1,OR(AG274&lt;AA274,AG274&lt;R274)),EDATE(AG274,12),AND(AO274="K5-LAW",AL274="นิติศาสตร์",OR(Y274="M2",Y274="K4"),AB274&gt;=2,AA274&lt;R274),EDATE(AA274,12*2),AND(AO274="K5-LAW",AL274="นิติศาสตร์",Y274="S1",AB274&gt;=1,AA274&lt;R274),EDATE(AA274,12),AND(AO274="K5-LAW",AL274="นิติศาสตร์",OR(Y274="S2",Y274="K5")),AA274,AND(AO274="K5-LAW",AL274="นิติศาสตร์",OR(K274="M2",K274="K4"),U274&gt;=2),EDATE(R274,12*2),AND(AO274="K5-LAW",AL274="นิติศาสตร์",K274="S1",U274&gt;=1),EDATE(R274,12),AND(AO274="K5-LAW",AL274="นิติศาสตร์",OR(K274="S2",K274="K5")),R274,AND(AO274="K5-POLICY",AL274&lt;&gt;"นิติศาสตร์",K274="S2",Y274="",AE274=""),R274,AND(AO274="K5-POLICY",AL274&lt;&gt;"นิติศาสตร์",K274="S1",Y274="",AE274=""),EDATE(R274,12),AND(AO274="K5-POLICY",AL274&lt;&gt;"นิติศาสตร์",OR(K274="M2",K274="K4"),Y274="",AE274=""),EDATE(R274,12*2),AND(AO274="K5-POLICY",AL274&lt;&gt;"นิติศาสตร์",OR(AE274="M2",AE274="K4"),AH274&gt;=2,OR(AG274&lt;AA274,AG274&lt;R274)),EDATE(AG274,12*2),AND(AO274="K5-POLICY",AL274&lt;&gt;"นิติศาสตร์",AE274="S1",AH274&gt;=1,OR(AG274&lt;AA274,AG274&lt;R274)),EDATE(AG274,12),AND(AO274="K5-POLICY",AL274&lt;&gt;"นิติศาสตร์",OR(Y274="M2",Y274="K4"),AB274&gt;=2,AA274&lt;R274),EDATE(AA274,12*2),AND(AO274="K5-POLICY",AL274&lt;&gt;"นิติศาสตร์",Y274="S1",AB274&gt;=1,AA274&lt;R274),EDATE(AA274,12),AND(AO274="K5-POLICY",AL274&lt;&gt;"นิติศาสตร์",OR(Y274="S2",Y274="K5")),AA274,AND(AO274="K5-POLICY",AL274&lt;&gt;"นิติศาสตร์",OR(K274="M2",K274="K4"),U274&gt;=2),EDATE(R274,12*2),AND(AO274="K5-POLICY",AL274&lt;&gt;"นิติศาสตร์",K274="S1",U274&gt;=1),EDATE(R274,12),AND(AO274="K5-POLICY",AL274&lt;&gt;"นิติศาสตร์",OR(K274="S2",K274="K5")),R274,TRUE,"Check Data")</f>
        <v/>
      </c>
      <c r="AQ274" s="75" t="str">
        <f t="shared" si="138"/>
        <v>Check Data</v>
      </c>
      <c r="AR274" s="76" t="str">
        <f t="shared" si="139"/>
        <v>Check Data</v>
      </c>
      <c r="AS274" s="50" t="str">
        <f t="shared" si="140"/>
        <v>Check Data</v>
      </c>
      <c r="AT274" s="49" t="str">
        <f>IF(B274="","",IF(K274="S1","S1",INDEX(#REF!,#REF!)))</f>
        <v/>
      </c>
      <c r="AU274" s="49" t="str">
        <f t="shared" si="141"/>
        <v>M2</v>
      </c>
      <c r="AV274" s="50" t="b">
        <f t="shared" si="142"/>
        <v>0</v>
      </c>
      <c r="AW274" s="50"/>
    </row>
    <row r="275" spans="1:49" ht="21.75">
      <c r="A275" s="49">
        <v>273</v>
      </c>
      <c r="B275" s="50"/>
      <c r="C275" s="52"/>
      <c r="D275" s="79"/>
      <c r="E275" s="79"/>
      <c r="F275" s="79"/>
      <c r="G275" s="50">
        <f t="shared" si="127"/>
        <v>0</v>
      </c>
      <c r="H275" s="50">
        <f t="shared" si="128"/>
        <v>0</v>
      </c>
      <c r="I275" s="50">
        <f t="shared" si="129"/>
        <v>0</v>
      </c>
      <c r="J275" s="79"/>
      <c r="K275" s="49" t="s">
        <v>136</v>
      </c>
      <c r="L275" s="49" t="str">
        <f>IF(B275="","",IF(K275="S1",K275,INDEX(#REF!,#REF!)))</f>
        <v/>
      </c>
      <c r="M275" s="49" t="b">
        <f t="shared" si="130"/>
        <v>0</v>
      </c>
      <c r="N275" s="79"/>
      <c r="O275" s="79"/>
      <c r="P275" s="79"/>
      <c r="Q275" s="65" t="s">
        <v>464</v>
      </c>
      <c r="R275" s="49" t="str">
        <f t="shared" si="131"/>
        <v>21/11/2024</v>
      </c>
      <c r="S275" s="49" t="str">
        <f>IF(B275="","",IF(K275="S1",K275,INDEX(#REF!,#REF!)))</f>
        <v/>
      </c>
      <c r="T275" s="49" t="b">
        <f t="shared" si="132"/>
        <v>0</v>
      </c>
      <c r="U275" s="68">
        <f t="shared" si="133"/>
        <v>0</v>
      </c>
      <c r="V275" s="68">
        <f t="shared" si="134"/>
        <v>6</v>
      </c>
      <c r="W275" s="68">
        <f t="shared" si="135"/>
        <v>30</v>
      </c>
      <c r="X275" s="79"/>
      <c r="Y275" s="65"/>
      <c r="Z275" s="83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50" t="str">
        <f>IF(B275="","",IF(K275="S1",K275,INDEX(#REF!,#REF!)))</f>
        <v/>
      </c>
      <c r="AN275" s="50" t="b">
        <f t="shared" si="136"/>
        <v>1</v>
      </c>
      <c r="AO275" s="49" t="str">
        <f t="shared" si="137"/>
        <v>K5-POLICY</v>
      </c>
      <c r="AP275" s="72" t="str">
        <f>_xlfn.IFS(B275="","",AND(AO275="K5-LAW",AL275="นิติศาสตร์",K275="S2",Y275="",AE275=""),R275,AND(AO275="K5-LAW",AL275="นิติศาสตร์",K275="S1",Y275="",AE275=""),EDATE(R275,12),AND(AO275="K5-LAW",AL275="นิติศาสตร์",OR(K275="M2",K275="K4"),Y275="",AE275=""),EDATE(R275,12*2),AND(AO275="K5-LAW",AL275="นิติศาสตร์",OR(AE275="M2",AE275="K4"),AH275&gt;=2,OR(AG275&lt;AA275,AG275&lt;R275)),EDATE(AG275,12*2),AND(AO275="K5-LAW",AL275="นิติศาสตร์",AE275="S1",AH275&gt;=1,OR(AG275&lt;AA275,AG275&lt;R275)),EDATE(AG275,12),AND(AO275="K5-LAW",AL275="นิติศาสตร์",OR(Y275="M2",Y275="K4"),AB275&gt;=2,AA275&lt;R275),EDATE(AA275,12*2),AND(AO275="K5-LAW",AL275="นิติศาสตร์",Y275="S1",AB275&gt;=1,AA275&lt;R275),EDATE(AA275,12),AND(AO275="K5-LAW",AL275="นิติศาสตร์",OR(Y275="S2",Y275="K5")),AA275,AND(AO275="K5-LAW",AL275="นิติศาสตร์",OR(K275="M2",K275="K4"),U275&gt;=2),EDATE(R275,12*2),AND(AO275="K5-LAW",AL275="นิติศาสตร์",K275="S1",U275&gt;=1),EDATE(R275,12),AND(AO275="K5-LAW",AL275="นิติศาสตร์",OR(K275="S2",K275="K5")),R275,AND(AO275="K5-POLICY",AL275&lt;&gt;"นิติศาสตร์",K275="S2",Y275="",AE275=""),R275,AND(AO275="K5-POLICY",AL275&lt;&gt;"นิติศาสตร์",K275="S1",Y275="",AE275=""),EDATE(R275,12),AND(AO275="K5-POLICY",AL275&lt;&gt;"นิติศาสตร์",OR(K275="M2",K275="K4"),Y275="",AE275=""),EDATE(R275,12*2),AND(AO275="K5-POLICY",AL275&lt;&gt;"นิติศาสตร์",OR(AE275="M2",AE275="K4"),AH275&gt;=2,OR(AG275&lt;AA275,AG275&lt;R275)),EDATE(AG275,12*2),AND(AO275="K5-POLICY",AL275&lt;&gt;"นิติศาสตร์",AE275="S1",AH275&gt;=1,OR(AG275&lt;AA275,AG275&lt;R275)),EDATE(AG275,12),AND(AO275="K5-POLICY",AL275&lt;&gt;"นิติศาสตร์",OR(Y275="M2",Y275="K4"),AB275&gt;=2,AA275&lt;R275),EDATE(AA275,12*2),AND(AO275="K5-POLICY",AL275&lt;&gt;"นิติศาสตร์",Y275="S1",AB275&gt;=1,AA275&lt;R275),EDATE(AA275,12),AND(AO275="K5-POLICY",AL275&lt;&gt;"นิติศาสตร์",OR(Y275="S2",Y275="K5")),AA275,AND(AO275="K5-POLICY",AL275&lt;&gt;"นิติศาสตร์",OR(K275="M2",K275="K4"),U275&gt;=2),EDATE(R275,12*2),AND(AO275="K5-POLICY",AL275&lt;&gt;"นิติศาสตร์",K275="S1",U275&gt;=1),EDATE(R275,12),AND(AO275="K5-POLICY",AL275&lt;&gt;"นิติศาสตร์",OR(K275="S2",K275="K5")),R275,TRUE,"Check Data")</f>
        <v/>
      </c>
      <c r="AQ275" s="75" t="str">
        <f t="shared" si="138"/>
        <v>Check Data</v>
      </c>
      <c r="AR275" s="76" t="str">
        <f t="shared" si="139"/>
        <v>Check Data</v>
      </c>
      <c r="AS275" s="50" t="str">
        <f t="shared" si="140"/>
        <v>Check Data</v>
      </c>
      <c r="AT275" s="49" t="str">
        <f>IF(B275="","",IF(K275="S1","S1",INDEX(#REF!,#REF!)))</f>
        <v/>
      </c>
      <c r="AU275" s="49" t="str">
        <f t="shared" si="141"/>
        <v>M2</v>
      </c>
      <c r="AV275" s="50" t="b">
        <f t="shared" si="142"/>
        <v>0</v>
      </c>
      <c r="AW275" s="50"/>
    </row>
    <row r="276" spans="1:49" ht="21.75">
      <c r="A276" s="49">
        <v>274</v>
      </c>
      <c r="B276" s="50"/>
      <c r="C276" s="52"/>
      <c r="D276" s="79"/>
      <c r="E276" s="79"/>
      <c r="F276" s="79"/>
      <c r="G276" s="50">
        <f t="shared" si="127"/>
        <v>0</v>
      </c>
      <c r="H276" s="50">
        <f t="shared" si="128"/>
        <v>0</v>
      </c>
      <c r="I276" s="50">
        <f t="shared" si="129"/>
        <v>0</v>
      </c>
      <c r="J276" s="79"/>
      <c r="K276" s="49" t="s">
        <v>136</v>
      </c>
      <c r="L276" s="49" t="str">
        <f>IF(B276="","",IF(K276="S1",K276,INDEX(#REF!,#REF!)))</f>
        <v/>
      </c>
      <c r="M276" s="49" t="b">
        <f t="shared" si="130"/>
        <v>0</v>
      </c>
      <c r="N276" s="79"/>
      <c r="O276" s="79"/>
      <c r="P276" s="79"/>
      <c r="Q276" s="65" t="s">
        <v>464</v>
      </c>
      <c r="R276" s="49" t="str">
        <f t="shared" si="131"/>
        <v>21/11/2024</v>
      </c>
      <c r="S276" s="49" t="str">
        <f>IF(B276="","",IF(K276="S1",K276,INDEX(#REF!,#REF!)))</f>
        <v/>
      </c>
      <c r="T276" s="49" t="b">
        <f t="shared" si="132"/>
        <v>0</v>
      </c>
      <c r="U276" s="68">
        <f t="shared" si="133"/>
        <v>0</v>
      </c>
      <c r="V276" s="68">
        <f t="shared" si="134"/>
        <v>6</v>
      </c>
      <c r="W276" s="68">
        <f t="shared" si="135"/>
        <v>30</v>
      </c>
      <c r="X276" s="79"/>
      <c r="Y276" s="65"/>
      <c r="Z276" s="83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50" t="str">
        <f>IF(B276="","",IF(K276="S1",K276,INDEX(#REF!,#REF!)))</f>
        <v/>
      </c>
      <c r="AN276" s="50" t="b">
        <f t="shared" si="136"/>
        <v>1</v>
      </c>
      <c r="AO276" s="49" t="str">
        <f t="shared" si="137"/>
        <v>K5-POLICY</v>
      </c>
      <c r="AP276" s="72" t="str">
        <f>_xlfn.IFS(B276="","",AND(AO276="K5-LAW",AL276="นิติศาสตร์",K276="S2",Y276="",AE276=""),R276,AND(AO276="K5-LAW",AL276="นิติศาสตร์",K276="S1",Y276="",AE276=""),EDATE(R276,12),AND(AO276="K5-LAW",AL276="นิติศาสตร์",OR(K276="M2",K276="K4"),Y276="",AE276=""),EDATE(R276,12*2),AND(AO276="K5-LAW",AL276="นิติศาสตร์",OR(AE276="M2",AE276="K4"),AH276&gt;=2,OR(AG276&lt;AA276,AG276&lt;R276)),EDATE(AG276,12*2),AND(AO276="K5-LAW",AL276="นิติศาสตร์",AE276="S1",AH276&gt;=1,OR(AG276&lt;AA276,AG276&lt;R276)),EDATE(AG276,12),AND(AO276="K5-LAW",AL276="นิติศาสตร์",OR(Y276="M2",Y276="K4"),AB276&gt;=2,AA276&lt;R276),EDATE(AA276,12*2),AND(AO276="K5-LAW",AL276="นิติศาสตร์",Y276="S1",AB276&gt;=1,AA276&lt;R276),EDATE(AA276,12),AND(AO276="K5-LAW",AL276="นิติศาสตร์",OR(Y276="S2",Y276="K5")),AA276,AND(AO276="K5-LAW",AL276="นิติศาสตร์",OR(K276="M2",K276="K4"),U276&gt;=2),EDATE(R276,12*2),AND(AO276="K5-LAW",AL276="นิติศาสตร์",K276="S1",U276&gt;=1),EDATE(R276,12),AND(AO276="K5-LAW",AL276="นิติศาสตร์",OR(K276="S2",K276="K5")),R276,AND(AO276="K5-POLICY",AL276&lt;&gt;"นิติศาสตร์",K276="S2",Y276="",AE276=""),R276,AND(AO276="K5-POLICY",AL276&lt;&gt;"นิติศาสตร์",K276="S1",Y276="",AE276=""),EDATE(R276,12),AND(AO276="K5-POLICY",AL276&lt;&gt;"นิติศาสตร์",OR(K276="M2",K276="K4"),Y276="",AE276=""),EDATE(R276,12*2),AND(AO276="K5-POLICY",AL276&lt;&gt;"นิติศาสตร์",OR(AE276="M2",AE276="K4"),AH276&gt;=2,OR(AG276&lt;AA276,AG276&lt;R276)),EDATE(AG276,12*2),AND(AO276="K5-POLICY",AL276&lt;&gt;"นิติศาสตร์",AE276="S1",AH276&gt;=1,OR(AG276&lt;AA276,AG276&lt;R276)),EDATE(AG276,12),AND(AO276="K5-POLICY",AL276&lt;&gt;"นิติศาสตร์",OR(Y276="M2",Y276="K4"),AB276&gt;=2,AA276&lt;R276),EDATE(AA276,12*2),AND(AO276="K5-POLICY",AL276&lt;&gt;"นิติศาสตร์",Y276="S1",AB276&gt;=1,AA276&lt;R276),EDATE(AA276,12),AND(AO276="K5-POLICY",AL276&lt;&gt;"นิติศาสตร์",OR(Y276="S2",Y276="K5")),AA276,AND(AO276="K5-POLICY",AL276&lt;&gt;"นิติศาสตร์",OR(K276="M2",K276="K4"),U276&gt;=2),EDATE(R276,12*2),AND(AO276="K5-POLICY",AL276&lt;&gt;"นิติศาสตร์",K276="S1",U276&gt;=1),EDATE(R276,12),AND(AO276="K5-POLICY",AL276&lt;&gt;"นิติศาสตร์",OR(K276="S2",K276="K5")),R276,TRUE,"Check Data")</f>
        <v/>
      </c>
      <c r="AQ276" s="75" t="str">
        <f t="shared" si="138"/>
        <v>Check Data</v>
      </c>
      <c r="AR276" s="76" t="str">
        <f t="shared" si="139"/>
        <v>Check Data</v>
      </c>
      <c r="AS276" s="50" t="str">
        <f t="shared" si="140"/>
        <v>Check Data</v>
      </c>
      <c r="AT276" s="49" t="str">
        <f>IF(B276="","",IF(K276="S1","S1",INDEX(#REF!,#REF!)))</f>
        <v/>
      </c>
      <c r="AU276" s="49" t="str">
        <f t="shared" si="141"/>
        <v>M2</v>
      </c>
      <c r="AV276" s="50" t="b">
        <f t="shared" si="142"/>
        <v>0</v>
      </c>
      <c r="AW276" s="50"/>
    </row>
    <row r="277" spans="1:49" ht="21.75">
      <c r="A277" s="49">
        <v>275</v>
      </c>
      <c r="B277" s="50"/>
      <c r="C277" s="52"/>
      <c r="D277" s="79"/>
      <c r="E277" s="79"/>
      <c r="F277" s="79"/>
      <c r="G277" s="50">
        <f t="shared" si="127"/>
        <v>0</v>
      </c>
      <c r="H277" s="50">
        <f t="shared" si="128"/>
        <v>0</v>
      </c>
      <c r="I277" s="50">
        <f t="shared" si="129"/>
        <v>0</v>
      </c>
      <c r="J277" s="79"/>
      <c r="K277" s="49" t="s">
        <v>136</v>
      </c>
      <c r="L277" s="49" t="str">
        <f>IF(B277="","",IF(K277="S1",K277,INDEX(#REF!,#REF!)))</f>
        <v/>
      </c>
      <c r="M277" s="49" t="b">
        <f t="shared" si="130"/>
        <v>0</v>
      </c>
      <c r="N277" s="79"/>
      <c r="O277" s="79"/>
      <c r="P277" s="79"/>
      <c r="Q277" s="65" t="s">
        <v>464</v>
      </c>
      <c r="R277" s="49" t="str">
        <f t="shared" si="131"/>
        <v>21/11/2024</v>
      </c>
      <c r="S277" s="49" t="str">
        <f>IF(B277="","",IF(K277="S1",K277,INDEX(#REF!,#REF!)))</f>
        <v/>
      </c>
      <c r="T277" s="49" t="b">
        <f t="shared" si="132"/>
        <v>0</v>
      </c>
      <c r="U277" s="68">
        <f t="shared" si="133"/>
        <v>0</v>
      </c>
      <c r="V277" s="68">
        <f t="shared" si="134"/>
        <v>6</v>
      </c>
      <c r="W277" s="68">
        <f t="shared" si="135"/>
        <v>30</v>
      </c>
      <c r="X277" s="79"/>
      <c r="Y277" s="65"/>
      <c r="Z277" s="83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50" t="str">
        <f>IF(B277="","",IF(K277="S1",K277,INDEX(#REF!,#REF!)))</f>
        <v/>
      </c>
      <c r="AN277" s="50" t="b">
        <f t="shared" si="136"/>
        <v>1</v>
      </c>
      <c r="AO277" s="49" t="str">
        <f t="shared" si="137"/>
        <v>K5-POLICY</v>
      </c>
      <c r="AP277" s="72" t="str">
        <f>_xlfn.IFS(B277="","",AND(AO277="K5-LAW",AL277="นิติศาสตร์",K277="S2",Y277="",AE277=""),R277,AND(AO277="K5-LAW",AL277="นิติศาสตร์",K277="S1",Y277="",AE277=""),EDATE(R277,12),AND(AO277="K5-LAW",AL277="นิติศาสตร์",OR(K277="M2",K277="K4"),Y277="",AE277=""),EDATE(R277,12*2),AND(AO277="K5-LAW",AL277="นิติศาสตร์",OR(AE277="M2",AE277="K4"),AH277&gt;=2,OR(AG277&lt;AA277,AG277&lt;R277)),EDATE(AG277,12*2),AND(AO277="K5-LAW",AL277="นิติศาสตร์",AE277="S1",AH277&gt;=1,OR(AG277&lt;AA277,AG277&lt;R277)),EDATE(AG277,12),AND(AO277="K5-LAW",AL277="นิติศาสตร์",OR(Y277="M2",Y277="K4"),AB277&gt;=2,AA277&lt;R277),EDATE(AA277,12*2),AND(AO277="K5-LAW",AL277="นิติศาสตร์",Y277="S1",AB277&gt;=1,AA277&lt;R277),EDATE(AA277,12),AND(AO277="K5-LAW",AL277="นิติศาสตร์",OR(Y277="S2",Y277="K5")),AA277,AND(AO277="K5-LAW",AL277="นิติศาสตร์",OR(K277="M2",K277="K4"),U277&gt;=2),EDATE(R277,12*2),AND(AO277="K5-LAW",AL277="นิติศาสตร์",K277="S1",U277&gt;=1),EDATE(R277,12),AND(AO277="K5-LAW",AL277="นิติศาสตร์",OR(K277="S2",K277="K5")),R277,AND(AO277="K5-POLICY",AL277&lt;&gt;"นิติศาสตร์",K277="S2",Y277="",AE277=""),R277,AND(AO277="K5-POLICY",AL277&lt;&gt;"นิติศาสตร์",K277="S1",Y277="",AE277=""),EDATE(R277,12),AND(AO277="K5-POLICY",AL277&lt;&gt;"นิติศาสตร์",OR(K277="M2",K277="K4"),Y277="",AE277=""),EDATE(R277,12*2),AND(AO277="K5-POLICY",AL277&lt;&gt;"นิติศาสตร์",OR(AE277="M2",AE277="K4"),AH277&gt;=2,OR(AG277&lt;AA277,AG277&lt;R277)),EDATE(AG277,12*2),AND(AO277="K5-POLICY",AL277&lt;&gt;"นิติศาสตร์",AE277="S1",AH277&gt;=1,OR(AG277&lt;AA277,AG277&lt;R277)),EDATE(AG277,12),AND(AO277="K5-POLICY",AL277&lt;&gt;"นิติศาสตร์",OR(Y277="M2",Y277="K4"),AB277&gt;=2,AA277&lt;R277),EDATE(AA277,12*2),AND(AO277="K5-POLICY",AL277&lt;&gt;"นิติศาสตร์",Y277="S1",AB277&gt;=1,AA277&lt;R277),EDATE(AA277,12),AND(AO277="K5-POLICY",AL277&lt;&gt;"นิติศาสตร์",OR(Y277="S2",Y277="K5")),AA277,AND(AO277="K5-POLICY",AL277&lt;&gt;"นิติศาสตร์",OR(K277="M2",K277="K4"),U277&gt;=2),EDATE(R277,12*2),AND(AO277="K5-POLICY",AL277&lt;&gt;"นิติศาสตร์",K277="S1",U277&gt;=1),EDATE(R277,12),AND(AO277="K5-POLICY",AL277&lt;&gt;"นิติศาสตร์",OR(K277="S2",K277="K5")),R277,TRUE,"Check Data")</f>
        <v/>
      </c>
      <c r="AQ277" s="75" t="str">
        <f t="shared" si="138"/>
        <v>Check Data</v>
      </c>
      <c r="AR277" s="76" t="str">
        <f t="shared" si="139"/>
        <v>Check Data</v>
      </c>
      <c r="AS277" s="50" t="str">
        <f t="shared" si="140"/>
        <v>Check Data</v>
      </c>
      <c r="AT277" s="49" t="str">
        <f>IF(B277="","",IF(K277="S1","S1",INDEX(#REF!,#REF!)))</f>
        <v/>
      </c>
      <c r="AU277" s="49" t="str">
        <f t="shared" si="141"/>
        <v>M2</v>
      </c>
      <c r="AV277" s="50" t="b">
        <f t="shared" si="142"/>
        <v>0</v>
      </c>
      <c r="AW277" s="50"/>
    </row>
    <row r="278" spans="1:49" ht="21.75">
      <c r="A278" s="49">
        <v>276</v>
      </c>
      <c r="B278" s="50"/>
      <c r="C278" s="52"/>
      <c r="D278" s="79"/>
      <c r="E278" s="79"/>
      <c r="F278" s="79"/>
      <c r="G278" s="50">
        <f t="shared" si="127"/>
        <v>0</v>
      </c>
      <c r="H278" s="50">
        <f t="shared" si="128"/>
        <v>0</v>
      </c>
      <c r="I278" s="50">
        <f t="shared" si="129"/>
        <v>0</v>
      </c>
      <c r="J278" s="79"/>
      <c r="K278" s="49" t="s">
        <v>136</v>
      </c>
      <c r="L278" s="49" t="str">
        <f>IF(B278="","",IF(K278="S1",K278,INDEX(#REF!,#REF!)))</f>
        <v/>
      </c>
      <c r="M278" s="49" t="b">
        <f t="shared" si="130"/>
        <v>0</v>
      </c>
      <c r="N278" s="79"/>
      <c r="O278" s="79"/>
      <c r="P278" s="79"/>
      <c r="Q278" s="65" t="s">
        <v>464</v>
      </c>
      <c r="R278" s="49" t="str">
        <f t="shared" si="131"/>
        <v>21/11/2024</v>
      </c>
      <c r="S278" s="49" t="str">
        <f>IF(B278="","",IF(K278="S1",K278,INDEX(#REF!,#REF!)))</f>
        <v/>
      </c>
      <c r="T278" s="49" t="b">
        <f t="shared" si="132"/>
        <v>0</v>
      </c>
      <c r="U278" s="68">
        <f t="shared" si="133"/>
        <v>0</v>
      </c>
      <c r="V278" s="68">
        <f t="shared" si="134"/>
        <v>6</v>
      </c>
      <c r="W278" s="68">
        <f t="shared" si="135"/>
        <v>30</v>
      </c>
      <c r="X278" s="79"/>
      <c r="Y278" s="65"/>
      <c r="Z278" s="83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50" t="str">
        <f>IF(B278="","",IF(K278="S1",K278,INDEX(#REF!,#REF!)))</f>
        <v/>
      </c>
      <c r="AN278" s="50" t="b">
        <f t="shared" si="136"/>
        <v>1</v>
      </c>
      <c r="AO278" s="49" t="str">
        <f t="shared" si="137"/>
        <v>K5-POLICY</v>
      </c>
      <c r="AP278" s="72" t="str">
        <f>_xlfn.IFS(B278="","",AND(AO278="K5-LAW",AL278="นิติศาสตร์",K278="S2",Y278="",AE278=""),R278,AND(AO278="K5-LAW",AL278="นิติศาสตร์",K278="S1",Y278="",AE278=""),EDATE(R278,12),AND(AO278="K5-LAW",AL278="นิติศาสตร์",OR(K278="M2",K278="K4"),Y278="",AE278=""),EDATE(R278,12*2),AND(AO278="K5-LAW",AL278="นิติศาสตร์",OR(AE278="M2",AE278="K4"),AH278&gt;=2,OR(AG278&lt;AA278,AG278&lt;R278)),EDATE(AG278,12*2),AND(AO278="K5-LAW",AL278="นิติศาสตร์",AE278="S1",AH278&gt;=1,OR(AG278&lt;AA278,AG278&lt;R278)),EDATE(AG278,12),AND(AO278="K5-LAW",AL278="นิติศาสตร์",OR(Y278="M2",Y278="K4"),AB278&gt;=2,AA278&lt;R278),EDATE(AA278,12*2),AND(AO278="K5-LAW",AL278="นิติศาสตร์",Y278="S1",AB278&gt;=1,AA278&lt;R278),EDATE(AA278,12),AND(AO278="K5-LAW",AL278="นิติศาสตร์",OR(Y278="S2",Y278="K5")),AA278,AND(AO278="K5-LAW",AL278="นิติศาสตร์",OR(K278="M2",K278="K4"),U278&gt;=2),EDATE(R278,12*2),AND(AO278="K5-LAW",AL278="นิติศาสตร์",K278="S1",U278&gt;=1),EDATE(R278,12),AND(AO278="K5-LAW",AL278="นิติศาสตร์",OR(K278="S2",K278="K5")),R278,AND(AO278="K5-POLICY",AL278&lt;&gt;"นิติศาสตร์",K278="S2",Y278="",AE278=""),R278,AND(AO278="K5-POLICY",AL278&lt;&gt;"นิติศาสตร์",K278="S1",Y278="",AE278=""),EDATE(R278,12),AND(AO278="K5-POLICY",AL278&lt;&gt;"นิติศาสตร์",OR(K278="M2",K278="K4"),Y278="",AE278=""),EDATE(R278,12*2),AND(AO278="K5-POLICY",AL278&lt;&gt;"นิติศาสตร์",OR(AE278="M2",AE278="K4"),AH278&gt;=2,OR(AG278&lt;AA278,AG278&lt;R278)),EDATE(AG278,12*2),AND(AO278="K5-POLICY",AL278&lt;&gt;"นิติศาสตร์",AE278="S1",AH278&gt;=1,OR(AG278&lt;AA278,AG278&lt;R278)),EDATE(AG278,12),AND(AO278="K5-POLICY",AL278&lt;&gt;"นิติศาสตร์",OR(Y278="M2",Y278="K4"),AB278&gt;=2,AA278&lt;R278),EDATE(AA278,12*2),AND(AO278="K5-POLICY",AL278&lt;&gt;"นิติศาสตร์",Y278="S1",AB278&gt;=1,AA278&lt;R278),EDATE(AA278,12),AND(AO278="K5-POLICY",AL278&lt;&gt;"นิติศาสตร์",OR(Y278="S2",Y278="K5")),AA278,AND(AO278="K5-POLICY",AL278&lt;&gt;"นิติศาสตร์",OR(K278="M2",K278="K4"),U278&gt;=2),EDATE(R278,12*2),AND(AO278="K5-POLICY",AL278&lt;&gt;"นิติศาสตร์",K278="S1",U278&gt;=1),EDATE(R278,12),AND(AO278="K5-POLICY",AL278&lt;&gt;"นิติศาสตร์",OR(K278="S2",K278="K5")),R278,TRUE,"Check Data")</f>
        <v/>
      </c>
      <c r="AQ278" s="75" t="str">
        <f t="shared" si="138"/>
        <v>Check Data</v>
      </c>
      <c r="AR278" s="76" t="str">
        <f t="shared" si="139"/>
        <v>Check Data</v>
      </c>
      <c r="AS278" s="50" t="str">
        <f t="shared" si="140"/>
        <v>Check Data</v>
      </c>
      <c r="AT278" s="49" t="str">
        <f>IF(B278="","",IF(K278="S1","S1",INDEX(#REF!,#REF!)))</f>
        <v/>
      </c>
      <c r="AU278" s="49" t="str">
        <f t="shared" si="141"/>
        <v>M2</v>
      </c>
      <c r="AV278" s="50" t="b">
        <f t="shared" si="142"/>
        <v>0</v>
      </c>
      <c r="AW278" s="50"/>
    </row>
    <row r="279" spans="1:49" ht="21.75">
      <c r="A279" s="49">
        <v>277</v>
      </c>
      <c r="B279" s="50"/>
      <c r="C279" s="52"/>
      <c r="D279" s="50"/>
      <c r="E279" s="49"/>
      <c r="F279" s="49"/>
      <c r="G279" s="50">
        <f t="shared" si="127"/>
        <v>0</v>
      </c>
      <c r="H279" s="50">
        <f t="shared" si="128"/>
        <v>0</v>
      </c>
      <c r="I279" s="50">
        <f t="shared" si="129"/>
        <v>0</v>
      </c>
      <c r="J279" s="50"/>
      <c r="K279" s="49" t="s">
        <v>136</v>
      </c>
      <c r="L279" s="49" t="str">
        <f>IF(B279="","",IF(K279="S1",K279,INDEX(#REF!,#REF!)))</f>
        <v/>
      </c>
      <c r="M279" s="49" t="b">
        <f t="shared" si="130"/>
        <v>0</v>
      </c>
      <c r="N279" s="64"/>
      <c r="O279" s="49"/>
      <c r="P279" s="49"/>
      <c r="Q279" s="65" t="s">
        <v>442</v>
      </c>
      <c r="R279" s="49" t="str">
        <f t="shared" si="131"/>
        <v>26/11/2024</v>
      </c>
      <c r="S279" s="49" t="str">
        <f>IF(B279="","",IF(K279="S1",K279,INDEX(#REF!,#REF!)))</f>
        <v/>
      </c>
      <c r="T279" s="49" t="b">
        <f t="shared" si="132"/>
        <v>0</v>
      </c>
      <c r="U279" s="68">
        <f t="shared" si="133"/>
        <v>0</v>
      </c>
      <c r="V279" s="68">
        <f t="shared" si="134"/>
        <v>6</v>
      </c>
      <c r="W279" s="68">
        <f t="shared" si="135"/>
        <v>25</v>
      </c>
      <c r="X279" s="68"/>
      <c r="Y279" s="65"/>
      <c r="Z279" s="65"/>
      <c r="AA279" s="49"/>
      <c r="AB279" s="68"/>
      <c r="AC279" s="68"/>
      <c r="AD279" s="68"/>
      <c r="AE279" s="49"/>
      <c r="AF279" s="65"/>
      <c r="AG279" s="50"/>
      <c r="AH279" s="68"/>
      <c r="AI279" s="68"/>
      <c r="AJ279" s="68"/>
      <c r="AK279" s="50"/>
      <c r="AL279" s="50"/>
      <c r="AM279" s="50" t="str">
        <f>IF(B279="","",IF(K279="S1",K279,INDEX(#REF!,#REF!)))</f>
        <v/>
      </c>
      <c r="AN279" s="50" t="b">
        <f t="shared" si="136"/>
        <v>1</v>
      </c>
      <c r="AO279" s="49" t="str">
        <f t="shared" si="137"/>
        <v>K5-POLICY</v>
      </c>
      <c r="AP279" s="72" t="str">
        <f>_xlfn.IFS(B279="","",AND(AO279="K5-LAW",AL279="นิติศาสตร์",K279="S2",Y279="",AE279=""),R279,AND(AO279="K5-LAW",AL279="นิติศาสตร์",K279="S1",Y279="",AE279=""),EDATE(R279,12),AND(AO279="K5-LAW",AL279="นิติศาสตร์",OR(K279="M2",K279="K4"),Y279="",AE279=""),EDATE(R279,12*2),AND(AO279="K5-LAW",AL279="นิติศาสตร์",OR(AE279="M2",AE279="K4"),AH279&gt;=2,OR(AG279&lt;AA279,AG279&lt;R279)),EDATE(AG279,12*2),AND(AO279="K5-LAW",AL279="นิติศาสตร์",AE279="S1",AH279&gt;=1,OR(AG279&lt;AA279,AG279&lt;R279)),EDATE(AG279,12),AND(AO279="K5-LAW",AL279="นิติศาสตร์",OR(Y279="M2",Y279="K4"),AB279&gt;=2,AA279&lt;R279),EDATE(AA279,12*2),AND(AO279="K5-LAW",AL279="นิติศาสตร์",Y279="S1",AB279&gt;=1,AA279&lt;R279),EDATE(AA279,12),AND(AO279="K5-LAW",AL279="นิติศาสตร์",OR(Y279="S2",Y279="K5")),AA279,AND(AO279="K5-LAW",AL279="นิติศาสตร์",OR(K279="M2",K279="K4"),U279&gt;=2),EDATE(R279,12*2),AND(AO279="K5-LAW",AL279="นิติศาสตร์",K279="S1",U279&gt;=1),EDATE(R279,12),AND(AO279="K5-LAW",AL279="นิติศาสตร์",OR(K279="S2",K279="K5")),R279,AND(AO279="K5-POLICY",AL279&lt;&gt;"นิติศาสตร์",K279="S2",Y279="",AE279=""),R279,AND(AO279="K5-POLICY",AL279&lt;&gt;"นิติศาสตร์",K279="S1",Y279="",AE279=""),EDATE(R279,12),AND(AO279="K5-POLICY",AL279&lt;&gt;"นิติศาสตร์",OR(K279="M2",K279="K4"),Y279="",AE279=""),EDATE(R279,12*2),AND(AO279="K5-POLICY",AL279&lt;&gt;"นิติศาสตร์",OR(AE279="M2",AE279="K4"),AH279&gt;=2,OR(AG279&lt;AA279,AG279&lt;R279)),EDATE(AG279,12*2),AND(AO279="K5-POLICY",AL279&lt;&gt;"นิติศาสตร์",AE279="S1",AH279&gt;=1,OR(AG279&lt;AA279,AG279&lt;R279)),EDATE(AG279,12),AND(AO279="K5-POLICY",AL279&lt;&gt;"นิติศาสตร์",OR(Y279="M2",Y279="K4"),AB279&gt;=2,AA279&lt;R279),EDATE(AA279,12*2),AND(AO279="K5-POLICY",AL279&lt;&gt;"นิติศาสตร์",Y279="S1",AB279&gt;=1,AA279&lt;R279),EDATE(AA279,12),AND(AO279="K5-POLICY",AL279&lt;&gt;"นิติศาสตร์",OR(Y279="S2",Y279="K5")),AA279,AND(AO279="K5-POLICY",AL279&lt;&gt;"นิติศาสตร์",OR(K279="M2",K279="K4"),U279&gt;=2),EDATE(R279,12*2),AND(AO279="K5-POLICY",AL279&lt;&gt;"นิติศาสตร์",K279="S1",U279&gt;=1),EDATE(R279,12),AND(AO279="K5-POLICY",AL279&lt;&gt;"นิติศาสตร์",OR(K279="S2",K279="K5")),R279,TRUE,"Check Data")</f>
        <v/>
      </c>
      <c r="AQ279" s="75" t="str">
        <f t="shared" si="138"/>
        <v>Check Data</v>
      </c>
      <c r="AR279" s="76" t="str">
        <f t="shared" si="139"/>
        <v>Check Data</v>
      </c>
      <c r="AS279" s="50" t="str">
        <f t="shared" si="140"/>
        <v>Check Data</v>
      </c>
      <c r="AT279" s="49" t="str">
        <f>IF(B279="","",IF(K279="S1","S1",INDEX(#REF!,#REF!)))</f>
        <v/>
      </c>
      <c r="AU279" s="49" t="str">
        <f t="shared" si="141"/>
        <v>M2</v>
      </c>
      <c r="AV279" s="50" t="b">
        <f t="shared" si="142"/>
        <v>0</v>
      </c>
      <c r="AW279" s="50"/>
    </row>
    <row r="280" spans="1:49" ht="21.75">
      <c r="A280" s="49">
        <v>278</v>
      </c>
      <c r="B280" s="50"/>
      <c r="C280" s="52"/>
      <c r="D280" s="50"/>
      <c r="E280" s="49"/>
      <c r="F280" s="49"/>
      <c r="G280" s="50">
        <f t="shared" si="127"/>
        <v>0</v>
      </c>
      <c r="H280" s="50">
        <f t="shared" si="128"/>
        <v>0</v>
      </c>
      <c r="I280" s="50">
        <f t="shared" si="129"/>
        <v>0</v>
      </c>
      <c r="J280" s="50"/>
      <c r="K280" s="49" t="s">
        <v>136</v>
      </c>
      <c r="L280" s="49" t="str">
        <f>IF(B280="","",IF(K280="S1",K280,INDEX(#REF!,#REF!)))</f>
        <v/>
      </c>
      <c r="M280" s="49" t="b">
        <f t="shared" si="130"/>
        <v>0</v>
      </c>
      <c r="N280" s="64"/>
      <c r="O280" s="49"/>
      <c r="P280" s="49"/>
      <c r="Q280" s="65" t="s">
        <v>442</v>
      </c>
      <c r="R280" s="49" t="str">
        <f t="shared" si="131"/>
        <v>26/11/2024</v>
      </c>
      <c r="S280" s="49" t="str">
        <f>IF(B280="","",IF(K280="S1",K280,INDEX(#REF!,#REF!)))</f>
        <v/>
      </c>
      <c r="T280" s="49" t="b">
        <f t="shared" si="132"/>
        <v>0</v>
      </c>
      <c r="U280" s="68">
        <f t="shared" si="133"/>
        <v>0</v>
      </c>
      <c r="V280" s="68">
        <f t="shared" si="134"/>
        <v>6</v>
      </c>
      <c r="W280" s="68">
        <f t="shared" si="135"/>
        <v>25</v>
      </c>
      <c r="X280" s="68"/>
      <c r="Y280" s="65"/>
      <c r="Z280" s="65"/>
      <c r="AA280" s="49"/>
      <c r="AB280" s="68"/>
      <c r="AC280" s="68"/>
      <c r="AD280" s="68"/>
      <c r="AE280" s="49"/>
      <c r="AF280" s="65"/>
      <c r="AG280" s="50"/>
      <c r="AH280" s="68"/>
      <c r="AI280" s="68"/>
      <c r="AJ280" s="68"/>
      <c r="AK280" s="50"/>
      <c r="AL280" s="50"/>
      <c r="AM280" s="50" t="str">
        <f>IF(B280="","",IF(K280="S1",K280,INDEX(#REF!,#REF!)))</f>
        <v/>
      </c>
      <c r="AN280" s="50" t="b">
        <f t="shared" si="136"/>
        <v>1</v>
      </c>
      <c r="AO280" s="49" t="str">
        <f t="shared" si="137"/>
        <v>K5-POLICY</v>
      </c>
      <c r="AP280" s="72" t="str">
        <f>_xlfn.IFS(B280="","",AND(AO280="K5-LAW",AL280="นิติศาสตร์",K280="S2",Y280="",AE280=""),R280,AND(AO280="K5-LAW",AL280="นิติศาสตร์",K280="S1",Y280="",AE280=""),EDATE(R280,12),AND(AO280="K5-LAW",AL280="นิติศาสตร์",OR(K280="M2",K280="K4"),Y280="",AE280=""),EDATE(R280,12*2),AND(AO280="K5-LAW",AL280="นิติศาสตร์",OR(AE280="M2",AE280="K4"),AH280&gt;=2,OR(AG280&lt;AA280,AG280&lt;R280)),EDATE(AG280,12*2),AND(AO280="K5-LAW",AL280="นิติศาสตร์",AE280="S1",AH280&gt;=1,OR(AG280&lt;AA280,AG280&lt;R280)),EDATE(AG280,12),AND(AO280="K5-LAW",AL280="นิติศาสตร์",OR(Y280="M2",Y280="K4"),AB280&gt;=2,AA280&lt;R280),EDATE(AA280,12*2),AND(AO280="K5-LAW",AL280="นิติศาสตร์",Y280="S1",AB280&gt;=1,AA280&lt;R280),EDATE(AA280,12),AND(AO280="K5-LAW",AL280="นิติศาสตร์",OR(Y280="S2",Y280="K5")),AA280,AND(AO280="K5-LAW",AL280="นิติศาสตร์",OR(K280="M2",K280="K4"),U280&gt;=2),EDATE(R280,12*2),AND(AO280="K5-LAW",AL280="นิติศาสตร์",K280="S1",U280&gt;=1),EDATE(R280,12),AND(AO280="K5-LAW",AL280="นิติศาสตร์",OR(K280="S2",K280="K5")),R280,AND(AO280="K5-POLICY",AL280&lt;&gt;"นิติศาสตร์",K280="S2",Y280="",AE280=""),R280,AND(AO280="K5-POLICY",AL280&lt;&gt;"นิติศาสตร์",K280="S1",Y280="",AE280=""),EDATE(R280,12),AND(AO280="K5-POLICY",AL280&lt;&gt;"นิติศาสตร์",OR(K280="M2",K280="K4"),Y280="",AE280=""),EDATE(R280,12*2),AND(AO280="K5-POLICY",AL280&lt;&gt;"นิติศาสตร์",OR(AE280="M2",AE280="K4"),AH280&gt;=2,OR(AG280&lt;AA280,AG280&lt;R280)),EDATE(AG280,12*2),AND(AO280="K5-POLICY",AL280&lt;&gt;"นิติศาสตร์",AE280="S1",AH280&gt;=1,OR(AG280&lt;AA280,AG280&lt;R280)),EDATE(AG280,12),AND(AO280="K5-POLICY",AL280&lt;&gt;"นิติศาสตร์",OR(Y280="M2",Y280="K4"),AB280&gt;=2,AA280&lt;R280),EDATE(AA280,12*2),AND(AO280="K5-POLICY",AL280&lt;&gt;"นิติศาสตร์",Y280="S1",AB280&gt;=1,AA280&lt;R280),EDATE(AA280,12),AND(AO280="K5-POLICY",AL280&lt;&gt;"นิติศาสตร์",OR(Y280="S2",Y280="K5")),AA280,AND(AO280="K5-POLICY",AL280&lt;&gt;"นิติศาสตร์",OR(K280="M2",K280="K4"),U280&gt;=2),EDATE(R280,12*2),AND(AO280="K5-POLICY",AL280&lt;&gt;"นิติศาสตร์",K280="S1",U280&gt;=1),EDATE(R280,12),AND(AO280="K5-POLICY",AL280&lt;&gt;"นิติศาสตร์",OR(K280="S2",K280="K5")),R280,TRUE,"Check Data")</f>
        <v/>
      </c>
      <c r="AQ280" s="75" t="str">
        <f t="shared" si="138"/>
        <v>Check Data</v>
      </c>
      <c r="AR280" s="76" t="str">
        <f t="shared" si="139"/>
        <v>Check Data</v>
      </c>
      <c r="AS280" s="50" t="str">
        <f t="shared" si="140"/>
        <v>Check Data</v>
      </c>
      <c r="AT280" s="49" t="str">
        <f>IF(B280="","",IF(K280="S1","S1",INDEX(#REF!,#REF!)))</f>
        <v/>
      </c>
      <c r="AU280" s="49" t="str">
        <f t="shared" si="141"/>
        <v>M2</v>
      </c>
      <c r="AV280" s="50" t="b">
        <f t="shared" si="142"/>
        <v>0</v>
      </c>
      <c r="AW280" s="50"/>
    </row>
    <row r="281" spans="1:49" ht="21.75">
      <c r="A281" s="49">
        <v>279</v>
      </c>
      <c r="B281" s="50"/>
      <c r="C281" s="52"/>
      <c r="D281" s="50"/>
      <c r="E281" s="49"/>
      <c r="F281" s="49"/>
      <c r="G281" s="50">
        <f t="shared" si="127"/>
        <v>0</v>
      </c>
      <c r="H281" s="50">
        <f t="shared" si="128"/>
        <v>0</v>
      </c>
      <c r="I281" s="50">
        <f t="shared" si="129"/>
        <v>0</v>
      </c>
      <c r="J281" s="50"/>
      <c r="K281" s="49" t="s">
        <v>136</v>
      </c>
      <c r="L281" s="49" t="str">
        <f>IF(B281="","",IF(K281="S1",K281,INDEX(#REF!,#REF!)))</f>
        <v/>
      </c>
      <c r="M281" s="49" t="b">
        <f t="shared" si="130"/>
        <v>0</v>
      </c>
      <c r="N281" s="64"/>
      <c r="O281" s="49"/>
      <c r="P281" s="49"/>
      <c r="Q281" s="65" t="s">
        <v>442</v>
      </c>
      <c r="R281" s="49" t="str">
        <f t="shared" si="131"/>
        <v>26/11/2024</v>
      </c>
      <c r="S281" s="49" t="str">
        <f>IF(B281="","",IF(K281="S1",K281,INDEX(#REF!,#REF!)))</f>
        <v/>
      </c>
      <c r="T281" s="49" t="b">
        <f t="shared" si="132"/>
        <v>0</v>
      </c>
      <c r="U281" s="68">
        <f t="shared" si="133"/>
        <v>0</v>
      </c>
      <c r="V281" s="68">
        <f t="shared" si="134"/>
        <v>6</v>
      </c>
      <c r="W281" s="68">
        <f t="shared" si="135"/>
        <v>25</v>
      </c>
      <c r="X281" s="68"/>
      <c r="Y281" s="65"/>
      <c r="Z281" s="65"/>
      <c r="AA281" s="49"/>
      <c r="AB281" s="68"/>
      <c r="AC281" s="68"/>
      <c r="AD281" s="68"/>
      <c r="AE281" s="49"/>
      <c r="AF281" s="65"/>
      <c r="AG281" s="50"/>
      <c r="AH281" s="68"/>
      <c r="AI281" s="68"/>
      <c r="AJ281" s="68"/>
      <c r="AK281" s="50"/>
      <c r="AL281" s="50"/>
      <c r="AM281" s="50" t="str">
        <f>IF(B281="","",IF(K281="S1",K281,INDEX(#REF!,#REF!)))</f>
        <v/>
      </c>
      <c r="AN281" s="50" t="b">
        <f t="shared" si="136"/>
        <v>1</v>
      </c>
      <c r="AO281" s="49" t="str">
        <f t="shared" si="137"/>
        <v>K5-POLICY</v>
      </c>
      <c r="AP281" s="72" t="str">
        <f>_xlfn.IFS(B281="","",AND(AO281="K5-LAW",AL281="นิติศาสตร์",K281="S2",Y281="",AE281=""),R281,AND(AO281="K5-LAW",AL281="นิติศาสตร์",K281="S1",Y281="",AE281=""),EDATE(R281,12),AND(AO281="K5-LAW",AL281="นิติศาสตร์",OR(K281="M2",K281="K4"),Y281="",AE281=""),EDATE(R281,12*2),AND(AO281="K5-LAW",AL281="นิติศาสตร์",OR(AE281="M2",AE281="K4"),AH281&gt;=2,OR(AG281&lt;AA281,AG281&lt;R281)),EDATE(AG281,12*2),AND(AO281="K5-LAW",AL281="นิติศาสตร์",AE281="S1",AH281&gt;=1,OR(AG281&lt;AA281,AG281&lt;R281)),EDATE(AG281,12),AND(AO281="K5-LAW",AL281="นิติศาสตร์",OR(Y281="M2",Y281="K4"),AB281&gt;=2,AA281&lt;R281),EDATE(AA281,12*2),AND(AO281="K5-LAW",AL281="นิติศาสตร์",Y281="S1",AB281&gt;=1,AA281&lt;R281),EDATE(AA281,12),AND(AO281="K5-LAW",AL281="นิติศาสตร์",OR(Y281="S2",Y281="K5")),AA281,AND(AO281="K5-LAW",AL281="นิติศาสตร์",OR(K281="M2",K281="K4"),U281&gt;=2),EDATE(R281,12*2),AND(AO281="K5-LAW",AL281="นิติศาสตร์",K281="S1",U281&gt;=1),EDATE(R281,12),AND(AO281="K5-LAW",AL281="นิติศาสตร์",OR(K281="S2",K281="K5")),R281,AND(AO281="K5-POLICY",AL281&lt;&gt;"นิติศาสตร์",K281="S2",Y281="",AE281=""),R281,AND(AO281="K5-POLICY",AL281&lt;&gt;"นิติศาสตร์",K281="S1",Y281="",AE281=""),EDATE(R281,12),AND(AO281="K5-POLICY",AL281&lt;&gt;"นิติศาสตร์",OR(K281="M2",K281="K4"),Y281="",AE281=""),EDATE(R281,12*2),AND(AO281="K5-POLICY",AL281&lt;&gt;"นิติศาสตร์",OR(AE281="M2",AE281="K4"),AH281&gt;=2,OR(AG281&lt;AA281,AG281&lt;R281)),EDATE(AG281,12*2),AND(AO281="K5-POLICY",AL281&lt;&gt;"นิติศาสตร์",AE281="S1",AH281&gt;=1,OR(AG281&lt;AA281,AG281&lt;R281)),EDATE(AG281,12),AND(AO281="K5-POLICY",AL281&lt;&gt;"นิติศาสตร์",OR(Y281="M2",Y281="K4"),AB281&gt;=2,AA281&lt;R281),EDATE(AA281,12*2),AND(AO281="K5-POLICY",AL281&lt;&gt;"นิติศาสตร์",Y281="S1",AB281&gt;=1,AA281&lt;R281),EDATE(AA281,12),AND(AO281="K5-POLICY",AL281&lt;&gt;"นิติศาสตร์",OR(Y281="S2",Y281="K5")),AA281,AND(AO281="K5-POLICY",AL281&lt;&gt;"นิติศาสตร์",OR(K281="M2",K281="K4"),U281&gt;=2),EDATE(R281,12*2),AND(AO281="K5-POLICY",AL281&lt;&gt;"นิติศาสตร์",K281="S1",U281&gt;=1),EDATE(R281,12),AND(AO281="K5-POLICY",AL281&lt;&gt;"นิติศาสตร์",OR(K281="S2",K281="K5")),R281,TRUE,"Check Data")</f>
        <v/>
      </c>
      <c r="AQ281" s="75" t="str">
        <f t="shared" si="138"/>
        <v>Check Data</v>
      </c>
      <c r="AR281" s="76" t="str">
        <f t="shared" si="139"/>
        <v>Check Data</v>
      </c>
      <c r="AS281" s="50" t="str">
        <f t="shared" si="140"/>
        <v>Check Data</v>
      </c>
      <c r="AT281" s="49" t="str">
        <f>IF(B281="","",IF(K281="S1","S1",INDEX(#REF!,#REF!)))</f>
        <v/>
      </c>
      <c r="AU281" s="49" t="str">
        <f t="shared" si="141"/>
        <v>M2</v>
      </c>
      <c r="AV281" s="50" t="b">
        <f t="shared" si="142"/>
        <v>0</v>
      </c>
      <c r="AW281" s="50"/>
    </row>
    <row r="282" spans="1:49" ht="21.75">
      <c r="A282" s="49">
        <v>280</v>
      </c>
      <c r="B282" s="50"/>
      <c r="C282" s="52"/>
      <c r="D282" s="50"/>
      <c r="E282" s="49"/>
      <c r="F282" s="49"/>
      <c r="G282" s="50">
        <f t="shared" si="127"/>
        <v>0</v>
      </c>
      <c r="H282" s="50">
        <f t="shared" si="128"/>
        <v>0</v>
      </c>
      <c r="I282" s="50">
        <f t="shared" si="129"/>
        <v>0</v>
      </c>
      <c r="J282" s="50"/>
      <c r="K282" s="49" t="s">
        <v>136</v>
      </c>
      <c r="L282" s="49" t="str">
        <f>IF(B282="","",IF(K282="S1",K282,INDEX(#REF!,#REF!)))</f>
        <v/>
      </c>
      <c r="M282" s="49" t="b">
        <f t="shared" si="130"/>
        <v>0</v>
      </c>
      <c r="N282" s="64"/>
      <c r="O282" s="49"/>
      <c r="P282" s="49"/>
      <c r="Q282" s="65" t="s">
        <v>442</v>
      </c>
      <c r="R282" s="49" t="str">
        <f t="shared" si="131"/>
        <v>26/11/2024</v>
      </c>
      <c r="S282" s="49" t="str">
        <f>IF(B282="","",IF(K282="S1",K282,INDEX(#REF!,#REF!)))</f>
        <v/>
      </c>
      <c r="T282" s="49" t="b">
        <f t="shared" si="132"/>
        <v>0</v>
      </c>
      <c r="U282" s="68">
        <f t="shared" si="133"/>
        <v>0</v>
      </c>
      <c r="V282" s="68">
        <f t="shared" si="134"/>
        <v>6</v>
      </c>
      <c r="W282" s="68">
        <f t="shared" si="135"/>
        <v>25</v>
      </c>
      <c r="X282" s="68"/>
      <c r="Y282" s="65"/>
      <c r="Z282" s="65"/>
      <c r="AA282" s="49"/>
      <c r="AB282" s="68"/>
      <c r="AC282" s="68"/>
      <c r="AD282" s="68"/>
      <c r="AE282" s="49"/>
      <c r="AF282" s="65"/>
      <c r="AG282" s="50"/>
      <c r="AH282" s="68"/>
      <c r="AI282" s="68"/>
      <c r="AJ282" s="68"/>
      <c r="AK282" s="50"/>
      <c r="AL282" s="50"/>
      <c r="AM282" s="50" t="str">
        <f>IF(B282="","",IF(K282="S1",K282,INDEX(#REF!,#REF!)))</f>
        <v/>
      </c>
      <c r="AN282" s="50" t="b">
        <f t="shared" si="136"/>
        <v>1</v>
      </c>
      <c r="AO282" s="49" t="str">
        <f t="shared" si="137"/>
        <v>K5-POLICY</v>
      </c>
      <c r="AP282" s="72" t="str">
        <f>_xlfn.IFS(B282="","",AND(AO282="K5-LAW",AL282="นิติศาสตร์",K282="S2",Y282="",AE282=""),R282,AND(AO282="K5-LAW",AL282="นิติศาสตร์",K282="S1",Y282="",AE282=""),EDATE(R282,12),AND(AO282="K5-LAW",AL282="นิติศาสตร์",OR(K282="M2",K282="K4"),Y282="",AE282=""),EDATE(R282,12*2),AND(AO282="K5-LAW",AL282="นิติศาสตร์",OR(AE282="M2",AE282="K4"),AH282&gt;=2,OR(AG282&lt;AA282,AG282&lt;R282)),EDATE(AG282,12*2),AND(AO282="K5-LAW",AL282="นิติศาสตร์",AE282="S1",AH282&gt;=1,OR(AG282&lt;AA282,AG282&lt;R282)),EDATE(AG282,12),AND(AO282="K5-LAW",AL282="นิติศาสตร์",OR(Y282="M2",Y282="K4"),AB282&gt;=2,AA282&lt;R282),EDATE(AA282,12*2),AND(AO282="K5-LAW",AL282="นิติศาสตร์",Y282="S1",AB282&gt;=1,AA282&lt;R282),EDATE(AA282,12),AND(AO282="K5-LAW",AL282="นิติศาสตร์",OR(Y282="S2",Y282="K5")),AA282,AND(AO282="K5-LAW",AL282="นิติศาสตร์",OR(K282="M2",K282="K4"),U282&gt;=2),EDATE(R282,12*2),AND(AO282="K5-LAW",AL282="นิติศาสตร์",K282="S1",U282&gt;=1),EDATE(R282,12),AND(AO282="K5-LAW",AL282="นิติศาสตร์",OR(K282="S2",K282="K5")),R282,AND(AO282="K5-POLICY",AL282&lt;&gt;"นิติศาสตร์",K282="S2",Y282="",AE282=""),R282,AND(AO282="K5-POLICY",AL282&lt;&gt;"นิติศาสตร์",K282="S1",Y282="",AE282=""),EDATE(R282,12),AND(AO282="K5-POLICY",AL282&lt;&gt;"นิติศาสตร์",OR(K282="M2",K282="K4"),Y282="",AE282=""),EDATE(R282,12*2),AND(AO282="K5-POLICY",AL282&lt;&gt;"นิติศาสตร์",OR(AE282="M2",AE282="K4"),AH282&gt;=2,OR(AG282&lt;AA282,AG282&lt;R282)),EDATE(AG282,12*2),AND(AO282="K5-POLICY",AL282&lt;&gt;"นิติศาสตร์",AE282="S1",AH282&gt;=1,OR(AG282&lt;AA282,AG282&lt;R282)),EDATE(AG282,12),AND(AO282="K5-POLICY",AL282&lt;&gt;"นิติศาสตร์",OR(Y282="M2",Y282="K4"),AB282&gt;=2,AA282&lt;R282),EDATE(AA282,12*2),AND(AO282="K5-POLICY",AL282&lt;&gt;"นิติศาสตร์",Y282="S1",AB282&gt;=1,AA282&lt;R282),EDATE(AA282,12),AND(AO282="K5-POLICY",AL282&lt;&gt;"นิติศาสตร์",OR(Y282="S2",Y282="K5")),AA282,AND(AO282="K5-POLICY",AL282&lt;&gt;"นิติศาสตร์",OR(K282="M2",K282="K4"),U282&gt;=2),EDATE(R282,12*2),AND(AO282="K5-POLICY",AL282&lt;&gt;"นิติศาสตร์",K282="S1",U282&gt;=1),EDATE(R282,12),AND(AO282="K5-POLICY",AL282&lt;&gt;"นิติศาสตร์",OR(K282="S2",K282="K5")),R282,TRUE,"Check Data")</f>
        <v/>
      </c>
      <c r="AQ282" s="75" t="str">
        <f t="shared" si="138"/>
        <v>Check Data</v>
      </c>
      <c r="AR282" s="76" t="str">
        <f t="shared" si="139"/>
        <v>Check Data</v>
      </c>
      <c r="AS282" s="50" t="str">
        <f t="shared" si="140"/>
        <v>Check Data</v>
      </c>
      <c r="AT282" s="49" t="str">
        <f>IF(B282="","",IF(K282="S1","S1",INDEX(#REF!,#REF!)))</f>
        <v/>
      </c>
      <c r="AU282" s="49" t="str">
        <f t="shared" si="141"/>
        <v>M2</v>
      </c>
      <c r="AV282" s="50" t="b">
        <f t="shared" si="142"/>
        <v>0</v>
      </c>
      <c r="AW282" s="50"/>
    </row>
    <row r="283" spans="1:49" ht="21.75">
      <c r="A283" s="49">
        <v>281</v>
      </c>
      <c r="B283" s="50"/>
      <c r="C283" s="52"/>
      <c r="D283" s="50"/>
      <c r="E283" s="49"/>
      <c r="F283" s="49"/>
      <c r="G283" s="50">
        <f t="shared" si="127"/>
        <v>0</v>
      </c>
      <c r="H283" s="50">
        <f t="shared" si="128"/>
        <v>0</v>
      </c>
      <c r="I283" s="50">
        <f t="shared" si="129"/>
        <v>0</v>
      </c>
      <c r="J283" s="50"/>
      <c r="K283" s="49" t="s">
        <v>136</v>
      </c>
      <c r="L283" s="49" t="str">
        <f>IF(B283="","",IF(K283="S1",K283,INDEX(#REF!,#REF!)))</f>
        <v/>
      </c>
      <c r="M283" s="49" t="b">
        <f t="shared" si="130"/>
        <v>0</v>
      </c>
      <c r="N283" s="64"/>
      <c r="O283" s="49"/>
      <c r="P283" s="49"/>
      <c r="Q283" s="65" t="s">
        <v>442</v>
      </c>
      <c r="R283" s="49" t="str">
        <f t="shared" si="131"/>
        <v>26/11/2024</v>
      </c>
      <c r="S283" s="49" t="str">
        <f>IF(B283="","",IF(K283="S1",K283,INDEX(#REF!,#REF!)))</f>
        <v/>
      </c>
      <c r="T283" s="49" t="b">
        <f t="shared" si="132"/>
        <v>0</v>
      </c>
      <c r="U283" s="68">
        <f t="shared" si="133"/>
        <v>0</v>
      </c>
      <c r="V283" s="68">
        <f t="shared" si="134"/>
        <v>6</v>
      </c>
      <c r="W283" s="68">
        <f t="shared" si="135"/>
        <v>25</v>
      </c>
      <c r="X283" s="68"/>
      <c r="Y283" s="65"/>
      <c r="Z283" s="65"/>
      <c r="AA283" s="49"/>
      <c r="AB283" s="68"/>
      <c r="AC283" s="68"/>
      <c r="AD283" s="68"/>
      <c r="AE283" s="49"/>
      <c r="AF283" s="65"/>
      <c r="AG283" s="50"/>
      <c r="AH283" s="68"/>
      <c r="AI283" s="68"/>
      <c r="AJ283" s="68"/>
      <c r="AK283" s="50"/>
      <c r="AL283" s="50"/>
      <c r="AM283" s="50" t="str">
        <f>IF(B283="","",IF(K283="S1",K283,INDEX(#REF!,#REF!)))</f>
        <v/>
      </c>
      <c r="AN283" s="50" t="b">
        <f t="shared" si="136"/>
        <v>1</v>
      </c>
      <c r="AO283" s="49" t="str">
        <f t="shared" si="137"/>
        <v>K5-POLICY</v>
      </c>
      <c r="AP283" s="72" t="str">
        <f>_xlfn.IFS(B283="","",AND(AO283="K5-LAW",AL283="นิติศาสตร์",K283="S2",Y283="",AE283=""),R283,AND(AO283="K5-LAW",AL283="นิติศาสตร์",K283="S1",Y283="",AE283=""),EDATE(R283,12),AND(AO283="K5-LAW",AL283="นิติศาสตร์",OR(K283="M2",K283="K4"),Y283="",AE283=""),EDATE(R283,12*2),AND(AO283="K5-LAW",AL283="นิติศาสตร์",OR(AE283="M2",AE283="K4"),AH283&gt;=2,OR(AG283&lt;AA283,AG283&lt;R283)),EDATE(AG283,12*2),AND(AO283="K5-LAW",AL283="นิติศาสตร์",AE283="S1",AH283&gt;=1,OR(AG283&lt;AA283,AG283&lt;R283)),EDATE(AG283,12),AND(AO283="K5-LAW",AL283="นิติศาสตร์",OR(Y283="M2",Y283="K4"),AB283&gt;=2,AA283&lt;R283),EDATE(AA283,12*2),AND(AO283="K5-LAW",AL283="นิติศาสตร์",Y283="S1",AB283&gt;=1,AA283&lt;R283),EDATE(AA283,12),AND(AO283="K5-LAW",AL283="นิติศาสตร์",OR(Y283="S2",Y283="K5")),AA283,AND(AO283="K5-LAW",AL283="นิติศาสตร์",OR(K283="M2",K283="K4"),U283&gt;=2),EDATE(R283,12*2),AND(AO283="K5-LAW",AL283="นิติศาสตร์",K283="S1",U283&gt;=1),EDATE(R283,12),AND(AO283="K5-LAW",AL283="นิติศาสตร์",OR(K283="S2",K283="K5")),R283,AND(AO283="K5-POLICY",AL283&lt;&gt;"นิติศาสตร์",K283="S2",Y283="",AE283=""),R283,AND(AO283="K5-POLICY",AL283&lt;&gt;"นิติศาสตร์",K283="S1",Y283="",AE283=""),EDATE(R283,12),AND(AO283="K5-POLICY",AL283&lt;&gt;"นิติศาสตร์",OR(K283="M2",K283="K4"),Y283="",AE283=""),EDATE(R283,12*2),AND(AO283="K5-POLICY",AL283&lt;&gt;"นิติศาสตร์",OR(AE283="M2",AE283="K4"),AH283&gt;=2,OR(AG283&lt;AA283,AG283&lt;R283)),EDATE(AG283,12*2),AND(AO283="K5-POLICY",AL283&lt;&gt;"นิติศาสตร์",AE283="S1",AH283&gt;=1,OR(AG283&lt;AA283,AG283&lt;R283)),EDATE(AG283,12),AND(AO283="K5-POLICY",AL283&lt;&gt;"นิติศาสตร์",OR(Y283="M2",Y283="K4"),AB283&gt;=2,AA283&lt;R283),EDATE(AA283,12*2),AND(AO283="K5-POLICY",AL283&lt;&gt;"นิติศาสตร์",Y283="S1",AB283&gt;=1,AA283&lt;R283),EDATE(AA283,12),AND(AO283="K5-POLICY",AL283&lt;&gt;"นิติศาสตร์",OR(Y283="S2",Y283="K5")),AA283,AND(AO283="K5-POLICY",AL283&lt;&gt;"นิติศาสตร์",OR(K283="M2",K283="K4"),U283&gt;=2),EDATE(R283,12*2),AND(AO283="K5-POLICY",AL283&lt;&gt;"นิติศาสตร์",K283="S1",U283&gt;=1),EDATE(R283,12),AND(AO283="K5-POLICY",AL283&lt;&gt;"นิติศาสตร์",OR(K283="S2",K283="K5")),R283,TRUE,"Check Data")</f>
        <v/>
      </c>
      <c r="AQ283" s="75" t="str">
        <f t="shared" si="138"/>
        <v>Check Data</v>
      </c>
      <c r="AR283" s="76" t="str">
        <f t="shared" si="139"/>
        <v>Check Data</v>
      </c>
      <c r="AS283" s="50" t="str">
        <f t="shared" si="140"/>
        <v>Check Data</v>
      </c>
      <c r="AT283" s="49" t="str">
        <f>IF(B283="","",IF(K283="S1","S1",INDEX(#REF!,#REF!)))</f>
        <v/>
      </c>
      <c r="AU283" s="49" t="str">
        <f t="shared" si="141"/>
        <v>M2</v>
      </c>
      <c r="AV283" s="50" t="b">
        <f t="shared" si="142"/>
        <v>0</v>
      </c>
      <c r="AW283" s="50"/>
    </row>
    <row r="284" spans="1:49" ht="21.75">
      <c r="A284" s="49">
        <v>282</v>
      </c>
      <c r="B284" s="50"/>
      <c r="C284" s="52"/>
      <c r="D284" s="50"/>
      <c r="E284" s="49"/>
      <c r="F284" s="49"/>
      <c r="G284" s="50">
        <f t="shared" si="127"/>
        <v>0</v>
      </c>
      <c r="H284" s="50">
        <f t="shared" si="128"/>
        <v>0</v>
      </c>
      <c r="I284" s="50">
        <f t="shared" si="129"/>
        <v>0</v>
      </c>
      <c r="J284" s="50"/>
      <c r="K284" s="49" t="s">
        <v>136</v>
      </c>
      <c r="L284" s="49" t="str">
        <f>IF(B284="","",IF(K284="S1",K284,INDEX(#REF!,#REF!)))</f>
        <v/>
      </c>
      <c r="M284" s="49" t="b">
        <f t="shared" si="130"/>
        <v>0</v>
      </c>
      <c r="N284" s="64"/>
      <c r="O284" s="49"/>
      <c r="P284" s="49"/>
      <c r="Q284" s="65" t="s">
        <v>442</v>
      </c>
      <c r="R284" s="49" t="str">
        <f t="shared" si="131"/>
        <v>26/11/2024</v>
      </c>
      <c r="S284" s="49" t="str">
        <f>IF(B284="","",IF(K284="S1",K284,INDEX(#REF!,#REF!)))</f>
        <v/>
      </c>
      <c r="T284" s="49" t="b">
        <f t="shared" si="132"/>
        <v>0</v>
      </c>
      <c r="U284" s="68">
        <f t="shared" si="133"/>
        <v>0</v>
      </c>
      <c r="V284" s="68">
        <f t="shared" si="134"/>
        <v>6</v>
      </c>
      <c r="W284" s="68">
        <f t="shared" si="135"/>
        <v>25</v>
      </c>
      <c r="X284" s="68"/>
      <c r="Y284" s="65"/>
      <c r="Z284" s="65"/>
      <c r="AA284" s="49"/>
      <c r="AB284" s="68"/>
      <c r="AC284" s="68"/>
      <c r="AD284" s="68"/>
      <c r="AE284" s="49"/>
      <c r="AF284" s="65"/>
      <c r="AG284" s="50"/>
      <c r="AH284" s="68"/>
      <c r="AI284" s="68"/>
      <c r="AJ284" s="68"/>
      <c r="AK284" s="50"/>
      <c r="AL284" s="50"/>
      <c r="AM284" s="50" t="str">
        <f>IF(B284="","",IF(K284="S1",K284,INDEX(#REF!,#REF!)))</f>
        <v/>
      </c>
      <c r="AN284" s="50" t="b">
        <f t="shared" si="136"/>
        <v>1</v>
      </c>
      <c r="AO284" s="49" t="str">
        <f t="shared" si="137"/>
        <v>K5-POLICY</v>
      </c>
      <c r="AP284" s="72" t="str">
        <f>_xlfn.IFS(B284="","",AND(AO284="K5-LAW",AL284="นิติศาสตร์",K284="S2",Y284="",AE284=""),R284,AND(AO284="K5-LAW",AL284="นิติศาสตร์",K284="S1",Y284="",AE284=""),EDATE(R284,12),AND(AO284="K5-LAW",AL284="นิติศาสตร์",OR(K284="M2",K284="K4"),Y284="",AE284=""),EDATE(R284,12*2),AND(AO284="K5-LAW",AL284="นิติศาสตร์",OR(AE284="M2",AE284="K4"),AH284&gt;=2,OR(AG284&lt;AA284,AG284&lt;R284)),EDATE(AG284,12*2),AND(AO284="K5-LAW",AL284="นิติศาสตร์",AE284="S1",AH284&gt;=1,OR(AG284&lt;AA284,AG284&lt;R284)),EDATE(AG284,12),AND(AO284="K5-LAW",AL284="นิติศาสตร์",OR(Y284="M2",Y284="K4"),AB284&gt;=2,AA284&lt;R284),EDATE(AA284,12*2),AND(AO284="K5-LAW",AL284="นิติศาสตร์",Y284="S1",AB284&gt;=1,AA284&lt;R284),EDATE(AA284,12),AND(AO284="K5-LAW",AL284="นิติศาสตร์",OR(Y284="S2",Y284="K5")),AA284,AND(AO284="K5-LAW",AL284="นิติศาสตร์",OR(K284="M2",K284="K4"),U284&gt;=2),EDATE(R284,12*2),AND(AO284="K5-LAW",AL284="นิติศาสตร์",K284="S1",U284&gt;=1),EDATE(R284,12),AND(AO284="K5-LAW",AL284="นิติศาสตร์",OR(K284="S2",K284="K5")),R284,AND(AO284="K5-POLICY",AL284&lt;&gt;"นิติศาสตร์",K284="S2",Y284="",AE284=""),R284,AND(AO284="K5-POLICY",AL284&lt;&gt;"นิติศาสตร์",K284="S1",Y284="",AE284=""),EDATE(R284,12),AND(AO284="K5-POLICY",AL284&lt;&gt;"นิติศาสตร์",OR(K284="M2",K284="K4"),Y284="",AE284=""),EDATE(R284,12*2),AND(AO284="K5-POLICY",AL284&lt;&gt;"นิติศาสตร์",OR(AE284="M2",AE284="K4"),AH284&gt;=2,OR(AG284&lt;AA284,AG284&lt;R284)),EDATE(AG284,12*2),AND(AO284="K5-POLICY",AL284&lt;&gt;"นิติศาสตร์",AE284="S1",AH284&gt;=1,OR(AG284&lt;AA284,AG284&lt;R284)),EDATE(AG284,12),AND(AO284="K5-POLICY",AL284&lt;&gt;"นิติศาสตร์",OR(Y284="M2",Y284="K4"),AB284&gt;=2,AA284&lt;R284),EDATE(AA284,12*2),AND(AO284="K5-POLICY",AL284&lt;&gt;"นิติศาสตร์",Y284="S1",AB284&gt;=1,AA284&lt;R284),EDATE(AA284,12),AND(AO284="K5-POLICY",AL284&lt;&gt;"นิติศาสตร์",OR(Y284="S2",Y284="K5")),AA284,AND(AO284="K5-POLICY",AL284&lt;&gt;"นิติศาสตร์",OR(K284="M2",K284="K4"),U284&gt;=2),EDATE(R284,12*2),AND(AO284="K5-POLICY",AL284&lt;&gt;"นิติศาสตร์",K284="S1",U284&gt;=1),EDATE(R284,12),AND(AO284="K5-POLICY",AL284&lt;&gt;"นิติศาสตร์",OR(K284="S2",K284="K5")),R284,TRUE,"Check Data")</f>
        <v/>
      </c>
      <c r="AQ284" s="75" t="str">
        <f t="shared" si="138"/>
        <v>Check Data</v>
      </c>
      <c r="AR284" s="76" t="str">
        <f t="shared" si="139"/>
        <v>Check Data</v>
      </c>
      <c r="AS284" s="50" t="str">
        <f t="shared" si="140"/>
        <v>Check Data</v>
      </c>
      <c r="AT284" s="49" t="str">
        <f>IF(B284="","",IF(K284="S1","S1",INDEX(#REF!,#REF!)))</f>
        <v/>
      </c>
      <c r="AU284" s="49" t="str">
        <f t="shared" si="141"/>
        <v>M2</v>
      </c>
      <c r="AV284" s="50" t="b">
        <f t="shared" si="142"/>
        <v>0</v>
      </c>
      <c r="AW284" s="50"/>
    </row>
    <row r="285" spans="1:49" ht="21.75">
      <c r="A285" s="49">
        <v>283</v>
      </c>
      <c r="B285" s="50"/>
      <c r="C285" s="52"/>
      <c r="D285" s="50"/>
      <c r="E285" s="49"/>
      <c r="F285" s="49"/>
      <c r="G285" s="50">
        <f t="shared" si="127"/>
        <v>0</v>
      </c>
      <c r="H285" s="50">
        <f t="shared" si="128"/>
        <v>0</v>
      </c>
      <c r="I285" s="50">
        <f t="shared" si="129"/>
        <v>0</v>
      </c>
      <c r="J285" s="50"/>
      <c r="K285" s="49" t="s">
        <v>136</v>
      </c>
      <c r="L285" s="49" t="str">
        <f>IF(B285="","",IF(K285="S1",K285,INDEX(#REF!,#REF!)))</f>
        <v/>
      </c>
      <c r="M285" s="49" t="b">
        <f t="shared" si="130"/>
        <v>0</v>
      </c>
      <c r="N285" s="64"/>
      <c r="O285" s="49"/>
      <c r="P285" s="49"/>
      <c r="Q285" s="65" t="s">
        <v>442</v>
      </c>
      <c r="R285" s="49" t="str">
        <f t="shared" si="131"/>
        <v>26/11/2024</v>
      </c>
      <c r="S285" s="49" t="str">
        <f>IF(B285="","",IF(K285="S1",K285,INDEX(#REF!,#REF!)))</f>
        <v/>
      </c>
      <c r="T285" s="49" t="b">
        <f t="shared" si="132"/>
        <v>0</v>
      </c>
      <c r="U285" s="68">
        <f t="shared" si="133"/>
        <v>0</v>
      </c>
      <c r="V285" s="68">
        <f t="shared" si="134"/>
        <v>6</v>
      </c>
      <c r="W285" s="68">
        <f t="shared" si="135"/>
        <v>25</v>
      </c>
      <c r="X285" s="68"/>
      <c r="Y285" s="65"/>
      <c r="Z285" s="65"/>
      <c r="AA285" s="49"/>
      <c r="AB285" s="68"/>
      <c r="AC285" s="68"/>
      <c r="AD285" s="68"/>
      <c r="AE285" s="49"/>
      <c r="AF285" s="65"/>
      <c r="AG285" s="50"/>
      <c r="AH285" s="68"/>
      <c r="AI285" s="68"/>
      <c r="AJ285" s="68"/>
      <c r="AK285" s="50"/>
      <c r="AL285" s="50"/>
      <c r="AM285" s="50" t="str">
        <f>IF(B285="","",IF(K285="S1",K285,INDEX(#REF!,#REF!)))</f>
        <v/>
      </c>
      <c r="AN285" s="50" t="b">
        <f t="shared" si="136"/>
        <v>1</v>
      </c>
      <c r="AO285" s="49" t="str">
        <f t="shared" si="137"/>
        <v>K5-POLICY</v>
      </c>
      <c r="AP285" s="72" t="str">
        <f>_xlfn.IFS(B285="","",AND(AO285="K5-LAW",AL285="นิติศาสตร์",K285="S2",Y285="",AE285=""),R285,AND(AO285="K5-LAW",AL285="นิติศาสตร์",K285="S1",Y285="",AE285=""),EDATE(R285,12),AND(AO285="K5-LAW",AL285="นิติศาสตร์",OR(K285="M2",K285="K4"),Y285="",AE285=""),EDATE(R285,12*2),AND(AO285="K5-LAW",AL285="นิติศาสตร์",OR(AE285="M2",AE285="K4"),AH285&gt;=2,OR(AG285&lt;AA285,AG285&lt;R285)),EDATE(AG285,12*2),AND(AO285="K5-LAW",AL285="นิติศาสตร์",AE285="S1",AH285&gt;=1,OR(AG285&lt;AA285,AG285&lt;R285)),EDATE(AG285,12),AND(AO285="K5-LAW",AL285="นิติศาสตร์",OR(Y285="M2",Y285="K4"),AB285&gt;=2,AA285&lt;R285),EDATE(AA285,12*2),AND(AO285="K5-LAW",AL285="นิติศาสตร์",Y285="S1",AB285&gt;=1,AA285&lt;R285),EDATE(AA285,12),AND(AO285="K5-LAW",AL285="นิติศาสตร์",OR(Y285="S2",Y285="K5")),AA285,AND(AO285="K5-LAW",AL285="นิติศาสตร์",OR(K285="M2",K285="K4"),U285&gt;=2),EDATE(R285,12*2),AND(AO285="K5-LAW",AL285="นิติศาสตร์",K285="S1",U285&gt;=1),EDATE(R285,12),AND(AO285="K5-LAW",AL285="นิติศาสตร์",OR(K285="S2",K285="K5")),R285,AND(AO285="K5-POLICY",AL285&lt;&gt;"นิติศาสตร์",K285="S2",Y285="",AE285=""),R285,AND(AO285="K5-POLICY",AL285&lt;&gt;"นิติศาสตร์",K285="S1",Y285="",AE285=""),EDATE(R285,12),AND(AO285="K5-POLICY",AL285&lt;&gt;"นิติศาสตร์",OR(K285="M2",K285="K4"),Y285="",AE285=""),EDATE(R285,12*2),AND(AO285="K5-POLICY",AL285&lt;&gt;"นิติศาสตร์",OR(AE285="M2",AE285="K4"),AH285&gt;=2,OR(AG285&lt;AA285,AG285&lt;R285)),EDATE(AG285,12*2),AND(AO285="K5-POLICY",AL285&lt;&gt;"นิติศาสตร์",AE285="S1",AH285&gt;=1,OR(AG285&lt;AA285,AG285&lt;R285)),EDATE(AG285,12),AND(AO285="K5-POLICY",AL285&lt;&gt;"นิติศาสตร์",OR(Y285="M2",Y285="K4"),AB285&gt;=2,AA285&lt;R285),EDATE(AA285,12*2),AND(AO285="K5-POLICY",AL285&lt;&gt;"นิติศาสตร์",Y285="S1",AB285&gt;=1,AA285&lt;R285),EDATE(AA285,12),AND(AO285="K5-POLICY",AL285&lt;&gt;"นิติศาสตร์",OR(Y285="S2",Y285="K5")),AA285,AND(AO285="K5-POLICY",AL285&lt;&gt;"นิติศาสตร์",OR(K285="M2",K285="K4"),U285&gt;=2),EDATE(R285,12*2),AND(AO285="K5-POLICY",AL285&lt;&gt;"นิติศาสตร์",K285="S1",U285&gt;=1),EDATE(R285,12),AND(AO285="K5-POLICY",AL285&lt;&gt;"นิติศาสตร์",OR(K285="S2",K285="K5")),R285,TRUE,"Check Data")</f>
        <v/>
      </c>
      <c r="AQ285" s="75" t="str">
        <f t="shared" si="138"/>
        <v>Check Data</v>
      </c>
      <c r="AR285" s="76" t="str">
        <f t="shared" si="139"/>
        <v>Check Data</v>
      </c>
      <c r="AS285" s="50" t="str">
        <f t="shared" si="140"/>
        <v>Check Data</v>
      </c>
      <c r="AT285" s="49" t="str">
        <f>IF(B285="","",IF(K285="S1","S1",INDEX(#REF!,#REF!)))</f>
        <v/>
      </c>
      <c r="AU285" s="49" t="str">
        <f t="shared" si="141"/>
        <v>M2</v>
      </c>
      <c r="AV285" s="50" t="b">
        <f t="shared" si="142"/>
        <v>0</v>
      </c>
      <c r="AW285" s="50"/>
    </row>
    <row r="286" spans="1:49" ht="21.75">
      <c r="A286" s="49">
        <v>284</v>
      </c>
      <c r="B286" s="50"/>
      <c r="C286" s="52"/>
      <c r="D286" s="50"/>
      <c r="E286" s="49"/>
      <c r="F286" s="49"/>
      <c r="G286" s="50">
        <f t="shared" si="127"/>
        <v>0</v>
      </c>
      <c r="H286" s="50">
        <f t="shared" si="128"/>
        <v>0</v>
      </c>
      <c r="I286" s="50">
        <f t="shared" si="129"/>
        <v>0</v>
      </c>
      <c r="J286" s="50"/>
      <c r="K286" s="49" t="s">
        <v>136</v>
      </c>
      <c r="L286" s="49" t="str">
        <f>IF(B286="","",IF(K286="S1",K286,INDEX(#REF!,#REF!)))</f>
        <v/>
      </c>
      <c r="M286" s="49" t="b">
        <f t="shared" si="130"/>
        <v>0</v>
      </c>
      <c r="N286" s="64"/>
      <c r="O286" s="49"/>
      <c r="P286" s="49"/>
      <c r="Q286" s="65" t="s">
        <v>442</v>
      </c>
      <c r="R286" s="49" t="str">
        <f t="shared" si="131"/>
        <v>26/11/2024</v>
      </c>
      <c r="S286" s="49" t="str">
        <f>IF(B286="","",IF(K286="S1",K286,INDEX(#REF!,#REF!)))</f>
        <v/>
      </c>
      <c r="T286" s="49" t="b">
        <f t="shared" si="132"/>
        <v>0</v>
      </c>
      <c r="U286" s="68">
        <f t="shared" si="133"/>
        <v>0</v>
      </c>
      <c r="V286" s="68">
        <f t="shared" si="134"/>
        <v>6</v>
      </c>
      <c r="W286" s="68">
        <f t="shared" si="135"/>
        <v>25</v>
      </c>
      <c r="X286" s="68"/>
      <c r="Y286" s="65"/>
      <c r="Z286" s="65"/>
      <c r="AA286" s="49"/>
      <c r="AB286" s="68"/>
      <c r="AC286" s="68"/>
      <c r="AD286" s="68"/>
      <c r="AE286" s="49"/>
      <c r="AF286" s="65"/>
      <c r="AG286" s="50"/>
      <c r="AH286" s="68"/>
      <c r="AI286" s="68"/>
      <c r="AJ286" s="68"/>
      <c r="AK286" s="50"/>
      <c r="AL286" s="50"/>
      <c r="AM286" s="50" t="str">
        <f>IF(B286="","",IF(K286="S1",K286,INDEX(#REF!,#REF!)))</f>
        <v/>
      </c>
      <c r="AN286" s="50" t="b">
        <f t="shared" si="136"/>
        <v>1</v>
      </c>
      <c r="AO286" s="49" t="str">
        <f t="shared" si="137"/>
        <v>K5-POLICY</v>
      </c>
      <c r="AP286" s="72" t="str">
        <f>_xlfn.IFS(B286="","",AND(AO286="K5-LAW",AL286="นิติศาสตร์",K286="S2",Y286="",AE286=""),R286,AND(AO286="K5-LAW",AL286="นิติศาสตร์",K286="S1",Y286="",AE286=""),EDATE(R286,12),AND(AO286="K5-LAW",AL286="นิติศาสตร์",OR(K286="M2",K286="K4"),Y286="",AE286=""),EDATE(R286,12*2),AND(AO286="K5-LAW",AL286="นิติศาสตร์",OR(AE286="M2",AE286="K4"),AH286&gt;=2,OR(AG286&lt;AA286,AG286&lt;R286)),EDATE(AG286,12*2),AND(AO286="K5-LAW",AL286="นิติศาสตร์",AE286="S1",AH286&gt;=1,OR(AG286&lt;AA286,AG286&lt;R286)),EDATE(AG286,12),AND(AO286="K5-LAW",AL286="นิติศาสตร์",OR(Y286="M2",Y286="K4"),AB286&gt;=2,AA286&lt;R286),EDATE(AA286,12*2),AND(AO286="K5-LAW",AL286="นิติศาสตร์",Y286="S1",AB286&gt;=1,AA286&lt;R286),EDATE(AA286,12),AND(AO286="K5-LAW",AL286="นิติศาสตร์",OR(Y286="S2",Y286="K5")),AA286,AND(AO286="K5-LAW",AL286="นิติศาสตร์",OR(K286="M2",K286="K4"),U286&gt;=2),EDATE(R286,12*2),AND(AO286="K5-LAW",AL286="นิติศาสตร์",K286="S1",U286&gt;=1),EDATE(R286,12),AND(AO286="K5-LAW",AL286="นิติศาสตร์",OR(K286="S2",K286="K5")),R286,AND(AO286="K5-POLICY",AL286&lt;&gt;"นิติศาสตร์",K286="S2",Y286="",AE286=""),R286,AND(AO286="K5-POLICY",AL286&lt;&gt;"นิติศาสตร์",K286="S1",Y286="",AE286=""),EDATE(R286,12),AND(AO286="K5-POLICY",AL286&lt;&gt;"นิติศาสตร์",OR(K286="M2",K286="K4"),Y286="",AE286=""),EDATE(R286,12*2),AND(AO286="K5-POLICY",AL286&lt;&gt;"นิติศาสตร์",OR(AE286="M2",AE286="K4"),AH286&gt;=2,OR(AG286&lt;AA286,AG286&lt;R286)),EDATE(AG286,12*2),AND(AO286="K5-POLICY",AL286&lt;&gt;"นิติศาสตร์",AE286="S1",AH286&gt;=1,OR(AG286&lt;AA286,AG286&lt;R286)),EDATE(AG286,12),AND(AO286="K5-POLICY",AL286&lt;&gt;"นิติศาสตร์",OR(Y286="M2",Y286="K4"),AB286&gt;=2,AA286&lt;R286),EDATE(AA286,12*2),AND(AO286="K5-POLICY",AL286&lt;&gt;"นิติศาสตร์",Y286="S1",AB286&gt;=1,AA286&lt;R286),EDATE(AA286,12),AND(AO286="K5-POLICY",AL286&lt;&gt;"นิติศาสตร์",OR(Y286="S2",Y286="K5")),AA286,AND(AO286="K5-POLICY",AL286&lt;&gt;"นิติศาสตร์",OR(K286="M2",K286="K4"),U286&gt;=2),EDATE(R286,12*2),AND(AO286="K5-POLICY",AL286&lt;&gt;"นิติศาสตร์",K286="S1",U286&gt;=1),EDATE(R286,12),AND(AO286="K5-POLICY",AL286&lt;&gt;"นิติศาสตร์",OR(K286="S2",K286="K5")),R286,TRUE,"Check Data")</f>
        <v/>
      </c>
      <c r="AQ286" s="75" t="str">
        <f t="shared" si="138"/>
        <v>Check Data</v>
      </c>
      <c r="AR286" s="76" t="str">
        <f t="shared" si="139"/>
        <v>Check Data</v>
      </c>
      <c r="AS286" s="50" t="str">
        <f t="shared" si="140"/>
        <v>Check Data</v>
      </c>
      <c r="AT286" s="49" t="str">
        <f>IF(B286="","",IF(K286="S1","S1",INDEX(#REF!,#REF!)))</f>
        <v/>
      </c>
      <c r="AU286" s="49" t="str">
        <f t="shared" si="141"/>
        <v>M2</v>
      </c>
      <c r="AV286" s="50" t="b">
        <f t="shared" si="142"/>
        <v>0</v>
      </c>
      <c r="AW286" s="50"/>
    </row>
    <row r="287" spans="1:49" ht="21.75">
      <c r="A287" s="49">
        <v>285</v>
      </c>
      <c r="B287" s="50"/>
      <c r="C287" s="52"/>
      <c r="D287" s="50"/>
      <c r="E287" s="49"/>
      <c r="F287" s="49"/>
      <c r="G287" s="50">
        <f t="shared" si="127"/>
        <v>0</v>
      </c>
      <c r="H287" s="50">
        <f t="shared" si="128"/>
        <v>0</v>
      </c>
      <c r="I287" s="50">
        <f t="shared" si="129"/>
        <v>0</v>
      </c>
      <c r="J287" s="50"/>
      <c r="K287" s="49" t="s">
        <v>136</v>
      </c>
      <c r="L287" s="49" t="str">
        <f>IF(B287="","",IF(K287="S1",K287,INDEX(#REF!,#REF!)))</f>
        <v/>
      </c>
      <c r="M287" s="49" t="b">
        <f t="shared" si="130"/>
        <v>0</v>
      </c>
      <c r="N287" s="64"/>
      <c r="O287" s="49"/>
      <c r="P287" s="49"/>
      <c r="Q287" s="65" t="s">
        <v>442</v>
      </c>
      <c r="R287" s="49" t="str">
        <f t="shared" si="131"/>
        <v>26/11/2024</v>
      </c>
      <c r="S287" s="49" t="str">
        <f>IF(B287="","",IF(K287="S1",K287,INDEX(#REF!,#REF!)))</f>
        <v/>
      </c>
      <c r="T287" s="49" t="b">
        <f t="shared" si="132"/>
        <v>0</v>
      </c>
      <c r="U287" s="68">
        <f t="shared" si="133"/>
        <v>0</v>
      </c>
      <c r="V287" s="68">
        <f t="shared" si="134"/>
        <v>6</v>
      </c>
      <c r="W287" s="68">
        <f t="shared" si="135"/>
        <v>25</v>
      </c>
      <c r="X287" s="68"/>
      <c r="Y287" s="65"/>
      <c r="Z287" s="65"/>
      <c r="AA287" s="49"/>
      <c r="AB287" s="68"/>
      <c r="AC287" s="68"/>
      <c r="AD287" s="68"/>
      <c r="AE287" s="49"/>
      <c r="AF287" s="65"/>
      <c r="AG287" s="50"/>
      <c r="AH287" s="68"/>
      <c r="AI287" s="68"/>
      <c r="AJ287" s="68"/>
      <c r="AK287" s="50"/>
      <c r="AL287" s="50"/>
      <c r="AM287" s="50" t="str">
        <f>IF(B287="","",IF(K287="S1",K287,INDEX(#REF!,#REF!)))</f>
        <v/>
      </c>
      <c r="AN287" s="50" t="b">
        <f t="shared" si="136"/>
        <v>1</v>
      </c>
      <c r="AO287" s="49" t="str">
        <f t="shared" si="137"/>
        <v>K5-POLICY</v>
      </c>
      <c r="AP287" s="72" t="str">
        <f>_xlfn.IFS(B287="","",AND(AO287="K5-LAW",AL287="นิติศาสตร์",K287="S2",Y287="",AE287=""),R287,AND(AO287="K5-LAW",AL287="นิติศาสตร์",K287="S1",Y287="",AE287=""),EDATE(R287,12),AND(AO287="K5-LAW",AL287="นิติศาสตร์",OR(K287="M2",K287="K4"),Y287="",AE287=""),EDATE(R287,12*2),AND(AO287="K5-LAW",AL287="นิติศาสตร์",OR(AE287="M2",AE287="K4"),AH287&gt;=2,OR(AG287&lt;AA287,AG287&lt;R287)),EDATE(AG287,12*2),AND(AO287="K5-LAW",AL287="นิติศาสตร์",AE287="S1",AH287&gt;=1,OR(AG287&lt;AA287,AG287&lt;R287)),EDATE(AG287,12),AND(AO287="K5-LAW",AL287="นิติศาสตร์",OR(Y287="M2",Y287="K4"),AB287&gt;=2,AA287&lt;R287),EDATE(AA287,12*2),AND(AO287="K5-LAW",AL287="นิติศาสตร์",Y287="S1",AB287&gt;=1,AA287&lt;R287),EDATE(AA287,12),AND(AO287="K5-LAW",AL287="นิติศาสตร์",OR(Y287="S2",Y287="K5")),AA287,AND(AO287="K5-LAW",AL287="นิติศาสตร์",OR(K287="M2",K287="K4"),U287&gt;=2),EDATE(R287,12*2),AND(AO287="K5-LAW",AL287="นิติศาสตร์",K287="S1",U287&gt;=1),EDATE(R287,12),AND(AO287="K5-LAW",AL287="นิติศาสตร์",OR(K287="S2",K287="K5")),R287,AND(AO287="K5-POLICY",AL287&lt;&gt;"นิติศาสตร์",K287="S2",Y287="",AE287=""),R287,AND(AO287="K5-POLICY",AL287&lt;&gt;"นิติศาสตร์",K287="S1",Y287="",AE287=""),EDATE(R287,12),AND(AO287="K5-POLICY",AL287&lt;&gt;"นิติศาสตร์",OR(K287="M2",K287="K4"),Y287="",AE287=""),EDATE(R287,12*2),AND(AO287="K5-POLICY",AL287&lt;&gt;"นิติศาสตร์",OR(AE287="M2",AE287="K4"),AH287&gt;=2,OR(AG287&lt;AA287,AG287&lt;R287)),EDATE(AG287,12*2),AND(AO287="K5-POLICY",AL287&lt;&gt;"นิติศาสตร์",AE287="S1",AH287&gt;=1,OR(AG287&lt;AA287,AG287&lt;R287)),EDATE(AG287,12),AND(AO287="K5-POLICY",AL287&lt;&gt;"นิติศาสตร์",OR(Y287="M2",Y287="K4"),AB287&gt;=2,AA287&lt;R287),EDATE(AA287,12*2),AND(AO287="K5-POLICY",AL287&lt;&gt;"นิติศาสตร์",Y287="S1",AB287&gt;=1,AA287&lt;R287),EDATE(AA287,12),AND(AO287="K5-POLICY",AL287&lt;&gt;"นิติศาสตร์",OR(Y287="S2",Y287="K5")),AA287,AND(AO287="K5-POLICY",AL287&lt;&gt;"นิติศาสตร์",OR(K287="M2",K287="K4"),U287&gt;=2),EDATE(R287,12*2),AND(AO287="K5-POLICY",AL287&lt;&gt;"นิติศาสตร์",K287="S1",U287&gt;=1),EDATE(R287,12),AND(AO287="K5-POLICY",AL287&lt;&gt;"นิติศาสตร์",OR(K287="S2",K287="K5")),R287,TRUE,"Check Data")</f>
        <v/>
      </c>
      <c r="AQ287" s="75" t="str">
        <f t="shared" si="138"/>
        <v>Check Data</v>
      </c>
      <c r="AR287" s="76" t="str">
        <f t="shared" si="139"/>
        <v>Check Data</v>
      </c>
      <c r="AS287" s="50" t="str">
        <f t="shared" si="140"/>
        <v>Check Data</v>
      </c>
      <c r="AT287" s="49" t="str">
        <f>IF(B287="","",IF(K287="S1","S1",INDEX(#REF!,#REF!)))</f>
        <v/>
      </c>
      <c r="AU287" s="49" t="str">
        <f t="shared" si="141"/>
        <v>M2</v>
      </c>
      <c r="AV287" s="50" t="b">
        <f t="shared" si="142"/>
        <v>0</v>
      </c>
      <c r="AW287" s="50"/>
    </row>
    <row r="288" spans="1:49" ht="21.75">
      <c r="A288" s="49">
        <v>286</v>
      </c>
      <c r="B288" s="50"/>
      <c r="C288" s="52"/>
      <c r="D288" s="50"/>
      <c r="E288" s="49"/>
      <c r="F288" s="49"/>
      <c r="G288" s="50">
        <f t="shared" si="127"/>
        <v>0</v>
      </c>
      <c r="H288" s="50">
        <f t="shared" si="128"/>
        <v>0</v>
      </c>
      <c r="I288" s="50">
        <f t="shared" si="129"/>
        <v>0</v>
      </c>
      <c r="J288" s="50"/>
      <c r="K288" s="49" t="s">
        <v>136</v>
      </c>
      <c r="L288" s="49" t="str">
        <f>IF(B288="","",IF(K288="S1",K288,INDEX(#REF!,#REF!)))</f>
        <v/>
      </c>
      <c r="M288" s="49" t="b">
        <f t="shared" si="130"/>
        <v>0</v>
      </c>
      <c r="N288" s="64"/>
      <c r="O288" s="49"/>
      <c r="P288" s="49"/>
      <c r="Q288" s="65" t="s">
        <v>442</v>
      </c>
      <c r="R288" s="49" t="str">
        <f t="shared" si="131"/>
        <v>26/11/2024</v>
      </c>
      <c r="S288" s="49" t="str">
        <f>IF(B288="","",IF(K288="S1",K288,INDEX(#REF!,#REF!)))</f>
        <v/>
      </c>
      <c r="T288" s="49" t="b">
        <f t="shared" si="132"/>
        <v>0</v>
      </c>
      <c r="U288" s="68">
        <f t="shared" si="133"/>
        <v>0</v>
      </c>
      <c r="V288" s="68">
        <f t="shared" si="134"/>
        <v>6</v>
      </c>
      <c r="W288" s="68">
        <f t="shared" si="135"/>
        <v>25</v>
      </c>
      <c r="X288" s="68"/>
      <c r="Y288" s="65"/>
      <c r="Z288" s="65"/>
      <c r="AA288" s="49"/>
      <c r="AB288" s="68"/>
      <c r="AC288" s="68"/>
      <c r="AD288" s="68"/>
      <c r="AE288" s="49"/>
      <c r="AF288" s="65"/>
      <c r="AG288" s="50"/>
      <c r="AH288" s="68"/>
      <c r="AI288" s="68"/>
      <c r="AJ288" s="68"/>
      <c r="AK288" s="50"/>
      <c r="AL288" s="50"/>
      <c r="AM288" s="50" t="str">
        <f>IF(B288="","",IF(K288="S1",K288,INDEX(#REF!,#REF!)))</f>
        <v/>
      </c>
      <c r="AN288" s="50" t="b">
        <f t="shared" si="136"/>
        <v>1</v>
      </c>
      <c r="AO288" s="49" t="str">
        <f t="shared" si="137"/>
        <v>K5-POLICY</v>
      </c>
      <c r="AP288" s="72" t="str">
        <f>_xlfn.IFS(B288="","",AND(AO288="K5-LAW",AL288="นิติศาสตร์",K288="S2",Y288="",AE288=""),R288,AND(AO288="K5-LAW",AL288="นิติศาสตร์",K288="S1",Y288="",AE288=""),EDATE(R288,12),AND(AO288="K5-LAW",AL288="นิติศาสตร์",OR(K288="M2",K288="K4"),Y288="",AE288=""),EDATE(R288,12*2),AND(AO288="K5-LAW",AL288="นิติศาสตร์",OR(AE288="M2",AE288="K4"),AH288&gt;=2,OR(AG288&lt;AA288,AG288&lt;R288)),EDATE(AG288,12*2),AND(AO288="K5-LAW",AL288="นิติศาสตร์",AE288="S1",AH288&gt;=1,OR(AG288&lt;AA288,AG288&lt;R288)),EDATE(AG288,12),AND(AO288="K5-LAW",AL288="นิติศาสตร์",OR(Y288="M2",Y288="K4"),AB288&gt;=2,AA288&lt;R288),EDATE(AA288,12*2),AND(AO288="K5-LAW",AL288="นิติศาสตร์",Y288="S1",AB288&gt;=1,AA288&lt;R288),EDATE(AA288,12),AND(AO288="K5-LAW",AL288="นิติศาสตร์",OR(Y288="S2",Y288="K5")),AA288,AND(AO288="K5-LAW",AL288="นิติศาสตร์",OR(K288="M2",K288="K4"),U288&gt;=2),EDATE(R288,12*2),AND(AO288="K5-LAW",AL288="นิติศาสตร์",K288="S1",U288&gt;=1),EDATE(R288,12),AND(AO288="K5-LAW",AL288="นิติศาสตร์",OR(K288="S2",K288="K5")),R288,AND(AO288="K5-POLICY",AL288&lt;&gt;"นิติศาสตร์",K288="S2",Y288="",AE288=""),R288,AND(AO288="K5-POLICY",AL288&lt;&gt;"นิติศาสตร์",K288="S1",Y288="",AE288=""),EDATE(R288,12),AND(AO288="K5-POLICY",AL288&lt;&gt;"นิติศาสตร์",OR(K288="M2",K288="K4"),Y288="",AE288=""),EDATE(R288,12*2),AND(AO288="K5-POLICY",AL288&lt;&gt;"นิติศาสตร์",OR(AE288="M2",AE288="K4"),AH288&gt;=2,OR(AG288&lt;AA288,AG288&lt;R288)),EDATE(AG288,12*2),AND(AO288="K5-POLICY",AL288&lt;&gt;"นิติศาสตร์",AE288="S1",AH288&gt;=1,OR(AG288&lt;AA288,AG288&lt;R288)),EDATE(AG288,12),AND(AO288="K5-POLICY",AL288&lt;&gt;"นิติศาสตร์",OR(Y288="M2",Y288="K4"),AB288&gt;=2,AA288&lt;R288),EDATE(AA288,12*2),AND(AO288="K5-POLICY",AL288&lt;&gt;"นิติศาสตร์",Y288="S1",AB288&gt;=1,AA288&lt;R288),EDATE(AA288,12),AND(AO288="K5-POLICY",AL288&lt;&gt;"นิติศาสตร์",OR(Y288="S2",Y288="K5")),AA288,AND(AO288="K5-POLICY",AL288&lt;&gt;"นิติศาสตร์",OR(K288="M2",K288="K4"),U288&gt;=2),EDATE(R288,12*2),AND(AO288="K5-POLICY",AL288&lt;&gt;"นิติศาสตร์",K288="S1",U288&gt;=1),EDATE(R288,12),AND(AO288="K5-POLICY",AL288&lt;&gt;"นิติศาสตร์",OR(K288="S2",K288="K5")),R288,TRUE,"Check Data")</f>
        <v/>
      </c>
      <c r="AQ288" s="75" t="str">
        <f t="shared" si="138"/>
        <v>Check Data</v>
      </c>
      <c r="AR288" s="76" t="str">
        <f t="shared" si="139"/>
        <v>Check Data</v>
      </c>
      <c r="AS288" s="50" t="str">
        <f t="shared" si="140"/>
        <v>Check Data</v>
      </c>
      <c r="AT288" s="49" t="str">
        <f>IF(B288="","",IF(K288="S1","S1",INDEX(#REF!,#REF!)))</f>
        <v/>
      </c>
      <c r="AU288" s="49" t="str">
        <f t="shared" si="141"/>
        <v>M2</v>
      </c>
      <c r="AV288" s="50" t="b">
        <f t="shared" si="142"/>
        <v>0</v>
      </c>
      <c r="AW288" s="50"/>
    </row>
    <row r="289" spans="1:49" ht="21.75">
      <c r="A289" s="49">
        <v>287</v>
      </c>
      <c r="B289" s="50"/>
      <c r="C289" s="52"/>
      <c r="D289" s="50"/>
      <c r="E289" s="49"/>
      <c r="F289" s="49"/>
      <c r="G289" s="50">
        <f t="shared" si="127"/>
        <v>0</v>
      </c>
      <c r="H289" s="50">
        <f t="shared" si="128"/>
        <v>0</v>
      </c>
      <c r="I289" s="50">
        <f t="shared" si="129"/>
        <v>0</v>
      </c>
      <c r="J289" s="50"/>
      <c r="K289" s="49" t="s">
        <v>136</v>
      </c>
      <c r="L289" s="49" t="str">
        <f>IF(B289="","",IF(K289="S1",K289,INDEX(#REF!,#REF!)))</f>
        <v/>
      </c>
      <c r="M289" s="49" t="b">
        <f t="shared" si="130"/>
        <v>0</v>
      </c>
      <c r="N289" s="64"/>
      <c r="O289" s="49"/>
      <c r="P289" s="49"/>
      <c r="Q289" s="65" t="s">
        <v>442</v>
      </c>
      <c r="R289" s="49" t="str">
        <f t="shared" si="131"/>
        <v>26/11/2024</v>
      </c>
      <c r="S289" s="49" t="str">
        <f>IF(B289="","",IF(K289="S1",K289,INDEX(#REF!,#REF!)))</f>
        <v/>
      </c>
      <c r="T289" s="49" t="b">
        <f t="shared" si="132"/>
        <v>0</v>
      </c>
      <c r="U289" s="68">
        <f t="shared" si="133"/>
        <v>0</v>
      </c>
      <c r="V289" s="68">
        <f t="shared" si="134"/>
        <v>6</v>
      </c>
      <c r="W289" s="68">
        <f t="shared" si="135"/>
        <v>25</v>
      </c>
      <c r="X289" s="68"/>
      <c r="Y289" s="65"/>
      <c r="Z289" s="65"/>
      <c r="AA289" s="49"/>
      <c r="AB289" s="68"/>
      <c r="AC289" s="68"/>
      <c r="AD289" s="68"/>
      <c r="AE289" s="49"/>
      <c r="AF289" s="65"/>
      <c r="AG289" s="50"/>
      <c r="AH289" s="68"/>
      <c r="AI289" s="68"/>
      <c r="AJ289" s="68"/>
      <c r="AK289" s="50"/>
      <c r="AL289" s="50"/>
      <c r="AM289" s="50" t="str">
        <f>IF(B289="","",IF(K289="S1",K289,INDEX(#REF!,#REF!)))</f>
        <v/>
      </c>
      <c r="AN289" s="50" t="b">
        <f t="shared" si="136"/>
        <v>1</v>
      </c>
      <c r="AO289" s="49" t="str">
        <f t="shared" si="137"/>
        <v>K5-POLICY</v>
      </c>
      <c r="AP289" s="72" t="str">
        <f>_xlfn.IFS(B289="","",AND(AO289="K5-LAW",AL289="นิติศาสตร์",K289="S2",Y289="",AE289=""),R289,AND(AO289="K5-LAW",AL289="นิติศาสตร์",K289="S1",Y289="",AE289=""),EDATE(R289,12),AND(AO289="K5-LAW",AL289="นิติศาสตร์",OR(K289="M2",K289="K4"),Y289="",AE289=""),EDATE(R289,12*2),AND(AO289="K5-LAW",AL289="นิติศาสตร์",OR(AE289="M2",AE289="K4"),AH289&gt;=2,OR(AG289&lt;AA289,AG289&lt;R289)),EDATE(AG289,12*2),AND(AO289="K5-LAW",AL289="นิติศาสตร์",AE289="S1",AH289&gt;=1,OR(AG289&lt;AA289,AG289&lt;R289)),EDATE(AG289,12),AND(AO289="K5-LAW",AL289="นิติศาสตร์",OR(Y289="M2",Y289="K4"),AB289&gt;=2,AA289&lt;R289),EDATE(AA289,12*2),AND(AO289="K5-LAW",AL289="นิติศาสตร์",Y289="S1",AB289&gt;=1,AA289&lt;R289),EDATE(AA289,12),AND(AO289="K5-LAW",AL289="นิติศาสตร์",OR(Y289="S2",Y289="K5")),AA289,AND(AO289="K5-LAW",AL289="นิติศาสตร์",OR(K289="M2",K289="K4"),U289&gt;=2),EDATE(R289,12*2),AND(AO289="K5-LAW",AL289="นิติศาสตร์",K289="S1",U289&gt;=1),EDATE(R289,12),AND(AO289="K5-LAW",AL289="นิติศาสตร์",OR(K289="S2",K289="K5")),R289,AND(AO289="K5-POLICY",AL289&lt;&gt;"นิติศาสตร์",K289="S2",Y289="",AE289=""),R289,AND(AO289="K5-POLICY",AL289&lt;&gt;"นิติศาสตร์",K289="S1",Y289="",AE289=""),EDATE(R289,12),AND(AO289="K5-POLICY",AL289&lt;&gt;"นิติศาสตร์",OR(K289="M2",K289="K4"),Y289="",AE289=""),EDATE(R289,12*2),AND(AO289="K5-POLICY",AL289&lt;&gt;"นิติศาสตร์",OR(AE289="M2",AE289="K4"),AH289&gt;=2,OR(AG289&lt;AA289,AG289&lt;R289)),EDATE(AG289,12*2),AND(AO289="K5-POLICY",AL289&lt;&gt;"นิติศาสตร์",AE289="S1",AH289&gt;=1,OR(AG289&lt;AA289,AG289&lt;R289)),EDATE(AG289,12),AND(AO289="K5-POLICY",AL289&lt;&gt;"นิติศาสตร์",OR(Y289="M2",Y289="K4"),AB289&gt;=2,AA289&lt;R289),EDATE(AA289,12*2),AND(AO289="K5-POLICY",AL289&lt;&gt;"นิติศาสตร์",Y289="S1",AB289&gt;=1,AA289&lt;R289),EDATE(AA289,12),AND(AO289="K5-POLICY",AL289&lt;&gt;"นิติศาสตร์",OR(Y289="S2",Y289="K5")),AA289,AND(AO289="K5-POLICY",AL289&lt;&gt;"นิติศาสตร์",OR(K289="M2",K289="K4"),U289&gt;=2),EDATE(R289,12*2),AND(AO289="K5-POLICY",AL289&lt;&gt;"นิติศาสตร์",K289="S1",U289&gt;=1),EDATE(R289,12),AND(AO289="K5-POLICY",AL289&lt;&gt;"นิติศาสตร์",OR(K289="S2",K289="K5")),R289,TRUE,"Check Data")</f>
        <v/>
      </c>
      <c r="AQ289" s="75" t="str">
        <f t="shared" si="138"/>
        <v>Check Data</v>
      </c>
      <c r="AR289" s="76" t="str">
        <f t="shared" si="139"/>
        <v>Check Data</v>
      </c>
      <c r="AS289" s="50" t="str">
        <f t="shared" si="140"/>
        <v>Check Data</v>
      </c>
      <c r="AT289" s="49" t="str">
        <f>IF(B289="","",IF(K289="S1","S1",INDEX(#REF!,#REF!)))</f>
        <v/>
      </c>
      <c r="AU289" s="49" t="str">
        <f t="shared" si="141"/>
        <v>M2</v>
      </c>
      <c r="AV289" s="50" t="b">
        <f t="shared" si="142"/>
        <v>0</v>
      </c>
      <c r="AW289" s="50"/>
    </row>
    <row r="290" spans="1:49" ht="21.75">
      <c r="A290" s="49">
        <v>288</v>
      </c>
      <c r="B290" s="50"/>
      <c r="C290" s="52"/>
      <c r="D290" s="50"/>
      <c r="E290" s="49"/>
      <c r="F290" s="49"/>
      <c r="G290" s="50">
        <f t="shared" si="127"/>
        <v>0</v>
      </c>
      <c r="H290" s="50">
        <f t="shared" si="128"/>
        <v>0</v>
      </c>
      <c r="I290" s="50">
        <f t="shared" si="129"/>
        <v>0</v>
      </c>
      <c r="J290" s="50"/>
      <c r="K290" s="49" t="s">
        <v>136</v>
      </c>
      <c r="L290" s="49" t="str">
        <f>IF(B290="","",IF(K290="S1",K290,INDEX(#REF!,#REF!)))</f>
        <v/>
      </c>
      <c r="M290" s="49" t="b">
        <f t="shared" si="130"/>
        <v>0</v>
      </c>
      <c r="N290" s="64"/>
      <c r="O290" s="49"/>
      <c r="P290" s="49"/>
      <c r="Q290" s="65" t="s">
        <v>442</v>
      </c>
      <c r="R290" s="49" t="str">
        <f t="shared" si="131"/>
        <v>26/11/2024</v>
      </c>
      <c r="S290" s="49" t="str">
        <f>IF(B290="","",IF(K290="S1",K290,INDEX(#REF!,#REF!)))</f>
        <v/>
      </c>
      <c r="T290" s="49" t="b">
        <f t="shared" si="132"/>
        <v>0</v>
      </c>
      <c r="U290" s="68">
        <f t="shared" si="133"/>
        <v>0</v>
      </c>
      <c r="V290" s="68">
        <f t="shared" si="134"/>
        <v>6</v>
      </c>
      <c r="W290" s="68">
        <f t="shared" si="135"/>
        <v>25</v>
      </c>
      <c r="X290" s="68"/>
      <c r="Y290" s="65"/>
      <c r="Z290" s="65"/>
      <c r="AA290" s="49"/>
      <c r="AB290" s="68"/>
      <c r="AC290" s="68"/>
      <c r="AD290" s="68"/>
      <c r="AE290" s="49"/>
      <c r="AF290" s="65"/>
      <c r="AG290" s="50"/>
      <c r="AH290" s="68"/>
      <c r="AI290" s="68"/>
      <c r="AJ290" s="68"/>
      <c r="AK290" s="50"/>
      <c r="AL290" s="50"/>
      <c r="AM290" s="50" t="str">
        <f>IF(B290="","",IF(K290="S1",K290,INDEX(#REF!,#REF!)))</f>
        <v/>
      </c>
      <c r="AN290" s="50" t="b">
        <f t="shared" si="136"/>
        <v>1</v>
      </c>
      <c r="AO290" s="49" t="str">
        <f t="shared" si="137"/>
        <v>K5-POLICY</v>
      </c>
      <c r="AP290" s="72" t="str">
        <f>_xlfn.IFS(B290="","",AND(AO290="K5-LAW",AL290="นิติศาสตร์",K290="S2",Y290="",AE290=""),R290,AND(AO290="K5-LAW",AL290="นิติศาสตร์",K290="S1",Y290="",AE290=""),EDATE(R290,12),AND(AO290="K5-LAW",AL290="นิติศาสตร์",OR(K290="M2",K290="K4"),Y290="",AE290=""),EDATE(R290,12*2),AND(AO290="K5-LAW",AL290="นิติศาสตร์",OR(AE290="M2",AE290="K4"),AH290&gt;=2,OR(AG290&lt;AA290,AG290&lt;R290)),EDATE(AG290,12*2),AND(AO290="K5-LAW",AL290="นิติศาสตร์",AE290="S1",AH290&gt;=1,OR(AG290&lt;AA290,AG290&lt;R290)),EDATE(AG290,12),AND(AO290="K5-LAW",AL290="นิติศาสตร์",OR(Y290="M2",Y290="K4"),AB290&gt;=2,AA290&lt;R290),EDATE(AA290,12*2),AND(AO290="K5-LAW",AL290="นิติศาสตร์",Y290="S1",AB290&gt;=1,AA290&lt;R290),EDATE(AA290,12),AND(AO290="K5-LAW",AL290="นิติศาสตร์",OR(Y290="S2",Y290="K5")),AA290,AND(AO290="K5-LAW",AL290="นิติศาสตร์",OR(K290="M2",K290="K4"),U290&gt;=2),EDATE(R290,12*2),AND(AO290="K5-LAW",AL290="นิติศาสตร์",K290="S1",U290&gt;=1),EDATE(R290,12),AND(AO290="K5-LAW",AL290="นิติศาสตร์",OR(K290="S2",K290="K5")),R290,AND(AO290="K5-POLICY",AL290&lt;&gt;"นิติศาสตร์",K290="S2",Y290="",AE290=""),R290,AND(AO290="K5-POLICY",AL290&lt;&gt;"นิติศาสตร์",K290="S1",Y290="",AE290=""),EDATE(R290,12),AND(AO290="K5-POLICY",AL290&lt;&gt;"นิติศาสตร์",OR(K290="M2",K290="K4"),Y290="",AE290=""),EDATE(R290,12*2),AND(AO290="K5-POLICY",AL290&lt;&gt;"นิติศาสตร์",OR(AE290="M2",AE290="K4"),AH290&gt;=2,OR(AG290&lt;AA290,AG290&lt;R290)),EDATE(AG290,12*2),AND(AO290="K5-POLICY",AL290&lt;&gt;"นิติศาสตร์",AE290="S1",AH290&gt;=1,OR(AG290&lt;AA290,AG290&lt;R290)),EDATE(AG290,12),AND(AO290="K5-POLICY",AL290&lt;&gt;"นิติศาสตร์",OR(Y290="M2",Y290="K4"),AB290&gt;=2,AA290&lt;R290),EDATE(AA290,12*2),AND(AO290="K5-POLICY",AL290&lt;&gt;"นิติศาสตร์",Y290="S1",AB290&gt;=1,AA290&lt;R290),EDATE(AA290,12),AND(AO290="K5-POLICY",AL290&lt;&gt;"นิติศาสตร์",OR(Y290="S2",Y290="K5")),AA290,AND(AO290="K5-POLICY",AL290&lt;&gt;"นิติศาสตร์",OR(K290="M2",K290="K4"),U290&gt;=2),EDATE(R290,12*2),AND(AO290="K5-POLICY",AL290&lt;&gt;"นิติศาสตร์",K290="S1",U290&gt;=1),EDATE(R290,12),AND(AO290="K5-POLICY",AL290&lt;&gt;"นิติศาสตร์",OR(K290="S2",K290="K5")),R290,TRUE,"Check Data")</f>
        <v/>
      </c>
      <c r="AQ290" s="75" t="str">
        <f t="shared" si="138"/>
        <v>Check Data</v>
      </c>
      <c r="AR290" s="76" t="str">
        <f t="shared" si="139"/>
        <v>Check Data</v>
      </c>
      <c r="AS290" s="50" t="str">
        <f t="shared" si="140"/>
        <v>Check Data</v>
      </c>
      <c r="AT290" s="49" t="str">
        <f>IF(B290="","",IF(K290="S1","S1",INDEX(#REF!,#REF!)))</f>
        <v/>
      </c>
      <c r="AU290" s="49" t="str">
        <f t="shared" si="141"/>
        <v>M2</v>
      </c>
      <c r="AV290" s="50" t="b">
        <f t="shared" si="142"/>
        <v>0</v>
      </c>
      <c r="AW290" s="50"/>
    </row>
    <row r="291" spans="1:49" ht="21.75">
      <c r="A291" s="49">
        <v>289</v>
      </c>
      <c r="B291" s="50"/>
      <c r="C291" s="52"/>
      <c r="D291" s="50"/>
      <c r="E291" s="49"/>
      <c r="F291" s="49"/>
      <c r="G291" s="50">
        <f t="shared" si="127"/>
        <v>0</v>
      </c>
      <c r="H291" s="50">
        <f t="shared" si="128"/>
        <v>0</v>
      </c>
      <c r="I291" s="50">
        <f t="shared" si="129"/>
        <v>0</v>
      </c>
      <c r="J291" s="50"/>
      <c r="K291" s="49" t="s">
        <v>136</v>
      </c>
      <c r="L291" s="49" t="str">
        <f>IF(B291="","",IF(K291="S1",K291,INDEX(#REF!,#REF!)))</f>
        <v/>
      </c>
      <c r="M291" s="49" t="b">
        <f t="shared" si="130"/>
        <v>0</v>
      </c>
      <c r="N291" s="64"/>
      <c r="O291" s="49"/>
      <c r="P291" s="49"/>
      <c r="Q291" s="65" t="s">
        <v>442</v>
      </c>
      <c r="R291" s="49" t="str">
        <f t="shared" si="131"/>
        <v>26/11/2024</v>
      </c>
      <c r="S291" s="49" t="str">
        <f>IF(B291="","",IF(K291="S1",K291,INDEX(#REF!,#REF!)))</f>
        <v/>
      </c>
      <c r="T291" s="49" t="b">
        <f t="shared" si="132"/>
        <v>0</v>
      </c>
      <c r="U291" s="68">
        <f t="shared" si="133"/>
        <v>0</v>
      </c>
      <c r="V291" s="68">
        <f t="shared" si="134"/>
        <v>6</v>
      </c>
      <c r="W291" s="68">
        <f t="shared" si="135"/>
        <v>25</v>
      </c>
      <c r="X291" s="68"/>
      <c r="Y291" s="65"/>
      <c r="Z291" s="65"/>
      <c r="AA291" s="49"/>
      <c r="AB291" s="68"/>
      <c r="AC291" s="68"/>
      <c r="AD291" s="68"/>
      <c r="AE291" s="49"/>
      <c r="AF291" s="65"/>
      <c r="AG291" s="50"/>
      <c r="AH291" s="68"/>
      <c r="AI291" s="68"/>
      <c r="AJ291" s="68"/>
      <c r="AK291" s="50"/>
      <c r="AL291" s="50"/>
      <c r="AM291" s="50" t="str">
        <f>IF(B291="","",IF(K291="S1",K291,INDEX(#REF!,#REF!)))</f>
        <v/>
      </c>
      <c r="AN291" s="50" t="b">
        <f t="shared" si="136"/>
        <v>1</v>
      </c>
      <c r="AO291" s="49" t="str">
        <f t="shared" si="137"/>
        <v>K5-POLICY</v>
      </c>
      <c r="AP291" s="72" t="str">
        <f>_xlfn.IFS(B291="","",AND(AO291="K5-LAW",AL291="นิติศาสตร์",K291="S2",Y291="",AE291=""),R291,AND(AO291="K5-LAW",AL291="นิติศาสตร์",K291="S1",Y291="",AE291=""),EDATE(R291,12),AND(AO291="K5-LAW",AL291="นิติศาสตร์",OR(K291="M2",K291="K4"),Y291="",AE291=""),EDATE(R291,12*2),AND(AO291="K5-LAW",AL291="นิติศาสตร์",OR(AE291="M2",AE291="K4"),AH291&gt;=2,OR(AG291&lt;AA291,AG291&lt;R291)),EDATE(AG291,12*2),AND(AO291="K5-LAW",AL291="นิติศาสตร์",AE291="S1",AH291&gt;=1,OR(AG291&lt;AA291,AG291&lt;R291)),EDATE(AG291,12),AND(AO291="K5-LAW",AL291="นิติศาสตร์",OR(Y291="M2",Y291="K4"),AB291&gt;=2,AA291&lt;R291),EDATE(AA291,12*2),AND(AO291="K5-LAW",AL291="นิติศาสตร์",Y291="S1",AB291&gt;=1,AA291&lt;R291),EDATE(AA291,12),AND(AO291="K5-LAW",AL291="นิติศาสตร์",OR(Y291="S2",Y291="K5")),AA291,AND(AO291="K5-LAW",AL291="นิติศาสตร์",OR(K291="M2",K291="K4"),U291&gt;=2),EDATE(R291,12*2),AND(AO291="K5-LAW",AL291="นิติศาสตร์",K291="S1",U291&gt;=1),EDATE(R291,12),AND(AO291="K5-LAW",AL291="นิติศาสตร์",OR(K291="S2",K291="K5")),R291,AND(AO291="K5-POLICY",AL291&lt;&gt;"นิติศาสตร์",K291="S2",Y291="",AE291=""),R291,AND(AO291="K5-POLICY",AL291&lt;&gt;"นิติศาสตร์",K291="S1",Y291="",AE291=""),EDATE(R291,12),AND(AO291="K5-POLICY",AL291&lt;&gt;"นิติศาสตร์",OR(K291="M2",K291="K4"),Y291="",AE291=""),EDATE(R291,12*2),AND(AO291="K5-POLICY",AL291&lt;&gt;"นิติศาสตร์",OR(AE291="M2",AE291="K4"),AH291&gt;=2,OR(AG291&lt;AA291,AG291&lt;R291)),EDATE(AG291,12*2),AND(AO291="K5-POLICY",AL291&lt;&gt;"นิติศาสตร์",AE291="S1",AH291&gt;=1,OR(AG291&lt;AA291,AG291&lt;R291)),EDATE(AG291,12),AND(AO291="K5-POLICY",AL291&lt;&gt;"นิติศาสตร์",OR(Y291="M2",Y291="K4"),AB291&gt;=2,AA291&lt;R291),EDATE(AA291,12*2),AND(AO291="K5-POLICY",AL291&lt;&gt;"นิติศาสตร์",Y291="S1",AB291&gt;=1,AA291&lt;R291),EDATE(AA291,12),AND(AO291="K5-POLICY",AL291&lt;&gt;"นิติศาสตร์",OR(Y291="S2",Y291="K5")),AA291,AND(AO291="K5-POLICY",AL291&lt;&gt;"นิติศาสตร์",OR(K291="M2",K291="K4"),U291&gt;=2),EDATE(R291,12*2),AND(AO291="K5-POLICY",AL291&lt;&gt;"นิติศาสตร์",K291="S1",U291&gt;=1),EDATE(R291,12),AND(AO291="K5-POLICY",AL291&lt;&gt;"นิติศาสตร์",OR(K291="S2",K291="K5")),R291,TRUE,"Check Data")</f>
        <v/>
      </c>
      <c r="AQ291" s="75" t="str">
        <f t="shared" si="138"/>
        <v>Check Data</v>
      </c>
      <c r="AR291" s="76" t="str">
        <f t="shared" si="139"/>
        <v>Check Data</v>
      </c>
      <c r="AS291" s="50" t="str">
        <f t="shared" si="140"/>
        <v>Check Data</v>
      </c>
      <c r="AT291" s="49" t="str">
        <f>IF(B291="","",IF(K291="S1","S1",INDEX(#REF!,#REF!)))</f>
        <v/>
      </c>
      <c r="AU291" s="49" t="str">
        <f t="shared" si="141"/>
        <v>M2</v>
      </c>
      <c r="AV291" s="50" t="b">
        <f t="shared" si="142"/>
        <v>0</v>
      </c>
      <c r="AW291" s="50"/>
    </row>
    <row r="292" spans="1:49" ht="21.75">
      <c r="A292" s="49">
        <v>290</v>
      </c>
      <c r="B292" s="50"/>
      <c r="C292" s="52"/>
      <c r="D292" s="50"/>
      <c r="E292" s="49"/>
      <c r="F292" s="49"/>
      <c r="G292" s="50">
        <f t="shared" si="127"/>
        <v>0</v>
      </c>
      <c r="H292" s="50">
        <f t="shared" si="128"/>
        <v>0</v>
      </c>
      <c r="I292" s="50">
        <f t="shared" si="129"/>
        <v>0</v>
      </c>
      <c r="J292" s="50"/>
      <c r="K292" s="49" t="s">
        <v>136</v>
      </c>
      <c r="L292" s="49" t="str">
        <f>IF(B292="","",IF(K292="S1",K292,INDEX(#REF!,#REF!)))</f>
        <v/>
      </c>
      <c r="M292" s="49" t="b">
        <f t="shared" si="130"/>
        <v>0</v>
      </c>
      <c r="N292" s="64"/>
      <c r="O292" s="49"/>
      <c r="P292" s="49"/>
      <c r="Q292" s="65" t="s">
        <v>442</v>
      </c>
      <c r="R292" s="49" t="str">
        <f t="shared" si="131"/>
        <v>26/11/2024</v>
      </c>
      <c r="S292" s="49" t="str">
        <f>IF(B292="","",IF(K292="S1",K292,INDEX(#REF!,#REF!)))</f>
        <v/>
      </c>
      <c r="T292" s="49" t="b">
        <f t="shared" si="132"/>
        <v>0</v>
      </c>
      <c r="U292" s="68">
        <f t="shared" si="133"/>
        <v>0</v>
      </c>
      <c r="V292" s="68">
        <f t="shared" si="134"/>
        <v>6</v>
      </c>
      <c r="W292" s="68">
        <f t="shared" si="135"/>
        <v>25</v>
      </c>
      <c r="X292" s="68"/>
      <c r="Y292" s="65"/>
      <c r="Z292" s="65"/>
      <c r="AA292" s="49"/>
      <c r="AB292" s="68"/>
      <c r="AC292" s="68"/>
      <c r="AD292" s="68"/>
      <c r="AE292" s="49"/>
      <c r="AF292" s="65"/>
      <c r="AG292" s="50"/>
      <c r="AH292" s="68"/>
      <c r="AI292" s="68"/>
      <c r="AJ292" s="68"/>
      <c r="AK292" s="50"/>
      <c r="AL292" s="50"/>
      <c r="AM292" s="50" t="str">
        <f>IF(B292="","",IF(K292="S1",K292,INDEX(#REF!,#REF!)))</f>
        <v/>
      </c>
      <c r="AN292" s="50" t="b">
        <f t="shared" si="136"/>
        <v>1</v>
      </c>
      <c r="AO292" s="49" t="str">
        <f t="shared" si="137"/>
        <v>K5-POLICY</v>
      </c>
      <c r="AP292" s="72" t="str">
        <f>_xlfn.IFS(B292="","",AND(AO292="K5-LAW",AL292="นิติศาสตร์",K292="S2",Y292="",AE292=""),R292,AND(AO292="K5-LAW",AL292="นิติศาสตร์",K292="S1",Y292="",AE292=""),EDATE(R292,12),AND(AO292="K5-LAW",AL292="นิติศาสตร์",OR(K292="M2",K292="K4"),Y292="",AE292=""),EDATE(R292,12*2),AND(AO292="K5-LAW",AL292="นิติศาสตร์",OR(AE292="M2",AE292="K4"),AH292&gt;=2,OR(AG292&lt;AA292,AG292&lt;R292)),EDATE(AG292,12*2),AND(AO292="K5-LAW",AL292="นิติศาสตร์",AE292="S1",AH292&gt;=1,OR(AG292&lt;AA292,AG292&lt;R292)),EDATE(AG292,12),AND(AO292="K5-LAW",AL292="นิติศาสตร์",OR(Y292="M2",Y292="K4"),AB292&gt;=2,AA292&lt;R292),EDATE(AA292,12*2),AND(AO292="K5-LAW",AL292="นิติศาสตร์",Y292="S1",AB292&gt;=1,AA292&lt;R292),EDATE(AA292,12),AND(AO292="K5-LAW",AL292="นิติศาสตร์",OR(Y292="S2",Y292="K5")),AA292,AND(AO292="K5-LAW",AL292="นิติศาสตร์",OR(K292="M2",K292="K4"),U292&gt;=2),EDATE(R292,12*2),AND(AO292="K5-LAW",AL292="นิติศาสตร์",K292="S1",U292&gt;=1),EDATE(R292,12),AND(AO292="K5-LAW",AL292="นิติศาสตร์",OR(K292="S2",K292="K5")),R292,AND(AO292="K5-POLICY",AL292&lt;&gt;"นิติศาสตร์",K292="S2",Y292="",AE292=""),R292,AND(AO292="K5-POLICY",AL292&lt;&gt;"นิติศาสตร์",K292="S1",Y292="",AE292=""),EDATE(R292,12),AND(AO292="K5-POLICY",AL292&lt;&gt;"นิติศาสตร์",OR(K292="M2",K292="K4"),Y292="",AE292=""),EDATE(R292,12*2),AND(AO292="K5-POLICY",AL292&lt;&gt;"นิติศาสตร์",OR(AE292="M2",AE292="K4"),AH292&gt;=2,OR(AG292&lt;AA292,AG292&lt;R292)),EDATE(AG292,12*2),AND(AO292="K5-POLICY",AL292&lt;&gt;"นิติศาสตร์",AE292="S1",AH292&gt;=1,OR(AG292&lt;AA292,AG292&lt;R292)),EDATE(AG292,12),AND(AO292="K5-POLICY",AL292&lt;&gt;"นิติศาสตร์",OR(Y292="M2",Y292="K4"),AB292&gt;=2,AA292&lt;R292),EDATE(AA292,12*2),AND(AO292="K5-POLICY",AL292&lt;&gt;"นิติศาสตร์",Y292="S1",AB292&gt;=1,AA292&lt;R292),EDATE(AA292,12),AND(AO292="K5-POLICY",AL292&lt;&gt;"นิติศาสตร์",OR(Y292="S2",Y292="K5")),AA292,AND(AO292="K5-POLICY",AL292&lt;&gt;"นิติศาสตร์",OR(K292="M2",K292="K4"),U292&gt;=2),EDATE(R292,12*2),AND(AO292="K5-POLICY",AL292&lt;&gt;"นิติศาสตร์",K292="S1",U292&gt;=1),EDATE(R292,12),AND(AO292="K5-POLICY",AL292&lt;&gt;"นิติศาสตร์",OR(K292="S2",K292="K5")),R292,TRUE,"Check Data")</f>
        <v/>
      </c>
      <c r="AQ292" s="75" t="str">
        <f t="shared" si="138"/>
        <v>Check Data</v>
      </c>
      <c r="AR292" s="76" t="str">
        <f t="shared" si="139"/>
        <v>Check Data</v>
      </c>
      <c r="AS292" s="50" t="str">
        <f t="shared" si="140"/>
        <v>Check Data</v>
      </c>
      <c r="AT292" s="49" t="str">
        <f>IF(B292="","",IF(K292="S1","S1",INDEX(#REF!,#REF!)))</f>
        <v/>
      </c>
      <c r="AU292" s="49" t="str">
        <f t="shared" si="141"/>
        <v>M2</v>
      </c>
      <c r="AV292" s="50" t="b">
        <f t="shared" si="142"/>
        <v>0</v>
      </c>
      <c r="AW292" s="50"/>
    </row>
    <row r="293" spans="1:49" ht="21.75">
      <c r="A293" s="49">
        <v>291</v>
      </c>
      <c r="B293" s="50"/>
      <c r="C293" s="52"/>
      <c r="D293" s="50"/>
      <c r="E293" s="49"/>
      <c r="F293" s="49"/>
      <c r="G293" s="50">
        <f t="shared" si="127"/>
        <v>0</v>
      </c>
      <c r="H293" s="50">
        <f t="shared" si="128"/>
        <v>0</v>
      </c>
      <c r="I293" s="50">
        <f t="shared" si="129"/>
        <v>0</v>
      </c>
      <c r="J293" s="50"/>
      <c r="K293" s="49" t="s">
        <v>136</v>
      </c>
      <c r="L293" s="49" t="str">
        <f>IF(B293="","",IF(K293="S1",K293,INDEX(#REF!,#REF!)))</f>
        <v/>
      </c>
      <c r="M293" s="49" t="b">
        <f t="shared" si="130"/>
        <v>0</v>
      </c>
      <c r="N293" s="64"/>
      <c r="O293" s="49"/>
      <c r="P293" s="49"/>
      <c r="Q293" s="65" t="s">
        <v>442</v>
      </c>
      <c r="R293" s="49" t="str">
        <f t="shared" si="131"/>
        <v>26/11/2024</v>
      </c>
      <c r="S293" s="49" t="str">
        <f>IF(B293="","",IF(K293="S1",K293,INDEX(#REF!,#REF!)))</f>
        <v/>
      </c>
      <c r="T293" s="49" t="b">
        <f t="shared" si="132"/>
        <v>0</v>
      </c>
      <c r="U293" s="68">
        <f t="shared" si="133"/>
        <v>0</v>
      </c>
      <c r="V293" s="68">
        <f t="shared" si="134"/>
        <v>6</v>
      </c>
      <c r="W293" s="68">
        <f t="shared" si="135"/>
        <v>25</v>
      </c>
      <c r="X293" s="68"/>
      <c r="Y293" s="65"/>
      <c r="Z293" s="65"/>
      <c r="AA293" s="49"/>
      <c r="AB293" s="68"/>
      <c r="AC293" s="68"/>
      <c r="AD293" s="68"/>
      <c r="AE293" s="49"/>
      <c r="AF293" s="65"/>
      <c r="AG293" s="50"/>
      <c r="AH293" s="68"/>
      <c r="AI293" s="68"/>
      <c r="AJ293" s="68"/>
      <c r="AK293" s="50"/>
      <c r="AL293" s="50"/>
      <c r="AM293" s="50" t="str">
        <f>IF(B293="","",IF(K293="S1",K293,INDEX(#REF!,#REF!)))</f>
        <v/>
      </c>
      <c r="AN293" s="50" t="b">
        <f t="shared" si="136"/>
        <v>1</v>
      </c>
      <c r="AO293" s="49" t="str">
        <f t="shared" si="137"/>
        <v>K5-POLICY</v>
      </c>
      <c r="AP293" s="72" t="str">
        <f>_xlfn.IFS(B293="","",AND(AO293="K5-LAW",AL293="นิติศาสตร์",K293="S2",Y293="",AE293=""),R293,AND(AO293="K5-LAW",AL293="นิติศาสตร์",K293="S1",Y293="",AE293=""),EDATE(R293,12),AND(AO293="K5-LAW",AL293="นิติศาสตร์",OR(K293="M2",K293="K4"),Y293="",AE293=""),EDATE(R293,12*2),AND(AO293="K5-LAW",AL293="นิติศาสตร์",OR(AE293="M2",AE293="K4"),AH293&gt;=2,OR(AG293&lt;AA293,AG293&lt;R293)),EDATE(AG293,12*2),AND(AO293="K5-LAW",AL293="นิติศาสตร์",AE293="S1",AH293&gt;=1,OR(AG293&lt;AA293,AG293&lt;R293)),EDATE(AG293,12),AND(AO293="K5-LAW",AL293="นิติศาสตร์",OR(Y293="M2",Y293="K4"),AB293&gt;=2,AA293&lt;R293),EDATE(AA293,12*2),AND(AO293="K5-LAW",AL293="นิติศาสตร์",Y293="S1",AB293&gt;=1,AA293&lt;R293),EDATE(AA293,12),AND(AO293="K5-LAW",AL293="นิติศาสตร์",OR(Y293="S2",Y293="K5")),AA293,AND(AO293="K5-LAW",AL293="นิติศาสตร์",OR(K293="M2",K293="K4"),U293&gt;=2),EDATE(R293,12*2),AND(AO293="K5-LAW",AL293="นิติศาสตร์",K293="S1",U293&gt;=1),EDATE(R293,12),AND(AO293="K5-LAW",AL293="นิติศาสตร์",OR(K293="S2",K293="K5")),R293,AND(AO293="K5-POLICY",AL293&lt;&gt;"นิติศาสตร์",K293="S2",Y293="",AE293=""),R293,AND(AO293="K5-POLICY",AL293&lt;&gt;"นิติศาสตร์",K293="S1",Y293="",AE293=""),EDATE(R293,12),AND(AO293="K5-POLICY",AL293&lt;&gt;"นิติศาสตร์",OR(K293="M2",K293="K4"),Y293="",AE293=""),EDATE(R293,12*2),AND(AO293="K5-POLICY",AL293&lt;&gt;"นิติศาสตร์",OR(AE293="M2",AE293="K4"),AH293&gt;=2,OR(AG293&lt;AA293,AG293&lt;R293)),EDATE(AG293,12*2),AND(AO293="K5-POLICY",AL293&lt;&gt;"นิติศาสตร์",AE293="S1",AH293&gt;=1,OR(AG293&lt;AA293,AG293&lt;R293)),EDATE(AG293,12),AND(AO293="K5-POLICY",AL293&lt;&gt;"นิติศาสตร์",OR(Y293="M2",Y293="K4"),AB293&gt;=2,AA293&lt;R293),EDATE(AA293,12*2),AND(AO293="K5-POLICY",AL293&lt;&gt;"นิติศาสตร์",Y293="S1",AB293&gt;=1,AA293&lt;R293),EDATE(AA293,12),AND(AO293="K5-POLICY",AL293&lt;&gt;"นิติศาสตร์",OR(Y293="S2",Y293="K5")),AA293,AND(AO293="K5-POLICY",AL293&lt;&gt;"นิติศาสตร์",OR(K293="M2",K293="K4"),U293&gt;=2),EDATE(R293,12*2),AND(AO293="K5-POLICY",AL293&lt;&gt;"นิติศาสตร์",K293="S1",U293&gt;=1),EDATE(R293,12),AND(AO293="K5-POLICY",AL293&lt;&gt;"นิติศาสตร์",OR(K293="S2",K293="K5")),R293,TRUE,"Check Data")</f>
        <v/>
      </c>
      <c r="AQ293" s="75" t="str">
        <f t="shared" si="138"/>
        <v>Check Data</v>
      </c>
      <c r="AR293" s="76" t="str">
        <f t="shared" si="139"/>
        <v>Check Data</v>
      </c>
      <c r="AS293" s="50" t="str">
        <f t="shared" si="140"/>
        <v>Check Data</v>
      </c>
      <c r="AT293" s="49" t="str">
        <f>IF(B293="","",IF(K293="S1","S1",INDEX(#REF!,#REF!)))</f>
        <v/>
      </c>
      <c r="AU293" s="49" t="str">
        <f t="shared" si="141"/>
        <v>M2</v>
      </c>
      <c r="AV293" s="50" t="b">
        <f t="shared" si="142"/>
        <v>0</v>
      </c>
      <c r="AW293" s="50"/>
    </row>
    <row r="294" spans="1:49" ht="21.75">
      <c r="A294" s="49">
        <v>292</v>
      </c>
      <c r="B294" s="50"/>
      <c r="C294" s="52"/>
      <c r="D294" s="50"/>
      <c r="E294" s="49"/>
      <c r="F294" s="49"/>
      <c r="G294" s="50">
        <f t="shared" si="127"/>
        <v>0</v>
      </c>
      <c r="H294" s="50">
        <f t="shared" si="128"/>
        <v>0</v>
      </c>
      <c r="I294" s="50">
        <f t="shared" si="129"/>
        <v>0</v>
      </c>
      <c r="J294" s="50"/>
      <c r="K294" s="49" t="s">
        <v>136</v>
      </c>
      <c r="L294" s="49" t="str">
        <f>IF(B294="","",IF(K294="S1",K294,INDEX(#REF!,#REF!)))</f>
        <v/>
      </c>
      <c r="M294" s="49" t="b">
        <f t="shared" si="130"/>
        <v>0</v>
      </c>
      <c r="N294" s="64"/>
      <c r="O294" s="49"/>
      <c r="P294" s="49"/>
      <c r="Q294" s="65" t="s">
        <v>442</v>
      </c>
      <c r="R294" s="49" t="str">
        <f t="shared" si="131"/>
        <v>26/11/2024</v>
      </c>
      <c r="S294" s="49" t="str">
        <f>IF(B294="","",IF(K294="S1",K294,INDEX(#REF!,#REF!)))</f>
        <v/>
      </c>
      <c r="T294" s="49" t="b">
        <f t="shared" si="132"/>
        <v>0</v>
      </c>
      <c r="U294" s="68">
        <f t="shared" si="133"/>
        <v>0</v>
      </c>
      <c r="V294" s="68">
        <f t="shared" si="134"/>
        <v>6</v>
      </c>
      <c r="W294" s="68">
        <f t="shared" si="135"/>
        <v>25</v>
      </c>
      <c r="X294" s="68"/>
      <c r="Y294" s="65"/>
      <c r="Z294" s="65"/>
      <c r="AA294" s="49"/>
      <c r="AB294" s="68"/>
      <c r="AC294" s="68"/>
      <c r="AD294" s="68"/>
      <c r="AE294" s="49"/>
      <c r="AF294" s="65"/>
      <c r="AG294" s="50"/>
      <c r="AH294" s="68"/>
      <c r="AI294" s="68"/>
      <c r="AJ294" s="68"/>
      <c r="AK294" s="50"/>
      <c r="AL294" s="50"/>
      <c r="AM294" s="50" t="str">
        <f>IF(B294="","",IF(K294="S1",K294,INDEX(#REF!,#REF!)))</f>
        <v/>
      </c>
      <c r="AN294" s="50" t="b">
        <f t="shared" si="136"/>
        <v>1</v>
      </c>
      <c r="AO294" s="49" t="str">
        <f t="shared" si="137"/>
        <v>K5-POLICY</v>
      </c>
      <c r="AP294" s="72" t="str">
        <f>_xlfn.IFS(B294="","",AND(AO294="K5-LAW",AL294="นิติศาสตร์",K294="S2",Y294="",AE294=""),R294,AND(AO294="K5-LAW",AL294="นิติศาสตร์",K294="S1",Y294="",AE294=""),EDATE(R294,12),AND(AO294="K5-LAW",AL294="นิติศาสตร์",OR(K294="M2",K294="K4"),Y294="",AE294=""),EDATE(R294,12*2),AND(AO294="K5-LAW",AL294="นิติศาสตร์",OR(AE294="M2",AE294="K4"),AH294&gt;=2,OR(AG294&lt;AA294,AG294&lt;R294)),EDATE(AG294,12*2),AND(AO294="K5-LAW",AL294="นิติศาสตร์",AE294="S1",AH294&gt;=1,OR(AG294&lt;AA294,AG294&lt;R294)),EDATE(AG294,12),AND(AO294="K5-LAW",AL294="นิติศาสตร์",OR(Y294="M2",Y294="K4"),AB294&gt;=2,AA294&lt;R294),EDATE(AA294,12*2),AND(AO294="K5-LAW",AL294="นิติศาสตร์",Y294="S1",AB294&gt;=1,AA294&lt;R294),EDATE(AA294,12),AND(AO294="K5-LAW",AL294="นิติศาสตร์",OR(Y294="S2",Y294="K5")),AA294,AND(AO294="K5-LAW",AL294="นิติศาสตร์",OR(K294="M2",K294="K4"),U294&gt;=2),EDATE(R294,12*2),AND(AO294="K5-LAW",AL294="นิติศาสตร์",K294="S1",U294&gt;=1),EDATE(R294,12),AND(AO294="K5-LAW",AL294="นิติศาสตร์",OR(K294="S2",K294="K5")),R294,AND(AO294="K5-POLICY",AL294&lt;&gt;"นิติศาสตร์",K294="S2",Y294="",AE294=""),R294,AND(AO294="K5-POLICY",AL294&lt;&gt;"นิติศาสตร์",K294="S1",Y294="",AE294=""),EDATE(R294,12),AND(AO294="K5-POLICY",AL294&lt;&gt;"นิติศาสตร์",OR(K294="M2",K294="K4"),Y294="",AE294=""),EDATE(R294,12*2),AND(AO294="K5-POLICY",AL294&lt;&gt;"นิติศาสตร์",OR(AE294="M2",AE294="K4"),AH294&gt;=2,OR(AG294&lt;AA294,AG294&lt;R294)),EDATE(AG294,12*2),AND(AO294="K5-POLICY",AL294&lt;&gt;"นิติศาสตร์",AE294="S1",AH294&gt;=1,OR(AG294&lt;AA294,AG294&lt;R294)),EDATE(AG294,12),AND(AO294="K5-POLICY",AL294&lt;&gt;"นิติศาสตร์",OR(Y294="M2",Y294="K4"),AB294&gt;=2,AA294&lt;R294),EDATE(AA294,12*2),AND(AO294="K5-POLICY",AL294&lt;&gt;"นิติศาสตร์",Y294="S1",AB294&gt;=1,AA294&lt;R294),EDATE(AA294,12),AND(AO294="K5-POLICY",AL294&lt;&gt;"นิติศาสตร์",OR(Y294="S2",Y294="K5")),AA294,AND(AO294="K5-POLICY",AL294&lt;&gt;"นิติศาสตร์",OR(K294="M2",K294="K4"),U294&gt;=2),EDATE(R294,12*2),AND(AO294="K5-POLICY",AL294&lt;&gt;"นิติศาสตร์",K294="S1",U294&gt;=1),EDATE(R294,12),AND(AO294="K5-POLICY",AL294&lt;&gt;"นิติศาสตร์",OR(K294="S2",K294="K5")),R294,TRUE,"Check Data")</f>
        <v/>
      </c>
      <c r="AQ294" s="75" t="str">
        <f t="shared" si="138"/>
        <v>Check Data</v>
      </c>
      <c r="AR294" s="76" t="str">
        <f t="shared" si="139"/>
        <v>Check Data</v>
      </c>
      <c r="AS294" s="50" t="str">
        <f t="shared" si="140"/>
        <v>Check Data</v>
      </c>
      <c r="AT294" s="49" t="str">
        <f>IF(B294="","",IF(K294="S1","S1",INDEX(#REF!,#REF!)))</f>
        <v/>
      </c>
      <c r="AU294" s="49" t="str">
        <f t="shared" si="141"/>
        <v>M2</v>
      </c>
      <c r="AV294" s="50" t="b">
        <f t="shared" si="142"/>
        <v>0</v>
      </c>
      <c r="AW294" s="50"/>
    </row>
    <row r="295" spans="1:49" ht="21.75">
      <c r="A295" s="49">
        <v>293</v>
      </c>
      <c r="B295" s="50"/>
      <c r="C295" s="52"/>
      <c r="D295" s="50"/>
      <c r="E295" s="49"/>
      <c r="F295" s="49"/>
      <c r="G295" s="50">
        <f t="shared" si="127"/>
        <v>0</v>
      </c>
      <c r="H295" s="50">
        <f t="shared" si="128"/>
        <v>0</v>
      </c>
      <c r="I295" s="50">
        <f t="shared" si="129"/>
        <v>0</v>
      </c>
      <c r="J295" s="50"/>
      <c r="K295" s="49" t="s">
        <v>136</v>
      </c>
      <c r="L295" s="49" t="str">
        <f>IF(B295="","",IF(K295="S1",K295,INDEX(#REF!,#REF!)))</f>
        <v/>
      </c>
      <c r="M295" s="49" t="b">
        <f t="shared" si="130"/>
        <v>0</v>
      </c>
      <c r="N295" s="64"/>
      <c r="O295" s="49"/>
      <c r="P295" s="49"/>
      <c r="Q295" s="65" t="s">
        <v>442</v>
      </c>
      <c r="R295" s="49" t="str">
        <f t="shared" si="131"/>
        <v>26/11/2024</v>
      </c>
      <c r="S295" s="49" t="str">
        <f>IF(B295="","",IF(K295="S1",K295,INDEX(#REF!,#REF!)))</f>
        <v/>
      </c>
      <c r="T295" s="49" t="b">
        <f t="shared" si="132"/>
        <v>0</v>
      </c>
      <c r="U295" s="68">
        <f t="shared" si="133"/>
        <v>0</v>
      </c>
      <c r="V295" s="68">
        <f t="shared" si="134"/>
        <v>6</v>
      </c>
      <c r="W295" s="68">
        <f t="shared" si="135"/>
        <v>25</v>
      </c>
      <c r="X295" s="68"/>
      <c r="Y295" s="65"/>
      <c r="Z295" s="65"/>
      <c r="AA295" s="49"/>
      <c r="AB295" s="68"/>
      <c r="AC295" s="68"/>
      <c r="AD295" s="68"/>
      <c r="AE295" s="49"/>
      <c r="AF295" s="65"/>
      <c r="AG295" s="50"/>
      <c r="AH295" s="68"/>
      <c r="AI295" s="68"/>
      <c r="AJ295" s="68"/>
      <c r="AK295" s="50"/>
      <c r="AL295" s="50"/>
      <c r="AM295" s="50" t="str">
        <f>IF(B295="","",IF(K295="S1",K295,INDEX(#REF!,#REF!)))</f>
        <v/>
      </c>
      <c r="AN295" s="50" t="b">
        <f t="shared" si="136"/>
        <v>1</v>
      </c>
      <c r="AO295" s="49" t="str">
        <f t="shared" si="137"/>
        <v>K5-POLICY</v>
      </c>
      <c r="AP295" s="72" t="str">
        <f>_xlfn.IFS(B295="","",AND(AO295="K5-LAW",AL295="นิติศาสตร์",K295="S2",Y295="",AE295=""),R295,AND(AO295="K5-LAW",AL295="นิติศาสตร์",K295="S1",Y295="",AE295=""),EDATE(R295,12),AND(AO295="K5-LAW",AL295="นิติศาสตร์",OR(K295="M2",K295="K4"),Y295="",AE295=""),EDATE(R295,12*2),AND(AO295="K5-LAW",AL295="นิติศาสตร์",OR(AE295="M2",AE295="K4"),AH295&gt;=2,OR(AG295&lt;AA295,AG295&lt;R295)),EDATE(AG295,12*2),AND(AO295="K5-LAW",AL295="นิติศาสตร์",AE295="S1",AH295&gt;=1,OR(AG295&lt;AA295,AG295&lt;R295)),EDATE(AG295,12),AND(AO295="K5-LAW",AL295="นิติศาสตร์",OR(Y295="M2",Y295="K4"),AB295&gt;=2,AA295&lt;R295),EDATE(AA295,12*2),AND(AO295="K5-LAW",AL295="นิติศาสตร์",Y295="S1",AB295&gt;=1,AA295&lt;R295),EDATE(AA295,12),AND(AO295="K5-LAW",AL295="นิติศาสตร์",OR(Y295="S2",Y295="K5")),AA295,AND(AO295="K5-LAW",AL295="นิติศาสตร์",OR(K295="M2",K295="K4"),U295&gt;=2),EDATE(R295,12*2),AND(AO295="K5-LAW",AL295="นิติศาสตร์",K295="S1",U295&gt;=1),EDATE(R295,12),AND(AO295="K5-LAW",AL295="นิติศาสตร์",OR(K295="S2",K295="K5")),R295,AND(AO295="K5-POLICY",AL295&lt;&gt;"นิติศาสตร์",K295="S2",Y295="",AE295=""),R295,AND(AO295="K5-POLICY",AL295&lt;&gt;"นิติศาสตร์",K295="S1",Y295="",AE295=""),EDATE(R295,12),AND(AO295="K5-POLICY",AL295&lt;&gt;"นิติศาสตร์",OR(K295="M2",K295="K4"),Y295="",AE295=""),EDATE(R295,12*2),AND(AO295="K5-POLICY",AL295&lt;&gt;"นิติศาสตร์",OR(AE295="M2",AE295="K4"),AH295&gt;=2,OR(AG295&lt;AA295,AG295&lt;R295)),EDATE(AG295,12*2),AND(AO295="K5-POLICY",AL295&lt;&gt;"นิติศาสตร์",AE295="S1",AH295&gt;=1,OR(AG295&lt;AA295,AG295&lt;R295)),EDATE(AG295,12),AND(AO295="K5-POLICY",AL295&lt;&gt;"นิติศาสตร์",OR(Y295="M2",Y295="K4"),AB295&gt;=2,AA295&lt;R295),EDATE(AA295,12*2),AND(AO295="K5-POLICY",AL295&lt;&gt;"นิติศาสตร์",Y295="S1",AB295&gt;=1,AA295&lt;R295),EDATE(AA295,12),AND(AO295="K5-POLICY",AL295&lt;&gt;"นิติศาสตร์",OR(Y295="S2",Y295="K5")),AA295,AND(AO295="K5-POLICY",AL295&lt;&gt;"นิติศาสตร์",OR(K295="M2",K295="K4"),U295&gt;=2),EDATE(R295,12*2),AND(AO295="K5-POLICY",AL295&lt;&gt;"นิติศาสตร์",K295="S1",U295&gt;=1),EDATE(R295,12),AND(AO295="K5-POLICY",AL295&lt;&gt;"นิติศาสตร์",OR(K295="S2",K295="K5")),R295,TRUE,"Check Data")</f>
        <v/>
      </c>
      <c r="AQ295" s="75" t="str">
        <f t="shared" si="138"/>
        <v>Check Data</v>
      </c>
      <c r="AR295" s="76" t="str">
        <f t="shared" si="139"/>
        <v>Check Data</v>
      </c>
      <c r="AS295" s="50" t="str">
        <f t="shared" si="140"/>
        <v>Check Data</v>
      </c>
      <c r="AT295" s="49" t="str">
        <f>IF(B295="","",IF(K295="S1","S1",INDEX(#REF!,#REF!)))</f>
        <v/>
      </c>
      <c r="AU295" s="49" t="str">
        <f t="shared" si="141"/>
        <v>M2</v>
      </c>
      <c r="AV295" s="50" t="b">
        <f t="shared" si="142"/>
        <v>0</v>
      </c>
      <c r="AW295" s="50"/>
    </row>
    <row r="296" spans="1:49" ht="21.75">
      <c r="A296" s="49">
        <v>294</v>
      </c>
      <c r="B296" s="50"/>
      <c r="C296" s="52"/>
      <c r="D296" s="50"/>
      <c r="E296" s="49"/>
      <c r="F296" s="49"/>
      <c r="G296" s="50">
        <f t="shared" si="127"/>
        <v>0</v>
      </c>
      <c r="H296" s="50">
        <f t="shared" si="128"/>
        <v>0</v>
      </c>
      <c r="I296" s="50">
        <f t="shared" si="129"/>
        <v>0</v>
      </c>
      <c r="J296" s="50"/>
      <c r="K296" s="49" t="s">
        <v>136</v>
      </c>
      <c r="L296" s="49" t="str">
        <f>IF(B296="","",IF(K296="S1",K296,INDEX(#REF!,#REF!)))</f>
        <v/>
      </c>
      <c r="M296" s="49" t="b">
        <f t="shared" si="130"/>
        <v>0</v>
      </c>
      <c r="N296" s="64"/>
      <c r="O296" s="49"/>
      <c r="P296" s="49"/>
      <c r="Q296" s="65" t="s">
        <v>442</v>
      </c>
      <c r="R296" s="49" t="str">
        <f t="shared" si="131"/>
        <v>26/11/2024</v>
      </c>
      <c r="S296" s="49" t="str">
        <f>IF(B296="","",IF(K296="S1",K296,INDEX(#REF!,#REF!)))</f>
        <v/>
      </c>
      <c r="T296" s="49" t="b">
        <f t="shared" si="132"/>
        <v>0</v>
      </c>
      <c r="U296" s="68">
        <f t="shared" si="133"/>
        <v>0</v>
      </c>
      <c r="V296" s="68">
        <f t="shared" si="134"/>
        <v>6</v>
      </c>
      <c r="W296" s="68">
        <f t="shared" si="135"/>
        <v>25</v>
      </c>
      <c r="X296" s="68"/>
      <c r="Y296" s="65"/>
      <c r="Z296" s="65"/>
      <c r="AA296" s="49"/>
      <c r="AB296" s="68"/>
      <c r="AC296" s="68"/>
      <c r="AD296" s="68"/>
      <c r="AE296" s="49"/>
      <c r="AF296" s="65"/>
      <c r="AG296" s="50"/>
      <c r="AH296" s="68"/>
      <c r="AI296" s="68"/>
      <c r="AJ296" s="68"/>
      <c r="AK296" s="50"/>
      <c r="AL296" s="50"/>
      <c r="AM296" s="50" t="str">
        <f>IF(B296="","",IF(K296="S1",K296,INDEX(#REF!,#REF!)))</f>
        <v/>
      </c>
      <c r="AN296" s="50" t="b">
        <f t="shared" si="136"/>
        <v>1</v>
      </c>
      <c r="AO296" s="49" t="str">
        <f t="shared" si="137"/>
        <v>K5-POLICY</v>
      </c>
      <c r="AP296" s="72" t="str">
        <f>_xlfn.IFS(B296="","",AND(AO296="K5-LAW",AL296="นิติศาสตร์",K296="S2",Y296="",AE296=""),R296,AND(AO296="K5-LAW",AL296="นิติศาสตร์",K296="S1",Y296="",AE296=""),EDATE(R296,12),AND(AO296="K5-LAW",AL296="นิติศาสตร์",OR(K296="M2",K296="K4"),Y296="",AE296=""),EDATE(R296,12*2),AND(AO296="K5-LAW",AL296="นิติศาสตร์",OR(AE296="M2",AE296="K4"),AH296&gt;=2,OR(AG296&lt;AA296,AG296&lt;R296)),EDATE(AG296,12*2),AND(AO296="K5-LAW",AL296="นิติศาสตร์",AE296="S1",AH296&gt;=1,OR(AG296&lt;AA296,AG296&lt;R296)),EDATE(AG296,12),AND(AO296="K5-LAW",AL296="นิติศาสตร์",OR(Y296="M2",Y296="K4"),AB296&gt;=2,AA296&lt;R296),EDATE(AA296,12*2),AND(AO296="K5-LAW",AL296="นิติศาสตร์",Y296="S1",AB296&gt;=1,AA296&lt;R296),EDATE(AA296,12),AND(AO296="K5-LAW",AL296="นิติศาสตร์",OR(Y296="S2",Y296="K5")),AA296,AND(AO296="K5-LAW",AL296="นิติศาสตร์",OR(K296="M2",K296="K4"),U296&gt;=2),EDATE(R296,12*2),AND(AO296="K5-LAW",AL296="นิติศาสตร์",K296="S1",U296&gt;=1),EDATE(R296,12),AND(AO296="K5-LAW",AL296="นิติศาสตร์",OR(K296="S2",K296="K5")),R296,AND(AO296="K5-POLICY",AL296&lt;&gt;"นิติศาสตร์",K296="S2",Y296="",AE296=""),R296,AND(AO296="K5-POLICY",AL296&lt;&gt;"นิติศาสตร์",K296="S1",Y296="",AE296=""),EDATE(R296,12),AND(AO296="K5-POLICY",AL296&lt;&gt;"นิติศาสตร์",OR(K296="M2",K296="K4"),Y296="",AE296=""),EDATE(R296,12*2),AND(AO296="K5-POLICY",AL296&lt;&gt;"นิติศาสตร์",OR(AE296="M2",AE296="K4"),AH296&gt;=2,OR(AG296&lt;AA296,AG296&lt;R296)),EDATE(AG296,12*2),AND(AO296="K5-POLICY",AL296&lt;&gt;"นิติศาสตร์",AE296="S1",AH296&gt;=1,OR(AG296&lt;AA296,AG296&lt;R296)),EDATE(AG296,12),AND(AO296="K5-POLICY",AL296&lt;&gt;"นิติศาสตร์",OR(Y296="M2",Y296="K4"),AB296&gt;=2,AA296&lt;R296),EDATE(AA296,12*2),AND(AO296="K5-POLICY",AL296&lt;&gt;"นิติศาสตร์",Y296="S1",AB296&gt;=1,AA296&lt;R296),EDATE(AA296,12),AND(AO296="K5-POLICY",AL296&lt;&gt;"นิติศาสตร์",OR(Y296="S2",Y296="K5")),AA296,AND(AO296="K5-POLICY",AL296&lt;&gt;"นิติศาสตร์",OR(K296="M2",K296="K4"),U296&gt;=2),EDATE(R296,12*2),AND(AO296="K5-POLICY",AL296&lt;&gt;"นิติศาสตร์",K296="S1",U296&gt;=1),EDATE(R296,12),AND(AO296="K5-POLICY",AL296&lt;&gt;"นิติศาสตร์",OR(K296="S2",K296="K5")),R296,TRUE,"Check Data")</f>
        <v/>
      </c>
      <c r="AQ296" s="75" t="str">
        <f t="shared" si="138"/>
        <v>Check Data</v>
      </c>
      <c r="AR296" s="76" t="str">
        <f t="shared" si="139"/>
        <v>Check Data</v>
      </c>
      <c r="AS296" s="50" t="str">
        <f t="shared" si="140"/>
        <v>Check Data</v>
      </c>
      <c r="AT296" s="49" t="str">
        <f>IF(B296="","",IF(K296="S1","S1",INDEX(#REF!,#REF!)))</f>
        <v/>
      </c>
      <c r="AU296" s="49" t="str">
        <f t="shared" si="141"/>
        <v>M2</v>
      </c>
      <c r="AV296" s="50" t="b">
        <f t="shared" si="142"/>
        <v>0</v>
      </c>
      <c r="AW296" s="50"/>
    </row>
    <row r="297" spans="1:49" ht="21.75">
      <c r="A297" s="49">
        <v>295</v>
      </c>
      <c r="B297" s="50"/>
      <c r="C297" s="52"/>
      <c r="D297" s="50"/>
      <c r="E297" s="49"/>
      <c r="F297" s="49"/>
      <c r="G297" s="50">
        <f t="shared" si="127"/>
        <v>0</v>
      </c>
      <c r="H297" s="50">
        <f t="shared" si="128"/>
        <v>0</v>
      </c>
      <c r="I297" s="50">
        <f t="shared" si="129"/>
        <v>0</v>
      </c>
      <c r="J297" s="50"/>
      <c r="K297" s="49" t="s">
        <v>136</v>
      </c>
      <c r="L297" s="49" t="str">
        <f>IF(B297="","",IF(K297="S1",K297,INDEX(#REF!,#REF!)))</f>
        <v/>
      </c>
      <c r="M297" s="49" t="b">
        <f t="shared" si="130"/>
        <v>0</v>
      </c>
      <c r="N297" s="64"/>
      <c r="O297" s="49"/>
      <c r="P297" s="49"/>
      <c r="Q297" s="65" t="s">
        <v>442</v>
      </c>
      <c r="R297" s="49" t="str">
        <f t="shared" si="131"/>
        <v>26/11/2024</v>
      </c>
      <c r="S297" s="49" t="str">
        <f>IF(B297="","",IF(K297="S1",K297,INDEX(#REF!,#REF!)))</f>
        <v/>
      </c>
      <c r="T297" s="49" t="b">
        <f t="shared" si="132"/>
        <v>0</v>
      </c>
      <c r="U297" s="68">
        <f t="shared" si="133"/>
        <v>0</v>
      </c>
      <c r="V297" s="68">
        <f t="shared" si="134"/>
        <v>6</v>
      </c>
      <c r="W297" s="68">
        <f t="shared" si="135"/>
        <v>25</v>
      </c>
      <c r="X297" s="68"/>
      <c r="Y297" s="65"/>
      <c r="Z297" s="65"/>
      <c r="AA297" s="49"/>
      <c r="AB297" s="68"/>
      <c r="AC297" s="68"/>
      <c r="AD297" s="68"/>
      <c r="AE297" s="49"/>
      <c r="AF297" s="65"/>
      <c r="AG297" s="50"/>
      <c r="AH297" s="68"/>
      <c r="AI297" s="68"/>
      <c r="AJ297" s="68"/>
      <c r="AK297" s="50"/>
      <c r="AL297" s="50"/>
      <c r="AM297" s="50" t="str">
        <f>IF(B297="","",IF(K297="S1",K297,INDEX(#REF!,#REF!)))</f>
        <v/>
      </c>
      <c r="AN297" s="50" t="b">
        <f t="shared" si="136"/>
        <v>1</v>
      </c>
      <c r="AO297" s="49" t="str">
        <f t="shared" si="137"/>
        <v>K5-POLICY</v>
      </c>
      <c r="AP297" s="72" t="str">
        <f>_xlfn.IFS(B297="","",AND(AO297="K5-LAW",AL297="นิติศาสตร์",K297="S2",Y297="",AE297=""),R297,AND(AO297="K5-LAW",AL297="นิติศาสตร์",K297="S1",Y297="",AE297=""),EDATE(R297,12),AND(AO297="K5-LAW",AL297="นิติศาสตร์",OR(K297="M2",K297="K4"),Y297="",AE297=""),EDATE(R297,12*2),AND(AO297="K5-LAW",AL297="นิติศาสตร์",OR(AE297="M2",AE297="K4"),AH297&gt;=2,OR(AG297&lt;AA297,AG297&lt;R297)),EDATE(AG297,12*2),AND(AO297="K5-LAW",AL297="นิติศาสตร์",AE297="S1",AH297&gt;=1,OR(AG297&lt;AA297,AG297&lt;R297)),EDATE(AG297,12),AND(AO297="K5-LAW",AL297="นิติศาสตร์",OR(Y297="M2",Y297="K4"),AB297&gt;=2,AA297&lt;R297),EDATE(AA297,12*2),AND(AO297="K5-LAW",AL297="นิติศาสตร์",Y297="S1",AB297&gt;=1,AA297&lt;R297),EDATE(AA297,12),AND(AO297="K5-LAW",AL297="นิติศาสตร์",OR(Y297="S2",Y297="K5")),AA297,AND(AO297="K5-LAW",AL297="นิติศาสตร์",OR(K297="M2",K297="K4"),U297&gt;=2),EDATE(R297,12*2),AND(AO297="K5-LAW",AL297="นิติศาสตร์",K297="S1",U297&gt;=1),EDATE(R297,12),AND(AO297="K5-LAW",AL297="นิติศาสตร์",OR(K297="S2",K297="K5")),R297,AND(AO297="K5-POLICY",AL297&lt;&gt;"นิติศาสตร์",K297="S2",Y297="",AE297=""),R297,AND(AO297="K5-POLICY",AL297&lt;&gt;"นิติศาสตร์",K297="S1",Y297="",AE297=""),EDATE(R297,12),AND(AO297="K5-POLICY",AL297&lt;&gt;"นิติศาสตร์",OR(K297="M2",K297="K4"),Y297="",AE297=""),EDATE(R297,12*2),AND(AO297="K5-POLICY",AL297&lt;&gt;"นิติศาสตร์",OR(AE297="M2",AE297="K4"),AH297&gt;=2,OR(AG297&lt;AA297,AG297&lt;R297)),EDATE(AG297,12*2),AND(AO297="K5-POLICY",AL297&lt;&gt;"นิติศาสตร์",AE297="S1",AH297&gt;=1,OR(AG297&lt;AA297,AG297&lt;R297)),EDATE(AG297,12),AND(AO297="K5-POLICY",AL297&lt;&gt;"นิติศาสตร์",OR(Y297="M2",Y297="K4"),AB297&gt;=2,AA297&lt;R297),EDATE(AA297,12*2),AND(AO297="K5-POLICY",AL297&lt;&gt;"นิติศาสตร์",Y297="S1",AB297&gt;=1,AA297&lt;R297),EDATE(AA297,12),AND(AO297="K5-POLICY",AL297&lt;&gt;"นิติศาสตร์",OR(Y297="S2",Y297="K5")),AA297,AND(AO297="K5-POLICY",AL297&lt;&gt;"นิติศาสตร์",OR(K297="M2",K297="K4"),U297&gt;=2),EDATE(R297,12*2),AND(AO297="K5-POLICY",AL297&lt;&gt;"นิติศาสตร์",K297="S1",U297&gt;=1),EDATE(R297,12),AND(AO297="K5-POLICY",AL297&lt;&gt;"นิติศาสตร์",OR(K297="S2",K297="K5")),R297,TRUE,"Check Data")</f>
        <v/>
      </c>
      <c r="AQ297" s="75" t="str">
        <f t="shared" si="138"/>
        <v>Check Data</v>
      </c>
      <c r="AR297" s="76" t="str">
        <f t="shared" si="139"/>
        <v>Check Data</v>
      </c>
      <c r="AS297" s="50" t="str">
        <f t="shared" si="140"/>
        <v>Check Data</v>
      </c>
      <c r="AT297" s="49" t="str">
        <f>IF(B297="","",IF(K297="S1","S1",INDEX(#REF!,#REF!)))</f>
        <v/>
      </c>
      <c r="AU297" s="49" t="str">
        <f t="shared" si="141"/>
        <v>M2</v>
      </c>
      <c r="AV297" s="50" t="b">
        <f t="shared" si="142"/>
        <v>0</v>
      </c>
      <c r="AW297" s="50"/>
    </row>
    <row r="298" spans="1:49" ht="21.75">
      <c r="A298" s="49">
        <v>296</v>
      </c>
      <c r="B298" s="50"/>
      <c r="C298" s="52"/>
      <c r="D298" s="50"/>
      <c r="E298" s="49"/>
      <c r="F298" s="49"/>
      <c r="G298" s="50">
        <f t="shared" si="127"/>
        <v>0</v>
      </c>
      <c r="H298" s="50">
        <f t="shared" si="128"/>
        <v>0</v>
      </c>
      <c r="I298" s="50">
        <f t="shared" si="129"/>
        <v>0</v>
      </c>
      <c r="J298" s="50"/>
      <c r="K298" s="49" t="s">
        <v>136</v>
      </c>
      <c r="L298" s="49" t="str">
        <f>IF(B298="","",IF(K298="S1",K298,INDEX(#REF!,#REF!)))</f>
        <v/>
      </c>
      <c r="M298" s="49" t="b">
        <f t="shared" si="130"/>
        <v>0</v>
      </c>
      <c r="N298" s="64"/>
      <c r="O298" s="49"/>
      <c r="P298" s="49"/>
      <c r="Q298" s="65" t="s">
        <v>442</v>
      </c>
      <c r="R298" s="49" t="str">
        <f t="shared" si="131"/>
        <v>26/11/2024</v>
      </c>
      <c r="S298" s="49" t="str">
        <f>IF(B298="","",IF(K298="S1",K298,INDEX(#REF!,#REF!)))</f>
        <v/>
      </c>
      <c r="T298" s="49" t="b">
        <f t="shared" si="132"/>
        <v>0</v>
      </c>
      <c r="U298" s="68">
        <f t="shared" si="133"/>
        <v>0</v>
      </c>
      <c r="V298" s="68">
        <f t="shared" si="134"/>
        <v>6</v>
      </c>
      <c r="W298" s="68">
        <f t="shared" si="135"/>
        <v>25</v>
      </c>
      <c r="X298" s="68"/>
      <c r="Y298" s="65"/>
      <c r="Z298" s="65"/>
      <c r="AA298" s="49"/>
      <c r="AB298" s="68"/>
      <c r="AC298" s="68"/>
      <c r="AD298" s="68"/>
      <c r="AE298" s="49"/>
      <c r="AF298" s="65"/>
      <c r="AG298" s="50"/>
      <c r="AH298" s="68"/>
      <c r="AI298" s="68"/>
      <c r="AJ298" s="68"/>
      <c r="AK298" s="50"/>
      <c r="AL298" s="50"/>
      <c r="AM298" s="50" t="str">
        <f>IF(B298="","",IF(K298="S1",K298,INDEX(#REF!,#REF!)))</f>
        <v/>
      </c>
      <c r="AN298" s="50" t="b">
        <f t="shared" si="136"/>
        <v>1</v>
      </c>
      <c r="AO298" s="49" t="str">
        <f t="shared" si="137"/>
        <v>K5-POLICY</v>
      </c>
      <c r="AP298" s="72" t="str">
        <f>_xlfn.IFS(B298="","",AND(AO298="K5-LAW",AL298="นิติศาสตร์",K298="S2",Y298="",AE298=""),R298,AND(AO298="K5-LAW",AL298="นิติศาสตร์",K298="S1",Y298="",AE298=""),EDATE(R298,12),AND(AO298="K5-LAW",AL298="นิติศาสตร์",OR(K298="M2",K298="K4"),Y298="",AE298=""),EDATE(R298,12*2),AND(AO298="K5-LAW",AL298="นิติศาสตร์",OR(AE298="M2",AE298="K4"),AH298&gt;=2,OR(AG298&lt;AA298,AG298&lt;R298)),EDATE(AG298,12*2),AND(AO298="K5-LAW",AL298="นิติศาสตร์",AE298="S1",AH298&gt;=1,OR(AG298&lt;AA298,AG298&lt;R298)),EDATE(AG298,12),AND(AO298="K5-LAW",AL298="นิติศาสตร์",OR(Y298="M2",Y298="K4"),AB298&gt;=2,AA298&lt;R298),EDATE(AA298,12*2),AND(AO298="K5-LAW",AL298="นิติศาสตร์",Y298="S1",AB298&gt;=1,AA298&lt;R298),EDATE(AA298,12),AND(AO298="K5-LAW",AL298="นิติศาสตร์",OR(Y298="S2",Y298="K5")),AA298,AND(AO298="K5-LAW",AL298="นิติศาสตร์",OR(K298="M2",K298="K4"),U298&gt;=2),EDATE(R298,12*2),AND(AO298="K5-LAW",AL298="นิติศาสตร์",K298="S1",U298&gt;=1),EDATE(R298,12),AND(AO298="K5-LAW",AL298="นิติศาสตร์",OR(K298="S2",K298="K5")),R298,AND(AO298="K5-POLICY",AL298&lt;&gt;"นิติศาสตร์",K298="S2",Y298="",AE298=""),R298,AND(AO298="K5-POLICY",AL298&lt;&gt;"นิติศาสตร์",K298="S1",Y298="",AE298=""),EDATE(R298,12),AND(AO298="K5-POLICY",AL298&lt;&gt;"นิติศาสตร์",OR(K298="M2",K298="K4"),Y298="",AE298=""),EDATE(R298,12*2),AND(AO298="K5-POLICY",AL298&lt;&gt;"นิติศาสตร์",OR(AE298="M2",AE298="K4"),AH298&gt;=2,OR(AG298&lt;AA298,AG298&lt;R298)),EDATE(AG298,12*2),AND(AO298="K5-POLICY",AL298&lt;&gt;"นิติศาสตร์",AE298="S1",AH298&gt;=1,OR(AG298&lt;AA298,AG298&lt;R298)),EDATE(AG298,12),AND(AO298="K5-POLICY",AL298&lt;&gt;"นิติศาสตร์",OR(Y298="M2",Y298="K4"),AB298&gt;=2,AA298&lt;R298),EDATE(AA298,12*2),AND(AO298="K5-POLICY",AL298&lt;&gt;"นิติศาสตร์",Y298="S1",AB298&gt;=1,AA298&lt;R298),EDATE(AA298,12),AND(AO298="K5-POLICY",AL298&lt;&gt;"นิติศาสตร์",OR(Y298="S2",Y298="K5")),AA298,AND(AO298="K5-POLICY",AL298&lt;&gt;"นิติศาสตร์",OR(K298="M2",K298="K4"),U298&gt;=2),EDATE(R298,12*2),AND(AO298="K5-POLICY",AL298&lt;&gt;"นิติศาสตร์",K298="S1",U298&gt;=1),EDATE(R298,12),AND(AO298="K5-POLICY",AL298&lt;&gt;"นิติศาสตร์",OR(K298="S2",K298="K5")),R298,TRUE,"Check Data")</f>
        <v/>
      </c>
      <c r="AQ298" s="75" t="str">
        <f t="shared" si="138"/>
        <v>Check Data</v>
      </c>
      <c r="AR298" s="76" t="str">
        <f t="shared" si="139"/>
        <v>Check Data</v>
      </c>
      <c r="AS298" s="50" t="str">
        <f t="shared" si="140"/>
        <v>Check Data</v>
      </c>
      <c r="AT298" s="49" t="str">
        <f>IF(B298="","",IF(K298="S1","S1",INDEX(#REF!,#REF!)))</f>
        <v/>
      </c>
      <c r="AU298" s="49" t="str">
        <f t="shared" si="141"/>
        <v>M2</v>
      </c>
      <c r="AV298" s="50" t="b">
        <f t="shared" si="142"/>
        <v>0</v>
      </c>
      <c r="AW298" s="50"/>
    </row>
    <row r="299" spans="1:49" ht="21.75">
      <c r="A299" s="49">
        <v>297</v>
      </c>
      <c r="B299" s="50"/>
      <c r="C299" s="52"/>
      <c r="D299" s="50"/>
      <c r="E299" s="49"/>
      <c r="F299" s="49"/>
      <c r="G299" s="50">
        <f t="shared" si="127"/>
        <v>0</v>
      </c>
      <c r="H299" s="50">
        <f t="shared" si="128"/>
        <v>0</v>
      </c>
      <c r="I299" s="50">
        <f t="shared" si="129"/>
        <v>0</v>
      </c>
      <c r="J299" s="50"/>
      <c r="K299" s="49" t="s">
        <v>136</v>
      </c>
      <c r="L299" s="49" t="str">
        <f>IF(B299="","",IF(K299="S1",K299,INDEX(#REF!,#REF!)))</f>
        <v/>
      </c>
      <c r="M299" s="49" t="b">
        <f t="shared" si="130"/>
        <v>0</v>
      </c>
      <c r="N299" s="64"/>
      <c r="O299" s="49"/>
      <c r="P299" s="49"/>
      <c r="Q299" s="65" t="s">
        <v>442</v>
      </c>
      <c r="R299" s="49" t="str">
        <f t="shared" si="131"/>
        <v>26/11/2024</v>
      </c>
      <c r="S299" s="49" t="str">
        <f>IF(B299="","",IF(K299="S1",K299,INDEX(#REF!,#REF!)))</f>
        <v/>
      </c>
      <c r="T299" s="49" t="b">
        <f t="shared" si="132"/>
        <v>0</v>
      </c>
      <c r="U299" s="68">
        <f t="shared" si="133"/>
        <v>0</v>
      </c>
      <c r="V299" s="68">
        <f t="shared" si="134"/>
        <v>6</v>
      </c>
      <c r="W299" s="68">
        <f t="shared" si="135"/>
        <v>25</v>
      </c>
      <c r="X299" s="68"/>
      <c r="Y299" s="65"/>
      <c r="Z299" s="65"/>
      <c r="AA299" s="49"/>
      <c r="AB299" s="68"/>
      <c r="AC299" s="68"/>
      <c r="AD299" s="68"/>
      <c r="AE299" s="49"/>
      <c r="AF299" s="65"/>
      <c r="AG299" s="50"/>
      <c r="AH299" s="68"/>
      <c r="AI299" s="68"/>
      <c r="AJ299" s="68"/>
      <c r="AK299" s="50"/>
      <c r="AL299" s="50"/>
      <c r="AM299" s="50" t="str">
        <f>IF(B299="","",IF(K299="S1",K299,INDEX(#REF!,#REF!)))</f>
        <v/>
      </c>
      <c r="AN299" s="50" t="b">
        <f t="shared" si="136"/>
        <v>1</v>
      </c>
      <c r="AO299" s="49" t="str">
        <f t="shared" si="137"/>
        <v>K5-POLICY</v>
      </c>
      <c r="AP299" s="72" t="str">
        <f>_xlfn.IFS(B299="","",AND(AO299="K5-LAW",AL299="นิติศาสตร์",K299="S2",Y299="",AE299=""),R299,AND(AO299="K5-LAW",AL299="นิติศาสตร์",K299="S1",Y299="",AE299=""),EDATE(R299,12),AND(AO299="K5-LAW",AL299="นิติศาสตร์",OR(K299="M2",K299="K4"),Y299="",AE299=""),EDATE(R299,12*2),AND(AO299="K5-LAW",AL299="นิติศาสตร์",OR(AE299="M2",AE299="K4"),AH299&gt;=2,OR(AG299&lt;AA299,AG299&lt;R299)),EDATE(AG299,12*2),AND(AO299="K5-LAW",AL299="นิติศาสตร์",AE299="S1",AH299&gt;=1,OR(AG299&lt;AA299,AG299&lt;R299)),EDATE(AG299,12),AND(AO299="K5-LAW",AL299="นิติศาสตร์",OR(Y299="M2",Y299="K4"),AB299&gt;=2,AA299&lt;R299),EDATE(AA299,12*2),AND(AO299="K5-LAW",AL299="นิติศาสตร์",Y299="S1",AB299&gt;=1,AA299&lt;R299),EDATE(AA299,12),AND(AO299="K5-LAW",AL299="นิติศาสตร์",OR(Y299="S2",Y299="K5")),AA299,AND(AO299="K5-LAW",AL299="นิติศาสตร์",OR(K299="M2",K299="K4"),U299&gt;=2),EDATE(R299,12*2),AND(AO299="K5-LAW",AL299="นิติศาสตร์",K299="S1",U299&gt;=1),EDATE(R299,12),AND(AO299="K5-LAW",AL299="นิติศาสตร์",OR(K299="S2",K299="K5")),R299,AND(AO299="K5-POLICY",AL299&lt;&gt;"นิติศาสตร์",K299="S2",Y299="",AE299=""),R299,AND(AO299="K5-POLICY",AL299&lt;&gt;"นิติศาสตร์",K299="S1",Y299="",AE299=""),EDATE(R299,12),AND(AO299="K5-POLICY",AL299&lt;&gt;"นิติศาสตร์",OR(K299="M2",K299="K4"),Y299="",AE299=""),EDATE(R299,12*2),AND(AO299="K5-POLICY",AL299&lt;&gt;"นิติศาสตร์",OR(AE299="M2",AE299="K4"),AH299&gt;=2,OR(AG299&lt;AA299,AG299&lt;R299)),EDATE(AG299,12*2),AND(AO299="K5-POLICY",AL299&lt;&gt;"นิติศาสตร์",AE299="S1",AH299&gt;=1,OR(AG299&lt;AA299,AG299&lt;R299)),EDATE(AG299,12),AND(AO299="K5-POLICY",AL299&lt;&gt;"นิติศาสตร์",OR(Y299="M2",Y299="K4"),AB299&gt;=2,AA299&lt;R299),EDATE(AA299,12*2),AND(AO299="K5-POLICY",AL299&lt;&gt;"นิติศาสตร์",Y299="S1",AB299&gt;=1,AA299&lt;R299),EDATE(AA299,12),AND(AO299="K5-POLICY",AL299&lt;&gt;"นิติศาสตร์",OR(Y299="S2",Y299="K5")),AA299,AND(AO299="K5-POLICY",AL299&lt;&gt;"นิติศาสตร์",OR(K299="M2",K299="K4"),U299&gt;=2),EDATE(R299,12*2),AND(AO299="K5-POLICY",AL299&lt;&gt;"นิติศาสตร์",K299="S1",U299&gt;=1),EDATE(R299,12),AND(AO299="K5-POLICY",AL299&lt;&gt;"นิติศาสตร์",OR(K299="S2",K299="K5")),R299,TRUE,"Check Data")</f>
        <v/>
      </c>
      <c r="AQ299" s="75" t="str">
        <f t="shared" si="138"/>
        <v>Check Data</v>
      </c>
      <c r="AR299" s="76" t="str">
        <f t="shared" si="139"/>
        <v>Check Data</v>
      </c>
      <c r="AS299" s="50" t="str">
        <f t="shared" si="140"/>
        <v>Check Data</v>
      </c>
      <c r="AT299" s="49" t="str">
        <f>IF(B299="","",IF(K299="S1","S1",INDEX(#REF!,#REF!)))</f>
        <v/>
      </c>
      <c r="AU299" s="49" t="str">
        <f t="shared" si="141"/>
        <v>M2</v>
      </c>
      <c r="AV299" s="50" t="b">
        <f t="shared" si="142"/>
        <v>0</v>
      </c>
      <c r="AW299" s="50"/>
    </row>
    <row r="300" spans="1:49" ht="21.75">
      <c r="A300" s="49">
        <v>298</v>
      </c>
      <c r="B300" s="50"/>
      <c r="C300" s="52"/>
      <c r="D300" s="50"/>
      <c r="E300" s="49"/>
      <c r="F300" s="49"/>
      <c r="G300" s="50">
        <f t="shared" si="127"/>
        <v>0</v>
      </c>
      <c r="H300" s="50">
        <f t="shared" si="128"/>
        <v>0</v>
      </c>
      <c r="I300" s="50">
        <f t="shared" si="129"/>
        <v>0</v>
      </c>
      <c r="J300" s="50"/>
      <c r="K300" s="49" t="s">
        <v>136</v>
      </c>
      <c r="L300" s="49" t="str">
        <f>IF(B300="","",IF(K300="S1",K300,INDEX(#REF!,#REF!)))</f>
        <v/>
      </c>
      <c r="M300" s="49" t="b">
        <f t="shared" si="130"/>
        <v>0</v>
      </c>
      <c r="N300" s="64"/>
      <c r="O300" s="49"/>
      <c r="P300" s="49"/>
      <c r="Q300" s="65" t="s">
        <v>442</v>
      </c>
      <c r="R300" s="49" t="str">
        <f t="shared" si="131"/>
        <v>26/11/2024</v>
      </c>
      <c r="S300" s="49" t="str">
        <f>IF(B300="","",IF(K300="S1",K300,INDEX(#REF!,#REF!)))</f>
        <v/>
      </c>
      <c r="T300" s="49" t="b">
        <f t="shared" si="132"/>
        <v>0</v>
      </c>
      <c r="U300" s="68">
        <f t="shared" si="133"/>
        <v>0</v>
      </c>
      <c r="V300" s="68">
        <f t="shared" si="134"/>
        <v>6</v>
      </c>
      <c r="W300" s="68">
        <f t="shared" si="135"/>
        <v>25</v>
      </c>
      <c r="X300" s="68"/>
      <c r="Y300" s="65"/>
      <c r="Z300" s="65"/>
      <c r="AA300" s="49"/>
      <c r="AB300" s="68"/>
      <c r="AC300" s="68"/>
      <c r="AD300" s="68"/>
      <c r="AE300" s="49"/>
      <c r="AF300" s="65"/>
      <c r="AG300" s="50"/>
      <c r="AH300" s="68"/>
      <c r="AI300" s="68"/>
      <c r="AJ300" s="68"/>
      <c r="AK300" s="50"/>
      <c r="AL300" s="50"/>
      <c r="AM300" s="50" t="str">
        <f>IF(B300="","",IF(K300="S1",K300,INDEX(#REF!,#REF!)))</f>
        <v/>
      </c>
      <c r="AN300" s="50" t="b">
        <f t="shared" si="136"/>
        <v>1</v>
      </c>
      <c r="AO300" s="49" t="str">
        <f t="shared" si="137"/>
        <v>K5-POLICY</v>
      </c>
      <c r="AP300" s="72" t="str">
        <f>_xlfn.IFS(B300="","",AND(AO300="K5-LAW",AL300="นิติศาสตร์",K300="S2",Y300="",AE300=""),R300,AND(AO300="K5-LAW",AL300="นิติศาสตร์",K300="S1",Y300="",AE300=""),EDATE(R300,12),AND(AO300="K5-LAW",AL300="นิติศาสตร์",OR(K300="M2",K300="K4"),Y300="",AE300=""),EDATE(R300,12*2),AND(AO300="K5-LAW",AL300="นิติศาสตร์",OR(AE300="M2",AE300="K4"),AH300&gt;=2,OR(AG300&lt;AA300,AG300&lt;R300)),EDATE(AG300,12*2),AND(AO300="K5-LAW",AL300="นิติศาสตร์",AE300="S1",AH300&gt;=1,OR(AG300&lt;AA300,AG300&lt;R300)),EDATE(AG300,12),AND(AO300="K5-LAW",AL300="นิติศาสตร์",OR(Y300="M2",Y300="K4"),AB300&gt;=2,AA300&lt;R300),EDATE(AA300,12*2),AND(AO300="K5-LAW",AL300="นิติศาสตร์",Y300="S1",AB300&gt;=1,AA300&lt;R300),EDATE(AA300,12),AND(AO300="K5-LAW",AL300="นิติศาสตร์",OR(Y300="S2",Y300="K5")),AA300,AND(AO300="K5-LAW",AL300="นิติศาสตร์",OR(K300="M2",K300="K4"),U300&gt;=2),EDATE(R300,12*2),AND(AO300="K5-LAW",AL300="นิติศาสตร์",K300="S1",U300&gt;=1),EDATE(R300,12),AND(AO300="K5-LAW",AL300="นิติศาสตร์",OR(K300="S2",K300="K5")),R300,AND(AO300="K5-POLICY",AL300&lt;&gt;"นิติศาสตร์",K300="S2",Y300="",AE300=""),R300,AND(AO300="K5-POLICY",AL300&lt;&gt;"นิติศาสตร์",K300="S1",Y300="",AE300=""),EDATE(R300,12),AND(AO300="K5-POLICY",AL300&lt;&gt;"นิติศาสตร์",OR(K300="M2",K300="K4"),Y300="",AE300=""),EDATE(R300,12*2),AND(AO300="K5-POLICY",AL300&lt;&gt;"นิติศาสตร์",OR(AE300="M2",AE300="K4"),AH300&gt;=2,OR(AG300&lt;AA300,AG300&lt;R300)),EDATE(AG300,12*2),AND(AO300="K5-POLICY",AL300&lt;&gt;"นิติศาสตร์",AE300="S1",AH300&gt;=1,OR(AG300&lt;AA300,AG300&lt;R300)),EDATE(AG300,12),AND(AO300="K5-POLICY",AL300&lt;&gt;"นิติศาสตร์",OR(Y300="M2",Y300="K4"),AB300&gt;=2,AA300&lt;R300),EDATE(AA300,12*2),AND(AO300="K5-POLICY",AL300&lt;&gt;"นิติศาสตร์",Y300="S1",AB300&gt;=1,AA300&lt;R300),EDATE(AA300,12),AND(AO300="K5-POLICY",AL300&lt;&gt;"นิติศาสตร์",OR(Y300="S2",Y300="K5")),AA300,AND(AO300="K5-POLICY",AL300&lt;&gt;"นิติศาสตร์",OR(K300="M2",K300="K4"),U300&gt;=2),EDATE(R300,12*2),AND(AO300="K5-POLICY",AL300&lt;&gt;"นิติศาสตร์",K300="S1",U300&gt;=1),EDATE(R300,12),AND(AO300="K5-POLICY",AL300&lt;&gt;"นิติศาสตร์",OR(K300="S2",K300="K5")),R300,TRUE,"Check Data")</f>
        <v/>
      </c>
      <c r="AQ300" s="75" t="str">
        <f t="shared" si="138"/>
        <v>Check Data</v>
      </c>
      <c r="AR300" s="76" t="str">
        <f t="shared" si="139"/>
        <v>Check Data</v>
      </c>
      <c r="AS300" s="50" t="str">
        <f t="shared" si="140"/>
        <v>Check Data</v>
      </c>
      <c r="AT300" s="49" t="str">
        <f>IF(B300="","",IF(K300="S1","S1",INDEX(#REF!,#REF!)))</f>
        <v/>
      </c>
      <c r="AU300" s="49" t="str">
        <f t="shared" si="141"/>
        <v>M2</v>
      </c>
      <c r="AV300" s="50" t="b">
        <f t="shared" si="142"/>
        <v>0</v>
      </c>
      <c r="AW300" s="50"/>
    </row>
    <row r="301" spans="1:49" ht="21.75">
      <c r="A301" s="49">
        <v>299</v>
      </c>
      <c r="B301" s="50"/>
      <c r="C301" s="52"/>
      <c r="D301" s="50"/>
      <c r="E301" s="49"/>
      <c r="F301" s="49"/>
      <c r="G301" s="50">
        <f t="shared" si="127"/>
        <v>0</v>
      </c>
      <c r="H301" s="50">
        <f t="shared" si="128"/>
        <v>0</v>
      </c>
      <c r="I301" s="50">
        <f t="shared" si="129"/>
        <v>0</v>
      </c>
      <c r="J301" s="50"/>
      <c r="K301" s="49" t="s">
        <v>136</v>
      </c>
      <c r="L301" s="49" t="str">
        <f>IF(B301="","",IF(K301="S1",K301,INDEX(#REF!,#REF!)))</f>
        <v/>
      </c>
      <c r="M301" s="49" t="b">
        <f t="shared" si="130"/>
        <v>0</v>
      </c>
      <c r="N301" s="64"/>
      <c r="O301" s="49"/>
      <c r="P301" s="49"/>
      <c r="Q301" s="65" t="s">
        <v>442</v>
      </c>
      <c r="R301" s="49" t="str">
        <f t="shared" si="131"/>
        <v>26/11/2024</v>
      </c>
      <c r="S301" s="49" t="str">
        <f>IF(B301="","",IF(K301="S1",K301,INDEX(#REF!,#REF!)))</f>
        <v/>
      </c>
      <c r="T301" s="49" t="b">
        <f t="shared" si="132"/>
        <v>0</v>
      </c>
      <c r="U301" s="68">
        <f t="shared" si="133"/>
        <v>0</v>
      </c>
      <c r="V301" s="68">
        <f t="shared" si="134"/>
        <v>6</v>
      </c>
      <c r="W301" s="68">
        <f t="shared" si="135"/>
        <v>25</v>
      </c>
      <c r="X301" s="68"/>
      <c r="Y301" s="65"/>
      <c r="Z301" s="65"/>
      <c r="AA301" s="49"/>
      <c r="AB301" s="68"/>
      <c r="AC301" s="68"/>
      <c r="AD301" s="68"/>
      <c r="AE301" s="49"/>
      <c r="AF301" s="65"/>
      <c r="AG301" s="50"/>
      <c r="AH301" s="68"/>
      <c r="AI301" s="68"/>
      <c r="AJ301" s="68"/>
      <c r="AK301" s="50"/>
      <c r="AL301" s="50"/>
      <c r="AM301" s="50" t="str">
        <f>IF(B301="","",IF(K301="S1",K301,INDEX(#REF!,#REF!)))</f>
        <v/>
      </c>
      <c r="AN301" s="50" t="b">
        <f t="shared" si="136"/>
        <v>1</v>
      </c>
      <c r="AO301" s="49" t="str">
        <f t="shared" si="137"/>
        <v>K5-POLICY</v>
      </c>
      <c r="AP301" s="72" t="str">
        <f>_xlfn.IFS(B301="","",AND(AO301="K5-LAW",AL301="นิติศาสตร์",K301="S2",Y301="",AE301=""),R301,AND(AO301="K5-LAW",AL301="นิติศาสตร์",K301="S1",Y301="",AE301=""),EDATE(R301,12),AND(AO301="K5-LAW",AL301="นิติศาสตร์",OR(K301="M2",K301="K4"),Y301="",AE301=""),EDATE(R301,12*2),AND(AO301="K5-LAW",AL301="นิติศาสตร์",OR(AE301="M2",AE301="K4"),AH301&gt;=2,OR(AG301&lt;AA301,AG301&lt;R301)),EDATE(AG301,12*2),AND(AO301="K5-LAW",AL301="นิติศาสตร์",AE301="S1",AH301&gt;=1,OR(AG301&lt;AA301,AG301&lt;R301)),EDATE(AG301,12),AND(AO301="K5-LAW",AL301="นิติศาสตร์",OR(Y301="M2",Y301="K4"),AB301&gt;=2,AA301&lt;R301),EDATE(AA301,12*2),AND(AO301="K5-LAW",AL301="นิติศาสตร์",Y301="S1",AB301&gt;=1,AA301&lt;R301),EDATE(AA301,12),AND(AO301="K5-LAW",AL301="นิติศาสตร์",OR(Y301="S2",Y301="K5")),AA301,AND(AO301="K5-LAW",AL301="นิติศาสตร์",OR(K301="M2",K301="K4"),U301&gt;=2),EDATE(R301,12*2),AND(AO301="K5-LAW",AL301="นิติศาสตร์",K301="S1",U301&gt;=1),EDATE(R301,12),AND(AO301="K5-LAW",AL301="นิติศาสตร์",OR(K301="S2",K301="K5")),R301,AND(AO301="K5-POLICY",AL301&lt;&gt;"นิติศาสตร์",K301="S2",Y301="",AE301=""),R301,AND(AO301="K5-POLICY",AL301&lt;&gt;"นิติศาสตร์",K301="S1",Y301="",AE301=""),EDATE(R301,12),AND(AO301="K5-POLICY",AL301&lt;&gt;"นิติศาสตร์",OR(K301="M2",K301="K4"),Y301="",AE301=""),EDATE(R301,12*2),AND(AO301="K5-POLICY",AL301&lt;&gt;"นิติศาสตร์",OR(AE301="M2",AE301="K4"),AH301&gt;=2,OR(AG301&lt;AA301,AG301&lt;R301)),EDATE(AG301,12*2),AND(AO301="K5-POLICY",AL301&lt;&gt;"นิติศาสตร์",AE301="S1",AH301&gt;=1,OR(AG301&lt;AA301,AG301&lt;R301)),EDATE(AG301,12),AND(AO301="K5-POLICY",AL301&lt;&gt;"นิติศาสตร์",OR(Y301="M2",Y301="K4"),AB301&gt;=2,AA301&lt;R301),EDATE(AA301,12*2),AND(AO301="K5-POLICY",AL301&lt;&gt;"นิติศาสตร์",Y301="S1",AB301&gt;=1,AA301&lt;R301),EDATE(AA301,12),AND(AO301="K5-POLICY",AL301&lt;&gt;"นิติศาสตร์",OR(Y301="S2",Y301="K5")),AA301,AND(AO301="K5-POLICY",AL301&lt;&gt;"นิติศาสตร์",OR(K301="M2",K301="K4"),U301&gt;=2),EDATE(R301,12*2),AND(AO301="K5-POLICY",AL301&lt;&gt;"นิติศาสตร์",K301="S1",U301&gt;=1),EDATE(R301,12),AND(AO301="K5-POLICY",AL301&lt;&gt;"นิติศาสตร์",OR(K301="S2",K301="K5")),R301,TRUE,"Check Data")</f>
        <v/>
      </c>
      <c r="AQ301" s="75" t="str">
        <f t="shared" si="138"/>
        <v>Check Data</v>
      </c>
      <c r="AR301" s="76" t="str">
        <f t="shared" si="139"/>
        <v>Check Data</v>
      </c>
      <c r="AS301" s="50" t="str">
        <f t="shared" si="140"/>
        <v>Check Data</v>
      </c>
      <c r="AT301" s="49" t="str">
        <f>IF(B301="","",IF(K301="S1","S1",INDEX(#REF!,#REF!)))</f>
        <v/>
      </c>
      <c r="AU301" s="49" t="str">
        <f t="shared" si="141"/>
        <v>M2</v>
      </c>
      <c r="AV301" s="50" t="b">
        <f t="shared" si="142"/>
        <v>0</v>
      </c>
      <c r="AW301" s="50"/>
    </row>
    <row r="302" spans="1:49" ht="21.75">
      <c r="A302" s="49">
        <v>300</v>
      </c>
      <c r="B302" s="50"/>
      <c r="C302" s="52"/>
      <c r="D302" s="50"/>
      <c r="E302" s="49"/>
      <c r="F302" s="49"/>
      <c r="G302" s="50">
        <f t="shared" si="127"/>
        <v>0</v>
      </c>
      <c r="H302" s="50">
        <f t="shared" si="128"/>
        <v>0</v>
      </c>
      <c r="I302" s="50">
        <f t="shared" si="129"/>
        <v>0</v>
      </c>
      <c r="J302" s="50"/>
      <c r="K302" s="49" t="s">
        <v>136</v>
      </c>
      <c r="L302" s="49" t="str">
        <f>IF(B302="","",IF(K302="S1",K302,INDEX(#REF!,#REF!)))</f>
        <v/>
      </c>
      <c r="M302" s="49" t="b">
        <f t="shared" si="130"/>
        <v>0</v>
      </c>
      <c r="N302" s="64"/>
      <c r="O302" s="49"/>
      <c r="P302" s="49"/>
      <c r="Q302" s="65" t="s">
        <v>442</v>
      </c>
      <c r="R302" s="49" t="str">
        <f t="shared" si="131"/>
        <v>26/11/2024</v>
      </c>
      <c r="S302" s="49" t="str">
        <f>IF(B302="","",IF(K302="S1",K302,INDEX(#REF!,#REF!)))</f>
        <v/>
      </c>
      <c r="T302" s="49" t="b">
        <f t="shared" si="132"/>
        <v>0</v>
      </c>
      <c r="U302" s="68">
        <f t="shared" si="133"/>
        <v>0</v>
      </c>
      <c r="V302" s="68">
        <f t="shared" si="134"/>
        <v>6</v>
      </c>
      <c r="W302" s="68">
        <f t="shared" si="135"/>
        <v>25</v>
      </c>
      <c r="X302" s="68"/>
      <c r="Y302" s="65"/>
      <c r="Z302" s="65"/>
      <c r="AA302" s="49"/>
      <c r="AB302" s="68"/>
      <c r="AC302" s="68"/>
      <c r="AD302" s="68"/>
      <c r="AE302" s="49"/>
      <c r="AF302" s="65"/>
      <c r="AG302" s="50"/>
      <c r="AH302" s="68"/>
      <c r="AI302" s="68"/>
      <c r="AJ302" s="68"/>
      <c r="AK302" s="50"/>
      <c r="AL302" s="50"/>
      <c r="AM302" s="50" t="str">
        <f>IF(B302="","",IF(K302="S1",K302,INDEX(#REF!,#REF!)))</f>
        <v/>
      </c>
      <c r="AN302" s="50" t="b">
        <f t="shared" si="136"/>
        <v>1</v>
      </c>
      <c r="AO302" s="49" t="str">
        <f t="shared" si="137"/>
        <v>K5-POLICY</v>
      </c>
      <c r="AP302" s="72" t="str">
        <f>_xlfn.IFS(B302="","",AND(AO302="K5-LAW",AL302="นิติศาสตร์",K302="S2",Y302="",AE302=""),R302,AND(AO302="K5-LAW",AL302="นิติศาสตร์",K302="S1",Y302="",AE302=""),EDATE(R302,12),AND(AO302="K5-LAW",AL302="นิติศาสตร์",OR(K302="M2",K302="K4"),Y302="",AE302=""),EDATE(R302,12*2),AND(AO302="K5-LAW",AL302="นิติศาสตร์",OR(AE302="M2",AE302="K4"),AH302&gt;=2,OR(AG302&lt;AA302,AG302&lt;R302)),EDATE(AG302,12*2),AND(AO302="K5-LAW",AL302="นิติศาสตร์",AE302="S1",AH302&gt;=1,OR(AG302&lt;AA302,AG302&lt;R302)),EDATE(AG302,12),AND(AO302="K5-LAW",AL302="นิติศาสตร์",OR(Y302="M2",Y302="K4"),AB302&gt;=2,AA302&lt;R302),EDATE(AA302,12*2),AND(AO302="K5-LAW",AL302="นิติศาสตร์",Y302="S1",AB302&gt;=1,AA302&lt;R302),EDATE(AA302,12),AND(AO302="K5-LAW",AL302="นิติศาสตร์",OR(Y302="S2",Y302="K5")),AA302,AND(AO302="K5-LAW",AL302="นิติศาสตร์",OR(K302="M2",K302="K4"),U302&gt;=2),EDATE(R302,12*2),AND(AO302="K5-LAW",AL302="นิติศาสตร์",K302="S1",U302&gt;=1),EDATE(R302,12),AND(AO302="K5-LAW",AL302="นิติศาสตร์",OR(K302="S2",K302="K5")),R302,AND(AO302="K5-POLICY",AL302&lt;&gt;"นิติศาสตร์",K302="S2",Y302="",AE302=""),R302,AND(AO302="K5-POLICY",AL302&lt;&gt;"นิติศาสตร์",K302="S1",Y302="",AE302=""),EDATE(R302,12),AND(AO302="K5-POLICY",AL302&lt;&gt;"นิติศาสตร์",OR(K302="M2",K302="K4"),Y302="",AE302=""),EDATE(R302,12*2),AND(AO302="K5-POLICY",AL302&lt;&gt;"นิติศาสตร์",OR(AE302="M2",AE302="K4"),AH302&gt;=2,OR(AG302&lt;AA302,AG302&lt;R302)),EDATE(AG302,12*2),AND(AO302="K5-POLICY",AL302&lt;&gt;"นิติศาสตร์",AE302="S1",AH302&gt;=1,OR(AG302&lt;AA302,AG302&lt;R302)),EDATE(AG302,12),AND(AO302="K5-POLICY",AL302&lt;&gt;"นิติศาสตร์",OR(Y302="M2",Y302="K4"),AB302&gt;=2,AA302&lt;R302),EDATE(AA302,12*2),AND(AO302="K5-POLICY",AL302&lt;&gt;"นิติศาสตร์",Y302="S1",AB302&gt;=1,AA302&lt;R302),EDATE(AA302,12),AND(AO302="K5-POLICY",AL302&lt;&gt;"นิติศาสตร์",OR(Y302="S2",Y302="K5")),AA302,AND(AO302="K5-POLICY",AL302&lt;&gt;"นิติศาสตร์",OR(K302="M2",K302="K4"),U302&gt;=2),EDATE(R302,12*2),AND(AO302="K5-POLICY",AL302&lt;&gt;"นิติศาสตร์",K302="S1",U302&gt;=1),EDATE(R302,12),AND(AO302="K5-POLICY",AL302&lt;&gt;"นิติศาสตร์",OR(K302="S2",K302="K5")),R302,TRUE,"Check Data")</f>
        <v/>
      </c>
      <c r="AQ302" s="75" t="str">
        <f t="shared" si="138"/>
        <v>Check Data</v>
      </c>
      <c r="AR302" s="76" t="str">
        <f t="shared" si="139"/>
        <v>Check Data</v>
      </c>
      <c r="AS302" s="50" t="str">
        <f t="shared" si="140"/>
        <v>Check Data</v>
      </c>
      <c r="AT302" s="49" t="str">
        <f>IF(B302="","",IF(K302="S1","S1",INDEX(#REF!,#REF!)))</f>
        <v/>
      </c>
      <c r="AU302" s="49" t="str">
        <f t="shared" si="141"/>
        <v>M2</v>
      </c>
      <c r="AV302" s="50" t="b">
        <f t="shared" si="142"/>
        <v>0</v>
      </c>
      <c r="AW302" s="50"/>
    </row>
    <row r="303" spans="1:49" ht="21.75">
      <c r="A303" s="49">
        <v>301</v>
      </c>
      <c r="B303" s="50"/>
      <c r="C303" s="52"/>
      <c r="D303" s="50"/>
      <c r="E303" s="49"/>
      <c r="F303" s="49"/>
      <c r="G303" s="50">
        <f t="shared" si="127"/>
        <v>0</v>
      </c>
      <c r="H303" s="50">
        <f t="shared" si="128"/>
        <v>0</v>
      </c>
      <c r="I303" s="50">
        <f t="shared" si="129"/>
        <v>0</v>
      </c>
      <c r="J303" s="50"/>
      <c r="K303" s="49" t="s">
        <v>136</v>
      </c>
      <c r="L303" s="49" t="str">
        <f>IF(B303="","",IF(K303="S1",K303,INDEX(#REF!,#REF!)))</f>
        <v/>
      </c>
      <c r="M303" s="49" t="b">
        <f t="shared" si="130"/>
        <v>0</v>
      </c>
      <c r="N303" s="64"/>
      <c r="O303" s="49"/>
      <c r="P303" s="49"/>
      <c r="Q303" s="65" t="s">
        <v>442</v>
      </c>
      <c r="R303" s="49" t="str">
        <f t="shared" si="131"/>
        <v>26/11/2024</v>
      </c>
      <c r="S303" s="49" t="str">
        <f>IF(B303="","",IF(K303="S1",K303,INDEX(#REF!,#REF!)))</f>
        <v/>
      </c>
      <c r="T303" s="49" t="b">
        <f t="shared" si="132"/>
        <v>0</v>
      </c>
      <c r="U303" s="68">
        <f t="shared" si="133"/>
        <v>0</v>
      </c>
      <c r="V303" s="68">
        <f t="shared" si="134"/>
        <v>6</v>
      </c>
      <c r="W303" s="68">
        <f t="shared" si="135"/>
        <v>25</v>
      </c>
      <c r="X303" s="68"/>
      <c r="Y303" s="65"/>
      <c r="Z303" s="65"/>
      <c r="AA303" s="49"/>
      <c r="AB303" s="68"/>
      <c r="AC303" s="68"/>
      <c r="AD303" s="68"/>
      <c r="AE303" s="49"/>
      <c r="AF303" s="65"/>
      <c r="AG303" s="50"/>
      <c r="AH303" s="68"/>
      <c r="AI303" s="68"/>
      <c r="AJ303" s="68"/>
      <c r="AK303" s="50"/>
      <c r="AL303" s="50"/>
      <c r="AM303" s="50" t="str">
        <f>IF(B303="","",IF(K303="S1",K303,INDEX(#REF!,#REF!)))</f>
        <v/>
      </c>
      <c r="AN303" s="50" t="b">
        <f t="shared" si="136"/>
        <v>1</v>
      </c>
      <c r="AO303" s="49" t="str">
        <f t="shared" si="137"/>
        <v>K5-POLICY</v>
      </c>
      <c r="AP303" s="72" t="str">
        <f>_xlfn.IFS(B303="","",AND(AO303="K5-LAW",AL303="นิติศาสตร์",K303="S2",Y303="",AE303=""),R303,AND(AO303="K5-LAW",AL303="นิติศาสตร์",K303="S1",Y303="",AE303=""),EDATE(R303,12),AND(AO303="K5-LAW",AL303="นิติศาสตร์",OR(K303="M2",K303="K4"),Y303="",AE303=""),EDATE(R303,12*2),AND(AO303="K5-LAW",AL303="นิติศาสตร์",OR(AE303="M2",AE303="K4"),AH303&gt;=2,OR(AG303&lt;AA303,AG303&lt;R303)),EDATE(AG303,12*2),AND(AO303="K5-LAW",AL303="นิติศาสตร์",AE303="S1",AH303&gt;=1,OR(AG303&lt;AA303,AG303&lt;R303)),EDATE(AG303,12),AND(AO303="K5-LAW",AL303="นิติศาสตร์",OR(Y303="M2",Y303="K4"),AB303&gt;=2,AA303&lt;R303),EDATE(AA303,12*2),AND(AO303="K5-LAW",AL303="นิติศาสตร์",Y303="S1",AB303&gt;=1,AA303&lt;R303),EDATE(AA303,12),AND(AO303="K5-LAW",AL303="นิติศาสตร์",OR(Y303="S2",Y303="K5")),AA303,AND(AO303="K5-LAW",AL303="นิติศาสตร์",OR(K303="M2",K303="K4"),U303&gt;=2),EDATE(R303,12*2),AND(AO303="K5-LAW",AL303="นิติศาสตร์",K303="S1",U303&gt;=1),EDATE(R303,12),AND(AO303="K5-LAW",AL303="นิติศาสตร์",OR(K303="S2",K303="K5")),R303,AND(AO303="K5-POLICY",AL303&lt;&gt;"นิติศาสตร์",K303="S2",Y303="",AE303=""),R303,AND(AO303="K5-POLICY",AL303&lt;&gt;"นิติศาสตร์",K303="S1",Y303="",AE303=""),EDATE(R303,12),AND(AO303="K5-POLICY",AL303&lt;&gt;"นิติศาสตร์",OR(K303="M2",K303="K4"),Y303="",AE303=""),EDATE(R303,12*2),AND(AO303="K5-POLICY",AL303&lt;&gt;"นิติศาสตร์",OR(AE303="M2",AE303="K4"),AH303&gt;=2,OR(AG303&lt;AA303,AG303&lt;R303)),EDATE(AG303,12*2),AND(AO303="K5-POLICY",AL303&lt;&gt;"นิติศาสตร์",AE303="S1",AH303&gt;=1,OR(AG303&lt;AA303,AG303&lt;R303)),EDATE(AG303,12),AND(AO303="K5-POLICY",AL303&lt;&gt;"นิติศาสตร์",OR(Y303="M2",Y303="K4"),AB303&gt;=2,AA303&lt;R303),EDATE(AA303,12*2),AND(AO303="K5-POLICY",AL303&lt;&gt;"นิติศาสตร์",Y303="S1",AB303&gt;=1,AA303&lt;R303),EDATE(AA303,12),AND(AO303="K5-POLICY",AL303&lt;&gt;"นิติศาสตร์",OR(Y303="S2",Y303="K5")),AA303,AND(AO303="K5-POLICY",AL303&lt;&gt;"นิติศาสตร์",OR(K303="M2",K303="K4"),U303&gt;=2),EDATE(R303,12*2),AND(AO303="K5-POLICY",AL303&lt;&gt;"นิติศาสตร์",K303="S1",U303&gt;=1),EDATE(R303,12),AND(AO303="K5-POLICY",AL303&lt;&gt;"นิติศาสตร์",OR(K303="S2",K303="K5")),R303,TRUE,"Check Data")</f>
        <v/>
      </c>
      <c r="AQ303" s="75" t="str">
        <f t="shared" si="138"/>
        <v>Check Data</v>
      </c>
      <c r="AR303" s="76" t="str">
        <f t="shared" si="139"/>
        <v>Check Data</v>
      </c>
      <c r="AS303" s="50" t="str">
        <f t="shared" si="140"/>
        <v>Check Data</v>
      </c>
      <c r="AT303" s="49" t="str">
        <f>IF(B303="","",IF(K303="S1","S1",INDEX(#REF!,#REF!)))</f>
        <v/>
      </c>
      <c r="AU303" s="49" t="str">
        <f t="shared" si="141"/>
        <v>M2</v>
      </c>
      <c r="AV303" s="50" t="b">
        <f t="shared" si="142"/>
        <v>0</v>
      </c>
      <c r="AW303" s="50"/>
    </row>
    <row r="304" spans="1:49" ht="21.75">
      <c r="A304" s="49">
        <v>302</v>
      </c>
      <c r="B304" s="50"/>
      <c r="C304" s="52"/>
      <c r="D304" s="50"/>
      <c r="E304" s="49"/>
      <c r="F304" s="49"/>
      <c r="G304" s="50">
        <f t="shared" si="127"/>
        <v>0</v>
      </c>
      <c r="H304" s="50">
        <f t="shared" si="128"/>
        <v>0</v>
      </c>
      <c r="I304" s="50">
        <f t="shared" si="129"/>
        <v>0</v>
      </c>
      <c r="J304" s="50"/>
      <c r="K304" s="49" t="s">
        <v>136</v>
      </c>
      <c r="L304" s="49" t="str">
        <f>IF(B304="","",IF(K304="S1",K304,INDEX(#REF!,#REF!)))</f>
        <v/>
      </c>
      <c r="M304" s="49" t="b">
        <f t="shared" si="130"/>
        <v>0</v>
      </c>
      <c r="N304" s="64"/>
      <c r="O304" s="49"/>
      <c r="P304" s="49"/>
      <c r="Q304" s="65" t="s">
        <v>442</v>
      </c>
      <c r="R304" s="49" t="str">
        <f t="shared" si="131"/>
        <v>26/11/2024</v>
      </c>
      <c r="S304" s="49" t="str">
        <f>IF(B304="","",IF(K304="S1",K304,INDEX(#REF!,#REF!)))</f>
        <v/>
      </c>
      <c r="T304" s="49" t="b">
        <f t="shared" si="132"/>
        <v>0</v>
      </c>
      <c r="U304" s="68">
        <f t="shared" si="133"/>
        <v>0</v>
      </c>
      <c r="V304" s="68">
        <f t="shared" si="134"/>
        <v>6</v>
      </c>
      <c r="W304" s="68">
        <f t="shared" si="135"/>
        <v>25</v>
      </c>
      <c r="X304" s="68"/>
      <c r="Y304" s="65"/>
      <c r="Z304" s="65"/>
      <c r="AA304" s="49"/>
      <c r="AB304" s="68"/>
      <c r="AC304" s="68"/>
      <c r="AD304" s="68"/>
      <c r="AE304" s="49"/>
      <c r="AF304" s="65"/>
      <c r="AG304" s="50"/>
      <c r="AH304" s="68"/>
      <c r="AI304" s="68"/>
      <c r="AJ304" s="68"/>
      <c r="AK304" s="50"/>
      <c r="AL304" s="50"/>
      <c r="AM304" s="50" t="str">
        <f>IF(B304="","",IF(K304="S1",K304,INDEX(#REF!,#REF!)))</f>
        <v/>
      </c>
      <c r="AN304" s="50" t="b">
        <f t="shared" si="136"/>
        <v>1</v>
      </c>
      <c r="AO304" s="49" t="str">
        <f t="shared" si="137"/>
        <v>K5-POLICY</v>
      </c>
      <c r="AP304" s="72" t="str">
        <f>_xlfn.IFS(B304="","",AND(AO304="K5-LAW",AL304="นิติศาสตร์",K304="S2",Y304="",AE304=""),R304,AND(AO304="K5-LAW",AL304="นิติศาสตร์",K304="S1",Y304="",AE304=""),EDATE(R304,12),AND(AO304="K5-LAW",AL304="นิติศาสตร์",OR(K304="M2",K304="K4"),Y304="",AE304=""),EDATE(R304,12*2),AND(AO304="K5-LAW",AL304="นิติศาสตร์",OR(AE304="M2",AE304="K4"),AH304&gt;=2,OR(AG304&lt;AA304,AG304&lt;R304)),EDATE(AG304,12*2),AND(AO304="K5-LAW",AL304="นิติศาสตร์",AE304="S1",AH304&gt;=1,OR(AG304&lt;AA304,AG304&lt;R304)),EDATE(AG304,12),AND(AO304="K5-LAW",AL304="นิติศาสตร์",OR(Y304="M2",Y304="K4"),AB304&gt;=2,AA304&lt;R304),EDATE(AA304,12*2),AND(AO304="K5-LAW",AL304="นิติศาสตร์",Y304="S1",AB304&gt;=1,AA304&lt;R304),EDATE(AA304,12),AND(AO304="K5-LAW",AL304="นิติศาสตร์",OR(Y304="S2",Y304="K5")),AA304,AND(AO304="K5-LAW",AL304="นิติศาสตร์",OR(K304="M2",K304="K4"),U304&gt;=2),EDATE(R304,12*2),AND(AO304="K5-LAW",AL304="นิติศาสตร์",K304="S1",U304&gt;=1),EDATE(R304,12),AND(AO304="K5-LAW",AL304="นิติศาสตร์",OR(K304="S2",K304="K5")),R304,AND(AO304="K5-POLICY",AL304&lt;&gt;"นิติศาสตร์",K304="S2",Y304="",AE304=""),R304,AND(AO304="K5-POLICY",AL304&lt;&gt;"นิติศาสตร์",K304="S1",Y304="",AE304=""),EDATE(R304,12),AND(AO304="K5-POLICY",AL304&lt;&gt;"นิติศาสตร์",OR(K304="M2",K304="K4"),Y304="",AE304=""),EDATE(R304,12*2),AND(AO304="K5-POLICY",AL304&lt;&gt;"นิติศาสตร์",OR(AE304="M2",AE304="K4"),AH304&gt;=2,OR(AG304&lt;AA304,AG304&lt;R304)),EDATE(AG304,12*2),AND(AO304="K5-POLICY",AL304&lt;&gt;"นิติศาสตร์",AE304="S1",AH304&gt;=1,OR(AG304&lt;AA304,AG304&lt;R304)),EDATE(AG304,12),AND(AO304="K5-POLICY",AL304&lt;&gt;"นิติศาสตร์",OR(Y304="M2",Y304="K4"),AB304&gt;=2,AA304&lt;R304),EDATE(AA304,12*2),AND(AO304="K5-POLICY",AL304&lt;&gt;"นิติศาสตร์",Y304="S1",AB304&gt;=1,AA304&lt;R304),EDATE(AA304,12),AND(AO304="K5-POLICY",AL304&lt;&gt;"นิติศาสตร์",OR(Y304="S2",Y304="K5")),AA304,AND(AO304="K5-POLICY",AL304&lt;&gt;"นิติศาสตร์",OR(K304="M2",K304="K4"),U304&gt;=2),EDATE(R304,12*2),AND(AO304="K5-POLICY",AL304&lt;&gt;"นิติศาสตร์",K304="S1",U304&gt;=1),EDATE(R304,12),AND(AO304="K5-POLICY",AL304&lt;&gt;"นิติศาสตร์",OR(K304="S2",K304="K5")),R304,TRUE,"Check Data")</f>
        <v/>
      </c>
      <c r="AQ304" s="75" t="str">
        <f t="shared" si="138"/>
        <v>Check Data</v>
      </c>
      <c r="AR304" s="76" t="str">
        <f t="shared" si="139"/>
        <v>Check Data</v>
      </c>
      <c r="AS304" s="50" t="str">
        <f t="shared" si="140"/>
        <v>Check Data</v>
      </c>
      <c r="AT304" s="49" t="str">
        <f>IF(B304="","",IF(K304="S1","S1",INDEX(#REF!,#REF!)))</f>
        <v/>
      </c>
      <c r="AU304" s="49" t="str">
        <f t="shared" si="141"/>
        <v>M2</v>
      </c>
      <c r="AV304" s="50" t="b">
        <f t="shared" si="142"/>
        <v>0</v>
      </c>
      <c r="AW304" s="50"/>
    </row>
    <row r="305" spans="1:48" ht="21.75">
      <c r="A305" s="49">
        <v>303</v>
      </c>
      <c r="B305" s="50"/>
      <c r="C305" s="52"/>
      <c r="G305" s="50">
        <f t="shared" si="127"/>
        <v>0</v>
      </c>
      <c r="H305" s="50">
        <f t="shared" si="128"/>
        <v>0</v>
      </c>
      <c r="I305" s="50">
        <f t="shared" si="129"/>
        <v>0</v>
      </c>
      <c r="K305" s="49" t="s">
        <v>136</v>
      </c>
      <c r="L305" s="49" t="str">
        <f>IF(B305="","",IF(K305="S1",K305,INDEX(#REF!,#REF!)))</f>
        <v/>
      </c>
      <c r="M305" s="49" t="b">
        <f t="shared" si="130"/>
        <v>0</v>
      </c>
      <c r="Q305" s="65" t="s">
        <v>442</v>
      </c>
      <c r="R305" s="49" t="str">
        <f t="shared" si="131"/>
        <v>26/11/2024</v>
      </c>
      <c r="S305" s="49" t="str">
        <f>IF(B305="","",IF(K305="S1",K305,INDEX(#REF!,#REF!)))</f>
        <v/>
      </c>
      <c r="T305" s="49" t="b">
        <f t="shared" si="132"/>
        <v>0</v>
      </c>
      <c r="U305" s="68">
        <f t="shared" si="133"/>
        <v>0</v>
      </c>
      <c r="V305" s="68">
        <f t="shared" si="134"/>
        <v>6</v>
      </c>
      <c r="W305" s="68">
        <f t="shared" si="135"/>
        <v>25</v>
      </c>
      <c r="Y305" s="65"/>
      <c r="AM305" s="50" t="str">
        <f>IF(B305="","",IF(K305="S1",K305,INDEX(#REF!,#REF!)))</f>
        <v/>
      </c>
      <c r="AN305" s="50" t="b">
        <f t="shared" si="136"/>
        <v>1</v>
      </c>
      <c r="AO305" s="49" t="str">
        <f t="shared" si="137"/>
        <v>K5-POLICY</v>
      </c>
      <c r="AP305" s="72" t="str">
        <f>_xlfn.IFS(B305="","",AND(AO305="K5-LAW",AL305="นิติศาสตร์",K305="S2",Y305="",AE305=""),R305,AND(AO305="K5-LAW",AL305="นิติศาสตร์",K305="S1",Y305="",AE305=""),EDATE(R305,12),AND(AO305="K5-LAW",AL305="นิติศาสตร์",OR(K305="M2",K305="K4"),Y305="",AE305=""),EDATE(R305,12*2),AND(AO305="K5-LAW",AL305="นิติศาสตร์",OR(AE305="M2",AE305="K4"),AH305&gt;=2,OR(AG305&lt;AA305,AG305&lt;R305)),EDATE(AG305,12*2),AND(AO305="K5-LAW",AL305="นิติศาสตร์",AE305="S1",AH305&gt;=1,OR(AG305&lt;AA305,AG305&lt;R305)),EDATE(AG305,12),AND(AO305="K5-LAW",AL305="นิติศาสตร์",OR(Y305="M2",Y305="K4"),AB305&gt;=2,AA305&lt;R305),EDATE(AA305,12*2),AND(AO305="K5-LAW",AL305="นิติศาสตร์",Y305="S1",AB305&gt;=1,AA305&lt;R305),EDATE(AA305,12),AND(AO305="K5-LAW",AL305="นิติศาสตร์",OR(Y305="S2",Y305="K5")),AA305,AND(AO305="K5-LAW",AL305="นิติศาสตร์",OR(K305="M2",K305="K4"),U305&gt;=2),EDATE(R305,12*2),AND(AO305="K5-LAW",AL305="นิติศาสตร์",K305="S1",U305&gt;=1),EDATE(R305,12),AND(AO305="K5-LAW",AL305="นิติศาสตร์",OR(K305="S2",K305="K5")),R305,AND(AO305="K5-POLICY",AL305&lt;&gt;"นิติศาสตร์",K305="S2",Y305="",AE305=""),R305,AND(AO305="K5-POLICY",AL305&lt;&gt;"นิติศาสตร์",K305="S1",Y305="",AE305=""),EDATE(R305,12),AND(AO305="K5-POLICY",AL305&lt;&gt;"นิติศาสตร์",OR(K305="M2",K305="K4"),Y305="",AE305=""),EDATE(R305,12*2),AND(AO305="K5-POLICY",AL305&lt;&gt;"นิติศาสตร์",OR(AE305="M2",AE305="K4"),AH305&gt;=2,OR(AG305&lt;AA305,AG305&lt;R305)),EDATE(AG305,12*2),AND(AO305="K5-POLICY",AL305&lt;&gt;"นิติศาสตร์",AE305="S1",AH305&gt;=1,OR(AG305&lt;AA305,AG305&lt;R305)),EDATE(AG305,12),AND(AO305="K5-POLICY",AL305&lt;&gt;"นิติศาสตร์",OR(Y305="M2",Y305="K4"),AB305&gt;=2,AA305&lt;R305),EDATE(AA305,12*2),AND(AO305="K5-POLICY",AL305&lt;&gt;"นิติศาสตร์",Y305="S1",AB305&gt;=1,AA305&lt;R305),EDATE(AA305,12),AND(AO305="K5-POLICY",AL305&lt;&gt;"นิติศาสตร์",OR(Y305="S2",Y305="K5")),AA305,AND(AO305="K5-POLICY",AL305&lt;&gt;"นิติศาสตร์",OR(K305="M2",K305="K4"),U305&gt;=2),EDATE(R305,12*2),AND(AO305="K5-POLICY",AL305&lt;&gt;"นิติศาสตร์",K305="S1",U305&gt;=1),EDATE(R305,12),AND(AO305="K5-POLICY",AL305&lt;&gt;"นิติศาสตร์",OR(K305="S2",K305="K5")),R305,TRUE,"Check Data")</f>
        <v/>
      </c>
      <c r="AQ305" s="75" t="str">
        <f t="shared" si="138"/>
        <v>Check Data</v>
      </c>
      <c r="AR305" s="76" t="str">
        <f t="shared" si="139"/>
        <v>Check Data</v>
      </c>
      <c r="AS305" s="50" t="str">
        <f t="shared" si="140"/>
        <v>Check Data</v>
      </c>
      <c r="AT305" s="49" t="str">
        <f>IF(B305="","",IF(K305="S1","S1",INDEX(#REF!,#REF!)))</f>
        <v/>
      </c>
      <c r="AU305" s="49" t="str">
        <f t="shared" si="141"/>
        <v>M2</v>
      </c>
      <c r="AV305" s="50" t="b">
        <f t="shared" si="142"/>
        <v>0</v>
      </c>
    </row>
    <row r="306" spans="1:48" ht="21.75">
      <c r="A306" s="49">
        <v>304</v>
      </c>
      <c r="B306" s="50"/>
      <c r="C306" s="52"/>
      <c r="G306" s="50">
        <f t="shared" si="127"/>
        <v>0</v>
      </c>
      <c r="H306" s="50">
        <f t="shared" si="128"/>
        <v>0</v>
      </c>
      <c r="I306" s="50">
        <f t="shared" si="129"/>
        <v>0</v>
      </c>
      <c r="K306" s="49" t="s">
        <v>136</v>
      </c>
      <c r="L306" s="49" t="str">
        <f>IF(B306="","",IF(K306="S1",K306,INDEX(#REF!,#REF!)))</f>
        <v/>
      </c>
      <c r="M306" s="49" t="b">
        <f t="shared" si="130"/>
        <v>0</v>
      </c>
      <c r="Q306" s="65" t="s">
        <v>442</v>
      </c>
      <c r="R306" s="49" t="str">
        <f t="shared" si="131"/>
        <v>26/11/2024</v>
      </c>
      <c r="S306" s="49" t="str">
        <f>IF(B306="","",IF(K306="S1",K306,INDEX(#REF!,#REF!)))</f>
        <v/>
      </c>
      <c r="T306" s="49" t="b">
        <f t="shared" si="132"/>
        <v>0</v>
      </c>
      <c r="U306" s="68">
        <f t="shared" si="133"/>
        <v>0</v>
      </c>
      <c r="V306" s="68">
        <f t="shared" si="134"/>
        <v>6</v>
      </c>
      <c r="W306" s="68">
        <f t="shared" si="135"/>
        <v>25</v>
      </c>
      <c r="Y306" s="65"/>
      <c r="AM306" s="50" t="str">
        <f>IF(B306="","",IF(K306="S1",K306,INDEX(#REF!,#REF!)))</f>
        <v/>
      </c>
      <c r="AN306" s="50" t="b">
        <f t="shared" si="136"/>
        <v>1</v>
      </c>
      <c r="AO306" s="49" t="str">
        <f t="shared" si="137"/>
        <v>K5-POLICY</v>
      </c>
      <c r="AP306" s="72" t="str">
        <f>_xlfn.IFS(B306="","",AND(AO306="K5-LAW",AL306="นิติศาสตร์",K306="S2",Y306="",AE306=""),R306,AND(AO306="K5-LAW",AL306="นิติศาสตร์",K306="S1",Y306="",AE306=""),EDATE(R306,12),AND(AO306="K5-LAW",AL306="นิติศาสตร์",OR(K306="M2",K306="K4"),Y306="",AE306=""),EDATE(R306,12*2),AND(AO306="K5-LAW",AL306="นิติศาสตร์",OR(AE306="M2",AE306="K4"),AH306&gt;=2,OR(AG306&lt;AA306,AG306&lt;R306)),EDATE(AG306,12*2),AND(AO306="K5-LAW",AL306="นิติศาสตร์",AE306="S1",AH306&gt;=1,OR(AG306&lt;AA306,AG306&lt;R306)),EDATE(AG306,12),AND(AO306="K5-LAW",AL306="นิติศาสตร์",OR(Y306="M2",Y306="K4"),AB306&gt;=2,AA306&lt;R306),EDATE(AA306,12*2),AND(AO306="K5-LAW",AL306="นิติศาสตร์",Y306="S1",AB306&gt;=1,AA306&lt;R306),EDATE(AA306,12),AND(AO306="K5-LAW",AL306="นิติศาสตร์",OR(Y306="S2",Y306="K5")),AA306,AND(AO306="K5-LAW",AL306="นิติศาสตร์",OR(K306="M2",K306="K4"),U306&gt;=2),EDATE(R306,12*2),AND(AO306="K5-LAW",AL306="นิติศาสตร์",K306="S1",U306&gt;=1),EDATE(R306,12),AND(AO306="K5-LAW",AL306="นิติศาสตร์",OR(K306="S2",K306="K5")),R306,AND(AO306="K5-POLICY",AL306&lt;&gt;"นิติศาสตร์",K306="S2",Y306="",AE306=""),R306,AND(AO306="K5-POLICY",AL306&lt;&gt;"นิติศาสตร์",K306="S1",Y306="",AE306=""),EDATE(R306,12),AND(AO306="K5-POLICY",AL306&lt;&gt;"นิติศาสตร์",OR(K306="M2",K306="K4"),Y306="",AE306=""),EDATE(R306,12*2),AND(AO306="K5-POLICY",AL306&lt;&gt;"นิติศาสตร์",OR(AE306="M2",AE306="K4"),AH306&gt;=2,OR(AG306&lt;AA306,AG306&lt;R306)),EDATE(AG306,12*2),AND(AO306="K5-POLICY",AL306&lt;&gt;"นิติศาสตร์",AE306="S1",AH306&gt;=1,OR(AG306&lt;AA306,AG306&lt;R306)),EDATE(AG306,12),AND(AO306="K5-POLICY",AL306&lt;&gt;"นิติศาสตร์",OR(Y306="M2",Y306="K4"),AB306&gt;=2,AA306&lt;R306),EDATE(AA306,12*2),AND(AO306="K5-POLICY",AL306&lt;&gt;"นิติศาสตร์",Y306="S1",AB306&gt;=1,AA306&lt;R306),EDATE(AA306,12),AND(AO306="K5-POLICY",AL306&lt;&gt;"นิติศาสตร์",OR(Y306="S2",Y306="K5")),AA306,AND(AO306="K5-POLICY",AL306&lt;&gt;"นิติศาสตร์",OR(K306="M2",K306="K4"),U306&gt;=2),EDATE(R306,12*2),AND(AO306="K5-POLICY",AL306&lt;&gt;"นิติศาสตร์",K306="S1",U306&gt;=1),EDATE(R306,12),AND(AO306="K5-POLICY",AL306&lt;&gt;"นิติศาสตร์",OR(K306="S2",K306="K5")),R306,TRUE,"Check Data")</f>
        <v/>
      </c>
      <c r="AQ306" s="75" t="str">
        <f t="shared" si="138"/>
        <v>Check Data</v>
      </c>
      <c r="AR306" s="76" t="str">
        <f t="shared" si="139"/>
        <v>Check Data</v>
      </c>
      <c r="AS306" s="50" t="str">
        <f t="shared" si="140"/>
        <v>Check Data</v>
      </c>
      <c r="AT306" s="49" t="str">
        <f>IF(B306="","",IF(K306="S1","S1",INDEX(#REF!,#REF!)))</f>
        <v/>
      </c>
      <c r="AU306" s="49" t="str">
        <f t="shared" si="141"/>
        <v>M2</v>
      </c>
      <c r="AV306" s="50" t="b">
        <f t="shared" si="142"/>
        <v>0</v>
      </c>
    </row>
    <row r="307" spans="1:48" ht="21.75">
      <c r="A307" s="49">
        <v>305</v>
      </c>
      <c r="B307" s="50"/>
      <c r="C307" s="52"/>
      <c r="G307" s="50">
        <f t="shared" si="127"/>
        <v>0</v>
      </c>
      <c r="H307" s="50">
        <f t="shared" si="128"/>
        <v>0</v>
      </c>
      <c r="I307" s="50">
        <f t="shared" si="129"/>
        <v>0</v>
      </c>
      <c r="K307" s="49" t="s">
        <v>136</v>
      </c>
      <c r="L307" s="49" t="str">
        <f>IF(B307="","",IF(K307="S1",K307,INDEX(#REF!,#REF!)))</f>
        <v/>
      </c>
      <c r="M307" s="49" t="b">
        <f t="shared" si="130"/>
        <v>0</v>
      </c>
      <c r="Q307" s="65" t="s">
        <v>442</v>
      </c>
      <c r="R307" s="49" t="str">
        <f t="shared" si="131"/>
        <v>26/11/2024</v>
      </c>
      <c r="S307" s="49" t="str">
        <f>IF(B307="","",IF(K307="S1",K307,INDEX(#REF!,#REF!)))</f>
        <v/>
      </c>
      <c r="T307" s="49" t="b">
        <f t="shared" si="132"/>
        <v>0</v>
      </c>
      <c r="U307" s="68">
        <f t="shared" si="133"/>
        <v>0</v>
      </c>
      <c r="V307" s="68">
        <f t="shared" si="134"/>
        <v>6</v>
      </c>
      <c r="W307" s="68">
        <f t="shared" si="135"/>
        <v>25</v>
      </c>
      <c r="Y307" s="65"/>
      <c r="AM307" s="50" t="str">
        <f>IF(B307="","",IF(K307="S1",K307,INDEX(#REF!,#REF!)))</f>
        <v/>
      </c>
      <c r="AN307" s="50" t="b">
        <f t="shared" si="136"/>
        <v>1</v>
      </c>
      <c r="AO307" s="49" t="str">
        <f t="shared" si="137"/>
        <v>K5-POLICY</v>
      </c>
      <c r="AP307" s="72" t="str">
        <f>_xlfn.IFS(B307="","",AND(AO307="K5-LAW",AL307="นิติศาสตร์",K307="S2",Y307="",AE307=""),R307,AND(AO307="K5-LAW",AL307="นิติศาสตร์",K307="S1",Y307="",AE307=""),EDATE(R307,12),AND(AO307="K5-LAW",AL307="นิติศาสตร์",OR(K307="M2",K307="K4"),Y307="",AE307=""),EDATE(R307,12*2),AND(AO307="K5-LAW",AL307="นิติศาสตร์",OR(AE307="M2",AE307="K4"),AH307&gt;=2,OR(AG307&lt;AA307,AG307&lt;R307)),EDATE(AG307,12*2),AND(AO307="K5-LAW",AL307="นิติศาสตร์",AE307="S1",AH307&gt;=1,OR(AG307&lt;AA307,AG307&lt;R307)),EDATE(AG307,12),AND(AO307="K5-LAW",AL307="นิติศาสตร์",OR(Y307="M2",Y307="K4"),AB307&gt;=2,AA307&lt;R307),EDATE(AA307,12*2),AND(AO307="K5-LAW",AL307="นิติศาสตร์",Y307="S1",AB307&gt;=1,AA307&lt;R307),EDATE(AA307,12),AND(AO307="K5-LAW",AL307="นิติศาสตร์",OR(Y307="S2",Y307="K5")),AA307,AND(AO307="K5-LAW",AL307="นิติศาสตร์",OR(K307="M2",K307="K4"),U307&gt;=2),EDATE(R307,12*2),AND(AO307="K5-LAW",AL307="นิติศาสตร์",K307="S1",U307&gt;=1),EDATE(R307,12),AND(AO307="K5-LAW",AL307="นิติศาสตร์",OR(K307="S2",K307="K5")),R307,AND(AO307="K5-POLICY",AL307&lt;&gt;"นิติศาสตร์",K307="S2",Y307="",AE307=""),R307,AND(AO307="K5-POLICY",AL307&lt;&gt;"นิติศาสตร์",K307="S1",Y307="",AE307=""),EDATE(R307,12),AND(AO307="K5-POLICY",AL307&lt;&gt;"นิติศาสตร์",OR(K307="M2",K307="K4"),Y307="",AE307=""),EDATE(R307,12*2),AND(AO307="K5-POLICY",AL307&lt;&gt;"นิติศาสตร์",OR(AE307="M2",AE307="K4"),AH307&gt;=2,OR(AG307&lt;AA307,AG307&lt;R307)),EDATE(AG307,12*2),AND(AO307="K5-POLICY",AL307&lt;&gt;"นิติศาสตร์",AE307="S1",AH307&gt;=1,OR(AG307&lt;AA307,AG307&lt;R307)),EDATE(AG307,12),AND(AO307="K5-POLICY",AL307&lt;&gt;"นิติศาสตร์",OR(Y307="M2",Y307="K4"),AB307&gt;=2,AA307&lt;R307),EDATE(AA307,12*2),AND(AO307="K5-POLICY",AL307&lt;&gt;"นิติศาสตร์",Y307="S1",AB307&gt;=1,AA307&lt;R307),EDATE(AA307,12),AND(AO307="K5-POLICY",AL307&lt;&gt;"นิติศาสตร์",OR(Y307="S2",Y307="K5")),AA307,AND(AO307="K5-POLICY",AL307&lt;&gt;"นิติศาสตร์",OR(K307="M2",K307="K4"),U307&gt;=2),EDATE(R307,12*2),AND(AO307="K5-POLICY",AL307&lt;&gt;"นิติศาสตร์",K307="S1",U307&gt;=1),EDATE(R307,12),AND(AO307="K5-POLICY",AL307&lt;&gt;"นิติศาสตร์",OR(K307="S2",K307="K5")),R307,TRUE,"Check Data")</f>
        <v/>
      </c>
      <c r="AQ307" s="75" t="str">
        <f t="shared" si="138"/>
        <v>Check Data</v>
      </c>
      <c r="AR307" s="76" t="str">
        <f t="shared" si="139"/>
        <v>Check Data</v>
      </c>
      <c r="AS307" s="50" t="str">
        <f t="shared" si="140"/>
        <v>Check Data</v>
      </c>
      <c r="AT307" s="49" t="str">
        <f>IF(B307="","",IF(K307="S1","S1",INDEX(#REF!,#REF!)))</f>
        <v/>
      </c>
      <c r="AU307" s="49" t="str">
        <f t="shared" si="141"/>
        <v>M2</v>
      </c>
      <c r="AV307" s="50" t="b">
        <f t="shared" si="142"/>
        <v>0</v>
      </c>
    </row>
    <row r="308" spans="1:48" ht="21.75">
      <c r="A308" s="49">
        <v>306</v>
      </c>
      <c r="B308" s="50"/>
      <c r="C308" s="52"/>
      <c r="G308" s="50">
        <f t="shared" si="127"/>
        <v>0</v>
      </c>
      <c r="H308" s="50">
        <f t="shared" si="128"/>
        <v>0</v>
      </c>
      <c r="I308" s="50">
        <f t="shared" si="129"/>
        <v>0</v>
      </c>
      <c r="K308" s="49" t="s">
        <v>136</v>
      </c>
      <c r="L308" s="49" t="str">
        <f>IF(B308="","",IF(K308="S1",K308,INDEX(#REF!,#REF!)))</f>
        <v/>
      </c>
      <c r="M308" s="49" t="b">
        <f t="shared" si="130"/>
        <v>0</v>
      </c>
      <c r="Q308" s="65" t="s">
        <v>442</v>
      </c>
      <c r="R308" s="49" t="str">
        <f t="shared" si="131"/>
        <v>26/11/2024</v>
      </c>
      <c r="S308" s="49" t="str">
        <f>IF(B308="","",IF(K308="S1",K308,INDEX(#REF!,#REF!)))</f>
        <v/>
      </c>
      <c r="T308" s="49" t="b">
        <f t="shared" si="132"/>
        <v>0</v>
      </c>
      <c r="U308" s="68">
        <f t="shared" si="133"/>
        <v>0</v>
      </c>
      <c r="V308" s="68">
        <f t="shared" si="134"/>
        <v>6</v>
      </c>
      <c r="W308" s="68">
        <f t="shared" si="135"/>
        <v>25</v>
      </c>
      <c r="Y308" s="65"/>
      <c r="AM308" s="50" t="str">
        <f>IF(B308="","",IF(K308="S1",K308,INDEX(#REF!,#REF!)))</f>
        <v/>
      </c>
      <c r="AN308" s="50" t="b">
        <f t="shared" si="136"/>
        <v>1</v>
      </c>
      <c r="AO308" s="49" t="str">
        <f t="shared" si="137"/>
        <v>K5-POLICY</v>
      </c>
      <c r="AP308" s="72" t="str">
        <f>_xlfn.IFS(B308="","",AND(AO308="K5-LAW",AL308="นิติศาสตร์",K308="S2",Y308="",AE308=""),R308,AND(AO308="K5-LAW",AL308="นิติศาสตร์",K308="S1",Y308="",AE308=""),EDATE(R308,12),AND(AO308="K5-LAW",AL308="นิติศาสตร์",OR(K308="M2",K308="K4"),Y308="",AE308=""),EDATE(R308,12*2),AND(AO308="K5-LAW",AL308="นิติศาสตร์",OR(AE308="M2",AE308="K4"),AH308&gt;=2,OR(AG308&lt;AA308,AG308&lt;R308)),EDATE(AG308,12*2),AND(AO308="K5-LAW",AL308="นิติศาสตร์",AE308="S1",AH308&gt;=1,OR(AG308&lt;AA308,AG308&lt;R308)),EDATE(AG308,12),AND(AO308="K5-LAW",AL308="นิติศาสตร์",OR(Y308="M2",Y308="K4"),AB308&gt;=2,AA308&lt;R308),EDATE(AA308,12*2),AND(AO308="K5-LAW",AL308="นิติศาสตร์",Y308="S1",AB308&gt;=1,AA308&lt;R308),EDATE(AA308,12),AND(AO308="K5-LAW",AL308="นิติศาสตร์",OR(Y308="S2",Y308="K5")),AA308,AND(AO308="K5-LAW",AL308="นิติศาสตร์",OR(K308="M2",K308="K4"),U308&gt;=2),EDATE(R308,12*2),AND(AO308="K5-LAW",AL308="นิติศาสตร์",K308="S1",U308&gt;=1),EDATE(R308,12),AND(AO308="K5-LAW",AL308="นิติศาสตร์",OR(K308="S2",K308="K5")),R308,AND(AO308="K5-POLICY",AL308&lt;&gt;"นิติศาสตร์",K308="S2",Y308="",AE308=""),R308,AND(AO308="K5-POLICY",AL308&lt;&gt;"นิติศาสตร์",K308="S1",Y308="",AE308=""),EDATE(R308,12),AND(AO308="K5-POLICY",AL308&lt;&gt;"นิติศาสตร์",OR(K308="M2",K308="K4"),Y308="",AE308=""),EDATE(R308,12*2),AND(AO308="K5-POLICY",AL308&lt;&gt;"นิติศาสตร์",OR(AE308="M2",AE308="K4"),AH308&gt;=2,OR(AG308&lt;AA308,AG308&lt;R308)),EDATE(AG308,12*2),AND(AO308="K5-POLICY",AL308&lt;&gt;"นิติศาสตร์",AE308="S1",AH308&gt;=1,OR(AG308&lt;AA308,AG308&lt;R308)),EDATE(AG308,12),AND(AO308="K5-POLICY",AL308&lt;&gt;"นิติศาสตร์",OR(Y308="M2",Y308="K4"),AB308&gt;=2,AA308&lt;R308),EDATE(AA308,12*2),AND(AO308="K5-POLICY",AL308&lt;&gt;"นิติศาสตร์",Y308="S1",AB308&gt;=1,AA308&lt;R308),EDATE(AA308,12),AND(AO308="K5-POLICY",AL308&lt;&gt;"นิติศาสตร์",OR(Y308="S2",Y308="K5")),AA308,AND(AO308="K5-POLICY",AL308&lt;&gt;"นิติศาสตร์",OR(K308="M2",K308="K4"),U308&gt;=2),EDATE(R308,12*2),AND(AO308="K5-POLICY",AL308&lt;&gt;"นิติศาสตร์",K308="S1",U308&gt;=1),EDATE(R308,12),AND(AO308="K5-POLICY",AL308&lt;&gt;"นิติศาสตร์",OR(K308="S2",K308="K5")),R308,TRUE,"Check Data")</f>
        <v/>
      </c>
      <c r="AQ308" s="75" t="str">
        <f t="shared" si="138"/>
        <v>Check Data</v>
      </c>
      <c r="AR308" s="76" t="str">
        <f t="shared" si="139"/>
        <v>Check Data</v>
      </c>
      <c r="AS308" s="50" t="str">
        <f t="shared" si="140"/>
        <v>Check Data</v>
      </c>
      <c r="AT308" s="49" t="str">
        <f>IF(B308="","",IF(K308="S1","S1",INDEX(#REF!,#REF!)))</f>
        <v/>
      </c>
      <c r="AU308" s="49" t="str">
        <f t="shared" si="141"/>
        <v>M2</v>
      </c>
      <c r="AV308" s="50" t="b">
        <f t="shared" si="142"/>
        <v>0</v>
      </c>
    </row>
    <row r="309" spans="1:48" ht="21.75">
      <c r="A309" s="49">
        <v>307</v>
      </c>
      <c r="B309" s="50"/>
      <c r="C309" s="52"/>
      <c r="D309" s="84"/>
      <c r="E309" s="85"/>
      <c r="F309" s="85"/>
      <c r="G309" s="50">
        <f t="shared" si="127"/>
        <v>0</v>
      </c>
      <c r="H309" s="50">
        <f t="shared" si="128"/>
        <v>0</v>
      </c>
      <c r="I309" s="50">
        <f t="shared" si="129"/>
        <v>0</v>
      </c>
      <c r="J309" s="84"/>
      <c r="K309" s="49" t="s">
        <v>136</v>
      </c>
      <c r="L309" s="49" t="str">
        <f>IF(B309="","",IF(K309="S1",K309,INDEX(#REF!,#REF!)))</f>
        <v/>
      </c>
      <c r="M309" s="49" t="b">
        <f t="shared" si="130"/>
        <v>0</v>
      </c>
      <c r="N309" s="87"/>
      <c r="O309" s="85"/>
      <c r="P309" s="85"/>
      <c r="Q309" s="65" t="s">
        <v>458</v>
      </c>
      <c r="R309" s="49" t="str">
        <f t="shared" si="131"/>
        <v>31/03/2025</v>
      </c>
      <c r="S309" s="49" t="str">
        <f>IF(B309="","",IF(K309="S1",K309,INDEX(#REF!,#REF!)))</f>
        <v/>
      </c>
      <c r="T309" s="49" t="b">
        <f t="shared" si="132"/>
        <v>0</v>
      </c>
      <c r="U309" s="68">
        <f t="shared" si="133"/>
        <v>0</v>
      </c>
      <c r="V309" s="68">
        <f t="shared" si="134"/>
        <v>2</v>
      </c>
      <c r="W309" s="68">
        <f t="shared" si="135"/>
        <v>20</v>
      </c>
      <c r="X309" s="88"/>
      <c r="Y309" s="65"/>
      <c r="Z309" s="89"/>
      <c r="AA309" s="85"/>
      <c r="AB309" s="88"/>
      <c r="AC309" s="88"/>
      <c r="AD309" s="88"/>
      <c r="AE309" s="85"/>
      <c r="AF309" s="89"/>
      <c r="AG309" s="84"/>
      <c r="AH309" s="88"/>
      <c r="AI309" s="88"/>
      <c r="AJ309" s="88"/>
      <c r="AK309" s="84"/>
      <c r="AL309" s="84"/>
      <c r="AM309" s="129" t="str">
        <f>IF(B309="","",IF(K309="S1",K309,INDEX(#REF!,#REF!)))</f>
        <v/>
      </c>
      <c r="AN309" s="50" t="b">
        <f t="shared" si="136"/>
        <v>1</v>
      </c>
      <c r="AO309" s="49" t="str">
        <f t="shared" si="137"/>
        <v>K5-POLICY</v>
      </c>
      <c r="AP309" s="72" t="str">
        <f>_xlfn.IFS(B309="","",AND(AO309="K5-LAW",AL309="นิติศาสตร์",K309="S2",Y309="",AE309=""),R309,AND(AO309="K5-LAW",AL309="นิติศาสตร์",K309="S1",Y309="",AE309=""),EDATE(R309,12),AND(AO309="K5-LAW",AL309="นิติศาสตร์",OR(K309="M2",K309="K4"),Y309="",AE309=""),EDATE(R309,12*2),AND(AO309="K5-LAW",AL309="นิติศาสตร์",OR(AE309="M2",AE309="K4"),AH309&gt;=2,OR(AG309&lt;AA309,AG309&lt;R309)),EDATE(AG309,12*2),AND(AO309="K5-LAW",AL309="นิติศาสตร์",AE309="S1",AH309&gt;=1,OR(AG309&lt;AA309,AG309&lt;R309)),EDATE(AG309,12),AND(AO309="K5-LAW",AL309="นิติศาสตร์",OR(Y309="M2",Y309="K4"),AB309&gt;=2,AA309&lt;R309),EDATE(AA309,12*2),AND(AO309="K5-LAW",AL309="นิติศาสตร์",Y309="S1",AB309&gt;=1,AA309&lt;R309),EDATE(AA309,12),AND(AO309="K5-LAW",AL309="นิติศาสตร์",OR(Y309="S2",Y309="K5")),AA309,AND(AO309="K5-LAW",AL309="นิติศาสตร์",OR(K309="M2",K309="K4"),U309&gt;=2),EDATE(R309,12*2),AND(AO309="K5-LAW",AL309="นิติศาสตร์",K309="S1",U309&gt;=1),EDATE(R309,12),AND(AO309="K5-LAW",AL309="นิติศาสตร์",OR(K309="S2",K309="K5")),R309,AND(AO309="K5-POLICY",AL309&lt;&gt;"นิติศาสตร์",K309="S2",Y309="",AE309=""),R309,AND(AO309="K5-POLICY",AL309&lt;&gt;"นิติศาสตร์",K309="S1",Y309="",AE309=""),EDATE(R309,12),AND(AO309="K5-POLICY",AL309&lt;&gt;"นิติศาสตร์",OR(K309="M2",K309="K4"),Y309="",AE309=""),EDATE(R309,12*2),AND(AO309="K5-POLICY",AL309&lt;&gt;"นิติศาสตร์",OR(AE309="M2",AE309="K4"),AH309&gt;=2,OR(AG309&lt;AA309,AG309&lt;R309)),EDATE(AG309,12*2),AND(AO309="K5-POLICY",AL309&lt;&gt;"นิติศาสตร์",AE309="S1",AH309&gt;=1,OR(AG309&lt;AA309,AG309&lt;R309)),EDATE(AG309,12),AND(AO309="K5-POLICY",AL309&lt;&gt;"นิติศาสตร์",OR(Y309="M2",Y309="K4"),AB309&gt;=2,AA309&lt;R309),EDATE(AA309,12*2),AND(AO309="K5-POLICY",AL309&lt;&gt;"นิติศาสตร์",Y309="S1",AB309&gt;=1,AA309&lt;R309),EDATE(AA309,12),AND(AO309="K5-POLICY",AL309&lt;&gt;"นิติศาสตร์",OR(Y309="S2",Y309="K5")),AA309,AND(AO309="K5-POLICY",AL309&lt;&gt;"นิติศาสตร์",OR(K309="M2",K309="K4"),U309&gt;=2),EDATE(R309,12*2),AND(AO309="K5-POLICY",AL309&lt;&gt;"นิติศาสตร์",K309="S1",U309&gt;=1),EDATE(R309,12),AND(AO309="K5-POLICY",AL309&lt;&gt;"นิติศาสตร์",OR(K309="S2",K309="K5")),R309,TRUE,"Check Data")</f>
        <v/>
      </c>
      <c r="AQ309" s="75" t="str">
        <f t="shared" si="138"/>
        <v>Check Data</v>
      </c>
      <c r="AR309" s="76" t="str">
        <f t="shared" si="139"/>
        <v>Check Data</v>
      </c>
      <c r="AS309" s="50" t="str">
        <f t="shared" si="140"/>
        <v>Check Data</v>
      </c>
      <c r="AT309" s="49" t="str">
        <f>IF(B309="","",IF(K309="S1","S1",INDEX(#REF!,#REF!)))</f>
        <v/>
      </c>
      <c r="AU309" s="49" t="str">
        <f t="shared" si="141"/>
        <v>M2</v>
      </c>
      <c r="AV309" s="50" t="b">
        <f t="shared" si="142"/>
        <v>0</v>
      </c>
    </row>
    <row r="310" spans="1:48" ht="21.75">
      <c r="A310" s="49">
        <v>308</v>
      </c>
      <c r="B310" s="50"/>
      <c r="C310" s="52"/>
      <c r="D310" s="84"/>
      <c r="E310" s="85"/>
      <c r="F310" s="85"/>
      <c r="G310" s="50">
        <f t="shared" si="127"/>
        <v>0</v>
      </c>
      <c r="H310" s="50">
        <f t="shared" si="128"/>
        <v>0</v>
      </c>
      <c r="I310" s="50">
        <f t="shared" si="129"/>
        <v>0</v>
      </c>
      <c r="J310" s="84"/>
      <c r="K310" s="49" t="s">
        <v>136</v>
      </c>
      <c r="L310" s="49" t="str">
        <f>IF(B310="","",IF(K310="S1",K310,INDEX(#REF!,#REF!)))</f>
        <v/>
      </c>
      <c r="M310" s="49" t="b">
        <f t="shared" si="130"/>
        <v>0</v>
      </c>
      <c r="N310" s="87"/>
      <c r="O310" s="85"/>
      <c r="P310" s="85"/>
      <c r="Q310" s="65" t="s">
        <v>458</v>
      </c>
      <c r="R310" s="49" t="str">
        <f t="shared" si="131"/>
        <v>31/03/2025</v>
      </c>
      <c r="S310" s="49" t="str">
        <f>IF(B310="","",IF(K310="S1",K310,INDEX(#REF!,#REF!)))</f>
        <v/>
      </c>
      <c r="T310" s="49" t="b">
        <f t="shared" si="132"/>
        <v>0</v>
      </c>
      <c r="U310" s="68">
        <f t="shared" si="133"/>
        <v>0</v>
      </c>
      <c r="V310" s="68">
        <f t="shared" si="134"/>
        <v>2</v>
      </c>
      <c r="W310" s="68">
        <f t="shared" si="135"/>
        <v>20</v>
      </c>
      <c r="X310" s="88"/>
      <c r="Y310" s="65"/>
      <c r="Z310" s="89"/>
      <c r="AA310" s="85"/>
      <c r="AB310" s="88"/>
      <c r="AC310" s="88"/>
      <c r="AD310" s="88"/>
      <c r="AE310" s="85"/>
      <c r="AF310" s="89"/>
      <c r="AG310" s="84"/>
      <c r="AH310" s="88"/>
      <c r="AI310" s="88"/>
      <c r="AJ310" s="88"/>
      <c r="AK310" s="84"/>
      <c r="AL310" s="84"/>
      <c r="AM310" s="129" t="str">
        <f>IF(B310="","",IF(K310="S1",K310,INDEX(#REF!,#REF!)))</f>
        <v/>
      </c>
      <c r="AN310" s="50" t="b">
        <f t="shared" si="136"/>
        <v>1</v>
      </c>
      <c r="AO310" s="49" t="str">
        <f t="shared" si="137"/>
        <v>K5-POLICY</v>
      </c>
      <c r="AP310" s="72" t="str">
        <f>_xlfn.IFS(B310="","",AND(AO310="K5-LAW",AL310="นิติศาสตร์",K310="S2",Y310="",AE310=""),R310,AND(AO310="K5-LAW",AL310="นิติศาสตร์",K310="S1",Y310="",AE310=""),EDATE(R310,12),AND(AO310="K5-LAW",AL310="นิติศาสตร์",OR(K310="M2",K310="K4"),Y310="",AE310=""),EDATE(R310,12*2),AND(AO310="K5-LAW",AL310="นิติศาสตร์",OR(AE310="M2",AE310="K4"),AH310&gt;=2,OR(AG310&lt;AA310,AG310&lt;R310)),EDATE(AG310,12*2),AND(AO310="K5-LAW",AL310="นิติศาสตร์",AE310="S1",AH310&gt;=1,OR(AG310&lt;AA310,AG310&lt;R310)),EDATE(AG310,12),AND(AO310="K5-LAW",AL310="นิติศาสตร์",OR(Y310="M2",Y310="K4"),AB310&gt;=2,AA310&lt;R310),EDATE(AA310,12*2),AND(AO310="K5-LAW",AL310="นิติศาสตร์",Y310="S1",AB310&gt;=1,AA310&lt;R310),EDATE(AA310,12),AND(AO310="K5-LAW",AL310="นิติศาสตร์",OR(Y310="S2",Y310="K5")),AA310,AND(AO310="K5-LAW",AL310="นิติศาสตร์",OR(K310="M2",K310="K4"),U310&gt;=2),EDATE(R310,12*2),AND(AO310="K5-LAW",AL310="นิติศาสตร์",K310="S1",U310&gt;=1),EDATE(R310,12),AND(AO310="K5-LAW",AL310="นิติศาสตร์",OR(K310="S2",K310="K5")),R310,AND(AO310="K5-POLICY",AL310&lt;&gt;"นิติศาสตร์",K310="S2",Y310="",AE310=""),R310,AND(AO310="K5-POLICY",AL310&lt;&gt;"นิติศาสตร์",K310="S1",Y310="",AE310=""),EDATE(R310,12),AND(AO310="K5-POLICY",AL310&lt;&gt;"นิติศาสตร์",OR(K310="M2",K310="K4"),Y310="",AE310=""),EDATE(R310,12*2),AND(AO310="K5-POLICY",AL310&lt;&gt;"นิติศาสตร์",OR(AE310="M2",AE310="K4"),AH310&gt;=2,OR(AG310&lt;AA310,AG310&lt;R310)),EDATE(AG310,12*2),AND(AO310="K5-POLICY",AL310&lt;&gt;"นิติศาสตร์",AE310="S1",AH310&gt;=1,OR(AG310&lt;AA310,AG310&lt;R310)),EDATE(AG310,12),AND(AO310="K5-POLICY",AL310&lt;&gt;"นิติศาสตร์",OR(Y310="M2",Y310="K4"),AB310&gt;=2,AA310&lt;R310),EDATE(AA310,12*2),AND(AO310="K5-POLICY",AL310&lt;&gt;"นิติศาสตร์",Y310="S1",AB310&gt;=1,AA310&lt;R310),EDATE(AA310,12),AND(AO310="K5-POLICY",AL310&lt;&gt;"นิติศาสตร์",OR(Y310="S2",Y310="K5")),AA310,AND(AO310="K5-POLICY",AL310&lt;&gt;"นิติศาสตร์",OR(K310="M2",K310="K4"),U310&gt;=2),EDATE(R310,12*2),AND(AO310="K5-POLICY",AL310&lt;&gt;"นิติศาสตร์",K310="S1",U310&gt;=1),EDATE(R310,12),AND(AO310="K5-POLICY",AL310&lt;&gt;"นิติศาสตร์",OR(K310="S2",K310="K5")),R310,TRUE,"Check Data")</f>
        <v/>
      </c>
      <c r="AQ310" s="75" t="str">
        <f t="shared" si="138"/>
        <v>Check Data</v>
      </c>
      <c r="AR310" s="76" t="str">
        <f t="shared" si="139"/>
        <v>Check Data</v>
      </c>
      <c r="AS310" s="50" t="str">
        <f t="shared" si="140"/>
        <v>Check Data</v>
      </c>
      <c r="AT310" s="49" t="str">
        <f>IF(B310="","",IF(K310="S1","S1",INDEX(#REF!,#REF!)))</f>
        <v/>
      </c>
      <c r="AU310" s="49" t="str">
        <f t="shared" si="141"/>
        <v>M2</v>
      </c>
      <c r="AV310" s="50" t="b">
        <f t="shared" si="142"/>
        <v>0</v>
      </c>
    </row>
    <row r="311" spans="1:48" ht="21.75">
      <c r="A311" s="49">
        <v>309</v>
      </c>
      <c r="B311" s="50"/>
      <c r="C311" s="52"/>
      <c r="D311" s="84"/>
      <c r="E311" s="85"/>
      <c r="F311" s="85"/>
      <c r="G311" s="50">
        <f t="shared" si="127"/>
        <v>0</v>
      </c>
      <c r="H311" s="50">
        <f t="shared" si="128"/>
        <v>0</v>
      </c>
      <c r="I311" s="50">
        <f t="shared" si="129"/>
        <v>0</v>
      </c>
      <c r="J311" s="84"/>
      <c r="K311" s="49" t="s">
        <v>136</v>
      </c>
      <c r="L311" s="49" t="str">
        <f>IF(B311="","",IF(K311="S1",K311,INDEX(#REF!,#REF!)))</f>
        <v/>
      </c>
      <c r="M311" s="49" t="b">
        <f t="shared" si="130"/>
        <v>0</v>
      </c>
      <c r="N311" s="87"/>
      <c r="O311" s="85"/>
      <c r="P311" s="85"/>
      <c r="Q311" s="65" t="s">
        <v>458</v>
      </c>
      <c r="R311" s="49" t="str">
        <f t="shared" si="131"/>
        <v>31/03/2025</v>
      </c>
      <c r="S311" s="49" t="str">
        <f>IF(B311="","",IF(K311="S1",K311,INDEX(#REF!,#REF!)))</f>
        <v/>
      </c>
      <c r="T311" s="49" t="b">
        <f t="shared" si="132"/>
        <v>0</v>
      </c>
      <c r="U311" s="68">
        <f t="shared" si="133"/>
        <v>0</v>
      </c>
      <c r="V311" s="68">
        <f t="shared" si="134"/>
        <v>2</v>
      </c>
      <c r="W311" s="68">
        <f t="shared" si="135"/>
        <v>20</v>
      </c>
      <c r="X311" s="88"/>
      <c r="Y311" s="65"/>
      <c r="Z311" s="89"/>
      <c r="AA311" s="85"/>
      <c r="AB311" s="88"/>
      <c r="AC311" s="88"/>
      <c r="AD311" s="88"/>
      <c r="AE311" s="85"/>
      <c r="AF311" s="89"/>
      <c r="AG311" s="84"/>
      <c r="AH311" s="88"/>
      <c r="AI311" s="88"/>
      <c r="AJ311" s="88"/>
      <c r="AK311" s="84"/>
      <c r="AL311" s="84"/>
      <c r="AM311" s="129" t="str">
        <f>IF(B311="","",IF(K311="S1",K311,INDEX(#REF!,#REF!)))</f>
        <v/>
      </c>
      <c r="AN311" s="50" t="b">
        <f t="shared" si="136"/>
        <v>1</v>
      </c>
      <c r="AO311" s="49" t="str">
        <f t="shared" si="137"/>
        <v>K5-POLICY</v>
      </c>
      <c r="AP311" s="72" t="str">
        <f>_xlfn.IFS(B311="","",AND(AO311="K5-LAW",AL311="นิติศาสตร์",K311="S2",Y311="",AE311=""),R311,AND(AO311="K5-LAW",AL311="นิติศาสตร์",K311="S1",Y311="",AE311=""),EDATE(R311,12),AND(AO311="K5-LAW",AL311="นิติศาสตร์",OR(K311="M2",K311="K4"),Y311="",AE311=""),EDATE(R311,12*2),AND(AO311="K5-LAW",AL311="นิติศาสตร์",OR(AE311="M2",AE311="K4"),AH311&gt;=2,OR(AG311&lt;AA311,AG311&lt;R311)),EDATE(AG311,12*2),AND(AO311="K5-LAW",AL311="นิติศาสตร์",AE311="S1",AH311&gt;=1,OR(AG311&lt;AA311,AG311&lt;R311)),EDATE(AG311,12),AND(AO311="K5-LAW",AL311="นิติศาสตร์",OR(Y311="M2",Y311="K4"),AB311&gt;=2,AA311&lt;R311),EDATE(AA311,12*2),AND(AO311="K5-LAW",AL311="นิติศาสตร์",Y311="S1",AB311&gt;=1,AA311&lt;R311),EDATE(AA311,12),AND(AO311="K5-LAW",AL311="นิติศาสตร์",OR(Y311="S2",Y311="K5")),AA311,AND(AO311="K5-LAW",AL311="นิติศาสตร์",OR(K311="M2",K311="K4"),U311&gt;=2),EDATE(R311,12*2),AND(AO311="K5-LAW",AL311="นิติศาสตร์",K311="S1",U311&gt;=1),EDATE(R311,12),AND(AO311="K5-LAW",AL311="นิติศาสตร์",OR(K311="S2",K311="K5")),R311,AND(AO311="K5-POLICY",AL311&lt;&gt;"นิติศาสตร์",K311="S2",Y311="",AE311=""),R311,AND(AO311="K5-POLICY",AL311&lt;&gt;"นิติศาสตร์",K311="S1",Y311="",AE311=""),EDATE(R311,12),AND(AO311="K5-POLICY",AL311&lt;&gt;"นิติศาสตร์",OR(K311="M2",K311="K4"),Y311="",AE311=""),EDATE(R311,12*2),AND(AO311="K5-POLICY",AL311&lt;&gt;"นิติศาสตร์",OR(AE311="M2",AE311="K4"),AH311&gt;=2,OR(AG311&lt;AA311,AG311&lt;R311)),EDATE(AG311,12*2),AND(AO311="K5-POLICY",AL311&lt;&gt;"นิติศาสตร์",AE311="S1",AH311&gt;=1,OR(AG311&lt;AA311,AG311&lt;R311)),EDATE(AG311,12),AND(AO311="K5-POLICY",AL311&lt;&gt;"นิติศาสตร์",OR(Y311="M2",Y311="K4"),AB311&gt;=2,AA311&lt;R311),EDATE(AA311,12*2),AND(AO311="K5-POLICY",AL311&lt;&gt;"นิติศาสตร์",Y311="S1",AB311&gt;=1,AA311&lt;R311),EDATE(AA311,12),AND(AO311="K5-POLICY",AL311&lt;&gt;"นิติศาสตร์",OR(Y311="S2",Y311="K5")),AA311,AND(AO311="K5-POLICY",AL311&lt;&gt;"นิติศาสตร์",OR(K311="M2",K311="K4"),U311&gt;=2),EDATE(R311,12*2),AND(AO311="K5-POLICY",AL311&lt;&gt;"นิติศาสตร์",K311="S1",U311&gt;=1),EDATE(R311,12),AND(AO311="K5-POLICY",AL311&lt;&gt;"นิติศาสตร์",OR(K311="S2",K311="K5")),R311,TRUE,"Check Data")</f>
        <v/>
      </c>
      <c r="AQ311" s="75" t="str">
        <f t="shared" si="138"/>
        <v>Check Data</v>
      </c>
      <c r="AR311" s="76" t="str">
        <f t="shared" si="139"/>
        <v>Check Data</v>
      </c>
      <c r="AS311" s="50" t="str">
        <f t="shared" si="140"/>
        <v>Check Data</v>
      </c>
      <c r="AT311" s="49" t="str">
        <f>IF(B311="","",IF(K311="S1","S1",INDEX(#REF!,#REF!)))</f>
        <v/>
      </c>
      <c r="AU311" s="49" t="str">
        <f t="shared" si="141"/>
        <v>M2</v>
      </c>
      <c r="AV311" s="50" t="b">
        <f t="shared" si="142"/>
        <v>0</v>
      </c>
    </row>
    <row r="312" spans="1:48" ht="21.75">
      <c r="A312" s="49">
        <v>310</v>
      </c>
      <c r="B312" s="50"/>
      <c r="C312" s="52"/>
      <c r="D312" s="84"/>
      <c r="E312" s="85"/>
      <c r="F312" s="85"/>
      <c r="G312" s="50">
        <f t="shared" si="127"/>
        <v>0</v>
      </c>
      <c r="H312" s="50">
        <f t="shared" si="128"/>
        <v>0</v>
      </c>
      <c r="I312" s="50">
        <f t="shared" si="129"/>
        <v>0</v>
      </c>
      <c r="J312" s="84"/>
      <c r="K312" s="49" t="s">
        <v>136</v>
      </c>
      <c r="L312" s="49" t="str">
        <f>IF(B312="","",IF(K312="S1",K312,INDEX(#REF!,#REF!)))</f>
        <v/>
      </c>
      <c r="M312" s="49" t="b">
        <f t="shared" si="130"/>
        <v>0</v>
      </c>
      <c r="N312" s="87"/>
      <c r="O312" s="85"/>
      <c r="P312" s="85"/>
      <c r="Q312" s="65" t="s">
        <v>458</v>
      </c>
      <c r="R312" s="49" t="str">
        <f t="shared" si="131"/>
        <v>31/03/2025</v>
      </c>
      <c r="S312" s="49" t="str">
        <f>IF(B312="","",IF(K312="S1",K312,INDEX(#REF!,#REF!)))</f>
        <v/>
      </c>
      <c r="T312" s="49" t="b">
        <f t="shared" si="132"/>
        <v>0</v>
      </c>
      <c r="U312" s="68">
        <f t="shared" si="133"/>
        <v>0</v>
      </c>
      <c r="V312" s="68">
        <f t="shared" si="134"/>
        <v>2</v>
      </c>
      <c r="W312" s="68">
        <f t="shared" si="135"/>
        <v>20</v>
      </c>
      <c r="X312" s="88"/>
      <c r="Y312" s="65"/>
      <c r="Z312" s="89"/>
      <c r="AA312" s="85"/>
      <c r="AB312" s="88"/>
      <c r="AC312" s="88"/>
      <c r="AD312" s="88"/>
      <c r="AE312" s="85"/>
      <c r="AF312" s="89"/>
      <c r="AG312" s="84"/>
      <c r="AH312" s="88"/>
      <c r="AI312" s="88"/>
      <c r="AJ312" s="88"/>
      <c r="AK312" s="84"/>
      <c r="AL312" s="84"/>
      <c r="AM312" s="129" t="str">
        <f>IF(B312="","",IF(K312="S1",K312,INDEX(#REF!,#REF!)))</f>
        <v/>
      </c>
      <c r="AN312" s="50" t="b">
        <f t="shared" si="136"/>
        <v>1</v>
      </c>
      <c r="AO312" s="49" t="str">
        <f t="shared" si="137"/>
        <v>K5-POLICY</v>
      </c>
      <c r="AP312" s="72" t="str">
        <f>_xlfn.IFS(B312="","",AND(AO312="K5-LAW",AL312="นิติศาสตร์",K312="S2",Y312="",AE312=""),R312,AND(AO312="K5-LAW",AL312="นิติศาสตร์",K312="S1",Y312="",AE312=""),EDATE(R312,12),AND(AO312="K5-LAW",AL312="นิติศาสตร์",OR(K312="M2",K312="K4"),Y312="",AE312=""),EDATE(R312,12*2),AND(AO312="K5-LAW",AL312="นิติศาสตร์",OR(AE312="M2",AE312="K4"),AH312&gt;=2,OR(AG312&lt;AA312,AG312&lt;R312)),EDATE(AG312,12*2),AND(AO312="K5-LAW",AL312="นิติศาสตร์",AE312="S1",AH312&gt;=1,OR(AG312&lt;AA312,AG312&lt;R312)),EDATE(AG312,12),AND(AO312="K5-LAW",AL312="นิติศาสตร์",OR(Y312="M2",Y312="K4"),AB312&gt;=2,AA312&lt;R312),EDATE(AA312,12*2),AND(AO312="K5-LAW",AL312="นิติศาสตร์",Y312="S1",AB312&gt;=1,AA312&lt;R312),EDATE(AA312,12),AND(AO312="K5-LAW",AL312="นิติศาสตร์",OR(Y312="S2",Y312="K5")),AA312,AND(AO312="K5-LAW",AL312="นิติศาสตร์",OR(K312="M2",K312="K4"),U312&gt;=2),EDATE(R312,12*2),AND(AO312="K5-LAW",AL312="นิติศาสตร์",K312="S1",U312&gt;=1),EDATE(R312,12),AND(AO312="K5-LAW",AL312="นิติศาสตร์",OR(K312="S2",K312="K5")),R312,AND(AO312="K5-POLICY",AL312&lt;&gt;"นิติศาสตร์",K312="S2",Y312="",AE312=""),R312,AND(AO312="K5-POLICY",AL312&lt;&gt;"นิติศาสตร์",K312="S1",Y312="",AE312=""),EDATE(R312,12),AND(AO312="K5-POLICY",AL312&lt;&gt;"นิติศาสตร์",OR(K312="M2",K312="K4"),Y312="",AE312=""),EDATE(R312,12*2),AND(AO312="K5-POLICY",AL312&lt;&gt;"นิติศาสตร์",OR(AE312="M2",AE312="K4"),AH312&gt;=2,OR(AG312&lt;AA312,AG312&lt;R312)),EDATE(AG312,12*2),AND(AO312="K5-POLICY",AL312&lt;&gt;"นิติศาสตร์",AE312="S1",AH312&gt;=1,OR(AG312&lt;AA312,AG312&lt;R312)),EDATE(AG312,12),AND(AO312="K5-POLICY",AL312&lt;&gt;"นิติศาสตร์",OR(Y312="M2",Y312="K4"),AB312&gt;=2,AA312&lt;R312),EDATE(AA312,12*2),AND(AO312="K5-POLICY",AL312&lt;&gt;"นิติศาสตร์",Y312="S1",AB312&gt;=1,AA312&lt;R312),EDATE(AA312,12),AND(AO312="K5-POLICY",AL312&lt;&gt;"นิติศาสตร์",OR(Y312="S2",Y312="K5")),AA312,AND(AO312="K5-POLICY",AL312&lt;&gt;"นิติศาสตร์",OR(K312="M2",K312="K4"),U312&gt;=2),EDATE(R312,12*2),AND(AO312="K5-POLICY",AL312&lt;&gt;"นิติศาสตร์",K312="S1",U312&gt;=1),EDATE(R312,12),AND(AO312="K5-POLICY",AL312&lt;&gt;"นิติศาสตร์",OR(K312="S2",K312="K5")),R312,TRUE,"Check Data")</f>
        <v/>
      </c>
      <c r="AQ312" s="75" t="str">
        <f t="shared" si="138"/>
        <v>Check Data</v>
      </c>
      <c r="AR312" s="76" t="str">
        <f t="shared" si="139"/>
        <v>Check Data</v>
      </c>
      <c r="AS312" s="50" t="str">
        <f t="shared" si="140"/>
        <v>Check Data</v>
      </c>
      <c r="AT312" s="49" t="str">
        <f>IF(B312="","",IF(K312="S1","S1",INDEX(#REF!,#REF!)))</f>
        <v/>
      </c>
      <c r="AU312" s="49" t="str">
        <f t="shared" si="141"/>
        <v>M2</v>
      </c>
      <c r="AV312" s="50" t="b">
        <f t="shared" si="142"/>
        <v>0</v>
      </c>
    </row>
    <row r="313" spans="1:48" ht="21.75">
      <c r="A313" s="49">
        <v>311</v>
      </c>
      <c r="B313" s="50"/>
      <c r="C313" s="52"/>
      <c r="D313" s="84"/>
      <c r="E313" s="85"/>
      <c r="F313" s="85"/>
      <c r="G313" s="50">
        <f t="shared" si="127"/>
        <v>0</v>
      </c>
      <c r="H313" s="50">
        <f t="shared" si="128"/>
        <v>0</v>
      </c>
      <c r="I313" s="50">
        <f t="shared" si="129"/>
        <v>0</v>
      </c>
      <c r="J313" s="84"/>
      <c r="K313" s="49" t="s">
        <v>136</v>
      </c>
      <c r="L313" s="49" t="str">
        <f>IF(B313="","",IF(K313="S1",K313,INDEX(#REF!,#REF!)))</f>
        <v/>
      </c>
      <c r="M313" s="49" t="b">
        <f t="shared" si="130"/>
        <v>0</v>
      </c>
      <c r="N313" s="87"/>
      <c r="O313" s="85"/>
      <c r="P313" s="85"/>
      <c r="Q313" s="65" t="s">
        <v>458</v>
      </c>
      <c r="R313" s="49" t="str">
        <f t="shared" si="131"/>
        <v>31/03/2025</v>
      </c>
      <c r="S313" s="49" t="str">
        <f>IF(B313="","",IF(K313="S1",K313,INDEX(#REF!,#REF!)))</f>
        <v/>
      </c>
      <c r="T313" s="49" t="b">
        <f t="shared" si="132"/>
        <v>0</v>
      </c>
      <c r="U313" s="68">
        <f t="shared" si="133"/>
        <v>0</v>
      </c>
      <c r="V313" s="68">
        <f t="shared" si="134"/>
        <v>2</v>
      </c>
      <c r="W313" s="68">
        <f t="shared" si="135"/>
        <v>20</v>
      </c>
      <c r="X313" s="88"/>
      <c r="Y313" s="65"/>
      <c r="Z313" s="89"/>
      <c r="AA313" s="85"/>
      <c r="AB313" s="88"/>
      <c r="AC313" s="88"/>
      <c r="AD313" s="88"/>
      <c r="AE313" s="85"/>
      <c r="AF313" s="89"/>
      <c r="AG313" s="84"/>
      <c r="AH313" s="88"/>
      <c r="AI313" s="88"/>
      <c r="AJ313" s="88"/>
      <c r="AK313" s="84"/>
      <c r="AL313" s="84"/>
      <c r="AM313" s="129" t="str">
        <f>IF(B313="","",IF(K313="S1",K313,INDEX(#REF!,#REF!)))</f>
        <v/>
      </c>
      <c r="AN313" s="50" t="b">
        <f t="shared" si="136"/>
        <v>1</v>
      </c>
      <c r="AO313" s="49" t="str">
        <f t="shared" si="137"/>
        <v>K5-POLICY</v>
      </c>
      <c r="AP313" s="72" t="str">
        <f>_xlfn.IFS(B313="","",AND(AO313="K5-LAW",AL313="นิติศาสตร์",K313="S2",Y313="",AE313=""),R313,AND(AO313="K5-LAW",AL313="นิติศาสตร์",K313="S1",Y313="",AE313=""),EDATE(R313,12),AND(AO313="K5-LAW",AL313="นิติศาสตร์",OR(K313="M2",K313="K4"),Y313="",AE313=""),EDATE(R313,12*2),AND(AO313="K5-LAW",AL313="นิติศาสตร์",OR(AE313="M2",AE313="K4"),AH313&gt;=2,OR(AG313&lt;AA313,AG313&lt;R313)),EDATE(AG313,12*2),AND(AO313="K5-LAW",AL313="นิติศาสตร์",AE313="S1",AH313&gt;=1,OR(AG313&lt;AA313,AG313&lt;R313)),EDATE(AG313,12),AND(AO313="K5-LAW",AL313="นิติศาสตร์",OR(Y313="M2",Y313="K4"),AB313&gt;=2,AA313&lt;R313),EDATE(AA313,12*2),AND(AO313="K5-LAW",AL313="นิติศาสตร์",Y313="S1",AB313&gt;=1,AA313&lt;R313),EDATE(AA313,12),AND(AO313="K5-LAW",AL313="นิติศาสตร์",OR(Y313="S2",Y313="K5")),AA313,AND(AO313="K5-LAW",AL313="นิติศาสตร์",OR(K313="M2",K313="K4"),U313&gt;=2),EDATE(R313,12*2),AND(AO313="K5-LAW",AL313="นิติศาสตร์",K313="S1",U313&gt;=1),EDATE(R313,12),AND(AO313="K5-LAW",AL313="นิติศาสตร์",OR(K313="S2",K313="K5")),R313,AND(AO313="K5-POLICY",AL313&lt;&gt;"นิติศาสตร์",K313="S2",Y313="",AE313=""),R313,AND(AO313="K5-POLICY",AL313&lt;&gt;"นิติศาสตร์",K313="S1",Y313="",AE313=""),EDATE(R313,12),AND(AO313="K5-POLICY",AL313&lt;&gt;"นิติศาสตร์",OR(K313="M2",K313="K4"),Y313="",AE313=""),EDATE(R313,12*2),AND(AO313="K5-POLICY",AL313&lt;&gt;"นิติศาสตร์",OR(AE313="M2",AE313="K4"),AH313&gt;=2,OR(AG313&lt;AA313,AG313&lt;R313)),EDATE(AG313,12*2),AND(AO313="K5-POLICY",AL313&lt;&gt;"นิติศาสตร์",AE313="S1",AH313&gt;=1,OR(AG313&lt;AA313,AG313&lt;R313)),EDATE(AG313,12),AND(AO313="K5-POLICY",AL313&lt;&gt;"นิติศาสตร์",OR(Y313="M2",Y313="K4"),AB313&gt;=2,AA313&lt;R313),EDATE(AA313,12*2),AND(AO313="K5-POLICY",AL313&lt;&gt;"นิติศาสตร์",Y313="S1",AB313&gt;=1,AA313&lt;R313),EDATE(AA313,12),AND(AO313="K5-POLICY",AL313&lt;&gt;"นิติศาสตร์",OR(Y313="S2",Y313="K5")),AA313,AND(AO313="K5-POLICY",AL313&lt;&gt;"นิติศาสตร์",OR(K313="M2",K313="K4"),U313&gt;=2),EDATE(R313,12*2),AND(AO313="K5-POLICY",AL313&lt;&gt;"นิติศาสตร์",K313="S1",U313&gt;=1),EDATE(R313,12),AND(AO313="K5-POLICY",AL313&lt;&gt;"นิติศาสตร์",OR(K313="S2",K313="K5")),R313,TRUE,"Check Data")</f>
        <v/>
      </c>
      <c r="AQ313" s="75" t="str">
        <f t="shared" si="138"/>
        <v>Check Data</v>
      </c>
      <c r="AR313" s="76" t="str">
        <f t="shared" si="139"/>
        <v>Check Data</v>
      </c>
      <c r="AS313" s="50" t="str">
        <f t="shared" si="140"/>
        <v>Check Data</v>
      </c>
      <c r="AT313" s="49" t="str">
        <f>IF(B313="","",IF(K313="S1","S1",INDEX(#REF!,#REF!)))</f>
        <v/>
      </c>
      <c r="AU313" s="49" t="str">
        <f t="shared" si="141"/>
        <v>M2</v>
      </c>
      <c r="AV313" s="50" t="b">
        <f t="shared" si="142"/>
        <v>0</v>
      </c>
    </row>
    <row r="314" spans="1:48" ht="21.75">
      <c r="A314" s="49">
        <v>312</v>
      </c>
      <c r="B314" s="50"/>
      <c r="C314" s="52"/>
      <c r="D314" s="84"/>
      <c r="E314" s="85"/>
      <c r="F314" s="85"/>
      <c r="G314" s="50">
        <f t="shared" si="127"/>
        <v>0</v>
      </c>
      <c r="H314" s="50">
        <f t="shared" si="128"/>
        <v>0</v>
      </c>
      <c r="I314" s="50">
        <f t="shared" si="129"/>
        <v>0</v>
      </c>
      <c r="J314" s="84"/>
      <c r="K314" s="49" t="s">
        <v>136</v>
      </c>
      <c r="L314" s="49" t="str">
        <f>IF(B314="","",IF(K314="S1",K314,INDEX(#REF!,#REF!)))</f>
        <v/>
      </c>
      <c r="M314" s="49" t="b">
        <f t="shared" si="130"/>
        <v>0</v>
      </c>
      <c r="N314" s="87"/>
      <c r="O314" s="85"/>
      <c r="P314" s="85"/>
      <c r="Q314" s="65" t="s">
        <v>458</v>
      </c>
      <c r="R314" s="49" t="str">
        <f t="shared" si="131"/>
        <v>31/03/2025</v>
      </c>
      <c r="S314" s="49" t="str">
        <f>IF(B314="","",IF(K314="S1",K314,INDEX(#REF!,#REF!)))</f>
        <v/>
      </c>
      <c r="T314" s="49" t="b">
        <f t="shared" si="132"/>
        <v>0</v>
      </c>
      <c r="U314" s="68">
        <f t="shared" si="133"/>
        <v>0</v>
      </c>
      <c r="V314" s="68">
        <f t="shared" si="134"/>
        <v>2</v>
      </c>
      <c r="W314" s="68">
        <f t="shared" si="135"/>
        <v>20</v>
      </c>
      <c r="X314" s="88"/>
      <c r="Y314" s="65"/>
      <c r="Z314" s="89"/>
      <c r="AA314" s="85"/>
      <c r="AB314" s="88"/>
      <c r="AC314" s="88"/>
      <c r="AD314" s="88"/>
      <c r="AE314" s="85"/>
      <c r="AF314" s="89"/>
      <c r="AG314" s="84"/>
      <c r="AH314" s="88"/>
      <c r="AI314" s="88"/>
      <c r="AJ314" s="88"/>
      <c r="AK314" s="84"/>
      <c r="AL314" s="84"/>
      <c r="AM314" s="129" t="str">
        <f>IF(B314="","",IF(K314="S1",K314,INDEX(#REF!,#REF!)))</f>
        <v/>
      </c>
      <c r="AN314" s="50" t="b">
        <f t="shared" si="136"/>
        <v>1</v>
      </c>
      <c r="AO314" s="49" t="str">
        <f t="shared" si="137"/>
        <v>K5-POLICY</v>
      </c>
      <c r="AP314" s="72" t="str">
        <f>_xlfn.IFS(B314="","",AND(AO314="K5-LAW",AL314="นิติศาสตร์",K314="S2",Y314="",AE314=""),R314,AND(AO314="K5-LAW",AL314="นิติศาสตร์",K314="S1",Y314="",AE314=""),EDATE(R314,12),AND(AO314="K5-LAW",AL314="นิติศาสตร์",OR(K314="M2",K314="K4"),Y314="",AE314=""),EDATE(R314,12*2),AND(AO314="K5-LAW",AL314="นิติศาสตร์",OR(AE314="M2",AE314="K4"),AH314&gt;=2,OR(AG314&lt;AA314,AG314&lt;R314)),EDATE(AG314,12*2),AND(AO314="K5-LAW",AL314="นิติศาสตร์",AE314="S1",AH314&gt;=1,OR(AG314&lt;AA314,AG314&lt;R314)),EDATE(AG314,12),AND(AO314="K5-LAW",AL314="นิติศาสตร์",OR(Y314="M2",Y314="K4"),AB314&gt;=2,AA314&lt;R314),EDATE(AA314,12*2),AND(AO314="K5-LAW",AL314="นิติศาสตร์",Y314="S1",AB314&gt;=1,AA314&lt;R314),EDATE(AA314,12),AND(AO314="K5-LAW",AL314="นิติศาสตร์",OR(Y314="S2",Y314="K5")),AA314,AND(AO314="K5-LAW",AL314="นิติศาสตร์",OR(K314="M2",K314="K4"),U314&gt;=2),EDATE(R314,12*2),AND(AO314="K5-LAW",AL314="นิติศาสตร์",K314="S1",U314&gt;=1),EDATE(R314,12),AND(AO314="K5-LAW",AL314="นิติศาสตร์",OR(K314="S2",K314="K5")),R314,AND(AO314="K5-POLICY",AL314&lt;&gt;"นิติศาสตร์",K314="S2",Y314="",AE314=""),R314,AND(AO314="K5-POLICY",AL314&lt;&gt;"นิติศาสตร์",K314="S1",Y314="",AE314=""),EDATE(R314,12),AND(AO314="K5-POLICY",AL314&lt;&gt;"นิติศาสตร์",OR(K314="M2",K314="K4"),Y314="",AE314=""),EDATE(R314,12*2),AND(AO314="K5-POLICY",AL314&lt;&gt;"นิติศาสตร์",OR(AE314="M2",AE314="K4"),AH314&gt;=2,OR(AG314&lt;AA314,AG314&lt;R314)),EDATE(AG314,12*2),AND(AO314="K5-POLICY",AL314&lt;&gt;"นิติศาสตร์",AE314="S1",AH314&gt;=1,OR(AG314&lt;AA314,AG314&lt;R314)),EDATE(AG314,12),AND(AO314="K5-POLICY",AL314&lt;&gt;"นิติศาสตร์",OR(Y314="M2",Y314="K4"),AB314&gt;=2,AA314&lt;R314),EDATE(AA314,12*2),AND(AO314="K5-POLICY",AL314&lt;&gt;"นิติศาสตร์",Y314="S1",AB314&gt;=1,AA314&lt;R314),EDATE(AA314,12),AND(AO314="K5-POLICY",AL314&lt;&gt;"นิติศาสตร์",OR(Y314="S2",Y314="K5")),AA314,AND(AO314="K5-POLICY",AL314&lt;&gt;"นิติศาสตร์",OR(K314="M2",K314="K4"),U314&gt;=2),EDATE(R314,12*2),AND(AO314="K5-POLICY",AL314&lt;&gt;"นิติศาสตร์",K314="S1",U314&gt;=1),EDATE(R314,12),AND(AO314="K5-POLICY",AL314&lt;&gt;"นิติศาสตร์",OR(K314="S2",K314="K5")),R314,TRUE,"Check Data")</f>
        <v/>
      </c>
      <c r="AQ314" s="75" t="str">
        <f t="shared" si="138"/>
        <v>Check Data</v>
      </c>
      <c r="AR314" s="76" t="str">
        <f t="shared" si="139"/>
        <v>Check Data</v>
      </c>
      <c r="AS314" s="50" t="str">
        <f t="shared" si="140"/>
        <v>Check Data</v>
      </c>
      <c r="AT314" s="49" t="str">
        <f>IF(B314="","",IF(K314="S1","S1",INDEX(#REF!,#REF!)))</f>
        <v/>
      </c>
      <c r="AU314" s="49" t="str">
        <f t="shared" si="141"/>
        <v>M2</v>
      </c>
      <c r="AV314" s="50" t="b">
        <f t="shared" si="142"/>
        <v>0</v>
      </c>
    </row>
    <row r="315" spans="1:48" ht="21.75">
      <c r="A315" s="49">
        <v>313</v>
      </c>
      <c r="B315" s="50"/>
      <c r="C315" s="52"/>
      <c r="D315" s="84"/>
      <c r="E315" s="85"/>
      <c r="F315" s="85"/>
      <c r="G315" s="50">
        <f t="shared" si="127"/>
        <v>0</v>
      </c>
      <c r="H315" s="50">
        <f t="shared" si="128"/>
        <v>0</v>
      </c>
      <c r="I315" s="50">
        <f t="shared" si="129"/>
        <v>0</v>
      </c>
      <c r="J315" s="84"/>
      <c r="K315" s="49" t="s">
        <v>136</v>
      </c>
      <c r="L315" s="49" t="str">
        <f>IF(B315="","",IF(K315="S1",K315,INDEX(#REF!,#REF!)))</f>
        <v/>
      </c>
      <c r="M315" s="49" t="b">
        <f t="shared" si="130"/>
        <v>0</v>
      </c>
      <c r="N315" s="87"/>
      <c r="O315" s="85"/>
      <c r="P315" s="85"/>
      <c r="Q315" s="65" t="s">
        <v>458</v>
      </c>
      <c r="R315" s="49" t="str">
        <f t="shared" si="131"/>
        <v>31/03/2025</v>
      </c>
      <c r="S315" s="49" t="str">
        <f>IF(B315="","",IF(K315="S1",K315,INDEX(#REF!,#REF!)))</f>
        <v/>
      </c>
      <c r="T315" s="49" t="b">
        <f t="shared" si="132"/>
        <v>0</v>
      </c>
      <c r="U315" s="68">
        <f t="shared" si="133"/>
        <v>0</v>
      </c>
      <c r="V315" s="68">
        <f t="shared" si="134"/>
        <v>2</v>
      </c>
      <c r="W315" s="68">
        <f t="shared" si="135"/>
        <v>20</v>
      </c>
      <c r="X315" s="88"/>
      <c r="Y315" s="65"/>
      <c r="Z315" s="89"/>
      <c r="AA315" s="85"/>
      <c r="AB315" s="88"/>
      <c r="AC315" s="88"/>
      <c r="AD315" s="88"/>
      <c r="AE315" s="85"/>
      <c r="AF315" s="89"/>
      <c r="AG315" s="84"/>
      <c r="AH315" s="88"/>
      <c r="AI315" s="88"/>
      <c r="AJ315" s="88"/>
      <c r="AK315" s="84"/>
      <c r="AL315" s="84"/>
      <c r="AM315" s="129" t="str">
        <f>IF(B315="","",IF(K315="S1",K315,INDEX(#REF!,#REF!)))</f>
        <v/>
      </c>
      <c r="AN315" s="50" t="b">
        <f t="shared" si="136"/>
        <v>1</v>
      </c>
      <c r="AO315" s="49" t="str">
        <f t="shared" si="137"/>
        <v>K5-POLICY</v>
      </c>
      <c r="AP315" s="72" t="str">
        <f>_xlfn.IFS(B315="","",AND(AO315="K5-LAW",AL315="นิติศาสตร์",K315="S2",Y315="",AE315=""),R315,AND(AO315="K5-LAW",AL315="นิติศาสตร์",K315="S1",Y315="",AE315=""),EDATE(R315,12),AND(AO315="K5-LAW",AL315="นิติศาสตร์",OR(K315="M2",K315="K4"),Y315="",AE315=""),EDATE(R315,12*2),AND(AO315="K5-LAW",AL315="นิติศาสตร์",OR(AE315="M2",AE315="K4"),AH315&gt;=2,OR(AG315&lt;AA315,AG315&lt;R315)),EDATE(AG315,12*2),AND(AO315="K5-LAW",AL315="นิติศาสตร์",AE315="S1",AH315&gt;=1,OR(AG315&lt;AA315,AG315&lt;R315)),EDATE(AG315,12),AND(AO315="K5-LAW",AL315="นิติศาสตร์",OR(Y315="M2",Y315="K4"),AB315&gt;=2,AA315&lt;R315),EDATE(AA315,12*2),AND(AO315="K5-LAW",AL315="นิติศาสตร์",Y315="S1",AB315&gt;=1,AA315&lt;R315),EDATE(AA315,12),AND(AO315="K5-LAW",AL315="นิติศาสตร์",OR(Y315="S2",Y315="K5")),AA315,AND(AO315="K5-LAW",AL315="นิติศาสตร์",OR(K315="M2",K315="K4"),U315&gt;=2),EDATE(R315,12*2),AND(AO315="K5-LAW",AL315="นิติศาสตร์",K315="S1",U315&gt;=1),EDATE(R315,12),AND(AO315="K5-LAW",AL315="นิติศาสตร์",OR(K315="S2",K315="K5")),R315,AND(AO315="K5-POLICY",AL315&lt;&gt;"นิติศาสตร์",K315="S2",Y315="",AE315=""),R315,AND(AO315="K5-POLICY",AL315&lt;&gt;"นิติศาสตร์",K315="S1",Y315="",AE315=""),EDATE(R315,12),AND(AO315="K5-POLICY",AL315&lt;&gt;"นิติศาสตร์",OR(K315="M2",K315="K4"),Y315="",AE315=""),EDATE(R315,12*2),AND(AO315="K5-POLICY",AL315&lt;&gt;"นิติศาสตร์",OR(AE315="M2",AE315="K4"),AH315&gt;=2,OR(AG315&lt;AA315,AG315&lt;R315)),EDATE(AG315,12*2),AND(AO315="K5-POLICY",AL315&lt;&gt;"นิติศาสตร์",AE315="S1",AH315&gt;=1,OR(AG315&lt;AA315,AG315&lt;R315)),EDATE(AG315,12),AND(AO315="K5-POLICY",AL315&lt;&gt;"นิติศาสตร์",OR(Y315="M2",Y315="K4"),AB315&gt;=2,AA315&lt;R315),EDATE(AA315,12*2),AND(AO315="K5-POLICY",AL315&lt;&gt;"นิติศาสตร์",Y315="S1",AB315&gt;=1,AA315&lt;R315),EDATE(AA315,12),AND(AO315="K5-POLICY",AL315&lt;&gt;"นิติศาสตร์",OR(Y315="S2",Y315="K5")),AA315,AND(AO315="K5-POLICY",AL315&lt;&gt;"นิติศาสตร์",OR(K315="M2",K315="K4"),U315&gt;=2),EDATE(R315,12*2),AND(AO315="K5-POLICY",AL315&lt;&gt;"นิติศาสตร์",K315="S1",U315&gt;=1),EDATE(R315,12),AND(AO315="K5-POLICY",AL315&lt;&gt;"นิติศาสตร์",OR(K315="S2",K315="K5")),R315,TRUE,"Check Data")</f>
        <v/>
      </c>
      <c r="AQ315" s="75" t="str">
        <f t="shared" si="138"/>
        <v>Check Data</v>
      </c>
      <c r="AR315" s="76" t="str">
        <f t="shared" si="139"/>
        <v>Check Data</v>
      </c>
      <c r="AS315" s="50" t="str">
        <f t="shared" si="140"/>
        <v>Check Data</v>
      </c>
      <c r="AT315" s="49" t="str">
        <f>IF(B315="","",IF(K315="S1","S1",INDEX(#REF!,#REF!)))</f>
        <v/>
      </c>
      <c r="AU315" s="49" t="str">
        <f t="shared" si="141"/>
        <v>M2</v>
      </c>
      <c r="AV315" s="50" t="b">
        <f t="shared" si="142"/>
        <v>0</v>
      </c>
    </row>
    <row r="316" spans="1:48" ht="21.75">
      <c r="A316" s="49">
        <v>314</v>
      </c>
      <c r="B316" s="50"/>
      <c r="C316" s="52"/>
      <c r="D316" s="84"/>
      <c r="E316" s="85"/>
      <c r="F316" s="85"/>
      <c r="G316" s="50">
        <f t="shared" si="127"/>
        <v>0</v>
      </c>
      <c r="H316" s="50">
        <f t="shared" si="128"/>
        <v>0</v>
      </c>
      <c r="I316" s="50">
        <f t="shared" si="129"/>
        <v>0</v>
      </c>
      <c r="J316" s="84"/>
      <c r="K316" s="49" t="s">
        <v>136</v>
      </c>
      <c r="L316" s="49" t="str">
        <f>IF(B316="","",IF(K316="S1",K316,INDEX(#REF!,#REF!)))</f>
        <v/>
      </c>
      <c r="M316" s="49" t="b">
        <f t="shared" si="130"/>
        <v>0</v>
      </c>
      <c r="N316" s="87"/>
      <c r="O316" s="85"/>
      <c r="P316" s="85"/>
      <c r="Q316" s="65" t="s">
        <v>458</v>
      </c>
      <c r="R316" s="49" t="str">
        <f t="shared" si="131"/>
        <v>31/03/2025</v>
      </c>
      <c r="S316" s="49" t="str">
        <f>IF(B316="","",IF(K316="S1",K316,INDEX(#REF!,#REF!)))</f>
        <v/>
      </c>
      <c r="T316" s="49" t="b">
        <f t="shared" si="132"/>
        <v>0</v>
      </c>
      <c r="U316" s="68">
        <f t="shared" si="133"/>
        <v>0</v>
      </c>
      <c r="V316" s="68">
        <f t="shared" si="134"/>
        <v>2</v>
      </c>
      <c r="W316" s="68">
        <f t="shared" si="135"/>
        <v>20</v>
      </c>
      <c r="X316" s="88"/>
      <c r="Y316" s="65"/>
      <c r="Z316" s="89"/>
      <c r="AA316" s="85"/>
      <c r="AB316" s="88"/>
      <c r="AC316" s="88"/>
      <c r="AD316" s="88"/>
      <c r="AE316" s="85"/>
      <c r="AF316" s="89"/>
      <c r="AG316" s="84"/>
      <c r="AH316" s="88"/>
      <c r="AI316" s="88"/>
      <c r="AJ316" s="88"/>
      <c r="AK316" s="84"/>
      <c r="AL316" s="84"/>
      <c r="AM316" s="129" t="str">
        <f>IF(B316="","",IF(K316="S1",K316,INDEX(#REF!,#REF!)))</f>
        <v/>
      </c>
      <c r="AN316" s="50" t="b">
        <f t="shared" si="136"/>
        <v>1</v>
      </c>
      <c r="AO316" s="49" t="str">
        <f t="shared" si="137"/>
        <v>K5-POLICY</v>
      </c>
      <c r="AP316" s="72" t="str">
        <f>_xlfn.IFS(B316="","",AND(AO316="K5-LAW",AL316="นิติศาสตร์",K316="S2",Y316="",AE316=""),R316,AND(AO316="K5-LAW",AL316="นิติศาสตร์",K316="S1",Y316="",AE316=""),EDATE(R316,12),AND(AO316="K5-LAW",AL316="นิติศาสตร์",OR(K316="M2",K316="K4"),Y316="",AE316=""),EDATE(R316,12*2),AND(AO316="K5-LAW",AL316="นิติศาสตร์",OR(AE316="M2",AE316="K4"),AH316&gt;=2,OR(AG316&lt;AA316,AG316&lt;R316)),EDATE(AG316,12*2),AND(AO316="K5-LAW",AL316="นิติศาสตร์",AE316="S1",AH316&gt;=1,OR(AG316&lt;AA316,AG316&lt;R316)),EDATE(AG316,12),AND(AO316="K5-LAW",AL316="นิติศาสตร์",OR(Y316="M2",Y316="K4"),AB316&gt;=2,AA316&lt;R316),EDATE(AA316,12*2),AND(AO316="K5-LAW",AL316="นิติศาสตร์",Y316="S1",AB316&gt;=1,AA316&lt;R316),EDATE(AA316,12),AND(AO316="K5-LAW",AL316="นิติศาสตร์",OR(Y316="S2",Y316="K5")),AA316,AND(AO316="K5-LAW",AL316="นิติศาสตร์",OR(K316="M2",K316="K4"),U316&gt;=2),EDATE(R316,12*2),AND(AO316="K5-LAW",AL316="นิติศาสตร์",K316="S1",U316&gt;=1),EDATE(R316,12),AND(AO316="K5-LAW",AL316="นิติศาสตร์",OR(K316="S2",K316="K5")),R316,AND(AO316="K5-POLICY",AL316&lt;&gt;"นิติศาสตร์",K316="S2",Y316="",AE316=""),R316,AND(AO316="K5-POLICY",AL316&lt;&gt;"นิติศาสตร์",K316="S1",Y316="",AE316=""),EDATE(R316,12),AND(AO316="K5-POLICY",AL316&lt;&gt;"นิติศาสตร์",OR(K316="M2",K316="K4"),Y316="",AE316=""),EDATE(R316,12*2),AND(AO316="K5-POLICY",AL316&lt;&gt;"นิติศาสตร์",OR(AE316="M2",AE316="K4"),AH316&gt;=2,OR(AG316&lt;AA316,AG316&lt;R316)),EDATE(AG316,12*2),AND(AO316="K5-POLICY",AL316&lt;&gt;"นิติศาสตร์",AE316="S1",AH316&gt;=1,OR(AG316&lt;AA316,AG316&lt;R316)),EDATE(AG316,12),AND(AO316="K5-POLICY",AL316&lt;&gt;"นิติศาสตร์",OR(Y316="M2",Y316="K4"),AB316&gt;=2,AA316&lt;R316),EDATE(AA316,12*2),AND(AO316="K5-POLICY",AL316&lt;&gt;"นิติศาสตร์",Y316="S1",AB316&gt;=1,AA316&lt;R316),EDATE(AA316,12),AND(AO316="K5-POLICY",AL316&lt;&gt;"นิติศาสตร์",OR(Y316="S2",Y316="K5")),AA316,AND(AO316="K5-POLICY",AL316&lt;&gt;"นิติศาสตร์",OR(K316="M2",K316="K4"),U316&gt;=2),EDATE(R316,12*2),AND(AO316="K5-POLICY",AL316&lt;&gt;"นิติศาสตร์",K316="S1",U316&gt;=1),EDATE(R316,12),AND(AO316="K5-POLICY",AL316&lt;&gt;"นิติศาสตร์",OR(K316="S2",K316="K5")),R316,TRUE,"Check Data")</f>
        <v/>
      </c>
      <c r="AQ316" s="75" t="str">
        <f t="shared" si="138"/>
        <v>Check Data</v>
      </c>
      <c r="AR316" s="76" t="str">
        <f t="shared" si="139"/>
        <v>Check Data</v>
      </c>
      <c r="AS316" s="50" t="str">
        <f t="shared" si="140"/>
        <v>Check Data</v>
      </c>
      <c r="AT316" s="49" t="str">
        <f>IF(B316="","",IF(K316="S1","S1",INDEX(#REF!,#REF!)))</f>
        <v/>
      </c>
      <c r="AU316" s="49" t="str">
        <f t="shared" si="141"/>
        <v>M2</v>
      </c>
      <c r="AV316" s="50" t="b">
        <f t="shared" si="142"/>
        <v>0</v>
      </c>
    </row>
    <row r="317" spans="1:48" ht="21.75">
      <c r="A317" s="49">
        <v>315</v>
      </c>
      <c r="B317" s="50"/>
      <c r="C317" s="54"/>
      <c r="D317" s="84" t="s">
        <v>144</v>
      </c>
      <c r="E317" s="85" t="s">
        <v>208</v>
      </c>
      <c r="F317" s="85" t="str">
        <f t="shared" ref="F317:F338" si="143">IF(E317="","",TEXT(EDATE(E317,-543*12),"dd/mm/yyyy"))</f>
        <v>01/02/1990</v>
      </c>
      <c r="G317" s="50">
        <f t="shared" si="127"/>
        <v>35</v>
      </c>
      <c r="H317" s="50">
        <f t="shared" si="128"/>
        <v>4</v>
      </c>
      <c r="I317" s="50">
        <f t="shared" si="129"/>
        <v>19</v>
      </c>
      <c r="J317" s="84"/>
      <c r="K317" s="49" t="s">
        <v>137</v>
      </c>
      <c r="L317" s="49" t="str">
        <f>IF(B317="","",IF(K317="S1",K317,INDEX(#REF!,#REF!)))</f>
        <v/>
      </c>
      <c r="M317" s="49" t="b">
        <f t="shared" si="130"/>
        <v>0</v>
      </c>
      <c r="N317" s="87"/>
      <c r="O317" s="85"/>
      <c r="P317" s="85"/>
      <c r="Q317" s="65" t="s">
        <v>413</v>
      </c>
      <c r="R317" s="49" t="str">
        <f t="shared" si="131"/>
        <v>31/03/2015</v>
      </c>
      <c r="S317" s="49" t="str">
        <f>IF(B317="","",IF(K317="S1",K317,INDEX(#REF!,#REF!)))</f>
        <v/>
      </c>
      <c r="T317" s="49" t="b">
        <f t="shared" si="132"/>
        <v>0</v>
      </c>
      <c r="U317" s="68">
        <f t="shared" si="133"/>
        <v>10</v>
      </c>
      <c r="V317" s="68">
        <f t="shared" si="134"/>
        <v>2</v>
      </c>
      <c r="W317" s="68">
        <f t="shared" si="135"/>
        <v>20</v>
      </c>
      <c r="X317" s="88"/>
      <c r="Y317" s="65"/>
      <c r="Z317" s="89"/>
      <c r="AA317" s="85" t="str">
        <f t="shared" ref="AA317:AA338" si="144">IF(Z317="","",TEXT(EDATE(Z317,-543*12),"dd/mm/yyyy"))</f>
        <v/>
      </c>
      <c r="AB317" s="88">
        <f t="shared" ref="AB317:AB338" si="145">IF(AA317="",0,DATEDIF(AA317,R317,"Y"))</f>
        <v>0</v>
      </c>
      <c r="AC317" s="88">
        <f t="shared" ref="AC317:AC338" si="146">IF(AA317="",0,DATEDIF(AA317,R317,"YM"))</f>
        <v>0</v>
      </c>
      <c r="AD317" s="88">
        <f t="shared" ref="AD317:AD338" si="147">IF(AA317="",0,DATEDIF(AA317,R317,"MD"))</f>
        <v>0</v>
      </c>
      <c r="AE317" s="85"/>
      <c r="AF317" s="89"/>
      <c r="AG317" s="84" t="str">
        <f t="shared" ref="AG317:AG338" si="148">IF(AF317="","",TEXT(EDATE(AF317,-543*12),"dd/mm/yyyy"))</f>
        <v/>
      </c>
      <c r="AH317" s="88">
        <f t="shared" ref="AH317:AH338" si="149">IF(AG317="",0,DATEDIF(AG317,AA317,"Y"))</f>
        <v>0</v>
      </c>
      <c r="AI317" s="88">
        <f t="shared" ref="AI317:AI338" si="150">IF(AG317="",0,DATEDIF(AG317,AA317,"YM"))</f>
        <v>0</v>
      </c>
      <c r="AJ317" s="88">
        <f t="shared" ref="AJ317:AJ338" si="151">IF(AG317="",0,DATEDIF(AG317,AA317,"MD"))</f>
        <v>0</v>
      </c>
      <c r="AK317" s="84"/>
      <c r="AL317" s="84" t="s">
        <v>138</v>
      </c>
      <c r="AM317" s="50" t="str">
        <f>IF(B317="","",IF(K317="S1",K317,INDEX(#REF!,#REF!)))</f>
        <v/>
      </c>
      <c r="AN317" s="50" t="b">
        <f t="shared" si="136"/>
        <v>0</v>
      </c>
      <c r="AO317" s="49" t="str">
        <f t="shared" si="137"/>
        <v>K5-LAW</v>
      </c>
      <c r="AP317" s="72" t="str">
        <f>_xlfn.IFS(B317="","",AND(AO317="K5-LAW",AL317="นิติศาสตร์",K317="S2",Y317="",AE317=""),R317,AND(AO317="K5-LAW",AL317="นิติศาสตร์",K317="S1",Y317="",AE317=""),EDATE(R317,12),AND(AO317="K5-LAW",AL317="นิติศาสตร์",OR(K317="M2",K317="K4"),Y317="",AE317=""),EDATE(R317,12*2),AND(AO317="K5-LAW",AL317="นิติศาสตร์",OR(AE317="M2",AE317="K4"),AH317&gt;=2,OR(AG317&lt;AA317,AG317&lt;R317)),EDATE(AG317,12*2),AND(AO317="K5-LAW",AL317="นิติศาสตร์",AE317="S1",AH317&gt;=1,OR(AG317&lt;AA317,AG317&lt;R317)),EDATE(AG317,12),AND(AO317="K5-LAW",AL317="นิติศาสตร์",OR(Y317="M2",Y317="K4"),AB317&gt;=2,AA317&lt;R317),EDATE(AA317,12*2),AND(AO317="K5-LAW",AL317="นิติศาสตร์",Y317="S1",AB317&gt;=1,AA317&lt;R317),EDATE(AA317,12),AND(AO317="K5-LAW",AL317="นิติศาสตร์",OR(Y317="S2",Y317="K5")),AA317,AND(AO317="K5-LAW",AL317="นิติศาสตร์",OR(K317="M2",K317="K4"),U317&gt;=2),EDATE(R317,12*2),AND(AO317="K5-LAW",AL317="นิติศาสตร์",K317="S1",U317&gt;=1),EDATE(R317,12),AND(AO317="K5-LAW",AL317="นิติศาสตร์",OR(K317="S2",K317="K5")),R317,AND(AO317="K5-POLICY",AL317&lt;&gt;"นิติศาสตร์",K317="S2",Y317="",AE317=""),R317,AND(AO317="K5-POLICY",AL317&lt;&gt;"นิติศาสตร์",K317="S1",Y317="",AE317=""),EDATE(R317,12),AND(AO317="K5-POLICY",AL317&lt;&gt;"นิติศาสตร์",OR(K317="M2",K317="K4"),Y317="",AE317=""),EDATE(R317,12*2),AND(AO317="K5-POLICY",AL317&lt;&gt;"นิติศาสตร์",OR(AE317="M2",AE317="K4"),AH317&gt;=2,OR(AG317&lt;AA317,AG317&lt;R317)),EDATE(AG317,12*2),AND(AO317="K5-POLICY",AL317&lt;&gt;"นิติศาสตร์",AE317="S1",AH317&gt;=1,OR(AG317&lt;AA317,AG317&lt;R317)),EDATE(AG317,12),AND(AO317="K5-POLICY",AL317&lt;&gt;"นิติศาสตร์",OR(Y317="M2",Y317="K4"),AB317&gt;=2,AA317&lt;R317),EDATE(AA317,12*2),AND(AO317="K5-POLICY",AL317&lt;&gt;"นิติศาสตร์",Y317="S1",AB317&gt;=1,AA317&lt;R317),EDATE(AA317,12),AND(AO317="K5-POLICY",AL317&lt;&gt;"นิติศาสตร์",OR(Y317="S2",Y317="K5")),AA317,AND(AO317="K5-POLICY",AL317&lt;&gt;"นิติศาสตร์",OR(K317="M2",K317="K4"),U317&gt;=2),EDATE(R317,12*2),AND(AO317="K5-POLICY",AL317&lt;&gt;"นิติศาสตร์",K317="S1",U317&gt;=1),EDATE(R317,12),AND(AO317="K5-POLICY",AL317&lt;&gt;"นิติศาสตร์",OR(K317="S2",K317="K5")),R317,TRUE,"Check Data")</f>
        <v/>
      </c>
      <c r="AQ317" s="75" t="str">
        <f t="shared" si="138"/>
        <v>Check Data</v>
      </c>
      <c r="AR317" s="76" t="str">
        <f t="shared" si="139"/>
        <v>Check Data</v>
      </c>
      <c r="AS317" s="50" t="str">
        <f t="shared" si="140"/>
        <v>Check Data</v>
      </c>
      <c r="AT317" s="49" t="str">
        <f>IF(B317="","",IF(K317="S1","S1",INDEX(#REF!,#REF!)))</f>
        <v/>
      </c>
      <c r="AU317" s="49" t="str">
        <f t="shared" si="141"/>
        <v>K4</v>
      </c>
      <c r="AV317" s="50" t="b">
        <f t="shared" si="142"/>
        <v>0</v>
      </c>
    </row>
    <row r="318" spans="1:48" ht="21.75">
      <c r="A318" s="49">
        <v>316</v>
      </c>
      <c r="B318" s="50"/>
      <c r="C318" s="54"/>
      <c r="D318" s="84" t="s">
        <v>144</v>
      </c>
      <c r="E318" s="85" t="s">
        <v>382</v>
      </c>
      <c r="F318" s="85" t="str">
        <f t="shared" si="143"/>
        <v>01/05/1989</v>
      </c>
      <c r="G318" s="50">
        <f t="shared" si="127"/>
        <v>36</v>
      </c>
      <c r="H318" s="50">
        <f t="shared" si="128"/>
        <v>1</v>
      </c>
      <c r="I318" s="50">
        <f t="shared" si="129"/>
        <v>19</v>
      </c>
      <c r="J318" s="84"/>
      <c r="K318" s="49" t="s">
        <v>137</v>
      </c>
      <c r="L318" s="49" t="str">
        <f>IF(B318="","",IF(K318="S1",K318,INDEX(#REF!,#REF!)))</f>
        <v/>
      </c>
      <c r="M318" s="49" t="b">
        <f t="shared" si="130"/>
        <v>0</v>
      </c>
      <c r="N318" s="87"/>
      <c r="O318" s="85"/>
      <c r="P318" s="85"/>
      <c r="Q318" s="65" t="s">
        <v>408</v>
      </c>
      <c r="R318" s="49" t="str">
        <f t="shared" si="131"/>
        <v>23/11/2016</v>
      </c>
      <c r="S318" s="49" t="str">
        <f>IF(B318="","",IF(K318="S1",K318,INDEX(#REF!,#REF!)))</f>
        <v/>
      </c>
      <c r="T318" s="49" t="b">
        <f t="shared" si="132"/>
        <v>0</v>
      </c>
      <c r="U318" s="68">
        <f t="shared" si="133"/>
        <v>8</v>
      </c>
      <c r="V318" s="68">
        <f t="shared" si="134"/>
        <v>6</v>
      </c>
      <c r="W318" s="68">
        <f t="shared" si="135"/>
        <v>28</v>
      </c>
      <c r="X318" s="88"/>
      <c r="Y318" s="65"/>
      <c r="Z318" s="89"/>
      <c r="AA318" s="85" t="str">
        <f t="shared" si="144"/>
        <v/>
      </c>
      <c r="AB318" s="88">
        <f t="shared" si="145"/>
        <v>0</v>
      </c>
      <c r="AC318" s="88">
        <f t="shared" si="146"/>
        <v>0</v>
      </c>
      <c r="AD318" s="88">
        <f t="shared" si="147"/>
        <v>0</v>
      </c>
      <c r="AE318" s="85"/>
      <c r="AF318" s="89"/>
      <c r="AG318" s="84" t="str">
        <f t="shared" si="148"/>
        <v/>
      </c>
      <c r="AH318" s="88">
        <f t="shared" si="149"/>
        <v>0</v>
      </c>
      <c r="AI318" s="88">
        <f t="shared" si="150"/>
        <v>0</v>
      </c>
      <c r="AJ318" s="88">
        <f t="shared" si="151"/>
        <v>0</v>
      </c>
      <c r="AK318" s="84"/>
      <c r="AL318" s="84" t="s">
        <v>138</v>
      </c>
      <c r="AM318" s="50" t="str">
        <f>IF(B318="","",IF(K318="S1",K318,INDEX(#REF!,#REF!)))</f>
        <v/>
      </c>
      <c r="AN318" s="50" t="b">
        <f t="shared" si="136"/>
        <v>0</v>
      </c>
      <c r="AO318" s="49" t="str">
        <f t="shared" si="137"/>
        <v>K5-LAW</v>
      </c>
      <c r="AP318" s="72" t="str">
        <f>_xlfn.IFS(B318="","",AND(AO318="K5-LAW",AL318="นิติศาสตร์",K318="S2",Y318="",AE318=""),R318,AND(AO318="K5-LAW",AL318="นิติศาสตร์",K318="S1",Y318="",AE318=""),EDATE(R318,12),AND(AO318="K5-LAW",AL318="นิติศาสตร์",OR(K318="M2",K318="K4"),Y318="",AE318=""),EDATE(R318,12*2),AND(AO318="K5-LAW",AL318="นิติศาสตร์",OR(AE318="M2",AE318="K4"),AH318&gt;=2,OR(AG318&lt;AA318,AG318&lt;R318)),EDATE(AG318,12*2),AND(AO318="K5-LAW",AL318="นิติศาสตร์",AE318="S1",AH318&gt;=1,OR(AG318&lt;AA318,AG318&lt;R318)),EDATE(AG318,12),AND(AO318="K5-LAW",AL318="นิติศาสตร์",OR(Y318="M2",Y318="K4"),AB318&gt;=2,AA318&lt;R318),EDATE(AA318,12*2),AND(AO318="K5-LAW",AL318="นิติศาสตร์",Y318="S1",AB318&gt;=1,AA318&lt;R318),EDATE(AA318,12),AND(AO318="K5-LAW",AL318="นิติศาสตร์",OR(Y318="S2",Y318="K5")),AA318,AND(AO318="K5-LAW",AL318="นิติศาสตร์",OR(K318="M2",K318="K4"),U318&gt;=2),EDATE(R318,12*2),AND(AO318="K5-LAW",AL318="นิติศาสตร์",K318="S1",U318&gt;=1),EDATE(R318,12),AND(AO318="K5-LAW",AL318="นิติศาสตร์",OR(K318="S2",K318="K5")),R318,AND(AO318="K5-POLICY",AL318&lt;&gt;"นิติศาสตร์",K318="S2",Y318="",AE318=""),R318,AND(AO318="K5-POLICY",AL318&lt;&gt;"นิติศาสตร์",K318="S1",Y318="",AE318=""),EDATE(R318,12),AND(AO318="K5-POLICY",AL318&lt;&gt;"นิติศาสตร์",OR(K318="M2",K318="K4"),Y318="",AE318=""),EDATE(R318,12*2),AND(AO318="K5-POLICY",AL318&lt;&gt;"นิติศาสตร์",OR(AE318="M2",AE318="K4"),AH318&gt;=2,OR(AG318&lt;AA318,AG318&lt;R318)),EDATE(AG318,12*2),AND(AO318="K5-POLICY",AL318&lt;&gt;"นิติศาสตร์",AE318="S1",AH318&gt;=1,OR(AG318&lt;AA318,AG318&lt;R318)),EDATE(AG318,12),AND(AO318="K5-POLICY",AL318&lt;&gt;"นิติศาสตร์",OR(Y318="M2",Y318="K4"),AB318&gt;=2,AA318&lt;R318),EDATE(AA318,12*2),AND(AO318="K5-POLICY",AL318&lt;&gt;"นิติศาสตร์",Y318="S1",AB318&gt;=1,AA318&lt;R318),EDATE(AA318,12),AND(AO318="K5-POLICY",AL318&lt;&gt;"นิติศาสตร์",OR(Y318="S2",Y318="K5")),AA318,AND(AO318="K5-POLICY",AL318&lt;&gt;"นิติศาสตร์",OR(K318="M2",K318="K4"),U318&gt;=2),EDATE(R318,12*2),AND(AO318="K5-POLICY",AL318&lt;&gt;"นิติศาสตร์",K318="S1",U318&gt;=1),EDATE(R318,12),AND(AO318="K5-POLICY",AL318&lt;&gt;"นิติศาสตร์",OR(K318="S2",K318="K5")),R318,TRUE,"Check Data")</f>
        <v/>
      </c>
      <c r="AQ318" s="75" t="str">
        <f t="shared" si="138"/>
        <v>Check Data</v>
      </c>
      <c r="AR318" s="76" t="str">
        <f t="shared" si="139"/>
        <v>Check Data</v>
      </c>
      <c r="AS318" s="50" t="str">
        <f t="shared" si="140"/>
        <v>Check Data</v>
      </c>
      <c r="AT318" s="49" t="str">
        <f>IF(B318="","",IF(K318="S1","S1",INDEX(#REF!,#REF!)))</f>
        <v/>
      </c>
      <c r="AU318" s="49" t="str">
        <f t="shared" si="141"/>
        <v>K4</v>
      </c>
      <c r="AV318" s="50" t="b">
        <f t="shared" si="142"/>
        <v>0</v>
      </c>
    </row>
    <row r="319" spans="1:48" ht="21.75">
      <c r="A319" s="49">
        <v>317</v>
      </c>
      <c r="B319" s="50"/>
      <c r="C319" s="54"/>
      <c r="D319" s="84" t="s">
        <v>144</v>
      </c>
      <c r="E319" s="85" t="s">
        <v>328</v>
      </c>
      <c r="F319" s="85" t="str">
        <f t="shared" si="143"/>
        <v>03/06/1991</v>
      </c>
      <c r="G319" s="50">
        <f t="shared" si="127"/>
        <v>34</v>
      </c>
      <c r="H319" s="50">
        <f t="shared" si="128"/>
        <v>0</v>
      </c>
      <c r="I319" s="50">
        <f t="shared" si="129"/>
        <v>17</v>
      </c>
      <c r="J319" s="84"/>
      <c r="K319" s="49" t="s">
        <v>137</v>
      </c>
      <c r="L319" s="49" t="str">
        <f>IF(B319="","",IF(K319="S1",K319,INDEX(#REF!,#REF!)))</f>
        <v/>
      </c>
      <c r="M319" s="49" t="b">
        <f t="shared" si="130"/>
        <v>0</v>
      </c>
      <c r="N319" s="87"/>
      <c r="O319" s="85"/>
      <c r="P319" s="85"/>
      <c r="Q319" s="65" t="s">
        <v>415</v>
      </c>
      <c r="R319" s="49" t="str">
        <f t="shared" si="131"/>
        <v>30/01/2018</v>
      </c>
      <c r="S319" s="49" t="str">
        <f>IF(B319="","",IF(K319="S1",K319,INDEX(#REF!,#REF!)))</f>
        <v/>
      </c>
      <c r="T319" s="49" t="b">
        <f t="shared" si="132"/>
        <v>0</v>
      </c>
      <c r="U319" s="68">
        <f t="shared" si="133"/>
        <v>7</v>
      </c>
      <c r="V319" s="68">
        <f t="shared" si="134"/>
        <v>4</v>
      </c>
      <c r="W319" s="68">
        <f t="shared" si="135"/>
        <v>21</v>
      </c>
      <c r="X319" s="88"/>
      <c r="Y319" s="65"/>
      <c r="Z319" s="89"/>
      <c r="AA319" s="85" t="str">
        <f t="shared" si="144"/>
        <v/>
      </c>
      <c r="AB319" s="88">
        <f t="shared" si="145"/>
        <v>0</v>
      </c>
      <c r="AC319" s="88">
        <f t="shared" si="146"/>
        <v>0</v>
      </c>
      <c r="AD319" s="88">
        <f t="shared" si="147"/>
        <v>0</v>
      </c>
      <c r="AE319" s="85"/>
      <c r="AF319" s="89"/>
      <c r="AG319" s="84" t="str">
        <f t="shared" si="148"/>
        <v/>
      </c>
      <c r="AH319" s="88">
        <f t="shared" si="149"/>
        <v>0</v>
      </c>
      <c r="AI319" s="88">
        <f t="shared" si="150"/>
        <v>0</v>
      </c>
      <c r="AJ319" s="88">
        <f t="shared" si="151"/>
        <v>0</v>
      </c>
      <c r="AK319" s="84"/>
      <c r="AL319" s="84" t="s">
        <v>138</v>
      </c>
      <c r="AM319" s="50" t="str">
        <f>IF(B319="","",IF(K319="S1",K319,INDEX(#REF!,#REF!)))</f>
        <v/>
      </c>
      <c r="AN319" s="50" t="b">
        <f t="shared" si="136"/>
        <v>0</v>
      </c>
      <c r="AO319" s="49" t="str">
        <f t="shared" si="137"/>
        <v>K5-LAW</v>
      </c>
      <c r="AP319" s="72" t="str">
        <f>_xlfn.IFS(B319="","",AND(AO319="K5-LAW",AL319="นิติศาสตร์",K319="S2",Y319="",AE319=""),R319,AND(AO319="K5-LAW",AL319="นิติศาสตร์",K319="S1",Y319="",AE319=""),EDATE(R319,12),AND(AO319="K5-LAW",AL319="นิติศาสตร์",OR(K319="M2",K319="K4"),Y319="",AE319=""),EDATE(R319,12*2),AND(AO319="K5-LAW",AL319="นิติศาสตร์",OR(AE319="M2",AE319="K4"),AH319&gt;=2,OR(AG319&lt;AA319,AG319&lt;R319)),EDATE(AG319,12*2),AND(AO319="K5-LAW",AL319="นิติศาสตร์",AE319="S1",AH319&gt;=1,OR(AG319&lt;AA319,AG319&lt;R319)),EDATE(AG319,12),AND(AO319="K5-LAW",AL319="นิติศาสตร์",OR(Y319="M2",Y319="K4"),AB319&gt;=2,AA319&lt;R319),EDATE(AA319,12*2),AND(AO319="K5-LAW",AL319="นิติศาสตร์",Y319="S1",AB319&gt;=1,AA319&lt;R319),EDATE(AA319,12),AND(AO319="K5-LAW",AL319="นิติศาสตร์",OR(Y319="S2",Y319="K5")),AA319,AND(AO319="K5-LAW",AL319="นิติศาสตร์",OR(K319="M2",K319="K4"),U319&gt;=2),EDATE(R319,12*2),AND(AO319="K5-LAW",AL319="นิติศาสตร์",K319="S1",U319&gt;=1),EDATE(R319,12),AND(AO319="K5-LAW",AL319="นิติศาสตร์",OR(K319="S2",K319="K5")),R319,AND(AO319="K5-POLICY",AL319&lt;&gt;"นิติศาสตร์",K319="S2",Y319="",AE319=""),R319,AND(AO319="K5-POLICY",AL319&lt;&gt;"นิติศาสตร์",K319="S1",Y319="",AE319=""),EDATE(R319,12),AND(AO319="K5-POLICY",AL319&lt;&gt;"นิติศาสตร์",OR(K319="M2",K319="K4"),Y319="",AE319=""),EDATE(R319,12*2),AND(AO319="K5-POLICY",AL319&lt;&gt;"นิติศาสตร์",OR(AE319="M2",AE319="K4"),AH319&gt;=2,OR(AG319&lt;AA319,AG319&lt;R319)),EDATE(AG319,12*2),AND(AO319="K5-POLICY",AL319&lt;&gt;"นิติศาสตร์",AE319="S1",AH319&gt;=1,OR(AG319&lt;AA319,AG319&lt;R319)),EDATE(AG319,12),AND(AO319="K5-POLICY",AL319&lt;&gt;"นิติศาสตร์",OR(Y319="M2",Y319="K4"),AB319&gt;=2,AA319&lt;R319),EDATE(AA319,12*2),AND(AO319="K5-POLICY",AL319&lt;&gt;"นิติศาสตร์",Y319="S1",AB319&gt;=1,AA319&lt;R319),EDATE(AA319,12),AND(AO319="K5-POLICY",AL319&lt;&gt;"นิติศาสตร์",OR(Y319="S2",Y319="K5")),AA319,AND(AO319="K5-POLICY",AL319&lt;&gt;"นิติศาสตร์",OR(K319="M2",K319="K4"),U319&gt;=2),EDATE(R319,12*2),AND(AO319="K5-POLICY",AL319&lt;&gt;"นิติศาสตร์",K319="S1",U319&gt;=1),EDATE(R319,12),AND(AO319="K5-POLICY",AL319&lt;&gt;"นิติศาสตร์",OR(K319="S2",K319="K5")),R319,TRUE,"Check Data")</f>
        <v/>
      </c>
      <c r="AQ319" s="75" t="str">
        <f t="shared" si="138"/>
        <v>Check Data</v>
      </c>
      <c r="AR319" s="76" t="str">
        <f t="shared" si="139"/>
        <v>Check Data</v>
      </c>
      <c r="AS319" s="50" t="str">
        <f t="shared" si="140"/>
        <v>Check Data</v>
      </c>
      <c r="AT319" s="49" t="str">
        <f>IF(B319="","",IF(K319="S1","S1",INDEX(#REF!,#REF!)))</f>
        <v/>
      </c>
      <c r="AU319" s="49" t="str">
        <f t="shared" si="141"/>
        <v>K4</v>
      </c>
      <c r="AV319" s="50" t="b">
        <f t="shared" si="142"/>
        <v>0</v>
      </c>
    </row>
    <row r="320" spans="1:48" ht="21.75">
      <c r="A320" s="49">
        <v>318</v>
      </c>
      <c r="B320" s="50"/>
      <c r="C320" s="54"/>
      <c r="D320" s="84" t="s">
        <v>144</v>
      </c>
      <c r="E320" s="85" t="s">
        <v>208</v>
      </c>
      <c r="F320" s="85" t="str">
        <f t="shared" si="143"/>
        <v>01/02/1990</v>
      </c>
      <c r="G320" s="50">
        <f t="shared" si="127"/>
        <v>35</v>
      </c>
      <c r="H320" s="50">
        <f t="shared" si="128"/>
        <v>4</v>
      </c>
      <c r="I320" s="50">
        <f t="shared" si="129"/>
        <v>19</v>
      </c>
      <c r="J320" s="84"/>
      <c r="K320" s="49" t="s">
        <v>137</v>
      </c>
      <c r="L320" s="49" t="str">
        <f>IF(B320="","",IF(K320="S1",K320,INDEX(#REF!,#REF!)))</f>
        <v/>
      </c>
      <c r="M320" s="49" t="b">
        <f t="shared" si="130"/>
        <v>0</v>
      </c>
      <c r="N320" s="87"/>
      <c r="O320" s="85"/>
      <c r="P320" s="85"/>
      <c r="Q320" s="65" t="s">
        <v>417</v>
      </c>
      <c r="R320" s="49" t="str">
        <f t="shared" si="131"/>
        <v>15/02/2018</v>
      </c>
      <c r="S320" s="49" t="str">
        <f>IF(B320="","",IF(K320="S1",K320,INDEX(#REF!,#REF!)))</f>
        <v/>
      </c>
      <c r="T320" s="49" t="b">
        <f t="shared" si="132"/>
        <v>0</v>
      </c>
      <c r="U320" s="68">
        <f t="shared" si="133"/>
        <v>7</v>
      </c>
      <c r="V320" s="68">
        <f t="shared" si="134"/>
        <v>4</v>
      </c>
      <c r="W320" s="68">
        <f t="shared" si="135"/>
        <v>5</v>
      </c>
      <c r="X320" s="88"/>
      <c r="Y320" s="65"/>
      <c r="Z320" s="89"/>
      <c r="AA320" s="85" t="str">
        <f t="shared" si="144"/>
        <v/>
      </c>
      <c r="AB320" s="88">
        <f t="shared" si="145"/>
        <v>0</v>
      </c>
      <c r="AC320" s="88">
        <f t="shared" si="146"/>
        <v>0</v>
      </c>
      <c r="AD320" s="88">
        <f t="shared" si="147"/>
        <v>0</v>
      </c>
      <c r="AE320" s="85"/>
      <c r="AF320" s="89"/>
      <c r="AG320" s="84" t="str">
        <f t="shared" si="148"/>
        <v/>
      </c>
      <c r="AH320" s="88">
        <f t="shared" si="149"/>
        <v>0</v>
      </c>
      <c r="AI320" s="88">
        <f t="shared" si="150"/>
        <v>0</v>
      </c>
      <c r="AJ320" s="88">
        <f t="shared" si="151"/>
        <v>0</v>
      </c>
      <c r="AK320" s="84"/>
      <c r="AL320" s="84" t="s">
        <v>509</v>
      </c>
      <c r="AM320" s="50" t="str">
        <f>IF(B320="","",IF(K320="S1",K320,INDEX(#REF!,#REF!)))</f>
        <v/>
      </c>
      <c r="AN320" s="50" t="b">
        <f t="shared" si="136"/>
        <v>0</v>
      </c>
      <c r="AO320" s="49" t="str">
        <f t="shared" si="137"/>
        <v>K5-POLICY</v>
      </c>
      <c r="AP320" s="72" t="str">
        <f>_xlfn.IFS(B320="","",AND(AO320="K5-LAW",AL320="นิติศาสตร์",K320="S2",Y320="",AE320=""),R320,AND(AO320="K5-LAW",AL320="นิติศาสตร์",K320="S1",Y320="",AE320=""),EDATE(R320,12),AND(AO320="K5-LAW",AL320="นิติศาสตร์",OR(K320="M2",K320="K4"),Y320="",AE320=""),EDATE(R320,12*2),AND(AO320="K5-LAW",AL320="นิติศาสตร์",OR(AE320="M2",AE320="K4"),AH320&gt;=2,OR(AG320&lt;AA320,AG320&lt;R320)),EDATE(AG320,12*2),AND(AO320="K5-LAW",AL320="นิติศาสตร์",AE320="S1",AH320&gt;=1,OR(AG320&lt;AA320,AG320&lt;R320)),EDATE(AG320,12),AND(AO320="K5-LAW",AL320="นิติศาสตร์",OR(Y320="M2",Y320="K4"),AB320&gt;=2,AA320&lt;R320),EDATE(AA320,12*2),AND(AO320="K5-LAW",AL320="นิติศาสตร์",Y320="S1",AB320&gt;=1,AA320&lt;R320),EDATE(AA320,12),AND(AO320="K5-LAW",AL320="นิติศาสตร์",OR(Y320="S2",Y320="K5")),AA320,AND(AO320="K5-LAW",AL320="นิติศาสตร์",OR(K320="M2",K320="K4"),U320&gt;=2),EDATE(R320,12*2),AND(AO320="K5-LAW",AL320="นิติศาสตร์",K320="S1",U320&gt;=1),EDATE(R320,12),AND(AO320="K5-LAW",AL320="นิติศาสตร์",OR(K320="S2",K320="K5")),R320,AND(AO320="K5-POLICY",AL320&lt;&gt;"นิติศาสตร์",K320="S2",Y320="",AE320=""),R320,AND(AO320="K5-POLICY",AL320&lt;&gt;"นิติศาสตร์",K320="S1",Y320="",AE320=""),EDATE(R320,12),AND(AO320="K5-POLICY",AL320&lt;&gt;"นิติศาสตร์",OR(K320="M2",K320="K4"),Y320="",AE320=""),EDATE(R320,12*2),AND(AO320="K5-POLICY",AL320&lt;&gt;"นิติศาสตร์",OR(AE320="M2",AE320="K4"),AH320&gt;=2,OR(AG320&lt;AA320,AG320&lt;R320)),EDATE(AG320,12*2),AND(AO320="K5-POLICY",AL320&lt;&gt;"นิติศาสตร์",AE320="S1",AH320&gt;=1,OR(AG320&lt;AA320,AG320&lt;R320)),EDATE(AG320,12),AND(AO320="K5-POLICY",AL320&lt;&gt;"นิติศาสตร์",OR(Y320="M2",Y320="K4"),AB320&gt;=2,AA320&lt;R320),EDATE(AA320,12*2),AND(AO320="K5-POLICY",AL320&lt;&gt;"นิติศาสตร์",Y320="S1",AB320&gt;=1,AA320&lt;R320),EDATE(AA320,12),AND(AO320="K5-POLICY",AL320&lt;&gt;"นิติศาสตร์",OR(Y320="S2",Y320="K5")),AA320,AND(AO320="K5-POLICY",AL320&lt;&gt;"นิติศาสตร์",OR(K320="M2",K320="K4"),U320&gt;=2),EDATE(R320,12*2),AND(AO320="K5-POLICY",AL320&lt;&gt;"นิติศาสตร์",K320="S1",U320&gt;=1),EDATE(R320,12),AND(AO320="K5-POLICY",AL320&lt;&gt;"นิติศาสตร์",OR(K320="S2",K320="K5")),R320,TRUE,"Check Data")</f>
        <v/>
      </c>
      <c r="AQ320" s="75" t="str">
        <f t="shared" si="138"/>
        <v>Check Data</v>
      </c>
      <c r="AR320" s="76" t="str">
        <f t="shared" si="139"/>
        <v>Check Data</v>
      </c>
      <c r="AS320" s="50" t="str">
        <f t="shared" si="140"/>
        <v>Check Data</v>
      </c>
      <c r="AT320" s="49" t="str">
        <f>IF(B320="","",IF(K320="S1","S1",INDEX(#REF!,#REF!)))</f>
        <v/>
      </c>
      <c r="AU320" s="49" t="str">
        <f t="shared" si="141"/>
        <v>K4</v>
      </c>
      <c r="AV320" s="50" t="b">
        <f t="shared" si="142"/>
        <v>0</v>
      </c>
    </row>
    <row r="321" spans="1:48" ht="21.75">
      <c r="A321" s="49">
        <v>319</v>
      </c>
      <c r="B321" s="50"/>
      <c r="C321" s="50"/>
      <c r="D321" s="84" t="s">
        <v>141</v>
      </c>
      <c r="E321" s="85" t="s">
        <v>253</v>
      </c>
      <c r="F321" s="85" t="str">
        <f t="shared" si="143"/>
        <v>26/01/1995</v>
      </c>
      <c r="G321" s="50">
        <f t="shared" si="127"/>
        <v>30</v>
      </c>
      <c r="H321" s="50">
        <f t="shared" si="128"/>
        <v>4</v>
      </c>
      <c r="I321" s="50">
        <f t="shared" si="129"/>
        <v>25</v>
      </c>
      <c r="J321" s="84"/>
      <c r="K321" s="49" t="s">
        <v>137</v>
      </c>
      <c r="L321" s="49" t="str">
        <f>IF(B321="","",IF(K321="S1",K321,INDEX(#REF!,#REF!)))</f>
        <v/>
      </c>
      <c r="M321" s="49" t="b">
        <f t="shared" si="130"/>
        <v>0</v>
      </c>
      <c r="N321" s="87"/>
      <c r="O321" s="85"/>
      <c r="P321" s="85"/>
      <c r="Q321" s="65" t="s">
        <v>404</v>
      </c>
      <c r="R321" s="49" t="str">
        <f t="shared" si="131"/>
        <v>17/04/2019</v>
      </c>
      <c r="S321" s="49" t="str">
        <f>IF(B321="","",IF(K321="S1",K321,INDEX(#REF!,#REF!)))</f>
        <v/>
      </c>
      <c r="T321" s="49" t="b">
        <f t="shared" si="132"/>
        <v>0</v>
      </c>
      <c r="U321" s="68">
        <f t="shared" si="133"/>
        <v>6</v>
      </c>
      <c r="V321" s="68">
        <f t="shared" si="134"/>
        <v>2</v>
      </c>
      <c r="W321" s="68">
        <f t="shared" si="135"/>
        <v>3</v>
      </c>
      <c r="X321" s="88"/>
      <c r="Y321" s="65"/>
      <c r="Z321" s="89"/>
      <c r="AA321" s="85" t="str">
        <f t="shared" si="144"/>
        <v/>
      </c>
      <c r="AB321" s="88">
        <f t="shared" si="145"/>
        <v>0</v>
      </c>
      <c r="AC321" s="88">
        <f t="shared" si="146"/>
        <v>0</v>
      </c>
      <c r="AD321" s="88">
        <f t="shared" si="147"/>
        <v>0</v>
      </c>
      <c r="AE321" s="85"/>
      <c r="AF321" s="89"/>
      <c r="AG321" s="84" t="str">
        <f t="shared" si="148"/>
        <v/>
      </c>
      <c r="AH321" s="88">
        <f t="shared" si="149"/>
        <v>0</v>
      </c>
      <c r="AI321" s="88">
        <f t="shared" si="150"/>
        <v>0</v>
      </c>
      <c r="AJ321" s="88">
        <f t="shared" si="151"/>
        <v>0</v>
      </c>
      <c r="AK321" s="84"/>
      <c r="AL321" s="84" t="s">
        <v>182</v>
      </c>
      <c r="AM321" s="50" t="str">
        <f>IF(B321="","",IF(K321="S1",K321,INDEX(#REF!,#REF!)))</f>
        <v/>
      </c>
      <c r="AN321" s="50" t="b">
        <f t="shared" si="136"/>
        <v>0</v>
      </c>
      <c r="AO321" s="49" t="str">
        <f t="shared" si="137"/>
        <v>K5-POLICY</v>
      </c>
      <c r="AP321" s="72" t="str">
        <f>_xlfn.IFS(B321="","",AND(AO321="K5-LAW",AL321="นิติศาสตร์",K321="S2",Y321="",AE321=""),R321,AND(AO321="K5-LAW",AL321="นิติศาสตร์",K321="S1",Y321="",AE321=""),EDATE(R321,12),AND(AO321="K5-LAW",AL321="นิติศาสตร์",OR(K321="M2",K321="K4"),Y321="",AE321=""),EDATE(R321,12*2),AND(AO321="K5-LAW",AL321="นิติศาสตร์",OR(AE321="M2",AE321="K4"),AH321&gt;=2,OR(AG321&lt;AA321,AG321&lt;R321)),EDATE(AG321,12*2),AND(AO321="K5-LAW",AL321="นิติศาสตร์",AE321="S1",AH321&gt;=1,OR(AG321&lt;AA321,AG321&lt;R321)),EDATE(AG321,12),AND(AO321="K5-LAW",AL321="นิติศาสตร์",OR(Y321="M2",Y321="K4"),AB321&gt;=2,AA321&lt;R321),EDATE(AA321,12*2),AND(AO321="K5-LAW",AL321="นิติศาสตร์",Y321="S1",AB321&gt;=1,AA321&lt;R321),EDATE(AA321,12),AND(AO321="K5-LAW",AL321="นิติศาสตร์",OR(Y321="S2",Y321="K5")),AA321,AND(AO321="K5-LAW",AL321="นิติศาสตร์",OR(K321="M2",K321="K4"),U321&gt;=2),EDATE(R321,12*2),AND(AO321="K5-LAW",AL321="นิติศาสตร์",K321="S1",U321&gt;=1),EDATE(R321,12),AND(AO321="K5-LAW",AL321="นิติศาสตร์",OR(K321="S2",K321="K5")),R321,AND(AO321="K5-POLICY",AL321&lt;&gt;"นิติศาสตร์",K321="S2",Y321="",AE321=""),R321,AND(AO321="K5-POLICY",AL321&lt;&gt;"นิติศาสตร์",K321="S1",Y321="",AE321=""),EDATE(R321,12),AND(AO321="K5-POLICY",AL321&lt;&gt;"นิติศาสตร์",OR(K321="M2",K321="K4"),Y321="",AE321=""),EDATE(R321,12*2),AND(AO321="K5-POLICY",AL321&lt;&gt;"นิติศาสตร์",OR(AE321="M2",AE321="K4"),AH321&gt;=2,OR(AG321&lt;AA321,AG321&lt;R321)),EDATE(AG321,12*2),AND(AO321="K5-POLICY",AL321&lt;&gt;"นิติศาสตร์",AE321="S1",AH321&gt;=1,OR(AG321&lt;AA321,AG321&lt;R321)),EDATE(AG321,12),AND(AO321="K5-POLICY",AL321&lt;&gt;"นิติศาสตร์",OR(Y321="M2",Y321="K4"),AB321&gt;=2,AA321&lt;R321),EDATE(AA321,12*2),AND(AO321="K5-POLICY",AL321&lt;&gt;"นิติศาสตร์",Y321="S1",AB321&gt;=1,AA321&lt;R321),EDATE(AA321,12),AND(AO321="K5-POLICY",AL321&lt;&gt;"นิติศาสตร์",OR(Y321="S2",Y321="K5")),AA321,AND(AO321="K5-POLICY",AL321&lt;&gt;"นิติศาสตร์",OR(K321="M2",K321="K4"),U321&gt;=2),EDATE(R321,12*2),AND(AO321="K5-POLICY",AL321&lt;&gt;"นิติศาสตร์",K321="S1",U321&gt;=1),EDATE(R321,12),AND(AO321="K5-POLICY",AL321&lt;&gt;"นิติศาสตร์",OR(K321="S2",K321="K5")),R321,TRUE,"Check Data")</f>
        <v/>
      </c>
      <c r="AQ321" s="75" t="str">
        <f t="shared" si="138"/>
        <v>Check Data</v>
      </c>
      <c r="AR321" s="76" t="str">
        <f t="shared" si="139"/>
        <v>Check Data</v>
      </c>
      <c r="AS321" s="50" t="str">
        <f t="shared" si="140"/>
        <v>Check Data</v>
      </c>
      <c r="AT321" s="49" t="str">
        <f>IF(B321="","",IF(K321="S1","S1",INDEX(#REF!,#REF!)))</f>
        <v/>
      </c>
      <c r="AU321" s="49" t="str">
        <f t="shared" si="141"/>
        <v>K4</v>
      </c>
      <c r="AV321" s="50" t="b">
        <f t="shared" si="142"/>
        <v>0</v>
      </c>
    </row>
    <row r="322" spans="1:48" ht="21.75">
      <c r="A322" s="49">
        <v>320</v>
      </c>
      <c r="B322" s="50"/>
      <c r="C322" s="54"/>
      <c r="D322" s="84" t="s">
        <v>145</v>
      </c>
      <c r="E322" s="85" t="s">
        <v>307</v>
      </c>
      <c r="F322" s="85" t="str">
        <f t="shared" si="143"/>
        <v>05/03/1992</v>
      </c>
      <c r="G322" s="50">
        <f t="shared" si="127"/>
        <v>33</v>
      </c>
      <c r="H322" s="50">
        <f t="shared" si="128"/>
        <v>3</v>
      </c>
      <c r="I322" s="50">
        <f t="shared" si="129"/>
        <v>15</v>
      </c>
      <c r="J322" s="84"/>
      <c r="K322" s="49" t="s">
        <v>137</v>
      </c>
      <c r="L322" s="49" t="str">
        <f>IF(B322="","",IF(K322="S1",K322,INDEX(#REF!,#REF!)))</f>
        <v/>
      </c>
      <c r="M322" s="49" t="b">
        <f t="shared" si="130"/>
        <v>0</v>
      </c>
      <c r="N322" s="87"/>
      <c r="O322" s="85"/>
      <c r="P322" s="85"/>
      <c r="Q322" s="65" t="s">
        <v>468</v>
      </c>
      <c r="R322" s="49" t="str">
        <f t="shared" si="131"/>
        <v>17/05/2019</v>
      </c>
      <c r="S322" s="49" t="str">
        <f>IF(B322="","",IF(K322="S1",K322,INDEX(#REF!,#REF!)))</f>
        <v/>
      </c>
      <c r="T322" s="49" t="b">
        <f t="shared" si="132"/>
        <v>0</v>
      </c>
      <c r="U322" s="68">
        <f t="shared" si="133"/>
        <v>6</v>
      </c>
      <c r="V322" s="68">
        <f t="shared" si="134"/>
        <v>1</v>
      </c>
      <c r="W322" s="68">
        <f t="shared" si="135"/>
        <v>3</v>
      </c>
      <c r="X322" s="88"/>
      <c r="Y322" s="65" t="s">
        <v>137</v>
      </c>
      <c r="Z322" s="89" t="s">
        <v>468</v>
      </c>
      <c r="AA322" s="85" t="str">
        <f t="shared" si="144"/>
        <v>17/05/2019</v>
      </c>
      <c r="AB322" s="88">
        <f t="shared" si="145"/>
        <v>0</v>
      </c>
      <c r="AC322" s="88">
        <f t="shared" si="146"/>
        <v>0</v>
      </c>
      <c r="AD322" s="88">
        <f t="shared" si="147"/>
        <v>0</v>
      </c>
      <c r="AE322" s="85"/>
      <c r="AF322" s="89"/>
      <c r="AG322" s="84" t="str">
        <f t="shared" si="148"/>
        <v/>
      </c>
      <c r="AH322" s="88">
        <f t="shared" si="149"/>
        <v>0</v>
      </c>
      <c r="AI322" s="88">
        <f t="shared" si="150"/>
        <v>0</v>
      </c>
      <c r="AJ322" s="88">
        <f t="shared" si="151"/>
        <v>0</v>
      </c>
      <c r="AK322" s="84"/>
      <c r="AL322" s="84" t="s">
        <v>520</v>
      </c>
      <c r="AM322" s="50" t="str">
        <f>IF(B322="","",IF(K322="S1",K322,INDEX(#REF!,#REF!)))</f>
        <v/>
      </c>
      <c r="AN322" s="50" t="b">
        <f t="shared" si="136"/>
        <v>0</v>
      </c>
      <c r="AO322" s="49" t="str">
        <f t="shared" si="137"/>
        <v>K5-POLICY</v>
      </c>
      <c r="AP322" s="72" t="str">
        <f>_xlfn.IFS(B322="","",AND(AO322="K5-LAW",AL322="นิติศาสตร์",K322="S2",Y322="",AE322=""),R322,AND(AO322="K5-LAW",AL322="นิติศาสตร์",K322="S1",Y322="",AE322=""),EDATE(R322,12),AND(AO322="K5-LAW",AL322="นิติศาสตร์",OR(K322="M2",K322="K4"),Y322="",AE322=""),EDATE(R322,12*2),AND(AO322="K5-LAW",AL322="นิติศาสตร์",OR(AE322="M2",AE322="K4"),AH322&gt;=2,OR(AG322&lt;AA322,AG322&lt;R322)),EDATE(AG322,12*2),AND(AO322="K5-LAW",AL322="นิติศาสตร์",AE322="S1",AH322&gt;=1,OR(AG322&lt;AA322,AG322&lt;R322)),EDATE(AG322,12),AND(AO322="K5-LAW",AL322="นิติศาสตร์",OR(Y322="M2",Y322="K4"),AB322&gt;=2,AA322&lt;R322),EDATE(AA322,12*2),AND(AO322="K5-LAW",AL322="นิติศาสตร์",Y322="S1",AB322&gt;=1,AA322&lt;R322),EDATE(AA322,12),AND(AO322="K5-LAW",AL322="นิติศาสตร์",OR(Y322="S2",Y322="K5")),AA322,AND(AO322="K5-LAW",AL322="นิติศาสตร์",OR(K322="M2",K322="K4"),U322&gt;=2),EDATE(R322,12*2),AND(AO322="K5-LAW",AL322="นิติศาสตร์",K322="S1",U322&gt;=1),EDATE(R322,12),AND(AO322="K5-LAW",AL322="นิติศาสตร์",OR(K322="S2",K322="K5")),R322,AND(AO322="K5-POLICY",AL322&lt;&gt;"นิติศาสตร์",K322="S2",Y322="",AE322=""),R322,AND(AO322="K5-POLICY",AL322&lt;&gt;"นิติศาสตร์",K322="S1",Y322="",AE322=""),EDATE(R322,12),AND(AO322="K5-POLICY",AL322&lt;&gt;"นิติศาสตร์",OR(K322="M2",K322="K4"),Y322="",AE322=""),EDATE(R322,12*2),AND(AO322="K5-POLICY",AL322&lt;&gt;"นิติศาสตร์",OR(AE322="M2",AE322="K4"),AH322&gt;=2,OR(AG322&lt;AA322,AG322&lt;R322)),EDATE(AG322,12*2),AND(AO322="K5-POLICY",AL322&lt;&gt;"นิติศาสตร์",AE322="S1",AH322&gt;=1,OR(AG322&lt;AA322,AG322&lt;R322)),EDATE(AG322,12),AND(AO322="K5-POLICY",AL322&lt;&gt;"นิติศาสตร์",OR(Y322="M2",Y322="K4"),AB322&gt;=2,AA322&lt;R322),EDATE(AA322,12*2),AND(AO322="K5-POLICY",AL322&lt;&gt;"นิติศาสตร์",Y322="S1",AB322&gt;=1,AA322&lt;R322),EDATE(AA322,12),AND(AO322="K5-POLICY",AL322&lt;&gt;"นิติศาสตร์",OR(Y322="S2",Y322="K5")),AA322,AND(AO322="K5-POLICY",AL322&lt;&gt;"นิติศาสตร์",OR(K322="M2",K322="K4"),U322&gt;=2),EDATE(R322,12*2),AND(AO322="K5-POLICY",AL322&lt;&gt;"นิติศาสตร์",K322="S1",U322&gt;=1),EDATE(R322,12),AND(AO322="K5-POLICY",AL322&lt;&gt;"นิติศาสตร์",OR(K322="S2",K322="K5")),R322,TRUE,"Check Data")</f>
        <v/>
      </c>
      <c r="AQ322" s="75" t="str">
        <f t="shared" si="138"/>
        <v>Check Data</v>
      </c>
      <c r="AR322" s="76" t="str">
        <f t="shared" si="139"/>
        <v>Check Data</v>
      </c>
      <c r="AS322" s="50" t="str">
        <f t="shared" si="140"/>
        <v>Check Data</v>
      </c>
      <c r="AT322" s="49" t="str">
        <f>IF(B322="","",IF(K322="S1","S1",INDEX(#REF!,#REF!)))</f>
        <v/>
      </c>
      <c r="AU322" s="49" t="str">
        <f t="shared" si="141"/>
        <v>K4</v>
      </c>
      <c r="AV322" s="50" t="b">
        <f t="shared" si="142"/>
        <v>0</v>
      </c>
    </row>
    <row r="323" spans="1:48" ht="21.75">
      <c r="A323" s="49">
        <v>321</v>
      </c>
      <c r="B323" s="50"/>
      <c r="C323" s="50"/>
      <c r="D323" s="84" t="s">
        <v>144</v>
      </c>
      <c r="E323" s="85" t="s">
        <v>333</v>
      </c>
      <c r="F323" s="85" t="str">
        <f t="shared" si="143"/>
        <v>29/01/1990</v>
      </c>
      <c r="G323" s="50">
        <f t="shared" ref="G323:G386" si="152">IF(F323="",0,DATEDIF(F323,$C$1,"Y"))</f>
        <v>35</v>
      </c>
      <c r="H323" s="50">
        <f t="shared" ref="H323:H358" si="153">IF(F323="",0,DATEDIF(F323,$C$1,"YM"))</f>
        <v>4</v>
      </c>
      <c r="I323" s="50">
        <f t="shared" ref="I323:I358" si="154">IF(F323="",0,DATEDIF(F323,$C$1,"MD"))</f>
        <v>22</v>
      </c>
      <c r="J323" s="84"/>
      <c r="K323" s="49" t="s">
        <v>137</v>
      </c>
      <c r="L323" s="49" t="str">
        <f>IF(B323="","",IF(K323="S1",K323,INDEX(#REF!,#REF!)))</f>
        <v/>
      </c>
      <c r="M323" s="49" t="b">
        <f t="shared" ref="M323:M358" si="155">K323=L323</f>
        <v>0</v>
      </c>
      <c r="N323" s="87"/>
      <c r="O323" s="85"/>
      <c r="P323" s="85"/>
      <c r="Q323" s="65" t="s">
        <v>411</v>
      </c>
      <c r="R323" s="49" t="str">
        <f t="shared" ref="R323:R358" si="156">TEXT(EDATE(Q323,-543*12),"dd/mm/yyyy")</f>
        <v>24/12/2019</v>
      </c>
      <c r="S323" s="49" t="str">
        <f>IF(B323="","",IF(K323="S1",K323,INDEX(#REF!,#REF!)))</f>
        <v/>
      </c>
      <c r="T323" s="49" t="b">
        <f t="shared" ref="T323:T358" si="157">Q323=S323</f>
        <v>0</v>
      </c>
      <c r="U323" s="68">
        <f t="shared" ref="U323:U358" si="158">IF(R323="",0,DATEDIF(R323,$C$1,"Y"))</f>
        <v>5</v>
      </c>
      <c r="V323" s="68">
        <f t="shared" ref="V323:V358" si="159">IF(R323="",0,DATEDIF(R323,$C$1,"YM"))</f>
        <v>5</v>
      </c>
      <c r="W323" s="68">
        <f t="shared" ref="W323:W358" si="160">IF(R323="",0,DATEDIF(R323,$C$1,"MD"))</f>
        <v>27</v>
      </c>
      <c r="X323" s="88"/>
      <c r="Y323" s="65"/>
      <c r="Z323" s="89"/>
      <c r="AA323" s="85" t="str">
        <f t="shared" si="144"/>
        <v/>
      </c>
      <c r="AB323" s="88">
        <f t="shared" si="145"/>
        <v>0</v>
      </c>
      <c r="AC323" s="88">
        <f t="shared" si="146"/>
        <v>0</v>
      </c>
      <c r="AD323" s="88">
        <f t="shared" si="147"/>
        <v>0</v>
      </c>
      <c r="AE323" s="85"/>
      <c r="AF323" s="89"/>
      <c r="AG323" s="84" t="str">
        <f t="shared" si="148"/>
        <v/>
      </c>
      <c r="AH323" s="88">
        <f t="shared" si="149"/>
        <v>0</v>
      </c>
      <c r="AI323" s="88">
        <f t="shared" si="150"/>
        <v>0</v>
      </c>
      <c r="AJ323" s="88">
        <f t="shared" si="151"/>
        <v>0</v>
      </c>
      <c r="AK323" s="84"/>
      <c r="AL323" s="84" t="s">
        <v>138</v>
      </c>
      <c r="AM323" s="50" t="str">
        <f>IF(B323="","",IF(K323="S1",K323,INDEX(#REF!,#REF!)))</f>
        <v/>
      </c>
      <c r="AN323" s="50" t="b">
        <f t="shared" ref="AN323:AN358" si="161">AL323=AM323</f>
        <v>0</v>
      </c>
      <c r="AO323" s="49" t="str">
        <f t="shared" ref="AO323:AO358" si="162">IF(AL323="นิติศาสตร์","K5-LAW","K5-POLICY")</f>
        <v>K5-LAW</v>
      </c>
      <c r="AP323" s="72" t="str">
        <f>_xlfn.IFS(B323="","",AND(AO323="K5-LAW",AL323="นิติศาสตร์",K323="S2",Y323="",AE323=""),R323,AND(AO323="K5-LAW",AL323="นิติศาสตร์",K323="S1",Y323="",AE323=""),EDATE(R323,12),AND(AO323="K5-LAW",AL323="นิติศาสตร์",OR(K323="M2",K323="K4"),Y323="",AE323=""),EDATE(R323,12*2),AND(AO323="K5-LAW",AL323="นิติศาสตร์",OR(AE323="M2",AE323="K4"),AH323&gt;=2,OR(AG323&lt;AA323,AG323&lt;R323)),EDATE(AG323,12*2),AND(AO323="K5-LAW",AL323="นิติศาสตร์",AE323="S1",AH323&gt;=1,OR(AG323&lt;AA323,AG323&lt;R323)),EDATE(AG323,12),AND(AO323="K5-LAW",AL323="นิติศาสตร์",OR(Y323="M2",Y323="K4"),AB323&gt;=2,AA323&lt;R323),EDATE(AA323,12*2),AND(AO323="K5-LAW",AL323="นิติศาสตร์",Y323="S1",AB323&gt;=1,AA323&lt;R323),EDATE(AA323,12),AND(AO323="K5-LAW",AL323="นิติศาสตร์",OR(Y323="S2",Y323="K5")),AA323,AND(AO323="K5-LAW",AL323="นิติศาสตร์",OR(K323="M2",K323="K4"),U323&gt;=2),EDATE(R323,12*2),AND(AO323="K5-LAW",AL323="นิติศาสตร์",K323="S1",U323&gt;=1),EDATE(R323,12),AND(AO323="K5-LAW",AL323="นิติศาสตร์",OR(K323="S2",K323="K5")),R323,AND(AO323="K5-POLICY",AL323&lt;&gt;"นิติศาสตร์",K323="S2",Y323="",AE323=""),R323,AND(AO323="K5-POLICY",AL323&lt;&gt;"นิติศาสตร์",K323="S1",Y323="",AE323=""),EDATE(R323,12),AND(AO323="K5-POLICY",AL323&lt;&gt;"นิติศาสตร์",OR(K323="M2",K323="K4"),Y323="",AE323=""),EDATE(R323,12*2),AND(AO323="K5-POLICY",AL323&lt;&gt;"นิติศาสตร์",OR(AE323="M2",AE323="K4"),AH323&gt;=2,OR(AG323&lt;AA323,AG323&lt;R323)),EDATE(AG323,12*2),AND(AO323="K5-POLICY",AL323&lt;&gt;"นิติศาสตร์",AE323="S1",AH323&gt;=1,OR(AG323&lt;AA323,AG323&lt;R323)),EDATE(AG323,12),AND(AO323="K5-POLICY",AL323&lt;&gt;"นิติศาสตร์",OR(Y323="M2",Y323="K4"),AB323&gt;=2,AA323&lt;R323),EDATE(AA323,12*2),AND(AO323="K5-POLICY",AL323&lt;&gt;"นิติศาสตร์",Y323="S1",AB323&gt;=1,AA323&lt;R323),EDATE(AA323,12),AND(AO323="K5-POLICY",AL323&lt;&gt;"นิติศาสตร์",OR(Y323="S2",Y323="K5")),AA323,AND(AO323="K5-POLICY",AL323&lt;&gt;"นิติศาสตร์",OR(K323="M2",K323="K4"),U323&gt;=2),EDATE(R323,12*2),AND(AO323="K5-POLICY",AL323&lt;&gt;"นิติศาสตร์",K323="S1",U323&gt;=1),EDATE(R323,12),AND(AO323="K5-POLICY",AL323&lt;&gt;"นิติศาสตร์",OR(K323="S2",K323="K5")),R323,TRUE,"Check Data")</f>
        <v/>
      </c>
      <c r="AQ323" s="75" t="str">
        <f t="shared" ref="AQ323:AQ358" si="163">IFERROR(TEXT(EDATE(AP323,543*12),"dd/mm/yyyy"),"Check Data")</f>
        <v>Check Data</v>
      </c>
      <c r="AR323" s="76" t="str">
        <f t="shared" ref="AR323:AR358" si="164">IFERROR(IF($C$1&gt;AP323,AP323-$C$1,DATEDIF($C$1,AP323,"d")),"Check Data")</f>
        <v>Check Data</v>
      </c>
      <c r="AS323" s="50" t="str">
        <f t="shared" ref="AS323:AS358" si="165">_xlfn.IFS(AR323="Check Data","Check Data",AR323&gt;30,"ยังไม่ถึงเกณฑ์",AR323&gt;0,"ใกล้ถึงเกณฑ์",AR323=0,"ถึงเกณฑ์",AR323&lt;0,"ถึงเกณฑ์นานแล้ว")</f>
        <v>Check Data</v>
      </c>
      <c r="AT323" s="49" t="str">
        <f>IF(B323="","",IF(K323="S1","S1",INDEX(#REF!,#REF!)))</f>
        <v/>
      </c>
      <c r="AU323" s="49" t="str">
        <f t="shared" ref="AU323:AU358" si="166">K323</f>
        <v>K4</v>
      </c>
      <c r="AV323" s="50" t="b">
        <f t="shared" ref="AV323:AV358" si="167">K323=AT323</f>
        <v>0</v>
      </c>
    </row>
    <row r="324" spans="1:48" ht="21.75">
      <c r="A324" s="49">
        <v>322</v>
      </c>
      <c r="B324" s="50"/>
      <c r="C324" s="50"/>
      <c r="D324" s="84" t="s">
        <v>34</v>
      </c>
      <c r="E324" s="85" t="s">
        <v>398</v>
      </c>
      <c r="F324" s="85" t="str">
        <f t="shared" si="143"/>
        <v>31/08/2001</v>
      </c>
      <c r="G324" s="50">
        <f t="shared" si="152"/>
        <v>23</v>
      </c>
      <c r="H324" s="50">
        <f t="shared" si="153"/>
        <v>9</v>
      </c>
      <c r="I324" s="50">
        <f t="shared" si="154"/>
        <v>20</v>
      </c>
      <c r="J324" s="84" t="s">
        <v>444</v>
      </c>
      <c r="K324" s="49" t="s">
        <v>137</v>
      </c>
      <c r="L324" s="49" t="str">
        <f>IF(B324="","",IF(K324="S1",K324,INDEX(#REF!,#REF!)))</f>
        <v/>
      </c>
      <c r="M324" s="49" t="b">
        <f t="shared" si="155"/>
        <v>0</v>
      </c>
      <c r="N324" s="87"/>
      <c r="O324" s="85" t="s">
        <v>427</v>
      </c>
      <c r="P324" s="85" t="s">
        <v>526</v>
      </c>
      <c r="Q324" s="65" t="s">
        <v>454</v>
      </c>
      <c r="R324" s="49" t="str">
        <f t="shared" si="156"/>
        <v>13/01/2020</v>
      </c>
      <c r="S324" s="49" t="str">
        <f>IF(B324="","",IF(K324="S1",K324,INDEX(#REF!,#REF!)))</f>
        <v/>
      </c>
      <c r="T324" s="49" t="b">
        <f t="shared" si="157"/>
        <v>0</v>
      </c>
      <c r="U324" s="68">
        <f t="shared" si="158"/>
        <v>5</v>
      </c>
      <c r="V324" s="68">
        <f t="shared" si="159"/>
        <v>5</v>
      </c>
      <c r="W324" s="68">
        <f t="shared" si="160"/>
        <v>7</v>
      </c>
      <c r="X324" s="88"/>
      <c r="Y324" s="65"/>
      <c r="Z324" s="89"/>
      <c r="AA324" s="85" t="str">
        <f t="shared" si="144"/>
        <v/>
      </c>
      <c r="AB324" s="88">
        <f t="shared" si="145"/>
        <v>0</v>
      </c>
      <c r="AC324" s="88">
        <f t="shared" si="146"/>
        <v>0</v>
      </c>
      <c r="AD324" s="88">
        <f t="shared" si="147"/>
        <v>0</v>
      </c>
      <c r="AE324" s="93"/>
      <c r="AF324" s="89"/>
      <c r="AG324" s="84" t="str">
        <f t="shared" si="148"/>
        <v/>
      </c>
      <c r="AH324" s="88">
        <f t="shared" si="149"/>
        <v>0</v>
      </c>
      <c r="AI324" s="88">
        <f t="shared" si="150"/>
        <v>0</v>
      </c>
      <c r="AJ324" s="88">
        <f t="shared" si="151"/>
        <v>0</v>
      </c>
      <c r="AK324" s="84" t="s">
        <v>78</v>
      </c>
      <c r="AL324" s="84" t="s">
        <v>486</v>
      </c>
      <c r="AM324" s="50" t="str">
        <f>IF(B324="","",IF(K324="S1",K324,INDEX(#REF!,#REF!)))</f>
        <v/>
      </c>
      <c r="AN324" s="50" t="b">
        <f t="shared" si="161"/>
        <v>0</v>
      </c>
      <c r="AO324" s="49" t="str">
        <f t="shared" si="162"/>
        <v>K5-POLICY</v>
      </c>
      <c r="AP324" s="72" t="str">
        <f>_xlfn.IFS(B324="","",AND(AO324="K5-LAW",AL324="นิติศาสตร์",K324="S2",Y324="",AE324=""),R324,AND(AO324="K5-LAW",AL324="นิติศาสตร์",K324="S1",Y324="",AE324=""),EDATE(R324,12),AND(AO324="K5-LAW",AL324="นิติศาสตร์",OR(K324="M2",K324="K4"),Y324="",AE324=""),EDATE(R324,12*2),AND(AO324="K5-LAW",AL324="นิติศาสตร์",OR(AE324="M2",AE324="K4"),AH324&gt;=2,OR(AG324&lt;AA324,AG324&lt;R324)),EDATE(AG324,12*2),AND(AO324="K5-LAW",AL324="นิติศาสตร์",AE324="S1",AH324&gt;=1,OR(AG324&lt;AA324,AG324&lt;R324)),EDATE(AG324,12),AND(AO324="K5-LAW",AL324="นิติศาสตร์",OR(Y324="M2",Y324="K4"),AB324&gt;=2,AA324&lt;R324),EDATE(AA324,12*2),AND(AO324="K5-LAW",AL324="นิติศาสตร์",Y324="S1",AB324&gt;=1,AA324&lt;R324),EDATE(AA324,12),AND(AO324="K5-LAW",AL324="นิติศาสตร์",OR(Y324="S2",Y324="K5")),AA324,AND(AO324="K5-LAW",AL324="นิติศาสตร์",OR(K324="M2",K324="K4"),U324&gt;=2),EDATE(R324,12*2),AND(AO324="K5-LAW",AL324="นิติศาสตร์",K324="S1",U324&gt;=1),EDATE(R324,12),AND(AO324="K5-LAW",AL324="นิติศาสตร์",OR(K324="S2",K324="K5")),R324,AND(AO324="K5-POLICY",AL324&lt;&gt;"นิติศาสตร์",K324="S2",Y324="",AE324=""),R324,AND(AO324="K5-POLICY",AL324&lt;&gt;"นิติศาสตร์",K324="S1",Y324="",AE324=""),EDATE(R324,12),AND(AO324="K5-POLICY",AL324&lt;&gt;"นิติศาสตร์",OR(K324="M2",K324="K4"),Y324="",AE324=""),EDATE(R324,12*2),AND(AO324="K5-POLICY",AL324&lt;&gt;"นิติศาสตร์",OR(AE324="M2",AE324="K4"),AH324&gt;=2,OR(AG324&lt;AA324,AG324&lt;R324)),EDATE(AG324,12*2),AND(AO324="K5-POLICY",AL324&lt;&gt;"นิติศาสตร์",AE324="S1",AH324&gt;=1,OR(AG324&lt;AA324,AG324&lt;R324)),EDATE(AG324,12),AND(AO324="K5-POLICY",AL324&lt;&gt;"นิติศาสตร์",OR(Y324="M2",Y324="K4"),AB324&gt;=2,AA324&lt;R324),EDATE(AA324,12*2),AND(AO324="K5-POLICY",AL324&lt;&gt;"นิติศาสตร์",Y324="S1",AB324&gt;=1,AA324&lt;R324),EDATE(AA324,12),AND(AO324="K5-POLICY",AL324&lt;&gt;"นิติศาสตร์",OR(Y324="S2",Y324="K5")),AA324,AND(AO324="K5-POLICY",AL324&lt;&gt;"นิติศาสตร์",OR(K324="M2",K324="K4"),U324&gt;=2),EDATE(R324,12*2),AND(AO324="K5-POLICY",AL324&lt;&gt;"นิติศาสตร์",K324="S1",U324&gt;=1),EDATE(R324,12),AND(AO324="K5-POLICY",AL324&lt;&gt;"นิติศาสตร์",OR(K324="S2",K324="K5")),R324,TRUE,"Check Data")</f>
        <v/>
      </c>
      <c r="AQ324" s="75" t="str">
        <f t="shared" si="163"/>
        <v>Check Data</v>
      </c>
      <c r="AR324" s="76" t="str">
        <f t="shared" si="164"/>
        <v>Check Data</v>
      </c>
      <c r="AS324" s="50" t="str">
        <f t="shared" si="165"/>
        <v>Check Data</v>
      </c>
      <c r="AT324" s="49" t="str">
        <f>IF(B324="","",IF(K324="S1","S1",INDEX(#REF!,#REF!)))</f>
        <v/>
      </c>
      <c r="AU324" s="49" t="str">
        <f t="shared" si="166"/>
        <v>K4</v>
      </c>
      <c r="AV324" s="50" t="b">
        <f t="shared" si="167"/>
        <v>0</v>
      </c>
    </row>
    <row r="325" spans="1:48" ht="21.75">
      <c r="A325" s="49">
        <v>323</v>
      </c>
      <c r="B325" s="50"/>
      <c r="C325" s="50"/>
      <c r="D325" s="84" t="s">
        <v>144</v>
      </c>
      <c r="E325" s="85" t="s">
        <v>326</v>
      </c>
      <c r="F325" s="85" t="str">
        <f t="shared" si="143"/>
        <v>27/02/1984</v>
      </c>
      <c r="G325" s="50">
        <f t="shared" si="152"/>
        <v>41</v>
      </c>
      <c r="H325" s="50">
        <f t="shared" si="153"/>
        <v>3</v>
      </c>
      <c r="I325" s="50">
        <f t="shared" si="154"/>
        <v>24</v>
      </c>
      <c r="J325" s="84"/>
      <c r="K325" s="49" t="s">
        <v>137</v>
      </c>
      <c r="L325" s="49" t="str">
        <f>IF(B325="","",IF(K325="S1",K325,INDEX(#REF!,#REF!)))</f>
        <v/>
      </c>
      <c r="M325" s="49" t="b">
        <f t="shared" si="155"/>
        <v>0</v>
      </c>
      <c r="N325" s="87"/>
      <c r="O325" s="85"/>
      <c r="P325" s="85"/>
      <c r="Q325" s="65" t="s">
        <v>416</v>
      </c>
      <c r="R325" s="49" t="str">
        <f t="shared" si="156"/>
        <v>27/02/2020</v>
      </c>
      <c r="S325" s="49" t="str">
        <f>IF(B325="","",IF(K325="S1",K325,INDEX(#REF!,#REF!)))</f>
        <v/>
      </c>
      <c r="T325" s="49" t="b">
        <f t="shared" si="157"/>
        <v>0</v>
      </c>
      <c r="U325" s="68">
        <f t="shared" si="158"/>
        <v>5</v>
      </c>
      <c r="V325" s="68">
        <f t="shared" si="159"/>
        <v>3</v>
      </c>
      <c r="W325" s="68">
        <f t="shared" si="160"/>
        <v>24</v>
      </c>
      <c r="X325" s="88"/>
      <c r="Y325" s="65"/>
      <c r="Z325" s="89"/>
      <c r="AA325" s="85" t="str">
        <f t="shared" si="144"/>
        <v/>
      </c>
      <c r="AB325" s="88">
        <f t="shared" si="145"/>
        <v>0</v>
      </c>
      <c r="AC325" s="88">
        <f t="shared" si="146"/>
        <v>0</v>
      </c>
      <c r="AD325" s="88">
        <f t="shared" si="147"/>
        <v>0</v>
      </c>
      <c r="AE325" s="85"/>
      <c r="AF325" s="89"/>
      <c r="AG325" s="84" t="str">
        <f t="shared" si="148"/>
        <v/>
      </c>
      <c r="AH325" s="88">
        <f t="shared" si="149"/>
        <v>0</v>
      </c>
      <c r="AI325" s="88">
        <f t="shared" si="150"/>
        <v>0</v>
      </c>
      <c r="AJ325" s="88">
        <f t="shared" si="151"/>
        <v>0</v>
      </c>
      <c r="AK325" s="84"/>
      <c r="AL325" s="84" t="s">
        <v>138</v>
      </c>
      <c r="AM325" s="50" t="str">
        <f>IF(B325="","",IF(K325="S1",K325,INDEX(#REF!,#REF!)))</f>
        <v/>
      </c>
      <c r="AN325" s="50" t="b">
        <f t="shared" si="161"/>
        <v>0</v>
      </c>
      <c r="AO325" s="49" t="str">
        <f t="shared" si="162"/>
        <v>K5-LAW</v>
      </c>
      <c r="AP325" s="72" t="str">
        <f>_xlfn.IFS(B325="","",AND(AO325="K5-LAW",AL325="นิติศาสตร์",K325="S2",Y325="",AE325=""),R325,AND(AO325="K5-LAW",AL325="นิติศาสตร์",K325="S1",Y325="",AE325=""),EDATE(R325,12),AND(AO325="K5-LAW",AL325="นิติศาสตร์",OR(K325="M2",K325="K4"),Y325="",AE325=""),EDATE(R325,12*2),AND(AO325="K5-LAW",AL325="นิติศาสตร์",OR(AE325="M2",AE325="K4"),AH325&gt;=2,OR(AG325&lt;AA325,AG325&lt;R325)),EDATE(AG325,12*2),AND(AO325="K5-LAW",AL325="นิติศาสตร์",AE325="S1",AH325&gt;=1,OR(AG325&lt;AA325,AG325&lt;R325)),EDATE(AG325,12),AND(AO325="K5-LAW",AL325="นิติศาสตร์",OR(Y325="M2",Y325="K4"),AB325&gt;=2,AA325&lt;R325),EDATE(AA325,12*2),AND(AO325="K5-LAW",AL325="นิติศาสตร์",Y325="S1",AB325&gt;=1,AA325&lt;R325),EDATE(AA325,12),AND(AO325="K5-LAW",AL325="นิติศาสตร์",OR(Y325="S2",Y325="K5")),AA325,AND(AO325="K5-LAW",AL325="นิติศาสตร์",OR(K325="M2",K325="K4"),U325&gt;=2),EDATE(R325,12*2),AND(AO325="K5-LAW",AL325="นิติศาสตร์",K325="S1",U325&gt;=1),EDATE(R325,12),AND(AO325="K5-LAW",AL325="นิติศาสตร์",OR(K325="S2",K325="K5")),R325,AND(AO325="K5-POLICY",AL325&lt;&gt;"นิติศาสตร์",K325="S2",Y325="",AE325=""),R325,AND(AO325="K5-POLICY",AL325&lt;&gt;"นิติศาสตร์",K325="S1",Y325="",AE325=""),EDATE(R325,12),AND(AO325="K5-POLICY",AL325&lt;&gt;"นิติศาสตร์",OR(K325="M2",K325="K4"),Y325="",AE325=""),EDATE(R325,12*2),AND(AO325="K5-POLICY",AL325&lt;&gt;"นิติศาสตร์",OR(AE325="M2",AE325="K4"),AH325&gt;=2,OR(AG325&lt;AA325,AG325&lt;R325)),EDATE(AG325,12*2),AND(AO325="K5-POLICY",AL325&lt;&gt;"นิติศาสตร์",AE325="S1",AH325&gt;=1,OR(AG325&lt;AA325,AG325&lt;R325)),EDATE(AG325,12),AND(AO325="K5-POLICY",AL325&lt;&gt;"นิติศาสตร์",OR(Y325="M2",Y325="K4"),AB325&gt;=2,AA325&lt;R325),EDATE(AA325,12*2),AND(AO325="K5-POLICY",AL325&lt;&gt;"นิติศาสตร์",Y325="S1",AB325&gt;=1,AA325&lt;R325),EDATE(AA325,12),AND(AO325="K5-POLICY",AL325&lt;&gt;"นิติศาสตร์",OR(Y325="S2",Y325="K5")),AA325,AND(AO325="K5-POLICY",AL325&lt;&gt;"นิติศาสตร์",OR(K325="M2",K325="K4"),U325&gt;=2),EDATE(R325,12*2),AND(AO325="K5-POLICY",AL325&lt;&gt;"นิติศาสตร์",K325="S1",U325&gt;=1),EDATE(R325,12),AND(AO325="K5-POLICY",AL325&lt;&gt;"นิติศาสตร์",OR(K325="S2",K325="K5")),R325,TRUE,"Check Data")</f>
        <v/>
      </c>
      <c r="AQ325" s="75" t="str">
        <f t="shared" si="163"/>
        <v>Check Data</v>
      </c>
      <c r="AR325" s="76" t="str">
        <f t="shared" si="164"/>
        <v>Check Data</v>
      </c>
      <c r="AS325" s="50" t="str">
        <f t="shared" si="165"/>
        <v>Check Data</v>
      </c>
      <c r="AT325" s="49" t="str">
        <f>IF(B325="","",IF(K325="S1","S1",INDEX(#REF!,#REF!)))</f>
        <v/>
      </c>
      <c r="AU325" s="49" t="str">
        <f t="shared" si="166"/>
        <v>K4</v>
      </c>
      <c r="AV325" s="50" t="b">
        <f t="shared" si="167"/>
        <v>0</v>
      </c>
    </row>
    <row r="326" spans="1:48" ht="21.75">
      <c r="A326" s="49">
        <v>324</v>
      </c>
      <c r="B326" s="129"/>
      <c r="C326" s="50"/>
      <c r="D326" s="84" t="s">
        <v>146</v>
      </c>
      <c r="E326" s="85" t="s">
        <v>230</v>
      </c>
      <c r="F326" s="85" t="str">
        <f t="shared" si="143"/>
        <v>03/11/1997</v>
      </c>
      <c r="G326" s="50">
        <f t="shared" si="152"/>
        <v>27</v>
      </c>
      <c r="H326" s="50">
        <f t="shared" si="153"/>
        <v>7</v>
      </c>
      <c r="I326" s="50">
        <f t="shared" si="154"/>
        <v>17</v>
      </c>
      <c r="J326" s="84"/>
      <c r="K326" s="49" t="s">
        <v>137</v>
      </c>
      <c r="L326" s="49" t="str">
        <f>IF(B326="","",IF(K326="S1",K326,INDEX(#REF!,#REF!)))</f>
        <v/>
      </c>
      <c r="M326" s="49" t="b">
        <f t="shared" si="155"/>
        <v>0</v>
      </c>
      <c r="N326" s="87"/>
      <c r="O326" s="85"/>
      <c r="P326" s="85"/>
      <c r="Q326" s="65" t="s">
        <v>422</v>
      </c>
      <c r="R326" s="49" t="str">
        <f t="shared" si="156"/>
        <v>04/03/2020</v>
      </c>
      <c r="S326" s="49" t="str">
        <f>IF(B326="","",IF(K326="S1",K326,INDEX(#REF!,#REF!)))</f>
        <v/>
      </c>
      <c r="T326" s="49" t="b">
        <f t="shared" si="157"/>
        <v>0</v>
      </c>
      <c r="U326" s="68">
        <f t="shared" si="158"/>
        <v>5</v>
      </c>
      <c r="V326" s="68">
        <f t="shared" si="159"/>
        <v>3</v>
      </c>
      <c r="W326" s="68">
        <f t="shared" si="160"/>
        <v>16</v>
      </c>
      <c r="X326" s="88"/>
      <c r="Y326" s="65"/>
      <c r="Z326" s="89"/>
      <c r="AA326" s="85" t="str">
        <f t="shared" si="144"/>
        <v/>
      </c>
      <c r="AB326" s="88">
        <f t="shared" si="145"/>
        <v>0</v>
      </c>
      <c r="AC326" s="88">
        <f t="shared" si="146"/>
        <v>0</v>
      </c>
      <c r="AD326" s="88">
        <f t="shared" si="147"/>
        <v>0</v>
      </c>
      <c r="AE326" s="85"/>
      <c r="AF326" s="89"/>
      <c r="AG326" s="84" t="str">
        <f t="shared" si="148"/>
        <v/>
      </c>
      <c r="AH326" s="88">
        <f t="shared" si="149"/>
        <v>0</v>
      </c>
      <c r="AI326" s="88">
        <f t="shared" si="150"/>
        <v>0</v>
      </c>
      <c r="AJ326" s="88">
        <f t="shared" si="151"/>
        <v>0</v>
      </c>
      <c r="AK326" s="84"/>
      <c r="AL326" s="84" t="s">
        <v>175</v>
      </c>
      <c r="AM326" s="50" t="str">
        <f>IF(B326="","",IF(K326="S1",K326,INDEX(#REF!,#REF!)))</f>
        <v/>
      </c>
      <c r="AN326" s="50" t="b">
        <f t="shared" si="161"/>
        <v>0</v>
      </c>
      <c r="AO326" s="49" t="str">
        <f t="shared" si="162"/>
        <v>K5-POLICY</v>
      </c>
      <c r="AP326" s="72" t="str">
        <f>_xlfn.IFS(B326="","",AND(AO326="K5-LAW",AL326="นิติศาสตร์",K326="S2",Y326="",AE326=""),R326,AND(AO326="K5-LAW",AL326="นิติศาสตร์",K326="S1",Y326="",AE326=""),EDATE(R326,12),AND(AO326="K5-LAW",AL326="นิติศาสตร์",OR(K326="M2",K326="K4"),Y326="",AE326=""),EDATE(R326,12*2),AND(AO326="K5-LAW",AL326="นิติศาสตร์",OR(AE326="M2",AE326="K4"),AH326&gt;=2,OR(AG326&lt;AA326,AG326&lt;R326)),EDATE(AG326,12*2),AND(AO326="K5-LAW",AL326="นิติศาสตร์",AE326="S1",AH326&gt;=1,OR(AG326&lt;AA326,AG326&lt;R326)),EDATE(AG326,12),AND(AO326="K5-LAW",AL326="นิติศาสตร์",OR(Y326="M2",Y326="K4"),AB326&gt;=2,AA326&lt;R326),EDATE(AA326,12*2),AND(AO326="K5-LAW",AL326="นิติศาสตร์",Y326="S1",AB326&gt;=1,AA326&lt;R326),EDATE(AA326,12),AND(AO326="K5-LAW",AL326="นิติศาสตร์",OR(Y326="S2",Y326="K5")),AA326,AND(AO326="K5-LAW",AL326="นิติศาสตร์",OR(K326="M2",K326="K4"),U326&gt;=2),EDATE(R326,12*2),AND(AO326="K5-LAW",AL326="นิติศาสตร์",K326="S1",U326&gt;=1),EDATE(R326,12),AND(AO326="K5-LAW",AL326="นิติศาสตร์",OR(K326="S2",K326="K5")),R326,AND(AO326="K5-POLICY",AL326&lt;&gt;"นิติศาสตร์",K326="S2",Y326="",AE326=""),R326,AND(AO326="K5-POLICY",AL326&lt;&gt;"นิติศาสตร์",K326="S1",Y326="",AE326=""),EDATE(R326,12),AND(AO326="K5-POLICY",AL326&lt;&gt;"นิติศาสตร์",OR(K326="M2",K326="K4"),Y326="",AE326=""),EDATE(R326,12*2),AND(AO326="K5-POLICY",AL326&lt;&gt;"นิติศาสตร์",OR(AE326="M2",AE326="K4"),AH326&gt;=2,OR(AG326&lt;AA326,AG326&lt;R326)),EDATE(AG326,12*2),AND(AO326="K5-POLICY",AL326&lt;&gt;"นิติศาสตร์",AE326="S1",AH326&gt;=1,OR(AG326&lt;AA326,AG326&lt;R326)),EDATE(AG326,12),AND(AO326="K5-POLICY",AL326&lt;&gt;"นิติศาสตร์",OR(Y326="M2",Y326="K4"),AB326&gt;=2,AA326&lt;R326),EDATE(AA326,12*2),AND(AO326="K5-POLICY",AL326&lt;&gt;"นิติศาสตร์",Y326="S1",AB326&gt;=1,AA326&lt;R326),EDATE(AA326,12),AND(AO326="K5-POLICY",AL326&lt;&gt;"นิติศาสตร์",OR(Y326="S2",Y326="K5")),AA326,AND(AO326="K5-POLICY",AL326&lt;&gt;"นิติศาสตร์",OR(K326="M2",K326="K4"),U326&gt;=2),EDATE(R326,12*2),AND(AO326="K5-POLICY",AL326&lt;&gt;"นิติศาสตร์",K326="S1",U326&gt;=1),EDATE(R326,12),AND(AO326="K5-POLICY",AL326&lt;&gt;"นิติศาสตร์",OR(K326="S2",K326="K5")),R326,TRUE,"Check Data")</f>
        <v/>
      </c>
      <c r="AQ326" s="75" t="str">
        <f t="shared" si="163"/>
        <v>Check Data</v>
      </c>
      <c r="AR326" s="76" t="str">
        <f t="shared" si="164"/>
        <v>Check Data</v>
      </c>
      <c r="AS326" s="50" t="str">
        <f t="shared" si="165"/>
        <v>Check Data</v>
      </c>
      <c r="AT326" s="49" t="str">
        <f>IF(B326="","",IF(K326="S1","S1",INDEX(#REF!,#REF!)))</f>
        <v/>
      </c>
      <c r="AU326" s="49" t="str">
        <f t="shared" si="166"/>
        <v>K4</v>
      </c>
      <c r="AV326" s="50" t="b">
        <f t="shared" si="167"/>
        <v>0</v>
      </c>
    </row>
    <row r="327" spans="1:48" ht="21.75">
      <c r="A327" s="49">
        <v>325</v>
      </c>
      <c r="B327" s="50"/>
      <c r="C327" s="54"/>
      <c r="D327" s="84" t="s">
        <v>144</v>
      </c>
      <c r="E327" s="85" t="s">
        <v>271</v>
      </c>
      <c r="F327" s="85" t="str">
        <f t="shared" si="143"/>
        <v>10/05/1999</v>
      </c>
      <c r="G327" s="50">
        <f t="shared" si="152"/>
        <v>26</v>
      </c>
      <c r="H327" s="50">
        <f t="shared" si="153"/>
        <v>1</v>
      </c>
      <c r="I327" s="50">
        <f t="shared" si="154"/>
        <v>10</v>
      </c>
      <c r="J327" s="84"/>
      <c r="K327" s="49" t="s">
        <v>137</v>
      </c>
      <c r="L327" s="49" t="str">
        <f>IF(B327="","",IF(K327="S1",K327,INDEX(#REF!,#REF!)))</f>
        <v/>
      </c>
      <c r="M327" s="49" t="b">
        <f t="shared" si="155"/>
        <v>0</v>
      </c>
      <c r="N327" s="87"/>
      <c r="O327" s="85"/>
      <c r="P327" s="85"/>
      <c r="Q327" s="65" t="s">
        <v>414</v>
      </c>
      <c r="R327" s="49" t="str">
        <f t="shared" si="156"/>
        <v>10/03/2020</v>
      </c>
      <c r="S327" s="49" t="str">
        <f>IF(B327="","",IF(K327="S1",K327,INDEX(#REF!,#REF!)))</f>
        <v/>
      </c>
      <c r="T327" s="49" t="b">
        <f t="shared" si="157"/>
        <v>0</v>
      </c>
      <c r="U327" s="68">
        <f t="shared" si="158"/>
        <v>5</v>
      </c>
      <c r="V327" s="68">
        <f t="shared" si="159"/>
        <v>3</v>
      </c>
      <c r="W327" s="68">
        <f t="shared" si="160"/>
        <v>10</v>
      </c>
      <c r="X327" s="88"/>
      <c r="Y327" s="65"/>
      <c r="Z327" s="89"/>
      <c r="AA327" s="85" t="str">
        <f t="shared" si="144"/>
        <v/>
      </c>
      <c r="AB327" s="88">
        <f t="shared" si="145"/>
        <v>0</v>
      </c>
      <c r="AC327" s="88">
        <f t="shared" si="146"/>
        <v>0</v>
      </c>
      <c r="AD327" s="88">
        <f t="shared" si="147"/>
        <v>0</v>
      </c>
      <c r="AE327" s="85"/>
      <c r="AF327" s="89"/>
      <c r="AG327" s="84" t="str">
        <f t="shared" si="148"/>
        <v/>
      </c>
      <c r="AH327" s="88">
        <f t="shared" si="149"/>
        <v>0</v>
      </c>
      <c r="AI327" s="88">
        <f t="shared" si="150"/>
        <v>0</v>
      </c>
      <c r="AJ327" s="88">
        <f t="shared" si="151"/>
        <v>0</v>
      </c>
      <c r="AK327" s="84"/>
      <c r="AL327" s="84" t="s">
        <v>509</v>
      </c>
      <c r="AM327" s="50" t="str">
        <f>IF(B327="","",IF(K327="S1",K327,INDEX(#REF!,#REF!)))</f>
        <v/>
      </c>
      <c r="AN327" s="50" t="b">
        <f t="shared" si="161"/>
        <v>0</v>
      </c>
      <c r="AO327" s="49" t="str">
        <f t="shared" si="162"/>
        <v>K5-POLICY</v>
      </c>
      <c r="AP327" s="72" t="str">
        <f>_xlfn.IFS(B327="","",AND(AO327="K5-LAW",AL327="นิติศาสตร์",K327="S2",Y327="",AE327=""),R327,AND(AO327="K5-LAW",AL327="นิติศาสตร์",K327="S1",Y327="",AE327=""),EDATE(R327,12),AND(AO327="K5-LAW",AL327="นิติศาสตร์",OR(K327="M2",K327="K4"),Y327="",AE327=""),EDATE(R327,12*2),AND(AO327="K5-LAW",AL327="นิติศาสตร์",OR(AE327="M2",AE327="K4"),AH327&gt;=2,OR(AG327&lt;AA327,AG327&lt;R327)),EDATE(AG327,12*2),AND(AO327="K5-LAW",AL327="นิติศาสตร์",AE327="S1",AH327&gt;=1,OR(AG327&lt;AA327,AG327&lt;R327)),EDATE(AG327,12),AND(AO327="K5-LAW",AL327="นิติศาสตร์",OR(Y327="M2",Y327="K4"),AB327&gt;=2,AA327&lt;R327),EDATE(AA327,12*2),AND(AO327="K5-LAW",AL327="นิติศาสตร์",Y327="S1",AB327&gt;=1,AA327&lt;R327),EDATE(AA327,12),AND(AO327="K5-LAW",AL327="นิติศาสตร์",OR(Y327="S2",Y327="K5")),AA327,AND(AO327="K5-LAW",AL327="นิติศาสตร์",OR(K327="M2",K327="K4"),U327&gt;=2),EDATE(R327,12*2),AND(AO327="K5-LAW",AL327="นิติศาสตร์",K327="S1",U327&gt;=1),EDATE(R327,12),AND(AO327="K5-LAW",AL327="นิติศาสตร์",OR(K327="S2",K327="K5")),R327,AND(AO327="K5-POLICY",AL327&lt;&gt;"นิติศาสตร์",K327="S2",Y327="",AE327=""),R327,AND(AO327="K5-POLICY",AL327&lt;&gt;"นิติศาสตร์",K327="S1",Y327="",AE327=""),EDATE(R327,12),AND(AO327="K5-POLICY",AL327&lt;&gt;"นิติศาสตร์",OR(K327="M2",K327="K4"),Y327="",AE327=""),EDATE(R327,12*2),AND(AO327="K5-POLICY",AL327&lt;&gt;"นิติศาสตร์",OR(AE327="M2",AE327="K4"),AH327&gt;=2,OR(AG327&lt;AA327,AG327&lt;R327)),EDATE(AG327,12*2),AND(AO327="K5-POLICY",AL327&lt;&gt;"นิติศาสตร์",AE327="S1",AH327&gt;=1,OR(AG327&lt;AA327,AG327&lt;R327)),EDATE(AG327,12),AND(AO327="K5-POLICY",AL327&lt;&gt;"นิติศาสตร์",OR(Y327="M2",Y327="K4"),AB327&gt;=2,AA327&lt;R327),EDATE(AA327,12*2),AND(AO327="K5-POLICY",AL327&lt;&gt;"นิติศาสตร์",Y327="S1",AB327&gt;=1,AA327&lt;R327),EDATE(AA327,12),AND(AO327="K5-POLICY",AL327&lt;&gt;"นิติศาสตร์",OR(Y327="S2",Y327="K5")),AA327,AND(AO327="K5-POLICY",AL327&lt;&gt;"นิติศาสตร์",OR(K327="M2",K327="K4"),U327&gt;=2),EDATE(R327,12*2),AND(AO327="K5-POLICY",AL327&lt;&gt;"นิติศาสตร์",K327="S1",U327&gt;=1),EDATE(R327,12),AND(AO327="K5-POLICY",AL327&lt;&gt;"นิติศาสตร์",OR(K327="S2",K327="K5")),R327,TRUE,"Check Data")</f>
        <v/>
      </c>
      <c r="AQ327" s="75" t="str">
        <f t="shared" si="163"/>
        <v>Check Data</v>
      </c>
      <c r="AR327" s="76" t="str">
        <f t="shared" si="164"/>
        <v>Check Data</v>
      </c>
      <c r="AS327" s="50" t="str">
        <f t="shared" si="165"/>
        <v>Check Data</v>
      </c>
      <c r="AT327" s="49" t="str">
        <f>IF(B327="","",IF(K327="S1","S1",INDEX(#REF!,#REF!)))</f>
        <v/>
      </c>
      <c r="AU327" s="49" t="str">
        <f t="shared" si="166"/>
        <v>K4</v>
      </c>
      <c r="AV327" s="50" t="b">
        <f t="shared" si="167"/>
        <v>0</v>
      </c>
    </row>
    <row r="328" spans="1:48" ht="21.75">
      <c r="A328" s="49">
        <v>326</v>
      </c>
      <c r="B328" s="50"/>
      <c r="C328" s="50"/>
      <c r="D328" s="84" t="s">
        <v>144</v>
      </c>
      <c r="E328" s="85" t="s">
        <v>239</v>
      </c>
      <c r="F328" s="85" t="str">
        <f t="shared" si="143"/>
        <v>01/05/1985</v>
      </c>
      <c r="G328" s="50">
        <f t="shared" si="152"/>
        <v>40</v>
      </c>
      <c r="H328" s="50">
        <f t="shared" si="153"/>
        <v>1</v>
      </c>
      <c r="I328" s="50">
        <f t="shared" si="154"/>
        <v>19</v>
      </c>
      <c r="J328" s="84"/>
      <c r="K328" s="49" t="s">
        <v>137</v>
      </c>
      <c r="L328" s="49" t="str">
        <f>IF(B328="","",IF(K328="S1",K328,INDEX(#REF!,#REF!)))</f>
        <v/>
      </c>
      <c r="M328" s="49" t="b">
        <f t="shared" si="155"/>
        <v>0</v>
      </c>
      <c r="N328" s="87"/>
      <c r="O328" s="85"/>
      <c r="P328" s="85"/>
      <c r="Q328" s="65" t="s">
        <v>409</v>
      </c>
      <c r="R328" s="49" t="str">
        <f t="shared" si="156"/>
        <v>12/03/2020</v>
      </c>
      <c r="S328" s="49" t="str">
        <f>IF(B328="","",IF(K328="S1",K328,INDEX(#REF!,#REF!)))</f>
        <v/>
      </c>
      <c r="T328" s="49" t="b">
        <f t="shared" si="157"/>
        <v>0</v>
      </c>
      <c r="U328" s="68">
        <f t="shared" si="158"/>
        <v>5</v>
      </c>
      <c r="V328" s="68">
        <f t="shared" si="159"/>
        <v>3</v>
      </c>
      <c r="W328" s="68">
        <f t="shared" si="160"/>
        <v>8</v>
      </c>
      <c r="X328" s="88"/>
      <c r="Y328" s="65"/>
      <c r="Z328" s="89"/>
      <c r="AA328" s="85" t="str">
        <f t="shared" si="144"/>
        <v/>
      </c>
      <c r="AB328" s="88">
        <f t="shared" si="145"/>
        <v>0</v>
      </c>
      <c r="AC328" s="88">
        <f t="shared" si="146"/>
        <v>0</v>
      </c>
      <c r="AD328" s="88">
        <f t="shared" si="147"/>
        <v>0</v>
      </c>
      <c r="AE328" s="85"/>
      <c r="AF328" s="89"/>
      <c r="AG328" s="84" t="str">
        <f t="shared" si="148"/>
        <v/>
      </c>
      <c r="AH328" s="88">
        <f t="shared" si="149"/>
        <v>0</v>
      </c>
      <c r="AI328" s="88">
        <f t="shared" si="150"/>
        <v>0</v>
      </c>
      <c r="AJ328" s="88">
        <f t="shared" si="151"/>
        <v>0</v>
      </c>
      <c r="AK328" s="84"/>
      <c r="AL328" s="84" t="s">
        <v>527</v>
      </c>
      <c r="AM328" s="50" t="str">
        <f>IF(B328="","",IF(K328="S1",K328,INDEX(#REF!,#REF!)))</f>
        <v/>
      </c>
      <c r="AN328" s="50" t="b">
        <f t="shared" si="161"/>
        <v>0</v>
      </c>
      <c r="AO328" s="49" t="str">
        <f t="shared" si="162"/>
        <v>K5-POLICY</v>
      </c>
      <c r="AP328" s="72" t="str">
        <f>_xlfn.IFS(B328="","",AND(AO328="K5-LAW",AL328="นิติศาสตร์",K328="S2",Y328="",AE328=""),R328,AND(AO328="K5-LAW",AL328="นิติศาสตร์",K328="S1",Y328="",AE328=""),EDATE(R328,12),AND(AO328="K5-LAW",AL328="นิติศาสตร์",OR(K328="M2",K328="K4"),Y328="",AE328=""),EDATE(R328,12*2),AND(AO328="K5-LAW",AL328="นิติศาสตร์",OR(AE328="M2",AE328="K4"),AH328&gt;=2,OR(AG328&lt;AA328,AG328&lt;R328)),EDATE(AG328,12*2),AND(AO328="K5-LAW",AL328="นิติศาสตร์",AE328="S1",AH328&gt;=1,OR(AG328&lt;AA328,AG328&lt;R328)),EDATE(AG328,12),AND(AO328="K5-LAW",AL328="นิติศาสตร์",OR(Y328="M2",Y328="K4"),AB328&gt;=2,AA328&lt;R328),EDATE(AA328,12*2),AND(AO328="K5-LAW",AL328="นิติศาสตร์",Y328="S1",AB328&gt;=1,AA328&lt;R328),EDATE(AA328,12),AND(AO328="K5-LAW",AL328="นิติศาสตร์",OR(Y328="S2",Y328="K5")),AA328,AND(AO328="K5-LAW",AL328="นิติศาสตร์",OR(K328="M2",K328="K4"),U328&gt;=2),EDATE(R328,12*2),AND(AO328="K5-LAW",AL328="นิติศาสตร์",K328="S1",U328&gt;=1),EDATE(R328,12),AND(AO328="K5-LAW",AL328="นิติศาสตร์",OR(K328="S2",K328="K5")),R328,AND(AO328="K5-POLICY",AL328&lt;&gt;"นิติศาสตร์",K328="S2",Y328="",AE328=""),R328,AND(AO328="K5-POLICY",AL328&lt;&gt;"นิติศาสตร์",K328="S1",Y328="",AE328=""),EDATE(R328,12),AND(AO328="K5-POLICY",AL328&lt;&gt;"นิติศาสตร์",OR(K328="M2",K328="K4"),Y328="",AE328=""),EDATE(R328,12*2),AND(AO328="K5-POLICY",AL328&lt;&gt;"นิติศาสตร์",OR(AE328="M2",AE328="K4"),AH328&gt;=2,OR(AG328&lt;AA328,AG328&lt;R328)),EDATE(AG328,12*2),AND(AO328="K5-POLICY",AL328&lt;&gt;"นิติศาสตร์",AE328="S1",AH328&gt;=1,OR(AG328&lt;AA328,AG328&lt;R328)),EDATE(AG328,12),AND(AO328="K5-POLICY",AL328&lt;&gt;"นิติศาสตร์",OR(Y328="M2",Y328="K4"),AB328&gt;=2,AA328&lt;R328),EDATE(AA328,12*2),AND(AO328="K5-POLICY",AL328&lt;&gt;"นิติศาสตร์",Y328="S1",AB328&gt;=1,AA328&lt;R328),EDATE(AA328,12),AND(AO328="K5-POLICY",AL328&lt;&gt;"นิติศาสตร์",OR(Y328="S2",Y328="K5")),AA328,AND(AO328="K5-POLICY",AL328&lt;&gt;"นิติศาสตร์",OR(K328="M2",K328="K4"),U328&gt;=2),EDATE(R328,12*2),AND(AO328="K5-POLICY",AL328&lt;&gt;"นิติศาสตร์",K328="S1",U328&gt;=1),EDATE(R328,12),AND(AO328="K5-POLICY",AL328&lt;&gt;"นิติศาสตร์",OR(K328="S2",K328="K5")),R328,TRUE,"Check Data")</f>
        <v/>
      </c>
      <c r="AQ328" s="75" t="str">
        <f t="shared" si="163"/>
        <v>Check Data</v>
      </c>
      <c r="AR328" s="76" t="str">
        <f t="shared" si="164"/>
        <v>Check Data</v>
      </c>
      <c r="AS328" s="50" t="str">
        <f t="shared" si="165"/>
        <v>Check Data</v>
      </c>
      <c r="AT328" s="49" t="str">
        <f>IF(B328="","",IF(K328="S1","S1",INDEX(#REF!,#REF!)))</f>
        <v/>
      </c>
      <c r="AU328" s="49" t="str">
        <f t="shared" si="166"/>
        <v>K4</v>
      </c>
      <c r="AV328" s="50" t="b">
        <f t="shared" si="167"/>
        <v>0</v>
      </c>
    </row>
    <row r="329" spans="1:48" ht="21.75">
      <c r="A329" s="49">
        <v>327</v>
      </c>
      <c r="B329" s="50"/>
      <c r="C329" s="50"/>
      <c r="D329" s="84" t="s">
        <v>34</v>
      </c>
      <c r="E329" s="85" t="s">
        <v>400</v>
      </c>
      <c r="F329" s="85" t="str">
        <f t="shared" si="143"/>
        <v>17/05/2001</v>
      </c>
      <c r="G329" s="50">
        <f t="shared" si="152"/>
        <v>24</v>
      </c>
      <c r="H329" s="50">
        <f t="shared" si="153"/>
        <v>1</v>
      </c>
      <c r="I329" s="50">
        <f t="shared" si="154"/>
        <v>3</v>
      </c>
      <c r="J329" s="84" t="s">
        <v>399</v>
      </c>
      <c r="K329" s="49" t="s">
        <v>137</v>
      </c>
      <c r="L329" s="49" t="str">
        <f>IF(B329="","",IF(K329="S1",K329,INDEX(#REF!,#REF!)))</f>
        <v/>
      </c>
      <c r="M329" s="49" t="b">
        <f t="shared" si="155"/>
        <v>0</v>
      </c>
      <c r="N329" s="87"/>
      <c r="O329" s="85" t="s">
        <v>427</v>
      </c>
      <c r="P329" s="85">
        <v>2577</v>
      </c>
      <c r="Q329" s="65" t="s">
        <v>401</v>
      </c>
      <c r="R329" s="49" t="str">
        <f t="shared" si="156"/>
        <v>20/03/2020</v>
      </c>
      <c r="S329" s="49" t="str">
        <f>IF(B329="","",IF(K329="S1",K329,INDEX(#REF!,#REF!)))</f>
        <v/>
      </c>
      <c r="T329" s="49" t="b">
        <f t="shared" si="157"/>
        <v>0</v>
      </c>
      <c r="U329" s="68">
        <f t="shared" si="158"/>
        <v>5</v>
      </c>
      <c r="V329" s="68">
        <f t="shared" si="159"/>
        <v>3</v>
      </c>
      <c r="W329" s="68">
        <f t="shared" si="160"/>
        <v>0</v>
      </c>
      <c r="X329" s="88"/>
      <c r="Y329" s="65"/>
      <c r="Z329" s="89"/>
      <c r="AA329" s="85" t="str">
        <f t="shared" si="144"/>
        <v/>
      </c>
      <c r="AB329" s="88">
        <f t="shared" si="145"/>
        <v>0</v>
      </c>
      <c r="AC329" s="88">
        <f t="shared" si="146"/>
        <v>0</v>
      </c>
      <c r="AD329" s="88">
        <f t="shared" si="147"/>
        <v>0</v>
      </c>
      <c r="AE329" s="93"/>
      <c r="AF329" s="89"/>
      <c r="AG329" s="84" t="str">
        <f t="shared" si="148"/>
        <v/>
      </c>
      <c r="AH329" s="88">
        <f t="shared" si="149"/>
        <v>0</v>
      </c>
      <c r="AI329" s="88">
        <f t="shared" si="150"/>
        <v>0</v>
      </c>
      <c r="AJ329" s="88">
        <f t="shared" si="151"/>
        <v>0</v>
      </c>
      <c r="AK329" s="84" t="s">
        <v>80</v>
      </c>
      <c r="AL329" s="84" t="s">
        <v>512</v>
      </c>
      <c r="AM329" s="50" t="str">
        <f>IF(B329="","",IF(K329="S1",K329,INDEX(#REF!,#REF!)))</f>
        <v/>
      </c>
      <c r="AN329" s="50" t="b">
        <f t="shared" si="161"/>
        <v>0</v>
      </c>
      <c r="AO329" s="49" t="str">
        <f t="shared" si="162"/>
        <v>K5-POLICY</v>
      </c>
      <c r="AP329" s="72" t="str">
        <f>_xlfn.IFS(B329="","",AND(AO329="K5-LAW",AL329="นิติศาสตร์",K329="S2",Y329="",AE329=""),R329,AND(AO329="K5-LAW",AL329="นิติศาสตร์",K329="S1",Y329="",AE329=""),EDATE(R329,12),AND(AO329="K5-LAW",AL329="นิติศาสตร์",OR(K329="M2",K329="K4"),Y329="",AE329=""),EDATE(R329,12*2),AND(AO329="K5-LAW",AL329="นิติศาสตร์",OR(AE329="M2",AE329="K4"),AH329&gt;=2,OR(AG329&lt;AA329,AG329&lt;R329)),EDATE(AG329,12*2),AND(AO329="K5-LAW",AL329="นิติศาสตร์",AE329="S1",AH329&gt;=1,OR(AG329&lt;AA329,AG329&lt;R329)),EDATE(AG329,12),AND(AO329="K5-LAW",AL329="นิติศาสตร์",OR(Y329="M2",Y329="K4"),AB329&gt;=2,AA329&lt;R329),EDATE(AA329,12*2),AND(AO329="K5-LAW",AL329="นิติศาสตร์",Y329="S1",AB329&gt;=1,AA329&lt;R329),EDATE(AA329,12),AND(AO329="K5-LAW",AL329="นิติศาสตร์",OR(Y329="S2",Y329="K5")),AA329,AND(AO329="K5-LAW",AL329="นิติศาสตร์",OR(K329="M2",K329="K4"),U329&gt;=2),EDATE(R329,12*2),AND(AO329="K5-LAW",AL329="นิติศาสตร์",K329="S1",U329&gt;=1),EDATE(R329,12),AND(AO329="K5-LAW",AL329="นิติศาสตร์",OR(K329="S2",K329="K5")),R329,AND(AO329="K5-POLICY",AL329&lt;&gt;"นิติศาสตร์",K329="S2",Y329="",AE329=""),R329,AND(AO329="K5-POLICY",AL329&lt;&gt;"นิติศาสตร์",K329="S1",Y329="",AE329=""),EDATE(R329,12),AND(AO329="K5-POLICY",AL329&lt;&gt;"นิติศาสตร์",OR(K329="M2",K329="K4"),Y329="",AE329=""),EDATE(R329,12*2),AND(AO329="K5-POLICY",AL329&lt;&gt;"นิติศาสตร์",OR(AE329="M2",AE329="K4"),AH329&gt;=2,OR(AG329&lt;AA329,AG329&lt;R329)),EDATE(AG329,12*2),AND(AO329="K5-POLICY",AL329&lt;&gt;"นิติศาสตร์",AE329="S1",AH329&gt;=1,OR(AG329&lt;AA329,AG329&lt;R329)),EDATE(AG329,12),AND(AO329="K5-POLICY",AL329&lt;&gt;"นิติศาสตร์",OR(Y329="M2",Y329="K4"),AB329&gt;=2,AA329&lt;R329),EDATE(AA329,12*2),AND(AO329="K5-POLICY",AL329&lt;&gt;"นิติศาสตร์",Y329="S1",AB329&gt;=1,AA329&lt;R329),EDATE(AA329,12),AND(AO329="K5-POLICY",AL329&lt;&gt;"นิติศาสตร์",OR(Y329="S2",Y329="K5")),AA329,AND(AO329="K5-POLICY",AL329&lt;&gt;"นิติศาสตร์",OR(K329="M2",K329="K4"),U329&gt;=2),EDATE(R329,12*2),AND(AO329="K5-POLICY",AL329&lt;&gt;"นิติศาสตร์",K329="S1",U329&gt;=1),EDATE(R329,12),AND(AO329="K5-POLICY",AL329&lt;&gt;"นิติศาสตร์",OR(K329="S2",K329="K5")),R329,TRUE,"Check Data")</f>
        <v/>
      </c>
      <c r="AQ329" s="75" t="str">
        <f t="shared" si="163"/>
        <v>Check Data</v>
      </c>
      <c r="AR329" s="76" t="str">
        <f t="shared" si="164"/>
        <v>Check Data</v>
      </c>
      <c r="AS329" s="50" t="str">
        <f t="shared" si="165"/>
        <v>Check Data</v>
      </c>
      <c r="AT329" s="49" t="str">
        <f>IF(B329="","",IF(K329="S1","S1",INDEX(#REF!,#REF!)))</f>
        <v/>
      </c>
      <c r="AU329" s="49" t="str">
        <f t="shared" si="166"/>
        <v>K4</v>
      </c>
      <c r="AV329" s="50" t="b">
        <f t="shared" si="167"/>
        <v>0</v>
      </c>
    </row>
    <row r="330" spans="1:48" ht="21.75">
      <c r="A330" s="49">
        <v>328</v>
      </c>
      <c r="B330" s="50"/>
      <c r="C330" s="50"/>
      <c r="D330" s="84" t="s">
        <v>144</v>
      </c>
      <c r="E330" s="85" t="s">
        <v>286</v>
      </c>
      <c r="F330" s="85" t="str">
        <f t="shared" si="143"/>
        <v>22/11/1999</v>
      </c>
      <c r="G330" s="50">
        <f t="shared" si="152"/>
        <v>25</v>
      </c>
      <c r="H330" s="50">
        <f t="shared" si="153"/>
        <v>6</v>
      </c>
      <c r="I330" s="50">
        <f t="shared" si="154"/>
        <v>29</v>
      </c>
      <c r="J330" s="84"/>
      <c r="K330" s="49" t="s">
        <v>137</v>
      </c>
      <c r="L330" s="49" t="str">
        <f>IF(B330="","",IF(K330="S1",K330,INDEX(#REF!,#REF!)))</f>
        <v/>
      </c>
      <c r="M330" s="49" t="b">
        <f t="shared" si="155"/>
        <v>0</v>
      </c>
      <c r="N330" s="87"/>
      <c r="O330" s="85"/>
      <c r="P330" s="85"/>
      <c r="Q330" s="65" t="s">
        <v>412</v>
      </c>
      <c r="R330" s="49" t="str">
        <f t="shared" si="156"/>
        <v>22/05/2020</v>
      </c>
      <c r="S330" s="49" t="str">
        <f>IF(B330="","",IF(K330="S1",K330,INDEX(#REF!,#REF!)))</f>
        <v/>
      </c>
      <c r="T330" s="49" t="b">
        <f t="shared" si="157"/>
        <v>0</v>
      </c>
      <c r="U330" s="68">
        <f t="shared" si="158"/>
        <v>5</v>
      </c>
      <c r="V330" s="68">
        <f t="shared" si="159"/>
        <v>0</v>
      </c>
      <c r="W330" s="68">
        <f t="shared" si="160"/>
        <v>29</v>
      </c>
      <c r="X330" s="88"/>
      <c r="Y330" s="65"/>
      <c r="Z330" s="89"/>
      <c r="AA330" s="85" t="str">
        <f t="shared" si="144"/>
        <v/>
      </c>
      <c r="AB330" s="88">
        <f t="shared" si="145"/>
        <v>0</v>
      </c>
      <c r="AC330" s="88">
        <f t="shared" si="146"/>
        <v>0</v>
      </c>
      <c r="AD330" s="88">
        <f t="shared" si="147"/>
        <v>0</v>
      </c>
      <c r="AE330" s="85"/>
      <c r="AF330" s="89"/>
      <c r="AG330" s="84" t="str">
        <f t="shared" si="148"/>
        <v/>
      </c>
      <c r="AH330" s="88">
        <f t="shared" si="149"/>
        <v>0</v>
      </c>
      <c r="AI330" s="88">
        <f t="shared" si="150"/>
        <v>0</v>
      </c>
      <c r="AJ330" s="88">
        <f t="shared" si="151"/>
        <v>0</v>
      </c>
      <c r="AK330" s="84"/>
      <c r="AL330" s="84" t="s">
        <v>528</v>
      </c>
      <c r="AM330" s="50" t="str">
        <f>IF(B330="","",IF(K330="S1",K330,INDEX(#REF!,#REF!)))</f>
        <v/>
      </c>
      <c r="AN330" s="50" t="b">
        <f t="shared" si="161"/>
        <v>0</v>
      </c>
      <c r="AO330" s="49" t="str">
        <f t="shared" si="162"/>
        <v>K5-POLICY</v>
      </c>
      <c r="AP330" s="72" t="str">
        <f>_xlfn.IFS(B330="","",AND(AO330="K5-LAW",AL330="นิติศาสตร์",K330="S2",Y330="",AE330=""),R330,AND(AO330="K5-LAW",AL330="นิติศาสตร์",K330="S1",Y330="",AE330=""),EDATE(R330,12),AND(AO330="K5-LAW",AL330="นิติศาสตร์",OR(K330="M2",K330="K4"),Y330="",AE330=""),EDATE(R330,12*2),AND(AO330="K5-LAW",AL330="นิติศาสตร์",OR(AE330="M2",AE330="K4"),AH330&gt;=2,OR(AG330&lt;AA330,AG330&lt;R330)),EDATE(AG330,12*2),AND(AO330="K5-LAW",AL330="นิติศาสตร์",AE330="S1",AH330&gt;=1,OR(AG330&lt;AA330,AG330&lt;R330)),EDATE(AG330,12),AND(AO330="K5-LAW",AL330="นิติศาสตร์",OR(Y330="M2",Y330="K4"),AB330&gt;=2,AA330&lt;R330),EDATE(AA330,12*2),AND(AO330="K5-LAW",AL330="นิติศาสตร์",Y330="S1",AB330&gt;=1,AA330&lt;R330),EDATE(AA330,12),AND(AO330="K5-LAW",AL330="นิติศาสตร์",OR(Y330="S2",Y330="K5")),AA330,AND(AO330="K5-LAW",AL330="นิติศาสตร์",OR(K330="M2",K330="K4"),U330&gt;=2),EDATE(R330,12*2),AND(AO330="K5-LAW",AL330="นิติศาสตร์",K330="S1",U330&gt;=1),EDATE(R330,12),AND(AO330="K5-LAW",AL330="นิติศาสตร์",OR(K330="S2",K330="K5")),R330,AND(AO330="K5-POLICY",AL330&lt;&gt;"นิติศาสตร์",K330="S2",Y330="",AE330=""),R330,AND(AO330="K5-POLICY",AL330&lt;&gt;"นิติศาสตร์",K330="S1",Y330="",AE330=""),EDATE(R330,12),AND(AO330="K5-POLICY",AL330&lt;&gt;"นิติศาสตร์",OR(K330="M2",K330="K4"),Y330="",AE330=""),EDATE(R330,12*2),AND(AO330="K5-POLICY",AL330&lt;&gt;"นิติศาสตร์",OR(AE330="M2",AE330="K4"),AH330&gt;=2,OR(AG330&lt;AA330,AG330&lt;R330)),EDATE(AG330,12*2),AND(AO330="K5-POLICY",AL330&lt;&gt;"นิติศาสตร์",AE330="S1",AH330&gt;=1,OR(AG330&lt;AA330,AG330&lt;R330)),EDATE(AG330,12),AND(AO330="K5-POLICY",AL330&lt;&gt;"นิติศาสตร์",OR(Y330="M2",Y330="K4"),AB330&gt;=2,AA330&lt;R330),EDATE(AA330,12*2),AND(AO330="K5-POLICY",AL330&lt;&gt;"นิติศาสตร์",Y330="S1",AB330&gt;=1,AA330&lt;R330),EDATE(AA330,12),AND(AO330="K5-POLICY",AL330&lt;&gt;"นิติศาสตร์",OR(Y330="S2",Y330="K5")),AA330,AND(AO330="K5-POLICY",AL330&lt;&gt;"นิติศาสตร์",OR(K330="M2",K330="K4"),U330&gt;=2),EDATE(R330,12*2),AND(AO330="K5-POLICY",AL330&lt;&gt;"นิติศาสตร์",K330="S1",U330&gt;=1),EDATE(R330,12),AND(AO330="K5-POLICY",AL330&lt;&gt;"นิติศาสตร์",OR(K330="S2",K330="K5")),R330,TRUE,"Check Data")</f>
        <v/>
      </c>
      <c r="AQ330" s="75" t="str">
        <f t="shared" si="163"/>
        <v>Check Data</v>
      </c>
      <c r="AR330" s="76" t="str">
        <f t="shared" si="164"/>
        <v>Check Data</v>
      </c>
      <c r="AS330" s="50" t="str">
        <f t="shared" si="165"/>
        <v>Check Data</v>
      </c>
      <c r="AT330" s="49" t="str">
        <f>IF(B330="","",IF(K330="S1","S1",INDEX(#REF!,#REF!)))</f>
        <v/>
      </c>
      <c r="AU330" s="49" t="str">
        <f t="shared" si="166"/>
        <v>K4</v>
      </c>
      <c r="AV330" s="50" t="b">
        <f t="shared" si="167"/>
        <v>0</v>
      </c>
    </row>
    <row r="331" spans="1:48" ht="21.75">
      <c r="A331" s="49">
        <v>329</v>
      </c>
      <c r="B331" s="50"/>
      <c r="C331" s="54"/>
      <c r="D331" s="84" t="s">
        <v>143</v>
      </c>
      <c r="E331" s="85" t="s">
        <v>164</v>
      </c>
      <c r="F331" s="85" t="str">
        <f t="shared" si="143"/>
        <v>01/05/1990</v>
      </c>
      <c r="G331" s="50">
        <f t="shared" si="152"/>
        <v>35</v>
      </c>
      <c r="H331" s="50">
        <f t="shared" si="153"/>
        <v>1</v>
      </c>
      <c r="I331" s="50">
        <f t="shared" si="154"/>
        <v>19</v>
      </c>
      <c r="J331" s="84"/>
      <c r="K331" s="49" t="s">
        <v>137</v>
      </c>
      <c r="L331" s="49" t="str">
        <f>IF(B331="","",IF(K331="S1",K331,INDEX(#REF!,#REF!)))</f>
        <v/>
      </c>
      <c r="M331" s="49" t="b">
        <f t="shared" si="155"/>
        <v>0</v>
      </c>
      <c r="N331" s="87"/>
      <c r="O331" s="85"/>
      <c r="P331" s="85"/>
      <c r="Q331" s="65" t="s">
        <v>407</v>
      </c>
      <c r="R331" s="49" t="str">
        <f t="shared" si="156"/>
        <v>22/06/2020</v>
      </c>
      <c r="S331" s="49" t="str">
        <f>IF(B331="","",IF(K331="S1",K331,INDEX(#REF!,#REF!)))</f>
        <v/>
      </c>
      <c r="T331" s="49" t="b">
        <f t="shared" si="157"/>
        <v>0</v>
      </c>
      <c r="U331" s="68">
        <f t="shared" si="158"/>
        <v>4</v>
      </c>
      <c r="V331" s="68">
        <f t="shared" si="159"/>
        <v>11</v>
      </c>
      <c r="W331" s="68">
        <f t="shared" si="160"/>
        <v>29</v>
      </c>
      <c r="X331" s="88"/>
      <c r="Y331" s="65"/>
      <c r="Z331" s="89"/>
      <c r="AA331" s="85" t="str">
        <f t="shared" si="144"/>
        <v/>
      </c>
      <c r="AB331" s="88">
        <f t="shared" si="145"/>
        <v>0</v>
      </c>
      <c r="AC331" s="88">
        <f t="shared" si="146"/>
        <v>0</v>
      </c>
      <c r="AD331" s="88">
        <f t="shared" si="147"/>
        <v>0</v>
      </c>
      <c r="AE331" s="85"/>
      <c r="AF331" s="89"/>
      <c r="AG331" s="84" t="str">
        <f t="shared" si="148"/>
        <v/>
      </c>
      <c r="AH331" s="88">
        <f t="shared" si="149"/>
        <v>0</v>
      </c>
      <c r="AI331" s="88">
        <f t="shared" si="150"/>
        <v>0</v>
      </c>
      <c r="AJ331" s="88">
        <f t="shared" si="151"/>
        <v>0</v>
      </c>
      <c r="AK331" s="84"/>
      <c r="AL331" s="84" t="s">
        <v>529</v>
      </c>
      <c r="AM331" s="50" t="str">
        <f>IF(B331="","",IF(K331="S1",K331,INDEX(#REF!,#REF!)))</f>
        <v/>
      </c>
      <c r="AN331" s="50" t="b">
        <f t="shared" si="161"/>
        <v>0</v>
      </c>
      <c r="AO331" s="49" t="str">
        <f t="shared" si="162"/>
        <v>K5-POLICY</v>
      </c>
      <c r="AP331" s="72" t="str">
        <f>_xlfn.IFS(B331="","",AND(AO331="K5-LAW",AL331="นิติศาสตร์",K331="S2",Y331="",AE331=""),R331,AND(AO331="K5-LAW",AL331="นิติศาสตร์",K331="S1",Y331="",AE331=""),EDATE(R331,12),AND(AO331="K5-LAW",AL331="นิติศาสตร์",OR(K331="M2",K331="K4"),Y331="",AE331=""),EDATE(R331,12*2),AND(AO331="K5-LAW",AL331="นิติศาสตร์",OR(AE331="M2",AE331="K4"),AH331&gt;=2,OR(AG331&lt;AA331,AG331&lt;R331)),EDATE(AG331,12*2),AND(AO331="K5-LAW",AL331="นิติศาสตร์",AE331="S1",AH331&gt;=1,OR(AG331&lt;AA331,AG331&lt;R331)),EDATE(AG331,12),AND(AO331="K5-LAW",AL331="นิติศาสตร์",OR(Y331="M2",Y331="K4"),AB331&gt;=2,AA331&lt;R331),EDATE(AA331,12*2),AND(AO331="K5-LAW",AL331="นิติศาสตร์",Y331="S1",AB331&gt;=1,AA331&lt;R331),EDATE(AA331,12),AND(AO331="K5-LAW",AL331="นิติศาสตร์",OR(Y331="S2",Y331="K5")),AA331,AND(AO331="K5-LAW",AL331="นิติศาสตร์",OR(K331="M2",K331="K4"),U331&gt;=2),EDATE(R331,12*2),AND(AO331="K5-LAW",AL331="นิติศาสตร์",K331="S1",U331&gt;=1),EDATE(R331,12),AND(AO331="K5-LAW",AL331="นิติศาสตร์",OR(K331="S2",K331="K5")),R331,AND(AO331="K5-POLICY",AL331&lt;&gt;"นิติศาสตร์",K331="S2",Y331="",AE331=""),R331,AND(AO331="K5-POLICY",AL331&lt;&gt;"นิติศาสตร์",K331="S1",Y331="",AE331=""),EDATE(R331,12),AND(AO331="K5-POLICY",AL331&lt;&gt;"นิติศาสตร์",OR(K331="M2",K331="K4"),Y331="",AE331=""),EDATE(R331,12*2),AND(AO331="K5-POLICY",AL331&lt;&gt;"นิติศาสตร์",OR(AE331="M2",AE331="K4"),AH331&gt;=2,OR(AG331&lt;AA331,AG331&lt;R331)),EDATE(AG331,12*2),AND(AO331="K5-POLICY",AL331&lt;&gt;"นิติศาสตร์",AE331="S1",AH331&gt;=1,OR(AG331&lt;AA331,AG331&lt;R331)),EDATE(AG331,12),AND(AO331="K5-POLICY",AL331&lt;&gt;"นิติศาสตร์",OR(Y331="M2",Y331="K4"),AB331&gt;=2,AA331&lt;R331),EDATE(AA331,12*2),AND(AO331="K5-POLICY",AL331&lt;&gt;"นิติศาสตร์",Y331="S1",AB331&gt;=1,AA331&lt;R331),EDATE(AA331,12),AND(AO331="K5-POLICY",AL331&lt;&gt;"นิติศาสตร์",OR(Y331="S2",Y331="K5")),AA331,AND(AO331="K5-POLICY",AL331&lt;&gt;"นิติศาสตร์",OR(K331="M2",K331="K4"),U331&gt;=2),EDATE(R331,12*2),AND(AO331="K5-POLICY",AL331&lt;&gt;"นิติศาสตร์",K331="S1",U331&gt;=1),EDATE(R331,12),AND(AO331="K5-POLICY",AL331&lt;&gt;"นิติศาสตร์",OR(K331="S2",K331="K5")),R331,TRUE,"Check Data")</f>
        <v/>
      </c>
      <c r="AQ331" s="75" t="str">
        <f t="shared" si="163"/>
        <v>Check Data</v>
      </c>
      <c r="AR331" s="76" t="str">
        <f t="shared" si="164"/>
        <v>Check Data</v>
      </c>
      <c r="AS331" s="50" t="str">
        <f t="shared" si="165"/>
        <v>Check Data</v>
      </c>
      <c r="AT331" s="49" t="str">
        <f>IF(B331="","",IF(K331="S1","S1",INDEX(#REF!,#REF!)))</f>
        <v/>
      </c>
      <c r="AU331" s="49" t="str">
        <f t="shared" si="166"/>
        <v>K4</v>
      </c>
      <c r="AV331" s="50" t="b">
        <f t="shared" si="167"/>
        <v>0</v>
      </c>
    </row>
    <row r="332" spans="1:48" ht="21.75">
      <c r="A332" s="49">
        <v>330</v>
      </c>
      <c r="B332" s="50"/>
      <c r="C332" s="50"/>
      <c r="D332" s="84" t="s">
        <v>144</v>
      </c>
      <c r="E332" s="85" t="s">
        <v>262</v>
      </c>
      <c r="F332" s="85" t="str">
        <f t="shared" si="143"/>
        <v>11/04/1996</v>
      </c>
      <c r="G332" s="50">
        <f t="shared" si="152"/>
        <v>29</v>
      </c>
      <c r="H332" s="50">
        <f t="shared" si="153"/>
        <v>2</v>
      </c>
      <c r="I332" s="50">
        <f t="shared" si="154"/>
        <v>9</v>
      </c>
      <c r="J332" s="84"/>
      <c r="K332" s="49" t="s">
        <v>137</v>
      </c>
      <c r="L332" s="49" t="str">
        <f>IF(B332="","",IF(K332="S1",K332,INDEX(#REF!,#REF!)))</f>
        <v/>
      </c>
      <c r="M332" s="49" t="b">
        <f t="shared" si="155"/>
        <v>0</v>
      </c>
      <c r="N332" s="87"/>
      <c r="O332" s="85"/>
      <c r="P332" s="85"/>
      <c r="Q332" s="65" t="s">
        <v>445</v>
      </c>
      <c r="R332" s="49" t="str">
        <f t="shared" si="156"/>
        <v>24/09/2020</v>
      </c>
      <c r="S332" s="49" t="str">
        <f>IF(B332="","",IF(K332="S1",K332,INDEX(#REF!,#REF!)))</f>
        <v/>
      </c>
      <c r="T332" s="49" t="b">
        <f t="shared" si="157"/>
        <v>0</v>
      </c>
      <c r="U332" s="68">
        <f t="shared" si="158"/>
        <v>4</v>
      </c>
      <c r="V332" s="68">
        <f t="shared" si="159"/>
        <v>8</v>
      </c>
      <c r="W332" s="68">
        <f t="shared" si="160"/>
        <v>27</v>
      </c>
      <c r="X332" s="88"/>
      <c r="Y332" s="65"/>
      <c r="Z332" s="89"/>
      <c r="AA332" s="85" t="str">
        <f t="shared" si="144"/>
        <v/>
      </c>
      <c r="AB332" s="88">
        <f t="shared" si="145"/>
        <v>0</v>
      </c>
      <c r="AC332" s="88">
        <f t="shared" si="146"/>
        <v>0</v>
      </c>
      <c r="AD332" s="88">
        <f t="shared" si="147"/>
        <v>0</v>
      </c>
      <c r="AE332" s="85"/>
      <c r="AF332" s="89"/>
      <c r="AG332" s="84" t="str">
        <f t="shared" si="148"/>
        <v/>
      </c>
      <c r="AH332" s="88">
        <f t="shared" si="149"/>
        <v>0</v>
      </c>
      <c r="AI332" s="88">
        <f t="shared" si="150"/>
        <v>0</v>
      </c>
      <c r="AJ332" s="88">
        <f t="shared" si="151"/>
        <v>0</v>
      </c>
      <c r="AK332" s="84"/>
      <c r="AL332" s="84" t="s">
        <v>163</v>
      </c>
      <c r="AM332" s="50" t="str">
        <f>IF(B332="","",IF(K332="S1",K332,INDEX(#REF!,#REF!)))</f>
        <v/>
      </c>
      <c r="AN332" s="50" t="b">
        <f t="shared" si="161"/>
        <v>0</v>
      </c>
      <c r="AO332" s="49" t="str">
        <f t="shared" si="162"/>
        <v>K5-POLICY</v>
      </c>
      <c r="AP332" s="72" t="str">
        <f>_xlfn.IFS(B332="","",AND(AO332="K5-LAW",AL332="นิติศาสตร์",K332="S2",Y332="",AE332=""),R332,AND(AO332="K5-LAW",AL332="นิติศาสตร์",K332="S1",Y332="",AE332=""),EDATE(R332,12),AND(AO332="K5-LAW",AL332="นิติศาสตร์",OR(K332="M2",K332="K4"),Y332="",AE332=""),EDATE(R332,12*2),AND(AO332="K5-LAW",AL332="นิติศาสตร์",OR(AE332="M2",AE332="K4"),AH332&gt;=2,OR(AG332&lt;AA332,AG332&lt;R332)),EDATE(AG332,12*2),AND(AO332="K5-LAW",AL332="นิติศาสตร์",AE332="S1",AH332&gt;=1,OR(AG332&lt;AA332,AG332&lt;R332)),EDATE(AG332,12),AND(AO332="K5-LAW",AL332="นิติศาสตร์",OR(Y332="M2",Y332="K4"),AB332&gt;=2,AA332&lt;R332),EDATE(AA332,12*2),AND(AO332="K5-LAW",AL332="นิติศาสตร์",Y332="S1",AB332&gt;=1,AA332&lt;R332),EDATE(AA332,12),AND(AO332="K5-LAW",AL332="นิติศาสตร์",OR(Y332="S2",Y332="K5")),AA332,AND(AO332="K5-LAW",AL332="นิติศาสตร์",OR(K332="M2",K332="K4"),U332&gt;=2),EDATE(R332,12*2),AND(AO332="K5-LAW",AL332="นิติศาสตร์",K332="S1",U332&gt;=1),EDATE(R332,12),AND(AO332="K5-LAW",AL332="นิติศาสตร์",OR(K332="S2",K332="K5")),R332,AND(AO332="K5-POLICY",AL332&lt;&gt;"นิติศาสตร์",K332="S2",Y332="",AE332=""),R332,AND(AO332="K5-POLICY",AL332&lt;&gt;"นิติศาสตร์",K332="S1",Y332="",AE332=""),EDATE(R332,12),AND(AO332="K5-POLICY",AL332&lt;&gt;"นิติศาสตร์",OR(K332="M2",K332="K4"),Y332="",AE332=""),EDATE(R332,12*2),AND(AO332="K5-POLICY",AL332&lt;&gt;"นิติศาสตร์",OR(AE332="M2",AE332="K4"),AH332&gt;=2,OR(AG332&lt;AA332,AG332&lt;R332)),EDATE(AG332,12*2),AND(AO332="K5-POLICY",AL332&lt;&gt;"นิติศาสตร์",AE332="S1",AH332&gt;=1,OR(AG332&lt;AA332,AG332&lt;R332)),EDATE(AG332,12),AND(AO332="K5-POLICY",AL332&lt;&gt;"นิติศาสตร์",OR(Y332="M2",Y332="K4"),AB332&gt;=2,AA332&lt;R332),EDATE(AA332,12*2),AND(AO332="K5-POLICY",AL332&lt;&gt;"นิติศาสตร์",Y332="S1",AB332&gt;=1,AA332&lt;R332),EDATE(AA332,12),AND(AO332="K5-POLICY",AL332&lt;&gt;"นิติศาสตร์",OR(Y332="S2",Y332="K5")),AA332,AND(AO332="K5-POLICY",AL332&lt;&gt;"นิติศาสตร์",OR(K332="M2",K332="K4"),U332&gt;=2),EDATE(R332,12*2),AND(AO332="K5-POLICY",AL332&lt;&gt;"นิติศาสตร์",K332="S1",U332&gt;=1),EDATE(R332,12),AND(AO332="K5-POLICY",AL332&lt;&gt;"นิติศาสตร์",OR(K332="S2",K332="K5")),R332,TRUE,"Check Data")</f>
        <v/>
      </c>
      <c r="AQ332" s="75" t="str">
        <f t="shared" si="163"/>
        <v>Check Data</v>
      </c>
      <c r="AR332" s="76" t="str">
        <f t="shared" si="164"/>
        <v>Check Data</v>
      </c>
      <c r="AS332" s="50" t="str">
        <f t="shared" si="165"/>
        <v>Check Data</v>
      </c>
      <c r="AT332" s="49" t="str">
        <f>IF(B332="","",IF(K332="S1","S1",INDEX(#REF!,#REF!)))</f>
        <v/>
      </c>
      <c r="AU332" s="49" t="str">
        <f t="shared" si="166"/>
        <v>K4</v>
      </c>
      <c r="AV332" s="50" t="b">
        <f t="shared" si="167"/>
        <v>0</v>
      </c>
    </row>
    <row r="333" spans="1:48" ht="21.75">
      <c r="A333" s="49">
        <v>331</v>
      </c>
      <c r="B333" s="50"/>
      <c r="C333" s="50"/>
      <c r="D333" s="84" t="s">
        <v>146</v>
      </c>
      <c r="E333" s="85" t="s">
        <v>317</v>
      </c>
      <c r="F333" s="85" t="str">
        <f t="shared" si="143"/>
        <v>01/05/1998</v>
      </c>
      <c r="G333" s="50">
        <f t="shared" si="152"/>
        <v>27</v>
      </c>
      <c r="H333" s="50">
        <f t="shared" si="153"/>
        <v>1</v>
      </c>
      <c r="I333" s="50">
        <f t="shared" si="154"/>
        <v>19</v>
      </c>
      <c r="J333" s="84"/>
      <c r="K333" s="49" t="s">
        <v>137</v>
      </c>
      <c r="L333" s="49" t="str">
        <f>IF(B333="","",IF(K333="S1",K333,INDEX(#REF!,#REF!)))</f>
        <v/>
      </c>
      <c r="M333" s="49" t="b">
        <f t="shared" si="155"/>
        <v>0</v>
      </c>
      <c r="N333" s="87"/>
      <c r="O333" s="85"/>
      <c r="P333" s="85"/>
      <c r="Q333" s="65" t="s">
        <v>421</v>
      </c>
      <c r="R333" s="49" t="str">
        <f t="shared" si="156"/>
        <v>02/06/2021</v>
      </c>
      <c r="S333" s="49" t="str">
        <f>IF(B333="","",IF(K333="S1",K333,INDEX(#REF!,#REF!)))</f>
        <v/>
      </c>
      <c r="T333" s="49" t="b">
        <f t="shared" si="157"/>
        <v>0</v>
      </c>
      <c r="U333" s="68">
        <f t="shared" si="158"/>
        <v>4</v>
      </c>
      <c r="V333" s="68">
        <f t="shared" si="159"/>
        <v>0</v>
      </c>
      <c r="W333" s="68">
        <f t="shared" si="160"/>
        <v>18</v>
      </c>
      <c r="X333" s="88"/>
      <c r="Y333" s="65"/>
      <c r="Z333" s="89"/>
      <c r="AA333" s="85" t="str">
        <f t="shared" si="144"/>
        <v/>
      </c>
      <c r="AB333" s="88">
        <f t="shared" si="145"/>
        <v>0</v>
      </c>
      <c r="AC333" s="88">
        <f t="shared" si="146"/>
        <v>0</v>
      </c>
      <c r="AD333" s="88">
        <f t="shared" si="147"/>
        <v>0</v>
      </c>
      <c r="AE333" s="85"/>
      <c r="AF333" s="89"/>
      <c r="AG333" s="84" t="str">
        <f t="shared" si="148"/>
        <v/>
      </c>
      <c r="AH333" s="88">
        <f t="shared" si="149"/>
        <v>0</v>
      </c>
      <c r="AI333" s="88">
        <f t="shared" si="150"/>
        <v>0</v>
      </c>
      <c r="AJ333" s="88">
        <f t="shared" si="151"/>
        <v>0</v>
      </c>
      <c r="AK333" s="84"/>
      <c r="AL333" s="84" t="s">
        <v>520</v>
      </c>
      <c r="AM333" s="50" t="str">
        <f>IF(B333="","",IF(K333="S1",K333,INDEX(#REF!,#REF!)))</f>
        <v/>
      </c>
      <c r="AN333" s="50" t="b">
        <f t="shared" si="161"/>
        <v>0</v>
      </c>
      <c r="AO333" s="49" t="str">
        <f t="shared" si="162"/>
        <v>K5-POLICY</v>
      </c>
      <c r="AP333" s="72" t="str">
        <f>_xlfn.IFS(B333="","",AND(AO333="K5-LAW",AL333="นิติศาสตร์",K333="S2",Y333="",AE333=""),R333,AND(AO333="K5-LAW",AL333="นิติศาสตร์",K333="S1",Y333="",AE333=""),EDATE(R333,12),AND(AO333="K5-LAW",AL333="นิติศาสตร์",OR(K333="M2",K333="K4"),Y333="",AE333=""),EDATE(R333,12*2),AND(AO333="K5-LAW",AL333="นิติศาสตร์",OR(AE333="M2",AE333="K4"),AH333&gt;=2,OR(AG333&lt;AA333,AG333&lt;R333)),EDATE(AG333,12*2),AND(AO333="K5-LAW",AL333="นิติศาสตร์",AE333="S1",AH333&gt;=1,OR(AG333&lt;AA333,AG333&lt;R333)),EDATE(AG333,12),AND(AO333="K5-LAW",AL333="นิติศาสตร์",OR(Y333="M2",Y333="K4"),AB333&gt;=2,AA333&lt;R333),EDATE(AA333,12*2),AND(AO333="K5-LAW",AL333="นิติศาสตร์",Y333="S1",AB333&gt;=1,AA333&lt;R333),EDATE(AA333,12),AND(AO333="K5-LAW",AL333="นิติศาสตร์",OR(Y333="S2",Y333="K5")),AA333,AND(AO333="K5-LAW",AL333="นิติศาสตร์",OR(K333="M2",K333="K4"),U333&gt;=2),EDATE(R333,12*2),AND(AO333="K5-LAW",AL333="นิติศาสตร์",K333="S1",U333&gt;=1),EDATE(R333,12),AND(AO333="K5-LAW",AL333="นิติศาสตร์",OR(K333="S2",K333="K5")),R333,AND(AO333="K5-POLICY",AL333&lt;&gt;"นิติศาสตร์",K333="S2",Y333="",AE333=""),R333,AND(AO333="K5-POLICY",AL333&lt;&gt;"นิติศาสตร์",K333="S1",Y333="",AE333=""),EDATE(R333,12),AND(AO333="K5-POLICY",AL333&lt;&gt;"นิติศาสตร์",OR(K333="M2",K333="K4"),Y333="",AE333=""),EDATE(R333,12*2),AND(AO333="K5-POLICY",AL333&lt;&gt;"นิติศาสตร์",OR(AE333="M2",AE333="K4"),AH333&gt;=2,OR(AG333&lt;AA333,AG333&lt;R333)),EDATE(AG333,12*2),AND(AO333="K5-POLICY",AL333&lt;&gt;"นิติศาสตร์",AE333="S1",AH333&gt;=1,OR(AG333&lt;AA333,AG333&lt;R333)),EDATE(AG333,12),AND(AO333="K5-POLICY",AL333&lt;&gt;"นิติศาสตร์",OR(Y333="M2",Y333="K4"),AB333&gt;=2,AA333&lt;R333),EDATE(AA333,12*2),AND(AO333="K5-POLICY",AL333&lt;&gt;"นิติศาสตร์",Y333="S1",AB333&gt;=1,AA333&lt;R333),EDATE(AA333,12),AND(AO333="K5-POLICY",AL333&lt;&gt;"นิติศาสตร์",OR(Y333="S2",Y333="K5")),AA333,AND(AO333="K5-POLICY",AL333&lt;&gt;"นิติศาสตร์",OR(K333="M2",K333="K4"),U333&gt;=2),EDATE(R333,12*2),AND(AO333="K5-POLICY",AL333&lt;&gt;"นิติศาสตร์",K333="S1",U333&gt;=1),EDATE(R333,12),AND(AO333="K5-POLICY",AL333&lt;&gt;"นิติศาสตร์",OR(K333="S2",K333="K5")),R333,TRUE,"Check Data")</f>
        <v/>
      </c>
      <c r="AQ333" s="75" t="str">
        <f t="shared" si="163"/>
        <v>Check Data</v>
      </c>
      <c r="AR333" s="76" t="str">
        <f t="shared" si="164"/>
        <v>Check Data</v>
      </c>
      <c r="AS333" s="50" t="str">
        <f t="shared" si="165"/>
        <v>Check Data</v>
      </c>
      <c r="AT333" s="49" t="str">
        <f>IF(B333="","",IF(K333="S1","S1",INDEX(#REF!,#REF!)))</f>
        <v/>
      </c>
      <c r="AU333" s="49" t="str">
        <f t="shared" si="166"/>
        <v>K4</v>
      </c>
      <c r="AV333" s="50" t="b">
        <f t="shared" si="167"/>
        <v>0</v>
      </c>
    </row>
    <row r="334" spans="1:48" ht="21.75">
      <c r="A334" s="49">
        <v>332</v>
      </c>
      <c r="B334" s="50"/>
      <c r="C334" s="51"/>
      <c r="D334" s="90" t="s">
        <v>141</v>
      </c>
      <c r="E334" s="85" t="s">
        <v>268</v>
      </c>
      <c r="F334" s="85" t="str">
        <f t="shared" si="143"/>
        <v>21/12/1987</v>
      </c>
      <c r="G334" s="50">
        <f t="shared" si="152"/>
        <v>37</v>
      </c>
      <c r="H334" s="50">
        <f t="shared" si="153"/>
        <v>5</v>
      </c>
      <c r="I334" s="50">
        <f t="shared" si="154"/>
        <v>30</v>
      </c>
      <c r="J334" s="90"/>
      <c r="K334" s="91" t="s">
        <v>137</v>
      </c>
      <c r="L334" s="49" t="str">
        <f>IF(B334="","",IF(K334="S1",K334,INDEX(#REF!,#REF!)))</f>
        <v/>
      </c>
      <c r="M334" s="49" t="b">
        <f t="shared" si="155"/>
        <v>0</v>
      </c>
      <c r="N334" s="87"/>
      <c r="O334" s="85"/>
      <c r="P334" s="85"/>
      <c r="Q334" s="65" t="s">
        <v>403</v>
      </c>
      <c r="R334" s="49" t="str">
        <f t="shared" si="156"/>
        <v>27/09/2021</v>
      </c>
      <c r="S334" s="49" t="str">
        <f>IF(B334="","",IF(K334="S1",K334,INDEX(#REF!,#REF!)))</f>
        <v/>
      </c>
      <c r="T334" s="49" t="b">
        <f t="shared" si="157"/>
        <v>0</v>
      </c>
      <c r="U334" s="68">
        <f t="shared" si="158"/>
        <v>3</v>
      </c>
      <c r="V334" s="68">
        <f t="shared" si="159"/>
        <v>8</v>
      </c>
      <c r="W334" s="68">
        <f t="shared" si="160"/>
        <v>24</v>
      </c>
      <c r="X334" s="92"/>
      <c r="Y334" s="65"/>
      <c r="Z334" s="89"/>
      <c r="AA334" s="85" t="str">
        <f t="shared" si="144"/>
        <v/>
      </c>
      <c r="AB334" s="92">
        <f t="shared" si="145"/>
        <v>0</v>
      </c>
      <c r="AC334" s="92">
        <f t="shared" si="146"/>
        <v>0</v>
      </c>
      <c r="AD334" s="92">
        <f t="shared" si="147"/>
        <v>0</v>
      </c>
      <c r="AE334" s="94"/>
      <c r="AF334" s="89"/>
      <c r="AG334" s="84" t="str">
        <f t="shared" si="148"/>
        <v/>
      </c>
      <c r="AH334" s="92">
        <f t="shared" si="149"/>
        <v>0</v>
      </c>
      <c r="AI334" s="92">
        <f t="shared" si="150"/>
        <v>0</v>
      </c>
      <c r="AJ334" s="92">
        <f t="shared" si="151"/>
        <v>0</v>
      </c>
      <c r="AK334" s="90"/>
      <c r="AL334" s="90" t="s">
        <v>138</v>
      </c>
      <c r="AM334" s="50" t="str">
        <f>IF(B334="","",IF(K334="S1",K334,INDEX(#REF!,#REF!)))</f>
        <v/>
      </c>
      <c r="AN334" s="50" t="b">
        <f t="shared" si="161"/>
        <v>0</v>
      </c>
      <c r="AO334" s="91" t="str">
        <f t="shared" si="162"/>
        <v>K5-LAW</v>
      </c>
      <c r="AP334" s="72" t="str">
        <f>_xlfn.IFS(B334="","",AND(AO334="K5-LAW",AL334="นิติศาสตร์",K334="S2",Y334="",AE334=""),R334,AND(AO334="K5-LAW",AL334="นิติศาสตร์",K334="S1",Y334="",AE334=""),EDATE(R334,12),AND(AO334="K5-LAW",AL334="นิติศาสตร์",OR(K334="M2",K334="K4"),Y334="",AE334=""),EDATE(R334,12*2),AND(AO334="K5-LAW",AL334="นิติศาสตร์",OR(AE334="M2",AE334="K4"),AH334&gt;=2,OR(AG334&lt;AA334,AG334&lt;R334)),EDATE(AG334,12*2),AND(AO334="K5-LAW",AL334="นิติศาสตร์",AE334="S1",AH334&gt;=1,OR(AG334&lt;AA334,AG334&lt;R334)),EDATE(AG334,12),AND(AO334="K5-LAW",AL334="นิติศาสตร์",OR(Y334="M2",Y334="K4"),AB334&gt;=2,AA334&lt;R334),EDATE(AA334,12*2),AND(AO334="K5-LAW",AL334="นิติศาสตร์",Y334="S1",AB334&gt;=1,AA334&lt;R334),EDATE(AA334,12),AND(AO334="K5-LAW",AL334="นิติศาสตร์",OR(Y334="S2",Y334="K5")),AA334,AND(AO334="K5-LAW",AL334="นิติศาสตร์",OR(K334="M2",K334="K4"),U334&gt;=2),EDATE(R334,12*2),AND(AO334="K5-LAW",AL334="นิติศาสตร์",K334="S1",U334&gt;=1),EDATE(R334,12),AND(AO334="K5-LAW",AL334="นิติศาสตร์",OR(K334="S2",K334="K5")),R334,AND(AO334="K5-POLICY",AL334&lt;&gt;"นิติศาสตร์",K334="S2",Y334="",AE334=""),R334,AND(AO334="K5-POLICY",AL334&lt;&gt;"นิติศาสตร์",K334="S1",Y334="",AE334=""),EDATE(R334,12),AND(AO334="K5-POLICY",AL334&lt;&gt;"นิติศาสตร์",OR(K334="M2",K334="K4"),Y334="",AE334=""),EDATE(R334,12*2),AND(AO334="K5-POLICY",AL334&lt;&gt;"นิติศาสตร์",OR(AE334="M2",AE334="K4"),AH334&gt;=2,OR(AG334&lt;AA334,AG334&lt;R334)),EDATE(AG334,12*2),AND(AO334="K5-POLICY",AL334&lt;&gt;"นิติศาสตร์",AE334="S1",AH334&gt;=1,OR(AG334&lt;AA334,AG334&lt;R334)),EDATE(AG334,12),AND(AO334="K5-POLICY",AL334&lt;&gt;"นิติศาสตร์",OR(Y334="M2",Y334="K4"),AB334&gt;=2,AA334&lt;R334),EDATE(AA334,12*2),AND(AO334="K5-POLICY",AL334&lt;&gt;"นิติศาสตร์",Y334="S1",AB334&gt;=1,AA334&lt;R334),EDATE(AA334,12),AND(AO334="K5-POLICY",AL334&lt;&gt;"นิติศาสตร์",OR(Y334="S2",Y334="K5")),AA334,AND(AO334="K5-POLICY",AL334&lt;&gt;"นิติศาสตร์",OR(K334="M2",K334="K4"),U334&gt;=2),EDATE(R334,12*2),AND(AO334="K5-POLICY",AL334&lt;&gt;"นิติศาสตร์",K334="S1",U334&gt;=1),EDATE(R334,12),AND(AO334="K5-POLICY",AL334&lt;&gt;"นิติศาสตร์",OR(K334="S2",K334="K5")),R334,TRUE,"Check Data")</f>
        <v/>
      </c>
      <c r="AQ334" s="75" t="str">
        <f t="shared" si="163"/>
        <v>Check Data</v>
      </c>
      <c r="AR334" s="76" t="str">
        <f t="shared" si="164"/>
        <v>Check Data</v>
      </c>
      <c r="AS334" s="51" t="str">
        <f t="shared" si="165"/>
        <v>Check Data</v>
      </c>
      <c r="AT334" s="49" t="str">
        <f>IF(B334="","",IF(K334="S1","S1",INDEX(#REF!,#REF!)))</f>
        <v/>
      </c>
      <c r="AU334" s="49" t="str">
        <f t="shared" si="166"/>
        <v>K4</v>
      </c>
      <c r="AV334" s="50" t="b">
        <f t="shared" si="167"/>
        <v>0</v>
      </c>
    </row>
    <row r="335" spans="1:48" ht="21.75">
      <c r="A335" s="49">
        <v>333</v>
      </c>
      <c r="B335" s="50"/>
      <c r="C335" s="50"/>
      <c r="D335" s="84" t="s">
        <v>144</v>
      </c>
      <c r="E335" s="85" t="s">
        <v>362</v>
      </c>
      <c r="F335" s="85" t="str">
        <f t="shared" si="143"/>
        <v>30/01/1987</v>
      </c>
      <c r="G335" s="50">
        <f t="shared" si="152"/>
        <v>38</v>
      </c>
      <c r="H335" s="50">
        <f t="shared" si="153"/>
        <v>4</v>
      </c>
      <c r="I335" s="50">
        <f t="shared" si="154"/>
        <v>21</v>
      </c>
      <c r="J335" s="84"/>
      <c r="K335" s="49" t="s">
        <v>137</v>
      </c>
      <c r="L335" s="49" t="str">
        <f>IF(B335="","",IF(K335="S1",K335,INDEX(#REF!,#REF!)))</f>
        <v/>
      </c>
      <c r="M335" s="49" t="b">
        <f t="shared" si="155"/>
        <v>0</v>
      </c>
      <c r="N335" s="87"/>
      <c r="O335" s="85"/>
      <c r="P335" s="85"/>
      <c r="Q335" s="65" t="s">
        <v>466</v>
      </c>
      <c r="R335" s="49" t="str">
        <f t="shared" si="156"/>
        <v>05/11/2021</v>
      </c>
      <c r="S335" s="49" t="str">
        <f>IF(B335="","",IF(K335="S1",K335,INDEX(#REF!,#REF!)))</f>
        <v/>
      </c>
      <c r="T335" s="49" t="b">
        <f t="shared" si="157"/>
        <v>0</v>
      </c>
      <c r="U335" s="68">
        <f t="shared" si="158"/>
        <v>3</v>
      </c>
      <c r="V335" s="68">
        <f t="shared" si="159"/>
        <v>7</v>
      </c>
      <c r="W335" s="68">
        <f t="shared" si="160"/>
        <v>15</v>
      </c>
      <c r="X335" s="88"/>
      <c r="Y335" s="65"/>
      <c r="Z335" s="89"/>
      <c r="AA335" s="85" t="str">
        <f t="shared" si="144"/>
        <v/>
      </c>
      <c r="AB335" s="88">
        <f t="shared" si="145"/>
        <v>0</v>
      </c>
      <c r="AC335" s="88">
        <f t="shared" si="146"/>
        <v>0</v>
      </c>
      <c r="AD335" s="88">
        <f t="shared" si="147"/>
        <v>0</v>
      </c>
      <c r="AE335" s="85"/>
      <c r="AF335" s="89"/>
      <c r="AG335" s="84" t="str">
        <f t="shared" si="148"/>
        <v/>
      </c>
      <c r="AH335" s="88">
        <f t="shared" si="149"/>
        <v>0</v>
      </c>
      <c r="AI335" s="88">
        <f t="shared" si="150"/>
        <v>0</v>
      </c>
      <c r="AJ335" s="88">
        <f t="shared" si="151"/>
        <v>0</v>
      </c>
      <c r="AK335" s="84"/>
      <c r="AL335" s="84" t="s">
        <v>138</v>
      </c>
      <c r="AM335" s="50" t="str">
        <f>IF(B335="","",IF(K335="S1",K335,INDEX(#REF!,#REF!)))</f>
        <v/>
      </c>
      <c r="AN335" s="50" t="b">
        <f t="shared" si="161"/>
        <v>0</v>
      </c>
      <c r="AO335" s="49" t="str">
        <f t="shared" si="162"/>
        <v>K5-LAW</v>
      </c>
      <c r="AP335" s="72" t="str">
        <f>_xlfn.IFS(B335="","",AND(AO335="K5-LAW",AL335="นิติศาสตร์",K335="S2",Y335="",AE335=""),R335,AND(AO335="K5-LAW",AL335="นิติศาสตร์",K335="S1",Y335="",AE335=""),EDATE(R335,12),AND(AO335="K5-LAW",AL335="นิติศาสตร์",OR(K335="M2",K335="K4"),Y335="",AE335=""),EDATE(R335,12*2),AND(AO335="K5-LAW",AL335="นิติศาสตร์",OR(AE335="M2",AE335="K4"),AH335&gt;=2,OR(AG335&lt;AA335,AG335&lt;R335)),EDATE(AG335,12*2),AND(AO335="K5-LAW",AL335="นิติศาสตร์",AE335="S1",AH335&gt;=1,OR(AG335&lt;AA335,AG335&lt;R335)),EDATE(AG335,12),AND(AO335="K5-LAW",AL335="นิติศาสตร์",OR(Y335="M2",Y335="K4"),AB335&gt;=2,AA335&lt;R335),EDATE(AA335,12*2),AND(AO335="K5-LAW",AL335="นิติศาสตร์",Y335="S1",AB335&gt;=1,AA335&lt;R335),EDATE(AA335,12),AND(AO335="K5-LAW",AL335="นิติศาสตร์",OR(Y335="S2",Y335="K5")),AA335,AND(AO335="K5-LAW",AL335="นิติศาสตร์",OR(K335="M2",K335="K4"),U335&gt;=2),EDATE(R335,12*2),AND(AO335="K5-LAW",AL335="นิติศาสตร์",K335="S1",U335&gt;=1),EDATE(R335,12),AND(AO335="K5-LAW",AL335="นิติศาสตร์",OR(K335="S2",K335="K5")),R335,AND(AO335="K5-POLICY",AL335&lt;&gt;"นิติศาสตร์",K335="S2",Y335="",AE335=""),R335,AND(AO335="K5-POLICY",AL335&lt;&gt;"นิติศาสตร์",K335="S1",Y335="",AE335=""),EDATE(R335,12),AND(AO335="K5-POLICY",AL335&lt;&gt;"นิติศาสตร์",OR(K335="M2",K335="K4"),Y335="",AE335=""),EDATE(R335,12*2),AND(AO335="K5-POLICY",AL335&lt;&gt;"นิติศาสตร์",OR(AE335="M2",AE335="K4"),AH335&gt;=2,OR(AG335&lt;AA335,AG335&lt;R335)),EDATE(AG335,12*2),AND(AO335="K5-POLICY",AL335&lt;&gt;"นิติศาสตร์",AE335="S1",AH335&gt;=1,OR(AG335&lt;AA335,AG335&lt;R335)),EDATE(AG335,12),AND(AO335="K5-POLICY",AL335&lt;&gt;"นิติศาสตร์",OR(Y335="M2",Y335="K4"),AB335&gt;=2,AA335&lt;R335),EDATE(AA335,12*2),AND(AO335="K5-POLICY",AL335&lt;&gt;"นิติศาสตร์",Y335="S1",AB335&gt;=1,AA335&lt;R335),EDATE(AA335,12),AND(AO335="K5-POLICY",AL335&lt;&gt;"นิติศาสตร์",OR(Y335="S2",Y335="K5")),AA335,AND(AO335="K5-POLICY",AL335&lt;&gt;"นิติศาสตร์",OR(K335="M2",K335="K4"),U335&gt;=2),EDATE(R335,12*2),AND(AO335="K5-POLICY",AL335&lt;&gt;"นิติศาสตร์",K335="S1",U335&gt;=1),EDATE(R335,12),AND(AO335="K5-POLICY",AL335&lt;&gt;"นิติศาสตร์",OR(K335="S2",K335="K5")),R335,TRUE,"Check Data")</f>
        <v/>
      </c>
      <c r="AQ335" s="75" t="str">
        <f t="shared" si="163"/>
        <v>Check Data</v>
      </c>
      <c r="AR335" s="76" t="str">
        <f t="shared" si="164"/>
        <v>Check Data</v>
      </c>
      <c r="AS335" s="50" t="str">
        <f t="shared" si="165"/>
        <v>Check Data</v>
      </c>
      <c r="AT335" s="49" t="str">
        <f>IF(B335="","",IF(K335="S1","S1",INDEX(#REF!,#REF!)))</f>
        <v/>
      </c>
      <c r="AU335" s="49" t="str">
        <f t="shared" si="166"/>
        <v>K4</v>
      </c>
      <c r="AV335" s="50" t="b">
        <f t="shared" si="167"/>
        <v>0</v>
      </c>
    </row>
    <row r="336" spans="1:48" ht="21.75">
      <c r="A336" s="49">
        <v>334</v>
      </c>
      <c r="B336" s="50"/>
      <c r="C336" s="50"/>
      <c r="D336" s="84" t="s">
        <v>142</v>
      </c>
      <c r="E336" s="85" t="s">
        <v>375</v>
      </c>
      <c r="F336" s="85" t="str">
        <f t="shared" si="143"/>
        <v>06/05/1986</v>
      </c>
      <c r="G336" s="50">
        <f t="shared" si="152"/>
        <v>39</v>
      </c>
      <c r="H336" s="50">
        <f t="shared" si="153"/>
        <v>1</v>
      </c>
      <c r="I336" s="50">
        <f t="shared" si="154"/>
        <v>14</v>
      </c>
      <c r="J336" s="84"/>
      <c r="K336" s="49" t="s">
        <v>137</v>
      </c>
      <c r="L336" s="49" t="str">
        <f>IF(B336="","",IF(K336="S1",K336,INDEX(#REF!,#REF!)))</f>
        <v/>
      </c>
      <c r="M336" s="49" t="b">
        <f t="shared" si="155"/>
        <v>0</v>
      </c>
      <c r="N336" s="87"/>
      <c r="O336" s="85"/>
      <c r="P336" s="85"/>
      <c r="Q336" s="65" t="s">
        <v>405</v>
      </c>
      <c r="R336" s="49" t="str">
        <f t="shared" si="156"/>
        <v>18/01/2022</v>
      </c>
      <c r="S336" s="49" t="str">
        <f>IF(B336="","",IF(K336="S1",K336,INDEX(#REF!,#REF!)))</f>
        <v/>
      </c>
      <c r="T336" s="49" t="b">
        <f t="shared" si="157"/>
        <v>0</v>
      </c>
      <c r="U336" s="68">
        <f t="shared" si="158"/>
        <v>3</v>
      </c>
      <c r="V336" s="68">
        <f t="shared" si="159"/>
        <v>5</v>
      </c>
      <c r="W336" s="68">
        <f t="shared" si="160"/>
        <v>2</v>
      </c>
      <c r="X336" s="88"/>
      <c r="Y336" s="65"/>
      <c r="Z336" s="89"/>
      <c r="AA336" s="85" t="str">
        <f t="shared" si="144"/>
        <v/>
      </c>
      <c r="AB336" s="88">
        <f t="shared" si="145"/>
        <v>0</v>
      </c>
      <c r="AC336" s="88">
        <f t="shared" si="146"/>
        <v>0</v>
      </c>
      <c r="AD336" s="88">
        <f t="shared" si="147"/>
        <v>0</v>
      </c>
      <c r="AE336" s="85"/>
      <c r="AF336" s="89"/>
      <c r="AG336" s="84" t="str">
        <f t="shared" si="148"/>
        <v/>
      </c>
      <c r="AH336" s="88">
        <f t="shared" si="149"/>
        <v>0</v>
      </c>
      <c r="AI336" s="88">
        <f t="shared" si="150"/>
        <v>0</v>
      </c>
      <c r="AJ336" s="88">
        <f t="shared" si="151"/>
        <v>0</v>
      </c>
      <c r="AK336" s="84"/>
      <c r="AL336" s="84" t="s">
        <v>530</v>
      </c>
      <c r="AM336" s="50" t="str">
        <f>IF(B336="","",IF(K336="S1",K336,INDEX(#REF!,#REF!)))</f>
        <v/>
      </c>
      <c r="AN336" s="50" t="b">
        <f t="shared" si="161"/>
        <v>0</v>
      </c>
      <c r="AO336" s="49" t="str">
        <f t="shared" si="162"/>
        <v>K5-POLICY</v>
      </c>
      <c r="AP336" s="72" t="str">
        <f>_xlfn.IFS(B336="","",AND(AO336="K5-LAW",AL336="นิติศาสตร์",K336="S2",Y336="",AE336=""),R336,AND(AO336="K5-LAW",AL336="นิติศาสตร์",K336="S1",Y336="",AE336=""),EDATE(R336,12),AND(AO336="K5-LAW",AL336="นิติศาสตร์",OR(K336="M2",K336="K4"),Y336="",AE336=""),EDATE(R336,12*2),AND(AO336="K5-LAW",AL336="นิติศาสตร์",OR(AE336="M2",AE336="K4"),AH336&gt;=2,OR(AG336&lt;AA336,AG336&lt;R336)),EDATE(AG336,12*2),AND(AO336="K5-LAW",AL336="นิติศาสตร์",AE336="S1",AH336&gt;=1,OR(AG336&lt;AA336,AG336&lt;R336)),EDATE(AG336,12),AND(AO336="K5-LAW",AL336="นิติศาสตร์",OR(Y336="M2",Y336="K4"),AB336&gt;=2,AA336&lt;R336),EDATE(AA336,12*2),AND(AO336="K5-LAW",AL336="นิติศาสตร์",Y336="S1",AB336&gt;=1,AA336&lt;R336),EDATE(AA336,12),AND(AO336="K5-LAW",AL336="นิติศาสตร์",OR(Y336="S2",Y336="K5")),AA336,AND(AO336="K5-LAW",AL336="นิติศาสตร์",OR(K336="M2",K336="K4"),U336&gt;=2),EDATE(R336,12*2),AND(AO336="K5-LAW",AL336="นิติศาสตร์",K336="S1",U336&gt;=1),EDATE(R336,12),AND(AO336="K5-LAW",AL336="นิติศาสตร์",OR(K336="S2",K336="K5")),R336,AND(AO336="K5-POLICY",AL336&lt;&gt;"นิติศาสตร์",K336="S2",Y336="",AE336=""),R336,AND(AO336="K5-POLICY",AL336&lt;&gt;"นิติศาสตร์",K336="S1",Y336="",AE336=""),EDATE(R336,12),AND(AO336="K5-POLICY",AL336&lt;&gt;"นิติศาสตร์",OR(K336="M2",K336="K4"),Y336="",AE336=""),EDATE(R336,12*2),AND(AO336="K5-POLICY",AL336&lt;&gt;"นิติศาสตร์",OR(AE336="M2",AE336="K4"),AH336&gt;=2,OR(AG336&lt;AA336,AG336&lt;R336)),EDATE(AG336,12*2),AND(AO336="K5-POLICY",AL336&lt;&gt;"นิติศาสตร์",AE336="S1",AH336&gt;=1,OR(AG336&lt;AA336,AG336&lt;R336)),EDATE(AG336,12),AND(AO336="K5-POLICY",AL336&lt;&gt;"นิติศาสตร์",OR(Y336="M2",Y336="K4"),AB336&gt;=2,AA336&lt;R336),EDATE(AA336,12*2),AND(AO336="K5-POLICY",AL336&lt;&gt;"นิติศาสตร์",Y336="S1",AB336&gt;=1,AA336&lt;R336),EDATE(AA336,12),AND(AO336="K5-POLICY",AL336&lt;&gt;"นิติศาสตร์",OR(Y336="S2",Y336="K5")),AA336,AND(AO336="K5-POLICY",AL336&lt;&gt;"นิติศาสตร์",OR(K336="M2",K336="K4"),U336&gt;=2),EDATE(R336,12*2),AND(AO336="K5-POLICY",AL336&lt;&gt;"นิติศาสตร์",K336="S1",U336&gt;=1),EDATE(R336,12),AND(AO336="K5-POLICY",AL336&lt;&gt;"นิติศาสตร์",OR(K336="S2",K336="K5")),R336,TRUE,"Check Data")</f>
        <v/>
      </c>
      <c r="AQ336" s="75" t="str">
        <f t="shared" si="163"/>
        <v>Check Data</v>
      </c>
      <c r="AR336" s="76" t="str">
        <f t="shared" si="164"/>
        <v>Check Data</v>
      </c>
      <c r="AS336" s="50" t="str">
        <f t="shared" si="165"/>
        <v>Check Data</v>
      </c>
      <c r="AT336" s="49" t="str">
        <f>IF(B336="","",IF(K336="S1","S1",INDEX(#REF!,#REF!)))</f>
        <v/>
      </c>
      <c r="AU336" s="49" t="str">
        <f t="shared" si="166"/>
        <v>K4</v>
      </c>
      <c r="AV336" s="50" t="b">
        <f t="shared" si="167"/>
        <v>0</v>
      </c>
    </row>
    <row r="337" spans="1:48" ht="21.75">
      <c r="A337" s="49">
        <v>335</v>
      </c>
      <c r="B337" s="50"/>
      <c r="C337" s="50"/>
      <c r="D337" s="84" t="s">
        <v>142</v>
      </c>
      <c r="E337" s="85" t="s">
        <v>210</v>
      </c>
      <c r="F337" s="85" t="str">
        <f t="shared" si="143"/>
        <v>27/01/1986</v>
      </c>
      <c r="G337" s="50">
        <f t="shared" si="152"/>
        <v>39</v>
      </c>
      <c r="H337" s="50">
        <f t="shared" si="153"/>
        <v>4</v>
      </c>
      <c r="I337" s="50">
        <f t="shared" si="154"/>
        <v>24</v>
      </c>
      <c r="J337" s="84"/>
      <c r="K337" s="49" t="s">
        <v>137</v>
      </c>
      <c r="L337" s="49" t="str">
        <f>IF(B337="","",IF(K337="S1",K337,INDEX(#REF!,#REF!)))</f>
        <v/>
      </c>
      <c r="M337" s="49" t="b">
        <f t="shared" si="155"/>
        <v>0</v>
      </c>
      <c r="N337" s="87"/>
      <c r="O337" s="85"/>
      <c r="P337" s="85"/>
      <c r="Q337" s="65" t="s">
        <v>405</v>
      </c>
      <c r="R337" s="49" t="str">
        <f t="shared" si="156"/>
        <v>18/01/2022</v>
      </c>
      <c r="S337" s="49" t="str">
        <f>IF(B337="","",IF(K337="S1",K337,INDEX(#REF!,#REF!)))</f>
        <v/>
      </c>
      <c r="T337" s="49" t="b">
        <f t="shared" si="157"/>
        <v>0</v>
      </c>
      <c r="U337" s="68">
        <f t="shared" si="158"/>
        <v>3</v>
      </c>
      <c r="V337" s="68">
        <f t="shared" si="159"/>
        <v>5</v>
      </c>
      <c r="W337" s="68">
        <f t="shared" si="160"/>
        <v>2</v>
      </c>
      <c r="X337" s="88"/>
      <c r="Y337" s="65"/>
      <c r="Z337" s="89"/>
      <c r="AA337" s="85" t="str">
        <f t="shared" si="144"/>
        <v/>
      </c>
      <c r="AB337" s="88">
        <f t="shared" si="145"/>
        <v>0</v>
      </c>
      <c r="AC337" s="88">
        <f t="shared" si="146"/>
        <v>0</v>
      </c>
      <c r="AD337" s="88">
        <f t="shared" si="147"/>
        <v>0</v>
      </c>
      <c r="AE337" s="85"/>
      <c r="AF337" s="89"/>
      <c r="AG337" s="84" t="str">
        <f t="shared" si="148"/>
        <v/>
      </c>
      <c r="AH337" s="88">
        <f t="shared" si="149"/>
        <v>0</v>
      </c>
      <c r="AI337" s="88">
        <f t="shared" si="150"/>
        <v>0</v>
      </c>
      <c r="AJ337" s="88">
        <f t="shared" si="151"/>
        <v>0</v>
      </c>
      <c r="AK337" s="84"/>
      <c r="AL337" s="84" t="s">
        <v>138</v>
      </c>
      <c r="AM337" s="50" t="str">
        <f>IF(B337="","",IF(K337="S1",K337,INDEX(#REF!,#REF!)))</f>
        <v/>
      </c>
      <c r="AN337" s="50" t="b">
        <f t="shared" si="161"/>
        <v>0</v>
      </c>
      <c r="AO337" s="49" t="str">
        <f t="shared" si="162"/>
        <v>K5-LAW</v>
      </c>
      <c r="AP337" s="72" t="str">
        <f>_xlfn.IFS(B337="","",AND(AO337="K5-LAW",AL337="นิติศาสตร์",K337="S2",Y337="",AE337=""),R337,AND(AO337="K5-LAW",AL337="นิติศาสตร์",K337="S1",Y337="",AE337=""),EDATE(R337,12),AND(AO337="K5-LAW",AL337="นิติศาสตร์",OR(K337="M2",K337="K4"),Y337="",AE337=""),EDATE(R337,12*2),AND(AO337="K5-LAW",AL337="นิติศาสตร์",OR(AE337="M2",AE337="K4"),AH337&gt;=2,OR(AG337&lt;AA337,AG337&lt;R337)),EDATE(AG337,12*2),AND(AO337="K5-LAW",AL337="นิติศาสตร์",AE337="S1",AH337&gt;=1,OR(AG337&lt;AA337,AG337&lt;R337)),EDATE(AG337,12),AND(AO337="K5-LAW",AL337="นิติศาสตร์",OR(Y337="M2",Y337="K4"),AB337&gt;=2,AA337&lt;R337),EDATE(AA337,12*2),AND(AO337="K5-LAW",AL337="นิติศาสตร์",Y337="S1",AB337&gt;=1,AA337&lt;R337),EDATE(AA337,12),AND(AO337="K5-LAW",AL337="นิติศาสตร์",OR(Y337="S2",Y337="K5")),AA337,AND(AO337="K5-LAW",AL337="นิติศาสตร์",OR(K337="M2",K337="K4"),U337&gt;=2),EDATE(R337,12*2),AND(AO337="K5-LAW",AL337="นิติศาสตร์",K337="S1",U337&gt;=1),EDATE(R337,12),AND(AO337="K5-LAW",AL337="นิติศาสตร์",OR(K337="S2",K337="K5")),R337,AND(AO337="K5-POLICY",AL337&lt;&gt;"นิติศาสตร์",K337="S2",Y337="",AE337=""),R337,AND(AO337="K5-POLICY",AL337&lt;&gt;"นิติศาสตร์",K337="S1",Y337="",AE337=""),EDATE(R337,12),AND(AO337="K5-POLICY",AL337&lt;&gt;"นิติศาสตร์",OR(K337="M2",K337="K4"),Y337="",AE337=""),EDATE(R337,12*2),AND(AO337="K5-POLICY",AL337&lt;&gt;"นิติศาสตร์",OR(AE337="M2",AE337="K4"),AH337&gt;=2,OR(AG337&lt;AA337,AG337&lt;R337)),EDATE(AG337,12*2),AND(AO337="K5-POLICY",AL337&lt;&gt;"นิติศาสตร์",AE337="S1",AH337&gt;=1,OR(AG337&lt;AA337,AG337&lt;R337)),EDATE(AG337,12),AND(AO337="K5-POLICY",AL337&lt;&gt;"นิติศาสตร์",OR(Y337="M2",Y337="K4"),AB337&gt;=2,AA337&lt;R337),EDATE(AA337,12*2),AND(AO337="K5-POLICY",AL337&lt;&gt;"นิติศาสตร์",Y337="S1",AB337&gt;=1,AA337&lt;R337),EDATE(AA337,12),AND(AO337="K5-POLICY",AL337&lt;&gt;"นิติศาสตร์",OR(Y337="S2",Y337="K5")),AA337,AND(AO337="K5-POLICY",AL337&lt;&gt;"นิติศาสตร์",OR(K337="M2",K337="K4"),U337&gt;=2),EDATE(R337,12*2),AND(AO337="K5-POLICY",AL337&lt;&gt;"นิติศาสตร์",K337="S1",U337&gt;=1),EDATE(R337,12),AND(AO337="K5-POLICY",AL337&lt;&gt;"นิติศาสตร์",OR(K337="S2",K337="K5")),R337,TRUE,"Check Data")</f>
        <v/>
      </c>
      <c r="AQ337" s="75" t="str">
        <f t="shared" si="163"/>
        <v>Check Data</v>
      </c>
      <c r="AR337" s="76" t="str">
        <f t="shared" si="164"/>
        <v>Check Data</v>
      </c>
      <c r="AS337" s="50" t="str">
        <f t="shared" si="165"/>
        <v>Check Data</v>
      </c>
      <c r="AT337" s="49" t="str">
        <f>IF(B337="","",IF(K337="S1","S1",INDEX(#REF!,#REF!)))</f>
        <v/>
      </c>
      <c r="AU337" s="49" t="str">
        <f t="shared" si="166"/>
        <v>K4</v>
      </c>
      <c r="AV337" s="50" t="b">
        <f t="shared" si="167"/>
        <v>0</v>
      </c>
    </row>
    <row r="338" spans="1:48" ht="21.75">
      <c r="A338" s="49">
        <v>336</v>
      </c>
      <c r="B338" s="50"/>
      <c r="C338" s="50"/>
      <c r="D338" s="84" t="s">
        <v>143</v>
      </c>
      <c r="E338" s="85" t="s">
        <v>208</v>
      </c>
      <c r="F338" s="85" t="str">
        <f t="shared" si="143"/>
        <v>01/02/1990</v>
      </c>
      <c r="G338" s="50">
        <f t="shared" si="152"/>
        <v>35</v>
      </c>
      <c r="H338" s="50">
        <f t="shared" si="153"/>
        <v>4</v>
      </c>
      <c r="I338" s="50">
        <f t="shared" si="154"/>
        <v>19</v>
      </c>
      <c r="J338" s="84"/>
      <c r="K338" s="49" t="s">
        <v>137</v>
      </c>
      <c r="L338" s="49" t="str">
        <f>IF(B338="","",IF(K338="S1",K338,INDEX(#REF!,#REF!)))</f>
        <v/>
      </c>
      <c r="M338" s="49" t="b">
        <f t="shared" si="155"/>
        <v>0</v>
      </c>
      <c r="N338" s="87"/>
      <c r="O338" s="85"/>
      <c r="P338" s="85"/>
      <c r="Q338" s="65" t="s">
        <v>406</v>
      </c>
      <c r="R338" s="49" t="str">
        <f t="shared" si="156"/>
        <v>19/05/2022</v>
      </c>
      <c r="S338" s="49" t="str">
        <f>IF(B338="","",IF(K338="S1",K338,INDEX(#REF!,#REF!)))</f>
        <v/>
      </c>
      <c r="T338" s="49" t="b">
        <f t="shared" si="157"/>
        <v>0</v>
      </c>
      <c r="U338" s="68">
        <f t="shared" si="158"/>
        <v>3</v>
      </c>
      <c r="V338" s="68">
        <f t="shared" si="159"/>
        <v>1</v>
      </c>
      <c r="W338" s="68">
        <f t="shared" si="160"/>
        <v>1</v>
      </c>
      <c r="X338" s="88"/>
      <c r="Y338" s="65"/>
      <c r="Z338" s="89"/>
      <c r="AA338" s="85" t="str">
        <f t="shared" si="144"/>
        <v/>
      </c>
      <c r="AB338" s="88">
        <f t="shared" si="145"/>
        <v>0</v>
      </c>
      <c r="AC338" s="88">
        <f t="shared" si="146"/>
        <v>0</v>
      </c>
      <c r="AD338" s="88">
        <f t="shared" si="147"/>
        <v>0</v>
      </c>
      <c r="AE338" s="85"/>
      <c r="AF338" s="89"/>
      <c r="AG338" s="84" t="str">
        <f t="shared" si="148"/>
        <v/>
      </c>
      <c r="AH338" s="88">
        <f t="shared" si="149"/>
        <v>0</v>
      </c>
      <c r="AI338" s="88">
        <f t="shared" si="150"/>
        <v>0</v>
      </c>
      <c r="AJ338" s="88">
        <f t="shared" si="151"/>
        <v>0</v>
      </c>
      <c r="AK338" s="84"/>
      <c r="AL338" s="84" t="s">
        <v>138</v>
      </c>
      <c r="AM338" s="50" t="str">
        <f>IF(B338="","",IF(K338="S1",K338,INDEX(#REF!,#REF!)))</f>
        <v/>
      </c>
      <c r="AN338" s="50" t="b">
        <f t="shared" si="161"/>
        <v>0</v>
      </c>
      <c r="AO338" s="49" t="str">
        <f t="shared" si="162"/>
        <v>K5-LAW</v>
      </c>
      <c r="AP338" s="72" t="str">
        <f>_xlfn.IFS(B338="","",AND(AO338="K5-LAW",AL338="นิติศาสตร์",K338="S2",Y338="",AE338=""),R338,AND(AO338="K5-LAW",AL338="นิติศาสตร์",K338="S1",Y338="",AE338=""),EDATE(R338,12),AND(AO338="K5-LAW",AL338="นิติศาสตร์",OR(K338="M2",K338="K4"),Y338="",AE338=""),EDATE(R338,12*2),AND(AO338="K5-LAW",AL338="นิติศาสตร์",OR(AE338="M2",AE338="K4"),AH338&gt;=2,OR(AG338&lt;AA338,AG338&lt;R338)),EDATE(AG338,12*2),AND(AO338="K5-LAW",AL338="นิติศาสตร์",AE338="S1",AH338&gt;=1,OR(AG338&lt;AA338,AG338&lt;R338)),EDATE(AG338,12),AND(AO338="K5-LAW",AL338="นิติศาสตร์",OR(Y338="M2",Y338="K4"),AB338&gt;=2,AA338&lt;R338),EDATE(AA338,12*2),AND(AO338="K5-LAW",AL338="นิติศาสตร์",Y338="S1",AB338&gt;=1,AA338&lt;R338),EDATE(AA338,12),AND(AO338="K5-LAW",AL338="นิติศาสตร์",OR(Y338="S2",Y338="K5")),AA338,AND(AO338="K5-LAW",AL338="นิติศาสตร์",OR(K338="M2",K338="K4"),U338&gt;=2),EDATE(R338,12*2),AND(AO338="K5-LAW",AL338="นิติศาสตร์",K338="S1",U338&gt;=1),EDATE(R338,12),AND(AO338="K5-LAW",AL338="นิติศาสตร์",OR(K338="S2",K338="K5")),R338,AND(AO338="K5-POLICY",AL338&lt;&gt;"นิติศาสตร์",K338="S2",Y338="",AE338=""),R338,AND(AO338="K5-POLICY",AL338&lt;&gt;"นิติศาสตร์",K338="S1",Y338="",AE338=""),EDATE(R338,12),AND(AO338="K5-POLICY",AL338&lt;&gt;"นิติศาสตร์",OR(K338="M2",K338="K4"),Y338="",AE338=""),EDATE(R338,12*2),AND(AO338="K5-POLICY",AL338&lt;&gt;"นิติศาสตร์",OR(AE338="M2",AE338="K4"),AH338&gt;=2,OR(AG338&lt;AA338,AG338&lt;R338)),EDATE(AG338,12*2),AND(AO338="K5-POLICY",AL338&lt;&gt;"นิติศาสตร์",AE338="S1",AH338&gt;=1,OR(AG338&lt;AA338,AG338&lt;R338)),EDATE(AG338,12),AND(AO338="K5-POLICY",AL338&lt;&gt;"นิติศาสตร์",OR(Y338="M2",Y338="K4"),AB338&gt;=2,AA338&lt;R338),EDATE(AA338,12*2),AND(AO338="K5-POLICY",AL338&lt;&gt;"นิติศาสตร์",Y338="S1",AB338&gt;=1,AA338&lt;R338),EDATE(AA338,12),AND(AO338="K5-POLICY",AL338&lt;&gt;"นิติศาสตร์",OR(Y338="S2",Y338="K5")),AA338,AND(AO338="K5-POLICY",AL338&lt;&gt;"นิติศาสตร์",OR(K338="M2",K338="K4"),U338&gt;=2),EDATE(R338,12*2),AND(AO338="K5-POLICY",AL338&lt;&gt;"นิติศาสตร์",K338="S1",U338&gt;=1),EDATE(R338,12),AND(AO338="K5-POLICY",AL338&lt;&gt;"นิติศาสตร์",OR(K338="S2",K338="K5")),R338,TRUE,"Check Data")</f>
        <v/>
      </c>
      <c r="AQ338" s="75" t="str">
        <f t="shared" si="163"/>
        <v>Check Data</v>
      </c>
      <c r="AR338" s="76" t="str">
        <f t="shared" si="164"/>
        <v>Check Data</v>
      </c>
      <c r="AS338" s="50" t="str">
        <f t="shared" si="165"/>
        <v>Check Data</v>
      </c>
      <c r="AT338" s="49" t="str">
        <f>IF(B338="","",IF(K338="S1","S1",INDEX(#REF!,#REF!)))</f>
        <v/>
      </c>
      <c r="AU338" s="49" t="str">
        <f t="shared" si="166"/>
        <v>K4</v>
      </c>
      <c r="AV338" s="50" t="b">
        <f t="shared" si="167"/>
        <v>0</v>
      </c>
    </row>
    <row r="339" spans="1:48" ht="21.75">
      <c r="A339" s="49">
        <v>337</v>
      </c>
      <c r="B339" s="50"/>
      <c r="C339" s="52"/>
      <c r="G339" s="50">
        <f t="shared" si="152"/>
        <v>0</v>
      </c>
      <c r="H339" s="50">
        <f t="shared" si="153"/>
        <v>0</v>
      </c>
      <c r="I339" s="50">
        <f t="shared" si="154"/>
        <v>0</v>
      </c>
      <c r="K339" s="49" t="s">
        <v>137</v>
      </c>
      <c r="L339" s="49" t="str">
        <f>IF(B339="","",IF(K339="S1",K339,INDEX(#REF!,#REF!)))</f>
        <v/>
      </c>
      <c r="M339" s="49" t="b">
        <f t="shared" si="155"/>
        <v>0</v>
      </c>
      <c r="Q339" s="65" t="s">
        <v>419</v>
      </c>
      <c r="R339" s="49" t="str">
        <f t="shared" si="156"/>
        <v>09/03/2023</v>
      </c>
      <c r="S339" s="49" t="str">
        <f>IF(B339="","",IF(K339="S1",K339,INDEX(#REF!,#REF!)))</f>
        <v/>
      </c>
      <c r="T339" s="49" t="b">
        <f t="shared" si="157"/>
        <v>0</v>
      </c>
      <c r="U339" s="68">
        <f t="shared" si="158"/>
        <v>2</v>
      </c>
      <c r="V339" s="68">
        <f t="shared" si="159"/>
        <v>3</v>
      </c>
      <c r="W339" s="68">
        <f t="shared" si="160"/>
        <v>11</v>
      </c>
      <c r="Y339" s="65"/>
      <c r="AM339" s="50" t="str">
        <f>IF(B339="","",IF(K339="S1",K339,INDEX(#REF!,#REF!)))</f>
        <v/>
      </c>
      <c r="AN339" s="50" t="b">
        <f t="shared" si="161"/>
        <v>1</v>
      </c>
      <c r="AO339" s="49" t="str">
        <f t="shared" si="162"/>
        <v>K5-POLICY</v>
      </c>
      <c r="AP339" s="72" t="str">
        <f>_xlfn.IFS(B339="","",AND(AO339="K5-LAW",AL339="นิติศาสตร์",K339="S2",Y339="",AE339=""),R339,AND(AO339="K5-LAW",AL339="นิติศาสตร์",K339="S1",Y339="",AE339=""),EDATE(R339,12),AND(AO339="K5-LAW",AL339="นิติศาสตร์",OR(K339="M2",K339="K4"),Y339="",AE339=""),EDATE(R339,12*2),AND(AO339="K5-LAW",AL339="นิติศาสตร์",OR(AE339="M2",AE339="K4"),AH339&gt;=2,OR(AG339&lt;AA339,AG339&lt;R339)),EDATE(AG339,12*2),AND(AO339="K5-LAW",AL339="นิติศาสตร์",AE339="S1",AH339&gt;=1,OR(AG339&lt;AA339,AG339&lt;R339)),EDATE(AG339,12),AND(AO339="K5-LAW",AL339="นิติศาสตร์",OR(Y339="M2",Y339="K4"),AB339&gt;=2,AA339&lt;R339),EDATE(AA339,12*2),AND(AO339="K5-LAW",AL339="นิติศาสตร์",Y339="S1",AB339&gt;=1,AA339&lt;R339),EDATE(AA339,12),AND(AO339="K5-LAW",AL339="นิติศาสตร์",OR(Y339="S2",Y339="K5")),AA339,AND(AO339="K5-LAW",AL339="นิติศาสตร์",OR(K339="M2",K339="K4"),U339&gt;=2),EDATE(R339,12*2),AND(AO339="K5-LAW",AL339="นิติศาสตร์",K339="S1",U339&gt;=1),EDATE(R339,12),AND(AO339="K5-LAW",AL339="นิติศาสตร์",OR(K339="S2",K339="K5")),R339,AND(AO339="K5-POLICY",AL339&lt;&gt;"นิติศาสตร์",K339="S2",Y339="",AE339=""),R339,AND(AO339="K5-POLICY",AL339&lt;&gt;"นิติศาสตร์",K339="S1",Y339="",AE339=""),EDATE(R339,12),AND(AO339="K5-POLICY",AL339&lt;&gt;"นิติศาสตร์",OR(K339="M2",K339="K4"),Y339="",AE339=""),EDATE(R339,12*2),AND(AO339="K5-POLICY",AL339&lt;&gt;"นิติศาสตร์",OR(AE339="M2",AE339="K4"),AH339&gt;=2,OR(AG339&lt;AA339,AG339&lt;R339)),EDATE(AG339,12*2),AND(AO339="K5-POLICY",AL339&lt;&gt;"นิติศาสตร์",AE339="S1",AH339&gt;=1,OR(AG339&lt;AA339,AG339&lt;R339)),EDATE(AG339,12),AND(AO339="K5-POLICY",AL339&lt;&gt;"นิติศาสตร์",OR(Y339="M2",Y339="K4"),AB339&gt;=2,AA339&lt;R339),EDATE(AA339,12*2),AND(AO339="K5-POLICY",AL339&lt;&gt;"นิติศาสตร์",Y339="S1",AB339&gt;=1,AA339&lt;R339),EDATE(AA339,12),AND(AO339="K5-POLICY",AL339&lt;&gt;"นิติศาสตร์",OR(Y339="S2",Y339="K5")),AA339,AND(AO339="K5-POLICY",AL339&lt;&gt;"นิติศาสตร์",OR(K339="M2",K339="K4"),U339&gt;=2),EDATE(R339,12*2),AND(AO339="K5-POLICY",AL339&lt;&gt;"นิติศาสตร์",K339="S1",U339&gt;=1),EDATE(R339,12),AND(AO339="K5-POLICY",AL339&lt;&gt;"นิติศาสตร์",OR(K339="S2",K339="K5")),R339,TRUE,"Check Data")</f>
        <v/>
      </c>
      <c r="AQ339" s="75" t="str">
        <f t="shared" si="163"/>
        <v>Check Data</v>
      </c>
      <c r="AR339" s="76" t="str">
        <f t="shared" si="164"/>
        <v>Check Data</v>
      </c>
      <c r="AS339" s="50" t="str">
        <f t="shared" si="165"/>
        <v>Check Data</v>
      </c>
      <c r="AT339" s="49" t="str">
        <f>IF(B339="","",IF(K339="S1","S1",INDEX(#REF!,#REF!)))</f>
        <v/>
      </c>
      <c r="AU339" s="49" t="str">
        <f t="shared" si="166"/>
        <v>K4</v>
      </c>
      <c r="AV339" s="50" t="b">
        <f t="shared" si="167"/>
        <v>0</v>
      </c>
    </row>
    <row r="340" spans="1:48" ht="21.75">
      <c r="A340" s="49">
        <v>338</v>
      </c>
      <c r="B340" s="50"/>
      <c r="C340" s="52"/>
      <c r="G340" s="50">
        <f t="shared" si="152"/>
        <v>0</v>
      </c>
      <c r="H340" s="50">
        <f t="shared" si="153"/>
        <v>0</v>
      </c>
      <c r="I340" s="50">
        <f t="shared" si="154"/>
        <v>0</v>
      </c>
      <c r="K340" s="49" t="s">
        <v>137</v>
      </c>
      <c r="L340" s="49" t="str">
        <f>IF(B340="","",IF(K340="S1",K340,INDEX(#REF!,#REF!)))</f>
        <v/>
      </c>
      <c r="M340" s="49" t="b">
        <f t="shared" si="155"/>
        <v>0</v>
      </c>
      <c r="Q340" s="65" t="s">
        <v>419</v>
      </c>
      <c r="R340" s="49" t="str">
        <f t="shared" si="156"/>
        <v>09/03/2023</v>
      </c>
      <c r="S340" s="49" t="str">
        <f>IF(B340="","",IF(K340="S1",K340,INDEX(#REF!,#REF!)))</f>
        <v/>
      </c>
      <c r="T340" s="49" t="b">
        <f t="shared" si="157"/>
        <v>0</v>
      </c>
      <c r="U340" s="68">
        <f t="shared" si="158"/>
        <v>2</v>
      </c>
      <c r="V340" s="68">
        <f t="shared" si="159"/>
        <v>3</v>
      </c>
      <c r="W340" s="68">
        <f t="shared" si="160"/>
        <v>11</v>
      </c>
      <c r="Y340" s="65"/>
      <c r="AM340" s="50" t="str">
        <f>IF(B340="","",IF(K340="S1",K340,INDEX(#REF!,#REF!)))</f>
        <v/>
      </c>
      <c r="AN340" s="50" t="b">
        <f t="shared" si="161"/>
        <v>1</v>
      </c>
      <c r="AO340" s="49" t="str">
        <f t="shared" si="162"/>
        <v>K5-POLICY</v>
      </c>
      <c r="AP340" s="72" t="str">
        <f>_xlfn.IFS(B340="","",AND(AO340="K5-LAW",AL340="นิติศาสตร์",K340="S2",Y340="",AE340=""),R340,AND(AO340="K5-LAW",AL340="นิติศาสตร์",K340="S1",Y340="",AE340=""),EDATE(R340,12),AND(AO340="K5-LAW",AL340="นิติศาสตร์",OR(K340="M2",K340="K4"),Y340="",AE340=""),EDATE(R340,12*2),AND(AO340="K5-LAW",AL340="นิติศาสตร์",OR(AE340="M2",AE340="K4"),AH340&gt;=2,OR(AG340&lt;AA340,AG340&lt;R340)),EDATE(AG340,12*2),AND(AO340="K5-LAW",AL340="นิติศาสตร์",AE340="S1",AH340&gt;=1,OR(AG340&lt;AA340,AG340&lt;R340)),EDATE(AG340,12),AND(AO340="K5-LAW",AL340="นิติศาสตร์",OR(Y340="M2",Y340="K4"),AB340&gt;=2,AA340&lt;R340),EDATE(AA340,12*2),AND(AO340="K5-LAW",AL340="นิติศาสตร์",Y340="S1",AB340&gt;=1,AA340&lt;R340),EDATE(AA340,12),AND(AO340="K5-LAW",AL340="นิติศาสตร์",OR(Y340="S2",Y340="K5")),AA340,AND(AO340="K5-LAW",AL340="นิติศาสตร์",OR(K340="M2",K340="K4"),U340&gt;=2),EDATE(R340,12*2),AND(AO340="K5-LAW",AL340="นิติศาสตร์",K340="S1",U340&gt;=1),EDATE(R340,12),AND(AO340="K5-LAW",AL340="นิติศาสตร์",OR(K340="S2",K340="K5")),R340,AND(AO340="K5-POLICY",AL340&lt;&gt;"นิติศาสตร์",K340="S2",Y340="",AE340=""),R340,AND(AO340="K5-POLICY",AL340&lt;&gt;"นิติศาสตร์",K340="S1",Y340="",AE340=""),EDATE(R340,12),AND(AO340="K5-POLICY",AL340&lt;&gt;"นิติศาสตร์",OR(K340="M2",K340="K4"),Y340="",AE340=""),EDATE(R340,12*2),AND(AO340="K5-POLICY",AL340&lt;&gt;"นิติศาสตร์",OR(AE340="M2",AE340="K4"),AH340&gt;=2,OR(AG340&lt;AA340,AG340&lt;R340)),EDATE(AG340,12*2),AND(AO340="K5-POLICY",AL340&lt;&gt;"นิติศาสตร์",AE340="S1",AH340&gt;=1,OR(AG340&lt;AA340,AG340&lt;R340)),EDATE(AG340,12),AND(AO340="K5-POLICY",AL340&lt;&gt;"นิติศาสตร์",OR(Y340="M2",Y340="K4"),AB340&gt;=2,AA340&lt;R340),EDATE(AA340,12*2),AND(AO340="K5-POLICY",AL340&lt;&gt;"นิติศาสตร์",Y340="S1",AB340&gt;=1,AA340&lt;R340),EDATE(AA340,12),AND(AO340="K5-POLICY",AL340&lt;&gt;"นิติศาสตร์",OR(Y340="S2",Y340="K5")),AA340,AND(AO340="K5-POLICY",AL340&lt;&gt;"นิติศาสตร์",OR(K340="M2",K340="K4"),U340&gt;=2),EDATE(R340,12*2),AND(AO340="K5-POLICY",AL340&lt;&gt;"นิติศาสตร์",K340="S1",U340&gt;=1),EDATE(R340,12),AND(AO340="K5-POLICY",AL340&lt;&gt;"นิติศาสตร์",OR(K340="S2",K340="K5")),R340,TRUE,"Check Data")</f>
        <v/>
      </c>
      <c r="AQ340" s="75" t="str">
        <f t="shared" si="163"/>
        <v>Check Data</v>
      </c>
      <c r="AR340" s="76" t="str">
        <f t="shared" si="164"/>
        <v>Check Data</v>
      </c>
      <c r="AS340" s="50" t="str">
        <f t="shared" si="165"/>
        <v>Check Data</v>
      </c>
      <c r="AT340" s="49" t="str">
        <f>IF(B340="","",IF(K340="S1","S1",INDEX(#REF!,#REF!)))</f>
        <v/>
      </c>
      <c r="AU340" s="49" t="str">
        <f t="shared" si="166"/>
        <v>K4</v>
      </c>
      <c r="AV340" s="50" t="b">
        <f t="shared" si="167"/>
        <v>0</v>
      </c>
    </row>
    <row r="341" spans="1:48" ht="21.75">
      <c r="A341" s="49">
        <v>339</v>
      </c>
      <c r="B341" s="50"/>
      <c r="C341" s="52"/>
      <c r="G341" s="50">
        <f t="shared" si="152"/>
        <v>0</v>
      </c>
      <c r="H341" s="50">
        <f t="shared" si="153"/>
        <v>0</v>
      </c>
      <c r="I341" s="50">
        <f t="shared" si="154"/>
        <v>0</v>
      </c>
      <c r="K341" s="49" t="s">
        <v>137</v>
      </c>
      <c r="L341" s="49" t="str">
        <f>IF(B341="","",IF(K341="S1",K341,INDEX(#REF!,#REF!)))</f>
        <v/>
      </c>
      <c r="M341" s="49" t="b">
        <f t="shared" si="155"/>
        <v>0</v>
      </c>
      <c r="Q341" s="65" t="s">
        <v>410</v>
      </c>
      <c r="R341" s="49" t="str">
        <f t="shared" si="156"/>
        <v>14/07/2023</v>
      </c>
      <c r="S341" s="49" t="str">
        <f>IF(B341="","",IF(K341="S1",K341,INDEX(#REF!,#REF!)))</f>
        <v/>
      </c>
      <c r="T341" s="49" t="b">
        <f t="shared" si="157"/>
        <v>0</v>
      </c>
      <c r="U341" s="68">
        <f t="shared" si="158"/>
        <v>1</v>
      </c>
      <c r="V341" s="68">
        <f t="shared" si="159"/>
        <v>11</v>
      </c>
      <c r="W341" s="68">
        <f t="shared" si="160"/>
        <v>6</v>
      </c>
      <c r="Y341" s="65"/>
      <c r="AM341" s="50" t="str">
        <f>IF(B341="","",IF(K341="S1",K341,INDEX(#REF!,#REF!)))</f>
        <v/>
      </c>
      <c r="AN341" s="50" t="b">
        <f t="shared" si="161"/>
        <v>1</v>
      </c>
      <c r="AO341" s="49" t="str">
        <f t="shared" si="162"/>
        <v>K5-POLICY</v>
      </c>
      <c r="AP341" s="72" t="str">
        <f>_xlfn.IFS(B341="","",AND(AO341="K5-LAW",AL341="นิติศาสตร์",K341="S2",Y341="",AE341=""),R341,AND(AO341="K5-LAW",AL341="นิติศาสตร์",K341="S1",Y341="",AE341=""),EDATE(R341,12),AND(AO341="K5-LAW",AL341="นิติศาสตร์",OR(K341="M2",K341="K4"),Y341="",AE341=""),EDATE(R341,12*2),AND(AO341="K5-LAW",AL341="นิติศาสตร์",OR(AE341="M2",AE341="K4"),AH341&gt;=2,OR(AG341&lt;AA341,AG341&lt;R341)),EDATE(AG341,12*2),AND(AO341="K5-LAW",AL341="นิติศาสตร์",AE341="S1",AH341&gt;=1,OR(AG341&lt;AA341,AG341&lt;R341)),EDATE(AG341,12),AND(AO341="K5-LAW",AL341="นิติศาสตร์",OR(Y341="M2",Y341="K4"),AB341&gt;=2,AA341&lt;R341),EDATE(AA341,12*2),AND(AO341="K5-LAW",AL341="นิติศาสตร์",Y341="S1",AB341&gt;=1,AA341&lt;R341),EDATE(AA341,12),AND(AO341="K5-LAW",AL341="นิติศาสตร์",OR(Y341="S2",Y341="K5")),AA341,AND(AO341="K5-LAW",AL341="นิติศาสตร์",OR(K341="M2",K341="K4"),U341&gt;=2),EDATE(R341,12*2),AND(AO341="K5-LAW",AL341="นิติศาสตร์",K341="S1",U341&gt;=1),EDATE(R341,12),AND(AO341="K5-LAW",AL341="นิติศาสตร์",OR(K341="S2",K341="K5")),R341,AND(AO341="K5-POLICY",AL341&lt;&gt;"นิติศาสตร์",K341="S2",Y341="",AE341=""),R341,AND(AO341="K5-POLICY",AL341&lt;&gt;"นิติศาสตร์",K341="S1",Y341="",AE341=""),EDATE(R341,12),AND(AO341="K5-POLICY",AL341&lt;&gt;"นิติศาสตร์",OR(K341="M2",K341="K4"),Y341="",AE341=""),EDATE(R341,12*2),AND(AO341="K5-POLICY",AL341&lt;&gt;"นิติศาสตร์",OR(AE341="M2",AE341="K4"),AH341&gt;=2,OR(AG341&lt;AA341,AG341&lt;R341)),EDATE(AG341,12*2),AND(AO341="K5-POLICY",AL341&lt;&gt;"นิติศาสตร์",AE341="S1",AH341&gt;=1,OR(AG341&lt;AA341,AG341&lt;R341)),EDATE(AG341,12),AND(AO341="K5-POLICY",AL341&lt;&gt;"นิติศาสตร์",OR(Y341="M2",Y341="K4"),AB341&gt;=2,AA341&lt;R341),EDATE(AA341,12*2),AND(AO341="K5-POLICY",AL341&lt;&gt;"นิติศาสตร์",Y341="S1",AB341&gt;=1,AA341&lt;R341),EDATE(AA341,12),AND(AO341="K5-POLICY",AL341&lt;&gt;"นิติศาสตร์",OR(Y341="S2",Y341="K5")),AA341,AND(AO341="K5-POLICY",AL341&lt;&gt;"นิติศาสตร์",OR(K341="M2",K341="K4"),U341&gt;=2),EDATE(R341,12*2),AND(AO341="K5-POLICY",AL341&lt;&gt;"นิติศาสตร์",K341="S1",U341&gt;=1),EDATE(R341,12),AND(AO341="K5-POLICY",AL341&lt;&gt;"นิติศาสตร์",OR(K341="S2",K341="K5")),R341,TRUE,"Check Data")</f>
        <v/>
      </c>
      <c r="AQ341" s="75" t="str">
        <f t="shared" si="163"/>
        <v>Check Data</v>
      </c>
      <c r="AR341" s="76" t="str">
        <f t="shared" si="164"/>
        <v>Check Data</v>
      </c>
      <c r="AS341" s="50" t="str">
        <f t="shared" si="165"/>
        <v>Check Data</v>
      </c>
      <c r="AT341" s="49" t="str">
        <f>IF(B341="","",IF(K341="S1","S1",INDEX(#REF!,#REF!)))</f>
        <v/>
      </c>
      <c r="AU341" s="49" t="str">
        <f t="shared" si="166"/>
        <v>K4</v>
      </c>
      <c r="AV341" s="50" t="b">
        <f t="shared" si="167"/>
        <v>0</v>
      </c>
    </row>
    <row r="342" spans="1:48" ht="21.75">
      <c r="A342" s="49">
        <v>340</v>
      </c>
      <c r="B342" s="50"/>
      <c r="C342" s="52"/>
      <c r="G342" s="50">
        <f t="shared" si="152"/>
        <v>0</v>
      </c>
      <c r="H342" s="50">
        <f t="shared" si="153"/>
        <v>0</v>
      </c>
      <c r="I342" s="50">
        <f t="shared" si="154"/>
        <v>0</v>
      </c>
      <c r="K342" s="49" t="s">
        <v>137</v>
      </c>
      <c r="L342" s="49" t="str">
        <f>IF(B342="","",IF(K342="S1",K342,INDEX(#REF!,#REF!)))</f>
        <v/>
      </c>
      <c r="M342" s="49" t="b">
        <f t="shared" si="155"/>
        <v>0</v>
      </c>
      <c r="Q342" s="65" t="s">
        <v>446</v>
      </c>
      <c r="R342" s="49" t="str">
        <f t="shared" si="156"/>
        <v>20/07/2023</v>
      </c>
      <c r="S342" s="49" t="str">
        <f>IF(B342="","",IF(K342="S1",K342,INDEX(#REF!,#REF!)))</f>
        <v/>
      </c>
      <c r="T342" s="49" t="b">
        <f t="shared" si="157"/>
        <v>0</v>
      </c>
      <c r="U342" s="68">
        <f t="shared" si="158"/>
        <v>1</v>
      </c>
      <c r="V342" s="68">
        <f t="shared" si="159"/>
        <v>11</v>
      </c>
      <c r="W342" s="68">
        <f t="shared" si="160"/>
        <v>0</v>
      </c>
      <c r="Y342" s="65"/>
      <c r="AM342" s="50" t="str">
        <f>IF(B342="","",IF(K342="S1",K342,INDEX(#REF!,#REF!)))</f>
        <v/>
      </c>
      <c r="AN342" s="50" t="b">
        <f t="shared" si="161"/>
        <v>1</v>
      </c>
      <c r="AO342" s="49" t="str">
        <f t="shared" si="162"/>
        <v>K5-POLICY</v>
      </c>
      <c r="AP342" s="72" t="str">
        <f>_xlfn.IFS(B342="","",AND(AO342="K5-LAW",AL342="นิติศาสตร์",K342="S2",Y342="",AE342=""),R342,AND(AO342="K5-LAW",AL342="นิติศาสตร์",K342="S1",Y342="",AE342=""),EDATE(R342,12),AND(AO342="K5-LAW",AL342="นิติศาสตร์",OR(K342="M2",K342="K4"),Y342="",AE342=""),EDATE(R342,12*2),AND(AO342="K5-LAW",AL342="นิติศาสตร์",OR(AE342="M2",AE342="K4"),AH342&gt;=2,OR(AG342&lt;AA342,AG342&lt;R342)),EDATE(AG342,12*2),AND(AO342="K5-LAW",AL342="นิติศาสตร์",AE342="S1",AH342&gt;=1,OR(AG342&lt;AA342,AG342&lt;R342)),EDATE(AG342,12),AND(AO342="K5-LAW",AL342="นิติศาสตร์",OR(Y342="M2",Y342="K4"),AB342&gt;=2,AA342&lt;R342),EDATE(AA342,12*2),AND(AO342="K5-LAW",AL342="นิติศาสตร์",Y342="S1",AB342&gt;=1,AA342&lt;R342),EDATE(AA342,12),AND(AO342="K5-LAW",AL342="นิติศาสตร์",OR(Y342="S2",Y342="K5")),AA342,AND(AO342="K5-LAW",AL342="นิติศาสตร์",OR(K342="M2",K342="K4"),U342&gt;=2),EDATE(R342,12*2),AND(AO342="K5-LAW",AL342="นิติศาสตร์",K342="S1",U342&gt;=1),EDATE(R342,12),AND(AO342="K5-LAW",AL342="นิติศาสตร์",OR(K342="S2",K342="K5")),R342,AND(AO342="K5-POLICY",AL342&lt;&gt;"นิติศาสตร์",K342="S2",Y342="",AE342=""),R342,AND(AO342="K5-POLICY",AL342&lt;&gt;"นิติศาสตร์",K342="S1",Y342="",AE342=""),EDATE(R342,12),AND(AO342="K5-POLICY",AL342&lt;&gt;"นิติศาสตร์",OR(K342="M2",K342="K4"),Y342="",AE342=""),EDATE(R342,12*2),AND(AO342="K5-POLICY",AL342&lt;&gt;"นิติศาสตร์",OR(AE342="M2",AE342="K4"),AH342&gt;=2,OR(AG342&lt;AA342,AG342&lt;R342)),EDATE(AG342,12*2),AND(AO342="K5-POLICY",AL342&lt;&gt;"นิติศาสตร์",AE342="S1",AH342&gt;=1,OR(AG342&lt;AA342,AG342&lt;R342)),EDATE(AG342,12),AND(AO342="K5-POLICY",AL342&lt;&gt;"นิติศาสตร์",OR(Y342="M2",Y342="K4"),AB342&gt;=2,AA342&lt;R342),EDATE(AA342,12*2),AND(AO342="K5-POLICY",AL342&lt;&gt;"นิติศาสตร์",Y342="S1",AB342&gt;=1,AA342&lt;R342),EDATE(AA342,12),AND(AO342="K5-POLICY",AL342&lt;&gt;"นิติศาสตร์",OR(Y342="S2",Y342="K5")),AA342,AND(AO342="K5-POLICY",AL342&lt;&gt;"นิติศาสตร์",OR(K342="M2",K342="K4"),U342&gt;=2),EDATE(R342,12*2),AND(AO342="K5-POLICY",AL342&lt;&gt;"นิติศาสตร์",K342="S1",U342&gt;=1),EDATE(R342,12),AND(AO342="K5-POLICY",AL342&lt;&gt;"นิติศาสตร์",OR(K342="S2",K342="K5")),R342,TRUE,"Check Data")</f>
        <v/>
      </c>
      <c r="AQ342" s="75" t="str">
        <f t="shared" si="163"/>
        <v>Check Data</v>
      </c>
      <c r="AR342" s="76" t="str">
        <f t="shared" si="164"/>
        <v>Check Data</v>
      </c>
      <c r="AS342" s="50" t="str">
        <f t="shared" si="165"/>
        <v>Check Data</v>
      </c>
      <c r="AT342" s="49" t="str">
        <f>IF(B342="","",IF(K342="S1","S1",INDEX(#REF!,#REF!)))</f>
        <v/>
      </c>
      <c r="AU342" s="49" t="str">
        <f t="shared" si="166"/>
        <v>K4</v>
      </c>
      <c r="AV342" s="50" t="b">
        <f t="shared" si="167"/>
        <v>0</v>
      </c>
    </row>
    <row r="343" spans="1:48" ht="21.75">
      <c r="A343" s="49">
        <v>341</v>
      </c>
      <c r="B343" s="50"/>
      <c r="C343" s="52"/>
      <c r="G343" s="50">
        <f t="shared" si="152"/>
        <v>0</v>
      </c>
      <c r="H343" s="50">
        <f t="shared" si="153"/>
        <v>0</v>
      </c>
      <c r="I343" s="50">
        <f t="shared" si="154"/>
        <v>0</v>
      </c>
      <c r="K343" s="49" t="s">
        <v>137</v>
      </c>
      <c r="L343" s="49" t="str">
        <f>IF(B343="","",IF(K343="S1",K343,INDEX(#REF!,#REF!)))</f>
        <v/>
      </c>
      <c r="M343" s="49" t="b">
        <f t="shared" si="155"/>
        <v>0</v>
      </c>
      <c r="Q343" s="65" t="s">
        <v>436</v>
      </c>
      <c r="R343" s="49" t="str">
        <f t="shared" si="156"/>
        <v>21/09/2023</v>
      </c>
      <c r="S343" s="49" t="str">
        <f>IF(B343="","",IF(K343="S1",K343,INDEX(#REF!,#REF!)))</f>
        <v/>
      </c>
      <c r="T343" s="49" t="b">
        <f t="shared" si="157"/>
        <v>0</v>
      </c>
      <c r="U343" s="68">
        <f t="shared" si="158"/>
        <v>1</v>
      </c>
      <c r="V343" s="68">
        <f t="shared" si="159"/>
        <v>8</v>
      </c>
      <c r="W343" s="68">
        <f t="shared" si="160"/>
        <v>30</v>
      </c>
      <c r="Y343" s="65"/>
      <c r="AM343" s="50" t="str">
        <f>IF(B343="","",IF(K343="S1",K343,INDEX(#REF!,#REF!)))</f>
        <v/>
      </c>
      <c r="AN343" s="50" t="b">
        <f t="shared" si="161"/>
        <v>1</v>
      </c>
      <c r="AO343" s="49" t="str">
        <f t="shared" si="162"/>
        <v>K5-POLICY</v>
      </c>
      <c r="AP343" s="72" t="str">
        <f>_xlfn.IFS(B343="","",AND(AO343="K5-LAW",AL343="นิติศาสตร์",K343="S2",Y343="",AE343=""),R343,AND(AO343="K5-LAW",AL343="นิติศาสตร์",K343="S1",Y343="",AE343=""),EDATE(R343,12),AND(AO343="K5-LAW",AL343="นิติศาสตร์",OR(K343="M2",K343="K4"),Y343="",AE343=""),EDATE(R343,12*2),AND(AO343="K5-LAW",AL343="นิติศาสตร์",OR(AE343="M2",AE343="K4"),AH343&gt;=2,OR(AG343&lt;AA343,AG343&lt;R343)),EDATE(AG343,12*2),AND(AO343="K5-LAW",AL343="นิติศาสตร์",AE343="S1",AH343&gt;=1,OR(AG343&lt;AA343,AG343&lt;R343)),EDATE(AG343,12),AND(AO343="K5-LAW",AL343="นิติศาสตร์",OR(Y343="M2",Y343="K4"),AB343&gt;=2,AA343&lt;R343),EDATE(AA343,12*2),AND(AO343="K5-LAW",AL343="นิติศาสตร์",Y343="S1",AB343&gt;=1,AA343&lt;R343),EDATE(AA343,12),AND(AO343="K5-LAW",AL343="นิติศาสตร์",OR(Y343="S2",Y343="K5")),AA343,AND(AO343="K5-LAW",AL343="นิติศาสตร์",OR(K343="M2",K343="K4"),U343&gt;=2),EDATE(R343,12*2),AND(AO343="K5-LAW",AL343="นิติศาสตร์",K343="S1",U343&gt;=1),EDATE(R343,12),AND(AO343="K5-LAW",AL343="นิติศาสตร์",OR(K343="S2",K343="K5")),R343,AND(AO343="K5-POLICY",AL343&lt;&gt;"นิติศาสตร์",K343="S2",Y343="",AE343=""),R343,AND(AO343="K5-POLICY",AL343&lt;&gt;"นิติศาสตร์",K343="S1",Y343="",AE343=""),EDATE(R343,12),AND(AO343="K5-POLICY",AL343&lt;&gt;"นิติศาสตร์",OR(K343="M2",K343="K4"),Y343="",AE343=""),EDATE(R343,12*2),AND(AO343="K5-POLICY",AL343&lt;&gt;"นิติศาสตร์",OR(AE343="M2",AE343="K4"),AH343&gt;=2,OR(AG343&lt;AA343,AG343&lt;R343)),EDATE(AG343,12*2),AND(AO343="K5-POLICY",AL343&lt;&gt;"นิติศาสตร์",AE343="S1",AH343&gt;=1,OR(AG343&lt;AA343,AG343&lt;R343)),EDATE(AG343,12),AND(AO343="K5-POLICY",AL343&lt;&gt;"นิติศาสตร์",OR(Y343="M2",Y343="K4"),AB343&gt;=2,AA343&lt;R343),EDATE(AA343,12*2),AND(AO343="K5-POLICY",AL343&lt;&gt;"นิติศาสตร์",Y343="S1",AB343&gt;=1,AA343&lt;R343),EDATE(AA343,12),AND(AO343="K5-POLICY",AL343&lt;&gt;"นิติศาสตร์",OR(Y343="S2",Y343="K5")),AA343,AND(AO343="K5-POLICY",AL343&lt;&gt;"นิติศาสตร์",OR(K343="M2",K343="K4"),U343&gt;=2),EDATE(R343,12*2),AND(AO343="K5-POLICY",AL343&lt;&gt;"นิติศาสตร์",K343="S1",U343&gt;=1),EDATE(R343,12),AND(AO343="K5-POLICY",AL343&lt;&gt;"นิติศาสตร์",OR(K343="S2",K343="K5")),R343,TRUE,"Check Data")</f>
        <v/>
      </c>
      <c r="AQ343" s="75" t="str">
        <f t="shared" si="163"/>
        <v>Check Data</v>
      </c>
      <c r="AR343" s="76" t="str">
        <f t="shared" si="164"/>
        <v>Check Data</v>
      </c>
      <c r="AS343" s="50" t="str">
        <f t="shared" si="165"/>
        <v>Check Data</v>
      </c>
      <c r="AT343" s="49" t="str">
        <f>IF(B343="","",IF(K343="S1","S1",INDEX(#REF!,#REF!)))</f>
        <v/>
      </c>
      <c r="AU343" s="49" t="str">
        <f t="shared" si="166"/>
        <v>K4</v>
      </c>
      <c r="AV343" s="50" t="b">
        <f t="shared" si="167"/>
        <v>0</v>
      </c>
    </row>
    <row r="344" spans="1:48" ht="21.75">
      <c r="A344" s="49">
        <v>342</v>
      </c>
      <c r="B344" s="50"/>
      <c r="C344" s="52"/>
      <c r="G344" s="50">
        <f t="shared" si="152"/>
        <v>0</v>
      </c>
      <c r="H344" s="50">
        <f t="shared" si="153"/>
        <v>0</v>
      </c>
      <c r="I344" s="50">
        <f t="shared" si="154"/>
        <v>0</v>
      </c>
      <c r="K344" s="49" t="s">
        <v>137</v>
      </c>
      <c r="L344" s="49" t="str">
        <f>IF(B344="","",IF(K344="S1",K344,INDEX(#REF!,#REF!)))</f>
        <v/>
      </c>
      <c r="M344" s="49" t="b">
        <f t="shared" si="155"/>
        <v>0</v>
      </c>
      <c r="Q344" s="65" t="s">
        <v>436</v>
      </c>
      <c r="R344" s="49" t="str">
        <f t="shared" si="156"/>
        <v>21/09/2023</v>
      </c>
      <c r="S344" s="49" t="str">
        <f>IF(B344="","",IF(K344="S1",K344,INDEX(#REF!,#REF!)))</f>
        <v/>
      </c>
      <c r="T344" s="49" t="b">
        <f t="shared" si="157"/>
        <v>0</v>
      </c>
      <c r="U344" s="68">
        <f t="shared" si="158"/>
        <v>1</v>
      </c>
      <c r="V344" s="68">
        <f t="shared" si="159"/>
        <v>8</v>
      </c>
      <c r="W344" s="68">
        <f t="shared" si="160"/>
        <v>30</v>
      </c>
      <c r="Y344" s="65"/>
      <c r="AM344" s="50" t="str">
        <f>IF(B344="","",IF(K344="S1",K344,INDEX(#REF!,#REF!)))</f>
        <v/>
      </c>
      <c r="AN344" s="50" t="b">
        <f t="shared" si="161"/>
        <v>1</v>
      </c>
      <c r="AO344" s="49" t="str">
        <f t="shared" si="162"/>
        <v>K5-POLICY</v>
      </c>
      <c r="AP344" s="72" t="str">
        <f>_xlfn.IFS(B344="","",AND(AO344="K5-LAW",AL344="นิติศาสตร์",K344="S2",Y344="",AE344=""),R344,AND(AO344="K5-LAW",AL344="นิติศาสตร์",K344="S1",Y344="",AE344=""),EDATE(R344,12),AND(AO344="K5-LAW",AL344="นิติศาสตร์",OR(K344="M2",K344="K4"),Y344="",AE344=""),EDATE(R344,12*2),AND(AO344="K5-LAW",AL344="นิติศาสตร์",OR(AE344="M2",AE344="K4"),AH344&gt;=2,OR(AG344&lt;AA344,AG344&lt;R344)),EDATE(AG344,12*2),AND(AO344="K5-LAW",AL344="นิติศาสตร์",AE344="S1",AH344&gt;=1,OR(AG344&lt;AA344,AG344&lt;R344)),EDATE(AG344,12),AND(AO344="K5-LAW",AL344="นิติศาสตร์",OR(Y344="M2",Y344="K4"),AB344&gt;=2,AA344&lt;R344),EDATE(AA344,12*2),AND(AO344="K5-LAW",AL344="นิติศาสตร์",Y344="S1",AB344&gt;=1,AA344&lt;R344),EDATE(AA344,12),AND(AO344="K5-LAW",AL344="นิติศาสตร์",OR(Y344="S2",Y344="K5")),AA344,AND(AO344="K5-LAW",AL344="นิติศาสตร์",OR(K344="M2",K344="K4"),U344&gt;=2),EDATE(R344,12*2),AND(AO344="K5-LAW",AL344="นิติศาสตร์",K344="S1",U344&gt;=1),EDATE(R344,12),AND(AO344="K5-LAW",AL344="นิติศาสตร์",OR(K344="S2",K344="K5")),R344,AND(AO344="K5-POLICY",AL344&lt;&gt;"นิติศาสตร์",K344="S2",Y344="",AE344=""),R344,AND(AO344="K5-POLICY",AL344&lt;&gt;"นิติศาสตร์",K344="S1",Y344="",AE344=""),EDATE(R344,12),AND(AO344="K5-POLICY",AL344&lt;&gt;"นิติศาสตร์",OR(K344="M2",K344="K4"),Y344="",AE344=""),EDATE(R344,12*2),AND(AO344="K5-POLICY",AL344&lt;&gt;"นิติศาสตร์",OR(AE344="M2",AE344="K4"),AH344&gt;=2,OR(AG344&lt;AA344,AG344&lt;R344)),EDATE(AG344,12*2),AND(AO344="K5-POLICY",AL344&lt;&gt;"นิติศาสตร์",AE344="S1",AH344&gt;=1,OR(AG344&lt;AA344,AG344&lt;R344)),EDATE(AG344,12),AND(AO344="K5-POLICY",AL344&lt;&gt;"นิติศาสตร์",OR(Y344="M2",Y344="K4"),AB344&gt;=2,AA344&lt;R344),EDATE(AA344,12*2),AND(AO344="K5-POLICY",AL344&lt;&gt;"นิติศาสตร์",Y344="S1",AB344&gt;=1,AA344&lt;R344),EDATE(AA344,12),AND(AO344="K5-POLICY",AL344&lt;&gt;"นิติศาสตร์",OR(Y344="S2",Y344="K5")),AA344,AND(AO344="K5-POLICY",AL344&lt;&gt;"นิติศาสตร์",OR(K344="M2",K344="K4"),U344&gt;=2),EDATE(R344,12*2),AND(AO344="K5-POLICY",AL344&lt;&gt;"นิติศาสตร์",K344="S1",U344&gt;=1),EDATE(R344,12),AND(AO344="K5-POLICY",AL344&lt;&gt;"นิติศาสตร์",OR(K344="S2",K344="K5")),R344,TRUE,"Check Data")</f>
        <v/>
      </c>
      <c r="AQ344" s="75" t="str">
        <f t="shared" si="163"/>
        <v>Check Data</v>
      </c>
      <c r="AR344" s="76" t="str">
        <f t="shared" si="164"/>
        <v>Check Data</v>
      </c>
      <c r="AS344" s="50" t="str">
        <f t="shared" si="165"/>
        <v>Check Data</v>
      </c>
      <c r="AT344" s="49" t="str">
        <f>IF(B344="","",IF(K344="S1","S1",INDEX(#REF!,#REF!)))</f>
        <v/>
      </c>
      <c r="AU344" s="49" t="str">
        <f t="shared" si="166"/>
        <v>K4</v>
      </c>
      <c r="AV344" s="50" t="b">
        <f t="shared" si="167"/>
        <v>0</v>
      </c>
    </row>
    <row r="345" spans="1:48" ht="21.75">
      <c r="A345" s="49">
        <v>343</v>
      </c>
      <c r="B345" s="50"/>
      <c r="C345" s="52"/>
      <c r="G345" s="50">
        <f t="shared" si="152"/>
        <v>0</v>
      </c>
      <c r="H345" s="50">
        <f t="shared" si="153"/>
        <v>0</v>
      </c>
      <c r="I345" s="50">
        <f t="shared" si="154"/>
        <v>0</v>
      </c>
      <c r="K345" s="49" t="s">
        <v>137</v>
      </c>
      <c r="L345" s="49" t="str">
        <f>IF(B345="","",IF(K345="S1",K345,INDEX(#REF!,#REF!)))</f>
        <v/>
      </c>
      <c r="M345" s="49" t="b">
        <f t="shared" si="155"/>
        <v>0</v>
      </c>
      <c r="Q345" s="65" t="s">
        <v>437</v>
      </c>
      <c r="R345" s="49" t="str">
        <f t="shared" si="156"/>
        <v>02/10/2023</v>
      </c>
      <c r="S345" s="49" t="str">
        <f>IF(B345="","",IF(K345="S1",K345,INDEX(#REF!,#REF!)))</f>
        <v/>
      </c>
      <c r="T345" s="49" t="b">
        <f t="shared" si="157"/>
        <v>0</v>
      </c>
      <c r="U345" s="68">
        <f t="shared" si="158"/>
        <v>1</v>
      </c>
      <c r="V345" s="68">
        <f t="shared" si="159"/>
        <v>8</v>
      </c>
      <c r="W345" s="68">
        <f t="shared" si="160"/>
        <v>18</v>
      </c>
      <c r="Y345" s="65"/>
      <c r="AM345" s="50" t="str">
        <f>IF(B345="","",IF(K345="S1",K345,INDEX(#REF!,#REF!)))</f>
        <v/>
      </c>
      <c r="AN345" s="50" t="b">
        <f t="shared" si="161"/>
        <v>1</v>
      </c>
      <c r="AO345" s="49" t="str">
        <f t="shared" si="162"/>
        <v>K5-POLICY</v>
      </c>
      <c r="AP345" s="72" t="str">
        <f>_xlfn.IFS(B345="","",AND(AO345="K5-LAW",AL345="นิติศาสตร์",K345="S2",Y345="",AE345=""),R345,AND(AO345="K5-LAW",AL345="นิติศาสตร์",K345="S1",Y345="",AE345=""),EDATE(R345,12),AND(AO345="K5-LAW",AL345="นิติศาสตร์",OR(K345="M2",K345="K4"),Y345="",AE345=""),EDATE(R345,12*2),AND(AO345="K5-LAW",AL345="นิติศาสตร์",OR(AE345="M2",AE345="K4"),AH345&gt;=2,OR(AG345&lt;AA345,AG345&lt;R345)),EDATE(AG345,12*2),AND(AO345="K5-LAW",AL345="นิติศาสตร์",AE345="S1",AH345&gt;=1,OR(AG345&lt;AA345,AG345&lt;R345)),EDATE(AG345,12),AND(AO345="K5-LAW",AL345="นิติศาสตร์",OR(Y345="M2",Y345="K4"),AB345&gt;=2,AA345&lt;R345),EDATE(AA345,12*2),AND(AO345="K5-LAW",AL345="นิติศาสตร์",Y345="S1",AB345&gt;=1,AA345&lt;R345),EDATE(AA345,12),AND(AO345="K5-LAW",AL345="นิติศาสตร์",OR(Y345="S2",Y345="K5")),AA345,AND(AO345="K5-LAW",AL345="นิติศาสตร์",OR(K345="M2",K345="K4"),U345&gt;=2),EDATE(R345,12*2),AND(AO345="K5-LAW",AL345="นิติศาสตร์",K345="S1",U345&gt;=1),EDATE(R345,12),AND(AO345="K5-LAW",AL345="นิติศาสตร์",OR(K345="S2",K345="K5")),R345,AND(AO345="K5-POLICY",AL345&lt;&gt;"นิติศาสตร์",K345="S2",Y345="",AE345=""),R345,AND(AO345="K5-POLICY",AL345&lt;&gt;"นิติศาสตร์",K345="S1",Y345="",AE345=""),EDATE(R345,12),AND(AO345="K5-POLICY",AL345&lt;&gt;"นิติศาสตร์",OR(K345="M2",K345="K4"),Y345="",AE345=""),EDATE(R345,12*2),AND(AO345="K5-POLICY",AL345&lt;&gt;"นิติศาสตร์",OR(AE345="M2",AE345="K4"),AH345&gt;=2,OR(AG345&lt;AA345,AG345&lt;R345)),EDATE(AG345,12*2),AND(AO345="K5-POLICY",AL345&lt;&gt;"นิติศาสตร์",AE345="S1",AH345&gt;=1,OR(AG345&lt;AA345,AG345&lt;R345)),EDATE(AG345,12),AND(AO345="K5-POLICY",AL345&lt;&gt;"นิติศาสตร์",OR(Y345="M2",Y345="K4"),AB345&gt;=2,AA345&lt;R345),EDATE(AA345,12*2),AND(AO345="K5-POLICY",AL345&lt;&gt;"นิติศาสตร์",Y345="S1",AB345&gt;=1,AA345&lt;R345),EDATE(AA345,12),AND(AO345="K5-POLICY",AL345&lt;&gt;"นิติศาสตร์",OR(Y345="S2",Y345="K5")),AA345,AND(AO345="K5-POLICY",AL345&lt;&gt;"นิติศาสตร์",OR(K345="M2",K345="K4"),U345&gt;=2),EDATE(R345,12*2),AND(AO345="K5-POLICY",AL345&lt;&gt;"นิติศาสตร์",K345="S1",U345&gt;=1),EDATE(R345,12),AND(AO345="K5-POLICY",AL345&lt;&gt;"นิติศาสตร์",OR(K345="S2",K345="K5")),R345,TRUE,"Check Data")</f>
        <v/>
      </c>
      <c r="AQ345" s="75" t="str">
        <f t="shared" si="163"/>
        <v>Check Data</v>
      </c>
      <c r="AR345" s="76" t="str">
        <f t="shared" si="164"/>
        <v>Check Data</v>
      </c>
      <c r="AS345" s="50" t="str">
        <f t="shared" si="165"/>
        <v>Check Data</v>
      </c>
      <c r="AT345" s="49" t="str">
        <f>IF(B345="","",IF(K345="S1","S1",INDEX(#REF!,#REF!)))</f>
        <v/>
      </c>
      <c r="AU345" s="49" t="str">
        <f t="shared" si="166"/>
        <v>K4</v>
      </c>
      <c r="AV345" s="50" t="b">
        <f t="shared" si="167"/>
        <v>0</v>
      </c>
    </row>
    <row r="346" spans="1:48" ht="21.75">
      <c r="A346" s="49">
        <v>344</v>
      </c>
      <c r="B346" s="50"/>
      <c r="C346" s="52"/>
      <c r="G346" s="50">
        <f t="shared" si="152"/>
        <v>0</v>
      </c>
      <c r="H346" s="50">
        <f t="shared" si="153"/>
        <v>0</v>
      </c>
      <c r="I346" s="50">
        <f t="shared" si="154"/>
        <v>0</v>
      </c>
      <c r="K346" s="49" t="s">
        <v>137</v>
      </c>
      <c r="L346" s="49" t="str">
        <f>IF(B346="","",IF(K346="S1",K346,INDEX(#REF!,#REF!)))</f>
        <v/>
      </c>
      <c r="M346" s="49" t="b">
        <f t="shared" si="155"/>
        <v>0</v>
      </c>
      <c r="Q346" s="65" t="s">
        <v>439</v>
      </c>
      <c r="R346" s="49" t="str">
        <f t="shared" si="156"/>
        <v>30/01/2024</v>
      </c>
      <c r="S346" s="49" t="str">
        <f>IF(B346="","",IF(K346="S1",K346,INDEX(#REF!,#REF!)))</f>
        <v/>
      </c>
      <c r="T346" s="49" t="b">
        <f t="shared" si="157"/>
        <v>0</v>
      </c>
      <c r="U346" s="68">
        <f t="shared" si="158"/>
        <v>1</v>
      </c>
      <c r="V346" s="68">
        <f t="shared" si="159"/>
        <v>4</v>
      </c>
      <c r="W346" s="68">
        <f t="shared" si="160"/>
        <v>21</v>
      </c>
      <c r="Y346" s="65"/>
      <c r="AM346" s="50" t="str">
        <f>IF(B346="","",IF(K346="S1",K346,INDEX(#REF!,#REF!)))</f>
        <v/>
      </c>
      <c r="AN346" s="50" t="b">
        <f t="shared" si="161"/>
        <v>1</v>
      </c>
      <c r="AO346" s="49" t="str">
        <f t="shared" si="162"/>
        <v>K5-POLICY</v>
      </c>
      <c r="AP346" s="72" t="str">
        <f>_xlfn.IFS(B346="","",AND(AO346="K5-LAW",AL346="นิติศาสตร์",K346="S2",Y346="",AE346=""),R346,AND(AO346="K5-LAW",AL346="นิติศาสตร์",K346="S1",Y346="",AE346=""),EDATE(R346,12),AND(AO346="K5-LAW",AL346="นิติศาสตร์",OR(K346="M2",K346="K4"),Y346="",AE346=""),EDATE(R346,12*2),AND(AO346="K5-LAW",AL346="นิติศาสตร์",OR(AE346="M2",AE346="K4"),AH346&gt;=2,OR(AG346&lt;AA346,AG346&lt;R346)),EDATE(AG346,12*2),AND(AO346="K5-LAW",AL346="นิติศาสตร์",AE346="S1",AH346&gt;=1,OR(AG346&lt;AA346,AG346&lt;R346)),EDATE(AG346,12),AND(AO346="K5-LAW",AL346="นิติศาสตร์",OR(Y346="M2",Y346="K4"),AB346&gt;=2,AA346&lt;R346),EDATE(AA346,12*2),AND(AO346="K5-LAW",AL346="นิติศาสตร์",Y346="S1",AB346&gt;=1,AA346&lt;R346),EDATE(AA346,12),AND(AO346="K5-LAW",AL346="นิติศาสตร์",OR(Y346="S2",Y346="K5")),AA346,AND(AO346="K5-LAW",AL346="นิติศาสตร์",OR(K346="M2",K346="K4"),U346&gt;=2),EDATE(R346,12*2),AND(AO346="K5-LAW",AL346="นิติศาสตร์",K346="S1",U346&gt;=1),EDATE(R346,12),AND(AO346="K5-LAW",AL346="นิติศาสตร์",OR(K346="S2",K346="K5")),R346,AND(AO346="K5-POLICY",AL346&lt;&gt;"นิติศาสตร์",K346="S2",Y346="",AE346=""),R346,AND(AO346="K5-POLICY",AL346&lt;&gt;"นิติศาสตร์",K346="S1",Y346="",AE346=""),EDATE(R346,12),AND(AO346="K5-POLICY",AL346&lt;&gt;"นิติศาสตร์",OR(K346="M2",K346="K4"),Y346="",AE346=""),EDATE(R346,12*2),AND(AO346="K5-POLICY",AL346&lt;&gt;"นิติศาสตร์",OR(AE346="M2",AE346="K4"),AH346&gt;=2,OR(AG346&lt;AA346,AG346&lt;R346)),EDATE(AG346,12*2),AND(AO346="K5-POLICY",AL346&lt;&gt;"นิติศาสตร์",AE346="S1",AH346&gt;=1,OR(AG346&lt;AA346,AG346&lt;R346)),EDATE(AG346,12),AND(AO346="K5-POLICY",AL346&lt;&gt;"นิติศาสตร์",OR(Y346="M2",Y346="K4"),AB346&gt;=2,AA346&lt;R346),EDATE(AA346,12*2),AND(AO346="K5-POLICY",AL346&lt;&gt;"นิติศาสตร์",Y346="S1",AB346&gt;=1,AA346&lt;R346),EDATE(AA346,12),AND(AO346="K5-POLICY",AL346&lt;&gt;"นิติศาสตร์",OR(Y346="S2",Y346="K5")),AA346,AND(AO346="K5-POLICY",AL346&lt;&gt;"นิติศาสตร์",OR(K346="M2",K346="K4"),U346&gt;=2),EDATE(R346,12*2),AND(AO346="K5-POLICY",AL346&lt;&gt;"นิติศาสตร์",K346="S1",U346&gt;=1),EDATE(R346,12),AND(AO346="K5-POLICY",AL346&lt;&gt;"นิติศาสตร์",OR(K346="S2",K346="K5")),R346,TRUE,"Check Data")</f>
        <v/>
      </c>
      <c r="AQ346" s="75" t="str">
        <f t="shared" si="163"/>
        <v>Check Data</v>
      </c>
      <c r="AR346" s="76" t="str">
        <f t="shared" si="164"/>
        <v>Check Data</v>
      </c>
      <c r="AS346" s="50" t="str">
        <f t="shared" si="165"/>
        <v>Check Data</v>
      </c>
      <c r="AT346" s="49" t="str">
        <f>IF(B346="","",IF(K346="S1","S1",INDEX(#REF!,#REF!)))</f>
        <v/>
      </c>
      <c r="AU346" s="49" t="str">
        <f t="shared" si="166"/>
        <v>K4</v>
      </c>
      <c r="AV346" s="50" t="b">
        <f t="shared" si="167"/>
        <v>0</v>
      </c>
    </row>
    <row r="347" spans="1:48" ht="21.75">
      <c r="A347" s="49">
        <v>345</v>
      </c>
      <c r="B347" s="50"/>
      <c r="C347" s="52"/>
      <c r="G347" s="50">
        <f t="shared" si="152"/>
        <v>0</v>
      </c>
      <c r="H347" s="50">
        <f t="shared" si="153"/>
        <v>0</v>
      </c>
      <c r="I347" s="50">
        <f t="shared" si="154"/>
        <v>0</v>
      </c>
      <c r="K347" s="49" t="s">
        <v>137</v>
      </c>
      <c r="L347" s="49" t="str">
        <f>IF(B347="","",IF(K347="S1",K347,INDEX(#REF!,#REF!)))</f>
        <v/>
      </c>
      <c r="M347" s="49" t="b">
        <f t="shared" si="155"/>
        <v>0</v>
      </c>
      <c r="Q347" s="65" t="s">
        <v>447</v>
      </c>
      <c r="R347" s="49" t="str">
        <f t="shared" si="156"/>
        <v>16/05/2024</v>
      </c>
      <c r="S347" s="49" t="str">
        <f>IF(B347="","",IF(K347="S1",K347,INDEX(#REF!,#REF!)))</f>
        <v/>
      </c>
      <c r="T347" s="49" t="b">
        <f t="shared" si="157"/>
        <v>0</v>
      </c>
      <c r="U347" s="68">
        <f t="shared" si="158"/>
        <v>1</v>
      </c>
      <c r="V347" s="68">
        <f t="shared" si="159"/>
        <v>1</v>
      </c>
      <c r="W347" s="68">
        <f t="shared" si="160"/>
        <v>4</v>
      </c>
      <c r="Y347" s="65"/>
      <c r="AM347" s="50" t="str">
        <f>IF(B347="","",IF(K347="S1",K347,INDEX(#REF!,#REF!)))</f>
        <v/>
      </c>
      <c r="AN347" s="50" t="b">
        <f t="shared" si="161"/>
        <v>1</v>
      </c>
      <c r="AO347" s="49" t="str">
        <f t="shared" si="162"/>
        <v>K5-POLICY</v>
      </c>
      <c r="AP347" s="72" t="str">
        <f>_xlfn.IFS(B347="","",AND(AO347="K5-LAW",AL347="นิติศาสตร์",K347="S2",Y347="",AE347=""),R347,AND(AO347="K5-LAW",AL347="นิติศาสตร์",K347="S1",Y347="",AE347=""),EDATE(R347,12),AND(AO347="K5-LAW",AL347="นิติศาสตร์",OR(K347="M2",K347="K4"),Y347="",AE347=""),EDATE(R347,12*2),AND(AO347="K5-LAW",AL347="นิติศาสตร์",OR(AE347="M2",AE347="K4"),AH347&gt;=2,OR(AG347&lt;AA347,AG347&lt;R347)),EDATE(AG347,12*2),AND(AO347="K5-LAW",AL347="นิติศาสตร์",AE347="S1",AH347&gt;=1,OR(AG347&lt;AA347,AG347&lt;R347)),EDATE(AG347,12),AND(AO347="K5-LAW",AL347="นิติศาสตร์",OR(Y347="M2",Y347="K4"),AB347&gt;=2,AA347&lt;R347),EDATE(AA347,12*2),AND(AO347="K5-LAW",AL347="นิติศาสตร์",Y347="S1",AB347&gt;=1,AA347&lt;R347),EDATE(AA347,12),AND(AO347="K5-LAW",AL347="นิติศาสตร์",OR(Y347="S2",Y347="K5")),AA347,AND(AO347="K5-LAW",AL347="นิติศาสตร์",OR(K347="M2",K347="K4"),U347&gt;=2),EDATE(R347,12*2),AND(AO347="K5-LAW",AL347="นิติศาสตร์",K347="S1",U347&gt;=1),EDATE(R347,12),AND(AO347="K5-LAW",AL347="นิติศาสตร์",OR(K347="S2",K347="K5")),R347,AND(AO347="K5-POLICY",AL347&lt;&gt;"นิติศาสตร์",K347="S2",Y347="",AE347=""),R347,AND(AO347="K5-POLICY",AL347&lt;&gt;"นิติศาสตร์",K347="S1",Y347="",AE347=""),EDATE(R347,12),AND(AO347="K5-POLICY",AL347&lt;&gt;"นิติศาสตร์",OR(K347="M2",K347="K4"),Y347="",AE347=""),EDATE(R347,12*2),AND(AO347="K5-POLICY",AL347&lt;&gt;"นิติศาสตร์",OR(AE347="M2",AE347="K4"),AH347&gt;=2,OR(AG347&lt;AA347,AG347&lt;R347)),EDATE(AG347,12*2),AND(AO347="K5-POLICY",AL347&lt;&gt;"นิติศาสตร์",AE347="S1",AH347&gt;=1,OR(AG347&lt;AA347,AG347&lt;R347)),EDATE(AG347,12),AND(AO347="K5-POLICY",AL347&lt;&gt;"นิติศาสตร์",OR(Y347="M2",Y347="K4"),AB347&gt;=2,AA347&lt;R347),EDATE(AA347,12*2),AND(AO347="K5-POLICY",AL347&lt;&gt;"นิติศาสตร์",Y347="S1",AB347&gt;=1,AA347&lt;R347),EDATE(AA347,12),AND(AO347="K5-POLICY",AL347&lt;&gt;"นิติศาสตร์",OR(Y347="S2",Y347="K5")),AA347,AND(AO347="K5-POLICY",AL347&lt;&gt;"นิติศาสตร์",OR(K347="M2",K347="K4"),U347&gt;=2),EDATE(R347,12*2),AND(AO347="K5-POLICY",AL347&lt;&gt;"นิติศาสตร์",K347="S1",U347&gt;=1),EDATE(R347,12),AND(AO347="K5-POLICY",AL347&lt;&gt;"นิติศาสตร์",OR(K347="S2",K347="K5")),R347,TRUE,"Check Data")</f>
        <v/>
      </c>
      <c r="AQ347" s="75" t="str">
        <f t="shared" si="163"/>
        <v>Check Data</v>
      </c>
      <c r="AR347" s="76" t="str">
        <f t="shared" si="164"/>
        <v>Check Data</v>
      </c>
      <c r="AS347" s="50" t="str">
        <f t="shared" si="165"/>
        <v>Check Data</v>
      </c>
      <c r="AT347" s="49" t="str">
        <f>IF(B347="","",IF(K347="S1","S1",INDEX(#REF!,#REF!)))</f>
        <v/>
      </c>
      <c r="AU347" s="49" t="str">
        <f t="shared" si="166"/>
        <v>K4</v>
      </c>
      <c r="AV347" s="50" t="b">
        <f t="shared" si="167"/>
        <v>0</v>
      </c>
    </row>
    <row r="348" spans="1:48" ht="21.75">
      <c r="A348" s="49">
        <v>346</v>
      </c>
      <c r="B348" s="50"/>
      <c r="C348" s="52"/>
      <c r="D348" s="84"/>
      <c r="E348" s="85"/>
      <c r="F348" s="85"/>
      <c r="G348" s="50">
        <f t="shared" si="152"/>
        <v>0</v>
      </c>
      <c r="H348" s="50">
        <f t="shared" si="153"/>
        <v>0</v>
      </c>
      <c r="I348" s="50">
        <f t="shared" si="154"/>
        <v>0</v>
      </c>
      <c r="J348" s="84"/>
      <c r="K348" s="49" t="s">
        <v>137</v>
      </c>
      <c r="L348" s="49" t="str">
        <f>IF(B348="","",IF(K348="S1",K348,INDEX(#REF!,#REF!)))</f>
        <v/>
      </c>
      <c r="M348" s="49" t="b">
        <f t="shared" si="155"/>
        <v>0</v>
      </c>
      <c r="N348" s="87"/>
      <c r="O348" s="85"/>
      <c r="P348" s="85"/>
      <c r="Q348" s="65" t="s">
        <v>455</v>
      </c>
      <c r="R348" s="49" t="str">
        <f t="shared" si="156"/>
        <v>04/07/2024</v>
      </c>
      <c r="S348" s="49" t="str">
        <f>IF(B348="","",IF(K348="S1",K348,INDEX(#REF!,#REF!)))</f>
        <v/>
      </c>
      <c r="T348" s="49" t="b">
        <f t="shared" si="157"/>
        <v>0</v>
      </c>
      <c r="U348" s="68">
        <f t="shared" si="158"/>
        <v>0</v>
      </c>
      <c r="V348" s="68">
        <f t="shared" si="159"/>
        <v>11</v>
      </c>
      <c r="W348" s="68">
        <f t="shared" si="160"/>
        <v>16</v>
      </c>
      <c r="X348" s="88"/>
      <c r="Y348" s="65"/>
      <c r="Z348" s="89"/>
      <c r="AA348" s="85"/>
      <c r="AB348" s="88"/>
      <c r="AC348" s="88"/>
      <c r="AD348" s="88"/>
      <c r="AE348" s="85"/>
      <c r="AF348" s="89"/>
      <c r="AG348" s="84"/>
      <c r="AH348" s="88"/>
      <c r="AI348" s="88"/>
      <c r="AJ348" s="88"/>
      <c r="AK348" s="84"/>
      <c r="AL348" s="84"/>
      <c r="AM348" s="50" t="str">
        <f>IF(B348="","",IF(K348="S1",K348,INDEX(#REF!,#REF!)))</f>
        <v/>
      </c>
      <c r="AN348" s="50" t="b">
        <f t="shared" si="161"/>
        <v>1</v>
      </c>
      <c r="AO348" s="49" t="str">
        <f t="shared" si="162"/>
        <v>K5-POLICY</v>
      </c>
      <c r="AP348" s="72" t="str">
        <f>_xlfn.IFS(B348="","",AND(AO348="K5-LAW",AL348="นิติศาสตร์",K348="S2",Y348="",AE348=""),R348,AND(AO348="K5-LAW",AL348="นิติศาสตร์",K348="S1",Y348="",AE348=""),EDATE(R348,12),AND(AO348="K5-LAW",AL348="นิติศาสตร์",OR(K348="M2",K348="K4"),Y348="",AE348=""),EDATE(R348,12*2),AND(AO348="K5-LAW",AL348="นิติศาสตร์",OR(AE348="M2",AE348="K4"),AH348&gt;=2,OR(AG348&lt;AA348,AG348&lt;R348)),EDATE(AG348,12*2),AND(AO348="K5-LAW",AL348="นิติศาสตร์",AE348="S1",AH348&gt;=1,OR(AG348&lt;AA348,AG348&lt;R348)),EDATE(AG348,12),AND(AO348="K5-LAW",AL348="นิติศาสตร์",OR(Y348="M2",Y348="K4"),AB348&gt;=2,AA348&lt;R348),EDATE(AA348,12*2),AND(AO348="K5-LAW",AL348="นิติศาสตร์",Y348="S1",AB348&gt;=1,AA348&lt;R348),EDATE(AA348,12),AND(AO348="K5-LAW",AL348="นิติศาสตร์",OR(Y348="S2",Y348="K5")),AA348,AND(AO348="K5-LAW",AL348="นิติศาสตร์",OR(K348="M2",K348="K4"),U348&gt;=2),EDATE(R348,12*2),AND(AO348="K5-LAW",AL348="นิติศาสตร์",K348="S1",U348&gt;=1),EDATE(R348,12),AND(AO348="K5-LAW",AL348="นิติศาสตร์",OR(K348="S2",K348="K5")),R348,AND(AO348="K5-POLICY",AL348&lt;&gt;"นิติศาสตร์",K348="S2",Y348="",AE348=""),R348,AND(AO348="K5-POLICY",AL348&lt;&gt;"นิติศาสตร์",K348="S1",Y348="",AE348=""),EDATE(R348,12),AND(AO348="K5-POLICY",AL348&lt;&gt;"นิติศาสตร์",OR(K348="M2",K348="K4"),Y348="",AE348=""),EDATE(R348,12*2),AND(AO348="K5-POLICY",AL348&lt;&gt;"นิติศาสตร์",OR(AE348="M2",AE348="K4"),AH348&gt;=2,OR(AG348&lt;AA348,AG348&lt;R348)),EDATE(AG348,12*2),AND(AO348="K5-POLICY",AL348&lt;&gt;"นิติศาสตร์",AE348="S1",AH348&gt;=1,OR(AG348&lt;AA348,AG348&lt;R348)),EDATE(AG348,12),AND(AO348="K5-POLICY",AL348&lt;&gt;"นิติศาสตร์",OR(Y348="M2",Y348="K4"),AB348&gt;=2,AA348&lt;R348),EDATE(AA348,12*2),AND(AO348="K5-POLICY",AL348&lt;&gt;"นิติศาสตร์",Y348="S1",AB348&gt;=1,AA348&lt;R348),EDATE(AA348,12),AND(AO348="K5-POLICY",AL348&lt;&gt;"นิติศาสตร์",OR(Y348="S2",Y348="K5")),AA348,AND(AO348="K5-POLICY",AL348&lt;&gt;"นิติศาสตร์",OR(K348="M2",K348="K4"),U348&gt;=2),EDATE(R348,12*2),AND(AO348="K5-POLICY",AL348&lt;&gt;"นิติศาสตร์",K348="S1",U348&gt;=1),EDATE(R348,12),AND(AO348="K5-POLICY",AL348&lt;&gt;"นิติศาสตร์",OR(K348="S2",K348="K5")),R348,TRUE,"Check Data")</f>
        <v/>
      </c>
      <c r="AQ348" s="75" t="str">
        <f t="shared" si="163"/>
        <v>Check Data</v>
      </c>
      <c r="AR348" s="76" t="str">
        <f t="shared" si="164"/>
        <v>Check Data</v>
      </c>
      <c r="AS348" s="50" t="str">
        <f t="shared" si="165"/>
        <v>Check Data</v>
      </c>
      <c r="AT348" s="49" t="str">
        <f>IF(B348="","",IF(K348="S1","S1",INDEX(#REF!,#REF!)))</f>
        <v/>
      </c>
      <c r="AU348" s="49" t="str">
        <f t="shared" si="166"/>
        <v>K4</v>
      </c>
      <c r="AV348" s="50" t="b">
        <f t="shared" si="167"/>
        <v>0</v>
      </c>
    </row>
    <row r="349" spans="1:48" ht="21.75">
      <c r="A349" s="49">
        <v>347</v>
      </c>
      <c r="B349" s="50"/>
      <c r="C349" s="52"/>
      <c r="D349" s="84"/>
      <c r="E349" s="85"/>
      <c r="F349" s="85"/>
      <c r="G349" s="50">
        <f t="shared" si="152"/>
        <v>0</v>
      </c>
      <c r="H349" s="50">
        <f t="shared" si="153"/>
        <v>0</v>
      </c>
      <c r="I349" s="50">
        <f t="shared" si="154"/>
        <v>0</v>
      </c>
      <c r="J349" s="84"/>
      <c r="K349" s="49" t="s">
        <v>137</v>
      </c>
      <c r="L349" s="49" t="str">
        <f>IF(B349="","",IF(K349="S1",K349,INDEX(#REF!,#REF!)))</f>
        <v/>
      </c>
      <c r="M349" s="49" t="b">
        <f t="shared" si="155"/>
        <v>0</v>
      </c>
      <c r="N349" s="87"/>
      <c r="O349" s="85"/>
      <c r="P349" s="85"/>
      <c r="Q349" s="65" t="s">
        <v>456</v>
      </c>
      <c r="R349" s="49" t="str">
        <f t="shared" si="156"/>
        <v>11/07/2024</v>
      </c>
      <c r="S349" s="49" t="str">
        <f>IF(B349="","",IF(K349="S1",K349,INDEX(#REF!,#REF!)))</f>
        <v/>
      </c>
      <c r="T349" s="49" t="b">
        <f t="shared" si="157"/>
        <v>0</v>
      </c>
      <c r="U349" s="68">
        <f t="shared" si="158"/>
        <v>0</v>
      </c>
      <c r="V349" s="68">
        <f t="shared" si="159"/>
        <v>11</v>
      </c>
      <c r="W349" s="68">
        <f t="shared" si="160"/>
        <v>9</v>
      </c>
      <c r="X349" s="88"/>
      <c r="Y349" s="65"/>
      <c r="Z349" s="89"/>
      <c r="AA349" s="85"/>
      <c r="AB349" s="88"/>
      <c r="AC349" s="88"/>
      <c r="AD349" s="88"/>
      <c r="AE349" s="85"/>
      <c r="AF349" s="89"/>
      <c r="AG349" s="84"/>
      <c r="AH349" s="88"/>
      <c r="AI349" s="88"/>
      <c r="AJ349" s="88"/>
      <c r="AK349" s="84"/>
      <c r="AL349" s="84"/>
      <c r="AM349" s="50" t="str">
        <f>IF(B349="","",IF(K349="S1",K349,INDEX(#REF!,#REF!)))</f>
        <v/>
      </c>
      <c r="AN349" s="50" t="b">
        <f t="shared" si="161"/>
        <v>1</v>
      </c>
      <c r="AO349" s="49" t="str">
        <f t="shared" si="162"/>
        <v>K5-POLICY</v>
      </c>
      <c r="AP349" s="72" t="str">
        <f>_xlfn.IFS(B349="","",AND(AO349="K5-LAW",AL349="นิติศาสตร์",K349="S2",Y349="",AE349=""),R349,AND(AO349="K5-LAW",AL349="นิติศาสตร์",K349="S1",Y349="",AE349=""),EDATE(R349,12),AND(AO349="K5-LAW",AL349="นิติศาสตร์",OR(K349="M2",K349="K4"),Y349="",AE349=""),EDATE(R349,12*2),AND(AO349="K5-LAW",AL349="นิติศาสตร์",OR(AE349="M2",AE349="K4"),AH349&gt;=2,OR(AG349&lt;AA349,AG349&lt;R349)),EDATE(AG349,12*2),AND(AO349="K5-LAW",AL349="นิติศาสตร์",AE349="S1",AH349&gt;=1,OR(AG349&lt;AA349,AG349&lt;R349)),EDATE(AG349,12),AND(AO349="K5-LAW",AL349="นิติศาสตร์",OR(Y349="M2",Y349="K4"),AB349&gt;=2,AA349&lt;R349),EDATE(AA349,12*2),AND(AO349="K5-LAW",AL349="นิติศาสตร์",Y349="S1",AB349&gt;=1,AA349&lt;R349),EDATE(AA349,12),AND(AO349="K5-LAW",AL349="นิติศาสตร์",OR(Y349="S2",Y349="K5")),AA349,AND(AO349="K5-LAW",AL349="นิติศาสตร์",OR(K349="M2",K349="K4"),U349&gt;=2),EDATE(R349,12*2),AND(AO349="K5-LAW",AL349="นิติศาสตร์",K349="S1",U349&gt;=1),EDATE(R349,12),AND(AO349="K5-LAW",AL349="นิติศาสตร์",OR(K349="S2",K349="K5")),R349,AND(AO349="K5-POLICY",AL349&lt;&gt;"นิติศาสตร์",K349="S2",Y349="",AE349=""),R349,AND(AO349="K5-POLICY",AL349&lt;&gt;"นิติศาสตร์",K349="S1",Y349="",AE349=""),EDATE(R349,12),AND(AO349="K5-POLICY",AL349&lt;&gt;"นิติศาสตร์",OR(K349="M2",K349="K4"),Y349="",AE349=""),EDATE(R349,12*2),AND(AO349="K5-POLICY",AL349&lt;&gt;"นิติศาสตร์",OR(AE349="M2",AE349="K4"),AH349&gt;=2,OR(AG349&lt;AA349,AG349&lt;R349)),EDATE(AG349,12*2),AND(AO349="K5-POLICY",AL349&lt;&gt;"นิติศาสตร์",AE349="S1",AH349&gt;=1,OR(AG349&lt;AA349,AG349&lt;R349)),EDATE(AG349,12),AND(AO349="K5-POLICY",AL349&lt;&gt;"นิติศาสตร์",OR(Y349="M2",Y349="K4"),AB349&gt;=2,AA349&lt;R349),EDATE(AA349,12*2),AND(AO349="K5-POLICY",AL349&lt;&gt;"นิติศาสตร์",Y349="S1",AB349&gt;=1,AA349&lt;R349),EDATE(AA349,12),AND(AO349="K5-POLICY",AL349&lt;&gt;"นิติศาสตร์",OR(Y349="S2",Y349="K5")),AA349,AND(AO349="K5-POLICY",AL349&lt;&gt;"นิติศาสตร์",OR(K349="M2",K349="K4"),U349&gt;=2),EDATE(R349,12*2),AND(AO349="K5-POLICY",AL349&lt;&gt;"นิติศาสตร์",K349="S1",U349&gt;=1),EDATE(R349,12),AND(AO349="K5-POLICY",AL349&lt;&gt;"นิติศาสตร์",OR(K349="S2",K349="K5")),R349,TRUE,"Check Data")</f>
        <v/>
      </c>
      <c r="AQ349" s="75" t="str">
        <f t="shared" si="163"/>
        <v>Check Data</v>
      </c>
      <c r="AR349" s="76" t="str">
        <f t="shared" si="164"/>
        <v>Check Data</v>
      </c>
      <c r="AS349" s="50" t="str">
        <f t="shared" si="165"/>
        <v>Check Data</v>
      </c>
      <c r="AT349" s="49" t="str">
        <f>IF(B349="","",IF(K349="S1","S1",INDEX(#REF!,#REF!)))</f>
        <v/>
      </c>
      <c r="AU349" s="49" t="str">
        <f t="shared" si="166"/>
        <v>K4</v>
      </c>
      <c r="AV349" s="50" t="b">
        <f t="shared" si="167"/>
        <v>0</v>
      </c>
    </row>
    <row r="350" spans="1:48" ht="21.75">
      <c r="A350" s="49">
        <v>348</v>
      </c>
      <c r="B350" s="50"/>
      <c r="C350" s="52"/>
      <c r="D350" s="84"/>
      <c r="E350" s="85"/>
      <c r="F350" s="85"/>
      <c r="G350" s="50">
        <f t="shared" si="152"/>
        <v>0</v>
      </c>
      <c r="H350" s="50">
        <f t="shared" si="153"/>
        <v>0</v>
      </c>
      <c r="I350" s="50">
        <f t="shared" si="154"/>
        <v>0</v>
      </c>
      <c r="J350" s="84"/>
      <c r="K350" s="49" t="s">
        <v>137</v>
      </c>
      <c r="L350" s="49" t="str">
        <f>IF(B350="","",IF(K350="S1",K350,INDEX(#REF!,#REF!)))</f>
        <v/>
      </c>
      <c r="M350" s="49" t="b">
        <f t="shared" si="155"/>
        <v>0</v>
      </c>
      <c r="N350" s="87"/>
      <c r="O350" s="85"/>
      <c r="P350" s="85"/>
      <c r="Q350" s="65" t="s">
        <v>448</v>
      </c>
      <c r="R350" s="49" t="str">
        <f t="shared" si="156"/>
        <v>17/07/2024</v>
      </c>
      <c r="S350" s="49" t="str">
        <f>IF(B350="","",IF(K350="S1",K350,INDEX(#REF!,#REF!)))</f>
        <v/>
      </c>
      <c r="T350" s="49" t="b">
        <f t="shared" si="157"/>
        <v>0</v>
      </c>
      <c r="U350" s="68">
        <f t="shared" si="158"/>
        <v>0</v>
      </c>
      <c r="V350" s="68">
        <f t="shared" si="159"/>
        <v>11</v>
      </c>
      <c r="W350" s="68">
        <f t="shared" si="160"/>
        <v>3</v>
      </c>
      <c r="X350" s="88"/>
      <c r="Y350" s="65"/>
      <c r="Z350" s="89"/>
      <c r="AA350" s="85"/>
      <c r="AB350" s="88"/>
      <c r="AC350" s="88"/>
      <c r="AD350" s="88"/>
      <c r="AE350" s="85"/>
      <c r="AF350" s="89"/>
      <c r="AG350" s="84"/>
      <c r="AH350" s="88"/>
      <c r="AI350" s="88"/>
      <c r="AJ350" s="88"/>
      <c r="AK350" s="84"/>
      <c r="AL350" s="84"/>
      <c r="AM350" s="50" t="str">
        <f>IF(B350="","",IF(K350="S1",K350,INDEX(#REF!,#REF!)))</f>
        <v/>
      </c>
      <c r="AN350" s="50" t="b">
        <f t="shared" si="161"/>
        <v>1</v>
      </c>
      <c r="AO350" s="49" t="str">
        <f t="shared" si="162"/>
        <v>K5-POLICY</v>
      </c>
      <c r="AP350" s="72" t="str">
        <f>_xlfn.IFS(B350="","",AND(AO350="K5-LAW",AL350="นิติศาสตร์",K350="S2",Y350="",AE350=""),R350,AND(AO350="K5-LAW",AL350="นิติศาสตร์",K350="S1",Y350="",AE350=""),EDATE(R350,12),AND(AO350="K5-LAW",AL350="นิติศาสตร์",OR(K350="M2",K350="K4"),Y350="",AE350=""),EDATE(R350,12*2),AND(AO350="K5-LAW",AL350="นิติศาสตร์",OR(AE350="M2",AE350="K4"),AH350&gt;=2,OR(AG350&lt;AA350,AG350&lt;R350)),EDATE(AG350,12*2),AND(AO350="K5-LAW",AL350="นิติศาสตร์",AE350="S1",AH350&gt;=1,OR(AG350&lt;AA350,AG350&lt;R350)),EDATE(AG350,12),AND(AO350="K5-LAW",AL350="นิติศาสตร์",OR(Y350="M2",Y350="K4"),AB350&gt;=2,AA350&lt;R350),EDATE(AA350,12*2),AND(AO350="K5-LAW",AL350="นิติศาสตร์",Y350="S1",AB350&gt;=1,AA350&lt;R350),EDATE(AA350,12),AND(AO350="K5-LAW",AL350="นิติศาสตร์",OR(Y350="S2",Y350="K5")),AA350,AND(AO350="K5-LAW",AL350="นิติศาสตร์",OR(K350="M2",K350="K4"),U350&gt;=2),EDATE(R350,12*2),AND(AO350="K5-LAW",AL350="นิติศาสตร์",K350="S1",U350&gt;=1),EDATE(R350,12),AND(AO350="K5-LAW",AL350="นิติศาสตร์",OR(K350="S2",K350="K5")),R350,AND(AO350="K5-POLICY",AL350&lt;&gt;"นิติศาสตร์",K350="S2",Y350="",AE350=""),R350,AND(AO350="K5-POLICY",AL350&lt;&gt;"นิติศาสตร์",K350="S1",Y350="",AE350=""),EDATE(R350,12),AND(AO350="K5-POLICY",AL350&lt;&gt;"นิติศาสตร์",OR(K350="M2",K350="K4"),Y350="",AE350=""),EDATE(R350,12*2),AND(AO350="K5-POLICY",AL350&lt;&gt;"นิติศาสตร์",OR(AE350="M2",AE350="K4"),AH350&gt;=2,OR(AG350&lt;AA350,AG350&lt;R350)),EDATE(AG350,12*2),AND(AO350="K5-POLICY",AL350&lt;&gt;"นิติศาสตร์",AE350="S1",AH350&gt;=1,OR(AG350&lt;AA350,AG350&lt;R350)),EDATE(AG350,12),AND(AO350="K5-POLICY",AL350&lt;&gt;"นิติศาสตร์",OR(Y350="M2",Y350="K4"),AB350&gt;=2,AA350&lt;R350),EDATE(AA350,12*2),AND(AO350="K5-POLICY",AL350&lt;&gt;"นิติศาสตร์",Y350="S1",AB350&gt;=1,AA350&lt;R350),EDATE(AA350,12),AND(AO350="K5-POLICY",AL350&lt;&gt;"นิติศาสตร์",OR(Y350="S2",Y350="K5")),AA350,AND(AO350="K5-POLICY",AL350&lt;&gt;"นิติศาสตร์",OR(K350="M2",K350="K4"),U350&gt;=2),EDATE(R350,12*2),AND(AO350="K5-POLICY",AL350&lt;&gt;"นิติศาสตร์",K350="S1",U350&gt;=1),EDATE(R350,12),AND(AO350="K5-POLICY",AL350&lt;&gt;"นิติศาสตร์",OR(K350="S2",K350="K5")),R350,TRUE,"Check Data")</f>
        <v/>
      </c>
      <c r="AQ350" s="75" t="str">
        <f t="shared" si="163"/>
        <v>Check Data</v>
      </c>
      <c r="AR350" s="76" t="str">
        <f t="shared" si="164"/>
        <v>Check Data</v>
      </c>
      <c r="AS350" s="50" t="str">
        <f t="shared" si="165"/>
        <v>Check Data</v>
      </c>
      <c r="AT350" s="49" t="str">
        <f>IF(B350="","",IF(K350="S1","S1",INDEX(#REF!,#REF!)))</f>
        <v/>
      </c>
      <c r="AU350" s="49" t="str">
        <f t="shared" si="166"/>
        <v>K4</v>
      </c>
      <c r="AV350" s="50" t="b">
        <f t="shared" si="167"/>
        <v>0</v>
      </c>
    </row>
    <row r="351" spans="1:48" ht="21.75">
      <c r="A351" s="49">
        <v>349</v>
      </c>
      <c r="B351" s="50"/>
      <c r="C351" s="52"/>
      <c r="G351" s="50">
        <f t="shared" si="152"/>
        <v>0</v>
      </c>
      <c r="H351" s="50">
        <f t="shared" si="153"/>
        <v>0</v>
      </c>
      <c r="I351" s="50">
        <f t="shared" si="154"/>
        <v>0</v>
      </c>
      <c r="K351" s="49" t="s">
        <v>137</v>
      </c>
      <c r="L351" s="49" t="str">
        <f>IF(B351="","",IF(K351="S1",K351,INDEX(#REF!,#REF!)))</f>
        <v/>
      </c>
      <c r="M351" s="49" t="b">
        <f t="shared" si="155"/>
        <v>0</v>
      </c>
      <c r="Q351" s="65" t="s">
        <v>448</v>
      </c>
      <c r="R351" s="49" t="str">
        <f t="shared" si="156"/>
        <v>17/07/2024</v>
      </c>
      <c r="S351" s="49" t="str">
        <f>IF(B351="","",IF(K351="S1",K351,INDEX(#REF!,#REF!)))</f>
        <v/>
      </c>
      <c r="T351" s="49" t="b">
        <f t="shared" si="157"/>
        <v>0</v>
      </c>
      <c r="U351" s="68">
        <f t="shared" si="158"/>
        <v>0</v>
      </c>
      <c r="V351" s="68">
        <f t="shared" si="159"/>
        <v>11</v>
      </c>
      <c r="W351" s="68">
        <f t="shared" si="160"/>
        <v>3</v>
      </c>
      <c r="Y351" s="65"/>
      <c r="AM351" s="50" t="str">
        <f>IF(B351="","",IF(K351="S1",K351,INDEX(#REF!,#REF!)))</f>
        <v/>
      </c>
      <c r="AN351" s="50" t="b">
        <f t="shared" si="161"/>
        <v>1</v>
      </c>
      <c r="AO351" s="49" t="str">
        <f t="shared" si="162"/>
        <v>K5-POLICY</v>
      </c>
      <c r="AP351" s="72" t="str">
        <f>_xlfn.IFS(B351="","",AND(AO351="K5-LAW",AL351="นิติศาสตร์",K351="S2",Y351="",AE351=""),R351,AND(AO351="K5-LAW",AL351="นิติศาสตร์",K351="S1",Y351="",AE351=""),EDATE(R351,12),AND(AO351="K5-LAW",AL351="นิติศาสตร์",OR(K351="M2",K351="K4"),Y351="",AE351=""),EDATE(R351,12*2),AND(AO351="K5-LAW",AL351="นิติศาสตร์",OR(AE351="M2",AE351="K4"),AH351&gt;=2,OR(AG351&lt;AA351,AG351&lt;R351)),EDATE(AG351,12*2),AND(AO351="K5-LAW",AL351="นิติศาสตร์",AE351="S1",AH351&gt;=1,OR(AG351&lt;AA351,AG351&lt;R351)),EDATE(AG351,12),AND(AO351="K5-LAW",AL351="นิติศาสตร์",OR(Y351="M2",Y351="K4"),AB351&gt;=2,AA351&lt;R351),EDATE(AA351,12*2),AND(AO351="K5-LAW",AL351="นิติศาสตร์",Y351="S1",AB351&gt;=1,AA351&lt;R351),EDATE(AA351,12),AND(AO351="K5-LAW",AL351="นิติศาสตร์",OR(Y351="S2",Y351="K5")),AA351,AND(AO351="K5-LAW",AL351="นิติศาสตร์",OR(K351="M2",K351="K4"),U351&gt;=2),EDATE(R351,12*2),AND(AO351="K5-LAW",AL351="นิติศาสตร์",K351="S1",U351&gt;=1),EDATE(R351,12),AND(AO351="K5-LAW",AL351="นิติศาสตร์",OR(K351="S2",K351="K5")),R351,AND(AO351="K5-POLICY",AL351&lt;&gt;"นิติศาสตร์",K351="S2",Y351="",AE351=""),R351,AND(AO351="K5-POLICY",AL351&lt;&gt;"นิติศาสตร์",K351="S1",Y351="",AE351=""),EDATE(R351,12),AND(AO351="K5-POLICY",AL351&lt;&gt;"นิติศาสตร์",OR(K351="M2",K351="K4"),Y351="",AE351=""),EDATE(R351,12*2),AND(AO351="K5-POLICY",AL351&lt;&gt;"นิติศาสตร์",OR(AE351="M2",AE351="K4"),AH351&gt;=2,OR(AG351&lt;AA351,AG351&lt;R351)),EDATE(AG351,12*2),AND(AO351="K5-POLICY",AL351&lt;&gt;"นิติศาสตร์",AE351="S1",AH351&gt;=1,OR(AG351&lt;AA351,AG351&lt;R351)),EDATE(AG351,12),AND(AO351="K5-POLICY",AL351&lt;&gt;"นิติศาสตร์",OR(Y351="M2",Y351="K4"),AB351&gt;=2,AA351&lt;R351),EDATE(AA351,12*2),AND(AO351="K5-POLICY",AL351&lt;&gt;"นิติศาสตร์",Y351="S1",AB351&gt;=1,AA351&lt;R351),EDATE(AA351,12),AND(AO351="K5-POLICY",AL351&lt;&gt;"นิติศาสตร์",OR(Y351="S2",Y351="K5")),AA351,AND(AO351="K5-POLICY",AL351&lt;&gt;"นิติศาสตร์",OR(K351="M2",K351="K4"),U351&gt;=2),EDATE(R351,12*2),AND(AO351="K5-POLICY",AL351&lt;&gt;"นิติศาสตร์",K351="S1",U351&gt;=1),EDATE(R351,12),AND(AO351="K5-POLICY",AL351&lt;&gt;"นิติศาสตร์",OR(K351="S2",K351="K5")),R351,TRUE,"Check Data")</f>
        <v/>
      </c>
      <c r="AQ351" s="75" t="str">
        <f t="shared" si="163"/>
        <v>Check Data</v>
      </c>
      <c r="AR351" s="76" t="str">
        <f t="shared" si="164"/>
        <v>Check Data</v>
      </c>
      <c r="AS351" s="50" t="str">
        <f t="shared" si="165"/>
        <v>Check Data</v>
      </c>
      <c r="AT351" s="49" t="str">
        <f>IF(B351="","",IF(K351="S1","S1",INDEX(#REF!,#REF!)))</f>
        <v/>
      </c>
      <c r="AU351" s="49" t="str">
        <f t="shared" si="166"/>
        <v>K4</v>
      </c>
      <c r="AV351" s="50" t="b">
        <f t="shared" si="167"/>
        <v>0</v>
      </c>
    </row>
    <row r="352" spans="1:48" ht="21.75">
      <c r="A352" s="49">
        <v>350</v>
      </c>
      <c r="B352" s="50"/>
      <c r="C352" s="52"/>
      <c r="D352" s="84"/>
      <c r="E352" s="85"/>
      <c r="F352" s="85"/>
      <c r="G352" s="50">
        <f t="shared" si="152"/>
        <v>0</v>
      </c>
      <c r="H352" s="50">
        <f t="shared" si="153"/>
        <v>0</v>
      </c>
      <c r="I352" s="50">
        <f t="shared" si="154"/>
        <v>0</v>
      </c>
      <c r="J352" s="84"/>
      <c r="K352" s="49" t="s">
        <v>137</v>
      </c>
      <c r="L352" s="49" t="str">
        <f>IF(B352="","",IF(K352="S1",K352,INDEX(#REF!,#REF!)))</f>
        <v/>
      </c>
      <c r="M352" s="49" t="b">
        <f t="shared" si="155"/>
        <v>0</v>
      </c>
      <c r="N352" s="87"/>
      <c r="O352" s="85"/>
      <c r="P352" s="85"/>
      <c r="Q352" s="65" t="s">
        <v>449</v>
      </c>
      <c r="R352" s="49" t="str">
        <f t="shared" si="156"/>
        <v>19/07/2024</v>
      </c>
      <c r="S352" s="49" t="str">
        <f>IF(B352="","",IF(K352="S1",K352,INDEX(#REF!,#REF!)))</f>
        <v/>
      </c>
      <c r="T352" s="49" t="b">
        <f t="shared" si="157"/>
        <v>0</v>
      </c>
      <c r="U352" s="68">
        <f t="shared" si="158"/>
        <v>0</v>
      </c>
      <c r="V352" s="68">
        <f t="shared" si="159"/>
        <v>11</v>
      </c>
      <c r="W352" s="68">
        <f t="shared" si="160"/>
        <v>1</v>
      </c>
      <c r="X352" s="88"/>
      <c r="Y352" s="65"/>
      <c r="Z352" s="89"/>
      <c r="AA352" s="85"/>
      <c r="AB352" s="88"/>
      <c r="AC352" s="88"/>
      <c r="AD352" s="88"/>
      <c r="AE352" s="85"/>
      <c r="AF352" s="89"/>
      <c r="AG352" s="84"/>
      <c r="AH352" s="88"/>
      <c r="AI352" s="88"/>
      <c r="AJ352" s="88"/>
      <c r="AK352" s="84"/>
      <c r="AL352" s="84"/>
      <c r="AM352" s="50" t="str">
        <f>IF(B352="","",IF(K352="S1",K352,INDEX(#REF!,#REF!)))</f>
        <v/>
      </c>
      <c r="AN352" s="50" t="b">
        <f t="shared" si="161"/>
        <v>1</v>
      </c>
      <c r="AO352" s="49" t="str">
        <f t="shared" si="162"/>
        <v>K5-POLICY</v>
      </c>
      <c r="AP352" s="72" t="str">
        <f>_xlfn.IFS(B352="","",AND(AO352="K5-LAW",AL352="นิติศาสตร์",K352="S2",Y352="",AE352=""),R352,AND(AO352="K5-LAW",AL352="นิติศาสตร์",K352="S1",Y352="",AE352=""),EDATE(R352,12),AND(AO352="K5-LAW",AL352="นิติศาสตร์",OR(K352="M2",K352="K4"),Y352="",AE352=""),EDATE(R352,12*2),AND(AO352="K5-LAW",AL352="นิติศาสตร์",OR(AE352="M2",AE352="K4"),AH352&gt;=2,OR(AG352&lt;AA352,AG352&lt;R352)),EDATE(AG352,12*2),AND(AO352="K5-LAW",AL352="นิติศาสตร์",AE352="S1",AH352&gt;=1,OR(AG352&lt;AA352,AG352&lt;R352)),EDATE(AG352,12),AND(AO352="K5-LAW",AL352="นิติศาสตร์",OR(Y352="M2",Y352="K4"),AB352&gt;=2,AA352&lt;R352),EDATE(AA352,12*2),AND(AO352="K5-LAW",AL352="นิติศาสตร์",Y352="S1",AB352&gt;=1,AA352&lt;R352),EDATE(AA352,12),AND(AO352="K5-LAW",AL352="นิติศาสตร์",OR(Y352="S2",Y352="K5")),AA352,AND(AO352="K5-LAW",AL352="นิติศาสตร์",OR(K352="M2",K352="K4"),U352&gt;=2),EDATE(R352,12*2),AND(AO352="K5-LAW",AL352="นิติศาสตร์",K352="S1",U352&gt;=1),EDATE(R352,12),AND(AO352="K5-LAW",AL352="นิติศาสตร์",OR(K352="S2",K352="K5")),R352,AND(AO352="K5-POLICY",AL352&lt;&gt;"นิติศาสตร์",K352="S2",Y352="",AE352=""),R352,AND(AO352="K5-POLICY",AL352&lt;&gt;"นิติศาสตร์",K352="S1",Y352="",AE352=""),EDATE(R352,12),AND(AO352="K5-POLICY",AL352&lt;&gt;"นิติศาสตร์",OR(K352="M2",K352="K4"),Y352="",AE352=""),EDATE(R352,12*2),AND(AO352="K5-POLICY",AL352&lt;&gt;"นิติศาสตร์",OR(AE352="M2",AE352="K4"),AH352&gt;=2,OR(AG352&lt;AA352,AG352&lt;R352)),EDATE(AG352,12*2),AND(AO352="K5-POLICY",AL352&lt;&gt;"นิติศาสตร์",AE352="S1",AH352&gt;=1,OR(AG352&lt;AA352,AG352&lt;R352)),EDATE(AG352,12),AND(AO352="K5-POLICY",AL352&lt;&gt;"นิติศาสตร์",OR(Y352="M2",Y352="K4"),AB352&gt;=2,AA352&lt;R352),EDATE(AA352,12*2),AND(AO352="K5-POLICY",AL352&lt;&gt;"นิติศาสตร์",Y352="S1",AB352&gt;=1,AA352&lt;R352),EDATE(AA352,12),AND(AO352="K5-POLICY",AL352&lt;&gt;"นิติศาสตร์",OR(Y352="S2",Y352="K5")),AA352,AND(AO352="K5-POLICY",AL352&lt;&gt;"นิติศาสตร์",OR(K352="M2",K352="K4"),U352&gt;=2),EDATE(R352,12*2),AND(AO352="K5-POLICY",AL352&lt;&gt;"นิติศาสตร์",K352="S1",U352&gt;=1),EDATE(R352,12),AND(AO352="K5-POLICY",AL352&lt;&gt;"นิติศาสตร์",OR(K352="S2",K352="K5")),R352,TRUE,"Check Data")</f>
        <v/>
      </c>
      <c r="AQ352" s="75" t="str">
        <f t="shared" si="163"/>
        <v>Check Data</v>
      </c>
      <c r="AR352" s="76" t="str">
        <f t="shared" si="164"/>
        <v>Check Data</v>
      </c>
      <c r="AS352" s="50" t="str">
        <f t="shared" si="165"/>
        <v>Check Data</v>
      </c>
      <c r="AT352" s="49" t="str">
        <f>IF(B352="","",IF(K352="S1","S1",INDEX(#REF!,#REF!)))</f>
        <v/>
      </c>
      <c r="AU352" s="49" t="str">
        <f t="shared" si="166"/>
        <v>K4</v>
      </c>
      <c r="AV352" s="50" t="b">
        <f t="shared" si="167"/>
        <v>0</v>
      </c>
    </row>
    <row r="353" spans="1:48" ht="21.75">
      <c r="A353" s="49">
        <v>351</v>
      </c>
      <c r="B353" s="50"/>
      <c r="C353" s="52"/>
      <c r="G353" s="50">
        <f t="shared" si="152"/>
        <v>0</v>
      </c>
      <c r="H353" s="50">
        <f t="shared" si="153"/>
        <v>0</v>
      </c>
      <c r="I353" s="50">
        <f t="shared" si="154"/>
        <v>0</v>
      </c>
      <c r="K353" s="49" t="s">
        <v>137</v>
      </c>
      <c r="L353" s="49" t="str">
        <f>IF(B353="","",IF(K353="S1",K353,INDEX(#REF!,#REF!)))</f>
        <v/>
      </c>
      <c r="M353" s="49" t="b">
        <f t="shared" si="155"/>
        <v>0</v>
      </c>
      <c r="Q353" s="65" t="s">
        <v>465</v>
      </c>
      <c r="R353" s="49" t="str">
        <f t="shared" si="156"/>
        <v>24/07/2024</v>
      </c>
      <c r="S353" s="49" t="str">
        <f>IF(B353="","",IF(K353="S1",K353,INDEX(#REF!,#REF!)))</f>
        <v/>
      </c>
      <c r="T353" s="49" t="b">
        <f t="shared" si="157"/>
        <v>0</v>
      </c>
      <c r="U353" s="68">
        <f t="shared" si="158"/>
        <v>0</v>
      </c>
      <c r="V353" s="68">
        <f t="shared" si="159"/>
        <v>10</v>
      </c>
      <c r="W353" s="68">
        <f t="shared" si="160"/>
        <v>27</v>
      </c>
      <c r="Y353" s="65"/>
      <c r="AM353" s="50" t="str">
        <f>IF(B353="","",IF(K353="S1",K353,INDEX(#REF!,#REF!)))</f>
        <v/>
      </c>
      <c r="AN353" s="50" t="b">
        <f t="shared" si="161"/>
        <v>1</v>
      </c>
      <c r="AO353" s="49" t="str">
        <f t="shared" si="162"/>
        <v>K5-POLICY</v>
      </c>
      <c r="AP353" s="72" t="str">
        <f>_xlfn.IFS(B353="","",AND(AO353="K5-LAW",AL353="นิติศาสตร์",K353="S2",Y353="",AE353=""),R353,AND(AO353="K5-LAW",AL353="นิติศาสตร์",K353="S1",Y353="",AE353=""),EDATE(R353,12),AND(AO353="K5-LAW",AL353="นิติศาสตร์",OR(K353="M2",K353="K4"),Y353="",AE353=""),EDATE(R353,12*2),AND(AO353="K5-LAW",AL353="นิติศาสตร์",OR(AE353="M2",AE353="K4"),AH353&gt;=2,OR(AG353&lt;AA353,AG353&lt;R353)),EDATE(AG353,12*2),AND(AO353="K5-LAW",AL353="นิติศาสตร์",AE353="S1",AH353&gt;=1,OR(AG353&lt;AA353,AG353&lt;R353)),EDATE(AG353,12),AND(AO353="K5-LAW",AL353="นิติศาสตร์",OR(Y353="M2",Y353="K4"),AB353&gt;=2,AA353&lt;R353),EDATE(AA353,12*2),AND(AO353="K5-LAW",AL353="นิติศาสตร์",Y353="S1",AB353&gt;=1,AA353&lt;R353),EDATE(AA353,12),AND(AO353="K5-LAW",AL353="นิติศาสตร์",OR(Y353="S2",Y353="K5")),AA353,AND(AO353="K5-LAW",AL353="นิติศาสตร์",OR(K353="M2",K353="K4"),U353&gt;=2),EDATE(R353,12*2),AND(AO353="K5-LAW",AL353="นิติศาสตร์",K353="S1",U353&gt;=1),EDATE(R353,12),AND(AO353="K5-LAW",AL353="นิติศาสตร์",OR(K353="S2",K353="K5")),R353,AND(AO353="K5-POLICY",AL353&lt;&gt;"นิติศาสตร์",K353="S2",Y353="",AE353=""),R353,AND(AO353="K5-POLICY",AL353&lt;&gt;"นิติศาสตร์",K353="S1",Y353="",AE353=""),EDATE(R353,12),AND(AO353="K5-POLICY",AL353&lt;&gt;"นิติศาสตร์",OR(K353="M2",K353="K4"),Y353="",AE353=""),EDATE(R353,12*2),AND(AO353="K5-POLICY",AL353&lt;&gt;"นิติศาสตร์",OR(AE353="M2",AE353="K4"),AH353&gt;=2,OR(AG353&lt;AA353,AG353&lt;R353)),EDATE(AG353,12*2),AND(AO353="K5-POLICY",AL353&lt;&gt;"นิติศาสตร์",AE353="S1",AH353&gt;=1,OR(AG353&lt;AA353,AG353&lt;R353)),EDATE(AG353,12),AND(AO353="K5-POLICY",AL353&lt;&gt;"นิติศาสตร์",OR(Y353="M2",Y353="K4"),AB353&gt;=2,AA353&lt;R353),EDATE(AA353,12*2),AND(AO353="K5-POLICY",AL353&lt;&gt;"นิติศาสตร์",Y353="S1",AB353&gt;=1,AA353&lt;R353),EDATE(AA353,12),AND(AO353="K5-POLICY",AL353&lt;&gt;"นิติศาสตร์",OR(Y353="S2",Y353="K5")),AA353,AND(AO353="K5-POLICY",AL353&lt;&gt;"นิติศาสตร์",OR(K353="M2",K353="K4"),U353&gt;=2),EDATE(R353,12*2),AND(AO353="K5-POLICY",AL353&lt;&gt;"นิติศาสตร์",K353="S1",U353&gt;=1),EDATE(R353,12),AND(AO353="K5-POLICY",AL353&lt;&gt;"นิติศาสตร์",OR(K353="S2",K353="K5")),R353,TRUE,"Check Data")</f>
        <v/>
      </c>
      <c r="AQ353" s="75" t="str">
        <f t="shared" si="163"/>
        <v>Check Data</v>
      </c>
      <c r="AR353" s="76" t="str">
        <f t="shared" si="164"/>
        <v>Check Data</v>
      </c>
      <c r="AS353" s="50" t="str">
        <f t="shared" si="165"/>
        <v>Check Data</v>
      </c>
      <c r="AT353" s="49" t="str">
        <f>IF(B353="","",IF(K353="S1","S1",INDEX(#REF!,#REF!)))</f>
        <v/>
      </c>
      <c r="AU353" s="49" t="str">
        <f t="shared" si="166"/>
        <v>K4</v>
      </c>
      <c r="AV353" s="50" t="b">
        <f t="shared" si="167"/>
        <v>0</v>
      </c>
    </row>
    <row r="354" spans="1:48" ht="21.75">
      <c r="A354" s="49">
        <v>352</v>
      </c>
      <c r="B354" s="50"/>
      <c r="C354" s="52"/>
      <c r="D354" s="84"/>
      <c r="E354" s="85"/>
      <c r="F354" s="85"/>
      <c r="G354" s="50">
        <f t="shared" si="152"/>
        <v>0</v>
      </c>
      <c r="H354" s="50">
        <f t="shared" si="153"/>
        <v>0</v>
      </c>
      <c r="I354" s="50">
        <f t="shared" si="154"/>
        <v>0</v>
      </c>
      <c r="J354" s="84"/>
      <c r="K354" s="49" t="s">
        <v>137</v>
      </c>
      <c r="L354" s="49" t="str">
        <f>IF(B354="","",IF(K354="S1",K354,INDEX(#REF!,#REF!)))</f>
        <v/>
      </c>
      <c r="M354" s="49" t="b">
        <f t="shared" si="155"/>
        <v>0</v>
      </c>
      <c r="N354" s="87"/>
      <c r="O354" s="85"/>
      <c r="P354" s="85"/>
      <c r="Q354" s="65" t="s">
        <v>457</v>
      </c>
      <c r="R354" s="49" t="str">
        <f t="shared" si="156"/>
        <v>01/08/2024</v>
      </c>
      <c r="S354" s="49" t="str">
        <f>IF(B354="","",IF(K354="S1",K354,INDEX(#REF!,#REF!)))</f>
        <v/>
      </c>
      <c r="T354" s="49" t="b">
        <f t="shared" si="157"/>
        <v>0</v>
      </c>
      <c r="U354" s="68">
        <f t="shared" si="158"/>
        <v>0</v>
      </c>
      <c r="V354" s="68">
        <f t="shared" si="159"/>
        <v>10</v>
      </c>
      <c r="W354" s="68">
        <f t="shared" si="160"/>
        <v>19</v>
      </c>
      <c r="X354" s="88"/>
      <c r="Y354" s="65"/>
      <c r="Z354" s="89"/>
      <c r="AA354" s="85"/>
      <c r="AB354" s="88"/>
      <c r="AC354" s="88"/>
      <c r="AD354" s="88"/>
      <c r="AE354" s="85"/>
      <c r="AF354" s="89"/>
      <c r="AG354" s="84"/>
      <c r="AH354" s="88"/>
      <c r="AI354" s="88"/>
      <c r="AJ354" s="88"/>
      <c r="AK354" s="84"/>
      <c r="AL354" s="84"/>
      <c r="AM354" s="50" t="str">
        <f>IF(B354="","",IF(K354="S1",K354,INDEX(#REF!,#REF!)))</f>
        <v/>
      </c>
      <c r="AN354" s="50" t="b">
        <f t="shared" si="161"/>
        <v>1</v>
      </c>
      <c r="AO354" s="49" t="str">
        <f t="shared" si="162"/>
        <v>K5-POLICY</v>
      </c>
      <c r="AP354" s="72" t="str">
        <f>_xlfn.IFS(B354="","",AND(AO354="K5-LAW",AL354="นิติศาสตร์",K354="S2",Y354="",AE354=""),R354,AND(AO354="K5-LAW",AL354="นิติศาสตร์",K354="S1",Y354="",AE354=""),EDATE(R354,12),AND(AO354="K5-LAW",AL354="นิติศาสตร์",OR(K354="M2",K354="K4"),Y354="",AE354=""),EDATE(R354,12*2),AND(AO354="K5-LAW",AL354="นิติศาสตร์",OR(AE354="M2",AE354="K4"),AH354&gt;=2,OR(AG354&lt;AA354,AG354&lt;R354)),EDATE(AG354,12*2),AND(AO354="K5-LAW",AL354="นิติศาสตร์",AE354="S1",AH354&gt;=1,OR(AG354&lt;AA354,AG354&lt;R354)),EDATE(AG354,12),AND(AO354="K5-LAW",AL354="นิติศาสตร์",OR(Y354="M2",Y354="K4"),AB354&gt;=2,AA354&lt;R354),EDATE(AA354,12*2),AND(AO354="K5-LAW",AL354="นิติศาสตร์",Y354="S1",AB354&gt;=1,AA354&lt;R354),EDATE(AA354,12),AND(AO354="K5-LAW",AL354="นิติศาสตร์",OR(Y354="S2",Y354="K5")),AA354,AND(AO354="K5-LAW",AL354="นิติศาสตร์",OR(K354="M2",K354="K4"),U354&gt;=2),EDATE(R354,12*2),AND(AO354="K5-LAW",AL354="นิติศาสตร์",K354="S1",U354&gt;=1),EDATE(R354,12),AND(AO354="K5-LAW",AL354="นิติศาสตร์",OR(K354="S2",K354="K5")),R354,AND(AO354="K5-POLICY",AL354&lt;&gt;"นิติศาสตร์",K354="S2",Y354="",AE354=""),R354,AND(AO354="K5-POLICY",AL354&lt;&gt;"นิติศาสตร์",K354="S1",Y354="",AE354=""),EDATE(R354,12),AND(AO354="K5-POLICY",AL354&lt;&gt;"นิติศาสตร์",OR(K354="M2",K354="K4"),Y354="",AE354=""),EDATE(R354,12*2),AND(AO354="K5-POLICY",AL354&lt;&gt;"นิติศาสตร์",OR(AE354="M2",AE354="K4"),AH354&gt;=2,OR(AG354&lt;AA354,AG354&lt;R354)),EDATE(AG354,12*2),AND(AO354="K5-POLICY",AL354&lt;&gt;"นิติศาสตร์",AE354="S1",AH354&gt;=1,OR(AG354&lt;AA354,AG354&lt;R354)),EDATE(AG354,12),AND(AO354="K5-POLICY",AL354&lt;&gt;"นิติศาสตร์",OR(Y354="M2",Y354="K4"),AB354&gt;=2,AA354&lt;R354),EDATE(AA354,12*2),AND(AO354="K5-POLICY",AL354&lt;&gt;"นิติศาสตร์",Y354="S1",AB354&gt;=1,AA354&lt;R354),EDATE(AA354,12),AND(AO354="K5-POLICY",AL354&lt;&gt;"นิติศาสตร์",OR(Y354="S2",Y354="K5")),AA354,AND(AO354="K5-POLICY",AL354&lt;&gt;"นิติศาสตร์",OR(K354="M2",K354="K4"),U354&gt;=2),EDATE(R354,12*2),AND(AO354="K5-POLICY",AL354&lt;&gt;"นิติศาสตร์",K354="S1",U354&gt;=1),EDATE(R354,12),AND(AO354="K5-POLICY",AL354&lt;&gt;"นิติศาสตร์",OR(K354="S2",K354="K5")),R354,TRUE,"Check Data")</f>
        <v/>
      </c>
      <c r="AQ354" s="75" t="str">
        <f t="shared" si="163"/>
        <v>Check Data</v>
      </c>
      <c r="AR354" s="76" t="str">
        <f t="shared" si="164"/>
        <v>Check Data</v>
      </c>
      <c r="AS354" s="50" t="str">
        <f t="shared" si="165"/>
        <v>Check Data</v>
      </c>
      <c r="AT354" s="49" t="str">
        <f>IF(B354="","",IF(K354="S1","S1",INDEX(#REF!,#REF!)))</f>
        <v/>
      </c>
      <c r="AU354" s="49" t="str">
        <f t="shared" si="166"/>
        <v>K4</v>
      </c>
      <c r="AV354" s="50" t="b">
        <f t="shared" si="167"/>
        <v>0</v>
      </c>
    </row>
    <row r="355" spans="1:48" ht="21.75">
      <c r="A355" s="49">
        <v>353</v>
      </c>
      <c r="B355" s="50"/>
      <c r="C355" s="52"/>
      <c r="G355" s="50">
        <f t="shared" si="152"/>
        <v>0</v>
      </c>
      <c r="H355" s="50">
        <f t="shared" si="153"/>
        <v>0</v>
      </c>
      <c r="I355" s="50">
        <f t="shared" si="154"/>
        <v>0</v>
      </c>
      <c r="K355" s="49" t="s">
        <v>137</v>
      </c>
      <c r="L355" s="49" t="str">
        <f>IF(B355="","",IF(K355="S1",K355,INDEX(#REF!,#REF!)))</f>
        <v/>
      </c>
      <c r="M355" s="49" t="b">
        <f t="shared" si="155"/>
        <v>0</v>
      </c>
      <c r="Q355" s="65" t="s">
        <v>450</v>
      </c>
      <c r="R355" s="49" t="str">
        <f t="shared" si="156"/>
        <v>09/08/2024</v>
      </c>
      <c r="S355" s="49" t="str">
        <f>IF(B355="","",IF(K355="S1",K355,INDEX(#REF!,#REF!)))</f>
        <v/>
      </c>
      <c r="T355" s="49" t="b">
        <f t="shared" si="157"/>
        <v>0</v>
      </c>
      <c r="U355" s="68">
        <f t="shared" si="158"/>
        <v>0</v>
      </c>
      <c r="V355" s="68">
        <f t="shared" si="159"/>
        <v>10</v>
      </c>
      <c r="W355" s="68">
        <f t="shared" si="160"/>
        <v>11</v>
      </c>
      <c r="Y355" s="65"/>
      <c r="AM355" s="50" t="str">
        <f>IF(B355="","",IF(K355="S1",K355,INDEX(#REF!,#REF!)))</f>
        <v/>
      </c>
      <c r="AN355" s="50" t="b">
        <f t="shared" si="161"/>
        <v>1</v>
      </c>
      <c r="AO355" s="49" t="str">
        <f t="shared" si="162"/>
        <v>K5-POLICY</v>
      </c>
      <c r="AP355" s="72" t="str">
        <f>_xlfn.IFS(B355="","",AND(AO355="K5-LAW",AL355="นิติศาสตร์",K355="S2",Y355="",AE355=""),R355,AND(AO355="K5-LAW",AL355="นิติศาสตร์",K355="S1",Y355="",AE355=""),EDATE(R355,12),AND(AO355="K5-LAW",AL355="นิติศาสตร์",OR(K355="M2",K355="K4"),Y355="",AE355=""),EDATE(R355,12*2),AND(AO355="K5-LAW",AL355="นิติศาสตร์",OR(AE355="M2",AE355="K4"),AH355&gt;=2,OR(AG355&lt;AA355,AG355&lt;R355)),EDATE(AG355,12*2),AND(AO355="K5-LAW",AL355="นิติศาสตร์",AE355="S1",AH355&gt;=1,OR(AG355&lt;AA355,AG355&lt;R355)),EDATE(AG355,12),AND(AO355="K5-LAW",AL355="นิติศาสตร์",OR(Y355="M2",Y355="K4"),AB355&gt;=2,AA355&lt;R355),EDATE(AA355,12*2),AND(AO355="K5-LAW",AL355="นิติศาสตร์",Y355="S1",AB355&gt;=1,AA355&lt;R355),EDATE(AA355,12),AND(AO355="K5-LAW",AL355="นิติศาสตร์",OR(Y355="S2",Y355="K5")),AA355,AND(AO355="K5-LAW",AL355="นิติศาสตร์",OR(K355="M2",K355="K4"),U355&gt;=2),EDATE(R355,12*2),AND(AO355="K5-LAW",AL355="นิติศาสตร์",K355="S1",U355&gt;=1),EDATE(R355,12),AND(AO355="K5-LAW",AL355="นิติศาสตร์",OR(K355="S2",K355="K5")),R355,AND(AO355="K5-POLICY",AL355&lt;&gt;"นิติศาสตร์",K355="S2",Y355="",AE355=""),R355,AND(AO355="K5-POLICY",AL355&lt;&gt;"นิติศาสตร์",K355="S1",Y355="",AE355=""),EDATE(R355,12),AND(AO355="K5-POLICY",AL355&lt;&gt;"นิติศาสตร์",OR(K355="M2",K355="K4"),Y355="",AE355=""),EDATE(R355,12*2),AND(AO355="K5-POLICY",AL355&lt;&gt;"นิติศาสตร์",OR(AE355="M2",AE355="K4"),AH355&gt;=2,OR(AG355&lt;AA355,AG355&lt;R355)),EDATE(AG355,12*2),AND(AO355="K5-POLICY",AL355&lt;&gt;"นิติศาสตร์",AE355="S1",AH355&gt;=1,OR(AG355&lt;AA355,AG355&lt;R355)),EDATE(AG355,12),AND(AO355="K5-POLICY",AL355&lt;&gt;"นิติศาสตร์",OR(Y355="M2",Y355="K4"),AB355&gt;=2,AA355&lt;R355),EDATE(AA355,12*2),AND(AO355="K5-POLICY",AL355&lt;&gt;"นิติศาสตร์",Y355="S1",AB355&gt;=1,AA355&lt;R355),EDATE(AA355,12),AND(AO355="K5-POLICY",AL355&lt;&gt;"นิติศาสตร์",OR(Y355="S2",Y355="K5")),AA355,AND(AO355="K5-POLICY",AL355&lt;&gt;"นิติศาสตร์",OR(K355="M2",K355="K4"),U355&gt;=2),EDATE(R355,12*2),AND(AO355="K5-POLICY",AL355&lt;&gt;"นิติศาสตร์",K355="S1",U355&gt;=1),EDATE(R355,12),AND(AO355="K5-POLICY",AL355&lt;&gt;"นิติศาสตร์",OR(K355="S2",K355="K5")),R355,TRUE,"Check Data")</f>
        <v/>
      </c>
      <c r="AQ355" s="75" t="str">
        <f t="shared" si="163"/>
        <v>Check Data</v>
      </c>
      <c r="AR355" s="76" t="str">
        <f t="shared" si="164"/>
        <v>Check Data</v>
      </c>
      <c r="AS355" s="50" t="str">
        <f t="shared" si="165"/>
        <v>Check Data</v>
      </c>
      <c r="AT355" s="49" t="str">
        <f>IF(B355="","",IF(K355="S1","S1",INDEX(#REF!,#REF!)))</f>
        <v/>
      </c>
      <c r="AU355" s="49" t="str">
        <f t="shared" si="166"/>
        <v>K4</v>
      </c>
      <c r="AV355" s="50" t="b">
        <f t="shared" si="167"/>
        <v>0</v>
      </c>
    </row>
    <row r="356" spans="1:48" ht="21.75">
      <c r="A356" s="49">
        <v>354</v>
      </c>
      <c r="B356" s="50"/>
      <c r="C356" s="52"/>
      <c r="D356" s="84"/>
      <c r="E356" s="85"/>
      <c r="F356" s="85"/>
      <c r="G356" s="50">
        <f t="shared" si="152"/>
        <v>0</v>
      </c>
      <c r="H356" s="50">
        <f t="shared" si="153"/>
        <v>0</v>
      </c>
      <c r="I356" s="50">
        <f t="shared" si="154"/>
        <v>0</v>
      </c>
      <c r="J356" s="84"/>
      <c r="K356" s="49" t="s">
        <v>137</v>
      </c>
      <c r="L356" s="49" t="str">
        <f>IF(B356="","",IF(K356="S1",K356,INDEX(#REF!,#REF!)))</f>
        <v/>
      </c>
      <c r="M356" s="49" t="b">
        <f t="shared" si="155"/>
        <v>0</v>
      </c>
      <c r="N356" s="87"/>
      <c r="O356" s="85"/>
      <c r="P356" s="85"/>
      <c r="Q356" s="65" t="s">
        <v>463</v>
      </c>
      <c r="R356" s="49" t="str">
        <f t="shared" si="156"/>
        <v>14/08/2024</v>
      </c>
      <c r="S356" s="49" t="str">
        <f>IF(B356="","",IF(K356="S1",K356,INDEX(#REF!,#REF!)))</f>
        <v/>
      </c>
      <c r="T356" s="49" t="b">
        <f t="shared" si="157"/>
        <v>0</v>
      </c>
      <c r="U356" s="68">
        <f t="shared" si="158"/>
        <v>0</v>
      </c>
      <c r="V356" s="68">
        <f t="shared" si="159"/>
        <v>10</v>
      </c>
      <c r="W356" s="68">
        <f t="shared" si="160"/>
        <v>6</v>
      </c>
      <c r="X356" s="88"/>
      <c r="Y356" s="65"/>
      <c r="Z356" s="89"/>
      <c r="AA356" s="85"/>
      <c r="AB356" s="88"/>
      <c r="AC356" s="88"/>
      <c r="AD356" s="88"/>
      <c r="AE356" s="85"/>
      <c r="AF356" s="89"/>
      <c r="AG356" s="84"/>
      <c r="AH356" s="88"/>
      <c r="AI356" s="88"/>
      <c r="AJ356" s="88"/>
      <c r="AK356" s="84"/>
      <c r="AL356" s="84"/>
      <c r="AM356" s="50" t="str">
        <f>IF(B356="","",IF(K356="S1",K356,INDEX(#REF!,#REF!)))</f>
        <v/>
      </c>
      <c r="AN356" s="50" t="b">
        <f t="shared" si="161"/>
        <v>1</v>
      </c>
      <c r="AO356" s="49" t="str">
        <f t="shared" si="162"/>
        <v>K5-POLICY</v>
      </c>
      <c r="AP356" s="72" t="str">
        <f>_xlfn.IFS(B356="","",AND(AO356="K5-LAW",AL356="นิติศาสตร์",K356="S2",Y356="",AE356=""),R356,AND(AO356="K5-LAW",AL356="นิติศาสตร์",K356="S1",Y356="",AE356=""),EDATE(R356,12),AND(AO356="K5-LAW",AL356="นิติศาสตร์",OR(K356="M2",K356="K4"),Y356="",AE356=""),EDATE(R356,12*2),AND(AO356="K5-LAW",AL356="นิติศาสตร์",OR(AE356="M2",AE356="K4"),AH356&gt;=2,OR(AG356&lt;AA356,AG356&lt;R356)),EDATE(AG356,12*2),AND(AO356="K5-LAW",AL356="นิติศาสตร์",AE356="S1",AH356&gt;=1,OR(AG356&lt;AA356,AG356&lt;R356)),EDATE(AG356,12),AND(AO356="K5-LAW",AL356="นิติศาสตร์",OR(Y356="M2",Y356="K4"),AB356&gt;=2,AA356&lt;R356),EDATE(AA356,12*2),AND(AO356="K5-LAW",AL356="นิติศาสตร์",Y356="S1",AB356&gt;=1,AA356&lt;R356),EDATE(AA356,12),AND(AO356="K5-LAW",AL356="นิติศาสตร์",OR(Y356="S2",Y356="K5")),AA356,AND(AO356="K5-LAW",AL356="นิติศาสตร์",OR(K356="M2",K356="K4"),U356&gt;=2),EDATE(R356,12*2),AND(AO356="K5-LAW",AL356="นิติศาสตร์",K356="S1",U356&gt;=1),EDATE(R356,12),AND(AO356="K5-LAW",AL356="นิติศาสตร์",OR(K356="S2",K356="K5")),R356,AND(AO356="K5-POLICY",AL356&lt;&gt;"นิติศาสตร์",K356="S2",Y356="",AE356=""),R356,AND(AO356="K5-POLICY",AL356&lt;&gt;"นิติศาสตร์",K356="S1",Y356="",AE356=""),EDATE(R356,12),AND(AO356="K5-POLICY",AL356&lt;&gt;"นิติศาสตร์",OR(K356="M2",K356="K4"),Y356="",AE356=""),EDATE(R356,12*2),AND(AO356="K5-POLICY",AL356&lt;&gt;"นิติศาสตร์",OR(AE356="M2",AE356="K4"),AH356&gt;=2,OR(AG356&lt;AA356,AG356&lt;R356)),EDATE(AG356,12*2),AND(AO356="K5-POLICY",AL356&lt;&gt;"นิติศาสตร์",AE356="S1",AH356&gt;=1,OR(AG356&lt;AA356,AG356&lt;R356)),EDATE(AG356,12),AND(AO356="K5-POLICY",AL356&lt;&gt;"นิติศาสตร์",OR(Y356="M2",Y356="K4"),AB356&gt;=2,AA356&lt;R356),EDATE(AA356,12*2),AND(AO356="K5-POLICY",AL356&lt;&gt;"นิติศาสตร์",Y356="S1",AB356&gt;=1,AA356&lt;R356),EDATE(AA356,12),AND(AO356="K5-POLICY",AL356&lt;&gt;"นิติศาสตร์",OR(Y356="S2",Y356="K5")),AA356,AND(AO356="K5-POLICY",AL356&lt;&gt;"นิติศาสตร์",OR(K356="M2",K356="K4"),U356&gt;=2),EDATE(R356,12*2),AND(AO356="K5-POLICY",AL356&lt;&gt;"นิติศาสตร์",K356="S1",U356&gt;=1),EDATE(R356,12),AND(AO356="K5-POLICY",AL356&lt;&gt;"นิติศาสตร์",OR(K356="S2",K356="K5")),R356,TRUE,"Check Data")</f>
        <v/>
      </c>
      <c r="AQ356" s="75" t="str">
        <f t="shared" si="163"/>
        <v>Check Data</v>
      </c>
      <c r="AR356" s="76" t="str">
        <f t="shared" si="164"/>
        <v>Check Data</v>
      </c>
      <c r="AS356" s="50" t="str">
        <f t="shared" si="165"/>
        <v>Check Data</v>
      </c>
      <c r="AT356" s="49" t="str">
        <f>IF(B356="","",IF(K356="S1","S1",INDEX(#REF!,#REF!)))</f>
        <v/>
      </c>
      <c r="AU356" s="49" t="str">
        <f t="shared" si="166"/>
        <v>K4</v>
      </c>
      <c r="AV356" s="50" t="b">
        <f t="shared" si="167"/>
        <v>0</v>
      </c>
    </row>
    <row r="357" spans="1:48" ht="21.75">
      <c r="A357" s="49">
        <v>355</v>
      </c>
      <c r="B357" s="50"/>
      <c r="C357" s="52"/>
      <c r="D357" s="84"/>
      <c r="E357" s="85"/>
      <c r="F357" s="85"/>
      <c r="G357" s="50">
        <f t="shared" si="152"/>
        <v>0</v>
      </c>
      <c r="H357" s="50">
        <f t="shared" si="153"/>
        <v>0</v>
      </c>
      <c r="I357" s="50">
        <f t="shared" si="154"/>
        <v>0</v>
      </c>
      <c r="J357" s="84"/>
      <c r="K357" s="49" t="s">
        <v>137</v>
      </c>
      <c r="L357" s="49" t="str">
        <f>IF(B357="","",IF(K357="S1",K357,INDEX(#REF!,#REF!)))</f>
        <v/>
      </c>
      <c r="M357" s="49" t="b">
        <f t="shared" si="155"/>
        <v>0</v>
      </c>
      <c r="N357" s="87"/>
      <c r="O357" s="85"/>
      <c r="P357" s="85"/>
      <c r="Q357" s="65" t="s">
        <v>451</v>
      </c>
      <c r="R357" s="49" t="str">
        <f t="shared" si="156"/>
        <v>18/10/2024</v>
      </c>
      <c r="S357" s="49" t="str">
        <f>IF(B357="","",IF(K357="S1",K357,INDEX(#REF!,#REF!)))</f>
        <v/>
      </c>
      <c r="T357" s="49" t="b">
        <f t="shared" si="157"/>
        <v>0</v>
      </c>
      <c r="U357" s="68">
        <f t="shared" si="158"/>
        <v>0</v>
      </c>
      <c r="V357" s="68">
        <f t="shared" si="159"/>
        <v>8</v>
      </c>
      <c r="W357" s="68">
        <f t="shared" si="160"/>
        <v>2</v>
      </c>
      <c r="X357" s="88"/>
      <c r="Y357" s="65"/>
      <c r="Z357" s="89"/>
      <c r="AA357" s="85"/>
      <c r="AB357" s="88"/>
      <c r="AC357" s="88"/>
      <c r="AD357" s="88"/>
      <c r="AE357" s="85"/>
      <c r="AF357" s="89"/>
      <c r="AG357" s="84"/>
      <c r="AH357" s="88"/>
      <c r="AI357" s="88"/>
      <c r="AJ357" s="88"/>
      <c r="AK357" s="84"/>
      <c r="AL357" s="84"/>
      <c r="AM357" s="50" t="str">
        <f>IF(B357="","",IF(K357="S1",K357,INDEX(#REF!,#REF!)))</f>
        <v/>
      </c>
      <c r="AN357" s="50" t="b">
        <f t="shared" si="161"/>
        <v>1</v>
      </c>
      <c r="AO357" s="49" t="str">
        <f t="shared" si="162"/>
        <v>K5-POLICY</v>
      </c>
      <c r="AP357" s="72" t="str">
        <f>_xlfn.IFS(B357="","",AND(AO357="K5-LAW",AL357="นิติศาสตร์",K357="S2",Y357="",AE357=""),R357,AND(AO357="K5-LAW",AL357="นิติศาสตร์",K357="S1",Y357="",AE357=""),EDATE(R357,12),AND(AO357="K5-LAW",AL357="นิติศาสตร์",OR(K357="M2",K357="K4"),Y357="",AE357=""),EDATE(R357,12*2),AND(AO357="K5-LAW",AL357="นิติศาสตร์",OR(AE357="M2",AE357="K4"),AH357&gt;=2,OR(AG357&lt;AA357,AG357&lt;R357)),EDATE(AG357,12*2),AND(AO357="K5-LAW",AL357="นิติศาสตร์",AE357="S1",AH357&gt;=1,OR(AG357&lt;AA357,AG357&lt;R357)),EDATE(AG357,12),AND(AO357="K5-LAW",AL357="นิติศาสตร์",OR(Y357="M2",Y357="K4"),AB357&gt;=2,AA357&lt;R357),EDATE(AA357,12*2),AND(AO357="K5-LAW",AL357="นิติศาสตร์",Y357="S1",AB357&gt;=1,AA357&lt;R357),EDATE(AA357,12),AND(AO357="K5-LAW",AL357="นิติศาสตร์",OR(Y357="S2",Y357="K5")),AA357,AND(AO357="K5-LAW",AL357="นิติศาสตร์",OR(K357="M2",K357="K4"),U357&gt;=2),EDATE(R357,12*2),AND(AO357="K5-LAW",AL357="นิติศาสตร์",K357="S1",U357&gt;=1),EDATE(R357,12),AND(AO357="K5-LAW",AL357="นิติศาสตร์",OR(K357="S2",K357="K5")),R357,AND(AO357="K5-POLICY",AL357&lt;&gt;"นิติศาสตร์",K357="S2",Y357="",AE357=""),R357,AND(AO357="K5-POLICY",AL357&lt;&gt;"นิติศาสตร์",K357="S1",Y357="",AE357=""),EDATE(R357,12),AND(AO357="K5-POLICY",AL357&lt;&gt;"นิติศาสตร์",OR(K357="M2",K357="K4"),Y357="",AE357=""),EDATE(R357,12*2),AND(AO357="K5-POLICY",AL357&lt;&gt;"นิติศาสตร์",OR(AE357="M2",AE357="K4"),AH357&gt;=2,OR(AG357&lt;AA357,AG357&lt;R357)),EDATE(AG357,12*2),AND(AO357="K5-POLICY",AL357&lt;&gt;"นิติศาสตร์",AE357="S1",AH357&gt;=1,OR(AG357&lt;AA357,AG357&lt;R357)),EDATE(AG357,12),AND(AO357="K5-POLICY",AL357&lt;&gt;"นิติศาสตร์",OR(Y357="M2",Y357="K4"),AB357&gt;=2,AA357&lt;R357),EDATE(AA357,12*2),AND(AO357="K5-POLICY",AL357&lt;&gt;"นิติศาสตร์",Y357="S1",AB357&gt;=1,AA357&lt;R357),EDATE(AA357,12),AND(AO357="K5-POLICY",AL357&lt;&gt;"นิติศาสตร์",OR(Y357="S2",Y357="K5")),AA357,AND(AO357="K5-POLICY",AL357&lt;&gt;"นิติศาสตร์",OR(K357="M2",K357="K4"),U357&gt;=2),EDATE(R357,12*2),AND(AO357="K5-POLICY",AL357&lt;&gt;"นิติศาสตร์",K357="S1",U357&gt;=1),EDATE(R357,12),AND(AO357="K5-POLICY",AL357&lt;&gt;"นิติศาสตร์",OR(K357="S2",K357="K5")),R357,TRUE,"Check Data")</f>
        <v/>
      </c>
      <c r="AQ357" s="75" t="str">
        <f t="shared" si="163"/>
        <v>Check Data</v>
      </c>
      <c r="AR357" s="76" t="str">
        <f t="shared" si="164"/>
        <v>Check Data</v>
      </c>
      <c r="AS357" s="50" t="str">
        <f t="shared" si="165"/>
        <v>Check Data</v>
      </c>
      <c r="AT357" s="49" t="str">
        <f>IF(B357="","",IF(K357="S1","S1",INDEX(#REF!,#REF!)))</f>
        <v/>
      </c>
      <c r="AU357" s="49" t="str">
        <f t="shared" si="166"/>
        <v>K4</v>
      </c>
      <c r="AV357" s="50" t="b">
        <f t="shared" si="167"/>
        <v>0</v>
      </c>
    </row>
    <row r="358" spans="1:48" ht="21.75">
      <c r="A358" s="49">
        <v>356</v>
      </c>
      <c r="B358" s="50"/>
      <c r="C358" s="52"/>
      <c r="D358" s="84"/>
      <c r="E358" s="85"/>
      <c r="F358" s="85"/>
      <c r="G358" s="50">
        <f t="shared" si="152"/>
        <v>0</v>
      </c>
      <c r="H358" s="50">
        <f t="shared" si="153"/>
        <v>0</v>
      </c>
      <c r="I358" s="50">
        <f t="shared" si="154"/>
        <v>0</v>
      </c>
      <c r="J358" s="84"/>
      <c r="K358" s="49" t="s">
        <v>137</v>
      </c>
      <c r="L358" s="49" t="str">
        <f>IF(B358="","",IF(K358="S1",K358,INDEX(#REF!,#REF!)))</f>
        <v/>
      </c>
      <c r="M358" s="49" t="b">
        <f t="shared" si="155"/>
        <v>0</v>
      </c>
      <c r="N358" s="87"/>
      <c r="O358" s="85"/>
      <c r="P358" s="85"/>
      <c r="Q358" s="65" t="s">
        <v>452</v>
      </c>
      <c r="R358" s="49" t="str">
        <f t="shared" si="156"/>
        <v>25/02/2025</v>
      </c>
      <c r="S358" s="49" t="str">
        <f>IF(B358="","",IF(K358="S1",K358,INDEX(#REF!,#REF!)))</f>
        <v/>
      </c>
      <c r="T358" s="49" t="b">
        <f t="shared" si="157"/>
        <v>0</v>
      </c>
      <c r="U358" s="68">
        <f t="shared" si="158"/>
        <v>0</v>
      </c>
      <c r="V358" s="68">
        <f t="shared" si="159"/>
        <v>3</v>
      </c>
      <c r="W358" s="68">
        <f t="shared" si="160"/>
        <v>26</v>
      </c>
      <c r="X358" s="88"/>
      <c r="Y358" s="65"/>
      <c r="Z358" s="89"/>
      <c r="AA358" s="85"/>
      <c r="AB358" s="88"/>
      <c r="AC358" s="88"/>
      <c r="AD358" s="88"/>
      <c r="AE358" s="85"/>
      <c r="AF358" s="89"/>
      <c r="AG358" s="84"/>
      <c r="AH358" s="88"/>
      <c r="AI358" s="88"/>
      <c r="AJ358" s="88"/>
      <c r="AK358" s="84"/>
      <c r="AL358" s="84"/>
      <c r="AM358" s="50" t="str">
        <f>IF(B358="","",IF(K358="S1",K358,INDEX(#REF!,#REF!)))</f>
        <v/>
      </c>
      <c r="AN358" s="50" t="b">
        <f t="shared" si="161"/>
        <v>1</v>
      </c>
      <c r="AO358" s="49" t="str">
        <f t="shared" si="162"/>
        <v>K5-POLICY</v>
      </c>
      <c r="AP358" s="72" t="str">
        <f>_xlfn.IFS(B358="","",AND(AO358="K5-LAW",AL358="นิติศาสตร์",K358="S2",Y358="",AE358=""),R358,AND(AO358="K5-LAW",AL358="นิติศาสตร์",K358="S1",Y358="",AE358=""),EDATE(R358,12),AND(AO358="K5-LAW",AL358="นิติศาสตร์",OR(K358="M2",K358="K4"),Y358="",AE358=""),EDATE(R358,12*2),AND(AO358="K5-LAW",AL358="นิติศาสตร์",OR(AE358="M2",AE358="K4"),AH358&gt;=2,OR(AG358&lt;AA358,AG358&lt;R358)),EDATE(AG358,12*2),AND(AO358="K5-LAW",AL358="นิติศาสตร์",AE358="S1",AH358&gt;=1,OR(AG358&lt;AA358,AG358&lt;R358)),EDATE(AG358,12),AND(AO358="K5-LAW",AL358="นิติศาสตร์",OR(Y358="M2",Y358="K4"),AB358&gt;=2,AA358&lt;R358),EDATE(AA358,12*2),AND(AO358="K5-LAW",AL358="นิติศาสตร์",Y358="S1",AB358&gt;=1,AA358&lt;R358),EDATE(AA358,12),AND(AO358="K5-LAW",AL358="นิติศาสตร์",OR(Y358="S2",Y358="K5")),AA358,AND(AO358="K5-LAW",AL358="นิติศาสตร์",OR(K358="M2",K358="K4"),U358&gt;=2),EDATE(R358,12*2),AND(AO358="K5-LAW",AL358="นิติศาสตร์",K358="S1",U358&gt;=1),EDATE(R358,12),AND(AO358="K5-LAW",AL358="นิติศาสตร์",OR(K358="S2",K358="K5")),R358,AND(AO358="K5-POLICY",AL358&lt;&gt;"นิติศาสตร์",K358="S2",Y358="",AE358=""),R358,AND(AO358="K5-POLICY",AL358&lt;&gt;"นิติศาสตร์",K358="S1",Y358="",AE358=""),EDATE(R358,12),AND(AO358="K5-POLICY",AL358&lt;&gt;"นิติศาสตร์",OR(K358="M2",K358="K4"),Y358="",AE358=""),EDATE(R358,12*2),AND(AO358="K5-POLICY",AL358&lt;&gt;"นิติศาสตร์",OR(AE358="M2",AE358="K4"),AH358&gt;=2,OR(AG358&lt;AA358,AG358&lt;R358)),EDATE(AG358,12*2),AND(AO358="K5-POLICY",AL358&lt;&gt;"นิติศาสตร์",AE358="S1",AH358&gt;=1,OR(AG358&lt;AA358,AG358&lt;R358)),EDATE(AG358,12),AND(AO358="K5-POLICY",AL358&lt;&gt;"นิติศาสตร์",OR(Y358="M2",Y358="K4"),AB358&gt;=2,AA358&lt;R358),EDATE(AA358,12*2),AND(AO358="K5-POLICY",AL358&lt;&gt;"นิติศาสตร์",Y358="S1",AB358&gt;=1,AA358&lt;R358),EDATE(AA358,12),AND(AO358="K5-POLICY",AL358&lt;&gt;"นิติศาสตร์",OR(Y358="S2",Y358="K5")),AA358,AND(AO358="K5-POLICY",AL358&lt;&gt;"นิติศาสตร์",OR(K358="M2",K358="K4"),U358&gt;=2),EDATE(R358,12*2),AND(AO358="K5-POLICY",AL358&lt;&gt;"นิติศาสตร์",K358="S1",U358&gt;=1),EDATE(R358,12),AND(AO358="K5-POLICY",AL358&lt;&gt;"นิติศาสตร์",OR(K358="S2",K358="K5")),R358,TRUE,"Check Data")</f>
        <v/>
      </c>
      <c r="AQ358" s="75" t="str">
        <f t="shared" si="163"/>
        <v>Check Data</v>
      </c>
      <c r="AR358" s="76" t="str">
        <f t="shared" si="164"/>
        <v>Check Data</v>
      </c>
      <c r="AS358" s="50" t="str">
        <f t="shared" si="165"/>
        <v>Check Data</v>
      </c>
      <c r="AT358" s="49" t="str">
        <f>IF(B358="","",IF(K358="S1","S1",INDEX(#REF!,#REF!)))</f>
        <v/>
      </c>
      <c r="AU358" s="49" t="str">
        <f t="shared" si="166"/>
        <v>K4</v>
      </c>
      <c r="AV358" s="50" t="b">
        <f t="shared" si="167"/>
        <v>0</v>
      </c>
    </row>
  </sheetData>
  <autoFilter ref="A2:AW358" xr:uid="{00000000-0009-0000-0000-000012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P358"/>
  <sheetViews>
    <sheetView workbookViewId="0">
      <pane xSplit="3" ySplit="2" topLeftCell="AL3" activePane="bottomRight" state="frozen"/>
      <selection pane="topRight"/>
      <selection pane="bottomLeft"/>
      <selection pane="bottomRight" activeCell="AH1" sqref="AH1:AI1048576"/>
    </sheetView>
  </sheetViews>
  <sheetFormatPr defaultColWidth="9" defaultRowHeight="14.25"/>
  <cols>
    <col min="2" max="2" width="17.625" customWidth="1"/>
    <col min="3" max="3" width="38.25" customWidth="1"/>
    <col min="4" max="4" width="45.5" customWidth="1"/>
    <col min="5" max="5" width="16.5" customWidth="1"/>
    <col min="6" max="6" width="16.125" customWidth="1"/>
    <col min="10" max="10" width="41.25" customWidth="1"/>
    <col min="11" max="11" width="22.875" customWidth="1"/>
    <col min="14" max="14" width="21.75" customWidth="1"/>
    <col min="15" max="15" width="28.75" customWidth="1"/>
    <col min="16" max="16" width="28.5" customWidth="1"/>
    <col min="20" max="20" width="30.125" style="43" customWidth="1"/>
    <col min="21" max="21" width="43.125" style="43" customWidth="1"/>
    <col min="22" max="22" width="43.125" customWidth="1"/>
    <col min="26" max="26" width="33.625" customWidth="1"/>
    <col min="27" max="28" width="43.25" customWidth="1"/>
    <col min="32" max="32" width="17.875" customWidth="1"/>
    <col min="33" max="33" width="47.25" customWidth="1"/>
    <col min="34" max="34" width="17.25" customWidth="1"/>
    <col min="35" max="35" width="36.25" customWidth="1"/>
    <col min="36" max="36" width="36.625" customWidth="1"/>
    <col min="37" max="37" width="20" customWidth="1"/>
    <col min="38" max="38" width="16.375" customWidth="1"/>
    <col min="39" max="40" width="24.375" customWidth="1"/>
    <col min="41" max="41" width="16.375" customWidth="1"/>
  </cols>
  <sheetData>
    <row r="1" spans="1:42" ht="21.75">
      <c r="B1" s="44" t="s">
        <v>50</v>
      </c>
      <c r="C1" s="46">
        <v>45828</v>
      </c>
      <c r="D1" s="46"/>
      <c r="E1" s="45"/>
      <c r="F1" s="55"/>
      <c r="J1" s="45" t="s">
        <v>0</v>
      </c>
      <c r="K1" s="62">
        <v>232387</v>
      </c>
      <c r="L1" s="62">
        <f>IF(AND(LEFT(K1,2)="29",MID(K1,4,1)="2"),LEFT(K1,2)&amp;"/"&amp;MID(K1,4,1)&amp;"/"&amp;RIGHT(K1,4)-543,EDATE(K1,-543*12))</f>
        <v>34060</v>
      </c>
      <c r="M1" s="62"/>
      <c r="N1" s="62"/>
      <c r="O1" s="63"/>
      <c r="P1" s="45"/>
      <c r="Q1" s="66"/>
      <c r="R1" s="66"/>
      <c r="S1" s="66"/>
      <c r="T1" s="67"/>
      <c r="U1" s="67"/>
      <c r="W1" s="66"/>
      <c r="X1" s="66"/>
      <c r="Y1" s="66"/>
      <c r="Z1" s="67"/>
      <c r="AA1" s="67"/>
      <c r="AC1" s="66"/>
      <c r="AD1" s="66"/>
      <c r="AE1" s="66"/>
      <c r="AH1" s="55"/>
      <c r="AI1" s="70"/>
      <c r="AJ1" s="70"/>
      <c r="AK1" s="73"/>
    </row>
    <row r="2" spans="1:42" ht="21.75">
      <c r="A2" s="47" t="s">
        <v>51</v>
      </c>
      <c r="B2" s="48" t="s">
        <v>52</v>
      </c>
      <c r="C2" s="47" t="s">
        <v>53</v>
      </c>
      <c r="D2" s="47" t="s">
        <v>23</v>
      </c>
      <c r="E2" s="47" t="s">
        <v>469</v>
      </c>
      <c r="F2" s="47" t="s">
        <v>470</v>
      </c>
      <c r="G2" s="48" t="s">
        <v>4</v>
      </c>
      <c r="H2" s="48" t="s">
        <v>5</v>
      </c>
      <c r="I2" s="48" t="s">
        <v>6</v>
      </c>
      <c r="J2" s="47" t="s">
        <v>55</v>
      </c>
      <c r="K2" s="47" t="s">
        <v>56</v>
      </c>
      <c r="L2" s="47" t="s">
        <v>151</v>
      </c>
      <c r="M2" s="47" t="s">
        <v>152</v>
      </c>
      <c r="N2" s="47" t="s">
        <v>150</v>
      </c>
      <c r="O2" s="48" t="s">
        <v>471</v>
      </c>
      <c r="P2" s="47" t="s">
        <v>472</v>
      </c>
      <c r="Q2" s="48" t="s">
        <v>4</v>
      </c>
      <c r="R2" s="48" t="s">
        <v>5</v>
      </c>
      <c r="S2" s="48" t="s">
        <v>6</v>
      </c>
      <c r="T2" s="48" t="s">
        <v>132</v>
      </c>
      <c r="U2" s="48" t="s">
        <v>473</v>
      </c>
      <c r="V2" s="47" t="s">
        <v>474</v>
      </c>
      <c r="W2" s="48" t="s">
        <v>4</v>
      </c>
      <c r="X2" s="48" t="s">
        <v>5</v>
      </c>
      <c r="Y2" s="48" t="s">
        <v>6</v>
      </c>
      <c r="Z2" s="48" t="s">
        <v>133</v>
      </c>
      <c r="AA2" s="48" t="s">
        <v>475</v>
      </c>
      <c r="AB2" s="47" t="s">
        <v>476</v>
      </c>
      <c r="AC2" s="48" t="s">
        <v>4</v>
      </c>
      <c r="AD2" s="48" t="s">
        <v>5</v>
      </c>
      <c r="AE2" s="48" t="s">
        <v>6</v>
      </c>
      <c r="AF2" s="47" t="s">
        <v>61</v>
      </c>
      <c r="AG2" s="47" t="s">
        <v>134</v>
      </c>
      <c r="AH2" s="47" t="s">
        <v>62</v>
      </c>
      <c r="AI2" s="71" t="s">
        <v>477</v>
      </c>
      <c r="AJ2" s="71" t="s">
        <v>478</v>
      </c>
      <c r="AK2" s="74" t="s">
        <v>69</v>
      </c>
      <c r="AL2" s="47" t="s">
        <v>70</v>
      </c>
      <c r="AM2" s="47" t="s">
        <v>479</v>
      </c>
      <c r="AN2" s="47" t="s">
        <v>480</v>
      </c>
      <c r="AO2" s="47" t="s">
        <v>441</v>
      </c>
      <c r="AP2" s="47" t="s">
        <v>440</v>
      </c>
    </row>
    <row r="3" spans="1:42" ht="21.75">
      <c r="A3" s="49">
        <v>1</v>
      </c>
      <c r="B3" s="50"/>
      <c r="C3" s="51"/>
      <c r="D3" s="50" t="s">
        <v>145</v>
      </c>
      <c r="E3" s="49" t="s">
        <v>171</v>
      </c>
      <c r="F3" s="49" t="str">
        <f t="shared" ref="F3:F66" si="0">IF(E3="","",TEXT(EDATE(E3,-543*12),"dd/mm/yyyy"))</f>
        <v>12/05/1984</v>
      </c>
      <c r="G3" s="50">
        <f t="shared" ref="G3:G66" si="1">IF(F3="",0,DATEDIF(F3,$C$1,"Y"))</f>
        <v>41</v>
      </c>
      <c r="H3" s="50">
        <f t="shared" ref="H3:H66" si="2">IF(F3="",0,DATEDIF(F3,$C$1,"YM"))</f>
        <v>1</v>
      </c>
      <c r="I3" s="50">
        <f t="shared" ref="I3:I66" si="3">IF(F3="",0,DATEDIF(F3,$C$1,"MD"))</f>
        <v>8</v>
      </c>
      <c r="J3" s="50" t="s">
        <v>160</v>
      </c>
      <c r="K3" s="49" t="s">
        <v>135</v>
      </c>
      <c r="L3" s="64"/>
      <c r="M3" s="49"/>
      <c r="N3" s="49">
        <v>2569</v>
      </c>
      <c r="O3" s="65" t="s">
        <v>481</v>
      </c>
      <c r="P3" s="49" t="str">
        <f t="shared" ref="P3:P66" si="4">TEXT(EDATE(O3,-543*12),"dd/mm/yyyy")</f>
        <v>20/12/2019</v>
      </c>
      <c r="Q3" s="68">
        <f t="shared" ref="Q3:Q66" si="5">IF(P3="",0,DATEDIF(P3,$C$1,"Y"))</f>
        <v>5</v>
      </c>
      <c r="R3" s="68">
        <f t="shared" ref="R3:R66" si="6">IF(P3="",0,DATEDIF(P3,$C$1,"YM"))</f>
        <v>6</v>
      </c>
      <c r="S3" s="68">
        <f t="shared" ref="S3:S66" si="7">IF(P3="",0,DATEDIF(P3,$C$1,"MD"))</f>
        <v>0</v>
      </c>
      <c r="T3" s="65"/>
      <c r="U3" s="65"/>
      <c r="V3" s="49" t="str">
        <f t="shared" ref="V3:V66" si="8">IF(U3="","",TEXT(EDATE(U3,-543*12),"dd/mm/yyyy"))</f>
        <v/>
      </c>
      <c r="W3" s="68">
        <f>IF(V3="",0,DATEDIF(V3,P3,"Y"))</f>
        <v>0</v>
      </c>
      <c r="X3" s="68">
        <f>IF(V3="",0,DATEDIF(V3,P3,"YM"))</f>
        <v>0</v>
      </c>
      <c r="Y3" s="68">
        <f>IF(V3="",0,DATEDIF(V3,P3,"MD"))</f>
        <v>0</v>
      </c>
      <c r="Z3" s="49"/>
      <c r="AA3" s="65"/>
      <c r="AB3" s="50" t="str">
        <f t="shared" ref="AB3:AB66" si="9">IF(AA3="","",TEXT(EDATE(AA3,-543*12),"dd/mm/yyyy"))</f>
        <v/>
      </c>
      <c r="AC3" s="68">
        <f t="shared" ref="AC3:AC66" si="10">IF(AB3="",0,DATEDIF(AB3,V3,"Y"))</f>
        <v>0</v>
      </c>
      <c r="AD3" s="68">
        <f t="shared" ref="AD3:AD66" si="11">IF(AB3="",0,DATEDIF(AB3,V3,"YM"))</f>
        <v>0</v>
      </c>
      <c r="AE3" s="68">
        <f t="shared" ref="AE3:AE66" si="12">IF(AB3="",0,DATEDIF(AB3,V3,"MD"))</f>
        <v>0</v>
      </c>
      <c r="AF3" s="50"/>
      <c r="AG3" s="50" t="s">
        <v>163</v>
      </c>
      <c r="AH3" s="49" t="str">
        <f>IF(AG3="นิติศาสตร์","K5-LAW","K5-POLICY")</f>
        <v>K5-POLICY</v>
      </c>
      <c r="AI3" s="72" t="str">
        <f>_xlfn.IFS(B3="","",AND(AH3="K5-LAW",AG3="นิติศาสตร์",K3="S2",T3="",Z3=""),P3,AND(AH3="K5-LAW",AG3="นิติศาสตร์",K3="S1",T3="",Z3=""),EDATE(P3,12),AND(AH3="K5-LAW",AG3="นิติศาสตร์",OR(K3="M2",K3="K4"),T3="",Z3=""),EDATE(P3,12*2),AND(AH3="K5-LAW",AG3="นิติศาสตร์",OR(Z3="M2",Z3="K4"),AC3&gt;=2,OR(AB3&lt;V3,AB3&lt;P3)),EDATE(AB3,12*2),AND(AH3="K5-LAW",AG3="นิติศาสตร์",Z3="S1",AC3&gt;=1,OR(AB3&lt;V3,AB3&lt;P3)),EDATE(AB3,12),AND(AH3="K5-LAW",AG3="นิติศาสตร์",OR(T3="M2",T3="K4"),W3&gt;=2,V3&lt;P3),EDATE(V3,12*2),AND(AH3="K5-LAW",AG3="นิติศาสตร์",T3="S1",W3&gt;=1,V3&lt;P3),EDATE(V3,12),AND(AH3="K5-LAW",AG3="นิติศาสตร์",OR(T3="S2",T3="K5")),V3,AND(AH3="K5-LAW",AG3="นิติศาสตร์",OR(K3="M2",K3="K4"),Q3&gt;=2),EDATE(P3,12*2),AND(AH3="K5-LAW",AG3="นิติศาสตร์",K3="S1",Q3&gt;=1),EDATE(P3,12),AND(AH3="K5-LAW",AG3="นิติศาสตร์",OR(K3="S2",K3="K5")),P3,AND(AH3="K5-POLICY",AG3&lt;&gt;"นิติศาสตร์",K3="S2",T3="",Z3=""),P3,AND(AH3="K5-POLICY",AG3&lt;&gt;"นิติศาสตร์",K3="S1",T3="",Z3=""),EDATE(P3,12),AND(AH3="K5-POLICY",AG3&lt;&gt;"นิติศาสตร์",OR(K3="M2",K3="K4"),T3="",Z3=""),EDATE(P3,12*2),AND(AH3="K5-POLICY",AG3&lt;&gt;"นิติศาสตร์",OR(Z3="M2",Z3="K4"),AC3&gt;=2,OR(AB3&lt;V3,AB3&lt;P3)),EDATE(AB3,12*2),AND(AH3="K5-POLICY",AG3&lt;&gt;"นิติศาสตร์",Z3="S1",AC3&gt;=1,OR(AB3&lt;V3,AB3&lt;P3)),EDATE(AB3,12),AND(AH3="K5-POLICY",AG3&lt;&gt;"นิติศาสตร์",OR(T3="M2",T3="K4"),W3&gt;=2,V3&lt;P3),EDATE(V3,12*2),AND(AH3="K5-POLICY",AG3&lt;&gt;"นิติศาสตร์",T3="S1",W3&gt;=1,V3&lt;P3),EDATE(V3,12),AND(AH3="K5-POLICY",AG3&lt;&gt;"นิติศาสตร์",OR(T3="S2",T3="K5")),V3,AND(AH3="K5-POLICY",AG3&lt;&gt;"นิติศาสตร์",OR(K3="M2",K3="K4"),Q3&gt;=2),EDATE(P3,12*2),AND(AH3="K5-POLICY",AG3&lt;&gt;"นิติศาสตร์",K3="S1",Q3&gt;=1),EDATE(P3,12),AND(AH3="K5-POLICY",AG3&lt;&gt;"นิติศาสตร์",OR(K3="S2",K3="K5")),P3,TRUE,"Check Data")</f>
        <v/>
      </c>
      <c r="AJ3" s="75" t="str">
        <f t="shared" ref="AJ3:AJ66" si="13">IFERROR(TEXT(EDATE(AI3,543*12),"dd/mm/yyyy"),"Check Data")</f>
        <v>Check Data</v>
      </c>
      <c r="AK3" s="76" t="str">
        <f t="shared" ref="AK3:AK66" si="14">IFERROR(IF($C$1&gt;AI3,AI3-$C$1,DATEDIF($C$1,AI3,"d")),"Check Data")</f>
        <v>Check Data</v>
      </c>
      <c r="AL3" s="50" t="str">
        <f t="shared" ref="AL3:AL66" si="15">_xlfn.IFS(AK3="Check Data","Check Data",AK3&gt;30,"ยังไม่ถึงเกณฑ์",AK3&gt;0,"ใกล้ถึงเกณฑ์",AK3=0,"ถึงเกณฑ์",AK3&lt;0,"ถึงเกณฑ์นานแล้ว")</f>
        <v>Check Data</v>
      </c>
      <c r="AM3" s="49" t="str">
        <f>IF(B3="","",IF(K3="S1","S1",INDEX(#REF!,#REF!)))</f>
        <v/>
      </c>
      <c r="AN3" s="49" t="str">
        <f>K3</f>
        <v>S1</v>
      </c>
      <c r="AO3" s="50" t="b">
        <f>K3=AM3</f>
        <v>0</v>
      </c>
      <c r="AP3" s="77"/>
    </row>
    <row r="4" spans="1:42" ht="21.75">
      <c r="A4" s="49">
        <v>2</v>
      </c>
      <c r="B4" s="50"/>
      <c r="C4" s="51"/>
      <c r="D4" s="50" t="s">
        <v>139</v>
      </c>
      <c r="E4" s="49" t="s">
        <v>194</v>
      </c>
      <c r="F4" s="49" t="str">
        <f t="shared" si="0"/>
        <v>06/03/1997</v>
      </c>
      <c r="G4" s="50">
        <f t="shared" si="1"/>
        <v>28</v>
      </c>
      <c r="H4" s="50">
        <f t="shared" si="2"/>
        <v>3</v>
      </c>
      <c r="I4" s="50">
        <f t="shared" si="3"/>
        <v>14</v>
      </c>
      <c r="J4" s="50" t="s">
        <v>154</v>
      </c>
      <c r="K4" s="49" t="s">
        <v>135</v>
      </c>
      <c r="L4" s="64"/>
      <c r="M4" s="49"/>
      <c r="N4" s="49">
        <v>2574</v>
      </c>
      <c r="O4" s="65" t="s">
        <v>195</v>
      </c>
      <c r="P4" s="49" t="str">
        <f t="shared" si="4"/>
        <v>24/02/2020</v>
      </c>
      <c r="Q4" s="68">
        <f t="shared" si="5"/>
        <v>5</v>
      </c>
      <c r="R4" s="68">
        <f t="shared" si="6"/>
        <v>3</v>
      </c>
      <c r="S4" s="68">
        <f t="shared" si="7"/>
        <v>27</v>
      </c>
      <c r="T4" s="65"/>
      <c r="U4" s="65"/>
      <c r="V4" s="49" t="str">
        <f t="shared" si="8"/>
        <v/>
      </c>
      <c r="W4" s="68">
        <f>IF(V4="",0,DATEDIF(V4,P4,"Y"))</f>
        <v>0</v>
      </c>
      <c r="X4" s="68">
        <f>IF(V4="",0,DATEDIF(V4,P4,"YM"))</f>
        <v>0</v>
      </c>
      <c r="Y4" s="68">
        <f>IF(V4="",0,DATEDIF(V4,P4,"MD"))</f>
        <v>0</v>
      </c>
      <c r="Z4" s="49"/>
      <c r="AA4" s="65"/>
      <c r="AB4" s="50" t="str">
        <f t="shared" si="9"/>
        <v/>
      </c>
      <c r="AC4" s="68">
        <f t="shared" si="10"/>
        <v>0</v>
      </c>
      <c r="AD4" s="68">
        <f t="shared" si="11"/>
        <v>0</v>
      </c>
      <c r="AE4" s="68">
        <f t="shared" si="12"/>
        <v>0</v>
      </c>
      <c r="AF4" s="50"/>
      <c r="AG4" s="50" t="s">
        <v>482</v>
      </c>
      <c r="AH4" s="49" t="str">
        <f>IF(AG4="นิติศาสตร์","K5-LAW","K5-POLICY")</f>
        <v>K5-POLICY</v>
      </c>
      <c r="AI4" s="72" t="str">
        <f>_xlfn.IFS(B4="","",AND(AH4="K5-LAW",AG4="นิติศาสตร์",K4="S2",T4="",Z4=""),P4,AND(AH4="K5-LAW",AG4="นิติศาสตร์",K4="S1",T4="",Z4=""),EDATE(P4,12),AND(AH4="K5-LAW",AG4="นิติศาสตร์",OR(K4="M2",K4="K4"),T4="",Z4=""),EDATE(P4,12*2),AND(AH4="K5-LAW",AG4="นิติศาสตร์",OR(Z4="M2",Z4="K4"),AC4&gt;=2,OR(AB4&lt;V4,AB4&lt;P4)),EDATE(AB4,12*2),AND(AH4="K5-LAW",AG4="นิติศาสตร์",Z4="S1",AC4&gt;=1,OR(AB4&lt;V4,AB4&lt;P4)),EDATE(AB4,12),AND(AH4="K5-LAW",AG4="นิติศาสตร์",OR(T4="M2",T4="K4"),W4&gt;=2,V4&lt;P4),EDATE(V4,12*2),AND(AH4="K5-LAW",AG4="นิติศาสตร์",T4="S1",W4&gt;=1,V4&lt;P4),EDATE(V4,12),AND(AH4="K5-LAW",AG4="นิติศาสตร์",OR(T4="S2",T4="K5")),V4,AND(AH4="K5-LAW",AG4="นิติศาสตร์",OR(K4="M2",K4="K4"),Q4&gt;=2),EDATE(P4,12*2),AND(AH4="K5-LAW",AG4="นิติศาสตร์",K4="S1",Q4&gt;=1),EDATE(P4,12),AND(AH4="K5-LAW",AG4="นิติศาสตร์",OR(K4="S2",K4="K5")),P4,AND(AH4="K5-POLICY",AG4&lt;&gt;"นิติศาสตร์",K4="S2",T4="",Z4=""),P4,AND(AH4="K5-POLICY",AG4&lt;&gt;"นิติศาสตร์",K4="S1",T4="",Z4=""),EDATE(P4,12),AND(AH4="K5-POLICY",AG4&lt;&gt;"นิติศาสตร์",OR(K4="M2",K4="K4"),T4="",Z4=""),EDATE(P4,12*2),AND(AH4="K5-POLICY",AG4&lt;&gt;"นิติศาสตร์",OR(Z4="M2",Z4="K4"),AC4&gt;=2,OR(AB4&lt;V4,AB4&lt;P4)),EDATE(AB4,12*2),AND(AH4="K5-POLICY",AG4&lt;&gt;"นิติศาสตร์",Z4="S1",AC4&gt;=1,OR(AB4&lt;V4,AB4&lt;P4)),EDATE(AB4,12),AND(AH4="K5-POLICY",AG4&lt;&gt;"นิติศาสตร์",OR(T4="M2",T4="K4"),W4&gt;=2,V4&lt;P4),EDATE(V4,12*2),AND(AH4="K5-POLICY",AG4&lt;&gt;"นิติศาสตร์",T4="S1",W4&gt;=1,V4&lt;P4),EDATE(V4,12),AND(AH4="K5-POLICY",AG4&lt;&gt;"นิติศาสตร์",OR(T4="S2",T4="K5")),V4,AND(AH4="K5-POLICY",AG4&lt;&gt;"นิติศาสตร์",OR(K4="M2",K4="K4"),Q4&gt;=2),EDATE(P4,12*2),AND(AH4="K5-POLICY",AG4&lt;&gt;"นิติศาสตร์",K4="S1",Q4&gt;=1),EDATE(P4,12),AND(AH4="K5-POLICY",AG4&lt;&gt;"นิติศาสตร์",OR(K4="S2",K4="K5")),P4,TRUE,"Check Data")</f>
        <v/>
      </c>
      <c r="AJ4" s="75" t="str">
        <f t="shared" si="13"/>
        <v>Check Data</v>
      </c>
      <c r="AK4" s="76" t="str">
        <f t="shared" si="14"/>
        <v>Check Data</v>
      </c>
      <c r="AL4" s="50" t="str">
        <f t="shared" si="15"/>
        <v>Check Data</v>
      </c>
      <c r="AM4" s="49" t="str">
        <f>IF(B4="","",IF(K4="S1","S1",INDEX(#REF!,#REF!)))</f>
        <v/>
      </c>
      <c r="AN4" s="49" t="str">
        <f>K4</f>
        <v>S1</v>
      </c>
      <c r="AO4" s="50" t="b">
        <f>K4=AM4</f>
        <v>0</v>
      </c>
      <c r="AP4" s="77"/>
    </row>
    <row r="5" spans="1:42" ht="21.75">
      <c r="A5" s="49">
        <v>3</v>
      </c>
      <c r="B5" s="50"/>
      <c r="C5" s="51"/>
      <c r="D5" s="50" t="s">
        <v>146</v>
      </c>
      <c r="E5" s="49" t="s">
        <v>483</v>
      </c>
      <c r="F5" s="49" t="str">
        <f t="shared" si="0"/>
        <v>01/04/1994</v>
      </c>
      <c r="G5" s="50">
        <f t="shared" si="1"/>
        <v>31</v>
      </c>
      <c r="H5" s="50">
        <f t="shared" si="2"/>
        <v>2</v>
      </c>
      <c r="I5" s="50">
        <f t="shared" si="3"/>
        <v>19</v>
      </c>
      <c r="J5" s="50" t="s">
        <v>161</v>
      </c>
      <c r="K5" s="49" t="s">
        <v>135</v>
      </c>
      <c r="L5" s="64"/>
      <c r="M5" s="49" t="s">
        <v>423</v>
      </c>
      <c r="N5" s="49">
        <v>2575</v>
      </c>
      <c r="O5" s="65" t="s">
        <v>198</v>
      </c>
      <c r="P5" s="49" t="str">
        <f t="shared" si="4"/>
        <v>22/09/2020</v>
      </c>
      <c r="Q5" s="68">
        <f t="shared" si="5"/>
        <v>4</v>
      </c>
      <c r="R5" s="68">
        <f t="shared" si="6"/>
        <v>8</v>
      </c>
      <c r="S5" s="68">
        <f t="shared" si="7"/>
        <v>29</v>
      </c>
      <c r="T5" s="65"/>
      <c r="U5" s="65"/>
      <c r="V5" s="49" t="str">
        <f t="shared" si="8"/>
        <v/>
      </c>
      <c r="W5" s="68">
        <f>IF(V5="",0,DATEDIF(V5,P5,"Y"))</f>
        <v>0</v>
      </c>
      <c r="X5" s="68">
        <f>IF(V5="",0,DATEDIF(V5,P5,"YM"))</f>
        <v>0</v>
      </c>
      <c r="Y5" s="68">
        <f>IF(V5="",0,DATEDIF(V5,P5,"MD"))</f>
        <v>0</v>
      </c>
      <c r="Z5" s="49"/>
      <c r="AA5" s="65"/>
      <c r="AB5" s="50" t="str">
        <f t="shared" si="9"/>
        <v/>
      </c>
      <c r="AC5" s="68">
        <f t="shared" si="10"/>
        <v>0</v>
      </c>
      <c r="AD5" s="68">
        <f t="shared" si="11"/>
        <v>0</v>
      </c>
      <c r="AE5" s="68">
        <f t="shared" si="12"/>
        <v>0</v>
      </c>
      <c r="AF5" s="50"/>
      <c r="AG5" s="50" t="s">
        <v>175</v>
      </c>
      <c r="AH5" s="49" t="str">
        <f>IF(AG5="นิติศาสตร์","K5-LAW","K5-POLICY")</f>
        <v>K5-POLICY</v>
      </c>
      <c r="AI5" s="72" t="str">
        <f>_xlfn.IFS(B5="","",AND(AH5="K5-LAW",AG5="นิติศาสตร์",K5="S2",T5="",Z5=""),P5,AND(AH5="K5-LAW",AG5="นิติศาสตร์",K5="S1",T5="",Z5=""),EDATE(P5,12),AND(AH5="K5-LAW",AG5="นิติศาสตร์",OR(K5="M2",K5="K4"),T5="",Z5=""),EDATE(P5,12*2),AND(AH5="K5-LAW",AG5="นิติศาสตร์",OR(Z5="M2",Z5="K4"),AC5&gt;=2,OR(AB5&lt;V5,AB5&lt;P5)),EDATE(AB5,12*2),AND(AH5="K5-LAW",AG5="นิติศาสตร์",Z5="S1",AC5&gt;=1,OR(AB5&lt;V5,AB5&lt;P5)),EDATE(AB5,12),AND(AH5="K5-LAW",AG5="นิติศาสตร์",OR(T5="M2",T5="K4"),W5&gt;=2,V5&lt;P5),EDATE(V5,12*2),AND(AH5="K5-LAW",AG5="นิติศาสตร์",T5="S1",W5&gt;=1,V5&lt;P5),EDATE(V5,12),AND(AH5="K5-LAW",AG5="นิติศาสตร์",OR(T5="S2",T5="K5")),V5,AND(AH5="K5-LAW",AG5="นิติศาสตร์",OR(K5="M2",K5="K4"),Q5&gt;=2),EDATE(P5,12*2),AND(AH5="K5-LAW",AG5="นิติศาสตร์",K5="S1",Q5&gt;=1),EDATE(P5,12),AND(AH5="K5-LAW",AG5="นิติศาสตร์",OR(K5="S2",K5="K5")),P5,AND(AH5="K5-POLICY",AG5&lt;&gt;"นิติศาสตร์",K5="S2",T5="",Z5=""),P5,AND(AH5="K5-POLICY",AG5&lt;&gt;"นิติศาสตร์",K5="S1",T5="",Z5=""),EDATE(P5,12),AND(AH5="K5-POLICY",AG5&lt;&gt;"นิติศาสตร์",OR(K5="M2",K5="K4"),T5="",Z5=""),EDATE(P5,12*2),AND(AH5="K5-POLICY",AG5&lt;&gt;"นิติศาสตร์",OR(Z5="M2",Z5="K4"),AC5&gt;=2,OR(AB5&lt;V5,AB5&lt;P5)),EDATE(AB5,12*2),AND(AH5="K5-POLICY",AG5&lt;&gt;"นิติศาสตร์",Z5="S1",AC5&gt;=1,OR(AB5&lt;V5,AB5&lt;P5)),EDATE(AB5,12),AND(AH5="K5-POLICY",AG5&lt;&gt;"นิติศาสตร์",OR(T5="M2",T5="K4"),W5&gt;=2,V5&lt;P5),EDATE(V5,12*2),AND(AH5="K5-POLICY",AG5&lt;&gt;"นิติศาสตร์",T5="S1",W5&gt;=1,V5&lt;P5),EDATE(V5,12),AND(AH5="K5-POLICY",AG5&lt;&gt;"นิติศาสตร์",OR(T5="S2",T5="K5")),V5,AND(AH5="K5-POLICY",AG5&lt;&gt;"นิติศาสตร์",OR(K5="M2",K5="K4"),Q5&gt;=2),EDATE(P5,12*2),AND(AH5="K5-POLICY",AG5&lt;&gt;"นิติศาสตร์",K5="S1",Q5&gt;=1),EDATE(P5,12),AND(AH5="K5-POLICY",AG5&lt;&gt;"นิติศาสตร์",OR(K5="S2",K5="K5")),P5,TRUE,"Check Data")</f>
        <v/>
      </c>
      <c r="AJ5" s="75" t="str">
        <f t="shared" si="13"/>
        <v>Check Data</v>
      </c>
      <c r="AK5" s="76" t="str">
        <f t="shared" si="14"/>
        <v>Check Data</v>
      </c>
      <c r="AL5" s="50" t="str">
        <f t="shared" si="15"/>
        <v>Check Data</v>
      </c>
      <c r="AM5" s="49" t="str">
        <f>IF(B5="","",IF(K5="S1","S1",INDEX(#REF!,#REF!)))</f>
        <v/>
      </c>
      <c r="AN5" s="49" t="str">
        <f>K5</f>
        <v>S1</v>
      </c>
      <c r="AO5" s="50" t="b">
        <f>K5=AM5</f>
        <v>0</v>
      </c>
      <c r="AP5" s="77"/>
    </row>
    <row r="6" spans="1:42" ht="21.75">
      <c r="A6" s="49">
        <v>4</v>
      </c>
      <c r="B6" s="50"/>
      <c r="C6" s="51"/>
      <c r="D6" s="50" t="s">
        <v>143</v>
      </c>
      <c r="E6" s="49" t="s">
        <v>199</v>
      </c>
      <c r="F6" s="49" t="str">
        <f t="shared" si="0"/>
        <v>08/05/1983</v>
      </c>
      <c r="G6" s="50">
        <f t="shared" si="1"/>
        <v>42</v>
      </c>
      <c r="H6" s="50">
        <f t="shared" si="2"/>
        <v>1</v>
      </c>
      <c r="I6" s="50">
        <f t="shared" si="3"/>
        <v>12</v>
      </c>
      <c r="J6" s="50" t="s">
        <v>158</v>
      </c>
      <c r="K6" s="49" t="s">
        <v>135</v>
      </c>
      <c r="L6" s="64"/>
      <c r="M6" s="49"/>
      <c r="N6" s="49">
        <v>2568</v>
      </c>
      <c r="O6" s="65" t="s">
        <v>200</v>
      </c>
      <c r="P6" s="49" t="str">
        <f t="shared" si="4"/>
        <v>09/03/2021</v>
      </c>
      <c r="Q6" s="68">
        <f t="shared" si="5"/>
        <v>4</v>
      </c>
      <c r="R6" s="68">
        <f t="shared" si="6"/>
        <v>3</v>
      </c>
      <c r="S6" s="68">
        <f t="shared" si="7"/>
        <v>11</v>
      </c>
      <c r="T6" s="65"/>
      <c r="U6" s="65"/>
      <c r="V6" s="49" t="str">
        <f t="shared" si="8"/>
        <v/>
      </c>
      <c r="W6" s="68">
        <f>IF(V6="",0,DATEDIF(V6,P6,"Y"))</f>
        <v>0</v>
      </c>
      <c r="X6" s="68">
        <f>IF(V6="",0,DATEDIF(V6,P6,"YM"))</f>
        <v>0</v>
      </c>
      <c r="Y6" s="68">
        <f>IF(V6="",0,DATEDIF(V6,P6,"MD"))</f>
        <v>0</v>
      </c>
      <c r="Z6" s="49"/>
      <c r="AA6" s="65"/>
      <c r="AB6" s="50" t="str">
        <f t="shared" si="9"/>
        <v/>
      </c>
      <c r="AC6" s="68">
        <f t="shared" si="10"/>
        <v>0</v>
      </c>
      <c r="AD6" s="68">
        <f t="shared" si="11"/>
        <v>0</v>
      </c>
      <c r="AE6" s="68">
        <f t="shared" si="12"/>
        <v>0</v>
      </c>
      <c r="AF6" s="50"/>
      <c r="AG6" s="50" t="s">
        <v>484</v>
      </c>
      <c r="AH6" s="49" t="str">
        <f>IF(AG6="นิติศาสตร์","K5-LAW","K5-POLICY")</f>
        <v>K5-POLICY</v>
      </c>
      <c r="AI6" s="72" t="str">
        <f>_xlfn.IFS(B6="","",AND(AH6="K5-LAW",AG6="นิติศาสตร์",K6="S2",T6="",Z6=""),P6,AND(AH6="K5-LAW",AG6="นิติศาสตร์",K6="S1",T6="",Z6=""),EDATE(P6,12),AND(AH6="K5-LAW",AG6="นิติศาสตร์",OR(K6="M2",K6="K4"),T6="",Z6=""),EDATE(P6,12*2),AND(AH6="K5-LAW",AG6="นิติศาสตร์",OR(Z6="M2",Z6="K4"),AC6&gt;=2,OR(AB6&lt;V6,AB6&lt;P6)),EDATE(AB6,12*2),AND(AH6="K5-LAW",AG6="นิติศาสตร์",Z6="S1",AC6&gt;=1,OR(AB6&lt;V6,AB6&lt;P6)),EDATE(AB6,12),AND(AH6="K5-LAW",AG6="นิติศาสตร์",OR(T6="M2",T6="K4"),W6&gt;=2,V6&lt;P6),EDATE(V6,12*2),AND(AH6="K5-LAW",AG6="นิติศาสตร์",T6="S1",W6&gt;=1,V6&lt;P6),EDATE(V6,12),AND(AH6="K5-LAW",AG6="นิติศาสตร์",OR(T6="S2",T6="K5")),V6,AND(AH6="K5-LAW",AG6="นิติศาสตร์",OR(K6="M2",K6="K4"),Q6&gt;=2),EDATE(P6,12*2),AND(AH6="K5-LAW",AG6="นิติศาสตร์",K6="S1",Q6&gt;=1),EDATE(P6,12),AND(AH6="K5-LAW",AG6="นิติศาสตร์",OR(K6="S2",K6="K5")),P6,AND(AH6="K5-POLICY",AG6&lt;&gt;"นิติศาสตร์",K6="S2",T6="",Z6=""),P6,AND(AH6="K5-POLICY",AG6&lt;&gt;"นิติศาสตร์",K6="S1",T6="",Z6=""),EDATE(P6,12),AND(AH6="K5-POLICY",AG6&lt;&gt;"นิติศาสตร์",OR(K6="M2",K6="K4"),T6="",Z6=""),EDATE(P6,12*2),AND(AH6="K5-POLICY",AG6&lt;&gt;"นิติศาสตร์",OR(Z6="M2",Z6="K4"),AC6&gt;=2,OR(AB6&lt;V6,AB6&lt;P6)),EDATE(AB6,12*2),AND(AH6="K5-POLICY",AG6&lt;&gt;"นิติศาสตร์",Z6="S1",AC6&gt;=1,OR(AB6&lt;V6,AB6&lt;P6)),EDATE(AB6,12),AND(AH6="K5-POLICY",AG6&lt;&gt;"นิติศาสตร์",OR(T6="M2",T6="K4"),W6&gt;=2,V6&lt;P6),EDATE(V6,12*2),AND(AH6="K5-POLICY",AG6&lt;&gt;"นิติศาสตร์",T6="S1",W6&gt;=1,V6&lt;P6),EDATE(V6,12),AND(AH6="K5-POLICY",AG6&lt;&gt;"นิติศาสตร์",OR(T6="S2",T6="K5")),V6,AND(AH6="K5-POLICY",AG6&lt;&gt;"นิติศาสตร์",OR(K6="M2",K6="K4"),Q6&gt;=2),EDATE(P6,12*2),AND(AH6="K5-POLICY",AG6&lt;&gt;"นิติศาสตร์",K6="S1",Q6&gt;=1),EDATE(P6,12),AND(AH6="K5-POLICY",AG6&lt;&gt;"นิติศาสตร์",OR(K6="S2",K6="K5")),P6,TRUE,"Check Data")</f>
        <v/>
      </c>
      <c r="AJ6" s="75" t="str">
        <f t="shared" si="13"/>
        <v>Check Data</v>
      </c>
      <c r="AK6" s="76" t="str">
        <f t="shared" si="14"/>
        <v>Check Data</v>
      </c>
      <c r="AL6" s="50" t="str">
        <f t="shared" si="15"/>
        <v>Check Data</v>
      </c>
      <c r="AM6" s="49" t="str">
        <f>IF(B6="","",IF(K6="S1","S1",INDEX(#REF!,#REF!)))</f>
        <v/>
      </c>
      <c r="AN6" s="49" t="str">
        <f>K6</f>
        <v>S1</v>
      </c>
      <c r="AO6" s="50" t="b">
        <f>K6=AM6</f>
        <v>0</v>
      </c>
      <c r="AP6" s="77"/>
    </row>
    <row r="7" spans="1:42" ht="21.75">
      <c r="A7" s="49">
        <v>5</v>
      </c>
      <c r="B7" s="50"/>
      <c r="C7" s="51"/>
      <c r="D7" s="50" t="s">
        <v>142</v>
      </c>
      <c r="E7" s="49" t="s">
        <v>180</v>
      </c>
      <c r="F7" s="49" t="str">
        <f t="shared" si="0"/>
        <v>10/11/1995</v>
      </c>
      <c r="G7" s="50">
        <f t="shared" si="1"/>
        <v>29</v>
      </c>
      <c r="H7" s="50">
        <f t="shared" si="2"/>
        <v>7</v>
      </c>
      <c r="I7" s="50">
        <f t="shared" si="3"/>
        <v>10</v>
      </c>
      <c r="J7" s="50" t="s">
        <v>485</v>
      </c>
      <c r="K7" s="49" t="s">
        <v>135</v>
      </c>
      <c r="L7" s="64"/>
      <c r="M7" s="49"/>
      <c r="N7" s="49">
        <v>2572</v>
      </c>
      <c r="O7" s="65" t="s">
        <v>181</v>
      </c>
      <c r="P7" s="49" t="str">
        <f t="shared" si="4"/>
        <v>17/11/2021</v>
      </c>
      <c r="Q7" s="68">
        <f t="shared" si="5"/>
        <v>3</v>
      </c>
      <c r="R7" s="68">
        <f t="shared" si="6"/>
        <v>7</v>
      </c>
      <c r="S7" s="68">
        <f t="shared" si="7"/>
        <v>3</v>
      </c>
      <c r="T7" s="65"/>
      <c r="U7" s="65"/>
      <c r="V7" s="49" t="str">
        <f t="shared" si="8"/>
        <v/>
      </c>
      <c r="W7" s="68">
        <f>IF(V7="",0,DATEDIF(V7,P7,"Y"))</f>
        <v>0</v>
      </c>
      <c r="X7" s="68">
        <f>IF(V7="",0,DATEDIF(V7,P7,"YM"))</f>
        <v>0</v>
      </c>
      <c r="Y7" s="68">
        <f>IF(V7="",0,DATEDIF(V7,P7,"MD"))</f>
        <v>0</v>
      </c>
      <c r="Z7" s="69"/>
      <c r="AA7" s="65"/>
      <c r="AB7" s="50" t="str">
        <f t="shared" si="9"/>
        <v/>
      </c>
      <c r="AC7" s="68">
        <f t="shared" si="10"/>
        <v>0</v>
      </c>
      <c r="AD7" s="68">
        <f t="shared" si="11"/>
        <v>0</v>
      </c>
      <c r="AE7" s="68">
        <f t="shared" si="12"/>
        <v>0</v>
      </c>
      <c r="AF7" s="50"/>
      <c r="AG7" s="50" t="s">
        <v>138</v>
      </c>
      <c r="AH7" s="49" t="str">
        <f>IF(AG7="นิติศาสตร์","K5-LAW","K5-POLICY")</f>
        <v>K5-LAW</v>
      </c>
      <c r="AI7" s="72" t="str">
        <f>_xlfn.IFS(B7="","",AND(AH7="K5-LAW",AG7="นิติศาสตร์",K7="S2",T7="",Z7=""),P7,AND(AH7="K5-LAW",AG7="นิติศาสตร์",K7="S1",T7="",Z7=""),EDATE(P7,12),AND(AH7="K5-LAW",AG7="นิติศาสตร์",OR(K7="M2",K7="K4"),T7="",Z7=""),EDATE(P7,12*2),AND(AH7="K5-LAW",AG7="นิติศาสตร์",OR(Z7="M2",Z7="K4"),AC7&gt;=2,OR(AB7&lt;V7,AB7&lt;P7)),EDATE(AB7,12*2),AND(AH7="K5-LAW",AG7="นิติศาสตร์",Z7="S1",AC7&gt;=1,OR(AB7&lt;V7,AB7&lt;P7)),EDATE(AB7,12),AND(AH7="K5-LAW",AG7="นิติศาสตร์",OR(T7="M2",T7="K4"),W7&gt;=2,V7&lt;P7),EDATE(V7,12*2),AND(AH7="K5-LAW",AG7="นิติศาสตร์",T7="S1",W7&gt;=1,V7&lt;P7),EDATE(V7,12),AND(AH7="K5-LAW",AG7="นิติศาสตร์",OR(T7="S2",T7="K5")),V7,AND(AH7="K5-LAW",AG7="นิติศาสตร์",OR(K7="M2",K7="K4"),Q7&gt;=2),EDATE(P7,12*2),AND(AH7="K5-LAW",AG7="นิติศาสตร์",K7="S1",Q7&gt;=1),EDATE(P7,12),AND(AH7="K5-LAW",AG7="นิติศาสตร์",OR(K7="S2",K7="K5")),P7,AND(AH7="K5-POLICY",AG7&lt;&gt;"นิติศาสตร์",K7="S2",T7="",Z7=""),P7,AND(AH7="K5-POLICY",AG7&lt;&gt;"นิติศาสตร์",K7="S1",T7="",Z7=""),EDATE(P7,12),AND(AH7="K5-POLICY",AG7&lt;&gt;"นิติศาสตร์",OR(K7="M2",K7="K4"),T7="",Z7=""),EDATE(P7,12*2),AND(AH7="K5-POLICY",AG7&lt;&gt;"นิติศาสตร์",OR(Z7="M2",Z7="K4"),AC7&gt;=2,OR(AB7&lt;V7,AB7&lt;P7)),EDATE(AB7,12*2),AND(AH7="K5-POLICY",AG7&lt;&gt;"นิติศาสตร์",Z7="S1",AC7&gt;=1,OR(AB7&lt;V7,AB7&lt;P7)),EDATE(AB7,12),AND(AH7="K5-POLICY",AG7&lt;&gt;"นิติศาสตร์",OR(T7="M2",T7="K4"),W7&gt;=2,V7&lt;P7),EDATE(V7,12*2),AND(AH7="K5-POLICY",AG7&lt;&gt;"นิติศาสตร์",T7="S1",W7&gt;=1,V7&lt;P7),EDATE(V7,12),AND(AH7="K5-POLICY",AG7&lt;&gt;"นิติศาสตร์",OR(T7="S2",T7="K5")),V7,AND(AH7="K5-POLICY",AG7&lt;&gt;"นิติศาสตร์",OR(K7="M2",K7="K4"),Q7&gt;=2),EDATE(P7,12*2),AND(AH7="K5-POLICY",AG7&lt;&gt;"นิติศาสตร์",K7="S1",Q7&gt;=1),EDATE(P7,12),AND(AH7="K5-POLICY",AG7&lt;&gt;"นิติศาสตร์",OR(K7="S2",K7="K5")),P7,TRUE,"Check Data")</f>
        <v/>
      </c>
      <c r="AJ7" s="75" t="str">
        <f t="shared" si="13"/>
        <v>Check Data</v>
      </c>
      <c r="AK7" s="76" t="str">
        <f t="shared" si="14"/>
        <v>Check Data</v>
      </c>
      <c r="AL7" s="50" t="str">
        <f t="shared" si="15"/>
        <v>Check Data</v>
      </c>
      <c r="AM7" s="49" t="str">
        <f>IF(B7="","",IF(K7="S1","S1",INDEX(#REF!,#REF!)))</f>
        <v/>
      </c>
      <c r="AN7" s="49" t="str">
        <f>K7</f>
        <v>S1</v>
      </c>
      <c r="AO7" s="50" t="b">
        <f>K7=AM7</f>
        <v>0</v>
      </c>
      <c r="AP7" s="50"/>
    </row>
    <row r="8" spans="1:42" ht="21.75">
      <c r="A8" s="49">
        <v>6</v>
      </c>
      <c r="B8" s="50"/>
      <c r="C8" s="51"/>
      <c r="D8" s="50" t="s">
        <v>142</v>
      </c>
      <c r="E8" s="49" t="s">
        <v>188</v>
      </c>
      <c r="F8" s="49" t="str">
        <f t="shared" si="0"/>
        <v>23/12/1991</v>
      </c>
      <c r="G8" s="50">
        <f t="shared" si="1"/>
        <v>33</v>
      </c>
      <c r="H8" s="50">
        <f t="shared" si="2"/>
        <v>5</v>
      </c>
      <c r="I8" s="50">
        <f t="shared" si="3"/>
        <v>28</v>
      </c>
      <c r="J8" s="50" t="s">
        <v>157</v>
      </c>
      <c r="K8" s="49" t="s">
        <v>135</v>
      </c>
      <c r="L8" s="64"/>
      <c r="M8" s="49" t="s">
        <v>425</v>
      </c>
      <c r="N8" s="49">
        <v>2572</v>
      </c>
      <c r="O8" s="65" t="s">
        <v>181</v>
      </c>
      <c r="P8" s="49" t="str">
        <f t="shared" si="4"/>
        <v>17/11/2021</v>
      </c>
      <c r="Q8" s="68">
        <f t="shared" si="5"/>
        <v>3</v>
      </c>
      <c r="R8" s="68">
        <f t="shared" si="6"/>
        <v>7</v>
      </c>
      <c r="S8" s="68">
        <f t="shared" si="7"/>
        <v>3</v>
      </c>
      <c r="T8" s="65"/>
      <c r="U8" s="65"/>
      <c r="V8" s="49" t="str">
        <f t="shared" si="8"/>
        <v/>
      </c>
      <c r="W8" s="68">
        <f>IF(V8="",0,DATEDIF(V8,P8,"Y"))</f>
        <v>0</v>
      </c>
      <c r="X8" s="68">
        <f>IF(V8="",0,DATEDIF(V8,P8,"YM"))</f>
        <v>0</v>
      </c>
      <c r="Y8" s="68">
        <f>IF(V8="",0,DATEDIF(V8,P8,"MD"))</f>
        <v>0</v>
      </c>
      <c r="Z8" s="49"/>
      <c r="AA8" s="65"/>
      <c r="AB8" s="50" t="str">
        <f t="shared" si="9"/>
        <v/>
      </c>
      <c r="AC8" s="68">
        <f t="shared" si="10"/>
        <v>0</v>
      </c>
      <c r="AD8" s="68">
        <f t="shared" si="11"/>
        <v>0</v>
      </c>
      <c r="AE8" s="68">
        <f t="shared" si="12"/>
        <v>0</v>
      </c>
      <c r="AF8" s="50"/>
      <c r="AG8" s="50" t="s">
        <v>486</v>
      </c>
      <c r="AH8" s="49" t="str">
        <f>IF(AG8="นิติศาสตร์","K5-LAW","K5-POLICY")</f>
        <v>K5-POLICY</v>
      </c>
      <c r="AI8" s="72" t="str">
        <f>_xlfn.IFS(B8="","",AND(AH8="K5-LAW",AG8="นิติศาสตร์",K8="S2",T8="",Z8=""),P8,AND(AH8="K5-LAW",AG8="นิติศาสตร์",K8="S1",T8="",Z8=""),EDATE(P8,12),AND(AH8="K5-LAW",AG8="นิติศาสตร์",OR(K8="M2",K8="K4"),T8="",Z8=""),EDATE(P8,12*2),AND(AH8="K5-LAW",AG8="นิติศาสตร์",OR(Z8="M2",Z8="K4"),AC8&gt;=2,OR(AB8&lt;V8,AB8&lt;P8)),EDATE(AB8,12*2),AND(AH8="K5-LAW",AG8="นิติศาสตร์",Z8="S1",AC8&gt;=1,OR(AB8&lt;V8,AB8&lt;P8)),EDATE(AB8,12),AND(AH8="K5-LAW",AG8="นิติศาสตร์",OR(T8="M2",T8="K4"),W8&gt;=2,V8&lt;P8),EDATE(V8,12*2),AND(AH8="K5-LAW",AG8="นิติศาสตร์",T8="S1",W8&gt;=1,V8&lt;P8),EDATE(V8,12),AND(AH8="K5-LAW",AG8="นิติศาสตร์",OR(T8="S2",T8="K5")),V8,AND(AH8="K5-LAW",AG8="นิติศาสตร์",OR(K8="M2",K8="K4"),Q8&gt;=2),EDATE(P8,12*2),AND(AH8="K5-LAW",AG8="นิติศาสตร์",K8="S1",Q8&gt;=1),EDATE(P8,12),AND(AH8="K5-LAW",AG8="นิติศาสตร์",OR(K8="S2",K8="K5")),P8,AND(AH8="K5-POLICY",AG8&lt;&gt;"นิติศาสตร์",K8="S2",T8="",Z8=""),P8,AND(AH8="K5-POLICY",AG8&lt;&gt;"นิติศาสตร์",K8="S1",T8="",Z8=""),EDATE(P8,12),AND(AH8="K5-POLICY",AG8&lt;&gt;"นิติศาสตร์",OR(K8="M2",K8="K4"),T8="",Z8=""),EDATE(P8,12*2),AND(AH8="K5-POLICY",AG8&lt;&gt;"นิติศาสตร์",OR(Z8="M2",Z8="K4"),AC8&gt;=2,OR(AB8&lt;V8,AB8&lt;P8)),EDATE(AB8,12*2),AND(AH8="K5-POLICY",AG8&lt;&gt;"นิติศาสตร์",Z8="S1",AC8&gt;=1,OR(AB8&lt;V8,AB8&lt;P8)),EDATE(AB8,12),AND(AH8="K5-POLICY",AG8&lt;&gt;"นิติศาสตร์",OR(T8="M2",T8="K4"),W8&gt;=2,V8&lt;P8),EDATE(V8,12*2),AND(AH8="K5-POLICY",AG8&lt;&gt;"นิติศาสตร์",T8="S1",W8&gt;=1,V8&lt;P8),EDATE(V8,12),AND(AH8="K5-POLICY",AG8&lt;&gt;"นิติศาสตร์",OR(T8="S2",T8="K5")),V8,AND(AH8="K5-POLICY",AG8&lt;&gt;"นิติศาสตร์",OR(K8="M2",K8="K4"),Q8&gt;=2),EDATE(P8,12*2),AND(AH8="K5-POLICY",AG8&lt;&gt;"นิติศาสตร์",K8="S1",Q8&gt;=1),EDATE(P8,12),AND(AH8="K5-POLICY",AG8&lt;&gt;"นิติศาสตร์",OR(K8="S2",K8="K5")),P8,TRUE,"Check Data")</f>
        <v/>
      </c>
      <c r="AJ8" s="75" t="str">
        <f t="shared" si="13"/>
        <v>Check Data</v>
      </c>
      <c r="AK8" s="76" t="str">
        <f t="shared" si="14"/>
        <v>Check Data</v>
      </c>
      <c r="AL8" s="50" t="str">
        <f t="shared" si="15"/>
        <v>Check Data</v>
      </c>
      <c r="AM8" s="49" t="str">
        <f>IF(B8="","",IF(K8="S1","S1",INDEX(#REF!,#REF!)))</f>
        <v/>
      </c>
      <c r="AN8" s="49" t="str">
        <f>K8</f>
        <v>S1</v>
      </c>
      <c r="AO8" s="50" t="b">
        <f>K8=AM8</f>
        <v>0</v>
      </c>
      <c r="AP8" s="50"/>
    </row>
    <row r="9" spans="1:42" ht="21.75">
      <c r="A9" s="49">
        <v>7</v>
      </c>
      <c r="B9" s="50"/>
      <c r="C9" s="51"/>
      <c r="D9" s="50" t="s">
        <v>143</v>
      </c>
      <c r="E9" s="49" t="s">
        <v>189</v>
      </c>
      <c r="F9" s="49" t="str">
        <f t="shared" si="0"/>
        <v>30/11/1993</v>
      </c>
      <c r="G9" s="50">
        <f t="shared" si="1"/>
        <v>31</v>
      </c>
      <c r="H9" s="50">
        <f t="shared" si="2"/>
        <v>6</v>
      </c>
      <c r="I9" s="50">
        <f t="shared" si="3"/>
        <v>21</v>
      </c>
      <c r="J9" s="50" t="s">
        <v>158</v>
      </c>
      <c r="K9" s="49" t="s">
        <v>135</v>
      </c>
      <c r="L9" s="64"/>
      <c r="M9" s="49" t="s">
        <v>425</v>
      </c>
      <c r="N9" s="49">
        <v>2574</v>
      </c>
      <c r="O9" s="65" t="s">
        <v>487</v>
      </c>
      <c r="P9" s="49" t="str">
        <f t="shared" si="4"/>
        <v>21/01/2022</v>
      </c>
      <c r="Q9" s="68">
        <f t="shared" si="5"/>
        <v>3</v>
      </c>
      <c r="R9" s="68">
        <f t="shared" si="6"/>
        <v>4</v>
      </c>
      <c r="S9" s="68">
        <f t="shared" si="7"/>
        <v>30</v>
      </c>
      <c r="T9" s="65"/>
      <c r="U9" s="65"/>
      <c r="V9" s="49" t="str">
        <f t="shared" si="8"/>
        <v/>
      </c>
      <c r="W9" s="68">
        <f>IF(V9="",0,DATEDIF(V9,P9,"Y"))</f>
        <v>0</v>
      </c>
      <c r="X9" s="68">
        <f>IF(V9="",0,DATEDIF(V9,P9,"YM"))</f>
        <v>0</v>
      </c>
      <c r="Y9" s="68">
        <f>IF(V9="",0,DATEDIF(V9,P9,"MD"))</f>
        <v>0</v>
      </c>
      <c r="Z9" s="49"/>
      <c r="AA9" s="65"/>
      <c r="AB9" s="50" t="str">
        <f t="shared" si="9"/>
        <v/>
      </c>
      <c r="AC9" s="68">
        <f t="shared" si="10"/>
        <v>0</v>
      </c>
      <c r="AD9" s="68">
        <f t="shared" si="11"/>
        <v>0</v>
      </c>
      <c r="AE9" s="68">
        <f t="shared" si="12"/>
        <v>0</v>
      </c>
      <c r="AF9" s="50"/>
      <c r="AG9" s="50" t="s">
        <v>488</v>
      </c>
      <c r="AH9" s="49" t="str">
        <f>IF(AG9="นิติศาสตร์","K5-LAW","K5-POLICY")</f>
        <v>K5-POLICY</v>
      </c>
      <c r="AI9" s="72" t="str">
        <f>_xlfn.IFS(B9="","",AND(AH9="K5-LAW",AG9="นิติศาสตร์",K9="S2",T9="",Z9=""),P9,AND(AH9="K5-LAW",AG9="นิติศาสตร์",K9="S1",T9="",Z9=""),EDATE(P9,12),AND(AH9="K5-LAW",AG9="นิติศาสตร์",OR(K9="M2",K9="K4"),T9="",Z9=""),EDATE(P9,12*2),AND(AH9="K5-LAW",AG9="นิติศาสตร์",OR(Z9="M2",Z9="K4"),AC9&gt;=2,OR(AB9&lt;V9,AB9&lt;P9)),EDATE(AB9,12*2),AND(AH9="K5-LAW",AG9="นิติศาสตร์",Z9="S1",AC9&gt;=1,OR(AB9&lt;V9,AB9&lt;P9)),EDATE(AB9,12),AND(AH9="K5-LAW",AG9="นิติศาสตร์",OR(T9="M2",T9="K4"),W9&gt;=2,V9&lt;P9),EDATE(V9,12*2),AND(AH9="K5-LAW",AG9="นิติศาสตร์",T9="S1",W9&gt;=1,V9&lt;P9),EDATE(V9,12),AND(AH9="K5-LAW",AG9="นิติศาสตร์",OR(T9="S2",T9="K5")),V9,AND(AH9="K5-LAW",AG9="นิติศาสตร์",OR(K9="M2",K9="K4"),Q9&gt;=2),EDATE(P9,12*2),AND(AH9="K5-LAW",AG9="นิติศาสตร์",K9="S1",Q9&gt;=1),EDATE(P9,12),AND(AH9="K5-LAW",AG9="นิติศาสตร์",OR(K9="S2",K9="K5")),P9,AND(AH9="K5-POLICY",AG9&lt;&gt;"นิติศาสตร์",K9="S2",T9="",Z9=""),P9,AND(AH9="K5-POLICY",AG9&lt;&gt;"นิติศาสตร์",K9="S1",T9="",Z9=""),EDATE(P9,12),AND(AH9="K5-POLICY",AG9&lt;&gt;"นิติศาสตร์",OR(K9="M2",K9="K4"),T9="",Z9=""),EDATE(P9,12*2),AND(AH9="K5-POLICY",AG9&lt;&gt;"นิติศาสตร์",OR(Z9="M2",Z9="K4"),AC9&gt;=2,OR(AB9&lt;V9,AB9&lt;P9)),EDATE(AB9,12*2),AND(AH9="K5-POLICY",AG9&lt;&gt;"นิติศาสตร์",Z9="S1",AC9&gt;=1,OR(AB9&lt;V9,AB9&lt;P9)),EDATE(AB9,12),AND(AH9="K5-POLICY",AG9&lt;&gt;"นิติศาสตร์",OR(T9="M2",T9="K4"),W9&gt;=2,V9&lt;P9),EDATE(V9,12*2),AND(AH9="K5-POLICY",AG9&lt;&gt;"นิติศาสตร์",T9="S1",W9&gt;=1,V9&lt;P9),EDATE(V9,12),AND(AH9="K5-POLICY",AG9&lt;&gt;"นิติศาสตร์",OR(T9="S2",T9="K5")),V9,AND(AH9="K5-POLICY",AG9&lt;&gt;"นิติศาสตร์",OR(K9="M2",K9="K4"),Q9&gt;=2),EDATE(P9,12*2),AND(AH9="K5-POLICY",AG9&lt;&gt;"นิติศาสตร์",K9="S1",Q9&gt;=1),EDATE(P9,12),AND(AH9="K5-POLICY",AG9&lt;&gt;"นิติศาสตร์",OR(K9="S2",K9="K5")),P9,TRUE,"Check Data")</f>
        <v/>
      </c>
      <c r="AJ9" s="75" t="str">
        <f t="shared" si="13"/>
        <v>Check Data</v>
      </c>
      <c r="AK9" s="76" t="str">
        <f t="shared" si="14"/>
        <v>Check Data</v>
      </c>
      <c r="AL9" s="50" t="str">
        <f t="shared" si="15"/>
        <v>Check Data</v>
      </c>
      <c r="AM9" s="49" t="str">
        <f>IF(B9="","",IF(K9="S1","S1",INDEX(#REF!,#REF!)))</f>
        <v/>
      </c>
      <c r="AN9" s="49" t="str">
        <f>K9</f>
        <v>S1</v>
      </c>
      <c r="AO9" s="50" t="b">
        <f>K9=AM9</f>
        <v>0</v>
      </c>
      <c r="AP9" s="50"/>
    </row>
    <row r="10" spans="1:42" ht="21.75">
      <c r="A10" s="49">
        <v>8</v>
      </c>
      <c r="B10" s="50"/>
      <c r="C10" s="51"/>
      <c r="D10" s="50" t="s">
        <v>140</v>
      </c>
      <c r="E10" s="49" t="s">
        <v>185</v>
      </c>
      <c r="F10" s="49" t="str">
        <f t="shared" si="0"/>
        <v>06/01/2003</v>
      </c>
      <c r="G10" s="50">
        <f t="shared" si="1"/>
        <v>22</v>
      </c>
      <c r="H10" s="50">
        <f t="shared" si="2"/>
        <v>5</v>
      </c>
      <c r="I10" s="50">
        <f t="shared" si="3"/>
        <v>14</v>
      </c>
      <c r="J10" s="50" t="s">
        <v>155</v>
      </c>
      <c r="K10" s="49" t="s">
        <v>135</v>
      </c>
      <c r="L10" s="64"/>
      <c r="M10" s="49"/>
      <c r="N10" s="49">
        <v>2578</v>
      </c>
      <c r="O10" s="65" t="s">
        <v>186</v>
      </c>
      <c r="P10" s="49" t="str">
        <f t="shared" si="4"/>
        <v>26/01/2022</v>
      </c>
      <c r="Q10" s="68">
        <f t="shared" si="5"/>
        <v>3</v>
      </c>
      <c r="R10" s="68">
        <f t="shared" si="6"/>
        <v>4</v>
      </c>
      <c r="S10" s="68">
        <f t="shared" si="7"/>
        <v>25</v>
      </c>
      <c r="T10" s="65"/>
      <c r="U10" s="65"/>
      <c r="V10" s="49" t="str">
        <f t="shared" si="8"/>
        <v/>
      </c>
      <c r="W10" s="68">
        <f>IF(V10="",0,DATEDIF(V10,P10,"Y"))</f>
        <v>0</v>
      </c>
      <c r="X10" s="68">
        <f>IF(V10="",0,DATEDIF(V10,P10,"YM"))</f>
        <v>0</v>
      </c>
      <c r="Y10" s="68">
        <f>IF(V10="",0,DATEDIF(V10,P10,"MD"))</f>
        <v>0</v>
      </c>
      <c r="Z10" s="49"/>
      <c r="AA10" s="65"/>
      <c r="AB10" s="50" t="str">
        <f t="shared" si="9"/>
        <v/>
      </c>
      <c r="AC10" s="68">
        <f t="shared" si="10"/>
        <v>0</v>
      </c>
      <c r="AD10" s="68">
        <f t="shared" si="11"/>
        <v>0</v>
      </c>
      <c r="AE10" s="68">
        <f t="shared" si="12"/>
        <v>0</v>
      </c>
      <c r="AF10" s="50"/>
      <c r="AG10" s="50" t="s">
        <v>196</v>
      </c>
      <c r="AH10" s="49" t="str">
        <f>IF(AG10="นิติศาสตร์","K5-LAW","K5-POLICY")</f>
        <v>K5-POLICY</v>
      </c>
      <c r="AI10" s="72" t="str">
        <f>_xlfn.IFS(B10="","",AND(AH10="K5-LAW",AG10="นิติศาสตร์",K10="S2",T10="",Z10=""),P10,AND(AH10="K5-LAW",AG10="นิติศาสตร์",K10="S1",T10="",Z10=""),EDATE(P10,12),AND(AH10="K5-LAW",AG10="นิติศาสตร์",OR(K10="M2",K10="K4"),T10="",Z10=""),EDATE(P10,12*2),AND(AH10="K5-LAW",AG10="นิติศาสตร์",OR(Z10="M2",Z10="K4"),AC10&gt;=2,OR(AB10&lt;V10,AB10&lt;P10)),EDATE(AB10,12*2),AND(AH10="K5-LAW",AG10="นิติศาสตร์",Z10="S1",AC10&gt;=1,OR(AB10&lt;V10,AB10&lt;P10)),EDATE(AB10,12),AND(AH10="K5-LAW",AG10="นิติศาสตร์",OR(T10="M2",T10="K4"),W10&gt;=2,V10&lt;P10),EDATE(V10,12*2),AND(AH10="K5-LAW",AG10="นิติศาสตร์",T10="S1",W10&gt;=1,V10&lt;P10),EDATE(V10,12),AND(AH10="K5-LAW",AG10="นิติศาสตร์",OR(T10="S2",T10="K5")),V10,AND(AH10="K5-LAW",AG10="นิติศาสตร์",OR(K10="M2",K10="K4"),Q10&gt;=2),EDATE(P10,12*2),AND(AH10="K5-LAW",AG10="นิติศาสตร์",K10="S1",Q10&gt;=1),EDATE(P10,12),AND(AH10="K5-LAW",AG10="นิติศาสตร์",OR(K10="S2",K10="K5")),P10,AND(AH10="K5-POLICY",AG10&lt;&gt;"นิติศาสตร์",K10="S2",T10="",Z10=""),P10,AND(AH10="K5-POLICY",AG10&lt;&gt;"นิติศาสตร์",K10="S1",T10="",Z10=""),EDATE(P10,12),AND(AH10="K5-POLICY",AG10&lt;&gt;"นิติศาสตร์",OR(K10="M2",K10="K4"),T10="",Z10=""),EDATE(P10,12*2),AND(AH10="K5-POLICY",AG10&lt;&gt;"นิติศาสตร์",OR(Z10="M2",Z10="K4"),AC10&gt;=2,OR(AB10&lt;V10,AB10&lt;P10)),EDATE(AB10,12*2),AND(AH10="K5-POLICY",AG10&lt;&gt;"นิติศาสตร์",Z10="S1",AC10&gt;=1,OR(AB10&lt;V10,AB10&lt;P10)),EDATE(AB10,12),AND(AH10="K5-POLICY",AG10&lt;&gt;"นิติศาสตร์",OR(T10="M2",T10="K4"),W10&gt;=2,V10&lt;P10),EDATE(V10,12*2),AND(AH10="K5-POLICY",AG10&lt;&gt;"นิติศาสตร์",T10="S1",W10&gt;=1,V10&lt;P10),EDATE(V10,12),AND(AH10="K5-POLICY",AG10&lt;&gt;"นิติศาสตร์",OR(T10="S2",T10="K5")),V10,AND(AH10="K5-POLICY",AG10&lt;&gt;"นิติศาสตร์",OR(K10="M2",K10="K4"),Q10&gt;=2),EDATE(P10,12*2),AND(AH10="K5-POLICY",AG10&lt;&gt;"นิติศาสตร์",K10="S1",Q10&gt;=1),EDATE(P10,12),AND(AH10="K5-POLICY",AG10&lt;&gt;"นิติศาสตร์",OR(K10="S2",K10="K5")),P10,TRUE,"Check Data")</f>
        <v/>
      </c>
      <c r="AJ10" s="75" t="str">
        <f t="shared" si="13"/>
        <v>Check Data</v>
      </c>
      <c r="AK10" s="76" t="str">
        <f t="shared" si="14"/>
        <v>Check Data</v>
      </c>
      <c r="AL10" s="50" t="str">
        <f t="shared" si="15"/>
        <v>Check Data</v>
      </c>
      <c r="AM10" s="49" t="str">
        <f>IF(B10="","",IF(K10="S1","S1",INDEX(#REF!,#REF!)))</f>
        <v/>
      </c>
      <c r="AN10" s="49" t="str">
        <f>K10</f>
        <v>S1</v>
      </c>
      <c r="AO10" s="50" t="b">
        <f>K10=AM10</f>
        <v>0</v>
      </c>
      <c r="AP10" s="50"/>
    </row>
    <row r="11" spans="1:42" ht="21.75">
      <c r="A11" s="49">
        <v>9</v>
      </c>
      <c r="B11" s="50"/>
      <c r="C11" s="51"/>
      <c r="D11" s="50" t="s">
        <v>146</v>
      </c>
      <c r="E11" s="49" t="s">
        <v>191</v>
      </c>
      <c r="F11" s="49" t="str">
        <f t="shared" si="0"/>
        <v>02/04/1990</v>
      </c>
      <c r="G11" s="50">
        <f t="shared" si="1"/>
        <v>35</v>
      </c>
      <c r="H11" s="50">
        <f t="shared" si="2"/>
        <v>2</v>
      </c>
      <c r="I11" s="50">
        <f t="shared" si="3"/>
        <v>18</v>
      </c>
      <c r="J11" s="50" t="s">
        <v>161</v>
      </c>
      <c r="K11" s="49" t="s">
        <v>135</v>
      </c>
      <c r="L11" s="64"/>
      <c r="M11" s="49"/>
      <c r="N11" s="49">
        <v>2569</v>
      </c>
      <c r="O11" s="65" t="s">
        <v>192</v>
      </c>
      <c r="P11" s="49" t="str">
        <f t="shared" si="4"/>
        <v>29/11/2022</v>
      </c>
      <c r="Q11" s="68">
        <f t="shared" si="5"/>
        <v>2</v>
      </c>
      <c r="R11" s="68">
        <f t="shared" si="6"/>
        <v>6</v>
      </c>
      <c r="S11" s="68">
        <f t="shared" si="7"/>
        <v>22</v>
      </c>
      <c r="T11" s="65"/>
      <c r="U11" s="65"/>
      <c r="V11" s="49" t="str">
        <f t="shared" si="8"/>
        <v/>
      </c>
      <c r="W11" s="68">
        <f>IF(V11="",0,DATEDIF(V11,P11,"Y"))</f>
        <v>0</v>
      </c>
      <c r="X11" s="68">
        <f>IF(V11="",0,DATEDIF(V11,P11,"YM"))</f>
        <v>0</v>
      </c>
      <c r="Y11" s="68">
        <f>IF(V11="",0,DATEDIF(V11,P11,"MD"))</f>
        <v>0</v>
      </c>
      <c r="Z11" s="49"/>
      <c r="AA11" s="65"/>
      <c r="AB11" s="50" t="str">
        <f t="shared" si="9"/>
        <v/>
      </c>
      <c r="AC11" s="68">
        <f t="shared" si="10"/>
        <v>0</v>
      </c>
      <c r="AD11" s="68">
        <f t="shared" si="11"/>
        <v>0</v>
      </c>
      <c r="AE11" s="68">
        <f t="shared" si="12"/>
        <v>0</v>
      </c>
      <c r="AF11" s="50"/>
      <c r="AG11" s="50" t="s">
        <v>193</v>
      </c>
      <c r="AH11" s="49" t="str">
        <f>IF(AG11="นิติศาสตร์","K5-LAW","K5-POLICY")</f>
        <v>K5-POLICY</v>
      </c>
      <c r="AI11" s="72" t="str">
        <f>_xlfn.IFS(B11="","",AND(AH11="K5-LAW",AG11="นิติศาสตร์",K11="S2",T11="",Z11=""),P11,AND(AH11="K5-LAW",AG11="นิติศาสตร์",K11="S1",T11="",Z11=""),EDATE(P11,12),AND(AH11="K5-LAW",AG11="นิติศาสตร์",OR(K11="M2",K11="K4"),T11="",Z11=""),EDATE(P11,12*2),AND(AH11="K5-LAW",AG11="นิติศาสตร์",OR(Z11="M2",Z11="K4"),AC11&gt;=2,OR(AB11&lt;V11,AB11&lt;P11)),EDATE(AB11,12*2),AND(AH11="K5-LAW",AG11="นิติศาสตร์",Z11="S1",AC11&gt;=1,OR(AB11&lt;V11,AB11&lt;P11)),EDATE(AB11,12),AND(AH11="K5-LAW",AG11="นิติศาสตร์",OR(T11="M2",T11="K4"),W11&gt;=2,V11&lt;P11),EDATE(V11,12*2),AND(AH11="K5-LAW",AG11="นิติศาสตร์",T11="S1",W11&gt;=1,V11&lt;P11),EDATE(V11,12),AND(AH11="K5-LAW",AG11="นิติศาสตร์",OR(T11="S2",T11="K5")),V11,AND(AH11="K5-LAW",AG11="นิติศาสตร์",OR(K11="M2",K11="K4"),Q11&gt;=2),EDATE(P11,12*2),AND(AH11="K5-LAW",AG11="นิติศาสตร์",K11="S1",Q11&gt;=1),EDATE(P11,12),AND(AH11="K5-LAW",AG11="นิติศาสตร์",OR(K11="S2",K11="K5")),P11,AND(AH11="K5-POLICY",AG11&lt;&gt;"นิติศาสตร์",K11="S2",T11="",Z11=""),P11,AND(AH11="K5-POLICY",AG11&lt;&gt;"นิติศาสตร์",K11="S1",T11="",Z11=""),EDATE(P11,12),AND(AH11="K5-POLICY",AG11&lt;&gt;"นิติศาสตร์",OR(K11="M2",K11="K4"),T11="",Z11=""),EDATE(P11,12*2),AND(AH11="K5-POLICY",AG11&lt;&gt;"นิติศาสตร์",OR(Z11="M2",Z11="K4"),AC11&gt;=2,OR(AB11&lt;V11,AB11&lt;P11)),EDATE(AB11,12*2),AND(AH11="K5-POLICY",AG11&lt;&gt;"นิติศาสตร์",Z11="S1",AC11&gt;=1,OR(AB11&lt;V11,AB11&lt;P11)),EDATE(AB11,12),AND(AH11="K5-POLICY",AG11&lt;&gt;"นิติศาสตร์",OR(T11="M2",T11="K4"),W11&gt;=2,V11&lt;P11),EDATE(V11,12*2),AND(AH11="K5-POLICY",AG11&lt;&gt;"นิติศาสตร์",T11="S1",W11&gt;=1,V11&lt;P11),EDATE(V11,12),AND(AH11="K5-POLICY",AG11&lt;&gt;"นิติศาสตร์",OR(T11="S2",T11="K5")),V11,AND(AH11="K5-POLICY",AG11&lt;&gt;"นิติศาสตร์",OR(K11="M2",K11="K4"),Q11&gt;=2),EDATE(P11,12*2),AND(AH11="K5-POLICY",AG11&lt;&gt;"นิติศาสตร์",K11="S1",Q11&gt;=1),EDATE(P11,12),AND(AH11="K5-POLICY",AG11&lt;&gt;"นิติศาสตร์",OR(K11="S2",K11="K5")),P11,TRUE,"Check Data")</f>
        <v/>
      </c>
      <c r="AJ11" s="75" t="str">
        <f t="shared" si="13"/>
        <v>Check Data</v>
      </c>
      <c r="AK11" s="76" t="str">
        <f t="shared" si="14"/>
        <v>Check Data</v>
      </c>
      <c r="AL11" s="50" t="str">
        <f t="shared" si="15"/>
        <v>Check Data</v>
      </c>
      <c r="AM11" s="49" t="str">
        <f>IF(B11="","",IF(K11="S1","S1",INDEX(#REF!,#REF!)))</f>
        <v/>
      </c>
      <c r="AN11" s="49" t="str">
        <f>K11</f>
        <v>S1</v>
      </c>
      <c r="AO11" s="50" t="b">
        <f>K11=AM11</f>
        <v>0</v>
      </c>
      <c r="AP11" s="50"/>
    </row>
    <row r="12" spans="1:42" ht="21.75">
      <c r="A12" s="49">
        <v>10</v>
      </c>
      <c r="B12" s="50"/>
      <c r="C12" s="51"/>
      <c r="D12" s="50" t="s">
        <v>144</v>
      </c>
      <c r="E12" s="49" t="s">
        <v>197</v>
      </c>
      <c r="F12" s="49" t="str">
        <f t="shared" si="0"/>
        <v>01/05/1991</v>
      </c>
      <c r="G12" s="50">
        <f t="shared" si="1"/>
        <v>34</v>
      </c>
      <c r="H12" s="50">
        <f t="shared" si="2"/>
        <v>1</v>
      </c>
      <c r="I12" s="50">
        <f t="shared" si="3"/>
        <v>19</v>
      </c>
      <c r="J12" s="50" t="s">
        <v>159</v>
      </c>
      <c r="K12" s="49" t="s">
        <v>135</v>
      </c>
      <c r="L12" s="64"/>
      <c r="M12" s="49" t="s">
        <v>425</v>
      </c>
      <c r="N12" s="49">
        <v>2574</v>
      </c>
      <c r="O12" s="65" t="s">
        <v>179</v>
      </c>
      <c r="P12" s="49" t="str">
        <f t="shared" si="4"/>
        <v>20/01/2023</v>
      </c>
      <c r="Q12" s="68">
        <f t="shared" si="5"/>
        <v>2</v>
      </c>
      <c r="R12" s="68">
        <f t="shared" si="6"/>
        <v>5</v>
      </c>
      <c r="S12" s="68">
        <f t="shared" si="7"/>
        <v>0</v>
      </c>
      <c r="T12" s="65"/>
      <c r="U12" s="65"/>
      <c r="V12" s="49" t="str">
        <f t="shared" si="8"/>
        <v/>
      </c>
      <c r="W12" s="68">
        <f>IF(V12="",0,DATEDIF(V12,P12,"Y"))</f>
        <v>0</v>
      </c>
      <c r="X12" s="68">
        <f>IF(V12="",0,DATEDIF(V12,P12,"YM"))</f>
        <v>0</v>
      </c>
      <c r="Y12" s="68">
        <f>IF(V12="",0,DATEDIF(V12,P12,"MD"))</f>
        <v>0</v>
      </c>
      <c r="Z12" s="49"/>
      <c r="AA12" s="65"/>
      <c r="AB12" s="50" t="str">
        <f t="shared" si="9"/>
        <v/>
      </c>
      <c r="AC12" s="68">
        <f t="shared" si="10"/>
        <v>0</v>
      </c>
      <c r="AD12" s="68">
        <f t="shared" si="11"/>
        <v>0</v>
      </c>
      <c r="AE12" s="68">
        <f t="shared" si="12"/>
        <v>0</v>
      </c>
      <c r="AF12" s="50"/>
      <c r="AG12" s="50" t="s">
        <v>138</v>
      </c>
      <c r="AH12" s="49" t="str">
        <f>IF(AG12="นิติศาสตร์","K5-LAW","K5-POLICY")</f>
        <v>K5-LAW</v>
      </c>
      <c r="AI12" s="72" t="str">
        <f>_xlfn.IFS(B12="","",AND(AH12="K5-LAW",AG12="นิติศาสตร์",K12="S2",T12="",Z12=""),P12,AND(AH12="K5-LAW",AG12="นิติศาสตร์",K12="S1",T12="",Z12=""),EDATE(P12,12),AND(AH12="K5-LAW",AG12="นิติศาสตร์",OR(K12="M2",K12="K4"),T12="",Z12=""),EDATE(P12,12*2),AND(AH12="K5-LAW",AG12="นิติศาสตร์",OR(Z12="M2",Z12="K4"),AC12&gt;=2,OR(AB12&lt;V12,AB12&lt;P12)),EDATE(AB12,12*2),AND(AH12="K5-LAW",AG12="นิติศาสตร์",Z12="S1",AC12&gt;=1,OR(AB12&lt;V12,AB12&lt;P12)),EDATE(AB12,12),AND(AH12="K5-LAW",AG12="นิติศาสตร์",OR(T12="M2",T12="K4"),W12&gt;=2,V12&lt;P12),EDATE(V12,12*2),AND(AH12="K5-LAW",AG12="นิติศาสตร์",T12="S1",W12&gt;=1,V12&lt;P12),EDATE(V12,12),AND(AH12="K5-LAW",AG12="นิติศาสตร์",OR(T12="S2",T12="K5")),V12,AND(AH12="K5-LAW",AG12="นิติศาสตร์",OR(K12="M2",K12="K4"),Q12&gt;=2),EDATE(P12,12*2),AND(AH12="K5-LAW",AG12="นิติศาสตร์",K12="S1",Q12&gt;=1),EDATE(P12,12),AND(AH12="K5-LAW",AG12="นิติศาสตร์",OR(K12="S2",K12="K5")),P12,AND(AH12="K5-POLICY",AG12&lt;&gt;"นิติศาสตร์",K12="S2",T12="",Z12=""),P12,AND(AH12="K5-POLICY",AG12&lt;&gt;"นิติศาสตร์",K12="S1",T12="",Z12=""),EDATE(P12,12),AND(AH12="K5-POLICY",AG12&lt;&gt;"นิติศาสตร์",OR(K12="M2",K12="K4"),T12="",Z12=""),EDATE(P12,12*2),AND(AH12="K5-POLICY",AG12&lt;&gt;"นิติศาสตร์",OR(Z12="M2",Z12="K4"),AC12&gt;=2,OR(AB12&lt;V12,AB12&lt;P12)),EDATE(AB12,12*2),AND(AH12="K5-POLICY",AG12&lt;&gt;"นิติศาสตร์",Z12="S1",AC12&gt;=1,OR(AB12&lt;V12,AB12&lt;P12)),EDATE(AB12,12),AND(AH12="K5-POLICY",AG12&lt;&gt;"นิติศาสตร์",OR(T12="M2",T12="K4"),W12&gt;=2,V12&lt;P12),EDATE(V12,12*2),AND(AH12="K5-POLICY",AG12&lt;&gt;"นิติศาสตร์",T12="S1",W12&gt;=1,V12&lt;P12),EDATE(V12,12),AND(AH12="K5-POLICY",AG12&lt;&gt;"นิติศาสตร์",OR(T12="S2",T12="K5")),V12,AND(AH12="K5-POLICY",AG12&lt;&gt;"นิติศาสตร์",OR(K12="M2",K12="K4"),Q12&gt;=2),EDATE(P12,12*2),AND(AH12="K5-POLICY",AG12&lt;&gt;"นิติศาสตร์",K12="S1",Q12&gt;=1),EDATE(P12,12),AND(AH12="K5-POLICY",AG12&lt;&gt;"นิติศาสตร์",OR(K12="S2",K12="K5")),P12,TRUE,"Check Data")</f>
        <v/>
      </c>
      <c r="AJ12" s="75" t="str">
        <f t="shared" si="13"/>
        <v>Check Data</v>
      </c>
      <c r="AK12" s="76" t="str">
        <f t="shared" si="14"/>
        <v>Check Data</v>
      </c>
      <c r="AL12" s="50" t="str">
        <f t="shared" si="15"/>
        <v>Check Data</v>
      </c>
      <c r="AM12" s="49" t="str">
        <f>IF(B12="","",IF(K12="S1","S1",INDEX(#REF!,#REF!)))</f>
        <v/>
      </c>
      <c r="AN12" s="49" t="str">
        <f>K12</f>
        <v>S1</v>
      </c>
      <c r="AO12" s="50" t="b">
        <f>K12=AM12</f>
        <v>0</v>
      </c>
      <c r="AP12" s="50"/>
    </row>
    <row r="13" spans="1:42" ht="21.75">
      <c r="A13" s="49">
        <v>11</v>
      </c>
      <c r="B13" s="50"/>
      <c r="C13" s="51"/>
      <c r="D13" s="50" t="s">
        <v>139</v>
      </c>
      <c r="E13" s="49" t="s">
        <v>164</v>
      </c>
      <c r="F13" s="49" t="str">
        <f t="shared" si="0"/>
        <v>01/05/1990</v>
      </c>
      <c r="G13" s="50">
        <f t="shared" si="1"/>
        <v>35</v>
      </c>
      <c r="H13" s="50">
        <f t="shared" si="2"/>
        <v>1</v>
      </c>
      <c r="I13" s="50">
        <f t="shared" si="3"/>
        <v>19</v>
      </c>
      <c r="J13" s="50" t="s">
        <v>154</v>
      </c>
      <c r="K13" s="49" t="s">
        <v>135</v>
      </c>
      <c r="L13" s="64"/>
      <c r="M13" s="49" t="s">
        <v>425</v>
      </c>
      <c r="N13" s="49">
        <v>2572</v>
      </c>
      <c r="O13" s="65" t="s">
        <v>179</v>
      </c>
      <c r="P13" s="49" t="str">
        <f t="shared" si="4"/>
        <v>20/01/2023</v>
      </c>
      <c r="Q13" s="68">
        <f t="shared" si="5"/>
        <v>2</v>
      </c>
      <c r="R13" s="68">
        <f t="shared" si="6"/>
        <v>5</v>
      </c>
      <c r="S13" s="68">
        <f t="shared" si="7"/>
        <v>0</v>
      </c>
      <c r="T13" s="65"/>
      <c r="U13" s="65"/>
      <c r="V13" s="49" t="str">
        <f t="shared" si="8"/>
        <v/>
      </c>
      <c r="W13" s="68">
        <f>IF(V13="",0,DATEDIF(V13,P13,"Y"))</f>
        <v>0</v>
      </c>
      <c r="X13" s="68">
        <f>IF(V13="",0,DATEDIF(V13,P13,"YM"))</f>
        <v>0</v>
      </c>
      <c r="Y13" s="68">
        <f>IF(V13="",0,DATEDIF(V13,P13,"MD"))</f>
        <v>0</v>
      </c>
      <c r="Z13" s="69"/>
      <c r="AA13" s="65"/>
      <c r="AB13" s="50" t="str">
        <f t="shared" si="9"/>
        <v/>
      </c>
      <c r="AC13" s="68">
        <f t="shared" si="10"/>
        <v>0</v>
      </c>
      <c r="AD13" s="68">
        <f t="shared" si="11"/>
        <v>0</v>
      </c>
      <c r="AE13" s="68">
        <f t="shared" si="12"/>
        <v>0</v>
      </c>
      <c r="AF13" s="50"/>
      <c r="AG13" s="50" t="s">
        <v>138</v>
      </c>
      <c r="AH13" s="49" t="str">
        <f>IF(AG13="นิติศาสตร์","K5-LAW","K5-POLICY")</f>
        <v>K5-LAW</v>
      </c>
      <c r="AI13" s="72" t="str">
        <f>_xlfn.IFS(B13="","",AND(AH13="K5-LAW",AG13="นิติศาสตร์",K13="S2",T13="",Z13=""),P13,AND(AH13="K5-LAW",AG13="นิติศาสตร์",K13="S1",T13="",Z13=""),EDATE(P13,12),AND(AH13="K5-LAW",AG13="นิติศาสตร์",OR(K13="M2",K13="K4"),T13="",Z13=""),EDATE(P13,12*2),AND(AH13="K5-LAW",AG13="นิติศาสตร์",OR(Z13="M2",Z13="K4"),AC13&gt;=2,OR(AB13&lt;V13,AB13&lt;P13)),EDATE(AB13,12*2),AND(AH13="K5-LAW",AG13="นิติศาสตร์",Z13="S1",AC13&gt;=1,OR(AB13&lt;V13,AB13&lt;P13)),EDATE(AB13,12),AND(AH13="K5-LAW",AG13="นิติศาสตร์",OR(T13="M2",T13="K4"),W13&gt;=2,V13&lt;P13),EDATE(V13,12*2),AND(AH13="K5-LAW",AG13="นิติศาสตร์",T13="S1",W13&gt;=1,V13&lt;P13),EDATE(V13,12),AND(AH13="K5-LAW",AG13="นิติศาสตร์",OR(T13="S2",T13="K5")),V13,AND(AH13="K5-LAW",AG13="นิติศาสตร์",OR(K13="M2",K13="K4"),Q13&gt;=2),EDATE(P13,12*2),AND(AH13="K5-LAW",AG13="นิติศาสตร์",K13="S1",Q13&gt;=1),EDATE(P13,12),AND(AH13="K5-LAW",AG13="นิติศาสตร์",OR(K13="S2",K13="K5")),P13,AND(AH13="K5-POLICY",AG13&lt;&gt;"นิติศาสตร์",K13="S2",T13="",Z13=""),P13,AND(AH13="K5-POLICY",AG13&lt;&gt;"นิติศาสตร์",K13="S1",T13="",Z13=""),EDATE(P13,12),AND(AH13="K5-POLICY",AG13&lt;&gt;"นิติศาสตร์",OR(K13="M2",K13="K4"),T13="",Z13=""),EDATE(P13,12*2),AND(AH13="K5-POLICY",AG13&lt;&gt;"นิติศาสตร์",OR(Z13="M2",Z13="K4"),AC13&gt;=2,OR(AB13&lt;V13,AB13&lt;P13)),EDATE(AB13,12*2),AND(AH13="K5-POLICY",AG13&lt;&gt;"นิติศาสตร์",Z13="S1",AC13&gt;=1,OR(AB13&lt;V13,AB13&lt;P13)),EDATE(AB13,12),AND(AH13="K5-POLICY",AG13&lt;&gt;"นิติศาสตร์",OR(T13="M2",T13="K4"),W13&gt;=2,V13&lt;P13),EDATE(V13,12*2),AND(AH13="K5-POLICY",AG13&lt;&gt;"นิติศาสตร์",T13="S1",W13&gt;=1,V13&lt;P13),EDATE(V13,12),AND(AH13="K5-POLICY",AG13&lt;&gt;"นิติศาสตร์",OR(T13="S2",T13="K5")),V13,AND(AH13="K5-POLICY",AG13&lt;&gt;"นิติศาสตร์",OR(K13="M2",K13="K4"),Q13&gt;=2),EDATE(P13,12*2),AND(AH13="K5-POLICY",AG13&lt;&gt;"นิติศาสตร์",K13="S1",Q13&gt;=1),EDATE(P13,12),AND(AH13="K5-POLICY",AG13&lt;&gt;"นิติศาสตร์",OR(K13="S2",K13="K5")),P13,TRUE,"Check Data")</f>
        <v/>
      </c>
      <c r="AJ13" s="75" t="str">
        <f t="shared" si="13"/>
        <v>Check Data</v>
      </c>
      <c r="AK13" s="76" t="str">
        <f t="shared" si="14"/>
        <v>Check Data</v>
      </c>
      <c r="AL13" s="50" t="str">
        <f t="shared" si="15"/>
        <v>Check Data</v>
      </c>
      <c r="AM13" s="49" t="str">
        <f>IF(B13="","",IF(K13="S1","S1",INDEX(#REF!,#REF!)))</f>
        <v/>
      </c>
      <c r="AN13" s="49" t="str">
        <f>K13</f>
        <v>S1</v>
      </c>
      <c r="AO13" s="50" t="b">
        <f>K13=AM13</f>
        <v>0</v>
      </c>
      <c r="AP13" s="50"/>
    </row>
    <row r="14" spans="1:42" ht="21.75">
      <c r="A14" s="49">
        <v>12</v>
      </c>
      <c r="B14" s="50"/>
      <c r="C14" s="51"/>
      <c r="D14" s="50" t="s">
        <v>141</v>
      </c>
      <c r="E14" s="49" t="s">
        <v>183</v>
      </c>
      <c r="F14" s="49" t="str">
        <f t="shared" si="0"/>
        <v>10/08/1992</v>
      </c>
      <c r="G14" s="50">
        <f t="shared" si="1"/>
        <v>32</v>
      </c>
      <c r="H14" s="50">
        <f t="shared" si="2"/>
        <v>10</v>
      </c>
      <c r="I14" s="50">
        <f t="shared" si="3"/>
        <v>10</v>
      </c>
      <c r="J14" s="50" t="s">
        <v>156</v>
      </c>
      <c r="K14" s="49" t="s">
        <v>135</v>
      </c>
      <c r="L14" s="64"/>
      <c r="M14" s="49" t="s">
        <v>425</v>
      </c>
      <c r="N14" s="49" t="s">
        <v>489</v>
      </c>
      <c r="O14" s="65" t="s">
        <v>184</v>
      </c>
      <c r="P14" s="49" t="str">
        <f t="shared" si="4"/>
        <v>24/07/2023</v>
      </c>
      <c r="Q14" s="68">
        <f t="shared" si="5"/>
        <v>1</v>
      </c>
      <c r="R14" s="68">
        <f t="shared" si="6"/>
        <v>10</v>
      </c>
      <c r="S14" s="68">
        <f t="shared" si="7"/>
        <v>27</v>
      </c>
      <c r="T14" s="65" t="s">
        <v>136</v>
      </c>
      <c r="U14" s="65" t="s">
        <v>168</v>
      </c>
      <c r="V14" s="49" t="str">
        <f t="shared" si="8"/>
        <v>01/10/2017</v>
      </c>
      <c r="W14" s="68">
        <f>IF(V14="",0,DATEDIF(V14,P14,"Y"))</f>
        <v>5</v>
      </c>
      <c r="X14" s="68">
        <f>IF(V14="",0,DATEDIF(V14,P14,"YM"))</f>
        <v>9</v>
      </c>
      <c r="Y14" s="68">
        <f>IF(V14="",0,DATEDIF(V14,P14,"MD"))</f>
        <v>23</v>
      </c>
      <c r="Z14" s="49"/>
      <c r="AA14" s="65"/>
      <c r="AB14" s="50" t="str">
        <f t="shared" si="9"/>
        <v/>
      </c>
      <c r="AC14" s="68">
        <f t="shared" si="10"/>
        <v>0</v>
      </c>
      <c r="AD14" s="68">
        <f t="shared" si="11"/>
        <v>0</v>
      </c>
      <c r="AE14" s="68">
        <f t="shared" si="12"/>
        <v>0</v>
      </c>
      <c r="AF14" s="50"/>
      <c r="AG14" s="50" t="s">
        <v>138</v>
      </c>
      <c r="AH14" s="49" t="str">
        <f>IF(AG14="นิติศาสตร์","K5-LAW","K5-POLICY")</f>
        <v>K5-LAW</v>
      </c>
      <c r="AI14" s="72" t="str">
        <f>_xlfn.IFS(B14="","",AND(AH14="K5-LAW",AG14="นิติศาสตร์",K14="S2",T14="",Z14=""),P14,AND(AH14="K5-LAW",AG14="นิติศาสตร์",K14="S1",T14="",Z14=""),EDATE(P14,12),AND(AH14="K5-LAW",AG14="นิติศาสตร์",OR(K14="M2",K14="K4"),T14="",Z14=""),EDATE(P14,12*2),AND(AH14="K5-LAW",AG14="นิติศาสตร์",OR(Z14="M2",Z14="K4"),AC14&gt;=2,OR(AB14&lt;V14,AB14&lt;P14)),EDATE(AB14,12*2),AND(AH14="K5-LAW",AG14="นิติศาสตร์",Z14="S1",AC14&gt;=1,OR(AB14&lt;V14,AB14&lt;P14)),EDATE(AB14,12),AND(AH14="K5-LAW",AG14="นิติศาสตร์",OR(T14="M2",T14="K4"),W14&gt;=2,V14&lt;P14),EDATE(V14,12*2),AND(AH14="K5-LAW",AG14="นิติศาสตร์",T14="S1",W14&gt;=1,V14&lt;P14),EDATE(V14,12),AND(AH14="K5-LAW",AG14="นิติศาสตร์",OR(T14="S2",T14="K5")),V14,AND(AH14="K5-LAW",AG14="นิติศาสตร์",OR(K14="M2",K14="K4"),Q14&gt;=2),EDATE(P14,12*2),AND(AH14="K5-LAW",AG14="นิติศาสตร์",K14="S1",Q14&gt;=1),EDATE(P14,12),AND(AH14="K5-LAW",AG14="นิติศาสตร์",OR(K14="S2",K14="K5")),P14,AND(AH14="K5-POLICY",AG14&lt;&gt;"นิติศาสตร์",K14="S2",T14="",Z14=""),P14,AND(AH14="K5-POLICY",AG14&lt;&gt;"นิติศาสตร์",K14="S1",T14="",Z14=""),EDATE(P14,12),AND(AH14="K5-POLICY",AG14&lt;&gt;"นิติศาสตร์",OR(K14="M2",K14="K4"),T14="",Z14=""),EDATE(P14,12*2),AND(AH14="K5-POLICY",AG14&lt;&gt;"นิติศาสตร์",OR(Z14="M2",Z14="K4"),AC14&gt;=2,OR(AB14&lt;V14,AB14&lt;P14)),EDATE(AB14,12*2),AND(AH14="K5-POLICY",AG14&lt;&gt;"นิติศาสตร์",Z14="S1",AC14&gt;=1,OR(AB14&lt;V14,AB14&lt;P14)),EDATE(AB14,12),AND(AH14="K5-POLICY",AG14&lt;&gt;"นิติศาสตร์",OR(T14="M2",T14="K4"),W14&gt;=2,V14&lt;P14),EDATE(V14,12*2),AND(AH14="K5-POLICY",AG14&lt;&gt;"นิติศาสตร์",T14="S1",W14&gt;=1,V14&lt;P14),EDATE(V14,12),AND(AH14="K5-POLICY",AG14&lt;&gt;"นิติศาสตร์",OR(T14="S2",T14="K5")),V14,AND(AH14="K5-POLICY",AG14&lt;&gt;"นิติศาสตร์",OR(K14="M2",K14="K4"),Q14&gt;=2),EDATE(P14,12*2),AND(AH14="K5-POLICY",AG14&lt;&gt;"นิติศาสตร์",K14="S1",Q14&gt;=1),EDATE(P14,12),AND(AH14="K5-POLICY",AG14&lt;&gt;"นิติศาสตร์",OR(K14="S2",K14="K5")),P14,TRUE,"Check Data")</f>
        <v/>
      </c>
      <c r="AJ14" s="75" t="str">
        <f t="shared" si="13"/>
        <v>Check Data</v>
      </c>
      <c r="AK14" s="76" t="str">
        <f t="shared" si="14"/>
        <v>Check Data</v>
      </c>
      <c r="AL14" s="50" t="str">
        <f t="shared" si="15"/>
        <v>Check Data</v>
      </c>
      <c r="AM14" s="49" t="str">
        <f>IF(B14="","",IF(K14="S1","S1",INDEX(#REF!,#REF!)))</f>
        <v/>
      </c>
      <c r="AN14" s="49" t="str">
        <f>K14</f>
        <v>S1</v>
      </c>
      <c r="AO14" s="50" t="b">
        <f>K14=AM14</f>
        <v>0</v>
      </c>
      <c r="AP14" s="50"/>
    </row>
    <row r="15" spans="1:42" ht="21.75">
      <c r="A15" s="49">
        <v>13</v>
      </c>
      <c r="B15" s="50"/>
      <c r="C15" s="51"/>
      <c r="D15" s="50" t="s">
        <v>34</v>
      </c>
      <c r="E15" s="49" t="s">
        <v>396</v>
      </c>
      <c r="F15" s="49" t="str">
        <f t="shared" si="0"/>
        <v>29/01/1996</v>
      </c>
      <c r="G15" s="50">
        <f t="shared" si="1"/>
        <v>29</v>
      </c>
      <c r="H15" s="50">
        <f t="shared" si="2"/>
        <v>4</v>
      </c>
      <c r="I15" s="50">
        <f t="shared" si="3"/>
        <v>22</v>
      </c>
      <c r="J15" s="50" t="s">
        <v>153</v>
      </c>
      <c r="K15" s="49" t="s">
        <v>135</v>
      </c>
      <c r="L15" s="64"/>
      <c r="M15" s="49" t="s">
        <v>427</v>
      </c>
      <c r="N15" s="49" t="s">
        <v>491</v>
      </c>
      <c r="O15" s="65" t="s">
        <v>184</v>
      </c>
      <c r="P15" s="49" t="str">
        <f t="shared" si="4"/>
        <v>24/07/2023</v>
      </c>
      <c r="Q15" s="68">
        <f t="shared" si="5"/>
        <v>1</v>
      </c>
      <c r="R15" s="68">
        <f t="shared" si="6"/>
        <v>10</v>
      </c>
      <c r="S15" s="68">
        <f t="shared" si="7"/>
        <v>27</v>
      </c>
      <c r="T15" s="65" t="s">
        <v>136</v>
      </c>
      <c r="U15" s="65" t="s">
        <v>207</v>
      </c>
      <c r="V15" s="49" t="str">
        <f t="shared" si="8"/>
        <v>09/06/2023</v>
      </c>
      <c r="W15" s="68">
        <f>IF(V15="",0,DATEDIF(V15,P15,"Y"))</f>
        <v>0</v>
      </c>
      <c r="X15" s="68">
        <f>IF(V15="",0,DATEDIF(V15,P15,"YM"))</f>
        <v>1</v>
      </c>
      <c r="Y15" s="68">
        <f>IF(V15="",0,DATEDIF(V15,P15,"MD"))</f>
        <v>15</v>
      </c>
      <c r="Z15" s="69" t="s">
        <v>137</v>
      </c>
      <c r="AA15" s="65" t="s">
        <v>397</v>
      </c>
      <c r="AB15" s="50" t="str">
        <f t="shared" si="9"/>
        <v>18/02/2019</v>
      </c>
      <c r="AC15" s="68">
        <f t="shared" si="10"/>
        <v>4</v>
      </c>
      <c r="AD15" s="68">
        <f t="shared" si="11"/>
        <v>3</v>
      </c>
      <c r="AE15" s="68">
        <f t="shared" si="12"/>
        <v>22</v>
      </c>
      <c r="AF15" s="50"/>
      <c r="AG15" s="50" t="s">
        <v>138</v>
      </c>
      <c r="AH15" s="49" t="str">
        <f>IF(AG15="นิติศาสตร์","K5-LAW","K5-POLICY")</f>
        <v>K5-LAW</v>
      </c>
      <c r="AI15" s="72" t="str">
        <f>_xlfn.IFS(B15="","",AND(AH15="K5-LAW",AG15="นิติศาสตร์",K15="S2",T15="",Z15=""),P15,AND(AH15="K5-LAW",AG15="นิติศาสตร์",K15="S1",T15="",Z15=""),EDATE(P15,12),AND(AH15="K5-LAW",AG15="นิติศาสตร์",OR(K15="M2",K15="K4"),T15="",Z15=""),EDATE(P15,12*2),AND(AH15="K5-LAW",AG15="นิติศาสตร์",OR(Z15="M2",Z15="K4"),AC15&gt;=2,OR(AB15&lt;V15,AB15&lt;P15)),EDATE(AB15,12*2),AND(AH15="K5-LAW",AG15="นิติศาสตร์",Z15="S1",AC15&gt;=1,OR(AB15&lt;V15,AB15&lt;P15)),EDATE(AB15,12),AND(AH15="K5-LAW",AG15="นิติศาสตร์",OR(T15="M2",T15="K4"),W15&gt;=2,V15&lt;P15),EDATE(V15,12*2),AND(AH15="K5-LAW",AG15="นิติศาสตร์",T15="S1",W15&gt;=1,V15&lt;P15),EDATE(V15,12),AND(AH15="K5-LAW",AG15="นิติศาสตร์",OR(T15="S2",T15="K5")),V15,AND(AH15="K5-LAW",AG15="นิติศาสตร์",OR(K15="M2",K15="K4"),Q15&gt;=2),EDATE(P15,12*2),AND(AH15="K5-LAW",AG15="นิติศาสตร์",K15="S1",Q15&gt;=1),EDATE(P15,12),AND(AH15="K5-LAW",AG15="นิติศาสตร์",OR(K15="S2",K15="K5")),P15,AND(AH15="K5-POLICY",AG15&lt;&gt;"นิติศาสตร์",K15="S2",T15="",Z15=""),P15,AND(AH15="K5-POLICY",AG15&lt;&gt;"นิติศาสตร์",K15="S1",T15="",Z15=""),EDATE(P15,12),AND(AH15="K5-POLICY",AG15&lt;&gt;"นิติศาสตร์",OR(K15="M2",K15="K4"),T15="",Z15=""),EDATE(P15,12*2),AND(AH15="K5-POLICY",AG15&lt;&gt;"นิติศาสตร์",OR(Z15="M2",Z15="K4"),AC15&gt;=2,OR(AB15&lt;V15,AB15&lt;P15)),EDATE(AB15,12*2),AND(AH15="K5-POLICY",AG15&lt;&gt;"นิติศาสตร์",Z15="S1",AC15&gt;=1,OR(AB15&lt;V15,AB15&lt;P15)),EDATE(AB15,12),AND(AH15="K5-POLICY",AG15&lt;&gt;"นิติศาสตร์",OR(T15="M2",T15="K4"),W15&gt;=2,V15&lt;P15),EDATE(V15,12*2),AND(AH15="K5-POLICY",AG15&lt;&gt;"นิติศาสตร์",T15="S1",W15&gt;=1,V15&lt;P15),EDATE(V15,12),AND(AH15="K5-POLICY",AG15&lt;&gt;"นิติศาสตร์",OR(T15="S2",T15="K5")),V15,AND(AH15="K5-POLICY",AG15&lt;&gt;"นิติศาสตร์",OR(K15="M2",K15="K4"),Q15&gt;=2),EDATE(P15,12*2),AND(AH15="K5-POLICY",AG15&lt;&gt;"นิติศาสตร์",K15="S1",Q15&gt;=1),EDATE(P15,12),AND(AH15="K5-POLICY",AG15&lt;&gt;"นิติศาสตร์",OR(K15="S2",K15="K5")),P15,TRUE,"Check Data")</f>
        <v/>
      </c>
      <c r="AJ15" s="75" t="str">
        <f t="shared" si="13"/>
        <v>Check Data</v>
      </c>
      <c r="AK15" s="76" t="str">
        <f t="shared" si="14"/>
        <v>Check Data</v>
      </c>
      <c r="AL15" s="50" t="str">
        <f t="shared" si="15"/>
        <v>Check Data</v>
      </c>
      <c r="AM15" s="49" t="str">
        <f>IF(B15="","",IF(K15="S1","S1",INDEX(#REF!,#REF!)))</f>
        <v/>
      </c>
      <c r="AN15" s="49" t="str">
        <f>K15</f>
        <v>S1</v>
      </c>
      <c r="AO15" s="50" t="b">
        <f>K15=AM15</f>
        <v>0</v>
      </c>
      <c r="AP15" s="50"/>
    </row>
    <row r="16" spans="1:42" ht="21.75">
      <c r="A16" s="49">
        <v>14</v>
      </c>
      <c r="B16" s="50"/>
      <c r="C16" s="51"/>
      <c r="D16" s="50" t="s">
        <v>34</v>
      </c>
      <c r="E16" s="49" t="s">
        <v>204</v>
      </c>
      <c r="F16" s="49" t="str">
        <f t="shared" si="0"/>
        <v>23/12/1997</v>
      </c>
      <c r="G16" s="50">
        <f t="shared" si="1"/>
        <v>27</v>
      </c>
      <c r="H16" s="50">
        <f t="shared" si="2"/>
        <v>5</v>
      </c>
      <c r="I16" s="50">
        <f t="shared" si="3"/>
        <v>28</v>
      </c>
      <c r="J16" s="50" t="s">
        <v>153</v>
      </c>
      <c r="K16" s="49" t="s">
        <v>135</v>
      </c>
      <c r="L16" s="64"/>
      <c r="M16" s="49" t="s">
        <v>425</v>
      </c>
      <c r="N16" s="49" t="s">
        <v>493</v>
      </c>
      <c r="O16" s="65" t="s">
        <v>184</v>
      </c>
      <c r="P16" s="49" t="str">
        <f t="shared" si="4"/>
        <v>24/07/2023</v>
      </c>
      <c r="Q16" s="68">
        <f t="shared" si="5"/>
        <v>1</v>
      </c>
      <c r="R16" s="68">
        <f t="shared" si="6"/>
        <v>10</v>
      </c>
      <c r="S16" s="68">
        <f t="shared" si="7"/>
        <v>27</v>
      </c>
      <c r="T16" s="65" t="s">
        <v>136</v>
      </c>
      <c r="U16" s="65" t="s">
        <v>205</v>
      </c>
      <c r="V16" s="49" t="str">
        <f t="shared" si="8"/>
        <v>26/10/2016</v>
      </c>
      <c r="W16" s="68">
        <f>IF(V16="",0,DATEDIF(V16,P16,"Y"))</f>
        <v>6</v>
      </c>
      <c r="X16" s="68">
        <f>IF(V16="",0,DATEDIF(V16,P16,"YM"))</f>
        <v>8</v>
      </c>
      <c r="Y16" s="68">
        <f>IF(V16="",0,DATEDIF(V16,P16,"MD"))</f>
        <v>28</v>
      </c>
      <c r="Z16" s="69" t="s">
        <v>88</v>
      </c>
      <c r="AA16" s="65" t="s">
        <v>495</v>
      </c>
      <c r="AB16" s="50" t="str">
        <f t="shared" si="9"/>
        <v>12/11/2010</v>
      </c>
      <c r="AC16" s="68">
        <f t="shared" si="10"/>
        <v>5</v>
      </c>
      <c r="AD16" s="68">
        <f t="shared" si="11"/>
        <v>11</v>
      </c>
      <c r="AE16" s="68">
        <f t="shared" si="12"/>
        <v>14</v>
      </c>
      <c r="AF16" s="50"/>
      <c r="AG16" s="50" t="s">
        <v>138</v>
      </c>
      <c r="AH16" s="49" t="str">
        <f>IF(AG16="นิติศาสตร์","K5-LAW","K5-POLICY")</f>
        <v>K5-LAW</v>
      </c>
      <c r="AI16" s="72" t="str">
        <f>_xlfn.IFS(B16="","",AND(AH16="K5-LAW",AG16="นิติศาสตร์",K16="S2",T16="",Z16=""),P16,AND(AH16="K5-LAW",AG16="นิติศาสตร์",K16="S1",T16="",Z16=""),EDATE(P16,12),AND(AH16="K5-LAW",AG16="นิติศาสตร์",OR(K16="M2",K16="K4"),T16="",Z16=""),EDATE(P16,12*2),AND(AH16="K5-LAW",AG16="นิติศาสตร์",OR(Z16="M2",Z16="K4"),AC16&gt;=2,OR(AB16&lt;V16,AB16&lt;P16)),EDATE(AB16,12*2),AND(AH16="K5-LAW",AG16="นิติศาสตร์",Z16="S1",AC16&gt;=1,OR(AB16&lt;V16,AB16&lt;P16)),EDATE(AB16,12),AND(AH16="K5-LAW",AG16="นิติศาสตร์",OR(T16="M2",T16="K4"),W16&gt;=2,V16&lt;P16),EDATE(V16,12*2),AND(AH16="K5-LAW",AG16="นิติศาสตร์",T16="S1",W16&gt;=1,V16&lt;P16),EDATE(V16,12),AND(AH16="K5-LAW",AG16="นิติศาสตร์",OR(T16="S2",T16="K5")),V16,AND(AH16="K5-LAW",AG16="นิติศาสตร์",OR(K16="M2",K16="K4"),Q16&gt;=2),EDATE(P16,12*2),AND(AH16="K5-LAW",AG16="นิติศาสตร์",K16="S1",Q16&gt;=1),EDATE(P16,12),AND(AH16="K5-LAW",AG16="นิติศาสตร์",OR(K16="S2",K16="K5")),P16,AND(AH16="K5-POLICY",AG16&lt;&gt;"นิติศาสตร์",K16="S2",T16="",Z16=""),P16,AND(AH16="K5-POLICY",AG16&lt;&gt;"นิติศาสตร์",K16="S1",T16="",Z16=""),EDATE(P16,12),AND(AH16="K5-POLICY",AG16&lt;&gt;"นิติศาสตร์",OR(K16="M2",K16="K4"),T16="",Z16=""),EDATE(P16,12*2),AND(AH16="K5-POLICY",AG16&lt;&gt;"นิติศาสตร์",OR(Z16="M2",Z16="K4"),AC16&gt;=2,OR(AB16&lt;V16,AB16&lt;P16)),EDATE(AB16,12*2),AND(AH16="K5-POLICY",AG16&lt;&gt;"นิติศาสตร์",Z16="S1",AC16&gt;=1,OR(AB16&lt;V16,AB16&lt;P16)),EDATE(AB16,12),AND(AH16="K5-POLICY",AG16&lt;&gt;"นิติศาสตร์",OR(T16="M2",T16="K4"),W16&gt;=2,V16&lt;P16),EDATE(V16,12*2),AND(AH16="K5-POLICY",AG16&lt;&gt;"นิติศาสตร์",T16="S1",W16&gt;=1,V16&lt;P16),EDATE(V16,12),AND(AH16="K5-POLICY",AG16&lt;&gt;"นิติศาสตร์",OR(T16="S2",T16="K5")),V16,AND(AH16="K5-POLICY",AG16&lt;&gt;"นิติศาสตร์",OR(K16="M2",K16="K4"),Q16&gt;=2),EDATE(P16,12*2),AND(AH16="K5-POLICY",AG16&lt;&gt;"นิติศาสตร์",K16="S1",Q16&gt;=1),EDATE(P16,12),AND(AH16="K5-POLICY",AG16&lt;&gt;"นิติศาสตร์",OR(K16="S2",K16="K5")),P16,TRUE,"Check Data")</f>
        <v/>
      </c>
      <c r="AJ16" s="75" t="str">
        <f t="shared" si="13"/>
        <v>Check Data</v>
      </c>
      <c r="AK16" s="76" t="str">
        <f t="shared" si="14"/>
        <v>Check Data</v>
      </c>
      <c r="AL16" s="50" t="str">
        <f t="shared" si="15"/>
        <v>Check Data</v>
      </c>
      <c r="AM16" s="49" t="str">
        <f>IF(B16="","",IF(K16="S1","S1",INDEX(#REF!,#REF!)))</f>
        <v/>
      </c>
      <c r="AN16" s="49" t="str">
        <f>K16</f>
        <v>S1</v>
      </c>
      <c r="AO16" s="50" t="b">
        <f>K16=AM16</f>
        <v>0</v>
      </c>
      <c r="AP16" s="50"/>
    </row>
    <row r="17" spans="1:42" ht="21.75">
      <c r="A17" s="49">
        <v>15</v>
      </c>
      <c r="B17" s="50"/>
      <c r="C17" s="50"/>
      <c r="D17" s="50" t="s">
        <v>142</v>
      </c>
      <c r="E17" s="49" t="s">
        <v>424</v>
      </c>
      <c r="F17" s="49" t="str">
        <f t="shared" si="0"/>
        <v>26/10/1995</v>
      </c>
      <c r="G17" s="50">
        <f t="shared" si="1"/>
        <v>29</v>
      </c>
      <c r="H17" s="50">
        <f t="shared" si="2"/>
        <v>7</v>
      </c>
      <c r="I17" s="50">
        <f t="shared" si="3"/>
        <v>25</v>
      </c>
      <c r="J17" s="50" t="s">
        <v>157</v>
      </c>
      <c r="K17" s="49" t="s">
        <v>135</v>
      </c>
      <c r="L17" s="64"/>
      <c r="M17" s="49"/>
      <c r="N17" s="49">
        <v>2571</v>
      </c>
      <c r="O17" s="65" t="s">
        <v>496</v>
      </c>
      <c r="P17" s="49" t="str">
        <f t="shared" si="4"/>
        <v>26/07/2024</v>
      </c>
      <c r="Q17" s="68">
        <f t="shared" si="5"/>
        <v>0</v>
      </c>
      <c r="R17" s="68">
        <f t="shared" si="6"/>
        <v>10</v>
      </c>
      <c r="S17" s="68">
        <f t="shared" si="7"/>
        <v>25</v>
      </c>
      <c r="T17" s="65" t="s">
        <v>136</v>
      </c>
      <c r="U17" s="65" t="s">
        <v>270</v>
      </c>
      <c r="V17" s="49" t="str">
        <f t="shared" si="8"/>
        <v>15/08/2012</v>
      </c>
      <c r="W17" s="68">
        <f>IF(V17="",0,DATEDIF(V17,P17,"Y"))</f>
        <v>11</v>
      </c>
      <c r="X17" s="68">
        <f>IF(V17="",0,DATEDIF(V17,P17,"YM"))</f>
        <v>11</v>
      </c>
      <c r="Y17" s="68">
        <f>IF(V17="",0,DATEDIF(V17,P17,"MD"))</f>
        <v>11</v>
      </c>
      <c r="Z17" s="49"/>
      <c r="AA17" s="65"/>
      <c r="AB17" s="50" t="str">
        <f t="shared" si="9"/>
        <v/>
      </c>
      <c r="AC17" s="68">
        <f t="shared" si="10"/>
        <v>0</v>
      </c>
      <c r="AD17" s="68">
        <f t="shared" si="11"/>
        <v>0</v>
      </c>
      <c r="AE17" s="68">
        <f t="shared" si="12"/>
        <v>0</v>
      </c>
      <c r="AF17" s="50"/>
      <c r="AG17" s="50" t="s">
        <v>138</v>
      </c>
      <c r="AH17" s="49" t="str">
        <f>IF(AG17="นิติศาสตร์","K5-LAW","K5-POLICY")</f>
        <v>K5-LAW</v>
      </c>
      <c r="AI17" s="72" t="str">
        <f>_xlfn.IFS(B17="","",AND(AH17="K5-LAW",AG17="นิติศาสตร์",K17="S2",T17="",Z17=""),P17,AND(AH17="K5-LAW",AG17="นิติศาสตร์",K17="S1",T17="",Z17=""),EDATE(P17,12),AND(AH17="K5-LAW",AG17="นิติศาสตร์",OR(K17="M2",K17="K4"),T17="",Z17=""),EDATE(P17,12*2),AND(AH17="K5-LAW",AG17="นิติศาสตร์",OR(Z17="M2",Z17="K4"),AC17&gt;=2,OR(AB17&lt;V17,AB17&lt;P17)),EDATE(AB17,12*2),AND(AH17="K5-LAW",AG17="นิติศาสตร์",Z17="S1",AC17&gt;=1,OR(AB17&lt;V17,AB17&lt;P17)),EDATE(AB17,12),AND(AH17="K5-LAW",AG17="นิติศาสตร์",OR(T17="M2",T17="K4"),W17&gt;=2,V17&lt;P17),EDATE(V17,12*2),AND(AH17="K5-LAW",AG17="นิติศาสตร์",T17="S1",W17&gt;=1,V17&lt;P17),EDATE(V17,12),AND(AH17="K5-LAW",AG17="นิติศาสตร์",OR(T17="S2",T17="K5")),V17,AND(AH17="K5-LAW",AG17="นิติศาสตร์",OR(K17="M2",K17="K4"),Q17&gt;=2),EDATE(P17,12*2),AND(AH17="K5-LAW",AG17="นิติศาสตร์",K17="S1",Q17&gt;=1),EDATE(P17,12),AND(AH17="K5-LAW",AG17="นิติศาสตร์",OR(K17="S2",K17="K5")),P17,AND(AH17="K5-POLICY",AG17&lt;&gt;"นิติศาสตร์",K17="S2",T17="",Z17=""),P17,AND(AH17="K5-POLICY",AG17&lt;&gt;"นิติศาสตร์",K17="S1",T17="",Z17=""),EDATE(P17,12),AND(AH17="K5-POLICY",AG17&lt;&gt;"นิติศาสตร์",OR(K17="M2",K17="K4"),T17="",Z17=""),EDATE(P17,12*2),AND(AH17="K5-POLICY",AG17&lt;&gt;"นิติศาสตร์",OR(Z17="M2",Z17="K4"),AC17&gt;=2,OR(AB17&lt;V17,AB17&lt;P17)),EDATE(AB17,12*2),AND(AH17="K5-POLICY",AG17&lt;&gt;"นิติศาสตร์",Z17="S1",AC17&gt;=1,OR(AB17&lt;V17,AB17&lt;P17)),EDATE(AB17,12),AND(AH17="K5-POLICY",AG17&lt;&gt;"นิติศาสตร์",OR(T17="M2",T17="K4"),W17&gt;=2,V17&lt;P17),EDATE(V17,12*2),AND(AH17="K5-POLICY",AG17&lt;&gt;"นิติศาสตร์",T17="S1",W17&gt;=1,V17&lt;P17),EDATE(V17,12),AND(AH17="K5-POLICY",AG17&lt;&gt;"นิติศาสตร์",OR(T17="S2",T17="K5")),V17,AND(AH17="K5-POLICY",AG17&lt;&gt;"นิติศาสตร์",OR(K17="M2",K17="K4"),Q17&gt;=2),EDATE(P17,12*2),AND(AH17="K5-POLICY",AG17&lt;&gt;"นิติศาสตร์",K17="S1",Q17&gt;=1),EDATE(P17,12),AND(AH17="K5-POLICY",AG17&lt;&gt;"นิติศาสตร์",OR(K17="S2",K17="K5")),P17,TRUE,"Check Data")</f>
        <v/>
      </c>
      <c r="AJ17" s="75" t="str">
        <f t="shared" si="13"/>
        <v>Check Data</v>
      </c>
      <c r="AK17" s="76" t="str">
        <f t="shared" si="14"/>
        <v>Check Data</v>
      </c>
      <c r="AL17" s="50" t="str">
        <f t="shared" si="15"/>
        <v>Check Data</v>
      </c>
      <c r="AM17" s="49" t="str">
        <f>IF(B17="","",IF(K17="S1","S1",INDEX(#REF!,#REF!)))</f>
        <v/>
      </c>
      <c r="AN17" s="49" t="str">
        <f>K17</f>
        <v>S1</v>
      </c>
      <c r="AO17" s="50" t="b">
        <f>K17=AM17</f>
        <v>0</v>
      </c>
      <c r="AP17" s="50"/>
    </row>
    <row r="18" spans="1:42" ht="21.75">
      <c r="A18" s="49">
        <v>16</v>
      </c>
      <c r="B18" s="50"/>
      <c r="C18" s="50"/>
      <c r="D18" s="50" t="s">
        <v>141</v>
      </c>
      <c r="E18" s="49" t="s">
        <v>176</v>
      </c>
      <c r="F18" s="49" t="str">
        <f t="shared" si="0"/>
        <v>01/03/1990</v>
      </c>
      <c r="G18" s="50">
        <f t="shared" si="1"/>
        <v>35</v>
      </c>
      <c r="H18" s="50">
        <f t="shared" si="2"/>
        <v>3</v>
      </c>
      <c r="I18" s="50">
        <f t="shared" si="3"/>
        <v>19</v>
      </c>
      <c r="J18" s="50" t="s">
        <v>156</v>
      </c>
      <c r="K18" s="49" t="s">
        <v>135</v>
      </c>
      <c r="L18" s="64"/>
      <c r="M18" s="49"/>
      <c r="N18" s="49">
        <v>2569</v>
      </c>
      <c r="O18" s="65" t="s">
        <v>496</v>
      </c>
      <c r="P18" s="49" t="str">
        <f t="shared" si="4"/>
        <v>26/07/2024</v>
      </c>
      <c r="Q18" s="68">
        <f t="shared" si="5"/>
        <v>0</v>
      </c>
      <c r="R18" s="68">
        <f t="shared" si="6"/>
        <v>10</v>
      </c>
      <c r="S18" s="68">
        <f t="shared" si="7"/>
        <v>25</v>
      </c>
      <c r="T18" s="65" t="s">
        <v>136</v>
      </c>
      <c r="U18" s="65" t="s">
        <v>242</v>
      </c>
      <c r="V18" s="49" t="str">
        <f t="shared" si="8"/>
        <v>20/04/2018</v>
      </c>
      <c r="W18" s="68">
        <f>IF(V18="",0,DATEDIF(V18,P18,"Y"))</f>
        <v>6</v>
      </c>
      <c r="X18" s="68">
        <f>IF(V18="",0,DATEDIF(V18,P18,"YM"))</f>
        <v>3</v>
      </c>
      <c r="Y18" s="68">
        <f>IF(V18="",0,DATEDIF(V18,P18,"MD"))</f>
        <v>6</v>
      </c>
      <c r="Z18" s="49"/>
      <c r="AA18" s="65"/>
      <c r="AB18" s="50" t="str">
        <f t="shared" si="9"/>
        <v/>
      </c>
      <c r="AC18" s="68">
        <f t="shared" si="10"/>
        <v>0</v>
      </c>
      <c r="AD18" s="68">
        <f t="shared" si="11"/>
        <v>0</v>
      </c>
      <c r="AE18" s="68">
        <f t="shared" si="12"/>
        <v>0</v>
      </c>
      <c r="AF18" s="50"/>
      <c r="AG18" s="50" t="s">
        <v>138</v>
      </c>
      <c r="AH18" s="49" t="str">
        <f>IF(AG18="นิติศาสตร์","K5-LAW","K5-POLICY")</f>
        <v>K5-LAW</v>
      </c>
      <c r="AI18" s="72" t="str">
        <f>_xlfn.IFS(B18="","",AND(AH18="K5-LAW",AG18="นิติศาสตร์",K18="S2",T18="",Z18=""),P18,AND(AH18="K5-LAW",AG18="นิติศาสตร์",K18="S1",T18="",Z18=""),EDATE(P18,12),AND(AH18="K5-LAW",AG18="นิติศาสตร์",OR(K18="M2",K18="K4"),T18="",Z18=""),EDATE(P18,12*2),AND(AH18="K5-LAW",AG18="นิติศาสตร์",OR(Z18="M2",Z18="K4"),AC18&gt;=2,OR(AB18&lt;V18,AB18&lt;P18)),EDATE(AB18,12*2),AND(AH18="K5-LAW",AG18="นิติศาสตร์",Z18="S1",AC18&gt;=1,OR(AB18&lt;V18,AB18&lt;P18)),EDATE(AB18,12),AND(AH18="K5-LAW",AG18="นิติศาสตร์",OR(T18="M2",T18="K4"),W18&gt;=2,V18&lt;P18),EDATE(V18,12*2),AND(AH18="K5-LAW",AG18="นิติศาสตร์",T18="S1",W18&gt;=1,V18&lt;P18),EDATE(V18,12),AND(AH18="K5-LAW",AG18="นิติศาสตร์",OR(T18="S2",T18="K5")),V18,AND(AH18="K5-LAW",AG18="นิติศาสตร์",OR(K18="M2",K18="K4"),Q18&gt;=2),EDATE(P18,12*2),AND(AH18="K5-LAW",AG18="นิติศาสตร์",K18="S1",Q18&gt;=1),EDATE(P18,12),AND(AH18="K5-LAW",AG18="นิติศาสตร์",OR(K18="S2",K18="K5")),P18,AND(AH18="K5-POLICY",AG18&lt;&gt;"นิติศาสตร์",K18="S2",T18="",Z18=""),P18,AND(AH18="K5-POLICY",AG18&lt;&gt;"นิติศาสตร์",K18="S1",T18="",Z18=""),EDATE(P18,12),AND(AH18="K5-POLICY",AG18&lt;&gt;"นิติศาสตร์",OR(K18="M2",K18="K4"),T18="",Z18=""),EDATE(P18,12*2),AND(AH18="K5-POLICY",AG18&lt;&gt;"นิติศาสตร์",OR(Z18="M2",Z18="K4"),AC18&gt;=2,OR(AB18&lt;V18,AB18&lt;P18)),EDATE(AB18,12*2),AND(AH18="K5-POLICY",AG18&lt;&gt;"นิติศาสตร์",Z18="S1",AC18&gt;=1,OR(AB18&lt;V18,AB18&lt;P18)),EDATE(AB18,12),AND(AH18="K5-POLICY",AG18&lt;&gt;"นิติศาสตร์",OR(T18="M2",T18="K4"),W18&gt;=2,V18&lt;P18),EDATE(V18,12*2),AND(AH18="K5-POLICY",AG18&lt;&gt;"นิติศาสตร์",T18="S1",W18&gt;=1,V18&lt;P18),EDATE(V18,12),AND(AH18="K5-POLICY",AG18&lt;&gt;"นิติศาสตร์",OR(T18="S2",T18="K5")),V18,AND(AH18="K5-POLICY",AG18&lt;&gt;"นิติศาสตร์",OR(K18="M2",K18="K4"),Q18&gt;=2),EDATE(P18,12*2),AND(AH18="K5-POLICY",AG18&lt;&gt;"นิติศาสตร์",K18="S1",Q18&gt;=1),EDATE(P18,12),AND(AH18="K5-POLICY",AG18&lt;&gt;"นิติศาสตร์",OR(K18="S2",K18="K5")),P18,TRUE,"Check Data")</f>
        <v/>
      </c>
      <c r="AJ18" s="75" t="str">
        <f t="shared" si="13"/>
        <v>Check Data</v>
      </c>
      <c r="AK18" s="76" t="str">
        <f t="shared" si="14"/>
        <v>Check Data</v>
      </c>
      <c r="AL18" s="50" t="str">
        <f t="shared" si="15"/>
        <v>Check Data</v>
      </c>
      <c r="AM18" s="49" t="str">
        <f>IF(B18="","",IF(K18="S1","S1",INDEX(#REF!,#REF!)))</f>
        <v/>
      </c>
      <c r="AN18" s="49" t="str">
        <f>K18</f>
        <v>S1</v>
      </c>
      <c r="AO18" s="50" t="b">
        <f>K18=AM18</f>
        <v>0</v>
      </c>
      <c r="AP18" s="50"/>
    </row>
    <row r="19" spans="1:42" ht="21.75">
      <c r="A19" s="49">
        <v>17</v>
      </c>
      <c r="B19" s="50"/>
      <c r="C19" s="50"/>
      <c r="D19" s="50" t="s">
        <v>141</v>
      </c>
      <c r="E19" s="49" t="s">
        <v>208</v>
      </c>
      <c r="F19" s="49" t="str">
        <f t="shared" si="0"/>
        <v>01/02/1990</v>
      </c>
      <c r="G19" s="50">
        <f t="shared" si="1"/>
        <v>35</v>
      </c>
      <c r="H19" s="50">
        <f t="shared" si="2"/>
        <v>4</v>
      </c>
      <c r="I19" s="50">
        <f t="shared" si="3"/>
        <v>19</v>
      </c>
      <c r="J19" s="50" t="s">
        <v>156</v>
      </c>
      <c r="K19" s="49" t="s">
        <v>135</v>
      </c>
      <c r="L19" s="64"/>
      <c r="M19" s="49"/>
      <c r="N19" s="49">
        <v>2569</v>
      </c>
      <c r="O19" s="65" t="s">
        <v>496</v>
      </c>
      <c r="P19" s="49" t="str">
        <f t="shared" si="4"/>
        <v>26/07/2024</v>
      </c>
      <c r="Q19" s="68">
        <f t="shared" si="5"/>
        <v>0</v>
      </c>
      <c r="R19" s="68">
        <f t="shared" si="6"/>
        <v>10</v>
      </c>
      <c r="S19" s="68">
        <f t="shared" si="7"/>
        <v>25</v>
      </c>
      <c r="T19" s="65" t="s">
        <v>136</v>
      </c>
      <c r="U19" s="65" t="s">
        <v>242</v>
      </c>
      <c r="V19" s="49" t="str">
        <f t="shared" si="8"/>
        <v>20/04/2018</v>
      </c>
      <c r="W19" s="68">
        <f>IF(V19="",0,DATEDIF(V19,P19,"Y"))</f>
        <v>6</v>
      </c>
      <c r="X19" s="68">
        <f>IF(V19="",0,DATEDIF(V19,P19,"YM"))</f>
        <v>3</v>
      </c>
      <c r="Y19" s="68">
        <f>IF(V19="",0,DATEDIF(V19,P19,"MD"))</f>
        <v>6</v>
      </c>
      <c r="Z19" s="49"/>
      <c r="AA19" s="65"/>
      <c r="AB19" s="50" t="str">
        <f t="shared" si="9"/>
        <v/>
      </c>
      <c r="AC19" s="68">
        <f t="shared" si="10"/>
        <v>0</v>
      </c>
      <c r="AD19" s="68">
        <f t="shared" si="11"/>
        <v>0</v>
      </c>
      <c r="AE19" s="68">
        <f t="shared" si="12"/>
        <v>0</v>
      </c>
      <c r="AF19" s="50"/>
      <c r="AG19" s="50" t="s">
        <v>138</v>
      </c>
      <c r="AH19" s="49" t="str">
        <f>IF(AG19="นิติศาสตร์","K5-LAW","K5-POLICY")</f>
        <v>K5-LAW</v>
      </c>
      <c r="AI19" s="72" t="str">
        <f>_xlfn.IFS(B19="","",AND(AH19="K5-LAW",AG19="นิติศาสตร์",K19="S2",T19="",Z19=""),P19,AND(AH19="K5-LAW",AG19="นิติศาสตร์",K19="S1",T19="",Z19=""),EDATE(P19,12),AND(AH19="K5-LAW",AG19="นิติศาสตร์",OR(K19="M2",K19="K4"),T19="",Z19=""),EDATE(P19,12*2),AND(AH19="K5-LAW",AG19="นิติศาสตร์",OR(Z19="M2",Z19="K4"),AC19&gt;=2,OR(AB19&lt;V19,AB19&lt;P19)),EDATE(AB19,12*2),AND(AH19="K5-LAW",AG19="นิติศาสตร์",Z19="S1",AC19&gt;=1,OR(AB19&lt;V19,AB19&lt;P19)),EDATE(AB19,12),AND(AH19="K5-LAW",AG19="นิติศาสตร์",OR(T19="M2",T19="K4"),W19&gt;=2,V19&lt;P19),EDATE(V19,12*2),AND(AH19="K5-LAW",AG19="นิติศาสตร์",T19="S1",W19&gt;=1,V19&lt;P19),EDATE(V19,12),AND(AH19="K5-LAW",AG19="นิติศาสตร์",OR(T19="S2",T19="K5")),V19,AND(AH19="K5-LAW",AG19="นิติศาสตร์",OR(K19="M2",K19="K4"),Q19&gt;=2),EDATE(P19,12*2),AND(AH19="K5-LAW",AG19="นิติศาสตร์",K19="S1",Q19&gt;=1),EDATE(P19,12),AND(AH19="K5-LAW",AG19="นิติศาสตร์",OR(K19="S2",K19="K5")),P19,AND(AH19="K5-POLICY",AG19&lt;&gt;"นิติศาสตร์",K19="S2",T19="",Z19=""),P19,AND(AH19="K5-POLICY",AG19&lt;&gt;"นิติศาสตร์",K19="S1",T19="",Z19=""),EDATE(P19,12),AND(AH19="K5-POLICY",AG19&lt;&gt;"นิติศาสตร์",OR(K19="M2",K19="K4"),T19="",Z19=""),EDATE(P19,12*2),AND(AH19="K5-POLICY",AG19&lt;&gt;"นิติศาสตร์",OR(Z19="M2",Z19="K4"),AC19&gt;=2,OR(AB19&lt;V19,AB19&lt;P19)),EDATE(AB19,12*2),AND(AH19="K5-POLICY",AG19&lt;&gt;"นิติศาสตร์",Z19="S1",AC19&gt;=1,OR(AB19&lt;V19,AB19&lt;P19)),EDATE(AB19,12),AND(AH19="K5-POLICY",AG19&lt;&gt;"นิติศาสตร์",OR(T19="M2",T19="K4"),W19&gt;=2,V19&lt;P19),EDATE(V19,12*2),AND(AH19="K5-POLICY",AG19&lt;&gt;"นิติศาสตร์",T19="S1",W19&gt;=1,V19&lt;P19),EDATE(V19,12),AND(AH19="K5-POLICY",AG19&lt;&gt;"นิติศาสตร์",OR(T19="S2",T19="K5")),V19,AND(AH19="K5-POLICY",AG19&lt;&gt;"นิติศาสตร์",OR(K19="M2",K19="K4"),Q19&gt;=2),EDATE(P19,12*2),AND(AH19="K5-POLICY",AG19&lt;&gt;"นิติศาสตร์",K19="S1",Q19&gt;=1),EDATE(P19,12),AND(AH19="K5-POLICY",AG19&lt;&gt;"นิติศาสตร์",OR(K19="S2",K19="K5")),P19,TRUE,"Check Data")</f>
        <v/>
      </c>
      <c r="AJ19" s="75" t="str">
        <f t="shared" si="13"/>
        <v>Check Data</v>
      </c>
      <c r="AK19" s="76" t="str">
        <f t="shared" si="14"/>
        <v>Check Data</v>
      </c>
      <c r="AL19" s="50" t="str">
        <f t="shared" si="15"/>
        <v>Check Data</v>
      </c>
      <c r="AM19" s="49" t="str">
        <f>IF(B19="","",IF(K19="S1","S1",INDEX(#REF!,#REF!)))</f>
        <v/>
      </c>
      <c r="AN19" s="49" t="str">
        <f>K19</f>
        <v>S1</v>
      </c>
      <c r="AO19" s="50" t="b">
        <f>K19=AM19</f>
        <v>0</v>
      </c>
      <c r="AP19" s="50"/>
    </row>
    <row r="20" spans="1:42" ht="21.75">
      <c r="A20" s="49">
        <v>18</v>
      </c>
      <c r="B20" s="50"/>
      <c r="C20" s="50"/>
      <c r="D20" s="50" t="s">
        <v>139</v>
      </c>
      <c r="E20" s="49" t="s">
        <v>217</v>
      </c>
      <c r="F20" s="49" t="str">
        <f t="shared" si="0"/>
        <v>02/01/1990</v>
      </c>
      <c r="G20" s="50">
        <f t="shared" si="1"/>
        <v>35</v>
      </c>
      <c r="H20" s="50">
        <f t="shared" si="2"/>
        <v>5</v>
      </c>
      <c r="I20" s="50">
        <f t="shared" si="3"/>
        <v>18</v>
      </c>
      <c r="J20" s="50" t="s">
        <v>154</v>
      </c>
      <c r="K20" s="49" t="s">
        <v>135</v>
      </c>
      <c r="L20" s="64"/>
      <c r="M20" s="49"/>
      <c r="N20" s="49">
        <v>2571</v>
      </c>
      <c r="O20" s="65" t="s">
        <v>496</v>
      </c>
      <c r="P20" s="49" t="str">
        <f t="shared" si="4"/>
        <v>26/07/2024</v>
      </c>
      <c r="Q20" s="68">
        <f t="shared" si="5"/>
        <v>0</v>
      </c>
      <c r="R20" s="68">
        <f t="shared" si="6"/>
        <v>10</v>
      </c>
      <c r="S20" s="68">
        <f t="shared" si="7"/>
        <v>25</v>
      </c>
      <c r="T20" s="65" t="s">
        <v>136</v>
      </c>
      <c r="U20" s="65" t="s">
        <v>177</v>
      </c>
      <c r="V20" s="49" t="str">
        <f t="shared" si="8"/>
        <v>01/10/2019</v>
      </c>
      <c r="W20" s="68">
        <f>IF(V20="",0,DATEDIF(V20,P20,"Y"))</f>
        <v>4</v>
      </c>
      <c r="X20" s="68">
        <f>IF(V20="",0,DATEDIF(V20,P20,"YM"))</f>
        <v>9</v>
      </c>
      <c r="Y20" s="68">
        <f>IF(V20="",0,DATEDIF(V20,P20,"MD"))</f>
        <v>25</v>
      </c>
      <c r="Z20" s="49"/>
      <c r="AA20" s="65"/>
      <c r="AB20" s="50" t="str">
        <f t="shared" si="9"/>
        <v/>
      </c>
      <c r="AC20" s="68">
        <f t="shared" si="10"/>
        <v>0</v>
      </c>
      <c r="AD20" s="68">
        <f t="shared" si="11"/>
        <v>0</v>
      </c>
      <c r="AE20" s="68">
        <f t="shared" si="12"/>
        <v>0</v>
      </c>
      <c r="AF20" s="50"/>
      <c r="AG20" s="50" t="s">
        <v>218</v>
      </c>
      <c r="AH20" s="49" t="str">
        <f>IF(AG20="นิติศาสตร์","K5-LAW","K5-POLICY")</f>
        <v>K5-POLICY</v>
      </c>
      <c r="AI20" s="72" t="str">
        <f>_xlfn.IFS(B20="","",AND(AH20="K5-LAW",AG20="นิติศาสตร์",K20="S2",T20="",Z20=""),P20,AND(AH20="K5-LAW",AG20="นิติศาสตร์",K20="S1",T20="",Z20=""),EDATE(P20,12),AND(AH20="K5-LAW",AG20="นิติศาสตร์",OR(K20="M2",K20="K4"),T20="",Z20=""),EDATE(P20,12*2),AND(AH20="K5-LAW",AG20="นิติศาสตร์",OR(Z20="M2",Z20="K4"),AC20&gt;=2,OR(AB20&lt;V20,AB20&lt;P20)),EDATE(AB20,12*2),AND(AH20="K5-LAW",AG20="นิติศาสตร์",Z20="S1",AC20&gt;=1,OR(AB20&lt;V20,AB20&lt;P20)),EDATE(AB20,12),AND(AH20="K5-LAW",AG20="นิติศาสตร์",OR(T20="M2",T20="K4"),W20&gt;=2,V20&lt;P20),EDATE(V20,12*2),AND(AH20="K5-LAW",AG20="นิติศาสตร์",T20="S1",W20&gt;=1,V20&lt;P20),EDATE(V20,12),AND(AH20="K5-LAW",AG20="นิติศาสตร์",OR(T20="S2",T20="K5")),V20,AND(AH20="K5-LAW",AG20="นิติศาสตร์",OR(K20="M2",K20="K4"),Q20&gt;=2),EDATE(P20,12*2),AND(AH20="K5-LAW",AG20="นิติศาสตร์",K20="S1",Q20&gt;=1),EDATE(P20,12),AND(AH20="K5-LAW",AG20="นิติศาสตร์",OR(K20="S2",K20="K5")),P20,AND(AH20="K5-POLICY",AG20&lt;&gt;"นิติศาสตร์",K20="S2",T20="",Z20=""),P20,AND(AH20="K5-POLICY",AG20&lt;&gt;"นิติศาสตร์",K20="S1",T20="",Z20=""),EDATE(P20,12),AND(AH20="K5-POLICY",AG20&lt;&gt;"นิติศาสตร์",OR(K20="M2",K20="K4"),T20="",Z20=""),EDATE(P20,12*2),AND(AH20="K5-POLICY",AG20&lt;&gt;"นิติศาสตร์",OR(Z20="M2",Z20="K4"),AC20&gt;=2,OR(AB20&lt;V20,AB20&lt;P20)),EDATE(AB20,12*2),AND(AH20="K5-POLICY",AG20&lt;&gt;"นิติศาสตร์",Z20="S1",AC20&gt;=1,OR(AB20&lt;V20,AB20&lt;P20)),EDATE(AB20,12),AND(AH20="K5-POLICY",AG20&lt;&gt;"นิติศาสตร์",OR(T20="M2",T20="K4"),W20&gt;=2,V20&lt;P20),EDATE(V20,12*2),AND(AH20="K5-POLICY",AG20&lt;&gt;"นิติศาสตร์",T20="S1",W20&gt;=1,V20&lt;P20),EDATE(V20,12),AND(AH20="K5-POLICY",AG20&lt;&gt;"นิติศาสตร์",OR(T20="S2",T20="K5")),V20,AND(AH20="K5-POLICY",AG20&lt;&gt;"นิติศาสตร์",OR(K20="M2",K20="K4"),Q20&gt;=2),EDATE(P20,12*2),AND(AH20="K5-POLICY",AG20&lt;&gt;"นิติศาสตร์",K20="S1",Q20&gt;=1),EDATE(P20,12),AND(AH20="K5-POLICY",AG20&lt;&gt;"นิติศาสตร์",OR(K20="S2",K20="K5")),P20,TRUE,"Check Data")</f>
        <v/>
      </c>
      <c r="AJ20" s="75" t="str">
        <f t="shared" si="13"/>
        <v>Check Data</v>
      </c>
      <c r="AK20" s="76" t="str">
        <f t="shared" si="14"/>
        <v>Check Data</v>
      </c>
      <c r="AL20" s="50" t="str">
        <f t="shared" si="15"/>
        <v>Check Data</v>
      </c>
      <c r="AM20" s="49" t="str">
        <f>IF(B20="","",IF(K20="S1","S1",INDEX(#REF!,#REF!)))</f>
        <v/>
      </c>
      <c r="AN20" s="49" t="str">
        <f>K20</f>
        <v>S1</v>
      </c>
      <c r="AO20" s="50" t="b">
        <f>K20=AM20</f>
        <v>0</v>
      </c>
      <c r="AP20" s="50"/>
    </row>
    <row r="21" spans="1:42" ht="21.75">
      <c r="A21" s="49">
        <v>19</v>
      </c>
      <c r="B21" s="50"/>
      <c r="C21" s="50"/>
      <c r="D21" s="50" t="s">
        <v>140</v>
      </c>
      <c r="E21" s="49" t="s">
        <v>176</v>
      </c>
      <c r="F21" s="49" t="str">
        <f t="shared" si="0"/>
        <v>01/03/1990</v>
      </c>
      <c r="G21" s="50">
        <f t="shared" si="1"/>
        <v>35</v>
      </c>
      <c r="H21" s="50">
        <f t="shared" si="2"/>
        <v>3</v>
      </c>
      <c r="I21" s="50">
        <f t="shared" si="3"/>
        <v>19</v>
      </c>
      <c r="J21" s="50" t="s">
        <v>155</v>
      </c>
      <c r="K21" s="49" t="s">
        <v>135</v>
      </c>
      <c r="L21" s="64"/>
      <c r="M21" s="49"/>
      <c r="N21" s="49">
        <v>2577</v>
      </c>
      <c r="O21" s="65" t="s">
        <v>496</v>
      </c>
      <c r="P21" s="49" t="str">
        <f t="shared" si="4"/>
        <v>26/07/2024</v>
      </c>
      <c r="Q21" s="68">
        <f t="shared" si="5"/>
        <v>0</v>
      </c>
      <c r="R21" s="68">
        <f t="shared" si="6"/>
        <v>10</v>
      </c>
      <c r="S21" s="68">
        <f t="shared" si="7"/>
        <v>25</v>
      </c>
      <c r="T21" s="65" t="s">
        <v>137</v>
      </c>
      <c r="U21" s="65" t="s">
        <v>402</v>
      </c>
      <c r="V21" s="49" t="str">
        <f t="shared" si="8"/>
        <v>15/05/2020</v>
      </c>
      <c r="W21" s="68">
        <f>IF(V21="",0,DATEDIF(V21,P21,"Y"))</f>
        <v>4</v>
      </c>
      <c r="X21" s="68">
        <f>IF(V21="",0,DATEDIF(V21,P21,"YM"))</f>
        <v>2</v>
      </c>
      <c r="Y21" s="68">
        <f>IF(V21="",0,DATEDIF(V21,P21,"MD"))</f>
        <v>11</v>
      </c>
      <c r="Z21" s="69"/>
      <c r="AA21" s="65"/>
      <c r="AB21" s="50" t="str">
        <f t="shared" si="9"/>
        <v/>
      </c>
      <c r="AC21" s="68">
        <f t="shared" si="10"/>
        <v>0</v>
      </c>
      <c r="AD21" s="68">
        <f t="shared" si="11"/>
        <v>0</v>
      </c>
      <c r="AE21" s="68">
        <f t="shared" si="12"/>
        <v>0</v>
      </c>
      <c r="AF21" s="50"/>
      <c r="AG21" s="50" t="s">
        <v>138</v>
      </c>
      <c r="AH21" s="49" t="str">
        <f>IF(AG21="นิติศาสตร์","K5-LAW","K5-POLICY")</f>
        <v>K5-LAW</v>
      </c>
      <c r="AI21" s="72" t="str">
        <f>_xlfn.IFS(B21="","",AND(AH21="K5-LAW",AG21="นิติศาสตร์",K21="S2",T21="",Z21=""),P21,AND(AH21="K5-LAW",AG21="นิติศาสตร์",K21="S1",T21="",Z21=""),EDATE(P21,12),AND(AH21="K5-LAW",AG21="นิติศาสตร์",OR(K21="M2",K21="K4"),T21="",Z21=""),EDATE(P21,12*2),AND(AH21="K5-LAW",AG21="นิติศาสตร์",OR(Z21="M2",Z21="K4"),AC21&gt;=2,OR(AB21&lt;V21,AB21&lt;P21)),EDATE(AB21,12*2),AND(AH21="K5-LAW",AG21="นิติศาสตร์",Z21="S1",AC21&gt;=1,OR(AB21&lt;V21,AB21&lt;P21)),EDATE(AB21,12),AND(AH21="K5-LAW",AG21="นิติศาสตร์",OR(T21="M2",T21="K4"),W21&gt;=2,V21&lt;P21),EDATE(V21,12*2),AND(AH21="K5-LAW",AG21="นิติศาสตร์",T21="S1",W21&gt;=1,V21&lt;P21),EDATE(V21,12),AND(AH21="K5-LAW",AG21="นิติศาสตร์",OR(T21="S2",T21="K5")),V21,AND(AH21="K5-LAW",AG21="นิติศาสตร์",OR(K21="M2",K21="K4"),Q21&gt;=2),EDATE(P21,12*2),AND(AH21="K5-LAW",AG21="นิติศาสตร์",K21="S1",Q21&gt;=1),EDATE(P21,12),AND(AH21="K5-LAW",AG21="นิติศาสตร์",OR(K21="S2",K21="K5")),P21,AND(AH21="K5-POLICY",AG21&lt;&gt;"นิติศาสตร์",K21="S2",T21="",Z21=""),P21,AND(AH21="K5-POLICY",AG21&lt;&gt;"นิติศาสตร์",K21="S1",T21="",Z21=""),EDATE(P21,12),AND(AH21="K5-POLICY",AG21&lt;&gt;"นิติศาสตร์",OR(K21="M2",K21="K4"),T21="",Z21=""),EDATE(P21,12*2),AND(AH21="K5-POLICY",AG21&lt;&gt;"นิติศาสตร์",OR(Z21="M2",Z21="K4"),AC21&gt;=2,OR(AB21&lt;V21,AB21&lt;P21)),EDATE(AB21,12*2),AND(AH21="K5-POLICY",AG21&lt;&gt;"นิติศาสตร์",Z21="S1",AC21&gt;=1,OR(AB21&lt;V21,AB21&lt;P21)),EDATE(AB21,12),AND(AH21="K5-POLICY",AG21&lt;&gt;"นิติศาสตร์",OR(T21="M2",T21="K4"),W21&gt;=2,V21&lt;P21),EDATE(V21,12*2),AND(AH21="K5-POLICY",AG21&lt;&gt;"นิติศาสตร์",T21="S1",W21&gt;=1,V21&lt;P21),EDATE(V21,12),AND(AH21="K5-POLICY",AG21&lt;&gt;"นิติศาสตร์",OR(T21="S2",T21="K5")),V21,AND(AH21="K5-POLICY",AG21&lt;&gt;"นิติศาสตร์",OR(K21="M2",K21="K4"),Q21&gt;=2),EDATE(P21,12*2),AND(AH21="K5-POLICY",AG21&lt;&gt;"นิติศาสตร์",K21="S1",Q21&gt;=1),EDATE(P21,12),AND(AH21="K5-POLICY",AG21&lt;&gt;"นิติศาสตร์",OR(K21="S2",K21="K5")),P21,TRUE,"Check Data")</f>
        <v/>
      </c>
      <c r="AJ21" s="75" t="str">
        <f t="shared" si="13"/>
        <v>Check Data</v>
      </c>
      <c r="AK21" s="76" t="str">
        <f t="shared" si="14"/>
        <v>Check Data</v>
      </c>
      <c r="AL21" s="50" t="str">
        <f t="shared" si="15"/>
        <v>Check Data</v>
      </c>
      <c r="AM21" s="49" t="str">
        <f>IF(B21="","",IF(K21="S1","S1",INDEX(#REF!,#REF!)))</f>
        <v/>
      </c>
      <c r="AN21" s="49" t="str">
        <f>K21</f>
        <v>S1</v>
      </c>
      <c r="AO21" s="50" t="b">
        <f>K21=AM21</f>
        <v>0</v>
      </c>
      <c r="AP21" s="50"/>
    </row>
    <row r="22" spans="1:42" ht="21.75">
      <c r="A22" s="49">
        <v>20</v>
      </c>
      <c r="B22" s="50"/>
      <c r="C22" s="50"/>
      <c r="D22" s="50" t="s">
        <v>144</v>
      </c>
      <c r="E22" s="49" t="s">
        <v>501</v>
      </c>
      <c r="F22" s="49" t="str">
        <f t="shared" si="0"/>
        <v>11/12/1986</v>
      </c>
      <c r="G22" s="50">
        <f t="shared" si="1"/>
        <v>38</v>
      </c>
      <c r="H22" s="50">
        <f t="shared" si="2"/>
        <v>6</v>
      </c>
      <c r="I22" s="50">
        <f t="shared" si="3"/>
        <v>9</v>
      </c>
      <c r="J22" s="50" t="s">
        <v>159</v>
      </c>
      <c r="K22" s="49" t="s">
        <v>135</v>
      </c>
      <c r="L22" s="64"/>
      <c r="M22" s="49"/>
      <c r="N22" s="49">
        <v>2572</v>
      </c>
      <c r="O22" s="65" t="s">
        <v>502</v>
      </c>
      <c r="P22" s="49" t="str">
        <f t="shared" si="4"/>
        <v>30/01/2025</v>
      </c>
      <c r="Q22" s="68">
        <f t="shared" si="5"/>
        <v>0</v>
      </c>
      <c r="R22" s="68">
        <f t="shared" si="6"/>
        <v>4</v>
      </c>
      <c r="S22" s="68">
        <f t="shared" si="7"/>
        <v>21</v>
      </c>
      <c r="T22" s="65" t="s">
        <v>136</v>
      </c>
      <c r="U22" s="65" t="s">
        <v>378</v>
      </c>
      <c r="V22" s="49" t="str">
        <f t="shared" si="8"/>
        <v>25/09/2012</v>
      </c>
      <c r="W22" s="68">
        <f>IF(V22="",0,DATEDIF(V22,P22,"Y"))</f>
        <v>12</v>
      </c>
      <c r="X22" s="68">
        <f>IF(V22="",0,DATEDIF(V22,P22,"YM"))</f>
        <v>4</v>
      </c>
      <c r="Y22" s="68">
        <f>IF(V22="",0,DATEDIF(V22,P22,"MD"))</f>
        <v>5</v>
      </c>
      <c r="Z22" s="49"/>
      <c r="AA22" s="65"/>
      <c r="AB22" s="50" t="str">
        <f t="shared" si="9"/>
        <v/>
      </c>
      <c r="AC22" s="68">
        <f t="shared" si="10"/>
        <v>0</v>
      </c>
      <c r="AD22" s="68">
        <f t="shared" si="11"/>
        <v>0</v>
      </c>
      <c r="AE22" s="68">
        <f t="shared" si="12"/>
        <v>0</v>
      </c>
      <c r="AF22" s="50"/>
      <c r="AG22" s="50" t="s">
        <v>163</v>
      </c>
      <c r="AH22" s="49" t="str">
        <f>IF(AG22="นิติศาสตร์","K5-LAW","K5-POLICY")</f>
        <v>K5-POLICY</v>
      </c>
      <c r="AI22" s="72" t="str">
        <f>_xlfn.IFS(B22="","",AND(AH22="K5-LAW",AG22="นิติศาสตร์",K22="S2",T22="",Z22=""),P22,AND(AH22="K5-LAW",AG22="นิติศาสตร์",K22="S1",T22="",Z22=""),EDATE(P22,12),AND(AH22="K5-LAW",AG22="นิติศาสตร์",OR(K22="M2",K22="K4"),T22="",Z22=""),EDATE(P22,12*2),AND(AH22="K5-LAW",AG22="นิติศาสตร์",OR(Z22="M2",Z22="K4"),AC22&gt;=2,OR(AB22&lt;V22,AB22&lt;P22)),EDATE(AB22,12*2),AND(AH22="K5-LAW",AG22="นิติศาสตร์",Z22="S1",AC22&gt;=1,OR(AB22&lt;V22,AB22&lt;P22)),EDATE(AB22,12),AND(AH22="K5-LAW",AG22="นิติศาสตร์",OR(T22="M2",T22="K4"),W22&gt;=2,V22&lt;P22),EDATE(V22,12*2),AND(AH22="K5-LAW",AG22="นิติศาสตร์",T22="S1",W22&gt;=1,V22&lt;P22),EDATE(V22,12),AND(AH22="K5-LAW",AG22="นิติศาสตร์",OR(T22="S2",T22="K5")),V22,AND(AH22="K5-LAW",AG22="นิติศาสตร์",OR(K22="M2",K22="K4"),Q22&gt;=2),EDATE(P22,12*2),AND(AH22="K5-LAW",AG22="นิติศาสตร์",K22="S1",Q22&gt;=1),EDATE(P22,12),AND(AH22="K5-LAW",AG22="นิติศาสตร์",OR(K22="S2",K22="K5")),P22,AND(AH22="K5-POLICY",AG22&lt;&gt;"นิติศาสตร์",K22="S2",T22="",Z22=""),P22,AND(AH22="K5-POLICY",AG22&lt;&gt;"นิติศาสตร์",K22="S1",T22="",Z22=""),EDATE(P22,12),AND(AH22="K5-POLICY",AG22&lt;&gt;"นิติศาสตร์",OR(K22="M2",K22="K4"),T22="",Z22=""),EDATE(P22,12*2),AND(AH22="K5-POLICY",AG22&lt;&gt;"นิติศาสตร์",OR(Z22="M2",Z22="K4"),AC22&gt;=2,OR(AB22&lt;V22,AB22&lt;P22)),EDATE(AB22,12*2),AND(AH22="K5-POLICY",AG22&lt;&gt;"นิติศาสตร์",Z22="S1",AC22&gt;=1,OR(AB22&lt;V22,AB22&lt;P22)),EDATE(AB22,12),AND(AH22="K5-POLICY",AG22&lt;&gt;"นิติศาสตร์",OR(T22="M2",T22="K4"),W22&gt;=2,V22&lt;P22),EDATE(V22,12*2),AND(AH22="K5-POLICY",AG22&lt;&gt;"นิติศาสตร์",T22="S1",W22&gt;=1,V22&lt;P22),EDATE(V22,12),AND(AH22="K5-POLICY",AG22&lt;&gt;"นิติศาสตร์",OR(T22="S2",T22="K5")),V22,AND(AH22="K5-POLICY",AG22&lt;&gt;"นิติศาสตร์",OR(K22="M2",K22="K4"),Q22&gt;=2),EDATE(P22,12*2),AND(AH22="K5-POLICY",AG22&lt;&gt;"นิติศาสตร์",K22="S1",Q22&gt;=1),EDATE(P22,12),AND(AH22="K5-POLICY",AG22&lt;&gt;"นิติศาสตร์",OR(K22="S2",K22="K5")),P22,TRUE,"Check Data")</f>
        <v/>
      </c>
      <c r="AJ22" s="75" t="str">
        <f t="shared" si="13"/>
        <v>Check Data</v>
      </c>
      <c r="AK22" s="76" t="str">
        <f t="shared" si="14"/>
        <v>Check Data</v>
      </c>
      <c r="AL22" s="50" t="str">
        <f t="shared" si="15"/>
        <v>Check Data</v>
      </c>
      <c r="AM22" s="49" t="str">
        <f>IF(B22="","",IF(K22="S1","S1",INDEX(#REF!,#REF!)))</f>
        <v/>
      </c>
      <c r="AN22" s="49" t="str">
        <f>K22</f>
        <v>S1</v>
      </c>
      <c r="AO22" s="50" t="b">
        <f>K22=AM22</f>
        <v>0</v>
      </c>
      <c r="AP22" s="50"/>
    </row>
    <row r="23" spans="1:42" ht="21.75">
      <c r="A23" s="49">
        <v>21</v>
      </c>
      <c r="B23" s="50"/>
      <c r="C23" s="50"/>
      <c r="D23" s="50" t="s">
        <v>144</v>
      </c>
      <c r="E23" s="49" t="s">
        <v>197</v>
      </c>
      <c r="F23" s="49" t="str">
        <f t="shared" si="0"/>
        <v>01/05/1991</v>
      </c>
      <c r="G23" s="50">
        <f t="shared" si="1"/>
        <v>34</v>
      </c>
      <c r="H23" s="50">
        <f t="shared" si="2"/>
        <v>1</v>
      </c>
      <c r="I23" s="50">
        <f t="shared" si="3"/>
        <v>19</v>
      </c>
      <c r="J23" s="50" t="s">
        <v>159</v>
      </c>
      <c r="K23" s="49" t="s">
        <v>135</v>
      </c>
      <c r="L23" s="64"/>
      <c r="M23" s="49"/>
      <c r="N23" s="49">
        <v>2574</v>
      </c>
      <c r="O23" s="65" t="s">
        <v>502</v>
      </c>
      <c r="P23" s="49" t="str">
        <f t="shared" si="4"/>
        <v>30/01/2025</v>
      </c>
      <c r="Q23" s="68">
        <f t="shared" si="5"/>
        <v>0</v>
      </c>
      <c r="R23" s="68">
        <f t="shared" si="6"/>
        <v>4</v>
      </c>
      <c r="S23" s="68">
        <f t="shared" si="7"/>
        <v>21</v>
      </c>
      <c r="T23" s="65" t="s">
        <v>136</v>
      </c>
      <c r="U23" s="65" t="s">
        <v>389</v>
      </c>
      <c r="V23" s="49" t="str">
        <f t="shared" si="8"/>
        <v>02/05/2016</v>
      </c>
      <c r="W23" s="68">
        <f>IF(V23="",0,DATEDIF(V23,P23,"Y"))</f>
        <v>8</v>
      </c>
      <c r="X23" s="68">
        <f>IF(V23="",0,DATEDIF(V23,P23,"YM"))</f>
        <v>8</v>
      </c>
      <c r="Y23" s="68">
        <f>IF(V23="",0,DATEDIF(V23,P23,"MD"))</f>
        <v>28</v>
      </c>
      <c r="Z23" s="49"/>
      <c r="AA23" s="65"/>
      <c r="AB23" s="50" t="str">
        <f t="shared" si="9"/>
        <v/>
      </c>
      <c r="AC23" s="68">
        <f t="shared" si="10"/>
        <v>0</v>
      </c>
      <c r="AD23" s="68">
        <f t="shared" si="11"/>
        <v>0</v>
      </c>
      <c r="AE23" s="68">
        <f t="shared" si="12"/>
        <v>0</v>
      </c>
      <c r="AF23" s="50"/>
      <c r="AG23" s="50" t="s">
        <v>221</v>
      </c>
      <c r="AH23" s="49" t="str">
        <f>IF(AG23="นิติศาสตร์","K5-LAW","K5-POLICY")</f>
        <v>K5-POLICY</v>
      </c>
      <c r="AI23" s="72" t="str">
        <f>_xlfn.IFS(B23="","",AND(AH23="K5-LAW",AG23="นิติศาสตร์",K23="S2",T23="",Z23=""),P23,AND(AH23="K5-LAW",AG23="นิติศาสตร์",K23="S1",T23="",Z23=""),EDATE(P23,12),AND(AH23="K5-LAW",AG23="นิติศาสตร์",OR(K23="M2",K23="K4"),T23="",Z23=""),EDATE(P23,12*2),AND(AH23="K5-LAW",AG23="นิติศาสตร์",OR(Z23="M2",Z23="K4"),AC23&gt;=2,OR(AB23&lt;V23,AB23&lt;P23)),EDATE(AB23,12*2),AND(AH23="K5-LAW",AG23="นิติศาสตร์",Z23="S1",AC23&gt;=1,OR(AB23&lt;V23,AB23&lt;P23)),EDATE(AB23,12),AND(AH23="K5-LAW",AG23="นิติศาสตร์",OR(T23="M2",T23="K4"),W23&gt;=2,V23&lt;P23),EDATE(V23,12*2),AND(AH23="K5-LAW",AG23="นิติศาสตร์",T23="S1",W23&gt;=1,V23&lt;P23),EDATE(V23,12),AND(AH23="K5-LAW",AG23="นิติศาสตร์",OR(T23="S2",T23="K5")),V23,AND(AH23="K5-LAW",AG23="นิติศาสตร์",OR(K23="M2",K23="K4"),Q23&gt;=2),EDATE(P23,12*2),AND(AH23="K5-LAW",AG23="นิติศาสตร์",K23="S1",Q23&gt;=1),EDATE(P23,12),AND(AH23="K5-LAW",AG23="นิติศาสตร์",OR(K23="S2",K23="K5")),P23,AND(AH23="K5-POLICY",AG23&lt;&gt;"นิติศาสตร์",K23="S2",T23="",Z23=""),P23,AND(AH23="K5-POLICY",AG23&lt;&gt;"นิติศาสตร์",K23="S1",T23="",Z23=""),EDATE(P23,12),AND(AH23="K5-POLICY",AG23&lt;&gt;"นิติศาสตร์",OR(K23="M2",K23="K4"),T23="",Z23=""),EDATE(P23,12*2),AND(AH23="K5-POLICY",AG23&lt;&gt;"นิติศาสตร์",OR(Z23="M2",Z23="K4"),AC23&gt;=2,OR(AB23&lt;V23,AB23&lt;P23)),EDATE(AB23,12*2),AND(AH23="K5-POLICY",AG23&lt;&gt;"นิติศาสตร์",Z23="S1",AC23&gt;=1,OR(AB23&lt;V23,AB23&lt;P23)),EDATE(AB23,12),AND(AH23="K5-POLICY",AG23&lt;&gt;"นิติศาสตร์",OR(T23="M2",T23="K4"),W23&gt;=2,V23&lt;P23),EDATE(V23,12*2),AND(AH23="K5-POLICY",AG23&lt;&gt;"นิติศาสตร์",T23="S1",W23&gt;=1,V23&lt;P23),EDATE(V23,12),AND(AH23="K5-POLICY",AG23&lt;&gt;"นิติศาสตร์",OR(T23="S2",T23="K5")),V23,AND(AH23="K5-POLICY",AG23&lt;&gt;"นิติศาสตร์",OR(K23="M2",K23="K4"),Q23&gt;=2),EDATE(P23,12*2),AND(AH23="K5-POLICY",AG23&lt;&gt;"นิติศาสตร์",K23="S1",Q23&gt;=1),EDATE(P23,12),AND(AH23="K5-POLICY",AG23&lt;&gt;"นิติศาสตร์",OR(K23="S2",K23="K5")),P23,TRUE,"Check Data")</f>
        <v/>
      </c>
      <c r="AJ23" s="75" t="str">
        <f t="shared" si="13"/>
        <v>Check Data</v>
      </c>
      <c r="AK23" s="76" t="str">
        <f t="shared" si="14"/>
        <v>Check Data</v>
      </c>
      <c r="AL23" s="50" t="str">
        <f t="shared" si="15"/>
        <v>Check Data</v>
      </c>
      <c r="AM23" s="49" t="str">
        <f>IF(B23="","",IF(K23="S1","S1",INDEX(#REF!,#REF!)))</f>
        <v/>
      </c>
      <c r="AN23" s="49" t="str">
        <f>K23</f>
        <v>S1</v>
      </c>
      <c r="AO23" s="50" t="b">
        <f>K23=AM23</f>
        <v>0</v>
      </c>
      <c r="AP23" s="50"/>
    </row>
    <row r="24" spans="1:42" ht="21.75">
      <c r="A24" s="49">
        <v>22</v>
      </c>
      <c r="B24" s="50"/>
      <c r="C24" s="50"/>
      <c r="D24" s="50" t="s">
        <v>143</v>
      </c>
      <c r="E24" s="49" t="s">
        <v>190</v>
      </c>
      <c r="F24" s="49" t="str">
        <f t="shared" si="0"/>
        <v>16/03/1987</v>
      </c>
      <c r="G24" s="50">
        <f t="shared" si="1"/>
        <v>38</v>
      </c>
      <c r="H24" s="50">
        <f t="shared" si="2"/>
        <v>3</v>
      </c>
      <c r="I24" s="50">
        <f t="shared" si="3"/>
        <v>4</v>
      </c>
      <c r="J24" s="50" t="s">
        <v>158</v>
      </c>
      <c r="K24" s="49" t="s">
        <v>135</v>
      </c>
      <c r="L24" s="64"/>
      <c r="M24" s="49"/>
      <c r="N24" s="49">
        <v>2570</v>
      </c>
      <c r="O24" s="65" t="s">
        <v>502</v>
      </c>
      <c r="P24" s="49" t="str">
        <f t="shared" si="4"/>
        <v>30/01/2025</v>
      </c>
      <c r="Q24" s="68">
        <f t="shared" si="5"/>
        <v>0</v>
      </c>
      <c r="R24" s="68">
        <f t="shared" si="6"/>
        <v>4</v>
      </c>
      <c r="S24" s="68">
        <f t="shared" si="7"/>
        <v>21</v>
      </c>
      <c r="T24" s="65" t="s">
        <v>136</v>
      </c>
      <c r="U24" s="65" t="s">
        <v>313</v>
      </c>
      <c r="V24" s="49" t="str">
        <f t="shared" si="8"/>
        <v>10/04/2017</v>
      </c>
      <c r="W24" s="68">
        <f>IF(V24="",0,DATEDIF(V24,P24,"Y"))</f>
        <v>7</v>
      </c>
      <c r="X24" s="68">
        <f>IF(V24="",0,DATEDIF(V24,P24,"YM"))</f>
        <v>9</v>
      </c>
      <c r="Y24" s="68">
        <f>IF(V24="",0,DATEDIF(V24,P24,"MD"))</f>
        <v>20</v>
      </c>
      <c r="Z24" s="49"/>
      <c r="AA24" s="65"/>
      <c r="AB24" s="50" t="str">
        <f t="shared" si="9"/>
        <v/>
      </c>
      <c r="AC24" s="68">
        <f t="shared" si="10"/>
        <v>0</v>
      </c>
      <c r="AD24" s="68">
        <f t="shared" si="11"/>
        <v>0</v>
      </c>
      <c r="AE24" s="68">
        <f t="shared" si="12"/>
        <v>0</v>
      </c>
      <c r="AF24" s="50"/>
      <c r="AG24" s="50" t="s">
        <v>172</v>
      </c>
      <c r="AH24" s="49" t="str">
        <f>IF(AG24="นิติศาสตร์","K5-LAW","K5-POLICY")</f>
        <v>K5-POLICY</v>
      </c>
      <c r="AI24" s="72" t="str">
        <f>_xlfn.IFS(B24="","",AND(AH24="K5-LAW",AG24="นิติศาสตร์",K24="S2",T24="",Z24=""),P24,AND(AH24="K5-LAW",AG24="นิติศาสตร์",K24="S1",T24="",Z24=""),EDATE(P24,12),AND(AH24="K5-LAW",AG24="นิติศาสตร์",OR(K24="M2",K24="K4"),T24="",Z24=""),EDATE(P24,12*2),AND(AH24="K5-LAW",AG24="นิติศาสตร์",OR(Z24="M2",Z24="K4"),AC24&gt;=2,OR(AB24&lt;V24,AB24&lt;P24)),EDATE(AB24,12*2),AND(AH24="K5-LAW",AG24="นิติศาสตร์",Z24="S1",AC24&gt;=1,OR(AB24&lt;V24,AB24&lt;P24)),EDATE(AB24,12),AND(AH24="K5-LAW",AG24="นิติศาสตร์",OR(T24="M2",T24="K4"),W24&gt;=2,V24&lt;P24),EDATE(V24,12*2),AND(AH24="K5-LAW",AG24="นิติศาสตร์",T24="S1",W24&gt;=1,V24&lt;P24),EDATE(V24,12),AND(AH24="K5-LAW",AG24="นิติศาสตร์",OR(T24="S2",T24="K5")),V24,AND(AH24="K5-LAW",AG24="นิติศาสตร์",OR(K24="M2",K24="K4"),Q24&gt;=2),EDATE(P24,12*2),AND(AH24="K5-LAW",AG24="นิติศาสตร์",K24="S1",Q24&gt;=1),EDATE(P24,12),AND(AH24="K5-LAW",AG24="นิติศาสตร์",OR(K24="S2",K24="K5")),P24,AND(AH24="K5-POLICY",AG24&lt;&gt;"นิติศาสตร์",K24="S2",T24="",Z24=""),P24,AND(AH24="K5-POLICY",AG24&lt;&gt;"นิติศาสตร์",K24="S1",T24="",Z24=""),EDATE(P24,12),AND(AH24="K5-POLICY",AG24&lt;&gt;"นิติศาสตร์",OR(K24="M2",K24="K4"),T24="",Z24=""),EDATE(P24,12*2),AND(AH24="K5-POLICY",AG24&lt;&gt;"นิติศาสตร์",OR(Z24="M2",Z24="K4"),AC24&gt;=2,OR(AB24&lt;V24,AB24&lt;P24)),EDATE(AB24,12*2),AND(AH24="K5-POLICY",AG24&lt;&gt;"นิติศาสตร์",Z24="S1",AC24&gt;=1,OR(AB24&lt;V24,AB24&lt;P24)),EDATE(AB24,12),AND(AH24="K5-POLICY",AG24&lt;&gt;"นิติศาสตร์",OR(T24="M2",T24="K4"),W24&gt;=2,V24&lt;P24),EDATE(V24,12*2),AND(AH24="K5-POLICY",AG24&lt;&gt;"นิติศาสตร์",T24="S1",W24&gt;=1,V24&lt;P24),EDATE(V24,12),AND(AH24="K5-POLICY",AG24&lt;&gt;"นิติศาสตร์",OR(T24="S2",T24="K5")),V24,AND(AH24="K5-POLICY",AG24&lt;&gt;"นิติศาสตร์",OR(K24="M2",K24="K4"),Q24&gt;=2),EDATE(P24,12*2),AND(AH24="K5-POLICY",AG24&lt;&gt;"นิติศาสตร์",K24="S1",Q24&gt;=1),EDATE(P24,12),AND(AH24="K5-POLICY",AG24&lt;&gt;"นิติศาสตร์",OR(K24="S2",K24="K5")),P24,TRUE,"Check Data")</f>
        <v/>
      </c>
      <c r="AJ24" s="75" t="str">
        <f t="shared" si="13"/>
        <v>Check Data</v>
      </c>
      <c r="AK24" s="76" t="str">
        <f t="shared" si="14"/>
        <v>Check Data</v>
      </c>
      <c r="AL24" s="50" t="str">
        <f t="shared" si="15"/>
        <v>Check Data</v>
      </c>
      <c r="AM24" s="49" t="str">
        <f>IF(B24="","",IF(K24="S1","S1",INDEX(#REF!,#REF!)))</f>
        <v/>
      </c>
      <c r="AN24" s="49" t="str">
        <f>K24</f>
        <v>S1</v>
      </c>
      <c r="AO24" s="50" t="b">
        <f>K24=AM24</f>
        <v>0</v>
      </c>
      <c r="AP24" s="50"/>
    </row>
    <row r="25" spans="1:42" ht="21.75">
      <c r="A25" s="49">
        <v>23</v>
      </c>
      <c r="B25" s="50"/>
      <c r="C25" s="50"/>
      <c r="D25" s="50" t="s">
        <v>143</v>
      </c>
      <c r="E25" s="49" t="s">
        <v>230</v>
      </c>
      <c r="F25" s="49" t="str">
        <f t="shared" si="0"/>
        <v>03/11/1997</v>
      </c>
      <c r="G25" s="50">
        <f t="shared" si="1"/>
        <v>27</v>
      </c>
      <c r="H25" s="50">
        <f t="shared" si="2"/>
        <v>7</v>
      </c>
      <c r="I25" s="50">
        <f t="shared" si="3"/>
        <v>17</v>
      </c>
      <c r="J25" s="50" t="s">
        <v>158</v>
      </c>
      <c r="K25" s="49" t="s">
        <v>135</v>
      </c>
      <c r="L25" s="64"/>
      <c r="M25" s="49"/>
      <c r="N25" s="49">
        <v>2571</v>
      </c>
      <c r="O25" s="65" t="s">
        <v>502</v>
      </c>
      <c r="P25" s="49" t="str">
        <f t="shared" si="4"/>
        <v>30/01/2025</v>
      </c>
      <c r="Q25" s="68">
        <f t="shared" si="5"/>
        <v>0</v>
      </c>
      <c r="R25" s="68">
        <f t="shared" si="6"/>
        <v>4</v>
      </c>
      <c r="S25" s="68">
        <f t="shared" si="7"/>
        <v>21</v>
      </c>
      <c r="T25" s="65" t="s">
        <v>136</v>
      </c>
      <c r="U25" s="65" t="s">
        <v>308</v>
      </c>
      <c r="V25" s="49" t="str">
        <f t="shared" si="8"/>
        <v>16/01/2018</v>
      </c>
      <c r="W25" s="68">
        <f>IF(V25="",0,DATEDIF(V25,P25,"Y"))</f>
        <v>7</v>
      </c>
      <c r="X25" s="68">
        <f>IF(V25="",0,DATEDIF(V25,P25,"YM"))</f>
        <v>0</v>
      </c>
      <c r="Y25" s="68">
        <f>IF(V25="",0,DATEDIF(V25,P25,"MD"))</f>
        <v>14</v>
      </c>
      <c r="Z25" s="49"/>
      <c r="AA25" s="65"/>
      <c r="AB25" s="50" t="str">
        <f t="shared" si="9"/>
        <v/>
      </c>
      <c r="AC25" s="68">
        <f t="shared" si="10"/>
        <v>0</v>
      </c>
      <c r="AD25" s="68">
        <f t="shared" si="11"/>
        <v>0</v>
      </c>
      <c r="AE25" s="68">
        <f t="shared" si="12"/>
        <v>0</v>
      </c>
      <c r="AF25" s="50"/>
      <c r="AG25" s="50" t="s">
        <v>167</v>
      </c>
      <c r="AH25" s="49" t="str">
        <f>IF(AG25="นิติศาสตร์","K5-LAW","K5-POLICY")</f>
        <v>K5-POLICY</v>
      </c>
      <c r="AI25" s="72" t="str">
        <f>_xlfn.IFS(B25="","",AND(AH25="K5-LAW",AG25="นิติศาสตร์",K25="S2",T25="",Z25=""),P25,AND(AH25="K5-LAW",AG25="นิติศาสตร์",K25="S1",T25="",Z25=""),EDATE(P25,12),AND(AH25="K5-LAW",AG25="นิติศาสตร์",OR(K25="M2",K25="K4"),T25="",Z25=""),EDATE(P25,12*2),AND(AH25="K5-LAW",AG25="นิติศาสตร์",OR(Z25="M2",Z25="K4"),AC25&gt;=2,OR(AB25&lt;V25,AB25&lt;P25)),EDATE(AB25,12*2),AND(AH25="K5-LAW",AG25="นิติศาสตร์",Z25="S1",AC25&gt;=1,OR(AB25&lt;V25,AB25&lt;P25)),EDATE(AB25,12),AND(AH25="K5-LAW",AG25="นิติศาสตร์",OR(T25="M2",T25="K4"),W25&gt;=2,V25&lt;P25),EDATE(V25,12*2),AND(AH25="K5-LAW",AG25="นิติศาสตร์",T25="S1",W25&gt;=1,V25&lt;P25),EDATE(V25,12),AND(AH25="K5-LAW",AG25="นิติศาสตร์",OR(T25="S2",T25="K5")),V25,AND(AH25="K5-LAW",AG25="นิติศาสตร์",OR(K25="M2",K25="K4"),Q25&gt;=2),EDATE(P25,12*2),AND(AH25="K5-LAW",AG25="นิติศาสตร์",K25="S1",Q25&gt;=1),EDATE(P25,12),AND(AH25="K5-LAW",AG25="นิติศาสตร์",OR(K25="S2",K25="K5")),P25,AND(AH25="K5-POLICY",AG25&lt;&gt;"นิติศาสตร์",K25="S2",T25="",Z25=""),P25,AND(AH25="K5-POLICY",AG25&lt;&gt;"นิติศาสตร์",K25="S1",T25="",Z25=""),EDATE(P25,12),AND(AH25="K5-POLICY",AG25&lt;&gt;"นิติศาสตร์",OR(K25="M2",K25="K4"),T25="",Z25=""),EDATE(P25,12*2),AND(AH25="K5-POLICY",AG25&lt;&gt;"นิติศาสตร์",OR(Z25="M2",Z25="K4"),AC25&gt;=2,OR(AB25&lt;V25,AB25&lt;P25)),EDATE(AB25,12*2),AND(AH25="K5-POLICY",AG25&lt;&gt;"นิติศาสตร์",Z25="S1",AC25&gt;=1,OR(AB25&lt;V25,AB25&lt;P25)),EDATE(AB25,12),AND(AH25="K5-POLICY",AG25&lt;&gt;"นิติศาสตร์",OR(T25="M2",T25="K4"),W25&gt;=2,V25&lt;P25),EDATE(V25,12*2),AND(AH25="K5-POLICY",AG25&lt;&gt;"นิติศาสตร์",T25="S1",W25&gt;=1,V25&lt;P25),EDATE(V25,12),AND(AH25="K5-POLICY",AG25&lt;&gt;"นิติศาสตร์",OR(T25="S2",T25="K5")),V25,AND(AH25="K5-POLICY",AG25&lt;&gt;"นิติศาสตร์",OR(K25="M2",K25="K4"),Q25&gt;=2),EDATE(P25,12*2),AND(AH25="K5-POLICY",AG25&lt;&gt;"นิติศาสตร์",K25="S1",Q25&gt;=1),EDATE(P25,12),AND(AH25="K5-POLICY",AG25&lt;&gt;"นิติศาสตร์",OR(K25="S2",K25="K5")),P25,TRUE,"Check Data")</f>
        <v/>
      </c>
      <c r="AJ25" s="75" t="str">
        <f t="shared" si="13"/>
        <v>Check Data</v>
      </c>
      <c r="AK25" s="76" t="str">
        <f t="shared" si="14"/>
        <v>Check Data</v>
      </c>
      <c r="AL25" s="50" t="str">
        <f t="shared" si="15"/>
        <v>Check Data</v>
      </c>
      <c r="AM25" s="49" t="str">
        <f>IF(B25="","",IF(K25="S1","S1",INDEX(#REF!,#REF!)))</f>
        <v/>
      </c>
      <c r="AN25" s="49" t="str">
        <f>K25</f>
        <v>S1</v>
      </c>
      <c r="AO25" s="50" t="b">
        <f>K25=AM25</f>
        <v>0</v>
      </c>
      <c r="AP25" s="50"/>
    </row>
    <row r="26" spans="1:42" ht="21.75">
      <c r="A26" s="49">
        <v>24</v>
      </c>
      <c r="B26" s="50"/>
      <c r="C26" s="50"/>
      <c r="D26" s="50" t="s">
        <v>144</v>
      </c>
      <c r="E26" s="49" t="s">
        <v>256</v>
      </c>
      <c r="F26" s="49" t="str">
        <f t="shared" si="0"/>
        <v>01/02/1993</v>
      </c>
      <c r="G26" s="50">
        <f t="shared" si="1"/>
        <v>32</v>
      </c>
      <c r="H26" s="50">
        <f t="shared" si="2"/>
        <v>4</v>
      </c>
      <c r="I26" s="50">
        <f t="shared" si="3"/>
        <v>19</v>
      </c>
      <c r="J26" s="50" t="s">
        <v>159</v>
      </c>
      <c r="K26" s="49" t="s">
        <v>135</v>
      </c>
      <c r="L26" s="64"/>
      <c r="M26" s="49"/>
      <c r="N26" s="49">
        <v>2574</v>
      </c>
      <c r="O26" s="65" t="s">
        <v>502</v>
      </c>
      <c r="P26" s="49" t="str">
        <f t="shared" si="4"/>
        <v>30/01/2025</v>
      </c>
      <c r="Q26" s="68">
        <f t="shared" si="5"/>
        <v>0</v>
      </c>
      <c r="R26" s="68">
        <f t="shared" si="6"/>
        <v>4</v>
      </c>
      <c r="S26" s="68">
        <f t="shared" si="7"/>
        <v>21</v>
      </c>
      <c r="T26" s="65" t="s">
        <v>136</v>
      </c>
      <c r="U26" s="65" t="s">
        <v>278</v>
      </c>
      <c r="V26" s="49" t="str">
        <f t="shared" si="8"/>
        <v>15/10/2020</v>
      </c>
      <c r="W26" s="68">
        <f>IF(V26="",0,DATEDIF(V26,P26,"Y"))</f>
        <v>4</v>
      </c>
      <c r="X26" s="68">
        <f>IF(V26="",0,DATEDIF(V26,P26,"YM"))</f>
        <v>3</v>
      </c>
      <c r="Y26" s="68">
        <f>IF(V26="",0,DATEDIF(V26,P26,"MD"))</f>
        <v>15</v>
      </c>
      <c r="Z26" s="49"/>
      <c r="AA26" s="65"/>
      <c r="AB26" s="50" t="str">
        <f t="shared" si="9"/>
        <v/>
      </c>
      <c r="AC26" s="68">
        <f t="shared" si="10"/>
        <v>0</v>
      </c>
      <c r="AD26" s="68">
        <f t="shared" si="11"/>
        <v>0</v>
      </c>
      <c r="AE26" s="68">
        <f t="shared" si="12"/>
        <v>0</v>
      </c>
      <c r="AF26" s="50"/>
      <c r="AG26" s="50" t="s">
        <v>138</v>
      </c>
      <c r="AH26" s="49" t="str">
        <f>IF(AG26="นิติศาสตร์","K5-LAW","K5-POLICY")</f>
        <v>K5-LAW</v>
      </c>
      <c r="AI26" s="72" t="str">
        <f>_xlfn.IFS(B26="","",AND(AH26="K5-LAW",AG26="นิติศาสตร์",K26="S2",T26="",Z26=""),P26,AND(AH26="K5-LAW",AG26="นิติศาสตร์",K26="S1",T26="",Z26=""),EDATE(P26,12),AND(AH26="K5-LAW",AG26="นิติศาสตร์",OR(K26="M2",K26="K4"),T26="",Z26=""),EDATE(P26,12*2),AND(AH26="K5-LAW",AG26="นิติศาสตร์",OR(Z26="M2",Z26="K4"),AC26&gt;=2,OR(AB26&lt;V26,AB26&lt;P26)),EDATE(AB26,12*2),AND(AH26="K5-LAW",AG26="นิติศาสตร์",Z26="S1",AC26&gt;=1,OR(AB26&lt;V26,AB26&lt;P26)),EDATE(AB26,12),AND(AH26="K5-LAW",AG26="นิติศาสตร์",OR(T26="M2",T26="K4"),W26&gt;=2,V26&lt;P26),EDATE(V26,12*2),AND(AH26="K5-LAW",AG26="นิติศาสตร์",T26="S1",W26&gt;=1,V26&lt;P26),EDATE(V26,12),AND(AH26="K5-LAW",AG26="นิติศาสตร์",OR(T26="S2",T26="K5")),V26,AND(AH26="K5-LAW",AG26="นิติศาสตร์",OR(K26="M2",K26="K4"),Q26&gt;=2),EDATE(P26,12*2),AND(AH26="K5-LAW",AG26="นิติศาสตร์",K26="S1",Q26&gt;=1),EDATE(P26,12),AND(AH26="K5-LAW",AG26="นิติศาสตร์",OR(K26="S2",K26="K5")),P26,AND(AH26="K5-POLICY",AG26&lt;&gt;"นิติศาสตร์",K26="S2",T26="",Z26=""),P26,AND(AH26="K5-POLICY",AG26&lt;&gt;"นิติศาสตร์",K26="S1",T26="",Z26=""),EDATE(P26,12),AND(AH26="K5-POLICY",AG26&lt;&gt;"นิติศาสตร์",OR(K26="M2",K26="K4"),T26="",Z26=""),EDATE(P26,12*2),AND(AH26="K5-POLICY",AG26&lt;&gt;"นิติศาสตร์",OR(Z26="M2",Z26="K4"),AC26&gt;=2,OR(AB26&lt;V26,AB26&lt;P26)),EDATE(AB26,12*2),AND(AH26="K5-POLICY",AG26&lt;&gt;"นิติศาสตร์",Z26="S1",AC26&gt;=1,OR(AB26&lt;V26,AB26&lt;P26)),EDATE(AB26,12),AND(AH26="K5-POLICY",AG26&lt;&gt;"นิติศาสตร์",OR(T26="M2",T26="K4"),W26&gt;=2,V26&lt;P26),EDATE(V26,12*2),AND(AH26="K5-POLICY",AG26&lt;&gt;"นิติศาสตร์",T26="S1",W26&gt;=1,V26&lt;P26),EDATE(V26,12),AND(AH26="K5-POLICY",AG26&lt;&gt;"นิติศาสตร์",OR(T26="S2",T26="K5")),V26,AND(AH26="K5-POLICY",AG26&lt;&gt;"นิติศาสตร์",OR(K26="M2",K26="K4"),Q26&gt;=2),EDATE(P26,12*2),AND(AH26="K5-POLICY",AG26&lt;&gt;"นิติศาสตร์",K26="S1",Q26&gt;=1),EDATE(P26,12),AND(AH26="K5-POLICY",AG26&lt;&gt;"นิติศาสตร์",OR(K26="S2",K26="K5")),P26,TRUE,"Check Data")</f>
        <v/>
      </c>
      <c r="AJ26" s="75" t="str">
        <f t="shared" si="13"/>
        <v>Check Data</v>
      </c>
      <c r="AK26" s="76" t="str">
        <f t="shared" si="14"/>
        <v>Check Data</v>
      </c>
      <c r="AL26" s="50" t="str">
        <f t="shared" si="15"/>
        <v>Check Data</v>
      </c>
      <c r="AM26" s="49" t="str">
        <f>IF(B26="","",IF(K26="S1","S1",INDEX(#REF!,#REF!)))</f>
        <v/>
      </c>
      <c r="AN26" s="49" t="str">
        <f>K26</f>
        <v>S1</v>
      </c>
      <c r="AO26" s="50" t="b">
        <f>K26=AM26</f>
        <v>0</v>
      </c>
      <c r="AP26" s="50"/>
    </row>
    <row r="27" spans="1:42" ht="21.75">
      <c r="A27" s="49">
        <v>25</v>
      </c>
      <c r="B27" s="50"/>
      <c r="C27" s="50"/>
      <c r="D27" s="50" t="s">
        <v>145</v>
      </c>
      <c r="E27" s="49" t="s">
        <v>390</v>
      </c>
      <c r="F27" s="49" t="str">
        <f t="shared" si="0"/>
        <v>18/09/1995</v>
      </c>
      <c r="G27" s="50">
        <f t="shared" si="1"/>
        <v>29</v>
      </c>
      <c r="H27" s="50">
        <f t="shared" si="2"/>
        <v>9</v>
      </c>
      <c r="I27" s="50">
        <f t="shared" si="3"/>
        <v>2</v>
      </c>
      <c r="J27" s="50" t="s">
        <v>160</v>
      </c>
      <c r="K27" s="49" t="s">
        <v>135</v>
      </c>
      <c r="L27" s="64"/>
      <c r="M27" s="49"/>
      <c r="N27" s="49">
        <v>2571</v>
      </c>
      <c r="O27" s="65" t="s">
        <v>502</v>
      </c>
      <c r="P27" s="49" t="str">
        <f t="shared" si="4"/>
        <v>30/01/2025</v>
      </c>
      <c r="Q27" s="68">
        <f t="shared" si="5"/>
        <v>0</v>
      </c>
      <c r="R27" s="68">
        <f t="shared" si="6"/>
        <v>4</v>
      </c>
      <c r="S27" s="68">
        <f t="shared" si="7"/>
        <v>21</v>
      </c>
      <c r="T27" s="65" t="s">
        <v>136</v>
      </c>
      <c r="U27" s="65" t="s">
        <v>391</v>
      </c>
      <c r="V27" s="49" t="str">
        <f t="shared" si="8"/>
        <v>18/10/2021</v>
      </c>
      <c r="W27" s="68">
        <f>IF(V27="",0,DATEDIF(V27,P27,"Y"))</f>
        <v>3</v>
      </c>
      <c r="X27" s="68">
        <f>IF(V27="",0,DATEDIF(V27,P27,"YM"))</f>
        <v>3</v>
      </c>
      <c r="Y27" s="68">
        <f>IF(V27="",0,DATEDIF(V27,P27,"MD"))</f>
        <v>12</v>
      </c>
      <c r="Z27" s="49"/>
      <c r="AA27" s="65"/>
      <c r="AB27" s="50" t="str">
        <f t="shared" si="9"/>
        <v/>
      </c>
      <c r="AC27" s="68">
        <f t="shared" si="10"/>
        <v>0</v>
      </c>
      <c r="AD27" s="68">
        <f t="shared" si="11"/>
        <v>0</v>
      </c>
      <c r="AE27" s="68">
        <f t="shared" si="12"/>
        <v>0</v>
      </c>
      <c r="AF27" s="50"/>
      <c r="AG27" s="50" t="s">
        <v>172</v>
      </c>
      <c r="AH27" s="49" t="str">
        <f>IF(AG27="นิติศาสตร์","K5-LAW","K5-POLICY")</f>
        <v>K5-POLICY</v>
      </c>
      <c r="AI27" s="72" t="str">
        <f>_xlfn.IFS(B27="","",AND(AH27="K5-LAW",AG27="นิติศาสตร์",K27="S2",T27="",Z27=""),P27,AND(AH27="K5-LAW",AG27="นิติศาสตร์",K27="S1",T27="",Z27=""),EDATE(P27,12),AND(AH27="K5-LAW",AG27="นิติศาสตร์",OR(K27="M2",K27="K4"),T27="",Z27=""),EDATE(P27,12*2),AND(AH27="K5-LAW",AG27="นิติศาสตร์",OR(Z27="M2",Z27="K4"),AC27&gt;=2,OR(AB27&lt;V27,AB27&lt;P27)),EDATE(AB27,12*2),AND(AH27="K5-LAW",AG27="นิติศาสตร์",Z27="S1",AC27&gt;=1,OR(AB27&lt;V27,AB27&lt;P27)),EDATE(AB27,12),AND(AH27="K5-LAW",AG27="นิติศาสตร์",OR(T27="M2",T27="K4"),W27&gt;=2,V27&lt;P27),EDATE(V27,12*2),AND(AH27="K5-LAW",AG27="นิติศาสตร์",T27="S1",W27&gt;=1,V27&lt;P27),EDATE(V27,12),AND(AH27="K5-LAW",AG27="นิติศาสตร์",OR(T27="S2",T27="K5")),V27,AND(AH27="K5-LAW",AG27="นิติศาสตร์",OR(K27="M2",K27="K4"),Q27&gt;=2),EDATE(P27,12*2),AND(AH27="K5-LAW",AG27="นิติศาสตร์",K27="S1",Q27&gt;=1),EDATE(P27,12),AND(AH27="K5-LAW",AG27="นิติศาสตร์",OR(K27="S2",K27="K5")),P27,AND(AH27="K5-POLICY",AG27&lt;&gt;"นิติศาสตร์",K27="S2",T27="",Z27=""),P27,AND(AH27="K5-POLICY",AG27&lt;&gt;"นิติศาสตร์",K27="S1",T27="",Z27=""),EDATE(P27,12),AND(AH27="K5-POLICY",AG27&lt;&gt;"นิติศาสตร์",OR(K27="M2",K27="K4"),T27="",Z27=""),EDATE(P27,12*2),AND(AH27="K5-POLICY",AG27&lt;&gt;"นิติศาสตร์",OR(Z27="M2",Z27="K4"),AC27&gt;=2,OR(AB27&lt;V27,AB27&lt;P27)),EDATE(AB27,12*2),AND(AH27="K5-POLICY",AG27&lt;&gt;"นิติศาสตร์",Z27="S1",AC27&gt;=1,OR(AB27&lt;V27,AB27&lt;P27)),EDATE(AB27,12),AND(AH27="K5-POLICY",AG27&lt;&gt;"นิติศาสตร์",OR(T27="M2",T27="K4"),W27&gt;=2,V27&lt;P27),EDATE(V27,12*2),AND(AH27="K5-POLICY",AG27&lt;&gt;"นิติศาสตร์",T27="S1",W27&gt;=1,V27&lt;P27),EDATE(V27,12),AND(AH27="K5-POLICY",AG27&lt;&gt;"นิติศาสตร์",OR(T27="S2",T27="K5")),V27,AND(AH27="K5-POLICY",AG27&lt;&gt;"นิติศาสตร์",OR(K27="M2",K27="K4"),Q27&gt;=2),EDATE(P27,12*2),AND(AH27="K5-POLICY",AG27&lt;&gt;"นิติศาสตร์",K27="S1",Q27&gt;=1),EDATE(P27,12),AND(AH27="K5-POLICY",AG27&lt;&gt;"นิติศาสตร์",OR(K27="S2",K27="K5")),P27,TRUE,"Check Data")</f>
        <v/>
      </c>
      <c r="AJ27" s="75" t="str">
        <f t="shared" si="13"/>
        <v>Check Data</v>
      </c>
      <c r="AK27" s="76" t="str">
        <f t="shared" si="14"/>
        <v>Check Data</v>
      </c>
      <c r="AL27" s="50" t="str">
        <f t="shared" si="15"/>
        <v>Check Data</v>
      </c>
      <c r="AM27" s="49" t="str">
        <f>IF(B27="","",IF(K27="S1","S1",INDEX(#REF!,#REF!)))</f>
        <v/>
      </c>
      <c r="AN27" s="49" t="str">
        <f>K27</f>
        <v>S1</v>
      </c>
      <c r="AO27" s="50" t="b">
        <f>K27=AM27</f>
        <v>0</v>
      </c>
      <c r="AP27" s="50"/>
    </row>
    <row r="28" spans="1:42" ht="21.75">
      <c r="A28" s="49">
        <v>26</v>
      </c>
      <c r="B28" s="50"/>
      <c r="C28" s="50"/>
      <c r="D28" s="50" t="s">
        <v>139</v>
      </c>
      <c r="E28" s="49" t="s">
        <v>208</v>
      </c>
      <c r="F28" s="49" t="str">
        <f t="shared" si="0"/>
        <v>01/02/1990</v>
      </c>
      <c r="G28" s="50">
        <f t="shared" si="1"/>
        <v>35</v>
      </c>
      <c r="H28" s="50">
        <f t="shared" si="2"/>
        <v>4</v>
      </c>
      <c r="I28" s="50">
        <f t="shared" si="3"/>
        <v>19</v>
      </c>
      <c r="J28" s="56"/>
      <c r="K28" s="49" t="s">
        <v>136</v>
      </c>
      <c r="L28" s="64"/>
      <c r="M28" s="49" t="s">
        <v>425</v>
      </c>
      <c r="N28" s="49">
        <v>2568</v>
      </c>
      <c r="O28" s="65" t="s">
        <v>211</v>
      </c>
      <c r="P28" s="49" t="str">
        <f t="shared" si="4"/>
        <v>01/05/2014</v>
      </c>
      <c r="Q28" s="68">
        <f t="shared" si="5"/>
        <v>11</v>
      </c>
      <c r="R28" s="68">
        <f t="shared" si="6"/>
        <v>1</v>
      </c>
      <c r="S28" s="68">
        <f t="shared" si="7"/>
        <v>19</v>
      </c>
      <c r="T28" s="65"/>
      <c r="U28" s="65"/>
      <c r="V28" s="49" t="str">
        <f t="shared" si="8"/>
        <v/>
      </c>
      <c r="W28" s="68">
        <f>IF(V28="",0,DATEDIF(V28,P28,"Y"))</f>
        <v>0</v>
      </c>
      <c r="X28" s="68">
        <f>IF(V28="",0,DATEDIF(V28,P28,"YM"))</f>
        <v>0</v>
      </c>
      <c r="Y28" s="68">
        <f>IF(V28="",0,DATEDIF(V28,P28,"MD"))</f>
        <v>0</v>
      </c>
      <c r="Z28" s="49"/>
      <c r="AA28" s="65"/>
      <c r="AB28" s="50" t="str">
        <f t="shared" si="9"/>
        <v/>
      </c>
      <c r="AC28" s="68">
        <f t="shared" si="10"/>
        <v>0</v>
      </c>
      <c r="AD28" s="68">
        <f t="shared" si="11"/>
        <v>0</v>
      </c>
      <c r="AE28" s="68">
        <f t="shared" si="12"/>
        <v>0</v>
      </c>
      <c r="AF28" s="50"/>
      <c r="AG28" s="50" t="s">
        <v>165</v>
      </c>
      <c r="AH28" s="49" t="str">
        <f>IF(AG28="นิติศาสตร์","K5-LAW","K5-POLICY")</f>
        <v>K5-POLICY</v>
      </c>
      <c r="AI28" s="72" t="str">
        <f>_xlfn.IFS(B28="","",AND(AH28="K5-LAW",AG28="นิติศาสตร์",K28="S2",T28="",Z28=""),P28,AND(AH28="K5-LAW",AG28="นิติศาสตร์",K28="S1",T28="",Z28=""),EDATE(P28,12),AND(AH28="K5-LAW",AG28="นิติศาสตร์",OR(K28="M2",K28="K4"),T28="",Z28=""),EDATE(P28,12*2),AND(AH28="K5-LAW",AG28="นิติศาสตร์",OR(Z28="M2",Z28="K4"),AC28&gt;=2,OR(AB28&lt;V28,AB28&lt;P28)),EDATE(AB28,12*2),AND(AH28="K5-LAW",AG28="นิติศาสตร์",Z28="S1",AC28&gt;=1,OR(AB28&lt;V28,AB28&lt;P28)),EDATE(AB28,12),AND(AH28="K5-LAW",AG28="นิติศาสตร์",OR(T28="M2",T28="K4"),W28&gt;=2,V28&lt;P28),EDATE(V28,12*2),AND(AH28="K5-LAW",AG28="นิติศาสตร์",T28="S1",W28&gt;=1,V28&lt;P28),EDATE(V28,12),AND(AH28="K5-LAW",AG28="นิติศาสตร์",OR(T28="S2",T28="K5")),V28,AND(AH28="K5-LAW",AG28="นิติศาสตร์",OR(K28="M2",K28="K4"),Q28&gt;=2),EDATE(P28,12*2),AND(AH28="K5-LAW",AG28="นิติศาสตร์",K28="S1",Q28&gt;=1),EDATE(P28,12),AND(AH28="K5-LAW",AG28="นิติศาสตร์",OR(K28="S2",K28="K5")),P28,AND(AH28="K5-POLICY",AG28&lt;&gt;"นิติศาสตร์",K28="S2",T28="",Z28=""),P28,AND(AH28="K5-POLICY",AG28&lt;&gt;"นิติศาสตร์",K28="S1",T28="",Z28=""),EDATE(P28,12),AND(AH28="K5-POLICY",AG28&lt;&gt;"นิติศาสตร์",OR(K28="M2",K28="K4"),T28="",Z28=""),EDATE(P28,12*2),AND(AH28="K5-POLICY",AG28&lt;&gt;"นิติศาสตร์",OR(Z28="M2",Z28="K4"),AC28&gt;=2,OR(AB28&lt;V28,AB28&lt;P28)),EDATE(AB28,12*2),AND(AH28="K5-POLICY",AG28&lt;&gt;"นิติศาสตร์",Z28="S1",AC28&gt;=1,OR(AB28&lt;V28,AB28&lt;P28)),EDATE(AB28,12),AND(AH28="K5-POLICY",AG28&lt;&gt;"นิติศาสตร์",OR(T28="M2",T28="K4"),W28&gt;=2,V28&lt;P28),EDATE(V28,12*2),AND(AH28="K5-POLICY",AG28&lt;&gt;"นิติศาสตร์",T28="S1",W28&gt;=1,V28&lt;P28),EDATE(V28,12),AND(AH28="K5-POLICY",AG28&lt;&gt;"นิติศาสตร์",OR(T28="S2",T28="K5")),V28,AND(AH28="K5-POLICY",AG28&lt;&gt;"นิติศาสตร์",OR(K28="M2",K28="K4"),Q28&gt;=2),EDATE(P28,12*2),AND(AH28="K5-POLICY",AG28&lt;&gt;"นิติศาสตร์",K28="S1",Q28&gt;=1),EDATE(P28,12),AND(AH28="K5-POLICY",AG28&lt;&gt;"นิติศาสตร์",OR(K28="S2",K28="K5")),P28,TRUE,"Check Data")</f>
        <v/>
      </c>
      <c r="AJ28" s="75" t="str">
        <f t="shared" si="13"/>
        <v>Check Data</v>
      </c>
      <c r="AK28" s="76" t="str">
        <f t="shared" si="14"/>
        <v>Check Data</v>
      </c>
      <c r="AL28" s="50" t="str">
        <f t="shared" si="15"/>
        <v>Check Data</v>
      </c>
      <c r="AM28" s="49" t="str">
        <f>IF(B28="","",IF(K28="S1","S1",INDEX(#REF!,#REF!)))</f>
        <v/>
      </c>
      <c r="AN28" s="49" t="str">
        <f>K28</f>
        <v>M2</v>
      </c>
      <c r="AO28" s="50" t="b">
        <f>K28=AM28</f>
        <v>0</v>
      </c>
      <c r="AP28" s="50"/>
    </row>
    <row r="29" spans="1:42" ht="21.75">
      <c r="A29" s="49">
        <v>27</v>
      </c>
      <c r="B29" s="50"/>
      <c r="C29" s="50"/>
      <c r="D29" s="50" t="s">
        <v>139</v>
      </c>
      <c r="E29" s="49" t="s">
        <v>164</v>
      </c>
      <c r="F29" s="49" t="str">
        <f t="shared" si="0"/>
        <v>01/05/1990</v>
      </c>
      <c r="G29" s="50">
        <f t="shared" si="1"/>
        <v>35</v>
      </c>
      <c r="H29" s="50">
        <f t="shared" si="2"/>
        <v>1</v>
      </c>
      <c r="I29" s="50">
        <f t="shared" si="3"/>
        <v>19</v>
      </c>
      <c r="J29" s="56"/>
      <c r="K29" s="49" t="s">
        <v>136</v>
      </c>
      <c r="L29" s="64"/>
      <c r="M29" s="49" t="s">
        <v>425</v>
      </c>
      <c r="N29" s="49">
        <v>2570</v>
      </c>
      <c r="O29" s="65" t="s">
        <v>211</v>
      </c>
      <c r="P29" s="49" t="str">
        <f t="shared" si="4"/>
        <v>01/05/2014</v>
      </c>
      <c r="Q29" s="68">
        <f t="shared" si="5"/>
        <v>11</v>
      </c>
      <c r="R29" s="68">
        <f t="shared" si="6"/>
        <v>1</v>
      </c>
      <c r="S29" s="68">
        <f t="shared" si="7"/>
        <v>19</v>
      </c>
      <c r="T29" s="65"/>
      <c r="U29" s="65"/>
      <c r="V29" s="49" t="str">
        <f t="shared" si="8"/>
        <v/>
      </c>
      <c r="W29" s="68">
        <f>IF(V29="",0,DATEDIF(V29,P29,"Y"))</f>
        <v>0</v>
      </c>
      <c r="X29" s="68">
        <f>IF(V29="",0,DATEDIF(V29,P29,"YM"))</f>
        <v>0</v>
      </c>
      <c r="Y29" s="68">
        <f>IF(V29="",0,DATEDIF(V29,P29,"MD"))</f>
        <v>0</v>
      </c>
      <c r="Z29" s="49"/>
      <c r="AA29" s="65"/>
      <c r="AB29" s="50" t="str">
        <f t="shared" si="9"/>
        <v/>
      </c>
      <c r="AC29" s="68">
        <f t="shared" si="10"/>
        <v>0</v>
      </c>
      <c r="AD29" s="68">
        <f t="shared" si="11"/>
        <v>0</v>
      </c>
      <c r="AE29" s="68">
        <f t="shared" si="12"/>
        <v>0</v>
      </c>
      <c r="AF29" s="50"/>
      <c r="AG29" s="50" t="s">
        <v>167</v>
      </c>
      <c r="AH29" s="49" t="str">
        <f>IF(AG29="นิติศาสตร์","K5-LAW","K5-POLICY")</f>
        <v>K5-POLICY</v>
      </c>
      <c r="AI29" s="72" t="str">
        <f>_xlfn.IFS(B29="","",AND(AH29="K5-LAW",AG29="นิติศาสตร์",K29="S2",T29="",Z29=""),P29,AND(AH29="K5-LAW",AG29="นิติศาสตร์",K29="S1",T29="",Z29=""),EDATE(P29,12),AND(AH29="K5-LAW",AG29="นิติศาสตร์",OR(K29="M2",K29="K4"),T29="",Z29=""),EDATE(P29,12*2),AND(AH29="K5-LAW",AG29="นิติศาสตร์",OR(Z29="M2",Z29="K4"),AC29&gt;=2,OR(AB29&lt;V29,AB29&lt;P29)),EDATE(AB29,12*2),AND(AH29="K5-LAW",AG29="นิติศาสตร์",Z29="S1",AC29&gt;=1,OR(AB29&lt;V29,AB29&lt;P29)),EDATE(AB29,12),AND(AH29="K5-LAW",AG29="นิติศาสตร์",OR(T29="M2",T29="K4"),W29&gt;=2,V29&lt;P29),EDATE(V29,12*2),AND(AH29="K5-LAW",AG29="นิติศาสตร์",T29="S1",W29&gt;=1,V29&lt;P29),EDATE(V29,12),AND(AH29="K5-LAW",AG29="นิติศาสตร์",OR(T29="S2",T29="K5")),V29,AND(AH29="K5-LAW",AG29="นิติศาสตร์",OR(K29="M2",K29="K4"),Q29&gt;=2),EDATE(P29,12*2),AND(AH29="K5-LAW",AG29="นิติศาสตร์",K29="S1",Q29&gt;=1),EDATE(P29,12),AND(AH29="K5-LAW",AG29="นิติศาสตร์",OR(K29="S2",K29="K5")),P29,AND(AH29="K5-POLICY",AG29&lt;&gt;"นิติศาสตร์",K29="S2",T29="",Z29=""),P29,AND(AH29="K5-POLICY",AG29&lt;&gt;"นิติศาสตร์",K29="S1",T29="",Z29=""),EDATE(P29,12),AND(AH29="K5-POLICY",AG29&lt;&gt;"นิติศาสตร์",OR(K29="M2",K29="K4"),T29="",Z29=""),EDATE(P29,12*2),AND(AH29="K5-POLICY",AG29&lt;&gt;"นิติศาสตร์",OR(Z29="M2",Z29="K4"),AC29&gt;=2,OR(AB29&lt;V29,AB29&lt;P29)),EDATE(AB29,12*2),AND(AH29="K5-POLICY",AG29&lt;&gt;"นิติศาสตร์",Z29="S1",AC29&gt;=1,OR(AB29&lt;V29,AB29&lt;P29)),EDATE(AB29,12),AND(AH29="K5-POLICY",AG29&lt;&gt;"นิติศาสตร์",OR(T29="M2",T29="K4"),W29&gt;=2,V29&lt;P29),EDATE(V29,12*2),AND(AH29="K5-POLICY",AG29&lt;&gt;"นิติศาสตร์",T29="S1",W29&gt;=1,V29&lt;P29),EDATE(V29,12),AND(AH29="K5-POLICY",AG29&lt;&gt;"นิติศาสตร์",OR(T29="S2",T29="K5")),V29,AND(AH29="K5-POLICY",AG29&lt;&gt;"นิติศาสตร์",OR(K29="M2",K29="K4"),Q29&gt;=2),EDATE(P29,12*2),AND(AH29="K5-POLICY",AG29&lt;&gt;"นิติศาสตร์",K29="S1",Q29&gt;=1),EDATE(P29,12),AND(AH29="K5-POLICY",AG29&lt;&gt;"นิติศาสตร์",OR(K29="S2",K29="K5")),P29,TRUE,"Check Data")</f>
        <v/>
      </c>
      <c r="AJ29" s="75" t="str">
        <f t="shared" si="13"/>
        <v>Check Data</v>
      </c>
      <c r="AK29" s="76" t="str">
        <f t="shared" si="14"/>
        <v>Check Data</v>
      </c>
      <c r="AL29" s="50" t="str">
        <f t="shared" si="15"/>
        <v>Check Data</v>
      </c>
      <c r="AM29" s="49" t="str">
        <f>IF(B29="","",IF(K29="S1","S1",INDEX(#REF!,#REF!)))</f>
        <v/>
      </c>
      <c r="AN29" s="49" t="str">
        <f>K29</f>
        <v>M2</v>
      </c>
      <c r="AO29" s="50" t="b">
        <f>K29=AM29</f>
        <v>0</v>
      </c>
      <c r="AP29" s="50"/>
    </row>
    <row r="30" spans="1:42" ht="21.75">
      <c r="A30" s="49">
        <v>28</v>
      </c>
      <c r="B30" s="50"/>
      <c r="C30" s="50"/>
      <c r="D30" s="50" t="s">
        <v>144</v>
      </c>
      <c r="E30" s="49" t="s">
        <v>382</v>
      </c>
      <c r="F30" s="49" t="str">
        <f t="shared" si="0"/>
        <v>01/05/1989</v>
      </c>
      <c r="G30" s="50">
        <f t="shared" si="1"/>
        <v>36</v>
      </c>
      <c r="H30" s="50">
        <f t="shared" si="2"/>
        <v>1</v>
      </c>
      <c r="I30" s="50">
        <f t="shared" si="3"/>
        <v>19</v>
      </c>
      <c r="J30" s="57"/>
      <c r="K30" s="49" t="s">
        <v>136</v>
      </c>
      <c r="L30" s="64"/>
      <c r="M30" s="49" t="s">
        <v>425</v>
      </c>
      <c r="N30" s="49">
        <v>2572</v>
      </c>
      <c r="O30" s="65" t="s">
        <v>388</v>
      </c>
      <c r="P30" s="49" t="str">
        <f t="shared" si="4"/>
        <v>16/07/2015</v>
      </c>
      <c r="Q30" s="68">
        <f t="shared" si="5"/>
        <v>9</v>
      </c>
      <c r="R30" s="68">
        <f t="shared" si="6"/>
        <v>11</v>
      </c>
      <c r="S30" s="68">
        <f t="shared" si="7"/>
        <v>4</v>
      </c>
      <c r="T30" s="65"/>
      <c r="U30" s="65"/>
      <c r="V30" s="49" t="str">
        <f t="shared" si="8"/>
        <v/>
      </c>
      <c r="W30" s="68">
        <f>IF(V30="",0,DATEDIF(V30,P30,"Y"))</f>
        <v>0</v>
      </c>
      <c r="X30" s="68">
        <f>IF(V30="",0,DATEDIF(V30,P30,"YM"))</f>
        <v>0</v>
      </c>
      <c r="Y30" s="68">
        <f>IF(V30="",0,DATEDIF(V30,P30,"MD"))</f>
        <v>0</v>
      </c>
      <c r="Z30" s="49"/>
      <c r="AA30" s="65"/>
      <c r="AB30" s="50" t="str">
        <f t="shared" si="9"/>
        <v/>
      </c>
      <c r="AC30" s="68">
        <f t="shared" si="10"/>
        <v>0</v>
      </c>
      <c r="AD30" s="68">
        <f t="shared" si="11"/>
        <v>0</v>
      </c>
      <c r="AE30" s="68">
        <f t="shared" si="12"/>
        <v>0</v>
      </c>
      <c r="AF30" s="50"/>
      <c r="AG30" s="50" t="s">
        <v>509</v>
      </c>
      <c r="AH30" s="49" t="str">
        <f>IF(AG30="นิติศาสตร์","K5-LAW","K5-POLICY")</f>
        <v>K5-POLICY</v>
      </c>
      <c r="AI30" s="72" t="str">
        <f>_xlfn.IFS(B30="","",AND(AH30="K5-LAW",AG30="นิติศาสตร์",K30="S2",T30="",Z30=""),P30,AND(AH30="K5-LAW",AG30="นิติศาสตร์",K30="S1",T30="",Z30=""),EDATE(P30,12),AND(AH30="K5-LAW",AG30="นิติศาสตร์",OR(K30="M2",K30="K4"),T30="",Z30=""),EDATE(P30,12*2),AND(AH30="K5-LAW",AG30="นิติศาสตร์",OR(Z30="M2",Z30="K4"),AC30&gt;=2,OR(AB30&lt;V30,AB30&lt;P30)),EDATE(AB30,12*2),AND(AH30="K5-LAW",AG30="นิติศาสตร์",Z30="S1",AC30&gt;=1,OR(AB30&lt;V30,AB30&lt;P30)),EDATE(AB30,12),AND(AH30="K5-LAW",AG30="นิติศาสตร์",OR(T30="M2",T30="K4"),W30&gt;=2,V30&lt;P30),EDATE(V30,12*2),AND(AH30="K5-LAW",AG30="นิติศาสตร์",T30="S1",W30&gt;=1,V30&lt;P30),EDATE(V30,12),AND(AH30="K5-LAW",AG30="นิติศาสตร์",OR(T30="S2",T30="K5")),V30,AND(AH30="K5-LAW",AG30="นิติศาสตร์",OR(K30="M2",K30="K4"),Q30&gt;=2),EDATE(P30,12*2),AND(AH30="K5-LAW",AG30="นิติศาสตร์",K30="S1",Q30&gt;=1),EDATE(P30,12),AND(AH30="K5-LAW",AG30="นิติศาสตร์",OR(K30="S2",K30="K5")),P30,AND(AH30="K5-POLICY",AG30&lt;&gt;"นิติศาสตร์",K30="S2",T30="",Z30=""),P30,AND(AH30="K5-POLICY",AG30&lt;&gt;"นิติศาสตร์",K30="S1",T30="",Z30=""),EDATE(P30,12),AND(AH30="K5-POLICY",AG30&lt;&gt;"นิติศาสตร์",OR(K30="M2",K30="K4"),T30="",Z30=""),EDATE(P30,12*2),AND(AH30="K5-POLICY",AG30&lt;&gt;"นิติศาสตร์",OR(Z30="M2",Z30="K4"),AC30&gt;=2,OR(AB30&lt;V30,AB30&lt;P30)),EDATE(AB30,12*2),AND(AH30="K5-POLICY",AG30&lt;&gt;"นิติศาสตร์",Z30="S1",AC30&gt;=1,OR(AB30&lt;V30,AB30&lt;P30)),EDATE(AB30,12),AND(AH30="K5-POLICY",AG30&lt;&gt;"นิติศาสตร์",OR(T30="M2",T30="K4"),W30&gt;=2,V30&lt;P30),EDATE(V30,12*2),AND(AH30="K5-POLICY",AG30&lt;&gt;"นิติศาสตร์",T30="S1",W30&gt;=1,V30&lt;P30),EDATE(V30,12),AND(AH30="K5-POLICY",AG30&lt;&gt;"นิติศาสตร์",OR(T30="S2",T30="K5")),V30,AND(AH30="K5-POLICY",AG30&lt;&gt;"นิติศาสตร์",OR(K30="M2",K30="K4"),Q30&gt;=2),EDATE(P30,12*2),AND(AH30="K5-POLICY",AG30&lt;&gt;"นิติศาสตร์",K30="S1",Q30&gt;=1),EDATE(P30,12),AND(AH30="K5-POLICY",AG30&lt;&gt;"นิติศาสตร์",OR(K30="S2",K30="K5")),P30,TRUE,"Check Data")</f>
        <v/>
      </c>
      <c r="AJ30" s="75" t="str">
        <f t="shared" si="13"/>
        <v>Check Data</v>
      </c>
      <c r="AK30" s="76" t="str">
        <f t="shared" si="14"/>
        <v>Check Data</v>
      </c>
      <c r="AL30" s="50" t="str">
        <f t="shared" si="15"/>
        <v>Check Data</v>
      </c>
      <c r="AM30" s="49" t="str">
        <f>IF(B30="","",IF(K30="S1","S1",INDEX(#REF!,#REF!)))</f>
        <v/>
      </c>
      <c r="AN30" s="49" t="str">
        <f>K30</f>
        <v>M2</v>
      </c>
      <c r="AO30" s="50" t="b">
        <f>K30=AM30</f>
        <v>0</v>
      </c>
      <c r="AP30" s="50"/>
    </row>
    <row r="31" spans="1:42" ht="21.75">
      <c r="A31" s="49">
        <v>29</v>
      </c>
      <c r="B31" s="50"/>
      <c r="C31" s="50"/>
      <c r="D31" s="50" t="s">
        <v>142</v>
      </c>
      <c r="E31" s="49" t="s">
        <v>283</v>
      </c>
      <c r="F31" s="49" t="str">
        <f t="shared" si="0"/>
        <v>01/04/1998</v>
      </c>
      <c r="G31" s="50">
        <f t="shared" si="1"/>
        <v>27</v>
      </c>
      <c r="H31" s="50">
        <f t="shared" si="2"/>
        <v>2</v>
      </c>
      <c r="I31" s="50">
        <f t="shared" si="3"/>
        <v>19</v>
      </c>
      <c r="J31" s="58"/>
      <c r="K31" s="49" t="s">
        <v>136</v>
      </c>
      <c r="L31" s="64"/>
      <c r="M31" s="49" t="s">
        <v>425</v>
      </c>
      <c r="N31" s="49">
        <v>2575</v>
      </c>
      <c r="O31" s="65" t="s">
        <v>284</v>
      </c>
      <c r="P31" s="49" t="str">
        <f t="shared" si="4"/>
        <v>21/04/2016</v>
      </c>
      <c r="Q31" s="68">
        <f t="shared" si="5"/>
        <v>9</v>
      </c>
      <c r="R31" s="68">
        <f t="shared" si="6"/>
        <v>1</v>
      </c>
      <c r="S31" s="68">
        <f t="shared" si="7"/>
        <v>30</v>
      </c>
      <c r="T31" s="65"/>
      <c r="U31" s="65"/>
      <c r="V31" s="49" t="str">
        <f t="shared" si="8"/>
        <v/>
      </c>
      <c r="W31" s="68">
        <f>IF(V31="",0,DATEDIF(V31,P31,"Y"))</f>
        <v>0</v>
      </c>
      <c r="X31" s="68">
        <f>IF(V31="",0,DATEDIF(V31,P31,"YM"))</f>
        <v>0</v>
      </c>
      <c r="Y31" s="68">
        <f>IF(V31="",0,DATEDIF(V31,P31,"MD"))</f>
        <v>0</v>
      </c>
      <c r="Z31" s="49"/>
      <c r="AA31" s="65"/>
      <c r="AB31" s="50" t="str">
        <f t="shared" si="9"/>
        <v/>
      </c>
      <c r="AC31" s="68">
        <f t="shared" si="10"/>
        <v>0</v>
      </c>
      <c r="AD31" s="68">
        <f t="shared" si="11"/>
        <v>0</v>
      </c>
      <c r="AE31" s="68">
        <f t="shared" si="12"/>
        <v>0</v>
      </c>
      <c r="AF31" s="50"/>
      <c r="AG31" s="50" t="s">
        <v>138</v>
      </c>
      <c r="AH31" s="49" t="str">
        <f>IF(AG31="นิติศาสตร์","K5-LAW","K5-POLICY")</f>
        <v>K5-LAW</v>
      </c>
      <c r="AI31" s="72" t="str">
        <f>_xlfn.IFS(B31="","",AND(AH31="K5-LAW",AG31="นิติศาสตร์",K31="S2",T31="",Z31=""),P31,AND(AH31="K5-LAW",AG31="นิติศาสตร์",K31="S1",T31="",Z31=""),EDATE(P31,12),AND(AH31="K5-LAW",AG31="นิติศาสตร์",OR(K31="M2",K31="K4"),T31="",Z31=""),EDATE(P31,12*2),AND(AH31="K5-LAW",AG31="นิติศาสตร์",OR(Z31="M2",Z31="K4"),AC31&gt;=2,OR(AB31&lt;V31,AB31&lt;P31)),EDATE(AB31,12*2),AND(AH31="K5-LAW",AG31="นิติศาสตร์",Z31="S1",AC31&gt;=1,OR(AB31&lt;V31,AB31&lt;P31)),EDATE(AB31,12),AND(AH31="K5-LAW",AG31="นิติศาสตร์",OR(T31="M2",T31="K4"),W31&gt;=2,V31&lt;P31),EDATE(V31,12*2),AND(AH31="K5-LAW",AG31="นิติศาสตร์",T31="S1",W31&gt;=1,V31&lt;P31),EDATE(V31,12),AND(AH31="K5-LAW",AG31="นิติศาสตร์",OR(T31="S2",T31="K5")),V31,AND(AH31="K5-LAW",AG31="นิติศาสตร์",OR(K31="M2",K31="K4"),Q31&gt;=2),EDATE(P31,12*2),AND(AH31="K5-LAW",AG31="นิติศาสตร์",K31="S1",Q31&gt;=1),EDATE(P31,12),AND(AH31="K5-LAW",AG31="นิติศาสตร์",OR(K31="S2",K31="K5")),P31,AND(AH31="K5-POLICY",AG31&lt;&gt;"นิติศาสตร์",K31="S2",T31="",Z31=""),P31,AND(AH31="K5-POLICY",AG31&lt;&gt;"นิติศาสตร์",K31="S1",T31="",Z31=""),EDATE(P31,12),AND(AH31="K5-POLICY",AG31&lt;&gt;"นิติศาสตร์",OR(K31="M2",K31="K4"),T31="",Z31=""),EDATE(P31,12*2),AND(AH31="K5-POLICY",AG31&lt;&gt;"นิติศาสตร์",OR(Z31="M2",Z31="K4"),AC31&gt;=2,OR(AB31&lt;V31,AB31&lt;P31)),EDATE(AB31,12*2),AND(AH31="K5-POLICY",AG31&lt;&gt;"นิติศาสตร์",Z31="S1",AC31&gt;=1,OR(AB31&lt;V31,AB31&lt;P31)),EDATE(AB31,12),AND(AH31="K5-POLICY",AG31&lt;&gt;"นิติศาสตร์",OR(T31="M2",T31="K4"),W31&gt;=2,V31&lt;P31),EDATE(V31,12*2),AND(AH31="K5-POLICY",AG31&lt;&gt;"นิติศาสตร์",T31="S1",W31&gt;=1,V31&lt;P31),EDATE(V31,12),AND(AH31="K5-POLICY",AG31&lt;&gt;"นิติศาสตร์",OR(T31="S2",T31="K5")),V31,AND(AH31="K5-POLICY",AG31&lt;&gt;"นิติศาสตร์",OR(K31="M2",K31="K4"),Q31&gt;=2),EDATE(P31,12*2),AND(AH31="K5-POLICY",AG31&lt;&gt;"นิติศาสตร์",K31="S1",Q31&gt;=1),EDATE(P31,12),AND(AH31="K5-POLICY",AG31&lt;&gt;"นิติศาสตร์",OR(K31="S2",K31="K5")),P31,TRUE,"Check Data")</f>
        <v/>
      </c>
      <c r="AJ31" s="75" t="str">
        <f t="shared" si="13"/>
        <v>Check Data</v>
      </c>
      <c r="AK31" s="76" t="str">
        <f t="shared" si="14"/>
        <v>Check Data</v>
      </c>
      <c r="AL31" s="50" t="str">
        <f t="shared" si="15"/>
        <v>Check Data</v>
      </c>
      <c r="AM31" s="49" t="str">
        <f>IF(B31="","",IF(K31="S1","S1",INDEX(#REF!,#REF!)))</f>
        <v/>
      </c>
      <c r="AN31" s="49" t="str">
        <f>K31</f>
        <v>M2</v>
      </c>
      <c r="AO31" s="50" t="b">
        <f>K31=AM31</f>
        <v>0</v>
      </c>
      <c r="AP31" s="50"/>
    </row>
    <row r="32" spans="1:42" ht="21.75">
      <c r="A32" s="49">
        <v>30</v>
      </c>
      <c r="B32" s="50"/>
      <c r="C32" s="50"/>
      <c r="D32" s="50" t="s">
        <v>142</v>
      </c>
      <c r="E32" s="49" t="s">
        <v>262</v>
      </c>
      <c r="F32" s="49" t="str">
        <f t="shared" si="0"/>
        <v>11/04/1996</v>
      </c>
      <c r="G32" s="50">
        <f t="shared" si="1"/>
        <v>29</v>
      </c>
      <c r="H32" s="50">
        <f t="shared" si="2"/>
        <v>2</v>
      </c>
      <c r="I32" s="50">
        <f t="shared" si="3"/>
        <v>9</v>
      </c>
      <c r="J32" s="58"/>
      <c r="K32" s="49" t="s">
        <v>136</v>
      </c>
      <c r="L32" s="64"/>
      <c r="M32" s="49" t="s">
        <v>425</v>
      </c>
      <c r="N32" s="49">
        <v>2573</v>
      </c>
      <c r="O32" s="65" t="s">
        <v>205</v>
      </c>
      <c r="P32" s="49" t="str">
        <f t="shared" si="4"/>
        <v>26/10/2016</v>
      </c>
      <c r="Q32" s="68">
        <f t="shared" si="5"/>
        <v>8</v>
      </c>
      <c r="R32" s="68">
        <f t="shared" si="6"/>
        <v>7</v>
      </c>
      <c r="S32" s="68">
        <f t="shared" si="7"/>
        <v>25</v>
      </c>
      <c r="T32" s="65"/>
      <c r="U32" s="65"/>
      <c r="V32" s="49" t="str">
        <f t="shared" si="8"/>
        <v/>
      </c>
      <c r="W32" s="68">
        <f>IF(V32="",0,DATEDIF(V32,P32,"Y"))</f>
        <v>0</v>
      </c>
      <c r="X32" s="68">
        <f>IF(V32="",0,DATEDIF(V32,P32,"YM"))</f>
        <v>0</v>
      </c>
      <c r="Y32" s="68">
        <f>IF(V32="",0,DATEDIF(V32,P32,"MD"))</f>
        <v>0</v>
      </c>
      <c r="Z32" s="49"/>
      <c r="AA32" s="65"/>
      <c r="AB32" s="50" t="str">
        <f t="shared" si="9"/>
        <v/>
      </c>
      <c r="AC32" s="68">
        <f t="shared" si="10"/>
        <v>0</v>
      </c>
      <c r="AD32" s="68">
        <f t="shared" si="11"/>
        <v>0</v>
      </c>
      <c r="AE32" s="68">
        <f t="shared" si="12"/>
        <v>0</v>
      </c>
      <c r="AF32" s="50"/>
      <c r="AG32" s="50" t="s">
        <v>138</v>
      </c>
      <c r="AH32" s="49" t="str">
        <f>IF(AG32="นิติศาสตร์","K5-LAW","K5-POLICY")</f>
        <v>K5-LAW</v>
      </c>
      <c r="AI32" s="72" t="str">
        <f>_xlfn.IFS(B32="","",AND(AH32="K5-LAW",AG32="นิติศาสตร์",K32="S2",T32="",Z32=""),P32,AND(AH32="K5-LAW",AG32="นิติศาสตร์",K32="S1",T32="",Z32=""),EDATE(P32,12),AND(AH32="K5-LAW",AG32="นิติศาสตร์",OR(K32="M2",K32="K4"),T32="",Z32=""),EDATE(P32,12*2),AND(AH32="K5-LAW",AG32="นิติศาสตร์",OR(Z32="M2",Z32="K4"),AC32&gt;=2,OR(AB32&lt;V32,AB32&lt;P32)),EDATE(AB32,12*2),AND(AH32="K5-LAW",AG32="นิติศาสตร์",Z32="S1",AC32&gt;=1,OR(AB32&lt;V32,AB32&lt;P32)),EDATE(AB32,12),AND(AH32="K5-LAW",AG32="นิติศาสตร์",OR(T32="M2",T32="K4"),W32&gt;=2,V32&lt;P32),EDATE(V32,12*2),AND(AH32="K5-LAW",AG32="นิติศาสตร์",T32="S1",W32&gt;=1,V32&lt;P32),EDATE(V32,12),AND(AH32="K5-LAW",AG32="นิติศาสตร์",OR(T32="S2",T32="K5")),V32,AND(AH32="K5-LAW",AG32="นิติศาสตร์",OR(K32="M2",K32="K4"),Q32&gt;=2),EDATE(P32,12*2),AND(AH32="K5-LAW",AG32="นิติศาสตร์",K32="S1",Q32&gt;=1),EDATE(P32,12),AND(AH32="K5-LAW",AG32="นิติศาสตร์",OR(K32="S2",K32="K5")),P32,AND(AH32="K5-POLICY",AG32&lt;&gt;"นิติศาสตร์",K32="S2",T32="",Z32=""),P32,AND(AH32="K5-POLICY",AG32&lt;&gt;"นิติศาสตร์",K32="S1",T32="",Z32=""),EDATE(P32,12),AND(AH32="K5-POLICY",AG32&lt;&gt;"นิติศาสตร์",OR(K32="M2",K32="K4"),T32="",Z32=""),EDATE(P32,12*2),AND(AH32="K5-POLICY",AG32&lt;&gt;"นิติศาสตร์",OR(Z32="M2",Z32="K4"),AC32&gt;=2,OR(AB32&lt;V32,AB32&lt;P32)),EDATE(AB32,12*2),AND(AH32="K5-POLICY",AG32&lt;&gt;"นิติศาสตร์",Z32="S1",AC32&gt;=1,OR(AB32&lt;V32,AB32&lt;P32)),EDATE(AB32,12),AND(AH32="K5-POLICY",AG32&lt;&gt;"นิติศาสตร์",OR(T32="M2",T32="K4"),W32&gt;=2,V32&lt;P32),EDATE(V32,12*2),AND(AH32="K5-POLICY",AG32&lt;&gt;"นิติศาสตร์",T32="S1",W32&gt;=1,V32&lt;P32),EDATE(V32,12),AND(AH32="K5-POLICY",AG32&lt;&gt;"นิติศาสตร์",OR(T32="S2",T32="K5")),V32,AND(AH32="K5-POLICY",AG32&lt;&gt;"นิติศาสตร์",OR(K32="M2",K32="K4"),Q32&gt;=2),EDATE(P32,12*2),AND(AH32="K5-POLICY",AG32&lt;&gt;"นิติศาสตร์",K32="S1",Q32&gt;=1),EDATE(P32,12),AND(AH32="K5-POLICY",AG32&lt;&gt;"นิติศาสตร์",OR(K32="S2",K32="K5")),P32,TRUE,"Check Data")</f>
        <v/>
      </c>
      <c r="AJ32" s="75" t="str">
        <f t="shared" si="13"/>
        <v>Check Data</v>
      </c>
      <c r="AK32" s="76" t="str">
        <f t="shared" si="14"/>
        <v>Check Data</v>
      </c>
      <c r="AL32" s="50" t="str">
        <f t="shared" si="15"/>
        <v>Check Data</v>
      </c>
      <c r="AM32" s="49" t="str">
        <f>IF(B32="","",IF(K32="S1","S1",INDEX(#REF!,#REF!)))</f>
        <v/>
      </c>
      <c r="AN32" s="49" t="str">
        <f>K32</f>
        <v>M2</v>
      </c>
      <c r="AO32" s="50" t="b">
        <f>K32=AM32</f>
        <v>0</v>
      </c>
      <c r="AP32" s="50"/>
    </row>
    <row r="33" spans="1:42" ht="21.75">
      <c r="A33" s="49">
        <v>31</v>
      </c>
      <c r="B33" s="50"/>
      <c r="C33" s="50"/>
      <c r="D33" s="50" t="s">
        <v>139</v>
      </c>
      <c r="E33" s="49" t="s">
        <v>208</v>
      </c>
      <c r="F33" s="49" t="str">
        <f t="shared" si="0"/>
        <v>01/02/1990</v>
      </c>
      <c r="G33" s="50">
        <f t="shared" si="1"/>
        <v>35</v>
      </c>
      <c r="H33" s="50">
        <f t="shared" si="2"/>
        <v>4</v>
      </c>
      <c r="I33" s="50">
        <f t="shared" si="3"/>
        <v>19</v>
      </c>
      <c r="J33" s="56"/>
      <c r="K33" s="49" t="s">
        <v>136</v>
      </c>
      <c r="L33" s="64"/>
      <c r="M33" s="49" t="s">
        <v>425</v>
      </c>
      <c r="N33" s="49">
        <v>2569</v>
      </c>
      <c r="O33" s="65" t="s">
        <v>209</v>
      </c>
      <c r="P33" s="49" t="str">
        <f t="shared" si="4"/>
        <v>19/12/2016</v>
      </c>
      <c r="Q33" s="68">
        <f t="shared" si="5"/>
        <v>8</v>
      </c>
      <c r="R33" s="68">
        <f t="shared" si="6"/>
        <v>6</v>
      </c>
      <c r="S33" s="68">
        <f t="shared" si="7"/>
        <v>1</v>
      </c>
      <c r="T33" s="65"/>
      <c r="U33" s="65"/>
      <c r="V33" s="49" t="str">
        <f t="shared" si="8"/>
        <v/>
      </c>
      <c r="W33" s="68">
        <f>IF(V33="",0,DATEDIF(V33,P33,"Y"))</f>
        <v>0</v>
      </c>
      <c r="X33" s="68">
        <f>IF(V33="",0,DATEDIF(V33,P33,"YM"))</f>
        <v>0</v>
      </c>
      <c r="Y33" s="68">
        <f>IF(V33="",0,DATEDIF(V33,P33,"MD"))</f>
        <v>0</v>
      </c>
      <c r="Z33" s="49"/>
      <c r="AA33" s="65"/>
      <c r="AB33" s="50" t="str">
        <f t="shared" si="9"/>
        <v/>
      </c>
      <c r="AC33" s="68">
        <f t="shared" si="10"/>
        <v>0</v>
      </c>
      <c r="AD33" s="68">
        <f t="shared" si="11"/>
        <v>0</v>
      </c>
      <c r="AE33" s="68">
        <f t="shared" si="12"/>
        <v>0</v>
      </c>
      <c r="AF33" s="50"/>
      <c r="AG33" s="50" t="s">
        <v>165</v>
      </c>
      <c r="AH33" s="49" t="str">
        <f>IF(AG33="นิติศาสตร์","K5-LAW","K5-POLICY")</f>
        <v>K5-POLICY</v>
      </c>
      <c r="AI33" s="72" t="str">
        <f>_xlfn.IFS(B33="","",AND(AH33="K5-LAW",AG33="นิติศาสตร์",K33="S2",T33="",Z33=""),P33,AND(AH33="K5-LAW",AG33="นิติศาสตร์",K33="S1",T33="",Z33=""),EDATE(P33,12),AND(AH33="K5-LAW",AG33="นิติศาสตร์",OR(K33="M2",K33="K4"),T33="",Z33=""),EDATE(P33,12*2),AND(AH33="K5-LAW",AG33="นิติศาสตร์",OR(Z33="M2",Z33="K4"),AC33&gt;=2,OR(AB33&lt;V33,AB33&lt;P33)),EDATE(AB33,12*2),AND(AH33="K5-LAW",AG33="นิติศาสตร์",Z33="S1",AC33&gt;=1,OR(AB33&lt;V33,AB33&lt;P33)),EDATE(AB33,12),AND(AH33="K5-LAW",AG33="นิติศาสตร์",OR(T33="M2",T33="K4"),W33&gt;=2,V33&lt;P33),EDATE(V33,12*2),AND(AH33="K5-LAW",AG33="นิติศาสตร์",T33="S1",W33&gt;=1,V33&lt;P33),EDATE(V33,12),AND(AH33="K5-LAW",AG33="นิติศาสตร์",OR(T33="S2",T33="K5")),V33,AND(AH33="K5-LAW",AG33="นิติศาสตร์",OR(K33="M2",K33="K4"),Q33&gt;=2),EDATE(P33,12*2),AND(AH33="K5-LAW",AG33="นิติศาสตร์",K33="S1",Q33&gt;=1),EDATE(P33,12),AND(AH33="K5-LAW",AG33="นิติศาสตร์",OR(K33="S2",K33="K5")),P33,AND(AH33="K5-POLICY",AG33&lt;&gt;"นิติศาสตร์",K33="S2",T33="",Z33=""),P33,AND(AH33="K5-POLICY",AG33&lt;&gt;"นิติศาสตร์",K33="S1",T33="",Z33=""),EDATE(P33,12),AND(AH33="K5-POLICY",AG33&lt;&gt;"นิติศาสตร์",OR(K33="M2",K33="K4"),T33="",Z33=""),EDATE(P33,12*2),AND(AH33="K5-POLICY",AG33&lt;&gt;"นิติศาสตร์",OR(Z33="M2",Z33="K4"),AC33&gt;=2,OR(AB33&lt;V33,AB33&lt;P33)),EDATE(AB33,12*2),AND(AH33="K5-POLICY",AG33&lt;&gt;"นิติศาสตร์",Z33="S1",AC33&gt;=1,OR(AB33&lt;V33,AB33&lt;P33)),EDATE(AB33,12),AND(AH33="K5-POLICY",AG33&lt;&gt;"นิติศาสตร์",OR(T33="M2",T33="K4"),W33&gt;=2,V33&lt;P33),EDATE(V33,12*2),AND(AH33="K5-POLICY",AG33&lt;&gt;"นิติศาสตร์",T33="S1",W33&gt;=1,V33&lt;P33),EDATE(V33,12),AND(AH33="K5-POLICY",AG33&lt;&gt;"นิติศาสตร์",OR(T33="S2",T33="K5")),V33,AND(AH33="K5-POLICY",AG33&lt;&gt;"นิติศาสตร์",OR(K33="M2",K33="K4"),Q33&gt;=2),EDATE(P33,12*2),AND(AH33="K5-POLICY",AG33&lt;&gt;"นิติศาสตร์",K33="S1",Q33&gt;=1),EDATE(P33,12),AND(AH33="K5-POLICY",AG33&lt;&gt;"นิติศาสตร์",OR(K33="S2",K33="K5")),P33,TRUE,"Check Data")</f>
        <v/>
      </c>
      <c r="AJ33" s="75" t="str">
        <f t="shared" si="13"/>
        <v>Check Data</v>
      </c>
      <c r="AK33" s="76" t="str">
        <f t="shared" si="14"/>
        <v>Check Data</v>
      </c>
      <c r="AL33" s="50" t="str">
        <f t="shared" si="15"/>
        <v>Check Data</v>
      </c>
      <c r="AM33" s="49" t="str">
        <f>IF(B33="","",IF(K33="S1","S1",INDEX(#REF!,#REF!)))</f>
        <v/>
      </c>
      <c r="AN33" s="49" t="str">
        <f>K33</f>
        <v>M2</v>
      </c>
      <c r="AO33" s="50" t="b">
        <f>K33=AM33</f>
        <v>0</v>
      </c>
      <c r="AP33" s="50"/>
    </row>
    <row r="34" spans="1:42" ht="21.75">
      <c r="A34" s="49">
        <v>32</v>
      </c>
      <c r="B34" s="50"/>
      <c r="C34" s="50"/>
      <c r="D34" s="50" t="s">
        <v>139</v>
      </c>
      <c r="E34" s="49" t="s">
        <v>164</v>
      </c>
      <c r="F34" s="49" t="str">
        <f t="shared" si="0"/>
        <v>01/05/1990</v>
      </c>
      <c r="G34" s="50">
        <f t="shared" si="1"/>
        <v>35</v>
      </c>
      <c r="H34" s="50">
        <f t="shared" si="2"/>
        <v>1</v>
      </c>
      <c r="I34" s="50">
        <f t="shared" si="3"/>
        <v>19</v>
      </c>
      <c r="J34" s="56"/>
      <c r="K34" s="49" t="s">
        <v>136</v>
      </c>
      <c r="L34" s="64"/>
      <c r="M34" s="49" t="s">
        <v>425</v>
      </c>
      <c r="N34" s="49">
        <v>2570</v>
      </c>
      <c r="O34" s="65" t="s">
        <v>209</v>
      </c>
      <c r="P34" s="49" t="str">
        <f t="shared" si="4"/>
        <v>19/12/2016</v>
      </c>
      <c r="Q34" s="68">
        <f t="shared" si="5"/>
        <v>8</v>
      </c>
      <c r="R34" s="68">
        <f t="shared" si="6"/>
        <v>6</v>
      </c>
      <c r="S34" s="68">
        <f t="shared" si="7"/>
        <v>1</v>
      </c>
      <c r="T34" s="65"/>
      <c r="U34" s="65"/>
      <c r="V34" s="49" t="str">
        <f t="shared" si="8"/>
        <v/>
      </c>
      <c r="W34" s="68">
        <f>IF(V34="",0,DATEDIF(V34,P34,"Y"))</f>
        <v>0</v>
      </c>
      <c r="X34" s="68">
        <f>IF(V34="",0,DATEDIF(V34,P34,"YM"))</f>
        <v>0</v>
      </c>
      <c r="Y34" s="68">
        <f>IF(V34="",0,DATEDIF(V34,P34,"MD"))</f>
        <v>0</v>
      </c>
      <c r="Z34" s="49"/>
      <c r="AA34" s="65"/>
      <c r="AB34" s="50" t="str">
        <f t="shared" si="9"/>
        <v/>
      </c>
      <c r="AC34" s="68">
        <f t="shared" si="10"/>
        <v>0</v>
      </c>
      <c r="AD34" s="68">
        <f t="shared" si="11"/>
        <v>0</v>
      </c>
      <c r="AE34" s="68">
        <f t="shared" si="12"/>
        <v>0</v>
      </c>
      <c r="AF34" s="50"/>
      <c r="AG34" s="50" t="s">
        <v>178</v>
      </c>
      <c r="AH34" s="49" t="str">
        <f>IF(AG34="นิติศาสตร์","K5-LAW","K5-POLICY")</f>
        <v>K5-POLICY</v>
      </c>
      <c r="AI34" s="72" t="str">
        <f>_xlfn.IFS(B34="","",AND(AH34="K5-LAW",AG34="นิติศาสตร์",K34="S2",T34="",Z34=""),P34,AND(AH34="K5-LAW",AG34="นิติศาสตร์",K34="S1",T34="",Z34=""),EDATE(P34,12),AND(AH34="K5-LAW",AG34="นิติศาสตร์",OR(K34="M2",K34="K4"),T34="",Z34=""),EDATE(P34,12*2),AND(AH34="K5-LAW",AG34="นิติศาสตร์",OR(Z34="M2",Z34="K4"),AC34&gt;=2,OR(AB34&lt;V34,AB34&lt;P34)),EDATE(AB34,12*2),AND(AH34="K5-LAW",AG34="นิติศาสตร์",Z34="S1",AC34&gt;=1,OR(AB34&lt;V34,AB34&lt;P34)),EDATE(AB34,12),AND(AH34="K5-LAW",AG34="นิติศาสตร์",OR(T34="M2",T34="K4"),W34&gt;=2,V34&lt;P34),EDATE(V34,12*2),AND(AH34="K5-LAW",AG34="นิติศาสตร์",T34="S1",W34&gt;=1,V34&lt;P34),EDATE(V34,12),AND(AH34="K5-LAW",AG34="นิติศาสตร์",OR(T34="S2",T34="K5")),V34,AND(AH34="K5-LAW",AG34="นิติศาสตร์",OR(K34="M2",K34="K4"),Q34&gt;=2),EDATE(P34,12*2),AND(AH34="K5-LAW",AG34="นิติศาสตร์",K34="S1",Q34&gt;=1),EDATE(P34,12),AND(AH34="K5-LAW",AG34="นิติศาสตร์",OR(K34="S2",K34="K5")),P34,AND(AH34="K5-POLICY",AG34&lt;&gt;"นิติศาสตร์",K34="S2",T34="",Z34=""),P34,AND(AH34="K5-POLICY",AG34&lt;&gt;"นิติศาสตร์",K34="S1",T34="",Z34=""),EDATE(P34,12),AND(AH34="K5-POLICY",AG34&lt;&gt;"นิติศาสตร์",OR(K34="M2",K34="K4"),T34="",Z34=""),EDATE(P34,12*2),AND(AH34="K5-POLICY",AG34&lt;&gt;"นิติศาสตร์",OR(Z34="M2",Z34="K4"),AC34&gt;=2,OR(AB34&lt;V34,AB34&lt;P34)),EDATE(AB34,12*2),AND(AH34="K5-POLICY",AG34&lt;&gt;"นิติศาสตร์",Z34="S1",AC34&gt;=1,OR(AB34&lt;V34,AB34&lt;P34)),EDATE(AB34,12),AND(AH34="K5-POLICY",AG34&lt;&gt;"นิติศาสตร์",OR(T34="M2",T34="K4"),W34&gt;=2,V34&lt;P34),EDATE(V34,12*2),AND(AH34="K5-POLICY",AG34&lt;&gt;"นิติศาสตร์",T34="S1",W34&gt;=1,V34&lt;P34),EDATE(V34,12),AND(AH34="K5-POLICY",AG34&lt;&gt;"นิติศาสตร์",OR(T34="S2",T34="K5")),V34,AND(AH34="K5-POLICY",AG34&lt;&gt;"นิติศาสตร์",OR(K34="M2",K34="K4"),Q34&gt;=2),EDATE(P34,12*2),AND(AH34="K5-POLICY",AG34&lt;&gt;"นิติศาสตร์",K34="S1",Q34&gt;=1),EDATE(P34,12),AND(AH34="K5-POLICY",AG34&lt;&gt;"นิติศาสตร์",OR(K34="S2",K34="K5")),P34,TRUE,"Check Data")</f>
        <v/>
      </c>
      <c r="AJ34" s="75" t="str">
        <f t="shared" si="13"/>
        <v>Check Data</v>
      </c>
      <c r="AK34" s="76" t="str">
        <f t="shared" si="14"/>
        <v>Check Data</v>
      </c>
      <c r="AL34" s="50" t="str">
        <f t="shared" si="15"/>
        <v>Check Data</v>
      </c>
      <c r="AM34" s="49" t="str">
        <f>IF(B34="","",IF(K34="S1","S1",INDEX(#REF!,#REF!)))</f>
        <v/>
      </c>
      <c r="AN34" s="49" t="str">
        <f>K34</f>
        <v>M2</v>
      </c>
      <c r="AO34" s="50" t="b">
        <f>K34=AM34</f>
        <v>0</v>
      </c>
      <c r="AP34" s="50"/>
    </row>
    <row r="35" spans="1:42" ht="21.75">
      <c r="A35" s="49">
        <v>33</v>
      </c>
      <c r="B35" s="50"/>
      <c r="C35" s="50"/>
      <c r="D35" s="50" t="s">
        <v>142</v>
      </c>
      <c r="E35" s="49" t="s">
        <v>271</v>
      </c>
      <c r="F35" s="49" t="str">
        <f t="shared" si="0"/>
        <v>10/05/1999</v>
      </c>
      <c r="G35" s="50">
        <f t="shared" si="1"/>
        <v>26</v>
      </c>
      <c r="H35" s="50">
        <f t="shared" si="2"/>
        <v>1</v>
      </c>
      <c r="I35" s="50">
        <f t="shared" si="3"/>
        <v>10</v>
      </c>
      <c r="J35" s="58"/>
      <c r="K35" s="49" t="s">
        <v>136</v>
      </c>
      <c r="L35" s="64"/>
      <c r="M35" s="49" t="s">
        <v>425</v>
      </c>
      <c r="N35" s="49">
        <v>2573</v>
      </c>
      <c r="O35" s="65" t="s">
        <v>272</v>
      </c>
      <c r="P35" s="49" t="str">
        <f t="shared" si="4"/>
        <v>03/07/2017</v>
      </c>
      <c r="Q35" s="68">
        <f t="shared" si="5"/>
        <v>7</v>
      </c>
      <c r="R35" s="68">
        <f t="shared" si="6"/>
        <v>11</v>
      </c>
      <c r="S35" s="68">
        <f t="shared" si="7"/>
        <v>17</v>
      </c>
      <c r="T35" s="65"/>
      <c r="U35" s="65"/>
      <c r="V35" s="49" t="str">
        <f t="shared" si="8"/>
        <v/>
      </c>
      <c r="W35" s="68">
        <f>IF(V35="",0,DATEDIF(V35,P35,"Y"))</f>
        <v>0</v>
      </c>
      <c r="X35" s="68">
        <f>IF(V35="",0,DATEDIF(V35,P35,"YM"))</f>
        <v>0</v>
      </c>
      <c r="Y35" s="68">
        <f>IF(V35="",0,DATEDIF(V35,P35,"MD"))</f>
        <v>0</v>
      </c>
      <c r="Z35" s="49"/>
      <c r="AA35" s="65"/>
      <c r="AB35" s="50" t="str">
        <f t="shared" si="9"/>
        <v/>
      </c>
      <c r="AC35" s="68">
        <f t="shared" si="10"/>
        <v>0</v>
      </c>
      <c r="AD35" s="68">
        <f t="shared" si="11"/>
        <v>0</v>
      </c>
      <c r="AE35" s="68">
        <f t="shared" si="12"/>
        <v>0</v>
      </c>
      <c r="AF35" s="50"/>
      <c r="AG35" s="50" t="s">
        <v>510</v>
      </c>
      <c r="AH35" s="49" t="str">
        <f>IF(AG35="นิติศาสตร์","K5-LAW","K5-POLICY")</f>
        <v>K5-POLICY</v>
      </c>
      <c r="AI35" s="72" t="str">
        <f>_xlfn.IFS(B35="","",AND(AH35="K5-LAW",AG35="นิติศาสตร์",K35="S2",T35="",Z35=""),P35,AND(AH35="K5-LAW",AG35="นิติศาสตร์",K35="S1",T35="",Z35=""),EDATE(P35,12),AND(AH35="K5-LAW",AG35="นิติศาสตร์",OR(K35="M2",K35="K4"),T35="",Z35=""),EDATE(P35,12*2),AND(AH35="K5-LAW",AG35="นิติศาสตร์",OR(Z35="M2",Z35="K4"),AC35&gt;=2,OR(AB35&lt;V35,AB35&lt;P35)),EDATE(AB35,12*2),AND(AH35="K5-LAW",AG35="นิติศาสตร์",Z35="S1",AC35&gt;=1,OR(AB35&lt;V35,AB35&lt;P35)),EDATE(AB35,12),AND(AH35="K5-LAW",AG35="นิติศาสตร์",OR(T35="M2",T35="K4"),W35&gt;=2,V35&lt;P35),EDATE(V35,12*2),AND(AH35="K5-LAW",AG35="นิติศาสตร์",T35="S1",W35&gt;=1,V35&lt;P35),EDATE(V35,12),AND(AH35="K5-LAW",AG35="นิติศาสตร์",OR(T35="S2",T35="K5")),V35,AND(AH35="K5-LAW",AG35="นิติศาสตร์",OR(K35="M2",K35="K4"),Q35&gt;=2),EDATE(P35,12*2),AND(AH35="K5-LAW",AG35="นิติศาสตร์",K35="S1",Q35&gt;=1),EDATE(P35,12),AND(AH35="K5-LAW",AG35="นิติศาสตร์",OR(K35="S2",K35="K5")),P35,AND(AH35="K5-POLICY",AG35&lt;&gt;"นิติศาสตร์",K35="S2",T35="",Z35=""),P35,AND(AH35="K5-POLICY",AG35&lt;&gt;"นิติศาสตร์",K35="S1",T35="",Z35=""),EDATE(P35,12),AND(AH35="K5-POLICY",AG35&lt;&gt;"นิติศาสตร์",OR(K35="M2",K35="K4"),T35="",Z35=""),EDATE(P35,12*2),AND(AH35="K5-POLICY",AG35&lt;&gt;"นิติศาสตร์",OR(Z35="M2",Z35="K4"),AC35&gt;=2,OR(AB35&lt;V35,AB35&lt;P35)),EDATE(AB35,12*2),AND(AH35="K5-POLICY",AG35&lt;&gt;"นิติศาสตร์",Z35="S1",AC35&gt;=1,OR(AB35&lt;V35,AB35&lt;P35)),EDATE(AB35,12),AND(AH35="K5-POLICY",AG35&lt;&gt;"นิติศาสตร์",OR(T35="M2",T35="K4"),W35&gt;=2,V35&lt;P35),EDATE(V35,12*2),AND(AH35="K5-POLICY",AG35&lt;&gt;"นิติศาสตร์",T35="S1",W35&gt;=1,V35&lt;P35),EDATE(V35,12),AND(AH35="K5-POLICY",AG35&lt;&gt;"นิติศาสตร์",OR(T35="S2",T35="K5")),V35,AND(AH35="K5-POLICY",AG35&lt;&gt;"นิติศาสตร์",OR(K35="M2",K35="K4"),Q35&gt;=2),EDATE(P35,12*2),AND(AH35="K5-POLICY",AG35&lt;&gt;"นิติศาสตร์",K35="S1",Q35&gt;=1),EDATE(P35,12),AND(AH35="K5-POLICY",AG35&lt;&gt;"นิติศาสตร์",OR(K35="S2",K35="K5")),P35,TRUE,"Check Data")</f>
        <v/>
      </c>
      <c r="AJ35" s="75" t="str">
        <f t="shared" si="13"/>
        <v>Check Data</v>
      </c>
      <c r="AK35" s="76" t="str">
        <f t="shared" si="14"/>
        <v>Check Data</v>
      </c>
      <c r="AL35" s="50" t="str">
        <f t="shared" si="15"/>
        <v>Check Data</v>
      </c>
      <c r="AM35" s="49" t="str">
        <f>IF(B35="","",IF(K35="S1","S1",INDEX(#REF!,#REF!)))</f>
        <v/>
      </c>
      <c r="AN35" s="49" t="str">
        <f>K35</f>
        <v>M2</v>
      </c>
      <c r="AO35" s="50" t="b">
        <f>K35=AM35</f>
        <v>0</v>
      </c>
      <c r="AP35" s="50"/>
    </row>
    <row r="36" spans="1:42" ht="21.75">
      <c r="A36" s="49">
        <v>34</v>
      </c>
      <c r="B36" s="50"/>
      <c r="C36" s="50"/>
      <c r="D36" s="50" t="s">
        <v>143</v>
      </c>
      <c r="E36" s="49" t="s">
        <v>328</v>
      </c>
      <c r="F36" s="49" t="str">
        <f t="shared" si="0"/>
        <v>03/06/1991</v>
      </c>
      <c r="G36" s="50">
        <f t="shared" si="1"/>
        <v>34</v>
      </c>
      <c r="H36" s="50">
        <f t="shared" si="2"/>
        <v>0</v>
      </c>
      <c r="I36" s="50">
        <f t="shared" si="3"/>
        <v>17</v>
      </c>
      <c r="J36" s="59"/>
      <c r="K36" s="49" t="s">
        <v>136</v>
      </c>
      <c r="L36" s="64"/>
      <c r="M36" s="49" t="s">
        <v>425</v>
      </c>
      <c r="N36" s="49">
        <v>2569</v>
      </c>
      <c r="O36" s="65" t="s">
        <v>435</v>
      </c>
      <c r="P36" s="49" t="str">
        <f t="shared" si="4"/>
        <v>11/09/2017</v>
      </c>
      <c r="Q36" s="68">
        <f t="shared" si="5"/>
        <v>7</v>
      </c>
      <c r="R36" s="68">
        <f t="shared" si="6"/>
        <v>9</v>
      </c>
      <c r="S36" s="68">
        <f t="shared" si="7"/>
        <v>9</v>
      </c>
      <c r="T36" s="65"/>
      <c r="U36" s="65"/>
      <c r="V36" s="49" t="str">
        <f t="shared" si="8"/>
        <v/>
      </c>
      <c r="W36" s="68">
        <f>IF(V36="",0,DATEDIF(V36,P36,"Y"))</f>
        <v>0</v>
      </c>
      <c r="X36" s="68">
        <f>IF(V36="",0,DATEDIF(V36,P36,"YM"))</f>
        <v>0</v>
      </c>
      <c r="Y36" s="68">
        <f>IF(V36="",0,DATEDIF(V36,P36,"MD"))</f>
        <v>0</v>
      </c>
      <c r="Z36" s="49"/>
      <c r="AA36" s="65"/>
      <c r="AB36" s="50" t="str">
        <f t="shared" si="9"/>
        <v/>
      </c>
      <c r="AC36" s="68">
        <f t="shared" si="10"/>
        <v>0</v>
      </c>
      <c r="AD36" s="68">
        <f t="shared" si="11"/>
        <v>0</v>
      </c>
      <c r="AE36" s="68">
        <f t="shared" si="12"/>
        <v>0</v>
      </c>
      <c r="AF36" s="50"/>
      <c r="AG36" s="50" t="s">
        <v>329</v>
      </c>
      <c r="AH36" s="49" t="str">
        <f>IF(AG36="นิติศาสตร์","K5-LAW","K5-POLICY")</f>
        <v>K5-POLICY</v>
      </c>
      <c r="AI36" s="72" t="str">
        <f>_xlfn.IFS(B36="","",AND(AH36="K5-LAW",AG36="นิติศาสตร์",K36="S2",T36="",Z36=""),P36,AND(AH36="K5-LAW",AG36="นิติศาสตร์",K36="S1",T36="",Z36=""),EDATE(P36,12),AND(AH36="K5-LAW",AG36="นิติศาสตร์",OR(K36="M2",K36="K4"),T36="",Z36=""),EDATE(P36,12*2),AND(AH36="K5-LAW",AG36="นิติศาสตร์",OR(Z36="M2",Z36="K4"),AC36&gt;=2,OR(AB36&lt;V36,AB36&lt;P36)),EDATE(AB36,12*2),AND(AH36="K5-LAW",AG36="นิติศาสตร์",Z36="S1",AC36&gt;=1,OR(AB36&lt;V36,AB36&lt;P36)),EDATE(AB36,12),AND(AH36="K5-LAW",AG36="นิติศาสตร์",OR(T36="M2",T36="K4"),W36&gt;=2,V36&lt;P36),EDATE(V36,12*2),AND(AH36="K5-LAW",AG36="นิติศาสตร์",T36="S1",W36&gt;=1,V36&lt;P36),EDATE(V36,12),AND(AH36="K5-LAW",AG36="นิติศาสตร์",OR(T36="S2",T36="K5")),V36,AND(AH36="K5-LAW",AG36="นิติศาสตร์",OR(K36="M2",K36="K4"),Q36&gt;=2),EDATE(P36,12*2),AND(AH36="K5-LAW",AG36="นิติศาสตร์",K36="S1",Q36&gt;=1),EDATE(P36,12),AND(AH36="K5-LAW",AG36="นิติศาสตร์",OR(K36="S2",K36="K5")),P36,AND(AH36="K5-POLICY",AG36&lt;&gt;"นิติศาสตร์",K36="S2",T36="",Z36=""),P36,AND(AH36="K5-POLICY",AG36&lt;&gt;"นิติศาสตร์",K36="S1",T36="",Z36=""),EDATE(P36,12),AND(AH36="K5-POLICY",AG36&lt;&gt;"นิติศาสตร์",OR(K36="M2",K36="K4"),T36="",Z36=""),EDATE(P36,12*2),AND(AH36="K5-POLICY",AG36&lt;&gt;"นิติศาสตร์",OR(Z36="M2",Z36="K4"),AC36&gt;=2,OR(AB36&lt;V36,AB36&lt;P36)),EDATE(AB36,12*2),AND(AH36="K5-POLICY",AG36&lt;&gt;"นิติศาสตร์",Z36="S1",AC36&gt;=1,OR(AB36&lt;V36,AB36&lt;P36)),EDATE(AB36,12),AND(AH36="K5-POLICY",AG36&lt;&gt;"นิติศาสตร์",OR(T36="M2",T36="K4"),W36&gt;=2,V36&lt;P36),EDATE(V36,12*2),AND(AH36="K5-POLICY",AG36&lt;&gt;"นิติศาสตร์",T36="S1",W36&gt;=1,V36&lt;P36),EDATE(V36,12),AND(AH36="K5-POLICY",AG36&lt;&gt;"นิติศาสตร์",OR(T36="S2",T36="K5")),V36,AND(AH36="K5-POLICY",AG36&lt;&gt;"นิติศาสตร์",OR(K36="M2",K36="K4"),Q36&gt;=2),EDATE(P36,12*2),AND(AH36="K5-POLICY",AG36&lt;&gt;"นิติศาสตร์",K36="S1",Q36&gt;=1),EDATE(P36,12),AND(AH36="K5-POLICY",AG36&lt;&gt;"นิติศาสตร์",OR(K36="S2",K36="K5")),P36,TRUE,"Check Data")</f>
        <v/>
      </c>
      <c r="AJ36" s="75" t="str">
        <f t="shared" si="13"/>
        <v>Check Data</v>
      </c>
      <c r="AK36" s="76" t="str">
        <f t="shared" si="14"/>
        <v>Check Data</v>
      </c>
      <c r="AL36" s="50" t="str">
        <f t="shared" si="15"/>
        <v>Check Data</v>
      </c>
      <c r="AM36" s="49" t="str">
        <f>IF(B36="","",IF(K36="S1","S1",INDEX(#REF!,#REF!)))</f>
        <v/>
      </c>
      <c r="AN36" s="49" t="str">
        <f>K36</f>
        <v>M2</v>
      </c>
      <c r="AO36" s="50" t="b">
        <f>K36=AM36</f>
        <v>0</v>
      </c>
      <c r="AP36" s="50"/>
    </row>
    <row r="37" spans="1:42" ht="21.75">
      <c r="A37" s="49">
        <v>35</v>
      </c>
      <c r="B37" s="50"/>
      <c r="C37" s="50"/>
      <c r="D37" s="50" t="s">
        <v>143</v>
      </c>
      <c r="E37" s="49" t="s">
        <v>208</v>
      </c>
      <c r="F37" s="49" t="str">
        <f t="shared" si="0"/>
        <v>01/02/1990</v>
      </c>
      <c r="G37" s="50">
        <f t="shared" si="1"/>
        <v>35</v>
      </c>
      <c r="H37" s="50">
        <f t="shared" si="2"/>
        <v>4</v>
      </c>
      <c r="I37" s="50">
        <f t="shared" si="3"/>
        <v>19</v>
      </c>
      <c r="J37" s="59"/>
      <c r="K37" s="49" t="s">
        <v>136</v>
      </c>
      <c r="L37" s="64"/>
      <c r="M37" s="49" t="s">
        <v>425</v>
      </c>
      <c r="N37" s="49">
        <v>2569</v>
      </c>
      <c r="O37" s="65" t="s">
        <v>308</v>
      </c>
      <c r="P37" s="49" t="str">
        <f t="shared" si="4"/>
        <v>16/01/2018</v>
      </c>
      <c r="Q37" s="68">
        <f t="shared" si="5"/>
        <v>7</v>
      </c>
      <c r="R37" s="68">
        <f t="shared" si="6"/>
        <v>5</v>
      </c>
      <c r="S37" s="68">
        <f t="shared" si="7"/>
        <v>4</v>
      </c>
      <c r="T37" s="65"/>
      <c r="U37" s="65"/>
      <c r="V37" s="49" t="str">
        <f t="shared" si="8"/>
        <v/>
      </c>
      <c r="W37" s="68">
        <f>IF(V37="",0,DATEDIF(V37,P37,"Y"))</f>
        <v>0</v>
      </c>
      <c r="X37" s="68">
        <f>IF(V37="",0,DATEDIF(V37,P37,"YM"))</f>
        <v>0</v>
      </c>
      <c r="Y37" s="68">
        <f>IF(V37="",0,DATEDIF(V37,P37,"MD"))</f>
        <v>0</v>
      </c>
      <c r="Z37" s="49"/>
      <c r="AA37" s="65"/>
      <c r="AB37" s="50" t="str">
        <f t="shared" si="9"/>
        <v/>
      </c>
      <c r="AC37" s="68">
        <f t="shared" si="10"/>
        <v>0</v>
      </c>
      <c r="AD37" s="68">
        <f t="shared" si="11"/>
        <v>0</v>
      </c>
      <c r="AE37" s="68">
        <f t="shared" si="12"/>
        <v>0</v>
      </c>
      <c r="AF37" s="50"/>
      <c r="AG37" s="50" t="s">
        <v>269</v>
      </c>
      <c r="AH37" s="49" t="str">
        <f>IF(AG37="นิติศาสตร์","K5-LAW","K5-POLICY")</f>
        <v>K5-POLICY</v>
      </c>
      <c r="AI37" s="72" t="str">
        <f>_xlfn.IFS(B37="","",AND(AH37="K5-LAW",AG37="นิติศาสตร์",K37="S2",T37="",Z37=""),P37,AND(AH37="K5-LAW",AG37="นิติศาสตร์",K37="S1",T37="",Z37=""),EDATE(P37,12),AND(AH37="K5-LAW",AG37="นิติศาสตร์",OR(K37="M2",K37="K4"),T37="",Z37=""),EDATE(P37,12*2),AND(AH37="K5-LAW",AG37="นิติศาสตร์",OR(Z37="M2",Z37="K4"),AC37&gt;=2,OR(AB37&lt;V37,AB37&lt;P37)),EDATE(AB37,12*2),AND(AH37="K5-LAW",AG37="นิติศาสตร์",Z37="S1",AC37&gt;=1,OR(AB37&lt;V37,AB37&lt;P37)),EDATE(AB37,12),AND(AH37="K5-LAW",AG37="นิติศาสตร์",OR(T37="M2",T37="K4"),W37&gt;=2,V37&lt;P37),EDATE(V37,12*2),AND(AH37="K5-LAW",AG37="นิติศาสตร์",T37="S1",W37&gt;=1,V37&lt;P37),EDATE(V37,12),AND(AH37="K5-LAW",AG37="นิติศาสตร์",OR(T37="S2",T37="K5")),V37,AND(AH37="K5-LAW",AG37="นิติศาสตร์",OR(K37="M2",K37="K4"),Q37&gt;=2),EDATE(P37,12*2),AND(AH37="K5-LAW",AG37="นิติศาสตร์",K37="S1",Q37&gt;=1),EDATE(P37,12),AND(AH37="K5-LAW",AG37="นิติศาสตร์",OR(K37="S2",K37="K5")),P37,AND(AH37="K5-POLICY",AG37&lt;&gt;"นิติศาสตร์",K37="S2",T37="",Z37=""),P37,AND(AH37="K5-POLICY",AG37&lt;&gt;"นิติศาสตร์",K37="S1",T37="",Z37=""),EDATE(P37,12),AND(AH37="K5-POLICY",AG37&lt;&gt;"นิติศาสตร์",OR(K37="M2",K37="K4"),T37="",Z37=""),EDATE(P37,12*2),AND(AH37="K5-POLICY",AG37&lt;&gt;"นิติศาสตร์",OR(Z37="M2",Z37="K4"),AC37&gt;=2,OR(AB37&lt;V37,AB37&lt;P37)),EDATE(AB37,12*2),AND(AH37="K5-POLICY",AG37&lt;&gt;"นิติศาสตร์",Z37="S1",AC37&gt;=1,OR(AB37&lt;V37,AB37&lt;P37)),EDATE(AB37,12),AND(AH37="K5-POLICY",AG37&lt;&gt;"นิติศาสตร์",OR(T37="M2",T37="K4"),W37&gt;=2,V37&lt;P37),EDATE(V37,12*2),AND(AH37="K5-POLICY",AG37&lt;&gt;"นิติศาสตร์",T37="S1",W37&gt;=1,V37&lt;P37),EDATE(V37,12),AND(AH37="K5-POLICY",AG37&lt;&gt;"นิติศาสตร์",OR(T37="S2",T37="K5")),V37,AND(AH37="K5-POLICY",AG37&lt;&gt;"นิติศาสตร์",OR(K37="M2",K37="K4"),Q37&gt;=2),EDATE(P37,12*2),AND(AH37="K5-POLICY",AG37&lt;&gt;"นิติศาสตร์",K37="S1",Q37&gt;=1),EDATE(P37,12),AND(AH37="K5-POLICY",AG37&lt;&gt;"นิติศาสตร์",OR(K37="S2",K37="K5")),P37,TRUE,"Check Data")</f>
        <v/>
      </c>
      <c r="AJ37" s="75" t="str">
        <f t="shared" si="13"/>
        <v>Check Data</v>
      </c>
      <c r="AK37" s="76" t="str">
        <f t="shared" si="14"/>
        <v>Check Data</v>
      </c>
      <c r="AL37" s="50" t="str">
        <f t="shared" si="15"/>
        <v>Check Data</v>
      </c>
      <c r="AM37" s="49" t="str">
        <f>IF(B37="","",IF(K37="S1","S1",INDEX(#REF!,#REF!)))</f>
        <v/>
      </c>
      <c r="AN37" s="49" t="str">
        <f>K37</f>
        <v>M2</v>
      </c>
      <c r="AO37" s="50" t="b">
        <f>K37=AM37</f>
        <v>0</v>
      </c>
      <c r="AP37" s="50"/>
    </row>
    <row r="38" spans="1:42" ht="21.75">
      <c r="A38" s="49">
        <v>36</v>
      </c>
      <c r="B38" s="50"/>
      <c r="C38" s="50"/>
      <c r="D38" s="50" t="s">
        <v>141</v>
      </c>
      <c r="E38" s="49" t="s">
        <v>243</v>
      </c>
      <c r="F38" s="49" t="str">
        <f t="shared" si="0"/>
        <v>03/01/1995</v>
      </c>
      <c r="G38" s="50">
        <f t="shared" si="1"/>
        <v>30</v>
      </c>
      <c r="H38" s="50">
        <f t="shared" si="2"/>
        <v>5</v>
      </c>
      <c r="I38" s="50">
        <f t="shared" si="3"/>
        <v>17</v>
      </c>
      <c r="J38" s="60"/>
      <c r="K38" s="49" t="s">
        <v>136</v>
      </c>
      <c r="L38" s="64"/>
      <c r="M38" s="49" t="s">
        <v>425</v>
      </c>
      <c r="N38" s="49">
        <v>2573</v>
      </c>
      <c r="O38" s="65" t="s">
        <v>242</v>
      </c>
      <c r="P38" s="49" t="str">
        <f t="shared" si="4"/>
        <v>20/04/2018</v>
      </c>
      <c r="Q38" s="68">
        <f t="shared" si="5"/>
        <v>7</v>
      </c>
      <c r="R38" s="68">
        <f t="shared" si="6"/>
        <v>2</v>
      </c>
      <c r="S38" s="68">
        <f t="shared" si="7"/>
        <v>0</v>
      </c>
      <c r="T38" s="65"/>
      <c r="U38" s="65"/>
      <c r="V38" s="49" t="str">
        <f t="shared" si="8"/>
        <v/>
      </c>
      <c r="W38" s="68">
        <f>IF(V38="",0,DATEDIF(V38,P38,"Y"))</f>
        <v>0</v>
      </c>
      <c r="X38" s="68">
        <f>IF(V38="",0,DATEDIF(V38,P38,"YM"))</f>
        <v>0</v>
      </c>
      <c r="Y38" s="68">
        <f>IF(V38="",0,DATEDIF(V38,P38,"MD"))</f>
        <v>0</v>
      </c>
      <c r="Z38" s="49"/>
      <c r="AA38" s="65"/>
      <c r="AB38" s="50" t="str">
        <f t="shared" si="9"/>
        <v/>
      </c>
      <c r="AC38" s="68">
        <f t="shared" si="10"/>
        <v>0</v>
      </c>
      <c r="AD38" s="68">
        <f t="shared" si="11"/>
        <v>0</v>
      </c>
      <c r="AE38" s="68">
        <f t="shared" si="12"/>
        <v>0</v>
      </c>
      <c r="AF38" s="50"/>
      <c r="AG38" s="50" t="s">
        <v>138</v>
      </c>
      <c r="AH38" s="49" t="str">
        <f>IF(AG38="นิติศาสตร์","K5-LAW","K5-POLICY")</f>
        <v>K5-LAW</v>
      </c>
      <c r="AI38" s="72" t="str">
        <f>_xlfn.IFS(B38="","",AND(AH38="K5-LAW",AG38="นิติศาสตร์",K38="S2",T38="",Z38=""),P38,AND(AH38="K5-LAW",AG38="นิติศาสตร์",K38="S1",T38="",Z38=""),EDATE(P38,12),AND(AH38="K5-LAW",AG38="นิติศาสตร์",OR(K38="M2",K38="K4"),T38="",Z38=""),EDATE(P38,12*2),AND(AH38="K5-LAW",AG38="นิติศาสตร์",OR(Z38="M2",Z38="K4"),AC38&gt;=2,OR(AB38&lt;V38,AB38&lt;P38)),EDATE(AB38,12*2),AND(AH38="K5-LAW",AG38="นิติศาสตร์",Z38="S1",AC38&gt;=1,OR(AB38&lt;V38,AB38&lt;P38)),EDATE(AB38,12),AND(AH38="K5-LAW",AG38="นิติศาสตร์",OR(T38="M2",T38="K4"),W38&gt;=2,V38&lt;P38),EDATE(V38,12*2),AND(AH38="K5-LAW",AG38="นิติศาสตร์",T38="S1",W38&gt;=1,V38&lt;P38),EDATE(V38,12),AND(AH38="K5-LAW",AG38="นิติศาสตร์",OR(T38="S2",T38="K5")),V38,AND(AH38="K5-LAW",AG38="นิติศาสตร์",OR(K38="M2",K38="K4"),Q38&gt;=2),EDATE(P38,12*2),AND(AH38="K5-LAW",AG38="นิติศาสตร์",K38="S1",Q38&gt;=1),EDATE(P38,12),AND(AH38="K5-LAW",AG38="นิติศาสตร์",OR(K38="S2",K38="K5")),P38,AND(AH38="K5-POLICY",AG38&lt;&gt;"นิติศาสตร์",K38="S2",T38="",Z38=""),P38,AND(AH38="K5-POLICY",AG38&lt;&gt;"นิติศาสตร์",K38="S1",T38="",Z38=""),EDATE(P38,12),AND(AH38="K5-POLICY",AG38&lt;&gt;"นิติศาสตร์",OR(K38="M2",K38="K4"),T38="",Z38=""),EDATE(P38,12*2),AND(AH38="K5-POLICY",AG38&lt;&gt;"นิติศาสตร์",OR(Z38="M2",Z38="K4"),AC38&gt;=2,OR(AB38&lt;V38,AB38&lt;P38)),EDATE(AB38,12*2),AND(AH38="K5-POLICY",AG38&lt;&gt;"นิติศาสตร์",Z38="S1",AC38&gt;=1,OR(AB38&lt;V38,AB38&lt;P38)),EDATE(AB38,12),AND(AH38="K5-POLICY",AG38&lt;&gt;"นิติศาสตร์",OR(T38="M2",T38="K4"),W38&gt;=2,V38&lt;P38),EDATE(V38,12*2),AND(AH38="K5-POLICY",AG38&lt;&gt;"นิติศาสตร์",T38="S1",W38&gt;=1,V38&lt;P38),EDATE(V38,12),AND(AH38="K5-POLICY",AG38&lt;&gt;"นิติศาสตร์",OR(T38="S2",T38="K5")),V38,AND(AH38="K5-POLICY",AG38&lt;&gt;"นิติศาสตร์",OR(K38="M2",K38="K4"),Q38&gt;=2),EDATE(P38,12*2),AND(AH38="K5-POLICY",AG38&lt;&gt;"นิติศาสตร์",K38="S1",Q38&gt;=1),EDATE(P38,12),AND(AH38="K5-POLICY",AG38&lt;&gt;"นิติศาสตร์",OR(K38="S2",K38="K5")),P38,TRUE,"Check Data")</f>
        <v/>
      </c>
      <c r="AJ38" s="75" t="str">
        <f t="shared" si="13"/>
        <v>Check Data</v>
      </c>
      <c r="AK38" s="76" t="str">
        <f t="shared" si="14"/>
        <v>Check Data</v>
      </c>
      <c r="AL38" s="50" t="str">
        <f t="shared" si="15"/>
        <v>Check Data</v>
      </c>
      <c r="AM38" s="49" t="str">
        <f>IF(B38="","",IF(K38="S1","S1",INDEX(#REF!,#REF!)))</f>
        <v/>
      </c>
      <c r="AN38" s="49" t="str">
        <f>K38</f>
        <v>M2</v>
      </c>
      <c r="AO38" s="50" t="b">
        <f>K38=AM38</f>
        <v>0</v>
      </c>
      <c r="AP38" s="50"/>
    </row>
    <row r="39" spans="1:42" ht="21.75">
      <c r="A39" s="49">
        <v>37</v>
      </c>
      <c r="B39" s="50"/>
      <c r="C39" s="50"/>
      <c r="D39" s="50" t="s">
        <v>139</v>
      </c>
      <c r="E39" s="49" t="s">
        <v>208</v>
      </c>
      <c r="F39" s="49" t="str">
        <f t="shared" si="0"/>
        <v>01/02/1990</v>
      </c>
      <c r="G39" s="50">
        <f t="shared" si="1"/>
        <v>35</v>
      </c>
      <c r="H39" s="50">
        <f t="shared" si="2"/>
        <v>4</v>
      </c>
      <c r="I39" s="50">
        <f t="shared" si="3"/>
        <v>19</v>
      </c>
      <c r="J39" s="56"/>
      <c r="K39" s="49" t="s">
        <v>136</v>
      </c>
      <c r="L39" s="64"/>
      <c r="M39" s="49" t="s">
        <v>425</v>
      </c>
      <c r="N39" s="49">
        <v>2569</v>
      </c>
      <c r="O39" s="65" t="s">
        <v>212</v>
      </c>
      <c r="P39" s="49" t="str">
        <f t="shared" si="4"/>
        <v>18/06/2018</v>
      </c>
      <c r="Q39" s="68">
        <f t="shared" si="5"/>
        <v>7</v>
      </c>
      <c r="R39" s="68">
        <f t="shared" si="6"/>
        <v>0</v>
      </c>
      <c r="S39" s="68">
        <f t="shared" si="7"/>
        <v>2</v>
      </c>
      <c r="T39" s="65"/>
      <c r="U39" s="65"/>
      <c r="V39" s="49" t="str">
        <f t="shared" si="8"/>
        <v/>
      </c>
      <c r="W39" s="68">
        <f>IF(V39="",0,DATEDIF(V39,P39,"Y"))</f>
        <v>0</v>
      </c>
      <c r="X39" s="68">
        <f>IF(V39="",0,DATEDIF(V39,P39,"YM"))</f>
        <v>0</v>
      </c>
      <c r="Y39" s="68">
        <f>IF(V39="",0,DATEDIF(V39,P39,"MD"))</f>
        <v>0</v>
      </c>
      <c r="Z39" s="49"/>
      <c r="AA39" s="65"/>
      <c r="AB39" s="50" t="str">
        <f t="shared" si="9"/>
        <v/>
      </c>
      <c r="AC39" s="68">
        <f t="shared" si="10"/>
        <v>0</v>
      </c>
      <c r="AD39" s="68">
        <f t="shared" si="11"/>
        <v>0</v>
      </c>
      <c r="AE39" s="68">
        <f t="shared" si="12"/>
        <v>0</v>
      </c>
      <c r="AF39" s="50"/>
      <c r="AG39" s="50" t="s">
        <v>167</v>
      </c>
      <c r="AH39" s="49" t="str">
        <f>IF(AG39="นิติศาสตร์","K5-LAW","K5-POLICY")</f>
        <v>K5-POLICY</v>
      </c>
      <c r="AI39" s="72" t="str">
        <f>_xlfn.IFS(B39="","",AND(AH39="K5-LAW",AG39="นิติศาสตร์",K39="S2",T39="",Z39=""),P39,AND(AH39="K5-LAW",AG39="นิติศาสตร์",K39="S1",T39="",Z39=""),EDATE(P39,12),AND(AH39="K5-LAW",AG39="นิติศาสตร์",OR(K39="M2",K39="K4"),T39="",Z39=""),EDATE(P39,12*2),AND(AH39="K5-LAW",AG39="นิติศาสตร์",OR(Z39="M2",Z39="K4"),AC39&gt;=2,OR(AB39&lt;V39,AB39&lt;P39)),EDATE(AB39,12*2),AND(AH39="K5-LAW",AG39="นิติศาสตร์",Z39="S1",AC39&gt;=1,OR(AB39&lt;V39,AB39&lt;P39)),EDATE(AB39,12),AND(AH39="K5-LAW",AG39="นิติศาสตร์",OR(T39="M2",T39="K4"),W39&gt;=2,V39&lt;P39),EDATE(V39,12*2),AND(AH39="K5-LAW",AG39="นิติศาสตร์",T39="S1",W39&gt;=1,V39&lt;P39),EDATE(V39,12),AND(AH39="K5-LAW",AG39="นิติศาสตร์",OR(T39="S2",T39="K5")),V39,AND(AH39="K5-LAW",AG39="นิติศาสตร์",OR(K39="M2",K39="K4"),Q39&gt;=2),EDATE(P39,12*2),AND(AH39="K5-LAW",AG39="นิติศาสตร์",K39="S1",Q39&gt;=1),EDATE(P39,12),AND(AH39="K5-LAW",AG39="นิติศาสตร์",OR(K39="S2",K39="K5")),P39,AND(AH39="K5-POLICY",AG39&lt;&gt;"นิติศาสตร์",K39="S2",T39="",Z39=""),P39,AND(AH39="K5-POLICY",AG39&lt;&gt;"นิติศาสตร์",K39="S1",T39="",Z39=""),EDATE(P39,12),AND(AH39="K5-POLICY",AG39&lt;&gt;"นิติศาสตร์",OR(K39="M2",K39="K4"),T39="",Z39=""),EDATE(P39,12*2),AND(AH39="K5-POLICY",AG39&lt;&gt;"นิติศาสตร์",OR(Z39="M2",Z39="K4"),AC39&gt;=2,OR(AB39&lt;V39,AB39&lt;P39)),EDATE(AB39,12*2),AND(AH39="K5-POLICY",AG39&lt;&gt;"นิติศาสตร์",Z39="S1",AC39&gt;=1,OR(AB39&lt;V39,AB39&lt;P39)),EDATE(AB39,12),AND(AH39="K5-POLICY",AG39&lt;&gt;"นิติศาสตร์",OR(T39="M2",T39="K4"),W39&gt;=2,V39&lt;P39),EDATE(V39,12*2),AND(AH39="K5-POLICY",AG39&lt;&gt;"นิติศาสตร์",T39="S1",W39&gt;=1,V39&lt;P39),EDATE(V39,12),AND(AH39="K5-POLICY",AG39&lt;&gt;"นิติศาสตร์",OR(T39="S2",T39="K5")),V39,AND(AH39="K5-POLICY",AG39&lt;&gt;"นิติศาสตร์",OR(K39="M2",K39="K4"),Q39&gt;=2),EDATE(P39,12*2),AND(AH39="K5-POLICY",AG39&lt;&gt;"นิติศาสตร์",K39="S1",Q39&gt;=1),EDATE(P39,12),AND(AH39="K5-POLICY",AG39&lt;&gt;"นิติศาสตร์",OR(K39="S2",K39="K5")),P39,TRUE,"Check Data")</f>
        <v/>
      </c>
      <c r="AJ39" s="75" t="str">
        <f t="shared" si="13"/>
        <v>Check Data</v>
      </c>
      <c r="AK39" s="76" t="str">
        <f t="shared" si="14"/>
        <v>Check Data</v>
      </c>
      <c r="AL39" s="50" t="str">
        <f t="shared" si="15"/>
        <v>Check Data</v>
      </c>
      <c r="AM39" s="49" t="str">
        <f>IF(B39="","",IF(K39="S1","S1",INDEX(#REF!,#REF!)))</f>
        <v/>
      </c>
      <c r="AN39" s="49" t="str">
        <f>K39</f>
        <v>M2</v>
      </c>
      <c r="AO39" s="50" t="b">
        <f>K39=AM39</f>
        <v>0</v>
      </c>
      <c r="AP39" s="50"/>
    </row>
    <row r="40" spans="1:42" ht="21.75">
      <c r="A40" s="49">
        <v>38</v>
      </c>
      <c r="B40" s="50"/>
      <c r="C40" s="50"/>
      <c r="D40" s="50" t="s">
        <v>141</v>
      </c>
      <c r="E40" s="49" t="s">
        <v>244</v>
      </c>
      <c r="F40" s="49" t="str">
        <f t="shared" si="0"/>
        <v>02/01/1992</v>
      </c>
      <c r="G40" s="50">
        <f t="shared" si="1"/>
        <v>33</v>
      </c>
      <c r="H40" s="50">
        <f t="shared" si="2"/>
        <v>5</v>
      </c>
      <c r="I40" s="50">
        <f t="shared" si="3"/>
        <v>18</v>
      </c>
      <c r="J40" s="60"/>
      <c r="K40" s="49" t="s">
        <v>136</v>
      </c>
      <c r="L40" s="64"/>
      <c r="M40" s="49" t="s">
        <v>425</v>
      </c>
      <c r="N40" s="49">
        <v>2570</v>
      </c>
      <c r="O40" s="65" t="s">
        <v>245</v>
      </c>
      <c r="P40" s="49" t="str">
        <f t="shared" si="4"/>
        <v>19/07/2018</v>
      </c>
      <c r="Q40" s="68">
        <f t="shared" si="5"/>
        <v>6</v>
      </c>
      <c r="R40" s="68">
        <f t="shared" si="6"/>
        <v>11</v>
      </c>
      <c r="S40" s="68">
        <f t="shared" si="7"/>
        <v>1</v>
      </c>
      <c r="T40" s="65"/>
      <c r="U40" s="65"/>
      <c r="V40" s="49" t="str">
        <f t="shared" si="8"/>
        <v/>
      </c>
      <c r="W40" s="68">
        <f>IF(V40="",0,DATEDIF(V40,P40,"Y"))</f>
        <v>0</v>
      </c>
      <c r="X40" s="68">
        <f>IF(V40="",0,DATEDIF(V40,P40,"YM"))</f>
        <v>0</v>
      </c>
      <c r="Y40" s="68">
        <f>IF(V40="",0,DATEDIF(V40,P40,"MD"))</f>
        <v>0</v>
      </c>
      <c r="Z40" s="49"/>
      <c r="AA40" s="65"/>
      <c r="AB40" s="50" t="str">
        <f t="shared" si="9"/>
        <v/>
      </c>
      <c r="AC40" s="68">
        <f t="shared" si="10"/>
        <v>0</v>
      </c>
      <c r="AD40" s="68">
        <f t="shared" si="11"/>
        <v>0</v>
      </c>
      <c r="AE40" s="68">
        <f t="shared" si="12"/>
        <v>0</v>
      </c>
      <c r="AF40" s="50"/>
      <c r="AG40" s="50" t="s">
        <v>138</v>
      </c>
      <c r="AH40" s="49" t="str">
        <f>IF(AG40="นิติศาสตร์","K5-LAW","K5-POLICY")</f>
        <v>K5-LAW</v>
      </c>
      <c r="AI40" s="72" t="str">
        <f>_xlfn.IFS(B40="","",AND(AH40="K5-LAW",AG40="นิติศาสตร์",K40="S2",T40="",Z40=""),P40,AND(AH40="K5-LAW",AG40="นิติศาสตร์",K40="S1",T40="",Z40=""),EDATE(P40,12),AND(AH40="K5-LAW",AG40="นิติศาสตร์",OR(K40="M2",K40="K4"),T40="",Z40=""),EDATE(P40,12*2),AND(AH40="K5-LAW",AG40="นิติศาสตร์",OR(Z40="M2",Z40="K4"),AC40&gt;=2,OR(AB40&lt;V40,AB40&lt;P40)),EDATE(AB40,12*2),AND(AH40="K5-LAW",AG40="นิติศาสตร์",Z40="S1",AC40&gt;=1,OR(AB40&lt;V40,AB40&lt;P40)),EDATE(AB40,12),AND(AH40="K5-LAW",AG40="นิติศาสตร์",OR(T40="M2",T40="K4"),W40&gt;=2,V40&lt;P40),EDATE(V40,12*2),AND(AH40="K5-LAW",AG40="นิติศาสตร์",T40="S1",W40&gt;=1,V40&lt;P40),EDATE(V40,12),AND(AH40="K5-LAW",AG40="นิติศาสตร์",OR(T40="S2",T40="K5")),V40,AND(AH40="K5-LAW",AG40="นิติศาสตร์",OR(K40="M2",K40="K4"),Q40&gt;=2),EDATE(P40,12*2),AND(AH40="K5-LAW",AG40="นิติศาสตร์",K40="S1",Q40&gt;=1),EDATE(P40,12),AND(AH40="K5-LAW",AG40="นิติศาสตร์",OR(K40="S2",K40="K5")),P40,AND(AH40="K5-POLICY",AG40&lt;&gt;"นิติศาสตร์",K40="S2",T40="",Z40=""),P40,AND(AH40="K5-POLICY",AG40&lt;&gt;"นิติศาสตร์",K40="S1",T40="",Z40=""),EDATE(P40,12),AND(AH40="K5-POLICY",AG40&lt;&gt;"นิติศาสตร์",OR(K40="M2",K40="K4"),T40="",Z40=""),EDATE(P40,12*2),AND(AH40="K5-POLICY",AG40&lt;&gt;"นิติศาสตร์",OR(Z40="M2",Z40="K4"),AC40&gt;=2,OR(AB40&lt;V40,AB40&lt;P40)),EDATE(AB40,12*2),AND(AH40="K5-POLICY",AG40&lt;&gt;"นิติศาสตร์",Z40="S1",AC40&gt;=1,OR(AB40&lt;V40,AB40&lt;P40)),EDATE(AB40,12),AND(AH40="K5-POLICY",AG40&lt;&gt;"นิติศาสตร์",OR(T40="M2",T40="K4"),W40&gt;=2,V40&lt;P40),EDATE(V40,12*2),AND(AH40="K5-POLICY",AG40&lt;&gt;"นิติศาสตร์",T40="S1",W40&gt;=1,V40&lt;P40),EDATE(V40,12),AND(AH40="K5-POLICY",AG40&lt;&gt;"นิติศาสตร์",OR(T40="S2",T40="K5")),V40,AND(AH40="K5-POLICY",AG40&lt;&gt;"นิติศาสตร์",OR(K40="M2",K40="K4"),Q40&gt;=2),EDATE(P40,12*2),AND(AH40="K5-POLICY",AG40&lt;&gt;"นิติศาสตร์",K40="S1",Q40&gt;=1),EDATE(P40,12),AND(AH40="K5-POLICY",AG40&lt;&gt;"นิติศาสตร์",OR(K40="S2",K40="K5")),P40,TRUE,"Check Data")</f>
        <v/>
      </c>
      <c r="AJ40" s="75" t="str">
        <f t="shared" si="13"/>
        <v>Check Data</v>
      </c>
      <c r="AK40" s="76" t="str">
        <f t="shared" si="14"/>
        <v>Check Data</v>
      </c>
      <c r="AL40" s="50" t="str">
        <f t="shared" si="15"/>
        <v>Check Data</v>
      </c>
      <c r="AM40" s="49" t="str">
        <f>IF(B40="","",IF(K40="S1","S1",INDEX(#REF!,#REF!)))</f>
        <v/>
      </c>
      <c r="AN40" s="49" t="str">
        <f>K40</f>
        <v>M2</v>
      </c>
      <c r="AO40" s="50" t="b">
        <f>K40=AM40</f>
        <v>0</v>
      </c>
      <c r="AP40" s="50"/>
    </row>
    <row r="41" spans="1:42" ht="21.75">
      <c r="A41" s="49">
        <v>39</v>
      </c>
      <c r="B41" s="50"/>
      <c r="C41" s="53"/>
      <c r="D41" s="50" t="s">
        <v>141</v>
      </c>
      <c r="E41" s="49" t="s">
        <v>246</v>
      </c>
      <c r="F41" s="49" t="str">
        <f t="shared" si="0"/>
        <v>13/06/1994</v>
      </c>
      <c r="G41" s="50">
        <f t="shared" si="1"/>
        <v>31</v>
      </c>
      <c r="H41" s="50">
        <f t="shared" si="2"/>
        <v>0</v>
      </c>
      <c r="I41" s="50">
        <f t="shared" si="3"/>
        <v>7</v>
      </c>
      <c r="J41" s="60"/>
      <c r="K41" s="49" t="s">
        <v>136</v>
      </c>
      <c r="L41" s="64"/>
      <c r="M41" s="49" t="s">
        <v>425</v>
      </c>
      <c r="N41" s="49">
        <v>2569</v>
      </c>
      <c r="O41" s="65" t="s">
        <v>247</v>
      </c>
      <c r="P41" s="49" t="str">
        <f t="shared" si="4"/>
        <v>12/11/2018</v>
      </c>
      <c r="Q41" s="68">
        <f t="shared" si="5"/>
        <v>6</v>
      </c>
      <c r="R41" s="68">
        <f t="shared" si="6"/>
        <v>7</v>
      </c>
      <c r="S41" s="68">
        <f t="shared" si="7"/>
        <v>8</v>
      </c>
      <c r="T41" s="65"/>
      <c r="U41" s="65"/>
      <c r="V41" s="49" t="str">
        <f t="shared" si="8"/>
        <v/>
      </c>
      <c r="W41" s="68">
        <f>IF(V41="",0,DATEDIF(V41,P41,"Y"))</f>
        <v>0</v>
      </c>
      <c r="X41" s="68">
        <f>IF(V41="",0,DATEDIF(V41,P41,"YM"))</f>
        <v>0</v>
      </c>
      <c r="Y41" s="68">
        <f>IF(V41="",0,DATEDIF(V41,P41,"MD"))</f>
        <v>0</v>
      </c>
      <c r="Z41" s="49"/>
      <c r="AA41" s="65"/>
      <c r="AB41" s="50" t="str">
        <f t="shared" si="9"/>
        <v/>
      </c>
      <c r="AC41" s="68">
        <f t="shared" si="10"/>
        <v>0</v>
      </c>
      <c r="AD41" s="68">
        <f t="shared" si="11"/>
        <v>0</v>
      </c>
      <c r="AE41" s="68">
        <f t="shared" si="12"/>
        <v>0</v>
      </c>
      <c r="AF41" s="50"/>
      <c r="AG41" s="50" t="s">
        <v>138</v>
      </c>
      <c r="AH41" s="49" t="str">
        <f>IF(AG41="นิติศาสตร์","K5-LAW","K5-POLICY")</f>
        <v>K5-LAW</v>
      </c>
      <c r="AI41" s="72" t="str">
        <f>_xlfn.IFS(B41="","",AND(AH41="K5-LAW",AG41="นิติศาสตร์",K41="S2",T41="",Z41=""),P41,AND(AH41="K5-LAW",AG41="นิติศาสตร์",K41="S1",T41="",Z41=""),EDATE(P41,12),AND(AH41="K5-LAW",AG41="นิติศาสตร์",OR(K41="M2",K41="K4"),T41="",Z41=""),EDATE(P41,12*2),AND(AH41="K5-LAW",AG41="นิติศาสตร์",OR(Z41="M2",Z41="K4"),AC41&gt;=2,OR(AB41&lt;V41,AB41&lt;P41)),EDATE(AB41,12*2),AND(AH41="K5-LAW",AG41="นิติศาสตร์",Z41="S1",AC41&gt;=1,OR(AB41&lt;V41,AB41&lt;P41)),EDATE(AB41,12),AND(AH41="K5-LAW",AG41="นิติศาสตร์",OR(T41="M2",T41="K4"),W41&gt;=2,V41&lt;P41),EDATE(V41,12*2),AND(AH41="K5-LAW",AG41="นิติศาสตร์",T41="S1",W41&gt;=1,V41&lt;P41),EDATE(V41,12),AND(AH41="K5-LAW",AG41="นิติศาสตร์",OR(T41="S2",T41="K5")),V41,AND(AH41="K5-LAW",AG41="นิติศาสตร์",OR(K41="M2",K41="K4"),Q41&gt;=2),EDATE(P41,12*2),AND(AH41="K5-LAW",AG41="นิติศาสตร์",K41="S1",Q41&gt;=1),EDATE(P41,12),AND(AH41="K5-LAW",AG41="นิติศาสตร์",OR(K41="S2",K41="K5")),P41,AND(AH41="K5-POLICY",AG41&lt;&gt;"นิติศาสตร์",K41="S2",T41="",Z41=""),P41,AND(AH41="K5-POLICY",AG41&lt;&gt;"นิติศาสตร์",K41="S1",T41="",Z41=""),EDATE(P41,12),AND(AH41="K5-POLICY",AG41&lt;&gt;"นิติศาสตร์",OR(K41="M2",K41="K4"),T41="",Z41=""),EDATE(P41,12*2),AND(AH41="K5-POLICY",AG41&lt;&gt;"นิติศาสตร์",OR(Z41="M2",Z41="K4"),AC41&gt;=2,OR(AB41&lt;V41,AB41&lt;P41)),EDATE(AB41,12*2),AND(AH41="K5-POLICY",AG41&lt;&gt;"นิติศาสตร์",Z41="S1",AC41&gt;=1,OR(AB41&lt;V41,AB41&lt;P41)),EDATE(AB41,12),AND(AH41="K5-POLICY",AG41&lt;&gt;"นิติศาสตร์",OR(T41="M2",T41="K4"),W41&gt;=2,V41&lt;P41),EDATE(V41,12*2),AND(AH41="K5-POLICY",AG41&lt;&gt;"นิติศาสตร์",T41="S1",W41&gt;=1,V41&lt;P41),EDATE(V41,12),AND(AH41="K5-POLICY",AG41&lt;&gt;"นิติศาสตร์",OR(T41="S2",T41="K5")),V41,AND(AH41="K5-POLICY",AG41&lt;&gt;"นิติศาสตร์",OR(K41="M2",K41="K4"),Q41&gt;=2),EDATE(P41,12*2),AND(AH41="K5-POLICY",AG41&lt;&gt;"นิติศาสตร์",K41="S1",Q41&gt;=1),EDATE(P41,12),AND(AH41="K5-POLICY",AG41&lt;&gt;"นิติศาสตร์",OR(K41="S2",K41="K5")),P41,TRUE,"Check Data")</f>
        <v/>
      </c>
      <c r="AJ41" s="75" t="str">
        <f t="shared" si="13"/>
        <v>Check Data</v>
      </c>
      <c r="AK41" s="76" t="str">
        <f t="shared" si="14"/>
        <v>Check Data</v>
      </c>
      <c r="AL41" s="50" t="str">
        <f t="shared" si="15"/>
        <v>Check Data</v>
      </c>
      <c r="AM41" s="49" t="str">
        <f>IF(B41="","",IF(K41="S1","S1",INDEX(#REF!,#REF!)))</f>
        <v/>
      </c>
      <c r="AN41" s="49" t="str">
        <f>K41</f>
        <v>M2</v>
      </c>
      <c r="AO41" s="50" t="b">
        <f>K41=AM41</f>
        <v>0</v>
      </c>
      <c r="AP41" s="50"/>
    </row>
    <row r="42" spans="1:42" ht="21.75">
      <c r="A42" s="49">
        <v>40</v>
      </c>
      <c r="B42" s="50"/>
      <c r="C42" s="50"/>
      <c r="D42" s="50" t="s">
        <v>139</v>
      </c>
      <c r="E42" s="49" t="s">
        <v>236</v>
      </c>
      <c r="F42" s="49" t="str">
        <f t="shared" si="0"/>
        <v>09/04/1990</v>
      </c>
      <c r="G42" s="50">
        <f t="shared" si="1"/>
        <v>35</v>
      </c>
      <c r="H42" s="50">
        <f t="shared" si="2"/>
        <v>2</v>
      </c>
      <c r="I42" s="50">
        <f t="shared" si="3"/>
        <v>11</v>
      </c>
      <c r="J42" s="56"/>
      <c r="K42" s="49" t="s">
        <v>136</v>
      </c>
      <c r="L42" s="64"/>
      <c r="M42" s="49" t="s">
        <v>427</v>
      </c>
      <c r="N42" s="49">
        <v>2569</v>
      </c>
      <c r="O42" s="65" t="s">
        <v>237</v>
      </c>
      <c r="P42" s="49" t="str">
        <f t="shared" si="4"/>
        <v>27/11/2018</v>
      </c>
      <c r="Q42" s="68">
        <f t="shared" si="5"/>
        <v>6</v>
      </c>
      <c r="R42" s="68">
        <f t="shared" si="6"/>
        <v>6</v>
      </c>
      <c r="S42" s="68">
        <f t="shared" si="7"/>
        <v>24</v>
      </c>
      <c r="T42" s="65"/>
      <c r="U42" s="65"/>
      <c r="V42" s="49" t="str">
        <f t="shared" si="8"/>
        <v/>
      </c>
      <c r="W42" s="68">
        <f>IF(V42="",0,DATEDIF(V42,P42,"Y"))</f>
        <v>0</v>
      </c>
      <c r="X42" s="68">
        <f>IF(V42="",0,DATEDIF(V42,P42,"YM"))</f>
        <v>0</v>
      </c>
      <c r="Y42" s="68">
        <f>IF(V42="",0,DATEDIF(V42,P42,"MD"))</f>
        <v>0</v>
      </c>
      <c r="Z42" s="49"/>
      <c r="AA42" s="65"/>
      <c r="AB42" s="50" t="str">
        <f t="shared" si="9"/>
        <v/>
      </c>
      <c r="AC42" s="68">
        <f t="shared" si="10"/>
        <v>0</v>
      </c>
      <c r="AD42" s="68">
        <f t="shared" si="11"/>
        <v>0</v>
      </c>
      <c r="AE42" s="68">
        <f t="shared" si="12"/>
        <v>0</v>
      </c>
      <c r="AF42" s="50"/>
      <c r="AG42" s="50" t="s">
        <v>138</v>
      </c>
      <c r="AH42" s="49" t="str">
        <f>IF(AG42="นิติศาสตร์","K5-LAW","K5-POLICY")</f>
        <v>K5-LAW</v>
      </c>
      <c r="AI42" s="72" t="str">
        <f>_xlfn.IFS(B42="","",AND(AH42="K5-LAW",AG42="นิติศาสตร์",K42="S2",T42="",Z42=""),P42,AND(AH42="K5-LAW",AG42="นิติศาสตร์",K42="S1",T42="",Z42=""),EDATE(P42,12),AND(AH42="K5-LAW",AG42="นิติศาสตร์",OR(K42="M2",K42="K4"),T42="",Z42=""),EDATE(P42,12*2),AND(AH42="K5-LAW",AG42="นิติศาสตร์",OR(Z42="M2",Z42="K4"),AC42&gt;=2,OR(AB42&lt;V42,AB42&lt;P42)),EDATE(AB42,12*2),AND(AH42="K5-LAW",AG42="นิติศาสตร์",Z42="S1",AC42&gt;=1,OR(AB42&lt;V42,AB42&lt;P42)),EDATE(AB42,12),AND(AH42="K5-LAW",AG42="นิติศาสตร์",OR(T42="M2",T42="K4"),W42&gt;=2,V42&lt;P42),EDATE(V42,12*2),AND(AH42="K5-LAW",AG42="นิติศาสตร์",T42="S1",W42&gt;=1,V42&lt;P42),EDATE(V42,12),AND(AH42="K5-LAW",AG42="นิติศาสตร์",OR(T42="S2",T42="K5")),V42,AND(AH42="K5-LAW",AG42="นิติศาสตร์",OR(K42="M2",K42="K4"),Q42&gt;=2),EDATE(P42,12*2),AND(AH42="K5-LAW",AG42="นิติศาสตร์",K42="S1",Q42&gt;=1),EDATE(P42,12),AND(AH42="K5-LAW",AG42="นิติศาสตร์",OR(K42="S2",K42="K5")),P42,AND(AH42="K5-POLICY",AG42&lt;&gt;"นิติศาสตร์",K42="S2",T42="",Z42=""),P42,AND(AH42="K5-POLICY",AG42&lt;&gt;"นิติศาสตร์",K42="S1",T42="",Z42=""),EDATE(P42,12),AND(AH42="K5-POLICY",AG42&lt;&gt;"นิติศาสตร์",OR(K42="M2",K42="K4"),T42="",Z42=""),EDATE(P42,12*2),AND(AH42="K5-POLICY",AG42&lt;&gt;"นิติศาสตร์",OR(Z42="M2",Z42="K4"),AC42&gt;=2,OR(AB42&lt;V42,AB42&lt;P42)),EDATE(AB42,12*2),AND(AH42="K5-POLICY",AG42&lt;&gt;"นิติศาสตร์",Z42="S1",AC42&gt;=1,OR(AB42&lt;V42,AB42&lt;P42)),EDATE(AB42,12),AND(AH42="K5-POLICY",AG42&lt;&gt;"นิติศาสตร์",OR(T42="M2",T42="K4"),W42&gt;=2,V42&lt;P42),EDATE(V42,12*2),AND(AH42="K5-POLICY",AG42&lt;&gt;"นิติศาสตร์",T42="S1",W42&gt;=1,V42&lt;P42),EDATE(V42,12),AND(AH42="K5-POLICY",AG42&lt;&gt;"นิติศาสตร์",OR(T42="S2",T42="K5")),V42,AND(AH42="K5-POLICY",AG42&lt;&gt;"นิติศาสตร์",OR(K42="M2",K42="K4"),Q42&gt;=2),EDATE(P42,12*2),AND(AH42="K5-POLICY",AG42&lt;&gt;"นิติศาสตร์",K42="S1",Q42&gt;=1),EDATE(P42,12),AND(AH42="K5-POLICY",AG42&lt;&gt;"นิติศาสตร์",OR(K42="S2",K42="K5")),P42,TRUE,"Check Data")</f>
        <v/>
      </c>
      <c r="AJ42" s="75" t="str">
        <f t="shared" si="13"/>
        <v>Check Data</v>
      </c>
      <c r="AK42" s="76" t="str">
        <f t="shared" si="14"/>
        <v>Check Data</v>
      </c>
      <c r="AL42" s="50" t="str">
        <f t="shared" si="15"/>
        <v>Check Data</v>
      </c>
      <c r="AM42" s="49" t="str">
        <f>IF(B42="","",IF(K42="S1","S1",INDEX(#REF!,#REF!)))</f>
        <v/>
      </c>
      <c r="AN42" s="49" t="str">
        <f>K42</f>
        <v>M2</v>
      </c>
      <c r="AO42" s="50" t="b">
        <f>K42=AM42</f>
        <v>0</v>
      </c>
      <c r="AP42" s="50"/>
    </row>
    <row r="43" spans="1:42" ht="21.75">
      <c r="A43" s="49">
        <v>41</v>
      </c>
      <c r="B43" s="50"/>
      <c r="C43" s="54"/>
      <c r="D43" s="50" t="s">
        <v>511</v>
      </c>
      <c r="E43" s="49" t="s">
        <v>187</v>
      </c>
      <c r="F43" s="49" t="str">
        <f t="shared" si="0"/>
        <v>01/08/1990</v>
      </c>
      <c r="G43" s="50">
        <f t="shared" si="1"/>
        <v>34</v>
      </c>
      <c r="H43" s="50">
        <f t="shared" si="2"/>
        <v>10</v>
      </c>
      <c r="I43" s="50">
        <f t="shared" si="3"/>
        <v>19</v>
      </c>
      <c r="J43" s="56"/>
      <c r="K43" s="49" t="s">
        <v>136</v>
      </c>
      <c r="L43" s="64"/>
      <c r="M43" s="49" t="s">
        <v>427</v>
      </c>
      <c r="N43" s="49">
        <v>2568</v>
      </c>
      <c r="O43" s="65" t="s">
        <v>237</v>
      </c>
      <c r="P43" s="49" t="str">
        <f t="shared" si="4"/>
        <v>27/11/2018</v>
      </c>
      <c r="Q43" s="68">
        <f t="shared" si="5"/>
        <v>6</v>
      </c>
      <c r="R43" s="68">
        <f t="shared" si="6"/>
        <v>6</v>
      </c>
      <c r="S43" s="68">
        <f t="shared" si="7"/>
        <v>24</v>
      </c>
      <c r="T43" s="65"/>
      <c r="U43" s="65"/>
      <c r="V43" s="49" t="str">
        <f t="shared" si="8"/>
        <v/>
      </c>
      <c r="W43" s="68">
        <f>IF(V43="",0,DATEDIF(V43,P43,"Y"))</f>
        <v>0</v>
      </c>
      <c r="X43" s="68">
        <f>IF(V43="",0,DATEDIF(V43,P43,"YM"))</f>
        <v>0</v>
      </c>
      <c r="Y43" s="68">
        <f>IF(V43="",0,DATEDIF(V43,P43,"MD"))</f>
        <v>0</v>
      </c>
      <c r="Z43" s="49"/>
      <c r="AA43" s="65"/>
      <c r="AB43" s="50" t="str">
        <f t="shared" si="9"/>
        <v/>
      </c>
      <c r="AC43" s="68">
        <f t="shared" si="10"/>
        <v>0</v>
      </c>
      <c r="AD43" s="68">
        <f t="shared" si="11"/>
        <v>0</v>
      </c>
      <c r="AE43" s="68">
        <f t="shared" si="12"/>
        <v>0</v>
      </c>
      <c r="AF43" s="50"/>
      <c r="AG43" s="50" t="s">
        <v>165</v>
      </c>
      <c r="AH43" s="49" t="str">
        <f>IF(AG43="นิติศาสตร์","K5-LAW","K5-POLICY")</f>
        <v>K5-POLICY</v>
      </c>
      <c r="AI43" s="72" t="str">
        <f>_xlfn.IFS(B43="","",AND(AH43="K5-LAW",AG43="นิติศาสตร์",K43="S2",T43="",Z43=""),P43,AND(AH43="K5-LAW",AG43="นิติศาสตร์",K43="S1",T43="",Z43=""),EDATE(P43,12),AND(AH43="K5-LAW",AG43="นิติศาสตร์",OR(K43="M2",K43="K4"),T43="",Z43=""),EDATE(P43,12*2),AND(AH43="K5-LAW",AG43="นิติศาสตร์",OR(Z43="M2",Z43="K4"),AC43&gt;=2,OR(AB43&lt;V43,AB43&lt;P43)),EDATE(AB43,12*2),AND(AH43="K5-LAW",AG43="นิติศาสตร์",Z43="S1",AC43&gt;=1,OR(AB43&lt;V43,AB43&lt;P43)),EDATE(AB43,12),AND(AH43="K5-LAW",AG43="นิติศาสตร์",OR(T43="M2",T43="K4"),W43&gt;=2,V43&lt;P43),EDATE(V43,12*2),AND(AH43="K5-LAW",AG43="นิติศาสตร์",T43="S1",W43&gt;=1,V43&lt;P43),EDATE(V43,12),AND(AH43="K5-LAW",AG43="นิติศาสตร์",OR(T43="S2",T43="K5")),V43,AND(AH43="K5-LAW",AG43="นิติศาสตร์",OR(K43="M2",K43="K4"),Q43&gt;=2),EDATE(P43,12*2),AND(AH43="K5-LAW",AG43="นิติศาสตร์",K43="S1",Q43&gt;=1),EDATE(P43,12),AND(AH43="K5-LAW",AG43="นิติศาสตร์",OR(K43="S2",K43="K5")),P43,AND(AH43="K5-POLICY",AG43&lt;&gt;"นิติศาสตร์",K43="S2",T43="",Z43=""),P43,AND(AH43="K5-POLICY",AG43&lt;&gt;"นิติศาสตร์",K43="S1",T43="",Z43=""),EDATE(P43,12),AND(AH43="K5-POLICY",AG43&lt;&gt;"นิติศาสตร์",OR(K43="M2",K43="K4"),T43="",Z43=""),EDATE(P43,12*2),AND(AH43="K5-POLICY",AG43&lt;&gt;"นิติศาสตร์",OR(Z43="M2",Z43="K4"),AC43&gt;=2,OR(AB43&lt;V43,AB43&lt;P43)),EDATE(AB43,12*2),AND(AH43="K5-POLICY",AG43&lt;&gt;"นิติศาสตร์",Z43="S1",AC43&gt;=1,OR(AB43&lt;V43,AB43&lt;P43)),EDATE(AB43,12),AND(AH43="K5-POLICY",AG43&lt;&gt;"นิติศาสตร์",OR(T43="M2",T43="K4"),W43&gt;=2,V43&lt;P43),EDATE(V43,12*2),AND(AH43="K5-POLICY",AG43&lt;&gt;"นิติศาสตร์",T43="S1",W43&gt;=1,V43&lt;P43),EDATE(V43,12),AND(AH43="K5-POLICY",AG43&lt;&gt;"นิติศาสตร์",OR(T43="S2",T43="K5")),V43,AND(AH43="K5-POLICY",AG43&lt;&gt;"นิติศาสตร์",OR(K43="M2",K43="K4"),Q43&gt;=2),EDATE(P43,12*2),AND(AH43="K5-POLICY",AG43&lt;&gt;"นิติศาสตร์",K43="S1",Q43&gt;=1),EDATE(P43,12),AND(AH43="K5-POLICY",AG43&lt;&gt;"นิติศาสตร์",OR(K43="S2",K43="K5")),P43,TRUE,"Check Data")</f>
        <v/>
      </c>
      <c r="AJ43" s="75" t="str">
        <f t="shared" si="13"/>
        <v>Check Data</v>
      </c>
      <c r="AK43" s="76" t="str">
        <f t="shared" si="14"/>
        <v>Check Data</v>
      </c>
      <c r="AL43" s="50" t="str">
        <f t="shared" si="15"/>
        <v>Check Data</v>
      </c>
      <c r="AM43" s="49" t="str">
        <f>IF(B43="","",IF(K43="S1","S1",INDEX(#REF!,#REF!)))</f>
        <v/>
      </c>
      <c r="AN43" s="49" t="str">
        <f>K43</f>
        <v>M2</v>
      </c>
      <c r="AO43" s="50" t="b">
        <f>K43=AM43</f>
        <v>0</v>
      </c>
      <c r="AP43" s="50"/>
    </row>
    <row r="44" spans="1:42" ht="21.75">
      <c r="A44" s="49">
        <v>42</v>
      </c>
      <c r="B44" s="50"/>
      <c r="C44" s="50"/>
      <c r="D44" s="50" t="s">
        <v>143</v>
      </c>
      <c r="E44" s="49" t="s">
        <v>331</v>
      </c>
      <c r="F44" s="49" t="str">
        <f t="shared" si="0"/>
        <v>01/04/1986</v>
      </c>
      <c r="G44" s="50">
        <f t="shared" si="1"/>
        <v>39</v>
      </c>
      <c r="H44" s="50">
        <f t="shared" si="2"/>
        <v>2</v>
      </c>
      <c r="I44" s="50">
        <f t="shared" si="3"/>
        <v>19</v>
      </c>
      <c r="J44" s="59"/>
      <c r="K44" s="49" t="s">
        <v>136</v>
      </c>
      <c r="L44" s="64"/>
      <c r="M44" s="49" t="s">
        <v>425</v>
      </c>
      <c r="N44" s="49">
        <v>2569</v>
      </c>
      <c r="O44" s="65" t="s">
        <v>301</v>
      </c>
      <c r="P44" s="49" t="str">
        <f t="shared" si="4"/>
        <v>29/11/2018</v>
      </c>
      <c r="Q44" s="68">
        <f t="shared" si="5"/>
        <v>6</v>
      </c>
      <c r="R44" s="68">
        <f t="shared" si="6"/>
        <v>6</v>
      </c>
      <c r="S44" s="68">
        <f t="shared" si="7"/>
        <v>22</v>
      </c>
      <c r="T44" s="65"/>
      <c r="U44" s="65"/>
      <c r="V44" s="49" t="str">
        <f t="shared" si="8"/>
        <v/>
      </c>
      <c r="W44" s="68">
        <f>IF(V44="",0,DATEDIF(V44,P44,"Y"))</f>
        <v>0</v>
      </c>
      <c r="X44" s="68">
        <f>IF(V44="",0,DATEDIF(V44,P44,"YM"))</f>
        <v>0</v>
      </c>
      <c r="Y44" s="68">
        <f>IF(V44="",0,DATEDIF(V44,P44,"MD"))</f>
        <v>0</v>
      </c>
      <c r="Z44" s="49"/>
      <c r="AA44" s="65"/>
      <c r="AB44" s="50" t="str">
        <f t="shared" si="9"/>
        <v/>
      </c>
      <c r="AC44" s="68">
        <f t="shared" si="10"/>
        <v>0</v>
      </c>
      <c r="AD44" s="68">
        <f t="shared" si="11"/>
        <v>0</v>
      </c>
      <c r="AE44" s="68">
        <f t="shared" si="12"/>
        <v>0</v>
      </c>
      <c r="AF44" s="50"/>
      <c r="AG44" s="50" t="s">
        <v>285</v>
      </c>
      <c r="AH44" s="49" t="str">
        <f>IF(AG44="นิติศาสตร์","K5-LAW","K5-POLICY")</f>
        <v>K5-POLICY</v>
      </c>
      <c r="AI44" s="72" t="str">
        <f>_xlfn.IFS(B44="","",AND(AH44="K5-LAW",AG44="นิติศาสตร์",K44="S2",T44="",Z44=""),P44,AND(AH44="K5-LAW",AG44="นิติศาสตร์",K44="S1",T44="",Z44=""),EDATE(P44,12),AND(AH44="K5-LAW",AG44="นิติศาสตร์",OR(K44="M2",K44="K4"),T44="",Z44=""),EDATE(P44,12*2),AND(AH44="K5-LAW",AG44="นิติศาสตร์",OR(Z44="M2",Z44="K4"),AC44&gt;=2,OR(AB44&lt;V44,AB44&lt;P44)),EDATE(AB44,12*2),AND(AH44="K5-LAW",AG44="นิติศาสตร์",Z44="S1",AC44&gt;=1,OR(AB44&lt;V44,AB44&lt;P44)),EDATE(AB44,12),AND(AH44="K5-LAW",AG44="นิติศาสตร์",OR(T44="M2",T44="K4"),W44&gt;=2,V44&lt;P44),EDATE(V44,12*2),AND(AH44="K5-LAW",AG44="นิติศาสตร์",T44="S1",W44&gt;=1,V44&lt;P44),EDATE(V44,12),AND(AH44="K5-LAW",AG44="นิติศาสตร์",OR(T44="S2",T44="K5")),V44,AND(AH44="K5-LAW",AG44="นิติศาสตร์",OR(K44="M2",K44="K4"),Q44&gt;=2),EDATE(P44,12*2),AND(AH44="K5-LAW",AG44="นิติศาสตร์",K44="S1",Q44&gt;=1),EDATE(P44,12),AND(AH44="K5-LAW",AG44="นิติศาสตร์",OR(K44="S2",K44="K5")),P44,AND(AH44="K5-POLICY",AG44&lt;&gt;"นิติศาสตร์",K44="S2",T44="",Z44=""),P44,AND(AH44="K5-POLICY",AG44&lt;&gt;"นิติศาสตร์",K44="S1",T44="",Z44=""),EDATE(P44,12),AND(AH44="K5-POLICY",AG44&lt;&gt;"นิติศาสตร์",OR(K44="M2",K44="K4"),T44="",Z44=""),EDATE(P44,12*2),AND(AH44="K5-POLICY",AG44&lt;&gt;"นิติศาสตร์",OR(Z44="M2",Z44="K4"),AC44&gt;=2,OR(AB44&lt;V44,AB44&lt;P44)),EDATE(AB44,12*2),AND(AH44="K5-POLICY",AG44&lt;&gt;"นิติศาสตร์",Z44="S1",AC44&gt;=1,OR(AB44&lt;V44,AB44&lt;P44)),EDATE(AB44,12),AND(AH44="K5-POLICY",AG44&lt;&gt;"นิติศาสตร์",OR(T44="M2",T44="K4"),W44&gt;=2,V44&lt;P44),EDATE(V44,12*2),AND(AH44="K5-POLICY",AG44&lt;&gt;"นิติศาสตร์",T44="S1",W44&gt;=1,V44&lt;P44),EDATE(V44,12),AND(AH44="K5-POLICY",AG44&lt;&gt;"นิติศาสตร์",OR(T44="S2",T44="K5")),V44,AND(AH44="K5-POLICY",AG44&lt;&gt;"นิติศาสตร์",OR(K44="M2",K44="K4"),Q44&gt;=2),EDATE(P44,12*2),AND(AH44="K5-POLICY",AG44&lt;&gt;"นิติศาสตร์",K44="S1",Q44&gt;=1),EDATE(P44,12),AND(AH44="K5-POLICY",AG44&lt;&gt;"นิติศาสตร์",OR(K44="S2",K44="K5")),P44,TRUE,"Check Data")</f>
        <v/>
      </c>
      <c r="AJ44" s="75" t="str">
        <f t="shared" si="13"/>
        <v>Check Data</v>
      </c>
      <c r="AK44" s="76" t="str">
        <f t="shared" si="14"/>
        <v>Check Data</v>
      </c>
      <c r="AL44" s="50" t="str">
        <f t="shared" si="15"/>
        <v>Check Data</v>
      </c>
      <c r="AM44" s="49" t="str">
        <f>IF(B44="","",IF(K44="S1","S1",INDEX(#REF!,#REF!)))</f>
        <v/>
      </c>
      <c r="AN44" s="49" t="str">
        <f>K44</f>
        <v>M2</v>
      </c>
      <c r="AO44" s="50" t="b">
        <f>K44=AM44</f>
        <v>0</v>
      </c>
      <c r="AP44" s="50"/>
    </row>
    <row r="45" spans="1:42" ht="21.75">
      <c r="A45" s="49">
        <v>43</v>
      </c>
      <c r="B45" s="50"/>
      <c r="C45" s="50"/>
      <c r="D45" s="50" t="s">
        <v>143</v>
      </c>
      <c r="E45" s="49" t="s">
        <v>316</v>
      </c>
      <c r="F45" s="49" t="str">
        <f t="shared" si="0"/>
        <v>15/06/1987</v>
      </c>
      <c r="G45" s="50">
        <f t="shared" si="1"/>
        <v>38</v>
      </c>
      <c r="H45" s="50">
        <f t="shared" si="2"/>
        <v>0</v>
      </c>
      <c r="I45" s="50">
        <f t="shared" si="3"/>
        <v>5</v>
      </c>
      <c r="J45" s="58"/>
      <c r="K45" s="49" t="s">
        <v>136</v>
      </c>
      <c r="L45" s="64"/>
      <c r="M45" s="49" t="s">
        <v>425</v>
      </c>
      <c r="N45" s="49">
        <v>2569</v>
      </c>
      <c r="O45" s="65" t="s">
        <v>301</v>
      </c>
      <c r="P45" s="49" t="str">
        <f t="shared" si="4"/>
        <v>29/11/2018</v>
      </c>
      <c r="Q45" s="68">
        <f t="shared" si="5"/>
        <v>6</v>
      </c>
      <c r="R45" s="68">
        <f t="shared" si="6"/>
        <v>6</v>
      </c>
      <c r="S45" s="68">
        <f t="shared" si="7"/>
        <v>22</v>
      </c>
      <c r="T45" s="65"/>
      <c r="U45" s="65"/>
      <c r="V45" s="49" t="str">
        <f t="shared" si="8"/>
        <v/>
      </c>
      <c r="W45" s="68">
        <f>IF(V45="",0,DATEDIF(V45,P45,"Y"))</f>
        <v>0</v>
      </c>
      <c r="X45" s="68">
        <f>IF(V45="",0,DATEDIF(V45,P45,"YM"))</f>
        <v>0</v>
      </c>
      <c r="Y45" s="68">
        <f>IF(V45="",0,DATEDIF(V45,P45,"MD"))</f>
        <v>0</v>
      </c>
      <c r="Z45" s="49"/>
      <c r="AA45" s="65"/>
      <c r="AB45" s="50" t="str">
        <f t="shared" si="9"/>
        <v/>
      </c>
      <c r="AC45" s="68">
        <f t="shared" si="10"/>
        <v>0</v>
      </c>
      <c r="AD45" s="68">
        <f t="shared" si="11"/>
        <v>0</v>
      </c>
      <c r="AE45" s="68">
        <f t="shared" si="12"/>
        <v>0</v>
      </c>
      <c r="AF45" s="50"/>
      <c r="AG45" s="50" t="s">
        <v>167</v>
      </c>
      <c r="AH45" s="49" t="str">
        <f>IF(AG45="นิติศาสตร์","K5-LAW","K5-POLICY")</f>
        <v>K5-POLICY</v>
      </c>
      <c r="AI45" s="72" t="str">
        <f>_xlfn.IFS(B45="","",AND(AH45="K5-LAW",AG45="นิติศาสตร์",K45="S2",T45="",Z45=""),P45,AND(AH45="K5-LAW",AG45="นิติศาสตร์",K45="S1",T45="",Z45=""),EDATE(P45,12),AND(AH45="K5-LAW",AG45="นิติศาสตร์",OR(K45="M2",K45="K4"),T45="",Z45=""),EDATE(P45,12*2),AND(AH45="K5-LAW",AG45="นิติศาสตร์",OR(Z45="M2",Z45="K4"),AC45&gt;=2,OR(AB45&lt;V45,AB45&lt;P45)),EDATE(AB45,12*2),AND(AH45="K5-LAW",AG45="นิติศาสตร์",Z45="S1",AC45&gt;=1,OR(AB45&lt;V45,AB45&lt;P45)),EDATE(AB45,12),AND(AH45="K5-LAW",AG45="นิติศาสตร์",OR(T45="M2",T45="K4"),W45&gt;=2,V45&lt;P45),EDATE(V45,12*2),AND(AH45="K5-LAW",AG45="นิติศาสตร์",T45="S1",W45&gt;=1,V45&lt;P45),EDATE(V45,12),AND(AH45="K5-LAW",AG45="นิติศาสตร์",OR(T45="S2",T45="K5")),V45,AND(AH45="K5-LAW",AG45="นิติศาสตร์",OR(K45="M2",K45="K4"),Q45&gt;=2),EDATE(P45,12*2),AND(AH45="K5-LAW",AG45="นิติศาสตร์",K45="S1",Q45&gt;=1),EDATE(P45,12),AND(AH45="K5-LAW",AG45="นิติศาสตร์",OR(K45="S2",K45="K5")),P45,AND(AH45="K5-POLICY",AG45&lt;&gt;"นิติศาสตร์",K45="S2",T45="",Z45=""),P45,AND(AH45="K5-POLICY",AG45&lt;&gt;"นิติศาสตร์",K45="S1",T45="",Z45=""),EDATE(P45,12),AND(AH45="K5-POLICY",AG45&lt;&gt;"นิติศาสตร์",OR(K45="M2",K45="K4"),T45="",Z45=""),EDATE(P45,12*2),AND(AH45="K5-POLICY",AG45&lt;&gt;"นิติศาสตร์",OR(Z45="M2",Z45="K4"),AC45&gt;=2,OR(AB45&lt;V45,AB45&lt;P45)),EDATE(AB45,12*2),AND(AH45="K5-POLICY",AG45&lt;&gt;"นิติศาสตร์",Z45="S1",AC45&gt;=1,OR(AB45&lt;V45,AB45&lt;P45)),EDATE(AB45,12),AND(AH45="K5-POLICY",AG45&lt;&gt;"นิติศาสตร์",OR(T45="M2",T45="K4"),W45&gt;=2,V45&lt;P45),EDATE(V45,12*2),AND(AH45="K5-POLICY",AG45&lt;&gt;"นิติศาสตร์",T45="S1",W45&gt;=1,V45&lt;P45),EDATE(V45,12),AND(AH45="K5-POLICY",AG45&lt;&gt;"นิติศาสตร์",OR(T45="S2",T45="K5")),V45,AND(AH45="K5-POLICY",AG45&lt;&gt;"นิติศาสตร์",OR(K45="M2",K45="K4"),Q45&gt;=2),EDATE(P45,12*2),AND(AH45="K5-POLICY",AG45&lt;&gt;"นิติศาสตร์",K45="S1",Q45&gt;=1),EDATE(P45,12),AND(AH45="K5-POLICY",AG45&lt;&gt;"นิติศาสตร์",OR(K45="S2",K45="K5")),P45,TRUE,"Check Data")</f>
        <v/>
      </c>
      <c r="AJ45" s="75" t="str">
        <f t="shared" si="13"/>
        <v>Check Data</v>
      </c>
      <c r="AK45" s="76" t="str">
        <f t="shared" si="14"/>
        <v>Check Data</v>
      </c>
      <c r="AL45" s="50" t="str">
        <f t="shared" si="15"/>
        <v>Check Data</v>
      </c>
      <c r="AM45" s="49" t="str">
        <f>IF(B45="","",IF(K45="S1","S1",INDEX(#REF!,#REF!)))</f>
        <v/>
      </c>
      <c r="AN45" s="49" t="str">
        <f>K45</f>
        <v>M2</v>
      </c>
      <c r="AO45" s="50" t="b">
        <f>K45=AM45</f>
        <v>0</v>
      </c>
      <c r="AP45" s="50"/>
    </row>
    <row r="46" spans="1:42" ht="21.75">
      <c r="A46" s="49">
        <v>44</v>
      </c>
      <c r="B46" s="50"/>
      <c r="C46" s="50"/>
      <c r="D46" s="50" t="s">
        <v>143</v>
      </c>
      <c r="E46" s="49" t="s">
        <v>327</v>
      </c>
      <c r="F46" s="49" t="str">
        <f t="shared" si="0"/>
        <v>21/06/1988</v>
      </c>
      <c r="G46" s="50">
        <f t="shared" si="1"/>
        <v>36</v>
      </c>
      <c r="H46" s="50">
        <f t="shared" si="2"/>
        <v>11</v>
      </c>
      <c r="I46" s="50">
        <f t="shared" si="3"/>
        <v>30</v>
      </c>
      <c r="J46" s="59"/>
      <c r="K46" s="49" t="s">
        <v>136</v>
      </c>
      <c r="L46" s="64"/>
      <c r="M46" s="49" t="s">
        <v>425</v>
      </c>
      <c r="N46" s="49">
        <v>2570</v>
      </c>
      <c r="O46" s="65" t="s">
        <v>301</v>
      </c>
      <c r="P46" s="49" t="str">
        <f t="shared" si="4"/>
        <v>29/11/2018</v>
      </c>
      <c r="Q46" s="68">
        <f t="shared" si="5"/>
        <v>6</v>
      </c>
      <c r="R46" s="68">
        <f t="shared" si="6"/>
        <v>6</v>
      </c>
      <c r="S46" s="68">
        <f t="shared" si="7"/>
        <v>22</v>
      </c>
      <c r="T46" s="65"/>
      <c r="U46" s="65"/>
      <c r="V46" s="49" t="str">
        <f t="shared" si="8"/>
        <v/>
      </c>
      <c r="W46" s="68">
        <f>IF(V46="",0,DATEDIF(V46,P46,"Y"))</f>
        <v>0</v>
      </c>
      <c r="X46" s="68">
        <f>IF(V46="",0,DATEDIF(V46,P46,"YM"))</f>
        <v>0</v>
      </c>
      <c r="Y46" s="68">
        <f>IF(V46="",0,DATEDIF(V46,P46,"MD"))</f>
        <v>0</v>
      </c>
      <c r="Z46" s="49"/>
      <c r="AA46" s="65"/>
      <c r="AB46" s="50" t="str">
        <f t="shared" si="9"/>
        <v/>
      </c>
      <c r="AC46" s="68">
        <f t="shared" si="10"/>
        <v>0</v>
      </c>
      <c r="AD46" s="68">
        <f t="shared" si="11"/>
        <v>0</v>
      </c>
      <c r="AE46" s="68">
        <f t="shared" si="12"/>
        <v>0</v>
      </c>
      <c r="AF46" s="50"/>
      <c r="AG46" s="50" t="s">
        <v>138</v>
      </c>
      <c r="AH46" s="49" t="str">
        <f>IF(AG46="นิติศาสตร์","K5-LAW","K5-POLICY")</f>
        <v>K5-LAW</v>
      </c>
      <c r="AI46" s="72" t="str">
        <f>_xlfn.IFS(B46="","",AND(AH46="K5-LAW",AG46="นิติศาสตร์",K46="S2",T46="",Z46=""),P46,AND(AH46="K5-LAW",AG46="นิติศาสตร์",K46="S1",T46="",Z46=""),EDATE(P46,12),AND(AH46="K5-LAW",AG46="นิติศาสตร์",OR(K46="M2",K46="K4"),T46="",Z46=""),EDATE(P46,12*2),AND(AH46="K5-LAW",AG46="นิติศาสตร์",OR(Z46="M2",Z46="K4"),AC46&gt;=2,OR(AB46&lt;V46,AB46&lt;P46)),EDATE(AB46,12*2),AND(AH46="K5-LAW",AG46="นิติศาสตร์",Z46="S1",AC46&gt;=1,OR(AB46&lt;V46,AB46&lt;P46)),EDATE(AB46,12),AND(AH46="K5-LAW",AG46="นิติศาสตร์",OR(T46="M2",T46="K4"),W46&gt;=2,V46&lt;P46),EDATE(V46,12*2),AND(AH46="K5-LAW",AG46="นิติศาสตร์",T46="S1",W46&gt;=1,V46&lt;P46),EDATE(V46,12),AND(AH46="K5-LAW",AG46="นิติศาสตร์",OR(T46="S2",T46="K5")),V46,AND(AH46="K5-LAW",AG46="นิติศาสตร์",OR(K46="M2",K46="K4"),Q46&gt;=2),EDATE(P46,12*2),AND(AH46="K5-LAW",AG46="นิติศาสตร์",K46="S1",Q46&gt;=1),EDATE(P46,12),AND(AH46="K5-LAW",AG46="นิติศาสตร์",OR(K46="S2",K46="K5")),P46,AND(AH46="K5-POLICY",AG46&lt;&gt;"นิติศาสตร์",K46="S2",T46="",Z46=""),P46,AND(AH46="K5-POLICY",AG46&lt;&gt;"นิติศาสตร์",K46="S1",T46="",Z46=""),EDATE(P46,12),AND(AH46="K5-POLICY",AG46&lt;&gt;"นิติศาสตร์",OR(K46="M2",K46="K4"),T46="",Z46=""),EDATE(P46,12*2),AND(AH46="K5-POLICY",AG46&lt;&gt;"นิติศาสตร์",OR(Z46="M2",Z46="K4"),AC46&gt;=2,OR(AB46&lt;V46,AB46&lt;P46)),EDATE(AB46,12*2),AND(AH46="K5-POLICY",AG46&lt;&gt;"นิติศาสตร์",Z46="S1",AC46&gt;=1,OR(AB46&lt;V46,AB46&lt;P46)),EDATE(AB46,12),AND(AH46="K5-POLICY",AG46&lt;&gt;"นิติศาสตร์",OR(T46="M2",T46="K4"),W46&gt;=2,V46&lt;P46),EDATE(V46,12*2),AND(AH46="K5-POLICY",AG46&lt;&gt;"นิติศาสตร์",T46="S1",W46&gt;=1,V46&lt;P46),EDATE(V46,12),AND(AH46="K5-POLICY",AG46&lt;&gt;"นิติศาสตร์",OR(T46="S2",T46="K5")),V46,AND(AH46="K5-POLICY",AG46&lt;&gt;"นิติศาสตร์",OR(K46="M2",K46="K4"),Q46&gt;=2),EDATE(P46,12*2),AND(AH46="K5-POLICY",AG46&lt;&gt;"นิติศาสตร์",K46="S1",Q46&gt;=1),EDATE(P46,12),AND(AH46="K5-POLICY",AG46&lt;&gt;"นิติศาสตร์",OR(K46="S2",K46="K5")),P46,TRUE,"Check Data")</f>
        <v/>
      </c>
      <c r="AJ46" s="75" t="str">
        <f t="shared" si="13"/>
        <v>Check Data</v>
      </c>
      <c r="AK46" s="76" t="str">
        <f t="shared" si="14"/>
        <v>Check Data</v>
      </c>
      <c r="AL46" s="50" t="str">
        <f t="shared" si="15"/>
        <v>Check Data</v>
      </c>
      <c r="AM46" s="49" t="str">
        <f>IF(B46="","",IF(K46="S1","S1",INDEX(#REF!,#REF!)))</f>
        <v/>
      </c>
      <c r="AN46" s="49" t="str">
        <f>K46</f>
        <v>M2</v>
      </c>
      <c r="AO46" s="50" t="b">
        <f>K46=AM46</f>
        <v>0</v>
      </c>
      <c r="AP46" s="50"/>
    </row>
    <row r="47" spans="1:42" ht="21.75">
      <c r="A47" s="49">
        <v>45</v>
      </c>
      <c r="B47" s="50"/>
      <c r="C47" s="50"/>
      <c r="D47" s="50" t="s">
        <v>143</v>
      </c>
      <c r="E47" s="49" t="s">
        <v>246</v>
      </c>
      <c r="F47" s="49" t="str">
        <f t="shared" si="0"/>
        <v>13/06/1994</v>
      </c>
      <c r="G47" s="50">
        <f t="shared" si="1"/>
        <v>31</v>
      </c>
      <c r="H47" s="50">
        <f t="shared" si="2"/>
        <v>0</v>
      </c>
      <c r="I47" s="50">
        <f t="shared" si="3"/>
        <v>7</v>
      </c>
      <c r="J47" s="59"/>
      <c r="K47" s="49" t="s">
        <v>136</v>
      </c>
      <c r="L47" s="64"/>
      <c r="M47" s="49" t="s">
        <v>425</v>
      </c>
      <c r="N47" s="49">
        <v>2569</v>
      </c>
      <c r="O47" s="65" t="s">
        <v>301</v>
      </c>
      <c r="P47" s="49" t="str">
        <f t="shared" si="4"/>
        <v>29/11/2018</v>
      </c>
      <c r="Q47" s="68">
        <f t="shared" si="5"/>
        <v>6</v>
      </c>
      <c r="R47" s="68">
        <f t="shared" si="6"/>
        <v>6</v>
      </c>
      <c r="S47" s="68">
        <f t="shared" si="7"/>
        <v>22</v>
      </c>
      <c r="T47" s="65"/>
      <c r="U47" s="65"/>
      <c r="V47" s="49" t="str">
        <f t="shared" si="8"/>
        <v/>
      </c>
      <c r="W47" s="68">
        <f>IF(V47="",0,DATEDIF(V47,P47,"Y"))</f>
        <v>0</v>
      </c>
      <c r="X47" s="68">
        <f>IF(V47="",0,DATEDIF(V47,P47,"YM"))</f>
        <v>0</v>
      </c>
      <c r="Y47" s="68">
        <f>IF(V47="",0,DATEDIF(V47,P47,"MD"))</f>
        <v>0</v>
      </c>
      <c r="Z47" s="49"/>
      <c r="AA47" s="65"/>
      <c r="AB47" s="50" t="str">
        <f t="shared" si="9"/>
        <v/>
      </c>
      <c r="AC47" s="68">
        <f t="shared" si="10"/>
        <v>0</v>
      </c>
      <c r="AD47" s="68">
        <f t="shared" si="11"/>
        <v>0</v>
      </c>
      <c r="AE47" s="68">
        <f t="shared" si="12"/>
        <v>0</v>
      </c>
      <c r="AF47" s="50"/>
      <c r="AG47" s="50" t="s">
        <v>138</v>
      </c>
      <c r="AH47" s="49" t="str">
        <f>IF(AG47="นิติศาสตร์","K5-LAW","K5-POLICY")</f>
        <v>K5-LAW</v>
      </c>
      <c r="AI47" s="72" t="str">
        <f>_xlfn.IFS(B47="","",AND(AH47="K5-LAW",AG47="นิติศาสตร์",K47="S2",T47="",Z47=""),P47,AND(AH47="K5-LAW",AG47="นิติศาสตร์",K47="S1",T47="",Z47=""),EDATE(P47,12),AND(AH47="K5-LAW",AG47="นิติศาสตร์",OR(K47="M2",K47="K4"),T47="",Z47=""),EDATE(P47,12*2),AND(AH47="K5-LAW",AG47="นิติศาสตร์",OR(Z47="M2",Z47="K4"),AC47&gt;=2,OR(AB47&lt;V47,AB47&lt;P47)),EDATE(AB47,12*2),AND(AH47="K5-LAW",AG47="นิติศาสตร์",Z47="S1",AC47&gt;=1,OR(AB47&lt;V47,AB47&lt;P47)),EDATE(AB47,12),AND(AH47="K5-LAW",AG47="นิติศาสตร์",OR(T47="M2",T47="K4"),W47&gt;=2,V47&lt;P47),EDATE(V47,12*2),AND(AH47="K5-LAW",AG47="นิติศาสตร์",T47="S1",W47&gt;=1,V47&lt;P47),EDATE(V47,12),AND(AH47="K5-LAW",AG47="นิติศาสตร์",OR(T47="S2",T47="K5")),V47,AND(AH47="K5-LAW",AG47="นิติศาสตร์",OR(K47="M2",K47="K4"),Q47&gt;=2),EDATE(P47,12*2),AND(AH47="K5-LAW",AG47="นิติศาสตร์",K47="S1",Q47&gt;=1),EDATE(P47,12),AND(AH47="K5-LAW",AG47="นิติศาสตร์",OR(K47="S2",K47="K5")),P47,AND(AH47="K5-POLICY",AG47&lt;&gt;"นิติศาสตร์",K47="S2",T47="",Z47=""),P47,AND(AH47="K5-POLICY",AG47&lt;&gt;"นิติศาสตร์",K47="S1",T47="",Z47=""),EDATE(P47,12),AND(AH47="K5-POLICY",AG47&lt;&gt;"นิติศาสตร์",OR(K47="M2",K47="K4"),T47="",Z47=""),EDATE(P47,12*2),AND(AH47="K5-POLICY",AG47&lt;&gt;"นิติศาสตร์",OR(Z47="M2",Z47="K4"),AC47&gt;=2,OR(AB47&lt;V47,AB47&lt;P47)),EDATE(AB47,12*2),AND(AH47="K5-POLICY",AG47&lt;&gt;"นิติศาสตร์",Z47="S1",AC47&gt;=1,OR(AB47&lt;V47,AB47&lt;P47)),EDATE(AB47,12),AND(AH47="K5-POLICY",AG47&lt;&gt;"นิติศาสตร์",OR(T47="M2",T47="K4"),W47&gt;=2,V47&lt;P47),EDATE(V47,12*2),AND(AH47="K5-POLICY",AG47&lt;&gt;"นิติศาสตร์",T47="S1",W47&gt;=1,V47&lt;P47),EDATE(V47,12),AND(AH47="K5-POLICY",AG47&lt;&gt;"นิติศาสตร์",OR(T47="S2",T47="K5")),V47,AND(AH47="K5-POLICY",AG47&lt;&gt;"นิติศาสตร์",OR(K47="M2",K47="K4"),Q47&gt;=2),EDATE(P47,12*2),AND(AH47="K5-POLICY",AG47&lt;&gt;"นิติศาสตร์",K47="S1",Q47&gt;=1),EDATE(P47,12),AND(AH47="K5-POLICY",AG47&lt;&gt;"นิติศาสตร์",OR(K47="S2",K47="K5")),P47,TRUE,"Check Data")</f>
        <v/>
      </c>
      <c r="AJ47" s="75" t="str">
        <f t="shared" si="13"/>
        <v>Check Data</v>
      </c>
      <c r="AK47" s="76" t="str">
        <f t="shared" si="14"/>
        <v>Check Data</v>
      </c>
      <c r="AL47" s="50" t="str">
        <f t="shared" si="15"/>
        <v>Check Data</v>
      </c>
      <c r="AM47" s="49" t="str">
        <f>IF(B47="","",IF(K47="S1","S1",INDEX(#REF!,#REF!)))</f>
        <v/>
      </c>
      <c r="AN47" s="49" t="str">
        <f>K47</f>
        <v>M2</v>
      </c>
      <c r="AO47" s="50" t="b">
        <f>K47=AM47</f>
        <v>0</v>
      </c>
      <c r="AP47" s="50"/>
    </row>
    <row r="48" spans="1:42" ht="21.75">
      <c r="A48" s="49">
        <v>46</v>
      </c>
      <c r="B48" s="50"/>
      <c r="C48" s="50"/>
      <c r="D48" s="50" t="s">
        <v>143</v>
      </c>
      <c r="E48" s="49" t="s">
        <v>312</v>
      </c>
      <c r="F48" s="49" t="str">
        <f t="shared" si="0"/>
        <v>04/05/2000</v>
      </c>
      <c r="G48" s="50">
        <f t="shared" si="1"/>
        <v>25</v>
      </c>
      <c r="H48" s="50">
        <f t="shared" si="2"/>
        <v>1</v>
      </c>
      <c r="I48" s="50">
        <f t="shared" si="3"/>
        <v>16</v>
      </c>
      <c r="J48" s="59"/>
      <c r="K48" s="49" t="s">
        <v>136</v>
      </c>
      <c r="L48" s="64"/>
      <c r="M48" s="49" t="s">
        <v>425</v>
      </c>
      <c r="N48" s="49">
        <v>2574</v>
      </c>
      <c r="O48" s="65" t="s">
        <v>301</v>
      </c>
      <c r="P48" s="49" t="str">
        <f t="shared" si="4"/>
        <v>29/11/2018</v>
      </c>
      <c r="Q48" s="68">
        <f t="shared" si="5"/>
        <v>6</v>
      </c>
      <c r="R48" s="68">
        <f t="shared" si="6"/>
        <v>6</v>
      </c>
      <c r="S48" s="68">
        <f t="shared" si="7"/>
        <v>22</v>
      </c>
      <c r="T48" s="65"/>
      <c r="U48" s="65"/>
      <c r="V48" s="49" t="str">
        <f t="shared" si="8"/>
        <v/>
      </c>
      <c r="W48" s="68">
        <f>IF(V48="",0,DATEDIF(V48,P48,"Y"))</f>
        <v>0</v>
      </c>
      <c r="X48" s="68">
        <f>IF(V48="",0,DATEDIF(V48,P48,"YM"))</f>
        <v>0</v>
      </c>
      <c r="Y48" s="68">
        <f>IF(V48="",0,DATEDIF(V48,P48,"MD"))</f>
        <v>0</v>
      </c>
      <c r="Z48" s="49"/>
      <c r="AA48" s="65"/>
      <c r="AB48" s="50" t="str">
        <f t="shared" si="9"/>
        <v/>
      </c>
      <c r="AC48" s="68">
        <f t="shared" si="10"/>
        <v>0</v>
      </c>
      <c r="AD48" s="68">
        <f t="shared" si="11"/>
        <v>0</v>
      </c>
      <c r="AE48" s="68">
        <f t="shared" si="12"/>
        <v>0</v>
      </c>
      <c r="AF48" s="50"/>
      <c r="AG48" s="50" t="s">
        <v>166</v>
      </c>
      <c r="AH48" s="49" t="str">
        <f>IF(AG48="นิติศาสตร์","K5-LAW","K5-POLICY")</f>
        <v>K5-POLICY</v>
      </c>
      <c r="AI48" s="72" t="str">
        <f>_xlfn.IFS(B48="","",AND(AH48="K5-LAW",AG48="นิติศาสตร์",K48="S2",T48="",Z48=""),P48,AND(AH48="K5-LAW",AG48="นิติศาสตร์",K48="S1",T48="",Z48=""),EDATE(P48,12),AND(AH48="K5-LAW",AG48="นิติศาสตร์",OR(K48="M2",K48="K4"),T48="",Z48=""),EDATE(P48,12*2),AND(AH48="K5-LAW",AG48="นิติศาสตร์",OR(Z48="M2",Z48="K4"),AC48&gt;=2,OR(AB48&lt;V48,AB48&lt;P48)),EDATE(AB48,12*2),AND(AH48="K5-LAW",AG48="นิติศาสตร์",Z48="S1",AC48&gt;=1,OR(AB48&lt;V48,AB48&lt;P48)),EDATE(AB48,12),AND(AH48="K5-LAW",AG48="นิติศาสตร์",OR(T48="M2",T48="K4"),W48&gt;=2,V48&lt;P48),EDATE(V48,12*2),AND(AH48="K5-LAW",AG48="นิติศาสตร์",T48="S1",W48&gt;=1,V48&lt;P48),EDATE(V48,12),AND(AH48="K5-LAW",AG48="นิติศาสตร์",OR(T48="S2",T48="K5")),V48,AND(AH48="K5-LAW",AG48="นิติศาสตร์",OR(K48="M2",K48="K4"),Q48&gt;=2),EDATE(P48,12*2),AND(AH48="K5-LAW",AG48="นิติศาสตร์",K48="S1",Q48&gt;=1),EDATE(P48,12),AND(AH48="K5-LAW",AG48="นิติศาสตร์",OR(K48="S2",K48="K5")),P48,AND(AH48="K5-POLICY",AG48&lt;&gt;"นิติศาสตร์",K48="S2",T48="",Z48=""),P48,AND(AH48="K5-POLICY",AG48&lt;&gt;"นิติศาสตร์",K48="S1",T48="",Z48=""),EDATE(P48,12),AND(AH48="K5-POLICY",AG48&lt;&gt;"นิติศาสตร์",OR(K48="M2",K48="K4"),T48="",Z48=""),EDATE(P48,12*2),AND(AH48="K5-POLICY",AG48&lt;&gt;"นิติศาสตร์",OR(Z48="M2",Z48="K4"),AC48&gt;=2,OR(AB48&lt;V48,AB48&lt;P48)),EDATE(AB48,12*2),AND(AH48="K5-POLICY",AG48&lt;&gt;"นิติศาสตร์",Z48="S1",AC48&gt;=1,OR(AB48&lt;V48,AB48&lt;P48)),EDATE(AB48,12),AND(AH48="K5-POLICY",AG48&lt;&gt;"นิติศาสตร์",OR(T48="M2",T48="K4"),W48&gt;=2,V48&lt;P48),EDATE(V48,12*2),AND(AH48="K5-POLICY",AG48&lt;&gt;"นิติศาสตร์",T48="S1",W48&gt;=1,V48&lt;P48),EDATE(V48,12),AND(AH48="K5-POLICY",AG48&lt;&gt;"นิติศาสตร์",OR(T48="S2",T48="K5")),V48,AND(AH48="K5-POLICY",AG48&lt;&gt;"นิติศาสตร์",OR(K48="M2",K48="K4"),Q48&gt;=2),EDATE(P48,12*2),AND(AH48="K5-POLICY",AG48&lt;&gt;"นิติศาสตร์",K48="S1",Q48&gt;=1),EDATE(P48,12),AND(AH48="K5-POLICY",AG48&lt;&gt;"นิติศาสตร์",OR(K48="S2",K48="K5")),P48,TRUE,"Check Data")</f>
        <v/>
      </c>
      <c r="AJ48" s="75" t="str">
        <f t="shared" si="13"/>
        <v>Check Data</v>
      </c>
      <c r="AK48" s="76" t="str">
        <f t="shared" si="14"/>
        <v>Check Data</v>
      </c>
      <c r="AL48" s="50" t="str">
        <f t="shared" si="15"/>
        <v>Check Data</v>
      </c>
      <c r="AM48" s="49" t="str">
        <f>IF(B48="","",IF(K48="S1","S1",INDEX(#REF!,#REF!)))</f>
        <v/>
      </c>
      <c r="AN48" s="49" t="str">
        <f>K48</f>
        <v>M2</v>
      </c>
      <c r="AO48" s="50" t="b">
        <f>K48=AM48</f>
        <v>0</v>
      </c>
      <c r="AP48" s="50"/>
    </row>
    <row r="49" spans="1:42" ht="21.75">
      <c r="A49" s="49">
        <v>47</v>
      </c>
      <c r="B49" s="50"/>
      <c r="C49" s="50"/>
      <c r="D49" s="50" t="s">
        <v>140</v>
      </c>
      <c r="E49" s="49" t="s">
        <v>240</v>
      </c>
      <c r="F49" s="49" t="str">
        <f t="shared" si="0"/>
        <v>16/06/1997</v>
      </c>
      <c r="G49" s="50">
        <f t="shared" si="1"/>
        <v>28</v>
      </c>
      <c r="H49" s="50">
        <f t="shared" si="2"/>
        <v>0</v>
      </c>
      <c r="I49" s="50">
        <f t="shared" si="3"/>
        <v>4</v>
      </c>
      <c r="J49" s="57"/>
      <c r="K49" s="49" t="s">
        <v>136</v>
      </c>
      <c r="L49" s="64"/>
      <c r="M49" s="49" t="s">
        <v>425</v>
      </c>
      <c r="N49" s="49">
        <v>2580</v>
      </c>
      <c r="O49" s="65" t="s">
        <v>241</v>
      </c>
      <c r="P49" s="49" t="str">
        <f t="shared" si="4"/>
        <v>08/01/2019</v>
      </c>
      <c r="Q49" s="68">
        <f t="shared" si="5"/>
        <v>6</v>
      </c>
      <c r="R49" s="68">
        <f t="shared" si="6"/>
        <v>5</v>
      </c>
      <c r="S49" s="68">
        <f t="shared" si="7"/>
        <v>12</v>
      </c>
      <c r="T49" s="65"/>
      <c r="U49" s="65"/>
      <c r="V49" s="49" t="str">
        <f t="shared" si="8"/>
        <v/>
      </c>
      <c r="W49" s="68">
        <f>IF(V49="",0,DATEDIF(V49,P49,"Y"))</f>
        <v>0</v>
      </c>
      <c r="X49" s="68">
        <f>IF(V49="",0,DATEDIF(V49,P49,"YM"))</f>
        <v>0</v>
      </c>
      <c r="Y49" s="68">
        <f>IF(V49="",0,DATEDIF(V49,P49,"MD"))</f>
        <v>0</v>
      </c>
      <c r="Z49" s="49"/>
      <c r="AA49" s="65"/>
      <c r="AB49" s="50" t="str">
        <f t="shared" si="9"/>
        <v/>
      </c>
      <c r="AC49" s="68">
        <f t="shared" si="10"/>
        <v>0</v>
      </c>
      <c r="AD49" s="68">
        <f t="shared" si="11"/>
        <v>0</v>
      </c>
      <c r="AE49" s="68">
        <f t="shared" si="12"/>
        <v>0</v>
      </c>
      <c r="AF49" s="50"/>
      <c r="AG49" s="50" t="s">
        <v>172</v>
      </c>
      <c r="AH49" s="49" t="str">
        <f>IF(AG49="นิติศาสตร์","K5-LAW","K5-POLICY")</f>
        <v>K5-POLICY</v>
      </c>
      <c r="AI49" s="72" t="str">
        <f>_xlfn.IFS(B49="","",AND(AH49="K5-LAW",AG49="นิติศาสตร์",K49="S2",T49="",Z49=""),P49,AND(AH49="K5-LAW",AG49="นิติศาสตร์",K49="S1",T49="",Z49=""),EDATE(P49,12),AND(AH49="K5-LAW",AG49="นิติศาสตร์",OR(K49="M2",K49="K4"),T49="",Z49=""),EDATE(P49,12*2),AND(AH49="K5-LAW",AG49="นิติศาสตร์",OR(Z49="M2",Z49="K4"),AC49&gt;=2,OR(AB49&lt;V49,AB49&lt;P49)),EDATE(AB49,12*2),AND(AH49="K5-LAW",AG49="นิติศาสตร์",Z49="S1",AC49&gt;=1,OR(AB49&lt;V49,AB49&lt;P49)),EDATE(AB49,12),AND(AH49="K5-LAW",AG49="นิติศาสตร์",OR(T49="M2",T49="K4"),W49&gt;=2,V49&lt;P49),EDATE(V49,12*2),AND(AH49="K5-LAW",AG49="นิติศาสตร์",T49="S1",W49&gt;=1,V49&lt;P49),EDATE(V49,12),AND(AH49="K5-LAW",AG49="นิติศาสตร์",OR(T49="S2",T49="K5")),V49,AND(AH49="K5-LAW",AG49="นิติศาสตร์",OR(K49="M2",K49="K4"),Q49&gt;=2),EDATE(P49,12*2),AND(AH49="K5-LAW",AG49="นิติศาสตร์",K49="S1",Q49&gt;=1),EDATE(P49,12),AND(AH49="K5-LAW",AG49="นิติศาสตร์",OR(K49="S2",K49="K5")),P49,AND(AH49="K5-POLICY",AG49&lt;&gt;"นิติศาสตร์",K49="S2",T49="",Z49=""),P49,AND(AH49="K5-POLICY",AG49&lt;&gt;"นิติศาสตร์",K49="S1",T49="",Z49=""),EDATE(P49,12),AND(AH49="K5-POLICY",AG49&lt;&gt;"นิติศาสตร์",OR(K49="M2",K49="K4"),T49="",Z49=""),EDATE(P49,12*2),AND(AH49="K5-POLICY",AG49&lt;&gt;"นิติศาสตร์",OR(Z49="M2",Z49="K4"),AC49&gt;=2,OR(AB49&lt;V49,AB49&lt;P49)),EDATE(AB49,12*2),AND(AH49="K5-POLICY",AG49&lt;&gt;"นิติศาสตร์",Z49="S1",AC49&gt;=1,OR(AB49&lt;V49,AB49&lt;P49)),EDATE(AB49,12),AND(AH49="K5-POLICY",AG49&lt;&gt;"นิติศาสตร์",OR(T49="M2",T49="K4"),W49&gt;=2,V49&lt;P49),EDATE(V49,12*2),AND(AH49="K5-POLICY",AG49&lt;&gt;"นิติศาสตร์",T49="S1",W49&gt;=1,V49&lt;P49),EDATE(V49,12),AND(AH49="K5-POLICY",AG49&lt;&gt;"นิติศาสตร์",OR(T49="S2",T49="K5")),V49,AND(AH49="K5-POLICY",AG49&lt;&gt;"นิติศาสตร์",OR(K49="M2",K49="K4"),Q49&gt;=2),EDATE(P49,12*2),AND(AH49="K5-POLICY",AG49&lt;&gt;"นิติศาสตร์",K49="S1",Q49&gt;=1),EDATE(P49,12),AND(AH49="K5-POLICY",AG49&lt;&gt;"นิติศาสตร์",OR(K49="S2",K49="K5")),P49,TRUE,"Check Data")</f>
        <v/>
      </c>
      <c r="AJ49" s="75" t="str">
        <f t="shared" si="13"/>
        <v>Check Data</v>
      </c>
      <c r="AK49" s="76" t="str">
        <f t="shared" si="14"/>
        <v>Check Data</v>
      </c>
      <c r="AL49" s="50" t="str">
        <f t="shared" si="15"/>
        <v>Check Data</v>
      </c>
      <c r="AM49" s="49" t="str">
        <f>IF(B49="","",IF(K49="S1","S1",INDEX(#REF!,#REF!)))</f>
        <v/>
      </c>
      <c r="AN49" s="49" t="str">
        <f>K49</f>
        <v>M2</v>
      </c>
      <c r="AO49" s="50" t="b">
        <f>K49=AM49</f>
        <v>0</v>
      </c>
      <c r="AP49" s="50"/>
    </row>
    <row r="50" spans="1:42" ht="21.75">
      <c r="A50" s="49">
        <v>48</v>
      </c>
      <c r="B50" s="50"/>
      <c r="C50" s="50"/>
      <c r="D50" s="50" t="s">
        <v>141</v>
      </c>
      <c r="E50" s="49" t="s">
        <v>260</v>
      </c>
      <c r="F50" s="49" t="str">
        <f t="shared" si="0"/>
        <v>04/03/1996</v>
      </c>
      <c r="G50" s="50">
        <f t="shared" si="1"/>
        <v>29</v>
      </c>
      <c r="H50" s="50">
        <f t="shared" si="2"/>
        <v>3</v>
      </c>
      <c r="I50" s="50">
        <f t="shared" si="3"/>
        <v>16</v>
      </c>
      <c r="J50" s="60"/>
      <c r="K50" s="49" t="s">
        <v>136</v>
      </c>
      <c r="L50" s="64"/>
      <c r="M50" s="49" t="s">
        <v>425</v>
      </c>
      <c r="N50" s="49">
        <v>2571</v>
      </c>
      <c r="O50" s="65" t="s">
        <v>248</v>
      </c>
      <c r="P50" s="49" t="str">
        <f t="shared" si="4"/>
        <v>03/04/2019</v>
      </c>
      <c r="Q50" s="68">
        <f t="shared" si="5"/>
        <v>6</v>
      </c>
      <c r="R50" s="68">
        <f t="shared" si="6"/>
        <v>2</v>
      </c>
      <c r="S50" s="68">
        <f t="shared" si="7"/>
        <v>17</v>
      </c>
      <c r="T50" s="65"/>
      <c r="U50" s="65"/>
      <c r="V50" s="49" t="str">
        <f t="shared" si="8"/>
        <v/>
      </c>
      <c r="W50" s="68">
        <f>IF(V50="",0,DATEDIF(V50,P50,"Y"))</f>
        <v>0</v>
      </c>
      <c r="X50" s="68">
        <f>IF(V50="",0,DATEDIF(V50,P50,"YM"))</f>
        <v>0</v>
      </c>
      <c r="Y50" s="68">
        <f>IF(V50="",0,DATEDIF(V50,P50,"MD"))</f>
        <v>0</v>
      </c>
      <c r="Z50" s="49"/>
      <c r="AA50" s="65"/>
      <c r="AB50" s="50" t="str">
        <f t="shared" si="9"/>
        <v/>
      </c>
      <c r="AC50" s="68">
        <f t="shared" si="10"/>
        <v>0</v>
      </c>
      <c r="AD50" s="68">
        <f t="shared" si="11"/>
        <v>0</v>
      </c>
      <c r="AE50" s="68">
        <f t="shared" si="12"/>
        <v>0</v>
      </c>
      <c r="AF50" s="50"/>
      <c r="AG50" s="50" t="s">
        <v>138</v>
      </c>
      <c r="AH50" s="49" t="str">
        <f>IF(AG50="นิติศาสตร์","K5-LAW","K5-POLICY")</f>
        <v>K5-LAW</v>
      </c>
      <c r="AI50" s="72" t="str">
        <f>_xlfn.IFS(B50="","",AND(AH50="K5-LAW",AG50="นิติศาสตร์",K50="S2",T50="",Z50=""),P50,AND(AH50="K5-LAW",AG50="นิติศาสตร์",K50="S1",T50="",Z50=""),EDATE(P50,12),AND(AH50="K5-LAW",AG50="นิติศาสตร์",OR(K50="M2",K50="K4"),T50="",Z50=""),EDATE(P50,12*2),AND(AH50="K5-LAW",AG50="นิติศาสตร์",OR(Z50="M2",Z50="K4"),AC50&gt;=2,OR(AB50&lt;V50,AB50&lt;P50)),EDATE(AB50,12*2),AND(AH50="K5-LAW",AG50="นิติศาสตร์",Z50="S1",AC50&gt;=1,OR(AB50&lt;V50,AB50&lt;P50)),EDATE(AB50,12),AND(AH50="K5-LAW",AG50="นิติศาสตร์",OR(T50="M2",T50="K4"),W50&gt;=2,V50&lt;P50),EDATE(V50,12*2),AND(AH50="K5-LAW",AG50="นิติศาสตร์",T50="S1",W50&gt;=1,V50&lt;P50),EDATE(V50,12),AND(AH50="K5-LAW",AG50="นิติศาสตร์",OR(T50="S2",T50="K5")),V50,AND(AH50="K5-LAW",AG50="นิติศาสตร์",OR(K50="M2",K50="K4"),Q50&gt;=2),EDATE(P50,12*2),AND(AH50="K5-LAW",AG50="นิติศาสตร์",K50="S1",Q50&gt;=1),EDATE(P50,12),AND(AH50="K5-LAW",AG50="นิติศาสตร์",OR(K50="S2",K50="K5")),P50,AND(AH50="K5-POLICY",AG50&lt;&gt;"นิติศาสตร์",K50="S2",T50="",Z50=""),P50,AND(AH50="K5-POLICY",AG50&lt;&gt;"นิติศาสตร์",K50="S1",T50="",Z50=""),EDATE(P50,12),AND(AH50="K5-POLICY",AG50&lt;&gt;"นิติศาสตร์",OR(K50="M2",K50="K4"),T50="",Z50=""),EDATE(P50,12*2),AND(AH50="K5-POLICY",AG50&lt;&gt;"นิติศาสตร์",OR(Z50="M2",Z50="K4"),AC50&gt;=2,OR(AB50&lt;V50,AB50&lt;P50)),EDATE(AB50,12*2),AND(AH50="K5-POLICY",AG50&lt;&gt;"นิติศาสตร์",Z50="S1",AC50&gt;=1,OR(AB50&lt;V50,AB50&lt;P50)),EDATE(AB50,12),AND(AH50="K5-POLICY",AG50&lt;&gt;"นิติศาสตร์",OR(T50="M2",T50="K4"),W50&gt;=2,V50&lt;P50),EDATE(V50,12*2),AND(AH50="K5-POLICY",AG50&lt;&gt;"นิติศาสตร์",T50="S1",W50&gt;=1,V50&lt;P50),EDATE(V50,12),AND(AH50="K5-POLICY",AG50&lt;&gt;"นิติศาสตร์",OR(T50="S2",T50="K5")),V50,AND(AH50="K5-POLICY",AG50&lt;&gt;"นิติศาสตร์",OR(K50="M2",K50="K4"),Q50&gt;=2),EDATE(P50,12*2),AND(AH50="K5-POLICY",AG50&lt;&gt;"นิติศาสตร์",K50="S1",Q50&gt;=1),EDATE(P50,12),AND(AH50="K5-POLICY",AG50&lt;&gt;"นิติศาสตร์",OR(K50="S2",K50="K5")),P50,TRUE,"Check Data")</f>
        <v/>
      </c>
      <c r="AJ50" s="75" t="str">
        <f t="shared" si="13"/>
        <v>Check Data</v>
      </c>
      <c r="AK50" s="76" t="str">
        <f t="shared" si="14"/>
        <v>Check Data</v>
      </c>
      <c r="AL50" s="50" t="str">
        <f t="shared" si="15"/>
        <v>Check Data</v>
      </c>
      <c r="AM50" s="49" t="str">
        <f>IF(B50="","",IF(K50="S1","S1",INDEX(#REF!,#REF!)))</f>
        <v/>
      </c>
      <c r="AN50" s="49" t="str">
        <f>K50</f>
        <v>M2</v>
      </c>
      <c r="AO50" s="50" t="b">
        <f>K50=AM50</f>
        <v>0</v>
      </c>
      <c r="AP50" s="50"/>
    </row>
    <row r="51" spans="1:42" ht="21.75">
      <c r="A51" s="49">
        <v>49</v>
      </c>
      <c r="B51" s="50"/>
      <c r="C51" s="50"/>
      <c r="D51" s="50" t="s">
        <v>145</v>
      </c>
      <c r="E51" s="49" t="s">
        <v>392</v>
      </c>
      <c r="F51" s="49" t="str">
        <f t="shared" si="0"/>
        <v>07/08/2006</v>
      </c>
      <c r="G51" s="50">
        <f t="shared" si="1"/>
        <v>18</v>
      </c>
      <c r="H51" s="50">
        <f t="shared" si="2"/>
        <v>10</v>
      </c>
      <c r="I51" s="50">
        <f t="shared" si="3"/>
        <v>13</v>
      </c>
      <c r="J51" s="61"/>
      <c r="K51" s="49" t="s">
        <v>136</v>
      </c>
      <c r="L51" s="64"/>
      <c r="M51" s="49" t="s">
        <v>427</v>
      </c>
      <c r="N51" s="49">
        <v>2575</v>
      </c>
      <c r="O51" s="65" t="s">
        <v>467</v>
      </c>
      <c r="P51" s="49" t="str">
        <f t="shared" si="4"/>
        <v>02/05/2019</v>
      </c>
      <c r="Q51" s="68">
        <f t="shared" si="5"/>
        <v>6</v>
      </c>
      <c r="R51" s="68">
        <f t="shared" si="6"/>
        <v>1</v>
      </c>
      <c r="S51" s="68">
        <f t="shared" si="7"/>
        <v>18</v>
      </c>
      <c r="T51" s="65"/>
      <c r="U51" s="65"/>
      <c r="V51" s="49" t="str">
        <f t="shared" si="8"/>
        <v/>
      </c>
      <c r="W51" s="68">
        <f>IF(V51="",0,DATEDIF(V51,P51,"Y"))</f>
        <v>0</v>
      </c>
      <c r="X51" s="68">
        <f>IF(V51="",0,DATEDIF(V51,P51,"YM"))</f>
        <v>0</v>
      </c>
      <c r="Y51" s="68">
        <f>IF(V51="",0,DATEDIF(V51,P51,"MD"))</f>
        <v>0</v>
      </c>
      <c r="Z51" s="49"/>
      <c r="AA51" s="65"/>
      <c r="AB51" s="50" t="str">
        <f t="shared" si="9"/>
        <v/>
      </c>
      <c r="AC51" s="68">
        <f t="shared" si="10"/>
        <v>0</v>
      </c>
      <c r="AD51" s="68">
        <f t="shared" si="11"/>
        <v>0</v>
      </c>
      <c r="AE51" s="68">
        <f t="shared" si="12"/>
        <v>0</v>
      </c>
      <c r="AF51" s="50"/>
      <c r="AG51" s="50" t="s">
        <v>165</v>
      </c>
      <c r="AH51" s="49" t="str">
        <f>IF(AG51="นิติศาสตร์","K5-LAW","K5-POLICY")</f>
        <v>K5-POLICY</v>
      </c>
      <c r="AI51" s="72" t="str">
        <f>_xlfn.IFS(B51="","",AND(AH51="K5-LAW",AG51="นิติศาสตร์",K51="S2",T51="",Z51=""),P51,AND(AH51="K5-LAW",AG51="นิติศาสตร์",K51="S1",T51="",Z51=""),EDATE(P51,12),AND(AH51="K5-LAW",AG51="นิติศาสตร์",OR(K51="M2",K51="K4"),T51="",Z51=""),EDATE(P51,12*2),AND(AH51="K5-LAW",AG51="นิติศาสตร์",OR(Z51="M2",Z51="K4"),AC51&gt;=2,OR(AB51&lt;V51,AB51&lt;P51)),EDATE(AB51,12*2),AND(AH51="K5-LAW",AG51="นิติศาสตร์",Z51="S1",AC51&gt;=1,OR(AB51&lt;V51,AB51&lt;P51)),EDATE(AB51,12),AND(AH51="K5-LAW",AG51="นิติศาสตร์",OR(T51="M2",T51="K4"),W51&gt;=2,V51&lt;P51),EDATE(V51,12*2),AND(AH51="K5-LAW",AG51="นิติศาสตร์",T51="S1",W51&gt;=1,V51&lt;P51),EDATE(V51,12),AND(AH51="K5-LAW",AG51="นิติศาสตร์",OR(T51="S2",T51="K5")),V51,AND(AH51="K5-LAW",AG51="นิติศาสตร์",OR(K51="M2",K51="K4"),Q51&gt;=2),EDATE(P51,12*2),AND(AH51="K5-LAW",AG51="นิติศาสตร์",K51="S1",Q51&gt;=1),EDATE(P51,12),AND(AH51="K5-LAW",AG51="นิติศาสตร์",OR(K51="S2",K51="K5")),P51,AND(AH51="K5-POLICY",AG51&lt;&gt;"นิติศาสตร์",K51="S2",T51="",Z51=""),P51,AND(AH51="K5-POLICY",AG51&lt;&gt;"นิติศาสตร์",K51="S1",T51="",Z51=""),EDATE(P51,12),AND(AH51="K5-POLICY",AG51&lt;&gt;"นิติศาสตร์",OR(K51="M2",K51="K4"),T51="",Z51=""),EDATE(P51,12*2),AND(AH51="K5-POLICY",AG51&lt;&gt;"นิติศาสตร์",OR(Z51="M2",Z51="K4"),AC51&gt;=2,OR(AB51&lt;V51,AB51&lt;P51)),EDATE(AB51,12*2),AND(AH51="K5-POLICY",AG51&lt;&gt;"นิติศาสตร์",Z51="S1",AC51&gt;=1,OR(AB51&lt;V51,AB51&lt;P51)),EDATE(AB51,12),AND(AH51="K5-POLICY",AG51&lt;&gt;"นิติศาสตร์",OR(T51="M2",T51="K4"),W51&gt;=2,V51&lt;P51),EDATE(V51,12*2),AND(AH51="K5-POLICY",AG51&lt;&gt;"นิติศาสตร์",T51="S1",W51&gt;=1,V51&lt;P51),EDATE(V51,12),AND(AH51="K5-POLICY",AG51&lt;&gt;"นิติศาสตร์",OR(T51="S2",T51="K5")),V51,AND(AH51="K5-POLICY",AG51&lt;&gt;"นิติศาสตร์",OR(K51="M2",K51="K4"),Q51&gt;=2),EDATE(P51,12*2),AND(AH51="K5-POLICY",AG51&lt;&gt;"นิติศาสตร์",K51="S1",Q51&gt;=1),EDATE(P51,12),AND(AH51="K5-POLICY",AG51&lt;&gt;"นิติศาสตร์",OR(K51="S2",K51="K5")),P51,TRUE,"Check Data")</f>
        <v/>
      </c>
      <c r="AJ51" s="75" t="str">
        <f t="shared" si="13"/>
        <v>Check Data</v>
      </c>
      <c r="AK51" s="76" t="str">
        <f t="shared" si="14"/>
        <v>Check Data</v>
      </c>
      <c r="AL51" s="50" t="str">
        <f t="shared" si="15"/>
        <v>Check Data</v>
      </c>
      <c r="AM51" s="49" t="str">
        <f>IF(B51="","",IF(K51="S1","S1",INDEX(#REF!,#REF!)))</f>
        <v/>
      </c>
      <c r="AN51" s="49" t="str">
        <f>K51</f>
        <v>M2</v>
      </c>
      <c r="AO51" s="50" t="b">
        <f>K51=AM51</f>
        <v>0</v>
      </c>
      <c r="AP51" s="50"/>
    </row>
    <row r="52" spans="1:42" ht="21.75">
      <c r="A52" s="49">
        <v>50</v>
      </c>
      <c r="B52" s="50"/>
      <c r="C52" s="50"/>
      <c r="D52" s="50" t="s">
        <v>139</v>
      </c>
      <c r="E52" s="49" t="s">
        <v>233</v>
      </c>
      <c r="F52" s="49" t="str">
        <f t="shared" si="0"/>
        <v>08/08/1988</v>
      </c>
      <c r="G52" s="50">
        <f t="shared" si="1"/>
        <v>36</v>
      </c>
      <c r="H52" s="50">
        <f t="shared" si="2"/>
        <v>10</v>
      </c>
      <c r="I52" s="50">
        <f t="shared" si="3"/>
        <v>12</v>
      </c>
      <c r="J52" s="56"/>
      <c r="K52" s="49" t="s">
        <v>136</v>
      </c>
      <c r="L52" s="64"/>
      <c r="M52" s="49" t="s">
        <v>425</v>
      </c>
      <c r="N52" s="49">
        <v>2568</v>
      </c>
      <c r="O52" s="65" t="s">
        <v>213</v>
      </c>
      <c r="P52" s="49" t="str">
        <f t="shared" si="4"/>
        <v>07/05/2019</v>
      </c>
      <c r="Q52" s="68">
        <f t="shared" si="5"/>
        <v>6</v>
      </c>
      <c r="R52" s="68">
        <f t="shared" si="6"/>
        <v>1</v>
      </c>
      <c r="S52" s="68">
        <f t="shared" si="7"/>
        <v>13</v>
      </c>
      <c r="T52" s="65"/>
      <c r="U52" s="65"/>
      <c r="V52" s="49" t="str">
        <f t="shared" si="8"/>
        <v/>
      </c>
      <c r="W52" s="68">
        <f>IF(V52="",0,DATEDIF(V52,P52,"Y"))</f>
        <v>0</v>
      </c>
      <c r="X52" s="68">
        <f>IF(V52="",0,DATEDIF(V52,P52,"YM"))</f>
        <v>0</v>
      </c>
      <c r="Y52" s="68">
        <f>IF(V52="",0,DATEDIF(V52,P52,"MD"))</f>
        <v>0</v>
      </c>
      <c r="Z52" s="49"/>
      <c r="AA52" s="65"/>
      <c r="AB52" s="50" t="str">
        <f t="shared" si="9"/>
        <v/>
      </c>
      <c r="AC52" s="68">
        <f t="shared" si="10"/>
        <v>0</v>
      </c>
      <c r="AD52" s="68">
        <f t="shared" si="11"/>
        <v>0</v>
      </c>
      <c r="AE52" s="68">
        <f t="shared" si="12"/>
        <v>0</v>
      </c>
      <c r="AF52" s="50"/>
      <c r="AG52" s="50" t="s">
        <v>167</v>
      </c>
      <c r="AH52" s="49" t="str">
        <f>IF(AG52="นิติศาสตร์","K5-LAW","K5-POLICY")</f>
        <v>K5-POLICY</v>
      </c>
      <c r="AI52" s="72" t="str">
        <f>_xlfn.IFS(B52="","",AND(AH52="K5-LAW",AG52="นิติศาสตร์",K52="S2",T52="",Z52=""),P52,AND(AH52="K5-LAW",AG52="นิติศาสตร์",K52="S1",T52="",Z52=""),EDATE(P52,12),AND(AH52="K5-LAW",AG52="นิติศาสตร์",OR(K52="M2",K52="K4"),T52="",Z52=""),EDATE(P52,12*2),AND(AH52="K5-LAW",AG52="นิติศาสตร์",OR(Z52="M2",Z52="K4"),AC52&gt;=2,OR(AB52&lt;V52,AB52&lt;P52)),EDATE(AB52,12*2),AND(AH52="K5-LAW",AG52="นิติศาสตร์",Z52="S1",AC52&gt;=1,OR(AB52&lt;V52,AB52&lt;P52)),EDATE(AB52,12),AND(AH52="K5-LAW",AG52="นิติศาสตร์",OR(T52="M2",T52="K4"),W52&gt;=2,V52&lt;P52),EDATE(V52,12*2),AND(AH52="K5-LAW",AG52="นิติศาสตร์",T52="S1",W52&gt;=1,V52&lt;P52),EDATE(V52,12),AND(AH52="K5-LAW",AG52="นิติศาสตร์",OR(T52="S2",T52="K5")),V52,AND(AH52="K5-LAW",AG52="นิติศาสตร์",OR(K52="M2",K52="K4"),Q52&gt;=2),EDATE(P52,12*2),AND(AH52="K5-LAW",AG52="นิติศาสตร์",K52="S1",Q52&gt;=1),EDATE(P52,12),AND(AH52="K5-LAW",AG52="นิติศาสตร์",OR(K52="S2",K52="K5")),P52,AND(AH52="K5-POLICY",AG52&lt;&gt;"นิติศาสตร์",K52="S2",T52="",Z52=""),P52,AND(AH52="K5-POLICY",AG52&lt;&gt;"นิติศาสตร์",K52="S1",T52="",Z52=""),EDATE(P52,12),AND(AH52="K5-POLICY",AG52&lt;&gt;"นิติศาสตร์",OR(K52="M2",K52="K4"),T52="",Z52=""),EDATE(P52,12*2),AND(AH52="K5-POLICY",AG52&lt;&gt;"นิติศาสตร์",OR(Z52="M2",Z52="K4"),AC52&gt;=2,OR(AB52&lt;V52,AB52&lt;P52)),EDATE(AB52,12*2),AND(AH52="K5-POLICY",AG52&lt;&gt;"นิติศาสตร์",Z52="S1",AC52&gt;=1,OR(AB52&lt;V52,AB52&lt;P52)),EDATE(AB52,12),AND(AH52="K5-POLICY",AG52&lt;&gt;"นิติศาสตร์",OR(T52="M2",T52="K4"),W52&gt;=2,V52&lt;P52),EDATE(V52,12*2),AND(AH52="K5-POLICY",AG52&lt;&gt;"นิติศาสตร์",T52="S1",W52&gt;=1,V52&lt;P52),EDATE(V52,12),AND(AH52="K5-POLICY",AG52&lt;&gt;"นิติศาสตร์",OR(T52="S2",T52="K5")),V52,AND(AH52="K5-POLICY",AG52&lt;&gt;"นิติศาสตร์",OR(K52="M2",K52="K4"),Q52&gt;=2),EDATE(P52,12*2),AND(AH52="K5-POLICY",AG52&lt;&gt;"นิติศาสตร์",K52="S1",Q52&gt;=1),EDATE(P52,12),AND(AH52="K5-POLICY",AG52&lt;&gt;"นิติศาสตร์",OR(K52="S2",K52="K5")),P52,TRUE,"Check Data")</f>
        <v/>
      </c>
      <c r="AJ52" s="75" t="str">
        <f t="shared" si="13"/>
        <v>Check Data</v>
      </c>
      <c r="AK52" s="76" t="str">
        <f t="shared" si="14"/>
        <v>Check Data</v>
      </c>
      <c r="AL52" s="50" t="str">
        <f t="shared" si="15"/>
        <v>Check Data</v>
      </c>
      <c r="AM52" s="49" t="str">
        <f>IF(B52="","",IF(K52="S1","S1",INDEX(#REF!,#REF!)))</f>
        <v/>
      </c>
      <c r="AN52" s="49" t="str">
        <f>K52</f>
        <v>M2</v>
      </c>
      <c r="AO52" s="50" t="b">
        <f>K52=AM52</f>
        <v>0</v>
      </c>
      <c r="AP52" s="50"/>
    </row>
    <row r="53" spans="1:42" ht="21.75">
      <c r="A53" s="49">
        <v>51</v>
      </c>
      <c r="B53" s="50"/>
      <c r="C53" s="50"/>
      <c r="D53" s="50" t="s">
        <v>139</v>
      </c>
      <c r="E53" s="49" t="s">
        <v>164</v>
      </c>
      <c r="F53" s="49" t="str">
        <f t="shared" si="0"/>
        <v>01/05/1990</v>
      </c>
      <c r="G53" s="50">
        <f t="shared" si="1"/>
        <v>35</v>
      </c>
      <c r="H53" s="50">
        <f t="shared" si="2"/>
        <v>1</v>
      </c>
      <c r="I53" s="50">
        <f t="shared" si="3"/>
        <v>19</v>
      </c>
      <c r="J53" s="56"/>
      <c r="K53" s="49" t="s">
        <v>136</v>
      </c>
      <c r="L53" s="64"/>
      <c r="M53" s="49" t="s">
        <v>425</v>
      </c>
      <c r="N53" s="49">
        <v>2568</v>
      </c>
      <c r="O53" s="65" t="s">
        <v>213</v>
      </c>
      <c r="P53" s="49" t="str">
        <f t="shared" si="4"/>
        <v>07/05/2019</v>
      </c>
      <c r="Q53" s="68">
        <f t="shared" si="5"/>
        <v>6</v>
      </c>
      <c r="R53" s="68">
        <f t="shared" si="6"/>
        <v>1</v>
      </c>
      <c r="S53" s="68">
        <f t="shared" si="7"/>
        <v>13</v>
      </c>
      <c r="T53" s="65"/>
      <c r="U53" s="65"/>
      <c r="V53" s="49" t="str">
        <f t="shared" si="8"/>
        <v/>
      </c>
      <c r="W53" s="68">
        <f>IF(V53="",0,DATEDIF(V53,P53,"Y"))</f>
        <v>0</v>
      </c>
      <c r="X53" s="68">
        <f>IF(V53="",0,DATEDIF(V53,P53,"YM"))</f>
        <v>0</v>
      </c>
      <c r="Y53" s="68">
        <f>IF(V53="",0,DATEDIF(V53,P53,"MD"))</f>
        <v>0</v>
      </c>
      <c r="Z53" s="49"/>
      <c r="AA53" s="65"/>
      <c r="AB53" s="50" t="str">
        <f t="shared" si="9"/>
        <v/>
      </c>
      <c r="AC53" s="68">
        <f t="shared" si="10"/>
        <v>0</v>
      </c>
      <c r="AD53" s="68">
        <f t="shared" si="11"/>
        <v>0</v>
      </c>
      <c r="AE53" s="68">
        <f t="shared" si="12"/>
        <v>0</v>
      </c>
      <c r="AF53" s="50"/>
      <c r="AG53" s="50" t="s">
        <v>167</v>
      </c>
      <c r="AH53" s="49" t="str">
        <f>IF(AG53="นิติศาสตร์","K5-LAW","K5-POLICY")</f>
        <v>K5-POLICY</v>
      </c>
      <c r="AI53" s="72" t="str">
        <f>_xlfn.IFS(B53="","",AND(AH53="K5-LAW",AG53="นิติศาสตร์",K53="S2",T53="",Z53=""),P53,AND(AH53="K5-LAW",AG53="นิติศาสตร์",K53="S1",T53="",Z53=""),EDATE(P53,12),AND(AH53="K5-LAW",AG53="นิติศาสตร์",OR(K53="M2",K53="K4"),T53="",Z53=""),EDATE(P53,12*2),AND(AH53="K5-LAW",AG53="นิติศาสตร์",OR(Z53="M2",Z53="K4"),AC53&gt;=2,OR(AB53&lt;V53,AB53&lt;P53)),EDATE(AB53,12*2),AND(AH53="K5-LAW",AG53="นิติศาสตร์",Z53="S1",AC53&gt;=1,OR(AB53&lt;V53,AB53&lt;P53)),EDATE(AB53,12),AND(AH53="K5-LAW",AG53="นิติศาสตร์",OR(T53="M2",T53="K4"),W53&gt;=2,V53&lt;P53),EDATE(V53,12*2),AND(AH53="K5-LAW",AG53="นิติศาสตร์",T53="S1",W53&gt;=1,V53&lt;P53),EDATE(V53,12),AND(AH53="K5-LAW",AG53="นิติศาสตร์",OR(T53="S2",T53="K5")),V53,AND(AH53="K5-LAW",AG53="นิติศาสตร์",OR(K53="M2",K53="K4"),Q53&gt;=2),EDATE(P53,12*2),AND(AH53="K5-LAW",AG53="นิติศาสตร์",K53="S1",Q53&gt;=1),EDATE(P53,12),AND(AH53="K5-LAW",AG53="นิติศาสตร์",OR(K53="S2",K53="K5")),P53,AND(AH53="K5-POLICY",AG53&lt;&gt;"นิติศาสตร์",K53="S2",T53="",Z53=""),P53,AND(AH53="K5-POLICY",AG53&lt;&gt;"นิติศาสตร์",K53="S1",T53="",Z53=""),EDATE(P53,12),AND(AH53="K5-POLICY",AG53&lt;&gt;"นิติศาสตร์",OR(K53="M2",K53="K4"),T53="",Z53=""),EDATE(P53,12*2),AND(AH53="K5-POLICY",AG53&lt;&gt;"นิติศาสตร์",OR(Z53="M2",Z53="K4"),AC53&gt;=2,OR(AB53&lt;V53,AB53&lt;P53)),EDATE(AB53,12*2),AND(AH53="K5-POLICY",AG53&lt;&gt;"นิติศาสตร์",Z53="S1",AC53&gt;=1,OR(AB53&lt;V53,AB53&lt;P53)),EDATE(AB53,12),AND(AH53="K5-POLICY",AG53&lt;&gt;"นิติศาสตร์",OR(T53="M2",T53="K4"),W53&gt;=2,V53&lt;P53),EDATE(V53,12*2),AND(AH53="K5-POLICY",AG53&lt;&gt;"นิติศาสตร์",T53="S1",W53&gt;=1,V53&lt;P53),EDATE(V53,12),AND(AH53="K5-POLICY",AG53&lt;&gt;"นิติศาสตร์",OR(T53="S2",T53="K5")),V53,AND(AH53="K5-POLICY",AG53&lt;&gt;"นิติศาสตร์",OR(K53="M2",K53="K4"),Q53&gt;=2),EDATE(P53,12*2),AND(AH53="K5-POLICY",AG53&lt;&gt;"นิติศาสตร์",K53="S1",Q53&gt;=1),EDATE(P53,12),AND(AH53="K5-POLICY",AG53&lt;&gt;"นิติศาสตร์",OR(K53="S2",K53="K5")),P53,TRUE,"Check Data")</f>
        <v/>
      </c>
      <c r="AJ53" s="75" t="str">
        <f t="shared" si="13"/>
        <v>Check Data</v>
      </c>
      <c r="AK53" s="76" t="str">
        <f t="shared" si="14"/>
        <v>Check Data</v>
      </c>
      <c r="AL53" s="50" t="str">
        <f t="shared" si="15"/>
        <v>Check Data</v>
      </c>
      <c r="AM53" s="49" t="str">
        <f>IF(B53="","",IF(K53="S1","S1",INDEX(#REF!,#REF!)))</f>
        <v/>
      </c>
      <c r="AN53" s="49" t="str">
        <f>K53</f>
        <v>M2</v>
      </c>
      <c r="AO53" s="50" t="b">
        <f>K53=AM53</f>
        <v>0</v>
      </c>
      <c r="AP53" s="50"/>
    </row>
    <row r="54" spans="1:42" ht="21.75">
      <c r="A54" s="49">
        <v>52</v>
      </c>
      <c r="B54" s="50"/>
      <c r="C54" s="50"/>
      <c r="D54" s="50" t="s">
        <v>140</v>
      </c>
      <c r="E54" s="49" t="s">
        <v>239</v>
      </c>
      <c r="F54" s="49" t="str">
        <f t="shared" si="0"/>
        <v>01/05/1985</v>
      </c>
      <c r="G54" s="50">
        <f t="shared" si="1"/>
        <v>40</v>
      </c>
      <c r="H54" s="50">
        <f t="shared" si="2"/>
        <v>1</v>
      </c>
      <c r="I54" s="50">
        <f t="shared" si="3"/>
        <v>19</v>
      </c>
      <c r="J54" s="57"/>
      <c r="K54" s="49" t="s">
        <v>136</v>
      </c>
      <c r="L54" s="64"/>
      <c r="M54" s="49" t="s">
        <v>425</v>
      </c>
      <c r="N54" s="49">
        <v>2568</v>
      </c>
      <c r="O54" s="65" t="s">
        <v>213</v>
      </c>
      <c r="P54" s="49" t="str">
        <f t="shared" si="4"/>
        <v>07/05/2019</v>
      </c>
      <c r="Q54" s="68">
        <f t="shared" si="5"/>
        <v>6</v>
      </c>
      <c r="R54" s="68">
        <f t="shared" si="6"/>
        <v>1</v>
      </c>
      <c r="S54" s="68">
        <f t="shared" si="7"/>
        <v>13</v>
      </c>
      <c r="T54" s="65"/>
      <c r="U54" s="65"/>
      <c r="V54" s="49" t="str">
        <f t="shared" si="8"/>
        <v/>
      </c>
      <c r="W54" s="68">
        <f>IF(V54="",0,DATEDIF(V54,P54,"Y"))</f>
        <v>0</v>
      </c>
      <c r="X54" s="68">
        <f>IF(V54="",0,DATEDIF(V54,P54,"YM"))</f>
        <v>0</v>
      </c>
      <c r="Y54" s="68">
        <f>IF(V54="",0,DATEDIF(V54,P54,"MD"))</f>
        <v>0</v>
      </c>
      <c r="Z54" s="49"/>
      <c r="AA54" s="65"/>
      <c r="AB54" s="50" t="str">
        <f t="shared" si="9"/>
        <v/>
      </c>
      <c r="AC54" s="68">
        <f t="shared" si="10"/>
        <v>0</v>
      </c>
      <c r="AD54" s="68">
        <f t="shared" si="11"/>
        <v>0</v>
      </c>
      <c r="AE54" s="68">
        <f t="shared" si="12"/>
        <v>0</v>
      </c>
      <c r="AF54" s="50"/>
      <c r="AG54" s="50" t="s">
        <v>138</v>
      </c>
      <c r="AH54" s="49" t="str">
        <f>IF(AG54="นิติศาสตร์","K5-LAW","K5-POLICY")</f>
        <v>K5-LAW</v>
      </c>
      <c r="AI54" s="72" t="str">
        <f>_xlfn.IFS(B54="","",AND(AH54="K5-LAW",AG54="นิติศาสตร์",K54="S2",T54="",Z54=""),P54,AND(AH54="K5-LAW",AG54="นิติศาสตร์",K54="S1",T54="",Z54=""),EDATE(P54,12),AND(AH54="K5-LAW",AG54="นิติศาสตร์",OR(K54="M2",K54="K4"),T54="",Z54=""),EDATE(P54,12*2),AND(AH54="K5-LAW",AG54="นิติศาสตร์",OR(Z54="M2",Z54="K4"),AC54&gt;=2,OR(AB54&lt;V54,AB54&lt;P54)),EDATE(AB54,12*2),AND(AH54="K5-LAW",AG54="นิติศาสตร์",Z54="S1",AC54&gt;=1,OR(AB54&lt;V54,AB54&lt;P54)),EDATE(AB54,12),AND(AH54="K5-LAW",AG54="นิติศาสตร์",OR(T54="M2",T54="K4"),W54&gt;=2,V54&lt;P54),EDATE(V54,12*2),AND(AH54="K5-LAW",AG54="นิติศาสตร์",T54="S1",W54&gt;=1,V54&lt;P54),EDATE(V54,12),AND(AH54="K5-LAW",AG54="นิติศาสตร์",OR(T54="S2",T54="K5")),V54,AND(AH54="K5-LAW",AG54="นิติศาสตร์",OR(K54="M2",K54="K4"),Q54&gt;=2),EDATE(P54,12*2),AND(AH54="K5-LAW",AG54="นิติศาสตร์",K54="S1",Q54&gt;=1),EDATE(P54,12),AND(AH54="K5-LAW",AG54="นิติศาสตร์",OR(K54="S2",K54="K5")),P54,AND(AH54="K5-POLICY",AG54&lt;&gt;"นิติศาสตร์",K54="S2",T54="",Z54=""),P54,AND(AH54="K5-POLICY",AG54&lt;&gt;"นิติศาสตร์",K54="S1",T54="",Z54=""),EDATE(P54,12),AND(AH54="K5-POLICY",AG54&lt;&gt;"นิติศาสตร์",OR(K54="M2",K54="K4"),T54="",Z54=""),EDATE(P54,12*2),AND(AH54="K5-POLICY",AG54&lt;&gt;"นิติศาสตร์",OR(Z54="M2",Z54="K4"),AC54&gt;=2,OR(AB54&lt;V54,AB54&lt;P54)),EDATE(AB54,12*2),AND(AH54="K5-POLICY",AG54&lt;&gt;"นิติศาสตร์",Z54="S1",AC54&gt;=1,OR(AB54&lt;V54,AB54&lt;P54)),EDATE(AB54,12),AND(AH54="K5-POLICY",AG54&lt;&gt;"นิติศาสตร์",OR(T54="M2",T54="K4"),W54&gt;=2,V54&lt;P54),EDATE(V54,12*2),AND(AH54="K5-POLICY",AG54&lt;&gt;"นิติศาสตร์",T54="S1",W54&gt;=1,V54&lt;P54),EDATE(V54,12),AND(AH54="K5-POLICY",AG54&lt;&gt;"นิติศาสตร์",OR(T54="S2",T54="K5")),V54,AND(AH54="K5-POLICY",AG54&lt;&gt;"นิติศาสตร์",OR(K54="M2",K54="K4"),Q54&gt;=2),EDATE(P54,12*2),AND(AH54="K5-POLICY",AG54&lt;&gt;"นิติศาสตร์",K54="S1",Q54&gt;=1),EDATE(P54,12),AND(AH54="K5-POLICY",AG54&lt;&gt;"นิติศาสตร์",OR(K54="S2",K54="K5")),P54,TRUE,"Check Data")</f>
        <v/>
      </c>
      <c r="AJ54" s="75" t="str">
        <f t="shared" si="13"/>
        <v>Check Data</v>
      </c>
      <c r="AK54" s="76" t="str">
        <f t="shared" si="14"/>
        <v>Check Data</v>
      </c>
      <c r="AL54" s="50" t="str">
        <f t="shared" si="15"/>
        <v>Check Data</v>
      </c>
      <c r="AM54" s="49" t="str">
        <f>IF(B54="","",IF(K54="S1","S1",INDEX(#REF!,#REF!)))</f>
        <v/>
      </c>
      <c r="AN54" s="49" t="str">
        <f>K54</f>
        <v>M2</v>
      </c>
      <c r="AO54" s="50" t="b">
        <f>K54=AM54</f>
        <v>0</v>
      </c>
      <c r="AP54" s="50"/>
    </row>
    <row r="55" spans="1:42" ht="21.75">
      <c r="A55" s="49">
        <v>53</v>
      </c>
      <c r="B55" s="50"/>
      <c r="C55" s="50"/>
      <c r="D55" s="50" t="s">
        <v>144</v>
      </c>
      <c r="E55" s="49" t="s">
        <v>386</v>
      </c>
      <c r="F55" s="49" t="str">
        <f t="shared" si="0"/>
        <v>07/02/1994</v>
      </c>
      <c r="G55" s="50">
        <f t="shared" si="1"/>
        <v>31</v>
      </c>
      <c r="H55" s="50">
        <f t="shared" si="2"/>
        <v>4</v>
      </c>
      <c r="I55" s="50">
        <f t="shared" si="3"/>
        <v>13</v>
      </c>
      <c r="J55" s="57"/>
      <c r="K55" s="49" t="s">
        <v>136</v>
      </c>
      <c r="L55" s="64"/>
      <c r="M55" s="49" t="s">
        <v>425</v>
      </c>
      <c r="N55" s="49">
        <v>2568</v>
      </c>
      <c r="O55" s="65" t="s">
        <v>387</v>
      </c>
      <c r="P55" s="49" t="str">
        <f t="shared" si="4"/>
        <v>01/07/2019</v>
      </c>
      <c r="Q55" s="68">
        <f t="shared" si="5"/>
        <v>5</v>
      </c>
      <c r="R55" s="68">
        <f t="shared" si="6"/>
        <v>11</v>
      </c>
      <c r="S55" s="68">
        <f t="shared" si="7"/>
        <v>19</v>
      </c>
      <c r="T55" s="65"/>
      <c r="U55" s="65"/>
      <c r="V55" s="49" t="str">
        <f t="shared" si="8"/>
        <v/>
      </c>
      <c r="W55" s="68">
        <f>IF(V55="",0,DATEDIF(V55,P55,"Y"))</f>
        <v>0</v>
      </c>
      <c r="X55" s="68">
        <f>IF(V55="",0,DATEDIF(V55,P55,"YM"))</f>
        <v>0</v>
      </c>
      <c r="Y55" s="68">
        <f>IF(V55="",0,DATEDIF(V55,P55,"MD"))</f>
        <v>0</v>
      </c>
      <c r="Z55" s="49"/>
      <c r="AA55" s="65"/>
      <c r="AB55" s="50" t="str">
        <f t="shared" si="9"/>
        <v/>
      </c>
      <c r="AC55" s="68">
        <f t="shared" si="10"/>
        <v>0</v>
      </c>
      <c r="AD55" s="68">
        <f t="shared" si="11"/>
        <v>0</v>
      </c>
      <c r="AE55" s="68">
        <f t="shared" si="12"/>
        <v>0</v>
      </c>
      <c r="AF55" s="50"/>
      <c r="AG55" s="50" t="s">
        <v>138</v>
      </c>
      <c r="AH55" s="49" t="str">
        <f>IF(AG55="นิติศาสตร์","K5-LAW","K5-POLICY")</f>
        <v>K5-LAW</v>
      </c>
      <c r="AI55" s="72" t="str">
        <f>_xlfn.IFS(B55="","",AND(AH55="K5-LAW",AG55="นิติศาสตร์",K55="S2",T55="",Z55=""),P55,AND(AH55="K5-LAW",AG55="นิติศาสตร์",K55="S1",T55="",Z55=""),EDATE(P55,12),AND(AH55="K5-LAW",AG55="นิติศาสตร์",OR(K55="M2",K55="K4"),T55="",Z55=""),EDATE(P55,12*2),AND(AH55="K5-LAW",AG55="นิติศาสตร์",OR(Z55="M2",Z55="K4"),AC55&gt;=2,OR(AB55&lt;V55,AB55&lt;P55)),EDATE(AB55,12*2),AND(AH55="K5-LAW",AG55="นิติศาสตร์",Z55="S1",AC55&gt;=1,OR(AB55&lt;V55,AB55&lt;P55)),EDATE(AB55,12),AND(AH55="K5-LAW",AG55="นิติศาสตร์",OR(T55="M2",T55="K4"),W55&gt;=2,V55&lt;P55),EDATE(V55,12*2),AND(AH55="K5-LAW",AG55="นิติศาสตร์",T55="S1",W55&gt;=1,V55&lt;P55),EDATE(V55,12),AND(AH55="K5-LAW",AG55="นิติศาสตร์",OR(T55="S2",T55="K5")),V55,AND(AH55="K5-LAW",AG55="นิติศาสตร์",OR(K55="M2",K55="K4"),Q55&gt;=2),EDATE(P55,12*2),AND(AH55="K5-LAW",AG55="นิติศาสตร์",K55="S1",Q55&gt;=1),EDATE(P55,12),AND(AH55="K5-LAW",AG55="นิติศาสตร์",OR(K55="S2",K55="K5")),P55,AND(AH55="K5-POLICY",AG55&lt;&gt;"นิติศาสตร์",K55="S2",T55="",Z55=""),P55,AND(AH55="K5-POLICY",AG55&lt;&gt;"นิติศาสตร์",K55="S1",T55="",Z55=""),EDATE(P55,12),AND(AH55="K5-POLICY",AG55&lt;&gt;"นิติศาสตร์",OR(K55="M2",K55="K4"),T55="",Z55=""),EDATE(P55,12*2),AND(AH55="K5-POLICY",AG55&lt;&gt;"นิติศาสตร์",OR(Z55="M2",Z55="K4"),AC55&gt;=2,OR(AB55&lt;V55,AB55&lt;P55)),EDATE(AB55,12*2),AND(AH55="K5-POLICY",AG55&lt;&gt;"นิติศาสตร์",Z55="S1",AC55&gt;=1,OR(AB55&lt;V55,AB55&lt;P55)),EDATE(AB55,12),AND(AH55="K5-POLICY",AG55&lt;&gt;"นิติศาสตร์",OR(T55="M2",T55="K4"),W55&gt;=2,V55&lt;P55),EDATE(V55,12*2),AND(AH55="K5-POLICY",AG55&lt;&gt;"นิติศาสตร์",T55="S1",W55&gt;=1,V55&lt;P55),EDATE(V55,12),AND(AH55="K5-POLICY",AG55&lt;&gt;"นิติศาสตร์",OR(T55="S2",T55="K5")),V55,AND(AH55="K5-POLICY",AG55&lt;&gt;"นิติศาสตร์",OR(K55="M2",K55="K4"),Q55&gt;=2),EDATE(P55,12*2),AND(AH55="K5-POLICY",AG55&lt;&gt;"นิติศาสตร์",K55="S1",Q55&gt;=1),EDATE(P55,12),AND(AH55="K5-POLICY",AG55&lt;&gt;"นิติศาสตร์",OR(K55="S2",K55="K5")),P55,TRUE,"Check Data")</f>
        <v/>
      </c>
      <c r="AJ55" s="75" t="str">
        <f t="shared" si="13"/>
        <v>Check Data</v>
      </c>
      <c r="AK55" s="76" t="str">
        <f t="shared" si="14"/>
        <v>Check Data</v>
      </c>
      <c r="AL55" s="50" t="str">
        <f t="shared" si="15"/>
        <v>Check Data</v>
      </c>
      <c r="AM55" s="49" t="str">
        <f>IF(B55="","",IF(K55="S1","S1",INDEX(#REF!,#REF!)))</f>
        <v/>
      </c>
      <c r="AN55" s="49" t="str">
        <f>K55</f>
        <v>M2</v>
      </c>
      <c r="AO55" s="50" t="b">
        <f>K55=AM55</f>
        <v>0</v>
      </c>
      <c r="AP55" s="50"/>
    </row>
    <row r="56" spans="1:42" ht="21.75">
      <c r="A56" s="49">
        <v>54</v>
      </c>
      <c r="B56" s="50"/>
      <c r="C56" s="50"/>
      <c r="D56" s="50" t="s">
        <v>139</v>
      </c>
      <c r="E56" s="49" t="s">
        <v>187</v>
      </c>
      <c r="F56" s="49" t="str">
        <f t="shared" si="0"/>
        <v>01/08/1990</v>
      </c>
      <c r="G56" s="50">
        <f t="shared" si="1"/>
        <v>34</v>
      </c>
      <c r="H56" s="50">
        <f t="shared" si="2"/>
        <v>10</v>
      </c>
      <c r="I56" s="50">
        <f t="shared" si="3"/>
        <v>19</v>
      </c>
      <c r="J56" s="56"/>
      <c r="K56" s="49" t="s">
        <v>136</v>
      </c>
      <c r="L56" s="64"/>
      <c r="M56" s="49" t="s">
        <v>425</v>
      </c>
      <c r="N56" s="49">
        <v>2571</v>
      </c>
      <c r="O56" s="65" t="s">
        <v>228</v>
      </c>
      <c r="P56" s="49" t="str">
        <f t="shared" si="4"/>
        <v>04/12/2019</v>
      </c>
      <c r="Q56" s="68">
        <f t="shared" si="5"/>
        <v>5</v>
      </c>
      <c r="R56" s="68">
        <f t="shared" si="6"/>
        <v>6</v>
      </c>
      <c r="S56" s="68">
        <f t="shared" si="7"/>
        <v>16</v>
      </c>
      <c r="T56" s="65"/>
      <c r="U56" s="65"/>
      <c r="V56" s="49" t="str">
        <f t="shared" si="8"/>
        <v/>
      </c>
      <c r="W56" s="68">
        <f>IF(V56="",0,DATEDIF(V56,P56,"Y"))</f>
        <v>0</v>
      </c>
      <c r="X56" s="68">
        <f>IF(V56="",0,DATEDIF(V56,P56,"YM"))</f>
        <v>0</v>
      </c>
      <c r="Y56" s="68">
        <f>IF(V56="",0,DATEDIF(V56,P56,"MD"))</f>
        <v>0</v>
      </c>
      <c r="Z56" s="49"/>
      <c r="AA56" s="65"/>
      <c r="AB56" s="50" t="str">
        <f t="shared" si="9"/>
        <v/>
      </c>
      <c r="AC56" s="68">
        <f t="shared" si="10"/>
        <v>0</v>
      </c>
      <c r="AD56" s="68">
        <f t="shared" si="11"/>
        <v>0</v>
      </c>
      <c r="AE56" s="68">
        <f t="shared" si="12"/>
        <v>0</v>
      </c>
      <c r="AF56" s="50"/>
      <c r="AG56" s="50" t="s">
        <v>165</v>
      </c>
      <c r="AH56" s="49" t="str">
        <f>IF(AG56="นิติศาสตร์","K5-LAW","K5-POLICY")</f>
        <v>K5-POLICY</v>
      </c>
      <c r="AI56" s="72" t="str">
        <f>_xlfn.IFS(B56="","",AND(AH56="K5-LAW",AG56="นิติศาสตร์",K56="S2",T56="",Z56=""),P56,AND(AH56="K5-LAW",AG56="นิติศาสตร์",K56="S1",T56="",Z56=""),EDATE(P56,12),AND(AH56="K5-LAW",AG56="นิติศาสตร์",OR(K56="M2",K56="K4"),T56="",Z56=""),EDATE(P56,12*2),AND(AH56="K5-LAW",AG56="นิติศาสตร์",OR(Z56="M2",Z56="K4"),AC56&gt;=2,OR(AB56&lt;V56,AB56&lt;P56)),EDATE(AB56,12*2),AND(AH56="K5-LAW",AG56="นิติศาสตร์",Z56="S1",AC56&gt;=1,OR(AB56&lt;V56,AB56&lt;P56)),EDATE(AB56,12),AND(AH56="K5-LAW",AG56="นิติศาสตร์",OR(T56="M2",T56="K4"),W56&gt;=2,V56&lt;P56),EDATE(V56,12*2),AND(AH56="K5-LAW",AG56="นิติศาสตร์",T56="S1",W56&gt;=1,V56&lt;P56),EDATE(V56,12),AND(AH56="K5-LAW",AG56="นิติศาสตร์",OR(T56="S2",T56="K5")),V56,AND(AH56="K5-LAW",AG56="นิติศาสตร์",OR(K56="M2",K56="K4"),Q56&gt;=2),EDATE(P56,12*2),AND(AH56="K5-LAW",AG56="นิติศาสตร์",K56="S1",Q56&gt;=1),EDATE(P56,12),AND(AH56="K5-LAW",AG56="นิติศาสตร์",OR(K56="S2",K56="K5")),P56,AND(AH56="K5-POLICY",AG56&lt;&gt;"นิติศาสตร์",K56="S2",T56="",Z56=""),P56,AND(AH56="K5-POLICY",AG56&lt;&gt;"นิติศาสตร์",K56="S1",T56="",Z56=""),EDATE(P56,12),AND(AH56="K5-POLICY",AG56&lt;&gt;"นิติศาสตร์",OR(K56="M2",K56="K4"),T56="",Z56=""),EDATE(P56,12*2),AND(AH56="K5-POLICY",AG56&lt;&gt;"นิติศาสตร์",OR(Z56="M2",Z56="K4"),AC56&gt;=2,OR(AB56&lt;V56,AB56&lt;P56)),EDATE(AB56,12*2),AND(AH56="K5-POLICY",AG56&lt;&gt;"นิติศาสตร์",Z56="S1",AC56&gt;=1,OR(AB56&lt;V56,AB56&lt;P56)),EDATE(AB56,12),AND(AH56="K5-POLICY",AG56&lt;&gt;"นิติศาสตร์",OR(T56="M2",T56="K4"),W56&gt;=2,V56&lt;P56),EDATE(V56,12*2),AND(AH56="K5-POLICY",AG56&lt;&gt;"นิติศาสตร์",T56="S1",W56&gt;=1,V56&lt;P56),EDATE(V56,12),AND(AH56="K5-POLICY",AG56&lt;&gt;"นิติศาสตร์",OR(T56="S2",T56="K5")),V56,AND(AH56="K5-POLICY",AG56&lt;&gt;"นิติศาสตร์",OR(K56="M2",K56="K4"),Q56&gt;=2),EDATE(P56,12*2),AND(AH56="K5-POLICY",AG56&lt;&gt;"นิติศาสตร์",K56="S1",Q56&gt;=1),EDATE(P56,12),AND(AH56="K5-POLICY",AG56&lt;&gt;"นิติศาสตร์",OR(K56="S2",K56="K5")),P56,TRUE,"Check Data")</f>
        <v/>
      </c>
      <c r="AJ56" s="75" t="str">
        <f t="shared" si="13"/>
        <v>Check Data</v>
      </c>
      <c r="AK56" s="76" t="str">
        <f t="shared" si="14"/>
        <v>Check Data</v>
      </c>
      <c r="AL56" s="50" t="str">
        <f t="shared" si="15"/>
        <v>Check Data</v>
      </c>
      <c r="AM56" s="49" t="str">
        <f>IF(B56="","",IF(K56="S1","S1",INDEX(#REF!,#REF!)))</f>
        <v/>
      </c>
      <c r="AN56" s="49" t="str">
        <f>K56</f>
        <v>M2</v>
      </c>
      <c r="AO56" s="50" t="b">
        <f>K56=AM56</f>
        <v>0</v>
      </c>
      <c r="AP56" s="50"/>
    </row>
    <row r="57" spans="1:42" ht="21.75">
      <c r="A57" s="49">
        <v>55</v>
      </c>
      <c r="B57" s="50"/>
      <c r="C57" s="50"/>
      <c r="D57" s="50" t="s">
        <v>139</v>
      </c>
      <c r="E57" s="49" t="s">
        <v>229</v>
      </c>
      <c r="F57" s="49" t="str">
        <f t="shared" si="0"/>
        <v>04/10/1993</v>
      </c>
      <c r="G57" s="50">
        <f t="shared" si="1"/>
        <v>31</v>
      </c>
      <c r="H57" s="50">
        <f t="shared" si="2"/>
        <v>8</v>
      </c>
      <c r="I57" s="50">
        <f t="shared" si="3"/>
        <v>16</v>
      </c>
      <c r="J57" s="56"/>
      <c r="K57" s="49" t="s">
        <v>136</v>
      </c>
      <c r="L57" s="64"/>
      <c r="M57" s="49" t="s">
        <v>425</v>
      </c>
      <c r="N57" s="49">
        <v>2569</v>
      </c>
      <c r="O57" s="65" t="s">
        <v>228</v>
      </c>
      <c r="P57" s="49" t="str">
        <f t="shared" si="4"/>
        <v>04/12/2019</v>
      </c>
      <c r="Q57" s="68">
        <f t="shared" si="5"/>
        <v>5</v>
      </c>
      <c r="R57" s="68">
        <f t="shared" si="6"/>
        <v>6</v>
      </c>
      <c r="S57" s="68">
        <f t="shared" si="7"/>
        <v>16</v>
      </c>
      <c r="T57" s="65"/>
      <c r="U57" s="65"/>
      <c r="V57" s="49" t="str">
        <f t="shared" si="8"/>
        <v/>
      </c>
      <c r="W57" s="68">
        <f>IF(V57="",0,DATEDIF(V57,P57,"Y"))</f>
        <v>0</v>
      </c>
      <c r="X57" s="68">
        <f>IF(V57="",0,DATEDIF(V57,P57,"YM"))</f>
        <v>0</v>
      </c>
      <c r="Y57" s="68">
        <f>IF(V57="",0,DATEDIF(V57,P57,"MD"))</f>
        <v>0</v>
      </c>
      <c r="Z57" s="49"/>
      <c r="AA57" s="65"/>
      <c r="AB57" s="50" t="str">
        <f t="shared" si="9"/>
        <v/>
      </c>
      <c r="AC57" s="68">
        <f t="shared" si="10"/>
        <v>0</v>
      </c>
      <c r="AD57" s="68">
        <f t="shared" si="11"/>
        <v>0</v>
      </c>
      <c r="AE57" s="68">
        <f t="shared" si="12"/>
        <v>0</v>
      </c>
      <c r="AF57" s="50"/>
      <c r="AG57" s="50" t="s">
        <v>138</v>
      </c>
      <c r="AH57" s="49" t="str">
        <f>IF(AG57="นิติศาสตร์","K5-LAW","K5-POLICY")</f>
        <v>K5-LAW</v>
      </c>
      <c r="AI57" s="72" t="str">
        <f>_xlfn.IFS(B57="","",AND(AH57="K5-LAW",AG57="นิติศาสตร์",K57="S2",T57="",Z57=""),P57,AND(AH57="K5-LAW",AG57="นิติศาสตร์",K57="S1",T57="",Z57=""),EDATE(P57,12),AND(AH57="K5-LAW",AG57="นิติศาสตร์",OR(K57="M2",K57="K4"),T57="",Z57=""),EDATE(P57,12*2),AND(AH57="K5-LAW",AG57="นิติศาสตร์",OR(Z57="M2",Z57="K4"),AC57&gt;=2,OR(AB57&lt;V57,AB57&lt;P57)),EDATE(AB57,12*2),AND(AH57="K5-LAW",AG57="นิติศาสตร์",Z57="S1",AC57&gt;=1,OR(AB57&lt;V57,AB57&lt;P57)),EDATE(AB57,12),AND(AH57="K5-LAW",AG57="นิติศาสตร์",OR(T57="M2",T57="K4"),W57&gt;=2,V57&lt;P57),EDATE(V57,12*2),AND(AH57="K5-LAW",AG57="นิติศาสตร์",T57="S1",W57&gt;=1,V57&lt;P57),EDATE(V57,12),AND(AH57="K5-LAW",AG57="นิติศาสตร์",OR(T57="S2",T57="K5")),V57,AND(AH57="K5-LAW",AG57="นิติศาสตร์",OR(K57="M2",K57="K4"),Q57&gt;=2),EDATE(P57,12*2),AND(AH57="K5-LAW",AG57="นิติศาสตร์",K57="S1",Q57&gt;=1),EDATE(P57,12),AND(AH57="K5-LAW",AG57="นิติศาสตร์",OR(K57="S2",K57="K5")),P57,AND(AH57="K5-POLICY",AG57&lt;&gt;"นิติศาสตร์",K57="S2",T57="",Z57=""),P57,AND(AH57="K5-POLICY",AG57&lt;&gt;"นิติศาสตร์",K57="S1",T57="",Z57=""),EDATE(P57,12),AND(AH57="K5-POLICY",AG57&lt;&gt;"นิติศาสตร์",OR(K57="M2",K57="K4"),T57="",Z57=""),EDATE(P57,12*2),AND(AH57="K5-POLICY",AG57&lt;&gt;"นิติศาสตร์",OR(Z57="M2",Z57="K4"),AC57&gt;=2,OR(AB57&lt;V57,AB57&lt;P57)),EDATE(AB57,12*2),AND(AH57="K5-POLICY",AG57&lt;&gt;"นิติศาสตร์",Z57="S1",AC57&gt;=1,OR(AB57&lt;V57,AB57&lt;P57)),EDATE(AB57,12),AND(AH57="K5-POLICY",AG57&lt;&gt;"นิติศาสตร์",OR(T57="M2",T57="K4"),W57&gt;=2,V57&lt;P57),EDATE(V57,12*2),AND(AH57="K5-POLICY",AG57&lt;&gt;"นิติศาสตร์",T57="S1",W57&gt;=1,V57&lt;P57),EDATE(V57,12),AND(AH57="K5-POLICY",AG57&lt;&gt;"นิติศาสตร์",OR(T57="S2",T57="K5")),V57,AND(AH57="K5-POLICY",AG57&lt;&gt;"นิติศาสตร์",OR(K57="M2",K57="K4"),Q57&gt;=2),EDATE(P57,12*2),AND(AH57="K5-POLICY",AG57&lt;&gt;"นิติศาสตร์",K57="S1",Q57&gt;=1),EDATE(P57,12),AND(AH57="K5-POLICY",AG57&lt;&gt;"นิติศาสตร์",OR(K57="S2",K57="K5")),P57,TRUE,"Check Data")</f>
        <v/>
      </c>
      <c r="AJ57" s="75" t="str">
        <f t="shared" si="13"/>
        <v>Check Data</v>
      </c>
      <c r="AK57" s="76" t="str">
        <f t="shared" si="14"/>
        <v>Check Data</v>
      </c>
      <c r="AL57" s="50" t="str">
        <f t="shared" si="15"/>
        <v>Check Data</v>
      </c>
      <c r="AM57" s="49" t="str">
        <f>IF(B57="","",IF(K57="S1","S1",INDEX(#REF!,#REF!)))</f>
        <v/>
      </c>
      <c r="AN57" s="49" t="str">
        <f>K57</f>
        <v>M2</v>
      </c>
      <c r="AO57" s="50" t="b">
        <f>K57=AM57</f>
        <v>0</v>
      </c>
      <c r="AP57" s="50"/>
    </row>
    <row r="58" spans="1:42" ht="21.75">
      <c r="A58" s="49">
        <v>56</v>
      </c>
      <c r="B58" s="50"/>
      <c r="C58" s="50"/>
      <c r="D58" s="50" t="s">
        <v>141</v>
      </c>
      <c r="E58" s="49" t="s">
        <v>255</v>
      </c>
      <c r="F58" s="49" t="str">
        <f t="shared" si="0"/>
        <v>20/03/1985</v>
      </c>
      <c r="G58" s="50">
        <f t="shared" si="1"/>
        <v>40</v>
      </c>
      <c r="H58" s="50">
        <f t="shared" si="2"/>
        <v>3</v>
      </c>
      <c r="I58" s="50">
        <f t="shared" si="3"/>
        <v>0</v>
      </c>
      <c r="J58" s="60"/>
      <c r="K58" s="49" t="s">
        <v>136</v>
      </c>
      <c r="L58" s="64"/>
      <c r="M58" s="49" t="s">
        <v>425</v>
      </c>
      <c r="N58" s="49">
        <v>2569</v>
      </c>
      <c r="O58" s="65" t="s">
        <v>228</v>
      </c>
      <c r="P58" s="49" t="str">
        <f t="shared" si="4"/>
        <v>04/12/2019</v>
      </c>
      <c r="Q58" s="68">
        <f t="shared" si="5"/>
        <v>5</v>
      </c>
      <c r="R58" s="68">
        <f t="shared" si="6"/>
        <v>6</v>
      </c>
      <c r="S58" s="68">
        <f t="shared" si="7"/>
        <v>16</v>
      </c>
      <c r="T58" s="65"/>
      <c r="U58" s="65"/>
      <c r="V58" s="49" t="str">
        <f t="shared" si="8"/>
        <v/>
      </c>
      <c r="W58" s="68">
        <f>IF(V58="",0,DATEDIF(V58,P58,"Y"))</f>
        <v>0</v>
      </c>
      <c r="X58" s="68">
        <f>IF(V58="",0,DATEDIF(V58,P58,"YM"))</f>
        <v>0</v>
      </c>
      <c r="Y58" s="68">
        <f>IF(V58="",0,DATEDIF(V58,P58,"MD"))</f>
        <v>0</v>
      </c>
      <c r="Z58" s="49"/>
      <c r="AA58" s="65"/>
      <c r="AB58" s="50" t="str">
        <f t="shared" si="9"/>
        <v/>
      </c>
      <c r="AC58" s="68">
        <f t="shared" si="10"/>
        <v>0</v>
      </c>
      <c r="AD58" s="68">
        <f t="shared" si="11"/>
        <v>0</v>
      </c>
      <c r="AE58" s="68">
        <f t="shared" si="12"/>
        <v>0</v>
      </c>
      <c r="AF58" s="50"/>
      <c r="AG58" s="50" t="s">
        <v>138</v>
      </c>
      <c r="AH58" s="49" t="str">
        <f>IF(AG58="นิติศาสตร์","K5-LAW","K5-POLICY")</f>
        <v>K5-LAW</v>
      </c>
      <c r="AI58" s="72" t="str">
        <f>_xlfn.IFS(B58="","",AND(AH58="K5-LAW",AG58="นิติศาสตร์",K58="S2",T58="",Z58=""),P58,AND(AH58="K5-LAW",AG58="นิติศาสตร์",K58="S1",T58="",Z58=""),EDATE(P58,12),AND(AH58="K5-LAW",AG58="นิติศาสตร์",OR(K58="M2",K58="K4"),T58="",Z58=""),EDATE(P58,12*2),AND(AH58="K5-LAW",AG58="นิติศาสตร์",OR(Z58="M2",Z58="K4"),AC58&gt;=2,OR(AB58&lt;V58,AB58&lt;P58)),EDATE(AB58,12*2),AND(AH58="K5-LAW",AG58="นิติศาสตร์",Z58="S1",AC58&gt;=1,OR(AB58&lt;V58,AB58&lt;P58)),EDATE(AB58,12),AND(AH58="K5-LAW",AG58="นิติศาสตร์",OR(T58="M2",T58="K4"),W58&gt;=2,V58&lt;P58),EDATE(V58,12*2),AND(AH58="K5-LAW",AG58="นิติศาสตร์",T58="S1",W58&gt;=1,V58&lt;P58),EDATE(V58,12),AND(AH58="K5-LAW",AG58="นิติศาสตร์",OR(T58="S2",T58="K5")),V58,AND(AH58="K5-LAW",AG58="นิติศาสตร์",OR(K58="M2",K58="K4"),Q58&gt;=2),EDATE(P58,12*2),AND(AH58="K5-LAW",AG58="นิติศาสตร์",K58="S1",Q58&gt;=1),EDATE(P58,12),AND(AH58="K5-LAW",AG58="นิติศาสตร์",OR(K58="S2",K58="K5")),P58,AND(AH58="K5-POLICY",AG58&lt;&gt;"นิติศาสตร์",K58="S2",T58="",Z58=""),P58,AND(AH58="K5-POLICY",AG58&lt;&gt;"นิติศาสตร์",K58="S1",T58="",Z58=""),EDATE(P58,12),AND(AH58="K5-POLICY",AG58&lt;&gt;"นิติศาสตร์",OR(K58="M2",K58="K4"),T58="",Z58=""),EDATE(P58,12*2),AND(AH58="K5-POLICY",AG58&lt;&gt;"นิติศาสตร์",OR(Z58="M2",Z58="K4"),AC58&gt;=2,OR(AB58&lt;V58,AB58&lt;P58)),EDATE(AB58,12*2),AND(AH58="K5-POLICY",AG58&lt;&gt;"นิติศาสตร์",Z58="S1",AC58&gt;=1,OR(AB58&lt;V58,AB58&lt;P58)),EDATE(AB58,12),AND(AH58="K5-POLICY",AG58&lt;&gt;"นิติศาสตร์",OR(T58="M2",T58="K4"),W58&gt;=2,V58&lt;P58),EDATE(V58,12*2),AND(AH58="K5-POLICY",AG58&lt;&gt;"นิติศาสตร์",T58="S1",W58&gt;=1,V58&lt;P58),EDATE(V58,12),AND(AH58="K5-POLICY",AG58&lt;&gt;"นิติศาสตร์",OR(T58="S2",T58="K5")),V58,AND(AH58="K5-POLICY",AG58&lt;&gt;"นิติศาสตร์",OR(K58="M2",K58="K4"),Q58&gt;=2),EDATE(P58,12*2),AND(AH58="K5-POLICY",AG58&lt;&gt;"นิติศาสตร์",K58="S1",Q58&gt;=1),EDATE(P58,12),AND(AH58="K5-POLICY",AG58&lt;&gt;"นิติศาสตร์",OR(K58="S2",K58="K5")),P58,TRUE,"Check Data")</f>
        <v/>
      </c>
      <c r="AJ58" s="75" t="str">
        <f t="shared" si="13"/>
        <v>Check Data</v>
      </c>
      <c r="AK58" s="76" t="str">
        <f t="shared" si="14"/>
        <v>Check Data</v>
      </c>
      <c r="AL58" s="50" t="str">
        <f t="shared" si="15"/>
        <v>Check Data</v>
      </c>
      <c r="AM58" s="49" t="str">
        <f>IF(B58="","",IF(K58="S1","S1",INDEX(#REF!,#REF!)))</f>
        <v/>
      </c>
      <c r="AN58" s="49" t="str">
        <f>K58</f>
        <v>M2</v>
      </c>
      <c r="AO58" s="50" t="b">
        <f>K58=AM58</f>
        <v>0</v>
      </c>
      <c r="AP58" s="50"/>
    </row>
    <row r="59" spans="1:42" ht="21.75">
      <c r="A59" s="49">
        <v>57</v>
      </c>
      <c r="B59" s="50"/>
      <c r="C59" s="50"/>
      <c r="D59" s="50" t="s">
        <v>141</v>
      </c>
      <c r="E59" s="49" t="s">
        <v>176</v>
      </c>
      <c r="F59" s="49" t="str">
        <f t="shared" si="0"/>
        <v>01/03/1990</v>
      </c>
      <c r="G59" s="50">
        <f t="shared" si="1"/>
        <v>35</v>
      </c>
      <c r="H59" s="50">
        <f t="shared" si="2"/>
        <v>3</v>
      </c>
      <c r="I59" s="50">
        <f t="shared" si="3"/>
        <v>19</v>
      </c>
      <c r="J59" s="60"/>
      <c r="K59" s="49" t="s">
        <v>136</v>
      </c>
      <c r="L59" s="64"/>
      <c r="M59" s="49" t="s">
        <v>425</v>
      </c>
      <c r="N59" s="49">
        <v>2568</v>
      </c>
      <c r="O59" s="65" t="s">
        <v>228</v>
      </c>
      <c r="P59" s="49" t="str">
        <f t="shared" si="4"/>
        <v>04/12/2019</v>
      </c>
      <c r="Q59" s="68">
        <f t="shared" si="5"/>
        <v>5</v>
      </c>
      <c r="R59" s="68">
        <f t="shared" si="6"/>
        <v>6</v>
      </c>
      <c r="S59" s="68">
        <f t="shared" si="7"/>
        <v>16</v>
      </c>
      <c r="T59" s="65"/>
      <c r="U59" s="65"/>
      <c r="V59" s="49" t="str">
        <f t="shared" si="8"/>
        <v/>
      </c>
      <c r="W59" s="68">
        <f>IF(V59="",0,DATEDIF(V59,P59,"Y"))</f>
        <v>0</v>
      </c>
      <c r="X59" s="68">
        <f>IF(V59="",0,DATEDIF(V59,P59,"YM"))</f>
        <v>0</v>
      </c>
      <c r="Y59" s="68">
        <f>IF(V59="",0,DATEDIF(V59,P59,"MD"))</f>
        <v>0</v>
      </c>
      <c r="Z59" s="49"/>
      <c r="AA59" s="65"/>
      <c r="AB59" s="50" t="str">
        <f t="shared" si="9"/>
        <v/>
      </c>
      <c r="AC59" s="68">
        <f t="shared" si="10"/>
        <v>0</v>
      </c>
      <c r="AD59" s="68">
        <f t="shared" si="11"/>
        <v>0</v>
      </c>
      <c r="AE59" s="68">
        <f t="shared" si="12"/>
        <v>0</v>
      </c>
      <c r="AF59" s="50"/>
      <c r="AG59" s="50" t="s">
        <v>138</v>
      </c>
      <c r="AH59" s="49" t="str">
        <f>IF(AG59="นิติศาสตร์","K5-LAW","K5-POLICY")</f>
        <v>K5-LAW</v>
      </c>
      <c r="AI59" s="72" t="str">
        <f>_xlfn.IFS(B59="","",AND(AH59="K5-LAW",AG59="นิติศาสตร์",K59="S2",T59="",Z59=""),P59,AND(AH59="K5-LAW",AG59="นิติศาสตร์",K59="S1",T59="",Z59=""),EDATE(P59,12),AND(AH59="K5-LAW",AG59="นิติศาสตร์",OR(K59="M2",K59="K4"),T59="",Z59=""),EDATE(P59,12*2),AND(AH59="K5-LAW",AG59="นิติศาสตร์",OR(Z59="M2",Z59="K4"),AC59&gt;=2,OR(AB59&lt;V59,AB59&lt;P59)),EDATE(AB59,12*2),AND(AH59="K5-LAW",AG59="นิติศาสตร์",Z59="S1",AC59&gt;=1,OR(AB59&lt;V59,AB59&lt;P59)),EDATE(AB59,12),AND(AH59="K5-LAW",AG59="นิติศาสตร์",OR(T59="M2",T59="K4"),W59&gt;=2,V59&lt;P59),EDATE(V59,12*2),AND(AH59="K5-LAW",AG59="นิติศาสตร์",T59="S1",W59&gt;=1,V59&lt;P59),EDATE(V59,12),AND(AH59="K5-LAW",AG59="นิติศาสตร์",OR(T59="S2",T59="K5")),V59,AND(AH59="K5-LAW",AG59="นิติศาสตร์",OR(K59="M2",K59="K4"),Q59&gt;=2),EDATE(P59,12*2),AND(AH59="K5-LAW",AG59="นิติศาสตร์",K59="S1",Q59&gt;=1),EDATE(P59,12),AND(AH59="K5-LAW",AG59="นิติศาสตร์",OR(K59="S2",K59="K5")),P59,AND(AH59="K5-POLICY",AG59&lt;&gt;"นิติศาสตร์",K59="S2",T59="",Z59=""),P59,AND(AH59="K5-POLICY",AG59&lt;&gt;"นิติศาสตร์",K59="S1",T59="",Z59=""),EDATE(P59,12),AND(AH59="K5-POLICY",AG59&lt;&gt;"นิติศาสตร์",OR(K59="M2",K59="K4"),T59="",Z59=""),EDATE(P59,12*2),AND(AH59="K5-POLICY",AG59&lt;&gt;"นิติศาสตร์",OR(Z59="M2",Z59="K4"),AC59&gt;=2,OR(AB59&lt;V59,AB59&lt;P59)),EDATE(AB59,12*2),AND(AH59="K5-POLICY",AG59&lt;&gt;"นิติศาสตร์",Z59="S1",AC59&gt;=1,OR(AB59&lt;V59,AB59&lt;P59)),EDATE(AB59,12),AND(AH59="K5-POLICY",AG59&lt;&gt;"นิติศาสตร์",OR(T59="M2",T59="K4"),W59&gt;=2,V59&lt;P59),EDATE(V59,12*2),AND(AH59="K5-POLICY",AG59&lt;&gt;"นิติศาสตร์",T59="S1",W59&gt;=1,V59&lt;P59),EDATE(V59,12),AND(AH59="K5-POLICY",AG59&lt;&gt;"นิติศาสตร์",OR(T59="S2",T59="K5")),V59,AND(AH59="K5-POLICY",AG59&lt;&gt;"นิติศาสตร์",OR(K59="M2",K59="K4"),Q59&gt;=2),EDATE(P59,12*2),AND(AH59="K5-POLICY",AG59&lt;&gt;"นิติศาสตร์",K59="S1",Q59&gt;=1),EDATE(P59,12),AND(AH59="K5-POLICY",AG59&lt;&gt;"นิติศาสตร์",OR(K59="S2",K59="K5")),P59,TRUE,"Check Data")</f>
        <v/>
      </c>
      <c r="AJ59" s="75" t="str">
        <f t="shared" si="13"/>
        <v>Check Data</v>
      </c>
      <c r="AK59" s="76" t="str">
        <f t="shared" si="14"/>
        <v>Check Data</v>
      </c>
      <c r="AL59" s="50" t="str">
        <f t="shared" si="15"/>
        <v>Check Data</v>
      </c>
      <c r="AM59" s="49" t="str">
        <f>IF(B59="","",IF(K59="S1","S1",INDEX(#REF!,#REF!)))</f>
        <v/>
      </c>
      <c r="AN59" s="49" t="str">
        <f>K59</f>
        <v>M2</v>
      </c>
      <c r="AO59" s="50" t="b">
        <f>K59=AM59</f>
        <v>0</v>
      </c>
      <c r="AP59" s="50"/>
    </row>
    <row r="60" spans="1:42" ht="21.75">
      <c r="A60" s="49">
        <v>58</v>
      </c>
      <c r="B60" s="50"/>
      <c r="C60" s="50"/>
      <c r="D60" s="50" t="s">
        <v>142</v>
      </c>
      <c r="E60" s="49" t="s">
        <v>239</v>
      </c>
      <c r="F60" s="49" t="str">
        <f t="shared" si="0"/>
        <v>01/05/1985</v>
      </c>
      <c r="G60" s="50">
        <f t="shared" si="1"/>
        <v>40</v>
      </c>
      <c r="H60" s="50">
        <f t="shared" si="2"/>
        <v>1</v>
      </c>
      <c r="I60" s="50">
        <f t="shared" si="3"/>
        <v>19</v>
      </c>
      <c r="J60" s="58"/>
      <c r="K60" s="49" t="s">
        <v>136</v>
      </c>
      <c r="L60" s="64"/>
      <c r="M60" s="49" t="s">
        <v>425</v>
      </c>
      <c r="N60" s="49">
        <v>2569</v>
      </c>
      <c r="O60" s="65" t="s">
        <v>228</v>
      </c>
      <c r="P60" s="49" t="str">
        <f t="shared" si="4"/>
        <v>04/12/2019</v>
      </c>
      <c r="Q60" s="68">
        <f t="shared" si="5"/>
        <v>5</v>
      </c>
      <c r="R60" s="68">
        <f t="shared" si="6"/>
        <v>6</v>
      </c>
      <c r="S60" s="68">
        <f t="shared" si="7"/>
        <v>16</v>
      </c>
      <c r="T60" s="65"/>
      <c r="U60" s="65"/>
      <c r="V60" s="49" t="str">
        <f t="shared" si="8"/>
        <v/>
      </c>
      <c r="W60" s="68">
        <f>IF(V60="",0,DATEDIF(V60,P60,"Y"))</f>
        <v>0</v>
      </c>
      <c r="X60" s="68">
        <f>IF(V60="",0,DATEDIF(V60,P60,"YM"))</f>
        <v>0</v>
      </c>
      <c r="Y60" s="68">
        <f>IF(V60="",0,DATEDIF(V60,P60,"MD"))</f>
        <v>0</v>
      </c>
      <c r="Z60" s="49"/>
      <c r="AA60" s="65"/>
      <c r="AB60" s="50" t="str">
        <f t="shared" si="9"/>
        <v/>
      </c>
      <c r="AC60" s="68">
        <f t="shared" si="10"/>
        <v>0</v>
      </c>
      <c r="AD60" s="68">
        <f t="shared" si="11"/>
        <v>0</v>
      </c>
      <c r="AE60" s="68">
        <f t="shared" si="12"/>
        <v>0</v>
      </c>
      <c r="AF60" s="50"/>
      <c r="AG60" s="50" t="s">
        <v>138</v>
      </c>
      <c r="AH60" s="49" t="str">
        <f>IF(AG60="นิติศาสตร์","K5-LAW","K5-POLICY")</f>
        <v>K5-LAW</v>
      </c>
      <c r="AI60" s="72" t="str">
        <f>_xlfn.IFS(B60="","",AND(AH60="K5-LAW",AG60="นิติศาสตร์",K60="S2",T60="",Z60=""),P60,AND(AH60="K5-LAW",AG60="นิติศาสตร์",K60="S1",T60="",Z60=""),EDATE(P60,12),AND(AH60="K5-LAW",AG60="นิติศาสตร์",OR(K60="M2",K60="K4"),T60="",Z60=""),EDATE(P60,12*2),AND(AH60="K5-LAW",AG60="นิติศาสตร์",OR(Z60="M2",Z60="K4"),AC60&gt;=2,OR(AB60&lt;V60,AB60&lt;P60)),EDATE(AB60,12*2),AND(AH60="K5-LAW",AG60="นิติศาสตร์",Z60="S1",AC60&gt;=1,OR(AB60&lt;V60,AB60&lt;P60)),EDATE(AB60,12),AND(AH60="K5-LAW",AG60="นิติศาสตร์",OR(T60="M2",T60="K4"),W60&gt;=2,V60&lt;P60),EDATE(V60,12*2),AND(AH60="K5-LAW",AG60="นิติศาสตร์",T60="S1",W60&gt;=1,V60&lt;P60),EDATE(V60,12),AND(AH60="K5-LAW",AG60="นิติศาสตร์",OR(T60="S2",T60="K5")),V60,AND(AH60="K5-LAW",AG60="นิติศาสตร์",OR(K60="M2",K60="K4"),Q60&gt;=2),EDATE(P60,12*2),AND(AH60="K5-LAW",AG60="นิติศาสตร์",K60="S1",Q60&gt;=1),EDATE(P60,12),AND(AH60="K5-LAW",AG60="นิติศาสตร์",OR(K60="S2",K60="K5")),P60,AND(AH60="K5-POLICY",AG60&lt;&gt;"นิติศาสตร์",K60="S2",T60="",Z60=""),P60,AND(AH60="K5-POLICY",AG60&lt;&gt;"นิติศาสตร์",K60="S1",T60="",Z60=""),EDATE(P60,12),AND(AH60="K5-POLICY",AG60&lt;&gt;"นิติศาสตร์",OR(K60="M2",K60="K4"),T60="",Z60=""),EDATE(P60,12*2),AND(AH60="K5-POLICY",AG60&lt;&gt;"นิติศาสตร์",OR(Z60="M2",Z60="K4"),AC60&gt;=2,OR(AB60&lt;V60,AB60&lt;P60)),EDATE(AB60,12*2),AND(AH60="K5-POLICY",AG60&lt;&gt;"นิติศาสตร์",Z60="S1",AC60&gt;=1,OR(AB60&lt;V60,AB60&lt;P60)),EDATE(AB60,12),AND(AH60="K5-POLICY",AG60&lt;&gt;"นิติศาสตร์",OR(T60="M2",T60="K4"),W60&gt;=2,V60&lt;P60),EDATE(V60,12*2),AND(AH60="K5-POLICY",AG60&lt;&gt;"นิติศาสตร์",T60="S1",W60&gt;=1,V60&lt;P60),EDATE(V60,12),AND(AH60="K5-POLICY",AG60&lt;&gt;"นิติศาสตร์",OR(T60="S2",T60="K5")),V60,AND(AH60="K5-POLICY",AG60&lt;&gt;"นิติศาสตร์",OR(K60="M2",K60="K4"),Q60&gt;=2),EDATE(P60,12*2),AND(AH60="K5-POLICY",AG60&lt;&gt;"นิติศาสตร์",K60="S1",Q60&gt;=1),EDATE(P60,12),AND(AH60="K5-POLICY",AG60&lt;&gt;"นิติศาสตร์",OR(K60="S2",K60="K5")),P60,TRUE,"Check Data")</f>
        <v/>
      </c>
      <c r="AJ60" s="75" t="str">
        <f t="shared" si="13"/>
        <v>Check Data</v>
      </c>
      <c r="AK60" s="76" t="str">
        <f t="shared" si="14"/>
        <v>Check Data</v>
      </c>
      <c r="AL60" s="50" t="str">
        <f t="shared" si="15"/>
        <v>Check Data</v>
      </c>
      <c r="AM60" s="49" t="str">
        <f>IF(B60="","",IF(K60="S1","S1",INDEX(#REF!,#REF!)))</f>
        <v/>
      </c>
      <c r="AN60" s="49" t="str">
        <f>K60</f>
        <v>M2</v>
      </c>
      <c r="AO60" s="50" t="b">
        <f>K60=AM60</f>
        <v>0</v>
      </c>
      <c r="AP60" s="50"/>
    </row>
    <row r="61" spans="1:42" ht="21.75">
      <c r="A61" s="49">
        <v>59</v>
      </c>
      <c r="B61" s="50"/>
      <c r="C61" s="50"/>
      <c r="D61" s="50" t="s">
        <v>142</v>
      </c>
      <c r="E61" s="49" t="s">
        <v>262</v>
      </c>
      <c r="F61" s="49" t="str">
        <f t="shared" si="0"/>
        <v>11/04/1996</v>
      </c>
      <c r="G61" s="50">
        <f t="shared" si="1"/>
        <v>29</v>
      </c>
      <c r="H61" s="50">
        <f t="shared" si="2"/>
        <v>2</v>
      </c>
      <c r="I61" s="50">
        <f t="shared" si="3"/>
        <v>9</v>
      </c>
      <c r="J61" s="58"/>
      <c r="K61" s="49" t="s">
        <v>136</v>
      </c>
      <c r="L61" s="64"/>
      <c r="M61" s="49" t="s">
        <v>425</v>
      </c>
      <c r="N61" s="49">
        <v>2571</v>
      </c>
      <c r="O61" s="65" t="s">
        <v>228</v>
      </c>
      <c r="P61" s="49" t="str">
        <f t="shared" si="4"/>
        <v>04/12/2019</v>
      </c>
      <c r="Q61" s="68">
        <f t="shared" si="5"/>
        <v>5</v>
      </c>
      <c r="R61" s="68">
        <f t="shared" si="6"/>
        <v>6</v>
      </c>
      <c r="S61" s="68">
        <f t="shared" si="7"/>
        <v>16</v>
      </c>
      <c r="T61" s="65"/>
      <c r="U61" s="65"/>
      <c r="V61" s="49" t="str">
        <f t="shared" si="8"/>
        <v/>
      </c>
      <c r="W61" s="68">
        <f>IF(V61="",0,DATEDIF(V61,P61,"Y"))</f>
        <v>0</v>
      </c>
      <c r="X61" s="68">
        <f>IF(V61="",0,DATEDIF(V61,P61,"YM"))</f>
        <v>0</v>
      </c>
      <c r="Y61" s="68">
        <f>IF(V61="",0,DATEDIF(V61,P61,"MD"))</f>
        <v>0</v>
      </c>
      <c r="Z61" s="49"/>
      <c r="AA61" s="65"/>
      <c r="AB61" s="50" t="str">
        <f t="shared" si="9"/>
        <v/>
      </c>
      <c r="AC61" s="68">
        <f t="shared" si="10"/>
        <v>0</v>
      </c>
      <c r="AD61" s="68">
        <f t="shared" si="11"/>
        <v>0</v>
      </c>
      <c r="AE61" s="68">
        <f t="shared" si="12"/>
        <v>0</v>
      </c>
      <c r="AF61" s="50"/>
      <c r="AG61" s="50" t="s">
        <v>138</v>
      </c>
      <c r="AH61" s="49" t="str">
        <f>IF(AG61="นิติศาสตร์","K5-LAW","K5-POLICY")</f>
        <v>K5-LAW</v>
      </c>
      <c r="AI61" s="72" t="str">
        <f>_xlfn.IFS(B61="","",AND(AH61="K5-LAW",AG61="นิติศาสตร์",K61="S2",T61="",Z61=""),P61,AND(AH61="K5-LAW",AG61="นิติศาสตร์",K61="S1",T61="",Z61=""),EDATE(P61,12),AND(AH61="K5-LAW",AG61="นิติศาสตร์",OR(K61="M2",K61="K4"),T61="",Z61=""),EDATE(P61,12*2),AND(AH61="K5-LAW",AG61="นิติศาสตร์",OR(Z61="M2",Z61="K4"),AC61&gt;=2,OR(AB61&lt;V61,AB61&lt;P61)),EDATE(AB61,12*2),AND(AH61="K5-LAW",AG61="นิติศาสตร์",Z61="S1",AC61&gt;=1,OR(AB61&lt;V61,AB61&lt;P61)),EDATE(AB61,12),AND(AH61="K5-LAW",AG61="นิติศาสตร์",OR(T61="M2",T61="K4"),W61&gt;=2,V61&lt;P61),EDATE(V61,12*2),AND(AH61="K5-LAW",AG61="นิติศาสตร์",T61="S1",W61&gt;=1,V61&lt;P61),EDATE(V61,12),AND(AH61="K5-LAW",AG61="นิติศาสตร์",OR(T61="S2",T61="K5")),V61,AND(AH61="K5-LAW",AG61="นิติศาสตร์",OR(K61="M2",K61="K4"),Q61&gt;=2),EDATE(P61,12*2),AND(AH61="K5-LAW",AG61="นิติศาสตร์",K61="S1",Q61&gt;=1),EDATE(P61,12),AND(AH61="K5-LAW",AG61="นิติศาสตร์",OR(K61="S2",K61="K5")),P61,AND(AH61="K5-POLICY",AG61&lt;&gt;"นิติศาสตร์",K61="S2",T61="",Z61=""),P61,AND(AH61="K5-POLICY",AG61&lt;&gt;"นิติศาสตร์",K61="S1",T61="",Z61=""),EDATE(P61,12),AND(AH61="K5-POLICY",AG61&lt;&gt;"นิติศาสตร์",OR(K61="M2",K61="K4"),T61="",Z61=""),EDATE(P61,12*2),AND(AH61="K5-POLICY",AG61&lt;&gt;"นิติศาสตร์",OR(Z61="M2",Z61="K4"),AC61&gt;=2,OR(AB61&lt;V61,AB61&lt;P61)),EDATE(AB61,12*2),AND(AH61="K5-POLICY",AG61&lt;&gt;"นิติศาสตร์",Z61="S1",AC61&gt;=1,OR(AB61&lt;V61,AB61&lt;P61)),EDATE(AB61,12),AND(AH61="K5-POLICY",AG61&lt;&gt;"นิติศาสตร์",OR(T61="M2",T61="K4"),W61&gt;=2,V61&lt;P61),EDATE(V61,12*2),AND(AH61="K5-POLICY",AG61&lt;&gt;"นิติศาสตร์",T61="S1",W61&gt;=1,V61&lt;P61),EDATE(V61,12),AND(AH61="K5-POLICY",AG61&lt;&gt;"นิติศาสตร์",OR(T61="S2",T61="K5")),V61,AND(AH61="K5-POLICY",AG61&lt;&gt;"นิติศาสตร์",OR(K61="M2",K61="K4"),Q61&gt;=2),EDATE(P61,12*2),AND(AH61="K5-POLICY",AG61&lt;&gt;"นิติศาสตร์",K61="S1",Q61&gt;=1),EDATE(P61,12),AND(AH61="K5-POLICY",AG61&lt;&gt;"นิติศาสตร์",OR(K61="S2",K61="K5")),P61,TRUE,"Check Data")</f>
        <v/>
      </c>
      <c r="AJ61" s="75" t="str">
        <f t="shared" si="13"/>
        <v>Check Data</v>
      </c>
      <c r="AK61" s="76" t="str">
        <f t="shared" si="14"/>
        <v>Check Data</v>
      </c>
      <c r="AL61" s="50" t="str">
        <f t="shared" si="15"/>
        <v>Check Data</v>
      </c>
      <c r="AM61" s="49" t="str">
        <f>IF(B61="","",IF(K61="S1","S1",INDEX(#REF!,#REF!)))</f>
        <v/>
      </c>
      <c r="AN61" s="49" t="str">
        <f>K61</f>
        <v>M2</v>
      </c>
      <c r="AO61" s="50" t="b">
        <f>K61=AM61</f>
        <v>0</v>
      </c>
      <c r="AP61" s="50"/>
    </row>
    <row r="62" spans="1:42" ht="21.75">
      <c r="A62" s="49">
        <v>60</v>
      </c>
      <c r="B62" s="50"/>
      <c r="C62" s="50"/>
      <c r="D62" s="50" t="s">
        <v>142</v>
      </c>
      <c r="E62" s="49" t="s">
        <v>262</v>
      </c>
      <c r="F62" s="49" t="str">
        <f t="shared" si="0"/>
        <v>11/04/1996</v>
      </c>
      <c r="G62" s="50">
        <f t="shared" si="1"/>
        <v>29</v>
      </c>
      <c r="H62" s="50">
        <f t="shared" si="2"/>
        <v>2</v>
      </c>
      <c r="I62" s="50">
        <f t="shared" si="3"/>
        <v>9</v>
      </c>
      <c r="J62" s="58"/>
      <c r="K62" s="49" t="s">
        <v>136</v>
      </c>
      <c r="L62" s="64"/>
      <c r="M62" s="49" t="s">
        <v>425</v>
      </c>
      <c r="N62" s="49">
        <v>2570</v>
      </c>
      <c r="O62" s="65" t="s">
        <v>228</v>
      </c>
      <c r="P62" s="49" t="str">
        <f t="shared" si="4"/>
        <v>04/12/2019</v>
      </c>
      <c r="Q62" s="68">
        <f t="shared" si="5"/>
        <v>5</v>
      </c>
      <c r="R62" s="68">
        <f t="shared" si="6"/>
        <v>6</v>
      </c>
      <c r="S62" s="68">
        <f t="shared" si="7"/>
        <v>16</v>
      </c>
      <c r="T62" s="65"/>
      <c r="U62" s="65"/>
      <c r="V62" s="49" t="str">
        <f t="shared" si="8"/>
        <v/>
      </c>
      <c r="W62" s="68">
        <f>IF(V62="",0,DATEDIF(V62,P62,"Y"))</f>
        <v>0</v>
      </c>
      <c r="X62" s="68">
        <f>IF(V62="",0,DATEDIF(V62,P62,"YM"))</f>
        <v>0</v>
      </c>
      <c r="Y62" s="68">
        <f>IF(V62="",0,DATEDIF(V62,P62,"MD"))</f>
        <v>0</v>
      </c>
      <c r="Z62" s="49"/>
      <c r="AA62" s="65"/>
      <c r="AB62" s="50" t="str">
        <f t="shared" si="9"/>
        <v/>
      </c>
      <c r="AC62" s="68">
        <f t="shared" si="10"/>
        <v>0</v>
      </c>
      <c r="AD62" s="68">
        <f t="shared" si="11"/>
        <v>0</v>
      </c>
      <c r="AE62" s="68">
        <f t="shared" si="12"/>
        <v>0</v>
      </c>
      <c r="AF62" s="50"/>
      <c r="AG62" s="50" t="s">
        <v>138</v>
      </c>
      <c r="AH62" s="49" t="str">
        <f>IF(AG62="นิติศาสตร์","K5-LAW","K5-POLICY")</f>
        <v>K5-LAW</v>
      </c>
      <c r="AI62" s="72" t="str">
        <f>_xlfn.IFS(B62="","",AND(AH62="K5-LAW",AG62="นิติศาสตร์",K62="S2",T62="",Z62=""),P62,AND(AH62="K5-LAW",AG62="นิติศาสตร์",K62="S1",T62="",Z62=""),EDATE(P62,12),AND(AH62="K5-LAW",AG62="นิติศาสตร์",OR(K62="M2",K62="K4"),T62="",Z62=""),EDATE(P62,12*2),AND(AH62="K5-LAW",AG62="นิติศาสตร์",OR(Z62="M2",Z62="K4"),AC62&gt;=2,OR(AB62&lt;V62,AB62&lt;P62)),EDATE(AB62,12*2),AND(AH62="K5-LAW",AG62="นิติศาสตร์",Z62="S1",AC62&gt;=1,OR(AB62&lt;V62,AB62&lt;P62)),EDATE(AB62,12),AND(AH62="K5-LAW",AG62="นิติศาสตร์",OR(T62="M2",T62="K4"),W62&gt;=2,V62&lt;P62),EDATE(V62,12*2),AND(AH62="K5-LAW",AG62="นิติศาสตร์",T62="S1",W62&gt;=1,V62&lt;P62),EDATE(V62,12),AND(AH62="K5-LAW",AG62="นิติศาสตร์",OR(T62="S2",T62="K5")),V62,AND(AH62="K5-LAW",AG62="นิติศาสตร์",OR(K62="M2",K62="K4"),Q62&gt;=2),EDATE(P62,12*2),AND(AH62="K5-LAW",AG62="นิติศาสตร์",K62="S1",Q62&gt;=1),EDATE(P62,12),AND(AH62="K5-LAW",AG62="นิติศาสตร์",OR(K62="S2",K62="K5")),P62,AND(AH62="K5-POLICY",AG62&lt;&gt;"นิติศาสตร์",K62="S2",T62="",Z62=""),P62,AND(AH62="K5-POLICY",AG62&lt;&gt;"นิติศาสตร์",K62="S1",T62="",Z62=""),EDATE(P62,12),AND(AH62="K5-POLICY",AG62&lt;&gt;"นิติศาสตร์",OR(K62="M2",K62="K4"),T62="",Z62=""),EDATE(P62,12*2),AND(AH62="K5-POLICY",AG62&lt;&gt;"นิติศาสตร์",OR(Z62="M2",Z62="K4"),AC62&gt;=2,OR(AB62&lt;V62,AB62&lt;P62)),EDATE(AB62,12*2),AND(AH62="K5-POLICY",AG62&lt;&gt;"นิติศาสตร์",Z62="S1",AC62&gt;=1,OR(AB62&lt;V62,AB62&lt;P62)),EDATE(AB62,12),AND(AH62="K5-POLICY",AG62&lt;&gt;"นิติศาสตร์",OR(T62="M2",T62="K4"),W62&gt;=2,V62&lt;P62),EDATE(V62,12*2),AND(AH62="K5-POLICY",AG62&lt;&gt;"นิติศาสตร์",T62="S1",W62&gt;=1,V62&lt;P62),EDATE(V62,12),AND(AH62="K5-POLICY",AG62&lt;&gt;"นิติศาสตร์",OR(T62="S2",T62="K5")),V62,AND(AH62="K5-POLICY",AG62&lt;&gt;"นิติศาสตร์",OR(K62="M2",K62="K4"),Q62&gt;=2),EDATE(P62,12*2),AND(AH62="K5-POLICY",AG62&lt;&gt;"นิติศาสตร์",K62="S1",Q62&gt;=1),EDATE(P62,12),AND(AH62="K5-POLICY",AG62&lt;&gt;"นิติศาสตร์",OR(K62="S2",K62="K5")),P62,TRUE,"Check Data")</f>
        <v/>
      </c>
      <c r="AJ62" s="75" t="str">
        <f t="shared" si="13"/>
        <v>Check Data</v>
      </c>
      <c r="AK62" s="76" t="str">
        <f t="shared" si="14"/>
        <v>Check Data</v>
      </c>
      <c r="AL62" s="50" t="str">
        <f t="shared" si="15"/>
        <v>Check Data</v>
      </c>
      <c r="AM62" s="49" t="str">
        <f>IF(B62="","",IF(K62="S1","S1",INDEX(#REF!,#REF!)))</f>
        <v/>
      </c>
      <c r="AN62" s="49" t="str">
        <f>K62</f>
        <v>M2</v>
      </c>
      <c r="AO62" s="50" t="b">
        <f>K62=AM62</f>
        <v>0</v>
      </c>
      <c r="AP62" s="50"/>
    </row>
    <row r="63" spans="1:42" ht="21.75">
      <c r="A63" s="49">
        <v>61</v>
      </c>
      <c r="B63" s="50"/>
      <c r="C63" s="50"/>
      <c r="D63" s="50" t="s">
        <v>142</v>
      </c>
      <c r="E63" s="49" t="s">
        <v>251</v>
      </c>
      <c r="F63" s="49" t="str">
        <f t="shared" si="0"/>
        <v>15/08/1997</v>
      </c>
      <c r="G63" s="50">
        <f t="shared" si="1"/>
        <v>27</v>
      </c>
      <c r="H63" s="50">
        <f t="shared" si="2"/>
        <v>10</v>
      </c>
      <c r="I63" s="50">
        <f t="shared" si="3"/>
        <v>5</v>
      </c>
      <c r="J63" s="58"/>
      <c r="K63" s="49" t="s">
        <v>136</v>
      </c>
      <c r="L63" s="64"/>
      <c r="M63" s="49" t="s">
        <v>425</v>
      </c>
      <c r="N63" s="49">
        <v>2571</v>
      </c>
      <c r="O63" s="65" t="s">
        <v>228</v>
      </c>
      <c r="P63" s="49" t="str">
        <f t="shared" si="4"/>
        <v>04/12/2019</v>
      </c>
      <c r="Q63" s="68">
        <f t="shared" si="5"/>
        <v>5</v>
      </c>
      <c r="R63" s="68">
        <f t="shared" si="6"/>
        <v>6</v>
      </c>
      <c r="S63" s="68">
        <f t="shared" si="7"/>
        <v>16</v>
      </c>
      <c r="T63" s="65"/>
      <c r="U63" s="65"/>
      <c r="V63" s="49" t="str">
        <f t="shared" si="8"/>
        <v/>
      </c>
      <c r="W63" s="68">
        <f>IF(V63="",0,DATEDIF(V63,P63,"Y"))</f>
        <v>0</v>
      </c>
      <c r="X63" s="68">
        <f>IF(V63="",0,DATEDIF(V63,P63,"YM"))</f>
        <v>0</v>
      </c>
      <c r="Y63" s="68">
        <f>IF(V63="",0,DATEDIF(V63,P63,"MD"))</f>
        <v>0</v>
      </c>
      <c r="Z63" s="49"/>
      <c r="AA63" s="65"/>
      <c r="AB63" s="50" t="str">
        <f t="shared" si="9"/>
        <v/>
      </c>
      <c r="AC63" s="68">
        <f t="shared" si="10"/>
        <v>0</v>
      </c>
      <c r="AD63" s="68">
        <f t="shared" si="11"/>
        <v>0</v>
      </c>
      <c r="AE63" s="68">
        <f t="shared" si="12"/>
        <v>0</v>
      </c>
      <c r="AF63" s="50"/>
      <c r="AG63" s="50" t="s">
        <v>138</v>
      </c>
      <c r="AH63" s="49" t="str">
        <f>IF(AG63="นิติศาสตร์","K5-LAW","K5-POLICY")</f>
        <v>K5-LAW</v>
      </c>
      <c r="AI63" s="72" t="str">
        <f>_xlfn.IFS(B63="","",AND(AH63="K5-LAW",AG63="นิติศาสตร์",K63="S2",T63="",Z63=""),P63,AND(AH63="K5-LAW",AG63="นิติศาสตร์",K63="S1",T63="",Z63=""),EDATE(P63,12),AND(AH63="K5-LAW",AG63="นิติศาสตร์",OR(K63="M2",K63="K4"),T63="",Z63=""),EDATE(P63,12*2),AND(AH63="K5-LAW",AG63="นิติศาสตร์",OR(Z63="M2",Z63="K4"),AC63&gt;=2,OR(AB63&lt;V63,AB63&lt;P63)),EDATE(AB63,12*2),AND(AH63="K5-LAW",AG63="นิติศาสตร์",Z63="S1",AC63&gt;=1,OR(AB63&lt;V63,AB63&lt;P63)),EDATE(AB63,12),AND(AH63="K5-LAW",AG63="นิติศาสตร์",OR(T63="M2",T63="K4"),W63&gt;=2,V63&lt;P63),EDATE(V63,12*2),AND(AH63="K5-LAW",AG63="นิติศาสตร์",T63="S1",W63&gt;=1,V63&lt;P63),EDATE(V63,12),AND(AH63="K5-LAW",AG63="นิติศาสตร์",OR(T63="S2",T63="K5")),V63,AND(AH63="K5-LAW",AG63="นิติศาสตร์",OR(K63="M2",K63="K4"),Q63&gt;=2),EDATE(P63,12*2),AND(AH63="K5-LAW",AG63="นิติศาสตร์",K63="S1",Q63&gt;=1),EDATE(P63,12),AND(AH63="K5-LAW",AG63="นิติศาสตร์",OR(K63="S2",K63="K5")),P63,AND(AH63="K5-POLICY",AG63&lt;&gt;"นิติศาสตร์",K63="S2",T63="",Z63=""),P63,AND(AH63="K5-POLICY",AG63&lt;&gt;"นิติศาสตร์",K63="S1",T63="",Z63=""),EDATE(P63,12),AND(AH63="K5-POLICY",AG63&lt;&gt;"นิติศาสตร์",OR(K63="M2",K63="K4"),T63="",Z63=""),EDATE(P63,12*2),AND(AH63="K5-POLICY",AG63&lt;&gt;"นิติศาสตร์",OR(Z63="M2",Z63="K4"),AC63&gt;=2,OR(AB63&lt;V63,AB63&lt;P63)),EDATE(AB63,12*2),AND(AH63="K5-POLICY",AG63&lt;&gt;"นิติศาสตร์",Z63="S1",AC63&gt;=1,OR(AB63&lt;V63,AB63&lt;P63)),EDATE(AB63,12),AND(AH63="K5-POLICY",AG63&lt;&gt;"นิติศาสตร์",OR(T63="M2",T63="K4"),W63&gt;=2,V63&lt;P63),EDATE(V63,12*2),AND(AH63="K5-POLICY",AG63&lt;&gt;"นิติศาสตร์",T63="S1",W63&gt;=1,V63&lt;P63),EDATE(V63,12),AND(AH63="K5-POLICY",AG63&lt;&gt;"นิติศาสตร์",OR(T63="S2",T63="K5")),V63,AND(AH63="K5-POLICY",AG63&lt;&gt;"นิติศาสตร์",OR(K63="M2",K63="K4"),Q63&gt;=2),EDATE(P63,12*2),AND(AH63="K5-POLICY",AG63&lt;&gt;"นิติศาสตร์",K63="S1",Q63&gt;=1),EDATE(P63,12),AND(AH63="K5-POLICY",AG63&lt;&gt;"นิติศาสตร์",OR(K63="S2",K63="K5")),P63,TRUE,"Check Data")</f>
        <v/>
      </c>
      <c r="AJ63" s="75" t="str">
        <f t="shared" si="13"/>
        <v>Check Data</v>
      </c>
      <c r="AK63" s="76" t="str">
        <f t="shared" si="14"/>
        <v>Check Data</v>
      </c>
      <c r="AL63" s="50" t="str">
        <f t="shared" si="15"/>
        <v>Check Data</v>
      </c>
      <c r="AM63" s="49" t="str">
        <f>IF(B63="","",IF(K63="S1","S1",INDEX(#REF!,#REF!)))</f>
        <v/>
      </c>
      <c r="AN63" s="49" t="str">
        <f>K63</f>
        <v>M2</v>
      </c>
      <c r="AO63" s="50" t="b">
        <f>K63=AM63</f>
        <v>0</v>
      </c>
      <c r="AP63" s="50"/>
    </row>
    <row r="64" spans="1:42" ht="21.75">
      <c r="A64" s="49">
        <v>62</v>
      </c>
      <c r="B64" s="50"/>
      <c r="C64" s="50"/>
      <c r="D64" s="50" t="s">
        <v>143</v>
      </c>
      <c r="E64" s="49" t="s">
        <v>305</v>
      </c>
      <c r="F64" s="49" t="str">
        <f t="shared" si="0"/>
        <v>01/04/1989</v>
      </c>
      <c r="G64" s="50">
        <f t="shared" si="1"/>
        <v>36</v>
      </c>
      <c r="H64" s="50">
        <f t="shared" si="2"/>
        <v>2</v>
      </c>
      <c r="I64" s="50">
        <f t="shared" si="3"/>
        <v>19</v>
      </c>
      <c r="J64" s="59"/>
      <c r="K64" s="49" t="s">
        <v>136</v>
      </c>
      <c r="L64" s="64"/>
      <c r="M64" s="49" t="s">
        <v>425</v>
      </c>
      <c r="N64" s="49">
        <v>2570</v>
      </c>
      <c r="O64" s="65" t="s">
        <v>306</v>
      </c>
      <c r="P64" s="49" t="str">
        <f t="shared" si="4"/>
        <v>19/12/2019</v>
      </c>
      <c r="Q64" s="68">
        <f t="shared" si="5"/>
        <v>5</v>
      </c>
      <c r="R64" s="68">
        <f t="shared" si="6"/>
        <v>6</v>
      </c>
      <c r="S64" s="68">
        <f t="shared" si="7"/>
        <v>1</v>
      </c>
      <c r="T64" s="65"/>
      <c r="U64" s="65"/>
      <c r="V64" s="49" t="str">
        <f t="shared" si="8"/>
        <v/>
      </c>
      <c r="W64" s="68">
        <f>IF(V64="",0,DATEDIF(V64,P64,"Y"))</f>
        <v>0</v>
      </c>
      <c r="X64" s="68">
        <f>IF(V64="",0,DATEDIF(V64,P64,"YM"))</f>
        <v>0</v>
      </c>
      <c r="Y64" s="68">
        <f>IF(V64="",0,DATEDIF(V64,P64,"MD"))</f>
        <v>0</v>
      </c>
      <c r="Z64" s="49"/>
      <c r="AA64" s="65"/>
      <c r="AB64" s="50" t="str">
        <f t="shared" si="9"/>
        <v/>
      </c>
      <c r="AC64" s="68">
        <f t="shared" si="10"/>
        <v>0</v>
      </c>
      <c r="AD64" s="68">
        <f t="shared" si="11"/>
        <v>0</v>
      </c>
      <c r="AE64" s="68">
        <f t="shared" si="12"/>
        <v>0</v>
      </c>
      <c r="AF64" s="50"/>
      <c r="AG64" s="50" t="s">
        <v>178</v>
      </c>
      <c r="AH64" s="49" t="str">
        <f>IF(AG64="นิติศาสตร์","K5-LAW","K5-POLICY")</f>
        <v>K5-POLICY</v>
      </c>
      <c r="AI64" s="72" t="str">
        <f>_xlfn.IFS(B64="","",AND(AH64="K5-LAW",AG64="นิติศาสตร์",K64="S2",T64="",Z64=""),P64,AND(AH64="K5-LAW",AG64="นิติศาสตร์",K64="S1",T64="",Z64=""),EDATE(P64,12),AND(AH64="K5-LAW",AG64="นิติศาสตร์",OR(K64="M2",K64="K4"),T64="",Z64=""),EDATE(P64,12*2),AND(AH64="K5-LAW",AG64="นิติศาสตร์",OR(Z64="M2",Z64="K4"),AC64&gt;=2,OR(AB64&lt;V64,AB64&lt;P64)),EDATE(AB64,12*2),AND(AH64="K5-LAW",AG64="นิติศาสตร์",Z64="S1",AC64&gt;=1,OR(AB64&lt;V64,AB64&lt;P64)),EDATE(AB64,12),AND(AH64="K5-LAW",AG64="นิติศาสตร์",OR(T64="M2",T64="K4"),W64&gt;=2,V64&lt;P64),EDATE(V64,12*2),AND(AH64="K5-LAW",AG64="นิติศาสตร์",T64="S1",W64&gt;=1,V64&lt;P64),EDATE(V64,12),AND(AH64="K5-LAW",AG64="นิติศาสตร์",OR(T64="S2",T64="K5")),V64,AND(AH64="K5-LAW",AG64="นิติศาสตร์",OR(K64="M2",K64="K4"),Q64&gt;=2),EDATE(P64,12*2),AND(AH64="K5-LAW",AG64="นิติศาสตร์",K64="S1",Q64&gt;=1),EDATE(P64,12),AND(AH64="K5-LAW",AG64="นิติศาสตร์",OR(K64="S2",K64="K5")),P64,AND(AH64="K5-POLICY",AG64&lt;&gt;"นิติศาสตร์",K64="S2",T64="",Z64=""),P64,AND(AH64="K5-POLICY",AG64&lt;&gt;"นิติศาสตร์",K64="S1",T64="",Z64=""),EDATE(P64,12),AND(AH64="K5-POLICY",AG64&lt;&gt;"นิติศาสตร์",OR(K64="M2",K64="K4"),T64="",Z64=""),EDATE(P64,12*2),AND(AH64="K5-POLICY",AG64&lt;&gt;"นิติศาสตร์",OR(Z64="M2",Z64="K4"),AC64&gt;=2,OR(AB64&lt;V64,AB64&lt;P64)),EDATE(AB64,12*2),AND(AH64="K5-POLICY",AG64&lt;&gt;"นิติศาสตร์",Z64="S1",AC64&gt;=1,OR(AB64&lt;V64,AB64&lt;P64)),EDATE(AB64,12),AND(AH64="K5-POLICY",AG64&lt;&gt;"นิติศาสตร์",OR(T64="M2",T64="K4"),W64&gt;=2,V64&lt;P64),EDATE(V64,12*2),AND(AH64="K5-POLICY",AG64&lt;&gt;"นิติศาสตร์",T64="S1",W64&gt;=1,V64&lt;P64),EDATE(V64,12),AND(AH64="K5-POLICY",AG64&lt;&gt;"นิติศาสตร์",OR(T64="S2",T64="K5")),V64,AND(AH64="K5-POLICY",AG64&lt;&gt;"นิติศาสตร์",OR(K64="M2",K64="K4"),Q64&gt;=2),EDATE(P64,12*2),AND(AH64="K5-POLICY",AG64&lt;&gt;"นิติศาสตร์",K64="S1",Q64&gt;=1),EDATE(P64,12),AND(AH64="K5-POLICY",AG64&lt;&gt;"นิติศาสตร์",OR(K64="S2",K64="K5")),P64,TRUE,"Check Data")</f>
        <v/>
      </c>
      <c r="AJ64" s="75" t="str">
        <f t="shared" si="13"/>
        <v>Check Data</v>
      </c>
      <c r="AK64" s="76" t="str">
        <f t="shared" si="14"/>
        <v>Check Data</v>
      </c>
      <c r="AL64" s="50" t="str">
        <f t="shared" si="15"/>
        <v>Check Data</v>
      </c>
      <c r="AM64" s="49" t="str">
        <f>IF(B64="","",IF(K64="S1","S1",INDEX(#REF!,#REF!)))</f>
        <v/>
      </c>
      <c r="AN64" s="49" t="str">
        <f>K64</f>
        <v>M2</v>
      </c>
      <c r="AO64" s="50" t="b">
        <f>K64=AM64</f>
        <v>0</v>
      </c>
      <c r="AP64" s="50"/>
    </row>
    <row r="65" spans="1:42" ht="21.75">
      <c r="A65" s="49">
        <v>63</v>
      </c>
      <c r="B65" s="50"/>
      <c r="C65" s="50"/>
      <c r="D65" s="50" t="s">
        <v>143</v>
      </c>
      <c r="E65" s="49" t="s">
        <v>307</v>
      </c>
      <c r="F65" s="49" t="str">
        <f t="shared" si="0"/>
        <v>05/03/1992</v>
      </c>
      <c r="G65" s="50">
        <f t="shared" si="1"/>
        <v>33</v>
      </c>
      <c r="H65" s="50">
        <f t="shared" si="2"/>
        <v>3</v>
      </c>
      <c r="I65" s="50">
        <f t="shared" si="3"/>
        <v>15</v>
      </c>
      <c r="J65" s="59"/>
      <c r="K65" s="49" t="s">
        <v>136</v>
      </c>
      <c r="L65" s="64"/>
      <c r="M65" s="49" t="s">
        <v>425</v>
      </c>
      <c r="N65" s="49">
        <v>2568</v>
      </c>
      <c r="O65" s="65" t="s">
        <v>306</v>
      </c>
      <c r="P65" s="49" t="str">
        <f t="shared" si="4"/>
        <v>19/12/2019</v>
      </c>
      <c r="Q65" s="68">
        <f t="shared" si="5"/>
        <v>5</v>
      </c>
      <c r="R65" s="68">
        <f t="shared" si="6"/>
        <v>6</v>
      </c>
      <c r="S65" s="68">
        <f t="shared" si="7"/>
        <v>1</v>
      </c>
      <c r="T65" s="65"/>
      <c r="U65" s="65"/>
      <c r="V65" s="49" t="str">
        <f t="shared" si="8"/>
        <v/>
      </c>
      <c r="W65" s="68">
        <f>IF(V65="",0,DATEDIF(V65,P65,"Y"))</f>
        <v>0</v>
      </c>
      <c r="X65" s="68">
        <f>IF(V65="",0,DATEDIF(V65,P65,"YM"))</f>
        <v>0</v>
      </c>
      <c r="Y65" s="68">
        <f>IF(V65="",0,DATEDIF(V65,P65,"MD"))</f>
        <v>0</v>
      </c>
      <c r="Z65" s="49"/>
      <c r="AA65" s="65"/>
      <c r="AB65" s="50" t="str">
        <f t="shared" si="9"/>
        <v/>
      </c>
      <c r="AC65" s="68">
        <f t="shared" si="10"/>
        <v>0</v>
      </c>
      <c r="AD65" s="68">
        <f t="shared" si="11"/>
        <v>0</v>
      </c>
      <c r="AE65" s="68">
        <f t="shared" si="12"/>
        <v>0</v>
      </c>
      <c r="AF65" s="50"/>
      <c r="AG65" s="50" t="s">
        <v>167</v>
      </c>
      <c r="AH65" s="49" t="str">
        <f>IF(AG65="นิติศาสตร์","K5-LAW","K5-POLICY")</f>
        <v>K5-POLICY</v>
      </c>
      <c r="AI65" s="72" t="str">
        <f>_xlfn.IFS(B65="","",AND(AH65="K5-LAW",AG65="นิติศาสตร์",K65="S2",T65="",Z65=""),P65,AND(AH65="K5-LAW",AG65="นิติศาสตร์",K65="S1",T65="",Z65=""),EDATE(P65,12),AND(AH65="K5-LAW",AG65="นิติศาสตร์",OR(K65="M2",K65="K4"),T65="",Z65=""),EDATE(P65,12*2),AND(AH65="K5-LAW",AG65="นิติศาสตร์",OR(Z65="M2",Z65="K4"),AC65&gt;=2,OR(AB65&lt;V65,AB65&lt;P65)),EDATE(AB65,12*2),AND(AH65="K5-LAW",AG65="นิติศาสตร์",Z65="S1",AC65&gt;=1,OR(AB65&lt;V65,AB65&lt;P65)),EDATE(AB65,12),AND(AH65="K5-LAW",AG65="นิติศาสตร์",OR(T65="M2",T65="K4"),W65&gt;=2,V65&lt;P65),EDATE(V65,12*2),AND(AH65="K5-LAW",AG65="นิติศาสตร์",T65="S1",W65&gt;=1,V65&lt;P65),EDATE(V65,12),AND(AH65="K5-LAW",AG65="นิติศาสตร์",OR(T65="S2",T65="K5")),V65,AND(AH65="K5-LAW",AG65="นิติศาสตร์",OR(K65="M2",K65="K4"),Q65&gt;=2),EDATE(P65,12*2),AND(AH65="K5-LAW",AG65="นิติศาสตร์",K65="S1",Q65&gt;=1),EDATE(P65,12),AND(AH65="K5-LAW",AG65="นิติศาสตร์",OR(K65="S2",K65="K5")),P65,AND(AH65="K5-POLICY",AG65&lt;&gt;"นิติศาสตร์",K65="S2",T65="",Z65=""),P65,AND(AH65="K5-POLICY",AG65&lt;&gt;"นิติศาสตร์",K65="S1",T65="",Z65=""),EDATE(P65,12),AND(AH65="K5-POLICY",AG65&lt;&gt;"นิติศาสตร์",OR(K65="M2",K65="K4"),T65="",Z65=""),EDATE(P65,12*2),AND(AH65="K5-POLICY",AG65&lt;&gt;"นิติศาสตร์",OR(Z65="M2",Z65="K4"),AC65&gt;=2,OR(AB65&lt;V65,AB65&lt;P65)),EDATE(AB65,12*2),AND(AH65="K5-POLICY",AG65&lt;&gt;"นิติศาสตร์",Z65="S1",AC65&gt;=1,OR(AB65&lt;V65,AB65&lt;P65)),EDATE(AB65,12),AND(AH65="K5-POLICY",AG65&lt;&gt;"นิติศาสตร์",OR(T65="M2",T65="K4"),W65&gt;=2,V65&lt;P65),EDATE(V65,12*2),AND(AH65="K5-POLICY",AG65&lt;&gt;"นิติศาสตร์",T65="S1",W65&gt;=1,V65&lt;P65),EDATE(V65,12),AND(AH65="K5-POLICY",AG65&lt;&gt;"นิติศาสตร์",OR(T65="S2",T65="K5")),V65,AND(AH65="K5-POLICY",AG65&lt;&gt;"นิติศาสตร์",OR(K65="M2",K65="K4"),Q65&gt;=2),EDATE(P65,12*2),AND(AH65="K5-POLICY",AG65&lt;&gt;"นิติศาสตร์",K65="S1",Q65&gt;=1),EDATE(P65,12),AND(AH65="K5-POLICY",AG65&lt;&gt;"นิติศาสตร์",OR(K65="S2",K65="K5")),P65,TRUE,"Check Data")</f>
        <v/>
      </c>
      <c r="AJ65" s="75" t="str">
        <f t="shared" si="13"/>
        <v>Check Data</v>
      </c>
      <c r="AK65" s="76" t="str">
        <f t="shared" si="14"/>
        <v>Check Data</v>
      </c>
      <c r="AL65" s="50" t="str">
        <f t="shared" si="15"/>
        <v>Check Data</v>
      </c>
      <c r="AM65" s="49" t="str">
        <f>IF(B65="","",IF(K65="S1","S1",INDEX(#REF!,#REF!)))</f>
        <v/>
      </c>
      <c r="AN65" s="49" t="str">
        <f>K65</f>
        <v>M2</v>
      </c>
      <c r="AO65" s="50" t="b">
        <f>K65=AM65</f>
        <v>0</v>
      </c>
      <c r="AP65" s="50"/>
    </row>
    <row r="66" spans="1:42" ht="21.75">
      <c r="A66" s="49">
        <v>64</v>
      </c>
      <c r="B66" s="50"/>
      <c r="C66" s="50"/>
      <c r="D66" s="50" t="s">
        <v>143</v>
      </c>
      <c r="E66" s="49" t="s">
        <v>307</v>
      </c>
      <c r="F66" s="49" t="str">
        <f t="shared" si="0"/>
        <v>05/03/1992</v>
      </c>
      <c r="G66" s="50">
        <f t="shared" si="1"/>
        <v>33</v>
      </c>
      <c r="H66" s="50">
        <f t="shared" si="2"/>
        <v>3</v>
      </c>
      <c r="I66" s="50">
        <f t="shared" si="3"/>
        <v>15</v>
      </c>
      <c r="J66" s="59"/>
      <c r="K66" s="49" t="s">
        <v>136</v>
      </c>
      <c r="L66" s="64"/>
      <c r="M66" s="49" t="s">
        <v>425</v>
      </c>
      <c r="N66" s="49">
        <v>2570</v>
      </c>
      <c r="O66" s="65" t="s">
        <v>306</v>
      </c>
      <c r="P66" s="49" t="str">
        <f t="shared" si="4"/>
        <v>19/12/2019</v>
      </c>
      <c r="Q66" s="68">
        <f t="shared" si="5"/>
        <v>5</v>
      </c>
      <c r="R66" s="68">
        <f t="shared" si="6"/>
        <v>6</v>
      </c>
      <c r="S66" s="68">
        <f t="shared" si="7"/>
        <v>1</v>
      </c>
      <c r="T66" s="65"/>
      <c r="U66" s="65"/>
      <c r="V66" s="49" t="str">
        <f t="shared" si="8"/>
        <v/>
      </c>
      <c r="W66" s="68">
        <f>IF(V66="",0,DATEDIF(V66,P66,"Y"))</f>
        <v>0</v>
      </c>
      <c r="X66" s="68">
        <f>IF(V66="",0,DATEDIF(V66,P66,"YM"))</f>
        <v>0</v>
      </c>
      <c r="Y66" s="68">
        <f>IF(V66="",0,DATEDIF(V66,P66,"MD"))</f>
        <v>0</v>
      </c>
      <c r="Z66" s="49"/>
      <c r="AA66" s="65"/>
      <c r="AB66" s="50" t="str">
        <f t="shared" si="9"/>
        <v/>
      </c>
      <c r="AC66" s="68">
        <f t="shared" si="10"/>
        <v>0</v>
      </c>
      <c r="AD66" s="68">
        <f t="shared" si="11"/>
        <v>0</v>
      </c>
      <c r="AE66" s="68">
        <f t="shared" si="12"/>
        <v>0</v>
      </c>
      <c r="AF66" s="50"/>
      <c r="AG66" s="50" t="s">
        <v>285</v>
      </c>
      <c r="AH66" s="49" t="str">
        <f>IF(AG66="นิติศาสตร์","K5-LAW","K5-POLICY")</f>
        <v>K5-POLICY</v>
      </c>
      <c r="AI66" s="72" t="str">
        <f>_xlfn.IFS(B66="","",AND(AH66="K5-LAW",AG66="นิติศาสตร์",K66="S2",T66="",Z66=""),P66,AND(AH66="K5-LAW",AG66="นิติศาสตร์",K66="S1",T66="",Z66=""),EDATE(P66,12),AND(AH66="K5-LAW",AG66="นิติศาสตร์",OR(K66="M2",K66="K4"),T66="",Z66=""),EDATE(P66,12*2),AND(AH66="K5-LAW",AG66="นิติศาสตร์",OR(Z66="M2",Z66="K4"),AC66&gt;=2,OR(AB66&lt;V66,AB66&lt;P66)),EDATE(AB66,12*2),AND(AH66="K5-LAW",AG66="นิติศาสตร์",Z66="S1",AC66&gt;=1,OR(AB66&lt;V66,AB66&lt;P66)),EDATE(AB66,12),AND(AH66="K5-LAW",AG66="นิติศาสตร์",OR(T66="M2",T66="K4"),W66&gt;=2,V66&lt;P66),EDATE(V66,12*2),AND(AH66="K5-LAW",AG66="นิติศาสตร์",T66="S1",W66&gt;=1,V66&lt;P66),EDATE(V66,12),AND(AH66="K5-LAW",AG66="นิติศาสตร์",OR(T66="S2",T66="K5")),V66,AND(AH66="K5-LAW",AG66="นิติศาสตร์",OR(K66="M2",K66="K4"),Q66&gt;=2),EDATE(P66,12*2),AND(AH66="K5-LAW",AG66="นิติศาสตร์",K66="S1",Q66&gt;=1),EDATE(P66,12),AND(AH66="K5-LAW",AG66="นิติศาสตร์",OR(K66="S2",K66="K5")),P66,AND(AH66="K5-POLICY",AG66&lt;&gt;"นิติศาสตร์",K66="S2",T66="",Z66=""),P66,AND(AH66="K5-POLICY",AG66&lt;&gt;"นิติศาสตร์",K66="S1",T66="",Z66=""),EDATE(P66,12),AND(AH66="K5-POLICY",AG66&lt;&gt;"นิติศาสตร์",OR(K66="M2",K66="K4"),T66="",Z66=""),EDATE(P66,12*2),AND(AH66="K5-POLICY",AG66&lt;&gt;"นิติศาสตร์",OR(Z66="M2",Z66="K4"),AC66&gt;=2,OR(AB66&lt;V66,AB66&lt;P66)),EDATE(AB66,12*2),AND(AH66="K5-POLICY",AG66&lt;&gt;"นิติศาสตร์",Z66="S1",AC66&gt;=1,OR(AB66&lt;V66,AB66&lt;P66)),EDATE(AB66,12),AND(AH66="K5-POLICY",AG66&lt;&gt;"นิติศาสตร์",OR(T66="M2",T66="K4"),W66&gt;=2,V66&lt;P66),EDATE(V66,12*2),AND(AH66="K5-POLICY",AG66&lt;&gt;"นิติศาสตร์",T66="S1",W66&gt;=1,V66&lt;P66),EDATE(V66,12),AND(AH66="K5-POLICY",AG66&lt;&gt;"นิติศาสตร์",OR(T66="S2",T66="K5")),V66,AND(AH66="K5-POLICY",AG66&lt;&gt;"นิติศาสตร์",OR(K66="M2",K66="K4"),Q66&gt;=2),EDATE(P66,12*2),AND(AH66="K5-POLICY",AG66&lt;&gt;"นิติศาสตร์",K66="S1",Q66&gt;=1),EDATE(P66,12),AND(AH66="K5-POLICY",AG66&lt;&gt;"นิติศาสตร์",OR(K66="S2",K66="K5")),P66,TRUE,"Check Data")</f>
        <v/>
      </c>
      <c r="AJ66" s="75" t="str">
        <f t="shared" si="13"/>
        <v>Check Data</v>
      </c>
      <c r="AK66" s="76" t="str">
        <f t="shared" si="14"/>
        <v>Check Data</v>
      </c>
      <c r="AL66" s="50" t="str">
        <f t="shared" si="15"/>
        <v>Check Data</v>
      </c>
      <c r="AM66" s="49" t="str">
        <f>IF(B66="","",IF(K66="S1","S1",INDEX(#REF!,#REF!)))</f>
        <v/>
      </c>
      <c r="AN66" s="49" t="str">
        <f>K66</f>
        <v>M2</v>
      </c>
      <c r="AO66" s="50" t="b">
        <f>K66=AM66</f>
        <v>0</v>
      </c>
      <c r="AP66" s="50"/>
    </row>
    <row r="67" spans="1:42" ht="21.75">
      <c r="A67" s="49">
        <v>65</v>
      </c>
      <c r="B67" s="50"/>
      <c r="C67" s="50"/>
      <c r="D67" s="50" t="s">
        <v>143</v>
      </c>
      <c r="E67" s="49" t="s">
        <v>348</v>
      </c>
      <c r="F67" s="49" t="str">
        <f t="shared" ref="F67:F130" si="16">IF(E67="","",TEXT(EDATE(E67,-543*12),"dd/mm/yyyy"))</f>
        <v>09/10/1995</v>
      </c>
      <c r="G67" s="50">
        <f t="shared" ref="G67:G130" si="17">IF(F67="",0,DATEDIF(F67,$C$1,"Y"))</f>
        <v>29</v>
      </c>
      <c r="H67" s="50">
        <f t="shared" ref="H67:H130" si="18">IF(F67="",0,DATEDIF(F67,$C$1,"YM"))</f>
        <v>8</v>
      </c>
      <c r="I67" s="50">
        <f t="shared" ref="I67:I130" si="19">IF(F67="",0,DATEDIF(F67,$C$1,"MD"))</f>
        <v>11</v>
      </c>
      <c r="J67" s="59"/>
      <c r="K67" s="49" t="s">
        <v>136</v>
      </c>
      <c r="L67" s="64"/>
      <c r="M67" s="49" t="s">
        <v>425</v>
      </c>
      <c r="N67" s="49">
        <v>2569</v>
      </c>
      <c r="O67" s="65" t="s">
        <v>306</v>
      </c>
      <c r="P67" s="49" t="str">
        <f t="shared" ref="P67:P130" si="20">TEXT(EDATE(O67,-543*12),"dd/mm/yyyy")</f>
        <v>19/12/2019</v>
      </c>
      <c r="Q67" s="68">
        <f t="shared" ref="Q67:Q130" si="21">IF(P67="",0,DATEDIF(P67,$C$1,"Y"))</f>
        <v>5</v>
      </c>
      <c r="R67" s="68">
        <f t="shared" ref="R67:R130" si="22">IF(P67="",0,DATEDIF(P67,$C$1,"YM"))</f>
        <v>6</v>
      </c>
      <c r="S67" s="68">
        <f t="shared" ref="S67:S130" si="23">IF(P67="",0,DATEDIF(P67,$C$1,"MD"))</f>
        <v>1</v>
      </c>
      <c r="T67" s="65"/>
      <c r="U67" s="65"/>
      <c r="V67" s="49" t="str">
        <f t="shared" ref="V67:V130" si="24">IF(U67="","",TEXT(EDATE(U67,-543*12),"dd/mm/yyyy"))</f>
        <v/>
      </c>
      <c r="W67" s="68">
        <f>IF(V67="",0,DATEDIF(V67,P67,"Y"))</f>
        <v>0</v>
      </c>
      <c r="X67" s="68">
        <f>IF(V67="",0,DATEDIF(V67,P67,"YM"))</f>
        <v>0</v>
      </c>
      <c r="Y67" s="68">
        <f>IF(V67="",0,DATEDIF(V67,P67,"MD"))</f>
        <v>0</v>
      </c>
      <c r="Z67" s="49"/>
      <c r="AA67" s="65"/>
      <c r="AB67" s="50" t="str">
        <f t="shared" ref="AB67:AB130" si="25">IF(AA67="","",TEXT(EDATE(AA67,-543*12),"dd/mm/yyyy"))</f>
        <v/>
      </c>
      <c r="AC67" s="68">
        <f t="shared" ref="AC67:AC130" si="26">IF(AB67="",0,DATEDIF(AB67,V67,"Y"))</f>
        <v>0</v>
      </c>
      <c r="AD67" s="68">
        <f t="shared" ref="AD67:AD130" si="27">IF(AB67="",0,DATEDIF(AB67,V67,"YM"))</f>
        <v>0</v>
      </c>
      <c r="AE67" s="68">
        <f t="shared" ref="AE67:AE130" si="28">IF(AB67="",0,DATEDIF(AB67,V67,"MD"))</f>
        <v>0</v>
      </c>
      <c r="AF67" s="50"/>
      <c r="AG67" s="50" t="s">
        <v>138</v>
      </c>
      <c r="AH67" s="49" t="str">
        <f>IF(AG67="นิติศาสตร์","K5-LAW","K5-POLICY")</f>
        <v>K5-LAW</v>
      </c>
      <c r="AI67" s="72" t="str">
        <f>_xlfn.IFS(B67="","",AND(AH67="K5-LAW",AG67="นิติศาสตร์",K67="S2",T67="",Z67=""),P67,AND(AH67="K5-LAW",AG67="นิติศาสตร์",K67="S1",T67="",Z67=""),EDATE(P67,12),AND(AH67="K5-LAW",AG67="นิติศาสตร์",OR(K67="M2",K67="K4"),T67="",Z67=""),EDATE(P67,12*2),AND(AH67="K5-LAW",AG67="นิติศาสตร์",OR(Z67="M2",Z67="K4"),AC67&gt;=2,OR(AB67&lt;V67,AB67&lt;P67)),EDATE(AB67,12*2),AND(AH67="K5-LAW",AG67="นิติศาสตร์",Z67="S1",AC67&gt;=1,OR(AB67&lt;V67,AB67&lt;P67)),EDATE(AB67,12),AND(AH67="K5-LAW",AG67="นิติศาสตร์",OR(T67="M2",T67="K4"),W67&gt;=2,V67&lt;P67),EDATE(V67,12*2),AND(AH67="K5-LAW",AG67="นิติศาสตร์",T67="S1",W67&gt;=1,V67&lt;P67),EDATE(V67,12),AND(AH67="K5-LAW",AG67="นิติศาสตร์",OR(T67="S2",T67="K5")),V67,AND(AH67="K5-LAW",AG67="นิติศาสตร์",OR(K67="M2",K67="K4"),Q67&gt;=2),EDATE(P67,12*2),AND(AH67="K5-LAW",AG67="นิติศาสตร์",K67="S1",Q67&gt;=1),EDATE(P67,12),AND(AH67="K5-LAW",AG67="นิติศาสตร์",OR(K67="S2",K67="K5")),P67,AND(AH67="K5-POLICY",AG67&lt;&gt;"นิติศาสตร์",K67="S2",T67="",Z67=""),P67,AND(AH67="K5-POLICY",AG67&lt;&gt;"นิติศาสตร์",K67="S1",T67="",Z67=""),EDATE(P67,12),AND(AH67="K5-POLICY",AG67&lt;&gt;"นิติศาสตร์",OR(K67="M2",K67="K4"),T67="",Z67=""),EDATE(P67,12*2),AND(AH67="K5-POLICY",AG67&lt;&gt;"นิติศาสตร์",OR(Z67="M2",Z67="K4"),AC67&gt;=2,OR(AB67&lt;V67,AB67&lt;P67)),EDATE(AB67,12*2),AND(AH67="K5-POLICY",AG67&lt;&gt;"นิติศาสตร์",Z67="S1",AC67&gt;=1,OR(AB67&lt;V67,AB67&lt;P67)),EDATE(AB67,12),AND(AH67="K5-POLICY",AG67&lt;&gt;"นิติศาสตร์",OR(T67="M2",T67="K4"),W67&gt;=2,V67&lt;P67),EDATE(V67,12*2),AND(AH67="K5-POLICY",AG67&lt;&gt;"นิติศาสตร์",T67="S1",W67&gt;=1,V67&lt;P67),EDATE(V67,12),AND(AH67="K5-POLICY",AG67&lt;&gt;"นิติศาสตร์",OR(T67="S2",T67="K5")),V67,AND(AH67="K5-POLICY",AG67&lt;&gt;"นิติศาสตร์",OR(K67="M2",K67="K4"),Q67&gt;=2),EDATE(P67,12*2),AND(AH67="K5-POLICY",AG67&lt;&gt;"นิติศาสตร์",K67="S1",Q67&gt;=1),EDATE(P67,12),AND(AH67="K5-POLICY",AG67&lt;&gt;"นิติศาสตร์",OR(K67="S2",K67="K5")),P67,TRUE,"Check Data")</f>
        <v/>
      </c>
      <c r="AJ67" s="75" t="str">
        <f t="shared" ref="AJ67:AJ130" si="29">IFERROR(TEXT(EDATE(AI67,543*12),"dd/mm/yyyy"),"Check Data")</f>
        <v>Check Data</v>
      </c>
      <c r="AK67" s="76" t="str">
        <f t="shared" ref="AK67:AK130" si="30">IFERROR(IF($C$1&gt;AI67,AI67-$C$1,DATEDIF($C$1,AI67,"d")),"Check Data")</f>
        <v>Check Data</v>
      </c>
      <c r="AL67" s="50" t="str">
        <f t="shared" ref="AL67:AL130" si="31">_xlfn.IFS(AK67="Check Data","Check Data",AK67&gt;30,"ยังไม่ถึงเกณฑ์",AK67&gt;0,"ใกล้ถึงเกณฑ์",AK67=0,"ถึงเกณฑ์",AK67&lt;0,"ถึงเกณฑ์นานแล้ว")</f>
        <v>Check Data</v>
      </c>
      <c r="AM67" s="49" t="str">
        <f>IF(B67="","",IF(K67="S1","S1",INDEX(#REF!,#REF!)))</f>
        <v/>
      </c>
      <c r="AN67" s="49" t="str">
        <f>K67</f>
        <v>M2</v>
      </c>
      <c r="AO67" s="50" t="b">
        <f>K67=AM67</f>
        <v>0</v>
      </c>
      <c r="AP67" s="50"/>
    </row>
    <row r="68" spans="1:42" ht="21.75">
      <c r="A68" s="49">
        <v>66</v>
      </c>
      <c r="B68" s="50"/>
      <c r="C68" s="50"/>
      <c r="D68" s="50" t="s">
        <v>144</v>
      </c>
      <c r="E68" s="49" t="s">
        <v>379</v>
      </c>
      <c r="F68" s="49" t="str">
        <f t="shared" si="16"/>
        <v>10/07/1987</v>
      </c>
      <c r="G68" s="50">
        <f t="shared" si="17"/>
        <v>37</v>
      </c>
      <c r="H68" s="50">
        <f t="shared" si="18"/>
        <v>11</v>
      </c>
      <c r="I68" s="50">
        <f t="shared" si="19"/>
        <v>10</v>
      </c>
      <c r="J68" s="57"/>
      <c r="K68" s="49" t="s">
        <v>136</v>
      </c>
      <c r="L68" s="64"/>
      <c r="M68" s="49" t="s">
        <v>425</v>
      </c>
      <c r="N68" s="49">
        <v>2572</v>
      </c>
      <c r="O68" s="65" t="s">
        <v>380</v>
      </c>
      <c r="P68" s="49" t="str">
        <f t="shared" si="20"/>
        <v>21/01/2020</v>
      </c>
      <c r="Q68" s="68">
        <f t="shared" si="21"/>
        <v>5</v>
      </c>
      <c r="R68" s="68">
        <f t="shared" si="22"/>
        <v>4</v>
      </c>
      <c r="S68" s="68">
        <f t="shared" si="23"/>
        <v>30</v>
      </c>
      <c r="T68" s="65"/>
      <c r="U68" s="65"/>
      <c r="V68" s="49" t="str">
        <f t="shared" si="24"/>
        <v/>
      </c>
      <c r="W68" s="68">
        <f>IF(V68="",0,DATEDIF(V68,P68,"Y"))</f>
        <v>0</v>
      </c>
      <c r="X68" s="68">
        <f>IF(V68="",0,DATEDIF(V68,P68,"YM"))</f>
        <v>0</v>
      </c>
      <c r="Y68" s="68">
        <f>IF(V68="",0,DATEDIF(V68,P68,"MD"))</f>
        <v>0</v>
      </c>
      <c r="Z68" s="49"/>
      <c r="AA68" s="65"/>
      <c r="AB68" s="50" t="str">
        <f t="shared" si="25"/>
        <v/>
      </c>
      <c r="AC68" s="68">
        <f t="shared" si="26"/>
        <v>0</v>
      </c>
      <c r="AD68" s="68">
        <f t="shared" si="27"/>
        <v>0</v>
      </c>
      <c r="AE68" s="68">
        <f t="shared" si="28"/>
        <v>0</v>
      </c>
      <c r="AF68" s="50"/>
      <c r="AG68" s="50" t="s">
        <v>138</v>
      </c>
      <c r="AH68" s="49" t="str">
        <f>IF(AG68="นิติศาสตร์","K5-LAW","K5-POLICY")</f>
        <v>K5-LAW</v>
      </c>
      <c r="AI68" s="72" t="str">
        <f>_xlfn.IFS(B68="","",AND(AH68="K5-LAW",AG68="นิติศาสตร์",K68="S2",T68="",Z68=""),P68,AND(AH68="K5-LAW",AG68="นิติศาสตร์",K68="S1",T68="",Z68=""),EDATE(P68,12),AND(AH68="K5-LAW",AG68="นิติศาสตร์",OR(K68="M2",K68="K4"),T68="",Z68=""),EDATE(P68,12*2),AND(AH68="K5-LAW",AG68="นิติศาสตร์",OR(Z68="M2",Z68="K4"),AC68&gt;=2,OR(AB68&lt;V68,AB68&lt;P68)),EDATE(AB68,12*2),AND(AH68="K5-LAW",AG68="นิติศาสตร์",Z68="S1",AC68&gt;=1,OR(AB68&lt;V68,AB68&lt;P68)),EDATE(AB68,12),AND(AH68="K5-LAW",AG68="นิติศาสตร์",OR(T68="M2",T68="K4"),W68&gt;=2,V68&lt;P68),EDATE(V68,12*2),AND(AH68="K5-LAW",AG68="นิติศาสตร์",T68="S1",W68&gt;=1,V68&lt;P68),EDATE(V68,12),AND(AH68="K5-LAW",AG68="นิติศาสตร์",OR(T68="S2",T68="K5")),V68,AND(AH68="K5-LAW",AG68="นิติศาสตร์",OR(K68="M2",K68="K4"),Q68&gt;=2),EDATE(P68,12*2),AND(AH68="K5-LAW",AG68="นิติศาสตร์",K68="S1",Q68&gt;=1),EDATE(P68,12),AND(AH68="K5-LAW",AG68="นิติศาสตร์",OR(K68="S2",K68="K5")),P68,AND(AH68="K5-POLICY",AG68&lt;&gt;"นิติศาสตร์",K68="S2",T68="",Z68=""),P68,AND(AH68="K5-POLICY",AG68&lt;&gt;"นิติศาสตร์",K68="S1",T68="",Z68=""),EDATE(P68,12),AND(AH68="K5-POLICY",AG68&lt;&gt;"นิติศาสตร์",OR(K68="M2",K68="K4"),T68="",Z68=""),EDATE(P68,12*2),AND(AH68="K5-POLICY",AG68&lt;&gt;"นิติศาสตร์",OR(Z68="M2",Z68="K4"),AC68&gt;=2,OR(AB68&lt;V68,AB68&lt;P68)),EDATE(AB68,12*2),AND(AH68="K5-POLICY",AG68&lt;&gt;"นิติศาสตร์",Z68="S1",AC68&gt;=1,OR(AB68&lt;V68,AB68&lt;P68)),EDATE(AB68,12),AND(AH68="K5-POLICY",AG68&lt;&gt;"นิติศาสตร์",OR(T68="M2",T68="K4"),W68&gt;=2,V68&lt;P68),EDATE(V68,12*2),AND(AH68="K5-POLICY",AG68&lt;&gt;"นิติศาสตร์",T68="S1",W68&gt;=1,V68&lt;P68),EDATE(V68,12),AND(AH68="K5-POLICY",AG68&lt;&gt;"นิติศาสตร์",OR(T68="S2",T68="K5")),V68,AND(AH68="K5-POLICY",AG68&lt;&gt;"นิติศาสตร์",OR(K68="M2",K68="K4"),Q68&gt;=2),EDATE(P68,12*2),AND(AH68="K5-POLICY",AG68&lt;&gt;"นิติศาสตร์",K68="S1",Q68&gt;=1),EDATE(P68,12),AND(AH68="K5-POLICY",AG68&lt;&gt;"นิติศาสตร์",OR(K68="S2",K68="K5")),P68,TRUE,"Check Data")</f>
        <v/>
      </c>
      <c r="AJ68" s="75" t="str">
        <f t="shared" si="29"/>
        <v>Check Data</v>
      </c>
      <c r="AK68" s="76" t="str">
        <f t="shared" si="30"/>
        <v>Check Data</v>
      </c>
      <c r="AL68" s="50" t="str">
        <f t="shared" si="31"/>
        <v>Check Data</v>
      </c>
      <c r="AM68" s="49" t="str">
        <f>IF(B68="","",IF(K68="S1","S1",INDEX(#REF!,#REF!)))</f>
        <v/>
      </c>
      <c r="AN68" s="49" t="str">
        <f>K68</f>
        <v>M2</v>
      </c>
      <c r="AO68" s="50" t="b">
        <f>K68=AM68</f>
        <v>0</v>
      </c>
      <c r="AP68" s="50"/>
    </row>
    <row r="69" spans="1:42" ht="21.75">
      <c r="A69" s="49">
        <v>67</v>
      </c>
      <c r="B69" s="50"/>
      <c r="C69" s="50"/>
      <c r="D69" s="50" t="s">
        <v>143</v>
      </c>
      <c r="E69" s="49" t="s">
        <v>335</v>
      </c>
      <c r="F69" s="49" t="str">
        <f t="shared" si="16"/>
        <v>01/01/1999</v>
      </c>
      <c r="G69" s="50">
        <f t="shared" si="17"/>
        <v>26</v>
      </c>
      <c r="H69" s="50">
        <f t="shared" si="18"/>
        <v>5</v>
      </c>
      <c r="I69" s="50">
        <f t="shared" si="19"/>
        <v>19</v>
      </c>
      <c r="J69" s="59"/>
      <c r="K69" s="49" t="s">
        <v>136</v>
      </c>
      <c r="L69" s="64"/>
      <c r="M69" s="49" t="s">
        <v>427</v>
      </c>
      <c r="N69" s="49">
        <v>2579</v>
      </c>
      <c r="O69" s="65" t="s">
        <v>336</v>
      </c>
      <c r="P69" s="49" t="str">
        <f t="shared" si="20"/>
        <v>05/05/2020</v>
      </c>
      <c r="Q69" s="68">
        <f t="shared" si="21"/>
        <v>5</v>
      </c>
      <c r="R69" s="68">
        <f t="shared" si="22"/>
        <v>1</v>
      </c>
      <c r="S69" s="68">
        <f t="shared" si="23"/>
        <v>15</v>
      </c>
      <c r="T69" s="65"/>
      <c r="U69" s="65"/>
      <c r="V69" s="49" t="str">
        <f t="shared" si="24"/>
        <v/>
      </c>
      <c r="W69" s="68">
        <f>IF(V69="",0,DATEDIF(V69,P69,"Y"))</f>
        <v>0</v>
      </c>
      <c r="X69" s="68">
        <f>IF(V69="",0,DATEDIF(V69,P69,"YM"))</f>
        <v>0</v>
      </c>
      <c r="Y69" s="68">
        <f>IF(V69="",0,DATEDIF(V69,P69,"MD"))</f>
        <v>0</v>
      </c>
      <c r="Z69" s="49"/>
      <c r="AA69" s="65"/>
      <c r="AB69" s="50" t="str">
        <f t="shared" si="25"/>
        <v/>
      </c>
      <c r="AC69" s="68">
        <f t="shared" si="26"/>
        <v>0</v>
      </c>
      <c r="AD69" s="68">
        <f t="shared" si="27"/>
        <v>0</v>
      </c>
      <c r="AE69" s="68">
        <f t="shared" si="28"/>
        <v>0</v>
      </c>
      <c r="AF69" s="50"/>
      <c r="AG69" s="50" t="s">
        <v>337</v>
      </c>
      <c r="AH69" s="49" t="str">
        <f>IF(AG69="นิติศาสตร์","K5-LAW","K5-POLICY")</f>
        <v>K5-POLICY</v>
      </c>
      <c r="AI69" s="72" t="str">
        <f>_xlfn.IFS(B69="","",AND(AH69="K5-LAW",AG69="นิติศาสตร์",K69="S2",T69="",Z69=""),P69,AND(AH69="K5-LAW",AG69="นิติศาสตร์",K69="S1",T69="",Z69=""),EDATE(P69,12),AND(AH69="K5-LAW",AG69="นิติศาสตร์",OR(K69="M2",K69="K4"),T69="",Z69=""),EDATE(P69,12*2),AND(AH69="K5-LAW",AG69="นิติศาสตร์",OR(Z69="M2",Z69="K4"),AC69&gt;=2,OR(AB69&lt;V69,AB69&lt;P69)),EDATE(AB69,12*2),AND(AH69="K5-LAW",AG69="นิติศาสตร์",Z69="S1",AC69&gt;=1,OR(AB69&lt;V69,AB69&lt;P69)),EDATE(AB69,12),AND(AH69="K5-LAW",AG69="นิติศาสตร์",OR(T69="M2",T69="K4"),W69&gt;=2,V69&lt;P69),EDATE(V69,12*2),AND(AH69="K5-LAW",AG69="นิติศาสตร์",T69="S1",W69&gt;=1,V69&lt;P69),EDATE(V69,12),AND(AH69="K5-LAW",AG69="นิติศาสตร์",OR(T69="S2",T69="K5")),V69,AND(AH69="K5-LAW",AG69="นิติศาสตร์",OR(K69="M2",K69="K4"),Q69&gt;=2),EDATE(P69,12*2),AND(AH69="K5-LAW",AG69="นิติศาสตร์",K69="S1",Q69&gt;=1),EDATE(P69,12),AND(AH69="K5-LAW",AG69="นิติศาสตร์",OR(K69="S2",K69="K5")),P69,AND(AH69="K5-POLICY",AG69&lt;&gt;"นิติศาสตร์",K69="S2",T69="",Z69=""),P69,AND(AH69="K5-POLICY",AG69&lt;&gt;"นิติศาสตร์",K69="S1",T69="",Z69=""),EDATE(P69,12),AND(AH69="K5-POLICY",AG69&lt;&gt;"นิติศาสตร์",OR(K69="M2",K69="K4"),T69="",Z69=""),EDATE(P69,12*2),AND(AH69="K5-POLICY",AG69&lt;&gt;"นิติศาสตร์",OR(Z69="M2",Z69="K4"),AC69&gt;=2,OR(AB69&lt;V69,AB69&lt;P69)),EDATE(AB69,12*2),AND(AH69="K5-POLICY",AG69&lt;&gt;"นิติศาสตร์",Z69="S1",AC69&gt;=1,OR(AB69&lt;V69,AB69&lt;P69)),EDATE(AB69,12),AND(AH69="K5-POLICY",AG69&lt;&gt;"นิติศาสตร์",OR(T69="M2",T69="K4"),W69&gt;=2,V69&lt;P69),EDATE(V69,12*2),AND(AH69="K5-POLICY",AG69&lt;&gt;"นิติศาสตร์",T69="S1",W69&gt;=1,V69&lt;P69),EDATE(V69,12),AND(AH69="K5-POLICY",AG69&lt;&gt;"นิติศาสตร์",OR(T69="S2",T69="K5")),V69,AND(AH69="K5-POLICY",AG69&lt;&gt;"นิติศาสตร์",OR(K69="M2",K69="K4"),Q69&gt;=2),EDATE(P69,12*2),AND(AH69="K5-POLICY",AG69&lt;&gt;"นิติศาสตร์",K69="S1",Q69&gt;=1),EDATE(P69,12),AND(AH69="K5-POLICY",AG69&lt;&gt;"นิติศาสตร์",OR(K69="S2",K69="K5")),P69,TRUE,"Check Data")</f>
        <v/>
      </c>
      <c r="AJ69" s="75" t="str">
        <f t="shared" si="29"/>
        <v>Check Data</v>
      </c>
      <c r="AK69" s="76" t="str">
        <f t="shared" si="30"/>
        <v>Check Data</v>
      </c>
      <c r="AL69" s="50" t="str">
        <f t="shared" si="31"/>
        <v>Check Data</v>
      </c>
      <c r="AM69" s="49" t="str">
        <f>IF(B69="","",IF(K69="S1","S1",INDEX(#REF!,#REF!)))</f>
        <v/>
      </c>
      <c r="AN69" s="49" t="str">
        <f>K69</f>
        <v>M2</v>
      </c>
      <c r="AO69" s="50" t="b">
        <f>K69=AM69</f>
        <v>0</v>
      </c>
      <c r="AP69" s="50"/>
    </row>
    <row r="70" spans="1:42" ht="21.75">
      <c r="A70" s="49">
        <v>68</v>
      </c>
      <c r="B70" s="50"/>
      <c r="C70" s="50"/>
      <c r="D70" s="50" t="s">
        <v>144</v>
      </c>
      <c r="E70" s="49" t="s">
        <v>384</v>
      </c>
      <c r="F70" s="49" t="str">
        <f t="shared" si="16"/>
        <v>01/06/1994</v>
      </c>
      <c r="G70" s="50">
        <f t="shared" si="17"/>
        <v>31</v>
      </c>
      <c r="H70" s="50">
        <f t="shared" si="18"/>
        <v>0</v>
      </c>
      <c r="I70" s="50">
        <f t="shared" si="19"/>
        <v>19</v>
      </c>
      <c r="J70" s="57"/>
      <c r="K70" s="49" t="s">
        <v>136</v>
      </c>
      <c r="L70" s="64"/>
      <c r="M70" s="49" t="s">
        <v>425</v>
      </c>
      <c r="N70" s="49">
        <v>2569</v>
      </c>
      <c r="O70" s="65" t="s">
        <v>385</v>
      </c>
      <c r="P70" s="49" t="str">
        <f t="shared" si="20"/>
        <v>29/09/2020</v>
      </c>
      <c r="Q70" s="68">
        <f t="shared" si="21"/>
        <v>4</v>
      </c>
      <c r="R70" s="68">
        <f t="shared" si="22"/>
        <v>8</v>
      </c>
      <c r="S70" s="68">
        <f t="shared" si="23"/>
        <v>22</v>
      </c>
      <c r="T70" s="65"/>
      <c r="U70" s="65"/>
      <c r="V70" s="49" t="str">
        <f t="shared" si="24"/>
        <v/>
      </c>
      <c r="W70" s="68">
        <f>IF(V70="",0,DATEDIF(V70,P70,"Y"))</f>
        <v>0</v>
      </c>
      <c r="X70" s="68">
        <f>IF(V70="",0,DATEDIF(V70,P70,"YM"))</f>
        <v>0</v>
      </c>
      <c r="Y70" s="68">
        <f>IF(V70="",0,DATEDIF(V70,P70,"MD"))</f>
        <v>0</v>
      </c>
      <c r="Z70" s="49"/>
      <c r="AA70" s="65"/>
      <c r="AB70" s="50" t="str">
        <f t="shared" si="25"/>
        <v/>
      </c>
      <c r="AC70" s="68">
        <f t="shared" si="26"/>
        <v>0</v>
      </c>
      <c r="AD70" s="68">
        <f t="shared" si="27"/>
        <v>0</v>
      </c>
      <c r="AE70" s="68">
        <f t="shared" si="28"/>
        <v>0</v>
      </c>
      <c r="AF70" s="50"/>
      <c r="AG70" s="50" t="s">
        <v>138</v>
      </c>
      <c r="AH70" s="49" t="str">
        <f>IF(AG70="นิติศาสตร์","K5-LAW","K5-POLICY")</f>
        <v>K5-LAW</v>
      </c>
      <c r="AI70" s="72" t="str">
        <f>_xlfn.IFS(B70="","",AND(AH70="K5-LAW",AG70="นิติศาสตร์",K70="S2",T70="",Z70=""),P70,AND(AH70="K5-LAW",AG70="นิติศาสตร์",K70="S1",T70="",Z70=""),EDATE(P70,12),AND(AH70="K5-LAW",AG70="นิติศาสตร์",OR(K70="M2",K70="K4"),T70="",Z70=""),EDATE(P70,12*2),AND(AH70="K5-LAW",AG70="นิติศาสตร์",OR(Z70="M2",Z70="K4"),AC70&gt;=2,OR(AB70&lt;V70,AB70&lt;P70)),EDATE(AB70,12*2),AND(AH70="K5-LAW",AG70="นิติศาสตร์",Z70="S1",AC70&gt;=1,OR(AB70&lt;V70,AB70&lt;P70)),EDATE(AB70,12),AND(AH70="K5-LAW",AG70="นิติศาสตร์",OR(T70="M2",T70="K4"),W70&gt;=2,V70&lt;P70),EDATE(V70,12*2),AND(AH70="K5-LAW",AG70="นิติศาสตร์",T70="S1",W70&gt;=1,V70&lt;P70),EDATE(V70,12),AND(AH70="K5-LAW",AG70="นิติศาสตร์",OR(T70="S2",T70="K5")),V70,AND(AH70="K5-LAW",AG70="นิติศาสตร์",OR(K70="M2",K70="K4"),Q70&gt;=2),EDATE(P70,12*2),AND(AH70="K5-LAW",AG70="นิติศาสตร์",K70="S1",Q70&gt;=1),EDATE(P70,12),AND(AH70="K5-LAW",AG70="นิติศาสตร์",OR(K70="S2",K70="K5")),P70,AND(AH70="K5-POLICY",AG70&lt;&gt;"นิติศาสตร์",K70="S2",T70="",Z70=""),P70,AND(AH70="K5-POLICY",AG70&lt;&gt;"นิติศาสตร์",K70="S1",T70="",Z70=""),EDATE(P70,12),AND(AH70="K5-POLICY",AG70&lt;&gt;"นิติศาสตร์",OR(K70="M2",K70="K4"),T70="",Z70=""),EDATE(P70,12*2),AND(AH70="K5-POLICY",AG70&lt;&gt;"นิติศาสตร์",OR(Z70="M2",Z70="K4"),AC70&gt;=2,OR(AB70&lt;V70,AB70&lt;P70)),EDATE(AB70,12*2),AND(AH70="K5-POLICY",AG70&lt;&gt;"นิติศาสตร์",Z70="S1",AC70&gt;=1,OR(AB70&lt;V70,AB70&lt;P70)),EDATE(AB70,12),AND(AH70="K5-POLICY",AG70&lt;&gt;"นิติศาสตร์",OR(T70="M2",T70="K4"),W70&gt;=2,V70&lt;P70),EDATE(V70,12*2),AND(AH70="K5-POLICY",AG70&lt;&gt;"นิติศาสตร์",T70="S1",W70&gt;=1,V70&lt;P70),EDATE(V70,12),AND(AH70="K5-POLICY",AG70&lt;&gt;"นิติศาสตร์",OR(T70="S2",T70="K5")),V70,AND(AH70="K5-POLICY",AG70&lt;&gt;"นิติศาสตร์",OR(K70="M2",K70="K4"),Q70&gt;=2),EDATE(P70,12*2),AND(AH70="K5-POLICY",AG70&lt;&gt;"นิติศาสตร์",K70="S1",Q70&gt;=1),EDATE(P70,12),AND(AH70="K5-POLICY",AG70&lt;&gt;"นิติศาสตร์",OR(K70="S2",K70="K5")),P70,TRUE,"Check Data")</f>
        <v/>
      </c>
      <c r="AJ70" s="75" t="str">
        <f t="shared" si="29"/>
        <v>Check Data</v>
      </c>
      <c r="AK70" s="76" t="str">
        <f t="shared" si="30"/>
        <v>Check Data</v>
      </c>
      <c r="AL70" s="50" t="str">
        <f t="shared" si="31"/>
        <v>Check Data</v>
      </c>
      <c r="AM70" s="49" t="str">
        <f>IF(B70="","",IF(K70="S1","S1",INDEX(#REF!,#REF!)))</f>
        <v/>
      </c>
      <c r="AN70" s="49" t="str">
        <f>K70</f>
        <v>M2</v>
      </c>
      <c r="AO70" s="50" t="b">
        <f>K70=AM70</f>
        <v>0</v>
      </c>
      <c r="AP70" s="50"/>
    </row>
    <row r="71" spans="1:42" ht="21.75">
      <c r="A71" s="49">
        <v>69</v>
      </c>
      <c r="B71" s="50"/>
      <c r="C71" s="50"/>
      <c r="D71" s="50" t="s">
        <v>141</v>
      </c>
      <c r="E71" s="49" t="s">
        <v>254</v>
      </c>
      <c r="F71" s="49" t="str">
        <f t="shared" si="16"/>
        <v>13/08/1991</v>
      </c>
      <c r="G71" s="50">
        <f t="shared" si="17"/>
        <v>33</v>
      </c>
      <c r="H71" s="50">
        <f t="shared" si="18"/>
        <v>10</v>
      </c>
      <c r="I71" s="50">
        <f t="shared" si="19"/>
        <v>7</v>
      </c>
      <c r="J71" s="60"/>
      <c r="K71" s="49" t="s">
        <v>136</v>
      </c>
      <c r="L71" s="64"/>
      <c r="M71" s="49" t="s">
        <v>427</v>
      </c>
      <c r="N71" s="49">
        <v>2568</v>
      </c>
      <c r="O71" s="65" t="s">
        <v>252</v>
      </c>
      <c r="P71" s="49" t="str">
        <f t="shared" si="20"/>
        <v>01/10/2020</v>
      </c>
      <c r="Q71" s="68">
        <f t="shared" si="21"/>
        <v>4</v>
      </c>
      <c r="R71" s="68">
        <f t="shared" si="22"/>
        <v>8</v>
      </c>
      <c r="S71" s="68">
        <f t="shared" si="23"/>
        <v>19</v>
      </c>
      <c r="T71" s="65"/>
      <c r="U71" s="65"/>
      <c r="V71" s="49" t="str">
        <f t="shared" si="24"/>
        <v/>
      </c>
      <c r="W71" s="68">
        <f>IF(V71="",0,DATEDIF(V71,P71,"Y"))</f>
        <v>0</v>
      </c>
      <c r="X71" s="68">
        <f>IF(V71="",0,DATEDIF(V71,P71,"YM"))</f>
        <v>0</v>
      </c>
      <c r="Y71" s="68">
        <f>IF(V71="",0,DATEDIF(V71,P71,"MD"))</f>
        <v>0</v>
      </c>
      <c r="Z71" s="49"/>
      <c r="AA71" s="65"/>
      <c r="AB71" s="50" t="str">
        <f t="shared" si="25"/>
        <v/>
      </c>
      <c r="AC71" s="68">
        <f t="shared" si="26"/>
        <v>0</v>
      </c>
      <c r="AD71" s="68">
        <f t="shared" si="27"/>
        <v>0</v>
      </c>
      <c r="AE71" s="68">
        <f t="shared" si="28"/>
        <v>0</v>
      </c>
      <c r="AF71" s="50"/>
      <c r="AG71" s="50" t="s">
        <v>138</v>
      </c>
      <c r="AH71" s="49" t="str">
        <f>IF(AG71="นิติศาสตร์","K5-LAW","K5-POLICY")</f>
        <v>K5-LAW</v>
      </c>
      <c r="AI71" s="72" t="str">
        <f>_xlfn.IFS(B71="","",AND(AH71="K5-LAW",AG71="นิติศาสตร์",K71="S2",T71="",Z71=""),P71,AND(AH71="K5-LAW",AG71="นิติศาสตร์",K71="S1",T71="",Z71=""),EDATE(P71,12),AND(AH71="K5-LAW",AG71="นิติศาสตร์",OR(K71="M2",K71="K4"),T71="",Z71=""),EDATE(P71,12*2),AND(AH71="K5-LAW",AG71="นิติศาสตร์",OR(Z71="M2",Z71="K4"),AC71&gt;=2,OR(AB71&lt;V71,AB71&lt;P71)),EDATE(AB71,12*2),AND(AH71="K5-LAW",AG71="นิติศาสตร์",Z71="S1",AC71&gt;=1,OR(AB71&lt;V71,AB71&lt;P71)),EDATE(AB71,12),AND(AH71="K5-LAW",AG71="นิติศาสตร์",OR(T71="M2",T71="K4"),W71&gt;=2,V71&lt;P71),EDATE(V71,12*2),AND(AH71="K5-LAW",AG71="นิติศาสตร์",T71="S1",W71&gt;=1,V71&lt;P71),EDATE(V71,12),AND(AH71="K5-LAW",AG71="นิติศาสตร์",OR(T71="S2",T71="K5")),V71,AND(AH71="K5-LAW",AG71="นิติศาสตร์",OR(K71="M2",K71="K4"),Q71&gt;=2),EDATE(P71,12*2),AND(AH71="K5-LAW",AG71="นิติศาสตร์",K71="S1",Q71&gt;=1),EDATE(P71,12),AND(AH71="K5-LAW",AG71="นิติศาสตร์",OR(K71="S2",K71="K5")),P71,AND(AH71="K5-POLICY",AG71&lt;&gt;"นิติศาสตร์",K71="S2",T71="",Z71=""),P71,AND(AH71="K5-POLICY",AG71&lt;&gt;"นิติศาสตร์",K71="S1",T71="",Z71=""),EDATE(P71,12),AND(AH71="K5-POLICY",AG71&lt;&gt;"นิติศาสตร์",OR(K71="M2",K71="K4"),T71="",Z71=""),EDATE(P71,12*2),AND(AH71="K5-POLICY",AG71&lt;&gt;"นิติศาสตร์",OR(Z71="M2",Z71="K4"),AC71&gt;=2,OR(AB71&lt;V71,AB71&lt;P71)),EDATE(AB71,12*2),AND(AH71="K5-POLICY",AG71&lt;&gt;"นิติศาสตร์",Z71="S1",AC71&gt;=1,OR(AB71&lt;V71,AB71&lt;P71)),EDATE(AB71,12),AND(AH71="K5-POLICY",AG71&lt;&gt;"นิติศาสตร์",OR(T71="M2",T71="K4"),W71&gt;=2,V71&lt;P71),EDATE(V71,12*2),AND(AH71="K5-POLICY",AG71&lt;&gt;"นิติศาสตร์",T71="S1",W71&gt;=1,V71&lt;P71),EDATE(V71,12),AND(AH71="K5-POLICY",AG71&lt;&gt;"นิติศาสตร์",OR(T71="S2",T71="K5")),V71,AND(AH71="K5-POLICY",AG71&lt;&gt;"นิติศาสตร์",OR(K71="M2",K71="K4"),Q71&gt;=2),EDATE(P71,12*2),AND(AH71="K5-POLICY",AG71&lt;&gt;"นิติศาสตร์",K71="S1",Q71&gt;=1),EDATE(P71,12),AND(AH71="K5-POLICY",AG71&lt;&gt;"นิติศาสตร์",OR(K71="S2",K71="K5")),P71,TRUE,"Check Data")</f>
        <v/>
      </c>
      <c r="AJ71" s="75" t="str">
        <f t="shared" si="29"/>
        <v>Check Data</v>
      </c>
      <c r="AK71" s="76" t="str">
        <f t="shared" si="30"/>
        <v>Check Data</v>
      </c>
      <c r="AL71" s="50" t="str">
        <f t="shared" si="31"/>
        <v>Check Data</v>
      </c>
      <c r="AM71" s="49" t="str">
        <f>IF(B71="","",IF(K71="S1","S1",INDEX(#REF!,#REF!)))</f>
        <v/>
      </c>
      <c r="AN71" s="49" t="str">
        <f>K71</f>
        <v>M2</v>
      </c>
      <c r="AO71" s="50" t="b">
        <f>K71=AM71</f>
        <v>0</v>
      </c>
      <c r="AP71" s="50"/>
    </row>
    <row r="72" spans="1:42" ht="21.75">
      <c r="A72" s="49">
        <v>70</v>
      </c>
      <c r="B72" s="50"/>
      <c r="C72" s="50"/>
      <c r="D72" s="50" t="s">
        <v>141</v>
      </c>
      <c r="E72" s="49" t="s">
        <v>251</v>
      </c>
      <c r="F72" s="49" t="str">
        <f t="shared" si="16"/>
        <v>15/08/1997</v>
      </c>
      <c r="G72" s="50">
        <f t="shared" si="17"/>
        <v>27</v>
      </c>
      <c r="H72" s="50">
        <f t="shared" si="18"/>
        <v>10</v>
      </c>
      <c r="I72" s="50">
        <f t="shared" si="19"/>
        <v>5</v>
      </c>
      <c r="J72" s="60"/>
      <c r="K72" s="49" t="s">
        <v>136</v>
      </c>
      <c r="L72" s="64"/>
      <c r="M72" s="49" t="s">
        <v>425</v>
      </c>
      <c r="N72" s="49">
        <v>2575</v>
      </c>
      <c r="O72" s="65" t="s">
        <v>252</v>
      </c>
      <c r="P72" s="49" t="str">
        <f t="shared" si="20"/>
        <v>01/10/2020</v>
      </c>
      <c r="Q72" s="68">
        <f t="shared" si="21"/>
        <v>4</v>
      </c>
      <c r="R72" s="68">
        <f t="shared" si="22"/>
        <v>8</v>
      </c>
      <c r="S72" s="68">
        <f t="shared" si="23"/>
        <v>19</v>
      </c>
      <c r="T72" s="65"/>
      <c r="U72" s="65"/>
      <c r="V72" s="49" t="str">
        <f t="shared" si="24"/>
        <v/>
      </c>
      <c r="W72" s="68">
        <f>IF(V72="",0,DATEDIF(V72,P72,"Y"))</f>
        <v>0</v>
      </c>
      <c r="X72" s="68">
        <f>IF(V72="",0,DATEDIF(V72,P72,"YM"))</f>
        <v>0</v>
      </c>
      <c r="Y72" s="68">
        <f>IF(V72="",0,DATEDIF(V72,P72,"MD"))</f>
        <v>0</v>
      </c>
      <c r="Z72" s="49"/>
      <c r="AA72" s="65"/>
      <c r="AB72" s="50" t="str">
        <f t="shared" si="25"/>
        <v/>
      </c>
      <c r="AC72" s="68">
        <f t="shared" si="26"/>
        <v>0</v>
      </c>
      <c r="AD72" s="68">
        <f t="shared" si="27"/>
        <v>0</v>
      </c>
      <c r="AE72" s="68">
        <f t="shared" si="28"/>
        <v>0</v>
      </c>
      <c r="AF72" s="50"/>
      <c r="AG72" s="50" t="s">
        <v>138</v>
      </c>
      <c r="AH72" s="49" t="str">
        <f>IF(AG72="นิติศาสตร์","K5-LAW","K5-POLICY")</f>
        <v>K5-LAW</v>
      </c>
      <c r="AI72" s="72" t="str">
        <f>_xlfn.IFS(B72="","",AND(AH72="K5-LAW",AG72="นิติศาสตร์",K72="S2",T72="",Z72=""),P72,AND(AH72="K5-LAW",AG72="นิติศาสตร์",K72="S1",T72="",Z72=""),EDATE(P72,12),AND(AH72="K5-LAW",AG72="นิติศาสตร์",OR(K72="M2",K72="K4"),T72="",Z72=""),EDATE(P72,12*2),AND(AH72="K5-LAW",AG72="นิติศาสตร์",OR(Z72="M2",Z72="K4"),AC72&gt;=2,OR(AB72&lt;V72,AB72&lt;P72)),EDATE(AB72,12*2),AND(AH72="K5-LAW",AG72="นิติศาสตร์",Z72="S1",AC72&gt;=1,OR(AB72&lt;V72,AB72&lt;P72)),EDATE(AB72,12),AND(AH72="K5-LAW",AG72="นิติศาสตร์",OR(T72="M2",T72="K4"),W72&gt;=2,V72&lt;P72),EDATE(V72,12*2),AND(AH72="K5-LAW",AG72="นิติศาสตร์",T72="S1",W72&gt;=1,V72&lt;P72),EDATE(V72,12),AND(AH72="K5-LAW",AG72="นิติศาสตร์",OR(T72="S2",T72="K5")),V72,AND(AH72="K5-LAW",AG72="นิติศาสตร์",OR(K72="M2",K72="K4"),Q72&gt;=2),EDATE(P72,12*2),AND(AH72="K5-LAW",AG72="นิติศาสตร์",K72="S1",Q72&gt;=1),EDATE(P72,12),AND(AH72="K5-LAW",AG72="นิติศาสตร์",OR(K72="S2",K72="K5")),P72,AND(AH72="K5-POLICY",AG72&lt;&gt;"นิติศาสตร์",K72="S2",T72="",Z72=""),P72,AND(AH72="K5-POLICY",AG72&lt;&gt;"นิติศาสตร์",K72="S1",T72="",Z72=""),EDATE(P72,12),AND(AH72="K5-POLICY",AG72&lt;&gt;"นิติศาสตร์",OR(K72="M2",K72="K4"),T72="",Z72=""),EDATE(P72,12*2),AND(AH72="K5-POLICY",AG72&lt;&gt;"นิติศาสตร์",OR(Z72="M2",Z72="K4"),AC72&gt;=2,OR(AB72&lt;V72,AB72&lt;P72)),EDATE(AB72,12*2),AND(AH72="K5-POLICY",AG72&lt;&gt;"นิติศาสตร์",Z72="S1",AC72&gt;=1,OR(AB72&lt;V72,AB72&lt;P72)),EDATE(AB72,12),AND(AH72="K5-POLICY",AG72&lt;&gt;"นิติศาสตร์",OR(T72="M2",T72="K4"),W72&gt;=2,V72&lt;P72),EDATE(V72,12*2),AND(AH72="K5-POLICY",AG72&lt;&gt;"นิติศาสตร์",T72="S1",W72&gt;=1,V72&lt;P72),EDATE(V72,12),AND(AH72="K5-POLICY",AG72&lt;&gt;"นิติศาสตร์",OR(T72="S2",T72="K5")),V72,AND(AH72="K5-POLICY",AG72&lt;&gt;"นิติศาสตร์",OR(K72="M2",K72="K4"),Q72&gt;=2),EDATE(P72,12*2),AND(AH72="K5-POLICY",AG72&lt;&gt;"นิติศาสตร์",K72="S1",Q72&gt;=1),EDATE(P72,12),AND(AH72="K5-POLICY",AG72&lt;&gt;"นิติศาสตร์",OR(K72="S2",K72="K5")),P72,TRUE,"Check Data")</f>
        <v/>
      </c>
      <c r="AJ72" s="75" t="str">
        <f t="shared" si="29"/>
        <v>Check Data</v>
      </c>
      <c r="AK72" s="76" t="str">
        <f t="shared" si="30"/>
        <v>Check Data</v>
      </c>
      <c r="AL72" s="50" t="str">
        <f t="shared" si="31"/>
        <v>Check Data</v>
      </c>
      <c r="AM72" s="49" t="str">
        <f>IF(B72="","",IF(K72="S1","S1",INDEX(#REF!,#REF!)))</f>
        <v/>
      </c>
      <c r="AN72" s="49" t="str">
        <f>K72</f>
        <v>M2</v>
      </c>
      <c r="AO72" s="50" t="b">
        <f>K72=AM72</f>
        <v>0</v>
      </c>
      <c r="AP72" s="50"/>
    </row>
    <row r="73" spans="1:42" ht="21.75">
      <c r="A73" s="49">
        <v>71</v>
      </c>
      <c r="B73" s="50"/>
      <c r="C73" s="50"/>
      <c r="D73" s="50" t="s">
        <v>142</v>
      </c>
      <c r="E73" s="49" t="s">
        <v>428</v>
      </c>
      <c r="F73" s="49" t="str">
        <f t="shared" si="16"/>
        <v>13/12/1990</v>
      </c>
      <c r="G73" s="50">
        <f t="shared" si="17"/>
        <v>34</v>
      </c>
      <c r="H73" s="50">
        <f t="shared" si="18"/>
        <v>6</v>
      </c>
      <c r="I73" s="50">
        <f t="shared" si="19"/>
        <v>7</v>
      </c>
      <c r="J73" s="58"/>
      <c r="K73" s="49" t="s">
        <v>136</v>
      </c>
      <c r="L73" s="64"/>
      <c r="M73" s="49" t="s">
        <v>425</v>
      </c>
      <c r="N73" s="49">
        <v>2569</v>
      </c>
      <c r="O73" s="65" t="s">
        <v>278</v>
      </c>
      <c r="P73" s="49" t="str">
        <f t="shared" si="20"/>
        <v>15/10/2020</v>
      </c>
      <c r="Q73" s="68">
        <f t="shared" si="21"/>
        <v>4</v>
      </c>
      <c r="R73" s="68">
        <f t="shared" si="22"/>
        <v>8</v>
      </c>
      <c r="S73" s="68">
        <f t="shared" si="23"/>
        <v>5</v>
      </c>
      <c r="T73" s="65"/>
      <c r="U73" s="65"/>
      <c r="V73" s="49" t="str">
        <f t="shared" si="24"/>
        <v/>
      </c>
      <c r="W73" s="68">
        <f>IF(V73="",0,DATEDIF(V73,P73,"Y"))</f>
        <v>0</v>
      </c>
      <c r="X73" s="68">
        <f>IF(V73="",0,DATEDIF(V73,P73,"YM"))</f>
        <v>0</v>
      </c>
      <c r="Y73" s="68">
        <f>IF(V73="",0,DATEDIF(V73,P73,"MD"))</f>
        <v>0</v>
      </c>
      <c r="Z73" s="49"/>
      <c r="AA73" s="65"/>
      <c r="AB73" s="50" t="str">
        <f t="shared" si="25"/>
        <v/>
      </c>
      <c r="AC73" s="68">
        <f t="shared" si="26"/>
        <v>0</v>
      </c>
      <c r="AD73" s="68">
        <f t="shared" si="27"/>
        <v>0</v>
      </c>
      <c r="AE73" s="68">
        <f t="shared" si="28"/>
        <v>0</v>
      </c>
      <c r="AF73" s="50"/>
      <c r="AG73" s="50" t="s">
        <v>165</v>
      </c>
      <c r="AH73" s="49" t="str">
        <f>IF(AG73="นิติศาสตร์","K5-LAW","K5-POLICY")</f>
        <v>K5-POLICY</v>
      </c>
      <c r="AI73" s="72" t="str">
        <f>_xlfn.IFS(B73="","",AND(AH73="K5-LAW",AG73="นิติศาสตร์",K73="S2",T73="",Z73=""),P73,AND(AH73="K5-LAW",AG73="นิติศาสตร์",K73="S1",T73="",Z73=""),EDATE(P73,12),AND(AH73="K5-LAW",AG73="นิติศาสตร์",OR(K73="M2",K73="K4"),T73="",Z73=""),EDATE(P73,12*2),AND(AH73="K5-LAW",AG73="นิติศาสตร์",OR(Z73="M2",Z73="K4"),AC73&gt;=2,OR(AB73&lt;V73,AB73&lt;P73)),EDATE(AB73,12*2),AND(AH73="K5-LAW",AG73="นิติศาสตร์",Z73="S1",AC73&gt;=1,OR(AB73&lt;V73,AB73&lt;P73)),EDATE(AB73,12),AND(AH73="K5-LAW",AG73="นิติศาสตร์",OR(T73="M2",T73="K4"),W73&gt;=2,V73&lt;P73),EDATE(V73,12*2),AND(AH73="K5-LAW",AG73="นิติศาสตร์",T73="S1",W73&gt;=1,V73&lt;P73),EDATE(V73,12),AND(AH73="K5-LAW",AG73="นิติศาสตร์",OR(T73="S2",T73="K5")),V73,AND(AH73="K5-LAW",AG73="นิติศาสตร์",OR(K73="M2",K73="K4"),Q73&gt;=2),EDATE(P73,12*2),AND(AH73="K5-LAW",AG73="นิติศาสตร์",K73="S1",Q73&gt;=1),EDATE(P73,12),AND(AH73="K5-LAW",AG73="นิติศาสตร์",OR(K73="S2",K73="K5")),P73,AND(AH73="K5-POLICY",AG73&lt;&gt;"นิติศาสตร์",K73="S2",T73="",Z73=""),P73,AND(AH73="K5-POLICY",AG73&lt;&gt;"นิติศาสตร์",K73="S1",T73="",Z73=""),EDATE(P73,12),AND(AH73="K5-POLICY",AG73&lt;&gt;"นิติศาสตร์",OR(K73="M2",K73="K4"),T73="",Z73=""),EDATE(P73,12*2),AND(AH73="K5-POLICY",AG73&lt;&gt;"นิติศาสตร์",OR(Z73="M2",Z73="K4"),AC73&gt;=2,OR(AB73&lt;V73,AB73&lt;P73)),EDATE(AB73,12*2),AND(AH73="K5-POLICY",AG73&lt;&gt;"นิติศาสตร์",Z73="S1",AC73&gt;=1,OR(AB73&lt;V73,AB73&lt;P73)),EDATE(AB73,12),AND(AH73="K5-POLICY",AG73&lt;&gt;"นิติศาสตร์",OR(T73="M2",T73="K4"),W73&gt;=2,V73&lt;P73),EDATE(V73,12*2),AND(AH73="K5-POLICY",AG73&lt;&gt;"นิติศาสตร์",T73="S1",W73&gt;=1,V73&lt;P73),EDATE(V73,12),AND(AH73="K5-POLICY",AG73&lt;&gt;"นิติศาสตร์",OR(T73="S2",T73="K5")),V73,AND(AH73="K5-POLICY",AG73&lt;&gt;"นิติศาสตร์",OR(K73="M2",K73="K4"),Q73&gt;=2),EDATE(P73,12*2),AND(AH73="K5-POLICY",AG73&lt;&gt;"นิติศาสตร์",K73="S1",Q73&gt;=1),EDATE(P73,12),AND(AH73="K5-POLICY",AG73&lt;&gt;"นิติศาสตร์",OR(K73="S2",K73="K5")),P73,TRUE,"Check Data")</f>
        <v/>
      </c>
      <c r="AJ73" s="75" t="str">
        <f t="shared" si="29"/>
        <v>Check Data</v>
      </c>
      <c r="AK73" s="76" t="str">
        <f t="shared" si="30"/>
        <v>Check Data</v>
      </c>
      <c r="AL73" s="50" t="str">
        <f t="shared" si="31"/>
        <v>Check Data</v>
      </c>
      <c r="AM73" s="49" t="str">
        <f>IF(B73="","",IF(K73="S1","S1",INDEX(#REF!,#REF!)))</f>
        <v/>
      </c>
      <c r="AN73" s="49" t="str">
        <f>K73</f>
        <v>M2</v>
      </c>
      <c r="AO73" s="50" t="b">
        <f>K73=AM73</f>
        <v>0</v>
      </c>
      <c r="AP73" s="50"/>
    </row>
    <row r="74" spans="1:42" ht="21.75">
      <c r="A74" s="49">
        <v>72</v>
      </c>
      <c r="B74" s="50"/>
      <c r="C74" s="50"/>
      <c r="D74" s="50" t="s">
        <v>143</v>
      </c>
      <c r="E74" s="49" t="s">
        <v>307</v>
      </c>
      <c r="F74" s="49" t="str">
        <f t="shared" si="16"/>
        <v>05/03/1992</v>
      </c>
      <c r="G74" s="50">
        <f t="shared" si="17"/>
        <v>33</v>
      </c>
      <c r="H74" s="50">
        <f t="shared" si="18"/>
        <v>3</v>
      </c>
      <c r="I74" s="50">
        <f t="shared" si="19"/>
        <v>15</v>
      </c>
      <c r="J74" s="59"/>
      <c r="K74" s="49" t="s">
        <v>136</v>
      </c>
      <c r="L74" s="64"/>
      <c r="M74" s="49" t="s">
        <v>425</v>
      </c>
      <c r="N74" s="49">
        <v>2569</v>
      </c>
      <c r="O74" s="65" t="s">
        <v>287</v>
      </c>
      <c r="P74" s="49" t="str">
        <f t="shared" si="20"/>
        <v>29/10/2020</v>
      </c>
      <c r="Q74" s="68">
        <f t="shared" si="21"/>
        <v>4</v>
      </c>
      <c r="R74" s="68">
        <f t="shared" si="22"/>
        <v>7</v>
      </c>
      <c r="S74" s="68">
        <f t="shared" si="23"/>
        <v>22</v>
      </c>
      <c r="T74" s="65"/>
      <c r="U74" s="65"/>
      <c r="V74" s="49" t="str">
        <f t="shared" si="24"/>
        <v/>
      </c>
      <c r="W74" s="68">
        <f>IF(V74="",0,DATEDIF(V74,P74,"Y"))</f>
        <v>0</v>
      </c>
      <c r="X74" s="68">
        <f>IF(V74="",0,DATEDIF(V74,P74,"YM"))</f>
        <v>0</v>
      </c>
      <c r="Y74" s="68">
        <f>IF(V74="",0,DATEDIF(V74,P74,"MD"))</f>
        <v>0</v>
      </c>
      <c r="Z74" s="49"/>
      <c r="AA74" s="65"/>
      <c r="AB74" s="50" t="str">
        <f t="shared" si="25"/>
        <v/>
      </c>
      <c r="AC74" s="68">
        <f t="shared" si="26"/>
        <v>0</v>
      </c>
      <c r="AD74" s="68">
        <f t="shared" si="27"/>
        <v>0</v>
      </c>
      <c r="AE74" s="68">
        <f t="shared" si="28"/>
        <v>0</v>
      </c>
      <c r="AF74" s="50"/>
      <c r="AG74" s="50" t="s">
        <v>486</v>
      </c>
      <c r="AH74" s="49" t="str">
        <f>IF(AG74="นิติศาสตร์","K5-LAW","K5-POLICY")</f>
        <v>K5-POLICY</v>
      </c>
      <c r="AI74" s="72" t="str">
        <f>_xlfn.IFS(B74="","",AND(AH74="K5-LAW",AG74="นิติศาสตร์",K74="S2",T74="",Z74=""),P74,AND(AH74="K5-LAW",AG74="นิติศาสตร์",K74="S1",T74="",Z74=""),EDATE(P74,12),AND(AH74="K5-LAW",AG74="นิติศาสตร์",OR(K74="M2",K74="K4"),T74="",Z74=""),EDATE(P74,12*2),AND(AH74="K5-LAW",AG74="นิติศาสตร์",OR(Z74="M2",Z74="K4"),AC74&gt;=2,OR(AB74&lt;V74,AB74&lt;P74)),EDATE(AB74,12*2),AND(AH74="K5-LAW",AG74="นิติศาสตร์",Z74="S1",AC74&gt;=1,OR(AB74&lt;V74,AB74&lt;P74)),EDATE(AB74,12),AND(AH74="K5-LAW",AG74="นิติศาสตร์",OR(T74="M2",T74="K4"),W74&gt;=2,V74&lt;P74),EDATE(V74,12*2),AND(AH74="K5-LAW",AG74="นิติศาสตร์",T74="S1",W74&gt;=1,V74&lt;P74),EDATE(V74,12),AND(AH74="K5-LAW",AG74="นิติศาสตร์",OR(T74="S2",T74="K5")),V74,AND(AH74="K5-LAW",AG74="นิติศาสตร์",OR(K74="M2",K74="K4"),Q74&gt;=2),EDATE(P74,12*2),AND(AH74="K5-LAW",AG74="นิติศาสตร์",K74="S1",Q74&gt;=1),EDATE(P74,12),AND(AH74="K5-LAW",AG74="นิติศาสตร์",OR(K74="S2",K74="K5")),P74,AND(AH74="K5-POLICY",AG74&lt;&gt;"นิติศาสตร์",K74="S2",T74="",Z74=""),P74,AND(AH74="K5-POLICY",AG74&lt;&gt;"นิติศาสตร์",K74="S1",T74="",Z74=""),EDATE(P74,12),AND(AH74="K5-POLICY",AG74&lt;&gt;"นิติศาสตร์",OR(K74="M2",K74="K4"),T74="",Z74=""),EDATE(P74,12*2),AND(AH74="K5-POLICY",AG74&lt;&gt;"นิติศาสตร์",OR(Z74="M2",Z74="K4"),AC74&gt;=2,OR(AB74&lt;V74,AB74&lt;P74)),EDATE(AB74,12*2),AND(AH74="K5-POLICY",AG74&lt;&gt;"นิติศาสตร์",Z74="S1",AC74&gt;=1,OR(AB74&lt;V74,AB74&lt;P74)),EDATE(AB74,12),AND(AH74="K5-POLICY",AG74&lt;&gt;"นิติศาสตร์",OR(T74="M2",T74="K4"),W74&gt;=2,V74&lt;P74),EDATE(V74,12*2),AND(AH74="K5-POLICY",AG74&lt;&gt;"นิติศาสตร์",T74="S1",W74&gt;=1,V74&lt;P74),EDATE(V74,12),AND(AH74="K5-POLICY",AG74&lt;&gt;"นิติศาสตร์",OR(T74="S2",T74="K5")),V74,AND(AH74="K5-POLICY",AG74&lt;&gt;"นิติศาสตร์",OR(K74="M2",K74="K4"),Q74&gt;=2),EDATE(P74,12*2),AND(AH74="K5-POLICY",AG74&lt;&gt;"นิติศาสตร์",K74="S1",Q74&gt;=1),EDATE(P74,12),AND(AH74="K5-POLICY",AG74&lt;&gt;"นิติศาสตร์",OR(K74="S2",K74="K5")),P74,TRUE,"Check Data")</f>
        <v/>
      </c>
      <c r="AJ74" s="75" t="str">
        <f t="shared" si="29"/>
        <v>Check Data</v>
      </c>
      <c r="AK74" s="76" t="str">
        <f t="shared" si="30"/>
        <v>Check Data</v>
      </c>
      <c r="AL74" s="50" t="str">
        <f t="shared" si="31"/>
        <v>Check Data</v>
      </c>
      <c r="AM74" s="49" t="str">
        <f>IF(B74="","",IF(K74="S1","S1",INDEX(#REF!,#REF!)))</f>
        <v/>
      </c>
      <c r="AN74" s="49" t="str">
        <f>K74</f>
        <v>M2</v>
      </c>
      <c r="AO74" s="50" t="b">
        <f>K74=AM74</f>
        <v>0</v>
      </c>
      <c r="AP74" s="50"/>
    </row>
    <row r="75" spans="1:42" ht="21.75">
      <c r="A75" s="49">
        <v>73</v>
      </c>
      <c r="B75" s="50"/>
      <c r="C75" s="50"/>
      <c r="D75" s="50" t="s">
        <v>143</v>
      </c>
      <c r="E75" s="49" t="s">
        <v>359</v>
      </c>
      <c r="F75" s="49" t="str">
        <f t="shared" si="16"/>
        <v>06/01/1992</v>
      </c>
      <c r="G75" s="50">
        <f t="shared" si="17"/>
        <v>33</v>
      </c>
      <c r="H75" s="50">
        <f t="shared" si="18"/>
        <v>5</v>
      </c>
      <c r="I75" s="50">
        <f t="shared" si="19"/>
        <v>14</v>
      </c>
      <c r="J75" s="58"/>
      <c r="K75" s="49" t="s">
        <v>136</v>
      </c>
      <c r="L75" s="64"/>
      <c r="M75" s="49" t="s">
        <v>427</v>
      </c>
      <c r="N75" s="49">
        <v>2571</v>
      </c>
      <c r="O75" s="65" t="s">
        <v>287</v>
      </c>
      <c r="P75" s="49" t="str">
        <f t="shared" si="20"/>
        <v>29/10/2020</v>
      </c>
      <c r="Q75" s="68">
        <f t="shared" si="21"/>
        <v>4</v>
      </c>
      <c r="R75" s="68">
        <f t="shared" si="22"/>
        <v>7</v>
      </c>
      <c r="S75" s="68">
        <f t="shared" si="23"/>
        <v>22</v>
      </c>
      <c r="T75" s="65"/>
      <c r="U75" s="65"/>
      <c r="V75" s="49" t="str">
        <f t="shared" si="24"/>
        <v/>
      </c>
      <c r="W75" s="68">
        <f>IF(V75="",0,DATEDIF(V75,P75,"Y"))</f>
        <v>0</v>
      </c>
      <c r="X75" s="68">
        <f>IF(V75="",0,DATEDIF(V75,P75,"YM"))</f>
        <v>0</v>
      </c>
      <c r="Y75" s="68">
        <f>IF(V75="",0,DATEDIF(V75,P75,"MD"))</f>
        <v>0</v>
      </c>
      <c r="Z75" s="49"/>
      <c r="AA75" s="65"/>
      <c r="AB75" s="50" t="str">
        <f t="shared" si="25"/>
        <v/>
      </c>
      <c r="AC75" s="68">
        <f t="shared" si="26"/>
        <v>0</v>
      </c>
      <c r="AD75" s="68">
        <f t="shared" si="27"/>
        <v>0</v>
      </c>
      <c r="AE75" s="68">
        <f t="shared" si="28"/>
        <v>0</v>
      </c>
      <c r="AF75" s="50"/>
      <c r="AG75" s="50" t="s">
        <v>172</v>
      </c>
      <c r="AH75" s="49" t="str">
        <f>IF(AG75="นิติศาสตร์","K5-LAW","K5-POLICY")</f>
        <v>K5-POLICY</v>
      </c>
      <c r="AI75" s="72" t="str">
        <f>_xlfn.IFS(B75="","",AND(AH75="K5-LAW",AG75="นิติศาสตร์",K75="S2",T75="",Z75=""),P75,AND(AH75="K5-LAW",AG75="นิติศาสตร์",K75="S1",T75="",Z75=""),EDATE(P75,12),AND(AH75="K5-LAW",AG75="นิติศาสตร์",OR(K75="M2",K75="K4"),T75="",Z75=""),EDATE(P75,12*2),AND(AH75="K5-LAW",AG75="นิติศาสตร์",OR(Z75="M2",Z75="K4"),AC75&gt;=2,OR(AB75&lt;V75,AB75&lt;P75)),EDATE(AB75,12*2),AND(AH75="K5-LAW",AG75="นิติศาสตร์",Z75="S1",AC75&gt;=1,OR(AB75&lt;V75,AB75&lt;P75)),EDATE(AB75,12),AND(AH75="K5-LAW",AG75="นิติศาสตร์",OR(T75="M2",T75="K4"),W75&gt;=2,V75&lt;P75),EDATE(V75,12*2),AND(AH75="K5-LAW",AG75="นิติศาสตร์",T75="S1",W75&gt;=1,V75&lt;P75),EDATE(V75,12),AND(AH75="K5-LAW",AG75="นิติศาสตร์",OR(T75="S2",T75="K5")),V75,AND(AH75="K5-LAW",AG75="นิติศาสตร์",OR(K75="M2",K75="K4"),Q75&gt;=2),EDATE(P75,12*2),AND(AH75="K5-LAW",AG75="นิติศาสตร์",K75="S1",Q75&gt;=1),EDATE(P75,12),AND(AH75="K5-LAW",AG75="นิติศาสตร์",OR(K75="S2",K75="K5")),P75,AND(AH75="K5-POLICY",AG75&lt;&gt;"นิติศาสตร์",K75="S2",T75="",Z75=""),P75,AND(AH75="K5-POLICY",AG75&lt;&gt;"นิติศาสตร์",K75="S1",T75="",Z75=""),EDATE(P75,12),AND(AH75="K5-POLICY",AG75&lt;&gt;"นิติศาสตร์",OR(K75="M2",K75="K4"),T75="",Z75=""),EDATE(P75,12*2),AND(AH75="K5-POLICY",AG75&lt;&gt;"นิติศาสตร์",OR(Z75="M2",Z75="K4"),AC75&gt;=2,OR(AB75&lt;V75,AB75&lt;P75)),EDATE(AB75,12*2),AND(AH75="K5-POLICY",AG75&lt;&gt;"นิติศาสตร์",Z75="S1",AC75&gt;=1,OR(AB75&lt;V75,AB75&lt;P75)),EDATE(AB75,12),AND(AH75="K5-POLICY",AG75&lt;&gt;"นิติศาสตร์",OR(T75="M2",T75="K4"),W75&gt;=2,V75&lt;P75),EDATE(V75,12*2),AND(AH75="K5-POLICY",AG75&lt;&gt;"นิติศาสตร์",T75="S1",W75&gt;=1,V75&lt;P75),EDATE(V75,12),AND(AH75="K5-POLICY",AG75&lt;&gt;"นิติศาสตร์",OR(T75="S2",T75="K5")),V75,AND(AH75="K5-POLICY",AG75&lt;&gt;"นิติศาสตร์",OR(K75="M2",K75="K4"),Q75&gt;=2),EDATE(P75,12*2),AND(AH75="K5-POLICY",AG75&lt;&gt;"นิติศาสตร์",K75="S1",Q75&gt;=1),EDATE(P75,12),AND(AH75="K5-POLICY",AG75&lt;&gt;"นิติศาสตร์",OR(K75="S2",K75="K5")),P75,TRUE,"Check Data")</f>
        <v/>
      </c>
      <c r="AJ75" s="75" t="str">
        <f t="shared" si="29"/>
        <v>Check Data</v>
      </c>
      <c r="AK75" s="76" t="str">
        <f t="shared" si="30"/>
        <v>Check Data</v>
      </c>
      <c r="AL75" s="50" t="str">
        <f t="shared" si="31"/>
        <v>Check Data</v>
      </c>
      <c r="AM75" s="49" t="str">
        <f>IF(B75="","",IF(K75="S1","S1",INDEX(#REF!,#REF!)))</f>
        <v/>
      </c>
      <c r="AN75" s="49" t="str">
        <f>K75</f>
        <v>M2</v>
      </c>
      <c r="AO75" s="50" t="b">
        <f>K75=AM75</f>
        <v>0</v>
      </c>
      <c r="AP75" s="50"/>
    </row>
    <row r="76" spans="1:42" ht="21.75">
      <c r="A76" s="49">
        <v>74</v>
      </c>
      <c r="B76" s="50"/>
      <c r="C76" s="50"/>
      <c r="D76" s="50" t="s">
        <v>143</v>
      </c>
      <c r="E76" s="49" t="s">
        <v>300</v>
      </c>
      <c r="F76" s="49" t="str">
        <f t="shared" si="16"/>
        <v>22/11/1993</v>
      </c>
      <c r="G76" s="50">
        <f t="shared" si="17"/>
        <v>31</v>
      </c>
      <c r="H76" s="50">
        <f t="shared" si="18"/>
        <v>6</v>
      </c>
      <c r="I76" s="50">
        <f t="shared" si="19"/>
        <v>29</v>
      </c>
      <c r="J76" s="59"/>
      <c r="K76" s="49" t="s">
        <v>136</v>
      </c>
      <c r="L76" s="64"/>
      <c r="M76" s="49" t="s">
        <v>425</v>
      </c>
      <c r="N76" s="49">
        <v>2568</v>
      </c>
      <c r="O76" s="65" t="s">
        <v>287</v>
      </c>
      <c r="P76" s="49" t="str">
        <f t="shared" si="20"/>
        <v>29/10/2020</v>
      </c>
      <c r="Q76" s="68">
        <f t="shared" si="21"/>
        <v>4</v>
      </c>
      <c r="R76" s="68">
        <f t="shared" si="22"/>
        <v>7</v>
      </c>
      <c r="S76" s="68">
        <f t="shared" si="23"/>
        <v>22</v>
      </c>
      <c r="T76" s="65"/>
      <c r="U76" s="65"/>
      <c r="V76" s="49" t="str">
        <f t="shared" si="24"/>
        <v/>
      </c>
      <c r="W76" s="68">
        <f>IF(V76="",0,DATEDIF(V76,P76,"Y"))</f>
        <v>0</v>
      </c>
      <c r="X76" s="68">
        <f>IF(V76="",0,DATEDIF(V76,P76,"YM"))</f>
        <v>0</v>
      </c>
      <c r="Y76" s="68">
        <f>IF(V76="",0,DATEDIF(V76,P76,"MD"))</f>
        <v>0</v>
      </c>
      <c r="Z76" s="49"/>
      <c r="AA76" s="65"/>
      <c r="AB76" s="50" t="str">
        <f t="shared" si="25"/>
        <v/>
      </c>
      <c r="AC76" s="68">
        <f t="shared" si="26"/>
        <v>0</v>
      </c>
      <c r="AD76" s="68">
        <f t="shared" si="27"/>
        <v>0</v>
      </c>
      <c r="AE76" s="68">
        <f t="shared" si="28"/>
        <v>0</v>
      </c>
      <c r="AF76" s="50"/>
      <c r="AG76" s="50" t="s">
        <v>486</v>
      </c>
      <c r="AH76" s="49" t="str">
        <f>IF(AG76="นิติศาสตร์","K5-LAW","K5-POLICY")</f>
        <v>K5-POLICY</v>
      </c>
      <c r="AI76" s="72" t="str">
        <f>_xlfn.IFS(B76="","",AND(AH76="K5-LAW",AG76="นิติศาสตร์",K76="S2",T76="",Z76=""),P76,AND(AH76="K5-LAW",AG76="นิติศาสตร์",K76="S1",T76="",Z76=""),EDATE(P76,12),AND(AH76="K5-LAW",AG76="นิติศาสตร์",OR(K76="M2",K76="K4"),T76="",Z76=""),EDATE(P76,12*2),AND(AH76="K5-LAW",AG76="นิติศาสตร์",OR(Z76="M2",Z76="K4"),AC76&gt;=2,OR(AB76&lt;V76,AB76&lt;P76)),EDATE(AB76,12*2),AND(AH76="K5-LAW",AG76="นิติศาสตร์",Z76="S1",AC76&gt;=1,OR(AB76&lt;V76,AB76&lt;P76)),EDATE(AB76,12),AND(AH76="K5-LAW",AG76="นิติศาสตร์",OR(T76="M2",T76="K4"),W76&gt;=2,V76&lt;P76),EDATE(V76,12*2),AND(AH76="K5-LAW",AG76="นิติศาสตร์",T76="S1",W76&gt;=1,V76&lt;P76),EDATE(V76,12),AND(AH76="K5-LAW",AG76="นิติศาสตร์",OR(T76="S2",T76="K5")),V76,AND(AH76="K5-LAW",AG76="นิติศาสตร์",OR(K76="M2",K76="K4"),Q76&gt;=2),EDATE(P76,12*2),AND(AH76="K5-LAW",AG76="นิติศาสตร์",K76="S1",Q76&gt;=1),EDATE(P76,12),AND(AH76="K5-LAW",AG76="นิติศาสตร์",OR(K76="S2",K76="K5")),P76,AND(AH76="K5-POLICY",AG76&lt;&gt;"นิติศาสตร์",K76="S2",T76="",Z76=""),P76,AND(AH76="K5-POLICY",AG76&lt;&gt;"นิติศาสตร์",K76="S1",T76="",Z76=""),EDATE(P76,12),AND(AH76="K5-POLICY",AG76&lt;&gt;"นิติศาสตร์",OR(K76="M2",K76="K4"),T76="",Z76=""),EDATE(P76,12*2),AND(AH76="K5-POLICY",AG76&lt;&gt;"นิติศาสตร์",OR(Z76="M2",Z76="K4"),AC76&gt;=2,OR(AB76&lt;V76,AB76&lt;P76)),EDATE(AB76,12*2),AND(AH76="K5-POLICY",AG76&lt;&gt;"นิติศาสตร์",Z76="S1",AC76&gt;=1,OR(AB76&lt;V76,AB76&lt;P76)),EDATE(AB76,12),AND(AH76="K5-POLICY",AG76&lt;&gt;"นิติศาสตร์",OR(T76="M2",T76="K4"),W76&gt;=2,V76&lt;P76),EDATE(V76,12*2),AND(AH76="K5-POLICY",AG76&lt;&gt;"นิติศาสตร์",T76="S1",W76&gt;=1,V76&lt;P76),EDATE(V76,12),AND(AH76="K5-POLICY",AG76&lt;&gt;"นิติศาสตร์",OR(T76="S2",T76="K5")),V76,AND(AH76="K5-POLICY",AG76&lt;&gt;"นิติศาสตร์",OR(K76="M2",K76="K4"),Q76&gt;=2),EDATE(P76,12*2),AND(AH76="K5-POLICY",AG76&lt;&gt;"นิติศาสตร์",K76="S1",Q76&gt;=1),EDATE(P76,12),AND(AH76="K5-POLICY",AG76&lt;&gt;"นิติศาสตร์",OR(K76="S2",K76="K5")),P76,TRUE,"Check Data")</f>
        <v/>
      </c>
      <c r="AJ76" s="75" t="str">
        <f t="shared" si="29"/>
        <v>Check Data</v>
      </c>
      <c r="AK76" s="76" t="str">
        <f t="shared" si="30"/>
        <v>Check Data</v>
      </c>
      <c r="AL76" s="50" t="str">
        <f t="shared" si="31"/>
        <v>Check Data</v>
      </c>
      <c r="AM76" s="49" t="str">
        <f>IF(B76="","",IF(K76="S1","S1",INDEX(#REF!,#REF!)))</f>
        <v/>
      </c>
      <c r="AN76" s="49" t="str">
        <f>K76</f>
        <v>M2</v>
      </c>
      <c r="AO76" s="50" t="b">
        <f>K76=AM76</f>
        <v>0</v>
      </c>
      <c r="AP76" s="50"/>
    </row>
    <row r="77" spans="1:42" ht="21.75">
      <c r="A77" s="49">
        <v>75</v>
      </c>
      <c r="B77" s="50"/>
      <c r="C77" s="50"/>
      <c r="D77" s="50" t="s">
        <v>143</v>
      </c>
      <c r="E77" s="49" t="s">
        <v>358</v>
      </c>
      <c r="F77" s="49" t="str">
        <f t="shared" si="16"/>
        <v>16/01/1991</v>
      </c>
      <c r="G77" s="50">
        <f t="shared" si="17"/>
        <v>34</v>
      </c>
      <c r="H77" s="50">
        <f t="shared" si="18"/>
        <v>5</v>
      </c>
      <c r="I77" s="50">
        <f t="shared" si="19"/>
        <v>4</v>
      </c>
      <c r="J77" s="59"/>
      <c r="K77" s="49" t="s">
        <v>136</v>
      </c>
      <c r="L77" s="64"/>
      <c r="M77" s="49" t="s">
        <v>425</v>
      </c>
      <c r="N77" s="49">
        <v>2569</v>
      </c>
      <c r="O77" s="65" t="s">
        <v>287</v>
      </c>
      <c r="P77" s="49" t="str">
        <f t="shared" si="20"/>
        <v>29/10/2020</v>
      </c>
      <c r="Q77" s="68">
        <f t="shared" si="21"/>
        <v>4</v>
      </c>
      <c r="R77" s="68">
        <f t="shared" si="22"/>
        <v>7</v>
      </c>
      <c r="S77" s="68">
        <f t="shared" si="23"/>
        <v>22</v>
      </c>
      <c r="T77" s="65"/>
      <c r="U77" s="65"/>
      <c r="V77" s="49" t="str">
        <f t="shared" si="24"/>
        <v/>
      </c>
      <c r="W77" s="68">
        <f>IF(V77="",0,DATEDIF(V77,P77,"Y"))</f>
        <v>0</v>
      </c>
      <c r="X77" s="68">
        <f>IF(V77="",0,DATEDIF(V77,P77,"YM"))</f>
        <v>0</v>
      </c>
      <c r="Y77" s="68">
        <f>IF(V77="",0,DATEDIF(V77,P77,"MD"))</f>
        <v>0</v>
      </c>
      <c r="Z77" s="49"/>
      <c r="AA77" s="65"/>
      <c r="AB77" s="50" t="str">
        <f t="shared" si="25"/>
        <v/>
      </c>
      <c r="AC77" s="68">
        <f t="shared" si="26"/>
        <v>0</v>
      </c>
      <c r="AD77" s="68">
        <f t="shared" si="27"/>
        <v>0</v>
      </c>
      <c r="AE77" s="68">
        <f t="shared" si="28"/>
        <v>0</v>
      </c>
      <c r="AF77" s="50"/>
      <c r="AG77" s="50" t="s">
        <v>167</v>
      </c>
      <c r="AH77" s="49" t="str">
        <f>IF(AG77="นิติศาสตร์","K5-LAW","K5-POLICY")</f>
        <v>K5-POLICY</v>
      </c>
      <c r="AI77" s="72" t="str">
        <f>_xlfn.IFS(B77="","",AND(AH77="K5-LAW",AG77="นิติศาสตร์",K77="S2",T77="",Z77=""),P77,AND(AH77="K5-LAW",AG77="นิติศาสตร์",K77="S1",T77="",Z77=""),EDATE(P77,12),AND(AH77="K5-LAW",AG77="นิติศาสตร์",OR(K77="M2",K77="K4"),T77="",Z77=""),EDATE(P77,12*2),AND(AH77="K5-LAW",AG77="นิติศาสตร์",OR(Z77="M2",Z77="K4"),AC77&gt;=2,OR(AB77&lt;V77,AB77&lt;P77)),EDATE(AB77,12*2),AND(AH77="K5-LAW",AG77="นิติศาสตร์",Z77="S1",AC77&gt;=1,OR(AB77&lt;V77,AB77&lt;P77)),EDATE(AB77,12),AND(AH77="K5-LAW",AG77="นิติศาสตร์",OR(T77="M2",T77="K4"),W77&gt;=2,V77&lt;P77),EDATE(V77,12*2),AND(AH77="K5-LAW",AG77="นิติศาสตร์",T77="S1",W77&gt;=1,V77&lt;P77),EDATE(V77,12),AND(AH77="K5-LAW",AG77="นิติศาสตร์",OR(T77="S2",T77="K5")),V77,AND(AH77="K5-LAW",AG77="นิติศาสตร์",OR(K77="M2",K77="K4"),Q77&gt;=2),EDATE(P77,12*2),AND(AH77="K5-LAW",AG77="นิติศาสตร์",K77="S1",Q77&gt;=1),EDATE(P77,12),AND(AH77="K5-LAW",AG77="นิติศาสตร์",OR(K77="S2",K77="K5")),P77,AND(AH77="K5-POLICY",AG77&lt;&gt;"นิติศาสตร์",K77="S2",T77="",Z77=""),P77,AND(AH77="K5-POLICY",AG77&lt;&gt;"นิติศาสตร์",K77="S1",T77="",Z77=""),EDATE(P77,12),AND(AH77="K5-POLICY",AG77&lt;&gt;"นิติศาสตร์",OR(K77="M2",K77="K4"),T77="",Z77=""),EDATE(P77,12*2),AND(AH77="K5-POLICY",AG77&lt;&gt;"นิติศาสตร์",OR(Z77="M2",Z77="K4"),AC77&gt;=2,OR(AB77&lt;V77,AB77&lt;P77)),EDATE(AB77,12*2),AND(AH77="K5-POLICY",AG77&lt;&gt;"นิติศาสตร์",Z77="S1",AC77&gt;=1,OR(AB77&lt;V77,AB77&lt;P77)),EDATE(AB77,12),AND(AH77="K5-POLICY",AG77&lt;&gt;"นิติศาสตร์",OR(T77="M2",T77="K4"),W77&gt;=2,V77&lt;P77),EDATE(V77,12*2),AND(AH77="K5-POLICY",AG77&lt;&gt;"นิติศาสตร์",T77="S1",W77&gt;=1,V77&lt;P77),EDATE(V77,12),AND(AH77="K5-POLICY",AG77&lt;&gt;"นิติศาสตร์",OR(T77="S2",T77="K5")),V77,AND(AH77="K5-POLICY",AG77&lt;&gt;"นิติศาสตร์",OR(K77="M2",K77="K4"),Q77&gt;=2),EDATE(P77,12*2),AND(AH77="K5-POLICY",AG77&lt;&gt;"นิติศาสตร์",K77="S1",Q77&gt;=1),EDATE(P77,12),AND(AH77="K5-POLICY",AG77&lt;&gt;"นิติศาสตร์",OR(K77="S2",K77="K5")),P77,TRUE,"Check Data")</f>
        <v/>
      </c>
      <c r="AJ77" s="75" t="str">
        <f t="shared" si="29"/>
        <v>Check Data</v>
      </c>
      <c r="AK77" s="76" t="str">
        <f t="shared" si="30"/>
        <v>Check Data</v>
      </c>
      <c r="AL77" s="50" t="str">
        <f t="shared" si="31"/>
        <v>Check Data</v>
      </c>
      <c r="AM77" s="49" t="str">
        <f>IF(B77="","",IF(K77="S1","S1",INDEX(#REF!,#REF!)))</f>
        <v/>
      </c>
      <c r="AN77" s="49" t="str">
        <f>K77</f>
        <v>M2</v>
      </c>
      <c r="AO77" s="50" t="b">
        <f>K77=AM77</f>
        <v>0</v>
      </c>
      <c r="AP77" s="50"/>
    </row>
    <row r="78" spans="1:42" ht="21.75">
      <c r="A78" s="49">
        <v>76</v>
      </c>
      <c r="B78" s="50"/>
      <c r="C78" s="50"/>
      <c r="D78" s="50" t="s">
        <v>143</v>
      </c>
      <c r="E78" s="49" t="s">
        <v>170</v>
      </c>
      <c r="F78" s="49" t="str">
        <f t="shared" si="16"/>
        <v>15/03/1991</v>
      </c>
      <c r="G78" s="50">
        <f t="shared" si="17"/>
        <v>34</v>
      </c>
      <c r="H78" s="50">
        <f t="shared" si="18"/>
        <v>3</v>
      </c>
      <c r="I78" s="50">
        <f t="shared" si="19"/>
        <v>5</v>
      </c>
      <c r="J78" s="59"/>
      <c r="K78" s="49" t="s">
        <v>136</v>
      </c>
      <c r="L78" s="64"/>
      <c r="M78" s="49" t="s">
        <v>427</v>
      </c>
      <c r="N78" s="49">
        <v>2571</v>
      </c>
      <c r="O78" s="65" t="s">
        <v>287</v>
      </c>
      <c r="P78" s="49" t="str">
        <f t="shared" si="20"/>
        <v>29/10/2020</v>
      </c>
      <c r="Q78" s="68">
        <f t="shared" si="21"/>
        <v>4</v>
      </c>
      <c r="R78" s="68">
        <f t="shared" si="22"/>
        <v>7</v>
      </c>
      <c r="S78" s="68">
        <f t="shared" si="23"/>
        <v>22</v>
      </c>
      <c r="T78" s="65"/>
      <c r="U78" s="65"/>
      <c r="V78" s="49" t="str">
        <f t="shared" si="24"/>
        <v/>
      </c>
      <c r="W78" s="68">
        <f>IF(V78="",0,DATEDIF(V78,P78,"Y"))</f>
        <v>0</v>
      </c>
      <c r="X78" s="68">
        <f>IF(V78="",0,DATEDIF(V78,P78,"YM"))</f>
        <v>0</v>
      </c>
      <c r="Y78" s="68">
        <f>IF(V78="",0,DATEDIF(V78,P78,"MD"))</f>
        <v>0</v>
      </c>
      <c r="Z78" s="49"/>
      <c r="AA78" s="65"/>
      <c r="AB78" s="50" t="str">
        <f t="shared" si="25"/>
        <v/>
      </c>
      <c r="AC78" s="68">
        <f t="shared" si="26"/>
        <v>0</v>
      </c>
      <c r="AD78" s="68">
        <f t="shared" si="27"/>
        <v>0</v>
      </c>
      <c r="AE78" s="68">
        <f t="shared" si="28"/>
        <v>0</v>
      </c>
      <c r="AF78" s="50"/>
      <c r="AG78" s="50" t="s">
        <v>512</v>
      </c>
      <c r="AH78" s="49" t="str">
        <f>IF(AG78="นิติศาสตร์","K5-LAW","K5-POLICY")</f>
        <v>K5-POLICY</v>
      </c>
      <c r="AI78" s="72" t="str">
        <f>_xlfn.IFS(B78="","",AND(AH78="K5-LAW",AG78="นิติศาสตร์",K78="S2",T78="",Z78=""),P78,AND(AH78="K5-LAW",AG78="นิติศาสตร์",K78="S1",T78="",Z78=""),EDATE(P78,12),AND(AH78="K5-LAW",AG78="นิติศาสตร์",OR(K78="M2",K78="K4"),T78="",Z78=""),EDATE(P78,12*2),AND(AH78="K5-LAW",AG78="นิติศาสตร์",OR(Z78="M2",Z78="K4"),AC78&gt;=2,OR(AB78&lt;V78,AB78&lt;P78)),EDATE(AB78,12*2),AND(AH78="K5-LAW",AG78="นิติศาสตร์",Z78="S1",AC78&gt;=1,OR(AB78&lt;V78,AB78&lt;P78)),EDATE(AB78,12),AND(AH78="K5-LAW",AG78="นิติศาสตร์",OR(T78="M2",T78="K4"),W78&gt;=2,V78&lt;P78),EDATE(V78,12*2),AND(AH78="K5-LAW",AG78="นิติศาสตร์",T78="S1",W78&gt;=1,V78&lt;P78),EDATE(V78,12),AND(AH78="K5-LAW",AG78="นิติศาสตร์",OR(T78="S2",T78="K5")),V78,AND(AH78="K5-LAW",AG78="นิติศาสตร์",OR(K78="M2",K78="K4"),Q78&gt;=2),EDATE(P78,12*2),AND(AH78="K5-LAW",AG78="นิติศาสตร์",K78="S1",Q78&gt;=1),EDATE(P78,12),AND(AH78="K5-LAW",AG78="นิติศาสตร์",OR(K78="S2",K78="K5")),P78,AND(AH78="K5-POLICY",AG78&lt;&gt;"นิติศาสตร์",K78="S2",T78="",Z78=""),P78,AND(AH78="K5-POLICY",AG78&lt;&gt;"นิติศาสตร์",K78="S1",T78="",Z78=""),EDATE(P78,12),AND(AH78="K5-POLICY",AG78&lt;&gt;"นิติศาสตร์",OR(K78="M2",K78="K4"),T78="",Z78=""),EDATE(P78,12*2),AND(AH78="K5-POLICY",AG78&lt;&gt;"นิติศาสตร์",OR(Z78="M2",Z78="K4"),AC78&gt;=2,OR(AB78&lt;V78,AB78&lt;P78)),EDATE(AB78,12*2),AND(AH78="K5-POLICY",AG78&lt;&gt;"นิติศาสตร์",Z78="S1",AC78&gt;=1,OR(AB78&lt;V78,AB78&lt;P78)),EDATE(AB78,12),AND(AH78="K5-POLICY",AG78&lt;&gt;"นิติศาสตร์",OR(T78="M2",T78="K4"),W78&gt;=2,V78&lt;P78),EDATE(V78,12*2),AND(AH78="K5-POLICY",AG78&lt;&gt;"นิติศาสตร์",T78="S1",W78&gt;=1,V78&lt;P78),EDATE(V78,12),AND(AH78="K5-POLICY",AG78&lt;&gt;"นิติศาสตร์",OR(T78="S2",T78="K5")),V78,AND(AH78="K5-POLICY",AG78&lt;&gt;"นิติศาสตร์",OR(K78="M2",K78="K4"),Q78&gt;=2),EDATE(P78,12*2),AND(AH78="K5-POLICY",AG78&lt;&gt;"นิติศาสตร์",K78="S1",Q78&gt;=1),EDATE(P78,12),AND(AH78="K5-POLICY",AG78&lt;&gt;"นิติศาสตร์",OR(K78="S2",K78="K5")),P78,TRUE,"Check Data")</f>
        <v/>
      </c>
      <c r="AJ78" s="75" t="str">
        <f t="shared" si="29"/>
        <v>Check Data</v>
      </c>
      <c r="AK78" s="76" t="str">
        <f t="shared" si="30"/>
        <v>Check Data</v>
      </c>
      <c r="AL78" s="50" t="str">
        <f t="shared" si="31"/>
        <v>Check Data</v>
      </c>
      <c r="AM78" s="49" t="str">
        <f>IF(B78="","",IF(K78="S1","S1",INDEX(#REF!,#REF!)))</f>
        <v/>
      </c>
      <c r="AN78" s="49" t="str">
        <f>K78</f>
        <v>M2</v>
      </c>
      <c r="AO78" s="50" t="b">
        <f>K78=AM78</f>
        <v>0</v>
      </c>
      <c r="AP78" s="50"/>
    </row>
    <row r="79" spans="1:42" ht="21.75">
      <c r="A79" s="49">
        <v>77</v>
      </c>
      <c r="B79" s="50"/>
      <c r="C79" s="50"/>
      <c r="D79" s="50" t="s">
        <v>143</v>
      </c>
      <c r="E79" s="49" t="s">
        <v>307</v>
      </c>
      <c r="F79" s="49" t="str">
        <f t="shared" si="16"/>
        <v>05/03/1992</v>
      </c>
      <c r="G79" s="50">
        <f t="shared" si="17"/>
        <v>33</v>
      </c>
      <c r="H79" s="50">
        <f t="shared" si="18"/>
        <v>3</v>
      </c>
      <c r="I79" s="50">
        <f t="shared" si="19"/>
        <v>15</v>
      </c>
      <c r="J79" s="59"/>
      <c r="K79" s="49" t="s">
        <v>136</v>
      </c>
      <c r="L79" s="64"/>
      <c r="M79" s="49" t="s">
        <v>427</v>
      </c>
      <c r="N79" s="49">
        <v>2569</v>
      </c>
      <c r="O79" s="65" t="s">
        <v>287</v>
      </c>
      <c r="P79" s="49" t="str">
        <f t="shared" si="20"/>
        <v>29/10/2020</v>
      </c>
      <c r="Q79" s="68">
        <f t="shared" si="21"/>
        <v>4</v>
      </c>
      <c r="R79" s="68">
        <f t="shared" si="22"/>
        <v>7</v>
      </c>
      <c r="S79" s="68">
        <f t="shared" si="23"/>
        <v>22</v>
      </c>
      <c r="T79" s="65"/>
      <c r="U79" s="65"/>
      <c r="V79" s="49" t="str">
        <f t="shared" si="24"/>
        <v/>
      </c>
      <c r="W79" s="68">
        <f>IF(V79="",0,DATEDIF(V79,P79,"Y"))</f>
        <v>0</v>
      </c>
      <c r="X79" s="68">
        <f>IF(V79="",0,DATEDIF(V79,P79,"YM"))</f>
        <v>0</v>
      </c>
      <c r="Y79" s="68">
        <f>IF(V79="",0,DATEDIF(V79,P79,"MD"))</f>
        <v>0</v>
      </c>
      <c r="Z79" s="49"/>
      <c r="AA79" s="65"/>
      <c r="AB79" s="50" t="str">
        <f t="shared" si="25"/>
        <v/>
      </c>
      <c r="AC79" s="68">
        <f t="shared" si="26"/>
        <v>0</v>
      </c>
      <c r="AD79" s="68">
        <f t="shared" si="27"/>
        <v>0</v>
      </c>
      <c r="AE79" s="68">
        <f t="shared" si="28"/>
        <v>0</v>
      </c>
      <c r="AF79" s="50"/>
      <c r="AG79" s="50" t="s">
        <v>371</v>
      </c>
      <c r="AH79" s="49" t="str">
        <f>IF(AG79="นิติศาสตร์","K5-LAW","K5-POLICY")</f>
        <v>K5-POLICY</v>
      </c>
      <c r="AI79" s="72" t="str">
        <f>_xlfn.IFS(B79="","",AND(AH79="K5-LAW",AG79="นิติศาสตร์",K79="S2",T79="",Z79=""),P79,AND(AH79="K5-LAW",AG79="นิติศาสตร์",K79="S1",T79="",Z79=""),EDATE(P79,12),AND(AH79="K5-LAW",AG79="นิติศาสตร์",OR(K79="M2",K79="K4"),T79="",Z79=""),EDATE(P79,12*2),AND(AH79="K5-LAW",AG79="นิติศาสตร์",OR(Z79="M2",Z79="K4"),AC79&gt;=2,OR(AB79&lt;V79,AB79&lt;P79)),EDATE(AB79,12*2),AND(AH79="K5-LAW",AG79="นิติศาสตร์",Z79="S1",AC79&gt;=1,OR(AB79&lt;V79,AB79&lt;P79)),EDATE(AB79,12),AND(AH79="K5-LAW",AG79="นิติศาสตร์",OR(T79="M2",T79="K4"),W79&gt;=2,V79&lt;P79),EDATE(V79,12*2),AND(AH79="K5-LAW",AG79="นิติศาสตร์",T79="S1",W79&gt;=1,V79&lt;P79),EDATE(V79,12),AND(AH79="K5-LAW",AG79="นิติศาสตร์",OR(T79="S2",T79="K5")),V79,AND(AH79="K5-LAW",AG79="นิติศาสตร์",OR(K79="M2",K79="K4"),Q79&gt;=2),EDATE(P79,12*2),AND(AH79="K5-LAW",AG79="นิติศาสตร์",K79="S1",Q79&gt;=1),EDATE(P79,12),AND(AH79="K5-LAW",AG79="นิติศาสตร์",OR(K79="S2",K79="K5")),P79,AND(AH79="K5-POLICY",AG79&lt;&gt;"นิติศาสตร์",K79="S2",T79="",Z79=""),P79,AND(AH79="K5-POLICY",AG79&lt;&gt;"นิติศาสตร์",K79="S1",T79="",Z79=""),EDATE(P79,12),AND(AH79="K5-POLICY",AG79&lt;&gt;"นิติศาสตร์",OR(K79="M2",K79="K4"),T79="",Z79=""),EDATE(P79,12*2),AND(AH79="K5-POLICY",AG79&lt;&gt;"นิติศาสตร์",OR(Z79="M2",Z79="K4"),AC79&gt;=2,OR(AB79&lt;V79,AB79&lt;P79)),EDATE(AB79,12*2),AND(AH79="K5-POLICY",AG79&lt;&gt;"นิติศาสตร์",Z79="S1",AC79&gt;=1,OR(AB79&lt;V79,AB79&lt;P79)),EDATE(AB79,12),AND(AH79="K5-POLICY",AG79&lt;&gt;"นิติศาสตร์",OR(T79="M2",T79="K4"),W79&gt;=2,V79&lt;P79),EDATE(V79,12*2),AND(AH79="K5-POLICY",AG79&lt;&gt;"นิติศาสตร์",T79="S1",W79&gt;=1,V79&lt;P79),EDATE(V79,12),AND(AH79="K5-POLICY",AG79&lt;&gt;"นิติศาสตร์",OR(T79="S2",T79="K5")),V79,AND(AH79="K5-POLICY",AG79&lt;&gt;"นิติศาสตร์",OR(K79="M2",K79="K4"),Q79&gt;=2),EDATE(P79,12*2),AND(AH79="K5-POLICY",AG79&lt;&gt;"นิติศาสตร์",K79="S1",Q79&gt;=1),EDATE(P79,12),AND(AH79="K5-POLICY",AG79&lt;&gt;"นิติศาสตร์",OR(K79="S2",K79="K5")),P79,TRUE,"Check Data")</f>
        <v/>
      </c>
      <c r="AJ79" s="75" t="str">
        <f t="shared" si="29"/>
        <v>Check Data</v>
      </c>
      <c r="AK79" s="76" t="str">
        <f t="shared" si="30"/>
        <v>Check Data</v>
      </c>
      <c r="AL79" s="50" t="str">
        <f t="shared" si="31"/>
        <v>Check Data</v>
      </c>
      <c r="AM79" s="49" t="str">
        <f>IF(B79="","",IF(K79="S1","S1",INDEX(#REF!,#REF!)))</f>
        <v/>
      </c>
      <c r="AN79" s="49" t="str">
        <f>K79</f>
        <v>M2</v>
      </c>
      <c r="AO79" s="50" t="b">
        <f>K79=AM79</f>
        <v>0</v>
      </c>
      <c r="AP79" s="50"/>
    </row>
    <row r="80" spans="1:42" ht="21.75">
      <c r="A80" s="49">
        <v>78</v>
      </c>
      <c r="B80" s="50"/>
      <c r="C80" s="50"/>
      <c r="D80" s="50" t="s">
        <v>143</v>
      </c>
      <c r="E80" s="49" t="s">
        <v>322</v>
      </c>
      <c r="F80" s="49" t="str">
        <f t="shared" si="16"/>
        <v>30/07/1992</v>
      </c>
      <c r="G80" s="50">
        <f t="shared" si="17"/>
        <v>32</v>
      </c>
      <c r="H80" s="50">
        <f t="shared" si="18"/>
        <v>10</v>
      </c>
      <c r="I80" s="50">
        <f t="shared" si="19"/>
        <v>21</v>
      </c>
      <c r="J80" s="59"/>
      <c r="K80" s="49" t="s">
        <v>136</v>
      </c>
      <c r="L80" s="64"/>
      <c r="M80" s="49" t="s">
        <v>427</v>
      </c>
      <c r="N80" s="49">
        <v>2570</v>
      </c>
      <c r="O80" s="65" t="s">
        <v>287</v>
      </c>
      <c r="P80" s="49" t="str">
        <f t="shared" si="20"/>
        <v>29/10/2020</v>
      </c>
      <c r="Q80" s="68">
        <f t="shared" si="21"/>
        <v>4</v>
      </c>
      <c r="R80" s="68">
        <f t="shared" si="22"/>
        <v>7</v>
      </c>
      <c r="S80" s="68">
        <f t="shared" si="23"/>
        <v>22</v>
      </c>
      <c r="T80" s="65"/>
      <c r="U80" s="65"/>
      <c r="V80" s="49" t="str">
        <f t="shared" si="24"/>
        <v/>
      </c>
      <c r="W80" s="68">
        <f>IF(V80="",0,DATEDIF(V80,P80,"Y"))</f>
        <v>0</v>
      </c>
      <c r="X80" s="68">
        <f>IF(V80="",0,DATEDIF(V80,P80,"YM"))</f>
        <v>0</v>
      </c>
      <c r="Y80" s="68">
        <f>IF(V80="",0,DATEDIF(V80,P80,"MD"))</f>
        <v>0</v>
      </c>
      <c r="Z80" s="49"/>
      <c r="AA80" s="65"/>
      <c r="AB80" s="50" t="str">
        <f t="shared" si="25"/>
        <v/>
      </c>
      <c r="AC80" s="68">
        <f t="shared" si="26"/>
        <v>0</v>
      </c>
      <c r="AD80" s="68">
        <f t="shared" si="27"/>
        <v>0</v>
      </c>
      <c r="AE80" s="68">
        <f t="shared" si="28"/>
        <v>0</v>
      </c>
      <c r="AF80" s="50"/>
      <c r="AG80" s="50" t="s">
        <v>138</v>
      </c>
      <c r="AH80" s="49" t="str">
        <f>IF(AG80="นิติศาสตร์","K5-LAW","K5-POLICY")</f>
        <v>K5-LAW</v>
      </c>
      <c r="AI80" s="72" t="str">
        <f>_xlfn.IFS(B80="","",AND(AH80="K5-LAW",AG80="นิติศาสตร์",K80="S2",T80="",Z80=""),P80,AND(AH80="K5-LAW",AG80="นิติศาสตร์",K80="S1",T80="",Z80=""),EDATE(P80,12),AND(AH80="K5-LAW",AG80="นิติศาสตร์",OR(K80="M2",K80="K4"),T80="",Z80=""),EDATE(P80,12*2),AND(AH80="K5-LAW",AG80="นิติศาสตร์",OR(Z80="M2",Z80="K4"),AC80&gt;=2,OR(AB80&lt;V80,AB80&lt;P80)),EDATE(AB80,12*2),AND(AH80="K5-LAW",AG80="นิติศาสตร์",Z80="S1",AC80&gt;=1,OR(AB80&lt;V80,AB80&lt;P80)),EDATE(AB80,12),AND(AH80="K5-LAW",AG80="นิติศาสตร์",OR(T80="M2",T80="K4"),W80&gt;=2,V80&lt;P80),EDATE(V80,12*2),AND(AH80="K5-LAW",AG80="นิติศาสตร์",T80="S1",W80&gt;=1,V80&lt;P80),EDATE(V80,12),AND(AH80="K5-LAW",AG80="นิติศาสตร์",OR(T80="S2",T80="K5")),V80,AND(AH80="K5-LAW",AG80="นิติศาสตร์",OR(K80="M2",K80="K4"),Q80&gt;=2),EDATE(P80,12*2),AND(AH80="K5-LAW",AG80="นิติศาสตร์",K80="S1",Q80&gt;=1),EDATE(P80,12),AND(AH80="K5-LAW",AG80="นิติศาสตร์",OR(K80="S2",K80="K5")),P80,AND(AH80="K5-POLICY",AG80&lt;&gt;"นิติศาสตร์",K80="S2",T80="",Z80=""),P80,AND(AH80="K5-POLICY",AG80&lt;&gt;"นิติศาสตร์",K80="S1",T80="",Z80=""),EDATE(P80,12),AND(AH80="K5-POLICY",AG80&lt;&gt;"นิติศาสตร์",OR(K80="M2",K80="K4"),T80="",Z80=""),EDATE(P80,12*2),AND(AH80="K5-POLICY",AG80&lt;&gt;"นิติศาสตร์",OR(Z80="M2",Z80="K4"),AC80&gt;=2,OR(AB80&lt;V80,AB80&lt;P80)),EDATE(AB80,12*2),AND(AH80="K5-POLICY",AG80&lt;&gt;"นิติศาสตร์",Z80="S1",AC80&gt;=1,OR(AB80&lt;V80,AB80&lt;P80)),EDATE(AB80,12),AND(AH80="K5-POLICY",AG80&lt;&gt;"นิติศาสตร์",OR(T80="M2",T80="K4"),W80&gt;=2,V80&lt;P80),EDATE(V80,12*2),AND(AH80="K5-POLICY",AG80&lt;&gt;"นิติศาสตร์",T80="S1",W80&gt;=1,V80&lt;P80),EDATE(V80,12),AND(AH80="K5-POLICY",AG80&lt;&gt;"นิติศาสตร์",OR(T80="S2",T80="K5")),V80,AND(AH80="K5-POLICY",AG80&lt;&gt;"นิติศาสตร์",OR(K80="M2",K80="K4"),Q80&gt;=2),EDATE(P80,12*2),AND(AH80="K5-POLICY",AG80&lt;&gt;"นิติศาสตร์",K80="S1",Q80&gt;=1),EDATE(P80,12),AND(AH80="K5-POLICY",AG80&lt;&gt;"นิติศาสตร์",OR(K80="S2",K80="K5")),P80,TRUE,"Check Data")</f>
        <v/>
      </c>
      <c r="AJ80" s="75" t="str">
        <f t="shared" si="29"/>
        <v>Check Data</v>
      </c>
      <c r="AK80" s="76" t="str">
        <f t="shared" si="30"/>
        <v>Check Data</v>
      </c>
      <c r="AL80" s="50" t="str">
        <f t="shared" si="31"/>
        <v>Check Data</v>
      </c>
      <c r="AM80" s="49" t="str">
        <f>IF(B80="","",IF(K80="S1","S1",INDEX(#REF!,#REF!)))</f>
        <v/>
      </c>
      <c r="AN80" s="49" t="str">
        <f>K80</f>
        <v>M2</v>
      </c>
      <c r="AO80" s="50" t="b">
        <f>K80=AM80</f>
        <v>0</v>
      </c>
      <c r="AP80" s="50"/>
    </row>
    <row r="81" spans="1:42" ht="21.75">
      <c r="A81" s="49">
        <v>79</v>
      </c>
      <c r="B81" s="50"/>
      <c r="C81" s="50"/>
      <c r="D81" s="50" t="s">
        <v>143</v>
      </c>
      <c r="E81" s="49" t="s">
        <v>357</v>
      </c>
      <c r="F81" s="49" t="str">
        <f t="shared" si="16"/>
        <v>21/05/1990</v>
      </c>
      <c r="G81" s="50">
        <f t="shared" si="17"/>
        <v>35</v>
      </c>
      <c r="H81" s="50">
        <f t="shared" si="18"/>
        <v>0</v>
      </c>
      <c r="I81" s="50">
        <f t="shared" si="19"/>
        <v>30</v>
      </c>
      <c r="J81" s="59"/>
      <c r="K81" s="49" t="s">
        <v>136</v>
      </c>
      <c r="L81" s="64"/>
      <c r="M81" s="49" t="s">
        <v>427</v>
      </c>
      <c r="N81" s="49">
        <v>2569</v>
      </c>
      <c r="O81" s="65" t="s">
        <v>287</v>
      </c>
      <c r="P81" s="49" t="str">
        <f t="shared" si="20"/>
        <v>29/10/2020</v>
      </c>
      <c r="Q81" s="68">
        <f t="shared" si="21"/>
        <v>4</v>
      </c>
      <c r="R81" s="68">
        <f t="shared" si="22"/>
        <v>7</v>
      </c>
      <c r="S81" s="68">
        <f t="shared" si="23"/>
        <v>22</v>
      </c>
      <c r="T81" s="65"/>
      <c r="U81" s="65"/>
      <c r="V81" s="49" t="str">
        <f t="shared" si="24"/>
        <v/>
      </c>
      <c r="W81" s="68">
        <f>IF(V81="",0,DATEDIF(V81,P81,"Y"))</f>
        <v>0</v>
      </c>
      <c r="X81" s="68">
        <f>IF(V81="",0,DATEDIF(V81,P81,"YM"))</f>
        <v>0</v>
      </c>
      <c r="Y81" s="68">
        <f>IF(V81="",0,DATEDIF(V81,P81,"MD"))</f>
        <v>0</v>
      </c>
      <c r="Z81" s="49"/>
      <c r="AA81" s="65"/>
      <c r="AB81" s="50" t="str">
        <f t="shared" si="25"/>
        <v/>
      </c>
      <c r="AC81" s="68">
        <f t="shared" si="26"/>
        <v>0</v>
      </c>
      <c r="AD81" s="68">
        <f t="shared" si="27"/>
        <v>0</v>
      </c>
      <c r="AE81" s="68">
        <f t="shared" si="28"/>
        <v>0</v>
      </c>
      <c r="AF81" s="50"/>
      <c r="AG81" s="50" t="s">
        <v>332</v>
      </c>
      <c r="AH81" s="49" t="str">
        <f>IF(AG81="นิติศาสตร์","K5-LAW","K5-POLICY")</f>
        <v>K5-POLICY</v>
      </c>
      <c r="AI81" s="72" t="str">
        <f>_xlfn.IFS(B81="","",AND(AH81="K5-LAW",AG81="นิติศาสตร์",K81="S2",T81="",Z81=""),P81,AND(AH81="K5-LAW",AG81="นิติศาสตร์",K81="S1",T81="",Z81=""),EDATE(P81,12),AND(AH81="K5-LAW",AG81="นิติศาสตร์",OR(K81="M2",K81="K4"),T81="",Z81=""),EDATE(P81,12*2),AND(AH81="K5-LAW",AG81="นิติศาสตร์",OR(Z81="M2",Z81="K4"),AC81&gt;=2,OR(AB81&lt;V81,AB81&lt;P81)),EDATE(AB81,12*2),AND(AH81="K5-LAW",AG81="นิติศาสตร์",Z81="S1",AC81&gt;=1,OR(AB81&lt;V81,AB81&lt;P81)),EDATE(AB81,12),AND(AH81="K5-LAW",AG81="นิติศาสตร์",OR(T81="M2",T81="K4"),W81&gt;=2,V81&lt;P81),EDATE(V81,12*2),AND(AH81="K5-LAW",AG81="นิติศาสตร์",T81="S1",W81&gt;=1,V81&lt;P81),EDATE(V81,12),AND(AH81="K5-LAW",AG81="นิติศาสตร์",OR(T81="S2",T81="K5")),V81,AND(AH81="K5-LAW",AG81="นิติศาสตร์",OR(K81="M2",K81="K4"),Q81&gt;=2),EDATE(P81,12*2),AND(AH81="K5-LAW",AG81="นิติศาสตร์",K81="S1",Q81&gt;=1),EDATE(P81,12),AND(AH81="K5-LAW",AG81="นิติศาสตร์",OR(K81="S2",K81="K5")),P81,AND(AH81="K5-POLICY",AG81&lt;&gt;"นิติศาสตร์",K81="S2",T81="",Z81=""),P81,AND(AH81="K5-POLICY",AG81&lt;&gt;"นิติศาสตร์",K81="S1",T81="",Z81=""),EDATE(P81,12),AND(AH81="K5-POLICY",AG81&lt;&gt;"นิติศาสตร์",OR(K81="M2",K81="K4"),T81="",Z81=""),EDATE(P81,12*2),AND(AH81="K5-POLICY",AG81&lt;&gt;"นิติศาสตร์",OR(Z81="M2",Z81="K4"),AC81&gt;=2,OR(AB81&lt;V81,AB81&lt;P81)),EDATE(AB81,12*2),AND(AH81="K5-POLICY",AG81&lt;&gt;"นิติศาสตร์",Z81="S1",AC81&gt;=1,OR(AB81&lt;V81,AB81&lt;P81)),EDATE(AB81,12),AND(AH81="K5-POLICY",AG81&lt;&gt;"นิติศาสตร์",OR(T81="M2",T81="K4"),W81&gt;=2,V81&lt;P81),EDATE(V81,12*2),AND(AH81="K5-POLICY",AG81&lt;&gt;"นิติศาสตร์",T81="S1",W81&gt;=1,V81&lt;P81),EDATE(V81,12),AND(AH81="K5-POLICY",AG81&lt;&gt;"นิติศาสตร์",OR(T81="S2",T81="K5")),V81,AND(AH81="K5-POLICY",AG81&lt;&gt;"นิติศาสตร์",OR(K81="M2",K81="K4"),Q81&gt;=2),EDATE(P81,12*2),AND(AH81="K5-POLICY",AG81&lt;&gt;"นิติศาสตร์",K81="S1",Q81&gt;=1),EDATE(P81,12),AND(AH81="K5-POLICY",AG81&lt;&gt;"นิติศาสตร์",OR(K81="S2",K81="K5")),P81,TRUE,"Check Data")</f>
        <v/>
      </c>
      <c r="AJ81" s="75" t="str">
        <f t="shared" si="29"/>
        <v>Check Data</v>
      </c>
      <c r="AK81" s="76" t="str">
        <f t="shared" si="30"/>
        <v>Check Data</v>
      </c>
      <c r="AL81" s="50" t="str">
        <f t="shared" si="31"/>
        <v>Check Data</v>
      </c>
      <c r="AM81" s="49" t="str">
        <f>IF(B81="","",IF(K81="S1","S1",INDEX(#REF!,#REF!)))</f>
        <v/>
      </c>
      <c r="AN81" s="49" t="str">
        <f>K81</f>
        <v>M2</v>
      </c>
      <c r="AO81" s="50" t="b">
        <f>K81=AM81</f>
        <v>0</v>
      </c>
      <c r="AP81" s="50"/>
    </row>
    <row r="82" spans="1:42" ht="21.75">
      <c r="A82" s="49">
        <v>80</v>
      </c>
      <c r="B82" s="50"/>
      <c r="C82" s="50"/>
      <c r="D82" s="50" t="s">
        <v>143</v>
      </c>
      <c r="E82" s="49" t="s">
        <v>346</v>
      </c>
      <c r="F82" s="49" t="str">
        <f t="shared" si="16"/>
        <v>28/04/1986</v>
      </c>
      <c r="G82" s="50">
        <f t="shared" si="17"/>
        <v>39</v>
      </c>
      <c r="H82" s="50">
        <f t="shared" si="18"/>
        <v>1</v>
      </c>
      <c r="I82" s="50">
        <f t="shared" si="19"/>
        <v>23</v>
      </c>
      <c r="J82" s="59"/>
      <c r="K82" s="49" t="s">
        <v>136</v>
      </c>
      <c r="L82" s="64"/>
      <c r="M82" s="49" t="s">
        <v>427</v>
      </c>
      <c r="N82" s="49">
        <v>2570</v>
      </c>
      <c r="O82" s="65" t="s">
        <v>287</v>
      </c>
      <c r="P82" s="49" t="str">
        <f t="shared" si="20"/>
        <v>29/10/2020</v>
      </c>
      <c r="Q82" s="68">
        <f t="shared" si="21"/>
        <v>4</v>
      </c>
      <c r="R82" s="68">
        <f t="shared" si="22"/>
        <v>7</v>
      </c>
      <c r="S82" s="68">
        <f t="shared" si="23"/>
        <v>22</v>
      </c>
      <c r="T82" s="65"/>
      <c r="U82" s="65"/>
      <c r="V82" s="49" t="str">
        <f t="shared" si="24"/>
        <v/>
      </c>
      <c r="W82" s="68">
        <f>IF(V82="",0,DATEDIF(V82,P82,"Y"))</f>
        <v>0</v>
      </c>
      <c r="X82" s="68">
        <f>IF(V82="",0,DATEDIF(V82,P82,"YM"))</f>
        <v>0</v>
      </c>
      <c r="Y82" s="68">
        <f>IF(V82="",0,DATEDIF(V82,P82,"MD"))</f>
        <v>0</v>
      </c>
      <c r="Z82" s="49"/>
      <c r="AA82" s="65"/>
      <c r="AB82" s="50" t="str">
        <f t="shared" si="25"/>
        <v/>
      </c>
      <c r="AC82" s="68">
        <f t="shared" si="26"/>
        <v>0</v>
      </c>
      <c r="AD82" s="68">
        <f t="shared" si="27"/>
        <v>0</v>
      </c>
      <c r="AE82" s="68">
        <f t="shared" si="28"/>
        <v>0</v>
      </c>
      <c r="AF82" s="50"/>
      <c r="AG82" s="50" t="s">
        <v>509</v>
      </c>
      <c r="AH82" s="49" t="str">
        <f>IF(AG82="นิติศาสตร์","K5-LAW","K5-POLICY")</f>
        <v>K5-POLICY</v>
      </c>
      <c r="AI82" s="72" t="str">
        <f>_xlfn.IFS(B82="","",AND(AH82="K5-LAW",AG82="นิติศาสตร์",K82="S2",T82="",Z82=""),P82,AND(AH82="K5-LAW",AG82="นิติศาสตร์",K82="S1",T82="",Z82=""),EDATE(P82,12),AND(AH82="K5-LAW",AG82="นิติศาสตร์",OR(K82="M2",K82="K4"),T82="",Z82=""),EDATE(P82,12*2),AND(AH82="K5-LAW",AG82="นิติศาสตร์",OR(Z82="M2",Z82="K4"),AC82&gt;=2,OR(AB82&lt;V82,AB82&lt;P82)),EDATE(AB82,12*2),AND(AH82="K5-LAW",AG82="นิติศาสตร์",Z82="S1",AC82&gt;=1,OR(AB82&lt;V82,AB82&lt;P82)),EDATE(AB82,12),AND(AH82="K5-LAW",AG82="นิติศาสตร์",OR(T82="M2",T82="K4"),W82&gt;=2,V82&lt;P82),EDATE(V82,12*2),AND(AH82="K5-LAW",AG82="นิติศาสตร์",T82="S1",W82&gt;=1,V82&lt;P82),EDATE(V82,12),AND(AH82="K5-LAW",AG82="นิติศาสตร์",OR(T82="S2",T82="K5")),V82,AND(AH82="K5-LAW",AG82="นิติศาสตร์",OR(K82="M2",K82="K4"),Q82&gt;=2),EDATE(P82,12*2),AND(AH82="K5-LAW",AG82="นิติศาสตร์",K82="S1",Q82&gt;=1),EDATE(P82,12),AND(AH82="K5-LAW",AG82="นิติศาสตร์",OR(K82="S2",K82="K5")),P82,AND(AH82="K5-POLICY",AG82&lt;&gt;"นิติศาสตร์",K82="S2",T82="",Z82=""),P82,AND(AH82="K5-POLICY",AG82&lt;&gt;"นิติศาสตร์",K82="S1",T82="",Z82=""),EDATE(P82,12),AND(AH82="K5-POLICY",AG82&lt;&gt;"นิติศาสตร์",OR(K82="M2",K82="K4"),T82="",Z82=""),EDATE(P82,12*2),AND(AH82="K5-POLICY",AG82&lt;&gt;"นิติศาสตร์",OR(Z82="M2",Z82="K4"),AC82&gt;=2,OR(AB82&lt;V82,AB82&lt;P82)),EDATE(AB82,12*2),AND(AH82="K5-POLICY",AG82&lt;&gt;"นิติศาสตร์",Z82="S1",AC82&gt;=1,OR(AB82&lt;V82,AB82&lt;P82)),EDATE(AB82,12),AND(AH82="K5-POLICY",AG82&lt;&gt;"นิติศาสตร์",OR(T82="M2",T82="K4"),W82&gt;=2,V82&lt;P82),EDATE(V82,12*2),AND(AH82="K5-POLICY",AG82&lt;&gt;"นิติศาสตร์",T82="S1",W82&gt;=1,V82&lt;P82),EDATE(V82,12),AND(AH82="K5-POLICY",AG82&lt;&gt;"นิติศาสตร์",OR(T82="S2",T82="K5")),V82,AND(AH82="K5-POLICY",AG82&lt;&gt;"นิติศาสตร์",OR(K82="M2",K82="K4"),Q82&gt;=2),EDATE(P82,12*2),AND(AH82="K5-POLICY",AG82&lt;&gt;"นิติศาสตร์",K82="S1",Q82&gt;=1),EDATE(P82,12),AND(AH82="K5-POLICY",AG82&lt;&gt;"นิติศาสตร์",OR(K82="S2",K82="K5")),P82,TRUE,"Check Data")</f>
        <v/>
      </c>
      <c r="AJ82" s="75" t="str">
        <f t="shared" si="29"/>
        <v>Check Data</v>
      </c>
      <c r="AK82" s="76" t="str">
        <f t="shared" si="30"/>
        <v>Check Data</v>
      </c>
      <c r="AL82" s="50" t="str">
        <f t="shared" si="31"/>
        <v>Check Data</v>
      </c>
      <c r="AM82" s="49" t="str">
        <f>IF(B82="","",IF(K82="S1","S1",INDEX(#REF!,#REF!)))</f>
        <v/>
      </c>
      <c r="AN82" s="49" t="str">
        <f>K82</f>
        <v>M2</v>
      </c>
      <c r="AO82" s="50" t="b">
        <f>K82=AM82</f>
        <v>0</v>
      </c>
      <c r="AP82" s="50"/>
    </row>
    <row r="83" spans="1:42" ht="21.75">
      <c r="A83" s="49">
        <v>81</v>
      </c>
      <c r="B83" s="50"/>
      <c r="C83" s="50"/>
      <c r="D83" s="50" t="s">
        <v>143</v>
      </c>
      <c r="E83" s="49" t="s">
        <v>321</v>
      </c>
      <c r="F83" s="49" t="str">
        <f t="shared" si="16"/>
        <v>16/08/1990</v>
      </c>
      <c r="G83" s="50">
        <f t="shared" si="17"/>
        <v>34</v>
      </c>
      <c r="H83" s="50">
        <f t="shared" si="18"/>
        <v>10</v>
      </c>
      <c r="I83" s="50">
        <f t="shared" si="19"/>
        <v>4</v>
      </c>
      <c r="J83" s="59"/>
      <c r="K83" s="49" t="s">
        <v>136</v>
      </c>
      <c r="L83" s="64"/>
      <c r="M83" s="49" t="s">
        <v>427</v>
      </c>
      <c r="N83" s="49">
        <v>2568</v>
      </c>
      <c r="O83" s="65" t="s">
        <v>287</v>
      </c>
      <c r="P83" s="49" t="str">
        <f t="shared" si="20"/>
        <v>29/10/2020</v>
      </c>
      <c r="Q83" s="68">
        <f t="shared" si="21"/>
        <v>4</v>
      </c>
      <c r="R83" s="68">
        <f t="shared" si="22"/>
        <v>7</v>
      </c>
      <c r="S83" s="68">
        <f t="shared" si="23"/>
        <v>22</v>
      </c>
      <c r="T83" s="65"/>
      <c r="U83" s="65"/>
      <c r="V83" s="49" t="str">
        <f t="shared" si="24"/>
        <v/>
      </c>
      <c r="W83" s="68">
        <f>IF(V83="",0,DATEDIF(V83,P83,"Y"))</f>
        <v>0</v>
      </c>
      <c r="X83" s="68">
        <f>IF(V83="",0,DATEDIF(V83,P83,"YM"))</f>
        <v>0</v>
      </c>
      <c r="Y83" s="68">
        <f>IF(V83="",0,DATEDIF(V83,P83,"MD"))</f>
        <v>0</v>
      </c>
      <c r="Z83" s="49"/>
      <c r="AA83" s="65"/>
      <c r="AB83" s="50" t="str">
        <f t="shared" si="25"/>
        <v/>
      </c>
      <c r="AC83" s="68">
        <f t="shared" si="26"/>
        <v>0</v>
      </c>
      <c r="AD83" s="68">
        <f t="shared" si="27"/>
        <v>0</v>
      </c>
      <c r="AE83" s="68">
        <f t="shared" si="28"/>
        <v>0</v>
      </c>
      <c r="AF83" s="50"/>
      <c r="AG83" s="50" t="s">
        <v>172</v>
      </c>
      <c r="AH83" s="49" t="str">
        <f>IF(AG83="นิติศาสตร์","K5-LAW","K5-POLICY")</f>
        <v>K5-POLICY</v>
      </c>
      <c r="AI83" s="72" t="str">
        <f>_xlfn.IFS(B83="","",AND(AH83="K5-LAW",AG83="นิติศาสตร์",K83="S2",T83="",Z83=""),P83,AND(AH83="K5-LAW",AG83="นิติศาสตร์",K83="S1",T83="",Z83=""),EDATE(P83,12),AND(AH83="K5-LAW",AG83="นิติศาสตร์",OR(K83="M2",K83="K4"),T83="",Z83=""),EDATE(P83,12*2),AND(AH83="K5-LAW",AG83="นิติศาสตร์",OR(Z83="M2",Z83="K4"),AC83&gt;=2,OR(AB83&lt;V83,AB83&lt;P83)),EDATE(AB83,12*2),AND(AH83="K5-LAW",AG83="นิติศาสตร์",Z83="S1",AC83&gt;=1,OR(AB83&lt;V83,AB83&lt;P83)),EDATE(AB83,12),AND(AH83="K5-LAW",AG83="นิติศาสตร์",OR(T83="M2",T83="K4"),W83&gt;=2,V83&lt;P83),EDATE(V83,12*2),AND(AH83="K5-LAW",AG83="นิติศาสตร์",T83="S1",W83&gt;=1,V83&lt;P83),EDATE(V83,12),AND(AH83="K5-LAW",AG83="นิติศาสตร์",OR(T83="S2",T83="K5")),V83,AND(AH83="K5-LAW",AG83="นิติศาสตร์",OR(K83="M2",K83="K4"),Q83&gt;=2),EDATE(P83,12*2),AND(AH83="K5-LAW",AG83="นิติศาสตร์",K83="S1",Q83&gt;=1),EDATE(P83,12),AND(AH83="K5-LAW",AG83="นิติศาสตร์",OR(K83="S2",K83="K5")),P83,AND(AH83="K5-POLICY",AG83&lt;&gt;"นิติศาสตร์",K83="S2",T83="",Z83=""),P83,AND(AH83="K5-POLICY",AG83&lt;&gt;"นิติศาสตร์",K83="S1",T83="",Z83=""),EDATE(P83,12),AND(AH83="K5-POLICY",AG83&lt;&gt;"นิติศาสตร์",OR(K83="M2",K83="K4"),T83="",Z83=""),EDATE(P83,12*2),AND(AH83="K5-POLICY",AG83&lt;&gt;"นิติศาสตร์",OR(Z83="M2",Z83="K4"),AC83&gt;=2,OR(AB83&lt;V83,AB83&lt;P83)),EDATE(AB83,12*2),AND(AH83="K5-POLICY",AG83&lt;&gt;"นิติศาสตร์",Z83="S1",AC83&gt;=1,OR(AB83&lt;V83,AB83&lt;P83)),EDATE(AB83,12),AND(AH83="K5-POLICY",AG83&lt;&gt;"นิติศาสตร์",OR(T83="M2",T83="K4"),W83&gt;=2,V83&lt;P83),EDATE(V83,12*2),AND(AH83="K5-POLICY",AG83&lt;&gt;"นิติศาสตร์",T83="S1",W83&gt;=1,V83&lt;P83),EDATE(V83,12),AND(AH83="K5-POLICY",AG83&lt;&gt;"นิติศาสตร์",OR(T83="S2",T83="K5")),V83,AND(AH83="K5-POLICY",AG83&lt;&gt;"นิติศาสตร์",OR(K83="M2",K83="K4"),Q83&gt;=2),EDATE(P83,12*2),AND(AH83="K5-POLICY",AG83&lt;&gt;"นิติศาสตร์",K83="S1",Q83&gt;=1),EDATE(P83,12),AND(AH83="K5-POLICY",AG83&lt;&gt;"นิติศาสตร์",OR(K83="S2",K83="K5")),P83,TRUE,"Check Data")</f>
        <v/>
      </c>
      <c r="AJ83" s="75" t="str">
        <f t="shared" si="29"/>
        <v>Check Data</v>
      </c>
      <c r="AK83" s="76" t="str">
        <f t="shared" si="30"/>
        <v>Check Data</v>
      </c>
      <c r="AL83" s="50" t="str">
        <f t="shared" si="31"/>
        <v>Check Data</v>
      </c>
      <c r="AM83" s="49" t="str">
        <f>IF(B83="","",IF(K83="S1","S1",INDEX(#REF!,#REF!)))</f>
        <v/>
      </c>
      <c r="AN83" s="49" t="str">
        <f>K83</f>
        <v>M2</v>
      </c>
      <c r="AO83" s="50" t="b">
        <f>K83=AM83</f>
        <v>0</v>
      </c>
      <c r="AP83" s="50"/>
    </row>
    <row r="84" spans="1:42" ht="21.75">
      <c r="A84" s="49">
        <v>82</v>
      </c>
      <c r="B84" s="50"/>
      <c r="C84" s="50"/>
      <c r="D84" s="50" t="s">
        <v>143</v>
      </c>
      <c r="E84" s="49" t="s">
        <v>323</v>
      </c>
      <c r="F84" s="49" t="str">
        <f t="shared" si="16"/>
        <v>15/05/1984</v>
      </c>
      <c r="G84" s="50">
        <f t="shared" si="17"/>
        <v>41</v>
      </c>
      <c r="H84" s="50">
        <f t="shared" si="18"/>
        <v>1</v>
      </c>
      <c r="I84" s="50">
        <f t="shared" si="19"/>
        <v>5</v>
      </c>
      <c r="J84" s="59"/>
      <c r="K84" s="49" t="s">
        <v>136</v>
      </c>
      <c r="L84" s="64"/>
      <c r="M84" s="49" t="s">
        <v>427</v>
      </c>
      <c r="N84" s="49">
        <v>2568</v>
      </c>
      <c r="O84" s="65" t="s">
        <v>287</v>
      </c>
      <c r="P84" s="49" t="str">
        <f t="shared" si="20"/>
        <v>29/10/2020</v>
      </c>
      <c r="Q84" s="68">
        <f t="shared" si="21"/>
        <v>4</v>
      </c>
      <c r="R84" s="68">
        <f t="shared" si="22"/>
        <v>7</v>
      </c>
      <c r="S84" s="68">
        <f t="shared" si="23"/>
        <v>22</v>
      </c>
      <c r="T84" s="65"/>
      <c r="U84" s="65"/>
      <c r="V84" s="49" t="str">
        <f t="shared" si="24"/>
        <v/>
      </c>
      <c r="W84" s="68">
        <f>IF(V84="",0,DATEDIF(V84,P84,"Y"))</f>
        <v>0</v>
      </c>
      <c r="X84" s="68">
        <f>IF(V84="",0,DATEDIF(V84,P84,"YM"))</f>
        <v>0</v>
      </c>
      <c r="Y84" s="68">
        <f>IF(V84="",0,DATEDIF(V84,P84,"MD"))</f>
        <v>0</v>
      </c>
      <c r="Z84" s="49"/>
      <c r="AA84" s="65"/>
      <c r="AB84" s="50" t="str">
        <f t="shared" si="25"/>
        <v/>
      </c>
      <c r="AC84" s="68">
        <f t="shared" si="26"/>
        <v>0</v>
      </c>
      <c r="AD84" s="68">
        <f t="shared" si="27"/>
        <v>0</v>
      </c>
      <c r="AE84" s="68">
        <f t="shared" si="28"/>
        <v>0</v>
      </c>
      <c r="AF84" s="50"/>
      <c r="AG84" s="50" t="s">
        <v>513</v>
      </c>
      <c r="AH84" s="49" t="str">
        <f>IF(AG84="นิติศาสตร์","K5-LAW","K5-POLICY")</f>
        <v>K5-POLICY</v>
      </c>
      <c r="AI84" s="72" t="str">
        <f>_xlfn.IFS(B84="","",AND(AH84="K5-LAW",AG84="นิติศาสตร์",K84="S2",T84="",Z84=""),P84,AND(AH84="K5-LAW",AG84="นิติศาสตร์",K84="S1",T84="",Z84=""),EDATE(P84,12),AND(AH84="K5-LAW",AG84="นิติศาสตร์",OR(K84="M2",K84="K4"),T84="",Z84=""),EDATE(P84,12*2),AND(AH84="K5-LAW",AG84="นิติศาสตร์",OR(Z84="M2",Z84="K4"),AC84&gt;=2,OR(AB84&lt;V84,AB84&lt;P84)),EDATE(AB84,12*2),AND(AH84="K5-LAW",AG84="นิติศาสตร์",Z84="S1",AC84&gt;=1,OR(AB84&lt;V84,AB84&lt;P84)),EDATE(AB84,12),AND(AH84="K5-LAW",AG84="นิติศาสตร์",OR(T84="M2",T84="K4"),W84&gt;=2,V84&lt;P84),EDATE(V84,12*2),AND(AH84="K5-LAW",AG84="นิติศาสตร์",T84="S1",W84&gt;=1,V84&lt;P84),EDATE(V84,12),AND(AH84="K5-LAW",AG84="นิติศาสตร์",OR(T84="S2",T84="K5")),V84,AND(AH84="K5-LAW",AG84="นิติศาสตร์",OR(K84="M2",K84="K4"),Q84&gt;=2),EDATE(P84,12*2),AND(AH84="K5-LAW",AG84="นิติศาสตร์",K84="S1",Q84&gt;=1),EDATE(P84,12),AND(AH84="K5-LAW",AG84="นิติศาสตร์",OR(K84="S2",K84="K5")),P84,AND(AH84="K5-POLICY",AG84&lt;&gt;"นิติศาสตร์",K84="S2",T84="",Z84=""),P84,AND(AH84="K5-POLICY",AG84&lt;&gt;"นิติศาสตร์",K84="S1",T84="",Z84=""),EDATE(P84,12),AND(AH84="K5-POLICY",AG84&lt;&gt;"นิติศาสตร์",OR(K84="M2",K84="K4"),T84="",Z84=""),EDATE(P84,12*2),AND(AH84="K5-POLICY",AG84&lt;&gt;"นิติศาสตร์",OR(Z84="M2",Z84="K4"),AC84&gt;=2,OR(AB84&lt;V84,AB84&lt;P84)),EDATE(AB84,12*2),AND(AH84="K5-POLICY",AG84&lt;&gt;"นิติศาสตร์",Z84="S1",AC84&gt;=1,OR(AB84&lt;V84,AB84&lt;P84)),EDATE(AB84,12),AND(AH84="K5-POLICY",AG84&lt;&gt;"นิติศาสตร์",OR(T84="M2",T84="K4"),W84&gt;=2,V84&lt;P84),EDATE(V84,12*2),AND(AH84="K5-POLICY",AG84&lt;&gt;"นิติศาสตร์",T84="S1",W84&gt;=1,V84&lt;P84),EDATE(V84,12),AND(AH84="K5-POLICY",AG84&lt;&gt;"นิติศาสตร์",OR(T84="S2",T84="K5")),V84,AND(AH84="K5-POLICY",AG84&lt;&gt;"นิติศาสตร์",OR(K84="M2",K84="K4"),Q84&gt;=2),EDATE(P84,12*2),AND(AH84="K5-POLICY",AG84&lt;&gt;"นิติศาสตร์",K84="S1",Q84&gt;=1),EDATE(P84,12),AND(AH84="K5-POLICY",AG84&lt;&gt;"นิติศาสตร์",OR(K84="S2",K84="K5")),P84,TRUE,"Check Data")</f>
        <v/>
      </c>
      <c r="AJ84" s="75" t="str">
        <f t="shared" si="29"/>
        <v>Check Data</v>
      </c>
      <c r="AK84" s="76" t="str">
        <f t="shared" si="30"/>
        <v>Check Data</v>
      </c>
      <c r="AL84" s="50" t="str">
        <f t="shared" si="31"/>
        <v>Check Data</v>
      </c>
      <c r="AM84" s="49" t="str">
        <f>IF(B84="","",IF(K84="S1","S1",INDEX(#REF!,#REF!)))</f>
        <v/>
      </c>
      <c r="AN84" s="49" t="str">
        <f>K84</f>
        <v>M2</v>
      </c>
      <c r="AO84" s="50" t="b">
        <f>K84=AM84</f>
        <v>0</v>
      </c>
      <c r="AP84" s="50"/>
    </row>
    <row r="85" spans="1:42" ht="21.75">
      <c r="A85" s="49">
        <v>83</v>
      </c>
      <c r="B85" s="50"/>
      <c r="C85" s="50"/>
      <c r="D85" s="50" t="s">
        <v>143</v>
      </c>
      <c r="E85" s="49" t="s">
        <v>222</v>
      </c>
      <c r="F85" s="49" t="str">
        <f t="shared" si="16"/>
        <v>20/04/1989</v>
      </c>
      <c r="G85" s="50">
        <f t="shared" si="17"/>
        <v>36</v>
      </c>
      <c r="H85" s="50">
        <f t="shared" si="18"/>
        <v>2</v>
      </c>
      <c r="I85" s="50">
        <f t="shared" si="19"/>
        <v>0</v>
      </c>
      <c r="J85" s="59"/>
      <c r="K85" s="49" t="s">
        <v>136</v>
      </c>
      <c r="L85" s="64"/>
      <c r="M85" s="49" t="s">
        <v>427</v>
      </c>
      <c r="N85" s="49">
        <v>2570</v>
      </c>
      <c r="O85" s="65" t="s">
        <v>287</v>
      </c>
      <c r="P85" s="49" t="str">
        <f t="shared" si="20"/>
        <v>29/10/2020</v>
      </c>
      <c r="Q85" s="68">
        <f t="shared" si="21"/>
        <v>4</v>
      </c>
      <c r="R85" s="68">
        <f t="shared" si="22"/>
        <v>7</v>
      </c>
      <c r="S85" s="68">
        <f t="shared" si="23"/>
        <v>22</v>
      </c>
      <c r="T85" s="65"/>
      <c r="U85" s="65"/>
      <c r="V85" s="49" t="str">
        <f t="shared" si="24"/>
        <v/>
      </c>
      <c r="W85" s="68">
        <f>IF(V85="",0,DATEDIF(V85,P85,"Y"))</f>
        <v>0</v>
      </c>
      <c r="X85" s="68">
        <f>IF(V85="",0,DATEDIF(V85,P85,"YM"))</f>
        <v>0</v>
      </c>
      <c r="Y85" s="68">
        <f>IF(V85="",0,DATEDIF(V85,P85,"MD"))</f>
        <v>0</v>
      </c>
      <c r="Z85" s="49"/>
      <c r="AA85" s="65"/>
      <c r="AB85" s="50" t="str">
        <f t="shared" si="25"/>
        <v/>
      </c>
      <c r="AC85" s="68">
        <f t="shared" si="26"/>
        <v>0</v>
      </c>
      <c r="AD85" s="68">
        <f t="shared" si="27"/>
        <v>0</v>
      </c>
      <c r="AE85" s="68">
        <f t="shared" si="28"/>
        <v>0</v>
      </c>
      <c r="AF85" s="50"/>
      <c r="AG85" s="50" t="s">
        <v>163</v>
      </c>
      <c r="AH85" s="49" t="str">
        <f>IF(AG85="นิติศาสตร์","K5-LAW","K5-POLICY")</f>
        <v>K5-POLICY</v>
      </c>
      <c r="AI85" s="72" t="str">
        <f>_xlfn.IFS(B85="","",AND(AH85="K5-LAW",AG85="นิติศาสตร์",K85="S2",T85="",Z85=""),P85,AND(AH85="K5-LAW",AG85="นิติศาสตร์",K85="S1",T85="",Z85=""),EDATE(P85,12),AND(AH85="K5-LAW",AG85="นิติศาสตร์",OR(K85="M2",K85="K4"),T85="",Z85=""),EDATE(P85,12*2),AND(AH85="K5-LAW",AG85="นิติศาสตร์",OR(Z85="M2",Z85="K4"),AC85&gt;=2,OR(AB85&lt;V85,AB85&lt;P85)),EDATE(AB85,12*2),AND(AH85="K5-LAW",AG85="นิติศาสตร์",Z85="S1",AC85&gt;=1,OR(AB85&lt;V85,AB85&lt;P85)),EDATE(AB85,12),AND(AH85="K5-LAW",AG85="นิติศาสตร์",OR(T85="M2",T85="K4"),W85&gt;=2,V85&lt;P85),EDATE(V85,12*2),AND(AH85="K5-LAW",AG85="นิติศาสตร์",T85="S1",W85&gt;=1,V85&lt;P85),EDATE(V85,12),AND(AH85="K5-LAW",AG85="นิติศาสตร์",OR(T85="S2",T85="K5")),V85,AND(AH85="K5-LAW",AG85="นิติศาสตร์",OR(K85="M2",K85="K4"),Q85&gt;=2),EDATE(P85,12*2),AND(AH85="K5-LAW",AG85="นิติศาสตร์",K85="S1",Q85&gt;=1),EDATE(P85,12),AND(AH85="K5-LAW",AG85="นิติศาสตร์",OR(K85="S2",K85="K5")),P85,AND(AH85="K5-POLICY",AG85&lt;&gt;"นิติศาสตร์",K85="S2",T85="",Z85=""),P85,AND(AH85="K5-POLICY",AG85&lt;&gt;"นิติศาสตร์",K85="S1",T85="",Z85=""),EDATE(P85,12),AND(AH85="K5-POLICY",AG85&lt;&gt;"นิติศาสตร์",OR(K85="M2",K85="K4"),T85="",Z85=""),EDATE(P85,12*2),AND(AH85="K5-POLICY",AG85&lt;&gt;"นิติศาสตร์",OR(Z85="M2",Z85="K4"),AC85&gt;=2,OR(AB85&lt;V85,AB85&lt;P85)),EDATE(AB85,12*2),AND(AH85="K5-POLICY",AG85&lt;&gt;"นิติศาสตร์",Z85="S1",AC85&gt;=1,OR(AB85&lt;V85,AB85&lt;P85)),EDATE(AB85,12),AND(AH85="K5-POLICY",AG85&lt;&gt;"นิติศาสตร์",OR(T85="M2",T85="K4"),W85&gt;=2,V85&lt;P85),EDATE(V85,12*2),AND(AH85="K5-POLICY",AG85&lt;&gt;"นิติศาสตร์",T85="S1",W85&gt;=1,V85&lt;P85),EDATE(V85,12),AND(AH85="K5-POLICY",AG85&lt;&gt;"นิติศาสตร์",OR(T85="S2",T85="K5")),V85,AND(AH85="K5-POLICY",AG85&lt;&gt;"นิติศาสตร์",OR(K85="M2",K85="K4"),Q85&gt;=2),EDATE(P85,12*2),AND(AH85="K5-POLICY",AG85&lt;&gt;"นิติศาสตร์",K85="S1",Q85&gt;=1),EDATE(P85,12),AND(AH85="K5-POLICY",AG85&lt;&gt;"นิติศาสตร์",OR(K85="S2",K85="K5")),P85,TRUE,"Check Data")</f>
        <v/>
      </c>
      <c r="AJ85" s="75" t="str">
        <f t="shared" si="29"/>
        <v>Check Data</v>
      </c>
      <c r="AK85" s="76" t="str">
        <f t="shared" si="30"/>
        <v>Check Data</v>
      </c>
      <c r="AL85" s="50" t="str">
        <f t="shared" si="31"/>
        <v>Check Data</v>
      </c>
      <c r="AM85" s="49" t="str">
        <f>IF(B85="","",IF(K85="S1","S1",INDEX(#REF!,#REF!)))</f>
        <v/>
      </c>
      <c r="AN85" s="49" t="str">
        <f>K85</f>
        <v>M2</v>
      </c>
      <c r="AO85" s="50" t="b">
        <f>K85=AM85</f>
        <v>0</v>
      </c>
      <c r="AP85" s="50"/>
    </row>
    <row r="86" spans="1:42" ht="21.75">
      <c r="A86" s="49">
        <v>84</v>
      </c>
      <c r="B86" s="50"/>
      <c r="C86" s="50"/>
      <c r="D86" s="50" t="s">
        <v>143</v>
      </c>
      <c r="E86" s="49" t="s">
        <v>327</v>
      </c>
      <c r="F86" s="49" t="str">
        <f t="shared" si="16"/>
        <v>21/06/1988</v>
      </c>
      <c r="G86" s="50">
        <f t="shared" si="17"/>
        <v>36</v>
      </c>
      <c r="H86" s="50">
        <f t="shared" si="18"/>
        <v>11</v>
      </c>
      <c r="I86" s="50">
        <f t="shared" si="19"/>
        <v>30</v>
      </c>
      <c r="J86" s="58"/>
      <c r="K86" s="49" t="s">
        <v>136</v>
      </c>
      <c r="L86" s="64"/>
      <c r="M86" s="49" t="s">
        <v>427</v>
      </c>
      <c r="N86" s="49">
        <v>2570</v>
      </c>
      <c r="O86" s="65" t="s">
        <v>287</v>
      </c>
      <c r="P86" s="49" t="str">
        <f t="shared" si="20"/>
        <v>29/10/2020</v>
      </c>
      <c r="Q86" s="68">
        <f t="shared" si="21"/>
        <v>4</v>
      </c>
      <c r="R86" s="68">
        <f t="shared" si="22"/>
        <v>7</v>
      </c>
      <c r="S86" s="68">
        <f t="shared" si="23"/>
        <v>22</v>
      </c>
      <c r="T86" s="65"/>
      <c r="U86" s="65"/>
      <c r="V86" s="49" t="str">
        <f t="shared" si="24"/>
        <v/>
      </c>
      <c r="W86" s="68">
        <f>IF(V86="",0,DATEDIF(V86,P86,"Y"))</f>
        <v>0</v>
      </c>
      <c r="X86" s="68">
        <f>IF(V86="",0,DATEDIF(V86,P86,"YM"))</f>
        <v>0</v>
      </c>
      <c r="Y86" s="68">
        <f>IF(V86="",0,DATEDIF(V86,P86,"MD"))</f>
        <v>0</v>
      </c>
      <c r="Z86" s="49"/>
      <c r="AA86" s="65"/>
      <c r="AB86" s="50" t="str">
        <f t="shared" si="25"/>
        <v/>
      </c>
      <c r="AC86" s="68">
        <f t="shared" si="26"/>
        <v>0</v>
      </c>
      <c r="AD86" s="68">
        <f t="shared" si="27"/>
        <v>0</v>
      </c>
      <c r="AE86" s="68">
        <f t="shared" si="28"/>
        <v>0</v>
      </c>
      <c r="AF86" s="50"/>
      <c r="AG86" s="50" t="s">
        <v>178</v>
      </c>
      <c r="AH86" s="49" t="str">
        <f>IF(AG86="นิติศาสตร์","K5-LAW","K5-POLICY")</f>
        <v>K5-POLICY</v>
      </c>
      <c r="AI86" s="72" t="str">
        <f>_xlfn.IFS(B86="","",AND(AH86="K5-LAW",AG86="นิติศาสตร์",K86="S2",T86="",Z86=""),P86,AND(AH86="K5-LAW",AG86="นิติศาสตร์",K86="S1",T86="",Z86=""),EDATE(P86,12),AND(AH86="K5-LAW",AG86="นิติศาสตร์",OR(K86="M2",K86="K4"),T86="",Z86=""),EDATE(P86,12*2),AND(AH86="K5-LAW",AG86="นิติศาสตร์",OR(Z86="M2",Z86="K4"),AC86&gt;=2,OR(AB86&lt;V86,AB86&lt;P86)),EDATE(AB86,12*2),AND(AH86="K5-LAW",AG86="นิติศาสตร์",Z86="S1",AC86&gt;=1,OR(AB86&lt;V86,AB86&lt;P86)),EDATE(AB86,12),AND(AH86="K5-LAW",AG86="นิติศาสตร์",OR(T86="M2",T86="K4"),W86&gt;=2,V86&lt;P86),EDATE(V86,12*2),AND(AH86="K5-LAW",AG86="นิติศาสตร์",T86="S1",W86&gt;=1,V86&lt;P86),EDATE(V86,12),AND(AH86="K5-LAW",AG86="นิติศาสตร์",OR(T86="S2",T86="K5")),V86,AND(AH86="K5-LAW",AG86="นิติศาสตร์",OR(K86="M2",K86="K4"),Q86&gt;=2),EDATE(P86,12*2),AND(AH86="K5-LAW",AG86="นิติศาสตร์",K86="S1",Q86&gt;=1),EDATE(P86,12),AND(AH86="K5-LAW",AG86="นิติศาสตร์",OR(K86="S2",K86="K5")),P86,AND(AH86="K5-POLICY",AG86&lt;&gt;"นิติศาสตร์",K86="S2",T86="",Z86=""),P86,AND(AH86="K5-POLICY",AG86&lt;&gt;"นิติศาสตร์",K86="S1",T86="",Z86=""),EDATE(P86,12),AND(AH86="K5-POLICY",AG86&lt;&gt;"นิติศาสตร์",OR(K86="M2",K86="K4"),T86="",Z86=""),EDATE(P86,12*2),AND(AH86="K5-POLICY",AG86&lt;&gt;"นิติศาสตร์",OR(Z86="M2",Z86="K4"),AC86&gt;=2,OR(AB86&lt;V86,AB86&lt;P86)),EDATE(AB86,12*2),AND(AH86="K5-POLICY",AG86&lt;&gt;"นิติศาสตร์",Z86="S1",AC86&gt;=1,OR(AB86&lt;V86,AB86&lt;P86)),EDATE(AB86,12),AND(AH86="K5-POLICY",AG86&lt;&gt;"นิติศาสตร์",OR(T86="M2",T86="K4"),W86&gt;=2,V86&lt;P86),EDATE(V86,12*2),AND(AH86="K5-POLICY",AG86&lt;&gt;"นิติศาสตร์",T86="S1",W86&gt;=1,V86&lt;P86),EDATE(V86,12),AND(AH86="K5-POLICY",AG86&lt;&gt;"นิติศาสตร์",OR(T86="S2",T86="K5")),V86,AND(AH86="K5-POLICY",AG86&lt;&gt;"นิติศาสตร์",OR(K86="M2",K86="K4"),Q86&gt;=2),EDATE(P86,12*2),AND(AH86="K5-POLICY",AG86&lt;&gt;"นิติศาสตร์",K86="S1",Q86&gt;=1),EDATE(P86,12),AND(AH86="K5-POLICY",AG86&lt;&gt;"นิติศาสตร์",OR(K86="S2",K86="K5")),P86,TRUE,"Check Data")</f>
        <v/>
      </c>
      <c r="AJ86" s="75" t="str">
        <f t="shared" si="29"/>
        <v>Check Data</v>
      </c>
      <c r="AK86" s="76" t="str">
        <f t="shared" si="30"/>
        <v>Check Data</v>
      </c>
      <c r="AL86" s="50" t="str">
        <f t="shared" si="31"/>
        <v>Check Data</v>
      </c>
      <c r="AM86" s="49" t="str">
        <f>IF(B86="","",IF(K86="S1","S1",INDEX(#REF!,#REF!)))</f>
        <v/>
      </c>
      <c r="AN86" s="49" t="str">
        <f>K86</f>
        <v>M2</v>
      </c>
      <c r="AO86" s="50" t="b">
        <f>K86=AM86</f>
        <v>0</v>
      </c>
      <c r="AP86" s="50"/>
    </row>
    <row r="87" spans="1:42" ht="21.75">
      <c r="A87" s="49">
        <v>85</v>
      </c>
      <c r="B87" s="50"/>
      <c r="C87" s="50"/>
      <c r="D87" s="50" t="s">
        <v>143</v>
      </c>
      <c r="E87" s="49" t="s">
        <v>347</v>
      </c>
      <c r="F87" s="49" t="str">
        <f t="shared" si="16"/>
        <v>16/11/1992</v>
      </c>
      <c r="G87" s="50">
        <f t="shared" si="17"/>
        <v>32</v>
      </c>
      <c r="H87" s="50">
        <f t="shared" si="18"/>
        <v>7</v>
      </c>
      <c r="I87" s="50">
        <f t="shared" si="19"/>
        <v>4</v>
      </c>
      <c r="J87" s="59"/>
      <c r="K87" s="49" t="s">
        <v>136</v>
      </c>
      <c r="L87" s="64"/>
      <c r="M87" s="49" t="s">
        <v>427</v>
      </c>
      <c r="N87" s="49">
        <v>2568</v>
      </c>
      <c r="O87" s="65" t="s">
        <v>287</v>
      </c>
      <c r="P87" s="49" t="str">
        <f t="shared" si="20"/>
        <v>29/10/2020</v>
      </c>
      <c r="Q87" s="68">
        <f t="shared" si="21"/>
        <v>4</v>
      </c>
      <c r="R87" s="68">
        <f t="shared" si="22"/>
        <v>7</v>
      </c>
      <c r="S87" s="68">
        <f t="shared" si="23"/>
        <v>22</v>
      </c>
      <c r="T87" s="65"/>
      <c r="U87" s="65"/>
      <c r="V87" s="49" t="str">
        <f t="shared" si="24"/>
        <v/>
      </c>
      <c r="W87" s="68">
        <f>IF(V87="",0,DATEDIF(V87,P87,"Y"))</f>
        <v>0</v>
      </c>
      <c r="X87" s="68">
        <f>IF(V87="",0,DATEDIF(V87,P87,"YM"))</f>
        <v>0</v>
      </c>
      <c r="Y87" s="68">
        <f>IF(V87="",0,DATEDIF(V87,P87,"MD"))</f>
        <v>0</v>
      </c>
      <c r="Z87" s="49"/>
      <c r="AA87" s="65"/>
      <c r="AB87" s="50" t="str">
        <f t="shared" si="25"/>
        <v/>
      </c>
      <c r="AC87" s="68">
        <f t="shared" si="26"/>
        <v>0</v>
      </c>
      <c r="AD87" s="68">
        <f t="shared" si="27"/>
        <v>0</v>
      </c>
      <c r="AE87" s="68">
        <f t="shared" si="28"/>
        <v>0</v>
      </c>
      <c r="AF87" s="50"/>
      <c r="AG87" s="50" t="s">
        <v>514</v>
      </c>
      <c r="AH87" s="49" t="str">
        <f>IF(AG87="นิติศาสตร์","K5-LAW","K5-POLICY")</f>
        <v>K5-POLICY</v>
      </c>
      <c r="AI87" s="72" t="str">
        <f>_xlfn.IFS(B87="","",AND(AH87="K5-LAW",AG87="นิติศาสตร์",K87="S2",T87="",Z87=""),P87,AND(AH87="K5-LAW",AG87="นิติศาสตร์",K87="S1",T87="",Z87=""),EDATE(P87,12),AND(AH87="K5-LAW",AG87="นิติศาสตร์",OR(K87="M2",K87="K4"),T87="",Z87=""),EDATE(P87,12*2),AND(AH87="K5-LAW",AG87="นิติศาสตร์",OR(Z87="M2",Z87="K4"),AC87&gt;=2,OR(AB87&lt;V87,AB87&lt;P87)),EDATE(AB87,12*2),AND(AH87="K5-LAW",AG87="นิติศาสตร์",Z87="S1",AC87&gt;=1,OR(AB87&lt;V87,AB87&lt;P87)),EDATE(AB87,12),AND(AH87="K5-LAW",AG87="นิติศาสตร์",OR(T87="M2",T87="K4"),W87&gt;=2,V87&lt;P87),EDATE(V87,12*2),AND(AH87="K5-LAW",AG87="นิติศาสตร์",T87="S1",W87&gt;=1,V87&lt;P87),EDATE(V87,12),AND(AH87="K5-LAW",AG87="นิติศาสตร์",OR(T87="S2",T87="K5")),V87,AND(AH87="K5-LAW",AG87="นิติศาสตร์",OR(K87="M2",K87="K4"),Q87&gt;=2),EDATE(P87,12*2),AND(AH87="K5-LAW",AG87="นิติศาสตร์",K87="S1",Q87&gt;=1),EDATE(P87,12),AND(AH87="K5-LAW",AG87="นิติศาสตร์",OR(K87="S2",K87="K5")),P87,AND(AH87="K5-POLICY",AG87&lt;&gt;"นิติศาสตร์",K87="S2",T87="",Z87=""),P87,AND(AH87="K5-POLICY",AG87&lt;&gt;"นิติศาสตร์",K87="S1",T87="",Z87=""),EDATE(P87,12),AND(AH87="K5-POLICY",AG87&lt;&gt;"นิติศาสตร์",OR(K87="M2",K87="K4"),T87="",Z87=""),EDATE(P87,12*2),AND(AH87="K5-POLICY",AG87&lt;&gt;"นิติศาสตร์",OR(Z87="M2",Z87="K4"),AC87&gt;=2,OR(AB87&lt;V87,AB87&lt;P87)),EDATE(AB87,12*2),AND(AH87="K5-POLICY",AG87&lt;&gt;"นิติศาสตร์",Z87="S1",AC87&gt;=1,OR(AB87&lt;V87,AB87&lt;P87)),EDATE(AB87,12),AND(AH87="K5-POLICY",AG87&lt;&gt;"นิติศาสตร์",OR(T87="M2",T87="K4"),W87&gt;=2,V87&lt;P87),EDATE(V87,12*2),AND(AH87="K5-POLICY",AG87&lt;&gt;"นิติศาสตร์",T87="S1",W87&gt;=1,V87&lt;P87),EDATE(V87,12),AND(AH87="K5-POLICY",AG87&lt;&gt;"นิติศาสตร์",OR(T87="S2",T87="K5")),V87,AND(AH87="K5-POLICY",AG87&lt;&gt;"นิติศาสตร์",OR(K87="M2",K87="K4"),Q87&gt;=2),EDATE(P87,12*2),AND(AH87="K5-POLICY",AG87&lt;&gt;"นิติศาสตร์",K87="S1",Q87&gt;=1),EDATE(P87,12),AND(AH87="K5-POLICY",AG87&lt;&gt;"นิติศาสตร์",OR(K87="S2",K87="K5")),P87,TRUE,"Check Data")</f>
        <v/>
      </c>
      <c r="AJ87" s="75" t="str">
        <f t="shared" si="29"/>
        <v>Check Data</v>
      </c>
      <c r="AK87" s="76" t="str">
        <f t="shared" si="30"/>
        <v>Check Data</v>
      </c>
      <c r="AL87" s="50" t="str">
        <f t="shared" si="31"/>
        <v>Check Data</v>
      </c>
      <c r="AM87" s="49" t="str">
        <f>IF(B87="","",IF(K87="S1","S1",INDEX(#REF!,#REF!)))</f>
        <v/>
      </c>
      <c r="AN87" s="49" t="str">
        <f>K87</f>
        <v>M2</v>
      </c>
      <c r="AO87" s="50" t="b">
        <f>K87=AM87</f>
        <v>0</v>
      </c>
      <c r="AP87" s="50"/>
    </row>
    <row r="88" spans="1:42" ht="21.75">
      <c r="A88" s="49">
        <v>86</v>
      </c>
      <c r="B88" s="50"/>
      <c r="C88" s="50"/>
      <c r="D88" s="50" t="s">
        <v>143</v>
      </c>
      <c r="E88" s="49" t="s">
        <v>327</v>
      </c>
      <c r="F88" s="49" t="str">
        <f t="shared" si="16"/>
        <v>21/06/1988</v>
      </c>
      <c r="G88" s="50">
        <f t="shared" si="17"/>
        <v>36</v>
      </c>
      <c r="H88" s="50">
        <f t="shared" si="18"/>
        <v>11</v>
      </c>
      <c r="I88" s="50">
        <f t="shared" si="19"/>
        <v>30</v>
      </c>
      <c r="J88" s="59"/>
      <c r="K88" s="49" t="s">
        <v>136</v>
      </c>
      <c r="L88" s="64"/>
      <c r="M88" s="49" t="s">
        <v>427</v>
      </c>
      <c r="N88" s="49">
        <v>2569</v>
      </c>
      <c r="O88" s="65" t="s">
        <v>287</v>
      </c>
      <c r="P88" s="49" t="str">
        <f t="shared" si="20"/>
        <v>29/10/2020</v>
      </c>
      <c r="Q88" s="68">
        <f t="shared" si="21"/>
        <v>4</v>
      </c>
      <c r="R88" s="68">
        <f t="shared" si="22"/>
        <v>7</v>
      </c>
      <c r="S88" s="68">
        <f t="shared" si="23"/>
        <v>22</v>
      </c>
      <c r="T88" s="65"/>
      <c r="U88" s="65"/>
      <c r="V88" s="49" t="str">
        <f t="shared" si="24"/>
        <v/>
      </c>
      <c r="W88" s="68">
        <f>IF(V88="",0,DATEDIF(V88,P88,"Y"))</f>
        <v>0</v>
      </c>
      <c r="X88" s="68">
        <f>IF(V88="",0,DATEDIF(V88,P88,"YM"))</f>
        <v>0</v>
      </c>
      <c r="Y88" s="68">
        <f>IF(V88="",0,DATEDIF(V88,P88,"MD"))</f>
        <v>0</v>
      </c>
      <c r="Z88" s="49"/>
      <c r="AA88" s="65"/>
      <c r="AB88" s="50" t="str">
        <f t="shared" si="25"/>
        <v/>
      </c>
      <c r="AC88" s="68">
        <f t="shared" si="26"/>
        <v>0</v>
      </c>
      <c r="AD88" s="68">
        <f t="shared" si="27"/>
        <v>0</v>
      </c>
      <c r="AE88" s="68">
        <f t="shared" si="28"/>
        <v>0</v>
      </c>
      <c r="AF88" s="50"/>
      <c r="AG88" s="50" t="s">
        <v>513</v>
      </c>
      <c r="AH88" s="49" t="str">
        <f>IF(AG88="นิติศาสตร์","K5-LAW","K5-POLICY")</f>
        <v>K5-POLICY</v>
      </c>
      <c r="AI88" s="72" t="str">
        <f>_xlfn.IFS(B88="","",AND(AH88="K5-LAW",AG88="นิติศาสตร์",K88="S2",T88="",Z88=""),P88,AND(AH88="K5-LAW",AG88="นิติศาสตร์",K88="S1",T88="",Z88=""),EDATE(P88,12),AND(AH88="K5-LAW",AG88="นิติศาสตร์",OR(K88="M2",K88="K4"),T88="",Z88=""),EDATE(P88,12*2),AND(AH88="K5-LAW",AG88="นิติศาสตร์",OR(Z88="M2",Z88="K4"),AC88&gt;=2,OR(AB88&lt;V88,AB88&lt;P88)),EDATE(AB88,12*2),AND(AH88="K5-LAW",AG88="นิติศาสตร์",Z88="S1",AC88&gt;=1,OR(AB88&lt;V88,AB88&lt;P88)),EDATE(AB88,12),AND(AH88="K5-LAW",AG88="นิติศาสตร์",OR(T88="M2",T88="K4"),W88&gt;=2,V88&lt;P88),EDATE(V88,12*2),AND(AH88="K5-LAW",AG88="นิติศาสตร์",T88="S1",W88&gt;=1,V88&lt;P88),EDATE(V88,12),AND(AH88="K5-LAW",AG88="นิติศาสตร์",OR(T88="S2",T88="K5")),V88,AND(AH88="K5-LAW",AG88="นิติศาสตร์",OR(K88="M2",K88="K4"),Q88&gt;=2),EDATE(P88,12*2),AND(AH88="K5-LAW",AG88="นิติศาสตร์",K88="S1",Q88&gt;=1),EDATE(P88,12),AND(AH88="K5-LAW",AG88="นิติศาสตร์",OR(K88="S2",K88="K5")),P88,AND(AH88="K5-POLICY",AG88&lt;&gt;"นิติศาสตร์",K88="S2",T88="",Z88=""),P88,AND(AH88="K5-POLICY",AG88&lt;&gt;"นิติศาสตร์",K88="S1",T88="",Z88=""),EDATE(P88,12),AND(AH88="K5-POLICY",AG88&lt;&gt;"นิติศาสตร์",OR(K88="M2",K88="K4"),T88="",Z88=""),EDATE(P88,12*2),AND(AH88="K5-POLICY",AG88&lt;&gt;"นิติศาสตร์",OR(Z88="M2",Z88="K4"),AC88&gt;=2,OR(AB88&lt;V88,AB88&lt;P88)),EDATE(AB88,12*2),AND(AH88="K5-POLICY",AG88&lt;&gt;"นิติศาสตร์",Z88="S1",AC88&gt;=1,OR(AB88&lt;V88,AB88&lt;P88)),EDATE(AB88,12),AND(AH88="K5-POLICY",AG88&lt;&gt;"นิติศาสตร์",OR(T88="M2",T88="K4"),W88&gt;=2,V88&lt;P88),EDATE(V88,12*2),AND(AH88="K5-POLICY",AG88&lt;&gt;"นิติศาสตร์",T88="S1",W88&gt;=1,V88&lt;P88),EDATE(V88,12),AND(AH88="K5-POLICY",AG88&lt;&gt;"นิติศาสตร์",OR(T88="S2",T88="K5")),V88,AND(AH88="K5-POLICY",AG88&lt;&gt;"นิติศาสตร์",OR(K88="M2",K88="K4"),Q88&gt;=2),EDATE(P88,12*2),AND(AH88="K5-POLICY",AG88&lt;&gt;"นิติศาสตร์",K88="S1",Q88&gt;=1),EDATE(P88,12),AND(AH88="K5-POLICY",AG88&lt;&gt;"นิติศาสตร์",OR(K88="S2",K88="K5")),P88,TRUE,"Check Data")</f>
        <v/>
      </c>
      <c r="AJ88" s="75" t="str">
        <f t="shared" si="29"/>
        <v>Check Data</v>
      </c>
      <c r="AK88" s="76" t="str">
        <f t="shared" si="30"/>
        <v>Check Data</v>
      </c>
      <c r="AL88" s="50" t="str">
        <f t="shared" si="31"/>
        <v>Check Data</v>
      </c>
      <c r="AM88" s="49" t="str">
        <f>IF(B88="","",IF(K88="S1","S1",INDEX(#REF!,#REF!)))</f>
        <v/>
      </c>
      <c r="AN88" s="49" t="str">
        <f>K88</f>
        <v>M2</v>
      </c>
      <c r="AO88" s="50" t="b">
        <f>K88=AM88</f>
        <v>0</v>
      </c>
      <c r="AP88" s="50"/>
    </row>
    <row r="89" spans="1:42" ht="21.75">
      <c r="A89" s="49">
        <v>87</v>
      </c>
      <c r="B89" s="50"/>
      <c r="C89" s="50"/>
      <c r="D89" s="50" t="s">
        <v>143</v>
      </c>
      <c r="E89" s="49" t="s">
        <v>349</v>
      </c>
      <c r="F89" s="49" t="str">
        <f t="shared" si="16"/>
        <v>24/10/1991</v>
      </c>
      <c r="G89" s="50">
        <f t="shared" si="17"/>
        <v>33</v>
      </c>
      <c r="H89" s="50">
        <f t="shared" si="18"/>
        <v>7</v>
      </c>
      <c r="I89" s="50">
        <f t="shared" si="19"/>
        <v>27</v>
      </c>
      <c r="J89" s="59"/>
      <c r="K89" s="49" t="s">
        <v>136</v>
      </c>
      <c r="L89" s="64"/>
      <c r="M89" s="49" t="s">
        <v>427</v>
      </c>
      <c r="N89" s="49">
        <v>2572</v>
      </c>
      <c r="O89" s="65" t="s">
        <v>287</v>
      </c>
      <c r="P89" s="49" t="str">
        <f t="shared" si="20"/>
        <v>29/10/2020</v>
      </c>
      <c r="Q89" s="68">
        <f t="shared" si="21"/>
        <v>4</v>
      </c>
      <c r="R89" s="68">
        <f t="shared" si="22"/>
        <v>7</v>
      </c>
      <c r="S89" s="68">
        <f t="shared" si="23"/>
        <v>22</v>
      </c>
      <c r="T89" s="65"/>
      <c r="U89" s="65"/>
      <c r="V89" s="49" t="str">
        <f t="shared" si="24"/>
        <v/>
      </c>
      <c r="W89" s="68">
        <f>IF(V89="",0,DATEDIF(V89,P89,"Y"))</f>
        <v>0</v>
      </c>
      <c r="X89" s="68">
        <f>IF(V89="",0,DATEDIF(V89,P89,"YM"))</f>
        <v>0</v>
      </c>
      <c r="Y89" s="68">
        <f>IF(V89="",0,DATEDIF(V89,P89,"MD"))</f>
        <v>0</v>
      </c>
      <c r="Z89" s="49"/>
      <c r="AA89" s="65"/>
      <c r="AB89" s="50" t="str">
        <f t="shared" si="25"/>
        <v/>
      </c>
      <c r="AC89" s="68">
        <f t="shared" si="26"/>
        <v>0</v>
      </c>
      <c r="AD89" s="68">
        <f t="shared" si="27"/>
        <v>0</v>
      </c>
      <c r="AE89" s="68">
        <f t="shared" si="28"/>
        <v>0</v>
      </c>
      <c r="AF89" s="50"/>
      <c r="AG89" s="50" t="s">
        <v>178</v>
      </c>
      <c r="AH89" s="49" t="str">
        <f>IF(AG89="นิติศาสตร์","K5-LAW","K5-POLICY")</f>
        <v>K5-POLICY</v>
      </c>
      <c r="AI89" s="72" t="str">
        <f>_xlfn.IFS(B89="","",AND(AH89="K5-LAW",AG89="นิติศาสตร์",K89="S2",T89="",Z89=""),P89,AND(AH89="K5-LAW",AG89="นิติศาสตร์",K89="S1",T89="",Z89=""),EDATE(P89,12),AND(AH89="K5-LAW",AG89="นิติศาสตร์",OR(K89="M2",K89="K4"),T89="",Z89=""),EDATE(P89,12*2),AND(AH89="K5-LAW",AG89="นิติศาสตร์",OR(Z89="M2",Z89="K4"),AC89&gt;=2,OR(AB89&lt;V89,AB89&lt;P89)),EDATE(AB89,12*2),AND(AH89="K5-LAW",AG89="นิติศาสตร์",Z89="S1",AC89&gt;=1,OR(AB89&lt;V89,AB89&lt;P89)),EDATE(AB89,12),AND(AH89="K5-LAW",AG89="นิติศาสตร์",OR(T89="M2",T89="K4"),W89&gt;=2,V89&lt;P89),EDATE(V89,12*2),AND(AH89="K5-LAW",AG89="นิติศาสตร์",T89="S1",W89&gt;=1,V89&lt;P89),EDATE(V89,12),AND(AH89="K5-LAW",AG89="นิติศาสตร์",OR(T89="S2",T89="K5")),V89,AND(AH89="K5-LAW",AG89="นิติศาสตร์",OR(K89="M2",K89="K4"),Q89&gt;=2),EDATE(P89,12*2),AND(AH89="K5-LAW",AG89="นิติศาสตร์",K89="S1",Q89&gt;=1),EDATE(P89,12),AND(AH89="K5-LAW",AG89="นิติศาสตร์",OR(K89="S2",K89="K5")),P89,AND(AH89="K5-POLICY",AG89&lt;&gt;"นิติศาสตร์",K89="S2",T89="",Z89=""),P89,AND(AH89="K5-POLICY",AG89&lt;&gt;"นิติศาสตร์",K89="S1",T89="",Z89=""),EDATE(P89,12),AND(AH89="K5-POLICY",AG89&lt;&gt;"นิติศาสตร์",OR(K89="M2",K89="K4"),T89="",Z89=""),EDATE(P89,12*2),AND(AH89="K5-POLICY",AG89&lt;&gt;"นิติศาสตร์",OR(Z89="M2",Z89="K4"),AC89&gt;=2,OR(AB89&lt;V89,AB89&lt;P89)),EDATE(AB89,12*2),AND(AH89="K5-POLICY",AG89&lt;&gt;"นิติศาสตร์",Z89="S1",AC89&gt;=1,OR(AB89&lt;V89,AB89&lt;P89)),EDATE(AB89,12),AND(AH89="K5-POLICY",AG89&lt;&gt;"นิติศาสตร์",OR(T89="M2",T89="K4"),W89&gt;=2,V89&lt;P89),EDATE(V89,12*2),AND(AH89="K5-POLICY",AG89&lt;&gt;"นิติศาสตร์",T89="S1",W89&gt;=1,V89&lt;P89),EDATE(V89,12),AND(AH89="K5-POLICY",AG89&lt;&gt;"นิติศาสตร์",OR(T89="S2",T89="K5")),V89,AND(AH89="K5-POLICY",AG89&lt;&gt;"นิติศาสตร์",OR(K89="M2",K89="K4"),Q89&gt;=2),EDATE(P89,12*2),AND(AH89="K5-POLICY",AG89&lt;&gt;"นิติศาสตร์",K89="S1",Q89&gt;=1),EDATE(P89,12),AND(AH89="K5-POLICY",AG89&lt;&gt;"นิติศาสตร์",OR(K89="S2",K89="K5")),P89,TRUE,"Check Data")</f>
        <v/>
      </c>
      <c r="AJ89" s="75" t="str">
        <f t="shared" si="29"/>
        <v>Check Data</v>
      </c>
      <c r="AK89" s="76" t="str">
        <f t="shared" si="30"/>
        <v>Check Data</v>
      </c>
      <c r="AL89" s="50" t="str">
        <f t="shared" si="31"/>
        <v>Check Data</v>
      </c>
      <c r="AM89" s="49" t="str">
        <f>IF(B89="","",IF(K89="S1","S1",INDEX(#REF!,#REF!)))</f>
        <v/>
      </c>
      <c r="AN89" s="49" t="str">
        <f>K89</f>
        <v>M2</v>
      </c>
      <c r="AO89" s="50" t="b">
        <f>K89=AM89</f>
        <v>0</v>
      </c>
      <c r="AP89" s="50"/>
    </row>
    <row r="90" spans="1:42" ht="21.75">
      <c r="A90" s="49">
        <v>88</v>
      </c>
      <c r="B90" s="50"/>
      <c r="C90" s="50"/>
      <c r="D90" s="50" t="s">
        <v>143</v>
      </c>
      <c r="E90" s="49" t="s">
        <v>354</v>
      </c>
      <c r="F90" s="49" t="str">
        <f t="shared" si="16"/>
        <v>06/03/1996</v>
      </c>
      <c r="G90" s="50">
        <f t="shared" si="17"/>
        <v>29</v>
      </c>
      <c r="H90" s="50">
        <f t="shared" si="18"/>
        <v>3</v>
      </c>
      <c r="I90" s="50">
        <f t="shared" si="19"/>
        <v>14</v>
      </c>
      <c r="J90" s="59"/>
      <c r="K90" s="49" t="s">
        <v>136</v>
      </c>
      <c r="L90" s="64"/>
      <c r="M90" s="49" t="s">
        <v>427</v>
      </c>
      <c r="N90" s="49">
        <v>2573</v>
      </c>
      <c r="O90" s="65" t="s">
        <v>287</v>
      </c>
      <c r="P90" s="49" t="str">
        <f t="shared" si="20"/>
        <v>29/10/2020</v>
      </c>
      <c r="Q90" s="68">
        <f t="shared" si="21"/>
        <v>4</v>
      </c>
      <c r="R90" s="68">
        <f t="shared" si="22"/>
        <v>7</v>
      </c>
      <c r="S90" s="68">
        <f t="shared" si="23"/>
        <v>22</v>
      </c>
      <c r="T90" s="65"/>
      <c r="U90" s="65"/>
      <c r="V90" s="49" t="str">
        <f t="shared" si="24"/>
        <v/>
      </c>
      <c r="W90" s="68">
        <f>IF(V90="",0,DATEDIF(V90,P90,"Y"))</f>
        <v>0</v>
      </c>
      <c r="X90" s="68">
        <f>IF(V90="",0,DATEDIF(V90,P90,"YM"))</f>
        <v>0</v>
      </c>
      <c r="Y90" s="68">
        <f>IF(V90="",0,DATEDIF(V90,P90,"MD"))</f>
        <v>0</v>
      </c>
      <c r="Z90" s="49"/>
      <c r="AA90" s="65"/>
      <c r="AB90" s="50" t="str">
        <f t="shared" si="25"/>
        <v/>
      </c>
      <c r="AC90" s="68">
        <f t="shared" si="26"/>
        <v>0</v>
      </c>
      <c r="AD90" s="68">
        <f t="shared" si="27"/>
        <v>0</v>
      </c>
      <c r="AE90" s="68">
        <f t="shared" si="28"/>
        <v>0</v>
      </c>
      <c r="AF90" s="50"/>
      <c r="AG90" s="50" t="s">
        <v>486</v>
      </c>
      <c r="AH90" s="49" t="str">
        <f>IF(AG90="นิติศาสตร์","K5-LAW","K5-POLICY")</f>
        <v>K5-POLICY</v>
      </c>
      <c r="AI90" s="72" t="str">
        <f>_xlfn.IFS(B90="","",AND(AH90="K5-LAW",AG90="นิติศาสตร์",K90="S2",T90="",Z90=""),P90,AND(AH90="K5-LAW",AG90="นิติศาสตร์",K90="S1",T90="",Z90=""),EDATE(P90,12),AND(AH90="K5-LAW",AG90="นิติศาสตร์",OR(K90="M2",K90="K4"),T90="",Z90=""),EDATE(P90,12*2),AND(AH90="K5-LAW",AG90="นิติศาสตร์",OR(Z90="M2",Z90="K4"),AC90&gt;=2,OR(AB90&lt;V90,AB90&lt;P90)),EDATE(AB90,12*2),AND(AH90="K5-LAW",AG90="นิติศาสตร์",Z90="S1",AC90&gt;=1,OR(AB90&lt;V90,AB90&lt;P90)),EDATE(AB90,12),AND(AH90="K5-LAW",AG90="นิติศาสตร์",OR(T90="M2",T90="K4"),W90&gt;=2,V90&lt;P90),EDATE(V90,12*2),AND(AH90="K5-LAW",AG90="นิติศาสตร์",T90="S1",W90&gt;=1,V90&lt;P90),EDATE(V90,12),AND(AH90="K5-LAW",AG90="นิติศาสตร์",OR(T90="S2",T90="K5")),V90,AND(AH90="K5-LAW",AG90="นิติศาสตร์",OR(K90="M2",K90="K4"),Q90&gt;=2),EDATE(P90,12*2),AND(AH90="K5-LAW",AG90="นิติศาสตร์",K90="S1",Q90&gt;=1),EDATE(P90,12),AND(AH90="K5-LAW",AG90="นิติศาสตร์",OR(K90="S2",K90="K5")),P90,AND(AH90="K5-POLICY",AG90&lt;&gt;"นิติศาสตร์",K90="S2",T90="",Z90=""),P90,AND(AH90="K5-POLICY",AG90&lt;&gt;"นิติศาสตร์",K90="S1",T90="",Z90=""),EDATE(P90,12),AND(AH90="K5-POLICY",AG90&lt;&gt;"นิติศาสตร์",OR(K90="M2",K90="K4"),T90="",Z90=""),EDATE(P90,12*2),AND(AH90="K5-POLICY",AG90&lt;&gt;"นิติศาสตร์",OR(Z90="M2",Z90="K4"),AC90&gt;=2,OR(AB90&lt;V90,AB90&lt;P90)),EDATE(AB90,12*2),AND(AH90="K5-POLICY",AG90&lt;&gt;"นิติศาสตร์",Z90="S1",AC90&gt;=1,OR(AB90&lt;V90,AB90&lt;P90)),EDATE(AB90,12),AND(AH90="K5-POLICY",AG90&lt;&gt;"นิติศาสตร์",OR(T90="M2",T90="K4"),W90&gt;=2,V90&lt;P90),EDATE(V90,12*2),AND(AH90="K5-POLICY",AG90&lt;&gt;"นิติศาสตร์",T90="S1",W90&gt;=1,V90&lt;P90),EDATE(V90,12),AND(AH90="K5-POLICY",AG90&lt;&gt;"นิติศาสตร์",OR(T90="S2",T90="K5")),V90,AND(AH90="K5-POLICY",AG90&lt;&gt;"นิติศาสตร์",OR(K90="M2",K90="K4"),Q90&gt;=2),EDATE(P90,12*2),AND(AH90="K5-POLICY",AG90&lt;&gt;"นิติศาสตร์",K90="S1",Q90&gt;=1),EDATE(P90,12),AND(AH90="K5-POLICY",AG90&lt;&gt;"นิติศาสตร์",OR(K90="S2",K90="K5")),P90,TRUE,"Check Data")</f>
        <v/>
      </c>
      <c r="AJ90" s="75" t="str">
        <f t="shared" si="29"/>
        <v>Check Data</v>
      </c>
      <c r="AK90" s="76" t="str">
        <f t="shared" si="30"/>
        <v>Check Data</v>
      </c>
      <c r="AL90" s="50" t="str">
        <f t="shared" si="31"/>
        <v>Check Data</v>
      </c>
      <c r="AM90" s="49" t="str">
        <f>IF(B90="","",IF(K90="S1","S1",INDEX(#REF!,#REF!)))</f>
        <v/>
      </c>
      <c r="AN90" s="49" t="str">
        <f>K90</f>
        <v>M2</v>
      </c>
      <c r="AO90" s="50" t="b">
        <f>K90=AM90</f>
        <v>0</v>
      </c>
      <c r="AP90" s="50"/>
    </row>
    <row r="91" spans="1:42" ht="21.75">
      <c r="A91" s="49">
        <v>89</v>
      </c>
      <c r="B91" s="50"/>
      <c r="C91" s="50"/>
      <c r="D91" s="50" t="s">
        <v>143</v>
      </c>
      <c r="E91" s="49" t="s">
        <v>296</v>
      </c>
      <c r="F91" s="49" t="str">
        <f t="shared" si="16"/>
        <v>02/10/1995</v>
      </c>
      <c r="G91" s="50">
        <f t="shared" si="17"/>
        <v>29</v>
      </c>
      <c r="H91" s="50">
        <f t="shared" si="18"/>
        <v>8</v>
      </c>
      <c r="I91" s="50">
        <f t="shared" si="19"/>
        <v>18</v>
      </c>
      <c r="J91" s="59"/>
      <c r="K91" s="49" t="s">
        <v>136</v>
      </c>
      <c r="L91" s="64"/>
      <c r="M91" s="49" t="s">
        <v>427</v>
      </c>
      <c r="N91" s="49">
        <v>2570</v>
      </c>
      <c r="O91" s="65" t="s">
        <v>287</v>
      </c>
      <c r="P91" s="49" t="str">
        <f t="shared" si="20"/>
        <v>29/10/2020</v>
      </c>
      <c r="Q91" s="68">
        <f t="shared" si="21"/>
        <v>4</v>
      </c>
      <c r="R91" s="68">
        <f t="shared" si="22"/>
        <v>7</v>
      </c>
      <c r="S91" s="68">
        <f t="shared" si="23"/>
        <v>22</v>
      </c>
      <c r="T91" s="65"/>
      <c r="U91" s="65"/>
      <c r="V91" s="49" t="str">
        <f t="shared" si="24"/>
        <v/>
      </c>
      <c r="W91" s="68">
        <f>IF(V91="",0,DATEDIF(V91,P91,"Y"))</f>
        <v>0</v>
      </c>
      <c r="X91" s="68">
        <f>IF(V91="",0,DATEDIF(V91,P91,"YM"))</f>
        <v>0</v>
      </c>
      <c r="Y91" s="68">
        <f>IF(V91="",0,DATEDIF(V91,P91,"MD"))</f>
        <v>0</v>
      </c>
      <c r="Z91" s="49"/>
      <c r="AA91" s="65"/>
      <c r="AB91" s="50" t="str">
        <f t="shared" si="25"/>
        <v/>
      </c>
      <c r="AC91" s="68">
        <f t="shared" si="26"/>
        <v>0</v>
      </c>
      <c r="AD91" s="68">
        <f t="shared" si="27"/>
        <v>0</v>
      </c>
      <c r="AE91" s="68">
        <f t="shared" si="28"/>
        <v>0</v>
      </c>
      <c r="AF91" s="50"/>
      <c r="AG91" s="50" t="s">
        <v>515</v>
      </c>
      <c r="AH91" s="49" t="str">
        <f>IF(AG91="นิติศาสตร์","K5-LAW","K5-POLICY")</f>
        <v>K5-POLICY</v>
      </c>
      <c r="AI91" s="72" t="str">
        <f>_xlfn.IFS(B91="","",AND(AH91="K5-LAW",AG91="นิติศาสตร์",K91="S2",T91="",Z91=""),P91,AND(AH91="K5-LAW",AG91="นิติศาสตร์",K91="S1",T91="",Z91=""),EDATE(P91,12),AND(AH91="K5-LAW",AG91="นิติศาสตร์",OR(K91="M2",K91="K4"),T91="",Z91=""),EDATE(P91,12*2),AND(AH91="K5-LAW",AG91="นิติศาสตร์",OR(Z91="M2",Z91="K4"),AC91&gt;=2,OR(AB91&lt;V91,AB91&lt;P91)),EDATE(AB91,12*2),AND(AH91="K5-LAW",AG91="นิติศาสตร์",Z91="S1",AC91&gt;=1,OR(AB91&lt;V91,AB91&lt;P91)),EDATE(AB91,12),AND(AH91="K5-LAW",AG91="นิติศาสตร์",OR(T91="M2",T91="K4"),W91&gt;=2,V91&lt;P91),EDATE(V91,12*2),AND(AH91="K5-LAW",AG91="นิติศาสตร์",T91="S1",W91&gt;=1,V91&lt;P91),EDATE(V91,12),AND(AH91="K5-LAW",AG91="นิติศาสตร์",OR(T91="S2",T91="K5")),V91,AND(AH91="K5-LAW",AG91="นิติศาสตร์",OR(K91="M2",K91="K4"),Q91&gt;=2),EDATE(P91,12*2),AND(AH91="K5-LAW",AG91="นิติศาสตร์",K91="S1",Q91&gt;=1),EDATE(P91,12),AND(AH91="K5-LAW",AG91="นิติศาสตร์",OR(K91="S2",K91="K5")),P91,AND(AH91="K5-POLICY",AG91&lt;&gt;"นิติศาสตร์",K91="S2",T91="",Z91=""),P91,AND(AH91="K5-POLICY",AG91&lt;&gt;"นิติศาสตร์",K91="S1",T91="",Z91=""),EDATE(P91,12),AND(AH91="K5-POLICY",AG91&lt;&gt;"นิติศาสตร์",OR(K91="M2",K91="K4"),T91="",Z91=""),EDATE(P91,12*2),AND(AH91="K5-POLICY",AG91&lt;&gt;"นิติศาสตร์",OR(Z91="M2",Z91="K4"),AC91&gt;=2,OR(AB91&lt;V91,AB91&lt;P91)),EDATE(AB91,12*2),AND(AH91="K5-POLICY",AG91&lt;&gt;"นิติศาสตร์",Z91="S1",AC91&gt;=1,OR(AB91&lt;V91,AB91&lt;P91)),EDATE(AB91,12),AND(AH91="K5-POLICY",AG91&lt;&gt;"นิติศาสตร์",OR(T91="M2",T91="K4"),W91&gt;=2,V91&lt;P91),EDATE(V91,12*2),AND(AH91="K5-POLICY",AG91&lt;&gt;"นิติศาสตร์",T91="S1",W91&gt;=1,V91&lt;P91),EDATE(V91,12),AND(AH91="K5-POLICY",AG91&lt;&gt;"นิติศาสตร์",OR(T91="S2",T91="K5")),V91,AND(AH91="K5-POLICY",AG91&lt;&gt;"นิติศาสตร์",OR(K91="M2",K91="K4"),Q91&gt;=2),EDATE(P91,12*2),AND(AH91="K5-POLICY",AG91&lt;&gt;"นิติศาสตร์",K91="S1",Q91&gt;=1),EDATE(P91,12),AND(AH91="K5-POLICY",AG91&lt;&gt;"นิติศาสตร์",OR(K91="S2",K91="K5")),P91,TRUE,"Check Data")</f>
        <v/>
      </c>
      <c r="AJ91" s="75" t="str">
        <f t="shared" si="29"/>
        <v>Check Data</v>
      </c>
      <c r="AK91" s="76" t="str">
        <f t="shared" si="30"/>
        <v>Check Data</v>
      </c>
      <c r="AL91" s="50" t="str">
        <f t="shared" si="31"/>
        <v>Check Data</v>
      </c>
      <c r="AM91" s="49" t="str">
        <f>IF(B91="","",IF(K91="S1","S1",INDEX(#REF!,#REF!)))</f>
        <v/>
      </c>
      <c r="AN91" s="49" t="str">
        <f>K91</f>
        <v>M2</v>
      </c>
      <c r="AO91" s="50" t="b">
        <f>K91=AM91</f>
        <v>0</v>
      </c>
      <c r="AP91" s="50"/>
    </row>
    <row r="92" spans="1:42" ht="21.75">
      <c r="A92" s="49">
        <v>90</v>
      </c>
      <c r="B92" s="50"/>
      <c r="C92" s="50"/>
      <c r="D92" s="50" t="s">
        <v>143</v>
      </c>
      <c r="E92" s="49" t="s">
        <v>230</v>
      </c>
      <c r="F92" s="49" t="str">
        <f t="shared" si="16"/>
        <v>03/11/1997</v>
      </c>
      <c r="G92" s="50">
        <f t="shared" si="17"/>
        <v>27</v>
      </c>
      <c r="H92" s="50">
        <f t="shared" si="18"/>
        <v>7</v>
      </c>
      <c r="I92" s="50">
        <f t="shared" si="19"/>
        <v>17</v>
      </c>
      <c r="J92" s="59"/>
      <c r="K92" s="49" t="s">
        <v>136</v>
      </c>
      <c r="L92" s="64"/>
      <c r="M92" s="49" t="s">
        <v>427</v>
      </c>
      <c r="N92" s="49">
        <v>2576</v>
      </c>
      <c r="O92" s="65" t="s">
        <v>287</v>
      </c>
      <c r="P92" s="49" t="str">
        <f t="shared" si="20"/>
        <v>29/10/2020</v>
      </c>
      <c r="Q92" s="68">
        <f t="shared" si="21"/>
        <v>4</v>
      </c>
      <c r="R92" s="68">
        <f t="shared" si="22"/>
        <v>7</v>
      </c>
      <c r="S92" s="68">
        <f t="shared" si="23"/>
        <v>22</v>
      </c>
      <c r="T92" s="65"/>
      <c r="U92" s="65"/>
      <c r="V92" s="49" t="str">
        <f t="shared" si="24"/>
        <v/>
      </c>
      <c r="W92" s="68">
        <f>IF(V92="",0,DATEDIF(V92,P92,"Y"))</f>
        <v>0</v>
      </c>
      <c r="X92" s="68">
        <f>IF(V92="",0,DATEDIF(V92,P92,"YM"))</f>
        <v>0</v>
      </c>
      <c r="Y92" s="68">
        <f>IF(V92="",0,DATEDIF(V92,P92,"MD"))</f>
        <v>0</v>
      </c>
      <c r="Z92" s="49"/>
      <c r="AA92" s="65"/>
      <c r="AB92" s="50" t="str">
        <f t="shared" si="25"/>
        <v/>
      </c>
      <c r="AC92" s="68">
        <f t="shared" si="26"/>
        <v>0</v>
      </c>
      <c r="AD92" s="68">
        <f t="shared" si="27"/>
        <v>0</v>
      </c>
      <c r="AE92" s="68">
        <f t="shared" si="28"/>
        <v>0</v>
      </c>
      <c r="AF92" s="50"/>
      <c r="AG92" s="50" t="s">
        <v>138</v>
      </c>
      <c r="AH92" s="49" t="str">
        <f>IF(AG92="นิติศาสตร์","K5-LAW","K5-POLICY")</f>
        <v>K5-LAW</v>
      </c>
      <c r="AI92" s="72" t="str">
        <f>_xlfn.IFS(B92="","",AND(AH92="K5-LAW",AG92="นิติศาสตร์",K92="S2",T92="",Z92=""),P92,AND(AH92="K5-LAW",AG92="นิติศาสตร์",K92="S1",T92="",Z92=""),EDATE(P92,12),AND(AH92="K5-LAW",AG92="นิติศาสตร์",OR(K92="M2",K92="K4"),T92="",Z92=""),EDATE(P92,12*2),AND(AH92="K5-LAW",AG92="นิติศาสตร์",OR(Z92="M2",Z92="K4"),AC92&gt;=2,OR(AB92&lt;V92,AB92&lt;P92)),EDATE(AB92,12*2),AND(AH92="K5-LAW",AG92="นิติศาสตร์",Z92="S1",AC92&gt;=1,OR(AB92&lt;V92,AB92&lt;P92)),EDATE(AB92,12),AND(AH92="K5-LAW",AG92="นิติศาสตร์",OR(T92="M2",T92="K4"),W92&gt;=2,V92&lt;P92),EDATE(V92,12*2),AND(AH92="K5-LAW",AG92="นิติศาสตร์",T92="S1",W92&gt;=1,V92&lt;P92),EDATE(V92,12),AND(AH92="K5-LAW",AG92="นิติศาสตร์",OR(T92="S2",T92="K5")),V92,AND(AH92="K5-LAW",AG92="นิติศาสตร์",OR(K92="M2",K92="K4"),Q92&gt;=2),EDATE(P92,12*2),AND(AH92="K5-LAW",AG92="นิติศาสตร์",K92="S1",Q92&gt;=1),EDATE(P92,12),AND(AH92="K5-LAW",AG92="นิติศาสตร์",OR(K92="S2",K92="K5")),P92,AND(AH92="K5-POLICY",AG92&lt;&gt;"นิติศาสตร์",K92="S2",T92="",Z92=""),P92,AND(AH92="K5-POLICY",AG92&lt;&gt;"นิติศาสตร์",K92="S1",T92="",Z92=""),EDATE(P92,12),AND(AH92="K5-POLICY",AG92&lt;&gt;"นิติศาสตร์",OR(K92="M2",K92="K4"),T92="",Z92=""),EDATE(P92,12*2),AND(AH92="K5-POLICY",AG92&lt;&gt;"นิติศาสตร์",OR(Z92="M2",Z92="K4"),AC92&gt;=2,OR(AB92&lt;V92,AB92&lt;P92)),EDATE(AB92,12*2),AND(AH92="K5-POLICY",AG92&lt;&gt;"นิติศาสตร์",Z92="S1",AC92&gt;=1,OR(AB92&lt;V92,AB92&lt;P92)),EDATE(AB92,12),AND(AH92="K5-POLICY",AG92&lt;&gt;"นิติศาสตร์",OR(T92="M2",T92="K4"),W92&gt;=2,V92&lt;P92),EDATE(V92,12*2),AND(AH92="K5-POLICY",AG92&lt;&gt;"นิติศาสตร์",T92="S1",W92&gt;=1,V92&lt;P92),EDATE(V92,12),AND(AH92="K5-POLICY",AG92&lt;&gt;"นิติศาสตร์",OR(T92="S2",T92="K5")),V92,AND(AH92="K5-POLICY",AG92&lt;&gt;"นิติศาสตร์",OR(K92="M2",K92="K4"),Q92&gt;=2),EDATE(P92,12*2),AND(AH92="K5-POLICY",AG92&lt;&gt;"นิติศาสตร์",K92="S1",Q92&gt;=1),EDATE(P92,12),AND(AH92="K5-POLICY",AG92&lt;&gt;"นิติศาสตร์",OR(K92="S2",K92="K5")),P92,TRUE,"Check Data")</f>
        <v/>
      </c>
      <c r="AJ92" s="75" t="str">
        <f t="shared" si="29"/>
        <v>Check Data</v>
      </c>
      <c r="AK92" s="76" t="str">
        <f t="shared" si="30"/>
        <v>Check Data</v>
      </c>
      <c r="AL92" s="50" t="str">
        <f t="shared" si="31"/>
        <v>Check Data</v>
      </c>
      <c r="AM92" s="49" t="str">
        <f>IF(B92="","",IF(K92="S1","S1",INDEX(#REF!,#REF!)))</f>
        <v/>
      </c>
      <c r="AN92" s="49" t="str">
        <f>K92</f>
        <v>M2</v>
      </c>
      <c r="AO92" s="50" t="b">
        <f>K92=AM92</f>
        <v>0</v>
      </c>
      <c r="AP92" s="50"/>
    </row>
    <row r="93" spans="1:42" ht="21.75">
      <c r="A93" s="49">
        <v>91</v>
      </c>
      <c r="B93" s="50"/>
      <c r="C93" s="50"/>
      <c r="D93" s="50" t="s">
        <v>143</v>
      </c>
      <c r="E93" s="49" t="s">
        <v>334</v>
      </c>
      <c r="F93" s="49" t="str">
        <f t="shared" si="16"/>
        <v>23/08/1996</v>
      </c>
      <c r="G93" s="50">
        <f t="shared" si="17"/>
        <v>28</v>
      </c>
      <c r="H93" s="50">
        <f t="shared" si="18"/>
        <v>9</v>
      </c>
      <c r="I93" s="50">
        <f t="shared" si="19"/>
        <v>28</v>
      </c>
      <c r="J93" s="59"/>
      <c r="K93" s="49" t="s">
        <v>136</v>
      </c>
      <c r="L93" s="64"/>
      <c r="M93" s="49" t="s">
        <v>427</v>
      </c>
      <c r="N93" s="49">
        <v>2576</v>
      </c>
      <c r="O93" s="65" t="s">
        <v>287</v>
      </c>
      <c r="P93" s="49" t="str">
        <f t="shared" si="20"/>
        <v>29/10/2020</v>
      </c>
      <c r="Q93" s="68">
        <f t="shared" si="21"/>
        <v>4</v>
      </c>
      <c r="R93" s="68">
        <f t="shared" si="22"/>
        <v>7</v>
      </c>
      <c r="S93" s="68">
        <f t="shared" si="23"/>
        <v>22</v>
      </c>
      <c r="T93" s="65"/>
      <c r="U93" s="65"/>
      <c r="V93" s="49" t="str">
        <f t="shared" si="24"/>
        <v/>
      </c>
      <c r="W93" s="68">
        <f>IF(V93="",0,DATEDIF(V93,P93,"Y"))</f>
        <v>0</v>
      </c>
      <c r="X93" s="68">
        <f>IF(V93="",0,DATEDIF(V93,P93,"YM"))</f>
        <v>0</v>
      </c>
      <c r="Y93" s="68">
        <f>IF(V93="",0,DATEDIF(V93,P93,"MD"))</f>
        <v>0</v>
      </c>
      <c r="Z93" s="49"/>
      <c r="AA93" s="65"/>
      <c r="AB93" s="50" t="str">
        <f t="shared" si="25"/>
        <v/>
      </c>
      <c r="AC93" s="68">
        <f t="shared" si="26"/>
        <v>0</v>
      </c>
      <c r="AD93" s="68">
        <f t="shared" si="27"/>
        <v>0</v>
      </c>
      <c r="AE93" s="68">
        <f t="shared" si="28"/>
        <v>0</v>
      </c>
      <c r="AF93" s="50"/>
      <c r="AG93" s="50" t="s">
        <v>513</v>
      </c>
      <c r="AH93" s="49" t="str">
        <f>IF(AG93="นิติศาสตร์","K5-LAW","K5-POLICY")</f>
        <v>K5-POLICY</v>
      </c>
      <c r="AI93" s="72" t="str">
        <f>_xlfn.IFS(B93="","",AND(AH93="K5-LAW",AG93="นิติศาสตร์",K93="S2",T93="",Z93=""),P93,AND(AH93="K5-LAW",AG93="นิติศาสตร์",K93="S1",T93="",Z93=""),EDATE(P93,12),AND(AH93="K5-LAW",AG93="นิติศาสตร์",OR(K93="M2",K93="K4"),T93="",Z93=""),EDATE(P93,12*2),AND(AH93="K5-LAW",AG93="นิติศาสตร์",OR(Z93="M2",Z93="K4"),AC93&gt;=2,OR(AB93&lt;V93,AB93&lt;P93)),EDATE(AB93,12*2),AND(AH93="K5-LAW",AG93="นิติศาสตร์",Z93="S1",AC93&gt;=1,OR(AB93&lt;V93,AB93&lt;P93)),EDATE(AB93,12),AND(AH93="K5-LAW",AG93="นิติศาสตร์",OR(T93="M2",T93="K4"),W93&gt;=2,V93&lt;P93),EDATE(V93,12*2),AND(AH93="K5-LAW",AG93="นิติศาสตร์",T93="S1",W93&gt;=1,V93&lt;P93),EDATE(V93,12),AND(AH93="K5-LAW",AG93="นิติศาสตร์",OR(T93="S2",T93="K5")),V93,AND(AH93="K5-LAW",AG93="นิติศาสตร์",OR(K93="M2",K93="K4"),Q93&gt;=2),EDATE(P93,12*2),AND(AH93="K5-LAW",AG93="นิติศาสตร์",K93="S1",Q93&gt;=1),EDATE(P93,12),AND(AH93="K5-LAW",AG93="นิติศาสตร์",OR(K93="S2",K93="K5")),P93,AND(AH93="K5-POLICY",AG93&lt;&gt;"นิติศาสตร์",K93="S2",T93="",Z93=""),P93,AND(AH93="K5-POLICY",AG93&lt;&gt;"นิติศาสตร์",K93="S1",T93="",Z93=""),EDATE(P93,12),AND(AH93="K5-POLICY",AG93&lt;&gt;"นิติศาสตร์",OR(K93="M2",K93="K4"),T93="",Z93=""),EDATE(P93,12*2),AND(AH93="K5-POLICY",AG93&lt;&gt;"นิติศาสตร์",OR(Z93="M2",Z93="K4"),AC93&gt;=2,OR(AB93&lt;V93,AB93&lt;P93)),EDATE(AB93,12*2),AND(AH93="K5-POLICY",AG93&lt;&gt;"นิติศาสตร์",Z93="S1",AC93&gt;=1,OR(AB93&lt;V93,AB93&lt;P93)),EDATE(AB93,12),AND(AH93="K5-POLICY",AG93&lt;&gt;"นิติศาสตร์",OR(T93="M2",T93="K4"),W93&gt;=2,V93&lt;P93),EDATE(V93,12*2),AND(AH93="K5-POLICY",AG93&lt;&gt;"นิติศาสตร์",T93="S1",W93&gt;=1,V93&lt;P93),EDATE(V93,12),AND(AH93="K5-POLICY",AG93&lt;&gt;"นิติศาสตร์",OR(T93="S2",T93="K5")),V93,AND(AH93="K5-POLICY",AG93&lt;&gt;"นิติศาสตร์",OR(K93="M2",K93="K4"),Q93&gt;=2),EDATE(P93,12*2),AND(AH93="K5-POLICY",AG93&lt;&gt;"นิติศาสตร์",K93="S1",Q93&gt;=1),EDATE(P93,12),AND(AH93="K5-POLICY",AG93&lt;&gt;"นิติศาสตร์",OR(K93="S2",K93="K5")),P93,TRUE,"Check Data")</f>
        <v/>
      </c>
      <c r="AJ93" s="75" t="str">
        <f t="shared" si="29"/>
        <v>Check Data</v>
      </c>
      <c r="AK93" s="76" t="str">
        <f t="shared" si="30"/>
        <v>Check Data</v>
      </c>
      <c r="AL93" s="50" t="str">
        <f t="shared" si="31"/>
        <v>Check Data</v>
      </c>
      <c r="AM93" s="49" t="str">
        <f>IF(B93="","",IF(K93="S1","S1",INDEX(#REF!,#REF!)))</f>
        <v/>
      </c>
      <c r="AN93" s="49" t="str">
        <f>K93</f>
        <v>M2</v>
      </c>
      <c r="AO93" s="50" t="b">
        <f>K93=AM93</f>
        <v>0</v>
      </c>
      <c r="AP93" s="50"/>
    </row>
    <row r="94" spans="1:42" ht="21.75">
      <c r="A94" s="49">
        <v>92</v>
      </c>
      <c r="B94" s="50"/>
      <c r="C94" s="50"/>
      <c r="D94" s="50" t="s">
        <v>143</v>
      </c>
      <c r="E94" s="49" t="s">
        <v>302</v>
      </c>
      <c r="F94" s="49" t="str">
        <f t="shared" si="16"/>
        <v>27/12/1989</v>
      </c>
      <c r="G94" s="50">
        <f t="shared" si="17"/>
        <v>35</v>
      </c>
      <c r="H94" s="50">
        <f t="shared" si="18"/>
        <v>5</v>
      </c>
      <c r="I94" s="50">
        <f t="shared" si="19"/>
        <v>24</v>
      </c>
      <c r="J94" s="59"/>
      <c r="K94" s="49" t="s">
        <v>136</v>
      </c>
      <c r="L94" s="64"/>
      <c r="M94" s="49" t="s">
        <v>427</v>
      </c>
      <c r="N94" s="49">
        <v>2571</v>
      </c>
      <c r="O94" s="65" t="s">
        <v>287</v>
      </c>
      <c r="P94" s="49" t="str">
        <f t="shared" si="20"/>
        <v>29/10/2020</v>
      </c>
      <c r="Q94" s="68">
        <f t="shared" si="21"/>
        <v>4</v>
      </c>
      <c r="R94" s="68">
        <f t="shared" si="22"/>
        <v>7</v>
      </c>
      <c r="S94" s="68">
        <f t="shared" si="23"/>
        <v>22</v>
      </c>
      <c r="T94" s="65"/>
      <c r="U94" s="65"/>
      <c r="V94" s="49" t="str">
        <f t="shared" si="24"/>
        <v/>
      </c>
      <c r="W94" s="68">
        <f>IF(V94="",0,DATEDIF(V94,P94,"Y"))</f>
        <v>0</v>
      </c>
      <c r="X94" s="68">
        <f>IF(V94="",0,DATEDIF(V94,P94,"YM"))</f>
        <v>0</v>
      </c>
      <c r="Y94" s="68">
        <f>IF(V94="",0,DATEDIF(V94,P94,"MD"))</f>
        <v>0</v>
      </c>
      <c r="Z94" s="49"/>
      <c r="AA94" s="65"/>
      <c r="AB94" s="50" t="str">
        <f t="shared" si="25"/>
        <v/>
      </c>
      <c r="AC94" s="68">
        <f t="shared" si="26"/>
        <v>0</v>
      </c>
      <c r="AD94" s="68">
        <f t="shared" si="27"/>
        <v>0</v>
      </c>
      <c r="AE94" s="68">
        <f t="shared" si="28"/>
        <v>0</v>
      </c>
      <c r="AF94" s="50"/>
      <c r="AG94" s="50" t="s">
        <v>167</v>
      </c>
      <c r="AH94" s="49" t="str">
        <f>IF(AG94="นิติศาสตร์","K5-LAW","K5-POLICY")</f>
        <v>K5-POLICY</v>
      </c>
      <c r="AI94" s="72" t="str">
        <f>_xlfn.IFS(B94="","",AND(AH94="K5-LAW",AG94="นิติศาสตร์",K94="S2",T94="",Z94=""),P94,AND(AH94="K5-LAW",AG94="นิติศาสตร์",K94="S1",T94="",Z94=""),EDATE(P94,12),AND(AH94="K5-LAW",AG94="นิติศาสตร์",OR(K94="M2",K94="K4"),T94="",Z94=""),EDATE(P94,12*2),AND(AH94="K5-LAW",AG94="นิติศาสตร์",OR(Z94="M2",Z94="K4"),AC94&gt;=2,OR(AB94&lt;V94,AB94&lt;P94)),EDATE(AB94,12*2),AND(AH94="K5-LAW",AG94="นิติศาสตร์",Z94="S1",AC94&gt;=1,OR(AB94&lt;V94,AB94&lt;P94)),EDATE(AB94,12),AND(AH94="K5-LAW",AG94="นิติศาสตร์",OR(T94="M2",T94="K4"),W94&gt;=2,V94&lt;P94),EDATE(V94,12*2),AND(AH94="K5-LAW",AG94="นิติศาสตร์",T94="S1",W94&gt;=1,V94&lt;P94),EDATE(V94,12),AND(AH94="K5-LAW",AG94="นิติศาสตร์",OR(T94="S2",T94="K5")),V94,AND(AH94="K5-LAW",AG94="นิติศาสตร์",OR(K94="M2",K94="K4"),Q94&gt;=2),EDATE(P94,12*2),AND(AH94="K5-LAW",AG94="นิติศาสตร์",K94="S1",Q94&gt;=1),EDATE(P94,12),AND(AH94="K5-LAW",AG94="นิติศาสตร์",OR(K94="S2",K94="K5")),P94,AND(AH94="K5-POLICY",AG94&lt;&gt;"นิติศาสตร์",K94="S2",T94="",Z94=""),P94,AND(AH94="K5-POLICY",AG94&lt;&gt;"นิติศาสตร์",K94="S1",T94="",Z94=""),EDATE(P94,12),AND(AH94="K5-POLICY",AG94&lt;&gt;"นิติศาสตร์",OR(K94="M2",K94="K4"),T94="",Z94=""),EDATE(P94,12*2),AND(AH94="K5-POLICY",AG94&lt;&gt;"นิติศาสตร์",OR(Z94="M2",Z94="K4"),AC94&gt;=2,OR(AB94&lt;V94,AB94&lt;P94)),EDATE(AB94,12*2),AND(AH94="K5-POLICY",AG94&lt;&gt;"นิติศาสตร์",Z94="S1",AC94&gt;=1,OR(AB94&lt;V94,AB94&lt;P94)),EDATE(AB94,12),AND(AH94="K5-POLICY",AG94&lt;&gt;"นิติศาสตร์",OR(T94="M2",T94="K4"),W94&gt;=2,V94&lt;P94),EDATE(V94,12*2),AND(AH94="K5-POLICY",AG94&lt;&gt;"นิติศาสตร์",T94="S1",W94&gt;=1,V94&lt;P94),EDATE(V94,12),AND(AH94="K5-POLICY",AG94&lt;&gt;"นิติศาสตร์",OR(T94="S2",T94="K5")),V94,AND(AH94="K5-POLICY",AG94&lt;&gt;"นิติศาสตร์",OR(K94="M2",K94="K4"),Q94&gt;=2),EDATE(P94,12*2),AND(AH94="K5-POLICY",AG94&lt;&gt;"นิติศาสตร์",K94="S1",Q94&gt;=1),EDATE(P94,12),AND(AH94="K5-POLICY",AG94&lt;&gt;"นิติศาสตร์",OR(K94="S2",K94="K5")),P94,TRUE,"Check Data")</f>
        <v/>
      </c>
      <c r="AJ94" s="75" t="str">
        <f t="shared" si="29"/>
        <v>Check Data</v>
      </c>
      <c r="AK94" s="76" t="str">
        <f t="shared" si="30"/>
        <v>Check Data</v>
      </c>
      <c r="AL94" s="50" t="str">
        <f t="shared" si="31"/>
        <v>Check Data</v>
      </c>
      <c r="AM94" s="49" t="str">
        <f>IF(B94="","",IF(K94="S1","S1",INDEX(#REF!,#REF!)))</f>
        <v/>
      </c>
      <c r="AN94" s="49" t="str">
        <f>K94</f>
        <v>M2</v>
      </c>
      <c r="AO94" s="50" t="b">
        <f>K94=AM94</f>
        <v>0</v>
      </c>
      <c r="AP94" s="50"/>
    </row>
    <row r="95" spans="1:42" ht="21.75">
      <c r="A95" s="49">
        <v>93</v>
      </c>
      <c r="B95" s="50"/>
      <c r="C95" s="50"/>
      <c r="D95" s="50" t="s">
        <v>143</v>
      </c>
      <c r="E95" s="49" t="s">
        <v>324</v>
      </c>
      <c r="F95" s="49" t="str">
        <f t="shared" si="16"/>
        <v>01/09/1999</v>
      </c>
      <c r="G95" s="50">
        <f t="shared" si="17"/>
        <v>25</v>
      </c>
      <c r="H95" s="50">
        <f t="shared" si="18"/>
        <v>9</v>
      </c>
      <c r="I95" s="50">
        <f t="shared" si="19"/>
        <v>19</v>
      </c>
      <c r="J95" s="59"/>
      <c r="K95" s="49" t="s">
        <v>136</v>
      </c>
      <c r="L95" s="64"/>
      <c r="M95" s="49" t="s">
        <v>427</v>
      </c>
      <c r="N95" s="49">
        <v>2575</v>
      </c>
      <c r="O95" s="65" t="s">
        <v>287</v>
      </c>
      <c r="P95" s="49" t="str">
        <f t="shared" si="20"/>
        <v>29/10/2020</v>
      </c>
      <c r="Q95" s="68">
        <f t="shared" si="21"/>
        <v>4</v>
      </c>
      <c r="R95" s="68">
        <f t="shared" si="22"/>
        <v>7</v>
      </c>
      <c r="S95" s="68">
        <f t="shared" si="23"/>
        <v>22</v>
      </c>
      <c r="T95" s="65"/>
      <c r="U95" s="65"/>
      <c r="V95" s="49" t="str">
        <f t="shared" si="24"/>
        <v/>
      </c>
      <c r="W95" s="68">
        <f>IF(V95="",0,DATEDIF(V95,P95,"Y"))</f>
        <v>0</v>
      </c>
      <c r="X95" s="68">
        <f>IF(V95="",0,DATEDIF(V95,P95,"YM"))</f>
        <v>0</v>
      </c>
      <c r="Y95" s="68">
        <f>IF(V95="",0,DATEDIF(V95,P95,"MD"))</f>
        <v>0</v>
      </c>
      <c r="Z95" s="49"/>
      <c r="AA95" s="65"/>
      <c r="AB95" s="50" t="str">
        <f t="shared" si="25"/>
        <v/>
      </c>
      <c r="AC95" s="68">
        <f t="shared" si="26"/>
        <v>0</v>
      </c>
      <c r="AD95" s="68">
        <f t="shared" si="27"/>
        <v>0</v>
      </c>
      <c r="AE95" s="68">
        <f t="shared" si="28"/>
        <v>0</v>
      </c>
      <c r="AF95" s="50"/>
      <c r="AG95" s="50" t="s">
        <v>512</v>
      </c>
      <c r="AH95" s="49" t="str">
        <f>IF(AG95="นิติศาสตร์","K5-LAW","K5-POLICY")</f>
        <v>K5-POLICY</v>
      </c>
      <c r="AI95" s="72" t="str">
        <f>_xlfn.IFS(B95="","",AND(AH95="K5-LAW",AG95="นิติศาสตร์",K95="S2",T95="",Z95=""),P95,AND(AH95="K5-LAW",AG95="นิติศาสตร์",K95="S1",T95="",Z95=""),EDATE(P95,12),AND(AH95="K5-LAW",AG95="นิติศาสตร์",OR(K95="M2",K95="K4"),T95="",Z95=""),EDATE(P95,12*2),AND(AH95="K5-LAW",AG95="นิติศาสตร์",OR(Z95="M2",Z95="K4"),AC95&gt;=2,OR(AB95&lt;V95,AB95&lt;P95)),EDATE(AB95,12*2),AND(AH95="K5-LAW",AG95="นิติศาสตร์",Z95="S1",AC95&gt;=1,OR(AB95&lt;V95,AB95&lt;P95)),EDATE(AB95,12),AND(AH95="K5-LAW",AG95="นิติศาสตร์",OR(T95="M2",T95="K4"),W95&gt;=2,V95&lt;P95),EDATE(V95,12*2),AND(AH95="K5-LAW",AG95="นิติศาสตร์",T95="S1",W95&gt;=1,V95&lt;P95),EDATE(V95,12),AND(AH95="K5-LAW",AG95="นิติศาสตร์",OR(T95="S2",T95="K5")),V95,AND(AH95="K5-LAW",AG95="นิติศาสตร์",OR(K95="M2",K95="K4"),Q95&gt;=2),EDATE(P95,12*2),AND(AH95="K5-LAW",AG95="นิติศาสตร์",K95="S1",Q95&gt;=1),EDATE(P95,12),AND(AH95="K5-LAW",AG95="นิติศาสตร์",OR(K95="S2",K95="K5")),P95,AND(AH95="K5-POLICY",AG95&lt;&gt;"นิติศาสตร์",K95="S2",T95="",Z95=""),P95,AND(AH95="K5-POLICY",AG95&lt;&gt;"นิติศาสตร์",K95="S1",T95="",Z95=""),EDATE(P95,12),AND(AH95="K5-POLICY",AG95&lt;&gt;"นิติศาสตร์",OR(K95="M2",K95="K4"),T95="",Z95=""),EDATE(P95,12*2),AND(AH95="K5-POLICY",AG95&lt;&gt;"นิติศาสตร์",OR(Z95="M2",Z95="K4"),AC95&gt;=2,OR(AB95&lt;V95,AB95&lt;P95)),EDATE(AB95,12*2),AND(AH95="K5-POLICY",AG95&lt;&gt;"นิติศาสตร์",Z95="S1",AC95&gt;=1,OR(AB95&lt;V95,AB95&lt;P95)),EDATE(AB95,12),AND(AH95="K5-POLICY",AG95&lt;&gt;"นิติศาสตร์",OR(T95="M2",T95="K4"),W95&gt;=2,V95&lt;P95),EDATE(V95,12*2),AND(AH95="K5-POLICY",AG95&lt;&gt;"นิติศาสตร์",T95="S1",W95&gt;=1,V95&lt;P95),EDATE(V95,12),AND(AH95="K5-POLICY",AG95&lt;&gt;"นิติศาสตร์",OR(T95="S2",T95="K5")),V95,AND(AH95="K5-POLICY",AG95&lt;&gt;"นิติศาสตร์",OR(K95="M2",K95="K4"),Q95&gt;=2),EDATE(P95,12*2),AND(AH95="K5-POLICY",AG95&lt;&gt;"นิติศาสตร์",K95="S1",Q95&gt;=1),EDATE(P95,12),AND(AH95="K5-POLICY",AG95&lt;&gt;"นิติศาสตร์",OR(K95="S2",K95="K5")),P95,TRUE,"Check Data")</f>
        <v/>
      </c>
      <c r="AJ95" s="75" t="str">
        <f t="shared" si="29"/>
        <v>Check Data</v>
      </c>
      <c r="AK95" s="76" t="str">
        <f t="shared" si="30"/>
        <v>Check Data</v>
      </c>
      <c r="AL95" s="50" t="str">
        <f t="shared" si="31"/>
        <v>Check Data</v>
      </c>
      <c r="AM95" s="49" t="str">
        <f>IF(B95="","",IF(K95="S1","S1",INDEX(#REF!,#REF!)))</f>
        <v/>
      </c>
      <c r="AN95" s="49" t="str">
        <f>K95</f>
        <v>M2</v>
      </c>
      <c r="AO95" s="50" t="b">
        <f>K95=AM95</f>
        <v>0</v>
      </c>
      <c r="AP95" s="50"/>
    </row>
    <row r="96" spans="1:42" ht="21.75">
      <c r="A96" s="49">
        <v>94</v>
      </c>
      <c r="B96" s="50"/>
      <c r="C96" s="50"/>
      <c r="D96" s="50" t="s">
        <v>143</v>
      </c>
      <c r="E96" s="49" t="s">
        <v>288</v>
      </c>
      <c r="F96" s="49" t="str">
        <f t="shared" si="16"/>
        <v>13/01/1997</v>
      </c>
      <c r="G96" s="50">
        <f t="shared" si="17"/>
        <v>28</v>
      </c>
      <c r="H96" s="50">
        <f t="shared" si="18"/>
        <v>5</v>
      </c>
      <c r="I96" s="50">
        <f t="shared" si="19"/>
        <v>7</v>
      </c>
      <c r="J96" s="59"/>
      <c r="K96" s="49" t="s">
        <v>136</v>
      </c>
      <c r="L96" s="64"/>
      <c r="M96" s="49" t="s">
        <v>427</v>
      </c>
      <c r="N96" s="49">
        <v>2571</v>
      </c>
      <c r="O96" s="65" t="s">
        <v>287</v>
      </c>
      <c r="P96" s="49" t="str">
        <f t="shared" si="20"/>
        <v>29/10/2020</v>
      </c>
      <c r="Q96" s="68">
        <f t="shared" si="21"/>
        <v>4</v>
      </c>
      <c r="R96" s="68">
        <f t="shared" si="22"/>
        <v>7</v>
      </c>
      <c r="S96" s="68">
        <f t="shared" si="23"/>
        <v>22</v>
      </c>
      <c r="T96" s="65"/>
      <c r="U96" s="65"/>
      <c r="V96" s="49" t="str">
        <f t="shared" si="24"/>
        <v/>
      </c>
      <c r="W96" s="68">
        <f>IF(V96="",0,DATEDIF(V96,P96,"Y"))</f>
        <v>0</v>
      </c>
      <c r="X96" s="68">
        <f>IF(V96="",0,DATEDIF(V96,P96,"YM"))</f>
        <v>0</v>
      </c>
      <c r="Y96" s="68">
        <f>IF(V96="",0,DATEDIF(V96,P96,"MD"))</f>
        <v>0</v>
      </c>
      <c r="Z96" s="49"/>
      <c r="AA96" s="65"/>
      <c r="AB96" s="50" t="str">
        <f t="shared" si="25"/>
        <v/>
      </c>
      <c r="AC96" s="68">
        <f t="shared" si="26"/>
        <v>0</v>
      </c>
      <c r="AD96" s="68">
        <f t="shared" si="27"/>
        <v>0</v>
      </c>
      <c r="AE96" s="68">
        <f t="shared" si="28"/>
        <v>0</v>
      </c>
      <c r="AF96" s="50"/>
      <c r="AG96" s="50" t="s">
        <v>512</v>
      </c>
      <c r="AH96" s="49" t="str">
        <f>IF(AG96="นิติศาสตร์","K5-LAW","K5-POLICY")</f>
        <v>K5-POLICY</v>
      </c>
      <c r="AI96" s="72" t="str">
        <f>_xlfn.IFS(B96="","",AND(AH96="K5-LAW",AG96="นิติศาสตร์",K96="S2",T96="",Z96=""),P96,AND(AH96="K5-LAW",AG96="นิติศาสตร์",K96="S1",T96="",Z96=""),EDATE(P96,12),AND(AH96="K5-LAW",AG96="นิติศาสตร์",OR(K96="M2",K96="K4"),T96="",Z96=""),EDATE(P96,12*2),AND(AH96="K5-LAW",AG96="นิติศาสตร์",OR(Z96="M2",Z96="K4"),AC96&gt;=2,OR(AB96&lt;V96,AB96&lt;P96)),EDATE(AB96,12*2),AND(AH96="K5-LAW",AG96="นิติศาสตร์",Z96="S1",AC96&gt;=1,OR(AB96&lt;V96,AB96&lt;P96)),EDATE(AB96,12),AND(AH96="K5-LAW",AG96="นิติศาสตร์",OR(T96="M2",T96="K4"),W96&gt;=2,V96&lt;P96),EDATE(V96,12*2),AND(AH96="K5-LAW",AG96="นิติศาสตร์",T96="S1",W96&gt;=1,V96&lt;P96),EDATE(V96,12),AND(AH96="K5-LAW",AG96="นิติศาสตร์",OR(T96="S2",T96="K5")),V96,AND(AH96="K5-LAW",AG96="นิติศาสตร์",OR(K96="M2",K96="K4"),Q96&gt;=2),EDATE(P96,12*2),AND(AH96="K5-LAW",AG96="นิติศาสตร์",K96="S1",Q96&gt;=1),EDATE(P96,12),AND(AH96="K5-LAW",AG96="นิติศาสตร์",OR(K96="S2",K96="K5")),P96,AND(AH96="K5-POLICY",AG96&lt;&gt;"นิติศาสตร์",K96="S2",T96="",Z96=""),P96,AND(AH96="K5-POLICY",AG96&lt;&gt;"นิติศาสตร์",K96="S1",T96="",Z96=""),EDATE(P96,12),AND(AH96="K5-POLICY",AG96&lt;&gt;"นิติศาสตร์",OR(K96="M2",K96="K4"),T96="",Z96=""),EDATE(P96,12*2),AND(AH96="K5-POLICY",AG96&lt;&gt;"นิติศาสตร์",OR(Z96="M2",Z96="K4"),AC96&gt;=2,OR(AB96&lt;V96,AB96&lt;P96)),EDATE(AB96,12*2),AND(AH96="K5-POLICY",AG96&lt;&gt;"นิติศาสตร์",Z96="S1",AC96&gt;=1,OR(AB96&lt;V96,AB96&lt;P96)),EDATE(AB96,12),AND(AH96="K5-POLICY",AG96&lt;&gt;"นิติศาสตร์",OR(T96="M2",T96="K4"),W96&gt;=2,V96&lt;P96),EDATE(V96,12*2),AND(AH96="K5-POLICY",AG96&lt;&gt;"นิติศาสตร์",T96="S1",W96&gt;=1,V96&lt;P96),EDATE(V96,12),AND(AH96="K5-POLICY",AG96&lt;&gt;"นิติศาสตร์",OR(T96="S2",T96="K5")),V96,AND(AH96="K5-POLICY",AG96&lt;&gt;"นิติศาสตร์",OR(K96="M2",K96="K4"),Q96&gt;=2),EDATE(P96,12*2),AND(AH96="K5-POLICY",AG96&lt;&gt;"นิติศาสตร์",K96="S1",Q96&gt;=1),EDATE(P96,12),AND(AH96="K5-POLICY",AG96&lt;&gt;"นิติศาสตร์",OR(K96="S2",K96="K5")),P96,TRUE,"Check Data")</f>
        <v/>
      </c>
      <c r="AJ96" s="75" t="str">
        <f t="shared" si="29"/>
        <v>Check Data</v>
      </c>
      <c r="AK96" s="76" t="str">
        <f t="shared" si="30"/>
        <v>Check Data</v>
      </c>
      <c r="AL96" s="50" t="str">
        <f t="shared" si="31"/>
        <v>Check Data</v>
      </c>
      <c r="AM96" s="49" t="str">
        <f>IF(B96="","",IF(K96="S1","S1",INDEX(#REF!,#REF!)))</f>
        <v/>
      </c>
      <c r="AN96" s="49" t="str">
        <f>K96</f>
        <v>M2</v>
      </c>
      <c r="AO96" s="50" t="b">
        <f>K96=AM96</f>
        <v>0</v>
      </c>
      <c r="AP96" s="50"/>
    </row>
    <row r="97" spans="1:42" ht="21.75">
      <c r="A97" s="49">
        <v>95</v>
      </c>
      <c r="B97" s="50"/>
      <c r="C97" s="50"/>
      <c r="D97" s="50" t="s">
        <v>143</v>
      </c>
      <c r="E97" s="49" t="s">
        <v>309</v>
      </c>
      <c r="F97" s="49" t="str">
        <f t="shared" si="16"/>
        <v>01/06/1995</v>
      </c>
      <c r="G97" s="50">
        <f t="shared" si="17"/>
        <v>30</v>
      </c>
      <c r="H97" s="50">
        <f t="shared" si="18"/>
        <v>0</v>
      </c>
      <c r="I97" s="50">
        <f t="shared" si="19"/>
        <v>19</v>
      </c>
      <c r="J97" s="59"/>
      <c r="K97" s="49" t="s">
        <v>136</v>
      </c>
      <c r="L97" s="64"/>
      <c r="M97" s="49" t="s">
        <v>427</v>
      </c>
      <c r="N97" s="49">
        <v>2575</v>
      </c>
      <c r="O97" s="65" t="s">
        <v>287</v>
      </c>
      <c r="P97" s="49" t="str">
        <f t="shared" si="20"/>
        <v>29/10/2020</v>
      </c>
      <c r="Q97" s="68">
        <f t="shared" si="21"/>
        <v>4</v>
      </c>
      <c r="R97" s="68">
        <f t="shared" si="22"/>
        <v>7</v>
      </c>
      <c r="S97" s="68">
        <f t="shared" si="23"/>
        <v>22</v>
      </c>
      <c r="T97" s="65"/>
      <c r="U97" s="65"/>
      <c r="V97" s="49" t="str">
        <f t="shared" si="24"/>
        <v/>
      </c>
      <c r="W97" s="68">
        <f>IF(V97="",0,DATEDIF(V97,P97,"Y"))</f>
        <v>0</v>
      </c>
      <c r="X97" s="68">
        <f>IF(V97="",0,DATEDIF(V97,P97,"YM"))</f>
        <v>0</v>
      </c>
      <c r="Y97" s="68">
        <f>IF(V97="",0,DATEDIF(V97,P97,"MD"))</f>
        <v>0</v>
      </c>
      <c r="Z97" s="49"/>
      <c r="AA97" s="65"/>
      <c r="AB97" s="50" t="str">
        <f t="shared" si="25"/>
        <v/>
      </c>
      <c r="AC97" s="68">
        <f t="shared" si="26"/>
        <v>0</v>
      </c>
      <c r="AD97" s="68">
        <f t="shared" si="27"/>
        <v>0</v>
      </c>
      <c r="AE97" s="68">
        <f t="shared" si="28"/>
        <v>0</v>
      </c>
      <c r="AF97" s="50"/>
      <c r="AG97" s="50" t="s">
        <v>172</v>
      </c>
      <c r="AH97" s="49" t="str">
        <f>IF(AG97="นิติศาสตร์","K5-LAW","K5-POLICY")</f>
        <v>K5-POLICY</v>
      </c>
      <c r="AI97" s="72" t="str">
        <f>_xlfn.IFS(B97="","",AND(AH97="K5-LAW",AG97="นิติศาสตร์",K97="S2",T97="",Z97=""),P97,AND(AH97="K5-LAW",AG97="นิติศาสตร์",K97="S1",T97="",Z97=""),EDATE(P97,12),AND(AH97="K5-LAW",AG97="นิติศาสตร์",OR(K97="M2",K97="K4"),T97="",Z97=""),EDATE(P97,12*2),AND(AH97="K5-LAW",AG97="นิติศาสตร์",OR(Z97="M2",Z97="K4"),AC97&gt;=2,OR(AB97&lt;V97,AB97&lt;P97)),EDATE(AB97,12*2),AND(AH97="K5-LAW",AG97="นิติศาสตร์",Z97="S1",AC97&gt;=1,OR(AB97&lt;V97,AB97&lt;P97)),EDATE(AB97,12),AND(AH97="K5-LAW",AG97="นิติศาสตร์",OR(T97="M2",T97="K4"),W97&gt;=2,V97&lt;P97),EDATE(V97,12*2),AND(AH97="K5-LAW",AG97="นิติศาสตร์",T97="S1",W97&gt;=1,V97&lt;P97),EDATE(V97,12),AND(AH97="K5-LAW",AG97="นิติศาสตร์",OR(T97="S2",T97="K5")),V97,AND(AH97="K5-LAW",AG97="นิติศาสตร์",OR(K97="M2",K97="K4"),Q97&gt;=2),EDATE(P97,12*2),AND(AH97="K5-LAW",AG97="นิติศาสตร์",K97="S1",Q97&gt;=1),EDATE(P97,12),AND(AH97="K5-LAW",AG97="นิติศาสตร์",OR(K97="S2",K97="K5")),P97,AND(AH97="K5-POLICY",AG97&lt;&gt;"นิติศาสตร์",K97="S2",T97="",Z97=""),P97,AND(AH97="K5-POLICY",AG97&lt;&gt;"นิติศาสตร์",K97="S1",T97="",Z97=""),EDATE(P97,12),AND(AH97="K5-POLICY",AG97&lt;&gt;"นิติศาสตร์",OR(K97="M2",K97="K4"),T97="",Z97=""),EDATE(P97,12*2),AND(AH97="K5-POLICY",AG97&lt;&gt;"นิติศาสตร์",OR(Z97="M2",Z97="K4"),AC97&gt;=2,OR(AB97&lt;V97,AB97&lt;P97)),EDATE(AB97,12*2),AND(AH97="K5-POLICY",AG97&lt;&gt;"นิติศาสตร์",Z97="S1",AC97&gt;=1,OR(AB97&lt;V97,AB97&lt;P97)),EDATE(AB97,12),AND(AH97="K5-POLICY",AG97&lt;&gt;"นิติศาสตร์",OR(T97="M2",T97="K4"),W97&gt;=2,V97&lt;P97),EDATE(V97,12*2),AND(AH97="K5-POLICY",AG97&lt;&gt;"นิติศาสตร์",T97="S1",W97&gt;=1,V97&lt;P97),EDATE(V97,12),AND(AH97="K5-POLICY",AG97&lt;&gt;"นิติศาสตร์",OR(T97="S2",T97="K5")),V97,AND(AH97="K5-POLICY",AG97&lt;&gt;"นิติศาสตร์",OR(K97="M2",K97="K4"),Q97&gt;=2),EDATE(P97,12*2),AND(AH97="K5-POLICY",AG97&lt;&gt;"นิติศาสตร์",K97="S1",Q97&gt;=1),EDATE(P97,12),AND(AH97="K5-POLICY",AG97&lt;&gt;"นิติศาสตร์",OR(K97="S2",K97="K5")),P97,TRUE,"Check Data")</f>
        <v/>
      </c>
      <c r="AJ97" s="75" t="str">
        <f t="shared" si="29"/>
        <v>Check Data</v>
      </c>
      <c r="AK97" s="76" t="str">
        <f t="shared" si="30"/>
        <v>Check Data</v>
      </c>
      <c r="AL97" s="50" t="str">
        <f t="shared" si="31"/>
        <v>Check Data</v>
      </c>
      <c r="AM97" s="49" t="str">
        <f>IF(B97="","",IF(K97="S1","S1",INDEX(#REF!,#REF!)))</f>
        <v/>
      </c>
      <c r="AN97" s="49" t="str">
        <f>K97</f>
        <v>M2</v>
      </c>
      <c r="AO97" s="50" t="b">
        <f>K97=AM97</f>
        <v>0</v>
      </c>
      <c r="AP97" s="50"/>
    </row>
    <row r="98" spans="1:42" ht="21.75">
      <c r="A98" s="49">
        <v>96</v>
      </c>
      <c r="B98" s="50"/>
      <c r="C98" s="50"/>
      <c r="D98" s="50" t="s">
        <v>143</v>
      </c>
      <c r="E98" s="49" t="s">
        <v>312</v>
      </c>
      <c r="F98" s="49" t="str">
        <f t="shared" si="16"/>
        <v>04/05/2000</v>
      </c>
      <c r="G98" s="50">
        <f t="shared" si="17"/>
        <v>25</v>
      </c>
      <c r="H98" s="50">
        <f t="shared" si="18"/>
        <v>1</v>
      </c>
      <c r="I98" s="50">
        <f t="shared" si="19"/>
        <v>16</v>
      </c>
      <c r="J98" s="59"/>
      <c r="K98" s="49" t="s">
        <v>136</v>
      </c>
      <c r="L98" s="64"/>
      <c r="M98" s="49" t="s">
        <v>427</v>
      </c>
      <c r="N98" s="49">
        <v>2581</v>
      </c>
      <c r="O98" s="65" t="s">
        <v>287</v>
      </c>
      <c r="P98" s="49" t="str">
        <f t="shared" si="20"/>
        <v>29/10/2020</v>
      </c>
      <c r="Q98" s="68">
        <f t="shared" si="21"/>
        <v>4</v>
      </c>
      <c r="R98" s="68">
        <f t="shared" si="22"/>
        <v>7</v>
      </c>
      <c r="S98" s="68">
        <f t="shared" si="23"/>
        <v>22</v>
      </c>
      <c r="T98" s="65"/>
      <c r="U98" s="65"/>
      <c r="V98" s="49" t="str">
        <f t="shared" si="24"/>
        <v/>
      </c>
      <c r="W98" s="68">
        <f>IF(V98="",0,DATEDIF(V98,P98,"Y"))</f>
        <v>0</v>
      </c>
      <c r="X98" s="68">
        <f>IF(V98="",0,DATEDIF(V98,P98,"YM"))</f>
        <v>0</v>
      </c>
      <c r="Y98" s="68">
        <f>IF(V98="",0,DATEDIF(V98,P98,"MD"))</f>
        <v>0</v>
      </c>
      <c r="Z98" s="49"/>
      <c r="AA98" s="65"/>
      <c r="AB98" s="50" t="str">
        <f t="shared" si="25"/>
        <v/>
      </c>
      <c r="AC98" s="68">
        <f t="shared" si="26"/>
        <v>0</v>
      </c>
      <c r="AD98" s="68">
        <f t="shared" si="27"/>
        <v>0</v>
      </c>
      <c r="AE98" s="68">
        <f t="shared" si="28"/>
        <v>0</v>
      </c>
      <c r="AF98" s="50"/>
      <c r="AG98" s="50" t="s">
        <v>138</v>
      </c>
      <c r="AH98" s="49" t="str">
        <f>IF(AG98="นิติศาสตร์","K5-LAW","K5-POLICY")</f>
        <v>K5-LAW</v>
      </c>
      <c r="AI98" s="72" t="str">
        <f>_xlfn.IFS(B98="","",AND(AH98="K5-LAW",AG98="นิติศาสตร์",K98="S2",T98="",Z98=""),P98,AND(AH98="K5-LAW",AG98="นิติศาสตร์",K98="S1",T98="",Z98=""),EDATE(P98,12),AND(AH98="K5-LAW",AG98="นิติศาสตร์",OR(K98="M2",K98="K4"),T98="",Z98=""),EDATE(P98,12*2),AND(AH98="K5-LAW",AG98="นิติศาสตร์",OR(Z98="M2",Z98="K4"),AC98&gt;=2,OR(AB98&lt;V98,AB98&lt;P98)),EDATE(AB98,12*2),AND(AH98="K5-LAW",AG98="นิติศาสตร์",Z98="S1",AC98&gt;=1,OR(AB98&lt;V98,AB98&lt;P98)),EDATE(AB98,12),AND(AH98="K5-LAW",AG98="นิติศาสตร์",OR(T98="M2",T98="K4"),W98&gt;=2,V98&lt;P98),EDATE(V98,12*2),AND(AH98="K5-LAW",AG98="นิติศาสตร์",T98="S1",W98&gt;=1,V98&lt;P98),EDATE(V98,12),AND(AH98="K5-LAW",AG98="นิติศาสตร์",OR(T98="S2",T98="K5")),V98,AND(AH98="K5-LAW",AG98="นิติศาสตร์",OR(K98="M2",K98="K4"),Q98&gt;=2),EDATE(P98,12*2),AND(AH98="K5-LAW",AG98="นิติศาสตร์",K98="S1",Q98&gt;=1),EDATE(P98,12),AND(AH98="K5-LAW",AG98="นิติศาสตร์",OR(K98="S2",K98="K5")),P98,AND(AH98="K5-POLICY",AG98&lt;&gt;"นิติศาสตร์",K98="S2",T98="",Z98=""),P98,AND(AH98="K5-POLICY",AG98&lt;&gt;"นิติศาสตร์",K98="S1",T98="",Z98=""),EDATE(P98,12),AND(AH98="K5-POLICY",AG98&lt;&gt;"นิติศาสตร์",OR(K98="M2",K98="K4"),T98="",Z98=""),EDATE(P98,12*2),AND(AH98="K5-POLICY",AG98&lt;&gt;"นิติศาสตร์",OR(Z98="M2",Z98="K4"),AC98&gt;=2,OR(AB98&lt;V98,AB98&lt;P98)),EDATE(AB98,12*2),AND(AH98="K5-POLICY",AG98&lt;&gt;"นิติศาสตร์",Z98="S1",AC98&gt;=1,OR(AB98&lt;V98,AB98&lt;P98)),EDATE(AB98,12),AND(AH98="K5-POLICY",AG98&lt;&gt;"นิติศาสตร์",OR(T98="M2",T98="K4"),W98&gt;=2,V98&lt;P98),EDATE(V98,12*2),AND(AH98="K5-POLICY",AG98&lt;&gt;"นิติศาสตร์",T98="S1",W98&gt;=1,V98&lt;P98),EDATE(V98,12),AND(AH98="K5-POLICY",AG98&lt;&gt;"นิติศาสตร์",OR(T98="S2",T98="K5")),V98,AND(AH98="K5-POLICY",AG98&lt;&gt;"นิติศาสตร์",OR(K98="M2",K98="K4"),Q98&gt;=2),EDATE(P98,12*2),AND(AH98="K5-POLICY",AG98&lt;&gt;"นิติศาสตร์",K98="S1",Q98&gt;=1),EDATE(P98,12),AND(AH98="K5-POLICY",AG98&lt;&gt;"นิติศาสตร์",OR(K98="S2",K98="K5")),P98,TRUE,"Check Data")</f>
        <v/>
      </c>
      <c r="AJ98" s="75" t="str">
        <f t="shared" si="29"/>
        <v>Check Data</v>
      </c>
      <c r="AK98" s="76" t="str">
        <f t="shared" si="30"/>
        <v>Check Data</v>
      </c>
      <c r="AL98" s="50" t="str">
        <f t="shared" si="31"/>
        <v>Check Data</v>
      </c>
      <c r="AM98" s="49" t="str">
        <f>IF(B98="","",IF(K98="S1","S1",INDEX(#REF!,#REF!)))</f>
        <v/>
      </c>
      <c r="AN98" s="49" t="str">
        <f>K98</f>
        <v>M2</v>
      </c>
      <c r="AO98" s="50" t="b">
        <f>K98=AM98</f>
        <v>0</v>
      </c>
      <c r="AP98" s="50"/>
    </row>
    <row r="99" spans="1:42" ht="21.75">
      <c r="A99" s="49">
        <v>97</v>
      </c>
      <c r="B99" s="50"/>
      <c r="C99" s="50"/>
      <c r="D99" s="50" t="s">
        <v>143</v>
      </c>
      <c r="E99" s="49" t="s">
        <v>345</v>
      </c>
      <c r="F99" s="49" t="str">
        <f t="shared" si="16"/>
        <v>29/04/1990</v>
      </c>
      <c r="G99" s="50">
        <f t="shared" si="17"/>
        <v>35</v>
      </c>
      <c r="H99" s="50">
        <f t="shared" si="18"/>
        <v>1</v>
      </c>
      <c r="I99" s="50">
        <f t="shared" si="19"/>
        <v>22</v>
      </c>
      <c r="J99" s="59"/>
      <c r="K99" s="49" t="s">
        <v>136</v>
      </c>
      <c r="L99" s="64"/>
      <c r="M99" s="49" t="s">
        <v>427</v>
      </c>
      <c r="N99" s="49">
        <v>2574</v>
      </c>
      <c r="O99" s="65" t="s">
        <v>287</v>
      </c>
      <c r="P99" s="49" t="str">
        <f t="shared" si="20"/>
        <v>29/10/2020</v>
      </c>
      <c r="Q99" s="68">
        <f t="shared" si="21"/>
        <v>4</v>
      </c>
      <c r="R99" s="68">
        <f t="shared" si="22"/>
        <v>7</v>
      </c>
      <c r="S99" s="68">
        <f t="shared" si="23"/>
        <v>22</v>
      </c>
      <c r="T99" s="65"/>
      <c r="U99" s="65"/>
      <c r="V99" s="49" t="str">
        <f t="shared" si="24"/>
        <v/>
      </c>
      <c r="W99" s="68">
        <f>IF(V99="",0,DATEDIF(V99,P99,"Y"))</f>
        <v>0</v>
      </c>
      <c r="X99" s="68">
        <f>IF(V99="",0,DATEDIF(V99,P99,"YM"))</f>
        <v>0</v>
      </c>
      <c r="Y99" s="68">
        <f>IF(V99="",0,DATEDIF(V99,P99,"MD"))</f>
        <v>0</v>
      </c>
      <c r="Z99" s="49"/>
      <c r="AA99" s="65"/>
      <c r="AB99" s="50" t="str">
        <f t="shared" si="25"/>
        <v/>
      </c>
      <c r="AC99" s="68">
        <f t="shared" si="26"/>
        <v>0</v>
      </c>
      <c r="AD99" s="68">
        <f t="shared" si="27"/>
        <v>0</v>
      </c>
      <c r="AE99" s="68">
        <f t="shared" si="28"/>
        <v>0</v>
      </c>
      <c r="AF99" s="50"/>
      <c r="AG99" s="50" t="s">
        <v>172</v>
      </c>
      <c r="AH99" s="49" t="str">
        <f>IF(AG99="นิติศาสตร์","K5-LAW","K5-POLICY")</f>
        <v>K5-POLICY</v>
      </c>
      <c r="AI99" s="72" t="str">
        <f>_xlfn.IFS(B99="","",AND(AH99="K5-LAW",AG99="นิติศาสตร์",K99="S2",T99="",Z99=""),P99,AND(AH99="K5-LAW",AG99="นิติศาสตร์",K99="S1",T99="",Z99=""),EDATE(P99,12),AND(AH99="K5-LAW",AG99="นิติศาสตร์",OR(K99="M2",K99="K4"),T99="",Z99=""),EDATE(P99,12*2),AND(AH99="K5-LAW",AG99="นิติศาสตร์",OR(Z99="M2",Z99="K4"),AC99&gt;=2,OR(AB99&lt;V99,AB99&lt;P99)),EDATE(AB99,12*2),AND(AH99="K5-LAW",AG99="นิติศาสตร์",Z99="S1",AC99&gt;=1,OR(AB99&lt;V99,AB99&lt;P99)),EDATE(AB99,12),AND(AH99="K5-LAW",AG99="นิติศาสตร์",OR(T99="M2",T99="K4"),W99&gt;=2,V99&lt;P99),EDATE(V99,12*2),AND(AH99="K5-LAW",AG99="นิติศาสตร์",T99="S1",W99&gt;=1,V99&lt;P99),EDATE(V99,12),AND(AH99="K5-LAW",AG99="นิติศาสตร์",OR(T99="S2",T99="K5")),V99,AND(AH99="K5-LAW",AG99="นิติศาสตร์",OR(K99="M2",K99="K4"),Q99&gt;=2),EDATE(P99,12*2),AND(AH99="K5-LAW",AG99="นิติศาสตร์",K99="S1",Q99&gt;=1),EDATE(P99,12),AND(AH99="K5-LAW",AG99="นิติศาสตร์",OR(K99="S2",K99="K5")),P99,AND(AH99="K5-POLICY",AG99&lt;&gt;"นิติศาสตร์",K99="S2",T99="",Z99=""),P99,AND(AH99="K5-POLICY",AG99&lt;&gt;"นิติศาสตร์",K99="S1",T99="",Z99=""),EDATE(P99,12),AND(AH99="K5-POLICY",AG99&lt;&gt;"นิติศาสตร์",OR(K99="M2",K99="K4"),T99="",Z99=""),EDATE(P99,12*2),AND(AH99="K5-POLICY",AG99&lt;&gt;"นิติศาสตร์",OR(Z99="M2",Z99="K4"),AC99&gt;=2,OR(AB99&lt;V99,AB99&lt;P99)),EDATE(AB99,12*2),AND(AH99="K5-POLICY",AG99&lt;&gt;"นิติศาสตร์",Z99="S1",AC99&gt;=1,OR(AB99&lt;V99,AB99&lt;P99)),EDATE(AB99,12),AND(AH99="K5-POLICY",AG99&lt;&gt;"นิติศาสตร์",OR(T99="M2",T99="K4"),W99&gt;=2,V99&lt;P99),EDATE(V99,12*2),AND(AH99="K5-POLICY",AG99&lt;&gt;"นิติศาสตร์",T99="S1",W99&gt;=1,V99&lt;P99),EDATE(V99,12),AND(AH99="K5-POLICY",AG99&lt;&gt;"นิติศาสตร์",OR(T99="S2",T99="K5")),V99,AND(AH99="K5-POLICY",AG99&lt;&gt;"นิติศาสตร์",OR(K99="M2",K99="K4"),Q99&gt;=2),EDATE(P99,12*2),AND(AH99="K5-POLICY",AG99&lt;&gt;"นิติศาสตร์",K99="S1",Q99&gt;=1),EDATE(P99,12),AND(AH99="K5-POLICY",AG99&lt;&gt;"นิติศาสตร์",OR(K99="S2",K99="K5")),P99,TRUE,"Check Data")</f>
        <v/>
      </c>
      <c r="AJ99" s="75" t="str">
        <f t="shared" si="29"/>
        <v>Check Data</v>
      </c>
      <c r="AK99" s="76" t="str">
        <f t="shared" si="30"/>
        <v>Check Data</v>
      </c>
      <c r="AL99" s="50" t="str">
        <f t="shared" si="31"/>
        <v>Check Data</v>
      </c>
      <c r="AM99" s="49" t="str">
        <f>IF(B99="","",IF(K99="S1","S1",INDEX(#REF!,#REF!)))</f>
        <v/>
      </c>
      <c r="AN99" s="49" t="str">
        <f>K99</f>
        <v>M2</v>
      </c>
      <c r="AO99" s="50" t="b">
        <f>K99=AM99</f>
        <v>0</v>
      </c>
      <c r="AP99" s="50"/>
    </row>
    <row r="100" spans="1:42" ht="21.75">
      <c r="A100" s="49">
        <v>98</v>
      </c>
      <c r="B100" s="50"/>
      <c r="C100" s="50"/>
      <c r="D100" s="50" t="s">
        <v>143</v>
      </c>
      <c r="E100" s="49" t="s">
        <v>343</v>
      </c>
      <c r="F100" s="49" t="str">
        <f t="shared" si="16"/>
        <v>07/06/1996</v>
      </c>
      <c r="G100" s="50">
        <f t="shared" si="17"/>
        <v>29</v>
      </c>
      <c r="H100" s="50">
        <f t="shared" si="18"/>
        <v>0</v>
      </c>
      <c r="I100" s="50">
        <f t="shared" si="19"/>
        <v>13</v>
      </c>
      <c r="J100" s="58"/>
      <c r="K100" s="49" t="s">
        <v>136</v>
      </c>
      <c r="L100" s="64"/>
      <c r="M100" s="49" t="s">
        <v>427</v>
      </c>
      <c r="N100" s="49">
        <v>2572</v>
      </c>
      <c r="O100" s="65" t="s">
        <v>287</v>
      </c>
      <c r="P100" s="49" t="str">
        <f t="shared" si="20"/>
        <v>29/10/2020</v>
      </c>
      <c r="Q100" s="68">
        <f t="shared" si="21"/>
        <v>4</v>
      </c>
      <c r="R100" s="68">
        <f t="shared" si="22"/>
        <v>7</v>
      </c>
      <c r="S100" s="68">
        <f t="shared" si="23"/>
        <v>22</v>
      </c>
      <c r="T100" s="65"/>
      <c r="U100" s="65"/>
      <c r="V100" s="49" t="str">
        <f t="shared" si="24"/>
        <v/>
      </c>
      <c r="W100" s="68">
        <f>IF(V100="",0,DATEDIF(V100,P100,"Y"))</f>
        <v>0</v>
      </c>
      <c r="X100" s="68">
        <f>IF(V100="",0,DATEDIF(V100,P100,"YM"))</f>
        <v>0</v>
      </c>
      <c r="Y100" s="68">
        <f>IF(V100="",0,DATEDIF(V100,P100,"MD"))</f>
        <v>0</v>
      </c>
      <c r="Z100" s="49"/>
      <c r="AA100" s="65"/>
      <c r="AB100" s="50" t="str">
        <f t="shared" si="25"/>
        <v/>
      </c>
      <c r="AC100" s="68">
        <f t="shared" si="26"/>
        <v>0</v>
      </c>
      <c r="AD100" s="68">
        <f t="shared" si="27"/>
        <v>0</v>
      </c>
      <c r="AE100" s="68">
        <f t="shared" si="28"/>
        <v>0</v>
      </c>
      <c r="AF100" s="50"/>
      <c r="AG100" s="50" t="s">
        <v>486</v>
      </c>
      <c r="AH100" s="49" t="str">
        <f>IF(AG100="นิติศาสตร์","K5-LAW","K5-POLICY")</f>
        <v>K5-POLICY</v>
      </c>
      <c r="AI100" s="72" t="str">
        <f>_xlfn.IFS(B100="","",AND(AH100="K5-LAW",AG100="นิติศาสตร์",K100="S2",T100="",Z100=""),P100,AND(AH100="K5-LAW",AG100="นิติศาสตร์",K100="S1",T100="",Z100=""),EDATE(P100,12),AND(AH100="K5-LAW",AG100="นิติศาสตร์",OR(K100="M2",K100="K4"),T100="",Z100=""),EDATE(P100,12*2),AND(AH100="K5-LAW",AG100="นิติศาสตร์",OR(Z100="M2",Z100="K4"),AC100&gt;=2,OR(AB100&lt;V100,AB100&lt;P100)),EDATE(AB100,12*2),AND(AH100="K5-LAW",AG100="นิติศาสตร์",Z100="S1",AC100&gt;=1,OR(AB100&lt;V100,AB100&lt;P100)),EDATE(AB100,12),AND(AH100="K5-LAW",AG100="นิติศาสตร์",OR(T100="M2",T100="K4"),W100&gt;=2,V100&lt;P100),EDATE(V100,12*2),AND(AH100="K5-LAW",AG100="นิติศาสตร์",T100="S1",W100&gt;=1,V100&lt;P100),EDATE(V100,12),AND(AH100="K5-LAW",AG100="นิติศาสตร์",OR(T100="S2",T100="K5")),V100,AND(AH100="K5-LAW",AG100="นิติศาสตร์",OR(K100="M2",K100="K4"),Q100&gt;=2),EDATE(P100,12*2),AND(AH100="K5-LAW",AG100="นิติศาสตร์",K100="S1",Q100&gt;=1),EDATE(P100,12),AND(AH100="K5-LAW",AG100="นิติศาสตร์",OR(K100="S2",K100="K5")),P100,AND(AH100="K5-POLICY",AG100&lt;&gt;"นิติศาสตร์",K100="S2",T100="",Z100=""),P100,AND(AH100="K5-POLICY",AG100&lt;&gt;"นิติศาสตร์",K100="S1",T100="",Z100=""),EDATE(P100,12),AND(AH100="K5-POLICY",AG100&lt;&gt;"นิติศาสตร์",OR(K100="M2",K100="K4"),T100="",Z100=""),EDATE(P100,12*2),AND(AH100="K5-POLICY",AG100&lt;&gt;"นิติศาสตร์",OR(Z100="M2",Z100="K4"),AC100&gt;=2,OR(AB100&lt;V100,AB100&lt;P100)),EDATE(AB100,12*2),AND(AH100="K5-POLICY",AG100&lt;&gt;"นิติศาสตร์",Z100="S1",AC100&gt;=1,OR(AB100&lt;V100,AB100&lt;P100)),EDATE(AB100,12),AND(AH100="K5-POLICY",AG100&lt;&gt;"นิติศาสตร์",OR(T100="M2",T100="K4"),W100&gt;=2,V100&lt;P100),EDATE(V100,12*2),AND(AH100="K5-POLICY",AG100&lt;&gt;"นิติศาสตร์",T100="S1",W100&gt;=1,V100&lt;P100),EDATE(V100,12),AND(AH100="K5-POLICY",AG100&lt;&gt;"นิติศาสตร์",OR(T100="S2",T100="K5")),V100,AND(AH100="K5-POLICY",AG100&lt;&gt;"นิติศาสตร์",OR(K100="M2",K100="K4"),Q100&gt;=2),EDATE(P100,12*2),AND(AH100="K5-POLICY",AG100&lt;&gt;"นิติศาสตร์",K100="S1",Q100&gt;=1),EDATE(P100,12),AND(AH100="K5-POLICY",AG100&lt;&gt;"นิติศาสตร์",OR(K100="S2",K100="K5")),P100,TRUE,"Check Data")</f>
        <v/>
      </c>
      <c r="AJ100" s="75" t="str">
        <f t="shared" si="29"/>
        <v>Check Data</v>
      </c>
      <c r="AK100" s="76" t="str">
        <f t="shared" si="30"/>
        <v>Check Data</v>
      </c>
      <c r="AL100" s="50" t="str">
        <f t="shared" si="31"/>
        <v>Check Data</v>
      </c>
      <c r="AM100" s="49" t="str">
        <f>IF(B100="","",IF(K100="S1","S1",INDEX(#REF!,#REF!)))</f>
        <v/>
      </c>
      <c r="AN100" s="49" t="str">
        <f>K100</f>
        <v>M2</v>
      </c>
      <c r="AO100" s="50" t="b">
        <f>K100=AM100</f>
        <v>0</v>
      </c>
      <c r="AP100" s="50"/>
    </row>
    <row r="101" spans="1:42" ht="21.75">
      <c r="A101" s="49">
        <v>99</v>
      </c>
      <c r="B101" s="50"/>
      <c r="C101" s="50"/>
      <c r="D101" s="50" t="s">
        <v>143</v>
      </c>
      <c r="E101" s="49" t="s">
        <v>320</v>
      </c>
      <c r="F101" s="49" t="str">
        <f t="shared" si="16"/>
        <v>03/12/2001</v>
      </c>
      <c r="G101" s="50">
        <f t="shared" si="17"/>
        <v>23</v>
      </c>
      <c r="H101" s="50">
        <f t="shared" si="18"/>
        <v>6</v>
      </c>
      <c r="I101" s="50">
        <f t="shared" si="19"/>
        <v>17</v>
      </c>
      <c r="J101" s="58"/>
      <c r="K101" s="49" t="s">
        <v>136</v>
      </c>
      <c r="L101" s="64"/>
      <c r="M101" s="49" t="s">
        <v>427</v>
      </c>
      <c r="N101" s="49">
        <v>2574</v>
      </c>
      <c r="O101" s="65" t="s">
        <v>287</v>
      </c>
      <c r="P101" s="49" t="str">
        <f t="shared" si="20"/>
        <v>29/10/2020</v>
      </c>
      <c r="Q101" s="68">
        <f t="shared" si="21"/>
        <v>4</v>
      </c>
      <c r="R101" s="68">
        <f t="shared" si="22"/>
        <v>7</v>
      </c>
      <c r="S101" s="68">
        <f t="shared" si="23"/>
        <v>22</v>
      </c>
      <c r="T101" s="65"/>
      <c r="U101" s="65"/>
      <c r="V101" s="49" t="str">
        <f t="shared" si="24"/>
        <v/>
      </c>
      <c r="W101" s="68">
        <f>IF(V101="",0,DATEDIF(V101,P101,"Y"))</f>
        <v>0</v>
      </c>
      <c r="X101" s="68">
        <f>IF(V101="",0,DATEDIF(V101,P101,"YM"))</f>
        <v>0</v>
      </c>
      <c r="Y101" s="68">
        <f>IF(V101="",0,DATEDIF(V101,P101,"MD"))</f>
        <v>0</v>
      </c>
      <c r="Z101" s="49"/>
      <c r="AA101" s="65"/>
      <c r="AB101" s="50" t="str">
        <f t="shared" si="25"/>
        <v/>
      </c>
      <c r="AC101" s="68">
        <f t="shared" si="26"/>
        <v>0</v>
      </c>
      <c r="AD101" s="68">
        <f t="shared" si="27"/>
        <v>0</v>
      </c>
      <c r="AE101" s="68">
        <f t="shared" si="28"/>
        <v>0</v>
      </c>
      <c r="AF101" s="50"/>
      <c r="AG101" s="50" t="s">
        <v>138</v>
      </c>
      <c r="AH101" s="49" t="str">
        <f>IF(AG101="นิติศาสตร์","K5-LAW","K5-POLICY")</f>
        <v>K5-LAW</v>
      </c>
      <c r="AI101" s="72" t="str">
        <f>_xlfn.IFS(B101="","",AND(AH101="K5-LAW",AG101="นิติศาสตร์",K101="S2",T101="",Z101=""),P101,AND(AH101="K5-LAW",AG101="นิติศาสตร์",K101="S1",T101="",Z101=""),EDATE(P101,12),AND(AH101="K5-LAW",AG101="นิติศาสตร์",OR(K101="M2",K101="K4"),T101="",Z101=""),EDATE(P101,12*2),AND(AH101="K5-LAW",AG101="นิติศาสตร์",OR(Z101="M2",Z101="K4"),AC101&gt;=2,OR(AB101&lt;V101,AB101&lt;P101)),EDATE(AB101,12*2),AND(AH101="K5-LAW",AG101="นิติศาสตร์",Z101="S1",AC101&gt;=1,OR(AB101&lt;V101,AB101&lt;P101)),EDATE(AB101,12),AND(AH101="K5-LAW",AG101="นิติศาสตร์",OR(T101="M2",T101="K4"),W101&gt;=2,V101&lt;P101),EDATE(V101,12*2),AND(AH101="K5-LAW",AG101="นิติศาสตร์",T101="S1",W101&gt;=1,V101&lt;P101),EDATE(V101,12),AND(AH101="K5-LAW",AG101="นิติศาสตร์",OR(T101="S2",T101="K5")),V101,AND(AH101="K5-LAW",AG101="นิติศาสตร์",OR(K101="M2",K101="K4"),Q101&gt;=2),EDATE(P101,12*2),AND(AH101="K5-LAW",AG101="นิติศาสตร์",K101="S1",Q101&gt;=1),EDATE(P101,12),AND(AH101="K5-LAW",AG101="นิติศาสตร์",OR(K101="S2",K101="K5")),P101,AND(AH101="K5-POLICY",AG101&lt;&gt;"นิติศาสตร์",K101="S2",T101="",Z101=""),P101,AND(AH101="K5-POLICY",AG101&lt;&gt;"นิติศาสตร์",K101="S1",T101="",Z101=""),EDATE(P101,12),AND(AH101="K5-POLICY",AG101&lt;&gt;"นิติศาสตร์",OR(K101="M2",K101="K4"),T101="",Z101=""),EDATE(P101,12*2),AND(AH101="K5-POLICY",AG101&lt;&gt;"นิติศาสตร์",OR(Z101="M2",Z101="K4"),AC101&gt;=2,OR(AB101&lt;V101,AB101&lt;P101)),EDATE(AB101,12*2),AND(AH101="K5-POLICY",AG101&lt;&gt;"นิติศาสตร์",Z101="S1",AC101&gt;=1,OR(AB101&lt;V101,AB101&lt;P101)),EDATE(AB101,12),AND(AH101="K5-POLICY",AG101&lt;&gt;"นิติศาสตร์",OR(T101="M2",T101="K4"),W101&gt;=2,V101&lt;P101),EDATE(V101,12*2),AND(AH101="K5-POLICY",AG101&lt;&gt;"นิติศาสตร์",T101="S1",W101&gt;=1,V101&lt;P101),EDATE(V101,12),AND(AH101="K5-POLICY",AG101&lt;&gt;"นิติศาสตร์",OR(T101="S2",T101="K5")),V101,AND(AH101="K5-POLICY",AG101&lt;&gt;"นิติศาสตร์",OR(K101="M2",K101="K4"),Q101&gt;=2),EDATE(P101,12*2),AND(AH101="K5-POLICY",AG101&lt;&gt;"นิติศาสตร์",K101="S1",Q101&gt;=1),EDATE(P101,12),AND(AH101="K5-POLICY",AG101&lt;&gt;"นิติศาสตร์",OR(K101="S2",K101="K5")),P101,TRUE,"Check Data")</f>
        <v/>
      </c>
      <c r="AJ101" s="75" t="str">
        <f t="shared" si="29"/>
        <v>Check Data</v>
      </c>
      <c r="AK101" s="76" t="str">
        <f t="shared" si="30"/>
        <v>Check Data</v>
      </c>
      <c r="AL101" s="50" t="str">
        <f t="shared" si="31"/>
        <v>Check Data</v>
      </c>
      <c r="AM101" s="49" t="str">
        <f>IF(B101="","",IF(K101="S1","S1",INDEX(#REF!,#REF!)))</f>
        <v/>
      </c>
      <c r="AN101" s="49" t="str">
        <f>K101</f>
        <v>M2</v>
      </c>
      <c r="AO101" s="50" t="b">
        <f>K101=AM101</f>
        <v>0</v>
      </c>
      <c r="AP101" s="50"/>
    </row>
    <row r="102" spans="1:42" ht="21.75">
      <c r="A102" s="49">
        <v>100</v>
      </c>
      <c r="B102" s="50"/>
      <c r="C102" s="50"/>
      <c r="D102" s="50" t="s">
        <v>143</v>
      </c>
      <c r="E102" s="49" t="s">
        <v>312</v>
      </c>
      <c r="F102" s="49" t="str">
        <f t="shared" si="16"/>
        <v>04/05/2000</v>
      </c>
      <c r="G102" s="50">
        <f t="shared" si="17"/>
        <v>25</v>
      </c>
      <c r="H102" s="50">
        <f t="shared" si="18"/>
        <v>1</v>
      </c>
      <c r="I102" s="50">
        <f t="shared" si="19"/>
        <v>16</v>
      </c>
      <c r="J102" s="59"/>
      <c r="K102" s="49" t="s">
        <v>136</v>
      </c>
      <c r="L102" s="64"/>
      <c r="M102" s="49" t="s">
        <v>427</v>
      </c>
      <c r="N102" s="49">
        <v>2576</v>
      </c>
      <c r="O102" s="65" t="s">
        <v>287</v>
      </c>
      <c r="P102" s="49" t="str">
        <f t="shared" si="20"/>
        <v>29/10/2020</v>
      </c>
      <c r="Q102" s="68">
        <f t="shared" si="21"/>
        <v>4</v>
      </c>
      <c r="R102" s="68">
        <f t="shared" si="22"/>
        <v>7</v>
      </c>
      <c r="S102" s="68">
        <f t="shared" si="23"/>
        <v>22</v>
      </c>
      <c r="T102" s="65"/>
      <c r="U102" s="65"/>
      <c r="V102" s="49" t="str">
        <f t="shared" si="24"/>
        <v/>
      </c>
      <c r="W102" s="68">
        <f>IF(V102="",0,DATEDIF(V102,P102,"Y"))</f>
        <v>0</v>
      </c>
      <c r="X102" s="68">
        <f>IF(V102="",0,DATEDIF(V102,P102,"YM"))</f>
        <v>0</v>
      </c>
      <c r="Y102" s="68">
        <f>IF(V102="",0,DATEDIF(V102,P102,"MD"))</f>
        <v>0</v>
      </c>
      <c r="Z102" s="49"/>
      <c r="AA102" s="65"/>
      <c r="AB102" s="50" t="str">
        <f t="shared" si="25"/>
        <v/>
      </c>
      <c r="AC102" s="68">
        <f t="shared" si="26"/>
        <v>0</v>
      </c>
      <c r="AD102" s="68">
        <f t="shared" si="27"/>
        <v>0</v>
      </c>
      <c r="AE102" s="68">
        <f t="shared" si="28"/>
        <v>0</v>
      </c>
      <c r="AF102" s="50"/>
      <c r="AG102" s="50" t="s">
        <v>486</v>
      </c>
      <c r="AH102" s="49" t="str">
        <f>IF(AG102="นิติศาสตร์","K5-LAW","K5-POLICY")</f>
        <v>K5-POLICY</v>
      </c>
      <c r="AI102" s="72" t="str">
        <f>_xlfn.IFS(B102="","",AND(AH102="K5-LAW",AG102="นิติศาสตร์",K102="S2",T102="",Z102=""),P102,AND(AH102="K5-LAW",AG102="นิติศาสตร์",K102="S1",T102="",Z102=""),EDATE(P102,12),AND(AH102="K5-LAW",AG102="นิติศาสตร์",OR(K102="M2",K102="K4"),T102="",Z102=""),EDATE(P102,12*2),AND(AH102="K5-LAW",AG102="นิติศาสตร์",OR(Z102="M2",Z102="K4"),AC102&gt;=2,OR(AB102&lt;V102,AB102&lt;P102)),EDATE(AB102,12*2),AND(AH102="K5-LAW",AG102="นิติศาสตร์",Z102="S1",AC102&gt;=1,OR(AB102&lt;V102,AB102&lt;P102)),EDATE(AB102,12),AND(AH102="K5-LAW",AG102="นิติศาสตร์",OR(T102="M2",T102="K4"),W102&gt;=2,V102&lt;P102),EDATE(V102,12*2),AND(AH102="K5-LAW",AG102="นิติศาสตร์",T102="S1",W102&gt;=1,V102&lt;P102),EDATE(V102,12),AND(AH102="K5-LAW",AG102="นิติศาสตร์",OR(T102="S2",T102="K5")),V102,AND(AH102="K5-LAW",AG102="นิติศาสตร์",OR(K102="M2",K102="K4"),Q102&gt;=2),EDATE(P102,12*2),AND(AH102="K5-LAW",AG102="นิติศาสตร์",K102="S1",Q102&gt;=1),EDATE(P102,12),AND(AH102="K5-LAW",AG102="นิติศาสตร์",OR(K102="S2",K102="K5")),P102,AND(AH102="K5-POLICY",AG102&lt;&gt;"นิติศาสตร์",K102="S2",T102="",Z102=""),P102,AND(AH102="K5-POLICY",AG102&lt;&gt;"นิติศาสตร์",K102="S1",T102="",Z102=""),EDATE(P102,12),AND(AH102="K5-POLICY",AG102&lt;&gt;"นิติศาสตร์",OR(K102="M2",K102="K4"),T102="",Z102=""),EDATE(P102,12*2),AND(AH102="K5-POLICY",AG102&lt;&gt;"นิติศาสตร์",OR(Z102="M2",Z102="K4"),AC102&gt;=2,OR(AB102&lt;V102,AB102&lt;P102)),EDATE(AB102,12*2),AND(AH102="K5-POLICY",AG102&lt;&gt;"นิติศาสตร์",Z102="S1",AC102&gt;=1,OR(AB102&lt;V102,AB102&lt;P102)),EDATE(AB102,12),AND(AH102="K5-POLICY",AG102&lt;&gt;"นิติศาสตร์",OR(T102="M2",T102="K4"),W102&gt;=2,V102&lt;P102),EDATE(V102,12*2),AND(AH102="K5-POLICY",AG102&lt;&gt;"นิติศาสตร์",T102="S1",W102&gt;=1,V102&lt;P102),EDATE(V102,12),AND(AH102="K5-POLICY",AG102&lt;&gt;"นิติศาสตร์",OR(T102="S2",T102="K5")),V102,AND(AH102="K5-POLICY",AG102&lt;&gt;"นิติศาสตร์",OR(K102="M2",K102="K4"),Q102&gt;=2),EDATE(P102,12*2),AND(AH102="K5-POLICY",AG102&lt;&gt;"นิติศาสตร์",K102="S1",Q102&gt;=1),EDATE(P102,12),AND(AH102="K5-POLICY",AG102&lt;&gt;"นิติศาสตร์",OR(K102="S2",K102="K5")),P102,TRUE,"Check Data")</f>
        <v/>
      </c>
      <c r="AJ102" s="75" t="str">
        <f t="shared" si="29"/>
        <v>Check Data</v>
      </c>
      <c r="AK102" s="76" t="str">
        <f t="shared" si="30"/>
        <v>Check Data</v>
      </c>
      <c r="AL102" s="50" t="str">
        <f t="shared" si="31"/>
        <v>Check Data</v>
      </c>
      <c r="AM102" s="49" t="str">
        <f>IF(B102="","",IF(K102="S1","S1",INDEX(#REF!,#REF!)))</f>
        <v/>
      </c>
      <c r="AN102" s="49" t="str">
        <f>K102</f>
        <v>M2</v>
      </c>
      <c r="AO102" s="50" t="b">
        <f>K102=AM102</f>
        <v>0</v>
      </c>
      <c r="AP102" s="50"/>
    </row>
    <row r="103" spans="1:42" ht="21.75">
      <c r="A103" s="49">
        <v>101</v>
      </c>
      <c r="B103" s="50"/>
      <c r="C103" s="50"/>
      <c r="D103" s="50" t="s">
        <v>143</v>
      </c>
      <c r="E103" s="49" t="s">
        <v>290</v>
      </c>
      <c r="F103" s="49" t="str">
        <f t="shared" si="16"/>
        <v>02/06/2000</v>
      </c>
      <c r="G103" s="50">
        <f t="shared" si="17"/>
        <v>25</v>
      </c>
      <c r="H103" s="50">
        <f t="shared" si="18"/>
        <v>0</v>
      </c>
      <c r="I103" s="50">
        <f t="shared" si="19"/>
        <v>18</v>
      </c>
      <c r="J103" s="59"/>
      <c r="K103" s="49" t="s">
        <v>136</v>
      </c>
      <c r="L103" s="64"/>
      <c r="M103" s="49" t="s">
        <v>427</v>
      </c>
      <c r="N103" s="49">
        <v>2577</v>
      </c>
      <c r="O103" s="65" t="s">
        <v>287</v>
      </c>
      <c r="P103" s="49" t="str">
        <f t="shared" si="20"/>
        <v>29/10/2020</v>
      </c>
      <c r="Q103" s="68">
        <f t="shared" si="21"/>
        <v>4</v>
      </c>
      <c r="R103" s="68">
        <f t="shared" si="22"/>
        <v>7</v>
      </c>
      <c r="S103" s="68">
        <f t="shared" si="23"/>
        <v>22</v>
      </c>
      <c r="T103" s="65"/>
      <c r="U103" s="65"/>
      <c r="V103" s="49" t="str">
        <f t="shared" si="24"/>
        <v/>
      </c>
      <c r="W103" s="68">
        <f>IF(V103="",0,DATEDIF(V103,P103,"Y"))</f>
        <v>0</v>
      </c>
      <c r="X103" s="68">
        <f>IF(V103="",0,DATEDIF(V103,P103,"YM"))</f>
        <v>0</v>
      </c>
      <c r="Y103" s="68">
        <f>IF(V103="",0,DATEDIF(V103,P103,"MD"))</f>
        <v>0</v>
      </c>
      <c r="Z103" s="49"/>
      <c r="AA103" s="65"/>
      <c r="AB103" s="50" t="str">
        <f t="shared" si="25"/>
        <v/>
      </c>
      <c r="AC103" s="68">
        <f t="shared" si="26"/>
        <v>0</v>
      </c>
      <c r="AD103" s="68">
        <f t="shared" si="27"/>
        <v>0</v>
      </c>
      <c r="AE103" s="68">
        <f t="shared" si="28"/>
        <v>0</v>
      </c>
      <c r="AF103" s="50"/>
      <c r="AG103" s="50" t="s">
        <v>486</v>
      </c>
      <c r="AH103" s="49" t="str">
        <f>IF(AG103="นิติศาสตร์","K5-LAW","K5-POLICY")</f>
        <v>K5-POLICY</v>
      </c>
      <c r="AI103" s="72" t="str">
        <f>_xlfn.IFS(B103="","",AND(AH103="K5-LAW",AG103="นิติศาสตร์",K103="S2",T103="",Z103=""),P103,AND(AH103="K5-LAW",AG103="นิติศาสตร์",K103="S1",T103="",Z103=""),EDATE(P103,12),AND(AH103="K5-LAW",AG103="นิติศาสตร์",OR(K103="M2",K103="K4"),T103="",Z103=""),EDATE(P103,12*2),AND(AH103="K5-LAW",AG103="นิติศาสตร์",OR(Z103="M2",Z103="K4"),AC103&gt;=2,OR(AB103&lt;V103,AB103&lt;P103)),EDATE(AB103,12*2),AND(AH103="K5-LAW",AG103="นิติศาสตร์",Z103="S1",AC103&gt;=1,OR(AB103&lt;V103,AB103&lt;P103)),EDATE(AB103,12),AND(AH103="K5-LAW",AG103="นิติศาสตร์",OR(T103="M2",T103="K4"),W103&gt;=2,V103&lt;P103),EDATE(V103,12*2),AND(AH103="K5-LAW",AG103="นิติศาสตร์",T103="S1",W103&gt;=1,V103&lt;P103),EDATE(V103,12),AND(AH103="K5-LAW",AG103="นิติศาสตร์",OR(T103="S2",T103="K5")),V103,AND(AH103="K5-LAW",AG103="นิติศาสตร์",OR(K103="M2",K103="K4"),Q103&gt;=2),EDATE(P103,12*2),AND(AH103="K5-LAW",AG103="นิติศาสตร์",K103="S1",Q103&gt;=1),EDATE(P103,12),AND(AH103="K5-LAW",AG103="นิติศาสตร์",OR(K103="S2",K103="K5")),P103,AND(AH103="K5-POLICY",AG103&lt;&gt;"นิติศาสตร์",K103="S2",T103="",Z103=""),P103,AND(AH103="K5-POLICY",AG103&lt;&gt;"นิติศาสตร์",K103="S1",T103="",Z103=""),EDATE(P103,12),AND(AH103="K5-POLICY",AG103&lt;&gt;"นิติศาสตร์",OR(K103="M2",K103="K4"),T103="",Z103=""),EDATE(P103,12*2),AND(AH103="K5-POLICY",AG103&lt;&gt;"นิติศาสตร์",OR(Z103="M2",Z103="K4"),AC103&gt;=2,OR(AB103&lt;V103,AB103&lt;P103)),EDATE(AB103,12*2),AND(AH103="K5-POLICY",AG103&lt;&gt;"นิติศาสตร์",Z103="S1",AC103&gt;=1,OR(AB103&lt;V103,AB103&lt;P103)),EDATE(AB103,12),AND(AH103="K5-POLICY",AG103&lt;&gt;"นิติศาสตร์",OR(T103="M2",T103="K4"),W103&gt;=2,V103&lt;P103),EDATE(V103,12*2),AND(AH103="K5-POLICY",AG103&lt;&gt;"นิติศาสตร์",T103="S1",W103&gt;=1,V103&lt;P103),EDATE(V103,12),AND(AH103="K5-POLICY",AG103&lt;&gt;"นิติศาสตร์",OR(T103="S2",T103="K5")),V103,AND(AH103="K5-POLICY",AG103&lt;&gt;"นิติศาสตร์",OR(K103="M2",K103="K4"),Q103&gt;=2),EDATE(P103,12*2),AND(AH103="K5-POLICY",AG103&lt;&gt;"นิติศาสตร์",K103="S1",Q103&gt;=1),EDATE(P103,12),AND(AH103="K5-POLICY",AG103&lt;&gt;"นิติศาสตร์",OR(K103="S2",K103="K5")),P103,TRUE,"Check Data")</f>
        <v/>
      </c>
      <c r="AJ103" s="75" t="str">
        <f t="shared" si="29"/>
        <v>Check Data</v>
      </c>
      <c r="AK103" s="76" t="str">
        <f t="shared" si="30"/>
        <v>Check Data</v>
      </c>
      <c r="AL103" s="50" t="str">
        <f t="shared" si="31"/>
        <v>Check Data</v>
      </c>
      <c r="AM103" s="49" t="str">
        <f>IF(B103="","",IF(K103="S1","S1",INDEX(#REF!,#REF!)))</f>
        <v/>
      </c>
      <c r="AN103" s="49" t="str">
        <f>K103</f>
        <v>M2</v>
      </c>
      <c r="AO103" s="50" t="b">
        <f>K103=AM103</f>
        <v>0</v>
      </c>
      <c r="AP103" s="50"/>
    </row>
    <row r="104" spans="1:42" ht="21.75">
      <c r="A104" s="49">
        <v>102</v>
      </c>
      <c r="B104" s="50"/>
      <c r="C104" s="50"/>
      <c r="D104" s="50" t="s">
        <v>143</v>
      </c>
      <c r="E104" s="49" t="s">
        <v>340</v>
      </c>
      <c r="F104" s="49" t="str">
        <f t="shared" si="16"/>
        <v>06/11/2000</v>
      </c>
      <c r="G104" s="50">
        <f t="shared" si="17"/>
        <v>24</v>
      </c>
      <c r="H104" s="50">
        <f t="shared" si="18"/>
        <v>7</v>
      </c>
      <c r="I104" s="50">
        <f t="shared" si="19"/>
        <v>14</v>
      </c>
      <c r="J104" s="59"/>
      <c r="K104" s="49" t="s">
        <v>136</v>
      </c>
      <c r="L104" s="64"/>
      <c r="M104" s="49" t="s">
        <v>427</v>
      </c>
      <c r="N104" s="49">
        <v>2575</v>
      </c>
      <c r="O104" s="65" t="s">
        <v>287</v>
      </c>
      <c r="P104" s="49" t="str">
        <f t="shared" si="20"/>
        <v>29/10/2020</v>
      </c>
      <c r="Q104" s="68">
        <f t="shared" si="21"/>
        <v>4</v>
      </c>
      <c r="R104" s="68">
        <f t="shared" si="22"/>
        <v>7</v>
      </c>
      <c r="S104" s="68">
        <f t="shared" si="23"/>
        <v>22</v>
      </c>
      <c r="T104" s="65"/>
      <c r="U104" s="65"/>
      <c r="V104" s="49" t="str">
        <f t="shared" si="24"/>
        <v/>
      </c>
      <c r="W104" s="68">
        <f>IF(V104="",0,DATEDIF(V104,P104,"Y"))</f>
        <v>0</v>
      </c>
      <c r="X104" s="68">
        <f>IF(V104="",0,DATEDIF(V104,P104,"YM"))</f>
        <v>0</v>
      </c>
      <c r="Y104" s="68">
        <f>IF(V104="",0,DATEDIF(V104,P104,"MD"))</f>
        <v>0</v>
      </c>
      <c r="Z104" s="49"/>
      <c r="AA104" s="65"/>
      <c r="AB104" s="50" t="str">
        <f t="shared" si="25"/>
        <v/>
      </c>
      <c r="AC104" s="68">
        <f t="shared" si="26"/>
        <v>0</v>
      </c>
      <c r="AD104" s="68">
        <f t="shared" si="27"/>
        <v>0</v>
      </c>
      <c r="AE104" s="68">
        <f t="shared" si="28"/>
        <v>0</v>
      </c>
      <c r="AF104" s="50"/>
      <c r="AG104" s="50" t="s">
        <v>138</v>
      </c>
      <c r="AH104" s="49" t="str">
        <f>IF(AG104="นิติศาสตร์","K5-LAW","K5-POLICY")</f>
        <v>K5-LAW</v>
      </c>
      <c r="AI104" s="72" t="str">
        <f>_xlfn.IFS(B104="","",AND(AH104="K5-LAW",AG104="นิติศาสตร์",K104="S2",T104="",Z104=""),P104,AND(AH104="K5-LAW",AG104="นิติศาสตร์",K104="S1",T104="",Z104=""),EDATE(P104,12),AND(AH104="K5-LAW",AG104="นิติศาสตร์",OR(K104="M2",K104="K4"),T104="",Z104=""),EDATE(P104,12*2),AND(AH104="K5-LAW",AG104="นิติศาสตร์",OR(Z104="M2",Z104="K4"),AC104&gt;=2,OR(AB104&lt;V104,AB104&lt;P104)),EDATE(AB104,12*2),AND(AH104="K5-LAW",AG104="นิติศาสตร์",Z104="S1",AC104&gt;=1,OR(AB104&lt;V104,AB104&lt;P104)),EDATE(AB104,12),AND(AH104="K5-LAW",AG104="นิติศาสตร์",OR(T104="M2",T104="K4"),W104&gt;=2,V104&lt;P104),EDATE(V104,12*2),AND(AH104="K5-LAW",AG104="นิติศาสตร์",T104="S1",W104&gt;=1,V104&lt;P104),EDATE(V104,12),AND(AH104="K5-LAW",AG104="นิติศาสตร์",OR(T104="S2",T104="K5")),V104,AND(AH104="K5-LAW",AG104="นิติศาสตร์",OR(K104="M2",K104="K4"),Q104&gt;=2),EDATE(P104,12*2),AND(AH104="K5-LAW",AG104="นิติศาสตร์",K104="S1",Q104&gt;=1),EDATE(P104,12),AND(AH104="K5-LAW",AG104="นิติศาสตร์",OR(K104="S2",K104="K5")),P104,AND(AH104="K5-POLICY",AG104&lt;&gt;"นิติศาสตร์",K104="S2",T104="",Z104=""),P104,AND(AH104="K5-POLICY",AG104&lt;&gt;"นิติศาสตร์",K104="S1",T104="",Z104=""),EDATE(P104,12),AND(AH104="K5-POLICY",AG104&lt;&gt;"นิติศาสตร์",OR(K104="M2",K104="K4"),T104="",Z104=""),EDATE(P104,12*2),AND(AH104="K5-POLICY",AG104&lt;&gt;"นิติศาสตร์",OR(Z104="M2",Z104="K4"),AC104&gt;=2,OR(AB104&lt;V104,AB104&lt;P104)),EDATE(AB104,12*2),AND(AH104="K5-POLICY",AG104&lt;&gt;"นิติศาสตร์",Z104="S1",AC104&gt;=1,OR(AB104&lt;V104,AB104&lt;P104)),EDATE(AB104,12),AND(AH104="K5-POLICY",AG104&lt;&gt;"นิติศาสตร์",OR(T104="M2",T104="K4"),W104&gt;=2,V104&lt;P104),EDATE(V104,12*2),AND(AH104="K5-POLICY",AG104&lt;&gt;"นิติศาสตร์",T104="S1",W104&gt;=1,V104&lt;P104),EDATE(V104,12),AND(AH104="K5-POLICY",AG104&lt;&gt;"นิติศาสตร์",OR(T104="S2",T104="K5")),V104,AND(AH104="K5-POLICY",AG104&lt;&gt;"นิติศาสตร์",OR(K104="M2",K104="K4"),Q104&gt;=2),EDATE(P104,12*2),AND(AH104="K5-POLICY",AG104&lt;&gt;"นิติศาสตร์",K104="S1",Q104&gt;=1),EDATE(P104,12),AND(AH104="K5-POLICY",AG104&lt;&gt;"นิติศาสตร์",OR(K104="S2",K104="K5")),P104,TRUE,"Check Data")</f>
        <v/>
      </c>
      <c r="AJ104" s="75" t="str">
        <f t="shared" si="29"/>
        <v>Check Data</v>
      </c>
      <c r="AK104" s="76" t="str">
        <f t="shared" si="30"/>
        <v>Check Data</v>
      </c>
      <c r="AL104" s="50" t="str">
        <f t="shared" si="31"/>
        <v>Check Data</v>
      </c>
      <c r="AM104" s="49" t="str">
        <f>IF(B104="","",IF(K104="S1","S1",INDEX(#REF!,#REF!)))</f>
        <v/>
      </c>
      <c r="AN104" s="49" t="str">
        <f>K104</f>
        <v>M2</v>
      </c>
      <c r="AO104" s="50" t="b">
        <f>K104=AM104</f>
        <v>0</v>
      </c>
      <c r="AP104" s="50"/>
    </row>
    <row r="105" spans="1:42" ht="21.75">
      <c r="A105" s="49">
        <v>103</v>
      </c>
      <c r="B105" s="50"/>
      <c r="C105" s="50"/>
      <c r="D105" s="50" t="s">
        <v>143</v>
      </c>
      <c r="E105" s="49" t="s">
        <v>353</v>
      </c>
      <c r="F105" s="49" t="str">
        <f t="shared" si="16"/>
        <v>28/07/2000</v>
      </c>
      <c r="G105" s="50">
        <f t="shared" si="17"/>
        <v>24</v>
      </c>
      <c r="H105" s="50">
        <f t="shared" si="18"/>
        <v>10</v>
      </c>
      <c r="I105" s="50">
        <f t="shared" si="19"/>
        <v>23</v>
      </c>
      <c r="J105" s="59"/>
      <c r="K105" s="49" t="s">
        <v>136</v>
      </c>
      <c r="L105" s="64"/>
      <c r="M105" s="49" t="s">
        <v>427</v>
      </c>
      <c r="N105" s="49">
        <v>2578</v>
      </c>
      <c r="O105" s="65" t="s">
        <v>287</v>
      </c>
      <c r="P105" s="49" t="str">
        <f t="shared" si="20"/>
        <v>29/10/2020</v>
      </c>
      <c r="Q105" s="68">
        <f t="shared" si="21"/>
        <v>4</v>
      </c>
      <c r="R105" s="68">
        <f t="shared" si="22"/>
        <v>7</v>
      </c>
      <c r="S105" s="68">
        <f t="shared" si="23"/>
        <v>22</v>
      </c>
      <c r="T105" s="65"/>
      <c r="U105" s="65"/>
      <c r="V105" s="49" t="str">
        <f t="shared" si="24"/>
        <v/>
      </c>
      <c r="W105" s="68">
        <f>IF(V105="",0,DATEDIF(V105,P105,"Y"))</f>
        <v>0</v>
      </c>
      <c r="X105" s="68">
        <f>IF(V105="",0,DATEDIF(V105,P105,"YM"))</f>
        <v>0</v>
      </c>
      <c r="Y105" s="68">
        <f>IF(V105="",0,DATEDIF(V105,P105,"MD"))</f>
        <v>0</v>
      </c>
      <c r="Z105" s="49"/>
      <c r="AA105" s="65"/>
      <c r="AB105" s="50" t="str">
        <f t="shared" si="25"/>
        <v/>
      </c>
      <c r="AC105" s="68">
        <f t="shared" si="26"/>
        <v>0</v>
      </c>
      <c r="AD105" s="68">
        <f t="shared" si="27"/>
        <v>0</v>
      </c>
      <c r="AE105" s="68">
        <f t="shared" si="28"/>
        <v>0</v>
      </c>
      <c r="AF105" s="50"/>
      <c r="AG105" s="50" t="s">
        <v>138</v>
      </c>
      <c r="AH105" s="49" t="str">
        <f>IF(AG105="นิติศาสตร์","K5-LAW","K5-POLICY")</f>
        <v>K5-LAW</v>
      </c>
      <c r="AI105" s="72" t="str">
        <f>_xlfn.IFS(B105="","",AND(AH105="K5-LAW",AG105="นิติศาสตร์",K105="S2",T105="",Z105=""),P105,AND(AH105="K5-LAW",AG105="นิติศาสตร์",K105="S1",T105="",Z105=""),EDATE(P105,12),AND(AH105="K5-LAW",AG105="นิติศาสตร์",OR(K105="M2",K105="K4"),T105="",Z105=""),EDATE(P105,12*2),AND(AH105="K5-LAW",AG105="นิติศาสตร์",OR(Z105="M2",Z105="K4"),AC105&gt;=2,OR(AB105&lt;V105,AB105&lt;P105)),EDATE(AB105,12*2),AND(AH105="K5-LAW",AG105="นิติศาสตร์",Z105="S1",AC105&gt;=1,OR(AB105&lt;V105,AB105&lt;P105)),EDATE(AB105,12),AND(AH105="K5-LAW",AG105="นิติศาสตร์",OR(T105="M2",T105="K4"),W105&gt;=2,V105&lt;P105),EDATE(V105,12*2),AND(AH105="K5-LAW",AG105="นิติศาสตร์",T105="S1",W105&gt;=1,V105&lt;P105),EDATE(V105,12),AND(AH105="K5-LAW",AG105="นิติศาสตร์",OR(T105="S2",T105="K5")),V105,AND(AH105="K5-LAW",AG105="นิติศาสตร์",OR(K105="M2",K105="K4"),Q105&gt;=2),EDATE(P105,12*2),AND(AH105="K5-LAW",AG105="นิติศาสตร์",K105="S1",Q105&gt;=1),EDATE(P105,12),AND(AH105="K5-LAW",AG105="นิติศาสตร์",OR(K105="S2",K105="K5")),P105,AND(AH105="K5-POLICY",AG105&lt;&gt;"นิติศาสตร์",K105="S2",T105="",Z105=""),P105,AND(AH105="K5-POLICY",AG105&lt;&gt;"นิติศาสตร์",K105="S1",T105="",Z105=""),EDATE(P105,12),AND(AH105="K5-POLICY",AG105&lt;&gt;"นิติศาสตร์",OR(K105="M2",K105="K4"),T105="",Z105=""),EDATE(P105,12*2),AND(AH105="K5-POLICY",AG105&lt;&gt;"นิติศาสตร์",OR(Z105="M2",Z105="K4"),AC105&gt;=2,OR(AB105&lt;V105,AB105&lt;P105)),EDATE(AB105,12*2),AND(AH105="K5-POLICY",AG105&lt;&gt;"นิติศาสตร์",Z105="S1",AC105&gt;=1,OR(AB105&lt;V105,AB105&lt;P105)),EDATE(AB105,12),AND(AH105="K5-POLICY",AG105&lt;&gt;"นิติศาสตร์",OR(T105="M2",T105="K4"),W105&gt;=2,V105&lt;P105),EDATE(V105,12*2),AND(AH105="K5-POLICY",AG105&lt;&gt;"นิติศาสตร์",T105="S1",W105&gt;=1,V105&lt;P105),EDATE(V105,12),AND(AH105="K5-POLICY",AG105&lt;&gt;"นิติศาสตร์",OR(T105="S2",T105="K5")),V105,AND(AH105="K5-POLICY",AG105&lt;&gt;"นิติศาสตร์",OR(K105="M2",K105="K4"),Q105&gt;=2),EDATE(P105,12*2),AND(AH105="K5-POLICY",AG105&lt;&gt;"นิติศาสตร์",K105="S1",Q105&gt;=1),EDATE(P105,12),AND(AH105="K5-POLICY",AG105&lt;&gt;"นิติศาสตร์",OR(K105="S2",K105="K5")),P105,TRUE,"Check Data")</f>
        <v/>
      </c>
      <c r="AJ105" s="75" t="str">
        <f t="shared" si="29"/>
        <v>Check Data</v>
      </c>
      <c r="AK105" s="76" t="str">
        <f t="shared" si="30"/>
        <v>Check Data</v>
      </c>
      <c r="AL105" s="50" t="str">
        <f t="shared" si="31"/>
        <v>Check Data</v>
      </c>
      <c r="AM105" s="49" t="str">
        <f>IF(B105="","",IF(K105="S1","S1",INDEX(#REF!,#REF!)))</f>
        <v/>
      </c>
      <c r="AN105" s="49" t="str">
        <f>K105</f>
        <v>M2</v>
      </c>
      <c r="AO105" s="50" t="b">
        <f>K105=AM105</f>
        <v>0</v>
      </c>
      <c r="AP105" s="50"/>
    </row>
    <row r="106" spans="1:42" ht="21.75">
      <c r="A106" s="49">
        <v>104</v>
      </c>
      <c r="B106" s="50"/>
      <c r="C106" s="50"/>
      <c r="D106" s="50" t="s">
        <v>143</v>
      </c>
      <c r="E106" s="49" t="s">
        <v>304</v>
      </c>
      <c r="F106" s="49" t="str">
        <f t="shared" si="16"/>
        <v>01/02/2000</v>
      </c>
      <c r="G106" s="50">
        <f t="shared" si="17"/>
        <v>25</v>
      </c>
      <c r="H106" s="50">
        <f t="shared" si="18"/>
        <v>4</v>
      </c>
      <c r="I106" s="50">
        <f t="shared" si="19"/>
        <v>19</v>
      </c>
      <c r="J106" s="59"/>
      <c r="K106" s="49" t="s">
        <v>136</v>
      </c>
      <c r="L106" s="64"/>
      <c r="M106" s="49" t="s">
        <v>427</v>
      </c>
      <c r="N106" s="49">
        <v>2577</v>
      </c>
      <c r="O106" s="65" t="s">
        <v>287</v>
      </c>
      <c r="P106" s="49" t="str">
        <f t="shared" si="20"/>
        <v>29/10/2020</v>
      </c>
      <c r="Q106" s="68">
        <f t="shared" si="21"/>
        <v>4</v>
      </c>
      <c r="R106" s="68">
        <f t="shared" si="22"/>
        <v>7</v>
      </c>
      <c r="S106" s="68">
        <f t="shared" si="23"/>
        <v>22</v>
      </c>
      <c r="T106" s="65"/>
      <c r="U106" s="65"/>
      <c r="V106" s="49" t="str">
        <f t="shared" si="24"/>
        <v/>
      </c>
      <c r="W106" s="68">
        <f>IF(V106="",0,DATEDIF(V106,P106,"Y"))</f>
        <v>0</v>
      </c>
      <c r="X106" s="68">
        <f>IF(V106="",0,DATEDIF(V106,P106,"YM"))</f>
        <v>0</v>
      </c>
      <c r="Y106" s="68">
        <f>IF(V106="",0,DATEDIF(V106,P106,"MD"))</f>
        <v>0</v>
      </c>
      <c r="Z106" s="49"/>
      <c r="AA106" s="65"/>
      <c r="AB106" s="50" t="str">
        <f t="shared" si="25"/>
        <v/>
      </c>
      <c r="AC106" s="68">
        <f t="shared" si="26"/>
        <v>0</v>
      </c>
      <c r="AD106" s="68">
        <f t="shared" si="27"/>
        <v>0</v>
      </c>
      <c r="AE106" s="68">
        <f t="shared" si="28"/>
        <v>0</v>
      </c>
      <c r="AF106" s="50"/>
      <c r="AG106" s="50" t="s">
        <v>482</v>
      </c>
      <c r="AH106" s="49" t="str">
        <f>IF(AG106="นิติศาสตร์","K5-LAW","K5-POLICY")</f>
        <v>K5-POLICY</v>
      </c>
      <c r="AI106" s="72" t="str">
        <f>_xlfn.IFS(B106="","",AND(AH106="K5-LAW",AG106="นิติศาสตร์",K106="S2",T106="",Z106=""),P106,AND(AH106="K5-LAW",AG106="นิติศาสตร์",K106="S1",T106="",Z106=""),EDATE(P106,12),AND(AH106="K5-LAW",AG106="นิติศาสตร์",OR(K106="M2",K106="K4"),T106="",Z106=""),EDATE(P106,12*2),AND(AH106="K5-LAW",AG106="นิติศาสตร์",OR(Z106="M2",Z106="K4"),AC106&gt;=2,OR(AB106&lt;V106,AB106&lt;P106)),EDATE(AB106,12*2),AND(AH106="K5-LAW",AG106="นิติศาสตร์",Z106="S1",AC106&gt;=1,OR(AB106&lt;V106,AB106&lt;P106)),EDATE(AB106,12),AND(AH106="K5-LAW",AG106="นิติศาสตร์",OR(T106="M2",T106="K4"),W106&gt;=2,V106&lt;P106),EDATE(V106,12*2),AND(AH106="K5-LAW",AG106="นิติศาสตร์",T106="S1",W106&gt;=1,V106&lt;P106),EDATE(V106,12),AND(AH106="K5-LAW",AG106="นิติศาสตร์",OR(T106="S2",T106="K5")),V106,AND(AH106="K5-LAW",AG106="นิติศาสตร์",OR(K106="M2",K106="K4"),Q106&gt;=2),EDATE(P106,12*2),AND(AH106="K5-LAW",AG106="นิติศาสตร์",K106="S1",Q106&gt;=1),EDATE(P106,12),AND(AH106="K5-LAW",AG106="นิติศาสตร์",OR(K106="S2",K106="K5")),P106,AND(AH106="K5-POLICY",AG106&lt;&gt;"นิติศาสตร์",K106="S2",T106="",Z106=""),P106,AND(AH106="K5-POLICY",AG106&lt;&gt;"นิติศาสตร์",K106="S1",T106="",Z106=""),EDATE(P106,12),AND(AH106="K5-POLICY",AG106&lt;&gt;"นิติศาสตร์",OR(K106="M2",K106="K4"),T106="",Z106=""),EDATE(P106,12*2),AND(AH106="K5-POLICY",AG106&lt;&gt;"นิติศาสตร์",OR(Z106="M2",Z106="K4"),AC106&gt;=2,OR(AB106&lt;V106,AB106&lt;P106)),EDATE(AB106,12*2),AND(AH106="K5-POLICY",AG106&lt;&gt;"นิติศาสตร์",Z106="S1",AC106&gt;=1,OR(AB106&lt;V106,AB106&lt;P106)),EDATE(AB106,12),AND(AH106="K5-POLICY",AG106&lt;&gt;"นิติศาสตร์",OR(T106="M2",T106="K4"),W106&gt;=2,V106&lt;P106),EDATE(V106,12*2),AND(AH106="K5-POLICY",AG106&lt;&gt;"นิติศาสตร์",T106="S1",W106&gt;=1,V106&lt;P106),EDATE(V106,12),AND(AH106="K5-POLICY",AG106&lt;&gt;"นิติศาสตร์",OR(T106="S2",T106="K5")),V106,AND(AH106="K5-POLICY",AG106&lt;&gt;"นิติศาสตร์",OR(K106="M2",K106="K4"),Q106&gt;=2),EDATE(P106,12*2),AND(AH106="K5-POLICY",AG106&lt;&gt;"นิติศาสตร์",K106="S1",Q106&gt;=1),EDATE(P106,12),AND(AH106="K5-POLICY",AG106&lt;&gt;"นิติศาสตร์",OR(K106="S2",K106="K5")),P106,TRUE,"Check Data")</f>
        <v/>
      </c>
      <c r="AJ106" s="75" t="str">
        <f t="shared" si="29"/>
        <v>Check Data</v>
      </c>
      <c r="AK106" s="76" t="str">
        <f t="shared" si="30"/>
        <v>Check Data</v>
      </c>
      <c r="AL106" s="50" t="str">
        <f t="shared" si="31"/>
        <v>Check Data</v>
      </c>
      <c r="AM106" s="49" t="str">
        <f>IF(B106="","",IF(K106="S1","S1",INDEX(#REF!,#REF!)))</f>
        <v/>
      </c>
      <c r="AN106" s="49" t="str">
        <f>K106</f>
        <v>M2</v>
      </c>
      <c r="AO106" s="50" t="b">
        <f>K106=AM106</f>
        <v>0</v>
      </c>
      <c r="AP106" s="50"/>
    </row>
    <row r="107" spans="1:42" ht="21.75">
      <c r="A107" s="49">
        <v>105</v>
      </c>
      <c r="B107" s="50"/>
      <c r="C107" s="50"/>
      <c r="D107" s="50" t="s">
        <v>143</v>
      </c>
      <c r="E107" s="49" t="s">
        <v>281</v>
      </c>
      <c r="F107" s="49" t="str">
        <f t="shared" si="16"/>
        <v>03/05/1999</v>
      </c>
      <c r="G107" s="50">
        <f t="shared" si="17"/>
        <v>26</v>
      </c>
      <c r="H107" s="50">
        <f t="shared" si="18"/>
        <v>1</v>
      </c>
      <c r="I107" s="50">
        <f t="shared" si="19"/>
        <v>17</v>
      </c>
      <c r="J107" s="59"/>
      <c r="K107" s="49" t="s">
        <v>136</v>
      </c>
      <c r="L107" s="64"/>
      <c r="M107" s="49" t="s">
        <v>427</v>
      </c>
      <c r="N107" s="49">
        <v>2576</v>
      </c>
      <c r="O107" s="65" t="s">
        <v>287</v>
      </c>
      <c r="P107" s="49" t="str">
        <f t="shared" si="20"/>
        <v>29/10/2020</v>
      </c>
      <c r="Q107" s="68">
        <f t="shared" si="21"/>
        <v>4</v>
      </c>
      <c r="R107" s="68">
        <f t="shared" si="22"/>
        <v>7</v>
      </c>
      <c r="S107" s="68">
        <f t="shared" si="23"/>
        <v>22</v>
      </c>
      <c r="T107" s="65"/>
      <c r="U107" s="65"/>
      <c r="V107" s="49" t="str">
        <f t="shared" si="24"/>
        <v/>
      </c>
      <c r="W107" s="68">
        <f>IF(V107="",0,DATEDIF(V107,P107,"Y"))</f>
        <v>0</v>
      </c>
      <c r="X107" s="68">
        <f>IF(V107="",0,DATEDIF(V107,P107,"YM"))</f>
        <v>0</v>
      </c>
      <c r="Y107" s="68">
        <f>IF(V107="",0,DATEDIF(V107,P107,"MD"))</f>
        <v>0</v>
      </c>
      <c r="Z107" s="49"/>
      <c r="AA107" s="65"/>
      <c r="AB107" s="50" t="str">
        <f t="shared" si="25"/>
        <v/>
      </c>
      <c r="AC107" s="68">
        <f t="shared" si="26"/>
        <v>0</v>
      </c>
      <c r="AD107" s="68">
        <f t="shared" si="27"/>
        <v>0</v>
      </c>
      <c r="AE107" s="68">
        <f t="shared" si="28"/>
        <v>0</v>
      </c>
      <c r="AF107" s="50"/>
      <c r="AG107" s="50" t="s">
        <v>516</v>
      </c>
      <c r="AH107" s="49" t="str">
        <f>IF(AG107="นิติศาสตร์","K5-LAW","K5-POLICY")</f>
        <v>K5-POLICY</v>
      </c>
      <c r="AI107" s="72" t="str">
        <f>_xlfn.IFS(B107="","",AND(AH107="K5-LAW",AG107="นิติศาสตร์",K107="S2",T107="",Z107=""),P107,AND(AH107="K5-LAW",AG107="นิติศาสตร์",K107="S1",T107="",Z107=""),EDATE(P107,12),AND(AH107="K5-LAW",AG107="นิติศาสตร์",OR(K107="M2",K107="K4"),T107="",Z107=""),EDATE(P107,12*2),AND(AH107="K5-LAW",AG107="นิติศาสตร์",OR(Z107="M2",Z107="K4"),AC107&gt;=2,OR(AB107&lt;V107,AB107&lt;P107)),EDATE(AB107,12*2),AND(AH107="K5-LAW",AG107="นิติศาสตร์",Z107="S1",AC107&gt;=1,OR(AB107&lt;V107,AB107&lt;P107)),EDATE(AB107,12),AND(AH107="K5-LAW",AG107="นิติศาสตร์",OR(T107="M2",T107="K4"),W107&gt;=2,V107&lt;P107),EDATE(V107,12*2),AND(AH107="K5-LAW",AG107="นิติศาสตร์",T107="S1",W107&gt;=1,V107&lt;P107),EDATE(V107,12),AND(AH107="K5-LAW",AG107="นิติศาสตร์",OR(T107="S2",T107="K5")),V107,AND(AH107="K5-LAW",AG107="นิติศาสตร์",OR(K107="M2",K107="K4"),Q107&gt;=2),EDATE(P107,12*2),AND(AH107="K5-LAW",AG107="นิติศาสตร์",K107="S1",Q107&gt;=1),EDATE(P107,12),AND(AH107="K5-LAW",AG107="นิติศาสตร์",OR(K107="S2",K107="K5")),P107,AND(AH107="K5-POLICY",AG107&lt;&gt;"นิติศาสตร์",K107="S2",T107="",Z107=""),P107,AND(AH107="K5-POLICY",AG107&lt;&gt;"นิติศาสตร์",K107="S1",T107="",Z107=""),EDATE(P107,12),AND(AH107="K5-POLICY",AG107&lt;&gt;"นิติศาสตร์",OR(K107="M2",K107="K4"),T107="",Z107=""),EDATE(P107,12*2),AND(AH107="K5-POLICY",AG107&lt;&gt;"นิติศาสตร์",OR(Z107="M2",Z107="K4"),AC107&gt;=2,OR(AB107&lt;V107,AB107&lt;P107)),EDATE(AB107,12*2),AND(AH107="K5-POLICY",AG107&lt;&gt;"นิติศาสตร์",Z107="S1",AC107&gt;=1,OR(AB107&lt;V107,AB107&lt;P107)),EDATE(AB107,12),AND(AH107="K5-POLICY",AG107&lt;&gt;"นิติศาสตร์",OR(T107="M2",T107="K4"),W107&gt;=2,V107&lt;P107),EDATE(V107,12*2),AND(AH107="K5-POLICY",AG107&lt;&gt;"นิติศาสตร์",T107="S1",W107&gt;=1,V107&lt;P107),EDATE(V107,12),AND(AH107="K5-POLICY",AG107&lt;&gt;"นิติศาสตร์",OR(T107="S2",T107="K5")),V107,AND(AH107="K5-POLICY",AG107&lt;&gt;"นิติศาสตร์",OR(K107="M2",K107="K4"),Q107&gt;=2),EDATE(P107,12*2),AND(AH107="K5-POLICY",AG107&lt;&gt;"นิติศาสตร์",K107="S1",Q107&gt;=1),EDATE(P107,12),AND(AH107="K5-POLICY",AG107&lt;&gt;"นิติศาสตร์",OR(K107="S2",K107="K5")),P107,TRUE,"Check Data")</f>
        <v/>
      </c>
      <c r="AJ107" s="75" t="str">
        <f t="shared" si="29"/>
        <v>Check Data</v>
      </c>
      <c r="AK107" s="76" t="str">
        <f t="shared" si="30"/>
        <v>Check Data</v>
      </c>
      <c r="AL107" s="50" t="str">
        <f t="shared" si="31"/>
        <v>Check Data</v>
      </c>
      <c r="AM107" s="49" t="str">
        <f>IF(B107="","",IF(K107="S1","S1",INDEX(#REF!,#REF!)))</f>
        <v/>
      </c>
      <c r="AN107" s="49" t="str">
        <f>K107</f>
        <v>M2</v>
      </c>
      <c r="AO107" s="50" t="b">
        <f>K107=AM107</f>
        <v>0</v>
      </c>
      <c r="AP107" s="50"/>
    </row>
    <row r="108" spans="1:42" ht="21.75">
      <c r="A108" s="49">
        <v>106</v>
      </c>
      <c r="B108" s="50"/>
      <c r="C108" s="50"/>
      <c r="D108" s="50" t="s">
        <v>143</v>
      </c>
      <c r="E108" s="49" t="s">
        <v>334</v>
      </c>
      <c r="F108" s="49" t="str">
        <f t="shared" si="16"/>
        <v>23/08/1996</v>
      </c>
      <c r="G108" s="50">
        <f t="shared" si="17"/>
        <v>28</v>
      </c>
      <c r="H108" s="50">
        <f t="shared" si="18"/>
        <v>9</v>
      </c>
      <c r="I108" s="50">
        <f t="shared" si="19"/>
        <v>28</v>
      </c>
      <c r="J108" s="59"/>
      <c r="K108" s="49" t="s">
        <v>136</v>
      </c>
      <c r="L108" s="64"/>
      <c r="M108" s="49" t="s">
        <v>427</v>
      </c>
      <c r="N108" s="49">
        <v>2575</v>
      </c>
      <c r="O108" s="65" t="s">
        <v>287</v>
      </c>
      <c r="P108" s="49" t="str">
        <f t="shared" si="20"/>
        <v>29/10/2020</v>
      </c>
      <c r="Q108" s="68">
        <f t="shared" si="21"/>
        <v>4</v>
      </c>
      <c r="R108" s="68">
        <f t="shared" si="22"/>
        <v>7</v>
      </c>
      <c r="S108" s="68">
        <f t="shared" si="23"/>
        <v>22</v>
      </c>
      <c r="T108" s="65"/>
      <c r="U108" s="65"/>
      <c r="V108" s="49" t="str">
        <f t="shared" si="24"/>
        <v/>
      </c>
      <c r="W108" s="68">
        <f>IF(V108="",0,DATEDIF(V108,P108,"Y"))</f>
        <v>0</v>
      </c>
      <c r="X108" s="68">
        <f>IF(V108="",0,DATEDIF(V108,P108,"YM"))</f>
        <v>0</v>
      </c>
      <c r="Y108" s="68">
        <f>IF(V108="",0,DATEDIF(V108,P108,"MD"))</f>
        <v>0</v>
      </c>
      <c r="Z108" s="49"/>
      <c r="AA108" s="65"/>
      <c r="AB108" s="50" t="str">
        <f t="shared" si="25"/>
        <v/>
      </c>
      <c r="AC108" s="68">
        <f t="shared" si="26"/>
        <v>0</v>
      </c>
      <c r="AD108" s="68">
        <f t="shared" si="27"/>
        <v>0</v>
      </c>
      <c r="AE108" s="68">
        <f t="shared" si="28"/>
        <v>0</v>
      </c>
      <c r="AF108" s="50"/>
      <c r="AG108" s="50" t="s">
        <v>512</v>
      </c>
      <c r="AH108" s="49" t="str">
        <f>IF(AG108="นิติศาสตร์","K5-LAW","K5-POLICY")</f>
        <v>K5-POLICY</v>
      </c>
      <c r="AI108" s="72" t="str">
        <f>_xlfn.IFS(B108="","",AND(AH108="K5-LAW",AG108="นิติศาสตร์",K108="S2",T108="",Z108=""),P108,AND(AH108="K5-LAW",AG108="นิติศาสตร์",K108="S1",T108="",Z108=""),EDATE(P108,12),AND(AH108="K5-LAW",AG108="นิติศาสตร์",OR(K108="M2",K108="K4"),T108="",Z108=""),EDATE(P108,12*2),AND(AH108="K5-LAW",AG108="นิติศาสตร์",OR(Z108="M2",Z108="K4"),AC108&gt;=2,OR(AB108&lt;V108,AB108&lt;P108)),EDATE(AB108,12*2),AND(AH108="K5-LAW",AG108="นิติศาสตร์",Z108="S1",AC108&gt;=1,OR(AB108&lt;V108,AB108&lt;P108)),EDATE(AB108,12),AND(AH108="K5-LAW",AG108="นิติศาสตร์",OR(T108="M2",T108="K4"),W108&gt;=2,V108&lt;P108),EDATE(V108,12*2),AND(AH108="K5-LAW",AG108="นิติศาสตร์",T108="S1",W108&gt;=1,V108&lt;P108),EDATE(V108,12),AND(AH108="K5-LAW",AG108="นิติศาสตร์",OR(T108="S2",T108="K5")),V108,AND(AH108="K5-LAW",AG108="นิติศาสตร์",OR(K108="M2",K108="K4"),Q108&gt;=2),EDATE(P108,12*2),AND(AH108="K5-LAW",AG108="นิติศาสตร์",K108="S1",Q108&gt;=1),EDATE(P108,12),AND(AH108="K5-LAW",AG108="นิติศาสตร์",OR(K108="S2",K108="K5")),P108,AND(AH108="K5-POLICY",AG108&lt;&gt;"นิติศาสตร์",K108="S2",T108="",Z108=""),P108,AND(AH108="K5-POLICY",AG108&lt;&gt;"นิติศาสตร์",K108="S1",T108="",Z108=""),EDATE(P108,12),AND(AH108="K5-POLICY",AG108&lt;&gt;"นิติศาสตร์",OR(K108="M2",K108="K4"),T108="",Z108=""),EDATE(P108,12*2),AND(AH108="K5-POLICY",AG108&lt;&gt;"นิติศาสตร์",OR(Z108="M2",Z108="K4"),AC108&gt;=2,OR(AB108&lt;V108,AB108&lt;P108)),EDATE(AB108,12*2),AND(AH108="K5-POLICY",AG108&lt;&gt;"นิติศาสตร์",Z108="S1",AC108&gt;=1,OR(AB108&lt;V108,AB108&lt;P108)),EDATE(AB108,12),AND(AH108="K5-POLICY",AG108&lt;&gt;"นิติศาสตร์",OR(T108="M2",T108="K4"),W108&gt;=2,V108&lt;P108),EDATE(V108,12*2),AND(AH108="K5-POLICY",AG108&lt;&gt;"นิติศาสตร์",T108="S1",W108&gt;=1,V108&lt;P108),EDATE(V108,12),AND(AH108="K5-POLICY",AG108&lt;&gt;"นิติศาสตร์",OR(T108="S2",T108="K5")),V108,AND(AH108="K5-POLICY",AG108&lt;&gt;"นิติศาสตร์",OR(K108="M2",K108="K4"),Q108&gt;=2),EDATE(P108,12*2),AND(AH108="K5-POLICY",AG108&lt;&gt;"นิติศาสตร์",K108="S1",Q108&gt;=1),EDATE(P108,12),AND(AH108="K5-POLICY",AG108&lt;&gt;"นิติศาสตร์",OR(K108="S2",K108="K5")),P108,TRUE,"Check Data")</f>
        <v/>
      </c>
      <c r="AJ108" s="75" t="str">
        <f t="shared" si="29"/>
        <v>Check Data</v>
      </c>
      <c r="AK108" s="76" t="str">
        <f t="shared" si="30"/>
        <v>Check Data</v>
      </c>
      <c r="AL108" s="50" t="str">
        <f t="shared" si="31"/>
        <v>Check Data</v>
      </c>
      <c r="AM108" s="49" t="str">
        <f>IF(B108="","",IF(K108="S1","S1",INDEX(#REF!,#REF!)))</f>
        <v/>
      </c>
      <c r="AN108" s="49" t="str">
        <f>K108</f>
        <v>M2</v>
      </c>
      <c r="AO108" s="50" t="b">
        <f>K108=AM108</f>
        <v>0</v>
      </c>
      <c r="AP108" s="50"/>
    </row>
    <row r="109" spans="1:42" ht="21.75">
      <c r="A109" s="49">
        <v>107</v>
      </c>
      <c r="B109" s="50"/>
      <c r="C109" s="50"/>
      <c r="D109" s="50" t="s">
        <v>143</v>
      </c>
      <c r="E109" s="49" t="s">
        <v>341</v>
      </c>
      <c r="F109" s="49" t="str">
        <f t="shared" si="16"/>
        <v>29/10/2001</v>
      </c>
      <c r="G109" s="50">
        <f t="shared" si="17"/>
        <v>23</v>
      </c>
      <c r="H109" s="50">
        <f t="shared" si="18"/>
        <v>7</v>
      </c>
      <c r="I109" s="50">
        <f t="shared" si="19"/>
        <v>22</v>
      </c>
      <c r="J109" s="59"/>
      <c r="K109" s="49" t="s">
        <v>136</v>
      </c>
      <c r="L109" s="64"/>
      <c r="M109" s="49" t="s">
        <v>426</v>
      </c>
      <c r="N109" s="49">
        <v>2575</v>
      </c>
      <c r="O109" s="65" t="s">
        <v>287</v>
      </c>
      <c r="P109" s="49" t="str">
        <f t="shared" si="20"/>
        <v>29/10/2020</v>
      </c>
      <c r="Q109" s="68">
        <f t="shared" si="21"/>
        <v>4</v>
      </c>
      <c r="R109" s="68">
        <f t="shared" si="22"/>
        <v>7</v>
      </c>
      <c r="S109" s="68">
        <f t="shared" si="23"/>
        <v>22</v>
      </c>
      <c r="T109" s="65"/>
      <c r="U109" s="65"/>
      <c r="V109" s="49" t="str">
        <f t="shared" si="24"/>
        <v/>
      </c>
      <c r="W109" s="68">
        <f>IF(V109="",0,DATEDIF(V109,P109,"Y"))</f>
        <v>0</v>
      </c>
      <c r="X109" s="68">
        <f>IF(V109="",0,DATEDIF(V109,P109,"YM"))</f>
        <v>0</v>
      </c>
      <c r="Y109" s="68">
        <f>IF(V109="",0,DATEDIF(V109,P109,"MD"))</f>
        <v>0</v>
      </c>
      <c r="Z109" s="49"/>
      <c r="AA109" s="65"/>
      <c r="AB109" s="50" t="str">
        <f t="shared" si="25"/>
        <v/>
      </c>
      <c r="AC109" s="68">
        <f t="shared" si="26"/>
        <v>0</v>
      </c>
      <c r="AD109" s="68">
        <f t="shared" si="27"/>
        <v>0</v>
      </c>
      <c r="AE109" s="68">
        <f t="shared" si="28"/>
        <v>0</v>
      </c>
      <c r="AF109" s="50"/>
      <c r="AG109" s="50" t="s">
        <v>486</v>
      </c>
      <c r="AH109" s="49" t="str">
        <f>IF(AG109="นิติศาสตร์","K5-LAW","K5-POLICY")</f>
        <v>K5-POLICY</v>
      </c>
      <c r="AI109" s="72" t="str">
        <f>_xlfn.IFS(B109="","",AND(AH109="K5-LAW",AG109="นิติศาสตร์",K109="S2",T109="",Z109=""),P109,AND(AH109="K5-LAW",AG109="นิติศาสตร์",K109="S1",T109="",Z109=""),EDATE(P109,12),AND(AH109="K5-LAW",AG109="นิติศาสตร์",OR(K109="M2",K109="K4"),T109="",Z109=""),EDATE(P109,12*2),AND(AH109="K5-LAW",AG109="นิติศาสตร์",OR(Z109="M2",Z109="K4"),AC109&gt;=2,OR(AB109&lt;V109,AB109&lt;P109)),EDATE(AB109,12*2),AND(AH109="K5-LAW",AG109="นิติศาสตร์",Z109="S1",AC109&gt;=1,OR(AB109&lt;V109,AB109&lt;P109)),EDATE(AB109,12),AND(AH109="K5-LAW",AG109="นิติศาสตร์",OR(T109="M2",T109="K4"),W109&gt;=2,V109&lt;P109),EDATE(V109,12*2),AND(AH109="K5-LAW",AG109="นิติศาสตร์",T109="S1",W109&gt;=1,V109&lt;P109),EDATE(V109,12),AND(AH109="K5-LAW",AG109="นิติศาสตร์",OR(T109="S2",T109="K5")),V109,AND(AH109="K5-LAW",AG109="นิติศาสตร์",OR(K109="M2",K109="K4"),Q109&gt;=2),EDATE(P109,12*2),AND(AH109="K5-LAW",AG109="นิติศาสตร์",K109="S1",Q109&gt;=1),EDATE(P109,12),AND(AH109="K5-LAW",AG109="นิติศาสตร์",OR(K109="S2",K109="K5")),P109,AND(AH109="K5-POLICY",AG109&lt;&gt;"นิติศาสตร์",K109="S2",T109="",Z109=""),P109,AND(AH109="K5-POLICY",AG109&lt;&gt;"นิติศาสตร์",K109="S1",T109="",Z109=""),EDATE(P109,12),AND(AH109="K5-POLICY",AG109&lt;&gt;"นิติศาสตร์",OR(K109="M2",K109="K4"),T109="",Z109=""),EDATE(P109,12*2),AND(AH109="K5-POLICY",AG109&lt;&gt;"นิติศาสตร์",OR(Z109="M2",Z109="K4"),AC109&gt;=2,OR(AB109&lt;V109,AB109&lt;P109)),EDATE(AB109,12*2),AND(AH109="K5-POLICY",AG109&lt;&gt;"นิติศาสตร์",Z109="S1",AC109&gt;=1,OR(AB109&lt;V109,AB109&lt;P109)),EDATE(AB109,12),AND(AH109="K5-POLICY",AG109&lt;&gt;"นิติศาสตร์",OR(T109="M2",T109="K4"),W109&gt;=2,V109&lt;P109),EDATE(V109,12*2),AND(AH109="K5-POLICY",AG109&lt;&gt;"นิติศาสตร์",T109="S1",W109&gt;=1,V109&lt;P109),EDATE(V109,12),AND(AH109="K5-POLICY",AG109&lt;&gt;"นิติศาสตร์",OR(T109="S2",T109="K5")),V109,AND(AH109="K5-POLICY",AG109&lt;&gt;"นิติศาสตร์",OR(K109="M2",K109="K4"),Q109&gt;=2),EDATE(P109,12*2),AND(AH109="K5-POLICY",AG109&lt;&gt;"นิติศาสตร์",K109="S1",Q109&gt;=1),EDATE(P109,12),AND(AH109="K5-POLICY",AG109&lt;&gt;"นิติศาสตร์",OR(K109="S2",K109="K5")),P109,TRUE,"Check Data")</f>
        <v/>
      </c>
      <c r="AJ109" s="75" t="str">
        <f t="shared" si="29"/>
        <v>Check Data</v>
      </c>
      <c r="AK109" s="76" t="str">
        <f t="shared" si="30"/>
        <v>Check Data</v>
      </c>
      <c r="AL109" s="50" t="str">
        <f t="shared" si="31"/>
        <v>Check Data</v>
      </c>
      <c r="AM109" s="49" t="str">
        <f>IF(B109="","",IF(K109="S1","S1",INDEX(#REF!,#REF!)))</f>
        <v/>
      </c>
      <c r="AN109" s="49" t="str">
        <f>K109</f>
        <v>M2</v>
      </c>
      <c r="AO109" s="50" t="b">
        <f>K109=AM109</f>
        <v>0</v>
      </c>
      <c r="AP109" s="50"/>
    </row>
    <row r="110" spans="1:42" ht="21.75">
      <c r="A110" s="49">
        <v>108</v>
      </c>
      <c r="B110" s="50"/>
      <c r="C110" s="50"/>
      <c r="D110" s="50" t="s">
        <v>143</v>
      </c>
      <c r="E110" s="49" t="s">
        <v>355</v>
      </c>
      <c r="F110" s="49" t="str">
        <f t="shared" si="16"/>
        <v>30/04/1993</v>
      </c>
      <c r="G110" s="50">
        <f t="shared" si="17"/>
        <v>32</v>
      </c>
      <c r="H110" s="50">
        <f t="shared" si="18"/>
        <v>1</v>
      </c>
      <c r="I110" s="50">
        <f t="shared" si="19"/>
        <v>21</v>
      </c>
      <c r="J110" s="59"/>
      <c r="K110" s="49" t="s">
        <v>136</v>
      </c>
      <c r="L110" s="64"/>
      <c r="M110" s="49" t="s">
        <v>427</v>
      </c>
      <c r="N110" s="49">
        <v>2575</v>
      </c>
      <c r="O110" s="65" t="s">
        <v>287</v>
      </c>
      <c r="P110" s="49" t="str">
        <f t="shared" si="20"/>
        <v>29/10/2020</v>
      </c>
      <c r="Q110" s="68">
        <f t="shared" si="21"/>
        <v>4</v>
      </c>
      <c r="R110" s="68">
        <f t="shared" si="22"/>
        <v>7</v>
      </c>
      <c r="S110" s="68">
        <f t="shared" si="23"/>
        <v>22</v>
      </c>
      <c r="T110" s="65"/>
      <c r="U110" s="65"/>
      <c r="V110" s="49" t="str">
        <f t="shared" si="24"/>
        <v/>
      </c>
      <c r="W110" s="68">
        <f>IF(V110="",0,DATEDIF(V110,P110,"Y"))</f>
        <v>0</v>
      </c>
      <c r="X110" s="68">
        <f>IF(V110="",0,DATEDIF(V110,P110,"YM"))</f>
        <v>0</v>
      </c>
      <c r="Y110" s="68">
        <f>IF(V110="",0,DATEDIF(V110,P110,"MD"))</f>
        <v>0</v>
      </c>
      <c r="Z110" s="49"/>
      <c r="AA110" s="65"/>
      <c r="AB110" s="50" t="str">
        <f t="shared" si="25"/>
        <v/>
      </c>
      <c r="AC110" s="68">
        <f t="shared" si="26"/>
        <v>0</v>
      </c>
      <c r="AD110" s="68">
        <f t="shared" si="27"/>
        <v>0</v>
      </c>
      <c r="AE110" s="68">
        <f t="shared" si="28"/>
        <v>0</v>
      </c>
      <c r="AF110" s="50"/>
      <c r="AG110" s="50" t="s">
        <v>484</v>
      </c>
      <c r="AH110" s="49" t="str">
        <f>IF(AG110="นิติศาสตร์","K5-LAW","K5-POLICY")</f>
        <v>K5-POLICY</v>
      </c>
      <c r="AI110" s="72" t="str">
        <f>_xlfn.IFS(B110="","",AND(AH110="K5-LAW",AG110="นิติศาสตร์",K110="S2",T110="",Z110=""),P110,AND(AH110="K5-LAW",AG110="นิติศาสตร์",K110="S1",T110="",Z110=""),EDATE(P110,12),AND(AH110="K5-LAW",AG110="นิติศาสตร์",OR(K110="M2",K110="K4"),T110="",Z110=""),EDATE(P110,12*2),AND(AH110="K5-LAW",AG110="นิติศาสตร์",OR(Z110="M2",Z110="K4"),AC110&gt;=2,OR(AB110&lt;V110,AB110&lt;P110)),EDATE(AB110,12*2),AND(AH110="K5-LAW",AG110="นิติศาสตร์",Z110="S1",AC110&gt;=1,OR(AB110&lt;V110,AB110&lt;P110)),EDATE(AB110,12),AND(AH110="K5-LAW",AG110="นิติศาสตร์",OR(T110="M2",T110="K4"),W110&gt;=2,V110&lt;P110),EDATE(V110,12*2),AND(AH110="K5-LAW",AG110="นิติศาสตร์",T110="S1",W110&gt;=1,V110&lt;P110),EDATE(V110,12),AND(AH110="K5-LAW",AG110="นิติศาสตร์",OR(T110="S2",T110="K5")),V110,AND(AH110="K5-LAW",AG110="นิติศาสตร์",OR(K110="M2",K110="K4"),Q110&gt;=2),EDATE(P110,12*2),AND(AH110="K5-LAW",AG110="นิติศาสตร์",K110="S1",Q110&gt;=1),EDATE(P110,12),AND(AH110="K5-LAW",AG110="นิติศาสตร์",OR(K110="S2",K110="K5")),P110,AND(AH110="K5-POLICY",AG110&lt;&gt;"นิติศาสตร์",K110="S2",T110="",Z110=""),P110,AND(AH110="K5-POLICY",AG110&lt;&gt;"นิติศาสตร์",K110="S1",T110="",Z110=""),EDATE(P110,12),AND(AH110="K5-POLICY",AG110&lt;&gt;"นิติศาสตร์",OR(K110="M2",K110="K4"),T110="",Z110=""),EDATE(P110,12*2),AND(AH110="K5-POLICY",AG110&lt;&gt;"นิติศาสตร์",OR(Z110="M2",Z110="K4"),AC110&gt;=2,OR(AB110&lt;V110,AB110&lt;P110)),EDATE(AB110,12*2),AND(AH110="K5-POLICY",AG110&lt;&gt;"นิติศาสตร์",Z110="S1",AC110&gt;=1,OR(AB110&lt;V110,AB110&lt;P110)),EDATE(AB110,12),AND(AH110="K5-POLICY",AG110&lt;&gt;"นิติศาสตร์",OR(T110="M2",T110="K4"),W110&gt;=2,V110&lt;P110),EDATE(V110,12*2),AND(AH110="K5-POLICY",AG110&lt;&gt;"นิติศาสตร์",T110="S1",W110&gt;=1,V110&lt;P110),EDATE(V110,12),AND(AH110="K5-POLICY",AG110&lt;&gt;"นิติศาสตร์",OR(T110="S2",T110="K5")),V110,AND(AH110="K5-POLICY",AG110&lt;&gt;"นิติศาสตร์",OR(K110="M2",K110="K4"),Q110&gt;=2),EDATE(P110,12*2),AND(AH110="K5-POLICY",AG110&lt;&gt;"นิติศาสตร์",K110="S1",Q110&gt;=1),EDATE(P110,12),AND(AH110="K5-POLICY",AG110&lt;&gt;"นิติศาสตร์",OR(K110="S2",K110="K5")),P110,TRUE,"Check Data")</f>
        <v/>
      </c>
      <c r="AJ110" s="75" t="str">
        <f t="shared" si="29"/>
        <v>Check Data</v>
      </c>
      <c r="AK110" s="76" t="str">
        <f t="shared" si="30"/>
        <v>Check Data</v>
      </c>
      <c r="AL110" s="50" t="str">
        <f t="shared" si="31"/>
        <v>Check Data</v>
      </c>
      <c r="AM110" s="49" t="str">
        <f>IF(B110="","",IF(K110="S1","S1",INDEX(#REF!,#REF!)))</f>
        <v/>
      </c>
      <c r="AN110" s="49" t="str">
        <f>K110</f>
        <v>M2</v>
      </c>
      <c r="AO110" s="50" t="b">
        <f>K110=AM110</f>
        <v>0</v>
      </c>
      <c r="AP110" s="50"/>
    </row>
    <row r="111" spans="1:42" ht="21.75">
      <c r="A111" s="49">
        <v>109</v>
      </c>
      <c r="B111" s="50"/>
      <c r="C111" s="50"/>
      <c r="D111" s="50" t="s">
        <v>143</v>
      </c>
      <c r="E111" s="49" t="s">
        <v>312</v>
      </c>
      <c r="F111" s="49" t="str">
        <f t="shared" si="16"/>
        <v>04/05/2000</v>
      </c>
      <c r="G111" s="50">
        <f t="shared" si="17"/>
        <v>25</v>
      </c>
      <c r="H111" s="50">
        <f t="shared" si="18"/>
        <v>1</v>
      </c>
      <c r="I111" s="50">
        <f t="shared" si="19"/>
        <v>16</v>
      </c>
      <c r="J111" s="59"/>
      <c r="K111" s="49" t="s">
        <v>136</v>
      </c>
      <c r="L111" s="64"/>
      <c r="M111" s="49" t="s">
        <v>427</v>
      </c>
      <c r="N111" s="49">
        <v>2572</v>
      </c>
      <c r="O111" s="65" t="s">
        <v>287</v>
      </c>
      <c r="P111" s="49" t="str">
        <f t="shared" si="20"/>
        <v>29/10/2020</v>
      </c>
      <c r="Q111" s="68">
        <f t="shared" si="21"/>
        <v>4</v>
      </c>
      <c r="R111" s="68">
        <f t="shared" si="22"/>
        <v>7</v>
      </c>
      <c r="S111" s="68">
        <f t="shared" si="23"/>
        <v>22</v>
      </c>
      <c r="T111" s="65"/>
      <c r="U111" s="65"/>
      <c r="V111" s="49" t="str">
        <f t="shared" si="24"/>
        <v/>
      </c>
      <c r="W111" s="68">
        <f>IF(V111="",0,DATEDIF(V111,P111,"Y"))</f>
        <v>0</v>
      </c>
      <c r="X111" s="68">
        <f>IF(V111="",0,DATEDIF(V111,P111,"YM"))</f>
        <v>0</v>
      </c>
      <c r="Y111" s="68">
        <f>IF(V111="",0,DATEDIF(V111,P111,"MD"))</f>
        <v>0</v>
      </c>
      <c r="Z111" s="49"/>
      <c r="AA111" s="65"/>
      <c r="AB111" s="50" t="str">
        <f t="shared" si="25"/>
        <v/>
      </c>
      <c r="AC111" s="68">
        <f t="shared" si="26"/>
        <v>0</v>
      </c>
      <c r="AD111" s="68">
        <f t="shared" si="27"/>
        <v>0</v>
      </c>
      <c r="AE111" s="68">
        <f t="shared" si="28"/>
        <v>0</v>
      </c>
      <c r="AF111" s="50"/>
      <c r="AG111" s="50" t="s">
        <v>163</v>
      </c>
      <c r="AH111" s="49" t="str">
        <f>IF(AG111="นิติศาสตร์","K5-LAW","K5-POLICY")</f>
        <v>K5-POLICY</v>
      </c>
      <c r="AI111" s="72" t="str">
        <f>_xlfn.IFS(B111="","",AND(AH111="K5-LAW",AG111="นิติศาสตร์",K111="S2",T111="",Z111=""),P111,AND(AH111="K5-LAW",AG111="นิติศาสตร์",K111="S1",T111="",Z111=""),EDATE(P111,12),AND(AH111="K5-LAW",AG111="นิติศาสตร์",OR(K111="M2",K111="K4"),T111="",Z111=""),EDATE(P111,12*2),AND(AH111="K5-LAW",AG111="นิติศาสตร์",OR(Z111="M2",Z111="K4"),AC111&gt;=2,OR(AB111&lt;V111,AB111&lt;P111)),EDATE(AB111,12*2),AND(AH111="K5-LAW",AG111="นิติศาสตร์",Z111="S1",AC111&gt;=1,OR(AB111&lt;V111,AB111&lt;P111)),EDATE(AB111,12),AND(AH111="K5-LAW",AG111="นิติศาสตร์",OR(T111="M2",T111="K4"),W111&gt;=2,V111&lt;P111),EDATE(V111,12*2),AND(AH111="K5-LAW",AG111="นิติศาสตร์",T111="S1",W111&gt;=1,V111&lt;P111),EDATE(V111,12),AND(AH111="K5-LAW",AG111="นิติศาสตร์",OR(T111="S2",T111="K5")),V111,AND(AH111="K5-LAW",AG111="นิติศาสตร์",OR(K111="M2",K111="K4"),Q111&gt;=2),EDATE(P111,12*2),AND(AH111="K5-LAW",AG111="นิติศาสตร์",K111="S1",Q111&gt;=1),EDATE(P111,12),AND(AH111="K5-LAW",AG111="นิติศาสตร์",OR(K111="S2",K111="K5")),P111,AND(AH111="K5-POLICY",AG111&lt;&gt;"นิติศาสตร์",K111="S2",T111="",Z111=""),P111,AND(AH111="K5-POLICY",AG111&lt;&gt;"นิติศาสตร์",K111="S1",T111="",Z111=""),EDATE(P111,12),AND(AH111="K5-POLICY",AG111&lt;&gt;"นิติศาสตร์",OR(K111="M2",K111="K4"),T111="",Z111=""),EDATE(P111,12*2),AND(AH111="K5-POLICY",AG111&lt;&gt;"นิติศาสตร์",OR(Z111="M2",Z111="K4"),AC111&gt;=2,OR(AB111&lt;V111,AB111&lt;P111)),EDATE(AB111,12*2),AND(AH111="K5-POLICY",AG111&lt;&gt;"นิติศาสตร์",Z111="S1",AC111&gt;=1,OR(AB111&lt;V111,AB111&lt;P111)),EDATE(AB111,12),AND(AH111="K5-POLICY",AG111&lt;&gt;"นิติศาสตร์",OR(T111="M2",T111="K4"),W111&gt;=2,V111&lt;P111),EDATE(V111,12*2),AND(AH111="K5-POLICY",AG111&lt;&gt;"นิติศาสตร์",T111="S1",W111&gt;=1,V111&lt;P111),EDATE(V111,12),AND(AH111="K5-POLICY",AG111&lt;&gt;"นิติศาสตร์",OR(T111="S2",T111="K5")),V111,AND(AH111="K5-POLICY",AG111&lt;&gt;"นิติศาสตร์",OR(K111="M2",K111="K4"),Q111&gt;=2),EDATE(P111,12*2),AND(AH111="K5-POLICY",AG111&lt;&gt;"นิติศาสตร์",K111="S1",Q111&gt;=1),EDATE(P111,12),AND(AH111="K5-POLICY",AG111&lt;&gt;"นิติศาสตร์",OR(K111="S2",K111="K5")),P111,TRUE,"Check Data")</f>
        <v/>
      </c>
      <c r="AJ111" s="75" t="str">
        <f t="shared" si="29"/>
        <v>Check Data</v>
      </c>
      <c r="AK111" s="76" t="str">
        <f t="shared" si="30"/>
        <v>Check Data</v>
      </c>
      <c r="AL111" s="50" t="str">
        <f t="shared" si="31"/>
        <v>Check Data</v>
      </c>
      <c r="AM111" s="49" t="str">
        <f>IF(B111="","",IF(K111="S1","S1",INDEX(#REF!,#REF!)))</f>
        <v/>
      </c>
      <c r="AN111" s="49" t="str">
        <f>K111</f>
        <v>M2</v>
      </c>
      <c r="AO111" s="50" t="b">
        <f>K111=AM111</f>
        <v>0</v>
      </c>
      <c r="AP111" s="50"/>
    </row>
    <row r="112" spans="1:42" ht="21.75">
      <c r="A112" s="49">
        <v>110</v>
      </c>
      <c r="B112" s="50"/>
      <c r="C112" s="50"/>
      <c r="D112" s="50" t="s">
        <v>143</v>
      </c>
      <c r="E112" s="49" t="s">
        <v>289</v>
      </c>
      <c r="F112" s="49" t="str">
        <f t="shared" si="16"/>
        <v>01/07/1993</v>
      </c>
      <c r="G112" s="50">
        <f t="shared" si="17"/>
        <v>31</v>
      </c>
      <c r="H112" s="50">
        <f t="shared" si="18"/>
        <v>11</v>
      </c>
      <c r="I112" s="50">
        <f t="shared" si="19"/>
        <v>19</v>
      </c>
      <c r="J112" s="59"/>
      <c r="K112" s="49" t="s">
        <v>136</v>
      </c>
      <c r="L112" s="64"/>
      <c r="M112" s="49" t="s">
        <v>427</v>
      </c>
      <c r="N112" s="49">
        <v>2571</v>
      </c>
      <c r="O112" s="65" t="s">
        <v>287</v>
      </c>
      <c r="P112" s="49" t="str">
        <f t="shared" si="20"/>
        <v>29/10/2020</v>
      </c>
      <c r="Q112" s="68">
        <f t="shared" si="21"/>
        <v>4</v>
      </c>
      <c r="R112" s="68">
        <f t="shared" si="22"/>
        <v>7</v>
      </c>
      <c r="S112" s="68">
        <f t="shared" si="23"/>
        <v>22</v>
      </c>
      <c r="T112" s="65"/>
      <c r="U112" s="65"/>
      <c r="V112" s="49" t="str">
        <f t="shared" si="24"/>
        <v/>
      </c>
      <c r="W112" s="68">
        <f>IF(V112="",0,DATEDIF(V112,P112,"Y"))</f>
        <v>0</v>
      </c>
      <c r="X112" s="68">
        <f>IF(V112="",0,DATEDIF(V112,P112,"YM"))</f>
        <v>0</v>
      </c>
      <c r="Y112" s="68">
        <f>IF(V112="",0,DATEDIF(V112,P112,"MD"))</f>
        <v>0</v>
      </c>
      <c r="Z112" s="49"/>
      <c r="AA112" s="65"/>
      <c r="AB112" s="50" t="str">
        <f t="shared" si="25"/>
        <v/>
      </c>
      <c r="AC112" s="68">
        <f t="shared" si="26"/>
        <v>0</v>
      </c>
      <c r="AD112" s="68">
        <f t="shared" si="27"/>
        <v>0</v>
      </c>
      <c r="AE112" s="68">
        <f t="shared" si="28"/>
        <v>0</v>
      </c>
      <c r="AF112" s="50"/>
      <c r="AG112" s="50" t="s">
        <v>196</v>
      </c>
      <c r="AH112" s="49" t="str">
        <f>IF(AG112="นิติศาสตร์","K5-LAW","K5-POLICY")</f>
        <v>K5-POLICY</v>
      </c>
      <c r="AI112" s="72" t="str">
        <f>_xlfn.IFS(B112="","",AND(AH112="K5-LAW",AG112="นิติศาสตร์",K112="S2",T112="",Z112=""),P112,AND(AH112="K5-LAW",AG112="นิติศาสตร์",K112="S1",T112="",Z112=""),EDATE(P112,12),AND(AH112="K5-LAW",AG112="นิติศาสตร์",OR(K112="M2",K112="K4"),T112="",Z112=""),EDATE(P112,12*2),AND(AH112="K5-LAW",AG112="นิติศาสตร์",OR(Z112="M2",Z112="K4"),AC112&gt;=2,OR(AB112&lt;V112,AB112&lt;P112)),EDATE(AB112,12*2),AND(AH112="K5-LAW",AG112="นิติศาสตร์",Z112="S1",AC112&gt;=1,OR(AB112&lt;V112,AB112&lt;P112)),EDATE(AB112,12),AND(AH112="K5-LAW",AG112="นิติศาสตร์",OR(T112="M2",T112="K4"),W112&gt;=2,V112&lt;P112),EDATE(V112,12*2),AND(AH112="K5-LAW",AG112="นิติศาสตร์",T112="S1",W112&gt;=1,V112&lt;P112),EDATE(V112,12),AND(AH112="K5-LAW",AG112="นิติศาสตร์",OR(T112="S2",T112="K5")),V112,AND(AH112="K5-LAW",AG112="นิติศาสตร์",OR(K112="M2",K112="K4"),Q112&gt;=2),EDATE(P112,12*2),AND(AH112="K5-LAW",AG112="นิติศาสตร์",K112="S1",Q112&gt;=1),EDATE(P112,12),AND(AH112="K5-LAW",AG112="นิติศาสตร์",OR(K112="S2",K112="K5")),P112,AND(AH112="K5-POLICY",AG112&lt;&gt;"นิติศาสตร์",K112="S2",T112="",Z112=""),P112,AND(AH112="K5-POLICY",AG112&lt;&gt;"นิติศาสตร์",K112="S1",T112="",Z112=""),EDATE(P112,12),AND(AH112="K5-POLICY",AG112&lt;&gt;"นิติศาสตร์",OR(K112="M2",K112="K4"),T112="",Z112=""),EDATE(P112,12*2),AND(AH112="K5-POLICY",AG112&lt;&gt;"นิติศาสตร์",OR(Z112="M2",Z112="K4"),AC112&gt;=2,OR(AB112&lt;V112,AB112&lt;P112)),EDATE(AB112,12*2),AND(AH112="K5-POLICY",AG112&lt;&gt;"นิติศาสตร์",Z112="S1",AC112&gt;=1,OR(AB112&lt;V112,AB112&lt;P112)),EDATE(AB112,12),AND(AH112="K5-POLICY",AG112&lt;&gt;"นิติศาสตร์",OR(T112="M2",T112="K4"),W112&gt;=2,V112&lt;P112),EDATE(V112,12*2),AND(AH112="K5-POLICY",AG112&lt;&gt;"นิติศาสตร์",T112="S1",W112&gt;=1,V112&lt;P112),EDATE(V112,12),AND(AH112="K5-POLICY",AG112&lt;&gt;"นิติศาสตร์",OR(T112="S2",T112="K5")),V112,AND(AH112="K5-POLICY",AG112&lt;&gt;"นิติศาสตร์",OR(K112="M2",K112="K4"),Q112&gt;=2),EDATE(P112,12*2),AND(AH112="K5-POLICY",AG112&lt;&gt;"นิติศาสตร์",K112="S1",Q112&gt;=1),EDATE(P112,12),AND(AH112="K5-POLICY",AG112&lt;&gt;"นิติศาสตร์",OR(K112="S2",K112="K5")),P112,TRUE,"Check Data")</f>
        <v/>
      </c>
      <c r="AJ112" s="75" t="str">
        <f t="shared" si="29"/>
        <v>Check Data</v>
      </c>
      <c r="AK112" s="76" t="str">
        <f t="shared" si="30"/>
        <v>Check Data</v>
      </c>
      <c r="AL112" s="50" t="str">
        <f t="shared" si="31"/>
        <v>Check Data</v>
      </c>
      <c r="AM112" s="49" t="str">
        <f>IF(B112="","",IF(K112="S1","S1",INDEX(#REF!,#REF!)))</f>
        <v/>
      </c>
      <c r="AN112" s="49" t="str">
        <f>K112</f>
        <v>M2</v>
      </c>
      <c r="AO112" s="50" t="b">
        <f>K112=AM112</f>
        <v>0</v>
      </c>
      <c r="AP112" s="50"/>
    </row>
    <row r="113" spans="1:42" ht="21.75">
      <c r="A113" s="49">
        <v>111</v>
      </c>
      <c r="B113" s="50"/>
      <c r="C113" s="50"/>
      <c r="D113" s="50" t="s">
        <v>143</v>
      </c>
      <c r="E113" s="49" t="s">
        <v>319</v>
      </c>
      <c r="F113" s="49" t="str">
        <f t="shared" si="16"/>
        <v>01/08/2002</v>
      </c>
      <c r="G113" s="50">
        <f t="shared" si="17"/>
        <v>22</v>
      </c>
      <c r="H113" s="50">
        <f t="shared" si="18"/>
        <v>10</v>
      </c>
      <c r="I113" s="50">
        <f t="shared" si="19"/>
        <v>19</v>
      </c>
      <c r="J113" s="59"/>
      <c r="K113" s="49" t="s">
        <v>136</v>
      </c>
      <c r="L113" s="64"/>
      <c r="M113" s="49" t="s">
        <v>427</v>
      </c>
      <c r="N113" s="49">
        <v>2575</v>
      </c>
      <c r="O113" s="65" t="s">
        <v>287</v>
      </c>
      <c r="P113" s="49" t="str">
        <f t="shared" si="20"/>
        <v>29/10/2020</v>
      </c>
      <c r="Q113" s="68">
        <f t="shared" si="21"/>
        <v>4</v>
      </c>
      <c r="R113" s="68">
        <f t="shared" si="22"/>
        <v>7</v>
      </c>
      <c r="S113" s="68">
        <f t="shared" si="23"/>
        <v>22</v>
      </c>
      <c r="T113" s="65"/>
      <c r="U113" s="65"/>
      <c r="V113" s="49" t="str">
        <f t="shared" si="24"/>
        <v/>
      </c>
      <c r="W113" s="68">
        <f>IF(V113="",0,DATEDIF(V113,P113,"Y"))</f>
        <v>0</v>
      </c>
      <c r="X113" s="68">
        <f>IF(V113="",0,DATEDIF(V113,P113,"YM"))</f>
        <v>0</v>
      </c>
      <c r="Y113" s="68">
        <f>IF(V113="",0,DATEDIF(V113,P113,"MD"))</f>
        <v>0</v>
      </c>
      <c r="Z113" s="49"/>
      <c r="AA113" s="65"/>
      <c r="AB113" s="50" t="str">
        <f t="shared" si="25"/>
        <v/>
      </c>
      <c r="AC113" s="68">
        <f t="shared" si="26"/>
        <v>0</v>
      </c>
      <c r="AD113" s="68">
        <f t="shared" si="27"/>
        <v>0</v>
      </c>
      <c r="AE113" s="68">
        <f t="shared" si="28"/>
        <v>0</v>
      </c>
      <c r="AF113" s="50"/>
      <c r="AG113" s="50" t="s">
        <v>517</v>
      </c>
      <c r="AH113" s="49" t="str">
        <f>IF(AG113="นิติศาสตร์","K5-LAW","K5-POLICY")</f>
        <v>K5-POLICY</v>
      </c>
      <c r="AI113" s="72" t="str">
        <f>_xlfn.IFS(B113="","",AND(AH113="K5-LAW",AG113="นิติศาสตร์",K113="S2",T113="",Z113=""),P113,AND(AH113="K5-LAW",AG113="นิติศาสตร์",K113="S1",T113="",Z113=""),EDATE(P113,12),AND(AH113="K5-LAW",AG113="นิติศาสตร์",OR(K113="M2",K113="K4"),T113="",Z113=""),EDATE(P113,12*2),AND(AH113="K5-LAW",AG113="นิติศาสตร์",OR(Z113="M2",Z113="K4"),AC113&gt;=2,OR(AB113&lt;V113,AB113&lt;P113)),EDATE(AB113,12*2),AND(AH113="K5-LAW",AG113="นิติศาสตร์",Z113="S1",AC113&gt;=1,OR(AB113&lt;V113,AB113&lt;P113)),EDATE(AB113,12),AND(AH113="K5-LAW",AG113="นิติศาสตร์",OR(T113="M2",T113="K4"),W113&gt;=2,V113&lt;P113),EDATE(V113,12*2),AND(AH113="K5-LAW",AG113="นิติศาสตร์",T113="S1",W113&gt;=1,V113&lt;P113),EDATE(V113,12),AND(AH113="K5-LAW",AG113="นิติศาสตร์",OR(T113="S2",T113="K5")),V113,AND(AH113="K5-LAW",AG113="นิติศาสตร์",OR(K113="M2",K113="K4"),Q113&gt;=2),EDATE(P113,12*2),AND(AH113="K5-LAW",AG113="นิติศาสตร์",K113="S1",Q113&gt;=1),EDATE(P113,12),AND(AH113="K5-LAW",AG113="นิติศาสตร์",OR(K113="S2",K113="K5")),P113,AND(AH113="K5-POLICY",AG113&lt;&gt;"นิติศาสตร์",K113="S2",T113="",Z113=""),P113,AND(AH113="K5-POLICY",AG113&lt;&gt;"นิติศาสตร์",K113="S1",T113="",Z113=""),EDATE(P113,12),AND(AH113="K5-POLICY",AG113&lt;&gt;"นิติศาสตร์",OR(K113="M2",K113="K4"),T113="",Z113=""),EDATE(P113,12*2),AND(AH113="K5-POLICY",AG113&lt;&gt;"นิติศาสตร์",OR(Z113="M2",Z113="K4"),AC113&gt;=2,OR(AB113&lt;V113,AB113&lt;P113)),EDATE(AB113,12*2),AND(AH113="K5-POLICY",AG113&lt;&gt;"นิติศาสตร์",Z113="S1",AC113&gt;=1,OR(AB113&lt;V113,AB113&lt;P113)),EDATE(AB113,12),AND(AH113="K5-POLICY",AG113&lt;&gt;"นิติศาสตร์",OR(T113="M2",T113="K4"),W113&gt;=2,V113&lt;P113),EDATE(V113,12*2),AND(AH113="K5-POLICY",AG113&lt;&gt;"นิติศาสตร์",T113="S1",W113&gt;=1,V113&lt;P113),EDATE(V113,12),AND(AH113="K5-POLICY",AG113&lt;&gt;"นิติศาสตร์",OR(T113="S2",T113="K5")),V113,AND(AH113="K5-POLICY",AG113&lt;&gt;"นิติศาสตร์",OR(K113="M2",K113="K4"),Q113&gt;=2),EDATE(P113,12*2),AND(AH113="K5-POLICY",AG113&lt;&gt;"นิติศาสตร์",K113="S1",Q113&gt;=1),EDATE(P113,12),AND(AH113="K5-POLICY",AG113&lt;&gt;"นิติศาสตร์",OR(K113="S2",K113="K5")),P113,TRUE,"Check Data")</f>
        <v/>
      </c>
      <c r="AJ113" s="75" t="str">
        <f t="shared" si="29"/>
        <v>Check Data</v>
      </c>
      <c r="AK113" s="76" t="str">
        <f t="shared" si="30"/>
        <v>Check Data</v>
      </c>
      <c r="AL113" s="50" t="str">
        <f t="shared" si="31"/>
        <v>Check Data</v>
      </c>
      <c r="AM113" s="49" t="str">
        <f>IF(B113="","",IF(K113="S1","S1",INDEX(#REF!,#REF!)))</f>
        <v/>
      </c>
      <c r="AN113" s="49" t="str">
        <f>K113</f>
        <v>M2</v>
      </c>
      <c r="AO113" s="50" t="b">
        <f>K113=AM113</f>
        <v>0</v>
      </c>
      <c r="AP113" s="50"/>
    </row>
    <row r="114" spans="1:42" ht="21.75">
      <c r="A114" s="49">
        <v>112</v>
      </c>
      <c r="B114" s="50"/>
      <c r="C114" s="50"/>
      <c r="D114" s="50" t="s">
        <v>139</v>
      </c>
      <c r="E114" s="49" t="s">
        <v>208</v>
      </c>
      <c r="F114" s="49" t="str">
        <f t="shared" si="16"/>
        <v>01/02/1990</v>
      </c>
      <c r="G114" s="50">
        <f t="shared" si="17"/>
        <v>35</v>
      </c>
      <c r="H114" s="50">
        <f t="shared" si="18"/>
        <v>4</v>
      </c>
      <c r="I114" s="50">
        <f t="shared" si="19"/>
        <v>19</v>
      </c>
      <c r="J114" s="56"/>
      <c r="K114" s="49" t="s">
        <v>136</v>
      </c>
      <c r="L114" s="64"/>
      <c r="M114" s="49" t="s">
        <v>425</v>
      </c>
      <c r="N114" s="49">
        <v>2571</v>
      </c>
      <c r="O114" s="65" t="s">
        <v>225</v>
      </c>
      <c r="P114" s="49" t="str">
        <f t="shared" si="20"/>
        <v>30/11/2020</v>
      </c>
      <c r="Q114" s="68">
        <f t="shared" si="21"/>
        <v>4</v>
      </c>
      <c r="R114" s="68">
        <f t="shared" si="22"/>
        <v>6</v>
      </c>
      <c r="S114" s="68">
        <f t="shared" si="23"/>
        <v>21</v>
      </c>
      <c r="T114" s="65"/>
      <c r="U114" s="65"/>
      <c r="V114" s="49" t="str">
        <f t="shared" si="24"/>
        <v/>
      </c>
      <c r="W114" s="68">
        <f>IF(V114="",0,DATEDIF(V114,P114,"Y"))</f>
        <v>0</v>
      </c>
      <c r="X114" s="68">
        <f>IF(V114="",0,DATEDIF(V114,P114,"YM"))</f>
        <v>0</v>
      </c>
      <c r="Y114" s="68">
        <f>IF(V114="",0,DATEDIF(V114,P114,"MD"))</f>
        <v>0</v>
      </c>
      <c r="Z114" s="49"/>
      <c r="AA114" s="65"/>
      <c r="AB114" s="50" t="str">
        <f t="shared" si="25"/>
        <v/>
      </c>
      <c r="AC114" s="68">
        <f t="shared" si="26"/>
        <v>0</v>
      </c>
      <c r="AD114" s="68">
        <f t="shared" si="27"/>
        <v>0</v>
      </c>
      <c r="AE114" s="68">
        <f t="shared" si="28"/>
        <v>0</v>
      </c>
      <c r="AF114" s="50"/>
      <c r="AG114" s="50" t="s">
        <v>167</v>
      </c>
      <c r="AH114" s="49" t="str">
        <f>IF(AG114="นิติศาสตร์","K5-LAW","K5-POLICY")</f>
        <v>K5-POLICY</v>
      </c>
      <c r="AI114" s="72" t="str">
        <f>_xlfn.IFS(B114="","",AND(AH114="K5-LAW",AG114="นิติศาสตร์",K114="S2",T114="",Z114=""),P114,AND(AH114="K5-LAW",AG114="นิติศาสตร์",K114="S1",T114="",Z114=""),EDATE(P114,12),AND(AH114="K5-LAW",AG114="นิติศาสตร์",OR(K114="M2",K114="K4"),T114="",Z114=""),EDATE(P114,12*2),AND(AH114="K5-LAW",AG114="นิติศาสตร์",OR(Z114="M2",Z114="K4"),AC114&gt;=2,OR(AB114&lt;V114,AB114&lt;P114)),EDATE(AB114,12*2),AND(AH114="K5-LAW",AG114="นิติศาสตร์",Z114="S1",AC114&gt;=1,OR(AB114&lt;V114,AB114&lt;P114)),EDATE(AB114,12),AND(AH114="K5-LAW",AG114="นิติศาสตร์",OR(T114="M2",T114="K4"),W114&gt;=2,V114&lt;P114),EDATE(V114,12*2),AND(AH114="K5-LAW",AG114="นิติศาสตร์",T114="S1",W114&gt;=1,V114&lt;P114),EDATE(V114,12),AND(AH114="K5-LAW",AG114="นิติศาสตร์",OR(T114="S2",T114="K5")),V114,AND(AH114="K5-LAW",AG114="นิติศาสตร์",OR(K114="M2",K114="K4"),Q114&gt;=2),EDATE(P114,12*2),AND(AH114="K5-LAW",AG114="นิติศาสตร์",K114="S1",Q114&gt;=1),EDATE(P114,12),AND(AH114="K5-LAW",AG114="นิติศาสตร์",OR(K114="S2",K114="K5")),P114,AND(AH114="K5-POLICY",AG114&lt;&gt;"นิติศาสตร์",K114="S2",T114="",Z114=""),P114,AND(AH114="K5-POLICY",AG114&lt;&gt;"นิติศาสตร์",K114="S1",T114="",Z114=""),EDATE(P114,12),AND(AH114="K5-POLICY",AG114&lt;&gt;"นิติศาสตร์",OR(K114="M2",K114="K4"),T114="",Z114=""),EDATE(P114,12*2),AND(AH114="K5-POLICY",AG114&lt;&gt;"นิติศาสตร์",OR(Z114="M2",Z114="K4"),AC114&gt;=2,OR(AB114&lt;V114,AB114&lt;P114)),EDATE(AB114,12*2),AND(AH114="K5-POLICY",AG114&lt;&gt;"นิติศาสตร์",Z114="S1",AC114&gt;=1,OR(AB114&lt;V114,AB114&lt;P114)),EDATE(AB114,12),AND(AH114="K5-POLICY",AG114&lt;&gt;"นิติศาสตร์",OR(T114="M2",T114="K4"),W114&gt;=2,V114&lt;P114),EDATE(V114,12*2),AND(AH114="K5-POLICY",AG114&lt;&gt;"นิติศาสตร์",T114="S1",W114&gt;=1,V114&lt;P114),EDATE(V114,12),AND(AH114="K5-POLICY",AG114&lt;&gt;"นิติศาสตร์",OR(T114="S2",T114="K5")),V114,AND(AH114="K5-POLICY",AG114&lt;&gt;"นิติศาสตร์",OR(K114="M2",K114="K4"),Q114&gt;=2),EDATE(P114,12*2),AND(AH114="K5-POLICY",AG114&lt;&gt;"นิติศาสตร์",K114="S1",Q114&gt;=1),EDATE(P114,12),AND(AH114="K5-POLICY",AG114&lt;&gt;"นิติศาสตร์",OR(K114="S2",K114="K5")),P114,TRUE,"Check Data")</f>
        <v/>
      </c>
      <c r="AJ114" s="75" t="str">
        <f t="shared" si="29"/>
        <v>Check Data</v>
      </c>
      <c r="AK114" s="76" t="str">
        <f t="shared" si="30"/>
        <v>Check Data</v>
      </c>
      <c r="AL114" s="50" t="str">
        <f t="shared" si="31"/>
        <v>Check Data</v>
      </c>
      <c r="AM114" s="49" t="str">
        <f>IF(B114="","",IF(K114="S1","S1",INDEX(#REF!,#REF!)))</f>
        <v/>
      </c>
      <c r="AN114" s="49" t="str">
        <f>K114</f>
        <v>M2</v>
      </c>
      <c r="AO114" s="50" t="b">
        <f>K114=AM114</f>
        <v>0</v>
      </c>
      <c r="AP114" s="50"/>
    </row>
    <row r="115" spans="1:42" ht="21.75">
      <c r="A115" s="49">
        <v>113</v>
      </c>
      <c r="B115" s="50"/>
      <c r="C115" s="50"/>
      <c r="D115" s="50" t="s">
        <v>139</v>
      </c>
      <c r="E115" s="49" t="s">
        <v>176</v>
      </c>
      <c r="F115" s="49" t="str">
        <f t="shared" si="16"/>
        <v>01/03/1990</v>
      </c>
      <c r="G115" s="50">
        <f t="shared" si="17"/>
        <v>35</v>
      </c>
      <c r="H115" s="50">
        <f t="shared" si="18"/>
        <v>3</v>
      </c>
      <c r="I115" s="50">
        <f t="shared" si="19"/>
        <v>19</v>
      </c>
      <c r="J115" s="58"/>
      <c r="K115" s="49" t="s">
        <v>136</v>
      </c>
      <c r="L115" s="64"/>
      <c r="M115" s="49" t="s">
        <v>427</v>
      </c>
      <c r="N115" s="49">
        <v>2569</v>
      </c>
      <c r="O115" s="65" t="s">
        <v>225</v>
      </c>
      <c r="P115" s="49" t="str">
        <f t="shared" si="20"/>
        <v>30/11/2020</v>
      </c>
      <c r="Q115" s="68">
        <f t="shared" si="21"/>
        <v>4</v>
      </c>
      <c r="R115" s="68">
        <f t="shared" si="22"/>
        <v>6</v>
      </c>
      <c r="S115" s="68">
        <f t="shared" si="23"/>
        <v>21</v>
      </c>
      <c r="T115" s="65"/>
      <c r="U115" s="65"/>
      <c r="V115" s="49" t="str">
        <f t="shared" si="24"/>
        <v/>
      </c>
      <c r="W115" s="68">
        <f>IF(V115="",0,DATEDIF(V115,P115,"Y"))</f>
        <v>0</v>
      </c>
      <c r="X115" s="68">
        <f>IF(V115="",0,DATEDIF(V115,P115,"YM"))</f>
        <v>0</v>
      </c>
      <c r="Y115" s="68">
        <f>IF(V115="",0,DATEDIF(V115,P115,"MD"))</f>
        <v>0</v>
      </c>
      <c r="Z115" s="49"/>
      <c r="AA115" s="65"/>
      <c r="AB115" s="50" t="str">
        <f t="shared" si="25"/>
        <v/>
      </c>
      <c r="AC115" s="68">
        <f t="shared" si="26"/>
        <v>0</v>
      </c>
      <c r="AD115" s="68">
        <f t="shared" si="27"/>
        <v>0</v>
      </c>
      <c r="AE115" s="68">
        <f t="shared" si="28"/>
        <v>0</v>
      </c>
      <c r="AF115" s="50"/>
      <c r="AG115" s="50" t="s">
        <v>138</v>
      </c>
      <c r="AH115" s="49" t="str">
        <f>IF(AG115="นิติศาสตร์","K5-LAW","K5-POLICY")</f>
        <v>K5-LAW</v>
      </c>
      <c r="AI115" s="72" t="str">
        <f>_xlfn.IFS(B115="","",AND(AH115="K5-LAW",AG115="นิติศาสตร์",K115="S2",T115="",Z115=""),P115,AND(AH115="K5-LAW",AG115="นิติศาสตร์",K115="S1",T115="",Z115=""),EDATE(P115,12),AND(AH115="K5-LAW",AG115="นิติศาสตร์",OR(K115="M2",K115="K4"),T115="",Z115=""),EDATE(P115,12*2),AND(AH115="K5-LAW",AG115="นิติศาสตร์",OR(Z115="M2",Z115="K4"),AC115&gt;=2,OR(AB115&lt;V115,AB115&lt;P115)),EDATE(AB115,12*2),AND(AH115="K5-LAW",AG115="นิติศาสตร์",Z115="S1",AC115&gt;=1,OR(AB115&lt;V115,AB115&lt;P115)),EDATE(AB115,12),AND(AH115="K5-LAW",AG115="นิติศาสตร์",OR(T115="M2",T115="K4"),W115&gt;=2,V115&lt;P115),EDATE(V115,12*2),AND(AH115="K5-LAW",AG115="นิติศาสตร์",T115="S1",W115&gt;=1,V115&lt;P115),EDATE(V115,12),AND(AH115="K5-LAW",AG115="นิติศาสตร์",OR(T115="S2",T115="K5")),V115,AND(AH115="K5-LAW",AG115="นิติศาสตร์",OR(K115="M2",K115="K4"),Q115&gt;=2),EDATE(P115,12*2),AND(AH115="K5-LAW",AG115="นิติศาสตร์",K115="S1",Q115&gt;=1),EDATE(P115,12),AND(AH115="K5-LAW",AG115="นิติศาสตร์",OR(K115="S2",K115="K5")),P115,AND(AH115="K5-POLICY",AG115&lt;&gt;"นิติศาสตร์",K115="S2",T115="",Z115=""),P115,AND(AH115="K5-POLICY",AG115&lt;&gt;"นิติศาสตร์",K115="S1",T115="",Z115=""),EDATE(P115,12),AND(AH115="K5-POLICY",AG115&lt;&gt;"นิติศาสตร์",OR(K115="M2",K115="K4"),T115="",Z115=""),EDATE(P115,12*2),AND(AH115="K5-POLICY",AG115&lt;&gt;"นิติศาสตร์",OR(Z115="M2",Z115="K4"),AC115&gt;=2,OR(AB115&lt;V115,AB115&lt;P115)),EDATE(AB115,12*2),AND(AH115="K5-POLICY",AG115&lt;&gt;"นิติศาสตร์",Z115="S1",AC115&gt;=1,OR(AB115&lt;V115,AB115&lt;P115)),EDATE(AB115,12),AND(AH115="K5-POLICY",AG115&lt;&gt;"นิติศาสตร์",OR(T115="M2",T115="K4"),W115&gt;=2,V115&lt;P115),EDATE(V115,12*2),AND(AH115="K5-POLICY",AG115&lt;&gt;"นิติศาสตร์",T115="S1",W115&gt;=1,V115&lt;P115),EDATE(V115,12),AND(AH115="K5-POLICY",AG115&lt;&gt;"นิติศาสตร์",OR(T115="S2",T115="K5")),V115,AND(AH115="K5-POLICY",AG115&lt;&gt;"นิติศาสตร์",OR(K115="M2",K115="K4"),Q115&gt;=2),EDATE(P115,12*2),AND(AH115="K5-POLICY",AG115&lt;&gt;"นิติศาสตร์",K115="S1",Q115&gt;=1),EDATE(P115,12),AND(AH115="K5-POLICY",AG115&lt;&gt;"นิติศาสตร์",OR(K115="S2",K115="K5")),P115,TRUE,"Check Data")</f>
        <v/>
      </c>
      <c r="AJ115" s="75" t="str">
        <f t="shared" si="29"/>
        <v>Check Data</v>
      </c>
      <c r="AK115" s="76" t="str">
        <f t="shared" si="30"/>
        <v>Check Data</v>
      </c>
      <c r="AL115" s="50" t="str">
        <f t="shared" si="31"/>
        <v>Check Data</v>
      </c>
      <c r="AM115" s="49" t="str">
        <f>IF(B115="","",IF(K115="S1","S1",INDEX(#REF!,#REF!)))</f>
        <v/>
      </c>
      <c r="AN115" s="49" t="str">
        <f>K115</f>
        <v>M2</v>
      </c>
      <c r="AO115" s="50" t="b">
        <f>K115=AM115</f>
        <v>0</v>
      </c>
      <c r="AP115" s="50"/>
    </row>
    <row r="116" spans="1:42" ht="21.75">
      <c r="A116" s="49">
        <v>114</v>
      </c>
      <c r="B116" s="50"/>
      <c r="C116" s="50"/>
      <c r="D116" s="50" t="s">
        <v>139</v>
      </c>
      <c r="E116" s="49" t="s">
        <v>231</v>
      </c>
      <c r="F116" s="49" t="str">
        <f t="shared" si="16"/>
        <v>15/05/1995</v>
      </c>
      <c r="G116" s="50">
        <f t="shared" si="17"/>
        <v>30</v>
      </c>
      <c r="H116" s="50">
        <f t="shared" si="18"/>
        <v>1</v>
      </c>
      <c r="I116" s="50">
        <f t="shared" si="19"/>
        <v>5</v>
      </c>
      <c r="J116" s="58"/>
      <c r="K116" s="49" t="s">
        <v>136</v>
      </c>
      <c r="L116" s="64"/>
      <c r="M116" s="49" t="s">
        <v>427</v>
      </c>
      <c r="N116" s="49">
        <v>2574</v>
      </c>
      <c r="O116" s="65" t="s">
        <v>225</v>
      </c>
      <c r="P116" s="49" t="str">
        <f t="shared" si="20"/>
        <v>30/11/2020</v>
      </c>
      <c r="Q116" s="68">
        <f t="shared" si="21"/>
        <v>4</v>
      </c>
      <c r="R116" s="68">
        <f t="shared" si="22"/>
        <v>6</v>
      </c>
      <c r="S116" s="68">
        <f t="shared" si="23"/>
        <v>21</v>
      </c>
      <c r="T116" s="65"/>
      <c r="U116" s="65"/>
      <c r="V116" s="49" t="str">
        <f t="shared" si="24"/>
        <v/>
      </c>
      <c r="W116" s="68">
        <f>IF(V116="",0,DATEDIF(V116,P116,"Y"))</f>
        <v>0</v>
      </c>
      <c r="X116" s="68">
        <f>IF(V116="",0,DATEDIF(V116,P116,"YM"))</f>
        <v>0</v>
      </c>
      <c r="Y116" s="68">
        <f>IF(V116="",0,DATEDIF(V116,P116,"MD"))</f>
        <v>0</v>
      </c>
      <c r="Z116" s="49"/>
      <c r="AA116" s="65"/>
      <c r="AB116" s="50" t="str">
        <f t="shared" si="25"/>
        <v/>
      </c>
      <c r="AC116" s="68">
        <f t="shared" si="26"/>
        <v>0</v>
      </c>
      <c r="AD116" s="68">
        <f t="shared" si="27"/>
        <v>0</v>
      </c>
      <c r="AE116" s="68">
        <f t="shared" si="28"/>
        <v>0</v>
      </c>
      <c r="AF116" s="50"/>
      <c r="AG116" s="50" t="s">
        <v>163</v>
      </c>
      <c r="AH116" s="49" t="str">
        <f>IF(AG116="นิติศาสตร์","K5-LAW","K5-POLICY")</f>
        <v>K5-POLICY</v>
      </c>
      <c r="AI116" s="72" t="str">
        <f>_xlfn.IFS(B116="","",AND(AH116="K5-LAW",AG116="นิติศาสตร์",K116="S2",T116="",Z116=""),P116,AND(AH116="K5-LAW",AG116="นิติศาสตร์",K116="S1",T116="",Z116=""),EDATE(P116,12),AND(AH116="K5-LAW",AG116="นิติศาสตร์",OR(K116="M2",K116="K4"),T116="",Z116=""),EDATE(P116,12*2),AND(AH116="K5-LAW",AG116="นิติศาสตร์",OR(Z116="M2",Z116="K4"),AC116&gt;=2,OR(AB116&lt;V116,AB116&lt;P116)),EDATE(AB116,12*2),AND(AH116="K5-LAW",AG116="นิติศาสตร์",Z116="S1",AC116&gt;=1,OR(AB116&lt;V116,AB116&lt;P116)),EDATE(AB116,12),AND(AH116="K5-LAW",AG116="นิติศาสตร์",OR(T116="M2",T116="K4"),W116&gt;=2,V116&lt;P116),EDATE(V116,12*2),AND(AH116="K5-LAW",AG116="นิติศาสตร์",T116="S1",W116&gt;=1,V116&lt;P116),EDATE(V116,12),AND(AH116="K5-LAW",AG116="นิติศาสตร์",OR(T116="S2",T116="K5")),V116,AND(AH116="K5-LAW",AG116="นิติศาสตร์",OR(K116="M2",K116="K4"),Q116&gt;=2),EDATE(P116,12*2),AND(AH116="K5-LAW",AG116="นิติศาสตร์",K116="S1",Q116&gt;=1),EDATE(P116,12),AND(AH116="K5-LAW",AG116="นิติศาสตร์",OR(K116="S2",K116="K5")),P116,AND(AH116="K5-POLICY",AG116&lt;&gt;"นิติศาสตร์",K116="S2",T116="",Z116=""),P116,AND(AH116="K5-POLICY",AG116&lt;&gt;"นิติศาสตร์",K116="S1",T116="",Z116=""),EDATE(P116,12),AND(AH116="K5-POLICY",AG116&lt;&gt;"นิติศาสตร์",OR(K116="M2",K116="K4"),T116="",Z116=""),EDATE(P116,12*2),AND(AH116="K5-POLICY",AG116&lt;&gt;"นิติศาสตร์",OR(Z116="M2",Z116="K4"),AC116&gt;=2,OR(AB116&lt;V116,AB116&lt;P116)),EDATE(AB116,12*2),AND(AH116="K5-POLICY",AG116&lt;&gt;"นิติศาสตร์",Z116="S1",AC116&gt;=1,OR(AB116&lt;V116,AB116&lt;P116)),EDATE(AB116,12),AND(AH116="K5-POLICY",AG116&lt;&gt;"นิติศาสตร์",OR(T116="M2",T116="K4"),W116&gt;=2,V116&lt;P116),EDATE(V116,12*2),AND(AH116="K5-POLICY",AG116&lt;&gt;"นิติศาสตร์",T116="S1",W116&gt;=1,V116&lt;P116),EDATE(V116,12),AND(AH116="K5-POLICY",AG116&lt;&gt;"นิติศาสตร์",OR(T116="S2",T116="K5")),V116,AND(AH116="K5-POLICY",AG116&lt;&gt;"นิติศาสตร์",OR(K116="M2",K116="K4"),Q116&gt;=2),EDATE(P116,12*2),AND(AH116="K5-POLICY",AG116&lt;&gt;"นิติศาสตร์",K116="S1",Q116&gt;=1),EDATE(P116,12),AND(AH116="K5-POLICY",AG116&lt;&gt;"นิติศาสตร์",OR(K116="S2",K116="K5")),P116,TRUE,"Check Data")</f>
        <v/>
      </c>
      <c r="AJ116" s="75" t="str">
        <f t="shared" si="29"/>
        <v>Check Data</v>
      </c>
      <c r="AK116" s="76" t="str">
        <f t="shared" si="30"/>
        <v>Check Data</v>
      </c>
      <c r="AL116" s="50" t="str">
        <f t="shared" si="31"/>
        <v>Check Data</v>
      </c>
      <c r="AM116" s="49" t="str">
        <f>IF(B116="","",IF(K116="S1","S1",INDEX(#REF!,#REF!)))</f>
        <v/>
      </c>
      <c r="AN116" s="49" t="str">
        <f>K116</f>
        <v>M2</v>
      </c>
      <c r="AO116" s="50" t="b">
        <f>K116=AM116</f>
        <v>0</v>
      </c>
      <c r="AP116" s="50"/>
    </row>
    <row r="117" spans="1:42" ht="21.75">
      <c r="A117" s="49">
        <v>115</v>
      </c>
      <c r="B117" s="50"/>
      <c r="C117" s="50"/>
      <c r="D117" s="50" t="s">
        <v>139</v>
      </c>
      <c r="E117" s="49" t="s">
        <v>224</v>
      </c>
      <c r="F117" s="49" t="str">
        <f t="shared" si="16"/>
        <v>23/04/1997</v>
      </c>
      <c r="G117" s="50">
        <f t="shared" si="17"/>
        <v>28</v>
      </c>
      <c r="H117" s="50">
        <f t="shared" si="18"/>
        <v>1</v>
      </c>
      <c r="I117" s="50">
        <f t="shared" si="19"/>
        <v>28</v>
      </c>
      <c r="J117" s="56"/>
      <c r="K117" s="49" t="s">
        <v>136</v>
      </c>
      <c r="L117" s="64"/>
      <c r="M117" s="49" t="s">
        <v>427</v>
      </c>
      <c r="N117" s="49">
        <v>2573</v>
      </c>
      <c r="O117" s="65" t="s">
        <v>225</v>
      </c>
      <c r="P117" s="49" t="str">
        <f t="shared" si="20"/>
        <v>30/11/2020</v>
      </c>
      <c r="Q117" s="68">
        <f t="shared" si="21"/>
        <v>4</v>
      </c>
      <c r="R117" s="68">
        <f t="shared" si="22"/>
        <v>6</v>
      </c>
      <c r="S117" s="68">
        <f t="shared" si="23"/>
        <v>21</v>
      </c>
      <c r="T117" s="65"/>
      <c r="U117" s="65"/>
      <c r="V117" s="49" t="str">
        <f t="shared" si="24"/>
        <v/>
      </c>
      <c r="W117" s="68">
        <f>IF(V117="",0,DATEDIF(V117,P117,"Y"))</f>
        <v>0</v>
      </c>
      <c r="X117" s="68">
        <f>IF(V117="",0,DATEDIF(V117,P117,"YM"))</f>
        <v>0</v>
      </c>
      <c r="Y117" s="68">
        <f>IF(V117="",0,DATEDIF(V117,P117,"MD"))</f>
        <v>0</v>
      </c>
      <c r="Z117" s="49"/>
      <c r="AA117" s="65"/>
      <c r="AB117" s="50" t="str">
        <f t="shared" si="25"/>
        <v/>
      </c>
      <c r="AC117" s="68">
        <f t="shared" si="26"/>
        <v>0</v>
      </c>
      <c r="AD117" s="68">
        <f t="shared" si="27"/>
        <v>0</v>
      </c>
      <c r="AE117" s="68">
        <f t="shared" si="28"/>
        <v>0</v>
      </c>
      <c r="AF117" s="50"/>
      <c r="AG117" s="50" t="s">
        <v>167</v>
      </c>
      <c r="AH117" s="49" t="str">
        <f>IF(AG117="นิติศาสตร์","K5-LAW","K5-POLICY")</f>
        <v>K5-POLICY</v>
      </c>
      <c r="AI117" s="72" t="str">
        <f>_xlfn.IFS(B117="","",AND(AH117="K5-LAW",AG117="นิติศาสตร์",K117="S2",T117="",Z117=""),P117,AND(AH117="K5-LAW",AG117="นิติศาสตร์",K117="S1",T117="",Z117=""),EDATE(P117,12),AND(AH117="K5-LAW",AG117="นิติศาสตร์",OR(K117="M2",K117="K4"),T117="",Z117=""),EDATE(P117,12*2),AND(AH117="K5-LAW",AG117="นิติศาสตร์",OR(Z117="M2",Z117="K4"),AC117&gt;=2,OR(AB117&lt;V117,AB117&lt;P117)),EDATE(AB117,12*2),AND(AH117="K5-LAW",AG117="นิติศาสตร์",Z117="S1",AC117&gt;=1,OR(AB117&lt;V117,AB117&lt;P117)),EDATE(AB117,12),AND(AH117="K5-LAW",AG117="นิติศาสตร์",OR(T117="M2",T117="K4"),W117&gt;=2,V117&lt;P117),EDATE(V117,12*2),AND(AH117="K5-LAW",AG117="นิติศาสตร์",T117="S1",W117&gt;=1,V117&lt;P117),EDATE(V117,12),AND(AH117="K5-LAW",AG117="นิติศาสตร์",OR(T117="S2",T117="K5")),V117,AND(AH117="K5-LAW",AG117="นิติศาสตร์",OR(K117="M2",K117="K4"),Q117&gt;=2),EDATE(P117,12*2),AND(AH117="K5-LAW",AG117="นิติศาสตร์",K117="S1",Q117&gt;=1),EDATE(P117,12),AND(AH117="K5-LAW",AG117="นิติศาสตร์",OR(K117="S2",K117="K5")),P117,AND(AH117="K5-POLICY",AG117&lt;&gt;"นิติศาสตร์",K117="S2",T117="",Z117=""),P117,AND(AH117="K5-POLICY",AG117&lt;&gt;"นิติศาสตร์",K117="S1",T117="",Z117=""),EDATE(P117,12),AND(AH117="K5-POLICY",AG117&lt;&gt;"นิติศาสตร์",OR(K117="M2",K117="K4"),T117="",Z117=""),EDATE(P117,12*2),AND(AH117="K5-POLICY",AG117&lt;&gt;"นิติศาสตร์",OR(Z117="M2",Z117="K4"),AC117&gt;=2,OR(AB117&lt;V117,AB117&lt;P117)),EDATE(AB117,12*2),AND(AH117="K5-POLICY",AG117&lt;&gt;"นิติศาสตร์",Z117="S1",AC117&gt;=1,OR(AB117&lt;V117,AB117&lt;P117)),EDATE(AB117,12),AND(AH117="K5-POLICY",AG117&lt;&gt;"นิติศาสตร์",OR(T117="M2",T117="K4"),W117&gt;=2,V117&lt;P117),EDATE(V117,12*2),AND(AH117="K5-POLICY",AG117&lt;&gt;"นิติศาสตร์",T117="S1",W117&gt;=1,V117&lt;P117),EDATE(V117,12),AND(AH117="K5-POLICY",AG117&lt;&gt;"นิติศาสตร์",OR(T117="S2",T117="K5")),V117,AND(AH117="K5-POLICY",AG117&lt;&gt;"นิติศาสตร์",OR(K117="M2",K117="K4"),Q117&gt;=2),EDATE(P117,12*2),AND(AH117="K5-POLICY",AG117&lt;&gt;"นิติศาสตร์",K117="S1",Q117&gt;=1),EDATE(P117,12),AND(AH117="K5-POLICY",AG117&lt;&gt;"นิติศาสตร์",OR(K117="S2",K117="K5")),P117,TRUE,"Check Data")</f>
        <v/>
      </c>
      <c r="AJ117" s="75" t="str">
        <f t="shared" si="29"/>
        <v>Check Data</v>
      </c>
      <c r="AK117" s="76" t="str">
        <f t="shared" si="30"/>
        <v>Check Data</v>
      </c>
      <c r="AL117" s="50" t="str">
        <f t="shared" si="31"/>
        <v>Check Data</v>
      </c>
      <c r="AM117" s="49" t="str">
        <f>IF(B117="","",IF(K117="S1","S1",INDEX(#REF!,#REF!)))</f>
        <v/>
      </c>
      <c r="AN117" s="49" t="str">
        <f>K117</f>
        <v>M2</v>
      </c>
      <c r="AO117" s="50" t="b">
        <f>K117=AM117</f>
        <v>0</v>
      </c>
      <c r="AP117" s="50"/>
    </row>
    <row r="118" spans="1:42" ht="21.75">
      <c r="A118" s="49">
        <v>116</v>
      </c>
      <c r="B118" s="50"/>
      <c r="C118" s="50"/>
      <c r="D118" s="50" t="s">
        <v>146</v>
      </c>
      <c r="E118" s="49" t="s">
        <v>395</v>
      </c>
      <c r="F118" s="49" t="str">
        <f t="shared" si="16"/>
        <v>01/07/2003</v>
      </c>
      <c r="G118" s="50">
        <f t="shared" si="17"/>
        <v>21</v>
      </c>
      <c r="H118" s="50">
        <f t="shared" si="18"/>
        <v>11</v>
      </c>
      <c r="I118" s="50">
        <f t="shared" si="19"/>
        <v>19</v>
      </c>
      <c r="J118" s="57"/>
      <c r="K118" s="49" t="s">
        <v>136</v>
      </c>
      <c r="L118" s="64"/>
      <c r="M118" s="49" t="s">
        <v>427</v>
      </c>
      <c r="N118" s="49">
        <v>2578</v>
      </c>
      <c r="O118" s="65" t="s">
        <v>225</v>
      </c>
      <c r="P118" s="49" t="str">
        <f t="shared" si="20"/>
        <v>30/11/2020</v>
      </c>
      <c r="Q118" s="68">
        <f t="shared" si="21"/>
        <v>4</v>
      </c>
      <c r="R118" s="68">
        <f t="shared" si="22"/>
        <v>6</v>
      </c>
      <c r="S118" s="68">
        <f t="shared" si="23"/>
        <v>21</v>
      </c>
      <c r="T118" s="65"/>
      <c r="U118" s="65"/>
      <c r="V118" s="49" t="str">
        <f t="shared" si="24"/>
        <v/>
      </c>
      <c r="W118" s="68">
        <f>IF(V118="",0,DATEDIF(V118,P118,"Y"))</f>
        <v>0</v>
      </c>
      <c r="X118" s="68">
        <f>IF(V118="",0,DATEDIF(V118,P118,"YM"))</f>
        <v>0</v>
      </c>
      <c r="Y118" s="68">
        <f>IF(V118="",0,DATEDIF(V118,P118,"MD"))</f>
        <v>0</v>
      </c>
      <c r="Z118" s="49"/>
      <c r="AA118" s="65"/>
      <c r="AB118" s="50" t="str">
        <f t="shared" si="25"/>
        <v/>
      </c>
      <c r="AC118" s="68">
        <f t="shared" si="26"/>
        <v>0</v>
      </c>
      <c r="AD118" s="68">
        <f t="shared" si="27"/>
        <v>0</v>
      </c>
      <c r="AE118" s="68">
        <f t="shared" si="28"/>
        <v>0</v>
      </c>
      <c r="AF118" s="50"/>
      <c r="AG118" s="50" t="s">
        <v>175</v>
      </c>
      <c r="AH118" s="49" t="str">
        <f>IF(AG118="นิติศาสตร์","K5-LAW","K5-POLICY")</f>
        <v>K5-POLICY</v>
      </c>
      <c r="AI118" s="72" t="str">
        <f>_xlfn.IFS(B118="","",AND(AH118="K5-LAW",AG118="นิติศาสตร์",K118="S2",T118="",Z118=""),P118,AND(AH118="K5-LAW",AG118="นิติศาสตร์",K118="S1",T118="",Z118=""),EDATE(P118,12),AND(AH118="K5-LAW",AG118="นิติศาสตร์",OR(K118="M2",K118="K4"),T118="",Z118=""),EDATE(P118,12*2),AND(AH118="K5-LAW",AG118="นิติศาสตร์",OR(Z118="M2",Z118="K4"),AC118&gt;=2,OR(AB118&lt;V118,AB118&lt;P118)),EDATE(AB118,12*2),AND(AH118="K5-LAW",AG118="นิติศาสตร์",Z118="S1",AC118&gt;=1,OR(AB118&lt;V118,AB118&lt;P118)),EDATE(AB118,12),AND(AH118="K5-LAW",AG118="นิติศาสตร์",OR(T118="M2",T118="K4"),W118&gt;=2,V118&lt;P118),EDATE(V118,12*2),AND(AH118="K5-LAW",AG118="นิติศาสตร์",T118="S1",W118&gt;=1,V118&lt;P118),EDATE(V118,12),AND(AH118="K5-LAW",AG118="นิติศาสตร์",OR(T118="S2",T118="K5")),V118,AND(AH118="K5-LAW",AG118="นิติศาสตร์",OR(K118="M2",K118="K4"),Q118&gt;=2),EDATE(P118,12*2),AND(AH118="K5-LAW",AG118="นิติศาสตร์",K118="S1",Q118&gt;=1),EDATE(P118,12),AND(AH118="K5-LAW",AG118="นิติศาสตร์",OR(K118="S2",K118="K5")),P118,AND(AH118="K5-POLICY",AG118&lt;&gt;"นิติศาสตร์",K118="S2",T118="",Z118=""),P118,AND(AH118="K5-POLICY",AG118&lt;&gt;"นิติศาสตร์",K118="S1",T118="",Z118=""),EDATE(P118,12),AND(AH118="K5-POLICY",AG118&lt;&gt;"นิติศาสตร์",OR(K118="M2",K118="K4"),T118="",Z118=""),EDATE(P118,12*2),AND(AH118="K5-POLICY",AG118&lt;&gt;"นิติศาสตร์",OR(Z118="M2",Z118="K4"),AC118&gt;=2,OR(AB118&lt;V118,AB118&lt;P118)),EDATE(AB118,12*2),AND(AH118="K5-POLICY",AG118&lt;&gt;"นิติศาสตร์",Z118="S1",AC118&gt;=1,OR(AB118&lt;V118,AB118&lt;P118)),EDATE(AB118,12),AND(AH118="K5-POLICY",AG118&lt;&gt;"นิติศาสตร์",OR(T118="M2",T118="K4"),W118&gt;=2,V118&lt;P118),EDATE(V118,12*2),AND(AH118="K5-POLICY",AG118&lt;&gt;"นิติศาสตร์",T118="S1",W118&gt;=1,V118&lt;P118),EDATE(V118,12),AND(AH118="K5-POLICY",AG118&lt;&gt;"นิติศาสตร์",OR(T118="S2",T118="K5")),V118,AND(AH118="K5-POLICY",AG118&lt;&gt;"นิติศาสตร์",OR(K118="M2",K118="K4"),Q118&gt;=2),EDATE(P118,12*2),AND(AH118="K5-POLICY",AG118&lt;&gt;"นิติศาสตร์",K118="S1",Q118&gt;=1),EDATE(P118,12),AND(AH118="K5-POLICY",AG118&lt;&gt;"นิติศาสตร์",OR(K118="S2",K118="K5")),P118,TRUE,"Check Data")</f>
        <v/>
      </c>
      <c r="AJ118" s="75" t="str">
        <f t="shared" si="29"/>
        <v>Check Data</v>
      </c>
      <c r="AK118" s="76" t="str">
        <f t="shared" si="30"/>
        <v>Check Data</v>
      </c>
      <c r="AL118" s="50" t="str">
        <f t="shared" si="31"/>
        <v>Check Data</v>
      </c>
      <c r="AM118" s="49" t="str">
        <f>IF(B118="","",IF(K118="S1","S1",INDEX(#REF!,#REF!)))</f>
        <v/>
      </c>
      <c r="AN118" s="49" t="str">
        <f>K118</f>
        <v>M2</v>
      </c>
      <c r="AO118" s="50" t="b">
        <f>K118=AM118</f>
        <v>0</v>
      </c>
      <c r="AP118" s="50"/>
    </row>
    <row r="119" spans="1:42" ht="21.75">
      <c r="A119" s="49">
        <v>117</v>
      </c>
      <c r="B119" s="50"/>
      <c r="C119" s="53"/>
      <c r="D119" s="50" t="s">
        <v>142</v>
      </c>
      <c r="E119" s="49" t="s">
        <v>273</v>
      </c>
      <c r="F119" s="49" t="str">
        <f t="shared" si="16"/>
        <v>28/04/1985</v>
      </c>
      <c r="G119" s="50">
        <f t="shared" si="17"/>
        <v>40</v>
      </c>
      <c r="H119" s="50">
        <f t="shared" si="18"/>
        <v>1</v>
      </c>
      <c r="I119" s="50">
        <f t="shared" si="19"/>
        <v>23</v>
      </c>
      <c r="J119" s="58"/>
      <c r="K119" s="49" t="s">
        <v>136</v>
      </c>
      <c r="L119" s="64"/>
      <c r="M119" s="49" t="s">
        <v>427</v>
      </c>
      <c r="N119" s="49">
        <v>2569</v>
      </c>
      <c r="O119" s="65" t="s">
        <v>225</v>
      </c>
      <c r="P119" s="49" t="str">
        <f t="shared" si="20"/>
        <v>30/11/2020</v>
      </c>
      <c r="Q119" s="68">
        <f t="shared" si="21"/>
        <v>4</v>
      </c>
      <c r="R119" s="68">
        <f t="shared" si="22"/>
        <v>6</v>
      </c>
      <c r="S119" s="68">
        <f t="shared" si="23"/>
        <v>21</v>
      </c>
      <c r="T119" s="65"/>
      <c r="U119" s="65"/>
      <c r="V119" s="49" t="str">
        <f t="shared" si="24"/>
        <v/>
      </c>
      <c r="W119" s="68">
        <f>IF(V119="",0,DATEDIF(V119,P119,"Y"))</f>
        <v>0</v>
      </c>
      <c r="X119" s="68">
        <f>IF(V119="",0,DATEDIF(V119,P119,"YM"))</f>
        <v>0</v>
      </c>
      <c r="Y119" s="68">
        <f>IF(V119="",0,DATEDIF(V119,P119,"MD"))</f>
        <v>0</v>
      </c>
      <c r="Z119" s="49"/>
      <c r="AA119" s="65"/>
      <c r="AB119" s="50" t="str">
        <f t="shared" si="25"/>
        <v/>
      </c>
      <c r="AC119" s="68">
        <f t="shared" si="26"/>
        <v>0</v>
      </c>
      <c r="AD119" s="68">
        <f t="shared" si="27"/>
        <v>0</v>
      </c>
      <c r="AE119" s="68">
        <f t="shared" si="28"/>
        <v>0</v>
      </c>
      <c r="AF119" s="50"/>
      <c r="AG119" s="50" t="s">
        <v>178</v>
      </c>
      <c r="AH119" s="49" t="str">
        <f>IF(AG119="นิติศาสตร์","K5-LAW","K5-POLICY")</f>
        <v>K5-POLICY</v>
      </c>
      <c r="AI119" s="72" t="str">
        <f>_xlfn.IFS(B119="","",AND(AH119="K5-LAW",AG119="นิติศาสตร์",K119="S2",T119="",Z119=""),P119,AND(AH119="K5-LAW",AG119="นิติศาสตร์",K119="S1",T119="",Z119=""),EDATE(P119,12),AND(AH119="K5-LAW",AG119="นิติศาสตร์",OR(K119="M2",K119="K4"),T119="",Z119=""),EDATE(P119,12*2),AND(AH119="K5-LAW",AG119="นิติศาสตร์",OR(Z119="M2",Z119="K4"),AC119&gt;=2,OR(AB119&lt;V119,AB119&lt;P119)),EDATE(AB119,12*2),AND(AH119="K5-LAW",AG119="นิติศาสตร์",Z119="S1",AC119&gt;=1,OR(AB119&lt;V119,AB119&lt;P119)),EDATE(AB119,12),AND(AH119="K5-LAW",AG119="นิติศาสตร์",OR(T119="M2",T119="K4"),W119&gt;=2,V119&lt;P119),EDATE(V119,12*2),AND(AH119="K5-LAW",AG119="นิติศาสตร์",T119="S1",W119&gt;=1,V119&lt;P119),EDATE(V119,12),AND(AH119="K5-LAW",AG119="นิติศาสตร์",OR(T119="S2",T119="K5")),V119,AND(AH119="K5-LAW",AG119="นิติศาสตร์",OR(K119="M2",K119="K4"),Q119&gt;=2),EDATE(P119,12*2),AND(AH119="K5-LAW",AG119="นิติศาสตร์",K119="S1",Q119&gt;=1),EDATE(P119,12),AND(AH119="K5-LAW",AG119="นิติศาสตร์",OR(K119="S2",K119="K5")),P119,AND(AH119="K5-POLICY",AG119&lt;&gt;"นิติศาสตร์",K119="S2",T119="",Z119=""),P119,AND(AH119="K5-POLICY",AG119&lt;&gt;"นิติศาสตร์",K119="S1",T119="",Z119=""),EDATE(P119,12),AND(AH119="K5-POLICY",AG119&lt;&gt;"นิติศาสตร์",OR(K119="M2",K119="K4"),T119="",Z119=""),EDATE(P119,12*2),AND(AH119="K5-POLICY",AG119&lt;&gt;"นิติศาสตร์",OR(Z119="M2",Z119="K4"),AC119&gt;=2,OR(AB119&lt;V119,AB119&lt;P119)),EDATE(AB119,12*2),AND(AH119="K5-POLICY",AG119&lt;&gt;"นิติศาสตร์",Z119="S1",AC119&gt;=1,OR(AB119&lt;V119,AB119&lt;P119)),EDATE(AB119,12),AND(AH119="K5-POLICY",AG119&lt;&gt;"นิติศาสตร์",OR(T119="M2",T119="K4"),W119&gt;=2,V119&lt;P119),EDATE(V119,12*2),AND(AH119="K5-POLICY",AG119&lt;&gt;"นิติศาสตร์",T119="S1",W119&gt;=1,V119&lt;P119),EDATE(V119,12),AND(AH119="K5-POLICY",AG119&lt;&gt;"นิติศาสตร์",OR(T119="S2",T119="K5")),V119,AND(AH119="K5-POLICY",AG119&lt;&gt;"นิติศาสตร์",OR(K119="M2",K119="K4"),Q119&gt;=2),EDATE(P119,12*2),AND(AH119="K5-POLICY",AG119&lt;&gt;"นิติศาสตร์",K119="S1",Q119&gt;=1),EDATE(P119,12),AND(AH119="K5-POLICY",AG119&lt;&gt;"นิติศาสตร์",OR(K119="S2",K119="K5")),P119,TRUE,"Check Data")</f>
        <v/>
      </c>
      <c r="AJ119" s="75" t="str">
        <f t="shared" si="29"/>
        <v>Check Data</v>
      </c>
      <c r="AK119" s="76" t="str">
        <f t="shared" si="30"/>
        <v>Check Data</v>
      </c>
      <c r="AL119" s="50" t="str">
        <f t="shared" si="31"/>
        <v>Check Data</v>
      </c>
      <c r="AM119" s="49" t="str">
        <f>IF(B119="","",IF(K119="S1","S1",INDEX(#REF!,#REF!)))</f>
        <v/>
      </c>
      <c r="AN119" s="49" t="str">
        <f>K119</f>
        <v>M2</v>
      </c>
      <c r="AO119" s="50" t="b">
        <f>K119=AM119</f>
        <v>0</v>
      </c>
      <c r="AP119" s="50"/>
    </row>
    <row r="120" spans="1:42" ht="21.75">
      <c r="A120" s="49">
        <v>118</v>
      </c>
      <c r="B120" s="50"/>
      <c r="C120" s="50"/>
      <c r="D120" s="50" t="s">
        <v>142</v>
      </c>
      <c r="E120" s="49" t="s">
        <v>282</v>
      </c>
      <c r="F120" s="49" t="str">
        <f t="shared" si="16"/>
        <v>12/12/2000</v>
      </c>
      <c r="G120" s="50">
        <f t="shared" si="17"/>
        <v>24</v>
      </c>
      <c r="H120" s="50">
        <f t="shared" si="18"/>
        <v>6</v>
      </c>
      <c r="I120" s="50">
        <f t="shared" si="19"/>
        <v>8</v>
      </c>
      <c r="J120" s="58"/>
      <c r="K120" s="49" t="s">
        <v>136</v>
      </c>
      <c r="L120" s="64"/>
      <c r="M120" s="49" t="s">
        <v>427</v>
      </c>
      <c r="N120" s="49">
        <v>2581</v>
      </c>
      <c r="O120" s="65" t="s">
        <v>225</v>
      </c>
      <c r="P120" s="49" t="str">
        <f t="shared" si="20"/>
        <v>30/11/2020</v>
      </c>
      <c r="Q120" s="68">
        <f t="shared" si="21"/>
        <v>4</v>
      </c>
      <c r="R120" s="68">
        <f t="shared" si="22"/>
        <v>6</v>
      </c>
      <c r="S120" s="68">
        <f t="shared" si="23"/>
        <v>21</v>
      </c>
      <c r="T120" s="65"/>
      <c r="U120" s="65"/>
      <c r="V120" s="49" t="str">
        <f t="shared" si="24"/>
        <v/>
      </c>
      <c r="W120" s="68">
        <f>IF(V120="",0,DATEDIF(V120,P120,"Y"))</f>
        <v>0</v>
      </c>
      <c r="X120" s="68">
        <f>IF(V120="",0,DATEDIF(V120,P120,"YM"))</f>
        <v>0</v>
      </c>
      <c r="Y120" s="68">
        <f>IF(V120="",0,DATEDIF(V120,P120,"MD"))</f>
        <v>0</v>
      </c>
      <c r="Z120" s="49"/>
      <c r="AA120" s="65"/>
      <c r="AB120" s="50" t="str">
        <f t="shared" si="25"/>
        <v/>
      </c>
      <c r="AC120" s="68">
        <f t="shared" si="26"/>
        <v>0</v>
      </c>
      <c r="AD120" s="68">
        <f t="shared" si="27"/>
        <v>0</v>
      </c>
      <c r="AE120" s="68">
        <f t="shared" si="28"/>
        <v>0</v>
      </c>
      <c r="AF120" s="50"/>
      <c r="AG120" s="50" t="s">
        <v>138</v>
      </c>
      <c r="AH120" s="49" t="str">
        <f>IF(AG120="นิติศาสตร์","K5-LAW","K5-POLICY")</f>
        <v>K5-LAW</v>
      </c>
      <c r="AI120" s="72" t="str">
        <f>_xlfn.IFS(B120="","",AND(AH120="K5-LAW",AG120="นิติศาสตร์",K120="S2",T120="",Z120=""),P120,AND(AH120="K5-LAW",AG120="นิติศาสตร์",K120="S1",T120="",Z120=""),EDATE(P120,12),AND(AH120="K5-LAW",AG120="นิติศาสตร์",OR(K120="M2",K120="K4"),T120="",Z120=""),EDATE(P120,12*2),AND(AH120="K5-LAW",AG120="นิติศาสตร์",OR(Z120="M2",Z120="K4"),AC120&gt;=2,OR(AB120&lt;V120,AB120&lt;P120)),EDATE(AB120,12*2),AND(AH120="K5-LAW",AG120="นิติศาสตร์",Z120="S1",AC120&gt;=1,OR(AB120&lt;V120,AB120&lt;P120)),EDATE(AB120,12),AND(AH120="K5-LAW",AG120="นิติศาสตร์",OR(T120="M2",T120="K4"),W120&gt;=2,V120&lt;P120),EDATE(V120,12*2),AND(AH120="K5-LAW",AG120="นิติศาสตร์",T120="S1",W120&gt;=1,V120&lt;P120),EDATE(V120,12),AND(AH120="K5-LAW",AG120="นิติศาสตร์",OR(T120="S2",T120="K5")),V120,AND(AH120="K5-LAW",AG120="นิติศาสตร์",OR(K120="M2",K120="K4"),Q120&gt;=2),EDATE(P120,12*2),AND(AH120="K5-LAW",AG120="นิติศาสตร์",K120="S1",Q120&gt;=1),EDATE(P120,12),AND(AH120="K5-LAW",AG120="นิติศาสตร์",OR(K120="S2",K120="K5")),P120,AND(AH120="K5-POLICY",AG120&lt;&gt;"นิติศาสตร์",K120="S2",T120="",Z120=""),P120,AND(AH120="K5-POLICY",AG120&lt;&gt;"นิติศาสตร์",K120="S1",T120="",Z120=""),EDATE(P120,12),AND(AH120="K5-POLICY",AG120&lt;&gt;"นิติศาสตร์",OR(K120="M2",K120="K4"),T120="",Z120=""),EDATE(P120,12*2),AND(AH120="K5-POLICY",AG120&lt;&gt;"นิติศาสตร์",OR(Z120="M2",Z120="K4"),AC120&gt;=2,OR(AB120&lt;V120,AB120&lt;P120)),EDATE(AB120,12*2),AND(AH120="K5-POLICY",AG120&lt;&gt;"นิติศาสตร์",Z120="S1",AC120&gt;=1,OR(AB120&lt;V120,AB120&lt;P120)),EDATE(AB120,12),AND(AH120="K5-POLICY",AG120&lt;&gt;"นิติศาสตร์",OR(T120="M2",T120="K4"),W120&gt;=2,V120&lt;P120),EDATE(V120,12*2),AND(AH120="K5-POLICY",AG120&lt;&gt;"นิติศาสตร์",T120="S1",W120&gt;=1,V120&lt;P120),EDATE(V120,12),AND(AH120="K5-POLICY",AG120&lt;&gt;"นิติศาสตร์",OR(T120="S2",T120="K5")),V120,AND(AH120="K5-POLICY",AG120&lt;&gt;"นิติศาสตร์",OR(K120="M2",K120="K4"),Q120&gt;=2),EDATE(P120,12*2),AND(AH120="K5-POLICY",AG120&lt;&gt;"นิติศาสตร์",K120="S1",Q120&gt;=1),EDATE(P120,12),AND(AH120="K5-POLICY",AG120&lt;&gt;"นิติศาสตร์",OR(K120="S2",K120="K5")),P120,TRUE,"Check Data")</f>
        <v/>
      </c>
      <c r="AJ120" s="75" t="str">
        <f t="shared" si="29"/>
        <v>Check Data</v>
      </c>
      <c r="AK120" s="76" t="str">
        <f t="shared" si="30"/>
        <v>Check Data</v>
      </c>
      <c r="AL120" s="50" t="str">
        <f t="shared" si="31"/>
        <v>Check Data</v>
      </c>
      <c r="AM120" s="49" t="str">
        <f>IF(B120="","",IF(K120="S1","S1",INDEX(#REF!,#REF!)))</f>
        <v/>
      </c>
      <c r="AN120" s="49" t="str">
        <f>K120</f>
        <v>M2</v>
      </c>
      <c r="AO120" s="50" t="b">
        <f>K120=AM120</f>
        <v>0</v>
      </c>
      <c r="AP120" s="50"/>
    </row>
    <row r="121" spans="1:42" ht="21.75">
      <c r="A121" s="49">
        <v>119</v>
      </c>
      <c r="B121" s="50"/>
      <c r="C121" s="50"/>
      <c r="D121" s="50" t="s">
        <v>144</v>
      </c>
      <c r="E121" s="49" t="s">
        <v>375</v>
      </c>
      <c r="F121" s="49" t="str">
        <f t="shared" si="16"/>
        <v>06/05/1986</v>
      </c>
      <c r="G121" s="50">
        <f t="shared" si="17"/>
        <v>39</v>
      </c>
      <c r="H121" s="50">
        <f t="shared" si="18"/>
        <v>1</v>
      </c>
      <c r="I121" s="50">
        <f t="shared" si="19"/>
        <v>14</v>
      </c>
      <c r="J121" s="57"/>
      <c r="K121" s="49" t="s">
        <v>136</v>
      </c>
      <c r="L121" s="64"/>
      <c r="M121" s="49" t="s">
        <v>425</v>
      </c>
      <c r="N121" s="49">
        <v>2570</v>
      </c>
      <c r="O121" s="65" t="s">
        <v>376</v>
      </c>
      <c r="P121" s="49" t="str">
        <f t="shared" si="20"/>
        <v>10/03/2021</v>
      </c>
      <c r="Q121" s="68">
        <f t="shared" si="21"/>
        <v>4</v>
      </c>
      <c r="R121" s="68">
        <f t="shared" si="22"/>
        <v>3</v>
      </c>
      <c r="S121" s="68">
        <f t="shared" si="23"/>
        <v>10</v>
      </c>
      <c r="T121" s="65"/>
      <c r="U121" s="65"/>
      <c r="V121" s="49" t="str">
        <f t="shared" si="24"/>
        <v/>
      </c>
      <c r="W121" s="68">
        <f>IF(V121="",0,DATEDIF(V121,P121,"Y"))</f>
        <v>0</v>
      </c>
      <c r="X121" s="68">
        <f>IF(V121="",0,DATEDIF(V121,P121,"YM"))</f>
        <v>0</v>
      </c>
      <c r="Y121" s="68">
        <f>IF(V121="",0,DATEDIF(V121,P121,"MD"))</f>
        <v>0</v>
      </c>
      <c r="Z121" s="49"/>
      <c r="AA121" s="65"/>
      <c r="AB121" s="50" t="str">
        <f t="shared" si="25"/>
        <v/>
      </c>
      <c r="AC121" s="68">
        <f t="shared" si="26"/>
        <v>0</v>
      </c>
      <c r="AD121" s="68">
        <f t="shared" si="27"/>
        <v>0</v>
      </c>
      <c r="AE121" s="68">
        <f t="shared" si="28"/>
        <v>0</v>
      </c>
      <c r="AF121" s="50"/>
      <c r="AG121" s="50" t="s">
        <v>138</v>
      </c>
      <c r="AH121" s="49" t="str">
        <f>IF(AG121="นิติศาสตร์","K5-LAW","K5-POLICY")</f>
        <v>K5-LAW</v>
      </c>
      <c r="AI121" s="72" t="str">
        <f>_xlfn.IFS(B121="","",AND(AH121="K5-LAW",AG121="นิติศาสตร์",K121="S2",T121="",Z121=""),P121,AND(AH121="K5-LAW",AG121="นิติศาสตร์",K121="S1",T121="",Z121=""),EDATE(P121,12),AND(AH121="K5-LAW",AG121="นิติศาสตร์",OR(K121="M2",K121="K4"),T121="",Z121=""),EDATE(P121,12*2),AND(AH121="K5-LAW",AG121="นิติศาสตร์",OR(Z121="M2",Z121="K4"),AC121&gt;=2,OR(AB121&lt;V121,AB121&lt;P121)),EDATE(AB121,12*2),AND(AH121="K5-LAW",AG121="นิติศาสตร์",Z121="S1",AC121&gt;=1,OR(AB121&lt;V121,AB121&lt;P121)),EDATE(AB121,12),AND(AH121="K5-LAW",AG121="นิติศาสตร์",OR(T121="M2",T121="K4"),W121&gt;=2,V121&lt;P121),EDATE(V121,12*2),AND(AH121="K5-LAW",AG121="นิติศาสตร์",T121="S1",W121&gt;=1,V121&lt;P121),EDATE(V121,12),AND(AH121="K5-LAW",AG121="นิติศาสตร์",OR(T121="S2",T121="K5")),V121,AND(AH121="K5-LAW",AG121="นิติศาสตร์",OR(K121="M2",K121="K4"),Q121&gt;=2),EDATE(P121,12*2),AND(AH121="K5-LAW",AG121="นิติศาสตร์",K121="S1",Q121&gt;=1),EDATE(P121,12),AND(AH121="K5-LAW",AG121="นิติศาสตร์",OR(K121="S2",K121="K5")),P121,AND(AH121="K5-POLICY",AG121&lt;&gt;"นิติศาสตร์",K121="S2",T121="",Z121=""),P121,AND(AH121="K5-POLICY",AG121&lt;&gt;"นิติศาสตร์",K121="S1",T121="",Z121=""),EDATE(P121,12),AND(AH121="K5-POLICY",AG121&lt;&gt;"นิติศาสตร์",OR(K121="M2",K121="K4"),T121="",Z121=""),EDATE(P121,12*2),AND(AH121="K5-POLICY",AG121&lt;&gt;"นิติศาสตร์",OR(Z121="M2",Z121="K4"),AC121&gt;=2,OR(AB121&lt;V121,AB121&lt;P121)),EDATE(AB121,12*2),AND(AH121="K5-POLICY",AG121&lt;&gt;"นิติศาสตร์",Z121="S1",AC121&gt;=1,OR(AB121&lt;V121,AB121&lt;P121)),EDATE(AB121,12),AND(AH121="K5-POLICY",AG121&lt;&gt;"นิติศาสตร์",OR(T121="M2",T121="K4"),W121&gt;=2,V121&lt;P121),EDATE(V121,12*2),AND(AH121="K5-POLICY",AG121&lt;&gt;"นิติศาสตร์",T121="S1",W121&gt;=1,V121&lt;P121),EDATE(V121,12),AND(AH121="K5-POLICY",AG121&lt;&gt;"นิติศาสตร์",OR(T121="S2",T121="K5")),V121,AND(AH121="K5-POLICY",AG121&lt;&gt;"นิติศาสตร์",OR(K121="M2",K121="K4"),Q121&gt;=2),EDATE(P121,12*2),AND(AH121="K5-POLICY",AG121&lt;&gt;"นิติศาสตร์",K121="S1",Q121&gt;=1),EDATE(P121,12),AND(AH121="K5-POLICY",AG121&lt;&gt;"นิติศาสตร์",OR(K121="S2",K121="K5")),P121,TRUE,"Check Data")</f>
        <v/>
      </c>
      <c r="AJ121" s="75" t="str">
        <f t="shared" si="29"/>
        <v>Check Data</v>
      </c>
      <c r="AK121" s="76" t="str">
        <f t="shared" si="30"/>
        <v>Check Data</v>
      </c>
      <c r="AL121" s="50" t="str">
        <f t="shared" si="31"/>
        <v>Check Data</v>
      </c>
      <c r="AM121" s="49" t="str">
        <f>IF(B121="","",IF(K121="S1","S1",INDEX(#REF!,#REF!)))</f>
        <v/>
      </c>
      <c r="AN121" s="49" t="str">
        <f>K121</f>
        <v>M2</v>
      </c>
      <c r="AO121" s="50" t="b">
        <f>K121=AM121</f>
        <v>0</v>
      </c>
      <c r="AP121" s="50"/>
    </row>
    <row r="122" spans="1:42" ht="21.75">
      <c r="A122" s="49">
        <v>120</v>
      </c>
      <c r="B122" s="50"/>
      <c r="C122" s="50"/>
      <c r="D122" s="50" t="s">
        <v>143</v>
      </c>
      <c r="E122" s="49" t="s">
        <v>309</v>
      </c>
      <c r="F122" s="49" t="str">
        <f t="shared" si="16"/>
        <v>01/06/1995</v>
      </c>
      <c r="G122" s="50">
        <f t="shared" si="17"/>
        <v>30</v>
      </c>
      <c r="H122" s="50">
        <f t="shared" si="18"/>
        <v>0</v>
      </c>
      <c r="I122" s="50">
        <f t="shared" si="19"/>
        <v>19</v>
      </c>
      <c r="J122" s="59"/>
      <c r="K122" s="49" t="s">
        <v>136</v>
      </c>
      <c r="L122" s="64"/>
      <c r="M122" s="49" t="s">
        <v>427</v>
      </c>
      <c r="N122" s="49">
        <v>2573</v>
      </c>
      <c r="O122" s="65" t="s">
        <v>310</v>
      </c>
      <c r="P122" s="49" t="str">
        <f t="shared" si="20"/>
        <v>07/05/2021</v>
      </c>
      <c r="Q122" s="68">
        <f t="shared" si="21"/>
        <v>4</v>
      </c>
      <c r="R122" s="68">
        <f t="shared" si="22"/>
        <v>1</v>
      </c>
      <c r="S122" s="68">
        <f t="shared" si="23"/>
        <v>13</v>
      </c>
      <c r="T122" s="65"/>
      <c r="U122" s="65"/>
      <c r="V122" s="49" t="str">
        <f t="shared" si="24"/>
        <v/>
      </c>
      <c r="W122" s="68">
        <f>IF(V122="",0,DATEDIF(V122,P122,"Y"))</f>
        <v>0</v>
      </c>
      <c r="X122" s="68">
        <f>IF(V122="",0,DATEDIF(V122,P122,"YM"))</f>
        <v>0</v>
      </c>
      <c r="Y122" s="68">
        <f>IF(V122="",0,DATEDIF(V122,P122,"MD"))</f>
        <v>0</v>
      </c>
      <c r="Z122" s="49"/>
      <c r="AA122" s="65"/>
      <c r="AB122" s="50" t="str">
        <f t="shared" si="25"/>
        <v/>
      </c>
      <c r="AC122" s="68">
        <f t="shared" si="26"/>
        <v>0</v>
      </c>
      <c r="AD122" s="68">
        <f t="shared" si="27"/>
        <v>0</v>
      </c>
      <c r="AE122" s="68">
        <f t="shared" si="28"/>
        <v>0</v>
      </c>
      <c r="AF122" s="50"/>
      <c r="AG122" s="50" t="s">
        <v>518</v>
      </c>
      <c r="AH122" s="49" t="str">
        <f>IF(AG122="นิติศาสตร์","K5-LAW","K5-POLICY")</f>
        <v>K5-POLICY</v>
      </c>
      <c r="AI122" s="72" t="str">
        <f>_xlfn.IFS(B122="","",AND(AH122="K5-LAW",AG122="นิติศาสตร์",K122="S2",T122="",Z122=""),P122,AND(AH122="K5-LAW",AG122="นิติศาสตร์",K122="S1",T122="",Z122=""),EDATE(P122,12),AND(AH122="K5-LAW",AG122="นิติศาสตร์",OR(K122="M2",K122="K4"),T122="",Z122=""),EDATE(P122,12*2),AND(AH122="K5-LAW",AG122="นิติศาสตร์",OR(Z122="M2",Z122="K4"),AC122&gt;=2,OR(AB122&lt;V122,AB122&lt;P122)),EDATE(AB122,12*2),AND(AH122="K5-LAW",AG122="นิติศาสตร์",Z122="S1",AC122&gt;=1,OR(AB122&lt;V122,AB122&lt;P122)),EDATE(AB122,12),AND(AH122="K5-LAW",AG122="นิติศาสตร์",OR(T122="M2",T122="K4"),W122&gt;=2,V122&lt;P122),EDATE(V122,12*2),AND(AH122="K5-LAW",AG122="นิติศาสตร์",T122="S1",W122&gt;=1,V122&lt;P122),EDATE(V122,12),AND(AH122="K5-LAW",AG122="นิติศาสตร์",OR(T122="S2",T122="K5")),V122,AND(AH122="K5-LAW",AG122="นิติศาสตร์",OR(K122="M2",K122="K4"),Q122&gt;=2),EDATE(P122,12*2),AND(AH122="K5-LAW",AG122="นิติศาสตร์",K122="S1",Q122&gt;=1),EDATE(P122,12),AND(AH122="K5-LAW",AG122="นิติศาสตร์",OR(K122="S2",K122="K5")),P122,AND(AH122="K5-POLICY",AG122&lt;&gt;"นิติศาสตร์",K122="S2",T122="",Z122=""),P122,AND(AH122="K5-POLICY",AG122&lt;&gt;"นิติศาสตร์",K122="S1",T122="",Z122=""),EDATE(P122,12),AND(AH122="K5-POLICY",AG122&lt;&gt;"นิติศาสตร์",OR(K122="M2",K122="K4"),T122="",Z122=""),EDATE(P122,12*2),AND(AH122="K5-POLICY",AG122&lt;&gt;"นิติศาสตร์",OR(Z122="M2",Z122="K4"),AC122&gt;=2,OR(AB122&lt;V122,AB122&lt;P122)),EDATE(AB122,12*2),AND(AH122="K5-POLICY",AG122&lt;&gt;"นิติศาสตร์",Z122="S1",AC122&gt;=1,OR(AB122&lt;V122,AB122&lt;P122)),EDATE(AB122,12),AND(AH122="K5-POLICY",AG122&lt;&gt;"นิติศาสตร์",OR(T122="M2",T122="K4"),W122&gt;=2,V122&lt;P122),EDATE(V122,12*2),AND(AH122="K5-POLICY",AG122&lt;&gt;"นิติศาสตร์",T122="S1",W122&gt;=1,V122&lt;P122),EDATE(V122,12),AND(AH122="K5-POLICY",AG122&lt;&gt;"นิติศาสตร์",OR(T122="S2",T122="K5")),V122,AND(AH122="K5-POLICY",AG122&lt;&gt;"นิติศาสตร์",OR(K122="M2",K122="K4"),Q122&gt;=2),EDATE(P122,12*2),AND(AH122="K5-POLICY",AG122&lt;&gt;"นิติศาสตร์",K122="S1",Q122&gt;=1),EDATE(P122,12),AND(AH122="K5-POLICY",AG122&lt;&gt;"นิติศาสตร์",OR(K122="S2",K122="K5")),P122,TRUE,"Check Data")</f>
        <v/>
      </c>
      <c r="AJ122" s="75" t="str">
        <f t="shared" si="29"/>
        <v>Check Data</v>
      </c>
      <c r="AK122" s="76" t="str">
        <f t="shared" si="30"/>
        <v>Check Data</v>
      </c>
      <c r="AL122" s="50" t="str">
        <f t="shared" si="31"/>
        <v>Check Data</v>
      </c>
      <c r="AM122" s="49" t="str">
        <f>IF(B122="","",IF(K122="S1","S1",INDEX(#REF!,#REF!)))</f>
        <v/>
      </c>
      <c r="AN122" s="49" t="str">
        <f>K122</f>
        <v>M2</v>
      </c>
      <c r="AO122" s="50" t="b">
        <f>K122=AM122</f>
        <v>0</v>
      </c>
      <c r="AP122" s="50"/>
    </row>
    <row r="123" spans="1:42" ht="21.75">
      <c r="A123" s="49">
        <v>121</v>
      </c>
      <c r="B123" s="50"/>
      <c r="C123" s="50"/>
      <c r="D123" s="50" t="s">
        <v>143</v>
      </c>
      <c r="E123" s="49" t="s">
        <v>311</v>
      </c>
      <c r="F123" s="49" t="str">
        <f t="shared" si="16"/>
        <v>26/04/1987</v>
      </c>
      <c r="G123" s="50">
        <f t="shared" si="17"/>
        <v>38</v>
      </c>
      <c r="H123" s="50">
        <f t="shared" si="18"/>
        <v>1</v>
      </c>
      <c r="I123" s="50">
        <f t="shared" si="19"/>
        <v>25</v>
      </c>
      <c r="J123" s="59"/>
      <c r="K123" s="49" t="s">
        <v>136</v>
      </c>
      <c r="L123" s="64"/>
      <c r="M123" s="49" t="s">
        <v>427</v>
      </c>
      <c r="N123" s="49">
        <v>2573</v>
      </c>
      <c r="O123" s="65" t="s">
        <v>310</v>
      </c>
      <c r="P123" s="49" t="str">
        <f t="shared" si="20"/>
        <v>07/05/2021</v>
      </c>
      <c r="Q123" s="68">
        <f t="shared" si="21"/>
        <v>4</v>
      </c>
      <c r="R123" s="68">
        <f t="shared" si="22"/>
        <v>1</v>
      </c>
      <c r="S123" s="68">
        <f t="shared" si="23"/>
        <v>13</v>
      </c>
      <c r="T123" s="65"/>
      <c r="U123" s="65"/>
      <c r="V123" s="49" t="str">
        <f t="shared" si="24"/>
        <v/>
      </c>
      <c r="W123" s="68">
        <f>IF(V123="",0,DATEDIF(V123,P123,"Y"))</f>
        <v>0</v>
      </c>
      <c r="X123" s="68">
        <f>IF(V123="",0,DATEDIF(V123,P123,"YM"))</f>
        <v>0</v>
      </c>
      <c r="Y123" s="68">
        <f>IF(V123="",0,DATEDIF(V123,P123,"MD"))</f>
        <v>0</v>
      </c>
      <c r="Z123" s="49"/>
      <c r="AA123" s="65"/>
      <c r="AB123" s="50" t="str">
        <f t="shared" si="25"/>
        <v/>
      </c>
      <c r="AC123" s="68">
        <f t="shared" si="26"/>
        <v>0</v>
      </c>
      <c r="AD123" s="68">
        <f t="shared" si="27"/>
        <v>0</v>
      </c>
      <c r="AE123" s="68">
        <f t="shared" si="28"/>
        <v>0</v>
      </c>
      <c r="AF123" s="50"/>
      <c r="AG123" s="50" t="s">
        <v>484</v>
      </c>
      <c r="AH123" s="49" t="str">
        <f>IF(AG123="นิติศาสตร์","K5-LAW","K5-POLICY")</f>
        <v>K5-POLICY</v>
      </c>
      <c r="AI123" s="72" t="str">
        <f>_xlfn.IFS(B123="","",AND(AH123="K5-LAW",AG123="นิติศาสตร์",K123="S2",T123="",Z123=""),P123,AND(AH123="K5-LAW",AG123="นิติศาสตร์",K123="S1",T123="",Z123=""),EDATE(P123,12),AND(AH123="K5-LAW",AG123="นิติศาสตร์",OR(K123="M2",K123="K4"),T123="",Z123=""),EDATE(P123,12*2),AND(AH123="K5-LAW",AG123="นิติศาสตร์",OR(Z123="M2",Z123="K4"),AC123&gt;=2,OR(AB123&lt;V123,AB123&lt;P123)),EDATE(AB123,12*2),AND(AH123="K5-LAW",AG123="นิติศาสตร์",Z123="S1",AC123&gt;=1,OR(AB123&lt;V123,AB123&lt;P123)),EDATE(AB123,12),AND(AH123="K5-LAW",AG123="นิติศาสตร์",OR(T123="M2",T123="K4"),W123&gt;=2,V123&lt;P123),EDATE(V123,12*2),AND(AH123="K5-LAW",AG123="นิติศาสตร์",T123="S1",W123&gt;=1,V123&lt;P123),EDATE(V123,12),AND(AH123="K5-LAW",AG123="นิติศาสตร์",OR(T123="S2",T123="K5")),V123,AND(AH123="K5-LAW",AG123="นิติศาสตร์",OR(K123="M2",K123="K4"),Q123&gt;=2),EDATE(P123,12*2),AND(AH123="K5-LAW",AG123="นิติศาสตร์",K123="S1",Q123&gt;=1),EDATE(P123,12),AND(AH123="K5-LAW",AG123="นิติศาสตร์",OR(K123="S2",K123="K5")),P123,AND(AH123="K5-POLICY",AG123&lt;&gt;"นิติศาสตร์",K123="S2",T123="",Z123=""),P123,AND(AH123="K5-POLICY",AG123&lt;&gt;"นิติศาสตร์",K123="S1",T123="",Z123=""),EDATE(P123,12),AND(AH123="K5-POLICY",AG123&lt;&gt;"นิติศาสตร์",OR(K123="M2",K123="K4"),T123="",Z123=""),EDATE(P123,12*2),AND(AH123="K5-POLICY",AG123&lt;&gt;"นิติศาสตร์",OR(Z123="M2",Z123="K4"),AC123&gt;=2,OR(AB123&lt;V123,AB123&lt;P123)),EDATE(AB123,12*2),AND(AH123="K5-POLICY",AG123&lt;&gt;"นิติศาสตร์",Z123="S1",AC123&gt;=1,OR(AB123&lt;V123,AB123&lt;P123)),EDATE(AB123,12),AND(AH123="K5-POLICY",AG123&lt;&gt;"นิติศาสตร์",OR(T123="M2",T123="K4"),W123&gt;=2,V123&lt;P123),EDATE(V123,12*2),AND(AH123="K5-POLICY",AG123&lt;&gt;"นิติศาสตร์",T123="S1",W123&gt;=1,V123&lt;P123),EDATE(V123,12),AND(AH123="K5-POLICY",AG123&lt;&gt;"นิติศาสตร์",OR(T123="S2",T123="K5")),V123,AND(AH123="K5-POLICY",AG123&lt;&gt;"นิติศาสตร์",OR(K123="M2",K123="K4"),Q123&gt;=2),EDATE(P123,12*2),AND(AH123="K5-POLICY",AG123&lt;&gt;"นิติศาสตร์",K123="S1",Q123&gt;=1),EDATE(P123,12),AND(AH123="K5-POLICY",AG123&lt;&gt;"นิติศาสตร์",OR(K123="S2",K123="K5")),P123,TRUE,"Check Data")</f>
        <v/>
      </c>
      <c r="AJ123" s="75" t="str">
        <f t="shared" si="29"/>
        <v>Check Data</v>
      </c>
      <c r="AK123" s="76" t="str">
        <f t="shared" si="30"/>
        <v>Check Data</v>
      </c>
      <c r="AL123" s="50" t="str">
        <f t="shared" si="31"/>
        <v>Check Data</v>
      </c>
      <c r="AM123" s="49" t="str">
        <f>IF(B123="","",IF(K123="S1","S1",INDEX(#REF!,#REF!)))</f>
        <v/>
      </c>
      <c r="AN123" s="49" t="str">
        <f>K123</f>
        <v>M2</v>
      </c>
      <c r="AO123" s="50" t="b">
        <f>K123=AM123</f>
        <v>0</v>
      </c>
      <c r="AP123" s="50"/>
    </row>
    <row r="124" spans="1:42" ht="21.75">
      <c r="A124" s="49">
        <v>122</v>
      </c>
      <c r="B124" s="50"/>
      <c r="C124" s="50"/>
      <c r="D124" s="50" t="s">
        <v>34</v>
      </c>
      <c r="E124" s="49" t="s">
        <v>430</v>
      </c>
      <c r="F124" s="49" t="str">
        <f t="shared" si="16"/>
        <v>15/11/1999</v>
      </c>
      <c r="G124" s="50">
        <f t="shared" si="17"/>
        <v>25</v>
      </c>
      <c r="H124" s="50">
        <f t="shared" si="18"/>
        <v>7</v>
      </c>
      <c r="I124" s="50">
        <f t="shared" si="19"/>
        <v>5</v>
      </c>
      <c r="J124" s="78"/>
      <c r="K124" s="49" t="s">
        <v>136</v>
      </c>
      <c r="L124" s="64"/>
      <c r="M124" s="49" t="s">
        <v>427</v>
      </c>
      <c r="N124" s="49">
        <v>2579</v>
      </c>
      <c r="O124" s="65" t="s">
        <v>429</v>
      </c>
      <c r="P124" s="49" t="str">
        <f t="shared" si="20"/>
        <v>10/06/2021</v>
      </c>
      <c r="Q124" s="68">
        <f t="shared" si="21"/>
        <v>4</v>
      </c>
      <c r="R124" s="68">
        <f t="shared" si="22"/>
        <v>0</v>
      </c>
      <c r="S124" s="68">
        <f t="shared" si="23"/>
        <v>10</v>
      </c>
      <c r="T124" s="65"/>
      <c r="U124" s="65"/>
      <c r="V124" s="49" t="str">
        <f t="shared" si="24"/>
        <v/>
      </c>
      <c r="W124" s="68">
        <f>IF(V124="",0,DATEDIF(V124,P124,"Y"))</f>
        <v>0</v>
      </c>
      <c r="X124" s="68">
        <f>IF(V124="",0,DATEDIF(V124,P124,"YM"))</f>
        <v>0</v>
      </c>
      <c r="Y124" s="68">
        <f>IF(V124="",0,DATEDIF(V124,P124,"MD"))</f>
        <v>0</v>
      </c>
      <c r="Z124" s="49"/>
      <c r="AA124" s="65"/>
      <c r="AB124" s="50" t="str">
        <f t="shared" si="25"/>
        <v/>
      </c>
      <c r="AC124" s="68">
        <f t="shared" si="26"/>
        <v>0</v>
      </c>
      <c r="AD124" s="68">
        <f t="shared" si="27"/>
        <v>0</v>
      </c>
      <c r="AE124" s="68">
        <f t="shared" si="28"/>
        <v>0</v>
      </c>
      <c r="AF124" s="50"/>
      <c r="AG124" s="50" t="s">
        <v>517</v>
      </c>
      <c r="AH124" s="49" t="str">
        <f>IF(AG124="นิติศาสตร์","K5-LAW","K5-POLICY")</f>
        <v>K5-POLICY</v>
      </c>
      <c r="AI124" s="72" t="str">
        <f>_xlfn.IFS(B124="","",AND(AH124="K5-LAW",AG124="นิติศาสตร์",K124="S2",T124="",Z124=""),P124,AND(AH124="K5-LAW",AG124="นิติศาสตร์",K124="S1",T124="",Z124=""),EDATE(P124,12),AND(AH124="K5-LAW",AG124="นิติศาสตร์",OR(K124="M2",K124="K4"),T124="",Z124=""),EDATE(P124,12*2),AND(AH124="K5-LAW",AG124="นิติศาสตร์",OR(Z124="M2",Z124="K4"),AC124&gt;=2,OR(AB124&lt;V124,AB124&lt;P124)),EDATE(AB124,12*2),AND(AH124="K5-LAW",AG124="นิติศาสตร์",Z124="S1",AC124&gt;=1,OR(AB124&lt;V124,AB124&lt;P124)),EDATE(AB124,12),AND(AH124="K5-LAW",AG124="นิติศาสตร์",OR(T124="M2",T124="K4"),W124&gt;=2,V124&lt;P124),EDATE(V124,12*2),AND(AH124="K5-LAW",AG124="นิติศาสตร์",T124="S1",W124&gt;=1,V124&lt;P124),EDATE(V124,12),AND(AH124="K5-LAW",AG124="นิติศาสตร์",OR(T124="S2",T124="K5")),V124,AND(AH124="K5-LAW",AG124="นิติศาสตร์",OR(K124="M2",K124="K4"),Q124&gt;=2),EDATE(P124,12*2),AND(AH124="K5-LAW",AG124="นิติศาสตร์",K124="S1",Q124&gt;=1),EDATE(P124,12),AND(AH124="K5-LAW",AG124="นิติศาสตร์",OR(K124="S2",K124="K5")),P124,AND(AH124="K5-POLICY",AG124&lt;&gt;"นิติศาสตร์",K124="S2",T124="",Z124=""),P124,AND(AH124="K5-POLICY",AG124&lt;&gt;"นิติศาสตร์",K124="S1",T124="",Z124=""),EDATE(P124,12),AND(AH124="K5-POLICY",AG124&lt;&gt;"นิติศาสตร์",OR(K124="M2",K124="K4"),T124="",Z124=""),EDATE(P124,12*2),AND(AH124="K5-POLICY",AG124&lt;&gt;"นิติศาสตร์",OR(Z124="M2",Z124="K4"),AC124&gt;=2,OR(AB124&lt;V124,AB124&lt;P124)),EDATE(AB124,12*2),AND(AH124="K5-POLICY",AG124&lt;&gt;"นิติศาสตร์",Z124="S1",AC124&gt;=1,OR(AB124&lt;V124,AB124&lt;P124)),EDATE(AB124,12),AND(AH124="K5-POLICY",AG124&lt;&gt;"นิติศาสตร์",OR(T124="M2",T124="K4"),W124&gt;=2,V124&lt;P124),EDATE(V124,12*2),AND(AH124="K5-POLICY",AG124&lt;&gt;"นิติศาสตร์",T124="S1",W124&gt;=1,V124&lt;P124),EDATE(V124,12),AND(AH124="K5-POLICY",AG124&lt;&gt;"นิติศาสตร์",OR(T124="S2",T124="K5")),V124,AND(AH124="K5-POLICY",AG124&lt;&gt;"นิติศาสตร์",OR(K124="M2",K124="K4"),Q124&gt;=2),EDATE(P124,12*2),AND(AH124="K5-POLICY",AG124&lt;&gt;"นิติศาสตร์",K124="S1",Q124&gt;=1),EDATE(P124,12),AND(AH124="K5-POLICY",AG124&lt;&gt;"นิติศาสตร์",OR(K124="S2",K124="K5")),P124,TRUE,"Check Data")</f>
        <v/>
      </c>
      <c r="AJ124" s="75" t="str">
        <f t="shared" si="29"/>
        <v>Check Data</v>
      </c>
      <c r="AK124" s="76" t="str">
        <f t="shared" si="30"/>
        <v>Check Data</v>
      </c>
      <c r="AL124" s="50" t="str">
        <f t="shared" si="31"/>
        <v>Check Data</v>
      </c>
      <c r="AM124" s="49" t="str">
        <f>IF(B124="","",IF(K124="S1","S1",INDEX(#REF!,#REF!)))</f>
        <v/>
      </c>
      <c r="AN124" s="49" t="str">
        <f>K124</f>
        <v>M2</v>
      </c>
      <c r="AO124" s="50" t="b">
        <f>K124=AM124</f>
        <v>0</v>
      </c>
      <c r="AP124" s="50"/>
    </row>
    <row r="125" spans="1:42" ht="21.75">
      <c r="A125" s="49">
        <v>123</v>
      </c>
      <c r="B125" s="50"/>
      <c r="C125" s="50"/>
      <c r="D125" s="50" t="s">
        <v>143</v>
      </c>
      <c r="E125" s="49" t="s">
        <v>314</v>
      </c>
      <c r="F125" s="49" t="str">
        <f t="shared" si="16"/>
        <v>04/12/1989</v>
      </c>
      <c r="G125" s="50">
        <f t="shared" si="17"/>
        <v>35</v>
      </c>
      <c r="H125" s="50">
        <f t="shared" si="18"/>
        <v>6</v>
      </c>
      <c r="I125" s="50">
        <f t="shared" si="19"/>
        <v>16</v>
      </c>
      <c r="J125" s="59"/>
      <c r="K125" s="49" t="s">
        <v>136</v>
      </c>
      <c r="L125" s="64"/>
      <c r="M125" s="49" t="s">
        <v>425</v>
      </c>
      <c r="N125" s="49">
        <v>2568</v>
      </c>
      <c r="O125" s="65" t="s">
        <v>315</v>
      </c>
      <c r="P125" s="49" t="str">
        <f t="shared" si="20"/>
        <v>23/07/2021</v>
      </c>
      <c r="Q125" s="68">
        <f t="shared" si="21"/>
        <v>3</v>
      </c>
      <c r="R125" s="68">
        <f t="shared" si="22"/>
        <v>10</v>
      </c>
      <c r="S125" s="68">
        <f t="shared" si="23"/>
        <v>28</v>
      </c>
      <c r="T125" s="65"/>
      <c r="U125" s="65"/>
      <c r="V125" s="49" t="str">
        <f t="shared" si="24"/>
        <v/>
      </c>
      <c r="W125" s="68">
        <f>IF(V125="",0,DATEDIF(V125,P125,"Y"))</f>
        <v>0</v>
      </c>
      <c r="X125" s="68">
        <f>IF(V125="",0,DATEDIF(V125,P125,"YM"))</f>
        <v>0</v>
      </c>
      <c r="Y125" s="68">
        <f>IF(V125="",0,DATEDIF(V125,P125,"MD"))</f>
        <v>0</v>
      </c>
      <c r="Z125" s="49"/>
      <c r="AA125" s="65"/>
      <c r="AB125" s="50" t="str">
        <f t="shared" si="25"/>
        <v/>
      </c>
      <c r="AC125" s="68">
        <f t="shared" si="26"/>
        <v>0</v>
      </c>
      <c r="AD125" s="68">
        <f t="shared" si="27"/>
        <v>0</v>
      </c>
      <c r="AE125" s="68">
        <f t="shared" si="28"/>
        <v>0</v>
      </c>
      <c r="AF125" s="50"/>
      <c r="AG125" s="50" t="s">
        <v>172</v>
      </c>
      <c r="AH125" s="49" t="str">
        <f>IF(AG125="นิติศาสตร์","K5-LAW","K5-POLICY")</f>
        <v>K5-POLICY</v>
      </c>
      <c r="AI125" s="72" t="str">
        <f>_xlfn.IFS(B125="","",AND(AH125="K5-LAW",AG125="นิติศาสตร์",K125="S2",T125="",Z125=""),P125,AND(AH125="K5-LAW",AG125="นิติศาสตร์",K125="S1",T125="",Z125=""),EDATE(P125,12),AND(AH125="K5-LAW",AG125="นิติศาสตร์",OR(K125="M2",K125="K4"),T125="",Z125=""),EDATE(P125,12*2),AND(AH125="K5-LAW",AG125="นิติศาสตร์",OR(Z125="M2",Z125="K4"),AC125&gt;=2,OR(AB125&lt;V125,AB125&lt;P125)),EDATE(AB125,12*2),AND(AH125="K5-LAW",AG125="นิติศาสตร์",Z125="S1",AC125&gt;=1,OR(AB125&lt;V125,AB125&lt;P125)),EDATE(AB125,12),AND(AH125="K5-LAW",AG125="นิติศาสตร์",OR(T125="M2",T125="K4"),W125&gt;=2,V125&lt;P125),EDATE(V125,12*2),AND(AH125="K5-LAW",AG125="นิติศาสตร์",T125="S1",W125&gt;=1,V125&lt;P125),EDATE(V125,12),AND(AH125="K5-LAW",AG125="นิติศาสตร์",OR(T125="S2",T125="K5")),V125,AND(AH125="K5-LAW",AG125="นิติศาสตร์",OR(K125="M2",K125="K4"),Q125&gt;=2),EDATE(P125,12*2),AND(AH125="K5-LAW",AG125="นิติศาสตร์",K125="S1",Q125&gt;=1),EDATE(P125,12),AND(AH125="K5-LAW",AG125="นิติศาสตร์",OR(K125="S2",K125="K5")),P125,AND(AH125="K5-POLICY",AG125&lt;&gt;"นิติศาสตร์",K125="S2",T125="",Z125=""),P125,AND(AH125="K5-POLICY",AG125&lt;&gt;"นิติศาสตร์",K125="S1",T125="",Z125=""),EDATE(P125,12),AND(AH125="K5-POLICY",AG125&lt;&gt;"นิติศาสตร์",OR(K125="M2",K125="K4"),T125="",Z125=""),EDATE(P125,12*2),AND(AH125="K5-POLICY",AG125&lt;&gt;"นิติศาสตร์",OR(Z125="M2",Z125="K4"),AC125&gt;=2,OR(AB125&lt;V125,AB125&lt;P125)),EDATE(AB125,12*2),AND(AH125="K5-POLICY",AG125&lt;&gt;"นิติศาสตร์",Z125="S1",AC125&gt;=1,OR(AB125&lt;V125,AB125&lt;P125)),EDATE(AB125,12),AND(AH125="K5-POLICY",AG125&lt;&gt;"นิติศาสตร์",OR(T125="M2",T125="K4"),W125&gt;=2,V125&lt;P125),EDATE(V125,12*2),AND(AH125="K5-POLICY",AG125&lt;&gt;"นิติศาสตร์",T125="S1",W125&gt;=1,V125&lt;P125),EDATE(V125,12),AND(AH125="K5-POLICY",AG125&lt;&gt;"นิติศาสตร์",OR(T125="S2",T125="K5")),V125,AND(AH125="K5-POLICY",AG125&lt;&gt;"นิติศาสตร์",OR(K125="M2",K125="K4"),Q125&gt;=2),EDATE(P125,12*2),AND(AH125="K5-POLICY",AG125&lt;&gt;"นิติศาสตร์",K125="S1",Q125&gt;=1),EDATE(P125,12),AND(AH125="K5-POLICY",AG125&lt;&gt;"นิติศาสตร์",OR(K125="S2",K125="K5")),P125,TRUE,"Check Data")</f>
        <v/>
      </c>
      <c r="AJ125" s="75" t="str">
        <f t="shared" si="29"/>
        <v>Check Data</v>
      </c>
      <c r="AK125" s="76" t="str">
        <f t="shared" si="30"/>
        <v>Check Data</v>
      </c>
      <c r="AL125" s="50" t="str">
        <f t="shared" si="31"/>
        <v>Check Data</v>
      </c>
      <c r="AM125" s="49" t="str">
        <f>IF(B125="","",IF(K125="S1","S1",INDEX(#REF!,#REF!)))</f>
        <v/>
      </c>
      <c r="AN125" s="49" t="str">
        <f>K125</f>
        <v>M2</v>
      </c>
      <c r="AO125" s="50" t="b">
        <f>K125=AM125</f>
        <v>0</v>
      </c>
      <c r="AP125" s="50"/>
    </row>
    <row r="126" spans="1:42" ht="21.75">
      <c r="A126" s="49">
        <v>124</v>
      </c>
      <c r="B126" s="50"/>
      <c r="C126" s="50"/>
      <c r="D126" s="50" t="s">
        <v>141</v>
      </c>
      <c r="E126" s="49" t="s">
        <v>250</v>
      </c>
      <c r="F126" s="49" t="str">
        <f t="shared" si="16"/>
        <v>01/08/1995</v>
      </c>
      <c r="G126" s="50">
        <f t="shared" si="17"/>
        <v>29</v>
      </c>
      <c r="H126" s="50">
        <f t="shared" si="18"/>
        <v>10</v>
      </c>
      <c r="I126" s="50">
        <f t="shared" si="19"/>
        <v>19</v>
      </c>
      <c r="J126" s="60"/>
      <c r="K126" s="49" t="s">
        <v>136</v>
      </c>
      <c r="L126" s="64"/>
      <c r="M126" s="49" t="s">
        <v>427</v>
      </c>
      <c r="N126" s="49">
        <v>2571</v>
      </c>
      <c r="O126" s="65" t="s">
        <v>201</v>
      </c>
      <c r="P126" s="49" t="str">
        <f t="shared" si="20"/>
        <v>01/10/2021</v>
      </c>
      <c r="Q126" s="68">
        <f t="shared" si="21"/>
        <v>3</v>
      </c>
      <c r="R126" s="68">
        <f t="shared" si="22"/>
        <v>8</v>
      </c>
      <c r="S126" s="68">
        <f t="shared" si="23"/>
        <v>19</v>
      </c>
      <c r="T126" s="65"/>
      <c r="U126" s="65"/>
      <c r="V126" s="49" t="str">
        <f t="shared" si="24"/>
        <v/>
      </c>
      <c r="W126" s="68">
        <f>IF(V126="",0,DATEDIF(V126,P126,"Y"))</f>
        <v>0</v>
      </c>
      <c r="X126" s="68">
        <f>IF(V126="",0,DATEDIF(V126,P126,"YM"))</f>
        <v>0</v>
      </c>
      <c r="Y126" s="68">
        <f>IF(V126="",0,DATEDIF(V126,P126,"MD"))</f>
        <v>0</v>
      </c>
      <c r="Z126" s="49"/>
      <c r="AA126" s="65"/>
      <c r="AB126" s="50" t="str">
        <f t="shared" si="25"/>
        <v/>
      </c>
      <c r="AC126" s="68">
        <f t="shared" si="26"/>
        <v>0</v>
      </c>
      <c r="AD126" s="68">
        <f t="shared" si="27"/>
        <v>0</v>
      </c>
      <c r="AE126" s="68">
        <f t="shared" si="28"/>
        <v>0</v>
      </c>
      <c r="AF126" s="50"/>
      <c r="AG126" s="50" t="s">
        <v>138</v>
      </c>
      <c r="AH126" s="49" t="str">
        <f>IF(AG126="นิติศาสตร์","K5-LAW","K5-POLICY")</f>
        <v>K5-LAW</v>
      </c>
      <c r="AI126" s="72" t="str">
        <f>_xlfn.IFS(B126="","",AND(AH126="K5-LAW",AG126="นิติศาสตร์",K126="S2",T126="",Z126=""),P126,AND(AH126="K5-LAW",AG126="นิติศาสตร์",K126="S1",T126="",Z126=""),EDATE(P126,12),AND(AH126="K5-LAW",AG126="นิติศาสตร์",OR(K126="M2",K126="K4"),T126="",Z126=""),EDATE(P126,12*2),AND(AH126="K5-LAW",AG126="นิติศาสตร์",OR(Z126="M2",Z126="K4"),AC126&gt;=2,OR(AB126&lt;V126,AB126&lt;P126)),EDATE(AB126,12*2),AND(AH126="K5-LAW",AG126="นิติศาสตร์",Z126="S1",AC126&gt;=1,OR(AB126&lt;V126,AB126&lt;P126)),EDATE(AB126,12),AND(AH126="K5-LAW",AG126="นิติศาสตร์",OR(T126="M2",T126="K4"),W126&gt;=2,V126&lt;P126),EDATE(V126,12*2),AND(AH126="K5-LAW",AG126="นิติศาสตร์",T126="S1",W126&gt;=1,V126&lt;P126),EDATE(V126,12),AND(AH126="K5-LAW",AG126="นิติศาสตร์",OR(T126="S2",T126="K5")),V126,AND(AH126="K5-LAW",AG126="นิติศาสตร์",OR(K126="M2",K126="K4"),Q126&gt;=2),EDATE(P126,12*2),AND(AH126="K5-LAW",AG126="นิติศาสตร์",K126="S1",Q126&gt;=1),EDATE(P126,12),AND(AH126="K5-LAW",AG126="นิติศาสตร์",OR(K126="S2",K126="K5")),P126,AND(AH126="K5-POLICY",AG126&lt;&gt;"นิติศาสตร์",K126="S2",T126="",Z126=""),P126,AND(AH126="K5-POLICY",AG126&lt;&gt;"นิติศาสตร์",K126="S1",T126="",Z126=""),EDATE(P126,12),AND(AH126="K5-POLICY",AG126&lt;&gt;"นิติศาสตร์",OR(K126="M2",K126="K4"),T126="",Z126=""),EDATE(P126,12*2),AND(AH126="K5-POLICY",AG126&lt;&gt;"นิติศาสตร์",OR(Z126="M2",Z126="K4"),AC126&gt;=2,OR(AB126&lt;V126,AB126&lt;P126)),EDATE(AB126,12*2),AND(AH126="K5-POLICY",AG126&lt;&gt;"นิติศาสตร์",Z126="S1",AC126&gt;=1,OR(AB126&lt;V126,AB126&lt;P126)),EDATE(AB126,12),AND(AH126="K5-POLICY",AG126&lt;&gt;"นิติศาสตร์",OR(T126="M2",T126="K4"),W126&gt;=2,V126&lt;P126),EDATE(V126,12*2),AND(AH126="K5-POLICY",AG126&lt;&gt;"นิติศาสตร์",T126="S1",W126&gt;=1,V126&lt;P126),EDATE(V126,12),AND(AH126="K5-POLICY",AG126&lt;&gt;"นิติศาสตร์",OR(T126="S2",T126="K5")),V126,AND(AH126="K5-POLICY",AG126&lt;&gt;"นิติศาสตร์",OR(K126="M2",K126="K4"),Q126&gt;=2),EDATE(P126,12*2),AND(AH126="K5-POLICY",AG126&lt;&gt;"นิติศาสตร์",K126="S1",Q126&gt;=1),EDATE(P126,12),AND(AH126="K5-POLICY",AG126&lt;&gt;"นิติศาสตร์",OR(K126="S2",K126="K5")),P126,TRUE,"Check Data")</f>
        <v/>
      </c>
      <c r="AJ126" s="75" t="str">
        <f t="shared" si="29"/>
        <v>Check Data</v>
      </c>
      <c r="AK126" s="76" t="str">
        <f t="shared" si="30"/>
        <v>Check Data</v>
      </c>
      <c r="AL126" s="50" t="str">
        <f t="shared" si="31"/>
        <v>Check Data</v>
      </c>
      <c r="AM126" s="49" t="str">
        <f>IF(B126="","",IF(K126="S1","S1",INDEX(#REF!,#REF!)))</f>
        <v/>
      </c>
      <c r="AN126" s="49" t="str">
        <f>K126</f>
        <v>M2</v>
      </c>
      <c r="AO126" s="50" t="b">
        <f>K126=AM126</f>
        <v>0</v>
      </c>
      <c r="AP126" s="50"/>
    </row>
    <row r="127" spans="1:42" ht="21.75">
      <c r="A127" s="49">
        <v>125</v>
      </c>
      <c r="B127" s="50"/>
      <c r="C127" s="50"/>
      <c r="D127" s="50" t="s">
        <v>34</v>
      </c>
      <c r="E127" s="49" t="s">
        <v>309</v>
      </c>
      <c r="F127" s="49" t="str">
        <f t="shared" si="16"/>
        <v>01/06/1995</v>
      </c>
      <c r="G127" s="50">
        <f t="shared" si="17"/>
        <v>30</v>
      </c>
      <c r="H127" s="50">
        <f t="shared" si="18"/>
        <v>0</v>
      </c>
      <c r="I127" s="50">
        <f t="shared" si="19"/>
        <v>19</v>
      </c>
      <c r="J127" s="78"/>
      <c r="K127" s="49" t="s">
        <v>136</v>
      </c>
      <c r="L127" s="64"/>
      <c r="M127" s="49" t="s">
        <v>427</v>
      </c>
      <c r="N127" s="49">
        <v>2575</v>
      </c>
      <c r="O127" s="65" t="s">
        <v>391</v>
      </c>
      <c r="P127" s="49" t="str">
        <f t="shared" si="20"/>
        <v>18/10/2021</v>
      </c>
      <c r="Q127" s="68">
        <f t="shared" si="21"/>
        <v>3</v>
      </c>
      <c r="R127" s="68">
        <f t="shared" si="22"/>
        <v>8</v>
      </c>
      <c r="S127" s="68">
        <f t="shared" si="23"/>
        <v>2</v>
      </c>
      <c r="T127" s="65"/>
      <c r="U127" s="65"/>
      <c r="V127" s="49" t="str">
        <f t="shared" si="24"/>
        <v/>
      </c>
      <c r="W127" s="68">
        <f>IF(V127="",0,DATEDIF(V127,P127,"Y"))</f>
        <v>0</v>
      </c>
      <c r="X127" s="68">
        <f>IF(V127="",0,DATEDIF(V127,P127,"YM"))</f>
        <v>0</v>
      </c>
      <c r="Y127" s="68">
        <f>IF(V127="",0,DATEDIF(V127,P127,"MD"))</f>
        <v>0</v>
      </c>
      <c r="Z127" s="49"/>
      <c r="AA127" s="65"/>
      <c r="AB127" s="50" t="str">
        <f t="shared" si="25"/>
        <v/>
      </c>
      <c r="AC127" s="68">
        <f t="shared" si="26"/>
        <v>0</v>
      </c>
      <c r="AD127" s="68">
        <f t="shared" si="27"/>
        <v>0</v>
      </c>
      <c r="AE127" s="68">
        <f t="shared" si="28"/>
        <v>0</v>
      </c>
      <c r="AF127" s="50"/>
      <c r="AG127" s="50" t="s">
        <v>167</v>
      </c>
      <c r="AH127" s="49" t="str">
        <f>IF(AG127="นิติศาสตร์","K5-LAW","K5-POLICY")</f>
        <v>K5-POLICY</v>
      </c>
      <c r="AI127" s="72" t="str">
        <f>_xlfn.IFS(B127="","",AND(AH127="K5-LAW",AG127="นิติศาสตร์",K127="S2",T127="",Z127=""),P127,AND(AH127="K5-LAW",AG127="นิติศาสตร์",K127="S1",T127="",Z127=""),EDATE(P127,12),AND(AH127="K5-LAW",AG127="นิติศาสตร์",OR(K127="M2",K127="K4"),T127="",Z127=""),EDATE(P127,12*2),AND(AH127="K5-LAW",AG127="นิติศาสตร์",OR(Z127="M2",Z127="K4"),AC127&gt;=2,OR(AB127&lt;V127,AB127&lt;P127)),EDATE(AB127,12*2),AND(AH127="K5-LAW",AG127="นิติศาสตร์",Z127="S1",AC127&gt;=1,OR(AB127&lt;V127,AB127&lt;P127)),EDATE(AB127,12),AND(AH127="K5-LAW",AG127="นิติศาสตร์",OR(T127="M2",T127="K4"),W127&gt;=2,V127&lt;P127),EDATE(V127,12*2),AND(AH127="K5-LAW",AG127="นิติศาสตร์",T127="S1",W127&gt;=1,V127&lt;P127),EDATE(V127,12),AND(AH127="K5-LAW",AG127="นิติศาสตร์",OR(T127="S2",T127="K5")),V127,AND(AH127="K5-LAW",AG127="นิติศาสตร์",OR(K127="M2",K127="K4"),Q127&gt;=2),EDATE(P127,12*2),AND(AH127="K5-LAW",AG127="นิติศาสตร์",K127="S1",Q127&gt;=1),EDATE(P127,12),AND(AH127="K5-LAW",AG127="นิติศาสตร์",OR(K127="S2",K127="K5")),P127,AND(AH127="K5-POLICY",AG127&lt;&gt;"นิติศาสตร์",K127="S2",T127="",Z127=""),P127,AND(AH127="K5-POLICY",AG127&lt;&gt;"นิติศาสตร์",K127="S1",T127="",Z127=""),EDATE(P127,12),AND(AH127="K5-POLICY",AG127&lt;&gt;"นิติศาสตร์",OR(K127="M2",K127="K4"),T127="",Z127=""),EDATE(P127,12*2),AND(AH127="K5-POLICY",AG127&lt;&gt;"นิติศาสตร์",OR(Z127="M2",Z127="K4"),AC127&gt;=2,OR(AB127&lt;V127,AB127&lt;P127)),EDATE(AB127,12*2),AND(AH127="K5-POLICY",AG127&lt;&gt;"นิติศาสตร์",Z127="S1",AC127&gt;=1,OR(AB127&lt;V127,AB127&lt;P127)),EDATE(AB127,12),AND(AH127="K5-POLICY",AG127&lt;&gt;"นิติศาสตร์",OR(T127="M2",T127="K4"),W127&gt;=2,V127&lt;P127),EDATE(V127,12*2),AND(AH127="K5-POLICY",AG127&lt;&gt;"นิติศาสตร์",T127="S1",W127&gt;=1,V127&lt;P127),EDATE(V127,12),AND(AH127="K5-POLICY",AG127&lt;&gt;"นิติศาสตร์",OR(T127="S2",T127="K5")),V127,AND(AH127="K5-POLICY",AG127&lt;&gt;"นิติศาสตร์",OR(K127="M2",K127="K4"),Q127&gt;=2),EDATE(P127,12*2),AND(AH127="K5-POLICY",AG127&lt;&gt;"นิติศาสตร์",K127="S1",Q127&gt;=1),EDATE(P127,12),AND(AH127="K5-POLICY",AG127&lt;&gt;"นิติศาสตร์",OR(K127="S2",K127="K5")),P127,TRUE,"Check Data")</f>
        <v/>
      </c>
      <c r="AJ127" s="75" t="str">
        <f t="shared" si="29"/>
        <v>Check Data</v>
      </c>
      <c r="AK127" s="76" t="str">
        <f t="shared" si="30"/>
        <v>Check Data</v>
      </c>
      <c r="AL127" s="50" t="str">
        <f t="shared" si="31"/>
        <v>Check Data</v>
      </c>
      <c r="AM127" s="49" t="str">
        <f>IF(B127="","",IF(K127="S1","S1",INDEX(#REF!,#REF!)))</f>
        <v/>
      </c>
      <c r="AN127" s="49" t="str">
        <f>K127</f>
        <v>M2</v>
      </c>
      <c r="AO127" s="50" t="b">
        <f>K127=AM127</f>
        <v>0</v>
      </c>
      <c r="AP127" s="50"/>
    </row>
    <row r="128" spans="1:42" ht="21.75">
      <c r="A128" s="49">
        <v>126</v>
      </c>
      <c r="B128" s="50"/>
      <c r="C128" s="50"/>
      <c r="D128" s="50" t="s">
        <v>143</v>
      </c>
      <c r="E128" s="49" t="s">
        <v>325</v>
      </c>
      <c r="F128" s="49" t="str">
        <f t="shared" si="16"/>
        <v>10/10/1988</v>
      </c>
      <c r="G128" s="50">
        <f t="shared" si="17"/>
        <v>36</v>
      </c>
      <c r="H128" s="50">
        <f t="shared" si="18"/>
        <v>8</v>
      </c>
      <c r="I128" s="50">
        <f t="shared" si="19"/>
        <v>10</v>
      </c>
      <c r="J128" s="59"/>
      <c r="K128" s="49" t="s">
        <v>136</v>
      </c>
      <c r="L128" s="64"/>
      <c r="M128" s="49" t="s">
        <v>427</v>
      </c>
      <c r="N128" s="49">
        <v>2568</v>
      </c>
      <c r="O128" s="65" t="s">
        <v>291</v>
      </c>
      <c r="P128" s="49" t="str">
        <f t="shared" si="20"/>
        <v>01/11/2021</v>
      </c>
      <c r="Q128" s="68">
        <f t="shared" si="21"/>
        <v>3</v>
      </c>
      <c r="R128" s="68">
        <f t="shared" si="22"/>
        <v>7</v>
      </c>
      <c r="S128" s="68">
        <f t="shared" si="23"/>
        <v>19</v>
      </c>
      <c r="T128" s="65"/>
      <c r="U128" s="65"/>
      <c r="V128" s="49" t="str">
        <f t="shared" si="24"/>
        <v/>
      </c>
      <c r="W128" s="68">
        <f>IF(V128="",0,DATEDIF(V128,P128,"Y"))</f>
        <v>0</v>
      </c>
      <c r="X128" s="68">
        <f>IF(V128="",0,DATEDIF(V128,P128,"YM"))</f>
        <v>0</v>
      </c>
      <c r="Y128" s="68">
        <f>IF(V128="",0,DATEDIF(V128,P128,"MD"))</f>
        <v>0</v>
      </c>
      <c r="Z128" s="49"/>
      <c r="AA128" s="65"/>
      <c r="AB128" s="50" t="str">
        <f t="shared" si="25"/>
        <v/>
      </c>
      <c r="AC128" s="68">
        <f t="shared" si="26"/>
        <v>0</v>
      </c>
      <c r="AD128" s="68">
        <f t="shared" si="27"/>
        <v>0</v>
      </c>
      <c r="AE128" s="68">
        <f t="shared" si="28"/>
        <v>0</v>
      </c>
      <c r="AF128" s="50"/>
      <c r="AG128" s="50" t="s">
        <v>486</v>
      </c>
      <c r="AH128" s="49" t="str">
        <f>IF(AG128="นิติศาสตร์","K5-LAW","K5-POLICY")</f>
        <v>K5-POLICY</v>
      </c>
      <c r="AI128" s="72" t="str">
        <f>_xlfn.IFS(B128="","",AND(AH128="K5-LAW",AG128="นิติศาสตร์",K128="S2",T128="",Z128=""),P128,AND(AH128="K5-LAW",AG128="นิติศาสตร์",K128="S1",T128="",Z128=""),EDATE(P128,12),AND(AH128="K5-LAW",AG128="นิติศาสตร์",OR(K128="M2",K128="K4"),T128="",Z128=""),EDATE(P128,12*2),AND(AH128="K5-LAW",AG128="นิติศาสตร์",OR(Z128="M2",Z128="K4"),AC128&gt;=2,OR(AB128&lt;V128,AB128&lt;P128)),EDATE(AB128,12*2),AND(AH128="K5-LAW",AG128="นิติศาสตร์",Z128="S1",AC128&gt;=1,OR(AB128&lt;V128,AB128&lt;P128)),EDATE(AB128,12),AND(AH128="K5-LAW",AG128="นิติศาสตร์",OR(T128="M2",T128="K4"),W128&gt;=2,V128&lt;P128),EDATE(V128,12*2),AND(AH128="K5-LAW",AG128="นิติศาสตร์",T128="S1",W128&gt;=1,V128&lt;P128),EDATE(V128,12),AND(AH128="K5-LAW",AG128="นิติศาสตร์",OR(T128="S2",T128="K5")),V128,AND(AH128="K5-LAW",AG128="นิติศาสตร์",OR(K128="M2",K128="K4"),Q128&gt;=2),EDATE(P128,12*2),AND(AH128="K5-LAW",AG128="นิติศาสตร์",K128="S1",Q128&gt;=1),EDATE(P128,12),AND(AH128="K5-LAW",AG128="นิติศาสตร์",OR(K128="S2",K128="K5")),P128,AND(AH128="K5-POLICY",AG128&lt;&gt;"นิติศาสตร์",K128="S2",T128="",Z128=""),P128,AND(AH128="K5-POLICY",AG128&lt;&gt;"นิติศาสตร์",K128="S1",T128="",Z128=""),EDATE(P128,12),AND(AH128="K5-POLICY",AG128&lt;&gt;"นิติศาสตร์",OR(K128="M2",K128="K4"),T128="",Z128=""),EDATE(P128,12*2),AND(AH128="K5-POLICY",AG128&lt;&gt;"นิติศาสตร์",OR(Z128="M2",Z128="K4"),AC128&gt;=2,OR(AB128&lt;V128,AB128&lt;P128)),EDATE(AB128,12*2),AND(AH128="K5-POLICY",AG128&lt;&gt;"นิติศาสตร์",Z128="S1",AC128&gt;=1,OR(AB128&lt;V128,AB128&lt;P128)),EDATE(AB128,12),AND(AH128="K5-POLICY",AG128&lt;&gt;"นิติศาสตร์",OR(T128="M2",T128="K4"),W128&gt;=2,V128&lt;P128),EDATE(V128,12*2),AND(AH128="K5-POLICY",AG128&lt;&gt;"นิติศาสตร์",T128="S1",W128&gt;=1,V128&lt;P128),EDATE(V128,12),AND(AH128="K5-POLICY",AG128&lt;&gt;"นิติศาสตร์",OR(T128="S2",T128="K5")),V128,AND(AH128="K5-POLICY",AG128&lt;&gt;"นิติศาสตร์",OR(K128="M2",K128="K4"),Q128&gt;=2),EDATE(P128,12*2),AND(AH128="K5-POLICY",AG128&lt;&gt;"นิติศาสตร์",K128="S1",Q128&gt;=1),EDATE(P128,12),AND(AH128="K5-POLICY",AG128&lt;&gt;"นิติศาสตร์",OR(K128="S2",K128="K5")),P128,TRUE,"Check Data")</f>
        <v/>
      </c>
      <c r="AJ128" s="75" t="str">
        <f t="shared" si="29"/>
        <v>Check Data</v>
      </c>
      <c r="AK128" s="76" t="str">
        <f t="shared" si="30"/>
        <v>Check Data</v>
      </c>
      <c r="AL128" s="50" t="str">
        <f t="shared" si="31"/>
        <v>Check Data</v>
      </c>
      <c r="AM128" s="49" t="str">
        <f>IF(B128="","",IF(K128="S1","S1",INDEX(#REF!,#REF!)))</f>
        <v/>
      </c>
      <c r="AN128" s="49" t="str">
        <f>K128</f>
        <v>M2</v>
      </c>
      <c r="AO128" s="50" t="b">
        <f>K128=AM128</f>
        <v>0</v>
      </c>
      <c r="AP128" s="50"/>
    </row>
    <row r="129" spans="1:42" ht="21.75">
      <c r="A129" s="49">
        <v>127</v>
      </c>
      <c r="B129" s="50"/>
      <c r="C129" s="50"/>
      <c r="D129" s="50" t="s">
        <v>143</v>
      </c>
      <c r="E129" s="49" t="s">
        <v>350</v>
      </c>
      <c r="F129" s="49" t="str">
        <f t="shared" si="16"/>
        <v>03/05/1993</v>
      </c>
      <c r="G129" s="50">
        <f t="shared" si="17"/>
        <v>32</v>
      </c>
      <c r="H129" s="50">
        <f t="shared" si="18"/>
        <v>1</v>
      </c>
      <c r="I129" s="50">
        <f t="shared" si="19"/>
        <v>17</v>
      </c>
      <c r="J129" s="58"/>
      <c r="K129" s="49" t="s">
        <v>136</v>
      </c>
      <c r="L129" s="64"/>
      <c r="M129" s="49" t="s">
        <v>426</v>
      </c>
      <c r="N129" s="49">
        <v>2569</v>
      </c>
      <c r="O129" s="65" t="s">
        <v>291</v>
      </c>
      <c r="P129" s="49" t="str">
        <f t="shared" si="20"/>
        <v>01/11/2021</v>
      </c>
      <c r="Q129" s="68">
        <f t="shared" si="21"/>
        <v>3</v>
      </c>
      <c r="R129" s="68">
        <f t="shared" si="22"/>
        <v>7</v>
      </c>
      <c r="S129" s="68">
        <f t="shared" si="23"/>
        <v>19</v>
      </c>
      <c r="T129" s="65"/>
      <c r="U129" s="65"/>
      <c r="V129" s="49" t="str">
        <f t="shared" si="24"/>
        <v/>
      </c>
      <c r="W129" s="68">
        <f>IF(V129="",0,DATEDIF(V129,P129,"Y"))</f>
        <v>0</v>
      </c>
      <c r="X129" s="68">
        <f>IF(V129="",0,DATEDIF(V129,P129,"YM"))</f>
        <v>0</v>
      </c>
      <c r="Y129" s="68">
        <f>IF(V129="",0,DATEDIF(V129,P129,"MD"))</f>
        <v>0</v>
      </c>
      <c r="Z129" s="49"/>
      <c r="AA129" s="65"/>
      <c r="AB129" s="50" t="str">
        <f t="shared" si="25"/>
        <v/>
      </c>
      <c r="AC129" s="68">
        <f t="shared" si="26"/>
        <v>0</v>
      </c>
      <c r="AD129" s="68">
        <f t="shared" si="27"/>
        <v>0</v>
      </c>
      <c r="AE129" s="68">
        <f t="shared" si="28"/>
        <v>0</v>
      </c>
      <c r="AF129" s="50"/>
      <c r="AG129" s="50" t="s">
        <v>138</v>
      </c>
      <c r="AH129" s="49" t="str">
        <f>IF(AG129="นิติศาสตร์","K5-LAW","K5-POLICY")</f>
        <v>K5-LAW</v>
      </c>
      <c r="AI129" s="72" t="str">
        <f>_xlfn.IFS(B129="","",AND(AH129="K5-LAW",AG129="นิติศาสตร์",K129="S2",T129="",Z129=""),P129,AND(AH129="K5-LAW",AG129="นิติศาสตร์",K129="S1",T129="",Z129=""),EDATE(P129,12),AND(AH129="K5-LAW",AG129="นิติศาสตร์",OR(K129="M2",K129="K4"),T129="",Z129=""),EDATE(P129,12*2),AND(AH129="K5-LAW",AG129="นิติศาสตร์",OR(Z129="M2",Z129="K4"),AC129&gt;=2,OR(AB129&lt;V129,AB129&lt;P129)),EDATE(AB129,12*2),AND(AH129="K5-LAW",AG129="นิติศาสตร์",Z129="S1",AC129&gt;=1,OR(AB129&lt;V129,AB129&lt;P129)),EDATE(AB129,12),AND(AH129="K5-LAW",AG129="นิติศาสตร์",OR(T129="M2",T129="K4"),W129&gt;=2,V129&lt;P129),EDATE(V129,12*2),AND(AH129="K5-LAW",AG129="นิติศาสตร์",T129="S1",W129&gt;=1,V129&lt;P129),EDATE(V129,12),AND(AH129="K5-LAW",AG129="นิติศาสตร์",OR(T129="S2",T129="K5")),V129,AND(AH129="K5-LAW",AG129="นิติศาสตร์",OR(K129="M2",K129="K4"),Q129&gt;=2),EDATE(P129,12*2),AND(AH129="K5-LAW",AG129="นิติศาสตร์",K129="S1",Q129&gt;=1),EDATE(P129,12),AND(AH129="K5-LAW",AG129="นิติศาสตร์",OR(K129="S2",K129="K5")),P129,AND(AH129="K5-POLICY",AG129&lt;&gt;"นิติศาสตร์",K129="S2",T129="",Z129=""),P129,AND(AH129="K5-POLICY",AG129&lt;&gt;"นิติศาสตร์",K129="S1",T129="",Z129=""),EDATE(P129,12),AND(AH129="K5-POLICY",AG129&lt;&gt;"นิติศาสตร์",OR(K129="M2",K129="K4"),T129="",Z129=""),EDATE(P129,12*2),AND(AH129="K5-POLICY",AG129&lt;&gt;"นิติศาสตร์",OR(Z129="M2",Z129="K4"),AC129&gt;=2,OR(AB129&lt;V129,AB129&lt;P129)),EDATE(AB129,12*2),AND(AH129="K5-POLICY",AG129&lt;&gt;"นิติศาสตร์",Z129="S1",AC129&gt;=1,OR(AB129&lt;V129,AB129&lt;P129)),EDATE(AB129,12),AND(AH129="K5-POLICY",AG129&lt;&gt;"นิติศาสตร์",OR(T129="M2",T129="K4"),W129&gt;=2,V129&lt;P129),EDATE(V129,12*2),AND(AH129="K5-POLICY",AG129&lt;&gt;"นิติศาสตร์",T129="S1",W129&gt;=1,V129&lt;P129),EDATE(V129,12),AND(AH129="K5-POLICY",AG129&lt;&gt;"นิติศาสตร์",OR(T129="S2",T129="K5")),V129,AND(AH129="K5-POLICY",AG129&lt;&gt;"นิติศาสตร์",OR(K129="M2",K129="K4"),Q129&gt;=2),EDATE(P129,12*2),AND(AH129="K5-POLICY",AG129&lt;&gt;"นิติศาสตร์",K129="S1",Q129&gt;=1),EDATE(P129,12),AND(AH129="K5-POLICY",AG129&lt;&gt;"นิติศาสตร์",OR(K129="S2",K129="K5")),P129,TRUE,"Check Data")</f>
        <v/>
      </c>
      <c r="AJ129" s="75" t="str">
        <f t="shared" si="29"/>
        <v>Check Data</v>
      </c>
      <c r="AK129" s="76" t="str">
        <f t="shared" si="30"/>
        <v>Check Data</v>
      </c>
      <c r="AL129" s="50" t="str">
        <f t="shared" si="31"/>
        <v>Check Data</v>
      </c>
      <c r="AM129" s="49" t="str">
        <f>IF(B129="","",IF(K129="S1","S1",INDEX(#REF!,#REF!)))</f>
        <v/>
      </c>
      <c r="AN129" s="49" t="str">
        <f>K129</f>
        <v>M2</v>
      </c>
      <c r="AO129" s="50" t="b">
        <f>K129=AM129</f>
        <v>0</v>
      </c>
      <c r="AP129" s="50"/>
    </row>
    <row r="130" spans="1:42" ht="21.75">
      <c r="A130" s="49">
        <v>128</v>
      </c>
      <c r="B130" s="50"/>
      <c r="C130" s="50"/>
      <c r="D130" s="50" t="s">
        <v>143</v>
      </c>
      <c r="E130" s="49" t="s">
        <v>322</v>
      </c>
      <c r="F130" s="49" t="str">
        <f t="shared" si="16"/>
        <v>30/07/1992</v>
      </c>
      <c r="G130" s="50">
        <f t="shared" si="17"/>
        <v>32</v>
      </c>
      <c r="H130" s="50">
        <f t="shared" si="18"/>
        <v>10</v>
      </c>
      <c r="I130" s="50">
        <f t="shared" si="19"/>
        <v>21</v>
      </c>
      <c r="J130" s="59"/>
      <c r="K130" s="49" t="s">
        <v>136</v>
      </c>
      <c r="L130" s="64"/>
      <c r="M130" s="49" t="s">
        <v>426</v>
      </c>
      <c r="N130" s="49">
        <v>2569</v>
      </c>
      <c r="O130" s="65" t="s">
        <v>291</v>
      </c>
      <c r="P130" s="49" t="str">
        <f t="shared" si="20"/>
        <v>01/11/2021</v>
      </c>
      <c r="Q130" s="68">
        <f t="shared" si="21"/>
        <v>3</v>
      </c>
      <c r="R130" s="68">
        <f t="shared" si="22"/>
        <v>7</v>
      </c>
      <c r="S130" s="68">
        <f t="shared" si="23"/>
        <v>19</v>
      </c>
      <c r="T130" s="65"/>
      <c r="U130" s="65"/>
      <c r="V130" s="49" t="str">
        <f t="shared" si="24"/>
        <v/>
      </c>
      <c r="W130" s="68">
        <f>IF(V130="",0,DATEDIF(V130,P130,"Y"))</f>
        <v>0</v>
      </c>
      <c r="X130" s="68">
        <f>IF(V130="",0,DATEDIF(V130,P130,"YM"))</f>
        <v>0</v>
      </c>
      <c r="Y130" s="68">
        <f>IF(V130="",0,DATEDIF(V130,P130,"MD"))</f>
        <v>0</v>
      </c>
      <c r="Z130" s="49"/>
      <c r="AA130" s="65"/>
      <c r="AB130" s="50" t="str">
        <f t="shared" si="25"/>
        <v/>
      </c>
      <c r="AC130" s="68">
        <f t="shared" si="26"/>
        <v>0</v>
      </c>
      <c r="AD130" s="68">
        <f t="shared" si="27"/>
        <v>0</v>
      </c>
      <c r="AE130" s="68">
        <f t="shared" si="28"/>
        <v>0</v>
      </c>
      <c r="AF130" s="50"/>
      <c r="AG130" s="50" t="s">
        <v>138</v>
      </c>
      <c r="AH130" s="49" t="str">
        <f>IF(AG130="นิติศาสตร์","K5-LAW","K5-POLICY")</f>
        <v>K5-LAW</v>
      </c>
      <c r="AI130" s="72" t="str">
        <f>_xlfn.IFS(B130="","",AND(AH130="K5-LAW",AG130="นิติศาสตร์",K130="S2",T130="",Z130=""),P130,AND(AH130="K5-LAW",AG130="นิติศาสตร์",K130="S1",T130="",Z130=""),EDATE(P130,12),AND(AH130="K5-LAW",AG130="นิติศาสตร์",OR(K130="M2",K130="K4"),T130="",Z130=""),EDATE(P130,12*2),AND(AH130="K5-LAW",AG130="นิติศาสตร์",OR(Z130="M2",Z130="K4"),AC130&gt;=2,OR(AB130&lt;V130,AB130&lt;P130)),EDATE(AB130,12*2),AND(AH130="K5-LAW",AG130="นิติศาสตร์",Z130="S1",AC130&gt;=1,OR(AB130&lt;V130,AB130&lt;P130)),EDATE(AB130,12),AND(AH130="K5-LAW",AG130="นิติศาสตร์",OR(T130="M2",T130="K4"),W130&gt;=2,V130&lt;P130),EDATE(V130,12*2),AND(AH130="K5-LAW",AG130="นิติศาสตร์",T130="S1",W130&gt;=1,V130&lt;P130),EDATE(V130,12),AND(AH130="K5-LAW",AG130="นิติศาสตร์",OR(T130="S2",T130="K5")),V130,AND(AH130="K5-LAW",AG130="นิติศาสตร์",OR(K130="M2",K130="K4"),Q130&gt;=2),EDATE(P130,12*2),AND(AH130="K5-LAW",AG130="นิติศาสตร์",K130="S1",Q130&gt;=1),EDATE(P130,12),AND(AH130="K5-LAW",AG130="นิติศาสตร์",OR(K130="S2",K130="K5")),P130,AND(AH130="K5-POLICY",AG130&lt;&gt;"นิติศาสตร์",K130="S2",T130="",Z130=""),P130,AND(AH130="K5-POLICY",AG130&lt;&gt;"นิติศาสตร์",K130="S1",T130="",Z130=""),EDATE(P130,12),AND(AH130="K5-POLICY",AG130&lt;&gt;"นิติศาสตร์",OR(K130="M2",K130="K4"),T130="",Z130=""),EDATE(P130,12*2),AND(AH130="K5-POLICY",AG130&lt;&gt;"นิติศาสตร์",OR(Z130="M2",Z130="K4"),AC130&gt;=2,OR(AB130&lt;V130,AB130&lt;P130)),EDATE(AB130,12*2),AND(AH130="K5-POLICY",AG130&lt;&gt;"นิติศาสตร์",Z130="S1",AC130&gt;=1,OR(AB130&lt;V130,AB130&lt;P130)),EDATE(AB130,12),AND(AH130="K5-POLICY",AG130&lt;&gt;"นิติศาสตร์",OR(T130="M2",T130="K4"),W130&gt;=2,V130&lt;P130),EDATE(V130,12*2),AND(AH130="K5-POLICY",AG130&lt;&gt;"นิติศาสตร์",T130="S1",W130&gt;=1,V130&lt;P130),EDATE(V130,12),AND(AH130="K5-POLICY",AG130&lt;&gt;"นิติศาสตร์",OR(T130="S2",T130="K5")),V130,AND(AH130="K5-POLICY",AG130&lt;&gt;"นิติศาสตร์",OR(K130="M2",K130="K4"),Q130&gt;=2),EDATE(P130,12*2),AND(AH130="K5-POLICY",AG130&lt;&gt;"นิติศาสตร์",K130="S1",Q130&gt;=1),EDATE(P130,12),AND(AH130="K5-POLICY",AG130&lt;&gt;"นิติศาสตร์",OR(K130="S2",K130="K5")),P130,TRUE,"Check Data")</f>
        <v/>
      </c>
      <c r="AJ130" s="75" t="str">
        <f t="shared" si="29"/>
        <v>Check Data</v>
      </c>
      <c r="AK130" s="76" t="str">
        <f t="shared" si="30"/>
        <v>Check Data</v>
      </c>
      <c r="AL130" s="50" t="str">
        <f t="shared" si="31"/>
        <v>Check Data</v>
      </c>
      <c r="AM130" s="49" t="str">
        <f>IF(B130="","",IF(K130="S1","S1",INDEX(#REF!,#REF!)))</f>
        <v/>
      </c>
      <c r="AN130" s="49" t="str">
        <f>K130</f>
        <v>M2</v>
      </c>
      <c r="AO130" s="50" t="b">
        <f>K130=AM130</f>
        <v>0</v>
      </c>
      <c r="AP130" s="50"/>
    </row>
    <row r="131" spans="1:42" ht="21.75">
      <c r="A131" s="49">
        <v>129</v>
      </c>
      <c r="B131" s="50"/>
      <c r="C131" s="50"/>
      <c r="D131" s="50" t="s">
        <v>143</v>
      </c>
      <c r="E131" s="49" t="s">
        <v>297</v>
      </c>
      <c r="F131" s="49" t="str">
        <f t="shared" ref="F131:F194" si="32">IF(E131="","",TEXT(EDATE(E131,-543*12),"dd/mm/yyyy"))</f>
        <v>22/12/1997</v>
      </c>
      <c r="G131" s="50">
        <f t="shared" ref="G131:G194" si="33">IF(F131="",0,DATEDIF(F131,$C$1,"Y"))</f>
        <v>27</v>
      </c>
      <c r="H131" s="50">
        <f t="shared" ref="H131:H194" si="34">IF(F131="",0,DATEDIF(F131,$C$1,"YM"))</f>
        <v>5</v>
      </c>
      <c r="I131" s="50">
        <f t="shared" ref="I131:I194" si="35">IF(F131="",0,DATEDIF(F131,$C$1,"MD"))</f>
        <v>29</v>
      </c>
      <c r="J131" s="59"/>
      <c r="K131" s="49" t="s">
        <v>136</v>
      </c>
      <c r="L131" s="64"/>
      <c r="M131" s="49" t="s">
        <v>427</v>
      </c>
      <c r="N131" s="49">
        <v>2573</v>
      </c>
      <c r="O131" s="65" t="s">
        <v>291</v>
      </c>
      <c r="P131" s="49" t="str">
        <f t="shared" ref="P131:P194" si="36">TEXT(EDATE(O131,-543*12),"dd/mm/yyyy")</f>
        <v>01/11/2021</v>
      </c>
      <c r="Q131" s="68">
        <f t="shared" ref="Q131:Q194" si="37">IF(P131="",0,DATEDIF(P131,$C$1,"Y"))</f>
        <v>3</v>
      </c>
      <c r="R131" s="68">
        <f t="shared" ref="R131:R194" si="38">IF(P131="",0,DATEDIF(P131,$C$1,"YM"))</f>
        <v>7</v>
      </c>
      <c r="S131" s="68">
        <f t="shared" ref="S131:S194" si="39">IF(P131="",0,DATEDIF(P131,$C$1,"MD"))</f>
        <v>19</v>
      </c>
      <c r="T131" s="65"/>
      <c r="U131" s="65"/>
      <c r="V131" s="49" t="str">
        <f t="shared" ref="V131:V194" si="40">IF(U131="","",TEXT(EDATE(U131,-543*12),"dd/mm/yyyy"))</f>
        <v/>
      </c>
      <c r="W131" s="68">
        <f>IF(V131="",0,DATEDIF(V131,P131,"Y"))</f>
        <v>0</v>
      </c>
      <c r="X131" s="68">
        <f>IF(V131="",0,DATEDIF(V131,P131,"YM"))</f>
        <v>0</v>
      </c>
      <c r="Y131" s="68">
        <f>IF(V131="",0,DATEDIF(V131,P131,"MD"))</f>
        <v>0</v>
      </c>
      <c r="Z131" s="49"/>
      <c r="AA131" s="65"/>
      <c r="AB131" s="50" t="str">
        <f t="shared" ref="AB131:AB194" si="41">IF(AA131="","",TEXT(EDATE(AA131,-543*12),"dd/mm/yyyy"))</f>
        <v/>
      </c>
      <c r="AC131" s="68">
        <f t="shared" ref="AC131:AC194" si="42">IF(AB131="",0,DATEDIF(AB131,V131,"Y"))</f>
        <v>0</v>
      </c>
      <c r="AD131" s="68">
        <f t="shared" ref="AD131:AD194" si="43">IF(AB131="",0,DATEDIF(AB131,V131,"YM"))</f>
        <v>0</v>
      </c>
      <c r="AE131" s="68">
        <f t="shared" ref="AE131:AE194" si="44">IF(AB131="",0,DATEDIF(AB131,V131,"MD"))</f>
        <v>0</v>
      </c>
      <c r="AF131" s="50"/>
      <c r="AG131" s="50" t="s">
        <v>169</v>
      </c>
      <c r="AH131" s="49" t="str">
        <f>IF(AG131="นิติศาสตร์","K5-LAW","K5-POLICY")</f>
        <v>K5-POLICY</v>
      </c>
      <c r="AI131" s="72" t="str">
        <f>_xlfn.IFS(B131="","",AND(AH131="K5-LAW",AG131="นิติศาสตร์",K131="S2",T131="",Z131=""),P131,AND(AH131="K5-LAW",AG131="นิติศาสตร์",K131="S1",T131="",Z131=""),EDATE(P131,12),AND(AH131="K5-LAW",AG131="นิติศาสตร์",OR(K131="M2",K131="K4"),T131="",Z131=""),EDATE(P131,12*2),AND(AH131="K5-LAW",AG131="นิติศาสตร์",OR(Z131="M2",Z131="K4"),AC131&gt;=2,OR(AB131&lt;V131,AB131&lt;P131)),EDATE(AB131,12*2),AND(AH131="K5-LAW",AG131="นิติศาสตร์",Z131="S1",AC131&gt;=1,OR(AB131&lt;V131,AB131&lt;P131)),EDATE(AB131,12),AND(AH131="K5-LAW",AG131="นิติศาสตร์",OR(T131="M2",T131="K4"),W131&gt;=2,V131&lt;P131),EDATE(V131,12*2),AND(AH131="K5-LAW",AG131="นิติศาสตร์",T131="S1",W131&gt;=1,V131&lt;P131),EDATE(V131,12),AND(AH131="K5-LAW",AG131="นิติศาสตร์",OR(T131="S2",T131="K5")),V131,AND(AH131="K5-LAW",AG131="นิติศาสตร์",OR(K131="M2",K131="K4"),Q131&gt;=2),EDATE(P131,12*2),AND(AH131="K5-LAW",AG131="นิติศาสตร์",K131="S1",Q131&gt;=1),EDATE(P131,12),AND(AH131="K5-LAW",AG131="นิติศาสตร์",OR(K131="S2",K131="K5")),P131,AND(AH131="K5-POLICY",AG131&lt;&gt;"นิติศาสตร์",K131="S2",T131="",Z131=""),P131,AND(AH131="K5-POLICY",AG131&lt;&gt;"นิติศาสตร์",K131="S1",T131="",Z131=""),EDATE(P131,12),AND(AH131="K5-POLICY",AG131&lt;&gt;"นิติศาสตร์",OR(K131="M2",K131="K4"),T131="",Z131=""),EDATE(P131,12*2),AND(AH131="K5-POLICY",AG131&lt;&gt;"นิติศาสตร์",OR(Z131="M2",Z131="K4"),AC131&gt;=2,OR(AB131&lt;V131,AB131&lt;P131)),EDATE(AB131,12*2),AND(AH131="K5-POLICY",AG131&lt;&gt;"นิติศาสตร์",Z131="S1",AC131&gt;=1,OR(AB131&lt;V131,AB131&lt;P131)),EDATE(AB131,12),AND(AH131="K5-POLICY",AG131&lt;&gt;"นิติศาสตร์",OR(T131="M2",T131="K4"),W131&gt;=2,V131&lt;P131),EDATE(V131,12*2),AND(AH131="K5-POLICY",AG131&lt;&gt;"นิติศาสตร์",T131="S1",W131&gt;=1,V131&lt;P131),EDATE(V131,12),AND(AH131="K5-POLICY",AG131&lt;&gt;"นิติศาสตร์",OR(T131="S2",T131="K5")),V131,AND(AH131="K5-POLICY",AG131&lt;&gt;"นิติศาสตร์",OR(K131="M2",K131="K4"),Q131&gt;=2),EDATE(P131,12*2),AND(AH131="K5-POLICY",AG131&lt;&gt;"นิติศาสตร์",K131="S1",Q131&gt;=1),EDATE(P131,12),AND(AH131="K5-POLICY",AG131&lt;&gt;"นิติศาสตร์",OR(K131="S2",K131="K5")),P131,TRUE,"Check Data")</f>
        <v/>
      </c>
      <c r="AJ131" s="75" t="str">
        <f t="shared" ref="AJ131:AJ194" si="45">IFERROR(TEXT(EDATE(AI131,543*12),"dd/mm/yyyy"),"Check Data")</f>
        <v>Check Data</v>
      </c>
      <c r="AK131" s="76" t="str">
        <f t="shared" ref="AK131:AK194" si="46">IFERROR(IF($C$1&gt;AI131,AI131-$C$1,DATEDIF($C$1,AI131,"d")),"Check Data")</f>
        <v>Check Data</v>
      </c>
      <c r="AL131" s="50" t="str">
        <f t="shared" ref="AL131:AL194" si="47">_xlfn.IFS(AK131="Check Data","Check Data",AK131&gt;30,"ยังไม่ถึงเกณฑ์",AK131&gt;0,"ใกล้ถึงเกณฑ์",AK131=0,"ถึงเกณฑ์",AK131&lt;0,"ถึงเกณฑ์นานแล้ว")</f>
        <v>Check Data</v>
      </c>
      <c r="AM131" s="49" t="str">
        <f>IF(B131="","",IF(K131="S1","S1",INDEX(#REF!,#REF!)))</f>
        <v/>
      </c>
      <c r="AN131" s="49" t="str">
        <f>K131</f>
        <v>M2</v>
      </c>
      <c r="AO131" s="50" t="b">
        <f>K131=AM131</f>
        <v>0</v>
      </c>
      <c r="AP131" s="50"/>
    </row>
    <row r="132" spans="1:42" ht="21.75">
      <c r="A132" s="49">
        <v>130</v>
      </c>
      <c r="B132" s="50"/>
      <c r="C132" s="50"/>
      <c r="D132" s="50" t="s">
        <v>143</v>
      </c>
      <c r="E132" s="49" t="s">
        <v>342</v>
      </c>
      <c r="F132" s="49" t="str">
        <f t="shared" si="32"/>
        <v>11/07/1996</v>
      </c>
      <c r="G132" s="50">
        <f t="shared" si="33"/>
        <v>28</v>
      </c>
      <c r="H132" s="50">
        <f t="shared" si="34"/>
        <v>11</v>
      </c>
      <c r="I132" s="50">
        <f t="shared" si="35"/>
        <v>9</v>
      </c>
      <c r="J132" s="59"/>
      <c r="K132" s="49" t="s">
        <v>136</v>
      </c>
      <c r="L132" s="64"/>
      <c r="M132" s="49" t="s">
        <v>427</v>
      </c>
      <c r="N132" s="49">
        <v>2576</v>
      </c>
      <c r="O132" s="65" t="s">
        <v>291</v>
      </c>
      <c r="P132" s="49" t="str">
        <f t="shared" si="36"/>
        <v>01/11/2021</v>
      </c>
      <c r="Q132" s="68">
        <f t="shared" si="37"/>
        <v>3</v>
      </c>
      <c r="R132" s="68">
        <f t="shared" si="38"/>
        <v>7</v>
      </c>
      <c r="S132" s="68">
        <f t="shared" si="39"/>
        <v>19</v>
      </c>
      <c r="T132" s="65"/>
      <c r="U132" s="65"/>
      <c r="V132" s="49" t="str">
        <f t="shared" si="40"/>
        <v/>
      </c>
      <c r="W132" s="68">
        <f>IF(V132="",0,DATEDIF(V132,P132,"Y"))</f>
        <v>0</v>
      </c>
      <c r="X132" s="68">
        <f>IF(V132="",0,DATEDIF(V132,P132,"YM"))</f>
        <v>0</v>
      </c>
      <c r="Y132" s="68">
        <f>IF(V132="",0,DATEDIF(V132,P132,"MD"))</f>
        <v>0</v>
      </c>
      <c r="Z132" s="49"/>
      <c r="AA132" s="65"/>
      <c r="AB132" s="50" t="str">
        <f t="shared" si="41"/>
        <v/>
      </c>
      <c r="AC132" s="68">
        <f t="shared" si="42"/>
        <v>0</v>
      </c>
      <c r="AD132" s="68">
        <f t="shared" si="43"/>
        <v>0</v>
      </c>
      <c r="AE132" s="68">
        <f t="shared" si="44"/>
        <v>0</v>
      </c>
      <c r="AF132" s="50"/>
      <c r="AG132" s="50" t="s">
        <v>518</v>
      </c>
      <c r="AH132" s="49" t="str">
        <f>IF(AG132="นิติศาสตร์","K5-LAW","K5-POLICY")</f>
        <v>K5-POLICY</v>
      </c>
      <c r="AI132" s="72" t="str">
        <f>_xlfn.IFS(B132="","",AND(AH132="K5-LAW",AG132="นิติศาสตร์",K132="S2",T132="",Z132=""),P132,AND(AH132="K5-LAW",AG132="นิติศาสตร์",K132="S1",T132="",Z132=""),EDATE(P132,12),AND(AH132="K5-LAW",AG132="นิติศาสตร์",OR(K132="M2",K132="K4"),T132="",Z132=""),EDATE(P132,12*2),AND(AH132="K5-LAW",AG132="นิติศาสตร์",OR(Z132="M2",Z132="K4"),AC132&gt;=2,OR(AB132&lt;V132,AB132&lt;P132)),EDATE(AB132,12*2),AND(AH132="K5-LAW",AG132="นิติศาสตร์",Z132="S1",AC132&gt;=1,OR(AB132&lt;V132,AB132&lt;P132)),EDATE(AB132,12),AND(AH132="K5-LAW",AG132="นิติศาสตร์",OR(T132="M2",T132="K4"),W132&gt;=2,V132&lt;P132),EDATE(V132,12*2),AND(AH132="K5-LAW",AG132="นิติศาสตร์",T132="S1",W132&gt;=1,V132&lt;P132),EDATE(V132,12),AND(AH132="K5-LAW",AG132="นิติศาสตร์",OR(T132="S2",T132="K5")),V132,AND(AH132="K5-LAW",AG132="นิติศาสตร์",OR(K132="M2",K132="K4"),Q132&gt;=2),EDATE(P132,12*2),AND(AH132="K5-LAW",AG132="นิติศาสตร์",K132="S1",Q132&gt;=1),EDATE(P132,12),AND(AH132="K5-LAW",AG132="นิติศาสตร์",OR(K132="S2",K132="K5")),P132,AND(AH132="K5-POLICY",AG132&lt;&gt;"นิติศาสตร์",K132="S2",T132="",Z132=""),P132,AND(AH132="K5-POLICY",AG132&lt;&gt;"นิติศาสตร์",K132="S1",T132="",Z132=""),EDATE(P132,12),AND(AH132="K5-POLICY",AG132&lt;&gt;"นิติศาสตร์",OR(K132="M2",K132="K4"),T132="",Z132=""),EDATE(P132,12*2),AND(AH132="K5-POLICY",AG132&lt;&gt;"นิติศาสตร์",OR(Z132="M2",Z132="K4"),AC132&gt;=2,OR(AB132&lt;V132,AB132&lt;P132)),EDATE(AB132,12*2),AND(AH132="K5-POLICY",AG132&lt;&gt;"นิติศาสตร์",Z132="S1",AC132&gt;=1,OR(AB132&lt;V132,AB132&lt;P132)),EDATE(AB132,12),AND(AH132="K5-POLICY",AG132&lt;&gt;"นิติศาสตร์",OR(T132="M2",T132="K4"),W132&gt;=2,V132&lt;P132),EDATE(V132,12*2),AND(AH132="K5-POLICY",AG132&lt;&gt;"นิติศาสตร์",T132="S1",W132&gt;=1,V132&lt;P132),EDATE(V132,12),AND(AH132="K5-POLICY",AG132&lt;&gt;"นิติศาสตร์",OR(T132="S2",T132="K5")),V132,AND(AH132="K5-POLICY",AG132&lt;&gt;"นิติศาสตร์",OR(K132="M2",K132="K4"),Q132&gt;=2),EDATE(P132,12*2),AND(AH132="K5-POLICY",AG132&lt;&gt;"นิติศาสตร์",K132="S1",Q132&gt;=1),EDATE(P132,12),AND(AH132="K5-POLICY",AG132&lt;&gt;"นิติศาสตร์",OR(K132="S2",K132="K5")),P132,TRUE,"Check Data")</f>
        <v/>
      </c>
      <c r="AJ132" s="75" t="str">
        <f t="shared" si="45"/>
        <v>Check Data</v>
      </c>
      <c r="AK132" s="76" t="str">
        <f t="shared" si="46"/>
        <v>Check Data</v>
      </c>
      <c r="AL132" s="50" t="str">
        <f t="shared" si="47"/>
        <v>Check Data</v>
      </c>
      <c r="AM132" s="49" t="str">
        <f>IF(B132="","",IF(K132="S1","S1",INDEX(#REF!,#REF!)))</f>
        <v/>
      </c>
      <c r="AN132" s="49" t="str">
        <f>K132</f>
        <v>M2</v>
      </c>
      <c r="AO132" s="50" t="b">
        <f>K132=AM132</f>
        <v>0</v>
      </c>
      <c r="AP132" s="50"/>
    </row>
    <row r="133" spans="1:42" ht="21.75">
      <c r="A133" s="49">
        <v>131</v>
      </c>
      <c r="B133" s="50"/>
      <c r="C133" s="50"/>
      <c r="D133" s="50" t="s">
        <v>143</v>
      </c>
      <c r="E133" s="49" t="s">
        <v>164</v>
      </c>
      <c r="F133" s="49" t="str">
        <f t="shared" si="32"/>
        <v>01/05/1990</v>
      </c>
      <c r="G133" s="50">
        <f t="shared" si="33"/>
        <v>35</v>
      </c>
      <c r="H133" s="50">
        <f t="shared" si="34"/>
        <v>1</v>
      </c>
      <c r="I133" s="50">
        <f t="shared" si="35"/>
        <v>19</v>
      </c>
      <c r="J133" s="59"/>
      <c r="K133" s="49" t="s">
        <v>136</v>
      </c>
      <c r="L133" s="64"/>
      <c r="M133" s="49" t="s">
        <v>427</v>
      </c>
      <c r="N133" s="49">
        <v>2575</v>
      </c>
      <c r="O133" s="65" t="s">
        <v>291</v>
      </c>
      <c r="P133" s="49" t="str">
        <f t="shared" si="36"/>
        <v>01/11/2021</v>
      </c>
      <c r="Q133" s="68">
        <f t="shared" si="37"/>
        <v>3</v>
      </c>
      <c r="R133" s="68">
        <f t="shared" si="38"/>
        <v>7</v>
      </c>
      <c r="S133" s="68">
        <f t="shared" si="39"/>
        <v>19</v>
      </c>
      <c r="T133" s="65"/>
      <c r="U133" s="65"/>
      <c r="V133" s="49" t="str">
        <f t="shared" si="40"/>
        <v/>
      </c>
      <c r="W133" s="68">
        <f>IF(V133="",0,DATEDIF(V133,P133,"Y"))</f>
        <v>0</v>
      </c>
      <c r="X133" s="68">
        <f>IF(V133="",0,DATEDIF(V133,P133,"YM"))</f>
        <v>0</v>
      </c>
      <c r="Y133" s="68">
        <f>IF(V133="",0,DATEDIF(V133,P133,"MD"))</f>
        <v>0</v>
      </c>
      <c r="Z133" s="49"/>
      <c r="AA133" s="65"/>
      <c r="AB133" s="50" t="str">
        <f t="shared" si="41"/>
        <v/>
      </c>
      <c r="AC133" s="68">
        <f t="shared" si="42"/>
        <v>0</v>
      </c>
      <c r="AD133" s="68">
        <f t="shared" si="43"/>
        <v>0</v>
      </c>
      <c r="AE133" s="68">
        <f t="shared" si="44"/>
        <v>0</v>
      </c>
      <c r="AF133" s="50"/>
      <c r="AG133" s="50" t="s">
        <v>163</v>
      </c>
      <c r="AH133" s="49" t="str">
        <f>IF(AG133="นิติศาสตร์","K5-LAW","K5-POLICY")</f>
        <v>K5-POLICY</v>
      </c>
      <c r="AI133" s="72" t="str">
        <f>_xlfn.IFS(B133="","",AND(AH133="K5-LAW",AG133="นิติศาสตร์",K133="S2",T133="",Z133=""),P133,AND(AH133="K5-LAW",AG133="นิติศาสตร์",K133="S1",T133="",Z133=""),EDATE(P133,12),AND(AH133="K5-LAW",AG133="นิติศาสตร์",OR(K133="M2",K133="K4"),T133="",Z133=""),EDATE(P133,12*2),AND(AH133="K5-LAW",AG133="นิติศาสตร์",OR(Z133="M2",Z133="K4"),AC133&gt;=2,OR(AB133&lt;V133,AB133&lt;P133)),EDATE(AB133,12*2),AND(AH133="K5-LAW",AG133="นิติศาสตร์",Z133="S1",AC133&gt;=1,OR(AB133&lt;V133,AB133&lt;P133)),EDATE(AB133,12),AND(AH133="K5-LAW",AG133="นิติศาสตร์",OR(T133="M2",T133="K4"),W133&gt;=2,V133&lt;P133),EDATE(V133,12*2),AND(AH133="K5-LAW",AG133="นิติศาสตร์",T133="S1",W133&gt;=1,V133&lt;P133),EDATE(V133,12),AND(AH133="K5-LAW",AG133="นิติศาสตร์",OR(T133="S2",T133="K5")),V133,AND(AH133="K5-LAW",AG133="นิติศาสตร์",OR(K133="M2",K133="K4"),Q133&gt;=2),EDATE(P133,12*2),AND(AH133="K5-LAW",AG133="นิติศาสตร์",K133="S1",Q133&gt;=1),EDATE(P133,12),AND(AH133="K5-LAW",AG133="นิติศาสตร์",OR(K133="S2",K133="K5")),P133,AND(AH133="K5-POLICY",AG133&lt;&gt;"นิติศาสตร์",K133="S2",T133="",Z133=""),P133,AND(AH133="K5-POLICY",AG133&lt;&gt;"นิติศาสตร์",K133="S1",T133="",Z133=""),EDATE(P133,12),AND(AH133="K5-POLICY",AG133&lt;&gt;"นิติศาสตร์",OR(K133="M2",K133="K4"),T133="",Z133=""),EDATE(P133,12*2),AND(AH133="K5-POLICY",AG133&lt;&gt;"นิติศาสตร์",OR(Z133="M2",Z133="K4"),AC133&gt;=2,OR(AB133&lt;V133,AB133&lt;P133)),EDATE(AB133,12*2),AND(AH133="K5-POLICY",AG133&lt;&gt;"นิติศาสตร์",Z133="S1",AC133&gt;=1,OR(AB133&lt;V133,AB133&lt;P133)),EDATE(AB133,12),AND(AH133="K5-POLICY",AG133&lt;&gt;"นิติศาสตร์",OR(T133="M2",T133="K4"),W133&gt;=2,V133&lt;P133),EDATE(V133,12*2),AND(AH133="K5-POLICY",AG133&lt;&gt;"นิติศาสตร์",T133="S1",W133&gt;=1,V133&lt;P133),EDATE(V133,12),AND(AH133="K5-POLICY",AG133&lt;&gt;"นิติศาสตร์",OR(T133="S2",T133="K5")),V133,AND(AH133="K5-POLICY",AG133&lt;&gt;"นิติศาสตร์",OR(K133="M2",K133="K4"),Q133&gt;=2),EDATE(P133,12*2),AND(AH133="K5-POLICY",AG133&lt;&gt;"นิติศาสตร์",K133="S1",Q133&gt;=1),EDATE(P133,12),AND(AH133="K5-POLICY",AG133&lt;&gt;"นิติศาสตร์",OR(K133="S2",K133="K5")),P133,TRUE,"Check Data")</f>
        <v/>
      </c>
      <c r="AJ133" s="75" t="str">
        <f t="shared" si="45"/>
        <v>Check Data</v>
      </c>
      <c r="AK133" s="76" t="str">
        <f t="shared" si="46"/>
        <v>Check Data</v>
      </c>
      <c r="AL133" s="50" t="str">
        <f t="shared" si="47"/>
        <v>Check Data</v>
      </c>
      <c r="AM133" s="49" t="str">
        <f>IF(B133="","",IF(K133="S1","S1",INDEX(#REF!,#REF!)))</f>
        <v/>
      </c>
      <c r="AN133" s="49" t="str">
        <f>K133</f>
        <v>M2</v>
      </c>
      <c r="AO133" s="50" t="b">
        <f>K133=AM133</f>
        <v>0</v>
      </c>
      <c r="AP133" s="50"/>
    </row>
    <row r="134" spans="1:42" ht="21.75">
      <c r="A134" s="49">
        <v>132</v>
      </c>
      <c r="B134" s="50"/>
      <c r="C134" s="50"/>
      <c r="D134" s="50" t="s">
        <v>143</v>
      </c>
      <c r="E134" s="49" t="s">
        <v>299</v>
      </c>
      <c r="F134" s="49" t="str">
        <f t="shared" si="32"/>
        <v>01/09/2000</v>
      </c>
      <c r="G134" s="50">
        <f t="shared" si="33"/>
        <v>24</v>
      </c>
      <c r="H134" s="50">
        <f t="shared" si="34"/>
        <v>9</v>
      </c>
      <c r="I134" s="50">
        <f t="shared" si="35"/>
        <v>19</v>
      </c>
      <c r="J134" s="59"/>
      <c r="K134" s="49" t="s">
        <v>136</v>
      </c>
      <c r="L134" s="64"/>
      <c r="M134" s="49" t="s">
        <v>427</v>
      </c>
      <c r="N134" s="49">
        <v>2575</v>
      </c>
      <c r="O134" s="65" t="s">
        <v>291</v>
      </c>
      <c r="P134" s="49" t="str">
        <f t="shared" si="36"/>
        <v>01/11/2021</v>
      </c>
      <c r="Q134" s="68">
        <f t="shared" si="37"/>
        <v>3</v>
      </c>
      <c r="R134" s="68">
        <f t="shared" si="38"/>
        <v>7</v>
      </c>
      <c r="S134" s="68">
        <f t="shared" si="39"/>
        <v>19</v>
      </c>
      <c r="T134" s="65"/>
      <c r="U134" s="65"/>
      <c r="V134" s="49" t="str">
        <f t="shared" si="40"/>
        <v/>
      </c>
      <c r="W134" s="68">
        <f>IF(V134="",0,DATEDIF(V134,P134,"Y"))</f>
        <v>0</v>
      </c>
      <c r="X134" s="68">
        <f>IF(V134="",0,DATEDIF(V134,P134,"YM"))</f>
        <v>0</v>
      </c>
      <c r="Y134" s="68">
        <f>IF(V134="",0,DATEDIF(V134,P134,"MD"))</f>
        <v>0</v>
      </c>
      <c r="Z134" s="49"/>
      <c r="AA134" s="65"/>
      <c r="AB134" s="50" t="str">
        <f t="shared" si="41"/>
        <v/>
      </c>
      <c r="AC134" s="68">
        <f t="shared" si="42"/>
        <v>0</v>
      </c>
      <c r="AD134" s="68">
        <f t="shared" si="43"/>
        <v>0</v>
      </c>
      <c r="AE134" s="68">
        <f t="shared" si="44"/>
        <v>0</v>
      </c>
      <c r="AF134" s="50"/>
      <c r="AG134" s="50" t="s">
        <v>512</v>
      </c>
      <c r="AH134" s="49" t="str">
        <f>IF(AG134="นิติศาสตร์","K5-LAW","K5-POLICY")</f>
        <v>K5-POLICY</v>
      </c>
      <c r="AI134" s="72" t="str">
        <f>_xlfn.IFS(B134="","",AND(AH134="K5-LAW",AG134="นิติศาสตร์",K134="S2",T134="",Z134=""),P134,AND(AH134="K5-LAW",AG134="นิติศาสตร์",K134="S1",T134="",Z134=""),EDATE(P134,12),AND(AH134="K5-LAW",AG134="นิติศาสตร์",OR(K134="M2",K134="K4"),T134="",Z134=""),EDATE(P134,12*2),AND(AH134="K5-LAW",AG134="นิติศาสตร์",OR(Z134="M2",Z134="K4"),AC134&gt;=2,OR(AB134&lt;V134,AB134&lt;P134)),EDATE(AB134,12*2),AND(AH134="K5-LAW",AG134="นิติศาสตร์",Z134="S1",AC134&gt;=1,OR(AB134&lt;V134,AB134&lt;P134)),EDATE(AB134,12),AND(AH134="K5-LAW",AG134="นิติศาสตร์",OR(T134="M2",T134="K4"),W134&gt;=2,V134&lt;P134),EDATE(V134,12*2),AND(AH134="K5-LAW",AG134="นิติศาสตร์",T134="S1",W134&gt;=1,V134&lt;P134),EDATE(V134,12),AND(AH134="K5-LAW",AG134="นิติศาสตร์",OR(T134="S2",T134="K5")),V134,AND(AH134="K5-LAW",AG134="นิติศาสตร์",OR(K134="M2",K134="K4"),Q134&gt;=2),EDATE(P134,12*2),AND(AH134="K5-LAW",AG134="นิติศาสตร์",K134="S1",Q134&gt;=1),EDATE(P134,12),AND(AH134="K5-LAW",AG134="นิติศาสตร์",OR(K134="S2",K134="K5")),P134,AND(AH134="K5-POLICY",AG134&lt;&gt;"นิติศาสตร์",K134="S2",T134="",Z134=""),P134,AND(AH134="K5-POLICY",AG134&lt;&gt;"นิติศาสตร์",K134="S1",T134="",Z134=""),EDATE(P134,12),AND(AH134="K5-POLICY",AG134&lt;&gt;"นิติศาสตร์",OR(K134="M2",K134="K4"),T134="",Z134=""),EDATE(P134,12*2),AND(AH134="K5-POLICY",AG134&lt;&gt;"นิติศาสตร์",OR(Z134="M2",Z134="K4"),AC134&gt;=2,OR(AB134&lt;V134,AB134&lt;P134)),EDATE(AB134,12*2),AND(AH134="K5-POLICY",AG134&lt;&gt;"นิติศาสตร์",Z134="S1",AC134&gt;=1,OR(AB134&lt;V134,AB134&lt;P134)),EDATE(AB134,12),AND(AH134="K5-POLICY",AG134&lt;&gt;"นิติศาสตร์",OR(T134="M2",T134="K4"),W134&gt;=2,V134&lt;P134),EDATE(V134,12*2),AND(AH134="K5-POLICY",AG134&lt;&gt;"นิติศาสตร์",T134="S1",W134&gt;=1,V134&lt;P134),EDATE(V134,12),AND(AH134="K5-POLICY",AG134&lt;&gt;"นิติศาสตร์",OR(T134="S2",T134="K5")),V134,AND(AH134="K5-POLICY",AG134&lt;&gt;"นิติศาสตร์",OR(K134="M2",K134="K4"),Q134&gt;=2),EDATE(P134,12*2),AND(AH134="K5-POLICY",AG134&lt;&gt;"นิติศาสตร์",K134="S1",Q134&gt;=1),EDATE(P134,12),AND(AH134="K5-POLICY",AG134&lt;&gt;"นิติศาสตร์",OR(K134="S2",K134="K5")),P134,TRUE,"Check Data")</f>
        <v/>
      </c>
      <c r="AJ134" s="75" t="str">
        <f t="shared" si="45"/>
        <v>Check Data</v>
      </c>
      <c r="AK134" s="76" t="str">
        <f t="shared" si="46"/>
        <v>Check Data</v>
      </c>
      <c r="AL134" s="50" t="str">
        <f t="shared" si="47"/>
        <v>Check Data</v>
      </c>
      <c r="AM134" s="49" t="str">
        <f>IF(B134="","",IF(K134="S1","S1",INDEX(#REF!,#REF!)))</f>
        <v/>
      </c>
      <c r="AN134" s="49" t="str">
        <f>K134</f>
        <v>M2</v>
      </c>
      <c r="AO134" s="50" t="b">
        <f>K134=AM134</f>
        <v>0</v>
      </c>
      <c r="AP134" s="50"/>
    </row>
    <row r="135" spans="1:42" ht="21.75">
      <c r="A135" s="49">
        <v>133</v>
      </c>
      <c r="B135" s="50"/>
      <c r="C135" s="50"/>
      <c r="D135" s="50" t="s">
        <v>143</v>
      </c>
      <c r="E135" s="49" t="s">
        <v>292</v>
      </c>
      <c r="F135" s="49" t="str">
        <f t="shared" si="32"/>
        <v>01/09/1998</v>
      </c>
      <c r="G135" s="50">
        <f t="shared" si="33"/>
        <v>26</v>
      </c>
      <c r="H135" s="50">
        <f t="shared" si="34"/>
        <v>9</v>
      </c>
      <c r="I135" s="50">
        <f t="shared" si="35"/>
        <v>19</v>
      </c>
      <c r="J135" s="59"/>
      <c r="K135" s="49" t="s">
        <v>136</v>
      </c>
      <c r="L135" s="64"/>
      <c r="M135" s="49" t="s">
        <v>427</v>
      </c>
      <c r="N135" s="49">
        <v>2578</v>
      </c>
      <c r="O135" s="65" t="s">
        <v>291</v>
      </c>
      <c r="P135" s="49" t="str">
        <f t="shared" si="36"/>
        <v>01/11/2021</v>
      </c>
      <c r="Q135" s="68">
        <f t="shared" si="37"/>
        <v>3</v>
      </c>
      <c r="R135" s="68">
        <f t="shared" si="38"/>
        <v>7</v>
      </c>
      <c r="S135" s="68">
        <f t="shared" si="39"/>
        <v>19</v>
      </c>
      <c r="T135" s="65"/>
      <c r="U135" s="65"/>
      <c r="V135" s="49" t="str">
        <f t="shared" si="40"/>
        <v/>
      </c>
      <c r="W135" s="68">
        <f>IF(V135="",0,DATEDIF(V135,P135,"Y"))</f>
        <v>0</v>
      </c>
      <c r="X135" s="68">
        <f>IF(V135="",0,DATEDIF(V135,P135,"YM"))</f>
        <v>0</v>
      </c>
      <c r="Y135" s="68">
        <f>IF(V135="",0,DATEDIF(V135,P135,"MD"))</f>
        <v>0</v>
      </c>
      <c r="Z135" s="49"/>
      <c r="AA135" s="65"/>
      <c r="AB135" s="50" t="str">
        <f t="shared" si="41"/>
        <v/>
      </c>
      <c r="AC135" s="68">
        <f t="shared" si="42"/>
        <v>0</v>
      </c>
      <c r="AD135" s="68">
        <f t="shared" si="43"/>
        <v>0</v>
      </c>
      <c r="AE135" s="68">
        <f t="shared" si="44"/>
        <v>0</v>
      </c>
      <c r="AF135" s="50"/>
      <c r="AG135" s="50" t="s">
        <v>516</v>
      </c>
      <c r="AH135" s="49" t="str">
        <f>IF(AG135="นิติศาสตร์","K5-LAW","K5-POLICY")</f>
        <v>K5-POLICY</v>
      </c>
      <c r="AI135" s="72" t="str">
        <f>_xlfn.IFS(B135="","",AND(AH135="K5-LAW",AG135="นิติศาสตร์",K135="S2",T135="",Z135=""),P135,AND(AH135="K5-LAW",AG135="นิติศาสตร์",K135="S1",T135="",Z135=""),EDATE(P135,12),AND(AH135="K5-LAW",AG135="นิติศาสตร์",OR(K135="M2",K135="K4"),T135="",Z135=""),EDATE(P135,12*2),AND(AH135="K5-LAW",AG135="นิติศาสตร์",OR(Z135="M2",Z135="K4"),AC135&gt;=2,OR(AB135&lt;V135,AB135&lt;P135)),EDATE(AB135,12*2),AND(AH135="K5-LAW",AG135="นิติศาสตร์",Z135="S1",AC135&gt;=1,OR(AB135&lt;V135,AB135&lt;P135)),EDATE(AB135,12),AND(AH135="K5-LAW",AG135="นิติศาสตร์",OR(T135="M2",T135="K4"),W135&gt;=2,V135&lt;P135),EDATE(V135,12*2),AND(AH135="K5-LAW",AG135="นิติศาสตร์",T135="S1",W135&gt;=1,V135&lt;P135),EDATE(V135,12),AND(AH135="K5-LAW",AG135="นิติศาสตร์",OR(T135="S2",T135="K5")),V135,AND(AH135="K5-LAW",AG135="นิติศาสตร์",OR(K135="M2",K135="K4"),Q135&gt;=2),EDATE(P135,12*2),AND(AH135="K5-LAW",AG135="นิติศาสตร์",K135="S1",Q135&gt;=1),EDATE(P135,12),AND(AH135="K5-LAW",AG135="นิติศาสตร์",OR(K135="S2",K135="K5")),P135,AND(AH135="K5-POLICY",AG135&lt;&gt;"นิติศาสตร์",K135="S2",T135="",Z135=""),P135,AND(AH135="K5-POLICY",AG135&lt;&gt;"นิติศาสตร์",K135="S1",T135="",Z135=""),EDATE(P135,12),AND(AH135="K5-POLICY",AG135&lt;&gt;"นิติศาสตร์",OR(K135="M2",K135="K4"),T135="",Z135=""),EDATE(P135,12*2),AND(AH135="K5-POLICY",AG135&lt;&gt;"นิติศาสตร์",OR(Z135="M2",Z135="K4"),AC135&gt;=2,OR(AB135&lt;V135,AB135&lt;P135)),EDATE(AB135,12*2),AND(AH135="K5-POLICY",AG135&lt;&gt;"นิติศาสตร์",Z135="S1",AC135&gt;=1,OR(AB135&lt;V135,AB135&lt;P135)),EDATE(AB135,12),AND(AH135="K5-POLICY",AG135&lt;&gt;"นิติศาสตร์",OR(T135="M2",T135="K4"),W135&gt;=2,V135&lt;P135),EDATE(V135,12*2),AND(AH135="K5-POLICY",AG135&lt;&gt;"นิติศาสตร์",T135="S1",W135&gt;=1,V135&lt;P135),EDATE(V135,12),AND(AH135="K5-POLICY",AG135&lt;&gt;"นิติศาสตร์",OR(T135="S2",T135="K5")),V135,AND(AH135="K5-POLICY",AG135&lt;&gt;"นิติศาสตร์",OR(K135="M2",K135="K4"),Q135&gt;=2),EDATE(P135,12*2),AND(AH135="K5-POLICY",AG135&lt;&gt;"นิติศาสตร์",K135="S1",Q135&gt;=1),EDATE(P135,12),AND(AH135="K5-POLICY",AG135&lt;&gt;"นิติศาสตร์",OR(K135="S2",K135="K5")),P135,TRUE,"Check Data")</f>
        <v/>
      </c>
      <c r="AJ135" s="75" t="str">
        <f t="shared" si="45"/>
        <v>Check Data</v>
      </c>
      <c r="AK135" s="76" t="str">
        <f t="shared" si="46"/>
        <v>Check Data</v>
      </c>
      <c r="AL135" s="50" t="str">
        <f t="shared" si="47"/>
        <v>Check Data</v>
      </c>
      <c r="AM135" s="49" t="str">
        <f>IF(B135="","",IF(K135="S1","S1",INDEX(#REF!,#REF!)))</f>
        <v/>
      </c>
      <c r="AN135" s="49" t="str">
        <f>K135</f>
        <v>M2</v>
      </c>
      <c r="AO135" s="50" t="b">
        <f>K135=AM135</f>
        <v>0</v>
      </c>
      <c r="AP135" s="50"/>
    </row>
    <row r="136" spans="1:42" ht="21.75">
      <c r="A136" s="49">
        <v>134</v>
      </c>
      <c r="B136" s="50"/>
      <c r="C136" s="50"/>
      <c r="D136" s="50" t="s">
        <v>143</v>
      </c>
      <c r="E136" s="49" t="s">
        <v>330</v>
      </c>
      <c r="F136" s="49" t="str">
        <f t="shared" si="32"/>
        <v>15/06/1988</v>
      </c>
      <c r="G136" s="50">
        <f t="shared" si="33"/>
        <v>37</v>
      </c>
      <c r="H136" s="50">
        <f t="shared" si="34"/>
        <v>0</v>
      </c>
      <c r="I136" s="50">
        <f t="shared" si="35"/>
        <v>5</v>
      </c>
      <c r="J136" s="59"/>
      <c r="K136" s="49" t="s">
        <v>136</v>
      </c>
      <c r="L136" s="64"/>
      <c r="M136" s="49" t="s">
        <v>427</v>
      </c>
      <c r="N136" s="49">
        <v>2571</v>
      </c>
      <c r="O136" s="65" t="s">
        <v>291</v>
      </c>
      <c r="P136" s="49" t="str">
        <f t="shared" si="36"/>
        <v>01/11/2021</v>
      </c>
      <c r="Q136" s="68">
        <f t="shared" si="37"/>
        <v>3</v>
      </c>
      <c r="R136" s="68">
        <f t="shared" si="38"/>
        <v>7</v>
      </c>
      <c r="S136" s="68">
        <f t="shared" si="39"/>
        <v>19</v>
      </c>
      <c r="T136" s="65"/>
      <c r="U136" s="65"/>
      <c r="V136" s="49" t="str">
        <f t="shared" si="40"/>
        <v/>
      </c>
      <c r="W136" s="68">
        <f>IF(V136="",0,DATEDIF(V136,P136,"Y"))</f>
        <v>0</v>
      </c>
      <c r="X136" s="68">
        <f>IF(V136="",0,DATEDIF(V136,P136,"YM"))</f>
        <v>0</v>
      </c>
      <c r="Y136" s="68">
        <f>IF(V136="",0,DATEDIF(V136,P136,"MD"))</f>
        <v>0</v>
      </c>
      <c r="Z136" s="49"/>
      <c r="AA136" s="65"/>
      <c r="AB136" s="50" t="str">
        <f t="shared" si="41"/>
        <v/>
      </c>
      <c r="AC136" s="68">
        <f t="shared" si="42"/>
        <v>0</v>
      </c>
      <c r="AD136" s="68">
        <f t="shared" si="43"/>
        <v>0</v>
      </c>
      <c r="AE136" s="68">
        <f t="shared" si="44"/>
        <v>0</v>
      </c>
      <c r="AF136" s="50"/>
      <c r="AG136" s="50" t="s">
        <v>138</v>
      </c>
      <c r="AH136" s="49" t="str">
        <f>IF(AG136="นิติศาสตร์","K5-LAW","K5-POLICY")</f>
        <v>K5-LAW</v>
      </c>
      <c r="AI136" s="72" t="str">
        <f>_xlfn.IFS(B136="","",AND(AH136="K5-LAW",AG136="นิติศาสตร์",K136="S2",T136="",Z136=""),P136,AND(AH136="K5-LAW",AG136="นิติศาสตร์",K136="S1",T136="",Z136=""),EDATE(P136,12),AND(AH136="K5-LAW",AG136="นิติศาสตร์",OR(K136="M2",K136="K4"),T136="",Z136=""),EDATE(P136,12*2),AND(AH136="K5-LAW",AG136="นิติศาสตร์",OR(Z136="M2",Z136="K4"),AC136&gt;=2,OR(AB136&lt;V136,AB136&lt;P136)),EDATE(AB136,12*2),AND(AH136="K5-LAW",AG136="นิติศาสตร์",Z136="S1",AC136&gt;=1,OR(AB136&lt;V136,AB136&lt;P136)),EDATE(AB136,12),AND(AH136="K5-LAW",AG136="นิติศาสตร์",OR(T136="M2",T136="K4"),W136&gt;=2,V136&lt;P136),EDATE(V136,12*2),AND(AH136="K5-LAW",AG136="นิติศาสตร์",T136="S1",W136&gt;=1,V136&lt;P136),EDATE(V136,12),AND(AH136="K5-LAW",AG136="นิติศาสตร์",OR(T136="S2",T136="K5")),V136,AND(AH136="K5-LAW",AG136="นิติศาสตร์",OR(K136="M2",K136="K4"),Q136&gt;=2),EDATE(P136,12*2),AND(AH136="K5-LAW",AG136="นิติศาสตร์",K136="S1",Q136&gt;=1),EDATE(P136,12),AND(AH136="K5-LAW",AG136="นิติศาสตร์",OR(K136="S2",K136="K5")),P136,AND(AH136="K5-POLICY",AG136&lt;&gt;"นิติศาสตร์",K136="S2",T136="",Z136=""),P136,AND(AH136="K5-POLICY",AG136&lt;&gt;"นิติศาสตร์",K136="S1",T136="",Z136=""),EDATE(P136,12),AND(AH136="K5-POLICY",AG136&lt;&gt;"นิติศาสตร์",OR(K136="M2",K136="K4"),T136="",Z136=""),EDATE(P136,12*2),AND(AH136="K5-POLICY",AG136&lt;&gt;"นิติศาสตร์",OR(Z136="M2",Z136="K4"),AC136&gt;=2,OR(AB136&lt;V136,AB136&lt;P136)),EDATE(AB136,12*2),AND(AH136="K5-POLICY",AG136&lt;&gt;"นิติศาสตร์",Z136="S1",AC136&gt;=1,OR(AB136&lt;V136,AB136&lt;P136)),EDATE(AB136,12),AND(AH136="K5-POLICY",AG136&lt;&gt;"นิติศาสตร์",OR(T136="M2",T136="K4"),W136&gt;=2,V136&lt;P136),EDATE(V136,12*2),AND(AH136="K5-POLICY",AG136&lt;&gt;"นิติศาสตร์",T136="S1",W136&gt;=1,V136&lt;P136),EDATE(V136,12),AND(AH136="K5-POLICY",AG136&lt;&gt;"นิติศาสตร์",OR(T136="S2",T136="K5")),V136,AND(AH136="K5-POLICY",AG136&lt;&gt;"นิติศาสตร์",OR(K136="M2",K136="K4"),Q136&gt;=2),EDATE(P136,12*2),AND(AH136="K5-POLICY",AG136&lt;&gt;"นิติศาสตร์",K136="S1",Q136&gt;=1),EDATE(P136,12),AND(AH136="K5-POLICY",AG136&lt;&gt;"นิติศาสตร์",OR(K136="S2",K136="K5")),P136,TRUE,"Check Data")</f>
        <v/>
      </c>
      <c r="AJ136" s="75" t="str">
        <f t="shared" si="45"/>
        <v>Check Data</v>
      </c>
      <c r="AK136" s="76" t="str">
        <f t="shared" si="46"/>
        <v>Check Data</v>
      </c>
      <c r="AL136" s="50" t="str">
        <f t="shared" si="47"/>
        <v>Check Data</v>
      </c>
      <c r="AM136" s="49" t="str">
        <f>IF(B136="","",IF(K136="S1","S1",INDEX(#REF!,#REF!)))</f>
        <v/>
      </c>
      <c r="AN136" s="49" t="str">
        <f>K136</f>
        <v>M2</v>
      </c>
      <c r="AO136" s="50" t="b">
        <f>K136=AM136</f>
        <v>0</v>
      </c>
      <c r="AP136" s="50"/>
    </row>
    <row r="137" spans="1:42" ht="21.75">
      <c r="A137" s="49">
        <v>135</v>
      </c>
      <c r="B137" s="50"/>
      <c r="C137" s="50"/>
      <c r="D137" s="50" t="s">
        <v>143</v>
      </c>
      <c r="E137" s="49" t="s">
        <v>351</v>
      </c>
      <c r="F137" s="49" t="str">
        <f t="shared" si="32"/>
        <v>15/01/1998</v>
      </c>
      <c r="G137" s="50">
        <f t="shared" si="33"/>
        <v>27</v>
      </c>
      <c r="H137" s="50">
        <f t="shared" si="34"/>
        <v>5</v>
      </c>
      <c r="I137" s="50">
        <f t="shared" si="35"/>
        <v>5</v>
      </c>
      <c r="J137" s="59"/>
      <c r="K137" s="49" t="s">
        <v>136</v>
      </c>
      <c r="L137" s="64"/>
      <c r="M137" s="49" t="s">
        <v>427</v>
      </c>
      <c r="N137" s="49">
        <v>2576</v>
      </c>
      <c r="O137" s="65" t="s">
        <v>291</v>
      </c>
      <c r="P137" s="49" t="str">
        <f t="shared" si="36"/>
        <v>01/11/2021</v>
      </c>
      <c r="Q137" s="68">
        <f t="shared" si="37"/>
        <v>3</v>
      </c>
      <c r="R137" s="68">
        <f t="shared" si="38"/>
        <v>7</v>
      </c>
      <c r="S137" s="68">
        <f t="shared" si="39"/>
        <v>19</v>
      </c>
      <c r="T137" s="65"/>
      <c r="U137" s="65"/>
      <c r="V137" s="49" t="str">
        <f t="shared" si="40"/>
        <v/>
      </c>
      <c r="W137" s="68">
        <f>IF(V137="",0,DATEDIF(V137,P137,"Y"))</f>
        <v>0</v>
      </c>
      <c r="X137" s="68">
        <f>IF(V137="",0,DATEDIF(V137,P137,"YM"))</f>
        <v>0</v>
      </c>
      <c r="Y137" s="68">
        <f>IF(V137="",0,DATEDIF(V137,P137,"MD"))</f>
        <v>0</v>
      </c>
      <c r="Z137" s="49"/>
      <c r="AA137" s="65"/>
      <c r="AB137" s="50" t="str">
        <f t="shared" si="41"/>
        <v/>
      </c>
      <c r="AC137" s="68">
        <f t="shared" si="42"/>
        <v>0</v>
      </c>
      <c r="AD137" s="68">
        <f t="shared" si="43"/>
        <v>0</v>
      </c>
      <c r="AE137" s="68">
        <f t="shared" si="44"/>
        <v>0</v>
      </c>
      <c r="AF137" s="50"/>
      <c r="AG137" s="50" t="s">
        <v>482</v>
      </c>
      <c r="AH137" s="49" t="str">
        <f>IF(AG137="นิติศาสตร์","K5-LAW","K5-POLICY")</f>
        <v>K5-POLICY</v>
      </c>
      <c r="AI137" s="72" t="str">
        <f>_xlfn.IFS(B137="","",AND(AH137="K5-LAW",AG137="นิติศาสตร์",K137="S2",T137="",Z137=""),P137,AND(AH137="K5-LAW",AG137="นิติศาสตร์",K137="S1",T137="",Z137=""),EDATE(P137,12),AND(AH137="K5-LAW",AG137="นิติศาสตร์",OR(K137="M2",K137="K4"),T137="",Z137=""),EDATE(P137,12*2),AND(AH137="K5-LAW",AG137="นิติศาสตร์",OR(Z137="M2",Z137="K4"),AC137&gt;=2,OR(AB137&lt;V137,AB137&lt;P137)),EDATE(AB137,12*2),AND(AH137="K5-LAW",AG137="นิติศาสตร์",Z137="S1",AC137&gt;=1,OR(AB137&lt;V137,AB137&lt;P137)),EDATE(AB137,12),AND(AH137="K5-LAW",AG137="นิติศาสตร์",OR(T137="M2",T137="K4"),W137&gt;=2,V137&lt;P137),EDATE(V137,12*2),AND(AH137="K5-LAW",AG137="นิติศาสตร์",T137="S1",W137&gt;=1,V137&lt;P137),EDATE(V137,12),AND(AH137="K5-LAW",AG137="นิติศาสตร์",OR(T137="S2",T137="K5")),V137,AND(AH137="K5-LAW",AG137="นิติศาสตร์",OR(K137="M2",K137="K4"),Q137&gt;=2),EDATE(P137,12*2),AND(AH137="K5-LAW",AG137="นิติศาสตร์",K137="S1",Q137&gt;=1),EDATE(P137,12),AND(AH137="K5-LAW",AG137="นิติศาสตร์",OR(K137="S2",K137="K5")),P137,AND(AH137="K5-POLICY",AG137&lt;&gt;"นิติศาสตร์",K137="S2",T137="",Z137=""),P137,AND(AH137="K5-POLICY",AG137&lt;&gt;"นิติศาสตร์",K137="S1",T137="",Z137=""),EDATE(P137,12),AND(AH137="K5-POLICY",AG137&lt;&gt;"นิติศาสตร์",OR(K137="M2",K137="K4"),T137="",Z137=""),EDATE(P137,12*2),AND(AH137="K5-POLICY",AG137&lt;&gt;"นิติศาสตร์",OR(Z137="M2",Z137="K4"),AC137&gt;=2,OR(AB137&lt;V137,AB137&lt;P137)),EDATE(AB137,12*2),AND(AH137="K5-POLICY",AG137&lt;&gt;"นิติศาสตร์",Z137="S1",AC137&gt;=1,OR(AB137&lt;V137,AB137&lt;P137)),EDATE(AB137,12),AND(AH137="K5-POLICY",AG137&lt;&gt;"นิติศาสตร์",OR(T137="M2",T137="K4"),W137&gt;=2,V137&lt;P137),EDATE(V137,12*2),AND(AH137="K5-POLICY",AG137&lt;&gt;"นิติศาสตร์",T137="S1",W137&gt;=1,V137&lt;P137),EDATE(V137,12),AND(AH137="K5-POLICY",AG137&lt;&gt;"นิติศาสตร์",OR(T137="S2",T137="K5")),V137,AND(AH137="K5-POLICY",AG137&lt;&gt;"นิติศาสตร์",OR(K137="M2",K137="K4"),Q137&gt;=2),EDATE(P137,12*2),AND(AH137="K5-POLICY",AG137&lt;&gt;"นิติศาสตร์",K137="S1",Q137&gt;=1),EDATE(P137,12),AND(AH137="K5-POLICY",AG137&lt;&gt;"นิติศาสตร์",OR(K137="S2",K137="K5")),P137,TRUE,"Check Data")</f>
        <v/>
      </c>
      <c r="AJ137" s="75" t="str">
        <f t="shared" si="45"/>
        <v>Check Data</v>
      </c>
      <c r="AK137" s="76" t="str">
        <f t="shared" si="46"/>
        <v>Check Data</v>
      </c>
      <c r="AL137" s="50" t="str">
        <f t="shared" si="47"/>
        <v>Check Data</v>
      </c>
      <c r="AM137" s="49" t="str">
        <f>IF(B137="","",IF(K137="S1","S1",INDEX(#REF!,#REF!)))</f>
        <v/>
      </c>
      <c r="AN137" s="49" t="str">
        <f>K137</f>
        <v>M2</v>
      </c>
      <c r="AO137" s="50" t="b">
        <f>K137=AM137</f>
        <v>0</v>
      </c>
      <c r="AP137" s="50"/>
    </row>
    <row r="138" spans="1:42" ht="21.75">
      <c r="A138" s="49">
        <v>136</v>
      </c>
      <c r="B138" s="50"/>
      <c r="C138" s="50"/>
      <c r="D138" s="50" t="s">
        <v>143</v>
      </c>
      <c r="E138" s="49" t="s">
        <v>293</v>
      </c>
      <c r="F138" s="49" t="str">
        <f t="shared" si="32"/>
        <v>01/11/2000</v>
      </c>
      <c r="G138" s="50">
        <f t="shared" si="33"/>
        <v>24</v>
      </c>
      <c r="H138" s="50">
        <f t="shared" si="34"/>
        <v>7</v>
      </c>
      <c r="I138" s="50">
        <f t="shared" si="35"/>
        <v>19</v>
      </c>
      <c r="J138" s="59"/>
      <c r="K138" s="49" t="s">
        <v>136</v>
      </c>
      <c r="L138" s="64"/>
      <c r="M138" s="49" t="s">
        <v>426</v>
      </c>
      <c r="N138" s="49">
        <v>2581</v>
      </c>
      <c r="O138" s="65" t="s">
        <v>291</v>
      </c>
      <c r="P138" s="49" t="str">
        <f t="shared" si="36"/>
        <v>01/11/2021</v>
      </c>
      <c r="Q138" s="68">
        <f t="shared" si="37"/>
        <v>3</v>
      </c>
      <c r="R138" s="68">
        <f t="shared" si="38"/>
        <v>7</v>
      </c>
      <c r="S138" s="68">
        <f t="shared" si="39"/>
        <v>19</v>
      </c>
      <c r="T138" s="65"/>
      <c r="U138" s="65"/>
      <c r="V138" s="49" t="str">
        <f t="shared" si="40"/>
        <v/>
      </c>
      <c r="W138" s="68">
        <f>IF(V138="",0,DATEDIF(V138,P138,"Y"))</f>
        <v>0</v>
      </c>
      <c r="X138" s="68">
        <f>IF(V138="",0,DATEDIF(V138,P138,"YM"))</f>
        <v>0</v>
      </c>
      <c r="Y138" s="68">
        <f>IF(V138="",0,DATEDIF(V138,P138,"MD"))</f>
        <v>0</v>
      </c>
      <c r="Z138" s="49"/>
      <c r="AA138" s="65"/>
      <c r="AB138" s="50" t="str">
        <f t="shared" si="41"/>
        <v/>
      </c>
      <c r="AC138" s="68">
        <f t="shared" si="42"/>
        <v>0</v>
      </c>
      <c r="AD138" s="68">
        <f t="shared" si="43"/>
        <v>0</v>
      </c>
      <c r="AE138" s="68">
        <f t="shared" si="44"/>
        <v>0</v>
      </c>
      <c r="AF138" s="50"/>
      <c r="AG138" s="50" t="s">
        <v>518</v>
      </c>
      <c r="AH138" s="49" t="str">
        <f>IF(AG138="นิติศาสตร์","K5-LAW","K5-POLICY")</f>
        <v>K5-POLICY</v>
      </c>
      <c r="AI138" s="72" t="str">
        <f>_xlfn.IFS(B138="","",AND(AH138="K5-LAW",AG138="นิติศาสตร์",K138="S2",T138="",Z138=""),P138,AND(AH138="K5-LAW",AG138="นิติศาสตร์",K138="S1",T138="",Z138=""),EDATE(P138,12),AND(AH138="K5-LAW",AG138="นิติศาสตร์",OR(K138="M2",K138="K4"),T138="",Z138=""),EDATE(P138,12*2),AND(AH138="K5-LAW",AG138="นิติศาสตร์",OR(Z138="M2",Z138="K4"),AC138&gt;=2,OR(AB138&lt;V138,AB138&lt;P138)),EDATE(AB138,12*2),AND(AH138="K5-LAW",AG138="นิติศาสตร์",Z138="S1",AC138&gt;=1,OR(AB138&lt;V138,AB138&lt;P138)),EDATE(AB138,12),AND(AH138="K5-LAW",AG138="นิติศาสตร์",OR(T138="M2",T138="K4"),W138&gt;=2,V138&lt;P138),EDATE(V138,12*2),AND(AH138="K5-LAW",AG138="นิติศาสตร์",T138="S1",W138&gt;=1,V138&lt;P138),EDATE(V138,12),AND(AH138="K5-LAW",AG138="นิติศาสตร์",OR(T138="S2",T138="K5")),V138,AND(AH138="K5-LAW",AG138="นิติศาสตร์",OR(K138="M2",K138="K4"),Q138&gt;=2),EDATE(P138,12*2),AND(AH138="K5-LAW",AG138="นิติศาสตร์",K138="S1",Q138&gt;=1),EDATE(P138,12),AND(AH138="K5-LAW",AG138="นิติศาสตร์",OR(K138="S2",K138="K5")),P138,AND(AH138="K5-POLICY",AG138&lt;&gt;"นิติศาสตร์",K138="S2",T138="",Z138=""),P138,AND(AH138="K5-POLICY",AG138&lt;&gt;"นิติศาสตร์",K138="S1",T138="",Z138=""),EDATE(P138,12),AND(AH138="K5-POLICY",AG138&lt;&gt;"นิติศาสตร์",OR(K138="M2",K138="K4"),T138="",Z138=""),EDATE(P138,12*2),AND(AH138="K5-POLICY",AG138&lt;&gt;"นิติศาสตร์",OR(Z138="M2",Z138="K4"),AC138&gt;=2,OR(AB138&lt;V138,AB138&lt;P138)),EDATE(AB138,12*2),AND(AH138="K5-POLICY",AG138&lt;&gt;"นิติศาสตร์",Z138="S1",AC138&gt;=1,OR(AB138&lt;V138,AB138&lt;P138)),EDATE(AB138,12),AND(AH138="K5-POLICY",AG138&lt;&gt;"นิติศาสตร์",OR(T138="M2",T138="K4"),W138&gt;=2,V138&lt;P138),EDATE(V138,12*2),AND(AH138="K5-POLICY",AG138&lt;&gt;"นิติศาสตร์",T138="S1",W138&gt;=1,V138&lt;P138),EDATE(V138,12),AND(AH138="K5-POLICY",AG138&lt;&gt;"นิติศาสตร์",OR(T138="S2",T138="K5")),V138,AND(AH138="K5-POLICY",AG138&lt;&gt;"นิติศาสตร์",OR(K138="M2",K138="K4"),Q138&gt;=2),EDATE(P138,12*2),AND(AH138="K5-POLICY",AG138&lt;&gt;"นิติศาสตร์",K138="S1",Q138&gt;=1),EDATE(P138,12),AND(AH138="K5-POLICY",AG138&lt;&gt;"นิติศาสตร์",OR(K138="S2",K138="K5")),P138,TRUE,"Check Data")</f>
        <v/>
      </c>
      <c r="AJ138" s="75" t="str">
        <f t="shared" si="45"/>
        <v>Check Data</v>
      </c>
      <c r="AK138" s="76" t="str">
        <f t="shared" si="46"/>
        <v>Check Data</v>
      </c>
      <c r="AL138" s="50" t="str">
        <f t="shared" si="47"/>
        <v>Check Data</v>
      </c>
      <c r="AM138" s="49" t="str">
        <f>IF(B138="","",IF(K138="S1","S1",INDEX(#REF!,#REF!)))</f>
        <v/>
      </c>
      <c r="AN138" s="49" t="str">
        <f>K138</f>
        <v>M2</v>
      </c>
      <c r="AO138" s="50" t="b">
        <f>K138=AM138</f>
        <v>0</v>
      </c>
      <c r="AP138" s="50"/>
    </row>
    <row r="139" spans="1:42" ht="21.75">
      <c r="A139" s="49">
        <v>137</v>
      </c>
      <c r="B139" s="50"/>
      <c r="C139" s="50"/>
      <c r="D139" s="50" t="s">
        <v>143</v>
      </c>
      <c r="E139" s="49" t="s">
        <v>303</v>
      </c>
      <c r="F139" s="49" t="str">
        <f t="shared" si="32"/>
        <v>15/07/2005</v>
      </c>
      <c r="G139" s="50">
        <f t="shared" si="33"/>
        <v>19</v>
      </c>
      <c r="H139" s="50">
        <f t="shared" si="34"/>
        <v>11</v>
      </c>
      <c r="I139" s="50">
        <f t="shared" si="35"/>
        <v>5</v>
      </c>
      <c r="J139" s="59"/>
      <c r="K139" s="49" t="s">
        <v>136</v>
      </c>
      <c r="L139" s="64"/>
      <c r="M139" s="49" t="s">
        <v>427</v>
      </c>
      <c r="N139" s="49">
        <v>2584</v>
      </c>
      <c r="O139" s="65" t="s">
        <v>291</v>
      </c>
      <c r="P139" s="49" t="str">
        <f t="shared" si="36"/>
        <v>01/11/2021</v>
      </c>
      <c r="Q139" s="68">
        <f t="shared" si="37"/>
        <v>3</v>
      </c>
      <c r="R139" s="68">
        <f t="shared" si="38"/>
        <v>7</v>
      </c>
      <c r="S139" s="68">
        <f t="shared" si="39"/>
        <v>19</v>
      </c>
      <c r="T139" s="65"/>
      <c r="U139" s="65"/>
      <c r="V139" s="49" t="str">
        <f t="shared" si="40"/>
        <v/>
      </c>
      <c r="W139" s="68">
        <f>IF(V139="",0,DATEDIF(V139,P139,"Y"))</f>
        <v>0</v>
      </c>
      <c r="X139" s="68">
        <f>IF(V139="",0,DATEDIF(V139,P139,"YM"))</f>
        <v>0</v>
      </c>
      <c r="Y139" s="68">
        <f>IF(V139="",0,DATEDIF(V139,P139,"MD"))</f>
        <v>0</v>
      </c>
      <c r="Z139" s="49"/>
      <c r="AA139" s="65"/>
      <c r="AB139" s="50" t="str">
        <f t="shared" si="41"/>
        <v/>
      </c>
      <c r="AC139" s="68">
        <f t="shared" si="42"/>
        <v>0</v>
      </c>
      <c r="AD139" s="68">
        <f t="shared" si="43"/>
        <v>0</v>
      </c>
      <c r="AE139" s="68">
        <f t="shared" si="44"/>
        <v>0</v>
      </c>
      <c r="AF139" s="50"/>
      <c r="AG139" s="50" t="s">
        <v>175</v>
      </c>
      <c r="AH139" s="49" t="str">
        <f>IF(AG139="นิติศาสตร์","K5-LAW","K5-POLICY")</f>
        <v>K5-POLICY</v>
      </c>
      <c r="AI139" s="72" t="str">
        <f>_xlfn.IFS(B139="","",AND(AH139="K5-LAW",AG139="นิติศาสตร์",K139="S2",T139="",Z139=""),P139,AND(AH139="K5-LAW",AG139="นิติศาสตร์",K139="S1",T139="",Z139=""),EDATE(P139,12),AND(AH139="K5-LAW",AG139="นิติศาสตร์",OR(K139="M2",K139="K4"),T139="",Z139=""),EDATE(P139,12*2),AND(AH139="K5-LAW",AG139="นิติศาสตร์",OR(Z139="M2",Z139="K4"),AC139&gt;=2,OR(AB139&lt;V139,AB139&lt;P139)),EDATE(AB139,12*2),AND(AH139="K5-LAW",AG139="นิติศาสตร์",Z139="S1",AC139&gt;=1,OR(AB139&lt;V139,AB139&lt;P139)),EDATE(AB139,12),AND(AH139="K5-LAW",AG139="นิติศาสตร์",OR(T139="M2",T139="K4"),W139&gt;=2,V139&lt;P139),EDATE(V139,12*2),AND(AH139="K5-LAW",AG139="นิติศาสตร์",T139="S1",W139&gt;=1,V139&lt;P139),EDATE(V139,12),AND(AH139="K5-LAW",AG139="นิติศาสตร์",OR(T139="S2",T139="K5")),V139,AND(AH139="K5-LAW",AG139="นิติศาสตร์",OR(K139="M2",K139="K4"),Q139&gt;=2),EDATE(P139,12*2),AND(AH139="K5-LAW",AG139="นิติศาสตร์",K139="S1",Q139&gt;=1),EDATE(P139,12),AND(AH139="K5-LAW",AG139="นิติศาสตร์",OR(K139="S2",K139="K5")),P139,AND(AH139="K5-POLICY",AG139&lt;&gt;"นิติศาสตร์",K139="S2",T139="",Z139=""),P139,AND(AH139="K5-POLICY",AG139&lt;&gt;"นิติศาสตร์",K139="S1",T139="",Z139=""),EDATE(P139,12),AND(AH139="K5-POLICY",AG139&lt;&gt;"นิติศาสตร์",OR(K139="M2",K139="K4"),T139="",Z139=""),EDATE(P139,12*2),AND(AH139="K5-POLICY",AG139&lt;&gt;"นิติศาสตร์",OR(Z139="M2",Z139="K4"),AC139&gt;=2,OR(AB139&lt;V139,AB139&lt;P139)),EDATE(AB139,12*2),AND(AH139="K5-POLICY",AG139&lt;&gt;"นิติศาสตร์",Z139="S1",AC139&gt;=1,OR(AB139&lt;V139,AB139&lt;P139)),EDATE(AB139,12),AND(AH139="K5-POLICY",AG139&lt;&gt;"นิติศาสตร์",OR(T139="M2",T139="K4"),W139&gt;=2,V139&lt;P139),EDATE(V139,12*2),AND(AH139="K5-POLICY",AG139&lt;&gt;"นิติศาสตร์",T139="S1",W139&gt;=1,V139&lt;P139),EDATE(V139,12),AND(AH139="K5-POLICY",AG139&lt;&gt;"นิติศาสตร์",OR(T139="S2",T139="K5")),V139,AND(AH139="K5-POLICY",AG139&lt;&gt;"นิติศาสตร์",OR(K139="M2",K139="K4"),Q139&gt;=2),EDATE(P139,12*2),AND(AH139="K5-POLICY",AG139&lt;&gt;"นิติศาสตร์",K139="S1",Q139&gt;=1),EDATE(P139,12),AND(AH139="K5-POLICY",AG139&lt;&gt;"นิติศาสตร์",OR(K139="S2",K139="K5")),P139,TRUE,"Check Data")</f>
        <v/>
      </c>
      <c r="AJ139" s="75" t="str">
        <f t="shared" si="45"/>
        <v>Check Data</v>
      </c>
      <c r="AK139" s="76" t="str">
        <f t="shared" si="46"/>
        <v>Check Data</v>
      </c>
      <c r="AL139" s="50" t="str">
        <f t="shared" si="47"/>
        <v>Check Data</v>
      </c>
      <c r="AM139" s="49" t="str">
        <f>IF(B139="","",IF(K139="S1","S1",INDEX(#REF!,#REF!)))</f>
        <v/>
      </c>
      <c r="AN139" s="49" t="str">
        <f>K139</f>
        <v>M2</v>
      </c>
      <c r="AO139" s="50" t="b">
        <f>K139=AM139</f>
        <v>0</v>
      </c>
      <c r="AP139" s="50"/>
    </row>
    <row r="140" spans="1:42" ht="21.75">
      <c r="A140" s="49">
        <v>138</v>
      </c>
      <c r="B140" s="50"/>
      <c r="C140" s="50"/>
      <c r="D140" s="50" t="s">
        <v>143</v>
      </c>
      <c r="E140" s="49" t="s">
        <v>352</v>
      </c>
      <c r="F140" s="49" t="str">
        <f t="shared" si="32"/>
        <v>01/07/1997</v>
      </c>
      <c r="G140" s="50">
        <f t="shared" si="33"/>
        <v>27</v>
      </c>
      <c r="H140" s="50">
        <f t="shared" si="34"/>
        <v>11</v>
      </c>
      <c r="I140" s="50">
        <f t="shared" si="35"/>
        <v>19</v>
      </c>
      <c r="J140" s="59"/>
      <c r="K140" s="49" t="s">
        <v>136</v>
      </c>
      <c r="L140" s="64"/>
      <c r="M140" s="49" t="s">
        <v>427</v>
      </c>
      <c r="N140" s="49">
        <v>2577</v>
      </c>
      <c r="O140" s="65" t="s">
        <v>291</v>
      </c>
      <c r="P140" s="49" t="str">
        <f t="shared" si="36"/>
        <v>01/11/2021</v>
      </c>
      <c r="Q140" s="68">
        <f t="shared" si="37"/>
        <v>3</v>
      </c>
      <c r="R140" s="68">
        <f t="shared" si="38"/>
        <v>7</v>
      </c>
      <c r="S140" s="68">
        <f t="shared" si="39"/>
        <v>19</v>
      </c>
      <c r="T140" s="65"/>
      <c r="U140" s="65"/>
      <c r="V140" s="49" t="str">
        <f t="shared" si="40"/>
        <v/>
      </c>
      <c r="W140" s="68">
        <f>IF(V140="",0,DATEDIF(V140,P140,"Y"))</f>
        <v>0</v>
      </c>
      <c r="X140" s="68">
        <f>IF(V140="",0,DATEDIF(V140,P140,"YM"))</f>
        <v>0</v>
      </c>
      <c r="Y140" s="68">
        <f>IF(V140="",0,DATEDIF(V140,P140,"MD"))</f>
        <v>0</v>
      </c>
      <c r="Z140" s="49"/>
      <c r="AA140" s="65"/>
      <c r="AB140" s="50" t="str">
        <f t="shared" si="41"/>
        <v/>
      </c>
      <c r="AC140" s="68">
        <f t="shared" si="42"/>
        <v>0</v>
      </c>
      <c r="AD140" s="68">
        <f t="shared" si="43"/>
        <v>0</v>
      </c>
      <c r="AE140" s="68">
        <f t="shared" si="44"/>
        <v>0</v>
      </c>
      <c r="AF140" s="50"/>
      <c r="AG140" s="50" t="s">
        <v>486</v>
      </c>
      <c r="AH140" s="49" t="str">
        <f>IF(AG140="นิติศาสตร์","K5-LAW","K5-POLICY")</f>
        <v>K5-POLICY</v>
      </c>
      <c r="AI140" s="72" t="str">
        <f>_xlfn.IFS(B140="","",AND(AH140="K5-LAW",AG140="นิติศาสตร์",K140="S2",T140="",Z140=""),P140,AND(AH140="K5-LAW",AG140="นิติศาสตร์",K140="S1",T140="",Z140=""),EDATE(P140,12),AND(AH140="K5-LAW",AG140="นิติศาสตร์",OR(K140="M2",K140="K4"),T140="",Z140=""),EDATE(P140,12*2),AND(AH140="K5-LAW",AG140="นิติศาสตร์",OR(Z140="M2",Z140="K4"),AC140&gt;=2,OR(AB140&lt;V140,AB140&lt;P140)),EDATE(AB140,12*2),AND(AH140="K5-LAW",AG140="นิติศาสตร์",Z140="S1",AC140&gt;=1,OR(AB140&lt;V140,AB140&lt;P140)),EDATE(AB140,12),AND(AH140="K5-LAW",AG140="นิติศาสตร์",OR(T140="M2",T140="K4"),W140&gt;=2,V140&lt;P140),EDATE(V140,12*2),AND(AH140="K5-LAW",AG140="นิติศาสตร์",T140="S1",W140&gt;=1,V140&lt;P140),EDATE(V140,12),AND(AH140="K5-LAW",AG140="นิติศาสตร์",OR(T140="S2",T140="K5")),V140,AND(AH140="K5-LAW",AG140="นิติศาสตร์",OR(K140="M2",K140="K4"),Q140&gt;=2),EDATE(P140,12*2),AND(AH140="K5-LAW",AG140="นิติศาสตร์",K140="S1",Q140&gt;=1),EDATE(P140,12),AND(AH140="K5-LAW",AG140="นิติศาสตร์",OR(K140="S2",K140="K5")),P140,AND(AH140="K5-POLICY",AG140&lt;&gt;"นิติศาสตร์",K140="S2",T140="",Z140=""),P140,AND(AH140="K5-POLICY",AG140&lt;&gt;"นิติศาสตร์",K140="S1",T140="",Z140=""),EDATE(P140,12),AND(AH140="K5-POLICY",AG140&lt;&gt;"นิติศาสตร์",OR(K140="M2",K140="K4"),T140="",Z140=""),EDATE(P140,12*2),AND(AH140="K5-POLICY",AG140&lt;&gt;"นิติศาสตร์",OR(Z140="M2",Z140="K4"),AC140&gt;=2,OR(AB140&lt;V140,AB140&lt;P140)),EDATE(AB140,12*2),AND(AH140="K5-POLICY",AG140&lt;&gt;"นิติศาสตร์",Z140="S1",AC140&gt;=1,OR(AB140&lt;V140,AB140&lt;P140)),EDATE(AB140,12),AND(AH140="K5-POLICY",AG140&lt;&gt;"นิติศาสตร์",OR(T140="M2",T140="K4"),W140&gt;=2,V140&lt;P140),EDATE(V140,12*2),AND(AH140="K5-POLICY",AG140&lt;&gt;"นิติศาสตร์",T140="S1",W140&gt;=1,V140&lt;P140),EDATE(V140,12),AND(AH140="K5-POLICY",AG140&lt;&gt;"นิติศาสตร์",OR(T140="S2",T140="K5")),V140,AND(AH140="K5-POLICY",AG140&lt;&gt;"นิติศาสตร์",OR(K140="M2",K140="K4"),Q140&gt;=2),EDATE(P140,12*2),AND(AH140="K5-POLICY",AG140&lt;&gt;"นิติศาสตร์",K140="S1",Q140&gt;=1),EDATE(P140,12),AND(AH140="K5-POLICY",AG140&lt;&gt;"นิติศาสตร์",OR(K140="S2",K140="K5")),P140,TRUE,"Check Data")</f>
        <v/>
      </c>
      <c r="AJ140" s="75" t="str">
        <f t="shared" si="45"/>
        <v>Check Data</v>
      </c>
      <c r="AK140" s="76" t="str">
        <f t="shared" si="46"/>
        <v>Check Data</v>
      </c>
      <c r="AL140" s="50" t="str">
        <f t="shared" si="47"/>
        <v>Check Data</v>
      </c>
      <c r="AM140" s="49" t="str">
        <f>IF(B140="","",IF(K140="S1","S1",INDEX(#REF!,#REF!)))</f>
        <v/>
      </c>
      <c r="AN140" s="49" t="str">
        <f>K140</f>
        <v>M2</v>
      </c>
      <c r="AO140" s="50" t="b">
        <f>K140=AM140</f>
        <v>0</v>
      </c>
      <c r="AP140" s="50"/>
    </row>
    <row r="141" spans="1:42" ht="21.75">
      <c r="A141" s="49">
        <v>139</v>
      </c>
      <c r="B141" s="50"/>
      <c r="C141" s="50"/>
      <c r="D141" s="50" t="s">
        <v>143</v>
      </c>
      <c r="E141" s="49" t="s">
        <v>367</v>
      </c>
      <c r="F141" s="49" t="str">
        <f t="shared" si="32"/>
        <v>02/04/2001</v>
      </c>
      <c r="G141" s="50">
        <f t="shared" si="33"/>
        <v>24</v>
      </c>
      <c r="H141" s="50">
        <f t="shared" si="34"/>
        <v>2</v>
      </c>
      <c r="I141" s="50">
        <f t="shared" si="35"/>
        <v>18</v>
      </c>
      <c r="J141" s="59"/>
      <c r="K141" s="49" t="s">
        <v>136</v>
      </c>
      <c r="L141" s="64"/>
      <c r="M141" s="49" t="s">
        <v>427</v>
      </c>
      <c r="N141" s="49">
        <v>2578</v>
      </c>
      <c r="O141" s="65" t="s">
        <v>291</v>
      </c>
      <c r="P141" s="49" t="str">
        <f t="shared" si="36"/>
        <v>01/11/2021</v>
      </c>
      <c r="Q141" s="68">
        <f t="shared" si="37"/>
        <v>3</v>
      </c>
      <c r="R141" s="68">
        <f t="shared" si="38"/>
        <v>7</v>
      </c>
      <c r="S141" s="68">
        <f t="shared" si="39"/>
        <v>19</v>
      </c>
      <c r="T141" s="65"/>
      <c r="U141" s="65"/>
      <c r="V141" s="49" t="str">
        <f t="shared" si="40"/>
        <v/>
      </c>
      <c r="W141" s="68">
        <f>IF(V141="",0,DATEDIF(V141,P141,"Y"))</f>
        <v>0</v>
      </c>
      <c r="X141" s="68">
        <f>IF(V141="",0,DATEDIF(V141,P141,"YM"))</f>
        <v>0</v>
      </c>
      <c r="Y141" s="68">
        <f>IF(V141="",0,DATEDIF(V141,P141,"MD"))</f>
        <v>0</v>
      </c>
      <c r="Z141" s="49"/>
      <c r="AA141" s="65"/>
      <c r="AB141" s="50" t="str">
        <f t="shared" si="41"/>
        <v/>
      </c>
      <c r="AC141" s="68">
        <f t="shared" si="42"/>
        <v>0</v>
      </c>
      <c r="AD141" s="68">
        <f t="shared" si="43"/>
        <v>0</v>
      </c>
      <c r="AE141" s="68">
        <f t="shared" si="44"/>
        <v>0</v>
      </c>
      <c r="AF141" s="50"/>
      <c r="AG141" s="50" t="s">
        <v>486</v>
      </c>
      <c r="AH141" s="49" t="str">
        <f>IF(AG141="นิติศาสตร์","K5-LAW","K5-POLICY")</f>
        <v>K5-POLICY</v>
      </c>
      <c r="AI141" s="72" t="str">
        <f>_xlfn.IFS(B141="","",AND(AH141="K5-LAW",AG141="นิติศาสตร์",K141="S2",T141="",Z141=""),P141,AND(AH141="K5-LAW",AG141="นิติศาสตร์",K141="S1",T141="",Z141=""),EDATE(P141,12),AND(AH141="K5-LAW",AG141="นิติศาสตร์",OR(K141="M2",K141="K4"),T141="",Z141=""),EDATE(P141,12*2),AND(AH141="K5-LAW",AG141="นิติศาสตร์",OR(Z141="M2",Z141="K4"),AC141&gt;=2,OR(AB141&lt;V141,AB141&lt;P141)),EDATE(AB141,12*2),AND(AH141="K5-LAW",AG141="นิติศาสตร์",Z141="S1",AC141&gt;=1,OR(AB141&lt;V141,AB141&lt;P141)),EDATE(AB141,12),AND(AH141="K5-LAW",AG141="นิติศาสตร์",OR(T141="M2",T141="K4"),W141&gt;=2,V141&lt;P141),EDATE(V141,12*2),AND(AH141="K5-LAW",AG141="นิติศาสตร์",T141="S1",W141&gt;=1,V141&lt;P141),EDATE(V141,12),AND(AH141="K5-LAW",AG141="นิติศาสตร์",OR(T141="S2",T141="K5")),V141,AND(AH141="K5-LAW",AG141="นิติศาสตร์",OR(K141="M2",K141="K4"),Q141&gt;=2),EDATE(P141,12*2),AND(AH141="K5-LAW",AG141="นิติศาสตร์",K141="S1",Q141&gt;=1),EDATE(P141,12),AND(AH141="K5-LAW",AG141="นิติศาสตร์",OR(K141="S2",K141="K5")),P141,AND(AH141="K5-POLICY",AG141&lt;&gt;"นิติศาสตร์",K141="S2",T141="",Z141=""),P141,AND(AH141="K5-POLICY",AG141&lt;&gt;"นิติศาสตร์",K141="S1",T141="",Z141=""),EDATE(P141,12),AND(AH141="K5-POLICY",AG141&lt;&gt;"นิติศาสตร์",OR(K141="M2",K141="K4"),T141="",Z141=""),EDATE(P141,12*2),AND(AH141="K5-POLICY",AG141&lt;&gt;"นิติศาสตร์",OR(Z141="M2",Z141="K4"),AC141&gt;=2,OR(AB141&lt;V141,AB141&lt;P141)),EDATE(AB141,12*2),AND(AH141="K5-POLICY",AG141&lt;&gt;"นิติศาสตร์",Z141="S1",AC141&gt;=1,OR(AB141&lt;V141,AB141&lt;P141)),EDATE(AB141,12),AND(AH141="K5-POLICY",AG141&lt;&gt;"นิติศาสตร์",OR(T141="M2",T141="K4"),W141&gt;=2,V141&lt;P141),EDATE(V141,12*2),AND(AH141="K5-POLICY",AG141&lt;&gt;"นิติศาสตร์",T141="S1",W141&gt;=1,V141&lt;P141),EDATE(V141,12),AND(AH141="K5-POLICY",AG141&lt;&gt;"นิติศาสตร์",OR(T141="S2",T141="K5")),V141,AND(AH141="K5-POLICY",AG141&lt;&gt;"นิติศาสตร์",OR(K141="M2",K141="K4"),Q141&gt;=2),EDATE(P141,12*2),AND(AH141="K5-POLICY",AG141&lt;&gt;"นิติศาสตร์",K141="S1",Q141&gt;=1),EDATE(P141,12),AND(AH141="K5-POLICY",AG141&lt;&gt;"นิติศาสตร์",OR(K141="S2",K141="K5")),P141,TRUE,"Check Data")</f>
        <v/>
      </c>
      <c r="AJ141" s="75" t="str">
        <f t="shared" si="45"/>
        <v>Check Data</v>
      </c>
      <c r="AK141" s="76" t="str">
        <f t="shared" si="46"/>
        <v>Check Data</v>
      </c>
      <c r="AL141" s="50" t="str">
        <f t="shared" si="47"/>
        <v>Check Data</v>
      </c>
      <c r="AM141" s="49" t="str">
        <f>IF(B141="","",IF(K141="S1","S1",INDEX(#REF!,#REF!)))</f>
        <v/>
      </c>
      <c r="AN141" s="49" t="str">
        <f>K141</f>
        <v>M2</v>
      </c>
      <c r="AO141" s="50" t="b">
        <f>K141=AM141</f>
        <v>0</v>
      </c>
      <c r="AP141" s="50"/>
    </row>
    <row r="142" spans="1:42" ht="21.75">
      <c r="A142" s="49">
        <v>140</v>
      </c>
      <c r="B142" s="50"/>
      <c r="C142" s="50"/>
      <c r="D142" s="50" t="s">
        <v>143</v>
      </c>
      <c r="E142" s="49" t="s">
        <v>340</v>
      </c>
      <c r="F142" s="49" t="str">
        <f t="shared" si="32"/>
        <v>06/11/2000</v>
      </c>
      <c r="G142" s="50">
        <f t="shared" si="33"/>
        <v>24</v>
      </c>
      <c r="H142" s="50">
        <f t="shared" si="34"/>
        <v>7</v>
      </c>
      <c r="I142" s="50">
        <f t="shared" si="35"/>
        <v>14</v>
      </c>
      <c r="J142" s="59"/>
      <c r="K142" s="49" t="s">
        <v>136</v>
      </c>
      <c r="L142" s="64"/>
      <c r="M142" s="49" t="s">
        <v>427</v>
      </c>
      <c r="N142" s="49">
        <v>2575</v>
      </c>
      <c r="O142" s="65" t="s">
        <v>291</v>
      </c>
      <c r="P142" s="49" t="str">
        <f t="shared" si="36"/>
        <v>01/11/2021</v>
      </c>
      <c r="Q142" s="68">
        <f t="shared" si="37"/>
        <v>3</v>
      </c>
      <c r="R142" s="68">
        <f t="shared" si="38"/>
        <v>7</v>
      </c>
      <c r="S142" s="68">
        <f t="shared" si="39"/>
        <v>19</v>
      </c>
      <c r="T142" s="65"/>
      <c r="U142" s="65"/>
      <c r="V142" s="49" t="str">
        <f t="shared" si="40"/>
        <v/>
      </c>
      <c r="W142" s="68">
        <f>IF(V142="",0,DATEDIF(V142,P142,"Y"))</f>
        <v>0</v>
      </c>
      <c r="X142" s="68">
        <f>IF(V142="",0,DATEDIF(V142,P142,"YM"))</f>
        <v>0</v>
      </c>
      <c r="Y142" s="68">
        <f>IF(V142="",0,DATEDIF(V142,P142,"MD"))</f>
        <v>0</v>
      </c>
      <c r="Z142" s="49"/>
      <c r="AA142" s="65"/>
      <c r="AB142" s="50" t="str">
        <f t="shared" si="41"/>
        <v/>
      </c>
      <c r="AC142" s="68">
        <f t="shared" si="42"/>
        <v>0</v>
      </c>
      <c r="AD142" s="68">
        <f t="shared" si="43"/>
        <v>0</v>
      </c>
      <c r="AE142" s="68">
        <f t="shared" si="44"/>
        <v>0</v>
      </c>
      <c r="AF142" s="50"/>
      <c r="AG142" s="50" t="s">
        <v>163</v>
      </c>
      <c r="AH142" s="49" t="str">
        <f>IF(AG142="นิติศาสตร์","K5-LAW","K5-POLICY")</f>
        <v>K5-POLICY</v>
      </c>
      <c r="AI142" s="72" t="str">
        <f>_xlfn.IFS(B142="","",AND(AH142="K5-LAW",AG142="นิติศาสตร์",K142="S2",T142="",Z142=""),P142,AND(AH142="K5-LAW",AG142="นิติศาสตร์",K142="S1",T142="",Z142=""),EDATE(P142,12),AND(AH142="K5-LAW",AG142="นิติศาสตร์",OR(K142="M2",K142="K4"),T142="",Z142=""),EDATE(P142,12*2),AND(AH142="K5-LAW",AG142="นิติศาสตร์",OR(Z142="M2",Z142="K4"),AC142&gt;=2,OR(AB142&lt;V142,AB142&lt;P142)),EDATE(AB142,12*2),AND(AH142="K5-LAW",AG142="นิติศาสตร์",Z142="S1",AC142&gt;=1,OR(AB142&lt;V142,AB142&lt;P142)),EDATE(AB142,12),AND(AH142="K5-LAW",AG142="นิติศาสตร์",OR(T142="M2",T142="K4"),W142&gt;=2,V142&lt;P142),EDATE(V142,12*2),AND(AH142="K5-LAW",AG142="นิติศาสตร์",T142="S1",W142&gt;=1,V142&lt;P142),EDATE(V142,12),AND(AH142="K5-LAW",AG142="นิติศาสตร์",OR(T142="S2",T142="K5")),V142,AND(AH142="K5-LAW",AG142="นิติศาสตร์",OR(K142="M2",K142="K4"),Q142&gt;=2),EDATE(P142,12*2),AND(AH142="K5-LAW",AG142="นิติศาสตร์",K142="S1",Q142&gt;=1),EDATE(P142,12),AND(AH142="K5-LAW",AG142="นิติศาสตร์",OR(K142="S2",K142="K5")),P142,AND(AH142="K5-POLICY",AG142&lt;&gt;"นิติศาสตร์",K142="S2",T142="",Z142=""),P142,AND(AH142="K5-POLICY",AG142&lt;&gt;"นิติศาสตร์",K142="S1",T142="",Z142=""),EDATE(P142,12),AND(AH142="K5-POLICY",AG142&lt;&gt;"นิติศาสตร์",OR(K142="M2",K142="K4"),T142="",Z142=""),EDATE(P142,12*2),AND(AH142="K5-POLICY",AG142&lt;&gt;"นิติศาสตร์",OR(Z142="M2",Z142="K4"),AC142&gt;=2,OR(AB142&lt;V142,AB142&lt;P142)),EDATE(AB142,12*2),AND(AH142="K5-POLICY",AG142&lt;&gt;"นิติศาสตร์",Z142="S1",AC142&gt;=1,OR(AB142&lt;V142,AB142&lt;P142)),EDATE(AB142,12),AND(AH142="K5-POLICY",AG142&lt;&gt;"นิติศาสตร์",OR(T142="M2",T142="K4"),W142&gt;=2,V142&lt;P142),EDATE(V142,12*2),AND(AH142="K5-POLICY",AG142&lt;&gt;"นิติศาสตร์",T142="S1",W142&gt;=1,V142&lt;P142),EDATE(V142,12),AND(AH142="K5-POLICY",AG142&lt;&gt;"นิติศาสตร์",OR(T142="S2",T142="K5")),V142,AND(AH142="K5-POLICY",AG142&lt;&gt;"นิติศาสตร์",OR(K142="M2",K142="K4"),Q142&gt;=2),EDATE(P142,12*2),AND(AH142="K5-POLICY",AG142&lt;&gt;"นิติศาสตร์",K142="S1",Q142&gt;=1),EDATE(P142,12),AND(AH142="K5-POLICY",AG142&lt;&gt;"นิติศาสตร์",OR(K142="S2",K142="K5")),P142,TRUE,"Check Data")</f>
        <v/>
      </c>
      <c r="AJ142" s="75" t="str">
        <f t="shared" si="45"/>
        <v>Check Data</v>
      </c>
      <c r="AK142" s="76" t="str">
        <f t="shared" si="46"/>
        <v>Check Data</v>
      </c>
      <c r="AL142" s="50" t="str">
        <f t="shared" si="47"/>
        <v>Check Data</v>
      </c>
      <c r="AM142" s="49" t="str">
        <f>IF(B142="","",IF(K142="S1","S1",INDEX(#REF!,#REF!)))</f>
        <v/>
      </c>
      <c r="AN142" s="49" t="str">
        <f>K142</f>
        <v>M2</v>
      </c>
      <c r="AO142" s="50" t="b">
        <f>K142=AM142</f>
        <v>0</v>
      </c>
      <c r="AP142" s="50"/>
    </row>
    <row r="143" spans="1:42" ht="21.75">
      <c r="A143" s="49">
        <v>141</v>
      </c>
      <c r="B143" s="50"/>
      <c r="C143" s="50"/>
      <c r="D143" s="50" t="s">
        <v>143</v>
      </c>
      <c r="E143" s="49" t="s">
        <v>344</v>
      </c>
      <c r="F143" s="49" t="str">
        <f t="shared" si="32"/>
        <v>15/08/2001</v>
      </c>
      <c r="G143" s="50">
        <f t="shared" si="33"/>
        <v>23</v>
      </c>
      <c r="H143" s="50">
        <f t="shared" si="34"/>
        <v>10</v>
      </c>
      <c r="I143" s="50">
        <f t="shared" si="35"/>
        <v>5</v>
      </c>
      <c r="J143" s="59"/>
      <c r="K143" s="49" t="s">
        <v>136</v>
      </c>
      <c r="L143" s="64"/>
      <c r="M143" s="49" t="s">
        <v>427</v>
      </c>
      <c r="N143" s="49">
        <v>2581</v>
      </c>
      <c r="O143" s="65" t="s">
        <v>291</v>
      </c>
      <c r="P143" s="49" t="str">
        <f t="shared" si="36"/>
        <v>01/11/2021</v>
      </c>
      <c r="Q143" s="68">
        <f t="shared" si="37"/>
        <v>3</v>
      </c>
      <c r="R143" s="68">
        <f t="shared" si="38"/>
        <v>7</v>
      </c>
      <c r="S143" s="68">
        <f t="shared" si="39"/>
        <v>19</v>
      </c>
      <c r="T143" s="65"/>
      <c r="U143" s="65"/>
      <c r="V143" s="49" t="str">
        <f t="shared" si="40"/>
        <v/>
      </c>
      <c r="W143" s="68">
        <f>IF(V143="",0,DATEDIF(V143,P143,"Y"))</f>
        <v>0</v>
      </c>
      <c r="X143" s="68">
        <f>IF(V143="",0,DATEDIF(V143,P143,"YM"))</f>
        <v>0</v>
      </c>
      <c r="Y143" s="68">
        <f>IF(V143="",0,DATEDIF(V143,P143,"MD"))</f>
        <v>0</v>
      </c>
      <c r="Z143" s="49"/>
      <c r="AA143" s="65"/>
      <c r="AB143" s="50" t="str">
        <f t="shared" si="41"/>
        <v/>
      </c>
      <c r="AC143" s="68">
        <f t="shared" si="42"/>
        <v>0</v>
      </c>
      <c r="AD143" s="68">
        <f t="shared" si="43"/>
        <v>0</v>
      </c>
      <c r="AE143" s="68">
        <f t="shared" si="44"/>
        <v>0</v>
      </c>
      <c r="AF143" s="50"/>
      <c r="AG143" s="50" t="s">
        <v>484</v>
      </c>
      <c r="AH143" s="49" t="str">
        <f>IF(AG143="นิติศาสตร์","K5-LAW","K5-POLICY")</f>
        <v>K5-POLICY</v>
      </c>
      <c r="AI143" s="72" t="str">
        <f>_xlfn.IFS(B143="","",AND(AH143="K5-LAW",AG143="นิติศาสตร์",K143="S2",T143="",Z143=""),P143,AND(AH143="K5-LAW",AG143="นิติศาสตร์",K143="S1",T143="",Z143=""),EDATE(P143,12),AND(AH143="K5-LAW",AG143="นิติศาสตร์",OR(K143="M2",K143="K4"),T143="",Z143=""),EDATE(P143,12*2),AND(AH143="K5-LAW",AG143="นิติศาสตร์",OR(Z143="M2",Z143="K4"),AC143&gt;=2,OR(AB143&lt;V143,AB143&lt;P143)),EDATE(AB143,12*2),AND(AH143="K5-LAW",AG143="นิติศาสตร์",Z143="S1",AC143&gt;=1,OR(AB143&lt;V143,AB143&lt;P143)),EDATE(AB143,12),AND(AH143="K5-LAW",AG143="นิติศาสตร์",OR(T143="M2",T143="K4"),W143&gt;=2,V143&lt;P143),EDATE(V143,12*2),AND(AH143="K5-LAW",AG143="นิติศาสตร์",T143="S1",W143&gt;=1,V143&lt;P143),EDATE(V143,12),AND(AH143="K5-LAW",AG143="นิติศาสตร์",OR(T143="S2",T143="K5")),V143,AND(AH143="K5-LAW",AG143="นิติศาสตร์",OR(K143="M2",K143="K4"),Q143&gt;=2),EDATE(P143,12*2),AND(AH143="K5-LAW",AG143="นิติศาสตร์",K143="S1",Q143&gt;=1),EDATE(P143,12),AND(AH143="K5-LAW",AG143="นิติศาสตร์",OR(K143="S2",K143="K5")),P143,AND(AH143="K5-POLICY",AG143&lt;&gt;"นิติศาสตร์",K143="S2",T143="",Z143=""),P143,AND(AH143="K5-POLICY",AG143&lt;&gt;"นิติศาสตร์",K143="S1",T143="",Z143=""),EDATE(P143,12),AND(AH143="K5-POLICY",AG143&lt;&gt;"นิติศาสตร์",OR(K143="M2",K143="K4"),T143="",Z143=""),EDATE(P143,12*2),AND(AH143="K5-POLICY",AG143&lt;&gt;"นิติศาสตร์",OR(Z143="M2",Z143="K4"),AC143&gt;=2,OR(AB143&lt;V143,AB143&lt;P143)),EDATE(AB143,12*2),AND(AH143="K5-POLICY",AG143&lt;&gt;"นิติศาสตร์",Z143="S1",AC143&gt;=1,OR(AB143&lt;V143,AB143&lt;P143)),EDATE(AB143,12),AND(AH143="K5-POLICY",AG143&lt;&gt;"นิติศาสตร์",OR(T143="M2",T143="K4"),W143&gt;=2,V143&lt;P143),EDATE(V143,12*2),AND(AH143="K5-POLICY",AG143&lt;&gt;"นิติศาสตร์",T143="S1",W143&gt;=1,V143&lt;P143),EDATE(V143,12),AND(AH143="K5-POLICY",AG143&lt;&gt;"นิติศาสตร์",OR(T143="S2",T143="K5")),V143,AND(AH143="K5-POLICY",AG143&lt;&gt;"นิติศาสตร์",OR(K143="M2",K143="K4"),Q143&gt;=2),EDATE(P143,12*2),AND(AH143="K5-POLICY",AG143&lt;&gt;"นิติศาสตร์",K143="S1",Q143&gt;=1),EDATE(P143,12),AND(AH143="K5-POLICY",AG143&lt;&gt;"นิติศาสตร์",OR(K143="S2",K143="K5")),P143,TRUE,"Check Data")</f>
        <v/>
      </c>
      <c r="AJ143" s="75" t="str">
        <f t="shared" si="45"/>
        <v>Check Data</v>
      </c>
      <c r="AK143" s="76" t="str">
        <f t="shared" si="46"/>
        <v>Check Data</v>
      </c>
      <c r="AL143" s="50" t="str">
        <f t="shared" si="47"/>
        <v>Check Data</v>
      </c>
      <c r="AM143" s="49" t="str">
        <f>IF(B143="","",IF(K143="S1","S1",INDEX(#REF!,#REF!)))</f>
        <v/>
      </c>
      <c r="AN143" s="49" t="str">
        <f>K143</f>
        <v>M2</v>
      </c>
      <c r="AO143" s="50" t="b">
        <f>K143=AM143</f>
        <v>0</v>
      </c>
      <c r="AP143" s="50"/>
    </row>
    <row r="144" spans="1:42" ht="21.75">
      <c r="A144" s="49">
        <v>142</v>
      </c>
      <c r="B144" s="50"/>
      <c r="C144" s="50"/>
      <c r="D144" s="50" t="s">
        <v>143</v>
      </c>
      <c r="E144" s="49" t="s">
        <v>365</v>
      </c>
      <c r="F144" s="49" t="str">
        <f t="shared" si="32"/>
        <v>26/08/2002</v>
      </c>
      <c r="G144" s="50">
        <f t="shared" si="33"/>
        <v>22</v>
      </c>
      <c r="H144" s="50">
        <f t="shared" si="34"/>
        <v>9</v>
      </c>
      <c r="I144" s="50">
        <f t="shared" si="35"/>
        <v>25</v>
      </c>
      <c r="J144" s="59"/>
      <c r="K144" s="49" t="s">
        <v>136</v>
      </c>
      <c r="L144" s="64"/>
      <c r="M144" s="49" t="s">
        <v>427</v>
      </c>
      <c r="N144" s="49">
        <v>2582</v>
      </c>
      <c r="O144" s="65" t="s">
        <v>291</v>
      </c>
      <c r="P144" s="49" t="str">
        <f t="shared" si="36"/>
        <v>01/11/2021</v>
      </c>
      <c r="Q144" s="68">
        <f t="shared" si="37"/>
        <v>3</v>
      </c>
      <c r="R144" s="68">
        <f t="shared" si="38"/>
        <v>7</v>
      </c>
      <c r="S144" s="68">
        <f t="shared" si="39"/>
        <v>19</v>
      </c>
      <c r="T144" s="65"/>
      <c r="U144" s="65"/>
      <c r="V144" s="49" t="str">
        <f t="shared" si="40"/>
        <v/>
      </c>
      <c r="W144" s="68">
        <f>IF(V144="",0,DATEDIF(V144,P144,"Y"))</f>
        <v>0</v>
      </c>
      <c r="X144" s="68">
        <f>IF(V144="",0,DATEDIF(V144,P144,"YM"))</f>
        <v>0</v>
      </c>
      <c r="Y144" s="68">
        <f>IF(V144="",0,DATEDIF(V144,P144,"MD"))</f>
        <v>0</v>
      </c>
      <c r="Z144" s="49"/>
      <c r="AA144" s="65"/>
      <c r="AB144" s="50" t="str">
        <f t="shared" si="41"/>
        <v/>
      </c>
      <c r="AC144" s="68">
        <f t="shared" si="42"/>
        <v>0</v>
      </c>
      <c r="AD144" s="68">
        <f t="shared" si="43"/>
        <v>0</v>
      </c>
      <c r="AE144" s="68">
        <f t="shared" si="44"/>
        <v>0</v>
      </c>
      <c r="AF144" s="50"/>
      <c r="AG144" s="50" t="s">
        <v>517</v>
      </c>
      <c r="AH144" s="49" t="str">
        <f>IF(AG144="นิติศาสตร์","K5-LAW","K5-POLICY")</f>
        <v>K5-POLICY</v>
      </c>
      <c r="AI144" s="72" t="str">
        <f>_xlfn.IFS(B144="","",AND(AH144="K5-LAW",AG144="นิติศาสตร์",K144="S2",T144="",Z144=""),P144,AND(AH144="K5-LAW",AG144="นิติศาสตร์",K144="S1",T144="",Z144=""),EDATE(P144,12),AND(AH144="K5-LAW",AG144="นิติศาสตร์",OR(K144="M2",K144="K4"),T144="",Z144=""),EDATE(P144,12*2),AND(AH144="K5-LAW",AG144="นิติศาสตร์",OR(Z144="M2",Z144="K4"),AC144&gt;=2,OR(AB144&lt;V144,AB144&lt;P144)),EDATE(AB144,12*2),AND(AH144="K5-LAW",AG144="นิติศาสตร์",Z144="S1",AC144&gt;=1,OR(AB144&lt;V144,AB144&lt;P144)),EDATE(AB144,12),AND(AH144="K5-LAW",AG144="นิติศาสตร์",OR(T144="M2",T144="K4"),W144&gt;=2,V144&lt;P144),EDATE(V144,12*2),AND(AH144="K5-LAW",AG144="นิติศาสตร์",T144="S1",W144&gt;=1,V144&lt;P144),EDATE(V144,12),AND(AH144="K5-LAW",AG144="นิติศาสตร์",OR(T144="S2",T144="K5")),V144,AND(AH144="K5-LAW",AG144="นิติศาสตร์",OR(K144="M2",K144="K4"),Q144&gt;=2),EDATE(P144,12*2),AND(AH144="K5-LAW",AG144="นิติศาสตร์",K144="S1",Q144&gt;=1),EDATE(P144,12),AND(AH144="K5-LAW",AG144="นิติศาสตร์",OR(K144="S2",K144="K5")),P144,AND(AH144="K5-POLICY",AG144&lt;&gt;"นิติศาสตร์",K144="S2",T144="",Z144=""),P144,AND(AH144="K5-POLICY",AG144&lt;&gt;"นิติศาสตร์",K144="S1",T144="",Z144=""),EDATE(P144,12),AND(AH144="K5-POLICY",AG144&lt;&gt;"นิติศาสตร์",OR(K144="M2",K144="K4"),T144="",Z144=""),EDATE(P144,12*2),AND(AH144="K5-POLICY",AG144&lt;&gt;"นิติศาสตร์",OR(Z144="M2",Z144="K4"),AC144&gt;=2,OR(AB144&lt;V144,AB144&lt;P144)),EDATE(AB144,12*2),AND(AH144="K5-POLICY",AG144&lt;&gt;"นิติศาสตร์",Z144="S1",AC144&gt;=1,OR(AB144&lt;V144,AB144&lt;P144)),EDATE(AB144,12),AND(AH144="K5-POLICY",AG144&lt;&gt;"นิติศาสตร์",OR(T144="M2",T144="K4"),W144&gt;=2,V144&lt;P144),EDATE(V144,12*2),AND(AH144="K5-POLICY",AG144&lt;&gt;"นิติศาสตร์",T144="S1",W144&gt;=1,V144&lt;P144),EDATE(V144,12),AND(AH144="K5-POLICY",AG144&lt;&gt;"นิติศาสตร์",OR(T144="S2",T144="K5")),V144,AND(AH144="K5-POLICY",AG144&lt;&gt;"นิติศาสตร์",OR(K144="M2",K144="K4"),Q144&gt;=2),EDATE(P144,12*2),AND(AH144="K5-POLICY",AG144&lt;&gt;"นิติศาสตร์",K144="S1",Q144&gt;=1),EDATE(P144,12),AND(AH144="K5-POLICY",AG144&lt;&gt;"นิติศาสตร์",OR(K144="S2",K144="K5")),P144,TRUE,"Check Data")</f>
        <v/>
      </c>
      <c r="AJ144" s="75" t="str">
        <f t="shared" si="45"/>
        <v>Check Data</v>
      </c>
      <c r="AK144" s="76" t="str">
        <f t="shared" si="46"/>
        <v>Check Data</v>
      </c>
      <c r="AL144" s="50" t="str">
        <f t="shared" si="47"/>
        <v>Check Data</v>
      </c>
      <c r="AM144" s="49" t="str">
        <f>IF(B144="","",IF(K144="S1","S1",INDEX(#REF!,#REF!)))</f>
        <v/>
      </c>
      <c r="AN144" s="49" t="str">
        <f>K144</f>
        <v>M2</v>
      </c>
      <c r="AO144" s="50" t="b">
        <f>K144=AM144</f>
        <v>0</v>
      </c>
      <c r="AP144" s="50"/>
    </row>
    <row r="145" spans="1:42" ht="21.75">
      <c r="A145" s="49">
        <v>143</v>
      </c>
      <c r="B145" s="50"/>
      <c r="C145" s="50"/>
      <c r="D145" s="50" t="s">
        <v>143</v>
      </c>
      <c r="E145" s="49" t="s">
        <v>355</v>
      </c>
      <c r="F145" s="49" t="str">
        <f t="shared" si="32"/>
        <v>30/04/1993</v>
      </c>
      <c r="G145" s="50">
        <f t="shared" si="33"/>
        <v>32</v>
      </c>
      <c r="H145" s="50">
        <f t="shared" si="34"/>
        <v>1</v>
      </c>
      <c r="I145" s="50">
        <f t="shared" si="35"/>
        <v>21</v>
      </c>
      <c r="J145" s="58"/>
      <c r="K145" s="49" t="s">
        <v>136</v>
      </c>
      <c r="L145" s="64"/>
      <c r="M145" s="49" t="s">
        <v>427</v>
      </c>
      <c r="N145" s="49">
        <v>2569</v>
      </c>
      <c r="O145" s="65" t="s">
        <v>291</v>
      </c>
      <c r="P145" s="49" t="str">
        <f t="shared" si="36"/>
        <v>01/11/2021</v>
      </c>
      <c r="Q145" s="68">
        <f t="shared" si="37"/>
        <v>3</v>
      </c>
      <c r="R145" s="68">
        <f t="shared" si="38"/>
        <v>7</v>
      </c>
      <c r="S145" s="68">
        <f t="shared" si="39"/>
        <v>19</v>
      </c>
      <c r="T145" s="65"/>
      <c r="U145" s="65"/>
      <c r="V145" s="49" t="str">
        <f t="shared" si="40"/>
        <v/>
      </c>
      <c r="W145" s="68">
        <f>IF(V145="",0,DATEDIF(V145,P145,"Y"))</f>
        <v>0</v>
      </c>
      <c r="X145" s="68">
        <f>IF(V145="",0,DATEDIF(V145,P145,"YM"))</f>
        <v>0</v>
      </c>
      <c r="Y145" s="68">
        <f>IF(V145="",0,DATEDIF(V145,P145,"MD"))</f>
        <v>0</v>
      </c>
      <c r="Z145" s="49"/>
      <c r="AA145" s="65"/>
      <c r="AB145" s="50" t="str">
        <f t="shared" si="41"/>
        <v/>
      </c>
      <c r="AC145" s="68">
        <f t="shared" si="42"/>
        <v>0</v>
      </c>
      <c r="AD145" s="68">
        <f t="shared" si="43"/>
        <v>0</v>
      </c>
      <c r="AE145" s="68">
        <f t="shared" si="44"/>
        <v>0</v>
      </c>
      <c r="AF145" s="50"/>
      <c r="AG145" s="50" t="s">
        <v>167</v>
      </c>
      <c r="AH145" s="49" t="str">
        <f>IF(AG145="นิติศาสตร์","K5-LAW","K5-POLICY")</f>
        <v>K5-POLICY</v>
      </c>
      <c r="AI145" s="72" t="str">
        <f>_xlfn.IFS(B145="","",AND(AH145="K5-LAW",AG145="นิติศาสตร์",K145="S2",T145="",Z145=""),P145,AND(AH145="K5-LAW",AG145="นิติศาสตร์",K145="S1",T145="",Z145=""),EDATE(P145,12),AND(AH145="K5-LAW",AG145="นิติศาสตร์",OR(K145="M2",K145="K4"),T145="",Z145=""),EDATE(P145,12*2),AND(AH145="K5-LAW",AG145="นิติศาสตร์",OR(Z145="M2",Z145="K4"),AC145&gt;=2,OR(AB145&lt;V145,AB145&lt;P145)),EDATE(AB145,12*2),AND(AH145="K5-LAW",AG145="นิติศาสตร์",Z145="S1",AC145&gt;=1,OR(AB145&lt;V145,AB145&lt;P145)),EDATE(AB145,12),AND(AH145="K5-LAW",AG145="นิติศาสตร์",OR(T145="M2",T145="K4"),W145&gt;=2,V145&lt;P145),EDATE(V145,12*2),AND(AH145="K5-LAW",AG145="นิติศาสตร์",T145="S1",W145&gt;=1,V145&lt;P145),EDATE(V145,12),AND(AH145="K5-LAW",AG145="นิติศาสตร์",OR(T145="S2",T145="K5")),V145,AND(AH145="K5-LAW",AG145="นิติศาสตร์",OR(K145="M2",K145="K4"),Q145&gt;=2),EDATE(P145,12*2),AND(AH145="K5-LAW",AG145="นิติศาสตร์",K145="S1",Q145&gt;=1),EDATE(P145,12),AND(AH145="K5-LAW",AG145="นิติศาสตร์",OR(K145="S2",K145="K5")),P145,AND(AH145="K5-POLICY",AG145&lt;&gt;"นิติศาสตร์",K145="S2",T145="",Z145=""),P145,AND(AH145="K5-POLICY",AG145&lt;&gt;"นิติศาสตร์",K145="S1",T145="",Z145=""),EDATE(P145,12),AND(AH145="K5-POLICY",AG145&lt;&gt;"นิติศาสตร์",OR(K145="M2",K145="K4"),T145="",Z145=""),EDATE(P145,12*2),AND(AH145="K5-POLICY",AG145&lt;&gt;"นิติศาสตร์",OR(Z145="M2",Z145="K4"),AC145&gt;=2,OR(AB145&lt;V145,AB145&lt;P145)),EDATE(AB145,12*2),AND(AH145="K5-POLICY",AG145&lt;&gt;"นิติศาสตร์",Z145="S1",AC145&gt;=1,OR(AB145&lt;V145,AB145&lt;P145)),EDATE(AB145,12),AND(AH145="K5-POLICY",AG145&lt;&gt;"นิติศาสตร์",OR(T145="M2",T145="K4"),W145&gt;=2,V145&lt;P145),EDATE(V145,12*2),AND(AH145="K5-POLICY",AG145&lt;&gt;"นิติศาสตร์",T145="S1",W145&gt;=1,V145&lt;P145),EDATE(V145,12),AND(AH145="K5-POLICY",AG145&lt;&gt;"นิติศาสตร์",OR(T145="S2",T145="K5")),V145,AND(AH145="K5-POLICY",AG145&lt;&gt;"นิติศาสตร์",OR(K145="M2",K145="K4"),Q145&gt;=2),EDATE(P145,12*2),AND(AH145="K5-POLICY",AG145&lt;&gt;"นิติศาสตร์",K145="S1",Q145&gt;=1),EDATE(P145,12),AND(AH145="K5-POLICY",AG145&lt;&gt;"นิติศาสตร์",OR(K145="S2",K145="K5")),P145,TRUE,"Check Data")</f>
        <v/>
      </c>
      <c r="AJ145" s="75" t="str">
        <f t="shared" si="45"/>
        <v>Check Data</v>
      </c>
      <c r="AK145" s="76" t="str">
        <f t="shared" si="46"/>
        <v>Check Data</v>
      </c>
      <c r="AL145" s="50" t="str">
        <f t="shared" si="47"/>
        <v>Check Data</v>
      </c>
      <c r="AM145" s="49" t="str">
        <f>IF(B145="","",IF(K145="S1","S1",INDEX(#REF!,#REF!)))</f>
        <v/>
      </c>
      <c r="AN145" s="49" t="str">
        <f>K145</f>
        <v>M2</v>
      </c>
      <c r="AO145" s="50" t="b">
        <f>K145=AM145</f>
        <v>0</v>
      </c>
      <c r="AP145" s="50"/>
    </row>
    <row r="146" spans="1:42" ht="21.75">
      <c r="A146" s="49">
        <v>144</v>
      </c>
      <c r="B146" s="50"/>
      <c r="C146" s="50"/>
      <c r="D146" s="50" t="s">
        <v>143</v>
      </c>
      <c r="E146" s="49" t="s">
        <v>342</v>
      </c>
      <c r="F146" s="49" t="str">
        <f t="shared" si="32"/>
        <v>11/07/1996</v>
      </c>
      <c r="G146" s="50">
        <f t="shared" si="33"/>
        <v>28</v>
      </c>
      <c r="H146" s="50">
        <f t="shared" si="34"/>
        <v>11</v>
      </c>
      <c r="I146" s="50">
        <f t="shared" si="35"/>
        <v>9</v>
      </c>
      <c r="J146" s="58"/>
      <c r="K146" s="49" t="s">
        <v>136</v>
      </c>
      <c r="L146" s="64"/>
      <c r="M146" s="49" t="s">
        <v>427</v>
      </c>
      <c r="N146" s="49">
        <v>2573</v>
      </c>
      <c r="O146" s="65" t="s">
        <v>291</v>
      </c>
      <c r="P146" s="49" t="str">
        <f t="shared" si="36"/>
        <v>01/11/2021</v>
      </c>
      <c r="Q146" s="68">
        <f t="shared" si="37"/>
        <v>3</v>
      </c>
      <c r="R146" s="68">
        <f t="shared" si="38"/>
        <v>7</v>
      </c>
      <c r="S146" s="68">
        <f t="shared" si="39"/>
        <v>19</v>
      </c>
      <c r="T146" s="65"/>
      <c r="U146" s="65"/>
      <c r="V146" s="49" t="str">
        <f t="shared" si="40"/>
        <v/>
      </c>
      <c r="W146" s="68">
        <f>IF(V146="",0,DATEDIF(V146,P146,"Y"))</f>
        <v>0</v>
      </c>
      <c r="X146" s="68">
        <f>IF(V146="",0,DATEDIF(V146,P146,"YM"))</f>
        <v>0</v>
      </c>
      <c r="Y146" s="68">
        <f>IF(V146="",0,DATEDIF(V146,P146,"MD"))</f>
        <v>0</v>
      </c>
      <c r="Z146" s="49"/>
      <c r="AA146" s="65"/>
      <c r="AB146" s="50" t="str">
        <f t="shared" si="41"/>
        <v/>
      </c>
      <c r="AC146" s="68">
        <f t="shared" si="42"/>
        <v>0</v>
      </c>
      <c r="AD146" s="68">
        <f t="shared" si="43"/>
        <v>0</v>
      </c>
      <c r="AE146" s="68">
        <f t="shared" si="44"/>
        <v>0</v>
      </c>
      <c r="AF146" s="50"/>
      <c r="AG146" s="50" t="s">
        <v>486</v>
      </c>
      <c r="AH146" s="49" t="str">
        <f>IF(AG146="นิติศาสตร์","K5-LAW","K5-POLICY")</f>
        <v>K5-POLICY</v>
      </c>
      <c r="AI146" s="72" t="str">
        <f>_xlfn.IFS(B146="","",AND(AH146="K5-LAW",AG146="นิติศาสตร์",K146="S2",T146="",Z146=""),P146,AND(AH146="K5-LAW",AG146="นิติศาสตร์",K146="S1",T146="",Z146=""),EDATE(P146,12),AND(AH146="K5-LAW",AG146="นิติศาสตร์",OR(K146="M2",K146="K4"),T146="",Z146=""),EDATE(P146,12*2),AND(AH146="K5-LAW",AG146="นิติศาสตร์",OR(Z146="M2",Z146="K4"),AC146&gt;=2,OR(AB146&lt;V146,AB146&lt;P146)),EDATE(AB146,12*2),AND(AH146="K5-LAW",AG146="นิติศาสตร์",Z146="S1",AC146&gt;=1,OR(AB146&lt;V146,AB146&lt;P146)),EDATE(AB146,12),AND(AH146="K5-LAW",AG146="นิติศาสตร์",OR(T146="M2",T146="K4"),W146&gt;=2,V146&lt;P146),EDATE(V146,12*2),AND(AH146="K5-LAW",AG146="นิติศาสตร์",T146="S1",W146&gt;=1,V146&lt;P146),EDATE(V146,12),AND(AH146="K5-LAW",AG146="นิติศาสตร์",OR(T146="S2",T146="K5")),V146,AND(AH146="K5-LAW",AG146="นิติศาสตร์",OR(K146="M2",K146="K4"),Q146&gt;=2),EDATE(P146,12*2),AND(AH146="K5-LAW",AG146="นิติศาสตร์",K146="S1",Q146&gt;=1),EDATE(P146,12),AND(AH146="K5-LAW",AG146="นิติศาสตร์",OR(K146="S2",K146="K5")),P146,AND(AH146="K5-POLICY",AG146&lt;&gt;"นิติศาสตร์",K146="S2",T146="",Z146=""),P146,AND(AH146="K5-POLICY",AG146&lt;&gt;"นิติศาสตร์",K146="S1",T146="",Z146=""),EDATE(P146,12),AND(AH146="K5-POLICY",AG146&lt;&gt;"นิติศาสตร์",OR(K146="M2",K146="K4"),T146="",Z146=""),EDATE(P146,12*2),AND(AH146="K5-POLICY",AG146&lt;&gt;"นิติศาสตร์",OR(Z146="M2",Z146="K4"),AC146&gt;=2,OR(AB146&lt;V146,AB146&lt;P146)),EDATE(AB146,12*2),AND(AH146="K5-POLICY",AG146&lt;&gt;"นิติศาสตร์",Z146="S1",AC146&gt;=1,OR(AB146&lt;V146,AB146&lt;P146)),EDATE(AB146,12),AND(AH146="K5-POLICY",AG146&lt;&gt;"นิติศาสตร์",OR(T146="M2",T146="K4"),W146&gt;=2,V146&lt;P146),EDATE(V146,12*2),AND(AH146="K5-POLICY",AG146&lt;&gt;"นิติศาสตร์",T146="S1",W146&gt;=1,V146&lt;P146),EDATE(V146,12),AND(AH146="K5-POLICY",AG146&lt;&gt;"นิติศาสตร์",OR(T146="S2",T146="K5")),V146,AND(AH146="K5-POLICY",AG146&lt;&gt;"นิติศาสตร์",OR(K146="M2",K146="K4"),Q146&gt;=2),EDATE(P146,12*2),AND(AH146="K5-POLICY",AG146&lt;&gt;"นิติศาสตร์",K146="S1",Q146&gt;=1),EDATE(P146,12),AND(AH146="K5-POLICY",AG146&lt;&gt;"นิติศาสตร์",OR(K146="S2",K146="K5")),P146,TRUE,"Check Data")</f>
        <v/>
      </c>
      <c r="AJ146" s="75" t="str">
        <f t="shared" si="45"/>
        <v>Check Data</v>
      </c>
      <c r="AK146" s="76" t="str">
        <f t="shared" si="46"/>
        <v>Check Data</v>
      </c>
      <c r="AL146" s="50" t="str">
        <f t="shared" si="47"/>
        <v>Check Data</v>
      </c>
      <c r="AM146" s="49" t="str">
        <f>IF(B146="","",IF(K146="S1","S1",INDEX(#REF!,#REF!)))</f>
        <v/>
      </c>
      <c r="AN146" s="49" t="str">
        <f>K146</f>
        <v>M2</v>
      </c>
      <c r="AO146" s="50" t="b">
        <f>K146=AM146</f>
        <v>0</v>
      </c>
      <c r="AP146" s="50"/>
    </row>
    <row r="147" spans="1:42" ht="21.75">
      <c r="A147" s="49">
        <v>145</v>
      </c>
      <c r="B147" s="50"/>
      <c r="C147" s="50"/>
      <c r="D147" s="50" t="s">
        <v>140</v>
      </c>
      <c r="E147" s="49" t="s">
        <v>162</v>
      </c>
      <c r="F147" s="49" t="str">
        <f t="shared" si="32"/>
        <v>03/04/1989</v>
      </c>
      <c r="G147" s="50">
        <f t="shared" si="33"/>
        <v>36</v>
      </c>
      <c r="H147" s="50">
        <f t="shared" si="34"/>
        <v>2</v>
      </c>
      <c r="I147" s="50">
        <f t="shared" si="35"/>
        <v>17</v>
      </c>
      <c r="J147" s="57"/>
      <c r="K147" s="49" t="s">
        <v>136</v>
      </c>
      <c r="L147" s="64"/>
      <c r="M147" s="49" t="s">
        <v>425</v>
      </c>
      <c r="N147" s="49">
        <v>2570</v>
      </c>
      <c r="O147" s="65" t="s">
        <v>238</v>
      </c>
      <c r="P147" s="49" t="str">
        <f t="shared" si="36"/>
        <v>19/11/2021</v>
      </c>
      <c r="Q147" s="68">
        <f t="shared" si="37"/>
        <v>3</v>
      </c>
      <c r="R147" s="68">
        <f t="shared" si="38"/>
        <v>7</v>
      </c>
      <c r="S147" s="68">
        <f t="shared" si="39"/>
        <v>1</v>
      </c>
      <c r="T147" s="65"/>
      <c r="U147" s="65"/>
      <c r="V147" s="49" t="str">
        <f t="shared" si="40"/>
        <v/>
      </c>
      <c r="W147" s="68">
        <f>IF(V147="",0,DATEDIF(V147,P147,"Y"))</f>
        <v>0</v>
      </c>
      <c r="X147" s="68">
        <f>IF(V147="",0,DATEDIF(V147,P147,"YM"))</f>
        <v>0</v>
      </c>
      <c r="Y147" s="68">
        <f>IF(V147="",0,DATEDIF(V147,P147,"MD"))</f>
        <v>0</v>
      </c>
      <c r="Z147" s="49"/>
      <c r="AA147" s="65"/>
      <c r="AB147" s="50" t="str">
        <f t="shared" si="41"/>
        <v/>
      </c>
      <c r="AC147" s="68">
        <f t="shared" si="42"/>
        <v>0</v>
      </c>
      <c r="AD147" s="68">
        <f t="shared" si="43"/>
        <v>0</v>
      </c>
      <c r="AE147" s="68">
        <f t="shared" si="44"/>
        <v>0</v>
      </c>
      <c r="AF147" s="50"/>
      <c r="AG147" s="50" t="s">
        <v>138</v>
      </c>
      <c r="AH147" s="49" t="str">
        <f>IF(AG147="นิติศาสตร์","K5-LAW","K5-POLICY")</f>
        <v>K5-LAW</v>
      </c>
      <c r="AI147" s="72" t="str">
        <f>_xlfn.IFS(B147="","",AND(AH147="K5-LAW",AG147="นิติศาสตร์",K147="S2",T147="",Z147=""),P147,AND(AH147="K5-LAW",AG147="นิติศาสตร์",K147="S1",T147="",Z147=""),EDATE(P147,12),AND(AH147="K5-LAW",AG147="นิติศาสตร์",OR(K147="M2",K147="K4"),T147="",Z147=""),EDATE(P147,12*2),AND(AH147="K5-LAW",AG147="นิติศาสตร์",OR(Z147="M2",Z147="K4"),AC147&gt;=2,OR(AB147&lt;V147,AB147&lt;P147)),EDATE(AB147,12*2),AND(AH147="K5-LAW",AG147="นิติศาสตร์",Z147="S1",AC147&gt;=1,OR(AB147&lt;V147,AB147&lt;P147)),EDATE(AB147,12),AND(AH147="K5-LAW",AG147="นิติศาสตร์",OR(T147="M2",T147="K4"),W147&gt;=2,V147&lt;P147),EDATE(V147,12*2),AND(AH147="K5-LAW",AG147="นิติศาสตร์",T147="S1",W147&gt;=1,V147&lt;P147),EDATE(V147,12),AND(AH147="K5-LAW",AG147="นิติศาสตร์",OR(T147="S2",T147="K5")),V147,AND(AH147="K5-LAW",AG147="นิติศาสตร์",OR(K147="M2",K147="K4"),Q147&gt;=2),EDATE(P147,12*2),AND(AH147="K5-LAW",AG147="นิติศาสตร์",K147="S1",Q147&gt;=1),EDATE(P147,12),AND(AH147="K5-LAW",AG147="นิติศาสตร์",OR(K147="S2",K147="K5")),P147,AND(AH147="K5-POLICY",AG147&lt;&gt;"นิติศาสตร์",K147="S2",T147="",Z147=""),P147,AND(AH147="K5-POLICY",AG147&lt;&gt;"นิติศาสตร์",K147="S1",T147="",Z147=""),EDATE(P147,12),AND(AH147="K5-POLICY",AG147&lt;&gt;"นิติศาสตร์",OR(K147="M2",K147="K4"),T147="",Z147=""),EDATE(P147,12*2),AND(AH147="K5-POLICY",AG147&lt;&gt;"นิติศาสตร์",OR(Z147="M2",Z147="K4"),AC147&gt;=2,OR(AB147&lt;V147,AB147&lt;P147)),EDATE(AB147,12*2),AND(AH147="K5-POLICY",AG147&lt;&gt;"นิติศาสตร์",Z147="S1",AC147&gt;=1,OR(AB147&lt;V147,AB147&lt;P147)),EDATE(AB147,12),AND(AH147="K5-POLICY",AG147&lt;&gt;"นิติศาสตร์",OR(T147="M2",T147="K4"),W147&gt;=2,V147&lt;P147),EDATE(V147,12*2),AND(AH147="K5-POLICY",AG147&lt;&gt;"นิติศาสตร์",T147="S1",W147&gt;=1,V147&lt;P147),EDATE(V147,12),AND(AH147="K5-POLICY",AG147&lt;&gt;"นิติศาสตร์",OR(T147="S2",T147="K5")),V147,AND(AH147="K5-POLICY",AG147&lt;&gt;"นิติศาสตร์",OR(K147="M2",K147="K4"),Q147&gt;=2),EDATE(P147,12*2),AND(AH147="K5-POLICY",AG147&lt;&gt;"นิติศาสตร์",K147="S1",Q147&gt;=1),EDATE(P147,12),AND(AH147="K5-POLICY",AG147&lt;&gt;"นิติศาสตร์",OR(K147="S2",K147="K5")),P147,TRUE,"Check Data")</f>
        <v/>
      </c>
      <c r="AJ147" s="75" t="str">
        <f t="shared" si="45"/>
        <v>Check Data</v>
      </c>
      <c r="AK147" s="76" t="str">
        <f t="shared" si="46"/>
        <v>Check Data</v>
      </c>
      <c r="AL147" s="50" t="str">
        <f t="shared" si="47"/>
        <v>Check Data</v>
      </c>
      <c r="AM147" s="49" t="str">
        <f>IF(B147="","",IF(K147="S1","S1",INDEX(#REF!,#REF!)))</f>
        <v/>
      </c>
      <c r="AN147" s="49" t="str">
        <f>K147</f>
        <v>M2</v>
      </c>
      <c r="AO147" s="50" t="b">
        <f>K147=AM147</f>
        <v>0</v>
      </c>
      <c r="AP147" s="50"/>
    </row>
    <row r="148" spans="1:42" ht="21.75">
      <c r="A148" s="49">
        <v>146</v>
      </c>
      <c r="B148" s="50"/>
      <c r="C148" s="50"/>
      <c r="D148" s="50" t="s">
        <v>144</v>
      </c>
      <c r="E148" s="49" t="s">
        <v>174</v>
      </c>
      <c r="F148" s="49" t="str">
        <f t="shared" si="32"/>
        <v>01/04/1992</v>
      </c>
      <c r="G148" s="50">
        <f t="shared" si="33"/>
        <v>33</v>
      </c>
      <c r="H148" s="50">
        <f t="shared" si="34"/>
        <v>2</v>
      </c>
      <c r="I148" s="50">
        <f t="shared" si="35"/>
        <v>19</v>
      </c>
      <c r="J148" s="57"/>
      <c r="K148" s="49" t="s">
        <v>136</v>
      </c>
      <c r="L148" s="64"/>
      <c r="M148" s="49" t="s">
        <v>427</v>
      </c>
      <c r="N148" s="49">
        <v>2577</v>
      </c>
      <c r="O148" s="65" t="s">
        <v>238</v>
      </c>
      <c r="P148" s="49" t="str">
        <f t="shared" si="36"/>
        <v>19/11/2021</v>
      </c>
      <c r="Q148" s="68">
        <f t="shared" si="37"/>
        <v>3</v>
      </c>
      <c r="R148" s="68">
        <f t="shared" si="38"/>
        <v>7</v>
      </c>
      <c r="S148" s="68">
        <f t="shared" si="39"/>
        <v>1</v>
      </c>
      <c r="T148" s="65"/>
      <c r="U148" s="65"/>
      <c r="V148" s="49" t="str">
        <f t="shared" si="40"/>
        <v/>
      </c>
      <c r="W148" s="68">
        <f>IF(V148="",0,DATEDIF(V148,P148,"Y"))</f>
        <v>0</v>
      </c>
      <c r="X148" s="68">
        <f>IF(V148="",0,DATEDIF(V148,P148,"YM"))</f>
        <v>0</v>
      </c>
      <c r="Y148" s="68">
        <f>IF(V148="",0,DATEDIF(V148,P148,"MD"))</f>
        <v>0</v>
      </c>
      <c r="Z148" s="49"/>
      <c r="AA148" s="65"/>
      <c r="AB148" s="50" t="str">
        <f t="shared" si="41"/>
        <v/>
      </c>
      <c r="AC148" s="68">
        <f t="shared" si="42"/>
        <v>0</v>
      </c>
      <c r="AD148" s="68">
        <f t="shared" si="43"/>
        <v>0</v>
      </c>
      <c r="AE148" s="68">
        <f t="shared" si="44"/>
        <v>0</v>
      </c>
      <c r="AF148" s="50"/>
      <c r="AG148" s="50" t="s">
        <v>163</v>
      </c>
      <c r="AH148" s="49" t="str">
        <f>IF(AG148="นิติศาสตร์","K5-LAW","K5-POLICY")</f>
        <v>K5-POLICY</v>
      </c>
      <c r="AI148" s="72" t="str">
        <f>_xlfn.IFS(B148="","",AND(AH148="K5-LAW",AG148="นิติศาสตร์",K148="S2",T148="",Z148=""),P148,AND(AH148="K5-LAW",AG148="นิติศาสตร์",K148="S1",T148="",Z148=""),EDATE(P148,12),AND(AH148="K5-LAW",AG148="นิติศาสตร์",OR(K148="M2",K148="K4"),T148="",Z148=""),EDATE(P148,12*2),AND(AH148="K5-LAW",AG148="นิติศาสตร์",OR(Z148="M2",Z148="K4"),AC148&gt;=2,OR(AB148&lt;V148,AB148&lt;P148)),EDATE(AB148,12*2),AND(AH148="K5-LAW",AG148="นิติศาสตร์",Z148="S1",AC148&gt;=1,OR(AB148&lt;V148,AB148&lt;P148)),EDATE(AB148,12),AND(AH148="K5-LAW",AG148="นิติศาสตร์",OR(T148="M2",T148="K4"),W148&gt;=2,V148&lt;P148),EDATE(V148,12*2),AND(AH148="K5-LAW",AG148="นิติศาสตร์",T148="S1",W148&gt;=1,V148&lt;P148),EDATE(V148,12),AND(AH148="K5-LAW",AG148="นิติศาสตร์",OR(T148="S2",T148="K5")),V148,AND(AH148="K5-LAW",AG148="นิติศาสตร์",OR(K148="M2",K148="K4"),Q148&gt;=2),EDATE(P148,12*2),AND(AH148="K5-LAW",AG148="นิติศาสตร์",K148="S1",Q148&gt;=1),EDATE(P148,12),AND(AH148="K5-LAW",AG148="นิติศาสตร์",OR(K148="S2",K148="K5")),P148,AND(AH148="K5-POLICY",AG148&lt;&gt;"นิติศาสตร์",K148="S2",T148="",Z148=""),P148,AND(AH148="K5-POLICY",AG148&lt;&gt;"นิติศาสตร์",K148="S1",T148="",Z148=""),EDATE(P148,12),AND(AH148="K5-POLICY",AG148&lt;&gt;"นิติศาสตร์",OR(K148="M2",K148="K4"),T148="",Z148=""),EDATE(P148,12*2),AND(AH148="K5-POLICY",AG148&lt;&gt;"นิติศาสตร์",OR(Z148="M2",Z148="K4"),AC148&gt;=2,OR(AB148&lt;V148,AB148&lt;P148)),EDATE(AB148,12*2),AND(AH148="K5-POLICY",AG148&lt;&gt;"นิติศาสตร์",Z148="S1",AC148&gt;=1,OR(AB148&lt;V148,AB148&lt;P148)),EDATE(AB148,12),AND(AH148="K5-POLICY",AG148&lt;&gt;"นิติศาสตร์",OR(T148="M2",T148="K4"),W148&gt;=2,V148&lt;P148),EDATE(V148,12*2),AND(AH148="K5-POLICY",AG148&lt;&gt;"นิติศาสตร์",T148="S1",W148&gt;=1,V148&lt;P148),EDATE(V148,12),AND(AH148="K5-POLICY",AG148&lt;&gt;"นิติศาสตร์",OR(T148="S2",T148="K5")),V148,AND(AH148="K5-POLICY",AG148&lt;&gt;"นิติศาสตร์",OR(K148="M2",K148="K4"),Q148&gt;=2),EDATE(P148,12*2),AND(AH148="K5-POLICY",AG148&lt;&gt;"นิติศาสตร์",K148="S1",Q148&gt;=1),EDATE(P148,12),AND(AH148="K5-POLICY",AG148&lt;&gt;"นิติศาสตร์",OR(K148="S2",K148="K5")),P148,TRUE,"Check Data")</f>
        <v/>
      </c>
      <c r="AJ148" s="75" t="str">
        <f t="shared" si="45"/>
        <v>Check Data</v>
      </c>
      <c r="AK148" s="76" t="str">
        <f t="shared" si="46"/>
        <v>Check Data</v>
      </c>
      <c r="AL148" s="50" t="str">
        <f t="shared" si="47"/>
        <v>Check Data</v>
      </c>
      <c r="AM148" s="49" t="str">
        <f>IF(B148="","",IF(K148="S1","S1",INDEX(#REF!,#REF!)))</f>
        <v/>
      </c>
      <c r="AN148" s="49" t="str">
        <f>K148</f>
        <v>M2</v>
      </c>
      <c r="AO148" s="50" t="b">
        <f>K148=AM148</f>
        <v>0</v>
      </c>
      <c r="AP148" s="50"/>
    </row>
    <row r="149" spans="1:42" ht="21.75">
      <c r="A149" s="49">
        <v>147</v>
      </c>
      <c r="B149" s="50"/>
      <c r="C149" s="50"/>
      <c r="D149" s="50" t="s">
        <v>142</v>
      </c>
      <c r="E149" s="49" t="s">
        <v>275</v>
      </c>
      <c r="F149" s="49" t="str">
        <f t="shared" si="32"/>
        <v>21/06/1993</v>
      </c>
      <c r="G149" s="50">
        <f t="shared" si="33"/>
        <v>31</v>
      </c>
      <c r="H149" s="50">
        <f t="shared" si="34"/>
        <v>11</v>
      </c>
      <c r="I149" s="50">
        <f t="shared" si="35"/>
        <v>30</v>
      </c>
      <c r="J149" s="58"/>
      <c r="K149" s="49" t="s">
        <v>136</v>
      </c>
      <c r="L149" s="64"/>
      <c r="M149" s="49" t="s">
        <v>427</v>
      </c>
      <c r="N149" s="49">
        <v>2569</v>
      </c>
      <c r="O149" s="65" t="s">
        <v>276</v>
      </c>
      <c r="P149" s="49" t="str">
        <f t="shared" si="36"/>
        <v>03/12/2021</v>
      </c>
      <c r="Q149" s="68">
        <f t="shared" si="37"/>
        <v>3</v>
      </c>
      <c r="R149" s="68">
        <f t="shared" si="38"/>
        <v>6</v>
      </c>
      <c r="S149" s="68">
        <f t="shared" si="39"/>
        <v>17</v>
      </c>
      <c r="T149" s="65"/>
      <c r="U149" s="65"/>
      <c r="V149" s="49" t="str">
        <f t="shared" si="40"/>
        <v/>
      </c>
      <c r="W149" s="68">
        <f>IF(V149="",0,DATEDIF(V149,P149,"Y"))</f>
        <v>0</v>
      </c>
      <c r="X149" s="68">
        <f>IF(V149="",0,DATEDIF(V149,P149,"YM"))</f>
        <v>0</v>
      </c>
      <c r="Y149" s="68">
        <f>IF(V149="",0,DATEDIF(V149,P149,"MD"))</f>
        <v>0</v>
      </c>
      <c r="Z149" s="49"/>
      <c r="AA149" s="65"/>
      <c r="AB149" s="50" t="str">
        <f t="shared" si="41"/>
        <v/>
      </c>
      <c r="AC149" s="68">
        <f t="shared" si="42"/>
        <v>0</v>
      </c>
      <c r="AD149" s="68">
        <f t="shared" si="43"/>
        <v>0</v>
      </c>
      <c r="AE149" s="68">
        <f t="shared" si="44"/>
        <v>0</v>
      </c>
      <c r="AF149" s="50"/>
      <c r="AG149" s="50" t="s">
        <v>138</v>
      </c>
      <c r="AH149" s="49" t="str">
        <f>IF(AG149="นิติศาสตร์","K5-LAW","K5-POLICY")</f>
        <v>K5-LAW</v>
      </c>
      <c r="AI149" s="72" t="str">
        <f>_xlfn.IFS(B149="","",AND(AH149="K5-LAW",AG149="นิติศาสตร์",K149="S2",T149="",Z149=""),P149,AND(AH149="K5-LAW",AG149="นิติศาสตร์",K149="S1",T149="",Z149=""),EDATE(P149,12),AND(AH149="K5-LAW",AG149="นิติศาสตร์",OR(K149="M2",K149="K4"),T149="",Z149=""),EDATE(P149,12*2),AND(AH149="K5-LAW",AG149="นิติศาสตร์",OR(Z149="M2",Z149="K4"),AC149&gt;=2,OR(AB149&lt;V149,AB149&lt;P149)),EDATE(AB149,12*2),AND(AH149="K5-LAW",AG149="นิติศาสตร์",Z149="S1",AC149&gt;=1,OR(AB149&lt;V149,AB149&lt;P149)),EDATE(AB149,12),AND(AH149="K5-LAW",AG149="นิติศาสตร์",OR(T149="M2",T149="K4"),W149&gt;=2,V149&lt;P149),EDATE(V149,12*2),AND(AH149="K5-LAW",AG149="นิติศาสตร์",T149="S1",W149&gt;=1,V149&lt;P149),EDATE(V149,12),AND(AH149="K5-LAW",AG149="นิติศาสตร์",OR(T149="S2",T149="K5")),V149,AND(AH149="K5-LAW",AG149="นิติศาสตร์",OR(K149="M2",K149="K4"),Q149&gt;=2),EDATE(P149,12*2),AND(AH149="K5-LAW",AG149="นิติศาสตร์",K149="S1",Q149&gt;=1),EDATE(P149,12),AND(AH149="K5-LAW",AG149="นิติศาสตร์",OR(K149="S2",K149="K5")),P149,AND(AH149="K5-POLICY",AG149&lt;&gt;"นิติศาสตร์",K149="S2",T149="",Z149=""),P149,AND(AH149="K5-POLICY",AG149&lt;&gt;"นิติศาสตร์",K149="S1",T149="",Z149=""),EDATE(P149,12),AND(AH149="K5-POLICY",AG149&lt;&gt;"นิติศาสตร์",OR(K149="M2",K149="K4"),T149="",Z149=""),EDATE(P149,12*2),AND(AH149="K5-POLICY",AG149&lt;&gt;"นิติศาสตร์",OR(Z149="M2",Z149="K4"),AC149&gt;=2,OR(AB149&lt;V149,AB149&lt;P149)),EDATE(AB149,12*2),AND(AH149="K5-POLICY",AG149&lt;&gt;"นิติศาสตร์",Z149="S1",AC149&gt;=1,OR(AB149&lt;V149,AB149&lt;P149)),EDATE(AB149,12),AND(AH149="K5-POLICY",AG149&lt;&gt;"นิติศาสตร์",OR(T149="M2",T149="K4"),W149&gt;=2,V149&lt;P149),EDATE(V149,12*2),AND(AH149="K5-POLICY",AG149&lt;&gt;"นิติศาสตร์",T149="S1",W149&gt;=1,V149&lt;P149),EDATE(V149,12),AND(AH149="K5-POLICY",AG149&lt;&gt;"นิติศาสตร์",OR(T149="S2",T149="K5")),V149,AND(AH149="K5-POLICY",AG149&lt;&gt;"นิติศาสตร์",OR(K149="M2",K149="K4"),Q149&gt;=2),EDATE(P149,12*2),AND(AH149="K5-POLICY",AG149&lt;&gt;"นิติศาสตร์",K149="S1",Q149&gt;=1),EDATE(P149,12),AND(AH149="K5-POLICY",AG149&lt;&gt;"นิติศาสตร์",OR(K149="S2",K149="K5")),P149,TRUE,"Check Data")</f>
        <v/>
      </c>
      <c r="AJ149" s="75" t="str">
        <f t="shared" si="45"/>
        <v>Check Data</v>
      </c>
      <c r="AK149" s="76" t="str">
        <f t="shared" si="46"/>
        <v>Check Data</v>
      </c>
      <c r="AL149" s="50" t="str">
        <f t="shared" si="47"/>
        <v>Check Data</v>
      </c>
      <c r="AM149" s="49" t="str">
        <f>IF(B149="","",IF(K149="S1","S1",INDEX(#REF!,#REF!)))</f>
        <v/>
      </c>
      <c r="AN149" s="49" t="str">
        <f>K149</f>
        <v>M2</v>
      </c>
      <c r="AO149" s="50" t="b">
        <f>K149=AM149</f>
        <v>0</v>
      </c>
      <c r="AP149" s="50"/>
    </row>
    <row r="150" spans="1:42" ht="21.75">
      <c r="A150" s="49">
        <v>148</v>
      </c>
      <c r="B150" s="50"/>
      <c r="C150" s="50"/>
      <c r="D150" s="50" t="s">
        <v>142</v>
      </c>
      <c r="E150" s="49" t="s">
        <v>277</v>
      </c>
      <c r="F150" s="49" t="str">
        <f t="shared" si="32"/>
        <v>15/09/1997</v>
      </c>
      <c r="G150" s="50">
        <f t="shared" si="33"/>
        <v>27</v>
      </c>
      <c r="H150" s="50">
        <f t="shared" si="34"/>
        <v>9</v>
      </c>
      <c r="I150" s="50">
        <f t="shared" si="35"/>
        <v>5</v>
      </c>
      <c r="J150" s="58"/>
      <c r="K150" s="49" t="s">
        <v>136</v>
      </c>
      <c r="L150" s="64"/>
      <c r="M150" s="49" t="s">
        <v>427</v>
      </c>
      <c r="N150" s="49">
        <v>2573</v>
      </c>
      <c r="O150" s="65" t="s">
        <v>276</v>
      </c>
      <c r="P150" s="49" t="str">
        <f t="shared" si="36"/>
        <v>03/12/2021</v>
      </c>
      <c r="Q150" s="68">
        <f t="shared" si="37"/>
        <v>3</v>
      </c>
      <c r="R150" s="68">
        <f t="shared" si="38"/>
        <v>6</v>
      </c>
      <c r="S150" s="68">
        <f t="shared" si="39"/>
        <v>17</v>
      </c>
      <c r="T150" s="65"/>
      <c r="U150" s="65"/>
      <c r="V150" s="49" t="str">
        <f t="shared" si="40"/>
        <v/>
      </c>
      <c r="W150" s="68">
        <f>IF(V150="",0,DATEDIF(V150,P150,"Y"))</f>
        <v>0</v>
      </c>
      <c r="X150" s="68">
        <f>IF(V150="",0,DATEDIF(V150,P150,"YM"))</f>
        <v>0</v>
      </c>
      <c r="Y150" s="68">
        <f>IF(V150="",0,DATEDIF(V150,P150,"MD"))</f>
        <v>0</v>
      </c>
      <c r="Z150" s="49"/>
      <c r="AA150" s="65"/>
      <c r="AB150" s="50" t="str">
        <f t="shared" si="41"/>
        <v/>
      </c>
      <c r="AC150" s="68">
        <f t="shared" si="42"/>
        <v>0</v>
      </c>
      <c r="AD150" s="68">
        <f t="shared" si="43"/>
        <v>0</v>
      </c>
      <c r="AE150" s="68">
        <f t="shared" si="44"/>
        <v>0</v>
      </c>
      <c r="AF150" s="50"/>
      <c r="AG150" s="50" t="s">
        <v>138</v>
      </c>
      <c r="AH150" s="49" t="str">
        <f>IF(AG150="นิติศาสตร์","K5-LAW","K5-POLICY")</f>
        <v>K5-LAW</v>
      </c>
      <c r="AI150" s="72" t="str">
        <f>_xlfn.IFS(B150="","",AND(AH150="K5-LAW",AG150="นิติศาสตร์",K150="S2",T150="",Z150=""),P150,AND(AH150="K5-LAW",AG150="นิติศาสตร์",K150="S1",T150="",Z150=""),EDATE(P150,12),AND(AH150="K5-LAW",AG150="นิติศาสตร์",OR(K150="M2",K150="K4"),T150="",Z150=""),EDATE(P150,12*2),AND(AH150="K5-LAW",AG150="นิติศาสตร์",OR(Z150="M2",Z150="K4"),AC150&gt;=2,OR(AB150&lt;V150,AB150&lt;P150)),EDATE(AB150,12*2),AND(AH150="K5-LAW",AG150="นิติศาสตร์",Z150="S1",AC150&gt;=1,OR(AB150&lt;V150,AB150&lt;P150)),EDATE(AB150,12),AND(AH150="K5-LAW",AG150="นิติศาสตร์",OR(T150="M2",T150="K4"),W150&gt;=2,V150&lt;P150),EDATE(V150,12*2),AND(AH150="K5-LAW",AG150="นิติศาสตร์",T150="S1",W150&gt;=1,V150&lt;P150),EDATE(V150,12),AND(AH150="K5-LAW",AG150="นิติศาสตร์",OR(T150="S2",T150="K5")),V150,AND(AH150="K5-LAW",AG150="นิติศาสตร์",OR(K150="M2",K150="K4"),Q150&gt;=2),EDATE(P150,12*2),AND(AH150="K5-LAW",AG150="นิติศาสตร์",K150="S1",Q150&gt;=1),EDATE(P150,12),AND(AH150="K5-LAW",AG150="นิติศาสตร์",OR(K150="S2",K150="K5")),P150,AND(AH150="K5-POLICY",AG150&lt;&gt;"นิติศาสตร์",K150="S2",T150="",Z150=""),P150,AND(AH150="K5-POLICY",AG150&lt;&gt;"นิติศาสตร์",K150="S1",T150="",Z150=""),EDATE(P150,12),AND(AH150="K5-POLICY",AG150&lt;&gt;"นิติศาสตร์",OR(K150="M2",K150="K4"),T150="",Z150=""),EDATE(P150,12*2),AND(AH150="K5-POLICY",AG150&lt;&gt;"นิติศาสตร์",OR(Z150="M2",Z150="K4"),AC150&gt;=2,OR(AB150&lt;V150,AB150&lt;P150)),EDATE(AB150,12*2),AND(AH150="K5-POLICY",AG150&lt;&gt;"นิติศาสตร์",Z150="S1",AC150&gt;=1,OR(AB150&lt;V150,AB150&lt;P150)),EDATE(AB150,12),AND(AH150="K5-POLICY",AG150&lt;&gt;"นิติศาสตร์",OR(T150="M2",T150="K4"),W150&gt;=2,V150&lt;P150),EDATE(V150,12*2),AND(AH150="K5-POLICY",AG150&lt;&gt;"นิติศาสตร์",T150="S1",W150&gt;=1,V150&lt;P150),EDATE(V150,12),AND(AH150="K5-POLICY",AG150&lt;&gt;"นิติศาสตร์",OR(T150="S2",T150="K5")),V150,AND(AH150="K5-POLICY",AG150&lt;&gt;"นิติศาสตร์",OR(K150="M2",K150="K4"),Q150&gt;=2),EDATE(P150,12*2),AND(AH150="K5-POLICY",AG150&lt;&gt;"นิติศาสตร์",K150="S1",Q150&gt;=1),EDATE(P150,12),AND(AH150="K5-POLICY",AG150&lt;&gt;"นิติศาสตร์",OR(K150="S2",K150="K5")),P150,TRUE,"Check Data")</f>
        <v/>
      </c>
      <c r="AJ150" s="75" t="str">
        <f t="shared" si="45"/>
        <v>Check Data</v>
      </c>
      <c r="AK150" s="76" t="str">
        <f t="shared" si="46"/>
        <v>Check Data</v>
      </c>
      <c r="AL150" s="50" t="str">
        <f t="shared" si="47"/>
        <v>Check Data</v>
      </c>
      <c r="AM150" s="49" t="str">
        <f>IF(B150="","",IF(K150="S1","S1",INDEX(#REF!,#REF!)))</f>
        <v/>
      </c>
      <c r="AN150" s="49" t="str">
        <f>K150</f>
        <v>M2</v>
      </c>
      <c r="AO150" s="50" t="b">
        <f>K150=AM150</f>
        <v>0</v>
      </c>
      <c r="AP150" s="50"/>
    </row>
    <row r="151" spans="1:42" ht="21.75">
      <c r="A151" s="49">
        <v>149</v>
      </c>
      <c r="B151" s="50"/>
      <c r="C151" s="50"/>
      <c r="D151" s="50" t="s">
        <v>142</v>
      </c>
      <c r="E151" s="49" t="s">
        <v>277</v>
      </c>
      <c r="F151" s="49" t="str">
        <f t="shared" si="32"/>
        <v>15/09/1997</v>
      </c>
      <c r="G151" s="50">
        <f t="shared" si="33"/>
        <v>27</v>
      </c>
      <c r="H151" s="50">
        <f t="shared" si="34"/>
        <v>9</v>
      </c>
      <c r="I151" s="50">
        <f t="shared" si="35"/>
        <v>5</v>
      </c>
      <c r="J151" s="58"/>
      <c r="K151" s="49" t="s">
        <v>136</v>
      </c>
      <c r="L151" s="64"/>
      <c r="M151" s="49" t="s">
        <v>427</v>
      </c>
      <c r="N151" s="49">
        <v>2573</v>
      </c>
      <c r="O151" s="65" t="s">
        <v>276</v>
      </c>
      <c r="P151" s="49" t="str">
        <f t="shared" si="36"/>
        <v>03/12/2021</v>
      </c>
      <c r="Q151" s="68">
        <f t="shared" si="37"/>
        <v>3</v>
      </c>
      <c r="R151" s="68">
        <f t="shared" si="38"/>
        <v>6</v>
      </c>
      <c r="S151" s="68">
        <f t="shared" si="39"/>
        <v>17</v>
      </c>
      <c r="T151" s="65"/>
      <c r="U151" s="65"/>
      <c r="V151" s="49" t="str">
        <f t="shared" si="40"/>
        <v/>
      </c>
      <c r="W151" s="68">
        <f>IF(V151="",0,DATEDIF(V151,P151,"Y"))</f>
        <v>0</v>
      </c>
      <c r="X151" s="68">
        <f>IF(V151="",0,DATEDIF(V151,P151,"YM"))</f>
        <v>0</v>
      </c>
      <c r="Y151" s="68">
        <f>IF(V151="",0,DATEDIF(V151,P151,"MD"))</f>
        <v>0</v>
      </c>
      <c r="Z151" s="49"/>
      <c r="AA151" s="65"/>
      <c r="AB151" s="50" t="str">
        <f t="shared" si="41"/>
        <v/>
      </c>
      <c r="AC151" s="68">
        <f t="shared" si="42"/>
        <v>0</v>
      </c>
      <c r="AD151" s="68">
        <f t="shared" si="43"/>
        <v>0</v>
      </c>
      <c r="AE151" s="68">
        <f t="shared" si="44"/>
        <v>0</v>
      </c>
      <c r="AF151" s="50"/>
      <c r="AG151" s="50" t="s">
        <v>178</v>
      </c>
      <c r="AH151" s="49" t="str">
        <f>IF(AG151="นิติศาสตร์","K5-LAW","K5-POLICY")</f>
        <v>K5-POLICY</v>
      </c>
      <c r="AI151" s="72" t="str">
        <f>_xlfn.IFS(B151="","",AND(AH151="K5-LAW",AG151="นิติศาสตร์",K151="S2",T151="",Z151=""),P151,AND(AH151="K5-LAW",AG151="นิติศาสตร์",K151="S1",T151="",Z151=""),EDATE(P151,12),AND(AH151="K5-LAW",AG151="นิติศาสตร์",OR(K151="M2",K151="K4"),T151="",Z151=""),EDATE(P151,12*2),AND(AH151="K5-LAW",AG151="นิติศาสตร์",OR(Z151="M2",Z151="K4"),AC151&gt;=2,OR(AB151&lt;V151,AB151&lt;P151)),EDATE(AB151,12*2),AND(AH151="K5-LAW",AG151="นิติศาสตร์",Z151="S1",AC151&gt;=1,OR(AB151&lt;V151,AB151&lt;P151)),EDATE(AB151,12),AND(AH151="K5-LAW",AG151="นิติศาสตร์",OR(T151="M2",T151="K4"),W151&gt;=2,V151&lt;P151),EDATE(V151,12*2),AND(AH151="K5-LAW",AG151="นิติศาสตร์",T151="S1",W151&gt;=1,V151&lt;P151),EDATE(V151,12),AND(AH151="K5-LAW",AG151="นิติศาสตร์",OR(T151="S2",T151="K5")),V151,AND(AH151="K5-LAW",AG151="นิติศาสตร์",OR(K151="M2",K151="K4"),Q151&gt;=2),EDATE(P151,12*2),AND(AH151="K5-LAW",AG151="นิติศาสตร์",K151="S1",Q151&gt;=1),EDATE(P151,12),AND(AH151="K5-LAW",AG151="นิติศาสตร์",OR(K151="S2",K151="K5")),P151,AND(AH151="K5-POLICY",AG151&lt;&gt;"นิติศาสตร์",K151="S2",T151="",Z151=""),P151,AND(AH151="K5-POLICY",AG151&lt;&gt;"นิติศาสตร์",K151="S1",T151="",Z151=""),EDATE(P151,12),AND(AH151="K5-POLICY",AG151&lt;&gt;"นิติศาสตร์",OR(K151="M2",K151="K4"),T151="",Z151=""),EDATE(P151,12*2),AND(AH151="K5-POLICY",AG151&lt;&gt;"นิติศาสตร์",OR(Z151="M2",Z151="K4"),AC151&gt;=2,OR(AB151&lt;V151,AB151&lt;P151)),EDATE(AB151,12*2),AND(AH151="K5-POLICY",AG151&lt;&gt;"นิติศาสตร์",Z151="S1",AC151&gt;=1,OR(AB151&lt;V151,AB151&lt;P151)),EDATE(AB151,12),AND(AH151="K5-POLICY",AG151&lt;&gt;"นิติศาสตร์",OR(T151="M2",T151="K4"),W151&gt;=2,V151&lt;P151),EDATE(V151,12*2),AND(AH151="K5-POLICY",AG151&lt;&gt;"นิติศาสตร์",T151="S1",W151&gt;=1,V151&lt;P151),EDATE(V151,12),AND(AH151="K5-POLICY",AG151&lt;&gt;"นิติศาสตร์",OR(T151="S2",T151="K5")),V151,AND(AH151="K5-POLICY",AG151&lt;&gt;"นิติศาสตร์",OR(K151="M2",K151="K4"),Q151&gt;=2),EDATE(P151,12*2),AND(AH151="K5-POLICY",AG151&lt;&gt;"นิติศาสตร์",K151="S1",Q151&gt;=1),EDATE(P151,12),AND(AH151="K5-POLICY",AG151&lt;&gt;"นิติศาสตร์",OR(K151="S2",K151="K5")),P151,TRUE,"Check Data")</f>
        <v/>
      </c>
      <c r="AJ151" s="75" t="str">
        <f t="shared" si="45"/>
        <v>Check Data</v>
      </c>
      <c r="AK151" s="76" t="str">
        <f t="shared" si="46"/>
        <v>Check Data</v>
      </c>
      <c r="AL151" s="50" t="str">
        <f t="shared" si="47"/>
        <v>Check Data</v>
      </c>
      <c r="AM151" s="49" t="str">
        <f>IF(B151="","",IF(K151="S1","S1",INDEX(#REF!,#REF!)))</f>
        <v/>
      </c>
      <c r="AN151" s="49" t="str">
        <f>K151</f>
        <v>M2</v>
      </c>
      <c r="AO151" s="50" t="b">
        <f>K151=AM151</f>
        <v>0</v>
      </c>
      <c r="AP151" s="50"/>
    </row>
    <row r="152" spans="1:42" ht="21.75">
      <c r="A152" s="49">
        <v>150</v>
      </c>
      <c r="B152" s="50"/>
      <c r="C152" s="50"/>
      <c r="D152" s="50" t="s">
        <v>142</v>
      </c>
      <c r="E152" s="49" t="s">
        <v>251</v>
      </c>
      <c r="F152" s="49" t="str">
        <f t="shared" si="32"/>
        <v>15/08/1997</v>
      </c>
      <c r="G152" s="50">
        <f t="shared" si="33"/>
        <v>27</v>
      </c>
      <c r="H152" s="50">
        <f t="shared" si="34"/>
        <v>10</v>
      </c>
      <c r="I152" s="50">
        <f t="shared" si="35"/>
        <v>5</v>
      </c>
      <c r="J152" s="58"/>
      <c r="K152" s="49" t="s">
        <v>136</v>
      </c>
      <c r="L152" s="64"/>
      <c r="M152" s="49" t="s">
        <v>427</v>
      </c>
      <c r="N152" s="49">
        <v>2572</v>
      </c>
      <c r="O152" s="65" t="s">
        <v>276</v>
      </c>
      <c r="P152" s="49" t="str">
        <f t="shared" si="36"/>
        <v>03/12/2021</v>
      </c>
      <c r="Q152" s="68">
        <f t="shared" si="37"/>
        <v>3</v>
      </c>
      <c r="R152" s="68">
        <f t="shared" si="38"/>
        <v>6</v>
      </c>
      <c r="S152" s="68">
        <f t="shared" si="39"/>
        <v>17</v>
      </c>
      <c r="T152" s="65"/>
      <c r="U152" s="65"/>
      <c r="V152" s="49" t="str">
        <f t="shared" si="40"/>
        <v/>
      </c>
      <c r="W152" s="68">
        <f>IF(V152="",0,DATEDIF(V152,P152,"Y"))</f>
        <v>0</v>
      </c>
      <c r="X152" s="68">
        <f>IF(V152="",0,DATEDIF(V152,P152,"YM"))</f>
        <v>0</v>
      </c>
      <c r="Y152" s="68">
        <f>IF(V152="",0,DATEDIF(V152,P152,"MD"))</f>
        <v>0</v>
      </c>
      <c r="Z152" s="49"/>
      <c r="AA152" s="65"/>
      <c r="AB152" s="50" t="str">
        <f t="shared" si="41"/>
        <v/>
      </c>
      <c r="AC152" s="68">
        <f t="shared" si="42"/>
        <v>0</v>
      </c>
      <c r="AD152" s="68">
        <f t="shared" si="43"/>
        <v>0</v>
      </c>
      <c r="AE152" s="68">
        <f t="shared" si="44"/>
        <v>0</v>
      </c>
      <c r="AF152" s="50"/>
      <c r="AG152" s="50" t="s">
        <v>172</v>
      </c>
      <c r="AH152" s="49" t="str">
        <f>IF(AG152="นิติศาสตร์","K5-LAW","K5-POLICY")</f>
        <v>K5-POLICY</v>
      </c>
      <c r="AI152" s="72" t="str">
        <f>_xlfn.IFS(B152="","",AND(AH152="K5-LAW",AG152="นิติศาสตร์",K152="S2",T152="",Z152=""),P152,AND(AH152="K5-LAW",AG152="นิติศาสตร์",K152="S1",T152="",Z152=""),EDATE(P152,12),AND(AH152="K5-LAW",AG152="นิติศาสตร์",OR(K152="M2",K152="K4"),T152="",Z152=""),EDATE(P152,12*2),AND(AH152="K5-LAW",AG152="นิติศาสตร์",OR(Z152="M2",Z152="K4"),AC152&gt;=2,OR(AB152&lt;V152,AB152&lt;P152)),EDATE(AB152,12*2),AND(AH152="K5-LAW",AG152="นิติศาสตร์",Z152="S1",AC152&gt;=1,OR(AB152&lt;V152,AB152&lt;P152)),EDATE(AB152,12),AND(AH152="K5-LAW",AG152="นิติศาสตร์",OR(T152="M2",T152="K4"),W152&gt;=2,V152&lt;P152),EDATE(V152,12*2),AND(AH152="K5-LAW",AG152="นิติศาสตร์",T152="S1",W152&gt;=1,V152&lt;P152),EDATE(V152,12),AND(AH152="K5-LAW",AG152="นิติศาสตร์",OR(T152="S2",T152="K5")),V152,AND(AH152="K5-LAW",AG152="นิติศาสตร์",OR(K152="M2",K152="K4"),Q152&gt;=2),EDATE(P152,12*2),AND(AH152="K5-LAW",AG152="นิติศาสตร์",K152="S1",Q152&gt;=1),EDATE(P152,12),AND(AH152="K5-LAW",AG152="นิติศาสตร์",OR(K152="S2",K152="K5")),P152,AND(AH152="K5-POLICY",AG152&lt;&gt;"นิติศาสตร์",K152="S2",T152="",Z152=""),P152,AND(AH152="K5-POLICY",AG152&lt;&gt;"นิติศาสตร์",K152="S1",T152="",Z152=""),EDATE(P152,12),AND(AH152="K5-POLICY",AG152&lt;&gt;"นิติศาสตร์",OR(K152="M2",K152="K4"),T152="",Z152=""),EDATE(P152,12*2),AND(AH152="K5-POLICY",AG152&lt;&gt;"นิติศาสตร์",OR(Z152="M2",Z152="K4"),AC152&gt;=2,OR(AB152&lt;V152,AB152&lt;P152)),EDATE(AB152,12*2),AND(AH152="K5-POLICY",AG152&lt;&gt;"นิติศาสตร์",Z152="S1",AC152&gt;=1,OR(AB152&lt;V152,AB152&lt;P152)),EDATE(AB152,12),AND(AH152="K5-POLICY",AG152&lt;&gt;"นิติศาสตร์",OR(T152="M2",T152="K4"),W152&gt;=2,V152&lt;P152),EDATE(V152,12*2),AND(AH152="K5-POLICY",AG152&lt;&gt;"นิติศาสตร์",T152="S1",W152&gt;=1,V152&lt;P152),EDATE(V152,12),AND(AH152="K5-POLICY",AG152&lt;&gt;"นิติศาสตร์",OR(T152="S2",T152="K5")),V152,AND(AH152="K5-POLICY",AG152&lt;&gt;"นิติศาสตร์",OR(K152="M2",K152="K4"),Q152&gt;=2),EDATE(P152,12*2),AND(AH152="K5-POLICY",AG152&lt;&gt;"นิติศาสตร์",K152="S1",Q152&gt;=1),EDATE(P152,12),AND(AH152="K5-POLICY",AG152&lt;&gt;"นิติศาสตร์",OR(K152="S2",K152="K5")),P152,TRUE,"Check Data")</f>
        <v/>
      </c>
      <c r="AJ152" s="75" t="str">
        <f t="shared" si="45"/>
        <v>Check Data</v>
      </c>
      <c r="AK152" s="76" t="str">
        <f t="shared" si="46"/>
        <v>Check Data</v>
      </c>
      <c r="AL152" s="50" t="str">
        <f t="shared" si="47"/>
        <v>Check Data</v>
      </c>
      <c r="AM152" s="49" t="str">
        <f>IF(B152="","",IF(K152="S1","S1",INDEX(#REF!,#REF!)))</f>
        <v/>
      </c>
      <c r="AN152" s="49" t="str">
        <f>K152</f>
        <v>M2</v>
      </c>
      <c r="AO152" s="50" t="b">
        <f>K152=AM152</f>
        <v>0</v>
      </c>
      <c r="AP152" s="50"/>
    </row>
    <row r="153" spans="1:42" ht="21.75">
      <c r="A153" s="49">
        <v>151</v>
      </c>
      <c r="B153" s="50"/>
      <c r="C153" s="50"/>
      <c r="D153" s="50" t="s">
        <v>144</v>
      </c>
      <c r="E153" s="49" t="s">
        <v>382</v>
      </c>
      <c r="F153" s="49" t="str">
        <f t="shared" si="32"/>
        <v>01/05/1989</v>
      </c>
      <c r="G153" s="50">
        <f t="shared" si="33"/>
        <v>36</v>
      </c>
      <c r="H153" s="50">
        <f t="shared" si="34"/>
        <v>1</v>
      </c>
      <c r="I153" s="50">
        <f t="shared" si="35"/>
        <v>19</v>
      </c>
      <c r="J153" s="59"/>
      <c r="K153" s="49" t="s">
        <v>136</v>
      </c>
      <c r="L153" s="64"/>
      <c r="M153" s="49" t="s">
        <v>425</v>
      </c>
      <c r="N153" s="49">
        <v>2573</v>
      </c>
      <c r="O153" s="65" t="s">
        <v>383</v>
      </c>
      <c r="P153" s="49" t="str">
        <f t="shared" si="36"/>
        <v>17/12/2021</v>
      </c>
      <c r="Q153" s="68">
        <f t="shared" si="37"/>
        <v>3</v>
      </c>
      <c r="R153" s="68">
        <f t="shared" si="38"/>
        <v>6</v>
      </c>
      <c r="S153" s="68">
        <f t="shared" si="39"/>
        <v>3</v>
      </c>
      <c r="T153" s="65"/>
      <c r="U153" s="65"/>
      <c r="V153" s="49" t="str">
        <f t="shared" si="40"/>
        <v/>
      </c>
      <c r="W153" s="68">
        <f>IF(V153="",0,DATEDIF(V153,P153,"Y"))</f>
        <v>0</v>
      </c>
      <c r="X153" s="68">
        <f>IF(V153="",0,DATEDIF(V153,P153,"YM"))</f>
        <v>0</v>
      </c>
      <c r="Y153" s="68">
        <f>IF(V153="",0,DATEDIF(V153,P153,"MD"))</f>
        <v>0</v>
      </c>
      <c r="Z153" s="49"/>
      <c r="AA153" s="65"/>
      <c r="AB153" s="50" t="str">
        <f t="shared" si="41"/>
        <v/>
      </c>
      <c r="AC153" s="68">
        <f t="shared" si="42"/>
        <v>0</v>
      </c>
      <c r="AD153" s="68">
        <f t="shared" si="43"/>
        <v>0</v>
      </c>
      <c r="AE153" s="68">
        <f t="shared" si="44"/>
        <v>0</v>
      </c>
      <c r="AF153" s="50"/>
      <c r="AG153" s="50" t="s">
        <v>172</v>
      </c>
      <c r="AH153" s="49" t="str">
        <f>IF(AG153="นิติศาสตร์","K5-LAW","K5-POLICY")</f>
        <v>K5-POLICY</v>
      </c>
      <c r="AI153" s="72" t="str">
        <f>_xlfn.IFS(B153="","",AND(AH153="K5-LAW",AG153="นิติศาสตร์",K153="S2",T153="",Z153=""),P153,AND(AH153="K5-LAW",AG153="นิติศาสตร์",K153="S1",T153="",Z153=""),EDATE(P153,12),AND(AH153="K5-LAW",AG153="นิติศาสตร์",OR(K153="M2",K153="K4"),T153="",Z153=""),EDATE(P153,12*2),AND(AH153="K5-LAW",AG153="นิติศาสตร์",OR(Z153="M2",Z153="K4"),AC153&gt;=2,OR(AB153&lt;V153,AB153&lt;P153)),EDATE(AB153,12*2),AND(AH153="K5-LAW",AG153="นิติศาสตร์",Z153="S1",AC153&gt;=1,OR(AB153&lt;V153,AB153&lt;P153)),EDATE(AB153,12),AND(AH153="K5-LAW",AG153="นิติศาสตร์",OR(T153="M2",T153="K4"),W153&gt;=2,V153&lt;P153),EDATE(V153,12*2),AND(AH153="K5-LAW",AG153="นิติศาสตร์",T153="S1",W153&gt;=1,V153&lt;P153),EDATE(V153,12),AND(AH153="K5-LAW",AG153="นิติศาสตร์",OR(T153="S2",T153="K5")),V153,AND(AH153="K5-LAW",AG153="นิติศาสตร์",OR(K153="M2",K153="K4"),Q153&gt;=2),EDATE(P153,12*2),AND(AH153="K5-LAW",AG153="นิติศาสตร์",K153="S1",Q153&gt;=1),EDATE(P153,12),AND(AH153="K5-LAW",AG153="นิติศาสตร์",OR(K153="S2",K153="K5")),P153,AND(AH153="K5-POLICY",AG153&lt;&gt;"นิติศาสตร์",K153="S2",T153="",Z153=""),P153,AND(AH153="K5-POLICY",AG153&lt;&gt;"นิติศาสตร์",K153="S1",T153="",Z153=""),EDATE(P153,12),AND(AH153="K5-POLICY",AG153&lt;&gt;"นิติศาสตร์",OR(K153="M2",K153="K4"),T153="",Z153=""),EDATE(P153,12*2),AND(AH153="K5-POLICY",AG153&lt;&gt;"นิติศาสตร์",OR(Z153="M2",Z153="K4"),AC153&gt;=2,OR(AB153&lt;V153,AB153&lt;P153)),EDATE(AB153,12*2),AND(AH153="K5-POLICY",AG153&lt;&gt;"นิติศาสตร์",Z153="S1",AC153&gt;=1,OR(AB153&lt;V153,AB153&lt;P153)),EDATE(AB153,12),AND(AH153="K5-POLICY",AG153&lt;&gt;"นิติศาสตร์",OR(T153="M2",T153="K4"),W153&gt;=2,V153&lt;P153),EDATE(V153,12*2),AND(AH153="K5-POLICY",AG153&lt;&gt;"นิติศาสตร์",T153="S1",W153&gt;=1,V153&lt;P153),EDATE(V153,12),AND(AH153="K5-POLICY",AG153&lt;&gt;"นิติศาสตร์",OR(T153="S2",T153="K5")),V153,AND(AH153="K5-POLICY",AG153&lt;&gt;"นิติศาสตร์",OR(K153="M2",K153="K4"),Q153&gt;=2),EDATE(P153,12*2),AND(AH153="K5-POLICY",AG153&lt;&gt;"นิติศาสตร์",K153="S1",Q153&gt;=1),EDATE(P153,12),AND(AH153="K5-POLICY",AG153&lt;&gt;"นิติศาสตร์",OR(K153="S2",K153="K5")),P153,TRUE,"Check Data")</f>
        <v/>
      </c>
      <c r="AJ153" s="75" t="str">
        <f t="shared" si="45"/>
        <v>Check Data</v>
      </c>
      <c r="AK153" s="76" t="str">
        <f t="shared" si="46"/>
        <v>Check Data</v>
      </c>
      <c r="AL153" s="50" t="str">
        <f t="shared" si="47"/>
        <v>Check Data</v>
      </c>
      <c r="AM153" s="49" t="str">
        <f>IF(B153="","",IF(K153="S1","S1",INDEX(#REF!,#REF!)))</f>
        <v/>
      </c>
      <c r="AN153" s="49" t="str">
        <f>K153</f>
        <v>M2</v>
      </c>
      <c r="AO153" s="50" t="b">
        <f>K153=AM153</f>
        <v>0</v>
      </c>
      <c r="AP153" s="50"/>
    </row>
    <row r="154" spans="1:42" ht="21.75">
      <c r="A154" s="49">
        <v>152</v>
      </c>
      <c r="B154" s="50"/>
      <c r="C154" s="50"/>
      <c r="D154" s="50" t="s">
        <v>144</v>
      </c>
      <c r="E154" s="49" t="s">
        <v>377</v>
      </c>
      <c r="F154" s="49" t="str">
        <f t="shared" si="32"/>
        <v>01/10/1993</v>
      </c>
      <c r="G154" s="50">
        <f t="shared" si="33"/>
        <v>31</v>
      </c>
      <c r="H154" s="50">
        <f t="shared" si="34"/>
        <v>8</v>
      </c>
      <c r="I154" s="50">
        <f t="shared" si="35"/>
        <v>19</v>
      </c>
      <c r="J154" s="57"/>
      <c r="K154" s="49" t="s">
        <v>136</v>
      </c>
      <c r="L154" s="64"/>
      <c r="M154" s="49" t="s">
        <v>427</v>
      </c>
      <c r="N154" s="49">
        <v>2568</v>
      </c>
      <c r="O154" s="65" t="s">
        <v>383</v>
      </c>
      <c r="P154" s="49" t="str">
        <f t="shared" si="36"/>
        <v>17/12/2021</v>
      </c>
      <c r="Q154" s="68">
        <f t="shared" si="37"/>
        <v>3</v>
      </c>
      <c r="R154" s="68">
        <f t="shared" si="38"/>
        <v>6</v>
      </c>
      <c r="S154" s="68">
        <f t="shared" si="39"/>
        <v>3</v>
      </c>
      <c r="T154" s="65"/>
      <c r="U154" s="65"/>
      <c r="V154" s="49" t="str">
        <f t="shared" si="40"/>
        <v/>
      </c>
      <c r="W154" s="68">
        <f>IF(V154="",0,DATEDIF(V154,P154,"Y"))</f>
        <v>0</v>
      </c>
      <c r="X154" s="68">
        <f>IF(V154="",0,DATEDIF(V154,P154,"YM"))</f>
        <v>0</v>
      </c>
      <c r="Y154" s="68">
        <f>IF(V154="",0,DATEDIF(V154,P154,"MD"))</f>
        <v>0</v>
      </c>
      <c r="Z154" s="49"/>
      <c r="AA154" s="65"/>
      <c r="AB154" s="50" t="str">
        <f t="shared" si="41"/>
        <v/>
      </c>
      <c r="AC154" s="68">
        <f t="shared" si="42"/>
        <v>0</v>
      </c>
      <c r="AD154" s="68">
        <f t="shared" si="43"/>
        <v>0</v>
      </c>
      <c r="AE154" s="68">
        <f t="shared" si="44"/>
        <v>0</v>
      </c>
      <c r="AF154" s="50"/>
      <c r="AG154" s="50" t="s">
        <v>138</v>
      </c>
      <c r="AH154" s="49" t="str">
        <f>IF(AG154="นิติศาสตร์","K5-LAW","K5-POLICY")</f>
        <v>K5-LAW</v>
      </c>
      <c r="AI154" s="72" t="str">
        <f>_xlfn.IFS(B154="","",AND(AH154="K5-LAW",AG154="นิติศาสตร์",K154="S2",T154="",Z154=""),P154,AND(AH154="K5-LAW",AG154="นิติศาสตร์",K154="S1",T154="",Z154=""),EDATE(P154,12),AND(AH154="K5-LAW",AG154="นิติศาสตร์",OR(K154="M2",K154="K4"),T154="",Z154=""),EDATE(P154,12*2),AND(AH154="K5-LAW",AG154="นิติศาสตร์",OR(Z154="M2",Z154="K4"),AC154&gt;=2,OR(AB154&lt;V154,AB154&lt;P154)),EDATE(AB154,12*2),AND(AH154="K5-LAW",AG154="นิติศาสตร์",Z154="S1",AC154&gt;=1,OR(AB154&lt;V154,AB154&lt;P154)),EDATE(AB154,12),AND(AH154="K5-LAW",AG154="นิติศาสตร์",OR(T154="M2",T154="K4"),W154&gt;=2,V154&lt;P154),EDATE(V154,12*2),AND(AH154="K5-LAW",AG154="นิติศาสตร์",T154="S1",W154&gt;=1,V154&lt;P154),EDATE(V154,12),AND(AH154="K5-LAW",AG154="นิติศาสตร์",OR(T154="S2",T154="K5")),V154,AND(AH154="K5-LAW",AG154="นิติศาสตร์",OR(K154="M2",K154="K4"),Q154&gt;=2),EDATE(P154,12*2),AND(AH154="K5-LAW",AG154="นิติศาสตร์",K154="S1",Q154&gt;=1),EDATE(P154,12),AND(AH154="K5-LAW",AG154="นิติศาสตร์",OR(K154="S2",K154="K5")),P154,AND(AH154="K5-POLICY",AG154&lt;&gt;"นิติศาสตร์",K154="S2",T154="",Z154=""),P154,AND(AH154="K5-POLICY",AG154&lt;&gt;"นิติศาสตร์",K154="S1",T154="",Z154=""),EDATE(P154,12),AND(AH154="K5-POLICY",AG154&lt;&gt;"นิติศาสตร์",OR(K154="M2",K154="K4"),T154="",Z154=""),EDATE(P154,12*2),AND(AH154="K5-POLICY",AG154&lt;&gt;"นิติศาสตร์",OR(Z154="M2",Z154="K4"),AC154&gt;=2,OR(AB154&lt;V154,AB154&lt;P154)),EDATE(AB154,12*2),AND(AH154="K5-POLICY",AG154&lt;&gt;"นิติศาสตร์",Z154="S1",AC154&gt;=1,OR(AB154&lt;V154,AB154&lt;P154)),EDATE(AB154,12),AND(AH154="K5-POLICY",AG154&lt;&gt;"นิติศาสตร์",OR(T154="M2",T154="K4"),W154&gt;=2,V154&lt;P154),EDATE(V154,12*2),AND(AH154="K5-POLICY",AG154&lt;&gt;"นิติศาสตร์",T154="S1",W154&gt;=1,V154&lt;P154),EDATE(V154,12),AND(AH154="K5-POLICY",AG154&lt;&gt;"นิติศาสตร์",OR(T154="S2",T154="K5")),V154,AND(AH154="K5-POLICY",AG154&lt;&gt;"นิติศาสตร์",OR(K154="M2",K154="K4"),Q154&gt;=2),EDATE(P154,12*2),AND(AH154="K5-POLICY",AG154&lt;&gt;"นิติศาสตร์",K154="S1",Q154&gt;=1),EDATE(P154,12),AND(AH154="K5-POLICY",AG154&lt;&gt;"นิติศาสตร์",OR(K154="S2",K154="K5")),P154,TRUE,"Check Data")</f>
        <v/>
      </c>
      <c r="AJ154" s="75" t="str">
        <f t="shared" si="45"/>
        <v>Check Data</v>
      </c>
      <c r="AK154" s="76" t="str">
        <f t="shared" si="46"/>
        <v>Check Data</v>
      </c>
      <c r="AL154" s="50" t="str">
        <f t="shared" si="47"/>
        <v>Check Data</v>
      </c>
      <c r="AM154" s="49" t="str">
        <f>IF(B154="","",IF(K154="S1","S1",INDEX(#REF!,#REF!)))</f>
        <v/>
      </c>
      <c r="AN154" s="49" t="str">
        <f>K154</f>
        <v>M2</v>
      </c>
      <c r="AO154" s="50" t="b">
        <f>K154=AM154</f>
        <v>0</v>
      </c>
      <c r="AP154" s="50"/>
    </row>
    <row r="155" spans="1:42" ht="21.75">
      <c r="A155" s="49">
        <v>153</v>
      </c>
      <c r="B155" s="50"/>
      <c r="C155" s="50"/>
      <c r="D155" s="50" t="s">
        <v>139</v>
      </c>
      <c r="E155" s="49" t="s">
        <v>187</v>
      </c>
      <c r="F155" s="49" t="str">
        <f t="shared" si="32"/>
        <v>01/08/1990</v>
      </c>
      <c r="G155" s="50">
        <f t="shared" si="33"/>
        <v>34</v>
      </c>
      <c r="H155" s="50">
        <f t="shared" si="34"/>
        <v>10</v>
      </c>
      <c r="I155" s="50">
        <f t="shared" si="35"/>
        <v>19</v>
      </c>
      <c r="J155" s="56"/>
      <c r="K155" s="49" t="s">
        <v>136</v>
      </c>
      <c r="L155" s="64"/>
      <c r="M155" s="49" t="s">
        <v>425</v>
      </c>
      <c r="N155" s="49">
        <v>2569</v>
      </c>
      <c r="O155" s="65" t="s">
        <v>214</v>
      </c>
      <c r="P155" s="49" t="str">
        <f t="shared" si="36"/>
        <v>06/01/2022</v>
      </c>
      <c r="Q155" s="68">
        <f t="shared" si="37"/>
        <v>3</v>
      </c>
      <c r="R155" s="68">
        <f t="shared" si="38"/>
        <v>5</v>
      </c>
      <c r="S155" s="68">
        <f t="shared" si="39"/>
        <v>14</v>
      </c>
      <c r="T155" s="65"/>
      <c r="U155" s="65"/>
      <c r="V155" s="49" t="str">
        <f t="shared" si="40"/>
        <v/>
      </c>
      <c r="W155" s="68">
        <f>IF(V155="",0,DATEDIF(V155,P155,"Y"))</f>
        <v>0</v>
      </c>
      <c r="X155" s="68">
        <f>IF(V155="",0,DATEDIF(V155,P155,"YM"))</f>
        <v>0</v>
      </c>
      <c r="Y155" s="68">
        <f>IF(V155="",0,DATEDIF(V155,P155,"MD"))</f>
        <v>0</v>
      </c>
      <c r="Z155" s="49"/>
      <c r="AA155" s="65"/>
      <c r="AB155" s="50" t="str">
        <f t="shared" si="41"/>
        <v/>
      </c>
      <c r="AC155" s="68">
        <f t="shared" si="42"/>
        <v>0</v>
      </c>
      <c r="AD155" s="68">
        <f t="shared" si="43"/>
        <v>0</v>
      </c>
      <c r="AE155" s="68">
        <f t="shared" si="44"/>
        <v>0</v>
      </c>
      <c r="AF155" s="50"/>
      <c r="AG155" s="50" t="s">
        <v>167</v>
      </c>
      <c r="AH155" s="49" t="str">
        <f>IF(AG155="นิติศาสตร์","K5-LAW","K5-POLICY")</f>
        <v>K5-POLICY</v>
      </c>
      <c r="AI155" s="72" t="str">
        <f>_xlfn.IFS(B155="","",AND(AH155="K5-LAW",AG155="นิติศาสตร์",K155="S2",T155="",Z155=""),P155,AND(AH155="K5-LAW",AG155="นิติศาสตร์",K155="S1",T155="",Z155=""),EDATE(P155,12),AND(AH155="K5-LAW",AG155="นิติศาสตร์",OR(K155="M2",K155="K4"),T155="",Z155=""),EDATE(P155,12*2),AND(AH155="K5-LAW",AG155="นิติศาสตร์",OR(Z155="M2",Z155="K4"),AC155&gt;=2,OR(AB155&lt;V155,AB155&lt;P155)),EDATE(AB155,12*2),AND(AH155="K5-LAW",AG155="นิติศาสตร์",Z155="S1",AC155&gt;=1,OR(AB155&lt;V155,AB155&lt;P155)),EDATE(AB155,12),AND(AH155="K5-LAW",AG155="นิติศาสตร์",OR(T155="M2",T155="K4"),W155&gt;=2,V155&lt;P155),EDATE(V155,12*2),AND(AH155="K5-LAW",AG155="นิติศาสตร์",T155="S1",W155&gt;=1,V155&lt;P155),EDATE(V155,12),AND(AH155="K5-LAW",AG155="นิติศาสตร์",OR(T155="S2",T155="K5")),V155,AND(AH155="K5-LAW",AG155="นิติศาสตร์",OR(K155="M2",K155="K4"),Q155&gt;=2),EDATE(P155,12*2),AND(AH155="K5-LAW",AG155="นิติศาสตร์",K155="S1",Q155&gt;=1),EDATE(P155,12),AND(AH155="K5-LAW",AG155="นิติศาสตร์",OR(K155="S2",K155="K5")),P155,AND(AH155="K5-POLICY",AG155&lt;&gt;"นิติศาสตร์",K155="S2",T155="",Z155=""),P155,AND(AH155="K5-POLICY",AG155&lt;&gt;"นิติศาสตร์",K155="S1",T155="",Z155=""),EDATE(P155,12),AND(AH155="K5-POLICY",AG155&lt;&gt;"นิติศาสตร์",OR(K155="M2",K155="K4"),T155="",Z155=""),EDATE(P155,12*2),AND(AH155="K5-POLICY",AG155&lt;&gt;"นิติศาสตร์",OR(Z155="M2",Z155="K4"),AC155&gt;=2,OR(AB155&lt;V155,AB155&lt;P155)),EDATE(AB155,12*2),AND(AH155="K5-POLICY",AG155&lt;&gt;"นิติศาสตร์",Z155="S1",AC155&gt;=1,OR(AB155&lt;V155,AB155&lt;P155)),EDATE(AB155,12),AND(AH155="K5-POLICY",AG155&lt;&gt;"นิติศาสตร์",OR(T155="M2",T155="K4"),W155&gt;=2,V155&lt;P155),EDATE(V155,12*2),AND(AH155="K5-POLICY",AG155&lt;&gt;"นิติศาสตร์",T155="S1",W155&gt;=1,V155&lt;P155),EDATE(V155,12),AND(AH155="K5-POLICY",AG155&lt;&gt;"นิติศาสตร์",OR(T155="S2",T155="K5")),V155,AND(AH155="K5-POLICY",AG155&lt;&gt;"นิติศาสตร์",OR(K155="M2",K155="K4"),Q155&gt;=2),EDATE(P155,12*2),AND(AH155="K5-POLICY",AG155&lt;&gt;"นิติศาสตร์",K155="S1",Q155&gt;=1),EDATE(P155,12),AND(AH155="K5-POLICY",AG155&lt;&gt;"นิติศาสตร์",OR(K155="S2",K155="K5")),P155,TRUE,"Check Data")</f>
        <v/>
      </c>
      <c r="AJ155" s="75" t="str">
        <f t="shared" si="45"/>
        <v>Check Data</v>
      </c>
      <c r="AK155" s="76" t="str">
        <f t="shared" si="46"/>
        <v>Check Data</v>
      </c>
      <c r="AL155" s="50" t="str">
        <f t="shared" si="47"/>
        <v>Check Data</v>
      </c>
      <c r="AM155" s="49" t="str">
        <f>IF(B155="","",IF(K155="S1","S1",INDEX(#REF!,#REF!)))</f>
        <v/>
      </c>
      <c r="AN155" s="49" t="str">
        <f>K155</f>
        <v>M2</v>
      </c>
      <c r="AO155" s="50" t="b">
        <f>K155=AM155</f>
        <v>0</v>
      </c>
      <c r="AP155" s="50"/>
    </row>
    <row r="156" spans="1:42" ht="21.75">
      <c r="A156" s="49">
        <v>154</v>
      </c>
      <c r="B156" s="50"/>
      <c r="C156" s="50"/>
      <c r="D156" s="50" t="s">
        <v>139</v>
      </c>
      <c r="E156" s="49" t="s">
        <v>208</v>
      </c>
      <c r="F156" s="49" t="str">
        <f t="shared" si="32"/>
        <v>01/02/1990</v>
      </c>
      <c r="G156" s="50">
        <f t="shared" si="33"/>
        <v>35</v>
      </c>
      <c r="H156" s="50">
        <f t="shared" si="34"/>
        <v>4</v>
      </c>
      <c r="I156" s="50">
        <f t="shared" si="35"/>
        <v>19</v>
      </c>
      <c r="J156" s="56"/>
      <c r="K156" s="49" t="s">
        <v>136</v>
      </c>
      <c r="L156" s="64"/>
      <c r="M156" s="49" t="s">
        <v>427</v>
      </c>
      <c r="N156" s="49">
        <v>2571</v>
      </c>
      <c r="O156" s="65" t="s">
        <v>214</v>
      </c>
      <c r="P156" s="49" t="str">
        <f t="shared" si="36"/>
        <v>06/01/2022</v>
      </c>
      <c r="Q156" s="68">
        <f t="shared" si="37"/>
        <v>3</v>
      </c>
      <c r="R156" s="68">
        <f t="shared" si="38"/>
        <v>5</v>
      </c>
      <c r="S156" s="68">
        <f t="shared" si="39"/>
        <v>14</v>
      </c>
      <c r="T156" s="65"/>
      <c r="U156" s="65"/>
      <c r="V156" s="49" t="str">
        <f t="shared" si="40"/>
        <v/>
      </c>
      <c r="W156" s="68">
        <f>IF(V156="",0,DATEDIF(V156,P156,"Y"))</f>
        <v>0</v>
      </c>
      <c r="X156" s="68">
        <f>IF(V156="",0,DATEDIF(V156,P156,"YM"))</f>
        <v>0</v>
      </c>
      <c r="Y156" s="68">
        <f>IF(V156="",0,DATEDIF(V156,P156,"MD"))</f>
        <v>0</v>
      </c>
      <c r="Z156" s="49"/>
      <c r="AA156" s="65"/>
      <c r="AB156" s="50" t="str">
        <f t="shared" si="41"/>
        <v/>
      </c>
      <c r="AC156" s="68">
        <f t="shared" si="42"/>
        <v>0</v>
      </c>
      <c r="AD156" s="68">
        <f t="shared" si="43"/>
        <v>0</v>
      </c>
      <c r="AE156" s="68">
        <f t="shared" si="44"/>
        <v>0</v>
      </c>
      <c r="AF156" s="50"/>
      <c r="AG156" s="50" t="s">
        <v>169</v>
      </c>
      <c r="AH156" s="49" t="str">
        <f>IF(AG156="นิติศาสตร์","K5-LAW","K5-POLICY")</f>
        <v>K5-POLICY</v>
      </c>
      <c r="AI156" s="72" t="str">
        <f>_xlfn.IFS(B156="","",AND(AH156="K5-LAW",AG156="นิติศาสตร์",K156="S2",T156="",Z156=""),P156,AND(AH156="K5-LAW",AG156="นิติศาสตร์",K156="S1",T156="",Z156=""),EDATE(P156,12),AND(AH156="K5-LAW",AG156="นิติศาสตร์",OR(K156="M2",K156="K4"),T156="",Z156=""),EDATE(P156,12*2),AND(AH156="K5-LAW",AG156="นิติศาสตร์",OR(Z156="M2",Z156="K4"),AC156&gt;=2,OR(AB156&lt;V156,AB156&lt;P156)),EDATE(AB156,12*2),AND(AH156="K5-LAW",AG156="นิติศาสตร์",Z156="S1",AC156&gt;=1,OR(AB156&lt;V156,AB156&lt;P156)),EDATE(AB156,12),AND(AH156="K5-LAW",AG156="นิติศาสตร์",OR(T156="M2",T156="K4"),W156&gt;=2,V156&lt;P156),EDATE(V156,12*2),AND(AH156="K5-LAW",AG156="นิติศาสตร์",T156="S1",W156&gt;=1,V156&lt;P156),EDATE(V156,12),AND(AH156="K5-LAW",AG156="นิติศาสตร์",OR(T156="S2",T156="K5")),V156,AND(AH156="K5-LAW",AG156="นิติศาสตร์",OR(K156="M2",K156="K4"),Q156&gt;=2),EDATE(P156,12*2),AND(AH156="K5-LAW",AG156="นิติศาสตร์",K156="S1",Q156&gt;=1),EDATE(P156,12),AND(AH156="K5-LAW",AG156="นิติศาสตร์",OR(K156="S2",K156="K5")),P156,AND(AH156="K5-POLICY",AG156&lt;&gt;"นิติศาสตร์",K156="S2",T156="",Z156=""),P156,AND(AH156="K5-POLICY",AG156&lt;&gt;"นิติศาสตร์",K156="S1",T156="",Z156=""),EDATE(P156,12),AND(AH156="K5-POLICY",AG156&lt;&gt;"นิติศาสตร์",OR(K156="M2",K156="K4"),T156="",Z156=""),EDATE(P156,12*2),AND(AH156="K5-POLICY",AG156&lt;&gt;"นิติศาสตร์",OR(Z156="M2",Z156="K4"),AC156&gt;=2,OR(AB156&lt;V156,AB156&lt;P156)),EDATE(AB156,12*2),AND(AH156="K5-POLICY",AG156&lt;&gt;"นิติศาสตร์",Z156="S1",AC156&gt;=1,OR(AB156&lt;V156,AB156&lt;P156)),EDATE(AB156,12),AND(AH156="K5-POLICY",AG156&lt;&gt;"นิติศาสตร์",OR(T156="M2",T156="K4"),W156&gt;=2,V156&lt;P156),EDATE(V156,12*2),AND(AH156="K5-POLICY",AG156&lt;&gt;"นิติศาสตร์",T156="S1",W156&gt;=1,V156&lt;P156),EDATE(V156,12),AND(AH156="K5-POLICY",AG156&lt;&gt;"นิติศาสตร์",OR(T156="S2",T156="K5")),V156,AND(AH156="K5-POLICY",AG156&lt;&gt;"นิติศาสตร์",OR(K156="M2",K156="K4"),Q156&gt;=2),EDATE(P156,12*2),AND(AH156="K5-POLICY",AG156&lt;&gt;"นิติศาสตร์",K156="S1",Q156&gt;=1),EDATE(P156,12),AND(AH156="K5-POLICY",AG156&lt;&gt;"นิติศาสตร์",OR(K156="S2",K156="K5")),P156,TRUE,"Check Data")</f>
        <v/>
      </c>
      <c r="AJ156" s="75" t="str">
        <f t="shared" si="45"/>
        <v>Check Data</v>
      </c>
      <c r="AK156" s="76" t="str">
        <f t="shared" si="46"/>
        <v>Check Data</v>
      </c>
      <c r="AL156" s="50" t="str">
        <f t="shared" si="47"/>
        <v>Check Data</v>
      </c>
      <c r="AM156" s="49" t="str">
        <f>IF(B156="","",IF(K156="S1","S1",INDEX(#REF!,#REF!)))</f>
        <v/>
      </c>
      <c r="AN156" s="49" t="str">
        <f>K156</f>
        <v>M2</v>
      </c>
      <c r="AO156" s="50" t="b">
        <f>K156=AM156</f>
        <v>0</v>
      </c>
      <c r="AP156" s="50"/>
    </row>
    <row r="157" spans="1:42" ht="21.75">
      <c r="A157" s="49">
        <v>155</v>
      </c>
      <c r="B157" s="50"/>
      <c r="C157" s="50"/>
      <c r="D157" s="50" t="s">
        <v>139</v>
      </c>
      <c r="E157" s="49" t="s">
        <v>230</v>
      </c>
      <c r="F157" s="49" t="str">
        <f t="shared" si="32"/>
        <v>03/11/1997</v>
      </c>
      <c r="G157" s="50">
        <f t="shared" si="33"/>
        <v>27</v>
      </c>
      <c r="H157" s="50">
        <f t="shared" si="34"/>
        <v>7</v>
      </c>
      <c r="I157" s="50">
        <f t="shared" si="35"/>
        <v>17</v>
      </c>
      <c r="J157" s="56"/>
      <c r="K157" s="49" t="s">
        <v>136</v>
      </c>
      <c r="L157" s="64"/>
      <c r="M157" s="49" t="s">
        <v>427</v>
      </c>
      <c r="N157" s="49">
        <v>2576</v>
      </c>
      <c r="O157" s="65" t="s">
        <v>214</v>
      </c>
      <c r="P157" s="49" t="str">
        <f t="shared" si="36"/>
        <v>06/01/2022</v>
      </c>
      <c r="Q157" s="68">
        <f t="shared" si="37"/>
        <v>3</v>
      </c>
      <c r="R157" s="68">
        <f t="shared" si="38"/>
        <v>5</v>
      </c>
      <c r="S157" s="68">
        <f t="shared" si="39"/>
        <v>14</v>
      </c>
      <c r="T157" s="65"/>
      <c r="U157" s="65"/>
      <c r="V157" s="49" t="str">
        <f t="shared" si="40"/>
        <v/>
      </c>
      <c r="W157" s="68">
        <f>IF(V157="",0,DATEDIF(V157,P157,"Y"))</f>
        <v>0</v>
      </c>
      <c r="X157" s="68">
        <f>IF(V157="",0,DATEDIF(V157,P157,"YM"))</f>
        <v>0</v>
      </c>
      <c r="Y157" s="68">
        <f>IF(V157="",0,DATEDIF(V157,P157,"MD"))</f>
        <v>0</v>
      </c>
      <c r="Z157" s="49"/>
      <c r="AA157" s="65"/>
      <c r="AB157" s="50" t="str">
        <f t="shared" si="41"/>
        <v/>
      </c>
      <c r="AC157" s="68">
        <f t="shared" si="42"/>
        <v>0</v>
      </c>
      <c r="AD157" s="68">
        <f t="shared" si="43"/>
        <v>0</v>
      </c>
      <c r="AE157" s="68">
        <f t="shared" si="44"/>
        <v>0</v>
      </c>
      <c r="AF157" s="50"/>
      <c r="AG157" s="50" t="s">
        <v>172</v>
      </c>
      <c r="AH157" s="49" t="str">
        <f>IF(AG157="นิติศาสตร์","K5-LAW","K5-POLICY")</f>
        <v>K5-POLICY</v>
      </c>
      <c r="AI157" s="72" t="str">
        <f>_xlfn.IFS(B157="","",AND(AH157="K5-LAW",AG157="นิติศาสตร์",K157="S2",T157="",Z157=""),P157,AND(AH157="K5-LAW",AG157="นิติศาสตร์",K157="S1",T157="",Z157=""),EDATE(P157,12),AND(AH157="K5-LAW",AG157="นิติศาสตร์",OR(K157="M2",K157="K4"),T157="",Z157=""),EDATE(P157,12*2),AND(AH157="K5-LAW",AG157="นิติศาสตร์",OR(Z157="M2",Z157="K4"),AC157&gt;=2,OR(AB157&lt;V157,AB157&lt;P157)),EDATE(AB157,12*2),AND(AH157="K5-LAW",AG157="นิติศาสตร์",Z157="S1",AC157&gt;=1,OR(AB157&lt;V157,AB157&lt;P157)),EDATE(AB157,12),AND(AH157="K5-LAW",AG157="นิติศาสตร์",OR(T157="M2",T157="K4"),W157&gt;=2,V157&lt;P157),EDATE(V157,12*2),AND(AH157="K5-LAW",AG157="นิติศาสตร์",T157="S1",W157&gt;=1,V157&lt;P157),EDATE(V157,12),AND(AH157="K5-LAW",AG157="นิติศาสตร์",OR(T157="S2",T157="K5")),V157,AND(AH157="K5-LAW",AG157="นิติศาสตร์",OR(K157="M2",K157="K4"),Q157&gt;=2),EDATE(P157,12*2),AND(AH157="K5-LAW",AG157="นิติศาสตร์",K157="S1",Q157&gt;=1),EDATE(P157,12),AND(AH157="K5-LAW",AG157="นิติศาสตร์",OR(K157="S2",K157="K5")),P157,AND(AH157="K5-POLICY",AG157&lt;&gt;"นิติศาสตร์",K157="S2",T157="",Z157=""),P157,AND(AH157="K5-POLICY",AG157&lt;&gt;"นิติศาสตร์",K157="S1",T157="",Z157=""),EDATE(P157,12),AND(AH157="K5-POLICY",AG157&lt;&gt;"นิติศาสตร์",OR(K157="M2",K157="K4"),T157="",Z157=""),EDATE(P157,12*2),AND(AH157="K5-POLICY",AG157&lt;&gt;"นิติศาสตร์",OR(Z157="M2",Z157="K4"),AC157&gt;=2,OR(AB157&lt;V157,AB157&lt;P157)),EDATE(AB157,12*2),AND(AH157="K5-POLICY",AG157&lt;&gt;"นิติศาสตร์",Z157="S1",AC157&gt;=1,OR(AB157&lt;V157,AB157&lt;P157)),EDATE(AB157,12),AND(AH157="K5-POLICY",AG157&lt;&gt;"นิติศาสตร์",OR(T157="M2",T157="K4"),W157&gt;=2,V157&lt;P157),EDATE(V157,12*2),AND(AH157="K5-POLICY",AG157&lt;&gt;"นิติศาสตร์",T157="S1",W157&gt;=1,V157&lt;P157),EDATE(V157,12),AND(AH157="K5-POLICY",AG157&lt;&gt;"นิติศาสตร์",OR(T157="S2",T157="K5")),V157,AND(AH157="K5-POLICY",AG157&lt;&gt;"นิติศาสตร์",OR(K157="M2",K157="K4"),Q157&gt;=2),EDATE(P157,12*2),AND(AH157="K5-POLICY",AG157&lt;&gt;"นิติศาสตร์",K157="S1",Q157&gt;=1),EDATE(P157,12),AND(AH157="K5-POLICY",AG157&lt;&gt;"นิติศาสตร์",OR(K157="S2",K157="K5")),P157,TRUE,"Check Data")</f>
        <v/>
      </c>
      <c r="AJ157" s="75" t="str">
        <f t="shared" si="45"/>
        <v>Check Data</v>
      </c>
      <c r="AK157" s="76" t="str">
        <f t="shared" si="46"/>
        <v>Check Data</v>
      </c>
      <c r="AL157" s="50" t="str">
        <f t="shared" si="47"/>
        <v>Check Data</v>
      </c>
      <c r="AM157" s="49" t="str">
        <f>IF(B157="","",IF(K157="S1","S1",INDEX(#REF!,#REF!)))</f>
        <v/>
      </c>
      <c r="AN157" s="49" t="str">
        <f>K157</f>
        <v>M2</v>
      </c>
      <c r="AO157" s="50" t="b">
        <f>K157=AM157</f>
        <v>0</v>
      </c>
      <c r="AP157" s="50"/>
    </row>
    <row r="158" spans="1:42" ht="21.75">
      <c r="A158" s="49">
        <v>156</v>
      </c>
      <c r="B158" s="50"/>
      <c r="C158" s="50"/>
      <c r="D158" s="50" t="s">
        <v>143</v>
      </c>
      <c r="E158" s="49" t="s">
        <v>356</v>
      </c>
      <c r="F158" s="49" t="str">
        <f t="shared" si="32"/>
        <v>15/05/1992</v>
      </c>
      <c r="G158" s="50">
        <f t="shared" si="33"/>
        <v>33</v>
      </c>
      <c r="H158" s="50">
        <f t="shared" si="34"/>
        <v>1</v>
      </c>
      <c r="I158" s="50">
        <f t="shared" si="35"/>
        <v>5</v>
      </c>
      <c r="J158" s="59"/>
      <c r="K158" s="49" t="s">
        <v>136</v>
      </c>
      <c r="L158" s="64"/>
      <c r="M158" s="49" t="s">
        <v>427</v>
      </c>
      <c r="N158" s="49">
        <v>2575</v>
      </c>
      <c r="O158" s="65" t="s">
        <v>214</v>
      </c>
      <c r="P158" s="49" t="str">
        <f t="shared" si="36"/>
        <v>06/01/2022</v>
      </c>
      <c r="Q158" s="68">
        <f t="shared" si="37"/>
        <v>3</v>
      </c>
      <c r="R158" s="68">
        <f t="shared" si="38"/>
        <v>5</v>
      </c>
      <c r="S158" s="68">
        <f t="shared" si="39"/>
        <v>14</v>
      </c>
      <c r="T158" s="65"/>
      <c r="U158" s="65"/>
      <c r="V158" s="49" t="str">
        <f t="shared" si="40"/>
        <v/>
      </c>
      <c r="W158" s="68">
        <f>IF(V158="",0,DATEDIF(V158,P158,"Y"))</f>
        <v>0</v>
      </c>
      <c r="X158" s="68">
        <f>IF(V158="",0,DATEDIF(V158,P158,"YM"))</f>
        <v>0</v>
      </c>
      <c r="Y158" s="68">
        <f>IF(V158="",0,DATEDIF(V158,P158,"MD"))</f>
        <v>0</v>
      </c>
      <c r="Z158" s="49"/>
      <c r="AA158" s="65"/>
      <c r="AB158" s="50" t="str">
        <f t="shared" si="41"/>
        <v/>
      </c>
      <c r="AC158" s="68">
        <f t="shared" si="42"/>
        <v>0</v>
      </c>
      <c r="AD158" s="68">
        <f t="shared" si="43"/>
        <v>0</v>
      </c>
      <c r="AE158" s="68">
        <f t="shared" si="44"/>
        <v>0</v>
      </c>
      <c r="AF158" s="50"/>
      <c r="AG158" s="50" t="s">
        <v>486</v>
      </c>
      <c r="AH158" s="49" t="str">
        <f>IF(AG158="นิติศาสตร์","K5-LAW","K5-POLICY")</f>
        <v>K5-POLICY</v>
      </c>
      <c r="AI158" s="72" t="str">
        <f>_xlfn.IFS(B158="","",AND(AH158="K5-LAW",AG158="นิติศาสตร์",K158="S2",T158="",Z158=""),P158,AND(AH158="K5-LAW",AG158="นิติศาสตร์",K158="S1",T158="",Z158=""),EDATE(P158,12),AND(AH158="K5-LAW",AG158="นิติศาสตร์",OR(K158="M2",K158="K4"),T158="",Z158=""),EDATE(P158,12*2),AND(AH158="K5-LAW",AG158="นิติศาสตร์",OR(Z158="M2",Z158="K4"),AC158&gt;=2,OR(AB158&lt;V158,AB158&lt;P158)),EDATE(AB158,12*2),AND(AH158="K5-LAW",AG158="นิติศาสตร์",Z158="S1",AC158&gt;=1,OR(AB158&lt;V158,AB158&lt;P158)),EDATE(AB158,12),AND(AH158="K5-LAW",AG158="นิติศาสตร์",OR(T158="M2",T158="K4"),W158&gt;=2,V158&lt;P158),EDATE(V158,12*2),AND(AH158="K5-LAW",AG158="นิติศาสตร์",T158="S1",W158&gt;=1,V158&lt;P158),EDATE(V158,12),AND(AH158="K5-LAW",AG158="นิติศาสตร์",OR(T158="S2",T158="K5")),V158,AND(AH158="K5-LAW",AG158="นิติศาสตร์",OR(K158="M2",K158="K4"),Q158&gt;=2),EDATE(P158,12*2),AND(AH158="K5-LAW",AG158="นิติศาสตร์",K158="S1",Q158&gt;=1),EDATE(P158,12),AND(AH158="K5-LAW",AG158="นิติศาสตร์",OR(K158="S2",K158="K5")),P158,AND(AH158="K5-POLICY",AG158&lt;&gt;"นิติศาสตร์",K158="S2",T158="",Z158=""),P158,AND(AH158="K5-POLICY",AG158&lt;&gt;"นิติศาสตร์",K158="S1",T158="",Z158=""),EDATE(P158,12),AND(AH158="K5-POLICY",AG158&lt;&gt;"นิติศาสตร์",OR(K158="M2",K158="K4"),T158="",Z158=""),EDATE(P158,12*2),AND(AH158="K5-POLICY",AG158&lt;&gt;"นิติศาสตร์",OR(Z158="M2",Z158="K4"),AC158&gt;=2,OR(AB158&lt;V158,AB158&lt;P158)),EDATE(AB158,12*2),AND(AH158="K5-POLICY",AG158&lt;&gt;"นิติศาสตร์",Z158="S1",AC158&gt;=1,OR(AB158&lt;V158,AB158&lt;P158)),EDATE(AB158,12),AND(AH158="K5-POLICY",AG158&lt;&gt;"นิติศาสตร์",OR(T158="M2",T158="K4"),W158&gt;=2,V158&lt;P158),EDATE(V158,12*2),AND(AH158="K5-POLICY",AG158&lt;&gt;"นิติศาสตร์",T158="S1",W158&gt;=1,V158&lt;P158),EDATE(V158,12),AND(AH158="K5-POLICY",AG158&lt;&gt;"นิติศาสตร์",OR(T158="S2",T158="K5")),V158,AND(AH158="K5-POLICY",AG158&lt;&gt;"นิติศาสตร์",OR(K158="M2",K158="K4"),Q158&gt;=2),EDATE(P158,12*2),AND(AH158="K5-POLICY",AG158&lt;&gt;"นิติศาสตร์",K158="S1",Q158&gt;=1),EDATE(P158,12),AND(AH158="K5-POLICY",AG158&lt;&gt;"นิติศาสตร์",OR(K158="S2",K158="K5")),P158,TRUE,"Check Data")</f>
        <v/>
      </c>
      <c r="AJ158" s="75" t="str">
        <f t="shared" si="45"/>
        <v>Check Data</v>
      </c>
      <c r="AK158" s="76" t="str">
        <f t="shared" si="46"/>
        <v>Check Data</v>
      </c>
      <c r="AL158" s="50" t="str">
        <f t="shared" si="47"/>
        <v>Check Data</v>
      </c>
      <c r="AM158" s="49" t="str">
        <f>IF(B158="","",IF(K158="S1","S1",INDEX(#REF!,#REF!)))</f>
        <v/>
      </c>
      <c r="AN158" s="49" t="str">
        <f>K158</f>
        <v>M2</v>
      </c>
      <c r="AO158" s="50" t="b">
        <f>K158=AM158</f>
        <v>0</v>
      </c>
      <c r="AP158" s="50"/>
    </row>
    <row r="159" spans="1:42" ht="21.75">
      <c r="A159" s="49">
        <v>157</v>
      </c>
      <c r="B159" s="50"/>
      <c r="C159" s="50"/>
      <c r="D159" s="50" t="s">
        <v>143</v>
      </c>
      <c r="E159" s="49" t="s">
        <v>338</v>
      </c>
      <c r="F159" s="49" t="str">
        <f t="shared" si="32"/>
        <v>14/07/2000</v>
      </c>
      <c r="G159" s="50">
        <f t="shared" si="33"/>
        <v>24</v>
      </c>
      <c r="H159" s="50">
        <f t="shared" si="34"/>
        <v>11</v>
      </c>
      <c r="I159" s="50">
        <f t="shared" si="35"/>
        <v>6</v>
      </c>
      <c r="J159" s="59"/>
      <c r="K159" s="49" t="s">
        <v>136</v>
      </c>
      <c r="L159" s="64"/>
      <c r="M159" s="49" t="s">
        <v>427</v>
      </c>
      <c r="N159" s="49">
        <v>2574</v>
      </c>
      <c r="O159" s="65" t="s">
        <v>339</v>
      </c>
      <c r="P159" s="49" t="str">
        <f t="shared" si="36"/>
        <v>25/03/2022</v>
      </c>
      <c r="Q159" s="68">
        <f t="shared" si="37"/>
        <v>3</v>
      </c>
      <c r="R159" s="68">
        <f t="shared" si="38"/>
        <v>2</v>
      </c>
      <c r="S159" s="68">
        <f t="shared" si="39"/>
        <v>26</v>
      </c>
      <c r="T159" s="65"/>
      <c r="U159" s="65"/>
      <c r="V159" s="49" t="str">
        <f t="shared" si="40"/>
        <v/>
      </c>
      <c r="W159" s="68">
        <f>IF(V159="",0,DATEDIF(V159,P159,"Y"))</f>
        <v>0</v>
      </c>
      <c r="X159" s="68">
        <f>IF(V159="",0,DATEDIF(V159,P159,"YM"))</f>
        <v>0</v>
      </c>
      <c r="Y159" s="68">
        <f>IF(V159="",0,DATEDIF(V159,P159,"MD"))</f>
        <v>0</v>
      </c>
      <c r="Z159" s="49"/>
      <c r="AA159" s="65"/>
      <c r="AB159" s="50" t="str">
        <f t="shared" si="41"/>
        <v/>
      </c>
      <c r="AC159" s="68">
        <f t="shared" si="42"/>
        <v>0</v>
      </c>
      <c r="AD159" s="68">
        <f t="shared" si="43"/>
        <v>0</v>
      </c>
      <c r="AE159" s="68">
        <f t="shared" si="44"/>
        <v>0</v>
      </c>
      <c r="AF159" s="50"/>
      <c r="AG159" s="50" t="s">
        <v>138</v>
      </c>
      <c r="AH159" s="49" t="str">
        <f>IF(AG159="นิติศาสตร์","K5-LAW","K5-POLICY")</f>
        <v>K5-LAW</v>
      </c>
      <c r="AI159" s="72" t="str">
        <f>_xlfn.IFS(B159="","",AND(AH159="K5-LAW",AG159="นิติศาสตร์",K159="S2",T159="",Z159=""),P159,AND(AH159="K5-LAW",AG159="นิติศาสตร์",K159="S1",T159="",Z159=""),EDATE(P159,12),AND(AH159="K5-LAW",AG159="นิติศาสตร์",OR(K159="M2",K159="K4"),T159="",Z159=""),EDATE(P159,12*2),AND(AH159="K5-LAW",AG159="นิติศาสตร์",OR(Z159="M2",Z159="K4"),AC159&gt;=2,OR(AB159&lt;V159,AB159&lt;P159)),EDATE(AB159,12*2),AND(AH159="K5-LAW",AG159="นิติศาสตร์",Z159="S1",AC159&gt;=1,OR(AB159&lt;V159,AB159&lt;P159)),EDATE(AB159,12),AND(AH159="K5-LAW",AG159="นิติศาสตร์",OR(T159="M2",T159="K4"),W159&gt;=2,V159&lt;P159),EDATE(V159,12*2),AND(AH159="K5-LAW",AG159="นิติศาสตร์",T159="S1",W159&gt;=1,V159&lt;P159),EDATE(V159,12),AND(AH159="K5-LAW",AG159="นิติศาสตร์",OR(T159="S2",T159="K5")),V159,AND(AH159="K5-LAW",AG159="นิติศาสตร์",OR(K159="M2",K159="K4"),Q159&gt;=2),EDATE(P159,12*2),AND(AH159="K5-LAW",AG159="นิติศาสตร์",K159="S1",Q159&gt;=1),EDATE(P159,12),AND(AH159="K5-LAW",AG159="นิติศาสตร์",OR(K159="S2",K159="K5")),P159,AND(AH159="K5-POLICY",AG159&lt;&gt;"นิติศาสตร์",K159="S2",T159="",Z159=""),P159,AND(AH159="K5-POLICY",AG159&lt;&gt;"นิติศาสตร์",K159="S1",T159="",Z159=""),EDATE(P159,12),AND(AH159="K5-POLICY",AG159&lt;&gt;"นิติศาสตร์",OR(K159="M2",K159="K4"),T159="",Z159=""),EDATE(P159,12*2),AND(AH159="K5-POLICY",AG159&lt;&gt;"นิติศาสตร์",OR(Z159="M2",Z159="K4"),AC159&gt;=2,OR(AB159&lt;V159,AB159&lt;P159)),EDATE(AB159,12*2),AND(AH159="K5-POLICY",AG159&lt;&gt;"นิติศาสตร์",Z159="S1",AC159&gt;=1,OR(AB159&lt;V159,AB159&lt;P159)),EDATE(AB159,12),AND(AH159="K5-POLICY",AG159&lt;&gt;"นิติศาสตร์",OR(T159="M2",T159="K4"),W159&gt;=2,V159&lt;P159),EDATE(V159,12*2),AND(AH159="K5-POLICY",AG159&lt;&gt;"นิติศาสตร์",T159="S1",W159&gt;=1,V159&lt;P159),EDATE(V159,12),AND(AH159="K5-POLICY",AG159&lt;&gt;"นิติศาสตร์",OR(T159="S2",T159="K5")),V159,AND(AH159="K5-POLICY",AG159&lt;&gt;"นิติศาสตร์",OR(K159="M2",K159="K4"),Q159&gt;=2),EDATE(P159,12*2),AND(AH159="K5-POLICY",AG159&lt;&gt;"นิติศาสตร์",K159="S1",Q159&gt;=1),EDATE(P159,12),AND(AH159="K5-POLICY",AG159&lt;&gt;"นิติศาสตร์",OR(K159="S2",K159="K5")),P159,TRUE,"Check Data")</f>
        <v/>
      </c>
      <c r="AJ159" s="75" t="str">
        <f t="shared" si="45"/>
        <v>Check Data</v>
      </c>
      <c r="AK159" s="76" t="str">
        <f t="shared" si="46"/>
        <v>Check Data</v>
      </c>
      <c r="AL159" s="50" t="str">
        <f t="shared" si="47"/>
        <v>Check Data</v>
      </c>
      <c r="AM159" s="49" t="str">
        <f>IF(B159="","",IF(K159="S1","S1",INDEX(#REF!,#REF!)))</f>
        <v/>
      </c>
      <c r="AN159" s="49" t="str">
        <f>K159</f>
        <v>M2</v>
      </c>
      <c r="AO159" s="50" t="b">
        <f>K159=AM159</f>
        <v>0</v>
      </c>
      <c r="AP159" s="50"/>
    </row>
    <row r="160" spans="1:42" ht="21.75">
      <c r="A160" s="49">
        <v>158</v>
      </c>
      <c r="B160" s="50"/>
      <c r="C160" s="50"/>
      <c r="D160" s="50" t="s">
        <v>34</v>
      </c>
      <c r="E160" s="49" t="s">
        <v>202</v>
      </c>
      <c r="F160" s="49" t="str">
        <f t="shared" si="32"/>
        <v>22/10/2001</v>
      </c>
      <c r="G160" s="50">
        <f t="shared" si="33"/>
        <v>23</v>
      </c>
      <c r="H160" s="50">
        <f t="shared" si="34"/>
        <v>7</v>
      </c>
      <c r="I160" s="50">
        <f t="shared" si="35"/>
        <v>29</v>
      </c>
      <c r="J160" s="58"/>
      <c r="K160" s="49" t="s">
        <v>136</v>
      </c>
      <c r="L160" s="64"/>
      <c r="M160" s="49" t="s">
        <v>427</v>
      </c>
      <c r="N160" s="49">
        <v>2582</v>
      </c>
      <c r="O160" s="65" t="s">
        <v>203</v>
      </c>
      <c r="P160" s="49" t="str">
        <f t="shared" si="36"/>
        <v>10/08/2022</v>
      </c>
      <c r="Q160" s="68">
        <f t="shared" si="37"/>
        <v>2</v>
      </c>
      <c r="R160" s="68">
        <f t="shared" si="38"/>
        <v>10</v>
      </c>
      <c r="S160" s="68">
        <f t="shared" si="39"/>
        <v>10</v>
      </c>
      <c r="T160" s="65"/>
      <c r="U160" s="65"/>
      <c r="V160" s="49" t="str">
        <f t="shared" si="40"/>
        <v/>
      </c>
      <c r="W160" s="68">
        <f>IF(V160="",0,DATEDIF(V160,P160,"Y"))</f>
        <v>0</v>
      </c>
      <c r="X160" s="68">
        <f>IF(V160="",0,DATEDIF(V160,P160,"YM"))</f>
        <v>0</v>
      </c>
      <c r="Y160" s="68">
        <f>IF(V160="",0,DATEDIF(V160,P160,"MD"))</f>
        <v>0</v>
      </c>
      <c r="Z160" s="49"/>
      <c r="AA160" s="65"/>
      <c r="AB160" s="50" t="str">
        <f t="shared" si="41"/>
        <v/>
      </c>
      <c r="AC160" s="68">
        <f t="shared" si="42"/>
        <v>0</v>
      </c>
      <c r="AD160" s="68">
        <f t="shared" si="43"/>
        <v>0</v>
      </c>
      <c r="AE160" s="68">
        <f t="shared" si="44"/>
        <v>0</v>
      </c>
      <c r="AF160" s="50"/>
      <c r="AG160" s="50" t="s">
        <v>138</v>
      </c>
      <c r="AH160" s="49" t="str">
        <f>IF(AG160="นิติศาสตร์","K5-LAW","K5-POLICY")</f>
        <v>K5-LAW</v>
      </c>
      <c r="AI160" s="72" t="str">
        <f>_xlfn.IFS(B160="","",AND(AH160="K5-LAW",AG160="นิติศาสตร์",K160="S2",T160="",Z160=""),P160,AND(AH160="K5-LAW",AG160="นิติศาสตร์",K160="S1",T160="",Z160=""),EDATE(P160,12),AND(AH160="K5-LAW",AG160="นิติศาสตร์",OR(K160="M2",K160="K4"),T160="",Z160=""),EDATE(P160,12*2),AND(AH160="K5-LAW",AG160="นิติศาสตร์",OR(Z160="M2",Z160="K4"),AC160&gt;=2,OR(AB160&lt;V160,AB160&lt;P160)),EDATE(AB160,12*2),AND(AH160="K5-LAW",AG160="นิติศาสตร์",Z160="S1",AC160&gt;=1,OR(AB160&lt;V160,AB160&lt;P160)),EDATE(AB160,12),AND(AH160="K5-LAW",AG160="นิติศาสตร์",OR(T160="M2",T160="K4"),W160&gt;=2,V160&lt;P160),EDATE(V160,12*2),AND(AH160="K5-LAW",AG160="นิติศาสตร์",T160="S1",W160&gt;=1,V160&lt;P160),EDATE(V160,12),AND(AH160="K5-LAW",AG160="นิติศาสตร์",OR(T160="S2",T160="K5")),V160,AND(AH160="K5-LAW",AG160="นิติศาสตร์",OR(K160="M2",K160="K4"),Q160&gt;=2),EDATE(P160,12*2),AND(AH160="K5-LAW",AG160="นิติศาสตร์",K160="S1",Q160&gt;=1),EDATE(P160,12),AND(AH160="K5-LAW",AG160="นิติศาสตร์",OR(K160="S2",K160="K5")),P160,AND(AH160="K5-POLICY",AG160&lt;&gt;"นิติศาสตร์",K160="S2",T160="",Z160=""),P160,AND(AH160="K5-POLICY",AG160&lt;&gt;"นิติศาสตร์",K160="S1",T160="",Z160=""),EDATE(P160,12),AND(AH160="K5-POLICY",AG160&lt;&gt;"นิติศาสตร์",OR(K160="M2",K160="K4"),T160="",Z160=""),EDATE(P160,12*2),AND(AH160="K5-POLICY",AG160&lt;&gt;"นิติศาสตร์",OR(Z160="M2",Z160="K4"),AC160&gt;=2,OR(AB160&lt;V160,AB160&lt;P160)),EDATE(AB160,12*2),AND(AH160="K5-POLICY",AG160&lt;&gt;"นิติศาสตร์",Z160="S1",AC160&gt;=1,OR(AB160&lt;V160,AB160&lt;P160)),EDATE(AB160,12),AND(AH160="K5-POLICY",AG160&lt;&gt;"นิติศาสตร์",OR(T160="M2",T160="K4"),W160&gt;=2,V160&lt;P160),EDATE(V160,12*2),AND(AH160="K5-POLICY",AG160&lt;&gt;"นิติศาสตร์",T160="S1",W160&gt;=1,V160&lt;P160),EDATE(V160,12),AND(AH160="K5-POLICY",AG160&lt;&gt;"นิติศาสตร์",OR(T160="S2",T160="K5")),V160,AND(AH160="K5-POLICY",AG160&lt;&gt;"นิติศาสตร์",OR(K160="M2",K160="K4"),Q160&gt;=2),EDATE(P160,12*2),AND(AH160="K5-POLICY",AG160&lt;&gt;"นิติศาสตร์",K160="S1",Q160&gt;=1),EDATE(P160,12),AND(AH160="K5-POLICY",AG160&lt;&gt;"นิติศาสตร์",OR(K160="S2",K160="K5")),P160,TRUE,"Check Data")</f>
        <v/>
      </c>
      <c r="AJ160" s="75" t="str">
        <f t="shared" si="45"/>
        <v>Check Data</v>
      </c>
      <c r="AK160" s="76" t="str">
        <f t="shared" si="46"/>
        <v>Check Data</v>
      </c>
      <c r="AL160" s="50" t="str">
        <f t="shared" si="47"/>
        <v>Check Data</v>
      </c>
      <c r="AM160" s="49" t="str">
        <f>IF(B160="","",IF(K160="S1","S1",INDEX(#REF!,#REF!)))</f>
        <v/>
      </c>
      <c r="AN160" s="49" t="str">
        <f>K160</f>
        <v>M2</v>
      </c>
      <c r="AO160" s="50" t="b">
        <f>K160=AM160</f>
        <v>0</v>
      </c>
      <c r="AP160" s="50"/>
    </row>
    <row r="161" spans="1:42" ht="21.75">
      <c r="A161" s="49">
        <v>159</v>
      </c>
      <c r="B161" s="50"/>
      <c r="C161" s="50"/>
      <c r="D161" s="50" t="s">
        <v>139</v>
      </c>
      <c r="E161" s="49" t="s">
        <v>223</v>
      </c>
      <c r="F161" s="49" t="str">
        <f t="shared" si="32"/>
        <v>15/04/1991</v>
      </c>
      <c r="G161" s="50">
        <f t="shared" si="33"/>
        <v>34</v>
      </c>
      <c r="H161" s="50">
        <f t="shared" si="34"/>
        <v>2</v>
      </c>
      <c r="I161" s="50">
        <f t="shared" si="35"/>
        <v>5</v>
      </c>
      <c r="J161" s="58"/>
      <c r="K161" s="49" t="s">
        <v>136</v>
      </c>
      <c r="L161" s="64"/>
      <c r="M161" s="49" t="s">
        <v>425</v>
      </c>
      <c r="N161" s="49">
        <v>2570</v>
      </c>
      <c r="O161" s="65" t="s">
        <v>220</v>
      </c>
      <c r="P161" s="49" t="str">
        <f t="shared" si="36"/>
        <v>30/09/2022</v>
      </c>
      <c r="Q161" s="68">
        <f t="shared" si="37"/>
        <v>2</v>
      </c>
      <c r="R161" s="68">
        <f t="shared" si="38"/>
        <v>8</v>
      </c>
      <c r="S161" s="68">
        <f t="shared" si="39"/>
        <v>21</v>
      </c>
      <c r="T161" s="65"/>
      <c r="U161" s="65"/>
      <c r="V161" s="49" t="str">
        <f t="shared" si="40"/>
        <v/>
      </c>
      <c r="W161" s="68">
        <f>IF(V161="",0,DATEDIF(V161,P161,"Y"))</f>
        <v>0</v>
      </c>
      <c r="X161" s="68">
        <f>IF(V161="",0,DATEDIF(V161,P161,"YM"))</f>
        <v>0</v>
      </c>
      <c r="Y161" s="68">
        <f>IF(V161="",0,DATEDIF(V161,P161,"MD"))</f>
        <v>0</v>
      </c>
      <c r="Z161" s="49"/>
      <c r="AA161" s="65"/>
      <c r="AB161" s="50" t="str">
        <f t="shared" si="41"/>
        <v/>
      </c>
      <c r="AC161" s="68">
        <f t="shared" si="42"/>
        <v>0</v>
      </c>
      <c r="AD161" s="68">
        <f t="shared" si="43"/>
        <v>0</v>
      </c>
      <c r="AE161" s="68">
        <f t="shared" si="44"/>
        <v>0</v>
      </c>
      <c r="AF161" s="50"/>
      <c r="AG161" s="50" t="s">
        <v>165</v>
      </c>
      <c r="AH161" s="49" t="str">
        <f>IF(AG161="นิติศาสตร์","K5-LAW","K5-POLICY")</f>
        <v>K5-POLICY</v>
      </c>
      <c r="AI161" s="72" t="str">
        <f>_xlfn.IFS(B161="","",AND(AH161="K5-LAW",AG161="นิติศาสตร์",K161="S2",T161="",Z161=""),P161,AND(AH161="K5-LAW",AG161="นิติศาสตร์",K161="S1",T161="",Z161=""),EDATE(P161,12),AND(AH161="K5-LAW",AG161="นิติศาสตร์",OR(K161="M2",K161="K4"),T161="",Z161=""),EDATE(P161,12*2),AND(AH161="K5-LAW",AG161="นิติศาสตร์",OR(Z161="M2",Z161="K4"),AC161&gt;=2,OR(AB161&lt;V161,AB161&lt;P161)),EDATE(AB161,12*2),AND(AH161="K5-LAW",AG161="นิติศาสตร์",Z161="S1",AC161&gt;=1,OR(AB161&lt;V161,AB161&lt;P161)),EDATE(AB161,12),AND(AH161="K5-LAW",AG161="นิติศาสตร์",OR(T161="M2",T161="K4"),W161&gt;=2,V161&lt;P161),EDATE(V161,12*2),AND(AH161="K5-LAW",AG161="นิติศาสตร์",T161="S1",W161&gt;=1,V161&lt;P161),EDATE(V161,12),AND(AH161="K5-LAW",AG161="นิติศาสตร์",OR(T161="S2",T161="K5")),V161,AND(AH161="K5-LAW",AG161="นิติศาสตร์",OR(K161="M2",K161="K4"),Q161&gt;=2),EDATE(P161,12*2),AND(AH161="K5-LAW",AG161="นิติศาสตร์",K161="S1",Q161&gt;=1),EDATE(P161,12),AND(AH161="K5-LAW",AG161="นิติศาสตร์",OR(K161="S2",K161="K5")),P161,AND(AH161="K5-POLICY",AG161&lt;&gt;"นิติศาสตร์",K161="S2",T161="",Z161=""),P161,AND(AH161="K5-POLICY",AG161&lt;&gt;"นิติศาสตร์",K161="S1",T161="",Z161=""),EDATE(P161,12),AND(AH161="K5-POLICY",AG161&lt;&gt;"นิติศาสตร์",OR(K161="M2",K161="K4"),T161="",Z161=""),EDATE(P161,12*2),AND(AH161="K5-POLICY",AG161&lt;&gt;"นิติศาสตร์",OR(Z161="M2",Z161="K4"),AC161&gt;=2,OR(AB161&lt;V161,AB161&lt;P161)),EDATE(AB161,12*2),AND(AH161="K5-POLICY",AG161&lt;&gt;"นิติศาสตร์",Z161="S1",AC161&gt;=1,OR(AB161&lt;V161,AB161&lt;P161)),EDATE(AB161,12),AND(AH161="K5-POLICY",AG161&lt;&gt;"นิติศาสตร์",OR(T161="M2",T161="K4"),W161&gt;=2,V161&lt;P161),EDATE(V161,12*2),AND(AH161="K5-POLICY",AG161&lt;&gt;"นิติศาสตร์",T161="S1",W161&gt;=1,V161&lt;P161),EDATE(V161,12),AND(AH161="K5-POLICY",AG161&lt;&gt;"นิติศาสตร์",OR(T161="S2",T161="K5")),V161,AND(AH161="K5-POLICY",AG161&lt;&gt;"นิติศาสตร์",OR(K161="M2",K161="K4"),Q161&gt;=2),EDATE(P161,12*2),AND(AH161="K5-POLICY",AG161&lt;&gt;"นิติศาสตร์",K161="S1",Q161&gt;=1),EDATE(P161,12),AND(AH161="K5-POLICY",AG161&lt;&gt;"นิติศาสตร์",OR(K161="S2",K161="K5")),P161,TRUE,"Check Data")</f>
        <v/>
      </c>
      <c r="AJ161" s="75" t="str">
        <f t="shared" si="45"/>
        <v>Check Data</v>
      </c>
      <c r="AK161" s="76" t="str">
        <f t="shared" si="46"/>
        <v>Check Data</v>
      </c>
      <c r="AL161" s="50" t="str">
        <f t="shared" si="47"/>
        <v>Check Data</v>
      </c>
      <c r="AM161" s="49" t="str">
        <f>IF(B161="","",IF(K161="S1","S1",INDEX(#REF!,#REF!)))</f>
        <v/>
      </c>
      <c r="AN161" s="49" t="str">
        <f>K161</f>
        <v>M2</v>
      </c>
      <c r="AO161" s="50" t="b">
        <f>K161=AM161</f>
        <v>0</v>
      </c>
      <c r="AP161" s="50"/>
    </row>
    <row r="162" spans="1:42" ht="21.75">
      <c r="A162" s="49">
        <v>160</v>
      </c>
      <c r="B162" s="50"/>
      <c r="C162" s="50"/>
      <c r="D162" s="50" t="s">
        <v>139</v>
      </c>
      <c r="E162" s="49" t="s">
        <v>219</v>
      </c>
      <c r="F162" s="49" t="str">
        <f t="shared" si="32"/>
        <v>01/11/1994</v>
      </c>
      <c r="G162" s="50">
        <f t="shared" si="33"/>
        <v>30</v>
      </c>
      <c r="H162" s="50">
        <f t="shared" si="34"/>
        <v>7</v>
      </c>
      <c r="I162" s="50">
        <f t="shared" si="35"/>
        <v>19</v>
      </c>
      <c r="J162" s="56"/>
      <c r="K162" s="49" t="s">
        <v>136</v>
      </c>
      <c r="L162" s="64"/>
      <c r="M162" s="49" t="s">
        <v>427</v>
      </c>
      <c r="N162" s="49">
        <v>2571</v>
      </c>
      <c r="O162" s="65" t="s">
        <v>220</v>
      </c>
      <c r="P162" s="49" t="str">
        <f t="shared" si="36"/>
        <v>30/09/2022</v>
      </c>
      <c r="Q162" s="68">
        <f t="shared" si="37"/>
        <v>2</v>
      </c>
      <c r="R162" s="68">
        <f t="shared" si="38"/>
        <v>8</v>
      </c>
      <c r="S162" s="68">
        <f t="shared" si="39"/>
        <v>21</v>
      </c>
      <c r="T162" s="65"/>
      <c r="U162" s="65"/>
      <c r="V162" s="49" t="str">
        <f t="shared" si="40"/>
        <v/>
      </c>
      <c r="W162" s="68">
        <f>IF(V162="",0,DATEDIF(V162,P162,"Y"))</f>
        <v>0</v>
      </c>
      <c r="X162" s="68">
        <f>IF(V162="",0,DATEDIF(V162,P162,"YM"))</f>
        <v>0</v>
      </c>
      <c r="Y162" s="68">
        <f>IF(V162="",0,DATEDIF(V162,P162,"MD"))</f>
        <v>0</v>
      </c>
      <c r="Z162" s="49"/>
      <c r="AA162" s="65"/>
      <c r="AB162" s="50" t="str">
        <f t="shared" si="41"/>
        <v/>
      </c>
      <c r="AC162" s="68">
        <f t="shared" si="42"/>
        <v>0</v>
      </c>
      <c r="AD162" s="68">
        <f t="shared" si="43"/>
        <v>0</v>
      </c>
      <c r="AE162" s="68">
        <f t="shared" si="44"/>
        <v>0</v>
      </c>
      <c r="AF162" s="50"/>
      <c r="AG162" s="50" t="s">
        <v>165</v>
      </c>
      <c r="AH162" s="49" t="str">
        <f>IF(AG162="นิติศาสตร์","K5-LAW","K5-POLICY")</f>
        <v>K5-POLICY</v>
      </c>
      <c r="AI162" s="72" t="str">
        <f>_xlfn.IFS(B162="","",AND(AH162="K5-LAW",AG162="นิติศาสตร์",K162="S2",T162="",Z162=""),P162,AND(AH162="K5-LAW",AG162="นิติศาสตร์",K162="S1",T162="",Z162=""),EDATE(P162,12),AND(AH162="K5-LAW",AG162="นิติศาสตร์",OR(K162="M2",K162="K4"),T162="",Z162=""),EDATE(P162,12*2),AND(AH162="K5-LAW",AG162="นิติศาสตร์",OR(Z162="M2",Z162="K4"),AC162&gt;=2,OR(AB162&lt;V162,AB162&lt;P162)),EDATE(AB162,12*2),AND(AH162="K5-LAW",AG162="นิติศาสตร์",Z162="S1",AC162&gt;=1,OR(AB162&lt;V162,AB162&lt;P162)),EDATE(AB162,12),AND(AH162="K5-LAW",AG162="นิติศาสตร์",OR(T162="M2",T162="K4"),W162&gt;=2,V162&lt;P162),EDATE(V162,12*2),AND(AH162="K5-LAW",AG162="นิติศาสตร์",T162="S1",W162&gt;=1,V162&lt;P162),EDATE(V162,12),AND(AH162="K5-LAW",AG162="นิติศาสตร์",OR(T162="S2",T162="K5")),V162,AND(AH162="K5-LAW",AG162="นิติศาสตร์",OR(K162="M2",K162="K4"),Q162&gt;=2),EDATE(P162,12*2),AND(AH162="K5-LAW",AG162="นิติศาสตร์",K162="S1",Q162&gt;=1),EDATE(P162,12),AND(AH162="K5-LAW",AG162="นิติศาสตร์",OR(K162="S2",K162="K5")),P162,AND(AH162="K5-POLICY",AG162&lt;&gt;"นิติศาสตร์",K162="S2",T162="",Z162=""),P162,AND(AH162="K5-POLICY",AG162&lt;&gt;"นิติศาสตร์",K162="S1",T162="",Z162=""),EDATE(P162,12),AND(AH162="K5-POLICY",AG162&lt;&gt;"นิติศาสตร์",OR(K162="M2",K162="K4"),T162="",Z162=""),EDATE(P162,12*2),AND(AH162="K5-POLICY",AG162&lt;&gt;"นิติศาสตร์",OR(Z162="M2",Z162="K4"),AC162&gt;=2,OR(AB162&lt;V162,AB162&lt;P162)),EDATE(AB162,12*2),AND(AH162="K5-POLICY",AG162&lt;&gt;"นิติศาสตร์",Z162="S1",AC162&gt;=1,OR(AB162&lt;V162,AB162&lt;P162)),EDATE(AB162,12),AND(AH162="K5-POLICY",AG162&lt;&gt;"นิติศาสตร์",OR(T162="M2",T162="K4"),W162&gt;=2,V162&lt;P162),EDATE(V162,12*2),AND(AH162="K5-POLICY",AG162&lt;&gt;"นิติศาสตร์",T162="S1",W162&gt;=1,V162&lt;P162),EDATE(V162,12),AND(AH162="K5-POLICY",AG162&lt;&gt;"นิติศาสตร์",OR(T162="S2",T162="K5")),V162,AND(AH162="K5-POLICY",AG162&lt;&gt;"นิติศาสตร์",OR(K162="M2",K162="K4"),Q162&gt;=2),EDATE(P162,12*2),AND(AH162="K5-POLICY",AG162&lt;&gt;"นิติศาสตร์",K162="S1",Q162&gt;=1),EDATE(P162,12),AND(AH162="K5-POLICY",AG162&lt;&gt;"นิติศาสตร์",OR(K162="S2",K162="K5")),P162,TRUE,"Check Data")</f>
        <v/>
      </c>
      <c r="AJ162" s="75" t="str">
        <f t="shared" si="45"/>
        <v>Check Data</v>
      </c>
      <c r="AK162" s="76" t="str">
        <f t="shared" si="46"/>
        <v>Check Data</v>
      </c>
      <c r="AL162" s="50" t="str">
        <f t="shared" si="47"/>
        <v>Check Data</v>
      </c>
      <c r="AM162" s="49" t="str">
        <f>IF(B162="","",IF(K162="S1","S1",INDEX(#REF!,#REF!)))</f>
        <v/>
      </c>
      <c r="AN162" s="49" t="str">
        <f>K162</f>
        <v>M2</v>
      </c>
      <c r="AO162" s="50" t="b">
        <f>K162=AM162</f>
        <v>0</v>
      </c>
      <c r="AP162" s="50"/>
    </row>
    <row r="163" spans="1:42" ht="21.75">
      <c r="A163" s="49">
        <v>161</v>
      </c>
      <c r="B163" s="50"/>
      <c r="C163" s="50"/>
      <c r="D163" s="50" t="s">
        <v>143</v>
      </c>
      <c r="E163" s="49" t="s">
        <v>296</v>
      </c>
      <c r="F163" s="49" t="str">
        <f t="shared" si="32"/>
        <v>02/10/1995</v>
      </c>
      <c r="G163" s="50">
        <f t="shared" si="33"/>
        <v>29</v>
      </c>
      <c r="H163" s="50">
        <f t="shared" si="34"/>
        <v>8</v>
      </c>
      <c r="I163" s="50">
        <f t="shared" si="35"/>
        <v>18</v>
      </c>
      <c r="J163" s="59"/>
      <c r="K163" s="49" t="s">
        <v>136</v>
      </c>
      <c r="L163" s="64"/>
      <c r="M163" s="49" t="s">
        <v>427</v>
      </c>
      <c r="N163" s="49">
        <v>2570</v>
      </c>
      <c r="O163" s="65" t="s">
        <v>220</v>
      </c>
      <c r="P163" s="49" t="str">
        <f t="shared" si="36"/>
        <v>30/09/2022</v>
      </c>
      <c r="Q163" s="68">
        <f t="shared" si="37"/>
        <v>2</v>
      </c>
      <c r="R163" s="68">
        <f t="shared" si="38"/>
        <v>8</v>
      </c>
      <c r="S163" s="68">
        <f t="shared" si="39"/>
        <v>21</v>
      </c>
      <c r="T163" s="65"/>
      <c r="U163" s="65"/>
      <c r="V163" s="49" t="str">
        <f t="shared" si="40"/>
        <v/>
      </c>
      <c r="W163" s="68">
        <f>IF(V163="",0,DATEDIF(V163,P163,"Y"))</f>
        <v>0</v>
      </c>
      <c r="X163" s="68">
        <f>IF(V163="",0,DATEDIF(V163,P163,"YM"))</f>
        <v>0</v>
      </c>
      <c r="Y163" s="68">
        <f>IF(V163="",0,DATEDIF(V163,P163,"MD"))</f>
        <v>0</v>
      </c>
      <c r="Z163" s="49"/>
      <c r="AA163" s="65"/>
      <c r="AB163" s="50" t="str">
        <f t="shared" si="41"/>
        <v/>
      </c>
      <c r="AC163" s="68">
        <f t="shared" si="42"/>
        <v>0</v>
      </c>
      <c r="AD163" s="68">
        <f t="shared" si="43"/>
        <v>0</v>
      </c>
      <c r="AE163" s="68">
        <f t="shared" si="44"/>
        <v>0</v>
      </c>
      <c r="AF163" s="50"/>
      <c r="AG163" s="50" t="s">
        <v>513</v>
      </c>
      <c r="AH163" s="49" t="str">
        <f>IF(AG163="นิติศาสตร์","K5-LAW","K5-POLICY")</f>
        <v>K5-POLICY</v>
      </c>
      <c r="AI163" s="72" t="str">
        <f>_xlfn.IFS(B163="","",AND(AH163="K5-LAW",AG163="นิติศาสตร์",K163="S2",T163="",Z163=""),P163,AND(AH163="K5-LAW",AG163="นิติศาสตร์",K163="S1",T163="",Z163=""),EDATE(P163,12),AND(AH163="K5-LAW",AG163="นิติศาสตร์",OR(K163="M2",K163="K4"),T163="",Z163=""),EDATE(P163,12*2),AND(AH163="K5-LAW",AG163="นิติศาสตร์",OR(Z163="M2",Z163="K4"),AC163&gt;=2,OR(AB163&lt;V163,AB163&lt;P163)),EDATE(AB163,12*2),AND(AH163="K5-LAW",AG163="นิติศาสตร์",Z163="S1",AC163&gt;=1,OR(AB163&lt;V163,AB163&lt;P163)),EDATE(AB163,12),AND(AH163="K5-LAW",AG163="นิติศาสตร์",OR(T163="M2",T163="K4"),W163&gt;=2,V163&lt;P163),EDATE(V163,12*2),AND(AH163="K5-LAW",AG163="นิติศาสตร์",T163="S1",W163&gt;=1,V163&lt;P163),EDATE(V163,12),AND(AH163="K5-LAW",AG163="นิติศาสตร์",OR(T163="S2",T163="K5")),V163,AND(AH163="K5-LAW",AG163="นิติศาสตร์",OR(K163="M2",K163="K4"),Q163&gt;=2),EDATE(P163,12*2),AND(AH163="K5-LAW",AG163="นิติศาสตร์",K163="S1",Q163&gt;=1),EDATE(P163,12),AND(AH163="K5-LAW",AG163="นิติศาสตร์",OR(K163="S2",K163="K5")),P163,AND(AH163="K5-POLICY",AG163&lt;&gt;"นิติศาสตร์",K163="S2",T163="",Z163=""),P163,AND(AH163="K5-POLICY",AG163&lt;&gt;"นิติศาสตร์",K163="S1",T163="",Z163=""),EDATE(P163,12),AND(AH163="K5-POLICY",AG163&lt;&gt;"นิติศาสตร์",OR(K163="M2",K163="K4"),T163="",Z163=""),EDATE(P163,12*2),AND(AH163="K5-POLICY",AG163&lt;&gt;"นิติศาสตร์",OR(Z163="M2",Z163="K4"),AC163&gt;=2,OR(AB163&lt;V163,AB163&lt;P163)),EDATE(AB163,12*2),AND(AH163="K5-POLICY",AG163&lt;&gt;"นิติศาสตร์",Z163="S1",AC163&gt;=1,OR(AB163&lt;V163,AB163&lt;P163)),EDATE(AB163,12),AND(AH163="K5-POLICY",AG163&lt;&gt;"นิติศาสตร์",OR(T163="M2",T163="K4"),W163&gt;=2,V163&lt;P163),EDATE(V163,12*2),AND(AH163="K5-POLICY",AG163&lt;&gt;"นิติศาสตร์",T163="S1",W163&gt;=1,V163&lt;P163),EDATE(V163,12),AND(AH163="K5-POLICY",AG163&lt;&gt;"นิติศาสตร์",OR(T163="S2",T163="K5")),V163,AND(AH163="K5-POLICY",AG163&lt;&gt;"นิติศาสตร์",OR(K163="M2",K163="K4"),Q163&gt;=2),EDATE(P163,12*2),AND(AH163="K5-POLICY",AG163&lt;&gt;"นิติศาสตร์",K163="S1",Q163&gt;=1),EDATE(P163,12),AND(AH163="K5-POLICY",AG163&lt;&gt;"นิติศาสตร์",OR(K163="S2",K163="K5")),P163,TRUE,"Check Data")</f>
        <v/>
      </c>
      <c r="AJ163" s="75" t="str">
        <f t="shared" si="45"/>
        <v>Check Data</v>
      </c>
      <c r="AK163" s="76" t="str">
        <f t="shared" si="46"/>
        <v>Check Data</v>
      </c>
      <c r="AL163" s="50" t="str">
        <f t="shared" si="47"/>
        <v>Check Data</v>
      </c>
      <c r="AM163" s="49" t="str">
        <f>IF(B163="","",IF(K163="S1","S1",INDEX(#REF!,#REF!)))</f>
        <v/>
      </c>
      <c r="AN163" s="49" t="str">
        <f>K163</f>
        <v>M2</v>
      </c>
      <c r="AO163" s="50" t="b">
        <f>K163=AM163</f>
        <v>0</v>
      </c>
      <c r="AP163" s="50"/>
    </row>
    <row r="164" spans="1:42" ht="21.75">
      <c r="A164" s="49">
        <v>162</v>
      </c>
      <c r="B164" s="50"/>
      <c r="C164" s="50"/>
      <c r="D164" s="50" t="s">
        <v>143</v>
      </c>
      <c r="E164" s="49" t="s">
        <v>295</v>
      </c>
      <c r="F164" s="49" t="str">
        <f t="shared" si="32"/>
        <v>02/09/1996</v>
      </c>
      <c r="G164" s="50">
        <f t="shared" si="33"/>
        <v>28</v>
      </c>
      <c r="H164" s="50">
        <f t="shared" si="34"/>
        <v>9</v>
      </c>
      <c r="I164" s="50">
        <f t="shared" si="35"/>
        <v>18</v>
      </c>
      <c r="J164" s="59"/>
      <c r="K164" s="49" t="s">
        <v>136</v>
      </c>
      <c r="L164" s="64"/>
      <c r="M164" s="49" t="s">
        <v>426</v>
      </c>
      <c r="N164" s="49">
        <v>2576</v>
      </c>
      <c r="O164" s="65" t="s">
        <v>220</v>
      </c>
      <c r="P164" s="49" t="str">
        <f t="shared" si="36"/>
        <v>30/09/2022</v>
      </c>
      <c r="Q164" s="68">
        <f t="shared" si="37"/>
        <v>2</v>
      </c>
      <c r="R164" s="68">
        <f t="shared" si="38"/>
        <v>8</v>
      </c>
      <c r="S164" s="68">
        <f t="shared" si="39"/>
        <v>21</v>
      </c>
      <c r="T164" s="65"/>
      <c r="U164" s="65"/>
      <c r="V164" s="49" t="str">
        <f t="shared" si="40"/>
        <v/>
      </c>
      <c r="W164" s="68">
        <f>IF(V164="",0,DATEDIF(V164,P164,"Y"))</f>
        <v>0</v>
      </c>
      <c r="X164" s="68">
        <f>IF(V164="",0,DATEDIF(V164,P164,"YM"))</f>
        <v>0</v>
      </c>
      <c r="Y164" s="68">
        <f>IF(V164="",0,DATEDIF(V164,P164,"MD"))</f>
        <v>0</v>
      </c>
      <c r="Z164" s="49"/>
      <c r="AA164" s="65"/>
      <c r="AB164" s="50" t="str">
        <f t="shared" si="41"/>
        <v/>
      </c>
      <c r="AC164" s="68">
        <f t="shared" si="42"/>
        <v>0</v>
      </c>
      <c r="AD164" s="68">
        <f t="shared" si="43"/>
        <v>0</v>
      </c>
      <c r="AE164" s="68">
        <f t="shared" si="44"/>
        <v>0</v>
      </c>
      <c r="AF164" s="50"/>
      <c r="AG164" s="50" t="s">
        <v>318</v>
      </c>
      <c r="AH164" s="49" t="str">
        <f>IF(AG164="นิติศาสตร์","K5-LAW","K5-POLICY")</f>
        <v>K5-POLICY</v>
      </c>
      <c r="AI164" s="72" t="str">
        <f>_xlfn.IFS(B164="","",AND(AH164="K5-LAW",AG164="นิติศาสตร์",K164="S2",T164="",Z164=""),P164,AND(AH164="K5-LAW",AG164="นิติศาสตร์",K164="S1",T164="",Z164=""),EDATE(P164,12),AND(AH164="K5-LAW",AG164="นิติศาสตร์",OR(K164="M2",K164="K4"),T164="",Z164=""),EDATE(P164,12*2),AND(AH164="K5-LAW",AG164="นิติศาสตร์",OR(Z164="M2",Z164="K4"),AC164&gt;=2,OR(AB164&lt;V164,AB164&lt;P164)),EDATE(AB164,12*2),AND(AH164="K5-LAW",AG164="นิติศาสตร์",Z164="S1",AC164&gt;=1,OR(AB164&lt;V164,AB164&lt;P164)),EDATE(AB164,12),AND(AH164="K5-LAW",AG164="นิติศาสตร์",OR(T164="M2",T164="K4"),W164&gt;=2,V164&lt;P164),EDATE(V164,12*2),AND(AH164="K5-LAW",AG164="นิติศาสตร์",T164="S1",W164&gt;=1,V164&lt;P164),EDATE(V164,12),AND(AH164="K5-LAW",AG164="นิติศาสตร์",OR(T164="S2",T164="K5")),V164,AND(AH164="K5-LAW",AG164="นิติศาสตร์",OR(K164="M2",K164="K4"),Q164&gt;=2),EDATE(P164,12*2),AND(AH164="K5-LAW",AG164="นิติศาสตร์",K164="S1",Q164&gt;=1),EDATE(P164,12),AND(AH164="K5-LAW",AG164="นิติศาสตร์",OR(K164="S2",K164="K5")),P164,AND(AH164="K5-POLICY",AG164&lt;&gt;"นิติศาสตร์",K164="S2",T164="",Z164=""),P164,AND(AH164="K5-POLICY",AG164&lt;&gt;"นิติศาสตร์",K164="S1",T164="",Z164=""),EDATE(P164,12),AND(AH164="K5-POLICY",AG164&lt;&gt;"นิติศาสตร์",OR(K164="M2",K164="K4"),T164="",Z164=""),EDATE(P164,12*2),AND(AH164="K5-POLICY",AG164&lt;&gt;"นิติศาสตร์",OR(Z164="M2",Z164="K4"),AC164&gt;=2,OR(AB164&lt;V164,AB164&lt;P164)),EDATE(AB164,12*2),AND(AH164="K5-POLICY",AG164&lt;&gt;"นิติศาสตร์",Z164="S1",AC164&gt;=1,OR(AB164&lt;V164,AB164&lt;P164)),EDATE(AB164,12),AND(AH164="K5-POLICY",AG164&lt;&gt;"นิติศาสตร์",OR(T164="M2",T164="K4"),W164&gt;=2,V164&lt;P164),EDATE(V164,12*2),AND(AH164="K5-POLICY",AG164&lt;&gt;"นิติศาสตร์",T164="S1",W164&gt;=1,V164&lt;P164),EDATE(V164,12),AND(AH164="K5-POLICY",AG164&lt;&gt;"นิติศาสตร์",OR(T164="S2",T164="K5")),V164,AND(AH164="K5-POLICY",AG164&lt;&gt;"นิติศาสตร์",OR(K164="M2",K164="K4"),Q164&gt;=2),EDATE(P164,12*2),AND(AH164="K5-POLICY",AG164&lt;&gt;"นิติศาสตร์",K164="S1",Q164&gt;=1),EDATE(P164,12),AND(AH164="K5-POLICY",AG164&lt;&gt;"นิติศาสตร์",OR(K164="S2",K164="K5")),P164,TRUE,"Check Data")</f>
        <v/>
      </c>
      <c r="AJ164" s="75" t="str">
        <f t="shared" si="45"/>
        <v>Check Data</v>
      </c>
      <c r="AK164" s="76" t="str">
        <f t="shared" si="46"/>
        <v>Check Data</v>
      </c>
      <c r="AL164" s="50" t="str">
        <f t="shared" si="47"/>
        <v>Check Data</v>
      </c>
      <c r="AM164" s="49" t="str">
        <f>IF(B164="","",IF(K164="S1","S1",INDEX(#REF!,#REF!)))</f>
        <v/>
      </c>
      <c r="AN164" s="49" t="str">
        <f>K164</f>
        <v>M2</v>
      </c>
      <c r="AO164" s="50" t="b">
        <f>K164=AM164</f>
        <v>0</v>
      </c>
      <c r="AP164" s="50"/>
    </row>
    <row r="165" spans="1:42" ht="21.75">
      <c r="A165" s="49">
        <v>163</v>
      </c>
      <c r="B165" s="50"/>
      <c r="C165" s="50"/>
      <c r="D165" s="50" t="s">
        <v>143</v>
      </c>
      <c r="E165" s="49" t="s">
        <v>363</v>
      </c>
      <c r="F165" s="49" t="str">
        <f t="shared" si="32"/>
        <v>17/06/1988</v>
      </c>
      <c r="G165" s="50">
        <f t="shared" si="33"/>
        <v>37</v>
      </c>
      <c r="H165" s="50">
        <f t="shared" si="34"/>
        <v>0</v>
      </c>
      <c r="I165" s="50">
        <f t="shared" si="35"/>
        <v>3</v>
      </c>
      <c r="J165" s="59"/>
      <c r="K165" s="49" t="s">
        <v>136</v>
      </c>
      <c r="L165" s="64"/>
      <c r="M165" s="49" t="s">
        <v>427</v>
      </c>
      <c r="N165" s="49">
        <v>2571</v>
      </c>
      <c r="O165" s="65" t="s">
        <v>294</v>
      </c>
      <c r="P165" s="49" t="str">
        <f t="shared" si="36"/>
        <v>18/05/2023</v>
      </c>
      <c r="Q165" s="68">
        <f t="shared" si="37"/>
        <v>2</v>
      </c>
      <c r="R165" s="68">
        <f t="shared" si="38"/>
        <v>1</v>
      </c>
      <c r="S165" s="68">
        <f t="shared" si="39"/>
        <v>2</v>
      </c>
      <c r="T165" s="65"/>
      <c r="U165" s="65"/>
      <c r="V165" s="49" t="str">
        <f t="shared" si="40"/>
        <v/>
      </c>
      <c r="W165" s="68">
        <f>IF(V165="",0,DATEDIF(V165,P165,"Y"))</f>
        <v>0</v>
      </c>
      <c r="X165" s="68">
        <f>IF(V165="",0,DATEDIF(V165,P165,"YM"))</f>
        <v>0</v>
      </c>
      <c r="Y165" s="68">
        <f>IF(V165="",0,DATEDIF(V165,P165,"MD"))</f>
        <v>0</v>
      </c>
      <c r="Z165" s="49"/>
      <c r="AA165" s="65"/>
      <c r="AB165" s="50" t="str">
        <f t="shared" si="41"/>
        <v/>
      </c>
      <c r="AC165" s="68">
        <f t="shared" si="42"/>
        <v>0</v>
      </c>
      <c r="AD165" s="68">
        <f t="shared" si="43"/>
        <v>0</v>
      </c>
      <c r="AE165" s="68">
        <f t="shared" si="44"/>
        <v>0</v>
      </c>
      <c r="AF165" s="50"/>
      <c r="AG165" s="50" t="s">
        <v>167</v>
      </c>
      <c r="AH165" s="49" t="str">
        <f>IF(AG165="นิติศาสตร์","K5-LAW","K5-POLICY")</f>
        <v>K5-POLICY</v>
      </c>
      <c r="AI165" s="72" t="str">
        <f>_xlfn.IFS(B165="","",AND(AH165="K5-LAW",AG165="นิติศาสตร์",K165="S2",T165="",Z165=""),P165,AND(AH165="K5-LAW",AG165="นิติศาสตร์",K165="S1",T165="",Z165=""),EDATE(P165,12),AND(AH165="K5-LAW",AG165="นิติศาสตร์",OR(K165="M2",K165="K4"),T165="",Z165=""),EDATE(P165,12*2),AND(AH165="K5-LAW",AG165="นิติศาสตร์",OR(Z165="M2",Z165="K4"),AC165&gt;=2,OR(AB165&lt;V165,AB165&lt;P165)),EDATE(AB165,12*2),AND(AH165="K5-LAW",AG165="นิติศาสตร์",Z165="S1",AC165&gt;=1,OR(AB165&lt;V165,AB165&lt;P165)),EDATE(AB165,12),AND(AH165="K5-LAW",AG165="นิติศาสตร์",OR(T165="M2",T165="K4"),W165&gt;=2,V165&lt;P165),EDATE(V165,12*2),AND(AH165="K5-LAW",AG165="นิติศาสตร์",T165="S1",W165&gt;=1,V165&lt;P165),EDATE(V165,12),AND(AH165="K5-LAW",AG165="นิติศาสตร์",OR(T165="S2",T165="K5")),V165,AND(AH165="K5-LAW",AG165="นิติศาสตร์",OR(K165="M2",K165="K4"),Q165&gt;=2),EDATE(P165,12*2),AND(AH165="K5-LAW",AG165="นิติศาสตร์",K165="S1",Q165&gt;=1),EDATE(P165,12),AND(AH165="K5-LAW",AG165="นิติศาสตร์",OR(K165="S2",K165="K5")),P165,AND(AH165="K5-POLICY",AG165&lt;&gt;"นิติศาสตร์",K165="S2",T165="",Z165=""),P165,AND(AH165="K5-POLICY",AG165&lt;&gt;"นิติศาสตร์",K165="S1",T165="",Z165=""),EDATE(P165,12),AND(AH165="K5-POLICY",AG165&lt;&gt;"นิติศาสตร์",OR(K165="M2",K165="K4"),T165="",Z165=""),EDATE(P165,12*2),AND(AH165="K5-POLICY",AG165&lt;&gt;"นิติศาสตร์",OR(Z165="M2",Z165="K4"),AC165&gt;=2,OR(AB165&lt;V165,AB165&lt;P165)),EDATE(AB165,12*2),AND(AH165="K5-POLICY",AG165&lt;&gt;"นิติศาสตร์",Z165="S1",AC165&gt;=1,OR(AB165&lt;V165,AB165&lt;P165)),EDATE(AB165,12),AND(AH165="K5-POLICY",AG165&lt;&gt;"นิติศาสตร์",OR(T165="M2",T165="K4"),W165&gt;=2,V165&lt;P165),EDATE(V165,12*2),AND(AH165="K5-POLICY",AG165&lt;&gt;"นิติศาสตร์",T165="S1",W165&gt;=1,V165&lt;P165),EDATE(V165,12),AND(AH165="K5-POLICY",AG165&lt;&gt;"นิติศาสตร์",OR(T165="S2",T165="K5")),V165,AND(AH165="K5-POLICY",AG165&lt;&gt;"นิติศาสตร์",OR(K165="M2",K165="K4"),Q165&gt;=2),EDATE(P165,12*2),AND(AH165="K5-POLICY",AG165&lt;&gt;"นิติศาสตร์",K165="S1",Q165&gt;=1),EDATE(P165,12),AND(AH165="K5-POLICY",AG165&lt;&gt;"นิติศาสตร์",OR(K165="S2",K165="K5")),P165,TRUE,"Check Data")</f>
        <v/>
      </c>
      <c r="AJ165" s="75" t="str">
        <f t="shared" si="45"/>
        <v>Check Data</v>
      </c>
      <c r="AK165" s="76" t="str">
        <f t="shared" si="46"/>
        <v>Check Data</v>
      </c>
      <c r="AL165" s="50" t="str">
        <f t="shared" si="47"/>
        <v>Check Data</v>
      </c>
      <c r="AM165" s="49" t="str">
        <f>IF(B165="","",IF(K165="S1","S1",INDEX(#REF!,#REF!)))</f>
        <v/>
      </c>
      <c r="AN165" s="49" t="str">
        <f>K165</f>
        <v>M2</v>
      </c>
      <c r="AO165" s="50" t="b">
        <f>K165=AM165</f>
        <v>0</v>
      </c>
      <c r="AP165" s="50"/>
    </row>
    <row r="166" spans="1:42" ht="21.75">
      <c r="A166" s="49">
        <v>164</v>
      </c>
      <c r="B166" s="50"/>
      <c r="C166" s="50"/>
      <c r="D166" s="50" t="s">
        <v>143</v>
      </c>
      <c r="E166" s="49" t="s">
        <v>190</v>
      </c>
      <c r="F166" s="49" t="str">
        <f t="shared" si="32"/>
        <v>16/03/1987</v>
      </c>
      <c r="G166" s="50">
        <f t="shared" si="33"/>
        <v>38</v>
      </c>
      <c r="H166" s="50">
        <f t="shared" si="34"/>
        <v>3</v>
      </c>
      <c r="I166" s="50">
        <f t="shared" si="35"/>
        <v>4</v>
      </c>
      <c r="J166" s="59"/>
      <c r="K166" s="49" t="s">
        <v>136</v>
      </c>
      <c r="L166" s="64"/>
      <c r="M166" s="49" t="s">
        <v>427</v>
      </c>
      <c r="N166" s="49">
        <v>2569</v>
      </c>
      <c r="O166" s="65" t="s">
        <v>294</v>
      </c>
      <c r="P166" s="49" t="str">
        <f t="shared" si="36"/>
        <v>18/05/2023</v>
      </c>
      <c r="Q166" s="68">
        <f t="shared" si="37"/>
        <v>2</v>
      </c>
      <c r="R166" s="68">
        <f t="shared" si="38"/>
        <v>1</v>
      </c>
      <c r="S166" s="68">
        <f t="shared" si="39"/>
        <v>2</v>
      </c>
      <c r="T166" s="65"/>
      <c r="U166" s="65"/>
      <c r="V166" s="49" t="str">
        <f t="shared" si="40"/>
        <v/>
      </c>
      <c r="W166" s="68">
        <f>IF(V166="",0,DATEDIF(V166,P166,"Y"))</f>
        <v>0</v>
      </c>
      <c r="X166" s="68">
        <f>IF(V166="",0,DATEDIF(V166,P166,"YM"))</f>
        <v>0</v>
      </c>
      <c r="Y166" s="68">
        <f>IF(V166="",0,DATEDIF(V166,P166,"MD"))</f>
        <v>0</v>
      </c>
      <c r="Z166" s="49"/>
      <c r="AA166" s="65"/>
      <c r="AB166" s="50" t="str">
        <f t="shared" si="41"/>
        <v/>
      </c>
      <c r="AC166" s="68">
        <f t="shared" si="42"/>
        <v>0</v>
      </c>
      <c r="AD166" s="68">
        <f t="shared" si="43"/>
        <v>0</v>
      </c>
      <c r="AE166" s="68">
        <f t="shared" si="44"/>
        <v>0</v>
      </c>
      <c r="AF166" s="50"/>
      <c r="AG166" s="50" t="s">
        <v>519</v>
      </c>
      <c r="AH166" s="49" t="str">
        <f>IF(AG166="นิติศาสตร์","K5-LAW","K5-POLICY")</f>
        <v>K5-POLICY</v>
      </c>
      <c r="AI166" s="72" t="str">
        <f>_xlfn.IFS(B166="","",AND(AH166="K5-LAW",AG166="นิติศาสตร์",K166="S2",T166="",Z166=""),P166,AND(AH166="K5-LAW",AG166="นิติศาสตร์",K166="S1",T166="",Z166=""),EDATE(P166,12),AND(AH166="K5-LAW",AG166="นิติศาสตร์",OR(K166="M2",K166="K4"),T166="",Z166=""),EDATE(P166,12*2),AND(AH166="K5-LAW",AG166="นิติศาสตร์",OR(Z166="M2",Z166="K4"),AC166&gt;=2,OR(AB166&lt;V166,AB166&lt;P166)),EDATE(AB166,12*2),AND(AH166="K5-LAW",AG166="นิติศาสตร์",Z166="S1",AC166&gt;=1,OR(AB166&lt;V166,AB166&lt;P166)),EDATE(AB166,12),AND(AH166="K5-LAW",AG166="นิติศาสตร์",OR(T166="M2",T166="K4"),W166&gt;=2,V166&lt;P166),EDATE(V166,12*2),AND(AH166="K5-LAW",AG166="นิติศาสตร์",T166="S1",W166&gt;=1,V166&lt;P166),EDATE(V166,12),AND(AH166="K5-LAW",AG166="นิติศาสตร์",OR(T166="S2",T166="K5")),V166,AND(AH166="K5-LAW",AG166="นิติศาสตร์",OR(K166="M2",K166="K4"),Q166&gt;=2),EDATE(P166,12*2),AND(AH166="K5-LAW",AG166="นิติศาสตร์",K166="S1",Q166&gt;=1),EDATE(P166,12),AND(AH166="K5-LAW",AG166="นิติศาสตร์",OR(K166="S2",K166="K5")),P166,AND(AH166="K5-POLICY",AG166&lt;&gt;"นิติศาสตร์",K166="S2",T166="",Z166=""),P166,AND(AH166="K5-POLICY",AG166&lt;&gt;"นิติศาสตร์",K166="S1",T166="",Z166=""),EDATE(P166,12),AND(AH166="K5-POLICY",AG166&lt;&gt;"นิติศาสตร์",OR(K166="M2",K166="K4"),T166="",Z166=""),EDATE(P166,12*2),AND(AH166="K5-POLICY",AG166&lt;&gt;"นิติศาสตร์",OR(Z166="M2",Z166="K4"),AC166&gt;=2,OR(AB166&lt;V166,AB166&lt;P166)),EDATE(AB166,12*2),AND(AH166="K5-POLICY",AG166&lt;&gt;"นิติศาสตร์",Z166="S1",AC166&gt;=1,OR(AB166&lt;V166,AB166&lt;P166)),EDATE(AB166,12),AND(AH166="K5-POLICY",AG166&lt;&gt;"นิติศาสตร์",OR(T166="M2",T166="K4"),W166&gt;=2,V166&lt;P166),EDATE(V166,12*2),AND(AH166="K5-POLICY",AG166&lt;&gt;"นิติศาสตร์",T166="S1",W166&gt;=1,V166&lt;P166),EDATE(V166,12),AND(AH166="K5-POLICY",AG166&lt;&gt;"นิติศาสตร์",OR(T166="S2",T166="K5")),V166,AND(AH166="K5-POLICY",AG166&lt;&gt;"นิติศาสตร์",OR(K166="M2",K166="K4"),Q166&gt;=2),EDATE(P166,12*2),AND(AH166="K5-POLICY",AG166&lt;&gt;"นิติศาสตร์",K166="S1",Q166&gt;=1),EDATE(P166,12),AND(AH166="K5-POLICY",AG166&lt;&gt;"นิติศาสตร์",OR(K166="S2",K166="K5")),P166,TRUE,"Check Data")</f>
        <v/>
      </c>
      <c r="AJ166" s="75" t="str">
        <f t="shared" si="45"/>
        <v>Check Data</v>
      </c>
      <c r="AK166" s="76" t="str">
        <f t="shared" si="46"/>
        <v>Check Data</v>
      </c>
      <c r="AL166" s="50" t="str">
        <f t="shared" si="47"/>
        <v>Check Data</v>
      </c>
      <c r="AM166" s="49" t="str">
        <f>IF(B166="","",IF(K166="S1","S1",INDEX(#REF!,#REF!)))</f>
        <v/>
      </c>
      <c r="AN166" s="49" t="str">
        <f>K166</f>
        <v>M2</v>
      </c>
      <c r="AO166" s="50" t="b">
        <f>K166=AM166</f>
        <v>0</v>
      </c>
      <c r="AP166" s="50"/>
    </row>
    <row r="167" spans="1:42" ht="21.75">
      <c r="A167" s="49">
        <v>165</v>
      </c>
      <c r="B167" s="50"/>
      <c r="C167" s="50"/>
      <c r="D167" s="50" t="s">
        <v>143</v>
      </c>
      <c r="E167" s="49" t="s">
        <v>370</v>
      </c>
      <c r="F167" s="49" t="str">
        <f t="shared" si="32"/>
        <v>15/04/1988</v>
      </c>
      <c r="G167" s="50">
        <f t="shared" si="33"/>
        <v>37</v>
      </c>
      <c r="H167" s="50">
        <f t="shared" si="34"/>
        <v>2</v>
      </c>
      <c r="I167" s="50">
        <f t="shared" si="35"/>
        <v>5</v>
      </c>
      <c r="J167" s="59"/>
      <c r="K167" s="49" t="s">
        <v>136</v>
      </c>
      <c r="L167" s="64"/>
      <c r="M167" s="49" t="s">
        <v>427</v>
      </c>
      <c r="N167" s="49">
        <v>2569</v>
      </c>
      <c r="O167" s="65" t="s">
        <v>294</v>
      </c>
      <c r="P167" s="49" t="str">
        <f t="shared" si="36"/>
        <v>18/05/2023</v>
      </c>
      <c r="Q167" s="68">
        <f t="shared" si="37"/>
        <v>2</v>
      </c>
      <c r="R167" s="68">
        <f t="shared" si="38"/>
        <v>1</v>
      </c>
      <c r="S167" s="68">
        <f t="shared" si="39"/>
        <v>2</v>
      </c>
      <c r="T167" s="65"/>
      <c r="U167" s="65"/>
      <c r="V167" s="49" t="str">
        <f t="shared" si="40"/>
        <v/>
      </c>
      <c r="W167" s="68">
        <f>IF(V167="",0,DATEDIF(V167,P167,"Y"))</f>
        <v>0</v>
      </c>
      <c r="X167" s="68">
        <f>IF(V167="",0,DATEDIF(V167,P167,"YM"))</f>
        <v>0</v>
      </c>
      <c r="Y167" s="68">
        <f>IF(V167="",0,DATEDIF(V167,P167,"MD"))</f>
        <v>0</v>
      </c>
      <c r="Z167" s="49"/>
      <c r="AA167" s="65"/>
      <c r="AB167" s="50" t="str">
        <f t="shared" si="41"/>
        <v/>
      </c>
      <c r="AC167" s="68">
        <f t="shared" si="42"/>
        <v>0</v>
      </c>
      <c r="AD167" s="68">
        <f t="shared" si="43"/>
        <v>0</v>
      </c>
      <c r="AE167" s="68">
        <f t="shared" si="44"/>
        <v>0</v>
      </c>
      <c r="AF167" s="50"/>
      <c r="AG167" s="50" t="s">
        <v>482</v>
      </c>
      <c r="AH167" s="49" t="str">
        <f>IF(AG167="นิติศาสตร์","K5-LAW","K5-POLICY")</f>
        <v>K5-POLICY</v>
      </c>
      <c r="AI167" s="72" t="str">
        <f>_xlfn.IFS(B167="","",AND(AH167="K5-LAW",AG167="นิติศาสตร์",K167="S2",T167="",Z167=""),P167,AND(AH167="K5-LAW",AG167="นิติศาสตร์",K167="S1",T167="",Z167=""),EDATE(P167,12),AND(AH167="K5-LAW",AG167="นิติศาสตร์",OR(K167="M2",K167="K4"),T167="",Z167=""),EDATE(P167,12*2),AND(AH167="K5-LAW",AG167="นิติศาสตร์",OR(Z167="M2",Z167="K4"),AC167&gt;=2,OR(AB167&lt;V167,AB167&lt;P167)),EDATE(AB167,12*2),AND(AH167="K5-LAW",AG167="นิติศาสตร์",Z167="S1",AC167&gt;=1,OR(AB167&lt;V167,AB167&lt;P167)),EDATE(AB167,12),AND(AH167="K5-LAW",AG167="นิติศาสตร์",OR(T167="M2",T167="K4"),W167&gt;=2,V167&lt;P167),EDATE(V167,12*2),AND(AH167="K5-LAW",AG167="นิติศาสตร์",T167="S1",W167&gt;=1,V167&lt;P167),EDATE(V167,12),AND(AH167="K5-LAW",AG167="นิติศาสตร์",OR(T167="S2",T167="K5")),V167,AND(AH167="K5-LAW",AG167="นิติศาสตร์",OR(K167="M2",K167="K4"),Q167&gt;=2),EDATE(P167,12*2),AND(AH167="K5-LAW",AG167="นิติศาสตร์",K167="S1",Q167&gt;=1),EDATE(P167,12),AND(AH167="K5-LAW",AG167="นิติศาสตร์",OR(K167="S2",K167="K5")),P167,AND(AH167="K5-POLICY",AG167&lt;&gt;"นิติศาสตร์",K167="S2",T167="",Z167=""),P167,AND(AH167="K5-POLICY",AG167&lt;&gt;"นิติศาสตร์",K167="S1",T167="",Z167=""),EDATE(P167,12),AND(AH167="K5-POLICY",AG167&lt;&gt;"นิติศาสตร์",OR(K167="M2",K167="K4"),T167="",Z167=""),EDATE(P167,12*2),AND(AH167="K5-POLICY",AG167&lt;&gt;"นิติศาสตร์",OR(Z167="M2",Z167="K4"),AC167&gt;=2,OR(AB167&lt;V167,AB167&lt;P167)),EDATE(AB167,12*2),AND(AH167="K5-POLICY",AG167&lt;&gt;"นิติศาสตร์",Z167="S1",AC167&gt;=1,OR(AB167&lt;V167,AB167&lt;P167)),EDATE(AB167,12),AND(AH167="K5-POLICY",AG167&lt;&gt;"นิติศาสตร์",OR(T167="M2",T167="K4"),W167&gt;=2,V167&lt;P167),EDATE(V167,12*2),AND(AH167="K5-POLICY",AG167&lt;&gt;"นิติศาสตร์",T167="S1",W167&gt;=1,V167&lt;P167),EDATE(V167,12),AND(AH167="K5-POLICY",AG167&lt;&gt;"นิติศาสตร์",OR(T167="S2",T167="K5")),V167,AND(AH167="K5-POLICY",AG167&lt;&gt;"นิติศาสตร์",OR(K167="M2",K167="K4"),Q167&gt;=2),EDATE(P167,12*2),AND(AH167="K5-POLICY",AG167&lt;&gt;"นิติศาสตร์",K167="S1",Q167&gt;=1),EDATE(P167,12),AND(AH167="K5-POLICY",AG167&lt;&gt;"นิติศาสตร์",OR(K167="S2",K167="K5")),P167,TRUE,"Check Data")</f>
        <v/>
      </c>
      <c r="AJ167" s="75" t="str">
        <f t="shared" si="45"/>
        <v>Check Data</v>
      </c>
      <c r="AK167" s="76" t="str">
        <f t="shared" si="46"/>
        <v>Check Data</v>
      </c>
      <c r="AL167" s="50" t="str">
        <f t="shared" si="47"/>
        <v>Check Data</v>
      </c>
      <c r="AM167" s="49" t="str">
        <f>IF(B167="","",IF(K167="S1","S1",INDEX(#REF!,#REF!)))</f>
        <v/>
      </c>
      <c r="AN167" s="49" t="str">
        <f>K167</f>
        <v>M2</v>
      </c>
      <c r="AO167" s="50" t="b">
        <f>K167=AM167</f>
        <v>0</v>
      </c>
      <c r="AP167" s="50"/>
    </row>
    <row r="168" spans="1:42" ht="21.75">
      <c r="A168" s="49">
        <v>166</v>
      </c>
      <c r="B168" s="50"/>
      <c r="C168" s="50"/>
      <c r="D168" s="50" t="s">
        <v>143</v>
      </c>
      <c r="E168" s="49" t="s">
        <v>361</v>
      </c>
      <c r="F168" s="49" t="str">
        <f t="shared" si="32"/>
        <v>10/10/1999</v>
      </c>
      <c r="G168" s="50">
        <f t="shared" si="33"/>
        <v>25</v>
      </c>
      <c r="H168" s="50">
        <f t="shared" si="34"/>
        <v>8</v>
      </c>
      <c r="I168" s="50">
        <f t="shared" si="35"/>
        <v>10</v>
      </c>
      <c r="J168" s="59"/>
      <c r="K168" s="49" t="s">
        <v>136</v>
      </c>
      <c r="L168" s="64"/>
      <c r="M168" s="49" t="s">
        <v>427</v>
      </c>
      <c r="N168" s="49">
        <v>2574</v>
      </c>
      <c r="O168" s="65" t="s">
        <v>294</v>
      </c>
      <c r="P168" s="49" t="str">
        <f t="shared" si="36"/>
        <v>18/05/2023</v>
      </c>
      <c r="Q168" s="68">
        <f t="shared" si="37"/>
        <v>2</v>
      </c>
      <c r="R168" s="68">
        <f t="shared" si="38"/>
        <v>1</v>
      </c>
      <c r="S168" s="68">
        <f t="shared" si="39"/>
        <v>2</v>
      </c>
      <c r="T168" s="65"/>
      <c r="U168" s="65"/>
      <c r="V168" s="49" t="str">
        <f t="shared" si="40"/>
        <v/>
      </c>
      <c r="W168" s="68">
        <f>IF(V168="",0,DATEDIF(V168,P168,"Y"))</f>
        <v>0</v>
      </c>
      <c r="X168" s="68">
        <f>IF(V168="",0,DATEDIF(V168,P168,"YM"))</f>
        <v>0</v>
      </c>
      <c r="Y168" s="68">
        <f>IF(V168="",0,DATEDIF(V168,P168,"MD"))</f>
        <v>0</v>
      </c>
      <c r="Z168" s="49"/>
      <c r="AA168" s="65"/>
      <c r="AB168" s="50" t="str">
        <f t="shared" si="41"/>
        <v/>
      </c>
      <c r="AC168" s="68">
        <f t="shared" si="42"/>
        <v>0</v>
      </c>
      <c r="AD168" s="68">
        <f t="shared" si="43"/>
        <v>0</v>
      </c>
      <c r="AE168" s="68">
        <f t="shared" si="44"/>
        <v>0</v>
      </c>
      <c r="AF168" s="50"/>
      <c r="AG168" s="50" t="s">
        <v>513</v>
      </c>
      <c r="AH168" s="49" t="str">
        <f>IF(AG168="นิติศาสตร์","K5-LAW","K5-POLICY")</f>
        <v>K5-POLICY</v>
      </c>
      <c r="AI168" s="72" t="str">
        <f>_xlfn.IFS(B168="","",AND(AH168="K5-LAW",AG168="นิติศาสตร์",K168="S2",T168="",Z168=""),P168,AND(AH168="K5-LAW",AG168="นิติศาสตร์",K168="S1",T168="",Z168=""),EDATE(P168,12),AND(AH168="K5-LAW",AG168="นิติศาสตร์",OR(K168="M2",K168="K4"),T168="",Z168=""),EDATE(P168,12*2),AND(AH168="K5-LAW",AG168="นิติศาสตร์",OR(Z168="M2",Z168="K4"),AC168&gt;=2,OR(AB168&lt;V168,AB168&lt;P168)),EDATE(AB168,12*2),AND(AH168="K5-LAW",AG168="นิติศาสตร์",Z168="S1",AC168&gt;=1,OR(AB168&lt;V168,AB168&lt;P168)),EDATE(AB168,12),AND(AH168="K5-LAW",AG168="นิติศาสตร์",OR(T168="M2",T168="K4"),W168&gt;=2,V168&lt;P168),EDATE(V168,12*2),AND(AH168="K5-LAW",AG168="นิติศาสตร์",T168="S1",W168&gt;=1,V168&lt;P168),EDATE(V168,12),AND(AH168="K5-LAW",AG168="นิติศาสตร์",OR(T168="S2",T168="K5")),V168,AND(AH168="K5-LAW",AG168="นิติศาสตร์",OR(K168="M2",K168="K4"),Q168&gt;=2),EDATE(P168,12*2),AND(AH168="K5-LAW",AG168="นิติศาสตร์",K168="S1",Q168&gt;=1),EDATE(P168,12),AND(AH168="K5-LAW",AG168="นิติศาสตร์",OR(K168="S2",K168="K5")),P168,AND(AH168="K5-POLICY",AG168&lt;&gt;"นิติศาสตร์",K168="S2",T168="",Z168=""),P168,AND(AH168="K5-POLICY",AG168&lt;&gt;"นิติศาสตร์",K168="S1",T168="",Z168=""),EDATE(P168,12),AND(AH168="K5-POLICY",AG168&lt;&gt;"นิติศาสตร์",OR(K168="M2",K168="K4"),T168="",Z168=""),EDATE(P168,12*2),AND(AH168="K5-POLICY",AG168&lt;&gt;"นิติศาสตร์",OR(Z168="M2",Z168="K4"),AC168&gt;=2,OR(AB168&lt;V168,AB168&lt;P168)),EDATE(AB168,12*2),AND(AH168="K5-POLICY",AG168&lt;&gt;"นิติศาสตร์",Z168="S1",AC168&gt;=1,OR(AB168&lt;V168,AB168&lt;P168)),EDATE(AB168,12),AND(AH168="K5-POLICY",AG168&lt;&gt;"นิติศาสตร์",OR(T168="M2",T168="K4"),W168&gt;=2,V168&lt;P168),EDATE(V168,12*2),AND(AH168="K5-POLICY",AG168&lt;&gt;"นิติศาสตร์",T168="S1",W168&gt;=1,V168&lt;P168),EDATE(V168,12),AND(AH168="K5-POLICY",AG168&lt;&gt;"นิติศาสตร์",OR(T168="S2",T168="K5")),V168,AND(AH168="K5-POLICY",AG168&lt;&gt;"นิติศาสตร์",OR(K168="M2",K168="K4"),Q168&gt;=2),EDATE(P168,12*2),AND(AH168="K5-POLICY",AG168&lt;&gt;"นิติศาสตร์",K168="S1",Q168&gt;=1),EDATE(P168,12),AND(AH168="K5-POLICY",AG168&lt;&gt;"นิติศาสตร์",OR(K168="S2",K168="K5")),P168,TRUE,"Check Data")</f>
        <v/>
      </c>
      <c r="AJ168" s="75" t="str">
        <f t="shared" si="45"/>
        <v>Check Data</v>
      </c>
      <c r="AK168" s="76" t="str">
        <f t="shared" si="46"/>
        <v>Check Data</v>
      </c>
      <c r="AL168" s="50" t="str">
        <f t="shared" si="47"/>
        <v>Check Data</v>
      </c>
      <c r="AM168" s="49" t="str">
        <f>IF(B168="","",IF(K168="S1","S1",INDEX(#REF!,#REF!)))</f>
        <v/>
      </c>
      <c r="AN168" s="49" t="str">
        <f>K168</f>
        <v>M2</v>
      </c>
      <c r="AO168" s="50" t="b">
        <f>K168=AM168</f>
        <v>0</v>
      </c>
      <c r="AP168" s="50"/>
    </row>
    <row r="169" spans="1:42" ht="21.75">
      <c r="A169" s="49">
        <v>167</v>
      </c>
      <c r="B169" s="50"/>
      <c r="C169" s="50"/>
      <c r="D169" s="50" t="s">
        <v>143</v>
      </c>
      <c r="E169" s="49" t="s">
        <v>364</v>
      </c>
      <c r="F169" s="49" t="str">
        <f t="shared" si="32"/>
        <v>03/10/1994</v>
      </c>
      <c r="G169" s="50">
        <f t="shared" si="33"/>
        <v>30</v>
      </c>
      <c r="H169" s="50">
        <f t="shared" si="34"/>
        <v>8</v>
      </c>
      <c r="I169" s="50">
        <f t="shared" si="35"/>
        <v>17</v>
      </c>
      <c r="J169" s="59"/>
      <c r="K169" s="49" t="s">
        <v>136</v>
      </c>
      <c r="L169" s="64"/>
      <c r="M169" s="49" t="s">
        <v>427</v>
      </c>
      <c r="N169" s="49">
        <v>2576</v>
      </c>
      <c r="O169" s="65" t="s">
        <v>294</v>
      </c>
      <c r="P169" s="49" t="str">
        <f t="shared" si="36"/>
        <v>18/05/2023</v>
      </c>
      <c r="Q169" s="68">
        <f t="shared" si="37"/>
        <v>2</v>
      </c>
      <c r="R169" s="68">
        <f t="shared" si="38"/>
        <v>1</v>
      </c>
      <c r="S169" s="68">
        <f t="shared" si="39"/>
        <v>2</v>
      </c>
      <c r="T169" s="65"/>
      <c r="U169" s="65"/>
      <c r="V169" s="49" t="str">
        <f t="shared" si="40"/>
        <v/>
      </c>
      <c r="W169" s="68">
        <f>IF(V169="",0,DATEDIF(V169,P169,"Y"))</f>
        <v>0</v>
      </c>
      <c r="X169" s="68">
        <f>IF(V169="",0,DATEDIF(V169,P169,"YM"))</f>
        <v>0</v>
      </c>
      <c r="Y169" s="68">
        <f>IF(V169="",0,DATEDIF(V169,P169,"MD"))</f>
        <v>0</v>
      </c>
      <c r="Z169" s="49"/>
      <c r="AA169" s="65"/>
      <c r="AB169" s="50" t="str">
        <f t="shared" si="41"/>
        <v/>
      </c>
      <c r="AC169" s="68">
        <f t="shared" si="42"/>
        <v>0</v>
      </c>
      <c r="AD169" s="68">
        <f t="shared" si="43"/>
        <v>0</v>
      </c>
      <c r="AE169" s="68">
        <f t="shared" si="44"/>
        <v>0</v>
      </c>
      <c r="AF169" s="50"/>
      <c r="AG169" s="50" t="s">
        <v>482</v>
      </c>
      <c r="AH169" s="49" t="str">
        <f>IF(AG169="นิติศาสตร์","K5-LAW","K5-POLICY")</f>
        <v>K5-POLICY</v>
      </c>
      <c r="AI169" s="72" t="str">
        <f>_xlfn.IFS(B169="","",AND(AH169="K5-LAW",AG169="นิติศาสตร์",K169="S2",T169="",Z169=""),P169,AND(AH169="K5-LAW",AG169="นิติศาสตร์",K169="S1",T169="",Z169=""),EDATE(P169,12),AND(AH169="K5-LAW",AG169="นิติศาสตร์",OR(K169="M2",K169="K4"),T169="",Z169=""),EDATE(P169,12*2),AND(AH169="K5-LAW",AG169="นิติศาสตร์",OR(Z169="M2",Z169="K4"),AC169&gt;=2,OR(AB169&lt;V169,AB169&lt;P169)),EDATE(AB169,12*2),AND(AH169="K5-LAW",AG169="นิติศาสตร์",Z169="S1",AC169&gt;=1,OR(AB169&lt;V169,AB169&lt;P169)),EDATE(AB169,12),AND(AH169="K5-LAW",AG169="นิติศาสตร์",OR(T169="M2",T169="K4"),W169&gt;=2,V169&lt;P169),EDATE(V169,12*2),AND(AH169="K5-LAW",AG169="นิติศาสตร์",T169="S1",W169&gt;=1,V169&lt;P169),EDATE(V169,12),AND(AH169="K5-LAW",AG169="นิติศาสตร์",OR(T169="S2",T169="K5")),V169,AND(AH169="K5-LAW",AG169="นิติศาสตร์",OR(K169="M2",K169="K4"),Q169&gt;=2),EDATE(P169,12*2),AND(AH169="K5-LAW",AG169="นิติศาสตร์",K169="S1",Q169&gt;=1),EDATE(P169,12),AND(AH169="K5-LAW",AG169="นิติศาสตร์",OR(K169="S2",K169="K5")),P169,AND(AH169="K5-POLICY",AG169&lt;&gt;"นิติศาสตร์",K169="S2",T169="",Z169=""),P169,AND(AH169="K5-POLICY",AG169&lt;&gt;"นิติศาสตร์",K169="S1",T169="",Z169=""),EDATE(P169,12),AND(AH169="K5-POLICY",AG169&lt;&gt;"นิติศาสตร์",OR(K169="M2",K169="K4"),T169="",Z169=""),EDATE(P169,12*2),AND(AH169="K5-POLICY",AG169&lt;&gt;"นิติศาสตร์",OR(Z169="M2",Z169="K4"),AC169&gt;=2,OR(AB169&lt;V169,AB169&lt;P169)),EDATE(AB169,12*2),AND(AH169="K5-POLICY",AG169&lt;&gt;"นิติศาสตร์",Z169="S1",AC169&gt;=1,OR(AB169&lt;V169,AB169&lt;P169)),EDATE(AB169,12),AND(AH169="K5-POLICY",AG169&lt;&gt;"นิติศาสตร์",OR(T169="M2",T169="K4"),W169&gt;=2,V169&lt;P169),EDATE(V169,12*2),AND(AH169="K5-POLICY",AG169&lt;&gt;"นิติศาสตร์",T169="S1",W169&gt;=1,V169&lt;P169),EDATE(V169,12),AND(AH169="K5-POLICY",AG169&lt;&gt;"นิติศาสตร์",OR(T169="S2",T169="K5")),V169,AND(AH169="K5-POLICY",AG169&lt;&gt;"นิติศาสตร์",OR(K169="M2",K169="K4"),Q169&gt;=2),EDATE(P169,12*2),AND(AH169="K5-POLICY",AG169&lt;&gt;"นิติศาสตร์",K169="S1",Q169&gt;=1),EDATE(P169,12),AND(AH169="K5-POLICY",AG169&lt;&gt;"นิติศาสตร์",OR(K169="S2",K169="K5")),P169,TRUE,"Check Data")</f>
        <v/>
      </c>
      <c r="AJ169" s="75" t="str">
        <f t="shared" si="45"/>
        <v>Check Data</v>
      </c>
      <c r="AK169" s="76" t="str">
        <f t="shared" si="46"/>
        <v>Check Data</v>
      </c>
      <c r="AL169" s="50" t="str">
        <f t="shared" si="47"/>
        <v>Check Data</v>
      </c>
      <c r="AM169" s="49" t="str">
        <f>IF(B169="","",IF(K169="S1","S1",INDEX(#REF!,#REF!)))</f>
        <v/>
      </c>
      <c r="AN169" s="49" t="str">
        <f>K169</f>
        <v>M2</v>
      </c>
      <c r="AO169" s="50" t="b">
        <f>K169=AM169</f>
        <v>0</v>
      </c>
      <c r="AP169" s="50"/>
    </row>
    <row r="170" spans="1:42" ht="21.75">
      <c r="A170" s="49">
        <v>168</v>
      </c>
      <c r="B170" s="50"/>
      <c r="C170" s="50"/>
      <c r="D170" s="50" t="s">
        <v>143</v>
      </c>
      <c r="E170" s="49" t="s">
        <v>352</v>
      </c>
      <c r="F170" s="49" t="str">
        <f t="shared" si="32"/>
        <v>01/07/1997</v>
      </c>
      <c r="G170" s="50">
        <f t="shared" si="33"/>
        <v>27</v>
      </c>
      <c r="H170" s="50">
        <f t="shared" si="34"/>
        <v>11</v>
      </c>
      <c r="I170" s="50">
        <f t="shared" si="35"/>
        <v>19</v>
      </c>
      <c r="J170" s="59"/>
      <c r="K170" s="49" t="s">
        <v>136</v>
      </c>
      <c r="L170" s="64"/>
      <c r="M170" s="49" t="s">
        <v>427</v>
      </c>
      <c r="N170" s="49">
        <v>2575</v>
      </c>
      <c r="O170" s="65" t="s">
        <v>294</v>
      </c>
      <c r="P170" s="49" t="str">
        <f t="shared" si="36"/>
        <v>18/05/2023</v>
      </c>
      <c r="Q170" s="68">
        <f t="shared" si="37"/>
        <v>2</v>
      </c>
      <c r="R170" s="68">
        <f t="shared" si="38"/>
        <v>1</v>
      </c>
      <c r="S170" s="68">
        <f t="shared" si="39"/>
        <v>2</v>
      </c>
      <c r="T170" s="65"/>
      <c r="U170" s="65"/>
      <c r="V170" s="49" t="str">
        <f t="shared" si="40"/>
        <v/>
      </c>
      <c r="W170" s="68">
        <f>IF(V170="",0,DATEDIF(V170,P170,"Y"))</f>
        <v>0</v>
      </c>
      <c r="X170" s="68">
        <f>IF(V170="",0,DATEDIF(V170,P170,"YM"))</f>
        <v>0</v>
      </c>
      <c r="Y170" s="68">
        <f>IF(V170="",0,DATEDIF(V170,P170,"MD"))</f>
        <v>0</v>
      </c>
      <c r="Z170" s="49"/>
      <c r="AA170" s="65"/>
      <c r="AB170" s="50" t="str">
        <f t="shared" si="41"/>
        <v/>
      </c>
      <c r="AC170" s="68">
        <f t="shared" si="42"/>
        <v>0</v>
      </c>
      <c r="AD170" s="68">
        <f t="shared" si="43"/>
        <v>0</v>
      </c>
      <c r="AE170" s="68">
        <f t="shared" si="44"/>
        <v>0</v>
      </c>
      <c r="AF170" s="50"/>
      <c r="AG170" s="50" t="s">
        <v>486</v>
      </c>
      <c r="AH170" s="49" t="str">
        <f>IF(AG170="นิติศาสตร์","K5-LAW","K5-POLICY")</f>
        <v>K5-POLICY</v>
      </c>
      <c r="AI170" s="72" t="str">
        <f>_xlfn.IFS(B170="","",AND(AH170="K5-LAW",AG170="นิติศาสตร์",K170="S2",T170="",Z170=""),P170,AND(AH170="K5-LAW",AG170="นิติศาสตร์",K170="S1",T170="",Z170=""),EDATE(P170,12),AND(AH170="K5-LAW",AG170="นิติศาสตร์",OR(K170="M2",K170="K4"),T170="",Z170=""),EDATE(P170,12*2),AND(AH170="K5-LAW",AG170="นิติศาสตร์",OR(Z170="M2",Z170="K4"),AC170&gt;=2,OR(AB170&lt;V170,AB170&lt;P170)),EDATE(AB170,12*2),AND(AH170="K5-LAW",AG170="นิติศาสตร์",Z170="S1",AC170&gt;=1,OR(AB170&lt;V170,AB170&lt;P170)),EDATE(AB170,12),AND(AH170="K5-LAW",AG170="นิติศาสตร์",OR(T170="M2",T170="K4"),W170&gt;=2,V170&lt;P170),EDATE(V170,12*2),AND(AH170="K5-LAW",AG170="นิติศาสตร์",T170="S1",W170&gt;=1,V170&lt;P170),EDATE(V170,12),AND(AH170="K5-LAW",AG170="นิติศาสตร์",OR(T170="S2",T170="K5")),V170,AND(AH170="K5-LAW",AG170="นิติศาสตร์",OR(K170="M2",K170="K4"),Q170&gt;=2),EDATE(P170,12*2),AND(AH170="K5-LAW",AG170="นิติศาสตร์",K170="S1",Q170&gt;=1),EDATE(P170,12),AND(AH170="K5-LAW",AG170="นิติศาสตร์",OR(K170="S2",K170="K5")),P170,AND(AH170="K5-POLICY",AG170&lt;&gt;"นิติศาสตร์",K170="S2",T170="",Z170=""),P170,AND(AH170="K5-POLICY",AG170&lt;&gt;"นิติศาสตร์",K170="S1",T170="",Z170=""),EDATE(P170,12),AND(AH170="K5-POLICY",AG170&lt;&gt;"นิติศาสตร์",OR(K170="M2",K170="K4"),T170="",Z170=""),EDATE(P170,12*2),AND(AH170="K5-POLICY",AG170&lt;&gt;"นิติศาสตร์",OR(Z170="M2",Z170="K4"),AC170&gt;=2,OR(AB170&lt;V170,AB170&lt;P170)),EDATE(AB170,12*2),AND(AH170="K5-POLICY",AG170&lt;&gt;"นิติศาสตร์",Z170="S1",AC170&gt;=1,OR(AB170&lt;V170,AB170&lt;P170)),EDATE(AB170,12),AND(AH170="K5-POLICY",AG170&lt;&gt;"นิติศาสตร์",OR(T170="M2",T170="K4"),W170&gt;=2,V170&lt;P170),EDATE(V170,12*2),AND(AH170="K5-POLICY",AG170&lt;&gt;"นิติศาสตร์",T170="S1",W170&gt;=1,V170&lt;P170),EDATE(V170,12),AND(AH170="K5-POLICY",AG170&lt;&gt;"นิติศาสตร์",OR(T170="S2",T170="K5")),V170,AND(AH170="K5-POLICY",AG170&lt;&gt;"นิติศาสตร์",OR(K170="M2",K170="K4"),Q170&gt;=2),EDATE(P170,12*2),AND(AH170="K5-POLICY",AG170&lt;&gt;"นิติศาสตร์",K170="S1",Q170&gt;=1),EDATE(P170,12),AND(AH170="K5-POLICY",AG170&lt;&gt;"นิติศาสตร์",OR(K170="S2",K170="K5")),P170,TRUE,"Check Data")</f>
        <v/>
      </c>
      <c r="AJ170" s="75" t="str">
        <f t="shared" si="45"/>
        <v>Check Data</v>
      </c>
      <c r="AK170" s="76" t="str">
        <f t="shared" si="46"/>
        <v>Check Data</v>
      </c>
      <c r="AL170" s="50" t="str">
        <f t="shared" si="47"/>
        <v>Check Data</v>
      </c>
      <c r="AM170" s="49" t="str">
        <f>IF(B170="","",IF(K170="S1","S1",INDEX(#REF!,#REF!)))</f>
        <v/>
      </c>
      <c r="AN170" s="49" t="str">
        <f>K170</f>
        <v>M2</v>
      </c>
      <c r="AO170" s="50" t="b">
        <f>K170=AM170</f>
        <v>0</v>
      </c>
      <c r="AP170" s="50"/>
    </row>
    <row r="171" spans="1:42" ht="21.75">
      <c r="A171" s="49">
        <v>169</v>
      </c>
      <c r="B171" s="50"/>
      <c r="C171" s="50"/>
      <c r="D171" s="50" t="s">
        <v>143</v>
      </c>
      <c r="E171" s="49" t="s">
        <v>352</v>
      </c>
      <c r="F171" s="49" t="str">
        <f t="shared" si="32"/>
        <v>01/07/1997</v>
      </c>
      <c r="G171" s="50">
        <f t="shared" si="33"/>
        <v>27</v>
      </c>
      <c r="H171" s="50">
        <f t="shared" si="34"/>
        <v>11</v>
      </c>
      <c r="I171" s="50">
        <f t="shared" si="35"/>
        <v>19</v>
      </c>
      <c r="J171" s="59"/>
      <c r="K171" s="49" t="s">
        <v>136</v>
      </c>
      <c r="L171" s="64"/>
      <c r="M171" s="49" t="s">
        <v>427</v>
      </c>
      <c r="N171" s="49">
        <v>2576</v>
      </c>
      <c r="O171" s="65" t="s">
        <v>294</v>
      </c>
      <c r="P171" s="49" t="str">
        <f t="shared" si="36"/>
        <v>18/05/2023</v>
      </c>
      <c r="Q171" s="68">
        <f t="shared" si="37"/>
        <v>2</v>
      </c>
      <c r="R171" s="68">
        <f t="shared" si="38"/>
        <v>1</v>
      </c>
      <c r="S171" s="68">
        <f t="shared" si="39"/>
        <v>2</v>
      </c>
      <c r="T171" s="65"/>
      <c r="U171" s="65"/>
      <c r="V171" s="49" t="str">
        <f t="shared" si="40"/>
        <v/>
      </c>
      <c r="W171" s="68">
        <f>IF(V171="",0,DATEDIF(V171,P171,"Y"))</f>
        <v>0</v>
      </c>
      <c r="X171" s="68">
        <f>IF(V171="",0,DATEDIF(V171,P171,"YM"))</f>
        <v>0</v>
      </c>
      <c r="Y171" s="68">
        <f>IF(V171="",0,DATEDIF(V171,P171,"MD"))</f>
        <v>0</v>
      </c>
      <c r="Z171" s="49"/>
      <c r="AA171" s="65"/>
      <c r="AB171" s="50" t="str">
        <f t="shared" si="41"/>
        <v/>
      </c>
      <c r="AC171" s="68">
        <f t="shared" si="42"/>
        <v>0</v>
      </c>
      <c r="AD171" s="68">
        <f t="shared" si="43"/>
        <v>0</v>
      </c>
      <c r="AE171" s="68">
        <f t="shared" si="44"/>
        <v>0</v>
      </c>
      <c r="AF171" s="50"/>
      <c r="AG171" s="50" t="s">
        <v>520</v>
      </c>
      <c r="AH171" s="49" t="str">
        <f>IF(AG171="นิติศาสตร์","K5-LAW","K5-POLICY")</f>
        <v>K5-POLICY</v>
      </c>
      <c r="AI171" s="72" t="str">
        <f>_xlfn.IFS(B171="","",AND(AH171="K5-LAW",AG171="นิติศาสตร์",K171="S2",T171="",Z171=""),P171,AND(AH171="K5-LAW",AG171="นิติศาสตร์",K171="S1",T171="",Z171=""),EDATE(P171,12),AND(AH171="K5-LAW",AG171="นิติศาสตร์",OR(K171="M2",K171="K4"),T171="",Z171=""),EDATE(P171,12*2),AND(AH171="K5-LAW",AG171="นิติศาสตร์",OR(Z171="M2",Z171="K4"),AC171&gt;=2,OR(AB171&lt;V171,AB171&lt;P171)),EDATE(AB171,12*2),AND(AH171="K5-LAW",AG171="นิติศาสตร์",Z171="S1",AC171&gt;=1,OR(AB171&lt;V171,AB171&lt;P171)),EDATE(AB171,12),AND(AH171="K5-LAW",AG171="นิติศาสตร์",OR(T171="M2",T171="K4"),W171&gt;=2,V171&lt;P171),EDATE(V171,12*2),AND(AH171="K5-LAW",AG171="นิติศาสตร์",T171="S1",W171&gt;=1,V171&lt;P171),EDATE(V171,12),AND(AH171="K5-LAW",AG171="นิติศาสตร์",OR(T171="S2",T171="K5")),V171,AND(AH171="K5-LAW",AG171="นิติศาสตร์",OR(K171="M2",K171="K4"),Q171&gt;=2),EDATE(P171,12*2),AND(AH171="K5-LAW",AG171="นิติศาสตร์",K171="S1",Q171&gt;=1),EDATE(P171,12),AND(AH171="K5-LAW",AG171="นิติศาสตร์",OR(K171="S2",K171="K5")),P171,AND(AH171="K5-POLICY",AG171&lt;&gt;"นิติศาสตร์",K171="S2",T171="",Z171=""),P171,AND(AH171="K5-POLICY",AG171&lt;&gt;"นิติศาสตร์",K171="S1",T171="",Z171=""),EDATE(P171,12),AND(AH171="K5-POLICY",AG171&lt;&gt;"นิติศาสตร์",OR(K171="M2",K171="K4"),T171="",Z171=""),EDATE(P171,12*2),AND(AH171="K5-POLICY",AG171&lt;&gt;"นิติศาสตร์",OR(Z171="M2",Z171="K4"),AC171&gt;=2,OR(AB171&lt;V171,AB171&lt;P171)),EDATE(AB171,12*2),AND(AH171="K5-POLICY",AG171&lt;&gt;"นิติศาสตร์",Z171="S1",AC171&gt;=1,OR(AB171&lt;V171,AB171&lt;P171)),EDATE(AB171,12),AND(AH171="K5-POLICY",AG171&lt;&gt;"นิติศาสตร์",OR(T171="M2",T171="K4"),W171&gt;=2,V171&lt;P171),EDATE(V171,12*2),AND(AH171="K5-POLICY",AG171&lt;&gt;"นิติศาสตร์",T171="S1",W171&gt;=1,V171&lt;P171),EDATE(V171,12),AND(AH171="K5-POLICY",AG171&lt;&gt;"นิติศาสตร์",OR(T171="S2",T171="K5")),V171,AND(AH171="K5-POLICY",AG171&lt;&gt;"นิติศาสตร์",OR(K171="M2",K171="K4"),Q171&gt;=2),EDATE(P171,12*2),AND(AH171="K5-POLICY",AG171&lt;&gt;"นิติศาสตร์",K171="S1",Q171&gt;=1),EDATE(P171,12),AND(AH171="K5-POLICY",AG171&lt;&gt;"นิติศาสตร์",OR(K171="S2",K171="K5")),P171,TRUE,"Check Data")</f>
        <v/>
      </c>
      <c r="AJ171" s="75" t="str">
        <f t="shared" si="45"/>
        <v>Check Data</v>
      </c>
      <c r="AK171" s="76" t="str">
        <f t="shared" si="46"/>
        <v>Check Data</v>
      </c>
      <c r="AL171" s="50" t="str">
        <f t="shared" si="47"/>
        <v>Check Data</v>
      </c>
      <c r="AM171" s="49" t="str">
        <f>IF(B171="","",IF(K171="S1","S1",INDEX(#REF!,#REF!)))</f>
        <v/>
      </c>
      <c r="AN171" s="49" t="str">
        <f>K171</f>
        <v>M2</v>
      </c>
      <c r="AO171" s="50" t="b">
        <f>K171=AM171</f>
        <v>0</v>
      </c>
      <c r="AP171" s="50"/>
    </row>
    <row r="172" spans="1:42" ht="21.75">
      <c r="A172" s="49">
        <v>170</v>
      </c>
      <c r="B172" s="50"/>
      <c r="C172" s="50"/>
      <c r="D172" s="50" t="s">
        <v>143</v>
      </c>
      <c r="E172" s="49" t="s">
        <v>312</v>
      </c>
      <c r="F172" s="49" t="str">
        <f t="shared" si="32"/>
        <v>04/05/2000</v>
      </c>
      <c r="G172" s="50">
        <f t="shared" si="33"/>
        <v>25</v>
      </c>
      <c r="H172" s="50">
        <f t="shared" si="34"/>
        <v>1</v>
      </c>
      <c r="I172" s="50">
        <f t="shared" si="35"/>
        <v>16</v>
      </c>
      <c r="J172" s="59"/>
      <c r="K172" s="49" t="s">
        <v>136</v>
      </c>
      <c r="L172" s="64"/>
      <c r="M172" s="49" t="s">
        <v>427</v>
      </c>
      <c r="N172" s="49">
        <v>2574</v>
      </c>
      <c r="O172" s="65" t="s">
        <v>294</v>
      </c>
      <c r="P172" s="49" t="str">
        <f t="shared" si="36"/>
        <v>18/05/2023</v>
      </c>
      <c r="Q172" s="68">
        <f t="shared" si="37"/>
        <v>2</v>
      </c>
      <c r="R172" s="68">
        <f t="shared" si="38"/>
        <v>1</v>
      </c>
      <c r="S172" s="68">
        <f t="shared" si="39"/>
        <v>2</v>
      </c>
      <c r="T172" s="65"/>
      <c r="U172" s="65"/>
      <c r="V172" s="49" t="str">
        <f t="shared" si="40"/>
        <v/>
      </c>
      <c r="W172" s="68">
        <f>IF(V172="",0,DATEDIF(V172,P172,"Y"))</f>
        <v>0</v>
      </c>
      <c r="X172" s="68">
        <f>IF(V172="",0,DATEDIF(V172,P172,"YM"))</f>
        <v>0</v>
      </c>
      <c r="Y172" s="68">
        <f>IF(V172="",0,DATEDIF(V172,P172,"MD"))</f>
        <v>0</v>
      </c>
      <c r="Z172" s="49"/>
      <c r="AA172" s="65"/>
      <c r="AB172" s="50" t="str">
        <f t="shared" si="41"/>
        <v/>
      </c>
      <c r="AC172" s="68">
        <f t="shared" si="42"/>
        <v>0</v>
      </c>
      <c r="AD172" s="68">
        <f t="shared" si="43"/>
        <v>0</v>
      </c>
      <c r="AE172" s="68">
        <f t="shared" si="44"/>
        <v>0</v>
      </c>
      <c r="AF172" s="50"/>
      <c r="AG172" s="50" t="s">
        <v>482</v>
      </c>
      <c r="AH172" s="49" t="str">
        <f>IF(AG172="นิติศาสตร์","K5-LAW","K5-POLICY")</f>
        <v>K5-POLICY</v>
      </c>
      <c r="AI172" s="72" t="str">
        <f>_xlfn.IFS(B172="","",AND(AH172="K5-LAW",AG172="นิติศาสตร์",K172="S2",T172="",Z172=""),P172,AND(AH172="K5-LAW",AG172="นิติศาสตร์",K172="S1",T172="",Z172=""),EDATE(P172,12),AND(AH172="K5-LAW",AG172="นิติศาสตร์",OR(K172="M2",K172="K4"),T172="",Z172=""),EDATE(P172,12*2),AND(AH172="K5-LAW",AG172="นิติศาสตร์",OR(Z172="M2",Z172="K4"),AC172&gt;=2,OR(AB172&lt;V172,AB172&lt;P172)),EDATE(AB172,12*2),AND(AH172="K5-LAW",AG172="นิติศาสตร์",Z172="S1",AC172&gt;=1,OR(AB172&lt;V172,AB172&lt;P172)),EDATE(AB172,12),AND(AH172="K5-LAW",AG172="นิติศาสตร์",OR(T172="M2",T172="K4"),W172&gt;=2,V172&lt;P172),EDATE(V172,12*2),AND(AH172="K5-LAW",AG172="นิติศาสตร์",T172="S1",W172&gt;=1,V172&lt;P172),EDATE(V172,12),AND(AH172="K5-LAW",AG172="นิติศาสตร์",OR(T172="S2",T172="K5")),V172,AND(AH172="K5-LAW",AG172="นิติศาสตร์",OR(K172="M2",K172="K4"),Q172&gt;=2),EDATE(P172,12*2),AND(AH172="K5-LAW",AG172="นิติศาสตร์",K172="S1",Q172&gt;=1),EDATE(P172,12),AND(AH172="K5-LAW",AG172="นิติศาสตร์",OR(K172="S2",K172="K5")),P172,AND(AH172="K5-POLICY",AG172&lt;&gt;"นิติศาสตร์",K172="S2",T172="",Z172=""),P172,AND(AH172="K5-POLICY",AG172&lt;&gt;"นิติศาสตร์",K172="S1",T172="",Z172=""),EDATE(P172,12),AND(AH172="K5-POLICY",AG172&lt;&gt;"นิติศาสตร์",OR(K172="M2",K172="K4"),T172="",Z172=""),EDATE(P172,12*2),AND(AH172="K5-POLICY",AG172&lt;&gt;"นิติศาสตร์",OR(Z172="M2",Z172="K4"),AC172&gt;=2,OR(AB172&lt;V172,AB172&lt;P172)),EDATE(AB172,12*2),AND(AH172="K5-POLICY",AG172&lt;&gt;"นิติศาสตร์",Z172="S1",AC172&gt;=1,OR(AB172&lt;V172,AB172&lt;P172)),EDATE(AB172,12),AND(AH172="K5-POLICY",AG172&lt;&gt;"นิติศาสตร์",OR(T172="M2",T172="K4"),W172&gt;=2,V172&lt;P172),EDATE(V172,12*2),AND(AH172="K5-POLICY",AG172&lt;&gt;"นิติศาสตร์",T172="S1",W172&gt;=1,V172&lt;P172),EDATE(V172,12),AND(AH172="K5-POLICY",AG172&lt;&gt;"นิติศาสตร์",OR(T172="S2",T172="K5")),V172,AND(AH172="K5-POLICY",AG172&lt;&gt;"นิติศาสตร์",OR(K172="M2",K172="K4"),Q172&gt;=2),EDATE(P172,12*2),AND(AH172="K5-POLICY",AG172&lt;&gt;"นิติศาสตร์",K172="S1",Q172&gt;=1),EDATE(P172,12),AND(AH172="K5-POLICY",AG172&lt;&gt;"นิติศาสตร์",OR(K172="S2",K172="K5")),P172,TRUE,"Check Data")</f>
        <v/>
      </c>
      <c r="AJ172" s="75" t="str">
        <f t="shared" si="45"/>
        <v>Check Data</v>
      </c>
      <c r="AK172" s="76" t="str">
        <f t="shared" si="46"/>
        <v>Check Data</v>
      </c>
      <c r="AL172" s="50" t="str">
        <f t="shared" si="47"/>
        <v>Check Data</v>
      </c>
      <c r="AM172" s="49" t="str">
        <f>IF(B172="","",IF(K172="S1","S1",INDEX(#REF!,#REF!)))</f>
        <v/>
      </c>
      <c r="AN172" s="49" t="str">
        <f>K172</f>
        <v>M2</v>
      </c>
      <c r="AO172" s="50" t="b">
        <f>K172=AM172</f>
        <v>0</v>
      </c>
      <c r="AP172" s="50"/>
    </row>
    <row r="173" spans="1:42" ht="21.75">
      <c r="A173" s="49">
        <v>171</v>
      </c>
      <c r="B173" s="50"/>
      <c r="C173" s="50"/>
      <c r="D173" s="50" t="s">
        <v>143</v>
      </c>
      <c r="E173" s="49" t="s">
        <v>360</v>
      </c>
      <c r="F173" s="49" t="str">
        <f t="shared" si="32"/>
        <v>01/12/1998</v>
      </c>
      <c r="G173" s="50">
        <f t="shared" si="33"/>
        <v>26</v>
      </c>
      <c r="H173" s="50">
        <f t="shared" si="34"/>
        <v>6</v>
      </c>
      <c r="I173" s="50">
        <f t="shared" si="35"/>
        <v>19</v>
      </c>
      <c r="J173" s="59"/>
      <c r="K173" s="49" t="s">
        <v>136</v>
      </c>
      <c r="L173" s="64"/>
      <c r="M173" s="49" t="s">
        <v>427</v>
      </c>
      <c r="N173" s="49">
        <v>2572</v>
      </c>
      <c r="O173" s="65" t="s">
        <v>294</v>
      </c>
      <c r="P173" s="49" t="str">
        <f t="shared" si="36"/>
        <v>18/05/2023</v>
      </c>
      <c r="Q173" s="68">
        <f t="shared" si="37"/>
        <v>2</v>
      </c>
      <c r="R173" s="68">
        <f t="shared" si="38"/>
        <v>1</v>
      </c>
      <c r="S173" s="68">
        <f t="shared" si="39"/>
        <v>2</v>
      </c>
      <c r="T173" s="65"/>
      <c r="U173" s="65"/>
      <c r="V173" s="49" t="str">
        <f t="shared" si="40"/>
        <v/>
      </c>
      <c r="W173" s="68">
        <f>IF(V173="",0,DATEDIF(V173,P173,"Y"))</f>
        <v>0</v>
      </c>
      <c r="X173" s="68">
        <f>IF(V173="",0,DATEDIF(V173,P173,"YM"))</f>
        <v>0</v>
      </c>
      <c r="Y173" s="68">
        <f>IF(V173="",0,DATEDIF(V173,P173,"MD"))</f>
        <v>0</v>
      </c>
      <c r="Z173" s="49"/>
      <c r="AA173" s="65"/>
      <c r="AB173" s="50" t="str">
        <f t="shared" si="41"/>
        <v/>
      </c>
      <c r="AC173" s="68">
        <f t="shared" si="42"/>
        <v>0</v>
      </c>
      <c r="AD173" s="68">
        <f t="shared" si="43"/>
        <v>0</v>
      </c>
      <c r="AE173" s="68">
        <f t="shared" si="44"/>
        <v>0</v>
      </c>
      <c r="AF173" s="50"/>
      <c r="AG173" s="50" t="s">
        <v>521</v>
      </c>
      <c r="AH173" s="49" t="str">
        <f>IF(AG173="นิติศาสตร์","K5-LAW","K5-POLICY")</f>
        <v>K5-POLICY</v>
      </c>
      <c r="AI173" s="72" t="str">
        <f>_xlfn.IFS(B173="","",AND(AH173="K5-LAW",AG173="นิติศาสตร์",K173="S2",T173="",Z173=""),P173,AND(AH173="K5-LAW",AG173="นิติศาสตร์",K173="S1",T173="",Z173=""),EDATE(P173,12),AND(AH173="K5-LAW",AG173="นิติศาสตร์",OR(K173="M2",K173="K4"),T173="",Z173=""),EDATE(P173,12*2),AND(AH173="K5-LAW",AG173="นิติศาสตร์",OR(Z173="M2",Z173="K4"),AC173&gt;=2,OR(AB173&lt;V173,AB173&lt;P173)),EDATE(AB173,12*2),AND(AH173="K5-LAW",AG173="นิติศาสตร์",Z173="S1",AC173&gt;=1,OR(AB173&lt;V173,AB173&lt;P173)),EDATE(AB173,12),AND(AH173="K5-LAW",AG173="นิติศาสตร์",OR(T173="M2",T173="K4"),W173&gt;=2,V173&lt;P173),EDATE(V173,12*2),AND(AH173="K5-LAW",AG173="นิติศาสตร์",T173="S1",W173&gt;=1,V173&lt;P173),EDATE(V173,12),AND(AH173="K5-LAW",AG173="นิติศาสตร์",OR(T173="S2",T173="K5")),V173,AND(AH173="K5-LAW",AG173="นิติศาสตร์",OR(K173="M2",K173="K4"),Q173&gt;=2),EDATE(P173,12*2),AND(AH173="K5-LAW",AG173="นิติศาสตร์",K173="S1",Q173&gt;=1),EDATE(P173,12),AND(AH173="K5-LAW",AG173="นิติศาสตร์",OR(K173="S2",K173="K5")),P173,AND(AH173="K5-POLICY",AG173&lt;&gt;"นิติศาสตร์",K173="S2",T173="",Z173=""),P173,AND(AH173="K5-POLICY",AG173&lt;&gt;"นิติศาสตร์",K173="S1",T173="",Z173=""),EDATE(P173,12),AND(AH173="K5-POLICY",AG173&lt;&gt;"นิติศาสตร์",OR(K173="M2",K173="K4"),T173="",Z173=""),EDATE(P173,12*2),AND(AH173="K5-POLICY",AG173&lt;&gt;"นิติศาสตร์",OR(Z173="M2",Z173="K4"),AC173&gt;=2,OR(AB173&lt;V173,AB173&lt;P173)),EDATE(AB173,12*2),AND(AH173="K5-POLICY",AG173&lt;&gt;"นิติศาสตร์",Z173="S1",AC173&gt;=1,OR(AB173&lt;V173,AB173&lt;P173)),EDATE(AB173,12),AND(AH173="K5-POLICY",AG173&lt;&gt;"นิติศาสตร์",OR(T173="M2",T173="K4"),W173&gt;=2,V173&lt;P173),EDATE(V173,12*2),AND(AH173="K5-POLICY",AG173&lt;&gt;"นิติศาสตร์",T173="S1",W173&gt;=1,V173&lt;P173),EDATE(V173,12),AND(AH173="K5-POLICY",AG173&lt;&gt;"นิติศาสตร์",OR(T173="S2",T173="K5")),V173,AND(AH173="K5-POLICY",AG173&lt;&gt;"นิติศาสตร์",OR(K173="M2",K173="K4"),Q173&gt;=2),EDATE(P173,12*2),AND(AH173="K5-POLICY",AG173&lt;&gt;"นิติศาสตร์",K173="S1",Q173&gt;=1),EDATE(P173,12),AND(AH173="K5-POLICY",AG173&lt;&gt;"นิติศาสตร์",OR(K173="S2",K173="K5")),P173,TRUE,"Check Data")</f>
        <v/>
      </c>
      <c r="AJ173" s="75" t="str">
        <f t="shared" si="45"/>
        <v>Check Data</v>
      </c>
      <c r="AK173" s="76" t="str">
        <f t="shared" si="46"/>
        <v>Check Data</v>
      </c>
      <c r="AL173" s="50" t="str">
        <f t="shared" si="47"/>
        <v>Check Data</v>
      </c>
      <c r="AM173" s="49" t="str">
        <f>IF(B173="","",IF(K173="S1","S1",INDEX(#REF!,#REF!)))</f>
        <v/>
      </c>
      <c r="AN173" s="49" t="str">
        <f>K173</f>
        <v>M2</v>
      </c>
      <c r="AO173" s="50" t="b">
        <f>K173=AM173</f>
        <v>0</v>
      </c>
      <c r="AP173" s="50"/>
    </row>
    <row r="174" spans="1:42" ht="21.75">
      <c r="A174" s="49">
        <v>172</v>
      </c>
      <c r="B174" s="50"/>
      <c r="C174" s="50"/>
      <c r="D174" s="50" t="s">
        <v>143</v>
      </c>
      <c r="E174" s="49" t="s">
        <v>353</v>
      </c>
      <c r="F174" s="49" t="str">
        <f t="shared" si="32"/>
        <v>28/07/2000</v>
      </c>
      <c r="G174" s="50">
        <f t="shared" si="33"/>
        <v>24</v>
      </c>
      <c r="H174" s="50">
        <f t="shared" si="34"/>
        <v>10</v>
      </c>
      <c r="I174" s="50">
        <f t="shared" si="35"/>
        <v>23</v>
      </c>
      <c r="J174" s="59"/>
      <c r="K174" s="49" t="s">
        <v>136</v>
      </c>
      <c r="L174" s="64"/>
      <c r="M174" s="49" t="s">
        <v>427</v>
      </c>
      <c r="N174" s="49">
        <v>2578</v>
      </c>
      <c r="O174" s="65" t="s">
        <v>294</v>
      </c>
      <c r="P174" s="49" t="str">
        <f t="shared" si="36"/>
        <v>18/05/2023</v>
      </c>
      <c r="Q174" s="68">
        <f t="shared" si="37"/>
        <v>2</v>
      </c>
      <c r="R174" s="68">
        <f t="shared" si="38"/>
        <v>1</v>
      </c>
      <c r="S174" s="68">
        <f t="shared" si="39"/>
        <v>2</v>
      </c>
      <c r="T174" s="65"/>
      <c r="U174" s="65"/>
      <c r="V174" s="49" t="str">
        <f t="shared" si="40"/>
        <v/>
      </c>
      <c r="W174" s="68">
        <f>IF(V174="",0,DATEDIF(V174,P174,"Y"))</f>
        <v>0</v>
      </c>
      <c r="X174" s="68">
        <f>IF(V174="",0,DATEDIF(V174,P174,"YM"))</f>
        <v>0</v>
      </c>
      <c r="Y174" s="68">
        <f>IF(V174="",0,DATEDIF(V174,P174,"MD"))</f>
        <v>0</v>
      </c>
      <c r="Z174" s="49"/>
      <c r="AA174" s="65"/>
      <c r="AB174" s="50" t="str">
        <f t="shared" si="41"/>
        <v/>
      </c>
      <c r="AC174" s="68">
        <f t="shared" si="42"/>
        <v>0</v>
      </c>
      <c r="AD174" s="68">
        <f t="shared" si="43"/>
        <v>0</v>
      </c>
      <c r="AE174" s="68">
        <f t="shared" si="44"/>
        <v>0</v>
      </c>
      <c r="AF174" s="50"/>
      <c r="AG174" s="50" t="s">
        <v>486</v>
      </c>
      <c r="AH174" s="49" t="str">
        <f>IF(AG174="นิติศาสตร์","K5-LAW","K5-POLICY")</f>
        <v>K5-POLICY</v>
      </c>
      <c r="AI174" s="72" t="str">
        <f>_xlfn.IFS(B174="","",AND(AH174="K5-LAW",AG174="นิติศาสตร์",K174="S2",T174="",Z174=""),P174,AND(AH174="K5-LAW",AG174="นิติศาสตร์",K174="S1",T174="",Z174=""),EDATE(P174,12),AND(AH174="K5-LAW",AG174="นิติศาสตร์",OR(K174="M2",K174="K4"),T174="",Z174=""),EDATE(P174,12*2),AND(AH174="K5-LAW",AG174="นิติศาสตร์",OR(Z174="M2",Z174="K4"),AC174&gt;=2,OR(AB174&lt;V174,AB174&lt;P174)),EDATE(AB174,12*2),AND(AH174="K5-LAW",AG174="นิติศาสตร์",Z174="S1",AC174&gt;=1,OR(AB174&lt;V174,AB174&lt;P174)),EDATE(AB174,12),AND(AH174="K5-LAW",AG174="นิติศาสตร์",OR(T174="M2",T174="K4"),W174&gt;=2,V174&lt;P174),EDATE(V174,12*2),AND(AH174="K5-LAW",AG174="นิติศาสตร์",T174="S1",W174&gt;=1,V174&lt;P174),EDATE(V174,12),AND(AH174="K5-LAW",AG174="นิติศาสตร์",OR(T174="S2",T174="K5")),V174,AND(AH174="K5-LAW",AG174="นิติศาสตร์",OR(K174="M2",K174="K4"),Q174&gt;=2),EDATE(P174,12*2),AND(AH174="K5-LAW",AG174="นิติศาสตร์",K174="S1",Q174&gt;=1),EDATE(P174,12),AND(AH174="K5-LAW",AG174="นิติศาสตร์",OR(K174="S2",K174="K5")),P174,AND(AH174="K5-POLICY",AG174&lt;&gt;"นิติศาสตร์",K174="S2",T174="",Z174=""),P174,AND(AH174="K5-POLICY",AG174&lt;&gt;"นิติศาสตร์",K174="S1",T174="",Z174=""),EDATE(P174,12),AND(AH174="K5-POLICY",AG174&lt;&gt;"นิติศาสตร์",OR(K174="M2",K174="K4"),T174="",Z174=""),EDATE(P174,12*2),AND(AH174="K5-POLICY",AG174&lt;&gt;"นิติศาสตร์",OR(Z174="M2",Z174="K4"),AC174&gt;=2,OR(AB174&lt;V174,AB174&lt;P174)),EDATE(AB174,12*2),AND(AH174="K5-POLICY",AG174&lt;&gt;"นิติศาสตร์",Z174="S1",AC174&gt;=1,OR(AB174&lt;V174,AB174&lt;P174)),EDATE(AB174,12),AND(AH174="K5-POLICY",AG174&lt;&gt;"นิติศาสตร์",OR(T174="M2",T174="K4"),W174&gt;=2,V174&lt;P174),EDATE(V174,12*2),AND(AH174="K5-POLICY",AG174&lt;&gt;"นิติศาสตร์",T174="S1",W174&gt;=1,V174&lt;P174),EDATE(V174,12),AND(AH174="K5-POLICY",AG174&lt;&gt;"นิติศาสตร์",OR(T174="S2",T174="K5")),V174,AND(AH174="K5-POLICY",AG174&lt;&gt;"นิติศาสตร์",OR(K174="M2",K174="K4"),Q174&gt;=2),EDATE(P174,12*2),AND(AH174="K5-POLICY",AG174&lt;&gt;"นิติศาสตร์",K174="S1",Q174&gt;=1),EDATE(P174,12),AND(AH174="K5-POLICY",AG174&lt;&gt;"นิติศาสตร์",OR(K174="S2",K174="K5")),P174,TRUE,"Check Data")</f>
        <v/>
      </c>
      <c r="AJ174" s="75" t="str">
        <f t="shared" si="45"/>
        <v>Check Data</v>
      </c>
      <c r="AK174" s="76" t="str">
        <f t="shared" si="46"/>
        <v>Check Data</v>
      </c>
      <c r="AL174" s="50" t="str">
        <f t="shared" si="47"/>
        <v>Check Data</v>
      </c>
      <c r="AM174" s="49" t="str">
        <f>IF(B174="","",IF(K174="S1","S1",INDEX(#REF!,#REF!)))</f>
        <v/>
      </c>
      <c r="AN174" s="49" t="str">
        <f>K174</f>
        <v>M2</v>
      </c>
      <c r="AO174" s="50" t="b">
        <f>K174=AM174</f>
        <v>0</v>
      </c>
      <c r="AP174" s="50"/>
    </row>
    <row r="175" spans="1:42" ht="21.75">
      <c r="A175" s="49">
        <v>173</v>
      </c>
      <c r="B175" s="50"/>
      <c r="C175" s="50"/>
      <c r="D175" s="50" t="s">
        <v>143</v>
      </c>
      <c r="E175" s="49" t="s">
        <v>343</v>
      </c>
      <c r="F175" s="49" t="str">
        <f t="shared" si="32"/>
        <v>07/06/1996</v>
      </c>
      <c r="G175" s="50">
        <f t="shared" si="33"/>
        <v>29</v>
      </c>
      <c r="H175" s="50">
        <f t="shared" si="34"/>
        <v>0</v>
      </c>
      <c r="I175" s="50">
        <f t="shared" si="35"/>
        <v>13</v>
      </c>
      <c r="J175" s="59"/>
      <c r="K175" s="49" t="s">
        <v>136</v>
      </c>
      <c r="L175" s="64"/>
      <c r="M175" s="49" t="s">
        <v>427</v>
      </c>
      <c r="N175" s="49">
        <v>2576</v>
      </c>
      <c r="O175" s="65" t="s">
        <v>294</v>
      </c>
      <c r="P175" s="49" t="str">
        <f t="shared" si="36"/>
        <v>18/05/2023</v>
      </c>
      <c r="Q175" s="68">
        <f t="shared" si="37"/>
        <v>2</v>
      </c>
      <c r="R175" s="68">
        <f t="shared" si="38"/>
        <v>1</v>
      </c>
      <c r="S175" s="68">
        <f t="shared" si="39"/>
        <v>2</v>
      </c>
      <c r="T175" s="65"/>
      <c r="U175" s="65"/>
      <c r="V175" s="49" t="str">
        <f t="shared" si="40"/>
        <v/>
      </c>
      <c r="W175" s="68">
        <f>IF(V175="",0,DATEDIF(V175,P175,"Y"))</f>
        <v>0</v>
      </c>
      <c r="X175" s="68">
        <f>IF(V175="",0,DATEDIF(V175,P175,"YM"))</f>
        <v>0</v>
      </c>
      <c r="Y175" s="68">
        <f>IF(V175="",0,DATEDIF(V175,P175,"MD"))</f>
        <v>0</v>
      </c>
      <c r="Z175" s="49"/>
      <c r="AA175" s="65"/>
      <c r="AB175" s="50" t="str">
        <f t="shared" si="41"/>
        <v/>
      </c>
      <c r="AC175" s="68">
        <f t="shared" si="42"/>
        <v>0</v>
      </c>
      <c r="AD175" s="68">
        <f t="shared" si="43"/>
        <v>0</v>
      </c>
      <c r="AE175" s="68">
        <f t="shared" si="44"/>
        <v>0</v>
      </c>
      <c r="AF175" s="50"/>
      <c r="AG175" s="50" t="s">
        <v>512</v>
      </c>
      <c r="AH175" s="49" t="str">
        <f>IF(AG175="นิติศาสตร์","K5-LAW","K5-POLICY")</f>
        <v>K5-POLICY</v>
      </c>
      <c r="AI175" s="72" t="str">
        <f>_xlfn.IFS(B175="","",AND(AH175="K5-LAW",AG175="นิติศาสตร์",K175="S2",T175="",Z175=""),P175,AND(AH175="K5-LAW",AG175="นิติศาสตร์",K175="S1",T175="",Z175=""),EDATE(P175,12),AND(AH175="K5-LAW",AG175="นิติศาสตร์",OR(K175="M2",K175="K4"),T175="",Z175=""),EDATE(P175,12*2),AND(AH175="K5-LAW",AG175="นิติศาสตร์",OR(Z175="M2",Z175="K4"),AC175&gt;=2,OR(AB175&lt;V175,AB175&lt;P175)),EDATE(AB175,12*2),AND(AH175="K5-LAW",AG175="นิติศาสตร์",Z175="S1",AC175&gt;=1,OR(AB175&lt;V175,AB175&lt;P175)),EDATE(AB175,12),AND(AH175="K5-LAW",AG175="นิติศาสตร์",OR(T175="M2",T175="K4"),W175&gt;=2,V175&lt;P175),EDATE(V175,12*2),AND(AH175="K5-LAW",AG175="นิติศาสตร์",T175="S1",W175&gt;=1,V175&lt;P175),EDATE(V175,12),AND(AH175="K5-LAW",AG175="นิติศาสตร์",OR(T175="S2",T175="K5")),V175,AND(AH175="K5-LAW",AG175="นิติศาสตร์",OR(K175="M2",K175="K4"),Q175&gt;=2),EDATE(P175,12*2),AND(AH175="K5-LAW",AG175="นิติศาสตร์",K175="S1",Q175&gt;=1),EDATE(P175,12),AND(AH175="K5-LAW",AG175="นิติศาสตร์",OR(K175="S2",K175="K5")),P175,AND(AH175="K5-POLICY",AG175&lt;&gt;"นิติศาสตร์",K175="S2",T175="",Z175=""),P175,AND(AH175="K5-POLICY",AG175&lt;&gt;"นิติศาสตร์",K175="S1",T175="",Z175=""),EDATE(P175,12),AND(AH175="K5-POLICY",AG175&lt;&gt;"นิติศาสตร์",OR(K175="M2",K175="K4"),T175="",Z175=""),EDATE(P175,12*2),AND(AH175="K5-POLICY",AG175&lt;&gt;"นิติศาสตร์",OR(Z175="M2",Z175="K4"),AC175&gt;=2,OR(AB175&lt;V175,AB175&lt;P175)),EDATE(AB175,12*2),AND(AH175="K5-POLICY",AG175&lt;&gt;"นิติศาสตร์",Z175="S1",AC175&gt;=1,OR(AB175&lt;V175,AB175&lt;P175)),EDATE(AB175,12),AND(AH175="K5-POLICY",AG175&lt;&gt;"นิติศาสตร์",OR(T175="M2",T175="K4"),W175&gt;=2,V175&lt;P175),EDATE(V175,12*2),AND(AH175="K5-POLICY",AG175&lt;&gt;"นิติศาสตร์",T175="S1",W175&gt;=1,V175&lt;P175),EDATE(V175,12),AND(AH175="K5-POLICY",AG175&lt;&gt;"นิติศาสตร์",OR(T175="S2",T175="K5")),V175,AND(AH175="K5-POLICY",AG175&lt;&gt;"นิติศาสตร์",OR(K175="M2",K175="K4"),Q175&gt;=2),EDATE(P175,12*2),AND(AH175="K5-POLICY",AG175&lt;&gt;"นิติศาสตร์",K175="S1",Q175&gt;=1),EDATE(P175,12),AND(AH175="K5-POLICY",AG175&lt;&gt;"นิติศาสตร์",OR(K175="S2",K175="K5")),P175,TRUE,"Check Data")</f>
        <v/>
      </c>
      <c r="AJ175" s="75" t="str">
        <f t="shared" si="45"/>
        <v>Check Data</v>
      </c>
      <c r="AK175" s="76" t="str">
        <f t="shared" si="46"/>
        <v>Check Data</v>
      </c>
      <c r="AL175" s="50" t="str">
        <f t="shared" si="47"/>
        <v>Check Data</v>
      </c>
      <c r="AM175" s="49" t="str">
        <f>IF(B175="","",IF(K175="S1","S1",INDEX(#REF!,#REF!)))</f>
        <v/>
      </c>
      <c r="AN175" s="49" t="str">
        <f>K175</f>
        <v>M2</v>
      </c>
      <c r="AO175" s="50" t="b">
        <f>K175=AM175</f>
        <v>0</v>
      </c>
      <c r="AP175" s="50"/>
    </row>
    <row r="176" spans="1:42" ht="21.75">
      <c r="A176" s="49">
        <v>174</v>
      </c>
      <c r="B176" s="50"/>
      <c r="C176" s="50"/>
      <c r="D176" s="50" t="s">
        <v>143</v>
      </c>
      <c r="E176" s="49" t="s">
        <v>312</v>
      </c>
      <c r="F176" s="49" t="str">
        <f t="shared" si="32"/>
        <v>04/05/2000</v>
      </c>
      <c r="G176" s="50">
        <f t="shared" si="33"/>
        <v>25</v>
      </c>
      <c r="H176" s="50">
        <f t="shared" si="34"/>
        <v>1</v>
      </c>
      <c r="I176" s="50">
        <f t="shared" si="35"/>
        <v>16</v>
      </c>
      <c r="J176" s="59"/>
      <c r="K176" s="49" t="s">
        <v>136</v>
      </c>
      <c r="L176" s="64"/>
      <c r="M176" s="49" t="s">
        <v>427</v>
      </c>
      <c r="N176" s="49">
        <v>2577</v>
      </c>
      <c r="O176" s="65" t="s">
        <v>294</v>
      </c>
      <c r="P176" s="49" t="str">
        <f t="shared" si="36"/>
        <v>18/05/2023</v>
      </c>
      <c r="Q176" s="68">
        <f t="shared" si="37"/>
        <v>2</v>
      </c>
      <c r="R176" s="68">
        <f t="shared" si="38"/>
        <v>1</v>
      </c>
      <c r="S176" s="68">
        <f t="shared" si="39"/>
        <v>2</v>
      </c>
      <c r="T176" s="65"/>
      <c r="U176" s="65"/>
      <c r="V176" s="49" t="str">
        <f t="shared" si="40"/>
        <v/>
      </c>
      <c r="W176" s="68">
        <f>IF(V176="",0,DATEDIF(V176,P176,"Y"))</f>
        <v>0</v>
      </c>
      <c r="X176" s="68">
        <f>IF(V176="",0,DATEDIF(V176,P176,"YM"))</f>
        <v>0</v>
      </c>
      <c r="Y176" s="68">
        <f>IF(V176="",0,DATEDIF(V176,P176,"MD"))</f>
        <v>0</v>
      </c>
      <c r="Z176" s="49"/>
      <c r="AA176" s="65"/>
      <c r="AB176" s="50" t="str">
        <f t="shared" si="41"/>
        <v/>
      </c>
      <c r="AC176" s="68">
        <f t="shared" si="42"/>
        <v>0</v>
      </c>
      <c r="AD176" s="68">
        <f t="shared" si="43"/>
        <v>0</v>
      </c>
      <c r="AE176" s="68">
        <f t="shared" si="44"/>
        <v>0</v>
      </c>
      <c r="AF176" s="50"/>
      <c r="AG176" s="50" t="s">
        <v>138</v>
      </c>
      <c r="AH176" s="49" t="str">
        <f>IF(AG176="นิติศาสตร์","K5-LAW","K5-POLICY")</f>
        <v>K5-LAW</v>
      </c>
      <c r="AI176" s="72" t="str">
        <f>_xlfn.IFS(B176="","",AND(AH176="K5-LAW",AG176="นิติศาสตร์",K176="S2",T176="",Z176=""),P176,AND(AH176="K5-LAW",AG176="นิติศาสตร์",K176="S1",T176="",Z176=""),EDATE(P176,12),AND(AH176="K5-LAW",AG176="นิติศาสตร์",OR(K176="M2",K176="K4"),T176="",Z176=""),EDATE(P176,12*2),AND(AH176="K5-LAW",AG176="นิติศาสตร์",OR(Z176="M2",Z176="K4"),AC176&gt;=2,OR(AB176&lt;V176,AB176&lt;P176)),EDATE(AB176,12*2),AND(AH176="K5-LAW",AG176="นิติศาสตร์",Z176="S1",AC176&gt;=1,OR(AB176&lt;V176,AB176&lt;P176)),EDATE(AB176,12),AND(AH176="K5-LAW",AG176="นิติศาสตร์",OR(T176="M2",T176="K4"),W176&gt;=2,V176&lt;P176),EDATE(V176,12*2),AND(AH176="K5-LAW",AG176="นิติศาสตร์",T176="S1",W176&gt;=1,V176&lt;P176),EDATE(V176,12),AND(AH176="K5-LAW",AG176="นิติศาสตร์",OR(T176="S2",T176="K5")),V176,AND(AH176="K5-LAW",AG176="นิติศาสตร์",OR(K176="M2",K176="K4"),Q176&gt;=2),EDATE(P176,12*2),AND(AH176="K5-LAW",AG176="นิติศาสตร์",K176="S1",Q176&gt;=1),EDATE(P176,12),AND(AH176="K5-LAW",AG176="นิติศาสตร์",OR(K176="S2",K176="K5")),P176,AND(AH176="K5-POLICY",AG176&lt;&gt;"นิติศาสตร์",K176="S2",T176="",Z176=""),P176,AND(AH176="K5-POLICY",AG176&lt;&gt;"นิติศาสตร์",K176="S1",T176="",Z176=""),EDATE(P176,12),AND(AH176="K5-POLICY",AG176&lt;&gt;"นิติศาสตร์",OR(K176="M2",K176="K4"),T176="",Z176=""),EDATE(P176,12*2),AND(AH176="K5-POLICY",AG176&lt;&gt;"นิติศาสตร์",OR(Z176="M2",Z176="K4"),AC176&gt;=2,OR(AB176&lt;V176,AB176&lt;P176)),EDATE(AB176,12*2),AND(AH176="K5-POLICY",AG176&lt;&gt;"นิติศาสตร์",Z176="S1",AC176&gt;=1,OR(AB176&lt;V176,AB176&lt;P176)),EDATE(AB176,12),AND(AH176="K5-POLICY",AG176&lt;&gt;"นิติศาสตร์",OR(T176="M2",T176="K4"),W176&gt;=2,V176&lt;P176),EDATE(V176,12*2),AND(AH176="K5-POLICY",AG176&lt;&gt;"นิติศาสตร์",T176="S1",W176&gt;=1,V176&lt;P176),EDATE(V176,12),AND(AH176="K5-POLICY",AG176&lt;&gt;"นิติศาสตร์",OR(T176="S2",T176="K5")),V176,AND(AH176="K5-POLICY",AG176&lt;&gt;"นิติศาสตร์",OR(K176="M2",K176="K4"),Q176&gt;=2),EDATE(P176,12*2),AND(AH176="K5-POLICY",AG176&lt;&gt;"นิติศาสตร์",K176="S1",Q176&gt;=1),EDATE(P176,12),AND(AH176="K5-POLICY",AG176&lt;&gt;"นิติศาสตร์",OR(K176="S2",K176="K5")),P176,TRUE,"Check Data")</f>
        <v/>
      </c>
      <c r="AJ176" s="75" t="str">
        <f t="shared" si="45"/>
        <v>Check Data</v>
      </c>
      <c r="AK176" s="76" t="str">
        <f t="shared" si="46"/>
        <v>Check Data</v>
      </c>
      <c r="AL176" s="50" t="str">
        <f t="shared" si="47"/>
        <v>Check Data</v>
      </c>
      <c r="AM176" s="49" t="str">
        <f>IF(B176="","",IF(K176="S1","S1",INDEX(#REF!,#REF!)))</f>
        <v/>
      </c>
      <c r="AN176" s="49" t="str">
        <f>K176</f>
        <v>M2</v>
      </c>
      <c r="AO176" s="50" t="b">
        <f>K176=AM176</f>
        <v>0</v>
      </c>
      <c r="AP176" s="50"/>
    </row>
    <row r="177" spans="1:42" ht="21.75">
      <c r="A177" s="49">
        <v>175</v>
      </c>
      <c r="B177" s="50"/>
      <c r="C177" s="50"/>
      <c r="D177" s="50" t="s">
        <v>143</v>
      </c>
      <c r="E177" s="49" t="s">
        <v>353</v>
      </c>
      <c r="F177" s="49" t="str">
        <f t="shared" si="32"/>
        <v>28/07/2000</v>
      </c>
      <c r="G177" s="50">
        <f t="shared" si="33"/>
        <v>24</v>
      </c>
      <c r="H177" s="50">
        <f t="shared" si="34"/>
        <v>10</v>
      </c>
      <c r="I177" s="50">
        <f t="shared" si="35"/>
        <v>23</v>
      </c>
      <c r="J177" s="59"/>
      <c r="K177" s="49" t="s">
        <v>136</v>
      </c>
      <c r="L177" s="64"/>
      <c r="M177" s="49" t="s">
        <v>427</v>
      </c>
      <c r="N177" s="49">
        <v>2579</v>
      </c>
      <c r="O177" s="65" t="s">
        <v>294</v>
      </c>
      <c r="P177" s="49" t="str">
        <f t="shared" si="36"/>
        <v>18/05/2023</v>
      </c>
      <c r="Q177" s="68">
        <f t="shared" si="37"/>
        <v>2</v>
      </c>
      <c r="R177" s="68">
        <f t="shared" si="38"/>
        <v>1</v>
      </c>
      <c r="S177" s="68">
        <f t="shared" si="39"/>
        <v>2</v>
      </c>
      <c r="T177" s="65"/>
      <c r="U177" s="65"/>
      <c r="V177" s="49" t="str">
        <f t="shared" si="40"/>
        <v/>
      </c>
      <c r="W177" s="68">
        <f>IF(V177="",0,DATEDIF(V177,P177,"Y"))</f>
        <v>0</v>
      </c>
      <c r="X177" s="68">
        <f>IF(V177="",0,DATEDIF(V177,P177,"YM"))</f>
        <v>0</v>
      </c>
      <c r="Y177" s="68">
        <f>IF(V177="",0,DATEDIF(V177,P177,"MD"))</f>
        <v>0</v>
      </c>
      <c r="Z177" s="49"/>
      <c r="AA177" s="65"/>
      <c r="AB177" s="50" t="str">
        <f t="shared" si="41"/>
        <v/>
      </c>
      <c r="AC177" s="68">
        <f t="shared" si="42"/>
        <v>0</v>
      </c>
      <c r="AD177" s="68">
        <f t="shared" si="43"/>
        <v>0</v>
      </c>
      <c r="AE177" s="68">
        <f t="shared" si="44"/>
        <v>0</v>
      </c>
      <c r="AF177" s="50"/>
      <c r="AG177" s="50" t="s">
        <v>486</v>
      </c>
      <c r="AH177" s="49" t="str">
        <f>IF(AG177="นิติศาสตร์","K5-LAW","K5-POLICY")</f>
        <v>K5-POLICY</v>
      </c>
      <c r="AI177" s="72" t="str">
        <f>_xlfn.IFS(B177="","",AND(AH177="K5-LAW",AG177="นิติศาสตร์",K177="S2",T177="",Z177=""),P177,AND(AH177="K5-LAW",AG177="นิติศาสตร์",K177="S1",T177="",Z177=""),EDATE(P177,12),AND(AH177="K5-LAW",AG177="นิติศาสตร์",OR(K177="M2",K177="K4"),T177="",Z177=""),EDATE(P177,12*2),AND(AH177="K5-LAW",AG177="นิติศาสตร์",OR(Z177="M2",Z177="K4"),AC177&gt;=2,OR(AB177&lt;V177,AB177&lt;P177)),EDATE(AB177,12*2),AND(AH177="K5-LAW",AG177="นิติศาสตร์",Z177="S1",AC177&gt;=1,OR(AB177&lt;V177,AB177&lt;P177)),EDATE(AB177,12),AND(AH177="K5-LAW",AG177="นิติศาสตร์",OR(T177="M2",T177="K4"),W177&gt;=2,V177&lt;P177),EDATE(V177,12*2),AND(AH177="K5-LAW",AG177="นิติศาสตร์",T177="S1",W177&gt;=1,V177&lt;P177),EDATE(V177,12),AND(AH177="K5-LAW",AG177="นิติศาสตร์",OR(T177="S2",T177="K5")),V177,AND(AH177="K5-LAW",AG177="นิติศาสตร์",OR(K177="M2",K177="K4"),Q177&gt;=2),EDATE(P177,12*2),AND(AH177="K5-LAW",AG177="นิติศาสตร์",K177="S1",Q177&gt;=1),EDATE(P177,12),AND(AH177="K5-LAW",AG177="นิติศาสตร์",OR(K177="S2",K177="K5")),P177,AND(AH177="K5-POLICY",AG177&lt;&gt;"นิติศาสตร์",K177="S2",T177="",Z177=""),P177,AND(AH177="K5-POLICY",AG177&lt;&gt;"นิติศาสตร์",K177="S1",T177="",Z177=""),EDATE(P177,12),AND(AH177="K5-POLICY",AG177&lt;&gt;"นิติศาสตร์",OR(K177="M2",K177="K4"),T177="",Z177=""),EDATE(P177,12*2),AND(AH177="K5-POLICY",AG177&lt;&gt;"นิติศาสตร์",OR(Z177="M2",Z177="K4"),AC177&gt;=2,OR(AB177&lt;V177,AB177&lt;P177)),EDATE(AB177,12*2),AND(AH177="K5-POLICY",AG177&lt;&gt;"นิติศาสตร์",Z177="S1",AC177&gt;=1,OR(AB177&lt;V177,AB177&lt;P177)),EDATE(AB177,12),AND(AH177="K5-POLICY",AG177&lt;&gt;"นิติศาสตร์",OR(T177="M2",T177="K4"),W177&gt;=2,V177&lt;P177),EDATE(V177,12*2),AND(AH177="K5-POLICY",AG177&lt;&gt;"นิติศาสตร์",T177="S1",W177&gt;=1,V177&lt;P177),EDATE(V177,12),AND(AH177="K5-POLICY",AG177&lt;&gt;"นิติศาสตร์",OR(T177="S2",T177="K5")),V177,AND(AH177="K5-POLICY",AG177&lt;&gt;"นิติศาสตร์",OR(K177="M2",K177="K4"),Q177&gt;=2),EDATE(P177,12*2),AND(AH177="K5-POLICY",AG177&lt;&gt;"นิติศาสตร์",K177="S1",Q177&gt;=1),EDATE(P177,12),AND(AH177="K5-POLICY",AG177&lt;&gt;"นิติศาสตร์",OR(K177="S2",K177="K5")),P177,TRUE,"Check Data")</f>
        <v/>
      </c>
      <c r="AJ177" s="75" t="str">
        <f t="shared" si="45"/>
        <v>Check Data</v>
      </c>
      <c r="AK177" s="76" t="str">
        <f t="shared" si="46"/>
        <v>Check Data</v>
      </c>
      <c r="AL177" s="50" t="str">
        <f t="shared" si="47"/>
        <v>Check Data</v>
      </c>
      <c r="AM177" s="49" t="str">
        <f>IF(B177="","",IF(K177="S1","S1",INDEX(#REF!,#REF!)))</f>
        <v/>
      </c>
      <c r="AN177" s="49" t="str">
        <f>K177</f>
        <v>M2</v>
      </c>
      <c r="AO177" s="50" t="b">
        <f>K177=AM177</f>
        <v>0</v>
      </c>
      <c r="AP177" s="50"/>
    </row>
    <row r="178" spans="1:42" ht="21.75">
      <c r="A178" s="49">
        <v>176</v>
      </c>
      <c r="B178" s="50"/>
      <c r="C178" s="50"/>
      <c r="D178" s="50" t="s">
        <v>143</v>
      </c>
      <c r="E178" s="49" t="s">
        <v>251</v>
      </c>
      <c r="F178" s="49" t="str">
        <f t="shared" si="32"/>
        <v>15/08/1997</v>
      </c>
      <c r="G178" s="50">
        <f t="shared" si="33"/>
        <v>27</v>
      </c>
      <c r="H178" s="50">
        <f t="shared" si="34"/>
        <v>10</v>
      </c>
      <c r="I178" s="50">
        <f t="shared" si="35"/>
        <v>5</v>
      </c>
      <c r="J178" s="59"/>
      <c r="K178" s="49" t="s">
        <v>136</v>
      </c>
      <c r="L178" s="64"/>
      <c r="M178" s="49" t="s">
        <v>426</v>
      </c>
      <c r="N178" s="49">
        <v>2573</v>
      </c>
      <c r="O178" s="65" t="s">
        <v>294</v>
      </c>
      <c r="P178" s="49" t="str">
        <f t="shared" si="36"/>
        <v>18/05/2023</v>
      </c>
      <c r="Q178" s="68">
        <f t="shared" si="37"/>
        <v>2</v>
      </c>
      <c r="R178" s="68">
        <f t="shared" si="38"/>
        <v>1</v>
      </c>
      <c r="S178" s="68">
        <f t="shared" si="39"/>
        <v>2</v>
      </c>
      <c r="T178" s="65"/>
      <c r="U178" s="65"/>
      <c r="V178" s="49" t="str">
        <f t="shared" si="40"/>
        <v/>
      </c>
      <c r="W178" s="68">
        <f>IF(V178="",0,DATEDIF(V178,P178,"Y"))</f>
        <v>0</v>
      </c>
      <c r="X178" s="68">
        <f>IF(V178="",0,DATEDIF(V178,P178,"YM"))</f>
        <v>0</v>
      </c>
      <c r="Y178" s="68">
        <f>IF(V178="",0,DATEDIF(V178,P178,"MD"))</f>
        <v>0</v>
      </c>
      <c r="Z178" s="49"/>
      <c r="AA178" s="65"/>
      <c r="AB178" s="50" t="str">
        <f t="shared" si="41"/>
        <v/>
      </c>
      <c r="AC178" s="68">
        <f t="shared" si="42"/>
        <v>0</v>
      </c>
      <c r="AD178" s="68">
        <f t="shared" si="43"/>
        <v>0</v>
      </c>
      <c r="AE178" s="68">
        <f t="shared" si="44"/>
        <v>0</v>
      </c>
      <c r="AF178" s="50"/>
      <c r="AG178" s="50" t="s">
        <v>163</v>
      </c>
      <c r="AH178" s="49" t="str">
        <f>IF(AG178="นิติศาสตร์","K5-LAW","K5-POLICY")</f>
        <v>K5-POLICY</v>
      </c>
      <c r="AI178" s="72" t="str">
        <f>_xlfn.IFS(B178="","",AND(AH178="K5-LAW",AG178="นิติศาสตร์",K178="S2",T178="",Z178=""),P178,AND(AH178="K5-LAW",AG178="นิติศาสตร์",K178="S1",T178="",Z178=""),EDATE(P178,12),AND(AH178="K5-LAW",AG178="นิติศาสตร์",OR(K178="M2",K178="K4"),T178="",Z178=""),EDATE(P178,12*2),AND(AH178="K5-LAW",AG178="นิติศาสตร์",OR(Z178="M2",Z178="K4"),AC178&gt;=2,OR(AB178&lt;V178,AB178&lt;P178)),EDATE(AB178,12*2),AND(AH178="K5-LAW",AG178="นิติศาสตร์",Z178="S1",AC178&gt;=1,OR(AB178&lt;V178,AB178&lt;P178)),EDATE(AB178,12),AND(AH178="K5-LAW",AG178="นิติศาสตร์",OR(T178="M2",T178="K4"),W178&gt;=2,V178&lt;P178),EDATE(V178,12*2),AND(AH178="K5-LAW",AG178="นิติศาสตร์",T178="S1",W178&gt;=1,V178&lt;P178),EDATE(V178,12),AND(AH178="K5-LAW",AG178="นิติศาสตร์",OR(T178="S2",T178="K5")),V178,AND(AH178="K5-LAW",AG178="นิติศาสตร์",OR(K178="M2",K178="K4"),Q178&gt;=2),EDATE(P178,12*2),AND(AH178="K5-LAW",AG178="นิติศาสตร์",K178="S1",Q178&gt;=1),EDATE(P178,12),AND(AH178="K5-LAW",AG178="นิติศาสตร์",OR(K178="S2",K178="K5")),P178,AND(AH178="K5-POLICY",AG178&lt;&gt;"นิติศาสตร์",K178="S2",T178="",Z178=""),P178,AND(AH178="K5-POLICY",AG178&lt;&gt;"นิติศาสตร์",K178="S1",T178="",Z178=""),EDATE(P178,12),AND(AH178="K5-POLICY",AG178&lt;&gt;"นิติศาสตร์",OR(K178="M2",K178="K4"),T178="",Z178=""),EDATE(P178,12*2),AND(AH178="K5-POLICY",AG178&lt;&gt;"นิติศาสตร์",OR(Z178="M2",Z178="K4"),AC178&gt;=2,OR(AB178&lt;V178,AB178&lt;P178)),EDATE(AB178,12*2),AND(AH178="K5-POLICY",AG178&lt;&gt;"นิติศาสตร์",Z178="S1",AC178&gt;=1,OR(AB178&lt;V178,AB178&lt;P178)),EDATE(AB178,12),AND(AH178="K5-POLICY",AG178&lt;&gt;"นิติศาสตร์",OR(T178="M2",T178="K4"),W178&gt;=2,V178&lt;P178),EDATE(V178,12*2),AND(AH178="K5-POLICY",AG178&lt;&gt;"นิติศาสตร์",T178="S1",W178&gt;=1,V178&lt;P178),EDATE(V178,12),AND(AH178="K5-POLICY",AG178&lt;&gt;"นิติศาสตร์",OR(T178="S2",T178="K5")),V178,AND(AH178="K5-POLICY",AG178&lt;&gt;"นิติศาสตร์",OR(K178="M2",K178="K4"),Q178&gt;=2),EDATE(P178,12*2),AND(AH178="K5-POLICY",AG178&lt;&gt;"นิติศาสตร์",K178="S1",Q178&gt;=1),EDATE(P178,12),AND(AH178="K5-POLICY",AG178&lt;&gt;"นิติศาสตร์",OR(K178="S2",K178="K5")),P178,TRUE,"Check Data")</f>
        <v/>
      </c>
      <c r="AJ178" s="75" t="str">
        <f t="shared" si="45"/>
        <v>Check Data</v>
      </c>
      <c r="AK178" s="76" t="str">
        <f t="shared" si="46"/>
        <v>Check Data</v>
      </c>
      <c r="AL178" s="50" t="str">
        <f t="shared" si="47"/>
        <v>Check Data</v>
      </c>
      <c r="AM178" s="49" t="str">
        <f>IF(B178="","",IF(K178="S1","S1",INDEX(#REF!,#REF!)))</f>
        <v/>
      </c>
      <c r="AN178" s="49" t="str">
        <f>K178</f>
        <v>M2</v>
      </c>
      <c r="AO178" s="50" t="b">
        <f>K178=AM178</f>
        <v>0</v>
      </c>
      <c r="AP178" s="50"/>
    </row>
    <row r="179" spans="1:42" ht="21.75">
      <c r="A179" s="49">
        <v>177</v>
      </c>
      <c r="B179" s="50"/>
      <c r="C179" s="50"/>
      <c r="D179" s="50" t="s">
        <v>143</v>
      </c>
      <c r="E179" s="49" t="s">
        <v>293</v>
      </c>
      <c r="F179" s="49" t="str">
        <f t="shared" si="32"/>
        <v>01/11/2000</v>
      </c>
      <c r="G179" s="50">
        <f t="shared" si="33"/>
        <v>24</v>
      </c>
      <c r="H179" s="50">
        <f t="shared" si="34"/>
        <v>7</v>
      </c>
      <c r="I179" s="50">
        <f t="shared" si="35"/>
        <v>19</v>
      </c>
      <c r="J179" s="59"/>
      <c r="K179" s="49" t="s">
        <v>136</v>
      </c>
      <c r="L179" s="64"/>
      <c r="M179" s="49" t="s">
        <v>427</v>
      </c>
      <c r="N179" s="49">
        <v>2580</v>
      </c>
      <c r="O179" s="65" t="s">
        <v>294</v>
      </c>
      <c r="P179" s="49" t="str">
        <f t="shared" si="36"/>
        <v>18/05/2023</v>
      </c>
      <c r="Q179" s="68">
        <f t="shared" si="37"/>
        <v>2</v>
      </c>
      <c r="R179" s="68">
        <f t="shared" si="38"/>
        <v>1</v>
      </c>
      <c r="S179" s="68">
        <f t="shared" si="39"/>
        <v>2</v>
      </c>
      <c r="T179" s="65"/>
      <c r="U179" s="65"/>
      <c r="V179" s="49" t="str">
        <f t="shared" si="40"/>
        <v/>
      </c>
      <c r="W179" s="68">
        <f>IF(V179="",0,DATEDIF(V179,P179,"Y"))</f>
        <v>0</v>
      </c>
      <c r="X179" s="68">
        <f>IF(V179="",0,DATEDIF(V179,P179,"YM"))</f>
        <v>0</v>
      </c>
      <c r="Y179" s="68">
        <f>IF(V179="",0,DATEDIF(V179,P179,"MD"))</f>
        <v>0</v>
      </c>
      <c r="Z179" s="49"/>
      <c r="AA179" s="65"/>
      <c r="AB179" s="50" t="str">
        <f t="shared" si="41"/>
        <v/>
      </c>
      <c r="AC179" s="68">
        <f t="shared" si="42"/>
        <v>0</v>
      </c>
      <c r="AD179" s="68">
        <f t="shared" si="43"/>
        <v>0</v>
      </c>
      <c r="AE179" s="68">
        <f t="shared" si="44"/>
        <v>0</v>
      </c>
      <c r="AF179" s="50"/>
      <c r="AG179" s="50" t="s">
        <v>520</v>
      </c>
      <c r="AH179" s="49" t="str">
        <f>IF(AG179="นิติศาสตร์","K5-LAW","K5-POLICY")</f>
        <v>K5-POLICY</v>
      </c>
      <c r="AI179" s="72" t="str">
        <f>_xlfn.IFS(B179="","",AND(AH179="K5-LAW",AG179="นิติศาสตร์",K179="S2",T179="",Z179=""),P179,AND(AH179="K5-LAW",AG179="นิติศาสตร์",K179="S1",T179="",Z179=""),EDATE(P179,12),AND(AH179="K5-LAW",AG179="นิติศาสตร์",OR(K179="M2",K179="K4"),T179="",Z179=""),EDATE(P179,12*2),AND(AH179="K5-LAW",AG179="นิติศาสตร์",OR(Z179="M2",Z179="K4"),AC179&gt;=2,OR(AB179&lt;V179,AB179&lt;P179)),EDATE(AB179,12*2),AND(AH179="K5-LAW",AG179="นิติศาสตร์",Z179="S1",AC179&gt;=1,OR(AB179&lt;V179,AB179&lt;P179)),EDATE(AB179,12),AND(AH179="K5-LAW",AG179="นิติศาสตร์",OR(T179="M2",T179="K4"),W179&gt;=2,V179&lt;P179),EDATE(V179,12*2),AND(AH179="K5-LAW",AG179="นิติศาสตร์",T179="S1",W179&gt;=1,V179&lt;P179),EDATE(V179,12),AND(AH179="K5-LAW",AG179="นิติศาสตร์",OR(T179="S2",T179="K5")),V179,AND(AH179="K5-LAW",AG179="นิติศาสตร์",OR(K179="M2",K179="K4"),Q179&gt;=2),EDATE(P179,12*2),AND(AH179="K5-LAW",AG179="นิติศาสตร์",K179="S1",Q179&gt;=1),EDATE(P179,12),AND(AH179="K5-LAW",AG179="นิติศาสตร์",OR(K179="S2",K179="K5")),P179,AND(AH179="K5-POLICY",AG179&lt;&gt;"นิติศาสตร์",K179="S2",T179="",Z179=""),P179,AND(AH179="K5-POLICY",AG179&lt;&gt;"นิติศาสตร์",K179="S1",T179="",Z179=""),EDATE(P179,12),AND(AH179="K5-POLICY",AG179&lt;&gt;"นิติศาสตร์",OR(K179="M2",K179="K4"),T179="",Z179=""),EDATE(P179,12*2),AND(AH179="K5-POLICY",AG179&lt;&gt;"นิติศาสตร์",OR(Z179="M2",Z179="K4"),AC179&gt;=2,OR(AB179&lt;V179,AB179&lt;P179)),EDATE(AB179,12*2),AND(AH179="K5-POLICY",AG179&lt;&gt;"นิติศาสตร์",Z179="S1",AC179&gt;=1,OR(AB179&lt;V179,AB179&lt;P179)),EDATE(AB179,12),AND(AH179="K5-POLICY",AG179&lt;&gt;"นิติศาสตร์",OR(T179="M2",T179="K4"),W179&gt;=2,V179&lt;P179),EDATE(V179,12*2),AND(AH179="K5-POLICY",AG179&lt;&gt;"นิติศาสตร์",T179="S1",W179&gt;=1,V179&lt;P179),EDATE(V179,12),AND(AH179="K5-POLICY",AG179&lt;&gt;"นิติศาสตร์",OR(T179="S2",T179="K5")),V179,AND(AH179="K5-POLICY",AG179&lt;&gt;"นิติศาสตร์",OR(K179="M2",K179="K4"),Q179&gt;=2),EDATE(P179,12*2),AND(AH179="K5-POLICY",AG179&lt;&gt;"นิติศาสตร์",K179="S1",Q179&gt;=1),EDATE(P179,12),AND(AH179="K5-POLICY",AG179&lt;&gt;"นิติศาสตร์",OR(K179="S2",K179="K5")),P179,TRUE,"Check Data")</f>
        <v/>
      </c>
      <c r="AJ179" s="75" t="str">
        <f t="shared" si="45"/>
        <v>Check Data</v>
      </c>
      <c r="AK179" s="76" t="str">
        <f t="shared" si="46"/>
        <v>Check Data</v>
      </c>
      <c r="AL179" s="50" t="str">
        <f t="shared" si="47"/>
        <v>Check Data</v>
      </c>
      <c r="AM179" s="49" t="str">
        <f>IF(B179="","",IF(K179="S1","S1",INDEX(#REF!,#REF!)))</f>
        <v/>
      </c>
      <c r="AN179" s="49" t="str">
        <f>K179</f>
        <v>M2</v>
      </c>
      <c r="AO179" s="50" t="b">
        <f>K179=AM179</f>
        <v>0</v>
      </c>
      <c r="AP179" s="50"/>
    </row>
    <row r="180" spans="1:42" ht="21.75">
      <c r="A180" s="49">
        <v>178</v>
      </c>
      <c r="B180" s="50"/>
      <c r="C180" s="50"/>
      <c r="D180" s="50" t="s">
        <v>143</v>
      </c>
      <c r="E180" s="49" t="s">
        <v>366</v>
      </c>
      <c r="F180" s="49" t="str">
        <f t="shared" si="32"/>
        <v>01/12/2004</v>
      </c>
      <c r="G180" s="50">
        <f t="shared" si="33"/>
        <v>20</v>
      </c>
      <c r="H180" s="50">
        <f t="shared" si="34"/>
        <v>6</v>
      </c>
      <c r="I180" s="50">
        <f t="shared" si="35"/>
        <v>19</v>
      </c>
      <c r="J180" s="59"/>
      <c r="K180" s="49" t="s">
        <v>136</v>
      </c>
      <c r="L180" s="64"/>
      <c r="M180" s="49" t="s">
        <v>427</v>
      </c>
      <c r="N180" s="49">
        <v>2580</v>
      </c>
      <c r="O180" s="65" t="s">
        <v>294</v>
      </c>
      <c r="P180" s="49" t="str">
        <f t="shared" si="36"/>
        <v>18/05/2023</v>
      </c>
      <c r="Q180" s="68">
        <f t="shared" si="37"/>
        <v>2</v>
      </c>
      <c r="R180" s="68">
        <f t="shared" si="38"/>
        <v>1</v>
      </c>
      <c r="S180" s="68">
        <f t="shared" si="39"/>
        <v>2</v>
      </c>
      <c r="T180" s="65"/>
      <c r="U180" s="65"/>
      <c r="V180" s="49" t="str">
        <f t="shared" si="40"/>
        <v/>
      </c>
      <c r="W180" s="68">
        <f>IF(V180="",0,DATEDIF(V180,P180,"Y"))</f>
        <v>0</v>
      </c>
      <c r="X180" s="68">
        <f>IF(V180="",0,DATEDIF(V180,P180,"YM"))</f>
        <v>0</v>
      </c>
      <c r="Y180" s="68">
        <f>IF(V180="",0,DATEDIF(V180,P180,"MD"))</f>
        <v>0</v>
      </c>
      <c r="Z180" s="49"/>
      <c r="AA180" s="65"/>
      <c r="AB180" s="50" t="str">
        <f t="shared" si="41"/>
        <v/>
      </c>
      <c r="AC180" s="68">
        <f t="shared" si="42"/>
        <v>0</v>
      </c>
      <c r="AD180" s="68">
        <f t="shared" si="43"/>
        <v>0</v>
      </c>
      <c r="AE180" s="68">
        <f t="shared" si="44"/>
        <v>0</v>
      </c>
      <c r="AF180" s="50"/>
      <c r="AG180" s="50" t="s">
        <v>512</v>
      </c>
      <c r="AH180" s="49" t="str">
        <f>IF(AG180="นิติศาสตร์","K5-LAW","K5-POLICY")</f>
        <v>K5-POLICY</v>
      </c>
      <c r="AI180" s="72" t="str">
        <f>_xlfn.IFS(B180="","",AND(AH180="K5-LAW",AG180="นิติศาสตร์",K180="S2",T180="",Z180=""),P180,AND(AH180="K5-LAW",AG180="นิติศาสตร์",K180="S1",T180="",Z180=""),EDATE(P180,12),AND(AH180="K5-LAW",AG180="นิติศาสตร์",OR(K180="M2",K180="K4"),T180="",Z180=""),EDATE(P180,12*2),AND(AH180="K5-LAW",AG180="นิติศาสตร์",OR(Z180="M2",Z180="K4"),AC180&gt;=2,OR(AB180&lt;V180,AB180&lt;P180)),EDATE(AB180,12*2),AND(AH180="K5-LAW",AG180="นิติศาสตร์",Z180="S1",AC180&gt;=1,OR(AB180&lt;V180,AB180&lt;P180)),EDATE(AB180,12),AND(AH180="K5-LAW",AG180="นิติศาสตร์",OR(T180="M2",T180="K4"),W180&gt;=2,V180&lt;P180),EDATE(V180,12*2),AND(AH180="K5-LAW",AG180="นิติศาสตร์",T180="S1",W180&gt;=1,V180&lt;P180),EDATE(V180,12),AND(AH180="K5-LAW",AG180="นิติศาสตร์",OR(T180="S2",T180="K5")),V180,AND(AH180="K5-LAW",AG180="นิติศาสตร์",OR(K180="M2",K180="K4"),Q180&gt;=2),EDATE(P180,12*2),AND(AH180="K5-LAW",AG180="นิติศาสตร์",K180="S1",Q180&gt;=1),EDATE(P180,12),AND(AH180="K5-LAW",AG180="นิติศาสตร์",OR(K180="S2",K180="K5")),P180,AND(AH180="K5-POLICY",AG180&lt;&gt;"นิติศาสตร์",K180="S2",T180="",Z180=""),P180,AND(AH180="K5-POLICY",AG180&lt;&gt;"นิติศาสตร์",K180="S1",T180="",Z180=""),EDATE(P180,12),AND(AH180="K5-POLICY",AG180&lt;&gt;"นิติศาสตร์",OR(K180="M2",K180="K4"),T180="",Z180=""),EDATE(P180,12*2),AND(AH180="K5-POLICY",AG180&lt;&gt;"นิติศาสตร์",OR(Z180="M2",Z180="K4"),AC180&gt;=2,OR(AB180&lt;V180,AB180&lt;P180)),EDATE(AB180,12*2),AND(AH180="K5-POLICY",AG180&lt;&gt;"นิติศาสตร์",Z180="S1",AC180&gt;=1,OR(AB180&lt;V180,AB180&lt;P180)),EDATE(AB180,12),AND(AH180="K5-POLICY",AG180&lt;&gt;"นิติศาสตร์",OR(T180="M2",T180="K4"),W180&gt;=2,V180&lt;P180),EDATE(V180,12*2),AND(AH180="K5-POLICY",AG180&lt;&gt;"นิติศาสตร์",T180="S1",W180&gt;=1,V180&lt;P180),EDATE(V180,12),AND(AH180="K5-POLICY",AG180&lt;&gt;"นิติศาสตร์",OR(T180="S2",T180="K5")),V180,AND(AH180="K5-POLICY",AG180&lt;&gt;"นิติศาสตร์",OR(K180="M2",K180="K4"),Q180&gt;=2),EDATE(P180,12*2),AND(AH180="K5-POLICY",AG180&lt;&gt;"นิติศาสตร์",K180="S1",Q180&gt;=1),EDATE(P180,12),AND(AH180="K5-POLICY",AG180&lt;&gt;"นิติศาสตร์",OR(K180="S2",K180="K5")),P180,TRUE,"Check Data")</f>
        <v/>
      </c>
      <c r="AJ180" s="75" t="str">
        <f t="shared" si="45"/>
        <v>Check Data</v>
      </c>
      <c r="AK180" s="76" t="str">
        <f t="shared" si="46"/>
        <v>Check Data</v>
      </c>
      <c r="AL180" s="50" t="str">
        <f t="shared" si="47"/>
        <v>Check Data</v>
      </c>
      <c r="AM180" s="49" t="str">
        <f>IF(B180="","",IF(K180="S1","S1",INDEX(#REF!,#REF!)))</f>
        <v/>
      </c>
      <c r="AN180" s="49" t="str">
        <f>K180</f>
        <v>M2</v>
      </c>
      <c r="AO180" s="50" t="b">
        <f>K180=AM180</f>
        <v>0</v>
      </c>
      <c r="AP180" s="50"/>
    </row>
    <row r="181" spans="1:42" ht="21.75">
      <c r="A181" s="49">
        <v>179</v>
      </c>
      <c r="B181" s="50"/>
      <c r="C181" s="50"/>
      <c r="D181" s="50" t="s">
        <v>143</v>
      </c>
      <c r="E181" s="49" t="s">
        <v>344</v>
      </c>
      <c r="F181" s="49" t="str">
        <f t="shared" si="32"/>
        <v>15/08/2001</v>
      </c>
      <c r="G181" s="50">
        <f t="shared" si="33"/>
        <v>23</v>
      </c>
      <c r="H181" s="50">
        <f t="shared" si="34"/>
        <v>10</v>
      </c>
      <c r="I181" s="50">
        <f t="shared" si="35"/>
        <v>5</v>
      </c>
      <c r="J181" s="59"/>
      <c r="K181" s="49" t="s">
        <v>136</v>
      </c>
      <c r="L181" s="64"/>
      <c r="M181" s="49" t="s">
        <v>427</v>
      </c>
      <c r="N181" s="49">
        <v>2578</v>
      </c>
      <c r="O181" s="65" t="s">
        <v>294</v>
      </c>
      <c r="P181" s="49" t="str">
        <f t="shared" si="36"/>
        <v>18/05/2023</v>
      </c>
      <c r="Q181" s="68">
        <f t="shared" si="37"/>
        <v>2</v>
      </c>
      <c r="R181" s="68">
        <f t="shared" si="38"/>
        <v>1</v>
      </c>
      <c r="S181" s="68">
        <f t="shared" si="39"/>
        <v>2</v>
      </c>
      <c r="T181" s="65"/>
      <c r="U181" s="65"/>
      <c r="V181" s="49" t="str">
        <f t="shared" si="40"/>
        <v/>
      </c>
      <c r="W181" s="68">
        <f>IF(V181="",0,DATEDIF(V181,P181,"Y"))</f>
        <v>0</v>
      </c>
      <c r="X181" s="68">
        <f>IF(V181="",0,DATEDIF(V181,P181,"YM"))</f>
        <v>0</v>
      </c>
      <c r="Y181" s="68">
        <f>IF(V181="",0,DATEDIF(V181,P181,"MD"))</f>
        <v>0</v>
      </c>
      <c r="Z181" s="49"/>
      <c r="AA181" s="65"/>
      <c r="AB181" s="50" t="str">
        <f t="shared" si="41"/>
        <v/>
      </c>
      <c r="AC181" s="68">
        <f t="shared" si="42"/>
        <v>0</v>
      </c>
      <c r="AD181" s="68">
        <f t="shared" si="43"/>
        <v>0</v>
      </c>
      <c r="AE181" s="68">
        <f t="shared" si="44"/>
        <v>0</v>
      </c>
      <c r="AF181" s="50"/>
      <c r="AG181" s="50" t="s">
        <v>138</v>
      </c>
      <c r="AH181" s="49" t="str">
        <f>IF(AG181="นิติศาสตร์","K5-LAW","K5-POLICY")</f>
        <v>K5-LAW</v>
      </c>
      <c r="AI181" s="72" t="str">
        <f>_xlfn.IFS(B181="","",AND(AH181="K5-LAW",AG181="นิติศาสตร์",K181="S2",T181="",Z181=""),P181,AND(AH181="K5-LAW",AG181="นิติศาสตร์",K181="S1",T181="",Z181=""),EDATE(P181,12),AND(AH181="K5-LAW",AG181="นิติศาสตร์",OR(K181="M2",K181="K4"),T181="",Z181=""),EDATE(P181,12*2),AND(AH181="K5-LAW",AG181="นิติศาสตร์",OR(Z181="M2",Z181="K4"),AC181&gt;=2,OR(AB181&lt;V181,AB181&lt;P181)),EDATE(AB181,12*2),AND(AH181="K5-LAW",AG181="นิติศาสตร์",Z181="S1",AC181&gt;=1,OR(AB181&lt;V181,AB181&lt;P181)),EDATE(AB181,12),AND(AH181="K5-LAW",AG181="นิติศาสตร์",OR(T181="M2",T181="K4"),W181&gt;=2,V181&lt;P181),EDATE(V181,12*2),AND(AH181="K5-LAW",AG181="นิติศาสตร์",T181="S1",W181&gt;=1,V181&lt;P181),EDATE(V181,12),AND(AH181="K5-LAW",AG181="นิติศาสตร์",OR(T181="S2",T181="K5")),V181,AND(AH181="K5-LAW",AG181="นิติศาสตร์",OR(K181="M2",K181="K4"),Q181&gt;=2),EDATE(P181,12*2),AND(AH181="K5-LAW",AG181="นิติศาสตร์",K181="S1",Q181&gt;=1),EDATE(P181,12),AND(AH181="K5-LAW",AG181="นิติศาสตร์",OR(K181="S2",K181="K5")),P181,AND(AH181="K5-POLICY",AG181&lt;&gt;"นิติศาสตร์",K181="S2",T181="",Z181=""),P181,AND(AH181="K5-POLICY",AG181&lt;&gt;"นิติศาสตร์",K181="S1",T181="",Z181=""),EDATE(P181,12),AND(AH181="K5-POLICY",AG181&lt;&gt;"นิติศาสตร์",OR(K181="M2",K181="K4"),T181="",Z181=""),EDATE(P181,12*2),AND(AH181="K5-POLICY",AG181&lt;&gt;"นิติศาสตร์",OR(Z181="M2",Z181="K4"),AC181&gt;=2,OR(AB181&lt;V181,AB181&lt;P181)),EDATE(AB181,12*2),AND(AH181="K5-POLICY",AG181&lt;&gt;"นิติศาสตร์",Z181="S1",AC181&gt;=1,OR(AB181&lt;V181,AB181&lt;P181)),EDATE(AB181,12),AND(AH181="K5-POLICY",AG181&lt;&gt;"นิติศาสตร์",OR(T181="M2",T181="K4"),W181&gt;=2,V181&lt;P181),EDATE(V181,12*2),AND(AH181="K5-POLICY",AG181&lt;&gt;"นิติศาสตร์",T181="S1",W181&gt;=1,V181&lt;P181),EDATE(V181,12),AND(AH181="K5-POLICY",AG181&lt;&gt;"นิติศาสตร์",OR(T181="S2",T181="K5")),V181,AND(AH181="K5-POLICY",AG181&lt;&gt;"นิติศาสตร์",OR(K181="M2",K181="K4"),Q181&gt;=2),EDATE(P181,12*2),AND(AH181="K5-POLICY",AG181&lt;&gt;"นิติศาสตร์",K181="S1",Q181&gt;=1),EDATE(P181,12),AND(AH181="K5-POLICY",AG181&lt;&gt;"นิติศาสตร์",OR(K181="S2",K181="K5")),P181,TRUE,"Check Data")</f>
        <v/>
      </c>
      <c r="AJ181" s="75" t="str">
        <f t="shared" si="45"/>
        <v>Check Data</v>
      </c>
      <c r="AK181" s="76" t="str">
        <f t="shared" si="46"/>
        <v>Check Data</v>
      </c>
      <c r="AL181" s="50" t="str">
        <f t="shared" si="47"/>
        <v>Check Data</v>
      </c>
      <c r="AM181" s="49" t="str">
        <f>IF(B181="","",IF(K181="S1","S1",INDEX(#REF!,#REF!)))</f>
        <v/>
      </c>
      <c r="AN181" s="49" t="str">
        <f>K181</f>
        <v>M2</v>
      </c>
      <c r="AO181" s="50" t="b">
        <f>K181=AM181</f>
        <v>0</v>
      </c>
      <c r="AP181" s="50"/>
    </row>
    <row r="182" spans="1:42" ht="21.75">
      <c r="A182" s="49">
        <v>180</v>
      </c>
      <c r="B182" s="50"/>
      <c r="C182" s="50"/>
      <c r="D182" s="50" t="s">
        <v>143</v>
      </c>
      <c r="E182" s="49" t="s">
        <v>369</v>
      </c>
      <c r="F182" s="49" t="str">
        <f t="shared" si="32"/>
        <v>07/04/1998</v>
      </c>
      <c r="G182" s="50">
        <f t="shared" si="33"/>
        <v>27</v>
      </c>
      <c r="H182" s="50">
        <f t="shared" si="34"/>
        <v>2</v>
      </c>
      <c r="I182" s="50">
        <f t="shared" si="35"/>
        <v>13</v>
      </c>
      <c r="J182" s="59"/>
      <c r="K182" s="49" t="s">
        <v>136</v>
      </c>
      <c r="L182" s="64"/>
      <c r="M182" s="49" t="s">
        <v>427</v>
      </c>
      <c r="N182" s="49">
        <v>2581</v>
      </c>
      <c r="O182" s="65" t="s">
        <v>294</v>
      </c>
      <c r="P182" s="49" t="str">
        <f t="shared" si="36"/>
        <v>18/05/2023</v>
      </c>
      <c r="Q182" s="68">
        <f t="shared" si="37"/>
        <v>2</v>
      </c>
      <c r="R182" s="68">
        <f t="shared" si="38"/>
        <v>1</v>
      </c>
      <c r="S182" s="68">
        <f t="shared" si="39"/>
        <v>2</v>
      </c>
      <c r="T182" s="65"/>
      <c r="U182" s="65"/>
      <c r="V182" s="49" t="str">
        <f t="shared" si="40"/>
        <v/>
      </c>
      <c r="W182" s="68">
        <f>IF(V182="",0,DATEDIF(V182,P182,"Y"))</f>
        <v>0</v>
      </c>
      <c r="X182" s="68">
        <f>IF(V182="",0,DATEDIF(V182,P182,"YM"))</f>
        <v>0</v>
      </c>
      <c r="Y182" s="68">
        <f>IF(V182="",0,DATEDIF(V182,P182,"MD"))</f>
        <v>0</v>
      </c>
      <c r="Z182" s="49"/>
      <c r="AA182" s="65"/>
      <c r="AB182" s="50" t="str">
        <f t="shared" si="41"/>
        <v/>
      </c>
      <c r="AC182" s="68">
        <f t="shared" si="42"/>
        <v>0</v>
      </c>
      <c r="AD182" s="68">
        <f t="shared" si="43"/>
        <v>0</v>
      </c>
      <c r="AE182" s="68">
        <f t="shared" si="44"/>
        <v>0</v>
      </c>
      <c r="AF182" s="50"/>
      <c r="AG182" s="50" t="s">
        <v>486</v>
      </c>
      <c r="AH182" s="49" t="str">
        <f>IF(AG182="นิติศาสตร์","K5-LAW","K5-POLICY")</f>
        <v>K5-POLICY</v>
      </c>
      <c r="AI182" s="72" t="str">
        <f>_xlfn.IFS(B182="","",AND(AH182="K5-LAW",AG182="นิติศาสตร์",K182="S2",T182="",Z182=""),P182,AND(AH182="K5-LAW",AG182="นิติศาสตร์",K182="S1",T182="",Z182=""),EDATE(P182,12),AND(AH182="K5-LAW",AG182="นิติศาสตร์",OR(K182="M2",K182="K4"),T182="",Z182=""),EDATE(P182,12*2),AND(AH182="K5-LAW",AG182="นิติศาสตร์",OR(Z182="M2",Z182="K4"),AC182&gt;=2,OR(AB182&lt;V182,AB182&lt;P182)),EDATE(AB182,12*2),AND(AH182="K5-LAW",AG182="นิติศาสตร์",Z182="S1",AC182&gt;=1,OR(AB182&lt;V182,AB182&lt;P182)),EDATE(AB182,12),AND(AH182="K5-LAW",AG182="นิติศาสตร์",OR(T182="M2",T182="K4"),W182&gt;=2,V182&lt;P182),EDATE(V182,12*2),AND(AH182="K5-LAW",AG182="นิติศาสตร์",T182="S1",W182&gt;=1,V182&lt;P182),EDATE(V182,12),AND(AH182="K5-LAW",AG182="นิติศาสตร์",OR(T182="S2",T182="K5")),V182,AND(AH182="K5-LAW",AG182="นิติศาสตร์",OR(K182="M2",K182="K4"),Q182&gt;=2),EDATE(P182,12*2),AND(AH182="K5-LAW",AG182="นิติศาสตร์",K182="S1",Q182&gt;=1),EDATE(P182,12),AND(AH182="K5-LAW",AG182="นิติศาสตร์",OR(K182="S2",K182="K5")),P182,AND(AH182="K5-POLICY",AG182&lt;&gt;"นิติศาสตร์",K182="S2",T182="",Z182=""),P182,AND(AH182="K5-POLICY",AG182&lt;&gt;"นิติศาสตร์",K182="S1",T182="",Z182=""),EDATE(P182,12),AND(AH182="K5-POLICY",AG182&lt;&gt;"นิติศาสตร์",OR(K182="M2",K182="K4"),T182="",Z182=""),EDATE(P182,12*2),AND(AH182="K5-POLICY",AG182&lt;&gt;"นิติศาสตร์",OR(Z182="M2",Z182="K4"),AC182&gt;=2,OR(AB182&lt;V182,AB182&lt;P182)),EDATE(AB182,12*2),AND(AH182="K5-POLICY",AG182&lt;&gt;"นิติศาสตร์",Z182="S1",AC182&gt;=1,OR(AB182&lt;V182,AB182&lt;P182)),EDATE(AB182,12),AND(AH182="K5-POLICY",AG182&lt;&gt;"นิติศาสตร์",OR(T182="M2",T182="K4"),W182&gt;=2,V182&lt;P182),EDATE(V182,12*2),AND(AH182="K5-POLICY",AG182&lt;&gt;"นิติศาสตร์",T182="S1",W182&gt;=1,V182&lt;P182),EDATE(V182,12),AND(AH182="K5-POLICY",AG182&lt;&gt;"นิติศาสตร์",OR(T182="S2",T182="K5")),V182,AND(AH182="K5-POLICY",AG182&lt;&gt;"นิติศาสตร์",OR(K182="M2",K182="K4"),Q182&gt;=2),EDATE(P182,12*2),AND(AH182="K5-POLICY",AG182&lt;&gt;"นิติศาสตร์",K182="S1",Q182&gt;=1),EDATE(P182,12),AND(AH182="K5-POLICY",AG182&lt;&gt;"นิติศาสตร์",OR(K182="S2",K182="K5")),P182,TRUE,"Check Data")</f>
        <v/>
      </c>
      <c r="AJ182" s="75" t="str">
        <f t="shared" si="45"/>
        <v>Check Data</v>
      </c>
      <c r="AK182" s="76" t="str">
        <f t="shared" si="46"/>
        <v>Check Data</v>
      </c>
      <c r="AL182" s="50" t="str">
        <f t="shared" si="47"/>
        <v>Check Data</v>
      </c>
      <c r="AM182" s="49" t="str">
        <f>IF(B182="","",IF(K182="S1","S1",INDEX(#REF!,#REF!)))</f>
        <v/>
      </c>
      <c r="AN182" s="49" t="str">
        <f>K182</f>
        <v>M2</v>
      </c>
      <c r="AO182" s="50" t="b">
        <f>K182=AM182</f>
        <v>0</v>
      </c>
      <c r="AP182" s="50"/>
    </row>
    <row r="183" spans="1:42" ht="21.75">
      <c r="A183" s="49">
        <v>181</v>
      </c>
      <c r="B183" s="50"/>
      <c r="C183" s="50"/>
      <c r="D183" s="50" t="s">
        <v>143</v>
      </c>
      <c r="E183" s="49" t="s">
        <v>368</v>
      </c>
      <c r="F183" s="49" t="str">
        <f t="shared" si="32"/>
        <v>30/08/2002</v>
      </c>
      <c r="G183" s="50">
        <f t="shared" si="33"/>
        <v>22</v>
      </c>
      <c r="H183" s="50">
        <f t="shared" si="34"/>
        <v>9</v>
      </c>
      <c r="I183" s="50">
        <f t="shared" si="35"/>
        <v>21</v>
      </c>
      <c r="J183" s="59"/>
      <c r="K183" s="49" t="s">
        <v>136</v>
      </c>
      <c r="L183" s="64"/>
      <c r="M183" s="49" t="s">
        <v>427</v>
      </c>
      <c r="N183" s="49">
        <v>2577</v>
      </c>
      <c r="O183" s="65" t="s">
        <v>294</v>
      </c>
      <c r="P183" s="49" t="str">
        <f t="shared" si="36"/>
        <v>18/05/2023</v>
      </c>
      <c r="Q183" s="68">
        <f t="shared" si="37"/>
        <v>2</v>
      </c>
      <c r="R183" s="68">
        <f t="shared" si="38"/>
        <v>1</v>
      </c>
      <c r="S183" s="68">
        <f t="shared" si="39"/>
        <v>2</v>
      </c>
      <c r="T183" s="65"/>
      <c r="U183" s="65"/>
      <c r="V183" s="49" t="str">
        <f t="shared" si="40"/>
        <v/>
      </c>
      <c r="W183" s="68">
        <f>IF(V183="",0,DATEDIF(V183,P183,"Y"))</f>
        <v>0</v>
      </c>
      <c r="X183" s="68">
        <f>IF(V183="",0,DATEDIF(V183,P183,"YM"))</f>
        <v>0</v>
      </c>
      <c r="Y183" s="68">
        <f>IF(V183="",0,DATEDIF(V183,P183,"MD"))</f>
        <v>0</v>
      </c>
      <c r="Z183" s="49"/>
      <c r="AA183" s="65"/>
      <c r="AB183" s="50" t="str">
        <f t="shared" si="41"/>
        <v/>
      </c>
      <c r="AC183" s="68">
        <f t="shared" si="42"/>
        <v>0</v>
      </c>
      <c r="AD183" s="68">
        <f t="shared" si="43"/>
        <v>0</v>
      </c>
      <c r="AE183" s="68">
        <f t="shared" si="44"/>
        <v>0</v>
      </c>
      <c r="AF183" s="50"/>
      <c r="AG183" s="50" t="s">
        <v>138</v>
      </c>
      <c r="AH183" s="49" t="str">
        <f>IF(AG183="นิติศาสตร์","K5-LAW","K5-POLICY")</f>
        <v>K5-LAW</v>
      </c>
      <c r="AI183" s="72" t="str">
        <f>_xlfn.IFS(B183="","",AND(AH183="K5-LAW",AG183="นิติศาสตร์",K183="S2",T183="",Z183=""),P183,AND(AH183="K5-LAW",AG183="นิติศาสตร์",K183="S1",T183="",Z183=""),EDATE(P183,12),AND(AH183="K5-LAW",AG183="นิติศาสตร์",OR(K183="M2",K183="K4"),T183="",Z183=""),EDATE(P183,12*2),AND(AH183="K5-LAW",AG183="นิติศาสตร์",OR(Z183="M2",Z183="K4"),AC183&gt;=2,OR(AB183&lt;V183,AB183&lt;P183)),EDATE(AB183,12*2),AND(AH183="K5-LAW",AG183="นิติศาสตร์",Z183="S1",AC183&gt;=1,OR(AB183&lt;V183,AB183&lt;P183)),EDATE(AB183,12),AND(AH183="K5-LAW",AG183="นิติศาสตร์",OR(T183="M2",T183="K4"),W183&gt;=2,V183&lt;P183),EDATE(V183,12*2),AND(AH183="K5-LAW",AG183="นิติศาสตร์",T183="S1",W183&gt;=1,V183&lt;P183),EDATE(V183,12),AND(AH183="K5-LAW",AG183="นิติศาสตร์",OR(T183="S2",T183="K5")),V183,AND(AH183="K5-LAW",AG183="นิติศาสตร์",OR(K183="M2",K183="K4"),Q183&gt;=2),EDATE(P183,12*2),AND(AH183="K5-LAW",AG183="นิติศาสตร์",K183="S1",Q183&gt;=1),EDATE(P183,12),AND(AH183="K5-LAW",AG183="นิติศาสตร์",OR(K183="S2",K183="K5")),P183,AND(AH183="K5-POLICY",AG183&lt;&gt;"นิติศาสตร์",K183="S2",T183="",Z183=""),P183,AND(AH183="K5-POLICY",AG183&lt;&gt;"นิติศาสตร์",K183="S1",T183="",Z183=""),EDATE(P183,12),AND(AH183="K5-POLICY",AG183&lt;&gt;"นิติศาสตร์",OR(K183="M2",K183="K4"),T183="",Z183=""),EDATE(P183,12*2),AND(AH183="K5-POLICY",AG183&lt;&gt;"นิติศาสตร์",OR(Z183="M2",Z183="K4"),AC183&gt;=2,OR(AB183&lt;V183,AB183&lt;P183)),EDATE(AB183,12*2),AND(AH183="K5-POLICY",AG183&lt;&gt;"นิติศาสตร์",Z183="S1",AC183&gt;=1,OR(AB183&lt;V183,AB183&lt;P183)),EDATE(AB183,12),AND(AH183="K5-POLICY",AG183&lt;&gt;"นิติศาสตร์",OR(T183="M2",T183="K4"),W183&gt;=2,V183&lt;P183),EDATE(V183,12*2),AND(AH183="K5-POLICY",AG183&lt;&gt;"นิติศาสตร์",T183="S1",W183&gt;=1,V183&lt;P183),EDATE(V183,12),AND(AH183="K5-POLICY",AG183&lt;&gt;"นิติศาสตร์",OR(T183="S2",T183="K5")),V183,AND(AH183="K5-POLICY",AG183&lt;&gt;"นิติศาสตร์",OR(K183="M2",K183="K4"),Q183&gt;=2),EDATE(P183,12*2),AND(AH183="K5-POLICY",AG183&lt;&gt;"นิติศาสตร์",K183="S1",Q183&gt;=1),EDATE(P183,12),AND(AH183="K5-POLICY",AG183&lt;&gt;"นิติศาสตร์",OR(K183="S2",K183="K5")),P183,TRUE,"Check Data")</f>
        <v/>
      </c>
      <c r="AJ183" s="75" t="str">
        <f t="shared" si="45"/>
        <v>Check Data</v>
      </c>
      <c r="AK183" s="76" t="str">
        <f t="shared" si="46"/>
        <v>Check Data</v>
      </c>
      <c r="AL183" s="50" t="str">
        <f t="shared" si="47"/>
        <v>Check Data</v>
      </c>
      <c r="AM183" s="49" t="str">
        <f>IF(B183="","",IF(K183="S1","S1",INDEX(#REF!,#REF!)))</f>
        <v/>
      </c>
      <c r="AN183" s="49" t="str">
        <f>K183</f>
        <v>M2</v>
      </c>
      <c r="AO183" s="50" t="b">
        <f>K183=AM183</f>
        <v>0</v>
      </c>
      <c r="AP183" s="50"/>
    </row>
    <row r="184" spans="1:42" ht="21.75">
      <c r="A184" s="49">
        <v>182</v>
      </c>
      <c r="B184" s="50"/>
      <c r="C184" s="50"/>
      <c r="D184" s="50" t="s">
        <v>144</v>
      </c>
      <c r="E184" s="49" t="s">
        <v>164</v>
      </c>
      <c r="F184" s="49" t="str">
        <f t="shared" si="32"/>
        <v>01/05/1990</v>
      </c>
      <c r="G184" s="50">
        <f t="shared" si="33"/>
        <v>35</v>
      </c>
      <c r="H184" s="50">
        <f t="shared" si="34"/>
        <v>1</v>
      </c>
      <c r="I184" s="50">
        <f t="shared" si="35"/>
        <v>19</v>
      </c>
      <c r="J184" s="59"/>
      <c r="K184" s="49" t="s">
        <v>136</v>
      </c>
      <c r="L184" s="64"/>
      <c r="M184" s="49" t="s">
        <v>425</v>
      </c>
      <c r="N184" s="49">
        <v>2573</v>
      </c>
      <c r="O184" s="65" t="s">
        <v>207</v>
      </c>
      <c r="P184" s="49" t="str">
        <f t="shared" si="36"/>
        <v>09/06/2023</v>
      </c>
      <c r="Q184" s="68">
        <f t="shared" si="37"/>
        <v>2</v>
      </c>
      <c r="R184" s="68">
        <f t="shared" si="38"/>
        <v>0</v>
      </c>
      <c r="S184" s="68">
        <f t="shared" si="39"/>
        <v>11</v>
      </c>
      <c r="T184" s="65" t="s">
        <v>137</v>
      </c>
      <c r="U184" s="65" t="s">
        <v>522</v>
      </c>
      <c r="V184" s="49" t="str">
        <f t="shared" si="40"/>
        <v>11/11/2015</v>
      </c>
      <c r="W184" s="68">
        <f>IF(V184="",0,DATEDIF(V184,P184,"Y"))</f>
        <v>7</v>
      </c>
      <c r="X184" s="68">
        <f>IF(V184="",0,DATEDIF(V184,P184,"YM"))</f>
        <v>6</v>
      </c>
      <c r="Y184" s="68">
        <f>IF(V184="",0,DATEDIF(V184,P184,"MD"))</f>
        <v>29</v>
      </c>
      <c r="Z184" s="49"/>
      <c r="AA184" s="65"/>
      <c r="AB184" s="50" t="str">
        <f t="shared" si="41"/>
        <v/>
      </c>
      <c r="AC184" s="68">
        <f t="shared" si="42"/>
        <v>0</v>
      </c>
      <c r="AD184" s="68">
        <f t="shared" si="43"/>
        <v>0</v>
      </c>
      <c r="AE184" s="68">
        <f t="shared" si="44"/>
        <v>0</v>
      </c>
      <c r="AF184" s="50"/>
      <c r="AG184" s="50" t="s">
        <v>163</v>
      </c>
      <c r="AH184" s="49" t="str">
        <f>IF(AG184="นิติศาสตร์","K5-LAW","K5-POLICY")</f>
        <v>K5-POLICY</v>
      </c>
      <c r="AI184" s="72" t="str">
        <f>_xlfn.IFS(B184="","",AND(AH184="K5-LAW",AG184="นิติศาสตร์",K184="S2",T184="",Z184=""),P184,AND(AH184="K5-LAW",AG184="นิติศาสตร์",K184="S1",T184="",Z184=""),EDATE(P184,12),AND(AH184="K5-LAW",AG184="นิติศาสตร์",OR(K184="M2",K184="K4"),T184="",Z184=""),EDATE(P184,12*2),AND(AH184="K5-LAW",AG184="นิติศาสตร์",OR(Z184="M2",Z184="K4"),AC184&gt;=2,OR(AB184&lt;V184,AB184&lt;P184)),EDATE(AB184,12*2),AND(AH184="K5-LAW",AG184="นิติศาสตร์",Z184="S1",AC184&gt;=1,OR(AB184&lt;V184,AB184&lt;P184)),EDATE(AB184,12),AND(AH184="K5-LAW",AG184="นิติศาสตร์",OR(T184="M2",T184="K4"),W184&gt;=2,V184&lt;P184),EDATE(V184,12*2),AND(AH184="K5-LAW",AG184="นิติศาสตร์",T184="S1",W184&gt;=1,V184&lt;P184),EDATE(V184,12),AND(AH184="K5-LAW",AG184="นิติศาสตร์",OR(T184="S2",T184="K5")),V184,AND(AH184="K5-LAW",AG184="นิติศาสตร์",OR(K184="M2",K184="K4"),Q184&gt;=2),EDATE(P184,12*2),AND(AH184="K5-LAW",AG184="นิติศาสตร์",K184="S1",Q184&gt;=1),EDATE(P184,12),AND(AH184="K5-LAW",AG184="นิติศาสตร์",OR(K184="S2",K184="K5")),P184,AND(AH184="K5-POLICY",AG184&lt;&gt;"นิติศาสตร์",K184="S2",T184="",Z184=""),P184,AND(AH184="K5-POLICY",AG184&lt;&gt;"นิติศาสตร์",K184="S1",T184="",Z184=""),EDATE(P184,12),AND(AH184="K5-POLICY",AG184&lt;&gt;"นิติศาสตร์",OR(K184="M2",K184="K4"),T184="",Z184=""),EDATE(P184,12*2),AND(AH184="K5-POLICY",AG184&lt;&gt;"นิติศาสตร์",OR(Z184="M2",Z184="K4"),AC184&gt;=2,OR(AB184&lt;V184,AB184&lt;P184)),EDATE(AB184,12*2),AND(AH184="K5-POLICY",AG184&lt;&gt;"นิติศาสตร์",Z184="S1",AC184&gt;=1,OR(AB184&lt;V184,AB184&lt;P184)),EDATE(AB184,12),AND(AH184="K5-POLICY",AG184&lt;&gt;"นิติศาสตร์",OR(T184="M2",T184="K4"),W184&gt;=2,V184&lt;P184),EDATE(V184,12*2),AND(AH184="K5-POLICY",AG184&lt;&gt;"นิติศาสตร์",T184="S1",W184&gt;=1,V184&lt;P184),EDATE(V184,12),AND(AH184="K5-POLICY",AG184&lt;&gt;"นิติศาสตร์",OR(T184="S2",T184="K5")),V184,AND(AH184="K5-POLICY",AG184&lt;&gt;"นิติศาสตร์",OR(K184="M2",K184="K4"),Q184&gt;=2),EDATE(P184,12*2),AND(AH184="K5-POLICY",AG184&lt;&gt;"นิติศาสตร์",K184="S1",Q184&gt;=1),EDATE(P184,12),AND(AH184="K5-POLICY",AG184&lt;&gt;"นิติศาสตร์",OR(K184="S2",K184="K5")),P184,TRUE,"Check Data")</f>
        <v/>
      </c>
      <c r="AJ184" s="75" t="str">
        <f t="shared" si="45"/>
        <v>Check Data</v>
      </c>
      <c r="AK184" s="76" t="str">
        <f t="shared" si="46"/>
        <v>Check Data</v>
      </c>
      <c r="AL184" s="50" t="str">
        <f t="shared" si="47"/>
        <v>Check Data</v>
      </c>
      <c r="AM184" s="49" t="str">
        <f>IF(B184="","",IF(K184="S1","S1",INDEX(#REF!,#REF!)))</f>
        <v/>
      </c>
      <c r="AN184" s="49" t="str">
        <f>K184</f>
        <v>M2</v>
      </c>
      <c r="AO184" s="50" t="b">
        <f>K184=AM184</f>
        <v>0</v>
      </c>
      <c r="AP184" s="50"/>
    </row>
    <row r="185" spans="1:42" ht="21.75">
      <c r="A185" s="49">
        <v>183</v>
      </c>
      <c r="B185" s="50"/>
      <c r="C185" s="50"/>
      <c r="D185" s="50" t="s">
        <v>144</v>
      </c>
      <c r="E185" s="49" t="s">
        <v>381</v>
      </c>
      <c r="F185" s="49" t="str">
        <f t="shared" si="32"/>
        <v>01/04/1993</v>
      </c>
      <c r="G185" s="50">
        <f t="shared" si="33"/>
        <v>32</v>
      </c>
      <c r="H185" s="50">
        <f t="shared" si="34"/>
        <v>2</v>
      </c>
      <c r="I185" s="50">
        <f t="shared" si="35"/>
        <v>19</v>
      </c>
      <c r="J185" s="57"/>
      <c r="K185" s="49" t="s">
        <v>136</v>
      </c>
      <c r="L185" s="64"/>
      <c r="M185" s="49" t="s">
        <v>427</v>
      </c>
      <c r="N185" s="49">
        <v>2577</v>
      </c>
      <c r="O185" s="65" t="s">
        <v>207</v>
      </c>
      <c r="P185" s="49" t="str">
        <f t="shared" si="36"/>
        <v>09/06/2023</v>
      </c>
      <c r="Q185" s="68">
        <f t="shared" si="37"/>
        <v>2</v>
      </c>
      <c r="R185" s="68">
        <f t="shared" si="38"/>
        <v>0</v>
      </c>
      <c r="S185" s="68">
        <f t="shared" si="39"/>
        <v>11</v>
      </c>
      <c r="T185" s="65"/>
      <c r="U185" s="65"/>
      <c r="V185" s="49" t="str">
        <f t="shared" si="40"/>
        <v/>
      </c>
      <c r="W185" s="68">
        <f>IF(V185="",0,DATEDIF(V185,P185,"Y"))</f>
        <v>0</v>
      </c>
      <c r="X185" s="68">
        <f>IF(V185="",0,DATEDIF(V185,P185,"YM"))</f>
        <v>0</v>
      </c>
      <c r="Y185" s="68">
        <f>IF(V185="",0,DATEDIF(V185,P185,"MD"))</f>
        <v>0</v>
      </c>
      <c r="Z185" s="49"/>
      <c r="AA185" s="65"/>
      <c r="AB185" s="50" t="str">
        <f t="shared" si="41"/>
        <v/>
      </c>
      <c r="AC185" s="68">
        <f t="shared" si="42"/>
        <v>0</v>
      </c>
      <c r="AD185" s="68">
        <f t="shared" si="43"/>
        <v>0</v>
      </c>
      <c r="AE185" s="68">
        <f t="shared" si="44"/>
        <v>0</v>
      </c>
      <c r="AF185" s="50"/>
      <c r="AG185" s="50" t="s">
        <v>163</v>
      </c>
      <c r="AH185" s="49" t="str">
        <f>IF(AG185="นิติศาสตร์","K5-LAW","K5-POLICY")</f>
        <v>K5-POLICY</v>
      </c>
      <c r="AI185" s="72" t="str">
        <f>_xlfn.IFS(B185="","",AND(AH185="K5-LAW",AG185="นิติศาสตร์",K185="S2",T185="",Z185=""),P185,AND(AH185="K5-LAW",AG185="นิติศาสตร์",K185="S1",T185="",Z185=""),EDATE(P185,12),AND(AH185="K5-LAW",AG185="นิติศาสตร์",OR(K185="M2",K185="K4"),T185="",Z185=""),EDATE(P185,12*2),AND(AH185="K5-LAW",AG185="นิติศาสตร์",OR(Z185="M2",Z185="K4"),AC185&gt;=2,OR(AB185&lt;V185,AB185&lt;P185)),EDATE(AB185,12*2),AND(AH185="K5-LAW",AG185="นิติศาสตร์",Z185="S1",AC185&gt;=1,OR(AB185&lt;V185,AB185&lt;P185)),EDATE(AB185,12),AND(AH185="K5-LAW",AG185="นิติศาสตร์",OR(T185="M2",T185="K4"),W185&gt;=2,V185&lt;P185),EDATE(V185,12*2),AND(AH185="K5-LAW",AG185="นิติศาสตร์",T185="S1",W185&gt;=1,V185&lt;P185),EDATE(V185,12),AND(AH185="K5-LAW",AG185="นิติศาสตร์",OR(T185="S2",T185="K5")),V185,AND(AH185="K5-LAW",AG185="นิติศาสตร์",OR(K185="M2",K185="K4"),Q185&gt;=2),EDATE(P185,12*2),AND(AH185="K5-LAW",AG185="นิติศาสตร์",K185="S1",Q185&gt;=1),EDATE(P185,12),AND(AH185="K5-LAW",AG185="นิติศาสตร์",OR(K185="S2",K185="K5")),P185,AND(AH185="K5-POLICY",AG185&lt;&gt;"นิติศาสตร์",K185="S2",T185="",Z185=""),P185,AND(AH185="K5-POLICY",AG185&lt;&gt;"นิติศาสตร์",K185="S1",T185="",Z185=""),EDATE(P185,12),AND(AH185="K5-POLICY",AG185&lt;&gt;"นิติศาสตร์",OR(K185="M2",K185="K4"),T185="",Z185=""),EDATE(P185,12*2),AND(AH185="K5-POLICY",AG185&lt;&gt;"นิติศาสตร์",OR(Z185="M2",Z185="K4"),AC185&gt;=2,OR(AB185&lt;V185,AB185&lt;P185)),EDATE(AB185,12*2),AND(AH185="K5-POLICY",AG185&lt;&gt;"นิติศาสตร์",Z185="S1",AC185&gt;=1,OR(AB185&lt;V185,AB185&lt;P185)),EDATE(AB185,12),AND(AH185="K5-POLICY",AG185&lt;&gt;"นิติศาสตร์",OR(T185="M2",T185="K4"),W185&gt;=2,V185&lt;P185),EDATE(V185,12*2),AND(AH185="K5-POLICY",AG185&lt;&gt;"นิติศาสตร์",T185="S1",W185&gt;=1,V185&lt;P185),EDATE(V185,12),AND(AH185="K5-POLICY",AG185&lt;&gt;"นิติศาสตร์",OR(T185="S2",T185="K5")),V185,AND(AH185="K5-POLICY",AG185&lt;&gt;"นิติศาสตร์",OR(K185="M2",K185="K4"),Q185&gt;=2),EDATE(P185,12*2),AND(AH185="K5-POLICY",AG185&lt;&gt;"นิติศาสตร์",K185="S1",Q185&gt;=1),EDATE(P185,12),AND(AH185="K5-POLICY",AG185&lt;&gt;"นิติศาสตร์",OR(K185="S2",K185="K5")),P185,TRUE,"Check Data")</f>
        <v/>
      </c>
      <c r="AJ185" s="75" t="str">
        <f t="shared" si="45"/>
        <v>Check Data</v>
      </c>
      <c r="AK185" s="76" t="str">
        <f t="shared" si="46"/>
        <v>Check Data</v>
      </c>
      <c r="AL185" s="50" t="str">
        <f t="shared" si="47"/>
        <v>Check Data</v>
      </c>
      <c r="AM185" s="49" t="str">
        <f>IF(B185="","",IF(K185="S1","S1",INDEX(#REF!,#REF!)))</f>
        <v/>
      </c>
      <c r="AN185" s="49" t="str">
        <f>K185</f>
        <v>M2</v>
      </c>
      <c r="AO185" s="50" t="b">
        <f>K185=AM185</f>
        <v>0</v>
      </c>
      <c r="AP185" s="50"/>
    </row>
    <row r="186" spans="1:42" ht="21.75">
      <c r="A186" s="49">
        <v>184</v>
      </c>
      <c r="B186" s="50"/>
      <c r="C186" s="50"/>
      <c r="D186" s="50" t="s">
        <v>144</v>
      </c>
      <c r="E186" s="49" t="s">
        <v>374</v>
      </c>
      <c r="F186" s="49" t="str">
        <f t="shared" si="32"/>
        <v>29/06/1998</v>
      </c>
      <c r="G186" s="50">
        <f t="shared" si="33"/>
        <v>26</v>
      </c>
      <c r="H186" s="50">
        <f t="shared" si="34"/>
        <v>11</v>
      </c>
      <c r="I186" s="50">
        <f t="shared" si="35"/>
        <v>22</v>
      </c>
      <c r="J186" s="57"/>
      <c r="K186" s="49" t="s">
        <v>136</v>
      </c>
      <c r="L186" s="64"/>
      <c r="M186" s="49" t="s">
        <v>426</v>
      </c>
      <c r="N186" s="49">
        <v>2574</v>
      </c>
      <c r="O186" s="65" t="s">
        <v>207</v>
      </c>
      <c r="P186" s="49" t="str">
        <f t="shared" si="36"/>
        <v>09/06/2023</v>
      </c>
      <c r="Q186" s="68">
        <f t="shared" si="37"/>
        <v>2</v>
      </c>
      <c r="R186" s="68">
        <f t="shared" si="38"/>
        <v>0</v>
      </c>
      <c r="S186" s="68">
        <f t="shared" si="39"/>
        <v>11</v>
      </c>
      <c r="T186" s="65"/>
      <c r="U186" s="65"/>
      <c r="V186" s="49" t="str">
        <f t="shared" si="40"/>
        <v/>
      </c>
      <c r="W186" s="68">
        <f>IF(V186="",0,DATEDIF(V186,P186,"Y"))</f>
        <v>0</v>
      </c>
      <c r="X186" s="68">
        <f>IF(V186="",0,DATEDIF(V186,P186,"YM"))</f>
        <v>0</v>
      </c>
      <c r="Y186" s="68">
        <f>IF(V186="",0,DATEDIF(V186,P186,"MD"))</f>
        <v>0</v>
      </c>
      <c r="Z186" s="49"/>
      <c r="AA186" s="65"/>
      <c r="AB186" s="50" t="str">
        <f t="shared" si="41"/>
        <v/>
      </c>
      <c r="AC186" s="68">
        <f t="shared" si="42"/>
        <v>0</v>
      </c>
      <c r="AD186" s="68">
        <f t="shared" si="43"/>
        <v>0</v>
      </c>
      <c r="AE186" s="68">
        <f t="shared" si="44"/>
        <v>0</v>
      </c>
      <c r="AF186" s="50"/>
      <c r="AG186" s="50" t="s">
        <v>138</v>
      </c>
      <c r="AH186" s="49" t="str">
        <f>IF(AG186="นิติศาสตร์","K5-LAW","K5-POLICY")</f>
        <v>K5-LAW</v>
      </c>
      <c r="AI186" s="72" t="str">
        <f>_xlfn.IFS(B186="","",AND(AH186="K5-LAW",AG186="นิติศาสตร์",K186="S2",T186="",Z186=""),P186,AND(AH186="K5-LAW",AG186="นิติศาสตร์",K186="S1",T186="",Z186=""),EDATE(P186,12),AND(AH186="K5-LAW",AG186="นิติศาสตร์",OR(K186="M2",K186="K4"),T186="",Z186=""),EDATE(P186,12*2),AND(AH186="K5-LAW",AG186="นิติศาสตร์",OR(Z186="M2",Z186="K4"),AC186&gt;=2,OR(AB186&lt;V186,AB186&lt;P186)),EDATE(AB186,12*2),AND(AH186="K5-LAW",AG186="นิติศาสตร์",Z186="S1",AC186&gt;=1,OR(AB186&lt;V186,AB186&lt;P186)),EDATE(AB186,12),AND(AH186="K5-LAW",AG186="นิติศาสตร์",OR(T186="M2",T186="K4"),W186&gt;=2,V186&lt;P186),EDATE(V186,12*2),AND(AH186="K5-LAW",AG186="นิติศาสตร์",T186="S1",W186&gt;=1,V186&lt;P186),EDATE(V186,12),AND(AH186="K5-LAW",AG186="นิติศาสตร์",OR(T186="S2",T186="K5")),V186,AND(AH186="K5-LAW",AG186="นิติศาสตร์",OR(K186="M2",K186="K4"),Q186&gt;=2),EDATE(P186,12*2),AND(AH186="K5-LAW",AG186="นิติศาสตร์",K186="S1",Q186&gt;=1),EDATE(P186,12),AND(AH186="K5-LAW",AG186="นิติศาสตร์",OR(K186="S2",K186="K5")),P186,AND(AH186="K5-POLICY",AG186&lt;&gt;"นิติศาสตร์",K186="S2",T186="",Z186=""),P186,AND(AH186="K5-POLICY",AG186&lt;&gt;"นิติศาสตร์",K186="S1",T186="",Z186=""),EDATE(P186,12),AND(AH186="K5-POLICY",AG186&lt;&gt;"นิติศาสตร์",OR(K186="M2",K186="K4"),T186="",Z186=""),EDATE(P186,12*2),AND(AH186="K5-POLICY",AG186&lt;&gt;"นิติศาสตร์",OR(Z186="M2",Z186="K4"),AC186&gt;=2,OR(AB186&lt;V186,AB186&lt;P186)),EDATE(AB186,12*2),AND(AH186="K5-POLICY",AG186&lt;&gt;"นิติศาสตร์",Z186="S1",AC186&gt;=1,OR(AB186&lt;V186,AB186&lt;P186)),EDATE(AB186,12),AND(AH186="K5-POLICY",AG186&lt;&gt;"นิติศาสตร์",OR(T186="M2",T186="K4"),W186&gt;=2,V186&lt;P186),EDATE(V186,12*2),AND(AH186="K5-POLICY",AG186&lt;&gt;"นิติศาสตร์",T186="S1",W186&gt;=1,V186&lt;P186),EDATE(V186,12),AND(AH186="K5-POLICY",AG186&lt;&gt;"นิติศาสตร์",OR(T186="S2",T186="K5")),V186,AND(AH186="K5-POLICY",AG186&lt;&gt;"นิติศาสตร์",OR(K186="M2",K186="K4"),Q186&gt;=2),EDATE(P186,12*2),AND(AH186="K5-POLICY",AG186&lt;&gt;"นิติศาสตร์",K186="S1",Q186&gt;=1),EDATE(P186,12),AND(AH186="K5-POLICY",AG186&lt;&gt;"นิติศาสตร์",OR(K186="S2",K186="K5")),P186,TRUE,"Check Data")</f>
        <v/>
      </c>
      <c r="AJ186" s="75" t="str">
        <f t="shared" si="45"/>
        <v>Check Data</v>
      </c>
      <c r="AK186" s="76" t="str">
        <f t="shared" si="46"/>
        <v>Check Data</v>
      </c>
      <c r="AL186" s="50" t="str">
        <f t="shared" si="47"/>
        <v>Check Data</v>
      </c>
      <c r="AM186" s="49" t="str">
        <f>IF(B186="","",IF(K186="S1","S1",INDEX(#REF!,#REF!)))</f>
        <v/>
      </c>
      <c r="AN186" s="49" t="str">
        <f>K186</f>
        <v>M2</v>
      </c>
      <c r="AO186" s="50" t="b">
        <f>K186=AM186</f>
        <v>0</v>
      </c>
      <c r="AP186" s="50"/>
    </row>
    <row r="187" spans="1:42" ht="21.75">
      <c r="A187" s="49">
        <v>185</v>
      </c>
      <c r="B187" s="50"/>
      <c r="C187" s="50"/>
      <c r="D187" s="50" t="s">
        <v>34</v>
      </c>
      <c r="E187" s="49" t="s">
        <v>206</v>
      </c>
      <c r="F187" s="49" t="str">
        <f t="shared" si="32"/>
        <v>25/12/2001</v>
      </c>
      <c r="G187" s="50">
        <f t="shared" si="33"/>
        <v>23</v>
      </c>
      <c r="H187" s="50">
        <f t="shared" si="34"/>
        <v>5</v>
      </c>
      <c r="I187" s="50">
        <f t="shared" si="35"/>
        <v>26</v>
      </c>
      <c r="J187" s="78"/>
      <c r="K187" s="49" t="s">
        <v>136</v>
      </c>
      <c r="L187" s="64"/>
      <c r="M187" s="49" t="s">
        <v>426</v>
      </c>
      <c r="N187" s="49">
        <v>2577</v>
      </c>
      <c r="O187" s="65" t="s">
        <v>207</v>
      </c>
      <c r="P187" s="49" t="str">
        <f t="shared" si="36"/>
        <v>09/06/2023</v>
      </c>
      <c r="Q187" s="68">
        <f t="shared" si="37"/>
        <v>2</v>
      </c>
      <c r="R187" s="68">
        <f t="shared" si="38"/>
        <v>0</v>
      </c>
      <c r="S187" s="68">
        <f t="shared" si="39"/>
        <v>11</v>
      </c>
      <c r="T187" s="65"/>
      <c r="U187" s="65"/>
      <c r="V187" s="49" t="str">
        <f t="shared" si="40"/>
        <v/>
      </c>
      <c r="W187" s="68">
        <f>IF(V187="",0,DATEDIF(V187,P187,"Y"))</f>
        <v>0</v>
      </c>
      <c r="X187" s="68">
        <f>IF(V187="",0,DATEDIF(V187,P187,"YM"))</f>
        <v>0</v>
      </c>
      <c r="Y187" s="68">
        <f>IF(V187="",0,DATEDIF(V187,P187,"MD"))</f>
        <v>0</v>
      </c>
      <c r="Z187" s="49"/>
      <c r="AA187" s="65"/>
      <c r="AB187" s="50" t="str">
        <f t="shared" si="41"/>
        <v/>
      </c>
      <c r="AC187" s="68">
        <f t="shared" si="42"/>
        <v>0</v>
      </c>
      <c r="AD187" s="68">
        <f t="shared" si="43"/>
        <v>0</v>
      </c>
      <c r="AE187" s="68">
        <f t="shared" si="44"/>
        <v>0</v>
      </c>
      <c r="AF187" s="50"/>
      <c r="AG187" s="50" t="s">
        <v>173</v>
      </c>
      <c r="AH187" s="49" t="str">
        <f>IF(AG187="นิติศาสตร์","K5-LAW","K5-POLICY")</f>
        <v>K5-POLICY</v>
      </c>
      <c r="AI187" s="72" t="str">
        <f>_xlfn.IFS(B187="","",AND(AH187="K5-LAW",AG187="นิติศาสตร์",K187="S2",T187="",Z187=""),P187,AND(AH187="K5-LAW",AG187="นิติศาสตร์",K187="S1",T187="",Z187=""),EDATE(P187,12),AND(AH187="K5-LAW",AG187="นิติศาสตร์",OR(K187="M2",K187="K4"),T187="",Z187=""),EDATE(P187,12*2),AND(AH187="K5-LAW",AG187="นิติศาสตร์",OR(Z187="M2",Z187="K4"),AC187&gt;=2,OR(AB187&lt;V187,AB187&lt;P187)),EDATE(AB187,12*2),AND(AH187="K5-LAW",AG187="นิติศาสตร์",Z187="S1",AC187&gt;=1,OR(AB187&lt;V187,AB187&lt;P187)),EDATE(AB187,12),AND(AH187="K5-LAW",AG187="นิติศาสตร์",OR(T187="M2",T187="K4"),W187&gt;=2,V187&lt;P187),EDATE(V187,12*2),AND(AH187="K5-LAW",AG187="นิติศาสตร์",T187="S1",W187&gt;=1,V187&lt;P187),EDATE(V187,12),AND(AH187="K5-LAW",AG187="นิติศาสตร์",OR(T187="S2",T187="K5")),V187,AND(AH187="K5-LAW",AG187="นิติศาสตร์",OR(K187="M2",K187="K4"),Q187&gt;=2),EDATE(P187,12*2),AND(AH187="K5-LAW",AG187="นิติศาสตร์",K187="S1",Q187&gt;=1),EDATE(P187,12),AND(AH187="K5-LAW",AG187="นิติศาสตร์",OR(K187="S2",K187="K5")),P187,AND(AH187="K5-POLICY",AG187&lt;&gt;"นิติศาสตร์",K187="S2",T187="",Z187=""),P187,AND(AH187="K5-POLICY",AG187&lt;&gt;"นิติศาสตร์",K187="S1",T187="",Z187=""),EDATE(P187,12),AND(AH187="K5-POLICY",AG187&lt;&gt;"นิติศาสตร์",OR(K187="M2",K187="K4"),T187="",Z187=""),EDATE(P187,12*2),AND(AH187="K5-POLICY",AG187&lt;&gt;"นิติศาสตร์",OR(Z187="M2",Z187="K4"),AC187&gt;=2,OR(AB187&lt;V187,AB187&lt;P187)),EDATE(AB187,12*2),AND(AH187="K5-POLICY",AG187&lt;&gt;"นิติศาสตร์",Z187="S1",AC187&gt;=1,OR(AB187&lt;V187,AB187&lt;P187)),EDATE(AB187,12),AND(AH187="K5-POLICY",AG187&lt;&gt;"นิติศาสตร์",OR(T187="M2",T187="K4"),W187&gt;=2,V187&lt;P187),EDATE(V187,12*2),AND(AH187="K5-POLICY",AG187&lt;&gt;"นิติศาสตร์",T187="S1",W187&gt;=1,V187&lt;P187),EDATE(V187,12),AND(AH187="K5-POLICY",AG187&lt;&gt;"นิติศาสตร์",OR(T187="S2",T187="K5")),V187,AND(AH187="K5-POLICY",AG187&lt;&gt;"นิติศาสตร์",OR(K187="M2",K187="K4"),Q187&gt;=2),EDATE(P187,12*2),AND(AH187="K5-POLICY",AG187&lt;&gt;"นิติศาสตร์",K187="S1",Q187&gt;=1),EDATE(P187,12),AND(AH187="K5-POLICY",AG187&lt;&gt;"นิติศาสตร์",OR(K187="S2",K187="K5")),P187,TRUE,"Check Data")</f>
        <v/>
      </c>
      <c r="AJ187" s="75" t="str">
        <f t="shared" si="45"/>
        <v>Check Data</v>
      </c>
      <c r="AK187" s="76" t="str">
        <f t="shared" si="46"/>
        <v>Check Data</v>
      </c>
      <c r="AL187" s="50" t="str">
        <f t="shared" si="47"/>
        <v>Check Data</v>
      </c>
      <c r="AM187" s="49" t="str">
        <f>IF(B187="","",IF(K187="S1","S1",INDEX(#REF!,#REF!)))</f>
        <v/>
      </c>
      <c r="AN187" s="49" t="str">
        <f>K187</f>
        <v>M2</v>
      </c>
      <c r="AO187" s="50" t="b">
        <f>K187=AM187</f>
        <v>0</v>
      </c>
      <c r="AP187" s="50"/>
    </row>
    <row r="188" spans="1:42" ht="21.75">
      <c r="A188" s="49">
        <v>186</v>
      </c>
      <c r="B188" s="50"/>
      <c r="C188" s="50"/>
      <c r="D188" s="50" t="s">
        <v>143</v>
      </c>
      <c r="E188" s="49" t="s">
        <v>298</v>
      </c>
      <c r="F188" s="49" t="str">
        <f t="shared" si="32"/>
        <v>18/10/2004</v>
      </c>
      <c r="G188" s="50">
        <f t="shared" si="33"/>
        <v>20</v>
      </c>
      <c r="H188" s="50">
        <f t="shared" si="34"/>
        <v>8</v>
      </c>
      <c r="I188" s="50">
        <f t="shared" si="35"/>
        <v>2</v>
      </c>
      <c r="J188" s="58"/>
      <c r="K188" s="49" t="s">
        <v>136</v>
      </c>
      <c r="L188" s="64"/>
      <c r="M188" s="49" t="s">
        <v>426</v>
      </c>
      <c r="N188" s="49">
        <v>2582</v>
      </c>
      <c r="O188" s="65" t="s">
        <v>207</v>
      </c>
      <c r="P188" s="49" t="str">
        <f t="shared" si="36"/>
        <v>09/06/2023</v>
      </c>
      <c r="Q188" s="68">
        <f t="shared" si="37"/>
        <v>2</v>
      </c>
      <c r="R188" s="68">
        <f t="shared" si="38"/>
        <v>0</v>
      </c>
      <c r="S188" s="68">
        <f t="shared" si="39"/>
        <v>11</v>
      </c>
      <c r="T188" s="65"/>
      <c r="U188" s="65"/>
      <c r="V188" s="49" t="str">
        <f t="shared" si="40"/>
        <v/>
      </c>
      <c r="W188" s="68">
        <f>IF(V188="",0,DATEDIF(V188,P188,"Y"))</f>
        <v>0</v>
      </c>
      <c r="X188" s="68">
        <f>IF(V188="",0,DATEDIF(V188,P188,"YM"))</f>
        <v>0</v>
      </c>
      <c r="Y188" s="68">
        <f>IF(V188="",0,DATEDIF(V188,P188,"MD"))</f>
        <v>0</v>
      </c>
      <c r="Z188" s="49"/>
      <c r="AA188" s="65"/>
      <c r="AB188" s="50" t="str">
        <f t="shared" si="41"/>
        <v/>
      </c>
      <c r="AC188" s="68">
        <f t="shared" si="42"/>
        <v>0</v>
      </c>
      <c r="AD188" s="68">
        <f t="shared" si="43"/>
        <v>0</v>
      </c>
      <c r="AE188" s="68">
        <f t="shared" si="44"/>
        <v>0</v>
      </c>
      <c r="AF188" s="50"/>
      <c r="AG188" s="50" t="s">
        <v>482</v>
      </c>
      <c r="AH188" s="49" t="str">
        <f>IF(AG188="นิติศาสตร์","K5-LAW","K5-POLICY")</f>
        <v>K5-POLICY</v>
      </c>
      <c r="AI188" s="72" t="str">
        <f>_xlfn.IFS(B188="","",AND(AH188="K5-LAW",AG188="นิติศาสตร์",K188="S2",T188="",Z188=""),P188,AND(AH188="K5-LAW",AG188="นิติศาสตร์",K188="S1",T188="",Z188=""),EDATE(P188,12),AND(AH188="K5-LAW",AG188="นิติศาสตร์",OR(K188="M2",K188="K4"),T188="",Z188=""),EDATE(P188,12*2),AND(AH188="K5-LAW",AG188="นิติศาสตร์",OR(Z188="M2",Z188="K4"),AC188&gt;=2,OR(AB188&lt;V188,AB188&lt;P188)),EDATE(AB188,12*2),AND(AH188="K5-LAW",AG188="นิติศาสตร์",Z188="S1",AC188&gt;=1,OR(AB188&lt;V188,AB188&lt;P188)),EDATE(AB188,12),AND(AH188="K5-LAW",AG188="นิติศาสตร์",OR(T188="M2",T188="K4"),W188&gt;=2,V188&lt;P188),EDATE(V188,12*2),AND(AH188="K5-LAW",AG188="นิติศาสตร์",T188="S1",W188&gt;=1,V188&lt;P188),EDATE(V188,12),AND(AH188="K5-LAW",AG188="นิติศาสตร์",OR(T188="S2",T188="K5")),V188,AND(AH188="K5-LAW",AG188="นิติศาสตร์",OR(K188="M2",K188="K4"),Q188&gt;=2),EDATE(P188,12*2),AND(AH188="K5-LAW",AG188="นิติศาสตร์",K188="S1",Q188&gt;=1),EDATE(P188,12),AND(AH188="K5-LAW",AG188="นิติศาสตร์",OR(K188="S2",K188="K5")),P188,AND(AH188="K5-POLICY",AG188&lt;&gt;"นิติศาสตร์",K188="S2",T188="",Z188=""),P188,AND(AH188="K5-POLICY",AG188&lt;&gt;"นิติศาสตร์",K188="S1",T188="",Z188=""),EDATE(P188,12),AND(AH188="K5-POLICY",AG188&lt;&gt;"นิติศาสตร์",OR(K188="M2",K188="K4"),T188="",Z188=""),EDATE(P188,12*2),AND(AH188="K5-POLICY",AG188&lt;&gt;"นิติศาสตร์",OR(Z188="M2",Z188="K4"),AC188&gt;=2,OR(AB188&lt;V188,AB188&lt;P188)),EDATE(AB188,12*2),AND(AH188="K5-POLICY",AG188&lt;&gt;"นิติศาสตร์",Z188="S1",AC188&gt;=1,OR(AB188&lt;V188,AB188&lt;P188)),EDATE(AB188,12),AND(AH188="K5-POLICY",AG188&lt;&gt;"นิติศาสตร์",OR(T188="M2",T188="K4"),W188&gt;=2,V188&lt;P188),EDATE(V188,12*2),AND(AH188="K5-POLICY",AG188&lt;&gt;"นิติศาสตร์",T188="S1",W188&gt;=1,V188&lt;P188),EDATE(V188,12),AND(AH188="K5-POLICY",AG188&lt;&gt;"นิติศาสตร์",OR(T188="S2",T188="K5")),V188,AND(AH188="K5-POLICY",AG188&lt;&gt;"นิติศาสตร์",OR(K188="M2",K188="K4"),Q188&gt;=2),EDATE(P188,12*2),AND(AH188="K5-POLICY",AG188&lt;&gt;"นิติศาสตร์",K188="S1",Q188&gt;=1),EDATE(P188,12),AND(AH188="K5-POLICY",AG188&lt;&gt;"นิติศาสตร์",OR(K188="S2",K188="K5")),P188,TRUE,"Check Data")</f>
        <v/>
      </c>
      <c r="AJ188" s="75" t="str">
        <f t="shared" si="45"/>
        <v>Check Data</v>
      </c>
      <c r="AK188" s="76" t="str">
        <f t="shared" si="46"/>
        <v>Check Data</v>
      </c>
      <c r="AL188" s="50" t="str">
        <f t="shared" si="47"/>
        <v>Check Data</v>
      </c>
      <c r="AM188" s="49" t="str">
        <f>IF(B188="","",IF(K188="S1","S1",INDEX(#REF!,#REF!)))</f>
        <v/>
      </c>
      <c r="AN188" s="49" t="str">
        <f>K188</f>
        <v>M2</v>
      </c>
      <c r="AO188" s="50" t="b">
        <f>K188=AM188</f>
        <v>0</v>
      </c>
      <c r="AP188" s="50"/>
    </row>
    <row r="189" spans="1:42" ht="21.75">
      <c r="A189" s="49">
        <v>187</v>
      </c>
      <c r="B189" s="50"/>
      <c r="C189" s="50"/>
      <c r="D189" s="50" t="s">
        <v>144</v>
      </c>
      <c r="E189" s="49" t="s">
        <v>190</v>
      </c>
      <c r="F189" s="49" t="str">
        <f t="shared" si="32"/>
        <v>16/03/1987</v>
      </c>
      <c r="G189" s="50">
        <f t="shared" si="33"/>
        <v>38</v>
      </c>
      <c r="H189" s="50">
        <f t="shared" si="34"/>
        <v>3</v>
      </c>
      <c r="I189" s="50">
        <f t="shared" si="35"/>
        <v>4</v>
      </c>
      <c r="J189" s="50"/>
      <c r="K189" s="49" t="s">
        <v>136</v>
      </c>
      <c r="L189" s="64"/>
      <c r="M189" s="49"/>
      <c r="N189" s="49"/>
      <c r="O189" s="65" t="s">
        <v>207</v>
      </c>
      <c r="P189" s="49" t="str">
        <f t="shared" si="36"/>
        <v>09/06/2023</v>
      </c>
      <c r="Q189" s="68">
        <f t="shared" si="37"/>
        <v>2</v>
      </c>
      <c r="R189" s="68">
        <f t="shared" si="38"/>
        <v>0</v>
      </c>
      <c r="S189" s="68">
        <f t="shared" si="39"/>
        <v>11</v>
      </c>
      <c r="T189" s="65" t="s">
        <v>137</v>
      </c>
      <c r="U189" s="65" t="s">
        <v>276</v>
      </c>
      <c r="V189" s="49" t="str">
        <f t="shared" si="40"/>
        <v>03/12/2021</v>
      </c>
      <c r="W189" s="68">
        <f>IF(V189="",0,DATEDIF(V189,P189,"Y"))</f>
        <v>1</v>
      </c>
      <c r="X189" s="68">
        <f>IF(V189="",0,DATEDIF(V189,P189,"YM"))</f>
        <v>6</v>
      </c>
      <c r="Y189" s="68">
        <f>IF(V189="",0,DATEDIF(V189,P189,"MD"))</f>
        <v>6</v>
      </c>
      <c r="Z189" s="49"/>
      <c r="AA189" s="65"/>
      <c r="AB189" s="50" t="str">
        <f t="shared" si="41"/>
        <v/>
      </c>
      <c r="AC189" s="68">
        <f t="shared" si="42"/>
        <v>0</v>
      </c>
      <c r="AD189" s="68">
        <f t="shared" si="43"/>
        <v>0</v>
      </c>
      <c r="AE189" s="68">
        <f t="shared" si="44"/>
        <v>0</v>
      </c>
      <c r="AF189" s="50"/>
      <c r="AG189" s="50" t="s">
        <v>486</v>
      </c>
      <c r="AH189" s="49" t="str">
        <f>IF(AG189="นิติศาสตร์","K5-LAW","K5-POLICY")</f>
        <v>K5-POLICY</v>
      </c>
      <c r="AI189" s="72" t="str">
        <f>_xlfn.IFS(B189="","",AND(AH189="K5-LAW",AG189="นิติศาสตร์",K189="S2",T189="",Z189=""),P189,AND(AH189="K5-LAW",AG189="นิติศาสตร์",K189="S1",T189="",Z189=""),EDATE(P189,12),AND(AH189="K5-LAW",AG189="นิติศาสตร์",OR(K189="M2",K189="K4"),T189="",Z189=""),EDATE(P189,12*2),AND(AH189="K5-LAW",AG189="นิติศาสตร์",OR(Z189="M2",Z189="K4"),AC189&gt;=2,OR(AB189&lt;V189,AB189&lt;P189)),EDATE(AB189,12*2),AND(AH189="K5-LAW",AG189="นิติศาสตร์",Z189="S1",AC189&gt;=1,OR(AB189&lt;V189,AB189&lt;P189)),EDATE(AB189,12),AND(AH189="K5-LAW",AG189="นิติศาสตร์",OR(T189="M2",T189="K4"),W189&gt;=2,V189&lt;P189),EDATE(V189,12*2),AND(AH189="K5-LAW",AG189="นิติศาสตร์",T189="S1",W189&gt;=1,V189&lt;P189),EDATE(V189,12),AND(AH189="K5-LAW",AG189="นิติศาสตร์",OR(T189="S2",T189="K5")),V189,AND(AH189="K5-LAW",AG189="นิติศาสตร์",OR(K189="M2",K189="K4"),Q189&gt;=2),EDATE(P189,12*2),AND(AH189="K5-LAW",AG189="นิติศาสตร์",K189="S1",Q189&gt;=1),EDATE(P189,12),AND(AH189="K5-LAW",AG189="นิติศาสตร์",OR(K189="S2",K189="K5")),P189,AND(AH189="K5-POLICY",AG189&lt;&gt;"นิติศาสตร์",K189="S2",T189="",Z189=""),P189,AND(AH189="K5-POLICY",AG189&lt;&gt;"นิติศาสตร์",K189="S1",T189="",Z189=""),EDATE(P189,12),AND(AH189="K5-POLICY",AG189&lt;&gt;"นิติศาสตร์",OR(K189="M2",K189="K4"),T189="",Z189=""),EDATE(P189,12*2),AND(AH189="K5-POLICY",AG189&lt;&gt;"นิติศาสตร์",OR(Z189="M2",Z189="K4"),AC189&gt;=2,OR(AB189&lt;V189,AB189&lt;P189)),EDATE(AB189,12*2),AND(AH189="K5-POLICY",AG189&lt;&gt;"นิติศาสตร์",Z189="S1",AC189&gt;=1,OR(AB189&lt;V189,AB189&lt;P189)),EDATE(AB189,12),AND(AH189="K5-POLICY",AG189&lt;&gt;"นิติศาสตร์",OR(T189="M2",T189="K4"),W189&gt;=2,V189&lt;P189),EDATE(V189,12*2),AND(AH189="K5-POLICY",AG189&lt;&gt;"นิติศาสตร์",T189="S1",W189&gt;=1,V189&lt;P189),EDATE(V189,12),AND(AH189="K5-POLICY",AG189&lt;&gt;"นิติศาสตร์",OR(T189="S2",T189="K5")),V189,AND(AH189="K5-POLICY",AG189&lt;&gt;"นิติศาสตร์",OR(K189="M2",K189="K4"),Q189&gt;=2),EDATE(P189,12*2),AND(AH189="K5-POLICY",AG189&lt;&gt;"นิติศาสตร์",K189="S1",Q189&gt;=1),EDATE(P189,12),AND(AH189="K5-POLICY",AG189&lt;&gt;"นิติศาสตร์",OR(K189="S2",K189="K5")),P189,TRUE,"Check Data")</f>
        <v/>
      </c>
      <c r="AJ189" s="75" t="str">
        <f t="shared" si="45"/>
        <v>Check Data</v>
      </c>
      <c r="AK189" s="76" t="str">
        <f t="shared" si="46"/>
        <v>Check Data</v>
      </c>
      <c r="AL189" s="50" t="str">
        <f t="shared" si="47"/>
        <v>Check Data</v>
      </c>
      <c r="AM189" s="49" t="str">
        <f>IF(B189="","",IF(K189="S1","S1",INDEX(#REF!,#REF!)))</f>
        <v/>
      </c>
      <c r="AN189" s="49" t="str">
        <f>K189</f>
        <v>M2</v>
      </c>
      <c r="AO189" s="50" t="b">
        <f>K189=AM189</f>
        <v>0</v>
      </c>
      <c r="AP189" s="50"/>
    </row>
    <row r="190" spans="1:42" ht="21.75">
      <c r="A190" s="49">
        <v>188</v>
      </c>
      <c r="B190" s="50"/>
      <c r="C190" s="50"/>
      <c r="D190" s="50" t="s">
        <v>144</v>
      </c>
      <c r="E190" s="49" t="s">
        <v>523</v>
      </c>
      <c r="F190" s="49" t="str">
        <f t="shared" si="32"/>
        <v>08/09/2000</v>
      </c>
      <c r="G190" s="50">
        <f t="shared" si="33"/>
        <v>24</v>
      </c>
      <c r="H190" s="50">
        <f t="shared" si="34"/>
        <v>9</v>
      </c>
      <c r="I190" s="50">
        <f t="shared" si="35"/>
        <v>12</v>
      </c>
      <c r="J190" s="57"/>
      <c r="K190" s="49" t="s">
        <v>136</v>
      </c>
      <c r="L190" s="64"/>
      <c r="M190" s="49" t="s">
        <v>426</v>
      </c>
      <c r="N190" s="49">
        <v>2580</v>
      </c>
      <c r="O190" s="65" t="s">
        <v>373</v>
      </c>
      <c r="P190" s="49" t="str">
        <f t="shared" si="36"/>
        <v>21/07/2023</v>
      </c>
      <c r="Q190" s="68">
        <f t="shared" si="37"/>
        <v>1</v>
      </c>
      <c r="R190" s="68">
        <f t="shared" si="38"/>
        <v>10</v>
      </c>
      <c r="S190" s="68">
        <f t="shared" si="39"/>
        <v>30</v>
      </c>
      <c r="T190" s="65"/>
      <c r="U190" s="65"/>
      <c r="V190" s="49" t="str">
        <f t="shared" si="40"/>
        <v/>
      </c>
      <c r="W190" s="68">
        <f>IF(V190="",0,DATEDIF(V190,P190,"Y"))</f>
        <v>0</v>
      </c>
      <c r="X190" s="68">
        <f>IF(V190="",0,DATEDIF(V190,P190,"YM"))</f>
        <v>0</v>
      </c>
      <c r="Y190" s="68">
        <f>IF(V190="",0,DATEDIF(V190,P190,"MD"))</f>
        <v>0</v>
      </c>
      <c r="Z190" s="49"/>
      <c r="AA190" s="65"/>
      <c r="AB190" s="50" t="str">
        <f t="shared" si="41"/>
        <v/>
      </c>
      <c r="AC190" s="68">
        <f t="shared" si="42"/>
        <v>0</v>
      </c>
      <c r="AD190" s="68">
        <f t="shared" si="43"/>
        <v>0</v>
      </c>
      <c r="AE190" s="68">
        <f t="shared" si="44"/>
        <v>0</v>
      </c>
      <c r="AF190" s="50"/>
      <c r="AG190" s="50" t="s">
        <v>138</v>
      </c>
      <c r="AH190" s="49" t="str">
        <f>IF(AG190="นิติศาสตร์","K5-LAW","K5-POLICY")</f>
        <v>K5-LAW</v>
      </c>
      <c r="AI190" s="72" t="str">
        <f>_xlfn.IFS(B190="","",AND(AH190="K5-LAW",AG190="นิติศาสตร์",K190="S2",T190="",Z190=""),P190,AND(AH190="K5-LAW",AG190="นิติศาสตร์",K190="S1",T190="",Z190=""),EDATE(P190,12),AND(AH190="K5-LAW",AG190="นิติศาสตร์",OR(K190="M2",K190="K4"),T190="",Z190=""),EDATE(P190,12*2),AND(AH190="K5-LAW",AG190="นิติศาสตร์",OR(Z190="M2",Z190="K4"),AC190&gt;=2,OR(AB190&lt;V190,AB190&lt;P190)),EDATE(AB190,12*2),AND(AH190="K5-LAW",AG190="นิติศาสตร์",Z190="S1",AC190&gt;=1,OR(AB190&lt;V190,AB190&lt;P190)),EDATE(AB190,12),AND(AH190="K5-LAW",AG190="นิติศาสตร์",OR(T190="M2",T190="K4"),W190&gt;=2,V190&lt;P190),EDATE(V190,12*2),AND(AH190="K5-LAW",AG190="นิติศาสตร์",T190="S1",W190&gt;=1,V190&lt;P190),EDATE(V190,12),AND(AH190="K5-LAW",AG190="นิติศาสตร์",OR(T190="S2",T190="K5")),V190,AND(AH190="K5-LAW",AG190="นิติศาสตร์",OR(K190="M2",K190="K4"),Q190&gt;=2),EDATE(P190,12*2),AND(AH190="K5-LAW",AG190="นิติศาสตร์",K190="S1",Q190&gt;=1),EDATE(P190,12),AND(AH190="K5-LAW",AG190="นิติศาสตร์",OR(K190="S2",K190="K5")),P190,AND(AH190="K5-POLICY",AG190&lt;&gt;"นิติศาสตร์",K190="S2",T190="",Z190=""),P190,AND(AH190="K5-POLICY",AG190&lt;&gt;"นิติศาสตร์",K190="S1",T190="",Z190=""),EDATE(P190,12),AND(AH190="K5-POLICY",AG190&lt;&gt;"นิติศาสตร์",OR(K190="M2",K190="K4"),T190="",Z190=""),EDATE(P190,12*2),AND(AH190="K5-POLICY",AG190&lt;&gt;"นิติศาสตร์",OR(Z190="M2",Z190="K4"),AC190&gt;=2,OR(AB190&lt;V190,AB190&lt;P190)),EDATE(AB190,12*2),AND(AH190="K5-POLICY",AG190&lt;&gt;"นิติศาสตร์",Z190="S1",AC190&gt;=1,OR(AB190&lt;V190,AB190&lt;P190)),EDATE(AB190,12),AND(AH190="K5-POLICY",AG190&lt;&gt;"นิติศาสตร์",OR(T190="M2",T190="K4"),W190&gt;=2,V190&lt;P190),EDATE(V190,12*2),AND(AH190="K5-POLICY",AG190&lt;&gt;"นิติศาสตร์",T190="S1",W190&gt;=1,V190&lt;P190),EDATE(V190,12),AND(AH190="K5-POLICY",AG190&lt;&gt;"นิติศาสตร์",OR(T190="S2",T190="K5")),V190,AND(AH190="K5-POLICY",AG190&lt;&gt;"นิติศาสตร์",OR(K190="M2",K190="K4"),Q190&gt;=2),EDATE(P190,12*2),AND(AH190="K5-POLICY",AG190&lt;&gt;"นิติศาสตร์",K190="S1",Q190&gt;=1),EDATE(P190,12),AND(AH190="K5-POLICY",AG190&lt;&gt;"นิติศาสตร์",OR(K190="S2",K190="K5")),P190,TRUE,"Check Data")</f>
        <v/>
      </c>
      <c r="AJ190" s="75" t="str">
        <f t="shared" si="45"/>
        <v>Check Data</v>
      </c>
      <c r="AK190" s="76" t="str">
        <f t="shared" si="46"/>
        <v>Check Data</v>
      </c>
      <c r="AL190" s="50" t="str">
        <f t="shared" si="47"/>
        <v>Check Data</v>
      </c>
      <c r="AM190" s="49" t="str">
        <f>IF(B190="","",IF(K190="S1","S1",INDEX(#REF!,#REF!)))</f>
        <v/>
      </c>
      <c r="AN190" s="49" t="str">
        <f>K190</f>
        <v>M2</v>
      </c>
      <c r="AO190" s="50" t="b">
        <f>K190=AM190</f>
        <v>0</v>
      </c>
      <c r="AP190" s="50"/>
    </row>
    <row r="191" spans="1:42" ht="21.75">
      <c r="A191" s="49">
        <v>189</v>
      </c>
      <c r="B191" s="50"/>
      <c r="C191" s="50"/>
      <c r="D191" s="50" t="s">
        <v>144</v>
      </c>
      <c r="E191" s="49" t="s">
        <v>372</v>
      </c>
      <c r="F191" s="49" t="str">
        <f t="shared" si="32"/>
        <v>26/12/1991</v>
      </c>
      <c r="G191" s="50">
        <f t="shared" si="33"/>
        <v>33</v>
      </c>
      <c r="H191" s="50">
        <f t="shared" si="34"/>
        <v>5</v>
      </c>
      <c r="I191" s="50">
        <f t="shared" si="35"/>
        <v>25</v>
      </c>
      <c r="J191" s="57"/>
      <c r="K191" s="49" t="s">
        <v>136</v>
      </c>
      <c r="L191" s="64"/>
      <c r="M191" s="49" t="s">
        <v>426</v>
      </c>
      <c r="N191" s="49">
        <v>2577</v>
      </c>
      <c r="O191" s="65" t="s">
        <v>373</v>
      </c>
      <c r="P191" s="49" t="str">
        <f t="shared" si="36"/>
        <v>21/07/2023</v>
      </c>
      <c r="Q191" s="68">
        <f t="shared" si="37"/>
        <v>1</v>
      </c>
      <c r="R191" s="68">
        <f t="shared" si="38"/>
        <v>10</v>
      </c>
      <c r="S191" s="68">
        <f t="shared" si="39"/>
        <v>30</v>
      </c>
      <c r="T191" s="65"/>
      <c r="U191" s="65"/>
      <c r="V191" s="49" t="str">
        <f t="shared" si="40"/>
        <v/>
      </c>
      <c r="W191" s="68">
        <f>IF(V191="",0,DATEDIF(V191,P191,"Y"))</f>
        <v>0</v>
      </c>
      <c r="X191" s="68">
        <f>IF(V191="",0,DATEDIF(V191,P191,"YM"))</f>
        <v>0</v>
      </c>
      <c r="Y191" s="68">
        <f>IF(V191="",0,DATEDIF(V191,P191,"MD"))</f>
        <v>0</v>
      </c>
      <c r="Z191" s="49"/>
      <c r="AA191" s="65"/>
      <c r="AB191" s="50" t="str">
        <f t="shared" si="41"/>
        <v/>
      </c>
      <c r="AC191" s="68">
        <f t="shared" si="42"/>
        <v>0</v>
      </c>
      <c r="AD191" s="68">
        <f t="shared" si="43"/>
        <v>0</v>
      </c>
      <c r="AE191" s="68">
        <f t="shared" si="44"/>
        <v>0</v>
      </c>
      <c r="AF191" s="50"/>
      <c r="AG191" s="50" t="s">
        <v>163</v>
      </c>
      <c r="AH191" s="49" t="str">
        <f>IF(AG191="นิติศาสตร์","K5-LAW","K5-POLICY")</f>
        <v>K5-POLICY</v>
      </c>
      <c r="AI191" s="72" t="str">
        <f>_xlfn.IFS(B191="","",AND(AH191="K5-LAW",AG191="นิติศาสตร์",K191="S2",T191="",Z191=""),P191,AND(AH191="K5-LAW",AG191="นิติศาสตร์",K191="S1",T191="",Z191=""),EDATE(P191,12),AND(AH191="K5-LAW",AG191="นิติศาสตร์",OR(K191="M2",K191="K4"),T191="",Z191=""),EDATE(P191,12*2),AND(AH191="K5-LAW",AG191="นิติศาสตร์",OR(Z191="M2",Z191="K4"),AC191&gt;=2,OR(AB191&lt;V191,AB191&lt;P191)),EDATE(AB191,12*2),AND(AH191="K5-LAW",AG191="นิติศาสตร์",Z191="S1",AC191&gt;=1,OR(AB191&lt;V191,AB191&lt;P191)),EDATE(AB191,12),AND(AH191="K5-LAW",AG191="นิติศาสตร์",OR(T191="M2",T191="K4"),W191&gt;=2,V191&lt;P191),EDATE(V191,12*2),AND(AH191="K5-LAW",AG191="นิติศาสตร์",T191="S1",W191&gt;=1,V191&lt;P191),EDATE(V191,12),AND(AH191="K5-LAW",AG191="นิติศาสตร์",OR(T191="S2",T191="K5")),V191,AND(AH191="K5-LAW",AG191="นิติศาสตร์",OR(K191="M2",K191="K4"),Q191&gt;=2),EDATE(P191,12*2),AND(AH191="K5-LAW",AG191="นิติศาสตร์",K191="S1",Q191&gt;=1),EDATE(P191,12),AND(AH191="K5-LAW",AG191="นิติศาสตร์",OR(K191="S2",K191="K5")),P191,AND(AH191="K5-POLICY",AG191&lt;&gt;"นิติศาสตร์",K191="S2",T191="",Z191=""),P191,AND(AH191="K5-POLICY",AG191&lt;&gt;"นิติศาสตร์",K191="S1",T191="",Z191=""),EDATE(P191,12),AND(AH191="K5-POLICY",AG191&lt;&gt;"นิติศาสตร์",OR(K191="M2",K191="K4"),T191="",Z191=""),EDATE(P191,12*2),AND(AH191="K5-POLICY",AG191&lt;&gt;"นิติศาสตร์",OR(Z191="M2",Z191="K4"),AC191&gt;=2,OR(AB191&lt;V191,AB191&lt;P191)),EDATE(AB191,12*2),AND(AH191="K5-POLICY",AG191&lt;&gt;"นิติศาสตร์",Z191="S1",AC191&gt;=1,OR(AB191&lt;V191,AB191&lt;P191)),EDATE(AB191,12),AND(AH191="K5-POLICY",AG191&lt;&gt;"นิติศาสตร์",OR(T191="M2",T191="K4"),W191&gt;=2,V191&lt;P191),EDATE(V191,12*2),AND(AH191="K5-POLICY",AG191&lt;&gt;"นิติศาสตร์",T191="S1",W191&gt;=1,V191&lt;P191),EDATE(V191,12),AND(AH191="K5-POLICY",AG191&lt;&gt;"นิติศาสตร์",OR(T191="S2",T191="K5")),V191,AND(AH191="K5-POLICY",AG191&lt;&gt;"นิติศาสตร์",OR(K191="M2",K191="K4"),Q191&gt;=2),EDATE(P191,12*2),AND(AH191="K5-POLICY",AG191&lt;&gt;"นิติศาสตร์",K191="S1",Q191&gt;=1),EDATE(P191,12),AND(AH191="K5-POLICY",AG191&lt;&gt;"นิติศาสตร์",OR(K191="S2",K191="K5")),P191,TRUE,"Check Data")</f>
        <v/>
      </c>
      <c r="AJ191" s="75" t="str">
        <f t="shared" si="45"/>
        <v>Check Data</v>
      </c>
      <c r="AK191" s="76" t="str">
        <f t="shared" si="46"/>
        <v>Check Data</v>
      </c>
      <c r="AL191" s="50" t="str">
        <f t="shared" si="47"/>
        <v>Check Data</v>
      </c>
      <c r="AM191" s="49" t="str">
        <f>IF(B191="","",IF(K191="S1","S1",INDEX(#REF!,#REF!)))</f>
        <v/>
      </c>
      <c r="AN191" s="49" t="str">
        <f>K191</f>
        <v>M2</v>
      </c>
      <c r="AO191" s="50" t="b">
        <f>K191=AM191</f>
        <v>0</v>
      </c>
      <c r="AP191" s="50"/>
    </row>
    <row r="192" spans="1:42" ht="21.75">
      <c r="A192" s="49">
        <v>190</v>
      </c>
      <c r="B192" s="50"/>
      <c r="C192" s="50"/>
      <c r="D192" s="50" t="s">
        <v>34</v>
      </c>
      <c r="E192" s="49" t="s">
        <v>453</v>
      </c>
      <c r="F192" s="49" t="str">
        <f t="shared" si="32"/>
        <v>01/09/2005</v>
      </c>
      <c r="G192" s="50">
        <f t="shared" si="33"/>
        <v>19</v>
      </c>
      <c r="H192" s="50">
        <f t="shared" si="34"/>
        <v>9</v>
      </c>
      <c r="I192" s="50">
        <f t="shared" si="35"/>
        <v>19</v>
      </c>
      <c r="J192" s="78"/>
      <c r="K192" s="49" t="s">
        <v>136</v>
      </c>
      <c r="L192" s="64"/>
      <c r="M192" s="49" t="s">
        <v>426</v>
      </c>
      <c r="N192" s="49">
        <v>2582</v>
      </c>
      <c r="O192" s="65" t="s">
        <v>431</v>
      </c>
      <c r="P192" s="49" t="str">
        <f t="shared" si="36"/>
        <v>27/07/2023</v>
      </c>
      <c r="Q192" s="68">
        <f t="shared" si="37"/>
        <v>1</v>
      </c>
      <c r="R192" s="68">
        <f t="shared" si="38"/>
        <v>10</v>
      </c>
      <c r="S192" s="68">
        <f t="shared" si="39"/>
        <v>24</v>
      </c>
      <c r="T192" s="65"/>
      <c r="U192" s="65"/>
      <c r="V192" s="49" t="str">
        <f t="shared" si="40"/>
        <v/>
      </c>
      <c r="W192" s="68">
        <f>IF(V192="",0,DATEDIF(V192,P192,"Y"))</f>
        <v>0</v>
      </c>
      <c r="X192" s="68">
        <f>IF(V192="",0,DATEDIF(V192,P192,"YM"))</f>
        <v>0</v>
      </c>
      <c r="Y192" s="68">
        <f>IF(V192="",0,DATEDIF(V192,P192,"MD"))</f>
        <v>0</v>
      </c>
      <c r="Z192" s="49"/>
      <c r="AA192" s="65"/>
      <c r="AB192" s="50" t="str">
        <f t="shared" si="41"/>
        <v/>
      </c>
      <c r="AC192" s="68">
        <f t="shared" si="42"/>
        <v>0</v>
      </c>
      <c r="AD192" s="68">
        <f t="shared" si="43"/>
        <v>0</v>
      </c>
      <c r="AE192" s="68">
        <f t="shared" si="44"/>
        <v>0</v>
      </c>
      <c r="AF192" s="50"/>
      <c r="AG192" s="50" t="s">
        <v>524</v>
      </c>
      <c r="AH192" s="49" t="str">
        <f>IF(AG192="นิติศาสตร์","K5-LAW","K5-POLICY")</f>
        <v>K5-POLICY</v>
      </c>
      <c r="AI192" s="72" t="str">
        <f>_xlfn.IFS(B192="","",AND(AH192="K5-LAW",AG192="นิติศาสตร์",K192="S2",T192="",Z192=""),P192,AND(AH192="K5-LAW",AG192="นิติศาสตร์",K192="S1",T192="",Z192=""),EDATE(P192,12),AND(AH192="K5-LAW",AG192="นิติศาสตร์",OR(K192="M2",K192="K4"),T192="",Z192=""),EDATE(P192,12*2),AND(AH192="K5-LAW",AG192="นิติศาสตร์",OR(Z192="M2",Z192="K4"),AC192&gt;=2,OR(AB192&lt;V192,AB192&lt;P192)),EDATE(AB192,12*2),AND(AH192="K5-LAW",AG192="นิติศาสตร์",Z192="S1",AC192&gt;=1,OR(AB192&lt;V192,AB192&lt;P192)),EDATE(AB192,12),AND(AH192="K5-LAW",AG192="นิติศาสตร์",OR(T192="M2",T192="K4"),W192&gt;=2,V192&lt;P192),EDATE(V192,12*2),AND(AH192="K5-LAW",AG192="นิติศาสตร์",T192="S1",W192&gt;=1,V192&lt;P192),EDATE(V192,12),AND(AH192="K5-LAW",AG192="นิติศาสตร์",OR(T192="S2",T192="K5")),V192,AND(AH192="K5-LAW",AG192="นิติศาสตร์",OR(K192="M2",K192="K4"),Q192&gt;=2),EDATE(P192,12*2),AND(AH192="K5-LAW",AG192="นิติศาสตร์",K192="S1",Q192&gt;=1),EDATE(P192,12),AND(AH192="K5-LAW",AG192="นิติศาสตร์",OR(K192="S2",K192="K5")),P192,AND(AH192="K5-POLICY",AG192&lt;&gt;"นิติศาสตร์",K192="S2",T192="",Z192=""),P192,AND(AH192="K5-POLICY",AG192&lt;&gt;"นิติศาสตร์",K192="S1",T192="",Z192=""),EDATE(P192,12),AND(AH192="K5-POLICY",AG192&lt;&gt;"นิติศาสตร์",OR(K192="M2",K192="K4"),T192="",Z192=""),EDATE(P192,12*2),AND(AH192="K5-POLICY",AG192&lt;&gt;"นิติศาสตร์",OR(Z192="M2",Z192="K4"),AC192&gt;=2,OR(AB192&lt;V192,AB192&lt;P192)),EDATE(AB192,12*2),AND(AH192="K5-POLICY",AG192&lt;&gt;"นิติศาสตร์",Z192="S1",AC192&gt;=1,OR(AB192&lt;V192,AB192&lt;P192)),EDATE(AB192,12),AND(AH192="K5-POLICY",AG192&lt;&gt;"นิติศาสตร์",OR(T192="M2",T192="K4"),W192&gt;=2,V192&lt;P192),EDATE(V192,12*2),AND(AH192="K5-POLICY",AG192&lt;&gt;"นิติศาสตร์",T192="S1",W192&gt;=1,V192&lt;P192),EDATE(V192,12),AND(AH192="K5-POLICY",AG192&lt;&gt;"นิติศาสตร์",OR(T192="S2",T192="K5")),V192,AND(AH192="K5-POLICY",AG192&lt;&gt;"นิติศาสตร์",OR(K192="M2",K192="K4"),Q192&gt;=2),EDATE(P192,12*2),AND(AH192="K5-POLICY",AG192&lt;&gt;"นิติศาสตร์",K192="S1",Q192&gt;=1),EDATE(P192,12),AND(AH192="K5-POLICY",AG192&lt;&gt;"นิติศาสตร์",OR(K192="S2",K192="K5")),P192,TRUE,"Check Data")</f>
        <v/>
      </c>
      <c r="AJ192" s="75" t="str">
        <f t="shared" si="45"/>
        <v>Check Data</v>
      </c>
      <c r="AK192" s="76" t="str">
        <f t="shared" si="46"/>
        <v>Check Data</v>
      </c>
      <c r="AL192" s="50" t="str">
        <f t="shared" si="47"/>
        <v>Check Data</v>
      </c>
      <c r="AM192" s="49" t="str">
        <f>IF(B192="","",IF(K192="S1","S1",INDEX(#REF!,#REF!)))</f>
        <v/>
      </c>
      <c r="AN192" s="49" t="str">
        <f>K192</f>
        <v>M2</v>
      </c>
      <c r="AO192" s="50" t="b">
        <f>K192=AM192</f>
        <v>0</v>
      </c>
      <c r="AP192" s="50"/>
    </row>
    <row r="193" spans="1:42" ht="21.75">
      <c r="A193" s="49">
        <v>191</v>
      </c>
      <c r="B193" s="50"/>
      <c r="C193" s="50"/>
      <c r="D193" s="50" t="s">
        <v>141</v>
      </c>
      <c r="E193" s="49" t="s">
        <v>243</v>
      </c>
      <c r="F193" s="49" t="str">
        <f t="shared" si="32"/>
        <v>03/01/1995</v>
      </c>
      <c r="G193" s="50">
        <f t="shared" si="33"/>
        <v>30</v>
      </c>
      <c r="H193" s="50">
        <f t="shared" si="34"/>
        <v>5</v>
      </c>
      <c r="I193" s="50">
        <f t="shared" si="35"/>
        <v>17</v>
      </c>
      <c r="J193" s="60"/>
      <c r="K193" s="49" t="s">
        <v>136</v>
      </c>
      <c r="L193" s="64"/>
      <c r="M193" s="49" t="s">
        <v>427</v>
      </c>
      <c r="N193" s="49">
        <v>2573</v>
      </c>
      <c r="O193" s="65" t="s">
        <v>249</v>
      </c>
      <c r="P193" s="49" t="str">
        <f t="shared" si="36"/>
        <v>25/09/2023</v>
      </c>
      <c r="Q193" s="68">
        <f t="shared" si="37"/>
        <v>1</v>
      </c>
      <c r="R193" s="68">
        <f t="shared" si="38"/>
        <v>8</v>
      </c>
      <c r="S193" s="68">
        <f t="shared" si="39"/>
        <v>26</v>
      </c>
      <c r="T193" s="65"/>
      <c r="U193" s="65"/>
      <c r="V193" s="49" t="str">
        <f t="shared" si="40"/>
        <v/>
      </c>
      <c r="W193" s="68">
        <f>IF(V193="",0,DATEDIF(V193,P193,"Y"))</f>
        <v>0</v>
      </c>
      <c r="X193" s="68">
        <f>IF(V193="",0,DATEDIF(V193,P193,"YM"))</f>
        <v>0</v>
      </c>
      <c r="Y193" s="68">
        <f>IF(V193="",0,DATEDIF(V193,P193,"MD"))</f>
        <v>0</v>
      </c>
      <c r="Z193" s="49"/>
      <c r="AA193" s="65"/>
      <c r="AB193" s="50" t="str">
        <f t="shared" si="41"/>
        <v/>
      </c>
      <c r="AC193" s="68">
        <f t="shared" si="42"/>
        <v>0</v>
      </c>
      <c r="AD193" s="68">
        <f t="shared" si="43"/>
        <v>0</v>
      </c>
      <c r="AE193" s="68">
        <f t="shared" si="44"/>
        <v>0</v>
      </c>
      <c r="AF193" s="50"/>
      <c r="AG193" s="50" t="s">
        <v>138</v>
      </c>
      <c r="AH193" s="49" t="str">
        <f>IF(AG193="นิติศาสตร์","K5-LAW","K5-POLICY")</f>
        <v>K5-LAW</v>
      </c>
      <c r="AI193" s="72" t="str">
        <f>_xlfn.IFS(B193="","",AND(AH193="K5-LAW",AG193="นิติศาสตร์",K193="S2",T193="",Z193=""),P193,AND(AH193="K5-LAW",AG193="นิติศาสตร์",K193="S1",T193="",Z193=""),EDATE(P193,12),AND(AH193="K5-LAW",AG193="นิติศาสตร์",OR(K193="M2",K193="K4"),T193="",Z193=""),EDATE(P193,12*2),AND(AH193="K5-LAW",AG193="นิติศาสตร์",OR(Z193="M2",Z193="K4"),AC193&gt;=2,OR(AB193&lt;V193,AB193&lt;P193)),EDATE(AB193,12*2),AND(AH193="K5-LAW",AG193="นิติศาสตร์",Z193="S1",AC193&gt;=1,OR(AB193&lt;V193,AB193&lt;P193)),EDATE(AB193,12),AND(AH193="K5-LAW",AG193="นิติศาสตร์",OR(T193="M2",T193="K4"),W193&gt;=2,V193&lt;P193),EDATE(V193,12*2),AND(AH193="K5-LAW",AG193="นิติศาสตร์",T193="S1",W193&gt;=1,V193&lt;P193),EDATE(V193,12),AND(AH193="K5-LAW",AG193="นิติศาสตร์",OR(T193="S2",T193="K5")),V193,AND(AH193="K5-LAW",AG193="นิติศาสตร์",OR(K193="M2",K193="K4"),Q193&gt;=2),EDATE(P193,12*2),AND(AH193="K5-LAW",AG193="นิติศาสตร์",K193="S1",Q193&gt;=1),EDATE(P193,12),AND(AH193="K5-LAW",AG193="นิติศาสตร์",OR(K193="S2",K193="K5")),P193,AND(AH193="K5-POLICY",AG193&lt;&gt;"นิติศาสตร์",K193="S2",T193="",Z193=""),P193,AND(AH193="K5-POLICY",AG193&lt;&gt;"นิติศาสตร์",K193="S1",T193="",Z193=""),EDATE(P193,12),AND(AH193="K5-POLICY",AG193&lt;&gt;"นิติศาสตร์",OR(K193="M2",K193="K4"),T193="",Z193=""),EDATE(P193,12*2),AND(AH193="K5-POLICY",AG193&lt;&gt;"นิติศาสตร์",OR(Z193="M2",Z193="K4"),AC193&gt;=2,OR(AB193&lt;V193,AB193&lt;P193)),EDATE(AB193,12*2),AND(AH193="K5-POLICY",AG193&lt;&gt;"นิติศาสตร์",Z193="S1",AC193&gt;=1,OR(AB193&lt;V193,AB193&lt;P193)),EDATE(AB193,12),AND(AH193="K5-POLICY",AG193&lt;&gt;"นิติศาสตร์",OR(T193="M2",T193="K4"),W193&gt;=2,V193&lt;P193),EDATE(V193,12*2),AND(AH193="K5-POLICY",AG193&lt;&gt;"นิติศาสตร์",T193="S1",W193&gt;=1,V193&lt;P193),EDATE(V193,12),AND(AH193="K5-POLICY",AG193&lt;&gt;"นิติศาสตร์",OR(T193="S2",T193="K5")),V193,AND(AH193="K5-POLICY",AG193&lt;&gt;"นิติศาสตร์",OR(K193="M2",K193="K4"),Q193&gt;=2),EDATE(P193,12*2),AND(AH193="K5-POLICY",AG193&lt;&gt;"นิติศาสตร์",K193="S1",Q193&gt;=1),EDATE(P193,12),AND(AH193="K5-POLICY",AG193&lt;&gt;"นิติศาสตร์",OR(K193="S2",K193="K5")),P193,TRUE,"Check Data")</f>
        <v/>
      </c>
      <c r="AJ193" s="75" t="str">
        <f t="shared" si="45"/>
        <v>Check Data</v>
      </c>
      <c r="AK193" s="76" t="str">
        <f t="shared" si="46"/>
        <v>Check Data</v>
      </c>
      <c r="AL193" s="50" t="str">
        <f t="shared" si="47"/>
        <v>Check Data</v>
      </c>
      <c r="AM193" s="49" t="str">
        <f>IF(B193="","",IF(K193="S1","S1",INDEX(#REF!,#REF!)))</f>
        <v/>
      </c>
      <c r="AN193" s="49" t="str">
        <f>K193</f>
        <v>M2</v>
      </c>
      <c r="AO193" s="50" t="b">
        <f>K193=AM193</f>
        <v>0</v>
      </c>
      <c r="AP193" s="50"/>
    </row>
    <row r="194" spans="1:42" ht="21.75">
      <c r="A194" s="49">
        <v>192</v>
      </c>
      <c r="B194" s="50"/>
      <c r="C194" s="53"/>
      <c r="D194" s="50" t="s">
        <v>141</v>
      </c>
      <c r="E194" s="49" t="s">
        <v>253</v>
      </c>
      <c r="F194" s="49" t="str">
        <f t="shared" si="32"/>
        <v>26/01/1995</v>
      </c>
      <c r="G194" s="50">
        <f t="shared" si="33"/>
        <v>30</v>
      </c>
      <c r="H194" s="50">
        <f t="shared" si="34"/>
        <v>4</v>
      </c>
      <c r="I194" s="50">
        <f t="shared" si="35"/>
        <v>25</v>
      </c>
      <c r="J194" s="60"/>
      <c r="K194" s="49" t="s">
        <v>136</v>
      </c>
      <c r="L194" s="64"/>
      <c r="M194" s="49" t="s">
        <v>427</v>
      </c>
      <c r="N194" s="49">
        <v>2574</v>
      </c>
      <c r="O194" s="65" t="s">
        <v>249</v>
      </c>
      <c r="P194" s="49" t="str">
        <f t="shared" si="36"/>
        <v>25/09/2023</v>
      </c>
      <c r="Q194" s="68">
        <f t="shared" si="37"/>
        <v>1</v>
      </c>
      <c r="R194" s="68">
        <f t="shared" si="38"/>
        <v>8</v>
      </c>
      <c r="S194" s="68">
        <f t="shared" si="39"/>
        <v>26</v>
      </c>
      <c r="T194" s="65"/>
      <c r="U194" s="65"/>
      <c r="V194" s="49" t="str">
        <f t="shared" si="40"/>
        <v/>
      </c>
      <c r="W194" s="68">
        <f>IF(V194="",0,DATEDIF(V194,P194,"Y"))</f>
        <v>0</v>
      </c>
      <c r="X194" s="68">
        <f>IF(V194="",0,DATEDIF(V194,P194,"YM"))</f>
        <v>0</v>
      </c>
      <c r="Y194" s="68">
        <f>IF(V194="",0,DATEDIF(V194,P194,"MD"))</f>
        <v>0</v>
      </c>
      <c r="Z194" s="49"/>
      <c r="AA194" s="65"/>
      <c r="AB194" s="50" t="str">
        <f t="shared" si="41"/>
        <v/>
      </c>
      <c r="AC194" s="68">
        <f t="shared" si="42"/>
        <v>0</v>
      </c>
      <c r="AD194" s="68">
        <f t="shared" si="43"/>
        <v>0</v>
      </c>
      <c r="AE194" s="68">
        <f t="shared" si="44"/>
        <v>0</v>
      </c>
      <c r="AF194" s="50"/>
      <c r="AG194" s="50" t="s">
        <v>138</v>
      </c>
      <c r="AH194" s="49" t="str">
        <f>IF(AG194="นิติศาสตร์","K5-LAW","K5-POLICY")</f>
        <v>K5-LAW</v>
      </c>
      <c r="AI194" s="72" t="str">
        <f>_xlfn.IFS(B194="","",AND(AH194="K5-LAW",AG194="นิติศาสตร์",K194="S2",T194="",Z194=""),P194,AND(AH194="K5-LAW",AG194="นิติศาสตร์",K194="S1",T194="",Z194=""),EDATE(P194,12),AND(AH194="K5-LAW",AG194="นิติศาสตร์",OR(K194="M2",K194="K4"),T194="",Z194=""),EDATE(P194,12*2),AND(AH194="K5-LAW",AG194="นิติศาสตร์",OR(Z194="M2",Z194="K4"),AC194&gt;=2,OR(AB194&lt;V194,AB194&lt;P194)),EDATE(AB194,12*2),AND(AH194="K5-LAW",AG194="นิติศาสตร์",Z194="S1",AC194&gt;=1,OR(AB194&lt;V194,AB194&lt;P194)),EDATE(AB194,12),AND(AH194="K5-LAW",AG194="นิติศาสตร์",OR(T194="M2",T194="K4"),W194&gt;=2,V194&lt;P194),EDATE(V194,12*2),AND(AH194="K5-LAW",AG194="นิติศาสตร์",T194="S1",W194&gt;=1,V194&lt;P194),EDATE(V194,12),AND(AH194="K5-LAW",AG194="นิติศาสตร์",OR(T194="S2",T194="K5")),V194,AND(AH194="K5-LAW",AG194="นิติศาสตร์",OR(K194="M2",K194="K4"),Q194&gt;=2),EDATE(P194,12*2),AND(AH194="K5-LAW",AG194="นิติศาสตร์",K194="S1",Q194&gt;=1),EDATE(P194,12),AND(AH194="K5-LAW",AG194="นิติศาสตร์",OR(K194="S2",K194="K5")),P194,AND(AH194="K5-POLICY",AG194&lt;&gt;"นิติศาสตร์",K194="S2",T194="",Z194=""),P194,AND(AH194="K5-POLICY",AG194&lt;&gt;"นิติศาสตร์",K194="S1",T194="",Z194=""),EDATE(P194,12),AND(AH194="K5-POLICY",AG194&lt;&gt;"นิติศาสตร์",OR(K194="M2",K194="K4"),T194="",Z194=""),EDATE(P194,12*2),AND(AH194="K5-POLICY",AG194&lt;&gt;"นิติศาสตร์",OR(Z194="M2",Z194="K4"),AC194&gt;=2,OR(AB194&lt;V194,AB194&lt;P194)),EDATE(AB194,12*2),AND(AH194="K5-POLICY",AG194&lt;&gt;"นิติศาสตร์",Z194="S1",AC194&gt;=1,OR(AB194&lt;V194,AB194&lt;P194)),EDATE(AB194,12),AND(AH194="K5-POLICY",AG194&lt;&gt;"นิติศาสตร์",OR(T194="M2",T194="K4"),W194&gt;=2,V194&lt;P194),EDATE(V194,12*2),AND(AH194="K5-POLICY",AG194&lt;&gt;"นิติศาสตร์",T194="S1",W194&gt;=1,V194&lt;P194),EDATE(V194,12),AND(AH194="K5-POLICY",AG194&lt;&gt;"นิติศาสตร์",OR(T194="S2",T194="K5")),V194,AND(AH194="K5-POLICY",AG194&lt;&gt;"นิติศาสตร์",OR(K194="M2",K194="K4"),Q194&gt;=2),EDATE(P194,12*2),AND(AH194="K5-POLICY",AG194&lt;&gt;"นิติศาสตร์",K194="S1",Q194&gt;=1),EDATE(P194,12),AND(AH194="K5-POLICY",AG194&lt;&gt;"นิติศาสตร์",OR(K194="S2",K194="K5")),P194,TRUE,"Check Data")</f>
        <v/>
      </c>
      <c r="AJ194" s="75" t="str">
        <f t="shared" si="45"/>
        <v>Check Data</v>
      </c>
      <c r="AK194" s="76" t="str">
        <f t="shared" si="46"/>
        <v>Check Data</v>
      </c>
      <c r="AL194" s="50" t="str">
        <f t="shared" si="47"/>
        <v>Check Data</v>
      </c>
      <c r="AM194" s="49" t="str">
        <f>IF(B194="","",IF(K194="S1","S1",INDEX(#REF!,#REF!)))</f>
        <v/>
      </c>
      <c r="AN194" s="49" t="str">
        <f>K194</f>
        <v>M2</v>
      </c>
      <c r="AO194" s="50" t="b">
        <f>K194=AM194</f>
        <v>0</v>
      </c>
      <c r="AP194" s="50"/>
    </row>
    <row r="195" spans="1:42" ht="21.75">
      <c r="A195" s="49">
        <v>193</v>
      </c>
      <c r="B195" s="50"/>
      <c r="C195" s="50"/>
      <c r="D195" s="50" t="s">
        <v>141</v>
      </c>
      <c r="E195" s="49" t="s">
        <v>259</v>
      </c>
      <c r="F195" s="49" t="str">
        <f t="shared" ref="F195:F205" si="48">IF(E195="","",TEXT(EDATE(E195,-543*12),"dd/mm/yyyy"))</f>
        <v>15/02/2001</v>
      </c>
      <c r="G195" s="50">
        <f t="shared" ref="G195:G258" si="49">IF(F195="",0,DATEDIF(F195,$C$1,"Y"))</f>
        <v>24</v>
      </c>
      <c r="H195" s="50">
        <f t="shared" ref="H195:H258" si="50">IF(F195="",0,DATEDIF(F195,$C$1,"YM"))</f>
        <v>4</v>
      </c>
      <c r="I195" s="50">
        <f t="shared" ref="I195:I258" si="51">IF(F195="",0,DATEDIF(F195,$C$1,"MD"))</f>
        <v>5</v>
      </c>
      <c r="J195" s="60"/>
      <c r="K195" s="49" t="s">
        <v>136</v>
      </c>
      <c r="L195" s="64"/>
      <c r="M195" s="49" t="s">
        <v>426</v>
      </c>
      <c r="N195" s="49">
        <v>2577</v>
      </c>
      <c r="O195" s="65" t="s">
        <v>249</v>
      </c>
      <c r="P195" s="49" t="str">
        <f t="shared" ref="P195:P258" si="52">TEXT(EDATE(O195,-543*12),"dd/mm/yyyy")</f>
        <v>25/09/2023</v>
      </c>
      <c r="Q195" s="68">
        <f t="shared" ref="Q195:Q258" si="53">IF(P195="",0,DATEDIF(P195,$C$1,"Y"))</f>
        <v>1</v>
      </c>
      <c r="R195" s="68">
        <f t="shared" ref="R195:R258" si="54">IF(P195="",0,DATEDIF(P195,$C$1,"YM"))</f>
        <v>8</v>
      </c>
      <c r="S195" s="68">
        <f t="shared" ref="S195:S258" si="55">IF(P195="",0,DATEDIF(P195,$C$1,"MD"))</f>
        <v>26</v>
      </c>
      <c r="T195" s="65"/>
      <c r="U195" s="65"/>
      <c r="V195" s="49" t="str">
        <f t="shared" ref="V195:V205" si="56">IF(U195="","",TEXT(EDATE(U195,-543*12),"dd/mm/yyyy"))</f>
        <v/>
      </c>
      <c r="W195" s="68">
        <f>IF(V195="",0,DATEDIF(V195,P195,"Y"))</f>
        <v>0</v>
      </c>
      <c r="X195" s="68">
        <f>IF(V195="",0,DATEDIF(V195,P195,"YM"))</f>
        <v>0</v>
      </c>
      <c r="Y195" s="68">
        <f>IF(V195="",0,DATEDIF(V195,P195,"MD"))</f>
        <v>0</v>
      </c>
      <c r="Z195" s="49"/>
      <c r="AA195" s="65"/>
      <c r="AB195" s="50" t="str">
        <f t="shared" ref="AB195:AB205" si="57">IF(AA195="","",TEXT(EDATE(AA195,-543*12),"dd/mm/yyyy"))</f>
        <v/>
      </c>
      <c r="AC195" s="68">
        <f t="shared" ref="AC195:AC205" si="58">IF(AB195="",0,DATEDIF(AB195,V195,"Y"))</f>
        <v>0</v>
      </c>
      <c r="AD195" s="68">
        <f t="shared" ref="AD195:AD205" si="59">IF(AB195="",0,DATEDIF(AB195,V195,"YM"))</f>
        <v>0</v>
      </c>
      <c r="AE195" s="68">
        <f t="shared" ref="AE195:AE205" si="60">IF(AB195="",0,DATEDIF(AB195,V195,"MD"))</f>
        <v>0</v>
      </c>
      <c r="AF195" s="50"/>
      <c r="AG195" s="50" t="s">
        <v>138</v>
      </c>
      <c r="AH195" s="49" t="str">
        <f>IF(AG195="นิติศาสตร์","K5-LAW","K5-POLICY")</f>
        <v>K5-LAW</v>
      </c>
      <c r="AI195" s="72" t="str">
        <f>_xlfn.IFS(B195="","",AND(AH195="K5-LAW",AG195="นิติศาสตร์",K195="S2",T195="",Z195=""),P195,AND(AH195="K5-LAW",AG195="นิติศาสตร์",K195="S1",T195="",Z195=""),EDATE(P195,12),AND(AH195="K5-LAW",AG195="นิติศาสตร์",OR(K195="M2",K195="K4"),T195="",Z195=""),EDATE(P195,12*2),AND(AH195="K5-LAW",AG195="นิติศาสตร์",OR(Z195="M2",Z195="K4"),AC195&gt;=2,OR(AB195&lt;V195,AB195&lt;P195)),EDATE(AB195,12*2),AND(AH195="K5-LAW",AG195="นิติศาสตร์",Z195="S1",AC195&gt;=1,OR(AB195&lt;V195,AB195&lt;P195)),EDATE(AB195,12),AND(AH195="K5-LAW",AG195="นิติศาสตร์",OR(T195="M2",T195="K4"),W195&gt;=2,V195&lt;P195),EDATE(V195,12*2),AND(AH195="K5-LAW",AG195="นิติศาสตร์",T195="S1",W195&gt;=1,V195&lt;P195),EDATE(V195,12),AND(AH195="K5-LAW",AG195="นิติศาสตร์",OR(T195="S2",T195="K5")),V195,AND(AH195="K5-LAW",AG195="นิติศาสตร์",OR(K195="M2",K195="K4"),Q195&gt;=2),EDATE(P195,12*2),AND(AH195="K5-LAW",AG195="นิติศาสตร์",K195="S1",Q195&gt;=1),EDATE(P195,12),AND(AH195="K5-LAW",AG195="นิติศาสตร์",OR(K195="S2",K195="K5")),P195,AND(AH195="K5-POLICY",AG195&lt;&gt;"นิติศาสตร์",K195="S2",T195="",Z195=""),P195,AND(AH195="K5-POLICY",AG195&lt;&gt;"นิติศาสตร์",K195="S1",T195="",Z195=""),EDATE(P195,12),AND(AH195="K5-POLICY",AG195&lt;&gt;"นิติศาสตร์",OR(K195="M2",K195="K4"),T195="",Z195=""),EDATE(P195,12*2),AND(AH195="K5-POLICY",AG195&lt;&gt;"นิติศาสตร์",OR(Z195="M2",Z195="K4"),AC195&gt;=2,OR(AB195&lt;V195,AB195&lt;P195)),EDATE(AB195,12*2),AND(AH195="K5-POLICY",AG195&lt;&gt;"นิติศาสตร์",Z195="S1",AC195&gt;=1,OR(AB195&lt;V195,AB195&lt;P195)),EDATE(AB195,12),AND(AH195="K5-POLICY",AG195&lt;&gt;"นิติศาสตร์",OR(T195="M2",T195="K4"),W195&gt;=2,V195&lt;P195),EDATE(V195,12*2),AND(AH195="K5-POLICY",AG195&lt;&gt;"นิติศาสตร์",T195="S1",W195&gt;=1,V195&lt;P195),EDATE(V195,12),AND(AH195="K5-POLICY",AG195&lt;&gt;"นิติศาสตร์",OR(T195="S2",T195="K5")),V195,AND(AH195="K5-POLICY",AG195&lt;&gt;"นิติศาสตร์",OR(K195="M2",K195="K4"),Q195&gt;=2),EDATE(P195,12*2),AND(AH195="K5-POLICY",AG195&lt;&gt;"นิติศาสตร์",K195="S1",Q195&gt;=1),EDATE(P195,12),AND(AH195="K5-POLICY",AG195&lt;&gt;"นิติศาสตร์",OR(K195="S2",K195="K5")),P195,TRUE,"Check Data")</f>
        <v/>
      </c>
      <c r="AJ195" s="75" t="str">
        <f t="shared" ref="AJ195:AJ258" si="61">IFERROR(TEXT(EDATE(AI195,543*12),"dd/mm/yyyy"),"Check Data")</f>
        <v>Check Data</v>
      </c>
      <c r="AK195" s="76" t="str">
        <f t="shared" ref="AK195:AK258" si="62">IFERROR(IF($C$1&gt;AI195,AI195-$C$1,DATEDIF($C$1,AI195,"d")),"Check Data")</f>
        <v>Check Data</v>
      </c>
      <c r="AL195" s="50" t="str">
        <f t="shared" ref="AL195:AL258" si="63">_xlfn.IFS(AK195="Check Data","Check Data",AK195&gt;30,"ยังไม่ถึงเกณฑ์",AK195&gt;0,"ใกล้ถึงเกณฑ์",AK195=0,"ถึงเกณฑ์",AK195&lt;0,"ถึงเกณฑ์นานแล้ว")</f>
        <v>Check Data</v>
      </c>
      <c r="AM195" s="49" t="str">
        <f>IF(B195="","",IF(K195="S1","S1",INDEX(#REF!,#REF!)))</f>
        <v/>
      </c>
      <c r="AN195" s="49" t="str">
        <f>K195</f>
        <v>M2</v>
      </c>
      <c r="AO195" s="50" t="b">
        <f>K195=AM195</f>
        <v>0</v>
      </c>
      <c r="AP195" s="50"/>
    </row>
    <row r="196" spans="1:42" ht="21.75">
      <c r="A196" s="49">
        <v>194</v>
      </c>
      <c r="B196" s="50"/>
      <c r="C196" s="50"/>
      <c r="D196" s="50" t="s">
        <v>146</v>
      </c>
      <c r="E196" s="49" t="s">
        <v>420</v>
      </c>
      <c r="F196" s="49" t="str">
        <f t="shared" si="48"/>
        <v>28/09/1994</v>
      </c>
      <c r="G196" s="50">
        <f t="shared" si="49"/>
        <v>30</v>
      </c>
      <c r="H196" s="50">
        <f t="shared" si="50"/>
        <v>8</v>
      </c>
      <c r="I196" s="50">
        <f t="shared" si="51"/>
        <v>23</v>
      </c>
      <c r="J196" s="80"/>
      <c r="K196" s="49" t="s">
        <v>136</v>
      </c>
      <c r="L196" s="64"/>
      <c r="M196" s="49" t="s">
        <v>427</v>
      </c>
      <c r="N196" s="49">
        <v>2572</v>
      </c>
      <c r="O196" s="65" t="s">
        <v>394</v>
      </c>
      <c r="P196" s="49" t="str">
        <f t="shared" si="52"/>
        <v>27/09/2023</v>
      </c>
      <c r="Q196" s="68">
        <f t="shared" si="53"/>
        <v>1</v>
      </c>
      <c r="R196" s="68">
        <f t="shared" si="54"/>
        <v>8</v>
      </c>
      <c r="S196" s="68">
        <f t="shared" si="55"/>
        <v>24</v>
      </c>
      <c r="T196" s="65" t="s">
        <v>137</v>
      </c>
      <c r="U196" s="65" t="s">
        <v>525</v>
      </c>
      <c r="V196" s="49" t="str">
        <f t="shared" si="56"/>
        <v>08/04/2020</v>
      </c>
      <c r="W196" s="68">
        <f>IF(V196="",0,DATEDIF(V196,P196,"Y"))</f>
        <v>3</v>
      </c>
      <c r="X196" s="68">
        <f>IF(V196="",0,DATEDIF(V196,P196,"YM"))</f>
        <v>5</v>
      </c>
      <c r="Y196" s="68">
        <f>IF(V196="",0,DATEDIF(V196,P196,"MD"))</f>
        <v>19</v>
      </c>
      <c r="Z196" s="49"/>
      <c r="AA196" s="65"/>
      <c r="AB196" s="50" t="str">
        <f t="shared" si="57"/>
        <v/>
      </c>
      <c r="AC196" s="68">
        <f t="shared" si="58"/>
        <v>0</v>
      </c>
      <c r="AD196" s="68">
        <f t="shared" si="59"/>
        <v>0</v>
      </c>
      <c r="AE196" s="68">
        <f t="shared" si="60"/>
        <v>0</v>
      </c>
      <c r="AF196" s="50"/>
      <c r="AG196" s="50" t="s">
        <v>138</v>
      </c>
      <c r="AH196" s="49" t="str">
        <f>IF(AG196="นิติศาสตร์","K5-LAW","K5-POLICY")</f>
        <v>K5-LAW</v>
      </c>
      <c r="AI196" s="72" t="str">
        <f>_xlfn.IFS(B196="","",AND(AH196="K5-LAW",AG196="นิติศาสตร์",K196="S2",T196="",Z196=""),P196,AND(AH196="K5-LAW",AG196="นิติศาสตร์",K196="S1",T196="",Z196=""),EDATE(P196,12),AND(AH196="K5-LAW",AG196="นิติศาสตร์",OR(K196="M2",K196="K4"),T196="",Z196=""),EDATE(P196,12*2),AND(AH196="K5-LAW",AG196="นิติศาสตร์",OR(Z196="M2",Z196="K4"),AC196&gt;=2,OR(AB196&lt;V196,AB196&lt;P196)),EDATE(AB196,12*2),AND(AH196="K5-LAW",AG196="นิติศาสตร์",Z196="S1",AC196&gt;=1,OR(AB196&lt;V196,AB196&lt;P196)),EDATE(AB196,12),AND(AH196="K5-LAW",AG196="นิติศาสตร์",OR(T196="M2",T196="K4"),W196&gt;=2,V196&lt;P196),EDATE(V196,12*2),AND(AH196="K5-LAW",AG196="นิติศาสตร์",T196="S1",W196&gt;=1,V196&lt;P196),EDATE(V196,12),AND(AH196="K5-LAW",AG196="นิติศาสตร์",OR(T196="S2",T196="K5")),V196,AND(AH196="K5-LAW",AG196="นิติศาสตร์",OR(K196="M2",K196="K4"),Q196&gt;=2),EDATE(P196,12*2),AND(AH196="K5-LAW",AG196="นิติศาสตร์",K196="S1",Q196&gt;=1),EDATE(P196,12),AND(AH196="K5-LAW",AG196="นิติศาสตร์",OR(K196="S2",K196="K5")),P196,AND(AH196="K5-POLICY",AG196&lt;&gt;"นิติศาสตร์",K196="S2",T196="",Z196=""),P196,AND(AH196="K5-POLICY",AG196&lt;&gt;"นิติศาสตร์",K196="S1",T196="",Z196=""),EDATE(P196,12),AND(AH196="K5-POLICY",AG196&lt;&gt;"นิติศาสตร์",OR(K196="M2",K196="K4"),T196="",Z196=""),EDATE(P196,12*2),AND(AH196="K5-POLICY",AG196&lt;&gt;"นิติศาสตร์",OR(Z196="M2",Z196="K4"),AC196&gt;=2,OR(AB196&lt;V196,AB196&lt;P196)),EDATE(AB196,12*2),AND(AH196="K5-POLICY",AG196&lt;&gt;"นิติศาสตร์",Z196="S1",AC196&gt;=1,OR(AB196&lt;V196,AB196&lt;P196)),EDATE(AB196,12),AND(AH196="K5-POLICY",AG196&lt;&gt;"นิติศาสตร์",OR(T196="M2",T196="K4"),W196&gt;=2,V196&lt;P196),EDATE(V196,12*2),AND(AH196="K5-POLICY",AG196&lt;&gt;"นิติศาสตร์",T196="S1",W196&gt;=1,V196&lt;P196),EDATE(V196,12),AND(AH196="K5-POLICY",AG196&lt;&gt;"นิติศาสตร์",OR(T196="S2",T196="K5")),V196,AND(AH196="K5-POLICY",AG196&lt;&gt;"นิติศาสตร์",OR(K196="M2",K196="K4"),Q196&gt;=2),EDATE(P196,12*2),AND(AH196="K5-POLICY",AG196&lt;&gt;"นิติศาสตร์",K196="S1",Q196&gt;=1),EDATE(P196,12),AND(AH196="K5-POLICY",AG196&lt;&gt;"นิติศาสตร์",OR(K196="S2",K196="K5")),P196,TRUE,"Check Data")</f>
        <v/>
      </c>
      <c r="AJ196" s="75" t="str">
        <f t="shared" si="61"/>
        <v>Check Data</v>
      </c>
      <c r="AK196" s="76" t="str">
        <f t="shared" si="62"/>
        <v>Check Data</v>
      </c>
      <c r="AL196" s="50" t="str">
        <f t="shared" si="63"/>
        <v>Check Data</v>
      </c>
      <c r="AM196" s="49" t="str">
        <f>IF(B196="","",IF(K196="S1","S1",INDEX(#REF!,#REF!)))</f>
        <v/>
      </c>
      <c r="AN196" s="49" t="str">
        <f>K196</f>
        <v>M2</v>
      </c>
      <c r="AO196" s="50" t="b">
        <f>K196=AM196</f>
        <v>0</v>
      </c>
      <c r="AP196" s="50"/>
    </row>
    <row r="197" spans="1:42" ht="21.75">
      <c r="A197" s="49">
        <v>195</v>
      </c>
      <c r="B197" s="50"/>
      <c r="C197" s="50"/>
      <c r="D197" s="50" t="s">
        <v>146</v>
      </c>
      <c r="E197" s="49" t="s">
        <v>393</v>
      </c>
      <c r="F197" s="49" t="str">
        <f t="shared" si="48"/>
        <v>09/07/2004</v>
      </c>
      <c r="G197" s="50">
        <f t="shared" si="49"/>
        <v>20</v>
      </c>
      <c r="H197" s="50">
        <f t="shared" si="50"/>
        <v>11</v>
      </c>
      <c r="I197" s="50">
        <f t="shared" si="51"/>
        <v>11</v>
      </c>
      <c r="J197" s="80"/>
      <c r="K197" s="49" t="s">
        <v>136</v>
      </c>
      <c r="L197" s="64"/>
      <c r="M197" s="49" t="s">
        <v>426</v>
      </c>
      <c r="N197" s="49">
        <v>2580</v>
      </c>
      <c r="O197" s="65" t="s">
        <v>394</v>
      </c>
      <c r="P197" s="49" t="str">
        <f t="shared" si="52"/>
        <v>27/09/2023</v>
      </c>
      <c r="Q197" s="68">
        <f t="shared" si="53"/>
        <v>1</v>
      </c>
      <c r="R197" s="68">
        <f t="shared" si="54"/>
        <v>8</v>
      </c>
      <c r="S197" s="68">
        <f t="shared" si="55"/>
        <v>24</v>
      </c>
      <c r="T197" s="65"/>
      <c r="U197" s="65"/>
      <c r="V197" s="49" t="str">
        <f t="shared" si="56"/>
        <v/>
      </c>
      <c r="W197" s="68">
        <f>IF(V197="",0,DATEDIF(V197,P197,"Y"))</f>
        <v>0</v>
      </c>
      <c r="X197" s="68">
        <f>IF(V197="",0,DATEDIF(V197,P197,"YM"))</f>
        <v>0</v>
      </c>
      <c r="Y197" s="68">
        <f>IF(V197="",0,DATEDIF(V197,P197,"MD"))</f>
        <v>0</v>
      </c>
      <c r="Z197" s="49"/>
      <c r="AA197" s="65"/>
      <c r="AB197" s="50" t="str">
        <f t="shared" si="57"/>
        <v/>
      </c>
      <c r="AC197" s="68">
        <f t="shared" si="58"/>
        <v>0</v>
      </c>
      <c r="AD197" s="68">
        <f t="shared" si="59"/>
        <v>0</v>
      </c>
      <c r="AE197" s="68">
        <f t="shared" si="60"/>
        <v>0</v>
      </c>
      <c r="AF197" s="50"/>
      <c r="AG197" s="50" t="s">
        <v>175</v>
      </c>
      <c r="AH197" s="49" t="str">
        <f>IF(AG197="นิติศาสตร์","K5-LAW","K5-POLICY")</f>
        <v>K5-POLICY</v>
      </c>
      <c r="AI197" s="72" t="str">
        <f>_xlfn.IFS(B197="","",AND(AH197="K5-LAW",AG197="นิติศาสตร์",K197="S2",T197="",Z197=""),P197,AND(AH197="K5-LAW",AG197="นิติศาสตร์",K197="S1",T197="",Z197=""),EDATE(P197,12),AND(AH197="K5-LAW",AG197="นิติศาสตร์",OR(K197="M2",K197="K4"),T197="",Z197=""),EDATE(P197,12*2),AND(AH197="K5-LAW",AG197="นิติศาสตร์",OR(Z197="M2",Z197="K4"),AC197&gt;=2,OR(AB197&lt;V197,AB197&lt;P197)),EDATE(AB197,12*2),AND(AH197="K5-LAW",AG197="นิติศาสตร์",Z197="S1",AC197&gt;=1,OR(AB197&lt;V197,AB197&lt;P197)),EDATE(AB197,12),AND(AH197="K5-LAW",AG197="นิติศาสตร์",OR(T197="M2",T197="K4"),W197&gt;=2,V197&lt;P197),EDATE(V197,12*2),AND(AH197="K5-LAW",AG197="นิติศาสตร์",T197="S1",W197&gt;=1,V197&lt;P197),EDATE(V197,12),AND(AH197="K5-LAW",AG197="นิติศาสตร์",OR(T197="S2",T197="K5")),V197,AND(AH197="K5-LAW",AG197="นิติศาสตร์",OR(K197="M2",K197="K4"),Q197&gt;=2),EDATE(P197,12*2),AND(AH197="K5-LAW",AG197="นิติศาสตร์",K197="S1",Q197&gt;=1),EDATE(P197,12),AND(AH197="K5-LAW",AG197="นิติศาสตร์",OR(K197="S2",K197="K5")),P197,AND(AH197="K5-POLICY",AG197&lt;&gt;"นิติศาสตร์",K197="S2",T197="",Z197=""),P197,AND(AH197="K5-POLICY",AG197&lt;&gt;"นิติศาสตร์",K197="S1",T197="",Z197=""),EDATE(P197,12),AND(AH197="K5-POLICY",AG197&lt;&gt;"นิติศาสตร์",OR(K197="M2",K197="K4"),T197="",Z197=""),EDATE(P197,12*2),AND(AH197="K5-POLICY",AG197&lt;&gt;"นิติศาสตร์",OR(Z197="M2",Z197="K4"),AC197&gt;=2,OR(AB197&lt;V197,AB197&lt;P197)),EDATE(AB197,12*2),AND(AH197="K5-POLICY",AG197&lt;&gt;"นิติศาสตร์",Z197="S1",AC197&gt;=1,OR(AB197&lt;V197,AB197&lt;P197)),EDATE(AB197,12),AND(AH197="K5-POLICY",AG197&lt;&gt;"นิติศาสตร์",OR(T197="M2",T197="K4"),W197&gt;=2,V197&lt;P197),EDATE(V197,12*2),AND(AH197="K5-POLICY",AG197&lt;&gt;"นิติศาสตร์",T197="S1",W197&gt;=1,V197&lt;P197),EDATE(V197,12),AND(AH197="K5-POLICY",AG197&lt;&gt;"นิติศาสตร์",OR(T197="S2",T197="K5")),V197,AND(AH197="K5-POLICY",AG197&lt;&gt;"นิติศาสตร์",OR(K197="M2",K197="K4"),Q197&gt;=2),EDATE(P197,12*2),AND(AH197="K5-POLICY",AG197&lt;&gt;"นิติศาสตร์",K197="S1",Q197&gt;=1),EDATE(P197,12),AND(AH197="K5-POLICY",AG197&lt;&gt;"นิติศาสตร์",OR(K197="S2",K197="K5")),P197,TRUE,"Check Data")</f>
        <v/>
      </c>
      <c r="AJ197" s="75" t="str">
        <f t="shared" si="61"/>
        <v>Check Data</v>
      </c>
      <c r="AK197" s="76" t="str">
        <f t="shared" si="62"/>
        <v>Check Data</v>
      </c>
      <c r="AL197" s="50" t="str">
        <f t="shared" si="63"/>
        <v>Check Data</v>
      </c>
      <c r="AM197" s="49" t="str">
        <f>IF(B197="","",IF(K197="S1","S1",INDEX(#REF!,#REF!)))</f>
        <v/>
      </c>
      <c r="AN197" s="49" t="str">
        <f>K197</f>
        <v>M2</v>
      </c>
      <c r="AO197" s="50" t="b">
        <f>K197=AM197</f>
        <v>0</v>
      </c>
      <c r="AP197" s="50"/>
    </row>
    <row r="198" spans="1:42" ht="21.75">
      <c r="A198" s="49">
        <v>196</v>
      </c>
      <c r="B198" s="50"/>
      <c r="C198" s="50"/>
      <c r="D198" s="50" t="s">
        <v>140</v>
      </c>
      <c r="E198" s="49" t="s">
        <v>461</v>
      </c>
      <c r="F198" s="49" t="str">
        <f t="shared" si="48"/>
        <v>25/03/1996</v>
      </c>
      <c r="G198" s="50">
        <f t="shared" si="49"/>
        <v>29</v>
      </c>
      <c r="H198" s="50">
        <f t="shared" si="50"/>
        <v>2</v>
      </c>
      <c r="I198" s="50">
        <f t="shared" si="51"/>
        <v>26</v>
      </c>
      <c r="J198" s="57"/>
      <c r="K198" s="49" t="s">
        <v>136</v>
      </c>
      <c r="L198" s="64"/>
      <c r="M198" s="49" t="s">
        <v>426</v>
      </c>
      <c r="N198" s="49">
        <v>2573</v>
      </c>
      <c r="O198" s="65" t="s">
        <v>460</v>
      </c>
      <c r="P198" s="49" t="str">
        <f t="shared" si="52"/>
        <v>29/09/2023</v>
      </c>
      <c r="Q198" s="68">
        <f t="shared" si="53"/>
        <v>1</v>
      </c>
      <c r="R198" s="68">
        <f t="shared" si="54"/>
        <v>8</v>
      </c>
      <c r="S198" s="68">
        <f t="shared" si="55"/>
        <v>22</v>
      </c>
      <c r="T198" s="65"/>
      <c r="U198" s="65"/>
      <c r="V198" s="49" t="str">
        <f t="shared" si="56"/>
        <v/>
      </c>
      <c r="W198" s="68">
        <f>IF(V198="",0,DATEDIF(V198,P198,"Y"))</f>
        <v>0</v>
      </c>
      <c r="X198" s="68">
        <f>IF(V198="",0,DATEDIF(V198,P198,"YM"))</f>
        <v>0</v>
      </c>
      <c r="Y198" s="68">
        <f>IF(V198="",0,DATEDIF(V198,P198,"MD"))</f>
        <v>0</v>
      </c>
      <c r="Z198" s="49"/>
      <c r="AA198" s="65"/>
      <c r="AB198" s="50" t="str">
        <f t="shared" si="57"/>
        <v/>
      </c>
      <c r="AC198" s="68">
        <f t="shared" si="58"/>
        <v>0</v>
      </c>
      <c r="AD198" s="68">
        <f t="shared" si="59"/>
        <v>0</v>
      </c>
      <c r="AE198" s="68">
        <f t="shared" si="60"/>
        <v>0</v>
      </c>
      <c r="AF198" s="50"/>
      <c r="AG198" s="50" t="s">
        <v>138</v>
      </c>
      <c r="AH198" s="49" t="str">
        <f>IF(AG198="นิติศาสตร์","K5-LAW","K5-POLICY")</f>
        <v>K5-LAW</v>
      </c>
      <c r="AI198" s="72" t="str">
        <f>_xlfn.IFS(B198="","",AND(AH198="K5-LAW",AG198="นิติศาสตร์",K198="S2",T198="",Z198=""),P198,AND(AH198="K5-LAW",AG198="นิติศาสตร์",K198="S1",T198="",Z198=""),EDATE(P198,12),AND(AH198="K5-LAW",AG198="นิติศาสตร์",OR(K198="M2",K198="K4"),T198="",Z198=""),EDATE(P198,12*2),AND(AH198="K5-LAW",AG198="นิติศาสตร์",OR(Z198="M2",Z198="K4"),AC198&gt;=2,OR(AB198&lt;V198,AB198&lt;P198)),EDATE(AB198,12*2),AND(AH198="K5-LAW",AG198="นิติศาสตร์",Z198="S1",AC198&gt;=1,OR(AB198&lt;V198,AB198&lt;P198)),EDATE(AB198,12),AND(AH198="K5-LAW",AG198="นิติศาสตร์",OR(T198="M2",T198="K4"),W198&gt;=2,V198&lt;P198),EDATE(V198,12*2),AND(AH198="K5-LAW",AG198="นิติศาสตร์",T198="S1",W198&gt;=1,V198&lt;P198),EDATE(V198,12),AND(AH198="K5-LAW",AG198="นิติศาสตร์",OR(T198="S2",T198="K5")),V198,AND(AH198="K5-LAW",AG198="นิติศาสตร์",OR(K198="M2",K198="K4"),Q198&gt;=2),EDATE(P198,12*2),AND(AH198="K5-LAW",AG198="นิติศาสตร์",K198="S1",Q198&gt;=1),EDATE(P198,12),AND(AH198="K5-LAW",AG198="นิติศาสตร์",OR(K198="S2",K198="K5")),P198,AND(AH198="K5-POLICY",AG198&lt;&gt;"นิติศาสตร์",K198="S2",T198="",Z198=""),P198,AND(AH198="K5-POLICY",AG198&lt;&gt;"นิติศาสตร์",K198="S1",T198="",Z198=""),EDATE(P198,12),AND(AH198="K5-POLICY",AG198&lt;&gt;"นิติศาสตร์",OR(K198="M2",K198="K4"),T198="",Z198=""),EDATE(P198,12*2),AND(AH198="K5-POLICY",AG198&lt;&gt;"นิติศาสตร์",OR(Z198="M2",Z198="K4"),AC198&gt;=2,OR(AB198&lt;V198,AB198&lt;P198)),EDATE(AB198,12*2),AND(AH198="K5-POLICY",AG198&lt;&gt;"นิติศาสตร์",Z198="S1",AC198&gt;=1,OR(AB198&lt;V198,AB198&lt;P198)),EDATE(AB198,12),AND(AH198="K5-POLICY",AG198&lt;&gt;"นิติศาสตร์",OR(T198="M2",T198="K4"),W198&gt;=2,V198&lt;P198),EDATE(V198,12*2),AND(AH198="K5-POLICY",AG198&lt;&gt;"นิติศาสตร์",T198="S1",W198&gt;=1,V198&lt;P198),EDATE(V198,12),AND(AH198="K5-POLICY",AG198&lt;&gt;"นิติศาสตร์",OR(T198="S2",T198="K5")),V198,AND(AH198="K5-POLICY",AG198&lt;&gt;"นิติศาสตร์",OR(K198="M2",K198="K4"),Q198&gt;=2),EDATE(P198,12*2),AND(AH198="K5-POLICY",AG198&lt;&gt;"นิติศาสตร์",K198="S1",Q198&gt;=1),EDATE(P198,12),AND(AH198="K5-POLICY",AG198&lt;&gt;"นิติศาสตร์",OR(K198="S2",K198="K5")),P198,TRUE,"Check Data")</f>
        <v/>
      </c>
      <c r="AJ198" s="75" t="str">
        <f t="shared" si="61"/>
        <v>Check Data</v>
      </c>
      <c r="AK198" s="76" t="str">
        <f t="shared" si="62"/>
        <v>Check Data</v>
      </c>
      <c r="AL198" s="50" t="str">
        <f t="shared" si="63"/>
        <v>Check Data</v>
      </c>
      <c r="AM198" s="49" t="str">
        <f>IF(B198="","",IF(K198="S1","S1",INDEX(#REF!,#REF!)))</f>
        <v/>
      </c>
      <c r="AN198" s="49" t="str">
        <f>K198</f>
        <v>M2</v>
      </c>
      <c r="AO198" s="50" t="b">
        <f>K198=AM198</f>
        <v>0</v>
      </c>
      <c r="AP198" s="50"/>
    </row>
    <row r="199" spans="1:42" ht="21.75">
      <c r="A199" s="49">
        <v>197</v>
      </c>
      <c r="B199" s="50"/>
      <c r="C199" s="50"/>
      <c r="D199" s="50" t="s">
        <v>140</v>
      </c>
      <c r="E199" s="49" t="s">
        <v>462</v>
      </c>
      <c r="F199" s="49" t="str">
        <f t="shared" si="48"/>
        <v>02/10/2006</v>
      </c>
      <c r="G199" s="50">
        <f t="shared" si="49"/>
        <v>18</v>
      </c>
      <c r="H199" s="50">
        <f t="shared" si="50"/>
        <v>8</v>
      </c>
      <c r="I199" s="50">
        <f t="shared" si="51"/>
        <v>18</v>
      </c>
      <c r="J199" s="57"/>
      <c r="K199" s="49" t="s">
        <v>136</v>
      </c>
      <c r="L199" s="64"/>
      <c r="M199" s="49" t="s">
        <v>426</v>
      </c>
      <c r="N199" s="49">
        <v>2582</v>
      </c>
      <c r="O199" s="65" t="s">
        <v>460</v>
      </c>
      <c r="P199" s="49" t="str">
        <f t="shared" si="52"/>
        <v>29/09/2023</v>
      </c>
      <c r="Q199" s="68">
        <f t="shared" si="53"/>
        <v>1</v>
      </c>
      <c r="R199" s="68">
        <f t="shared" si="54"/>
        <v>8</v>
      </c>
      <c r="S199" s="68">
        <f t="shared" si="55"/>
        <v>22</v>
      </c>
      <c r="T199" s="65"/>
      <c r="U199" s="65"/>
      <c r="V199" s="49" t="str">
        <f t="shared" si="56"/>
        <v/>
      </c>
      <c r="W199" s="68">
        <f>IF(V199="",0,DATEDIF(V199,P199,"Y"))</f>
        <v>0</v>
      </c>
      <c r="X199" s="68">
        <f>IF(V199="",0,DATEDIF(V199,P199,"YM"))</f>
        <v>0</v>
      </c>
      <c r="Y199" s="68">
        <f>IF(V199="",0,DATEDIF(V199,P199,"MD"))</f>
        <v>0</v>
      </c>
      <c r="Z199" s="49"/>
      <c r="AA199" s="65"/>
      <c r="AB199" s="50" t="str">
        <f t="shared" si="57"/>
        <v/>
      </c>
      <c r="AC199" s="68">
        <f t="shared" si="58"/>
        <v>0</v>
      </c>
      <c r="AD199" s="68">
        <f t="shared" si="59"/>
        <v>0</v>
      </c>
      <c r="AE199" s="68">
        <f t="shared" si="60"/>
        <v>0</v>
      </c>
      <c r="AF199" s="50"/>
      <c r="AG199" s="50" t="s">
        <v>138</v>
      </c>
      <c r="AH199" s="49" t="str">
        <f>IF(AG199="นิติศาสตร์","K5-LAW","K5-POLICY")</f>
        <v>K5-LAW</v>
      </c>
      <c r="AI199" s="72" t="str">
        <f>_xlfn.IFS(B199="","",AND(AH199="K5-LAW",AG199="นิติศาสตร์",K199="S2",T199="",Z199=""),P199,AND(AH199="K5-LAW",AG199="นิติศาสตร์",K199="S1",T199="",Z199=""),EDATE(P199,12),AND(AH199="K5-LAW",AG199="นิติศาสตร์",OR(K199="M2",K199="K4"),T199="",Z199=""),EDATE(P199,12*2),AND(AH199="K5-LAW",AG199="นิติศาสตร์",OR(Z199="M2",Z199="K4"),AC199&gt;=2,OR(AB199&lt;V199,AB199&lt;P199)),EDATE(AB199,12*2),AND(AH199="K5-LAW",AG199="นิติศาสตร์",Z199="S1",AC199&gt;=1,OR(AB199&lt;V199,AB199&lt;P199)),EDATE(AB199,12),AND(AH199="K5-LAW",AG199="นิติศาสตร์",OR(T199="M2",T199="K4"),W199&gt;=2,V199&lt;P199),EDATE(V199,12*2),AND(AH199="K5-LAW",AG199="นิติศาสตร์",T199="S1",W199&gt;=1,V199&lt;P199),EDATE(V199,12),AND(AH199="K5-LAW",AG199="นิติศาสตร์",OR(T199="S2",T199="K5")),V199,AND(AH199="K5-LAW",AG199="นิติศาสตร์",OR(K199="M2",K199="K4"),Q199&gt;=2),EDATE(P199,12*2),AND(AH199="K5-LAW",AG199="นิติศาสตร์",K199="S1",Q199&gt;=1),EDATE(P199,12),AND(AH199="K5-LAW",AG199="นิติศาสตร์",OR(K199="S2",K199="K5")),P199,AND(AH199="K5-POLICY",AG199&lt;&gt;"นิติศาสตร์",K199="S2",T199="",Z199=""),P199,AND(AH199="K5-POLICY",AG199&lt;&gt;"นิติศาสตร์",K199="S1",T199="",Z199=""),EDATE(P199,12),AND(AH199="K5-POLICY",AG199&lt;&gt;"นิติศาสตร์",OR(K199="M2",K199="K4"),T199="",Z199=""),EDATE(P199,12*2),AND(AH199="K5-POLICY",AG199&lt;&gt;"นิติศาสตร์",OR(Z199="M2",Z199="K4"),AC199&gt;=2,OR(AB199&lt;V199,AB199&lt;P199)),EDATE(AB199,12*2),AND(AH199="K5-POLICY",AG199&lt;&gt;"นิติศาสตร์",Z199="S1",AC199&gt;=1,OR(AB199&lt;V199,AB199&lt;P199)),EDATE(AB199,12),AND(AH199="K5-POLICY",AG199&lt;&gt;"นิติศาสตร์",OR(T199="M2",T199="K4"),W199&gt;=2,V199&lt;P199),EDATE(V199,12*2),AND(AH199="K5-POLICY",AG199&lt;&gt;"นิติศาสตร์",T199="S1",W199&gt;=1,V199&lt;P199),EDATE(V199,12),AND(AH199="K5-POLICY",AG199&lt;&gt;"นิติศาสตร์",OR(T199="S2",T199="K5")),V199,AND(AH199="K5-POLICY",AG199&lt;&gt;"นิติศาสตร์",OR(K199="M2",K199="K4"),Q199&gt;=2),EDATE(P199,12*2),AND(AH199="K5-POLICY",AG199&lt;&gt;"นิติศาสตร์",K199="S1",Q199&gt;=1),EDATE(P199,12),AND(AH199="K5-POLICY",AG199&lt;&gt;"นิติศาสตร์",OR(K199="S2",K199="K5")),P199,TRUE,"Check Data")</f>
        <v/>
      </c>
      <c r="AJ199" s="75" t="str">
        <f t="shared" si="61"/>
        <v>Check Data</v>
      </c>
      <c r="AK199" s="76" t="str">
        <f t="shared" si="62"/>
        <v>Check Data</v>
      </c>
      <c r="AL199" s="50" t="str">
        <f t="shared" si="63"/>
        <v>Check Data</v>
      </c>
      <c r="AM199" s="49" t="str">
        <f>IF(B199="","",IF(K199="S1","S1",INDEX(#REF!,#REF!)))</f>
        <v/>
      </c>
      <c r="AN199" s="49" t="str">
        <f>K199</f>
        <v>M2</v>
      </c>
      <c r="AO199" s="50" t="b">
        <f>K199=AM199</f>
        <v>0</v>
      </c>
      <c r="AP199" s="50"/>
    </row>
    <row r="200" spans="1:42" ht="21.75">
      <c r="A200" s="49">
        <v>198</v>
      </c>
      <c r="B200" s="50"/>
      <c r="C200" s="50"/>
      <c r="D200" s="50" t="s">
        <v>139</v>
      </c>
      <c r="E200" s="49" t="s">
        <v>208</v>
      </c>
      <c r="F200" s="49" t="str">
        <f t="shared" si="48"/>
        <v>01/02/1990</v>
      </c>
      <c r="G200" s="50">
        <f t="shared" si="49"/>
        <v>35</v>
      </c>
      <c r="H200" s="50">
        <f t="shared" si="50"/>
        <v>4</v>
      </c>
      <c r="I200" s="50">
        <f t="shared" si="51"/>
        <v>19</v>
      </c>
      <c r="J200" s="56"/>
      <c r="K200" s="49" t="s">
        <v>136</v>
      </c>
      <c r="L200" s="64"/>
      <c r="M200" s="49" t="s">
        <v>427</v>
      </c>
      <c r="N200" s="49">
        <v>2570</v>
      </c>
      <c r="O200" s="65" t="s">
        <v>227</v>
      </c>
      <c r="P200" s="49" t="str">
        <f t="shared" si="52"/>
        <v>12/10/2023</v>
      </c>
      <c r="Q200" s="68">
        <f t="shared" si="53"/>
        <v>1</v>
      </c>
      <c r="R200" s="68">
        <f t="shared" si="54"/>
        <v>8</v>
      </c>
      <c r="S200" s="68">
        <f t="shared" si="55"/>
        <v>8</v>
      </c>
      <c r="T200" s="65"/>
      <c r="U200" s="65"/>
      <c r="V200" s="49" t="str">
        <f t="shared" si="56"/>
        <v/>
      </c>
      <c r="W200" s="68">
        <f>IF(V200="",0,DATEDIF(V200,P200,"Y"))</f>
        <v>0</v>
      </c>
      <c r="X200" s="68">
        <f>IF(V200="",0,DATEDIF(V200,P200,"YM"))</f>
        <v>0</v>
      </c>
      <c r="Y200" s="68">
        <f>IF(V200="",0,DATEDIF(V200,P200,"MD"))</f>
        <v>0</v>
      </c>
      <c r="Z200" s="49"/>
      <c r="AA200" s="65"/>
      <c r="AB200" s="50" t="str">
        <f t="shared" si="57"/>
        <v/>
      </c>
      <c r="AC200" s="68">
        <f t="shared" si="58"/>
        <v>0</v>
      </c>
      <c r="AD200" s="68">
        <f t="shared" si="59"/>
        <v>0</v>
      </c>
      <c r="AE200" s="68">
        <f t="shared" si="60"/>
        <v>0</v>
      </c>
      <c r="AF200" s="50"/>
      <c r="AG200" s="50" t="s">
        <v>167</v>
      </c>
      <c r="AH200" s="49" t="str">
        <f>IF(AG200="นิติศาสตร์","K5-LAW","K5-POLICY")</f>
        <v>K5-POLICY</v>
      </c>
      <c r="AI200" s="72" t="str">
        <f>_xlfn.IFS(B200="","",AND(AH200="K5-LAW",AG200="นิติศาสตร์",K200="S2",T200="",Z200=""),P200,AND(AH200="K5-LAW",AG200="นิติศาสตร์",K200="S1",T200="",Z200=""),EDATE(P200,12),AND(AH200="K5-LAW",AG200="นิติศาสตร์",OR(K200="M2",K200="K4"),T200="",Z200=""),EDATE(P200,12*2),AND(AH200="K5-LAW",AG200="นิติศาสตร์",OR(Z200="M2",Z200="K4"),AC200&gt;=2,OR(AB200&lt;V200,AB200&lt;P200)),EDATE(AB200,12*2),AND(AH200="K5-LAW",AG200="นิติศาสตร์",Z200="S1",AC200&gt;=1,OR(AB200&lt;V200,AB200&lt;P200)),EDATE(AB200,12),AND(AH200="K5-LAW",AG200="นิติศาสตร์",OR(T200="M2",T200="K4"),W200&gt;=2,V200&lt;P200),EDATE(V200,12*2),AND(AH200="K5-LAW",AG200="นิติศาสตร์",T200="S1",W200&gt;=1,V200&lt;P200),EDATE(V200,12),AND(AH200="K5-LAW",AG200="นิติศาสตร์",OR(T200="S2",T200="K5")),V200,AND(AH200="K5-LAW",AG200="นิติศาสตร์",OR(K200="M2",K200="K4"),Q200&gt;=2),EDATE(P200,12*2),AND(AH200="K5-LAW",AG200="นิติศาสตร์",K200="S1",Q200&gt;=1),EDATE(P200,12),AND(AH200="K5-LAW",AG200="นิติศาสตร์",OR(K200="S2",K200="K5")),P200,AND(AH200="K5-POLICY",AG200&lt;&gt;"นิติศาสตร์",K200="S2",T200="",Z200=""),P200,AND(AH200="K5-POLICY",AG200&lt;&gt;"นิติศาสตร์",K200="S1",T200="",Z200=""),EDATE(P200,12),AND(AH200="K5-POLICY",AG200&lt;&gt;"นิติศาสตร์",OR(K200="M2",K200="K4"),T200="",Z200=""),EDATE(P200,12*2),AND(AH200="K5-POLICY",AG200&lt;&gt;"นิติศาสตร์",OR(Z200="M2",Z200="K4"),AC200&gt;=2,OR(AB200&lt;V200,AB200&lt;P200)),EDATE(AB200,12*2),AND(AH200="K5-POLICY",AG200&lt;&gt;"นิติศาสตร์",Z200="S1",AC200&gt;=1,OR(AB200&lt;V200,AB200&lt;P200)),EDATE(AB200,12),AND(AH200="K5-POLICY",AG200&lt;&gt;"นิติศาสตร์",OR(T200="M2",T200="K4"),W200&gt;=2,V200&lt;P200),EDATE(V200,12*2),AND(AH200="K5-POLICY",AG200&lt;&gt;"นิติศาสตร์",T200="S1",W200&gt;=1,V200&lt;P200),EDATE(V200,12),AND(AH200="K5-POLICY",AG200&lt;&gt;"นิติศาสตร์",OR(T200="S2",T200="K5")),V200,AND(AH200="K5-POLICY",AG200&lt;&gt;"นิติศาสตร์",OR(K200="M2",K200="K4"),Q200&gt;=2),EDATE(P200,12*2),AND(AH200="K5-POLICY",AG200&lt;&gt;"นิติศาสตร์",K200="S1",Q200&gt;=1),EDATE(P200,12),AND(AH200="K5-POLICY",AG200&lt;&gt;"นิติศาสตร์",OR(K200="S2",K200="K5")),P200,TRUE,"Check Data")</f>
        <v/>
      </c>
      <c r="AJ200" s="75" t="str">
        <f t="shared" si="61"/>
        <v>Check Data</v>
      </c>
      <c r="AK200" s="76" t="str">
        <f t="shared" si="62"/>
        <v>Check Data</v>
      </c>
      <c r="AL200" s="50" t="str">
        <f t="shared" si="63"/>
        <v>Check Data</v>
      </c>
      <c r="AM200" s="49" t="str">
        <f>IF(B200="","",IF(K200="S1","S1",INDEX(#REF!,#REF!)))</f>
        <v/>
      </c>
      <c r="AN200" s="49" t="str">
        <f>K200</f>
        <v>M2</v>
      </c>
      <c r="AO200" s="50" t="b">
        <f>K200=AM200</f>
        <v>0</v>
      </c>
      <c r="AP200" s="50"/>
    </row>
    <row r="201" spans="1:42" ht="21.75">
      <c r="A201" s="49">
        <v>199</v>
      </c>
      <c r="B201" s="50"/>
      <c r="C201" s="50"/>
      <c r="D201" s="50" t="s">
        <v>139</v>
      </c>
      <c r="E201" s="49" t="s">
        <v>164</v>
      </c>
      <c r="F201" s="49" t="str">
        <f t="shared" si="48"/>
        <v>01/05/1990</v>
      </c>
      <c r="G201" s="50">
        <f t="shared" si="49"/>
        <v>35</v>
      </c>
      <c r="H201" s="50">
        <f t="shared" si="50"/>
        <v>1</v>
      </c>
      <c r="I201" s="50">
        <f t="shared" si="51"/>
        <v>19</v>
      </c>
      <c r="J201" s="56"/>
      <c r="K201" s="49" t="s">
        <v>136</v>
      </c>
      <c r="L201" s="64"/>
      <c r="M201" s="49" t="s">
        <v>427</v>
      </c>
      <c r="N201" s="49">
        <v>2569</v>
      </c>
      <c r="O201" s="65" t="s">
        <v>227</v>
      </c>
      <c r="P201" s="49" t="str">
        <f t="shared" si="52"/>
        <v>12/10/2023</v>
      </c>
      <c r="Q201" s="68">
        <f t="shared" si="53"/>
        <v>1</v>
      </c>
      <c r="R201" s="68">
        <f t="shared" si="54"/>
        <v>8</v>
      </c>
      <c r="S201" s="68">
        <f t="shared" si="55"/>
        <v>8</v>
      </c>
      <c r="T201" s="65"/>
      <c r="U201" s="65"/>
      <c r="V201" s="49" t="str">
        <f t="shared" si="56"/>
        <v/>
      </c>
      <c r="W201" s="68">
        <f>IF(V201="",0,DATEDIF(V201,P201,"Y"))</f>
        <v>0</v>
      </c>
      <c r="X201" s="68">
        <f>IF(V201="",0,DATEDIF(V201,P201,"YM"))</f>
        <v>0</v>
      </c>
      <c r="Y201" s="68">
        <f>IF(V201="",0,DATEDIF(V201,P201,"MD"))</f>
        <v>0</v>
      </c>
      <c r="Z201" s="49"/>
      <c r="AA201" s="65"/>
      <c r="AB201" s="50" t="str">
        <f t="shared" si="57"/>
        <v/>
      </c>
      <c r="AC201" s="68">
        <f t="shared" si="58"/>
        <v>0</v>
      </c>
      <c r="AD201" s="68">
        <f t="shared" si="59"/>
        <v>0</v>
      </c>
      <c r="AE201" s="68">
        <f t="shared" si="60"/>
        <v>0</v>
      </c>
      <c r="AF201" s="50"/>
      <c r="AG201" s="50" t="s">
        <v>167</v>
      </c>
      <c r="AH201" s="49" t="str">
        <f>IF(AG201="นิติศาสตร์","K5-LAW","K5-POLICY")</f>
        <v>K5-POLICY</v>
      </c>
      <c r="AI201" s="72" t="str">
        <f>_xlfn.IFS(B201="","",AND(AH201="K5-LAW",AG201="นิติศาสตร์",K201="S2",T201="",Z201=""),P201,AND(AH201="K5-LAW",AG201="นิติศาสตร์",K201="S1",T201="",Z201=""),EDATE(P201,12),AND(AH201="K5-LAW",AG201="นิติศาสตร์",OR(K201="M2",K201="K4"),T201="",Z201=""),EDATE(P201,12*2),AND(AH201="K5-LAW",AG201="นิติศาสตร์",OR(Z201="M2",Z201="K4"),AC201&gt;=2,OR(AB201&lt;V201,AB201&lt;P201)),EDATE(AB201,12*2),AND(AH201="K5-LAW",AG201="นิติศาสตร์",Z201="S1",AC201&gt;=1,OR(AB201&lt;V201,AB201&lt;P201)),EDATE(AB201,12),AND(AH201="K5-LAW",AG201="นิติศาสตร์",OR(T201="M2",T201="K4"),W201&gt;=2,V201&lt;P201),EDATE(V201,12*2),AND(AH201="K5-LAW",AG201="นิติศาสตร์",T201="S1",W201&gt;=1,V201&lt;P201),EDATE(V201,12),AND(AH201="K5-LAW",AG201="นิติศาสตร์",OR(T201="S2",T201="K5")),V201,AND(AH201="K5-LAW",AG201="นิติศาสตร์",OR(K201="M2",K201="K4"),Q201&gt;=2),EDATE(P201,12*2),AND(AH201="K5-LAW",AG201="นิติศาสตร์",K201="S1",Q201&gt;=1),EDATE(P201,12),AND(AH201="K5-LAW",AG201="นิติศาสตร์",OR(K201="S2",K201="K5")),P201,AND(AH201="K5-POLICY",AG201&lt;&gt;"นิติศาสตร์",K201="S2",T201="",Z201=""),P201,AND(AH201="K5-POLICY",AG201&lt;&gt;"นิติศาสตร์",K201="S1",T201="",Z201=""),EDATE(P201,12),AND(AH201="K5-POLICY",AG201&lt;&gt;"นิติศาสตร์",OR(K201="M2",K201="K4"),T201="",Z201=""),EDATE(P201,12*2),AND(AH201="K5-POLICY",AG201&lt;&gt;"นิติศาสตร์",OR(Z201="M2",Z201="K4"),AC201&gt;=2,OR(AB201&lt;V201,AB201&lt;P201)),EDATE(AB201,12*2),AND(AH201="K5-POLICY",AG201&lt;&gt;"นิติศาสตร์",Z201="S1",AC201&gt;=1,OR(AB201&lt;V201,AB201&lt;P201)),EDATE(AB201,12),AND(AH201="K5-POLICY",AG201&lt;&gt;"นิติศาสตร์",OR(T201="M2",T201="K4"),W201&gt;=2,V201&lt;P201),EDATE(V201,12*2),AND(AH201="K5-POLICY",AG201&lt;&gt;"นิติศาสตร์",T201="S1",W201&gt;=1,V201&lt;P201),EDATE(V201,12),AND(AH201="K5-POLICY",AG201&lt;&gt;"นิติศาสตร์",OR(T201="S2",T201="K5")),V201,AND(AH201="K5-POLICY",AG201&lt;&gt;"นิติศาสตร์",OR(K201="M2",K201="K4"),Q201&gt;=2),EDATE(P201,12*2),AND(AH201="K5-POLICY",AG201&lt;&gt;"นิติศาสตร์",K201="S1",Q201&gt;=1),EDATE(P201,12),AND(AH201="K5-POLICY",AG201&lt;&gt;"นิติศาสตร์",OR(K201="S2",K201="K5")),P201,TRUE,"Check Data")</f>
        <v/>
      </c>
      <c r="AJ201" s="75" t="str">
        <f t="shared" si="61"/>
        <v>Check Data</v>
      </c>
      <c r="AK201" s="76" t="str">
        <f t="shared" si="62"/>
        <v>Check Data</v>
      </c>
      <c r="AL201" s="50" t="str">
        <f t="shared" si="63"/>
        <v>Check Data</v>
      </c>
      <c r="AM201" s="49" t="str">
        <f>IF(B201="","",IF(K201="S1","S1",INDEX(#REF!,#REF!)))</f>
        <v/>
      </c>
      <c r="AN201" s="49" t="str">
        <f>K201</f>
        <v>M2</v>
      </c>
      <c r="AO201" s="50" t="b">
        <f>K201=AM201</f>
        <v>0</v>
      </c>
      <c r="AP201" s="50"/>
    </row>
    <row r="202" spans="1:42" ht="21.75">
      <c r="A202" s="49">
        <v>200</v>
      </c>
      <c r="B202" s="50"/>
      <c r="C202" s="50"/>
      <c r="D202" s="50" t="s">
        <v>139</v>
      </c>
      <c r="E202" s="49" t="s">
        <v>232</v>
      </c>
      <c r="F202" s="49" t="str">
        <f t="shared" si="48"/>
        <v>02/12/1991</v>
      </c>
      <c r="G202" s="50">
        <f t="shared" si="49"/>
        <v>33</v>
      </c>
      <c r="H202" s="50">
        <f t="shared" si="50"/>
        <v>6</v>
      </c>
      <c r="I202" s="50">
        <f t="shared" si="51"/>
        <v>18</v>
      </c>
      <c r="J202" s="56"/>
      <c r="K202" s="49" t="s">
        <v>136</v>
      </c>
      <c r="L202" s="64"/>
      <c r="M202" s="49" t="s">
        <v>427</v>
      </c>
      <c r="N202" s="49">
        <v>2570</v>
      </c>
      <c r="O202" s="65" t="s">
        <v>227</v>
      </c>
      <c r="P202" s="49" t="str">
        <f t="shared" si="52"/>
        <v>12/10/2023</v>
      </c>
      <c r="Q202" s="68">
        <f t="shared" si="53"/>
        <v>1</v>
      </c>
      <c r="R202" s="68">
        <f t="shared" si="54"/>
        <v>8</v>
      </c>
      <c r="S202" s="68">
        <f t="shared" si="55"/>
        <v>8</v>
      </c>
      <c r="T202" s="65"/>
      <c r="U202" s="65"/>
      <c r="V202" s="49" t="str">
        <f t="shared" si="56"/>
        <v/>
      </c>
      <c r="W202" s="68">
        <f>IF(V202="",0,DATEDIF(V202,P202,"Y"))</f>
        <v>0</v>
      </c>
      <c r="X202" s="68">
        <f>IF(V202="",0,DATEDIF(V202,P202,"YM"))</f>
        <v>0</v>
      </c>
      <c r="Y202" s="68">
        <f>IF(V202="",0,DATEDIF(V202,P202,"MD"))</f>
        <v>0</v>
      </c>
      <c r="Z202" s="49"/>
      <c r="AA202" s="65"/>
      <c r="AB202" s="50" t="str">
        <f t="shared" si="57"/>
        <v/>
      </c>
      <c r="AC202" s="68">
        <f t="shared" si="58"/>
        <v>0</v>
      </c>
      <c r="AD202" s="68">
        <f t="shared" si="59"/>
        <v>0</v>
      </c>
      <c r="AE202" s="68">
        <f t="shared" si="60"/>
        <v>0</v>
      </c>
      <c r="AF202" s="50"/>
      <c r="AG202" s="50" t="s">
        <v>165</v>
      </c>
      <c r="AH202" s="49" t="str">
        <f>IF(AG202="นิติศาสตร์","K5-LAW","K5-POLICY")</f>
        <v>K5-POLICY</v>
      </c>
      <c r="AI202" s="72" t="str">
        <f>_xlfn.IFS(B202="","",AND(AH202="K5-LAW",AG202="นิติศาสตร์",K202="S2",T202="",Z202=""),P202,AND(AH202="K5-LAW",AG202="นิติศาสตร์",K202="S1",T202="",Z202=""),EDATE(P202,12),AND(AH202="K5-LAW",AG202="นิติศาสตร์",OR(K202="M2",K202="K4"),T202="",Z202=""),EDATE(P202,12*2),AND(AH202="K5-LAW",AG202="นิติศาสตร์",OR(Z202="M2",Z202="K4"),AC202&gt;=2,OR(AB202&lt;V202,AB202&lt;P202)),EDATE(AB202,12*2),AND(AH202="K5-LAW",AG202="นิติศาสตร์",Z202="S1",AC202&gt;=1,OR(AB202&lt;V202,AB202&lt;P202)),EDATE(AB202,12),AND(AH202="K5-LAW",AG202="นิติศาสตร์",OR(T202="M2",T202="K4"),W202&gt;=2,V202&lt;P202),EDATE(V202,12*2),AND(AH202="K5-LAW",AG202="นิติศาสตร์",T202="S1",W202&gt;=1,V202&lt;P202),EDATE(V202,12),AND(AH202="K5-LAW",AG202="นิติศาสตร์",OR(T202="S2",T202="K5")),V202,AND(AH202="K5-LAW",AG202="นิติศาสตร์",OR(K202="M2",K202="K4"),Q202&gt;=2),EDATE(P202,12*2),AND(AH202="K5-LAW",AG202="นิติศาสตร์",K202="S1",Q202&gt;=1),EDATE(P202,12),AND(AH202="K5-LAW",AG202="นิติศาสตร์",OR(K202="S2",K202="K5")),P202,AND(AH202="K5-POLICY",AG202&lt;&gt;"นิติศาสตร์",K202="S2",T202="",Z202=""),P202,AND(AH202="K5-POLICY",AG202&lt;&gt;"นิติศาสตร์",K202="S1",T202="",Z202=""),EDATE(P202,12),AND(AH202="K5-POLICY",AG202&lt;&gt;"นิติศาสตร์",OR(K202="M2",K202="K4"),T202="",Z202=""),EDATE(P202,12*2),AND(AH202="K5-POLICY",AG202&lt;&gt;"นิติศาสตร์",OR(Z202="M2",Z202="K4"),AC202&gt;=2,OR(AB202&lt;V202,AB202&lt;P202)),EDATE(AB202,12*2),AND(AH202="K5-POLICY",AG202&lt;&gt;"นิติศาสตร์",Z202="S1",AC202&gt;=1,OR(AB202&lt;V202,AB202&lt;P202)),EDATE(AB202,12),AND(AH202="K5-POLICY",AG202&lt;&gt;"นิติศาสตร์",OR(T202="M2",T202="K4"),W202&gt;=2,V202&lt;P202),EDATE(V202,12*2),AND(AH202="K5-POLICY",AG202&lt;&gt;"นิติศาสตร์",T202="S1",W202&gt;=1,V202&lt;P202),EDATE(V202,12),AND(AH202="K5-POLICY",AG202&lt;&gt;"นิติศาสตร์",OR(T202="S2",T202="K5")),V202,AND(AH202="K5-POLICY",AG202&lt;&gt;"นิติศาสตร์",OR(K202="M2",K202="K4"),Q202&gt;=2),EDATE(P202,12*2),AND(AH202="K5-POLICY",AG202&lt;&gt;"นิติศาสตร์",K202="S1",Q202&gt;=1),EDATE(P202,12),AND(AH202="K5-POLICY",AG202&lt;&gt;"นิติศาสตร์",OR(K202="S2",K202="K5")),P202,TRUE,"Check Data")</f>
        <v/>
      </c>
      <c r="AJ202" s="75" t="str">
        <f t="shared" si="61"/>
        <v>Check Data</v>
      </c>
      <c r="AK202" s="76" t="str">
        <f t="shared" si="62"/>
        <v>Check Data</v>
      </c>
      <c r="AL202" s="50" t="str">
        <f t="shared" si="63"/>
        <v>Check Data</v>
      </c>
      <c r="AM202" s="49" t="str">
        <f>IF(B202="","",IF(K202="S1","S1",INDEX(#REF!,#REF!)))</f>
        <v/>
      </c>
      <c r="AN202" s="49" t="str">
        <f>K202</f>
        <v>M2</v>
      </c>
      <c r="AO202" s="50" t="b">
        <f>K202=AM202</f>
        <v>0</v>
      </c>
      <c r="AP202" s="50"/>
    </row>
    <row r="203" spans="1:42" ht="21.75">
      <c r="A203" s="49">
        <v>201</v>
      </c>
      <c r="B203" s="50"/>
      <c r="C203" s="50"/>
      <c r="D203" s="50" t="s">
        <v>139</v>
      </c>
      <c r="E203" s="49" t="s">
        <v>226</v>
      </c>
      <c r="F203" s="49" t="str">
        <f t="shared" si="48"/>
        <v>11/11/1991</v>
      </c>
      <c r="G203" s="50">
        <f t="shared" si="49"/>
        <v>33</v>
      </c>
      <c r="H203" s="50">
        <f t="shared" si="50"/>
        <v>7</v>
      </c>
      <c r="I203" s="50">
        <f t="shared" si="51"/>
        <v>9</v>
      </c>
      <c r="J203" s="56"/>
      <c r="K203" s="49" t="s">
        <v>136</v>
      </c>
      <c r="L203" s="64"/>
      <c r="M203" s="49" t="s">
        <v>427</v>
      </c>
      <c r="N203" s="49">
        <v>2569</v>
      </c>
      <c r="O203" s="65" t="s">
        <v>227</v>
      </c>
      <c r="P203" s="49" t="str">
        <f t="shared" si="52"/>
        <v>12/10/2023</v>
      </c>
      <c r="Q203" s="68">
        <f t="shared" si="53"/>
        <v>1</v>
      </c>
      <c r="R203" s="68">
        <f t="shared" si="54"/>
        <v>8</v>
      </c>
      <c r="S203" s="68">
        <f t="shared" si="55"/>
        <v>8</v>
      </c>
      <c r="T203" s="65"/>
      <c r="U203" s="65"/>
      <c r="V203" s="49" t="str">
        <f t="shared" si="56"/>
        <v/>
      </c>
      <c r="W203" s="68">
        <f>IF(V203="",0,DATEDIF(V203,P203,"Y"))</f>
        <v>0</v>
      </c>
      <c r="X203" s="68">
        <f>IF(V203="",0,DATEDIF(V203,P203,"YM"))</f>
        <v>0</v>
      </c>
      <c r="Y203" s="68">
        <f>IF(V203="",0,DATEDIF(V203,P203,"MD"))</f>
        <v>0</v>
      </c>
      <c r="Z203" s="49"/>
      <c r="AA203" s="65"/>
      <c r="AB203" s="50" t="str">
        <f t="shared" si="57"/>
        <v/>
      </c>
      <c r="AC203" s="68">
        <f t="shared" si="58"/>
        <v>0</v>
      </c>
      <c r="AD203" s="68">
        <f t="shared" si="59"/>
        <v>0</v>
      </c>
      <c r="AE203" s="68">
        <f t="shared" si="60"/>
        <v>0</v>
      </c>
      <c r="AF203" s="50"/>
      <c r="AG203" s="50" t="s">
        <v>165</v>
      </c>
      <c r="AH203" s="49" t="str">
        <f>IF(AG203="นิติศาสตร์","K5-LAW","K5-POLICY")</f>
        <v>K5-POLICY</v>
      </c>
      <c r="AI203" s="72" t="str">
        <f>_xlfn.IFS(B203="","",AND(AH203="K5-LAW",AG203="นิติศาสตร์",K203="S2",T203="",Z203=""),P203,AND(AH203="K5-LAW",AG203="นิติศาสตร์",K203="S1",T203="",Z203=""),EDATE(P203,12),AND(AH203="K5-LAW",AG203="นิติศาสตร์",OR(K203="M2",K203="K4"),T203="",Z203=""),EDATE(P203,12*2),AND(AH203="K5-LAW",AG203="นิติศาสตร์",OR(Z203="M2",Z203="K4"),AC203&gt;=2,OR(AB203&lt;V203,AB203&lt;P203)),EDATE(AB203,12*2),AND(AH203="K5-LAW",AG203="นิติศาสตร์",Z203="S1",AC203&gt;=1,OR(AB203&lt;V203,AB203&lt;P203)),EDATE(AB203,12),AND(AH203="K5-LAW",AG203="นิติศาสตร์",OR(T203="M2",T203="K4"),W203&gt;=2,V203&lt;P203),EDATE(V203,12*2),AND(AH203="K5-LAW",AG203="นิติศาสตร์",T203="S1",W203&gt;=1,V203&lt;P203),EDATE(V203,12),AND(AH203="K5-LAW",AG203="นิติศาสตร์",OR(T203="S2",T203="K5")),V203,AND(AH203="K5-LAW",AG203="นิติศาสตร์",OR(K203="M2",K203="K4"),Q203&gt;=2),EDATE(P203,12*2),AND(AH203="K5-LAW",AG203="นิติศาสตร์",K203="S1",Q203&gt;=1),EDATE(P203,12),AND(AH203="K5-LAW",AG203="นิติศาสตร์",OR(K203="S2",K203="K5")),P203,AND(AH203="K5-POLICY",AG203&lt;&gt;"นิติศาสตร์",K203="S2",T203="",Z203=""),P203,AND(AH203="K5-POLICY",AG203&lt;&gt;"นิติศาสตร์",K203="S1",T203="",Z203=""),EDATE(P203,12),AND(AH203="K5-POLICY",AG203&lt;&gt;"นิติศาสตร์",OR(K203="M2",K203="K4"),T203="",Z203=""),EDATE(P203,12*2),AND(AH203="K5-POLICY",AG203&lt;&gt;"นิติศาสตร์",OR(Z203="M2",Z203="K4"),AC203&gt;=2,OR(AB203&lt;V203,AB203&lt;P203)),EDATE(AB203,12*2),AND(AH203="K5-POLICY",AG203&lt;&gt;"นิติศาสตร์",Z203="S1",AC203&gt;=1,OR(AB203&lt;V203,AB203&lt;P203)),EDATE(AB203,12),AND(AH203="K5-POLICY",AG203&lt;&gt;"นิติศาสตร์",OR(T203="M2",T203="K4"),W203&gt;=2,V203&lt;P203),EDATE(V203,12*2),AND(AH203="K5-POLICY",AG203&lt;&gt;"นิติศาสตร์",T203="S1",W203&gt;=1,V203&lt;P203),EDATE(V203,12),AND(AH203="K5-POLICY",AG203&lt;&gt;"นิติศาสตร์",OR(T203="S2",T203="K5")),V203,AND(AH203="K5-POLICY",AG203&lt;&gt;"นิติศาสตร์",OR(K203="M2",K203="K4"),Q203&gt;=2),EDATE(P203,12*2),AND(AH203="K5-POLICY",AG203&lt;&gt;"นิติศาสตร์",K203="S1",Q203&gt;=1),EDATE(P203,12),AND(AH203="K5-POLICY",AG203&lt;&gt;"นิติศาสตร์",OR(K203="S2",K203="K5")),P203,TRUE,"Check Data")</f>
        <v/>
      </c>
      <c r="AJ203" s="75" t="str">
        <f t="shared" si="61"/>
        <v>Check Data</v>
      </c>
      <c r="AK203" s="76" t="str">
        <f t="shared" si="62"/>
        <v>Check Data</v>
      </c>
      <c r="AL203" s="50" t="str">
        <f t="shared" si="63"/>
        <v>Check Data</v>
      </c>
      <c r="AM203" s="49" t="str">
        <f>IF(B203="","",IF(K203="S1","S1",INDEX(#REF!,#REF!)))</f>
        <v/>
      </c>
      <c r="AN203" s="49" t="str">
        <f>K203</f>
        <v>M2</v>
      </c>
      <c r="AO203" s="50" t="b">
        <f>K203=AM203</f>
        <v>0</v>
      </c>
      <c r="AP203" s="50"/>
    </row>
    <row r="204" spans="1:42" ht="21.75">
      <c r="A204" s="49">
        <v>202</v>
      </c>
      <c r="B204" s="50"/>
      <c r="C204" s="50"/>
      <c r="D204" s="50" t="s">
        <v>139</v>
      </c>
      <c r="E204" s="49" t="s">
        <v>231</v>
      </c>
      <c r="F204" s="49" t="str">
        <f t="shared" si="48"/>
        <v>15/05/1995</v>
      </c>
      <c r="G204" s="50">
        <f t="shared" si="49"/>
        <v>30</v>
      </c>
      <c r="H204" s="50">
        <f t="shared" si="50"/>
        <v>1</v>
      </c>
      <c r="I204" s="50">
        <f t="shared" si="51"/>
        <v>5</v>
      </c>
      <c r="J204" s="56"/>
      <c r="K204" s="49" t="s">
        <v>136</v>
      </c>
      <c r="L204" s="64"/>
      <c r="M204" s="49" t="s">
        <v>427</v>
      </c>
      <c r="N204" s="49">
        <v>2573</v>
      </c>
      <c r="O204" s="65" t="s">
        <v>227</v>
      </c>
      <c r="P204" s="49" t="str">
        <f t="shared" si="52"/>
        <v>12/10/2023</v>
      </c>
      <c r="Q204" s="68">
        <f t="shared" si="53"/>
        <v>1</v>
      </c>
      <c r="R204" s="68">
        <f t="shared" si="54"/>
        <v>8</v>
      </c>
      <c r="S204" s="68">
        <f t="shared" si="55"/>
        <v>8</v>
      </c>
      <c r="T204" s="65"/>
      <c r="U204" s="65"/>
      <c r="V204" s="49" t="str">
        <f t="shared" si="56"/>
        <v/>
      </c>
      <c r="W204" s="68">
        <f>IF(V204="",0,DATEDIF(V204,P204,"Y"))</f>
        <v>0</v>
      </c>
      <c r="X204" s="68">
        <f>IF(V204="",0,DATEDIF(V204,P204,"YM"))</f>
        <v>0</v>
      </c>
      <c r="Y204" s="68">
        <f>IF(V204="",0,DATEDIF(V204,P204,"MD"))</f>
        <v>0</v>
      </c>
      <c r="Z204" s="49"/>
      <c r="AA204" s="65"/>
      <c r="AB204" s="50" t="str">
        <f t="shared" si="57"/>
        <v/>
      </c>
      <c r="AC204" s="68">
        <f t="shared" si="58"/>
        <v>0</v>
      </c>
      <c r="AD204" s="68">
        <f t="shared" si="59"/>
        <v>0</v>
      </c>
      <c r="AE204" s="68">
        <f t="shared" si="60"/>
        <v>0</v>
      </c>
      <c r="AF204" s="50"/>
      <c r="AG204" s="50" t="s">
        <v>138</v>
      </c>
      <c r="AH204" s="49" t="str">
        <f>IF(AG204="นิติศาสตร์","K5-LAW","K5-POLICY")</f>
        <v>K5-LAW</v>
      </c>
      <c r="AI204" s="72" t="str">
        <f>_xlfn.IFS(B204="","",AND(AH204="K5-LAW",AG204="นิติศาสตร์",K204="S2",T204="",Z204=""),P204,AND(AH204="K5-LAW",AG204="นิติศาสตร์",K204="S1",T204="",Z204=""),EDATE(P204,12),AND(AH204="K5-LAW",AG204="นิติศาสตร์",OR(K204="M2",K204="K4"),T204="",Z204=""),EDATE(P204,12*2),AND(AH204="K5-LAW",AG204="นิติศาสตร์",OR(Z204="M2",Z204="K4"),AC204&gt;=2,OR(AB204&lt;V204,AB204&lt;P204)),EDATE(AB204,12*2),AND(AH204="K5-LAW",AG204="นิติศาสตร์",Z204="S1",AC204&gt;=1,OR(AB204&lt;V204,AB204&lt;P204)),EDATE(AB204,12),AND(AH204="K5-LAW",AG204="นิติศาสตร์",OR(T204="M2",T204="K4"),W204&gt;=2,V204&lt;P204),EDATE(V204,12*2),AND(AH204="K5-LAW",AG204="นิติศาสตร์",T204="S1",W204&gt;=1,V204&lt;P204),EDATE(V204,12),AND(AH204="K5-LAW",AG204="นิติศาสตร์",OR(T204="S2",T204="K5")),V204,AND(AH204="K5-LAW",AG204="นิติศาสตร์",OR(K204="M2",K204="K4"),Q204&gt;=2),EDATE(P204,12*2),AND(AH204="K5-LAW",AG204="นิติศาสตร์",K204="S1",Q204&gt;=1),EDATE(P204,12),AND(AH204="K5-LAW",AG204="นิติศาสตร์",OR(K204="S2",K204="K5")),P204,AND(AH204="K5-POLICY",AG204&lt;&gt;"นิติศาสตร์",K204="S2",T204="",Z204=""),P204,AND(AH204="K5-POLICY",AG204&lt;&gt;"นิติศาสตร์",K204="S1",T204="",Z204=""),EDATE(P204,12),AND(AH204="K5-POLICY",AG204&lt;&gt;"นิติศาสตร์",OR(K204="M2",K204="K4"),T204="",Z204=""),EDATE(P204,12*2),AND(AH204="K5-POLICY",AG204&lt;&gt;"นิติศาสตร์",OR(Z204="M2",Z204="K4"),AC204&gt;=2,OR(AB204&lt;V204,AB204&lt;P204)),EDATE(AB204,12*2),AND(AH204="K5-POLICY",AG204&lt;&gt;"นิติศาสตร์",Z204="S1",AC204&gt;=1,OR(AB204&lt;V204,AB204&lt;P204)),EDATE(AB204,12),AND(AH204="K5-POLICY",AG204&lt;&gt;"นิติศาสตร์",OR(T204="M2",T204="K4"),W204&gt;=2,V204&lt;P204),EDATE(V204,12*2),AND(AH204="K5-POLICY",AG204&lt;&gt;"นิติศาสตร์",T204="S1",W204&gt;=1,V204&lt;P204),EDATE(V204,12),AND(AH204="K5-POLICY",AG204&lt;&gt;"นิติศาสตร์",OR(T204="S2",T204="K5")),V204,AND(AH204="K5-POLICY",AG204&lt;&gt;"นิติศาสตร์",OR(K204="M2",K204="K4"),Q204&gt;=2),EDATE(P204,12*2),AND(AH204="K5-POLICY",AG204&lt;&gt;"นิติศาสตร์",K204="S1",Q204&gt;=1),EDATE(P204,12),AND(AH204="K5-POLICY",AG204&lt;&gt;"นิติศาสตร์",OR(K204="S2",K204="K5")),P204,TRUE,"Check Data")</f>
        <v/>
      </c>
      <c r="AJ204" s="75" t="str">
        <f t="shared" si="61"/>
        <v>Check Data</v>
      </c>
      <c r="AK204" s="76" t="str">
        <f t="shared" si="62"/>
        <v>Check Data</v>
      </c>
      <c r="AL204" s="50" t="str">
        <f t="shared" si="63"/>
        <v>Check Data</v>
      </c>
      <c r="AM204" s="49" t="str">
        <f>IF(B204="","",IF(K204="S1","S1",INDEX(#REF!,#REF!)))</f>
        <v/>
      </c>
      <c r="AN204" s="49" t="str">
        <f>K204</f>
        <v>M2</v>
      </c>
      <c r="AO204" s="50" t="b">
        <f>K204=AM204</f>
        <v>0</v>
      </c>
      <c r="AP204" s="50"/>
    </row>
    <row r="205" spans="1:42" ht="21.75">
      <c r="A205" s="49">
        <v>203</v>
      </c>
      <c r="B205" s="50"/>
      <c r="C205" s="50"/>
      <c r="D205" s="50" t="s">
        <v>147</v>
      </c>
      <c r="E205" s="49" t="s">
        <v>418</v>
      </c>
      <c r="F205" s="49" t="str">
        <f t="shared" si="48"/>
        <v>16/08/2004</v>
      </c>
      <c r="G205" s="50">
        <f t="shared" si="49"/>
        <v>20</v>
      </c>
      <c r="H205" s="50">
        <f t="shared" si="50"/>
        <v>10</v>
      </c>
      <c r="I205" s="50">
        <f t="shared" si="51"/>
        <v>4</v>
      </c>
      <c r="J205" s="81"/>
      <c r="K205" s="49" t="s">
        <v>136</v>
      </c>
      <c r="L205" s="64"/>
      <c r="M205" s="49" t="s">
        <v>426</v>
      </c>
      <c r="N205" s="49">
        <v>2582</v>
      </c>
      <c r="O205" s="65" t="s">
        <v>432</v>
      </c>
      <c r="P205" s="49" t="str">
        <f t="shared" si="52"/>
        <v>07/11/2023</v>
      </c>
      <c r="Q205" s="68">
        <f t="shared" si="53"/>
        <v>1</v>
      </c>
      <c r="R205" s="68">
        <f t="shared" si="54"/>
        <v>7</v>
      </c>
      <c r="S205" s="68">
        <f t="shared" si="55"/>
        <v>13</v>
      </c>
      <c r="T205" s="65"/>
      <c r="U205" s="65"/>
      <c r="V205" s="49" t="str">
        <f t="shared" si="56"/>
        <v/>
      </c>
      <c r="W205" s="68">
        <f>IF(V205="",0,DATEDIF(V205,P205,"Y"))</f>
        <v>0</v>
      </c>
      <c r="X205" s="68">
        <f>IF(V205="",0,DATEDIF(V205,P205,"YM"))</f>
        <v>0</v>
      </c>
      <c r="Y205" s="68">
        <f>IF(V205="",0,DATEDIF(V205,P205,"MD"))</f>
        <v>0</v>
      </c>
      <c r="Z205" s="49"/>
      <c r="AA205" s="65"/>
      <c r="AB205" s="50" t="str">
        <f t="shared" si="57"/>
        <v/>
      </c>
      <c r="AC205" s="68">
        <f t="shared" si="58"/>
        <v>0</v>
      </c>
      <c r="AD205" s="68">
        <f t="shared" si="59"/>
        <v>0</v>
      </c>
      <c r="AE205" s="68">
        <f t="shared" si="60"/>
        <v>0</v>
      </c>
      <c r="AF205" s="50"/>
      <c r="AG205" s="50" t="s">
        <v>486</v>
      </c>
      <c r="AH205" s="49" t="str">
        <f>IF(AG205="นิติศาสตร์","K5-LAW","K5-POLICY")</f>
        <v>K5-POLICY</v>
      </c>
      <c r="AI205" s="72" t="str">
        <f>_xlfn.IFS(B205="","",AND(AH205="K5-LAW",AG205="นิติศาสตร์",K205="S2",T205="",Z205=""),P205,AND(AH205="K5-LAW",AG205="นิติศาสตร์",K205="S1",T205="",Z205=""),EDATE(P205,12),AND(AH205="K5-LAW",AG205="นิติศาสตร์",OR(K205="M2",K205="K4"),T205="",Z205=""),EDATE(P205,12*2),AND(AH205="K5-LAW",AG205="นิติศาสตร์",OR(Z205="M2",Z205="K4"),AC205&gt;=2,OR(AB205&lt;V205,AB205&lt;P205)),EDATE(AB205,12*2),AND(AH205="K5-LAW",AG205="นิติศาสตร์",Z205="S1",AC205&gt;=1,OR(AB205&lt;V205,AB205&lt;P205)),EDATE(AB205,12),AND(AH205="K5-LAW",AG205="นิติศาสตร์",OR(T205="M2",T205="K4"),W205&gt;=2,V205&lt;P205),EDATE(V205,12*2),AND(AH205="K5-LAW",AG205="นิติศาสตร์",T205="S1",W205&gt;=1,V205&lt;P205),EDATE(V205,12),AND(AH205="K5-LAW",AG205="นิติศาสตร์",OR(T205="S2",T205="K5")),V205,AND(AH205="K5-LAW",AG205="นิติศาสตร์",OR(K205="M2",K205="K4"),Q205&gt;=2),EDATE(P205,12*2),AND(AH205="K5-LAW",AG205="นิติศาสตร์",K205="S1",Q205&gt;=1),EDATE(P205,12),AND(AH205="K5-LAW",AG205="นิติศาสตร์",OR(K205="S2",K205="K5")),P205,AND(AH205="K5-POLICY",AG205&lt;&gt;"นิติศาสตร์",K205="S2",T205="",Z205=""),P205,AND(AH205="K5-POLICY",AG205&lt;&gt;"นิติศาสตร์",K205="S1",T205="",Z205=""),EDATE(P205,12),AND(AH205="K5-POLICY",AG205&lt;&gt;"นิติศาสตร์",OR(K205="M2",K205="K4"),T205="",Z205=""),EDATE(P205,12*2),AND(AH205="K5-POLICY",AG205&lt;&gt;"นิติศาสตร์",OR(Z205="M2",Z205="K4"),AC205&gt;=2,OR(AB205&lt;V205,AB205&lt;P205)),EDATE(AB205,12*2),AND(AH205="K5-POLICY",AG205&lt;&gt;"นิติศาสตร์",Z205="S1",AC205&gt;=1,OR(AB205&lt;V205,AB205&lt;P205)),EDATE(AB205,12),AND(AH205="K5-POLICY",AG205&lt;&gt;"นิติศาสตร์",OR(T205="M2",T205="K4"),W205&gt;=2,V205&lt;P205),EDATE(V205,12*2),AND(AH205="K5-POLICY",AG205&lt;&gt;"นิติศาสตร์",T205="S1",W205&gt;=1,V205&lt;P205),EDATE(V205,12),AND(AH205="K5-POLICY",AG205&lt;&gt;"นิติศาสตร์",OR(T205="S2",T205="K5")),V205,AND(AH205="K5-POLICY",AG205&lt;&gt;"นิติศาสตร์",OR(K205="M2",K205="K4"),Q205&gt;=2),EDATE(P205,12*2),AND(AH205="K5-POLICY",AG205&lt;&gt;"นิติศาสตร์",K205="S1",Q205&gt;=1),EDATE(P205,12),AND(AH205="K5-POLICY",AG205&lt;&gt;"นิติศาสตร์",OR(K205="S2",K205="K5")),P205,TRUE,"Check Data")</f>
        <v/>
      </c>
      <c r="AJ205" s="75" t="str">
        <f t="shared" si="61"/>
        <v>Check Data</v>
      </c>
      <c r="AK205" s="76" t="str">
        <f t="shared" si="62"/>
        <v>Check Data</v>
      </c>
      <c r="AL205" s="50" t="str">
        <f t="shared" si="63"/>
        <v>Check Data</v>
      </c>
      <c r="AM205" s="49" t="str">
        <f>IF(B205="","",IF(K205="S1","S1",INDEX(#REF!,#REF!)))</f>
        <v/>
      </c>
      <c r="AN205" s="49" t="str">
        <f>K205</f>
        <v>M2</v>
      </c>
      <c r="AO205" s="50" t="b">
        <f>K205=AM205</f>
        <v>0</v>
      </c>
      <c r="AP205" s="50"/>
    </row>
    <row r="206" spans="1:42" ht="21.75">
      <c r="A206" s="49">
        <v>204</v>
      </c>
      <c r="B206" s="50"/>
      <c r="C206" s="52"/>
      <c r="D206" s="79"/>
      <c r="E206" s="79"/>
      <c r="F206" s="79"/>
      <c r="G206" s="50">
        <f t="shared" si="49"/>
        <v>0</v>
      </c>
      <c r="H206" s="50">
        <f t="shared" si="50"/>
        <v>0</v>
      </c>
      <c r="I206" s="50">
        <f t="shared" si="51"/>
        <v>0</v>
      </c>
      <c r="J206" s="79"/>
      <c r="K206" s="49" t="s">
        <v>136</v>
      </c>
      <c r="L206" s="79"/>
      <c r="M206" s="79"/>
      <c r="N206" s="79"/>
      <c r="O206" s="65" t="s">
        <v>438</v>
      </c>
      <c r="P206" s="49" t="str">
        <f t="shared" si="52"/>
        <v>08/12/2023</v>
      </c>
      <c r="Q206" s="68">
        <f t="shared" si="53"/>
        <v>1</v>
      </c>
      <c r="R206" s="68">
        <f t="shared" si="54"/>
        <v>6</v>
      </c>
      <c r="S206" s="68">
        <f t="shared" si="55"/>
        <v>12</v>
      </c>
      <c r="T206" s="65"/>
      <c r="U206" s="83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49" t="str">
        <f>IF(AG206="นิติศาสตร์","K5-LAW","K5-POLICY")</f>
        <v>K5-POLICY</v>
      </c>
      <c r="AI206" s="72" t="str">
        <f>_xlfn.IFS(B206="","",AND(AH206="K5-LAW",AG206="นิติศาสตร์",K206="S2",T206="",Z206=""),P206,AND(AH206="K5-LAW",AG206="นิติศาสตร์",K206="S1",T206="",Z206=""),EDATE(P206,12),AND(AH206="K5-LAW",AG206="นิติศาสตร์",OR(K206="M2",K206="K4"),T206="",Z206=""),EDATE(P206,12*2),AND(AH206="K5-LAW",AG206="นิติศาสตร์",OR(Z206="M2",Z206="K4"),AC206&gt;=2,OR(AB206&lt;V206,AB206&lt;P206)),EDATE(AB206,12*2),AND(AH206="K5-LAW",AG206="นิติศาสตร์",Z206="S1",AC206&gt;=1,OR(AB206&lt;V206,AB206&lt;P206)),EDATE(AB206,12),AND(AH206="K5-LAW",AG206="นิติศาสตร์",OR(T206="M2",T206="K4"),W206&gt;=2,V206&lt;P206),EDATE(V206,12*2),AND(AH206="K5-LAW",AG206="นิติศาสตร์",T206="S1",W206&gt;=1,V206&lt;P206),EDATE(V206,12),AND(AH206="K5-LAW",AG206="นิติศาสตร์",OR(T206="S2",T206="K5")),V206,AND(AH206="K5-LAW",AG206="นิติศาสตร์",OR(K206="M2",K206="K4"),Q206&gt;=2),EDATE(P206,12*2),AND(AH206="K5-LAW",AG206="นิติศาสตร์",K206="S1",Q206&gt;=1),EDATE(P206,12),AND(AH206="K5-LAW",AG206="นิติศาสตร์",OR(K206="S2",K206="K5")),P206,AND(AH206="K5-POLICY",AG206&lt;&gt;"นิติศาสตร์",K206="S2",T206="",Z206=""),P206,AND(AH206="K5-POLICY",AG206&lt;&gt;"นิติศาสตร์",K206="S1",T206="",Z206=""),EDATE(P206,12),AND(AH206="K5-POLICY",AG206&lt;&gt;"นิติศาสตร์",OR(K206="M2",K206="K4"),T206="",Z206=""),EDATE(P206,12*2),AND(AH206="K5-POLICY",AG206&lt;&gt;"นิติศาสตร์",OR(Z206="M2",Z206="K4"),AC206&gt;=2,OR(AB206&lt;V206,AB206&lt;P206)),EDATE(AB206,12*2),AND(AH206="K5-POLICY",AG206&lt;&gt;"นิติศาสตร์",Z206="S1",AC206&gt;=1,OR(AB206&lt;V206,AB206&lt;P206)),EDATE(AB206,12),AND(AH206="K5-POLICY",AG206&lt;&gt;"นิติศาสตร์",OR(T206="M2",T206="K4"),W206&gt;=2,V206&lt;P206),EDATE(V206,12*2),AND(AH206="K5-POLICY",AG206&lt;&gt;"นิติศาสตร์",T206="S1",W206&gt;=1,V206&lt;P206),EDATE(V206,12),AND(AH206="K5-POLICY",AG206&lt;&gt;"นิติศาสตร์",OR(T206="S2",T206="K5")),V206,AND(AH206="K5-POLICY",AG206&lt;&gt;"นิติศาสตร์",OR(K206="M2",K206="K4"),Q206&gt;=2),EDATE(P206,12*2),AND(AH206="K5-POLICY",AG206&lt;&gt;"นิติศาสตร์",K206="S1",Q206&gt;=1),EDATE(P206,12),AND(AH206="K5-POLICY",AG206&lt;&gt;"นิติศาสตร์",OR(K206="S2",K206="K5")),P206,TRUE,"Check Data")</f>
        <v/>
      </c>
      <c r="AJ206" s="75" t="str">
        <f t="shared" si="61"/>
        <v>Check Data</v>
      </c>
      <c r="AK206" s="76" t="str">
        <f t="shared" si="62"/>
        <v>Check Data</v>
      </c>
      <c r="AL206" s="50" t="str">
        <f t="shared" si="63"/>
        <v>Check Data</v>
      </c>
      <c r="AM206" s="49" t="str">
        <f>IF(B206="","",IF(K206="S1","S1",INDEX(#REF!,#REF!)))</f>
        <v/>
      </c>
      <c r="AN206" s="49" t="str">
        <f>K206</f>
        <v>M2</v>
      </c>
      <c r="AO206" s="50" t="b">
        <f>K206=AM206</f>
        <v>0</v>
      </c>
      <c r="AP206" s="50"/>
    </row>
    <row r="207" spans="1:42" ht="21.75">
      <c r="A207" s="49">
        <v>205</v>
      </c>
      <c r="B207" s="50"/>
      <c r="C207" s="50"/>
      <c r="D207" s="50" t="s">
        <v>142</v>
      </c>
      <c r="E207" s="49" t="s">
        <v>279</v>
      </c>
      <c r="F207" s="49" t="str">
        <f t="shared" ref="F207:F221" si="64">IF(E207="","",TEXT(EDATE(E207,-543*12),"dd/mm/yyyy"))</f>
        <v>02/11/1987</v>
      </c>
      <c r="G207" s="50">
        <f t="shared" si="49"/>
        <v>37</v>
      </c>
      <c r="H207" s="50">
        <f t="shared" si="50"/>
        <v>7</v>
      </c>
      <c r="I207" s="50">
        <f t="shared" si="51"/>
        <v>18</v>
      </c>
      <c r="J207" s="58"/>
      <c r="K207" s="49" t="s">
        <v>136</v>
      </c>
      <c r="L207" s="64"/>
      <c r="M207" s="49" t="s">
        <v>427</v>
      </c>
      <c r="N207" s="49">
        <v>0</v>
      </c>
      <c r="O207" s="65" t="s">
        <v>257</v>
      </c>
      <c r="P207" s="49" t="str">
        <f t="shared" si="52"/>
        <v>19/12/2023</v>
      </c>
      <c r="Q207" s="68">
        <f t="shared" si="53"/>
        <v>1</v>
      </c>
      <c r="R207" s="68">
        <f t="shared" si="54"/>
        <v>6</v>
      </c>
      <c r="S207" s="68">
        <f t="shared" si="55"/>
        <v>1</v>
      </c>
      <c r="T207" s="65"/>
      <c r="U207" s="65"/>
      <c r="V207" s="49" t="str">
        <f t="shared" ref="V207:V221" si="65">IF(U207="","",TEXT(EDATE(U207,-543*12),"dd/mm/yyyy"))</f>
        <v/>
      </c>
      <c r="W207" s="68">
        <f>IF(V207="",0,DATEDIF(V207,P207,"Y"))</f>
        <v>0</v>
      </c>
      <c r="X207" s="68">
        <f>IF(V207="",0,DATEDIF(V207,P207,"YM"))</f>
        <v>0</v>
      </c>
      <c r="Y207" s="68">
        <f>IF(V207="",0,DATEDIF(V207,P207,"MD"))</f>
        <v>0</v>
      </c>
      <c r="Z207" s="49"/>
      <c r="AA207" s="65"/>
      <c r="AB207" s="50" t="str">
        <f t="shared" ref="AB207:AB221" si="66">IF(AA207="","",TEXT(EDATE(AA207,-543*12),"dd/mm/yyyy"))</f>
        <v/>
      </c>
      <c r="AC207" s="68">
        <f t="shared" ref="AC207:AC221" si="67">IF(AB207="",0,DATEDIF(AB207,V207,"Y"))</f>
        <v>0</v>
      </c>
      <c r="AD207" s="68">
        <f t="shared" ref="AD207:AD221" si="68">IF(AB207="",0,DATEDIF(AB207,V207,"YM"))</f>
        <v>0</v>
      </c>
      <c r="AE207" s="68">
        <f t="shared" ref="AE207:AE221" si="69">IF(AB207="",0,DATEDIF(AB207,V207,"MD"))</f>
        <v>0</v>
      </c>
      <c r="AF207" s="50"/>
      <c r="AG207" s="50" t="s">
        <v>138</v>
      </c>
      <c r="AH207" s="49" t="str">
        <f>IF(AG207="นิติศาสตร์","K5-LAW","K5-POLICY")</f>
        <v>K5-LAW</v>
      </c>
      <c r="AI207" s="72" t="str">
        <f>_xlfn.IFS(B207="","",AND(AH207="K5-LAW",AG207="นิติศาสตร์",K207="S2",T207="",Z207=""),P207,AND(AH207="K5-LAW",AG207="นิติศาสตร์",K207="S1",T207="",Z207=""),EDATE(P207,12),AND(AH207="K5-LAW",AG207="นิติศาสตร์",OR(K207="M2",K207="K4"),T207="",Z207=""),EDATE(P207,12*2),AND(AH207="K5-LAW",AG207="นิติศาสตร์",OR(Z207="M2",Z207="K4"),AC207&gt;=2,OR(AB207&lt;V207,AB207&lt;P207)),EDATE(AB207,12*2),AND(AH207="K5-LAW",AG207="นิติศาสตร์",Z207="S1",AC207&gt;=1,OR(AB207&lt;V207,AB207&lt;P207)),EDATE(AB207,12),AND(AH207="K5-LAW",AG207="นิติศาสตร์",OR(T207="M2",T207="K4"),W207&gt;=2,V207&lt;P207),EDATE(V207,12*2),AND(AH207="K5-LAW",AG207="นิติศาสตร์",T207="S1",W207&gt;=1,V207&lt;P207),EDATE(V207,12),AND(AH207="K5-LAW",AG207="นิติศาสตร์",OR(T207="S2",T207="K5")),V207,AND(AH207="K5-LAW",AG207="นิติศาสตร์",OR(K207="M2",K207="K4"),Q207&gt;=2),EDATE(P207,12*2),AND(AH207="K5-LAW",AG207="นิติศาสตร์",K207="S1",Q207&gt;=1),EDATE(P207,12),AND(AH207="K5-LAW",AG207="นิติศาสตร์",OR(K207="S2",K207="K5")),P207,AND(AH207="K5-POLICY",AG207&lt;&gt;"นิติศาสตร์",K207="S2",T207="",Z207=""),P207,AND(AH207="K5-POLICY",AG207&lt;&gt;"นิติศาสตร์",K207="S1",T207="",Z207=""),EDATE(P207,12),AND(AH207="K5-POLICY",AG207&lt;&gt;"นิติศาสตร์",OR(K207="M2",K207="K4"),T207="",Z207=""),EDATE(P207,12*2),AND(AH207="K5-POLICY",AG207&lt;&gt;"นิติศาสตร์",OR(Z207="M2",Z207="K4"),AC207&gt;=2,OR(AB207&lt;V207,AB207&lt;P207)),EDATE(AB207,12*2),AND(AH207="K5-POLICY",AG207&lt;&gt;"นิติศาสตร์",Z207="S1",AC207&gt;=1,OR(AB207&lt;V207,AB207&lt;P207)),EDATE(AB207,12),AND(AH207="K5-POLICY",AG207&lt;&gt;"นิติศาสตร์",OR(T207="M2",T207="K4"),W207&gt;=2,V207&lt;P207),EDATE(V207,12*2),AND(AH207="K5-POLICY",AG207&lt;&gt;"นิติศาสตร์",T207="S1",W207&gt;=1,V207&lt;P207),EDATE(V207,12),AND(AH207="K5-POLICY",AG207&lt;&gt;"นิติศาสตร์",OR(T207="S2",T207="K5")),V207,AND(AH207="K5-POLICY",AG207&lt;&gt;"นิติศาสตร์",OR(K207="M2",K207="K4"),Q207&gt;=2),EDATE(P207,12*2),AND(AH207="K5-POLICY",AG207&lt;&gt;"นิติศาสตร์",K207="S1",Q207&gt;=1),EDATE(P207,12),AND(AH207="K5-POLICY",AG207&lt;&gt;"นิติศาสตร์",OR(K207="S2",K207="K5")),P207,TRUE,"Check Data")</f>
        <v/>
      </c>
      <c r="AJ207" s="75" t="str">
        <f t="shared" si="61"/>
        <v>Check Data</v>
      </c>
      <c r="AK207" s="76" t="str">
        <f t="shared" si="62"/>
        <v>Check Data</v>
      </c>
      <c r="AL207" s="50" t="str">
        <f t="shared" si="63"/>
        <v>Check Data</v>
      </c>
      <c r="AM207" s="49" t="str">
        <f>IF(B207="","",IF(K207="S1","S1",INDEX(#REF!,#REF!)))</f>
        <v/>
      </c>
      <c r="AN207" s="49" t="str">
        <f>K207</f>
        <v>M2</v>
      </c>
      <c r="AO207" s="50" t="b">
        <f>K207=AM207</f>
        <v>0</v>
      </c>
      <c r="AP207" s="50"/>
    </row>
    <row r="208" spans="1:42" ht="21.75">
      <c r="A208" s="49">
        <v>206</v>
      </c>
      <c r="B208" s="50"/>
      <c r="C208" s="50"/>
      <c r="D208" s="50" t="s">
        <v>141</v>
      </c>
      <c r="E208" s="49" t="s">
        <v>265</v>
      </c>
      <c r="F208" s="49" t="str">
        <f t="shared" si="64"/>
        <v>01/09/1993</v>
      </c>
      <c r="G208" s="50">
        <f t="shared" si="49"/>
        <v>31</v>
      </c>
      <c r="H208" s="50">
        <f t="shared" si="50"/>
        <v>9</v>
      </c>
      <c r="I208" s="50">
        <f t="shared" si="51"/>
        <v>19</v>
      </c>
      <c r="J208" s="60"/>
      <c r="K208" s="49" t="s">
        <v>136</v>
      </c>
      <c r="L208" s="64"/>
      <c r="M208" s="49" t="s">
        <v>427</v>
      </c>
      <c r="N208" s="49">
        <v>2569</v>
      </c>
      <c r="O208" s="65" t="s">
        <v>257</v>
      </c>
      <c r="P208" s="49" t="str">
        <f t="shared" si="52"/>
        <v>19/12/2023</v>
      </c>
      <c r="Q208" s="68">
        <f t="shared" si="53"/>
        <v>1</v>
      </c>
      <c r="R208" s="68">
        <f t="shared" si="54"/>
        <v>6</v>
      </c>
      <c r="S208" s="68">
        <f t="shared" si="55"/>
        <v>1</v>
      </c>
      <c r="T208" s="65"/>
      <c r="U208" s="65"/>
      <c r="V208" s="49" t="str">
        <f t="shared" si="65"/>
        <v/>
      </c>
      <c r="W208" s="68">
        <f>IF(V208="",0,DATEDIF(V208,P208,"Y"))</f>
        <v>0</v>
      </c>
      <c r="X208" s="68">
        <f>IF(V208="",0,DATEDIF(V208,P208,"YM"))</f>
        <v>0</v>
      </c>
      <c r="Y208" s="68">
        <f>IF(V208="",0,DATEDIF(V208,P208,"MD"))</f>
        <v>0</v>
      </c>
      <c r="Z208" s="49"/>
      <c r="AA208" s="65"/>
      <c r="AB208" s="50" t="str">
        <f t="shared" si="66"/>
        <v/>
      </c>
      <c r="AC208" s="68">
        <f t="shared" si="67"/>
        <v>0</v>
      </c>
      <c r="AD208" s="68">
        <f t="shared" si="68"/>
        <v>0</v>
      </c>
      <c r="AE208" s="68">
        <f t="shared" si="69"/>
        <v>0</v>
      </c>
      <c r="AF208" s="50"/>
      <c r="AG208" s="50" t="s">
        <v>138</v>
      </c>
      <c r="AH208" s="49" t="str">
        <f>IF(AG208="นิติศาสตร์","K5-LAW","K5-POLICY")</f>
        <v>K5-LAW</v>
      </c>
      <c r="AI208" s="72" t="str">
        <f>_xlfn.IFS(B208="","",AND(AH208="K5-LAW",AG208="นิติศาสตร์",K208="S2",T208="",Z208=""),P208,AND(AH208="K5-LAW",AG208="นิติศาสตร์",K208="S1",T208="",Z208=""),EDATE(P208,12),AND(AH208="K5-LAW",AG208="นิติศาสตร์",OR(K208="M2",K208="K4"),T208="",Z208=""),EDATE(P208,12*2),AND(AH208="K5-LAW",AG208="นิติศาสตร์",OR(Z208="M2",Z208="K4"),AC208&gt;=2,OR(AB208&lt;V208,AB208&lt;P208)),EDATE(AB208,12*2),AND(AH208="K5-LAW",AG208="นิติศาสตร์",Z208="S1",AC208&gt;=1,OR(AB208&lt;V208,AB208&lt;P208)),EDATE(AB208,12),AND(AH208="K5-LAW",AG208="นิติศาสตร์",OR(T208="M2",T208="K4"),W208&gt;=2,V208&lt;P208),EDATE(V208,12*2),AND(AH208="K5-LAW",AG208="นิติศาสตร์",T208="S1",W208&gt;=1,V208&lt;P208),EDATE(V208,12),AND(AH208="K5-LAW",AG208="นิติศาสตร์",OR(T208="S2",T208="K5")),V208,AND(AH208="K5-LAW",AG208="นิติศาสตร์",OR(K208="M2",K208="K4"),Q208&gt;=2),EDATE(P208,12*2),AND(AH208="K5-LAW",AG208="นิติศาสตร์",K208="S1",Q208&gt;=1),EDATE(P208,12),AND(AH208="K5-LAW",AG208="นิติศาสตร์",OR(K208="S2",K208="K5")),P208,AND(AH208="K5-POLICY",AG208&lt;&gt;"นิติศาสตร์",K208="S2",T208="",Z208=""),P208,AND(AH208="K5-POLICY",AG208&lt;&gt;"นิติศาสตร์",K208="S1",T208="",Z208=""),EDATE(P208,12),AND(AH208="K5-POLICY",AG208&lt;&gt;"นิติศาสตร์",OR(K208="M2",K208="K4"),T208="",Z208=""),EDATE(P208,12*2),AND(AH208="K5-POLICY",AG208&lt;&gt;"นิติศาสตร์",OR(Z208="M2",Z208="K4"),AC208&gt;=2,OR(AB208&lt;V208,AB208&lt;P208)),EDATE(AB208,12*2),AND(AH208="K5-POLICY",AG208&lt;&gt;"นิติศาสตร์",Z208="S1",AC208&gt;=1,OR(AB208&lt;V208,AB208&lt;P208)),EDATE(AB208,12),AND(AH208="K5-POLICY",AG208&lt;&gt;"นิติศาสตร์",OR(T208="M2",T208="K4"),W208&gt;=2,V208&lt;P208),EDATE(V208,12*2),AND(AH208="K5-POLICY",AG208&lt;&gt;"นิติศาสตร์",T208="S1",W208&gt;=1,V208&lt;P208),EDATE(V208,12),AND(AH208="K5-POLICY",AG208&lt;&gt;"นิติศาสตร์",OR(T208="S2",T208="K5")),V208,AND(AH208="K5-POLICY",AG208&lt;&gt;"นิติศาสตร์",OR(K208="M2",K208="K4"),Q208&gt;=2),EDATE(P208,12*2),AND(AH208="K5-POLICY",AG208&lt;&gt;"นิติศาสตร์",K208="S1",Q208&gt;=1),EDATE(P208,12),AND(AH208="K5-POLICY",AG208&lt;&gt;"นิติศาสตร์",OR(K208="S2",K208="K5")),P208,TRUE,"Check Data")</f>
        <v/>
      </c>
      <c r="AJ208" s="75" t="str">
        <f t="shared" si="61"/>
        <v>Check Data</v>
      </c>
      <c r="AK208" s="76" t="str">
        <f t="shared" si="62"/>
        <v>Check Data</v>
      </c>
      <c r="AL208" s="50" t="str">
        <f t="shared" si="63"/>
        <v>Check Data</v>
      </c>
      <c r="AM208" s="49" t="str">
        <f>IF(B208="","",IF(K208="S1","S1",INDEX(#REF!,#REF!)))</f>
        <v/>
      </c>
      <c r="AN208" s="49" t="str">
        <f>K208</f>
        <v>M2</v>
      </c>
      <c r="AO208" s="50" t="b">
        <f>K208=AM208</f>
        <v>0</v>
      </c>
      <c r="AP208" s="50"/>
    </row>
    <row r="209" spans="1:42" ht="21.75">
      <c r="A209" s="49">
        <v>207</v>
      </c>
      <c r="B209" s="50"/>
      <c r="C209" s="50"/>
      <c r="D209" s="50" t="s">
        <v>141</v>
      </c>
      <c r="E209" s="49" t="s">
        <v>256</v>
      </c>
      <c r="F209" s="49" t="str">
        <f t="shared" si="64"/>
        <v>01/02/1993</v>
      </c>
      <c r="G209" s="50">
        <f t="shared" si="49"/>
        <v>32</v>
      </c>
      <c r="H209" s="50">
        <f t="shared" si="50"/>
        <v>4</v>
      </c>
      <c r="I209" s="50">
        <f t="shared" si="51"/>
        <v>19</v>
      </c>
      <c r="J209" s="58"/>
      <c r="K209" s="49" t="s">
        <v>136</v>
      </c>
      <c r="L209" s="64"/>
      <c r="M209" s="49" t="s">
        <v>427</v>
      </c>
      <c r="N209" s="49">
        <v>2571</v>
      </c>
      <c r="O209" s="65" t="s">
        <v>257</v>
      </c>
      <c r="P209" s="49" t="str">
        <f t="shared" si="52"/>
        <v>19/12/2023</v>
      </c>
      <c r="Q209" s="68">
        <f t="shared" si="53"/>
        <v>1</v>
      </c>
      <c r="R209" s="68">
        <f t="shared" si="54"/>
        <v>6</v>
      </c>
      <c r="S209" s="68">
        <f t="shared" si="55"/>
        <v>1</v>
      </c>
      <c r="T209" s="65"/>
      <c r="U209" s="65"/>
      <c r="V209" s="49" t="str">
        <f t="shared" si="65"/>
        <v/>
      </c>
      <c r="W209" s="68">
        <f>IF(V209="",0,DATEDIF(V209,P209,"Y"))</f>
        <v>0</v>
      </c>
      <c r="X209" s="68">
        <f>IF(V209="",0,DATEDIF(V209,P209,"YM"))</f>
        <v>0</v>
      </c>
      <c r="Y209" s="68">
        <f>IF(V209="",0,DATEDIF(V209,P209,"MD"))</f>
        <v>0</v>
      </c>
      <c r="Z209" s="49"/>
      <c r="AA209" s="65"/>
      <c r="AB209" s="50" t="str">
        <f t="shared" si="66"/>
        <v/>
      </c>
      <c r="AC209" s="68">
        <f t="shared" si="67"/>
        <v>0</v>
      </c>
      <c r="AD209" s="68">
        <f t="shared" si="68"/>
        <v>0</v>
      </c>
      <c r="AE209" s="68">
        <f t="shared" si="69"/>
        <v>0</v>
      </c>
      <c r="AF209" s="50"/>
      <c r="AG209" s="50" t="s">
        <v>138</v>
      </c>
      <c r="AH209" s="49" t="str">
        <f>IF(AG209="นิติศาสตร์","K5-LAW","K5-POLICY")</f>
        <v>K5-LAW</v>
      </c>
      <c r="AI209" s="72" t="str">
        <f>_xlfn.IFS(B209="","",AND(AH209="K5-LAW",AG209="นิติศาสตร์",K209="S2",T209="",Z209=""),P209,AND(AH209="K5-LAW",AG209="นิติศาสตร์",K209="S1",T209="",Z209=""),EDATE(P209,12),AND(AH209="K5-LAW",AG209="นิติศาสตร์",OR(K209="M2",K209="K4"),T209="",Z209=""),EDATE(P209,12*2),AND(AH209="K5-LAW",AG209="นิติศาสตร์",OR(Z209="M2",Z209="K4"),AC209&gt;=2,OR(AB209&lt;V209,AB209&lt;P209)),EDATE(AB209,12*2),AND(AH209="K5-LAW",AG209="นิติศาสตร์",Z209="S1",AC209&gt;=1,OR(AB209&lt;V209,AB209&lt;P209)),EDATE(AB209,12),AND(AH209="K5-LAW",AG209="นิติศาสตร์",OR(T209="M2",T209="K4"),W209&gt;=2,V209&lt;P209),EDATE(V209,12*2),AND(AH209="K5-LAW",AG209="นิติศาสตร์",T209="S1",W209&gt;=1,V209&lt;P209),EDATE(V209,12),AND(AH209="K5-LAW",AG209="นิติศาสตร์",OR(T209="S2",T209="K5")),V209,AND(AH209="K5-LAW",AG209="นิติศาสตร์",OR(K209="M2",K209="K4"),Q209&gt;=2),EDATE(P209,12*2),AND(AH209="K5-LAW",AG209="นิติศาสตร์",K209="S1",Q209&gt;=1),EDATE(P209,12),AND(AH209="K5-LAW",AG209="นิติศาสตร์",OR(K209="S2",K209="K5")),P209,AND(AH209="K5-POLICY",AG209&lt;&gt;"นิติศาสตร์",K209="S2",T209="",Z209=""),P209,AND(AH209="K5-POLICY",AG209&lt;&gt;"นิติศาสตร์",K209="S1",T209="",Z209=""),EDATE(P209,12),AND(AH209="K5-POLICY",AG209&lt;&gt;"นิติศาสตร์",OR(K209="M2",K209="K4"),T209="",Z209=""),EDATE(P209,12*2),AND(AH209="K5-POLICY",AG209&lt;&gt;"นิติศาสตร์",OR(Z209="M2",Z209="K4"),AC209&gt;=2,OR(AB209&lt;V209,AB209&lt;P209)),EDATE(AB209,12*2),AND(AH209="K5-POLICY",AG209&lt;&gt;"นิติศาสตร์",Z209="S1",AC209&gt;=1,OR(AB209&lt;V209,AB209&lt;P209)),EDATE(AB209,12),AND(AH209="K5-POLICY",AG209&lt;&gt;"นิติศาสตร์",OR(T209="M2",T209="K4"),W209&gt;=2,V209&lt;P209),EDATE(V209,12*2),AND(AH209="K5-POLICY",AG209&lt;&gt;"นิติศาสตร์",T209="S1",W209&gt;=1,V209&lt;P209),EDATE(V209,12),AND(AH209="K5-POLICY",AG209&lt;&gt;"นิติศาสตร์",OR(T209="S2",T209="K5")),V209,AND(AH209="K5-POLICY",AG209&lt;&gt;"นิติศาสตร์",OR(K209="M2",K209="K4"),Q209&gt;=2),EDATE(P209,12*2),AND(AH209="K5-POLICY",AG209&lt;&gt;"นิติศาสตร์",K209="S1",Q209&gt;=1),EDATE(P209,12),AND(AH209="K5-POLICY",AG209&lt;&gt;"นิติศาสตร์",OR(K209="S2",K209="K5")),P209,TRUE,"Check Data")</f>
        <v/>
      </c>
      <c r="AJ209" s="75" t="str">
        <f t="shared" si="61"/>
        <v>Check Data</v>
      </c>
      <c r="AK209" s="76" t="str">
        <f t="shared" si="62"/>
        <v>Check Data</v>
      </c>
      <c r="AL209" s="50" t="str">
        <f t="shared" si="63"/>
        <v>Check Data</v>
      </c>
      <c r="AM209" s="49" t="str">
        <f>IF(B209="","",IF(K209="S1","S1",INDEX(#REF!,#REF!)))</f>
        <v/>
      </c>
      <c r="AN209" s="49" t="str">
        <f>K209</f>
        <v>M2</v>
      </c>
      <c r="AO209" s="50" t="b">
        <f>K209=AM209</f>
        <v>0</v>
      </c>
      <c r="AP209" s="50"/>
    </row>
    <row r="210" spans="1:42" ht="21.75">
      <c r="A210" s="49">
        <v>208</v>
      </c>
      <c r="B210" s="50"/>
      <c r="C210" s="50"/>
      <c r="D210" s="50" t="s">
        <v>142</v>
      </c>
      <c r="E210" s="49" t="s">
        <v>280</v>
      </c>
      <c r="F210" s="49" t="str">
        <f t="shared" si="64"/>
        <v>13/07/1990</v>
      </c>
      <c r="G210" s="50">
        <f t="shared" si="49"/>
        <v>34</v>
      </c>
      <c r="H210" s="50">
        <f t="shared" si="50"/>
        <v>11</v>
      </c>
      <c r="I210" s="50">
        <f t="shared" si="51"/>
        <v>7</v>
      </c>
      <c r="J210" s="58"/>
      <c r="K210" s="49" t="s">
        <v>136</v>
      </c>
      <c r="L210" s="64"/>
      <c r="M210" s="49">
        <v>0</v>
      </c>
      <c r="N210" s="49">
        <v>0</v>
      </c>
      <c r="O210" s="65" t="s">
        <v>257</v>
      </c>
      <c r="P210" s="49" t="str">
        <f t="shared" si="52"/>
        <v>19/12/2023</v>
      </c>
      <c r="Q210" s="68">
        <f t="shared" si="53"/>
        <v>1</v>
      </c>
      <c r="R210" s="68">
        <f t="shared" si="54"/>
        <v>6</v>
      </c>
      <c r="S210" s="68">
        <f t="shared" si="55"/>
        <v>1</v>
      </c>
      <c r="T210" s="65"/>
      <c r="U210" s="65"/>
      <c r="V210" s="49" t="str">
        <f t="shared" si="65"/>
        <v/>
      </c>
      <c r="W210" s="68">
        <f>IF(V210="",0,DATEDIF(V210,P210,"Y"))</f>
        <v>0</v>
      </c>
      <c r="X210" s="68">
        <f>IF(V210="",0,DATEDIF(V210,P210,"YM"))</f>
        <v>0</v>
      </c>
      <c r="Y210" s="68">
        <f>IF(V210="",0,DATEDIF(V210,P210,"MD"))</f>
        <v>0</v>
      </c>
      <c r="Z210" s="49"/>
      <c r="AA210" s="65"/>
      <c r="AB210" s="50" t="str">
        <f t="shared" si="66"/>
        <v/>
      </c>
      <c r="AC210" s="68">
        <f t="shared" si="67"/>
        <v>0</v>
      </c>
      <c r="AD210" s="68">
        <f t="shared" si="68"/>
        <v>0</v>
      </c>
      <c r="AE210" s="68">
        <f t="shared" si="69"/>
        <v>0</v>
      </c>
      <c r="AF210" s="50"/>
      <c r="AG210" s="50" t="s">
        <v>138</v>
      </c>
      <c r="AH210" s="49" t="str">
        <f>IF(AG210="นิติศาสตร์","K5-LAW","K5-POLICY")</f>
        <v>K5-LAW</v>
      </c>
      <c r="AI210" s="72" t="str">
        <f>_xlfn.IFS(B210="","",AND(AH210="K5-LAW",AG210="นิติศาสตร์",K210="S2",T210="",Z210=""),P210,AND(AH210="K5-LAW",AG210="นิติศาสตร์",K210="S1",T210="",Z210=""),EDATE(P210,12),AND(AH210="K5-LAW",AG210="นิติศาสตร์",OR(K210="M2",K210="K4"),T210="",Z210=""),EDATE(P210,12*2),AND(AH210="K5-LAW",AG210="นิติศาสตร์",OR(Z210="M2",Z210="K4"),AC210&gt;=2,OR(AB210&lt;V210,AB210&lt;P210)),EDATE(AB210,12*2),AND(AH210="K5-LAW",AG210="นิติศาสตร์",Z210="S1",AC210&gt;=1,OR(AB210&lt;V210,AB210&lt;P210)),EDATE(AB210,12),AND(AH210="K5-LAW",AG210="นิติศาสตร์",OR(T210="M2",T210="K4"),W210&gt;=2,V210&lt;P210),EDATE(V210,12*2),AND(AH210="K5-LAW",AG210="นิติศาสตร์",T210="S1",W210&gt;=1,V210&lt;P210),EDATE(V210,12),AND(AH210="K5-LAW",AG210="นิติศาสตร์",OR(T210="S2",T210="K5")),V210,AND(AH210="K5-LAW",AG210="นิติศาสตร์",OR(K210="M2",K210="K4"),Q210&gt;=2),EDATE(P210,12*2),AND(AH210="K5-LAW",AG210="นิติศาสตร์",K210="S1",Q210&gt;=1),EDATE(P210,12),AND(AH210="K5-LAW",AG210="นิติศาสตร์",OR(K210="S2",K210="K5")),P210,AND(AH210="K5-POLICY",AG210&lt;&gt;"นิติศาสตร์",K210="S2",T210="",Z210=""),P210,AND(AH210="K5-POLICY",AG210&lt;&gt;"นิติศาสตร์",K210="S1",T210="",Z210=""),EDATE(P210,12),AND(AH210="K5-POLICY",AG210&lt;&gt;"นิติศาสตร์",OR(K210="M2",K210="K4"),T210="",Z210=""),EDATE(P210,12*2),AND(AH210="K5-POLICY",AG210&lt;&gt;"นิติศาสตร์",OR(Z210="M2",Z210="K4"),AC210&gt;=2,OR(AB210&lt;V210,AB210&lt;P210)),EDATE(AB210,12*2),AND(AH210="K5-POLICY",AG210&lt;&gt;"นิติศาสตร์",Z210="S1",AC210&gt;=1,OR(AB210&lt;V210,AB210&lt;P210)),EDATE(AB210,12),AND(AH210="K5-POLICY",AG210&lt;&gt;"นิติศาสตร์",OR(T210="M2",T210="K4"),W210&gt;=2,V210&lt;P210),EDATE(V210,12*2),AND(AH210="K5-POLICY",AG210&lt;&gt;"นิติศาสตร์",T210="S1",W210&gt;=1,V210&lt;P210),EDATE(V210,12),AND(AH210="K5-POLICY",AG210&lt;&gt;"นิติศาสตร์",OR(T210="S2",T210="K5")),V210,AND(AH210="K5-POLICY",AG210&lt;&gt;"นิติศาสตร์",OR(K210="M2",K210="K4"),Q210&gt;=2),EDATE(P210,12*2),AND(AH210="K5-POLICY",AG210&lt;&gt;"นิติศาสตร์",K210="S1",Q210&gt;=1),EDATE(P210,12),AND(AH210="K5-POLICY",AG210&lt;&gt;"นิติศาสตร์",OR(K210="S2",K210="K5")),P210,TRUE,"Check Data")</f>
        <v/>
      </c>
      <c r="AJ210" s="75" t="str">
        <f t="shared" si="61"/>
        <v>Check Data</v>
      </c>
      <c r="AK210" s="76" t="str">
        <f t="shared" si="62"/>
        <v>Check Data</v>
      </c>
      <c r="AL210" s="50" t="str">
        <f t="shared" si="63"/>
        <v>Check Data</v>
      </c>
      <c r="AM210" s="49" t="str">
        <f>IF(B210="","",IF(K210="S1","S1",INDEX(#REF!,#REF!)))</f>
        <v/>
      </c>
      <c r="AN210" s="49" t="str">
        <f>K210</f>
        <v>M2</v>
      </c>
      <c r="AO210" s="50" t="b">
        <f>K210=AM210</f>
        <v>0</v>
      </c>
      <c r="AP210" s="50"/>
    </row>
    <row r="211" spans="1:42" ht="21.75">
      <c r="A211" s="49">
        <v>209</v>
      </c>
      <c r="B211" s="50"/>
      <c r="C211" s="50"/>
      <c r="D211" s="50" t="s">
        <v>141</v>
      </c>
      <c r="E211" s="49" t="s">
        <v>266</v>
      </c>
      <c r="F211" s="49" t="str">
        <f t="shared" si="64"/>
        <v>16/09/1993</v>
      </c>
      <c r="G211" s="50">
        <f t="shared" si="49"/>
        <v>31</v>
      </c>
      <c r="H211" s="50">
        <f t="shared" si="50"/>
        <v>9</v>
      </c>
      <c r="I211" s="50">
        <f t="shared" si="51"/>
        <v>4</v>
      </c>
      <c r="J211" s="60"/>
      <c r="K211" s="49" t="s">
        <v>136</v>
      </c>
      <c r="L211" s="64"/>
      <c r="M211" s="49" t="s">
        <v>426</v>
      </c>
      <c r="N211" s="49">
        <v>2570</v>
      </c>
      <c r="O211" s="65" t="s">
        <v>257</v>
      </c>
      <c r="P211" s="49" t="str">
        <f t="shared" si="52"/>
        <v>19/12/2023</v>
      </c>
      <c r="Q211" s="68">
        <f t="shared" si="53"/>
        <v>1</v>
      </c>
      <c r="R211" s="68">
        <f t="shared" si="54"/>
        <v>6</v>
      </c>
      <c r="S211" s="68">
        <f t="shared" si="55"/>
        <v>1</v>
      </c>
      <c r="T211" s="65"/>
      <c r="U211" s="65"/>
      <c r="V211" s="49" t="str">
        <f t="shared" si="65"/>
        <v/>
      </c>
      <c r="W211" s="68">
        <f>IF(V211="",0,DATEDIF(V211,P211,"Y"))</f>
        <v>0</v>
      </c>
      <c r="X211" s="68">
        <f>IF(V211="",0,DATEDIF(V211,P211,"YM"))</f>
        <v>0</v>
      </c>
      <c r="Y211" s="68">
        <f>IF(V211="",0,DATEDIF(V211,P211,"MD"))</f>
        <v>0</v>
      </c>
      <c r="Z211" s="49"/>
      <c r="AA211" s="65"/>
      <c r="AB211" s="50" t="str">
        <f t="shared" si="66"/>
        <v/>
      </c>
      <c r="AC211" s="68">
        <f t="shared" si="67"/>
        <v>0</v>
      </c>
      <c r="AD211" s="68">
        <f t="shared" si="68"/>
        <v>0</v>
      </c>
      <c r="AE211" s="68">
        <f t="shared" si="69"/>
        <v>0</v>
      </c>
      <c r="AF211" s="50"/>
      <c r="AG211" s="50" t="s">
        <v>138</v>
      </c>
      <c r="AH211" s="49" t="str">
        <f>IF(AG211="นิติศาสตร์","K5-LAW","K5-POLICY")</f>
        <v>K5-LAW</v>
      </c>
      <c r="AI211" s="72" t="str">
        <f>_xlfn.IFS(B211="","",AND(AH211="K5-LAW",AG211="นิติศาสตร์",K211="S2",T211="",Z211=""),P211,AND(AH211="K5-LAW",AG211="นิติศาสตร์",K211="S1",T211="",Z211=""),EDATE(P211,12),AND(AH211="K5-LAW",AG211="นิติศาสตร์",OR(K211="M2",K211="K4"),T211="",Z211=""),EDATE(P211,12*2),AND(AH211="K5-LAW",AG211="นิติศาสตร์",OR(Z211="M2",Z211="K4"),AC211&gt;=2,OR(AB211&lt;V211,AB211&lt;P211)),EDATE(AB211,12*2),AND(AH211="K5-LAW",AG211="นิติศาสตร์",Z211="S1",AC211&gt;=1,OR(AB211&lt;V211,AB211&lt;P211)),EDATE(AB211,12),AND(AH211="K5-LAW",AG211="นิติศาสตร์",OR(T211="M2",T211="K4"),W211&gt;=2,V211&lt;P211),EDATE(V211,12*2),AND(AH211="K5-LAW",AG211="นิติศาสตร์",T211="S1",W211&gt;=1,V211&lt;P211),EDATE(V211,12),AND(AH211="K5-LAW",AG211="นิติศาสตร์",OR(T211="S2",T211="K5")),V211,AND(AH211="K5-LAW",AG211="นิติศาสตร์",OR(K211="M2",K211="K4"),Q211&gt;=2),EDATE(P211,12*2),AND(AH211="K5-LAW",AG211="นิติศาสตร์",K211="S1",Q211&gt;=1),EDATE(P211,12),AND(AH211="K5-LAW",AG211="นิติศาสตร์",OR(K211="S2",K211="K5")),P211,AND(AH211="K5-POLICY",AG211&lt;&gt;"นิติศาสตร์",K211="S2",T211="",Z211=""),P211,AND(AH211="K5-POLICY",AG211&lt;&gt;"นิติศาสตร์",K211="S1",T211="",Z211=""),EDATE(P211,12),AND(AH211="K5-POLICY",AG211&lt;&gt;"นิติศาสตร์",OR(K211="M2",K211="K4"),T211="",Z211=""),EDATE(P211,12*2),AND(AH211="K5-POLICY",AG211&lt;&gt;"นิติศาสตร์",OR(Z211="M2",Z211="K4"),AC211&gt;=2,OR(AB211&lt;V211,AB211&lt;P211)),EDATE(AB211,12*2),AND(AH211="K5-POLICY",AG211&lt;&gt;"นิติศาสตร์",Z211="S1",AC211&gt;=1,OR(AB211&lt;V211,AB211&lt;P211)),EDATE(AB211,12),AND(AH211="K5-POLICY",AG211&lt;&gt;"นิติศาสตร์",OR(T211="M2",T211="K4"),W211&gt;=2,V211&lt;P211),EDATE(V211,12*2),AND(AH211="K5-POLICY",AG211&lt;&gt;"นิติศาสตร์",T211="S1",W211&gt;=1,V211&lt;P211),EDATE(V211,12),AND(AH211="K5-POLICY",AG211&lt;&gt;"นิติศาสตร์",OR(T211="S2",T211="K5")),V211,AND(AH211="K5-POLICY",AG211&lt;&gt;"นิติศาสตร์",OR(K211="M2",K211="K4"),Q211&gt;=2),EDATE(P211,12*2),AND(AH211="K5-POLICY",AG211&lt;&gt;"นิติศาสตร์",K211="S1",Q211&gt;=1),EDATE(P211,12),AND(AH211="K5-POLICY",AG211&lt;&gt;"นิติศาสตร์",OR(K211="S2",K211="K5")),P211,TRUE,"Check Data")</f>
        <v/>
      </c>
      <c r="AJ211" s="75" t="str">
        <f t="shared" si="61"/>
        <v>Check Data</v>
      </c>
      <c r="AK211" s="76" t="str">
        <f t="shared" si="62"/>
        <v>Check Data</v>
      </c>
      <c r="AL211" s="50" t="str">
        <f t="shared" si="63"/>
        <v>Check Data</v>
      </c>
      <c r="AM211" s="49" t="str">
        <f>IF(B211="","",IF(K211="S1","S1",INDEX(#REF!,#REF!)))</f>
        <v/>
      </c>
      <c r="AN211" s="49" t="str">
        <f>K211</f>
        <v>M2</v>
      </c>
      <c r="AO211" s="50" t="b">
        <f>K211=AM211</f>
        <v>0</v>
      </c>
      <c r="AP211" s="50"/>
    </row>
    <row r="212" spans="1:42" ht="21.75">
      <c r="A212" s="49">
        <v>210</v>
      </c>
      <c r="B212" s="50"/>
      <c r="C212" s="50"/>
      <c r="D212" s="50" t="s">
        <v>142</v>
      </c>
      <c r="E212" s="49" t="s">
        <v>277</v>
      </c>
      <c r="F212" s="49" t="str">
        <f t="shared" si="64"/>
        <v>15/09/1997</v>
      </c>
      <c r="G212" s="50">
        <f t="shared" si="49"/>
        <v>27</v>
      </c>
      <c r="H212" s="50">
        <f t="shared" si="50"/>
        <v>9</v>
      </c>
      <c r="I212" s="50">
        <f t="shared" si="51"/>
        <v>5</v>
      </c>
      <c r="J212" s="58"/>
      <c r="K212" s="49" t="s">
        <v>136</v>
      </c>
      <c r="L212" s="64"/>
      <c r="M212" s="49">
        <v>0</v>
      </c>
      <c r="N212" s="49">
        <v>0</v>
      </c>
      <c r="O212" s="65" t="s">
        <v>257</v>
      </c>
      <c r="P212" s="49" t="str">
        <f t="shared" si="52"/>
        <v>19/12/2023</v>
      </c>
      <c r="Q212" s="68">
        <f t="shared" si="53"/>
        <v>1</v>
      </c>
      <c r="R212" s="68">
        <f t="shared" si="54"/>
        <v>6</v>
      </c>
      <c r="S212" s="68">
        <f t="shared" si="55"/>
        <v>1</v>
      </c>
      <c r="T212" s="65"/>
      <c r="U212" s="65"/>
      <c r="V212" s="49" t="str">
        <f t="shared" si="65"/>
        <v/>
      </c>
      <c r="W212" s="68">
        <f>IF(V212="",0,DATEDIF(V212,P212,"Y"))</f>
        <v>0</v>
      </c>
      <c r="X212" s="68">
        <f>IF(V212="",0,DATEDIF(V212,P212,"YM"))</f>
        <v>0</v>
      </c>
      <c r="Y212" s="68">
        <f>IF(V212="",0,DATEDIF(V212,P212,"MD"))</f>
        <v>0</v>
      </c>
      <c r="Z212" s="49"/>
      <c r="AA212" s="65"/>
      <c r="AB212" s="50" t="str">
        <f t="shared" si="66"/>
        <v/>
      </c>
      <c r="AC212" s="68">
        <f t="shared" si="67"/>
        <v>0</v>
      </c>
      <c r="AD212" s="68">
        <f t="shared" si="68"/>
        <v>0</v>
      </c>
      <c r="AE212" s="68">
        <f t="shared" si="69"/>
        <v>0</v>
      </c>
      <c r="AF212" s="50"/>
      <c r="AG212" s="50" t="s">
        <v>138</v>
      </c>
      <c r="AH212" s="49" t="str">
        <f>IF(AG212="นิติศาสตร์","K5-LAW","K5-POLICY")</f>
        <v>K5-LAW</v>
      </c>
      <c r="AI212" s="72" t="str">
        <f>_xlfn.IFS(B212="","",AND(AH212="K5-LAW",AG212="นิติศาสตร์",K212="S2",T212="",Z212=""),P212,AND(AH212="K5-LAW",AG212="นิติศาสตร์",K212="S1",T212="",Z212=""),EDATE(P212,12),AND(AH212="K5-LAW",AG212="นิติศาสตร์",OR(K212="M2",K212="K4"),T212="",Z212=""),EDATE(P212,12*2),AND(AH212="K5-LAW",AG212="นิติศาสตร์",OR(Z212="M2",Z212="K4"),AC212&gt;=2,OR(AB212&lt;V212,AB212&lt;P212)),EDATE(AB212,12*2),AND(AH212="K5-LAW",AG212="นิติศาสตร์",Z212="S1",AC212&gt;=1,OR(AB212&lt;V212,AB212&lt;P212)),EDATE(AB212,12),AND(AH212="K5-LAW",AG212="นิติศาสตร์",OR(T212="M2",T212="K4"),W212&gt;=2,V212&lt;P212),EDATE(V212,12*2),AND(AH212="K5-LAW",AG212="นิติศาสตร์",T212="S1",W212&gt;=1,V212&lt;P212),EDATE(V212,12),AND(AH212="K5-LAW",AG212="นิติศาสตร์",OR(T212="S2",T212="K5")),V212,AND(AH212="K5-LAW",AG212="นิติศาสตร์",OR(K212="M2",K212="K4"),Q212&gt;=2),EDATE(P212,12*2),AND(AH212="K5-LAW",AG212="นิติศาสตร์",K212="S1",Q212&gt;=1),EDATE(P212,12),AND(AH212="K5-LAW",AG212="นิติศาสตร์",OR(K212="S2",K212="K5")),P212,AND(AH212="K5-POLICY",AG212&lt;&gt;"นิติศาสตร์",K212="S2",T212="",Z212=""),P212,AND(AH212="K5-POLICY",AG212&lt;&gt;"นิติศาสตร์",K212="S1",T212="",Z212=""),EDATE(P212,12),AND(AH212="K5-POLICY",AG212&lt;&gt;"นิติศาสตร์",OR(K212="M2",K212="K4"),T212="",Z212=""),EDATE(P212,12*2),AND(AH212="K5-POLICY",AG212&lt;&gt;"นิติศาสตร์",OR(Z212="M2",Z212="K4"),AC212&gt;=2,OR(AB212&lt;V212,AB212&lt;P212)),EDATE(AB212,12*2),AND(AH212="K5-POLICY",AG212&lt;&gt;"นิติศาสตร์",Z212="S1",AC212&gt;=1,OR(AB212&lt;V212,AB212&lt;P212)),EDATE(AB212,12),AND(AH212="K5-POLICY",AG212&lt;&gt;"นิติศาสตร์",OR(T212="M2",T212="K4"),W212&gt;=2,V212&lt;P212),EDATE(V212,12*2),AND(AH212="K5-POLICY",AG212&lt;&gt;"นิติศาสตร์",T212="S1",W212&gt;=1,V212&lt;P212),EDATE(V212,12),AND(AH212="K5-POLICY",AG212&lt;&gt;"นิติศาสตร์",OR(T212="S2",T212="K5")),V212,AND(AH212="K5-POLICY",AG212&lt;&gt;"นิติศาสตร์",OR(K212="M2",K212="K4"),Q212&gt;=2),EDATE(P212,12*2),AND(AH212="K5-POLICY",AG212&lt;&gt;"นิติศาสตร์",K212="S1",Q212&gt;=1),EDATE(P212,12),AND(AH212="K5-POLICY",AG212&lt;&gt;"นิติศาสตร์",OR(K212="S2",K212="K5")),P212,TRUE,"Check Data")</f>
        <v/>
      </c>
      <c r="AJ212" s="75" t="str">
        <f t="shared" si="61"/>
        <v>Check Data</v>
      </c>
      <c r="AK212" s="76" t="str">
        <f t="shared" si="62"/>
        <v>Check Data</v>
      </c>
      <c r="AL212" s="50" t="str">
        <f t="shared" si="63"/>
        <v>Check Data</v>
      </c>
      <c r="AM212" s="49" t="str">
        <f>IF(B212="","",IF(K212="S1","S1",INDEX(#REF!,#REF!)))</f>
        <v/>
      </c>
      <c r="AN212" s="49" t="str">
        <f>K212</f>
        <v>M2</v>
      </c>
      <c r="AO212" s="50" t="b">
        <f>K212=AM212</f>
        <v>0</v>
      </c>
      <c r="AP212" s="50"/>
    </row>
    <row r="213" spans="1:42" ht="21.75">
      <c r="A213" s="49">
        <v>211</v>
      </c>
      <c r="B213" s="50"/>
      <c r="C213" s="50"/>
      <c r="D213" s="50" t="s">
        <v>141</v>
      </c>
      <c r="E213" s="49" t="s">
        <v>250</v>
      </c>
      <c r="F213" s="49" t="str">
        <f t="shared" si="64"/>
        <v>01/08/1995</v>
      </c>
      <c r="G213" s="50">
        <f t="shared" si="49"/>
        <v>29</v>
      </c>
      <c r="H213" s="50">
        <f t="shared" si="50"/>
        <v>10</v>
      </c>
      <c r="I213" s="50">
        <f t="shared" si="51"/>
        <v>19</v>
      </c>
      <c r="J213" s="60"/>
      <c r="K213" s="49" t="s">
        <v>136</v>
      </c>
      <c r="L213" s="64"/>
      <c r="M213" s="49" t="s">
        <v>426</v>
      </c>
      <c r="N213" s="49">
        <v>2574</v>
      </c>
      <c r="O213" s="65" t="s">
        <v>257</v>
      </c>
      <c r="P213" s="49" t="str">
        <f t="shared" si="52"/>
        <v>19/12/2023</v>
      </c>
      <c r="Q213" s="68">
        <f t="shared" si="53"/>
        <v>1</v>
      </c>
      <c r="R213" s="68">
        <f t="shared" si="54"/>
        <v>6</v>
      </c>
      <c r="S213" s="68">
        <f t="shared" si="55"/>
        <v>1</v>
      </c>
      <c r="T213" s="65"/>
      <c r="U213" s="65"/>
      <c r="V213" s="49" t="str">
        <f t="shared" si="65"/>
        <v/>
      </c>
      <c r="W213" s="68">
        <f>IF(V213="",0,DATEDIF(V213,P213,"Y"))</f>
        <v>0</v>
      </c>
      <c r="X213" s="68">
        <f>IF(V213="",0,DATEDIF(V213,P213,"YM"))</f>
        <v>0</v>
      </c>
      <c r="Y213" s="68">
        <f>IF(V213="",0,DATEDIF(V213,P213,"MD"))</f>
        <v>0</v>
      </c>
      <c r="Z213" s="49"/>
      <c r="AA213" s="65"/>
      <c r="AB213" s="50" t="str">
        <f t="shared" si="66"/>
        <v/>
      </c>
      <c r="AC213" s="68">
        <f t="shared" si="67"/>
        <v>0</v>
      </c>
      <c r="AD213" s="68">
        <f t="shared" si="68"/>
        <v>0</v>
      </c>
      <c r="AE213" s="68">
        <f t="shared" si="69"/>
        <v>0</v>
      </c>
      <c r="AF213" s="50"/>
      <c r="AG213" s="50" t="s">
        <v>138</v>
      </c>
      <c r="AH213" s="49" t="str">
        <f>IF(AG213="นิติศาสตร์","K5-LAW","K5-POLICY")</f>
        <v>K5-LAW</v>
      </c>
      <c r="AI213" s="72" t="str">
        <f>_xlfn.IFS(B213="","",AND(AH213="K5-LAW",AG213="นิติศาสตร์",K213="S2",T213="",Z213=""),P213,AND(AH213="K5-LAW",AG213="นิติศาสตร์",K213="S1",T213="",Z213=""),EDATE(P213,12),AND(AH213="K5-LAW",AG213="นิติศาสตร์",OR(K213="M2",K213="K4"),T213="",Z213=""),EDATE(P213,12*2),AND(AH213="K5-LAW",AG213="นิติศาสตร์",OR(Z213="M2",Z213="K4"),AC213&gt;=2,OR(AB213&lt;V213,AB213&lt;P213)),EDATE(AB213,12*2),AND(AH213="K5-LAW",AG213="นิติศาสตร์",Z213="S1",AC213&gt;=1,OR(AB213&lt;V213,AB213&lt;P213)),EDATE(AB213,12),AND(AH213="K5-LAW",AG213="นิติศาสตร์",OR(T213="M2",T213="K4"),W213&gt;=2,V213&lt;P213),EDATE(V213,12*2),AND(AH213="K5-LAW",AG213="นิติศาสตร์",T213="S1",W213&gt;=1,V213&lt;P213),EDATE(V213,12),AND(AH213="K5-LAW",AG213="นิติศาสตร์",OR(T213="S2",T213="K5")),V213,AND(AH213="K5-LAW",AG213="นิติศาสตร์",OR(K213="M2",K213="K4"),Q213&gt;=2),EDATE(P213,12*2),AND(AH213="K5-LAW",AG213="นิติศาสตร์",K213="S1",Q213&gt;=1),EDATE(P213,12),AND(AH213="K5-LAW",AG213="นิติศาสตร์",OR(K213="S2",K213="K5")),P213,AND(AH213="K5-POLICY",AG213&lt;&gt;"นิติศาสตร์",K213="S2",T213="",Z213=""),P213,AND(AH213="K5-POLICY",AG213&lt;&gt;"นิติศาสตร์",K213="S1",T213="",Z213=""),EDATE(P213,12),AND(AH213="K5-POLICY",AG213&lt;&gt;"นิติศาสตร์",OR(K213="M2",K213="K4"),T213="",Z213=""),EDATE(P213,12*2),AND(AH213="K5-POLICY",AG213&lt;&gt;"นิติศาสตร์",OR(Z213="M2",Z213="K4"),AC213&gt;=2,OR(AB213&lt;V213,AB213&lt;P213)),EDATE(AB213,12*2),AND(AH213="K5-POLICY",AG213&lt;&gt;"นิติศาสตร์",Z213="S1",AC213&gt;=1,OR(AB213&lt;V213,AB213&lt;P213)),EDATE(AB213,12),AND(AH213="K5-POLICY",AG213&lt;&gt;"นิติศาสตร์",OR(T213="M2",T213="K4"),W213&gt;=2,V213&lt;P213),EDATE(V213,12*2),AND(AH213="K5-POLICY",AG213&lt;&gt;"นิติศาสตร์",T213="S1",W213&gt;=1,V213&lt;P213),EDATE(V213,12),AND(AH213="K5-POLICY",AG213&lt;&gt;"นิติศาสตร์",OR(T213="S2",T213="K5")),V213,AND(AH213="K5-POLICY",AG213&lt;&gt;"นิติศาสตร์",OR(K213="M2",K213="K4"),Q213&gt;=2),EDATE(P213,12*2),AND(AH213="K5-POLICY",AG213&lt;&gt;"นิติศาสตร์",K213="S1",Q213&gt;=1),EDATE(P213,12),AND(AH213="K5-POLICY",AG213&lt;&gt;"นิติศาสตร์",OR(K213="S2",K213="K5")),P213,TRUE,"Check Data")</f>
        <v/>
      </c>
      <c r="AJ213" s="75" t="str">
        <f t="shared" si="61"/>
        <v>Check Data</v>
      </c>
      <c r="AK213" s="76" t="str">
        <f t="shared" si="62"/>
        <v>Check Data</v>
      </c>
      <c r="AL213" s="50" t="str">
        <f t="shared" si="63"/>
        <v>Check Data</v>
      </c>
      <c r="AM213" s="49" t="str">
        <f>IF(B213="","",IF(K213="S1","S1",INDEX(#REF!,#REF!)))</f>
        <v/>
      </c>
      <c r="AN213" s="49" t="str">
        <f>K213</f>
        <v>M2</v>
      </c>
      <c r="AO213" s="50" t="b">
        <f>K213=AM213</f>
        <v>0</v>
      </c>
      <c r="AP213" s="50"/>
    </row>
    <row r="214" spans="1:42" ht="21.75">
      <c r="A214" s="49">
        <v>212</v>
      </c>
      <c r="B214" s="50"/>
      <c r="C214" s="50"/>
      <c r="D214" s="50" t="s">
        <v>142</v>
      </c>
      <c r="E214" s="49" t="s">
        <v>281</v>
      </c>
      <c r="F214" s="49" t="str">
        <f t="shared" si="64"/>
        <v>03/05/1999</v>
      </c>
      <c r="G214" s="50">
        <f t="shared" si="49"/>
        <v>26</v>
      </c>
      <c r="H214" s="50">
        <f t="shared" si="50"/>
        <v>1</v>
      </c>
      <c r="I214" s="50">
        <f t="shared" si="51"/>
        <v>17</v>
      </c>
      <c r="J214" s="58"/>
      <c r="K214" s="49" t="s">
        <v>136</v>
      </c>
      <c r="L214" s="64"/>
      <c r="M214" s="49">
        <v>0</v>
      </c>
      <c r="N214" s="49">
        <v>0</v>
      </c>
      <c r="O214" s="65" t="s">
        <v>257</v>
      </c>
      <c r="P214" s="49" t="str">
        <f t="shared" si="52"/>
        <v>19/12/2023</v>
      </c>
      <c r="Q214" s="68">
        <f t="shared" si="53"/>
        <v>1</v>
      </c>
      <c r="R214" s="68">
        <f t="shared" si="54"/>
        <v>6</v>
      </c>
      <c r="S214" s="68">
        <f t="shared" si="55"/>
        <v>1</v>
      </c>
      <c r="T214" s="65"/>
      <c r="U214" s="65"/>
      <c r="V214" s="49" t="str">
        <f t="shared" si="65"/>
        <v/>
      </c>
      <c r="W214" s="68">
        <f>IF(V214="",0,DATEDIF(V214,P214,"Y"))</f>
        <v>0</v>
      </c>
      <c r="X214" s="68">
        <f>IF(V214="",0,DATEDIF(V214,P214,"YM"))</f>
        <v>0</v>
      </c>
      <c r="Y214" s="68">
        <f>IF(V214="",0,DATEDIF(V214,P214,"MD"))</f>
        <v>0</v>
      </c>
      <c r="Z214" s="49"/>
      <c r="AA214" s="65"/>
      <c r="AB214" s="50" t="str">
        <f t="shared" si="66"/>
        <v/>
      </c>
      <c r="AC214" s="68">
        <f t="shared" si="67"/>
        <v>0</v>
      </c>
      <c r="AD214" s="68">
        <f t="shared" si="68"/>
        <v>0</v>
      </c>
      <c r="AE214" s="68">
        <f t="shared" si="69"/>
        <v>0</v>
      </c>
      <c r="AF214" s="50"/>
      <c r="AG214" s="50" t="s">
        <v>178</v>
      </c>
      <c r="AH214" s="49" t="str">
        <f>IF(AG214="นิติศาสตร์","K5-LAW","K5-POLICY")</f>
        <v>K5-POLICY</v>
      </c>
      <c r="AI214" s="72" t="str">
        <f>_xlfn.IFS(B214="","",AND(AH214="K5-LAW",AG214="นิติศาสตร์",K214="S2",T214="",Z214=""),P214,AND(AH214="K5-LAW",AG214="นิติศาสตร์",K214="S1",T214="",Z214=""),EDATE(P214,12),AND(AH214="K5-LAW",AG214="นิติศาสตร์",OR(K214="M2",K214="K4"),T214="",Z214=""),EDATE(P214,12*2),AND(AH214="K5-LAW",AG214="นิติศาสตร์",OR(Z214="M2",Z214="K4"),AC214&gt;=2,OR(AB214&lt;V214,AB214&lt;P214)),EDATE(AB214,12*2),AND(AH214="K5-LAW",AG214="นิติศาสตร์",Z214="S1",AC214&gt;=1,OR(AB214&lt;V214,AB214&lt;P214)),EDATE(AB214,12),AND(AH214="K5-LAW",AG214="นิติศาสตร์",OR(T214="M2",T214="K4"),W214&gt;=2,V214&lt;P214),EDATE(V214,12*2),AND(AH214="K5-LAW",AG214="นิติศาสตร์",T214="S1",W214&gt;=1,V214&lt;P214),EDATE(V214,12),AND(AH214="K5-LAW",AG214="นิติศาสตร์",OR(T214="S2",T214="K5")),V214,AND(AH214="K5-LAW",AG214="นิติศาสตร์",OR(K214="M2",K214="K4"),Q214&gt;=2),EDATE(P214,12*2),AND(AH214="K5-LAW",AG214="นิติศาสตร์",K214="S1",Q214&gt;=1),EDATE(P214,12),AND(AH214="K5-LAW",AG214="นิติศาสตร์",OR(K214="S2",K214="K5")),P214,AND(AH214="K5-POLICY",AG214&lt;&gt;"นิติศาสตร์",K214="S2",T214="",Z214=""),P214,AND(AH214="K5-POLICY",AG214&lt;&gt;"นิติศาสตร์",K214="S1",T214="",Z214=""),EDATE(P214,12),AND(AH214="K5-POLICY",AG214&lt;&gt;"นิติศาสตร์",OR(K214="M2",K214="K4"),T214="",Z214=""),EDATE(P214,12*2),AND(AH214="K5-POLICY",AG214&lt;&gt;"นิติศาสตร์",OR(Z214="M2",Z214="K4"),AC214&gt;=2,OR(AB214&lt;V214,AB214&lt;P214)),EDATE(AB214,12*2),AND(AH214="K5-POLICY",AG214&lt;&gt;"นิติศาสตร์",Z214="S1",AC214&gt;=1,OR(AB214&lt;V214,AB214&lt;P214)),EDATE(AB214,12),AND(AH214="K5-POLICY",AG214&lt;&gt;"นิติศาสตร์",OR(T214="M2",T214="K4"),W214&gt;=2,V214&lt;P214),EDATE(V214,12*2),AND(AH214="K5-POLICY",AG214&lt;&gt;"นิติศาสตร์",T214="S1",W214&gt;=1,V214&lt;P214),EDATE(V214,12),AND(AH214="K5-POLICY",AG214&lt;&gt;"นิติศาสตร์",OR(T214="S2",T214="K5")),V214,AND(AH214="K5-POLICY",AG214&lt;&gt;"นิติศาสตร์",OR(K214="M2",K214="K4"),Q214&gt;=2),EDATE(P214,12*2),AND(AH214="K5-POLICY",AG214&lt;&gt;"นิติศาสตร์",K214="S1",Q214&gt;=1),EDATE(P214,12),AND(AH214="K5-POLICY",AG214&lt;&gt;"นิติศาสตร์",OR(K214="S2",K214="K5")),P214,TRUE,"Check Data")</f>
        <v/>
      </c>
      <c r="AJ214" s="75" t="str">
        <f t="shared" si="61"/>
        <v>Check Data</v>
      </c>
      <c r="AK214" s="76" t="str">
        <f t="shared" si="62"/>
        <v>Check Data</v>
      </c>
      <c r="AL214" s="50" t="str">
        <f t="shared" si="63"/>
        <v>Check Data</v>
      </c>
      <c r="AM214" s="49" t="str">
        <f>IF(B214="","",IF(K214="S1","S1",INDEX(#REF!,#REF!)))</f>
        <v/>
      </c>
      <c r="AN214" s="49" t="str">
        <f>K214</f>
        <v>M2</v>
      </c>
      <c r="AO214" s="50" t="b">
        <f>K214=AM214</f>
        <v>0</v>
      </c>
      <c r="AP214" s="50"/>
    </row>
    <row r="215" spans="1:42" ht="21.75">
      <c r="A215" s="49">
        <v>213</v>
      </c>
      <c r="B215" s="50"/>
      <c r="C215" s="50"/>
      <c r="D215" s="50" t="s">
        <v>141</v>
      </c>
      <c r="E215" s="49" t="s">
        <v>262</v>
      </c>
      <c r="F215" s="49" t="str">
        <f t="shared" si="64"/>
        <v>11/04/1996</v>
      </c>
      <c r="G215" s="50">
        <f t="shared" si="49"/>
        <v>29</v>
      </c>
      <c r="H215" s="50">
        <f t="shared" si="50"/>
        <v>2</v>
      </c>
      <c r="I215" s="50">
        <f t="shared" si="51"/>
        <v>9</v>
      </c>
      <c r="J215" s="60"/>
      <c r="K215" s="49" t="s">
        <v>136</v>
      </c>
      <c r="L215" s="64"/>
      <c r="M215" s="49" t="s">
        <v>426</v>
      </c>
      <c r="N215" s="49">
        <v>2571</v>
      </c>
      <c r="O215" s="65" t="s">
        <v>257</v>
      </c>
      <c r="P215" s="49" t="str">
        <f t="shared" si="52"/>
        <v>19/12/2023</v>
      </c>
      <c r="Q215" s="68">
        <f t="shared" si="53"/>
        <v>1</v>
      </c>
      <c r="R215" s="68">
        <f t="shared" si="54"/>
        <v>6</v>
      </c>
      <c r="S215" s="68">
        <f t="shared" si="55"/>
        <v>1</v>
      </c>
      <c r="T215" s="65"/>
      <c r="U215" s="65"/>
      <c r="V215" s="49" t="str">
        <f t="shared" si="65"/>
        <v/>
      </c>
      <c r="W215" s="68">
        <f>IF(V215="",0,DATEDIF(V215,P215,"Y"))</f>
        <v>0</v>
      </c>
      <c r="X215" s="68">
        <f>IF(V215="",0,DATEDIF(V215,P215,"YM"))</f>
        <v>0</v>
      </c>
      <c r="Y215" s="68">
        <f>IF(V215="",0,DATEDIF(V215,P215,"MD"))</f>
        <v>0</v>
      </c>
      <c r="Z215" s="49"/>
      <c r="AA215" s="65"/>
      <c r="AB215" s="50" t="str">
        <f t="shared" si="66"/>
        <v/>
      </c>
      <c r="AC215" s="68">
        <f t="shared" si="67"/>
        <v>0</v>
      </c>
      <c r="AD215" s="68">
        <f t="shared" si="68"/>
        <v>0</v>
      </c>
      <c r="AE215" s="68">
        <f t="shared" si="69"/>
        <v>0</v>
      </c>
      <c r="AF215" s="50"/>
      <c r="AG215" s="50" t="s">
        <v>138</v>
      </c>
      <c r="AH215" s="49" t="str">
        <f>IF(AG215="นิติศาสตร์","K5-LAW","K5-POLICY")</f>
        <v>K5-LAW</v>
      </c>
      <c r="AI215" s="72" t="str">
        <f>_xlfn.IFS(B215="","",AND(AH215="K5-LAW",AG215="นิติศาสตร์",K215="S2",T215="",Z215=""),P215,AND(AH215="K5-LAW",AG215="นิติศาสตร์",K215="S1",T215="",Z215=""),EDATE(P215,12),AND(AH215="K5-LAW",AG215="นิติศาสตร์",OR(K215="M2",K215="K4"),T215="",Z215=""),EDATE(P215,12*2),AND(AH215="K5-LAW",AG215="นิติศาสตร์",OR(Z215="M2",Z215="K4"),AC215&gt;=2,OR(AB215&lt;V215,AB215&lt;P215)),EDATE(AB215,12*2),AND(AH215="K5-LAW",AG215="นิติศาสตร์",Z215="S1",AC215&gt;=1,OR(AB215&lt;V215,AB215&lt;P215)),EDATE(AB215,12),AND(AH215="K5-LAW",AG215="นิติศาสตร์",OR(T215="M2",T215="K4"),W215&gt;=2,V215&lt;P215),EDATE(V215,12*2),AND(AH215="K5-LAW",AG215="นิติศาสตร์",T215="S1",W215&gt;=1,V215&lt;P215),EDATE(V215,12),AND(AH215="K5-LAW",AG215="นิติศาสตร์",OR(T215="S2",T215="K5")),V215,AND(AH215="K5-LAW",AG215="นิติศาสตร์",OR(K215="M2",K215="K4"),Q215&gt;=2),EDATE(P215,12*2),AND(AH215="K5-LAW",AG215="นิติศาสตร์",K215="S1",Q215&gt;=1),EDATE(P215,12),AND(AH215="K5-LAW",AG215="นิติศาสตร์",OR(K215="S2",K215="K5")),P215,AND(AH215="K5-POLICY",AG215&lt;&gt;"นิติศาสตร์",K215="S2",T215="",Z215=""),P215,AND(AH215="K5-POLICY",AG215&lt;&gt;"นิติศาสตร์",K215="S1",T215="",Z215=""),EDATE(P215,12),AND(AH215="K5-POLICY",AG215&lt;&gt;"นิติศาสตร์",OR(K215="M2",K215="K4"),T215="",Z215=""),EDATE(P215,12*2),AND(AH215="K5-POLICY",AG215&lt;&gt;"นิติศาสตร์",OR(Z215="M2",Z215="K4"),AC215&gt;=2,OR(AB215&lt;V215,AB215&lt;P215)),EDATE(AB215,12*2),AND(AH215="K5-POLICY",AG215&lt;&gt;"นิติศาสตร์",Z215="S1",AC215&gt;=1,OR(AB215&lt;V215,AB215&lt;P215)),EDATE(AB215,12),AND(AH215="K5-POLICY",AG215&lt;&gt;"นิติศาสตร์",OR(T215="M2",T215="K4"),W215&gt;=2,V215&lt;P215),EDATE(V215,12*2),AND(AH215="K5-POLICY",AG215&lt;&gt;"นิติศาสตร์",T215="S1",W215&gt;=1,V215&lt;P215),EDATE(V215,12),AND(AH215="K5-POLICY",AG215&lt;&gt;"นิติศาสตร์",OR(T215="S2",T215="K5")),V215,AND(AH215="K5-POLICY",AG215&lt;&gt;"นิติศาสตร์",OR(K215="M2",K215="K4"),Q215&gt;=2),EDATE(P215,12*2),AND(AH215="K5-POLICY",AG215&lt;&gt;"นิติศาสตร์",K215="S1",Q215&gt;=1),EDATE(P215,12),AND(AH215="K5-POLICY",AG215&lt;&gt;"นิติศาสตร์",OR(K215="S2",K215="K5")),P215,TRUE,"Check Data")</f>
        <v/>
      </c>
      <c r="AJ215" s="75" t="str">
        <f t="shared" si="61"/>
        <v>Check Data</v>
      </c>
      <c r="AK215" s="76" t="str">
        <f t="shared" si="62"/>
        <v>Check Data</v>
      </c>
      <c r="AL215" s="50" t="str">
        <f t="shared" si="63"/>
        <v>Check Data</v>
      </c>
      <c r="AM215" s="49" t="str">
        <f>IF(B215="","",IF(K215="S1","S1",INDEX(#REF!,#REF!)))</f>
        <v/>
      </c>
      <c r="AN215" s="49" t="str">
        <f>K215</f>
        <v>M2</v>
      </c>
      <c r="AO215" s="50" t="b">
        <f>K215=AM215</f>
        <v>0</v>
      </c>
      <c r="AP215" s="50"/>
    </row>
    <row r="216" spans="1:42" ht="21.75">
      <c r="A216" s="49">
        <v>214</v>
      </c>
      <c r="B216" s="50"/>
      <c r="C216" s="50"/>
      <c r="D216" s="50" t="s">
        <v>141</v>
      </c>
      <c r="E216" s="49" t="s">
        <v>261</v>
      </c>
      <c r="F216" s="49" t="str">
        <f t="shared" si="64"/>
        <v>03/04/1996</v>
      </c>
      <c r="G216" s="50">
        <f t="shared" si="49"/>
        <v>29</v>
      </c>
      <c r="H216" s="50">
        <f t="shared" si="50"/>
        <v>2</v>
      </c>
      <c r="I216" s="50">
        <f t="shared" si="51"/>
        <v>17</v>
      </c>
      <c r="J216" s="60"/>
      <c r="K216" s="49" t="s">
        <v>136</v>
      </c>
      <c r="L216" s="64"/>
      <c r="M216" s="49" t="s">
        <v>426</v>
      </c>
      <c r="N216" s="49">
        <v>2574</v>
      </c>
      <c r="O216" s="65" t="s">
        <v>257</v>
      </c>
      <c r="P216" s="49" t="str">
        <f t="shared" si="52"/>
        <v>19/12/2023</v>
      </c>
      <c r="Q216" s="68">
        <f t="shared" si="53"/>
        <v>1</v>
      </c>
      <c r="R216" s="68">
        <f t="shared" si="54"/>
        <v>6</v>
      </c>
      <c r="S216" s="68">
        <f t="shared" si="55"/>
        <v>1</v>
      </c>
      <c r="T216" s="65"/>
      <c r="U216" s="65"/>
      <c r="V216" s="49" t="str">
        <f t="shared" si="65"/>
        <v/>
      </c>
      <c r="W216" s="68">
        <f>IF(V216="",0,DATEDIF(V216,P216,"Y"))</f>
        <v>0</v>
      </c>
      <c r="X216" s="68">
        <f>IF(V216="",0,DATEDIF(V216,P216,"YM"))</f>
        <v>0</v>
      </c>
      <c r="Y216" s="68">
        <f>IF(V216="",0,DATEDIF(V216,P216,"MD"))</f>
        <v>0</v>
      </c>
      <c r="Z216" s="49"/>
      <c r="AA216" s="65"/>
      <c r="AB216" s="50" t="str">
        <f t="shared" si="66"/>
        <v/>
      </c>
      <c r="AC216" s="68">
        <f t="shared" si="67"/>
        <v>0</v>
      </c>
      <c r="AD216" s="68">
        <f t="shared" si="68"/>
        <v>0</v>
      </c>
      <c r="AE216" s="68">
        <f t="shared" si="69"/>
        <v>0</v>
      </c>
      <c r="AF216" s="50"/>
      <c r="AG216" s="50" t="s">
        <v>138</v>
      </c>
      <c r="AH216" s="49" t="str">
        <f>IF(AG216="นิติศาสตร์","K5-LAW","K5-POLICY")</f>
        <v>K5-LAW</v>
      </c>
      <c r="AI216" s="72" t="str">
        <f>_xlfn.IFS(B216="","",AND(AH216="K5-LAW",AG216="นิติศาสตร์",K216="S2",T216="",Z216=""),P216,AND(AH216="K5-LAW",AG216="นิติศาสตร์",K216="S1",T216="",Z216=""),EDATE(P216,12),AND(AH216="K5-LAW",AG216="นิติศาสตร์",OR(K216="M2",K216="K4"),T216="",Z216=""),EDATE(P216,12*2),AND(AH216="K5-LAW",AG216="นิติศาสตร์",OR(Z216="M2",Z216="K4"),AC216&gt;=2,OR(AB216&lt;V216,AB216&lt;P216)),EDATE(AB216,12*2),AND(AH216="K5-LAW",AG216="นิติศาสตร์",Z216="S1",AC216&gt;=1,OR(AB216&lt;V216,AB216&lt;P216)),EDATE(AB216,12),AND(AH216="K5-LAW",AG216="นิติศาสตร์",OR(T216="M2",T216="K4"),W216&gt;=2,V216&lt;P216),EDATE(V216,12*2),AND(AH216="K5-LAW",AG216="นิติศาสตร์",T216="S1",W216&gt;=1,V216&lt;P216),EDATE(V216,12),AND(AH216="K5-LAW",AG216="นิติศาสตร์",OR(T216="S2",T216="K5")),V216,AND(AH216="K5-LAW",AG216="นิติศาสตร์",OR(K216="M2",K216="K4"),Q216&gt;=2),EDATE(P216,12*2),AND(AH216="K5-LAW",AG216="นิติศาสตร์",K216="S1",Q216&gt;=1),EDATE(P216,12),AND(AH216="K5-LAW",AG216="นิติศาสตร์",OR(K216="S2",K216="K5")),P216,AND(AH216="K5-POLICY",AG216&lt;&gt;"นิติศาสตร์",K216="S2",T216="",Z216=""),P216,AND(AH216="K5-POLICY",AG216&lt;&gt;"นิติศาสตร์",K216="S1",T216="",Z216=""),EDATE(P216,12),AND(AH216="K5-POLICY",AG216&lt;&gt;"นิติศาสตร์",OR(K216="M2",K216="K4"),T216="",Z216=""),EDATE(P216,12*2),AND(AH216="K5-POLICY",AG216&lt;&gt;"นิติศาสตร์",OR(Z216="M2",Z216="K4"),AC216&gt;=2,OR(AB216&lt;V216,AB216&lt;P216)),EDATE(AB216,12*2),AND(AH216="K5-POLICY",AG216&lt;&gt;"นิติศาสตร์",Z216="S1",AC216&gt;=1,OR(AB216&lt;V216,AB216&lt;P216)),EDATE(AB216,12),AND(AH216="K5-POLICY",AG216&lt;&gt;"นิติศาสตร์",OR(T216="M2",T216="K4"),W216&gt;=2,V216&lt;P216),EDATE(V216,12*2),AND(AH216="K5-POLICY",AG216&lt;&gt;"นิติศาสตร์",T216="S1",W216&gt;=1,V216&lt;P216),EDATE(V216,12),AND(AH216="K5-POLICY",AG216&lt;&gt;"นิติศาสตร์",OR(T216="S2",T216="K5")),V216,AND(AH216="K5-POLICY",AG216&lt;&gt;"นิติศาสตร์",OR(K216="M2",K216="K4"),Q216&gt;=2),EDATE(P216,12*2),AND(AH216="K5-POLICY",AG216&lt;&gt;"นิติศาสตร์",K216="S1",Q216&gt;=1),EDATE(P216,12),AND(AH216="K5-POLICY",AG216&lt;&gt;"นิติศาสตร์",OR(K216="S2",K216="K5")),P216,TRUE,"Check Data")</f>
        <v/>
      </c>
      <c r="AJ216" s="75" t="str">
        <f t="shared" si="61"/>
        <v>Check Data</v>
      </c>
      <c r="AK216" s="76" t="str">
        <f t="shared" si="62"/>
        <v>Check Data</v>
      </c>
      <c r="AL216" s="50" t="str">
        <f t="shared" si="63"/>
        <v>Check Data</v>
      </c>
      <c r="AM216" s="49" t="str">
        <f>IF(B216="","",IF(K216="S1","S1",INDEX(#REF!,#REF!)))</f>
        <v/>
      </c>
      <c r="AN216" s="49" t="str">
        <f>K216</f>
        <v>M2</v>
      </c>
      <c r="AO216" s="50" t="b">
        <f>K216=AM216</f>
        <v>0</v>
      </c>
      <c r="AP216" s="50"/>
    </row>
    <row r="217" spans="1:42" ht="21.75">
      <c r="A217" s="49">
        <v>215</v>
      </c>
      <c r="B217" s="50"/>
      <c r="C217" s="50"/>
      <c r="D217" s="50" t="s">
        <v>141</v>
      </c>
      <c r="E217" s="49" t="s">
        <v>263</v>
      </c>
      <c r="F217" s="49" t="str">
        <f t="shared" si="64"/>
        <v>01/02/1995</v>
      </c>
      <c r="G217" s="50">
        <f t="shared" si="49"/>
        <v>30</v>
      </c>
      <c r="H217" s="50">
        <f t="shared" si="50"/>
        <v>4</v>
      </c>
      <c r="I217" s="50">
        <f t="shared" si="51"/>
        <v>19</v>
      </c>
      <c r="J217" s="60"/>
      <c r="K217" s="49" t="s">
        <v>136</v>
      </c>
      <c r="L217" s="64"/>
      <c r="M217" s="49" t="s">
        <v>426</v>
      </c>
      <c r="N217" s="49">
        <v>2569</v>
      </c>
      <c r="O217" s="65" t="s">
        <v>257</v>
      </c>
      <c r="P217" s="49" t="str">
        <f t="shared" si="52"/>
        <v>19/12/2023</v>
      </c>
      <c r="Q217" s="68">
        <f t="shared" si="53"/>
        <v>1</v>
      </c>
      <c r="R217" s="68">
        <f t="shared" si="54"/>
        <v>6</v>
      </c>
      <c r="S217" s="68">
        <f t="shared" si="55"/>
        <v>1</v>
      </c>
      <c r="T217" s="65"/>
      <c r="U217" s="65"/>
      <c r="V217" s="49" t="str">
        <f t="shared" si="65"/>
        <v/>
      </c>
      <c r="W217" s="68">
        <f>IF(V217="",0,DATEDIF(V217,P217,"Y"))</f>
        <v>0</v>
      </c>
      <c r="X217" s="68">
        <f>IF(V217="",0,DATEDIF(V217,P217,"YM"))</f>
        <v>0</v>
      </c>
      <c r="Y217" s="68">
        <f>IF(V217="",0,DATEDIF(V217,P217,"MD"))</f>
        <v>0</v>
      </c>
      <c r="Z217" s="49"/>
      <c r="AA217" s="65"/>
      <c r="AB217" s="50" t="str">
        <f t="shared" si="66"/>
        <v/>
      </c>
      <c r="AC217" s="68">
        <f t="shared" si="67"/>
        <v>0</v>
      </c>
      <c r="AD217" s="68">
        <f t="shared" si="68"/>
        <v>0</v>
      </c>
      <c r="AE217" s="68">
        <f t="shared" si="69"/>
        <v>0</v>
      </c>
      <c r="AF217" s="50"/>
      <c r="AG217" s="50" t="s">
        <v>138</v>
      </c>
      <c r="AH217" s="49" t="str">
        <f>IF(AG217="นิติศาสตร์","K5-LAW","K5-POLICY")</f>
        <v>K5-LAW</v>
      </c>
      <c r="AI217" s="72" t="str">
        <f>_xlfn.IFS(B217="","",AND(AH217="K5-LAW",AG217="นิติศาสตร์",K217="S2",T217="",Z217=""),P217,AND(AH217="K5-LAW",AG217="นิติศาสตร์",K217="S1",T217="",Z217=""),EDATE(P217,12),AND(AH217="K5-LAW",AG217="นิติศาสตร์",OR(K217="M2",K217="K4"),T217="",Z217=""),EDATE(P217,12*2),AND(AH217="K5-LAW",AG217="นิติศาสตร์",OR(Z217="M2",Z217="K4"),AC217&gt;=2,OR(AB217&lt;V217,AB217&lt;P217)),EDATE(AB217,12*2),AND(AH217="K5-LAW",AG217="นิติศาสตร์",Z217="S1",AC217&gt;=1,OR(AB217&lt;V217,AB217&lt;P217)),EDATE(AB217,12),AND(AH217="K5-LAW",AG217="นิติศาสตร์",OR(T217="M2",T217="K4"),W217&gt;=2,V217&lt;P217),EDATE(V217,12*2),AND(AH217="K5-LAW",AG217="นิติศาสตร์",T217="S1",W217&gt;=1,V217&lt;P217),EDATE(V217,12),AND(AH217="K5-LAW",AG217="นิติศาสตร์",OR(T217="S2",T217="K5")),V217,AND(AH217="K5-LAW",AG217="นิติศาสตร์",OR(K217="M2",K217="K4"),Q217&gt;=2),EDATE(P217,12*2),AND(AH217="K5-LAW",AG217="นิติศาสตร์",K217="S1",Q217&gt;=1),EDATE(P217,12),AND(AH217="K5-LAW",AG217="นิติศาสตร์",OR(K217="S2",K217="K5")),P217,AND(AH217="K5-POLICY",AG217&lt;&gt;"นิติศาสตร์",K217="S2",T217="",Z217=""),P217,AND(AH217="K5-POLICY",AG217&lt;&gt;"นิติศาสตร์",K217="S1",T217="",Z217=""),EDATE(P217,12),AND(AH217="K5-POLICY",AG217&lt;&gt;"นิติศาสตร์",OR(K217="M2",K217="K4"),T217="",Z217=""),EDATE(P217,12*2),AND(AH217="K5-POLICY",AG217&lt;&gt;"นิติศาสตร์",OR(Z217="M2",Z217="K4"),AC217&gt;=2,OR(AB217&lt;V217,AB217&lt;P217)),EDATE(AB217,12*2),AND(AH217="K5-POLICY",AG217&lt;&gt;"นิติศาสตร์",Z217="S1",AC217&gt;=1,OR(AB217&lt;V217,AB217&lt;P217)),EDATE(AB217,12),AND(AH217="K5-POLICY",AG217&lt;&gt;"นิติศาสตร์",OR(T217="M2",T217="K4"),W217&gt;=2,V217&lt;P217),EDATE(V217,12*2),AND(AH217="K5-POLICY",AG217&lt;&gt;"นิติศาสตร์",T217="S1",W217&gt;=1,V217&lt;P217),EDATE(V217,12),AND(AH217="K5-POLICY",AG217&lt;&gt;"นิติศาสตร์",OR(T217="S2",T217="K5")),V217,AND(AH217="K5-POLICY",AG217&lt;&gt;"นิติศาสตร์",OR(K217="M2",K217="K4"),Q217&gt;=2),EDATE(P217,12*2),AND(AH217="K5-POLICY",AG217&lt;&gt;"นิติศาสตร์",K217="S1",Q217&gt;=1),EDATE(P217,12),AND(AH217="K5-POLICY",AG217&lt;&gt;"นิติศาสตร์",OR(K217="S2",K217="K5")),P217,TRUE,"Check Data")</f>
        <v/>
      </c>
      <c r="AJ217" s="75" t="str">
        <f t="shared" si="61"/>
        <v>Check Data</v>
      </c>
      <c r="AK217" s="76" t="str">
        <f t="shared" si="62"/>
        <v>Check Data</v>
      </c>
      <c r="AL217" s="50" t="str">
        <f t="shared" si="63"/>
        <v>Check Data</v>
      </c>
      <c r="AM217" s="49" t="str">
        <f>IF(B217="","",IF(K217="S1","S1",INDEX(#REF!,#REF!)))</f>
        <v/>
      </c>
      <c r="AN217" s="49" t="str">
        <f>K217</f>
        <v>M2</v>
      </c>
      <c r="AO217" s="50" t="b">
        <f>K217=AM217</f>
        <v>0</v>
      </c>
      <c r="AP217" s="50"/>
    </row>
    <row r="218" spans="1:42" ht="21.75">
      <c r="A218" s="49">
        <v>216</v>
      </c>
      <c r="B218" s="50"/>
      <c r="C218" s="50"/>
      <c r="D218" s="50" t="s">
        <v>141</v>
      </c>
      <c r="E218" s="49" t="s">
        <v>258</v>
      </c>
      <c r="F218" s="49" t="str">
        <f t="shared" si="64"/>
        <v>02/10/1989</v>
      </c>
      <c r="G218" s="50">
        <f t="shared" si="49"/>
        <v>35</v>
      </c>
      <c r="H218" s="50">
        <f t="shared" si="50"/>
        <v>8</v>
      </c>
      <c r="I218" s="50">
        <f t="shared" si="51"/>
        <v>18</v>
      </c>
      <c r="J218" s="60"/>
      <c r="K218" s="49" t="s">
        <v>136</v>
      </c>
      <c r="L218" s="64"/>
      <c r="M218" s="49" t="s">
        <v>426</v>
      </c>
      <c r="N218" s="49">
        <v>2572</v>
      </c>
      <c r="O218" s="65" t="s">
        <v>257</v>
      </c>
      <c r="P218" s="49" t="str">
        <f t="shared" si="52"/>
        <v>19/12/2023</v>
      </c>
      <c r="Q218" s="68">
        <f t="shared" si="53"/>
        <v>1</v>
      </c>
      <c r="R218" s="68">
        <f t="shared" si="54"/>
        <v>6</v>
      </c>
      <c r="S218" s="68">
        <f t="shared" si="55"/>
        <v>1</v>
      </c>
      <c r="T218" s="65"/>
      <c r="U218" s="65"/>
      <c r="V218" s="49" t="str">
        <f t="shared" si="65"/>
        <v/>
      </c>
      <c r="W218" s="68">
        <f>IF(V218="",0,DATEDIF(V218,P218,"Y"))</f>
        <v>0</v>
      </c>
      <c r="X218" s="68">
        <f>IF(V218="",0,DATEDIF(V218,P218,"YM"))</f>
        <v>0</v>
      </c>
      <c r="Y218" s="68">
        <f>IF(V218="",0,DATEDIF(V218,P218,"MD"))</f>
        <v>0</v>
      </c>
      <c r="Z218" s="49"/>
      <c r="AA218" s="65"/>
      <c r="AB218" s="50" t="str">
        <f t="shared" si="66"/>
        <v/>
      </c>
      <c r="AC218" s="68">
        <f t="shared" si="67"/>
        <v>0</v>
      </c>
      <c r="AD218" s="68">
        <f t="shared" si="68"/>
        <v>0</v>
      </c>
      <c r="AE218" s="68">
        <f t="shared" si="69"/>
        <v>0</v>
      </c>
      <c r="AF218" s="50"/>
      <c r="AG218" s="50" t="s">
        <v>138</v>
      </c>
      <c r="AH218" s="49" t="str">
        <f>IF(AG218="นิติศาสตร์","K5-LAW","K5-POLICY")</f>
        <v>K5-LAW</v>
      </c>
      <c r="AI218" s="72" t="str">
        <f>_xlfn.IFS(B218="","",AND(AH218="K5-LAW",AG218="นิติศาสตร์",K218="S2",T218="",Z218=""),P218,AND(AH218="K5-LAW",AG218="นิติศาสตร์",K218="S1",T218="",Z218=""),EDATE(P218,12),AND(AH218="K5-LAW",AG218="นิติศาสตร์",OR(K218="M2",K218="K4"),T218="",Z218=""),EDATE(P218,12*2),AND(AH218="K5-LAW",AG218="นิติศาสตร์",OR(Z218="M2",Z218="K4"),AC218&gt;=2,OR(AB218&lt;V218,AB218&lt;P218)),EDATE(AB218,12*2),AND(AH218="K5-LAW",AG218="นิติศาสตร์",Z218="S1",AC218&gt;=1,OR(AB218&lt;V218,AB218&lt;P218)),EDATE(AB218,12),AND(AH218="K5-LAW",AG218="นิติศาสตร์",OR(T218="M2",T218="K4"),W218&gt;=2,V218&lt;P218),EDATE(V218,12*2),AND(AH218="K5-LAW",AG218="นิติศาสตร์",T218="S1",W218&gt;=1,V218&lt;P218),EDATE(V218,12),AND(AH218="K5-LAW",AG218="นิติศาสตร์",OR(T218="S2",T218="K5")),V218,AND(AH218="K5-LAW",AG218="นิติศาสตร์",OR(K218="M2",K218="K4"),Q218&gt;=2),EDATE(P218,12*2),AND(AH218="K5-LAW",AG218="นิติศาสตร์",K218="S1",Q218&gt;=1),EDATE(P218,12),AND(AH218="K5-LAW",AG218="นิติศาสตร์",OR(K218="S2",K218="K5")),P218,AND(AH218="K5-POLICY",AG218&lt;&gt;"นิติศาสตร์",K218="S2",T218="",Z218=""),P218,AND(AH218="K5-POLICY",AG218&lt;&gt;"นิติศาสตร์",K218="S1",T218="",Z218=""),EDATE(P218,12),AND(AH218="K5-POLICY",AG218&lt;&gt;"นิติศาสตร์",OR(K218="M2",K218="K4"),T218="",Z218=""),EDATE(P218,12*2),AND(AH218="K5-POLICY",AG218&lt;&gt;"นิติศาสตร์",OR(Z218="M2",Z218="K4"),AC218&gt;=2,OR(AB218&lt;V218,AB218&lt;P218)),EDATE(AB218,12*2),AND(AH218="K5-POLICY",AG218&lt;&gt;"นิติศาสตร์",Z218="S1",AC218&gt;=1,OR(AB218&lt;V218,AB218&lt;P218)),EDATE(AB218,12),AND(AH218="K5-POLICY",AG218&lt;&gt;"นิติศาสตร์",OR(T218="M2",T218="K4"),W218&gt;=2,V218&lt;P218),EDATE(V218,12*2),AND(AH218="K5-POLICY",AG218&lt;&gt;"นิติศาสตร์",T218="S1",W218&gt;=1,V218&lt;P218),EDATE(V218,12),AND(AH218="K5-POLICY",AG218&lt;&gt;"นิติศาสตร์",OR(T218="S2",T218="K5")),V218,AND(AH218="K5-POLICY",AG218&lt;&gt;"นิติศาสตร์",OR(K218="M2",K218="K4"),Q218&gt;=2),EDATE(P218,12*2),AND(AH218="K5-POLICY",AG218&lt;&gt;"นิติศาสตร์",K218="S1",Q218&gt;=1),EDATE(P218,12),AND(AH218="K5-POLICY",AG218&lt;&gt;"นิติศาสตร์",OR(K218="S2",K218="K5")),P218,TRUE,"Check Data")</f>
        <v/>
      </c>
      <c r="AJ218" s="75" t="str">
        <f t="shared" si="61"/>
        <v>Check Data</v>
      </c>
      <c r="AK218" s="76" t="str">
        <f t="shared" si="62"/>
        <v>Check Data</v>
      </c>
      <c r="AL218" s="50" t="str">
        <f t="shared" si="63"/>
        <v>Check Data</v>
      </c>
      <c r="AM218" s="49" t="str">
        <f>IF(B218="","",IF(K218="S1","S1",INDEX(#REF!,#REF!)))</f>
        <v/>
      </c>
      <c r="AN218" s="49" t="str">
        <f>K218</f>
        <v>M2</v>
      </c>
      <c r="AO218" s="50" t="b">
        <f>K218=AM218</f>
        <v>0</v>
      </c>
      <c r="AP218" s="50"/>
    </row>
    <row r="219" spans="1:42" ht="21.75">
      <c r="A219" s="49">
        <v>217</v>
      </c>
      <c r="B219" s="50"/>
      <c r="C219" s="50"/>
      <c r="D219" s="50" t="s">
        <v>142</v>
      </c>
      <c r="E219" s="49" t="s">
        <v>274</v>
      </c>
      <c r="F219" s="49" t="str">
        <f t="shared" si="64"/>
        <v>10/09/2001</v>
      </c>
      <c r="G219" s="50">
        <f t="shared" si="49"/>
        <v>23</v>
      </c>
      <c r="H219" s="50">
        <f t="shared" si="50"/>
        <v>9</v>
      </c>
      <c r="I219" s="50">
        <f t="shared" si="51"/>
        <v>10</v>
      </c>
      <c r="J219" s="58"/>
      <c r="K219" s="49" t="s">
        <v>136</v>
      </c>
      <c r="L219" s="64"/>
      <c r="M219" s="49">
        <v>0</v>
      </c>
      <c r="N219" s="49">
        <v>0</v>
      </c>
      <c r="O219" s="65" t="s">
        <v>257</v>
      </c>
      <c r="P219" s="49" t="str">
        <f t="shared" si="52"/>
        <v>19/12/2023</v>
      </c>
      <c r="Q219" s="68">
        <f t="shared" si="53"/>
        <v>1</v>
      </c>
      <c r="R219" s="68">
        <f t="shared" si="54"/>
        <v>6</v>
      </c>
      <c r="S219" s="68">
        <f t="shared" si="55"/>
        <v>1</v>
      </c>
      <c r="T219" s="65"/>
      <c r="U219" s="65"/>
      <c r="V219" s="49" t="str">
        <f t="shared" si="65"/>
        <v/>
      </c>
      <c r="W219" s="68">
        <f>IF(V219="",0,DATEDIF(V219,P219,"Y"))</f>
        <v>0</v>
      </c>
      <c r="X219" s="68">
        <f>IF(V219="",0,DATEDIF(V219,P219,"YM"))</f>
        <v>0</v>
      </c>
      <c r="Y219" s="68">
        <f>IF(V219="",0,DATEDIF(V219,P219,"MD"))</f>
        <v>0</v>
      </c>
      <c r="Z219" s="49"/>
      <c r="AA219" s="65"/>
      <c r="AB219" s="50" t="str">
        <f t="shared" si="66"/>
        <v/>
      </c>
      <c r="AC219" s="68">
        <f t="shared" si="67"/>
        <v>0</v>
      </c>
      <c r="AD219" s="68">
        <f t="shared" si="68"/>
        <v>0</v>
      </c>
      <c r="AE219" s="68">
        <f t="shared" si="69"/>
        <v>0</v>
      </c>
      <c r="AF219" s="50"/>
      <c r="AG219" s="50" t="s">
        <v>138</v>
      </c>
      <c r="AH219" s="49" t="str">
        <f>IF(AG219="นิติศาสตร์","K5-LAW","K5-POLICY")</f>
        <v>K5-LAW</v>
      </c>
      <c r="AI219" s="72" t="str">
        <f>_xlfn.IFS(B219="","",AND(AH219="K5-LAW",AG219="นิติศาสตร์",K219="S2",T219="",Z219=""),P219,AND(AH219="K5-LAW",AG219="นิติศาสตร์",K219="S1",T219="",Z219=""),EDATE(P219,12),AND(AH219="K5-LAW",AG219="นิติศาสตร์",OR(K219="M2",K219="K4"),T219="",Z219=""),EDATE(P219,12*2),AND(AH219="K5-LAW",AG219="นิติศาสตร์",OR(Z219="M2",Z219="K4"),AC219&gt;=2,OR(AB219&lt;V219,AB219&lt;P219)),EDATE(AB219,12*2),AND(AH219="K5-LAW",AG219="นิติศาสตร์",Z219="S1",AC219&gt;=1,OR(AB219&lt;V219,AB219&lt;P219)),EDATE(AB219,12),AND(AH219="K5-LAW",AG219="นิติศาสตร์",OR(T219="M2",T219="K4"),W219&gt;=2,V219&lt;P219),EDATE(V219,12*2),AND(AH219="K5-LAW",AG219="นิติศาสตร์",T219="S1",W219&gt;=1,V219&lt;P219),EDATE(V219,12),AND(AH219="K5-LAW",AG219="นิติศาสตร์",OR(T219="S2",T219="K5")),V219,AND(AH219="K5-LAW",AG219="นิติศาสตร์",OR(K219="M2",K219="K4"),Q219&gt;=2),EDATE(P219,12*2),AND(AH219="K5-LAW",AG219="นิติศาสตร์",K219="S1",Q219&gt;=1),EDATE(P219,12),AND(AH219="K5-LAW",AG219="นิติศาสตร์",OR(K219="S2",K219="K5")),P219,AND(AH219="K5-POLICY",AG219&lt;&gt;"นิติศาสตร์",K219="S2",T219="",Z219=""),P219,AND(AH219="K5-POLICY",AG219&lt;&gt;"นิติศาสตร์",K219="S1",T219="",Z219=""),EDATE(P219,12),AND(AH219="K5-POLICY",AG219&lt;&gt;"นิติศาสตร์",OR(K219="M2",K219="K4"),T219="",Z219=""),EDATE(P219,12*2),AND(AH219="K5-POLICY",AG219&lt;&gt;"นิติศาสตร์",OR(Z219="M2",Z219="K4"),AC219&gt;=2,OR(AB219&lt;V219,AB219&lt;P219)),EDATE(AB219,12*2),AND(AH219="K5-POLICY",AG219&lt;&gt;"นิติศาสตร์",Z219="S1",AC219&gt;=1,OR(AB219&lt;V219,AB219&lt;P219)),EDATE(AB219,12),AND(AH219="K5-POLICY",AG219&lt;&gt;"นิติศาสตร์",OR(T219="M2",T219="K4"),W219&gt;=2,V219&lt;P219),EDATE(V219,12*2),AND(AH219="K5-POLICY",AG219&lt;&gt;"นิติศาสตร์",T219="S1",W219&gt;=1,V219&lt;P219),EDATE(V219,12),AND(AH219="K5-POLICY",AG219&lt;&gt;"นิติศาสตร์",OR(T219="S2",T219="K5")),V219,AND(AH219="K5-POLICY",AG219&lt;&gt;"นิติศาสตร์",OR(K219="M2",K219="K4"),Q219&gt;=2),EDATE(P219,12*2),AND(AH219="K5-POLICY",AG219&lt;&gt;"นิติศาสตร์",K219="S1",Q219&gt;=1),EDATE(P219,12),AND(AH219="K5-POLICY",AG219&lt;&gt;"นิติศาสตร์",OR(K219="S2",K219="K5")),P219,TRUE,"Check Data")</f>
        <v/>
      </c>
      <c r="AJ219" s="75" t="str">
        <f t="shared" si="61"/>
        <v>Check Data</v>
      </c>
      <c r="AK219" s="76" t="str">
        <f t="shared" si="62"/>
        <v>Check Data</v>
      </c>
      <c r="AL219" s="50" t="str">
        <f t="shared" si="63"/>
        <v>Check Data</v>
      </c>
      <c r="AM219" s="49" t="str">
        <f>IF(B219="","",IF(K219="S1","S1",INDEX(#REF!,#REF!)))</f>
        <v/>
      </c>
      <c r="AN219" s="49" t="str">
        <f>K219</f>
        <v>M2</v>
      </c>
      <c r="AO219" s="50" t="b">
        <f>K219=AM219</f>
        <v>0</v>
      </c>
      <c r="AP219" s="50"/>
    </row>
    <row r="220" spans="1:42" ht="21.75">
      <c r="A220" s="49">
        <v>218</v>
      </c>
      <c r="B220" s="50"/>
      <c r="C220" s="50"/>
      <c r="D220" s="50" t="s">
        <v>141</v>
      </c>
      <c r="E220" s="49" t="s">
        <v>267</v>
      </c>
      <c r="F220" s="49" t="str">
        <f t="shared" si="64"/>
        <v>18/09/2000</v>
      </c>
      <c r="G220" s="50">
        <f t="shared" si="49"/>
        <v>24</v>
      </c>
      <c r="H220" s="50">
        <f t="shared" si="50"/>
        <v>9</v>
      </c>
      <c r="I220" s="50">
        <f t="shared" si="51"/>
        <v>2</v>
      </c>
      <c r="J220" s="60"/>
      <c r="K220" s="49" t="s">
        <v>136</v>
      </c>
      <c r="L220" s="64"/>
      <c r="M220" s="49" t="s">
        <v>426</v>
      </c>
      <c r="N220" s="49">
        <v>2577</v>
      </c>
      <c r="O220" s="65" t="s">
        <v>257</v>
      </c>
      <c r="P220" s="49" t="str">
        <f t="shared" si="52"/>
        <v>19/12/2023</v>
      </c>
      <c r="Q220" s="68">
        <f t="shared" si="53"/>
        <v>1</v>
      </c>
      <c r="R220" s="68">
        <f t="shared" si="54"/>
        <v>6</v>
      </c>
      <c r="S220" s="68">
        <f t="shared" si="55"/>
        <v>1</v>
      </c>
      <c r="T220" s="65"/>
      <c r="U220" s="65"/>
      <c r="V220" s="49" t="str">
        <f t="shared" si="65"/>
        <v/>
      </c>
      <c r="W220" s="68">
        <f>IF(V220="",0,DATEDIF(V220,P220,"Y"))</f>
        <v>0</v>
      </c>
      <c r="X220" s="68">
        <f>IF(V220="",0,DATEDIF(V220,P220,"YM"))</f>
        <v>0</v>
      </c>
      <c r="Y220" s="68">
        <f>IF(V220="",0,DATEDIF(V220,P220,"MD"))</f>
        <v>0</v>
      </c>
      <c r="Z220" s="49"/>
      <c r="AA220" s="65"/>
      <c r="AB220" s="50" t="str">
        <f t="shared" si="66"/>
        <v/>
      </c>
      <c r="AC220" s="68">
        <f t="shared" si="67"/>
        <v>0</v>
      </c>
      <c r="AD220" s="68">
        <f t="shared" si="68"/>
        <v>0</v>
      </c>
      <c r="AE220" s="68">
        <f t="shared" si="69"/>
        <v>0</v>
      </c>
      <c r="AF220" s="50"/>
      <c r="AG220" s="50" t="s">
        <v>138</v>
      </c>
      <c r="AH220" s="49" t="str">
        <f>IF(AG220="นิติศาสตร์","K5-LAW","K5-POLICY")</f>
        <v>K5-LAW</v>
      </c>
      <c r="AI220" s="72" t="str">
        <f>_xlfn.IFS(B220="","",AND(AH220="K5-LAW",AG220="นิติศาสตร์",K220="S2",T220="",Z220=""),P220,AND(AH220="K5-LAW",AG220="นิติศาสตร์",K220="S1",T220="",Z220=""),EDATE(P220,12),AND(AH220="K5-LAW",AG220="นิติศาสตร์",OR(K220="M2",K220="K4"),T220="",Z220=""),EDATE(P220,12*2),AND(AH220="K5-LAW",AG220="นิติศาสตร์",OR(Z220="M2",Z220="K4"),AC220&gt;=2,OR(AB220&lt;V220,AB220&lt;P220)),EDATE(AB220,12*2),AND(AH220="K5-LAW",AG220="นิติศาสตร์",Z220="S1",AC220&gt;=1,OR(AB220&lt;V220,AB220&lt;P220)),EDATE(AB220,12),AND(AH220="K5-LAW",AG220="นิติศาสตร์",OR(T220="M2",T220="K4"),W220&gt;=2,V220&lt;P220),EDATE(V220,12*2),AND(AH220="K5-LAW",AG220="นิติศาสตร์",T220="S1",W220&gt;=1,V220&lt;P220),EDATE(V220,12),AND(AH220="K5-LAW",AG220="นิติศาสตร์",OR(T220="S2",T220="K5")),V220,AND(AH220="K5-LAW",AG220="นิติศาสตร์",OR(K220="M2",K220="K4"),Q220&gt;=2),EDATE(P220,12*2),AND(AH220="K5-LAW",AG220="นิติศาสตร์",K220="S1",Q220&gt;=1),EDATE(P220,12),AND(AH220="K5-LAW",AG220="นิติศาสตร์",OR(K220="S2",K220="K5")),P220,AND(AH220="K5-POLICY",AG220&lt;&gt;"นิติศาสตร์",K220="S2",T220="",Z220=""),P220,AND(AH220="K5-POLICY",AG220&lt;&gt;"นิติศาสตร์",K220="S1",T220="",Z220=""),EDATE(P220,12),AND(AH220="K5-POLICY",AG220&lt;&gt;"นิติศาสตร์",OR(K220="M2",K220="K4"),T220="",Z220=""),EDATE(P220,12*2),AND(AH220="K5-POLICY",AG220&lt;&gt;"นิติศาสตร์",OR(Z220="M2",Z220="K4"),AC220&gt;=2,OR(AB220&lt;V220,AB220&lt;P220)),EDATE(AB220,12*2),AND(AH220="K5-POLICY",AG220&lt;&gt;"นิติศาสตร์",Z220="S1",AC220&gt;=1,OR(AB220&lt;V220,AB220&lt;P220)),EDATE(AB220,12),AND(AH220="K5-POLICY",AG220&lt;&gt;"นิติศาสตร์",OR(T220="M2",T220="K4"),W220&gt;=2,V220&lt;P220),EDATE(V220,12*2),AND(AH220="K5-POLICY",AG220&lt;&gt;"นิติศาสตร์",T220="S1",W220&gt;=1,V220&lt;P220),EDATE(V220,12),AND(AH220="K5-POLICY",AG220&lt;&gt;"นิติศาสตร์",OR(T220="S2",T220="K5")),V220,AND(AH220="K5-POLICY",AG220&lt;&gt;"นิติศาสตร์",OR(K220="M2",K220="K4"),Q220&gt;=2),EDATE(P220,12*2),AND(AH220="K5-POLICY",AG220&lt;&gt;"นิติศาสตร์",K220="S1",Q220&gt;=1),EDATE(P220,12),AND(AH220="K5-POLICY",AG220&lt;&gt;"นิติศาสตร์",OR(K220="S2",K220="K5")),P220,TRUE,"Check Data")</f>
        <v/>
      </c>
      <c r="AJ220" s="75" t="str">
        <f t="shared" si="61"/>
        <v>Check Data</v>
      </c>
      <c r="AK220" s="76" t="str">
        <f t="shared" si="62"/>
        <v>Check Data</v>
      </c>
      <c r="AL220" s="50" t="str">
        <f t="shared" si="63"/>
        <v>Check Data</v>
      </c>
      <c r="AM220" s="49" t="str">
        <f>IF(B220="","",IF(K220="S1","S1",INDEX(#REF!,#REF!)))</f>
        <v/>
      </c>
      <c r="AN220" s="49" t="str">
        <f>K220</f>
        <v>M2</v>
      </c>
      <c r="AO220" s="50" t="b">
        <f>K220=AM220</f>
        <v>0</v>
      </c>
      <c r="AP220" s="50"/>
    </row>
    <row r="221" spans="1:42" ht="21.75">
      <c r="A221" s="49">
        <v>219</v>
      </c>
      <c r="B221" s="50"/>
      <c r="C221" s="50"/>
      <c r="D221" s="50" t="s">
        <v>141</v>
      </c>
      <c r="E221" s="49" t="s">
        <v>264</v>
      </c>
      <c r="F221" s="49" t="str">
        <f t="shared" si="64"/>
        <v>25/10/2000</v>
      </c>
      <c r="G221" s="50">
        <f t="shared" si="49"/>
        <v>24</v>
      </c>
      <c r="H221" s="50">
        <f t="shared" si="50"/>
        <v>7</v>
      </c>
      <c r="I221" s="50">
        <f t="shared" si="51"/>
        <v>26</v>
      </c>
      <c r="J221" s="60"/>
      <c r="K221" s="49" t="s">
        <v>136</v>
      </c>
      <c r="L221" s="64"/>
      <c r="M221" s="49" t="s">
        <v>426</v>
      </c>
      <c r="N221" s="49">
        <v>2578</v>
      </c>
      <c r="O221" s="65" t="s">
        <v>257</v>
      </c>
      <c r="P221" s="49" t="str">
        <f t="shared" si="52"/>
        <v>19/12/2023</v>
      </c>
      <c r="Q221" s="68">
        <f t="shared" si="53"/>
        <v>1</v>
      </c>
      <c r="R221" s="68">
        <f t="shared" si="54"/>
        <v>6</v>
      </c>
      <c r="S221" s="68">
        <f t="shared" si="55"/>
        <v>1</v>
      </c>
      <c r="T221" s="65"/>
      <c r="U221" s="65"/>
      <c r="V221" s="49" t="str">
        <f t="shared" si="65"/>
        <v/>
      </c>
      <c r="W221" s="68">
        <f>IF(V221="",0,DATEDIF(V221,P221,"Y"))</f>
        <v>0</v>
      </c>
      <c r="X221" s="68">
        <f>IF(V221="",0,DATEDIF(V221,P221,"YM"))</f>
        <v>0</v>
      </c>
      <c r="Y221" s="68">
        <f>IF(V221="",0,DATEDIF(V221,P221,"MD"))</f>
        <v>0</v>
      </c>
      <c r="Z221" s="49"/>
      <c r="AA221" s="65"/>
      <c r="AB221" s="50" t="str">
        <f t="shared" si="66"/>
        <v/>
      </c>
      <c r="AC221" s="68">
        <f t="shared" si="67"/>
        <v>0</v>
      </c>
      <c r="AD221" s="68">
        <f t="shared" si="68"/>
        <v>0</v>
      </c>
      <c r="AE221" s="68">
        <f t="shared" si="69"/>
        <v>0</v>
      </c>
      <c r="AF221" s="50"/>
      <c r="AG221" s="50" t="s">
        <v>138</v>
      </c>
      <c r="AH221" s="49" t="str">
        <f>IF(AG221="นิติศาสตร์","K5-LAW","K5-POLICY")</f>
        <v>K5-LAW</v>
      </c>
      <c r="AI221" s="72" t="str">
        <f>_xlfn.IFS(B221="","",AND(AH221="K5-LAW",AG221="นิติศาสตร์",K221="S2",T221="",Z221=""),P221,AND(AH221="K5-LAW",AG221="นิติศาสตร์",K221="S1",T221="",Z221=""),EDATE(P221,12),AND(AH221="K5-LAW",AG221="นิติศาสตร์",OR(K221="M2",K221="K4"),T221="",Z221=""),EDATE(P221,12*2),AND(AH221="K5-LAW",AG221="นิติศาสตร์",OR(Z221="M2",Z221="K4"),AC221&gt;=2,OR(AB221&lt;V221,AB221&lt;P221)),EDATE(AB221,12*2),AND(AH221="K5-LAW",AG221="นิติศาสตร์",Z221="S1",AC221&gt;=1,OR(AB221&lt;V221,AB221&lt;P221)),EDATE(AB221,12),AND(AH221="K5-LAW",AG221="นิติศาสตร์",OR(T221="M2",T221="K4"),W221&gt;=2,V221&lt;P221),EDATE(V221,12*2),AND(AH221="K5-LAW",AG221="นิติศาสตร์",T221="S1",W221&gt;=1,V221&lt;P221),EDATE(V221,12),AND(AH221="K5-LAW",AG221="นิติศาสตร์",OR(T221="S2",T221="K5")),V221,AND(AH221="K5-LAW",AG221="นิติศาสตร์",OR(K221="M2",K221="K4"),Q221&gt;=2),EDATE(P221,12*2),AND(AH221="K5-LAW",AG221="นิติศาสตร์",K221="S1",Q221&gt;=1),EDATE(P221,12),AND(AH221="K5-LAW",AG221="นิติศาสตร์",OR(K221="S2",K221="K5")),P221,AND(AH221="K5-POLICY",AG221&lt;&gt;"นิติศาสตร์",K221="S2",T221="",Z221=""),P221,AND(AH221="K5-POLICY",AG221&lt;&gt;"นิติศาสตร์",K221="S1",T221="",Z221=""),EDATE(P221,12),AND(AH221="K5-POLICY",AG221&lt;&gt;"นิติศาสตร์",OR(K221="M2",K221="K4"),T221="",Z221=""),EDATE(P221,12*2),AND(AH221="K5-POLICY",AG221&lt;&gt;"นิติศาสตร์",OR(Z221="M2",Z221="K4"),AC221&gt;=2,OR(AB221&lt;V221,AB221&lt;P221)),EDATE(AB221,12*2),AND(AH221="K5-POLICY",AG221&lt;&gt;"นิติศาสตร์",Z221="S1",AC221&gt;=1,OR(AB221&lt;V221,AB221&lt;P221)),EDATE(AB221,12),AND(AH221="K5-POLICY",AG221&lt;&gt;"นิติศาสตร์",OR(T221="M2",T221="K4"),W221&gt;=2,V221&lt;P221),EDATE(V221,12*2),AND(AH221="K5-POLICY",AG221&lt;&gt;"นิติศาสตร์",T221="S1",W221&gt;=1,V221&lt;P221),EDATE(V221,12),AND(AH221="K5-POLICY",AG221&lt;&gt;"นิติศาสตร์",OR(T221="S2",T221="K5")),V221,AND(AH221="K5-POLICY",AG221&lt;&gt;"นิติศาสตร์",OR(K221="M2",K221="K4"),Q221&gt;=2),EDATE(P221,12*2),AND(AH221="K5-POLICY",AG221&lt;&gt;"นิติศาสตร์",K221="S1",Q221&gt;=1),EDATE(P221,12),AND(AH221="K5-POLICY",AG221&lt;&gt;"นิติศาสตร์",OR(K221="S2",K221="K5")),P221,TRUE,"Check Data")</f>
        <v/>
      </c>
      <c r="AJ221" s="75" t="str">
        <f t="shared" si="61"/>
        <v>Check Data</v>
      </c>
      <c r="AK221" s="76" t="str">
        <f t="shared" si="62"/>
        <v>Check Data</v>
      </c>
      <c r="AL221" s="50" t="str">
        <f t="shared" si="63"/>
        <v>Check Data</v>
      </c>
      <c r="AM221" s="49" t="str">
        <f>IF(B221="","",IF(K221="S1","S1",INDEX(#REF!,#REF!)))</f>
        <v/>
      </c>
      <c r="AN221" s="49" t="str">
        <f>K221</f>
        <v>M2</v>
      </c>
      <c r="AO221" s="50" t="b">
        <f>K221=AM221</f>
        <v>0</v>
      </c>
      <c r="AP221" s="50"/>
    </row>
    <row r="222" spans="1:42" ht="21.75">
      <c r="A222" s="49">
        <v>220</v>
      </c>
      <c r="B222" s="50"/>
      <c r="C222" s="52"/>
      <c r="D222" s="79"/>
      <c r="E222" s="79"/>
      <c r="F222" s="79"/>
      <c r="G222" s="50">
        <f t="shared" si="49"/>
        <v>0</v>
      </c>
      <c r="H222" s="50">
        <f t="shared" si="50"/>
        <v>0</v>
      </c>
      <c r="I222" s="50">
        <f t="shared" si="51"/>
        <v>0</v>
      </c>
      <c r="J222" s="79"/>
      <c r="K222" s="49" t="s">
        <v>136</v>
      </c>
      <c r="L222" s="79"/>
      <c r="M222" s="79"/>
      <c r="N222" s="79"/>
      <c r="O222" s="65" t="s">
        <v>257</v>
      </c>
      <c r="P222" s="49" t="str">
        <f t="shared" si="52"/>
        <v>19/12/2023</v>
      </c>
      <c r="Q222" s="68">
        <f t="shared" si="53"/>
        <v>1</v>
      </c>
      <c r="R222" s="68">
        <f t="shared" si="54"/>
        <v>6</v>
      </c>
      <c r="S222" s="68">
        <f t="shared" si="55"/>
        <v>1</v>
      </c>
      <c r="T222" s="65"/>
      <c r="U222" s="83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49" t="str">
        <f>IF(AG222="นิติศาสตร์","K5-LAW","K5-POLICY")</f>
        <v>K5-POLICY</v>
      </c>
      <c r="AI222" s="72" t="str">
        <f>_xlfn.IFS(B222="","",AND(AH222="K5-LAW",AG222="นิติศาสตร์",K222="S2",T222="",Z222=""),P222,AND(AH222="K5-LAW",AG222="นิติศาสตร์",K222="S1",T222="",Z222=""),EDATE(P222,12),AND(AH222="K5-LAW",AG222="นิติศาสตร์",OR(K222="M2",K222="K4"),T222="",Z222=""),EDATE(P222,12*2),AND(AH222="K5-LAW",AG222="นิติศาสตร์",OR(Z222="M2",Z222="K4"),AC222&gt;=2,OR(AB222&lt;V222,AB222&lt;P222)),EDATE(AB222,12*2),AND(AH222="K5-LAW",AG222="นิติศาสตร์",Z222="S1",AC222&gt;=1,OR(AB222&lt;V222,AB222&lt;P222)),EDATE(AB222,12),AND(AH222="K5-LAW",AG222="นิติศาสตร์",OR(T222="M2",T222="K4"),W222&gt;=2,V222&lt;P222),EDATE(V222,12*2),AND(AH222="K5-LAW",AG222="นิติศาสตร์",T222="S1",W222&gt;=1,V222&lt;P222),EDATE(V222,12),AND(AH222="K5-LAW",AG222="นิติศาสตร์",OR(T222="S2",T222="K5")),V222,AND(AH222="K5-LAW",AG222="นิติศาสตร์",OR(K222="M2",K222="K4"),Q222&gt;=2),EDATE(P222,12*2),AND(AH222="K5-LAW",AG222="นิติศาสตร์",K222="S1",Q222&gt;=1),EDATE(P222,12),AND(AH222="K5-LAW",AG222="นิติศาสตร์",OR(K222="S2",K222="K5")),P222,AND(AH222="K5-POLICY",AG222&lt;&gt;"นิติศาสตร์",K222="S2",T222="",Z222=""),P222,AND(AH222="K5-POLICY",AG222&lt;&gt;"นิติศาสตร์",K222="S1",T222="",Z222=""),EDATE(P222,12),AND(AH222="K5-POLICY",AG222&lt;&gt;"นิติศาสตร์",OR(K222="M2",K222="K4"),T222="",Z222=""),EDATE(P222,12*2),AND(AH222="K5-POLICY",AG222&lt;&gt;"นิติศาสตร์",OR(Z222="M2",Z222="K4"),AC222&gt;=2,OR(AB222&lt;V222,AB222&lt;P222)),EDATE(AB222,12*2),AND(AH222="K5-POLICY",AG222&lt;&gt;"นิติศาสตร์",Z222="S1",AC222&gt;=1,OR(AB222&lt;V222,AB222&lt;P222)),EDATE(AB222,12),AND(AH222="K5-POLICY",AG222&lt;&gt;"นิติศาสตร์",OR(T222="M2",T222="K4"),W222&gt;=2,V222&lt;P222),EDATE(V222,12*2),AND(AH222="K5-POLICY",AG222&lt;&gt;"นิติศาสตร์",T222="S1",W222&gt;=1,V222&lt;P222),EDATE(V222,12),AND(AH222="K5-POLICY",AG222&lt;&gt;"นิติศาสตร์",OR(T222="S2",T222="K5")),V222,AND(AH222="K5-POLICY",AG222&lt;&gt;"นิติศาสตร์",OR(K222="M2",K222="K4"),Q222&gt;=2),EDATE(P222,12*2),AND(AH222="K5-POLICY",AG222&lt;&gt;"นิติศาสตร์",K222="S1",Q222&gt;=1),EDATE(P222,12),AND(AH222="K5-POLICY",AG222&lt;&gt;"นิติศาสตร์",OR(K222="S2",K222="K5")),P222,TRUE,"Check Data")</f>
        <v/>
      </c>
      <c r="AJ222" s="75" t="str">
        <f t="shared" si="61"/>
        <v>Check Data</v>
      </c>
      <c r="AK222" s="76" t="str">
        <f t="shared" si="62"/>
        <v>Check Data</v>
      </c>
      <c r="AL222" s="50" t="str">
        <f t="shared" si="63"/>
        <v>Check Data</v>
      </c>
      <c r="AM222" s="49" t="str">
        <f>IF(B222="","",IF(K222="S1","S1",INDEX(#REF!,#REF!)))</f>
        <v/>
      </c>
      <c r="AN222" s="49" t="str">
        <f>K222</f>
        <v>M2</v>
      </c>
      <c r="AO222" s="50" t="b">
        <f>K222=AM222</f>
        <v>0</v>
      </c>
      <c r="AP222" s="50"/>
    </row>
    <row r="223" spans="1:42" ht="21.75">
      <c r="A223" s="49">
        <v>221</v>
      </c>
      <c r="B223" s="50"/>
      <c r="C223" s="50"/>
      <c r="D223" s="50" t="s">
        <v>139</v>
      </c>
      <c r="E223" s="49" t="s">
        <v>235</v>
      </c>
      <c r="F223" s="49" t="str">
        <f t="shared" ref="F223:F227" si="70">IF(E223="","",TEXT(EDATE(E223,-543*12),"dd/mm/yyyy"))</f>
        <v>02/09/1991</v>
      </c>
      <c r="G223" s="50">
        <f t="shared" si="49"/>
        <v>33</v>
      </c>
      <c r="H223" s="50">
        <f t="shared" si="50"/>
        <v>9</v>
      </c>
      <c r="I223" s="50">
        <f t="shared" si="51"/>
        <v>18</v>
      </c>
      <c r="J223" s="56"/>
      <c r="K223" s="49" t="s">
        <v>136</v>
      </c>
      <c r="L223" s="64"/>
      <c r="M223" s="49" t="s">
        <v>427</v>
      </c>
      <c r="N223" s="49">
        <v>2572</v>
      </c>
      <c r="O223" s="65" t="s">
        <v>216</v>
      </c>
      <c r="P223" s="49" t="str">
        <f t="shared" si="52"/>
        <v>21/12/2023</v>
      </c>
      <c r="Q223" s="68">
        <f t="shared" si="53"/>
        <v>1</v>
      </c>
      <c r="R223" s="68">
        <f t="shared" si="54"/>
        <v>5</v>
      </c>
      <c r="S223" s="68">
        <f t="shared" si="55"/>
        <v>30</v>
      </c>
      <c r="T223" s="65"/>
      <c r="U223" s="65"/>
      <c r="V223" s="49" t="str">
        <f t="shared" ref="V223:V227" si="71">IF(U223="","",TEXT(EDATE(U223,-543*12),"dd/mm/yyyy"))</f>
        <v/>
      </c>
      <c r="W223" s="68">
        <f>IF(V223="",0,DATEDIF(V223,P223,"Y"))</f>
        <v>0</v>
      </c>
      <c r="X223" s="68">
        <f>IF(V223="",0,DATEDIF(V223,P223,"YM"))</f>
        <v>0</v>
      </c>
      <c r="Y223" s="68">
        <f>IF(V223="",0,DATEDIF(V223,P223,"MD"))</f>
        <v>0</v>
      </c>
      <c r="Z223" s="49"/>
      <c r="AA223" s="65"/>
      <c r="AB223" s="50" t="str">
        <f t="shared" ref="AB223:AB227" si="72">IF(AA223="","",TEXT(EDATE(AA223,-543*12),"dd/mm/yyyy"))</f>
        <v/>
      </c>
      <c r="AC223" s="68">
        <f t="shared" ref="AC223:AC227" si="73">IF(AB223="",0,DATEDIF(AB223,V223,"Y"))</f>
        <v>0</v>
      </c>
      <c r="AD223" s="68">
        <f t="shared" ref="AD223:AD227" si="74">IF(AB223="",0,DATEDIF(AB223,V223,"YM"))</f>
        <v>0</v>
      </c>
      <c r="AE223" s="68">
        <f t="shared" ref="AE223:AE227" si="75">IF(AB223="",0,DATEDIF(AB223,V223,"MD"))</f>
        <v>0</v>
      </c>
      <c r="AF223" s="50"/>
      <c r="AG223" s="50" t="s">
        <v>167</v>
      </c>
      <c r="AH223" s="49" t="str">
        <f>IF(AG223="นิติศาสตร์","K5-LAW","K5-POLICY")</f>
        <v>K5-POLICY</v>
      </c>
      <c r="AI223" s="72" t="str">
        <f>_xlfn.IFS(B223="","",AND(AH223="K5-LAW",AG223="นิติศาสตร์",K223="S2",T223="",Z223=""),P223,AND(AH223="K5-LAW",AG223="นิติศาสตร์",K223="S1",T223="",Z223=""),EDATE(P223,12),AND(AH223="K5-LAW",AG223="นิติศาสตร์",OR(K223="M2",K223="K4"),T223="",Z223=""),EDATE(P223,12*2),AND(AH223="K5-LAW",AG223="นิติศาสตร์",OR(Z223="M2",Z223="K4"),AC223&gt;=2,OR(AB223&lt;V223,AB223&lt;P223)),EDATE(AB223,12*2),AND(AH223="K5-LAW",AG223="นิติศาสตร์",Z223="S1",AC223&gt;=1,OR(AB223&lt;V223,AB223&lt;P223)),EDATE(AB223,12),AND(AH223="K5-LAW",AG223="นิติศาสตร์",OR(T223="M2",T223="K4"),W223&gt;=2,V223&lt;P223),EDATE(V223,12*2),AND(AH223="K5-LAW",AG223="นิติศาสตร์",T223="S1",W223&gt;=1,V223&lt;P223),EDATE(V223,12),AND(AH223="K5-LAW",AG223="นิติศาสตร์",OR(T223="S2",T223="K5")),V223,AND(AH223="K5-LAW",AG223="นิติศาสตร์",OR(K223="M2",K223="K4"),Q223&gt;=2),EDATE(P223,12*2),AND(AH223="K5-LAW",AG223="นิติศาสตร์",K223="S1",Q223&gt;=1),EDATE(P223,12),AND(AH223="K5-LAW",AG223="นิติศาสตร์",OR(K223="S2",K223="K5")),P223,AND(AH223="K5-POLICY",AG223&lt;&gt;"นิติศาสตร์",K223="S2",T223="",Z223=""),P223,AND(AH223="K5-POLICY",AG223&lt;&gt;"นิติศาสตร์",K223="S1",T223="",Z223=""),EDATE(P223,12),AND(AH223="K5-POLICY",AG223&lt;&gt;"นิติศาสตร์",OR(K223="M2",K223="K4"),T223="",Z223=""),EDATE(P223,12*2),AND(AH223="K5-POLICY",AG223&lt;&gt;"นิติศาสตร์",OR(Z223="M2",Z223="K4"),AC223&gt;=2,OR(AB223&lt;V223,AB223&lt;P223)),EDATE(AB223,12*2),AND(AH223="K5-POLICY",AG223&lt;&gt;"นิติศาสตร์",Z223="S1",AC223&gt;=1,OR(AB223&lt;V223,AB223&lt;P223)),EDATE(AB223,12),AND(AH223="K5-POLICY",AG223&lt;&gt;"นิติศาสตร์",OR(T223="M2",T223="K4"),W223&gt;=2,V223&lt;P223),EDATE(V223,12*2),AND(AH223="K5-POLICY",AG223&lt;&gt;"นิติศาสตร์",T223="S1",W223&gt;=1,V223&lt;P223),EDATE(V223,12),AND(AH223="K5-POLICY",AG223&lt;&gt;"นิติศาสตร์",OR(T223="S2",T223="K5")),V223,AND(AH223="K5-POLICY",AG223&lt;&gt;"นิติศาสตร์",OR(K223="M2",K223="K4"),Q223&gt;=2),EDATE(P223,12*2),AND(AH223="K5-POLICY",AG223&lt;&gt;"นิติศาสตร์",K223="S1",Q223&gt;=1),EDATE(P223,12),AND(AH223="K5-POLICY",AG223&lt;&gt;"นิติศาสตร์",OR(K223="S2",K223="K5")),P223,TRUE,"Check Data")</f>
        <v/>
      </c>
      <c r="AJ223" s="75" t="str">
        <f t="shared" si="61"/>
        <v>Check Data</v>
      </c>
      <c r="AK223" s="76" t="str">
        <f t="shared" si="62"/>
        <v>Check Data</v>
      </c>
      <c r="AL223" s="50" t="str">
        <f t="shared" si="63"/>
        <v>Check Data</v>
      </c>
      <c r="AM223" s="49" t="str">
        <f>IF(B223="","",IF(K223="S1","S1",INDEX(#REF!,#REF!)))</f>
        <v/>
      </c>
      <c r="AN223" s="49" t="str">
        <f>K223</f>
        <v>M2</v>
      </c>
      <c r="AO223" s="50" t="b">
        <f>K223=AM223</f>
        <v>0</v>
      </c>
      <c r="AP223" s="50"/>
    </row>
    <row r="224" spans="1:42" ht="21.75">
      <c r="A224" s="49">
        <v>222</v>
      </c>
      <c r="B224" s="50"/>
      <c r="C224" s="50"/>
      <c r="D224" s="50" t="s">
        <v>139</v>
      </c>
      <c r="E224" s="49" t="s">
        <v>234</v>
      </c>
      <c r="F224" s="49" t="str">
        <f t="shared" si="70"/>
        <v>15/06/1994</v>
      </c>
      <c r="G224" s="50">
        <f t="shared" si="49"/>
        <v>31</v>
      </c>
      <c r="H224" s="50">
        <f t="shared" si="50"/>
        <v>0</v>
      </c>
      <c r="I224" s="50">
        <f t="shared" si="51"/>
        <v>5</v>
      </c>
      <c r="J224" s="56"/>
      <c r="K224" s="49" t="s">
        <v>136</v>
      </c>
      <c r="L224" s="64"/>
      <c r="M224" s="49" t="s">
        <v>427</v>
      </c>
      <c r="N224" s="49">
        <v>2574</v>
      </c>
      <c r="O224" s="65" t="s">
        <v>216</v>
      </c>
      <c r="P224" s="49" t="str">
        <f t="shared" si="52"/>
        <v>21/12/2023</v>
      </c>
      <c r="Q224" s="68">
        <f t="shared" si="53"/>
        <v>1</v>
      </c>
      <c r="R224" s="68">
        <f t="shared" si="54"/>
        <v>5</v>
      </c>
      <c r="S224" s="68">
        <f t="shared" si="55"/>
        <v>30</v>
      </c>
      <c r="T224" s="65"/>
      <c r="U224" s="65"/>
      <c r="V224" s="49" t="str">
        <f t="shared" si="71"/>
        <v/>
      </c>
      <c r="W224" s="68">
        <f>IF(V224="",0,DATEDIF(V224,P224,"Y"))</f>
        <v>0</v>
      </c>
      <c r="X224" s="68">
        <f>IF(V224="",0,DATEDIF(V224,P224,"YM"))</f>
        <v>0</v>
      </c>
      <c r="Y224" s="68">
        <f>IF(V224="",0,DATEDIF(V224,P224,"MD"))</f>
        <v>0</v>
      </c>
      <c r="Z224" s="49"/>
      <c r="AA224" s="65"/>
      <c r="AB224" s="50" t="str">
        <f t="shared" si="72"/>
        <v/>
      </c>
      <c r="AC224" s="68">
        <f t="shared" si="73"/>
        <v>0</v>
      </c>
      <c r="AD224" s="68">
        <f t="shared" si="74"/>
        <v>0</v>
      </c>
      <c r="AE224" s="68">
        <f t="shared" si="75"/>
        <v>0</v>
      </c>
      <c r="AF224" s="50"/>
      <c r="AG224" s="50" t="s">
        <v>167</v>
      </c>
      <c r="AH224" s="49" t="str">
        <f>IF(AG224="นิติศาสตร์","K5-LAW","K5-POLICY")</f>
        <v>K5-POLICY</v>
      </c>
      <c r="AI224" s="72" t="str">
        <f>_xlfn.IFS(B224="","",AND(AH224="K5-LAW",AG224="นิติศาสตร์",K224="S2",T224="",Z224=""),P224,AND(AH224="K5-LAW",AG224="นิติศาสตร์",K224="S1",T224="",Z224=""),EDATE(P224,12),AND(AH224="K5-LAW",AG224="นิติศาสตร์",OR(K224="M2",K224="K4"),T224="",Z224=""),EDATE(P224,12*2),AND(AH224="K5-LAW",AG224="นิติศาสตร์",OR(Z224="M2",Z224="K4"),AC224&gt;=2,OR(AB224&lt;V224,AB224&lt;P224)),EDATE(AB224,12*2),AND(AH224="K5-LAW",AG224="นิติศาสตร์",Z224="S1",AC224&gt;=1,OR(AB224&lt;V224,AB224&lt;P224)),EDATE(AB224,12),AND(AH224="K5-LAW",AG224="นิติศาสตร์",OR(T224="M2",T224="K4"),W224&gt;=2,V224&lt;P224),EDATE(V224,12*2),AND(AH224="K5-LAW",AG224="นิติศาสตร์",T224="S1",W224&gt;=1,V224&lt;P224),EDATE(V224,12),AND(AH224="K5-LAW",AG224="นิติศาสตร์",OR(T224="S2",T224="K5")),V224,AND(AH224="K5-LAW",AG224="นิติศาสตร์",OR(K224="M2",K224="K4"),Q224&gt;=2),EDATE(P224,12*2),AND(AH224="K5-LAW",AG224="นิติศาสตร์",K224="S1",Q224&gt;=1),EDATE(P224,12),AND(AH224="K5-LAW",AG224="นิติศาสตร์",OR(K224="S2",K224="K5")),P224,AND(AH224="K5-POLICY",AG224&lt;&gt;"นิติศาสตร์",K224="S2",T224="",Z224=""),P224,AND(AH224="K5-POLICY",AG224&lt;&gt;"นิติศาสตร์",K224="S1",T224="",Z224=""),EDATE(P224,12),AND(AH224="K5-POLICY",AG224&lt;&gt;"นิติศาสตร์",OR(K224="M2",K224="K4"),T224="",Z224=""),EDATE(P224,12*2),AND(AH224="K5-POLICY",AG224&lt;&gt;"นิติศาสตร์",OR(Z224="M2",Z224="K4"),AC224&gt;=2,OR(AB224&lt;V224,AB224&lt;P224)),EDATE(AB224,12*2),AND(AH224="K5-POLICY",AG224&lt;&gt;"นิติศาสตร์",Z224="S1",AC224&gt;=1,OR(AB224&lt;V224,AB224&lt;P224)),EDATE(AB224,12),AND(AH224="K5-POLICY",AG224&lt;&gt;"นิติศาสตร์",OR(T224="M2",T224="K4"),W224&gt;=2,V224&lt;P224),EDATE(V224,12*2),AND(AH224="K5-POLICY",AG224&lt;&gt;"นิติศาสตร์",T224="S1",W224&gt;=1,V224&lt;P224),EDATE(V224,12),AND(AH224="K5-POLICY",AG224&lt;&gt;"นิติศาสตร์",OR(T224="S2",T224="K5")),V224,AND(AH224="K5-POLICY",AG224&lt;&gt;"นิติศาสตร์",OR(K224="M2",K224="K4"),Q224&gt;=2),EDATE(P224,12*2),AND(AH224="K5-POLICY",AG224&lt;&gt;"นิติศาสตร์",K224="S1",Q224&gt;=1),EDATE(P224,12),AND(AH224="K5-POLICY",AG224&lt;&gt;"นิติศาสตร์",OR(K224="S2",K224="K5")),P224,TRUE,"Check Data")</f>
        <v/>
      </c>
      <c r="AJ224" s="75" t="str">
        <f t="shared" si="61"/>
        <v>Check Data</v>
      </c>
      <c r="AK224" s="76" t="str">
        <f t="shared" si="62"/>
        <v>Check Data</v>
      </c>
      <c r="AL224" s="50" t="str">
        <f t="shared" si="63"/>
        <v>Check Data</v>
      </c>
      <c r="AM224" s="49" t="str">
        <f>IF(B224="","",IF(K224="S1","S1",INDEX(#REF!,#REF!)))</f>
        <v/>
      </c>
      <c r="AN224" s="49" t="str">
        <f>K224</f>
        <v>M2</v>
      </c>
      <c r="AO224" s="50" t="b">
        <f>K224=AM224</f>
        <v>0</v>
      </c>
      <c r="AP224" s="50"/>
    </row>
    <row r="225" spans="1:42" ht="21.75">
      <c r="A225" s="49">
        <v>223</v>
      </c>
      <c r="B225" s="50"/>
      <c r="C225" s="50"/>
      <c r="D225" s="50" t="s">
        <v>139</v>
      </c>
      <c r="E225" s="49" t="s">
        <v>215</v>
      </c>
      <c r="F225" s="49" t="str">
        <f t="shared" si="70"/>
        <v>04/08/1993</v>
      </c>
      <c r="G225" s="50">
        <f t="shared" si="49"/>
        <v>31</v>
      </c>
      <c r="H225" s="50">
        <f t="shared" si="50"/>
        <v>10</v>
      </c>
      <c r="I225" s="50">
        <f t="shared" si="51"/>
        <v>16</v>
      </c>
      <c r="J225" s="56"/>
      <c r="K225" s="49" t="s">
        <v>136</v>
      </c>
      <c r="L225" s="64"/>
      <c r="M225" s="49" t="s">
        <v>427</v>
      </c>
      <c r="N225" s="49">
        <v>2568</v>
      </c>
      <c r="O225" s="65" t="s">
        <v>216</v>
      </c>
      <c r="P225" s="49" t="str">
        <f t="shared" si="52"/>
        <v>21/12/2023</v>
      </c>
      <c r="Q225" s="68">
        <f t="shared" si="53"/>
        <v>1</v>
      </c>
      <c r="R225" s="68">
        <f t="shared" si="54"/>
        <v>5</v>
      </c>
      <c r="S225" s="68">
        <f t="shared" si="55"/>
        <v>30</v>
      </c>
      <c r="T225" s="65"/>
      <c r="U225" s="65"/>
      <c r="V225" s="49" t="str">
        <f t="shared" si="71"/>
        <v/>
      </c>
      <c r="W225" s="68">
        <f>IF(V225="",0,DATEDIF(V225,P225,"Y"))</f>
        <v>0</v>
      </c>
      <c r="X225" s="68">
        <f>IF(V225="",0,DATEDIF(V225,P225,"YM"))</f>
        <v>0</v>
      </c>
      <c r="Y225" s="68">
        <f>IF(V225="",0,DATEDIF(V225,P225,"MD"))</f>
        <v>0</v>
      </c>
      <c r="Z225" s="49"/>
      <c r="AA225" s="65"/>
      <c r="AB225" s="50" t="str">
        <f t="shared" si="72"/>
        <v/>
      </c>
      <c r="AC225" s="68">
        <f t="shared" si="73"/>
        <v>0</v>
      </c>
      <c r="AD225" s="68">
        <f t="shared" si="74"/>
        <v>0</v>
      </c>
      <c r="AE225" s="68">
        <f t="shared" si="75"/>
        <v>0</v>
      </c>
      <c r="AF225" s="50"/>
      <c r="AG225" s="50" t="s">
        <v>138</v>
      </c>
      <c r="AH225" s="49" t="str">
        <f>IF(AG225="นิติศาสตร์","K5-LAW","K5-POLICY")</f>
        <v>K5-LAW</v>
      </c>
      <c r="AI225" s="72" t="str">
        <f>_xlfn.IFS(B225="","",AND(AH225="K5-LAW",AG225="นิติศาสตร์",K225="S2",T225="",Z225=""),P225,AND(AH225="K5-LAW",AG225="นิติศาสตร์",K225="S1",T225="",Z225=""),EDATE(P225,12),AND(AH225="K5-LAW",AG225="นิติศาสตร์",OR(K225="M2",K225="K4"),T225="",Z225=""),EDATE(P225,12*2),AND(AH225="K5-LAW",AG225="นิติศาสตร์",OR(Z225="M2",Z225="K4"),AC225&gt;=2,OR(AB225&lt;V225,AB225&lt;P225)),EDATE(AB225,12*2),AND(AH225="K5-LAW",AG225="นิติศาสตร์",Z225="S1",AC225&gt;=1,OR(AB225&lt;V225,AB225&lt;P225)),EDATE(AB225,12),AND(AH225="K5-LAW",AG225="นิติศาสตร์",OR(T225="M2",T225="K4"),W225&gt;=2,V225&lt;P225),EDATE(V225,12*2),AND(AH225="K5-LAW",AG225="นิติศาสตร์",T225="S1",W225&gt;=1,V225&lt;P225),EDATE(V225,12),AND(AH225="K5-LAW",AG225="นิติศาสตร์",OR(T225="S2",T225="K5")),V225,AND(AH225="K5-LAW",AG225="นิติศาสตร์",OR(K225="M2",K225="K4"),Q225&gt;=2),EDATE(P225,12*2),AND(AH225="K5-LAW",AG225="นิติศาสตร์",K225="S1",Q225&gt;=1),EDATE(P225,12),AND(AH225="K5-LAW",AG225="นิติศาสตร์",OR(K225="S2",K225="K5")),P225,AND(AH225="K5-POLICY",AG225&lt;&gt;"นิติศาสตร์",K225="S2",T225="",Z225=""),P225,AND(AH225="K5-POLICY",AG225&lt;&gt;"นิติศาสตร์",K225="S1",T225="",Z225=""),EDATE(P225,12),AND(AH225="K5-POLICY",AG225&lt;&gt;"นิติศาสตร์",OR(K225="M2",K225="K4"),T225="",Z225=""),EDATE(P225,12*2),AND(AH225="K5-POLICY",AG225&lt;&gt;"นิติศาสตร์",OR(Z225="M2",Z225="K4"),AC225&gt;=2,OR(AB225&lt;V225,AB225&lt;P225)),EDATE(AB225,12*2),AND(AH225="K5-POLICY",AG225&lt;&gt;"นิติศาสตร์",Z225="S1",AC225&gt;=1,OR(AB225&lt;V225,AB225&lt;P225)),EDATE(AB225,12),AND(AH225="K5-POLICY",AG225&lt;&gt;"นิติศาสตร์",OR(T225="M2",T225="K4"),W225&gt;=2,V225&lt;P225),EDATE(V225,12*2),AND(AH225="K5-POLICY",AG225&lt;&gt;"นิติศาสตร์",T225="S1",W225&gt;=1,V225&lt;P225),EDATE(V225,12),AND(AH225="K5-POLICY",AG225&lt;&gt;"นิติศาสตร์",OR(T225="S2",T225="K5")),V225,AND(AH225="K5-POLICY",AG225&lt;&gt;"นิติศาสตร์",OR(K225="M2",K225="K4"),Q225&gt;=2),EDATE(P225,12*2),AND(AH225="K5-POLICY",AG225&lt;&gt;"นิติศาสตร์",K225="S1",Q225&gt;=1),EDATE(P225,12),AND(AH225="K5-POLICY",AG225&lt;&gt;"นิติศาสตร์",OR(K225="S2",K225="K5")),P225,TRUE,"Check Data")</f>
        <v/>
      </c>
      <c r="AJ225" s="75" t="str">
        <f t="shared" si="61"/>
        <v>Check Data</v>
      </c>
      <c r="AK225" s="76" t="str">
        <f t="shared" si="62"/>
        <v>Check Data</v>
      </c>
      <c r="AL225" s="50" t="str">
        <f t="shared" si="63"/>
        <v>Check Data</v>
      </c>
      <c r="AM225" s="49" t="str">
        <f>IF(B225="","",IF(K225="S1","S1",INDEX(#REF!,#REF!)))</f>
        <v/>
      </c>
      <c r="AN225" s="49" t="str">
        <f>K225</f>
        <v>M2</v>
      </c>
      <c r="AO225" s="50" t="b">
        <f>K225=AM225</f>
        <v>0</v>
      </c>
      <c r="AP225" s="50"/>
    </row>
    <row r="226" spans="1:42" ht="21.75">
      <c r="A226" s="49">
        <v>224</v>
      </c>
      <c r="B226" s="50"/>
      <c r="C226" s="50"/>
      <c r="D226" s="50" t="s">
        <v>139</v>
      </c>
      <c r="E226" s="49" t="s">
        <v>222</v>
      </c>
      <c r="F226" s="49" t="str">
        <f t="shared" si="70"/>
        <v>20/04/1989</v>
      </c>
      <c r="G226" s="50">
        <f t="shared" si="49"/>
        <v>36</v>
      </c>
      <c r="H226" s="50">
        <f t="shared" si="50"/>
        <v>2</v>
      </c>
      <c r="I226" s="50">
        <f t="shared" si="51"/>
        <v>0</v>
      </c>
      <c r="J226" s="56"/>
      <c r="K226" s="49" t="s">
        <v>136</v>
      </c>
      <c r="L226" s="64"/>
      <c r="M226" s="49" t="s">
        <v>426</v>
      </c>
      <c r="N226" s="49">
        <v>2571</v>
      </c>
      <c r="O226" s="65" t="s">
        <v>216</v>
      </c>
      <c r="P226" s="49" t="str">
        <f t="shared" si="52"/>
        <v>21/12/2023</v>
      </c>
      <c r="Q226" s="68">
        <f t="shared" si="53"/>
        <v>1</v>
      </c>
      <c r="R226" s="68">
        <f t="shared" si="54"/>
        <v>5</v>
      </c>
      <c r="S226" s="68">
        <f t="shared" si="55"/>
        <v>30</v>
      </c>
      <c r="T226" s="65"/>
      <c r="U226" s="65"/>
      <c r="V226" s="49" t="str">
        <f t="shared" si="71"/>
        <v/>
      </c>
      <c r="W226" s="68">
        <f>IF(V226="",0,DATEDIF(V226,P226,"Y"))</f>
        <v>0</v>
      </c>
      <c r="X226" s="68">
        <f>IF(V226="",0,DATEDIF(V226,P226,"YM"))</f>
        <v>0</v>
      </c>
      <c r="Y226" s="68">
        <f>IF(V226="",0,DATEDIF(V226,P226,"MD"))</f>
        <v>0</v>
      </c>
      <c r="Z226" s="49"/>
      <c r="AA226" s="65"/>
      <c r="AB226" s="50" t="str">
        <f t="shared" si="72"/>
        <v/>
      </c>
      <c r="AC226" s="68">
        <f t="shared" si="73"/>
        <v>0</v>
      </c>
      <c r="AD226" s="68">
        <f t="shared" si="74"/>
        <v>0</v>
      </c>
      <c r="AE226" s="68">
        <f t="shared" si="75"/>
        <v>0</v>
      </c>
      <c r="AF226" s="50"/>
      <c r="AG226" s="50" t="s">
        <v>138</v>
      </c>
      <c r="AH226" s="49" t="str">
        <f>IF(AG226="นิติศาสตร์","K5-LAW","K5-POLICY")</f>
        <v>K5-LAW</v>
      </c>
      <c r="AI226" s="72" t="str">
        <f>_xlfn.IFS(B226="","",AND(AH226="K5-LAW",AG226="นิติศาสตร์",K226="S2",T226="",Z226=""),P226,AND(AH226="K5-LAW",AG226="นิติศาสตร์",K226="S1",T226="",Z226=""),EDATE(P226,12),AND(AH226="K5-LAW",AG226="นิติศาสตร์",OR(K226="M2",K226="K4"),T226="",Z226=""),EDATE(P226,12*2),AND(AH226="K5-LAW",AG226="นิติศาสตร์",OR(Z226="M2",Z226="K4"),AC226&gt;=2,OR(AB226&lt;V226,AB226&lt;P226)),EDATE(AB226,12*2),AND(AH226="K5-LAW",AG226="นิติศาสตร์",Z226="S1",AC226&gt;=1,OR(AB226&lt;V226,AB226&lt;P226)),EDATE(AB226,12),AND(AH226="K5-LAW",AG226="นิติศาสตร์",OR(T226="M2",T226="K4"),W226&gt;=2,V226&lt;P226),EDATE(V226,12*2),AND(AH226="K5-LAW",AG226="นิติศาสตร์",T226="S1",W226&gt;=1,V226&lt;P226),EDATE(V226,12),AND(AH226="K5-LAW",AG226="นิติศาสตร์",OR(T226="S2",T226="K5")),V226,AND(AH226="K5-LAW",AG226="นิติศาสตร์",OR(K226="M2",K226="K4"),Q226&gt;=2),EDATE(P226,12*2),AND(AH226="K5-LAW",AG226="นิติศาสตร์",K226="S1",Q226&gt;=1),EDATE(P226,12),AND(AH226="K5-LAW",AG226="นิติศาสตร์",OR(K226="S2",K226="K5")),P226,AND(AH226="K5-POLICY",AG226&lt;&gt;"นิติศาสตร์",K226="S2",T226="",Z226=""),P226,AND(AH226="K5-POLICY",AG226&lt;&gt;"นิติศาสตร์",K226="S1",T226="",Z226=""),EDATE(P226,12),AND(AH226="K5-POLICY",AG226&lt;&gt;"นิติศาสตร์",OR(K226="M2",K226="K4"),T226="",Z226=""),EDATE(P226,12*2),AND(AH226="K5-POLICY",AG226&lt;&gt;"นิติศาสตร์",OR(Z226="M2",Z226="K4"),AC226&gt;=2,OR(AB226&lt;V226,AB226&lt;P226)),EDATE(AB226,12*2),AND(AH226="K5-POLICY",AG226&lt;&gt;"นิติศาสตร์",Z226="S1",AC226&gt;=1,OR(AB226&lt;V226,AB226&lt;P226)),EDATE(AB226,12),AND(AH226="K5-POLICY",AG226&lt;&gt;"นิติศาสตร์",OR(T226="M2",T226="K4"),W226&gt;=2,V226&lt;P226),EDATE(V226,12*2),AND(AH226="K5-POLICY",AG226&lt;&gt;"นิติศาสตร์",T226="S1",W226&gt;=1,V226&lt;P226),EDATE(V226,12),AND(AH226="K5-POLICY",AG226&lt;&gt;"นิติศาสตร์",OR(T226="S2",T226="K5")),V226,AND(AH226="K5-POLICY",AG226&lt;&gt;"นิติศาสตร์",OR(K226="M2",K226="K4"),Q226&gt;=2),EDATE(P226,12*2),AND(AH226="K5-POLICY",AG226&lt;&gt;"นิติศาสตร์",K226="S1",Q226&gt;=1),EDATE(P226,12),AND(AH226="K5-POLICY",AG226&lt;&gt;"นิติศาสตร์",OR(K226="S2",K226="K5")),P226,TRUE,"Check Data")</f>
        <v/>
      </c>
      <c r="AJ226" s="75" t="str">
        <f t="shared" si="61"/>
        <v>Check Data</v>
      </c>
      <c r="AK226" s="76" t="str">
        <f t="shared" si="62"/>
        <v>Check Data</v>
      </c>
      <c r="AL226" s="50" t="str">
        <f t="shared" si="63"/>
        <v>Check Data</v>
      </c>
      <c r="AM226" s="49" t="str">
        <f>IF(B226="","",IF(K226="S1","S1",INDEX(#REF!,#REF!)))</f>
        <v/>
      </c>
      <c r="AN226" s="49" t="str">
        <f>K226</f>
        <v>M2</v>
      </c>
      <c r="AO226" s="50" t="b">
        <f>K226=AM226</f>
        <v>0</v>
      </c>
      <c r="AP226" s="50"/>
    </row>
    <row r="227" spans="1:42" ht="21.75">
      <c r="A227" s="49">
        <v>225</v>
      </c>
      <c r="B227" s="50"/>
      <c r="C227" s="50"/>
      <c r="D227" s="50" t="s">
        <v>139</v>
      </c>
      <c r="E227" s="49" t="s">
        <v>231</v>
      </c>
      <c r="F227" s="49" t="str">
        <f t="shared" si="70"/>
        <v>15/05/1995</v>
      </c>
      <c r="G227" s="50">
        <f t="shared" si="49"/>
        <v>30</v>
      </c>
      <c r="H227" s="50">
        <f t="shared" si="50"/>
        <v>1</v>
      </c>
      <c r="I227" s="50">
        <f t="shared" si="51"/>
        <v>5</v>
      </c>
      <c r="J227" s="59"/>
      <c r="K227" s="49" t="s">
        <v>136</v>
      </c>
      <c r="L227" s="64"/>
      <c r="M227" s="49" t="s">
        <v>426</v>
      </c>
      <c r="N227" s="49">
        <v>2572</v>
      </c>
      <c r="O227" s="65" t="s">
        <v>216</v>
      </c>
      <c r="P227" s="49" t="str">
        <f t="shared" si="52"/>
        <v>21/12/2023</v>
      </c>
      <c r="Q227" s="68">
        <f t="shared" si="53"/>
        <v>1</v>
      </c>
      <c r="R227" s="68">
        <f t="shared" si="54"/>
        <v>5</v>
      </c>
      <c r="S227" s="68">
        <f t="shared" si="55"/>
        <v>30</v>
      </c>
      <c r="T227" s="65"/>
      <c r="U227" s="65"/>
      <c r="V227" s="49" t="str">
        <f t="shared" si="71"/>
        <v/>
      </c>
      <c r="W227" s="68">
        <f>IF(V227="",0,DATEDIF(V227,P227,"Y"))</f>
        <v>0</v>
      </c>
      <c r="X227" s="68">
        <f>IF(V227="",0,DATEDIF(V227,P227,"YM"))</f>
        <v>0</v>
      </c>
      <c r="Y227" s="68">
        <f>IF(V227="",0,DATEDIF(V227,P227,"MD"))</f>
        <v>0</v>
      </c>
      <c r="Z227" s="49"/>
      <c r="AA227" s="65"/>
      <c r="AB227" s="50" t="str">
        <f t="shared" si="72"/>
        <v/>
      </c>
      <c r="AC227" s="68">
        <f t="shared" si="73"/>
        <v>0</v>
      </c>
      <c r="AD227" s="68">
        <f t="shared" si="74"/>
        <v>0</v>
      </c>
      <c r="AE227" s="68">
        <f t="shared" si="75"/>
        <v>0</v>
      </c>
      <c r="AF227" s="50"/>
      <c r="AG227" s="50" t="s">
        <v>138</v>
      </c>
      <c r="AH227" s="49" t="str">
        <f>IF(AG227="นิติศาสตร์","K5-LAW","K5-POLICY")</f>
        <v>K5-LAW</v>
      </c>
      <c r="AI227" s="72" t="str">
        <f>_xlfn.IFS(B227="","",AND(AH227="K5-LAW",AG227="นิติศาสตร์",K227="S2",T227="",Z227=""),P227,AND(AH227="K5-LAW",AG227="นิติศาสตร์",K227="S1",T227="",Z227=""),EDATE(P227,12),AND(AH227="K5-LAW",AG227="นิติศาสตร์",OR(K227="M2",K227="K4"),T227="",Z227=""),EDATE(P227,12*2),AND(AH227="K5-LAW",AG227="นิติศาสตร์",OR(Z227="M2",Z227="K4"),AC227&gt;=2,OR(AB227&lt;V227,AB227&lt;P227)),EDATE(AB227,12*2),AND(AH227="K5-LAW",AG227="นิติศาสตร์",Z227="S1",AC227&gt;=1,OR(AB227&lt;V227,AB227&lt;P227)),EDATE(AB227,12),AND(AH227="K5-LAW",AG227="นิติศาสตร์",OR(T227="M2",T227="K4"),W227&gt;=2,V227&lt;P227),EDATE(V227,12*2),AND(AH227="K5-LAW",AG227="นิติศาสตร์",T227="S1",W227&gt;=1,V227&lt;P227),EDATE(V227,12),AND(AH227="K5-LAW",AG227="นิติศาสตร์",OR(T227="S2",T227="K5")),V227,AND(AH227="K5-LAW",AG227="นิติศาสตร์",OR(K227="M2",K227="K4"),Q227&gt;=2),EDATE(P227,12*2),AND(AH227="K5-LAW",AG227="นิติศาสตร์",K227="S1",Q227&gt;=1),EDATE(P227,12),AND(AH227="K5-LAW",AG227="นิติศาสตร์",OR(K227="S2",K227="K5")),P227,AND(AH227="K5-POLICY",AG227&lt;&gt;"นิติศาสตร์",K227="S2",T227="",Z227=""),P227,AND(AH227="K5-POLICY",AG227&lt;&gt;"นิติศาสตร์",K227="S1",T227="",Z227=""),EDATE(P227,12),AND(AH227="K5-POLICY",AG227&lt;&gt;"นิติศาสตร์",OR(K227="M2",K227="K4"),T227="",Z227=""),EDATE(P227,12*2),AND(AH227="K5-POLICY",AG227&lt;&gt;"นิติศาสตร์",OR(Z227="M2",Z227="K4"),AC227&gt;=2,OR(AB227&lt;V227,AB227&lt;P227)),EDATE(AB227,12*2),AND(AH227="K5-POLICY",AG227&lt;&gt;"นิติศาสตร์",Z227="S1",AC227&gt;=1,OR(AB227&lt;V227,AB227&lt;P227)),EDATE(AB227,12),AND(AH227="K5-POLICY",AG227&lt;&gt;"นิติศาสตร์",OR(T227="M2",T227="K4"),W227&gt;=2,V227&lt;P227),EDATE(V227,12*2),AND(AH227="K5-POLICY",AG227&lt;&gt;"นิติศาสตร์",T227="S1",W227&gt;=1,V227&lt;P227),EDATE(V227,12),AND(AH227="K5-POLICY",AG227&lt;&gt;"นิติศาสตร์",OR(T227="S2",T227="K5")),V227,AND(AH227="K5-POLICY",AG227&lt;&gt;"นิติศาสตร์",OR(K227="M2",K227="K4"),Q227&gt;=2),EDATE(P227,12*2),AND(AH227="K5-POLICY",AG227&lt;&gt;"นิติศาสตร์",K227="S1",Q227&gt;=1),EDATE(P227,12),AND(AH227="K5-POLICY",AG227&lt;&gt;"นิติศาสตร์",OR(K227="S2",K227="K5")),P227,TRUE,"Check Data")</f>
        <v/>
      </c>
      <c r="AJ227" s="75" t="str">
        <f t="shared" si="61"/>
        <v>Check Data</v>
      </c>
      <c r="AK227" s="76" t="str">
        <f t="shared" si="62"/>
        <v>Check Data</v>
      </c>
      <c r="AL227" s="50" t="str">
        <f t="shared" si="63"/>
        <v>Check Data</v>
      </c>
      <c r="AM227" s="49" t="str">
        <f>IF(B227="","",IF(K227="S1","S1",INDEX(#REF!,#REF!)))</f>
        <v/>
      </c>
      <c r="AN227" s="49" t="str">
        <f>K227</f>
        <v>M2</v>
      </c>
      <c r="AO227" s="50" t="b">
        <f>K227=AM227</f>
        <v>0</v>
      </c>
      <c r="AP227" s="51"/>
    </row>
    <row r="228" spans="1:42" ht="21.75">
      <c r="A228" s="49">
        <v>226</v>
      </c>
      <c r="B228" s="50"/>
      <c r="C228" s="52"/>
      <c r="D228" s="79"/>
      <c r="E228" s="79"/>
      <c r="F228" s="79"/>
      <c r="G228" s="50">
        <f t="shared" si="49"/>
        <v>0</v>
      </c>
      <c r="H228" s="50">
        <f t="shared" si="50"/>
        <v>0</v>
      </c>
      <c r="I228" s="50">
        <f t="shared" si="51"/>
        <v>0</v>
      </c>
      <c r="J228" s="79"/>
      <c r="K228" s="49" t="s">
        <v>136</v>
      </c>
      <c r="L228" s="79"/>
      <c r="M228" s="79"/>
      <c r="N228" s="79"/>
      <c r="O228" s="65" t="s">
        <v>433</v>
      </c>
      <c r="P228" s="49" t="str">
        <f t="shared" si="52"/>
        <v>23/04/2024</v>
      </c>
      <c r="Q228" s="68">
        <f t="shared" si="53"/>
        <v>1</v>
      </c>
      <c r="R228" s="68">
        <f t="shared" si="54"/>
        <v>1</v>
      </c>
      <c r="S228" s="68">
        <f t="shared" si="55"/>
        <v>28</v>
      </c>
      <c r="T228" s="65"/>
      <c r="U228" s="83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49" t="str">
        <f>IF(AG228="นิติศาสตร์","K5-LAW","K5-POLICY")</f>
        <v>K5-POLICY</v>
      </c>
      <c r="AI228" s="72" t="str">
        <f>_xlfn.IFS(B228="","",AND(AH228="K5-LAW",AG228="นิติศาสตร์",K228="S2",T228="",Z228=""),P228,AND(AH228="K5-LAW",AG228="นิติศาสตร์",K228="S1",T228="",Z228=""),EDATE(P228,12),AND(AH228="K5-LAW",AG228="นิติศาสตร์",OR(K228="M2",K228="K4"),T228="",Z228=""),EDATE(P228,12*2),AND(AH228="K5-LAW",AG228="นิติศาสตร์",OR(Z228="M2",Z228="K4"),AC228&gt;=2,OR(AB228&lt;V228,AB228&lt;P228)),EDATE(AB228,12*2),AND(AH228="K5-LAW",AG228="นิติศาสตร์",Z228="S1",AC228&gt;=1,OR(AB228&lt;V228,AB228&lt;P228)),EDATE(AB228,12),AND(AH228="K5-LAW",AG228="นิติศาสตร์",OR(T228="M2",T228="K4"),W228&gt;=2,V228&lt;P228),EDATE(V228,12*2),AND(AH228="K5-LAW",AG228="นิติศาสตร์",T228="S1",W228&gt;=1,V228&lt;P228),EDATE(V228,12),AND(AH228="K5-LAW",AG228="นิติศาสตร์",OR(T228="S2",T228="K5")),V228,AND(AH228="K5-LAW",AG228="นิติศาสตร์",OR(K228="M2",K228="K4"),Q228&gt;=2),EDATE(P228,12*2),AND(AH228="K5-LAW",AG228="นิติศาสตร์",K228="S1",Q228&gt;=1),EDATE(P228,12),AND(AH228="K5-LAW",AG228="นิติศาสตร์",OR(K228="S2",K228="K5")),P228,AND(AH228="K5-POLICY",AG228&lt;&gt;"นิติศาสตร์",K228="S2",T228="",Z228=""),P228,AND(AH228="K5-POLICY",AG228&lt;&gt;"นิติศาสตร์",K228="S1",T228="",Z228=""),EDATE(P228,12),AND(AH228="K5-POLICY",AG228&lt;&gt;"นิติศาสตร์",OR(K228="M2",K228="K4"),T228="",Z228=""),EDATE(P228,12*2),AND(AH228="K5-POLICY",AG228&lt;&gt;"นิติศาสตร์",OR(Z228="M2",Z228="K4"),AC228&gt;=2,OR(AB228&lt;V228,AB228&lt;P228)),EDATE(AB228,12*2),AND(AH228="K5-POLICY",AG228&lt;&gt;"นิติศาสตร์",Z228="S1",AC228&gt;=1,OR(AB228&lt;V228,AB228&lt;P228)),EDATE(AB228,12),AND(AH228="K5-POLICY",AG228&lt;&gt;"นิติศาสตร์",OR(T228="M2",T228="K4"),W228&gt;=2,V228&lt;P228),EDATE(V228,12*2),AND(AH228="K5-POLICY",AG228&lt;&gt;"นิติศาสตร์",T228="S1",W228&gt;=1,V228&lt;P228),EDATE(V228,12),AND(AH228="K5-POLICY",AG228&lt;&gt;"นิติศาสตร์",OR(T228="S2",T228="K5")),V228,AND(AH228="K5-POLICY",AG228&lt;&gt;"นิติศาสตร์",OR(K228="M2",K228="K4"),Q228&gt;=2),EDATE(P228,12*2),AND(AH228="K5-POLICY",AG228&lt;&gt;"นิติศาสตร์",K228="S1",Q228&gt;=1),EDATE(P228,12),AND(AH228="K5-POLICY",AG228&lt;&gt;"นิติศาสตร์",OR(K228="S2",K228="K5")),P228,TRUE,"Check Data")</f>
        <v/>
      </c>
      <c r="AJ228" s="75" t="str">
        <f t="shared" si="61"/>
        <v>Check Data</v>
      </c>
      <c r="AK228" s="76" t="str">
        <f t="shared" si="62"/>
        <v>Check Data</v>
      </c>
      <c r="AL228" s="50" t="str">
        <f t="shared" si="63"/>
        <v>Check Data</v>
      </c>
      <c r="AM228" s="49" t="str">
        <f>IF(B228="","",IF(K228="S1","S1",INDEX(#REF!,#REF!)))</f>
        <v/>
      </c>
      <c r="AN228" s="49" t="str">
        <f>K228</f>
        <v>M2</v>
      </c>
      <c r="AO228" s="50" t="b">
        <f>K228=AM228</f>
        <v>0</v>
      </c>
      <c r="AP228" s="50"/>
    </row>
    <row r="229" spans="1:42" ht="21.75">
      <c r="A229" s="49">
        <v>227</v>
      </c>
      <c r="B229" s="50"/>
      <c r="C229" s="52"/>
      <c r="D229" s="79"/>
      <c r="E229" s="79"/>
      <c r="F229" s="79"/>
      <c r="G229" s="50">
        <f t="shared" si="49"/>
        <v>0</v>
      </c>
      <c r="H229" s="50">
        <f t="shared" si="50"/>
        <v>0</v>
      </c>
      <c r="I229" s="50">
        <f t="shared" si="51"/>
        <v>0</v>
      </c>
      <c r="J229" s="79"/>
      <c r="K229" s="49" t="s">
        <v>136</v>
      </c>
      <c r="L229" s="79"/>
      <c r="M229" s="79"/>
      <c r="N229" s="79"/>
      <c r="O229" s="65" t="s">
        <v>433</v>
      </c>
      <c r="P229" s="49" t="str">
        <f t="shared" si="52"/>
        <v>23/04/2024</v>
      </c>
      <c r="Q229" s="68">
        <f t="shared" si="53"/>
        <v>1</v>
      </c>
      <c r="R229" s="68">
        <f t="shared" si="54"/>
        <v>1</v>
      </c>
      <c r="S229" s="68">
        <f t="shared" si="55"/>
        <v>28</v>
      </c>
      <c r="T229" s="65"/>
      <c r="U229" s="83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49" t="str">
        <f>IF(AG229="นิติศาสตร์","K5-LAW","K5-POLICY")</f>
        <v>K5-POLICY</v>
      </c>
      <c r="AI229" s="72" t="str">
        <f>_xlfn.IFS(B229="","",AND(AH229="K5-LAW",AG229="นิติศาสตร์",K229="S2",T229="",Z229=""),P229,AND(AH229="K5-LAW",AG229="นิติศาสตร์",K229="S1",T229="",Z229=""),EDATE(P229,12),AND(AH229="K5-LAW",AG229="นิติศาสตร์",OR(K229="M2",K229="K4"),T229="",Z229=""),EDATE(P229,12*2),AND(AH229="K5-LAW",AG229="นิติศาสตร์",OR(Z229="M2",Z229="K4"),AC229&gt;=2,OR(AB229&lt;V229,AB229&lt;P229)),EDATE(AB229,12*2),AND(AH229="K5-LAW",AG229="นิติศาสตร์",Z229="S1",AC229&gt;=1,OR(AB229&lt;V229,AB229&lt;P229)),EDATE(AB229,12),AND(AH229="K5-LAW",AG229="นิติศาสตร์",OR(T229="M2",T229="K4"),W229&gt;=2,V229&lt;P229),EDATE(V229,12*2),AND(AH229="K5-LAW",AG229="นิติศาสตร์",T229="S1",W229&gt;=1,V229&lt;P229),EDATE(V229,12),AND(AH229="K5-LAW",AG229="นิติศาสตร์",OR(T229="S2",T229="K5")),V229,AND(AH229="K5-LAW",AG229="นิติศาสตร์",OR(K229="M2",K229="K4"),Q229&gt;=2),EDATE(P229,12*2),AND(AH229="K5-LAW",AG229="นิติศาสตร์",K229="S1",Q229&gt;=1),EDATE(P229,12),AND(AH229="K5-LAW",AG229="นิติศาสตร์",OR(K229="S2",K229="K5")),P229,AND(AH229="K5-POLICY",AG229&lt;&gt;"นิติศาสตร์",K229="S2",T229="",Z229=""),P229,AND(AH229="K5-POLICY",AG229&lt;&gt;"นิติศาสตร์",K229="S1",T229="",Z229=""),EDATE(P229,12),AND(AH229="K5-POLICY",AG229&lt;&gt;"นิติศาสตร์",OR(K229="M2",K229="K4"),T229="",Z229=""),EDATE(P229,12*2),AND(AH229="K5-POLICY",AG229&lt;&gt;"นิติศาสตร์",OR(Z229="M2",Z229="K4"),AC229&gt;=2,OR(AB229&lt;V229,AB229&lt;P229)),EDATE(AB229,12*2),AND(AH229="K5-POLICY",AG229&lt;&gt;"นิติศาสตร์",Z229="S1",AC229&gt;=1,OR(AB229&lt;V229,AB229&lt;P229)),EDATE(AB229,12),AND(AH229="K5-POLICY",AG229&lt;&gt;"นิติศาสตร์",OR(T229="M2",T229="K4"),W229&gt;=2,V229&lt;P229),EDATE(V229,12*2),AND(AH229="K5-POLICY",AG229&lt;&gt;"นิติศาสตร์",T229="S1",W229&gt;=1,V229&lt;P229),EDATE(V229,12),AND(AH229="K5-POLICY",AG229&lt;&gt;"นิติศาสตร์",OR(T229="S2",T229="K5")),V229,AND(AH229="K5-POLICY",AG229&lt;&gt;"นิติศาสตร์",OR(K229="M2",K229="K4"),Q229&gt;=2),EDATE(P229,12*2),AND(AH229="K5-POLICY",AG229&lt;&gt;"นิติศาสตร์",K229="S1",Q229&gt;=1),EDATE(P229,12),AND(AH229="K5-POLICY",AG229&lt;&gt;"นิติศาสตร์",OR(K229="S2",K229="K5")),P229,TRUE,"Check Data")</f>
        <v/>
      </c>
      <c r="AJ229" s="75" t="str">
        <f t="shared" si="61"/>
        <v>Check Data</v>
      </c>
      <c r="AK229" s="76" t="str">
        <f t="shared" si="62"/>
        <v>Check Data</v>
      </c>
      <c r="AL229" s="50" t="str">
        <f t="shared" si="63"/>
        <v>Check Data</v>
      </c>
      <c r="AM229" s="49" t="str">
        <f>IF(B229="","",IF(K229="S1","S1",INDEX(#REF!,#REF!)))</f>
        <v/>
      </c>
      <c r="AN229" s="49" t="str">
        <f>K229</f>
        <v>M2</v>
      </c>
      <c r="AO229" s="50" t="b">
        <f>K229=AM229</f>
        <v>0</v>
      </c>
      <c r="AP229" s="50"/>
    </row>
    <row r="230" spans="1:42" ht="21.75">
      <c r="A230" s="49">
        <v>228</v>
      </c>
      <c r="B230" s="50"/>
      <c r="C230" s="52"/>
      <c r="D230" s="79"/>
      <c r="E230" s="79"/>
      <c r="F230" s="79"/>
      <c r="G230" s="50">
        <f t="shared" si="49"/>
        <v>0</v>
      </c>
      <c r="H230" s="50">
        <f t="shared" si="50"/>
        <v>0</v>
      </c>
      <c r="I230" s="50">
        <f t="shared" si="51"/>
        <v>0</v>
      </c>
      <c r="J230" s="79"/>
      <c r="K230" s="49" t="s">
        <v>136</v>
      </c>
      <c r="L230" s="79"/>
      <c r="M230" s="79"/>
      <c r="N230" s="79"/>
      <c r="O230" s="65" t="s">
        <v>433</v>
      </c>
      <c r="P230" s="49" t="str">
        <f t="shared" si="52"/>
        <v>23/04/2024</v>
      </c>
      <c r="Q230" s="68">
        <f t="shared" si="53"/>
        <v>1</v>
      </c>
      <c r="R230" s="68">
        <f t="shared" si="54"/>
        <v>1</v>
      </c>
      <c r="S230" s="68">
        <f t="shared" si="55"/>
        <v>28</v>
      </c>
      <c r="T230" s="65"/>
      <c r="U230" s="83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49" t="str">
        <f>IF(AG230="นิติศาสตร์","K5-LAW","K5-POLICY")</f>
        <v>K5-POLICY</v>
      </c>
      <c r="AI230" s="72" t="str">
        <f>_xlfn.IFS(B230="","",AND(AH230="K5-LAW",AG230="นิติศาสตร์",K230="S2",T230="",Z230=""),P230,AND(AH230="K5-LAW",AG230="นิติศาสตร์",K230="S1",T230="",Z230=""),EDATE(P230,12),AND(AH230="K5-LAW",AG230="นิติศาสตร์",OR(K230="M2",K230="K4"),T230="",Z230=""),EDATE(P230,12*2),AND(AH230="K5-LAW",AG230="นิติศาสตร์",OR(Z230="M2",Z230="K4"),AC230&gt;=2,OR(AB230&lt;V230,AB230&lt;P230)),EDATE(AB230,12*2),AND(AH230="K5-LAW",AG230="นิติศาสตร์",Z230="S1",AC230&gt;=1,OR(AB230&lt;V230,AB230&lt;P230)),EDATE(AB230,12),AND(AH230="K5-LAW",AG230="นิติศาสตร์",OR(T230="M2",T230="K4"),W230&gt;=2,V230&lt;P230),EDATE(V230,12*2),AND(AH230="K5-LAW",AG230="นิติศาสตร์",T230="S1",W230&gt;=1,V230&lt;P230),EDATE(V230,12),AND(AH230="K5-LAW",AG230="นิติศาสตร์",OR(T230="S2",T230="K5")),V230,AND(AH230="K5-LAW",AG230="นิติศาสตร์",OR(K230="M2",K230="K4"),Q230&gt;=2),EDATE(P230,12*2),AND(AH230="K5-LAW",AG230="นิติศาสตร์",K230="S1",Q230&gt;=1),EDATE(P230,12),AND(AH230="K5-LAW",AG230="นิติศาสตร์",OR(K230="S2",K230="K5")),P230,AND(AH230="K5-POLICY",AG230&lt;&gt;"นิติศาสตร์",K230="S2",T230="",Z230=""),P230,AND(AH230="K5-POLICY",AG230&lt;&gt;"นิติศาสตร์",K230="S1",T230="",Z230=""),EDATE(P230,12),AND(AH230="K5-POLICY",AG230&lt;&gt;"นิติศาสตร์",OR(K230="M2",K230="K4"),T230="",Z230=""),EDATE(P230,12*2),AND(AH230="K5-POLICY",AG230&lt;&gt;"นิติศาสตร์",OR(Z230="M2",Z230="K4"),AC230&gt;=2,OR(AB230&lt;V230,AB230&lt;P230)),EDATE(AB230,12*2),AND(AH230="K5-POLICY",AG230&lt;&gt;"นิติศาสตร์",Z230="S1",AC230&gt;=1,OR(AB230&lt;V230,AB230&lt;P230)),EDATE(AB230,12),AND(AH230="K5-POLICY",AG230&lt;&gt;"นิติศาสตร์",OR(T230="M2",T230="K4"),W230&gt;=2,V230&lt;P230),EDATE(V230,12*2),AND(AH230="K5-POLICY",AG230&lt;&gt;"นิติศาสตร์",T230="S1",W230&gt;=1,V230&lt;P230),EDATE(V230,12),AND(AH230="K5-POLICY",AG230&lt;&gt;"นิติศาสตร์",OR(T230="S2",T230="K5")),V230,AND(AH230="K5-POLICY",AG230&lt;&gt;"นิติศาสตร์",OR(K230="M2",K230="K4"),Q230&gt;=2),EDATE(P230,12*2),AND(AH230="K5-POLICY",AG230&lt;&gt;"นิติศาสตร์",K230="S1",Q230&gt;=1),EDATE(P230,12),AND(AH230="K5-POLICY",AG230&lt;&gt;"นิติศาสตร์",OR(K230="S2",K230="K5")),P230,TRUE,"Check Data")</f>
        <v/>
      </c>
      <c r="AJ230" s="75" t="str">
        <f t="shared" si="61"/>
        <v>Check Data</v>
      </c>
      <c r="AK230" s="76" t="str">
        <f t="shared" si="62"/>
        <v>Check Data</v>
      </c>
      <c r="AL230" s="50" t="str">
        <f t="shared" si="63"/>
        <v>Check Data</v>
      </c>
      <c r="AM230" s="49" t="str">
        <f>IF(B230="","",IF(K230="S1","S1",INDEX(#REF!,#REF!)))</f>
        <v/>
      </c>
      <c r="AN230" s="49" t="str">
        <f>K230</f>
        <v>M2</v>
      </c>
      <c r="AO230" s="50" t="b">
        <f>K230=AM230</f>
        <v>0</v>
      </c>
      <c r="AP230" s="50"/>
    </row>
    <row r="231" spans="1:42" ht="21.75">
      <c r="A231" s="49">
        <v>229</v>
      </c>
      <c r="B231" s="50"/>
      <c r="C231" s="52"/>
      <c r="D231" s="79"/>
      <c r="E231" s="79"/>
      <c r="F231" s="79"/>
      <c r="G231" s="50">
        <f t="shared" si="49"/>
        <v>0</v>
      </c>
      <c r="H231" s="50">
        <f t="shared" si="50"/>
        <v>0</v>
      </c>
      <c r="I231" s="50">
        <f t="shared" si="51"/>
        <v>0</v>
      </c>
      <c r="J231" s="79"/>
      <c r="K231" s="49" t="s">
        <v>136</v>
      </c>
      <c r="L231" s="79"/>
      <c r="M231" s="79"/>
      <c r="N231" s="79"/>
      <c r="O231" s="65" t="s">
        <v>433</v>
      </c>
      <c r="P231" s="49" t="str">
        <f t="shared" si="52"/>
        <v>23/04/2024</v>
      </c>
      <c r="Q231" s="68">
        <f t="shared" si="53"/>
        <v>1</v>
      </c>
      <c r="R231" s="68">
        <f t="shared" si="54"/>
        <v>1</v>
      </c>
      <c r="S231" s="68">
        <f t="shared" si="55"/>
        <v>28</v>
      </c>
      <c r="T231" s="65"/>
      <c r="U231" s="83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49" t="str">
        <f>IF(AG231="นิติศาสตร์","K5-LAW","K5-POLICY")</f>
        <v>K5-POLICY</v>
      </c>
      <c r="AI231" s="72" t="str">
        <f>_xlfn.IFS(B231="","",AND(AH231="K5-LAW",AG231="นิติศาสตร์",K231="S2",T231="",Z231=""),P231,AND(AH231="K5-LAW",AG231="นิติศาสตร์",K231="S1",T231="",Z231=""),EDATE(P231,12),AND(AH231="K5-LAW",AG231="นิติศาสตร์",OR(K231="M2",K231="K4"),T231="",Z231=""),EDATE(P231,12*2),AND(AH231="K5-LAW",AG231="นิติศาสตร์",OR(Z231="M2",Z231="K4"),AC231&gt;=2,OR(AB231&lt;V231,AB231&lt;P231)),EDATE(AB231,12*2),AND(AH231="K5-LAW",AG231="นิติศาสตร์",Z231="S1",AC231&gt;=1,OR(AB231&lt;V231,AB231&lt;P231)),EDATE(AB231,12),AND(AH231="K5-LAW",AG231="นิติศาสตร์",OR(T231="M2",T231="K4"),W231&gt;=2,V231&lt;P231),EDATE(V231,12*2),AND(AH231="K5-LAW",AG231="นิติศาสตร์",T231="S1",W231&gt;=1,V231&lt;P231),EDATE(V231,12),AND(AH231="K5-LAW",AG231="นิติศาสตร์",OR(T231="S2",T231="K5")),V231,AND(AH231="K5-LAW",AG231="นิติศาสตร์",OR(K231="M2",K231="K4"),Q231&gt;=2),EDATE(P231,12*2),AND(AH231="K5-LAW",AG231="นิติศาสตร์",K231="S1",Q231&gt;=1),EDATE(P231,12),AND(AH231="K5-LAW",AG231="นิติศาสตร์",OR(K231="S2",K231="K5")),P231,AND(AH231="K5-POLICY",AG231&lt;&gt;"นิติศาสตร์",K231="S2",T231="",Z231=""),P231,AND(AH231="K5-POLICY",AG231&lt;&gt;"นิติศาสตร์",K231="S1",T231="",Z231=""),EDATE(P231,12),AND(AH231="K5-POLICY",AG231&lt;&gt;"นิติศาสตร์",OR(K231="M2",K231="K4"),T231="",Z231=""),EDATE(P231,12*2),AND(AH231="K5-POLICY",AG231&lt;&gt;"นิติศาสตร์",OR(Z231="M2",Z231="K4"),AC231&gt;=2,OR(AB231&lt;V231,AB231&lt;P231)),EDATE(AB231,12*2),AND(AH231="K5-POLICY",AG231&lt;&gt;"นิติศาสตร์",Z231="S1",AC231&gt;=1,OR(AB231&lt;V231,AB231&lt;P231)),EDATE(AB231,12),AND(AH231="K5-POLICY",AG231&lt;&gt;"นิติศาสตร์",OR(T231="M2",T231="K4"),W231&gt;=2,V231&lt;P231),EDATE(V231,12*2),AND(AH231="K5-POLICY",AG231&lt;&gt;"นิติศาสตร์",T231="S1",W231&gt;=1,V231&lt;P231),EDATE(V231,12),AND(AH231="K5-POLICY",AG231&lt;&gt;"นิติศาสตร์",OR(T231="S2",T231="K5")),V231,AND(AH231="K5-POLICY",AG231&lt;&gt;"นิติศาสตร์",OR(K231="M2",K231="K4"),Q231&gt;=2),EDATE(P231,12*2),AND(AH231="K5-POLICY",AG231&lt;&gt;"นิติศาสตร์",K231="S1",Q231&gt;=1),EDATE(P231,12),AND(AH231="K5-POLICY",AG231&lt;&gt;"นิติศาสตร์",OR(K231="S2",K231="K5")),P231,TRUE,"Check Data")</f>
        <v/>
      </c>
      <c r="AJ231" s="75" t="str">
        <f t="shared" si="61"/>
        <v>Check Data</v>
      </c>
      <c r="AK231" s="76" t="str">
        <f t="shared" si="62"/>
        <v>Check Data</v>
      </c>
      <c r="AL231" s="50" t="str">
        <f t="shared" si="63"/>
        <v>Check Data</v>
      </c>
      <c r="AM231" s="49" t="str">
        <f>IF(B231="","",IF(K231="S1","S1",INDEX(#REF!,#REF!)))</f>
        <v/>
      </c>
      <c r="AN231" s="49" t="str">
        <f>K231</f>
        <v>M2</v>
      </c>
      <c r="AO231" s="50" t="b">
        <f>K231=AM231</f>
        <v>0</v>
      </c>
      <c r="AP231" s="50"/>
    </row>
    <row r="232" spans="1:42" ht="21.75">
      <c r="A232" s="49">
        <v>230</v>
      </c>
      <c r="B232" s="50"/>
      <c r="C232" s="52"/>
      <c r="D232" s="79"/>
      <c r="E232" s="79"/>
      <c r="F232" s="79"/>
      <c r="G232" s="50">
        <f t="shared" si="49"/>
        <v>0</v>
      </c>
      <c r="H232" s="50">
        <f t="shared" si="50"/>
        <v>0</v>
      </c>
      <c r="I232" s="50">
        <f t="shared" si="51"/>
        <v>0</v>
      </c>
      <c r="J232" s="79"/>
      <c r="K232" s="49" t="s">
        <v>136</v>
      </c>
      <c r="L232" s="79"/>
      <c r="M232" s="79"/>
      <c r="N232" s="79"/>
      <c r="O232" s="65" t="s">
        <v>433</v>
      </c>
      <c r="P232" s="49" t="str">
        <f t="shared" si="52"/>
        <v>23/04/2024</v>
      </c>
      <c r="Q232" s="68">
        <f t="shared" si="53"/>
        <v>1</v>
      </c>
      <c r="R232" s="68">
        <f t="shared" si="54"/>
        <v>1</v>
      </c>
      <c r="S232" s="68">
        <f t="shared" si="55"/>
        <v>28</v>
      </c>
      <c r="T232" s="65"/>
      <c r="U232" s="83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49" t="str">
        <f>IF(AG232="นิติศาสตร์","K5-LAW","K5-POLICY")</f>
        <v>K5-POLICY</v>
      </c>
      <c r="AI232" s="72" t="str">
        <f>_xlfn.IFS(B232="","",AND(AH232="K5-LAW",AG232="นิติศาสตร์",K232="S2",T232="",Z232=""),P232,AND(AH232="K5-LAW",AG232="นิติศาสตร์",K232="S1",T232="",Z232=""),EDATE(P232,12),AND(AH232="K5-LAW",AG232="นิติศาสตร์",OR(K232="M2",K232="K4"),T232="",Z232=""),EDATE(P232,12*2),AND(AH232="K5-LAW",AG232="นิติศาสตร์",OR(Z232="M2",Z232="K4"),AC232&gt;=2,OR(AB232&lt;V232,AB232&lt;P232)),EDATE(AB232,12*2),AND(AH232="K5-LAW",AG232="นิติศาสตร์",Z232="S1",AC232&gt;=1,OR(AB232&lt;V232,AB232&lt;P232)),EDATE(AB232,12),AND(AH232="K5-LAW",AG232="นิติศาสตร์",OR(T232="M2",T232="K4"),W232&gt;=2,V232&lt;P232),EDATE(V232,12*2),AND(AH232="K5-LAW",AG232="นิติศาสตร์",T232="S1",W232&gt;=1,V232&lt;P232),EDATE(V232,12),AND(AH232="K5-LAW",AG232="นิติศาสตร์",OR(T232="S2",T232="K5")),V232,AND(AH232="K5-LAW",AG232="นิติศาสตร์",OR(K232="M2",K232="K4"),Q232&gt;=2),EDATE(P232,12*2),AND(AH232="K5-LAW",AG232="นิติศาสตร์",K232="S1",Q232&gt;=1),EDATE(P232,12),AND(AH232="K5-LAW",AG232="นิติศาสตร์",OR(K232="S2",K232="K5")),P232,AND(AH232="K5-POLICY",AG232&lt;&gt;"นิติศาสตร์",K232="S2",T232="",Z232=""),P232,AND(AH232="K5-POLICY",AG232&lt;&gt;"นิติศาสตร์",K232="S1",T232="",Z232=""),EDATE(P232,12),AND(AH232="K5-POLICY",AG232&lt;&gt;"นิติศาสตร์",OR(K232="M2",K232="K4"),T232="",Z232=""),EDATE(P232,12*2),AND(AH232="K5-POLICY",AG232&lt;&gt;"นิติศาสตร์",OR(Z232="M2",Z232="K4"),AC232&gt;=2,OR(AB232&lt;V232,AB232&lt;P232)),EDATE(AB232,12*2),AND(AH232="K5-POLICY",AG232&lt;&gt;"นิติศาสตร์",Z232="S1",AC232&gt;=1,OR(AB232&lt;V232,AB232&lt;P232)),EDATE(AB232,12),AND(AH232="K5-POLICY",AG232&lt;&gt;"นิติศาสตร์",OR(T232="M2",T232="K4"),W232&gt;=2,V232&lt;P232),EDATE(V232,12*2),AND(AH232="K5-POLICY",AG232&lt;&gt;"นิติศาสตร์",T232="S1",W232&gt;=1,V232&lt;P232),EDATE(V232,12),AND(AH232="K5-POLICY",AG232&lt;&gt;"นิติศาสตร์",OR(T232="S2",T232="K5")),V232,AND(AH232="K5-POLICY",AG232&lt;&gt;"นิติศาสตร์",OR(K232="M2",K232="K4"),Q232&gt;=2),EDATE(P232,12*2),AND(AH232="K5-POLICY",AG232&lt;&gt;"นิติศาสตร์",K232="S1",Q232&gt;=1),EDATE(P232,12),AND(AH232="K5-POLICY",AG232&lt;&gt;"นิติศาสตร์",OR(K232="S2",K232="K5")),P232,TRUE,"Check Data")</f>
        <v/>
      </c>
      <c r="AJ232" s="75" t="str">
        <f t="shared" si="61"/>
        <v>Check Data</v>
      </c>
      <c r="AK232" s="76" t="str">
        <f t="shared" si="62"/>
        <v>Check Data</v>
      </c>
      <c r="AL232" s="50" t="str">
        <f t="shared" si="63"/>
        <v>Check Data</v>
      </c>
      <c r="AM232" s="49" t="str">
        <f>IF(B232="","",IF(K232="S1","S1",INDEX(#REF!,#REF!)))</f>
        <v/>
      </c>
      <c r="AN232" s="49" t="str">
        <f>K232</f>
        <v>M2</v>
      </c>
      <c r="AO232" s="50" t="b">
        <f>K232=AM232</f>
        <v>0</v>
      </c>
      <c r="AP232" s="50"/>
    </row>
    <row r="233" spans="1:42" ht="21.75">
      <c r="A233" s="49">
        <v>231</v>
      </c>
      <c r="B233" s="50"/>
      <c r="C233" s="52"/>
      <c r="D233" s="79"/>
      <c r="E233" s="79"/>
      <c r="F233" s="79"/>
      <c r="G233" s="50">
        <f t="shared" si="49"/>
        <v>0</v>
      </c>
      <c r="H233" s="50">
        <f t="shared" si="50"/>
        <v>0</v>
      </c>
      <c r="I233" s="50">
        <f t="shared" si="51"/>
        <v>0</v>
      </c>
      <c r="J233" s="79"/>
      <c r="K233" s="49" t="s">
        <v>136</v>
      </c>
      <c r="L233" s="79"/>
      <c r="M233" s="79"/>
      <c r="N233" s="79"/>
      <c r="O233" s="65" t="s">
        <v>433</v>
      </c>
      <c r="P233" s="49" t="str">
        <f t="shared" si="52"/>
        <v>23/04/2024</v>
      </c>
      <c r="Q233" s="68">
        <f t="shared" si="53"/>
        <v>1</v>
      </c>
      <c r="R233" s="68">
        <f t="shared" si="54"/>
        <v>1</v>
      </c>
      <c r="S233" s="68">
        <f t="shared" si="55"/>
        <v>28</v>
      </c>
      <c r="T233" s="65"/>
      <c r="U233" s="83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49" t="str">
        <f>IF(AG233="นิติศาสตร์","K5-LAW","K5-POLICY")</f>
        <v>K5-POLICY</v>
      </c>
      <c r="AI233" s="72" t="str">
        <f>_xlfn.IFS(B233="","",AND(AH233="K5-LAW",AG233="นิติศาสตร์",K233="S2",T233="",Z233=""),P233,AND(AH233="K5-LAW",AG233="นิติศาสตร์",K233="S1",T233="",Z233=""),EDATE(P233,12),AND(AH233="K5-LAW",AG233="นิติศาสตร์",OR(K233="M2",K233="K4"),T233="",Z233=""),EDATE(P233,12*2),AND(AH233="K5-LAW",AG233="นิติศาสตร์",OR(Z233="M2",Z233="K4"),AC233&gt;=2,OR(AB233&lt;V233,AB233&lt;P233)),EDATE(AB233,12*2),AND(AH233="K5-LAW",AG233="นิติศาสตร์",Z233="S1",AC233&gt;=1,OR(AB233&lt;V233,AB233&lt;P233)),EDATE(AB233,12),AND(AH233="K5-LAW",AG233="นิติศาสตร์",OR(T233="M2",T233="K4"),W233&gt;=2,V233&lt;P233),EDATE(V233,12*2),AND(AH233="K5-LAW",AG233="นิติศาสตร์",T233="S1",W233&gt;=1,V233&lt;P233),EDATE(V233,12),AND(AH233="K5-LAW",AG233="นิติศาสตร์",OR(T233="S2",T233="K5")),V233,AND(AH233="K5-LAW",AG233="นิติศาสตร์",OR(K233="M2",K233="K4"),Q233&gt;=2),EDATE(P233,12*2),AND(AH233="K5-LAW",AG233="นิติศาสตร์",K233="S1",Q233&gt;=1),EDATE(P233,12),AND(AH233="K5-LAW",AG233="นิติศาสตร์",OR(K233="S2",K233="K5")),P233,AND(AH233="K5-POLICY",AG233&lt;&gt;"นิติศาสตร์",K233="S2",T233="",Z233=""),P233,AND(AH233="K5-POLICY",AG233&lt;&gt;"นิติศาสตร์",K233="S1",T233="",Z233=""),EDATE(P233,12),AND(AH233="K5-POLICY",AG233&lt;&gt;"นิติศาสตร์",OR(K233="M2",K233="K4"),T233="",Z233=""),EDATE(P233,12*2),AND(AH233="K5-POLICY",AG233&lt;&gt;"นิติศาสตร์",OR(Z233="M2",Z233="K4"),AC233&gt;=2,OR(AB233&lt;V233,AB233&lt;P233)),EDATE(AB233,12*2),AND(AH233="K5-POLICY",AG233&lt;&gt;"นิติศาสตร์",Z233="S1",AC233&gt;=1,OR(AB233&lt;V233,AB233&lt;P233)),EDATE(AB233,12),AND(AH233="K5-POLICY",AG233&lt;&gt;"นิติศาสตร์",OR(T233="M2",T233="K4"),W233&gt;=2,V233&lt;P233),EDATE(V233,12*2),AND(AH233="K5-POLICY",AG233&lt;&gt;"นิติศาสตร์",T233="S1",W233&gt;=1,V233&lt;P233),EDATE(V233,12),AND(AH233="K5-POLICY",AG233&lt;&gt;"นิติศาสตร์",OR(T233="S2",T233="K5")),V233,AND(AH233="K5-POLICY",AG233&lt;&gt;"นิติศาสตร์",OR(K233="M2",K233="K4"),Q233&gt;=2),EDATE(P233,12*2),AND(AH233="K5-POLICY",AG233&lt;&gt;"นิติศาสตร์",K233="S1",Q233&gt;=1),EDATE(P233,12),AND(AH233="K5-POLICY",AG233&lt;&gt;"นิติศาสตร์",OR(K233="S2",K233="K5")),P233,TRUE,"Check Data")</f>
        <v/>
      </c>
      <c r="AJ233" s="75" t="str">
        <f t="shared" si="61"/>
        <v>Check Data</v>
      </c>
      <c r="AK233" s="76" t="str">
        <f t="shared" si="62"/>
        <v>Check Data</v>
      </c>
      <c r="AL233" s="50" t="str">
        <f t="shared" si="63"/>
        <v>Check Data</v>
      </c>
      <c r="AM233" s="49" t="str">
        <f>IF(B233="","",IF(K233="S1","S1",INDEX(#REF!,#REF!)))</f>
        <v/>
      </c>
      <c r="AN233" s="49" t="str">
        <f>K233</f>
        <v>M2</v>
      </c>
      <c r="AO233" s="50" t="b">
        <f>K233=AM233</f>
        <v>0</v>
      </c>
      <c r="AP233" s="50"/>
    </row>
    <row r="234" spans="1:42" ht="21.75">
      <c r="A234" s="49">
        <v>232</v>
      </c>
      <c r="B234" s="50"/>
      <c r="C234" s="52"/>
      <c r="D234" s="79"/>
      <c r="E234" s="79"/>
      <c r="F234" s="79"/>
      <c r="G234" s="50">
        <f t="shared" si="49"/>
        <v>0</v>
      </c>
      <c r="H234" s="50">
        <f t="shared" si="50"/>
        <v>0</v>
      </c>
      <c r="I234" s="50">
        <f t="shared" si="51"/>
        <v>0</v>
      </c>
      <c r="J234" s="79"/>
      <c r="K234" s="49" t="s">
        <v>136</v>
      </c>
      <c r="L234" s="79"/>
      <c r="M234" s="79"/>
      <c r="N234" s="79"/>
      <c r="O234" s="65" t="s">
        <v>433</v>
      </c>
      <c r="P234" s="49" t="str">
        <f t="shared" si="52"/>
        <v>23/04/2024</v>
      </c>
      <c r="Q234" s="68">
        <f t="shared" si="53"/>
        <v>1</v>
      </c>
      <c r="R234" s="68">
        <f t="shared" si="54"/>
        <v>1</v>
      </c>
      <c r="S234" s="68">
        <f t="shared" si="55"/>
        <v>28</v>
      </c>
      <c r="T234" s="65"/>
      <c r="U234" s="83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49" t="str">
        <f>IF(AG234="นิติศาสตร์","K5-LAW","K5-POLICY")</f>
        <v>K5-POLICY</v>
      </c>
      <c r="AI234" s="72" t="str">
        <f>_xlfn.IFS(B234="","",AND(AH234="K5-LAW",AG234="นิติศาสตร์",K234="S2",T234="",Z234=""),P234,AND(AH234="K5-LAW",AG234="นิติศาสตร์",K234="S1",T234="",Z234=""),EDATE(P234,12),AND(AH234="K5-LAW",AG234="นิติศาสตร์",OR(K234="M2",K234="K4"),T234="",Z234=""),EDATE(P234,12*2),AND(AH234="K5-LAW",AG234="นิติศาสตร์",OR(Z234="M2",Z234="K4"),AC234&gt;=2,OR(AB234&lt;V234,AB234&lt;P234)),EDATE(AB234,12*2),AND(AH234="K5-LAW",AG234="นิติศาสตร์",Z234="S1",AC234&gt;=1,OR(AB234&lt;V234,AB234&lt;P234)),EDATE(AB234,12),AND(AH234="K5-LAW",AG234="นิติศาสตร์",OR(T234="M2",T234="K4"),W234&gt;=2,V234&lt;P234),EDATE(V234,12*2),AND(AH234="K5-LAW",AG234="นิติศาสตร์",T234="S1",W234&gt;=1,V234&lt;P234),EDATE(V234,12),AND(AH234="K5-LAW",AG234="นิติศาสตร์",OR(T234="S2",T234="K5")),V234,AND(AH234="K5-LAW",AG234="นิติศาสตร์",OR(K234="M2",K234="K4"),Q234&gt;=2),EDATE(P234,12*2),AND(AH234="K5-LAW",AG234="นิติศาสตร์",K234="S1",Q234&gt;=1),EDATE(P234,12),AND(AH234="K5-LAW",AG234="นิติศาสตร์",OR(K234="S2",K234="K5")),P234,AND(AH234="K5-POLICY",AG234&lt;&gt;"นิติศาสตร์",K234="S2",T234="",Z234=""),P234,AND(AH234="K5-POLICY",AG234&lt;&gt;"นิติศาสตร์",K234="S1",T234="",Z234=""),EDATE(P234,12),AND(AH234="K5-POLICY",AG234&lt;&gt;"นิติศาสตร์",OR(K234="M2",K234="K4"),T234="",Z234=""),EDATE(P234,12*2),AND(AH234="K5-POLICY",AG234&lt;&gt;"นิติศาสตร์",OR(Z234="M2",Z234="K4"),AC234&gt;=2,OR(AB234&lt;V234,AB234&lt;P234)),EDATE(AB234,12*2),AND(AH234="K5-POLICY",AG234&lt;&gt;"นิติศาสตร์",Z234="S1",AC234&gt;=1,OR(AB234&lt;V234,AB234&lt;P234)),EDATE(AB234,12),AND(AH234="K5-POLICY",AG234&lt;&gt;"นิติศาสตร์",OR(T234="M2",T234="K4"),W234&gt;=2,V234&lt;P234),EDATE(V234,12*2),AND(AH234="K5-POLICY",AG234&lt;&gt;"นิติศาสตร์",T234="S1",W234&gt;=1,V234&lt;P234),EDATE(V234,12),AND(AH234="K5-POLICY",AG234&lt;&gt;"นิติศาสตร์",OR(T234="S2",T234="K5")),V234,AND(AH234="K5-POLICY",AG234&lt;&gt;"นิติศาสตร์",OR(K234="M2",K234="K4"),Q234&gt;=2),EDATE(P234,12*2),AND(AH234="K5-POLICY",AG234&lt;&gt;"นิติศาสตร์",K234="S1",Q234&gt;=1),EDATE(P234,12),AND(AH234="K5-POLICY",AG234&lt;&gt;"นิติศาสตร์",OR(K234="S2",K234="K5")),P234,TRUE,"Check Data")</f>
        <v/>
      </c>
      <c r="AJ234" s="75" t="str">
        <f t="shared" si="61"/>
        <v>Check Data</v>
      </c>
      <c r="AK234" s="76" t="str">
        <f t="shared" si="62"/>
        <v>Check Data</v>
      </c>
      <c r="AL234" s="50" t="str">
        <f t="shared" si="63"/>
        <v>Check Data</v>
      </c>
      <c r="AM234" s="49" t="str">
        <f>IF(B234="","",IF(K234="S1","S1",INDEX(#REF!,#REF!)))</f>
        <v/>
      </c>
      <c r="AN234" s="49" t="str">
        <f>K234</f>
        <v>M2</v>
      </c>
      <c r="AO234" s="50" t="b">
        <f>K234=AM234</f>
        <v>0</v>
      </c>
      <c r="AP234" s="50"/>
    </row>
    <row r="235" spans="1:42" ht="21.75">
      <c r="A235" s="49">
        <v>233</v>
      </c>
      <c r="B235" s="50"/>
      <c r="C235" s="52"/>
      <c r="D235" s="79"/>
      <c r="E235" s="79"/>
      <c r="F235" s="79"/>
      <c r="G235" s="50">
        <f t="shared" si="49"/>
        <v>0</v>
      </c>
      <c r="H235" s="50">
        <f t="shared" si="50"/>
        <v>0</v>
      </c>
      <c r="I235" s="50">
        <f t="shared" si="51"/>
        <v>0</v>
      </c>
      <c r="J235" s="79"/>
      <c r="K235" s="49" t="s">
        <v>136</v>
      </c>
      <c r="L235" s="79"/>
      <c r="M235" s="79"/>
      <c r="N235" s="79"/>
      <c r="O235" s="65" t="s">
        <v>433</v>
      </c>
      <c r="P235" s="49" t="str">
        <f t="shared" si="52"/>
        <v>23/04/2024</v>
      </c>
      <c r="Q235" s="68">
        <f t="shared" si="53"/>
        <v>1</v>
      </c>
      <c r="R235" s="68">
        <f t="shared" si="54"/>
        <v>1</v>
      </c>
      <c r="S235" s="68">
        <f t="shared" si="55"/>
        <v>28</v>
      </c>
      <c r="T235" s="65"/>
      <c r="U235" s="83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49" t="str">
        <f>IF(AG235="นิติศาสตร์","K5-LAW","K5-POLICY")</f>
        <v>K5-POLICY</v>
      </c>
      <c r="AI235" s="72" t="str">
        <f>_xlfn.IFS(B235="","",AND(AH235="K5-LAW",AG235="นิติศาสตร์",K235="S2",T235="",Z235=""),P235,AND(AH235="K5-LAW",AG235="นิติศาสตร์",K235="S1",T235="",Z235=""),EDATE(P235,12),AND(AH235="K5-LAW",AG235="นิติศาสตร์",OR(K235="M2",K235="K4"),T235="",Z235=""),EDATE(P235,12*2),AND(AH235="K5-LAW",AG235="นิติศาสตร์",OR(Z235="M2",Z235="K4"),AC235&gt;=2,OR(AB235&lt;V235,AB235&lt;P235)),EDATE(AB235,12*2),AND(AH235="K5-LAW",AG235="นิติศาสตร์",Z235="S1",AC235&gt;=1,OR(AB235&lt;V235,AB235&lt;P235)),EDATE(AB235,12),AND(AH235="K5-LAW",AG235="นิติศาสตร์",OR(T235="M2",T235="K4"),W235&gt;=2,V235&lt;P235),EDATE(V235,12*2),AND(AH235="K5-LAW",AG235="นิติศาสตร์",T235="S1",W235&gt;=1,V235&lt;P235),EDATE(V235,12),AND(AH235="K5-LAW",AG235="นิติศาสตร์",OR(T235="S2",T235="K5")),V235,AND(AH235="K5-LAW",AG235="นิติศาสตร์",OR(K235="M2",K235="K4"),Q235&gt;=2),EDATE(P235,12*2),AND(AH235="K5-LAW",AG235="นิติศาสตร์",K235="S1",Q235&gt;=1),EDATE(P235,12),AND(AH235="K5-LAW",AG235="นิติศาสตร์",OR(K235="S2",K235="K5")),P235,AND(AH235="K5-POLICY",AG235&lt;&gt;"นิติศาสตร์",K235="S2",T235="",Z235=""),P235,AND(AH235="K5-POLICY",AG235&lt;&gt;"นิติศาสตร์",K235="S1",T235="",Z235=""),EDATE(P235,12),AND(AH235="K5-POLICY",AG235&lt;&gt;"นิติศาสตร์",OR(K235="M2",K235="K4"),T235="",Z235=""),EDATE(P235,12*2),AND(AH235="K5-POLICY",AG235&lt;&gt;"นิติศาสตร์",OR(Z235="M2",Z235="K4"),AC235&gt;=2,OR(AB235&lt;V235,AB235&lt;P235)),EDATE(AB235,12*2),AND(AH235="K5-POLICY",AG235&lt;&gt;"นิติศาสตร์",Z235="S1",AC235&gt;=1,OR(AB235&lt;V235,AB235&lt;P235)),EDATE(AB235,12),AND(AH235="K5-POLICY",AG235&lt;&gt;"นิติศาสตร์",OR(T235="M2",T235="K4"),W235&gt;=2,V235&lt;P235),EDATE(V235,12*2),AND(AH235="K5-POLICY",AG235&lt;&gt;"นิติศาสตร์",T235="S1",W235&gt;=1,V235&lt;P235),EDATE(V235,12),AND(AH235="K5-POLICY",AG235&lt;&gt;"นิติศาสตร์",OR(T235="S2",T235="K5")),V235,AND(AH235="K5-POLICY",AG235&lt;&gt;"นิติศาสตร์",OR(K235="M2",K235="K4"),Q235&gt;=2),EDATE(P235,12*2),AND(AH235="K5-POLICY",AG235&lt;&gt;"นิติศาสตร์",K235="S1",Q235&gt;=1),EDATE(P235,12),AND(AH235="K5-POLICY",AG235&lt;&gt;"นิติศาสตร์",OR(K235="S2",K235="K5")),P235,TRUE,"Check Data")</f>
        <v/>
      </c>
      <c r="AJ235" s="75" t="str">
        <f t="shared" si="61"/>
        <v>Check Data</v>
      </c>
      <c r="AK235" s="76" t="str">
        <f t="shared" si="62"/>
        <v>Check Data</v>
      </c>
      <c r="AL235" s="50" t="str">
        <f t="shared" si="63"/>
        <v>Check Data</v>
      </c>
      <c r="AM235" s="49" t="str">
        <f>IF(B235="","",IF(K235="S1","S1",INDEX(#REF!,#REF!)))</f>
        <v/>
      </c>
      <c r="AN235" s="49" t="str">
        <f>K235</f>
        <v>M2</v>
      </c>
      <c r="AO235" s="50" t="b">
        <f>K235=AM235</f>
        <v>0</v>
      </c>
      <c r="AP235" s="50"/>
    </row>
    <row r="236" spans="1:42" ht="21.75">
      <c r="A236" s="49">
        <v>234</v>
      </c>
      <c r="B236" s="50"/>
      <c r="C236" s="52"/>
      <c r="D236" s="79"/>
      <c r="E236" s="79"/>
      <c r="F236" s="79"/>
      <c r="G236" s="50">
        <f t="shared" si="49"/>
        <v>0</v>
      </c>
      <c r="H236" s="50">
        <f t="shared" si="50"/>
        <v>0</v>
      </c>
      <c r="I236" s="50">
        <f t="shared" si="51"/>
        <v>0</v>
      </c>
      <c r="J236" s="79"/>
      <c r="K236" s="49" t="s">
        <v>136</v>
      </c>
      <c r="L236" s="79"/>
      <c r="M236" s="79"/>
      <c r="N236" s="79"/>
      <c r="O236" s="65" t="s">
        <v>433</v>
      </c>
      <c r="P236" s="49" t="str">
        <f t="shared" si="52"/>
        <v>23/04/2024</v>
      </c>
      <c r="Q236" s="68">
        <f t="shared" si="53"/>
        <v>1</v>
      </c>
      <c r="R236" s="68">
        <f t="shared" si="54"/>
        <v>1</v>
      </c>
      <c r="S236" s="68">
        <f t="shared" si="55"/>
        <v>28</v>
      </c>
      <c r="T236" s="65"/>
      <c r="U236" s="83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49" t="str">
        <f>IF(AG236="นิติศาสตร์","K5-LAW","K5-POLICY")</f>
        <v>K5-POLICY</v>
      </c>
      <c r="AI236" s="72" t="str">
        <f>_xlfn.IFS(B236="","",AND(AH236="K5-LAW",AG236="นิติศาสตร์",K236="S2",T236="",Z236=""),P236,AND(AH236="K5-LAW",AG236="นิติศาสตร์",K236="S1",T236="",Z236=""),EDATE(P236,12),AND(AH236="K5-LAW",AG236="นิติศาสตร์",OR(K236="M2",K236="K4"),T236="",Z236=""),EDATE(P236,12*2),AND(AH236="K5-LAW",AG236="นิติศาสตร์",OR(Z236="M2",Z236="K4"),AC236&gt;=2,OR(AB236&lt;V236,AB236&lt;P236)),EDATE(AB236,12*2),AND(AH236="K5-LAW",AG236="นิติศาสตร์",Z236="S1",AC236&gt;=1,OR(AB236&lt;V236,AB236&lt;P236)),EDATE(AB236,12),AND(AH236="K5-LAW",AG236="นิติศาสตร์",OR(T236="M2",T236="K4"),W236&gt;=2,V236&lt;P236),EDATE(V236,12*2),AND(AH236="K5-LAW",AG236="นิติศาสตร์",T236="S1",W236&gt;=1,V236&lt;P236),EDATE(V236,12),AND(AH236="K5-LAW",AG236="นิติศาสตร์",OR(T236="S2",T236="K5")),V236,AND(AH236="K5-LAW",AG236="นิติศาสตร์",OR(K236="M2",K236="K4"),Q236&gt;=2),EDATE(P236,12*2),AND(AH236="K5-LAW",AG236="นิติศาสตร์",K236="S1",Q236&gt;=1),EDATE(P236,12),AND(AH236="K5-LAW",AG236="นิติศาสตร์",OR(K236="S2",K236="K5")),P236,AND(AH236="K5-POLICY",AG236&lt;&gt;"นิติศาสตร์",K236="S2",T236="",Z236=""),P236,AND(AH236="K5-POLICY",AG236&lt;&gt;"นิติศาสตร์",K236="S1",T236="",Z236=""),EDATE(P236,12),AND(AH236="K5-POLICY",AG236&lt;&gt;"นิติศาสตร์",OR(K236="M2",K236="K4"),T236="",Z236=""),EDATE(P236,12*2),AND(AH236="K5-POLICY",AG236&lt;&gt;"นิติศาสตร์",OR(Z236="M2",Z236="K4"),AC236&gt;=2,OR(AB236&lt;V236,AB236&lt;P236)),EDATE(AB236,12*2),AND(AH236="K5-POLICY",AG236&lt;&gt;"นิติศาสตร์",Z236="S1",AC236&gt;=1,OR(AB236&lt;V236,AB236&lt;P236)),EDATE(AB236,12),AND(AH236="K5-POLICY",AG236&lt;&gt;"นิติศาสตร์",OR(T236="M2",T236="K4"),W236&gt;=2,V236&lt;P236),EDATE(V236,12*2),AND(AH236="K5-POLICY",AG236&lt;&gt;"นิติศาสตร์",T236="S1",W236&gt;=1,V236&lt;P236),EDATE(V236,12),AND(AH236="K5-POLICY",AG236&lt;&gt;"นิติศาสตร์",OR(T236="S2",T236="K5")),V236,AND(AH236="K5-POLICY",AG236&lt;&gt;"นิติศาสตร์",OR(K236="M2",K236="K4"),Q236&gt;=2),EDATE(P236,12*2),AND(AH236="K5-POLICY",AG236&lt;&gt;"นิติศาสตร์",K236="S1",Q236&gt;=1),EDATE(P236,12),AND(AH236="K5-POLICY",AG236&lt;&gt;"นิติศาสตร์",OR(K236="S2",K236="K5")),P236,TRUE,"Check Data")</f>
        <v/>
      </c>
      <c r="AJ236" s="75" t="str">
        <f t="shared" si="61"/>
        <v>Check Data</v>
      </c>
      <c r="AK236" s="76" t="str">
        <f t="shared" si="62"/>
        <v>Check Data</v>
      </c>
      <c r="AL236" s="50" t="str">
        <f t="shared" si="63"/>
        <v>Check Data</v>
      </c>
      <c r="AM236" s="49" t="str">
        <f>IF(B236="","",IF(K236="S1","S1",INDEX(#REF!,#REF!)))</f>
        <v/>
      </c>
      <c r="AN236" s="49" t="str">
        <f>K236</f>
        <v>M2</v>
      </c>
      <c r="AO236" s="50" t="b">
        <f>K236=AM236</f>
        <v>0</v>
      </c>
      <c r="AP236" s="50"/>
    </row>
    <row r="237" spans="1:42" ht="21.75">
      <c r="A237" s="49">
        <v>235</v>
      </c>
      <c r="B237" s="50"/>
      <c r="C237" s="52"/>
      <c r="D237" s="79"/>
      <c r="E237" s="79"/>
      <c r="F237" s="79"/>
      <c r="G237" s="50">
        <f t="shared" si="49"/>
        <v>0</v>
      </c>
      <c r="H237" s="50">
        <f t="shared" si="50"/>
        <v>0</v>
      </c>
      <c r="I237" s="50">
        <f t="shared" si="51"/>
        <v>0</v>
      </c>
      <c r="J237" s="79"/>
      <c r="K237" s="49" t="s">
        <v>136</v>
      </c>
      <c r="L237" s="79"/>
      <c r="M237" s="79"/>
      <c r="N237" s="79"/>
      <c r="O237" s="65" t="s">
        <v>433</v>
      </c>
      <c r="P237" s="49" t="str">
        <f t="shared" si="52"/>
        <v>23/04/2024</v>
      </c>
      <c r="Q237" s="68">
        <f t="shared" si="53"/>
        <v>1</v>
      </c>
      <c r="R237" s="68">
        <f t="shared" si="54"/>
        <v>1</v>
      </c>
      <c r="S237" s="68">
        <f t="shared" si="55"/>
        <v>28</v>
      </c>
      <c r="T237" s="65"/>
      <c r="U237" s="83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49" t="str">
        <f>IF(AG237="นิติศาสตร์","K5-LAW","K5-POLICY")</f>
        <v>K5-POLICY</v>
      </c>
      <c r="AI237" s="72" t="str">
        <f>_xlfn.IFS(B237="","",AND(AH237="K5-LAW",AG237="นิติศาสตร์",K237="S2",T237="",Z237=""),P237,AND(AH237="K5-LAW",AG237="นิติศาสตร์",K237="S1",T237="",Z237=""),EDATE(P237,12),AND(AH237="K5-LAW",AG237="นิติศาสตร์",OR(K237="M2",K237="K4"),T237="",Z237=""),EDATE(P237,12*2),AND(AH237="K5-LAW",AG237="นิติศาสตร์",OR(Z237="M2",Z237="K4"),AC237&gt;=2,OR(AB237&lt;V237,AB237&lt;P237)),EDATE(AB237,12*2),AND(AH237="K5-LAW",AG237="นิติศาสตร์",Z237="S1",AC237&gt;=1,OR(AB237&lt;V237,AB237&lt;P237)),EDATE(AB237,12),AND(AH237="K5-LAW",AG237="นิติศาสตร์",OR(T237="M2",T237="K4"),W237&gt;=2,V237&lt;P237),EDATE(V237,12*2),AND(AH237="K5-LAW",AG237="นิติศาสตร์",T237="S1",W237&gt;=1,V237&lt;P237),EDATE(V237,12),AND(AH237="K5-LAW",AG237="นิติศาสตร์",OR(T237="S2",T237="K5")),V237,AND(AH237="K5-LAW",AG237="นิติศาสตร์",OR(K237="M2",K237="K4"),Q237&gt;=2),EDATE(P237,12*2),AND(AH237="K5-LAW",AG237="นิติศาสตร์",K237="S1",Q237&gt;=1),EDATE(P237,12),AND(AH237="K5-LAW",AG237="นิติศาสตร์",OR(K237="S2",K237="K5")),P237,AND(AH237="K5-POLICY",AG237&lt;&gt;"นิติศาสตร์",K237="S2",T237="",Z237=""),P237,AND(AH237="K5-POLICY",AG237&lt;&gt;"นิติศาสตร์",K237="S1",T237="",Z237=""),EDATE(P237,12),AND(AH237="K5-POLICY",AG237&lt;&gt;"นิติศาสตร์",OR(K237="M2",K237="K4"),T237="",Z237=""),EDATE(P237,12*2),AND(AH237="K5-POLICY",AG237&lt;&gt;"นิติศาสตร์",OR(Z237="M2",Z237="K4"),AC237&gt;=2,OR(AB237&lt;V237,AB237&lt;P237)),EDATE(AB237,12*2),AND(AH237="K5-POLICY",AG237&lt;&gt;"นิติศาสตร์",Z237="S1",AC237&gt;=1,OR(AB237&lt;V237,AB237&lt;P237)),EDATE(AB237,12),AND(AH237="K5-POLICY",AG237&lt;&gt;"นิติศาสตร์",OR(T237="M2",T237="K4"),W237&gt;=2,V237&lt;P237),EDATE(V237,12*2),AND(AH237="K5-POLICY",AG237&lt;&gt;"นิติศาสตร์",T237="S1",W237&gt;=1,V237&lt;P237),EDATE(V237,12),AND(AH237="K5-POLICY",AG237&lt;&gt;"นิติศาสตร์",OR(T237="S2",T237="K5")),V237,AND(AH237="K5-POLICY",AG237&lt;&gt;"นิติศาสตร์",OR(K237="M2",K237="K4"),Q237&gt;=2),EDATE(P237,12*2),AND(AH237="K5-POLICY",AG237&lt;&gt;"นิติศาสตร์",K237="S1",Q237&gt;=1),EDATE(P237,12),AND(AH237="K5-POLICY",AG237&lt;&gt;"นิติศาสตร์",OR(K237="S2",K237="K5")),P237,TRUE,"Check Data")</f>
        <v/>
      </c>
      <c r="AJ237" s="75" t="str">
        <f t="shared" si="61"/>
        <v>Check Data</v>
      </c>
      <c r="AK237" s="76" t="str">
        <f t="shared" si="62"/>
        <v>Check Data</v>
      </c>
      <c r="AL237" s="50" t="str">
        <f t="shared" si="63"/>
        <v>Check Data</v>
      </c>
      <c r="AM237" s="49" t="str">
        <f>IF(B237="","",IF(K237="S1","S1",INDEX(#REF!,#REF!)))</f>
        <v/>
      </c>
      <c r="AN237" s="49" t="str">
        <f>K237</f>
        <v>M2</v>
      </c>
      <c r="AO237" s="50" t="b">
        <f>K237=AM237</f>
        <v>0</v>
      </c>
      <c r="AP237" s="50"/>
    </row>
    <row r="238" spans="1:42" ht="21.75">
      <c r="A238" s="49">
        <v>236</v>
      </c>
      <c r="B238" s="50"/>
      <c r="C238" s="52"/>
      <c r="D238" s="79"/>
      <c r="E238" s="79"/>
      <c r="F238" s="79"/>
      <c r="G238" s="50">
        <f t="shared" si="49"/>
        <v>0</v>
      </c>
      <c r="H238" s="50">
        <f t="shared" si="50"/>
        <v>0</v>
      </c>
      <c r="I238" s="50">
        <f t="shared" si="51"/>
        <v>0</v>
      </c>
      <c r="J238" s="79"/>
      <c r="K238" s="49" t="s">
        <v>136</v>
      </c>
      <c r="L238" s="79"/>
      <c r="M238" s="79"/>
      <c r="N238" s="79"/>
      <c r="O238" s="65" t="s">
        <v>433</v>
      </c>
      <c r="P238" s="49" t="str">
        <f t="shared" si="52"/>
        <v>23/04/2024</v>
      </c>
      <c r="Q238" s="68">
        <f t="shared" si="53"/>
        <v>1</v>
      </c>
      <c r="R238" s="68">
        <f t="shared" si="54"/>
        <v>1</v>
      </c>
      <c r="S238" s="68">
        <f t="shared" si="55"/>
        <v>28</v>
      </c>
      <c r="T238" s="65"/>
      <c r="U238" s="83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49" t="str">
        <f>IF(AG238="นิติศาสตร์","K5-LAW","K5-POLICY")</f>
        <v>K5-POLICY</v>
      </c>
      <c r="AI238" s="72" t="str">
        <f>_xlfn.IFS(B238="","",AND(AH238="K5-LAW",AG238="นิติศาสตร์",K238="S2",T238="",Z238=""),P238,AND(AH238="K5-LAW",AG238="นิติศาสตร์",K238="S1",T238="",Z238=""),EDATE(P238,12),AND(AH238="K5-LAW",AG238="นิติศาสตร์",OR(K238="M2",K238="K4"),T238="",Z238=""),EDATE(P238,12*2),AND(AH238="K5-LAW",AG238="นิติศาสตร์",OR(Z238="M2",Z238="K4"),AC238&gt;=2,OR(AB238&lt;V238,AB238&lt;P238)),EDATE(AB238,12*2),AND(AH238="K5-LAW",AG238="นิติศาสตร์",Z238="S1",AC238&gt;=1,OR(AB238&lt;V238,AB238&lt;P238)),EDATE(AB238,12),AND(AH238="K5-LAW",AG238="นิติศาสตร์",OR(T238="M2",T238="K4"),W238&gt;=2,V238&lt;P238),EDATE(V238,12*2),AND(AH238="K5-LAW",AG238="นิติศาสตร์",T238="S1",W238&gt;=1,V238&lt;P238),EDATE(V238,12),AND(AH238="K5-LAW",AG238="นิติศาสตร์",OR(T238="S2",T238="K5")),V238,AND(AH238="K5-LAW",AG238="นิติศาสตร์",OR(K238="M2",K238="K4"),Q238&gt;=2),EDATE(P238,12*2),AND(AH238="K5-LAW",AG238="นิติศาสตร์",K238="S1",Q238&gt;=1),EDATE(P238,12),AND(AH238="K5-LAW",AG238="นิติศาสตร์",OR(K238="S2",K238="K5")),P238,AND(AH238="K5-POLICY",AG238&lt;&gt;"นิติศาสตร์",K238="S2",T238="",Z238=""),P238,AND(AH238="K5-POLICY",AG238&lt;&gt;"นิติศาสตร์",K238="S1",T238="",Z238=""),EDATE(P238,12),AND(AH238="K5-POLICY",AG238&lt;&gt;"นิติศาสตร์",OR(K238="M2",K238="K4"),T238="",Z238=""),EDATE(P238,12*2),AND(AH238="K5-POLICY",AG238&lt;&gt;"นิติศาสตร์",OR(Z238="M2",Z238="K4"),AC238&gt;=2,OR(AB238&lt;V238,AB238&lt;P238)),EDATE(AB238,12*2),AND(AH238="K5-POLICY",AG238&lt;&gt;"นิติศาสตร์",Z238="S1",AC238&gt;=1,OR(AB238&lt;V238,AB238&lt;P238)),EDATE(AB238,12),AND(AH238="K5-POLICY",AG238&lt;&gt;"นิติศาสตร์",OR(T238="M2",T238="K4"),W238&gt;=2,V238&lt;P238),EDATE(V238,12*2),AND(AH238="K5-POLICY",AG238&lt;&gt;"นิติศาสตร์",T238="S1",W238&gt;=1,V238&lt;P238),EDATE(V238,12),AND(AH238="K5-POLICY",AG238&lt;&gt;"นิติศาสตร์",OR(T238="S2",T238="K5")),V238,AND(AH238="K5-POLICY",AG238&lt;&gt;"นิติศาสตร์",OR(K238="M2",K238="K4"),Q238&gt;=2),EDATE(P238,12*2),AND(AH238="K5-POLICY",AG238&lt;&gt;"นิติศาสตร์",K238="S1",Q238&gt;=1),EDATE(P238,12),AND(AH238="K5-POLICY",AG238&lt;&gt;"นิติศาสตร์",OR(K238="S2",K238="K5")),P238,TRUE,"Check Data")</f>
        <v/>
      </c>
      <c r="AJ238" s="75" t="str">
        <f t="shared" si="61"/>
        <v>Check Data</v>
      </c>
      <c r="AK238" s="76" t="str">
        <f t="shared" si="62"/>
        <v>Check Data</v>
      </c>
      <c r="AL238" s="50" t="str">
        <f t="shared" si="63"/>
        <v>Check Data</v>
      </c>
      <c r="AM238" s="49" t="str">
        <f>IF(B238="","",IF(K238="S1","S1",INDEX(#REF!,#REF!)))</f>
        <v/>
      </c>
      <c r="AN238" s="49" t="str">
        <f>K238</f>
        <v>M2</v>
      </c>
      <c r="AO238" s="50" t="b">
        <f>K238=AM238</f>
        <v>0</v>
      </c>
      <c r="AP238" s="50"/>
    </row>
    <row r="239" spans="1:42" ht="21.75">
      <c r="A239" s="49">
        <v>237</v>
      </c>
      <c r="B239" s="50"/>
      <c r="C239" s="52"/>
      <c r="D239" s="79"/>
      <c r="E239" s="79"/>
      <c r="F239" s="79"/>
      <c r="G239" s="50">
        <f t="shared" si="49"/>
        <v>0</v>
      </c>
      <c r="H239" s="50">
        <f t="shared" si="50"/>
        <v>0</v>
      </c>
      <c r="I239" s="50">
        <f t="shared" si="51"/>
        <v>0</v>
      </c>
      <c r="J239" s="79"/>
      <c r="K239" s="49" t="s">
        <v>136</v>
      </c>
      <c r="L239" s="79"/>
      <c r="M239" s="79"/>
      <c r="N239" s="79"/>
      <c r="O239" s="65" t="s">
        <v>433</v>
      </c>
      <c r="P239" s="49" t="str">
        <f t="shared" si="52"/>
        <v>23/04/2024</v>
      </c>
      <c r="Q239" s="68">
        <f t="shared" si="53"/>
        <v>1</v>
      </c>
      <c r="R239" s="68">
        <f t="shared" si="54"/>
        <v>1</v>
      </c>
      <c r="S239" s="68">
        <f t="shared" si="55"/>
        <v>28</v>
      </c>
      <c r="T239" s="65"/>
      <c r="U239" s="83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49" t="str">
        <f>IF(AG239="นิติศาสตร์","K5-LAW","K5-POLICY")</f>
        <v>K5-POLICY</v>
      </c>
      <c r="AI239" s="72" t="str">
        <f>_xlfn.IFS(B239="","",AND(AH239="K5-LAW",AG239="นิติศาสตร์",K239="S2",T239="",Z239=""),P239,AND(AH239="K5-LAW",AG239="นิติศาสตร์",K239="S1",T239="",Z239=""),EDATE(P239,12),AND(AH239="K5-LAW",AG239="นิติศาสตร์",OR(K239="M2",K239="K4"),T239="",Z239=""),EDATE(P239,12*2),AND(AH239="K5-LAW",AG239="นิติศาสตร์",OR(Z239="M2",Z239="K4"),AC239&gt;=2,OR(AB239&lt;V239,AB239&lt;P239)),EDATE(AB239,12*2),AND(AH239="K5-LAW",AG239="นิติศาสตร์",Z239="S1",AC239&gt;=1,OR(AB239&lt;V239,AB239&lt;P239)),EDATE(AB239,12),AND(AH239="K5-LAW",AG239="นิติศาสตร์",OR(T239="M2",T239="K4"),W239&gt;=2,V239&lt;P239),EDATE(V239,12*2),AND(AH239="K5-LAW",AG239="นิติศาสตร์",T239="S1",W239&gt;=1,V239&lt;P239),EDATE(V239,12),AND(AH239="K5-LAW",AG239="นิติศาสตร์",OR(T239="S2",T239="K5")),V239,AND(AH239="K5-LAW",AG239="นิติศาสตร์",OR(K239="M2",K239="K4"),Q239&gt;=2),EDATE(P239,12*2),AND(AH239="K5-LAW",AG239="นิติศาสตร์",K239="S1",Q239&gt;=1),EDATE(P239,12),AND(AH239="K5-LAW",AG239="นิติศาสตร์",OR(K239="S2",K239="K5")),P239,AND(AH239="K5-POLICY",AG239&lt;&gt;"นิติศาสตร์",K239="S2",T239="",Z239=""),P239,AND(AH239="K5-POLICY",AG239&lt;&gt;"นิติศาสตร์",K239="S1",T239="",Z239=""),EDATE(P239,12),AND(AH239="K5-POLICY",AG239&lt;&gt;"นิติศาสตร์",OR(K239="M2",K239="K4"),T239="",Z239=""),EDATE(P239,12*2),AND(AH239="K5-POLICY",AG239&lt;&gt;"นิติศาสตร์",OR(Z239="M2",Z239="K4"),AC239&gt;=2,OR(AB239&lt;V239,AB239&lt;P239)),EDATE(AB239,12*2),AND(AH239="K5-POLICY",AG239&lt;&gt;"นิติศาสตร์",Z239="S1",AC239&gt;=1,OR(AB239&lt;V239,AB239&lt;P239)),EDATE(AB239,12),AND(AH239="K5-POLICY",AG239&lt;&gt;"นิติศาสตร์",OR(T239="M2",T239="K4"),W239&gt;=2,V239&lt;P239),EDATE(V239,12*2),AND(AH239="K5-POLICY",AG239&lt;&gt;"นิติศาสตร์",T239="S1",W239&gt;=1,V239&lt;P239),EDATE(V239,12),AND(AH239="K5-POLICY",AG239&lt;&gt;"นิติศาสตร์",OR(T239="S2",T239="K5")),V239,AND(AH239="K5-POLICY",AG239&lt;&gt;"นิติศาสตร์",OR(K239="M2",K239="K4"),Q239&gt;=2),EDATE(P239,12*2),AND(AH239="K5-POLICY",AG239&lt;&gt;"นิติศาสตร์",K239="S1",Q239&gt;=1),EDATE(P239,12),AND(AH239="K5-POLICY",AG239&lt;&gt;"นิติศาสตร์",OR(K239="S2",K239="K5")),P239,TRUE,"Check Data")</f>
        <v/>
      </c>
      <c r="AJ239" s="75" t="str">
        <f t="shared" si="61"/>
        <v>Check Data</v>
      </c>
      <c r="AK239" s="76" t="str">
        <f t="shared" si="62"/>
        <v>Check Data</v>
      </c>
      <c r="AL239" s="50" t="str">
        <f t="shared" si="63"/>
        <v>Check Data</v>
      </c>
      <c r="AM239" s="49" t="str">
        <f>IF(B239="","",IF(K239="S1","S1",INDEX(#REF!,#REF!)))</f>
        <v/>
      </c>
      <c r="AN239" s="49" t="str">
        <f>K239</f>
        <v>M2</v>
      </c>
      <c r="AO239" s="50" t="b">
        <f>K239=AM239</f>
        <v>0</v>
      </c>
      <c r="AP239" s="50"/>
    </row>
    <row r="240" spans="1:42" ht="21.75">
      <c r="A240" s="49">
        <v>238</v>
      </c>
      <c r="B240" s="50"/>
      <c r="C240" s="52"/>
      <c r="D240" s="79"/>
      <c r="E240" s="79"/>
      <c r="F240" s="79"/>
      <c r="G240" s="50">
        <f t="shared" si="49"/>
        <v>0</v>
      </c>
      <c r="H240" s="50">
        <f t="shared" si="50"/>
        <v>0</v>
      </c>
      <c r="I240" s="50">
        <f t="shared" si="51"/>
        <v>0</v>
      </c>
      <c r="J240" s="79"/>
      <c r="K240" s="49" t="s">
        <v>136</v>
      </c>
      <c r="L240" s="79"/>
      <c r="M240" s="79"/>
      <c r="N240" s="79"/>
      <c r="O240" s="65" t="s">
        <v>433</v>
      </c>
      <c r="P240" s="49" t="str">
        <f t="shared" si="52"/>
        <v>23/04/2024</v>
      </c>
      <c r="Q240" s="68">
        <f t="shared" si="53"/>
        <v>1</v>
      </c>
      <c r="R240" s="68">
        <f t="shared" si="54"/>
        <v>1</v>
      </c>
      <c r="S240" s="68">
        <f t="shared" si="55"/>
        <v>28</v>
      </c>
      <c r="T240" s="65"/>
      <c r="U240" s="83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49" t="str">
        <f>IF(AG240="นิติศาสตร์","K5-LAW","K5-POLICY")</f>
        <v>K5-POLICY</v>
      </c>
      <c r="AI240" s="72" t="str">
        <f>_xlfn.IFS(B240="","",AND(AH240="K5-LAW",AG240="นิติศาสตร์",K240="S2",T240="",Z240=""),P240,AND(AH240="K5-LAW",AG240="นิติศาสตร์",K240="S1",T240="",Z240=""),EDATE(P240,12),AND(AH240="K5-LAW",AG240="นิติศาสตร์",OR(K240="M2",K240="K4"),T240="",Z240=""),EDATE(P240,12*2),AND(AH240="K5-LAW",AG240="นิติศาสตร์",OR(Z240="M2",Z240="K4"),AC240&gt;=2,OR(AB240&lt;V240,AB240&lt;P240)),EDATE(AB240,12*2),AND(AH240="K5-LAW",AG240="นิติศาสตร์",Z240="S1",AC240&gt;=1,OR(AB240&lt;V240,AB240&lt;P240)),EDATE(AB240,12),AND(AH240="K5-LAW",AG240="นิติศาสตร์",OR(T240="M2",T240="K4"),W240&gt;=2,V240&lt;P240),EDATE(V240,12*2),AND(AH240="K5-LAW",AG240="นิติศาสตร์",T240="S1",W240&gt;=1,V240&lt;P240),EDATE(V240,12),AND(AH240="K5-LAW",AG240="นิติศาสตร์",OR(T240="S2",T240="K5")),V240,AND(AH240="K5-LAW",AG240="นิติศาสตร์",OR(K240="M2",K240="K4"),Q240&gt;=2),EDATE(P240,12*2),AND(AH240="K5-LAW",AG240="นิติศาสตร์",K240="S1",Q240&gt;=1),EDATE(P240,12),AND(AH240="K5-LAW",AG240="นิติศาสตร์",OR(K240="S2",K240="K5")),P240,AND(AH240="K5-POLICY",AG240&lt;&gt;"นิติศาสตร์",K240="S2",T240="",Z240=""),P240,AND(AH240="K5-POLICY",AG240&lt;&gt;"นิติศาสตร์",K240="S1",T240="",Z240=""),EDATE(P240,12),AND(AH240="K5-POLICY",AG240&lt;&gt;"นิติศาสตร์",OR(K240="M2",K240="K4"),T240="",Z240=""),EDATE(P240,12*2),AND(AH240="K5-POLICY",AG240&lt;&gt;"นิติศาสตร์",OR(Z240="M2",Z240="K4"),AC240&gt;=2,OR(AB240&lt;V240,AB240&lt;P240)),EDATE(AB240,12*2),AND(AH240="K5-POLICY",AG240&lt;&gt;"นิติศาสตร์",Z240="S1",AC240&gt;=1,OR(AB240&lt;V240,AB240&lt;P240)),EDATE(AB240,12),AND(AH240="K5-POLICY",AG240&lt;&gt;"นิติศาสตร์",OR(T240="M2",T240="K4"),W240&gt;=2,V240&lt;P240),EDATE(V240,12*2),AND(AH240="K5-POLICY",AG240&lt;&gt;"นิติศาสตร์",T240="S1",W240&gt;=1,V240&lt;P240),EDATE(V240,12),AND(AH240="K5-POLICY",AG240&lt;&gt;"นิติศาสตร์",OR(T240="S2",T240="K5")),V240,AND(AH240="K5-POLICY",AG240&lt;&gt;"นิติศาสตร์",OR(K240="M2",K240="K4"),Q240&gt;=2),EDATE(P240,12*2),AND(AH240="K5-POLICY",AG240&lt;&gt;"นิติศาสตร์",K240="S1",Q240&gt;=1),EDATE(P240,12),AND(AH240="K5-POLICY",AG240&lt;&gt;"นิติศาสตร์",OR(K240="S2",K240="K5")),P240,TRUE,"Check Data")</f>
        <v/>
      </c>
      <c r="AJ240" s="75" t="str">
        <f t="shared" si="61"/>
        <v>Check Data</v>
      </c>
      <c r="AK240" s="76" t="str">
        <f t="shared" si="62"/>
        <v>Check Data</v>
      </c>
      <c r="AL240" s="50" t="str">
        <f t="shared" si="63"/>
        <v>Check Data</v>
      </c>
      <c r="AM240" s="49" t="str">
        <f>IF(B240="","",IF(K240="S1","S1",INDEX(#REF!,#REF!)))</f>
        <v/>
      </c>
      <c r="AN240" s="49" t="str">
        <f>K240</f>
        <v>M2</v>
      </c>
      <c r="AO240" s="50" t="b">
        <f>K240=AM240</f>
        <v>0</v>
      </c>
      <c r="AP240" s="50"/>
    </row>
    <row r="241" spans="1:42" ht="21.75">
      <c r="A241" s="49">
        <v>239</v>
      </c>
      <c r="B241" s="50"/>
      <c r="C241" s="52"/>
      <c r="D241" s="79"/>
      <c r="E241" s="79"/>
      <c r="F241" s="79"/>
      <c r="G241" s="50">
        <f t="shared" si="49"/>
        <v>0</v>
      </c>
      <c r="H241" s="50">
        <f t="shared" si="50"/>
        <v>0</v>
      </c>
      <c r="I241" s="50">
        <f t="shared" si="51"/>
        <v>0</v>
      </c>
      <c r="J241" s="79"/>
      <c r="K241" s="49" t="s">
        <v>136</v>
      </c>
      <c r="L241" s="79"/>
      <c r="M241" s="79"/>
      <c r="N241" s="79"/>
      <c r="O241" s="65" t="s">
        <v>433</v>
      </c>
      <c r="P241" s="49" t="str">
        <f t="shared" si="52"/>
        <v>23/04/2024</v>
      </c>
      <c r="Q241" s="68">
        <f t="shared" si="53"/>
        <v>1</v>
      </c>
      <c r="R241" s="68">
        <f t="shared" si="54"/>
        <v>1</v>
      </c>
      <c r="S241" s="68">
        <f t="shared" si="55"/>
        <v>28</v>
      </c>
      <c r="T241" s="65"/>
      <c r="U241" s="83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49" t="str">
        <f>IF(AG241="นิติศาสตร์","K5-LAW","K5-POLICY")</f>
        <v>K5-POLICY</v>
      </c>
      <c r="AI241" s="72" t="str">
        <f>_xlfn.IFS(B241="","",AND(AH241="K5-LAW",AG241="นิติศาสตร์",K241="S2",T241="",Z241=""),P241,AND(AH241="K5-LAW",AG241="นิติศาสตร์",K241="S1",T241="",Z241=""),EDATE(P241,12),AND(AH241="K5-LAW",AG241="นิติศาสตร์",OR(K241="M2",K241="K4"),T241="",Z241=""),EDATE(P241,12*2),AND(AH241="K5-LAW",AG241="นิติศาสตร์",OR(Z241="M2",Z241="K4"),AC241&gt;=2,OR(AB241&lt;V241,AB241&lt;P241)),EDATE(AB241,12*2),AND(AH241="K5-LAW",AG241="นิติศาสตร์",Z241="S1",AC241&gt;=1,OR(AB241&lt;V241,AB241&lt;P241)),EDATE(AB241,12),AND(AH241="K5-LAW",AG241="นิติศาสตร์",OR(T241="M2",T241="K4"),W241&gt;=2,V241&lt;P241),EDATE(V241,12*2),AND(AH241="K5-LAW",AG241="นิติศาสตร์",T241="S1",W241&gt;=1,V241&lt;P241),EDATE(V241,12),AND(AH241="K5-LAW",AG241="นิติศาสตร์",OR(T241="S2",T241="K5")),V241,AND(AH241="K5-LAW",AG241="นิติศาสตร์",OR(K241="M2",K241="K4"),Q241&gt;=2),EDATE(P241,12*2),AND(AH241="K5-LAW",AG241="นิติศาสตร์",K241="S1",Q241&gt;=1),EDATE(P241,12),AND(AH241="K5-LAW",AG241="นิติศาสตร์",OR(K241="S2",K241="K5")),P241,AND(AH241="K5-POLICY",AG241&lt;&gt;"นิติศาสตร์",K241="S2",T241="",Z241=""),P241,AND(AH241="K5-POLICY",AG241&lt;&gt;"นิติศาสตร์",K241="S1",T241="",Z241=""),EDATE(P241,12),AND(AH241="K5-POLICY",AG241&lt;&gt;"นิติศาสตร์",OR(K241="M2",K241="K4"),T241="",Z241=""),EDATE(P241,12*2),AND(AH241="K5-POLICY",AG241&lt;&gt;"นิติศาสตร์",OR(Z241="M2",Z241="K4"),AC241&gt;=2,OR(AB241&lt;V241,AB241&lt;P241)),EDATE(AB241,12*2),AND(AH241="K5-POLICY",AG241&lt;&gt;"นิติศาสตร์",Z241="S1",AC241&gt;=1,OR(AB241&lt;V241,AB241&lt;P241)),EDATE(AB241,12),AND(AH241="K5-POLICY",AG241&lt;&gt;"นิติศาสตร์",OR(T241="M2",T241="K4"),W241&gt;=2,V241&lt;P241),EDATE(V241,12*2),AND(AH241="K5-POLICY",AG241&lt;&gt;"นิติศาสตร์",T241="S1",W241&gt;=1,V241&lt;P241),EDATE(V241,12),AND(AH241="K5-POLICY",AG241&lt;&gt;"นิติศาสตร์",OR(T241="S2",T241="K5")),V241,AND(AH241="K5-POLICY",AG241&lt;&gt;"นิติศาสตร์",OR(K241="M2",K241="K4"),Q241&gt;=2),EDATE(P241,12*2),AND(AH241="K5-POLICY",AG241&lt;&gt;"นิติศาสตร์",K241="S1",Q241&gt;=1),EDATE(P241,12),AND(AH241="K5-POLICY",AG241&lt;&gt;"นิติศาสตร์",OR(K241="S2",K241="K5")),P241,TRUE,"Check Data")</f>
        <v/>
      </c>
      <c r="AJ241" s="75" t="str">
        <f t="shared" si="61"/>
        <v>Check Data</v>
      </c>
      <c r="AK241" s="76" t="str">
        <f t="shared" si="62"/>
        <v>Check Data</v>
      </c>
      <c r="AL241" s="50" t="str">
        <f t="shared" si="63"/>
        <v>Check Data</v>
      </c>
      <c r="AM241" s="49" t="str">
        <f>IF(B241="","",IF(K241="S1","S1",INDEX(#REF!,#REF!)))</f>
        <v/>
      </c>
      <c r="AN241" s="49" t="str">
        <f>K241</f>
        <v>M2</v>
      </c>
      <c r="AO241" s="50" t="b">
        <f>K241=AM241</f>
        <v>0</v>
      </c>
      <c r="AP241" s="50"/>
    </row>
    <row r="242" spans="1:42" ht="21.75">
      <c r="A242" s="49">
        <v>240</v>
      </c>
      <c r="B242" s="50"/>
      <c r="C242" s="52"/>
      <c r="D242" s="79"/>
      <c r="E242" s="79"/>
      <c r="F242" s="79"/>
      <c r="G242" s="50">
        <f t="shared" si="49"/>
        <v>0</v>
      </c>
      <c r="H242" s="50">
        <f t="shared" si="50"/>
        <v>0</v>
      </c>
      <c r="I242" s="50">
        <f t="shared" si="51"/>
        <v>0</v>
      </c>
      <c r="J242" s="79"/>
      <c r="K242" s="49" t="s">
        <v>136</v>
      </c>
      <c r="L242" s="79"/>
      <c r="M242" s="79"/>
      <c r="N242" s="79"/>
      <c r="O242" s="65" t="s">
        <v>433</v>
      </c>
      <c r="P242" s="49" t="str">
        <f t="shared" si="52"/>
        <v>23/04/2024</v>
      </c>
      <c r="Q242" s="68">
        <f t="shared" si="53"/>
        <v>1</v>
      </c>
      <c r="R242" s="68">
        <f t="shared" si="54"/>
        <v>1</v>
      </c>
      <c r="S242" s="68">
        <f t="shared" si="55"/>
        <v>28</v>
      </c>
      <c r="T242" s="65"/>
      <c r="U242" s="83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49" t="str">
        <f>IF(AG242="นิติศาสตร์","K5-LAW","K5-POLICY")</f>
        <v>K5-POLICY</v>
      </c>
      <c r="AI242" s="72" t="str">
        <f>_xlfn.IFS(B242="","",AND(AH242="K5-LAW",AG242="นิติศาสตร์",K242="S2",T242="",Z242=""),P242,AND(AH242="K5-LAW",AG242="นิติศาสตร์",K242="S1",T242="",Z242=""),EDATE(P242,12),AND(AH242="K5-LAW",AG242="นิติศาสตร์",OR(K242="M2",K242="K4"),T242="",Z242=""),EDATE(P242,12*2),AND(AH242="K5-LAW",AG242="นิติศาสตร์",OR(Z242="M2",Z242="K4"),AC242&gt;=2,OR(AB242&lt;V242,AB242&lt;P242)),EDATE(AB242,12*2),AND(AH242="K5-LAW",AG242="นิติศาสตร์",Z242="S1",AC242&gt;=1,OR(AB242&lt;V242,AB242&lt;P242)),EDATE(AB242,12),AND(AH242="K5-LAW",AG242="นิติศาสตร์",OR(T242="M2",T242="K4"),W242&gt;=2,V242&lt;P242),EDATE(V242,12*2),AND(AH242="K5-LAW",AG242="นิติศาสตร์",T242="S1",W242&gt;=1,V242&lt;P242),EDATE(V242,12),AND(AH242="K5-LAW",AG242="นิติศาสตร์",OR(T242="S2",T242="K5")),V242,AND(AH242="K5-LAW",AG242="นิติศาสตร์",OR(K242="M2",K242="K4"),Q242&gt;=2),EDATE(P242,12*2),AND(AH242="K5-LAW",AG242="นิติศาสตร์",K242="S1",Q242&gt;=1),EDATE(P242,12),AND(AH242="K5-LAW",AG242="นิติศาสตร์",OR(K242="S2",K242="K5")),P242,AND(AH242="K5-POLICY",AG242&lt;&gt;"นิติศาสตร์",K242="S2",T242="",Z242=""),P242,AND(AH242="K5-POLICY",AG242&lt;&gt;"นิติศาสตร์",K242="S1",T242="",Z242=""),EDATE(P242,12),AND(AH242="K5-POLICY",AG242&lt;&gt;"นิติศาสตร์",OR(K242="M2",K242="K4"),T242="",Z242=""),EDATE(P242,12*2),AND(AH242="K5-POLICY",AG242&lt;&gt;"นิติศาสตร์",OR(Z242="M2",Z242="K4"),AC242&gt;=2,OR(AB242&lt;V242,AB242&lt;P242)),EDATE(AB242,12*2),AND(AH242="K5-POLICY",AG242&lt;&gt;"นิติศาสตร์",Z242="S1",AC242&gt;=1,OR(AB242&lt;V242,AB242&lt;P242)),EDATE(AB242,12),AND(AH242="K5-POLICY",AG242&lt;&gt;"นิติศาสตร์",OR(T242="M2",T242="K4"),W242&gt;=2,V242&lt;P242),EDATE(V242,12*2),AND(AH242="K5-POLICY",AG242&lt;&gt;"นิติศาสตร์",T242="S1",W242&gt;=1,V242&lt;P242),EDATE(V242,12),AND(AH242="K5-POLICY",AG242&lt;&gt;"นิติศาสตร์",OR(T242="S2",T242="K5")),V242,AND(AH242="K5-POLICY",AG242&lt;&gt;"นิติศาสตร์",OR(K242="M2",K242="K4"),Q242&gt;=2),EDATE(P242,12*2),AND(AH242="K5-POLICY",AG242&lt;&gt;"นิติศาสตร์",K242="S1",Q242&gt;=1),EDATE(P242,12),AND(AH242="K5-POLICY",AG242&lt;&gt;"นิติศาสตร์",OR(K242="S2",K242="K5")),P242,TRUE,"Check Data")</f>
        <v/>
      </c>
      <c r="AJ242" s="75" t="str">
        <f t="shared" si="61"/>
        <v>Check Data</v>
      </c>
      <c r="AK242" s="76" t="str">
        <f t="shared" si="62"/>
        <v>Check Data</v>
      </c>
      <c r="AL242" s="50" t="str">
        <f t="shared" si="63"/>
        <v>Check Data</v>
      </c>
      <c r="AM242" s="49" t="str">
        <f>IF(B242="","",IF(K242="S1","S1",INDEX(#REF!,#REF!)))</f>
        <v/>
      </c>
      <c r="AN242" s="49" t="str">
        <f>K242</f>
        <v>M2</v>
      </c>
      <c r="AO242" s="50" t="b">
        <f>K242=AM242</f>
        <v>0</v>
      </c>
      <c r="AP242" s="50"/>
    </row>
    <row r="243" spans="1:42" ht="21.75">
      <c r="A243" s="49">
        <v>241</v>
      </c>
      <c r="B243" s="50"/>
      <c r="C243" s="52"/>
      <c r="D243" s="79"/>
      <c r="E243" s="79"/>
      <c r="F243" s="79"/>
      <c r="G243" s="50">
        <f t="shared" si="49"/>
        <v>0</v>
      </c>
      <c r="H243" s="50">
        <f t="shared" si="50"/>
        <v>0</v>
      </c>
      <c r="I243" s="50">
        <f t="shared" si="51"/>
        <v>0</v>
      </c>
      <c r="J243" s="79"/>
      <c r="K243" s="49" t="s">
        <v>136</v>
      </c>
      <c r="L243" s="79"/>
      <c r="M243" s="79"/>
      <c r="N243" s="79"/>
      <c r="O243" s="65" t="s">
        <v>433</v>
      </c>
      <c r="P243" s="49" t="str">
        <f t="shared" si="52"/>
        <v>23/04/2024</v>
      </c>
      <c r="Q243" s="68">
        <f t="shared" si="53"/>
        <v>1</v>
      </c>
      <c r="R243" s="68">
        <f t="shared" si="54"/>
        <v>1</v>
      </c>
      <c r="S243" s="68">
        <f t="shared" si="55"/>
        <v>28</v>
      </c>
      <c r="T243" s="65"/>
      <c r="U243" s="83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49" t="str">
        <f>IF(AG243="นิติศาสตร์","K5-LAW","K5-POLICY")</f>
        <v>K5-POLICY</v>
      </c>
      <c r="AI243" s="72" t="str">
        <f>_xlfn.IFS(B243="","",AND(AH243="K5-LAW",AG243="นิติศาสตร์",K243="S2",T243="",Z243=""),P243,AND(AH243="K5-LAW",AG243="นิติศาสตร์",K243="S1",T243="",Z243=""),EDATE(P243,12),AND(AH243="K5-LAW",AG243="นิติศาสตร์",OR(K243="M2",K243="K4"),T243="",Z243=""),EDATE(P243,12*2),AND(AH243="K5-LAW",AG243="นิติศาสตร์",OR(Z243="M2",Z243="K4"),AC243&gt;=2,OR(AB243&lt;V243,AB243&lt;P243)),EDATE(AB243,12*2),AND(AH243="K5-LAW",AG243="นิติศาสตร์",Z243="S1",AC243&gt;=1,OR(AB243&lt;V243,AB243&lt;P243)),EDATE(AB243,12),AND(AH243="K5-LAW",AG243="นิติศาสตร์",OR(T243="M2",T243="K4"),W243&gt;=2,V243&lt;P243),EDATE(V243,12*2),AND(AH243="K5-LAW",AG243="นิติศาสตร์",T243="S1",W243&gt;=1,V243&lt;P243),EDATE(V243,12),AND(AH243="K5-LAW",AG243="นิติศาสตร์",OR(T243="S2",T243="K5")),V243,AND(AH243="K5-LAW",AG243="นิติศาสตร์",OR(K243="M2",K243="K4"),Q243&gt;=2),EDATE(P243,12*2),AND(AH243="K5-LAW",AG243="นิติศาสตร์",K243="S1",Q243&gt;=1),EDATE(P243,12),AND(AH243="K5-LAW",AG243="นิติศาสตร์",OR(K243="S2",K243="K5")),P243,AND(AH243="K5-POLICY",AG243&lt;&gt;"นิติศาสตร์",K243="S2",T243="",Z243=""),P243,AND(AH243="K5-POLICY",AG243&lt;&gt;"นิติศาสตร์",K243="S1",T243="",Z243=""),EDATE(P243,12),AND(AH243="K5-POLICY",AG243&lt;&gt;"นิติศาสตร์",OR(K243="M2",K243="K4"),T243="",Z243=""),EDATE(P243,12*2),AND(AH243="K5-POLICY",AG243&lt;&gt;"นิติศาสตร์",OR(Z243="M2",Z243="K4"),AC243&gt;=2,OR(AB243&lt;V243,AB243&lt;P243)),EDATE(AB243,12*2),AND(AH243="K5-POLICY",AG243&lt;&gt;"นิติศาสตร์",Z243="S1",AC243&gt;=1,OR(AB243&lt;V243,AB243&lt;P243)),EDATE(AB243,12),AND(AH243="K5-POLICY",AG243&lt;&gt;"นิติศาสตร์",OR(T243="M2",T243="K4"),W243&gt;=2,V243&lt;P243),EDATE(V243,12*2),AND(AH243="K5-POLICY",AG243&lt;&gt;"นิติศาสตร์",T243="S1",W243&gt;=1,V243&lt;P243),EDATE(V243,12),AND(AH243="K5-POLICY",AG243&lt;&gt;"นิติศาสตร์",OR(T243="S2",T243="K5")),V243,AND(AH243="K5-POLICY",AG243&lt;&gt;"นิติศาสตร์",OR(K243="M2",K243="K4"),Q243&gt;=2),EDATE(P243,12*2),AND(AH243="K5-POLICY",AG243&lt;&gt;"นิติศาสตร์",K243="S1",Q243&gt;=1),EDATE(P243,12),AND(AH243="K5-POLICY",AG243&lt;&gt;"นิติศาสตร์",OR(K243="S2",K243="K5")),P243,TRUE,"Check Data")</f>
        <v/>
      </c>
      <c r="AJ243" s="75" t="str">
        <f t="shared" si="61"/>
        <v>Check Data</v>
      </c>
      <c r="AK243" s="76" t="str">
        <f t="shared" si="62"/>
        <v>Check Data</v>
      </c>
      <c r="AL243" s="50" t="str">
        <f t="shared" si="63"/>
        <v>Check Data</v>
      </c>
      <c r="AM243" s="49" t="str">
        <f>IF(B243="","",IF(K243="S1","S1",INDEX(#REF!,#REF!)))</f>
        <v/>
      </c>
      <c r="AN243" s="49" t="str">
        <f>K243</f>
        <v>M2</v>
      </c>
      <c r="AO243" s="50" t="b">
        <f>K243=AM243</f>
        <v>0</v>
      </c>
      <c r="AP243" s="50"/>
    </row>
    <row r="244" spans="1:42" ht="21.75">
      <c r="A244" s="49">
        <v>242</v>
      </c>
      <c r="B244" s="50"/>
      <c r="C244" s="52"/>
      <c r="D244" s="79"/>
      <c r="E244" s="79"/>
      <c r="F244" s="79"/>
      <c r="G244" s="50">
        <f t="shared" si="49"/>
        <v>0</v>
      </c>
      <c r="H244" s="50">
        <f t="shared" si="50"/>
        <v>0</v>
      </c>
      <c r="I244" s="50">
        <f t="shared" si="51"/>
        <v>0</v>
      </c>
      <c r="J244" s="79"/>
      <c r="K244" s="49" t="s">
        <v>136</v>
      </c>
      <c r="L244" s="79"/>
      <c r="M244" s="79"/>
      <c r="N244" s="79"/>
      <c r="O244" s="65" t="s">
        <v>433</v>
      </c>
      <c r="P244" s="49" t="str">
        <f t="shared" si="52"/>
        <v>23/04/2024</v>
      </c>
      <c r="Q244" s="68">
        <f t="shared" si="53"/>
        <v>1</v>
      </c>
      <c r="R244" s="68">
        <f t="shared" si="54"/>
        <v>1</v>
      </c>
      <c r="S244" s="68">
        <f t="shared" si="55"/>
        <v>28</v>
      </c>
      <c r="T244" s="65"/>
      <c r="U244" s="83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49" t="str">
        <f>IF(AG244="นิติศาสตร์","K5-LAW","K5-POLICY")</f>
        <v>K5-POLICY</v>
      </c>
      <c r="AI244" s="72" t="str">
        <f>_xlfn.IFS(B244="","",AND(AH244="K5-LAW",AG244="นิติศาสตร์",K244="S2",T244="",Z244=""),P244,AND(AH244="K5-LAW",AG244="นิติศาสตร์",K244="S1",T244="",Z244=""),EDATE(P244,12),AND(AH244="K5-LAW",AG244="นิติศาสตร์",OR(K244="M2",K244="K4"),T244="",Z244=""),EDATE(P244,12*2),AND(AH244="K5-LAW",AG244="นิติศาสตร์",OR(Z244="M2",Z244="K4"),AC244&gt;=2,OR(AB244&lt;V244,AB244&lt;P244)),EDATE(AB244,12*2),AND(AH244="K5-LAW",AG244="นิติศาสตร์",Z244="S1",AC244&gt;=1,OR(AB244&lt;V244,AB244&lt;P244)),EDATE(AB244,12),AND(AH244="K5-LAW",AG244="นิติศาสตร์",OR(T244="M2",T244="K4"),W244&gt;=2,V244&lt;P244),EDATE(V244,12*2),AND(AH244="K5-LAW",AG244="นิติศาสตร์",T244="S1",W244&gt;=1,V244&lt;P244),EDATE(V244,12),AND(AH244="K5-LAW",AG244="นิติศาสตร์",OR(T244="S2",T244="K5")),V244,AND(AH244="K5-LAW",AG244="นิติศาสตร์",OR(K244="M2",K244="K4"),Q244&gt;=2),EDATE(P244,12*2),AND(AH244="K5-LAW",AG244="นิติศาสตร์",K244="S1",Q244&gt;=1),EDATE(P244,12),AND(AH244="K5-LAW",AG244="นิติศาสตร์",OR(K244="S2",K244="K5")),P244,AND(AH244="K5-POLICY",AG244&lt;&gt;"นิติศาสตร์",K244="S2",T244="",Z244=""),P244,AND(AH244="K5-POLICY",AG244&lt;&gt;"นิติศาสตร์",K244="S1",T244="",Z244=""),EDATE(P244,12),AND(AH244="K5-POLICY",AG244&lt;&gt;"นิติศาสตร์",OR(K244="M2",K244="K4"),T244="",Z244=""),EDATE(P244,12*2),AND(AH244="K5-POLICY",AG244&lt;&gt;"นิติศาสตร์",OR(Z244="M2",Z244="K4"),AC244&gt;=2,OR(AB244&lt;V244,AB244&lt;P244)),EDATE(AB244,12*2),AND(AH244="K5-POLICY",AG244&lt;&gt;"นิติศาสตร์",Z244="S1",AC244&gt;=1,OR(AB244&lt;V244,AB244&lt;P244)),EDATE(AB244,12),AND(AH244="K5-POLICY",AG244&lt;&gt;"นิติศาสตร์",OR(T244="M2",T244="K4"),W244&gt;=2,V244&lt;P244),EDATE(V244,12*2),AND(AH244="K5-POLICY",AG244&lt;&gt;"นิติศาสตร์",T244="S1",W244&gt;=1,V244&lt;P244),EDATE(V244,12),AND(AH244="K5-POLICY",AG244&lt;&gt;"นิติศาสตร์",OR(T244="S2",T244="K5")),V244,AND(AH244="K5-POLICY",AG244&lt;&gt;"นิติศาสตร์",OR(K244="M2",K244="K4"),Q244&gt;=2),EDATE(P244,12*2),AND(AH244="K5-POLICY",AG244&lt;&gt;"นิติศาสตร์",K244="S1",Q244&gt;=1),EDATE(P244,12),AND(AH244="K5-POLICY",AG244&lt;&gt;"นิติศาสตร์",OR(K244="S2",K244="K5")),P244,TRUE,"Check Data")</f>
        <v/>
      </c>
      <c r="AJ244" s="75" t="str">
        <f t="shared" si="61"/>
        <v>Check Data</v>
      </c>
      <c r="AK244" s="76" t="str">
        <f t="shared" si="62"/>
        <v>Check Data</v>
      </c>
      <c r="AL244" s="50" t="str">
        <f t="shared" si="63"/>
        <v>Check Data</v>
      </c>
      <c r="AM244" s="49" t="str">
        <f>IF(B244="","",IF(K244="S1","S1",INDEX(#REF!,#REF!)))</f>
        <v/>
      </c>
      <c r="AN244" s="49" t="str">
        <f>K244</f>
        <v>M2</v>
      </c>
      <c r="AO244" s="50" t="b">
        <f>K244=AM244</f>
        <v>0</v>
      </c>
      <c r="AP244" s="50"/>
    </row>
    <row r="245" spans="1:42" ht="21.75">
      <c r="A245" s="49">
        <v>243</v>
      </c>
      <c r="B245" s="50"/>
      <c r="C245" s="52"/>
      <c r="D245" s="79"/>
      <c r="E245" s="79"/>
      <c r="F245" s="79"/>
      <c r="G245" s="50">
        <f t="shared" si="49"/>
        <v>0</v>
      </c>
      <c r="H245" s="50">
        <f t="shared" si="50"/>
        <v>0</v>
      </c>
      <c r="I245" s="50">
        <f t="shared" si="51"/>
        <v>0</v>
      </c>
      <c r="J245" s="79"/>
      <c r="K245" s="49" t="s">
        <v>136</v>
      </c>
      <c r="L245" s="79"/>
      <c r="M245" s="79"/>
      <c r="N245" s="79"/>
      <c r="O245" s="65" t="s">
        <v>433</v>
      </c>
      <c r="P245" s="49" t="str">
        <f t="shared" si="52"/>
        <v>23/04/2024</v>
      </c>
      <c r="Q245" s="68">
        <f t="shared" si="53"/>
        <v>1</v>
      </c>
      <c r="R245" s="68">
        <f t="shared" si="54"/>
        <v>1</v>
      </c>
      <c r="S245" s="68">
        <f t="shared" si="55"/>
        <v>28</v>
      </c>
      <c r="T245" s="65"/>
      <c r="U245" s="83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49" t="str">
        <f>IF(AG245="นิติศาสตร์","K5-LAW","K5-POLICY")</f>
        <v>K5-POLICY</v>
      </c>
      <c r="AI245" s="72" t="str">
        <f>_xlfn.IFS(B245="","",AND(AH245="K5-LAW",AG245="นิติศาสตร์",K245="S2",T245="",Z245=""),P245,AND(AH245="K5-LAW",AG245="นิติศาสตร์",K245="S1",T245="",Z245=""),EDATE(P245,12),AND(AH245="K5-LAW",AG245="นิติศาสตร์",OR(K245="M2",K245="K4"),T245="",Z245=""),EDATE(P245,12*2),AND(AH245="K5-LAW",AG245="นิติศาสตร์",OR(Z245="M2",Z245="K4"),AC245&gt;=2,OR(AB245&lt;V245,AB245&lt;P245)),EDATE(AB245,12*2),AND(AH245="K5-LAW",AG245="นิติศาสตร์",Z245="S1",AC245&gt;=1,OR(AB245&lt;V245,AB245&lt;P245)),EDATE(AB245,12),AND(AH245="K5-LAW",AG245="นิติศาสตร์",OR(T245="M2",T245="K4"),W245&gt;=2,V245&lt;P245),EDATE(V245,12*2),AND(AH245="K5-LAW",AG245="นิติศาสตร์",T245="S1",W245&gt;=1,V245&lt;P245),EDATE(V245,12),AND(AH245="K5-LAW",AG245="นิติศาสตร์",OR(T245="S2",T245="K5")),V245,AND(AH245="K5-LAW",AG245="นิติศาสตร์",OR(K245="M2",K245="K4"),Q245&gt;=2),EDATE(P245,12*2),AND(AH245="K5-LAW",AG245="นิติศาสตร์",K245="S1",Q245&gt;=1),EDATE(P245,12),AND(AH245="K5-LAW",AG245="นิติศาสตร์",OR(K245="S2",K245="K5")),P245,AND(AH245="K5-POLICY",AG245&lt;&gt;"นิติศาสตร์",K245="S2",T245="",Z245=""),P245,AND(AH245="K5-POLICY",AG245&lt;&gt;"นิติศาสตร์",K245="S1",T245="",Z245=""),EDATE(P245,12),AND(AH245="K5-POLICY",AG245&lt;&gt;"นิติศาสตร์",OR(K245="M2",K245="K4"),T245="",Z245=""),EDATE(P245,12*2),AND(AH245="K5-POLICY",AG245&lt;&gt;"นิติศาสตร์",OR(Z245="M2",Z245="K4"),AC245&gt;=2,OR(AB245&lt;V245,AB245&lt;P245)),EDATE(AB245,12*2),AND(AH245="K5-POLICY",AG245&lt;&gt;"นิติศาสตร์",Z245="S1",AC245&gt;=1,OR(AB245&lt;V245,AB245&lt;P245)),EDATE(AB245,12),AND(AH245="K5-POLICY",AG245&lt;&gt;"นิติศาสตร์",OR(T245="M2",T245="K4"),W245&gt;=2,V245&lt;P245),EDATE(V245,12*2),AND(AH245="K5-POLICY",AG245&lt;&gt;"นิติศาสตร์",T245="S1",W245&gt;=1,V245&lt;P245),EDATE(V245,12),AND(AH245="K5-POLICY",AG245&lt;&gt;"นิติศาสตร์",OR(T245="S2",T245="K5")),V245,AND(AH245="K5-POLICY",AG245&lt;&gt;"นิติศาสตร์",OR(K245="M2",K245="K4"),Q245&gt;=2),EDATE(P245,12*2),AND(AH245="K5-POLICY",AG245&lt;&gt;"นิติศาสตร์",K245="S1",Q245&gt;=1),EDATE(P245,12),AND(AH245="K5-POLICY",AG245&lt;&gt;"นิติศาสตร์",OR(K245="S2",K245="K5")),P245,TRUE,"Check Data")</f>
        <v/>
      </c>
      <c r="AJ245" s="75" t="str">
        <f t="shared" si="61"/>
        <v>Check Data</v>
      </c>
      <c r="AK245" s="76" t="str">
        <f t="shared" si="62"/>
        <v>Check Data</v>
      </c>
      <c r="AL245" s="50" t="str">
        <f t="shared" si="63"/>
        <v>Check Data</v>
      </c>
      <c r="AM245" s="49" t="str">
        <f>IF(B245="","",IF(K245="S1","S1",INDEX(#REF!,#REF!)))</f>
        <v/>
      </c>
      <c r="AN245" s="49" t="str">
        <f>K245</f>
        <v>M2</v>
      </c>
      <c r="AO245" s="50" t="b">
        <f>K245=AM245</f>
        <v>0</v>
      </c>
      <c r="AP245" s="50"/>
    </row>
    <row r="246" spans="1:42" ht="21.75">
      <c r="A246" s="49">
        <v>244</v>
      </c>
      <c r="B246" s="50"/>
      <c r="C246" s="52"/>
      <c r="D246" s="79"/>
      <c r="E246" s="79"/>
      <c r="F246" s="79"/>
      <c r="G246" s="50">
        <f t="shared" si="49"/>
        <v>0</v>
      </c>
      <c r="H246" s="50">
        <f t="shared" si="50"/>
        <v>0</v>
      </c>
      <c r="I246" s="50">
        <f t="shared" si="51"/>
        <v>0</v>
      </c>
      <c r="J246" s="79"/>
      <c r="K246" s="49" t="s">
        <v>136</v>
      </c>
      <c r="L246" s="79"/>
      <c r="M246" s="79"/>
      <c r="N246" s="79"/>
      <c r="O246" s="65" t="s">
        <v>433</v>
      </c>
      <c r="P246" s="49" t="str">
        <f t="shared" si="52"/>
        <v>23/04/2024</v>
      </c>
      <c r="Q246" s="68">
        <f t="shared" si="53"/>
        <v>1</v>
      </c>
      <c r="R246" s="68">
        <f t="shared" si="54"/>
        <v>1</v>
      </c>
      <c r="S246" s="68">
        <f t="shared" si="55"/>
        <v>28</v>
      </c>
      <c r="T246" s="65"/>
      <c r="U246" s="83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49" t="str">
        <f>IF(AG246="นิติศาสตร์","K5-LAW","K5-POLICY")</f>
        <v>K5-POLICY</v>
      </c>
      <c r="AI246" s="72" t="str">
        <f>_xlfn.IFS(B246="","",AND(AH246="K5-LAW",AG246="นิติศาสตร์",K246="S2",T246="",Z246=""),P246,AND(AH246="K5-LAW",AG246="นิติศาสตร์",K246="S1",T246="",Z246=""),EDATE(P246,12),AND(AH246="K5-LAW",AG246="นิติศาสตร์",OR(K246="M2",K246="K4"),T246="",Z246=""),EDATE(P246,12*2),AND(AH246="K5-LAW",AG246="นิติศาสตร์",OR(Z246="M2",Z246="K4"),AC246&gt;=2,OR(AB246&lt;V246,AB246&lt;P246)),EDATE(AB246,12*2),AND(AH246="K5-LAW",AG246="นิติศาสตร์",Z246="S1",AC246&gt;=1,OR(AB246&lt;V246,AB246&lt;P246)),EDATE(AB246,12),AND(AH246="K5-LAW",AG246="นิติศาสตร์",OR(T246="M2",T246="K4"),W246&gt;=2,V246&lt;P246),EDATE(V246,12*2),AND(AH246="K5-LAW",AG246="นิติศาสตร์",T246="S1",W246&gt;=1,V246&lt;P246),EDATE(V246,12),AND(AH246="K5-LAW",AG246="นิติศาสตร์",OR(T246="S2",T246="K5")),V246,AND(AH246="K5-LAW",AG246="นิติศาสตร์",OR(K246="M2",K246="K4"),Q246&gt;=2),EDATE(P246,12*2),AND(AH246="K5-LAW",AG246="นิติศาสตร์",K246="S1",Q246&gt;=1),EDATE(P246,12),AND(AH246="K5-LAW",AG246="นิติศาสตร์",OR(K246="S2",K246="K5")),P246,AND(AH246="K5-POLICY",AG246&lt;&gt;"นิติศาสตร์",K246="S2",T246="",Z246=""),P246,AND(AH246="K5-POLICY",AG246&lt;&gt;"นิติศาสตร์",K246="S1",T246="",Z246=""),EDATE(P246,12),AND(AH246="K5-POLICY",AG246&lt;&gt;"นิติศาสตร์",OR(K246="M2",K246="K4"),T246="",Z246=""),EDATE(P246,12*2),AND(AH246="K5-POLICY",AG246&lt;&gt;"นิติศาสตร์",OR(Z246="M2",Z246="K4"),AC246&gt;=2,OR(AB246&lt;V246,AB246&lt;P246)),EDATE(AB246,12*2),AND(AH246="K5-POLICY",AG246&lt;&gt;"นิติศาสตร์",Z246="S1",AC246&gt;=1,OR(AB246&lt;V246,AB246&lt;P246)),EDATE(AB246,12),AND(AH246="K5-POLICY",AG246&lt;&gt;"นิติศาสตร์",OR(T246="M2",T246="K4"),W246&gt;=2,V246&lt;P246),EDATE(V246,12*2),AND(AH246="K5-POLICY",AG246&lt;&gt;"นิติศาสตร์",T246="S1",W246&gt;=1,V246&lt;P246),EDATE(V246,12),AND(AH246="K5-POLICY",AG246&lt;&gt;"นิติศาสตร์",OR(T246="S2",T246="K5")),V246,AND(AH246="K5-POLICY",AG246&lt;&gt;"นิติศาสตร์",OR(K246="M2",K246="K4"),Q246&gt;=2),EDATE(P246,12*2),AND(AH246="K5-POLICY",AG246&lt;&gt;"นิติศาสตร์",K246="S1",Q246&gt;=1),EDATE(P246,12),AND(AH246="K5-POLICY",AG246&lt;&gt;"นิติศาสตร์",OR(K246="S2",K246="K5")),P246,TRUE,"Check Data")</f>
        <v/>
      </c>
      <c r="AJ246" s="75" t="str">
        <f t="shared" si="61"/>
        <v>Check Data</v>
      </c>
      <c r="AK246" s="76" t="str">
        <f t="shared" si="62"/>
        <v>Check Data</v>
      </c>
      <c r="AL246" s="50" t="str">
        <f t="shared" si="63"/>
        <v>Check Data</v>
      </c>
      <c r="AM246" s="49" t="str">
        <f>IF(B246="","",IF(K246="S1","S1",INDEX(#REF!,#REF!)))</f>
        <v/>
      </c>
      <c r="AN246" s="49" t="str">
        <f>K246</f>
        <v>M2</v>
      </c>
      <c r="AO246" s="50" t="b">
        <f>K246=AM246</f>
        <v>0</v>
      </c>
      <c r="AP246" s="50"/>
    </row>
    <row r="247" spans="1:42" ht="21.75">
      <c r="A247" s="49">
        <v>245</v>
      </c>
      <c r="B247" s="50"/>
      <c r="C247" s="52"/>
      <c r="D247" s="79"/>
      <c r="E247" s="79"/>
      <c r="F247" s="79"/>
      <c r="G247" s="50">
        <f t="shared" si="49"/>
        <v>0</v>
      </c>
      <c r="H247" s="50">
        <f t="shared" si="50"/>
        <v>0</v>
      </c>
      <c r="I247" s="50">
        <f t="shared" si="51"/>
        <v>0</v>
      </c>
      <c r="J247" s="79"/>
      <c r="K247" s="49" t="s">
        <v>136</v>
      </c>
      <c r="L247" s="79"/>
      <c r="M247" s="79"/>
      <c r="N247" s="79"/>
      <c r="O247" s="65" t="s">
        <v>433</v>
      </c>
      <c r="P247" s="49" t="str">
        <f t="shared" si="52"/>
        <v>23/04/2024</v>
      </c>
      <c r="Q247" s="68">
        <f t="shared" si="53"/>
        <v>1</v>
      </c>
      <c r="R247" s="68">
        <f t="shared" si="54"/>
        <v>1</v>
      </c>
      <c r="S247" s="68">
        <f t="shared" si="55"/>
        <v>28</v>
      </c>
      <c r="T247" s="65"/>
      <c r="U247" s="83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49" t="str">
        <f>IF(AG247="นิติศาสตร์","K5-LAW","K5-POLICY")</f>
        <v>K5-POLICY</v>
      </c>
      <c r="AI247" s="72" t="str">
        <f>_xlfn.IFS(B247="","",AND(AH247="K5-LAW",AG247="นิติศาสตร์",K247="S2",T247="",Z247=""),P247,AND(AH247="K5-LAW",AG247="นิติศาสตร์",K247="S1",T247="",Z247=""),EDATE(P247,12),AND(AH247="K5-LAW",AG247="นิติศาสตร์",OR(K247="M2",K247="K4"),T247="",Z247=""),EDATE(P247,12*2),AND(AH247="K5-LAW",AG247="นิติศาสตร์",OR(Z247="M2",Z247="K4"),AC247&gt;=2,OR(AB247&lt;V247,AB247&lt;P247)),EDATE(AB247,12*2),AND(AH247="K5-LAW",AG247="นิติศาสตร์",Z247="S1",AC247&gt;=1,OR(AB247&lt;V247,AB247&lt;P247)),EDATE(AB247,12),AND(AH247="K5-LAW",AG247="นิติศาสตร์",OR(T247="M2",T247="K4"),W247&gt;=2,V247&lt;P247),EDATE(V247,12*2),AND(AH247="K5-LAW",AG247="นิติศาสตร์",T247="S1",W247&gt;=1,V247&lt;P247),EDATE(V247,12),AND(AH247="K5-LAW",AG247="นิติศาสตร์",OR(T247="S2",T247="K5")),V247,AND(AH247="K5-LAW",AG247="นิติศาสตร์",OR(K247="M2",K247="K4"),Q247&gt;=2),EDATE(P247,12*2),AND(AH247="K5-LAW",AG247="นิติศาสตร์",K247="S1",Q247&gt;=1),EDATE(P247,12),AND(AH247="K5-LAW",AG247="นิติศาสตร์",OR(K247="S2",K247="K5")),P247,AND(AH247="K5-POLICY",AG247&lt;&gt;"นิติศาสตร์",K247="S2",T247="",Z247=""),P247,AND(AH247="K5-POLICY",AG247&lt;&gt;"นิติศาสตร์",K247="S1",T247="",Z247=""),EDATE(P247,12),AND(AH247="K5-POLICY",AG247&lt;&gt;"นิติศาสตร์",OR(K247="M2",K247="K4"),T247="",Z247=""),EDATE(P247,12*2),AND(AH247="K5-POLICY",AG247&lt;&gt;"นิติศาสตร์",OR(Z247="M2",Z247="K4"),AC247&gt;=2,OR(AB247&lt;V247,AB247&lt;P247)),EDATE(AB247,12*2),AND(AH247="K5-POLICY",AG247&lt;&gt;"นิติศาสตร์",Z247="S1",AC247&gt;=1,OR(AB247&lt;V247,AB247&lt;P247)),EDATE(AB247,12),AND(AH247="K5-POLICY",AG247&lt;&gt;"นิติศาสตร์",OR(T247="M2",T247="K4"),W247&gt;=2,V247&lt;P247),EDATE(V247,12*2),AND(AH247="K5-POLICY",AG247&lt;&gt;"นิติศาสตร์",T247="S1",W247&gt;=1,V247&lt;P247),EDATE(V247,12),AND(AH247="K5-POLICY",AG247&lt;&gt;"นิติศาสตร์",OR(T247="S2",T247="K5")),V247,AND(AH247="K5-POLICY",AG247&lt;&gt;"นิติศาสตร์",OR(K247="M2",K247="K4"),Q247&gt;=2),EDATE(P247,12*2),AND(AH247="K5-POLICY",AG247&lt;&gt;"นิติศาสตร์",K247="S1",Q247&gt;=1),EDATE(P247,12),AND(AH247="K5-POLICY",AG247&lt;&gt;"นิติศาสตร์",OR(K247="S2",K247="K5")),P247,TRUE,"Check Data")</f>
        <v/>
      </c>
      <c r="AJ247" s="75" t="str">
        <f t="shared" si="61"/>
        <v>Check Data</v>
      </c>
      <c r="AK247" s="76" t="str">
        <f t="shared" si="62"/>
        <v>Check Data</v>
      </c>
      <c r="AL247" s="50" t="str">
        <f t="shared" si="63"/>
        <v>Check Data</v>
      </c>
      <c r="AM247" s="49" t="str">
        <f>IF(B247="","",IF(K247="S1","S1",INDEX(#REF!,#REF!)))</f>
        <v/>
      </c>
      <c r="AN247" s="49" t="str">
        <f>K247</f>
        <v>M2</v>
      </c>
      <c r="AO247" s="50" t="b">
        <f>K247=AM247</f>
        <v>0</v>
      </c>
      <c r="AP247" s="50"/>
    </row>
    <row r="248" spans="1:42" ht="21.75">
      <c r="A248" s="49">
        <v>246</v>
      </c>
      <c r="B248" s="50"/>
      <c r="C248" s="52"/>
      <c r="D248" s="79"/>
      <c r="E248" s="79"/>
      <c r="F248" s="79"/>
      <c r="G248" s="50">
        <f t="shared" si="49"/>
        <v>0</v>
      </c>
      <c r="H248" s="50">
        <f t="shared" si="50"/>
        <v>0</v>
      </c>
      <c r="I248" s="50">
        <f t="shared" si="51"/>
        <v>0</v>
      </c>
      <c r="J248" s="79"/>
      <c r="K248" s="49" t="s">
        <v>136</v>
      </c>
      <c r="L248" s="79"/>
      <c r="M248" s="79"/>
      <c r="N248" s="79"/>
      <c r="O248" s="82" t="s">
        <v>433</v>
      </c>
      <c r="P248" s="49" t="str">
        <f t="shared" si="52"/>
        <v>23/04/2024</v>
      </c>
      <c r="Q248" s="68">
        <f t="shared" si="53"/>
        <v>1</v>
      </c>
      <c r="R248" s="68">
        <f t="shared" si="54"/>
        <v>1</v>
      </c>
      <c r="S248" s="68">
        <f t="shared" si="55"/>
        <v>28</v>
      </c>
      <c r="T248" s="65"/>
      <c r="U248" s="83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49" t="str">
        <f>IF(AG248="นิติศาสตร์","K5-LAW","K5-POLICY")</f>
        <v>K5-POLICY</v>
      </c>
      <c r="AI248" s="72" t="str">
        <f>_xlfn.IFS(B248="","",AND(AH248="K5-LAW",AG248="นิติศาสตร์",K248="S2",T248="",Z248=""),P248,AND(AH248="K5-LAW",AG248="นิติศาสตร์",K248="S1",T248="",Z248=""),EDATE(P248,12),AND(AH248="K5-LAW",AG248="นิติศาสตร์",OR(K248="M2",K248="K4"),T248="",Z248=""),EDATE(P248,12*2),AND(AH248="K5-LAW",AG248="นิติศาสตร์",OR(Z248="M2",Z248="K4"),AC248&gt;=2,OR(AB248&lt;V248,AB248&lt;P248)),EDATE(AB248,12*2),AND(AH248="K5-LAW",AG248="นิติศาสตร์",Z248="S1",AC248&gt;=1,OR(AB248&lt;V248,AB248&lt;P248)),EDATE(AB248,12),AND(AH248="K5-LAW",AG248="นิติศาสตร์",OR(T248="M2",T248="K4"),W248&gt;=2,V248&lt;P248),EDATE(V248,12*2),AND(AH248="K5-LAW",AG248="นิติศาสตร์",T248="S1",W248&gt;=1,V248&lt;P248),EDATE(V248,12),AND(AH248="K5-LAW",AG248="นิติศาสตร์",OR(T248="S2",T248="K5")),V248,AND(AH248="K5-LAW",AG248="นิติศาสตร์",OR(K248="M2",K248="K4"),Q248&gt;=2),EDATE(P248,12*2),AND(AH248="K5-LAW",AG248="นิติศาสตร์",K248="S1",Q248&gt;=1),EDATE(P248,12),AND(AH248="K5-LAW",AG248="นิติศาสตร์",OR(K248="S2",K248="K5")),P248,AND(AH248="K5-POLICY",AG248&lt;&gt;"นิติศาสตร์",K248="S2",T248="",Z248=""),P248,AND(AH248="K5-POLICY",AG248&lt;&gt;"นิติศาสตร์",K248="S1",T248="",Z248=""),EDATE(P248,12),AND(AH248="K5-POLICY",AG248&lt;&gt;"นิติศาสตร์",OR(K248="M2",K248="K4"),T248="",Z248=""),EDATE(P248,12*2),AND(AH248="K5-POLICY",AG248&lt;&gt;"นิติศาสตร์",OR(Z248="M2",Z248="K4"),AC248&gt;=2,OR(AB248&lt;V248,AB248&lt;P248)),EDATE(AB248,12*2),AND(AH248="K5-POLICY",AG248&lt;&gt;"นิติศาสตร์",Z248="S1",AC248&gt;=1,OR(AB248&lt;V248,AB248&lt;P248)),EDATE(AB248,12),AND(AH248="K5-POLICY",AG248&lt;&gt;"นิติศาสตร์",OR(T248="M2",T248="K4"),W248&gt;=2,V248&lt;P248),EDATE(V248,12*2),AND(AH248="K5-POLICY",AG248&lt;&gt;"นิติศาสตร์",T248="S1",W248&gt;=1,V248&lt;P248),EDATE(V248,12),AND(AH248="K5-POLICY",AG248&lt;&gt;"นิติศาสตร์",OR(T248="S2",T248="K5")),V248,AND(AH248="K5-POLICY",AG248&lt;&gt;"นิติศาสตร์",OR(K248="M2",K248="K4"),Q248&gt;=2),EDATE(P248,12*2),AND(AH248="K5-POLICY",AG248&lt;&gt;"นิติศาสตร์",K248="S1",Q248&gt;=1),EDATE(P248,12),AND(AH248="K5-POLICY",AG248&lt;&gt;"นิติศาสตร์",OR(K248="S2",K248="K5")),P248,TRUE,"Check Data")</f>
        <v/>
      </c>
      <c r="AJ248" s="75" t="str">
        <f t="shared" si="61"/>
        <v>Check Data</v>
      </c>
      <c r="AK248" s="76" t="str">
        <f t="shared" si="62"/>
        <v>Check Data</v>
      </c>
      <c r="AL248" s="50" t="str">
        <f t="shared" si="63"/>
        <v>Check Data</v>
      </c>
      <c r="AM248" s="49" t="str">
        <f>IF(B248="","",IF(K248="S1","S1",INDEX(#REF!,#REF!)))</f>
        <v/>
      </c>
      <c r="AN248" s="49" t="str">
        <f>K248</f>
        <v>M2</v>
      </c>
      <c r="AO248" s="50" t="b">
        <f>K248=AM248</f>
        <v>0</v>
      </c>
      <c r="AP248" s="50"/>
    </row>
    <row r="249" spans="1:42" ht="21.75">
      <c r="A249" s="49">
        <v>247</v>
      </c>
      <c r="B249" s="50"/>
      <c r="C249" s="52"/>
      <c r="D249" s="79"/>
      <c r="E249" s="79"/>
      <c r="F249" s="79"/>
      <c r="G249" s="50">
        <f t="shared" si="49"/>
        <v>0</v>
      </c>
      <c r="H249" s="50">
        <f t="shared" si="50"/>
        <v>0</v>
      </c>
      <c r="I249" s="50">
        <f t="shared" si="51"/>
        <v>0</v>
      </c>
      <c r="J249" s="79"/>
      <c r="K249" s="49" t="s">
        <v>136</v>
      </c>
      <c r="L249" s="79"/>
      <c r="M249" s="79"/>
      <c r="N249" s="79"/>
      <c r="O249" s="65" t="s">
        <v>433</v>
      </c>
      <c r="P249" s="49" t="str">
        <f t="shared" si="52"/>
        <v>23/04/2024</v>
      </c>
      <c r="Q249" s="68">
        <f t="shared" si="53"/>
        <v>1</v>
      </c>
      <c r="R249" s="68">
        <f t="shared" si="54"/>
        <v>1</v>
      </c>
      <c r="S249" s="68">
        <f t="shared" si="55"/>
        <v>28</v>
      </c>
      <c r="T249" s="65"/>
      <c r="U249" s="83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49" t="str">
        <f>IF(AG249="นิติศาสตร์","K5-LAW","K5-POLICY")</f>
        <v>K5-POLICY</v>
      </c>
      <c r="AI249" s="72" t="str">
        <f>_xlfn.IFS(B249="","",AND(AH249="K5-LAW",AG249="นิติศาสตร์",K249="S2",T249="",Z249=""),P249,AND(AH249="K5-LAW",AG249="นิติศาสตร์",K249="S1",T249="",Z249=""),EDATE(P249,12),AND(AH249="K5-LAW",AG249="นิติศาสตร์",OR(K249="M2",K249="K4"),T249="",Z249=""),EDATE(P249,12*2),AND(AH249="K5-LAW",AG249="นิติศาสตร์",OR(Z249="M2",Z249="K4"),AC249&gt;=2,OR(AB249&lt;V249,AB249&lt;P249)),EDATE(AB249,12*2),AND(AH249="K5-LAW",AG249="นิติศาสตร์",Z249="S1",AC249&gt;=1,OR(AB249&lt;V249,AB249&lt;P249)),EDATE(AB249,12),AND(AH249="K5-LAW",AG249="นิติศาสตร์",OR(T249="M2",T249="K4"),W249&gt;=2,V249&lt;P249),EDATE(V249,12*2),AND(AH249="K5-LAW",AG249="นิติศาสตร์",T249="S1",W249&gt;=1,V249&lt;P249),EDATE(V249,12),AND(AH249="K5-LAW",AG249="นิติศาสตร์",OR(T249="S2",T249="K5")),V249,AND(AH249="K5-LAW",AG249="นิติศาสตร์",OR(K249="M2",K249="K4"),Q249&gt;=2),EDATE(P249,12*2),AND(AH249="K5-LAW",AG249="นิติศาสตร์",K249="S1",Q249&gt;=1),EDATE(P249,12),AND(AH249="K5-LAW",AG249="นิติศาสตร์",OR(K249="S2",K249="K5")),P249,AND(AH249="K5-POLICY",AG249&lt;&gt;"นิติศาสตร์",K249="S2",T249="",Z249=""),P249,AND(AH249="K5-POLICY",AG249&lt;&gt;"นิติศาสตร์",K249="S1",T249="",Z249=""),EDATE(P249,12),AND(AH249="K5-POLICY",AG249&lt;&gt;"นิติศาสตร์",OR(K249="M2",K249="K4"),T249="",Z249=""),EDATE(P249,12*2),AND(AH249="K5-POLICY",AG249&lt;&gt;"นิติศาสตร์",OR(Z249="M2",Z249="K4"),AC249&gt;=2,OR(AB249&lt;V249,AB249&lt;P249)),EDATE(AB249,12*2),AND(AH249="K5-POLICY",AG249&lt;&gt;"นิติศาสตร์",Z249="S1",AC249&gt;=1,OR(AB249&lt;V249,AB249&lt;P249)),EDATE(AB249,12),AND(AH249="K5-POLICY",AG249&lt;&gt;"นิติศาสตร์",OR(T249="M2",T249="K4"),W249&gt;=2,V249&lt;P249),EDATE(V249,12*2),AND(AH249="K5-POLICY",AG249&lt;&gt;"นิติศาสตร์",T249="S1",W249&gt;=1,V249&lt;P249),EDATE(V249,12),AND(AH249="K5-POLICY",AG249&lt;&gt;"นิติศาสตร์",OR(T249="S2",T249="K5")),V249,AND(AH249="K5-POLICY",AG249&lt;&gt;"นิติศาสตร์",OR(K249="M2",K249="K4"),Q249&gt;=2),EDATE(P249,12*2),AND(AH249="K5-POLICY",AG249&lt;&gt;"นิติศาสตร์",K249="S1",Q249&gt;=1),EDATE(P249,12),AND(AH249="K5-POLICY",AG249&lt;&gt;"นิติศาสตร์",OR(K249="S2",K249="K5")),P249,TRUE,"Check Data")</f>
        <v/>
      </c>
      <c r="AJ249" s="75" t="str">
        <f t="shared" si="61"/>
        <v>Check Data</v>
      </c>
      <c r="AK249" s="76" t="str">
        <f t="shared" si="62"/>
        <v>Check Data</v>
      </c>
      <c r="AL249" s="50" t="str">
        <f t="shared" si="63"/>
        <v>Check Data</v>
      </c>
      <c r="AM249" s="49" t="str">
        <f>IF(B249="","",IF(K249="S1","S1",INDEX(#REF!,#REF!)))</f>
        <v/>
      </c>
      <c r="AN249" s="49" t="str">
        <f>K249</f>
        <v>M2</v>
      </c>
      <c r="AO249" s="50" t="b">
        <f>K249=AM249</f>
        <v>0</v>
      </c>
      <c r="AP249" s="50"/>
    </row>
    <row r="250" spans="1:42" ht="21.75">
      <c r="A250" s="49">
        <v>248</v>
      </c>
      <c r="B250" s="50"/>
      <c r="C250" s="52"/>
      <c r="D250" s="50"/>
      <c r="E250" s="49"/>
      <c r="F250" s="49"/>
      <c r="G250" s="50">
        <f t="shared" si="49"/>
        <v>0</v>
      </c>
      <c r="H250" s="50">
        <f t="shared" si="50"/>
        <v>0</v>
      </c>
      <c r="I250" s="50">
        <f t="shared" si="51"/>
        <v>0</v>
      </c>
      <c r="J250" s="50"/>
      <c r="K250" s="49" t="s">
        <v>136</v>
      </c>
      <c r="L250" s="64"/>
      <c r="M250" s="49"/>
      <c r="N250" s="49"/>
      <c r="O250" s="65" t="s">
        <v>434</v>
      </c>
      <c r="P250" s="49" t="str">
        <f t="shared" si="52"/>
        <v>02/07/2024</v>
      </c>
      <c r="Q250" s="68">
        <f t="shared" si="53"/>
        <v>0</v>
      </c>
      <c r="R250" s="68">
        <f t="shared" si="54"/>
        <v>11</v>
      </c>
      <c r="S250" s="68">
        <f t="shared" si="55"/>
        <v>18</v>
      </c>
      <c r="T250" s="65"/>
      <c r="U250" s="65"/>
      <c r="V250" s="49"/>
      <c r="W250" s="68"/>
      <c r="X250" s="68"/>
      <c r="Y250" s="68"/>
      <c r="Z250" s="49"/>
      <c r="AA250" s="65"/>
      <c r="AB250" s="50"/>
      <c r="AC250" s="68"/>
      <c r="AD250" s="68"/>
      <c r="AE250" s="68"/>
      <c r="AF250" s="50"/>
      <c r="AG250" s="50"/>
      <c r="AH250" s="49" t="str">
        <f>IF(AG250="นิติศาสตร์","K5-LAW","K5-POLICY")</f>
        <v>K5-POLICY</v>
      </c>
      <c r="AI250" s="72" t="str">
        <f>_xlfn.IFS(B250="","",AND(AH250="K5-LAW",AG250="นิติศาสตร์",K250="S2",T250="",Z250=""),P250,AND(AH250="K5-LAW",AG250="นิติศาสตร์",K250="S1",T250="",Z250=""),EDATE(P250,12),AND(AH250="K5-LAW",AG250="นิติศาสตร์",OR(K250="M2",K250="K4"),T250="",Z250=""),EDATE(P250,12*2),AND(AH250="K5-LAW",AG250="นิติศาสตร์",OR(Z250="M2",Z250="K4"),AC250&gt;=2,OR(AB250&lt;V250,AB250&lt;P250)),EDATE(AB250,12*2),AND(AH250="K5-LAW",AG250="นิติศาสตร์",Z250="S1",AC250&gt;=1,OR(AB250&lt;V250,AB250&lt;P250)),EDATE(AB250,12),AND(AH250="K5-LAW",AG250="นิติศาสตร์",OR(T250="M2",T250="K4"),W250&gt;=2,V250&lt;P250),EDATE(V250,12*2),AND(AH250="K5-LAW",AG250="นิติศาสตร์",T250="S1",W250&gt;=1,V250&lt;P250),EDATE(V250,12),AND(AH250="K5-LAW",AG250="นิติศาสตร์",OR(T250="S2",T250="K5")),V250,AND(AH250="K5-LAW",AG250="นิติศาสตร์",OR(K250="M2",K250="K4"),Q250&gt;=2),EDATE(P250,12*2),AND(AH250="K5-LAW",AG250="นิติศาสตร์",K250="S1",Q250&gt;=1),EDATE(P250,12),AND(AH250="K5-LAW",AG250="นิติศาสตร์",OR(K250="S2",K250="K5")),P250,AND(AH250="K5-POLICY",AG250&lt;&gt;"นิติศาสตร์",K250="S2",T250="",Z250=""),P250,AND(AH250="K5-POLICY",AG250&lt;&gt;"นิติศาสตร์",K250="S1",T250="",Z250=""),EDATE(P250,12),AND(AH250="K5-POLICY",AG250&lt;&gt;"นิติศาสตร์",OR(K250="M2",K250="K4"),T250="",Z250=""),EDATE(P250,12*2),AND(AH250="K5-POLICY",AG250&lt;&gt;"นิติศาสตร์",OR(Z250="M2",Z250="K4"),AC250&gt;=2,OR(AB250&lt;V250,AB250&lt;P250)),EDATE(AB250,12*2),AND(AH250="K5-POLICY",AG250&lt;&gt;"นิติศาสตร์",Z250="S1",AC250&gt;=1,OR(AB250&lt;V250,AB250&lt;P250)),EDATE(AB250,12),AND(AH250="K5-POLICY",AG250&lt;&gt;"นิติศาสตร์",OR(T250="M2",T250="K4"),W250&gt;=2,V250&lt;P250),EDATE(V250,12*2),AND(AH250="K5-POLICY",AG250&lt;&gt;"นิติศาสตร์",T250="S1",W250&gt;=1,V250&lt;P250),EDATE(V250,12),AND(AH250="K5-POLICY",AG250&lt;&gt;"นิติศาสตร์",OR(T250="S2",T250="K5")),V250,AND(AH250="K5-POLICY",AG250&lt;&gt;"นิติศาสตร์",OR(K250="M2",K250="K4"),Q250&gt;=2),EDATE(P250,12*2),AND(AH250="K5-POLICY",AG250&lt;&gt;"นิติศาสตร์",K250="S1",Q250&gt;=1),EDATE(P250,12),AND(AH250="K5-POLICY",AG250&lt;&gt;"นิติศาสตร์",OR(K250="S2",K250="K5")),P250,TRUE,"Check Data")</f>
        <v/>
      </c>
      <c r="AJ250" s="75" t="str">
        <f t="shared" si="61"/>
        <v>Check Data</v>
      </c>
      <c r="AK250" s="76" t="str">
        <f t="shared" si="62"/>
        <v>Check Data</v>
      </c>
      <c r="AL250" s="50" t="str">
        <f t="shared" si="63"/>
        <v>Check Data</v>
      </c>
      <c r="AM250" s="49" t="str">
        <f>IF(B250="","",IF(K250="S1","S1",INDEX(#REF!,#REF!)))</f>
        <v/>
      </c>
      <c r="AN250" s="49" t="str">
        <f>K250</f>
        <v>M2</v>
      </c>
      <c r="AO250" s="50" t="b">
        <f>K250=AM250</f>
        <v>0</v>
      </c>
      <c r="AP250" s="50"/>
    </row>
    <row r="251" spans="1:42" ht="21.75">
      <c r="A251" s="49">
        <v>249</v>
      </c>
      <c r="B251" s="50"/>
      <c r="C251" s="52"/>
      <c r="D251" s="50"/>
      <c r="E251" s="49"/>
      <c r="F251" s="49"/>
      <c r="G251" s="50">
        <f t="shared" si="49"/>
        <v>0</v>
      </c>
      <c r="H251" s="50">
        <f t="shared" si="50"/>
        <v>0</v>
      </c>
      <c r="I251" s="50">
        <f t="shared" si="51"/>
        <v>0</v>
      </c>
      <c r="J251" s="50"/>
      <c r="K251" s="49" t="s">
        <v>136</v>
      </c>
      <c r="L251" s="64"/>
      <c r="M251" s="49"/>
      <c r="N251" s="49"/>
      <c r="O251" s="65" t="s">
        <v>434</v>
      </c>
      <c r="P251" s="49" t="str">
        <f t="shared" si="52"/>
        <v>02/07/2024</v>
      </c>
      <c r="Q251" s="68">
        <f t="shared" si="53"/>
        <v>0</v>
      </c>
      <c r="R251" s="68">
        <f t="shared" si="54"/>
        <v>11</v>
      </c>
      <c r="S251" s="68">
        <f t="shared" si="55"/>
        <v>18</v>
      </c>
      <c r="T251" s="65"/>
      <c r="U251" s="65"/>
      <c r="V251" s="49"/>
      <c r="W251" s="68"/>
      <c r="X251" s="68"/>
      <c r="Y251" s="68"/>
      <c r="Z251" s="49"/>
      <c r="AA251" s="65"/>
      <c r="AB251" s="50"/>
      <c r="AC251" s="68"/>
      <c r="AD251" s="68"/>
      <c r="AE251" s="68"/>
      <c r="AF251" s="50"/>
      <c r="AG251" s="50"/>
      <c r="AH251" s="49" t="str">
        <f>IF(AG251="นิติศาสตร์","K5-LAW","K5-POLICY")</f>
        <v>K5-POLICY</v>
      </c>
      <c r="AI251" s="72" t="str">
        <f>_xlfn.IFS(B251="","",AND(AH251="K5-LAW",AG251="นิติศาสตร์",K251="S2",T251="",Z251=""),P251,AND(AH251="K5-LAW",AG251="นิติศาสตร์",K251="S1",T251="",Z251=""),EDATE(P251,12),AND(AH251="K5-LAW",AG251="นิติศาสตร์",OR(K251="M2",K251="K4"),T251="",Z251=""),EDATE(P251,12*2),AND(AH251="K5-LAW",AG251="นิติศาสตร์",OR(Z251="M2",Z251="K4"),AC251&gt;=2,OR(AB251&lt;V251,AB251&lt;P251)),EDATE(AB251,12*2),AND(AH251="K5-LAW",AG251="นิติศาสตร์",Z251="S1",AC251&gt;=1,OR(AB251&lt;V251,AB251&lt;P251)),EDATE(AB251,12),AND(AH251="K5-LAW",AG251="นิติศาสตร์",OR(T251="M2",T251="K4"),W251&gt;=2,V251&lt;P251),EDATE(V251,12*2),AND(AH251="K5-LAW",AG251="นิติศาสตร์",T251="S1",W251&gt;=1,V251&lt;P251),EDATE(V251,12),AND(AH251="K5-LAW",AG251="นิติศาสตร์",OR(T251="S2",T251="K5")),V251,AND(AH251="K5-LAW",AG251="นิติศาสตร์",OR(K251="M2",K251="K4"),Q251&gt;=2),EDATE(P251,12*2),AND(AH251="K5-LAW",AG251="นิติศาสตร์",K251="S1",Q251&gt;=1),EDATE(P251,12),AND(AH251="K5-LAW",AG251="นิติศาสตร์",OR(K251="S2",K251="K5")),P251,AND(AH251="K5-POLICY",AG251&lt;&gt;"นิติศาสตร์",K251="S2",T251="",Z251=""),P251,AND(AH251="K5-POLICY",AG251&lt;&gt;"นิติศาสตร์",K251="S1",T251="",Z251=""),EDATE(P251,12),AND(AH251="K5-POLICY",AG251&lt;&gt;"นิติศาสตร์",OR(K251="M2",K251="K4"),T251="",Z251=""),EDATE(P251,12*2),AND(AH251="K5-POLICY",AG251&lt;&gt;"นิติศาสตร์",OR(Z251="M2",Z251="K4"),AC251&gt;=2,OR(AB251&lt;V251,AB251&lt;P251)),EDATE(AB251,12*2),AND(AH251="K5-POLICY",AG251&lt;&gt;"นิติศาสตร์",Z251="S1",AC251&gt;=1,OR(AB251&lt;V251,AB251&lt;P251)),EDATE(AB251,12),AND(AH251="K5-POLICY",AG251&lt;&gt;"นิติศาสตร์",OR(T251="M2",T251="K4"),W251&gt;=2,V251&lt;P251),EDATE(V251,12*2),AND(AH251="K5-POLICY",AG251&lt;&gt;"นิติศาสตร์",T251="S1",W251&gt;=1,V251&lt;P251),EDATE(V251,12),AND(AH251="K5-POLICY",AG251&lt;&gt;"นิติศาสตร์",OR(T251="S2",T251="K5")),V251,AND(AH251="K5-POLICY",AG251&lt;&gt;"นิติศาสตร์",OR(K251="M2",K251="K4"),Q251&gt;=2),EDATE(P251,12*2),AND(AH251="K5-POLICY",AG251&lt;&gt;"นิติศาสตร์",K251="S1",Q251&gt;=1),EDATE(P251,12),AND(AH251="K5-POLICY",AG251&lt;&gt;"นิติศาสตร์",OR(K251="S2",K251="K5")),P251,TRUE,"Check Data")</f>
        <v/>
      </c>
      <c r="AJ251" s="75" t="str">
        <f t="shared" si="61"/>
        <v>Check Data</v>
      </c>
      <c r="AK251" s="76" t="str">
        <f t="shared" si="62"/>
        <v>Check Data</v>
      </c>
      <c r="AL251" s="50" t="str">
        <f t="shared" si="63"/>
        <v>Check Data</v>
      </c>
      <c r="AM251" s="49" t="str">
        <f>IF(B251="","",IF(K251="S1","S1",INDEX(#REF!,#REF!)))</f>
        <v/>
      </c>
      <c r="AN251" s="49" t="str">
        <f>K251</f>
        <v>M2</v>
      </c>
      <c r="AO251" s="50" t="b">
        <f>K251=AM251</f>
        <v>0</v>
      </c>
      <c r="AP251" s="50"/>
    </row>
    <row r="252" spans="1:42" ht="21.75">
      <c r="A252" s="49">
        <v>250</v>
      </c>
      <c r="B252" s="50"/>
      <c r="C252" s="52"/>
      <c r="D252" s="50"/>
      <c r="E252" s="49"/>
      <c r="F252" s="49"/>
      <c r="G252" s="50">
        <f t="shared" si="49"/>
        <v>0</v>
      </c>
      <c r="H252" s="50">
        <f t="shared" si="50"/>
        <v>0</v>
      </c>
      <c r="I252" s="50">
        <f t="shared" si="51"/>
        <v>0</v>
      </c>
      <c r="J252" s="50"/>
      <c r="K252" s="49" t="s">
        <v>136</v>
      </c>
      <c r="L252" s="64"/>
      <c r="M252" s="49"/>
      <c r="N252" s="49"/>
      <c r="O252" s="65" t="s">
        <v>434</v>
      </c>
      <c r="P252" s="49" t="str">
        <f t="shared" si="52"/>
        <v>02/07/2024</v>
      </c>
      <c r="Q252" s="68">
        <f t="shared" si="53"/>
        <v>0</v>
      </c>
      <c r="R252" s="68">
        <f t="shared" si="54"/>
        <v>11</v>
      </c>
      <c r="S252" s="68">
        <f t="shared" si="55"/>
        <v>18</v>
      </c>
      <c r="T252" s="65"/>
      <c r="U252" s="65"/>
      <c r="V252" s="49"/>
      <c r="W252" s="68"/>
      <c r="X252" s="68"/>
      <c r="Y252" s="68"/>
      <c r="Z252" s="49"/>
      <c r="AA252" s="65"/>
      <c r="AB252" s="50"/>
      <c r="AC252" s="68"/>
      <c r="AD252" s="68"/>
      <c r="AE252" s="68"/>
      <c r="AF252" s="50"/>
      <c r="AG252" s="50"/>
      <c r="AH252" s="49" t="str">
        <f>IF(AG252="นิติศาสตร์","K5-LAW","K5-POLICY")</f>
        <v>K5-POLICY</v>
      </c>
      <c r="AI252" s="72" t="str">
        <f>_xlfn.IFS(B252="","",AND(AH252="K5-LAW",AG252="นิติศาสตร์",K252="S2",T252="",Z252=""),P252,AND(AH252="K5-LAW",AG252="นิติศาสตร์",K252="S1",T252="",Z252=""),EDATE(P252,12),AND(AH252="K5-LAW",AG252="นิติศาสตร์",OR(K252="M2",K252="K4"),T252="",Z252=""),EDATE(P252,12*2),AND(AH252="K5-LAW",AG252="นิติศาสตร์",OR(Z252="M2",Z252="K4"),AC252&gt;=2,OR(AB252&lt;V252,AB252&lt;P252)),EDATE(AB252,12*2),AND(AH252="K5-LAW",AG252="นิติศาสตร์",Z252="S1",AC252&gt;=1,OR(AB252&lt;V252,AB252&lt;P252)),EDATE(AB252,12),AND(AH252="K5-LAW",AG252="นิติศาสตร์",OR(T252="M2",T252="K4"),W252&gt;=2,V252&lt;P252),EDATE(V252,12*2),AND(AH252="K5-LAW",AG252="นิติศาสตร์",T252="S1",W252&gt;=1,V252&lt;P252),EDATE(V252,12),AND(AH252="K5-LAW",AG252="นิติศาสตร์",OR(T252="S2",T252="K5")),V252,AND(AH252="K5-LAW",AG252="นิติศาสตร์",OR(K252="M2",K252="K4"),Q252&gt;=2),EDATE(P252,12*2),AND(AH252="K5-LAW",AG252="นิติศาสตร์",K252="S1",Q252&gt;=1),EDATE(P252,12),AND(AH252="K5-LAW",AG252="นิติศาสตร์",OR(K252="S2",K252="K5")),P252,AND(AH252="K5-POLICY",AG252&lt;&gt;"นิติศาสตร์",K252="S2",T252="",Z252=""),P252,AND(AH252="K5-POLICY",AG252&lt;&gt;"นิติศาสตร์",K252="S1",T252="",Z252=""),EDATE(P252,12),AND(AH252="K5-POLICY",AG252&lt;&gt;"นิติศาสตร์",OR(K252="M2",K252="K4"),T252="",Z252=""),EDATE(P252,12*2),AND(AH252="K5-POLICY",AG252&lt;&gt;"นิติศาสตร์",OR(Z252="M2",Z252="K4"),AC252&gt;=2,OR(AB252&lt;V252,AB252&lt;P252)),EDATE(AB252,12*2),AND(AH252="K5-POLICY",AG252&lt;&gt;"นิติศาสตร์",Z252="S1",AC252&gt;=1,OR(AB252&lt;V252,AB252&lt;P252)),EDATE(AB252,12),AND(AH252="K5-POLICY",AG252&lt;&gt;"นิติศาสตร์",OR(T252="M2",T252="K4"),W252&gt;=2,V252&lt;P252),EDATE(V252,12*2),AND(AH252="K5-POLICY",AG252&lt;&gt;"นิติศาสตร์",T252="S1",W252&gt;=1,V252&lt;P252),EDATE(V252,12),AND(AH252="K5-POLICY",AG252&lt;&gt;"นิติศาสตร์",OR(T252="S2",T252="K5")),V252,AND(AH252="K5-POLICY",AG252&lt;&gt;"นิติศาสตร์",OR(K252="M2",K252="K4"),Q252&gt;=2),EDATE(P252,12*2),AND(AH252="K5-POLICY",AG252&lt;&gt;"นิติศาสตร์",K252="S1",Q252&gt;=1),EDATE(P252,12),AND(AH252="K5-POLICY",AG252&lt;&gt;"นิติศาสตร์",OR(K252="S2",K252="K5")),P252,TRUE,"Check Data")</f>
        <v/>
      </c>
      <c r="AJ252" s="75" t="str">
        <f t="shared" si="61"/>
        <v>Check Data</v>
      </c>
      <c r="AK252" s="76" t="str">
        <f t="shared" si="62"/>
        <v>Check Data</v>
      </c>
      <c r="AL252" s="50" t="str">
        <f t="shared" si="63"/>
        <v>Check Data</v>
      </c>
      <c r="AM252" s="49" t="str">
        <f>IF(B252="","",IF(K252="S1","S1",INDEX(#REF!,#REF!)))</f>
        <v/>
      </c>
      <c r="AN252" s="49" t="str">
        <f>K252</f>
        <v>M2</v>
      </c>
      <c r="AO252" s="50" t="b">
        <f>K252=AM252</f>
        <v>0</v>
      </c>
      <c r="AP252" s="50"/>
    </row>
    <row r="253" spans="1:42" ht="21.75">
      <c r="A253" s="49">
        <v>251</v>
      </c>
      <c r="B253" s="50"/>
      <c r="C253" s="52"/>
      <c r="D253" s="50"/>
      <c r="E253" s="49"/>
      <c r="F253" s="49"/>
      <c r="G253" s="50">
        <f t="shared" si="49"/>
        <v>0</v>
      </c>
      <c r="H253" s="50">
        <f t="shared" si="50"/>
        <v>0</v>
      </c>
      <c r="I253" s="50">
        <f t="shared" si="51"/>
        <v>0</v>
      </c>
      <c r="J253" s="50"/>
      <c r="K253" s="49" t="s">
        <v>136</v>
      </c>
      <c r="L253" s="64"/>
      <c r="M253" s="49"/>
      <c r="N253" s="49"/>
      <c r="O253" s="65" t="s">
        <v>434</v>
      </c>
      <c r="P253" s="49" t="str">
        <f t="shared" si="52"/>
        <v>02/07/2024</v>
      </c>
      <c r="Q253" s="68">
        <f t="shared" si="53"/>
        <v>0</v>
      </c>
      <c r="R253" s="68">
        <f t="shared" si="54"/>
        <v>11</v>
      </c>
      <c r="S253" s="68">
        <f t="shared" si="55"/>
        <v>18</v>
      </c>
      <c r="T253" s="65"/>
      <c r="U253" s="65"/>
      <c r="V253" s="49"/>
      <c r="W253" s="68"/>
      <c r="X253" s="68"/>
      <c r="Y253" s="68"/>
      <c r="Z253" s="49"/>
      <c r="AA253" s="65"/>
      <c r="AB253" s="50"/>
      <c r="AC253" s="68"/>
      <c r="AD253" s="68"/>
      <c r="AE253" s="68"/>
      <c r="AF253" s="50"/>
      <c r="AG253" s="50"/>
      <c r="AH253" s="49" t="str">
        <f>IF(AG253="นิติศาสตร์","K5-LAW","K5-POLICY")</f>
        <v>K5-POLICY</v>
      </c>
      <c r="AI253" s="72" t="str">
        <f>_xlfn.IFS(B253="","",AND(AH253="K5-LAW",AG253="นิติศาสตร์",K253="S2",T253="",Z253=""),P253,AND(AH253="K5-LAW",AG253="นิติศาสตร์",K253="S1",T253="",Z253=""),EDATE(P253,12),AND(AH253="K5-LAW",AG253="นิติศาสตร์",OR(K253="M2",K253="K4"),T253="",Z253=""),EDATE(P253,12*2),AND(AH253="K5-LAW",AG253="นิติศาสตร์",OR(Z253="M2",Z253="K4"),AC253&gt;=2,OR(AB253&lt;V253,AB253&lt;P253)),EDATE(AB253,12*2),AND(AH253="K5-LAW",AG253="นิติศาสตร์",Z253="S1",AC253&gt;=1,OR(AB253&lt;V253,AB253&lt;P253)),EDATE(AB253,12),AND(AH253="K5-LAW",AG253="นิติศาสตร์",OR(T253="M2",T253="K4"),W253&gt;=2,V253&lt;P253),EDATE(V253,12*2),AND(AH253="K5-LAW",AG253="นิติศาสตร์",T253="S1",W253&gt;=1,V253&lt;P253),EDATE(V253,12),AND(AH253="K5-LAW",AG253="นิติศาสตร์",OR(T253="S2",T253="K5")),V253,AND(AH253="K5-LAW",AG253="นิติศาสตร์",OR(K253="M2",K253="K4"),Q253&gt;=2),EDATE(P253,12*2),AND(AH253="K5-LAW",AG253="นิติศาสตร์",K253="S1",Q253&gt;=1),EDATE(P253,12),AND(AH253="K5-LAW",AG253="นิติศาสตร์",OR(K253="S2",K253="K5")),P253,AND(AH253="K5-POLICY",AG253&lt;&gt;"นิติศาสตร์",K253="S2",T253="",Z253=""),P253,AND(AH253="K5-POLICY",AG253&lt;&gt;"นิติศาสตร์",K253="S1",T253="",Z253=""),EDATE(P253,12),AND(AH253="K5-POLICY",AG253&lt;&gt;"นิติศาสตร์",OR(K253="M2",K253="K4"),T253="",Z253=""),EDATE(P253,12*2),AND(AH253="K5-POLICY",AG253&lt;&gt;"นิติศาสตร์",OR(Z253="M2",Z253="K4"),AC253&gt;=2,OR(AB253&lt;V253,AB253&lt;P253)),EDATE(AB253,12*2),AND(AH253="K5-POLICY",AG253&lt;&gt;"นิติศาสตร์",Z253="S1",AC253&gt;=1,OR(AB253&lt;V253,AB253&lt;P253)),EDATE(AB253,12),AND(AH253="K5-POLICY",AG253&lt;&gt;"นิติศาสตร์",OR(T253="M2",T253="K4"),W253&gt;=2,V253&lt;P253),EDATE(V253,12*2),AND(AH253="K5-POLICY",AG253&lt;&gt;"นิติศาสตร์",T253="S1",W253&gt;=1,V253&lt;P253),EDATE(V253,12),AND(AH253="K5-POLICY",AG253&lt;&gt;"นิติศาสตร์",OR(T253="S2",T253="K5")),V253,AND(AH253="K5-POLICY",AG253&lt;&gt;"นิติศาสตร์",OR(K253="M2",K253="K4"),Q253&gt;=2),EDATE(P253,12*2),AND(AH253="K5-POLICY",AG253&lt;&gt;"นิติศาสตร์",K253="S1",Q253&gt;=1),EDATE(P253,12),AND(AH253="K5-POLICY",AG253&lt;&gt;"นิติศาสตร์",OR(K253="S2",K253="K5")),P253,TRUE,"Check Data")</f>
        <v/>
      </c>
      <c r="AJ253" s="75" t="str">
        <f t="shared" si="61"/>
        <v>Check Data</v>
      </c>
      <c r="AK253" s="76" t="str">
        <f t="shared" si="62"/>
        <v>Check Data</v>
      </c>
      <c r="AL253" s="50" t="str">
        <f t="shared" si="63"/>
        <v>Check Data</v>
      </c>
      <c r="AM253" s="49" t="str">
        <f>IF(B253="","",IF(K253="S1","S1",INDEX(#REF!,#REF!)))</f>
        <v/>
      </c>
      <c r="AN253" s="49" t="str">
        <f>K253</f>
        <v>M2</v>
      </c>
      <c r="AO253" s="50" t="b">
        <f>K253=AM253</f>
        <v>0</v>
      </c>
      <c r="AP253" s="50"/>
    </row>
    <row r="254" spans="1:42" ht="21.75">
      <c r="A254" s="49">
        <v>252</v>
      </c>
      <c r="B254" s="50"/>
      <c r="C254" s="52"/>
      <c r="D254" s="50"/>
      <c r="E254" s="49"/>
      <c r="F254" s="49"/>
      <c r="G254" s="50">
        <f t="shared" si="49"/>
        <v>0</v>
      </c>
      <c r="H254" s="50">
        <f t="shared" si="50"/>
        <v>0</v>
      </c>
      <c r="I254" s="50">
        <f t="shared" si="51"/>
        <v>0</v>
      </c>
      <c r="J254" s="50"/>
      <c r="K254" s="49" t="s">
        <v>136</v>
      </c>
      <c r="L254" s="64"/>
      <c r="M254" s="49"/>
      <c r="N254" s="49"/>
      <c r="O254" s="65" t="s">
        <v>434</v>
      </c>
      <c r="P254" s="49" t="str">
        <f t="shared" si="52"/>
        <v>02/07/2024</v>
      </c>
      <c r="Q254" s="68">
        <f t="shared" si="53"/>
        <v>0</v>
      </c>
      <c r="R254" s="68">
        <f t="shared" si="54"/>
        <v>11</v>
      </c>
      <c r="S254" s="68">
        <f t="shared" si="55"/>
        <v>18</v>
      </c>
      <c r="T254" s="65"/>
      <c r="U254" s="65"/>
      <c r="V254" s="49"/>
      <c r="W254" s="68"/>
      <c r="X254" s="68"/>
      <c r="Y254" s="68"/>
      <c r="Z254" s="49"/>
      <c r="AA254" s="65"/>
      <c r="AB254" s="50"/>
      <c r="AC254" s="68"/>
      <c r="AD254" s="68"/>
      <c r="AE254" s="68"/>
      <c r="AF254" s="50"/>
      <c r="AG254" s="50"/>
      <c r="AH254" s="49" t="str">
        <f>IF(AG254="นิติศาสตร์","K5-LAW","K5-POLICY")</f>
        <v>K5-POLICY</v>
      </c>
      <c r="AI254" s="72" t="str">
        <f>_xlfn.IFS(B254="","",AND(AH254="K5-LAW",AG254="นิติศาสตร์",K254="S2",T254="",Z254=""),P254,AND(AH254="K5-LAW",AG254="นิติศาสตร์",K254="S1",T254="",Z254=""),EDATE(P254,12),AND(AH254="K5-LAW",AG254="นิติศาสตร์",OR(K254="M2",K254="K4"),T254="",Z254=""),EDATE(P254,12*2),AND(AH254="K5-LAW",AG254="นิติศาสตร์",OR(Z254="M2",Z254="K4"),AC254&gt;=2,OR(AB254&lt;V254,AB254&lt;P254)),EDATE(AB254,12*2),AND(AH254="K5-LAW",AG254="นิติศาสตร์",Z254="S1",AC254&gt;=1,OR(AB254&lt;V254,AB254&lt;P254)),EDATE(AB254,12),AND(AH254="K5-LAW",AG254="นิติศาสตร์",OR(T254="M2",T254="K4"),W254&gt;=2,V254&lt;P254),EDATE(V254,12*2),AND(AH254="K5-LAW",AG254="นิติศาสตร์",T254="S1",W254&gt;=1,V254&lt;P254),EDATE(V254,12),AND(AH254="K5-LAW",AG254="นิติศาสตร์",OR(T254="S2",T254="K5")),V254,AND(AH254="K5-LAW",AG254="นิติศาสตร์",OR(K254="M2",K254="K4"),Q254&gt;=2),EDATE(P254,12*2),AND(AH254="K5-LAW",AG254="นิติศาสตร์",K254="S1",Q254&gt;=1),EDATE(P254,12),AND(AH254="K5-LAW",AG254="นิติศาสตร์",OR(K254="S2",K254="K5")),P254,AND(AH254="K5-POLICY",AG254&lt;&gt;"นิติศาสตร์",K254="S2",T254="",Z254=""),P254,AND(AH254="K5-POLICY",AG254&lt;&gt;"นิติศาสตร์",K254="S1",T254="",Z254=""),EDATE(P254,12),AND(AH254="K5-POLICY",AG254&lt;&gt;"นิติศาสตร์",OR(K254="M2",K254="K4"),T254="",Z254=""),EDATE(P254,12*2),AND(AH254="K5-POLICY",AG254&lt;&gt;"นิติศาสตร์",OR(Z254="M2",Z254="K4"),AC254&gt;=2,OR(AB254&lt;V254,AB254&lt;P254)),EDATE(AB254,12*2),AND(AH254="K5-POLICY",AG254&lt;&gt;"นิติศาสตร์",Z254="S1",AC254&gt;=1,OR(AB254&lt;V254,AB254&lt;P254)),EDATE(AB254,12),AND(AH254="K5-POLICY",AG254&lt;&gt;"นิติศาสตร์",OR(T254="M2",T254="K4"),W254&gt;=2,V254&lt;P254),EDATE(V254,12*2),AND(AH254="K5-POLICY",AG254&lt;&gt;"นิติศาสตร์",T254="S1",W254&gt;=1,V254&lt;P254),EDATE(V254,12),AND(AH254="K5-POLICY",AG254&lt;&gt;"นิติศาสตร์",OR(T254="S2",T254="K5")),V254,AND(AH254="K5-POLICY",AG254&lt;&gt;"นิติศาสตร์",OR(K254="M2",K254="K4"),Q254&gt;=2),EDATE(P254,12*2),AND(AH254="K5-POLICY",AG254&lt;&gt;"นิติศาสตร์",K254="S1",Q254&gt;=1),EDATE(P254,12),AND(AH254="K5-POLICY",AG254&lt;&gt;"นิติศาสตร์",OR(K254="S2",K254="K5")),P254,TRUE,"Check Data")</f>
        <v/>
      </c>
      <c r="AJ254" s="75" t="str">
        <f t="shared" si="61"/>
        <v>Check Data</v>
      </c>
      <c r="AK254" s="76" t="str">
        <f t="shared" si="62"/>
        <v>Check Data</v>
      </c>
      <c r="AL254" s="50" t="str">
        <f t="shared" si="63"/>
        <v>Check Data</v>
      </c>
      <c r="AM254" s="49" t="str">
        <f>IF(B254="","",IF(K254="S1","S1",INDEX(#REF!,#REF!)))</f>
        <v/>
      </c>
      <c r="AN254" s="49" t="str">
        <f>K254</f>
        <v>M2</v>
      </c>
      <c r="AO254" s="50" t="b">
        <f>K254=AM254</f>
        <v>0</v>
      </c>
      <c r="AP254" s="50"/>
    </row>
    <row r="255" spans="1:42" ht="21.75">
      <c r="A255" s="49">
        <v>253</v>
      </c>
      <c r="B255" s="50"/>
      <c r="C255" s="52"/>
      <c r="D255" s="50"/>
      <c r="E255" s="49"/>
      <c r="F255" s="49"/>
      <c r="G255" s="50">
        <f t="shared" si="49"/>
        <v>0</v>
      </c>
      <c r="H255" s="50">
        <f t="shared" si="50"/>
        <v>0</v>
      </c>
      <c r="I255" s="50">
        <f t="shared" si="51"/>
        <v>0</v>
      </c>
      <c r="J255" s="50"/>
      <c r="K255" s="49" t="s">
        <v>136</v>
      </c>
      <c r="L255" s="64"/>
      <c r="M255" s="49"/>
      <c r="N255" s="49"/>
      <c r="O255" s="65" t="s">
        <v>434</v>
      </c>
      <c r="P255" s="49" t="str">
        <f t="shared" si="52"/>
        <v>02/07/2024</v>
      </c>
      <c r="Q255" s="68">
        <f t="shared" si="53"/>
        <v>0</v>
      </c>
      <c r="R255" s="68">
        <f t="shared" si="54"/>
        <v>11</v>
      </c>
      <c r="S255" s="68">
        <f t="shared" si="55"/>
        <v>18</v>
      </c>
      <c r="T255" s="65"/>
      <c r="U255" s="65"/>
      <c r="V255" s="49"/>
      <c r="W255" s="68"/>
      <c r="X255" s="68"/>
      <c r="Y255" s="68"/>
      <c r="Z255" s="49"/>
      <c r="AA255" s="65"/>
      <c r="AB255" s="50"/>
      <c r="AC255" s="68"/>
      <c r="AD255" s="68"/>
      <c r="AE255" s="68"/>
      <c r="AF255" s="50"/>
      <c r="AG255" s="50"/>
      <c r="AH255" s="49" t="str">
        <f>IF(AG255="นิติศาสตร์","K5-LAW","K5-POLICY")</f>
        <v>K5-POLICY</v>
      </c>
      <c r="AI255" s="72" t="str">
        <f>_xlfn.IFS(B255="","",AND(AH255="K5-LAW",AG255="นิติศาสตร์",K255="S2",T255="",Z255=""),P255,AND(AH255="K5-LAW",AG255="นิติศาสตร์",K255="S1",T255="",Z255=""),EDATE(P255,12),AND(AH255="K5-LAW",AG255="นิติศาสตร์",OR(K255="M2",K255="K4"),T255="",Z255=""),EDATE(P255,12*2),AND(AH255="K5-LAW",AG255="นิติศาสตร์",OR(Z255="M2",Z255="K4"),AC255&gt;=2,OR(AB255&lt;V255,AB255&lt;P255)),EDATE(AB255,12*2),AND(AH255="K5-LAW",AG255="นิติศาสตร์",Z255="S1",AC255&gt;=1,OR(AB255&lt;V255,AB255&lt;P255)),EDATE(AB255,12),AND(AH255="K5-LAW",AG255="นิติศาสตร์",OR(T255="M2",T255="K4"),W255&gt;=2,V255&lt;P255),EDATE(V255,12*2),AND(AH255="K5-LAW",AG255="นิติศาสตร์",T255="S1",W255&gt;=1,V255&lt;P255),EDATE(V255,12),AND(AH255="K5-LAW",AG255="นิติศาสตร์",OR(T255="S2",T255="K5")),V255,AND(AH255="K5-LAW",AG255="นิติศาสตร์",OR(K255="M2",K255="K4"),Q255&gt;=2),EDATE(P255,12*2),AND(AH255="K5-LAW",AG255="นิติศาสตร์",K255="S1",Q255&gt;=1),EDATE(P255,12),AND(AH255="K5-LAW",AG255="นิติศาสตร์",OR(K255="S2",K255="K5")),P255,AND(AH255="K5-POLICY",AG255&lt;&gt;"นิติศาสตร์",K255="S2",T255="",Z255=""),P255,AND(AH255="K5-POLICY",AG255&lt;&gt;"นิติศาสตร์",K255="S1",T255="",Z255=""),EDATE(P255,12),AND(AH255="K5-POLICY",AG255&lt;&gt;"นิติศาสตร์",OR(K255="M2",K255="K4"),T255="",Z255=""),EDATE(P255,12*2),AND(AH255="K5-POLICY",AG255&lt;&gt;"นิติศาสตร์",OR(Z255="M2",Z255="K4"),AC255&gt;=2,OR(AB255&lt;V255,AB255&lt;P255)),EDATE(AB255,12*2),AND(AH255="K5-POLICY",AG255&lt;&gt;"นิติศาสตร์",Z255="S1",AC255&gt;=1,OR(AB255&lt;V255,AB255&lt;P255)),EDATE(AB255,12),AND(AH255="K5-POLICY",AG255&lt;&gt;"นิติศาสตร์",OR(T255="M2",T255="K4"),W255&gt;=2,V255&lt;P255),EDATE(V255,12*2),AND(AH255="K5-POLICY",AG255&lt;&gt;"นิติศาสตร์",T255="S1",W255&gt;=1,V255&lt;P255),EDATE(V255,12),AND(AH255="K5-POLICY",AG255&lt;&gt;"นิติศาสตร์",OR(T255="S2",T255="K5")),V255,AND(AH255="K5-POLICY",AG255&lt;&gt;"นิติศาสตร์",OR(K255="M2",K255="K4"),Q255&gt;=2),EDATE(P255,12*2),AND(AH255="K5-POLICY",AG255&lt;&gt;"นิติศาสตร์",K255="S1",Q255&gt;=1),EDATE(P255,12),AND(AH255="K5-POLICY",AG255&lt;&gt;"นิติศาสตร์",OR(K255="S2",K255="K5")),P255,TRUE,"Check Data")</f>
        <v/>
      </c>
      <c r="AJ255" s="75" t="str">
        <f t="shared" si="61"/>
        <v>Check Data</v>
      </c>
      <c r="AK255" s="76" t="str">
        <f t="shared" si="62"/>
        <v>Check Data</v>
      </c>
      <c r="AL255" s="50" t="str">
        <f t="shared" si="63"/>
        <v>Check Data</v>
      </c>
      <c r="AM255" s="49" t="str">
        <f>IF(B255="","",IF(K255="S1","S1",INDEX(#REF!,#REF!)))</f>
        <v/>
      </c>
      <c r="AN255" s="49" t="str">
        <f>K255</f>
        <v>M2</v>
      </c>
      <c r="AO255" s="50" t="b">
        <f>K255=AM255</f>
        <v>0</v>
      </c>
      <c r="AP255" s="50"/>
    </row>
    <row r="256" spans="1:42" ht="21.75">
      <c r="A256" s="49">
        <v>254</v>
      </c>
      <c r="B256" s="50"/>
      <c r="C256" s="52"/>
      <c r="D256" s="50"/>
      <c r="E256" s="49"/>
      <c r="F256" s="49" t="str">
        <f t="shared" ref="F256:F262" si="76">IF(E256="","",TEXT(EDATE(E256,-543*12),"dd/mm/yyyy"))</f>
        <v/>
      </c>
      <c r="G256" s="50">
        <f t="shared" si="49"/>
        <v>0</v>
      </c>
      <c r="H256" s="50">
        <f t="shared" si="50"/>
        <v>0</v>
      </c>
      <c r="I256" s="50">
        <f t="shared" si="51"/>
        <v>0</v>
      </c>
      <c r="J256" s="50"/>
      <c r="K256" s="49" t="s">
        <v>136</v>
      </c>
      <c r="L256" s="64"/>
      <c r="M256" s="49"/>
      <c r="N256" s="49"/>
      <c r="O256" s="65" t="s">
        <v>434</v>
      </c>
      <c r="P256" s="49" t="str">
        <f t="shared" si="52"/>
        <v>02/07/2024</v>
      </c>
      <c r="Q256" s="68">
        <f t="shared" si="53"/>
        <v>0</v>
      </c>
      <c r="R256" s="68">
        <f t="shared" si="54"/>
        <v>11</v>
      </c>
      <c r="S256" s="68">
        <f t="shared" si="55"/>
        <v>18</v>
      </c>
      <c r="T256" s="65"/>
      <c r="U256" s="65"/>
      <c r="V256" s="49" t="str">
        <f t="shared" ref="V256:V262" si="77">IF(U256="","",TEXT(EDATE(U256,-543*12),"dd/mm/yyyy"))</f>
        <v/>
      </c>
      <c r="W256" s="68">
        <f>IF(V256="",0,DATEDIF(V256,P256,"Y"))</f>
        <v>0</v>
      </c>
      <c r="X256" s="68">
        <f>IF(V256="",0,DATEDIF(V256,P256,"YM"))</f>
        <v>0</v>
      </c>
      <c r="Y256" s="68">
        <f>IF(V256="",0,DATEDIF(V256,P256,"MD"))</f>
        <v>0</v>
      </c>
      <c r="Z256" s="49"/>
      <c r="AA256" s="65"/>
      <c r="AB256" s="50" t="str">
        <f t="shared" ref="AB256:AB262" si="78">IF(AA256="","",TEXT(EDATE(AA256,-543*12),"dd/mm/yyyy"))</f>
        <v/>
      </c>
      <c r="AC256" s="68">
        <f t="shared" ref="AC256:AC262" si="79">IF(AB256="",0,DATEDIF(AB256,V256,"Y"))</f>
        <v>0</v>
      </c>
      <c r="AD256" s="68">
        <f t="shared" ref="AD256:AD262" si="80">IF(AB256="",0,DATEDIF(AB256,V256,"YM"))</f>
        <v>0</v>
      </c>
      <c r="AE256" s="68">
        <f t="shared" ref="AE256:AE262" si="81">IF(AB256="",0,DATEDIF(AB256,V256,"MD"))</f>
        <v>0</v>
      </c>
      <c r="AF256" s="50"/>
      <c r="AG256" s="50"/>
      <c r="AH256" s="49" t="str">
        <f>IF(AG256="นิติศาสตร์","K5-LAW","K5-POLICY")</f>
        <v>K5-POLICY</v>
      </c>
      <c r="AI256" s="72" t="str">
        <f>_xlfn.IFS(B256="","",AND(AH256="K5-LAW",AG256="นิติศาสตร์",K256="S2",T256="",Z256=""),P256,AND(AH256="K5-LAW",AG256="นิติศาสตร์",K256="S1",T256="",Z256=""),EDATE(P256,12),AND(AH256="K5-LAW",AG256="นิติศาสตร์",OR(K256="M2",K256="K4"),T256="",Z256=""),EDATE(P256,12*2),AND(AH256="K5-LAW",AG256="นิติศาสตร์",OR(Z256="M2",Z256="K4"),AC256&gt;=2,OR(AB256&lt;V256,AB256&lt;P256)),EDATE(AB256,12*2),AND(AH256="K5-LAW",AG256="นิติศาสตร์",Z256="S1",AC256&gt;=1,OR(AB256&lt;V256,AB256&lt;P256)),EDATE(AB256,12),AND(AH256="K5-LAW",AG256="นิติศาสตร์",OR(T256="M2",T256="K4"),W256&gt;=2,V256&lt;P256),EDATE(V256,12*2),AND(AH256="K5-LAW",AG256="นิติศาสตร์",T256="S1",W256&gt;=1,V256&lt;P256),EDATE(V256,12),AND(AH256="K5-LAW",AG256="นิติศาสตร์",OR(T256="S2",T256="K5")),V256,AND(AH256="K5-LAW",AG256="นิติศาสตร์",OR(K256="M2",K256="K4"),Q256&gt;=2),EDATE(P256,12*2),AND(AH256="K5-LAW",AG256="นิติศาสตร์",K256="S1",Q256&gt;=1),EDATE(P256,12),AND(AH256="K5-LAW",AG256="นิติศาสตร์",OR(K256="S2",K256="K5")),P256,AND(AH256="K5-POLICY",AG256&lt;&gt;"นิติศาสตร์",K256="S2",T256="",Z256=""),P256,AND(AH256="K5-POLICY",AG256&lt;&gt;"นิติศาสตร์",K256="S1",T256="",Z256=""),EDATE(P256,12),AND(AH256="K5-POLICY",AG256&lt;&gt;"นิติศาสตร์",OR(K256="M2",K256="K4"),T256="",Z256=""),EDATE(P256,12*2),AND(AH256="K5-POLICY",AG256&lt;&gt;"นิติศาสตร์",OR(Z256="M2",Z256="K4"),AC256&gt;=2,OR(AB256&lt;V256,AB256&lt;P256)),EDATE(AB256,12*2),AND(AH256="K5-POLICY",AG256&lt;&gt;"นิติศาสตร์",Z256="S1",AC256&gt;=1,OR(AB256&lt;V256,AB256&lt;P256)),EDATE(AB256,12),AND(AH256="K5-POLICY",AG256&lt;&gt;"นิติศาสตร์",OR(T256="M2",T256="K4"),W256&gt;=2,V256&lt;P256),EDATE(V256,12*2),AND(AH256="K5-POLICY",AG256&lt;&gt;"นิติศาสตร์",T256="S1",W256&gt;=1,V256&lt;P256),EDATE(V256,12),AND(AH256="K5-POLICY",AG256&lt;&gt;"นิติศาสตร์",OR(T256="S2",T256="K5")),V256,AND(AH256="K5-POLICY",AG256&lt;&gt;"นิติศาสตร์",OR(K256="M2",K256="K4"),Q256&gt;=2),EDATE(P256,12*2),AND(AH256="K5-POLICY",AG256&lt;&gt;"นิติศาสตร์",K256="S1",Q256&gt;=1),EDATE(P256,12),AND(AH256="K5-POLICY",AG256&lt;&gt;"นิติศาสตร์",OR(K256="S2",K256="K5")),P256,TRUE,"Check Data")</f>
        <v/>
      </c>
      <c r="AJ256" s="75" t="str">
        <f t="shared" si="61"/>
        <v>Check Data</v>
      </c>
      <c r="AK256" s="76" t="str">
        <f t="shared" si="62"/>
        <v>Check Data</v>
      </c>
      <c r="AL256" s="50" t="str">
        <f t="shared" si="63"/>
        <v>Check Data</v>
      </c>
      <c r="AM256" s="49" t="str">
        <f>IF(B256="","",IF(K256="S1","S1",INDEX(#REF!,#REF!)))</f>
        <v/>
      </c>
      <c r="AN256" s="49" t="str">
        <f>K256</f>
        <v>M2</v>
      </c>
      <c r="AO256" s="50" t="b">
        <f>K256=AM256</f>
        <v>0</v>
      </c>
      <c r="AP256" s="50"/>
    </row>
    <row r="257" spans="1:42" ht="21.75">
      <c r="A257" s="49">
        <v>255</v>
      </c>
      <c r="B257" s="50"/>
      <c r="C257" s="52"/>
      <c r="D257" s="50"/>
      <c r="E257" s="49"/>
      <c r="F257" s="49" t="str">
        <f t="shared" si="76"/>
        <v/>
      </c>
      <c r="G257" s="50">
        <f t="shared" si="49"/>
        <v>0</v>
      </c>
      <c r="H257" s="50">
        <f t="shared" si="50"/>
        <v>0</v>
      </c>
      <c r="I257" s="50">
        <f t="shared" si="51"/>
        <v>0</v>
      </c>
      <c r="J257" s="50"/>
      <c r="K257" s="49" t="s">
        <v>136</v>
      </c>
      <c r="L257" s="64"/>
      <c r="M257" s="49"/>
      <c r="N257" s="49"/>
      <c r="O257" s="65" t="s">
        <v>434</v>
      </c>
      <c r="P257" s="49" t="str">
        <f t="shared" si="52"/>
        <v>02/07/2024</v>
      </c>
      <c r="Q257" s="68">
        <f t="shared" si="53"/>
        <v>0</v>
      </c>
      <c r="R257" s="68">
        <f t="shared" si="54"/>
        <v>11</v>
      </c>
      <c r="S257" s="68">
        <f t="shared" si="55"/>
        <v>18</v>
      </c>
      <c r="T257" s="65"/>
      <c r="U257" s="65"/>
      <c r="V257" s="49" t="str">
        <f t="shared" si="77"/>
        <v/>
      </c>
      <c r="W257" s="68">
        <f>IF(V257="",0,DATEDIF(V257,P257,"Y"))</f>
        <v>0</v>
      </c>
      <c r="X257" s="68">
        <f>IF(V257="",0,DATEDIF(V257,P257,"YM"))</f>
        <v>0</v>
      </c>
      <c r="Y257" s="68">
        <f>IF(V257="",0,DATEDIF(V257,P257,"MD"))</f>
        <v>0</v>
      </c>
      <c r="Z257" s="49"/>
      <c r="AA257" s="65"/>
      <c r="AB257" s="50" t="str">
        <f t="shared" si="78"/>
        <v/>
      </c>
      <c r="AC257" s="68">
        <f t="shared" si="79"/>
        <v>0</v>
      </c>
      <c r="AD257" s="68">
        <f t="shared" si="80"/>
        <v>0</v>
      </c>
      <c r="AE257" s="68">
        <f t="shared" si="81"/>
        <v>0</v>
      </c>
      <c r="AF257" s="50"/>
      <c r="AG257" s="50"/>
      <c r="AH257" s="49" t="str">
        <f>IF(AG257="นิติศาสตร์","K5-LAW","K5-POLICY")</f>
        <v>K5-POLICY</v>
      </c>
      <c r="AI257" s="72" t="str">
        <f>_xlfn.IFS(B257="","",AND(AH257="K5-LAW",AG257="นิติศาสตร์",K257="S2",T257="",Z257=""),P257,AND(AH257="K5-LAW",AG257="นิติศาสตร์",K257="S1",T257="",Z257=""),EDATE(P257,12),AND(AH257="K5-LAW",AG257="นิติศาสตร์",OR(K257="M2",K257="K4"),T257="",Z257=""),EDATE(P257,12*2),AND(AH257="K5-LAW",AG257="นิติศาสตร์",OR(Z257="M2",Z257="K4"),AC257&gt;=2,OR(AB257&lt;V257,AB257&lt;P257)),EDATE(AB257,12*2),AND(AH257="K5-LAW",AG257="นิติศาสตร์",Z257="S1",AC257&gt;=1,OR(AB257&lt;V257,AB257&lt;P257)),EDATE(AB257,12),AND(AH257="K5-LAW",AG257="นิติศาสตร์",OR(T257="M2",T257="K4"),W257&gt;=2,V257&lt;P257),EDATE(V257,12*2),AND(AH257="K5-LAW",AG257="นิติศาสตร์",T257="S1",W257&gt;=1,V257&lt;P257),EDATE(V257,12),AND(AH257="K5-LAW",AG257="นิติศาสตร์",OR(T257="S2",T257="K5")),V257,AND(AH257="K5-LAW",AG257="นิติศาสตร์",OR(K257="M2",K257="K4"),Q257&gt;=2),EDATE(P257,12*2),AND(AH257="K5-LAW",AG257="นิติศาสตร์",K257="S1",Q257&gt;=1),EDATE(P257,12),AND(AH257="K5-LAW",AG257="นิติศาสตร์",OR(K257="S2",K257="K5")),P257,AND(AH257="K5-POLICY",AG257&lt;&gt;"นิติศาสตร์",K257="S2",T257="",Z257=""),P257,AND(AH257="K5-POLICY",AG257&lt;&gt;"นิติศาสตร์",K257="S1",T257="",Z257=""),EDATE(P257,12),AND(AH257="K5-POLICY",AG257&lt;&gt;"นิติศาสตร์",OR(K257="M2",K257="K4"),T257="",Z257=""),EDATE(P257,12*2),AND(AH257="K5-POLICY",AG257&lt;&gt;"นิติศาสตร์",OR(Z257="M2",Z257="K4"),AC257&gt;=2,OR(AB257&lt;V257,AB257&lt;P257)),EDATE(AB257,12*2),AND(AH257="K5-POLICY",AG257&lt;&gt;"นิติศาสตร์",Z257="S1",AC257&gt;=1,OR(AB257&lt;V257,AB257&lt;P257)),EDATE(AB257,12),AND(AH257="K5-POLICY",AG257&lt;&gt;"นิติศาสตร์",OR(T257="M2",T257="K4"),W257&gt;=2,V257&lt;P257),EDATE(V257,12*2),AND(AH257="K5-POLICY",AG257&lt;&gt;"นิติศาสตร์",T257="S1",W257&gt;=1,V257&lt;P257),EDATE(V257,12),AND(AH257="K5-POLICY",AG257&lt;&gt;"นิติศาสตร์",OR(T257="S2",T257="K5")),V257,AND(AH257="K5-POLICY",AG257&lt;&gt;"นิติศาสตร์",OR(K257="M2",K257="K4"),Q257&gt;=2),EDATE(P257,12*2),AND(AH257="K5-POLICY",AG257&lt;&gt;"นิติศาสตร์",K257="S1",Q257&gt;=1),EDATE(P257,12),AND(AH257="K5-POLICY",AG257&lt;&gt;"นิติศาสตร์",OR(K257="S2",K257="K5")),P257,TRUE,"Check Data")</f>
        <v/>
      </c>
      <c r="AJ257" s="75" t="str">
        <f t="shared" si="61"/>
        <v>Check Data</v>
      </c>
      <c r="AK257" s="76" t="str">
        <f t="shared" si="62"/>
        <v>Check Data</v>
      </c>
      <c r="AL257" s="50" t="str">
        <f t="shared" si="63"/>
        <v>Check Data</v>
      </c>
      <c r="AM257" s="49" t="str">
        <f>IF(B257="","",IF(K257="S1","S1",INDEX(#REF!,#REF!)))</f>
        <v/>
      </c>
      <c r="AN257" s="49" t="str">
        <f>K257</f>
        <v>M2</v>
      </c>
      <c r="AO257" s="50" t="b">
        <f>K257=AM257</f>
        <v>0</v>
      </c>
      <c r="AP257" s="50"/>
    </row>
    <row r="258" spans="1:42" ht="21.75">
      <c r="A258" s="49">
        <v>256</v>
      </c>
      <c r="B258" s="50"/>
      <c r="C258" s="52"/>
      <c r="D258" s="50"/>
      <c r="E258" s="49"/>
      <c r="F258" s="49" t="str">
        <f t="shared" si="76"/>
        <v/>
      </c>
      <c r="G258" s="50">
        <f t="shared" si="49"/>
        <v>0</v>
      </c>
      <c r="H258" s="50">
        <f t="shared" si="50"/>
        <v>0</v>
      </c>
      <c r="I258" s="50">
        <f t="shared" si="51"/>
        <v>0</v>
      </c>
      <c r="J258" s="50"/>
      <c r="K258" s="49" t="s">
        <v>136</v>
      </c>
      <c r="L258" s="64"/>
      <c r="M258" s="49"/>
      <c r="N258" s="49"/>
      <c r="O258" s="65" t="s">
        <v>434</v>
      </c>
      <c r="P258" s="49" t="str">
        <f t="shared" si="52"/>
        <v>02/07/2024</v>
      </c>
      <c r="Q258" s="68">
        <f t="shared" si="53"/>
        <v>0</v>
      </c>
      <c r="R258" s="68">
        <f t="shared" si="54"/>
        <v>11</v>
      </c>
      <c r="S258" s="68">
        <f t="shared" si="55"/>
        <v>18</v>
      </c>
      <c r="T258" s="65"/>
      <c r="U258" s="65"/>
      <c r="V258" s="49" t="str">
        <f t="shared" si="77"/>
        <v/>
      </c>
      <c r="W258" s="68">
        <f>IF(V258="",0,DATEDIF(V258,P258,"Y"))</f>
        <v>0</v>
      </c>
      <c r="X258" s="68">
        <f>IF(V258="",0,DATEDIF(V258,P258,"YM"))</f>
        <v>0</v>
      </c>
      <c r="Y258" s="68">
        <f>IF(V258="",0,DATEDIF(V258,P258,"MD"))</f>
        <v>0</v>
      </c>
      <c r="Z258" s="49"/>
      <c r="AA258" s="65"/>
      <c r="AB258" s="50" t="str">
        <f t="shared" si="78"/>
        <v/>
      </c>
      <c r="AC258" s="68">
        <f t="shared" si="79"/>
        <v>0</v>
      </c>
      <c r="AD258" s="68">
        <f t="shared" si="80"/>
        <v>0</v>
      </c>
      <c r="AE258" s="68">
        <f t="shared" si="81"/>
        <v>0</v>
      </c>
      <c r="AF258" s="50"/>
      <c r="AG258" s="50"/>
      <c r="AH258" s="49" t="str">
        <f>IF(AG258="นิติศาสตร์","K5-LAW","K5-POLICY")</f>
        <v>K5-POLICY</v>
      </c>
      <c r="AI258" s="72" t="str">
        <f>_xlfn.IFS(B258="","",AND(AH258="K5-LAW",AG258="นิติศาสตร์",K258="S2",T258="",Z258=""),P258,AND(AH258="K5-LAW",AG258="นิติศาสตร์",K258="S1",T258="",Z258=""),EDATE(P258,12),AND(AH258="K5-LAW",AG258="นิติศาสตร์",OR(K258="M2",K258="K4"),T258="",Z258=""),EDATE(P258,12*2),AND(AH258="K5-LAW",AG258="นิติศาสตร์",OR(Z258="M2",Z258="K4"),AC258&gt;=2,OR(AB258&lt;V258,AB258&lt;P258)),EDATE(AB258,12*2),AND(AH258="K5-LAW",AG258="นิติศาสตร์",Z258="S1",AC258&gt;=1,OR(AB258&lt;V258,AB258&lt;P258)),EDATE(AB258,12),AND(AH258="K5-LAW",AG258="นิติศาสตร์",OR(T258="M2",T258="K4"),W258&gt;=2,V258&lt;P258),EDATE(V258,12*2),AND(AH258="K5-LAW",AG258="นิติศาสตร์",T258="S1",W258&gt;=1,V258&lt;P258),EDATE(V258,12),AND(AH258="K5-LAW",AG258="นิติศาสตร์",OR(T258="S2",T258="K5")),V258,AND(AH258="K5-LAW",AG258="นิติศาสตร์",OR(K258="M2",K258="K4"),Q258&gt;=2),EDATE(P258,12*2),AND(AH258="K5-LAW",AG258="นิติศาสตร์",K258="S1",Q258&gt;=1),EDATE(P258,12),AND(AH258="K5-LAW",AG258="นิติศาสตร์",OR(K258="S2",K258="K5")),P258,AND(AH258="K5-POLICY",AG258&lt;&gt;"นิติศาสตร์",K258="S2",T258="",Z258=""),P258,AND(AH258="K5-POLICY",AG258&lt;&gt;"นิติศาสตร์",K258="S1",T258="",Z258=""),EDATE(P258,12),AND(AH258="K5-POLICY",AG258&lt;&gt;"นิติศาสตร์",OR(K258="M2",K258="K4"),T258="",Z258=""),EDATE(P258,12*2),AND(AH258="K5-POLICY",AG258&lt;&gt;"นิติศาสตร์",OR(Z258="M2",Z258="K4"),AC258&gt;=2,OR(AB258&lt;V258,AB258&lt;P258)),EDATE(AB258,12*2),AND(AH258="K5-POLICY",AG258&lt;&gt;"นิติศาสตร์",Z258="S1",AC258&gt;=1,OR(AB258&lt;V258,AB258&lt;P258)),EDATE(AB258,12),AND(AH258="K5-POLICY",AG258&lt;&gt;"นิติศาสตร์",OR(T258="M2",T258="K4"),W258&gt;=2,V258&lt;P258),EDATE(V258,12*2),AND(AH258="K5-POLICY",AG258&lt;&gt;"นิติศาสตร์",T258="S1",W258&gt;=1,V258&lt;P258),EDATE(V258,12),AND(AH258="K5-POLICY",AG258&lt;&gt;"นิติศาสตร์",OR(T258="S2",T258="K5")),V258,AND(AH258="K5-POLICY",AG258&lt;&gt;"นิติศาสตร์",OR(K258="M2",K258="K4"),Q258&gt;=2),EDATE(P258,12*2),AND(AH258="K5-POLICY",AG258&lt;&gt;"นิติศาสตร์",K258="S1",Q258&gt;=1),EDATE(P258,12),AND(AH258="K5-POLICY",AG258&lt;&gt;"นิติศาสตร์",OR(K258="S2",K258="K5")),P258,TRUE,"Check Data")</f>
        <v/>
      </c>
      <c r="AJ258" s="75" t="str">
        <f t="shared" si="61"/>
        <v>Check Data</v>
      </c>
      <c r="AK258" s="76" t="str">
        <f t="shared" si="62"/>
        <v>Check Data</v>
      </c>
      <c r="AL258" s="50" t="str">
        <f t="shared" si="63"/>
        <v>Check Data</v>
      </c>
      <c r="AM258" s="49" t="str">
        <f>IF(B258="","",IF(K258="S1","S1",INDEX(#REF!,#REF!)))</f>
        <v/>
      </c>
      <c r="AN258" s="49" t="str">
        <f>K258</f>
        <v>M2</v>
      </c>
      <c r="AO258" s="50" t="b">
        <f>K258=AM258</f>
        <v>0</v>
      </c>
      <c r="AP258" s="50"/>
    </row>
    <row r="259" spans="1:42" ht="21.75">
      <c r="A259" s="49">
        <v>257</v>
      </c>
      <c r="B259" s="50"/>
      <c r="C259" s="52"/>
      <c r="D259" s="50"/>
      <c r="E259" s="49"/>
      <c r="F259" s="49" t="str">
        <f t="shared" si="76"/>
        <v/>
      </c>
      <c r="G259" s="50">
        <f t="shared" ref="G259:G322" si="82">IF(F259="",0,DATEDIF(F259,$C$1,"Y"))</f>
        <v>0</v>
      </c>
      <c r="H259" s="50">
        <f t="shared" ref="H259:H322" si="83">IF(F259="",0,DATEDIF(F259,$C$1,"YM"))</f>
        <v>0</v>
      </c>
      <c r="I259" s="50">
        <f t="shared" ref="I259:I322" si="84">IF(F259="",0,DATEDIF(F259,$C$1,"MD"))</f>
        <v>0</v>
      </c>
      <c r="J259" s="50"/>
      <c r="K259" s="49" t="s">
        <v>136</v>
      </c>
      <c r="L259" s="64"/>
      <c r="M259" s="49"/>
      <c r="N259" s="49"/>
      <c r="O259" s="65" t="s">
        <v>434</v>
      </c>
      <c r="P259" s="49" t="str">
        <f t="shared" ref="P259:P322" si="85">TEXT(EDATE(O259,-543*12),"dd/mm/yyyy")</f>
        <v>02/07/2024</v>
      </c>
      <c r="Q259" s="68">
        <f t="shared" ref="Q259:Q322" si="86">IF(P259="",0,DATEDIF(P259,$C$1,"Y"))</f>
        <v>0</v>
      </c>
      <c r="R259" s="68">
        <f t="shared" ref="R259:R322" si="87">IF(P259="",0,DATEDIF(P259,$C$1,"YM"))</f>
        <v>11</v>
      </c>
      <c r="S259" s="68">
        <f t="shared" ref="S259:S322" si="88">IF(P259="",0,DATEDIF(P259,$C$1,"MD"))</f>
        <v>18</v>
      </c>
      <c r="T259" s="65"/>
      <c r="U259" s="65"/>
      <c r="V259" s="49" t="str">
        <f t="shared" si="77"/>
        <v/>
      </c>
      <c r="W259" s="68">
        <f>IF(V259="",0,DATEDIF(V259,P259,"Y"))</f>
        <v>0</v>
      </c>
      <c r="X259" s="68">
        <f>IF(V259="",0,DATEDIF(V259,P259,"YM"))</f>
        <v>0</v>
      </c>
      <c r="Y259" s="68">
        <f>IF(V259="",0,DATEDIF(V259,P259,"MD"))</f>
        <v>0</v>
      </c>
      <c r="Z259" s="49"/>
      <c r="AA259" s="65"/>
      <c r="AB259" s="50" t="str">
        <f t="shared" si="78"/>
        <v/>
      </c>
      <c r="AC259" s="68">
        <f t="shared" si="79"/>
        <v>0</v>
      </c>
      <c r="AD259" s="68">
        <f t="shared" si="80"/>
        <v>0</v>
      </c>
      <c r="AE259" s="68">
        <f t="shared" si="81"/>
        <v>0</v>
      </c>
      <c r="AF259" s="50"/>
      <c r="AG259" s="50"/>
      <c r="AH259" s="49" t="str">
        <f>IF(AG259="นิติศาสตร์","K5-LAW","K5-POLICY")</f>
        <v>K5-POLICY</v>
      </c>
      <c r="AI259" s="72" t="str">
        <f>_xlfn.IFS(B259="","",AND(AH259="K5-LAW",AG259="นิติศาสตร์",K259="S2",T259="",Z259=""),P259,AND(AH259="K5-LAW",AG259="นิติศาสตร์",K259="S1",T259="",Z259=""),EDATE(P259,12),AND(AH259="K5-LAW",AG259="นิติศาสตร์",OR(K259="M2",K259="K4"),T259="",Z259=""),EDATE(P259,12*2),AND(AH259="K5-LAW",AG259="นิติศาสตร์",OR(Z259="M2",Z259="K4"),AC259&gt;=2,OR(AB259&lt;V259,AB259&lt;P259)),EDATE(AB259,12*2),AND(AH259="K5-LAW",AG259="นิติศาสตร์",Z259="S1",AC259&gt;=1,OR(AB259&lt;V259,AB259&lt;P259)),EDATE(AB259,12),AND(AH259="K5-LAW",AG259="นิติศาสตร์",OR(T259="M2",T259="K4"),W259&gt;=2,V259&lt;P259),EDATE(V259,12*2),AND(AH259="K5-LAW",AG259="นิติศาสตร์",T259="S1",W259&gt;=1,V259&lt;P259),EDATE(V259,12),AND(AH259="K5-LAW",AG259="นิติศาสตร์",OR(T259="S2",T259="K5")),V259,AND(AH259="K5-LAW",AG259="นิติศาสตร์",OR(K259="M2",K259="K4"),Q259&gt;=2),EDATE(P259,12*2),AND(AH259="K5-LAW",AG259="นิติศาสตร์",K259="S1",Q259&gt;=1),EDATE(P259,12),AND(AH259="K5-LAW",AG259="นิติศาสตร์",OR(K259="S2",K259="K5")),P259,AND(AH259="K5-POLICY",AG259&lt;&gt;"นิติศาสตร์",K259="S2",T259="",Z259=""),P259,AND(AH259="K5-POLICY",AG259&lt;&gt;"นิติศาสตร์",K259="S1",T259="",Z259=""),EDATE(P259,12),AND(AH259="K5-POLICY",AG259&lt;&gt;"นิติศาสตร์",OR(K259="M2",K259="K4"),T259="",Z259=""),EDATE(P259,12*2),AND(AH259="K5-POLICY",AG259&lt;&gt;"นิติศาสตร์",OR(Z259="M2",Z259="K4"),AC259&gt;=2,OR(AB259&lt;V259,AB259&lt;P259)),EDATE(AB259,12*2),AND(AH259="K5-POLICY",AG259&lt;&gt;"นิติศาสตร์",Z259="S1",AC259&gt;=1,OR(AB259&lt;V259,AB259&lt;P259)),EDATE(AB259,12),AND(AH259="K5-POLICY",AG259&lt;&gt;"นิติศาสตร์",OR(T259="M2",T259="K4"),W259&gt;=2,V259&lt;P259),EDATE(V259,12*2),AND(AH259="K5-POLICY",AG259&lt;&gt;"นิติศาสตร์",T259="S1",W259&gt;=1,V259&lt;P259),EDATE(V259,12),AND(AH259="K5-POLICY",AG259&lt;&gt;"นิติศาสตร์",OR(T259="S2",T259="K5")),V259,AND(AH259="K5-POLICY",AG259&lt;&gt;"นิติศาสตร์",OR(K259="M2",K259="K4"),Q259&gt;=2),EDATE(P259,12*2),AND(AH259="K5-POLICY",AG259&lt;&gt;"นิติศาสตร์",K259="S1",Q259&gt;=1),EDATE(P259,12),AND(AH259="K5-POLICY",AG259&lt;&gt;"นิติศาสตร์",OR(K259="S2",K259="K5")),P259,TRUE,"Check Data")</f>
        <v/>
      </c>
      <c r="AJ259" s="75" t="str">
        <f t="shared" ref="AJ259:AJ322" si="89">IFERROR(TEXT(EDATE(AI259,543*12),"dd/mm/yyyy"),"Check Data")</f>
        <v>Check Data</v>
      </c>
      <c r="AK259" s="76" t="str">
        <f t="shared" ref="AK259:AK322" si="90">IFERROR(IF($C$1&gt;AI259,AI259-$C$1,DATEDIF($C$1,AI259,"d")),"Check Data")</f>
        <v>Check Data</v>
      </c>
      <c r="AL259" s="50" t="str">
        <f t="shared" ref="AL259:AL322" si="91">_xlfn.IFS(AK259="Check Data","Check Data",AK259&gt;30,"ยังไม่ถึงเกณฑ์",AK259&gt;0,"ใกล้ถึงเกณฑ์",AK259=0,"ถึงเกณฑ์",AK259&lt;0,"ถึงเกณฑ์นานแล้ว")</f>
        <v>Check Data</v>
      </c>
      <c r="AM259" s="49" t="str">
        <f>IF(B259="","",IF(K259="S1","S1",INDEX(#REF!,#REF!)))</f>
        <v/>
      </c>
      <c r="AN259" s="49" t="str">
        <f>K259</f>
        <v>M2</v>
      </c>
      <c r="AO259" s="50" t="b">
        <f>K259=AM259</f>
        <v>0</v>
      </c>
      <c r="AP259" s="50"/>
    </row>
    <row r="260" spans="1:42" ht="21.75">
      <c r="A260" s="49">
        <v>258</v>
      </c>
      <c r="B260" s="50"/>
      <c r="C260" s="52"/>
      <c r="D260" s="50"/>
      <c r="E260" s="49"/>
      <c r="F260" s="49" t="str">
        <f t="shared" si="76"/>
        <v/>
      </c>
      <c r="G260" s="50">
        <f t="shared" si="82"/>
        <v>0</v>
      </c>
      <c r="H260" s="50">
        <f t="shared" si="83"/>
        <v>0</v>
      </c>
      <c r="I260" s="50">
        <f t="shared" si="84"/>
        <v>0</v>
      </c>
      <c r="J260" s="50"/>
      <c r="K260" s="49" t="s">
        <v>136</v>
      </c>
      <c r="L260" s="64"/>
      <c r="M260" s="49"/>
      <c r="N260" s="49"/>
      <c r="O260" s="65" t="s">
        <v>434</v>
      </c>
      <c r="P260" s="49" t="str">
        <f t="shared" si="85"/>
        <v>02/07/2024</v>
      </c>
      <c r="Q260" s="68">
        <f t="shared" si="86"/>
        <v>0</v>
      </c>
      <c r="R260" s="68">
        <f t="shared" si="87"/>
        <v>11</v>
      </c>
      <c r="S260" s="68">
        <f t="shared" si="88"/>
        <v>18</v>
      </c>
      <c r="T260" s="65"/>
      <c r="U260" s="65"/>
      <c r="V260" s="49" t="str">
        <f t="shared" si="77"/>
        <v/>
      </c>
      <c r="W260" s="68">
        <f>IF(V260="",0,DATEDIF(V260,P260,"Y"))</f>
        <v>0</v>
      </c>
      <c r="X260" s="68">
        <f>IF(V260="",0,DATEDIF(V260,P260,"YM"))</f>
        <v>0</v>
      </c>
      <c r="Y260" s="68">
        <f>IF(V260="",0,DATEDIF(V260,P260,"MD"))</f>
        <v>0</v>
      </c>
      <c r="Z260" s="49"/>
      <c r="AA260" s="65"/>
      <c r="AB260" s="50" t="str">
        <f t="shared" si="78"/>
        <v/>
      </c>
      <c r="AC260" s="68">
        <f t="shared" si="79"/>
        <v>0</v>
      </c>
      <c r="AD260" s="68">
        <f t="shared" si="80"/>
        <v>0</v>
      </c>
      <c r="AE260" s="68">
        <f t="shared" si="81"/>
        <v>0</v>
      </c>
      <c r="AF260" s="50"/>
      <c r="AG260" s="50"/>
      <c r="AH260" s="49" t="str">
        <f>IF(AG260="นิติศาสตร์","K5-LAW","K5-POLICY")</f>
        <v>K5-POLICY</v>
      </c>
      <c r="AI260" s="72" t="str">
        <f>_xlfn.IFS(B260="","",AND(AH260="K5-LAW",AG260="นิติศาสตร์",K260="S2",T260="",Z260=""),P260,AND(AH260="K5-LAW",AG260="นิติศาสตร์",K260="S1",T260="",Z260=""),EDATE(P260,12),AND(AH260="K5-LAW",AG260="นิติศาสตร์",OR(K260="M2",K260="K4"),T260="",Z260=""),EDATE(P260,12*2),AND(AH260="K5-LAW",AG260="นิติศาสตร์",OR(Z260="M2",Z260="K4"),AC260&gt;=2,OR(AB260&lt;V260,AB260&lt;P260)),EDATE(AB260,12*2),AND(AH260="K5-LAW",AG260="นิติศาสตร์",Z260="S1",AC260&gt;=1,OR(AB260&lt;V260,AB260&lt;P260)),EDATE(AB260,12),AND(AH260="K5-LAW",AG260="นิติศาสตร์",OR(T260="M2",T260="K4"),W260&gt;=2,V260&lt;P260),EDATE(V260,12*2),AND(AH260="K5-LAW",AG260="นิติศาสตร์",T260="S1",W260&gt;=1,V260&lt;P260),EDATE(V260,12),AND(AH260="K5-LAW",AG260="นิติศาสตร์",OR(T260="S2",T260="K5")),V260,AND(AH260="K5-LAW",AG260="นิติศาสตร์",OR(K260="M2",K260="K4"),Q260&gt;=2),EDATE(P260,12*2),AND(AH260="K5-LAW",AG260="นิติศาสตร์",K260="S1",Q260&gt;=1),EDATE(P260,12),AND(AH260="K5-LAW",AG260="นิติศาสตร์",OR(K260="S2",K260="K5")),P260,AND(AH260="K5-POLICY",AG260&lt;&gt;"นิติศาสตร์",K260="S2",T260="",Z260=""),P260,AND(AH260="K5-POLICY",AG260&lt;&gt;"นิติศาสตร์",K260="S1",T260="",Z260=""),EDATE(P260,12),AND(AH260="K5-POLICY",AG260&lt;&gt;"นิติศาสตร์",OR(K260="M2",K260="K4"),T260="",Z260=""),EDATE(P260,12*2),AND(AH260="K5-POLICY",AG260&lt;&gt;"นิติศาสตร์",OR(Z260="M2",Z260="K4"),AC260&gt;=2,OR(AB260&lt;V260,AB260&lt;P260)),EDATE(AB260,12*2),AND(AH260="K5-POLICY",AG260&lt;&gt;"นิติศาสตร์",Z260="S1",AC260&gt;=1,OR(AB260&lt;V260,AB260&lt;P260)),EDATE(AB260,12),AND(AH260="K5-POLICY",AG260&lt;&gt;"นิติศาสตร์",OR(T260="M2",T260="K4"),W260&gt;=2,V260&lt;P260),EDATE(V260,12*2),AND(AH260="K5-POLICY",AG260&lt;&gt;"นิติศาสตร์",T260="S1",W260&gt;=1,V260&lt;P260),EDATE(V260,12),AND(AH260="K5-POLICY",AG260&lt;&gt;"นิติศาสตร์",OR(T260="S2",T260="K5")),V260,AND(AH260="K5-POLICY",AG260&lt;&gt;"นิติศาสตร์",OR(K260="M2",K260="K4"),Q260&gt;=2),EDATE(P260,12*2),AND(AH260="K5-POLICY",AG260&lt;&gt;"นิติศาสตร์",K260="S1",Q260&gt;=1),EDATE(P260,12),AND(AH260="K5-POLICY",AG260&lt;&gt;"นิติศาสตร์",OR(K260="S2",K260="K5")),P260,TRUE,"Check Data")</f>
        <v/>
      </c>
      <c r="AJ260" s="75" t="str">
        <f t="shared" si="89"/>
        <v>Check Data</v>
      </c>
      <c r="AK260" s="76" t="str">
        <f t="shared" si="90"/>
        <v>Check Data</v>
      </c>
      <c r="AL260" s="50" t="str">
        <f t="shared" si="91"/>
        <v>Check Data</v>
      </c>
      <c r="AM260" s="49" t="str">
        <f>IF(B260="","",IF(K260="S1","S1",INDEX(#REF!,#REF!)))</f>
        <v/>
      </c>
      <c r="AN260" s="49" t="str">
        <f>K260</f>
        <v>M2</v>
      </c>
      <c r="AO260" s="50" t="b">
        <f>K260=AM260</f>
        <v>0</v>
      </c>
      <c r="AP260" s="50"/>
    </row>
    <row r="261" spans="1:42" ht="21.75">
      <c r="A261" s="49">
        <v>259</v>
      </c>
      <c r="B261" s="50"/>
      <c r="C261" s="52"/>
      <c r="D261" s="50"/>
      <c r="E261" s="49"/>
      <c r="F261" s="49" t="str">
        <f t="shared" si="76"/>
        <v/>
      </c>
      <c r="G261" s="50">
        <f t="shared" si="82"/>
        <v>0</v>
      </c>
      <c r="H261" s="50">
        <f t="shared" si="83"/>
        <v>0</v>
      </c>
      <c r="I261" s="50">
        <f t="shared" si="84"/>
        <v>0</v>
      </c>
      <c r="J261" s="50"/>
      <c r="K261" s="49" t="s">
        <v>136</v>
      </c>
      <c r="L261" s="64"/>
      <c r="M261" s="49"/>
      <c r="N261" s="49"/>
      <c r="O261" s="65" t="s">
        <v>434</v>
      </c>
      <c r="P261" s="49" t="str">
        <f t="shared" si="85"/>
        <v>02/07/2024</v>
      </c>
      <c r="Q261" s="68">
        <f t="shared" si="86"/>
        <v>0</v>
      </c>
      <c r="R261" s="68">
        <f t="shared" si="87"/>
        <v>11</v>
      </c>
      <c r="S261" s="68">
        <f t="shared" si="88"/>
        <v>18</v>
      </c>
      <c r="T261" s="65"/>
      <c r="U261" s="65"/>
      <c r="V261" s="49" t="str">
        <f t="shared" si="77"/>
        <v/>
      </c>
      <c r="W261" s="68">
        <f>IF(V261="",0,DATEDIF(V261,P261,"Y"))</f>
        <v>0</v>
      </c>
      <c r="X261" s="68">
        <f>IF(V261="",0,DATEDIF(V261,P261,"YM"))</f>
        <v>0</v>
      </c>
      <c r="Y261" s="68">
        <f>IF(V261="",0,DATEDIF(V261,P261,"MD"))</f>
        <v>0</v>
      </c>
      <c r="Z261" s="49"/>
      <c r="AA261" s="65"/>
      <c r="AB261" s="50" t="str">
        <f t="shared" si="78"/>
        <v/>
      </c>
      <c r="AC261" s="68">
        <f t="shared" si="79"/>
        <v>0</v>
      </c>
      <c r="AD261" s="68">
        <f t="shared" si="80"/>
        <v>0</v>
      </c>
      <c r="AE261" s="68">
        <f t="shared" si="81"/>
        <v>0</v>
      </c>
      <c r="AF261" s="50"/>
      <c r="AG261" s="50"/>
      <c r="AH261" s="49" t="str">
        <f>IF(AG261="นิติศาสตร์","K5-LAW","K5-POLICY")</f>
        <v>K5-POLICY</v>
      </c>
      <c r="AI261" s="72" t="str">
        <f>_xlfn.IFS(B261="","",AND(AH261="K5-LAW",AG261="นิติศาสตร์",K261="S2",T261="",Z261=""),P261,AND(AH261="K5-LAW",AG261="นิติศาสตร์",K261="S1",T261="",Z261=""),EDATE(P261,12),AND(AH261="K5-LAW",AG261="นิติศาสตร์",OR(K261="M2",K261="K4"),T261="",Z261=""),EDATE(P261,12*2),AND(AH261="K5-LAW",AG261="นิติศาสตร์",OR(Z261="M2",Z261="K4"),AC261&gt;=2,OR(AB261&lt;V261,AB261&lt;P261)),EDATE(AB261,12*2),AND(AH261="K5-LAW",AG261="นิติศาสตร์",Z261="S1",AC261&gt;=1,OR(AB261&lt;V261,AB261&lt;P261)),EDATE(AB261,12),AND(AH261="K5-LAW",AG261="นิติศาสตร์",OR(T261="M2",T261="K4"),W261&gt;=2,V261&lt;P261),EDATE(V261,12*2),AND(AH261="K5-LAW",AG261="นิติศาสตร์",T261="S1",W261&gt;=1,V261&lt;P261),EDATE(V261,12),AND(AH261="K5-LAW",AG261="นิติศาสตร์",OR(T261="S2",T261="K5")),V261,AND(AH261="K5-LAW",AG261="นิติศาสตร์",OR(K261="M2",K261="K4"),Q261&gt;=2),EDATE(P261,12*2),AND(AH261="K5-LAW",AG261="นิติศาสตร์",K261="S1",Q261&gt;=1),EDATE(P261,12),AND(AH261="K5-LAW",AG261="นิติศาสตร์",OR(K261="S2",K261="K5")),P261,AND(AH261="K5-POLICY",AG261&lt;&gt;"นิติศาสตร์",K261="S2",T261="",Z261=""),P261,AND(AH261="K5-POLICY",AG261&lt;&gt;"นิติศาสตร์",K261="S1",T261="",Z261=""),EDATE(P261,12),AND(AH261="K5-POLICY",AG261&lt;&gt;"นิติศาสตร์",OR(K261="M2",K261="K4"),T261="",Z261=""),EDATE(P261,12*2),AND(AH261="K5-POLICY",AG261&lt;&gt;"นิติศาสตร์",OR(Z261="M2",Z261="K4"),AC261&gt;=2,OR(AB261&lt;V261,AB261&lt;P261)),EDATE(AB261,12*2),AND(AH261="K5-POLICY",AG261&lt;&gt;"นิติศาสตร์",Z261="S1",AC261&gt;=1,OR(AB261&lt;V261,AB261&lt;P261)),EDATE(AB261,12),AND(AH261="K5-POLICY",AG261&lt;&gt;"นิติศาสตร์",OR(T261="M2",T261="K4"),W261&gt;=2,V261&lt;P261),EDATE(V261,12*2),AND(AH261="K5-POLICY",AG261&lt;&gt;"นิติศาสตร์",T261="S1",W261&gt;=1,V261&lt;P261),EDATE(V261,12),AND(AH261="K5-POLICY",AG261&lt;&gt;"นิติศาสตร์",OR(T261="S2",T261="K5")),V261,AND(AH261="K5-POLICY",AG261&lt;&gt;"นิติศาสตร์",OR(K261="M2",K261="K4"),Q261&gt;=2),EDATE(P261,12*2),AND(AH261="K5-POLICY",AG261&lt;&gt;"นิติศาสตร์",K261="S1",Q261&gt;=1),EDATE(P261,12),AND(AH261="K5-POLICY",AG261&lt;&gt;"นิติศาสตร์",OR(K261="S2",K261="K5")),P261,TRUE,"Check Data")</f>
        <v/>
      </c>
      <c r="AJ261" s="75" t="str">
        <f t="shared" si="89"/>
        <v>Check Data</v>
      </c>
      <c r="AK261" s="76" t="str">
        <f t="shared" si="90"/>
        <v>Check Data</v>
      </c>
      <c r="AL261" s="50" t="str">
        <f t="shared" si="91"/>
        <v>Check Data</v>
      </c>
      <c r="AM261" s="49" t="str">
        <f>IF(B261="","",IF(K261="S1","S1",INDEX(#REF!,#REF!)))</f>
        <v/>
      </c>
      <c r="AN261" s="49" t="str">
        <f>K261</f>
        <v>M2</v>
      </c>
      <c r="AO261" s="50" t="b">
        <f>K261=AM261</f>
        <v>0</v>
      </c>
      <c r="AP261" s="50"/>
    </row>
    <row r="262" spans="1:42" ht="21.75">
      <c r="A262" s="49">
        <v>260</v>
      </c>
      <c r="B262" s="50"/>
      <c r="C262" s="52"/>
      <c r="D262" s="50"/>
      <c r="E262" s="49"/>
      <c r="F262" s="49" t="str">
        <f t="shared" si="76"/>
        <v/>
      </c>
      <c r="G262" s="50">
        <f t="shared" si="82"/>
        <v>0</v>
      </c>
      <c r="H262" s="50">
        <f t="shared" si="83"/>
        <v>0</v>
      </c>
      <c r="I262" s="50">
        <f t="shared" si="84"/>
        <v>0</v>
      </c>
      <c r="J262" s="50"/>
      <c r="K262" s="49" t="s">
        <v>136</v>
      </c>
      <c r="L262" s="64"/>
      <c r="M262" s="49"/>
      <c r="N262" s="49"/>
      <c r="O262" s="65" t="s">
        <v>434</v>
      </c>
      <c r="P262" s="49" t="str">
        <f t="shared" si="85"/>
        <v>02/07/2024</v>
      </c>
      <c r="Q262" s="68">
        <f t="shared" si="86"/>
        <v>0</v>
      </c>
      <c r="R262" s="68">
        <f t="shared" si="87"/>
        <v>11</v>
      </c>
      <c r="S262" s="68">
        <f t="shared" si="88"/>
        <v>18</v>
      </c>
      <c r="T262" s="65"/>
      <c r="U262" s="65"/>
      <c r="V262" s="49" t="str">
        <f t="shared" si="77"/>
        <v/>
      </c>
      <c r="W262" s="68">
        <f>IF(V262="",0,DATEDIF(V262,P262,"Y"))</f>
        <v>0</v>
      </c>
      <c r="X262" s="68">
        <f>IF(V262="",0,DATEDIF(V262,P262,"YM"))</f>
        <v>0</v>
      </c>
      <c r="Y262" s="68">
        <f>IF(V262="",0,DATEDIF(V262,P262,"MD"))</f>
        <v>0</v>
      </c>
      <c r="Z262" s="65"/>
      <c r="AA262" s="65"/>
      <c r="AB262" s="50" t="str">
        <f t="shared" si="78"/>
        <v/>
      </c>
      <c r="AC262" s="68">
        <f t="shared" si="79"/>
        <v>0</v>
      </c>
      <c r="AD262" s="68">
        <f t="shared" si="80"/>
        <v>0</v>
      </c>
      <c r="AE262" s="68">
        <f t="shared" si="81"/>
        <v>0</v>
      </c>
      <c r="AF262" s="50"/>
      <c r="AG262" s="50"/>
      <c r="AH262" s="49" t="str">
        <f>IF(AG262="นิติศาสตร์","K5-LAW","K5-POLICY")</f>
        <v>K5-POLICY</v>
      </c>
      <c r="AI262" s="72" t="str">
        <f>_xlfn.IFS(B262="","",AND(AH262="K5-LAW",AG262="นิติศาสตร์",K262="S2",T262="",Z262=""),P262,AND(AH262="K5-LAW",AG262="นิติศาสตร์",K262="S1",T262="",Z262=""),EDATE(P262,12),AND(AH262="K5-LAW",AG262="นิติศาสตร์",OR(K262="M2",K262="K4"),T262="",Z262=""),EDATE(P262,12*2),AND(AH262="K5-LAW",AG262="นิติศาสตร์",OR(Z262="M2",Z262="K4"),AC262&gt;=2,OR(AB262&lt;V262,AB262&lt;P262)),EDATE(AB262,12*2),AND(AH262="K5-LAW",AG262="นิติศาสตร์",Z262="S1",AC262&gt;=1,OR(AB262&lt;V262,AB262&lt;P262)),EDATE(AB262,12),AND(AH262="K5-LAW",AG262="นิติศาสตร์",OR(T262="M2",T262="K4"),W262&gt;=2,V262&lt;P262),EDATE(V262,12*2),AND(AH262="K5-LAW",AG262="นิติศาสตร์",T262="S1",W262&gt;=1,V262&lt;P262),EDATE(V262,12),AND(AH262="K5-LAW",AG262="นิติศาสตร์",OR(T262="S2",T262="K5")),V262,AND(AH262="K5-LAW",AG262="นิติศาสตร์",OR(K262="M2",K262="K4"),Q262&gt;=2),EDATE(P262,12*2),AND(AH262="K5-LAW",AG262="นิติศาสตร์",K262="S1",Q262&gt;=1),EDATE(P262,12),AND(AH262="K5-LAW",AG262="นิติศาสตร์",OR(K262="S2",K262="K5")),P262,AND(AH262="K5-POLICY",AG262&lt;&gt;"นิติศาสตร์",K262="S2",T262="",Z262=""),P262,AND(AH262="K5-POLICY",AG262&lt;&gt;"นิติศาสตร์",K262="S1",T262="",Z262=""),EDATE(P262,12),AND(AH262="K5-POLICY",AG262&lt;&gt;"นิติศาสตร์",OR(K262="M2",K262="K4"),T262="",Z262=""),EDATE(P262,12*2),AND(AH262="K5-POLICY",AG262&lt;&gt;"นิติศาสตร์",OR(Z262="M2",Z262="K4"),AC262&gt;=2,OR(AB262&lt;V262,AB262&lt;P262)),EDATE(AB262,12*2),AND(AH262="K5-POLICY",AG262&lt;&gt;"นิติศาสตร์",Z262="S1",AC262&gt;=1,OR(AB262&lt;V262,AB262&lt;P262)),EDATE(AB262,12),AND(AH262="K5-POLICY",AG262&lt;&gt;"นิติศาสตร์",OR(T262="M2",T262="K4"),W262&gt;=2,V262&lt;P262),EDATE(V262,12*2),AND(AH262="K5-POLICY",AG262&lt;&gt;"นิติศาสตร์",T262="S1",W262&gt;=1,V262&lt;P262),EDATE(V262,12),AND(AH262="K5-POLICY",AG262&lt;&gt;"นิติศาสตร์",OR(T262="S2",T262="K5")),V262,AND(AH262="K5-POLICY",AG262&lt;&gt;"นิติศาสตร์",OR(K262="M2",K262="K4"),Q262&gt;=2),EDATE(P262,12*2),AND(AH262="K5-POLICY",AG262&lt;&gt;"นิติศาสตร์",K262="S1",Q262&gt;=1),EDATE(P262,12),AND(AH262="K5-POLICY",AG262&lt;&gt;"นิติศาสตร์",OR(K262="S2",K262="K5")),P262,TRUE,"Check Data")</f>
        <v/>
      </c>
      <c r="AJ262" s="75" t="str">
        <f t="shared" si="89"/>
        <v>Check Data</v>
      </c>
      <c r="AK262" s="76" t="str">
        <f t="shared" si="90"/>
        <v>Check Data</v>
      </c>
      <c r="AL262" s="50" t="str">
        <f t="shared" si="91"/>
        <v>Check Data</v>
      </c>
      <c r="AM262" s="49" t="str">
        <f>IF(B262="","",IF(K262="S1","S1",INDEX(#REF!,#REF!)))</f>
        <v/>
      </c>
      <c r="AN262" s="49" t="str">
        <f>K262</f>
        <v>M2</v>
      </c>
      <c r="AO262" s="50" t="b">
        <f>K262=AM262</f>
        <v>0</v>
      </c>
      <c r="AP262" s="50"/>
    </row>
    <row r="263" spans="1:42" ht="21.75">
      <c r="A263" s="49">
        <v>261</v>
      </c>
      <c r="B263" s="50"/>
      <c r="C263" s="52"/>
      <c r="D263" s="79"/>
      <c r="E263" s="79"/>
      <c r="F263" s="79"/>
      <c r="G263" s="50">
        <f t="shared" si="82"/>
        <v>0</v>
      </c>
      <c r="H263" s="50">
        <f t="shared" si="83"/>
        <v>0</v>
      </c>
      <c r="I263" s="50">
        <f t="shared" si="84"/>
        <v>0</v>
      </c>
      <c r="J263" s="79"/>
      <c r="K263" s="49" t="s">
        <v>136</v>
      </c>
      <c r="L263" s="79"/>
      <c r="M263" s="79"/>
      <c r="N263" s="79"/>
      <c r="O263" s="65" t="s">
        <v>434</v>
      </c>
      <c r="P263" s="49" t="str">
        <f t="shared" si="85"/>
        <v>02/07/2024</v>
      </c>
      <c r="Q263" s="68">
        <f t="shared" si="86"/>
        <v>0</v>
      </c>
      <c r="R263" s="68">
        <f t="shared" si="87"/>
        <v>11</v>
      </c>
      <c r="S263" s="68">
        <f t="shared" si="88"/>
        <v>18</v>
      </c>
      <c r="T263" s="65"/>
      <c r="U263" s="83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49" t="str">
        <f>IF(AG263="นิติศาสตร์","K5-LAW","K5-POLICY")</f>
        <v>K5-POLICY</v>
      </c>
      <c r="AI263" s="72" t="str">
        <f>_xlfn.IFS(B263="","",AND(AH263="K5-LAW",AG263="นิติศาสตร์",K263="S2",T263="",Z263=""),P263,AND(AH263="K5-LAW",AG263="นิติศาสตร์",K263="S1",T263="",Z263=""),EDATE(P263,12),AND(AH263="K5-LAW",AG263="นิติศาสตร์",OR(K263="M2",K263="K4"),T263="",Z263=""),EDATE(P263,12*2),AND(AH263="K5-LAW",AG263="นิติศาสตร์",OR(Z263="M2",Z263="K4"),AC263&gt;=2,OR(AB263&lt;V263,AB263&lt;P263)),EDATE(AB263,12*2),AND(AH263="K5-LAW",AG263="นิติศาสตร์",Z263="S1",AC263&gt;=1,OR(AB263&lt;V263,AB263&lt;P263)),EDATE(AB263,12),AND(AH263="K5-LAW",AG263="นิติศาสตร์",OR(T263="M2",T263="K4"),W263&gt;=2,V263&lt;P263),EDATE(V263,12*2),AND(AH263="K5-LAW",AG263="นิติศาสตร์",T263="S1",W263&gt;=1,V263&lt;P263),EDATE(V263,12),AND(AH263="K5-LAW",AG263="นิติศาสตร์",OR(T263="S2",T263="K5")),V263,AND(AH263="K5-LAW",AG263="นิติศาสตร์",OR(K263="M2",K263="K4"),Q263&gt;=2),EDATE(P263,12*2),AND(AH263="K5-LAW",AG263="นิติศาสตร์",K263="S1",Q263&gt;=1),EDATE(P263,12),AND(AH263="K5-LAW",AG263="นิติศาสตร์",OR(K263="S2",K263="K5")),P263,AND(AH263="K5-POLICY",AG263&lt;&gt;"นิติศาสตร์",K263="S2",T263="",Z263=""),P263,AND(AH263="K5-POLICY",AG263&lt;&gt;"นิติศาสตร์",K263="S1",T263="",Z263=""),EDATE(P263,12),AND(AH263="K5-POLICY",AG263&lt;&gt;"นิติศาสตร์",OR(K263="M2",K263="K4"),T263="",Z263=""),EDATE(P263,12*2),AND(AH263="K5-POLICY",AG263&lt;&gt;"นิติศาสตร์",OR(Z263="M2",Z263="K4"),AC263&gt;=2,OR(AB263&lt;V263,AB263&lt;P263)),EDATE(AB263,12*2),AND(AH263="K5-POLICY",AG263&lt;&gt;"นิติศาสตร์",Z263="S1",AC263&gt;=1,OR(AB263&lt;V263,AB263&lt;P263)),EDATE(AB263,12),AND(AH263="K5-POLICY",AG263&lt;&gt;"นิติศาสตร์",OR(T263="M2",T263="K4"),W263&gt;=2,V263&lt;P263),EDATE(V263,12*2),AND(AH263="K5-POLICY",AG263&lt;&gt;"นิติศาสตร์",T263="S1",W263&gt;=1,V263&lt;P263),EDATE(V263,12),AND(AH263="K5-POLICY",AG263&lt;&gt;"นิติศาสตร์",OR(T263="S2",T263="K5")),V263,AND(AH263="K5-POLICY",AG263&lt;&gt;"นิติศาสตร์",OR(K263="M2",K263="K4"),Q263&gt;=2),EDATE(P263,12*2),AND(AH263="K5-POLICY",AG263&lt;&gt;"นิติศาสตร์",K263="S1",Q263&gt;=1),EDATE(P263,12),AND(AH263="K5-POLICY",AG263&lt;&gt;"นิติศาสตร์",OR(K263="S2",K263="K5")),P263,TRUE,"Check Data")</f>
        <v/>
      </c>
      <c r="AJ263" s="75" t="str">
        <f t="shared" si="89"/>
        <v>Check Data</v>
      </c>
      <c r="AK263" s="76" t="str">
        <f t="shared" si="90"/>
        <v>Check Data</v>
      </c>
      <c r="AL263" s="50" t="str">
        <f t="shared" si="91"/>
        <v>Check Data</v>
      </c>
      <c r="AM263" s="49" t="str">
        <f>IF(B263="","",IF(K263="S1","S1",INDEX(#REF!,#REF!)))</f>
        <v/>
      </c>
      <c r="AN263" s="49" t="str">
        <f>K263</f>
        <v>M2</v>
      </c>
      <c r="AO263" s="50" t="b">
        <f>K263=AM263</f>
        <v>0</v>
      </c>
      <c r="AP263" s="50"/>
    </row>
    <row r="264" spans="1:42" ht="21.75">
      <c r="A264" s="49">
        <v>262</v>
      </c>
      <c r="B264" s="50"/>
      <c r="C264" s="52"/>
      <c r="D264" s="79"/>
      <c r="E264" s="79"/>
      <c r="F264" s="79"/>
      <c r="G264" s="50">
        <f t="shared" si="82"/>
        <v>0</v>
      </c>
      <c r="H264" s="50">
        <f t="shared" si="83"/>
        <v>0</v>
      </c>
      <c r="I264" s="50">
        <f t="shared" si="84"/>
        <v>0</v>
      </c>
      <c r="J264" s="79"/>
      <c r="K264" s="49" t="s">
        <v>136</v>
      </c>
      <c r="L264" s="79"/>
      <c r="M264" s="79"/>
      <c r="N264" s="79"/>
      <c r="O264" s="65" t="s">
        <v>434</v>
      </c>
      <c r="P264" s="49" t="str">
        <f t="shared" si="85"/>
        <v>02/07/2024</v>
      </c>
      <c r="Q264" s="68">
        <f t="shared" si="86"/>
        <v>0</v>
      </c>
      <c r="R264" s="68">
        <f t="shared" si="87"/>
        <v>11</v>
      </c>
      <c r="S264" s="68">
        <f t="shared" si="88"/>
        <v>18</v>
      </c>
      <c r="T264" s="65"/>
      <c r="U264" s="83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49" t="str">
        <f>IF(AG264="นิติศาสตร์","K5-LAW","K5-POLICY")</f>
        <v>K5-POLICY</v>
      </c>
      <c r="AI264" s="72" t="str">
        <f>_xlfn.IFS(B264="","",AND(AH264="K5-LAW",AG264="นิติศาสตร์",K264="S2",T264="",Z264=""),P264,AND(AH264="K5-LAW",AG264="นิติศาสตร์",K264="S1",T264="",Z264=""),EDATE(P264,12),AND(AH264="K5-LAW",AG264="นิติศาสตร์",OR(K264="M2",K264="K4"),T264="",Z264=""),EDATE(P264,12*2),AND(AH264="K5-LAW",AG264="นิติศาสตร์",OR(Z264="M2",Z264="K4"),AC264&gt;=2,OR(AB264&lt;V264,AB264&lt;P264)),EDATE(AB264,12*2),AND(AH264="K5-LAW",AG264="นิติศาสตร์",Z264="S1",AC264&gt;=1,OR(AB264&lt;V264,AB264&lt;P264)),EDATE(AB264,12),AND(AH264="K5-LAW",AG264="นิติศาสตร์",OR(T264="M2",T264="K4"),W264&gt;=2,V264&lt;P264),EDATE(V264,12*2),AND(AH264="K5-LAW",AG264="นิติศาสตร์",T264="S1",W264&gt;=1,V264&lt;P264),EDATE(V264,12),AND(AH264="K5-LAW",AG264="นิติศาสตร์",OR(T264="S2",T264="K5")),V264,AND(AH264="K5-LAW",AG264="นิติศาสตร์",OR(K264="M2",K264="K4"),Q264&gt;=2),EDATE(P264,12*2),AND(AH264="K5-LAW",AG264="นิติศาสตร์",K264="S1",Q264&gt;=1),EDATE(P264,12),AND(AH264="K5-LAW",AG264="นิติศาสตร์",OR(K264="S2",K264="K5")),P264,AND(AH264="K5-POLICY",AG264&lt;&gt;"นิติศาสตร์",K264="S2",T264="",Z264=""),P264,AND(AH264="K5-POLICY",AG264&lt;&gt;"นิติศาสตร์",K264="S1",T264="",Z264=""),EDATE(P264,12),AND(AH264="K5-POLICY",AG264&lt;&gt;"นิติศาสตร์",OR(K264="M2",K264="K4"),T264="",Z264=""),EDATE(P264,12*2),AND(AH264="K5-POLICY",AG264&lt;&gt;"นิติศาสตร์",OR(Z264="M2",Z264="K4"),AC264&gt;=2,OR(AB264&lt;V264,AB264&lt;P264)),EDATE(AB264,12*2),AND(AH264="K5-POLICY",AG264&lt;&gt;"นิติศาสตร์",Z264="S1",AC264&gt;=1,OR(AB264&lt;V264,AB264&lt;P264)),EDATE(AB264,12),AND(AH264="K5-POLICY",AG264&lt;&gt;"นิติศาสตร์",OR(T264="M2",T264="K4"),W264&gt;=2,V264&lt;P264),EDATE(V264,12*2),AND(AH264="K5-POLICY",AG264&lt;&gt;"นิติศาสตร์",T264="S1",W264&gt;=1,V264&lt;P264),EDATE(V264,12),AND(AH264="K5-POLICY",AG264&lt;&gt;"นิติศาสตร์",OR(T264="S2",T264="K5")),V264,AND(AH264="K5-POLICY",AG264&lt;&gt;"นิติศาสตร์",OR(K264="M2",K264="K4"),Q264&gt;=2),EDATE(P264,12*2),AND(AH264="K5-POLICY",AG264&lt;&gt;"นิติศาสตร์",K264="S1",Q264&gt;=1),EDATE(P264,12),AND(AH264="K5-POLICY",AG264&lt;&gt;"นิติศาสตร์",OR(K264="S2",K264="K5")),P264,TRUE,"Check Data")</f>
        <v/>
      </c>
      <c r="AJ264" s="75" t="str">
        <f t="shared" si="89"/>
        <v>Check Data</v>
      </c>
      <c r="AK264" s="76" t="str">
        <f t="shared" si="90"/>
        <v>Check Data</v>
      </c>
      <c r="AL264" s="50" t="str">
        <f t="shared" si="91"/>
        <v>Check Data</v>
      </c>
      <c r="AM264" s="49" t="str">
        <f>IF(B264="","",IF(K264="S1","S1",INDEX(#REF!,#REF!)))</f>
        <v/>
      </c>
      <c r="AN264" s="49" t="str">
        <f>K264</f>
        <v>M2</v>
      </c>
      <c r="AO264" s="50" t="b">
        <f>K264=AM264</f>
        <v>0</v>
      </c>
      <c r="AP264" s="50"/>
    </row>
    <row r="265" spans="1:42" ht="21.75">
      <c r="A265" s="49">
        <v>263</v>
      </c>
      <c r="B265" s="50"/>
      <c r="C265" s="52"/>
      <c r="D265" s="79"/>
      <c r="E265" s="79"/>
      <c r="F265" s="79"/>
      <c r="G265" s="50">
        <f t="shared" si="82"/>
        <v>0</v>
      </c>
      <c r="H265" s="50">
        <f t="shared" si="83"/>
        <v>0</v>
      </c>
      <c r="I265" s="50">
        <f t="shared" si="84"/>
        <v>0</v>
      </c>
      <c r="J265" s="79"/>
      <c r="K265" s="49" t="s">
        <v>136</v>
      </c>
      <c r="L265" s="79"/>
      <c r="M265" s="79"/>
      <c r="N265" s="79"/>
      <c r="O265" s="65" t="s">
        <v>434</v>
      </c>
      <c r="P265" s="49" t="str">
        <f t="shared" si="85"/>
        <v>02/07/2024</v>
      </c>
      <c r="Q265" s="68">
        <f t="shared" si="86"/>
        <v>0</v>
      </c>
      <c r="R265" s="68">
        <f t="shared" si="87"/>
        <v>11</v>
      </c>
      <c r="S265" s="68">
        <f t="shared" si="88"/>
        <v>18</v>
      </c>
      <c r="T265" s="65"/>
      <c r="U265" s="83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49" t="str">
        <f>IF(AG265="นิติศาสตร์","K5-LAW","K5-POLICY")</f>
        <v>K5-POLICY</v>
      </c>
      <c r="AI265" s="72" t="str">
        <f>_xlfn.IFS(B265="","",AND(AH265="K5-LAW",AG265="นิติศาสตร์",K265="S2",T265="",Z265=""),P265,AND(AH265="K5-LAW",AG265="นิติศาสตร์",K265="S1",T265="",Z265=""),EDATE(P265,12),AND(AH265="K5-LAW",AG265="นิติศาสตร์",OR(K265="M2",K265="K4"),T265="",Z265=""),EDATE(P265,12*2),AND(AH265="K5-LAW",AG265="นิติศาสตร์",OR(Z265="M2",Z265="K4"),AC265&gt;=2,OR(AB265&lt;V265,AB265&lt;P265)),EDATE(AB265,12*2),AND(AH265="K5-LAW",AG265="นิติศาสตร์",Z265="S1",AC265&gt;=1,OR(AB265&lt;V265,AB265&lt;P265)),EDATE(AB265,12),AND(AH265="K5-LAW",AG265="นิติศาสตร์",OR(T265="M2",T265="K4"),W265&gt;=2,V265&lt;P265),EDATE(V265,12*2),AND(AH265="K5-LAW",AG265="นิติศาสตร์",T265="S1",W265&gt;=1,V265&lt;P265),EDATE(V265,12),AND(AH265="K5-LAW",AG265="นิติศาสตร์",OR(T265="S2",T265="K5")),V265,AND(AH265="K5-LAW",AG265="นิติศาสตร์",OR(K265="M2",K265="K4"),Q265&gt;=2),EDATE(P265,12*2),AND(AH265="K5-LAW",AG265="นิติศาสตร์",K265="S1",Q265&gt;=1),EDATE(P265,12),AND(AH265="K5-LAW",AG265="นิติศาสตร์",OR(K265="S2",K265="K5")),P265,AND(AH265="K5-POLICY",AG265&lt;&gt;"นิติศาสตร์",K265="S2",T265="",Z265=""),P265,AND(AH265="K5-POLICY",AG265&lt;&gt;"นิติศาสตร์",K265="S1",T265="",Z265=""),EDATE(P265,12),AND(AH265="K5-POLICY",AG265&lt;&gt;"นิติศาสตร์",OR(K265="M2",K265="K4"),T265="",Z265=""),EDATE(P265,12*2),AND(AH265="K5-POLICY",AG265&lt;&gt;"นิติศาสตร์",OR(Z265="M2",Z265="K4"),AC265&gt;=2,OR(AB265&lt;V265,AB265&lt;P265)),EDATE(AB265,12*2),AND(AH265="K5-POLICY",AG265&lt;&gt;"นิติศาสตร์",Z265="S1",AC265&gt;=1,OR(AB265&lt;V265,AB265&lt;P265)),EDATE(AB265,12),AND(AH265="K5-POLICY",AG265&lt;&gt;"นิติศาสตร์",OR(T265="M2",T265="K4"),W265&gt;=2,V265&lt;P265),EDATE(V265,12*2),AND(AH265="K5-POLICY",AG265&lt;&gt;"นิติศาสตร์",T265="S1",W265&gt;=1,V265&lt;P265),EDATE(V265,12),AND(AH265="K5-POLICY",AG265&lt;&gt;"นิติศาสตร์",OR(T265="S2",T265="K5")),V265,AND(AH265="K5-POLICY",AG265&lt;&gt;"นิติศาสตร์",OR(K265="M2",K265="K4"),Q265&gt;=2),EDATE(P265,12*2),AND(AH265="K5-POLICY",AG265&lt;&gt;"นิติศาสตร์",K265="S1",Q265&gt;=1),EDATE(P265,12),AND(AH265="K5-POLICY",AG265&lt;&gt;"นิติศาสตร์",OR(K265="S2",K265="K5")),P265,TRUE,"Check Data")</f>
        <v/>
      </c>
      <c r="AJ265" s="75" t="str">
        <f t="shared" si="89"/>
        <v>Check Data</v>
      </c>
      <c r="AK265" s="76" t="str">
        <f t="shared" si="90"/>
        <v>Check Data</v>
      </c>
      <c r="AL265" s="50" t="str">
        <f t="shared" si="91"/>
        <v>Check Data</v>
      </c>
      <c r="AM265" s="49" t="str">
        <f>IF(B265="","",IF(K265="S1","S1",INDEX(#REF!,#REF!)))</f>
        <v/>
      </c>
      <c r="AN265" s="49" t="str">
        <f>K265</f>
        <v>M2</v>
      </c>
      <c r="AO265" s="50" t="b">
        <f>K265=AM265</f>
        <v>0</v>
      </c>
      <c r="AP265" s="50"/>
    </row>
    <row r="266" spans="1:42" ht="21.75">
      <c r="A266" s="49">
        <v>264</v>
      </c>
      <c r="B266" s="50"/>
      <c r="C266" s="52"/>
      <c r="D266" s="79"/>
      <c r="E266" s="79"/>
      <c r="F266" s="79"/>
      <c r="G266" s="50">
        <f t="shared" si="82"/>
        <v>0</v>
      </c>
      <c r="H266" s="50">
        <f t="shared" si="83"/>
        <v>0</v>
      </c>
      <c r="I266" s="50">
        <f t="shared" si="84"/>
        <v>0</v>
      </c>
      <c r="J266" s="79"/>
      <c r="K266" s="49" t="s">
        <v>136</v>
      </c>
      <c r="L266" s="79"/>
      <c r="M266" s="79"/>
      <c r="N266" s="79"/>
      <c r="O266" s="65" t="s">
        <v>434</v>
      </c>
      <c r="P266" s="49" t="str">
        <f t="shared" si="85"/>
        <v>02/07/2024</v>
      </c>
      <c r="Q266" s="68">
        <f t="shared" si="86"/>
        <v>0</v>
      </c>
      <c r="R266" s="68">
        <f t="shared" si="87"/>
        <v>11</v>
      </c>
      <c r="S266" s="68">
        <f t="shared" si="88"/>
        <v>18</v>
      </c>
      <c r="T266" s="65"/>
      <c r="U266" s="83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49" t="str">
        <f>IF(AG266="นิติศาสตร์","K5-LAW","K5-POLICY")</f>
        <v>K5-POLICY</v>
      </c>
      <c r="AI266" s="72" t="str">
        <f>_xlfn.IFS(B266="","",AND(AH266="K5-LAW",AG266="นิติศาสตร์",K266="S2",T266="",Z266=""),P266,AND(AH266="K5-LAW",AG266="นิติศาสตร์",K266="S1",T266="",Z266=""),EDATE(P266,12),AND(AH266="K5-LAW",AG266="นิติศาสตร์",OR(K266="M2",K266="K4"),T266="",Z266=""),EDATE(P266,12*2),AND(AH266="K5-LAW",AG266="นิติศาสตร์",OR(Z266="M2",Z266="K4"),AC266&gt;=2,OR(AB266&lt;V266,AB266&lt;P266)),EDATE(AB266,12*2),AND(AH266="K5-LAW",AG266="นิติศาสตร์",Z266="S1",AC266&gt;=1,OR(AB266&lt;V266,AB266&lt;P266)),EDATE(AB266,12),AND(AH266="K5-LAW",AG266="นิติศาสตร์",OR(T266="M2",T266="K4"),W266&gt;=2,V266&lt;P266),EDATE(V266,12*2),AND(AH266="K5-LAW",AG266="นิติศาสตร์",T266="S1",W266&gt;=1,V266&lt;P266),EDATE(V266,12),AND(AH266="K5-LAW",AG266="นิติศาสตร์",OR(T266="S2",T266="K5")),V266,AND(AH266="K5-LAW",AG266="นิติศาสตร์",OR(K266="M2",K266="K4"),Q266&gt;=2),EDATE(P266,12*2),AND(AH266="K5-LAW",AG266="นิติศาสตร์",K266="S1",Q266&gt;=1),EDATE(P266,12),AND(AH266="K5-LAW",AG266="นิติศาสตร์",OR(K266="S2",K266="K5")),P266,AND(AH266="K5-POLICY",AG266&lt;&gt;"นิติศาสตร์",K266="S2",T266="",Z266=""),P266,AND(AH266="K5-POLICY",AG266&lt;&gt;"นิติศาสตร์",K266="S1",T266="",Z266=""),EDATE(P266,12),AND(AH266="K5-POLICY",AG266&lt;&gt;"นิติศาสตร์",OR(K266="M2",K266="K4"),T266="",Z266=""),EDATE(P266,12*2),AND(AH266="K5-POLICY",AG266&lt;&gt;"นิติศาสตร์",OR(Z266="M2",Z266="K4"),AC266&gt;=2,OR(AB266&lt;V266,AB266&lt;P266)),EDATE(AB266,12*2),AND(AH266="K5-POLICY",AG266&lt;&gt;"นิติศาสตร์",Z266="S1",AC266&gt;=1,OR(AB266&lt;V266,AB266&lt;P266)),EDATE(AB266,12),AND(AH266="K5-POLICY",AG266&lt;&gt;"นิติศาสตร์",OR(T266="M2",T266="K4"),W266&gt;=2,V266&lt;P266),EDATE(V266,12*2),AND(AH266="K5-POLICY",AG266&lt;&gt;"นิติศาสตร์",T266="S1",W266&gt;=1,V266&lt;P266),EDATE(V266,12),AND(AH266="K5-POLICY",AG266&lt;&gt;"นิติศาสตร์",OR(T266="S2",T266="K5")),V266,AND(AH266="K5-POLICY",AG266&lt;&gt;"นิติศาสตร์",OR(K266="M2",K266="K4"),Q266&gt;=2),EDATE(P266,12*2),AND(AH266="K5-POLICY",AG266&lt;&gt;"นิติศาสตร์",K266="S1",Q266&gt;=1),EDATE(P266,12),AND(AH266="K5-POLICY",AG266&lt;&gt;"นิติศาสตร์",OR(K266="S2",K266="K5")),P266,TRUE,"Check Data")</f>
        <v/>
      </c>
      <c r="AJ266" s="75" t="str">
        <f t="shared" si="89"/>
        <v>Check Data</v>
      </c>
      <c r="AK266" s="76" t="str">
        <f t="shared" si="90"/>
        <v>Check Data</v>
      </c>
      <c r="AL266" s="50" t="str">
        <f t="shared" si="91"/>
        <v>Check Data</v>
      </c>
      <c r="AM266" s="49" t="str">
        <f>IF(B266="","",IF(K266="S1","S1",INDEX(#REF!,#REF!)))</f>
        <v/>
      </c>
      <c r="AN266" s="49" t="str">
        <f>K266</f>
        <v>M2</v>
      </c>
      <c r="AO266" s="50" t="b">
        <f>K266=AM266</f>
        <v>0</v>
      </c>
      <c r="AP266" s="50"/>
    </row>
    <row r="267" spans="1:42" ht="21.75">
      <c r="A267" s="49">
        <v>265</v>
      </c>
      <c r="B267" s="50"/>
      <c r="C267" s="52"/>
      <c r="D267" s="79"/>
      <c r="E267" s="79"/>
      <c r="F267" s="79"/>
      <c r="G267" s="50">
        <f t="shared" si="82"/>
        <v>0</v>
      </c>
      <c r="H267" s="50">
        <f t="shared" si="83"/>
        <v>0</v>
      </c>
      <c r="I267" s="50">
        <f t="shared" si="84"/>
        <v>0</v>
      </c>
      <c r="J267" s="79"/>
      <c r="K267" s="49" t="s">
        <v>136</v>
      </c>
      <c r="L267" s="79"/>
      <c r="M267" s="79"/>
      <c r="N267" s="79"/>
      <c r="O267" s="65" t="s">
        <v>434</v>
      </c>
      <c r="P267" s="49" t="str">
        <f t="shared" si="85"/>
        <v>02/07/2024</v>
      </c>
      <c r="Q267" s="68">
        <f t="shared" si="86"/>
        <v>0</v>
      </c>
      <c r="R267" s="68">
        <f t="shared" si="87"/>
        <v>11</v>
      </c>
      <c r="S267" s="68">
        <f t="shared" si="88"/>
        <v>18</v>
      </c>
      <c r="T267" s="65"/>
      <c r="U267" s="83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49" t="str">
        <f>IF(AG267="นิติศาสตร์","K5-LAW","K5-POLICY")</f>
        <v>K5-POLICY</v>
      </c>
      <c r="AI267" s="72" t="str">
        <f>_xlfn.IFS(B267="","",AND(AH267="K5-LAW",AG267="นิติศาสตร์",K267="S2",T267="",Z267=""),P267,AND(AH267="K5-LAW",AG267="นิติศาสตร์",K267="S1",T267="",Z267=""),EDATE(P267,12),AND(AH267="K5-LAW",AG267="นิติศาสตร์",OR(K267="M2",K267="K4"),T267="",Z267=""),EDATE(P267,12*2),AND(AH267="K5-LAW",AG267="นิติศาสตร์",OR(Z267="M2",Z267="K4"),AC267&gt;=2,OR(AB267&lt;V267,AB267&lt;P267)),EDATE(AB267,12*2),AND(AH267="K5-LAW",AG267="นิติศาสตร์",Z267="S1",AC267&gt;=1,OR(AB267&lt;V267,AB267&lt;P267)),EDATE(AB267,12),AND(AH267="K5-LAW",AG267="นิติศาสตร์",OR(T267="M2",T267="K4"),W267&gt;=2,V267&lt;P267),EDATE(V267,12*2),AND(AH267="K5-LAW",AG267="นิติศาสตร์",T267="S1",W267&gt;=1,V267&lt;P267),EDATE(V267,12),AND(AH267="K5-LAW",AG267="นิติศาสตร์",OR(T267="S2",T267="K5")),V267,AND(AH267="K5-LAW",AG267="นิติศาสตร์",OR(K267="M2",K267="K4"),Q267&gt;=2),EDATE(P267,12*2),AND(AH267="K5-LAW",AG267="นิติศาสตร์",K267="S1",Q267&gt;=1),EDATE(P267,12),AND(AH267="K5-LAW",AG267="นิติศาสตร์",OR(K267="S2",K267="K5")),P267,AND(AH267="K5-POLICY",AG267&lt;&gt;"นิติศาสตร์",K267="S2",T267="",Z267=""),P267,AND(AH267="K5-POLICY",AG267&lt;&gt;"นิติศาสตร์",K267="S1",T267="",Z267=""),EDATE(P267,12),AND(AH267="K5-POLICY",AG267&lt;&gt;"นิติศาสตร์",OR(K267="M2",K267="K4"),T267="",Z267=""),EDATE(P267,12*2),AND(AH267="K5-POLICY",AG267&lt;&gt;"นิติศาสตร์",OR(Z267="M2",Z267="K4"),AC267&gt;=2,OR(AB267&lt;V267,AB267&lt;P267)),EDATE(AB267,12*2),AND(AH267="K5-POLICY",AG267&lt;&gt;"นิติศาสตร์",Z267="S1",AC267&gt;=1,OR(AB267&lt;V267,AB267&lt;P267)),EDATE(AB267,12),AND(AH267="K5-POLICY",AG267&lt;&gt;"นิติศาสตร์",OR(T267="M2",T267="K4"),W267&gt;=2,V267&lt;P267),EDATE(V267,12*2),AND(AH267="K5-POLICY",AG267&lt;&gt;"นิติศาสตร์",T267="S1",W267&gt;=1,V267&lt;P267),EDATE(V267,12),AND(AH267="K5-POLICY",AG267&lt;&gt;"นิติศาสตร์",OR(T267="S2",T267="K5")),V267,AND(AH267="K5-POLICY",AG267&lt;&gt;"นิติศาสตร์",OR(K267="M2",K267="K4"),Q267&gt;=2),EDATE(P267,12*2),AND(AH267="K5-POLICY",AG267&lt;&gt;"นิติศาสตร์",K267="S1",Q267&gt;=1),EDATE(P267,12),AND(AH267="K5-POLICY",AG267&lt;&gt;"นิติศาสตร์",OR(K267="S2",K267="K5")),P267,TRUE,"Check Data")</f>
        <v/>
      </c>
      <c r="AJ267" s="75" t="str">
        <f t="shared" si="89"/>
        <v>Check Data</v>
      </c>
      <c r="AK267" s="76" t="str">
        <f t="shared" si="90"/>
        <v>Check Data</v>
      </c>
      <c r="AL267" s="50" t="str">
        <f t="shared" si="91"/>
        <v>Check Data</v>
      </c>
      <c r="AM267" s="49" t="str">
        <f>IF(B267="","",IF(K267="S1","S1",INDEX(#REF!,#REF!)))</f>
        <v/>
      </c>
      <c r="AN267" s="49" t="str">
        <f>K267</f>
        <v>M2</v>
      </c>
      <c r="AO267" s="50" t="b">
        <f>K267=AM267</f>
        <v>0</v>
      </c>
      <c r="AP267" s="50"/>
    </row>
    <row r="268" spans="1:42" ht="21.75">
      <c r="A268" s="49">
        <v>266</v>
      </c>
      <c r="B268" s="50"/>
      <c r="C268" s="50"/>
      <c r="D268" s="50" t="s">
        <v>139</v>
      </c>
      <c r="E268" s="49"/>
      <c r="F268" s="49" t="str">
        <f>IF(E268="","",TEXT(EDATE(E268,-543*12),"dd/mm/yyyy"))</f>
        <v/>
      </c>
      <c r="G268" s="50">
        <f t="shared" si="82"/>
        <v>0</v>
      </c>
      <c r="H268" s="50">
        <f t="shared" si="83"/>
        <v>0</v>
      </c>
      <c r="I268" s="50">
        <f t="shared" si="84"/>
        <v>0</v>
      </c>
      <c r="J268" s="50"/>
      <c r="K268" s="49" t="s">
        <v>136</v>
      </c>
      <c r="L268" s="64"/>
      <c r="M268" s="49"/>
      <c r="N268" s="49"/>
      <c r="O268" s="86" t="s">
        <v>443</v>
      </c>
      <c r="P268" s="49" t="str">
        <f t="shared" si="85"/>
        <v>25/07/2024</v>
      </c>
      <c r="Q268" s="68">
        <f t="shared" si="86"/>
        <v>0</v>
      </c>
      <c r="R268" s="68">
        <f t="shared" si="87"/>
        <v>10</v>
      </c>
      <c r="S268" s="68">
        <f t="shared" si="88"/>
        <v>26</v>
      </c>
      <c r="T268" s="65"/>
      <c r="U268" s="65"/>
      <c r="V268" s="49" t="str">
        <f>IF(U268="","",TEXT(EDATE(U268,-543*12),"dd/mm/yyyy"))</f>
        <v/>
      </c>
      <c r="W268" s="68">
        <f>IF(V268="",0,DATEDIF(V268,P268,"Y"))</f>
        <v>0</v>
      </c>
      <c r="X268" s="68">
        <f>IF(V268="",0,DATEDIF(V268,P268,"YM"))</f>
        <v>0</v>
      </c>
      <c r="Y268" s="68">
        <f>IF(V268="",0,DATEDIF(V268,P268,"MD"))</f>
        <v>0</v>
      </c>
      <c r="Z268" s="49"/>
      <c r="AA268" s="65"/>
      <c r="AB268" s="50" t="str">
        <f>IF(AA268="","",TEXT(EDATE(AA268,-543*12),"dd/mm/yyyy"))</f>
        <v/>
      </c>
      <c r="AC268" s="68">
        <f>IF(AB268="",0,DATEDIF(AB268,V268,"Y"))</f>
        <v>0</v>
      </c>
      <c r="AD268" s="68">
        <f>IF(AB268="",0,DATEDIF(AB268,V268,"YM"))</f>
        <v>0</v>
      </c>
      <c r="AE268" s="68">
        <f>IF(AB268="",0,DATEDIF(AB268,V268,"MD"))</f>
        <v>0</v>
      </c>
      <c r="AF268" s="50"/>
      <c r="AG268" s="50"/>
      <c r="AH268" s="49" t="str">
        <f>IF(AG268="นิติศาสตร์","K5-LAW","K5-POLICY")</f>
        <v>K5-POLICY</v>
      </c>
      <c r="AI268" s="72" t="str">
        <f>_xlfn.IFS(B268="","",AND(AH268="K5-LAW",AG268="นิติศาสตร์",K268="S2",T268="",Z268=""),P268,AND(AH268="K5-LAW",AG268="นิติศาสตร์",K268="S1",T268="",Z268=""),EDATE(P268,12),AND(AH268="K5-LAW",AG268="นิติศาสตร์",OR(K268="M2",K268="K4"),T268="",Z268=""),EDATE(P268,12*2),AND(AH268="K5-LAW",AG268="นิติศาสตร์",OR(Z268="M2",Z268="K4"),AC268&gt;=2,OR(AB268&lt;V268,AB268&lt;P268)),EDATE(AB268,12*2),AND(AH268="K5-LAW",AG268="นิติศาสตร์",Z268="S1",AC268&gt;=1,OR(AB268&lt;V268,AB268&lt;P268)),EDATE(AB268,12),AND(AH268="K5-LAW",AG268="นิติศาสตร์",OR(T268="M2",T268="K4"),W268&gt;=2,V268&lt;P268),EDATE(V268,12*2),AND(AH268="K5-LAW",AG268="นิติศาสตร์",T268="S1",W268&gt;=1,V268&lt;P268),EDATE(V268,12),AND(AH268="K5-LAW",AG268="นิติศาสตร์",OR(T268="S2",T268="K5")),V268,AND(AH268="K5-LAW",AG268="นิติศาสตร์",OR(K268="M2",K268="K4"),Q268&gt;=2),EDATE(P268,12*2),AND(AH268="K5-LAW",AG268="นิติศาสตร์",K268="S1",Q268&gt;=1),EDATE(P268,12),AND(AH268="K5-LAW",AG268="นิติศาสตร์",OR(K268="S2",K268="K5")),P268,AND(AH268="K5-POLICY",AG268&lt;&gt;"นิติศาสตร์",K268="S2",T268="",Z268=""),P268,AND(AH268="K5-POLICY",AG268&lt;&gt;"นิติศาสตร์",K268="S1",T268="",Z268=""),EDATE(P268,12),AND(AH268="K5-POLICY",AG268&lt;&gt;"นิติศาสตร์",OR(K268="M2",K268="K4"),T268="",Z268=""),EDATE(P268,12*2),AND(AH268="K5-POLICY",AG268&lt;&gt;"นิติศาสตร์",OR(Z268="M2",Z268="K4"),AC268&gt;=2,OR(AB268&lt;V268,AB268&lt;P268)),EDATE(AB268,12*2),AND(AH268="K5-POLICY",AG268&lt;&gt;"นิติศาสตร์",Z268="S1",AC268&gt;=1,OR(AB268&lt;V268,AB268&lt;P268)),EDATE(AB268,12),AND(AH268="K5-POLICY",AG268&lt;&gt;"นิติศาสตร์",OR(T268="M2",T268="K4"),W268&gt;=2,V268&lt;P268),EDATE(V268,12*2),AND(AH268="K5-POLICY",AG268&lt;&gt;"นิติศาสตร์",T268="S1",W268&gt;=1,V268&lt;P268),EDATE(V268,12),AND(AH268="K5-POLICY",AG268&lt;&gt;"นิติศาสตร์",OR(T268="S2",T268="K5")),V268,AND(AH268="K5-POLICY",AG268&lt;&gt;"นิติศาสตร์",OR(K268="M2",K268="K4"),Q268&gt;=2),EDATE(P268,12*2),AND(AH268="K5-POLICY",AG268&lt;&gt;"นิติศาสตร์",K268="S1",Q268&gt;=1),EDATE(P268,12),AND(AH268="K5-POLICY",AG268&lt;&gt;"นิติศาสตร์",OR(K268="S2",K268="K5")),P268,TRUE,"Check Data")</f>
        <v/>
      </c>
      <c r="AJ268" s="75" t="str">
        <f t="shared" si="89"/>
        <v>Check Data</v>
      </c>
      <c r="AK268" s="76" t="str">
        <f t="shared" si="90"/>
        <v>Check Data</v>
      </c>
      <c r="AL268" s="50" t="str">
        <f t="shared" si="91"/>
        <v>Check Data</v>
      </c>
      <c r="AM268" s="49" t="str">
        <f>IF(B268="","",IF(K268="S1","S1",INDEX(#REF!,#REF!)))</f>
        <v/>
      </c>
      <c r="AN268" s="49" t="str">
        <f>K268</f>
        <v>M2</v>
      </c>
      <c r="AO268" s="50" t="b">
        <f>K268=AM268</f>
        <v>0</v>
      </c>
      <c r="AP268" s="50"/>
    </row>
    <row r="269" spans="1:42" ht="21.75">
      <c r="A269" s="49">
        <v>267</v>
      </c>
      <c r="B269" s="50"/>
      <c r="C269" s="52"/>
      <c r="D269" s="50"/>
      <c r="E269" s="49"/>
      <c r="F269" s="49"/>
      <c r="G269" s="50">
        <f t="shared" si="82"/>
        <v>0</v>
      </c>
      <c r="H269" s="50">
        <f t="shared" si="83"/>
        <v>0</v>
      </c>
      <c r="I269" s="50">
        <f t="shared" si="84"/>
        <v>0</v>
      </c>
      <c r="J269" s="50"/>
      <c r="K269" s="49" t="s">
        <v>136</v>
      </c>
      <c r="L269" s="64"/>
      <c r="M269" s="49"/>
      <c r="N269" s="49"/>
      <c r="O269" s="65" t="s">
        <v>459</v>
      </c>
      <c r="P269" s="49" t="str">
        <f t="shared" si="85"/>
        <v>18/09/2024</v>
      </c>
      <c r="Q269" s="68">
        <f t="shared" si="86"/>
        <v>0</v>
      </c>
      <c r="R269" s="68">
        <f t="shared" si="87"/>
        <v>9</v>
      </c>
      <c r="S269" s="68">
        <f t="shared" si="88"/>
        <v>2</v>
      </c>
      <c r="T269" s="65"/>
      <c r="U269" s="65"/>
      <c r="V269" s="49"/>
      <c r="W269" s="68"/>
      <c r="X269" s="68"/>
      <c r="Y269" s="68"/>
      <c r="Z269" s="49"/>
      <c r="AA269" s="65"/>
      <c r="AB269" s="50"/>
      <c r="AC269" s="68"/>
      <c r="AD269" s="68"/>
      <c r="AE269" s="68"/>
      <c r="AF269" s="50"/>
      <c r="AG269" s="50"/>
      <c r="AH269" s="49" t="str">
        <f>IF(AG269="นิติศาสตร์","K5-LAW","K5-POLICY")</f>
        <v>K5-POLICY</v>
      </c>
      <c r="AI269" s="72" t="str">
        <f>_xlfn.IFS(B269="","",AND(AH269="K5-LAW",AG269="นิติศาสตร์",K269="S2",T269="",Z269=""),P269,AND(AH269="K5-LAW",AG269="นิติศาสตร์",K269="S1",T269="",Z269=""),EDATE(P269,12),AND(AH269="K5-LAW",AG269="นิติศาสตร์",OR(K269="M2",K269="K4"),T269="",Z269=""),EDATE(P269,12*2),AND(AH269="K5-LAW",AG269="นิติศาสตร์",OR(Z269="M2",Z269="K4"),AC269&gt;=2,OR(AB269&lt;V269,AB269&lt;P269)),EDATE(AB269,12*2),AND(AH269="K5-LAW",AG269="นิติศาสตร์",Z269="S1",AC269&gt;=1,OR(AB269&lt;V269,AB269&lt;P269)),EDATE(AB269,12),AND(AH269="K5-LAW",AG269="นิติศาสตร์",OR(T269="M2",T269="K4"),W269&gt;=2,V269&lt;P269),EDATE(V269,12*2),AND(AH269="K5-LAW",AG269="นิติศาสตร์",T269="S1",W269&gt;=1,V269&lt;P269),EDATE(V269,12),AND(AH269="K5-LAW",AG269="นิติศาสตร์",OR(T269="S2",T269="K5")),V269,AND(AH269="K5-LAW",AG269="นิติศาสตร์",OR(K269="M2",K269="K4"),Q269&gt;=2),EDATE(P269,12*2),AND(AH269="K5-LAW",AG269="นิติศาสตร์",K269="S1",Q269&gt;=1),EDATE(P269,12),AND(AH269="K5-LAW",AG269="นิติศาสตร์",OR(K269="S2",K269="K5")),P269,AND(AH269="K5-POLICY",AG269&lt;&gt;"นิติศาสตร์",K269="S2",T269="",Z269=""),P269,AND(AH269="K5-POLICY",AG269&lt;&gt;"นิติศาสตร์",K269="S1",T269="",Z269=""),EDATE(P269,12),AND(AH269="K5-POLICY",AG269&lt;&gt;"นิติศาสตร์",OR(K269="M2",K269="K4"),T269="",Z269=""),EDATE(P269,12*2),AND(AH269="K5-POLICY",AG269&lt;&gt;"นิติศาสตร์",OR(Z269="M2",Z269="K4"),AC269&gt;=2,OR(AB269&lt;V269,AB269&lt;P269)),EDATE(AB269,12*2),AND(AH269="K5-POLICY",AG269&lt;&gt;"นิติศาสตร์",Z269="S1",AC269&gt;=1,OR(AB269&lt;V269,AB269&lt;P269)),EDATE(AB269,12),AND(AH269="K5-POLICY",AG269&lt;&gt;"นิติศาสตร์",OR(T269="M2",T269="K4"),W269&gt;=2,V269&lt;P269),EDATE(V269,12*2),AND(AH269="K5-POLICY",AG269&lt;&gt;"นิติศาสตร์",T269="S1",W269&gt;=1,V269&lt;P269),EDATE(V269,12),AND(AH269="K5-POLICY",AG269&lt;&gt;"นิติศาสตร์",OR(T269="S2",T269="K5")),V269,AND(AH269="K5-POLICY",AG269&lt;&gt;"นิติศาสตร์",OR(K269="M2",K269="K4"),Q269&gt;=2),EDATE(P269,12*2),AND(AH269="K5-POLICY",AG269&lt;&gt;"นิติศาสตร์",K269="S1",Q269&gt;=1),EDATE(P269,12),AND(AH269="K5-POLICY",AG269&lt;&gt;"นิติศาสตร์",OR(K269="S2",K269="K5")),P269,TRUE,"Check Data")</f>
        <v/>
      </c>
      <c r="AJ269" s="75" t="str">
        <f t="shared" si="89"/>
        <v>Check Data</v>
      </c>
      <c r="AK269" s="76" t="str">
        <f t="shared" si="90"/>
        <v>Check Data</v>
      </c>
      <c r="AL269" s="50" t="str">
        <f t="shared" si="91"/>
        <v>Check Data</v>
      </c>
      <c r="AM269" s="49" t="str">
        <f>IF(B269="","",IF(K269="S1","S1",INDEX(#REF!,#REF!)))</f>
        <v/>
      </c>
      <c r="AN269" s="49" t="str">
        <f>K269</f>
        <v>M2</v>
      </c>
      <c r="AO269" s="50" t="b">
        <f>K269=AM269</f>
        <v>0</v>
      </c>
      <c r="AP269" s="50"/>
    </row>
    <row r="270" spans="1:42" ht="21.75">
      <c r="A270" s="49">
        <v>268</v>
      </c>
      <c r="B270" s="50"/>
      <c r="C270" s="52"/>
      <c r="D270" s="79"/>
      <c r="E270" s="79"/>
      <c r="F270" s="79"/>
      <c r="G270" s="50">
        <f t="shared" si="82"/>
        <v>0</v>
      </c>
      <c r="H270" s="50">
        <f t="shared" si="83"/>
        <v>0</v>
      </c>
      <c r="I270" s="50">
        <f t="shared" si="84"/>
        <v>0</v>
      </c>
      <c r="J270" s="79"/>
      <c r="K270" s="49" t="s">
        <v>136</v>
      </c>
      <c r="L270" s="79"/>
      <c r="M270" s="79"/>
      <c r="N270" s="79"/>
      <c r="O270" s="65" t="s">
        <v>464</v>
      </c>
      <c r="P270" s="49" t="str">
        <f t="shared" si="85"/>
        <v>21/11/2024</v>
      </c>
      <c r="Q270" s="68">
        <f t="shared" si="86"/>
        <v>0</v>
      </c>
      <c r="R270" s="68">
        <f t="shared" si="87"/>
        <v>6</v>
      </c>
      <c r="S270" s="68">
        <f t="shared" si="88"/>
        <v>30</v>
      </c>
      <c r="T270" s="65"/>
      <c r="U270" s="83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49" t="str">
        <f>IF(AG270="นิติศาสตร์","K5-LAW","K5-POLICY")</f>
        <v>K5-POLICY</v>
      </c>
      <c r="AI270" s="72" t="str">
        <f>_xlfn.IFS(B270="","",AND(AH270="K5-LAW",AG270="นิติศาสตร์",K270="S2",T270="",Z270=""),P270,AND(AH270="K5-LAW",AG270="นิติศาสตร์",K270="S1",T270="",Z270=""),EDATE(P270,12),AND(AH270="K5-LAW",AG270="นิติศาสตร์",OR(K270="M2",K270="K4"),T270="",Z270=""),EDATE(P270,12*2),AND(AH270="K5-LAW",AG270="นิติศาสตร์",OR(Z270="M2",Z270="K4"),AC270&gt;=2,OR(AB270&lt;V270,AB270&lt;P270)),EDATE(AB270,12*2),AND(AH270="K5-LAW",AG270="นิติศาสตร์",Z270="S1",AC270&gt;=1,OR(AB270&lt;V270,AB270&lt;P270)),EDATE(AB270,12),AND(AH270="K5-LAW",AG270="นิติศาสตร์",OR(T270="M2",T270="K4"),W270&gt;=2,V270&lt;P270),EDATE(V270,12*2),AND(AH270="K5-LAW",AG270="นิติศาสตร์",T270="S1",W270&gt;=1,V270&lt;P270),EDATE(V270,12),AND(AH270="K5-LAW",AG270="นิติศาสตร์",OR(T270="S2",T270="K5")),V270,AND(AH270="K5-LAW",AG270="นิติศาสตร์",OR(K270="M2",K270="K4"),Q270&gt;=2),EDATE(P270,12*2),AND(AH270="K5-LAW",AG270="นิติศาสตร์",K270="S1",Q270&gt;=1),EDATE(P270,12),AND(AH270="K5-LAW",AG270="นิติศาสตร์",OR(K270="S2",K270="K5")),P270,AND(AH270="K5-POLICY",AG270&lt;&gt;"นิติศาสตร์",K270="S2",T270="",Z270=""),P270,AND(AH270="K5-POLICY",AG270&lt;&gt;"นิติศาสตร์",K270="S1",T270="",Z270=""),EDATE(P270,12),AND(AH270="K5-POLICY",AG270&lt;&gt;"นิติศาสตร์",OR(K270="M2",K270="K4"),T270="",Z270=""),EDATE(P270,12*2),AND(AH270="K5-POLICY",AG270&lt;&gt;"นิติศาสตร์",OR(Z270="M2",Z270="K4"),AC270&gt;=2,OR(AB270&lt;V270,AB270&lt;P270)),EDATE(AB270,12*2),AND(AH270="K5-POLICY",AG270&lt;&gt;"นิติศาสตร์",Z270="S1",AC270&gt;=1,OR(AB270&lt;V270,AB270&lt;P270)),EDATE(AB270,12),AND(AH270="K5-POLICY",AG270&lt;&gt;"นิติศาสตร์",OR(T270="M2",T270="K4"),W270&gt;=2,V270&lt;P270),EDATE(V270,12*2),AND(AH270="K5-POLICY",AG270&lt;&gt;"นิติศาสตร์",T270="S1",W270&gt;=1,V270&lt;P270),EDATE(V270,12),AND(AH270="K5-POLICY",AG270&lt;&gt;"นิติศาสตร์",OR(T270="S2",T270="K5")),V270,AND(AH270="K5-POLICY",AG270&lt;&gt;"นิติศาสตร์",OR(K270="M2",K270="K4"),Q270&gt;=2),EDATE(P270,12*2),AND(AH270="K5-POLICY",AG270&lt;&gt;"นิติศาสตร์",K270="S1",Q270&gt;=1),EDATE(P270,12),AND(AH270="K5-POLICY",AG270&lt;&gt;"นิติศาสตร์",OR(K270="S2",K270="K5")),P270,TRUE,"Check Data")</f>
        <v/>
      </c>
      <c r="AJ270" s="75" t="str">
        <f t="shared" si="89"/>
        <v>Check Data</v>
      </c>
      <c r="AK270" s="76" t="str">
        <f t="shared" si="90"/>
        <v>Check Data</v>
      </c>
      <c r="AL270" s="50" t="str">
        <f t="shared" si="91"/>
        <v>Check Data</v>
      </c>
      <c r="AM270" s="49" t="str">
        <f>IF(B270="","",IF(K270="S1","S1",INDEX(#REF!,#REF!)))</f>
        <v/>
      </c>
      <c r="AN270" s="49" t="str">
        <f>K270</f>
        <v>M2</v>
      </c>
      <c r="AO270" s="50" t="b">
        <f>K270=AM270</f>
        <v>0</v>
      </c>
      <c r="AP270" s="50"/>
    </row>
    <row r="271" spans="1:42" ht="21.75">
      <c r="A271" s="49">
        <v>269</v>
      </c>
      <c r="B271" s="50"/>
      <c r="C271" s="52"/>
      <c r="D271" s="79"/>
      <c r="E271" s="79"/>
      <c r="F271" s="79"/>
      <c r="G271" s="50">
        <f t="shared" si="82"/>
        <v>0</v>
      </c>
      <c r="H271" s="50">
        <f t="shared" si="83"/>
        <v>0</v>
      </c>
      <c r="I271" s="50">
        <f t="shared" si="84"/>
        <v>0</v>
      </c>
      <c r="J271" s="79"/>
      <c r="K271" s="49" t="s">
        <v>136</v>
      </c>
      <c r="L271" s="79"/>
      <c r="M271" s="79"/>
      <c r="N271" s="79"/>
      <c r="O271" s="65" t="s">
        <v>464</v>
      </c>
      <c r="P271" s="49" t="str">
        <f t="shared" si="85"/>
        <v>21/11/2024</v>
      </c>
      <c r="Q271" s="68">
        <f t="shared" si="86"/>
        <v>0</v>
      </c>
      <c r="R271" s="68">
        <f t="shared" si="87"/>
        <v>6</v>
      </c>
      <c r="S271" s="68">
        <f t="shared" si="88"/>
        <v>30</v>
      </c>
      <c r="T271" s="65"/>
      <c r="U271" s="83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49" t="str">
        <f>IF(AG271="นิติศาสตร์","K5-LAW","K5-POLICY")</f>
        <v>K5-POLICY</v>
      </c>
      <c r="AI271" s="72" t="str">
        <f>_xlfn.IFS(B271="","",AND(AH271="K5-LAW",AG271="นิติศาสตร์",K271="S2",T271="",Z271=""),P271,AND(AH271="K5-LAW",AG271="นิติศาสตร์",K271="S1",T271="",Z271=""),EDATE(P271,12),AND(AH271="K5-LAW",AG271="นิติศาสตร์",OR(K271="M2",K271="K4"),T271="",Z271=""),EDATE(P271,12*2),AND(AH271="K5-LAW",AG271="นิติศาสตร์",OR(Z271="M2",Z271="K4"),AC271&gt;=2,OR(AB271&lt;V271,AB271&lt;P271)),EDATE(AB271,12*2),AND(AH271="K5-LAW",AG271="นิติศาสตร์",Z271="S1",AC271&gt;=1,OR(AB271&lt;V271,AB271&lt;P271)),EDATE(AB271,12),AND(AH271="K5-LAW",AG271="นิติศาสตร์",OR(T271="M2",T271="K4"),W271&gt;=2,V271&lt;P271),EDATE(V271,12*2),AND(AH271="K5-LAW",AG271="นิติศาสตร์",T271="S1",W271&gt;=1,V271&lt;P271),EDATE(V271,12),AND(AH271="K5-LAW",AG271="นิติศาสตร์",OR(T271="S2",T271="K5")),V271,AND(AH271="K5-LAW",AG271="นิติศาสตร์",OR(K271="M2",K271="K4"),Q271&gt;=2),EDATE(P271,12*2),AND(AH271="K5-LAW",AG271="นิติศาสตร์",K271="S1",Q271&gt;=1),EDATE(P271,12),AND(AH271="K5-LAW",AG271="นิติศาสตร์",OR(K271="S2",K271="K5")),P271,AND(AH271="K5-POLICY",AG271&lt;&gt;"นิติศาสตร์",K271="S2",T271="",Z271=""),P271,AND(AH271="K5-POLICY",AG271&lt;&gt;"นิติศาสตร์",K271="S1",T271="",Z271=""),EDATE(P271,12),AND(AH271="K5-POLICY",AG271&lt;&gt;"นิติศาสตร์",OR(K271="M2",K271="K4"),T271="",Z271=""),EDATE(P271,12*2),AND(AH271="K5-POLICY",AG271&lt;&gt;"นิติศาสตร์",OR(Z271="M2",Z271="K4"),AC271&gt;=2,OR(AB271&lt;V271,AB271&lt;P271)),EDATE(AB271,12*2),AND(AH271="K5-POLICY",AG271&lt;&gt;"นิติศาสตร์",Z271="S1",AC271&gt;=1,OR(AB271&lt;V271,AB271&lt;P271)),EDATE(AB271,12),AND(AH271="K5-POLICY",AG271&lt;&gt;"นิติศาสตร์",OR(T271="M2",T271="K4"),W271&gt;=2,V271&lt;P271),EDATE(V271,12*2),AND(AH271="K5-POLICY",AG271&lt;&gt;"นิติศาสตร์",T271="S1",W271&gt;=1,V271&lt;P271),EDATE(V271,12),AND(AH271="K5-POLICY",AG271&lt;&gt;"นิติศาสตร์",OR(T271="S2",T271="K5")),V271,AND(AH271="K5-POLICY",AG271&lt;&gt;"นิติศาสตร์",OR(K271="M2",K271="K4"),Q271&gt;=2),EDATE(P271,12*2),AND(AH271="K5-POLICY",AG271&lt;&gt;"นิติศาสตร์",K271="S1",Q271&gt;=1),EDATE(P271,12),AND(AH271="K5-POLICY",AG271&lt;&gt;"นิติศาสตร์",OR(K271="S2",K271="K5")),P271,TRUE,"Check Data")</f>
        <v/>
      </c>
      <c r="AJ271" s="75" t="str">
        <f t="shared" si="89"/>
        <v>Check Data</v>
      </c>
      <c r="AK271" s="76" t="str">
        <f t="shared" si="90"/>
        <v>Check Data</v>
      </c>
      <c r="AL271" s="50" t="str">
        <f t="shared" si="91"/>
        <v>Check Data</v>
      </c>
      <c r="AM271" s="49" t="str">
        <f>IF(B271="","",IF(K271="S1","S1",INDEX(#REF!,#REF!)))</f>
        <v/>
      </c>
      <c r="AN271" s="49" t="str">
        <f>K271</f>
        <v>M2</v>
      </c>
      <c r="AO271" s="50" t="b">
        <f>K271=AM271</f>
        <v>0</v>
      </c>
      <c r="AP271" s="50"/>
    </row>
    <row r="272" spans="1:42" ht="21.75">
      <c r="A272" s="49">
        <v>270</v>
      </c>
      <c r="B272" s="50"/>
      <c r="C272" s="52"/>
      <c r="D272" s="79"/>
      <c r="E272" s="79"/>
      <c r="F272" s="79"/>
      <c r="G272" s="50">
        <f t="shared" si="82"/>
        <v>0</v>
      </c>
      <c r="H272" s="50">
        <f t="shared" si="83"/>
        <v>0</v>
      </c>
      <c r="I272" s="50">
        <f t="shared" si="84"/>
        <v>0</v>
      </c>
      <c r="J272" s="79"/>
      <c r="K272" s="49" t="s">
        <v>136</v>
      </c>
      <c r="L272" s="79"/>
      <c r="M272" s="79"/>
      <c r="N272" s="79"/>
      <c r="O272" s="65" t="s">
        <v>464</v>
      </c>
      <c r="P272" s="49" t="str">
        <f t="shared" si="85"/>
        <v>21/11/2024</v>
      </c>
      <c r="Q272" s="68">
        <f t="shared" si="86"/>
        <v>0</v>
      </c>
      <c r="R272" s="68">
        <f t="shared" si="87"/>
        <v>6</v>
      </c>
      <c r="S272" s="68">
        <f t="shared" si="88"/>
        <v>30</v>
      </c>
      <c r="T272" s="65"/>
      <c r="U272" s="83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49" t="str">
        <f>IF(AG272="นิติศาสตร์","K5-LAW","K5-POLICY")</f>
        <v>K5-POLICY</v>
      </c>
      <c r="AI272" s="72" t="str">
        <f>_xlfn.IFS(B272="","",AND(AH272="K5-LAW",AG272="นิติศาสตร์",K272="S2",T272="",Z272=""),P272,AND(AH272="K5-LAW",AG272="นิติศาสตร์",K272="S1",T272="",Z272=""),EDATE(P272,12),AND(AH272="K5-LAW",AG272="นิติศาสตร์",OR(K272="M2",K272="K4"),T272="",Z272=""),EDATE(P272,12*2),AND(AH272="K5-LAW",AG272="นิติศาสตร์",OR(Z272="M2",Z272="K4"),AC272&gt;=2,OR(AB272&lt;V272,AB272&lt;P272)),EDATE(AB272,12*2),AND(AH272="K5-LAW",AG272="นิติศาสตร์",Z272="S1",AC272&gt;=1,OR(AB272&lt;V272,AB272&lt;P272)),EDATE(AB272,12),AND(AH272="K5-LAW",AG272="นิติศาสตร์",OR(T272="M2",T272="K4"),W272&gt;=2,V272&lt;P272),EDATE(V272,12*2),AND(AH272="K5-LAW",AG272="นิติศาสตร์",T272="S1",W272&gt;=1,V272&lt;P272),EDATE(V272,12),AND(AH272="K5-LAW",AG272="นิติศาสตร์",OR(T272="S2",T272="K5")),V272,AND(AH272="K5-LAW",AG272="นิติศาสตร์",OR(K272="M2",K272="K4"),Q272&gt;=2),EDATE(P272,12*2),AND(AH272="K5-LAW",AG272="นิติศาสตร์",K272="S1",Q272&gt;=1),EDATE(P272,12),AND(AH272="K5-LAW",AG272="นิติศาสตร์",OR(K272="S2",K272="K5")),P272,AND(AH272="K5-POLICY",AG272&lt;&gt;"นิติศาสตร์",K272="S2",T272="",Z272=""),P272,AND(AH272="K5-POLICY",AG272&lt;&gt;"นิติศาสตร์",K272="S1",T272="",Z272=""),EDATE(P272,12),AND(AH272="K5-POLICY",AG272&lt;&gt;"นิติศาสตร์",OR(K272="M2",K272="K4"),T272="",Z272=""),EDATE(P272,12*2),AND(AH272="K5-POLICY",AG272&lt;&gt;"นิติศาสตร์",OR(Z272="M2",Z272="K4"),AC272&gt;=2,OR(AB272&lt;V272,AB272&lt;P272)),EDATE(AB272,12*2),AND(AH272="K5-POLICY",AG272&lt;&gt;"นิติศาสตร์",Z272="S1",AC272&gt;=1,OR(AB272&lt;V272,AB272&lt;P272)),EDATE(AB272,12),AND(AH272="K5-POLICY",AG272&lt;&gt;"นิติศาสตร์",OR(T272="M2",T272="K4"),W272&gt;=2,V272&lt;P272),EDATE(V272,12*2),AND(AH272="K5-POLICY",AG272&lt;&gt;"นิติศาสตร์",T272="S1",W272&gt;=1,V272&lt;P272),EDATE(V272,12),AND(AH272="K5-POLICY",AG272&lt;&gt;"นิติศาสตร์",OR(T272="S2",T272="K5")),V272,AND(AH272="K5-POLICY",AG272&lt;&gt;"นิติศาสตร์",OR(K272="M2",K272="K4"),Q272&gt;=2),EDATE(P272,12*2),AND(AH272="K5-POLICY",AG272&lt;&gt;"นิติศาสตร์",K272="S1",Q272&gt;=1),EDATE(P272,12),AND(AH272="K5-POLICY",AG272&lt;&gt;"นิติศาสตร์",OR(K272="S2",K272="K5")),P272,TRUE,"Check Data")</f>
        <v/>
      </c>
      <c r="AJ272" s="75" t="str">
        <f t="shared" si="89"/>
        <v>Check Data</v>
      </c>
      <c r="AK272" s="76" t="str">
        <f t="shared" si="90"/>
        <v>Check Data</v>
      </c>
      <c r="AL272" s="50" t="str">
        <f t="shared" si="91"/>
        <v>Check Data</v>
      </c>
      <c r="AM272" s="49" t="str">
        <f>IF(B272="","",IF(K272="S1","S1",INDEX(#REF!,#REF!)))</f>
        <v/>
      </c>
      <c r="AN272" s="49" t="str">
        <f>K272</f>
        <v>M2</v>
      </c>
      <c r="AO272" s="50" t="b">
        <f>K272=AM272</f>
        <v>0</v>
      </c>
      <c r="AP272" s="50"/>
    </row>
    <row r="273" spans="1:42" ht="21.75">
      <c r="A273" s="49">
        <v>271</v>
      </c>
      <c r="B273" s="50"/>
      <c r="C273" s="52"/>
      <c r="D273" s="79"/>
      <c r="E273" s="79"/>
      <c r="F273" s="79"/>
      <c r="G273" s="50">
        <f t="shared" si="82"/>
        <v>0</v>
      </c>
      <c r="H273" s="50">
        <f t="shared" si="83"/>
        <v>0</v>
      </c>
      <c r="I273" s="50">
        <f t="shared" si="84"/>
        <v>0</v>
      </c>
      <c r="J273" s="79"/>
      <c r="K273" s="49" t="s">
        <v>136</v>
      </c>
      <c r="L273" s="79"/>
      <c r="M273" s="79"/>
      <c r="N273" s="79"/>
      <c r="O273" s="65" t="s">
        <v>464</v>
      </c>
      <c r="P273" s="49" t="str">
        <f t="shared" si="85"/>
        <v>21/11/2024</v>
      </c>
      <c r="Q273" s="68">
        <f t="shared" si="86"/>
        <v>0</v>
      </c>
      <c r="R273" s="68">
        <f t="shared" si="87"/>
        <v>6</v>
      </c>
      <c r="S273" s="68">
        <f t="shared" si="88"/>
        <v>30</v>
      </c>
      <c r="T273" s="65"/>
      <c r="U273" s="83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49" t="str">
        <f>IF(AG273="นิติศาสตร์","K5-LAW","K5-POLICY")</f>
        <v>K5-POLICY</v>
      </c>
      <c r="AI273" s="72" t="str">
        <f>_xlfn.IFS(B273="","",AND(AH273="K5-LAW",AG273="นิติศาสตร์",K273="S2",T273="",Z273=""),P273,AND(AH273="K5-LAW",AG273="นิติศาสตร์",K273="S1",T273="",Z273=""),EDATE(P273,12),AND(AH273="K5-LAW",AG273="นิติศาสตร์",OR(K273="M2",K273="K4"),T273="",Z273=""),EDATE(P273,12*2),AND(AH273="K5-LAW",AG273="นิติศาสตร์",OR(Z273="M2",Z273="K4"),AC273&gt;=2,OR(AB273&lt;V273,AB273&lt;P273)),EDATE(AB273,12*2),AND(AH273="K5-LAW",AG273="นิติศาสตร์",Z273="S1",AC273&gt;=1,OR(AB273&lt;V273,AB273&lt;P273)),EDATE(AB273,12),AND(AH273="K5-LAW",AG273="นิติศาสตร์",OR(T273="M2",T273="K4"),W273&gt;=2,V273&lt;P273),EDATE(V273,12*2),AND(AH273="K5-LAW",AG273="นิติศาสตร์",T273="S1",W273&gt;=1,V273&lt;P273),EDATE(V273,12),AND(AH273="K5-LAW",AG273="นิติศาสตร์",OR(T273="S2",T273="K5")),V273,AND(AH273="K5-LAW",AG273="นิติศาสตร์",OR(K273="M2",K273="K4"),Q273&gt;=2),EDATE(P273,12*2),AND(AH273="K5-LAW",AG273="นิติศาสตร์",K273="S1",Q273&gt;=1),EDATE(P273,12),AND(AH273="K5-LAW",AG273="นิติศาสตร์",OR(K273="S2",K273="K5")),P273,AND(AH273="K5-POLICY",AG273&lt;&gt;"นิติศาสตร์",K273="S2",T273="",Z273=""),P273,AND(AH273="K5-POLICY",AG273&lt;&gt;"นิติศาสตร์",K273="S1",T273="",Z273=""),EDATE(P273,12),AND(AH273="K5-POLICY",AG273&lt;&gt;"นิติศาสตร์",OR(K273="M2",K273="K4"),T273="",Z273=""),EDATE(P273,12*2),AND(AH273="K5-POLICY",AG273&lt;&gt;"นิติศาสตร์",OR(Z273="M2",Z273="K4"),AC273&gt;=2,OR(AB273&lt;V273,AB273&lt;P273)),EDATE(AB273,12*2),AND(AH273="K5-POLICY",AG273&lt;&gt;"นิติศาสตร์",Z273="S1",AC273&gt;=1,OR(AB273&lt;V273,AB273&lt;P273)),EDATE(AB273,12),AND(AH273="K5-POLICY",AG273&lt;&gt;"นิติศาสตร์",OR(T273="M2",T273="K4"),W273&gt;=2,V273&lt;P273),EDATE(V273,12*2),AND(AH273="K5-POLICY",AG273&lt;&gt;"นิติศาสตร์",T273="S1",W273&gt;=1,V273&lt;P273),EDATE(V273,12),AND(AH273="K5-POLICY",AG273&lt;&gt;"นิติศาสตร์",OR(T273="S2",T273="K5")),V273,AND(AH273="K5-POLICY",AG273&lt;&gt;"นิติศาสตร์",OR(K273="M2",K273="K4"),Q273&gt;=2),EDATE(P273,12*2),AND(AH273="K5-POLICY",AG273&lt;&gt;"นิติศาสตร์",K273="S1",Q273&gt;=1),EDATE(P273,12),AND(AH273="K5-POLICY",AG273&lt;&gt;"นิติศาสตร์",OR(K273="S2",K273="K5")),P273,TRUE,"Check Data")</f>
        <v/>
      </c>
      <c r="AJ273" s="75" t="str">
        <f t="shared" si="89"/>
        <v>Check Data</v>
      </c>
      <c r="AK273" s="76" t="str">
        <f t="shared" si="90"/>
        <v>Check Data</v>
      </c>
      <c r="AL273" s="50" t="str">
        <f t="shared" si="91"/>
        <v>Check Data</v>
      </c>
      <c r="AM273" s="49" t="str">
        <f>IF(B273="","",IF(K273="S1","S1",INDEX(#REF!,#REF!)))</f>
        <v/>
      </c>
      <c r="AN273" s="49" t="str">
        <f>K273</f>
        <v>M2</v>
      </c>
      <c r="AO273" s="50" t="b">
        <f>K273=AM273</f>
        <v>0</v>
      </c>
      <c r="AP273" s="50"/>
    </row>
    <row r="274" spans="1:42" ht="21.75">
      <c r="A274" s="49">
        <v>272</v>
      </c>
      <c r="B274" s="50"/>
      <c r="C274" s="52"/>
      <c r="D274" s="79"/>
      <c r="E274" s="79"/>
      <c r="F274" s="79"/>
      <c r="G274" s="50">
        <f t="shared" si="82"/>
        <v>0</v>
      </c>
      <c r="H274" s="50">
        <f t="shared" si="83"/>
        <v>0</v>
      </c>
      <c r="I274" s="50">
        <f t="shared" si="84"/>
        <v>0</v>
      </c>
      <c r="J274" s="79"/>
      <c r="K274" s="49" t="s">
        <v>136</v>
      </c>
      <c r="L274" s="79"/>
      <c r="M274" s="79"/>
      <c r="N274" s="79"/>
      <c r="O274" s="65" t="s">
        <v>464</v>
      </c>
      <c r="P274" s="49" t="str">
        <f t="shared" si="85"/>
        <v>21/11/2024</v>
      </c>
      <c r="Q274" s="68">
        <f t="shared" si="86"/>
        <v>0</v>
      </c>
      <c r="R274" s="68">
        <f t="shared" si="87"/>
        <v>6</v>
      </c>
      <c r="S274" s="68">
        <f t="shared" si="88"/>
        <v>30</v>
      </c>
      <c r="T274" s="65"/>
      <c r="U274" s="83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49" t="str">
        <f>IF(AG274="นิติศาสตร์","K5-LAW","K5-POLICY")</f>
        <v>K5-POLICY</v>
      </c>
      <c r="AI274" s="72" t="str">
        <f>_xlfn.IFS(B274="","",AND(AH274="K5-LAW",AG274="นิติศาสตร์",K274="S2",T274="",Z274=""),P274,AND(AH274="K5-LAW",AG274="นิติศาสตร์",K274="S1",T274="",Z274=""),EDATE(P274,12),AND(AH274="K5-LAW",AG274="นิติศาสตร์",OR(K274="M2",K274="K4"),T274="",Z274=""),EDATE(P274,12*2),AND(AH274="K5-LAW",AG274="นิติศาสตร์",OR(Z274="M2",Z274="K4"),AC274&gt;=2,OR(AB274&lt;V274,AB274&lt;P274)),EDATE(AB274,12*2),AND(AH274="K5-LAW",AG274="นิติศาสตร์",Z274="S1",AC274&gt;=1,OR(AB274&lt;V274,AB274&lt;P274)),EDATE(AB274,12),AND(AH274="K5-LAW",AG274="นิติศาสตร์",OR(T274="M2",T274="K4"),W274&gt;=2,V274&lt;P274),EDATE(V274,12*2),AND(AH274="K5-LAW",AG274="นิติศาสตร์",T274="S1",W274&gt;=1,V274&lt;P274),EDATE(V274,12),AND(AH274="K5-LAW",AG274="นิติศาสตร์",OR(T274="S2",T274="K5")),V274,AND(AH274="K5-LAW",AG274="นิติศาสตร์",OR(K274="M2",K274="K4"),Q274&gt;=2),EDATE(P274,12*2),AND(AH274="K5-LAW",AG274="นิติศาสตร์",K274="S1",Q274&gt;=1),EDATE(P274,12),AND(AH274="K5-LAW",AG274="นิติศาสตร์",OR(K274="S2",K274="K5")),P274,AND(AH274="K5-POLICY",AG274&lt;&gt;"นิติศาสตร์",K274="S2",T274="",Z274=""),P274,AND(AH274="K5-POLICY",AG274&lt;&gt;"นิติศาสตร์",K274="S1",T274="",Z274=""),EDATE(P274,12),AND(AH274="K5-POLICY",AG274&lt;&gt;"นิติศาสตร์",OR(K274="M2",K274="K4"),T274="",Z274=""),EDATE(P274,12*2),AND(AH274="K5-POLICY",AG274&lt;&gt;"นิติศาสตร์",OR(Z274="M2",Z274="K4"),AC274&gt;=2,OR(AB274&lt;V274,AB274&lt;P274)),EDATE(AB274,12*2),AND(AH274="K5-POLICY",AG274&lt;&gt;"นิติศาสตร์",Z274="S1",AC274&gt;=1,OR(AB274&lt;V274,AB274&lt;P274)),EDATE(AB274,12),AND(AH274="K5-POLICY",AG274&lt;&gt;"นิติศาสตร์",OR(T274="M2",T274="K4"),W274&gt;=2,V274&lt;P274),EDATE(V274,12*2),AND(AH274="K5-POLICY",AG274&lt;&gt;"นิติศาสตร์",T274="S1",W274&gt;=1,V274&lt;P274),EDATE(V274,12),AND(AH274="K5-POLICY",AG274&lt;&gt;"นิติศาสตร์",OR(T274="S2",T274="K5")),V274,AND(AH274="K5-POLICY",AG274&lt;&gt;"นิติศาสตร์",OR(K274="M2",K274="K4"),Q274&gt;=2),EDATE(P274,12*2),AND(AH274="K5-POLICY",AG274&lt;&gt;"นิติศาสตร์",K274="S1",Q274&gt;=1),EDATE(P274,12),AND(AH274="K5-POLICY",AG274&lt;&gt;"นิติศาสตร์",OR(K274="S2",K274="K5")),P274,TRUE,"Check Data")</f>
        <v/>
      </c>
      <c r="AJ274" s="75" t="str">
        <f t="shared" si="89"/>
        <v>Check Data</v>
      </c>
      <c r="AK274" s="76" t="str">
        <f t="shared" si="90"/>
        <v>Check Data</v>
      </c>
      <c r="AL274" s="50" t="str">
        <f t="shared" si="91"/>
        <v>Check Data</v>
      </c>
      <c r="AM274" s="49" t="str">
        <f>IF(B274="","",IF(K274="S1","S1",INDEX(#REF!,#REF!)))</f>
        <v/>
      </c>
      <c r="AN274" s="49" t="str">
        <f>K274</f>
        <v>M2</v>
      </c>
      <c r="AO274" s="50" t="b">
        <f>K274=AM274</f>
        <v>0</v>
      </c>
      <c r="AP274" s="50"/>
    </row>
    <row r="275" spans="1:42" ht="21.75">
      <c r="A275" s="49">
        <v>273</v>
      </c>
      <c r="B275" s="50"/>
      <c r="C275" s="52"/>
      <c r="D275" s="79"/>
      <c r="E275" s="79"/>
      <c r="F275" s="79"/>
      <c r="G275" s="50">
        <f t="shared" si="82"/>
        <v>0</v>
      </c>
      <c r="H275" s="50">
        <f t="shared" si="83"/>
        <v>0</v>
      </c>
      <c r="I275" s="50">
        <f t="shared" si="84"/>
        <v>0</v>
      </c>
      <c r="J275" s="79"/>
      <c r="K275" s="49" t="s">
        <v>136</v>
      </c>
      <c r="L275" s="79"/>
      <c r="M275" s="79"/>
      <c r="N275" s="79"/>
      <c r="O275" s="65" t="s">
        <v>464</v>
      </c>
      <c r="P275" s="49" t="str">
        <f t="shared" si="85"/>
        <v>21/11/2024</v>
      </c>
      <c r="Q275" s="68">
        <f t="shared" si="86"/>
        <v>0</v>
      </c>
      <c r="R275" s="68">
        <f t="shared" si="87"/>
        <v>6</v>
      </c>
      <c r="S275" s="68">
        <f t="shared" si="88"/>
        <v>30</v>
      </c>
      <c r="T275" s="65"/>
      <c r="U275" s="83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49" t="str">
        <f>IF(AG275="นิติศาสตร์","K5-LAW","K5-POLICY")</f>
        <v>K5-POLICY</v>
      </c>
      <c r="AI275" s="72" t="str">
        <f>_xlfn.IFS(B275="","",AND(AH275="K5-LAW",AG275="นิติศาสตร์",K275="S2",T275="",Z275=""),P275,AND(AH275="K5-LAW",AG275="นิติศาสตร์",K275="S1",T275="",Z275=""),EDATE(P275,12),AND(AH275="K5-LAW",AG275="นิติศาสตร์",OR(K275="M2",K275="K4"),T275="",Z275=""),EDATE(P275,12*2),AND(AH275="K5-LAW",AG275="นิติศาสตร์",OR(Z275="M2",Z275="K4"),AC275&gt;=2,OR(AB275&lt;V275,AB275&lt;P275)),EDATE(AB275,12*2),AND(AH275="K5-LAW",AG275="นิติศาสตร์",Z275="S1",AC275&gt;=1,OR(AB275&lt;V275,AB275&lt;P275)),EDATE(AB275,12),AND(AH275="K5-LAW",AG275="นิติศาสตร์",OR(T275="M2",T275="K4"),W275&gt;=2,V275&lt;P275),EDATE(V275,12*2),AND(AH275="K5-LAW",AG275="นิติศาสตร์",T275="S1",W275&gt;=1,V275&lt;P275),EDATE(V275,12),AND(AH275="K5-LAW",AG275="นิติศาสตร์",OR(T275="S2",T275="K5")),V275,AND(AH275="K5-LAW",AG275="นิติศาสตร์",OR(K275="M2",K275="K4"),Q275&gt;=2),EDATE(P275,12*2),AND(AH275="K5-LAW",AG275="นิติศาสตร์",K275="S1",Q275&gt;=1),EDATE(P275,12),AND(AH275="K5-LAW",AG275="นิติศาสตร์",OR(K275="S2",K275="K5")),P275,AND(AH275="K5-POLICY",AG275&lt;&gt;"นิติศาสตร์",K275="S2",T275="",Z275=""),P275,AND(AH275="K5-POLICY",AG275&lt;&gt;"นิติศาสตร์",K275="S1",T275="",Z275=""),EDATE(P275,12),AND(AH275="K5-POLICY",AG275&lt;&gt;"นิติศาสตร์",OR(K275="M2",K275="K4"),T275="",Z275=""),EDATE(P275,12*2),AND(AH275="K5-POLICY",AG275&lt;&gt;"นิติศาสตร์",OR(Z275="M2",Z275="K4"),AC275&gt;=2,OR(AB275&lt;V275,AB275&lt;P275)),EDATE(AB275,12*2),AND(AH275="K5-POLICY",AG275&lt;&gt;"นิติศาสตร์",Z275="S1",AC275&gt;=1,OR(AB275&lt;V275,AB275&lt;P275)),EDATE(AB275,12),AND(AH275="K5-POLICY",AG275&lt;&gt;"นิติศาสตร์",OR(T275="M2",T275="K4"),W275&gt;=2,V275&lt;P275),EDATE(V275,12*2),AND(AH275="K5-POLICY",AG275&lt;&gt;"นิติศาสตร์",T275="S1",W275&gt;=1,V275&lt;P275),EDATE(V275,12),AND(AH275="K5-POLICY",AG275&lt;&gt;"นิติศาสตร์",OR(T275="S2",T275="K5")),V275,AND(AH275="K5-POLICY",AG275&lt;&gt;"นิติศาสตร์",OR(K275="M2",K275="K4"),Q275&gt;=2),EDATE(P275,12*2),AND(AH275="K5-POLICY",AG275&lt;&gt;"นิติศาสตร์",K275="S1",Q275&gt;=1),EDATE(P275,12),AND(AH275="K5-POLICY",AG275&lt;&gt;"นิติศาสตร์",OR(K275="S2",K275="K5")),P275,TRUE,"Check Data")</f>
        <v/>
      </c>
      <c r="AJ275" s="75" t="str">
        <f t="shared" si="89"/>
        <v>Check Data</v>
      </c>
      <c r="AK275" s="76" t="str">
        <f t="shared" si="90"/>
        <v>Check Data</v>
      </c>
      <c r="AL275" s="50" t="str">
        <f t="shared" si="91"/>
        <v>Check Data</v>
      </c>
      <c r="AM275" s="49" t="str">
        <f>IF(B275="","",IF(K275="S1","S1",INDEX(#REF!,#REF!)))</f>
        <v/>
      </c>
      <c r="AN275" s="49" t="str">
        <f>K275</f>
        <v>M2</v>
      </c>
      <c r="AO275" s="50" t="b">
        <f>K275=AM275</f>
        <v>0</v>
      </c>
      <c r="AP275" s="50"/>
    </row>
    <row r="276" spans="1:42" ht="21.75">
      <c r="A276" s="49">
        <v>274</v>
      </c>
      <c r="B276" s="50"/>
      <c r="C276" s="52"/>
      <c r="D276" s="79"/>
      <c r="E276" s="79"/>
      <c r="F276" s="79"/>
      <c r="G276" s="50">
        <f t="shared" si="82"/>
        <v>0</v>
      </c>
      <c r="H276" s="50">
        <f t="shared" si="83"/>
        <v>0</v>
      </c>
      <c r="I276" s="50">
        <f t="shared" si="84"/>
        <v>0</v>
      </c>
      <c r="J276" s="79"/>
      <c r="K276" s="49" t="s">
        <v>136</v>
      </c>
      <c r="L276" s="79"/>
      <c r="M276" s="79"/>
      <c r="N276" s="79"/>
      <c r="O276" s="65" t="s">
        <v>464</v>
      </c>
      <c r="P276" s="49" t="str">
        <f t="shared" si="85"/>
        <v>21/11/2024</v>
      </c>
      <c r="Q276" s="68">
        <f t="shared" si="86"/>
        <v>0</v>
      </c>
      <c r="R276" s="68">
        <f t="shared" si="87"/>
        <v>6</v>
      </c>
      <c r="S276" s="68">
        <f t="shared" si="88"/>
        <v>30</v>
      </c>
      <c r="T276" s="65"/>
      <c r="U276" s="83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49" t="str">
        <f>IF(AG276="นิติศาสตร์","K5-LAW","K5-POLICY")</f>
        <v>K5-POLICY</v>
      </c>
      <c r="AI276" s="72" t="str">
        <f>_xlfn.IFS(B276="","",AND(AH276="K5-LAW",AG276="นิติศาสตร์",K276="S2",T276="",Z276=""),P276,AND(AH276="K5-LAW",AG276="นิติศาสตร์",K276="S1",T276="",Z276=""),EDATE(P276,12),AND(AH276="K5-LAW",AG276="นิติศาสตร์",OR(K276="M2",K276="K4"),T276="",Z276=""),EDATE(P276,12*2),AND(AH276="K5-LAW",AG276="นิติศาสตร์",OR(Z276="M2",Z276="K4"),AC276&gt;=2,OR(AB276&lt;V276,AB276&lt;P276)),EDATE(AB276,12*2),AND(AH276="K5-LAW",AG276="นิติศาสตร์",Z276="S1",AC276&gt;=1,OR(AB276&lt;V276,AB276&lt;P276)),EDATE(AB276,12),AND(AH276="K5-LAW",AG276="นิติศาสตร์",OR(T276="M2",T276="K4"),W276&gt;=2,V276&lt;P276),EDATE(V276,12*2),AND(AH276="K5-LAW",AG276="นิติศาสตร์",T276="S1",W276&gt;=1,V276&lt;P276),EDATE(V276,12),AND(AH276="K5-LAW",AG276="นิติศาสตร์",OR(T276="S2",T276="K5")),V276,AND(AH276="K5-LAW",AG276="นิติศาสตร์",OR(K276="M2",K276="K4"),Q276&gt;=2),EDATE(P276,12*2),AND(AH276="K5-LAW",AG276="นิติศาสตร์",K276="S1",Q276&gt;=1),EDATE(P276,12),AND(AH276="K5-LAW",AG276="นิติศาสตร์",OR(K276="S2",K276="K5")),P276,AND(AH276="K5-POLICY",AG276&lt;&gt;"นิติศาสตร์",K276="S2",T276="",Z276=""),P276,AND(AH276="K5-POLICY",AG276&lt;&gt;"นิติศาสตร์",K276="S1",T276="",Z276=""),EDATE(P276,12),AND(AH276="K5-POLICY",AG276&lt;&gt;"นิติศาสตร์",OR(K276="M2",K276="K4"),T276="",Z276=""),EDATE(P276,12*2),AND(AH276="K5-POLICY",AG276&lt;&gt;"นิติศาสตร์",OR(Z276="M2",Z276="K4"),AC276&gt;=2,OR(AB276&lt;V276,AB276&lt;P276)),EDATE(AB276,12*2),AND(AH276="K5-POLICY",AG276&lt;&gt;"นิติศาสตร์",Z276="S1",AC276&gt;=1,OR(AB276&lt;V276,AB276&lt;P276)),EDATE(AB276,12),AND(AH276="K5-POLICY",AG276&lt;&gt;"นิติศาสตร์",OR(T276="M2",T276="K4"),W276&gt;=2,V276&lt;P276),EDATE(V276,12*2),AND(AH276="K5-POLICY",AG276&lt;&gt;"นิติศาสตร์",T276="S1",W276&gt;=1,V276&lt;P276),EDATE(V276,12),AND(AH276="K5-POLICY",AG276&lt;&gt;"นิติศาสตร์",OR(T276="S2",T276="K5")),V276,AND(AH276="K5-POLICY",AG276&lt;&gt;"นิติศาสตร์",OR(K276="M2",K276="K4"),Q276&gt;=2),EDATE(P276,12*2),AND(AH276="K5-POLICY",AG276&lt;&gt;"นิติศาสตร์",K276="S1",Q276&gt;=1),EDATE(P276,12),AND(AH276="K5-POLICY",AG276&lt;&gt;"นิติศาสตร์",OR(K276="S2",K276="K5")),P276,TRUE,"Check Data")</f>
        <v/>
      </c>
      <c r="AJ276" s="75" t="str">
        <f t="shared" si="89"/>
        <v>Check Data</v>
      </c>
      <c r="AK276" s="76" t="str">
        <f t="shared" si="90"/>
        <v>Check Data</v>
      </c>
      <c r="AL276" s="50" t="str">
        <f t="shared" si="91"/>
        <v>Check Data</v>
      </c>
      <c r="AM276" s="49" t="str">
        <f>IF(B276="","",IF(K276="S1","S1",INDEX(#REF!,#REF!)))</f>
        <v/>
      </c>
      <c r="AN276" s="49" t="str">
        <f>K276</f>
        <v>M2</v>
      </c>
      <c r="AO276" s="50" t="b">
        <f>K276=AM276</f>
        <v>0</v>
      </c>
      <c r="AP276" s="50"/>
    </row>
    <row r="277" spans="1:42" ht="21.75">
      <c r="A277" s="49">
        <v>275</v>
      </c>
      <c r="B277" s="50"/>
      <c r="C277" s="52"/>
      <c r="D277" s="79"/>
      <c r="E277" s="79"/>
      <c r="F277" s="79"/>
      <c r="G277" s="50">
        <f t="shared" si="82"/>
        <v>0</v>
      </c>
      <c r="H277" s="50">
        <f t="shared" si="83"/>
        <v>0</v>
      </c>
      <c r="I277" s="50">
        <f t="shared" si="84"/>
        <v>0</v>
      </c>
      <c r="J277" s="79"/>
      <c r="K277" s="49" t="s">
        <v>136</v>
      </c>
      <c r="L277" s="79"/>
      <c r="M277" s="79"/>
      <c r="N277" s="79"/>
      <c r="O277" s="65" t="s">
        <v>464</v>
      </c>
      <c r="P277" s="49" t="str">
        <f t="shared" si="85"/>
        <v>21/11/2024</v>
      </c>
      <c r="Q277" s="68">
        <f t="shared" si="86"/>
        <v>0</v>
      </c>
      <c r="R277" s="68">
        <f t="shared" si="87"/>
        <v>6</v>
      </c>
      <c r="S277" s="68">
        <f t="shared" si="88"/>
        <v>30</v>
      </c>
      <c r="T277" s="65"/>
      <c r="U277" s="83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49" t="str">
        <f>IF(AG277="นิติศาสตร์","K5-LAW","K5-POLICY")</f>
        <v>K5-POLICY</v>
      </c>
      <c r="AI277" s="72" t="str">
        <f>_xlfn.IFS(B277="","",AND(AH277="K5-LAW",AG277="นิติศาสตร์",K277="S2",T277="",Z277=""),P277,AND(AH277="K5-LAW",AG277="นิติศาสตร์",K277="S1",T277="",Z277=""),EDATE(P277,12),AND(AH277="K5-LAW",AG277="นิติศาสตร์",OR(K277="M2",K277="K4"),T277="",Z277=""),EDATE(P277,12*2),AND(AH277="K5-LAW",AG277="นิติศาสตร์",OR(Z277="M2",Z277="K4"),AC277&gt;=2,OR(AB277&lt;V277,AB277&lt;P277)),EDATE(AB277,12*2),AND(AH277="K5-LAW",AG277="นิติศาสตร์",Z277="S1",AC277&gt;=1,OR(AB277&lt;V277,AB277&lt;P277)),EDATE(AB277,12),AND(AH277="K5-LAW",AG277="นิติศาสตร์",OR(T277="M2",T277="K4"),W277&gt;=2,V277&lt;P277),EDATE(V277,12*2),AND(AH277="K5-LAW",AG277="นิติศาสตร์",T277="S1",W277&gt;=1,V277&lt;P277),EDATE(V277,12),AND(AH277="K5-LAW",AG277="นิติศาสตร์",OR(T277="S2",T277="K5")),V277,AND(AH277="K5-LAW",AG277="นิติศาสตร์",OR(K277="M2",K277="K4"),Q277&gt;=2),EDATE(P277,12*2),AND(AH277="K5-LAW",AG277="นิติศาสตร์",K277="S1",Q277&gt;=1),EDATE(P277,12),AND(AH277="K5-LAW",AG277="นิติศาสตร์",OR(K277="S2",K277="K5")),P277,AND(AH277="K5-POLICY",AG277&lt;&gt;"นิติศาสตร์",K277="S2",T277="",Z277=""),P277,AND(AH277="K5-POLICY",AG277&lt;&gt;"นิติศาสตร์",K277="S1",T277="",Z277=""),EDATE(P277,12),AND(AH277="K5-POLICY",AG277&lt;&gt;"นิติศาสตร์",OR(K277="M2",K277="K4"),T277="",Z277=""),EDATE(P277,12*2),AND(AH277="K5-POLICY",AG277&lt;&gt;"นิติศาสตร์",OR(Z277="M2",Z277="K4"),AC277&gt;=2,OR(AB277&lt;V277,AB277&lt;P277)),EDATE(AB277,12*2),AND(AH277="K5-POLICY",AG277&lt;&gt;"นิติศาสตร์",Z277="S1",AC277&gt;=1,OR(AB277&lt;V277,AB277&lt;P277)),EDATE(AB277,12),AND(AH277="K5-POLICY",AG277&lt;&gt;"นิติศาสตร์",OR(T277="M2",T277="K4"),W277&gt;=2,V277&lt;P277),EDATE(V277,12*2),AND(AH277="K5-POLICY",AG277&lt;&gt;"นิติศาสตร์",T277="S1",W277&gt;=1,V277&lt;P277),EDATE(V277,12),AND(AH277="K5-POLICY",AG277&lt;&gt;"นิติศาสตร์",OR(T277="S2",T277="K5")),V277,AND(AH277="K5-POLICY",AG277&lt;&gt;"นิติศาสตร์",OR(K277="M2",K277="K4"),Q277&gt;=2),EDATE(P277,12*2),AND(AH277="K5-POLICY",AG277&lt;&gt;"นิติศาสตร์",K277="S1",Q277&gt;=1),EDATE(P277,12),AND(AH277="K5-POLICY",AG277&lt;&gt;"นิติศาสตร์",OR(K277="S2",K277="K5")),P277,TRUE,"Check Data")</f>
        <v/>
      </c>
      <c r="AJ277" s="75" t="str">
        <f t="shared" si="89"/>
        <v>Check Data</v>
      </c>
      <c r="AK277" s="76" t="str">
        <f t="shared" si="90"/>
        <v>Check Data</v>
      </c>
      <c r="AL277" s="50" t="str">
        <f t="shared" si="91"/>
        <v>Check Data</v>
      </c>
      <c r="AM277" s="49" t="str">
        <f>IF(B277="","",IF(K277="S1","S1",INDEX(#REF!,#REF!)))</f>
        <v/>
      </c>
      <c r="AN277" s="49" t="str">
        <f>K277</f>
        <v>M2</v>
      </c>
      <c r="AO277" s="50" t="b">
        <f>K277=AM277</f>
        <v>0</v>
      </c>
      <c r="AP277" s="50"/>
    </row>
    <row r="278" spans="1:42" ht="21.75">
      <c r="A278" s="49">
        <v>276</v>
      </c>
      <c r="B278" s="50"/>
      <c r="C278" s="52"/>
      <c r="D278" s="79"/>
      <c r="E278" s="79"/>
      <c r="F278" s="79"/>
      <c r="G278" s="50">
        <f t="shared" si="82"/>
        <v>0</v>
      </c>
      <c r="H278" s="50">
        <f t="shared" si="83"/>
        <v>0</v>
      </c>
      <c r="I278" s="50">
        <f t="shared" si="84"/>
        <v>0</v>
      </c>
      <c r="J278" s="79"/>
      <c r="K278" s="49" t="s">
        <v>136</v>
      </c>
      <c r="L278" s="79"/>
      <c r="M278" s="79"/>
      <c r="N278" s="79"/>
      <c r="O278" s="65" t="s">
        <v>464</v>
      </c>
      <c r="P278" s="49" t="str">
        <f t="shared" si="85"/>
        <v>21/11/2024</v>
      </c>
      <c r="Q278" s="68">
        <f t="shared" si="86"/>
        <v>0</v>
      </c>
      <c r="R278" s="68">
        <f t="shared" si="87"/>
        <v>6</v>
      </c>
      <c r="S278" s="68">
        <f t="shared" si="88"/>
        <v>30</v>
      </c>
      <c r="T278" s="65"/>
      <c r="U278" s="83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49" t="str">
        <f>IF(AG278="นิติศาสตร์","K5-LAW","K5-POLICY")</f>
        <v>K5-POLICY</v>
      </c>
      <c r="AI278" s="72" t="str">
        <f>_xlfn.IFS(B278="","",AND(AH278="K5-LAW",AG278="นิติศาสตร์",K278="S2",T278="",Z278=""),P278,AND(AH278="K5-LAW",AG278="นิติศาสตร์",K278="S1",T278="",Z278=""),EDATE(P278,12),AND(AH278="K5-LAW",AG278="นิติศาสตร์",OR(K278="M2",K278="K4"),T278="",Z278=""),EDATE(P278,12*2),AND(AH278="K5-LAW",AG278="นิติศาสตร์",OR(Z278="M2",Z278="K4"),AC278&gt;=2,OR(AB278&lt;V278,AB278&lt;P278)),EDATE(AB278,12*2),AND(AH278="K5-LAW",AG278="นิติศาสตร์",Z278="S1",AC278&gt;=1,OR(AB278&lt;V278,AB278&lt;P278)),EDATE(AB278,12),AND(AH278="K5-LAW",AG278="นิติศาสตร์",OR(T278="M2",T278="K4"),W278&gt;=2,V278&lt;P278),EDATE(V278,12*2),AND(AH278="K5-LAW",AG278="นิติศาสตร์",T278="S1",W278&gt;=1,V278&lt;P278),EDATE(V278,12),AND(AH278="K5-LAW",AG278="นิติศาสตร์",OR(T278="S2",T278="K5")),V278,AND(AH278="K5-LAW",AG278="นิติศาสตร์",OR(K278="M2",K278="K4"),Q278&gt;=2),EDATE(P278,12*2),AND(AH278="K5-LAW",AG278="นิติศาสตร์",K278="S1",Q278&gt;=1),EDATE(P278,12),AND(AH278="K5-LAW",AG278="นิติศาสตร์",OR(K278="S2",K278="K5")),P278,AND(AH278="K5-POLICY",AG278&lt;&gt;"นิติศาสตร์",K278="S2",T278="",Z278=""),P278,AND(AH278="K5-POLICY",AG278&lt;&gt;"นิติศาสตร์",K278="S1",T278="",Z278=""),EDATE(P278,12),AND(AH278="K5-POLICY",AG278&lt;&gt;"นิติศาสตร์",OR(K278="M2",K278="K4"),T278="",Z278=""),EDATE(P278,12*2),AND(AH278="K5-POLICY",AG278&lt;&gt;"นิติศาสตร์",OR(Z278="M2",Z278="K4"),AC278&gt;=2,OR(AB278&lt;V278,AB278&lt;P278)),EDATE(AB278,12*2),AND(AH278="K5-POLICY",AG278&lt;&gt;"นิติศาสตร์",Z278="S1",AC278&gt;=1,OR(AB278&lt;V278,AB278&lt;P278)),EDATE(AB278,12),AND(AH278="K5-POLICY",AG278&lt;&gt;"นิติศาสตร์",OR(T278="M2",T278="K4"),W278&gt;=2,V278&lt;P278),EDATE(V278,12*2),AND(AH278="K5-POLICY",AG278&lt;&gt;"นิติศาสตร์",T278="S1",W278&gt;=1,V278&lt;P278),EDATE(V278,12),AND(AH278="K5-POLICY",AG278&lt;&gt;"นิติศาสตร์",OR(T278="S2",T278="K5")),V278,AND(AH278="K5-POLICY",AG278&lt;&gt;"นิติศาสตร์",OR(K278="M2",K278="K4"),Q278&gt;=2),EDATE(P278,12*2),AND(AH278="K5-POLICY",AG278&lt;&gt;"นิติศาสตร์",K278="S1",Q278&gt;=1),EDATE(P278,12),AND(AH278="K5-POLICY",AG278&lt;&gt;"นิติศาสตร์",OR(K278="S2",K278="K5")),P278,TRUE,"Check Data")</f>
        <v/>
      </c>
      <c r="AJ278" s="75" t="str">
        <f t="shared" si="89"/>
        <v>Check Data</v>
      </c>
      <c r="AK278" s="76" t="str">
        <f t="shared" si="90"/>
        <v>Check Data</v>
      </c>
      <c r="AL278" s="50" t="str">
        <f t="shared" si="91"/>
        <v>Check Data</v>
      </c>
      <c r="AM278" s="49" t="str">
        <f>IF(B278="","",IF(K278="S1","S1",INDEX(#REF!,#REF!)))</f>
        <v/>
      </c>
      <c r="AN278" s="49" t="str">
        <f>K278</f>
        <v>M2</v>
      </c>
      <c r="AO278" s="50" t="b">
        <f>K278=AM278</f>
        <v>0</v>
      </c>
      <c r="AP278" s="50"/>
    </row>
    <row r="279" spans="1:42" ht="21.75">
      <c r="A279" s="49">
        <v>277</v>
      </c>
      <c r="B279" s="50"/>
      <c r="C279" s="52"/>
      <c r="D279" s="50"/>
      <c r="E279" s="49"/>
      <c r="F279" s="49"/>
      <c r="G279" s="50">
        <f t="shared" si="82"/>
        <v>0</v>
      </c>
      <c r="H279" s="50">
        <f t="shared" si="83"/>
        <v>0</v>
      </c>
      <c r="I279" s="50">
        <f t="shared" si="84"/>
        <v>0</v>
      </c>
      <c r="J279" s="50"/>
      <c r="K279" s="49" t="s">
        <v>136</v>
      </c>
      <c r="L279" s="64"/>
      <c r="M279" s="49"/>
      <c r="N279" s="49"/>
      <c r="O279" s="65" t="s">
        <v>442</v>
      </c>
      <c r="P279" s="49" t="str">
        <f t="shared" si="85"/>
        <v>26/11/2024</v>
      </c>
      <c r="Q279" s="68">
        <f t="shared" si="86"/>
        <v>0</v>
      </c>
      <c r="R279" s="68">
        <f t="shared" si="87"/>
        <v>6</v>
      </c>
      <c r="S279" s="68">
        <f t="shared" si="88"/>
        <v>25</v>
      </c>
      <c r="T279" s="65"/>
      <c r="U279" s="65"/>
      <c r="V279" s="49"/>
      <c r="W279" s="68"/>
      <c r="X279" s="68"/>
      <c r="Y279" s="68"/>
      <c r="Z279" s="49"/>
      <c r="AA279" s="65"/>
      <c r="AB279" s="50"/>
      <c r="AC279" s="68"/>
      <c r="AD279" s="68"/>
      <c r="AE279" s="68"/>
      <c r="AF279" s="50"/>
      <c r="AG279" s="50"/>
      <c r="AH279" s="49" t="str">
        <f>IF(AG279="นิติศาสตร์","K5-LAW","K5-POLICY")</f>
        <v>K5-POLICY</v>
      </c>
      <c r="AI279" s="72" t="str">
        <f>_xlfn.IFS(B279="","",AND(AH279="K5-LAW",AG279="นิติศาสตร์",K279="S2",T279="",Z279=""),P279,AND(AH279="K5-LAW",AG279="นิติศาสตร์",K279="S1",T279="",Z279=""),EDATE(P279,12),AND(AH279="K5-LAW",AG279="นิติศาสตร์",OR(K279="M2",K279="K4"),T279="",Z279=""),EDATE(P279,12*2),AND(AH279="K5-LAW",AG279="นิติศาสตร์",OR(Z279="M2",Z279="K4"),AC279&gt;=2,OR(AB279&lt;V279,AB279&lt;P279)),EDATE(AB279,12*2),AND(AH279="K5-LAW",AG279="นิติศาสตร์",Z279="S1",AC279&gt;=1,OR(AB279&lt;V279,AB279&lt;P279)),EDATE(AB279,12),AND(AH279="K5-LAW",AG279="นิติศาสตร์",OR(T279="M2",T279="K4"),W279&gt;=2,V279&lt;P279),EDATE(V279,12*2),AND(AH279="K5-LAW",AG279="นิติศาสตร์",T279="S1",W279&gt;=1,V279&lt;P279),EDATE(V279,12),AND(AH279="K5-LAW",AG279="นิติศาสตร์",OR(T279="S2",T279="K5")),V279,AND(AH279="K5-LAW",AG279="นิติศาสตร์",OR(K279="M2",K279="K4"),Q279&gt;=2),EDATE(P279,12*2),AND(AH279="K5-LAW",AG279="นิติศาสตร์",K279="S1",Q279&gt;=1),EDATE(P279,12),AND(AH279="K5-LAW",AG279="นิติศาสตร์",OR(K279="S2",K279="K5")),P279,AND(AH279="K5-POLICY",AG279&lt;&gt;"นิติศาสตร์",K279="S2",T279="",Z279=""),P279,AND(AH279="K5-POLICY",AG279&lt;&gt;"นิติศาสตร์",K279="S1",T279="",Z279=""),EDATE(P279,12),AND(AH279="K5-POLICY",AG279&lt;&gt;"นิติศาสตร์",OR(K279="M2",K279="K4"),T279="",Z279=""),EDATE(P279,12*2),AND(AH279="K5-POLICY",AG279&lt;&gt;"นิติศาสตร์",OR(Z279="M2",Z279="K4"),AC279&gt;=2,OR(AB279&lt;V279,AB279&lt;P279)),EDATE(AB279,12*2),AND(AH279="K5-POLICY",AG279&lt;&gt;"นิติศาสตร์",Z279="S1",AC279&gt;=1,OR(AB279&lt;V279,AB279&lt;P279)),EDATE(AB279,12),AND(AH279="K5-POLICY",AG279&lt;&gt;"นิติศาสตร์",OR(T279="M2",T279="K4"),W279&gt;=2,V279&lt;P279),EDATE(V279,12*2),AND(AH279="K5-POLICY",AG279&lt;&gt;"นิติศาสตร์",T279="S1",W279&gt;=1,V279&lt;P279),EDATE(V279,12),AND(AH279="K5-POLICY",AG279&lt;&gt;"นิติศาสตร์",OR(T279="S2",T279="K5")),V279,AND(AH279="K5-POLICY",AG279&lt;&gt;"นิติศาสตร์",OR(K279="M2",K279="K4"),Q279&gt;=2),EDATE(P279,12*2),AND(AH279="K5-POLICY",AG279&lt;&gt;"นิติศาสตร์",K279="S1",Q279&gt;=1),EDATE(P279,12),AND(AH279="K5-POLICY",AG279&lt;&gt;"นิติศาสตร์",OR(K279="S2",K279="K5")),P279,TRUE,"Check Data")</f>
        <v/>
      </c>
      <c r="AJ279" s="75" t="str">
        <f t="shared" si="89"/>
        <v>Check Data</v>
      </c>
      <c r="AK279" s="76" t="str">
        <f t="shared" si="90"/>
        <v>Check Data</v>
      </c>
      <c r="AL279" s="50" t="str">
        <f t="shared" si="91"/>
        <v>Check Data</v>
      </c>
      <c r="AM279" s="49" t="str">
        <f>IF(B279="","",IF(K279="S1","S1",INDEX(#REF!,#REF!)))</f>
        <v/>
      </c>
      <c r="AN279" s="49" t="str">
        <f>K279</f>
        <v>M2</v>
      </c>
      <c r="AO279" s="50" t="b">
        <f>K279=AM279</f>
        <v>0</v>
      </c>
      <c r="AP279" s="50"/>
    </row>
    <row r="280" spans="1:42" ht="21.75">
      <c r="A280" s="49">
        <v>278</v>
      </c>
      <c r="B280" s="50"/>
      <c r="C280" s="52"/>
      <c r="D280" s="50"/>
      <c r="E280" s="49"/>
      <c r="F280" s="49"/>
      <c r="G280" s="50">
        <f t="shared" si="82"/>
        <v>0</v>
      </c>
      <c r="H280" s="50">
        <f t="shared" si="83"/>
        <v>0</v>
      </c>
      <c r="I280" s="50">
        <f t="shared" si="84"/>
        <v>0</v>
      </c>
      <c r="J280" s="50"/>
      <c r="K280" s="49" t="s">
        <v>136</v>
      </c>
      <c r="L280" s="64"/>
      <c r="M280" s="49"/>
      <c r="N280" s="49"/>
      <c r="O280" s="65" t="s">
        <v>442</v>
      </c>
      <c r="P280" s="49" t="str">
        <f t="shared" si="85"/>
        <v>26/11/2024</v>
      </c>
      <c r="Q280" s="68">
        <f t="shared" si="86"/>
        <v>0</v>
      </c>
      <c r="R280" s="68">
        <f t="shared" si="87"/>
        <v>6</v>
      </c>
      <c r="S280" s="68">
        <f t="shared" si="88"/>
        <v>25</v>
      </c>
      <c r="T280" s="65"/>
      <c r="U280" s="65"/>
      <c r="V280" s="49"/>
      <c r="W280" s="68"/>
      <c r="X280" s="68"/>
      <c r="Y280" s="68"/>
      <c r="Z280" s="49"/>
      <c r="AA280" s="65"/>
      <c r="AB280" s="50"/>
      <c r="AC280" s="68"/>
      <c r="AD280" s="68"/>
      <c r="AE280" s="68"/>
      <c r="AF280" s="50"/>
      <c r="AG280" s="50"/>
      <c r="AH280" s="49" t="str">
        <f>IF(AG280="นิติศาสตร์","K5-LAW","K5-POLICY")</f>
        <v>K5-POLICY</v>
      </c>
      <c r="AI280" s="72" t="str">
        <f>_xlfn.IFS(B280="","",AND(AH280="K5-LAW",AG280="นิติศาสตร์",K280="S2",T280="",Z280=""),P280,AND(AH280="K5-LAW",AG280="นิติศาสตร์",K280="S1",T280="",Z280=""),EDATE(P280,12),AND(AH280="K5-LAW",AG280="นิติศาสตร์",OR(K280="M2",K280="K4"),T280="",Z280=""),EDATE(P280,12*2),AND(AH280="K5-LAW",AG280="นิติศาสตร์",OR(Z280="M2",Z280="K4"),AC280&gt;=2,OR(AB280&lt;V280,AB280&lt;P280)),EDATE(AB280,12*2),AND(AH280="K5-LAW",AG280="นิติศาสตร์",Z280="S1",AC280&gt;=1,OR(AB280&lt;V280,AB280&lt;P280)),EDATE(AB280,12),AND(AH280="K5-LAW",AG280="นิติศาสตร์",OR(T280="M2",T280="K4"),W280&gt;=2,V280&lt;P280),EDATE(V280,12*2),AND(AH280="K5-LAW",AG280="นิติศาสตร์",T280="S1",W280&gt;=1,V280&lt;P280),EDATE(V280,12),AND(AH280="K5-LAW",AG280="นิติศาสตร์",OR(T280="S2",T280="K5")),V280,AND(AH280="K5-LAW",AG280="นิติศาสตร์",OR(K280="M2",K280="K4"),Q280&gt;=2),EDATE(P280,12*2),AND(AH280="K5-LAW",AG280="นิติศาสตร์",K280="S1",Q280&gt;=1),EDATE(P280,12),AND(AH280="K5-LAW",AG280="นิติศาสตร์",OR(K280="S2",K280="K5")),P280,AND(AH280="K5-POLICY",AG280&lt;&gt;"นิติศาสตร์",K280="S2",T280="",Z280=""),P280,AND(AH280="K5-POLICY",AG280&lt;&gt;"นิติศาสตร์",K280="S1",T280="",Z280=""),EDATE(P280,12),AND(AH280="K5-POLICY",AG280&lt;&gt;"นิติศาสตร์",OR(K280="M2",K280="K4"),T280="",Z280=""),EDATE(P280,12*2),AND(AH280="K5-POLICY",AG280&lt;&gt;"นิติศาสตร์",OR(Z280="M2",Z280="K4"),AC280&gt;=2,OR(AB280&lt;V280,AB280&lt;P280)),EDATE(AB280,12*2),AND(AH280="K5-POLICY",AG280&lt;&gt;"นิติศาสตร์",Z280="S1",AC280&gt;=1,OR(AB280&lt;V280,AB280&lt;P280)),EDATE(AB280,12),AND(AH280="K5-POLICY",AG280&lt;&gt;"นิติศาสตร์",OR(T280="M2",T280="K4"),W280&gt;=2,V280&lt;P280),EDATE(V280,12*2),AND(AH280="K5-POLICY",AG280&lt;&gt;"นิติศาสตร์",T280="S1",W280&gt;=1,V280&lt;P280),EDATE(V280,12),AND(AH280="K5-POLICY",AG280&lt;&gt;"นิติศาสตร์",OR(T280="S2",T280="K5")),V280,AND(AH280="K5-POLICY",AG280&lt;&gt;"นิติศาสตร์",OR(K280="M2",K280="K4"),Q280&gt;=2),EDATE(P280,12*2),AND(AH280="K5-POLICY",AG280&lt;&gt;"นิติศาสตร์",K280="S1",Q280&gt;=1),EDATE(P280,12),AND(AH280="K5-POLICY",AG280&lt;&gt;"นิติศาสตร์",OR(K280="S2",K280="K5")),P280,TRUE,"Check Data")</f>
        <v/>
      </c>
      <c r="AJ280" s="75" t="str">
        <f t="shared" si="89"/>
        <v>Check Data</v>
      </c>
      <c r="AK280" s="76" t="str">
        <f t="shared" si="90"/>
        <v>Check Data</v>
      </c>
      <c r="AL280" s="50" t="str">
        <f t="shared" si="91"/>
        <v>Check Data</v>
      </c>
      <c r="AM280" s="49" t="str">
        <f>IF(B280="","",IF(K280="S1","S1",INDEX(#REF!,#REF!)))</f>
        <v/>
      </c>
      <c r="AN280" s="49" t="str">
        <f>K280</f>
        <v>M2</v>
      </c>
      <c r="AO280" s="50" t="b">
        <f>K280=AM280</f>
        <v>0</v>
      </c>
      <c r="AP280" s="50"/>
    </row>
    <row r="281" spans="1:42" ht="21.75">
      <c r="A281" s="49">
        <v>279</v>
      </c>
      <c r="B281" s="50"/>
      <c r="C281" s="52"/>
      <c r="D281" s="50"/>
      <c r="E281" s="49"/>
      <c r="F281" s="49"/>
      <c r="G281" s="50">
        <f t="shared" si="82"/>
        <v>0</v>
      </c>
      <c r="H281" s="50">
        <f t="shared" si="83"/>
        <v>0</v>
      </c>
      <c r="I281" s="50">
        <f t="shared" si="84"/>
        <v>0</v>
      </c>
      <c r="J281" s="50"/>
      <c r="K281" s="49" t="s">
        <v>136</v>
      </c>
      <c r="L281" s="64"/>
      <c r="M281" s="49"/>
      <c r="N281" s="49"/>
      <c r="O281" s="65" t="s">
        <v>442</v>
      </c>
      <c r="P281" s="49" t="str">
        <f t="shared" si="85"/>
        <v>26/11/2024</v>
      </c>
      <c r="Q281" s="68">
        <f t="shared" si="86"/>
        <v>0</v>
      </c>
      <c r="R281" s="68">
        <f t="shared" si="87"/>
        <v>6</v>
      </c>
      <c r="S281" s="68">
        <f t="shared" si="88"/>
        <v>25</v>
      </c>
      <c r="T281" s="65"/>
      <c r="U281" s="65"/>
      <c r="V281" s="49"/>
      <c r="W281" s="68"/>
      <c r="X281" s="68"/>
      <c r="Y281" s="68"/>
      <c r="Z281" s="49"/>
      <c r="AA281" s="65"/>
      <c r="AB281" s="50"/>
      <c r="AC281" s="68"/>
      <c r="AD281" s="68"/>
      <c r="AE281" s="68"/>
      <c r="AF281" s="50"/>
      <c r="AG281" s="50"/>
      <c r="AH281" s="49" t="str">
        <f>IF(AG281="นิติศาสตร์","K5-LAW","K5-POLICY")</f>
        <v>K5-POLICY</v>
      </c>
      <c r="AI281" s="72" t="str">
        <f>_xlfn.IFS(B281="","",AND(AH281="K5-LAW",AG281="นิติศาสตร์",K281="S2",T281="",Z281=""),P281,AND(AH281="K5-LAW",AG281="นิติศาสตร์",K281="S1",T281="",Z281=""),EDATE(P281,12),AND(AH281="K5-LAW",AG281="นิติศาสตร์",OR(K281="M2",K281="K4"),T281="",Z281=""),EDATE(P281,12*2),AND(AH281="K5-LAW",AG281="นิติศาสตร์",OR(Z281="M2",Z281="K4"),AC281&gt;=2,OR(AB281&lt;V281,AB281&lt;P281)),EDATE(AB281,12*2),AND(AH281="K5-LAW",AG281="นิติศาสตร์",Z281="S1",AC281&gt;=1,OR(AB281&lt;V281,AB281&lt;P281)),EDATE(AB281,12),AND(AH281="K5-LAW",AG281="นิติศาสตร์",OR(T281="M2",T281="K4"),W281&gt;=2,V281&lt;P281),EDATE(V281,12*2),AND(AH281="K5-LAW",AG281="นิติศาสตร์",T281="S1",W281&gt;=1,V281&lt;P281),EDATE(V281,12),AND(AH281="K5-LAW",AG281="นิติศาสตร์",OR(T281="S2",T281="K5")),V281,AND(AH281="K5-LAW",AG281="นิติศาสตร์",OR(K281="M2",K281="K4"),Q281&gt;=2),EDATE(P281,12*2),AND(AH281="K5-LAW",AG281="นิติศาสตร์",K281="S1",Q281&gt;=1),EDATE(P281,12),AND(AH281="K5-LAW",AG281="นิติศาสตร์",OR(K281="S2",K281="K5")),P281,AND(AH281="K5-POLICY",AG281&lt;&gt;"นิติศาสตร์",K281="S2",T281="",Z281=""),P281,AND(AH281="K5-POLICY",AG281&lt;&gt;"นิติศาสตร์",K281="S1",T281="",Z281=""),EDATE(P281,12),AND(AH281="K5-POLICY",AG281&lt;&gt;"นิติศาสตร์",OR(K281="M2",K281="K4"),T281="",Z281=""),EDATE(P281,12*2),AND(AH281="K5-POLICY",AG281&lt;&gt;"นิติศาสตร์",OR(Z281="M2",Z281="K4"),AC281&gt;=2,OR(AB281&lt;V281,AB281&lt;P281)),EDATE(AB281,12*2),AND(AH281="K5-POLICY",AG281&lt;&gt;"นิติศาสตร์",Z281="S1",AC281&gt;=1,OR(AB281&lt;V281,AB281&lt;P281)),EDATE(AB281,12),AND(AH281="K5-POLICY",AG281&lt;&gt;"นิติศาสตร์",OR(T281="M2",T281="K4"),W281&gt;=2,V281&lt;P281),EDATE(V281,12*2),AND(AH281="K5-POLICY",AG281&lt;&gt;"นิติศาสตร์",T281="S1",W281&gt;=1,V281&lt;P281),EDATE(V281,12),AND(AH281="K5-POLICY",AG281&lt;&gt;"นิติศาสตร์",OR(T281="S2",T281="K5")),V281,AND(AH281="K5-POLICY",AG281&lt;&gt;"นิติศาสตร์",OR(K281="M2",K281="K4"),Q281&gt;=2),EDATE(P281,12*2),AND(AH281="K5-POLICY",AG281&lt;&gt;"นิติศาสตร์",K281="S1",Q281&gt;=1),EDATE(P281,12),AND(AH281="K5-POLICY",AG281&lt;&gt;"นิติศาสตร์",OR(K281="S2",K281="K5")),P281,TRUE,"Check Data")</f>
        <v/>
      </c>
      <c r="AJ281" s="75" t="str">
        <f t="shared" si="89"/>
        <v>Check Data</v>
      </c>
      <c r="AK281" s="76" t="str">
        <f t="shared" si="90"/>
        <v>Check Data</v>
      </c>
      <c r="AL281" s="50" t="str">
        <f t="shared" si="91"/>
        <v>Check Data</v>
      </c>
      <c r="AM281" s="49" t="str">
        <f>IF(B281="","",IF(K281="S1","S1",INDEX(#REF!,#REF!)))</f>
        <v/>
      </c>
      <c r="AN281" s="49" t="str">
        <f>K281</f>
        <v>M2</v>
      </c>
      <c r="AO281" s="50" t="b">
        <f>K281=AM281</f>
        <v>0</v>
      </c>
      <c r="AP281" s="50"/>
    </row>
    <row r="282" spans="1:42" ht="21.75">
      <c r="A282" s="49">
        <v>280</v>
      </c>
      <c r="B282" s="50"/>
      <c r="C282" s="52"/>
      <c r="D282" s="50"/>
      <c r="E282" s="49"/>
      <c r="F282" s="49"/>
      <c r="G282" s="50">
        <f t="shared" si="82"/>
        <v>0</v>
      </c>
      <c r="H282" s="50">
        <f t="shared" si="83"/>
        <v>0</v>
      </c>
      <c r="I282" s="50">
        <f t="shared" si="84"/>
        <v>0</v>
      </c>
      <c r="J282" s="50"/>
      <c r="K282" s="49" t="s">
        <v>136</v>
      </c>
      <c r="L282" s="64"/>
      <c r="M282" s="49"/>
      <c r="N282" s="49"/>
      <c r="O282" s="65" t="s">
        <v>442</v>
      </c>
      <c r="P282" s="49" t="str">
        <f t="shared" si="85"/>
        <v>26/11/2024</v>
      </c>
      <c r="Q282" s="68">
        <f t="shared" si="86"/>
        <v>0</v>
      </c>
      <c r="R282" s="68">
        <f t="shared" si="87"/>
        <v>6</v>
      </c>
      <c r="S282" s="68">
        <f t="shared" si="88"/>
        <v>25</v>
      </c>
      <c r="T282" s="65"/>
      <c r="U282" s="65"/>
      <c r="V282" s="49"/>
      <c r="W282" s="68"/>
      <c r="X282" s="68"/>
      <c r="Y282" s="68"/>
      <c r="Z282" s="49"/>
      <c r="AA282" s="65"/>
      <c r="AB282" s="50"/>
      <c r="AC282" s="68"/>
      <c r="AD282" s="68"/>
      <c r="AE282" s="68"/>
      <c r="AF282" s="50"/>
      <c r="AG282" s="50"/>
      <c r="AH282" s="49" t="str">
        <f>IF(AG282="นิติศาสตร์","K5-LAW","K5-POLICY")</f>
        <v>K5-POLICY</v>
      </c>
      <c r="AI282" s="72" t="str">
        <f>_xlfn.IFS(B282="","",AND(AH282="K5-LAW",AG282="นิติศาสตร์",K282="S2",T282="",Z282=""),P282,AND(AH282="K5-LAW",AG282="นิติศาสตร์",K282="S1",T282="",Z282=""),EDATE(P282,12),AND(AH282="K5-LAW",AG282="นิติศาสตร์",OR(K282="M2",K282="K4"),T282="",Z282=""),EDATE(P282,12*2),AND(AH282="K5-LAW",AG282="นิติศาสตร์",OR(Z282="M2",Z282="K4"),AC282&gt;=2,OR(AB282&lt;V282,AB282&lt;P282)),EDATE(AB282,12*2),AND(AH282="K5-LAW",AG282="นิติศาสตร์",Z282="S1",AC282&gt;=1,OR(AB282&lt;V282,AB282&lt;P282)),EDATE(AB282,12),AND(AH282="K5-LAW",AG282="นิติศาสตร์",OR(T282="M2",T282="K4"),W282&gt;=2,V282&lt;P282),EDATE(V282,12*2),AND(AH282="K5-LAW",AG282="นิติศาสตร์",T282="S1",W282&gt;=1,V282&lt;P282),EDATE(V282,12),AND(AH282="K5-LAW",AG282="นิติศาสตร์",OR(T282="S2",T282="K5")),V282,AND(AH282="K5-LAW",AG282="นิติศาสตร์",OR(K282="M2",K282="K4"),Q282&gt;=2),EDATE(P282,12*2),AND(AH282="K5-LAW",AG282="นิติศาสตร์",K282="S1",Q282&gt;=1),EDATE(P282,12),AND(AH282="K5-LAW",AG282="นิติศาสตร์",OR(K282="S2",K282="K5")),P282,AND(AH282="K5-POLICY",AG282&lt;&gt;"นิติศาสตร์",K282="S2",T282="",Z282=""),P282,AND(AH282="K5-POLICY",AG282&lt;&gt;"นิติศาสตร์",K282="S1",T282="",Z282=""),EDATE(P282,12),AND(AH282="K5-POLICY",AG282&lt;&gt;"นิติศาสตร์",OR(K282="M2",K282="K4"),T282="",Z282=""),EDATE(P282,12*2),AND(AH282="K5-POLICY",AG282&lt;&gt;"นิติศาสตร์",OR(Z282="M2",Z282="K4"),AC282&gt;=2,OR(AB282&lt;V282,AB282&lt;P282)),EDATE(AB282,12*2),AND(AH282="K5-POLICY",AG282&lt;&gt;"นิติศาสตร์",Z282="S1",AC282&gt;=1,OR(AB282&lt;V282,AB282&lt;P282)),EDATE(AB282,12),AND(AH282="K5-POLICY",AG282&lt;&gt;"นิติศาสตร์",OR(T282="M2",T282="K4"),W282&gt;=2,V282&lt;P282),EDATE(V282,12*2),AND(AH282="K5-POLICY",AG282&lt;&gt;"นิติศาสตร์",T282="S1",W282&gt;=1,V282&lt;P282),EDATE(V282,12),AND(AH282="K5-POLICY",AG282&lt;&gt;"นิติศาสตร์",OR(T282="S2",T282="K5")),V282,AND(AH282="K5-POLICY",AG282&lt;&gt;"นิติศาสตร์",OR(K282="M2",K282="K4"),Q282&gt;=2),EDATE(P282,12*2),AND(AH282="K5-POLICY",AG282&lt;&gt;"นิติศาสตร์",K282="S1",Q282&gt;=1),EDATE(P282,12),AND(AH282="K5-POLICY",AG282&lt;&gt;"นิติศาสตร์",OR(K282="S2",K282="K5")),P282,TRUE,"Check Data")</f>
        <v/>
      </c>
      <c r="AJ282" s="75" t="str">
        <f t="shared" si="89"/>
        <v>Check Data</v>
      </c>
      <c r="AK282" s="76" t="str">
        <f t="shared" si="90"/>
        <v>Check Data</v>
      </c>
      <c r="AL282" s="50" t="str">
        <f t="shared" si="91"/>
        <v>Check Data</v>
      </c>
      <c r="AM282" s="49" t="str">
        <f>IF(B282="","",IF(K282="S1","S1",INDEX(#REF!,#REF!)))</f>
        <v/>
      </c>
      <c r="AN282" s="49" t="str">
        <f>K282</f>
        <v>M2</v>
      </c>
      <c r="AO282" s="50" t="b">
        <f>K282=AM282</f>
        <v>0</v>
      </c>
      <c r="AP282" s="50"/>
    </row>
    <row r="283" spans="1:42" ht="21.75">
      <c r="A283" s="49">
        <v>281</v>
      </c>
      <c r="B283" s="50"/>
      <c r="C283" s="52"/>
      <c r="D283" s="50"/>
      <c r="E283" s="49"/>
      <c r="F283" s="49"/>
      <c r="G283" s="50">
        <f t="shared" si="82"/>
        <v>0</v>
      </c>
      <c r="H283" s="50">
        <f t="shared" si="83"/>
        <v>0</v>
      </c>
      <c r="I283" s="50">
        <f t="shared" si="84"/>
        <v>0</v>
      </c>
      <c r="J283" s="50"/>
      <c r="K283" s="49" t="s">
        <v>136</v>
      </c>
      <c r="L283" s="64"/>
      <c r="M283" s="49"/>
      <c r="N283" s="49"/>
      <c r="O283" s="65" t="s">
        <v>442</v>
      </c>
      <c r="P283" s="49" t="str">
        <f t="shared" si="85"/>
        <v>26/11/2024</v>
      </c>
      <c r="Q283" s="68">
        <f t="shared" si="86"/>
        <v>0</v>
      </c>
      <c r="R283" s="68">
        <f t="shared" si="87"/>
        <v>6</v>
      </c>
      <c r="S283" s="68">
        <f t="shared" si="88"/>
        <v>25</v>
      </c>
      <c r="T283" s="65"/>
      <c r="U283" s="65"/>
      <c r="V283" s="49"/>
      <c r="W283" s="68"/>
      <c r="X283" s="68"/>
      <c r="Y283" s="68"/>
      <c r="Z283" s="49"/>
      <c r="AA283" s="65"/>
      <c r="AB283" s="50"/>
      <c r="AC283" s="68"/>
      <c r="AD283" s="68"/>
      <c r="AE283" s="68"/>
      <c r="AF283" s="50"/>
      <c r="AG283" s="50"/>
      <c r="AH283" s="49" t="str">
        <f>IF(AG283="นิติศาสตร์","K5-LAW","K5-POLICY")</f>
        <v>K5-POLICY</v>
      </c>
      <c r="AI283" s="72" t="str">
        <f>_xlfn.IFS(B283="","",AND(AH283="K5-LAW",AG283="นิติศาสตร์",K283="S2",T283="",Z283=""),P283,AND(AH283="K5-LAW",AG283="นิติศาสตร์",K283="S1",T283="",Z283=""),EDATE(P283,12),AND(AH283="K5-LAW",AG283="นิติศาสตร์",OR(K283="M2",K283="K4"),T283="",Z283=""),EDATE(P283,12*2),AND(AH283="K5-LAW",AG283="นิติศาสตร์",OR(Z283="M2",Z283="K4"),AC283&gt;=2,OR(AB283&lt;V283,AB283&lt;P283)),EDATE(AB283,12*2),AND(AH283="K5-LAW",AG283="นิติศาสตร์",Z283="S1",AC283&gt;=1,OR(AB283&lt;V283,AB283&lt;P283)),EDATE(AB283,12),AND(AH283="K5-LAW",AG283="นิติศาสตร์",OR(T283="M2",T283="K4"),W283&gt;=2,V283&lt;P283),EDATE(V283,12*2),AND(AH283="K5-LAW",AG283="นิติศาสตร์",T283="S1",W283&gt;=1,V283&lt;P283),EDATE(V283,12),AND(AH283="K5-LAW",AG283="นิติศาสตร์",OR(T283="S2",T283="K5")),V283,AND(AH283="K5-LAW",AG283="นิติศาสตร์",OR(K283="M2",K283="K4"),Q283&gt;=2),EDATE(P283,12*2),AND(AH283="K5-LAW",AG283="นิติศาสตร์",K283="S1",Q283&gt;=1),EDATE(P283,12),AND(AH283="K5-LAW",AG283="นิติศาสตร์",OR(K283="S2",K283="K5")),P283,AND(AH283="K5-POLICY",AG283&lt;&gt;"นิติศาสตร์",K283="S2",T283="",Z283=""),P283,AND(AH283="K5-POLICY",AG283&lt;&gt;"นิติศาสตร์",K283="S1",T283="",Z283=""),EDATE(P283,12),AND(AH283="K5-POLICY",AG283&lt;&gt;"นิติศาสตร์",OR(K283="M2",K283="K4"),T283="",Z283=""),EDATE(P283,12*2),AND(AH283="K5-POLICY",AG283&lt;&gt;"นิติศาสตร์",OR(Z283="M2",Z283="K4"),AC283&gt;=2,OR(AB283&lt;V283,AB283&lt;P283)),EDATE(AB283,12*2),AND(AH283="K5-POLICY",AG283&lt;&gt;"นิติศาสตร์",Z283="S1",AC283&gt;=1,OR(AB283&lt;V283,AB283&lt;P283)),EDATE(AB283,12),AND(AH283="K5-POLICY",AG283&lt;&gt;"นิติศาสตร์",OR(T283="M2",T283="K4"),W283&gt;=2,V283&lt;P283),EDATE(V283,12*2),AND(AH283="K5-POLICY",AG283&lt;&gt;"นิติศาสตร์",T283="S1",W283&gt;=1,V283&lt;P283),EDATE(V283,12),AND(AH283="K5-POLICY",AG283&lt;&gt;"นิติศาสตร์",OR(T283="S2",T283="K5")),V283,AND(AH283="K5-POLICY",AG283&lt;&gt;"นิติศาสตร์",OR(K283="M2",K283="K4"),Q283&gt;=2),EDATE(P283,12*2),AND(AH283="K5-POLICY",AG283&lt;&gt;"นิติศาสตร์",K283="S1",Q283&gt;=1),EDATE(P283,12),AND(AH283="K5-POLICY",AG283&lt;&gt;"นิติศาสตร์",OR(K283="S2",K283="K5")),P283,TRUE,"Check Data")</f>
        <v/>
      </c>
      <c r="AJ283" s="75" t="str">
        <f t="shared" si="89"/>
        <v>Check Data</v>
      </c>
      <c r="AK283" s="76" t="str">
        <f t="shared" si="90"/>
        <v>Check Data</v>
      </c>
      <c r="AL283" s="50" t="str">
        <f t="shared" si="91"/>
        <v>Check Data</v>
      </c>
      <c r="AM283" s="49" t="str">
        <f>IF(B283="","",IF(K283="S1","S1",INDEX(#REF!,#REF!)))</f>
        <v/>
      </c>
      <c r="AN283" s="49" t="str">
        <f>K283</f>
        <v>M2</v>
      </c>
      <c r="AO283" s="50" t="b">
        <f>K283=AM283</f>
        <v>0</v>
      </c>
      <c r="AP283" s="50"/>
    </row>
    <row r="284" spans="1:42" ht="21.75">
      <c r="A284" s="49">
        <v>282</v>
      </c>
      <c r="B284" s="50"/>
      <c r="C284" s="52"/>
      <c r="D284" s="50"/>
      <c r="E284" s="49"/>
      <c r="F284" s="49"/>
      <c r="G284" s="50">
        <f t="shared" si="82"/>
        <v>0</v>
      </c>
      <c r="H284" s="50">
        <f t="shared" si="83"/>
        <v>0</v>
      </c>
      <c r="I284" s="50">
        <f t="shared" si="84"/>
        <v>0</v>
      </c>
      <c r="J284" s="50"/>
      <c r="K284" s="49" t="s">
        <v>136</v>
      </c>
      <c r="L284" s="64"/>
      <c r="M284" s="49"/>
      <c r="N284" s="49"/>
      <c r="O284" s="65" t="s">
        <v>442</v>
      </c>
      <c r="P284" s="49" t="str">
        <f t="shared" si="85"/>
        <v>26/11/2024</v>
      </c>
      <c r="Q284" s="68">
        <f t="shared" si="86"/>
        <v>0</v>
      </c>
      <c r="R284" s="68">
        <f t="shared" si="87"/>
        <v>6</v>
      </c>
      <c r="S284" s="68">
        <f t="shared" si="88"/>
        <v>25</v>
      </c>
      <c r="T284" s="65"/>
      <c r="U284" s="65"/>
      <c r="V284" s="49"/>
      <c r="W284" s="68"/>
      <c r="X284" s="68"/>
      <c r="Y284" s="68"/>
      <c r="Z284" s="49"/>
      <c r="AA284" s="65"/>
      <c r="AB284" s="50"/>
      <c r="AC284" s="68"/>
      <c r="AD284" s="68"/>
      <c r="AE284" s="68"/>
      <c r="AF284" s="50"/>
      <c r="AG284" s="50"/>
      <c r="AH284" s="49" t="str">
        <f>IF(AG284="นิติศาสตร์","K5-LAW","K5-POLICY")</f>
        <v>K5-POLICY</v>
      </c>
      <c r="AI284" s="72" t="str">
        <f>_xlfn.IFS(B284="","",AND(AH284="K5-LAW",AG284="นิติศาสตร์",K284="S2",T284="",Z284=""),P284,AND(AH284="K5-LAW",AG284="นิติศาสตร์",K284="S1",T284="",Z284=""),EDATE(P284,12),AND(AH284="K5-LAW",AG284="นิติศาสตร์",OR(K284="M2",K284="K4"),T284="",Z284=""),EDATE(P284,12*2),AND(AH284="K5-LAW",AG284="นิติศาสตร์",OR(Z284="M2",Z284="K4"),AC284&gt;=2,OR(AB284&lt;V284,AB284&lt;P284)),EDATE(AB284,12*2),AND(AH284="K5-LAW",AG284="นิติศาสตร์",Z284="S1",AC284&gt;=1,OR(AB284&lt;V284,AB284&lt;P284)),EDATE(AB284,12),AND(AH284="K5-LAW",AG284="นิติศาสตร์",OR(T284="M2",T284="K4"),W284&gt;=2,V284&lt;P284),EDATE(V284,12*2),AND(AH284="K5-LAW",AG284="นิติศาสตร์",T284="S1",W284&gt;=1,V284&lt;P284),EDATE(V284,12),AND(AH284="K5-LAW",AG284="นิติศาสตร์",OR(T284="S2",T284="K5")),V284,AND(AH284="K5-LAW",AG284="นิติศาสตร์",OR(K284="M2",K284="K4"),Q284&gt;=2),EDATE(P284,12*2),AND(AH284="K5-LAW",AG284="นิติศาสตร์",K284="S1",Q284&gt;=1),EDATE(P284,12),AND(AH284="K5-LAW",AG284="นิติศาสตร์",OR(K284="S2",K284="K5")),P284,AND(AH284="K5-POLICY",AG284&lt;&gt;"นิติศาสตร์",K284="S2",T284="",Z284=""),P284,AND(AH284="K5-POLICY",AG284&lt;&gt;"นิติศาสตร์",K284="S1",T284="",Z284=""),EDATE(P284,12),AND(AH284="K5-POLICY",AG284&lt;&gt;"นิติศาสตร์",OR(K284="M2",K284="K4"),T284="",Z284=""),EDATE(P284,12*2),AND(AH284="K5-POLICY",AG284&lt;&gt;"นิติศาสตร์",OR(Z284="M2",Z284="K4"),AC284&gt;=2,OR(AB284&lt;V284,AB284&lt;P284)),EDATE(AB284,12*2),AND(AH284="K5-POLICY",AG284&lt;&gt;"นิติศาสตร์",Z284="S1",AC284&gt;=1,OR(AB284&lt;V284,AB284&lt;P284)),EDATE(AB284,12),AND(AH284="K5-POLICY",AG284&lt;&gt;"นิติศาสตร์",OR(T284="M2",T284="K4"),W284&gt;=2,V284&lt;P284),EDATE(V284,12*2),AND(AH284="K5-POLICY",AG284&lt;&gt;"นิติศาสตร์",T284="S1",W284&gt;=1,V284&lt;P284),EDATE(V284,12),AND(AH284="K5-POLICY",AG284&lt;&gt;"นิติศาสตร์",OR(T284="S2",T284="K5")),V284,AND(AH284="K5-POLICY",AG284&lt;&gt;"นิติศาสตร์",OR(K284="M2",K284="K4"),Q284&gt;=2),EDATE(P284,12*2),AND(AH284="K5-POLICY",AG284&lt;&gt;"นิติศาสตร์",K284="S1",Q284&gt;=1),EDATE(P284,12),AND(AH284="K5-POLICY",AG284&lt;&gt;"นิติศาสตร์",OR(K284="S2",K284="K5")),P284,TRUE,"Check Data")</f>
        <v/>
      </c>
      <c r="AJ284" s="75" t="str">
        <f t="shared" si="89"/>
        <v>Check Data</v>
      </c>
      <c r="AK284" s="76" t="str">
        <f t="shared" si="90"/>
        <v>Check Data</v>
      </c>
      <c r="AL284" s="50" t="str">
        <f t="shared" si="91"/>
        <v>Check Data</v>
      </c>
      <c r="AM284" s="49" t="str">
        <f>IF(B284="","",IF(K284="S1","S1",INDEX(#REF!,#REF!)))</f>
        <v/>
      </c>
      <c r="AN284" s="49" t="str">
        <f>K284</f>
        <v>M2</v>
      </c>
      <c r="AO284" s="50" t="b">
        <f>K284=AM284</f>
        <v>0</v>
      </c>
      <c r="AP284" s="50"/>
    </row>
    <row r="285" spans="1:42" ht="21.75">
      <c r="A285" s="49">
        <v>283</v>
      </c>
      <c r="B285" s="50"/>
      <c r="C285" s="52"/>
      <c r="D285" s="50"/>
      <c r="E285" s="49"/>
      <c r="F285" s="49"/>
      <c r="G285" s="50">
        <f t="shared" si="82"/>
        <v>0</v>
      </c>
      <c r="H285" s="50">
        <f t="shared" si="83"/>
        <v>0</v>
      </c>
      <c r="I285" s="50">
        <f t="shared" si="84"/>
        <v>0</v>
      </c>
      <c r="J285" s="50"/>
      <c r="K285" s="49" t="s">
        <v>136</v>
      </c>
      <c r="L285" s="64"/>
      <c r="M285" s="49"/>
      <c r="N285" s="49"/>
      <c r="O285" s="65" t="s">
        <v>442</v>
      </c>
      <c r="P285" s="49" t="str">
        <f t="shared" si="85"/>
        <v>26/11/2024</v>
      </c>
      <c r="Q285" s="68">
        <f t="shared" si="86"/>
        <v>0</v>
      </c>
      <c r="R285" s="68">
        <f t="shared" si="87"/>
        <v>6</v>
      </c>
      <c r="S285" s="68">
        <f t="shared" si="88"/>
        <v>25</v>
      </c>
      <c r="T285" s="65"/>
      <c r="U285" s="65"/>
      <c r="V285" s="49"/>
      <c r="W285" s="68"/>
      <c r="X285" s="68"/>
      <c r="Y285" s="68"/>
      <c r="Z285" s="49"/>
      <c r="AA285" s="65"/>
      <c r="AB285" s="50"/>
      <c r="AC285" s="68"/>
      <c r="AD285" s="68"/>
      <c r="AE285" s="68"/>
      <c r="AF285" s="50"/>
      <c r="AG285" s="50"/>
      <c r="AH285" s="49" t="str">
        <f>IF(AG285="นิติศาสตร์","K5-LAW","K5-POLICY")</f>
        <v>K5-POLICY</v>
      </c>
      <c r="AI285" s="72" t="str">
        <f>_xlfn.IFS(B285="","",AND(AH285="K5-LAW",AG285="นิติศาสตร์",K285="S2",T285="",Z285=""),P285,AND(AH285="K5-LAW",AG285="นิติศาสตร์",K285="S1",T285="",Z285=""),EDATE(P285,12),AND(AH285="K5-LAW",AG285="นิติศาสตร์",OR(K285="M2",K285="K4"),T285="",Z285=""),EDATE(P285,12*2),AND(AH285="K5-LAW",AG285="นิติศาสตร์",OR(Z285="M2",Z285="K4"),AC285&gt;=2,OR(AB285&lt;V285,AB285&lt;P285)),EDATE(AB285,12*2),AND(AH285="K5-LAW",AG285="นิติศาสตร์",Z285="S1",AC285&gt;=1,OR(AB285&lt;V285,AB285&lt;P285)),EDATE(AB285,12),AND(AH285="K5-LAW",AG285="นิติศาสตร์",OR(T285="M2",T285="K4"),W285&gt;=2,V285&lt;P285),EDATE(V285,12*2),AND(AH285="K5-LAW",AG285="นิติศาสตร์",T285="S1",W285&gt;=1,V285&lt;P285),EDATE(V285,12),AND(AH285="K5-LAW",AG285="นิติศาสตร์",OR(T285="S2",T285="K5")),V285,AND(AH285="K5-LAW",AG285="นิติศาสตร์",OR(K285="M2",K285="K4"),Q285&gt;=2),EDATE(P285,12*2),AND(AH285="K5-LAW",AG285="นิติศาสตร์",K285="S1",Q285&gt;=1),EDATE(P285,12),AND(AH285="K5-LAW",AG285="นิติศาสตร์",OR(K285="S2",K285="K5")),P285,AND(AH285="K5-POLICY",AG285&lt;&gt;"นิติศาสตร์",K285="S2",T285="",Z285=""),P285,AND(AH285="K5-POLICY",AG285&lt;&gt;"นิติศาสตร์",K285="S1",T285="",Z285=""),EDATE(P285,12),AND(AH285="K5-POLICY",AG285&lt;&gt;"นิติศาสตร์",OR(K285="M2",K285="K4"),T285="",Z285=""),EDATE(P285,12*2),AND(AH285="K5-POLICY",AG285&lt;&gt;"นิติศาสตร์",OR(Z285="M2",Z285="K4"),AC285&gt;=2,OR(AB285&lt;V285,AB285&lt;P285)),EDATE(AB285,12*2),AND(AH285="K5-POLICY",AG285&lt;&gt;"นิติศาสตร์",Z285="S1",AC285&gt;=1,OR(AB285&lt;V285,AB285&lt;P285)),EDATE(AB285,12),AND(AH285="K5-POLICY",AG285&lt;&gt;"นิติศาสตร์",OR(T285="M2",T285="K4"),W285&gt;=2,V285&lt;P285),EDATE(V285,12*2),AND(AH285="K5-POLICY",AG285&lt;&gt;"นิติศาสตร์",T285="S1",W285&gt;=1,V285&lt;P285),EDATE(V285,12),AND(AH285="K5-POLICY",AG285&lt;&gt;"นิติศาสตร์",OR(T285="S2",T285="K5")),V285,AND(AH285="K5-POLICY",AG285&lt;&gt;"นิติศาสตร์",OR(K285="M2",K285="K4"),Q285&gt;=2),EDATE(P285,12*2),AND(AH285="K5-POLICY",AG285&lt;&gt;"นิติศาสตร์",K285="S1",Q285&gt;=1),EDATE(P285,12),AND(AH285="K5-POLICY",AG285&lt;&gt;"นิติศาสตร์",OR(K285="S2",K285="K5")),P285,TRUE,"Check Data")</f>
        <v/>
      </c>
      <c r="AJ285" s="75" t="str">
        <f t="shared" si="89"/>
        <v>Check Data</v>
      </c>
      <c r="AK285" s="76" t="str">
        <f t="shared" si="90"/>
        <v>Check Data</v>
      </c>
      <c r="AL285" s="50" t="str">
        <f t="shared" si="91"/>
        <v>Check Data</v>
      </c>
      <c r="AM285" s="49" t="str">
        <f>IF(B285="","",IF(K285="S1","S1",INDEX(#REF!,#REF!)))</f>
        <v/>
      </c>
      <c r="AN285" s="49" t="str">
        <f>K285</f>
        <v>M2</v>
      </c>
      <c r="AO285" s="50" t="b">
        <f>K285=AM285</f>
        <v>0</v>
      </c>
      <c r="AP285" s="50"/>
    </row>
    <row r="286" spans="1:42" ht="21.75">
      <c r="A286" s="49">
        <v>284</v>
      </c>
      <c r="B286" s="50"/>
      <c r="C286" s="52"/>
      <c r="D286" s="50"/>
      <c r="E286" s="49"/>
      <c r="F286" s="49"/>
      <c r="G286" s="50">
        <f t="shared" si="82"/>
        <v>0</v>
      </c>
      <c r="H286" s="50">
        <f t="shared" si="83"/>
        <v>0</v>
      </c>
      <c r="I286" s="50">
        <f t="shared" si="84"/>
        <v>0</v>
      </c>
      <c r="J286" s="50"/>
      <c r="K286" s="49" t="s">
        <v>136</v>
      </c>
      <c r="L286" s="64"/>
      <c r="M286" s="49"/>
      <c r="N286" s="49"/>
      <c r="O286" s="65" t="s">
        <v>442</v>
      </c>
      <c r="P286" s="49" t="str">
        <f t="shared" si="85"/>
        <v>26/11/2024</v>
      </c>
      <c r="Q286" s="68">
        <f t="shared" si="86"/>
        <v>0</v>
      </c>
      <c r="R286" s="68">
        <f t="shared" si="87"/>
        <v>6</v>
      </c>
      <c r="S286" s="68">
        <f t="shared" si="88"/>
        <v>25</v>
      </c>
      <c r="T286" s="65"/>
      <c r="U286" s="65"/>
      <c r="V286" s="49"/>
      <c r="W286" s="68"/>
      <c r="X286" s="68"/>
      <c r="Y286" s="68"/>
      <c r="Z286" s="49"/>
      <c r="AA286" s="65"/>
      <c r="AB286" s="50"/>
      <c r="AC286" s="68"/>
      <c r="AD286" s="68"/>
      <c r="AE286" s="68"/>
      <c r="AF286" s="50"/>
      <c r="AG286" s="50"/>
      <c r="AH286" s="49" t="str">
        <f>IF(AG286="นิติศาสตร์","K5-LAW","K5-POLICY")</f>
        <v>K5-POLICY</v>
      </c>
      <c r="AI286" s="72" t="str">
        <f>_xlfn.IFS(B286="","",AND(AH286="K5-LAW",AG286="นิติศาสตร์",K286="S2",T286="",Z286=""),P286,AND(AH286="K5-LAW",AG286="นิติศาสตร์",K286="S1",T286="",Z286=""),EDATE(P286,12),AND(AH286="K5-LAW",AG286="นิติศาสตร์",OR(K286="M2",K286="K4"),T286="",Z286=""),EDATE(P286,12*2),AND(AH286="K5-LAW",AG286="นิติศาสตร์",OR(Z286="M2",Z286="K4"),AC286&gt;=2,OR(AB286&lt;V286,AB286&lt;P286)),EDATE(AB286,12*2),AND(AH286="K5-LAW",AG286="นิติศาสตร์",Z286="S1",AC286&gt;=1,OR(AB286&lt;V286,AB286&lt;P286)),EDATE(AB286,12),AND(AH286="K5-LAW",AG286="นิติศาสตร์",OR(T286="M2",T286="K4"),W286&gt;=2,V286&lt;P286),EDATE(V286,12*2),AND(AH286="K5-LAW",AG286="นิติศาสตร์",T286="S1",W286&gt;=1,V286&lt;P286),EDATE(V286,12),AND(AH286="K5-LAW",AG286="นิติศาสตร์",OR(T286="S2",T286="K5")),V286,AND(AH286="K5-LAW",AG286="นิติศาสตร์",OR(K286="M2",K286="K4"),Q286&gt;=2),EDATE(P286,12*2),AND(AH286="K5-LAW",AG286="นิติศาสตร์",K286="S1",Q286&gt;=1),EDATE(P286,12),AND(AH286="K5-LAW",AG286="นิติศาสตร์",OR(K286="S2",K286="K5")),P286,AND(AH286="K5-POLICY",AG286&lt;&gt;"นิติศาสตร์",K286="S2",T286="",Z286=""),P286,AND(AH286="K5-POLICY",AG286&lt;&gt;"นิติศาสตร์",K286="S1",T286="",Z286=""),EDATE(P286,12),AND(AH286="K5-POLICY",AG286&lt;&gt;"นิติศาสตร์",OR(K286="M2",K286="K4"),T286="",Z286=""),EDATE(P286,12*2),AND(AH286="K5-POLICY",AG286&lt;&gt;"นิติศาสตร์",OR(Z286="M2",Z286="K4"),AC286&gt;=2,OR(AB286&lt;V286,AB286&lt;P286)),EDATE(AB286,12*2),AND(AH286="K5-POLICY",AG286&lt;&gt;"นิติศาสตร์",Z286="S1",AC286&gt;=1,OR(AB286&lt;V286,AB286&lt;P286)),EDATE(AB286,12),AND(AH286="K5-POLICY",AG286&lt;&gt;"นิติศาสตร์",OR(T286="M2",T286="K4"),W286&gt;=2,V286&lt;P286),EDATE(V286,12*2),AND(AH286="K5-POLICY",AG286&lt;&gt;"นิติศาสตร์",T286="S1",W286&gt;=1,V286&lt;P286),EDATE(V286,12),AND(AH286="K5-POLICY",AG286&lt;&gt;"นิติศาสตร์",OR(T286="S2",T286="K5")),V286,AND(AH286="K5-POLICY",AG286&lt;&gt;"นิติศาสตร์",OR(K286="M2",K286="K4"),Q286&gt;=2),EDATE(P286,12*2),AND(AH286="K5-POLICY",AG286&lt;&gt;"นิติศาสตร์",K286="S1",Q286&gt;=1),EDATE(P286,12),AND(AH286="K5-POLICY",AG286&lt;&gt;"นิติศาสตร์",OR(K286="S2",K286="K5")),P286,TRUE,"Check Data")</f>
        <v/>
      </c>
      <c r="AJ286" s="75" t="str">
        <f t="shared" si="89"/>
        <v>Check Data</v>
      </c>
      <c r="AK286" s="76" t="str">
        <f t="shared" si="90"/>
        <v>Check Data</v>
      </c>
      <c r="AL286" s="50" t="str">
        <f t="shared" si="91"/>
        <v>Check Data</v>
      </c>
      <c r="AM286" s="49" t="str">
        <f>IF(B286="","",IF(K286="S1","S1",INDEX(#REF!,#REF!)))</f>
        <v/>
      </c>
      <c r="AN286" s="49" t="str">
        <f>K286</f>
        <v>M2</v>
      </c>
      <c r="AO286" s="50" t="b">
        <f>K286=AM286</f>
        <v>0</v>
      </c>
      <c r="AP286" s="50"/>
    </row>
    <row r="287" spans="1:42" ht="21.75">
      <c r="A287" s="49">
        <v>285</v>
      </c>
      <c r="B287" s="50"/>
      <c r="C287" s="52"/>
      <c r="D287" s="50"/>
      <c r="E287" s="49"/>
      <c r="F287" s="49"/>
      <c r="G287" s="50">
        <f t="shared" si="82"/>
        <v>0</v>
      </c>
      <c r="H287" s="50">
        <f t="shared" si="83"/>
        <v>0</v>
      </c>
      <c r="I287" s="50">
        <f t="shared" si="84"/>
        <v>0</v>
      </c>
      <c r="J287" s="50"/>
      <c r="K287" s="49" t="s">
        <v>136</v>
      </c>
      <c r="L287" s="64"/>
      <c r="M287" s="49"/>
      <c r="N287" s="49"/>
      <c r="O287" s="65" t="s">
        <v>442</v>
      </c>
      <c r="P287" s="49" t="str">
        <f t="shared" si="85"/>
        <v>26/11/2024</v>
      </c>
      <c r="Q287" s="68">
        <f t="shared" si="86"/>
        <v>0</v>
      </c>
      <c r="R287" s="68">
        <f t="shared" si="87"/>
        <v>6</v>
      </c>
      <c r="S287" s="68">
        <f t="shared" si="88"/>
        <v>25</v>
      </c>
      <c r="T287" s="65"/>
      <c r="U287" s="65"/>
      <c r="V287" s="49"/>
      <c r="W287" s="68"/>
      <c r="X287" s="68"/>
      <c r="Y287" s="68"/>
      <c r="Z287" s="49"/>
      <c r="AA287" s="65"/>
      <c r="AB287" s="50"/>
      <c r="AC287" s="68"/>
      <c r="AD287" s="68"/>
      <c r="AE287" s="68"/>
      <c r="AF287" s="50"/>
      <c r="AG287" s="50"/>
      <c r="AH287" s="49" t="str">
        <f>IF(AG287="นิติศาสตร์","K5-LAW","K5-POLICY")</f>
        <v>K5-POLICY</v>
      </c>
      <c r="AI287" s="72" t="str">
        <f>_xlfn.IFS(B287="","",AND(AH287="K5-LAW",AG287="นิติศาสตร์",K287="S2",T287="",Z287=""),P287,AND(AH287="K5-LAW",AG287="นิติศาสตร์",K287="S1",T287="",Z287=""),EDATE(P287,12),AND(AH287="K5-LAW",AG287="นิติศาสตร์",OR(K287="M2",K287="K4"),T287="",Z287=""),EDATE(P287,12*2),AND(AH287="K5-LAW",AG287="นิติศาสตร์",OR(Z287="M2",Z287="K4"),AC287&gt;=2,OR(AB287&lt;V287,AB287&lt;P287)),EDATE(AB287,12*2),AND(AH287="K5-LAW",AG287="นิติศาสตร์",Z287="S1",AC287&gt;=1,OR(AB287&lt;V287,AB287&lt;P287)),EDATE(AB287,12),AND(AH287="K5-LAW",AG287="นิติศาสตร์",OR(T287="M2",T287="K4"),W287&gt;=2,V287&lt;P287),EDATE(V287,12*2),AND(AH287="K5-LAW",AG287="นิติศาสตร์",T287="S1",W287&gt;=1,V287&lt;P287),EDATE(V287,12),AND(AH287="K5-LAW",AG287="นิติศาสตร์",OR(T287="S2",T287="K5")),V287,AND(AH287="K5-LAW",AG287="นิติศาสตร์",OR(K287="M2",K287="K4"),Q287&gt;=2),EDATE(P287,12*2),AND(AH287="K5-LAW",AG287="นิติศาสตร์",K287="S1",Q287&gt;=1),EDATE(P287,12),AND(AH287="K5-LAW",AG287="นิติศาสตร์",OR(K287="S2",K287="K5")),P287,AND(AH287="K5-POLICY",AG287&lt;&gt;"นิติศาสตร์",K287="S2",T287="",Z287=""),P287,AND(AH287="K5-POLICY",AG287&lt;&gt;"นิติศาสตร์",K287="S1",T287="",Z287=""),EDATE(P287,12),AND(AH287="K5-POLICY",AG287&lt;&gt;"นิติศาสตร์",OR(K287="M2",K287="K4"),T287="",Z287=""),EDATE(P287,12*2),AND(AH287="K5-POLICY",AG287&lt;&gt;"นิติศาสตร์",OR(Z287="M2",Z287="K4"),AC287&gt;=2,OR(AB287&lt;V287,AB287&lt;P287)),EDATE(AB287,12*2),AND(AH287="K5-POLICY",AG287&lt;&gt;"นิติศาสตร์",Z287="S1",AC287&gt;=1,OR(AB287&lt;V287,AB287&lt;P287)),EDATE(AB287,12),AND(AH287="K5-POLICY",AG287&lt;&gt;"นิติศาสตร์",OR(T287="M2",T287="K4"),W287&gt;=2,V287&lt;P287),EDATE(V287,12*2),AND(AH287="K5-POLICY",AG287&lt;&gt;"นิติศาสตร์",T287="S1",W287&gt;=1,V287&lt;P287),EDATE(V287,12),AND(AH287="K5-POLICY",AG287&lt;&gt;"นิติศาสตร์",OR(T287="S2",T287="K5")),V287,AND(AH287="K5-POLICY",AG287&lt;&gt;"นิติศาสตร์",OR(K287="M2",K287="K4"),Q287&gt;=2),EDATE(P287,12*2),AND(AH287="K5-POLICY",AG287&lt;&gt;"นิติศาสตร์",K287="S1",Q287&gt;=1),EDATE(P287,12),AND(AH287="K5-POLICY",AG287&lt;&gt;"นิติศาสตร์",OR(K287="S2",K287="K5")),P287,TRUE,"Check Data")</f>
        <v/>
      </c>
      <c r="AJ287" s="75" t="str">
        <f t="shared" si="89"/>
        <v>Check Data</v>
      </c>
      <c r="AK287" s="76" t="str">
        <f t="shared" si="90"/>
        <v>Check Data</v>
      </c>
      <c r="AL287" s="50" t="str">
        <f t="shared" si="91"/>
        <v>Check Data</v>
      </c>
      <c r="AM287" s="49" t="str">
        <f>IF(B287="","",IF(K287="S1","S1",INDEX(#REF!,#REF!)))</f>
        <v/>
      </c>
      <c r="AN287" s="49" t="str">
        <f>K287</f>
        <v>M2</v>
      </c>
      <c r="AO287" s="50" t="b">
        <f>K287=AM287</f>
        <v>0</v>
      </c>
      <c r="AP287" s="50"/>
    </row>
    <row r="288" spans="1:42" ht="21.75">
      <c r="A288" s="49">
        <v>286</v>
      </c>
      <c r="B288" s="50"/>
      <c r="C288" s="52"/>
      <c r="D288" s="50"/>
      <c r="E288" s="49"/>
      <c r="F288" s="49"/>
      <c r="G288" s="50">
        <f t="shared" si="82"/>
        <v>0</v>
      </c>
      <c r="H288" s="50">
        <f t="shared" si="83"/>
        <v>0</v>
      </c>
      <c r="I288" s="50">
        <f t="shared" si="84"/>
        <v>0</v>
      </c>
      <c r="J288" s="50"/>
      <c r="K288" s="49" t="s">
        <v>136</v>
      </c>
      <c r="L288" s="64"/>
      <c r="M288" s="49"/>
      <c r="N288" s="49"/>
      <c r="O288" s="65" t="s">
        <v>442</v>
      </c>
      <c r="P288" s="49" t="str">
        <f t="shared" si="85"/>
        <v>26/11/2024</v>
      </c>
      <c r="Q288" s="68">
        <f t="shared" si="86"/>
        <v>0</v>
      </c>
      <c r="R288" s="68">
        <f t="shared" si="87"/>
        <v>6</v>
      </c>
      <c r="S288" s="68">
        <f t="shared" si="88"/>
        <v>25</v>
      </c>
      <c r="T288" s="65"/>
      <c r="U288" s="65"/>
      <c r="V288" s="49"/>
      <c r="W288" s="68"/>
      <c r="X288" s="68"/>
      <c r="Y288" s="68"/>
      <c r="Z288" s="49"/>
      <c r="AA288" s="65"/>
      <c r="AB288" s="50"/>
      <c r="AC288" s="68"/>
      <c r="AD288" s="68"/>
      <c r="AE288" s="68"/>
      <c r="AF288" s="50"/>
      <c r="AG288" s="50"/>
      <c r="AH288" s="49" t="str">
        <f>IF(AG288="นิติศาสตร์","K5-LAW","K5-POLICY")</f>
        <v>K5-POLICY</v>
      </c>
      <c r="AI288" s="72" t="str">
        <f>_xlfn.IFS(B288="","",AND(AH288="K5-LAW",AG288="นิติศาสตร์",K288="S2",T288="",Z288=""),P288,AND(AH288="K5-LAW",AG288="นิติศาสตร์",K288="S1",T288="",Z288=""),EDATE(P288,12),AND(AH288="K5-LAW",AG288="นิติศาสตร์",OR(K288="M2",K288="K4"),T288="",Z288=""),EDATE(P288,12*2),AND(AH288="K5-LAW",AG288="นิติศาสตร์",OR(Z288="M2",Z288="K4"),AC288&gt;=2,OR(AB288&lt;V288,AB288&lt;P288)),EDATE(AB288,12*2),AND(AH288="K5-LAW",AG288="นิติศาสตร์",Z288="S1",AC288&gt;=1,OR(AB288&lt;V288,AB288&lt;P288)),EDATE(AB288,12),AND(AH288="K5-LAW",AG288="นิติศาสตร์",OR(T288="M2",T288="K4"),W288&gt;=2,V288&lt;P288),EDATE(V288,12*2),AND(AH288="K5-LAW",AG288="นิติศาสตร์",T288="S1",W288&gt;=1,V288&lt;P288),EDATE(V288,12),AND(AH288="K5-LAW",AG288="นิติศาสตร์",OR(T288="S2",T288="K5")),V288,AND(AH288="K5-LAW",AG288="นิติศาสตร์",OR(K288="M2",K288="K4"),Q288&gt;=2),EDATE(P288,12*2),AND(AH288="K5-LAW",AG288="นิติศาสตร์",K288="S1",Q288&gt;=1),EDATE(P288,12),AND(AH288="K5-LAW",AG288="นิติศาสตร์",OR(K288="S2",K288="K5")),P288,AND(AH288="K5-POLICY",AG288&lt;&gt;"นิติศาสตร์",K288="S2",T288="",Z288=""),P288,AND(AH288="K5-POLICY",AG288&lt;&gt;"นิติศาสตร์",K288="S1",T288="",Z288=""),EDATE(P288,12),AND(AH288="K5-POLICY",AG288&lt;&gt;"นิติศาสตร์",OR(K288="M2",K288="K4"),T288="",Z288=""),EDATE(P288,12*2),AND(AH288="K5-POLICY",AG288&lt;&gt;"นิติศาสตร์",OR(Z288="M2",Z288="K4"),AC288&gt;=2,OR(AB288&lt;V288,AB288&lt;P288)),EDATE(AB288,12*2),AND(AH288="K5-POLICY",AG288&lt;&gt;"นิติศาสตร์",Z288="S1",AC288&gt;=1,OR(AB288&lt;V288,AB288&lt;P288)),EDATE(AB288,12),AND(AH288="K5-POLICY",AG288&lt;&gt;"นิติศาสตร์",OR(T288="M2",T288="K4"),W288&gt;=2,V288&lt;P288),EDATE(V288,12*2),AND(AH288="K5-POLICY",AG288&lt;&gt;"นิติศาสตร์",T288="S1",W288&gt;=1,V288&lt;P288),EDATE(V288,12),AND(AH288="K5-POLICY",AG288&lt;&gt;"นิติศาสตร์",OR(T288="S2",T288="K5")),V288,AND(AH288="K5-POLICY",AG288&lt;&gt;"นิติศาสตร์",OR(K288="M2",K288="K4"),Q288&gt;=2),EDATE(P288,12*2),AND(AH288="K5-POLICY",AG288&lt;&gt;"นิติศาสตร์",K288="S1",Q288&gt;=1),EDATE(P288,12),AND(AH288="K5-POLICY",AG288&lt;&gt;"นิติศาสตร์",OR(K288="S2",K288="K5")),P288,TRUE,"Check Data")</f>
        <v/>
      </c>
      <c r="AJ288" s="75" t="str">
        <f t="shared" si="89"/>
        <v>Check Data</v>
      </c>
      <c r="AK288" s="76" t="str">
        <f t="shared" si="90"/>
        <v>Check Data</v>
      </c>
      <c r="AL288" s="50" t="str">
        <f t="shared" si="91"/>
        <v>Check Data</v>
      </c>
      <c r="AM288" s="49" t="str">
        <f>IF(B288="","",IF(K288="S1","S1",INDEX(#REF!,#REF!)))</f>
        <v/>
      </c>
      <c r="AN288" s="49" t="str">
        <f>K288</f>
        <v>M2</v>
      </c>
      <c r="AO288" s="50" t="b">
        <f>K288=AM288</f>
        <v>0</v>
      </c>
      <c r="AP288" s="50"/>
    </row>
    <row r="289" spans="1:42" ht="21.75">
      <c r="A289" s="49">
        <v>287</v>
      </c>
      <c r="B289" s="50"/>
      <c r="C289" s="52"/>
      <c r="D289" s="50"/>
      <c r="E289" s="49"/>
      <c r="F289" s="49"/>
      <c r="G289" s="50">
        <f t="shared" si="82"/>
        <v>0</v>
      </c>
      <c r="H289" s="50">
        <f t="shared" si="83"/>
        <v>0</v>
      </c>
      <c r="I289" s="50">
        <f t="shared" si="84"/>
        <v>0</v>
      </c>
      <c r="J289" s="50"/>
      <c r="K289" s="49" t="s">
        <v>136</v>
      </c>
      <c r="L289" s="64"/>
      <c r="M289" s="49"/>
      <c r="N289" s="49"/>
      <c r="O289" s="65" t="s">
        <v>442</v>
      </c>
      <c r="P289" s="49" t="str">
        <f t="shared" si="85"/>
        <v>26/11/2024</v>
      </c>
      <c r="Q289" s="68">
        <f t="shared" si="86"/>
        <v>0</v>
      </c>
      <c r="R289" s="68">
        <f t="shared" si="87"/>
        <v>6</v>
      </c>
      <c r="S289" s="68">
        <f t="shared" si="88"/>
        <v>25</v>
      </c>
      <c r="T289" s="65"/>
      <c r="U289" s="65"/>
      <c r="V289" s="49"/>
      <c r="W289" s="68"/>
      <c r="X289" s="68"/>
      <c r="Y289" s="68"/>
      <c r="Z289" s="49"/>
      <c r="AA289" s="65"/>
      <c r="AB289" s="50"/>
      <c r="AC289" s="68"/>
      <c r="AD289" s="68"/>
      <c r="AE289" s="68"/>
      <c r="AF289" s="50"/>
      <c r="AG289" s="50"/>
      <c r="AH289" s="49" t="str">
        <f>IF(AG289="นิติศาสตร์","K5-LAW","K5-POLICY")</f>
        <v>K5-POLICY</v>
      </c>
      <c r="AI289" s="72" t="str">
        <f>_xlfn.IFS(B289="","",AND(AH289="K5-LAW",AG289="นิติศาสตร์",K289="S2",T289="",Z289=""),P289,AND(AH289="K5-LAW",AG289="นิติศาสตร์",K289="S1",T289="",Z289=""),EDATE(P289,12),AND(AH289="K5-LAW",AG289="นิติศาสตร์",OR(K289="M2",K289="K4"),T289="",Z289=""),EDATE(P289,12*2),AND(AH289="K5-LAW",AG289="นิติศาสตร์",OR(Z289="M2",Z289="K4"),AC289&gt;=2,OR(AB289&lt;V289,AB289&lt;P289)),EDATE(AB289,12*2),AND(AH289="K5-LAW",AG289="นิติศาสตร์",Z289="S1",AC289&gt;=1,OR(AB289&lt;V289,AB289&lt;P289)),EDATE(AB289,12),AND(AH289="K5-LAW",AG289="นิติศาสตร์",OR(T289="M2",T289="K4"),W289&gt;=2,V289&lt;P289),EDATE(V289,12*2),AND(AH289="K5-LAW",AG289="นิติศาสตร์",T289="S1",W289&gt;=1,V289&lt;P289),EDATE(V289,12),AND(AH289="K5-LAW",AG289="นิติศาสตร์",OR(T289="S2",T289="K5")),V289,AND(AH289="K5-LAW",AG289="นิติศาสตร์",OR(K289="M2",K289="K4"),Q289&gt;=2),EDATE(P289,12*2),AND(AH289="K5-LAW",AG289="นิติศาสตร์",K289="S1",Q289&gt;=1),EDATE(P289,12),AND(AH289="K5-LAW",AG289="นิติศาสตร์",OR(K289="S2",K289="K5")),P289,AND(AH289="K5-POLICY",AG289&lt;&gt;"นิติศาสตร์",K289="S2",T289="",Z289=""),P289,AND(AH289="K5-POLICY",AG289&lt;&gt;"นิติศาสตร์",K289="S1",T289="",Z289=""),EDATE(P289,12),AND(AH289="K5-POLICY",AG289&lt;&gt;"นิติศาสตร์",OR(K289="M2",K289="K4"),T289="",Z289=""),EDATE(P289,12*2),AND(AH289="K5-POLICY",AG289&lt;&gt;"นิติศาสตร์",OR(Z289="M2",Z289="K4"),AC289&gt;=2,OR(AB289&lt;V289,AB289&lt;P289)),EDATE(AB289,12*2),AND(AH289="K5-POLICY",AG289&lt;&gt;"นิติศาสตร์",Z289="S1",AC289&gt;=1,OR(AB289&lt;V289,AB289&lt;P289)),EDATE(AB289,12),AND(AH289="K5-POLICY",AG289&lt;&gt;"นิติศาสตร์",OR(T289="M2",T289="K4"),W289&gt;=2,V289&lt;P289),EDATE(V289,12*2),AND(AH289="K5-POLICY",AG289&lt;&gt;"นิติศาสตร์",T289="S1",W289&gt;=1,V289&lt;P289),EDATE(V289,12),AND(AH289="K5-POLICY",AG289&lt;&gt;"นิติศาสตร์",OR(T289="S2",T289="K5")),V289,AND(AH289="K5-POLICY",AG289&lt;&gt;"นิติศาสตร์",OR(K289="M2",K289="K4"),Q289&gt;=2),EDATE(P289,12*2),AND(AH289="K5-POLICY",AG289&lt;&gt;"นิติศาสตร์",K289="S1",Q289&gt;=1),EDATE(P289,12),AND(AH289="K5-POLICY",AG289&lt;&gt;"นิติศาสตร์",OR(K289="S2",K289="K5")),P289,TRUE,"Check Data")</f>
        <v/>
      </c>
      <c r="AJ289" s="75" t="str">
        <f t="shared" si="89"/>
        <v>Check Data</v>
      </c>
      <c r="AK289" s="76" t="str">
        <f t="shared" si="90"/>
        <v>Check Data</v>
      </c>
      <c r="AL289" s="50" t="str">
        <f t="shared" si="91"/>
        <v>Check Data</v>
      </c>
      <c r="AM289" s="49" t="str">
        <f>IF(B289="","",IF(K289="S1","S1",INDEX(#REF!,#REF!)))</f>
        <v/>
      </c>
      <c r="AN289" s="49" t="str">
        <f>K289</f>
        <v>M2</v>
      </c>
      <c r="AO289" s="50" t="b">
        <f>K289=AM289</f>
        <v>0</v>
      </c>
      <c r="AP289" s="50"/>
    </row>
    <row r="290" spans="1:42" ht="21.75">
      <c r="A290" s="49">
        <v>288</v>
      </c>
      <c r="B290" s="50"/>
      <c r="C290" s="52"/>
      <c r="D290" s="50"/>
      <c r="E290" s="49"/>
      <c r="F290" s="49"/>
      <c r="G290" s="50">
        <f t="shared" si="82"/>
        <v>0</v>
      </c>
      <c r="H290" s="50">
        <f t="shared" si="83"/>
        <v>0</v>
      </c>
      <c r="I290" s="50">
        <f t="shared" si="84"/>
        <v>0</v>
      </c>
      <c r="J290" s="50"/>
      <c r="K290" s="49" t="s">
        <v>136</v>
      </c>
      <c r="L290" s="64"/>
      <c r="M290" s="49"/>
      <c r="N290" s="49"/>
      <c r="O290" s="65" t="s">
        <v>442</v>
      </c>
      <c r="P290" s="49" t="str">
        <f t="shared" si="85"/>
        <v>26/11/2024</v>
      </c>
      <c r="Q290" s="68">
        <f t="shared" si="86"/>
        <v>0</v>
      </c>
      <c r="R290" s="68">
        <f t="shared" si="87"/>
        <v>6</v>
      </c>
      <c r="S290" s="68">
        <f t="shared" si="88"/>
        <v>25</v>
      </c>
      <c r="T290" s="65"/>
      <c r="U290" s="65"/>
      <c r="V290" s="49"/>
      <c r="W290" s="68"/>
      <c r="X290" s="68"/>
      <c r="Y290" s="68"/>
      <c r="Z290" s="49"/>
      <c r="AA290" s="65"/>
      <c r="AB290" s="50"/>
      <c r="AC290" s="68"/>
      <c r="AD290" s="68"/>
      <c r="AE290" s="68"/>
      <c r="AF290" s="50"/>
      <c r="AG290" s="50"/>
      <c r="AH290" s="49" t="str">
        <f>IF(AG290="นิติศาสตร์","K5-LAW","K5-POLICY")</f>
        <v>K5-POLICY</v>
      </c>
      <c r="AI290" s="72" t="str">
        <f>_xlfn.IFS(B290="","",AND(AH290="K5-LAW",AG290="นิติศาสตร์",K290="S2",T290="",Z290=""),P290,AND(AH290="K5-LAW",AG290="นิติศาสตร์",K290="S1",T290="",Z290=""),EDATE(P290,12),AND(AH290="K5-LAW",AG290="นิติศาสตร์",OR(K290="M2",K290="K4"),T290="",Z290=""),EDATE(P290,12*2),AND(AH290="K5-LAW",AG290="นิติศาสตร์",OR(Z290="M2",Z290="K4"),AC290&gt;=2,OR(AB290&lt;V290,AB290&lt;P290)),EDATE(AB290,12*2),AND(AH290="K5-LAW",AG290="นิติศาสตร์",Z290="S1",AC290&gt;=1,OR(AB290&lt;V290,AB290&lt;P290)),EDATE(AB290,12),AND(AH290="K5-LAW",AG290="นิติศาสตร์",OR(T290="M2",T290="K4"),W290&gt;=2,V290&lt;P290),EDATE(V290,12*2),AND(AH290="K5-LAW",AG290="นิติศาสตร์",T290="S1",W290&gt;=1,V290&lt;P290),EDATE(V290,12),AND(AH290="K5-LAW",AG290="นิติศาสตร์",OR(T290="S2",T290="K5")),V290,AND(AH290="K5-LAW",AG290="นิติศาสตร์",OR(K290="M2",K290="K4"),Q290&gt;=2),EDATE(P290,12*2),AND(AH290="K5-LAW",AG290="นิติศาสตร์",K290="S1",Q290&gt;=1),EDATE(P290,12),AND(AH290="K5-LAW",AG290="นิติศาสตร์",OR(K290="S2",K290="K5")),P290,AND(AH290="K5-POLICY",AG290&lt;&gt;"นิติศาสตร์",K290="S2",T290="",Z290=""),P290,AND(AH290="K5-POLICY",AG290&lt;&gt;"นิติศาสตร์",K290="S1",T290="",Z290=""),EDATE(P290,12),AND(AH290="K5-POLICY",AG290&lt;&gt;"นิติศาสตร์",OR(K290="M2",K290="K4"),T290="",Z290=""),EDATE(P290,12*2),AND(AH290="K5-POLICY",AG290&lt;&gt;"นิติศาสตร์",OR(Z290="M2",Z290="K4"),AC290&gt;=2,OR(AB290&lt;V290,AB290&lt;P290)),EDATE(AB290,12*2),AND(AH290="K5-POLICY",AG290&lt;&gt;"นิติศาสตร์",Z290="S1",AC290&gt;=1,OR(AB290&lt;V290,AB290&lt;P290)),EDATE(AB290,12),AND(AH290="K5-POLICY",AG290&lt;&gt;"นิติศาสตร์",OR(T290="M2",T290="K4"),W290&gt;=2,V290&lt;P290),EDATE(V290,12*2),AND(AH290="K5-POLICY",AG290&lt;&gt;"นิติศาสตร์",T290="S1",W290&gt;=1,V290&lt;P290),EDATE(V290,12),AND(AH290="K5-POLICY",AG290&lt;&gt;"นิติศาสตร์",OR(T290="S2",T290="K5")),V290,AND(AH290="K5-POLICY",AG290&lt;&gt;"นิติศาสตร์",OR(K290="M2",K290="K4"),Q290&gt;=2),EDATE(P290,12*2),AND(AH290="K5-POLICY",AG290&lt;&gt;"นิติศาสตร์",K290="S1",Q290&gt;=1),EDATE(P290,12),AND(AH290="K5-POLICY",AG290&lt;&gt;"นิติศาสตร์",OR(K290="S2",K290="K5")),P290,TRUE,"Check Data")</f>
        <v/>
      </c>
      <c r="AJ290" s="75" t="str">
        <f t="shared" si="89"/>
        <v>Check Data</v>
      </c>
      <c r="AK290" s="76" t="str">
        <f t="shared" si="90"/>
        <v>Check Data</v>
      </c>
      <c r="AL290" s="50" t="str">
        <f t="shared" si="91"/>
        <v>Check Data</v>
      </c>
      <c r="AM290" s="49" t="str">
        <f>IF(B290="","",IF(K290="S1","S1",INDEX(#REF!,#REF!)))</f>
        <v/>
      </c>
      <c r="AN290" s="49" t="str">
        <f>K290</f>
        <v>M2</v>
      </c>
      <c r="AO290" s="50" t="b">
        <f>K290=AM290</f>
        <v>0</v>
      </c>
      <c r="AP290" s="50"/>
    </row>
    <row r="291" spans="1:42" ht="21.75">
      <c r="A291" s="49">
        <v>289</v>
      </c>
      <c r="B291" s="50"/>
      <c r="C291" s="52"/>
      <c r="D291" s="50"/>
      <c r="E291" s="49"/>
      <c r="F291" s="49"/>
      <c r="G291" s="50">
        <f t="shared" si="82"/>
        <v>0</v>
      </c>
      <c r="H291" s="50">
        <f t="shared" si="83"/>
        <v>0</v>
      </c>
      <c r="I291" s="50">
        <f t="shared" si="84"/>
        <v>0</v>
      </c>
      <c r="J291" s="50"/>
      <c r="K291" s="49" t="s">
        <v>136</v>
      </c>
      <c r="L291" s="64"/>
      <c r="M291" s="49"/>
      <c r="N291" s="49"/>
      <c r="O291" s="65" t="s">
        <v>442</v>
      </c>
      <c r="P291" s="49" t="str">
        <f t="shared" si="85"/>
        <v>26/11/2024</v>
      </c>
      <c r="Q291" s="68">
        <f t="shared" si="86"/>
        <v>0</v>
      </c>
      <c r="R291" s="68">
        <f t="shared" si="87"/>
        <v>6</v>
      </c>
      <c r="S291" s="68">
        <f t="shared" si="88"/>
        <v>25</v>
      </c>
      <c r="T291" s="65"/>
      <c r="U291" s="65"/>
      <c r="V291" s="49"/>
      <c r="W291" s="68"/>
      <c r="X291" s="68"/>
      <c r="Y291" s="68"/>
      <c r="Z291" s="49"/>
      <c r="AA291" s="65"/>
      <c r="AB291" s="50"/>
      <c r="AC291" s="68"/>
      <c r="AD291" s="68"/>
      <c r="AE291" s="68"/>
      <c r="AF291" s="50"/>
      <c r="AG291" s="50"/>
      <c r="AH291" s="49" t="str">
        <f>IF(AG291="นิติศาสตร์","K5-LAW","K5-POLICY")</f>
        <v>K5-POLICY</v>
      </c>
      <c r="AI291" s="72" t="str">
        <f>_xlfn.IFS(B291="","",AND(AH291="K5-LAW",AG291="นิติศาสตร์",K291="S2",T291="",Z291=""),P291,AND(AH291="K5-LAW",AG291="นิติศาสตร์",K291="S1",T291="",Z291=""),EDATE(P291,12),AND(AH291="K5-LAW",AG291="นิติศาสตร์",OR(K291="M2",K291="K4"),T291="",Z291=""),EDATE(P291,12*2),AND(AH291="K5-LAW",AG291="นิติศาสตร์",OR(Z291="M2",Z291="K4"),AC291&gt;=2,OR(AB291&lt;V291,AB291&lt;P291)),EDATE(AB291,12*2),AND(AH291="K5-LAW",AG291="นิติศาสตร์",Z291="S1",AC291&gt;=1,OR(AB291&lt;V291,AB291&lt;P291)),EDATE(AB291,12),AND(AH291="K5-LAW",AG291="นิติศาสตร์",OR(T291="M2",T291="K4"),W291&gt;=2,V291&lt;P291),EDATE(V291,12*2),AND(AH291="K5-LAW",AG291="นิติศาสตร์",T291="S1",W291&gt;=1,V291&lt;P291),EDATE(V291,12),AND(AH291="K5-LAW",AG291="นิติศาสตร์",OR(T291="S2",T291="K5")),V291,AND(AH291="K5-LAW",AG291="นิติศาสตร์",OR(K291="M2",K291="K4"),Q291&gt;=2),EDATE(P291,12*2),AND(AH291="K5-LAW",AG291="นิติศาสตร์",K291="S1",Q291&gt;=1),EDATE(P291,12),AND(AH291="K5-LAW",AG291="นิติศาสตร์",OR(K291="S2",K291="K5")),P291,AND(AH291="K5-POLICY",AG291&lt;&gt;"นิติศาสตร์",K291="S2",T291="",Z291=""),P291,AND(AH291="K5-POLICY",AG291&lt;&gt;"นิติศาสตร์",K291="S1",T291="",Z291=""),EDATE(P291,12),AND(AH291="K5-POLICY",AG291&lt;&gt;"นิติศาสตร์",OR(K291="M2",K291="K4"),T291="",Z291=""),EDATE(P291,12*2),AND(AH291="K5-POLICY",AG291&lt;&gt;"นิติศาสตร์",OR(Z291="M2",Z291="K4"),AC291&gt;=2,OR(AB291&lt;V291,AB291&lt;P291)),EDATE(AB291,12*2),AND(AH291="K5-POLICY",AG291&lt;&gt;"นิติศาสตร์",Z291="S1",AC291&gt;=1,OR(AB291&lt;V291,AB291&lt;P291)),EDATE(AB291,12),AND(AH291="K5-POLICY",AG291&lt;&gt;"นิติศาสตร์",OR(T291="M2",T291="K4"),W291&gt;=2,V291&lt;P291),EDATE(V291,12*2),AND(AH291="K5-POLICY",AG291&lt;&gt;"นิติศาสตร์",T291="S1",W291&gt;=1,V291&lt;P291),EDATE(V291,12),AND(AH291="K5-POLICY",AG291&lt;&gt;"นิติศาสตร์",OR(T291="S2",T291="K5")),V291,AND(AH291="K5-POLICY",AG291&lt;&gt;"นิติศาสตร์",OR(K291="M2",K291="K4"),Q291&gt;=2),EDATE(P291,12*2),AND(AH291="K5-POLICY",AG291&lt;&gt;"นิติศาสตร์",K291="S1",Q291&gt;=1),EDATE(P291,12),AND(AH291="K5-POLICY",AG291&lt;&gt;"นิติศาสตร์",OR(K291="S2",K291="K5")),P291,TRUE,"Check Data")</f>
        <v/>
      </c>
      <c r="AJ291" s="75" t="str">
        <f t="shared" si="89"/>
        <v>Check Data</v>
      </c>
      <c r="AK291" s="76" t="str">
        <f t="shared" si="90"/>
        <v>Check Data</v>
      </c>
      <c r="AL291" s="50" t="str">
        <f t="shared" si="91"/>
        <v>Check Data</v>
      </c>
      <c r="AM291" s="49" t="str">
        <f>IF(B291="","",IF(K291="S1","S1",INDEX(#REF!,#REF!)))</f>
        <v/>
      </c>
      <c r="AN291" s="49" t="str">
        <f>K291</f>
        <v>M2</v>
      </c>
      <c r="AO291" s="50" t="b">
        <f>K291=AM291</f>
        <v>0</v>
      </c>
      <c r="AP291" s="50"/>
    </row>
    <row r="292" spans="1:42" ht="21.75">
      <c r="A292" s="49">
        <v>290</v>
      </c>
      <c r="B292" s="50"/>
      <c r="C292" s="52"/>
      <c r="D292" s="50"/>
      <c r="E292" s="49"/>
      <c r="F292" s="49"/>
      <c r="G292" s="50">
        <f t="shared" si="82"/>
        <v>0</v>
      </c>
      <c r="H292" s="50">
        <f t="shared" si="83"/>
        <v>0</v>
      </c>
      <c r="I292" s="50">
        <f t="shared" si="84"/>
        <v>0</v>
      </c>
      <c r="J292" s="50"/>
      <c r="K292" s="49" t="s">
        <v>136</v>
      </c>
      <c r="L292" s="64"/>
      <c r="M292" s="49"/>
      <c r="N292" s="49"/>
      <c r="O292" s="65" t="s">
        <v>442</v>
      </c>
      <c r="P292" s="49" t="str">
        <f t="shared" si="85"/>
        <v>26/11/2024</v>
      </c>
      <c r="Q292" s="68">
        <f t="shared" si="86"/>
        <v>0</v>
      </c>
      <c r="R292" s="68">
        <f t="shared" si="87"/>
        <v>6</v>
      </c>
      <c r="S292" s="68">
        <f t="shared" si="88"/>
        <v>25</v>
      </c>
      <c r="T292" s="65"/>
      <c r="U292" s="65"/>
      <c r="V292" s="49"/>
      <c r="W292" s="68"/>
      <c r="X292" s="68"/>
      <c r="Y292" s="68"/>
      <c r="Z292" s="49"/>
      <c r="AA292" s="65"/>
      <c r="AB292" s="50"/>
      <c r="AC292" s="68"/>
      <c r="AD292" s="68"/>
      <c r="AE292" s="68"/>
      <c r="AF292" s="50"/>
      <c r="AG292" s="50"/>
      <c r="AH292" s="49" t="str">
        <f>IF(AG292="นิติศาสตร์","K5-LAW","K5-POLICY")</f>
        <v>K5-POLICY</v>
      </c>
      <c r="AI292" s="72" t="str">
        <f>_xlfn.IFS(B292="","",AND(AH292="K5-LAW",AG292="นิติศาสตร์",K292="S2",T292="",Z292=""),P292,AND(AH292="K5-LAW",AG292="นิติศาสตร์",K292="S1",T292="",Z292=""),EDATE(P292,12),AND(AH292="K5-LAW",AG292="นิติศาสตร์",OR(K292="M2",K292="K4"),T292="",Z292=""),EDATE(P292,12*2),AND(AH292="K5-LAW",AG292="นิติศาสตร์",OR(Z292="M2",Z292="K4"),AC292&gt;=2,OR(AB292&lt;V292,AB292&lt;P292)),EDATE(AB292,12*2),AND(AH292="K5-LAW",AG292="นิติศาสตร์",Z292="S1",AC292&gt;=1,OR(AB292&lt;V292,AB292&lt;P292)),EDATE(AB292,12),AND(AH292="K5-LAW",AG292="นิติศาสตร์",OR(T292="M2",T292="K4"),W292&gt;=2,V292&lt;P292),EDATE(V292,12*2),AND(AH292="K5-LAW",AG292="นิติศาสตร์",T292="S1",W292&gt;=1,V292&lt;P292),EDATE(V292,12),AND(AH292="K5-LAW",AG292="นิติศาสตร์",OR(T292="S2",T292="K5")),V292,AND(AH292="K5-LAW",AG292="นิติศาสตร์",OR(K292="M2",K292="K4"),Q292&gt;=2),EDATE(P292,12*2),AND(AH292="K5-LAW",AG292="นิติศาสตร์",K292="S1",Q292&gt;=1),EDATE(P292,12),AND(AH292="K5-LAW",AG292="นิติศาสตร์",OR(K292="S2",K292="K5")),P292,AND(AH292="K5-POLICY",AG292&lt;&gt;"นิติศาสตร์",K292="S2",T292="",Z292=""),P292,AND(AH292="K5-POLICY",AG292&lt;&gt;"นิติศาสตร์",K292="S1",T292="",Z292=""),EDATE(P292,12),AND(AH292="K5-POLICY",AG292&lt;&gt;"นิติศาสตร์",OR(K292="M2",K292="K4"),T292="",Z292=""),EDATE(P292,12*2),AND(AH292="K5-POLICY",AG292&lt;&gt;"นิติศาสตร์",OR(Z292="M2",Z292="K4"),AC292&gt;=2,OR(AB292&lt;V292,AB292&lt;P292)),EDATE(AB292,12*2),AND(AH292="K5-POLICY",AG292&lt;&gt;"นิติศาสตร์",Z292="S1",AC292&gt;=1,OR(AB292&lt;V292,AB292&lt;P292)),EDATE(AB292,12),AND(AH292="K5-POLICY",AG292&lt;&gt;"นิติศาสตร์",OR(T292="M2",T292="K4"),W292&gt;=2,V292&lt;P292),EDATE(V292,12*2),AND(AH292="K5-POLICY",AG292&lt;&gt;"นิติศาสตร์",T292="S1",W292&gt;=1,V292&lt;P292),EDATE(V292,12),AND(AH292="K5-POLICY",AG292&lt;&gt;"นิติศาสตร์",OR(T292="S2",T292="K5")),V292,AND(AH292="K5-POLICY",AG292&lt;&gt;"นิติศาสตร์",OR(K292="M2",K292="K4"),Q292&gt;=2),EDATE(P292,12*2),AND(AH292="K5-POLICY",AG292&lt;&gt;"นิติศาสตร์",K292="S1",Q292&gt;=1),EDATE(P292,12),AND(AH292="K5-POLICY",AG292&lt;&gt;"นิติศาสตร์",OR(K292="S2",K292="K5")),P292,TRUE,"Check Data")</f>
        <v/>
      </c>
      <c r="AJ292" s="75" t="str">
        <f t="shared" si="89"/>
        <v>Check Data</v>
      </c>
      <c r="AK292" s="76" t="str">
        <f t="shared" si="90"/>
        <v>Check Data</v>
      </c>
      <c r="AL292" s="50" t="str">
        <f t="shared" si="91"/>
        <v>Check Data</v>
      </c>
      <c r="AM292" s="49" t="str">
        <f>IF(B292="","",IF(K292="S1","S1",INDEX(#REF!,#REF!)))</f>
        <v/>
      </c>
      <c r="AN292" s="49" t="str">
        <f>K292</f>
        <v>M2</v>
      </c>
      <c r="AO292" s="50" t="b">
        <f>K292=AM292</f>
        <v>0</v>
      </c>
      <c r="AP292" s="50"/>
    </row>
    <row r="293" spans="1:42" ht="21.75">
      <c r="A293" s="49">
        <v>291</v>
      </c>
      <c r="B293" s="50"/>
      <c r="C293" s="52"/>
      <c r="D293" s="50"/>
      <c r="E293" s="49"/>
      <c r="F293" s="49"/>
      <c r="G293" s="50">
        <f t="shared" si="82"/>
        <v>0</v>
      </c>
      <c r="H293" s="50">
        <f t="shared" si="83"/>
        <v>0</v>
      </c>
      <c r="I293" s="50">
        <f t="shared" si="84"/>
        <v>0</v>
      </c>
      <c r="J293" s="50"/>
      <c r="K293" s="49" t="s">
        <v>136</v>
      </c>
      <c r="L293" s="64"/>
      <c r="M293" s="49"/>
      <c r="N293" s="49"/>
      <c r="O293" s="65" t="s">
        <v>442</v>
      </c>
      <c r="P293" s="49" t="str">
        <f t="shared" si="85"/>
        <v>26/11/2024</v>
      </c>
      <c r="Q293" s="68">
        <f t="shared" si="86"/>
        <v>0</v>
      </c>
      <c r="R293" s="68">
        <f t="shared" si="87"/>
        <v>6</v>
      </c>
      <c r="S293" s="68">
        <f t="shared" si="88"/>
        <v>25</v>
      </c>
      <c r="T293" s="65"/>
      <c r="U293" s="65"/>
      <c r="V293" s="49"/>
      <c r="W293" s="68"/>
      <c r="X293" s="68"/>
      <c r="Y293" s="68"/>
      <c r="Z293" s="49"/>
      <c r="AA293" s="65"/>
      <c r="AB293" s="50"/>
      <c r="AC293" s="68"/>
      <c r="AD293" s="68"/>
      <c r="AE293" s="68"/>
      <c r="AF293" s="50"/>
      <c r="AG293" s="50"/>
      <c r="AH293" s="49" t="str">
        <f>IF(AG293="นิติศาสตร์","K5-LAW","K5-POLICY")</f>
        <v>K5-POLICY</v>
      </c>
      <c r="AI293" s="72" t="str">
        <f>_xlfn.IFS(B293="","",AND(AH293="K5-LAW",AG293="นิติศาสตร์",K293="S2",T293="",Z293=""),P293,AND(AH293="K5-LAW",AG293="นิติศาสตร์",K293="S1",T293="",Z293=""),EDATE(P293,12),AND(AH293="K5-LAW",AG293="นิติศาสตร์",OR(K293="M2",K293="K4"),T293="",Z293=""),EDATE(P293,12*2),AND(AH293="K5-LAW",AG293="นิติศาสตร์",OR(Z293="M2",Z293="K4"),AC293&gt;=2,OR(AB293&lt;V293,AB293&lt;P293)),EDATE(AB293,12*2),AND(AH293="K5-LAW",AG293="นิติศาสตร์",Z293="S1",AC293&gt;=1,OR(AB293&lt;V293,AB293&lt;P293)),EDATE(AB293,12),AND(AH293="K5-LAW",AG293="นิติศาสตร์",OR(T293="M2",T293="K4"),W293&gt;=2,V293&lt;P293),EDATE(V293,12*2),AND(AH293="K5-LAW",AG293="นิติศาสตร์",T293="S1",W293&gt;=1,V293&lt;P293),EDATE(V293,12),AND(AH293="K5-LAW",AG293="นิติศาสตร์",OR(T293="S2",T293="K5")),V293,AND(AH293="K5-LAW",AG293="นิติศาสตร์",OR(K293="M2",K293="K4"),Q293&gt;=2),EDATE(P293,12*2),AND(AH293="K5-LAW",AG293="นิติศาสตร์",K293="S1",Q293&gt;=1),EDATE(P293,12),AND(AH293="K5-LAW",AG293="นิติศาสตร์",OR(K293="S2",K293="K5")),P293,AND(AH293="K5-POLICY",AG293&lt;&gt;"นิติศาสตร์",K293="S2",T293="",Z293=""),P293,AND(AH293="K5-POLICY",AG293&lt;&gt;"นิติศาสตร์",K293="S1",T293="",Z293=""),EDATE(P293,12),AND(AH293="K5-POLICY",AG293&lt;&gt;"นิติศาสตร์",OR(K293="M2",K293="K4"),T293="",Z293=""),EDATE(P293,12*2),AND(AH293="K5-POLICY",AG293&lt;&gt;"นิติศาสตร์",OR(Z293="M2",Z293="K4"),AC293&gt;=2,OR(AB293&lt;V293,AB293&lt;P293)),EDATE(AB293,12*2),AND(AH293="K5-POLICY",AG293&lt;&gt;"นิติศาสตร์",Z293="S1",AC293&gt;=1,OR(AB293&lt;V293,AB293&lt;P293)),EDATE(AB293,12),AND(AH293="K5-POLICY",AG293&lt;&gt;"นิติศาสตร์",OR(T293="M2",T293="K4"),W293&gt;=2,V293&lt;P293),EDATE(V293,12*2),AND(AH293="K5-POLICY",AG293&lt;&gt;"นิติศาสตร์",T293="S1",W293&gt;=1,V293&lt;P293),EDATE(V293,12),AND(AH293="K5-POLICY",AG293&lt;&gt;"นิติศาสตร์",OR(T293="S2",T293="K5")),V293,AND(AH293="K5-POLICY",AG293&lt;&gt;"นิติศาสตร์",OR(K293="M2",K293="K4"),Q293&gt;=2),EDATE(P293,12*2),AND(AH293="K5-POLICY",AG293&lt;&gt;"นิติศาสตร์",K293="S1",Q293&gt;=1),EDATE(P293,12),AND(AH293="K5-POLICY",AG293&lt;&gt;"นิติศาสตร์",OR(K293="S2",K293="K5")),P293,TRUE,"Check Data")</f>
        <v/>
      </c>
      <c r="AJ293" s="75" t="str">
        <f t="shared" si="89"/>
        <v>Check Data</v>
      </c>
      <c r="AK293" s="76" t="str">
        <f t="shared" si="90"/>
        <v>Check Data</v>
      </c>
      <c r="AL293" s="50" t="str">
        <f t="shared" si="91"/>
        <v>Check Data</v>
      </c>
      <c r="AM293" s="49" t="str">
        <f>IF(B293="","",IF(K293="S1","S1",INDEX(#REF!,#REF!)))</f>
        <v/>
      </c>
      <c r="AN293" s="49" t="str">
        <f>K293</f>
        <v>M2</v>
      </c>
      <c r="AO293" s="50" t="b">
        <f>K293=AM293</f>
        <v>0</v>
      </c>
      <c r="AP293" s="50"/>
    </row>
    <row r="294" spans="1:42" ht="21.75">
      <c r="A294" s="49">
        <v>292</v>
      </c>
      <c r="B294" s="50"/>
      <c r="C294" s="52"/>
      <c r="D294" s="50"/>
      <c r="E294" s="49"/>
      <c r="F294" s="49"/>
      <c r="G294" s="50">
        <f t="shared" si="82"/>
        <v>0</v>
      </c>
      <c r="H294" s="50">
        <f t="shared" si="83"/>
        <v>0</v>
      </c>
      <c r="I294" s="50">
        <f t="shared" si="84"/>
        <v>0</v>
      </c>
      <c r="J294" s="50"/>
      <c r="K294" s="49" t="s">
        <v>136</v>
      </c>
      <c r="L294" s="64"/>
      <c r="M294" s="49"/>
      <c r="N294" s="49"/>
      <c r="O294" s="65" t="s">
        <v>442</v>
      </c>
      <c r="P294" s="49" t="str">
        <f t="shared" si="85"/>
        <v>26/11/2024</v>
      </c>
      <c r="Q294" s="68">
        <f t="shared" si="86"/>
        <v>0</v>
      </c>
      <c r="R294" s="68">
        <f t="shared" si="87"/>
        <v>6</v>
      </c>
      <c r="S294" s="68">
        <f t="shared" si="88"/>
        <v>25</v>
      </c>
      <c r="T294" s="65"/>
      <c r="U294" s="65"/>
      <c r="V294" s="49"/>
      <c r="W294" s="68"/>
      <c r="X294" s="68"/>
      <c r="Y294" s="68"/>
      <c r="Z294" s="49"/>
      <c r="AA294" s="65"/>
      <c r="AB294" s="50"/>
      <c r="AC294" s="68"/>
      <c r="AD294" s="68"/>
      <c r="AE294" s="68"/>
      <c r="AF294" s="50"/>
      <c r="AG294" s="50"/>
      <c r="AH294" s="49" t="str">
        <f>IF(AG294="นิติศาสตร์","K5-LAW","K5-POLICY")</f>
        <v>K5-POLICY</v>
      </c>
      <c r="AI294" s="72" t="str">
        <f>_xlfn.IFS(B294="","",AND(AH294="K5-LAW",AG294="นิติศาสตร์",K294="S2",T294="",Z294=""),P294,AND(AH294="K5-LAW",AG294="นิติศาสตร์",K294="S1",T294="",Z294=""),EDATE(P294,12),AND(AH294="K5-LAW",AG294="นิติศาสตร์",OR(K294="M2",K294="K4"),T294="",Z294=""),EDATE(P294,12*2),AND(AH294="K5-LAW",AG294="นิติศาสตร์",OR(Z294="M2",Z294="K4"),AC294&gt;=2,OR(AB294&lt;V294,AB294&lt;P294)),EDATE(AB294,12*2),AND(AH294="K5-LAW",AG294="นิติศาสตร์",Z294="S1",AC294&gt;=1,OR(AB294&lt;V294,AB294&lt;P294)),EDATE(AB294,12),AND(AH294="K5-LAW",AG294="นิติศาสตร์",OR(T294="M2",T294="K4"),W294&gt;=2,V294&lt;P294),EDATE(V294,12*2),AND(AH294="K5-LAW",AG294="นิติศาสตร์",T294="S1",W294&gt;=1,V294&lt;P294),EDATE(V294,12),AND(AH294="K5-LAW",AG294="นิติศาสตร์",OR(T294="S2",T294="K5")),V294,AND(AH294="K5-LAW",AG294="นิติศาสตร์",OR(K294="M2",K294="K4"),Q294&gt;=2),EDATE(P294,12*2),AND(AH294="K5-LAW",AG294="นิติศาสตร์",K294="S1",Q294&gt;=1),EDATE(P294,12),AND(AH294="K5-LAW",AG294="นิติศาสตร์",OR(K294="S2",K294="K5")),P294,AND(AH294="K5-POLICY",AG294&lt;&gt;"นิติศาสตร์",K294="S2",T294="",Z294=""),P294,AND(AH294="K5-POLICY",AG294&lt;&gt;"นิติศาสตร์",K294="S1",T294="",Z294=""),EDATE(P294,12),AND(AH294="K5-POLICY",AG294&lt;&gt;"นิติศาสตร์",OR(K294="M2",K294="K4"),T294="",Z294=""),EDATE(P294,12*2),AND(AH294="K5-POLICY",AG294&lt;&gt;"นิติศาสตร์",OR(Z294="M2",Z294="K4"),AC294&gt;=2,OR(AB294&lt;V294,AB294&lt;P294)),EDATE(AB294,12*2),AND(AH294="K5-POLICY",AG294&lt;&gt;"นิติศาสตร์",Z294="S1",AC294&gt;=1,OR(AB294&lt;V294,AB294&lt;P294)),EDATE(AB294,12),AND(AH294="K5-POLICY",AG294&lt;&gt;"นิติศาสตร์",OR(T294="M2",T294="K4"),W294&gt;=2,V294&lt;P294),EDATE(V294,12*2),AND(AH294="K5-POLICY",AG294&lt;&gt;"นิติศาสตร์",T294="S1",W294&gt;=1,V294&lt;P294),EDATE(V294,12),AND(AH294="K5-POLICY",AG294&lt;&gt;"นิติศาสตร์",OR(T294="S2",T294="K5")),V294,AND(AH294="K5-POLICY",AG294&lt;&gt;"นิติศาสตร์",OR(K294="M2",K294="K4"),Q294&gt;=2),EDATE(P294,12*2),AND(AH294="K5-POLICY",AG294&lt;&gt;"นิติศาสตร์",K294="S1",Q294&gt;=1),EDATE(P294,12),AND(AH294="K5-POLICY",AG294&lt;&gt;"นิติศาสตร์",OR(K294="S2",K294="K5")),P294,TRUE,"Check Data")</f>
        <v/>
      </c>
      <c r="AJ294" s="75" t="str">
        <f t="shared" si="89"/>
        <v>Check Data</v>
      </c>
      <c r="AK294" s="76" t="str">
        <f t="shared" si="90"/>
        <v>Check Data</v>
      </c>
      <c r="AL294" s="50" t="str">
        <f t="shared" si="91"/>
        <v>Check Data</v>
      </c>
      <c r="AM294" s="49" t="str">
        <f>IF(B294="","",IF(K294="S1","S1",INDEX(#REF!,#REF!)))</f>
        <v/>
      </c>
      <c r="AN294" s="49" t="str">
        <f>K294</f>
        <v>M2</v>
      </c>
      <c r="AO294" s="50" t="b">
        <f>K294=AM294</f>
        <v>0</v>
      </c>
      <c r="AP294" s="50"/>
    </row>
    <row r="295" spans="1:42" ht="21.75">
      <c r="A295" s="49">
        <v>293</v>
      </c>
      <c r="B295" s="50"/>
      <c r="C295" s="52"/>
      <c r="D295" s="50"/>
      <c r="E295" s="49"/>
      <c r="F295" s="49"/>
      <c r="G295" s="50">
        <f t="shared" si="82"/>
        <v>0</v>
      </c>
      <c r="H295" s="50">
        <f t="shared" si="83"/>
        <v>0</v>
      </c>
      <c r="I295" s="50">
        <f t="shared" si="84"/>
        <v>0</v>
      </c>
      <c r="J295" s="50"/>
      <c r="K295" s="49" t="s">
        <v>136</v>
      </c>
      <c r="L295" s="64"/>
      <c r="M295" s="49"/>
      <c r="N295" s="49"/>
      <c r="O295" s="65" t="s">
        <v>442</v>
      </c>
      <c r="P295" s="49" t="str">
        <f t="shared" si="85"/>
        <v>26/11/2024</v>
      </c>
      <c r="Q295" s="68">
        <f t="shared" si="86"/>
        <v>0</v>
      </c>
      <c r="R295" s="68">
        <f t="shared" si="87"/>
        <v>6</v>
      </c>
      <c r="S295" s="68">
        <f t="shared" si="88"/>
        <v>25</v>
      </c>
      <c r="T295" s="65"/>
      <c r="U295" s="65"/>
      <c r="V295" s="49"/>
      <c r="W295" s="68"/>
      <c r="X295" s="68"/>
      <c r="Y295" s="68"/>
      <c r="Z295" s="49"/>
      <c r="AA295" s="65"/>
      <c r="AB295" s="50"/>
      <c r="AC295" s="68"/>
      <c r="AD295" s="68"/>
      <c r="AE295" s="68"/>
      <c r="AF295" s="50"/>
      <c r="AG295" s="50"/>
      <c r="AH295" s="49" t="str">
        <f>IF(AG295="นิติศาสตร์","K5-LAW","K5-POLICY")</f>
        <v>K5-POLICY</v>
      </c>
      <c r="AI295" s="72" t="str">
        <f>_xlfn.IFS(B295="","",AND(AH295="K5-LAW",AG295="นิติศาสตร์",K295="S2",T295="",Z295=""),P295,AND(AH295="K5-LAW",AG295="นิติศาสตร์",K295="S1",T295="",Z295=""),EDATE(P295,12),AND(AH295="K5-LAW",AG295="นิติศาสตร์",OR(K295="M2",K295="K4"),T295="",Z295=""),EDATE(P295,12*2),AND(AH295="K5-LAW",AG295="นิติศาสตร์",OR(Z295="M2",Z295="K4"),AC295&gt;=2,OR(AB295&lt;V295,AB295&lt;P295)),EDATE(AB295,12*2),AND(AH295="K5-LAW",AG295="นิติศาสตร์",Z295="S1",AC295&gt;=1,OR(AB295&lt;V295,AB295&lt;P295)),EDATE(AB295,12),AND(AH295="K5-LAW",AG295="นิติศาสตร์",OR(T295="M2",T295="K4"),W295&gt;=2,V295&lt;P295),EDATE(V295,12*2),AND(AH295="K5-LAW",AG295="นิติศาสตร์",T295="S1",W295&gt;=1,V295&lt;P295),EDATE(V295,12),AND(AH295="K5-LAW",AG295="นิติศาสตร์",OR(T295="S2",T295="K5")),V295,AND(AH295="K5-LAW",AG295="นิติศาสตร์",OR(K295="M2",K295="K4"),Q295&gt;=2),EDATE(P295,12*2),AND(AH295="K5-LAW",AG295="นิติศาสตร์",K295="S1",Q295&gt;=1),EDATE(P295,12),AND(AH295="K5-LAW",AG295="นิติศาสตร์",OR(K295="S2",K295="K5")),P295,AND(AH295="K5-POLICY",AG295&lt;&gt;"นิติศาสตร์",K295="S2",T295="",Z295=""),P295,AND(AH295="K5-POLICY",AG295&lt;&gt;"นิติศาสตร์",K295="S1",T295="",Z295=""),EDATE(P295,12),AND(AH295="K5-POLICY",AG295&lt;&gt;"นิติศาสตร์",OR(K295="M2",K295="K4"),T295="",Z295=""),EDATE(P295,12*2),AND(AH295="K5-POLICY",AG295&lt;&gt;"นิติศาสตร์",OR(Z295="M2",Z295="K4"),AC295&gt;=2,OR(AB295&lt;V295,AB295&lt;P295)),EDATE(AB295,12*2),AND(AH295="K5-POLICY",AG295&lt;&gt;"นิติศาสตร์",Z295="S1",AC295&gt;=1,OR(AB295&lt;V295,AB295&lt;P295)),EDATE(AB295,12),AND(AH295="K5-POLICY",AG295&lt;&gt;"นิติศาสตร์",OR(T295="M2",T295="K4"),W295&gt;=2,V295&lt;P295),EDATE(V295,12*2),AND(AH295="K5-POLICY",AG295&lt;&gt;"นิติศาสตร์",T295="S1",W295&gt;=1,V295&lt;P295),EDATE(V295,12),AND(AH295="K5-POLICY",AG295&lt;&gt;"นิติศาสตร์",OR(T295="S2",T295="K5")),V295,AND(AH295="K5-POLICY",AG295&lt;&gt;"นิติศาสตร์",OR(K295="M2",K295="K4"),Q295&gt;=2),EDATE(P295,12*2),AND(AH295="K5-POLICY",AG295&lt;&gt;"นิติศาสตร์",K295="S1",Q295&gt;=1),EDATE(P295,12),AND(AH295="K5-POLICY",AG295&lt;&gt;"นิติศาสตร์",OR(K295="S2",K295="K5")),P295,TRUE,"Check Data")</f>
        <v/>
      </c>
      <c r="AJ295" s="75" t="str">
        <f t="shared" si="89"/>
        <v>Check Data</v>
      </c>
      <c r="AK295" s="76" t="str">
        <f t="shared" si="90"/>
        <v>Check Data</v>
      </c>
      <c r="AL295" s="50" t="str">
        <f t="shared" si="91"/>
        <v>Check Data</v>
      </c>
      <c r="AM295" s="49" t="str">
        <f>IF(B295="","",IF(K295="S1","S1",INDEX(#REF!,#REF!)))</f>
        <v/>
      </c>
      <c r="AN295" s="49" t="str">
        <f>K295</f>
        <v>M2</v>
      </c>
      <c r="AO295" s="50" t="b">
        <f>K295=AM295</f>
        <v>0</v>
      </c>
      <c r="AP295" s="50"/>
    </row>
    <row r="296" spans="1:42" ht="21.75">
      <c r="A296" s="49">
        <v>294</v>
      </c>
      <c r="B296" s="50"/>
      <c r="C296" s="52"/>
      <c r="D296" s="50"/>
      <c r="E296" s="49"/>
      <c r="F296" s="49"/>
      <c r="G296" s="50">
        <f t="shared" si="82"/>
        <v>0</v>
      </c>
      <c r="H296" s="50">
        <f t="shared" si="83"/>
        <v>0</v>
      </c>
      <c r="I296" s="50">
        <f t="shared" si="84"/>
        <v>0</v>
      </c>
      <c r="J296" s="50"/>
      <c r="K296" s="49" t="s">
        <v>136</v>
      </c>
      <c r="L296" s="64"/>
      <c r="M296" s="49"/>
      <c r="N296" s="49"/>
      <c r="O296" s="65" t="s">
        <v>442</v>
      </c>
      <c r="P296" s="49" t="str">
        <f t="shared" si="85"/>
        <v>26/11/2024</v>
      </c>
      <c r="Q296" s="68">
        <f t="shared" si="86"/>
        <v>0</v>
      </c>
      <c r="R296" s="68">
        <f t="shared" si="87"/>
        <v>6</v>
      </c>
      <c r="S296" s="68">
        <f t="shared" si="88"/>
        <v>25</v>
      </c>
      <c r="T296" s="65"/>
      <c r="U296" s="65"/>
      <c r="V296" s="49"/>
      <c r="W296" s="68"/>
      <c r="X296" s="68"/>
      <c r="Y296" s="68"/>
      <c r="Z296" s="49"/>
      <c r="AA296" s="65"/>
      <c r="AB296" s="50"/>
      <c r="AC296" s="68"/>
      <c r="AD296" s="68"/>
      <c r="AE296" s="68"/>
      <c r="AF296" s="50"/>
      <c r="AG296" s="50"/>
      <c r="AH296" s="49" t="str">
        <f>IF(AG296="นิติศาสตร์","K5-LAW","K5-POLICY")</f>
        <v>K5-POLICY</v>
      </c>
      <c r="AI296" s="72" t="str">
        <f>_xlfn.IFS(B296="","",AND(AH296="K5-LAW",AG296="นิติศาสตร์",K296="S2",T296="",Z296=""),P296,AND(AH296="K5-LAW",AG296="นิติศาสตร์",K296="S1",T296="",Z296=""),EDATE(P296,12),AND(AH296="K5-LAW",AG296="นิติศาสตร์",OR(K296="M2",K296="K4"),T296="",Z296=""),EDATE(P296,12*2),AND(AH296="K5-LAW",AG296="นิติศาสตร์",OR(Z296="M2",Z296="K4"),AC296&gt;=2,OR(AB296&lt;V296,AB296&lt;P296)),EDATE(AB296,12*2),AND(AH296="K5-LAW",AG296="นิติศาสตร์",Z296="S1",AC296&gt;=1,OR(AB296&lt;V296,AB296&lt;P296)),EDATE(AB296,12),AND(AH296="K5-LAW",AG296="นิติศาสตร์",OR(T296="M2",T296="K4"),W296&gt;=2,V296&lt;P296),EDATE(V296,12*2),AND(AH296="K5-LAW",AG296="นิติศาสตร์",T296="S1",W296&gt;=1,V296&lt;P296),EDATE(V296,12),AND(AH296="K5-LAW",AG296="นิติศาสตร์",OR(T296="S2",T296="K5")),V296,AND(AH296="K5-LAW",AG296="นิติศาสตร์",OR(K296="M2",K296="K4"),Q296&gt;=2),EDATE(P296,12*2),AND(AH296="K5-LAW",AG296="นิติศาสตร์",K296="S1",Q296&gt;=1),EDATE(P296,12),AND(AH296="K5-LAW",AG296="นิติศาสตร์",OR(K296="S2",K296="K5")),P296,AND(AH296="K5-POLICY",AG296&lt;&gt;"นิติศาสตร์",K296="S2",T296="",Z296=""),P296,AND(AH296="K5-POLICY",AG296&lt;&gt;"นิติศาสตร์",K296="S1",T296="",Z296=""),EDATE(P296,12),AND(AH296="K5-POLICY",AG296&lt;&gt;"นิติศาสตร์",OR(K296="M2",K296="K4"),T296="",Z296=""),EDATE(P296,12*2),AND(AH296="K5-POLICY",AG296&lt;&gt;"นิติศาสตร์",OR(Z296="M2",Z296="K4"),AC296&gt;=2,OR(AB296&lt;V296,AB296&lt;P296)),EDATE(AB296,12*2),AND(AH296="K5-POLICY",AG296&lt;&gt;"นิติศาสตร์",Z296="S1",AC296&gt;=1,OR(AB296&lt;V296,AB296&lt;P296)),EDATE(AB296,12),AND(AH296="K5-POLICY",AG296&lt;&gt;"นิติศาสตร์",OR(T296="M2",T296="K4"),W296&gt;=2,V296&lt;P296),EDATE(V296,12*2),AND(AH296="K5-POLICY",AG296&lt;&gt;"นิติศาสตร์",T296="S1",W296&gt;=1,V296&lt;P296),EDATE(V296,12),AND(AH296="K5-POLICY",AG296&lt;&gt;"นิติศาสตร์",OR(T296="S2",T296="K5")),V296,AND(AH296="K5-POLICY",AG296&lt;&gt;"นิติศาสตร์",OR(K296="M2",K296="K4"),Q296&gt;=2),EDATE(P296,12*2),AND(AH296="K5-POLICY",AG296&lt;&gt;"นิติศาสตร์",K296="S1",Q296&gt;=1),EDATE(P296,12),AND(AH296="K5-POLICY",AG296&lt;&gt;"นิติศาสตร์",OR(K296="S2",K296="K5")),P296,TRUE,"Check Data")</f>
        <v/>
      </c>
      <c r="AJ296" s="75" t="str">
        <f t="shared" si="89"/>
        <v>Check Data</v>
      </c>
      <c r="AK296" s="76" t="str">
        <f t="shared" si="90"/>
        <v>Check Data</v>
      </c>
      <c r="AL296" s="50" t="str">
        <f t="shared" si="91"/>
        <v>Check Data</v>
      </c>
      <c r="AM296" s="49" t="str">
        <f>IF(B296="","",IF(K296="S1","S1",INDEX(#REF!,#REF!)))</f>
        <v/>
      </c>
      <c r="AN296" s="49" t="str">
        <f>K296</f>
        <v>M2</v>
      </c>
      <c r="AO296" s="50" t="b">
        <f>K296=AM296</f>
        <v>0</v>
      </c>
      <c r="AP296" s="50"/>
    </row>
    <row r="297" spans="1:42" ht="21.75">
      <c r="A297" s="49">
        <v>295</v>
      </c>
      <c r="B297" s="50"/>
      <c r="C297" s="52"/>
      <c r="D297" s="50"/>
      <c r="E297" s="49"/>
      <c r="F297" s="49"/>
      <c r="G297" s="50">
        <f t="shared" si="82"/>
        <v>0</v>
      </c>
      <c r="H297" s="50">
        <f t="shared" si="83"/>
        <v>0</v>
      </c>
      <c r="I297" s="50">
        <f t="shared" si="84"/>
        <v>0</v>
      </c>
      <c r="J297" s="50"/>
      <c r="K297" s="49" t="s">
        <v>136</v>
      </c>
      <c r="L297" s="64"/>
      <c r="M297" s="49"/>
      <c r="N297" s="49"/>
      <c r="O297" s="65" t="s">
        <v>442</v>
      </c>
      <c r="P297" s="49" t="str">
        <f t="shared" si="85"/>
        <v>26/11/2024</v>
      </c>
      <c r="Q297" s="68">
        <f t="shared" si="86"/>
        <v>0</v>
      </c>
      <c r="R297" s="68">
        <f t="shared" si="87"/>
        <v>6</v>
      </c>
      <c r="S297" s="68">
        <f t="shared" si="88"/>
        <v>25</v>
      </c>
      <c r="T297" s="65"/>
      <c r="U297" s="65"/>
      <c r="V297" s="49"/>
      <c r="W297" s="68"/>
      <c r="X297" s="68"/>
      <c r="Y297" s="68"/>
      <c r="Z297" s="49"/>
      <c r="AA297" s="65"/>
      <c r="AB297" s="50"/>
      <c r="AC297" s="68"/>
      <c r="AD297" s="68"/>
      <c r="AE297" s="68"/>
      <c r="AF297" s="50"/>
      <c r="AG297" s="50"/>
      <c r="AH297" s="49" t="str">
        <f>IF(AG297="นิติศาสตร์","K5-LAW","K5-POLICY")</f>
        <v>K5-POLICY</v>
      </c>
      <c r="AI297" s="72" t="str">
        <f>_xlfn.IFS(B297="","",AND(AH297="K5-LAW",AG297="นิติศาสตร์",K297="S2",T297="",Z297=""),P297,AND(AH297="K5-LAW",AG297="นิติศาสตร์",K297="S1",T297="",Z297=""),EDATE(P297,12),AND(AH297="K5-LAW",AG297="นิติศาสตร์",OR(K297="M2",K297="K4"),T297="",Z297=""),EDATE(P297,12*2),AND(AH297="K5-LAW",AG297="นิติศาสตร์",OR(Z297="M2",Z297="K4"),AC297&gt;=2,OR(AB297&lt;V297,AB297&lt;P297)),EDATE(AB297,12*2),AND(AH297="K5-LAW",AG297="นิติศาสตร์",Z297="S1",AC297&gt;=1,OR(AB297&lt;V297,AB297&lt;P297)),EDATE(AB297,12),AND(AH297="K5-LAW",AG297="นิติศาสตร์",OR(T297="M2",T297="K4"),W297&gt;=2,V297&lt;P297),EDATE(V297,12*2),AND(AH297="K5-LAW",AG297="นิติศาสตร์",T297="S1",W297&gt;=1,V297&lt;P297),EDATE(V297,12),AND(AH297="K5-LAW",AG297="นิติศาสตร์",OR(T297="S2",T297="K5")),V297,AND(AH297="K5-LAW",AG297="นิติศาสตร์",OR(K297="M2",K297="K4"),Q297&gt;=2),EDATE(P297,12*2),AND(AH297="K5-LAW",AG297="นิติศาสตร์",K297="S1",Q297&gt;=1),EDATE(P297,12),AND(AH297="K5-LAW",AG297="นิติศาสตร์",OR(K297="S2",K297="K5")),P297,AND(AH297="K5-POLICY",AG297&lt;&gt;"นิติศาสตร์",K297="S2",T297="",Z297=""),P297,AND(AH297="K5-POLICY",AG297&lt;&gt;"นิติศาสตร์",K297="S1",T297="",Z297=""),EDATE(P297,12),AND(AH297="K5-POLICY",AG297&lt;&gt;"นิติศาสตร์",OR(K297="M2",K297="K4"),T297="",Z297=""),EDATE(P297,12*2),AND(AH297="K5-POLICY",AG297&lt;&gt;"นิติศาสตร์",OR(Z297="M2",Z297="K4"),AC297&gt;=2,OR(AB297&lt;V297,AB297&lt;P297)),EDATE(AB297,12*2),AND(AH297="K5-POLICY",AG297&lt;&gt;"นิติศาสตร์",Z297="S1",AC297&gt;=1,OR(AB297&lt;V297,AB297&lt;P297)),EDATE(AB297,12),AND(AH297="K5-POLICY",AG297&lt;&gt;"นิติศาสตร์",OR(T297="M2",T297="K4"),W297&gt;=2,V297&lt;P297),EDATE(V297,12*2),AND(AH297="K5-POLICY",AG297&lt;&gt;"นิติศาสตร์",T297="S1",W297&gt;=1,V297&lt;P297),EDATE(V297,12),AND(AH297="K5-POLICY",AG297&lt;&gt;"นิติศาสตร์",OR(T297="S2",T297="K5")),V297,AND(AH297="K5-POLICY",AG297&lt;&gt;"นิติศาสตร์",OR(K297="M2",K297="K4"),Q297&gt;=2),EDATE(P297,12*2),AND(AH297="K5-POLICY",AG297&lt;&gt;"นิติศาสตร์",K297="S1",Q297&gt;=1),EDATE(P297,12),AND(AH297="K5-POLICY",AG297&lt;&gt;"นิติศาสตร์",OR(K297="S2",K297="K5")),P297,TRUE,"Check Data")</f>
        <v/>
      </c>
      <c r="AJ297" s="75" t="str">
        <f t="shared" si="89"/>
        <v>Check Data</v>
      </c>
      <c r="AK297" s="76" t="str">
        <f t="shared" si="90"/>
        <v>Check Data</v>
      </c>
      <c r="AL297" s="50" t="str">
        <f t="shared" si="91"/>
        <v>Check Data</v>
      </c>
      <c r="AM297" s="49" t="str">
        <f>IF(B297="","",IF(K297="S1","S1",INDEX(#REF!,#REF!)))</f>
        <v/>
      </c>
      <c r="AN297" s="49" t="str">
        <f>K297</f>
        <v>M2</v>
      </c>
      <c r="AO297" s="50" t="b">
        <f>K297=AM297</f>
        <v>0</v>
      </c>
      <c r="AP297" s="50"/>
    </row>
    <row r="298" spans="1:42" ht="21.75">
      <c r="A298" s="49">
        <v>296</v>
      </c>
      <c r="B298" s="50"/>
      <c r="C298" s="52"/>
      <c r="D298" s="50"/>
      <c r="E298" s="49"/>
      <c r="F298" s="49"/>
      <c r="G298" s="50">
        <f t="shared" si="82"/>
        <v>0</v>
      </c>
      <c r="H298" s="50">
        <f t="shared" si="83"/>
        <v>0</v>
      </c>
      <c r="I298" s="50">
        <f t="shared" si="84"/>
        <v>0</v>
      </c>
      <c r="J298" s="50"/>
      <c r="K298" s="49" t="s">
        <v>136</v>
      </c>
      <c r="L298" s="64"/>
      <c r="M298" s="49"/>
      <c r="N298" s="49"/>
      <c r="O298" s="65" t="s">
        <v>442</v>
      </c>
      <c r="P298" s="49" t="str">
        <f t="shared" si="85"/>
        <v>26/11/2024</v>
      </c>
      <c r="Q298" s="68">
        <f t="shared" si="86"/>
        <v>0</v>
      </c>
      <c r="R298" s="68">
        <f t="shared" si="87"/>
        <v>6</v>
      </c>
      <c r="S298" s="68">
        <f t="shared" si="88"/>
        <v>25</v>
      </c>
      <c r="T298" s="65"/>
      <c r="U298" s="65"/>
      <c r="V298" s="49"/>
      <c r="W298" s="68"/>
      <c r="X298" s="68"/>
      <c r="Y298" s="68"/>
      <c r="Z298" s="49"/>
      <c r="AA298" s="65"/>
      <c r="AB298" s="50"/>
      <c r="AC298" s="68"/>
      <c r="AD298" s="68"/>
      <c r="AE298" s="68"/>
      <c r="AF298" s="50"/>
      <c r="AG298" s="50"/>
      <c r="AH298" s="49" t="str">
        <f>IF(AG298="นิติศาสตร์","K5-LAW","K5-POLICY")</f>
        <v>K5-POLICY</v>
      </c>
      <c r="AI298" s="72" t="str">
        <f>_xlfn.IFS(B298="","",AND(AH298="K5-LAW",AG298="นิติศาสตร์",K298="S2",T298="",Z298=""),P298,AND(AH298="K5-LAW",AG298="นิติศาสตร์",K298="S1",T298="",Z298=""),EDATE(P298,12),AND(AH298="K5-LAW",AG298="นิติศาสตร์",OR(K298="M2",K298="K4"),T298="",Z298=""),EDATE(P298,12*2),AND(AH298="K5-LAW",AG298="นิติศาสตร์",OR(Z298="M2",Z298="K4"),AC298&gt;=2,OR(AB298&lt;V298,AB298&lt;P298)),EDATE(AB298,12*2),AND(AH298="K5-LAW",AG298="นิติศาสตร์",Z298="S1",AC298&gt;=1,OR(AB298&lt;V298,AB298&lt;P298)),EDATE(AB298,12),AND(AH298="K5-LAW",AG298="นิติศาสตร์",OR(T298="M2",T298="K4"),W298&gt;=2,V298&lt;P298),EDATE(V298,12*2),AND(AH298="K5-LAW",AG298="นิติศาสตร์",T298="S1",W298&gt;=1,V298&lt;P298),EDATE(V298,12),AND(AH298="K5-LAW",AG298="นิติศาสตร์",OR(T298="S2",T298="K5")),V298,AND(AH298="K5-LAW",AG298="นิติศาสตร์",OR(K298="M2",K298="K4"),Q298&gt;=2),EDATE(P298,12*2),AND(AH298="K5-LAW",AG298="นิติศาสตร์",K298="S1",Q298&gt;=1),EDATE(P298,12),AND(AH298="K5-LAW",AG298="นิติศาสตร์",OR(K298="S2",K298="K5")),P298,AND(AH298="K5-POLICY",AG298&lt;&gt;"นิติศาสตร์",K298="S2",T298="",Z298=""),P298,AND(AH298="K5-POLICY",AG298&lt;&gt;"นิติศาสตร์",K298="S1",T298="",Z298=""),EDATE(P298,12),AND(AH298="K5-POLICY",AG298&lt;&gt;"นิติศาสตร์",OR(K298="M2",K298="K4"),T298="",Z298=""),EDATE(P298,12*2),AND(AH298="K5-POLICY",AG298&lt;&gt;"นิติศาสตร์",OR(Z298="M2",Z298="K4"),AC298&gt;=2,OR(AB298&lt;V298,AB298&lt;P298)),EDATE(AB298,12*2),AND(AH298="K5-POLICY",AG298&lt;&gt;"นิติศาสตร์",Z298="S1",AC298&gt;=1,OR(AB298&lt;V298,AB298&lt;P298)),EDATE(AB298,12),AND(AH298="K5-POLICY",AG298&lt;&gt;"นิติศาสตร์",OR(T298="M2",T298="K4"),W298&gt;=2,V298&lt;P298),EDATE(V298,12*2),AND(AH298="K5-POLICY",AG298&lt;&gt;"นิติศาสตร์",T298="S1",W298&gt;=1,V298&lt;P298),EDATE(V298,12),AND(AH298="K5-POLICY",AG298&lt;&gt;"นิติศาสตร์",OR(T298="S2",T298="K5")),V298,AND(AH298="K5-POLICY",AG298&lt;&gt;"นิติศาสตร์",OR(K298="M2",K298="K4"),Q298&gt;=2),EDATE(P298,12*2),AND(AH298="K5-POLICY",AG298&lt;&gt;"นิติศาสตร์",K298="S1",Q298&gt;=1),EDATE(P298,12),AND(AH298="K5-POLICY",AG298&lt;&gt;"นิติศาสตร์",OR(K298="S2",K298="K5")),P298,TRUE,"Check Data")</f>
        <v/>
      </c>
      <c r="AJ298" s="75" t="str">
        <f t="shared" si="89"/>
        <v>Check Data</v>
      </c>
      <c r="AK298" s="76" t="str">
        <f t="shared" si="90"/>
        <v>Check Data</v>
      </c>
      <c r="AL298" s="50" t="str">
        <f t="shared" si="91"/>
        <v>Check Data</v>
      </c>
      <c r="AM298" s="49" t="str">
        <f>IF(B298="","",IF(K298="S1","S1",INDEX(#REF!,#REF!)))</f>
        <v/>
      </c>
      <c r="AN298" s="49" t="str">
        <f>K298</f>
        <v>M2</v>
      </c>
      <c r="AO298" s="50" t="b">
        <f>K298=AM298</f>
        <v>0</v>
      </c>
      <c r="AP298" s="50"/>
    </row>
    <row r="299" spans="1:42" ht="21.75">
      <c r="A299" s="49">
        <v>297</v>
      </c>
      <c r="B299" s="50"/>
      <c r="C299" s="52"/>
      <c r="D299" s="50"/>
      <c r="E299" s="49"/>
      <c r="F299" s="49"/>
      <c r="G299" s="50">
        <f t="shared" si="82"/>
        <v>0</v>
      </c>
      <c r="H299" s="50">
        <f t="shared" si="83"/>
        <v>0</v>
      </c>
      <c r="I299" s="50">
        <f t="shared" si="84"/>
        <v>0</v>
      </c>
      <c r="J299" s="50"/>
      <c r="K299" s="49" t="s">
        <v>136</v>
      </c>
      <c r="L299" s="64"/>
      <c r="M299" s="49"/>
      <c r="N299" s="49"/>
      <c r="O299" s="65" t="s">
        <v>442</v>
      </c>
      <c r="P299" s="49" t="str">
        <f t="shared" si="85"/>
        <v>26/11/2024</v>
      </c>
      <c r="Q299" s="68">
        <f t="shared" si="86"/>
        <v>0</v>
      </c>
      <c r="R299" s="68">
        <f t="shared" si="87"/>
        <v>6</v>
      </c>
      <c r="S299" s="68">
        <f t="shared" si="88"/>
        <v>25</v>
      </c>
      <c r="T299" s="65"/>
      <c r="U299" s="65"/>
      <c r="V299" s="49"/>
      <c r="W299" s="68"/>
      <c r="X299" s="68"/>
      <c r="Y299" s="68"/>
      <c r="Z299" s="49"/>
      <c r="AA299" s="65"/>
      <c r="AB299" s="50"/>
      <c r="AC299" s="68"/>
      <c r="AD299" s="68"/>
      <c r="AE299" s="68"/>
      <c r="AF299" s="50"/>
      <c r="AG299" s="50"/>
      <c r="AH299" s="49" t="str">
        <f>IF(AG299="นิติศาสตร์","K5-LAW","K5-POLICY")</f>
        <v>K5-POLICY</v>
      </c>
      <c r="AI299" s="72" t="str">
        <f>_xlfn.IFS(B299="","",AND(AH299="K5-LAW",AG299="นิติศาสตร์",K299="S2",T299="",Z299=""),P299,AND(AH299="K5-LAW",AG299="นิติศาสตร์",K299="S1",T299="",Z299=""),EDATE(P299,12),AND(AH299="K5-LAW",AG299="นิติศาสตร์",OR(K299="M2",K299="K4"),T299="",Z299=""),EDATE(P299,12*2),AND(AH299="K5-LAW",AG299="นิติศาสตร์",OR(Z299="M2",Z299="K4"),AC299&gt;=2,OR(AB299&lt;V299,AB299&lt;P299)),EDATE(AB299,12*2),AND(AH299="K5-LAW",AG299="นิติศาสตร์",Z299="S1",AC299&gt;=1,OR(AB299&lt;V299,AB299&lt;P299)),EDATE(AB299,12),AND(AH299="K5-LAW",AG299="นิติศาสตร์",OR(T299="M2",T299="K4"),W299&gt;=2,V299&lt;P299),EDATE(V299,12*2),AND(AH299="K5-LAW",AG299="นิติศาสตร์",T299="S1",W299&gt;=1,V299&lt;P299),EDATE(V299,12),AND(AH299="K5-LAW",AG299="นิติศาสตร์",OR(T299="S2",T299="K5")),V299,AND(AH299="K5-LAW",AG299="นิติศาสตร์",OR(K299="M2",K299="K4"),Q299&gt;=2),EDATE(P299,12*2),AND(AH299="K5-LAW",AG299="นิติศาสตร์",K299="S1",Q299&gt;=1),EDATE(P299,12),AND(AH299="K5-LAW",AG299="นิติศาสตร์",OR(K299="S2",K299="K5")),P299,AND(AH299="K5-POLICY",AG299&lt;&gt;"นิติศาสตร์",K299="S2",T299="",Z299=""),P299,AND(AH299="K5-POLICY",AG299&lt;&gt;"นิติศาสตร์",K299="S1",T299="",Z299=""),EDATE(P299,12),AND(AH299="K5-POLICY",AG299&lt;&gt;"นิติศาสตร์",OR(K299="M2",K299="K4"),T299="",Z299=""),EDATE(P299,12*2),AND(AH299="K5-POLICY",AG299&lt;&gt;"นิติศาสตร์",OR(Z299="M2",Z299="K4"),AC299&gt;=2,OR(AB299&lt;V299,AB299&lt;P299)),EDATE(AB299,12*2),AND(AH299="K5-POLICY",AG299&lt;&gt;"นิติศาสตร์",Z299="S1",AC299&gt;=1,OR(AB299&lt;V299,AB299&lt;P299)),EDATE(AB299,12),AND(AH299="K5-POLICY",AG299&lt;&gt;"นิติศาสตร์",OR(T299="M2",T299="K4"),W299&gt;=2,V299&lt;P299),EDATE(V299,12*2),AND(AH299="K5-POLICY",AG299&lt;&gt;"นิติศาสตร์",T299="S1",W299&gt;=1,V299&lt;P299),EDATE(V299,12),AND(AH299="K5-POLICY",AG299&lt;&gt;"นิติศาสตร์",OR(T299="S2",T299="K5")),V299,AND(AH299="K5-POLICY",AG299&lt;&gt;"นิติศาสตร์",OR(K299="M2",K299="K4"),Q299&gt;=2),EDATE(P299,12*2),AND(AH299="K5-POLICY",AG299&lt;&gt;"นิติศาสตร์",K299="S1",Q299&gt;=1),EDATE(P299,12),AND(AH299="K5-POLICY",AG299&lt;&gt;"นิติศาสตร์",OR(K299="S2",K299="K5")),P299,TRUE,"Check Data")</f>
        <v/>
      </c>
      <c r="AJ299" s="75" t="str">
        <f t="shared" si="89"/>
        <v>Check Data</v>
      </c>
      <c r="AK299" s="76" t="str">
        <f t="shared" si="90"/>
        <v>Check Data</v>
      </c>
      <c r="AL299" s="50" t="str">
        <f t="shared" si="91"/>
        <v>Check Data</v>
      </c>
      <c r="AM299" s="49" t="str">
        <f>IF(B299="","",IF(K299="S1","S1",INDEX(#REF!,#REF!)))</f>
        <v/>
      </c>
      <c r="AN299" s="49" t="str">
        <f>K299</f>
        <v>M2</v>
      </c>
      <c r="AO299" s="50" t="b">
        <f>K299=AM299</f>
        <v>0</v>
      </c>
      <c r="AP299" s="50"/>
    </row>
    <row r="300" spans="1:42" ht="21.75">
      <c r="A300" s="49">
        <v>298</v>
      </c>
      <c r="B300" s="50"/>
      <c r="C300" s="52"/>
      <c r="D300" s="50"/>
      <c r="E300" s="49"/>
      <c r="F300" s="49"/>
      <c r="G300" s="50">
        <f t="shared" si="82"/>
        <v>0</v>
      </c>
      <c r="H300" s="50">
        <f t="shared" si="83"/>
        <v>0</v>
      </c>
      <c r="I300" s="50">
        <f t="shared" si="84"/>
        <v>0</v>
      </c>
      <c r="J300" s="50"/>
      <c r="K300" s="49" t="s">
        <v>136</v>
      </c>
      <c r="L300" s="64"/>
      <c r="M300" s="49"/>
      <c r="N300" s="49"/>
      <c r="O300" s="65" t="s">
        <v>442</v>
      </c>
      <c r="P300" s="49" t="str">
        <f t="shared" si="85"/>
        <v>26/11/2024</v>
      </c>
      <c r="Q300" s="68">
        <f t="shared" si="86"/>
        <v>0</v>
      </c>
      <c r="R300" s="68">
        <f t="shared" si="87"/>
        <v>6</v>
      </c>
      <c r="S300" s="68">
        <f t="shared" si="88"/>
        <v>25</v>
      </c>
      <c r="T300" s="65"/>
      <c r="U300" s="65"/>
      <c r="V300" s="49"/>
      <c r="W300" s="68"/>
      <c r="X300" s="68"/>
      <c r="Y300" s="68"/>
      <c r="Z300" s="49"/>
      <c r="AA300" s="65"/>
      <c r="AB300" s="50"/>
      <c r="AC300" s="68"/>
      <c r="AD300" s="68"/>
      <c r="AE300" s="68"/>
      <c r="AF300" s="50"/>
      <c r="AG300" s="50"/>
      <c r="AH300" s="49" t="str">
        <f>IF(AG300="นิติศาสตร์","K5-LAW","K5-POLICY")</f>
        <v>K5-POLICY</v>
      </c>
      <c r="AI300" s="72" t="str">
        <f>_xlfn.IFS(B300="","",AND(AH300="K5-LAW",AG300="นิติศาสตร์",K300="S2",T300="",Z300=""),P300,AND(AH300="K5-LAW",AG300="นิติศาสตร์",K300="S1",T300="",Z300=""),EDATE(P300,12),AND(AH300="K5-LAW",AG300="นิติศาสตร์",OR(K300="M2",K300="K4"),T300="",Z300=""),EDATE(P300,12*2),AND(AH300="K5-LAW",AG300="นิติศาสตร์",OR(Z300="M2",Z300="K4"),AC300&gt;=2,OR(AB300&lt;V300,AB300&lt;P300)),EDATE(AB300,12*2),AND(AH300="K5-LAW",AG300="นิติศาสตร์",Z300="S1",AC300&gt;=1,OR(AB300&lt;V300,AB300&lt;P300)),EDATE(AB300,12),AND(AH300="K5-LAW",AG300="นิติศาสตร์",OR(T300="M2",T300="K4"),W300&gt;=2,V300&lt;P300),EDATE(V300,12*2),AND(AH300="K5-LAW",AG300="นิติศาสตร์",T300="S1",W300&gt;=1,V300&lt;P300),EDATE(V300,12),AND(AH300="K5-LAW",AG300="นิติศาสตร์",OR(T300="S2",T300="K5")),V300,AND(AH300="K5-LAW",AG300="นิติศาสตร์",OR(K300="M2",K300="K4"),Q300&gt;=2),EDATE(P300,12*2),AND(AH300="K5-LAW",AG300="นิติศาสตร์",K300="S1",Q300&gt;=1),EDATE(P300,12),AND(AH300="K5-LAW",AG300="นิติศาสตร์",OR(K300="S2",K300="K5")),P300,AND(AH300="K5-POLICY",AG300&lt;&gt;"นิติศาสตร์",K300="S2",T300="",Z300=""),P300,AND(AH300="K5-POLICY",AG300&lt;&gt;"นิติศาสตร์",K300="S1",T300="",Z300=""),EDATE(P300,12),AND(AH300="K5-POLICY",AG300&lt;&gt;"นิติศาสตร์",OR(K300="M2",K300="K4"),T300="",Z300=""),EDATE(P300,12*2),AND(AH300="K5-POLICY",AG300&lt;&gt;"นิติศาสตร์",OR(Z300="M2",Z300="K4"),AC300&gt;=2,OR(AB300&lt;V300,AB300&lt;P300)),EDATE(AB300,12*2),AND(AH300="K5-POLICY",AG300&lt;&gt;"นิติศาสตร์",Z300="S1",AC300&gt;=1,OR(AB300&lt;V300,AB300&lt;P300)),EDATE(AB300,12),AND(AH300="K5-POLICY",AG300&lt;&gt;"นิติศาสตร์",OR(T300="M2",T300="K4"),W300&gt;=2,V300&lt;P300),EDATE(V300,12*2),AND(AH300="K5-POLICY",AG300&lt;&gt;"นิติศาสตร์",T300="S1",W300&gt;=1,V300&lt;P300),EDATE(V300,12),AND(AH300="K5-POLICY",AG300&lt;&gt;"นิติศาสตร์",OR(T300="S2",T300="K5")),V300,AND(AH300="K5-POLICY",AG300&lt;&gt;"นิติศาสตร์",OR(K300="M2",K300="K4"),Q300&gt;=2),EDATE(P300,12*2),AND(AH300="K5-POLICY",AG300&lt;&gt;"นิติศาสตร์",K300="S1",Q300&gt;=1),EDATE(P300,12),AND(AH300="K5-POLICY",AG300&lt;&gt;"นิติศาสตร์",OR(K300="S2",K300="K5")),P300,TRUE,"Check Data")</f>
        <v/>
      </c>
      <c r="AJ300" s="75" t="str">
        <f t="shared" si="89"/>
        <v>Check Data</v>
      </c>
      <c r="AK300" s="76" t="str">
        <f t="shared" si="90"/>
        <v>Check Data</v>
      </c>
      <c r="AL300" s="50" t="str">
        <f t="shared" si="91"/>
        <v>Check Data</v>
      </c>
      <c r="AM300" s="49" t="str">
        <f>IF(B300="","",IF(K300="S1","S1",INDEX(#REF!,#REF!)))</f>
        <v/>
      </c>
      <c r="AN300" s="49" t="str">
        <f>K300</f>
        <v>M2</v>
      </c>
      <c r="AO300" s="50" t="b">
        <f>K300=AM300</f>
        <v>0</v>
      </c>
      <c r="AP300" s="50"/>
    </row>
    <row r="301" spans="1:42" ht="21.75">
      <c r="A301" s="49">
        <v>299</v>
      </c>
      <c r="B301" s="50"/>
      <c r="C301" s="52"/>
      <c r="D301" s="50"/>
      <c r="E301" s="49"/>
      <c r="F301" s="49"/>
      <c r="G301" s="50">
        <f t="shared" si="82"/>
        <v>0</v>
      </c>
      <c r="H301" s="50">
        <f t="shared" si="83"/>
        <v>0</v>
      </c>
      <c r="I301" s="50">
        <f t="shared" si="84"/>
        <v>0</v>
      </c>
      <c r="J301" s="50"/>
      <c r="K301" s="49" t="s">
        <v>136</v>
      </c>
      <c r="L301" s="64"/>
      <c r="M301" s="49"/>
      <c r="N301" s="49"/>
      <c r="O301" s="65" t="s">
        <v>442</v>
      </c>
      <c r="P301" s="49" t="str">
        <f t="shared" si="85"/>
        <v>26/11/2024</v>
      </c>
      <c r="Q301" s="68">
        <f t="shared" si="86"/>
        <v>0</v>
      </c>
      <c r="R301" s="68">
        <f t="shared" si="87"/>
        <v>6</v>
      </c>
      <c r="S301" s="68">
        <f t="shared" si="88"/>
        <v>25</v>
      </c>
      <c r="T301" s="65"/>
      <c r="U301" s="65"/>
      <c r="V301" s="49"/>
      <c r="W301" s="68"/>
      <c r="X301" s="68"/>
      <c r="Y301" s="68"/>
      <c r="Z301" s="49"/>
      <c r="AA301" s="65"/>
      <c r="AB301" s="50"/>
      <c r="AC301" s="68"/>
      <c r="AD301" s="68"/>
      <c r="AE301" s="68"/>
      <c r="AF301" s="50"/>
      <c r="AG301" s="50"/>
      <c r="AH301" s="49" t="str">
        <f>IF(AG301="นิติศาสตร์","K5-LAW","K5-POLICY")</f>
        <v>K5-POLICY</v>
      </c>
      <c r="AI301" s="72" t="str">
        <f>_xlfn.IFS(B301="","",AND(AH301="K5-LAW",AG301="นิติศาสตร์",K301="S2",T301="",Z301=""),P301,AND(AH301="K5-LAW",AG301="นิติศาสตร์",K301="S1",T301="",Z301=""),EDATE(P301,12),AND(AH301="K5-LAW",AG301="นิติศาสตร์",OR(K301="M2",K301="K4"),T301="",Z301=""),EDATE(P301,12*2),AND(AH301="K5-LAW",AG301="นิติศาสตร์",OR(Z301="M2",Z301="K4"),AC301&gt;=2,OR(AB301&lt;V301,AB301&lt;P301)),EDATE(AB301,12*2),AND(AH301="K5-LAW",AG301="นิติศาสตร์",Z301="S1",AC301&gt;=1,OR(AB301&lt;V301,AB301&lt;P301)),EDATE(AB301,12),AND(AH301="K5-LAW",AG301="นิติศาสตร์",OR(T301="M2",T301="K4"),W301&gt;=2,V301&lt;P301),EDATE(V301,12*2),AND(AH301="K5-LAW",AG301="นิติศาสตร์",T301="S1",W301&gt;=1,V301&lt;P301),EDATE(V301,12),AND(AH301="K5-LAW",AG301="นิติศาสตร์",OR(T301="S2",T301="K5")),V301,AND(AH301="K5-LAW",AG301="นิติศาสตร์",OR(K301="M2",K301="K4"),Q301&gt;=2),EDATE(P301,12*2),AND(AH301="K5-LAW",AG301="นิติศาสตร์",K301="S1",Q301&gt;=1),EDATE(P301,12),AND(AH301="K5-LAW",AG301="นิติศาสตร์",OR(K301="S2",K301="K5")),P301,AND(AH301="K5-POLICY",AG301&lt;&gt;"นิติศาสตร์",K301="S2",T301="",Z301=""),P301,AND(AH301="K5-POLICY",AG301&lt;&gt;"นิติศาสตร์",K301="S1",T301="",Z301=""),EDATE(P301,12),AND(AH301="K5-POLICY",AG301&lt;&gt;"นิติศาสตร์",OR(K301="M2",K301="K4"),T301="",Z301=""),EDATE(P301,12*2),AND(AH301="K5-POLICY",AG301&lt;&gt;"นิติศาสตร์",OR(Z301="M2",Z301="K4"),AC301&gt;=2,OR(AB301&lt;V301,AB301&lt;P301)),EDATE(AB301,12*2),AND(AH301="K5-POLICY",AG301&lt;&gt;"นิติศาสตร์",Z301="S1",AC301&gt;=1,OR(AB301&lt;V301,AB301&lt;P301)),EDATE(AB301,12),AND(AH301="K5-POLICY",AG301&lt;&gt;"นิติศาสตร์",OR(T301="M2",T301="K4"),W301&gt;=2,V301&lt;P301),EDATE(V301,12*2),AND(AH301="K5-POLICY",AG301&lt;&gt;"นิติศาสตร์",T301="S1",W301&gt;=1,V301&lt;P301),EDATE(V301,12),AND(AH301="K5-POLICY",AG301&lt;&gt;"นิติศาสตร์",OR(T301="S2",T301="K5")),V301,AND(AH301="K5-POLICY",AG301&lt;&gt;"นิติศาสตร์",OR(K301="M2",K301="K4"),Q301&gt;=2),EDATE(P301,12*2),AND(AH301="K5-POLICY",AG301&lt;&gt;"นิติศาสตร์",K301="S1",Q301&gt;=1),EDATE(P301,12),AND(AH301="K5-POLICY",AG301&lt;&gt;"นิติศาสตร์",OR(K301="S2",K301="K5")),P301,TRUE,"Check Data")</f>
        <v/>
      </c>
      <c r="AJ301" s="75" t="str">
        <f t="shared" si="89"/>
        <v>Check Data</v>
      </c>
      <c r="AK301" s="76" t="str">
        <f t="shared" si="90"/>
        <v>Check Data</v>
      </c>
      <c r="AL301" s="50" t="str">
        <f t="shared" si="91"/>
        <v>Check Data</v>
      </c>
      <c r="AM301" s="49" t="str">
        <f>IF(B301="","",IF(K301="S1","S1",INDEX(#REF!,#REF!)))</f>
        <v/>
      </c>
      <c r="AN301" s="49" t="str">
        <f>K301</f>
        <v>M2</v>
      </c>
      <c r="AO301" s="50" t="b">
        <f>K301=AM301</f>
        <v>0</v>
      </c>
      <c r="AP301" s="50"/>
    </row>
    <row r="302" spans="1:42" ht="21.75">
      <c r="A302" s="49">
        <v>300</v>
      </c>
      <c r="B302" s="50"/>
      <c r="C302" s="52"/>
      <c r="D302" s="50"/>
      <c r="E302" s="49"/>
      <c r="F302" s="49"/>
      <c r="G302" s="50">
        <f t="shared" si="82"/>
        <v>0</v>
      </c>
      <c r="H302" s="50">
        <f t="shared" si="83"/>
        <v>0</v>
      </c>
      <c r="I302" s="50">
        <f t="shared" si="84"/>
        <v>0</v>
      </c>
      <c r="J302" s="50"/>
      <c r="K302" s="49" t="s">
        <v>136</v>
      </c>
      <c r="L302" s="64"/>
      <c r="M302" s="49"/>
      <c r="N302" s="49"/>
      <c r="O302" s="65" t="s">
        <v>442</v>
      </c>
      <c r="P302" s="49" t="str">
        <f t="shared" si="85"/>
        <v>26/11/2024</v>
      </c>
      <c r="Q302" s="68">
        <f t="shared" si="86"/>
        <v>0</v>
      </c>
      <c r="R302" s="68">
        <f t="shared" si="87"/>
        <v>6</v>
      </c>
      <c r="S302" s="68">
        <f t="shared" si="88"/>
        <v>25</v>
      </c>
      <c r="T302" s="65"/>
      <c r="U302" s="65"/>
      <c r="V302" s="49"/>
      <c r="W302" s="68"/>
      <c r="X302" s="68"/>
      <c r="Y302" s="68"/>
      <c r="Z302" s="49"/>
      <c r="AA302" s="65"/>
      <c r="AB302" s="50"/>
      <c r="AC302" s="68"/>
      <c r="AD302" s="68"/>
      <c r="AE302" s="68"/>
      <c r="AF302" s="50"/>
      <c r="AG302" s="50"/>
      <c r="AH302" s="49" t="str">
        <f>IF(AG302="นิติศาสตร์","K5-LAW","K5-POLICY")</f>
        <v>K5-POLICY</v>
      </c>
      <c r="AI302" s="72" t="str">
        <f>_xlfn.IFS(B302="","",AND(AH302="K5-LAW",AG302="นิติศาสตร์",K302="S2",T302="",Z302=""),P302,AND(AH302="K5-LAW",AG302="นิติศาสตร์",K302="S1",T302="",Z302=""),EDATE(P302,12),AND(AH302="K5-LAW",AG302="นิติศาสตร์",OR(K302="M2",K302="K4"),T302="",Z302=""),EDATE(P302,12*2),AND(AH302="K5-LAW",AG302="นิติศาสตร์",OR(Z302="M2",Z302="K4"),AC302&gt;=2,OR(AB302&lt;V302,AB302&lt;P302)),EDATE(AB302,12*2),AND(AH302="K5-LAW",AG302="นิติศาสตร์",Z302="S1",AC302&gt;=1,OR(AB302&lt;V302,AB302&lt;P302)),EDATE(AB302,12),AND(AH302="K5-LAW",AG302="นิติศาสตร์",OR(T302="M2",T302="K4"),W302&gt;=2,V302&lt;P302),EDATE(V302,12*2),AND(AH302="K5-LAW",AG302="นิติศาสตร์",T302="S1",W302&gt;=1,V302&lt;P302),EDATE(V302,12),AND(AH302="K5-LAW",AG302="นิติศาสตร์",OR(T302="S2",T302="K5")),V302,AND(AH302="K5-LAW",AG302="นิติศาสตร์",OR(K302="M2",K302="K4"),Q302&gt;=2),EDATE(P302,12*2),AND(AH302="K5-LAW",AG302="นิติศาสตร์",K302="S1",Q302&gt;=1),EDATE(P302,12),AND(AH302="K5-LAW",AG302="นิติศาสตร์",OR(K302="S2",K302="K5")),P302,AND(AH302="K5-POLICY",AG302&lt;&gt;"นิติศาสตร์",K302="S2",T302="",Z302=""),P302,AND(AH302="K5-POLICY",AG302&lt;&gt;"นิติศาสตร์",K302="S1",T302="",Z302=""),EDATE(P302,12),AND(AH302="K5-POLICY",AG302&lt;&gt;"นิติศาสตร์",OR(K302="M2",K302="K4"),T302="",Z302=""),EDATE(P302,12*2),AND(AH302="K5-POLICY",AG302&lt;&gt;"นิติศาสตร์",OR(Z302="M2",Z302="K4"),AC302&gt;=2,OR(AB302&lt;V302,AB302&lt;P302)),EDATE(AB302,12*2),AND(AH302="K5-POLICY",AG302&lt;&gt;"นิติศาสตร์",Z302="S1",AC302&gt;=1,OR(AB302&lt;V302,AB302&lt;P302)),EDATE(AB302,12),AND(AH302="K5-POLICY",AG302&lt;&gt;"นิติศาสตร์",OR(T302="M2",T302="K4"),W302&gt;=2,V302&lt;P302),EDATE(V302,12*2),AND(AH302="K5-POLICY",AG302&lt;&gt;"นิติศาสตร์",T302="S1",W302&gt;=1,V302&lt;P302),EDATE(V302,12),AND(AH302="K5-POLICY",AG302&lt;&gt;"นิติศาสตร์",OR(T302="S2",T302="K5")),V302,AND(AH302="K5-POLICY",AG302&lt;&gt;"นิติศาสตร์",OR(K302="M2",K302="K4"),Q302&gt;=2),EDATE(P302,12*2),AND(AH302="K5-POLICY",AG302&lt;&gt;"นิติศาสตร์",K302="S1",Q302&gt;=1),EDATE(P302,12),AND(AH302="K5-POLICY",AG302&lt;&gt;"นิติศาสตร์",OR(K302="S2",K302="K5")),P302,TRUE,"Check Data")</f>
        <v/>
      </c>
      <c r="AJ302" s="75" t="str">
        <f t="shared" si="89"/>
        <v>Check Data</v>
      </c>
      <c r="AK302" s="76" t="str">
        <f t="shared" si="90"/>
        <v>Check Data</v>
      </c>
      <c r="AL302" s="50" t="str">
        <f t="shared" si="91"/>
        <v>Check Data</v>
      </c>
      <c r="AM302" s="49" t="str">
        <f>IF(B302="","",IF(K302="S1","S1",INDEX(#REF!,#REF!)))</f>
        <v/>
      </c>
      <c r="AN302" s="49" t="str">
        <f>K302</f>
        <v>M2</v>
      </c>
      <c r="AO302" s="50" t="b">
        <f>K302=AM302</f>
        <v>0</v>
      </c>
      <c r="AP302" s="50"/>
    </row>
    <row r="303" spans="1:42" ht="21.75">
      <c r="A303" s="49">
        <v>301</v>
      </c>
      <c r="B303" s="50"/>
      <c r="C303" s="52"/>
      <c r="D303" s="50"/>
      <c r="E303" s="49"/>
      <c r="F303" s="49"/>
      <c r="G303" s="50">
        <f t="shared" si="82"/>
        <v>0</v>
      </c>
      <c r="H303" s="50">
        <f t="shared" si="83"/>
        <v>0</v>
      </c>
      <c r="I303" s="50">
        <f t="shared" si="84"/>
        <v>0</v>
      </c>
      <c r="J303" s="50"/>
      <c r="K303" s="49" t="s">
        <v>136</v>
      </c>
      <c r="L303" s="64"/>
      <c r="M303" s="49"/>
      <c r="N303" s="49"/>
      <c r="O303" s="65" t="s">
        <v>442</v>
      </c>
      <c r="P303" s="49" t="str">
        <f t="shared" si="85"/>
        <v>26/11/2024</v>
      </c>
      <c r="Q303" s="68">
        <f t="shared" si="86"/>
        <v>0</v>
      </c>
      <c r="R303" s="68">
        <f t="shared" si="87"/>
        <v>6</v>
      </c>
      <c r="S303" s="68">
        <f t="shared" si="88"/>
        <v>25</v>
      </c>
      <c r="T303" s="65"/>
      <c r="U303" s="65"/>
      <c r="V303" s="49"/>
      <c r="W303" s="68"/>
      <c r="X303" s="68"/>
      <c r="Y303" s="68"/>
      <c r="Z303" s="49"/>
      <c r="AA303" s="65"/>
      <c r="AB303" s="50"/>
      <c r="AC303" s="68"/>
      <c r="AD303" s="68"/>
      <c r="AE303" s="68"/>
      <c r="AF303" s="50"/>
      <c r="AG303" s="50"/>
      <c r="AH303" s="49" t="str">
        <f>IF(AG303="นิติศาสตร์","K5-LAW","K5-POLICY")</f>
        <v>K5-POLICY</v>
      </c>
      <c r="AI303" s="72" t="str">
        <f>_xlfn.IFS(B303="","",AND(AH303="K5-LAW",AG303="นิติศาสตร์",K303="S2",T303="",Z303=""),P303,AND(AH303="K5-LAW",AG303="นิติศาสตร์",K303="S1",T303="",Z303=""),EDATE(P303,12),AND(AH303="K5-LAW",AG303="นิติศาสตร์",OR(K303="M2",K303="K4"),T303="",Z303=""),EDATE(P303,12*2),AND(AH303="K5-LAW",AG303="นิติศาสตร์",OR(Z303="M2",Z303="K4"),AC303&gt;=2,OR(AB303&lt;V303,AB303&lt;P303)),EDATE(AB303,12*2),AND(AH303="K5-LAW",AG303="นิติศาสตร์",Z303="S1",AC303&gt;=1,OR(AB303&lt;V303,AB303&lt;P303)),EDATE(AB303,12),AND(AH303="K5-LAW",AG303="นิติศาสตร์",OR(T303="M2",T303="K4"),W303&gt;=2,V303&lt;P303),EDATE(V303,12*2),AND(AH303="K5-LAW",AG303="นิติศาสตร์",T303="S1",W303&gt;=1,V303&lt;P303),EDATE(V303,12),AND(AH303="K5-LAW",AG303="นิติศาสตร์",OR(T303="S2",T303="K5")),V303,AND(AH303="K5-LAW",AG303="นิติศาสตร์",OR(K303="M2",K303="K4"),Q303&gt;=2),EDATE(P303,12*2),AND(AH303="K5-LAW",AG303="นิติศาสตร์",K303="S1",Q303&gt;=1),EDATE(P303,12),AND(AH303="K5-LAW",AG303="นิติศาสตร์",OR(K303="S2",K303="K5")),P303,AND(AH303="K5-POLICY",AG303&lt;&gt;"นิติศาสตร์",K303="S2",T303="",Z303=""),P303,AND(AH303="K5-POLICY",AG303&lt;&gt;"นิติศาสตร์",K303="S1",T303="",Z303=""),EDATE(P303,12),AND(AH303="K5-POLICY",AG303&lt;&gt;"นิติศาสตร์",OR(K303="M2",K303="K4"),T303="",Z303=""),EDATE(P303,12*2),AND(AH303="K5-POLICY",AG303&lt;&gt;"นิติศาสตร์",OR(Z303="M2",Z303="K4"),AC303&gt;=2,OR(AB303&lt;V303,AB303&lt;P303)),EDATE(AB303,12*2),AND(AH303="K5-POLICY",AG303&lt;&gt;"นิติศาสตร์",Z303="S1",AC303&gt;=1,OR(AB303&lt;V303,AB303&lt;P303)),EDATE(AB303,12),AND(AH303="K5-POLICY",AG303&lt;&gt;"นิติศาสตร์",OR(T303="M2",T303="K4"),W303&gt;=2,V303&lt;P303),EDATE(V303,12*2),AND(AH303="K5-POLICY",AG303&lt;&gt;"นิติศาสตร์",T303="S1",W303&gt;=1,V303&lt;P303),EDATE(V303,12),AND(AH303="K5-POLICY",AG303&lt;&gt;"นิติศาสตร์",OR(T303="S2",T303="K5")),V303,AND(AH303="K5-POLICY",AG303&lt;&gt;"นิติศาสตร์",OR(K303="M2",K303="K4"),Q303&gt;=2),EDATE(P303,12*2),AND(AH303="K5-POLICY",AG303&lt;&gt;"นิติศาสตร์",K303="S1",Q303&gt;=1),EDATE(P303,12),AND(AH303="K5-POLICY",AG303&lt;&gt;"นิติศาสตร์",OR(K303="S2",K303="K5")),P303,TRUE,"Check Data")</f>
        <v/>
      </c>
      <c r="AJ303" s="75" t="str">
        <f t="shared" si="89"/>
        <v>Check Data</v>
      </c>
      <c r="AK303" s="76" t="str">
        <f t="shared" si="90"/>
        <v>Check Data</v>
      </c>
      <c r="AL303" s="50" t="str">
        <f t="shared" si="91"/>
        <v>Check Data</v>
      </c>
      <c r="AM303" s="49" t="str">
        <f>IF(B303="","",IF(K303="S1","S1",INDEX(#REF!,#REF!)))</f>
        <v/>
      </c>
      <c r="AN303" s="49" t="str">
        <f>K303</f>
        <v>M2</v>
      </c>
      <c r="AO303" s="50" t="b">
        <f>K303=AM303</f>
        <v>0</v>
      </c>
      <c r="AP303" s="50"/>
    </row>
    <row r="304" spans="1:42" ht="21.75">
      <c r="A304" s="49">
        <v>302</v>
      </c>
      <c r="B304" s="50"/>
      <c r="C304" s="52"/>
      <c r="D304" s="50"/>
      <c r="E304" s="49"/>
      <c r="F304" s="49"/>
      <c r="G304" s="50">
        <f t="shared" si="82"/>
        <v>0</v>
      </c>
      <c r="H304" s="50">
        <f t="shared" si="83"/>
        <v>0</v>
      </c>
      <c r="I304" s="50">
        <f t="shared" si="84"/>
        <v>0</v>
      </c>
      <c r="J304" s="50"/>
      <c r="K304" s="49" t="s">
        <v>136</v>
      </c>
      <c r="L304" s="64"/>
      <c r="M304" s="49"/>
      <c r="N304" s="49"/>
      <c r="O304" s="65" t="s">
        <v>442</v>
      </c>
      <c r="P304" s="49" t="str">
        <f t="shared" si="85"/>
        <v>26/11/2024</v>
      </c>
      <c r="Q304" s="68">
        <f t="shared" si="86"/>
        <v>0</v>
      </c>
      <c r="R304" s="68">
        <f t="shared" si="87"/>
        <v>6</v>
      </c>
      <c r="S304" s="68">
        <f t="shared" si="88"/>
        <v>25</v>
      </c>
      <c r="T304" s="65"/>
      <c r="U304" s="65"/>
      <c r="V304" s="49"/>
      <c r="W304" s="68"/>
      <c r="X304" s="68"/>
      <c r="Y304" s="68"/>
      <c r="Z304" s="49"/>
      <c r="AA304" s="65"/>
      <c r="AB304" s="50"/>
      <c r="AC304" s="68"/>
      <c r="AD304" s="68"/>
      <c r="AE304" s="68"/>
      <c r="AF304" s="50"/>
      <c r="AG304" s="50"/>
      <c r="AH304" s="49" t="str">
        <f>IF(AG304="นิติศาสตร์","K5-LAW","K5-POLICY")</f>
        <v>K5-POLICY</v>
      </c>
      <c r="AI304" s="72" t="str">
        <f>_xlfn.IFS(B304="","",AND(AH304="K5-LAW",AG304="นิติศาสตร์",K304="S2",T304="",Z304=""),P304,AND(AH304="K5-LAW",AG304="นิติศาสตร์",K304="S1",T304="",Z304=""),EDATE(P304,12),AND(AH304="K5-LAW",AG304="นิติศาสตร์",OR(K304="M2",K304="K4"),T304="",Z304=""),EDATE(P304,12*2),AND(AH304="K5-LAW",AG304="นิติศาสตร์",OR(Z304="M2",Z304="K4"),AC304&gt;=2,OR(AB304&lt;V304,AB304&lt;P304)),EDATE(AB304,12*2),AND(AH304="K5-LAW",AG304="นิติศาสตร์",Z304="S1",AC304&gt;=1,OR(AB304&lt;V304,AB304&lt;P304)),EDATE(AB304,12),AND(AH304="K5-LAW",AG304="นิติศาสตร์",OR(T304="M2",T304="K4"),W304&gt;=2,V304&lt;P304),EDATE(V304,12*2),AND(AH304="K5-LAW",AG304="นิติศาสตร์",T304="S1",W304&gt;=1,V304&lt;P304),EDATE(V304,12),AND(AH304="K5-LAW",AG304="นิติศาสตร์",OR(T304="S2",T304="K5")),V304,AND(AH304="K5-LAW",AG304="นิติศาสตร์",OR(K304="M2",K304="K4"),Q304&gt;=2),EDATE(P304,12*2),AND(AH304="K5-LAW",AG304="นิติศาสตร์",K304="S1",Q304&gt;=1),EDATE(P304,12),AND(AH304="K5-LAW",AG304="นิติศาสตร์",OR(K304="S2",K304="K5")),P304,AND(AH304="K5-POLICY",AG304&lt;&gt;"นิติศาสตร์",K304="S2",T304="",Z304=""),P304,AND(AH304="K5-POLICY",AG304&lt;&gt;"นิติศาสตร์",K304="S1",T304="",Z304=""),EDATE(P304,12),AND(AH304="K5-POLICY",AG304&lt;&gt;"นิติศาสตร์",OR(K304="M2",K304="K4"),T304="",Z304=""),EDATE(P304,12*2),AND(AH304="K5-POLICY",AG304&lt;&gt;"นิติศาสตร์",OR(Z304="M2",Z304="K4"),AC304&gt;=2,OR(AB304&lt;V304,AB304&lt;P304)),EDATE(AB304,12*2),AND(AH304="K5-POLICY",AG304&lt;&gt;"นิติศาสตร์",Z304="S1",AC304&gt;=1,OR(AB304&lt;V304,AB304&lt;P304)),EDATE(AB304,12),AND(AH304="K5-POLICY",AG304&lt;&gt;"นิติศาสตร์",OR(T304="M2",T304="K4"),W304&gt;=2,V304&lt;P304),EDATE(V304,12*2),AND(AH304="K5-POLICY",AG304&lt;&gt;"นิติศาสตร์",T304="S1",W304&gt;=1,V304&lt;P304),EDATE(V304,12),AND(AH304="K5-POLICY",AG304&lt;&gt;"นิติศาสตร์",OR(T304="S2",T304="K5")),V304,AND(AH304="K5-POLICY",AG304&lt;&gt;"นิติศาสตร์",OR(K304="M2",K304="K4"),Q304&gt;=2),EDATE(P304,12*2),AND(AH304="K5-POLICY",AG304&lt;&gt;"นิติศาสตร์",K304="S1",Q304&gt;=1),EDATE(P304,12),AND(AH304="K5-POLICY",AG304&lt;&gt;"นิติศาสตร์",OR(K304="S2",K304="K5")),P304,TRUE,"Check Data")</f>
        <v/>
      </c>
      <c r="AJ304" s="75" t="str">
        <f t="shared" si="89"/>
        <v>Check Data</v>
      </c>
      <c r="AK304" s="76" t="str">
        <f t="shared" si="90"/>
        <v>Check Data</v>
      </c>
      <c r="AL304" s="50" t="str">
        <f t="shared" si="91"/>
        <v>Check Data</v>
      </c>
      <c r="AM304" s="49" t="str">
        <f>IF(B304="","",IF(K304="S1","S1",INDEX(#REF!,#REF!)))</f>
        <v/>
      </c>
      <c r="AN304" s="49" t="str">
        <f>K304</f>
        <v>M2</v>
      </c>
      <c r="AO304" s="50" t="b">
        <f>K304=AM304</f>
        <v>0</v>
      </c>
      <c r="AP304" s="50"/>
    </row>
    <row r="305" spans="1:41" ht="21.75">
      <c r="A305" s="49">
        <v>303</v>
      </c>
      <c r="B305" s="50"/>
      <c r="C305" s="52"/>
      <c r="G305" s="50">
        <f t="shared" si="82"/>
        <v>0</v>
      </c>
      <c r="H305" s="50">
        <f t="shared" si="83"/>
        <v>0</v>
      </c>
      <c r="I305" s="50">
        <f t="shared" si="84"/>
        <v>0</v>
      </c>
      <c r="K305" s="49" t="s">
        <v>136</v>
      </c>
      <c r="O305" s="65" t="s">
        <v>442</v>
      </c>
      <c r="P305" s="49" t="str">
        <f t="shared" si="85"/>
        <v>26/11/2024</v>
      </c>
      <c r="Q305" s="68">
        <f t="shared" si="86"/>
        <v>0</v>
      </c>
      <c r="R305" s="68">
        <f t="shared" si="87"/>
        <v>6</v>
      </c>
      <c r="S305" s="68">
        <f t="shared" si="88"/>
        <v>25</v>
      </c>
      <c r="T305" s="65"/>
      <c r="AH305" s="49" t="str">
        <f>IF(AG305="นิติศาสตร์","K5-LAW","K5-POLICY")</f>
        <v>K5-POLICY</v>
      </c>
      <c r="AI305" s="72" t="str">
        <f>_xlfn.IFS(B305="","",AND(AH305="K5-LAW",AG305="นิติศาสตร์",K305="S2",T305="",Z305=""),P305,AND(AH305="K5-LAW",AG305="นิติศาสตร์",K305="S1",T305="",Z305=""),EDATE(P305,12),AND(AH305="K5-LAW",AG305="นิติศาสตร์",OR(K305="M2",K305="K4"),T305="",Z305=""),EDATE(P305,12*2),AND(AH305="K5-LAW",AG305="นิติศาสตร์",OR(Z305="M2",Z305="K4"),AC305&gt;=2,OR(AB305&lt;V305,AB305&lt;P305)),EDATE(AB305,12*2),AND(AH305="K5-LAW",AG305="นิติศาสตร์",Z305="S1",AC305&gt;=1,OR(AB305&lt;V305,AB305&lt;P305)),EDATE(AB305,12),AND(AH305="K5-LAW",AG305="นิติศาสตร์",OR(T305="M2",T305="K4"),W305&gt;=2,V305&lt;P305),EDATE(V305,12*2),AND(AH305="K5-LAW",AG305="นิติศาสตร์",T305="S1",W305&gt;=1,V305&lt;P305),EDATE(V305,12),AND(AH305="K5-LAW",AG305="นิติศาสตร์",OR(T305="S2",T305="K5")),V305,AND(AH305="K5-LAW",AG305="นิติศาสตร์",OR(K305="M2",K305="K4"),Q305&gt;=2),EDATE(P305,12*2),AND(AH305="K5-LAW",AG305="นิติศาสตร์",K305="S1",Q305&gt;=1),EDATE(P305,12),AND(AH305="K5-LAW",AG305="นิติศาสตร์",OR(K305="S2",K305="K5")),P305,AND(AH305="K5-POLICY",AG305&lt;&gt;"นิติศาสตร์",K305="S2",T305="",Z305=""),P305,AND(AH305="K5-POLICY",AG305&lt;&gt;"นิติศาสตร์",K305="S1",T305="",Z305=""),EDATE(P305,12),AND(AH305="K5-POLICY",AG305&lt;&gt;"นิติศาสตร์",OR(K305="M2",K305="K4"),T305="",Z305=""),EDATE(P305,12*2),AND(AH305="K5-POLICY",AG305&lt;&gt;"นิติศาสตร์",OR(Z305="M2",Z305="K4"),AC305&gt;=2,OR(AB305&lt;V305,AB305&lt;P305)),EDATE(AB305,12*2),AND(AH305="K5-POLICY",AG305&lt;&gt;"นิติศาสตร์",Z305="S1",AC305&gt;=1,OR(AB305&lt;V305,AB305&lt;P305)),EDATE(AB305,12),AND(AH305="K5-POLICY",AG305&lt;&gt;"นิติศาสตร์",OR(T305="M2",T305="K4"),W305&gt;=2,V305&lt;P305),EDATE(V305,12*2),AND(AH305="K5-POLICY",AG305&lt;&gt;"นิติศาสตร์",T305="S1",W305&gt;=1,V305&lt;P305),EDATE(V305,12),AND(AH305="K5-POLICY",AG305&lt;&gt;"นิติศาสตร์",OR(T305="S2",T305="K5")),V305,AND(AH305="K5-POLICY",AG305&lt;&gt;"นิติศาสตร์",OR(K305="M2",K305="K4"),Q305&gt;=2),EDATE(P305,12*2),AND(AH305="K5-POLICY",AG305&lt;&gt;"นิติศาสตร์",K305="S1",Q305&gt;=1),EDATE(P305,12),AND(AH305="K5-POLICY",AG305&lt;&gt;"นิติศาสตร์",OR(K305="S2",K305="K5")),P305,TRUE,"Check Data")</f>
        <v/>
      </c>
      <c r="AJ305" s="75" t="str">
        <f t="shared" si="89"/>
        <v>Check Data</v>
      </c>
      <c r="AK305" s="76" t="str">
        <f t="shared" si="90"/>
        <v>Check Data</v>
      </c>
      <c r="AL305" s="50" t="str">
        <f t="shared" si="91"/>
        <v>Check Data</v>
      </c>
      <c r="AM305" s="49" t="str">
        <f>IF(B305="","",IF(K305="S1","S1",INDEX(#REF!,#REF!)))</f>
        <v/>
      </c>
      <c r="AN305" s="49" t="str">
        <f>K305</f>
        <v>M2</v>
      </c>
      <c r="AO305" s="50" t="b">
        <f>K305=AM305</f>
        <v>0</v>
      </c>
    </row>
    <row r="306" spans="1:41" ht="21.75">
      <c r="A306" s="49">
        <v>304</v>
      </c>
      <c r="B306" s="50"/>
      <c r="C306" s="52"/>
      <c r="G306" s="50">
        <f t="shared" si="82"/>
        <v>0</v>
      </c>
      <c r="H306" s="50">
        <f t="shared" si="83"/>
        <v>0</v>
      </c>
      <c r="I306" s="50">
        <f t="shared" si="84"/>
        <v>0</v>
      </c>
      <c r="K306" s="49" t="s">
        <v>136</v>
      </c>
      <c r="O306" s="65" t="s">
        <v>442</v>
      </c>
      <c r="P306" s="49" t="str">
        <f t="shared" si="85"/>
        <v>26/11/2024</v>
      </c>
      <c r="Q306" s="68">
        <f t="shared" si="86"/>
        <v>0</v>
      </c>
      <c r="R306" s="68">
        <f t="shared" si="87"/>
        <v>6</v>
      </c>
      <c r="S306" s="68">
        <f t="shared" si="88"/>
        <v>25</v>
      </c>
      <c r="T306" s="65"/>
      <c r="AH306" s="49" t="str">
        <f>IF(AG306="นิติศาสตร์","K5-LAW","K5-POLICY")</f>
        <v>K5-POLICY</v>
      </c>
      <c r="AI306" s="72" t="str">
        <f>_xlfn.IFS(B306="","",AND(AH306="K5-LAW",AG306="นิติศาสตร์",K306="S2",T306="",Z306=""),P306,AND(AH306="K5-LAW",AG306="นิติศาสตร์",K306="S1",T306="",Z306=""),EDATE(P306,12),AND(AH306="K5-LAW",AG306="นิติศาสตร์",OR(K306="M2",K306="K4"),T306="",Z306=""),EDATE(P306,12*2),AND(AH306="K5-LAW",AG306="นิติศาสตร์",OR(Z306="M2",Z306="K4"),AC306&gt;=2,OR(AB306&lt;V306,AB306&lt;P306)),EDATE(AB306,12*2),AND(AH306="K5-LAW",AG306="นิติศาสตร์",Z306="S1",AC306&gt;=1,OR(AB306&lt;V306,AB306&lt;P306)),EDATE(AB306,12),AND(AH306="K5-LAW",AG306="นิติศาสตร์",OR(T306="M2",T306="K4"),W306&gt;=2,V306&lt;P306),EDATE(V306,12*2),AND(AH306="K5-LAW",AG306="นิติศาสตร์",T306="S1",W306&gt;=1,V306&lt;P306),EDATE(V306,12),AND(AH306="K5-LAW",AG306="นิติศาสตร์",OR(T306="S2",T306="K5")),V306,AND(AH306="K5-LAW",AG306="นิติศาสตร์",OR(K306="M2",K306="K4"),Q306&gt;=2),EDATE(P306,12*2),AND(AH306="K5-LAW",AG306="นิติศาสตร์",K306="S1",Q306&gt;=1),EDATE(P306,12),AND(AH306="K5-LAW",AG306="นิติศาสตร์",OR(K306="S2",K306="K5")),P306,AND(AH306="K5-POLICY",AG306&lt;&gt;"นิติศาสตร์",K306="S2",T306="",Z306=""),P306,AND(AH306="K5-POLICY",AG306&lt;&gt;"นิติศาสตร์",K306="S1",T306="",Z306=""),EDATE(P306,12),AND(AH306="K5-POLICY",AG306&lt;&gt;"นิติศาสตร์",OR(K306="M2",K306="K4"),T306="",Z306=""),EDATE(P306,12*2),AND(AH306="K5-POLICY",AG306&lt;&gt;"นิติศาสตร์",OR(Z306="M2",Z306="K4"),AC306&gt;=2,OR(AB306&lt;V306,AB306&lt;P306)),EDATE(AB306,12*2),AND(AH306="K5-POLICY",AG306&lt;&gt;"นิติศาสตร์",Z306="S1",AC306&gt;=1,OR(AB306&lt;V306,AB306&lt;P306)),EDATE(AB306,12),AND(AH306="K5-POLICY",AG306&lt;&gt;"นิติศาสตร์",OR(T306="M2",T306="K4"),W306&gt;=2,V306&lt;P306),EDATE(V306,12*2),AND(AH306="K5-POLICY",AG306&lt;&gt;"นิติศาสตร์",T306="S1",W306&gt;=1,V306&lt;P306),EDATE(V306,12),AND(AH306="K5-POLICY",AG306&lt;&gt;"นิติศาสตร์",OR(T306="S2",T306="K5")),V306,AND(AH306="K5-POLICY",AG306&lt;&gt;"นิติศาสตร์",OR(K306="M2",K306="K4"),Q306&gt;=2),EDATE(P306,12*2),AND(AH306="K5-POLICY",AG306&lt;&gt;"นิติศาสตร์",K306="S1",Q306&gt;=1),EDATE(P306,12),AND(AH306="K5-POLICY",AG306&lt;&gt;"นิติศาสตร์",OR(K306="S2",K306="K5")),P306,TRUE,"Check Data")</f>
        <v/>
      </c>
      <c r="AJ306" s="75" t="str">
        <f t="shared" si="89"/>
        <v>Check Data</v>
      </c>
      <c r="AK306" s="76" t="str">
        <f t="shared" si="90"/>
        <v>Check Data</v>
      </c>
      <c r="AL306" s="50" t="str">
        <f t="shared" si="91"/>
        <v>Check Data</v>
      </c>
      <c r="AM306" s="49" t="str">
        <f>IF(B306="","",IF(K306="S1","S1",INDEX(#REF!,#REF!)))</f>
        <v/>
      </c>
      <c r="AN306" s="49" t="str">
        <f>K306</f>
        <v>M2</v>
      </c>
      <c r="AO306" s="50" t="b">
        <f>K306=AM306</f>
        <v>0</v>
      </c>
    </row>
    <row r="307" spans="1:41" ht="21.75">
      <c r="A307" s="49">
        <v>305</v>
      </c>
      <c r="B307" s="50"/>
      <c r="C307" s="52"/>
      <c r="G307" s="50">
        <f t="shared" si="82"/>
        <v>0</v>
      </c>
      <c r="H307" s="50">
        <f t="shared" si="83"/>
        <v>0</v>
      </c>
      <c r="I307" s="50">
        <f t="shared" si="84"/>
        <v>0</v>
      </c>
      <c r="K307" s="49" t="s">
        <v>136</v>
      </c>
      <c r="O307" s="65" t="s">
        <v>442</v>
      </c>
      <c r="P307" s="49" t="str">
        <f t="shared" si="85"/>
        <v>26/11/2024</v>
      </c>
      <c r="Q307" s="68">
        <f t="shared" si="86"/>
        <v>0</v>
      </c>
      <c r="R307" s="68">
        <f t="shared" si="87"/>
        <v>6</v>
      </c>
      <c r="S307" s="68">
        <f t="shared" si="88"/>
        <v>25</v>
      </c>
      <c r="T307" s="65"/>
      <c r="AH307" s="49" t="str">
        <f>IF(AG307="นิติศาสตร์","K5-LAW","K5-POLICY")</f>
        <v>K5-POLICY</v>
      </c>
      <c r="AI307" s="72" t="str">
        <f>_xlfn.IFS(B307="","",AND(AH307="K5-LAW",AG307="นิติศาสตร์",K307="S2",T307="",Z307=""),P307,AND(AH307="K5-LAW",AG307="นิติศาสตร์",K307="S1",T307="",Z307=""),EDATE(P307,12),AND(AH307="K5-LAW",AG307="นิติศาสตร์",OR(K307="M2",K307="K4"),T307="",Z307=""),EDATE(P307,12*2),AND(AH307="K5-LAW",AG307="นิติศาสตร์",OR(Z307="M2",Z307="K4"),AC307&gt;=2,OR(AB307&lt;V307,AB307&lt;P307)),EDATE(AB307,12*2),AND(AH307="K5-LAW",AG307="นิติศาสตร์",Z307="S1",AC307&gt;=1,OR(AB307&lt;V307,AB307&lt;P307)),EDATE(AB307,12),AND(AH307="K5-LAW",AG307="นิติศาสตร์",OR(T307="M2",T307="K4"),W307&gt;=2,V307&lt;P307),EDATE(V307,12*2),AND(AH307="K5-LAW",AG307="นิติศาสตร์",T307="S1",W307&gt;=1,V307&lt;P307),EDATE(V307,12),AND(AH307="K5-LAW",AG307="นิติศาสตร์",OR(T307="S2",T307="K5")),V307,AND(AH307="K5-LAW",AG307="นิติศาสตร์",OR(K307="M2",K307="K4"),Q307&gt;=2),EDATE(P307,12*2),AND(AH307="K5-LAW",AG307="นิติศาสตร์",K307="S1",Q307&gt;=1),EDATE(P307,12),AND(AH307="K5-LAW",AG307="นิติศาสตร์",OR(K307="S2",K307="K5")),P307,AND(AH307="K5-POLICY",AG307&lt;&gt;"นิติศาสตร์",K307="S2",T307="",Z307=""),P307,AND(AH307="K5-POLICY",AG307&lt;&gt;"นิติศาสตร์",K307="S1",T307="",Z307=""),EDATE(P307,12),AND(AH307="K5-POLICY",AG307&lt;&gt;"นิติศาสตร์",OR(K307="M2",K307="K4"),T307="",Z307=""),EDATE(P307,12*2),AND(AH307="K5-POLICY",AG307&lt;&gt;"นิติศาสตร์",OR(Z307="M2",Z307="K4"),AC307&gt;=2,OR(AB307&lt;V307,AB307&lt;P307)),EDATE(AB307,12*2),AND(AH307="K5-POLICY",AG307&lt;&gt;"นิติศาสตร์",Z307="S1",AC307&gt;=1,OR(AB307&lt;V307,AB307&lt;P307)),EDATE(AB307,12),AND(AH307="K5-POLICY",AG307&lt;&gt;"นิติศาสตร์",OR(T307="M2",T307="K4"),W307&gt;=2,V307&lt;P307),EDATE(V307,12*2),AND(AH307="K5-POLICY",AG307&lt;&gt;"นิติศาสตร์",T307="S1",W307&gt;=1,V307&lt;P307),EDATE(V307,12),AND(AH307="K5-POLICY",AG307&lt;&gt;"นิติศาสตร์",OR(T307="S2",T307="K5")),V307,AND(AH307="K5-POLICY",AG307&lt;&gt;"นิติศาสตร์",OR(K307="M2",K307="K4"),Q307&gt;=2),EDATE(P307,12*2),AND(AH307="K5-POLICY",AG307&lt;&gt;"นิติศาสตร์",K307="S1",Q307&gt;=1),EDATE(P307,12),AND(AH307="K5-POLICY",AG307&lt;&gt;"นิติศาสตร์",OR(K307="S2",K307="K5")),P307,TRUE,"Check Data")</f>
        <v/>
      </c>
      <c r="AJ307" s="75" t="str">
        <f t="shared" si="89"/>
        <v>Check Data</v>
      </c>
      <c r="AK307" s="76" t="str">
        <f t="shared" si="90"/>
        <v>Check Data</v>
      </c>
      <c r="AL307" s="50" t="str">
        <f t="shared" si="91"/>
        <v>Check Data</v>
      </c>
      <c r="AM307" s="49" t="str">
        <f>IF(B307="","",IF(K307="S1","S1",INDEX(#REF!,#REF!)))</f>
        <v/>
      </c>
      <c r="AN307" s="49" t="str">
        <f>K307</f>
        <v>M2</v>
      </c>
      <c r="AO307" s="50" t="b">
        <f>K307=AM307</f>
        <v>0</v>
      </c>
    </row>
    <row r="308" spans="1:41" ht="21.75">
      <c r="A308" s="49">
        <v>306</v>
      </c>
      <c r="B308" s="50"/>
      <c r="C308" s="52"/>
      <c r="G308" s="50">
        <f t="shared" si="82"/>
        <v>0</v>
      </c>
      <c r="H308" s="50">
        <f t="shared" si="83"/>
        <v>0</v>
      </c>
      <c r="I308" s="50">
        <f t="shared" si="84"/>
        <v>0</v>
      </c>
      <c r="K308" s="49" t="s">
        <v>136</v>
      </c>
      <c r="O308" s="65" t="s">
        <v>442</v>
      </c>
      <c r="P308" s="49" t="str">
        <f t="shared" si="85"/>
        <v>26/11/2024</v>
      </c>
      <c r="Q308" s="68">
        <f t="shared" si="86"/>
        <v>0</v>
      </c>
      <c r="R308" s="68">
        <f t="shared" si="87"/>
        <v>6</v>
      </c>
      <c r="S308" s="68">
        <f t="shared" si="88"/>
        <v>25</v>
      </c>
      <c r="T308" s="65"/>
      <c r="AH308" s="49" t="str">
        <f>IF(AG308="นิติศาสตร์","K5-LAW","K5-POLICY")</f>
        <v>K5-POLICY</v>
      </c>
      <c r="AI308" s="72" t="str">
        <f>_xlfn.IFS(B308="","",AND(AH308="K5-LAW",AG308="นิติศาสตร์",K308="S2",T308="",Z308=""),P308,AND(AH308="K5-LAW",AG308="นิติศาสตร์",K308="S1",T308="",Z308=""),EDATE(P308,12),AND(AH308="K5-LAW",AG308="นิติศาสตร์",OR(K308="M2",K308="K4"),T308="",Z308=""),EDATE(P308,12*2),AND(AH308="K5-LAW",AG308="นิติศาสตร์",OR(Z308="M2",Z308="K4"),AC308&gt;=2,OR(AB308&lt;V308,AB308&lt;P308)),EDATE(AB308,12*2),AND(AH308="K5-LAW",AG308="นิติศาสตร์",Z308="S1",AC308&gt;=1,OR(AB308&lt;V308,AB308&lt;P308)),EDATE(AB308,12),AND(AH308="K5-LAW",AG308="นิติศาสตร์",OR(T308="M2",T308="K4"),W308&gt;=2,V308&lt;P308),EDATE(V308,12*2),AND(AH308="K5-LAW",AG308="นิติศาสตร์",T308="S1",W308&gt;=1,V308&lt;P308),EDATE(V308,12),AND(AH308="K5-LAW",AG308="นิติศาสตร์",OR(T308="S2",T308="K5")),V308,AND(AH308="K5-LAW",AG308="นิติศาสตร์",OR(K308="M2",K308="K4"),Q308&gt;=2),EDATE(P308,12*2),AND(AH308="K5-LAW",AG308="นิติศาสตร์",K308="S1",Q308&gt;=1),EDATE(P308,12),AND(AH308="K5-LAW",AG308="นิติศาสตร์",OR(K308="S2",K308="K5")),P308,AND(AH308="K5-POLICY",AG308&lt;&gt;"นิติศาสตร์",K308="S2",T308="",Z308=""),P308,AND(AH308="K5-POLICY",AG308&lt;&gt;"นิติศาสตร์",K308="S1",T308="",Z308=""),EDATE(P308,12),AND(AH308="K5-POLICY",AG308&lt;&gt;"นิติศาสตร์",OR(K308="M2",K308="K4"),T308="",Z308=""),EDATE(P308,12*2),AND(AH308="K5-POLICY",AG308&lt;&gt;"นิติศาสตร์",OR(Z308="M2",Z308="K4"),AC308&gt;=2,OR(AB308&lt;V308,AB308&lt;P308)),EDATE(AB308,12*2),AND(AH308="K5-POLICY",AG308&lt;&gt;"นิติศาสตร์",Z308="S1",AC308&gt;=1,OR(AB308&lt;V308,AB308&lt;P308)),EDATE(AB308,12),AND(AH308="K5-POLICY",AG308&lt;&gt;"นิติศาสตร์",OR(T308="M2",T308="K4"),W308&gt;=2,V308&lt;P308),EDATE(V308,12*2),AND(AH308="K5-POLICY",AG308&lt;&gt;"นิติศาสตร์",T308="S1",W308&gt;=1,V308&lt;P308),EDATE(V308,12),AND(AH308="K5-POLICY",AG308&lt;&gt;"นิติศาสตร์",OR(T308="S2",T308="K5")),V308,AND(AH308="K5-POLICY",AG308&lt;&gt;"นิติศาสตร์",OR(K308="M2",K308="K4"),Q308&gt;=2),EDATE(P308,12*2),AND(AH308="K5-POLICY",AG308&lt;&gt;"นิติศาสตร์",K308="S1",Q308&gt;=1),EDATE(P308,12),AND(AH308="K5-POLICY",AG308&lt;&gt;"นิติศาสตร์",OR(K308="S2",K308="K5")),P308,TRUE,"Check Data")</f>
        <v/>
      </c>
      <c r="AJ308" s="75" t="str">
        <f t="shared" si="89"/>
        <v>Check Data</v>
      </c>
      <c r="AK308" s="76" t="str">
        <f t="shared" si="90"/>
        <v>Check Data</v>
      </c>
      <c r="AL308" s="50" t="str">
        <f t="shared" si="91"/>
        <v>Check Data</v>
      </c>
      <c r="AM308" s="49" t="str">
        <f>IF(B308="","",IF(K308="S1","S1",INDEX(#REF!,#REF!)))</f>
        <v/>
      </c>
      <c r="AN308" s="49" t="str">
        <f>K308</f>
        <v>M2</v>
      </c>
      <c r="AO308" s="50" t="b">
        <f>K308=AM308</f>
        <v>0</v>
      </c>
    </row>
    <row r="309" spans="1:41" ht="21.75">
      <c r="A309" s="49">
        <v>307</v>
      </c>
      <c r="B309" s="50"/>
      <c r="C309" s="52"/>
      <c r="D309" s="84"/>
      <c r="E309" s="85"/>
      <c r="F309" s="85"/>
      <c r="G309" s="50">
        <f t="shared" si="82"/>
        <v>0</v>
      </c>
      <c r="H309" s="50">
        <f t="shared" si="83"/>
        <v>0</v>
      </c>
      <c r="I309" s="50">
        <f t="shared" si="84"/>
        <v>0</v>
      </c>
      <c r="J309" s="84"/>
      <c r="K309" s="49" t="s">
        <v>136</v>
      </c>
      <c r="L309" s="87"/>
      <c r="M309" s="85"/>
      <c r="N309" s="85"/>
      <c r="O309" s="65" t="s">
        <v>458</v>
      </c>
      <c r="P309" s="49" t="str">
        <f t="shared" si="85"/>
        <v>31/03/2025</v>
      </c>
      <c r="Q309" s="68">
        <f t="shared" si="86"/>
        <v>0</v>
      </c>
      <c r="R309" s="68">
        <f t="shared" si="87"/>
        <v>2</v>
      </c>
      <c r="S309" s="68">
        <f t="shared" si="88"/>
        <v>20</v>
      </c>
      <c r="T309" s="65"/>
      <c r="U309" s="89"/>
      <c r="V309" s="85"/>
      <c r="W309" s="88"/>
      <c r="X309" s="88"/>
      <c r="Y309" s="88"/>
      <c r="Z309" s="85"/>
      <c r="AA309" s="89"/>
      <c r="AB309" s="84"/>
      <c r="AC309" s="88"/>
      <c r="AD309" s="88"/>
      <c r="AE309" s="88"/>
      <c r="AF309" s="84"/>
      <c r="AG309" s="84"/>
      <c r="AH309" s="49" t="str">
        <f>IF(AG309="นิติศาสตร์","K5-LAW","K5-POLICY")</f>
        <v>K5-POLICY</v>
      </c>
      <c r="AI309" s="72" t="str">
        <f>_xlfn.IFS(B309="","",AND(AH309="K5-LAW",AG309="นิติศาสตร์",K309="S2",T309="",Z309=""),P309,AND(AH309="K5-LAW",AG309="นิติศาสตร์",K309="S1",T309="",Z309=""),EDATE(P309,12),AND(AH309="K5-LAW",AG309="นิติศาสตร์",OR(K309="M2",K309="K4"),T309="",Z309=""),EDATE(P309,12*2),AND(AH309="K5-LAW",AG309="นิติศาสตร์",OR(Z309="M2",Z309="K4"),AC309&gt;=2,OR(AB309&lt;V309,AB309&lt;P309)),EDATE(AB309,12*2),AND(AH309="K5-LAW",AG309="นิติศาสตร์",Z309="S1",AC309&gt;=1,OR(AB309&lt;V309,AB309&lt;P309)),EDATE(AB309,12),AND(AH309="K5-LAW",AG309="นิติศาสตร์",OR(T309="M2",T309="K4"),W309&gt;=2,V309&lt;P309),EDATE(V309,12*2),AND(AH309="K5-LAW",AG309="นิติศาสตร์",T309="S1",W309&gt;=1,V309&lt;P309),EDATE(V309,12),AND(AH309="K5-LAW",AG309="นิติศาสตร์",OR(T309="S2",T309="K5")),V309,AND(AH309="K5-LAW",AG309="นิติศาสตร์",OR(K309="M2",K309="K4"),Q309&gt;=2),EDATE(P309,12*2),AND(AH309="K5-LAW",AG309="นิติศาสตร์",K309="S1",Q309&gt;=1),EDATE(P309,12),AND(AH309="K5-LAW",AG309="นิติศาสตร์",OR(K309="S2",K309="K5")),P309,AND(AH309="K5-POLICY",AG309&lt;&gt;"นิติศาสตร์",K309="S2",T309="",Z309=""),P309,AND(AH309="K5-POLICY",AG309&lt;&gt;"นิติศาสตร์",K309="S1",T309="",Z309=""),EDATE(P309,12),AND(AH309="K5-POLICY",AG309&lt;&gt;"นิติศาสตร์",OR(K309="M2",K309="K4"),T309="",Z309=""),EDATE(P309,12*2),AND(AH309="K5-POLICY",AG309&lt;&gt;"นิติศาสตร์",OR(Z309="M2",Z309="K4"),AC309&gt;=2,OR(AB309&lt;V309,AB309&lt;P309)),EDATE(AB309,12*2),AND(AH309="K5-POLICY",AG309&lt;&gt;"นิติศาสตร์",Z309="S1",AC309&gt;=1,OR(AB309&lt;V309,AB309&lt;P309)),EDATE(AB309,12),AND(AH309="K5-POLICY",AG309&lt;&gt;"นิติศาสตร์",OR(T309="M2",T309="K4"),W309&gt;=2,V309&lt;P309),EDATE(V309,12*2),AND(AH309="K5-POLICY",AG309&lt;&gt;"นิติศาสตร์",T309="S1",W309&gt;=1,V309&lt;P309),EDATE(V309,12),AND(AH309="K5-POLICY",AG309&lt;&gt;"นิติศาสตร์",OR(T309="S2",T309="K5")),V309,AND(AH309="K5-POLICY",AG309&lt;&gt;"นิติศาสตร์",OR(K309="M2",K309="K4"),Q309&gt;=2),EDATE(P309,12*2),AND(AH309="K5-POLICY",AG309&lt;&gt;"นิติศาสตร์",K309="S1",Q309&gt;=1),EDATE(P309,12),AND(AH309="K5-POLICY",AG309&lt;&gt;"นิติศาสตร์",OR(K309="S2",K309="K5")),P309,TRUE,"Check Data")</f>
        <v/>
      </c>
      <c r="AJ309" s="75" t="str">
        <f t="shared" si="89"/>
        <v>Check Data</v>
      </c>
      <c r="AK309" s="76" t="str">
        <f t="shared" si="90"/>
        <v>Check Data</v>
      </c>
      <c r="AL309" s="50" t="str">
        <f t="shared" si="91"/>
        <v>Check Data</v>
      </c>
      <c r="AM309" s="49" t="str">
        <f>IF(B309="","",IF(K309="S1","S1",INDEX(#REF!,#REF!)))</f>
        <v/>
      </c>
      <c r="AN309" s="49" t="str">
        <f>K309</f>
        <v>M2</v>
      </c>
      <c r="AO309" s="50" t="b">
        <f>K309=AM309</f>
        <v>0</v>
      </c>
    </row>
    <row r="310" spans="1:41" ht="21.75">
      <c r="A310" s="49">
        <v>308</v>
      </c>
      <c r="B310" s="50"/>
      <c r="C310" s="52"/>
      <c r="D310" s="84"/>
      <c r="E310" s="85"/>
      <c r="F310" s="85"/>
      <c r="G310" s="50">
        <f t="shared" si="82"/>
        <v>0</v>
      </c>
      <c r="H310" s="50">
        <f t="shared" si="83"/>
        <v>0</v>
      </c>
      <c r="I310" s="50">
        <f t="shared" si="84"/>
        <v>0</v>
      </c>
      <c r="J310" s="84"/>
      <c r="K310" s="49" t="s">
        <v>136</v>
      </c>
      <c r="L310" s="87"/>
      <c r="M310" s="85"/>
      <c r="N310" s="85"/>
      <c r="O310" s="65" t="s">
        <v>458</v>
      </c>
      <c r="P310" s="49" t="str">
        <f t="shared" si="85"/>
        <v>31/03/2025</v>
      </c>
      <c r="Q310" s="68">
        <f t="shared" si="86"/>
        <v>0</v>
      </c>
      <c r="R310" s="68">
        <f t="shared" si="87"/>
        <v>2</v>
      </c>
      <c r="S310" s="68">
        <f t="shared" si="88"/>
        <v>20</v>
      </c>
      <c r="T310" s="65"/>
      <c r="U310" s="89"/>
      <c r="V310" s="85"/>
      <c r="W310" s="88"/>
      <c r="X310" s="88"/>
      <c r="Y310" s="88"/>
      <c r="Z310" s="85"/>
      <c r="AA310" s="89"/>
      <c r="AB310" s="84"/>
      <c r="AC310" s="88"/>
      <c r="AD310" s="88"/>
      <c r="AE310" s="88"/>
      <c r="AF310" s="84"/>
      <c r="AG310" s="84"/>
      <c r="AH310" s="49" t="str">
        <f>IF(AG310="นิติศาสตร์","K5-LAW","K5-POLICY")</f>
        <v>K5-POLICY</v>
      </c>
      <c r="AI310" s="72" t="str">
        <f>_xlfn.IFS(B310="","",AND(AH310="K5-LAW",AG310="นิติศาสตร์",K310="S2",T310="",Z310=""),P310,AND(AH310="K5-LAW",AG310="นิติศาสตร์",K310="S1",T310="",Z310=""),EDATE(P310,12),AND(AH310="K5-LAW",AG310="นิติศาสตร์",OR(K310="M2",K310="K4"),T310="",Z310=""),EDATE(P310,12*2),AND(AH310="K5-LAW",AG310="นิติศาสตร์",OR(Z310="M2",Z310="K4"),AC310&gt;=2,OR(AB310&lt;V310,AB310&lt;P310)),EDATE(AB310,12*2),AND(AH310="K5-LAW",AG310="นิติศาสตร์",Z310="S1",AC310&gt;=1,OR(AB310&lt;V310,AB310&lt;P310)),EDATE(AB310,12),AND(AH310="K5-LAW",AG310="นิติศาสตร์",OR(T310="M2",T310="K4"),W310&gt;=2,V310&lt;P310),EDATE(V310,12*2),AND(AH310="K5-LAW",AG310="นิติศาสตร์",T310="S1",W310&gt;=1,V310&lt;P310),EDATE(V310,12),AND(AH310="K5-LAW",AG310="นิติศาสตร์",OR(T310="S2",T310="K5")),V310,AND(AH310="K5-LAW",AG310="นิติศาสตร์",OR(K310="M2",K310="K4"),Q310&gt;=2),EDATE(P310,12*2),AND(AH310="K5-LAW",AG310="นิติศาสตร์",K310="S1",Q310&gt;=1),EDATE(P310,12),AND(AH310="K5-LAW",AG310="นิติศาสตร์",OR(K310="S2",K310="K5")),P310,AND(AH310="K5-POLICY",AG310&lt;&gt;"นิติศาสตร์",K310="S2",T310="",Z310=""),P310,AND(AH310="K5-POLICY",AG310&lt;&gt;"นิติศาสตร์",K310="S1",T310="",Z310=""),EDATE(P310,12),AND(AH310="K5-POLICY",AG310&lt;&gt;"นิติศาสตร์",OR(K310="M2",K310="K4"),T310="",Z310=""),EDATE(P310,12*2),AND(AH310="K5-POLICY",AG310&lt;&gt;"นิติศาสตร์",OR(Z310="M2",Z310="K4"),AC310&gt;=2,OR(AB310&lt;V310,AB310&lt;P310)),EDATE(AB310,12*2),AND(AH310="K5-POLICY",AG310&lt;&gt;"นิติศาสตร์",Z310="S1",AC310&gt;=1,OR(AB310&lt;V310,AB310&lt;P310)),EDATE(AB310,12),AND(AH310="K5-POLICY",AG310&lt;&gt;"นิติศาสตร์",OR(T310="M2",T310="K4"),W310&gt;=2,V310&lt;P310),EDATE(V310,12*2),AND(AH310="K5-POLICY",AG310&lt;&gt;"นิติศาสตร์",T310="S1",W310&gt;=1,V310&lt;P310),EDATE(V310,12),AND(AH310="K5-POLICY",AG310&lt;&gt;"นิติศาสตร์",OR(T310="S2",T310="K5")),V310,AND(AH310="K5-POLICY",AG310&lt;&gt;"นิติศาสตร์",OR(K310="M2",K310="K4"),Q310&gt;=2),EDATE(P310,12*2),AND(AH310="K5-POLICY",AG310&lt;&gt;"นิติศาสตร์",K310="S1",Q310&gt;=1),EDATE(P310,12),AND(AH310="K5-POLICY",AG310&lt;&gt;"นิติศาสตร์",OR(K310="S2",K310="K5")),P310,TRUE,"Check Data")</f>
        <v/>
      </c>
      <c r="AJ310" s="75" t="str">
        <f t="shared" si="89"/>
        <v>Check Data</v>
      </c>
      <c r="AK310" s="76" t="str">
        <f t="shared" si="90"/>
        <v>Check Data</v>
      </c>
      <c r="AL310" s="50" t="str">
        <f t="shared" si="91"/>
        <v>Check Data</v>
      </c>
      <c r="AM310" s="49" t="str">
        <f>IF(B310="","",IF(K310="S1","S1",INDEX(#REF!,#REF!)))</f>
        <v/>
      </c>
      <c r="AN310" s="49" t="str">
        <f>K310</f>
        <v>M2</v>
      </c>
      <c r="AO310" s="50" t="b">
        <f>K310=AM310</f>
        <v>0</v>
      </c>
    </row>
    <row r="311" spans="1:41" ht="21.75">
      <c r="A311" s="49">
        <v>309</v>
      </c>
      <c r="B311" s="50"/>
      <c r="C311" s="52"/>
      <c r="D311" s="84"/>
      <c r="E311" s="85"/>
      <c r="F311" s="85"/>
      <c r="G311" s="50">
        <f t="shared" si="82"/>
        <v>0</v>
      </c>
      <c r="H311" s="50">
        <f t="shared" si="83"/>
        <v>0</v>
      </c>
      <c r="I311" s="50">
        <f t="shared" si="84"/>
        <v>0</v>
      </c>
      <c r="J311" s="84"/>
      <c r="K311" s="49" t="s">
        <v>136</v>
      </c>
      <c r="L311" s="87"/>
      <c r="M311" s="85"/>
      <c r="N311" s="85"/>
      <c r="O311" s="65" t="s">
        <v>458</v>
      </c>
      <c r="P311" s="49" t="str">
        <f t="shared" si="85"/>
        <v>31/03/2025</v>
      </c>
      <c r="Q311" s="68">
        <f t="shared" si="86"/>
        <v>0</v>
      </c>
      <c r="R311" s="68">
        <f t="shared" si="87"/>
        <v>2</v>
      </c>
      <c r="S311" s="68">
        <f t="shared" si="88"/>
        <v>20</v>
      </c>
      <c r="T311" s="65"/>
      <c r="U311" s="89"/>
      <c r="V311" s="85"/>
      <c r="W311" s="88"/>
      <c r="X311" s="88"/>
      <c r="Y311" s="88"/>
      <c r="Z311" s="85"/>
      <c r="AA311" s="89"/>
      <c r="AB311" s="84"/>
      <c r="AC311" s="88"/>
      <c r="AD311" s="88"/>
      <c r="AE311" s="88"/>
      <c r="AF311" s="84"/>
      <c r="AG311" s="84"/>
      <c r="AH311" s="49" t="str">
        <f>IF(AG311="นิติศาสตร์","K5-LAW","K5-POLICY")</f>
        <v>K5-POLICY</v>
      </c>
      <c r="AI311" s="72" t="str">
        <f>_xlfn.IFS(B311="","",AND(AH311="K5-LAW",AG311="นิติศาสตร์",K311="S2",T311="",Z311=""),P311,AND(AH311="K5-LAW",AG311="นิติศาสตร์",K311="S1",T311="",Z311=""),EDATE(P311,12),AND(AH311="K5-LAW",AG311="นิติศาสตร์",OR(K311="M2",K311="K4"),T311="",Z311=""),EDATE(P311,12*2),AND(AH311="K5-LAW",AG311="นิติศาสตร์",OR(Z311="M2",Z311="K4"),AC311&gt;=2,OR(AB311&lt;V311,AB311&lt;P311)),EDATE(AB311,12*2),AND(AH311="K5-LAW",AG311="นิติศาสตร์",Z311="S1",AC311&gt;=1,OR(AB311&lt;V311,AB311&lt;P311)),EDATE(AB311,12),AND(AH311="K5-LAW",AG311="นิติศาสตร์",OR(T311="M2",T311="K4"),W311&gt;=2,V311&lt;P311),EDATE(V311,12*2),AND(AH311="K5-LAW",AG311="นิติศาสตร์",T311="S1",W311&gt;=1,V311&lt;P311),EDATE(V311,12),AND(AH311="K5-LAW",AG311="นิติศาสตร์",OR(T311="S2",T311="K5")),V311,AND(AH311="K5-LAW",AG311="นิติศาสตร์",OR(K311="M2",K311="K4"),Q311&gt;=2),EDATE(P311,12*2),AND(AH311="K5-LAW",AG311="นิติศาสตร์",K311="S1",Q311&gt;=1),EDATE(P311,12),AND(AH311="K5-LAW",AG311="นิติศาสตร์",OR(K311="S2",K311="K5")),P311,AND(AH311="K5-POLICY",AG311&lt;&gt;"นิติศาสตร์",K311="S2",T311="",Z311=""),P311,AND(AH311="K5-POLICY",AG311&lt;&gt;"นิติศาสตร์",K311="S1",T311="",Z311=""),EDATE(P311,12),AND(AH311="K5-POLICY",AG311&lt;&gt;"นิติศาสตร์",OR(K311="M2",K311="K4"),T311="",Z311=""),EDATE(P311,12*2),AND(AH311="K5-POLICY",AG311&lt;&gt;"นิติศาสตร์",OR(Z311="M2",Z311="K4"),AC311&gt;=2,OR(AB311&lt;V311,AB311&lt;P311)),EDATE(AB311,12*2),AND(AH311="K5-POLICY",AG311&lt;&gt;"นิติศาสตร์",Z311="S1",AC311&gt;=1,OR(AB311&lt;V311,AB311&lt;P311)),EDATE(AB311,12),AND(AH311="K5-POLICY",AG311&lt;&gt;"นิติศาสตร์",OR(T311="M2",T311="K4"),W311&gt;=2,V311&lt;P311),EDATE(V311,12*2),AND(AH311="K5-POLICY",AG311&lt;&gt;"นิติศาสตร์",T311="S1",W311&gt;=1,V311&lt;P311),EDATE(V311,12),AND(AH311="K5-POLICY",AG311&lt;&gt;"นิติศาสตร์",OR(T311="S2",T311="K5")),V311,AND(AH311="K5-POLICY",AG311&lt;&gt;"นิติศาสตร์",OR(K311="M2",K311="K4"),Q311&gt;=2),EDATE(P311,12*2),AND(AH311="K5-POLICY",AG311&lt;&gt;"นิติศาสตร์",K311="S1",Q311&gt;=1),EDATE(P311,12),AND(AH311="K5-POLICY",AG311&lt;&gt;"นิติศาสตร์",OR(K311="S2",K311="K5")),P311,TRUE,"Check Data")</f>
        <v/>
      </c>
      <c r="AJ311" s="75" t="str">
        <f t="shared" si="89"/>
        <v>Check Data</v>
      </c>
      <c r="AK311" s="76" t="str">
        <f t="shared" si="90"/>
        <v>Check Data</v>
      </c>
      <c r="AL311" s="50" t="str">
        <f t="shared" si="91"/>
        <v>Check Data</v>
      </c>
      <c r="AM311" s="49" t="str">
        <f>IF(B311="","",IF(K311="S1","S1",INDEX(#REF!,#REF!)))</f>
        <v/>
      </c>
      <c r="AN311" s="49" t="str">
        <f>K311</f>
        <v>M2</v>
      </c>
      <c r="AO311" s="50" t="b">
        <f>K311=AM311</f>
        <v>0</v>
      </c>
    </row>
    <row r="312" spans="1:41" ht="21.75">
      <c r="A312" s="49">
        <v>310</v>
      </c>
      <c r="B312" s="50"/>
      <c r="C312" s="52"/>
      <c r="D312" s="84"/>
      <c r="E312" s="85"/>
      <c r="F312" s="85"/>
      <c r="G312" s="50">
        <f t="shared" si="82"/>
        <v>0</v>
      </c>
      <c r="H312" s="50">
        <f t="shared" si="83"/>
        <v>0</v>
      </c>
      <c r="I312" s="50">
        <f t="shared" si="84"/>
        <v>0</v>
      </c>
      <c r="J312" s="84"/>
      <c r="K312" s="49" t="s">
        <v>136</v>
      </c>
      <c r="L312" s="87"/>
      <c r="M312" s="85"/>
      <c r="N312" s="85"/>
      <c r="O312" s="65" t="s">
        <v>458</v>
      </c>
      <c r="P312" s="49" t="str">
        <f t="shared" si="85"/>
        <v>31/03/2025</v>
      </c>
      <c r="Q312" s="68">
        <f t="shared" si="86"/>
        <v>0</v>
      </c>
      <c r="R312" s="68">
        <f t="shared" si="87"/>
        <v>2</v>
      </c>
      <c r="S312" s="68">
        <f t="shared" si="88"/>
        <v>20</v>
      </c>
      <c r="T312" s="65"/>
      <c r="U312" s="89"/>
      <c r="V312" s="85"/>
      <c r="W312" s="88"/>
      <c r="X312" s="88"/>
      <c r="Y312" s="88"/>
      <c r="Z312" s="85"/>
      <c r="AA312" s="89"/>
      <c r="AB312" s="84"/>
      <c r="AC312" s="88"/>
      <c r="AD312" s="88"/>
      <c r="AE312" s="88"/>
      <c r="AF312" s="84"/>
      <c r="AG312" s="84"/>
      <c r="AH312" s="49" t="str">
        <f>IF(AG312="นิติศาสตร์","K5-LAW","K5-POLICY")</f>
        <v>K5-POLICY</v>
      </c>
      <c r="AI312" s="72" t="str">
        <f>_xlfn.IFS(B312="","",AND(AH312="K5-LAW",AG312="นิติศาสตร์",K312="S2",T312="",Z312=""),P312,AND(AH312="K5-LAW",AG312="นิติศาสตร์",K312="S1",T312="",Z312=""),EDATE(P312,12),AND(AH312="K5-LAW",AG312="นิติศาสตร์",OR(K312="M2",K312="K4"),T312="",Z312=""),EDATE(P312,12*2),AND(AH312="K5-LAW",AG312="นิติศาสตร์",OR(Z312="M2",Z312="K4"),AC312&gt;=2,OR(AB312&lt;V312,AB312&lt;P312)),EDATE(AB312,12*2),AND(AH312="K5-LAW",AG312="นิติศาสตร์",Z312="S1",AC312&gt;=1,OR(AB312&lt;V312,AB312&lt;P312)),EDATE(AB312,12),AND(AH312="K5-LAW",AG312="นิติศาสตร์",OR(T312="M2",T312="K4"),W312&gt;=2,V312&lt;P312),EDATE(V312,12*2),AND(AH312="K5-LAW",AG312="นิติศาสตร์",T312="S1",W312&gt;=1,V312&lt;P312),EDATE(V312,12),AND(AH312="K5-LAW",AG312="นิติศาสตร์",OR(T312="S2",T312="K5")),V312,AND(AH312="K5-LAW",AG312="นิติศาสตร์",OR(K312="M2",K312="K4"),Q312&gt;=2),EDATE(P312,12*2),AND(AH312="K5-LAW",AG312="นิติศาสตร์",K312="S1",Q312&gt;=1),EDATE(P312,12),AND(AH312="K5-LAW",AG312="นิติศาสตร์",OR(K312="S2",K312="K5")),P312,AND(AH312="K5-POLICY",AG312&lt;&gt;"นิติศาสตร์",K312="S2",T312="",Z312=""),P312,AND(AH312="K5-POLICY",AG312&lt;&gt;"นิติศาสตร์",K312="S1",T312="",Z312=""),EDATE(P312,12),AND(AH312="K5-POLICY",AG312&lt;&gt;"นิติศาสตร์",OR(K312="M2",K312="K4"),T312="",Z312=""),EDATE(P312,12*2),AND(AH312="K5-POLICY",AG312&lt;&gt;"นิติศาสตร์",OR(Z312="M2",Z312="K4"),AC312&gt;=2,OR(AB312&lt;V312,AB312&lt;P312)),EDATE(AB312,12*2),AND(AH312="K5-POLICY",AG312&lt;&gt;"นิติศาสตร์",Z312="S1",AC312&gt;=1,OR(AB312&lt;V312,AB312&lt;P312)),EDATE(AB312,12),AND(AH312="K5-POLICY",AG312&lt;&gt;"นิติศาสตร์",OR(T312="M2",T312="K4"),W312&gt;=2,V312&lt;P312),EDATE(V312,12*2),AND(AH312="K5-POLICY",AG312&lt;&gt;"นิติศาสตร์",T312="S1",W312&gt;=1,V312&lt;P312),EDATE(V312,12),AND(AH312="K5-POLICY",AG312&lt;&gt;"นิติศาสตร์",OR(T312="S2",T312="K5")),V312,AND(AH312="K5-POLICY",AG312&lt;&gt;"นิติศาสตร์",OR(K312="M2",K312="K4"),Q312&gt;=2),EDATE(P312,12*2),AND(AH312="K5-POLICY",AG312&lt;&gt;"นิติศาสตร์",K312="S1",Q312&gt;=1),EDATE(P312,12),AND(AH312="K5-POLICY",AG312&lt;&gt;"นิติศาสตร์",OR(K312="S2",K312="K5")),P312,TRUE,"Check Data")</f>
        <v/>
      </c>
      <c r="AJ312" s="75" t="str">
        <f t="shared" si="89"/>
        <v>Check Data</v>
      </c>
      <c r="AK312" s="76" t="str">
        <f t="shared" si="90"/>
        <v>Check Data</v>
      </c>
      <c r="AL312" s="50" t="str">
        <f t="shared" si="91"/>
        <v>Check Data</v>
      </c>
      <c r="AM312" s="49" t="str">
        <f>IF(B312="","",IF(K312="S1","S1",INDEX(#REF!,#REF!)))</f>
        <v/>
      </c>
      <c r="AN312" s="49" t="str">
        <f>K312</f>
        <v>M2</v>
      </c>
      <c r="AO312" s="50" t="b">
        <f>K312=AM312</f>
        <v>0</v>
      </c>
    </row>
    <row r="313" spans="1:41" ht="21.75">
      <c r="A313" s="49">
        <v>311</v>
      </c>
      <c r="B313" s="50"/>
      <c r="C313" s="52"/>
      <c r="D313" s="84"/>
      <c r="E313" s="85"/>
      <c r="F313" s="85"/>
      <c r="G313" s="50">
        <f t="shared" si="82"/>
        <v>0</v>
      </c>
      <c r="H313" s="50">
        <f t="shared" si="83"/>
        <v>0</v>
      </c>
      <c r="I313" s="50">
        <f t="shared" si="84"/>
        <v>0</v>
      </c>
      <c r="J313" s="84"/>
      <c r="K313" s="49" t="s">
        <v>136</v>
      </c>
      <c r="L313" s="87"/>
      <c r="M313" s="85"/>
      <c r="N313" s="85"/>
      <c r="O313" s="65" t="s">
        <v>458</v>
      </c>
      <c r="P313" s="49" t="str">
        <f t="shared" si="85"/>
        <v>31/03/2025</v>
      </c>
      <c r="Q313" s="68">
        <f t="shared" si="86"/>
        <v>0</v>
      </c>
      <c r="R313" s="68">
        <f t="shared" si="87"/>
        <v>2</v>
      </c>
      <c r="S313" s="68">
        <f t="shared" si="88"/>
        <v>20</v>
      </c>
      <c r="T313" s="65"/>
      <c r="U313" s="89"/>
      <c r="V313" s="85"/>
      <c r="W313" s="88"/>
      <c r="X313" s="88"/>
      <c r="Y313" s="88"/>
      <c r="Z313" s="85"/>
      <c r="AA313" s="89"/>
      <c r="AB313" s="84"/>
      <c r="AC313" s="88"/>
      <c r="AD313" s="88"/>
      <c r="AE313" s="88"/>
      <c r="AF313" s="84"/>
      <c r="AG313" s="84"/>
      <c r="AH313" s="49" t="str">
        <f>IF(AG313="นิติศาสตร์","K5-LAW","K5-POLICY")</f>
        <v>K5-POLICY</v>
      </c>
      <c r="AI313" s="72" t="str">
        <f>_xlfn.IFS(B313="","",AND(AH313="K5-LAW",AG313="นิติศาสตร์",K313="S2",T313="",Z313=""),P313,AND(AH313="K5-LAW",AG313="นิติศาสตร์",K313="S1",T313="",Z313=""),EDATE(P313,12),AND(AH313="K5-LAW",AG313="นิติศาสตร์",OR(K313="M2",K313="K4"),T313="",Z313=""),EDATE(P313,12*2),AND(AH313="K5-LAW",AG313="นิติศาสตร์",OR(Z313="M2",Z313="K4"),AC313&gt;=2,OR(AB313&lt;V313,AB313&lt;P313)),EDATE(AB313,12*2),AND(AH313="K5-LAW",AG313="นิติศาสตร์",Z313="S1",AC313&gt;=1,OR(AB313&lt;V313,AB313&lt;P313)),EDATE(AB313,12),AND(AH313="K5-LAW",AG313="นิติศาสตร์",OR(T313="M2",T313="K4"),W313&gt;=2,V313&lt;P313),EDATE(V313,12*2),AND(AH313="K5-LAW",AG313="นิติศาสตร์",T313="S1",W313&gt;=1,V313&lt;P313),EDATE(V313,12),AND(AH313="K5-LAW",AG313="นิติศาสตร์",OR(T313="S2",T313="K5")),V313,AND(AH313="K5-LAW",AG313="นิติศาสตร์",OR(K313="M2",K313="K4"),Q313&gt;=2),EDATE(P313,12*2),AND(AH313="K5-LAW",AG313="นิติศาสตร์",K313="S1",Q313&gt;=1),EDATE(P313,12),AND(AH313="K5-LAW",AG313="นิติศาสตร์",OR(K313="S2",K313="K5")),P313,AND(AH313="K5-POLICY",AG313&lt;&gt;"นิติศาสตร์",K313="S2",T313="",Z313=""),P313,AND(AH313="K5-POLICY",AG313&lt;&gt;"นิติศาสตร์",K313="S1",T313="",Z313=""),EDATE(P313,12),AND(AH313="K5-POLICY",AG313&lt;&gt;"นิติศาสตร์",OR(K313="M2",K313="K4"),T313="",Z313=""),EDATE(P313,12*2),AND(AH313="K5-POLICY",AG313&lt;&gt;"นิติศาสตร์",OR(Z313="M2",Z313="K4"),AC313&gt;=2,OR(AB313&lt;V313,AB313&lt;P313)),EDATE(AB313,12*2),AND(AH313="K5-POLICY",AG313&lt;&gt;"นิติศาสตร์",Z313="S1",AC313&gt;=1,OR(AB313&lt;V313,AB313&lt;P313)),EDATE(AB313,12),AND(AH313="K5-POLICY",AG313&lt;&gt;"นิติศาสตร์",OR(T313="M2",T313="K4"),W313&gt;=2,V313&lt;P313),EDATE(V313,12*2),AND(AH313="K5-POLICY",AG313&lt;&gt;"นิติศาสตร์",T313="S1",W313&gt;=1,V313&lt;P313),EDATE(V313,12),AND(AH313="K5-POLICY",AG313&lt;&gt;"นิติศาสตร์",OR(T313="S2",T313="K5")),V313,AND(AH313="K5-POLICY",AG313&lt;&gt;"นิติศาสตร์",OR(K313="M2",K313="K4"),Q313&gt;=2),EDATE(P313,12*2),AND(AH313="K5-POLICY",AG313&lt;&gt;"นิติศาสตร์",K313="S1",Q313&gt;=1),EDATE(P313,12),AND(AH313="K5-POLICY",AG313&lt;&gt;"นิติศาสตร์",OR(K313="S2",K313="K5")),P313,TRUE,"Check Data")</f>
        <v/>
      </c>
      <c r="AJ313" s="75" t="str">
        <f t="shared" si="89"/>
        <v>Check Data</v>
      </c>
      <c r="AK313" s="76" t="str">
        <f t="shared" si="90"/>
        <v>Check Data</v>
      </c>
      <c r="AL313" s="50" t="str">
        <f t="shared" si="91"/>
        <v>Check Data</v>
      </c>
      <c r="AM313" s="49" t="str">
        <f>IF(B313="","",IF(K313="S1","S1",INDEX(#REF!,#REF!)))</f>
        <v/>
      </c>
      <c r="AN313" s="49" t="str">
        <f>K313</f>
        <v>M2</v>
      </c>
      <c r="AO313" s="50" t="b">
        <f>K313=AM313</f>
        <v>0</v>
      </c>
    </row>
    <row r="314" spans="1:41" ht="21.75">
      <c r="A314" s="49">
        <v>312</v>
      </c>
      <c r="B314" s="50"/>
      <c r="C314" s="52"/>
      <c r="D314" s="84"/>
      <c r="E314" s="85"/>
      <c r="F314" s="85"/>
      <c r="G314" s="50">
        <f t="shared" si="82"/>
        <v>0</v>
      </c>
      <c r="H314" s="50">
        <f t="shared" si="83"/>
        <v>0</v>
      </c>
      <c r="I314" s="50">
        <f t="shared" si="84"/>
        <v>0</v>
      </c>
      <c r="J314" s="84"/>
      <c r="K314" s="49" t="s">
        <v>136</v>
      </c>
      <c r="L314" s="87"/>
      <c r="M314" s="85"/>
      <c r="N314" s="85"/>
      <c r="O314" s="65" t="s">
        <v>458</v>
      </c>
      <c r="P314" s="49" t="str">
        <f t="shared" si="85"/>
        <v>31/03/2025</v>
      </c>
      <c r="Q314" s="68">
        <f t="shared" si="86"/>
        <v>0</v>
      </c>
      <c r="R314" s="68">
        <f t="shared" si="87"/>
        <v>2</v>
      </c>
      <c r="S314" s="68">
        <f t="shared" si="88"/>
        <v>20</v>
      </c>
      <c r="T314" s="65"/>
      <c r="U314" s="89"/>
      <c r="V314" s="85"/>
      <c r="W314" s="88"/>
      <c r="X314" s="88"/>
      <c r="Y314" s="88"/>
      <c r="Z314" s="85"/>
      <c r="AA314" s="89"/>
      <c r="AB314" s="84"/>
      <c r="AC314" s="88"/>
      <c r="AD314" s="88"/>
      <c r="AE314" s="88"/>
      <c r="AF314" s="84"/>
      <c r="AG314" s="84"/>
      <c r="AH314" s="49" t="str">
        <f>IF(AG314="นิติศาสตร์","K5-LAW","K5-POLICY")</f>
        <v>K5-POLICY</v>
      </c>
      <c r="AI314" s="72" t="str">
        <f>_xlfn.IFS(B314="","",AND(AH314="K5-LAW",AG314="นิติศาสตร์",K314="S2",T314="",Z314=""),P314,AND(AH314="K5-LAW",AG314="นิติศาสตร์",K314="S1",T314="",Z314=""),EDATE(P314,12),AND(AH314="K5-LAW",AG314="นิติศาสตร์",OR(K314="M2",K314="K4"),T314="",Z314=""),EDATE(P314,12*2),AND(AH314="K5-LAW",AG314="นิติศาสตร์",OR(Z314="M2",Z314="K4"),AC314&gt;=2,OR(AB314&lt;V314,AB314&lt;P314)),EDATE(AB314,12*2),AND(AH314="K5-LAW",AG314="นิติศาสตร์",Z314="S1",AC314&gt;=1,OR(AB314&lt;V314,AB314&lt;P314)),EDATE(AB314,12),AND(AH314="K5-LAW",AG314="นิติศาสตร์",OR(T314="M2",T314="K4"),W314&gt;=2,V314&lt;P314),EDATE(V314,12*2),AND(AH314="K5-LAW",AG314="นิติศาสตร์",T314="S1",W314&gt;=1,V314&lt;P314),EDATE(V314,12),AND(AH314="K5-LAW",AG314="นิติศาสตร์",OR(T314="S2",T314="K5")),V314,AND(AH314="K5-LAW",AG314="นิติศาสตร์",OR(K314="M2",K314="K4"),Q314&gt;=2),EDATE(P314,12*2),AND(AH314="K5-LAW",AG314="นิติศาสตร์",K314="S1",Q314&gt;=1),EDATE(P314,12),AND(AH314="K5-LAW",AG314="นิติศาสตร์",OR(K314="S2",K314="K5")),P314,AND(AH314="K5-POLICY",AG314&lt;&gt;"นิติศาสตร์",K314="S2",T314="",Z314=""),P314,AND(AH314="K5-POLICY",AG314&lt;&gt;"นิติศาสตร์",K314="S1",T314="",Z314=""),EDATE(P314,12),AND(AH314="K5-POLICY",AG314&lt;&gt;"นิติศาสตร์",OR(K314="M2",K314="K4"),T314="",Z314=""),EDATE(P314,12*2),AND(AH314="K5-POLICY",AG314&lt;&gt;"นิติศาสตร์",OR(Z314="M2",Z314="K4"),AC314&gt;=2,OR(AB314&lt;V314,AB314&lt;P314)),EDATE(AB314,12*2),AND(AH314="K5-POLICY",AG314&lt;&gt;"นิติศาสตร์",Z314="S1",AC314&gt;=1,OR(AB314&lt;V314,AB314&lt;P314)),EDATE(AB314,12),AND(AH314="K5-POLICY",AG314&lt;&gt;"นิติศาสตร์",OR(T314="M2",T314="K4"),W314&gt;=2,V314&lt;P314),EDATE(V314,12*2),AND(AH314="K5-POLICY",AG314&lt;&gt;"นิติศาสตร์",T314="S1",W314&gt;=1,V314&lt;P314),EDATE(V314,12),AND(AH314="K5-POLICY",AG314&lt;&gt;"นิติศาสตร์",OR(T314="S2",T314="K5")),V314,AND(AH314="K5-POLICY",AG314&lt;&gt;"นิติศาสตร์",OR(K314="M2",K314="K4"),Q314&gt;=2),EDATE(P314,12*2),AND(AH314="K5-POLICY",AG314&lt;&gt;"นิติศาสตร์",K314="S1",Q314&gt;=1),EDATE(P314,12),AND(AH314="K5-POLICY",AG314&lt;&gt;"นิติศาสตร์",OR(K314="S2",K314="K5")),P314,TRUE,"Check Data")</f>
        <v/>
      </c>
      <c r="AJ314" s="75" t="str">
        <f t="shared" si="89"/>
        <v>Check Data</v>
      </c>
      <c r="AK314" s="76" t="str">
        <f t="shared" si="90"/>
        <v>Check Data</v>
      </c>
      <c r="AL314" s="50" t="str">
        <f t="shared" si="91"/>
        <v>Check Data</v>
      </c>
      <c r="AM314" s="49" t="str">
        <f>IF(B314="","",IF(K314="S1","S1",INDEX(#REF!,#REF!)))</f>
        <v/>
      </c>
      <c r="AN314" s="49" t="str">
        <f>K314</f>
        <v>M2</v>
      </c>
      <c r="AO314" s="50" t="b">
        <f>K314=AM314</f>
        <v>0</v>
      </c>
    </row>
    <row r="315" spans="1:41" ht="21.75">
      <c r="A315" s="49">
        <v>313</v>
      </c>
      <c r="B315" s="50"/>
      <c r="C315" s="52"/>
      <c r="D315" s="84"/>
      <c r="E315" s="85"/>
      <c r="F315" s="85"/>
      <c r="G315" s="50">
        <f t="shared" si="82"/>
        <v>0</v>
      </c>
      <c r="H315" s="50">
        <f t="shared" si="83"/>
        <v>0</v>
      </c>
      <c r="I315" s="50">
        <f t="shared" si="84"/>
        <v>0</v>
      </c>
      <c r="J315" s="84"/>
      <c r="K315" s="49" t="s">
        <v>136</v>
      </c>
      <c r="L315" s="87"/>
      <c r="M315" s="85"/>
      <c r="N315" s="85"/>
      <c r="O315" s="65" t="s">
        <v>458</v>
      </c>
      <c r="P315" s="49" t="str">
        <f t="shared" si="85"/>
        <v>31/03/2025</v>
      </c>
      <c r="Q315" s="68">
        <f t="shared" si="86"/>
        <v>0</v>
      </c>
      <c r="R315" s="68">
        <f t="shared" si="87"/>
        <v>2</v>
      </c>
      <c r="S315" s="68">
        <f t="shared" si="88"/>
        <v>20</v>
      </c>
      <c r="T315" s="65"/>
      <c r="U315" s="89"/>
      <c r="V315" s="85"/>
      <c r="W315" s="88"/>
      <c r="X315" s="88"/>
      <c r="Y315" s="88"/>
      <c r="Z315" s="85"/>
      <c r="AA315" s="89"/>
      <c r="AB315" s="84"/>
      <c r="AC315" s="88"/>
      <c r="AD315" s="88"/>
      <c r="AE315" s="88"/>
      <c r="AF315" s="84"/>
      <c r="AG315" s="84"/>
      <c r="AH315" s="49" t="str">
        <f>IF(AG315="นิติศาสตร์","K5-LAW","K5-POLICY")</f>
        <v>K5-POLICY</v>
      </c>
      <c r="AI315" s="72" t="str">
        <f>_xlfn.IFS(B315="","",AND(AH315="K5-LAW",AG315="นิติศาสตร์",K315="S2",T315="",Z315=""),P315,AND(AH315="K5-LAW",AG315="นิติศาสตร์",K315="S1",T315="",Z315=""),EDATE(P315,12),AND(AH315="K5-LAW",AG315="นิติศาสตร์",OR(K315="M2",K315="K4"),T315="",Z315=""),EDATE(P315,12*2),AND(AH315="K5-LAW",AG315="นิติศาสตร์",OR(Z315="M2",Z315="K4"),AC315&gt;=2,OR(AB315&lt;V315,AB315&lt;P315)),EDATE(AB315,12*2),AND(AH315="K5-LAW",AG315="นิติศาสตร์",Z315="S1",AC315&gt;=1,OR(AB315&lt;V315,AB315&lt;P315)),EDATE(AB315,12),AND(AH315="K5-LAW",AG315="นิติศาสตร์",OR(T315="M2",T315="K4"),W315&gt;=2,V315&lt;P315),EDATE(V315,12*2),AND(AH315="K5-LAW",AG315="นิติศาสตร์",T315="S1",W315&gt;=1,V315&lt;P315),EDATE(V315,12),AND(AH315="K5-LAW",AG315="นิติศาสตร์",OR(T315="S2",T315="K5")),V315,AND(AH315="K5-LAW",AG315="นิติศาสตร์",OR(K315="M2",K315="K4"),Q315&gt;=2),EDATE(P315,12*2),AND(AH315="K5-LAW",AG315="นิติศาสตร์",K315="S1",Q315&gt;=1),EDATE(P315,12),AND(AH315="K5-LAW",AG315="นิติศาสตร์",OR(K315="S2",K315="K5")),P315,AND(AH315="K5-POLICY",AG315&lt;&gt;"นิติศาสตร์",K315="S2",T315="",Z315=""),P315,AND(AH315="K5-POLICY",AG315&lt;&gt;"นิติศาสตร์",K315="S1",T315="",Z315=""),EDATE(P315,12),AND(AH315="K5-POLICY",AG315&lt;&gt;"นิติศาสตร์",OR(K315="M2",K315="K4"),T315="",Z315=""),EDATE(P315,12*2),AND(AH315="K5-POLICY",AG315&lt;&gt;"นิติศาสตร์",OR(Z315="M2",Z315="K4"),AC315&gt;=2,OR(AB315&lt;V315,AB315&lt;P315)),EDATE(AB315,12*2),AND(AH315="K5-POLICY",AG315&lt;&gt;"นิติศาสตร์",Z315="S1",AC315&gt;=1,OR(AB315&lt;V315,AB315&lt;P315)),EDATE(AB315,12),AND(AH315="K5-POLICY",AG315&lt;&gt;"นิติศาสตร์",OR(T315="M2",T315="K4"),W315&gt;=2,V315&lt;P315),EDATE(V315,12*2),AND(AH315="K5-POLICY",AG315&lt;&gt;"นิติศาสตร์",T315="S1",W315&gt;=1,V315&lt;P315),EDATE(V315,12),AND(AH315="K5-POLICY",AG315&lt;&gt;"นิติศาสตร์",OR(T315="S2",T315="K5")),V315,AND(AH315="K5-POLICY",AG315&lt;&gt;"นิติศาสตร์",OR(K315="M2",K315="K4"),Q315&gt;=2),EDATE(P315,12*2),AND(AH315="K5-POLICY",AG315&lt;&gt;"นิติศาสตร์",K315="S1",Q315&gt;=1),EDATE(P315,12),AND(AH315="K5-POLICY",AG315&lt;&gt;"นิติศาสตร์",OR(K315="S2",K315="K5")),P315,TRUE,"Check Data")</f>
        <v/>
      </c>
      <c r="AJ315" s="75" t="str">
        <f t="shared" si="89"/>
        <v>Check Data</v>
      </c>
      <c r="AK315" s="76" t="str">
        <f t="shared" si="90"/>
        <v>Check Data</v>
      </c>
      <c r="AL315" s="50" t="str">
        <f t="shared" si="91"/>
        <v>Check Data</v>
      </c>
      <c r="AM315" s="49" t="str">
        <f>IF(B315="","",IF(K315="S1","S1",INDEX(#REF!,#REF!)))</f>
        <v/>
      </c>
      <c r="AN315" s="49" t="str">
        <f>K315</f>
        <v>M2</v>
      </c>
      <c r="AO315" s="50" t="b">
        <f>K315=AM315</f>
        <v>0</v>
      </c>
    </row>
    <row r="316" spans="1:41" ht="21.75">
      <c r="A316" s="49">
        <v>314</v>
      </c>
      <c r="B316" s="50"/>
      <c r="C316" s="52"/>
      <c r="D316" s="84"/>
      <c r="E316" s="85"/>
      <c r="F316" s="85"/>
      <c r="G316" s="50">
        <f t="shared" si="82"/>
        <v>0</v>
      </c>
      <c r="H316" s="50">
        <f t="shared" si="83"/>
        <v>0</v>
      </c>
      <c r="I316" s="50">
        <f t="shared" si="84"/>
        <v>0</v>
      </c>
      <c r="J316" s="84"/>
      <c r="K316" s="49" t="s">
        <v>136</v>
      </c>
      <c r="L316" s="87"/>
      <c r="M316" s="85"/>
      <c r="N316" s="85"/>
      <c r="O316" s="65" t="s">
        <v>458</v>
      </c>
      <c r="P316" s="49" t="str">
        <f t="shared" si="85"/>
        <v>31/03/2025</v>
      </c>
      <c r="Q316" s="68">
        <f t="shared" si="86"/>
        <v>0</v>
      </c>
      <c r="R316" s="68">
        <f t="shared" si="87"/>
        <v>2</v>
      </c>
      <c r="S316" s="68">
        <f t="shared" si="88"/>
        <v>20</v>
      </c>
      <c r="T316" s="65"/>
      <c r="U316" s="89"/>
      <c r="V316" s="85"/>
      <c r="W316" s="88"/>
      <c r="X316" s="88"/>
      <c r="Y316" s="88"/>
      <c r="Z316" s="85"/>
      <c r="AA316" s="89"/>
      <c r="AB316" s="84"/>
      <c r="AC316" s="88"/>
      <c r="AD316" s="88"/>
      <c r="AE316" s="88"/>
      <c r="AF316" s="84"/>
      <c r="AG316" s="84"/>
      <c r="AH316" s="49" t="str">
        <f>IF(AG316="นิติศาสตร์","K5-LAW","K5-POLICY")</f>
        <v>K5-POLICY</v>
      </c>
      <c r="AI316" s="72" t="str">
        <f>_xlfn.IFS(B316="","",AND(AH316="K5-LAW",AG316="นิติศาสตร์",K316="S2",T316="",Z316=""),P316,AND(AH316="K5-LAW",AG316="นิติศาสตร์",K316="S1",T316="",Z316=""),EDATE(P316,12),AND(AH316="K5-LAW",AG316="นิติศาสตร์",OR(K316="M2",K316="K4"),T316="",Z316=""),EDATE(P316,12*2),AND(AH316="K5-LAW",AG316="นิติศาสตร์",OR(Z316="M2",Z316="K4"),AC316&gt;=2,OR(AB316&lt;V316,AB316&lt;P316)),EDATE(AB316,12*2),AND(AH316="K5-LAW",AG316="นิติศาสตร์",Z316="S1",AC316&gt;=1,OR(AB316&lt;V316,AB316&lt;P316)),EDATE(AB316,12),AND(AH316="K5-LAW",AG316="นิติศาสตร์",OR(T316="M2",T316="K4"),W316&gt;=2,V316&lt;P316),EDATE(V316,12*2),AND(AH316="K5-LAW",AG316="นิติศาสตร์",T316="S1",W316&gt;=1,V316&lt;P316),EDATE(V316,12),AND(AH316="K5-LAW",AG316="นิติศาสตร์",OR(T316="S2",T316="K5")),V316,AND(AH316="K5-LAW",AG316="นิติศาสตร์",OR(K316="M2",K316="K4"),Q316&gt;=2),EDATE(P316,12*2),AND(AH316="K5-LAW",AG316="นิติศาสตร์",K316="S1",Q316&gt;=1),EDATE(P316,12),AND(AH316="K5-LAW",AG316="นิติศาสตร์",OR(K316="S2",K316="K5")),P316,AND(AH316="K5-POLICY",AG316&lt;&gt;"นิติศาสตร์",K316="S2",T316="",Z316=""),P316,AND(AH316="K5-POLICY",AG316&lt;&gt;"นิติศาสตร์",K316="S1",T316="",Z316=""),EDATE(P316,12),AND(AH316="K5-POLICY",AG316&lt;&gt;"นิติศาสตร์",OR(K316="M2",K316="K4"),T316="",Z316=""),EDATE(P316,12*2),AND(AH316="K5-POLICY",AG316&lt;&gt;"นิติศาสตร์",OR(Z316="M2",Z316="K4"),AC316&gt;=2,OR(AB316&lt;V316,AB316&lt;P316)),EDATE(AB316,12*2),AND(AH316="K5-POLICY",AG316&lt;&gt;"นิติศาสตร์",Z316="S1",AC316&gt;=1,OR(AB316&lt;V316,AB316&lt;P316)),EDATE(AB316,12),AND(AH316="K5-POLICY",AG316&lt;&gt;"นิติศาสตร์",OR(T316="M2",T316="K4"),W316&gt;=2,V316&lt;P316),EDATE(V316,12*2),AND(AH316="K5-POLICY",AG316&lt;&gt;"นิติศาสตร์",T316="S1",W316&gt;=1,V316&lt;P316),EDATE(V316,12),AND(AH316="K5-POLICY",AG316&lt;&gt;"นิติศาสตร์",OR(T316="S2",T316="K5")),V316,AND(AH316="K5-POLICY",AG316&lt;&gt;"นิติศาสตร์",OR(K316="M2",K316="K4"),Q316&gt;=2),EDATE(P316,12*2),AND(AH316="K5-POLICY",AG316&lt;&gt;"นิติศาสตร์",K316="S1",Q316&gt;=1),EDATE(P316,12),AND(AH316="K5-POLICY",AG316&lt;&gt;"นิติศาสตร์",OR(K316="S2",K316="K5")),P316,TRUE,"Check Data")</f>
        <v/>
      </c>
      <c r="AJ316" s="75" t="str">
        <f t="shared" si="89"/>
        <v>Check Data</v>
      </c>
      <c r="AK316" s="76" t="str">
        <f t="shared" si="90"/>
        <v>Check Data</v>
      </c>
      <c r="AL316" s="50" t="str">
        <f t="shared" si="91"/>
        <v>Check Data</v>
      </c>
      <c r="AM316" s="49" t="str">
        <f>IF(B316="","",IF(K316="S1","S1",INDEX(#REF!,#REF!)))</f>
        <v/>
      </c>
      <c r="AN316" s="49" t="str">
        <f>K316</f>
        <v>M2</v>
      </c>
      <c r="AO316" s="50" t="b">
        <f>K316=AM316</f>
        <v>0</v>
      </c>
    </row>
    <row r="317" spans="1:41" ht="21.75">
      <c r="A317" s="49">
        <v>315</v>
      </c>
      <c r="B317" s="50"/>
      <c r="C317" s="54"/>
      <c r="D317" s="84" t="s">
        <v>144</v>
      </c>
      <c r="E317" s="85" t="s">
        <v>208</v>
      </c>
      <c r="F317" s="85" t="str">
        <f t="shared" ref="F317:F338" si="92">IF(E317="","",TEXT(EDATE(E317,-543*12),"dd/mm/yyyy"))</f>
        <v>01/02/1990</v>
      </c>
      <c r="G317" s="50">
        <f t="shared" si="82"/>
        <v>35</v>
      </c>
      <c r="H317" s="50">
        <f t="shared" si="83"/>
        <v>4</v>
      </c>
      <c r="I317" s="50">
        <f t="shared" si="84"/>
        <v>19</v>
      </c>
      <c r="J317" s="84"/>
      <c r="K317" s="49" t="s">
        <v>137</v>
      </c>
      <c r="L317" s="87"/>
      <c r="M317" s="85"/>
      <c r="N317" s="85"/>
      <c r="O317" s="65" t="s">
        <v>413</v>
      </c>
      <c r="P317" s="49" t="str">
        <f t="shared" si="85"/>
        <v>31/03/2015</v>
      </c>
      <c r="Q317" s="68">
        <f t="shared" si="86"/>
        <v>10</v>
      </c>
      <c r="R317" s="68">
        <f t="shared" si="87"/>
        <v>2</v>
      </c>
      <c r="S317" s="68">
        <f t="shared" si="88"/>
        <v>20</v>
      </c>
      <c r="T317" s="65"/>
      <c r="U317" s="89"/>
      <c r="V317" s="85" t="str">
        <f t="shared" ref="V317:V338" si="93">IF(U317="","",TEXT(EDATE(U317,-543*12),"dd/mm/yyyy"))</f>
        <v/>
      </c>
      <c r="W317" s="88">
        <f>IF(V317="",0,DATEDIF(V317,P317,"Y"))</f>
        <v>0</v>
      </c>
      <c r="X317" s="88">
        <f>IF(V317="",0,DATEDIF(V317,P317,"YM"))</f>
        <v>0</v>
      </c>
      <c r="Y317" s="88">
        <f>IF(V317="",0,DATEDIF(V317,P317,"MD"))</f>
        <v>0</v>
      </c>
      <c r="Z317" s="85"/>
      <c r="AA317" s="89"/>
      <c r="AB317" s="84" t="str">
        <f t="shared" ref="AB317:AB338" si="94">IF(AA317="","",TEXT(EDATE(AA317,-543*12),"dd/mm/yyyy"))</f>
        <v/>
      </c>
      <c r="AC317" s="88">
        <f t="shared" ref="AC317:AC338" si="95">IF(AB317="",0,DATEDIF(AB317,V317,"Y"))</f>
        <v>0</v>
      </c>
      <c r="AD317" s="88">
        <f t="shared" ref="AD317:AD338" si="96">IF(AB317="",0,DATEDIF(AB317,V317,"YM"))</f>
        <v>0</v>
      </c>
      <c r="AE317" s="88">
        <f t="shared" ref="AE317:AE338" si="97">IF(AB317="",0,DATEDIF(AB317,V317,"MD"))</f>
        <v>0</v>
      </c>
      <c r="AF317" s="84"/>
      <c r="AG317" s="84" t="s">
        <v>138</v>
      </c>
      <c r="AH317" s="49" t="str">
        <f>IF(AG317="นิติศาสตร์","K5-LAW","K5-POLICY")</f>
        <v>K5-LAW</v>
      </c>
      <c r="AI317" s="72" t="str">
        <f>_xlfn.IFS(B317="","",AND(AH317="K5-LAW",AG317="นิติศาสตร์",K317="S2",T317="",Z317=""),P317,AND(AH317="K5-LAW",AG317="นิติศาสตร์",K317="S1",T317="",Z317=""),EDATE(P317,12),AND(AH317="K5-LAW",AG317="นิติศาสตร์",OR(K317="M2",K317="K4"),T317="",Z317=""),EDATE(P317,12*2),AND(AH317="K5-LAW",AG317="นิติศาสตร์",OR(Z317="M2",Z317="K4"),AC317&gt;=2,OR(AB317&lt;V317,AB317&lt;P317)),EDATE(AB317,12*2),AND(AH317="K5-LAW",AG317="นิติศาสตร์",Z317="S1",AC317&gt;=1,OR(AB317&lt;V317,AB317&lt;P317)),EDATE(AB317,12),AND(AH317="K5-LAW",AG317="นิติศาสตร์",OR(T317="M2",T317="K4"),W317&gt;=2,V317&lt;P317),EDATE(V317,12*2),AND(AH317="K5-LAW",AG317="นิติศาสตร์",T317="S1",W317&gt;=1,V317&lt;P317),EDATE(V317,12),AND(AH317="K5-LAW",AG317="นิติศาสตร์",OR(T317="S2",T317="K5")),V317,AND(AH317="K5-LAW",AG317="นิติศาสตร์",OR(K317="M2",K317="K4"),Q317&gt;=2),EDATE(P317,12*2),AND(AH317="K5-LAW",AG317="นิติศาสตร์",K317="S1",Q317&gt;=1),EDATE(P317,12),AND(AH317="K5-LAW",AG317="นิติศาสตร์",OR(K317="S2",K317="K5")),P317,AND(AH317="K5-POLICY",AG317&lt;&gt;"นิติศาสตร์",K317="S2",T317="",Z317=""),P317,AND(AH317="K5-POLICY",AG317&lt;&gt;"นิติศาสตร์",K317="S1",T317="",Z317=""),EDATE(P317,12),AND(AH317="K5-POLICY",AG317&lt;&gt;"นิติศาสตร์",OR(K317="M2",K317="K4"),T317="",Z317=""),EDATE(P317,12*2),AND(AH317="K5-POLICY",AG317&lt;&gt;"นิติศาสตร์",OR(Z317="M2",Z317="K4"),AC317&gt;=2,OR(AB317&lt;V317,AB317&lt;P317)),EDATE(AB317,12*2),AND(AH317="K5-POLICY",AG317&lt;&gt;"นิติศาสตร์",Z317="S1",AC317&gt;=1,OR(AB317&lt;V317,AB317&lt;P317)),EDATE(AB317,12),AND(AH317="K5-POLICY",AG317&lt;&gt;"นิติศาสตร์",OR(T317="M2",T317="K4"),W317&gt;=2,V317&lt;P317),EDATE(V317,12*2),AND(AH317="K5-POLICY",AG317&lt;&gt;"นิติศาสตร์",T317="S1",W317&gt;=1,V317&lt;P317),EDATE(V317,12),AND(AH317="K5-POLICY",AG317&lt;&gt;"นิติศาสตร์",OR(T317="S2",T317="K5")),V317,AND(AH317="K5-POLICY",AG317&lt;&gt;"นิติศาสตร์",OR(K317="M2",K317="K4"),Q317&gt;=2),EDATE(P317,12*2),AND(AH317="K5-POLICY",AG317&lt;&gt;"นิติศาสตร์",K317="S1",Q317&gt;=1),EDATE(P317,12),AND(AH317="K5-POLICY",AG317&lt;&gt;"นิติศาสตร์",OR(K317="S2",K317="K5")),P317,TRUE,"Check Data")</f>
        <v/>
      </c>
      <c r="AJ317" s="75" t="str">
        <f t="shared" si="89"/>
        <v>Check Data</v>
      </c>
      <c r="AK317" s="76" t="str">
        <f t="shared" si="90"/>
        <v>Check Data</v>
      </c>
      <c r="AL317" s="50" t="str">
        <f t="shared" si="91"/>
        <v>Check Data</v>
      </c>
      <c r="AM317" s="49" t="str">
        <f>IF(B317="","",IF(K317="S1","S1",INDEX(#REF!,#REF!)))</f>
        <v/>
      </c>
      <c r="AN317" s="49" t="str">
        <f>K317</f>
        <v>K4</v>
      </c>
      <c r="AO317" s="50" t="b">
        <f>K317=AM317</f>
        <v>0</v>
      </c>
    </row>
    <row r="318" spans="1:41" ht="21.75">
      <c r="A318" s="49">
        <v>316</v>
      </c>
      <c r="B318" s="50"/>
      <c r="C318" s="54"/>
      <c r="D318" s="84" t="s">
        <v>144</v>
      </c>
      <c r="E318" s="85" t="s">
        <v>382</v>
      </c>
      <c r="F318" s="85" t="str">
        <f t="shared" si="92"/>
        <v>01/05/1989</v>
      </c>
      <c r="G318" s="50">
        <f t="shared" si="82"/>
        <v>36</v>
      </c>
      <c r="H318" s="50">
        <f t="shared" si="83"/>
        <v>1</v>
      </c>
      <c r="I318" s="50">
        <f t="shared" si="84"/>
        <v>19</v>
      </c>
      <c r="J318" s="84"/>
      <c r="K318" s="49" t="s">
        <v>137</v>
      </c>
      <c r="L318" s="87"/>
      <c r="M318" s="85"/>
      <c r="N318" s="85"/>
      <c r="O318" s="65" t="s">
        <v>408</v>
      </c>
      <c r="P318" s="49" t="str">
        <f t="shared" si="85"/>
        <v>23/11/2016</v>
      </c>
      <c r="Q318" s="68">
        <f t="shared" si="86"/>
        <v>8</v>
      </c>
      <c r="R318" s="68">
        <f t="shared" si="87"/>
        <v>6</v>
      </c>
      <c r="S318" s="68">
        <f t="shared" si="88"/>
        <v>28</v>
      </c>
      <c r="T318" s="65"/>
      <c r="U318" s="89"/>
      <c r="V318" s="85" t="str">
        <f t="shared" si="93"/>
        <v/>
      </c>
      <c r="W318" s="88">
        <f>IF(V318="",0,DATEDIF(V318,P318,"Y"))</f>
        <v>0</v>
      </c>
      <c r="X318" s="88">
        <f>IF(V318="",0,DATEDIF(V318,P318,"YM"))</f>
        <v>0</v>
      </c>
      <c r="Y318" s="88">
        <f>IF(V318="",0,DATEDIF(V318,P318,"MD"))</f>
        <v>0</v>
      </c>
      <c r="Z318" s="85"/>
      <c r="AA318" s="89"/>
      <c r="AB318" s="84" t="str">
        <f t="shared" si="94"/>
        <v/>
      </c>
      <c r="AC318" s="88">
        <f t="shared" si="95"/>
        <v>0</v>
      </c>
      <c r="AD318" s="88">
        <f t="shared" si="96"/>
        <v>0</v>
      </c>
      <c r="AE318" s="88">
        <f t="shared" si="97"/>
        <v>0</v>
      </c>
      <c r="AF318" s="84"/>
      <c r="AG318" s="84" t="s">
        <v>138</v>
      </c>
      <c r="AH318" s="49" t="str">
        <f>IF(AG318="นิติศาสตร์","K5-LAW","K5-POLICY")</f>
        <v>K5-LAW</v>
      </c>
      <c r="AI318" s="72" t="str">
        <f>_xlfn.IFS(B318="","",AND(AH318="K5-LAW",AG318="นิติศาสตร์",K318="S2",T318="",Z318=""),P318,AND(AH318="K5-LAW",AG318="นิติศาสตร์",K318="S1",T318="",Z318=""),EDATE(P318,12),AND(AH318="K5-LAW",AG318="นิติศาสตร์",OR(K318="M2",K318="K4"),T318="",Z318=""),EDATE(P318,12*2),AND(AH318="K5-LAW",AG318="นิติศาสตร์",OR(Z318="M2",Z318="K4"),AC318&gt;=2,OR(AB318&lt;V318,AB318&lt;P318)),EDATE(AB318,12*2),AND(AH318="K5-LAW",AG318="นิติศาสตร์",Z318="S1",AC318&gt;=1,OR(AB318&lt;V318,AB318&lt;P318)),EDATE(AB318,12),AND(AH318="K5-LAW",AG318="นิติศาสตร์",OR(T318="M2",T318="K4"),W318&gt;=2,V318&lt;P318),EDATE(V318,12*2),AND(AH318="K5-LAW",AG318="นิติศาสตร์",T318="S1",W318&gt;=1,V318&lt;P318),EDATE(V318,12),AND(AH318="K5-LAW",AG318="นิติศาสตร์",OR(T318="S2",T318="K5")),V318,AND(AH318="K5-LAW",AG318="นิติศาสตร์",OR(K318="M2",K318="K4"),Q318&gt;=2),EDATE(P318,12*2),AND(AH318="K5-LAW",AG318="นิติศาสตร์",K318="S1",Q318&gt;=1),EDATE(P318,12),AND(AH318="K5-LAW",AG318="นิติศาสตร์",OR(K318="S2",K318="K5")),P318,AND(AH318="K5-POLICY",AG318&lt;&gt;"นิติศาสตร์",K318="S2",T318="",Z318=""),P318,AND(AH318="K5-POLICY",AG318&lt;&gt;"นิติศาสตร์",K318="S1",T318="",Z318=""),EDATE(P318,12),AND(AH318="K5-POLICY",AG318&lt;&gt;"นิติศาสตร์",OR(K318="M2",K318="K4"),T318="",Z318=""),EDATE(P318,12*2),AND(AH318="K5-POLICY",AG318&lt;&gt;"นิติศาสตร์",OR(Z318="M2",Z318="K4"),AC318&gt;=2,OR(AB318&lt;V318,AB318&lt;P318)),EDATE(AB318,12*2),AND(AH318="K5-POLICY",AG318&lt;&gt;"นิติศาสตร์",Z318="S1",AC318&gt;=1,OR(AB318&lt;V318,AB318&lt;P318)),EDATE(AB318,12),AND(AH318="K5-POLICY",AG318&lt;&gt;"นิติศาสตร์",OR(T318="M2",T318="K4"),W318&gt;=2,V318&lt;P318),EDATE(V318,12*2),AND(AH318="K5-POLICY",AG318&lt;&gt;"นิติศาสตร์",T318="S1",W318&gt;=1,V318&lt;P318),EDATE(V318,12),AND(AH318="K5-POLICY",AG318&lt;&gt;"นิติศาสตร์",OR(T318="S2",T318="K5")),V318,AND(AH318="K5-POLICY",AG318&lt;&gt;"นิติศาสตร์",OR(K318="M2",K318="K4"),Q318&gt;=2),EDATE(P318,12*2),AND(AH318="K5-POLICY",AG318&lt;&gt;"นิติศาสตร์",K318="S1",Q318&gt;=1),EDATE(P318,12),AND(AH318="K5-POLICY",AG318&lt;&gt;"นิติศาสตร์",OR(K318="S2",K318="K5")),P318,TRUE,"Check Data")</f>
        <v/>
      </c>
      <c r="AJ318" s="75" t="str">
        <f t="shared" si="89"/>
        <v>Check Data</v>
      </c>
      <c r="AK318" s="76" t="str">
        <f t="shared" si="90"/>
        <v>Check Data</v>
      </c>
      <c r="AL318" s="50" t="str">
        <f t="shared" si="91"/>
        <v>Check Data</v>
      </c>
      <c r="AM318" s="49" t="str">
        <f>IF(B318="","",IF(K318="S1","S1",INDEX(#REF!,#REF!)))</f>
        <v/>
      </c>
      <c r="AN318" s="49" t="str">
        <f>K318</f>
        <v>K4</v>
      </c>
      <c r="AO318" s="50" t="b">
        <f>K318=AM318</f>
        <v>0</v>
      </c>
    </row>
    <row r="319" spans="1:41" ht="21.75">
      <c r="A319" s="49">
        <v>317</v>
      </c>
      <c r="B319" s="50"/>
      <c r="C319" s="54"/>
      <c r="D319" s="84" t="s">
        <v>144</v>
      </c>
      <c r="E319" s="85" t="s">
        <v>328</v>
      </c>
      <c r="F319" s="85" t="str">
        <f t="shared" si="92"/>
        <v>03/06/1991</v>
      </c>
      <c r="G319" s="50">
        <f t="shared" si="82"/>
        <v>34</v>
      </c>
      <c r="H319" s="50">
        <f t="shared" si="83"/>
        <v>0</v>
      </c>
      <c r="I319" s="50">
        <f t="shared" si="84"/>
        <v>17</v>
      </c>
      <c r="J319" s="84"/>
      <c r="K319" s="49" t="s">
        <v>137</v>
      </c>
      <c r="L319" s="87"/>
      <c r="M319" s="85"/>
      <c r="N319" s="85"/>
      <c r="O319" s="65" t="s">
        <v>415</v>
      </c>
      <c r="P319" s="49" t="str">
        <f t="shared" si="85"/>
        <v>30/01/2018</v>
      </c>
      <c r="Q319" s="68">
        <f t="shared" si="86"/>
        <v>7</v>
      </c>
      <c r="R319" s="68">
        <f t="shared" si="87"/>
        <v>4</v>
      </c>
      <c r="S319" s="68">
        <f t="shared" si="88"/>
        <v>21</v>
      </c>
      <c r="T319" s="65"/>
      <c r="U319" s="89"/>
      <c r="V319" s="85" t="str">
        <f t="shared" si="93"/>
        <v/>
      </c>
      <c r="W319" s="88">
        <f>IF(V319="",0,DATEDIF(V319,P319,"Y"))</f>
        <v>0</v>
      </c>
      <c r="X319" s="88">
        <f>IF(V319="",0,DATEDIF(V319,P319,"YM"))</f>
        <v>0</v>
      </c>
      <c r="Y319" s="88">
        <f>IF(V319="",0,DATEDIF(V319,P319,"MD"))</f>
        <v>0</v>
      </c>
      <c r="Z319" s="85"/>
      <c r="AA319" s="89"/>
      <c r="AB319" s="84" t="str">
        <f t="shared" si="94"/>
        <v/>
      </c>
      <c r="AC319" s="88">
        <f t="shared" si="95"/>
        <v>0</v>
      </c>
      <c r="AD319" s="88">
        <f t="shared" si="96"/>
        <v>0</v>
      </c>
      <c r="AE319" s="88">
        <f t="shared" si="97"/>
        <v>0</v>
      </c>
      <c r="AF319" s="84"/>
      <c r="AG319" s="84" t="s">
        <v>138</v>
      </c>
      <c r="AH319" s="49" t="str">
        <f>IF(AG319="นิติศาสตร์","K5-LAW","K5-POLICY")</f>
        <v>K5-LAW</v>
      </c>
      <c r="AI319" s="72" t="str">
        <f>_xlfn.IFS(B319="","",AND(AH319="K5-LAW",AG319="นิติศาสตร์",K319="S2",T319="",Z319=""),P319,AND(AH319="K5-LAW",AG319="นิติศาสตร์",K319="S1",T319="",Z319=""),EDATE(P319,12),AND(AH319="K5-LAW",AG319="นิติศาสตร์",OR(K319="M2",K319="K4"),T319="",Z319=""),EDATE(P319,12*2),AND(AH319="K5-LAW",AG319="นิติศาสตร์",OR(Z319="M2",Z319="K4"),AC319&gt;=2,OR(AB319&lt;V319,AB319&lt;P319)),EDATE(AB319,12*2),AND(AH319="K5-LAW",AG319="นิติศาสตร์",Z319="S1",AC319&gt;=1,OR(AB319&lt;V319,AB319&lt;P319)),EDATE(AB319,12),AND(AH319="K5-LAW",AG319="นิติศาสตร์",OR(T319="M2",T319="K4"),W319&gt;=2,V319&lt;P319),EDATE(V319,12*2),AND(AH319="K5-LAW",AG319="นิติศาสตร์",T319="S1",W319&gt;=1,V319&lt;P319),EDATE(V319,12),AND(AH319="K5-LAW",AG319="นิติศาสตร์",OR(T319="S2",T319="K5")),V319,AND(AH319="K5-LAW",AG319="นิติศาสตร์",OR(K319="M2",K319="K4"),Q319&gt;=2),EDATE(P319,12*2),AND(AH319="K5-LAW",AG319="นิติศาสตร์",K319="S1",Q319&gt;=1),EDATE(P319,12),AND(AH319="K5-LAW",AG319="นิติศาสตร์",OR(K319="S2",K319="K5")),P319,AND(AH319="K5-POLICY",AG319&lt;&gt;"นิติศาสตร์",K319="S2",T319="",Z319=""),P319,AND(AH319="K5-POLICY",AG319&lt;&gt;"นิติศาสตร์",K319="S1",T319="",Z319=""),EDATE(P319,12),AND(AH319="K5-POLICY",AG319&lt;&gt;"นิติศาสตร์",OR(K319="M2",K319="K4"),T319="",Z319=""),EDATE(P319,12*2),AND(AH319="K5-POLICY",AG319&lt;&gt;"นิติศาสตร์",OR(Z319="M2",Z319="K4"),AC319&gt;=2,OR(AB319&lt;V319,AB319&lt;P319)),EDATE(AB319,12*2),AND(AH319="K5-POLICY",AG319&lt;&gt;"นิติศาสตร์",Z319="S1",AC319&gt;=1,OR(AB319&lt;V319,AB319&lt;P319)),EDATE(AB319,12),AND(AH319="K5-POLICY",AG319&lt;&gt;"นิติศาสตร์",OR(T319="M2",T319="K4"),W319&gt;=2,V319&lt;P319),EDATE(V319,12*2),AND(AH319="K5-POLICY",AG319&lt;&gt;"นิติศาสตร์",T319="S1",W319&gt;=1,V319&lt;P319),EDATE(V319,12),AND(AH319="K5-POLICY",AG319&lt;&gt;"นิติศาสตร์",OR(T319="S2",T319="K5")),V319,AND(AH319="K5-POLICY",AG319&lt;&gt;"นิติศาสตร์",OR(K319="M2",K319="K4"),Q319&gt;=2),EDATE(P319,12*2),AND(AH319="K5-POLICY",AG319&lt;&gt;"นิติศาสตร์",K319="S1",Q319&gt;=1),EDATE(P319,12),AND(AH319="K5-POLICY",AG319&lt;&gt;"นิติศาสตร์",OR(K319="S2",K319="K5")),P319,TRUE,"Check Data")</f>
        <v/>
      </c>
      <c r="AJ319" s="75" t="str">
        <f t="shared" si="89"/>
        <v>Check Data</v>
      </c>
      <c r="AK319" s="76" t="str">
        <f t="shared" si="90"/>
        <v>Check Data</v>
      </c>
      <c r="AL319" s="50" t="str">
        <f t="shared" si="91"/>
        <v>Check Data</v>
      </c>
      <c r="AM319" s="49" t="str">
        <f>IF(B319="","",IF(K319="S1","S1",INDEX(#REF!,#REF!)))</f>
        <v/>
      </c>
      <c r="AN319" s="49" t="str">
        <f>K319</f>
        <v>K4</v>
      </c>
      <c r="AO319" s="50" t="b">
        <f>K319=AM319</f>
        <v>0</v>
      </c>
    </row>
    <row r="320" spans="1:41" ht="21.75">
      <c r="A320" s="49">
        <v>318</v>
      </c>
      <c r="B320" s="50"/>
      <c r="C320" s="54"/>
      <c r="D320" s="84" t="s">
        <v>144</v>
      </c>
      <c r="E320" s="85" t="s">
        <v>208</v>
      </c>
      <c r="F320" s="85" t="str">
        <f t="shared" si="92"/>
        <v>01/02/1990</v>
      </c>
      <c r="G320" s="50">
        <f t="shared" si="82"/>
        <v>35</v>
      </c>
      <c r="H320" s="50">
        <f t="shared" si="83"/>
        <v>4</v>
      </c>
      <c r="I320" s="50">
        <f t="shared" si="84"/>
        <v>19</v>
      </c>
      <c r="J320" s="84"/>
      <c r="K320" s="49" t="s">
        <v>137</v>
      </c>
      <c r="L320" s="87"/>
      <c r="M320" s="85"/>
      <c r="N320" s="85"/>
      <c r="O320" s="65" t="s">
        <v>417</v>
      </c>
      <c r="P320" s="49" t="str">
        <f t="shared" si="85"/>
        <v>15/02/2018</v>
      </c>
      <c r="Q320" s="68">
        <f t="shared" si="86"/>
        <v>7</v>
      </c>
      <c r="R320" s="68">
        <f t="shared" si="87"/>
        <v>4</v>
      </c>
      <c r="S320" s="68">
        <f t="shared" si="88"/>
        <v>5</v>
      </c>
      <c r="T320" s="65"/>
      <c r="U320" s="89"/>
      <c r="V320" s="85" t="str">
        <f t="shared" si="93"/>
        <v/>
      </c>
      <c r="W320" s="88">
        <f>IF(V320="",0,DATEDIF(V320,P320,"Y"))</f>
        <v>0</v>
      </c>
      <c r="X320" s="88">
        <f>IF(V320="",0,DATEDIF(V320,P320,"YM"))</f>
        <v>0</v>
      </c>
      <c r="Y320" s="88">
        <f>IF(V320="",0,DATEDIF(V320,P320,"MD"))</f>
        <v>0</v>
      </c>
      <c r="Z320" s="85"/>
      <c r="AA320" s="89"/>
      <c r="AB320" s="84" t="str">
        <f t="shared" si="94"/>
        <v/>
      </c>
      <c r="AC320" s="88">
        <f t="shared" si="95"/>
        <v>0</v>
      </c>
      <c r="AD320" s="88">
        <f t="shared" si="96"/>
        <v>0</v>
      </c>
      <c r="AE320" s="88">
        <f t="shared" si="97"/>
        <v>0</v>
      </c>
      <c r="AF320" s="84"/>
      <c r="AG320" s="84" t="s">
        <v>509</v>
      </c>
      <c r="AH320" s="49" t="str">
        <f>IF(AG320="นิติศาสตร์","K5-LAW","K5-POLICY")</f>
        <v>K5-POLICY</v>
      </c>
      <c r="AI320" s="72" t="str">
        <f>_xlfn.IFS(B320="","",AND(AH320="K5-LAW",AG320="นิติศาสตร์",K320="S2",T320="",Z320=""),P320,AND(AH320="K5-LAW",AG320="นิติศาสตร์",K320="S1",T320="",Z320=""),EDATE(P320,12),AND(AH320="K5-LAW",AG320="นิติศาสตร์",OR(K320="M2",K320="K4"),T320="",Z320=""),EDATE(P320,12*2),AND(AH320="K5-LAW",AG320="นิติศาสตร์",OR(Z320="M2",Z320="K4"),AC320&gt;=2,OR(AB320&lt;V320,AB320&lt;P320)),EDATE(AB320,12*2),AND(AH320="K5-LAW",AG320="นิติศาสตร์",Z320="S1",AC320&gt;=1,OR(AB320&lt;V320,AB320&lt;P320)),EDATE(AB320,12),AND(AH320="K5-LAW",AG320="นิติศาสตร์",OR(T320="M2",T320="K4"),W320&gt;=2,V320&lt;P320),EDATE(V320,12*2),AND(AH320="K5-LAW",AG320="นิติศาสตร์",T320="S1",W320&gt;=1,V320&lt;P320),EDATE(V320,12),AND(AH320="K5-LAW",AG320="นิติศาสตร์",OR(T320="S2",T320="K5")),V320,AND(AH320="K5-LAW",AG320="นิติศาสตร์",OR(K320="M2",K320="K4"),Q320&gt;=2),EDATE(P320,12*2),AND(AH320="K5-LAW",AG320="นิติศาสตร์",K320="S1",Q320&gt;=1),EDATE(P320,12),AND(AH320="K5-LAW",AG320="นิติศาสตร์",OR(K320="S2",K320="K5")),P320,AND(AH320="K5-POLICY",AG320&lt;&gt;"นิติศาสตร์",K320="S2",T320="",Z320=""),P320,AND(AH320="K5-POLICY",AG320&lt;&gt;"นิติศาสตร์",K320="S1",T320="",Z320=""),EDATE(P320,12),AND(AH320="K5-POLICY",AG320&lt;&gt;"นิติศาสตร์",OR(K320="M2",K320="K4"),T320="",Z320=""),EDATE(P320,12*2),AND(AH320="K5-POLICY",AG320&lt;&gt;"นิติศาสตร์",OR(Z320="M2",Z320="K4"),AC320&gt;=2,OR(AB320&lt;V320,AB320&lt;P320)),EDATE(AB320,12*2),AND(AH320="K5-POLICY",AG320&lt;&gt;"นิติศาสตร์",Z320="S1",AC320&gt;=1,OR(AB320&lt;V320,AB320&lt;P320)),EDATE(AB320,12),AND(AH320="K5-POLICY",AG320&lt;&gt;"นิติศาสตร์",OR(T320="M2",T320="K4"),W320&gt;=2,V320&lt;P320),EDATE(V320,12*2),AND(AH320="K5-POLICY",AG320&lt;&gt;"นิติศาสตร์",T320="S1",W320&gt;=1,V320&lt;P320),EDATE(V320,12),AND(AH320="K5-POLICY",AG320&lt;&gt;"นิติศาสตร์",OR(T320="S2",T320="K5")),V320,AND(AH320="K5-POLICY",AG320&lt;&gt;"นิติศาสตร์",OR(K320="M2",K320="K4"),Q320&gt;=2),EDATE(P320,12*2),AND(AH320="K5-POLICY",AG320&lt;&gt;"นิติศาสตร์",K320="S1",Q320&gt;=1),EDATE(P320,12),AND(AH320="K5-POLICY",AG320&lt;&gt;"นิติศาสตร์",OR(K320="S2",K320="K5")),P320,TRUE,"Check Data")</f>
        <v/>
      </c>
      <c r="AJ320" s="75" t="str">
        <f t="shared" si="89"/>
        <v>Check Data</v>
      </c>
      <c r="AK320" s="76" t="str">
        <f t="shared" si="90"/>
        <v>Check Data</v>
      </c>
      <c r="AL320" s="50" t="str">
        <f t="shared" si="91"/>
        <v>Check Data</v>
      </c>
      <c r="AM320" s="49" t="str">
        <f>IF(B320="","",IF(K320="S1","S1",INDEX(#REF!,#REF!)))</f>
        <v/>
      </c>
      <c r="AN320" s="49" t="str">
        <f>K320</f>
        <v>K4</v>
      </c>
      <c r="AO320" s="50" t="b">
        <f>K320=AM320</f>
        <v>0</v>
      </c>
    </row>
    <row r="321" spans="1:41" ht="21.75">
      <c r="A321" s="49">
        <v>319</v>
      </c>
      <c r="B321" s="50"/>
      <c r="C321" s="50"/>
      <c r="D321" s="84" t="s">
        <v>141</v>
      </c>
      <c r="E321" s="85" t="s">
        <v>253</v>
      </c>
      <c r="F321" s="85" t="str">
        <f t="shared" si="92"/>
        <v>26/01/1995</v>
      </c>
      <c r="G321" s="50">
        <f t="shared" si="82"/>
        <v>30</v>
      </c>
      <c r="H321" s="50">
        <f t="shared" si="83"/>
        <v>4</v>
      </c>
      <c r="I321" s="50">
        <f t="shared" si="84"/>
        <v>25</v>
      </c>
      <c r="J321" s="84"/>
      <c r="K321" s="49" t="s">
        <v>137</v>
      </c>
      <c r="L321" s="87"/>
      <c r="M321" s="85"/>
      <c r="N321" s="85"/>
      <c r="O321" s="65" t="s">
        <v>404</v>
      </c>
      <c r="P321" s="49" t="str">
        <f t="shared" si="85"/>
        <v>17/04/2019</v>
      </c>
      <c r="Q321" s="68">
        <f t="shared" si="86"/>
        <v>6</v>
      </c>
      <c r="R321" s="68">
        <f t="shared" si="87"/>
        <v>2</v>
      </c>
      <c r="S321" s="68">
        <f t="shared" si="88"/>
        <v>3</v>
      </c>
      <c r="T321" s="65"/>
      <c r="U321" s="89"/>
      <c r="V321" s="85" t="str">
        <f t="shared" si="93"/>
        <v/>
      </c>
      <c r="W321" s="88">
        <f>IF(V321="",0,DATEDIF(V321,P321,"Y"))</f>
        <v>0</v>
      </c>
      <c r="X321" s="88">
        <f>IF(V321="",0,DATEDIF(V321,P321,"YM"))</f>
        <v>0</v>
      </c>
      <c r="Y321" s="88">
        <f>IF(V321="",0,DATEDIF(V321,P321,"MD"))</f>
        <v>0</v>
      </c>
      <c r="Z321" s="85"/>
      <c r="AA321" s="89"/>
      <c r="AB321" s="84" t="str">
        <f t="shared" si="94"/>
        <v/>
      </c>
      <c r="AC321" s="88">
        <f t="shared" si="95"/>
        <v>0</v>
      </c>
      <c r="AD321" s="88">
        <f t="shared" si="96"/>
        <v>0</v>
      </c>
      <c r="AE321" s="88">
        <f t="shared" si="97"/>
        <v>0</v>
      </c>
      <c r="AF321" s="84"/>
      <c r="AG321" s="84" t="s">
        <v>182</v>
      </c>
      <c r="AH321" s="49" t="str">
        <f>IF(AG321="นิติศาสตร์","K5-LAW","K5-POLICY")</f>
        <v>K5-POLICY</v>
      </c>
      <c r="AI321" s="72" t="str">
        <f>_xlfn.IFS(B321="","",AND(AH321="K5-LAW",AG321="นิติศาสตร์",K321="S2",T321="",Z321=""),P321,AND(AH321="K5-LAW",AG321="นิติศาสตร์",K321="S1",T321="",Z321=""),EDATE(P321,12),AND(AH321="K5-LAW",AG321="นิติศาสตร์",OR(K321="M2",K321="K4"),T321="",Z321=""),EDATE(P321,12*2),AND(AH321="K5-LAW",AG321="นิติศาสตร์",OR(Z321="M2",Z321="K4"),AC321&gt;=2,OR(AB321&lt;V321,AB321&lt;P321)),EDATE(AB321,12*2),AND(AH321="K5-LAW",AG321="นิติศาสตร์",Z321="S1",AC321&gt;=1,OR(AB321&lt;V321,AB321&lt;P321)),EDATE(AB321,12),AND(AH321="K5-LAW",AG321="นิติศาสตร์",OR(T321="M2",T321="K4"),W321&gt;=2,V321&lt;P321),EDATE(V321,12*2),AND(AH321="K5-LAW",AG321="นิติศาสตร์",T321="S1",W321&gt;=1,V321&lt;P321),EDATE(V321,12),AND(AH321="K5-LAW",AG321="นิติศาสตร์",OR(T321="S2",T321="K5")),V321,AND(AH321="K5-LAW",AG321="นิติศาสตร์",OR(K321="M2",K321="K4"),Q321&gt;=2),EDATE(P321,12*2),AND(AH321="K5-LAW",AG321="นิติศาสตร์",K321="S1",Q321&gt;=1),EDATE(P321,12),AND(AH321="K5-LAW",AG321="นิติศาสตร์",OR(K321="S2",K321="K5")),P321,AND(AH321="K5-POLICY",AG321&lt;&gt;"นิติศาสตร์",K321="S2",T321="",Z321=""),P321,AND(AH321="K5-POLICY",AG321&lt;&gt;"นิติศาสตร์",K321="S1",T321="",Z321=""),EDATE(P321,12),AND(AH321="K5-POLICY",AG321&lt;&gt;"นิติศาสตร์",OR(K321="M2",K321="K4"),T321="",Z321=""),EDATE(P321,12*2),AND(AH321="K5-POLICY",AG321&lt;&gt;"นิติศาสตร์",OR(Z321="M2",Z321="K4"),AC321&gt;=2,OR(AB321&lt;V321,AB321&lt;P321)),EDATE(AB321,12*2),AND(AH321="K5-POLICY",AG321&lt;&gt;"นิติศาสตร์",Z321="S1",AC321&gt;=1,OR(AB321&lt;V321,AB321&lt;P321)),EDATE(AB321,12),AND(AH321="K5-POLICY",AG321&lt;&gt;"นิติศาสตร์",OR(T321="M2",T321="K4"),W321&gt;=2,V321&lt;P321),EDATE(V321,12*2),AND(AH321="K5-POLICY",AG321&lt;&gt;"นิติศาสตร์",T321="S1",W321&gt;=1,V321&lt;P321),EDATE(V321,12),AND(AH321="K5-POLICY",AG321&lt;&gt;"นิติศาสตร์",OR(T321="S2",T321="K5")),V321,AND(AH321="K5-POLICY",AG321&lt;&gt;"นิติศาสตร์",OR(K321="M2",K321="K4"),Q321&gt;=2),EDATE(P321,12*2),AND(AH321="K5-POLICY",AG321&lt;&gt;"นิติศาสตร์",K321="S1",Q321&gt;=1),EDATE(P321,12),AND(AH321="K5-POLICY",AG321&lt;&gt;"นิติศาสตร์",OR(K321="S2",K321="K5")),P321,TRUE,"Check Data")</f>
        <v/>
      </c>
      <c r="AJ321" s="75" t="str">
        <f t="shared" si="89"/>
        <v>Check Data</v>
      </c>
      <c r="AK321" s="76" t="str">
        <f t="shared" si="90"/>
        <v>Check Data</v>
      </c>
      <c r="AL321" s="50" t="str">
        <f t="shared" si="91"/>
        <v>Check Data</v>
      </c>
      <c r="AM321" s="49" t="str">
        <f>IF(B321="","",IF(K321="S1","S1",INDEX(#REF!,#REF!)))</f>
        <v/>
      </c>
      <c r="AN321" s="49" t="str">
        <f>K321</f>
        <v>K4</v>
      </c>
      <c r="AO321" s="50" t="b">
        <f>K321=AM321</f>
        <v>0</v>
      </c>
    </row>
    <row r="322" spans="1:41" ht="21.75">
      <c r="A322" s="49">
        <v>320</v>
      </c>
      <c r="B322" s="50"/>
      <c r="C322" s="54"/>
      <c r="D322" s="84" t="s">
        <v>145</v>
      </c>
      <c r="E322" s="85" t="s">
        <v>307</v>
      </c>
      <c r="F322" s="85" t="str">
        <f t="shared" si="92"/>
        <v>05/03/1992</v>
      </c>
      <c r="G322" s="50">
        <f t="shared" si="82"/>
        <v>33</v>
      </c>
      <c r="H322" s="50">
        <f t="shared" si="83"/>
        <v>3</v>
      </c>
      <c r="I322" s="50">
        <f t="shared" si="84"/>
        <v>15</v>
      </c>
      <c r="J322" s="84"/>
      <c r="K322" s="49" t="s">
        <v>137</v>
      </c>
      <c r="L322" s="87"/>
      <c r="M322" s="85"/>
      <c r="N322" s="85"/>
      <c r="O322" s="65" t="s">
        <v>468</v>
      </c>
      <c r="P322" s="49" t="str">
        <f t="shared" si="85"/>
        <v>17/05/2019</v>
      </c>
      <c r="Q322" s="68">
        <f t="shared" si="86"/>
        <v>6</v>
      </c>
      <c r="R322" s="68">
        <f t="shared" si="87"/>
        <v>1</v>
      </c>
      <c r="S322" s="68">
        <f t="shared" si="88"/>
        <v>3</v>
      </c>
      <c r="T322" s="65" t="s">
        <v>137</v>
      </c>
      <c r="U322" s="89" t="s">
        <v>468</v>
      </c>
      <c r="V322" s="85" t="str">
        <f t="shared" si="93"/>
        <v>17/05/2019</v>
      </c>
      <c r="W322" s="88">
        <f>IF(V322="",0,DATEDIF(V322,P322,"Y"))</f>
        <v>0</v>
      </c>
      <c r="X322" s="88">
        <f>IF(V322="",0,DATEDIF(V322,P322,"YM"))</f>
        <v>0</v>
      </c>
      <c r="Y322" s="88">
        <f>IF(V322="",0,DATEDIF(V322,P322,"MD"))</f>
        <v>0</v>
      </c>
      <c r="Z322" s="85"/>
      <c r="AA322" s="89"/>
      <c r="AB322" s="84" t="str">
        <f t="shared" si="94"/>
        <v/>
      </c>
      <c r="AC322" s="88">
        <f t="shared" si="95"/>
        <v>0</v>
      </c>
      <c r="AD322" s="88">
        <f t="shared" si="96"/>
        <v>0</v>
      </c>
      <c r="AE322" s="88">
        <f t="shared" si="97"/>
        <v>0</v>
      </c>
      <c r="AF322" s="84"/>
      <c r="AG322" s="84" t="s">
        <v>520</v>
      </c>
      <c r="AH322" s="49" t="str">
        <f>IF(AG322="นิติศาสตร์","K5-LAW","K5-POLICY")</f>
        <v>K5-POLICY</v>
      </c>
      <c r="AI322" s="72" t="str">
        <f>_xlfn.IFS(B322="","",AND(AH322="K5-LAW",AG322="นิติศาสตร์",K322="S2",T322="",Z322=""),P322,AND(AH322="K5-LAW",AG322="นิติศาสตร์",K322="S1",T322="",Z322=""),EDATE(P322,12),AND(AH322="K5-LAW",AG322="นิติศาสตร์",OR(K322="M2",K322="K4"),T322="",Z322=""),EDATE(P322,12*2),AND(AH322="K5-LAW",AG322="นิติศาสตร์",OR(Z322="M2",Z322="K4"),AC322&gt;=2,OR(AB322&lt;V322,AB322&lt;P322)),EDATE(AB322,12*2),AND(AH322="K5-LAW",AG322="นิติศาสตร์",Z322="S1",AC322&gt;=1,OR(AB322&lt;V322,AB322&lt;P322)),EDATE(AB322,12),AND(AH322="K5-LAW",AG322="นิติศาสตร์",OR(T322="M2",T322="K4"),W322&gt;=2,V322&lt;P322),EDATE(V322,12*2),AND(AH322="K5-LAW",AG322="นิติศาสตร์",T322="S1",W322&gt;=1,V322&lt;P322),EDATE(V322,12),AND(AH322="K5-LAW",AG322="นิติศาสตร์",OR(T322="S2",T322="K5")),V322,AND(AH322="K5-LAW",AG322="นิติศาสตร์",OR(K322="M2",K322="K4"),Q322&gt;=2),EDATE(P322,12*2),AND(AH322="K5-LAW",AG322="นิติศาสตร์",K322="S1",Q322&gt;=1),EDATE(P322,12),AND(AH322="K5-LAW",AG322="นิติศาสตร์",OR(K322="S2",K322="K5")),P322,AND(AH322="K5-POLICY",AG322&lt;&gt;"นิติศาสตร์",K322="S2",T322="",Z322=""),P322,AND(AH322="K5-POLICY",AG322&lt;&gt;"นิติศาสตร์",K322="S1",T322="",Z322=""),EDATE(P322,12),AND(AH322="K5-POLICY",AG322&lt;&gt;"นิติศาสตร์",OR(K322="M2",K322="K4"),T322="",Z322=""),EDATE(P322,12*2),AND(AH322="K5-POLICY",AG322&lt;&gt;"นิติศาสตร์",OR(Z322="M2",Z322="K4"),AC322&gt;=2,OR(AB322&lt;V322,AB322&lt;P322)),EDATE(AB322,12*2),AND(AH322="K5-POLICY",AG322&lt;&gt;"นิติศาสตร์",Z322="S1",AC322&gt;=1,OR(AB322&lt;V322,AB322&lt;P322)),EDATE(AB322,12),AND(AH322="K5-POLICY",AG322&lt;&gt;"นิติศาสตร์",OR(T322="M2",T322="K4"),W322&gt;=2,V322&lt;P322),EDATE(V322,12*2),AND(AH322="K5-POLICY",AG322&lt;&gt;"นิติศาสตร์",T322="S1",W322&gt;=1,V322&lt;P322),EDATE(V322,12),AND(AH322="K5-POLICY",AG322&lt;&gt;"นิติศาสตร์",OR(T322="S2",T322="K5")),V322,AND(AH322="K5-POLICY",AG322&lt;&gt;"นิติศาสตร์",OR(K322="M2",K322="K4"),Q322&gt;=2),EDATE(P322,12*2),AND(AH322="K5-POLICY",AG322&lt;&gt;"นิติศาสตร์",K322="S1",Q322&gt;=1),EDATE(P322,12),AND(AH322="K5-POLICY",AG322&lt;&gt;"นิติศาสตร์",OR(K322="S2",K322="K5")),P322,TRUE,"Check Data")</f>
        <v/>
      </c>
      <c r="AJ322" s="75" t="str">
        <f t="shared" si="89"/>
        <v>Check Data</v>
      </c>
      <c r="AK322" s="76" t="str">
        <f t="shared" si="90"/>
        <v>Check Data</v>
      </c>
      <c r="AL322" s="50" t="str">
        <f t="shared" si="91"/>
        <v>Check Data</v>
      </c>
      <c r="AM322" s="49" t="str">
        <f>IF(B322="","",IF(K322="S1","S1",INDEX(#REF!,#REF!)))</f>
        <v/>
      </c>
      <c r="AN322" s="49" t="str">
        <f>K322</f>
        <v>K4</v>
      </c>
      <c r="AO322" s="50" t="b">
        <f>K322=AM322</f>
        <v>0</v>
      </c>
    </row>
    <row r="323" spans="1:41" ht="21.75">
      <c r="A323" s="49">
        <v>321</v>
      </c>
      <c r="B323" s="50"/>
      <c r="C323" s="50"/>
      <c r="D323" s="84" t="s">
        <v>144</v>
      </c>
      <c r="E323" s="85" t="s">
        <v>333</v>
      </c>
      <c r="F323" s="85" t="str">
        <f t="shared" si="92"/>
        <v>29/01/1990</v>
      </c>
      <c r="G323" s="50">
        <f t="shared" ref="G323:G358" si="98">IF(F323="",0,DATEDIF(F323,$C$1,"Y"))</f>
        <v>35</v>
      </c>
      <c r="H323" s="50">
        <f t="shared" ref="H323:H358" si="99">IF(F323="",0,DATEDIF(F323,$C$1,"YM"))</f>
        <v>4</v>
      </c>
      <c r="I323" s="50">
        <f t="shared" ref="I323:I358" si="100">IF(F323="",0,DATEDIF(F323,$C$1,"MD"))</f>
        <v>22</v>
      </c>
      <c r="J323" s="84"/>
      <c r="K323" s="49" t="s">
        <v>137</v>
      </c>
      <c r="L323" s="87"/>
      <c r="M323" s="85"/>
      <c r="N323" s="85"/>
      <c r="O323" s="65" t="s">
        <v>411</v>
      </c>
      <c r="P323" s="49" t="str">
        <f t="shared" ref="P323:P358" si="101">TEXT(EDATE(O323,-543*12),"dd/mm/yyyy")</f>
        <v>24/12/2019</v>
      </c>
      <c r="Q323" s="68">
        <f t="shared" ref="Q323:Q358" si="102">IF(P323="",0,DATEDIF(P323,$C$1,"Y"))</f>
        <v>5</v>
      </c>
      <c r="R323" s="68">
        <f t="shared" ref="R323:R358" si="103">IF(P323="",0,DATEDIF(P323,$C$1,"YM"))</f>
        <v>5</v>
      </c>
      <c r="S323" s="68">
        <f t="shared" ref="S323:S358" si="104">IF(P323="",0,DATEDIF(P323,$C$1,"MD"))</f>
        <v>27</v>
      </c>
      <c r="T323" s="65"/>
      <c r="U323" s="89"/>
      <c r="V323" s="85" t="str">
        <f t="shared" si="93"/>
        <v/>
      </c>
      <c r="W323" s="88">
        <f>IF(V323="",0,DATEDIF(V323,P323,"Y"))</f>
        <v>0</v>
      </c>
      <c r="X323" s="88">
        <f>IF(V323="",0,DATEDIF(V323,P323,"YM"))</f>
        <v>0</v>
      </c>
      <c r="Y323" s="88">
        <f>IF(V323="",0,DATEDIF(V323,P323,"MD"))</f>
        <v>0</v>
      </c>
      <c r="Z323" s="85"/>
      <c r="AA323" s="89"/>
      <c r="AB323" s="84" t="str">
        <f t="shared" si="94"/>
        <v/>
      </c>
      <c r="AC323" s="88">
        <f t="shared" si="95"/>
        <v>0</v>
      </c>
      <c r="AD323" s="88">
        <f t="shared" si="96"/>
        <v>0</v>
      </c>
      <c r="AE323" s="88">
        <f t="shared" si="97"/>
        <v>0</v>
      </c>
      <c r="AF323" s="84"/>
      <c r="AG323" s="84" t="s">
        <v>138</v>
      </c>
      <c r="AH323" s="49" t="str">
        <f>IF(AG323="นิติศาสตร์","K5-LAW","K5-POLICY")</f>
        <v>K5-LAW</v>
      </c>
      <c r="AI323" s="72" t="str">
        <f>_xlfn.IFS(B323="","",AND(AH323="K5-LAW",AG323="นิติศาสตร์",K323="S2",T323="",Z323=""),P323,AND(AH323="K5-LAW",AG323="นิติศาสตร์",K323="S1",T323="",Z323=""),EDATE(P323,12),AND(AH323="K5-LAW",AG323="นิติศาสตร์",OR(K323="M2",K323="K4"),T323="",Z323=""),EDATE(P323,12*2),AND(AH323="K5-LAW",AG323="นิติศาสตร์",OR(Z323="M2",Z323="K4"),AC323&gt;=2,OR(AB323&lt;V323,AB323&lt;P323)),EDATE(AB323,12*2),AND(AH323="K5-LAW",AG323="นิติศาสตร์",Z323="S1",AC323&gt;=1,OR(AB323&lt;V323,AB323&lt;P323)),EDATE(AB323,12),AND(AH323="K5-LAW",AG323="นิติศาสตร์",OR(T323="M2",T323="K4"),W323&gt;=2,V323&lt;P323),EDATE(V323,12*2),AND(AH323="K5-LAW",AG323="นิติศาสตร์",T323="S1",W323&gt;=1,V323&lt;P323),EDATE(V323,12),AND(AH323="K5-LAW",AG323="นิติศาสตร์",OR(T323="S2",T323="K5")),V323,AND(AH323="K5-LAW",AG323="นิติศาสตร์",OR(K323="M2",K323="K4"),Q323&gt;=2),EDATE(P323,12*2),AND(AH323="K5-LAW",AG323="นิติศาสตร์",K323="S1",Q323&gt;=1),EDATE(P323,12),AND(AH323="K5-LAW",AG323="นิติศาสตร์",OR(K323="S2",K323="K5")),P323,AND(AH323="K5-POLICY",AG323&lt;&gt;"นิติศาสตร์",K323="S2",T323="",Z323=""),P323,AND(AH323="K5-POLICY",AG323&lt;&gt;"นิติศาสตร์",K323="S1",T323="",Z323=""),EDATE(P323,12),AND(AH323="K5-POLICY",AG323&lt;&gt;"นิติศาสตร์",OR(K323="M2",K323="K4"),T323="",Z323=""),EDATE(P323,12*2),AND(AH323="K5-POLICY",AG323&lt;&gt;"นิติศาสตร์",OR(Z323="M2",Z323="K4"),AC323&gt;=2,OR(AB323&lt;V323,AB323&lt;P323)),EDATE(AB323,12*2),AND(AH323="K5-POLICY",AG323&lt;&gt;"นิติศาสตร์",Z323="S1",AC323&gt;=1,OR(AB323&lt;V323,AB323&lt;P323)),EDATE(AB323,12),AND(AH323="K5-POLICY",AG323&lt;&gt;"นิติศาสตร์",OR(T323="M2",T323="K4"),W323&gt;=2,V323&lt;P323),EDATE(V323,12*2),AND(AH323="K5-POLICY",AG323&lt;&gt;"นิติศาสตร์",T323="S1",W323&gt;=1,V323&lt;P323),EDATE(V323,12),AND(AH323="K5-POLICY",AG323&lt;&gt;"นิติศาสตร์",OR(T323="S2",T323="K5")),V323,AND(AH323="K5-POLICY",AG323&lt;&gt;"นิติศาสตร์",OR(K323="M2",K323="K4"),Q323&gt;=2),EDATE(P323,12*2),AND(AH323="K5-POLICY",AG323&lt;&gt;"นิติศาสตร์",K323="S1",Q323&gt;=1),EDATE(P323,12),AND(AH323="K5-POLICY",AG323&lt;&gt;"นิติศาสตร์",OR(K323="S2",K323="K5")),P323,TRUE,"Check Data")</f>
        <v/>
      </c>
      <c r="AJ323" s="75" t="str">
        <f t="shared" ref="AJ323:AJ358" si="105">IFERROR(TEXT(EDATE(AI323,543*12),"dd/mm/yyyy"),"Check Data")</f>
        <v>Check Data</v>
      </c>
      <c r="AK323" s="76" t="str">
        <f t="shared" ref="AK323:AK358" si="106">IFERROR(IF($C$1&gt;AI323,AI323-$C$1,DATEDIF($C$1,AI323,"d")),"Check Data")</f>
        <v>Check Data</v>
      </c>
      <c r="AL323" s="50" t="str">
        <f t="shared" ref="AL323:AL358" si="107">_xlfn.IFS(AK323="Check Data","Check Data",AK323&gt;30,"ยังไม่ถึงเกณฑ์",AK323&gt;0,"ใกล้ถึงเกณฑ์",AK323=0,"ถึงเกณฑ์",AK323&lt;0,"ถึงเกณฑ์นานแล้ว")</f>
        <v>Check Data</v>
      </c>
      <c r="AM323" s="49" t="str">
        <f>IF(B323="","",IF(K323="S1","S1",INDEX(#REF!,#REF!)))</f>
        <v/>
      </c>
      <c r="AN323" s="49" t="str">
        <f>K323</f>
        <v>K4</v>
      </c>
      <c r="AO323" s="50" t="b">
        <f>K323=AM323</f>
        <v>0</v>
      </c>
    </row>
    <row r="324" spans="1:41" ht="21.75">
      <c r="A324" s="49">
        <v>322</v>
      </c>
      <c r="B324" s="50"/>
      <c r="C324" s="50"/>
      <c r="D324" s="84" t="s">
        <v>34</v>
      </c>
      <c r="E324" s="85" t="s">
        <v>398</v>
      </c>
      <c r="F324" s="85" t="str">
        <f t="shared" si="92"/>
        <v>31/08/2001</v>
      </c>
      <c r="G324" s="50">
        <f t="shared" si="98"/>
        <v>23</v>
      </c>
      <c r="H324" s="50">
        <f t="shared" si="99"/>
        <v>9</v>
      </c>
      <c r="I324" s="50">
        <f t="shared" si="100"/>
        <v>20</v>
      </c>
      <c r="J324" s="84" t="s">
        <v>444</v>
      </c>
      <c r="K324" s="49" t="s">
        <v>137</v>
      </c>
      <c r="L324" s="87"/>
      <c r="M324" s="85" t="s">
        <v>427</v>
      </c>
      <c r="N324" s="85" t="s">
        <v>526</v>
      </c>
      <c r="O324" s="65" t="s">
        <v>454</v>
      </c>
      <c r="P324" s="49" t="str">
        <f t="shared" si="101"/>
        <v>13/01/2020</v>
      </c>
      <c r="Q324" s="68">
        <f t="shared" si="102"/>
        <v>5</v>
      </c>
      <c r="R324" s="68">
        <f t="shared" si="103"/>
        <v>5</v>
      </c>
      <c r="S324" s="68">
        <f t="shared" si="104"/>
        <v>7</v>
      </c>
      <c r="T324" s="65"/>
      <c r="U324" s="89"/>
      <c r="V324" s="85" t="str">
        <f t="shared" si="93"/>
        <v/>
      </c>
      <c r="W324" s="88">
        <f>IF(V324="",0,DATEDIF(V324,P324,"Y"))</f>
        <v>0</v>
      </c>
      <c r="X324" s="88">
        <f>IF(V324="",0,DATEDIF(V324,P324,"YM"))</f>
        <v>0</v>
      </c>
      <c r="Y324" s="88">
        <f>IF(V324="",0,DATEDIF(V324,P324,"MD"))</f>
        <v>0</v>
      </c>
      <c r="Z324" s="93"/>
      <c r="AA324" s="89"/>
      <c r="AB324" s="84" t="str">
        <f t="shared" si="94"/>
        <v/>
      </c>
      <c r="AC324" s="88">
        <f t="shared" si="95"/>
        <v>0</v>
      </c>
      <c r="AD324" s="88">
        <f t="shared" si="96"/>
        <v>0</v>
      </c>
      <c r="AE324" s="88">
        <f t="shared" si="97"/>
        <v>0</v>
      </c>
      <c r="AF324" s="84" t="s">
        <v>78</v>
      </c>
      <c r="AG324" s="84" t="s">
        <v>486</v>
      </c>
      <c r="AH324" s="49" t="str">
        <f>IF(AG324="นิติศาสตร์","K5-LAW","K5-POLICY")</f>
        <v>K5-POLICY</v>
      </c>
      <c r="AI324" s="72" t="str">
        <f>_xlfn.IFS(B324="","",AND(AH324="K5-LAW",AG324="นิติศาสตร์",K324="S2",T324="",Z324=""),P324,AND(AH324="K5-LAW",AG324="นิติศาสตร์",K324="S1",T324="",Z324=""),EDATE(P324,12),AND(AH324="K5-LAW",AG324="นิติศาสตร์",OR(K324="M2",K324="K4"),T324="",Z324=""),EDATE(P324,12*2),AND(AH324="K5-LAW",AG324="นิติศาสตร์",OR(Z324="M2",Z324="K4"),AC324&gt;=2,OR(AB324&lt;V324,AB324&lt;P324)),EDATE(AB324,12*2),AND(AH324="K5-LAW",AG324="นิติศาสตร์",Z324="S1",AC324&gt;=1,OR(AB324&lt;V324,AB324&lt;P324)),EDATE(AB324,12),AND(AH324="K5-LAW",AG324="นิติศาสตร์",OR(T324="M2",T324="K4"),W324&gt;=2,V324&lt;P324),EDATE(V324,12*2),AND(AH324="K5-LAW",AG324="นิติศาสตร์",T324="S1",W324&gt;=1,V324&lt;P324),EDATE(V324,12),AND(AH324="K5-LAW",AG324="นิติศาสตร์",OR(T324="S2",T324="K5")),V324,AND(AH324="K5-LAW",AG324="นิติศาสตร์",OR(K324="M2",K324="K4"),Q324&gt;=2),EDATE(P324,12*2),AND(AH324="K5-LAW",AG324="นิติศาสตร์",K324="S1",Q324&gt;=1),EDATE(P324,12),AND(AH324="K5-LAW",AG324="นิติศาสตร์",OR(K324="S2",K324="K5")),P324,AND(AH324="K5-POLICY",AG324&lt;&gt;"นิติศาสตร์",K324="S2",T324="",Z324=""),P324,AND(AH324="K5-POLICY",AG324&lt;&gt;"นิติศาสตร์",K324="S1",T324="",Z324=""),EDATE(P324,12),AND(AH324="K5-POLICY",AG324&lt;&gt;"นิติศาสตร์",OR(K324="M2",K324="K4"),T324="",Z324=""),EDATE(P324,12*2),AND(AH324="K5-POLICY",AG324&lt;&gt;"นิติศาสตร์",OR(Z324="M2",Z324="K4"),AC324&gt;=2,OR(AB324&lt;V324,AB324&lt;P324)),EDATE(AB324,12*2),AND(AH324="K5-POLICY",AG324&lt;&gt;"นิติศาสตร์",Z324="S1",AC324&gt;=1,OR(AB324&lt;V324,AB324&lt;P324)),EDATE(AB324,12),AND(AH324="K5-POLICY",AG324&lt;&gt;"นิติศาสตร์",OR(T324="M2",T324="K4"),W324&gt;=2,V324&lt;P324),EDATE(V324,12*2),AND(AH324="K5-POLICY",AG324&lt;&gt;"นิติศาสตร์",T324="S1",W324&gt;=1,V324&lt;P324),EDATE(V324,12),AND(AH324="K5-POLICY",AG324&lt;&gt;"นิติศาสตร์",OR(T324="S2",T324="K5")),V324,AND(AH324="K5-POLICY",AG324&lt;&gt;"นิติศาสตร์",OR(K324="M2",K324="K4"),Q324&gt;=2),EDATE(P324,12*2),AND(AH324="K5-POLICY",AG324&lt;&gt;"นิติศาสตร์",K324="S1",Q324&gt;=1),EDATE(P324,12),AND(AH324="K5-POLICY",AG324&lt;&gt;"นิติศาสตร์",OR(K324="S2",K324="K5")),P324,TRUE,"Check Data")</f>
        <v/>
      </c>
      <c r="AJ324" s="75" t="str">
        <f t="shared" si="105"/>
        <v>Check Data</v>
      </c>
      <c r="AK324" s="76" t="str">
        <f t="shared" si="106"/>
        <v>Check Data</v>
      </c>
      <c r="AL324" s="50" t="str">
        <f t="shared" si="107"/>
        <v>Check Data</v>
      </c>
      <c r="AM324" s="49" t="str">
        <f>IF(B324="","",IF(K324="S1","S1",INDEX(#REF!,#REF!)))</f>
        <v/>
      </c>
      <c r="AN324" s="49" t="str">
        <f>K324</f>
        <v>K4</v>
      </c>
      <c r="AO324" s="50" t="b">
        <f>K324=AM324</f>
        <v>0</v>
      </c>
    </row>
    <row r="325" spans="1:41" ht="21.75">
      <c r="A325" s="49">
        <v>323</v>
      </c>
      <c r="B325" s="50"/>
      <c r="C325" s="50"/>
      <c r="D325" s="84" t="s">
        <v>144</v>
      </c>
      <c r="E325" s="85" t="s">
        <v>326</v>
      </c>
      <c r="F325" s="85" t="str">
        <f t="shared" si="92"/>
        <v>27/02/1984</v>
      </c>
      <c r="G325" s="50">
        <f t="shared" si="98"/>
        <v>41</v>
      </c>
      <c r="H325" s="50">
        <f t="shared" si="99"/>
        <v>3</v>
      </c>
      <c r="I325" s="50">
        <f t="shared" si="100"/>
        <v>24</v>
      </c>
      <c r="J325" s="84"/>
      <c r="K325" s="49" t="s">
        <v>137</v>
      </c>
      <c r="L325" s="87"/>
      <c r="M325" s="85"/>
      <c r="N325" s="85"/>
      <c r="O325" s="65" t="s">
        <v>416</v>
      </c>
      <c r="P325" s="49" t="str">
        <f t="shared" si="101"/>
        <v>27/02/2020</v>
      </c>
      <c r="Q325" s="68">
        <f t="shared" si="102"/>
        <v>5</v>
      </c>
      <c r="R325" s="68">
        <f t="shared" si="103"/>
        <v>3</v>
      </c>
      <c r="S325" s="68">
        <f t="shared" si="104"/>
        <v>24</v>
      </c>
      <c r="T325" s="65"/>
      <c r="U325" s="89"/>
      <c r="V325" s="85" t="str">
        <f t="shared" si="93"/>
        <v/>
      </c>
      <c r="W325" s="88">
        <f>IF(V325="",0,DATEDIF(V325,P325,"Y"))</f>
        <v>0</v>
      </c>
      <c r="X325" s="88">
        <f>IF(V325="",0,DATEDIF(V325,P325,"YM"))</f>
        <v>0</v>
      </c>
      <c r="Y325" s="88">
        <f>IF(V325="",0,DATEDIF(V325,P325,"MD"))</f>
        <v>0</v>
      </c>
      <c r="Z325" s="85"/>
      <c r="AA325" s="89"/>
      <c r="AB325" s="84" t="str">
        <f t="shared" si="94"/>
        <v/>
      </c>
      <c r="AC325" s="88">
        <f t="shared" si="95"/>
        <v>0</v>
      </c>
      <c r="AD325" s="88">
        <f t="shared" si="96"/>
        <v>0</v>
      </c>
      <c r="AE325" s="88">
        <f t="shared" si="97"/>
        <v>0</v>
      </c>
      <c r="AF325" s="84"/>
      <c r="AG325" s="84" t="s">
        <v>138</v>
      </c>
      <c r="AH325" s="49" t="str">
        <f>IF(AG325="นิติศาสตร์","K5-LAW","K5-POLICY")</f>
        <v>K5-LAW</v>
      </c>
      <c r="AI325" s="72" t="str">
        <f>_xlfn.IFS(B325="","",AND(AH325="K5-LAW",AG325="นิติศาสตร์",K325="S2",T325="",Z325=""),P325,AND(AH325="K5-LAW",AG325="นิติศาสตร์",K325="S1",T325="",Z325=""),EDATE(P325,12),AND(AH325="K5-LAW",AG325="นิติศาสตร์",OR(K325="M2",K325="K4"),T325="",Z325=""),EDATE(P325,12*2),AND(AH325="K5-LAW",AG325="นิติศาสตร์",OR(Z325="M2",Z325="K4"),AC325&gt;=2,OR(AB325&lt;V325,AB325&lt;P325)),EDATE(AB325,12*2),AND(AH325="K5-LAW",AG325="นิติศาสตร์",Z325="S1",AC325&gt;=1,OR(AB325&lt;V325,AB325&lt;P325)),EDATE(AB325,12),AND(AH325="K5-LAW",AG325="นิติศาสตร์",OR(T325="M2",T325="K4"),W325&gt;=2,V325&lt;P325),EDATE(V325,12*2),AND(AH325="K5-LAW",AG325="นิติศาสตร์",T325="S1",W325&gt;=1,V325&lt;P325),EDATE(V325,12),AND(AH325="K5-LAW",AG325="นิติศาสตร์",OR(T325="S2",T325="K5")),V325,AND(AH325="K5-LAW",AG325="นิติศาสตร์",OR(K325="M2",K325="K4"),Q325&gt;=2),EDATE(P325,12*2),AND(AH325="K5-LAW",AG325="นิติศาสตร์",K325="S1",Q325&gt;=1),EDATE(P325,12),AND(AH325="K5-LAW",AG325="นิติศาสตร์",OR(K325="S2",K325="K5")),P325,AND(AH325="K5-POLICY",AG325&lt;&gt;"นิติศาสตร์",K325="S2",T325="",Z325=""),P325,AND(AH325="K5-POLICY",AG325&lt;&gt;"นิติศาสตร์",K325="S1",T325="",Z325=""),EDATE(P325,12),AND(AH325="K5-POLICY",AG325&lt;&gt;"นิติศาสตร์",OR(K325="M2",K325="K4"),T325="",Z325=""),EDATE(P325,12*2),AND(AH325="K5-POLICY",AG325&lt;&gt;"นิติศาสตร์",OR(Z325="M2",Z325="K4"),AC325&gt;=2,OR(AB325&lt;V325,AB325&lt;P325)),EDATE(AB325,12*2),AND(AH325="K5-POLICY",AG325&lt;&gt;"นิติศาสตร์",Z325="S1",AC325&gt;=1,OR(AB325&lt;V325,AB325&lt;P325)),EDATE(AB325,12),AND(AH325="K5-POLICY",AG325&lt;&gt;"นิติศาสตร์",OR(T325="M2",T325="K4"),W325&gt;=2,V325&lt;P325),EDATE(V325,12*2),AND(AH325="K5-POLICY",AG325&lt;&gt;"นิติศาสตร์",T325="S1",W325&gt;=1,V325&lt;P325),EDATE(V325,12),AND(AH325="K5-POLICY",AG325&lt;&gt;"นิติศาสตร์",OR(T325="S2",T325="K5")),V325,AND(AH325="K5-POLICY",AG325&lt;&gt;"นิติศาสตร์",OR(K325="M2",K325="K4"),Q325&gt;=2),EDATE(P325,12*2),AND(AH325="K5-POLICY",AG325&lt;&gt;"นิติศาสตร์",K325="S1",Q325&gt;=1),EDATE(P325,12),AND(AH325="K5-POLICY",AG325&lt;&gt;"นิติศาสตร์",OR(K325="S2",K325="K5")),P325,TRUE,"Check Data")</f>
        <v/>
      </c>
      <c r="AJ325" s="75" t="str">
        <f t="shared" si="105"/>
        <v>Check Data</v>
      </c>
      <c r="AK325" s="76" t="str">
        <f t="shared" si="106"/>
        <v>Check Data</v>
      </c>
      <c r="AL325" s="50" t="str">
        <f t="shared" si="107"/>
        <v>Check Data</v>
      </c>
      <c r="AM325" s="49" t="str">
        <f>IF(B325="","",IF(K325="S1","S1",INDEX(#REF!,#REF!)))</f>
        <v/>
      </c>
      <c r="AN325" s="49" t="str">
        <f>K325</f>
        <v>K4</v>
      </c>
      <c r="AO325" s="50" t="b">
        <f>K325=AM325</f>
        <v>0</v>
      </c>
    </row>
    <row r="326" spans="1:41" ht="21.75">
      <c r="A326" s="49">
        <v>324</v>
      </c>
      <c r="B326" s="129"/>
      <c r="C326" s="50"/>
      <c r="D326" s="84" t="s">
        <v>146</v>
      </c>
      <c r="E326" s="85" t="s">
        <v>230</v>
      </c>
      <c r="F326" s="85" t="str">
        <f t="shared" si="92"/>
        <v>03/11/1997</v>
      </c>
      <c r="G326" s="50">
        <f t="shared" si="98"/>
        <v>27</v>
      </c>
      <c r="H326" s="50">
        <f t="shared" si="99"/>
        <v>7</v>
      </c>
      <c r="I326" s="50">
        <f t="shared" si="100"/>
        <v>17</v>
      </c>
      <c r="J326" s="84"/>
      <c r="K326" s="49" t="s">
        <v>137</v>
      </c>
      <c r="L326" s="87"/>
      <c r="M326" s="85"/>
      <c r="N326" s="85"/>
      <c r="O326" s="65" t="s">
        <v>422</v>
      </c>
      <c r="P326" s="49" t="str">
        <f t="shared" si="101"/>
        <v>04/03/2020</v>
      </c>
      <c r="Q326" s="68">
        <f t="shared" si="102"/>
        <v>5</v>
      </c>
      <c r="R326" s="68">
        <f t="shared" si="103"/>
        <v>3</v>
      </c>
      <c r="S326" s="68">
        <f t="shared" si="104"/>
        <v>16</v>
      </c>
      <c r="T326" s="65"/>
      <c r="U326" s="89"/>
      <c r="V326" s="85" t="str">
        <f t="shared" si="93"/>
        <v/>
      </c>
      <c r="W326" s="88">
        <f>IF(V326="",0,DATEDIF(V326,P326,"Y"))</f>
        <v>0</v>
      </c>
      <c r="X326" s="88">
        <f>IF(V326="",0,DATEDIF(V326,P326,"YM"))</f>
        <v>0</v>
      </c>
      <c r="Y326" s="88">
        <f>IF(V326="",0,DATEDIF(V326,P326,"MD"))</f>
        <v>0</v>
      </c>
      <c r="Z326" s="85"/>
      <c r="AA326" s="89"/>
      <c r="AB326" s="84" t="str">
        <f t="shared" si="94"/>
        <v/>
      </c>
      <c r="AC326" s="88">
        <f t="shared" si="95"/>
        <v>0</v>
      </c>
      <c r="AD326" s="88">
        <f t="shared" si="96"/>
        <v>0</v>
      </c>
      <c r="AE326" s="88">
        <f t="shared" si="97"/>
        <v>0</v>
      </c>
      <c r="AF326" s="84"/>
      <c r="AG326" s="84" t="s">
        <v>175</v>
      </c>
      <c r="AH326" s="49" t="str">
        <f>IF(AG326="นิติศาสตร์","K5-LAW","K5-POLICY")</f>
        <v>K5-POLICY</v>
      </c>
      <c r="AI326" s="72" t="str">
        <f>_xlfn.IFS(B326="","",AND(AH326="K5-LAW",AG326="นิติศาสตร์",K326="S2",T326="",Z326=""),P326,AND(AH326="K5-LAW",AG326="นิติศาสตร์",K326="S1",T326="",Z326=""),EDATE(P326,12),AND(AH326="K5-LAW",AG326="นิติศาสตร์",OR(K326="M2",K326="K4"),T326="",Z326=""),EDATE(P326,12*2),AND(AH326="K5-LAW",AG326="นิติศาสตร์",OR(Z326="M2",Z326="K4"),AC326&gt;=2,OR(AB326&lt;V326,AB326&lt;P326)),EDATE(AB326,12*2),AND(AH326="K5-LAW",AG326="นิติศาสตร์",Z326="S1",AC326&gt;=1,OR(AB326&lt;V326,AB326&lt;P326)),EDATE(AB326,12),AND(AH326="K5-LAW",AG326="นิติศาสตร์",OR(T326="M2",T326="K4"),W326&gt;=2,V326&lt;P326),EDATE(V326,12*2),AND(AH326="K5-LAW",AG326="นิติศาสตร์",T326="S1",W326&gt;=1,V326&lt;P326),EDATE(V326,12),AND(AH326="K5-LAW",AG326="นิติศาสตร์",OR(T326="S2",T326="K5")),V326,AND(AH326="K5-LAW",AG326="นิติศาสตร์",OR(K326="M2",K326="K4"),Q326&gt;=2),EDATE(P326,12*2),AND(AH326="K5-LAW",AG326="นิติศาสตร์",K326="S1",Q326&gt;=1),EDATE(P326,12),AND(AH326="K5-LAW",AG326="นิติศาสตร์",OR(K326="S2",K326="K5")),P326,AND(AH326="K5-POLICY",AG326&lt;&gt;"นิติศาสตร์",K326="S2",T326="",Z326=""),P326,AND(AH326="K5-POLICY",AG326&lt;&gt;"นิติศาสตร์",K326="S1",T326="",Z326=""),EDATE(P326,12),AND(AH326="K5-POLICY",AG326&lt;&gt;"นิติศาสตร์",OR(K326="M2",K326="K4"),T326="",Z326=""),EDATE(P326,12*2),AND(AH326="K5-POLICY",AG326&lt;&gt;"นิติศาสตร์",OR(Z326="M2",Z326="K4"),AC326&gt;=2,OR(AB326&lt;V326,AB326&lt;P326)),EDATE(AB326,12*2),AND(AH326="K5-POLICY",AG326&lt;&gt;"นิติศาสตร์",Z326="S1",AC326&gt;=1,OR(AB326&lt;V326,AB326&lt;P326)),EDATE(AB326,12),AND(AH326="K5-POLICY",AG326&lt;&gt;"นิติศาสตร์",OR(T326="M2",T326="K4"),W326&gt;=2,V326&lt;P326),EDATE(V326,12*2),AND(AH326="K5-POLICY",AG326&lt;&gt;"นิติศาสตร์",T326="S1",W326&gt;=1,V326&lt;P326),EDATE(V326,12),AND(AH326="K5-POLICY",AG326&lt;&gt;"นิติศาสตร์",OR(T326="S2",T326="K5")),V326,AND(AH326="K5-POLICY",AG326&lt;&gt;"นิติศาสตร์",OR(K326="M2",K326="K4"),Q326&gt;=2),EDATE(P326,12*2),AND(AH326="K5-POLICY",AG326&lt;&gt;"นิติศาสตร์",K326="S1",Q326&gt;=1),EDATE(P326,12),AND(AH326="K5-POLICY",AG326&lt;&gt;"นิติศาสตร์",OR(K326="S2",K326="K5")),P326,TRUE,"Check Data")</f>
        <v/>
      </c>
      <c r="AJ326" s="75" t="str">
        <f t="shared" si="105"/>
        <v>Check Data</v>
      </c>
      <c r="AK326" s="76" t="str">
        <f t="shared" si="106"/>
        <v>Check Data</v>
      </c>
      <c r="AL326" s="50" t="str">
        <f t="shared" si="107"/>
        <v>Check Data</v>
      </c>
      <c r="AM326" s="49" t="str">
        <f>IF(B326="","",IF(K326="S1","S1",INDEX(#REF!,#REF!)))</f>
        <v/>
      </c>
      <c r="AN326" s="49" t="str">
        <f>K326</f>
        <v>K4</v>
      </c>
      <c r="AO326" s="50" t="b">
        <f>K326=AM326</f>
        <v>0</v>
      </c>
    </row>
    <row r="327" spans="1:41" ht="21.75">
      <c r="A327" s="49">
        <v>325</v>
      </c>
      <c r="B327" s="50"/>
      <c r="C327" s="54"/>
      <c r="D327" s="84" t="s">
        <v>144</v>
      </c>
      <c r="E327" s="85" t="s">
        <v>271</v>
      </c>
      <c r="F327" s="85" t="str">
        <f t="shared" si="92"/>
        <v>10/05/1999</v>
      </c>
      <c r="G327" s="50">
        <f t="shared" si="98"/>
        <v>26</v>
      </c>
      <c r="H327" s="50">
        <f t="shared" si="99"/>
        <v>1</v>
      </c>
      <c r="I327" s="50">
        <f t="shared" si="100"/>
        <v>10</v>
      </c>
      <c r="J327" s="84"/>
      <c r="K327" s="49" t="s">
        <v>137</v>
      </c>
      <c r="L327" s="87"/>
      <c r="M327" s="85"/>
      <c r="N327" s="85"/>
      <c r="O327" s="65" t="s">
        <v>414</v>
      </c>
      <c r="P327" s="49" t="str">
        <f t="shared" si="101"/>
        <v>10/03/2020</v>
      </c>
      <c r="Q327" s="68">
        <f t="shared" si="102"/>
        <v>5</v>
      </c>
      <c r="R327" s="68">
        <f t="shared" si="103"/>
        <v>3</v>
      </c>
      <c r="S327" s="68">
        <f t="shared" si="104"/>
        <v>10</v>
      </c>
      <c r="T327" s="65"/>
      <c r="U327" s="89"/>
      <c r="V327" s="85" t="str">
        <f t="shared" si="93"/>
        <v/>
      </c>
      <c r="W327" s="88">
        <f>IF(V327="",0,DATEDIF(V327,P327,"Y"))</f>
        <v>0</v>
      </c>
      <c r="X327" s="88">
        <f>IF(V327="",0,DATEDIF(V327,P327,"YM"))</f>
        <v>0</v>
      </c>
      <c r="Y327" s="88">
        <f>IF(V327="",0,DATEDIF(V327,P327,"MD"))</f>
        <v>0</v>
      </c>
      <c r="Z327" s="85"/>
      <c r="AA327" s="89"/>
      <c r="AB327" s="84" t="str">
        <f t="shared" si="94"/>
        <v/>
      </c>
      <c r="AC327" s="88">
        <f t="shared" si="95"/>
        <v>0</v>
      </c>
      <c r="AD327" s="88">
        <f t="shared" si="96"/>
        <v>0</v>
      </c>
      <c r="AE327" s="88">
        <f t="shared" si="97"/>
        <v>0</v>
      </c>
      <c r="AF327" s="84"/>
      <c r="AG327" s="84" t="s">
        <v>509</v>
      </c>
      <c r="AH327" s="49" t="str">
        <f>IF(AG327="นิติศาสตร์","K5-LAW","K5-POLICY")</f>
        <v>K5-POLICY</v>
      </c>
      <c r="AI327" s="72" t="str">
        <f>_xlfn.IFS(B327="","",AND(AH327="K5-LAW",AG327="นิติศาสตร์",K327="S2",T327="",Z327=""),P327,AND(AH327="K5-LAW",AG327="นิติศาสตร์",K327="S1",T327="",Z327=""),EDATE(P327,12),AND(AH327="K5-LAW",AG327="นิติศาสตร์",OR(K327="M2",K327="K4"),T327="",Z327=""),EDATE(P327,12*2),AND(AH327="K5-LAW",AG327="นิติศาสตร์",OR(Z327="M2",Z327="K4"),AC327&gt;=2,OR(AB327&lt;V327,AB327&lt;P327)),EDATE(AB327,12*2),AND(AH327="K5-LAW",AG327="นิติศาสตร์",Z327="S1",AC327&gt;=1,OR(AB327&lt;V327,AB327&lt;P327)),EDATE(AB327,12),AND(AH327="K5-LAW",AG327="นิติศาสตร์",OR(T327="M2",T327="K4"),W327&gt;=2,V327&lt;P327),EDATE(V327,12*2),AND(AH327="K5-LAW",AG327="นิติศาสตร์",T327="S1",W327&gt;=1,V327&lt;P327),EDATE(V327,12),AND(AH327="K5-LAW",AG327="นิติศาสตร์",OR(T327="S2",T327="K5")),V327,AND(AH327="K5-LAW",AG327="นิติศาสตร์",OR(K327="M2",K327="K4"),Q327&gt;=2),EDATE(P327,12*2),AND(AH327="K5-LAW",AG327="นิติศาสตร์",K327="S1",Q327&gt;=1),EDATE(P327,12),AND(AH327="K5-LAW",AG327="นิติศาสตร์",OR(K327="S2",K327="K5")),P327,AND(AH327="K5-POLICY",AG327&lt;&gt;"นิติศาสตร์",K327="S2",T327="",Z327=""),P327,AND(AH327="K5-POLICY",AG327&lt;&gt;"นิติศาสตร์",K327="S1",T327="",Z327=""),EDATE(P327,12),AND(AH327="K5-POLICY",AG327&lt;&gt;"นิติศาสตร์",OR(K327="M2",K327="K4"),T327="",Z327=""),EDATE(P327,12*2),AND(AH327="K5-POLICY",AG327&lt;&gt;"นิติศาสตร์",OR(Z327="M2",Z327="K4"),AC327&gt;=2,OR(AB327&lt;V327,AB327&lt;P327)),EDATE(AB327,12*2),AND(AH327="K5-POLICY",AG327&lt;&gt;"นิติศาสตร์",Z327="S1",AC327&gt;=1,OR(AB327&lt;V327,AB327&lt;P327)),EDATE(AB327,12),AND(AH327="K5-POLICY",AG327&lt;&gt;"นิติศาสตร์",OR(T327="M2",T327="K4"),W327&gt;=2,V327&lt;P327),EDATE(V327,12*2),AND(AH327="K5-POLICY",AG327&lt;&gt;"นิติศาสตร์",T327="S1",W327&gt;=1,V327&lt;P327),EDATE(V327,12),AND(AH327="K5-POLICY",AG327&lt;&gt;"นิติศาสตร์",OR(T327="S2",T327="K5")),V327,AND(AH327="K5-POLICY",AG327&lt;&gt;"นิติศาสตร์",OR(K327="M2",K327="K4"),Q327&gt;=2),EDATE(P327,12*2),AND(AH327="K5-POLICY",AG327&lt;&gt;"นิติศาสตร์",K327="S1",Q327&gt;=1),EDATE(P327,12),AND(AH327="K5-POLICY",AG327&lt;&gt;"นิติศาสตร์",OR(K327="S2",K327="K5")),P327,TRUE,"Check Data")</f>
        <v/>
      </c>
      <c r="AJ327" s="75" t="str">
        <f t="shared" si="105"/>
        <v>Check Data</v>
      </c>
      <c r="AK327" s="76" t="str">
        <f t="shared" si="106"/>
        <v>Check Data</v>
      </c>
      <c r="AL327" s="50" t="str">
        <f t="shared" si="107"/>
        <v>Check Data</v>
      </c>
      <c r="AM327" s="49" t="str">
        <f>IF(B327="","",IF(K327="S1","S1",INDEX(#REF!,#REF!)))</f>
        <v/>
      </c>
      <c r="AN327" s="49" t="str">
        <f>K327</f>
        <v>K4</v>
      </c>
      <c r="AO327" s="50" t="b">
        <f>K327=AM327</f>
        <v>0</v>
      </c>
    </row>
    <row r="328" spans="1:41" ht="21.75">
      <c r="A328" s="49">
        <v>326</v>
      </c>
      <c r="B328" s="50"/>
      <c r="C328" s="50"/>
      <c r="D328" s="84" t="s">
        <v>144</v>
      </c>
      <c r="E328" s="85" t="s">
        <v>239</v>
      </c>
      <c r="F328" s="85" t="str">
        <f t="shared" si="92"/>
        <v>01/05/1985</v>
      </c>
      <c r="G328" s="50">
        <f t="shared" si="98"/>
        <v>40</v>
      </c>
      <c r="H328" s="50">
        <f t="shared" si="99"/>
        <v>1</v>
      </c>
      <c r="I328" s="50">
        <f t="shared" si="100"/>
        <v>19</v>
      </c>
      <c r="J328" s="84"/>
      <c r="K328" s="49" t="s">
        <v>137</v>
      </c>
      <c r="L328" s="87"/>
      <c r="M328" s="85"/>
      <c r="N328" s="85"/>
      <c r="O328" s="65" t="s">
        <v>409</v>
      </c>
      <c r="P328" s="49" t="str">
        <f t="shared" si="101"/>
        <v>12/03/2020</v>
      </c>
      <c r="Q328" s="68">
        <f t="shared" si="102"/>
        <v>5</v>
      </c>
      <c r="R328" s="68">
        <f t="shared" si="103"/>
        <v>3</v>
      </c>
      <c r="S328" s="68">
        <f t="shared" si="104"/>
        <v>8</v>
      </c>
      <c r="T328" s="65"/>
      <c r="U328" s="89"/>
      <c r="V328" s="85" t="str">
        <f t="shared" si="93"/>
        <v/>
      </c>
      <c r="W328" s="88">
        <f>IF(V328="",0,DATEDIF(V328,P328,"Y"))</f>
        <v>0</v>
      </c>
      <c r="X328" s="88">
        <f>IF(V328="",0,DATEDIF(V328,P328,"YM"))</f>
        <v>0</v>
      </c>
      <c r="Y328" s="88">
        <f>IF(V328="",0,DATEDIF(V328,P328,"MD"))</f>
        <v>0</v>
      </c>
      <c r="Z328" s="85"/>
      <c r="AA328" s="89"/>
      <c r="AB328" s="84" t="str">
        <f t="shared" si="94"/>
        <v/>
      </c>
      <c r="AC328" s="88">
        <f t="shared" si="95"/>
        <v>0</v>
      </c>
      <c r="AD328" s="88">
        <f t="shared" si="96"/>
        <v>0</v>
      </c>
      <c r="AE328" s="88">
        <f t="shared" si="97"/>
        <v>0</v>
      </c>
      <c r="AF328" s="84"/>
      <c r="AG328" s="84" t="s">
        <v>527</v>
      </c>
      <c r="AH328" s="49" t="str">
        <f>IF(AG328="นิติศาสตร์","K5-LAW","K5-POLICY")</f>
        <v>K5-POLICY</v>
      </c>
      <c r="AI328" s="72" t="str">
        <f>_xlfn.IFS(B328="","",AND(AH328="K5-LAW",AG328="นิติศาสตร์",K328="S2",T328="",Z328=""),P328,AND(AH328="K5-LAW",AG328="นิติศาสตร์",K328="S1",T328="",Z328=""),EDATE(P328,12),AND(AH328="K5-LAW",AG328="นิติศาสตร์",OR(K328="M2",K328="K4"),T328="",Z328=""),EDATE(P328,12*2),AND(AH328="K5-LAW",AG328="นิติศาสตร์",OR(Z328="M2",Z328="K4"),AC328&gt;=2,OR(AB328&lt;V328,AB328&lt;P328)),EDATE(AB328,12*2),AND(AH328="K5-LAW",AG328="นิติศาสตร์",Z328="S1",AC328&gt;=1,OR(AB328&lt;V328,AB328&lt;P328)),EDATE(AB328,12),AND(AH328="K5-LAW",AG328="นิติศาสตร์",OR(T328="M2",T328="K4"),W328&gt;=2,V328&lt;P328),EDATE(V328,12*2),AND(AH328="K5-LAW",AG328="นิติศาสตร์",T328="S1",W328&gt;=1,V328&lt;P328),EDATE(V328,12),AND(AH328="K5-LAW",AG328="นิติศาสตร์",OR(T328="S2",T328="K5")),V328,AND(AH328="K5-LAW",AG328="นิติศาสตร์",OR(K328="M2",K328="K4"),Q328&gt;=2),EDATE(P328,12*2),AND(AH328="K5-LAW",AG328="นิติศาสตร์",K328="S1",Q328&gt;=1),EDATE(P328,12),AND(AH328="K5-LAW",AG328="นิติศาสตร์",OR(K328="S2",K328="K5")),P328,AND(AH328="K5-POLICY",AG328&lt;&gt;"นิติศาสตร์",K328="S2",T328="",Z328=""),P328,AND(AH328="K5-POLICY",AG328&lt;&gt;"นิติศาสตร์",K328="S1",T328="",Z328=""),EDATE(P328,12),AND(AH328="K5-POLICY",AG328&lt;&gt;"นิติศาสตร์",OR(K328="M2",K328="K4"),T328="",Z328=""),EDATE(P328,12*2),AND(AH328="K5-POLICY",AG328&lt;&gt;"นิติศาสตร์",OR(Z328="M2",Z328="K4"),AC328&gt;=2,OR(AB328&lt;V328,AB328&lt;P328)),EDATE(AB328,12*2),AND(AH328="K5-POLICY",AG328&lt;&gt;"นิติศาสตร์",Z328="S1",AC328&gt;=1,OR(AB328&lt;V328,AB328&lt;P328)),EDATE(AB328,12),AND(AH328="K5-POLICY",AG328&lt;&gt;"นิติศาสตร์",OR(T328="M2",T328="K4"),W328&gt;=2,V328&lt;P328),EDATE(V328,12*2),AND(AH328="K5-POLICY",AG328&lt;&gt;"นิติศาสตร์",T328="S1",W328&gt;=1,V328&lt;P328),EDATE(V328,12),AND(AH328="K5-POLICY",AG328&lt;&gt;"นิติศาสตร์",OR(T328="S2",T328="K5")),V328,AND(AH328="K5-POLICY",AG328&lt;&gt;"นิติศาสตร์",OR(K328="M2",K328="K4"),Q328&gt;=2),EDATE(P328,12*2),AND(AH328="K5-POLICY",AG328&lt;&gt;"นิติศาสตร์",K328="S1",Q328&gt;=1),EDATE(P328,12),AND(AH328="K5-POLICY",AG328&lt;&gt;"นิติศาสตร์",OR(K328="S2",K328="K5")),P328,TRUE,"Check Data")</f>
        <v/>
      </c>
      <c r="AJ328" s="75" t="str">
        <f t="shared" si="105"/>
        <v>Check Data</v>
      </c>
      <c r="AK328" s="76" t="str">
        <f t="shared" si="106"/>
        <v>Check Data</v>
      </c>
      <c r="AL328" s="50" t="str">
        <f t="shared" si="107"/>
        <v>Check Data</v>
      </c>
      <c r="AM328" s="49" t="str">
        <f>IF(B328="","",IF(K328="S1","S1",INDEX(#REF!,#REF!)))</f>
        <v/>
      </c>
      <c r="AN328" s="49" t="str">
        <f>K328</f>
        <v>K4</v>
      </c>
      <c r="AO328" s="50" t="b">
        <f>K328=AM328</f>
        <v>0</v>
      </c>
    </row>
    <row r="329" spans="1:41" ht="21.75">
      <c r="A329" s="49">
        <v>327</v>
      </c>
      <c r="B329" s="50"/>
      <c r="C329" s="50"/>
      <c r="D329" s="84" t="s">
        <v>34</v>
      </c>
      <c r="E329" s="85" t="s">
        <v>400</v>
      </c>
      <c r="F329" s="85" t="str">
        <f t="shared" si="92"/>
        <v>17/05/2001</v>
      </c>
      <c r="G329" s="50">
        <f t="shared" si="98"/>
        <v>24</v>
      </c>
      <c r="H329" s="50">
        <f t="shared" si="99"/>
        <v>1</v>
      </c>
      <c r="I329" s="50">
        <f t="shared" si="100"/>
        <v>3</v>
      </c>
      <c r="J329" s="84" t="s">
        <v>399</v>
      </c>
      <c r="K329" s="49" t="s">
        <v>137</v>
      </c>
      <c r="L329" s="87"/>
      <c r="M329" s="85" t="s">
        <v>427</v>
      </c>
      <c r="N329" s="85">
        <v>2577</v>
      </c>
      <c r="O329" s="65" t="s">
        <v>401</v>
      </c>
      <c r="P329" s="49" t="str">
        <f t="shared" si="101"/>
        <v>20/03/2020</v>
      </c>
      <c r="Q329" s="68">
        <f t="shared" si="102"/>
        <v>5</v>
      </c>
      <c r="R329" s="68">
        <f t="shared" si="103"/>
        <v>3</v>
      </c>
      <c r="S329" s="68">
        <f t="shared" si="104"/>
        <v>0</v>
      </c>
      <c r="T329" s="65"/>
      <c r="U329" s="89"/>
      <c r="V329" s="85" t="str">
        <f t="shared" si="93"/>
        <v/>
      </c>
      <c r="W329" s="88">
        <f>IF(V329="",0,DATEDIF(V329,P329,"Y"))</f>
        <v>0</v>
      </c>
      <c r="X329" s="88">
        <f>IF(V329="",0,DATEDIF(V329,P329,"YM"))</f>
        <v>0</v>
      </c>
      <c r="Y329" s="88">
        <f>IF(V329="",0,DATEDIF(V329,P329,"MD"))</f>
        <v>0</v>
      </c>
      <c r="Z329" s="93"/>
      <c r="AA329" s="89"/>
      <c r="AB329" s="84" t="str">
        <f t="shared" si="94"/>
        <v/>
      </c>
      <c r="AC329" s="88">
        <f t="shared" si="95"/>
        <v>0</v>
      </c>
      <c r="AD329" s="88">
        <f t="shared" si="96"/>
        <v>0</v>
      </c>
      <c r="AE329" s="88">
        <f t="shared" si="97"/>
        <v>0</v>
      </c>
      <c r="AF329" s="84" t="s">
        <v>80</v>
      </c>
      <c r="AG329" s="84" t="s">
        <v>512</v>
      </c>
      <c r="AH329" s="49" t="str">
        <f>IF(AG329="นิติศาสตร์","K5-LAW","K5-POLICY")</f>
        <v>K5-POLICY</v>
      </c>
      <c r="AI329" s="72" t="str">
        <f>_xlfn.IFS(B329="","",AND(AH329="K5-LAW",AG329="นิติศาสตร์",K329="S2",T329="",Z329=""),P329,AND(AH329="K5-LAW",AG329="นิติศาสตร์",K329="S1",T329="",Z329=""),EDATE(P329,12),AND(AH329="K5-LAW",AG329="นิติศาสตร์",OR(K329="M2",K329="K4"),T329="",Z329=""),EDATE(P329,12*2),AND(AH329="K5-LAW",AG329="นิติศาสตร์",OR(Z329="M2",Z329="K4"),AC329&gt;=2,OR(AB329&lt;V329,AB329&lt;P329)),EDATE(AB329,12*2),AND(AH329="K5-LAW",AG329="นิติศาสตร์",Z329="S1",AC329&gt;=1,OR(AB329&lt;V329,AB329&lt;P329)),EDATE(AB329,12),AND(AH329="K5-LAW",AG329="นิติศาสตร์",OR(T329="M2",T329="K4"),W329&gt;=2,V329&lt;P329),EDATE(V329,12*2),AND(AH329="K5-LAW",AG329="นิติศาสตร์",T329="S1",W329&gt;=1,V329&lt;P329),EDATE(V329,12),AND(AH329="K5-LAW",AG329="นิติศาสตร์",OR(T329="S2",T329="K5")),V329,AND(AH329="K5-LAW",AG329="นิติศาสตร์",OR(K329="M2",K329="K4"),Q329&gt;=2),EDATE(P329,12*2),AND(AH329="K5-LAW",AG329="นิติศาสตร์",K329="S1",Q329&gt;=1),EDATE(P329,12),AND(AH329="K5-LAW",AG329="นิติศาสตร์",OR(K329="S2",K329="K5")),P329,AND(AH329="K5-POLICY",AG329&lt;&gt;"นิติศาสตร์",K329="S2",T329="",Z329=""),P329,AND(AH329="K5-POLICY",AG329&lt;&gt;"นิติศาสตร์",K329="S1",T329="",Z329=""),EDATE(P329,12),AND(AH329="K5-POLICY",AG329&lt;&gt;"นิติศาสตร์",OR(K329="M2",K329="K4"),T329="",Z329=""),EDATE(P329,12*2),AND(AH329="K5-POLICY",AG329&lt;&gt;"นิติศาสตร์",OR(Z329="M2",Z329="K4"),AC329&gt;=2,OR(AB329&lt;V329,AB329&lt;P329)),EDATE(AB329,12*2),AND(AH329="K5-POLICY",AG329&lt;&gt;"นิติศาสตร์",Z329="S1",AC329&gt;=1,OR(AB329&lt;V329,AB329&lt;P329)),EDATE(AB329,12),AND(AH329="K5-POLICY",AG329&lt;&gt;"นิติศาสตร์",OR(T329="M2",T329="K4"),W329&gt;=2,V329&lt;P329),EDATE(V329,12*2),AND(AH329="K5-POLICY",AG329&lt;&gt;"นิติศาสตร์",T329="S1",W329&gt;=1,V329&lt;P329),EDATE(V329,12),AND(AH329="K5-POLICY",AG329&lt;&gt;"นิติศาสตร์",OR(T329="S2",T329="K5")),V329,AND(AH329="K5-POLICY",AG329&lt;&gt;"นิติศาสตร์",OR(K329="M2",K329="K4"),Q329&gt;=2),EDATE(P329,12*2),AND(AH329="K5-POLICY",AG329&lt;&gt;"นิติศาสตร์",K329="S1",Q329&gt;=1),EDATE(P329,12),AND(AH329="K5-POLICY",AG329&lt;&gt;"นิติศาสตร์",OR(K329="S2",K329="K5")),P329,TRUE,"Check Data")</f>
        <v/>
      </c>
      <c r="AJ329" s="75" t="str">
        <f t="shared" si="105"/>
        <v>Check Data</v>
      </c>
      <c r="AK329" s="76" t="str">
        <f t="shared" si="106"/>
        <v>Check Data</v>
      </c>
      <c r="AL329" s="50" t="str">
        <f t="shared" si="107"/>
        <v>Check Data</v>
      </c>
      <c r="AM329" s="49" t="str">
        <f>IF(B329="","",IF(K329="S1","S1",INDEX(#REF!,#REF!)))</f>
        <v/>
      </c>
      <c r="AN329" s="49" t="str">
        <f>K329</f>
        <v>K4</v>
      </c>
      <c r="AO329" s="50" t="b">
        <f>K329=AM329</f>
        <v>0</v>
      </c>
    </row>
    <row r="330" spans="1:41" ht="21.75">
      <c r="A330" s="49">
        <v>328</v>
      </c>
      <c r="B330" s="50"/>
      <c r="C330" s="50"/>
      <c r="D330" s="84" t="s">
        <v>144</v>
      </c>
      <c r="E330" s="85" t="s">
        <v>286</v>
      </c>
      <c r="F330" s="85" t="str">
        <f t="shared" si="92"/>
        <v>22/11/1999</v>
      </c>
      <c r="G330" s="50">
        <f t="shared" si="98"/>
        <v>25</v>
      </c>
      <c r="H330" s="50">
        <f t="shared" si="99"/>
        <v>6</v>
      </c>
      <c r="I330" s="50">
        <f t="shared" si="100"/>
        <v>29</v>
      </c>
      <c r="J330" s="84"/>
      <c r="K330" s="49" t="s">
        <v>137</v>
      </c>
      <c r="L330" s="87"/>
      <c r="M330" s="85"/>
      <c r="N330" s="85"/>
      <c r="O330" s="65" t="s">
        <v>412</v>
      </c>
      <c r="P330" s="49" t="str">
        <f t="shared" si="101"/>
        <v>22/05/2020</v>
      </c>
      <c r="Q330" s="68">
        <f t="shared" si="102"/>
        <v>5</v>
      </c>
      <c r="R330" s="68">
        <f t="shared" si="103"/>
        <v>0</v>
      </c>
      <c r="S330" s="68">
        <f t="shared" si="104"/>
        <v>29</v>
      </c>
      <c r="T330" s="65"/>
      <c r="U330" s="89"/>
      <c r="V330" s="85" t="str">
        <f t="shared" si="93"/>
        <v/>
      </c>
      <c r="W330" s="88">
        <f>IF(V330="",0,DATEDIF(V330,P330,"Y"))</f>
        <v>0</v>
      </c>
      <c r="X330" s="88">
        <f>IF(V330="",0,DATEDIF(V330,P330,"YM"))</f>
        <v>0</v>
      </c>
      <c r="Y330" s="88">
        <f>IF(V330="",0,DATEDIF(V330,P330,"MD"))</f>
        <v>0</v>
      </c>
      <c r="Z330" s="85"/>
      <c r="AA330" s="89"/>
      <c r="AB330" s="84" t="str">
        <f t="shared" si="94"/>
        <v/>
      </c>
      <c r="AC330" s="88">
        <f t="shared" si="95"/>
        <v>0</v>
      </c>
      <c r="AD330" s="88">
        <f t="shared" si="96"/>
        <v>0</v>
      </c>
      <c r="AE330" s="88">
        <f t="shared" si="97"/>
        <v>0</v>
      </c>
      <c r="AF330" s="84"/>
      <c r="AG330" s="84" t="s">
        <v>528</v>
      </c>
      <c r="AH330" s="49" t="str">
        <f>IF(AG330="นิติศาสตร์","K5-LAW","K5-POLICY")</f>
        <v>K5-POLICY</v>
      </c>
      <c r="AI330" s="72" t="str">
        <f>_xlfn.IFS(B330="","",AND(AH330="K5-LAW",AG330="นิติศาสตร์",K330="S2",T330="",Z330=""),P330,AND(AH330="K5-LAW",AG330="นิติศาสตร์",K330="S1",T330="",Z330=""),EDATE(P330,12),AND(AH330="K5-LAW",AG330="นิติศาสตร์",OR(K330="M2",K330="K4"),T330="",Z330=""),EDATE(P330,12*2),AND(AH330="K5-LAW",AG330="นิติศาสตร์",OR(Z330="M2",Z330="K4"),AC330&gt;=2,OR(AB330&lt;V330,AB330&lt;P330)),EDATE(AB330,12*2),AND(AH330="K5-LAW",AG330="นิติศาสตร์",Z330="S1",AC330&gt;=1,OR(AB330&lt;V330,AB330&lt;P330)),EDATE(AB330,12),AND(AH330="K5-LAW",AG330="นิติศาสตร์",OR(T330="M2",T330="K4"),W330&gt;=2,V330&lt;P330),EDATE(V330,12*2),AND(AH330="K5-LAW",AG330="นิติศาสตร์",T330="S1",W330&gt;=1,V330&lt;P330),EDATE(V330,12),AND(AH330="K5-LAW",AG330="นิติศาสตร์",OR(T330="S2",T330="K5")),V330,AND(AH330="K5-LAW",AG330="นิติศาสตร์",OR(K330="M2",K330="K4"),Q330&gt;=2),EDATE(P330,12*2),AND(AH330="K5-LAW",AG330="นิติศาสตร์",K330="S1",Q330&gt;=1),EDATE(P330,12),AND(AH330="K5-LAW",AG330="นิติศาสตร์",OR(K330="S2",K330="K5")),P330,AND(AH330="K5-POLICY",AG330&lt;&gt;"นิติศาสตร์",K330="S2",T330="",Z330=""),P330,AND(AH330="K5-POLICY",AG330&lt;&gt;"นิติศาสตร์",K330="S1",T330="",Z330=""),EDATE(P330,12),AND(AH330="K5-POLICY",AG330&lt;&gt;"นิติศาสตร์",OR(K330="M2",K330="K4"),T330="",Z330=""),EDATE(P330,12*2),AND(AH330="K5-POLICY",AG330&lt;&gt;"นิติศาสตร์",OR(Z330="M2",Z330="K4"),AC330&gt;=2,OR(AB330&lt;V330,AB330&lt;P330)),EDATE(AB330,12*2),AND(AH330="K5-POLICY",AG330&lt;&gt;"นิติศาสตร์",Z330="S1",AC330&gt;=1,OR(AB330&lt;V330,AB330&lt;P330)),EDATE(AB330,12),AND(AH330="K5-POLICY",AG330&lt;&gt;"นิติศาสตร์",OR(T330="M2",T330="K4"),W330&gt;=2,V330&lt;P330),EDATE(V330,12*2),AND(AH330="K5-POLICY",AG330&lt;&gt;"นิติศาสตร์",T330="S1",W330&gt;=1,V330&lt;P330),EDATE(V330,12),AND(AH330="K5-POLICY",AG330&lt;&gt;"นิติศาสตร์",OR(T330="S2",T330="K5")),V330,AND(AH330="K5-POLICY",AG330&lt;&gt;"นิติศาสตร์",OR(K330="M2",K330="K4"),Q330&gt;=2),EDATE(P330,12*2),AND(AH330="K5-POLICY",AG330&lt;&gt;"นิติศาสตร์",K330="S1",Q330&gt;=1),EDATE(P330,12),AND(AH330="K5-POLICY",AG330&lt;&gt;"นิติศาสตร์",OR(K330="S2",K330="K5")),P330,TRUE,"Check Data")</f>
        <v/>
      </c>
      <c r="AJ330" s="75" t="str">
        <f t="shared" si="105"/>
        <v>Check Data</v>
      </c>
      <c r="AK330" s="76" t="str">
        <f t="shared" si="106"/>
        <v>Check Data</v>
      </c>
      <c r="AL330" s="50" t="str">
        <f t="shared" si="107"/>
        <v>Check Data</v>
      </c>
      <c r="AM330" s="49" t="str">
        <f>IF(B330="","",IF(K330="S1","S1",INDEX(#REF!,#REF!)))</f>
        <v/>
      </c>
      <c r="AN330" s="49" t="str">
        <f>K330</f>
        <v>K4</v>
      </c>
      <c r="AO330" s="50" t="b">
        <f>K330=AM330</f>
        <v>0</v>
      </c>
    </row>
    <row r="331" spans="1:41" ht="21.75">
      <c r="A331" s="49">
        <v>329</v>
      </c>
      <c r="B331" s="50"/>
      <c r="C331" s="54"/>
      <c r="D331" s="84" t="s">
        <v>143</v>
      </c>
      <c r="E331" s="85" t="s">
        <v>164</v>
      </c>
      <c r="F331" s="85" t="str">
        <f t="shared" si="92"/>
        <v>01/05/1990</v>
      </c>
      <c r="G331" s="50">
        <f t="shared" si="98"/>
        <v>35</v>
      </c>
      <c r="H331" s="50">
        <f t="shared" si="99"/>
        <v>1</v>
      </c>
      <c r="I331" s="50">
        <f t="shared" si="100"/>
        <v>19</v>
      </c>
      <c r="J331" s="84"/>
      <c r="K331" s="49" t="s">
        <v>137</v>
      </c>
      <c r="L331" s="87"/>
      <c r="M331" s="85"/>
      <c r="N331" s="85"/>
      <c r="O331" s="65" t="s">
        <v>407</v>
      </c>
      <c r="P331" s="49" t="str">
        <f t="shared" si="101"/>
        <v>22/06/2020</v>
      </c>
      <c r="Q331" s="68">
        <f t="shared" si="102"/>
        <v>4</v>
      </c>
      <c r="R331" s="68">
        <f t="shared" si="103"/>
        <v>11</v>
      </c>
      <c r="S331" s="68">
        <f t="shared" si="104"/>
        <v>29</v>
      </c>
      <c r="T331" s="65"/>
      <c r="U331" s="89"/>
      <c r="V331" s="85" t="str">
        <f t="shared" si="93"/>
        <v/>
      </c>
      <c r="W331" s="88">
        <f>IF(V331="",0,DATEDIF(V331,P331,"Y"))</f>
        <v>0</v>
      </c>
      <c r="X331" s="88">
        <f>IF(V331="",0,DATEDIF(V331,P331,"YM"))</f>
        <v>0</v>
      </c>
      <c r="Y331" s="88">
        <f>IF(V331="",0,DATEDIF(V331,P331,"MD"))</f>
        <v>0</v>
      </c>
      <c r="Z331" s="85"/>
      <c r="AA331" s="89"/>
      <c r="AB331" s="84" t="str">
        <f t="shared" si="94"/>
        <v/>
      </c>
      <c r="AC331" s="88">
        <f t="shared" si="95"/>
        <v>0</v>
      </c>
      <c r="AD331" s="88">
        <f t="shared" si="96"/>
        <v>0</v>
      </c>
      <c r="AE331" s="88">
        <f t="shared" si="97"/>
        <v>0</v>
      </c>
      <c r="AF331" s="84"/>
      <c r="AG331" s="84" t="s">
        <v>529</v>
      </c>
      <c r="AH331" s="49" t="str">
        <f>IF(AG331="นิติศาสตร์","K5-LAW","K5-POLICY")</f>
        <v>K5-POLICY</v>
      </c>
      <c r="AI331" s="72" t="str">
        <f>_xlfn.IFS(B331="","",AND(AH331="K5-LAW",AG331="นิติศาสตร์",K331="S2",T331="",Z331=""),P331,AND(AH331="K5-LAW",AG331="นิติศาสตร์",K331="S1",T331="",Z331=""),EDATE(P331,12),AND(AH331="K5-LAW",AG331="นิติศาสตร์",OR(K331="M2",K331="K4"),T331="",Z331=""),EDATE(P331,12*2),AND(AH331="K5-LAW",AG331="นิติศาสตร์",OR(Z331="M2",Z331="K4"),AC331&gt;=2,OR(AB331&lt;V331,AB331&lt;P331)),EDATE(AB331,12*2),AND(AH331="K5-LAW",AG331="นิติศาสตร์",Z331="S1",AC331&gt;=1,OR(AB331&lt;V331,AB331&lt;P331)),EDATE(AB331,12),AND(AH331="K5-LAW",AG331="นิติศาสตร์",OR(T331="M2",T331="K4"),W331&gt;=2,V331&lt;P331),EDATE(V331,12*2),AND(AH331="K5-LAW",AG331="นิติศาสตร์",T331="S1",W331&gt;=1,V331&lt;P331),EDATE(V331,12),AND(AH331="K5-LAW",AG331="นิติศาสตร์",OR(T331="S2",T331="K5")),V331,AND(AH331="K5-LAW",AG331="นิติศาสตร์",OR(K331="M2",K331="K4"),Q331&gt;=2),EDATE(P331,12*2),AND(AH331="K5-LAW",AG331="นิติศาสตร์",K331="S1",Q331&gt;=1),EDATE(P331,12),AND(AH331="K5-LAW",AG331="นิติศาสตร์",OR(K331="S2",K331="K5")),P331,AND(AH331="K5-POLICY",AG331&lt;&gt;"นิติศาสตร์",K331="S2",T331="",Z331=""),P331,AND(AH331="K5-POLICY",AG331&lt;&gt;"นิติศาสตร์",K331="S1",T331="",Z331=""),EDATE(P331,12),AND(AH331="K5-POLICY",AG331&lt;&gt;"นิติศาสตร์",OR(K331="M2",K331="K4"),T331="",Z331=""),EDATE(P331,12*2),AND(AH331="K5-POLICY",AG331&lt;&gt;"นิติศาสตร์",OR(Z331="M2",Z331="K4"),AC331&gt;=2,OR(AB331&lt;V331,AB331&lt;P331)),EDATE(AB331,12*2),AND(AH331="K5-POLICY",AG331&lt;&gt;"นิติศาสตร์",Z331="S1",AC331&gt;=1,OR(AB331&lt;V331,AB331&lt;P331)),EDATE(AB331,12),AND(AH331="K5-POLICY",AG331&lt;&gt;"นิติศาสตร์",OR(T331="M2",T331="K4"),W331&gt;=2,V331&lt;P331),EDATE(V331,12*2),AND(AH331="K5-POLICY",AG331&lt;&gt;"นิติศาสตร์",T331="S1",W331&gt;=1,V331&lt;P331),EDATE(V331,12),AND(AH331="K5-POLICY",AG331&lt;&gt;"นิติศาสตร์",OR(T331="S2",T331="K5")),V331,AND(AH331="K5-POLICY",AG331&lt;&gt;"นิติศาสตร์",OR(K331="M2",K331="K4"),Q331&gt;=2),EDATE(P331,12*2),AND(AH331="K5-POLICY",AG331&lt;&gt;"นิติศาสตร์",K331="S1",Q331&gt;=1),EDATE(P331,12),AND(AH331="K5-POLICY",AG331&lt;&gt;"นิติศาสตร์",OR(K331="S2",K331="K5")),P331,TRUE,"Check Data")</f>
        <v/>
      </c>
      <c r="AJ331" s="75" t="str">
        <f t="shared" si="105"/>
        <v>Check Data</v>
      </c>
      <c r="AK331" s="76" t="str">
        <f t="shared" si="106"/>
        <v>Check Data</v>
      </c>
      <c r="AL331" s="50" t="str">
        <f t="shared" si="107"/>
        <v>Check Data</v>
      </c>
      <c r="AM331" s="49" t="str">
        <f>IF(B331="","",IF(K331="S1","S1",INDEX(#REF!,#REF!)))</f>
        <v/>
      </c>
      <c r="AN331" s="49" t="str">
        <f>K331</f>
        <v>K4</v>
      </c>
      <c r="AO331" s="50" t="b">
        <f>K331=AM331</f>
        <v>0</v>
      </c>
    </row>
    <row r="332" spans="1:41" ht="21.75">
      <c r="A332" s="49">
        <v>330</v>
      </c>
      <c r="B332" s="50"/>
      <c r="C332" s="50"/>
      <c r="D332" s="84" t="s">
        <v>144</v>
      </c>
      <c r="E332" s="85" t="s">
        <v>262</v>
      </c>
      <c r="F332" s="85" t="str">
        <f t="shared" si="92"/>
        <v>11/04/1996</v>
      </c>
      <c r="G332" s="50">
        <f t="shared" si="98"/>
        <v>29</v>
      </c>
      <c r="H332" s="50">
        <f t="shared" si="99"/>
        <v>2</v>
      </c>
      <c r="I332" s="50">
        <f t="shared" si="100"/>
        <v>9</v>
      </c>
      <c r="J332" s="84"/>
      <c r="K332" s="49" t="s">
        <v>137</v>
      </c>
      <c r="L332" s="87"/>
      <c r="M332" s="85"/>
      <c r="N332" s="85"/>
      <c r="O332" s="65" t="s">
        <v>445</v>
      </c>
      <c r="P332" s="49" t="str">
        <f t="shared" si="101"/>
        <v>24/09/2020</v>
      </c>
      <c r="Q332" s="68">
        <f t="shared" si="102"/>
        <v>4</v>
      </c>
      <c r="R332" s="68">
        <f t="shared" si="103"/>
        <v>8</v>
      </c>
      <c r="S332" s="68">
        <f t="shared" si="104"/>
        <v>27</v>
      </c>
      <c r="T332" s="65"/>
      <c r="U332" s="89"/>
      <c r="V332" s="85" t="str">
        <f t="shared" si="93"/>
        <v/>
      </c>
      <c r="W332" s="88">
        <f>IF(V332="",0,DATEDIF(V332,P332,"Y"))</f>
        <v>0</v>
      </c>
      <c r="X332" s="88">
        <f>IF(V332="",0,DATEDIF(V332,P332,"YM"))</f>
        <v>0</v>
      </c>
      <c r="Y332" s="88">
        <f>IF(V332="",0,DATEDIF(V332,P332,"MD"))</f>
        <v>0</v>
      </c>
      <c r="Z332" s="85"/>
      <c r="AA332" s="89"/>
      <c r="AB332" s="84" t="str">
        <f t="shared" si="94"/>
        <v/>
      </c>
      <c r="AC332" s="88">
        <f t="shared" si="95"/>
        <v>0</v>
      </c>
      <c r="AD332" s="88">
        <f t="shared" si="96"/>
        <v>0</v>
      </c>
      <c r="AE332" s="88">
        <f t="shared" si="97"/>
        <v>0</v>
      </c>
      <c r="AF332" s="84"/>
      <c r="AG332" s="84" t="s">
        <v>163</v>
      </c>
      <c r="AH332" s="49" t="str">
        <f>IF(AG332="นิติศาสตร์","K5-LAW","K5-POLICY")</f>
        <v>K5-POLICY</v>
      </c>
      <c r="AI332" s="72" t="str">
        <f>_xlfn.IFS(B332="","",AND(AH332="K5-LAW",AG332="นิติศาสตร์",K332="S2",T332="",Z332=""),P332,AND(AH332="K5-LAW",AG332="นิติศาสตร์",K332="S1",T332="",Z332=""),EDATE(P332,12),AND(AH332="K5-LAW",AG332="นิติศาสตร์",OR(K332="M2",K332="K4"),T332="",Z332=""),EDATE(P332,12*2),AND(AH332="K5-LAW",AG332="นิติศาสตร์",OR(Z332="M2",Z332="K4"),AC332&gt;=2,OR(AB332&lt;V332,AB332&lt;P332)),EDATE(AB332,12*2),AND(AH332="K5-LAW",AG332="นิติศาสตร์",Z332="S1",AC332&gt;=1,OR(AB332&lt;V332,AB332&lt;P332)),EDATE(AB332,12),AND(AH332="K5-LAW",AG332="นิติศาสตร์",OR(T332="M2",T332="K4"),W332&gt;=2,V332&lt;P332),EDATE(V332,12*2),AND(AH332="K5-LAW",AG332="นิติศาสตร์",T332="S1",W332&gt;=1,V332&lt;P332),EDATE(V332,12),AND(AH332="K5-LAW",AG332="นิติศาสตร์",OR(T332="S2",T332="K5")),V332,AND(AH332="K5-LAW",AG332="นิติศาสตร์",OR(K332="M2",K332="K4"),Q332&gt;=2),EDATE(P332,12*2),AND(AH332="K5-LAW",AG332="นิติศาสตร์",K332="S1",Q332&gt;=1),EDATE(P332,12),AND(AH332="K5-LAW",AG332="นิติศาสตร์",OR(K332="S2",K332="K5")),P332,AND(AH332="K5-POLICY",AG332&lt;&gt;"นิติศาสตร์",K332="S2",T332="",Z332=""),P332,AND(AH332="K5-POLICY",AG332&lt;&gt;"นิติศาสตร์",K332="S1",T332="",Z332=""),EDATE(P332,12),AND(AH332="K5-POLICY",AG332&lt;&gt;"นิติศาสตร์",OR(K332="M2",K332="K4"),T332="",Z332=""),EDATE(P332,12*2),AND(AH332="K5-POLICY",AG332&lt;&gt;"นิติศาสตร์",OR(Z332="M2",Z332="K4"),AC332&gt;=2,OR(AB332&lt;V332,AB332&lt;P332)),EDATE(AB332,12*2),AND(AH332="K5-POLICY",AG332&lt;&gt;"นิติศาสตร์",Z332="S1",AC332&gt;=1,OR(AB332&lt;V332,AB332&lt;P332)),EDATE(AB332,12),AND(AH332="K5-POLICY",AG332&lt;&gt;"นิติศาสตร์",OR(T332="M2",T332="K4"),W332&gt;=2,V332&lt;P332),EDATE(V332,12*2),AND(AH332="K5-POLICY",AG332&lt;&gt;"นิติศาสตร์",T332="S1",W332&gt;=1,V332&lt;P332),EDATE(V332,12),AND(AH332="K5-POLICY",AG332&lt;&gt;"นิติศาสตร์",OR(T332="S2",T332="K5")),V332,AND(AH332="K5-POLICY",AG332&lt;&gt;"นิติศาสตร์",OR(K332="M2",K332="K4"),Q332&gt;=2),EDATE(P332,12*2),AND(AH332="K5-POLICY",AG332&lt;&gt;"นิติศาสตร์",K332="S1",Q332&gt;=1),EDATE(P332,12),AND(AH332="K5-POLICY",AG332&lt;&gt;"นิติศาสตร์",OR(K332="S2",K332="K5")),P332,TRUE,"Check Data")</f>
        <v/>
      </c>
      <c r="AJ332" s="75" t="str">
        <f t="shared" si="105"/>
        <v>Check Data</v>
      </c>
      <c r="AK332" s="76" t="str">
        <f t="shared" si="106"/>
        <v>Check Data</v>
      </c>
      <c r="AL332" s="50" t="str">
        <f t="shared" si="107"/>
        <v>Check Data</v>
      </c>
      <c r="AM332" s="49" t="str">
        <f>IF(B332="","",IF(K332="S1","S1",INDEX(#REF!,#REF!)))</f>
        <v/>
      </c>
      <c r="AN332" s="49" t="str">
        <f>K332</f>
        <v>K4</v>
      </c>
      <c r="AO332" s="50" t="b">
        <f>K332=AM332</f>
        <v>0</v>
      </c>
    </row>
    <row r="333" spans="1:41" ht="21.75">
      <c r="A333" s="49">
        <v>331</v>
      </c>
      <c r="B333" s="50"/>
      <c r="C333" s="50"/>
      <c r="D333" s="84" t="s">
        <v>146</v>
      </c>
      <c r="E333" s="85" t="s">
        <v>317</v>
      </c>
      <c r="F333" s="85" t="str">
        <f t="shared" si="92"/>
        <v>01/05/1998</v>
      </c>
      <c r="G333" s="50">
        <f t="shared" si="98"/>
        <v>27</v>
      </c>
      <c r="H333" s="50">
        <f t="shared" si="99"/>
        <v>1</v>
      </c>
      <c r="I333" s="50">
        <f t="shared" si="100"/>
        <v>19</v>
      </c>
      <c r="J333" s="84"/>
      <c r="K333" s="49" t="s">
        <v>137</v>
      </c>
      <c r="L333" s="87"/>
      <c r="M333" s="85"/>
      <c r="N333" s="85"/>
      <c r="O333" s="65" t="s">
        <v>421</v>
      </c>
      <c r="P333" s="49" t="str">
        <f t="shared" si="101"/>
        <v>02/06/2021</v>
      </c>
      <c r="Q333" s="68">
        <f t="shared" si="102"/>
        <v>4</v>
      </c>
      <c r="R333" s="68">
        <f t="shared" si="103"/>
        <v>0</v>
      </c>
      <c r="S333" s="68">
        <f t="shared" si="104"/>
        <v>18</v>
      </c>
      <c r="T333" s="65"/>
      <c r="U333" s="89"/>
      <c r="V333" s="85" t="str">
        <f t="shared" si="93"/>
        <v/>
      </c>
      <c r="W333" s="88">
        <f>IF(V333="",0,DATEDIF(V333,P333,"Y"))</f>
        <v>0</v>
      </c>
      <c r="X333" s="88">
        <f>IF(V333="",0,DATEDIF(V333,P333,"YM"))</f>
        <v>0</v>
      </c>
      <c r="Y333" s="88">
        <f>IF(V333="",0,DATEDIF(V333,P333,"MD"))</f>
        <v>0</v>
      </c>
      <c r="Z333" s="85"/>
      <c r="AA333" s="89"/>
      <c r="AB333" s="84" t="str">
        <f t="shared" si="94"/>
        <v/>
      </c>
      <c r="AC333" s="88">
        <f t="shared" si="95"/>
        <v>0</v>
      </c>
      <c r="AD333" s="88">
        <f t="shared" si="96"/>
        <v>0</v>
      </c>
      <c r="AE333" s="88">
        <f t="shared" si="97"/>
        <v>0</v>
      </c>
      <c r="AF333" s="84"/>
      <c r="AG333" s="84" t="s">
        <v>520</v>
      </c>
      <c r="AH333" s="49" t="str">
        <f>IF(AG333="นิติศาสตร์","K5-LAW","K5-POLICY")</f>
        <v>K5-POLICY</v>
      </c>
      <c r="AI333" s="72" t="str">
        <f>_xlfn.IFS(B333="","",AND(AH333="K5-LAW",AG333="นิติศาสตร์",K333="S2",T333="",Z333=""),P333,AND(AH333="K5-LAW",AG333="นิติศาสตร์",K333="S1",T333="",Z333=""),EDATE(P333,12),AND(AH333="K5-LAW",AG333="นิติศาสตร์",OR(K333="M2",K333="K4"),T333="",Z333=""),EDATE(P333,12*2),AND(AH333="K5-LAW",AG333="นิติศาสตร์",OR(Z333="M2",Z333="K4"),AC333&gt;=2,OR(AB333&lt;V333,AB333&lt;P333)),EDATE(AB333,12*2),AND(AH333="K5-LAW",AG333="นิติศาสตร์",Z333="S1",AC333&gt;=1,OR(AB333&lt;V333,AB333&lt;P333)),EDATE(AB333,12),AND(AH333="K5-LAW",AG333="นิติศาสตร์",OR(T333="M2",T333="K4"),W333&gt;=2,V333&lt;P333),EDATE(V333,12*2),AND(AH333="K5-LAW",AG333="นิติศาสตร์",T333="S1",W333&gt;=1,V333&lt;P333),EDATE(V333,12),AND(AH333="K5-LAW",AG333="นิติศาสตร์",OR(T333="S2",T333="K5")),V333,AND(AH333="K5-LAW",AG333="นิติศาสตร์",OR(K333="M2",K333="K4"),Q333&gt;=2),EDATE(P333,12*2),AND(AH333="K5-LAW",AG333="นิติศาสตร์",K333="S1",Q333&gt;=1),EDATE(P333,12),AND(AH333="K5-LAW",AG333="นิติศาสตร์",OR(K333="S2",K333="K5")),P333,AND(AH333="K5-POLICY",AG333&lt;&gt;"นิติศาสตร์",K333="S2",T333="",Z333=""),P333,AND(AH333="K5-POLICY",AG333&lt;&gt;"นิติศาสตร์",K333="S1",T333="",Z333=""),EDATE(P333,12),AND(AH333="K5-POLICY",AG333&lt;&gt;"นิติศาสตร์",OR(K333="M2",K333="K4"),T333="",Z333=""),EDATE(P333,12*2),AND(AH333="K5-POLICY",AG333&lt;&gt;"นิติศาสตร์",OR(Z333="M2",Z333="K4"),AC333&gt;=2,OR(AB333&lt;V333,AB333&lt;P333)),EDATE(AB333,12*2),AND(AH333="K5-POLICY",AG333&lt;&gt;"นิติศาสตร์",Z333="S1",AC333&gt;=1,OR(AB333&lt;V333,AB333&lt;P333)),EDATE(AB333,12),AND(AH333="K5-POLICY",AG333&lt;&gt;"นิติศาสตร์",OR(T333="M2",T333="K4"),W333&gt;=2,V333&lt;P333),EDATE(V333,12*2),AND(AH333="K5-POLICY",AG333&lt;&gt;"นิติศาสตร์",T333="S1",W333&gt;=1,V333&lt;P333),EDATE(V333,12),AND(AH333="K5-POLICY",AG333&lt;&gt;"นิติศาสตร์",OR(T333="S2",T333="K5")),V333,AND(AH333="K5-POLICY",AG333&lt;&gt;"นิติศาสตร์",OR(K333="M2",K333="K4"),Q333&gt;=2),EDATE(P333,12*2),AND(AH333="K5-POLICY",AG333&lt;&gt;"นิติศาสตร์",K333="S1",Q333&gt;=1),EDATE(P333,12),AND(AH333="K5-POLICY",AG333&lt;&gt;"นิติศาสตร์",OR(K333="S2",K333="K5")),P333,TRUE,"Check Data")</f>
        <v/>
      </c>
      <c r="AJ333" s="75" t="str">
        <f t="shared" si="105"/>
        <v>Check Data</v>
      </c>
      <c r="AK333" s="76" t="str">
        <f t="shared" si="106"/>
        <v>Check Data</v>
      </c>
      <c r="AL333" s="50" t="str">
        <f t="shared" si="107"/>
        <v>Check Data</v>
      </c>
      <c r="AM333" s="49" t="str">
        <f>IF(B333="","",IF(K333="S1","S1",INDEX(#REF!,#REF!)))</f>
        <v/>
      </c>
      <c r="AN333" s="49" t="str">
        <f>K333</f>
        <v>K4</v>
      </c>
      <c r="AO333" s="50" t="b">
        <f>K333=AM333</f>
        <v>0</v>
      </c>
    </row>
    <row r="334" spans="1:41" ht="21.75">
      <c r="A334" s="49">
        <v>332</v>
      </c>
      <c r="B334" s="50"/>
      <c r="C334" s="51"/>
      <c r="D334" s="90" t="s">
        <v>141</v>
      </c>
      <c r="E334" s="85" t="s">
        <v>268</v>
      </c>
      <c r="F334" s="85" t="str">
        <f t="shared" si="92"/>
        <v>21/12/1987</v>
      </c>
      <c r="G334" s="50">
        <f t="shared" si="98"/>
        <v>37</v>
      </c>
      <c r="H334" s="50">
        <f t="shared" si="99"/>
        <v>5</v>
      </c>
      <c r="I334" s="50">
        <f t="shared" si="100"/>
        <v>30</v>
      </c>
      <c r="J334" s="90"/>
      <c r="K334" s="91" t="s">
        <v>137</v>
      </c>
      <c r="L334" s="87"/>
      <c r="M334" s="85"/>
      <c r="N334" s="85"/>
      <c r="O334" s="65" t="s">
        <v>403</v>
      </c>
      <c r="P334" s="49" t="str">
        <f t="shared" si="101"/>
        <v>27/09/2021</v>
      </c>
      <c r="Q334" s="68">
        <f t="shared" si="102"/>
        <v>3</v>
      </c>
      <c r="R334" s="68">
        <f t="shared" si="103"/>
        <v>8</v>
      </c>
      <c r="S334" s="68">
        <f t="shared" si="104"/>
        <v>24</v>
      </c>
      <c r="T334" s="65"/>
      <c r="U334" s="89"/>
      <c r="V334" s="85" t="str">
        <f t="shared" si="93"/>
        <v/>
      </c>
      <c r="W334" s="92">
        <f>IF(V334="",0,DATEDIF(V334,P334,"Y"))</f>
        <v>0</v>
      </c>
      <c r="X334" s="92">
        <f>IF(V334="",0,DATEDIF(V334,P334,"YM"))</f>
        <v>0</v>
      </c>
      <c r="Y334" s="92">
        <f>IF(V334="",0,DATEDIF(V334,P334,"MD"))</f>
        <v>0</v>
      </c>
      <c r="Z334" s="94"/>
      <c r="AA334" s="89"/>
      <c r="AB334" s="84" t="str">
        <f t="shared" si="94"/>
        <v/>
      </c>
      <c r="AC334" s="92">
        <f t="shared" si="95"/>
        <v>0</v>
      </c>
      <c r="AD334" s="92">
        <f t="shared" si="96"/>
        <v>0</v>
      </c>
      <c r="AE334" s="92">
        <f t="shared" si="97"/>
        <v>0</v>
      </c>
      <c r="AF334" s="90"/>
      <c r="AG334" s="90" t="s">
        <v>138</v>
      </c>
      <c r="AH334" s="91" t="str">
        <f>IF(AG334="นิติศาสตร์","K5-LAW","K5-POLICY")</f>
        <v>K5-LAW</v>
      </c>
      <c r="AI334" s="72" t="str">
        <f>_xlfn.IFS(B334="","",AND(AH334="K5-LAW",AG334="นิติศาสตร์",K334="S2",T334="",Z334=""),P334,AND(AH334="K5-LAW",AG334="นิติศาสตร์",K334="S1",T334="",Z334=""),EDATE(P334,12),AND(AH334="K5-LAW",AG334="นิติศาสตร์",OR(K334="M2",K334="K4"),T334="",Z334=""),EDATE(P334,12*2),AND(AH334="K5-LAW",AG334="นิติศาสตร์",OR(Z334="M2",Z334="K4"),AC334&gt;=2,OR(AB334&lt;V334,AB334&lt;P334)),EDATE(AB334,12*2),AND(AH334="K5-LAW",AG334="นิติศาสตร์",Z334="S1",AC334&gt;=1,OR(AB334&lt;V334,AB334&lt;P334)),EDATE(AB334,12),AND(AH334="K5-LAW",AG334="นิติศาสตร์",OR(T334="M2",T334="K4"),W334&gt;=2,V334&lt;P334),EDATE(V334,12*2),AND(AH334="K5-LAW",AG334="นิติศาสตร์",T334="S1",W334&gt;=1,V334&lt;P334),EDATE(V334,12),AND(AH334="K5-LAW",AG334="นิติศาสตร์",OR(T334="S2",T334="K5")),V334,AND(AH334="K5-LAW",AG334="นิติศาสตร์",OR(K334="M2",K334="K4"),Q334&gt;=2),EDATE(P334,12*2),AND(AH334="K5-LAW",AG334="นิติศาสตร์",K334="S1",Q334&gt;=1),EDATE(P334,12),AND(AH334="K5-LAW",AG334="นิติศาสตร์",OR(K334="S2",K334="K5")),P334,AND(AH334="K5-POLICY",AG334&lt;&gt;"นิติศาสตร์",K334="S2",T334="",Z334=""),P334,AND(AH334="K5-POLICY",AG334&lt;&gt;"นิติศาสตร์",K334="S1",T334="",Z334=""),EDATE(P334,12),AND(AH334="K5-POLICY",AG334&lt;&gt;"นิติศาสตร์",OR(K334="M2",K334="K4"),T334="",Z334=""),EDATE(P334,12*2),AND(AH334="K5-POLICY",AG334&lt;&gt;"นิติศาสตร์",OR(Z334="M2",Z334="K4"),AC334&gt;=2,OR(AB334&lt;V334,AB334&lt;P334)),EDATE(AB334,12*2),AND(AH334="K5-POLICY",AG334&lt;&gt;"นิติศาสตร์",Z334="S1",AC334&gt;=1,OR(AB334&lt;V334,AB334&lt;P334)),EDATE(AB334,12),AND(AH334="K5-POLICY",AG334&lt;&gt;"นิติศาสตร์",OR(T334="M2",T334="K4"),W334&gt;=2,V334&lt;P334),EDATE(V334,12*2),AND(AH334="K5-POLICY",AG334&lt;&gt;"นิติศาสตร์",T334="S1",W334&gt;=1,V334&lt;P334),EDATE(V334,12),AND(AH334="K5-POLICY",AG334&lt;&gt;"นิติศาสตร์",OR(T334="S2",T334="K5")),V334,AND(AH334="K5-POLICY",AG334&lt;&gt;"นิติศาสตร์",OR(K334="M2",K334="K4"),Q334&gt;=2),EDATE(P334,12*2),AND(AH334="K5-POLICY",AG334&lt;&gt;"นิติศาสตร์",K334="S1",Q334&gt;=1),EDATE(P334,12),AND(AH334="K5-POLICY",AG334&lt;&gt;"นิติศาสตร์",OR(K334="S2",K334="K5")),P334,TRUE,"Check Data")</f>
        <v/>
      </c>
      <c r="AJ334" s="75" t="str">
        <f t="shared" si="105"/>
        <v>Check Data</v>
      </c>
      <c r="AK334" s="76" t="str">
        <f t="shared" si="106"/>
        <v>Check Data</v>
      </c>
      <c r="AL334" s="51" t="str">
        <f t="shared" si="107"/>
        <v>Check Data</v>
      </c>
      <c r="AM334" s="49" t="str">
        <f>IF(B334="","",IF(K334="S1","S1",INDEX(#REF!,#REF!)))</f>
        <v/>
      </c>
      <c r="AN334" s="49" t="str">
        <f>K334</f>
        <v>K4</v>
      </c>
      <c r="AO334" s="50" t="b">
        <f>K334=AM334</f>
        <v>0</v>
      </c>
    </row>
    <row r="335" spans="1:41" ht="21.75">
      <c r="A335" s="49">
        <v>333</v>
      </c>
      <c r="B335" s="50"/>
      <c r="C335" s="50"/>
      <c r="D335" s="84" t="s">
        <v>144</v>
      </c>
      <c r="E335" s="85" t="s">
        <v>362</v>
      </c>
      <c r="F335" s="85" t="str">
        <f t="shared" si="92"/>
        <v>30/01/1987</v>
      </c>
      <c r="G335" s="50">
        <f t="shared" si="98"/>
        <v>38</v>
      </c>
      <c r="H335" s="50">
        <f t="shared" si="99"/>
        <v>4</v>
      </c>
      <c r="I335" s="50">
        <f t="shared" si="100"/>
        <v>21</v>
      </c>
      <c r="J335" s="84"/>
      <c r="K335" s="49" t="s">
        <v>137</v>
      </c>
      <c r="L335" s="87"/>
      <c r="M335" s="85"/>
      <c r="N335" s="85"/>
      <c r="O335" s="65" t="s">
        <v>466</v>
      </c>
      <c r="P335" s="49" t="str">
        <f t="shared" si="101"/>
        <v>05/11/2021</v>
      </c>
      <c r="Q335" s="68">
        <f t="shared" si="102"/>
        <v>3</v>
      </c>
      <c r="R335" s="68">
        <f t="shared" si="103"/>
        <v>7</v>
      </c>
      <c r="S335" s="68">
        <f t="shared" si="104"/>
        <v>15</v>
      </c>
      <c r="T335" s="65"/>
      <c r="U335" s="89"/>
      <c r="V335" s="85" t="str">
        <f t="shared" si="93"/>
        <v/>
      </c>
      <c r="W335" s="88">
        <f>IF(V335="",0,DATEDIF(V335,P335,"Y"))</f>
        <v>0</v>
      </c>
      <c r="X335" s="88">
        <f>IF(V335="",0,DATEDIF(V335,P335,"YM"))</f>
        <v>0</v>
      </c>
      <c r="Y335" s="88">
        <f>IF(V335="",0,DATEDIF(V335,P335,"MD"))</f>
        <v>0</v>
      </c>
      <c r="Z335" s="85"/>
      <c r="AA335" s="89"/>
      <c r="AB335" s="84" t="str">
        <f t="shared" si="94"/>
        <v/>
      </c>
      <c r="AC335" s="88">
        <f t="shared" si="95"/>
        <v>0</v>
      </c>
      <c r="AD335" s="88">
        <f t="shared" si="96"/>
        <v>0</v>
      </c>
      <c r="AE335" s="88">
        <f t="shared" si="97"/>
        <v>0</v>
      </c>
      <c r="AF335" s="84"/>
      <c r="AG335" s="84" t="s">
        <v>138</v>
      </c>
      <c r="AH335" s="49" t="str">
        <f>IF(AG335="นิติศาสตร์","K5-LAW","K5-POLICY")</f>
        <v>K5-LAW</v>
      </c>
      <c r="AI335" s="72" t="str">
        <f>_xlfn.IFS(B335="","",AND(AH335="K5-LAW",AG335="นิติศาสตร์",K335="S2",T335="",Z335=""),P335,AND(AH335="K5-LAW",AG335="นิติศาสตร์",K335="S1",T335="",Z335=""),EDATE(P335,12),AND(AH335="K5-LAW",AG335="นิติศาสตร์",OR(K335="M2",K335="K4"),T335="",Z335=""),EDATE(P335,12*2),AND(AH335="K5-LAW",AG335="นิติศาสตร์",OR(Z335="M2",Z335="K4"),AC335&gt;=2,OR(AB335&lt;V335,AB335&lt;P335)),EDATE(AB335,12*2),AND(AH335="K5-LAW",AG335="นิติศาสตร์",Z335="S1",AC335&gt;=1,OR(AB335&lt;V335,AB335&lt;P335)),EDATE(AB335,12),AND(AH335="K5-LAW",AG335="นิติศาสตร์",OR(T335="M2",T335="K4"),W335&gt;=2,V335&lt;P335),EDATE(V335,12*2),AND(AH335="K5-LAW",AG335="นิติศาสตร์",T335="S1",W335&gt;=1,V335&lt;P335),EDATE(V335,12),AND(AH335="K5-LAW",AG335="นิติศาสตร์",OR(T335="S2",T335="K5")),V335,AND(AH335="K5-LAW",AG335="นิติศาสตร์",OR(K335="M2",K335="K4"),Q335&gt;=2),EDATE(P335,12*2),AND(AH335="K5-LAW",AG335="นิติศาสตร์",K335="S1",Q335&gt;=1),EDATE(P335,12),AND(AH335="K5-LAW",AG335="นิติศาสตร์",OR(K335="S2",K335="K5")),P335,AND(AH335="K5-POLICY",AG335&lt;&gt;"นิติศาสตร์",K335="S2",T335="",Z335=""),P335,AND(AH335="K5-POLICY",AG335&lt;&gt;"นิติศาสตร์",K335="S1",T335="",Z335=""),EDATE(P335,12),AND(AH335="K5-POLICY",AG335&lt;&gt;"นิติศาสตร์",OR(K335="M2",K335="K4"),T335="",Z335=""),EDATE(P335,12*2),AND(AH335="K5-POLICY",AG335&lt;&gt;"นิติศาสตร์",OR(Z335="M2",Z335="K4"),AC335&gt;=2,OR(AB335&lt;V335,AB335&lt;P335)),EDATE(AB335,12*2),AND(AH335="K5-POLICY",AG335&lt;&gt;"นิติศาสตร์",Z335="S1",AC335&gt;=1,OR(AB335&lt;V335,AB335&lt;P335)),EDATE(AB335,12),AND(AH335="K5-POLICY",AG335&lt;&gt;"นิติศาสตร์",OR(T335="M2",T335="K4"),W335&gt;=2,V335&lt;P335),EDATE(V335,12*2),AND(AH335="K5-POLICY",AG335&lt;&gt;"นิติศาสตร์",T335="S1",W335&gt;=1,V335&lt;P335),EDATE(V335,12),AND(AH335="K5-POLICY",AG335&lt;&gt;"นิติศาสตร์",OR(T335="S2",T335="K5")),V335,AND(AH335="K5-POLICY",AG335&lt;&gt;"นิติศาสตร์",OR(K335="M2",K335="K4"),Q335&gt;=2),EDATE(P335,12*2),AND(AH335="K5-POLICY",AG335&lt;&gt;"นิติศาสตร์",K335="S1",Q335&gt;=1),EDATE(P335,12),AND(AH335="K5-POLICY",AG335&lt;&gt;"นิติศาสตร์",OR(K335="S2",K335="K5")),P335,TRUE,"Check Data")</f>
        <v/>
      </c>
      <c r="AJ335" s="75" t="str">
        <f t="shared" si="105"/>
        <v>Check Data</v>
      </c>
      <c r="AK335" s="76" t="str">
        <f t="shared" si="106"/>
        <v>Check Data</v>
      </c>
      <c r="AL335" s="50" t="str">
        <f t="shared" si="107"/>
        <v>Check Data</v>
      </c>
      <c r="AM335" s="49" t="str">
        <f>IF(B335="","",IF(K335="S1","S1",INDEX(#REF!,#REF!)))</f>
        <v/>
      </c>
      <c r="AN335" s="49" t="str">
        <f>K335</f>
        <v>K4</v>
      </c>
      <c r="AO335" s="50" t="b">
        <f>K335=AM335</f>
        <v>0</v>
      </c>
    </row>
    <row r="336" spans="1:41" ht="21.75">
      <c r="A336" s="49">
        <v>334</v>
      </c>
      <c r="B336" s="50"/>
      <c r="C336" s="50"/>
      <c r="D336" s="84" t="s">
        <v>142</v>
      </c>
      <c r="E336" s="85" t="s">
        <v>375</v>
      </c>
      <c r="F336" s="85" t="str">
        <f t="shared" si="92"/>
        <v>06/05/1986</v>
      </c>
      <c r="G336" s="50">
        <f t="shared" si="98"/>
        <v>39</v>
      </c>
      <c r="H336" s="50">
        <f t="shared" si="99"/>
        <v>1</v>
      </c>
      <c r="I336" s="50">
        <f t="shared" si="100"/>
        <v>14</v>
      </c>
      <c r="J336" s="84"/>
      <c r="K336" s="49" t="s">
        <v>137</v>
      </c>
      <c r="L336" s="87"/>
      <c r="M336" s="85"/>
      <c r="N336" s="85"/>
      <c r="O336" s="65" t="s">
        <v>405</v>
      </c>
      <c r="P336" s="49" t="str">
        <f t="shared" si="101"/>
        <v>18/01/2022</v>
      </c>
      <c r="Q336" s="68">
        <f t="shared" si="102"/>
        <v>3</v>
      </c>
      <c r="R336" s="68">
        <f t="shared" si="103"/>
        <v>5</v>
      </c>
      <c r="S336" s="68">
        <f t="shared" si="104"/>
        <v>2</v>
      </c>
      <c r="T336" s="65"/>
      <c r="U336" s="89"/>
      <c r="V336" s="85" t="str">
        <f t="shared" si="93"/>
        <v/>
      </c>
      <c r="W336" s="88">
        <f>IF(V336="",0,DATEDIF(V336,P336,"Y"))</f>
        <v>0</v>
      </c>
      <c r="X336" s="88">
        <f>IF(V336="",0,DATEDIF(V336,P336,"YM"))</f>
        <v>0</v>
      </c>
      <c r="Y336" s="88">
        <f>IF(V336="",0,DATEDIF(V336,P336,"MD"))</f>
        <v>0</v>
      </c>
      <c r="Z336" s="85"/>
      <c r="AA336" s="89"/>
      <c r="AB336" s="84" t="str">
        <f t="shared" si="94"/>
        <v/>
      </c>
      <c r="AC336" s="88">
        <f t="shared" si="95"/>
        <v>0</v>
      </c>
      <c r="AD336" s="88">
        <f t="shared" si="96"/>
        <v>0</v>
      </c>
      <c r="AE336" s="88">
        <f t="shared" si="97"/>
        <v>0</v>
      </c>
      <c r="AF336" s="84"/>
      <c r="AG336" s="84" t="s">
        <v>530</v>
      </c>
      <c r="AH336" s="49" t="str">
        <f>IF(AG336="นิติศาสตร์","K5-LAW","K5-POLICY")</f>
        <v>K5-POLICY</v>
      </c>
      <c r="AI336" s="72" t="str">
        <f>_xlfn.IFS(B336="","",AND(AH336="K5-LAW",AG336="นิติศาสตร์",K336="S2",T336="",Z336=""),P336,AND(AH336="K5-LAW",AG336="นิติศาสตร์",K336="S1",T336="",Z336=""),EDATE(P336,12),AND(AH336="K5-LAW",AG336="นิติศาสตร์",OR(K336="M2",K336="K4"),T336="",Z336=""),EDATE(P336,12*2),AND(AH336="K5-LAW",AG336="นิติศาสตร์",OR(Z336="M2",Z336="K4"),AC336&gt;=2,OR(AB336&lt;V336,AB336&lt;P336)),EDATE(AB336,12*2),AND(AH336="K5-LAW",AG336="นิติศาสตร์",Z336="S1",AC336&gt;=1,OR(AB336&lt;V336,AB336&lt;P336)),EDATE(AB336,12),AND(AH336="K5-LAW",AG336="นิติศาสตร์",OR(T336="M2",T336="K4"),W336&gt;=2,V336&lt;P336),EDATE(V336,12*2),AND(AH336="K5-LAW",AG336="นิติศาสตร์",T336="S1",W336&gt;=1,V336&lt;P336),EDATE(V336,12),AND(AH336="K5-LAW",AG336="นิติศาสตร์",OR(T336="S2",T336="K5")),V336,AND(AH336="K5-LAW",AG336="นิติศาสตร์",OR(K336="M2",K336="K4"),Q336&gt;=2),EDATE(P336,12*2),AND(AH336="K5-LAW",AG336="นิติศาสตร์",K336="S1",Q336&gt;=1),EDATE(P336,12),AND(AH336="K5-LAW",AG336="นิติศาสตร์",OR(K336="S2",K336="K5")),P336,AND(AH336="K5-POLICY",AG336&lt;&gt;"นิติศาสตร์",K336="S2",T336="",Z336=""),P336,AND(AH336="K5-POLICY",AG336&lt;&gt;"นิติศาสตร์",K336="S1",T336="",Z336=""),EDATE(P336,12),AND(AH336="K5-POLICY",AG336&lt;&gt;"นิติศาสตร์",OR(K336="M2",K336="K4"),T336="",Z336=""),EDATE(P336,12*2),AND(AH336="K5-POLICY",AG336&lt;&gt;"นิติศาสตร์",OR(Z336="M2",Z336="K4"),AC336&gt;=2,OR(AB336&lt;V336,AB336&lt;P336)),EDATE(AB336,12*2),AND(AH336="K5-POLICY",AG336&lt;&gt;"นิติศาสตร์",Z336="S1",AC336&gt;=1,OR(AB336&lt;V336,AB336&lt;P336)),EDATE(AB336,12),AND(AH336="K5-POLICY",AG336&lt;&gt;"นิติศาสตร์",OR(T336="M2",T336="K4"),W336&gt;=2,V336&lt;P336),EDATE(V336,12*2),AND(AH336="K5-POLICY",AG336&lt;&gt;"นิติศาสตร์",T336="S1",W336&gt;=1,V336&lt;P336),EDATE(V336,12),AND(AH336="K5-POLICY",AG336&lt;&gt;"นิติศาสตร์",OR(T336="S2",T336="K5")),V336,AND(AH336="K5-POLICY",AG336&lt;&gt;"นิติศาสตร์",OR(K336="M2",K336="K4"),Q336&gt;=2),EDATE(P336,12*2),AND(AH336="K5-POLICY",AG336&lt;&gt;"นิติศาสตร์",K336="S1",Q336&gt;=1),EDATE(P336,12),AND(AH336="K5-POLICY",AG336&lt;&gt;"นิติศาสตร์",OR(K336="S2",K336="K5")),P336,TRUE,"Check Data")</f>
        <v/>
      </c>
      <c r="AJ336" s="75" t="str">
        <f t="shared" si="105"/>
        <v>Check Data</v>
      </c>
      <c r="AK336" s="76" t="str">
        <f t="shared" si="106"/>
        <v>Check Data</v>
      </c>
      <c r="AL336" s="50" t="str">
        <f t="shared" si="107"/>
        <v>Check Data</v>
      </c>
      <c r="AM336" s="49" t="str">
        <f>IF(B336="","",IF(K336="S1","S1",INDEX(#REF!,#REF!)))</f>
        <v/>
      </c>
      <c r="AN336" s="49" t="str">
        <f>K336</f>
        <v>K4</v>
      </c>
      <c r="AO336" s="50" t="b">
        <f>K336=AM336</f>
        <v>0</v>
      </c>
    </row>
    <row r="337" spans="1:41" ht="21.75">
      <c r="A337" s="49">
        <v>335</v>
      </c>
      <c r="B337" s="50"/>
      <c r="C337" s="50"/>
      <c r="D337" s="84" t="s">
        <v>142</v>
      </c>
      <c r="E337" s="85" t="s">
        <v>210</v>
      </c>
      <c r="F337" s="85" t="str">
        <f t="shared" si="92"/>
        <v>27/01/1986</v>
      </c>
      <c r="G337" s="50">
        <f t="shared" si="98"/>
        <v>39</v>
      </c>
      <c r="H337" s="50">
        <f t="shared" si="99"/>
        <v>4</v>
      </c>
      <c r="I337" s="50">
        <f t="shared" si="100"/>
        <v>24</v>
      </c>
      <c r="J337" s="84"/>
      <c r="K337" s="49" t="s">
        <v>137</v>
      </c>
      <c r="L337" s="87"/>
      <c r="M337" s="85"/>
      <c r="N337" s="85"/>
      <c r="O337" s="65" t="s">
        <v>405</v>
      </c>
      <c r="P337" s="49" t="str">
        <f t="shared" si="101"/>
        <v>18/01/2022</v>
      </c>
      <c r="Q337" s="68">
        <f t="shared" si="102"/>
        <v>3</v>
      </c>
      <c r="R337" s="68">
        <f t="shared" si="103"/>
        <v>5</v>
      </c>
      <c r="S337" s="68">
        <f t="shared" si="104"/>
        <v>2</v>
      </c>
      <c r="T337" s="65"/>
      <c r="U337" s="89"/>
      <c r="V337" s="85" t="str">
        <f t="shared" si="93"/>
        <v/>
      </c>
      <c r="W337" s="88">
        <f>IF(V337="",0,DATEDIF(V337,P337,"Y"))</f>
        <v>0</v>
      </c>
      <c r="X337" s="88">
        <f>IF(V337="",0,DATEDIF(V337,P337,"YM"))</f>
        <v>0</v>
      </c>
      <c r="Y337" s="88">
        <f>IF(V337="",0,DATEDIF(V337,P337,"MD"))</f>
        <v>0</v>
      </c>
      <c r="Z337" s="85"/>
      <c r="AA337" s="89"/>
      <c r="AB337" s="84" t="str">
        <f t="shared" si="94"/>
        <v/>
      </c>
      <c r="AC337" s="88">
        <f t="shared" si="95"/>
        <v>0</v>
      </c>
      <c r="AD337" s="88">
        <f t="shared" si="96"/>
        <v>0</v>
      </c>
      <c r="AE337" s="88">
        <f t="shared" si="97"/>
        <v>0</v>
      </c>
      <c r="AF337" s="84"/>
      <c r="AG337" s="84" t="s">
        <v>138</v>
      </c>
      <c r="AH337" s="49" t="str">
        <f>IF(AG337="นิติศาสตร์","K5-LAW","K5-POLICY")</f>
        <v>K5-LAW</v>
      </c>
      <c r="AI337" s="72" t="str">
        <f>_xlfn.IFS(B337="","",AND(AH337="K5-LAW",AG337="นิติศาสตร์",K337="S2",T337="",Z337=""),P337,AND(AH337="K5-LAW",AG337="นิติศาสตร์",K337="S1",T337="",Z337=""),EDATE(P337,12),AND(AH337="K5-LAW",AG337="นิติศาสตร์",OR(K337="M2",K337="K4"),T337="",Z337=""),EDATE(P337,12*2),AND(AH337="K5-LAW",AG337="นิติศาสตร์",OR(Z337="M2",Z337="K4"),AC337&gt;=2,OR(AB337&lt;V337,AB337&lt;P337)),EDATE(AB337,12*2),AND(AH337="K5-LAW",AG337="นิติศาสตร์",Z337="S1",AC337&gt;=1,OR(AB337&lt;V337,AB337&lt;P337)),EDATE(AB337,12),AND(AH337="K5-LAW",AG337="นิติศาสตร์",OR(T337="M2",T337="K4"),W337&gt;=2,V337&lt;P337),EDATE(V337,12*2),AND(AH337="K5-LAW",AG337="นิติศาสตร์",T337="S1",W337&gt;=1,V337&lt;P337),EDATE(V337,12),AND(AH337="K5-LAW",AG337="นิติศาสตร์",OR(T337="S2",T337="K5")),V337,AND(AH337="K5-LAW",AG337="นิติศาสตร์",OR(K337="M2",K337="K4"),Q337&gt;=2),EDATE(P337,12*2),AND(AH337="K5-LAW",AG337="นิติศาสตร์",K337="S1",Q337&gt;=1),EDATE(P337,12),AND(AH337="K5-LAW",AG337="นิติศาสตร์",OR(K337="S2",K337="K5")),P337,AND(AH337="K5-POLICY",AG337&lt;&gt;"นิติศาสตร์",K337="S2",T337="",Z337=""),P337,AND(AH337="K5-POLICY",AG337&lt;&gt;"นิติศาสตร์",K337="S1",T337="",Z337=""),EDATE(P337,12),AND(AH337="K5-POLICY",AG337&lt;&gt;"นิติศาสตร์",OR(K337="M2",K337="K4"),T337="",Z337=""),EDATE(P337,12*2),AND(AH337="K5-POLICY",AG337&lt;&gt;"นิติศาสตร์",OR(Z337="M2",Z337="K4"),AC337&gt;=2,OR(AB337&lt;V337,AB337&lt;P337)),EDATE(AB337,12*2),AND(AH337="K5-POLICY",AG337&lt;&gt;"นิติศาสตร์",Z337="S1",AC337&gt;=1,OR(AB337&lt;V337,AB337&lt;P337)),EDATE(AB337,12),AND(AH337="K5-POLICY",AG337&lt;&gt;"นิติศาสตร์",OR(T337="M2",T337="K4"),W337&gt;=2,V337&lt;P337),EDATE(V337,12*2),AND(AH337="K5-POLICY",AG337&lt;&gt;"นิติศาสตร์",T337="S1",W337&gt;=1,V337&lt;P337),EDATE(V337,12),AND(AH337="K5-POLICY",AG337&lt;&gt;"นิติศาสตร์",OR(T337="S2",T337="K5")),V337,AND(AH337="K5-POLICY",AG337&lt;&gt;"นิติศาสตร์",OR(K337="M2",K337="K4"),Q337&gt;=2),EDATE(P337,12*2),AND(AH337="K5-POLICY",AG337&lt;&gt;"นิติศาสตร์",K337="S1",Q337&gt;=1),EDATE(P337,12),AND(AH337="K5-POLICY",AG337&lt;&gt;"นิติศาสตร์",OR(K337="S2",K337="K5")),P337,TRUE,"Check Data")</f>
        <v/>
      </c>
      <c r="AJ337" s="75" t="str">
        <f t="shared" si="105"/>
        <v>Check Data</v>
      </c>
      <c r="AK337" s="76" t="str">
        <f t="shared" si="106"/>
        <v>Check Data</v>
      </c>
      <c r="AL337" s="50" t="str">
        <f t="shared" si="107"/>
        <v>Check Data</v>
      </c>
      <c r="AM337" s="49" t="str">
        <f>IF(B337="","",IF(K337="S1","S1",INDEX(#REF!,#REF!)))</f>
        <v/>
      </c>
      <c r="AN337" s="49" t="str">
        <f>K337</f>
        <v>K4</v>
      </c>
      <c r="AO337" s="50" t="b">
        <f>K337=AM337</f>
        <v>0</v>
      </c>
    </row>
    <row r="338" spans="1:41" ht="21.75">
      <c r="A338" s="49">
        <v>336</v>
      </c>
      <c r="B338" s="50"/>
      <c r="C338" s="50"/>
      <c r="D338" s="84" t="s">
        <v>143</v>
      </c>
      <c r="E338" s="85" t="s">
        <v>208</v>
      </c>
      <c r="F338" s="85" t="str">
        <f t="shared" si="92"/>
        <v>01/02/1990</v>
      </c>
      <c r="G338" s="50">
        <f t="shared" si="98"/>
        <v>35</v>
      </c>
      <c r="H338" s="50">
        <f t="shared" si="99"/>
        <v>4</v>
      </c>
      <c r="I338" s="50">
        <f t="shared" si="100"/>
        <v>19</v>
      </c>
      <c r="J338" s="84"/>
      <c r="K338" s="49" t="s">
        <v>137</v>
      </c>
      <c r="L338" s="87"/>
      <c r="M338" s="85"/>
      <c r="N338" s="85"/>
      <c r="O338" s="65" t="s">
        <v>406</v>
      </c>
      <c r="P338" s="49" t="str">
        <f t="shared" si="101"/>
        <v>19/05/2022</v>
      </c>
      <c r="Q338" s="68">
        <f t="shared" si="102"/>
        <v>3</v>
      </c>
      <c r="R338" s="68">
        <f t="shared" si="103"/>
        <v>1</v>
      </c>
      <c r="S338" s="68">
        <f t="shared" si="104"/>
        <v>1</v>
      </c>
      <c r="T338" s="65"/>
      <c r="U338" s="89"/>
      <c r="V338" s="85" t="str">
        <f t="shared" si="93"/>
        <v/>
      </c>
      <c r="W338" s="88">
        <f>IF(V338="",0,DATEDIF(V338,P338,"Y"))</f>
        <v>0</v>
      </c>
      <c r="X338" s="88">
        <f>IF(V338="",0,DATEDIF(V338,P338,"YM"))</f>
        <v>0</v>
      </c>
      <c r="Y338" s="88">
        <f>IF(V338="",0,DATEDIF(V338,P338,"MD"))</f>
        <v>0</v>
      </c>
      <c r="Z338" s="85"/>
      <c r="AA338" s="89"/>
      <c r="AB338" s="84" t="str">
        <f t="shared" si="94"/>
        <v/>
      </c>
      <c r="AC338" s="88">
        <f t="shared" si="95"/>
        <v>0</v>
      </c>
      <c r="AD338" s="88">
        <f t="shared" si="96"/>
        <v>0</v>
      </c>
      <c r="AE338" s="88">
        <f t="shared" si="97"/>
        <v>0</v>
      </c>
      <c r="AF338" s="84"/>
      <c r="AG338" s="84" t="s">
        <v>138</v>
      </c>
      <c r="AH338" s="49" t="str">
        <f>IF(AG338="นิติศาสตร์","K5-LAW","K5-POLICY")</f>
        <v>K5-LAW</v>
      </c>
      <c r="AI338" s="72" t="str">
        <f>_xlfn.IFS(B338="","",AND(AH338="K5-LAW",AG338="นิติศาสตร์",K338="S2",T338="",Z338=""),P338,AND(AH338="K5-LAW",AG338="นิติศาสตร์",K338="S1",T338="",Z338=""),EDATE(P338,12),AND(AH338="K5-LAW",AG338="นิติศาสตร์",OR(K338="M2",K338="K4"),T338="",Z338=""),EDATE(P338,12*2),AND(AH338="K5-LAW",AG338="นิติศาสตร์",OR(Z338="M2",Z338="K4"),AC338&gt;=2,OR(AB338&lt;V338,AB338&lt;P338)),EDATE(AB338,12*2),AND(AH338="K5-LAW",AG338="นิติศาสตร์",Z338="S1",AC338&gt;=1,OR(AB338&lt;V338,AB338&lt;P338)),EDATE(AB338,12),AND(AH338="K5-LAW",AG338="นิติศาสตร์",OR(T338="M2",T338="K4"),W338&gt;=2,V338&lt;P338),EDATE(V338,12*2),AND(AH338="K5-LAW",AG338="นิติศาสตร์",T338="S1",W338&gt;=1,V338&lt;P338),EDATE(V338,12),AND(AH338="K5-LAW",AG338="นิติศาสตร์",OR(T338="S2",T338="K5")),V338,AND(AH338="K5-LAW",AG338="นิติศาสตร์",OR(K338="M2",K338="K4"),Q338&gt;=2),EDATE(P338,12*2),AND(AH338="K5-LAW",AG338="นิติศาสตร์",K338="S1",Q338&gt;=1),EDATE(P338,12),AND(AH338="K5-LAW",AG338="นิติศาสตร์",OR(K338="S2",K338="K5")),P338,AND(AH338="K5-POLICY",AG338&lt;&gt;"นิติศาสตร์",K338="S2",T338="",Z338=""),P338,AND(AH338="K5-POLICY",AG338&lt;&gt;"นิติศาสตร์",K338="S1",T338="",Z338=""),EDATE(P338,12),AND(AH338="K5-POLICY",AG338&lt;&gt;"นิติศาสตร์",OR(K338="M2",K338="K4"),T338="",Z338=""),EDATE(P338,12*2),AND(AH338="K5-POLICY",AG338&lt;&gt;"นิติศาสตร์",OR(Z338="M2",Z338="K4"),AC338&gt;=2,OR(AB338&lt;V338,AB338&lt;P338)),EDATE(AB338,12*2),AND(AH338="K5-POLICY",AG338&lt;&gt;"นิติศาสตร์",Z338="S1",AC338&gt;=1,OR(AB338&lt;V338,AB338&lt;P338)),EDATE(AB338,12),AND(AH338="K5-POLICY",AG338&lt;&gt;"นิติศาสตร์",OR(T338="M2",T338="K4"),W338&gt;=2,V338&lt;P338),EDATE(V338,12*2),AND(AH338="K5-POLICY",AG338&lt;&gt;"นิติศาสตร์",T338="S1",W338&gt;=1,V338&lt;P338),EDATE(V338,12),AND(AH338="K5-POLICY",AG338&lt;&gt;"นิติศาสตร์",OR(T338="S2",T338="K5")),V338,AND(AH338="K5-POLICY",AG338&lt;&gt;"นิติศาสตร์",OR(K338="M2",K338="K4"),Q338&gt;=2),EDATE(P338,12*2),AND(AH338="K5-POLICY",AG338&lt;&gt;"นิติศาสตร์",K338="S1",Q338&gt;=1),EDATE(P338,12),AND(AH338="K5-POLICY",AG338&lt;&gt;"นิติศาสตร์",OR(K338="S2",K338="K5")),P338,TRUE,"Check Data")</f>
        <v/>
      </c>
      <c r="AJ338" s="75" t="str">
        <f t="shared" si="105"/>
        <v>Check Data</v>
      </c>
      <c r="AK338" s="76" t="str">
        <f t="shared" si="106"/>
        <v>Check Data</v>
      </c>
      <c r="AL338" s="50" t="str">
        <f t="shared" si="107"/>
        <v>Check Data</v>
      </c>
      <c r="AM338" s="49" t="str">
        <f>IF(B338="","",IF(K338="S1","S1",INDEX(#REF!,#REF!)))</f>
        <v/>
      </c>
      <c r="AN338" s="49" t="str">
        <f>K338</f>
        <v>K4</v>
      </c>
      <c r="AO338" s="50" t="b">
        <f>K338=AM338</f>
        <v>0</v>
      </c>
    </row>
    <row r="339" spans="1:41" ht="21.75">
      <c r="A339" s="49">
        <v>337</v>
      </c>
      <c r="B339" s="50"/>
      <c r="C339" s="52"/>
      <c r="G339" s="50">
        <f t="shared" si="98"/>
        <v>0</v>
      </c>
      <c r="H339" s="50">
        <f t="shared" si="99"/>
        <v>0</v>
      </c>
      <c r="I339" s="50">
        <f t="shared" si="100"/>
        <v>0</v>
      </c>
      <c r="K339" s="49" t="s">
        <v>137</v>
      </c>
      <c r="O339" s="65" t="s">
        <v>419</v>
      </c>
      <c r="P339" s="49" t="str">
        <f t="shared" si="101"/>
        <v>09/03/2023</v>
      </c>
      <c r="Q339" s="68">
        <f t="shared" si="102"/>
        <v>2</v>
      </c>
      <c r="R339" s="68">
        <f t="shared" si="103"/>
        <v>3</v>
      </c>
      <c r="S339" s="68">
        <f t="shared" si="104"/>
        <v>11</v>
      </c>
      <c r="T339" s="65"/>
      <c r="AH339" s="49" t="str">
        <f>IF(AG339="นิติศาสตร์","K5-LAW","K5-POLICY")</f>
        <v>K5-POLICY</v>
      </c>
      <c r="AI339" s="72" t="str">
        <f>_xlfn.IFS(B339="","",AND(AH339="K5-LAW",AG339="นิติศาสตร์",K339="S2",T339="",Z339=""),P339,AND(AH339="K5-LAW",AG339="นิติศาสตร์",K339="S1",T339="",Z339=""),EDATE(P339,12),AND(AH339="K5-LAW",AG339="นิติศาสตร์",OR(K339="M2",K339="K4"),T339="",Z339=""),EDATE(P339,12*2),AND(AH339="K5-LAW",AG339="นิติศาสตร์",OR(Z339="M2",Z339="K4"),AC339&gt;=2,OR(AB339&lt;V339,AB339&lt;P339)),EDATE(AB339,12*2),AND(AH339="K5-LAW",AG339="นิติศาสตร์",Z339="S1",AC339&gt;=1,OR(AB339&lt;V339,AB339&lt;P339)),EDATE(AB339,12),AND(AH339="K5-LAW",AG339="นิติศาสตร์",OR(T339="M2",T339="K4"),W339&gt;=2,V339&lt;P339),EDATE(V339,12*2),AND(AH339="K5-LAW",AG339="นิติศาสตร์",T339="S1",W339&gt;=1,V339&lt;P339),EDATE(V339,12),AND(AH339="K5-LAW",AG339="นิติศาสตร์",OR(T339="S2",T339="K5")),V339,AND(AH339="K5-LAW",AG339="นิติศาสตร์",OR(K339="M2",K339="K4"),Q339&gt;=2),EDATE(P339,12*2),AND(AH339="K5-LAW",AG339="นิติศาสตร์",K339="S1",Q339&gt;=1),EDATE(P339,12),AND(AH339="K5-LAW",AG339="นิติศาสตร์",OR(K339="S2",K339="K5")),P339,AND(AH339="K5-POLICY",AG339&lt;&gt;"นิติศาสตร์",K339="S2",T339="",Z339=""),P339,AND(AH339="K5-POLICY",AG339&lt;&gt;"นิติศาสตร์",K339="S1",T339="",Z339=""),EDATE(P339,12),AND(AH339="K5-POLICY",AG339&lt;&gt;"นิติศาสตร์",OR(K339="M2",K339="K4"),T339="",Z339=""),EDATE(P339,12*2),AND(AH339="K5-POLICY",AG339&lt;&gt;"นิติศาสตร์",OR(Z339="M2",Z339="K4"),AC339&gt;=2,OR(AB339&lt;V339,AB339&lt;P339)),EDATE(AB339,12*2),AND(AH339="K5-POLICY",AG339&lt;&gt;"นิติศาสตร์",Z339="S1",AC339&gt;=1,OR(AB339&lt;V339,AB339&lt;P339)),EDATE(AB339,12),AND(AH339="K5-POLICY",AG339&lt;&gt;"นิติศาสตร์",OR(T339="M2",T339="K4"),W339&gt;=2,V339&lt;P339),EDATE(V339,12*2),AND(AH339="K5-POLICY",AG339&lt;&gt;"นิติศาสตร์",T339="S1",W339&gt;=1,V339&lt;P339),EDATE(V339,12),AND(AH339="K5-POLICY",AG339&lt;&gt;"นิติศาสตร์",OR(T339="S2",T339="K5")),V339,AND(AH339="K5-POLICY",AG339&lt;&gt;"นิติศาสตร์",OR(K339="M2",K339="K4"),Q339&gt;=2),EDATE(P339,12*2),AND(AH339="K5-POLICY",AG339&lt;&gt;"นิติศาสตร์",K339="S1",Q339&gt;=1),EDATE(P339,12),AND(AH339="K5-POLICY",AG339&lt;&gt;"นิติศาสตร์",OR(K339="S2",K339="K5")),P339,TRUE,"Check Data")</f>
        <v/>
      </c>
      <c r="AJ339" s="75" t="str">
        <f t="shared" si="105"/>
        <v>Check Data</v>
      </c>
      <c r="AK339" s="76" t="str">
        <f t="shared" si="106"/>
        <v>Check Data</v>
      </c>
      <c r="AL339" s="50" t="str">
        <f t="shared" si="107"/>
        <v>Check Data</v>
      </c>
      <c r="AM339" s="49" t="str">
        <f>IF(B339="","",IF(K339="S1","S1",INDEX(#REF!,#REF!)))</f>
        <v/>
      </c>
      <c r="AN339" s="49" t="str">
        <f>K339</f>
        <v>K4</v>
      </c>
      <c r="AO339" s="50" t="b">
        <f>K339=AM339</f>
        <v>0</v>
      </c>
    </row>
    <row r="340" spans="1:41" ht="21.75">
      <c r="A340" s="49">
        <v>338</v>
      </c>
      <c r="B340" s="50"/>
      <c r="C340" s="52"/>
      <c r="G340" s="50">
        <f t="shared" si="98"/>
        <v>0</v>
      </c>
      <c r="H340" s="50">
        <f t="shared" si="99"/>
        <v>0</v>
      </c>
      <c r="I340" s="50">
        <f t="shared" si="100"/>
        <v>0</v>
      </c>
      <c r="K340" s="49" t="s">
        <v>137</v>
      </c>
      <c r="O340" s="65" t="s">
        <v>419</v>
      </c>
      <c r="P340" s="49" t="str">
        <f t="shared" si="101"/>
        <v>09/03/2023</v>
      </c>
      <c r="Q340" s="68">
        <f t="shared" si="102"/>
        <v>2</v>
      </c>
      <c r="R340" s="68">
        <f t="shared" si="103"/>
        <v>3</v>
      </c>
      <c r="S340" s="68">
        <f t="shared" si="104"/>
        <v>11</v>
      </c>
      <c r="T340" s="65"/>
      <c r="AH340" s="49" t="str">
        <f>IF(AG340="นิติศาสตร์","K5-LAW","K5-POLICY")</f>
        <v>K5-POLICY</v>
      </c>
      <c r="AI340" s="72" t="str">
        <f>_xlfn.IFS(B340="","",AND(AH340="K5-LAW",AG340="นิติศาสตร์",K340="S2",T340="",Z340=""),P340,AND(AH340="K5-LAW",AG340="นิติศาสตร์",K340="S1",T340="",Z340=""),EDATE(P340,12),AND(AH340="K5-LAW",AG340="นิติศาสตร์",OR(K340="M2",K340="K4"),T340="",Z340=""),EDATE(P340,12*2),AND(AH340="K5-LAW",AG340="นิติศาสตร์",OR(Z340="M2",Z340="K4"),AC340&gt;=2,OR(AB340&lt;V340,AB340&lt;P340)),EDATE(AB340,12*2),AND(AH340="K5-LAW",AG340="นิติศาสตร์",Z340="S1",AC340&gt;=1,OR(AB340&lt;V340,AB340&lt;P340)),EDATE(AB340,12),AND(AH340="K5-LAW",AG340="นิติศาสตร์",OR(T340="M2",T340="K4"),W340&gt;=2,V340&lt;P340),EDATE(V340,12*2),AND(AH340="K5-LAW",AG340="นิติศาสตร์",T340="S1",W340&gt;=1,V340&lt;P340),EDATE(V340,12),AND(AH340="K5-LAW",AG340="นิติศาสตร์",OR(T340="S2",T340="K5")),V340,AND(AH340="K5-LAW",AG340="นิติศาสตร์",OR(K340="M2",K340="K4"),Q340&gt;=2),EDATE(P340,12*2),AND(AH340="K5-LAW",AG340="นิติศาสตร์",K340="S1",Q340&gt;=1),EDATE(P340,12),AND(AH340="K5-LAW",AG340="นิติศาสตร์",OR(K340="S2",K340="K5")),P340,AND(AH340="K5-POLICY",AG340&lt;&gt;"นิติศาสตร์",K340="S2",T340="",Z340=""),P340,AND(AH340="K5-POLICY",AG340&lt;&gt;"นิติศาสตร์",K340="S1",T340="",Z340=""),EDATE(P340,12),AND(AH340="K5-POLICY",AG340&lt;&gt;"นิติศาสตร์",OR(K340="M2",K340="K4"),T340="",Z340=""),EDATE(P340,12*2),AND(AH340="K5-POLICY",AG340&lt;&gt;"นิติศาสตร์",OR(Z340="M2",Z340="K4"),AC340&gt;=2,OR(AB340&lt;V340,AB340&lt;P340)),EDATE(AB340,12*2),AND(AH340="K5-POLICY",AG340&lt;&gt;"นิติศาสตร์",Z340="S1",AC340&gt;=1,OR(AB340&lt;V340,AB340&lt;P340)),EDATE(AB340,12),AND(AH340="K5-POLICY",AG340&lt;&gt;"นิติศาสตร์",OR(T340="M2",T340="K4"),W340&gt;=2,V340&lt;P340),EDATE(V340,12*2),AND(AH340="K5-POLICY",AG340&lt;&gt;"นิติศาสตร์",T340="S1",W340&gt;=1,V340&lt;P340),EDATE(V340,12),AND(AH340="K5-POLICY",AG340&lt;&gt;"นิติศาสตร์",OR(T340="S2",T340="K5")),V340,AND(AH340="K5-POLICY",AG340&lt;&gt;"นิติศาสตร์",OR(K340="M2",K340="K4"),Q340&gt;=2),EDATE(P340,12*2),AND(AH340="K5-POLICY",AG340&lt;&gt;"นิติศาสตร์",K340="S1",Q340&gt;=1),EDATE(P340,12),AND(AH340="K5-POLICY",AG340&lt;&gt;"นิติศาสตร์",OR(K340="S2",K340="K5")),P340,TRUE,"Check Data")</f>
        <v/>
      </c>
      <c r="AJ340" s="75" t="str">
        <f t="shared" si="105"/>
        <v>Check Data</v>
      </c>
      <c r="AK340" s="76" t="str">
        <f t="shared" si="106"/>
        <v>Check Data</v>
      </c>
      <c r="AL340" s="50" t="str">
        <f t="shared" si="107"/>
        <v>Check Data</v>
      </c>
      <c r="AM340" s="49" t="str">
        <f>IF(B340="","",IF(K340="S1","S1",INDEX(#REF!,#REF!)))</f>
        <v/>
      </c>
      <c r="AN340" s="49" t="str">
        <f>K340</f>
        <v>K4</v>
      </c>
      <c r="AO340" s="50" t="b">
        <f>K340=AM340</f>
        <v>0</v>
      </c>
    </row>
    <row r="341" spans="1:41" ht="21.75">
      <c r="A341" s="49">
        <v>339</v>
      </c>
      <c r="B341" s="50"/>
      <c r="C341" s="52"/>
      <c r="G341" s="50">
        <f t="shared" si="98"/>
        <v>0</v>
      </c>
      <c r="H341" s="50">
        <f t="shared" si="99"/>
        <v>0</v>
      </c>
      <c r="I341" s="50">
        <f t="shared" si="100"/>
        <v>0</v>
      </c>
      <c r="K341" s="49" t="s">
        <v>137</v>
      </c>
      <c r="O341" s="65" t="s">
        <v>410</v>
      </c>
      <c r="P341" s="49" t="str">
        <f t="shared" si="101"/>
        <v>14/07/2023</v>
      </c>
      <c r="Q341" s="68">
        <f t="shared" si="102"/>
        <v>1</v>
      </c>
      <c r="R341" s="68">
        <f t="shared" si="103"/>
        <v>11</v>
      </c>
      <c r="S341" s="68">
        <f t="shared" si="104"/>
        <v>6</v>
      </c>
      <c r="T341" s="65"/>
      <c r="AH341" s="49" t="str">
        <f>IF(AG341="นิติศาสตร์","K5-LAW","K5-POLICY")</f>
        <v>K5-POLICY</v>
      </c>
      <c r="AI341" s="72" t="str">
        <f>_xlfn.IFS(B341="","",AND(AH341="K5-LAW",AG341="นิติศาสตร์",K341="S2",T341="",Z341=""),P341,AND(AH341="K5-LAW",AG341="นิติศาสตร์",K341="S1",T341="",Z341=""),EDATE(P341,12),AND(AH341="K5-LAW",AG341="นิติศาสตร์",OR(K341="M2",K341="K4"),T341="",Z341=""),EDATE(P341,12*2),AND(AH341="K5-LAW",AG341="นิติศาสตร์",OR(Z341="M2",Z341="K4"),AC341&gt;=2,OR(AB341&lt;V341,AB341&lt;P341)),EDATE(AB341,12*2),AND(AH341="K5-LAW",AG341="นิติศาสตร์",Z341="S1",AC341&gt;=1,OR(AB341&lt;V341,AB341&lt;P341)),EDATE(AB341,12),AND(AH341="K5-LAW",AG341="นิติศาสตร์",OR(T341="M2",T341="K4"),W341&gt;=2,V341&lt;P341),EDATE(V341,12*2),AND(AH341="K5-LAW",AG341="นิติศาสตร์",T341="S1",W341&gt;=1,V341&lt;P341),EDATE(V341,12),AND(AH341="K5-LAW",AG341="นิติศาสตร์",OR(T341="S2",T341="K5")),V341,AND(AH341="K5-LAW",AG341="นิติศาสตร์",OR(K341="M2",K341="K4"),Q341&gt;=2),EDATE(P341,12*2),AND(AH341="K5-LAW",AG341="นิติศาสตร์",K341="S1",Q341&gt;=1),EDATE(P341,12),AND(AH341="K5-LAW",AG341="นิติศาสตร์",OR(K341="S2",K341="K5")),P341,AND(AH341="K5-POLICY",AG341&lt;&gt;"นิติศาสตร์",K341="S2",T341="",Z341=""),P341,AND(AH341="K5-POLICY",AG341&lt;&gt;"นิติศาสตร์",K341="S1",T341="",Z341=""),EDATE(P341,12),AND(AH341="K5-POLICY",AG341&lt;&gt;"นิติศาสตร์",OR(K341="M2",K341="K4"),T341="",Z341=""),EDATE(P341,12*2),AND(AH341="K5-POLICY",AG341&lt;&gt;"นิติศาสตร์",OR(Z341="M2",Z341="K4"),AC341&gt;=2,OR(AB341&lt;V341,AB341&lt;P341)),EDATE(AB341,12*2),AND(AH341="K5-POLICY",AG341&lt;&gt;"นิติศาสตร์",Z341="S1",AC341&gt;=1,OR(AB341&lt;V341,AB341&lt;P341)),EDATE(AB341,12),AND(AH341="K5-POLICY",AG341&lt;&gt;"นิติศาสตร์",OR(T341="M2",T341="K4"),W341&gt;=2,V341&lt;P341),EDATE(V341,12*2),AND(AH341="K5-POLICY",AG341&lt;&gt;"นิติศาสตร์",T341="S1",W341&gt;=1,V341&lt;P341),EDATE(V341,12),AND(AH341="K5-POLICY",AG341&lt;&gt;"นิติศาสตร์",OR(T341="S2",T341="K5")),V341,AND(AH341="K5-POLICY",AG341&lt;&gt;"นิติศาสตร์",OR(K341="M2",K341="K4"),Q341&gt;=2),EDATE(P341,12*2),AND(AH341="K5-POLICY",AG341&lt;&gt;"นิติศาสตร์",K341="S1",Q341&gt;=1),EDATE(P341,12),AND(AH341="K5-POLICY",AG341&lt;&gt;"นิติศาสตร์",OR(K341="S2",K341="K5")),P341,TRUE,"Check Data")</f>
        <v/>
      </c>
      <c r="AJ341" s="75" t="str">
        <f t="shared" si="105"/>
        <v>Check Data</v>
      </c>
      <c r="AK341" s="76" t="str">
        <f t="shared" si="106"/>
        <v>Check Data</v>
      </c>
      <c r="AL341" s="50" t="str">
        <f t="shared" si="107"/>
        <v>Check Data</v>
      </c>
      <c r="AM341" s="49" t="str">
        <f>IF(B341="","",IF(K341="S1","S1",INDEX(#REF!,#REF!)))</f>
        <v/>
      </c>
      <c r="AN341" s="49" t="str">
        <f>K341</f>
        <v>K4</v>
      </c>
      <c r="AO341" s="50" t="b">
        <f>K341=AM341</f>
        <v>0</v>
      </c>
    </row>
    <row r="342" spans="1:41" ht="21.75">
      <c r="A342" s="49">
        <v>340</v>
      </c>
      <c r="B342" s="50"/>
      <c r="C342" s="52"/>
      <c r="G342" s="50">
        <f t="shared" si="98"/>
        <v>0</v>
      </c>
      <c r="H342" s="50">
        <f t="shared" si="99"/>
        <v>0</v>
      </c>
      <c r="I342" s="50">
        <f t="shared" si="100"/>
        <v>0</v>
      </c>
      <c r="K342" s="49" t="s">
        <v>137</v>
      </c>
      <c r="O342" s="65" t="s">
        <v>446</v>
      </c>
      <c r="P342" s="49" t="str">
        <f t="shared" si="101"/>
        <v>20/07/2023</v>
      </c>
      <c r="Q342" s="68">
        <f t="shared" si="102"/>
        <v>1</v>
      </c>
      <c r="R342" s="68">
        <f t="shared" si="103"/>
        <v>11</v>
      </c>
      <c r="S342" s="68">
        <f t="shared" si="104"/>
        <v>0</v>
      </c>
      <c r="T342" s="65"/>
      <c r="AH342" s="49" t="str">
        <f>IF(AG342="นิติศาสตร์","K5-LAW","K5-POLICY")</f>
        <v>K5-POLICY</v>
      </c>
      <c r="AI342" s="72" t="str">
        <f>_xlfn.IFS(B342="","",AND(AH342="K5-LAW",AG342="นิติศาสตร์",K342="S2",T342="",Z342=""),P342,AND(AH342="K5-LAW",AG342="นิติศาสตร์",K342="S1",T342="",Z342=""),EDATE(P342,12),AND(AH342="K5-LAW",AG342="นิติศาสตร์",OR(K342="M2",K342="K4"),T342="",Z342=""),EDATE(P342,12*2),AND(AH342="K5-LAW",AG342="นิติศาสตร์",OR(Z342="M2",Z342="K4"),AC342&gt;=2,OR(AB342&lt;V342,AB342&lt;P342)),EDATE(AB342,12*2),AND(AH342="K5-LAW",AG342="นิติศาสตร์",Z342="S1",AC342&gt;=1,OR(AB342&lt;V342,AB342&lt;P342)),EDATE(AB342,12),AND(AH342="K5-LAW",AG342="นิติศาสตร์",OR(T342="M2",T342="K4"),W342&gt;=2,V342&lt;P342),EDATE(V342,12*2),AND(AH342="K5-LAW",AG342="นิติศาสตร์",T342="S1",W342&gt;=1,V342&lt;P342),EDATE(V342,12),AND(AH342="K5-LAW",AG342="นิติศาสตร์",OR(T342="S2",T342="K5")),V342,AND(AH342="K5-LAW",AG342="นิติศาสตร์",OR(K342="M2",K342="K4"),Q342&gt;=2),EDATE(P342,12*2),AND(AH342="K5-LAW",AG342="นิติศาสตร์",K342="S1",Q342&gt;=1),EDATE(P342,12),AND(AH342="K5-LAW",AG342="นิติศาสตร์",OR(K342="S2",K342="K5")),P342,AND(AH342="K5-POLICY",AG342&lt;&gt;"นิติศาสตร์",K342="S2",T342="",Z342=""),P342,AND(AH342="K5-POLICY",AG342&lt;&gt;"นิติศาสตร์",K342="S1",T342="",Z342=""),EDATE(P342,12),AND(AH342="K5-POLICY",AG342&lt;&gt;"นิติศาสตร์",OR(K342="M2",K342="K4"),T342="",Z342=""),EDATE(P342,12*2),AND(AH342="K5-POLICY",AG342&lt;&gt;"นิติศาสตร์",OR(Z342="M2",Z342="K4"),AC342&gt;=2,OR(AB342&lt;V342,AB342&lt;P342)),EDATE(AB342,12*2),AND(AH342="K5-POLICY",AG342&lt;&gt;"นิติศาสตร์",Z342="S1",AC342&gt;=1,OR(AB342&lt;V342,AB342&lt;P342)),EDATE(AB342,12),AND(AH342="K5-POLICY",AG342&lt;&gt;"นิติศาสตร์",OR(T342="M2",T342="K4"),W342&gt;=2,V342&lt;P342),EDATE(V342,12*2),AND(AH342="K5-POLICY",AG342&lt;&gt;"นิติศาสตร์",T342="S1",W342&gt;=1,V342&lt;P342),EDATE(V342,12),AND(AH342="K5-POLICY",AG342&lt;&gt;"นิติศาสตร์",OR(T342="S2",T342="K5")),V342,AND(AH342="K5-POLICY",AG342&lt;&gt;"นิติศาสตร์",OR(K342="M2",K342="K4"),Q342&gt;=2),EDATE(P342,12*2),AND(AH342="K5-POLICY",AG342&lt;&gt;"นิติศาสตร์",K342="S1",Q342&gt;=1),EDATE(P342,12),AND(AH342="K5-POLICY",AG342&lt;&gt;"นิติศาสตร์",OR(K342="S2",K342="K5")),P342,TRUE,"Check Data")</f>
        <v/>
      </c>
      <c r="AJ342" s="75" t="str">
        <f t="shared" si="105"/>
        <v>Check Data</v>
      </c>
      <c r="AK342" s="76" t="str">
        <f t="shared" si="106"/>
        <v>Check Data</v>
      </c>
      <c r="AL342" s="50" t="str">
        <f t="shared" si="107"/>
        <v>Check Data</v>
      </c>
      <c r="AM342" s="49" t="str">
        <f>IF(B342="","",IF(K342="S1","S1",INDEX(#REF!,#REF!)))</f>
        <v/>
      </c>
      <c r="AN342" s="49" t="str">
        <f>K342</f>
        <v>K4</v>
      </c>
      <c r="AO342" s="50" t="b">
        <f>K342=AM342</f>
        <v>0</v>
      </c>
    </row>
    <row r="343" spans="1:41" ht="21.75">
      <c r="A343" s="49">
        <v>341</v>
      </c>
      <c r="B343" s="50"/>
      <c r="C343" s="52"/>
      <c r="G343" s="50">
        <f t="shared" si="98"/>
        <v>0</v>
      </c>
      <c r="H343" s="50">
        <f t="shared" si="99"/>
        <v>0</v>
      </c>
      <c r="I343" s="50">
        <f t="shared" si="100"/>
        <v>0</v>
      </c>
      <c r="K343" s="49" t="s">
        <v>137</v>
      </c>
      <c r="O343" s="65" t="s">
        <v>436</v>
      </c>
      <c r="P343" s="49" t="str">
        <f t="shared" si="101"/>
        <v>21/09/2023</v>
      </c>
      <c r="Q343" s="68">
        <f t="shared" si="102"/>
        <v>1</v>
      </c>
      <c r="R343" s="68">
        <f t="shared" si="103"/>
        <v>8</v>
      </c>
      <c r="S343" s="68">
        <f t="shared" si="104"/>
        <v>30</v>
      </c>
      <c r="T343" s="65"/>
      <c r="AH343" s="49" t="str">
        <f>IF(AG343="นิติศาสตร์","K5-LAW","K5-POLICY")</f>
        <v>K5-POLICY</v>
      </c>
      <c r="AI343" s="72" t="str">
        <f>_xlfn.IFS(B343="","",AND(AH343="K5-LAW",AG343="นิติศาสตร์",K343="S2",T343="",Z343=""),P343,AND(AH343="K5-LAW",AG343="นิติศาสตร์",K343="S1",T343="",Z343=""),EDATE(P343,12),AND(AH343="K5-LAW",AG343="นิติศาสตร์",OR(K343="M2",K343="K4"),T343="",Z343=""),EDATE(P343,12*2),AND(AH343="K5-LAW",AG343="นิติศาสตร์",OR(Z343="M2",Z343="K4"),AC343&gt;=2,OR(AB343&lt;V343,AB343&lt;P343)),EDATE(AB343,12*2),AND(AH343="K5-LAW",AG343="นิติศาสตร์",Z343="S1",AC343&gt;=1,OR(AB343&lt;V343,AB343&lt;P343)),EDATE(AB343,12),AND(AH343="K5-LAW",AG343="นิติศาสตร์",OR(T343="M2",T343="K4"),W343&gt;=2,V343&lt;P343),EDATE(V343,12*2),AND(AH343="K5-LAW",AG343="นิติศาสตร์",T343="S1",W343&gt;=1,V343&lt;P343),EDATE(V343,12),AND(AH343="K5-LAW",AG343="นิติศาสตร์",OR(T343="S2",T343="K5")),V343,AND(AH343="K5-LAW",AG343="นิติศาสตร์",OR(K343="M2",K343="K4"),Q343&gt;=2),EDATE(P343,12*2),AND(AH343="K5-LAW",AG343="นิติศาสตร์",K343="S1",Q343&gt;=1),EDATE(P343,12),AND(AH343="K5-LAW",AG343="นิติศาสตร์",OR(K343="S2",K343="K5")),P343,AND(AH343="K5-POLICY",AG343&lt;&gt;"นิติศาสตร์",K343="S2",T343="",Z343=""),P343,AND(AH343="K5-POLICY",AG343&lt;&gt;"นิติศาสตร์",K343="S1",T343="",Z343=""),EDATE(P343,12),AND(AH343="K5-POLICY",AG343&lt;&gt;"นิติศาสตร์",OR(K343="M2",K343="K4"),T343="",Z343=""),EDATE(P343,12*2),AND(AH343="K5-POLICY",AG343&lt;&gt;"นิติศาสตร์",OR(Z343="M2",Z343="K4"),AC343&gt;=2,OR(AB343&lt;V343,AB343&lt;P343)),EDATE(AB343,12*2),AND(AH343="K5-POLICY",AG343&lt;&gt;"นิติศาสตร์",Z343="S1",AC343&gt;=1,OR(AB343&lt;V343,AB343&lt;P343)),EDATE(AB343,12),AND(AH343="K5-POLICY",AG343&lt;&gt;"นิติศาสตร์",OR(T343="M2",T343="K4"),W343&gt;=2,V343&lt;P343),EDATE(V343,12*2),AND(AH343="K5-POLICY",AG343&lt;&gt;"นิติศาสตร์",T343="S1",W343&gt;=1,V343&lt;P343),EDATE(V343,12),AND(AH343="K5-POLICY",AG343&lt;&gt;"นิติศาสตร์",OR(T343="S2",T343="K5")),V343,AND(AH343="K5-POLICY",AG343&lt;&gt;"นิติศาสตร์",OR(K343="M2",K343="K4"),Q343&gt;=2),EDATE(P343,12*2),AND(AH343="K5-POLICY",AG343&lt;&gt;"นิติศาสตร์",K343="S1",Q343&gt;=1),EDATE(P343,12),AND(AH343="K5-POLICY",AG343&lt;&gt;"นิติศาสตร์",OR(K343="S2",K343="K5")),P343,TRUE,"Check Data")</f>
        <v/>
      </c>
      <c r="AJ343" s="75" t="str">
        <f t="shared" si="105"/>
        <v>Check Data</v>
      </c>
      <c r="AK343" s="76" t="str">
        <f t="shared" si="106"/>
        <v>Check Data</v>
      </c>
      <c r="AL343" s="50" t="str">
        <f t="shared" si="107"/>
        <v>Check Data</v>
      </c>
      <c r="AM343" s="49" t="str">
        <f>IF(B343="","",IF(K343="S1","S1",INDEX(#REF!,#REF!)))</f>
        <v/>
      </c>
      <c r="AN343" s="49" t="str">
        <f>K343</f>
        <v>K4</v>
      </c>
      <c r="AO343" s="50" t="b">
        <f>K343=AM343</f>
        <v>0</v>
      </c>
    </row>
    <row r="344" spans="1:41" ht="21.75">
      <c r="A344" s="49">
        <v>342</v>
      </c>
      <c r="B344" s="50"/>
      <c r="C344" s="52"/>
      <c r="G344" s="50">
        <f t="shared" si="98"/>
        <v>0</v>
      </c>
      <c r="H344" s="50">
        <f t="shared" si="99"/>
        <v>0</v>
      </c>
      <c r="I344" s="50">
        <f t="shared" si="100"/>
        <v>0</v>
      </c>
      <c r="K344" s="49" t="s">
        <v>137</v>
      </c>
      <c r="O344" s="65" t="s">
        <v>436</v>
      </c>
      <c r="P344" s="49" t="str">
        <f t="shared" si="101"/>
        <v>21/09/2023</v>
      </c>
      <c r="Q344" s="68">
        <f t="shared" si="102"/>
        <v>1</v>
      </c>
      <c r="R344" s="68">
        <f t="shared" si="103"/>
        <v>8</v>
      </c>
      <c r="S344" s="68">
        <f t="shared" si="104"/>
        <v>30</v>
      </c>
      <c r="T344" s="65"/>
      <c r="AH344" s="49" t="str">
        <f>IF(AG344="นิติศาสตร์","K5-LAW","K5-POLICY")</f>
        <v>K5-POLICY</v>
      </c>
      <c r="AI344" s="72" t="str">
        <f>_xlfn.IFS(B344="","",AND(AH344="K5-LAW",AG344="นิติศาสตร์",K344="S2",T344="",Z344=""),P344,AND(AH344="K5-LAW",AG344="นิติศาสตร์",K344="S1",T344="",Z344=""),EDATE(P344,12),AND(AH344="K5-LAW",AG344="นิติศาสตร์",OR(K344="M2",K344="K4"),T344="",Z344=""),EDATE(P344,12*2),AND(AH344="K5-LAW",AG344="นิติศาสตร์",OR(Z344="M2",Z344="K4"),AC344&gt;=2,OR(AB344&lt;V344,AB344&lt;P344)),EDATE(AB344,12*2),AND(AH344="K5-LAW",AG344="นิติศาสตร์",Z344="S1",AC344&gt;=1,OR(AB344&lt;V344,AB344&lt;P344)),EDATE(AB344,12),AND(AH344="K5-LAW",AG344="นิติศาสตร์",OR(T344="M2",T344="K4"),W344&gt;=2,V344&lt;P344),EDATE(V344,12*2),AND(AH344="K5-LAW",AG344="นิติศาสตร์",T344="S1",W344&gt;=1,V344&lt;P344),EDATE(V344,12),AND(AH344="K5-LAW",AG344="นิติศาสตร์",OR(T344="S2",T344="K5")),V344,AND(AH344="K5-LAW",AG344="นิติศาสตร์",OR(K344="M2",K344="K4"),Q344&gt;=2),EDATE(P344,12*2),AND(AH344="K5-LAW",AG344="นิติศาสตร์",K344="S1",Q344&gt;=1),EDATE(P344,12),AND(AH344="K5-LAW",AG344="นิติศาสตร์",OR(K344="S2",K344="K5")),P344,AND(AH344="K5-POLICY",AG344&lt;&gt;"นิติศาสตร์",K344="S2",T344="",Z344=""),P344,AND(AH344="K5-POLICY",AG344&lt;&gt;"นิติศาสตร์",K344="S1",T344="",Z344=""),EDATE(P344,12),AND(AH344="K5-POLICY",AG344&lt;&gt;"นิติศาสตร์",OR(K344="M2",K344="K4"),T344="",Z344=""),EDATE(P344,12*2),AND(AH344="K5-POLICY",AG344&lt;&gt;"นิติศาสตร์",OR(Z344="M2",Z344="K4"),AC344&gt;=2,OR(AB344&lt;V344,AB344&lt;P344)),EDATE(AB344,12*2),AND(AH344="K5-POLICY",AG344&lt;&gt;"นิติศาสตร์",Z344="S1",AC344&gt;=1,OR(AB344&lt;V344,AB344&lt;P344)),EDATE(AB344,12),AND(AH344="K5-POLICY",AG344&lt;&gt;"นิติศาสตร์",OR(T344="M2",T344="K4"),W344&gt;=2,V344&lt;P344),EDATE(V344,12*2),AND(AH344="K5-POLICY",AG344&lt;&gt;"นิติศาสตร์",T344="S1",W344&gt;=1,V344&lt;P344),EDATE(V344,12),AND(AH344="K5-POLICY",AG344&lt;&gt;"นิติศาสตร์",OR(T344="S2",T344="K5")),V344,AND(AH344="K5-POLICY",AG344&lt;&gt;"นิติศาสตร์",OR(K344="M2",K344="K4"),Q344&gt;=2),EDATE(P344,12*2),AND(AH344="K5-POLICY",AG344&lt;&gt;"นิติศาสตร์",K344="S1",Q344&gt;=1),EDATE(P344,12),AND(AH344="K5-POLICY",AG344&lt;&gt;"นิติศาสตร์",OR(K344="S2",K344="K5")),P344,TRUE,"Check Data")</f>
        <v/>
      </c>
      <c r="AJ344" s="75" t="str">
        <f t="shared" si="105"/>
        <v>Check Data</v>
      </c>
      <c r="AK344" s="76" t="str">
        <f t="shared" si="106"/>
        <v>Check Data</v>
      </c>
      <c r="AL344" s="50" t="str">
        <f t="shared" si="107"/>
        <v>Check Data</v>
      </c>
      <c r="AM344" s="49" t="str">
        <f>IF(B344="","",IF(K344="S1","S1",INDEX(#REF!,#REF!)))</f>
        <v/>
      </c>
      <c r="AN344" s="49" t="str">
        <f>K344</f>
        <v>K4</v>
      </c>
      <c r="AO344" s="50" t="b">
        <f>K344=AM344</f>
        <v>0</v>
      </c>
    </row>
    <row r="345" spans="1:41" ht="21.75">
      <c r="A345" s="49">
        <v>343</v>
      </c>
      <c r="B345" s="50"/>
      <c r="C345" s="52"/>
      <c r="G345" s="50">
        <f t="shared" si="98"/>
        <v>0</v>
      </c>
      <c r="H345" s="50">
        <f t="shared" si="99"/>
        <v>0</v>
      </c>
      <c r="I345" s="50">
        <f t="shared" si="100"/>
        <v>0</v>
      </c>
      <c r="K345" s="49" t="s">
        <v>137</v>
      </c>
      <c r="O345" s="65" t="s">
        <v>437</v>
      </c>
      <c r="P345" s="49" t="str">
        <f t="shared" si="101"/>
        <v>02/10/2023</v>
      </c>
      <c r="Q345" s="68">
        <f t="shared" si="102"/>
        <v>1</v>
      </c>
      <c r="R345" s="68">
        <f t="shared" si="103"/>
        <v>8</v>
      </c>
      <c r="S345" s="68">
        <f t="shared" si="104"/>
        <v>18</v>
      </c>
      <c r="T345" s="65"/>
      <c r="AH345" s="49" t="str">
        <f>IF(AG345="นิติศาสตร์","K5-LAW","K5-POLICY")</f>
        <v>K5-POLICY</v>
      </c>
      <c r="AI345" s="72" t="str">
        <f>_xlfn.IFS(B345="","",AND(AH345="K5-LAW",AG345="นิติศาสตร์",K345="S2",T345="",Z345=""),P345,AND(AH345="K5-LAW",AG345="นิติศาสตร์",K345="S1",T345="",Z345=""),EDATE(P345,12),AND(AH345="K5-LAW",AG345="นิติศาสตร์",OR(K345="M2",K345="K4"),T345="",Z345=""),EDATE(P345,12*2),AND(AH345="K5-LAW",AG345="นิติศาสตร์",OR(Z345="M2",Z345="K4"),AC345&gt;=2,OR(AB345&lt;V345,AB345&lt;P345)),EDATE(AB345,12*2),AND(AH345="K5-LAW",AG345="นิติศาสตร์",Z345="S1",AC345&gt;=1,OR(AB345&lt;V345,AB345&lt;P345)),EDATE(AB345,12),AND(AH345="K5-LAW",AG345="นิติศาสตร์",OR(T345="M2",T345="K4"),W345&gt;=2,V345&lt;P345),EDATE(V345,12*2),AND(AH345="K5-LAW",AG345="นิติศาสตร์",T345="S1",W345&gt;=1,V345&lt;P345),EDATE(V345,12),AND(AH345="K5-LAW",AG345="นิติศาสตร์",OR(T345="S2",T345="K5")),V345,AND(AH345="K5-LAW",AG345="นิติศาสตร์",OR(K345="M2",K345="K4"),Q345&gt;=2),EDATE(P345,12*2),AND(AH345="K5-LAW",AG345="นิติศาสตร์",K345="S1",Q345&gt;=1),EDATE(P345,12),AND(AH345="K5-LAW",AG345="นิติศาสตร์",OR(K345="S2",K345="K5")),P345,AND(AH345="K5-POLICY",AG345&lt;&gt;"นิติศาสตร์",K345="S2",T345="",Z345=""),P345,AND(AH345="K5-POLICY",AG345&lt;&gt;"นิติศาสตร์",K345="S1",T345="",Z345=""),EDATE(P345,12),AND(AH345="K5-POLICY",AG345&lt;&gt;"นิติศาสตร์",OR(K345="M2",K345="K4"),T345="",Z345=""),EDATE(P345,12*2),AND(AH345="K5-POLICY",AG345&lt;&gt;"นิติศาสตร์",OR(Z345="M2",Z345="K4"),AC345&gt;=2,OR(AB345&lt;V345,AB345&lt;P345)),EDATE(AB345,12*2),AND(AH345="K5-POLICY",AG345&lt;&gt;"นิติศาสตร์",Z345="S1",AC345&gt;=1,OR(AB345&lt;V345,AB345&lt;P345)),EDATE(AB345,12),AND(AH345="K5-POLICY",AG345&lt;&gt;"นิติศาสตร์",OR(T345="M2",T345="K4"),W345&gt;=2,V345&lt;P345),EDATE(V345,12*2),AND(AH345="K5-POLICY",AG345&lt;&gt;"นิติศาสตร์",T345="S1",W345&gt;=1,V345&lt;P345),EDATE(V345,12),AND(AH345="K5-POLICY",AG345&lt;&gt;"นิติศาสตร์",OR(T345="S2",T345="K5")),V345,AND(AH345="K5-POLICY",AG345&lt;&gt;"นิติศาสตร์",OR(K345="M2",K345="K4"),Q345&gt;=2),EDATE(P345,12*2),AND(AH345="K5-POLICY",AG345&lt;&gt;"นิติศาสตร์",K345="S1",Q345&gt;=1),EDATE(P345,12),AND(AH345="K5-POLICY",AG345&lt;&gt;"นิติศาสตร์",OR(K345="S2",K345="K5")),P345,TRUE,"Check Data")</f>
        <v/>
      </c>
      <c r="AJ345" s="75" t="str">
        <f t="shared" si="105"/>
        <v>Check Data</v>
      </c>
      <c r="AK345" s="76" t="str">
        <f t="shared" si="106"/>
        <v>Check Data</v>
      </c>
      <c r="AL345" s="50" t="str">
        <f t="shared" si="107"/>
        <v>Check Data</v>
      </c>
      <c r="AM345" s="49" t="str">
        <f>IF(B345="","",IF(K345="S1","S1",INDEX(#REF!,#REF!)))</f>
        <v/>
      </c>
      <c r="AN345" s="49" t="str">
        <f>K345</f>
        <v>K4</v>
      </c>
      <c r="AO345" s="50" t="b">
        <f>K345=AM345</f>
        <v>0</v>
      </c>
    </row>
    <row r="346" spans="1:41" ht="21.75">
      <c r="A346" s="49">
        <v>344</v>
      </c>
      <c r="B346" s="50"/>
      <c r="C346" s="52"/>
      <c r="G346" s="50">
        <f t="shared" si="98"/>
        <v>0</v>
      </c>
      <c r="H346" s="50">
        <f t="shared" si="99"/>
        <v>0</v>
      </c>
      <c r="I346" s="50">
        <f t="shared" si="100"/>
        <v>0</v>
      </c>
      <c r="K346" s="49" t="s">
        <v>137</v>
      </c>
      <c r="O346" s="65" t="s">
        <v>439</v>
      </c>
      <c r="P346" s="49" t="str">
        <f t="shared" si="101"/>
        <v>30/01/2024</v>
      </c>
      <c r="Q346" s="68">
        <f t="shared" si="102"/>
        <v>1</v>
      </c>
      <c r="R346" s="68">
        <f t="shared" si="103"/>
        <v>4</v>
      </c>
      <c r="S346" s="68">
        <f t="shared" si="104"/>
        <v>21</v>
      </c>
      <c r="T346" s="65"/>
      <c r="AH346" s="49" t="str">
        <f>IF(AG346="นิติศาสตร์","K5-LAW","K5-POLICY")</f>
        <v>K5-POLICY</v>
      </c>
      <c r="AI346" s="72" t="str">
        <f>_xlfn.IFS(B346="","",AND(AH346="K5-LAW",AG346="นิติศาสตร์",K346="S2",T346="",Z346=""),P346,AND(AH346="K5-LAW",AG346="นิติศาสตร์",K346="S1",T346="",Z346=""),EDATE(P346,12),AND(AH346="K5-LAW",AG346="นิติศาสตร์",OR(K346="M2",K346="K4"),T346="",Z346=""),EDATE(P346,12*2),AND(AH346="K5-LAW",AG346="นิติศาสตร์",OR(Z346="M2",Z346="K4"),AC346&gt;=2,OR(AB346&lt;V346,AB346&lt;P346)),EDATE(AB346,12*2),AND(AH346="K5-LAW",AG346="นิติศาสตร์",Z346="S1",AC346&gt;=1,OR(AB346&lt;V346,AB346&lt;P346)),EDATE(AB346,12),AND(AH346="K5-LAW",AG346="นิติศาสตร์",OR(T346="M2",T346="K4"),W346&gt;=2,V346&lt;P346),EDATE(V346,12*2),AND(AH346="K5-LAW",AG346="นิติศาสตร์",T346="S1",W346&gt;=1,V346&lt;P346),EDATE(V346,12),AND(AH346="K5-LAW",AG346="นิติศาสตร์",OR(T346="S2",T346="K5")),V346,AND(AH346="K5-LAW",AG346="นิติศาสตร์",OR(K346="M2",K346="K4"),Q346&gt;=2),EDATE(P346,12*2),AND(AH346="K5-LAW",AG346="นิติศาสตร์",K346="S1",Q346&gt;=1),EDATE(P346,12),AND(AH346="K5-LAW",AG346="นิติศาสตร์",OR(K346="S2",K346="K5")),P346,AND(AH346="K5-POLICY",AG346&lt;&gt;"นิติศาสตร์",K346="S2",T346="",Z346=""),P346,AND(AH346="K5-POLICY",AG346&lt;&gt;"นิติศาสตร์",K346="S1",T346="",Z346=""),EDATE(P346,12),AND(AH346="K5-POLICY",AG346&lt;&gt;"นิติศาสตร์",OR(K346="M2",K346="K4"),T346="",Z346=""),EDATE(P346,12*2),AND(AH346="K5-POLICY",AG346&lt;&gt;"นิติศาสตร์",OR(Z346="M2",Z346="K4"),AC346&gt;=2,OR(AB346&lt;V346,AB346&lt;P346)),EDATE(AB346,12*2),AND(AH346="K5-POLICY",AG346&lt;&gt;"นิติศาสตร์",Z346="S1",AC346&gt;=1,OR(AB346&lt;V346,AB346&lt;P346)),EDATE(AB346,12),AND(AH346="K5-POLICY",AG346&lt;&gt;"นิติศาสตร์",OR(T346="M2",T346="K4"),W346&gt;=2,V346&lt;P346),EDATE(V346,12*2),AND(AH346="K5-POLICY",AG346&lt;&gt;"นิติศาสตร์",T346="S1",W346&gt;=1,V346&lt;P346),EDATE(V346,12),AND(AH346="K5-POLICY",AG346&lt;&gt;"นิติศาสตร์",OR(T346="S2",T346="K5")),V346,AND(AH346="K5-POLICY",AG346&lt;&gt;"นิติศาสตร์",OR(K346="M2",K346="K4"),Q346&gt;=2),EDATE(P346,12*2),AND(AH346="K5-POLICY",AG346&lt;&gt;"นิติศาสตร์",K346="S1",Q346&gt;=1),EDATE(P346,12),AND(AH346="K5-POLICY",AG346&lt;&gt;"นิติศาสตร์",OR(K346="S2",K346="K5")),P346,TRUE,"Check Data")</f>
        <v/>
      </c>
      <c r="AJ346" s="75" t="str">
        <f t="shared" si="105"/>
        <v>Check Data</v>
      </c>
      <c r="AK346" s="76" t="str">
        <f t="shared" si="106"/>
        <v>Check Data</v>
      </c>
      <c r="AL346" s="50" t="str">
        <f t="shared" si="107"/>
        <v>Check Data</v>
      </c>
      <c r="AM346" s="49" t="str">
        <f>IF(B346="","",IF(K346="S1","S1",INDEX(#REF!,#REF!)))</f>
        <v/>
      </c>
      <c r="AN346" s="49" t="str">
        <f>K346</f>
        <v>K4</v>
      </c>
      <c r="AO346" s="50" t="b">
        <f>K346=AM346</f>
        <v>0</v>
      </c>
    </row>
    <row r="347" spans="1:41" ht="21.75">
      <c r="A347" s="49">
        <v>345</v>
      </c>
      <c r="B347" s="50"/>
      <c r="C347" s="52"/>
      <c r="G347" s="50">
        <f t="shared" si="98"/>
        <v>0</v>
      </c>
      <c r="H347" s="50">
        <f t="shared" si="99"/>
        <v>0</v>
      </c>
      <c r="I347" s="50">
        <f t="shared" si="100"/>
        <v>0</v>
      </c>
      <c r="K347" s="49" t="s">
        <v>137</v>
      </c>
      <c r="O347" s="65" t="s">
        <v>447</v>
      </c>
      <c r="P347" s="49" t="str">
        <f t="shared" si="101"/>
        <v>16/05/2024</v>
      </c>
      <c r="Q347" s="68">
        <f t="shared" si="102"/>
        <v>1</v>
      </c>
      <c r="R347" s="68">
        <f t="shared" si="103"/>
        <v>1</v>
      </c>
      <c r="S347" s="68">
        <f t="shared" si="104"/>
        <v>4</v>
      </c>
      <c r="T347" s="65"/>
      <c r="AH347" s="49" t="str">
        <f>IF(AG347="นิติศาสตร์","K5-LAW","K5-POLICY")</f>
        <v>K5-POLICY</v>
      </c>
      <c r="AI347" s="72" t="str">
        <f>_xlfn.IFS(B347="","",AND(AH347="K5-LAW",AG347="นิติศาสตร์",K347="S2",T347="",Z347=""),P347,AND(AH347="K5-LAW",AG347="นิติศาสตร์",K347="S1",T347="",Z347=""),EDATE(P347,12),AND(AH347="K5-LAW",AG347="นิติศาสตร์",OR(K347="M2",K347="K4"),T347="",Z347=""),EDATE(P347,12*2),AND(AH347="K5-LAW",AG347="นิติศาสตร์",OR(Z347="M2",Z347="K4"),AC347&gt;=2,OR(AB347&lt;V347,AB347&lt;P347)),EDATE(AB347,12*2),AND(AH347="K5-LAW",AG347="นิติศาสตร์",Z347="S1",AC347&gt;=1,OR(AB347&lt;V347,AB347&lt;P347)),EDATE(AB347,12),AND(AH347="K5-LAW",AG347="นิติศาสตร์",OR(T347="M2",T347="K4"),W347&gt;=2,V347&lt;P347),EDATE(V347,12*2),AND(AH347="K5-LAW",AG347="นิติศาสตร์",T347="S1",W347&gt;=1,V347&lt;P347),EDATE(V347,12),AND(AH347="K5-LAW",AG347="นิติศาสตร์",OR(T347="S2",T347="K5")),V347,AND(AH347="K5-LAW",AG347="นิติศาสตร์",OR(K347="M2",K347="K4"),Q347&gt;=2),EDATE(P347,12*2),AND(AH347="K5-LAW",AG347="นิติศาสตร์",K347="S1",Q347&gt;=1),EDATE(P347,12),AND(AH347="K5-LAW",AG347="นิติศาสตร์",OR(K347="S2",K347="K5")),P347,AND(AH347="K5-POLICY",AG347&lt;&gt;"นิติศาสตร์",K347="S2",T347="",Z347=""),P347,AND(AH347="K5-POLICY",AG347&lt;&gt;"นิติศาสตร์",K347="S1",T347="",Z347=""),EDATE(P347,12),AND(AH347="K5-POLICY",AG347&lt;&gt;"นิติศาสตร์",OR(K347="M2",K347="K4"),T347="",Z347=""),EDATE(P347,12*2),AND(AH347="K5-POLICY",AG347&lt;&gt;"นิติศาสตร์",OR(Z347="M2",Z347="K4"),AC347&gt;=2,OR(AB347&lt;V347,AB347&lt;P347)),EDATE(AB347,12*2),AND(AH347="K5-POLICY",AG347&lt;&gt;"นิติศาสตร์",Z347="S1",AC347&gt;=1,OR(AB347&lt;V347,AB347&lt;P347)),EDATE(AB347,12),AND(AH347="K5-POLICY",AG347&lt;&gt;"นิติศาสตร์",OR(T347="M2",T347="K4"),W347&gt;=2,V347&lt;P347),EDATE(V347,12*2),AND(AH347="K5-POLICY",AG347&lt;&gt;"นิติศาสตร์",T347="S1",W347&gt;=1,V347&lt;P347),EDATE(V347,12),AND(AH347="K5-POLICY",AG347&lt;&gt;"นิติศาสตร์",OR(T347="S2",T347="K5")),V347,AND(AH347="K5-POLICY",AG347&lt;&gt;"นิติศาสตร์",OR(K347="M2",K347="K4"),Q347&gt;=2),EDATE(P347,12*2),AND(AH347="K5-POLICY",AG347&lt;&gt;"นิติศาสตร์",K347="S1",Q347&gt;=1),EDATE(P347,12),AND(AH347="K5-POLICY",AG347&lt;&gt;"นิติศาสตร์",OR(K347="S2",K347="K5")),P347,TRUE,"Check Data")</f>
        <v/>
      </c>
      <c r="AJ347" s="75" t="str">
        <f t="shared" si="105"/>
        <v>Check Data</v>
      </c>
      <c r="AK347" s="76" t="str">
        <f t="shared" si="106"/>
        <v>Check Data</v>
      </c>
      <c r="AL347" s="50" t="str">
        <f t="shared" si="107"/>
        <v>Check Data</v>
      </c>
      <c r="AM347" s="49" t="str">
        <f>IF(B347="","",IF(K347="S1","S1",INDEX(#REF!,#REF!)))</f>
        <v/>
      </c>
      <c r="AN347" s="49" t="str">
        <f>K347</f>
        <v>K4</v>
      </c>
      <c r="AO347" s="50" t="b">
        <f>K347=AM347</f>
        <v>0</v>
      </c>
    </row>
    <row r="348" spans="1:41" ht="21.75">
      <c r="A348" s="49">
        <v>346</v>
      </c>
      <c r="B348" s="50"/>
      <c r="C348" s="52"/>
      <c r="D348" s="84"/>
      <c r="E348" s="85"/>
      <c r="F348" s="85"/>
      <c r="G348" s="50">
        <f t="shared" si="98"/>
        <v>0</v>
      </c>
      <c r="H348" s="50">
        <f t="shared" si="99"/>
        <v>0</v>
      </c>
      <c r="I348" s="50">
        <f t="shared" si="100"/>
        <v>0</v>
      </c>
      <c r="J348" s="84"/>
      <c r="K348" s="49" t="s">
        <v>137</v>
      </c>
      <c r="L348" s="87"/>
      <c r="M348" s="85"/>
      <c r="N348" s="85"/>
      <c r="O348" s="65" t="s">
        <v>455</v>
      </c>
      <c r="P348" s="49" t="str">
        <f t="shared" si="101"/>
        <v>04/07/2024</v>
      </c>
      <c r="Q348" s="68">
        <f t="shared" si="102"/>
        <v>0</v>
      </c>
      <c r="R348" s="68">
        <f t="shared" si="103"/>
        <v>11</v>
      </c>
      <c r="S348" s="68">
        <f t="shared" si="104"/>
        <v>16</v>
      </c>
      <c r="T348" s="65"/>
      <c r="U348" s="89"/>
      <c r="V348" s="85"/>
      <c r="W348" s="88"/>
      <c r="X348" s="88"/>
      <c r="Y348" s="88"/>
      <c r="Z348" s="85"/>
      <c r="AA348" s="89"/>
      <c r="AB348" s="84"/>
      <c r="AC348" s="88"/>
      <c r="AD348" s="88"/>
      <c r="AE348" s="88"/>
      <c r="AF348" s="84"/>
      <c r="AG348" s="84"/>
      <c r="AH348" s="49" t="str">
        <f>IF(AG348="นิติศาสตร์","K5-LAW","K5-POLICY")</f>
        <v>K5-POLICY</v>
      </c>
      <c r="AI348" s="72" t="str">
        <f>_xlfn.IFS(B348="","",AND(AH348="K5-LAW",AG348="นิติศาสตร์",K348="S2",T348="",Z348=""),P348,AND(AH348="K5-LAW",AG348="นิติศาสตร์",K348="S1",T348="",Z348=""),EDATE(P348,12),AND(AH348="K5-LAW",AG348="นิติศาสตร์",OR(K348="M2",K348="K4"),T348="",Z348=""),EDATE(P348,12*2),AND(AH348="K5-LAW",AG348="นิติศาสตร์",OR(Z348="M2",Z348="K4"),AC348&gt;=2,OR(AB348&lt;V348,AB348&lt;P348)),EDATE(AB348,12*2),AND(AH348="K5-LAW",AG348="นิติศาสตร์",Z348="S1",AC348&gt;=1,OR(AB348&lt;V348,AB348&lt;P348)),EDATE(AB348,12),AND(AH348="K5-LAW",AG348="นิติศาสตร์",OR(T348="M2",T348="K4"),W348&gt;=2,V348&lt;P348),EDATE(V348,12*2),AND(AH348="K5-LAW",AG348="นิติศาสตร์",T348="S1",W348&gt;=1,V348&lt;P348),EDATE(V348,12),AND(AH348="K5-LAW",AG348="นิติศาสตร์",OR(T348="S2",T348="K5")),V348,AND(AH348="K5-LAW",AG348="นิติศาสตร์",OR(K348="M2",K348="K4"),Q348&gt;=2),EDATE(P348,12*2),AND(AH348="K5-LAW",AG348="นิติศาสตร์",K348="S1",Q348&gt;=1),EDATE(P348,12),AND(AH348="K5-LAW",AG348="นิติศาสตร์",OR(K348="S2",K348="K5")),P348,AND(AH348="K5-POLICY",AG348&lt;&gt;"นิติศาสตร์",K348="S2",T348="",Z348=""),P348,AND(AH348="K5-POLICY",AG348&lt;&gt;"นิติศาสตร์",K348="S1",T348="",Z348=""),EDATE(P348,12),AND(AH348="K5-POLICY",AG348&lt;&gt;"นิติศาสตร์",OR(K348="M2",K348="K4"),T348="",Z348=""),EDATE(P348,12*2),AND(AH348="K5-POLICY",AG348&lt;&gt;"นิติศาสตร์",OR(Z348="M2",Z348="K4"),AC348&gt;=2,OR(AB348&lt;V348,AB348&lt;P348)),EDATE(AB348,12*2),AND(AH348="K5-POLICY",AG348&lt;&gt;"นิติศาสตร์",Z348="S1",AC348&gt;=1,OR(AB348&lt;V348,AB348&lt;P348)),EDATE(AB348,12),AND(AH348="K5-POLICY",AG348&lt;&gt;"นิติศาสตร์",OR(T348="M2",T348="K4"),W348&gt;=2,V348&lt;P348),EDATE(V348,12*2),AND(AH348="K5-POLICY",AG348&lt;&gt;"นิติศาสตร์",T348="S1",W348&gt;=1,V348&lt;P348),EDATE(V348,12),AND(AH348="K5-POLICY",AG348&lt;&gt;"นิติศาสตร์",OR(T348="S2",T348="K5")),V348,AND(AH348="K5-POLICY",AG348&lt;&gt;"นิติศาสตร์",OR(K348="M2",K348="K4"),Q348&gt;=2),EDATE(P348,12*2),AND(AH348="K5-POLICY",AG348&lt;&gt;"นิติศาสตร์",K348="S1",Q348&gt;=1),EDATE(P348,12),AND(AH348="K5-POLICY",AG348&lt;&gt;"นิติศาสตร์",OR(K348="S2",K348="K5")),P348,TRUE,"Check Data")</f>
        <v/>
      </c>
      <c r="AJ348" s="75" t="str">
        <f t="shared" si="105"/>
        <v>Check Data</v>
      </c>
      <c r="AK348" s="76" t="str">
        <f t="shared" si="106"/>
        <v>Check Data</v>
      </c>
      <c r="AL348" s="50" t="str">
        <f t="shared" si="107"/>
        <v>Check Data</v>
      </c>
      <c r="AM348" s="49" t="str">
        <f>IF(B348="","",IF(K348="S1","S1",INDEX(#REF!,#REF!)))</f>
        <v/>
      </c>
      <c r="AN348" s="49" t="str">
        <f>K348</f>
        <v>K4</v>
      </c>
      <c r="AO348" s="50" t="b">
        <f>K348=AM348</f>
        <v>0</v>
      </c>
    </row>
    <row r="349" spans="1:41" ht="21.75">
      <c r="A349" s="49">
        <v>347</v>
      </c>
      <c r="B349" s="50"/>
      <c r="C349" s="52"/>
      <c r="D349" s="84"/>
      <c r="E349" s="85"/>
      <c r="F349" s="85"/>
      <c r="G349" s="50">
        <f t="shared" si="98"/>
        <v>0</v>
      </c>
      <c r="H349" s="50">
        <f t="shared" si="99"/>
        <v>0</v>
      </c>
      <c r="I349" s="50">
        <f t="shared" si="100"/>
        <v>0</v>
      </c>
      <c r="J349" s="84"/>
      <c r="K349" s="49" t="s">
        <v>137</v>
      </c>
      <c r="L349" s="87"/>
      <c r="M349" s="85"/>
      <c r="N349" s="85"/>
      <c r="O349" s="65" t="s">
        <v>456</v>
      </c>
      <c r="P349" s="49" t="str">
        <f t="shared" si="101"/>
        <v>11/07/2024</v>
      </c>
      <c r="Q349" s="68">
        <f t="shared" si="102"/>
        <v>0</v>
      </c>
      <c r="R349" s="68">
        <f t="shared" si="103"/>
        <v>11</v>
      </c>
      <c r="S349" s="68">
        <f t="shared" si="104"/>
        <v>9</v>
      </c>
      <c r="T349" s="65"/>
      <c r="U349" s="89"/>
      <c r="V349" s="85"/>
      <c r="W349" s="88"/>
      <c r="X349" s="88"/>
      <c r="Y349" s="88"/>
      <c r="Z349" s="85"/>
      <c r="AA349" s="89"/>
      <c r="AB349" s="84"/>
      <c r="AC349" s="88"/>
      <c r="AD349" s="88"/>
      <c r="AE349" s="88"/>
      <c r="AF349" s="84"/>
      <c r="AG349" s="84"/>
      <c r="AH349" s="49" t="str">
        <f>IF(AG349="นิติศาสตร์","K5-LAW","K5-POLICY")</f>
        <v>K5-POLICY</v>
      </c>
      <c r="AI349" s="72" t="str">
        <f>_xlfn.IFS(B349="","",AND(AH349="K5-LAW",AG349="นิติศาสตร์",K349="S2",T349="",Z349=""),P349,AND(AH349="K5-LAW",AG349="นิติศาสตร์",K349="S1",T349="",Z349=""),EDATE(P349,12),AND(AH349="K5-LAW",AG349="นิติศาสตร์",OR(K349="M2",K349="K4"),T349="",Z349=""),EDATE(P349,12*2),AND(AH349="K5-LAW",AG349="นิติศาสตร์",OR(Z349="M2",Z349="K4"),AC349&gt;=2,OR(AB349&lt;V349,AB349&lt;P349)),EDATE(AB349,12*2),AND(AH349="K5-LAW",AG349="นิติศาสตร์",Z349="S1",AC349&gt;=1,OR(AB349&lt;V349,AB349&lt;P349)),EDATE(AB349,12),AND(AH349="K5-LAW",AG349="นิติศาสตร์",OR(T349="M2",T349="K4"),W349&gt;=2,V349&lt;P349),EDATE(V349,12*2),AND(AH349="K5-LAW",AG349="นิติศาสตร์",T349="S1",W349&gt;=1,V349&lt;P349),EDATE(V349,12),AND(AH349="K5-LAW",AG349="นิติศาสตร์",OR(T349="S2",T349="K5")),V349,AND(AH349="K5-LAW",AG349="นิติศาสตร์",OR(K349="M2",K349="K4"),Q349&gt;=2),EDATE(P349,12*2),AND(AH349="K5-LAW",AG349="นิติศาสตร์",K349="S1",Q349&gt;=1),EDATE(P349,12),AND(AH349="K5-LAW",AG349="นิติศาสตร์",OR(K349="S2",K349="K5")),P349,AND(AH349="K5-POLICY",AG349&lt;&gt;"นิติศาสตร์",K349="S2",T349="",Z349=""),P349,AND(AH349="K5-POLICY",AG349&lt;&gt;"นิติศาสตร์",K349="S1",T349="",Z349=""),EDATE(P349,12),AND(AH349="K5-POLICY",AG349&lt;&gt;"นิติศาสตร์",OR(K349="M2",K349="K4"),T349="",Z349=""),EDATE(P349,12*2),AND(AH349="K5-POLICY",AG349&lt;&gt;"นิติศาสตร์",OR(Z349="M2",Z349="K4"),AC349&gt;=2,OR(AB349&lt;V349,AB349&lt;P349)),EDATE(AB349,12*2),AND(AH349="K5-POLICY",AG349&lt;&gt;"นิติศาสตร์",Z349="S1",AC349&gt;=1,OR(AB349&lt;V349,AB349&lt;P349)),EDATE(AB349,12),AND(AH349="K5-POLICY",AG349&lt;&gt;"นิติศาสตร์",OR(T349="M2",T349="K4"),W349&gt;=2,V349&lt;P349),EDATE(V349,12*2),AND(AH349="K5-POLICY",AG349&lt;&gt;"นิติศาสตร์",T349="S1",W349&gt;=1,V349&lt;P349),EDATE(V349,12),AND(AH349="K5-POLICY",AG349&lt;&gt;"นิติศาสตร์",OR(T349="S2",T349="K5")),V349,AND(AH349="K5-POLICY",AG349&lt;&gt;"นิติศาสตร์",OR(K349="M2",K349="K4"),Q349&gt;=2),EDATE(P349,12*2),AND(AH349="K5-POLICY",AG349&lt;&gt;"นิติศาสตร์",K349="S1",Q349&gt;=1),EDATE(P349,12),AND(AH349="K5-POLICY",AG349&lt;&gt;"นิติศาสตร์",OR(K349="S2",K349="K5")),P349,TRUE,"Check Data")</f>
        <v/>
      </c>
      <c r="AJ349" s="75" t="str">
        <f t="shared" si="105"/>
        <v>Check Data</v>
      </c>
      <c r="AK349" s="76" t="str">
        <f t="shared" si="106"/>
        <v>Check Data</v>
      </c>
      <c r="AL349" s="50" t="str">
        <f t="shared" si="107"/>
        <v>Check Data</v>
      </c>
      <c r="AM349" s="49" t="str">
        <f>IF(B349="","",IF(K349="S1","S1",INDEX(#REF!,#REF!)))</f>
        <v/>
      </c>
      <c r="AN349" s="49" t="str">
        <f>K349</f>
        <v>K4</v>
      </c>
      <c r="AO349" s="50" t="b">
        <f>K349=AM349</f>
        <v>0</v>
      </c>
    </row>
    <row r="350" spans="1:41" ht="21.75">
      <c r="A350" s="49">
        <v>348</v>
      </c>
      <c r="B350" s="50"/>
      <c r="C350" s="52"/>
      <c r="D350" s="84"/>
      <c r="E350" s="85"/>
      <c r="F350" s="85"/>
      <c r="G350" s="50">
        <f t="shared" si="98"/>
        <v>0</v>
      </c>
      <c r="H350" s="50">
        <f t="shared" si="99"/>
        <v>0</v>
      </c>
      <c r="I350" s="50">
        <f t="shared" si="100"/>
        <v>0</v>
      </c>
      <c r="J350" s="84"/>
      <c r="K350" s="49" t="s">
        <v>137</v>
      </c>
      <c r="L350" s="87"/>
      <c r="M350" s="85"/>
      <c r="N350" s="85"/>
      <c r="O350" s="65" t="s">
        <v>448</v>
      </c>
      <c r="P350" s="49" t="str">
        <f t="shared" si="101"/>
        <v>17/07/2024</v>
      </c>
      <c r="Q350" s="68">
        <f t="shared" si="102"/>
        <v>0</v>
      </c>
      <c r="R350" s="68">
        <f t="shared" si="103"/>
        <v>11</v>
      </c>
      <c r="S350" s="68">
        <f t="shared" si="104"/>
        <v>3</v>
      </c>
      <c r="T350" s="65"/>
      <c r="U350" s="89"/>
      <c r="V350" s="85"/>
      <c r="W350" s="88"/>
      <c r="X350" s="88"/>
      <c r="Y350" s="88"/>
      <c r="Z350" s="85"/>
      <c r="AA350" s="89"/>
      <c r="AB350" s="84"/>
      <c r="AC350" s="88"/>
      <c r="AD350" s="88"/>
      <c r="AE350" s="88"/>
      <c r="AF350" s="84"/>
      <c r="AG350" s="84"/>
      <c r="AH350" s="49" t="str">
        <f>IF(AG350="นิติศาสตร์","K5-LAW","K5-POLICY")</f>
        <v>K5-POLICY</v>
      </c>
      <c r="AI350" s="72" t="str">
        <f>_xlfn.IFS(B350="","",AND(AH350="K5-LAW",AG350="นิติศาสตร์",K350="S2",T350="",Z350=""),P350,AND(AH350="K5-LAW",AG350="นิติศาสตร์",K350="S1",T350="",Z350=""),EDATE(P350,12),AND(AH350="K5-LAW",AG350="นิติศาสตร์",OR(K350="M2",K350="K4"),T350="",Z350=""),EDATE(P350,12*2),AND(AH350="K5-LAW",AG350="นิติศาสตร์",OR(Z350="M2",Z350="K4"),AC350&gt;=2,OR(AB350&lt;V350,AB350&lt;P350)),EDATE(AB350,12*2),AND(AH350="K5-LAW",AG350="นิติศาสตร์",Z350="S1",AC350&gt;=1,OR(AB350&lt;V350,AB350&lt;P350)),EDATE(AB350,12),AND(AH350="K5-LAW",AG350="นิติศาสตร์",OR(T350="M2",T350="K4"),W350&gt;=2,V350&lt;P350),EDATE(V350,12*2),AND(AH350="K5-LAW",AG350="นิติศาสตร์",T350="S1",W350&gt;=1,V350&lt;P350),EDATE(V350,12),AND(AH350="K5-LAW",AG350="นิติศาสตร์",OR(T350="S2",T350="K5")),V350,AND(AH350="K5-LAW",AG350="นิติศาสตร์",OR(K350="M2",K350="K4"),Q350&gt;=2),EDATE(P350,12*2),AND(AH350="K5-LAW",AG350="นิติศาสตร์",K350="S1",Q350&gt;=1),EDATE(P350,12),AND(AH350="K5-LAW",AG350="นิติศาสตร์",OR(K350="S2",K350="K5")),P350,AND(AH350="K5-POLICY",AG350&lt;&gt;"นิติศาสตร์",K350="S2",T350="",Z350=""),P350,AND(AH350="K5-POLICY",AG350&lt;&gt;"นิติศาสตร์",K350="S1",T350="",Z350=""),EDATE(P350,12),AND(AH350="K5-POLICY",AG350&lt;&gt;"นิติศาสตร์",OR(K350="M2",K350="K4"),T350="",Z350=""),EDATE(P350,12*2),AND(AH350="K5-POLICY",AG350&lt;&gt;"นิติศาสตร์",OR(Z350="M2",Z350="K4"),AC350&gt;=2,OR(AB350&lt;V350,AB350&lt;P350)),EDATE(AB350,12*2),AND(AH350="K5-POLICY",AG350&lt;&gt;"นิติศาสตร์",Z350="S1",AC350&gt;=1,OR(AB350&lt;V350,AB350&lt;P350)),EDATE(AB350,12),AND(AH350="K5-POLICY",AG350&lt;&gt;"นิติศาสตร์",OR(T350="M2",T350="K4"),W350&gt;=2,V350&lt;P350),EDATE(V350,12*2),AND(AH350="K5-POLICY",AG350&lt;&gt;"นิติศาสตร์",T350="S1",W350&gt;=1,V350&lt;P350),EDATE(V350,12),AND(AH350="K5-POLICY",AG350&lt;&gt;"นิติศาสตร์",OR(T350="S2",T350="K5")),V350,AND(AH350="K5-POLICY",AG350&lt;&gt;"นิติศาสตร์",OR(K350="M2",K350="K4"),Q350&gt;=2),EDATE(P350,12*2),AND(AH350="K5-POLICY",AG350&lt;&gt;"นิติศาสตร์",K350="S1",Q350&gt;=1),EDATE(P350,12),AND(AH350="K5-POLICY",AG350&lt;&gt;"นิติศาสตร์",OR(K350="S2",K350="K5")),P350,TRUE,"Check Data")</f>
        <v/>
      </c>
      <c r="AJ350" s="75" t="str">
        <f t="shared" si="105"/>
        <v>Check Data</v>
      </c>
      <c r="AK350" s="76" t="str">
        <f t="shared" si="106"/>
        <v>Check Data</v>
      </c>
      <c r="AL350" s="50" t="str">
        <f t="shared" si="107"/>
        <v>Check Data</v>
      </c>
      <c r="AM350" s="49" t="str">
        <f>IF(B350="","",IF(K350="S1","S1",INDEX(#REF!,#REF!)))</f>
        <v/>
      </c>
      <c r="AN350" s="49" t="str">
        <f>K350</f>
        <v>K4</v>
      </c>
      <c r="AO350" s="50" t="b">
        <f>K350=AM350</f>
        <v>0</v>
      </c>
    </row>
    <row r="351" spans="1:41" ht="21.75">
      <c r="A351" s="49">
        <v>349</v>
      </c>
      <c r="B351" s="50"/>
      <c r="C351" s="52"/>
      <c r="G351" s="50">
        <f t="shared" si="98"/>
        <v>0</v>
      </c>
      <c r="H351" s="50">
        <f t="shared" si="99"/>
        <v>0</v>
      </c>
      <c r="I351" s="50">
        <f t="shared" si="100"/>
        <v>0</v>
      </c>
      <c r="K351" s="49" t="s">
        <v>137</v>
      </c>
      <c r="O351" s="65" t="s">
        <v>448</v>
      </c>
      <c r="P351" s="49" t="str">
        <f t="shared" si="101"/>
        <v>17/07/2024</v>
      </c>
      <c r="Q351" s="68">
        <f t="shared" si="102"/>
        <v>0</v>
      </c>
      <c r="R351" s="68">
        <f t="shared" si="103"/>
        <v>11</v>
      </c>
      <c r="S351" s="68">
        <f t="shared" si="104"/>
        <v>3</v>
      </c>
      <c r="T351" s="65"/>
      <c r="AH351" s="49" t="str">
        <f>IF(AG351="นิติศาสตร์","K5-LAW","K5-POLICY")</f>
        <v>K5-POLICY</v>
      </c>
      <c r="AI351" s="72" t="str">
        <f>_xlfn.IFS(B351="","",AND(AH351="K5-LAW",AG351="นิติศาสตร์",K351="S2",T351="",Z351=""),P351,AND(AH351="K5-LAW",AG351="นิติศาสตร์",K351="S1",T351="",Z351=""),EDATE(P351,12),AND(AH351="K5-LAW",AG351="นิติศาสตร์",OR(K351="M2",K351="K4"),T351="",Z351=""),EDATE(P351,12*2),AND(AH351="K5-LAW",AG351="นิติศาสตร์",OR(Z351="M2",Z351="K4"),AC351&gt;=2,OR(AB351&lt;V351,AB351&lt;P351)),EDATE(AB351,12*2),AND(AH351="K5-LAW",AG351="นิติศาสตร์",Z351="S1",AC351&gt;=1,OR(AB351&lt;V351,AB351&lt;P351)),EDATE(AB351,12),AND(AH351="K5-LAW",AG351="นิติศาสตร์",OR(T351="M2",T351="K4"),W351&gt;=2,V351&lt;P351),EDATE(V351,12*2),AND(AH351="K5-LAW",AG351="นิติศาสตร์",T351="S1",W351&gt;=1,V351&lt;P351),EDATE(V351,12),AND(AH351="K5-LAW",AG351="นิติศาสตร์",OR(T351="S2",T351="K5")),V351,AND(AH351="K5-LAW",AG351="นิติศาสตร์",OR(K351="M2",K351="K4"),Q351&gt;=2),EDATE(P351,12*2),AND(AH351="K5-LAW",AG351="นิติศาสตร์",K351="S1",Q351&gt;=1),EDATE(P351,12),AND(AH351="K5-LAW",AG351="นิติศาสตร์",OR(K351="S2",K351="K5")),P351,AND(AH351="K5-POLICY",AG351&lt;&gt;"นิติศาสตร์",K351="S2",T351="",Z351=""),P351,AND(AH351="K5-POLICY",AG351&lt;&gt;"นิติศาสตร์",K351="S1",T351="",Z351=""),EDATE(P351,12),AND(AH351="K5-POLICY",AG351&lt;&gt;"นิติศาสตร์",OR(K351="M2",K351="K4"),T351="",Z351=""),EDATE(P351,12*2),AND(AH351="K5-POLICY",AG351&lt;&gt;"นิติศาสตร์",OR(Z351="M2",Z351="K4"),AC351&gt;=2,OR(AB351&lt;V351,AB351&lt;P351)),EDATE(AB351,12*2),AND(AH351="K5-POLICY",AG351&lt;&gt;"นิติศาสตร์",Z351="S1",AC351&gt;=1,OR(AB351&lt;V351,AB351&lt;P351)),EDATE(AB351,12),AND(AH351="K5-POLICY",AG351&lt;&gt;"นิติศาสตร์",OR(T351="M2",T351="K4"),W351&gt;=2,V351&lt;P351),EDATE(V351,12*2),AND(AH351="K5-POLICY",AG351&lt;&gt;"นิติศาสตร์",T351="S1",W351&gt;=1,V351&lt;P351),EDATE(V351,12),AND(AH351="K5-POLICY",AG351&lt;&gt;"นิติศาสตร์",OR(T351="S2",T351="K5")),V351,AND(AH351="K5-POLICY",AG351&lt;&gt;"นิติศาสตร์",OR(K351="M2",K351="K4"),Q351&gt;=2),EDATE(P351,12*2),AND(AH351="K5-POLICY",AG351&lt;&gt;"นิติศาสตร์",K351="S1",Q351&gt;=1),EDATE(P351,12),AND(AH351="K5-POLICY",AG351&lt;&gt;"นิติศาสตร์",OR(K351="S2",K351="K5")),P351,TRUE,"Check Data")</f>
        <v/>
      </c>
      <c r="AJ351" s="75" t="str">
        <f t="shared" si="105"/>
        <v>Check Data</v>
      </c>
      <c r="AK351" s="76" t="str">
        <f t="shared" si="106"/>
        <v>Check Data</v>
      </c>
      <c r="AL351" s="50" t="str">
        <f t="shared" si="107"/>
        <v>Check Data</v>
      </c>
      <c r="AM351" s="49" t="str">
        <f>IF(B351="","",IF(K351="S1","S1",INDEX(#REF!,#REF!)))</f>
        <v/>
      </c>
      <c r="AN351" s="49" t="str">
        <f>K351</f>
        <v>K4</v>
      </c>
      <c r="AO351" s="50" t="b">
        <f>K351=AM351</f>
        <v>0</v>
      </c>
    </row>
    <row r="352" spans="1:41" ht="21.75">
      <c r="A352" s="49">
        <v>350</v>
      </c>
      <c r="B352" s="50"/>
      <c r="C352" s="52"/>
      <c r="D352" s="84"/>
      <c r="E352" s="85"/>
      <c r="F352" s="85"/>
      <c r="G352" s="50">
        <f t="shared" si="98"/>
        <v>0</v>
      </c>
      <c r="H352" s="50">
        <f t="shared" si="99"/>
        <v>0</v>
      </c>
      <c r="I352" s="50">
        <f t="shared" si="100"/>
        <v>0</v>
      </c>
      <c r="J352" s="84"/>
      <c r="K352" s="49" t="s">
        <v>137</v>
      </c>
      <c r="L352" s="87"/>
      <c r="M352" s="85"/>
      <c r="N352" s="85"/>
      <c r="O352" s="65" t="s">
        <v>449</v>
      </c>
      <c r="P352" s="49" t="str">
        <f t="shared" si="101"/>
        <v>19/07/2024</v>
      </c>
      <c r="Q352" s="68">
        <f t="shared" si="102"/>
        <v>0</v>
      </c>
      <c r="R352" s="68">
        <f t="shared" si="103"/>
        <v>11</v>
      </c>
      <c r="S352" s="68">
        <f t="shared" si="104"/>
        <v>1</v>
      </c>
      <c r="T352" s="65"/>
      <c r="U352" s="89"/>
      <c r="V352" s="85"/>
      <c r="W352" s="88"/>
      <c r="X352" s="88"/>
      <c r="Y352" s="88"/>
      <c r="Z352" s="85"/>
      <c r="AA352" s="89"/>
      <c r="AB352" s="84"/>
      <c r="AC352" s="88"/>
      <c r="AD352" s="88"/>
      <c r="AE352" s="88"/>
      <c r="AF352" s="84"/>
      <c r="AG352" s="84"/>
      <c r="AH352" s="49" t="str">
        <f>IF(AG352="นิติศาสตร์","K5-LAW","K5-POLICY")</f>
        <v>K5-POLICY</v>
      </c>
      <c r="AI352" s="72" t="str">
        <f>_xlfn.IFS(B352="","",AND(AH352="K5-LAW",AG352="นิติศาสตร์",K352="S2",T352="",Z352=""),P352,AND(AH352="K5-LAW",AG352="นิติศาสตร์",K352="S1",T352="",Z352=""),EDATE(P352,12),AND(AH352="K5-LAW",AG352="นิติศาสตร์",OR(K352="M2",K352="K4"),T352="",Z352=""),EDATE(P352,12*2),AND(AH352="K5-LAW",AG352="นิติศาสตร์",OR(Z352="M2",Z352="K4"),AC352&gt;=2,OR(AB352&lt;V352,AB352&lt;P352)),EDATE(AB352,12*2),AND(AH352="K5-LAW",AG352="นิติศาสตร์",Z352="S1",AC352&gt;=1,OR(AB352&lt;V352,AB352&lt;P352)),EDATE(AB352,12),AND(AH352="K5-LAW",AG352="นิติศาสตร์",OR(T352="M2",T352="K4"),W352&gt;=2,V352&lt;P352),EDATE(V352,12*2),AND(AH352="K5-LAW",AG352="นิติศาสตร์",T352="S1",W352&gt;=1,V352&lt;P352),EDATE(V352,12),AND(AH352="K5-LAW",AG352="นิติศาสตร์",OR(T352="S2",T352="K5")),V352,AND(AH352="K5-LAW",AG352="นิติศาสตร์",OR(K352="M2",K352="K4"),Q352&gt;=2),EDATE(P352,12*2),AND(AH352="K5-LAW",AG352="นิติศาสตร์",K352="S1",Q352&gt;=1),EDATE(P352,12),AND(AH352="K5-LAW",AG352="นิติศาสตร์",OR(K352="S2",K352="K5")),P352,AND(AH352="K5-POLICY",AG352&lt;&gt;"นิติศาสตร์",K352="S2",T352="",Z352=""),P352,AND(AH352="K5-POLICY",AG352&lt;&gt;"นิติศาสตร์",K352="S1",T352="",Z352=""),EDATE(P352,12),AND(AH352="K5-POLICY",AG352&lt;&gt;"นิติศาสตร์",OR(K352="M2",K352="K4"),T352="",Z352=""),EDATE(P352,12*2),AND(AH352="K5-POLICY",AG352&lt;&gt;"นิติศาสตร์",OR(Z352="M2",Z352="K4"),AC352&gt;=2,OR(AB352&lt;V352,AB352&lt;P352)),EDATE(AB352,12*2),AND(AH352="K5-POLICY",AG352&lt;&gt;"นิติศาสตร์",Z352="S1",AC352&gt;=1,OR(AB352&lt;V352,AB352&lt;P352)),EDATE(AB352,12),AND(AH352="K5-POLICY",AG352&lt;&gt;"นิติศาสตร์",OR(T352="M2",T352="K4"),W352&gt;=2,V352&lt;P352),EDATE(V352,12*2),AND(AH352="K5-POLICY",AG352&lt;&gt;"นิติศาสตร์",T352="S1",W352&gt;=1,V352&lt;P352),EDATE(V352,12),AND(AH352="K5-POLICY",AG352&lt;&gt;"นิติศาสตร์",OR(T352="S2",T352="K5")),V352,AND(AH352="K5-POLICY",AG352&lt;&gt;"นิติศาสตร์",OR(K352="M2",K352="K4"),Q352&gt;=2),EDATE(P352,12*2),AND(AH352="K5-POLICY",AG352&lt;&gt;"นิติศาสตร์",K352="S1",Q352&gt;=1),EDATE(P352,12),AND(AH352="K5-POLICY",AG352&lt;&gt;"นิติศาสตร์",OR(K352="S2",K352="K5")),P352,TRUE,"Check Data")</f>
        <v/>
      </c>
      <c r="AJ352" s="75" t="str">
        <f t="shared" si="105"/>
        <v>Check Data</v>
      </c>
      <c r="AK352" s="76" t="str">
        <f t="shared" si="106"/>
        <v>Check Data</v>
      </c>
      <c r="AL352" s="50" t="str">
        <f t="shared" si="107"/>
        <v>Check Data</v>
      </c>
      <c r="AM352" s="49" t="str">
        <f>IF(B352="","",IF(K352="S1","S1",INDEX(#REF!,#REF!)))</f>
        <v/>
      </c>
      <c r="AN352" s="49" t="str">
        <f>K352</f>
        <v>K4</v>
      </c>
      <c r="AO352" s="50" t="b">
        <f>K352=AM352</f>
        <v>0</v>
      </c>
    </row>
    <row r="353" spans="1:41" ht="21.75">
      <c r="A353" s="49">
        <v>351</v>
      </c>
      <c r="B353" s="50"/>
      <c r="C353" s="52"/>
      <c r="G353" s="50">
        <f t="shared" si="98"/>
        <v>0</v>
      </c>
      <c r="H353" s="50">
        <f t="shared" si="99"/>
        <v>0</v>
      </c>
      <c r="I353" s="50">
        <f t="shared" si="100"/>
        <v>0</v>
      </c>
      <c r="K353" s="49" t="s">
        <v>137</v>
      </c>
      <c r="O353" s="65" t="s">
        <v>465</v>
      </c>
      <c r="P353" s="49" t="str">
        <f t="shared" si="101"/>
        <v>24/07/2024</v>
      </c>
      <c r="Q353" s="68">
        <f t="shared" si="102"/>
        <v>0</v>
      </c>
      <c r="R353" s="68">
        <f t="shared" si="103"/>
        <v>10</v>
      </c>
      <c r="S353" s="68">
        <f t="shared" si="104"/>
        <v>27</v>
      </c>
      <c r="T353" s="65"/>
      <c r="AH353" s="49" t="str">
        <f>IF(AG353="นิติศาสตร์","K5-LAW","K5-POLICY")</f>
        <v>K5-POLICY</v>
      </c>
      <c r="AI353" s="72" t="str">
        <f>_xlfn.IFS(B353="","",AND(AH353="K5-LAW",AG353="นิติศาสตร์",K353="S2",T353="",Z353=""),P353,AND(AH353="K5-LAW",AG353="นิติศาสตร์",K353="S1",T353="",Z353=""),EDATE(P353,12),AND(AH353="K5-LAW",AG353="นิติศาสตร์",OR(K353="M2",K353="K4"),T353="",Z353=""),EDATE(P353,12*2),AND(AH353="K5-LAW",AG353="นิติศาสตร์",OR(Z353="M2",Z353="K4"),AC353&gt;=2,OR(AB353&lt;V353,AB353&lt;P353)),EDATE(AB353,12*2),AND(AH353="K5-LAW",AG353="นิติศาสตร์",Z353="S1",AC353&gt;=1,OR(AB353&lt;V353,AB353&lt;P353)),EDATE(AB353,12),AND(AH353="K5-LAW",AG353="นิติศาสตร์",OR(T353="M2",T353="K4"),W353&gt;=2,V353&lt;P353),EDATE(V353,12*2),AND(AH353="K5-LAW",AG353="นิติศาสตร์",T353="S1",W353&gt;=1,V353&lt;P353),EDATE(V353,12),AND(AH353="K5-LAW",AG353="นิติศาสตร์",OR(T353="S2",T353="K5")),V353,AND(AH353="K5-LAW",AG353="นิติศาสตร์",OR(K353="M2",K353="K4"),Q353&gt;=2),EDATE(P353,12*2),AND(AH353="K5-LAW",AG353="นิติศาสตร์",K353="S1",Q353&gt;=1),EDATE(P353,12),AND(AH353="K5-LAW",AG353="นิติศาสตร์",OR(K353="S2",K353="K5")),P353,AND(AH353="K5-POLICY",AG353&lt;&gt;"นิติศาสตร์",K353="S2",T353="",Z353=""),P353,AND(AH353="K5-POLICY",AG353&lt;&gt;"นิติศาสตร์",K353="S1",T353="",Z353=""),EDATE(P353,12),AND(AH353="K5-POLICY",AG353&lt;&gt;"นิติศาสตร์",OR(K353="M2",K353="K4"),T353="",Z353=""),EDATE(P353,12*2),AND(AH353="K5-POLICY",AG353&lt;&gt;"นิติศาสตร์",OR(Z353="M2",Z353="K4"),AC353&gt;=2,OR(AB353&lt;V353,AB353&lt;P353)),EDATE(AB353,12*2),AND(AH353="K5-POLICY",AG353&lt;&gt;"นิติศาสตร์",Z353="S1",AC353&gt;=1,OR(AB353&lt;V353,AB353&lt;P353)),EDATE(AB353,12),AND(AH353="K5-POLICY",AG353&lt;&gt;"นิติศาสตร์",OR(T353="M2",T353="K4"),W353&gt;=2,V353&lt;P353),EDATE(V353,12*2),AND(AH353="K5-POLICY",AG353&lt;&gt;"นิติศาสตร์",T353="S1",W353&gt;=1,V353&lt;P353),EDATE(V353,12),AND(AH353="K5-POLICY",AG353&lt;&gt;"นิติศาสตร์",OR(T353="S2",T353="K5")),V353,AND(AH353="K5-POLICY",AG353&lt;&gt;"นิติศาสตร์",OR(K353="M2",K353="K4"),Q353&gt;=2),EDATE(P353,12*2),AND(AH353="K5-POLICY",AG353&lt;&gt;"นิติศาสตร์",K353="S1",Q353&gt;=1),EDATE(P353,12),AND(AH353="K5-POLICY",AG353&lt;&gt;"นิติศาสตร์",OR(K353="S2",K353="K5")),P353,TRUE,"Check Data")</f>
        <v/>
      </c>
      <c r="AJ353" s="75" t="str">
        <f t="shared" si="105"/>
        <v>Check Data</v>
      </c>
      <c r="AK353" s="76" t="str">
        <f t="shared" si="106"/>
        <v>Check Data</v>
      </c>
      <c r="AL353" s="50" t="str">
        <f t="shared" si="107"/>
        <v>Check Data</v>
      </c>
      <c r="AM353" s="49" t="str">
        <f>IF(B353="","",IF(K353="S1","S1",INDEX(#REF!,#REF!)))</f>
        <v/>
      </c>
      <c r="AN353" s="49" t="str">
        <f>K353</f>
        <v>K4</v>
      </c>
      <c r="AO353" s="50" t="b">
        <f>K353=AM353</f>
        <v>0</v>
      </c>
    </row>
    <row r="354" spans="1:41" ht="21.75">
      <c r="A354" s="49">
        <v>352</v>
      </c>
      <c r="B354" s="50"/>
      <c r="C354" s="52"/>
      <c r="D354" s="84"/>
      <c r="E354" s="85"/>
      <c r="F354" s="85"/>
      <c r="G354" s="50">
        <f t="shared" si="98"/>
        <v>0</v>
      </c>
      <c r="H354" s="50">
        <f t="shared" si="99"/>
        <v>0</v>
      </c>
      <c r="I354" s="50">
        <f t="shared" si="100"/>
        <v>0</v>
      </c>
      <c r="J354" s="84"/>
      <c r="K354" s="49" t="s">
        <v>137</v>
      </c>
      <c r="L354" s="87"/>
      <c r="M354" s="85"/>
      <c r="N354" s="85"/>
      <c r="O354" s="65" t="s">
        <v>457</v>
      </c>
      <c r="P354" s="49" t="str">
        <f t="shared" si="101"/>
        <v>01/08/2024</v>
      </c>
      <c r="Q354" s="68">
        <f t="shared" si="102"/>
        <v>0</v>
      </c>
      <c r="R354" s="68">
        <f t="shared" si="103"/>
        <v>10</v>
      </c>
      <c r="S354" s="68">
        <f t="shared" si="104"/>
        <v>19</v>
      </c>
      <c r="T354" s="65"/>
      <c r="U354" s="89"/>
      <c r="V354" s="85"/>
      <c r="W354" s="88"/>
      <c r="X354" s="88"/>
      <c r="Y354" s="88"/>
      <c r="Z354" s="85"/>
      <c r="AA354" s="89"/>
      <c r="AB354" s="84"/>
      <c r="AC354" s="88"/>
      <c r="AD354" s="88"/>
      <c r="AE354" s="88"/>
      <c r="AF354" s="84"/>
      <c r="AG354" s="84"/>
      <c r="AH354" s="49" t="str">
        <f>IF(AG354="นิติศาสตร์","K5-LAW","K5-POLICY")</f>
        <v>K5-POLICY</v>
      </c>
      <c r="AI354" s="72" t="str">
        <f>_xlfn.IFS(B354="","",AND(AH354="K5-LAW",AG354="นิติศาสตร์",K354="S2",T354="",Z354=""),P354,AND(AH354="K5-LAW",AG354="นิติศาสตร์",K354="S1",T354="",Z354=""),EDATE(P354,12),AND(AH354="K5-LAW",AG354="นิติศาสตร์",OR(K354="M2",K354="K4"),T354="",Z354=""),EDATE(P354,12*2),AND(AH354="K5-LAW",AG354="นิติศาสตร์",OR(Z354="M2",Z354="K4"),AC354&gt;=2,OR(AB354&lt;V354,AB354&lt;P354)),EDATE(AB354,12*2),AND(AH354="K5-LAW",AG354="นิติศาสตร์",Z354="S1",AC354&gt;=1,OR(AB354&lt;V354,AB354&lt;P354)),EDATE(AB354,12),AND(AH354="K5-LAW",AG354="นิติศาสตร์",OR(T354="M2",T354="K4"),W354&gt;=2,V354&lt;P354),EDATE(V354,12*2),AND(AH354="K5-LAW",AG354="นิติศาสตร์",T354="S1",W354&gt;=1,V354&lt;P354),EDATE(V354,12),AND(AH354="K5-LAW",AG354="นิติศาสตร์",OR(T354="S2",T354="K5")),V354,AND(AH354="K5-LAW",AG354="นิติศาสตร์",OR(K354="M2",K354="K4"),Q354&gt;=2),EDATE(P354,12*2),AND(AH354="K5-LAW",AG354="นิติศาสตร์",K354="S1",Q354&gt;=1),EDATE(P354,12),AND(AH354="K5-LAW",AG354="นิติศาสตร์",OR(K354="S2",K354="K5")),P354,AND(AH354="K5-POLICY",AG354&lt;&gt;"นิติศาสตร์",K354="S2",T354="",Z354=""),P354,AND(AH354="K5-POLICY",AG354&lt;&gt;"นิติศาสตร์",K354="S1",T354="",Z354=""),EDATE(P354,12),AND(AH354="K5-POLICY",AG354&lt;&gt;"นิติศาสตร์",OR(K354="M2",K354="K4"),T354="",Z354=""),EDATE(P354,12*2),AND(AH354="K5-POLICY",AG354&lt;&gt;"นิติศาสตร์",OR(Z354="M2",Z354="K4"),AC354&gt;=2,OR(AB354&lt;V354,AB354&lt;P354)),EDATE(AB354,12*2),AND(AH354="K5-POLICY",AG354&lt;&gt;"นิติศาสตร์",Z354="S1",AC354&gt;=1,OR(AB354&lt;V354,AB354&lt;P354)),EDATE(AB354,12),AND(AH354="K5-POLICY",AG354&lt;&gt;"นิติศาสตร์",OR(T354="M2",T354="K4"),W354&gt;=2,V354&lt;P354),EDATE(V354,12*2),AND(AH354="K5-POLICY",AG354&lt;&gt;"นิติศาสตร์",T354="S1",W354&gt;=1,V354&lt;P354),EDATE(V354,12),AND(AH354="K5-POLICY",AG354&lt;&gt;"นิติศาสตร์",OR(T354="S2",T354="K5")),V354,AND(AH354="K5-POLICY",AG354&lt;&gt;"นิติศาสตร์",OR(K354="M2",K354="K4"),Q354&gt;=2),EDATE(P354,12*2),AND(AH354="K5-POLICY",AG354&lt;&gt;"นิติศาสตร์",K354="S1",Q354&gt;=1),EDATE(P354,12),AND(AH354="K5-POLICY",AG354&lt;&gt;"นิติศาสตร์",OR(K354="S2",K354="K5")),P354,TRUE,"Check Data")</f>
        <v/>
      </c>
      <c r="AJ354" s="75" t="str">
        <f t="shared" si="105"/>
        <v>Check Data</v>
      </c>
      <c r="AK354" s="76" t="str">
        <f t="shared" si="106"/>
        <v>Check Data</v>
      </c>
      <c r="AL354" s="50" t="str">
        <f t="shared" si="107"/>
        <v>Check Data</v>
      </c>
      <c r="AM354" s="49" t="str">
        <f>IF(B354="","",IF(K354="S1","S1",INDEX(#REF!,#REF!)))</f>
        <v/>
      </c>
      <c r="AN354" s="49" t="str">
        <f>K354</f>
        <v>K4</v>
      </c>
      <c r="AO354" s="50" t="b">
        <f>K354=AM354</f>
        <v>0</v>
      </c>
    </row>
    <row r="355" spans="1:41" ht="21.75">
      <c r="A355" s="49">
        <v>353</v>
      </c>
      <c r="B355" s="50"/>
      <c r="C355" s="52"/>
      <c r="G355" s="50">
        <f t="shared" si="98"/>
        <v>0</v>
      </c>
      <c r="H355" s="50">
        <f t="shared" si="99"/>
        <v>0</v>
      </c>
      <c r="I355" s="50">
        <f t="shared" si="100"/>
        <v>0</v>
      </c>
      <c r="K355" s="49" t="s">
        <v>137</v>
      </c>
      <c r="O355" s="65" t="s">
        <v>450</v>
      </c>
      <c r="P355" s="49" t="str">
        <f t="shared" si="101"/>
        <v>09/08/2024</v>
      </c>
      <c r="Q355" s="68">
        <f t="shared" si="102"/>
        <v>0</v>
      </c>
      <c r="R355" s="68">
        <f t="shared" si="103"/>
        <v>10</v>
      </c>
      <c r="S355" s="68">
        <f t="shared" si="104"/>
        <v>11</v>
      </c>
      <c r="T355" s="65"/>
      <c r="AH355" s="49" t="str">
        <f>IF(AG355="นิติศาสตร์","K5-LAW","K5-POLICY")</f>
        <v>K5-POLICY</v>
      </c>
      <c r="AI355" s="72" t="str">
        <f>_xlfn.IFS(B355="","",AND(AH355="K5-LAW",AG355="นิติศาสตร์",K355="S2",T355="",Z355=""),P355,AND(AH355="K5-LAW",AG355="นิติศาสตร์",K355="S1",T355="",Z355=""),EDATE(P355,12),AND(AH355="K5-LAW",AG355="นิติศาสตร์",OR(K355="M2",K355="K4"),T355="",Z355=""),EDATE(P355,12*2),AND(AH355="K5-LAW",AG355="นิติศาสตร์",OR(Z355="M2",Z355="K4"),AC355&gt;=2,OR(AB355&lt;V355,AB355&lt;P355)),EDATE(AB355,12*2),AND(AH355="K5-LAW",AG355="นิติศาสตร์",Z355="S1",AC355&gt;=1,OR(AB355&lt;V355,AB355&lt;P355)),EDATE(AB355,12),AND(AH355="K5-LAW",AG355="นิติศาสตร์",OR(T355="M2",T355="K4"),W355&gt;=2,V355&lt;P355),EDATE(V355,12*2),AND(AH355="K5-LAW",AG355="นิติศาสตร์",T355="S1",W355&gt;=1,V355&lt;P355),EDATE(V355,12),AND(AH355="K5-LAW",AG355="นิติศาสตร์",OR(T355="S2",T355="K5")),V355,AND(AH355="K5-LAW",AG355="นิติศาสตร์",OR(K355="M2",K355="K4"),Q355&gt;=2),EDATE(P355,12*2),AND(AH355="K5-LAW",AG355="นิติศาสตร์",K355="S1",Q355&gt;=1),EDATE(P355,12),AND(AH355="K5-LAW",AG355="นิติศาสตร์",OR(K355="S2",K355="K5")),P355,AND(AH355="K5-POLICY",AG355&lt;&gt;"นิติศาสตร์",K355="S2",T355="",Z355=""),P355,AND(AH355="K5-POLICY",AG355&lt;&gt;"นิติศาสตร์",K355="S1",T355="",Z355=""),EDATE(P355,12),AND(AH355="K5-POLICY",AG355&lt;&gt;"นิติศาสตร์",OR(K355="M2",K355="K4"),T355="",Z355=""),EDATE(P355,12*2),AND(AH355="K5-POLICY",AG355&lt;&gt;"นิติศาสตร์",OR(Z355="M2",Z355="K4"),AC355&gt;=2,OR(AB355&lt;V355,AB355&lt;P355)),EDATE(AB355,12*2),AND(AH355="K5-POLICY",AG355&lt;&gt;"นิติศาสตร์",Z355="S1",AC355&gt;=1,OR(AB355&lt;V355,AB355&lt;P355)),EDATE(AB355,12),AND(AH355="K5-POLICY",AG355&lt;&gt;"นิติศาสตร์",OR(T355="M2",T355="K4"),W355&gt;=2,V355&lt;P355),EDATE(V355,12*2),AND(AH355="K5-POLICY",AG355&lt;&gt;"นิติศาสตร์",T355="S1",W355&gt;=1,V355&lt;P355),EDATE(V355,12),AND(AH355="K5-POLICY",AG355&lt;&gt;"นิติศาสตร์",OR(T355="S2",T355="K5")),V355,AND(AH355="K5-POLICY",AG355&lt;&gt;"นิติศาสตร์",OR(K355="M2",K355="K4"),Q355&gt;=2),EDATE(P355,12*2),AND(AH355="K5-POLICY",AG355&lt;&gt;"นิติศาสตร์",K355="S1",Q355&gt;=1),EDATE(P355,12),AND(AH355="K5-POLICY",AG355&lt;&gt;"นิติศาสตร์",OR(K355="S2",K355="K5")),P355,TRUE,"Check Data")</f>
        <v/>
      </c>
      <c r="AJ355" s="75" t="str">
        <f t="shared" si="105"/>
        <v>Check Data</v>
      </c>
      <c r="AK355" s="76" t="str">
        <f t="shared" si="106"/>
        <v>Check Data</v>
      </c>
      <c r="AL355" s="50" t="str">
        <f t="shared" si="107"/>
        <v>Check Data</v>
      </c>
      <c r="AM355" s="49" t="str">
        <f>IF(B355="","",IF(K355="S1","S1",INDEX(#REF!,#REF!)))</f>
        <v/>
      </c>
      <c r="AN355" s="49" t="str">
        <f>K355</f>
        <v>K4</v>
      </c>
      <c r="AO355" s="50" t="b">
        <f>K355=AM355</f>
        <v>0</v>
      </c>
    </row>
    <row r="356" spans="1:41" ht="21.75">
      <c r="A356" s="49">
        <v>354</v>
      </c>
      <c r="B356" s="50"/>
      <c r="C356" s="52"/>
      <c r="D356" s="84"/>
      <c r="E356" s="85"/>
      <c r="F356" s="85"/>
      <c r="G356" s="50">
        <f t="shared" si="98"/>
        <v>0</v>
      </c>
      <c r="H356" s="50">
        <f t="shared" si="99"/>
        <v>0</v>
      </c>
      <c r="I356" s="50">
        <f t="shared" si="100"/>
        <v>0</v>
      </c>
      <c r="J356" s="84"/>
      <c r="K356" s="49" t="s">
        <v>137</v>
      </c>
      <c r="L356" s="87"/>
      <c r="M356" s="85"/>
      <c r="N356" s="85"/>
      <c r="O356" s="65" t="s">
        <v>463</v>
      </c>
      <c r="P356" s="49" t="str">
        <f t="shared" si="101"/>
        <v>14/08/2024</v>
      </c>
      <c r="Q356" s="68">
        <f t="shared" si="102"/>
        <v>0</v>
      </c>
      <c r="R356" s="68">
        <f t="shared" si="103"/>
        <v>10</v>
      </c>
      <c r="S356" s="68">
        <f t="shared" si="104"/>
        <v>6</v>
      </c>
      <c r="T356" s="65"/>
      <c r="U356" s="89"/>
      <c r="V356" s="85"/>
      <c r="W356" s="88"/>
      <c r="X356" s="88"/>
      <c r="Y356" s="88"/>
      <c r="Z356" s="85"/>
      <c r="AA356" s="89"/>
      <c r="AB356" s="84"/>
      <c r="AC356" s="88"/>
      <c r="AD356" s="88"/>
      <c r="AE356" s="88"/>
      <c r="AF356" s="84"/>
      <c r="AG356" s="84"/>
      <c r="AH356" s="49" t="str">
        <f>IF(AG356="นิติศาสตร์","K5-LAW","K5-POLICY")</f>
        <v>K5-POLICY</v>
      </c>
      <c r="AI356" s="72" t="str">
        <f>_xlfn.IFS(B356="","",AND(AH356="K5-LAW",AG356="นิติศาสตร์",K356="S2",T356="",Z356=""),P356,AND(AH356="K5-LAW",AG356="นิติศาสตร์",K356="S1",T356="",Z356=""),EDATE(P356,12),AND(AH356="K5-LAW",AG356="นิติศาสตร์",OR(K356="M2",K356="K4"),T356="",Z356=""),EDATE(P356,12*2),AND(AH356="K5-LAW",AG356="นิติศาสตร์",OR(Z356="M2",Z356="K4"),AC356&gt;=2,OR(AB356&lt;V356,AB356&lt;P356)),EDATE(AB356,12*2),AND(AH356="K5-LAW",AG356="นิติศาสตร์",Z356="S1",AC356&gt;=1,OR(AB356&lt;V356,AB356&lt;P356)),EDATE(AB356,12),AND(AH356="K5-LAW",AG356="นิติศาสตร์",OR(T356="M2",T356="K4"),W356&gt;=2,V356&lt;P356),EDATE(V356,12*2),AND(AH356="K5-LAW",AG356="นิติศาสตร์",T356="S1",W356&gt;=1,V356&lt;P356),EDATE(V356,12),AND(AH356="K5-LAW",AG356="นิติศาสตร์",OR(T356="S2",T356="K5")),V356,AND(AH356="K5-LAW",AG356="นิติศาสตร์",OR(K356="M2",K356="K4"),Q356&gt;=2),EDATE(P356,12*2),AND(AH356="K5-LAW",AG356="นิติศาสตร์",K356="S1",Q356&gt;=1),EDATE(P356,12),AND(AH356="K5-LAW",AG356="นิติศาสตร์",OR(K356="S2",K356="K5")),P356,AND(AH356="K5-POLICY",AG356&lt;&gt;"นิติศาสตร์",K356="S2",T356="",Z356=""),P356,AND(AH356="K5-POLICY",AG356&lt;&gt;"นิติศาสตร์",K356="S1",T356="",Z356=""),EDATE(P356,12),AND(AH356="K5-POLICY",AG356&lt;&gt;"นิติศาสตร์",OR(K356="M2",K356="K4"),T356="",Z356=""),EDATE(P356,12*2),AND(AH356="K5-POLICY",AG356&lt;&gt;"นิติศาสตร์",OR(Z356="M2",Z356="K4"),AC356&gt;=2,OR(AB356&lt;V356,AB356&lt;P356)),EDATE(AB356,12*2),AND(AH356="K5-POLICY",AG356&lt;&gt;"นิติศาสตร์",Z356="S1",AC356&gt;=1,OR(AB356&lt;V356,AB356&lt;P356)),EDATE(AB356,12),AND(AH356="K5-POLICY",AG356&lt;&gt;"นิติศาสตร์",OR(T356="M2",T356="K4"),W356&gt;=2,V356&lt;P356),EDATE(V356,12*2),AND(AH356="K5-POLICY",AG356&lt;&gt;"นิติศาสตร์",T356="S1",W356&gt;=1,V356&lt;P356),EDATE(V356,12),AND(AH356="K5-POLICY",AG356&lt;&gt;"นิติศาสตร์",OR(T356="S2",T356="K5")),V356,AND(AH356="K5-POLICY",AG356&lt;&gt;"นิติศาสตร์",OR(K356="M2",K356="K4"),Q356&gt;=2),EDATE(P356,12*2),AND(AH356="K5-POLICY",AG356&lt;&gt;"นิติศาสตร์",K356="S1",Q356&gt;=1),EDATE(P356,12),AND(AH356="K5-POLICY",AG356&lt;&gt;"นิติศาสตร์",OR(K356="S2",K356="K5")),P356,TRUE,"Check Data")</f>
        <v/>
      </c>
      <c r="AJ356" s="75" t="str">
        <f t="shared" si="105"/>
        <v>Check Data</v>
      </c>
      <c r="AK356" s="76" t="str">
        <f t="shared" si="106"/>
        <v>Check Data</v>
      </c>
      <c r="AL356" s="50" t="str">
        <f t="shared" si="107"/>
        <v>Check Data</v>
      </c>
      <c r="AM356" s="49" t="str">
        <f>IF(B356="","",IF(K356="S1","S1",INDEX(#REF!,#REF!)))</f>
        <v/>
      </c>
      <c r="AN356" s="49" t="str">
        <f>K356</f>
        <v>K4</v>
      </c>
      <c r="AO356" s="50" t="b">
        <f>K356=AM356</f>
        <v>0</v>
      </c>
    </row>
    <row r="357" spans="1:41" ht="21.75">
      <c r="A357" s="49">
        <v>355</v>
      </c>
      <c r="B357" s="50"/>
      <c r="C357" s="52"/>
      <c r="D357" s="84"/>
      <c r="E357" s="85"/>
      <c r="F357" s="85"/>
      <c r="G357" s="50">
        <f t="shared" si="98"/>
        <v>0</v>
      </c>
      <c r="H357" s="50">
        <f t="shared" si="99"/>
        <v>0</v>
      </c>
      <c r="I357" s="50">
        <f t="shared" si="100"/>
        <v>0</v>
      </c>
      <c r="J357" s="84"/>
      <c r="K357" s="49" t="s">
        <v>137</v>
      </c>
      <c r="L357" s="87"/>
      <c r="M357" s="85"/>
      <c r="N357" s="85"/>
      <c r="O357" s="65" t="s">
        <v>451</v>
      </c>
      <c r="P357" s="49" t="str">
        <f t="shared" si="101"/>
        <v>18/10/2024</v>
      </c>
      <c r="Q357" s="68">
        <f t="shared" si="102"/>
        <v>0</v>
      </c>
      <c r="R357" s="68">
        <f t="shared" si="103"/>
        <v>8</v>
      </c>
      <c r="S357" s="68">
        <f t="shared" si="104"/>
        <v>2</v>
      </c>
      <c r="T357" s="65"/>
      <c r="U357" s="89"/>
      <c r="V357" s="85"/>
      <c r="W357" s="88"/>
      <c r="X357" s="88"/>
      <c r="Y357" s="88"/>
      <c r="Z357" s="85"/>
      <c r="AA357" s="89"/>
      <c r="AB357" s="84"/>
      <c r="AC357" s="88"/>
      <c r="AD357" s="88"/>
      <c r="AE357" s="88"/>
      <c r="AF357" s="84"/>
      <c r="AG357" s="84"/>
      <c r="AH357" s="49" t="str">
        <f>IF(AG357="นิติศาสตร์","K5-LAW","K5-POLICY")</f>
        <v>K5-POLICY</v>
      </c>
      <c r="AI357" s="72" t="str">
        <f>_xlfn.IFS(B357="","",AND(AH357="K5-LAW",AG357="นิติศาสตร์",K357="S2",T357="",Z357=""),P357,AND(AH357="K5-LAW",AG357="นิติศาสตร์",K357="S1",T357="",Z357=""),EDATE(P357,12),AND(AH357="K5-LAW",AG357="นิติศาสตร์",OR(K357="M2",K357="K4"),T357="",Z357=""),EDATE(P357,12*2),AND(AH357="K5-LAW",AG357="นิติศาสตร์",OR(Z357="M2",Z357="K4"),AC357&gt;=2,OR(AB357&lt;V357,AB357&lt;P357)),EDATE(AB357,12*2),AND(AH357="K5-LAW",AG357="นิติศาสตร์",Z357="S1",AC357&gt;=1,OR(AB357&lt;V357,AB357&lt;P357)),EDATE(AB357,12),AND(AH357="K5-LAW",AG357="นิติศาสตร์",OR(T357="M2",T357="K4"),W357&gt;=2,V357&lt;P357),EDATE(V357,12*2),AND(AH357="K5-LAW",AG357="นิติศาสตร์",T357="S1",W357&gt;=1,V357&lt;P357),EDATE(V357,12),AND(AH357="K5-LAW",AG357="นิติศาสตร์",OR(T357="S2",T357="K5")),V357,AND(AH357="K5-LAW",AG357="นิติศาสตร์",OR(K357="M2",K357="K4"),Q357&gt;=2),EDATE(P357,12*2),AND(AH357="K5-LAW",AG357="นิติศาสตร์",K357="S1",Q357&gt;=1),EDATE(P357,12),AND(AH357="K5-LAW",AG357="นิติศาสตร์",OR(K357="S2",K357="K5")),P357,AND(AH357="K5-POLICY",AG357&lt;&gt;"นิติศาสตร์",K357="S2",T357="",Z357=""),P357,AND(AH357="K5-POLICY",AG357&lt;&gt;"นิติศาสตร์",K357="S1",T357="",Z357=""),EDATE(P357,12),AND(AH357="K5-POLICY",AG357&lt;&gt;"นิติศาสตร์",OR(K357="M2",K357="K4"),T357="",Z357=""),EDATE(P357,12*2),AND(AH357="K5-POLICY",AG357&lt;&gt;"นิติศาสตร์",OR(Z357="M2",Z357="K4"),AC357&gt;=2,OR(AB357&lt;V357,AB357&lt;P357)),EDATE(AB357,12*2),AND(AH357="K5-POLICY",AG357&lt;&gt;"นิติศาสตร์",Z357="S1",AC357&gt;=1,OR(AB357&lt;V357,AB357&lt;P357)),EDATE(AB357,12),AND(AH357="K5-POLICY",AG357&lt;&gt;"นิติศาสตร์",OR(T357="M2",T357="K4"),W357&gt;=2,V357&lt;P357),EDATE(V357,12*2),AND(AH357="K5-POLICY",AG357&lt;&gt;"นิติศาสตร์",T357="S1",W357&gt;=1,V357&lt;P357),EDATE(V357,12),AND(AH357="K5-POLICY",AG357&lt;&gt;"นิติศาสตร์",OR(T357="S2",T357="K5")),V357,AND(AH357="K5-POLICY",AG357&lt;&gt;"นิติศาสตร์",OR(K357="M2",K357="K4"),Q357&gt;=2),EDATE(P357,12*2),AND(AH357="K5-POLICY",AG357&lt;&gt;"นิติศาสตร์",K357="S1",Q357&gt;=1),EDATE(P357,12),AND(AH357="K5-POLICY",AG357&lt;&gt;"นิติศาสตร์",OR(K357="S2",K357="K5")),P357,TRUE,"Check Data")</f>
        <v/>
      </c>
      <c r="AJ357" s="75" t="str">
        <f t="shared" si="105"/>
        <v>Check Data</v>
      </c>
      <c r="AK357" s="76" t="str">
        <f t="shared" si="106"/>
        <v>Check Data</v>
      </c>
      <c r="AL357" s="50" t="str">
        <f t="shared" si="107"/>
        <v>Check Data</v>
      </c>
      <c r="AM357" s="49" t="str">
        <f>IF(B357="","",IF(K357="S1","S1",INDEX(#REF!,#REF!)))</f>
        <v/>
      </c>
      <c r="AN357" s="49" t="str">
        <f>K357</f>
        <v>K4</v>
      </c>
      <c r="AO357" s="50" t="b">
        <f>K357=AM357</f>
        <v>0</v>
      </c>
    </row>
    <row r="358" spans="1:41" ht="21.75">
      <c r="A358" s="49">
        <v>356</v>
      </c>
      <c r="B358" s="50"/>
      <c r="C358" s="52"/>
      <c r="D358" s="84"/>
      <c r="E358" s="85"/>
      <c r="F358" s="85"/>
      <c r="G358" s="50">
        <f t="shared" si="98"/>
        <v>0</v>
      </c>
      <c r="H358" s="50">
        <f t="shared" si="99"/>
        <v>0</v>
      </c>
      <c r="I358" s="50">
        <f t="shared" si="100"/>
        <v>0</v>
      </c>
      <c r="J358" s="84"/>
      <c r="K358" s="49" t="s">
        <v>137</v>
      </c>
      <c r="L358" s="87"/>
      <c r="M358" s="85"/>
      <c r="N358" s="85"/>
      <c r="O358" s="65" t="s">
        <v>452</v>
      </c>
      <c r="P358" s="49" t="str">
        <f t="shared" si="101"/>
        <v>25/02/2025</v>
      </c>
      <c r="Q358" s="68">
        <f t="shared" si="102"/>
        <v>0</v>
      </c>
      <c r="R358" s="68">
        <f t="shared" si="103"/>
        <v>3</v>
      </c>
      <c r="S358" s="68">
        <f t="shared" si="104"/>
        <v>26</v>
      </c>
      <c r="T358" s="65"/>
      <c r="U358" s="89"/>
      <c r="V358" s="85"/>
      <c r="W358" s="88"/>
      <c r="X358" s="88"/>
      <c r="Y358" s="88"/>
      <c r="Z358" s="85"/>
      <c r="AA358" s="89"/>
      <c r="AB358" s="84"/>
      <c r="AC358" s="88"/>
      <c r="AD358" s="88"/>
      <c r="AE358" s="88"/>
      <c r="AF358" s="84"/>
      <c r="AG358" s="84"/>
      <c r="AH358" s="49" t="str">
        <f>IF(AG358="นิติศาสตร์","K5-LAW","K5-POLICY")</f>
        <v>K5-POLICY</v>
      </c>
      <c r="AI358" s="72" t="str">
        <f>_xlfn.IFS(B358="","",AND(AH358="K5-LAW",AG358="นิติศาสตร์",K358="S2",T358="",Z358=""),P358,AND(AH358="K5-LAW",AG358="นิติศาสตร์",K358="S1",T358="",Z358=""),EDATE(P358,12),AND(AH358="K5-LAW",AG358="นิติศาสตร์",OR(K358="M2",K358="K4"),T358="",Z358=""),EDATE(P358,12*2),AND(AH358="K5-LAW",AG358="นิติศาสตร์",OR(Z358="M2",Z358="K4"),AC358&gt;=2,OR(AB358&lt;V358,AB358&lt;P358)),EDATE(AB358,12*2),AND(AH358="K5-LAW",AG358="นิติศาสตร์",Z358="S1",AC358&gt;=1,OR(AB358&lt;V358,AB358&lt;P358)),EDATE(AB358,12),AND(AH358="K5-LAW",AG358="นิติศาสตร์",OR(T358="M2",T358="K4"),W358&gt;=2,V358&lt;P358),EDATE(V358,12*2),AND(AH358="K5-LAW",AG358="นิติศาสตร์",T358="S1",W358&gt;=1,V358&lt;P358),EDATE(V358,12),AND(AH358="K5-LAW",AG358="นิติศาสตร์",OR(T358="S2",T358="K5")),V358,AND(AH358="K5-LAW",AG358="นิติศาสตร์",OR(K358="M2",K358="K4"),Q358&gt;=2),EDATE(P358,12*2),AND(AH358="K5-LAW",AG358="นิติศาสตร์",K358="S1",Q358&gt;=1),EDATE(P358,12),AND(AH358="K5-LAW",AG358="นิติศาสตร์",OR(K358="S2",K358="K5")),P358,AND(AH358="K5-POLICY",AG358&lt;&gt;"นิติศาสตร์",K358="S2",T358="",Z358=""),P358,AND(AH358="K5-POLICY",AG358&lt;&gt;"นิติศาสตร์",K358="S1",T358="",Z358=""),EDATE(P358,12),AND(AH358="K5-POLICY",AG358&lt;&gt;"นิติศาสตร์",OR(K358="M2",K358="K4"),T358="",Z358=""),EDATE(P358,12*2),AND(AH358="K5-POLICY",AG358&lt;&gt;"นิติศาสตร์",OR(Z358="M2",Z358="K4"),AC358&gt;=2,OR(AB358&lt;V358,AB358&lt;P358)),EDATE(AB358,12*2),AND(AH358="K5-POLICY",AG358&lt;&gt;"นิติศาสตร์",Z358="S1",AC358&gt;=1,OR(AB358&lt;V358,AB358&lt;P358)),EDATE(AB358,12),AND(AH358="K5-POLICY",AG358&lt;&gt;"นิติศาสตร์",OR(T358="M2",T358="K4"),W358&gt;=2,V358&lt;P358),EDATE(V358,12*2),AND(AH358="K5-POLICY",AG358&lt;&gt;"นิติศาสตร์",T358="S1",W358&gt;=1,V358&lt;P358),EDATE(V358,12),AND(AH358="K5-POLICY",AG358&lt;&gt;"นิติศาสตร์",OR(T358="S2",T358="K5")),V358,AND(AH358="K5-POLICY",AG358&lt;&gt;"นิติศาสตร์",OR(K358="M2",K358="K4"),Q358&gt;=2),EDATE(P358,12*2),AND(AH358="K5-POLICY",AG358&lt;&gt;"นิติศาสตร์",K358="S1",Q358&gt;=1),EDATE(P358,12),AND(AH358="K5-POLICY",AG358&lt;&gt;"นิติศาสตร์",OR(K358="S2",K358="K5")),P358,TRUE,"Check Data")</f>
        <v/>
      </c>
      <c r="AJ358" s="75" t="str">
        <f t="shared" si="105"/>
        <v>Check Data</v>
      </c>
      <c r="AK358" s="76" t="str">
        <f t="shared" si="106"/>
        <v>Check Data</v>
      </c>
      <c r="AL358" s="50" t="str">
        <f t="shared" si="107"/>
        <v>Check Data</v>
      </c>
      <c r="AM358" s="49" t="str">
        <f>IF(B358="","",IF(K358="S1","S1",INDEX(#REF!,#REF!)))</f>
        <v/>
      </c>
      <c r="AN358" s="49" t="str">
        <f>K358</f>
        <v>K4</v>
      </c>
      <c r="AO358" s="50" t="b">
        <f>K358=AM358</f>
        <v>0</v>
      </c>
    </row>
  </sheetData>
  <autoFilter ref="A2:AP358" xr:uid="{00000000-0009-0000-0000-000013000000}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P112"/>
  <sheetViews>
    <sheetView workbookViewId="0">
      <pane xSplit="3" ySplit="2" topLeftCell="AO102" activePane="bottomRight" state="frozen"/>
      <selection pane="topRight"/>
      <selection pane="bottomLeft"/>
      <selection pane="bottomRight" activeCell="AH1" sqref="AH1:AI1048576"/>
    </sheetView>
  </sheetViews>
  <sheetFormatPr defaultColWidth="9" defaultRowHeight="14.25"/>
  <cols>
    <col min="2" max="2" width="17.625" customWidth="1"/>
    <col min="3" max="3" width="30.25" customWidth="1"/>
    <col min="4" max="4" width="27.25" customWidth="1"/>
    <col min="5" max="5" width="16.5" customWidth="1"/>
    <col min="6" max="6" width="16.125" customWidth="1"/>
    <col min="8" max="9" width="9" customWidth="1"/>
    <col min="10" max="10" width="41.25" customWidth="1"/>
    <col min="11" max="11" width="12" customWidth="1"/>
    <col min="12" max="12" width="9.625" customWidth="1"/>
    <col min="13" max="13" width="9" customWidth="1"/>
    <col min="14" max="14" width="21.75" customWidth="1"/>
    <col min="15" max="15" width="14" customWidth="1"/>
    <col min="16" max="16" width="28.5" customWidth="1"/>
    <col min="17" max="17" width="6.625" customWidth="1"/>
    <col min="18" max="18" width="6.375" customWidth="1"/>
    <col min="19" max="19" width="9" customWidth="1"/>
    <col min="20" max="20" width="12" style="43" customWidth="1"/>
    <col min="21" max="21" width="11.875" style="43" customWidth="1"/>
    <col min="22" max="22" width="43.125" customWidth="1"/>
    <col min="23" max="23" width="6" customWidth="1"/>
    <col min="24" max="24" width="6.75" customWidth="1"/>
    <col min="25" max="25" width="9" customWidth="1"/>
    <col min="26" max="26" width="33.625" customWidth="1"/>
    <col min="27" max="28" width="43.25" customWidth="1"/>
    <col min="29" max="31" width="9" customWidth="1"/>
    <col min="32" max="32" width="17.875" customWidth="1"/>
    <col min="33" max="33" width="25.875" customWidth="1"/>
    <col min="34" max="34" width="14.875" customWidth="1"/>
    <col min="35" max="35" width="36.25" customWidth="1"/>
    <col min="36" max="36" width="15.875" customWidth="1"/>
    <col min="37" max="37" width="20" customWidth="1"/>
    <col min="38" max="38" width="16.375" customWidth="1"/>
    <col min="39" max="40" width="24.375" customWidth="1"/>
    <col min="41" max="41" width="16.375" customWidth="1"/>
  </cols>
  <sheetData>
    <row r="1" spans="1:42" ht="21.75">
      <c r="B1" s="44" t="s">
        <v>50</v>
      </c>
      <c r="C1" s="46">
        <v>45828</v>
      </c>
      <c r="D1" s="46"/>
      <c r="E1" s="45"/>
      <c r="F1" s="55"/>
      <c r="J1" s="45" t="s">
        <v>0</v>
      </c>
      <c r="K1" s="62">
        <v>232387</v>
      </c>
      <c r="L1" s="62">
        <f>IF(AND(LEFT(K1,2)="29",MID(K1,4,1)="2"),LEFT(K1,2)&amp;"/"&amp;MID(K1,4,1)&amp;"/"&amp;RIGHT(K1,4)-543,EDATE(K1,-543*12))</f>
        <v>34060</v>
      </c>
      <c r="M1" s="62"/>
      <c r="N1" s="62"/>
      <c r="O1" s="63"/>
      <c r="P1" s="45"/>
      <c r="Q1" s="66"/>
      <c r="R1" s="66"/>
      <c r="S1" s="66"/>
      <c r="T1" s="67"/>
      <c r="U1" s="67"/>
      <c r="W1" s="66"/>
      <c r="X1" s="66"/>
      <c r="Y1" s="66"/>
      <c r="Z1" s="67"/>
      <c r="AA1" s="67"/>
      <c r="AC1" s="66"/>
      <c r="AD1" s="66"/>
      <c r="AE1" s="66"/>
      <c r="AH1" s="55"/>
      <c r="AI1" s="70"/>
      <c r="AJ1" s="70"/>
      <c r="AK1" s="73"/>
    </row>
    <row r="2" spans="1:42" s="105" customFormat="1" ht="65.25">
      <c r="A2" s="98" t="s">
        <v>51</v>
      </c>
      <c r="B2" s="99" t="s">
        <v>52</v>
      </c>
      <c r="C2" s="98" t="s">
        <v>53</v>
      </c>
      <c r="D2" s="98" t="s">
        <v>23</v>
      </c>
      <c r="E2" s="98" t="s">
        <v>469</v>
      </c>
      <c r="F2" s="98" t="s">
        <v>470</v>
      </c>
      <c r="G2" s="99" t="s">
        <v>4</v>
      </c>
      <c r="H2" s="99" t="s">
        <v>5</v>
      </c>
      <c r="I2" s="99" t="s">
        <v>6</v>
      </c>
      <c r="J2" s="98" t="s">
        <v>55</v>
      </c>
      <c r="K2" s="98" t="s">
        <v>56</v>
      </c>
      <c r="L2" s="98" t="s">
        <v>151</v>
      </c>
      <c r="M2" s="98" t="s">
        <v>152</v>
      </c>
      <c r="N2" s="98" t="s">
        <v>150</v>
      </c>
      <c r="O2" s="99" t="s">
        <v>471</v>
      </c>
      <c r="P2" s="98" t="s">
        <v>472</v>
      </c>
      <c r="Q2" s="99" t="s">
        <v>4</v>
      </c>
      <c r="R2" s="99" t="s">
        <v>5</v>
      </c>
      <c r="S2" s="99" t="s">
        <v>6</v>
      </c>
      <c r="T2" s="99" t="s">
        <v>132</v>
      </c>
      <c r="U2" s="99" t="s">
        <v>473</v>
      </c>
      <c r="V2" s="98" t="s">
        <v>474</v>
      </c>
      <c r="W2" s="99" t="s">
        <v>4</v>
      </c>
      <c r="X2" s="99" t="s">
        <v>5</v>
      </c>
      <c r="Y2" s="99" t="s">
        <v>6</v>
      </c>
      <c r="Z2" s="99" t="s">
        <v>133</v>
      </c>
      <c r="AA2" s="99" t="s">
        <v>475</v>
      </c>
      <c r="AB2" s="98" t="s">
        <v>476</v>
      </c>
      <c r="AC2" s="99" t="s">
        <v>4</v>
      </c>
      <c r="AD2" s="99" t="s">
        <v>5</v>
      </c>
      <c r="AE2" s="99" t="s">
        <v>6</v>
      </c>
      <c r="AF2" s="98" t="s">
        <v>61</v>
      </c>
      <c r="AG2" s="98" t="s">
        <v>134</v>
      </c>
      <c r="AH2" s="98" t="s">
        <v>62</v>
      </c>
      <c r="AI2" s="100" t="s">
        <v>477</v>
      </c>
      <c r="AJ2" s="100" t="s">
        <v>478</v>
      </c>
      <c r="AK2" s="101" t="s">
        <v>69</v>
      </c>
      <c r="AL2" s="98" t="s">
        <v>70</v>
      </c>
      <c r="AM2" s="98" t="s">
        <v>479</v>
      </c>
      <c r="AN2" s="98" t="s">
        <v>480</v>
      </c>
      <c r="AO2" s="98" t="s">
        <v>441</v>
      </c>
      <c r="AP2" s="98" t="s">
        <v>440</v>
      </c>
    </row>
    <row r="3" spans="1:42" ht="21.75">
      <c r="A3" s="49">
        <v>1</v>
      </c>
      <c r="B3" s="50"/>
      <c r="C3" s="50"/>
      <c r="D3" s="50" t="s">
        <v>142</v>
      </c>
      <c r="E3" s="49" t="s">
        <v>283</v>
      </c>
      <c r="F3" s="49" t="str">
        <f t="shared" ref="F3:F34" si="0">IF(E3="","",TEXT(EDATE(E3,-543*12),"dd/mm/yyyy"))</f>
        <v>01/04/1998</v>
      </c>
      <c r="G3" s="50">
        <f t="shared" ref="G3:G34" si="1">IF(F3="",0,DATEDIF(F3,$C$1,"Y"))</f>
        <v>27</v>
      </c>
      <c r="H3" s="50">
        <f t="shared" ref="H3:H34" si="2">IF(F3="",0,DATEDIF(F3,$C$1,"YM"))</f>
        <v>2</v>
      </c>
      <c r="I3" s="50">
        <f t="shared" ref="I3:I34" si="3">IF(F3="",0,DATEDIF(F3,$C$1,"MD"))</f>
        <v>19</v>
      </c>
      <c r="J3" s="58"/>
      <c r="K3" s="49" t="s">
        <v>136</v>
      </c>
      <c r="L3" s="64"/>
      <c r="M3" s="49" t="s">
        <v>425</v>
      </c>
      <c r="N3" s="49">
        <v>2575</v>
      </c>
      <c r="O3" s="65" t="s">
        <v>284</v>
      </c>
      <c r="P3" s="49" t="str">
        <f t="shared" ref="P3:P34" si="4">TEXT(EDATE(O3,-543*12),"dd/mm/yyyy")</f>
        <v>21/04/2016</v>
      </c>
      <c r="Q3" s="68">
        <f>IF(P3="",0,DATEDIF(P3,$C$1,"Y"))</f>
        <v>9</v>
      </c>
      <c r="R3" s="68">
        <f>IF(P3="",0,DATEDIF(P3,$C$1,"YM"))</f>
        <v>1</v>
      </c>
      <c r="S3" s="68">
        <f>IF(P3="",0,DATEDIF(P3,$C$1,"MD"))</f>
        <v>30</v>
      </c>
      <c r="T3" s="65"/>
      <c r="U3" s="65"/>
      <c r="V3" s="49" t="str">
        <f t="shared" ref="V3:V34" si="5">IF(U3="","",TEXT(EDATE(U3,-543*12),"dd/mm/yyyy"))</f>
        <v/>
      </c>
      <c r="W3" s="68">
        <f>IF(V3="",0,DATEDIF(V3,P3,"Y"))</f>
        <v>0</v>
      </c>
      <c r="X3" s="68">
        <f>IF(V3="",0,DATEDIF(V3,P3,"YM"))</f>
        <v>0</v>
      </c>
      <c r="Y3" s="68">
        <f>IF(V3="",0,DATEDIF(V3,P3,"MD"))</f>
        <v>0</v>
      </c>
      <c r="Z3" s="49"/>
      <c r="AA3" s="65"/>
      <c r="AB3" s="50" t="str">
        <f t="shared" ref="AB3:AB34" si="6">IF(AA3="","",TEXT(EDATE(AA3,-543*12),"dd/mm/yyyy"))</f>
        <v/>
      </c>
      <c r="AC3" s="68">
        <f t="shared" ref="AC3:AC34" si="7">IF(AB3="",0,DATEDIF(AB3,V3,"Y"))</f>
        <v>0</v>
      </c>
      <c r="AD3" s="68">
        <f t="shared" ref="AD3:AD34" si="8">IF(AB3="",0,DATEDIF(AB3,V3,"YM"))</f>
        <v>0</v>
      </c>
      <c r="AE3" s="68">
        <f t="shared" ref="AE3:AE34" si="9">IF(AB3="",0,DATEDIF(AB3,V3,"MD"))</f>
        <v>0</v>
      </c>
      <c r="AF3" s="50"/>
      <c r="AG3" s="50" t="s">
        <v>138</v>
      </c>
      <c r="AH3" s="49" t="str">
        <f>IF(AG3="นิติศาสตร์","K5-LAW","K5-POLICY")</f>
        <v>K5-LAW</v>
      </c>
      <c r="AI3" s="72" t="str">
        <f>_xlfn.IFS(B3="","",AND(AH3="K5-LAW",AG3="นิติศาสตร์",K3="S2",T3="",Z3=""),P3,AND(AH3="K5-LAW",AG3="นิติศาสตร์",K3="S1",T3="",Z3=""),EDATE(P3,12),AND(AH3="K5-LAW",AG3="นิติศาสตร์",OR(K3="M2",K3="K4"),T3="",Z3=""),EDATE(P3,12*2),AND(AH3="K5-LAW",AG3="นิติศาสตร์",OR(Z3="M2",Z3="K4"),AC3&gt;=2,OR(AB3&lt;V3,AB3&lt;P3)),EDATE(AB3,12*2),AND(AH3="K5-LAW",AG3="นิติศาสตร์",Z3="S1",AC3&gt;=1,OR(AB3&lt;V3,AB3&lt;P3)),EDATE(AB3,12),AND(AH3="K5-LAW",AG3="นิติศาสตร์",OR(T3="M2",T3="K4"),W3&gt;=2,V3&lt;P3),EDATE(V3,12*2),AND(AH3="K5-LAW",AG3="นิติศาสตร์",T3="S1",W3&gt;=1,V3&lt;P3),EDATE(V3,12),AND(AH3="K5-LAW",AG3="นิติศาสตร์",OR(T3="S2",T3="K5")),V3,AND(AH3="K5-LAW",AG3="นิติศาสตร์",OR(K3="M2",K3="K4"),Q3&gt;=2),EDATE(P3,12*2),AND(AH3="K5-LAW",AG3="นิติศาสตร์",K3="S1",Q3&gt;=1),EDATE(P3,12),AND(AH3="K5-LAW",AG3="นิติศาสตร์",OR(K3="S2",K3="K5")),P3,AND(AH3="K5-POLICY",AG3&lt;&gt;"นิติศาสตร์",K3="S2",T3="",Z3=""),P3,AND(AH3="K5-POLICY",AG3&lt;&gt;"นิติศาสตร์",K3="S1",T3="",Z3=""),EDATE(P3,12),AND(AH3="K5-POLICY",AG3&lt;&gt;"นิติศาสตร์",OR(K3="M2",K3="K4"),T3="",Z3=""),EDATE(P3,12*2),AND(AH3="K5-POLICY",AG3&lt;&gt;"นิติศาสตร์",OR(Z3="M2",Z3="K4"),AC3&gt;=2,OR(AB3&lt;V3,AB3&lt;P3)),EDATE(AB3,12*2),AND(AH3="K5-POLICY",AG3&lt;&gt;"นิติศาสตร์",Z3="S1",AC3&gt;=1,OR(AB3&lt;V3,AB3&lt;P3)),EDATE(AB3,12),AND(AH3="K5-POLICY",AG3&lt;&gt;"นิติศาสตร์",OR(T3="M2",T3="K4"),W3&gt;=2,V3&lt;P3),EDATE(V3,12*2),AND(AH3="K5-POLICY",AG3&lt;&gt;"นิติศาสตร์",T3="S1",W3&gt;=1,V3&lt;P3),EDATE(V3,12),AND(AH3="K5-POLICY",AG3&lt;&gt;"นิติศาสตร์",OR(T3="S2",T3="K5")),V3,AND(AH3="K5-POLICY",AG3&lt;&gt;"นิติศาสตร์",OR(K3="M2",K3="K4"),Q3&gt;=2),EDATE(P3,12*2),AND(AH3="K5-POLICY",AG3&lt;&gt;"นิติศาสตร์",K3="S1",Q3&gt;=1),EDATE(P3,12),AND(AH3="K5-POLICY",AG3&lt;&gt;"นิติศาสตร์",OR(K3="S2",K3="K5")),P3,TRUE,"Check Data")</f>
        <v/>
      </c>
      <c r="AJ3" s="75" t="str">
        <f t="shared" ref="AJ3:AJ34" si="10">IFERROR(TEXT(EDATE(AI3,543*12),"dd/mm/yyyy"),"Check Data")</f>
        <v>Check Data</v>
      </c>
      <c r="AK3" s="76" t="str">
        <f t="shared" ref="AK3:AK34" si="11">IFERROR(IF($C$1&gt;AI3,AI3-$C$1,DATEDIF($C$1,AI3,"d")),"Check Data")</f>
        <v>Check Data</v>
      </c>
      <c r="AL3" s="50" t="str">
        <f t="shared" ref="AL3:AL34" si="12">_xlfn.IFS(AK3="Check Data","Check Data",AK3&gt;30,"ยังไม่ถึงเกณฑ์",AK3&gt;0,"ใกล้ถึงเกณฑ์",AK3=0,"ถึงเกณฑ์",AK3&lt;0,"ถึงเกณฑ์นานแล้ว")</f>
        <v>Check Data</v>
      </c>
      <c r="AM3" s="49" t="str">
        <f>IF(B3="","",IF(K3="S1","S1",INDEX(#REF!,#REF!)))</f>
        <v/>
      </c>
      <c r="AN3" s="49" t="str">
        <f t="shared" ref="AN3:AN34" si="13">K3</f>
        <v>M2</v>
      </c>
      <c r="AO3" s="50" t="b">
        <f>K3=AM3</f>
        <v>0</v>
      </c>
      <c r="AP3" s="50"/>
    </row>
    <row r="4" spans="1:42" ht="21.75">
      <c r="A4" s="49">
        <v>2</v>
      </c>
      <c r="B4" s="50"/>
      <c r="C4" s="50"/>
      <c r="D4" s="50" t="s">
        <v>142</v>
      </c>
      <c r="E4" s="49" t="s">
        <v>262</v>
      </c>
      <c r="F4" s="49" t="str">
        <f t="shared" si="0"/>
        <v>11/04/1996</v>
      </c>
      <c r="G4" s="50">
        <f t="shared" si="1"/>
        <v>29</v>
      </c>
      <c r="H4" s="50">
        <f t="shared" si="2"/>
        <v>2</v>
      </c>
      <c r="I4" s="50">
        <f t="shared" si="3"/>
        <v>9</v>
      </c>
      <c r="J4" s="58"/>
      <c r="K4" s="49" t="s">
        <v>136</v>
      </c>
      <c r="L4" s="64"/>
      <c r="M4" s="49" t="s">
        <v>425</v>
      </c>
      <c r="N4" s="49">
        <v>2573</v>
      </c>
      <c r="O4" s="65" t="s">
        <v>205</v>
      </c>
      <c r="P4" s="49" t="str">
        <f t="shared" si="4"/>
        <v>26/10/2016</v>
      </c>
      <c r="Q4" s="68">
        <f>IF(P4="",0,DATEDIF(P4,$C$1,"Y"))</f>
        <v>8</v>
      </c>
      <c r="R4" s="68">
        <f>IF(P4="",0,DATEDIF(P4,$C$1,"YM"))</f>
        <v>7</v>
      </c>
      <c r="S4" s="68">
        <f>IF(P4="",0,DATEDIF(P4,$C$1,"MD"))</f>
        <v>25</v>
      </c>
      <c r="T4" s="65"/>
      <c r="U4" s="65"/>
      <c r="V4" s="49" t="str">
        <f t="shared" si="5"/>
        <v/>
      </c>
      <c r="W4" s="68">
        <f>IF(V4="",0,DATEDIF(V4,P4,"Y"))</f>
        <v>0</v>
      </c>
      <c r="X4" s="68">
        <f>IF(V4="",0,DATEDIF(V4,P4,"YM"))</f>
        <v>0</v>
      </c>
      <c r="Y4" s="68">
        <f>IF(V4="",0,DATEDIF(V4,P4,"MD"))</f>
        <v>0</v>
      </c>
      <c r="Z4" s="49"/>
      <c r="AA4" s="65"/>
      <c r="AB4" s="50" t="str">
        <f t="shared" si="6"/>
        <v/>
      </c>
      <c r="AC4" s="68">
        <f t="shared" si="7"/>
        <v>0</v>
      </c>
      <c r="AD4" s="68">
        <f t="shared" si="8"/>
        <v>0</v>
      </c>
      <c r="AE4" s="68">
        <f t="shared" si="9"/>
        <v>0</v>
      </c>
      <c r="AF4" s="50"/>
      <c r="AG4" s="50" t="s">
        <v>138</v>
      </c>
      <c r="AH4" s="49" t="str">
        <f>IF(AG4="นิติศาสตร์","K5-LAW","K5-POLICY")</f>
        <v>K5-LAW</v>
      </c>
      <c r="AI4" s="72" t="str">
        <f>_xlfn.IFS(B4="","",AND(AH4="K5-LAW",AG4="นิติศาสตร์",K4="S2",T4="",Z4=""),P4,AND(AH4="K5-LAW",AG4="นิติศาสตร์",K4="S1",T4="",Z4=""),EDATE(P4,12),AND(AH4="K5-LAW",AG4="นิติศาสตร์",OR(K4="M2",K4="K4"),T4="",Z4=""),EDATE(P4,12*2),AND(AH4="K5-LAW",AG4="นิติศาสตร์",OR(Z4="M2",Z4="K4"),AC4&gt;=2,OR(AB4&lt;V4,AB4&lt;P4)),EDATE(AB4,12*2),AND(AH4="K5-LAW",AG4="นิติศาสตร์",Z4="S1",AC4&gt;=1,OR(AB4&lt;V4,AB4&lt;P4)),EDATE(AB4,12),AND(AH4="K5-LAW",AG4="นิติศาสตร์",OR(T4="M2",T4="K4"),W4&gt;=2,V4&lt;P4),EDATE(V4,12*2),AND(AH4="K5-LAW",AG4="นิติศาสตร์",T4="S1",W4&gt;=1,V4&lt;P4),EDATE(V4,12),AND(AH4="K5-LAW",AG4="นิติศาสตร์",OR(T4="S2",T4="K5")),V4,AND(AH4="K5-LAW",AG4="นิติศาสตร์",OR(K4="M2",K4="K4"),Q4&gt;=2),EDATE(P4,12*2),AND(AH4="K5-LAW",AG4="นิติศาสตร์",K4="S1",Q4&gt;=1),EDATE(P4,12),AND(AH4="K5-LAW",AG4="นิติศาสตร์",OR(K4="S2",K4="K5")),P4,AND(AH4="K5-POLICY",AG4&lt;&gt;"นิติศาสตร์",K4="S2",T4="",Z4=""),P4,AND(AH4="K5-POLICY",AG4&lt;&gt;"นิติศาสตร์",K4="S1",T4="",Z4=""),EDATE(P4,12),AND(AH4="K5-POLICY",AG4&lt;&gt;"นิติศาสตร์",OR(K4="M2",K4="K4"),T4="",Z4=""),EDATE(P4,12*2),AND(AH4="K5-POLICY",AG4&lt;&gt;"นิติศาสตร์",OR(Z4="M2",Z4="K4"),AC4&gt;=2,OR(AB4&lt;V4,AB4&lt;P4)),EDATE(AB4,12*2),AND(AH4="K5-POLICY",AG4&lt;&gt;"นิติศาสตร์",Z4="S1",AC4&gt;=1,OR(AB4&lt;V4,AB4&lt;P4)),EDATE(AB4,12),AND(AH4="K5-POLICY",AG4&lt;&gt;"นิติศาสตร์",OR(T4="M2",T4="K4"),W4&gt;=2,V4&lt;P4),EDATE(V4,12*2),AND(AH4="K5-POLICY",AG4&lt;&gt;"นิติศาสตร์",T4="S1",W4&gt;=1,V4&lt;P4),EDATE(V4,12),AND(AH4="K5-POLICY",AG4&lt;&gt;"นิติศาสตร์",OR(T4="S2",T4="K5")),V4,AND(AH4="K5-POLICY",AG4&lt;&gt;"นิติศาสตร์",OR(K4="M2",K4="K4"),Q4&gt;=2),EDATE(P4,12*2),AND(AH4="K5-POLICY",AG4&lt;&gt;"นิติศาสตร์",K4="S1",Q4&gt;=1),EDATE(P4,12),AND(AH4="K5-POLICY",AG4&lt;&gt;"นิติศาสตร์",OR(K4="S2",K4="K5")),P4,TRUE,"Check Data")</f>
        <v/>
      </c>
      <c r="AJ4" s="75" t="str">
        <f t="shared" si="10"/>
        <v>Check Data</v>
      </c>
      <c r="AK4" s="76" t="str">
        <f t="shared" si="11"/>
        <v>Check Data</v>
      </c>
      <c r="AL4" s="50" t="str">
        <f t="shared" si="12"/>
        <v>Check Data</v>
      </c>
      <c r="AM4" s="49" t="str">
        <f>IF(B4="","",IF(K4="S1","S1",INDEX(#REF!,#REF!)))</f>
        <v/>
      </c>
      <c r="AN4" s="49" t="str">
        <f t="shared" si="13"/>
        <v>M2</v>
      </c>
      <c r="AO4" s="50" t="b">
        <f>K4=AM4</f>
        <v>0</v>
      </c>
      <c r="AP4" s="50"/>
    </row>
    <row r="5" spans="1:42" ht="21.75">
      <c r="A5" s="49">
        <v>3</v>
      </c>
      <c r="B5" s="50"/>
      <c r="C5" s="50"/>
      <c r="D5" s="50" t="s">
        <v>141</v>
      </c>
      <c r="E5" s="49" t="s">
        <v>243</v>
      </c>
      <c r="F5" s="49" t="str">
        <f t="shared" si="0"/>
        <v>03/01/1995</v>
      </c>
      <c r="G5" s="50">
        <f t="shared" si="1"/>
        <v>30</v>
      </c>
      <c r="H5" s="50">
        <f t="shared" si="2"/>
        <v>5</v>
      </c>
      <c r="I5" s="50">
        <f t="shared" si="3"/>
        <v>17</v>
      </c>
      <c r="J5" s="60"/>
      <c r="K5" s="49" t="s">
        <v>136</v>
      </c>
      <c r="L5" s="64"/>
      <c r="M5" s="49" t="s">
        <v>425</v>
      </c>
      <c r="N5" s="49">
        <v>2573</v>
      </c>
      <c r="O5" s="65" t="s">
        <v>242</v>
      </c>
      <c r="P5" s="49" t="str">
        <f t="shared" si="4"/>
        <v>20/04/2018</v>
      </c>
      <c r="Q5" s="68">
        <f>IF(P5="",0,DATEDIF(P5,$C$1,"Y"))</f>
        <v>7</v>
      </c>
      <c r="R5" s="68">
        <f>IF(P5="",0,DATEDIF(P5,$C$1,"YM"))</f>
        <v>2</v>
      </c>
      <c r="S5" s="68">
        <f>IF(P5="",0,DATEDIF(P5,$C$1,"MD"))</f>
        <v>0</v>
      </c>
      <c r="T5" s="65"/>
      <c r="U5" s="65"/>
      <c r="V5" s="49" t="str">
        <f t="shared" si="5"/>
        <v/>
      </c>
      <c r="W5" s="68">
        <f>IF(V5="",0,DATEDIF(V5,P5,"Y"))</f>
        <v>0</v>
      </c>
      <c r="X5" s="68">
        <f>IF(V5="",0,DATEDIF(V5,P5,"YM"))</f>
        <v>0</v>
      </c>
      <c r="Y5" s="68">
        <f>IF(V5="",0,DATEDIF(V5,P5,"MD"))</f>
        <v>0</v>
      </c>
      <c r="Z5" s="49"/>
      <c r="AA5" s="65"/>
      <c r="AB5" s="50" t="str">
        <f t="shared" si="6"/>
        <v/>
      </c>
      <c r="AC5" s="68">
        <f t="shared" si="7"/>
        <v>0</v>
      </c>
      <c r="AD5" s="68">
        <f t="shared" si="8"/>
        <v>0</v>
      </c>
      <c r="AE5" s="68">
        <f t="shared" si="9"/>
        <v>0</v>
      </c>
      <c r="AF5" s="50"/>
      <c r="AG5" s="50" t="s">
        <v>138</v>
      </c>
      <c r="AH5" s="49" t="str">
        <f>IF(AG5="นิติศาสตร์","K5-LAW","K5-POLICY")</f>
        <v>K5-LAW</v>
      </c>
      <c r="AI5" s="72" t="str">
        <f>_xlfn.IFS(B5="","",AND(AH5="K5-LAW",AG5="นิติศาสตร์",K5="S2",T5="",Z5=""),P5,AND(AH5="K5-LAW",AG5="นิติศาสตร์",K5="S1",T5="",Z5=""),EDATE(P5,12),AND(AH5="K5-LAW",AG5="นิติศาสตร์",OR(K5="M2",K5="K4"),T5="",Z5=""),EDATE(P5,12*2),AND(AH5="K5-LAW",AG5="นิติศาสตร์",OR(Z5="M2",Z5="K4"),AC5&gt;=2,OR(AB5&lt;V5,AB5&lt;P5)),EDATE(AB5,12*2),AND(AH5="K5-LAW",AG5="นิติศาสตร์",Z5="S1",AC5&gt;=1,OR(AB5&lt;V5,AB5&lt;P5)),EDATE(AB5,12),AND(AH5="K5-LAW",AG5="นิติศาสตร์",OR(T5="M2",T5="K4"),W5&gt;=2,V5&lt;P5),EDATE(V5,12*2),AND(AH5="K5-LAW",AG5="นิติศาสตร์",T5="S1",W5&gt;=1,V5&lt;P5),EDATE(V5,12),AND(AH5="K5-LAW",AG5="นิติศาสตร์",OR(T5="S2",T5="K5")),V5,AND(AH5="K5-LAW",AG5="นิติศาสตร์",OR(K5="M2",K5="K4"),Q5&gt;=2),EDATE(P5,12*2),AND(AH5="K5-LAW",AG5="นิติศาสตร์",K5="S1",Q5&gt;=1),EDATE(P5,12),AND(AH5="K5-LAW",AG5="นิติศาสตร์",OR(K5="S2",K5="K5")),P5,AND(AH5="K5-POLICY",AG5&lt;&gt;"นิติศาสตร์",K5="S2",T5="",Z5=""),P5,AND(AH5="K5-POLICY",AG5&lt;&gt;"นิติศาสตร์",K5="S1",T5="",Z5=""),EDATE(P5,12),AND(AH5="K5-POLICY",AG5&lt;&gt;"นิติศาสตร์",OR(K5="M2",K5="K4"),T5="",Z5=""),EDATE(P5,12*2),AND(AH5="K5-POLICY",AG5&lt;&gt;"นิติศาสตร์",OR(Z5="M2",Z5="K4"),AC5&gt;=2,OR(AB5&lt;V5,AB5&lt;P5)),EDATE(AB5,12*2),AND(AH5="K5-POLICY",AG5&lt;&gt;"นิติศาสตร์",Z5="S1",AC5&gt;=1,OR(AB5&lt;V5,AB5&lt;P5)),EDATE(AB5,12),AND(AH5="K5-POLICY",AG5&lt;&gt;"นิติศาสตร์",OR(T5="M2",T5="K4"),W5&gt;=2,V5&lt;P5),EDATE(V5,12*2),AND(AH5="K5-POLICY",AG5&lt;&gt;"นิติศาสตร์",T5="S1",W5&gt;=1,V5&lt;P5),EDATE(V5,12),AND(AH5="K5-POLICY",AG5&lt;&gt;"นิติศาสตร์",OR(T5="S2",T5="K5")),V5,AND(AH5="K5-POLICY",AG5&lt;&gt;"นิติศาสตร์",OR(K5="M2",K5="K4"),Q5&gt;=2),EDATE(P5,12*2),AND(AH5="K5-POLICY",AG5&lt;&gt;"นิติศาสตร์",K5="S1",Q5&gt;=1),EDATE(P5,12),AND(AH5="K5-POLICY",AG5&lt;&gt;"นิติศาสตร์",OR(K5="S2",K5="K5")),P5,TRUE,"Check Data")</f>
        <v/>
      </c>
      <c r="AJ5" s="75" t="str">
        <f t="shared" si="10"/>
        <v>Check Data</v>
      </c>
      <c r="AK5" s="76" t="str">
        <f t="shared" si="11"/>
        <v>Check Data</v>
      </c>
      <c r="AL5" s="50" t="str">
        <f t="shared" si="12"/>
        <v>Check Data</v>
      </c>
      <c r="AM5" s="49" t="str">
        <f>IF(B5="","",IF(K5="S1","S1",INDEX(#REF!,#REF!)))</f>
        <v/>
      </c>
      <c r="AN5" s="49" t="str">
        <f t="shared" si="13"/>
        <v>M2</v>
      </c>
      <c r="AO5" s="50" t="b">
        <f>K5=AM5</f>
        <v>0</v>
      </c>
      <c r="AP5" s="50"/>
    </row>
    <row r="6" spans="1:42" ht="21.75">
      <c r="A6" s="49">
        <v>4</v>
      </c>
      <c r="B6" s="50"/>
      <c r="C6" s="50"/>
      <c r="D6" s="50" t="s">
        <v>141</v>
      </c>
      <c r="E6" s="49" t="s">
        <v>244</v>
      </c>
      <c r="F6" s="49" t="str">
        <f t="shared" si="0"/>
        <v>02/01/1992</v>
      </c>
      <c r="G6" s="50">
        <f t="shared" si="1"/>
        <v>33</v>
      </c>
      <c r="H6" s="50">
        <f t="shared" si="2"/>
        <v>5</v>
      </c>
      <c r="I6" s="50">
        <f t="shared" si="3"/>
        <v>18</v>
      </c>
      <c r="J6" s="60"/>
      <c r="K6" s="49" t="s">
        <v>136</v>
      </c>
      <c r="L6" s="64"/>
      <c r="M6" s="49" t="s">
        <v>425</v>
      </c>
      <c r="N6" s="49">
        <v>2570</v>
      </c>
      <c r="O6" s="65" t="s">
        <v>245</v>
      </c>
      <c r="P6" s="49" t="str">
        <f t="shared" si="4"/>
        <v>19/07/2018</v>
      </c>
      <c r="Q6" s="68">
        <f>IF(P6="",0,DATEDIF(P6,$C$1,"Y"))</f>
        <v>6</v>
      </c>
      <c r="R6" s="68">
        <f>IF(P6="",0,DATEDIF(P6,$C$1,"YM"))</f>
        <v>11</v>
      </c>
      <c r="S6" s="68">
        <f>IF(P6="",0,DATEDIF(P6,$C$1,"MD"))</f>
        <v>1</v>
      </c>
      <c r="T6" s="65"/>
      <c r="U6" s="65"/>
      <c r="V6" s="49" t="str">
        <f t="shared" si="5"/>
        <v/>
      </c>
      <c r="W6" s="68">
        <f>IF(V6="",0,DATEDIF(V6,P6,"Y"))</f>
        <v>0</v>
      </c>
      <c r="X6" s="68">
        <f>IF(V6="",0,DATEDIF(V6,P6,"YM"))</f>
        <v>0</v>
      </c>
      <c r="Y6" s="68">
        <f>IF(V6="",0,DATEDIF(V6,P6,"MD"))</f>
        <v>0</v>
      </c>
      <c r="Z6" s="49"/>
      <c r="AA6" s="65"/>
      <c r="AB6" s="50" t="str">
        <f t="shared" si="6"/>
        <v/>
      </c>
      <c r="AC6" s="68">
        <f t="shared" si="7"/>
        <v>0</v>
      </c>
      <c r="AD6" s="68">
        <f t="shared" si="8"/>
        <v>0</v>
      </c>
      <c r="AE6" s="68">
        <f t="shared" si="9"/>
        <v>0</v>
      </c>
      <c r="AF6" s="50"/>
      <c r="AG6" s="50" t="s">
        <v>138</v>
      </c>
      <c r="AH6" s="49" t="str">
        <f>IF(AG6="นิติศาสตร์","K5-LAW","K5-POLICY")</f>
        <v>K5-LAW</v>
      </c>
      <c r="AI6" s="72" t="str">
        <f>_xlfn.IFS(B6="","",AND(AH6="K5-LAW",AG6="นิติศาสตร์",K6="S2",T6="",Z6=""),P6,AND(AH6="K5-LAW",AG6="นิติศาสตร์",K6="S1",T6="",Z6=""),EDATE(P6,12),AND(AH6="K5-LAW",AG6="นิติศาสตร์",OR(K6="M2",K6="K4"),T6="",Z6=""),EDATE(P6,12*2),AND(AH6="K5-LAW",AG6="นิติศาสตร์",OR(Z6="M2",Z6="K4"),AC6&gt;=2,OR(AB6&lt;V6,AB6&lt;P6)),EDATE(AB6,12*2),AND(AH6="K5-LAW",AG6="นิติศาสตร์",Z6="S1",AC6&gt;=1,OR(AB6&lt;V6,AB6&lt;P6)),EDATE(AB6,12),AND(AH6="K5-LAW",AG6="นิติศาสตร์",OR(T6="M2",T6="K4"),W6&gt;=2,V6&lt;P6),EDATE(V6,12*2),AND(AH6="K5-LAW",AG6="นิติศาสตร์",T6="S1",W6&gt;=1,V6&lt;P6),EDATE(V6,12),AND(AH6="K5-LAW",AG6="นิติศาสตร์",OR(T6="S2",T6="K5")),V6,AND(AH6="K5-LAW",AG6="นิติศาสตร์",OR(K6="M2",K6="K4"),Q6&gt;=2),EDATE(P6,12*2),AND(AH6="K5-LAW",AG6="นิติศาสตร์",K6="S1",Q6&gt;=1),EDATE(P6,12),AND(AH6="K5-LAW",AG6="นิติศาสตร์",OR(K6="S2",K6="K5")),P6,AND(AH6="K5-POLICY",AG6&lt;&gt;"นิติศาสตร์",K6="S2",T6="",Z6=""),P6,AND(AH6="K5-POLICY",AG6&lt;&gt;"นิติศาสตร์",K6="S1",T6="",Z6=""),EDATE(P6,12),AND(AH6="K5-POLICY",AG6&lt;&gt;"นิติศาสตร์",OR(K6="M2",K6="K4"),T6="",Z6=""),EDATE(P6,12*2),AND(AH6="K5-POLICY",AG6&lt;&gt;"นิติศาสตร์",OR(Z6="M2",Z6="K4"),AC6&gt;=2,OR(AB6&lt;V6,AB6&lt;P6)),EDATE(AB6,12*2),AND(AH6="K5-POLICY",AG6&lt;&gt;"นิติศาสตร์",Z6="S1",AC6&gt;=1,OR(AB6&lt;V6,AB6&lt;P6)),EDATE(AB6,12),AND(AH6="K5-POLICY",AG6&lt;&gt;"นิติศาสตร์",OR(T6="M2",T6="K4"),W6&gt;=2,V6&lt;P6),EDATE(V6,12*2),AND(AH6="K5-POLICY",AG6&lt;&gt;"นิติศาสตร์",T6="S1",W6&gt;=1,V6&lt;P6),EDATE(V6,12),AND(AH6="K5-POLICY",AG6&lt;&gt;"นิติศาสตร์",OR(T6="S2",T6="K5")),V6,AND(AH6="K5-POLICY",AG6&lt;&gt;"นิติศาสตร์",OR(K6="M2",K6="K4"),Q6&gt;=2),EDATE(P6,12*2),AND(AH6="K5-POLICY",AG6&lt;&gt;"นิติศาสตร์",K6="S1",Q6&gt;=1),EDATE(P6,12),AND(AH6="K5-POLICY",AG6&lt;&gt;"นิติศาสตร์",OR(K6="S2",K6="K5")),P6,TRUE,"Check Data")</f>
        <v/>
      </c>
      <c r="AJ6" s="75" t="str">
        <f t="shared" si="10"/>
        <v>Check Data</v>
      </c>
      <c r="AK6" s="76" t="str">
        <f t="shared" si="11"/>
        <v>Check Data</v>
      </c>
      <c r="AL6" s="50" t="str">
        <f t="shared" si="12"/>
        <v>Check Data</v>
      </c>
      <c r="AM6" s="49" t="str">
        <f>IF(B6="","",IF(K6="S1","S1",INDEX(#REF!,#REF!)))</f>
        <v/>
      </c>
      <c r="AN6" s="49" t="str">
        <f t="shared" si="13"/>
        <v>M2</v>
      </c>
      <c r="AO6" s="50" t="b">
        <f>K6=AM6</f>
        <v>0</v>
      </c>
      <c r="AP6" s="50"/>
    </row>
    <row r="7" spans="1:42" ht="21.75">
      <c r="A7" s="49">
        <v>5</v>
      </c>
      <c r="B7" s="50"/>
      <c r="C7" s="53"/>
      <c r="D7" s="50" t="s">
        <v>141</v>
      </c>
      <c r="E7" s="49" t="s">
        <v>246</v>
      </c>
      <c r="F7" s="49" t="str">
        <f t="shared" si="0"/>
        <v>13/06/1994</v>
      </c>
      <c r="G7" s="50">
        <f t="shared" si="1"/>
        <v>31</v>
      </c>
      <c r="H7" s="50">
        <f t="shared" si="2"/>
        <v>0</v>
      </c>
      <c r="I7" s="50">
        <f t="shared" si="3"/>
        <v>7</v>
      </c>
      <c r="J7" s="60"/>
      <c r="K7" s="49" t="s">
        <v>136</v>
      </c>
      <c r="L7" s="64"/>
      <c r="M7" s="49" t="s">
        <v>425</v>
      </c>
      <c r="N7" s="49">
        <v>2569</v>
      </c>
      <c r="O7" s="65" t="s">
        <v>247</v>
      </c>
      <c r="P7" s="49" t="str">
        <f t="shared" si="4"/>
        <v>12/11/2018</v>
      </c>
      <c r="Q7" s="68">
        <f>IF(P7="",0,DATEDIF(P7,$C$1,"Y"))</f>
        <v>6</v>
      </c>
      <c r="R7" s="68">
        <f>IF(P7="",0,DATEDIF(P7,$C$1,"YM"))</f>
        <v>7</v>
      </c>
      <c r="S7" s="68">
        <f>IF(P7="",0,DATEDIF(P7,$C$1,"MD"))</f>
        <v>8</v>
      </c>
      <c r="T7" s="65"/>
      <c r="U7" s="65"/>
      <c r="V7" s="49" t="str">
        <f t="shared" si="5"/>
        <v/>
      </c>
      <c r="W7" s="68">
        <f>IF(V7="",0,DATEDIF(V7,P7,"Y"))</f>
        <v>0</v>
      </c>
      <c r="X7" s="68">
        <f>IF(V7="",0,DATEDIF(V7,P7,"YM"))</f>
        <v>0</v>
      </c>
      <c r="Y7" s="68">
        <f>IF(V7="",0,DATEDIF(V7,P7,"MD"))</f>
        <v>0</v>
      </c>
      <c r="Z7" s="49"/>
      <c r="AA7" s="65"/>
      <c r="AB7" s="50" t="str">
        <f t="shared" si="6"/>
        <v/>
      </c>
      <c r="AC7" s="68">
        <f t="shared" si="7"/>
        <v>0</v>
      </c>
      <c r="AD7" s="68">
        <f t="shared" si="8"/>
        <v>0</v>
      </c>
      <c r="AE7" s="68">
        <f t="shared" si="9"/>
        <v>0</v>
      </c>
      <c r="AF7" s="50"/>
      <c r="AG7" s="50" t="s">
        <v>138</v>
      </c>
      <c r="AH7" s="49" t="str">
        <f>IF(AG7="นิติศาสตร์","K5-LAW","K5-POLICY")</f>
        <v>K5-LAW</v>
      </c>
      <c r="AI7" s="72" t="str">
        <f>_xlfn.IFS(B7="","",AND(AH7="K5-LAW",AG7="นิติศาสตร์",K7="S2",T7="",Z7=""),P7,AND(AH7="K5-LAW",AG7="นิติศาสตร์",K7="S1",T7="",Z7=""),EDATE(P7,12),AND(AH7="K5-LAW",AG7="นิติศาสตร์",OR(K7="M2",K7="K4"),T7="",Z7=""),EDATE(P7,12*2),AND(AH7="K5-LAW",AG7="นิติศาสตร์",OR(Z7="M2",Z7="K4"),AC7&gt;=2,OR(AB7&lt;V7,AB7&lt;P7)),EDATE(AB7,12*2),AND(AH7="K5-LAW",AG7="นิติศาสตร์",Z7="S1",AC7&gt;=1,OR(AB7&lt;V7,AB7&lt;P7)),EDATE(AB7,12),AND(AH7="K5-LAW",AG7="นิติศาสตร์",OR(T7="M2",T7="K4"),W7&gt;=2,V7&lt;P7),EDATE(V7,12*2),AND(AH7="K5-LAW",AG7="นิติศาสตร์",T7="S1",W7&gt;=1,V7&lt;P7),EDATE(V7,12),AND(AH7="K5-LAW",AG7="นิติศาสตร์",OR(T7="S2",T7="K5")),V7,AND(AH7="K5-LAW",AG7="นิติศาสตร์",OR(K7="M2",K7="K4"),Q7&gt;=2),EDATE(P7,12*2),AND(AH7="K5-LAW",AG7="นิติศาสตร์",K7="S1",Q7&gt;=1),EDATE(P7,12),AND(AH7="K5-LAW",AG7="นิติศาสตร์",OR(K7="S2",K7="K5")),P7,AND(AH7="K5-POLICY",AG7&lt;&gt;"นิติศาสตร์",K7="S2",T7="",Z7=""),P7,AND(AH7="K5-POLICY",AG7&lt;&gt;"นิติศาสตร์",K7="S1",T7="",Z7=""),EDATE(P7,12),AND(AH7="K5-POLICY",AG7&lt;&gt;"นิติศาสตร์",OR(K7="M2",K7="K4"),T7="",Z7=""),EDATE(P7,12*2),AND(AH7="K5-POLICY",AG7&lt;&gt;"นิติศาสตร์",OR(Z7="M2",Z7="K4"),AC7&gt;=2,OR(AB7&lt;V7,AB7&lt;P7)),EDATE(AB7,12*2),AND(AH7="K5-POLICY",AG7&lt;&gt;"นิติศาสตร์",Z7="S1",AC7&gt;=1,OR(AB7&lt;V7,AB7&lt;P7)),EDATE(AB7,12),AND(AH7="K5-POLICY",AG7&lt;&gt;"นิติศาสตร์",OR(T7="M2",T7="K4"),W7&gt;=2,V7&lt;P7),EDATE(V7,12*2),AND(AH7="K5-POLICY",AG7&lt;&gt;"นิติศาสตร์",T7="S1",W7&gt;=1,V7&lt;P7),EDATE(V7,12),AND(AH7="K5-POLICY",AG7&lt;&gt;"นิติศาสตร์",OR(T7="S2",T7="K5")),V7,AND(AH7="K5-POLICY",AG7&lt;&gt;"นิติศาสตร์",OR(K7="M2",K7="K4"),Q7&gt;=2),EDATE(P7,12*2),AND(AH7="K5-POLICY",AG7&lt;&gt;"นิติศาสตร์",K7="S1",Q7&gt;=1),EDATE(P7,12),AND(AH7="K5-POLICY",AG7&lt;&gt;"นิติศาสตร์",OR(K7="S2",K7="K5")),P7,TRUE,"Check Data")</f>
        <v/>
      </c>
      <c r="AJ7" s="75" t="str">
        <f t="shared" si="10"/>
        <v>Check Data</v>
      </c>
      <c r="AK7" s="76" t="str">
        <f t="shared" si="11"/>
        <v>Check Data</v>
      </c>
      <c r="AL7" s="50" t="str">
        <f t="shared" si="12"/>
        <v>Check Data</v>
      </c>
      <c r="AM7" s="49" t="str">
        <f>IF(B7="","",IF(K7="S1","S1",INDEX(#REF!,#REF!)))</f>
        <v/>
      </c>
      <c r="AN7" s="49" t="str">
        <f t="shared" si="13"/>
        <v>M2</v>
      </c>
      <c r="AO7" s="50" t="b">
        <f>K7=AM7</f>
        <v>0</v>
      </c>
      <c r="AP7" s="50"/>
    </row>
    <row r="8" spans="1:42" ht="21.75">
      <c r="A8" s="49">
        <v>6</v>
      </c>
      <c r="B8" s="50"/>
      <c r="C8" s="50"/>
      <c r="D8" s="50" t="s">
        <v>139</v>
      </c>
      <c r="E8" s="49" t="s">
        <v>236</v>
      </c>
      <c r="F8" s="49" t="str">
        <f t="shared" si="0"/>
        <v>09/04/1990</v>
      </c>
      <c r="G8" s="50">
        <f t="shared" si="1"/>
        <v>35</v>
      </c>
      <c r="H8" s="50">
        <f t="shared" si="2"/>
        <v>2</v>
      </c>
      <c r="I8" s="50">
        <f t="shared" si="3"/>
        <v>11</v>
      </c>
      <c r="J8" s="56"/>
      <c r="K8" s="49" t="s">
        <v>136</v>
      </c>
      <c r="L8" s="64"/>
      <c r="M8" s="49" t="s">
        <v>427</v>
      </c>
      <c r="N8" s="49">
        <v>2569</v>
      </c>
      <c r="O8" s="65" t="s">
        <v>237</v>
      </c>
      <c r="P8" s="49" t="str">
        <f t="shared" si="4"/>
        <v>27/11/2018</v>
      </c>
      <c r="Q8" s="68">
        <f>IF(P8="",0,DATEDIF(P8,$C$1,"Y"))</f>
        <v>6</v>
      </c>
      <c r="R8" s="68">
        <f>IF(P8="",0,DATEDIF(P8,$C$1,"YM"))</f>
        <v>6</v>
      </c>
      <c r="S8" s="68">
        <f>IF(P8="",0,DATEDIF(P8,$C$1,"MD"))</f>
        <v>24</v>
      </c>
      <c r="T8" s="65"/>
      <c r="U8" s="65"/>
      <c r="V8" s="49" t="str">
        <f t="shared" si="5"/>
        <v/>
      </c>
      <c r="W8" s="68">
        <f>IF(V8="",0,DATEDIF(V8,P8,"Y"))</f>
        <v>0</v>
      </c>
      <c r="X8" s="68">
        <f>IF(V8="",0,DATEDIF(V8,P8,"YM"))</f>
        <v>0</v>
      </c>
      <c r="Y8" s="68">
        <f>IF(V8="",0,DATEDIF(V8,P8,"MD"))</f>
        <v>0</v>
      </c>
      <c r="Z8" s="49"/>
      <c r="AA8" s="65"/>
      <c r="AB8" s="50" t="str">
        <f t="shared" si="6"/>
        <v/>
      </c>
      <c r="AC8" s="68">
        <f t="shared" si="7"/>
        <v>0</v>
      </c>
      <c r="AD8" s="68">
        <f t="shared" si="8"/>
        <v>0</v>
      </c>
      <c r="AE8" s="68">
        <f t="shared" si="9"/>
        <v>0</v>
      </c>
      <c r="AF8" s="50"/>
      <c r="AG8" s="50" t="s">
        <v>138</v>
      </c>
      <c r="AH8" s="49" t="str">
        <f>IF(AG8="นิติศาสตร์","K5-LAW","K5-POLICY")</f>
        <v>K5-LAW</v>
      </c>
      <c r="AI8" s="72" t="str">
        <f>_xlfn.IFS(B8="","",AND(AH8="K5-LAW",AG8="นิติศาสตร์",K8="S2",T8="",Z8=""),P8,AND(AH8="K5-LAW",AG8="นิติศาสตร์",K8="S1",T8="",Z8=""),EDATE(P8,12),AND(AH8="K5-LAW",AG8="นิติศาสตร์",OR(K8="M2",K8="K4"),T8="",Z8=""),EDATE(P8,12*2),AND(AH8="K5-LAW",AG8="นิติศาสตร์",OR(Z8="M2",Z8="K4"),AC8&gt;=2,OR(AB8&lt;V8,AB8&lt;P8)),EDATE(AB8,12*2),AND(AH8="K5-LAW",AG8="นิติศาสตร์",Z8="S1",AC8&gt;=1,OR(AB8&lt;V8,AB8&lt;P8)),EDATE(AB8,12),AND(AH8="K5-LAW",AG8="นิติศาสตร์",OR(T8="M2",T8="K4"),W8&gt;=2,V8&lt;P8),EDATE(V8,12*2),AND(AH8="K5-LAW",AG8="นิติศาสตร์",T8="S1",W8&gt;=1,V8&lt;P8),EDATE(V8,12),AND(AH8="K5-LAW",AG8="นิติศาสตร์",OR(T8="S2",T8="K5")),V8,AND(AH8="K5-LAW",AG8="นิติศาสตร์",OR(K8="M2",K8="K4"),Q8&gt;=2),EDATE(P8,12*2),AND(AH8="K5-LAW",AG8="นิติศาสตร์",K8="S1",Q8&gt;=1),EDATE(P8,12),AND(AH8="K5-LAW",AG8="นิติศาสตร์",OR(K8="S2",K8="K5")),P8,AND(AH8="K5-POLICY",AG8&lt;&gt;"นิติศาสตร์",K8="S2",T8="",Z8=""),P8,AND(AH8="K5-POLICY",AG8&lt;&gt;"นิติศาสตร์",K8="S1",T8="",Z8=""),EDATE(P8,12),AND(AH8="K5-POLICY",AG8&lt;&gt;"นิติศาสตร์",OR(K8="M2",K8="K4"),T8="",Z8=""),EDATE(P8,12*2),AND(AH8="K5-POLICY",AG8&lt;&gt;"นิติศาสตร์",OR(Z8="M2",Z8="K4"),AC8&gt;=2,OR(AB8&lt;V8,AB8&lt;P8)),EDATE(AB8,12*2),AND(AH8="K5-POLICY",AG8&lt;&gt;"นิติศาสตร์",Z8="S1",AC8&gt;=1,OR(AB8&lt;V8,AB8&lt;P8)),EDATE(AB8,12),AND(AH8="K5-POLICY",AG8&lt;&gt;"นิติศาสตร์",OR(T8="M2",T8="K4"),W8&gt;=2,V8&lt;P8),EDATE(V8,12*2),AND(AH8="K5-POLICY",AG8&lt;&gt;"นิติศาสตร์",T8="S1",W8&gt;=1,V8&lt;P8),EDATE(V8,12),AND(AH8="K5-POLICY",AG8&lt;&gt;"นิติศาสตร์",OR(T8="S2",T8="K5")),V8,AND(AH8="K5-POLICY",AG8&lt;&gt;"นิติศาสตร์",OR(K8="M2",K8="K4"),Q8&gt;=2),EDATE(P8,12*2),AND(AH8="K5-POLICY",AG8&lt;&gt;"นิติศาสตร์",K8="S1",Q8&gt;=1),EDATE(P8,12),AND(AH8="K5-POLICY",AG8&lt;&gt;"นิติศาสตร์",OR(K8="S2",K8="K5")),P8,TRUE,"Check Data")</f>
        <v/>
      </c>
      <c r="AJ8" s="75" t="str">
        <f t="shared" si="10"/>
        <v>Check Data</v>
      </c>
      <c r="AK8" s="76" t="str">
        <f t="shared" si="11"/>
        <v>Check Data</v>
      </c>
      <c r="AL8" s="50" t="str">
        <f t="shared" si="12"/>
        <v>Check Data</v>
      </c>
      <c r="AM8" s="49" t="str">
        <f>IF(B8="","",IF(K8="S1","S1",INDEX(#REF!,#REF!)))</f>
        <v/>
      </c>
      <c r="AN8" s="49" t="str">
        <f t="shared" si="13"/>
        <v>M2</v>
      </c>
      <c r="AO8" s="50" t="b">
        <f>K8=AM8</f>
        <v>0</v>
      </c>
      <c r="AP8" s="50"/>
    </row>
    <row r="9" spans="1:42" ht="21.75">
      <c r="A9" s="49">
        <v>7</v>
      </c>
      <c r="B9" s="50"/>
      <c r="C9" s="50"/>
      <c r="D9" s="50" t="s">
        <v>143</v>
      </c>
      <c r="E9" s="49" t="s">
        <v>327</v>
      </c>
      <c r="F9" s="49" t="str">
        <f t="shared" si="0"/>
        <v>21/06/1988</v>
      </c>
      <c r="G9" s="50">
        <f t="shared" si="1"/>
        <v>36</v>
      </c>
      <c r="H9" s="50">
        <f t="shared" si="2"/>
        <v>11</v>
      </c>
      <c r="I9" s="50">
        <f t="shared" si="3"/>
        <v>30</v>
      </c>
      <c r="J9" s="59"/>
      <c r="K9" s="49" t="s">
        <v>136</v>
      </c>
      <c r="L9" s="64"/>
      <c r="M9" s="49" t="s">
        <v>425</v>
      </c>
      <c r="N9" s="49">
        <v>2570</v>
      </c>
      <c r="O9" s="65" t="s">
        <v>301</v>
      </c>
      <c r="P9" s="49" t="str">
        <f t="shared" si="4"/>
        <v>29/11/2018</v>
      </c>
      <c r="Q9" s="68">
        <f>IF(P9="",0,DATEDIF(P9,$C$1,"Y"))</f>
        <v>6</v>
      </c>
      <c r="R9" s="68">
        <f>IF(P9="",0,DATEDIF(P9,$C$1,"YM"))</f>
        <v>6</v>
      </c>
      <c r="S9" s="68">
        <f>IF(P9="",0,DATEDIF(P9,$C$1,"MD"))</f>
        <v>22</v>
      </c>
      <c r="T9" s="65"/>
      <c r="U9" s="65"/>
      <c r="V9" s="49" t="str">
        <f t="shared" si="5"/>
        <v/>
      </c>
      <c r="W9" s="68">
        <f>IF(V9="",0,DATEDIF(V9,P9,"Y"))</f>
        <v>0</v>
      </c>
      <c r="X9" s="68">
        <f>IF(V9="",0,DATEDIF(V9,P9,"YM"))</f>
        <v>0</v>
      </c>
      <c r="Y9" s="68">
        <f>IF(V9="",0,DATEDIF(V9,P9,"MD"))</f>
        <v>0</v>
      </c>
      <c r="Z9" s="49"/>
      <c r="AA9" s="65"/>
      <c r="AB9" s="50" t="str">
        <f t="shared" si="6"/>
        <v/>
      </c>
      <c r="AC9" s="68">
        <f t="shared" si="7"/>
        <v>0</v>
      </c>
      <c r="AD9" s="68">
        <f t="shared" si="8"/>
        <v>0</v>
      </c>
      <c r="AE9" s="68">
        <f t="shared" si="9"/>
        <v>0</v>
      </c>
      <c r="AF9" s="50"/>
      <c r="AG9" s="50" t="s">
        <v>138</v>
      </c>
      <c r="AH9" s="49" t="str">
        <f>IF(AG9="นิติศาสตร์","K5-LAW","K5-POLICY")</f>
        <v>K5-LAW</v>
      </c>
      <c r="AI9" s="72" t="str">
        <f>_xlfn.IFS(B9="","",AND(AH9="K5-LAW",AG9="นิติศาสตร์",K9="S2",T9="",Z9=""),P9,AND(AH9="K5-LAW",AG9="นิติศาสตร์",K9="S1",T9="",Z9=""),EDATE(P9,12),AND(AH9="K5-LAW",AG9="นิติศาสตร์",OR(K9="M2",K9="K4"),T9="",Z9=""),EDATE(P9,12*2),AND(AH9="K5-LAW",AG9="นิติศาสตร์",OR(Z9="M2",Z9="K4"),AC9&gt;=2,OR(AB9&lt;V9,AB9&lt;P9)),EDATE(AB9,12*2),AND(AH9="K5-LAW",AG9="นิติศาสตร์",Z9="S1",AC9&gt;=1,OR(AB9&lt;V9,AB9&lt;P9)),EDATE(AB9,12),AND(AH9="K5-LAW",AG9="นิติศาสตร์",OR(T9="M2",T9="K4"),W9&gt;=2,V9&lt;P9),EDATE(V9,12*2),AND(AH9="K5-LAW",AG9="นิติศาสตร์",T9="S1",W9&gt;=1,V9&lt;P9),EDATE(V9,12),AND(AH9="K5-LAW",AG9="นิติศาสตร์",OR(T9="S2",T9="K5")),V9,AND(AH9="K5-LAW",AG9="นิติศาสตร์",OR(K9="M2",K9="K4"),Q9&gt;=2),EDATE(P9,12*2),AND(AH9="K5-LAW",AG9="นิติศาสตร์",K9="S1",Q9&gt;=1),EDATE(P9,12),AND(AH9="K5-LAW",AG9="นิติศาสตร์",OR(K9="S2",K9="K5")),P9,AND(AH9="K5-POLICY",AG9&lt;&gt;"นิติศาสตร์",K9="S2",T9="",Z9=""),P9,AND(AH9="K5-POLICY",AG9&lt;&gt;"นิติศาสตร์",K9="S1",T9="",Z9=""),EDATE(P9,12),AND(AH9="K5-POLICY",AG9&lt;&gt;"นิติศาสตร์",OR(K9="M2",K9="K4"),T9="",Z9=""),EDATE(P9,12*2),AND(AH9="K5-POLICY",AG9&lt;&gt;"นิติศาสตร์",OR(Z9="M2",Z9="K4"),AC9&gt;=2,OR(AB9&lt;V9,AB9&lt;P9)),EDATE(AB9,12*2),AND(AH9="K5-POLICY",AG9&lt;&gt;"นิติศาสตร์",Z9="S1",AC9&gt;=1,OR(AB9&lt;V9,AB9&lt;P9)),EDATE(AB9,12),AND(AH9="K5-POLICY",AG9&lt;&gt;"นิติศาสตร์",OR(T9="M2",T9="K4"),W9&gt;=2,V9&lt;P9),EDATE(V9,12*2),AND(AH9="K5-POLICY",AG9&lt;&gt;"นิติศาสตร์",T9="S1",W9&gt;=1,V9&lt;P9),EDATE(V9,12),AND(AH9="K5-POLICY",AG9&lt;&gt;"นิติศาสตร์",OR(T9="S2",T9="K5")),V9,AND(AH9="K5-POLICY",AG9&lt;&gt;"นิติศาสตร์",OR(K9="M2",K9="K4"),Q9&gt;=2),EDATE(P9,12*2),AND(AH9="K5-POLICY",AG9&lt;&gt;"นิติศาสตร์",K9="S1",Q9&gt;=1),EDATE(P9,12),AND(AH9="K5-POLICY",AG9&lt;&gt;"นิติศาสตร์",OR(K9="S2",K9="K5")),P9,TRUE,"Check Data")</f>
        <v/>
      </c>
      <c r="AJ9" s="75" t="str">
        <f t="shared" si="10"/>
        <v>Check Data</v>
      </c>
      <c r="AK9" s="76" t="str">
        <f t="shared" si="11"/>
        <v>Check Data</v>
      </c>
      <c r="AL9" s="50" t="str">
        <f t="shared" si="12"/>
        <v>Check Data</v>
      </c>
      <c r="AM9" s="49" t="str">
        <f>IF(B9="","",IF(K9="S1","S1",INDEX(#REF!,#REF!)))</f>
        <v/>
      </c>
      <c r="AN9" s="49" t="str">
        <f t="shared" si="13"/>
        <v>M2</v>
      </c>
      <c r="AO9" s="50" t="b">
        <f>K9=AM9</f>
        <v>0</v>
      </c>
      <c r="AP9" s="50"/>
    </row>
    <row r="10" spans="1:42" ht="21.75">
      <c r="A10" s="49">
        <v>8</v>
      </c>
      <c r="B10" s="50"/>
      <c r="C10" s="50"/>
      <c r="D10" s="50" t="s">
        <v>143</v>
      </c>
      <c r="E10" s="49" t="s">
        <v>246</v>
      </c>
      <c r="F10" s="49" t="str">
        <f t="shared" si="0"/>
        <v>13/06/1994</v>
      </c>
      <c r="G10" s="50">
        <f t="shared" si="1"/>
        <v>31</v>
      </c>
      <c r="H10" s="50">
        <f t="shared" si="2"/>
        <v>0</v>
      </c>
      <c r="I10" s="50">
        <f t="shared" si="3"/>
        <v>7</v>
      </c>
      <c r="J10" s="59"/>
      <c r="K10" s="49" t="s">
        <v>136</v>
      </c>
      <c r="L10" s="64"/>
      <c r="M10" s="49" t="s">
        <v>425</v>
      </c>
      <c r="N10" s="49">
        <v>2569</v>
      </c>
      <c r="O10" s="65" t="s">
        <v>301</v>
      </c>
      <c r="P10" s="49" t="str">
        <f t="shared" si="4"/>
        <v>29/11/2018</v>
      </c>
      <c r="Q10" s="68">
        <f>IF(P10="",0,DATEDIF(P10,$C$1,"Y"))</f>
        <v>6</v>
      </c>
      <c r="R10" s="68">
        <f>IF(P10="",0,DATEDIF(P10,$C$1,"YM"))</f>
        <v>6</v>
      </c>
      <c r="S10" s="68">
        <f>IF(P10="",0,DATEDIF(P10,$C$1,"MD"))</f>
        <v>22</v>
      </c>
      <c r="T10" s="65"/>
      <c r="U10" s="65"/>
      <c r="V10" s="49" t="str">
        <f t="shared" si="5"/>
        <v/>
      </c>
      <c r="W10" s="68">
        <f>IF(V10="",0,DATEDIF(V10,P10,"Y"))</f>
        <v>0</v>
      </c>
      <c r="X10" s="68">
        <f>IF(V10="",0,DATEDIF(V10,P10,"YM"))</f>
        <v>0</v>
      </c>
      <c r="Y10" s="68">
        <f>IF(V10="",0,DATEDIF(V10,P10,"MD"))</f>
        <v>0</v>
      </c>
      <c r="Z10" s="49"/>
      <c r="AA10" s="65"/>
      <c r="AB10" s="50" t="str">
        <f t="shared" si="6"/>
        <v/>
      </c>
      <c r="AC10" s="68">
        <f t="shared" si="7"/>
        <v>0</v>
      </c>
      <c r="AD10" s="68">
        <f t="shared" si="8"/>
        <v>0</v>
      </c>
      <c r="AE10" s="68">
        <f t="shared" si="9"/>
        <v>0</v>
      </c>
      <c r="AF10" s="50"/>
      <c r="AG10" s="50" t="s">
        <v>138</v>
      </c>
      <c r="AH10" s="49" t="str">
        <f>IF(AG10="นิติศาสตร์","K5-LAW","K5-POLICY")</f>
        <v>K5-LAW</v>
      </c>
      <c r="AI10" s="72" t="str">
        <f>_xlfn.IFS(B10="","",AND(AH10="K5-LAW",AG10="นิติศาสตร์",K10="S2",T10="",Z10=""),P10,AND(AH10="K5-LAW",AG10="นิติศาสตร์",K10="S1",T10="",Z10=""),EDATE(P10,12),AND(AH10="K5-LAW",AG10="นิติศาสตร์",OR(K10="M2",K10="K4"),T10="",Z10=""),EDATE(P10,12*2),AND(AH10="K5-LAW",AG10="นิติศาสตร์",OR(Z10="M2",Z10="K4"),AC10&gt;=2,OR(AB10&lt;V10,AB10&lt;P10)),EDATE(AB10,12*2),AND(AH10="K5-LAW",AG10="นิติศาสตร์",Z10="S1",AC10&gt;=1,OR(AB10&lt;V10,AB10&lt;P10)),EDATE(AB10,12),AND(AH10="K5-LAW",AG10="นิติศาสตร์",OR(T10="M2",T10="K4"),W10&gt;=2,V10&lt;P10),EDATE(V10,12*2),AND(AH10="K5-LAW",AG10="นิติศาสตร์",T10="S1",W10&gt;=1,V10&lt;P10),EDATE(V10,12),AND(AH10="K5-LAW",AG10="นิติศาสตร์",OR(T10="S2",T10="K5")),V10,AND(AH10="K5-LAW",AG10="นิติศาสตร์",OR(K10="M2",K10="K4"),Q10&gt;=2),EDATE(P10,12*2),AND(AH10="K5-LAW",AG10="นิติศาสตร์",K10="S1",Q10&gt;=1),EDATE(P10,12),AND(AH10="K5-LAW",AG10="นิติศาสตร์",OR(K10="S2",K10="K5")),P10,AND(AH10="K5-POLICY",AG10&lt;&gt;"นิติศาสตร์",K10="S2",T10="",Z10=""),P10,AND(AH10="K5-POLICY",AG10&lt;&gt;"นิติศาสตร์",K10="S1",T10="",Z10=""),EDATE(P10,12),AND(AH10="K5-POLICY",AG10&lt;&gt;"นิติศาสตร์",OR(K10="M2",K10="K4"),T10="",Z10=""),EDATE(P10,12*2),AND(AH10="K5-POLICY",AG10&lt;&gt;"นิติศาสตร์",OR(Z10="M2",Z10="K4"),AC10&gt;=2,OR(AB10&lt;V10,AB10&lt;P10)),EDATE(AB10,12*2),AND(AH10="K5-POLICY",AG10&lt;&gt;"นิติศาสตร์",Z10="S1",AC10&gt;=1,OR(AB10&lt;V10,AB10&lt;P10)),EDATE(AB10,12),AND(AH10="K5-POLICY",AG10&lt;&gt;"นิติศาสตร์",OR(T10="M2",T10="K4"),W10&gt;=2,V10&lt;P10),EDATE(V10,12*2),AND(AH10="K5-POLICY",AG10&lt;&gt;"นิติศาสตร์",T10="S1",W10&gt;=1,V10&lt;P10),EDATE(V10,12),AND(AH10="K5-POLICY",AG10&lt;&gt;"นิติศาสตร์",OR(T10="S2",T10="K5")),V10,AND(AH10="K5-POLICY",AG10&lt;&gt;"นิติศาสตร์",OR(K10="M2",K10="K4"),Q10&gt;=2),EDATE(P10,12*2),AND(AH10="K5-POLICY",AG10&lt;&gt;"นิติศาสตร์",K10="S1",Q10&gt;=1),EDATE(P10,12),AND(AH10="K5-POLICY",AG10&lt;&gt;"นิติศาสตร์",OR(K10="S2",K10="K5")),P10,TRUE,"Check Data")</f>
        <v/>
      </c>
      <c r="AJ10" s="75" t="str">
        <f t="shared" si="10"/>
        <v>Check Data</v>
      </c>
      <c r="AK10" s="76" t="str">
        <f t="shared" si="11"/>
        <v>Check Data</v>
      </c>
      <c r="AL10" s="50" t="str">
        <f t="shared" si="12"/>
        <v>Check Data</v>
      </c>
      <c r="AM10" s="49" t="str">
        <f>IF(B10="","",IF(K10="S1","S1",INDEX(#REF!,#REF!)))</f>
        <v/>
      </c>
      <c r="AN10" s="49" t="str">
        <f t="shared" si="13"/>
        <v>M2</v>
      </c>
      <c r="AO10" s="50" t="b">
        <f>K10=AM10</f>
        <v>0</v>
      </c>
      <c r="AP10" s="50"/>
    </row>
    <row r="11" spans="1:42" ht="21.75">
      <c r="A11" s="49">
        <v>9</v>
      </c>
      <c r="B11" s="50"/>
      <c r="C11" s="50"/>
      <c r="D11" s="50" t="s">
        <v>141</v>
      </c>
      <c r="E11" s="49" t="s">
        <v>260</v>
      </c>
      <c r="F11" s="49" t="str">
        <f t="shared" si="0"/>
        <v>04/03/1996</v>
      </c>
      <c r="G11" s="50">
        <f t="shared" si="1"/>
        <v>29</v>
      </c>
      <c r="H11" s="50">
        <f t="shared" si="2"/>
        <v>3</v>
      </c>
      <c r="I11" s="50">
        <f t="shared" si="3"/>
        <v>16</v>
      </c>
      <c r="J11" s="60"/>
      <c r="K11" s="49" t="s">
        <v>136</v>
      </c>
      <c r="L11" s="64"/>
      <c r="M11" s="49" t="s">
        <v>425</v>
      </c>
      <c r="N11" s="49">
        <v>2571</v>
      </c>
      <c r="O11" s="65" t="s">
        <v>248</v>
      </c>
      <c r="P11" s="49" t="str">
        <f t="shared" si="4"/>
        <v>03/04/2019</v>
      </c>
      <c r="Q11" s="68">
        <f>IF(P11="",0,DATEDIF(P11,$C$1,"Y"))</f>
        <v>6</v>
      </c>
      <c r="R11" s="68">
        <f>IF(P11="",0,DATEDIF(P11,$C$1,"YM"))</f>
        <v>2</v>
      </c>
      <c r="S11" s="68">
        <f>IF(P11="",0,DATEDIF(P11,$C$1,"MD"))</f>
        <v>17</v>
      </c>
      <c r="T11" s="65"/>
      <c r="U11" s="65"/>
      <c r="V11" s="49" t="str">
        <f t="shared" si="5"/>
        <v/>
      </c>
      <c r="W11" s="68">
        <f>IF(V11="",0,DATEDIF(V11,P11,"Y"))</f>
        <v>0</v>
      </c>
      <c r="X11" s="68">
        <f>IF(V11="",0,DATEDIF(V11,P11,"YM"))</f>
        <v>0</v>
      </c>
      <c r="Y11" s="68">
        <f>IF(V11="",0,DATEDIF(V11,P11,"MD"))</f>
        <v>0</v>
      </c>
      <c r="Z11" s="49"/>
      <c r="AA11" s="65"/>
      <c r="AB11" s="50" t="str">
        <f t="shared" si="6"/>
        <v/>
      </c>
      <c r="AC11" s="68">
        <f t="shared" si="7"/>
        <v>0</v>
      </c>
      <c r="AD11" s="68">
        <f t="shared" si="8"/>
        <v>0</v>
      </c>
      <c r="AE11" s="68">
        <f t="shared" si="9"/>
        <v>0</v>
      </c>
      <c r="AF11" s="50"/>
      <c r="AG11" s="50" t="s">
        <v>138</v>
      </c>
      <c r="AH11" s="49" t="str">
        <f>IF(AG11="นิติศาสตร์","K5-LAW","K5-POLICY")</f>
        <v>K5-LAW</v>
      </c>
      <c r="AI11" s="72" t="str">
        <f>_xlfn.IFS(B11="","",AND(AH11="K5-LAW",AG11="นิติศาสตร์",K11="S2",T11="",Z11=""),P11,AND(AH11="K5-LAW",AG11="นิติศาสตร์",K11="S1",T11="",Z11=""),EDATE(P11,12),AND(AH11="K5-LAW",AG11="นิติศาสตร์",OR(K11="M2",K11="K4"),T11="",Z11=""),EDATE(P11,12*2),AND(AH11="K5-LAW",AG11="นิติศาสตร์",OR(Z11="M2",Z11="K4"),AC11&gt;=2,OR(AB11&lt;V11,AB11&lt;P11)),EDATE(AB11,12*2),AND(AH11="K5-LAW",AG11="นิติศาสตร์",Z11="S1",AC11&gt;=1,OR(AB11&lt;V11,AB11&lt;P11)),EDATE(AB11,12),AND(AH11="K5-LAW",AG11="นิติศาสตร์",OR(T11="M2",T11="K4"),W11&gt;=2,V11&lt;P11),EDATE(V11,12*2),AND(AH11="K5-LAW",AG11="นิติศาสตร์",T11="S1",W11&gt;=1,V11&lt;P11),EDATE(V11,12),AND(AH11="K5-LAW",AG11="นิติศาสตร์",OR(T11="S2",T11="K5")),V11,AND(AH11="K5-LAW",AG11="นิติศาสตร์",OR(K11="M2",K11="K4"),Q11&gt;=2),EDATE(P11,12*2),AND(AH11="K5-LAW",AG11="นิติศาสตร์",K11="S1",Q11&gt;=1),EDATE(P11,12),AND(AH11="K5-LAW",AG11="นิติศาสตร์",OR(K11="S2",K11="K5")),P11,AND(AH11="K5-POLICY",AG11&lt;&gt;"นิติศาสตร์",K11="S2",T11="",Z11=""),P11,AND(AH11="K5-POLICY",AG11&lt;&gt;"นิติศาสตร์",K11="S1",T11="",Z11=""),EDATE(P11,12),AND(AH11="K5-POLICY",AG11&lt;&gt;"นิติศาสตร์",OR(K11="M2",K11="K4"),T11="",Z11=""),EDATE(P11,12*2),AND(AH11="K5-POLICY",AG11&lt;&gt;"นิติศาสตร์",OR(Z11="M2",Z11="K4"),AC11&gt;=2,OR(AB11&lt;V11,AB11&lt;P11)),EDATE(AB11,12*2),AND(AH11="K5-POLICY",AG11&lt;&gt;"นิติศาสตร์",Z11="S1",AC11&gt;=1,OR(AB11&lt;V11,AB11&lt;P11)),EDATE(AB11,12),AND(AH11="K5-POLICY",AG11&lt;&gt;"นิติศาสตร์",OR(T11="M2",T11="K4"),W11&gt;=2,V11&lt;P11),EDATE(V11,12*2),AND(AH11="K5-POLICY",AG11&lt;&gt;"นิติศาสตร์",T11="S1",W11&gt;=1,V11&lt;P11),EDATE(V11,12),AND(AH11="K5-POLICY",AG11&lt;&gt;"นิติศาสตร์",OR(T11="S2",T11="K5")),V11,AND(AH11="K5-POLICY",AG11&lt;&gt;"นิติศาสตร์",OR(K11="M2",K11="K4"),Q11&gt;=2),EDATE(P11,12*2),AND(AH11="K5-POLICY",AG11&lt;&gt;"นิติศาสตร์",K11="S1",Q11&gt;=1),EDATE(P11,12),AND(AH11="K5-POLICY",AG11&lt;&gt;"นิติศาสตร์",OR(K11="S2",K11="K5")),P11,TRUE,"Check Data")</f>
        <v/>
      </c>
      <c r="AJ11" s="75" t="str">
        <f t="shared" si="10"/>
        <v>Check Data</v>
      </c>
      <c r="AK11" s="76" t="str">
        <f t="shared" si="11"/>
        <v>Check Data</v>
      </c>
      <c r="AL11" s="50" t="str">
        <f t="shared" si="12"/>
        <v>Check Data</v>
      </c>
      <c r="AM11" s="49" t="str">
        <f>IF(B11="","",IF(K11="S1","S1",INDEX(#REF!,#REF!)))</f>
        <v/>
      </c>
      <c r="AN11" s="49" t="str">
        <f t="shared" si="13"/>
        <v>M2</v>
      </c>
      <c r="AO11" s="50" t="b">
        <f>K11=AM11</f>
        <v>0</v>
      </c>
      <c r="AP11" s="50"/>
    </row>
    <row r="12" spans="1:42" ht="21.75">
      <c r="A12" s="49">
        <v>10</v>
      </c>
      <c r="B12" s="50"/>
      <c r="C12" s="50"/>
      <c r="D12" s="50" t="s">
        <v>140</v>
      </c>
      <c r="E12" s="49" t="s">
        <v>239</v>
      </c>
      <c r="F12" s="49" t="str">
        <f t="shared" si="0"/>
        <v>01/05/1985</v>
      </c>
      <c r="G12" s="50">
        <f t="shared" si="1"/>
        <v>40</v>
      </c>
      <c r="H12" s="50">
        <f t="shared" si="2"/>
        <v>1</v>
      </c>
      <c r="I12" s="50">
        <f t="shared" si="3"/>
        <v>19</v>
      </c>
      <c r="J12" s="57"/>
      <c r="K12" s="49" t="s">
        <v>136</v>
      </c>
      <c r="L12" s="64"/>
      <c r="M12" s="49" t="s">
        <v>425</v>
      </c>
      <c r="N12" s="49">
        <v>2568</v>
      </c>
      <c r="O12" s="65" t="s">
        <v>213</v>
      </c>
      <c r="P12" s="49" t="str">
        <f t="shared" si="4"/>
        <v>07/05/2019</v>
      </c>
      <c r="Q12" s="68">
        <f>IF(P12="",0,DATEDIF(P12,$C$1,"Y"))</f>
        <v>6</v>
      </c>
      <c r="R12" s="68">
        <f>IF(P12="",0,DATEDIF(P12,$C$1,"YM"))</f>
        <v>1</v>
      </c>
      <c r="S12" s="68">
        <f>IF(P12="",0,DATEDIF(P12,$C$1,"MD"))</f>
        <v>13</v>
      </c>
      <c r="T12" s="65"/>
      <c r="U12" s="65"/>
      <c r="V12" s="49" t="str">
        <f t="shared" si="5"/>
        <v/>
      </c>
      <c r="W12" s="68">
        <f>IF(V12="",0,DATEDIF(V12,P12,"Y"))</f>
        <v>0</v>
      </c>
      <c r="X12" s="68">
        <f>IF(V12="",0,DATEDIF(V12,P12,"YM"))</f>
        <v>0</v>
      </c>
      <c r="Y12" s="68">
        <f>IF(V12="",0,DATEDIF(V12,P12,"MD"))</f>
        <v>0</v>
      </c>
      <c r="Z12" s="49"/>
      <c r="AA12" s="65"/>
      <c r="AB12" s="50" t="str">
        <f t="shared" si="6"/>
        <v/>
      </c>
      <c r="AC12" s="68">
        <f t="shared" si="7"/>
        <v>0</v>
      </c>
      <c r="AD12" s="68">
        <f t="shared" si="8"/>
        <v>0</v>
      </c>
      <c r="AE12" s="68">
        <f t="shared" si="9"/>
        <v>0</v>
      </c>
      <c r="AF12" s="50"/>
      <c r="AG12" s="50" t="s">
        <v>138</v>
      </c>
      <c r="AH12" s="49" t="str">
        <f>IF(AG12="นิติศาสตร์","K5-LAW","K5-POLICY")</f>
        <v>K5-LAW</v>
      </c>
      <c r="AI12" s="72" t="str">
        <f>_xlfn.IFS(B12="","",AND(AH12="K5-LAW",AG12="นิติศาสตร์",K12="S2",T12="",Z12=""),P12,AND(AH12="K5-LAW",AG12="นิติศาสตร์",K12="S1",T12="",Z12=""),EDATE(P12,12),AND(AH12="K5-LAW",AG12="นิติศาสตร์",OR(K12="M2",K12="K4"),T12="",Z12=""),EDATE(P12,12*2),AND(AH12="K5-LAW",AG12="นิติศาสตร์",OR(Z12="M2",Z12="K4"),AC12&gt;=2,OR(AB12&lt;V12,AB12&lt;P12)),EDATE(AB12,12*2),AND(AH12="K5-LAW",AG12="นิติศาสตร์",Z12="S1",AC12&gt;=1,OR(AB12&lt;V12,AB12&lt;P12)),EDATE(AB12,12),AND(AH12="K5-LAW",AG12="นิติศาสตร์",OR(T12="M2",T12="K4"),W12&gt;=2,V12&lt;P12),EDATE(V12,12*2),AND(AH12="K5-LAW",AG12="นิติศาสตร์",T12="S1",W12&gt;=1,V12&lt;P12),EDATE(V12,12),AND(AH12="K5-LAW",AG12="นิติศาสตร์",OR(T12="S2",T12="K5")),V12,AND(AH12="K5-LAW",AG12="นิติศาสตร์",OR(K12="M2",K12="K4"),Q12&gt;=2),EDATE(P12,12*2),AND(AH12="K5-LAW",AG12="นิติศาสตร์",K12="S1",Q12&gt;=1),EDATE(P12,12),AND(AH12="K5-LAW",AG12="นิติศาสตร์",OR(K12="S2",K12="K5")),P12,AND(AH12="K5-POLICY",AG12&lt;&gt;"นิติศาสตร์",K12="S2",T12="",Z12=""),P12,AND(AH12="K5-POLICY",AG12&lt;&gt;"นิติศาสตร์",K12="S1",T12="",Z12=""),EDATE(P12,12),AND(AH12="K5-POLICY",AG12&lt;&gt;"นิติศาสตร์",OR(K12="M2",K12="K4"),T12="",Z12=""),EDATE(P12,12*2),AND(AH12="K5-POLICY",AG12&lt;&gt;"นิติศาสตร์",OR(Z12="M2",Z12="K4"),AC12&gt;=2,OR(AB12&lt;V12,AB12&lt;P12)),EDATE(AB12,12*2),AND(AH12="K5-POLICY",AG12&lt;&gt;"นิติศาสตร์",Z12="S1",AC12&gt;=1,OR(AB12&lt;V12,AB12&lt;P12)),EDATE(AB12,12),AND(AH12="K5-POLICY",AG12&lt;&gt;"นิติศาสตร์",OR(T12="M2",T12="K4"),W12&gt;=2,V12&lt;P12),EDATE(V12,12*2),AND(AH12="K5-POLICY",AG12&lt;&gt;"นิติศาสตร์",T12="S1",W12&gt;=1,V12&lt;P12),EDATE(V12,12),AND(AH12="K5-POLICY",AG12&lt;&gt;"นิติศาสตร์",OR(T12="S2",T12="K5")),V12,AND(AH12="K5-POLICY",AG12&lt;&gt;"นิติศาสตร์",OR(K12="M2",K12="K4"),Q12&gt;=2),EDATE(P12,12*2),AND(AH12="K5-POLICY",AG12&lt;&gt;"นิติศาสตร์",K12="S1",Q12&gt;=1),EDATE(P12,12),AND(AH12="K5-POLICY",AG12&lt;&gt;"นิติศาสตร์",OR(K12="S2",K12="K5")),P12,TRUE,"Check Data")</f>
        <v/>
      </c>
      <c r="AJ12" s="75" t="str">
        <f t="shared" si="10"/>
        <v>Check Data</v>
      </c>
      <c r="AK12" s="76" t="str">
        <f t="shared" si="11"/>
        <v>Check Data</v>
      </c>
      <c r="AL12" s="50" t="str">
        <f t="shared" si="12"/>
        <v>Check Data</v>
      </c>
      <c r="AM12" s="49" t="str">
        <f>IF(B12="","",IF(K12="S1","S1",INDEX(#REF!,#REF!)))</f>
        <v/>
      </c>
      <c r="AN12" s="49" t="str">
        <f t="shared" si="13"/>
        <v>M2</v>
      </c>
      <c r="AO12" s="50" t="b">
        <f>K12=AM12</f>
        <v>0</v>
      </c>
      <c r="AP12" s="50"/>
    </row>
    <row r="13" spans="1:42" ht="21.75">
      <c r="A13" s="49">
        <v>11</v>
      </c>
      <c r="B13" s="50"/>
      <c r="C13" s="50"/>
      <c r="D13" s="50" t="s">
        <v>144</v>
      </c>
      <c r="E13" s="49" t="s">
        <v>386</v>
      </c>
      <c r="F13" s="49" t="str">
        <f t="shared" si="0"/>
        <v>07/02/1994</v>
      </c>
      <c r="G13" s="50">
        <f t="shared" si="1"/>
        <v>31</v>
      </c>
      <c r="H13" s="50">
        <f t="shared" si="2"/>
        <v>4</v>
      </c>
      <c r="I13" s="50">
        <f t="shared" si="3"/>
        <v>13</v>
      </c>
      <c r="J13" s="57"/>
      <c r="K13" s="49" t="s">
        <v>136</v>
      </c>
      <c r="L13" s="64"/>
      <c r="M13" s="49" t="s">
        <v>425</v>
      </c>
      <c r="N13" s="49">
        <v>2568</v>
      </c>
      <c r="O13" s="65" t="s">
        <v>387</v>
      </c>
      <c r="P13" s="49" t="str">
        <f t="shared" si="4"/>
        <v>01/07/2019</v>
      </c>
      <c r="Q13" s="68">
        <f>IF(P13="",0,DATEDIF(P13,$C$1,"Y"))</f>
        <v>5</v>
      </c>
      <c r="R13" s="68">
        <f>IF(P13="",0,DATEDIF(P13,$C$1,"YM"))</f>
        <v>11</v>
      </c>
      <c r="S13" s="68">
        <f>IF(P13="",0,DATEDIF(P13,$C$1,"MD"))</f>
        <v>19</v>
      </c>
      <c r="T13" s="65"/>
      <c r="U13" s="65"/>
      <c r="V13" s="49" t="str">
        <f t="shared" si="5"/>
        <v/>
      </c>
      <c r="W13" s="68">
        <f>IF(V13="",0,DATEDIF(V13,P13,"Y"))</f>
        <v>0</v>
      </c>
      <c r="X13" s="68">
        <f>IF(V13="",0,DATEDIF(V13,P13,"YM"))</f>
        <v>0</v>
      </c>
      <c r="Y13" s="68">
        <f>IF(V13="",0,DATEDIF(V13,P13,"MD"))</f>
        <v>0</v>
      </c>
      <c r="Z13" s="49"/>
      <c r="AA13" s="65"/>
      <c r="AB13" s="50" t="str">
        <f t="shared" si="6"/>
        <v/>
      </c>
      <c r="AC13" s="68">
        <f t="shared" si="7"/>
        <v>0</v>
      </c>
      <c r="AD13" s="68">
        <f t="shared" si="8"/>
        <v>0</v>
      </c>
      <c r="AE13" s="68">
        <f t="shared" si="9"/>
        <v>0</v>
      </c>
      <c r="AF13" s="50"/>
      <c r="AG13" s="50" t="s">
        <v>138</v>
      </c>
      <c r="AH13" s="49" t="str">
        <f>IF(AG13="นิติศาสตร์","K5-LAW","K5-POLICY")</f>
        <v>K5-LAW</v>
      </c>
      <c r="AI13" s="72" t="str">
        <f>_xlfn.IFS(B13="","",AND(AH13="K5-LAW",AG13="นิติศาสตร์",K13="S2",T13="",Z13=""),P13,AND(AH13="K5-LAW",AG13="นิติศาสตร์",K13="S1",T13="",Z13=""),EDATE(P13,12),AND(AH13="K5-LAW",AG13="นิติศาสตร์",OR(K13="M2",K13="K4"),T13="",Z13=""),EDATE(P13,12*2),AND(AH13="K5-LAW",AG13="นิติศาสตร์",OR(Z13="M2",Z13="K4"),AC13&gt;=2,OR(AB13&lt;V13,AB13&lt;P13)),EDATE(AB13,12*2),AND(AH13="K5-LAW",AG13="นิติศาสตร์",Z13="S1",AC13&gt;=1,OR(AB13&lt;V13,AB13&lt;P13)),EDATE(AB13,12),AND(AH13="K5-LAW",AG13="นิติศาสตร์",OR(T13="M2",T13="K4"),W13&gt;=2,V13&lt;P13),EDATE(V13,12*2),AND(AH13="K5-LAW",AG13="นิติศาสตร์",T13="S1",W13&gt;=1,V13&lt;P13),EDATE(V13,12),AND(AH13="K5-LAW",AG13="นิติศาสตร์",OR(T13="S2",T13="K5")),V13,AND(AH13="K5-LAW",AG13="นิติศาสตร์",OR(K13="M2",K13="K4"),Q13&gt;=2),EDATE(P13,12*2),AND(AH13="K5-LAW",AG13="นิติศาสตร์",K13="S1",Q13&gt;=1),EDATE(P13,12),AND(AH13="K5-LAW",AG13="นิติศาสตร์",OR(K13="S2",K13="K5")),P13,AND(AH13="K5-POLICY",AG13&lt;&gt;"นิติศาสตร์",K13="S2",T13="",Z13=""),P13,AND(AH13="K5-POLICY",AG13&lt;&gt;"นิติศาสตร์",K13="S1",T13="",Z13=""),EDATE(P13,12),AND(AH13="K5-POLICY",AG13&lt;&gt;"นิติศาสตร์",OR(K13="M2",K13="K4"),T13="",Z13=""),EDATE(P13,12*2),AND(AH13="K5-POLICY",AG13&lt;&gt;"นิติศาสตร์",OR(Z13="M2",Z13="K4"),AC13&gt;=2,OR(AB13&lt;V13,AB13&lt;P13)),EDATE(AB13,12*2),AND(AH13="K5-POLICY",AG13&lt;&gt;"นิติศาสตร์",Z13="S1",AC13&gt;=1,OR(AB13&lt;V13,AB13&lt;P13)),EDATE(AB13,12),AND(AH13="K5-POLICY",AG13&lt;&gt;"นิติศาสตร์",OR(T13="M2",T13="K4"),W13&gt;=2,V13&lt;P13),EDATE(V13,12*2),AND(AH13="K5-POLICY",AG13&lt;&gt;"นิติศาสตร์",T13="S1",W13&gt;=1,V13&lt;P13),EDATE(V13,12),AND(AH13="K5-POLICY",AG13&lt;&gt;"นิติศาสตร์",OR(T13="S2",T13="K5")),V13,AND(AH13="K5-POLICY",AG13&lt;&gt;"นิติศาสตร์",OR(K13="M2",K13="K4"),Q13&gt;=2),EDATE(P13,12*2),AND(AH13="K5-POLICY",AG13&lt;&gt;"นิติศาสตร์",K13="S1",Q13&gt;=1),EDATE(P13,12),AND(AH13="K5-POLICY",AG13&lt;&gt;"นิติศาสตร์",OR(K13="S2",K13="K5")),P13,TRUE,"Check Data")</f>
        <v/>
      </c>
      <c r="AJ13" s="75" t="str">
        <f t="shared" si="10"/>
        <v>Check Data</v>
      </c>
      <c r="AK13" s="76" t="str">
        <f t="shared" si="11"/>
        <v>Check Data</v>
      </c>
      <c r="AL13" s="50" t="str">
        <f t="shared" si="12"/>
        <v>Check Data</v>
      </c>
      <c r="AM13" s="49" t="str">
        <f>IF(B13="","",IF(K13="S1","S1",INDEX(#REF!,#REF!)))</f>
        <v/>
      </c>
      <c r="AN13" s="49" t="str">
        <f t="shared" si="13"/>
        <v>M2</v>
      </c>
      <c r="AO13" s="50" t="b">
        <f>K13=AM13</f>
        <v>0</v>
      </c>
      <c r="AP13" s="50"/>
    </row>
    <row r="14" spans="1:42" ht="21.75">
      <c r="A14" s="49">
        <v>12</v>
      </c>
      <c r="B14" s="50"/>
      <c r="C14" s="50"/>
      <c r="D14" s="50" t="s">
        <v>139</v>
      </c>
      <c r="E14" s="49" t="s">
        <v>229</v>
      </c>
      <c r="F14" s="49" t="str">
        <f t="shared" si="0"/>
        <v>04/10/1993</v>
      </c>
      <c r="G14" s="50">
        <f t="shared" si="1"/>
        <v>31</v>
      </c>
      <c r="H14" s="50">
        <f t="shared" si="2"/>
        <v>8</v>
      </c>
      <c r="I14" s="50">
        <f t="shared" si="3"/>
        <v>16</v>
      </c>
      <c r="J14" s="56"/>
      <c r="K14" s="49" t="s">
        <v>136</v>
      </c>
      <c r="L14" s="64"/>
      <c r="M14" s="49" t="s">
        <v>425</v>
      </c>
      <c r="N14" s="49">
        <v>2569</v>
      </c>
      <c r="O14" s="65" t="s">
        <v>228</v>
      </c>
      <c r="P14" s="49" t="str">
        <f t="shared" si="4"/>
        <v>04/12/2019</v>
      </c>
      <c r="Q14" s="68">
        <f>IF(P14="",0,DATEDIF(P14,$C$1,"Y"))</f>
        <v>5</v>
      </c>
      <c r="R14" s="68">
        <f>IF(P14="",0,DATEDIF(P14,$C$1,"YM"))</f>
        <v>6</v>
      </c>
      <c r="S14" s="68">
        <f>IF(P14="",0,DATEDIF(P14,$C$1,"MD"))</f>
        <v>16</v>
      </c>
      <c r="T14" s="65"/>
      <c r="U14" s="65"/>
      <c r="V14" s="49" t="str">
        <f t="shared" si="5"/>
        <v/>
      </c>
      <c r="W14" s="68">
        <f>IF(V14="",0,DATEDIF(V14,P14,"Y"))</f>
        <v>0</v>
      </c>
      <c r="X14" s="68">
        <f>IF(V14="",0,DATEDIF(V14,P14,"YM"))</f>
        <v>0</v>
      </c>
      <c r="Y14" s="68">
        <f>IF(V14="",0,DATEDIF(V14,P14,"MD"))</f>
        <v>0</v>
      </c>
      <c r="Z14" s="49"/>
      <c r="AA14" s="65"/>
      <c r="AB14" s="50" t="str">
        <f t="shared" si="6"/>
        <v/>
      </c>
      <c r="AC14" s="68">
        <f t="shared" si="7"/>
        <v>0</v>
      </c>
      <c r="AD14" s="68">
        <f t="shared" si="8"/>
        <v>0</v>
      </c>
      <c r="AE14" s="68">
        <f t="shared" si="9"/>
        <v>0</v>
      </c>
      <c r="AF14" s="50"/>
      <c r="AG14" s="50" t="s">
        <v>138</v>
      </c>
      <c r="AH14" s="49" t="str">
        <f>IF(AG14="นิติศาสตร์","K5-LAW","K5-POLICY")</f>
        <v>K5-LAW</v>
      </c>
      <c r="AI14" s="72" t="str">
        <f>_xlfn.IFS(B14="","",AND(AH14="K5-LAW",AG14="นิติศาสตร์",K14="S2",T14="",Z14=""),P14,AND(AH14="K5-LAW",AG14="นิติศาสตร์",K14="S1",T14="",Z14=""),EDATE(P14,12),AND(AH14="K5-LAW",AG14="นิติศาสตร์",OR(K14="M2",K14="K4"),T14="",Z14=""),EDATE(P14,12*2),AND(AH14="K5-LAW",AG14="นิติศาสตร์",OR(Z14="M2",Z14="K4"),AC14&gt;=2,OR(AB14&lt;V14,AB14&lt;P14)),EDATE(AB14,12*2),AND(AH14="K5-LAW",AG14="นิติศาสตร์",Z14="S1",AC14&gt;=1,OR(AB14&lt;V14,AB14&lt;P14)),EDATE(AB14,12),AND(AH14="K5-LAW",AG14="นิติศาสตร์",OR(T14="M2",T14="K4"),W14&gt;=2,V14&lt;P14),EDATE(V14,12*2),AND(AH14="K5-LAW",AG14="นิติศาสตร์",T14="S1",W14&gt;=1,V14&lt;P14),EDATE(V14,12),AND(AH14="K5-LAW",AG14="นิติศาสตร์",OR(T14="S2",T14="K5")),V14,AND(AH14="K5-LAW",AG14="นิติศาสตร์",OR(K14="M2",K14="K4"),Q14&gt;=2),EDATE(P14,12*2),AND(AH14="K5-LAW",AG14="นิติศาสตร์",K14="S1",Q14&gt;=1),EDATE(P14,12),AND(AH14="K5-LAW",AG14="นิติศาสตร์",OR(K14="S2",K14="K5")),P14,AND(AH14="K5-POLICY",AG14&lt;&gt;"นิติศาสตร์",K14="S2",T14="",Z14=""),P14,AND(AH14="K5-POLICY",AG14&lt;&gt;"นิติศาสตร์",K14="S1",T14="",Z14=""),EDATE(P14,12),AND(AH14="K5-POLICY",AG14&lt;&gt;"นิติศาสตร์",OR(K14="M2",K14="K4"),T14="",Z14=""),EDATE(P14,12*2),AND(AH14="K5-POLICY",AG14&lt;&gt;"นิติศาสตร์",OR(Z14="M2",Z14="K4"),AC14&gt;=2,OR(AB14&lt;V14,AB14&lt;P14)),EDATE(AB14,12*2),AND(AH14="K5-POLICY",AG14&lt;&gt;"นิติศาสตร์",Z14="S1",AC14&gt;=1,OR(AB14&lt;V14,AB14&lt;P14)),EDATE(AB14,12),AND(AH14="K5-POLICY",AG14&lt;&gt;"นิติศาสตร์",OR(T14="M2",T14="K4"),W14&gt;=2,V14&lt;P14),EDATE(V14,12*2),AND(AH14="K5-POLICY",AG14&lt;&gt;"นิติศาสตร์",T14="S1",W14&gt;=1,V14&lt;P14),EDATE(V14,12),AND(AH14="K5-POLICY",AG14&lt;&gt;"นิติศาสตร์",OR(T14="S2",T14="K5")),V14,AND(AH14="K5-POLICY",AG14&lt;&gt;"นิติศาสตร์",OR(K14="M2",K14="K4"),Q14&gt;=2),EDATE(P14,12*2),AND(AH14="K5-POLICY",AG14&lt;&gt;"นิติศาสตร์",K14="S1",Q14&gt;=1),EDATE(P14,12),AND(AH14="K5-POLICY",AG14&lt;&gt;"นิติศาสตร์",OR(K14="S2",K14="K5")),P14,TRUE,"Check Data")</f>
        <v/>
      </c>
      <c r="AJ14" s="75" t="str">
        <f t="shared" si="10"/>
        <v>Check Data</v>
      </c>
      <c r="AK14" s="76" t="str">
        <f t="shared" si="11"/>
        <v>Check Data</v>
      </c>
      <c r="AL14" s="50" t="str">
        <f t="shared" si="12"/>
        <v>Check Data</v>
      </c>
      <c r="AM14" s="49" t="str">
        <f>IF(B14="","",IF(K14="S1","S1",INDEX(#REF!,#REF!)))</f>
        <v/>
      </c>
      <c r="AN14" s="49" t="str">
        <f t="shared" si="13"/>
        <v>M2</v>
      </c>
      <c r="AO14" s="50" t="b">
        <f>K14=AM14</f>
        <v>0</v>
      </c>
      <c r="AP14" s="50"/>
    </row>
    <row r="15" spans="1:42" ht="21.75">
      <c r="A15" s="49">
        <v>13</v>
      </c>
      <c r="B15" s="50"/>
      <c r="C15" s="50"/>
      <c r="D15" s="50" t="s">
        <v>141</v>
      </c>
      <c r="E15" s="49" t="s">
        <v>255</v>
      </c>
      <c r="F15" s="49" t="str">
        <f t="shared" si="0"/>
        <v>20/03/1985</v>
      </c>
      <c r="G15" s="50">
        <f t="shared" si="1"/>
        <v>40</v>
      </c>
      <c r="H15" s="50">
        <f t="shared" si="2"/>
        <v>3</v>
      </c>
      <c r="I15" s="50">
        <f t="shared" si="3"/>
        <v>0</v>
      </c>
      <c r="J15" s="60"/>
      <c r="K15" s="49" t="s">
        <v>136</v>
      </c>
      <c r="L15" s="64"/>
      <c r="M15" s="49" t="s">
        <v>425</v>
      </c>
      <c r="N15" s="49">
        <v>2569</v>
      </c>
      <c r="O15" s="65" t="s">
        <v>228</v>
      </c>
      <c r="P15" s="49" t="str">
        <f t="shared" si="4"/>
        <v>04/12/2019</v>
      </c>
      <c r="Q15" s="68">
        <f>IF(P15="",0,DATEDIF(P15,$C$1,"Y"))</f>
        <v>5</v>
      </c>
      <c r="R15" s="68">
        <f>IF(P15="",0,DATEDIF(P15,$C$1,"YM"))</f>
        <v>6</v>
      </c>
      <c r="S15" s="68">
        <f>IF(P15="",0,DATEDIF(P15,$C$1,"MD"))</f>
        <v>16</v>
      </c>
      <c r="T15" s="65"/>
      <c r="U15" s="65"/>
      <c r="V15" s="49" t="str">
        <f t="shared" si="5"/>
        <v/>
      </c>
      <c r="W15" s="68">
        <f>IF(V15="",0,DATEDIF(V15,P15,"Y"))</f>
        <v>0</v>
      </c>
      <c r="X15" s="68">
        <f>IF(V15="",0,DATEDIF(V15,P15,"YM"))</f>
        <v>0</v>
      </c>
      <c r="Y15" s="68">
        <f>IF(V15="",0,DATEDIF(V15,P15,"MD"))</f>
        <v>0</v>
      </c>
      <c r="Z15" s="49"/>
      <c r="AA15" s="65"/>
      <c r="AB15" s="50" t="str">
        <f t="shared" si="6"/>
        <v/>
      </c>
      <c r="AC15" s="68">
        <f t="shared" si="7"/>
        <v>0</v>
      </c>
      <c r="AD15" s="68">
        <f t="shared" si="8"/>
        <v>0</v>
      </c>
      <c r="AE15" s="68">
        <f t="shared" si="9"/>
        <v>0</v>
      </c>
      <c r="AF15" s="50"/>
      <c r="AG15" s="50" t="s">
        <v>138</v>
      </c>
      <c r="AH15" s="49" t="str">
        <f>IF(AG15="นิติศาสตร์","K5-LAW","K5-POLICY")</f>
        <v>K5-LAW</v>
      </c>
      <c r="AI15" s="72" t="str">
        <f>_xlfn.IFS(B15="","",AND(AH15="K5-LAW",AG15="นิติศาสตร์",K15="S2",T15="",Z15=""),P15,AND(AH15="K5-LAW",AG15="นิติศาสตร์",K15="S1",T15="",Z15=""),EDATE(P15,12),AND(AH15="K5-LAW",AG15="นิติศาสตร์",OR(K15="M2",K15="K4"),T15="",Z15=""),EDATE(P15,12*2),AND(AH15="K5-LAW",AG15="นิติศาสตร์",OR(Z15="M2",Z15="K4"),AC15&gt;=2,OR(AB15&lt;V15,AB15&lt;P15)),EDATE(AB15,12*2),AND(AH15="K5-LAW",AG15="นิติศาสตร์",Z15="S1",AC15&gt;=1,OR(AB15&lt;V15,AB15&lt;P15)),EDATE(AB15,12),AND(AH15="K5-LAW",AG15="นิติศาสตร์",OR(T15="M2",T15="K4"),W15&gt;=2,V15&lt;P15),EDATE(V15,12*2),AND(AH15="K5-LAW",AG15="นิติศาสตร์",T15="S1",W15&gt;=1,V15&lt;P15),EDATE(V15,12),AND(AH15="K5-LAW",AG15="นิติศาสตร์",OR(T15="S2",T15="K5")),V15,AND(AH15="K5-LAW",AG15="นิติศาสตร์",OR(K15="M2",K15="K4"),Q15&gt;=2),EDATE(P15,12*2),AND(AH15="K5-LAW",AG15="นิติศาสตร์",K15="S1",Q15&gt;=1),EDATE(P15,12),AND(AH15="K5-LAW",AG15="นิติศาสตร์",OR(K15="S2",K15="K5")),P15,AND(AH15="K5-POLICY",AG15&lt;&gt;"นิติศาสตร์",K15="S2",T15="",Z15=""),P15,AND(AH15="K5-POLICY",AG15&lt;&gt;"นิติศาสตร์",K15="S1",T15="",Z15=""),EDATE(P15,12),AND(AH15="K5-POLICY",AG15&lt;&gt;"นิติศาสตร์",OR(K15="M2",K15="K4"),T15="",Z15=""),EDATE(P15,12*2),AND(AH15="K5-POLICY",AG15&lt;&gt;"นิติศาสตร์",OR(Z15="M2",Z15="K4"),AC15&gt;=2,OR(AB15&lt;V15,AB15&lt;P15)),EDATE(AB15,12*2),AND(AH15="K5-POLICY",AG15&lt;&gt;"นิติศาสตร์",Z15="S1",AC15&gt;=1,OR(AB15&lt;V15,AB15&lt;P15)),EDATE(AB15,12),AND(AH15="K5-POLICY",AG15&lt;&gt;"นิติศาสตร์",OR(T15="M2",T15="K4"),W15&gt;=2,V15&lt;P15),EDATE(V15,12*2),AND(AH15="K5-POLICY",AG15&lt;&gt;"นิติศาสตร์",T15="S1",W15&gt;=1,V15&lt;P15),EDATE(V15,12),AND(AH15="K5-POLICY",AG15&lt;&gt;"นิติศาสตร์",OR(T15="S2",T15="K5")),V15,AND(AH15="K5-POLICY",AG15&lt;&gt;"นิติศาสตร์",OR(K15="M2",K15="K4"),Q15&gt;=2),EDATE(P15,12*2),AND(AH15="K5-POLICY",AG15&lt;&gt;"นิติศาสตร์",K15="S1",Q15&gt;=1),EDATE(P15,12),AND(AH15="K5-POLICY",AG15&lt;&gt;"นิติศาสตร์",OR(K15="S2",K15="K5")),P15,TRUE,"Check Data")</f>
        <v/>
      </c>
      <c r="AJ15" s="75" t="str">
        <f t="shared" si="10"/>
        <v>Check Data</v>
      </c>
      <c r="AK15" s="76" t="str">
        <f t="shared" si="11"/>
        <v>Check Data</v>
      </c>
      <c r="AL15" s="50" t="str">
        <f t="shared" si="12"/>
        <v>Check Data</v>
      </c>
      <c r="AM15" s="49" t="str">
        <f>IF(B15="","",IF(K15="S1","S1",INDEX(#REF!,#REF!)))</f>
        <v/>
      </c>
      <c r="AN15" s="49" t="str">
        <f t="shared" si="13"/>
        <v>M2</v>
      </c>
      <c r="AO15" s="50" t="b">
        <f>K15=AM15</f>
        <v>0</v>
      </c>
      <c r="AP15" s="50"/>
    </row>
    <row r="16" spans="1:42" ht="21.75">
      <c r="A16" s="49">
        <v>14</v>
      </c>
      <c r="B16" s="50"/>
      <c r="C16" s="50"/>
      <c r="D16" s="50" t="s">
        <v>141</v>
      </c>
      <c r="E16" s="49" t="s">
        <v>176</v>
      </c>
      <c r="F16" s="49" t="str">
        <f t="shared" si="0"/>
        <v>01/03/1990</v>
      </c>
      <c r="G16" s="50">
        <f t="shared" si="1"/>
        <v>35</v>
      </c>
      <c r="H16" s="50">
        <f t="shared" si="2"/>
        <v>3</v>
      </c>
      <c r="I16" s="50">
        <f t="shared" si="3"/>
        <v>19</v>
      </c>
      <c r="J16" s="60"/>
      <c r="K16" s="49" t="s">
        <v>136</v>
      </c>
      <c r="L16" s="64"/>
      <c r="M16" s="49" t="s">
        <v>425</v>
      </c>
      <c r="N16" s="49">
        <v>2568</v>
      </c>
      <c r="O16" s="65" t="s">
        <v>228</v>
      </c>
      <c r="P16" s="49" t="str">
        <f t="shared" si="4"/>
        <v>04/12/2019</v>
      </c>
      <c r="Q16" s="68">
        <f>IF(P16="",0,DATEDIF(P16,$C$1,"Y"))</f>
        <v>5</v>
      </c>
      <c r="R16" s="68">
        <f>IF(P16="",0,DATEDIF(P16,$C$1,"YM"))</f>
        <v>6</v>
      </c>
      <c r="S16" s="68">
        <f>IF(P16="",0,DATEDIF(P16,$C$1,"MD"))</f>
        <v>16</v>
      </c>
      <c r="T16" s="65"/>
      <c r="U16" s="65"/>
      <c r="V16" s="49" t="str">
        <f t="shared" si="5"/>
        <v/>
      </c>
      <c r="W16" s="68">
        <f>IF(V16="",0,DATEDIF(V16,P16,"Y"))</f>
        <v>0</v>
      </c>
      <c r="X16" s="68">
        <f>IF(V16="",0,DATEDIF(V16,P16,"YM"))</f>
        <v>0</v>
      </c>
      <c r="Y16" s="68">
        <f>IF(V16="",0,DATEDIF(V16,P16,"MD"))</f>
        <v>0</v>
      </c>
      <c r="Z16" s="49"/>
      <c r="AA16" s="65"/>
      <c r="AB16" s="50" t="str">
        <f t="shared" si="6"/>
        <v/>
      </c>
      <c r="AC16" s="68">
        <f t="shared" si="7"/>
        <v>0</v>
      </c>
      <c r="AD16" s="68">
        <f t="shared" si="8"/>
        <v>0</v>
      </c>
      <c r="AE16" s="68">
        <f t="shared" si="9"/>
        <v>0</v>
      </c>
      <c r="AF16" s="50"/>
      <c r="AG16" s="50" t="s">
        <v>138</v>
      </c>
      <c r="AH16" s="49" t="str">
        <f>IF(AG16="นิติศาสตร์","K5-LAW","K5-POLICY")</f>
        <v>K5-LAW</v>
      </c>
      <c r="AI16" s="72" t="str">
        <f>_xlfn.IFS(B16="","",AND(AH16="K5-LAW",AG16="นิติศาสตร์",K16="S2",T16="",Z16=""),P16,AND(AH16="K5-LAW",AG16="นิติศาสตร์",K16="S1",T16="",Z16=""),EDATE(P16,12),AND(AH16="K5-LAW",AG16="นิติศาสตร์",OR(K16="M2",K16="K4"),T16="",Z16=""),EDATE(P16,12*2),AND(AH16="K5-LAW",AG16="นิติศาสตร์",OR(Z16="M2",Z16="K4"),AC16&gt;=2,OR(AB16&lt;V16,AB16&lt;P16)),EDATE(AB16,12*2),AND(AH16="K5-LAW",AG16="นิติศาสตร์",Z16="S1",AC16&gt;=1,OR(AB16&lt;V16,AB16&lt;P16)),EDATE(AB16,12),AND(AH16="K5-LAW",AG16="นิติศาสตร์",OR(T16="M2",T16="K4"),W16&gt;=2,V16&lt;P16),EDATE(V16,12*2),AND(AH16="K5-LAW",AG16="นิติศาสตร์",T16="S1",W16&gt;=1,V16&lt;P16),EDATE(V16,12),AND(AH16="K5-LAW",AG16="นิติศาสตร์",OR(T16="S2",T16="K5")),V16,AND(AH16="K5-LAW",AG16="นิติศาสตร์",OR(K16="M2",K16="K4"),Q16&gt;=2),EDATE(P16,12*2),AND(AH16="K5-LAW",AG16="นิติศาสตร์",K16="S1",Q16&gt;=1),EDATE(P16,12),AND(AH16="K5-LAW",AG16="นิติศาสตร์",OR(K16="S2",K16="K5")),P16,AND(AH16="K5-POLICY",AG16&lt;&gt;"นิติศาสตร์",K16="S2",T16="",Z16=""),P16,AND(AH16="K5-POLICY",AG16&lt;&gt;"นิติศาสตร์",K16="S1",T16="",Z16=""),EDATE(P16,12),AND(AH16="K5-POLICY",AG16&lt;&gt;"นิติศาสตร์",OR(K16="M2",K16="K4"),T16="",Z16=""),EDATE(P16,12*2),AND(AH16="K5-POLICY",AG16&lt;&gt;"นิติศาสตร์",OR(Z16="M2",Z16="K4"),AC16&gt;=2,OR(AB16&lt;V16,AB16&lt;P16)),EDATE(AB16,12*2),AND(AH16="K5-POLICY",AG16&lt;&gt;"นิติศาสตร์",Z16="S1",AC16&gt;=1,OR(AB16&lt;V16,AB16&lt;P16)),EDATE(AB16,12),AND(AH16="K5-POLICY",AG16&lt;&gt;"นิติศาสตร์",OR(T16="M2",T16="K4"),W16&gt;=2,V16&lt;P16),EDATE(V16,12*2),AND(AH16="K5-POLICY",AG16&lt;&gt;"นิติศาสตร์",T16="S1",W16&gt;=1,V16&lt;P16),EDATE(V16,12),AND(AH16="K5-POLICY",AG16&lt;&gt;"นิติศาสตร์",OR(T16="S2",T16="K5")),V16,AND(AH16="K5-POLICY",AG16&lt;&gt;"นิติศาสตร์",OR(K16="M2",K16="K4"),Q16&gt;=2),EDATE(P16,12*2),AND(AH16="K5-POLICY",AG16&lt;&gt;"นิติศาสตร์",K16="S1",Q16&gt;=1),EDATE(P16,12),AND(AH16="K5-POLICY",AG16&lt;&gt;"นิติศาสตร์",OR(K16="S2",K16="K5")),P16,TRUE,"Check Data")</f>
        <v/>
      </c>
      <c r="AJ16" s="75" t="str">
        <f t="shared" si="10"/>
        <v>Check Data</v>
      </c>
      <c r="AK16" s="76" t="str">
        <f t="shared" si="11"/>
        <v>Check Data</v>
      </c>
      <c r="AL16" s="50" t="str">
        <f t="shared" si="12"/>
        <v>Check Data</v>
      </c>
      <c r="AM16" s="49" t="str">
        <f>IF(B16="","",IF(K16="S1","S1",INDEX(#REF!,#REF!)))</f>
        <v/>
      </c>
      <c r="AN16" s="49" t="str">
        <f t="shared" si="13"/>
        <v>M2</v>
      </c>
      <c r="AO16" s="50" t="b">
        <f>K16=AM16</f>
        <v>0</v>
      </c>
      <c r="AP16" s="50"/>
    </row>
    <row r="17" spans="1:42" ht="21.75">
      <c r="A17" s="49">
        <v>15</v>
      </c>
      <c r="B17" s="50"/>
      <c r="C17" s="50"/>
      <c r="D17" s="50" t="s">
        <v>142</v>
      </c>
      <c r="E17" s="49" t="s">
        <v>239</v>
      </c>
      <c r="F17" s="49" t="str">
        <f t="shared" si="0"/>
        <v>01/05/1985</v>
      </c>
      <c r="G17" s="50">
        <f t="shared" si="1"/>
        <v>40</v>
      </c>
      <c r="H17" s="50">
        <f t="shared" si="2"/>
        <v>1</v>
      </c>
      <c r="I17" s="50">
        <f t="shared" si="3"/>
        <v>19</v>
      </c>
      <c r="J17" s="58"/>
      <c r="K17" s="49" t="s">
        <v>136</v>
      </c>
      <c r="L17" s="64"/>
      <c r="M17" s="49" t="s">
        <v>425</v>
      </c>
      <c r="N17" s="49">
        <v>2569</v>
      </c>
      <c r="O17" s="65" t="s">
        <v>228</v>
      </c>
      <c r="P17" s="49" t="str">
        <f t="shared" si="4"/>
        <v>04/12/2019</v>
      </c>
      <c r="Q17" s="68">
        <f>IF(P17="",0,DATEDIF(P17,$C$1,"Y"))</f>
        <v>5</v>
      </c>
      <c r="R17" s="68">
        <f>IF(P17="",0,DATEDIF(P17,$C$1,"YM"))</f>
        <v>6</v>
      </c>
      <c r="S17" s="68">
        <f>IF(P17="",0,DATEDIF(P17,$C$1,"MD"))</f>
        <v>16</v>
      </c>
      <c r="T17" s="65"/>
      <c r="U17" s="65"/>
      <c r="V17" s="49" t="str">
        <f t="shared" si="5"/>
        <v/>
      </c>
      <c r="W17" s="68">
        <f>IF(V17="",0,DATEDIF(V17,P17,"Y"))</f>
        <v>0</v>
      </c>
      <c r="X17" s="68">
        <f>IF(V17="",0,DATEDIF(V17,P17,"YM"))</f>
        <v>0</v>
      </c>
      <c r="Y17" s="68">
        <f>IF(V17="",0,DATEDIF(V17,P17,"MD"))</f>
        <v>0</v>
      </c>
      <c r="Z17" s="49"/>
      <c r="AA17" s="65"/>
      <c r="AB17" s="50" t="str">
        <f t="shared" si="6"/>
        <v/>
      </c>
      <c r="AC17" s="68">
        <f t="shared" si="7"/>
        <v>0</v>
      </c>
      <c r="AD17" s="68">
        <f t="shared" si="8"/>
        <v>0</v>
      </c>
      <c r="AE17" s="68">
        <f t="shared" si="9"/>
        <v>0</v>
      </c>
      <c r="AF17" s="50"/>
      <c r="AG17" s="50" t="s">
        <v>138</v>
      </c>
      <c r="AH17" s="49" t="str">
        <f>IF(AG17="นิติศาสตร์","K5-LAW","K5-POLICY")</f>
        <v>K5-LAW</v>
      </c>
      <c r="AI17" s="72" t="str">
        <f>_xlfn.IFS(B17="","",AND(AH17="K5-LAW",AG17="นิติศาสตร์",K17="S2",T17="",Z17=""),P17,AND(AH17="K5-LAW",AG17="นิติศาสตร์",K17="S1",T17="",Z17=""),EDATE(P17,12),AND(AH17="K5-LAW",AG17="นิติศาสตร์",OR(K17="M2",K17="K4"),T17="",Z17=""),EDATE(P17,12*2),AND(AH17="K5-LAW",AG17="นิติศาสตร์",OR(Z17="M2",Z17="K4"),AC17&gt;=2,OR(AB17&lt;V17,AB17&lt;P17)),EDATE(AB17,12*2),AND(AH17="K5-LAW",AG17="นิติศาสตร์",Z17="S1",AC17&gt;=1,OR(AB17&lt;V17,AB17&lt;P17)),EDATE(AB17,12),AND(AH17="K5-LAW",AG17="นิติศาสตร์",OR(T17="M2",T17="K4"),W17&gt;=2,V17&lt;P17),EDATE(V17,12*2),AND(AH17="K5-LAW",AG17="นิติศาสตร์",T17="S1",W17&gt;=1,V17&lt;P17),EDATE(V17,12),AND(AH17="K5-LAW",AG17="นิติศาสตร์",OR(T17="S2",T17="K5")),V17,AND(AH17="K5-LAW",AG17="นิติศาสตร์",OR(K17="M2",K17="K4"),Q17&gt;=2),EDATE(P17,12*2),AND(AH17="K5-LAW",AG17="นิติศาสตร์",K17="S1",Q17&gt;=1),EDATE(P17,12),AND(AH17="K5-LAW",AG17="นิติศาสตร์",OR(K17="S2",K17="K5")),P17,AND(AH17="K5-POLICY",AG17&lt;&gt;"นิติศาสตร์",K17="S2",T17="",Z17=""),P17,AND(AH17="K5-POLICY",AG17&lt;&gt;"นิติศาสตร์",K17="S1",T17="",Z17=""),EDATE(P17,12),AND(AH17="K5-POLICY",AG17&lt;&gt;"นิติศาสตร์",OR(K17="M2",K17="K4"),T17="",Z17=""),EDATE(P17,12*2),AND(AH17="K5-POLICY",AG17&lt;&gt;"นิติศาสตร์",OR(Z17="M2",Z17="K4"),AC17&gt;=2,OR(AB17&lt;V17,AB17&lt;P17)),EDATE(AB17,12*2),AND(AH17="K5-POLICY",AG17&lt;&gt;"นิติศาสตร์",Z17="S1",AC17&gt;=1,OR(AB17&lt;V17,AB17&lt;P17)),EDATE(AB17,12),AND(AH17="K5-POLICY",AG17&lt;&gt;"นิติศาสตร์",OR(T17="M2",T17="K4"),W17&gt;=2,V17&lt;P17),EDATE(V17,12*2),AND(AH17="K5-POLICY",AG17&lt;&gt;"นิติศาสตร์",T17="S1",W17&gt;=1,V17&lt;P17),EDATE(V17,12),AND(AH17="K5-POLICY",AG17&lt;&gt;"นิติศาสตร์",OR(T17="S2",T17="K5")),V17,AND(AH17="K5-POLICY",AG17&lt;&gt;"นิติศาสตร์",OR(K17="M2",K17="K4"),Q17&gt;=2),EDATE(P17,12*2),AND(AH17="K5-POLICY",AG17&lt;&gt;"นิติศาสตร์",K17="S1",Q17&gt;=1),EDATE(P17,12),AND(AH17="K5-POLICY",AG17&lt;&gt;"นิติศาสตร์",OR(K17="S2",K17="K5")),P17,TRUE,"Check Data")</f>
        <v/>
      </c>
      <c r="AJ17" s="75" t="str">
        <f t="shared" si="10"/>
        <v>Check Data</v>
      </c>
      <c r="AK17" s="76" t="str">
        <f t="shared" si="11"/>
        <v>Check Data</v>
      </c>
      <c r="AL17" s="50" t="str">
        <f t="shared" si="12"/>
        <v>Check Data</v>
      </c>
      <c r="AM17" s="49" t="str">
        <f>IF(B17="","",IF(K17="S1","S1",INDEX(#REF!,#REF!)))</f>
        <v/>
      </c>
      <c r="AN17" s="49" t="str">
        <f t="shared" si="13"/>
        <v>M2</v>
      </c>
      <c r="AO17" s="50" t="b">
        <f>K17=AM17</f>
        <v>0</v>
      </c>
      <c r="AP17" s="50"/>
    </row>
    <row r="18" spans="1:42" ht="21.75">
      <c r="A18" s="49">
        <v>16</v>
      </c>
      <c r="B18" s="50"/>
      <c r="C18" s="50"/>
      <c r="D18" s="50" t="s">
        <v>142</v>
      </c>
      <c r="E18" s="49" t="s">
        <v>262</v>
      </c>
      <c r="F18" s="49" t="str">
        <f t="shared" si="0"/>
        <v>11/04/1996</v>
      </c>
      <c r="G18" s="50">
        <f t="shared" si="1"/>
        <v>29</v>
      </c>
      <c r="H18" s="50">
        <f t="shared" si="2"/>
        <v>2</v>
      </c>
      <c r="I18" s="50">
        <f t="shared" si="3"/>
        <v>9</v>
      </c>
      <c r="J18" s="58"/>
      <c r="K18" s="49" t="s">
        <v>136</v>
      </c>
      <c r="L18" s="64"/>
      <c r="M18" s="49" t="s">
        <v>425</v>
      </c>
      <c r="N18" s="49">
        <v>2571</v>
      </c>
      <c r="O18" s="65" t="s">
        <v>228</v>
      </c>
      <c r="P18" s="49" t="str">
        <f t="shared" si="4"/>
        <v>04/12/2019</v>
      </c>
      <c r="Q18" s="68">
        <f>IF(P18="",0,DATEDIF(P18,$C$1,"Y"))</f>
        <v>5</v>
      </c>
      <c r="R18" s="68">
        <f>IF(P18="",0,DATEDIF(P18,$C$1,"YM"))</f>
        <v>6</v>
      </c>
      <c r="S18" s="68">
        <f>IF(P18="",0,DATEDIF(P18,$C$1,"MD"))</f>
        <v>16</v>
      </c>
      <c r="T18" s="65"/>
      <c r="U18" s="65"/>
      <c r="V18" s="49" t="str">
        <f t="shared" si="5"/>
        <v/>
      </c>
      <c r="W18" s="68">
        <f>IF(V18="",0,DATEDIF(V18,P18,"Y"))</f>
        <v>0</v>
      </c>
      <c r="X18" s="68">
        <f>IF(V18="",0,DATEDIF(V18,P18,"YM"))</f>
        <v>0</v>
      </c>
      <c r="Y18" s="68">
        <f>IF(V18="",0,DATEDIF(V18,P18,"MD"))</f>
        <v>0</v>
      </c>
      <c r="Z18" s="49"/>
      <c r="AA18" s="65"/>
      <c r="AB18" s="50" t="str">
        <f t="shared" si="6"/>
        <v/>
      </c>
      <c r="AC18" s="68">
        <f t="shared" si="7"/>
        <v>0</v>
      </c>
      <c r="AD18" s="68">
        <f t="shared" si="8"/>
        <v>0</v>
      </c>
      <c r="AE18" s="68">
        <f t="shared" si="9"/>
        <v>0</v>
      </c>
      <c r="AF18" s="50"/>
      <c r="AG18" s="50" t="s">
        <v>138</v>
      </c>
      <c r="AH18" s="49" t="str">
        <f>IF(AG18="นิติศาสตร์","K5-LAW","K5-POLICY")</f>
        <v>K5-LAW</v>
      </c>
      <c r="AI18" s="72" t="str">
        <f>_xlfn.IFS(B18="","",AND(AH18="K5-LAW",AG18="นิติศาสตร์",K18="S2",T18="",Z18=""),P18,AND(AH18="K5-LAW",AG18="นิติศาสตร์",K18="S1",T18="",Z18=""),EDATE(P18,12),AND(AH18="K5-LAW",AG18="นิติศาสตร์",OR(K18="M2",K18="K4"),T18="",Z18=""),EDATE(P18,12*2),AND(AH18="K5-LAW",AG18="นิติศาสตร์",OR(Z18="M2",Z18="K4"),AC18&gt;=2,OR(AB18&lt;V18,AB18&lt;P18)),EDATE(AB18,12*2),AND(AH18="K5-LAW",AG18="นิติศาสตร์",Z18="S1",AC18&gt;=1,OR(AB18&lt;V18,AB18&lt;P18)),EDATE(AB18,12),AND(AH18="K5-LAW",AG18="นิติศาสตร์",OR(T18="M2",T18="K4"),W18&gt;=2,V18&lt;P18),EDATE(V18,12*2),AND(AH18="K5-LAW",AG18="นิติศาสตร์",T18="S1",W18&gt;=1,V18&lt;P18),EDATE(V18,12),AND(AH18="K5-LAW",AG18="นิติศาสตร์",OR(T18="S2",T18="K5")),V18,AND(AH18="K5-LAW",AG18="นิติศาสตร์",OR(K18="M2",K18="K4"),Q18&gt;=2),EDATE(P18,12*2),AND(AH18="K5-LAW",AG18="นิติศาสตร์",K18="S1",Q18&gt;=1),EDATE(P18,12),AND(AH18="K5-LAW",AG18="นิติศาสตร์",OR(K18="S2",K18="K5")),P18,AND(AH18="K5-POLICY",AG18&lt;&gt;"นิติศาสตร์",K18="S2",T18="",Z18=""),P18,AND(AH18="K5-POLICY",AG18&lt;&gt;"นิติศาสตร์",K18="S1",T18="",Z18=""),EDATE(P18,12),AND(AH18="K5-POLICY",AG18&lt;&gt;"นิติศาสตร์",OR(K18="M2",K18="K4"),T18="",Z18=""),EDATE(P18,12*2),AND(AH18="K5-POLICY",AG18&lt;&gt;"นิติศาสตร์",OR(Z18="M2",Z18="K4"),AC18&gt;=2,OR(AB18&lt;V18,AB18&lt;P18)),EDATE(AB18,12*2),AND(AH18="K5-POLICY",AG18&lt;&gt;"นิติศาสตร์",Z18="S1",AC18&gt;=1,OR(AB18&lt;V18,AB18&lt;P18)),EDATE(AB18,12),AND(AH18="K5-POLICY",AG18&lt;&gt;"นิติศาสตร์",OR(T18="M2",T18="K4"),W18&gt;=2,V18&lt;P18),EDATE(V18,12*2),AND(AH18="K5-POLICY",AG18&lt;&gt;"นิติศาสตร์",T18="S1",W18&gt;=1,V18&lt;P18),EDATE(V18,12),AND(AH18="K5-POLICY",AG18&lt;&gt;"นิติศาสตร์",OR(T18="S2",T18="K5")),V18,AND(AH18="K5-POLICY",AG18&lt;&gt;"นิติศาสตร์",OR(K18="M2",K18="K4"),Q18&gt;=2),EDATE(P18,12*2),AND(AH18="K5-POLICY",AG18&lt;&gt;"นิติศาสตร์",K18="S1",Q18&gt;=1),EDATE(P18,12),AND(AH18="K5-POLICY",AG18&lt;&gt;"นิติศาสตร์",OR(K18="S2",K18="K5")),P18,TRUE,"Check Data")</f>
        <v/>
      </c>
      <c r="AJ18" s="75" t="str">
        <f t="shared" si="10"/>
        <v>Check Data</v>
      </c>
      <c r="AK18" s="76" t="str">
        <f t="shared" si="11"/>
        <v>Check Data</v>
      </c>
      <c r="AL18" s="50" t="str">
        <f t="shared" si="12"/>
        <v>Check Data</v>
      </c>
      <c r="AM18" s="49" t="str">
        <f>IF(B18="","",IF(K18="S1","S1",INDEX(#REF!,#REF!)))</f>
        <v/>
      </c>
      <c r="AN18" s="49" t="str">
        <f t="shared" si="13"/>
        <v>M2</v>
      </c>
      <c r="AO18" s="50" t="b">
        <f>K18=AM18</f>
        <v>0</v>
      </c>
      <c r="AP18" s="50"/>
    </row>
    <row r="19" spans="1:42" ht="21.75">
      <c r="A19" s="49">
        <v>17</v>
      </c>
      <c r="B19" s="50"/>
      <c r="C19" s="50"/>
      <c r="D19" s="50" t="s">
        <v>142</v>
      </c>
      <c r="E19" s="49" t="s">
        <v>262</v>
      </c>
      <c r="F19" s="49" t="str">
        <f t="shared" si="0"/>
        <v>11/04/1996</v>
      </c>
      <c r="G19" s="50">
        <f t="shared" si="1"/>
        <v>29</v>
      </c>
      <c r="H19" s="50">
        <f t="shared" si="2"/>
        <v>2</v>
      </c>
      <c r="I19" s="50">
        <f t="shared" si="3"/>
        <v>9</v>
      </c>
      <c r="J19" s="58"/>
      <c r="K19" s="49" t="s">
        <v>136</v>
      </c>
      <c r="L19" s="64"/>
      <c r="M19" s="49" t="s">
        <v>425</v>
      </c>
      <c r="N19" s="49">
        <v>2570</v>
      </c>
      <c r="O19" s="65" t="s">
        <v>228</v>
      </c>
      <c r="P19" s="49" t="str">
        <f t="shared" si="4"/>
        <v>04/12/2019</v>
      </c>
      <c r="Q19" s="68">
        <f>IF(P19="",0,DATEDIF(P19,$C$1,"Y"))</f>
        <v>5</v>
      </c>
      <c r="R19" s="68">
        <f>IF(P19="",0,DATEDIF(P19,$C$1,"YM"))</f>
        <v>6</v>
      </c>
      <c r="S19" s="68">
        <f>IF(P19="",0,DATEDIF(P19,$C$1,"MD"))</f>
        <v>16</v>
      </c>
      <c r="T19" s="65"/>
      <c r="U19" s="65"/>
      <c r="V19" s="49" t="str">
        <f t="shared" si="5"/>
        <v/>
      </c>
      <c r="W19" s="68">
        <f>IF(V19="",0,DATEDIF(V19,P19,"Y"))</f>
        <v>0</v>
      </c>
      <c r="X19" s="68">
        <f>IF(V19="",0,DATEDIF(V19,P19,"YM"))</f>
        <v>0</v>
      </c>
      <c r="Y19" s="68">
        <f>IF(V19="",0,DATEDIF(V19,P19,"MD"))</f>
        <v>0</v>
      </c>
      <c r="Z19" s="49"/>
      <c r="AA19" s="65"/>
      <c r="AB19" s="50" t="str">
        <f t="shared" si="6"/>
        <v/>
      </c>
      <c r="AC19" s="68">
        <f t="shared" si="7"/>
        <v>0</v>
      </c>
      <c r="AD19" s="68">
        <f t="shared" si="8"/>
        <v>0</v>
      </c>
      <c r="AE19" s="68">
        <f t="shared" si="9"/>
        <v>0</v>
      </c>
      <c r="AF19" s="50"/>
      <c r="AG19" s="50" t="s">
        <v>138</v>
      </c>
      <c r="AH19" s="49" t="str">
        <f>IF(AG19="นิติศาสตร์","K5-LAW","K5-POLICY")</f>
        <v>K5-LAW</v>
      </c>
      <c r="AI19" s="72" t="str">
        <f>_xlfn.IFS(B19="","",AND(AH19="K5-LAW",AG19="นิติศาสตร์",K19="S2",T19="",Z19=""),P19,AND(AH19="K5-LAW",AG19="นิติศาสตร์",K19="S1",T19="",Z19=""),EDATE(P19,12),AND(AH19="K5-LAW",AG19="นิติศาสตร์",OR(K19="M2",K19="K4"),T19="",Z19=""),EDATE(P19,12*2),AND(AH19="K5-LAW",AG19="นิติศาสตร์",OR(Z19="M2",Z19="K4"),AC19&gt;=2,OR(AB19&lt;V19,AB19&lt;P19)),EDATE(AB19,12*2),AND(AH19="K5-LAW",AG19="นิติศาสตร์",Z19="S1",AC19&gt;=1,OR(AB19&lt;V19,AB19&lt;P19)),EDATE(AB19,12),AND(AH19="K5-LAW",AG19="นิติศาสตร์",OR(T19="M2",T19="K4"),W19&gt;=2,V19&lt;P19),EDATE(V19,12*2),AND(AH19="K5-LAW",AG19="นิติศาสตร์",T19="S1",W19&gt;=1,V19&lt;P19),EDATE(V19,12),AND(AH19="K5-LAW",AG19="นิติศาสตร์",OR(T19="S2",T19="K5")),V19,AND(AH19="K5-LAW",AG19="นิติศาสตร์",OR(K19="M2",K19="K4"),Q19&gt;=2),EDATE(P19,12*2),AND(AH19="K5-LAW",AG19="นิติศาสตร์",K19="S1",Q19&gt;=1),EDATE(P19,12),AND(AH19="K5-LAW",AG19="นิติศาสตร์",OR(K19="S2",K19="K5")),P19,AND(AH19="K5-POLICY",AG19&lt;&gt;"นิติศาสตร์",K19="S2",T19="",Z19=""),P19,AND(AH19="K5-POLICY",AG19&lt;&gt;"นิติศาสตร์",K19="S1",T19="",Z19=""),EDATE(P19,12),AND(AH19="K5-POLICY",AG19&lt;&gt;"นิติศาสตร์",OR(K19="M2",K19="K4"),T19="",Z19=""),EDATE(P19,12*2),AND(AH19="K5-POLICY",AG19&lt;&gt;"นิติศาสตร์",OR(Z19="M2",Z19="K4"),AC19&gt;=2,OR(AB19&lt;V19,AB19&lt;P19)),EDATE(AB19,12*2),AND(AH19="K5-POLICY",AG19&lt;&gt;"นิติศาสตร์",Z19="S1",AC19&gt;=1,OR(AB19&lt;V19,AB19&lt;P19)),EDATE(AB19,12),AND(AH19="K5-POLICY",AG19&lt;&gt;"นิติศาสตร์",OR(T19="M2",T19="K4"),W19&gt;=2,V19&lt;P19),EDATE(V19,12*2),AND(AH19="K5-POLICY",AG19&lt;&gt;"นิติศาสตร์",T19="S1",W19&gt;=1,V19&lt;P19),EDATE(V19,12),AND(AH19="K5-POLICY",AG19&lt;&gt;"นิติศาสตร์",OR(T19="S2",T19="K5")),V19,AND(AH19="K5-POLICY",AG19&lt;&gt;"นิติศาสตร์",OR(K19="M2",K19="K4"),Q19&gt;=2),EDATE(P19,12*2),AND(AH19="K5-POLICY",AG19&lt;&gt;"นิติศาสตร์",K19="S1",Q19&gt;=1),EDATE(P19,12),AND(AH19="K5-POLICY",AG19&lt;&gt;"นิติศาสตร์",OR(K19="S2",K19="K5")),P19,TRUE,"Check Data")</f>
        <v/>
      </c>
      <c r="AJ19" s="75" t="str">
        <f t="shared" si="10"/>
        <v>Check Data</v>
      </c>
      <c r="AK19" s="76" t="str">
        <f t="shared" si="11"/>
        <v>Check Data</v>
      </c>
      <c r="AL19" s="50" t="str">
        <f t="shared" si="12"/>
        <v>Check Data</v>
      </c>
      <c r="AM19" s="49" t="str">
        <f>IF(B19="","",IF(K19="S1","S1",INDEX(#REF!,#REF!)))</f>
        <v/>
      </c>
      <c r="AN19" s="49" t="str">
        <f t="shared" si="13"/>
        <v>M2</v>
      </c>
      <c r="AO19" s="50" t="b">
        <f>K19=AM19</f>
        <v>0</v>
      </c>
      <c r="AP19" s="50"/>
    </row>
    <row r="20" spans="1:42" ht="21.75">
      <c r="A20" s="49">
        <v>18</v>
      </c>
      <c r="B20" s="50"/>
      <c r="C20" s="50"/>
      <c r="D20" s="50" t="s">
        <v>142</v>
      </c>
      <c r="E20" s="49" t="s">
        <v>251</v>
      </c>
      <c r="F20" s="49" t="str">
        <f t="shared" si="0"/>
        <v>15/08/1997</v>
      </c>
      <c r="G20" s="50">
        <f t="shared" si="1"/>
        <v>27</v>
      </c>
      <c r="H20" s="50">
        <f t="shared" si="2"/>
        <v>10</v>
      </c>
      <c r="I20" s="50">
        <f t="shared" si="3"/>
        <v>5</v>
      </c>
      <c r="J20" s="58"/>
      <c r="K20" s="49" t="s">
        <v>136</v>
      </c>
      <c r="L20" s="64"/>
      <c r="M20" s="49" t="s">
        <v>425</v>
      </c>
      <c r="N20" s="49">
        <v>2571</v>
      </c>
      <c r="O20" s="65" t="s">
        <v>228</v>
      </c>
      <c r="P20" s="49" t="str">
        <f t="shared" si="4"/>
        <v>04/12/2019</v>
      </c>
      <c r="Q20" s="68">
        <f>IF(P20="",0,DATEDIF(P20,$C$1,"Y"))</f>
        <v>5</v>
      </c>
      <c r="R20" s="68">
        <f>IF(P20="",0,DATEDIF(P20,$C$1,"YM"))</f>
        <v>6</v>
      </c>
      <c r="S20" s="68">
        <f>IF(P20="",0,DATEDIF(P20,$C$1,"MD"))</f>
        <v>16</v>
      </c>
      <c r="T20" s="65"/>
      <c r="U20" s="65"/>
      <c r="V20" s="49" t="str">
        <f t="shared" si="5"/>
        <v/>
      </c>
      <c r="W20" s="68">
        <f>IF(V20="",0,DATEDIF(V20,P20,"Y"))</f>
        <v>0</v>
      </c>
      <c r="X20" s="68">
        <f>IF(V20="",0,DATEDIF(V20,P20,"YM"))</f>
        <v>0</v>
      </c>
      <c r="Y20" s="68">
        <f>IF(V20="",0,DATEDIF(V20,P20,"MD"))</f>
        <v>0</v>
      </c>
      <c r="Z20" s="49"/>
      <c r="AA20" s="65"/>
      <c r="AB20" s="50" t="str">
        <f t="shared" si="6"/>
        <v/>
      </c>
      <c r="AC20" s="68">
        <f t="shared" si="7"/>
        <v>0</v>
      </c>
      <c r="AD20" s="68">
        <f t="shared" si="8"/>
        <v>0</v>
      </c>
      <c r="AE20" s="68">
        <f t="shared" si="9"/>
        <v>0</v>
      </c>
      <c r="AF20" s="50"/>
      <c r="AG20" s="50" t="s">
        <v>138</v>
      </c>
      <c r="AH20" s="49" t="str">
        <f>IF(AG20="นิติศาสตร์","K5-LAW","K5-POLICY")</f>
        <v>K5-LAW</v>
      </c>
      <c r="AI20" s="72" t="str">
        <f>_xlfn.IFS(B20="","",AND(AH20="K5-LAW",AG20="นิติศาสตร์",K20="S2",T20="",Z20=""),P20,AND(AH20="K5-LAW",AG20="นิติศาสตร์",K20="S1",T20="",Z20=""),EDATE(P20,12),AND(AH20="K5-LAW",AG20="นิติศาสตร์",OR(K20="M2",K20="K4"),T20="",Z20=""),EDATE(P20,12*2),AND(AH20="K5-LAW",AG20="นิติศาสตร์",OR(Z20="M2",Z20="K4"),AC20&gt;=2,OR(AB20&lt;V20,AB20&lt;P20)),EDATE(AB20,12*2),AND(AH20="K5-LAW",AG20="นิติศาสตร์",Z20="S1",AC20&gt;=1,OR(AB20&lt;V20,AB20&lt;P20)),EDATE(AB20,12),AND(AH20="K5-LAW",AG20="นิติศาสตร์",OR(T20="M2",T20="K4"),W20&gt;=2,V20&lt;P20),EDATE(V20,12*2),AND(AH20="K5-LAW",AG20="นิติศาสตร์",T20="S1",W20&gt;=1,V20&lt;P20),EDATE(V20,12),AND(AH20="K5-LAW",AG20="นิติศาสตร์",OR(T20="S2",T20="K5")),V20,AND(AH20="K5-LAW",AG20="นิติศาสตร์",OR(K20="M2",K20="K4"),Q20&gt;=2),EDATE(P20,12*2),AND(AH20="K5-LAW",AG20="นิติศาสตร์",K20="S1",Q20&gt;=1),EDATE(P20,12),AND(AH20="K5-LAW",AG20="นิติศาสตร์",OR(K20="S2",K20="K5")),P20,AND(AH20="K5-POLICY",AG20&lt;&gt;"นิติศาสตร์",K20="S2",T20="",Z20=""),P20,AND(AH20="K5-POLICY",AG20&lt;&gt;"นิติศาสตร์",K20="S1",T20="",Z20=""),EDATE(P20,12),AND(AH20="K5-POLICY",AG20&lt;&gt;"นิติศาสตร์",OR(K20="M2",K20="K4"),T20="",Z20=""),EDATE(P20,12*2),AND(AH20="K5-POLICY",AG20&lt;&gt;"นิติศาสตร์",OR(Z20="M2",Z20="K4"),AC20&gt;=2,OR(AB20&lt;V20,AB20&lt;P20)),EDATE(AB20,12*2),AND(AH20="K5-POLICY",AG20&lt;&gt;"นิติศาสตร์",Z20="S1",AC20&gt;=1,OR(AB20&lt;V20,AB20&lt;P20)),EDATE(AB20,12),AND(AH20="K5-POLICY",AG20&lt;&gt;"นิติศาสตร์",OR(T20="M2",T20="K4"),W20&gt;=2,V20&lt;P20),EDATE(V20,12*2),AND(AH20="K5-POLICY",AG20&lt;&gt;"นิติศาสตร์",T20="S1",W20&gt;=1,V20&lt;P20),EDATE(V20,12),AND(AH20="K5-POLICY",AG20&lt;&gt;"นิติศาสตร์",OR(T20="S2",T20="K5")),V20,AND(AH20="K5-POLICY",AG20&lt;&gt;"นิติศาสตร์",OR(K20="M2",K20="K4"),Q20&gt;=2),EDATE(P20,12*2),AND(AH20="K5-POLICY",AG20&lt;&gt;"นิติศาสตร์",K20="S1",Q20&gt;=1),EDATE(P20,12),AND(AH20="K5-POLICY",AG20&lt;&gt;"นิติศาสตร์",OR(K20="S2",K20="K5")),P20,TRUE,"Check Data")</f>
        <v/>
      </c>
      <c r="AJ20" s="75" t="str">
        <f t="shared" si="10"/>
        <v>Check Data</v>
      </c>
      <c r="AK20" s="76" t="str">
        <f t="shared" si="11"/>
        <v>Check Data</v>
      </c>
      <c r="AL20" s="50" t="str">
        <f t="shared" si="12"/>
        <v>Check Data</v>
      </c>
      <c r="AM20" s="49" t="str">
        <f>IF(B20="","",IF(K20="S1","S1",INDEX(#REF!,#REF!)))</f>
        <v/>
      </c>
      <c r="AN20" s="49" t="str">
        <f t="shared" si="13"/>
        <v>M2</v>
      </c>
      <c r="AO20" s="50" t="b">
        <f>K20=AM20</f>
        <v>0</v>
      </c>
      <c r="AP20" s="50"/>
    </row>
    <row r="21" spans="1:42" ht="21.75">
      <c r="A21" s="49">
        <v>19</v>
      </c>
      <c r="B21" s="50"/>
      <c r="C21" s="50"/>
      <c r="D21" s="50" t="s">
        <v>143</v>
      </c>
      <c r="E21" s="49" t="s">
        <v>348</v>
      </c>
      <c r="F21" s="49" t="str">
        <f t="shared" si="0"/>
        <v>09/10/1995</v>
      </c>
      <c r="G21" s="50">
        <f t="shared" si="1"/>
        <v>29</v>
      </c>
      <c r="H21" s="50">
        <f t="shared" si="2"/>
        <v>8</v>
      </c>
      <c r="I21" s="50">
        <f t="shared" si="3"/>
        <v>11</v>
      </c>
      <c r="J21" s="59"/>
      <c r="K21" s="49" t="s">
        <v>136</v>
      </c>
      <c r="L21" s="64"/>
      <c r="M21" s="49" t="s">
        <v>425</v>
      </c>
      <c r="N21" s="49">
        <v>2569</v>
      </c>
      <c r="O21" s="65" t="s">
        <v>306</v>
      </c>
      <c r="P21" s="49" t="str">
        <f t="shared" si="4"/>
        <v>19/12/2019</v>
      </c>
      <c r="Q21" s="68">
        <f>IF(P21="",0,DATEDIF(P21,$C$1,"Y"))</f>
        <v>5</v>
      </c>
      <c r="R21" s="68">
        <f>IF(P21="",0,DATEDIF(P21,$C$1,"YM"))</f>
        <v>6</v>
      </c>
      <c r="S21" s="68">
        <f>IF(P21="",0,DATEDIF(P21,$C$1,"MD"))</f>
        <v>1</v>
      </c>
      <c r="T21" s="65"/>
      <c r="U21" s="65"/>
      <c r="V21" s="49" t="str">
        <f t="shared" si="5"/>
        <v/>
      </c>
      <c r="W21" s="68">
        <f>IF(V21="",0,DATEDIF(V21,P21,"Y"))</f>
        <v>0</v>
      </c>
      <c r="X21" s="68">
        <f>IF(V21="",0,DATEDIF(V21,P21,"YM"))</f>
        <v>0</v>
      </c>
      <c r="Y21" s="68">
        <f>IF(V21="",0,DATEDIF(V21,P21,"MD"))</f>
        <v>0</v>
      </c>
      <c r="Z21" s="49"/>
      <c r="AA21" s="65"/>
      <c r="AB21" s="50" t="str">
        <f t="shared" si="6"/>
        <v/>
      </c>
      <c r="AC21" s="68">
        <f t="shared" si="7"/>
        <v>0</v>
      </c>
      <c r="AD21" s="68">
        <f t="shared" si="8"/>
        <v>0</v>
      </c>
      <c r="AE21" s="68">
        <f t="shared" si="9"/>
        <v>0</v>
      </c>
      <c r="AF21" s="50"/>
      <c r="AG21" s="50" t="s">
        <v>138</v>
      </c>
      <c r="AH21" s="49" t="str">
        <f>IF(AG21="นิติศาสตร์","K5-LAW","K5-POLICY")</f>
        <v>K5-LAW</v>
      </c>
      <c r="AI21" s="72" t="str">
        <f>_xlfn.IFS(B21="","",AND(AH21="K5-LAW",AG21="นิติศาสตร์",K21="S2",T21="",Z21=""),P21,AND(AH21="K5-LAW",AG21="นิติศาสตร์",K21="S1",T21="",Z21=""),EDATE(P21,12),AND(AH21="K5-LAW",AG21="นิติศาสตร์",OR(K21="M2",K21="K4"),T21="",Z21=""),EDATE(P21,12*2),AND(AH21="K5-LAW",AG21="นิติศาสตร์",OR(Z21="M2",Z21="K4"),AC21&gt;=2,OR(AB21&lt;V21,AB21&lt;P21)),EDATE(AB21,12*2),AND(AH21="K5-LAW",AG21="นิติศาสตร์",Z21="S1",AC21&gt;=1,OR(AB21&lt;V21,AB21&lt;P21)),EDATE(AB21,12),AND(AH21="K5-LAW",AG21="นิติศาสตร์",OR(T21="M2",T21="K4"),W21&gt;=2,V21&lt;P21),EDATE(V21,12*2),AND(AH21="K5-LAW",AG21="นิติศาสตร์",T21="S1",W21&gt;=1,V21&lt;P21),EDATE(V21,12),AND(AH21="K5-LAW",AG21="นิติศาสตร์",OR(T21="S2",T21="K5")),V21,AND(AH21="K5-LAW",AG21="นิติศาสตร์",OR(K21="M2",K21="K4"),Q21&gt;=2),EDATE(P21,12*2),AND(AH21="K5-LAW",AG21="นิติศาสตร์",K21="S1",Q21&gt;=1),EDATE(P21,12),AND(AH21="K5-LAW",AG21="นิติศาสตร์",OR(K21="S2",K21="K5")),P21,AND(AH21="K5-POLICY",AG21&lt;&gt;"นิติศาสตร์",K21="S2",T21="",Z21=""),P21,AND(AH21="K5-POLICY",AG21&lt;&gt;"นิติศาสตร์",K21="S1",T21="",Z21=""),EDATE(P21,12),AND(AH21="K5-POLICY",AG21&lt;&gt;"นิติศาสตร์",OR(K21="M2",K21="K4"),T21="",Z21=""),EDATE(P21,12*2),AND(AH21="K5-POLICY",AG21&lt;&gt;"นิติศาสตร์",OR(Z21="M2",Z21="K4"),AC21&gt;=2,OR(AB21&lt;V21,AB21&lt;P21)),EDATE(AB21,12*2),AND(AH21="K5-POLICY",AG21&lt;&gt;"นิติศาสตร์",Z21="S1",AC21&gt;=1,OR(AB21&lt;V21,AB21&lt;P21)),EDATE(AB21,12),AND(AH21="K5-POLICY",AG21&lt;&gt;"นิติศาสตร์",OR(T21="M2",T21="K4"),W21&gt;=2,V21&lt;P21),EDATE(V21,12*2),AND(AH21="K5-POLICY",AG21&lt;&gt;"นิติศาสตร์",T21="S1",W21&gt;=1,V21&lt;P21),EDATE(V21,12),AND(AH21="K5-POLICY",AG21&lt;&gt;"นิติศาสตร์",OR(T21="S2",T21="K5")),V21,AND(AH21="K5-POLICY",AG21&lt;&gt;"นิติศาสตร์",OR(K21="M2",K21="K4"),Q21&gt;=2),EDATE(P21,12*2),AND(AH21="K5-POLICY",AG21&lt;&gt;"นิติศาสตร์",K21="S1",Q21&gt;=1),EDATE(P21,12),AND(AH21="K5-POLICY",AG21&lt;&gt;"นิติศาสตร์",OR(K21="S2",K21="K5")),P21,TRUE,"Check Data")</f>
        <v/>
      </c>
      <c r="AJ21" s="75" t="str">
        <f t="shared" si="10"/>
        <v>Check Data</v>
      </c>
      <c r="AK21" s="76" t="str">
        <f t="shared" si="11"/>
        <v>Check Data</v>
      </c>
      <c r="AL21" s="50" t="str">
        <f t="shared" si="12"/>
        <v>Check Data</v>
      </c>
      <c r="AM21" s="49" t="str">
        <f>IF(B21="","",IF(K21="S1","S1",INDEX(#REF!,#REF!)))</f>
        <v/>
      </c>
      <c r="AN21" s="49" t="str">
        <f t="shared" si="13"/>
        <v>M2</v>
      </c>
      <c r="AO21" s="50" t="b">
        <f>K21=AM21</f>
        <v>0</v>
      </c>
      <c r="AP21" s="50"/>
    </row>
    <row r="22" spans="1:42" ht="21.75">
      <c r="A22" s="49">
        <v>20</v>
      </c>
      <c r="B22" s="50"/>
      <c r="C22" s="50"/>
      <c r="D22" s="50" t="s">
        <v>144</v>
      </c>
      <c r="E22" s="49" t="s">
        <v>379</v>
      </c>
      <c r="F22" s="49" t="str">
        <f t="shared" si="0"/>
        <v>10/07/1987</v>
      </c>
      <c r="G22" s="50">
        <f t="shared" si="1"/>
        <v>37</v>
      </c>
      <c r="H22" s="50">
        <f t="shared" si="2"/>
        <v>11</v>
      </c>
      <c r="I22" s="50">
        <f t="shared" si="3"/>
        <v>10</v>
      </c>
      <c r="J22" s="57"/>
      <c r="K22" s="49" t="s">
        <v>136</v>
      </c>
      <c r="L22" s="64"/>
      <c r="M22" s="49" t="s">
        <v>425</v>
      </c>
      <c r="N22" s="49">
        <v>2572</v>
      </c>
      <c r="O22" s="65" t="s">
        <v>380</v>
      </c>
      <c r="P22" s="49" t="str">
        <f t="shared" si="4"/>
        <v>21/01/2020</v>
      </c>
      <c r="Q22" s="68">
        <f>IF(P22="",0,DATEDIF(P22,$C$1,"Y"))</f>
        <v>5</v>
      </c>
      <c r="R22" s="68">
        <f>IF(P22="",0,DATEDIF(P22,$C$1,"YM"))</f>
        <v>4</v>
      </c>
      <c r="S22" s="68">
        <f>IF(P22="",0,DATEDIF(P22,$C$1,"MD"))</f>
        <v>30</v>
      </c>
      <c r="T22" s="65"/>
      <c r="U22" s="65"/>
      <c r="V22" s="49" t="str">
        <f t="shared" si="5"/>
        <v/>
      </c>
      <c r="W22" s="68">
        <f>IF(V22="",0,DATEDIF(V22,P22,"Y"))</f>
        <v>0</v>
      </c>
      <c r="X22" s="68">
        <f>IF(V22="",0,DATEDIF(V22,P22,"YM"))</f>
        <v>0</v>
      </c>
      <c r="Y22" s="68">
        <f>IF(V22="",0,DATEDIF(V22,P22,"MD"))</f>
        <v>0</v>
      </c>
      <c r="Z22" s="49"/>
      <c r="AA22" s="65"/>
      <c r="AB22" s="50" t="str">
        <f t="shared" si="6"/>
        <v/>
      </c>
      <c r="AC22" s="68">
        <f t="shared" si="7"/>
        <v>0</v>
      </c>
      <c r="AD22" s="68">
        <f t="shared" si="8"/>
        <v>0</v>
      </c>
      <c r="AE22" s="68">
        <f t="shared" si="9"/>
        <v>0</v>
      </c>
      <c r="AF22" s="50"/>
      <c r="AG22" s="50" t="s">
        <v>138</v>
      </c>
      <c r="AH22" s="49" t="str">
        <f>IF(AG22="นิติศาสตร์","K5-LAW","K5-POLICY")</f>
        <v>K5-LAW</v>
      </c>
      <c r="AI22" s="72" t="str">
        <f>_xlfn.IFS(B22="","",AND(AH22="K5-LAW",AG22="นิติศาสตร์",K22="S2",T22="",Z22=""),P22,AND(AH22="K5-LAW",AG22="นิติศาสตร์",K22="S1",T22="",Z22=""),EDATE(P22,12),AND(AH22="K5-LAW",AG22="นิติศาสตร์",OR(K22="M2",K22="K4"),T22="",Z22=""),EDATE(P22,12*2),AND(AH22="K5-LAW",AG22="นิติศาสตร์",OR(Z22="M2",Z22="K4"),AC22&gt;=2,OR(AB22&lt;V22,AB22&lt;P22)),EDATE(AB22,12*2),AND(AH22="K5-LAW",AG22="นิติศาสตร์",Z22="S1",AC22&gt;=1,OR(AB22&lt;V22,AB22&lt;P22)),EDATE(AB22,12),AND(AH22="K5-LAW",AG22="นิติศาสตร์",OR(T22="M2",T22="K4"),W22&gt;=2,V22&lt;P22),EDATE(V22,12*2),AND(AH22="K5-LAW",AG22="นิติศาสตร์",T22="S1",W22&gt;=1,V22&lt;P22),EDATE(V22,12),AND(AH22="K5-LAW",AG22="นิติศาสตร์",OR(T22="S2",T22="K5")),V22,AND(AH22="K5-LAW",AG22="นิติศาสตร์",OR(K22="M2",K22="K4"),Q22&gt;=2),EDATE(P22,12*2),AND(AH22="K5-LAW",AG22="นิติศาสตร์",K22="S1",Q22&gt;=1),EDATE(P22,12),AND(AH22="K5-LAW",AG22="นิติศาสตร์",OR(K22="S2",K22="K5")),P22,AND(AH22="K5-POLICY",AG22&lt;&gt;"นิติศาสตร์",K22="S2",T22="",Z22=""),P22,AND(AH22="K5-POLICY",AG22&lt;&gt;"นิติศาสตร์",K22="S1",T22="",Z22=""),EDATE(P22,12),AND(AH22="K5-POLICY",AG22&lt;&gt;"นิติศาสตร์",OR(K22="M2",K22="K4"),T22="",Z22=""),EDATE(P22,12*2),AND(AH22="K5-POLICY",AG22&lt;&gt;"นิติศาสตร์",OR(Z22="M2",Z22="K4"),AC22&gt;=2,OR(AB22&lt;V22,AB22&lt;P22)),EDATE(AB22,12*2),AND(AH22="K5-POLICY",AG22&lt;&gt;"นิติศาสตร์",Z22="S1",AC22&gt;=1,OR(AB22&lt;V22,AB22&lt;P22)),EDATE(AB22,12),AND(AH22="K5-POLICY",AG22&lt;&gt;"นิติศาสตร์",OR(T22="M2",T22="K4"),W22&gt;=2,V22&lt;P22),EDATE(V22,12*2),AND(AH22="K5-POLICY",AG22&lt;&gt;"นิติศาสตร์",T22="S1",W22&gt;=1,V22&lt;P22),EDATE(V22,12),AND(AH22="K5-POLICY",AG22&lt;&gt;"นิติศาสตร์",OR(T22="S2",T22="K5")),V22,AND(AH22="K5-POLICY",AG22&lt;&gt;"นิติศาสตร์",OR(K22="M2",K22="K4"),Q22&gt;=2),EDATE(P22,12*2),AND(AH22="K5-POLICY",AG22&lt;&gt;"นิติศาสตร์",K22="S1",Q22&gt;=1),EDATE(P22,12),AND(AH22="K5-POLICY",AG22&lt;&gt;"นิติศาสตร์",OR(K22="S2",K22="K5")),P22,TRUE,"Check Data")</f>
        <v/>
      </c>
      <c r="AJ22" s="75" t="str">
        <f t="shared" si="10"/>
        <v>Check Data</v>
      </c>
      <c r="AK22" s="76" t="str">
        <f t="shared" si="11"/>
        <v>Check Data</v>
      </c>
      <c r="AL22" s="50" t="str">
        <f t="shared" si="12"/>
        <v>Check Data</v>
      </c>
      <c r="AM22" s="49" t="str">
        <f>IF(B22="","",IF(K22="S1","S1",INDEX(#REF!,#REF!)))</f>
        <v/>
      </c>
      <c r="AN22" s="49" t="str">
        <f t="shared" si="13"/>
        <v>M2</v>
      </c>
      <c r="AO22" s="50" t="b">
        <f>K22=AM22</f>
        <v>0</v>
      </c>
      <c r="AP22" s="50"/>
    </row>
    <row r="23" spans="1:42" ht="21.75">
      <c r="A23" s="49">
        <v>21</v>
      </c>
      <c r="B23" s="50"/>
      <c r="C23" s="50"/>
      <c r="D23" s="50" t="s">
        <v>146</v>
      </c>
      <c r="E23" s="49" t="s">
        <v>420</v>
      </c>
      <c r="F23" s="49" t="str">
        <f t="shared" si="0"/>
        <v>28/09/1994</v>
      </c>
      <c r="G23" s="50">
        <f t="shared" si="1"/>
        <v>30</v>
      </c>
      <c r="H23" s="50">
        <f t="shared" si="2"/>
        <v>8</v>
      </c>
      <c r="I23" s="50">
        <f t="shared" si="3"/>
        <v>23</v>
      </c>
      <c r="J23" s="80"/>
      <c r="K23" s="49" t="s">
        <v>136</v>
      </c>
      <c r="L23" s="64"/>
      <c r="M23" s="49" t="s">
        <v>427</v>
      </c>
      <c r="N23" s="49">
        <v>2572</v>
      </c>
      <c r="O23" s="65" t="s">
        <v>394</v>
      </c>
      <c r="P23" s="49" t="str">
        <f t="shared" si="4"/>
        <v>27/09/2023</v>
      </c>
      <c r="Q23" s="68">
        <f>IF(P23="",0,DATEDIF(P23,$C$1,"Y"))</f>
        <v>1</v>
      </c>
      <c r="R23" s="68">
        <f>IF(P23="",0,DATEDIF(P23,$C$1,"YM"))</f>
        <v>8</v>
      </c>
      <c r="S23" s="68">
        <f>IF(P23="",0,DATEDIF(P23,$C$1,"MD"))</f>
        <v>24</v>
      </c>
      <c r="T23" s="65" t="s">
        <v>137</v>
      </c>
      <c r="U23" s="65" t="s">
        <v>525</v>
      </c>
      <c r="V23" s="49" t="str">
        <f t="shared" si="5"/>
        <v>08/04/2020</v>
      </c>
      <c r="W23" s="68">
        <f>IF(V23="",0,DATEDIF(V23,P23,"Y"))</f>
        <v>3</v>
      </c>
      <c r="X23" s="68">
        <f>IF(V23="",0,DATEDIF(V23,P23,"YM"))</f>
        <v>5</v>
      </c>
      <c r="Y23" s="68">
        <f>IF(V23="",0,DATEDIF(V23,P23,"MD"))</f>
        <v>19</v>
      </c>
      <c r="Z23" s="49"/>
      <c r="AA23" s="65"/>
      <c r="AB23" s="50" t="str">
        <f t="shared" si="6"/>
        <v/>
      </c>
      <c r="AC23" s="68">
        <f t="shared" si="7"/>
        <v>0</v>
      </c>
      <c r="AD23" s="68">
        <f t="shared" si="8"/>
        <v>0</v>
      </c>
      <c r="AE23" s="68">
        <f t="shared" si="9"/>
        <v>0</v>
      </c>
      <c r="AF23" s="50"/>
      <c r="AG23" s="50" t="s">
        <v>138</v>
      </c>
      <c r="AH23" s="49" t="str">
        <f>IF(AG23="นิติศาสตร์","K5-LAW","K5-POLICY")</f>
        <v>K5-LAW</v>
      </c>
      <c r="AI23" s="72" t="str">
        <f>_xlfn.IFS(B23="","",AND(AH23="K5-LAW",AG23="นิติศาสตร์",K23="S2",T23="",Z23=""),P23,AND(AH23="K5-LAW",AG23="นิติศาสตร์",K23="S1",T23="",Z23=""),EDATE(P23,12),AND(AH23="K5-LAW",AG23="นิติศาสตร์",OR(K23="M2",K23="K4"),T23="",Z23=""),EDATE(P23,12*2),AND(AH23="K5-LAW",AG23="นิติศาสตร์",OR(Z23="M2",Z23="K4"),AC23&gt;=2,OR(AB23&lt;V23,AB23&lt;P23)),EDATE(AB23,12*2),AND(AH23="K5-LAW",AG23="นิติศาสตร์",Z23="S1",AC23&gt;=1,OR(AB23&lt;V23,AB23&lt;P23)),EDATE(AB23,12),AND(AH23="K5-LAW",AG23="นิติศาสตร์",OR(T23="M2",T23="K4"),W23&gt;=2,V23&lt;P23),EDATE(V23,12*2),AND(AH23="K5-LAW",AG23="นิติศาสตร์",T23="S1",W23&gt;=1,V23&lt;P23),EDATE(V23,12),AND(AH23="K5-LAW",AG23="นิติศาสตร์",OR(T23="S2",T23="K5")),V23,AND(AH23="K5-LAW",AG23="นิติศาสตร์",OR(K23="M2",K23="K4"),Q23&gt;=2),EDATE(P23,12*2),AND(AH23="K5-LAW",AG23="นิติศาสตร์",K23="S1",Q23&gt;=1),EDATE(P23,12),AND(AH23="K5-LAW",AG23="นิติศาสตร์",OR(K23="S2",K23="K5")),P23,AND(AH23="K5-POLICY",AG23&lt;&gt;"นิติศาสตร์",K23="S2",T23="",Z23=""),P23,AND(AH23="K5-POLICY",AG23&lt;&gt;"นิติศาสตร์",K23="S1",T23="",Z23=""),EDATE(P23,12),AND(AH23="K5-POLICY",AG23&lt;&gt;"นิติศาสตร์",OR(K23="M2",K23="K4"),T23="",Z23=""),EDATE(P23,12*2),AND(AH23="K5-POLICY",AG23&lt;&gt;"นิติศาสตร์",OR(Z23="M2",Z23="K4"),AC23&gt;=2,OR(AB23&lt;V23,AB23&lt;P23)),EDATE(AB23,12*2),AND(AH23="K5-POLICY",AG23&lt;&gt;"นิติศาสตร์",Z23="S1",AC23&gt;=1,OR(AB23&lt;V23,AB23&lt;P23)),EDATE(AB23,12),AND(AH23="K5-POLICY",AG23&lt;&gt;"นิติศาสตร์",OR(T23="M2",T23="K4"),W23&gt;=2,V23&lt;P23),EDATE(V23,12*2),AND(AH23="K5-POLICY",AG23&lt;&gt;"นิติศาสตร์",T23="S1",W23&gt;=1,V23&lt;P23),EDATE(V23,12),AND(AH23="K5-POLICY",AG23&lt;&gt;"นิติศาสตร์",OR(T23="S2",T23="K5")),V23,AND(AH23="K5-POLICY",AG23&lt;&gt;"นิติศาสตร์",OR(K23="M2",K23="K4"),Q23&gt;=2),EDATE(P23,12*2),AND(AH23="K5-POLICY",AG23&lt;&gt;"นิติศาสตร์",K23="S1",Q23&gt;=1),EDATE(P23,12),AND(AH23="K5-POLICY",AG23&lt;&gt;"นิติศาสตร์",OR(K23="S2",K23="K5")),P23,TRUE,"Check Data")</f>
        <v/>
      </c>
      <c r="AJ23" s="75" t="str">
        <f t="shared" si="10"/>
        <v>Check Data</v>
      </c>
      <c r="AK23" s="76" t="str">
        <f t="shared" si="11"/>
        <v>Check Data</v>
      </c>
      <c r="AL23" s="50" t="str">
        <f t="shared" si="12"/>
        <v>Check Data</v>
      </c>
      <c r="AM23" s="49" t="str">
        <f>IF(B23="","",IF(K23="S1","S1",INDEX(#REF!,#REF!)))</f>
        <v/>
      </c>
      <c r="AN23" s="49" t="str">
        <f t="shared" si="13"/>
        <v>M2</v>
      </c>
      <c r="AO23" s="50" t="b">
        <f>K23=AM23</f>
        <v>0</v>
      </c>
      <c r="AP23" s="50"/>
    </row>
    <row r="24" spans="1:42" ht="21.75">
      <c r="A24" s="49">
        <v>22</v>
      </c>
      <c r="B24" s="50"/>
      <c r="C24" s="50"/>
      <c r="D24" s="50" t="s">
        <v>144</v>
      </c>
      <c r="E24" s="49" t="s">
        <v>384</v>
      </c>
      <c r="F24" s="49" t="str">
        <f t="shared" si="0"/>
        <v>01/06/1994</v>
      </c>
      <c r="G24" s="50">
        <f t="shared" si="1"/>
        <v>31</v>
      </c>
      <c r="H24" s="50">
        <f t="shared" si="2"/>
        <v>0</v>
      </c>
      <c r="I24" s="50">
        <f t="shared" si="3"/>
        <v>19</v>
      </c>
      <c r="J24" s="57"/>
      <c r="K24" s="49" t="s">
        <v>136</v>
      </c>
      <c r="L24" s="64"/>
      <c r="M24" s="49" t="s">
        <v>425</v>
      </c>
      <c r="N24" s="49">
        <v>2569</v>
      </c>
      <c r="O24" s="65" t="s">
        <v>385</v>
      </c>
      <c r="P24" s="49" t="str">
        <f t="shared" si="4"/>
        <v>29/09/2020</v>
      </c>
      <c r="Q24" s="68">
        <f>IF(P24="",0,DATEDIF(P24,$C$1,"Y"))</f>
        <v>4</v>
      </c>
      <c r="R24" s="68">
        <f>IF(P24="",0,DATEDIF(P24,$C$1,"YM"))</f>
        <v>8</v>
      </c>
      <c r="S24" s="68">
        <f>IF(P24="",0,DATEDIF(P24,$C$1,"MD"))</f>
        <v>22</v>
      </c>
      <c r="T24" s="65"/>
      <c r="U24" s="65"/>
      <c r="V24" s="49" t="str">
        <f t="shared" si="5"/>
        <v/>
      </c>
      <c r="W24" s="68">
        <f>IF(V24="",0,DATEDIF(V24,P24,"Y"))</f>
        <v>0</v>
      </c>
      <c r="X24" s="68">
        <f>IF(V24="",0,DATEDIF(V24,P24,"YM"))</f>
        <v>0</v>
      </c>
      <c r="Y24" s="68">
        <f>IF(V24="",0,DATEDIF(V24,P24,"MD"))</f>
        <v>0</v>
      </c>
      <c r="Z24" s="49"/>
      <c r="AA24" s="65"/>
      <c r="AB24" s="50" t="str">
        <f t="shared" si="6"/>
        <v/>
      </c>
      <c r="AC24" s="68">
        <f t="shared" si="7"/>
        <v>0</v>
      </c>
      <c r="AD24" s="68">
        <f t="shared" si="8"/>
        <v>0</v>
      </c>
      <c r="AE24" s="68">
        <f t="shared" si="9"/>
        <v>0</v>
      </c>
      <c r="AF24" s="50"/>
      <c r="AG24" s="50" t="s">
        <v>138</v>
      </c>
      <c r="AH24" s="49" t="str">
        <f>IF(AG24="นิติศาสตร์","K5-LAW","K5-POLICY")</f>
        <v>K5-LAW</v>
      </c>
      <c r="AI24" s="72" t="str">
        <f>_xlfn.IFS(B24="","",AND(AH24="K5-LAW",AG24="นิติศาสตร์",K24="S2",T24="",Z24=""),P24,AND(AH24="K5-LAW",AG24="นิติศาสตร์",K24="S1",T24="",Z24=""),EDATE(P24,12),AND(AH24="K5-LAW",AG24="นิติศาสตร์",OR(K24="M2",K24="K4"),T24="",Z24=""),EDATE(P24,12*2),AND(AH24="K5-LAW",AG24="นิติศาสตร์",OR(Z24="M2",Z24="K4"),AC24&gt;=2,OR(AB24&lt;V24,AB24&lt;P24)),EDATE(AB24,12*2),AND(AH24="K5-LAW",AG24="นิติศาสตร์",Z24="S1",AC24&gt;=1,OR(AB24&lt;V24,AB24&lt;P24)),EDATE(AB24,12),AND(AH24="K5-LAW",AG24="นิติศาสตร์",OR(T24="M2",T24="K4"),W24&gt;=2,V24&lt;P24),EDATE(V24,12*2),AND(AH24="K5-LAW",AG24="นิติศาสตร์",T24="S1",W24&gt;=1,V24&lt;P24),EDATE(V24,12),AND(AH24="K5-LAW",AG24="นิติศาสตร์",OR(T24="S2",T24="K5")),V24,AND(AH24="K5-LAW",AG24="นิติศาสตร์",OR(K24="M2",K24="K4"),Q24&gt;=2),EDATE(P24,12*2),AND(AH24="K5-LAW",AG24="นิติศาสตร์",K24="S1",Q24&gt;=1),EDATE(P24,12),AND(AH24="K5-LAW",AG24="นิติศาสตร์",OR(K24="S2",K24="K5")),P24,AND(AH24="K5-POLICY",AG24&lt;&gt;"นิติศาสตร์",K24="S2",T24="",Z24=""),P24,AND(AH24="K5-POLICY",AG24&lt;&gt;"นิติศาสตร์",K24="S1",T24="",Z24=""),EDATE(P24,12),AND(AH24="K5-POLICY",AG24&lt;&gt;"นิติศาสตร์",OR(K24="M2",K24="K4"),T24="",Z24=""),EDATE(P24,12*2),AND(AH24="K5-POLICY",AG24&lt;&gt;"นิติศาสตร์",OR(Z24="M2",Z24="K4"),AC24&gt;=2,OR(AB24&lt;V24,AB24&lt;P24)),EDATE(AB24,12*2),AND(AH24="K5-POLICY",AG24&lt;&gt;"นิติศาสตร์",Z24="S1",AC24&gt;=1,OR(AB24&lt;V24,AB24&lt;P24)),EDATE(AB24,12),AND(AH24="K5-POLICY",AG24&lt;&gt;"นิติศาสตร์",OR(T24="M2",T24="K4"),W24&gt;=2,V24&lt;P24),EDATE(V24,12*2),AND(AH24="K5-POLICY",AG24&lt;&gt;"นิติศาสตร์",T24="S1",W24&gt;=1,V24&lt;P24),EDATE(V24,12),AND(AH24="K5-POLICY",AG24&lt;&gt;"นิติศาสตร์",OR(T24="S2",T24="K5")),V24,AND(AH24="K5-POLICY",AG24&lt;&gt;"นิติศาสตร์",OR(K24="M2",K24="K4"),Q24&gt;=2),EDATE(P24,12*2),AND(AH24="K5-POLICY",AG24&lt;&gt;"นิติศาสตร์",K24="S1",Q24&gt;=1),EDATE(P24,12),AND(AH24="K5-POLICY",AG24&lt;&gt;"นิติศาสตร์",OR(K24="S2",K24="K5")),P24,TRUE,"Check Data")</f>
        <v/>
      </c>
      <c r="AJ24" s="75" t="str">
        <f t="shared" si="10"/>
        <v>Check Data</v>
      </c>
      <c r="AK24" s="76" t="str">
        <f t="shared" si="11"/>
        <v>Check Data</v>
      </c>
      <c r="AL24" s="50" t="str">
        <f t="shared" si="12"/>
        <v>Check Data</v>
      </c>
      <c r="AM24" s="49" t="str">
        <f>IF(B24="","",IF(K24="S1","S1",INDEX(#REF!,#REF!)))</f>
        <v/>
      </c>
      <c r="AN24" s="49" t="str">
        <f t="shared" si="13"/>
        <v>M2</v>
      </c>
      <c r="AO24" s="50" t="b">
        <f>K24=AM24</f>
        <v>0</v>
      </c>
      <c r="AP24" s="50"/>
    </row>
    <row r="25" spans="1:42" ht="21.75">
      <c r="A25" s="49">
        <v>23</v>
      </c>
      <c r="B25" s="50"/>
      <c r="C25" s="50"/>
      <c r="D25" s="50" t="s">
        <v>141</v>
      </c>
      <c r="E25" s="49" t="s">
        <v>254</v>
      </c>
      <c r="F25" s="49" t="str">
        <f t="shared" si="0"/>
        <v>13/08/1991</v>
      </c>
      <c r="G25" s="50">
        <f t="shared" si="1"/>
        <v>33</v>
      </c>
      <c r="H25" s="50">
        <f t="shared" si="2"/>
        <v>10</v>
      </c>
      <c r="I25" s="50">
        <f t="shared" si="3"/>
        <v>7</v>
      </c>
      <c r="J25" s="60"/>
      <c r="K25" s="49" t="s">
        <v>136</v>
      </c>
      <c r="L25" s="64"/>
      <c r="M25" s="49" t="s">
        <v>427</v>
      </c>
      <c r="N25" s="49">
        <v>2568</v>
      </c>
      <c r="O25" s="65" t="s">
        <v>252</v>
      </c>
      <c r="P25" s="49" t="str">
        <f t="shared" si="4"/>
        <v>01/10/2020</v>
      </c>
      <c r="Q25" s="68">
        <f>IF(P25="",0,DATEDIF(P25,$C$1,"Y"))</f>
        <v>4</v>
      </c>
      <c r="R25" s="68">
        <f>IF(P25="",0,DATEDIF(P25,$C$1,"YM"))</f>
        <v>8</v>
      </c>
      <c r="S25" s="68">
        <f>IF(P25="",0,DATEDIF(P25,$C$1,"MD"))</f>
        <v>19</v>
      </c>
      <c r="T25" s="65"/>
      <c r="U25" s="65"/>
      <c r="V25" s="49" t="str">
        <f t="shared" si="5"/>
        <v/>
      </c>
      <c r="W25" s="68">
        <f>IF(V25="",0,DATEDIF(V25,P25,"Y"))</f>
        <v>0</v>
      </c>
      <c r="X25" s="68">
        <f>IF(V25="",0,DATEDIF(V25,P25,"YM"))</f>
        <v>0</v>
      </c>
      <c r="Y25" s="68">
        <f>IF(V25="",0,DATEDIF(V25,P25,"MD"))</f>
        <v>0</v>
      </c>
      <c r="Z25" s="49"/>
      <c r="AA25" s="65"/>
      <c r="AB25" s="50" t="str">
        <f t="shared" si="6"/>
        <v/>
      </c>
      <c r="AC25" s="68">
        <f t="shared" si="7"/>
        <v>0</v>
      </c>
      <c r="AD25" s="68">
        <f t="shared" si="8"/>
        <v>0</v>
      </c>
      <c r="AE25" s="68">
        <f t="shared" si="9"/>
        <v>0</v>
      </c>
      <c r="AF25" s="50"/>
      <c r="AG25" s="50" t="s">
        <v>138</v>
      </c>
      <c r="AH25" s="49" t="str">
        <f>IF(AG25="นิติศาสตร์","K5-LAW","K5-POLICY")</f>
        <v>K5-LAW</v>
      </c>
      <c r="AI25" s="72" t="str">
        <f>_xlfn.IFS(B25="","",AND(AH25="K5-LAW",AG25="นิติศาสตร์",K25="S2",T25="",Z25=""),P25,AND(AH25="K5-LAW",AG25="นิติศาสตร์",K25="S1",T25="",Z25=""),EDATE(P25,12),AND(AH25="K5-LAW",AG25="นิติศาสตร์",OR(K25="M2",K25="K4"),T25="",Z25=""),EDATE(P25,12*2),AND(AH25="K5-LAW",AG25="นิติศาสตร์",OR(Z25="M2",Z25="K4"),AC25&gt;=2,OR(AB25&lt;V25,AB25&lt;P25)),EDATE(AB25,12*2),AND(AH25="K5-LAW",AG25="นิติศาสตร์",Z25="S1",AC25&gt;=1,OR(AB25&lt;V25,AB25&lt;P25)),EDATE(AB25,12),AND(AH25="K5-LAW",AG25="นิติศาสตร์",OR(T25="M2",T25="K4"),W25&gt;=2,V25&lt;P25),EDATE(V25,12*2),AND(AH25="K5-LAW",AG25="นิติศาสตร์",T25="S1",W25&gt;=1,V25&lt;P25),EDATE(V25,12),AND(AH25="K5-LAW",AG25="นิติศาสตร์",OR(T25="S2",T25="K5")),V25,AND(AH25="K5-LAW",AG25="นิติศาสตร์",OR(K25="M2",K25="K4"),Q25&gt;=2),EDATE(P25,12*2),AND(AH25="K5-LAW",AG25="นิติศาสตร์",K25="S1",Q25&gt;=1),EDATE(P25,12),AND(AH25="K5-LAW",AG25="นิติศาสตร์",OR(K25="S2",K25="K5")),P25,AND(AH25="K5-POLICY",AG25&lt;&gt;"นิติศาสตร์",K25="S2",T25="",Z25=""),P25,AND(AH25="K5-POLICY",AG25&lt;&gt;"นิติศาสตร์",K25="S1",T25="",Z25=""),EDATE(P25,12),AND(AH25="K5-POLICY",AG25&lt;&gt;"นิติศาสตร์",OR(K25="M2",K25="K4"),T25="",Z25=""),EDATE(P25,12*2),AND(AH25="K5-POLICY",AG25&lt;&gt;"นิติศาสตร์",OR(Z25="M2",Z25="K4"),AC25&gt;=2,OR(AB25&lt;V25,AB25&lt;P25)),EDATE(AB25,12*2),AND(AH25="K5-POLICY",AG25&lt;&gt;"นิติศาสตร์",Z25="S1",AC25&gt;=1,OR(AB25&lt;V25,AB25&lt;P25)),EDATE(AB25,12),AND(AH25="K5-POLICY",AG25&lt;&gt;"นิติศาสตร์",OR(T25="M2",T25="K4"),W25&gt;=2,V25&lt;P25),EDATE(V25,12*2),AND(AH25="K5-POLICY",AG25&lt;&gt;"นิติศาสตร์",T25="S1",W25&gt;=1,V25&lt;P25),EDATE(V25,12),AND(AH25="K5-POLICY",AG25&lt;&gt;"นิติศาสตร์",OR(T25="S2",T25="K5")),V25,AND(AH25="K5-POLICY",AG25&lt;&gt;"นิติศาสตร์",OR(K25="M2",K25="K4"),Q25&gt;=2),EDATE(P25,12*2),AND(AH25="K5-POLICY",AG25&lt;&gt;"นิติศาสตร์",K25="S1",Q25&gt;=1),EDATE(P25,12),AND(AH25="K5-POLICY",AG25&lt;&gt;"นิติศาสตร์",OR(K25="S2",K25="K5")),P25,TRUE,"Check Data")</f>
        <v/>
      </c>
      <c r="AJ25" s="75" t="str">
        <f t="shared" si="10"/>
        <v>Check Data</v>
      </c>
      <c r="AK25" s="76" t="str">
        <f t="shared" si="11"/>
        <v>Check Data</v>
      </c>
      <c r="AL25" s="50" t="str">
        <f t="shared" si="12"/>
        <v>Check Data</v>
      </c>
      <c r="AM25" s="49" t="str">
        <f>IF(B25="","",IF(K25="S1","S1",INDEX(#REF!,#REF!)))</f>
        <v/>
      </c>
      <c r="AN25" s="49" t="str">
        <f t="shared" si="13"/>
        <v>M2</v>
      </c>
      <c r="AO25" s="50" t="b">
        <f>K25=AM25</f>
        <v>0</v>
      </c>
      <c r="AP25" s="50"/>
    </row>
    <row r="26" spans="1:42" ht="21.75">
      <c r="A26" s="49">
        <v>24</v>
      </c>
      <c r="B26" s="50"/>
      <c r="C26" s="50"/>
      <c r="D26" s="50" t="s">
        <v>141</v>
      </c>
      <c r="E26" s="49" t="s">
        <v>251</v>
      </c>
      <c r="F26" s="49" t="str">
        <f t="shared" si="0"/>
        <v>15/08/1997</v>
      </c>
      <c r="G26" s="50">
        <f t="shared" si="1"/>
        <v>27</v>
      </c>
      <c r="H26" s="50">
        <f t="shared" si="2"/>
        <v>10</v>
      </c>
      <c r="I26" s="50">
        <f t="shared" si="3"/>
        <v>5</v>
      </c>
      <c r="J26" s="60"/>
      <c r="K26" s="49" t="s">
        <v>136</v>
      </c>
      <c r="L26" s="64"/>
      <c r="M26" s="49" t="s">
        <v>425</v>
      </c>
      <c r="N26" s="49">
        <v>2575</v>
      </c>
      <c r="O26" s="65" t="s">
        <v>252</v>
      </c>
      <c r="P26" s="49" t="str">
        <f t="shared" si="4"/>
        <v>01/10/2020</v>
      </c>
      <c r="Q26" s="68">
        <f>IF(P26="",0,DATEDIF(P26,$C$1,"Y"))</f>
        <v>4</v>
      </c>
      <c r="R26" s="68">
        <f>IF(P26="",0,DATEDIF(P26,$C$1,"YM"))</f>
        <v>8</v>
      </c>
      <c r="S26" s="68">
        <f>IF(P26="",0,DATEDIF(P26,$C$1,"MD"))</f>
        <v>19</v>
      </c>
      <c r="T26" s="65"/>
      <c r="U26" s="65"/>
      <c r="V26" s="49" t="str">
        <f t="shared" si="5"/>
        <v/>
      </c>
      <c r="W26" s="68">
        <f>IF(V26="",0,DATEDIF(V26,P26,"Y"))</f>
        <v>0</v>
      </c>
      <c r="X26" s="68">
        <f>IF(V26="",0,DATEDIF(V26,P26,"YM"))</f>
        <v>0</v>
      </c>
      <c r="Y26" s="68">
        <f>IF(V26="",0,DATEDIF(V26,P26,"MD"))</f>
        <v>0</v>
      </c>
      <c r="Z26" s="49"/>
      <c r="AA26" s="65"/>
      <c r="AB26" s="50" t="str">
        <f t="shared" si="6"/>
        <v/>
      </c>
      <c r="AC26" s="68">
        <f t="shared" si="7"/>
        <v>0</v>
      </c>
      <c r="AD26" s="68">
        <f t="shared" si="8"/>
        <v>0</v>
      </c>
      <c r="AE26" s="68">
        <f t="shared" si="9"/>
        <v>0</v>
      </c>
      <c r="AF26" s="50"/>
      <c r="AG26" s="50" t="s">
        <v>138</v>
      </c>
      <c r="AH26" s="49" t="str">
        <f>IF(AG26="นิติศาสตร์","K5-LAW","K5-POLICY")</f>
        <v>K5-LAW</v>
      </c>
      <c r="AI26" s="72" t="str">
        <f>_xlfn.IFS(B26="","",AND(AH26="K5-LAW",AG26="นิติศาสตร์",K26="S2",T26="",Z26=""),P26,AND(AH26="K5-LAW",AG26="นิติศาสตร์",K26="S1",T26="",Z26=""),EDATE(P26,12),AND(AH26="K5-LAW",AG26="นิติศาสตร์",OR(K26="M2",K26="K4"),T26="",Z26=""),EDATE(P26,12*2),AND(AH26="K5-LAW",AG26="นิติศาสตร์",OR(Z26="M2",Z26="K4"),AC26&gt;=2,OR(AB26&lt;V26,AB26&lt;P26)),EDATE(AB26,12*2),AND(AH26="K5-LAW",AG26="นิติศาสตร์",Z26="S1",AC26&gt;=1,OR(AB26&lt;V26,AB26&lt;P26)),EDATE(AB26,12),AND(AH26="K5-LAW",AG26="นิติศาสตร์",OR(T26="M2",T26="K4"),W26&gt;=2,V26&lt;P26),EDATE(V26,12*2),AND(AH26="K5-LAW",AG26="นิติศาสตร์",T26="S1",W26&gt;=1,V26&lt;P26),EDATE(V26,12),AND(AH26="K5-LAW",AG26="นิติศาสตร์",OR(T26="S2",T26="K5")),V26,AND(AH26="K5-LAW",AG26="นิติศาสตร์",OR(K26="M2",K26="K4"),Q26&gt;=2),EDATE(P26,12*2),AND(AH26="K5-LAW",AG26="นิติศาสตร์",K26="S1",Q26&gt;=1),EDATE(P26,12),AND(AH26="K5-LAW",AG26="นิติศาสตร์",OR(K26="S2",K26="K5")),P26,AND(AH26="K5-POLICY",AG26&lt;&gt;"นิติศาสตร์",K26="S2",T26="",Z26=""),P26,AND(AH26="K5-POLICY",AG26&lt;&gt;"นิติศาสตร์",K26="S1",T26="",Z26=""),EDATE(P26,12),AND(AH26="K5-POLICY",AG26&lt;&gt;"นิติศาสตร์",OR(K26="M2",K26="K4"),T26="",Z26=""),EDATE(P26,12*2),AND(AH26="K5-POLICY",AG26&lt;&gt;"นิติศาสตร์",OR(Z26="M2",Z26="K4"),AC26&gt;=2,OR(AB26&lt;V26,AB26&lt;P26)),EDATE(AB26,12*2),AND(AH26="K5-POLICY",AG26&lt;&gt;"นิติศาสตร์",Z26="S1",AC26&gt;=1,OR(AB26&lt;V26,AB26&lt;P26)),EDATE(AB26,12),AND(AH26="K5-POLICY",AG26&lt;&gt;"นิติศาสตร์",OR(T26="M2",T26="K4"),W26&gt;=2,V26&lt;P26),EDATE(V26,12*2),AND(AH26="K5-POLICY",AG26&lt;&gt;"นิติศาสตร์",T26="S1",W26&gt;=1,V26&lt;P26),EDATE(V26,12),AND(AH26="K5-POLICY",AG26&lt;&gt;"นิติศาสตร์",OR(T26="S2",T26="K5")),V26,AND(AH26="K5-POLICY",AG26&lt;&gt;"นิติศาสตร์",OR(K26="M2",K26="K4"),Q26&gt;=2),EDATE(P26,12*2),AND(AH26="K5-POLICY",AG26&lt;&gt;"นิติศาสตร์",K26="S1",Q26&gt;=1),EDATE(P26,12),AND(AH26="K5-POLICY",AG26&lt;&gt;"นิติศาสตร์",OR(K26="S2",K26="K5")),P26,TRUE,"Check Data")</f>
        <v/>
      </c>
      <c r="AJ26" s="75" t="str">
        <f t="shared" si="10"/>
        <v>Check Data</v>
      </c>
      <c r="AK26" s="76" t="str">
        <f t="shared" si="11"/>
        <v>Check Data</v>
      </c>
      <c r="AL26" s="50" t="str">
        <f t="shared" si="12"/>
        <v>Check Data</v>
      </c>
      <c r="AM26" s="49" t="str">
        <f>IF(B26="","",IF(K26="S1","S1",INDEX(#REF!,#REF!)))</f>
        <v/>
      </c>
      <c r="AN26" s="49" t="str">
        <f t="shared" si="13"/>
        <v>M2</v>
      </c>
      <c r="AO26" s="50" t="b">
        <f>K26=AM26</f>
        <v>0</v>
      </c>
      <c r="AP26" s="50"/>
    </row>
    <row r="27" spans="1:42" ht="21.75">
      <c r="A27" s="49">
        <v>25</v>
      </c>
      <c r="B27" s="50"/>
      <c r="C27" s="50"/>
      <c r="D27" s="50" t="s">
        <v>143</v>
      </c>
      <c r="E27" s="49" t="s">
        <v>322</v>
      </c>
      <c r="F27" s="49" t="str">
        <f t="shared" si="0"/>
        <v>30/07/1992</v>
      </c>
      <c r="G27" s="50">
        <f t="shared" si="1"/>
        <v>32</v>
      </c>
      <c r="H27" s="50">
        <f t="shared" si="2"/>
        <v>10</v>
      </c>
      <c r="I27" s="50">
        <f t="shared" si="3"/>
        <v>21</v>
      </c>
      <c r="J27" s="59"/>
      <c r="K27" s="49" t="s">
        <v>136</v>
      </c>
      <c r="L27" s="64"/>
      <c r="M27" s="49" t="s">
        <v>427</v>
      </c>
      <c r="N27" s="49">
        <v>2570</v>
      </c>
      <c r="O27" s="65" t="s">
        <v>287</v>
      </c>
      <c r="P27" s="49" t="str">
        <f t="shared" si="4"/>
        <v>29/10/2020</v>
      </c>
      <c r="Q27" s="68">
        <f>IF(P27="",0,DATEDIF(P27,$C$1,"Y"))</f>
        <v>4</v>
      </c>
      <c r="R27" s="68">
        <f>IF(P27="",0,DATEDIF(P27,$C$1,"YM"))</f>
        <v>7</v>
      </c>
      <c r="S27" s="68">
        <f>IF(P27="",0,DATEDIF(P27,$C$1,"MD"))</f>
        <v>22</v>
      </c>
      <c r="T27" s="65"/>
      <c r="U27" s="65"/>
      <c r="V27" s="49" t="str">
        <f t="shared" si="5"/>
        <v/>
      </c>
      <c r="W27" s="68">
        <f>IF(V27="",0,DATEDIF(V27,P27,"Y"))</f>
        <v>0</v>
      </c>
      <c r="X27" s="68">
        <f>IF(V27="",0,DATEDIF(V27,P27,"YM"))</f>
        <v>0</v>
      </c>
      <c r="Y27" s="68">
        <f>IF(V27="",0,DATEDIF(V27,P27,"MD"))</f>
        <v>0</v>
      </c>
      <c r="Z27" s="49"/>
      <c r="AA27" s="65"/>
      <c r="AB27" s="50" t="str">
        <f t="shared" si="6"/>
        <v/>
      </c>
      <c r="AC27" s="68">
        <f t="shared" si="7"/>
        <v>0</v>
      </c>
      <c r="AD27" s="68">
        <f t="shared" si="8"/>
        <v>0</v>
      </c>
      <c r="AE27" s="68">
        <f t="shared" si="9"/>
        <v>0</v>
      </c>
      <c r="AF27" s="50"/>
      <c r="AG27" s="50" t="s">
        <v>138</v>
      </c>
      <c r="AH27" s="49" t="str">
        <f>IF(AG27="นิติศาสตร์","K5-LAW","K5-POLICY")</f>
        <v>K5-LAW</v>
      </c>
      <c r="AI27" s="72" t="str">
        <f>_xlfn.IFS(B27="","",AND(AH27="K5-LAW",AG27="นิติศาสตร์",K27="S2",T27="",Z27=""),P27,AND(AH27="K5-LAW",AG27="นิติศาสตร์",K27="S1",T27="",Z27=""),EDATE(P27,12),AND(AH27="K5-LAW",AG27="นิติศาสตร์",OR(K27="M2",K27="K4"),T27="",Z27=""),EDATE(P27,12*2),AND(AH27="K5-LAW",AG27="นิติศาสตร์",OR(Z27="M2",Z27="K4"),AC27&gt;=2,OR(AB27&lt;V27,AB27&lt;P27)),EDATE(AB27,12*2),AND(AH27="K5-LAW",AG27="นิติศาสตร์",Z27="S1",AC27&gt;=1,OR(AB27&lt;V27,AB27&lt;P27)),EDATE(AB27,12),AND(AH27="K5-LAW",AG27="นิติศาสตร์",OR(T27="M2",T27="K4"),W27&gt;=2,V27&lt;P27),EDATE(V27,12*2),AND(AH27="K5-LAW",AG27="นิติศาสตร์",T27="S1",W27&gt;=1,V27&lt;P27),EDATE(V27,12),AND(AH27="K5-LAW",AG27="นิติศาสตร์",OR(T27="S2",T27="K5")),V27,AND(AH27="K5-LAW",AG27="นิติศาสตร์",OR(K27="M2",K27="K4"),Q27&gt;=2),EDATE(P27,12*2),AND(AH27="K5-LAW",AG27="นิติศาสตร์",K27="S1",Q27&gt;=1),EDATE(P27,12),AND(AH27="K5-LAW",AG27="นิติศาสตร์",OR(K27="S2",K27="K5")),P27,AND(AH27="K5-POLICY",AG27&lt;&gt;"นิติศาสตร์",K27="S2",T27="",Z27=""),P27,AND(AH27="K5-POLICY",AG27&lt;&gt;"นิติศาสตร์",K27="S1",T27="",Z27=""),EDATE(P27,12),AND(AH27="K5-POLICY",AG27&lt;&gt;"นิติศาสตร์",OR(K27="M2",K27="K4"),T27="",Z27=""),EDATE(P27,12*2),AND(AH27="K5-POLICY",AG27&lt;&gt;"นิติศาสตร์",OR(Z27="M2",Z27="K4"),AC27&gt;=2,OR(AB27&lt;V27,AB27&lt;P27)),EDATE(AB27,12*2),AND(AH27="K5-POLICY",AG27&lt;&gt;"นิติศาสตร์",Z27="S1",AC27&gt;=1,OR(AB27&lt;V27,AB27&lt;P27)),EDATE(AB27,12),AND(AH27="K5-POLICY",AG27&lt;&gt;"นิติศาสตร์",OR(T27="M2",T27="K4"),W27&gt;=2,V27&lt;P27),EDATE(V27,12*2),AND(AH27="K5-POLICY",AG27&lt;&gt;"นิติศาสตร์",T27="S1",W27&gt;=1,V27&lt;P27),EDATE(V27,12),AND(AH27="K5-POLICY",AG27&lt;&gt;"นิติศาสตร์",OR(T27="S2",T27="K5")),V27,AND(AH27="K5-POLICY",AG27&lt;&gt;"นิติศาสตร์",OR(K27="M2",K27="K4"),Q27&gt;=2),EDATE(P27,12*2),AND(AH27="K5-POLICY",AG27&lt;&gt;"นิติศาสตร์",K27="S1",Q27&gt;=1),EDATE(P27,12),AND(AH27="K5-POLICY",AG27&lt;&gt;"นิติศาสตร์",OR(K27="S2",K27="K5")),P27,TRUE,"Check Data")</f>
        <v/>
      </c>
      <c r="AJ27" s="75" t="str">
        <f t="shared" si="10"/>
        <v>Check Data</v>
      </c>
      <c r="AK27" s="76" t="str">
        <f t="shared" si="11"/>
        <v>Check Data</v>
      </c>
      <c r="AL27" s="50" t="str">
        <f t="shared" si="12"/>
        <v>Check Data</v>
      </c>
      <c r="AM27" s="49" t="str">
        <f>IF(B27="","",IF(K27="S1","S1",INDEX(#REF!,#REF!)))</f>
        <v/>
      </c>
      <c r="AN27" s="49" t="str">
        <f t="shared" si="13"/>
        <v>M2</v>
      </c>
      <c r="AO27" s="50" t="b">
        <f>K27=AM27</f>
        <v>0</v>
      </c>
      <c r="AP27" s="50"/>
    </row>
    <row r="28" spans="1:42" ht="21.75">
      <c r="A28" s="49">
        <v>26</v>
      </c>
      <c r="B28" s="50"/>
      <c r="C28" s="50"/>
      <c r="D28" s="50" t="s">
        <v>143</v>
      </c>
      <c r="E28" s="49" t="s">
        <v>230</v>
      </c>
      <c r="F28" s="49" t="str">
        <f t="shared" si="0"/>
        <v>03/11/1997</v>
      </c>
      <c r="G28" s="50">
        <f t="shared" si="1"/>
        <v>27</v>
      </c>
      <c r="H28" s="50">
        <f t="shared" si="2"/>
        <v>7</v>
      </c>
      <c r="I28" s="50">
        <f t="shared" si="3"/>
        <v>17</v>
      </c>
      <c r="J28" s="59"/>
      <c r="K28" s="49" t="s">
        <v>136</v>
      </c>
      <c r="L28" s="64"/>
      <c r="M28" s="49" t="s">
        <v>427</v>
      </c>
      <c r="N28" s="49">
        <v>2576</v>
      </c>
      <c r="O28" s="65" t="s">
        <v>287</v>
      </c>
      <c r="P28" s="49" t="str">
        <f t="shared" si="4"/>
        <v>29/10/2020</v>
      </c>
      <c r="Q28" s="68">
        <f>IF(P28="",0,DATEDIF(P28,$C$1,"Y"))</f>
        <v>4</v>
      </c>
      <c r="R28" s="68">
        <f>IF(P28="",0,DATEDIF(P28,$C$1,"YM"))</f>
        <v>7</v>
      </c>
      <c r="S28" s="68">
        <f>IF(P28="",0,DATEDIF(P28,$C$1,"MD"))</f>
        <v>22</v>
      </c>
      <c r="T28" s="65"/>
      <c r="U28" s="65"/>
      <c r="V28" s="49" t="str">
        <f t="shared" si="5"/>
        <v/>
      </c>
      <c r="W28" s="68">
        <f>IF(V28="",0,DATEDIF(V28,P28,"Y"))</f>
        <v>0</v>
      </c>
      <c r="X28" s="68">
        <f>IF(V28="",0,DATEDIF(V28,P28,"YM"))</f>
        <v>0</v>
      </c>
      <c r="Y28" s="68">
        <f>IF(V28="",0,DATEDIF(V28,P28,"MD"))</f>
        <v>0</v>
      </c>
      <c r="Z28" s="49"/>
      <c r="AA28" s="65"/>
      <c r="AB28" s="50" t="str">
        <f t="shared" si="6"/>
        <v/>
      </c>
      <c r="AC28" s="68">
        <f t="shared" si="7"/>
        <v>0</v>
      </c>
      <c r="AD28" s="68">
        <f t="shared" si="8"/>
        <v>0</v>
      </c>
      <c r="AE28" s="68">
        <f t="shared" si="9"/>
        <v>0</v>
      </c>
      <c r="AF28" s="50"/>
      <c r="AG28" s="50" t="s">
        <v>138</v>
      </c>
      <c r="AH28" s="49" t="str">
        <f>IF(AG28="นิติศาสตร์","K5-LAW","K5-POLICY")</f>
        <v>K5-LAW</v>
      </c>
      <c r="AI28" s="72" t="str">
        <f>_xlfn.IFS(B28="","",AND(AH28="K5-LAW",AG28="นิติศาสตร์",K28="S2",T28="",Z28=""),P28,AND(AH28="K5-LAW",AG28="นิติศาสตร์",K28="S1",T28="",Z28=""),EDATE(P28,12),AND(AH28="K5-LAW",AG28="นิติศาสตร์",OR(K28="M2",K28="K4"),T28="",Z28=""),EDATE(P28,12*2),AND(AH28="K5-LAW",AG28="นิติศาสตร์",OR(Z28="M2",Z28="K4"),AC28&gt;=2,OR(AB28&lt;V28,AB28&lt;P28)),EDATE(AB28,12*2),AND(AH28="K5-LAW",AG28="นิติศาสตร์",Z28="S1",AC28&gt;=1,OR(AB28&lt;V28,AB28&lt;P28)),EDATE(AB28,12),AND(AH28="K5-LAW",AG28="นิติศาสตร์",OR(T28="M2",T28="K4"),W28&gt;=2,V28&lt;P28),EDATE(V28,12*2),AND(AH28="K5-LAW",AG28="นิติศาสตร์",T28="S1",W28&gt;=1,V28&lt;P28),EDATE(V28,12),AND(AH28="K5-LAW",AG28="นิติศาสตร์",OR(T28="S2",T28="K5")),V28,AND(AH28="K5-LAW",AG28="นิติศาสตร์",OR(K28="M2",K28="K4"),Q28&gt;=2),EDATE(P28,12*2),AND(AH28="K5-LAW",AG28="นิติศาสตร์",K28="S1",Q28&gt;=1),EDATE(P28,12),AND(AH28="K5-LAW",AG28="นิติศาสตร์",OR(K28="S2",K28="K5")),P28,AND(AH28="K5-POLICY",AG28&lt;&gt;"นิติศาสตร์",K28="S2",T28="",Z28=""),P28,AND(AH28="K5-POLICY",AG28&lt;&gt;"นิติศาสตร์",K28="S1",T28="",Z28=""),EDATE(P28,12),AND(AH28="K5-POLICY",AG28&lt;&gt;"นิติศาสตร์",OR(K28="M2",K28="K4"),T28="",Z28=""),EDATE(P28,12*2),AND(AH28="K5-POLICY",AG28&lt;&gt;"นิติศาสตร์",OR(Z28="M2",Z28="K4"),AC28&gt;=2,OR(AB28&lt;V28,AB28&lt;P28)),EDATE(AB28,12*2),AND(AH28="K5-POLICY",AG28&lt;&gt;"นิติศาสตร์",Z28="S1",AC28&gt;=1,OR(AB28&lt;V28,AB28&lt;P28)),EDATE(AB28,12),AND(AH28="K5-POLICY",AG28&lt;&gt;"นิติศาสตร์",OR(T28="M2",T28="K4"),W28&gt;=2,V28&lt;P28),EDATE(V28,12*2),AND(AH28="K5-POLICY",AG28&lt;&gt;"นิติศาสตร์",T28="S1",W28&gt;=1,V28&lt;P28),EDATE(V28,12),AND(AH28="K5-POLICY",AG28&lt;&gt;"นิติศาสตร์",OR(T28="S2",T28="K5")),V28,AND(AH28="K5-POLICY",AG28&lt;&gt;"นิติศาสตร์",OR(K28="M2",K28="K4"),Q28&gt;=2),EDATE(P28,12*2),AND(AH28="K5-POLICY",AG28&lt;&gt;"นิติศาสตร์",K28="S1",Q28&gt;=1),EDATE(P28,12),AND(AH28="K5-POLICY",AG28&lt;&gt;"นิติศาสตร์",OR(K28="S2",K28="K5")),P28,TRUE,"Check Data")</f>
        <v/>
      </c>
      <c r="AJ28" s="75" t="str">
        <f t="shared" si="10"/>
        <v>Check Data</v>
      </c>
      <c r="AK28" s="76" t="str">
        <f t="shared" si="11"/>
        <v>Check Data</v>
      </c>
      <c r="AL28" s="50" t="str">
        <f t="shared" si="12"/>
        <v>Check Data</v>
      </c>
      <c r="AM28" s="49" t="str">
        <f>IF(B28="","",IF(K28="S1","S1",INDEX(#REF!,#REF!)))</f>
        <v/>
      </c>
      <c r="AN28" s="49" t="str">
        <f t="shared" si="13"/>
        <v>M2</v>
      </c>
      <c r="AO28" s="50" t="b">
        <f>K28=AM28</f>
        <v>0</v>
      </c>
      <c r="AP28" s="50"/>
    </row>
    <row r="29" spans="1:42" ht="21.75">
      <c r="A29" s="49">
        <v>27</v>
      </c>
      <c r="B29" s="50"/>
      <c r="C29" s="50"/>
      <c r="D29" s="50" t="s">
        <v>143</v>
      </c>
      <c r="E29" s="49" t="s">
        <v>312</v>
      </c>
      <c r="F29" s="49" t="str">
        <f t="shared" si="0"/>
        <v>04/05/2000</v>
      </c>
      <c r="G29" s="50">
        <f t="shared" si="1"/>
        <v>25</v>
      </c>
      <c r="H29" s="50">
        <f t="shared" si="2"/>
        <v>1</v>
      </c>
      <c r="I29" s="50">
        <f t="shared" si="3"/>
        <v>16</v>
      </c>
      <c r="J29" s="59"/>
      <c r="K29" s="49" t="s">
        <v>136</v>
      </c>
      <c r="L29" s="64"/>
      <c r="M29" s="49" t="s">
        <v>427</v>
      </c>
      <c r="N29" s="49">
        <v>2581</v>
      </c>
      <c r="O29" s="65" t="s">
        <v>287</v>
      </c>
      <c r="P29" s="49" t="str">
        <f t="shared" si="4"/>
        <v>29/10/2020</v>
      </c>
      <c r="Q29" s="68">
        <f>IF(P29="",0,DATEDIF(P29,$C$1,"Y"))</f>
        <v>4</v>
      </c>
      <c r="R29" s="68">
        <f>IF(P29="",0,DATEDIF(P29,$C$1,"YM"))</f>
        <v>7</v>
      </c>
      <c r="S29" s="68">
        <f>IF(P29="",0,DATEDIF(P29,$C$1,"MD"))</f>
        <v>22</v>
      </c>
      <c r="T29" s="65"/>
      <c r="U29" s="65"/>
      <c r="V29" s="49" t="str">
        <f t="shared" si="5"/>
        <v/>
      </c>
      <c r="W29" s="68">
        <f>IF(V29="",0,DATEDIF(V29,P29,"Y"))</f>
        <v>0</v>
      </c>
      <c r="X29" s="68">
        <f>IF(V29="",0,DATEDIF(V29,P29,"YM"))</f>
        <v>0</v>
      </c>
      <c r="Y29" s="68">
        <f>IF(V29="",0,DATEDIF(V29,P29,"MD"))</f>
        <v>0</v>
      </c>
      <c r="Z29" s="49"/>
      <c r="AA29" s="65"/>
      <c r="AB29" s="50" t="str">
        <f t="shared" si="6"/>
        <v/>
      </c>
      <c r="AC29" s="68">
        <f t="shared" si="7"/>
        <v>0</v>
      </c>
      <c r="AD29" s="68">
        <f t="shared" si="8"/>
        <v>0</v>
      </c>
      <c r="AE29" s="68">
        <f t="shared" si="9"/>
        <v>0</v>
      </c>
      <c r="AF29" s="50"/>
      <c r="AG29" s="50" t="s">
        <v>138</v>
      </c>
      <c r="AH29" s="49" t="str">
        <f>IF(AG29="นิติศาสตร์","K5-LAW","K5-POLICY")</f>
        <v>K5-LAW</v>
      </c>
      <c r="AI29" s="72" t="str">
        <f>_xlfn.IFS(B29="","",AND(AH29="K5-LAW",AG29="นิติศาสตร์",K29="S2",T29="",Z29=""),P29,AND(AH29="K5-LAW",AG29="นิติศาสตร์",K29="S1",T29="",Z29=""),EDATE(P29,12),AND(AH29="K5-LAW",AG29="นิติศาสตร์",OR(K29="M2",K29="K4"),T29="",Z29=""),EDATE(P29,12*2),AND(AH29="K5-LAW",AG29="นิติศาสตร์",OR(Z29="M2",Z29="K4"),AC29&gt;=2,OR(AB29&lt;V29,AB29&lt;P29)),EDATE(AB29,12*2),AND(AH29="K5-LAW",AG29="นิติศาสตร์",Z29="S1",AC29&gt;=1,OR(AB29&lt;V29,AB29&lt;P29)),EDATE(AB29,12),AND(AH29="K5-LAW",AG29="นิติศาสตร์",OR(T29="M2",T29="K4"),W29&gt;=2,V29&lt;P29),EDATE(V29,12*2),AND(AH29="K5-LAW",AG29="นิติศาสตร์",T29="S1",W29&gt;=1,V29&lt;P29),EDATE(V29,12),AND(AH29="K5-LAW",AG29="นิติศาสตร์",OR(T29="S2",T29="K5")),V29,AND(AH29="K5-LAW",AG29="นิติศาสตร์",OR(K29="M2",K29="K4"),Q29&gt;=2),EDATE(P29,12*2),AND(AH29="K5-LAW",AG29="นิติศาสตร์",K29="S1",Q29&gt;=1),EDATE(P29,12),AND(AH29="K5-LAW",AG29="นิติศาสตร์",OR(K29="S2",K29="K5")),P29,AND(AH29="K5-POLICY",AG29&lt;&gt;"นิติศาสตร์",K29="S2",T29="",Z29=""),P29,AND(AH29="K5-POLICY",AG29&lt;&gt;"นิติศาสตร์",K29="S1",T29="",Z29=""),EDATE(P29,12),AND(AH29="K5-POLICY",AG29&lt;&gt;"นิติศาสตร์",OR(K29="M2",K29="K4"),T29="",Z29=""),EDATE(P29,12*2),AND(AH29="K5-POLICY",AG29&lt;&gt;"นิติศาสตร์",OR(Z29="M2",Z29="K4"),AC29&gt;=2,OR(AB29&lt;V29,AB29&lt;P29)),EDATE(AB29,12*2),AND(AH29="K5-POLICY",AG29&lt;&gt;"นิติศาสตร์",Z29="S1",AC29&gt;=1,OR(AB29&lt;V29,AB29&lt;P29)),EDATE(AB29,12),AND(AH29="K5-POLICY",AG29&lt;&gt;"นิติศาสตร์",OR(T29="M2",T29="K4"),W29&gt;=2,V29&lt;P29),EDATE(V29,12*2),AND(AH29="K5-POLICY",AG29&lt;&gt;"นิติศาสตร์",T29="S1",W29&gt;=1,V29&lt;P29),EDATE(V29,12),AND(AH29="K5-POLICY",AG29&lt;&gt;"นิติศาสตร์",OR(T29="S2",T29="K5")),V29,AND(AH29="K5-POLICY",AG29&lt;&gt;"นิติศาสตร์",OR(K29="M2",K29="K4"),Q29&gt;=2),EDATE(P29,12*2),AND(AH29="K5-POLICY",AG29&lt;&gt;"นิติศาสตร์",K29="S1",Q29&gt;=1),EDATE(P29,12),AND(AH29="K5-POLICY",AG29&lt;&gt;"นิติศาสตร์",OR(K29="S2",K29="K5")),P29,TRUE,"Check Data")</f>
        <v/>
      </c>
      <c r="AJ29" s="75" t="str">
        <f t="shared" si="10"/>
        <v>Check Data</v>
      </c>
      <c r="AK29" s="76" t="str">
        <f t="shared" si="11"/>
        <v>Check Data</v>
      </c>
      <c r="AL29" s="50" t="str">
        <f t="shared" si="12"/>
        <v>Check Data</v>
      </c>
      <c r="AM29" s="49" t="str">
        <f>IF(B29="","",IF(K29="S1","S1",INDEX(#REF!,#REF!)))</f>
        <v/>
      </c>
      <c r="AN29" s="49" t="str">
        <f t="shared" si="13"/>
        <v>M2</v>
      </c>
      <c r="AO29" s="50" t="b">
        <f>K29=AM29</f>
        <v>0</v>
      </c>
      <c r="AP29" s="50"/>
    </row>
    <row r="30" spans="1:42" ht="21.75">
      <c r="A30" s="49">
        <v>28</v>
      </c>
      <c r="B30" s="50"/>
      <c r="C30" s="50"/>
      <c r="D30" s="50" t="s">
        <v>143</v>
      </c>
      <c r="E30" s="49" t="s">
        <v>320</v>
      </c>
      <c r="F30" s="49" t="str">
        <f t="shared" si="0"/>
        <v>03/12/2001</v>
      </c>
      <c r="G30" s="50">
        <f t="shared" si="1"/>
        <v>23</v>
      </c>
      <c r="H30" s="50">
        <f t="shared" si="2"/>
        <v>6</v>
      </c>
      <c r="I30" s="50">
        <f t="shared" si="3"/>
        <v>17</v>
      </c>
      <c r="J30" s="58"/>
      <c r="K30" s="49" t="s">
        <v>136</v>
      </c>
      <c r="L30" s="64"/>
      <c r="M30" s="49" t="s">
        <v>427</v>
      </c>
      <c r="N30" s="49">
        <v>2574</v>
      </c>
      <c r="O30" s="65" t="s">
        <v>287</v>
      </c>
      <c r="P30" s="49" t="str">
        <f t="shared" si="4"/>
        <v>29/10/2020</v>
      </c>
      <c r="Q30" s="68">
        <f>IF(P30="",0,DATEDIF(P30,$C$1,"Y"))</f>
        <v>4</v>
      </c>
      <c r="R30" s="68">
        <f>IF(P30="",0,DATEDIF(P30,$C$1,"YM"))</f>
        <v>7</v>
      </c>
      <c r="S30" s="68">
        <f>IF(P30="",0,DATEDIF(P30,$C$1,"MD"))</f>
        <v>22</v>
      </c>
      <c r="T30" s="65"/>
      <c r="U30" s="65"/>
      <c r="V30" s="49" t="str">
        <f t="shared" si="5"/>
        <v/>
      </c>
      <c r="W30" s="68">
        <f>IF(V30="",0,DATEDIF(V30,P30,"Y"))</f>
        <v>0</v>
      </c>
      <c r="X30" s="68">
        <f>IF(V30="",0,DATEDIF(V30,P30,"YM"))</f>
        <v>0</v>
      </c>
      <c r="Y30" s="68">
        <f>IF(V30="",0,DATEDIF(V30,P30,"MD"))</f>
        <v>0</v>
      </c>
      <c r="Z30" s="49"/>
      <c r="AA30" s="65"/>
      <c r="AB30" s="50" t="str">
        <f t="shared" si="6"/>
        <v/>
      </c>
      <c r="AC30" s="68">
        <f t="shared" si="7"/>
        <v>0</v>
      </c>
      <c r="AD30" s="68">
        <f t="shared" si="8"/>
        <v>0</v>
      </c>
      <c r="AE30" s="68">
        <f t="shared" si="9"/>
        <v>0</v>
      </c>
      <c r="AF30" s="50"/>
      <c r="AG30" s="50" t="s">
        <v>138</v>
      </c>
      <c r="AH30" s="49" t="str">
        <f>IF(AG30="นิติศาสตร์","K5-LAW","K5-POLICY")</f>
        <v>K5-LAW</v>
      </c>
      <c r="AI30" s="72" t="str">
        <f>_xlfn.IFS(B30="","",AND(AH30="K5-LAW",AG30="นิติศาสตร์",K30="S2",T30="",Z30=""),P30,AND(AH30="K5-LAW",AG30="นิติศาสตร์",K30="S1",T30="",Z30=""),EDATE(P30,12),AND(AH30="K5-LAW",AG30="นิติศาสตร์",OR(K30="M2",K30="K4"),T30="",Z30=""),EDATE(P30,12*2),AND(AH30="K5-LAW",AG30="นิติศาสตร์",OR(Z30="M2",Z30="K4"),AC30&gt;=2,OR(AB30&lt;V30,AB30&lt;P30)),EDATE(AB30,12*2),AND(AH30="K5-LAW",AG30="นิติศาสตร์",Z30="S1",AC30&gt;=1,OR(AB30&lt;V30,AB30&lt;P30)),EDATE(AB30,12),AND(AH30="K5-LAW",AG30="นิติศาสตร์",OR(T30="M2",T30="K4"),W30&gt;=2,V30&lt;P30),EDATE(V30,12*2),AND(AH30="K5-LAW",AG30="นิติศาสตร์",T30="S1",W30&gt;=1,V30&lt;P30),EDATE(V30,12),AND(AH30="K5-LAW",AG30="นิติศาสตร์",OR(T30="S2",T30="K5")),V30,AND(AH30="K5-LAW",AG30="นิติศาสตร์",OR(K30="M2",K30="K4"),Q30&gt;=2),EDATE(P30,12*2),AND(AH30="K5-LAW",AG30="นิติศาสตร์",K30="S1",Q30&gt;=1),EDATE(P30,12),AND(AH30="K5-LAW",AG30="นิติศาสตร์",OR(K30="S2",K30="K5")),P30,AND(AH30="K5-POLICY",AG30&lt;&gt;"นิติศาสตร์",K30="S2",T30="",Z30=""),P30,AND(AH30="K5-POLICY",AG30&lt;&gt;"นิติศาสตร์",K30="S1",T30="",Z30=""),EDATE(P30,12),AND(AH30="K5-POLICY",AG30&lt;&gt;"นิติศาสตร์",OR(K30="M2",K30="K4"),T30="",Z30=""),EDATE(P30,12*2),AND(AH30="K5-POLICY",AG30&lt;&gt;"นิติศาสตร์",OR(Z30="M2",Z30="K4"),AC30&gt;=2,OR(AB30&lt;V30,AB30&lt;P30)),EDATE(AB30,12*2),AND(AH30="K5-POLICY",AG30&lt;&gt;"นิติศาสตร์",Z30="S1",AC30&gt;=1,OR(AB30&lt;V30,AB30&lt;P30)),EDATE(AB30,12),AND(AH30="K5-POLICY",AG30&lt;&gt;"นิติศาสตร์",OR(T30="M2",T30="K4"),W30&gt;=2,V30&lt;P30),EDATE(V30,12*2),AND(AH30="K5-POLICY",AG30&lt;&gt;"นิติศาสตร์",T30="S1",W30&gt;=1,V30&lt;P30),EDATE(V30,12),AND(AH30="K5-POLICY",AG30&lt;&gt;"นิติศาสตร์",OR(T30="S2",T30="K5")),V30,AND(AH30="K5-POLICY",AG30&lt;&gt;"นิติศาสตร์",OR(K30="M2",K30="K4"),Q30&gt;=2),EDATE(P30,12*2),AND(AH30="K5-POLICY",AG30&lt;&gt;"นิติศาสตร์",K30="S1",Q30&gt;=1),EDATE(P30,12),AND(AH30="K5-POLICY",AG30&lt;&gt;"นิติศาสตร์",OR(K30="S2",K30="K5")),P30,TRUE,"Check Data")</f>
        <v/>
      </c>
      <c r="AJ30" s="75" t="str">
        <f t="shared" si="10"/>
        <v>Check Data</v>
      </c>
      <c r="AK30" s="76" t="str">
        <f t="shared" si="11"/>
        <v>Check Data</v>
      </c>
      <c r="AL30" s="50" t="str">
        <f t="shared" si="12"/>
        <v>Check Data</v>
      </c>
      <c r="AM30" s="49" t="str">
        <f>IF(B30="","",IF(K30="S1","S1",INDEX(#REF!,#REF!)))</f>
        <v/>
      </c>
      <c r="AN30" s="49" t="str">
        <f t="shared" si="13"/>
        <v>M2</v>
      </c>
      <c r="AO30" s="50" t="b">
        <f>K30=AM30</f>
        <v>0</v>
      </c>
      <c r="AP30" s="50"/>
    </row>
    <row r="31" spans="1:42" ht="21.75">
      <c r="A31" s="49">
        <v>29</v>
      </c>
      <c r="B31" s="50"/>
      <c r="C31" s="50"/>
      <c r="D31" s="50" t="s">
        <v>143</v>
      </c>
      <c r="E31" s="49" t="s">
        <v>340</v>
      </c>
      <c r="F31" s="49" t="str">
        <f t="shared" si="0"/>
        <v>06/11/2000</v>
      </c>
      <c r="G31" s="50">
        <f t="shared" si="1"/>
        <v>24</v>
      </c>
      <c r="H31" s="50">
        <f t="shared" si="2"/>
        <v>7</v>
      </c>
      <c r="I31" s="50">
        <f t="shared" si="3"/>
        <v>14</v>
      </c>
      <c r="J31" s="59"/>
      <c r="K31" s="49" t="s">
        <v>136</v>
      </c>
      <c r="L31" s="64"/>
      <c r="M31" s="49" t="s">
        <v>427</v>
      </c>
      <c r="N31" s="49">
        <v>2575</v>
      </c>
      <c r="O31" s="65" t="s">
        <v>287</v>
      </c>
      <c r="P31" s="49" t="str">
        <f t="shared" si="4"/>
        <v>29/10/2020</v>
      </c>
      <c r="Q31" s="68">
        <f>IF(P31="",0,DATEDIF(P31,$C$1,"Y"))</f>
        <v>4</v>
      </c>
      <c r="R31" s="68">
        <f>IF(P31="",0,DATEDIF(P31,$C$1,"YM"))</f>
        <v>7</v>
      </c>
      <c r="S31" s="68">
        <f>IF(P31="",0,DATEDIF(P31,$C$1,"MD"))</f>
        <v>22</v>
      </c>
      <c r="T31" s="65"/>
      <c r="U31" s="65"/>
      <c r="V31" s="49" t="str">
        <f t="shared" si="5"/>
        <v/>
      </c>
      <c r="W31" s="68">
        <f>IF(V31="",0,DATEDIF(V31,P31,"Y"))</f>
        <v>0</v>
      </c>
      <c r="X31" s="68">
        <f>IF(V31="",0,DATEDIF(V31,P31,"YM"))</f>
        <v>0</v>
      </c>
      <c r="Y31" s="68">
        <f>IF(V31="",0,DATEDIF(V31,P31,"MD"))</f>
        <v>0</v>
      </c>
      <c r="Z31" s="49"/>
      <c r="AA31" s="65"/>
      <c r="AB31" s="50" t="str">
        <f t="shared" si="6"/>
        <v/>
      </c>
      <c r="AC31" s="68">
        <f t="shared" si="7"/>
        <v>0</v>
      </c>
      <c r="AD31" s="68">
        <f t="shared" si="8"/>
        <v>0</v>
      </c>
      <c r="AE31" s="68">
        <f t="shared" si="9"/>
        <v>0</v>
      </c>
      <c r="AF31" s="50"/>
      <c r="AG31" s="50" t="s">
        <v>138</v>
      </c>
      <c r="AH31" s="49" t="str">
        <f>IF(AG31="นิติศาสตร์","K5-LAW","K5-POLICY")</f>
        <v>K5-LAW</v>
      </c>
      <c r="AI31" s="72" t="str">
        <f>_xlfn.IFS(B31="","",AND(AH31="K5-LAW",AG31="นิติศาสตร์",K31="S2",T31="",Z31=""),P31,AND(AH31="K5-LAW",AG31="นิติศาสตร์",K31="S1",T31="",Z31=""),EDATE(P31,12),AND(AH31="K5-LAW",AG31="นิติศาสตร์",OR(K31="M2",K31="K4"),T31="",Z31=""),EDATE(P31,12*2),AND(AH31="K5-LAW",AG31="นิติศาสตร์",OR(Z31="M2",Z31="K4"),AC31&gt;=2,OR(AB31&lt;V31,AB31&lt;P31)),EDATE(AB31,12*2),AND(AH31="K5-LAW",AG31="นิติศาสตร์",Z31="S1",AC31&gt;=1,OR(AB31&lt;V31,AB31&lt;P31)),EDATE(AB31,12),AND(AH31="K5-LAW",AG31="นิติศาสตร์",OR(T31="M2",T31="K4"),W31&gt;=2,V31&lt;P31),EDATE(V31,12*2),AND(AH31="K5-LAW",AG31="นิติศาสตร์",T31="S1",W31&gt;=1,V31&lt;P31),EDATE(V31,12),AND(AH31="K5-LAW",AG31="นิติศาสตร์",OR(T31="S2",T31="K5")),V31,AND(AH31="K5-LAW",AG31="นิติศาสตร์",OR(K31="M2",K31="K4"),Q31&gt;=2),EDATE(P31,12*2),AND(AH31="K5-LAW",AG31="นิติศาสตร์",K31="S1",Q31&gt;=1),EDATE(P31,12),AND(AH31="K5-LAW",AG31="นิติศาสตร์",OR(K31="S2",K31="K5")),P31,AND(AH31="K5-POLICY",AG31&lt;&gt;"นิติศาสตร์",K31="S2",T31="",Z31=""),P31,AND(AH31="K5-POLICY",AG31&lt;&gt;"นิติศาสตร์",K31="S1",T31="",Z31=""),EDATE(P31,12),AND(AH31="K5-POLICY",AG31&lt;&gt;"นิติศาสตร์",OR(K31="M2",K31="K4"),T31="",Z31=""),EDATE(P31,12*2),AND(AH31="K5-POLICY",AG31&lt;&gt;"นิติศาสตร์",OR(Z31="M2",Z31="K4"),AC31&gt;=2,OR(AB31&lt;V31,AB31&lt;P31)),EDATE(AB31,12*2),AND(AH31="K5-POLICY",AG31&lt;&gt;"นิติศาสตร์",Z31="S1",AC31&gt;=1,OR(AB31&lt;V31,AB31&lt;P31)),EDATE(AB31,12),AND(AH31="K5-POLICY",AG31&lt;&gt;"นิติศาสตร์",OR(T31="M2",T31="K4"),W31&gt;=2,V31&lt;P31),EDATE(V31,12*2),AND(AH31="K5-POLICY",AG31&lt;&gt;"นิติศาสตร์",T31="S1",W31&gt;=1,V31&lt;P31),EDATE(V31,12),AND(AH31="K5-POLICY",AG31&lt;&gt;"นิติศาสตร์",OR(T31="S2",T31="K5")),V31,AND(AH31="K5-POLICY",AG31&lt;&gt;"นิติศาสตร์",OR(K31="M2",K31="K4"),Q31&gt;=2),EDATE(P31,12*2),AND(AH31="K5-POLICY",AG31&lt;&gt;"นิติศาสตร์",K31="S1",Q31&gt;=1),EDATE(P31,12),AND(AH31="K5-POLICY",AG31&lt;&gt;"นิติศาสตร์",OR(K31="S2",K31="K5")),P31,TRUE,"Check Data")</f>
        <v/>
      </c>
      <c r="AJ31" s="75" t="str">
        <f t="shared" si="10"/>
        <v>Check Data</v>
      </c>
      <c r="AK31" s="76" t="str">
        <f t="shared" si="11"/>
        <v>Check Data</v>
      </c>
      <c r="AL31" s="50" t="str">
        <f t="shared" si="12"/>
        <v>Check Data</v>
      </c>
      <c r="AM31" s="49" t="str">
        <f>IF(B31="","",IF(K31="S1","S1",INDEX(#REF!,#REF!)))</f>
        <v/>
      </c>
      <c r="AN31" s="49" t="str">
        <f t="shared" si="13"/>
        <v>M2</v>
      </c>
      <c r="AO31" s="50" t="b">
        <f>K31=AM31</f>
        <v>0</v>
      </c>
      <c r="AP31" s="50"/>
    </row>
    <row r="32" spans="1:42" ht="21.75">
      <c r="A32" s="49">
        <v>30</v>
      </c>
      <c r="B32" s="50"/>
      <c r="C32" s="50"/>
      <c r="D32" s="50" t="s">
        <v>143</v>
      </c>
      <c r="E32" s="49" t="s">
        <v>353</v>
      </c>
      <c r="F32" s="49" t="str">
        <f t="shared" si="0"/>
        <v>28/07/2000</v>
      </c>
      <c r="G32" s="50">
        <f t="shared" si="1"/>
        <v>24</v>
      </c>
      <c r="H32" s="50">
        <f t="shared" si="2"/>
        <v>10</v>
      </c>
      <c r="I32" s="50">
        <f t="shared" si="3"/>
        <v>23</v>
      </c>
      <c r="J32" s="59"/>
      <c r="K32" s="49" t="s">
        <v>136</v>
      </c>
      <c r="L32" s="64"/>
      <c r="M32" s="49" t="s">
        <v>427</v>
      </c>
      <c r="N32" s="49">
        <v>2578</v>
      </c>
      <c r="O32" s="65" t="s">
        <v>287</v>
      </c>
      <c r="P32" s="49" t="str">
        <f t="shared" si="4"/>
        <v>29/10/2020</v>
      </c>
      <c r="Q32" s="68">
        <f>IF(P32="",0,DATEDIF(P32,$C$1,"Y"))</f>
        <v>4</v>
      </c>
      <c r="R32" s="68">
        <f>IF(P32="",0,DATEDIF(P32,$C$1,"YM"))</f>
        <v>7</v>
      </c>
      <c r="S32" s="68">
        <f>IF(P32="",0,DATEDIF(P32,$C$1,"MD"))</f>
        <v>22</v>
      </c>
      <c r="T32" s="65"/>
      <c r="U32" s="65"/>
      <c r="V32" s="49" t="str">
        <f t="shared" si="5"/>
        <v/>
      </c>
      <c r="W32" s="68">
        <f>IF(V32="",0,DATEDIF(V32,P32,"Y"))</f>
        <v>0</v>
      </c>
      <c r="X32" s="68">
        <f>IF(V32="",0,DATEDIF(V32,P32,"YM"))</f>
        <v>0</v>
      </c>
      <c r="Y32" s="68">
        <f>IF(V32="",0,DATEDIF(V32,P32,"MD"))</f>
        <v>0</v>
      </c>
      <c r="Z32" s="49"/>
      <c r="AA32" s="65"/>
      <c r="AB32" s="50" t="str">
        <f t="shared" si="6"/>
        <v/>
      </c>
      <c r="AC32" s="68">
        <f t="shared" si="7"/>
        <v>0</v>
      </c>
      <c r="AD32" s="68">
        <f t="shared" si="8"/>
        <v>0</v>
      </c>
      <c r="AE32" s="68">
        <f t="shared" si="9"/>
        <v>0</v>
      </c>
      <c r="AF32" s="50"/>
      <c r="AG32" s="50" t="s">
        <v>138</v>
      </c>
      <c r="AH32" s="49" t="str">
        <f>IF(AG32="นิติศาสตร์","K5-LAW","K5-POLICY")</f>
        <v>K5-LAW</v>
      </c>
      <c r="AI32" s="72" t="str">
        <f>_xlfn.IFS(B32="","",AND(AH32="K5-LAW",AG32="นิติศาสตร์",K32="S2",T32="",Z32=""),P32,AND(AH32="K5-LAW",AG32="นิติศาสตร์",K32="S1",T32="",Z32=""),EDATE(P32,12),AND(AH32="K5-LAW",AG32="นิติศาสตร์",OR(K32="M2",K32="K4"),T32="",Z32=""),EDATE(P32,12*2),AND(AH32="K5-LAW",AG32="นิติศาสตร์",OR(Z32="M2",Z32="K4"),AC32&gt;=2,OR(AB32&lt;V32,AB32&lt;P32)),EDATE(AB32,12*2),AND(AH32="K5-LAW",AG32="นิติศาสตร์",Z32="S1",AC32&gt;=1,OR(AB32&lt;V32,AB32&lt;P32)),EDATE(AB32,12),AND(AH32="K5-LAW",AG32="นิติศาสตร์",OR(T32="M2",T32="K4"),W32&gt;=2,V32&lt;P32),EDATE(V32,12*2),AND(AH32="K5-LAW",AG32="นิติศาสตร์",T32="S1",W32&gt;=1,V32&lt;P32),EDATE(V32,12),AND(AH32="K5-LAW",AG32="นิติศาสตร์",OR(T32="S2",T32="K5")),V32,AND(AH32="K5-LAW",AG32="นิติศาสตร์",OR(K32="M2",K32="K4"),Q32&gt;=2),EDATE(P32,12*2),AND(AH32="K5-LAW",AG32="นิติศาสตร์",K32="S1",Q32&gt;=1),EDATE(P32,12),AND(AH32="K5-LAW",AG32="นิติศาสตร์",OR(K32="S2",K32="K5")),P32,AND(AH32="K5-POLICY",AG32&lt;&gt;"นิติศาสตร์",K32="S2",T32="",Z32=""),P32,AND(AH32="K5-POLICY",AG32&lt;&gt;"นิติศาสตร์",K32="S1",T32="",Z32=""),EDATE(P32,12),AND(AH32="K5-POLICY",AG32&lt;&gt;"นิติศาสตร์",OR(K32="M2",K32="K4"),T32="",Z32=""),EDATE(P32,12*2),AND(AH32="K5-POLICY",AG32&lt;&gt;"นิติศาสตร์",OR(Z32="M2",Z32="K4"),AC32&gt;=2,OR(AB32&lt;V32,AB32&lt;P32)),EDATE(AB32,12*2),AND(AH32="K5-POLICY",AG32&lt;&gt;"นิติศาสตร์",Z32="S1",AC32&gt;=1,OR(AB32&lt;V32,AB32&lt;P32)),EDATE(AB32,12),AND(AH32="K5-POLICY",AG32&lt;&gt;"นิติศาสตร์",OR(T32="M2",T32="K4"),W32&gt;=2,V32&lt;P32),EDATE(V32,12*2),AND(AH32="K5-POLICY",AG32&lt;&gt;"นิติศาสตร์",T32="S1",W32&gt;=1,V32&lt;P32),EDATE(V32,12),AND(AH32="K5-POLICY",AG32&lt;&gt;"นิติศาสตร์",OR(T32="S2",T32="K5")),V32,AND(AH32="K5-POLICY",AG32&lt;&gt;"นิติศาสตร์",OR(K32="M2",K32="K4"),Q32&gt;=2),EDATE(P32,12*2),AND(AH32="K5-POLICY",AG32&lt;&gt;"นิติศาสตร์",K32="S1",Q32&gt;=1),EDATE(P32,12),AND(AH32="K5-POLICY",AG32&lt;&gt;"นิติศาสตร์",OR(K32="S2",K32="K5")),P32,TRUE,"Check Data")</f>
        <v/>
      </c>
      <c r="AJ32" s="75" t="str">
        <f t="shared" si="10"/>
        <v>Check Data</v>
      </c>
      <c r="AK32" s="76" t="str">
        <f t="shared" si="11"/>
        <v>Check Data</v>
      </c>
      <c r="AL32" s="50" t="str">
        <f t="shared" si="12"/>
        <v>Check Data</v>
      </c>
      <c r="AM32" s="49" t="str">
        <f>IF(B32="","",IF(K32="S1","S1",INDEX(#REF!,#REF!)))</f>
        <v/>
      </c>
      <c r="AN32" s="49" t="str">
        <f t="shared" si="13"/>
        <v>M2</v>
      </c>
      <c r="AO32" s="50" t="b">
        <f>K32=AM32</f>
        <v>0</v>
      </c>
      <c r="AP32" s="50"/>
    </row>
    <row r="33" spans="1:42" ht="21.75">
      <c r="A33" s="49">
        <v>31</v>
      </c>
      <c r="B33" s="50"/>
      <c r="C33" s="50"/>
      <c r="D33" s="50" t="s">
        <v>139</v>
      </c>
      <c r="E33" s="49" t="s">
        <v>176</v>
      </c>
      <c r="F33" s="49" t="str">
        <f t="shared" si="0"/>
        <v>01/03/1990</v>
      </c>
      <c r="G33" s="50">
        <f t="shared" si="1"/>
        <v>35</v>
      </c>
      <c r="H33" s="50">
        <f t="shared" si="2"/>
        <v>3</v>
      </c>
      <c r="I33" s="50">
        <f t="shared" si="3"/>
        <v>19</v>
      </c>
      <c r="J33" s="58"/>
      <c r="K33" s="49" t="s">
        <v>136</v>
      </c>
      <c r="L33" s="64"/>
      <c r="M33" s="49" t="s">
        <v>427</v>
      </c>
      <c r="N33" s="49">
        <v>2569</v>
      </c>
      <c r="O33" s="65" t="s">
        <v>225</v>
      </c>
      <c r="P33" s="49" t="str">
        <f t="shared" si="4"/>
        <v>30/11/2020</v>
      </c>
      <c r="Q33" s="68">
        <f>IF(P33="",0,DATEDIF(P33,$C$1,"Y"))</f>
        <v>4</v>
      </c>
      <c r="R33" s="68">
        <f>IF(P33="",0,DATEDIF(P33,$C$1,"YM"))</f>
        <v>6</v>
      </c>
      <c r="S33" s="68">
        <f>IF(P33="",0,DATEDIF(P33,$C$1,"MD"))</f>
        <v>21</v>
      </c>
      <c r="T33" s="65"/>
      <c r="U33" s="65"/>
      <c r="V33" s="49" t="str">
        <f t="shared" si="5"/>
        <v/>
      </c>
      <c r="W33" s="68">
        <f>IF(V33="",0,DATEDIF(V33,P33,"Y"))</f>
        <v>0</v>
      </c>
      <c r="X33" s="68">
        <f>IF(V33="",0,DATEDIF(V33,P33,"YM"))</f>
        <v>0</v>
      </c>
      <c r="Y33" s="68">
        <f>IF(V33="",0,DATEDIF(V33,P33,"MD"))</f>
        <v>0</v>
      </c>
      <c r="Z33" s="49"/>
      <c r="AA33" s="65"/>
      <c r="AB33" s="50" t="str">
        <f t="shared" si="6"/>
        <v/>
      </c>
      <c r="AC33" s="68">
        <f t="shared" si="7"/>
        <v>0</v>
      </c>
      <c r="AD33" s="68">
        <f t="shared" si="8"/>
        <v>0</v>
      </c>
      <c r="AE33" s="68">
        <f t="shared" si="9"/>
        <v>0</v>
      </c>
      <c r="AF33" s="50"/>
      <c r="AG33" s="50" t="s">
        <v>138</v>
      </c>
      <c r="AH33" s="49" t="str">
        <f>IF(AG33="นิติศาสตร์","K5-LAW","K5-POLICY")</f>
        <v>K5-LAW</v>
      </c>
      <c r="AI33" s="72" t="str">
        <f>_xlfn.IFS(B33="","",AND(AH33="K5-LAW",AG33="นิติศาสตร์",K33="S2",T33="",Z33=""),P33,AND(AH33="K5-LAW",AG33="นิติศาสตร์",K33="S1",T33="",Z33=""),EDATE(P33,12),AND(AH33="K5-LAW",AG33="นิติศาสตร์",OR(K33="M2",K33="K4"),T33="",Z33=""),EDATE(P33,12*2),AND(AH33="K5-LAW",AG33="นิติศาสตร์",OR(Z33="M2",Z33="K4"),AC33&gt;=2,OR(AB33&lt;V33,AB33&lt;P33)),EDATE(AB33,12*2),AND(AH33="K5-LAW",AG33="นิติศาสตร์",Z33="S1",AC33&gt;=1,OR(AB33&lt;V33,AB33&lt;P33)),EDATE(AB33,12),AND(AH33="K5-LAW",AG33="นิติศาสตร์",OR(T33="M2",T33="K4"),W33&gt;=2,V33&lt;P33),EDATE(V33,12*2),AND(AH33="K5-LAW",AG33="นิติศาสตร์",T33="S1",W33&gt;=1,V33&lt;P33),EDATE(V33,12),AND(AH33="K5-LAW",AG33="นิติศาสตร์",OR(T33="S2",T33="K5")),V33,AND(AH33="K5-LAW",AG33="นิติศาสตร์",OR(K33="M2",K33="K4"),Q33&gt;=2),EDATE(P33,12*2),AND(AH33="K5-LAW",AG33="นิติศาสตร์",K33="S1",Q33&gt;=1),EDATE(P33,12),AND(AH33="K5-LAW",AG33="นิติศาสตร์",OR(K33="S2",K33="K5")),P33,AND(AH33="K5-POLICY",AG33&lt;&gt;"นิติศาสตร์",K33="S2",T33="",Z33=""),P33,AND(AH33="K5-POLICY",AG33&lt;&gt;"นิติศาสตร์",K33="S1",T33="",Z33=""),EDATE(P33,12),AND(AH33="K5-POLICY",AG33&lt;&gt;"นิติศาสตร์",OR(K33="M2",K33="K4"),T33="",Z33=""),EDATE(P33,12*2),AND(AH33="K5-POLICY",AG33&lt;&gt;"นิติศาสตร์",OR(Z33="M2",Z33="K4"),AC33&gt;=2,OR(AB33&lt;V33,AB33&lt;P33)),EDATE(AB33,12*2),AND(AH33="K5-POLICY",AG33&lt;&gt;"นิติศาสตร์",Z33="S1",AC33&gt;=1,OR(AB33&lt;V33,AB33&lt;P33)),EDATE(AB33,12),AND(AH33="K5-POLICY",AG33&lt;&gt;"นิติศาสตร์",OR(T33="M2",T33="K4"),W33&gt;=2,V33&lt;P33),EDATE(V33,12*2),AND(AH33="K5-POLICY",AG33&lt;&gt;"นิติศาสตร์",T33="S1",W33&gt;=1,V33&lt;P33),EDATE(V33,12),AND(AH33="K5-POLICY",AG33&lt;&gt;"นิติศาสตร์",OR(T33="S2",T33="K5")),V33,AND(AH33="K5-POLICY",AG33&lt;&gt;"นิติศาสตร์",OR(K33="M2",K33="K4"),Q33&gt;=2),EDATE(P33,12*2),AND(AH33="K5-POLICY",AG33&lt;&gt;"นิติศาสตร์",K33="S1",Q33&gt;=1),EDATE(P33,12),AND(AH33="K5-POLICY",AG33&lt;&gt;"นิติศาสตร์",OR(K33="S2",K33="K5")),P33,TRUE,"Check Data")</f>
        <v/>
      </c>
      <c r="AJ33" s="75" t="str">
        <f t="shared" si="10"/>
        <v>Check Data</v>
      </c>
      <c r="AK33" s="76" t="str">
        <f t="shared" si="11"/>
        <v>Check Data</v>
      </c>
      <c r="AL33" s="50" t="str">
        <f t="shared" si="12"/>
        <v>Check Data</v>
      </c>
      <c r="AM33" s="49" t="str">
        <f>IF(B33="","",IF(K33="S1","S1",INDEX(#REF!,#REF!)))</f>
        <v/>
      </c>
      <c r="AN33" s="49" t="str">
        <f t="shared" si="13"/>
        <v>M2</v>
      </c>
      <c r="AO33" s="50" t="b">
        <f>K33=AM33</f>
        <v>0</v>
      </c>
      <c r="AP33" s="50"/>
    </row>
    <row r="34" spans="1:42" ht="21.75">
      <c r="A34" s="49">
        <v>32</v>
      </c>
      <c r="B34" s="50"/>
      <c r="C34" s="50"/>
      <c r="D34" s="50" t="s">
        <v>142</v>
      </c>
      <c r="E34" s="49" t="s">
        <v>282</v>
      </c>
      <c r="F34" s="49" t="str">
        <f t="shared" si="0"/>
        <v>12/12/2000</v>
      </c>
      <c r="G34" s="50">
        <f t="shared" si="1"/>
        <v>24</v>
      </c>
      <c r="H34" s="50">
        <f t="shared" si="2"/>
        <v>6</v>
      </c>
      <c r="I34" s="50">
        <f t="shared" si="3"/>
        <v>8</v>
      </c>
      <c r="J34" s="58"/>
      <c r="K34" s="49" t="s">
        <v>136</v>
      </c>
      <c r="L34" s="64"/>
      <c r="M34" s="49" t="s">
        <v>427</v>
      </c>
      <c r="N34" s="49">
        <v>2581</v>
      </c>
      <c r="O34" s="65" t="s">
        <v>225</v>
      </c>
      <c r="P34" s="49" t="str">
        <f t="shared" si="4"/>
        <v>30/11/2020</v>
      </c>
      <c r="Q34" s="68">
        <f>IF(P34="",0,DATEDIF(P34,$C$1,"Y"))</f>
        <v>4</v>
      </c>
      <c r="R34" s="68">
        <f>IF(P34="",0,DATEDIF(P34,$C$1,"YM"))</f>
        <v>6</v>
      </c>
      <c r="S34" s="68">
        <f>IF(P34="",0,DATEDIF(P34,$C$1,"MD"))</f>
        <v>21</v>
      </c>
      <c r="T34" s="65"/>
      <c r="U34" s="65"/>
      <c r="V34" s="49" t="str">
        <f t="shared" si="5"/>
        <v/>
      </c>
      <c r="W34" s="68">
        <f>IF(V34="",0,DATEDIF(V34,P34,"Y"))</f>
        <v>0</v>
      </c>
      <c r="X34" s="68">
        <f>IF(V34="",0,DATEDIF(V34,P34,"YM"))</f>
        <v>0</v>
      </c>
      <c r="Y34" s="68">
        <f>IF(V34="",0,DATEDIF(V34,P34,"MD"))</f>
        <v>0</v>
      </c>
      <c r="Z34" s="49"/>
      <c r="AA34" s="65"/>
      <c r="AB34" s="50" t="str">
        <f t="shared" si="6"/>
        <v/>
      </c>
      <c r="AC34" s="68">
        <f t="shared" si="7"/>
        <v>0</v>
      </c>
      <c r="AD34" s="68">
        <f t="shared" si="8"/>
        <v>0</v>
      </c>
      <c r="AE34" s="68">
        <f t="shared" si="9"/>
        <v>0</v>
      </c>
      <c r="AF34" s="50"/>
      <c r="AG34" s="50" t="s">
        <v>138</v>
      </c>
      <c r="AH34" s="49" t="str">
        <f>IF(AG34="นิติศาสตร์","K5-LAW","K5-POLICY")</f>
        <v>K5-LAW</v>
      </c>
      <c r="AI34" s="72" t="str">
        <f>_xlfn.IFS(B34="","",AND(AH34="K5-LAW",AG34="นิติศาสตร์",K34="S2",T34="",Z34=""),P34,AND(AH34="K5-LAW",AG34="นิติศาสตร์",K34="S1",T34="",Z34=""),EDATE(P34,12),AND(AH34="K5-LAW",AG34="นิติศาสตร์",OR(K34="M2",K34="K4"),T34="",Z34=""),EDATE(P34,12*2),AND(AH34="K5-LAW",AG34="นิติศาสตร์",OR(Z34="M2",Z34="K4"),AC34&gt;=2,OR(AB34&lt;V34,AB34&lt;P34)),EDATE(AB34,12*2),AND(AH34="K5-LAW",AG34="นิติศาสตร์",Z34="S1",AC34&gt;=1,OR(AB34&lt;V34,AB34&lt;P34)),EDATE(AB34,12),AND(AH34="K5-LAW",AG34="นิติศาสตร์",OR(T34="M2",T34="K4"),W34&gt;=2,V34&lt;P34),EDATE(V34,12*2),AND(AH34="K5-LAW",AG34="นิติศาสตร์",T34="S1",W34&gt;=1,V34&lt;P34),EDATE(V34,12),AND(AH34="K5-LAW",AG34="นิติศาสตร์",OR(T34="S2",T34="K5")),V34,AND(AH34="K5-LAW",AG34="นิติศาสตร์",OR(K34="M2",K34="K4"),Q34&gt;=2),EDATE(P34,12*2),AND(AH34="K5-LAW",AG34="นิติศาสตร์",K34="S1",Q34&gt;=1),EDATE(P34,12),AND(AH34="K5-LAW",AG34="นิติศาสตร์",OR(K34="S2",K34="K5")),P34,AND(AH34="K5-POLICY",AG34&lt;&gt;"นิติศาสตร์",K34="S2",T34="",Z34=""),P34,AND(AH34="K5-POLICY",AG34&lt;&gt;"นิติศาสตร์",K34="S1",T34="",Z34=""),EDATE(P34,12),AND(AH34="K5-POLICY",AG34&lt;&gt;"นิติศาสตร์",OR(K34="M2",K34="K4"),T34="",Z34=""),EDATE(P34,12*2),AND(AH34="K5-POLICY",AG34&lt;&gt;"นิติศาสตร์",OR(Z34="M2",Z34="K4"),AC34&gt;=2,OR(AB34&lt;V34,AB34&lt;P34)),EDATE(AB34,12*2),AND(AH34="K5-POLICY",AG34&lt;&gt;"นิติศาสตร์",Z34="S1",AC34&gt;=1,OR(AB34&lt;V34,AB34&lt;P34)),EDATE(AB34,12),AND(AH34="K5-POLICY",AG34&lt;&gt;"นิติศาสตร์",OR(T34="M2",T34="K4"),W34&gt;=2,V34&lt;P34),EDATE(V34,12*2),AND(AH34="K5-POLICY",AG34&lt;&gt;"นิติศาสตร์",T34="S1",W34&gt;=1,V34&lt;P34),EDATE(V34,12),AND(AH34="K5-POLICY",AG34&lt;&gt;"นิติศาสตร์",OR(T34="S2",T34="K5")),V34,AND(AH34="K5-POLICY",AG34&lt;&gt;"นิติศาสตร์",OR(K34="M2",K34="K4"),Q34&gt;=2),EDATE(P34,12*2),AND(AH34="K5-POLICY",AG34&lt;&gt;"นิติศาสตร์",K34="S1",Q34&gt;=1),EDATE(P34,12),AND(AH34="K5-POLICY",AG34&lt;&gt;"นิติศาสตร์",OR(K34="S2",K34="K5")),P34,TRUE,"Check Data")</f>
        <v/>
      </c>
      <c r="AJ34" s="75" t="str">
        <f t="shared" si="10"/>
        <v>Check Data</v>
      </c>
      <c r="AK34" s="76" t="str">
        <f t="shared" si="11"/>
        <v>Check Data</v>
      </c>
      <c r="AL34" s="50" t="str">
        <f t="shared" si="12"/>
        <v>Check Data</v>
      </c>
      <c r="AM34" s="49" t="str">
        <f>IF(B34="","",IF(K34="S1","S1",INDEX(#REF!,#REF!)))</f>
        <v/>
      </c>
      <c r="AN34" s="49" t="str">
        <f t="shared" si="13"/>
        <v>M2</v>
      </c>
      <c r="AO34" s="50" t="b">
        <f>K34=AM34</f>
        <v>0</v>
      </c>
      <c r="AP34" s="50"/>
    </row>
    <row r="35" spans="1:42" ht="21.75">
      <c r="A35" s="49">
        <v>33</v>
      </c>
      <c r="B35" s="50"/>
      <c r="C35" s="50"/>
      <c r="D35" s="50" t="s">
        <v>144</v>
      </c>
      <c r="E35" s="49" t="s">
        <v>375</v>
      </c>
      <c r="F35" s="49" t="str">
        <f t="shared" ref="F35:F63" si="14">IF(E35="","",TEXT(EDATE(E35,-543*12),"dd/mm/yyyy"))</f>
        <v>06/05/1986</v>
      </c>
      <c r="G35" s="50">
        <f t="shared" ref="G35:G66" si="15">IF(F35="",0,DATEDIF(F35,$C$1,"Y"))</f>
        <v>39</v>
      </c>
      <c r="H35" s="50">
        <f t="shared" ref="H35:H66" si="16">IF(F35="",0,DATEDIF(F35,$C$1,"YM"))</f>
        <v>1</v>
      </c>
      <c r="I35" s="50">
        <f t="shared" ref="I35:I66" si="17">IF(F35="",0,DATEDIF(F35,$C$1,"MD"))</f>
        <v>14</v>
      </c>
      <c r="J35" s="57"/>
      <c r="K35" s="49" t="s">
        <v>136</v>
      </c>
      <c r="L35" s="64"/>
      <c r="M35" s="49" t="s">
        <v>425</v>
      </c>
      <c r="N35" s="49">
        <v>2570</v>
      </c>
      <c r="O35" s="65" t="s">
        <v>376</v>
      </c>
      <c r="P35" s="49" t="str">
        <f t="shared" ref="P35:P56" si="18">TEXT(EDATE(O35,-543*12),"dd/mm/yyyy")</f>
        <v>10/03/2021</v>
      </c>
      <c r="Q35" s="68">
        <f>IF(P35="",0,DATEDIF(P35,$C$1,"Y"))</f>
        <v>4</v>
      </c>
      <c r="R35" s="68">
        <f>IF(P35="",0,DATEDIF(P35,$C$1,"YM"))</f>
        <v>3</v>
      </c>
      <c r="S35" s="68">
        <f>IF(P35="",0,DATEDIF(P35,$C$1,"MD"))</f>
        <v>10</v>
      </c>
      <c r="T35" s="65"/>
      <c r="U35" s="65"/>
      <c r="V35" s="49" t="str">
        <f t="shared" ref="V35:V56" si="19">IF(U35="","",TEXT(EDATE(U35,-543*12),"dd/mm/yyyy"))</f>
        <v/>
      </c>
      <c r="W35" s="68">
        <f>IF(V35="",0,DATEDIF(V35,P35,"Y"))</f>
        <v>0</v>
      </c>
      <c r="X35" s="68">
        <f>IF(V35="",0,DATEDIF(V35,P35,"YM"))</f>
        <v>0</v>
      </c>
      <c r="Y35" s="68">
        <f>IF(V35="",0,DATEDIF(V35,P35,"MD"))</f>
        <v>0</v>
      </c>
      <c r="Z35" s="49"/>
      <c r="AA35" s="65"/>
      <c r="AB35" s="50" t="str">
        <f t="shared" ref="AB35:AB56" si="20">IF(AA35="","",TEXT(EDATE(AA35,-543*12),"dd/mm/yyyy"))</f>
        <v/>
      </c>
      <c r="AC35" s="68">
        <f t="shared" ref="AC35:AC66" si="21">IF(AB35="",0,DATEDIF(AB35,V35,"Y"))</f>
        <v>0</v>
      </c>
      <c r="AD35" s="68">
        <f t="shared" ref="AD35:AD56" si="22">IF(AB35="",0,DATEDIF(AB35,V35,"YM"))</f>
        <v>0</v>
      </c>
      <c r="AE35" s="68">
        <f t="shared" ref="AE35:AE56" si="23">IF(AB35="",0,DATEDIF(AB35,V35,"MD"))</f>
        <v>0</v>
      </c>
      <c r="AF35" s="50"/>
      <c r="AG35" s="50" t="s">
        <v>138</v>
      </c>
      <c r="AH35" s="49" t="str">
        <f>IF(AG35="นิติศาสตร์","K5-LAW","K5-POLICY")</f>
        <v>K5-LAW</v>
      </c>
      <c r="AI35" s="72" t="str">
        <f>_xlfn.IFS(B35="","",AND(AH35="K5-LAW",AG35="นิติศาสตร์",K35="S2",T35="",Z35=""),P35,AND(AH35="K5-LAW",AG35="นิติศาสตร์",K35="S1",T35="",Z35=""),EDATE(P35,12),AND(AH35="K5-LAW",AG35="นิติศาสตร์",OR(K35="M2",K35="K4"),T35="",Z35=""),EDATE(P35,12*2),AND(AH35="K5-LAW",AG35="นิติศาสตร์",OR(Z35="M2",Z35="K4"),AC35&gt;=2,OR(AB35&lt;V35,AB35&lt;P35)),EDATE(AB35,12*2),AND(AH35="K5-LAW",AG35="นิติศาสตร์",Z35="S1",AC35&gt;=1,OR(AB35&lt;V35,AB35&lt;P35)),EDATE(AB35,12),AND(AH35="K5-LAW",AG35="นิติศาสตร์",OR(T35="M2",T35="K4"),W35&gt;=2,V35&lt;P35),EDATE(V35,12*2),AND(AH35="K5-LAW",AG35="นิติศาสตร์",T35="S1",W35&gt;=1,V35&lt;P35),EDATE(V35,12),AND(AH35="K5-LAW",AG35="นิติศาสตร์",OR(T35="S2",T35="K5")),V35,AND(AH35="K5-LAW",AG35="นิติศาสตร์",OR(K35="M2",K35="K4"),Q35&gt;=2),EDATE(P35,12*2),AND(AH35="K5-LAW",AG35="นิติศาสตร์",K35="S1",Q35&gt;=1),EDATE(P35,12),AND(AH35="K5-LAW",AG35="นิติศาสตร์",OR(K35="S2",K35="K5")),P35,AND(AH35="K5-POLICY",AG35&lt;&gt;"นิติศาสตร์",K35="S2",T35="",Z35=""),P35,AND(AH35="K5-POLICY",AG35&lt;&gt;"นิติศาสตร์",K35="S1",T35="",Z35=""),EDATE(P35,12),AND(AH35="K5-POLICY",AG35&lt;&gt;"นิติศาสตร์",OR(K35="M2",K35="K4"),T35="",Z35=""),EDATE(P35,12*2),AND(AH35="K5-POLICY",AG35&lt;&gt;"นิติศาสตร์",OR(Z35="M2",Z35="K4"),AC35&gt;=2,OR(AB35&lt;V35,AB35&lt;P35)),EDATE(AB35,12*2),AND(AH35="K5-POLICY",AG35&lt;&gt;"นิติศาสตร์",Z35="S1",AC35&gt;=1,OR(AB35&lt;V35,AB35&lt;P35)),EDATE(AB35,12),AND(AH35="K5-POLICY",AG35&lt;&gt;"นิติศาสตร์",OR(T35="M2",T35="K4"),W35&gt;=2,V35&lt;P35),EDATE(V35,12*2),AND(AH35="K5-POLICY",AG35&lt;&gt;"นิติศาสตร์",T35="S1",W35&gt;=1,V35&lt;P35),EDATE(V35,12),AND(AH35="K5-POLICY",AG35&lt;&gt;"นิติศาสตร์",OR(T35="S2",T35="K5")),V35,AND(AH35="K5-POLICY",AG35&lt;&gt;"นิติศาสตร์",OR(K35="M2",K35="K4"),Q35&gt;=2),EDATE(P35,12*2),AND(AH35="K5-POLICY",AG35&lt;&gt;"นิติศาสตร์",K35="S1",Q35&gt;=1),EDATE(P35,12),AND(AH35="K5-POLICY",AG35&lt;&gt;"นิติศาสตร์",OR(K35="S2",K35="K5")),P35,TRUE,"Check Data")</f>
        <v/>
      </c>
      <c r="AJ35" s="75" t="str">
        <f t="shared" ref="AJ35:AJ66" si="24">IFERROR(TEXT(EDATE(AI35,543*12),"dd/mm/yyyy"),"Check Data")</f>
        <v>Check Data</v>
      </c>
      <c r="AK35" s="76" t="str">
        <f t="shared" ref="AK35:AK66" si="25">IFERROR(IF($C$1&gt;AI35,AI35-$C$1,DATEDIF($C$1,AI35,"d")),"Check Data")</f>
        <v>Check Data</v>
      </c>
      <c r="AL35" s="50" t="str">
        <f t="shared" ref="AL35:AL66" si="26">_xlfn.IFS(AK35="Check Data","Check Data",AK35&gt;30,"ยังไม่ถึงเกณฑ์",AK35&gt;0,"ใกล้ถึงเกณฑ์",AK35=0,"ถึงเกณฑ์",AK35&lt;0,"ถึงเกณฑ์นานแล้ว")</f>
        <v>Check Data</v>
      </c>
      <c r="AM35" s="49" t="str">
        <f>IF(B35="","",IF(K35="S1","S1",INDEX(#REF!,#REF!)))</f>
        <v/>
      </c>
      <c r="AN35" s="49" t="str">
        <f t="shared" ref="AN35:AN56" si="27">K35</f>
        <v>M2</v>
      </c>
      <c r="AO35" s="50" t="b">
        <f>K35=AM35</f>
        <v>0</v>
      </c>
      <c r="AP35" s="50"/>
    </row>
    <row r="36" spans="1:42" ht="21.75">
      <c r="A36" s="49">
        <v>34</v>
      </c>
      <c r="B36" s="50"/>
      <c r="C36" s="50"/>
      <c r="D36" s="50" t="s">
        <v>141</v>
      </c>
      <c r="E36" s="49" t="s">
        <v>250</v>
      </c>
      <c r="F36" s="49" t="str">
        <f t="shared" si="14"/>
        <v>01/08/1995</v>
      </c>
      <c r="G36" s="50">
        <f t="shared" si="15"/>
        <v>29</v>
      </c>
      <c r="H36" s="50">
        <f t="shared" si="16"/>
        <v>10</v>
      </c>
      <c r="I36" s="50">
        <f t="shared" si="17"/>
        <v>19</v>
      </c>
      <c r="J36" s="60"/>
      <c r="K36" s="49" t="s">
        <v>136</v>
      </c>
      <c r="L36" s="64"/>
      <c r="M36" s="49" t="s">
        <v>427</v>
      </c>
      <c r="N36" s="49">
        <v>2571</v>
      </c>
      <c r="O36" s="65" t="s">
        <v>201</v>
      </c>
      <c r="P36" s="49" t="str">
        <f t="shared" si="18"/>
        <v>01/10/2021</v>
      </c>
      <c r="Q36" s="68">
        <f>IF(P36="",0,DATEDIF(P36,$C$1,"Y"))</f>
        <v>3</v>
      </c>
      <c r="R36" s="68">
        <f>IF(P36="",0,DATEDIF(P36,$C$1,"YM"))</f>
        <v>8</v>
      </c>
      <c r="S36" s="68">
        <f>IF(P36="",0,DATEDIF(P36,$C$1,"MD"))</f>
        <v>19</v>
      </c>
      <c r="T36" s="65"/>
      <c r="U36" s="65"/>
      <c r="V36" s="49" t="str">
        <f t="shared" si="19"/>
        <v/>
      </c>
      <c r="W36" s="68">
        <f>IF(V36="",0,DATEDIF(V36,P36,"Y"))</f>
        <v>0</v>
      </c>
      <c r="X36" s="68">
        <f>IF(V36="",0,DATEDIF(V36,P36,"YM"))</f>
        <v>0</v>
      </c>
      <c r="Y36" s="68">
        <f>IF(V36="",0,DATEDIF(V36,P36,"MD"))</f>
        <v>0</v>
      </c>
      <c r="Z36" s="49"/>
      <c r="AA36" s="65"/>
      <c r="AB36" s="50" t="str">
        <f t="shared" si="20"/>
        <v/>
      </c>
      <c r="AC36" s="68">
        <f t="shared" si="21"/>
        <v>0</v>
      </c>
      <c r="AD36" s="68">
        <f t="shared" si="22"/>
        <v>0</v>
      </c>
      <c r="AE36" s="68">
        <f t="shared" si="23"/>
        <v>0</v>
      </c>
      <c r="AF36" s="50"/>
      <c r="AG36" s="50" t="s">
        <v>138</v>
      </c>
      <c r="AH36" s="49" t="str">
        <f>IF(AG36="นิติศาสตร์","K5-LAW","K5-POLICY")</f>
        <v>K5-LAW</v>
      </c>
      <c r="AI36" s="72" t="str">
        <f>_xlfn.IFS(B36="","",AND(AH36="K5-LAW",AG36="นิติศาสตร์",K36="S2",T36="",Z36=""),P36,AND(AH36="K5-LAW",AG36="นิติศาสตร์",K36="S1",T36="",Z36=""),EDATE(P36,12),AND(AH36="K5-LAW",AG36="นิติศาสตร์",OR(K36="M2",K36="K4"),T36="",Z36=""),EDATE(P36,12*2),AND(AH36="K5-LAW",AG36="นิติศาสตร์",OR(Z36="M2",Z36="K4"),AC36&gt;=2,OR(AB36&lt;V36,AB36&lt;P36)),EDATE(AB36,12*2),AND(AH36="K5-LAW",AG36="นิติศาสตร์",Z36="S1",AC36&gt;=1,OR(AB36&lt;V36,AB36&lt;P36)),EDATE(AB36,12),AND(AH36="K5-LAW",AG36="นิติศาสตร์",OR(T36="M2",T36="K4"),W36&gt;=2,V36&lt;P36),EDATE(V36,12*2),AND(AH36="K5-LAW",AG36="นิติศาสตร์",T36="S1",W36&gt;=1,V36&lt;P36),EDATE(V36,12),AND(AH36="K5-LAW",AG36="นิติศาสตร์",OR(T36="S2",T36="K5")),V36,AND(AH36="K5-LAW",AG36="นิติศาสตร์",OR(K36="M2",K36="K4"),Q36&gt;=2),EDATE(P36,12*2),AND(AH36="K5-LAW",AG36="นิติศาสตร์",K36="S1",Q36&gt;=1),EDATE(P36,12),AND(AH36="K5-LAW",AG36="นิติศาสตร์",OR(K36="S2",K36="K5")),P36,AND(AH36="K5-POLICY",AG36&lt;&gt;"นิติศาสตร์",K36="S2",T36="",Z36=""),P36,AND(AH36="K5-POLICY",AG36&lt;&gt;"นิติศาสตร์",K36="S1",T36="",Z36=""),EDATE(P36,12),AND(AH36="K5-POLICY",AG36&lt;&gt;"นิติศาสตร์",OR(K36="M2",K36="K4"),T36="",Z36=""),EDATE(P36,12*2),AND(AH36="K5-POLICY",AG36&lt;&gt;"นิติศาสตร์",OR(Z36="M2",Z36="K4"),AC36&gt;=2,OR(AB36&lt;V36,AB36&lt;P36)),EDATE(AB36,12*2),AND(AH36="K5-POLICY",AG36&lt;&gt;"นิติศาสตร์",Z36="S1",AC36&gt;=1,OR(AB36&lt;V36,AB36&lt;P36)),EDATE(AB36,12),AND(AH36="K5-POLICY",AG36&lt;&gt;"นิติศาสตร์",OR(T36="M2",T36="K4"),W36&gt;=2,V36&lt;P36),EDATE(V36,12*2),AND(AH36="K5-POLICY",AG36&lt;&gt;"นิติศาสตร์",T36="S1",W36&gt;=1,V36&lt;P36),EDATE(V36,12),AND(AH36="K5-POLICY",AG36&lt;&gt;"นิติศาสตร์",OR(T36="S2",T36="K5")),V36,AND(AH36="K5-POLICY",AG36&lt;&gt;"นิติศาสตร์",OR(K36="M2",K36="K4"),Q36&gt;=2),EDATE(P36,12*2),AND(AH36="K5-POLICY",AG36&lt;&gt;"นิติศาสตร์",K36="S1",Q36&gt;=1),EDATE(P36,12),AND(AH36="K5-POLICY",AG36&lt;&gt;"นิติศาสตร์",OR(K36="S2",K36="K5")),P36,TRUE,"Check Data")</f>
        <v/>
      </c>
      <c r="AJ36" s="75" t="str">
        <f t="shared" si="24"/>
        <v>Check Data</v>
      </c>
      <c r="AK36" s="76" t="str">
        <f t="shared" si="25"/>
        <v>Check Data</v>
      </c>
      <c r="AL36" s="50" t="str">
        <f t="shared" si="26"/>
        <v>Check Data</v>
      </c>
      <c r="AM36" s="49" t="str">
        <f>IF(B36="","",IF(K36="S1","S1",INDEX(#REF!,#REF!)))</f>
        <v/>
      </c>
      <c r="AN36" s="49" t="str">
        <f t="shared" si="27"/>
        <v>M2</v>
      </c>
      <c r="AO36" s="50" t="b">
        <f>K36=AM36</f>
        <v>0</v>
      </c>
      <c r="AP36" s="50"/>
    </row>
    <row r="37" spans="1:42" ht="21.75">
      <c r="A37" s="49">
        <v>35</v>
      </c>
      <c r="B37" s="50"/>
      <c r="C37" s="50"/>
      <c r="D37" s="50" t="s">
        <v>143</v>
      </c>
      <c r="E37" s="49" t="s">
        <v>350</v>
      </c>
      <c r="F37" s="49" t="str">
        <f t="shared" si="14"/>
        <v>03/05/1993</v>
      </c>
      <c r="G37" s="50">
        <f t="shared" si="15"/>
        <v>32</v>
      </c>
      <c r="H37" s="50">
        <f t="shared" si="16"/>
        <v>1</v>
      </c>
      <c r="I37" s="50">
        <f t="shared" si="17"/>
        <v>17</v>
      </c>
      <c r="J37" s="58"/>
      <c r="K37" s="49" t="s">
        <v>136</v>
      </c>
      <c r="L37" s="64"/>
      <c r="M37" s="49" t="s">
        <v>426</v>
      </c>
      <c r="N37" s="49">
        <v>2569</v>
      </c>
      <c r="O37" s="65" t="s">
        <v>291</v>
      </c>
      <c r="P37" s="49" t="str">
        <f t="shared" si="18"/>
        <v>01/11/2021</v>
      </c>
      <c r="Q37" s="68">
        <f>IF(P37="",0,DATEDIF(P37,$C$1,"Y"))</f>
        <v>3</v>
      </c>
      <c r="R37" s="68">
        <f>IF(P37="",0,DATEDIF(P37,$C$1,"YM"))</f>
        <v>7</v>
      </c>
      <c r="S37" s="68">
        <f>IF(P37="",0,DATEDIF(P37,$C$1,"MD"))</f>
        <v>19</v>
      </c>
      <c r="T37" s="65"/>
      <c r="U37" s="65"/>
      <c r="V37" s="49" t="str">
        <f t="shared" si="19"/>
        <v/>
      </c>
      <c r="W37" s="68">
        <f>IF(V37="",0,DATEDIF(V37,P37,"Y"))</f>
        <v>0</v>
      </c>
      <c r="X37" s="68">
        <f>IF(V37="",0,DATEDIF(V37,P37,"YM"))</f>
        <v>0</v>
      </c>
      <c r="Y37" s="68">
        <f>IF(V37="",0,DATEDIF(V37,P37,"MD"))</f>
        <v>0</v>
      </c>
      <c r="Z37" s="49"/>
      <c r="AA37" s="65"/>
      <c r="AB37" s="50" t="str">
        <f t="shared" si="20"/>
        <v/>
      </c>
      <c r="AC37" s="68">
        <f t="shared" si="21"/>
        <v>0</v>
      </c>
      <c r="AD37" s="68">
        <f t="shared" si="22"/>
        <v>0</v>
      </c>
      <c r="AE37" s="68">
        <f t="shared" si="23"/>
        <v>0</v>
      </c>
      <c r="AF37" s="50"/>
      <c r="AG37" s="50" t="s">
        <v>138</v>
      </c>
      <c r="AH37" s="49" t="str">
        <f>IF(AG37="นิติศาสตร์","K5-LAW","K5-POLICY")</f>
        <v>K5-LAW</v>
      </c>
      <c r="AI37" s="72" t="str">
        <f>_xlfn.IFS(B37="","",AND(AH37="K5-LAW",AG37="นิติศาสตร์",K37="S2",T37="",Z37=""),P37,AND(AH37="K5-LAW",AG37="นิติศาสตร์",K37="S1",T37="",Z37=""),EDATE(P37,12),AND(AH37="K5-LAW",AG37="นิติศาสตร์",OR(K37="M2",K37="K4"),T37="",Z37=""),EDATE(P37,12*2),AND(AH37="K5-LAW",AG37="นิติศาสตร์",OR(Z37="M2",Z37="K4"),AC37&gt;=2,OR(AB37&lt;V37,AB37&lt;P37)),EDATE(AB37,12*2),AND(AH37="K5-LAW",AG37="นิติศาสตร์",Z37="S1",AC37&gt;=1,OR(AB37&lt;V37,AB37&lt;P37)),EDATE(AB37,12),AND(AH37="K5-LAW",AG37="นิติศาสตร์",OR(T37="M2",T37="K4"),W37&gt;=2,V37&lt;P37),EDATE(V37,12*2),AND(AH37="K5-LAW",AG37="นิติศาสตร์",T37="S1",W37&gt;=1,V37&lt;P37),EDATE(V37,12),AND(AH37="K5-LAW",AG37="นิติศาสตร์",OR(T37="S2",T37="K5")),V37,AND(AH37="K5-LAW",AG37="นิติศาสตร์",OR(K37="M2",K37="K4"),Q37&gt;=2),EDATE(P37,12*2),AND(AH37="K5-LAW",AG37="นิติศาสตร์",K37="S1",Q37&gt;=1),EDATE(P37,12),AND(AH37="K5-LAW",AG37="นิติศาสตร์",OR(K37="S2",K37="K5")),P37,AND(AH37="K5-POLICY",AG37&lt;&gt;"นิติศาสตร์",K37="S2",T37="",Z37=""),P37,AND(AH37="K5-POLICY",AG37&lt;&gt;"นิติศาสตร์",K37="S1",T37="",Z37=""),EDATE(P37,12),AND(AH37="K5-POLICY",AG37&lt;&gt;"นิติศาสตร์",OR(K37="M2",K37="K4"),T37="",Z37=""),EDATE(P37,12*2),AND(AH37="K5-POLICY",AG37&lt;&gt;"นิติศาสตร์",OR(Z37="M2",Z37="K4"),AC37&gt;=2,OR(AB37&lt;V37,AB37&lt;P37)),EDATE(AB37,12*2),AND(AH37="K5-POLICY",AG37&lt;&gt;"นิติศาสตร์",Z37="S1",AC37&gt;=1,OR(AB37&lt;V37,AB37&lt;P37)),EDATE(AB37,12),AND(AH37="K5-POLICY",AG37&lt;&gt;"นิติศาสตร์",OR(T37="M2",T37="K4"),W37&gt;=2,V37&lt;P37),EDATE(V37,12*2),AND(AH37="K5-POLICY",AG37&lt;&gt;"นิติศาสตร์",T37="S1",W37&gt;=1,V37&lt;P37),EDATE(V37,12),AND(AH37="K5-POLICY",AG37&lt;&gt;"นิติศาสตร์",OR(T37="S2",T37="K5")),V37,AND(AH37="K5-POLICY",AG37&lt;&gt;"นิติศาสตร์",OR(K37="M2",K37="K4"),Q37&gt;=2),EDATE(P37,12*2),AND(AH37="K5-POLICY",AG37&lt;&gt;"นิติศาสตร์",K37="S1",Q37&gt;=1),EDATE(P37,12),AND(AH37="K5-POLICY",AG37&lt;&gt;"นิติศาสตร์",OR(K37="S2",K37="K5")),P37,TRUE,"Check Data")</f>
        <v/>
      </c>
      <c r="AJ37" s="75" t="str">
        <f t="shared" si="24"/>
        <v>Check Data</v>
      </c>
      <c r="AK37" s="76" t="str">
        <f t="shared" si="25"/>
        <v>Check Data</v>
      </c>
      <c r="AL37" s="50" t="str">
        <f t="shared" si="26"/>
        <v>Check Data</v>
      </c>
      <c r="AM37" s="49" t="str">
        <f>IF(B37="","",IF(K37="S1","S1",INDEX(#REF!,#REF!)))</f>
        <v/>
      </c>
      <c r="AN37" s="49" t="str">
        <f t="shared" si="27"/>
        <v>M2</v>
      </c>
      <c r="AO37" s="50" t="b">
        <f>K37=AM37</f>
        <v>0</v>
      </c>
      <c r="AP37" s="50"/>
    </row>
    <row r="38" spans="1:42" ht="21.75">
      <c r="A38" s="49">
        <v>36</v>
      </c>
      <c r="B38" s="50"/>
      <c r="C38" s="50"/>
      <c r="D38" s="50" t="s">
        <v>143</v>
      </c>
      <c r="E38" s="49" t="s">
        <v>322</v>
      </c>
      <c r="F38" s="49" t="str">
        <f t="shared" si="14"/>
        <v>30/07/1992</v>
      </c>
      <c r="G38" s="50">
        <f t="shared" si="15"/>
        <v>32</v>
      </c>
      <c r="H38" s="50">
        <f t="shared" si="16"/>
        <v>10</v>
      </c>
      <c r="I38" s="50">
        <f t="shared" si="17"/>
        <v>21</v>
      </c>
      <c r="J38" s="59"/>
      <c r="K38" s="49" t="s">
        <v>136</v>
      </c>
      <c r="L38" s="64"/>
      <c r="M38" s="49" t="s">
        <v>426</v>
      </c>
      <c r="N38" s="49">
        <v>2569</v>
      </c>
      <c r="O38" s="65" t="s">
        <v>291</v>
      </c>
      <c r="P38" s="49" t="str">
        <f t="shared" si="18"/>
        <v>01/11/2021</v>
      </c>
      <c r="Q38" s="68">
        <f>IF(P38="",0,DATEDIF(P38,$C$1,"Y"))</f>
        <v>3</v>
      </c>
      <c r="R38" s="68">
        <f>IF(P38="",0,DATEDIF(P38,$C$1,"YM"))</f>
        <v>7</v>
      </c>
      <c r="S38" s="68">
        <f>IF(P38="",0,DATEDIF(P38,$C$1,"MD"))</f>
        <v>19</v>
      </c>
      <c r="T38" s="65"/>
      <c r="U38" s="65"/>
      <c r="V38" s="49" t="str">
        <f t="shared" si="19"/>
        <v/>
      </c>
      <c r="W38" s="68">
        <f>IF(V38="",0,DATEDIF(V38,P38,"Y"))</f>
        <v>0</v>
      </c>
      <c r="X38" s="68">
        <f>IF(V38="",0,DATEDIF(V38,P38,"YM"))</f>
        <v>0</v>
      </c>
      <c r="Y38" s="68">
        <f>IF(V38="",0,DATEDIF(V38,P38,"MD"))</f>
        <v>0</v>
      </c>
      <c r="Z38" s="49"/>
      <c r="AA38" s="65"/>
      <c r="AB38" s="50" t="str">
        <f t="shared" si="20"/>
        <v/>
      </c>
      <c r="AC38" s="68">
        <f t="shared" si="21"/>
        <v>0</v>
      </c>
      <c r="AD38" s="68">
        <f t="shared" si="22"/>
        <v>0</v>
      </c>
      <c r="AE38" s="68">
        <f t="shared" si="23"/>
        <v>0</v>
      </c>
      <c r="AF38" s="50"/>
      <c r="AG38" s="50" t="s">
        <v>138</v>
      </c>
      <c r="AH38" s="49" t="str">
        <f>IF(AG38="นิติศาสตร์","K5-LAW","K5-POLICY")</f>
        <v>K5-LAW</v>
      </c>
      <c r="AI38" s="72" t="str">
        <f>_xlfn.IFS(B38="","",AND(AH38="K5-LAW",AG38="นิติศาสตร์",K38="S2",T38="",Z38=""),P38,AND(AH38="K5-LAW",AG38="นิติศาสตร์",K38="S1",T38="",Z38=""),EDATE(P38,12),AND(AH38="K5-LAW",AG38="นิติศาสตร์",OR(K38="M2",K38="K4"),T38="",Z38=""),EDATE(P38,12*2),AND(AH38="K5-LAW",AG38="นิติศาสตร์",OR(Z38="M2",Z38="K4"),AC38&gt;=2,OR(AB38&lt;V38,AB38&lt;P38)),EDATE(AB38,12*2),AND(AH38="K5-LAW",AG38="นิติศาสตร์",Z38="S1",AC38&gt;=1,OR(AB38&lt;V38,AB38&lt;P38)),EDATE(AB38,12),AND(AH38="K5-LAW",AG38="นิติศาสตร์",OR(T38="M2",T38="K4"),W38&gt;=2,V38&lt;P38),EDATE(V38,12*2),AND(AH38="K5-LAW",AG38="นิติศาสตร์",T38="S1",W38&gt;=1,V38&lt;P38),EDATE(V38,12),AND(AH38="K5-LAW",AG38="นิติศาสตร์",OR(T38="S2",T38="K5")),V38,AND(AH38="K5-LAW",AG38="นิติศาสตร์",OR(K38="M2",K38="K4"),Q38&gt;=2),EDATE(P38,12*2),AND(AH38="K5-LAW",AG38="นิติศาสตร์",K38="S1",Q38&gt;=1),EDATE(P38,12),AND(AH38="K5-LAW",AG38="นิติศาสตร์",OR(K38="S2",K38="K5")),P38,AND(AH38="K5-POLICY",AG38&lt;&gt;"นิติศาสตร์",K38="S2",T38="",Z38=""),P38,AND(AH38="K5-POLICY",AG38&lt;&gt;"นิติศาสตร์",K38="S1",T38="",Z38=""),EDATE(P38,12),AND(AH38="K5-POLICY",AG38&lt;&gt;"นิติศาสตร์",OR(K38="M2",K38="K4"),T38="",Z38=""),EDATE(P38,12*2),AND(AH38="K5-POLICY",AG38&lt;&gt;"นิติศาสตร์",OR(Z38="M2",Z38="K4"),AC38&gt;=2,OR(AB38&lt;V38,AB38&lt;P38)),EDATE(AB38,12*2),AND(AH38="K5-POLICY",AG38&lt;&gt;"นิติศาสตร์",Z38="S1",AC38&gt;=1,OR(AB38&lt;V38,AB38&lt;P38)),EDATE(AB38,12),AND(AH38="K5-POLICY",AG38&lt;&gt;"นิติศาสตร์",OR(T38="M2",T38="K4"),W38&gt;=2,V38&lt;P38),EDATE(V38,12*2),AND(AH38="K5-POLICY",AG38&lt;&gt;"นิติศาสตร์",T38="S1",W38&gt;=1,V38&lt;P38),EDATE(V38,12),AND(AH38="K5-POLICY",AG38&lt;&gt;"นิติศาสตร์",OR(T38="S2",T38="K5")),V38,AND(AH38="K5-POLICY",AG38&lt;&gt;"นิติศาสตร์",OR(K38="M2",K38="K4"),Q38&gt;=2),EDATE(P38,12*2),AND(AH38="K5-POLICY",AG38&lt;&gt;"นิติศาสตร์",K38="S1",Q38&gt;=1),EDATE(P38,12),AND(AH38="K5-POLICY",AG38&lt;&gt;"นิติศาสตร์",OR(K38="S2",K38="K5")),P38,TRUE,"Check Data")</f>
        <v/>
      </c>
      <c r="AJ38" s="75" t="str">
        <f t="shared" si="24"/>
        <v>Check Data</v>
      </c>
      <c r="AK38" s="76" t="str">
        <f t="shared" si="25"/>
        <v>Check Data</v>
      </c>
      <c r="AL38" s="50" t="str">
        <f t="shared" si="26"/>
        <v>Check Data</v>
      </c>
      <c r="AM38" s="49" t="str">
        <f>IF(B38="","",IF(K38="S1","S1",INDEX(#REF!,#REF!)))</f>
        <v/>
      </c>
      <c r="AN38" s="49" t="str">
        <f t="shared" si="27"/>
        <v>M2</v>
      </c>
      <c r="AO38" s="50" t="b">
        <f>K38=AM38</f>
        <v>0</v>
      </c>
      <c r="AP38" s="50"/>
    </row>
    <row r="39" spans="1:42" ht="21.75">
      <c r="A39" s="49">
        <v>37</v>
      </c>
      <c r="B39" s="50"/>
      <c r="C39" s="50"/>
      <c r="D39" s="50" t="s">
        <v>143</v>
      </c>
      <c r="E39" s="49" t="s">
        <v>330</v>
      </c>
      <c r="F39" s="49" t="str">
        <f t="shared" si="14"/>
        <v>15/06/1988</v>
      </c>
      <c r="G39" s="50">
        <f t="shared" si="15"/>
        <v>37</v>
      </c>
      <c r="H39" s="50">
        <f t="shared" si="16"/>
        <v>0</v>
      </c>
      <c r="I39" s="50">
        <f t="shared" si="17"/>
        <v>5</v>
      </c>
      <c r="J39" s="59"/>
      <c r="K39" s="49" t="s">
        <v>136</v>
      </c>
      <c r="L39" s="64"/>
      <c r="M39" s="49" t="s">
        <v>427</v>
      </c>
      <c r="N39" s="49">
        <v>2571</v>
      </c>
      <c r="O39" s="65" t="s">
        <v>291</v>
      </c>
      <c r="P39" s="49" t="str">
        <f t="shared" si="18"/>
        <v>01/11/2021</v>
      </c>
      <c r="Q39" s="68">
        <f>IF(P39="",0,DATEDIF(P39,$C$1,"Y"))</f>
        <v>3</v>
      </c>
      <c r="R39" s="68">
        <f>IF(P39="",0,DATEDIF(P39,$C$1,"YM"))</f>
        <v>7</v>
      </c>
      <c r="S39" s="68">
        <f>IF(P39="",0,DATEDIF(P39,$C$1,"MD"))</f>
        <v>19</v>
      </c>
      <c r="T39" s="65"/>
      <c r="U39" s="65"/>
      <c r="V39" s="49" t="str">
        <f t="shared" si="19"/>
        <v/>
      </c>
      <c r="W39" s="68">
        <f>IF(V39="",0,DATEDIF(V39,P39,"Y"))</f>
        <v>0</v>
      </c>
      <c r="X39" s="68">
        <f>IF(V39="",0,DATEDIF(V39,P39,"YM"))</f>
        <v>0</v>
      </c>
      <c r="Y39" s="68">
        <f>IF(V39="",0,DATEDIF(V39,P39,"MD"))</f>
        <v>0</v>
      </c>
      <c r="Z39" s="49"/>
      <c r="AA39" s="65"/>
      <c r="AB39" s="50" t="str">
        <f t="shared" si="20"/>
        <v/>
      </c>
      <c r="AC39" s="68">
        <f t="shared" si="21"/>
        <v>0</v>
      </c>
      <c r="AD39" s="68">
        <f t="shared" si="22"/>
        <v>0</v>
      </c>
      <c r="AE39" s="68">
        <f t="shared" si="23"/>
        <v>0</v>
      </c>
      <c r="AF39" s="50"/>
      <c r="AG39" s="50" t="s">
        <v>138</v>
      </c>
      <c r="AH39" s="49" t="str">
        <f>IF(AG39="นิติศาสตร์","K5-LAW","K5-POLICY")</f>
        <v>K5-LAW</v>
      </c>
      <c r="AI39" s="72" t="str">
        <f>_xlfn.IFS(B39="","",AND(AH39="K5-LAW",AG39="นิติศาสตร์",K39="S2",T39="",Z39=""),P39,AND(AH39="K5-LAW",AG39="นิติศาสตร์",K39="S1",T39="",Z39=""),EDATE(P39,12),AND(AH39="K5-LAW",AG39="นิติศาสตร์",OR(K39="M2",K39="K4"),T39="",Z39=""),EDATE(P39,12*2),AND(AH39="K5-LAW",AG39="นิติศาสตร์",OR(Z39="M2",Z39="K4"),AC39&gt;=2,OR(AB39&lt;V39,AB39&lt;P39)),EDATE(AB39,12*2),AND(AH39="K5-LAW",AG39="นิติศาสตร์",Z39="S1",AC39&gt;=1,OR(AB39&lt;V39,AB39&lt;P39)),EDATE(AB39,12),AND(AH39="K5-LAW",AG39="นิติศาสตร์",OR(T39="M2",T39="K4"),W39&gt;=2,V39&lt;P39),EDATE(V39,12*2),AND(AH39="K5-LAW",AG39="นิติศาสตร์",T39="S1",W39&gt;=1,V39&lt;P39),EDATE(V39,12),AND(AH39="K5-LAW",AG39="นิติศาสตร์",OR(T39="S2",T39="K5")),V39,AND(AH39="K5-LAW",AG39="นิติศาสตร์",OR(K39="M2",K39="K4"),Q39&gt;=2),EDATE(P39,12*2),AND(AH39="K5-LAW",AG39="นิติศาสตร์",K39="S1",Q39&gt;=1),EDATE(P39,12),AND(AH39="K5-LAW",AG39="นิติศาสตร์",OR(K39="S2",K39="K5")),P39,AND(AH39="K5-POLICY",AG39&lt;&gt;"นิติศาสตร์",K39="S2",T39="",Z39=""),P39,AND(AH39="K5-POLICY",AG39&lt;&gt;"นิติศาสตร์",K39="S1",T39="",Z39=""),EDATE(P39,12),AND(AH39="K5-POLICY",AG39&lt;&gt;"นิติศาสตร์",OR(K39="M2",K39="K4"),T39="",Z39=""),EDATE(P39,12*2),AND(AH39="K5-POLICY",AG39&lt;&gt;"นิติศาสตร์",OR(Z39="M2",Z39="K4"),AC39&gt;=2,OR(AB39&lt;V39,AB39&lt;P39)),EDATE(AB39,12*2),AND(AH39="K5-POLICY",AG39&lt;&gt;"นิติศาสตร์",Z39="S1",AC39&gt;=1,OR(AB39&lt;V39,AB39&lt;P39)),EDATE(AB39,12),AND(AH39="K5-POLICY",AG39&lt;&gt;"นิติศาสตร์",OR(T39="M2",T39="K4"),W39&gt;=2,V39&lt;P39),EDATE(V39,12*2),AND(AH39="K5-POLICY",AG39&lt;&gt;"นิติศาสตร์",T39="S1",W39&gt;=1,V39&lt;P39),EDATE(V39,12),AND(AH39="K5-POLICY",AG39&lt;&gt;"นิติศาสตร์",OR(T39="S2",T39="K5")),V39,AND(AH39="K5-POLICY",AG39&lt;&gt;"นิติศาสตร์",OR(K39="M2",K39="K4"),Q39&gt;=2),EDATE(P39,12*2),AND(AH39="K5-POLICY",AG39&lt;&gt;"นิติศาสตร์",K39="S1",Q39&gt;=1),EDATE(P39,12),AND(AH39="K5-POLICY",AG39&lt;&gt;"นิติศาสตร์",OR(K39="S2",K39="K5")),P39,TRUE,"Check Data")</f>
        <v/>
      </c>
      <c r="AJ39" s="75" t="str">
        <f t="shared" si="24"/>
        <v>Check Data</v>
      </c>
      <c r="AK39" s="76" t="str">
        <f t="shared" si="25"/>
        <v>Check Data</v>
      </c>
      <c r="AL39" s="50" t="str">
        <f t="shared" si="26"/>
        <v>Check Data</v>
      </c>
      <c r="AM39" s="49" t="str">
        <f>IF(B39="","",IF(K39="S1","S1",INDEX(#REF!,#REF!)))</f>
        <v/>
      </c>
      <c r="AN39" s="49" t="str">
        <f t="shared" si="27"/>
        <v>M2</v>
      </c>
      <c r="AO39" s="50" t="b">
        <f>K39=AM39</f>
        <v>0</v>
      </c>
      <c r="AP39" s="50"/>
    </row>
    <row r="40" spans="1:42" ht="21.75">
      <c r="A40" s="49">
        <v>38</v>
      </c>
      <c r="B40" s="50"/>
      <c r="C40" s="50"/>
      <c r="D40" s="50" t="s">
        <v>140</v>
      </c>
      <c r="E40" s="49" t="s">
        <v>162</v>
      </c>
      <c r="F40" s="49" t="str">
        <f t="shared" si="14"/>
        <v>03/04/1989</v>
      </c>
      <c r="G40" s="50">
        <f t="shared" si="15"/>
        <v>36</v>
      </c>
      <c r="H40" s="50">
        <f t="shared" si="16"/>
        <v>2</v>
      </c>
      <c r="I40" s="50">
        <f t="shared" si="17"/>
        <v>17</v>
      </c>
      <c r="J40" s="57"/>
      <c r="K40" s="49" t="s">
        <v>136</v>
      </c>
      <c r="L40" s="64"/>
      <c r="M40" s="49" t="s">
        <v>425</v>
      </c>
      <c r="N40" s="49">
        <v>2570</v>
      </c>
      <c r="O40" s="65" t="s">
        <v>238</v>
      </c>
      <c r="P40" s="49" t="str">
        <f t="shared" si="18"/>
        <v>19/11/2021</v>
      </c>
      <c r="Q40" s="68">
        <f>IF(P40="",0,DATEDIF(P40,$C$1,"Y"))</f>
        <v>3</v>
      </c>
      <c r="R40" s="68">
        <f>IF(P40="",0,DATEDIF(P40,$C$1,"YM"))</f>
        <v>7</v>
      </c>
      <c r="S40" s="68">
        <f>IF(P40="",0,DATEDIF(P40,$C$1,"MD"))</f>
        <v>1</v>
      </c>
      <c r="T40" s="65"/>
      <c r="U40" s="65"/>
      <c r="V40" s="49" t="str">
        <f t="shared" si="19"/>
        <v/>
      </c>
      <c r="W40" s="68">
        <f>IF(V40="",0,DATEDIF(V40,P40,"Y"))</f>
        <v>0</v>
      </c>
      <c r="X40" s="68">
        <f>IF(V40="",0,DATEDIF(V40,P40,"YM"))</f>
        <v>0</v>
      </c>
      <c r="Y40" s="68">
        <f>IF(V40="",0,DATEDIF(V40,P40,"MD"))</f>
        <v>0</v>
      </c>
      <c r="Z40" s="49"/>
      <c r="AA40" s="65"/>
      <c r="AB40" s="50" t="str">
        <f t="shared" si="20"/>
        <v/>
      </c>
      <c r="AC40" s="68">
        <f t="shared" si="21"/>
        <v>0</v>
      </c>
      <c r="AD40" s="68">
        <f t="shared" si="22"/>
        <v>0</v>
      </c>
      <c r="AE40" s="68">
        <f t="shared" si="23"/>
        <v>0</v>
      </c>
      <c r="AF40" s="50"/>
      <c r="AG40" s="50" t="s">
        <v>138</v>
      </c>
      <c r="AH40" s="49" t="str">
        <f>IF(AG40="นิติศาสตร์","K5-LAW","K5-POLICY")</f>
        <v>K5-LAW</v>
      </c>
      <c r="AI40" s="72" t="str">
        <f>_xlfn.IFS(B40="","",AND(AH40="K5-LAW",AG40="นิติศาสตร์",K40="S2",T40="",Z40=""),P40,AND(AH40="K5-LAW",AG40="นิติศาสตร์",K40="S1",T40="",Z40=""),EDATE(P40,12),AND(AH40="K5-LAW",AG40="นิติศาสตร์",OR(K40="M2",K40="K4"),T40="",Z40=""),EDATE(P40,12*2),AND(AH40="K5-LAW",AG40="นิติศาสตร์",OR(Z40="M2",Z40="K4"),AC40&gt;=2,OR(AB40&lt;V40,AB40&lt;P40)),EDATE(AB40,12*2),AND(AH40="K5-LAW",AG40="นิติศาสตร์",Z40="S1",AC40&gt;=1,OR(AB40&lt;V40,AB40&lt;P40)),EDATE(AB40,12),AND(AH40="K5-LAW",AG40="นิติศาสตร์",OR(T40="M2",T40="K4"),W40&gt;=2,V40&lt;P40),EDATE(V40,12*2),AND(AH40="K5-LAW",AG40="นิติศาสตร์",T40="S1",W40&gt;=1,V40&lt;P40),EDATE(V40,12),AND(AH40="K5-LAW",AG40="นิติศาสตร์",OR(T40="S2",T40="K5")),V40,AND(AH40="K5-LAW",AG40="นิติศาสตร์",OR(K40="M2",K40="K4"),Q40&gt;=2),EDATE(P40,12*2),AND(AH40="K5-LAW",AG40="นิติศาสตร์",K40="S1",Q40&gt;=1),EDATE(P40,12),AND(AH40="K5-LAW",AG40="นิติศาสตร์",OR(K40="S2",K40="K5")),P40,AND(AH40="K5-POLICY",AG40&lt;&gt;"นิติศาสตร์",K40="S2",T40="",Z40=""),P40,AND(AH40="K5-POLICY",AG40&lt;&gt;"นิติศาสตร์",K40="S1",T40="",Z40=""),EDATE(P40,12),AND(AH40="K5-POLICY",AG40&lt;&gt;"นิติศาสตร์",OR(K40="M2",K40="K4"),T40="",Z40=""),EDATE(P40,12*2),AND(AH40="K5-POLICY",AG40&lt;&gt;"นิติศาสตร์",OR(Z40="M2",Z40="K4"),AC40&gt;=2,OR(AB40&lt;V40,AB40&lt;P40)),EDATE(AB40,12*2),AND(AH40="K5-POLICY",AG40&lt;&gt;"นิติศาสตร์",Z40="S1",AC40&gt;=1,OR(AB40&lt;V40,AB40&lt;P40)),EDATE(AB40,12),AND(AH40="K5-POLICY",AG40&lt;&gt;"นิติศาสตร์",OR(T40="M2",T40="K4"),W40&gt;=2,V40&lt;P40),EDATE(V40,12*2),AND(AH40="K5-POLICY",AG40&lt;&gt;"นิติศาสตร์",T40="S1",W40&gt;=1,V40&lt;P40),EDATE(V40,12),AND(AH40="K5-POLICY",AG40&lt;&gt;"นิติศาสตร์",OR(T40="S2",T40="K5")),V40,AND(AH40="K5-POLICY",AG40&lt;&gt;"นิติศาสตร์",OR(K40="M2",K40="K4"),Q40&gt;=2),EDATE(P40,12*2),AND(AH40="K5-POLICY",AG40&lt;&gt;"นิติศาสตร์",K40="S1",Q40&gt;=1),EDATE(P40,12),AND(AH40="K5-POLICY",AG40&lt;&gt;"นิติศาสตร์",OR(K40="S2",K40="K5")),P40,TRUE,"Check Data")</f>
        <v/>
      </c>
      <c r="AJ40" s="75" t="str">
        <f t="shared" si="24"/>
        <v>Check Data</v>
      </c>
      <c r="AK40" s="76" t="str">
        <f t="shared" si="25"/>
        <v>Check Data</v>
      </c>
      <c r="AL40" s="50" t="str">
        <f t="shared" si="26"/>
        <v>Check Data</v>
      </c>
      <c r="AM40" s="49" t="str">
        <f>IF(B40="","",IF(K40="S1","S1",INDEX(#REF!,#REF!)))</f>
        <v/>
      </c>
      <c r="AN40" s="49" t="str">
        <f t="shared" si="27"/>
        <v>M2</v>
      </c>
      <c r="AO40" s="50" t="b">
        <f>K40=AM40</f>
        <v>0</v>
      </c>
      <c r="AP40" s="50"/>
    </row>
    <row r="41" spans="1:42" ht="21.75">
      <c r="A41" s="49">
        <v>39</v>
      </c>
      <c r="B41" s="50"/>
      <c r="C41" s="50"/>
      <c r="D41" s="50" t="s">
        <v>142</v>
      </c>
      <c r="E41" s="49" t="s">
        <v>275</v>
      </c>
      <c r="F41" s="49" t="str">
        <f t="shared" si="14"/>
        <v>21/06/1993</v>
      </c>
      <c r="G41" s="50">
        <f t="shared" si="15"/>
        <v>31</v>
      </c>
      <c r="H41" s="50">
        <f t="shared" si="16"/>
        <v>11</v>
      </c>
      <c r="I41" s="50">
        <f t="shared" si="17"/>
        <v>30</v>
      </c>
      <c r="J41" s="58"/>
      <c r="K41" s="49" t="s">
        <v>136</v>
      </c>
      <c r="L41" s="64"/>
      <c r="M41" s="49" t="s">
        <v>427</v>
      </c>
      <c r="N41" s="49">
        <v>2569</v>
      </c>
      <c r="O41" s="65" t="s">
        <v>276</v>
      </c>
      <c r="P41" s="49" t="str">
        <f t="shared" si="18"/>
        <v>03/12/2021</v>
      </c>
      <c r="Q41" s="68">
        <f>IF(P41="",0,DATEDIF(P41,$C$1,"Y"))</f>
        <v>3</v>
      </c>
      <c r="R41" s="68">
        <f>IF(P41="",0,DATEDIF(P41,$C$1,"YM"))</f>
        <v>6</v>
      </c>
      <c r="S41" s="68">
        <f>IF(P41="",0,DATEDIF(P41,$C$1,"MD"))</f>
        <v>17</v>
      </c>
      <c r="T41" s="65"/>
      <c r="U41" s="65"/>
      <c r="V41" s="49" t="str">
        <f t="shared" si="19"/>
        <v/>
      </c>
      <c r="W41" s="68">
        <f>IF(V41="",0,DATEDIF(V41,P41,"Y"))</f>
        <v>0</v>
      </c>
      <c r="X41" s="68">
        <f>IF(V41="",0,DATEDIF(V41,P41,"YM"))</f>
        <v>0</v>
      </c>
      <c r="Y41" s="68">
        <f>IF(V41="",0,DATEDIF(V41,P41,"MD"))</f>
        <v>0</v>
      </c>
      <c r="Z41" s="49"/>
      <c r="AA41" s="65"/>
      <c r="AB41" s="50" t="str">
        <f t="shared" si="20"/>
        <v/>
      </c>
      <c r="AC41" s="68">
        <f t="shared" si="21"/>
        <v>0</v>
      </c>
      <c r="AD41" s="68">
        <f t="shared" si="22"/>
        <v>0</v>
      </c>
      <c r="AE41" s="68">
        <f t="shared" si="23"/>
        <v>0</v>
      </c>
      <c r="AF41" s="50"/>
      <c r="AG41" s="50" t="s">
        <v>138</v>
      </c>
      <c r="AH41" s="49" t="str">
        <f>IF(AG41="นิติศาสตร์","K5-LAW","K5-POLICY")</f>
        <v>K5-LAW</v>
      </c>
      <c r="AI41" s="72" t="str">
        <f>_xlfn.IFS(B41="","",AND(AH41="K5-LAW",AG41="นิติศาสตร์",K41="S2",T41="",Z41=""),P41,AND(AH41="K5-LAW",AG41="นิติศาสตร์",K41="S1",T41="",Z41=""),EDATE(P41,12),AND(AH41="K5-LAW",AG41="นิติศาสตร์",OR(K41="M2",K41="K4"),T41="",Z41=""),EDATE(P41,12*2),AND(AH41="K5-LAW",AG41="นิติศาสตร์",OR(Z41="M2",Z41="K4"),AC41&gt;=2,OR(AB41&lt;V41,AB41&lt;P41)),EDATE(AB41,12*2),AND(AH41="K5-LAW",AG41="นิติศาสตร์",Z41="S1",AC41&gt;=1,OR(AB41&lt;V41,AB41&lt;P41)),EDATE(AB41,12),AND(AH41="K5-LAW",AG41="นิติศาสตร์",OR(T41="M2",T41="K4"),W41&gt;=2,V41&lt;P41),EDATE(V41,12*2),AND(AH41="K5-LAW",AG41="นิติศาสตร์",T41="S1",W41&gt;=1,V41&lt;P41),EDATE(V41,12),AND(AH41="K5-LAW",AG41="นิติศาสตร์",OR(T41="S2",T41="K5")),V41,AND(AH41="K5-LAW",AG41="นิติศาสตร์",OR(K41="M2",K41="K4"),Q41&gt;=2),EDATE(P41,12*2),AND(AH41="K5-LAW",AG41="นิติศาสตร์",K41="S1",Q41&gt;=1),EDATE(P41,12),AND(AH41="K5-LAW",AG41="นิติศาสตร์",OR(K41="S2",K41="K5")),P41,AND(AH41="K5-POLICY",AG41&lt;&gt;"นิติศาสตร์",K41="S2",T41="",Z41=""),P41,AND(AH41="K5-POLICY",AG41&lt;&gt;"นิติศาสตร์",K41="S1",T41="",Z41=""),EDATE(P41,12),AND(AH41="K5-POLICY",AG41&lt;&gt;"นิติศาสตร์",OR(K41="M2",K41="K4"),T41="",Z41=""),EDATE(P41,12*2),AND(AH41="K5-POLICY",AG41&lt;&gt;"นิติศาสตร์",OR(Z41="M2",Z41="K4"),AC41&gt;=2,OR(AB41&lt;V41,AB41&lt;P41)),EDATE(AB41,12*2),AND(AH41="K5-POLICY",AG41&lt;&gt;"นิติศาสตร์",Z41="S1",AC41&gt;=1,OR(AB41&lt;V41,AB41&lt;P41)),EDATE(AB41,12),AND(AH41="K5-POLICY",AG41&lt;&gt;"นิติศาสตร์",OR(T41="M2",T41="K4"),W41&gt;=2,V41&lt;P41),EDATE(V41,12*2),AND(AH41="K5-POLICY",AG41&lt;&gt;"นิติศาสตร์",T41="S1",W41&gt;=1,V41&lt;P41),EDATE(V41,12),AND(AH41="K5-POLICY",AG41&lt;&gt;"นิติศาสตร์",OR(T41="S2",T41="K5")),V41,AND(AH41="K5-POLICY",AG41&lt;&gt;"นิติศาสตร์",OR(K41="M2",K41="K4"),Q41&gt;=2),EDATE(P41,12*2),AND(AH41="K5-POLICY",AG41&lt;&gt;"นิติศาสตร์",K41="S1",Q41&gt;=1),EDATE(P41,12),AND(AH41="K5-POLICY",AG41&lt;&gt;"นิติศาสตร์",OR(K41="S2",K41="K5")),P41,TRUE,"Check Data")</f>
        <v/>
      </c>
      <c r="AJ41" s="75" t="str">
        <f t="shared" si="24"/>
        <v>Check Data</v>
      </c>
      <c r="AK41" s="76" t="str">
        <f t="shared" si="25"/>
        <v>Check Data</v>
      </c>
      <c r="AL41" s="50" t="str">
        <f t="shared" si="26"/>
        <v>Check Data</v>
      </c>
      <c r="AM41" s="49" t="str">
        <f>IF(B41="","",IF(K41="S1","S1",INDEX(#REF!,#REF!)))</f>
        <v/>
      </c>
      <c r="AN41" s="49" t="str">
        <f t="shared" si="27"/>
        <v>M2</v>
      </c>
      <c r="AO41" s="50" t="b">
        <f>K41=AM41</f>
        <v>0</v>
      </c>
      <c r="AP41" s="50"/>
    </row>
    <row r="42" spans="1:42" ht="21.75">
      <c r="A42" s="49">
        <v>40</v>
      </c>
      <c r="B42" s="50"/>
      <c r="C42" s="50"/>
      <c r="D42" s="50" t="s">
        <v>142</v>
      </c>
      <c r="E42" s="49" t="s">
        <v>277</v>
      </c>
      <c r="F42" s="49" t="str">
        <f t="shared" si="14"/>
        <v>15/09/1997</v>
      </c>
      <c r="G42" s="50">
        <f t="shared" si="15"/>
        <v>27</v>
      </c>
      <c r="H42" s="50">
        <f t="shared" si="16"/>
        <v>9</v>
      </c>
      <c r="I42" s="50">
        <f t="shared" si="17"/>
        <v>5</v>
      </c>
      <c r="J42" s="58"/>
      <c r="K42" s="49" t="s">
        <v>136</v>
      </c>
      <c r="L42" s="64"/>
      <c r="M42" s="49" t="s">
        <v>427</v>
      </c>
      <c r="N42" s="49">
        <v>2573</v>
      </c>
      <c r="O42" s="65" t="s">
        <v>276</v>
      </c>
      <c r="P42" s="49" t="str">
        <f t="shared" si="18"/>
        <v>03/12/2021</v>
      </c>
      <c r="Q42" s="68">
        <f>IF(P42="",0,DATEDIF(P42,$C$1,"Y"))</f>
        <v>3</v>
      </c>
      <c r="R42" s="68">
        <f>IF(P42="",0,DATEDIF(P42,$C$1,"YM"))</f>
        <v>6</v>
      </c>
      <c r="S42" s="68">
        <f>IF(P42="",0,DATEDIF(P42,$C$1,"MD"))</f>
        <v>17</v>
      </c>
      <c r="T42" s="65"/>
      <c r="U42" s="65"/>
      <c r="V42" s="49" t="str">
        <f t="shared" si="19"/>
        <v/>
      </c>
      <c r="W42" s="68">
        <f>IF(V42="",0,DATEDIF(V42,P42,"Y"))</f>
        <v>0</v>
      </c>
      <c r="X42" s="68">
        <f>IF(V42="",0,DATEDIF(V42,P42,"YM"))</f>
        <v>0</v>
      </c>
      <c r="Y42" s="68">
        <f>IF(V42="",0,DATEDIF(V42,P42,"MD"))</f>
        <v>0</v>
      </c>
      <c r="Z42" s="49"/>
      <c r="AA42" s="65"/>
      <c r="AB42" s="50" t="str">
        <f t="shared" si="20"/>
        <v/>
      </c>
      <c r="AC42" s="68">
        <f t="shared" si="21"/>
        <v>0</v>
      </c>
      <c r="AD42" s="68">
        <f t="shared" si="22"/>
        <v>0</v>
      </c>
      <c r="AE42" s="68">
        <f t="shared" si="23"/>
        <v>0</v>
      </c>
      <c r="AF42" s="50"/>
      <c r="AG42" s="50" t="s">
        <v>138</v>
      </c>
      <c r="AH42" s="49" t="str">
        <f>IF(AG42="นิติศาสตร์","K5-LAW","K5-POLICY")</f>
        <v>K5-LAW</v>
      </c>
      <c r="AI42" s="72" t="str">
        <f>_xlfn.IFS(B42="","",AND(AH42="K5-LAW",AG42="นิติศาสตร์",K42="S2",T42="",Z42=""),P42,AND(AH42="K5-LAW",AG42="นิติศาสตร์",K42="S1",T42="",Z42=""),EDATE(P42,12),AND(AH42="K5-LAW",AG42="นิติศาสตร์",OR(K42="M2",K42="K4"),T42="",Z42=""),EDATE(P42,12*2),AND(AH42="K5-LAW",AG42="นิติศาสตร์",OR(Z42="M2",Z42="K4"),AC42&gt;=2,OR(AB42&lt;V42,AB42&lt;P42)),EDATE(AB42,12*2),AND(AH42="K5-LAW",AG42="นิติศาสตร์",Z42="S1",AC42&gt;=1,OR(AB42&lt;V42,AB42&lt;P42)),EDATE(AB42,12),AND(AH42="K5-LAW",AG42="นิติศาสตร์",OR(T42="M2",T42="K4"),W42&gt;=2,V42&lt;P42),EDATE(V42,12*2),AND(AH42="K5-LAW",AG42="นิติศาสตร์",T42="S1",W42&gt;=1,V42&lt;P42),EDATE(V42,12),AND(AH42="K5-LAW",AG42="นิติศาสตร์",OR(T42="S2",T42="K5")),V42,AND(AH42="K5-LAW",AG42="นิติศาสตร์",OR(K42="M2",K42="K4"),Q42&gt;=2),EDATE(P42,12*2),AND(AH42="K5-LAW",AG42="นิติศาสตร์",K42="S1",Q42&gt;=1),EDATE(P42,12),AND(AH42="K5-LAW",AG42="นิติศาสตร์",OR(K42="S2",K42="K5")),P42,AND(AH42="K5-POLICY",AG42&lt;&gt;"นิติศาสตร์",K42="S2",T42="",Z42=""),P42,AND(AH42="K5-POLICY",AG42&lt;&gt;"นิติศาสตร์",K42="S1",T42="",Z42=""),EDATE(P42,12),AND(AH42="K5-POLICY",AG42&lt;&gt;"นิติศาสตร์",OR(K42="M2",K42="K4"),T42="",Z42=""),EDATE(P42,12*2),AND(AH42="K5-POLICY",AG42&lt;&gt;"นิติศาสตร์",OR(Z42="M2",Z42="K4"),AC42&gt;=2,OR(AB42&lt;V42,AB42&lt;P42)),EDATE(AB42,12*2),AND(AH42="K5-POLICY",AG42&lt;&gt;"นิติศาสตร์",Z42="S1",AC42&gt;=1,OR(AB42&lt;V42,AB42&lt;P42)),EDATE(AB42,12),AND(AH42="K5-POLICY",AG42&lt;&gt;"นิติศาสตร์",OR(T42="M2",T42="K4"),W42&gt;=2,V42&lt;P42),EDATE(V42,12*2),AND(AH42="K5-POLICY",AG42&lt;&gt;"นิติศาสตร์",T42="S1",W42&gt;=1,V42&lt;P42),EDATE(V42,12),AND(AH42="K5-POLICY",AG42&lt;&gt;"นิติศาสตร์",OR(T42="S2",T42="K5")),V42,AND(AH42="K5-POLICY",AG42&lt;&gt;"นิติศาสตร์",OR(K42="M2",K42="K4"),Q42&gt;=2),EDATE(P42,12*2),AND(AH42="K5-POLICY",AG42&lt;&gt;"นิติศาสตร์",K42="S1",Q42&gt;=1),EDATE(P42,12),AND(AH42="K5-POLICY",AG42&lt;&gt;"นิติศาสตร์",OR(K42="S2",K42="K5")),P42,TRUE,"Check Data")</f>
        <v/>
      </c>
      <c r="AJ42" s="75" t="str">
        <f t="shared" si="24"/>
        <v>Check Data</v>
      </c>
      <c r="AK42" s="76" t="str">
        <f t="shared" si="25"/>
        <v>Check Data</v>
      </c>
      <c r="AL42" s="50" t="str">
        <f t="shared" si="26"/>
        <v>Check Data</v>
      </c>
      <c r="AM42" s="49" t="str">
        <f>IF(B42="","",IF(K42="S1","S1",INDEX(#REF!,#REF!)))</f>
        <v/>
      </c>
      <c r="AN42" s="49" t="str">
        <f t="shared" si="27"/>
        <v>M2</v>
      </c>
      <c r="AO42" s="50" t="b">
        <f>K42=AM42</f>
        <v>0</v>
      </c>
      <c r="AP42" s="50"/>
    </row>
    <row r="43" spans="1:42" ht="21.75">
      <c r="A43" s="49">
        <v>41</v>
      </c>
      <c r="B43" s="50"/>
      <c r="C43" s="50"/>
      <c r="D43" s="50" t="s">
        <v>144</v>
      </c>
      <c r="E43" s="49" t="s">
        <v>377</v>
      </c>
      <c r="F43" s="49" t="str">
        <f t="shared" si="14"/>
        <v>01/10/1993</v>
      </c>
      <c r="G43" s="50">
        <f t="shared" si="15"/>
        <v>31</v>
      </c>
      <c r="H43" s="50">
        <f t="shared" si="16"/>
        <v>8</v>
      </c>
      <c r="I43" s="50">
        <f t="shared" si="17"/>
        <v>19</v>
      </c>
      <c r="J43" s="57"/>
      <c r="K43" s="49" t="s">
        <v>136</v>
      </c>
      <c r="L43" s="64"/>
      <c r="M43" s="49" t="s">
        <v>427</v>
      </c>
      <c r="N43" s="49">
        <v>2568</v>
      </c>
      <c r="O43" s="65" t="s">
        <v>383</v>
      </c>
      <c r="P43" s="49" t="str">
        <f t="shared" si="18"/>
        <v>17/12/2021</v>
      </c>
      <c r="Q43" s="68">
        <f>IF(P43="",0,DATEDIF(P43,$C$1,"Y"))</f>
        <v>3</v>
      </c>
      <c r="R43" s="68">
        <f>IF(P43="",0,DATEDIF(P43,$C$1,"YM"))</f>
        <v>6</v>
      </c>
      <c r="S43" s="68">
        <f>IF(P43="",0,DATEDIF(P43,$C$1,"MD"))</f>
        <v>3</v>
      </c>
      <c r="T43" s="65"/>
      <c r="U43" s="65"/>
      <c r="V43" s="49" t="str">
        <f t="shared" si="19"/>
        <v/>
      </c>
      <c r="W43" s="68">
        <f>IF(V43="",0,DATEDIF(V43,P43,"Y"))</f>
        <v>0</v>
      </c>
      <c r="X43" s="68">
        <f>IF(V43="",0,DATEDIF(V43,P43,"YM"))</f>
        <v>0</v>
      </c>
      <c r="Y43" s="68">
        <f>IF(V43="",0,DATEDIF(V43,P43,"MD"))</f>
        <v>0</v>
      </c>
      <c r="Z43" s="49"/>
      <c r="AA43" s="65"/>
      <c r="AB43" s="50" t="str">
        <f t="shared" si="20"/>
        <v/>
      </c>
      <c r="AC43" s="68">
        <f t="shared" si="21"/>
        <v>0</v>
      </c>
      <c r="AD43" s="68">
        <f t="shared" si="22"/>
        <v>0</v>
      </c>
      <c r="AE43" s="68">
        <f t="shared" si="23"/>
        <v>0</v>
      </c>
      <c r="AF43" s="50"/>
      <c r="AG43" s="50" t="s">
        <v>138</v>
      </c>
      <c r="AH43" s="49" t="str">
        <f>IF(AG43="นิติศาสตร์","K5-LAW","K5-POLICY")</f>
        <v>K5-LAW</v>
      </c>
      <c r="AI43" s="72" t="str">
        <f>_xlfn.IFS(B43="","",AND(AH43="K5-LAW",AG43="นิติศาสตร์",K43="S2",T43="",Z43=""),P43,AND(AH43="K5-LAW",AG43="นิติศาสตร์",K43="S1",T43="",Z43=""),EDATE(P43,12),AND(AH43="K5-LAW",AG43="นิติศาสตร์",OR(K43="M2",K43="K4"),T43="",Z43=""),EDATE(P43,12*2),AND(AH43="K5-LAW",AG43="นิติศาสตร์",OR(Z43="M2",Z43="K4"),AC43&gt;=2,OR(AB43&lt;V43,AB43&lt;P43)),EDATE(AB43,12*2),AND(AH43="K5-LAW",AG43="นิติศาสตร์",Z43="S1",AC43&gt;=1,OR(AB43&lt;V43,AB43&lt;P43)),EDATE(AB43,12),AND(AH43="K5-LAW",AG43="นิติศาสตร์",OR(T43="M2",T43="K4"),W43&gt;=2,V43&lt;P43),EDATE(V43,12*2),AND(AH43="K5-LAW",AG43="นิติศาสตร์",T43="S1",W43&gt;=1,V43&lt;P43),EDATE(V43,12),AND(AH43="K5-LAW",AG43="นิติศาสตร์",OR(T43="S2",T43="K5")),V43,AND(AH43="K5-LAW",AG43="นิติศาสตร์",OR(K43="M2",K43="K4"),Q43&gt;=2),EDATE(P43,12*2),AND(AH43="K5-LAW",AG43="นิติศาสตร์",K43="S1",Q43&gt;=1),EDATE(P43,12),AND(AH43="K5-LAW",AG43="นิติศาสตร์",OR(K43="S2",K43="K5")),P43,AND(AH43="K5-POLICY",AG43&lt;&gt;"นิติศาสตร์",K43="S2",T43="",Z43=""),P43,AND(AH43="K5-POLICY",AG43&lt;&gt;"นิติศาสตร์",K43="S1",T43="",Z43=""),EDATE(P43,12),AND(AH43="K5-POLICY",AG43&lt;&gt;"นิติศาสตร์",OR(K43="M2",K43="K4"),T43="",Z43=""),EDATE(P43,12*2),AND(AH43="K5-POLICY",AG43&lt;&gt;"นิติศาสตร์",OR(Z43="M2",Z43="K4"),AC43&gt;=2,OR(AB43&lt;V43,AB43&lt;P43)),EDATE(AB43,12*2),AND(AH43="K5-POLICY",AG43&lt;&gt;"นิติศาสตร์",Z43="S1",AC43&gt;=1,OR(AB43&lt;V43,AB43&lt;P43)),EDATE(AB43,12),AND(AH43="K5-POLICY",AG43&lt;&gt;"นิติศาสตร์",OR(T43="M2",T43="K4"),W43&gt;=2,V43&lt;P43),EDATE(V43,12*2),AND(AH43="K5-POLICY",AG43&lt;&gt;"นิติศาสตร์",T43="S1",W43&gt;=1,V43&lt;P43),EDATE(V43,12),AND(AH43="K5-POLICY",AG43&lt;&gt;"นิติศาสตร์",OR(T43="S2",T43="K5")),V43,AND(AH43="K5-POLICY",AG43&lt;&gt;"นิติศาสตร์",OR(K43="M2",K43="K4"),Q43&gt;=2),EDATE(P43,12*2),AND(AH43="K5-POLICY",AG43&lt;&gt;"นิติศาสตร์",K43="S1",Q43&gt;=1),EDATE(P43,12),AND(AH43="K5-POLICY",AG43&lt;&gt;"นิติศาสตร์",OR(K43="S2",K43="K5")),P43,TRUE,"Check Data")</f>
        <v/>
      </c>
      <c r="AJ43" s="75" t="str">
        <f t="shared" si="24"/>
        <v>Check Data</v>
      </c>
      <c r="AK43" s="76" t="str">
        <f t="shared" si="25"/>
        <v>Check Data</v>
      </c>
      <c r="AL43" s="50" t="str">
        <f t="shared" si="26"/>
        <v>Check Data</v>
      </c>
      <c r="AM43" s="49" t="str">
        <f>IF(B43="","",IF(K43="S1","S1",INDEX(#REF!,#REF!)))</f>
        <v/>
      </c>
      <c r="AN43" s="49" t="str">
        <f t="shared" si="27"/>
        <v>M2</v>
      </c>
      <c r="AO43" s="50" t="b">
        <f>K43=AM43</f>
        <v>0</v>
      </c>
      <c r="AP43" s="50"/>
    </row>
    <row r="44" spans="1:42" ht="21.75">
      <c r="A44" s="49">
        <v>42</v>
      </c>
      <c r="B44" s="50"/>
      <c r="C44" s="50"/>
      <c r="D44" s="50" t="s">
        <v>143</v>
      </c>
      <c r="E44" s="49" t="s">
        <v>338</v>
      </c>
      <c r="F44" s="49" t="str">
        <f t="shared" si="14"/>
        <v>14/07/2000</v>
      </c>
      <c r="G44" s="50">
        <f t="shared" si="15"/>
        <v>24</v>
      </c>
      <c r="H44" s="50">
        <f t="shared" si="16"/>
        <v>11</v>
      </c>
      <c r="I44" s="50">
        <f t="shared" si="17"/>
        <v>6</v>
      </c>
      <c r="J44" s="59"/>
      <c r="K44" s="49" t="s">
        <v>136</v>
      </c>
      <c r="L44" s="64"/>
      <c r="M44" s="49" t="s">
        <v>427</v>
      </c>
      <c r="N44" s="49">
        <v>2574</v>
      </c>
      <c r="O44" s="65" t="s">
        <v>339</v>
      </c>
      <c r="P44" s="49" t="str">
        <f t="shared" si="18"/>
        <v>25/03/2022</v>
      </c>
      <c r="Q44" s="68">
        <f>IF(P44="",0,DATEDIF(P44,$C$1,"Y"))</f>
        <v>3</v>
      </c>
      <c r="R44" s="68">
        <f>IF(P44="",0,DATEDIF(P44,$C$1,"YM"))</f>
        <v>2</v>
      </c>
      <c r="S44" s="68">
        <f>IF(P44="",0,DATEDIF(P44,$C$1,"MD"))</f>
        <v>26</v>
      </c>
      <c r="T44" s="65"/>
      <c r="U44" s="65"/>
      <c r="V44" s="49" t="str">
        <f t="shared" si="19"/>
        <v/>
      </c>
      <c r="W44" s="68">
        <f>IF(V44="",0,DATEDIF(V44,P44,"Y"))</f>
        <v>0</v>
      </c>
      <c r="X44" s="68">
        <f>IF(V44="",0,DATEDIF(V44,P44,"YM"))</f>
        <v>0</v>
      </c>
      <c r="Y44" s="68">
        <f>IF(V44="",0,DATEDIF(V44,P44,"MD"))</f>
        <v>0</v>
      </c>
      <c r="Z44" s="49"/>
      <c r="AA44" s="65"/>
      <c r="AB44" s="50" t="str">
        <f t="shared" si="20"/>
        <v/>
      </c>
      <c r="AC44" s="68">
        <f t="shared" si="21"/>
        <v>0</v>
      </c>
      <c r="AD44" s="68">
        <f t="shared" si="22"/>
        <v>0</v>
      </c>
      <c r="AE44" s="68">
        <f t="shared" si="23"/>
        <v>0</v>
      </c>
      <c r="AF44" s="50"/>
      <c r="AG44" s="50" t="s">
        <v>138</v>
      </c>
      <c r="AH44" s="49" t="str">
        <f>IF(AG44="นิติศาสตร์","K5-LAW","K5-POLICY")</f>
        <v>K5-LAW</v>
      </c>
      <c r="AI44" s="72" t="str">
        <f>_xlfn.IFS(B44="","",AND(AH44="K5-LAW",AG44="นิติศาสตร์",K44="S2",T44="",Z44=""),P44,AND(AH44="K5-LAW",AG44="นิติศาสตร์",K44="S1",T44="",Z44=""),EDATE(P44,12),AND(AH44="K5-LAW",AG44="นิติศาสตร์",OR(K44="M2",K44="K4"),T44="",Z44=""),EDATE(P44,12*2),AND(AH44="K5-LAW",AG44="นิติศาสตร์",OR(Z44="M2",Z44="K4"),AC44&gt;=2,OR(AB44&lt;V44,AB44&lt;P44)),EDATE(AB44,12*2),AND(AH44="K5-LAW",AG44="นิติศาสตร์",Z44="S1",AC44&gt;=1,OR(AB44&lt;V44,AB44&lt;P44)),EDATE(AB44,12),AND(AH44="K5-LAW",AG44="นิติศาสตร์",OR(T44="M2",T44="K4"),W44&gt;=2,V44&lt;P44),EDATE(V44,12*2),AND(AH44="K5-LAW",AG44="นิติศาสตร์",T44="S1",W44&gt;=1,V44&lt;P44),EDATE(V44,12),AND(AH44="K5-LAW",AG44="นิติศาสตร์",OR(T44="S2",T44="K5")),V44,AND(AH44="K5-LAW",AG44="นิติศาสตร์",OR(K44="M2",K44="K4"),Q44&gt;=2),EDATE(P44,12*2),AND(AH44="K5-LAW",AG44="นิติศาสตร์",K44="S1",Q44&gt;=1),EDATE(P44,12),AND(AH44="K5-LAW",AG44="นิติศาสตร์",OR(K44="S2",K44="K5")),P44,AND(AH44="K5-POLICY",AG44&lt;&gt;"นิติศาสตร์",K44="S2",T44="",Z44=""),P44,AND(AH44="K5-POLICY",AG44&lt;&gt;"นิติศาสตร์",K44="S1",T44="",Z44=""),EDATE(P44,12),AND(AH44="K5-POLICY",AG44&lt;&gt;"นิติศาสตร์",OR(K44="M2",K44="K4"),T44="",Z44=""),EDATE(P44,12*2),AND(AH44="K5-POLICY",AG44&lt;&gt;"นิติศาสตร์",OR(Z44="M2",Z44="K4"),AC44&gt;=2,OR(AB44&lt;V44,AB44&lt;P44)),EDATE(AB44,12*2),AND(AH44="K5-POLICY",AG44&lt;&gt;"นิติศาสตร์",Z44="S1",AC44&gt;=1,OR(AB44&lt;V44,AB44&lt;P44)),EDATE(AB44,12),AND(AH44="K5-POLICY",AG44&lt;&gt;"นิติศาสตร์",OR(T44="M2",T44="K4"),W44&gt;=2,V44&lt;P44),EDATE(V44,12*2),AND(AH44="K5-POLICY",AG44&lt;&gt;"นิติศาสตร์",T44="S1",W44&gt;=1,V44&lt;P44),EDATE(V44,12),AND(AH44="K5-POLICY",AG44&lt;&gt;"นิติศาสตร์",OR(T44="S2",T44="K5")),V44,AND(AH44="K5-POLICY",AG44&lt;&gt;"นิติศาสตร์",OR(K44="M2",K44="K4"),Q44&gt;=2),EDATE(P44,12*2),AND(AH44="K5-POLICY",AG44&lt;&gt;"นิติศาสตร์",K44="S1",Q44&gt;=1),EDATE(P44,12),AND(AH44="K5-POLICY",AG44&lt;&gt;"นิติศาสตร์",OR(K44="S2",K44="K5")),P44,TRUE,"Check Data")</f>
        <v/>
      </c>
      <c r="AJ44" s="75" t="str">
        <f t="shared" si="24"/>
        <v>Check Data</v>
      </c>
      <c r="AK44" s="76" t="str">
        <f t="shared" si="25"/>
        <v>Check Data</v>
      </c>
      <c r="AL44" s="50" t="str">
        <f t="shared" si="26"/>
        <v>Check Data</v>
      </c>
      <c r="AM44" s="49" t="str">
        <f>IF(B44="","",IF(K44="S1","S1",INDEX(#REF!,#REF!)))</f>
        <v/>
      </c>
      <c r="AN44" s="49" t="str">
        <f t="shared" si="27"/>
        <v>M2</v>
      </c>
      <c r="AO44" s="50" t="b">
        <f>K44=AM44</f>
        <v>0</v>
      </c>
      <c r="AP44" s="50"/>
    </row>
    <row r="45" spans="1:42" ht="21.75">
      <c r="A45" s="49">
        <v>43</v>
      </c>
      <c r="B45" s="50"/>
      <c r="C45" s="50"/>
      <c r="D45" s="50" t="s">
        <v>34</v>
      </c>
      <c r="E45" s="49" t="s">
        <v>202</v>
      </c>
      <c r="F45" s="49" t="str">
        <f t="shared" si="14"/>
        <v>22/10/2001</v>
      </c>
      <c r="G45" s="50">
        <f t="shared" si="15"/>
        <v>23</v>
      </c>
      <c r="H45" s="50">
        <f t="shared" si="16"/>
        <v>7</v>
      </c>
      <c r="I45" s="50">
        <f t="shared" si="17"/>
        <v>29</v>
      </c>
      <c r="J45" s="58"/>
      <c r="K45" s="49" t="s">
        <v>136</v>
      </c>
      <c r="L45" s="64"/>
      <c r="M45" s="49" t="s">
        <v>427</v>
      </c>
      <c r="N45" s="49">
        <v>2582</v>
      </c>
      <c r="O45" s="65" t="s">
        <v>203</v>
      </c>
      <c r="P45" s="49" t="str">
        <f t="shared" si="18"/>
        <v>10/08/2022</v>
      </c>
      <c r="Q45" s="68">
        <f>IF(P45="",0,DATEDIF(P45,$C$1,"Y"))</f>
        <v>2</v>
      </c>
      <c r="R45" s="68">
        <f>IF(P45="",0,DATEDIF(P45,$C$1,"YM"))</f>
        <v>10</v>
      </c>
      <c r="S45" s="68">
        <f>IF(P45="",0,DATEDIF(P45,$C$1,"MD"))</f>
        <v>10</v>
      </c>
      <c r="T45" s="65"/>
      <c r="U45" s="65"/>
      <c r="V45" s="49" t="str">
        <f t="shared" si="19"/>
        <v/>
      </c>
      <c r="W45" s="68">
        <f>IF(V45="",0,DATEDIF(V45,P45,"Y"))</f>
        <v>0</v>
      </c>
      <c r="X45" s="68">
        <f>IF(V45="",0,DATEDIF(V45,P45,"YM"))</f>
        <v>0</v>
      </c>
      <c r="Y45" s="68">
        <f>IF(V45="",0,DATEDIF(V45,P45,"MD"))</f>
        <v>0</v>
      </c>
      <c r="Z45" s="49"/>
      <c r="AA45" s="65"/>
      <c r="AB45" s="50" t="str">
        <f t="shared" si="20"/>
        <v/>
      </c>
      <c r="AC45" s="68">
        <f t="shared" si="21"/>
        <v>0</v>
      </c>
      <c r="AD45" s="68">
        <f t="shared" si="22"/>
        <v>0</v>
      </c>
      <c r="AE45" s="68">
        <f t="shared" si="23"/>
        <v>0</v>
      </c>
      <c r="AF45" s="50"/>
      <c r="AG45" s="50" t="s">
        <v>138</v>
      </c>
      <c r="AH45" s="49" t="str">
        <f>IF(AG45="นิติศาสตร์","K5-LAW","K5-POLICY")</f>
        <v>K5-LAW</v>
      </c>
      <c r="AI45" s="72" t="str">
        <f>_xlfn.IFS(B45="","",AND(AH45="K5-LAW",AG45="นิติศาสตร์",K45="S2",T45="",Z45=""),P45,AND(AH45="K5-LAW",AG45="นิติศาสตร์",K45="S1",T45="",Z45=""),EDATE(P45,12),AND(AH45="K5-LAW",AG45="นิติศาสตร์",OR(K45="M2",K45="K4"),T45="",Z45=""),EDATE(P45,12*2),AND(AH45="K5-LAW",AG45="นิติศาสตร์",OR(Z45="M2",Z45="K4"),AC45&gt;=2,OR(AB45&lt;V45,AB45&lt;P45)),EDATE(AB45,12*2),AND(AH45="K5-LAW",AG45="นิติศาสตร์",Z45="S1",AC45&gt;=1,OR(AB45&lt;V45,AB45&lt;P45)),EDATE(AB45,12),AND(AH45="K5-LAW",AG45="นิติศาสตร์",OR(T45="M2",T45="K4"),W45&gt;=2,V45&lt;P45),EDATE(V45,12*2),AND(AH45="K5-LAW",AG45="นิติศาสตร์",T45="S1",W45&gt;=1,V45&lt;P45),EDATE(V45,12),AND(AH45="K5-LAW",AG45="นิติศาสตร์",OR(T45="S2",T45="K5")),V45,AND(AH45="K5-LAW",AG45="นิติศาสตร์",OR(K45="M2",K45="K4"),Q45&gt;=2),EDATE(P45,12*2),AND(AH45="K5-LAW",AG45="นิติศาสตร์",K45="S1",Q45&gt;=1),EDATE(P45,12),AND(AH45="K5-LAW",AG45="นิติศาสตร์",OR(K45="S2",K45="K5")),P45,AND(AH45="K5-POLICY",AG45&lt;&gt;"นิติศาสตร์",K45="S2",T45="",Z45=""),P45,AND(AH45="K5-POLICY",AG45&lt;&gt;"นิติศาสตร์",K45="S1",T45="",Z45=""),EDATE(P45,12),AND(AH45="K5-POLICY",AG45&lt;&gt;"นิติศาสตร์",OR(K45="M2",K45="K4"),T45="",Z45=""),EDATE(P45,12*2),AND(AH45="K5-POLICY",AG45&lt;&gt;"นิติศาสตร์",OR(Z45="M2",Z45="K4"),AC45&gt;=2,OR(AB45&lt;V45,AB45&lt;P45)),EDATE(AB45,12*2),AND(AH45="K5-POLICY",AG45&lt;&gt;"นิติศาสตร์",Z45="S1",AC45&gt;=1,OR(AB45&lt;V45,AB45&lt;P45)),EDATE(AB45,12),AND(AH45="K5-POLICY",AG45&lt;&gt;"นิติศาสตร์",OR(T45="M2",T45="K4"),W45&gt;=2,V45&lt;P45),EDATE(V45,12*2),AND(AH45="K5-POLICY",AG45&lt;&gt;"นิติศาสตร์",T45="S1",W45&gt;=1,V45&lt;P45),EDATE(V45,12),AND(AH45="K5-POLICY",AG45&lt;&gt;"นิติศาสตร์",OR(T45="S2",T45="K5")),V45,AND(AH45="K5-POLICY",AG45&lt;&gt;"นิติศาสตร์",OR(K45="M2",K45="K4"),Q45&gt;=2),EDATE(P45,12*2),AND(AH45="K5-POLICY",AG45&lt;&gt;"นิติศาสตร์",K45="S1",Q45&gt;=1),EDATE(P45,12),AND(AH45="K5-POLICY",AG45&lt;&gt;"นิติศาสตร์",OR(K45="S2",K45="K5")),P45,TRUE,"Check Data")</f>
        <v/>
      </c>
      <c r="AJ45" s="75" t="str">
        <f t="shared" si="24"/>
        <v>Check Data</v>
      </c>
      <c r="AK45" s="76" t="str">
        <f t="shared" si="25"/>
        <v>Check Data</v>
      </c>
      <c r="AL45" s="50" t="str">
        <f t="shared" si="26"/>
        <v>Check Data</v>
      </c>
      <c r="AM45" s="49" t="str">
        <f>IF(B45="","",IF(K45="S1","S1",INDEX(#REF!,#REF!)))</f>
        <v/>
      </c>
      <c r="AN45" s="49" t="str">
        <f t="shared" si="27"/>
        <v>M2</v>
      </c>
      <c r="AO45" s="50" t="b">
        <f>K45=AM45</f>
        <v>0</v>
      </c>
      <c r="AP45" s="50"/>
    </row>
    <row r="46" spans="1:42" ht="21.75">
      <c r="A46" s="49">
        <v>44</v>
      </c>
      <c r="B46" s="50"/>
      <c r="C46" s="50"/>
      <c r="D46" s="50" t="s">
        <v>143</v>
      </c>
      <c r="E46" s="49" t="s">
        <v>312</v>
      </c>
      <c r="F46" s="49" t="str">
        <f t="shared" si="14"/>
        <v>04/05/2000</v>
      </c>
      <c r="G46" s="50">
        <f t="shared" si="15"/>
        <v>25</v>
      </c>
      <c r="H46" s="50">
        <f t="shared" si="16"/>
        <v>1</v>
      </c>
      <c r="I46" s="50">
        <f t="shared" si="17"/>
        <v>16</v>
      </c>
      <c r="J46" s="59"/>
      <c r="K46" s="49" t="s">
        <v>136</v>
      </c>
      <c r="L46" s="64"/>
      <c r="M46" s="49" t="s">
        <v>427</v>
      </c>
      <c r="N46" s="49">
        <v>2577</v>
      </c>
      <c r="O46" s="65" t="s">
        <v>294</v>
      </c>
      <c r="P46" s="49" t="str">
        <f t="shared" si="18"/>
        <v>18/05/2023</v>
      </c>
      <c r="Q46" s="68">
        <f>IF(P46="",0,DATEDIF(P46,$C$1,"Y"))</f>
        <v>2</v>
      </c>
      <c r="R46" s="68">
        <f>IF(P46="",0,DATEDIF(P46,$C$1,"YM"))</f>
        <v>1</v>
      </c>
      <c r="S46" s="68">
        <f>IF(P46="",0,DATEDIF(P46,$C$1,"MD"))</f>
        <v>2</v>
      </c>
      <c r="T46" s="65"/>
      <c r="U46" s="65"/>
      <c r="V46" s="49" t="str">
        <f t="shared" si="19"/>
        <v/>
      </c>
      <c r="W46" s="68">
        <f>IF(V46="",0,DATEDIF(V46,P46,"Y"))</f>
        <v>0</v>
      </c>
      <c r="X46" s="68">
        <f>IF(V46="",0,DATEDIF(V46,P46,"YM"))</f>
        <v>0</v>
      </c>
      <c r="Y46" s="68">
        <f>IF(V46="",0,DATEDIF(V46,P46,"MD"))</f>
        <v>0</v>
      </c>
      <c r="Z46" s="49"/>
      <c r="AA46" s="65"/>
      <c r="AB46" s="50" t="str">
        <f t="shared" si="20"/>
        <v/>
      </c>
      <c r="AC46" s="68">
        <f t="shared" si="21"/>
        <v>0</v>
      </c>
      <c r="AD46" s="68">
        <f t="shared" si="22"/>
        <v>0</v>
      </c>
      <c r="AE46" s="68">
        <f t="shared" si="23"/>
        <v>0</v>
      </c>
      <c r="AF46" s="50"/>
      <c r="AG46" s="50" t="s">
        <v>138</v>
      </c>
      <c r="AH46" s="49" t="str">
        <f>IF(AG46="นิติศาสตร์","K5-LAW","K5-POLICY")</f>
        <v>K5-LAW</v>
      </c>
      <c r="AI46" s="72" t="str">
        <f>_xlfn.IFS(B46="","",AND(AH46="K5-LAW",AG46="นิติศาสตร์",K46="S2",T46="",Z46=""),P46,AND(AH46="K5-LAW",AG46="นิติศาสตร์",K46="S1",T46="",Z46=""),EDATE(P46,12),AND(AH46="K5-LAW",AG46="นิติศาสตร์",OR(K46="M2",K46="K4"),T46="",Z46=""),EDATE(P46,12*2),AND(AH46="K5-LAW",AG46="นิติศาสตร์",OR(Z46="M2",Z46="K4"),AC46&gt;=2,OR(AB46&lt;V46,AB46&lt;P46)),EDATE(AB46,12*2),AND(AH46="K5-LAW",AG46="นิติศาสตร์",Z46="S1",AC46&gt;=1,OR(AB46&lt;V46,AB46&lt;P46)),EDATE(AB46,12),AND(AH46="K5-LAW",AG46="นิติศาสตร์",OR(T46="M2",T46="K4"),W46&gt;=2,V46&lt;P46),EDATE(V46,12*2),AND(AH46="K5-LAW",AG46="นิติศาสตร์",T46="S1",W46&gt;=1,V46&lt;P46),EDATE(V46,12),AND(AH46="K5-LAW",AG46="นิติศาสตร์",OR(T46="S2",T46="K5")),V46,AND(AH46="K5-LAW",AG46="นิติศาสตร์",OR(K46="M2",K46="K4"),Q46&gt;=2),EDATE(P46,12*2),AND(AH46="K5-LAW",AG46="นิติศาสตร์",K46="S1",Q46&gt;=1),EDATE(P46,12),AND(AH46="K5-LAW",AG46="นิติศาสตร์",OR(K46="S2",K46="K5")),P46,AND(AH46="K5-POLICY",AG46&lt;&gt;"นิติศาสตร์",K46="S2",T46="",Z46=""),P46,AND(AH46="K5-POLICY",AG46&lt;&gt;"นิติศาสตร์",K46="S1",T46="",Z46=""),EDATE(P46,12),AND(AH46="K5-POLICY",AG46&lt;&gt;"นิติศาสตร์",OR(K46="M2",K46="K4"),T46="",Z46=""),EDATE(P46,12*2),AND(AH46="K5-POLICY",AG46&lt;&gt;"นิติศาสตร์",OR(Z46="M2",Z46="K4"),AC46&gt;=2,OR(AB46&lt;V46,AB46&lt;P46)),EDATE(AB46,12*2),AND(AH46="K5-POLICY",AG46&lt;&gt;"นิติศาสตร์",Z46="S1",AC46&gt;=1,OR(AB46&lt;V46,AB46&lt;P46)),EDATE(AB46,12),AND(AH46="K5-POLICY",AG46&lt;&gt;"นิติศาสตร์",OR(T46="M2",T46="K4"),W46&gt;=2,V46&lt;P46),EDATE(V46,12*2),AND(AH46="K5-POLICY",AG46&lt;&gt;"นิติศาสตร์",T46="S1",W46&gt;=1,V46&lt;P46),EDATE(V46,12),AND(AH46="K5-POLICY",AG46&lt;&gt;"นิติศาสตร์",OR(T46="S2",T46="K5")),V46,AND(AH46="K5-POLICY",AG46&lt;&gt;"นิติศาสตร์",OR(K46="M2",K46="K4"),Q46&gt;=2),EDATE(P46,12*2),AND(AH46="K5-POLICY",AG46&lt;&gt;"นิติศาสตร์",K46="S1",Q46&gt;=1),EDATE(P46,12),AND(AH46="K5-POLICY",AG46&lt;&gt;"นิติศาสตร์",OR(K46="S2",K46="K5")),P46,TRUE,"Check Data")</f>
        <v/>
      </c>
      <c r="AJ46" s="75" t="str">
        <f t="shared" si="24"/>
        <v>Check Data</v>
      </c>
      <c r="AK46" s="76" t="str">
        <f t="shared" si="25"/>
        <v>Check Data</v>
      </c>
      <c r="AL46" s="50" t="str">
        <f t="shared" si="26"/>
        <v>Check Data</v>
      </c>
      <c r="AM46" s="49" t="str">
        <f>IF(B46="","",IF(K46="S1","S1",INDEX(#REF!,#REF!)))</f>
        <v/>
      </c>
      <c r="AN46" s="49" t="str">
        <f t="shared" si="27"/>
        <v>M2</v>
      </c>
      <c r="AO46" s="50" t="b">
        <f>K46=AM46</f>
        <v>0</v>
      </c>
      <c r="AP46" s="50"/>
    </row>
    <row r="47" spans="1:42" ht="21.75">
      <c r="A47" s="49">
        <v>45</v>
      </c>
      <c r="B47" s="50"/>
      <c r="C47" s="50"/>
      <c r="D47" s="50" t="s">
        <v>143</v>
      </c>
      <c r="E47" s="49" t="s">
        <v>344</v>
      </c>
      <c r="F47" s="49" t="str">
        <f t="shared" si="14"/>
        <v>15/08/2001</v>
      </c>
      <c r="G47" s="50">
        <f t="shared" si="15"/>
        <v>23</v>
      </c>
      <c r="H47" s="50">
        <f t="shared" si="16"/>
        <v>10</v>
      </c>
      <c r="I47" s="50">
        <f t="shared" si="17"/>
        <v>5</v>
      </c>
      <c r="J47" s="59"/>
      <c r="K47" s="49" t="s">
        <v>136</v>
      </c>
      <c r="L47" s="64"/>
      <c r="M47" s="49" t="s">
        <v>427</v>
      </c>
      <c r="N47" s="49">
        <v>2578</v>
      </c>
      <c r="O47" s="65" t="s">
        <v>294</v>
      </c>
      <c r="P47" s="49" t="str">
        <f t="shared" si="18"/>
        <v>18/05/2023</v>
      </c>
      <c r="Q47" s="68">
        <f>IF(P47="",0,DATEDIF(P47,$C$1,"Y"))</f>
        <v>2</v>
      </c>
      <c r="R47" s="68">
        <f>IF(P47="",0,DATEDIF(P47,$C$1,"YM"))</f>
        <v>1</v>
      </c>
      <c r="S47" s="68">
        <f>IF(P47="",0,DATEDIF(P47,$C$1,"MD"))</f>
        <v>2</v>
      </c>
      <c r="T47" s="65"/>
      <c r="U47" s="65"/>
      <c r="V47" s="49" t="str">
        <f t="shared" si="19"/>
        <v/>
      </c>
      <c r="W47" s="68">
        <f>IF(V47="",0,DATEDIF(V47,P47,"Y"))</f>
        <v>0</v>
      </c>
      <c r="X47" s="68">
        <f>IF(V47="",0,DATEDIF(V47,P47,"YM"))</f>
        <v>0</v>
      </c>
      <c r="Y47" s="68">
        <f>IF(V47="",0,DATEDIF(V47,P47,"MD"))</f>
        <v>0</v>
      </c>
      <c r="Z47" s="49"/>
      <c r="AA47" s="65"/>
      <c r="AB47" s="50" t="str">
        <f t="shared" si="20"/>
        <v/>
      </c>
      <c r="AC47" s="68">
        <f t="shared" si="21"/>
        <v>0</v>
      </c>
      <c r="AD47" s="68">
        <f t="shared" si="22"/>
        <v>0</v>
      </c>
      <c r="AE47" s="68">
        <f t="shared" si="23"/>
        <v>0</v>
      </c>
      <c r="AF47" s="50"/>
      <c r="AG47" s="50" t="s">
        <v>138</v>
      </c>
      <c r="AH47" s="49" t="str">
        <f>IF(AG47="นิติศาสตร์","K5-LAW","K5-POLICY")</f>
        <v>K5-LAW</v>
      </c>
      <c r="AI47" s="72" t="str">
        <f>_xlfn.IFS(B47="","",AND(AH47="K5-LAW",AG47="นิติศาสตร์",K47="S2",T47="",Z47=""),P47,AND(AH47="K5-LAW",AG47="นิติศาสตร์",K47="S1",T47="",Z47=""),EDATE(P47,12),AND(AH47="K5-LAW",AG47="นิติศาสตร์",OR(K47="M2",K47="K4"),T47="",Z47=""),EDATE(P47,12*2),AND(AH47="K5-LAW",AG47="นิติศาสตร์",OR(Z47="M2",Z47="K4"),AC47&gt;=2,OR(AB47&lt;V47,AB47&lt;P47)),EDATE(AB47,12*2),AND(AH47="K5-LAW",AG47="นิติศาสตร์",Z47="S1",AC47&gt;=1,OR(AB47&lt;V47,AB47&lt;P47)),EDATE(AB47,12),AND(AH47="K5-LAW",AG47="นิติศาสตร์",OR(T47="M2",T47="K4"),W47&gt;=2,V47&lt;P47),EDATE(V47,12*2),AND(AH47="K5-LAW",AG47="นิติศาสตร์",T47="S1",W47&gt;=1,V47&lt;P47),EDATE(V47,12),AND(AH47="K5-LAW",AG47="นิติศาสตร์",OR(T47="S2",T47="K5")),V47,AND(AH47="K5-LAW",AG47="นิติศาสตร์",OR(K47="M2",K47="K4"),Q47&gt;=2),EDATE(P47,12*2),AND(AH47="K5-LAW",AG47="นิติศาสตร์",K47="S1",Q47&gt;=1),EDATE(P47,12),AND(AH47="K5-LAW",AG47="นิติศาสตร์",OR(K47="S2",K47="K5")),P47,AND(AH47="K5-POLICY",AG47&lt;&gt;"นิติศาสตร์",K47="S2",T47="",Z47=""),P47,AND(AH47="K5-POLICY",AG47&lt;&gt;"นิติศาสตร์",K47="S1",T47="",Z47=""),EDATE(P47,12),AND(AH47="K5-POLICY",AG47&lt;&gt;"นิติศาสตร์",OR(K47="M2",K47="K4"),T47="",Z47=""),EDATE(P47,12*2),AND(AH47="K5-POLICY",AG47&lt;&gt;"นิติศาสตร์",OR(Z47="M2",Z47="K4"),AC47&gt;=2,OR(AB47&lt;V47,AB47&lt;P47)),EDATE(AB47,12*2),AND(AH47="K5-POLICY",AG47&lt;&gt;"นิติศาสตร์",Z47="S1",AC47&gt;=1,OR(AB47&lt;V47,AB47&lt;P47)),EDATE(AB47,12),AND(AH47="K5-POLICY",AG47&lt;&gt;"นิติศาสตร์",OR(T47="M2",T47="K4"),W47&gt;=2,V47&lt;P47),EDATE(V47,12*2),AND(AH47="K5-POLICY",AG47&lt;&gt;"นิติศาสตร์",T47="S1",W47&gt;=1,V47&lt;P47),EDATE(V47,12),AND(AH47="K5-POLICY",AG47&lt;&gt;"นิติศาสตร์",OR(T47="S2",T47="K5")),V47,AND(AH47="K5-POLICY",AG47&lt;&gt;"นิติศาสตร์",OR(K47="M2",K47="K4"),Q47&gt;=2),EDATE(P47,12*2),AND(AH47="K5-POLICY",AG47&lt;&gt;"นิติศาสตร์",K47="S1",Q47&gt;=1),EDATE(P47,12),AND(AH47="K5-POLICY",AG47&lt;&gt;"นิติศาสตร์",OR(K47="S2",K47="K5")),P47,TRUE,"Check Data")</f>
        <v/>
      </c>
      <c r="AJ47" s="75" t="str">
        <f t="shared" si="24"/>
        <v>Check Data</v>
      </c>
      <c r="AK47" s="76" t="str">
        <f t="shared" si="25"/>
        <v>Check Data</v>
      </c>
      <c r="AL47" s="50" t="str">
        <f t="shared" si="26"/>
        <v>Check Data</v>
      </c>
      <c r="AM47" s="49" t="str">
        <f>IF(B47="","",IF(K47="S1","S1",INDEX(#REF!,#REF!)))</f>
        <v/>
      </c>
      <c r="AN47" s="49" t="str">
        <f t="shared" si="27"/>
        <v>M2</v>
      </c>
      <c r="AO47" s="50" t="b">
        <f>K47=AM47</f>
        <v>0</v>
      </c>
      <c r="AP47" s="50"/>
    </row>
    <row r="48" spans="1:42" ht="21.75">
      <c r="A48" s="49">
        <v>46</v>
      </c>
      <c r="B48" s="50"/>
      <c r="C48" s="50"/>
      <c r="D48" s="50" t="s">
        <v>143</v>
      </c>
      <c r="E48" s="49" t="s">
        <v>368</v>
      </c>
      <c r="F48" s="49" t="str">
        <f t="shared" si="14"/>
        <v>30/08/2002</v>
      </c>
      <c r="G48" s="50">
        <f t="shared" si="15"/>
        <v>22</v>
      </c>
      <c r="H48" s="50">
        <f t="shared" si="16"/>
        <v>9</v>
      </c>
      <c r="I48" s="50">
        <f t="shared" si="17"/>
        <v>21</v>
      </c>
      <c r="J48" s="59"/>
      <c r="K48" s="49" t="s">
        <v>136</v>
      </c>
      <c r="L48" s="64"/>
      <c r="M48" s="49" t="s">
        <v>427</v>
      </c>
      <c r="N48" s="49">
        <v>2577</v>
      </c>
      <c r="O48" s="65" t="s">
        <v>294</v>
      </c>
      <c r="P48" s="49" t="str">
        <f t="shared" si="18"/>
        <v>18/05/2023</v>
      </c>
      <c r="Q48" s="68">
        <f>IF(P48="",0,DATEDIF(P48,$C$1,"Y"))</f>
        <v>2</v>
      </c>
      <c r="R48" s="68">
        <f>IF(P48="",0,DATEDIF(P48,$C$1,"YM"))</f>
        <v>1</v>
      </c>
      <c r="S48" s="68">
        <f>IF(P48="",0,DATEDIF(P48,$C$1,"MD"))</f>
        <v>2</v>
      </c>
      <c r="T48" s="65"/>
      <c r="U48" s="65"/>
      <c r="V48" s="49" t="str">
        <f t="shared" si="19"/>
        <v/>
      </c>
      <c r="W48" s="68">
        <f>IF(V48="",0,DATEDIF(V48,P48,"Y"))</f>
        <v>0</v>
      </c>
      <c r="X48" s="68">
        <f>IF(V48="",0,DATEDIF(V48,P48,"YM"))</f>
        <v>0</v>
      </c>
      <c r="Y48" s="68">
        <f>IF(V48="",0,DATEDIF(V48,P48,"MD"))</f>
        <v>0</v>
      </c>
      <c r="Z48" s="49"/>
      <c r="AA48" s="65"/>
      <c r="AB48" s="50" t="str">
        <f t="shared" si="20"/>
        <v/>
      </c>
      <c r="AC48" s="68">
        <f t="shared" si="21"/>
        <v>0</v>
      </c>
      <c r="AD48" s="68">
        <f t="shared" si="22"/>
        <v>0</v>
      </c>
      <c r="AE48" s="68">
        <f t="shared" si="23"/>
        <v>0</v>
      </c>
      <c r="AF48" s="50"/>
      <c r="AG48" s="50" t="s">
        <v>138</v>
      </c>
      <c r="AH48" s="49" t="str">
        <f>IF(AG48="นิติศาสตร์","K5-LAW","K5-POLICY")</f>
        <v>K5-LAW</v>
      </c>
      <c r="AI48" s="72" t="str">
        <f>_xlfn.IFS(B48="","",AND(AH48="K5-LAW",AG48="นิติศาสตร์",K48="S2",T48="",Z48=""),P48,AND(AH48="K5-LAW",AG48="นิติศาสตร์",K48="S1",T48="",Z48=""),EDATE(P48,12),AND(AH48="K5-LAW",AG48="นิติศาสตร์",OR(K48="M2",K48="K4"),T48="",Z48=""),EDATE(P48,12*2),AND(AH48="K5-LAW",AG48="นิติศาสตร์",OR(Z48="M2",Z48="K4"),AC48&gt;=2,OR(AB48&lt;V48,AB48&lt;P48)),EDATE(AB48,12*2),AND(AH48="K5-LAW",AG48="นิติศาสตร์",Z48="S1",AC48&gt;=1,OR(AB48&lt;V48,AB48&lt;P48)),EDATE(AB48,12),AND(AH48="K5-LAW",AG48="นิติศาสตร์",OR(T48="M2",T48="K4"),W48&gt;=2,V48&lt;P48),EDATE(V48,12*2),AND(AH48="K5-LAW",AG48="นิติศาสตร์",T48="S1",W48&gt;=1,V48&lt;P48),EDATE(V48,12),AND(AH48="K5-LAW",AG48="นิติศาสตร์",OR(T48="S2",T48="K5")),V48,AND(AH48="K5-LAW",AG48="นิติศาสตร์",OR(K48="M2",K48="K4"),Q48&gt;=2),EDATE(P48,12*2),AND(AH48="K5-LAW",AG48="นิติศาสตร์",K48="S1",Q48&gt;=1),EDATE(P48,12),AND(AH48="K5-LAW",AG48="นิติศาสตร์",OR(K48="S2",K48="K5")),P48,AND(AH48="K5-POLICY",AG48&lt;&gt;"นิติศาสตร์",K48="S2",T48="",Z48=""),P48,AND(AH48="K5-POLICY",AG48&lt;&gt;"นิติศาสตร์",K48="S1",T48="",Z48=""),EDATE(P48,12),AND(AH48="K5-POLICY",AG48&lt;&gt;"นิติศาสตร์",OR(K48="M2",K48="K4"),T48="",Z48=""),EDATE(P48,12*2),AND(AH48="K5-POLICY",AG48&lt;&gt;"นิติศาสตร์",OR(Z48="M2",Z48="K4"),AC48&gt;=2,OR(AB48&lt;V48,AB48&lt;P48)),EDATE(AB48,12*2),AND(AH48="K5-POLICY",AG48&lt;&gt;"นิติศาสตร์",Z48="S1",AC48&gt;=1,OR(AB48&lt;V48,AB48&lt;P48)),EDATE(AB48,12),AND(AH48="K5-POLICY",AG48&lt;&gt;"นิติศาสตร์",OR(T48="M2",T48="K4"),W48&gt;=2,V48&lt;P48),EDATE(V48,12*2),AND(AH48="K5-POLICY",AG48&lt;&gt;"นิติศาสตร์",T48="S1",W48&gt;=1,V48&lt;P48),EDATE(V48,12),AND(AH48="K5-POLICY",AG48&lt;&gt;"นิติศาสตร์",OR(T48="S2",T48="K5")),V48,AND(AH48="K5-POLICY",AG48&lt;&gt;"นิติศาสตร์",OR(K48="M2",K48="K4"),Q48&gt;=2),EDATE(P48,12*2),AND(AH48="K5-POLICY",AG48&lt;&gt;"นิติศาสตร์",K48="S1",Q48&gt;=1),EDATE(P48,12),AND(AH48="K5-POLICY",AG48&lt;&gt;"นิติศาสตร์",OR(K48="S2",K48="K5")),P48,TRUE,"Check Data")</f>
        <v/>
      </c>
      <c r="AJ48" s="75" t="str">
        <f t="shared" si="24"/>
        <v>Check Data</v>
      </c>
      <c r="AK48" s="76" t="str">
        <f t="shared" si="25"/>
        <v>Check Data</v>
      </c>
      <c r="AL48" s="50" t="str">
        <f t="shared" si="26"/>
        <v>Check Data</v>
      </c>
      <c r="AM48" s="49" t="str">
        <f>IF(B48="","",IF(K48="S1","S1",INDEX(#REF!,#REF!)))</f>
        <v/>
      </c>
      <c r="AN48" s="49" t="str">
        <f t="shared" si="27"/>
        <v>M2</v>
      </c>
      <c r="AO48" s="50" t="b">
        <f>K48=AM48</f>
        <v>0</v>
      </c>
      <c r="AP48" s="50"/>
    </row>
    <row r="49" spans="1:42" ht="21.75">
      <c r="A49" s="49">
        <v>47</v>
      </c>
      <c r="B49" s="50"/>
      <c r="C49" s="50"/>
      <c r="D49" s="50" t="s">
        <v>144</v>
      </c>
      <c r="E49" s="49" t="s">
        <v>374</v>
      </c>
      <c r="F49" s="49" t="str">
        <f t="shared" si="14"/>
        <v>29/06/1998</v>
      </c>
      <c r="G49" s="50">
        <f t="shared" si="15"/>
        <v>26</v>
      </c>
      <c r="H49" s="50">
        <f t="shared" si="16"/>
        <v>11</v>
      </c>
      <c r="I49" s="50">
        <f t="shared" si="17"/>
        <v>22</v>
      </c>
      <c r="J49" s="57"/>
      <c r="K49" s="49" t="s">
        <v>136</v>
      </c>
      <c r="L49" s="64"/>
      <c r="M49" s="49" t="s">
        <v>426</v>
      </c>
      <c r="N49" s="49">
        <v>2574</v>
      </c>
      <c r="O49" s="65" t="s">
        <v>207</v>
      </c>
      <c r="P49" s="49" t="str">
        <f t="shared" si="18"/>
        <v>09/06/2023</v>
      </c>
      <c r="Q49" s="68">
        <f>IF(P49="",0,DATEDIF(P49,$C$1,"Y"))</f>
        <v>2</v>
      </c>
      <c r="R49" s="68">
        <f>IF(P49="",0,DATEDIF(P49,$C$1,"YM"))</f>
        <v>0</v>
      </c>
      <c r="S49" s="68">
        <f>IF(P49="",0,DATEDIF(P49,$C$1,"MD"))</f>
        <v>11</v>
      </c>
      <c r="T49" s="65"/>
      <c r="U49" s="65"/>
      <c r="V49" s="49" t="str">
        <f t="shared" si="19"/>
        <v/>
      </c>
      <c r="W49" s="68">
        <f>IF(V49="",0,DATEDIF(V49,P49,"Y"))</f>
        <v>0</v>
      </c>
      <c r="X49" s="68">
        <f>IF(V49="",0,DATEDIF(V49,P49,"YM"))</f>
        <v>0</v>
      </c>
      <c r="Y49" s="68">
        <f>IF(V49="",0,DATEDIF(V49,P49,"MD"))</f>
        <v>0</v>
      </c>
      <c r="Z49" s="49"/>
      <c r="AA49" s="65"/>
      <c r="AB49" s="50" t="str">
        <f t="shared" si="20"/>
        <v/>
      </c>
      <c r="AC49" s="68">
        <f t="shared" si="21"/>
        <v>0</v>
      </c>
      <c r="AD49" s="68">
        <f t="shared" si="22"/>
        <v>0</v>
      </c>
      <c r="AE49" s="68">
        <f t="shared" si="23"/>
        <v>0</v>
      </c>
      <c r="AF49" s="50"/>
      <c r="AG49" s="50" t="s">
        <v>138</v>
      </c>
      <c r="AH49" s="49" t="str">
        <f>IF(AG49="นิติศาสตร์","K5-LAW","K5-POLICY")</f>
        <v>K5-LAW</v>
      </c>
      <c r="AI49" s="72" t="str">
        <f>_xlfn.IFS(B49="","",AND(AH49="K5-LAW",AG49="นิติศาสตร์",K49="S2",T49="",Z49=""),P49,AND(AH49="K5-LAW",AG49="นิติศาสตร์",K49="S1",T49="",Z49=""),EDATE(P49,12),AND(AH49="K5-LAW",AG49="นิติศาสตร์",OR(K49="M2",K49="K4"),T49="",Z49=""),EDATE(P49,12*2),AND(AH49="K5-LAW",AG49="นิติศาสตร์",OR(Z49="M2",Z49="K4"),AC49&gt;=2,OR(AB49&lt;V49,AB49&lt;P49)),EDATE(AB49,12*2),AND(AH49="K5-LAW",AG49="นิติศาสตร์",Z49="S1",AC49&gt;=1,OR(AB49&lt;V49,AB49&lt;P49)),EDATE(AB49,12),AND(AH49="K5-LAW",AG49="นิติศาสตร์",OR(T49="M2",T49="K4"),W49&gt;=2,V49&lt;P49),EDATE(V49,12*2),AND(AH49="K5-LAW",AG49="นิติศาสตร์",T49="S1",W49&gt;=1,V49&lt;P49),EDATE(V49,12),AND(AH49="K5-LAW",AG49="นิติศาสตร์",OR(T49="S2",T49="K5")),V49,AND(AH49="K5-LAW",AG49="นิติศาสตร์",OR(K49="M2",K49="K4"),Q49&gt;=2),EDATE(P49,12*2),AND(AH49="K5-LAW",AG49="นิติศาสตร์",K49="S1",Q49&gt;=1),EDATE(P49,12),AND(AH49="K5-LAW",AG49="นิติศาสตร์",OR(K49="S2",K49="K5")),P49,AND(AH49="K5-POLICY",AG49&lt;&gt;"นิติศาสตร์",K49="S2",T49="",Z49=""),P49,AND(AH49="K5-POLICY",AG49&lt;&gt;"นิติศาสตร์",K49="S1",T49="",Z49=""),EDATE(P49,12),AND(AH49="K5-POLICY",AG49&lt;&gt;"นิติศาสตร์",OR(K49="M2",K49="K4"),T49="",Z49=""),EDATE(P49,12*2),AND(AH49="K5-POLICY",AG49&lt;&gt;"นิติศาสตร์",OR(Z49="M2",Z49="K4"),AC49&gt;=2,OR(AB49&lt;V49,AB49&lt;P49)),EDATE(AB49,12*2),AND(AH49="K5-POLICY",AG49&lt;&gt;"นิติศาสตร์",Z49="S1",AC49&gt;=1,OR(AB49&lt;V49,AB49&lt;P49)),EDATE(AB49,12),AND(AH49="K5-POLICY",AG49&lt;&gt;"นิติศาสตร์",OR(T49="M2",T49="K4"),W49&gt;=2,V49&lt;P49),EDATE(V49,12*2),AND(AH49="K5-POLICY",AG49&lt;&gt;"นิติศาสตร์",T49="S1",W49&gt;=1,V49&lt;P49),EDATE(V49,12),AND(AH49="K5-POLICY",AG49&lt;&gt;"นิติศาสตร์",OR(T49="S2",T49="K5")),V49,AND(AH49="K5-POLICY",AG49&lt;&gt;"นิติศาสตร์",OR(K49="M2",K49="K4"),Q49&gt;=2),EDATE(P49,12*2),AND(AH49="K5-POLICY",AG49&lt;&gt;"นิติศาสตร์",K49="S1",Q49&gt;=1),EDATE(P49,12),AND(AH49="K5-POLICY",AG49&lt;&gt;"นิติศาสตร์",OR(K49="S2",K49="K5")),P49,TRUE,"Check Data")</f>
        <v/>
      </c>
      <c r="AJ49" s="75" t="str">
        <f t="shared" si="24"/>
        <v>Check Data</v>
      </c>
      <c r="AK49" s="76" t="str">
        <f t="shared" si="25"/>
        <v>Check Data</v>
      </c>
      <c r="AL49" s="50" t="str">
        <f t="shared" si="26"/>
        <v>Check Data</v>
      </c>
      <c r="AM49" s="49" t="str">
        <f>IF(B49="","",IF(K49="S1","S1",INDEX(#REF!,#REF!)))</f>
        <v/>
      </c>
      <c r="AN49" s="49" t="str">
        <f t="shared" si="27"/>
        <v>M2</v>
      </c>
      <c r="AO49" s="50" t="b">
        <f>K49=AM49</f>
        <v>0</v>
      </c>
      <c r="AP49" s="50"/>
    </row>
    <row r="50" spans="1:42" ht="21.75">
      <c r="A50" s="49">
        <v>48</v>
      </c>
      <c r="B50" s="50"/>
      <c r="C50" s="50"/>
      <c r="D50" s="50" t="s">
        <v>144</v>
      </c>
      <c r="E50" s="49" t="s">
        <v>523</v>
      </c>
      <c r="F50" s="49" t="str">
        <f t="shared" si="14"/>
        <v>08/09/2000</v>
      </c>
      <c r="G50" s="50">
        <f t="shared" si="15"/>
        <v>24</v>
      </c>
      <c r="H50" s="50">
        <f t="shared" si="16"/>
        <v>9</v>
      </c>
      <c r="I50" s="50">
        <f t="shared" si="17"/>
        <v>12</v>
      </c>
      <c r="J50" s="57"/>
      <c r="K50" s="49" t="s">
        <v>136</v>
      </c>
      <c r="L50" s="64"/>
      <c r="M50" s="49" t="s">
        <v>426</v>
      </c>
      <c r="N50" s="49">
        <v>2580</v>
      </c>
      <c r="O50" s="65" t="s">
        <v>373</v>
      </c>
      <c r="P50" s="49" t="str">
        <f t="shared" si="18"/>
        <v>21/07/2023</v>
      </c>
      <c r="Q50" s="68">
        <f>IF(P50="",0,DATEDIF(P50,$C$1,"Y"))</f>
        <v>1</v>
      </c>
      <c r="R50" s="68">
        <f>IF(P50="",0,DATEDIF(P50,$C$1,"YM"))</f>
        <v>10</v>
      </c>
      <c r="S50" s="68">
        <f>IF(P50="",0,DATEDIF(P50,$C$1,"MD"))</f>
        <v>30</v>
      </c>
      <c r="T50" s="65"/>
      <c r="U50" s="65"/>
      <c r="V50" s="49" t="str">
        <f t="shared" si="19"/>
        <v/>
      </c>
      <c r="W50" s="68">
        <f>IF(V50="",0,DATEDIF(V50,P50,"Y"))</f>
        <v>0</v>
      </c>
      <c r="X50" s="68">
        <f>IF(V50="",0,DATEDIF(V50,P50,"YM"))</f>
        <v>0</v>
      </c>
      <c r="Y50" s="68">
        <f>IF(V50="",0,DATEDIF(V50,P50,"MD"))</f>
        <v>0</v>
      </c>
      <c r="Z50" s="49"/>
      <c r="AA50" s="65"/>
      <c r="AB50" s="50" t="str">
        <f t="shared" si="20"/>
        <v/>
      </c>
      <c r="AC50" s="68">
        <f t="shared" si="21"/>
        <v>0</v>
      </c>
      <c r="AD50" s="68">
        <f t="shared" si="22"/>
        <v>0</v>
      </c>
      <c r="AE50" s="68">
        <f t="shared" si="23"/>
        <v>0</v>
      </c>
      <c r="AF50" s="50"/>
      <c r="AG50" s="50" t="s">
        <v>138</v>
      </c>
      <c r="AH50" s="49" t="str">
        <f>IF(AG50="นิติศาสตร์","K5-LAW","K5-POLICY")</f>
        <v>K5-LAW</v>
      </c>
      <c r="AI50" s="72" t="str">
        <f>_xlfn.IFS(B50="","",AND(AH50="K5-LAW",AG50="นิติศาสตร์",K50="S2",T50="",Z50=""),P50,AND(AH50="K5-LAW",AG50="นิติศาสตร์",K50="S1",T50="",Z50=""),EDATE(P50,12),AND(AH50="K5-LAW",AG50="นิติศาสตร์",OR(K50="M2",K50="K4"),T50="",Z50=""),EDATE(P50,12*2),AND(AH50="K5-LAW",AG50="นิติศาสตร์",OR(Z50="M2",Z50="K4"),AC50&gt;=2,OR(AB50&lt;V50,AB50&lt;P50)),EDATE(AB50,12*2),AND(AH50="K5-LAW",AG50="นิติศาสตร์",Z50="S1",AC50&gt;=1,OR(AB50&lt;V50,AB50&lt;P50)),EDATE(AB50,12),AND(AH50="K5-LAW",AG50="นิติศาสตร์",OR(T50="M2",T50="K4"),W50&gt;=2,V50&lt;P50),EDATE(V50,12*2),AND(AH50="K5-LAW",AG50="นิติศาสตร์",T50="S1",W50&gt;=1,V50&lt;P50),EDATE(V50,12),AND(AH50="K5-LAW",AG50="นิติศาสตร์",OR(T50="S2",T50="K5")),V50,AND(AH50="K5-LAW",AG50="นิติศาสตร์",OR(K50="M2",K50="K4"),Q50&gt;=2),EDATE(P50,12*2),AND(AH50="K5-LAW",AG50="นิติศาสตร์",K50="S1",Q50&gt;=1),EDATE(P50,12),AND(AH50="K5-LAW",AG50="นิติศาสตร์",OR(K50="S2",K50="K5")),P50,AND(AH50="K5-POLICY",AG50&lt;&gt;"นิติศาสตร์",K50="S2",T50="",Z50=""),P50,AND(AH50="K5-POLICY",AG50&lt;&gt;"นิติศาสตร์",K50="S1",T50="",Z50=""),EDATE(P50,12),AND(AH50="K5-POLICY",AG50&lt;&gt;"นิติศาสตร์",OR(K50="M2",K50="K4"),T50="",Z50=""),EDATE(P50,12*2),AND(AH50="K5-POLICY",AG50&lt;&gt;"นิติศาสตร์",OR(Z50="M2",Z50="K4"),AC50&gt;=2,OR(AB50&lt;V50,AB50&lt;P50)),EDATE(AB50,12*2),AND(AH50="K5-POLICY",AG50&lt;&gt;"นิติศาสตร์",Z50="S1",AC50&gt;=1,OR(AB50&lt;V50,AB50&lt;P50)),EDATE(AB50,12),AND(AH50="K5-POLICY",AG50&lt;&gt;"นิติศาสตร์",OR(T50="M2",T50="K4"),W50&gt;=2,V50&lt;P50),EDATE(V50,12*2),AND(AH50="K5-POLICY",AG50&lt;&gt;"นิติศาสตร์",T50="S1",W50&gt;=1,V50&lt;P50),EDATE(V50,12),AND(AH50="K5-POLICY",AG50&lt;&gt;"นิติศาสตร์",OR(T50="S2",T50="K5")),V50,AND(AH50="K5-POLICY",AG50&lt;&gt;"นิติศาสตร์",OR(K50="M2",K50="K4"),Q50&gt;=2),EDATE(P50,12*2),AND(AH50="K5-POLICY",AG50&lt;&gt;"นิติศาสตร์",K50="S1",Q50&gt;=1),EDATE(P50,12),AND(AH50="K5-POLICY",AG50&lt;&gt;"นิติศาสตร์",OR(K50="S2",K50="K5")),P50,TRUE,"Check Data")</f>
        <v/>
      </c>
      <c r="AJ50" s="75" t="str">
        <f t="shared" si="24"/>
        <v>Check Data</v>
      </c>
      <c r="AK50" s="76" t="str">
        <f t="shared" si="25"/>
        <v>Check Data</v>
      </c>
      <c r="AL50" s="50" t="str">
        <f t="shared" si="26"/>
        <v>Check Data</v>
      </c>
      <c r="AM50" s="49" t="str">
        <f>IF(B50="","",IF(K50="S1","S1",INDEX(#REF!,#REF!)))</f>
        <v/>
      </c>
      <c r="AN50" s="49" t="str">
        <f t="shared" si="27"/>
        <v>M2</v>
      </c>
      <c r="AO50" s="50" t="b">
        <f>K50=AM50</f>
        <v>0</v>
      </c>
      <c r="AP50" s="50"/>
    </row>
    <row r="51" spans="1:42" ht="21.75">
      <c r="A51" s="49">
        <v>49</v>
      </c>
      <c r="B51" s="50"/>
      <c r="C51" s="50"/>
      <c r="D51" s="50" t="s">
        <v>141</v>
      </c>
      <c r="E51" s="49" t="s">
        <v>243</v>
      </c>
      <c r="F51" s="49" t="str">
        <f t="shared" si="14"/>
        <v>03/01/1995</v>
      </c>
      <c r="G51" s="50">
        <f t="shared" si="15"/>
        <v>30</v>
      </c>
      <c r="H51" s="50">
        <f t="shared" si="16"/>
        <v>5</v>
      </c>
      <c r="I51" s="50">
        <f t="shared" si="17"/>
        <v>17</v>
      </c>
      <c r="J51" s="60"/>
      <c r="K51" s="49" t="s">
        <v>136</v>
      </c>
      <c r="L51" s="64"/>
      <c r="M51" s="49" t="s">
        <v>427</v>
      </c>
      <c r="N51" s="49">
        <v>2573</v>
      </c>
      <c r="O51" s="65" t="s">
        <v>249</v>
      </c>
      <c r="P51" s="49" t="str">
        <f t="shared" si="18"/>
        <v>25/09/2023</v>
      </c>
      <c r="Q51" s="68">
        <f>IF(P51="",0,DATEDIF(P51,$C$1,"Y"))</f>
        <v>1</v>
      </c>
      <c r="R51" s="68">
        <f>IF(P51="",0,DATEDIF(P51,$C$1,"YM"))</f>
        <v>8</v>
      </c>
      <c r="S51" s="68">
        <f>IF(P51="",0,DATEDIF(P51,$C$1,"MD"))</f>
        <v>26</v>
      </c>
      <c r="T51" s="65"/>
      <c r="U51" s="65"/>
      <c r="V51" s="49" t="str">
        <f t="shared" si="19"/>
        <v/>
      </c>
      <c r="W51" s="68">
        <f>IF(V51="",0,DATEDIF(V51,P51,"Y"))</f>
        <v>0</v>
      </c>
      <c r="X51" s="68">
        <f>IF(V51="",0,DATEDIF(V51,P51,"YM"))</f>
        <v>0</v>
      </c>
      <c r="Y51" s="68">
        <f>IF(V51="",0,DATEDIF(V51,P51,"MD"))</f>
        <v>0</v>
      </c>
      <c r="Z51" s="49"/>
      <c r="AA51" s="65"/>
      <c r="AB51" s="50" t="str">
        <f t="shared" si="20"/>
        <v/>
      </c>
      <c r="AC51" s="68">
        <f t="shared" si="21"/>
        <v>0</v>
      </c>
      <c r="AD51" s="68">
        <f t="shared" si="22"/>
        <v>0</v>
      </c>
      <c r="AE51" s="68">
        <f t="shared" si="23"/>
        <v>0</v>
      </c>
      <c r="AF51" s="50"/>
      <c r="AG51" s="50" t="s">
        <v>138</v>
      </c>
      <c r="AH51" s="49" t="str">
        <f>IF(AG51="นิติศาสตร์","K5-LAW","K5-POLICY")</f>
        <v>K5-LAW</v>
      </c>
      <c r="AI51" s="72" t="str">
        <f>_xlfn.IFS(B51="","",AND(AH51="K5-LAW",AG51="นิติศาสตร์",K51="S2",T51="",Z51=""),P51,AND(AH51="K5-LAW",AG51="นิติศาสตร์",K51="S1",T51="",Z51=""),EDATE(P51,12),AND(AH51="K5-LAW",AG51="นิติศาสตร์",OR(K51="M2",K51="K4"),T51="",Z51=""),EDATE(P51,12*2),AND(AH51="K5-LAW",AG51="นิติศาสตร์",OR(Z51="M2",Z51="K4"),AC51&gt;=2,OR(AB51&lt;V51,AB51&lt;P51)),EDATE(AB51,12*2),AND(AH51="K5-LAW",AG51="นิติศาสตร์",Z51="S1",AC51&gt;=1,OR(AB51&lt;V51,AB51&lt;P51)),EDATE(AB51,12),AND(AH51="K5-LAW",AG51="นิติศาสตร์",OR(T51="M2",T51="K4"),W51&gt;=2,V51&lt;P51),EDATE(V51,12*2),AND(AH51="K5-LAW",AG51="นิติศาสตร์",T51="S1",W51&gt;=1,V51&lt;P51),EDATE(V51,12),AND(AH51="K5-LAW",AG51="นิติศาสตร์",OR(T51="S2",T51="K5")),V51,AND(AH51="K5-LAW",AG51="นิติศาสตร์",OR(K51="M2",K51="K4"),Q51&gt;=2),EDATE(P51,12*2),AND(AH51="K5-LAW",AG51="นิติศาสตร์",K51="S1",Q51&gt;=1),EDATE(P51,12),AND(AH51="K5-LAW",AG51="นิติศาสตร์",OR(K51="S2",K51="K5")),P51,AND(AH51="K5-POLICY",AG51&lt;&gt;"นิติศาสตร์",K51="S2",T51="",Z51=""),P51,AND(AH51="K5-POLICY",AG51&lt;&gt;"นิติศาสตร์",K51="S1",T51="",Z51=""),EDATE(P51,12),AND(AH51="K5-POLICY",AG51&lt;&gt;"นิติศาสตร์",OR(K51="M2",K51="K4"),T51="",Z51=""),EDATE(P51,12*2),AND(AH51="K5-POLICY",AG51&lt;&gt;"นิติศาสตร์",OR(Z51="M2",Z51="K4"),AC51&gt;=2,OR(AB51&lt;V51,AB51&lt;P51)),EDATE(AB51,12*2),AND(AH51="K5-POLICY",AG51&lt;&gt;"นิติศาสตร์",Z51="S1",AC51&gt;=1,OR(AB51&lt;V51,AB51&lt;P51)),EDATE(AB51,12),AND(AH51="K5-POLICY",AG51&lt;&gt;"นิติศาสตร์",OR(T51="M2",T51="K4"),W51&gt;=2,V51&lt;P51),EDATE(V51,12*2),AND(AH51="K5-POLICY",AG51&lt;&gt;"นิติศาสตร์",T51="S1",W51&gt;=1,V51&lt;P51),EDATE(V51,12),AND(AH51="K5-POLICY",AG51&lt;&gt;"นิติศาสตร์",OR(T51="S2",T51="K5")),V51,AND(AH51="K5-POLICY",AG51&lt;&gt;"นิติศาสตร์",OR(K51="M2",K51="K4"),Q51&gt;=2),EDATE(P51,12*2),AND(AH51="K5-POLICY",AG51&lt;&gt;"นิติศาสตร์",K51="S1",Q51&gt;=1),EDATE(P51,12),AND(AH51="K5-POLICY",AG51&lt;&gt;"นิติศาสตร์",OR(K51="S2",K51="K5")),P51,TRUE,"Check Data")</f>
        <v/>
      </c>
      <c r="AJ51" s="75" t="str">
        <f t="shared" si="24"/>
        <v>Check Data</v>
      </c>
      <c r="AK51" s="76" t="str">
        <f t="shared" si="25"/>
        <v>Check Data</v>
      </c>
      <c r="AL51" s="50" t="str">
        <f t="shared" si="26"/>
        <v>Check Data</v>
      </c>
      <c r="AM51" s="49" t="str">
        <f>IF(B51="","",IF(K51="S1","S1",INDEX(#REF!,#REF!)))</f>
        <v/>
      </c>
      <c r="AN51" s="49" t="str">
        <f t="shared" si="27"/>
        <v>M2</v>
      </c>
      <c r="AO51" s="50" t="b">
        <f>K51=AM51</f>
        <v>0</v>
      </c>
      <c r="AP51" s="50"/>
    </row>
    <row r="52" spans="1:42" ht="21.75">
      <c r="A52" s="49">
        <v>50</v>
      </c>
      <c r="B52" s="50"/>
      <c r="C52" s="53"/>
      <c r="D52" s="50" t="s">
        <v>141</v>
      </c>
      <c r="E52" s="49" t="s">
        <v>253</v>
      </c>
      <c r="F52" s="49" t="str">
        <f t="shared" si="14"/>
        <v>26/01/1995</v>
      </c>
      <c r="G52" s="50">
        <f t="shared" si="15"/>
        <v>30</v>
      </c>
      <c r="H52" s="50">
        <f t="shared" si="16"/>
        <v>4</v>
      </c>
      <c r="I52" s="50">
        <f t="shared" si="17"/>
        <v>25</v>
      </c>
      <c r="J52" s="60"/>
      <c r="K52" s="49" t="s">
        <v>136</v>
      </c>
      <c r="L52" s="64"/>
      <c r="M52" s="49" t="s">
        <v>427</v>
      </c>
      <c r="N52" s="49">
        <v>2574</v>
      </c>
      <c r="O52" s="65" t="s">
        <v>249</v>
      </c>
      <c r="P52" s="49" t="str">
        <f t="shared" si="18"/>
        <v>25/09/2023</v>
      </c>
      <c r="Q52" s="68">
        <f>IF(P52="",0,DATEDIF(P52,$C$1,"Y"))</f>
        <v>1</v>
      </c>
      <c r="R52" s="68">
        <f>IF(P52="",0,DATEDIF(P52,$C$1,"YM"))</f>
        <v>8</v>
      </c>
      <c r="S52" s="68">
        <f>IF(P52="",0,DATEDIF(P52,$C$1,"MD"))</f>
        <v>26</v>
      </c>
      <c r="T52" s="65"/>
      <c r="U52" s="65"/>
      <c r="V52" s="49" t="str">
        <f t="shared" si="19"/>
        <v/>
      </c>
      <c r="W52" s="68">
        <f>IF(V52="",0,DATEDIF(V52,P52,"Y"))</f>
        <v>0</v>
      </c>
      <c r="X52" s="68">
        <f>IF(V52="",0,DATEDIF(V52,P52,"YM"))</f>
        <v>0</v>
      </c>
      <c r="Y52" s="68">
        <f>IF(V52="",0,DATEDIF(V52,P52,"MD"))</f>
        <v>0</v>
      </c>
      <c r="Z52" s="49"/>
      <c r="AA52" s="65"/>
      <c r="AB52" s="50" t="str">
        <f t="shared" si="20"/>
        <v/>
      </c>
      <c r="AC52" s="68">
        <f t="shared" si="21"/>
        <v>0</v>
      </c>
      <c r="AD52" s="68">
        <f t="shared" si="22"/>
        <v>0</v>
      </c>
      <c r="AE52" s="68">
        <f t="shared" si="23"/>
        <v>0</v>
      </c>
      <c r="AF52" s="50"/>
      <c r="AG52" s="50" t="s">
        <v>138</v>
      </c>
      <c r="AH52" s="49" t="str">
        <f>IF(AG52="นิติศาสตร์","K5-LAW","K5-POLICY")</f>
        <v>K5-LAW</v>
      </c>
      <c r="AI52" s="72" t="str">
        <f>_xlfn.IFS(B52="","",AND(AH52="K5-LAW",AG52="นิติศาสตร์",K52="S2",T52="",Z52=""),P52,AND(AH52="K5-LAW",AG52="นิติศาสตร์",K52="S1",T52="",Z52=""),EDATE(P52,12),AND(AH52="K5-LAW",AG52="นิติศาสตร์",OR(K52="M2",K52="K4"),T52="",Z52=""),EDATE(P52,12*2),AND(AH52="K5-LAW",AG52="นิติศาสตร์",OR(Z52="M2",Z52="K4"),AC52&gt;=2,OR(AB52&lt;V52,AB52&lt;P52)),EDATE(AB52,12*2),AND(AH52="K5-LAW",AG52="นิติศาสตร์",Z52="S1",AC52&gt;=1,OR(AB52&lt;V52,AB52&lt;P52)),EDATE(AB52,12),AND(AH52="K5-LAW",AG52="นิติศาสตร์",OR(T52="M2",T52="K4"),W52&gt;=2,V52&lt;P52),EDATE(V52,12*2),AND(AH52="K5-LAW",AG52="นิติศาสตร์",T52="S1",W52&gt;=1,V52&lt;P52),EDATE(V52,12),AND(AH52="K5-LAW",AG52="นิติศาสตร์",OR(T52="S2",T52="K5")),V52,AND(AH52="K5-LAW",AG52="นิติศาสตร์",OR(K52="M2",K52="K4"),Q52&gt;=2),EDATE(P52,12*2),AND(AH52="K5-LAW",AG52="นิติศาสตร์",K52="S1",Q52&gt;=1),EDATE(P52,12),AND(AH52="K5-LAW",AG52="นิติศาสตร์",OR(K52="S2",K52="K5")),P52,AND(AH52="K5-POLICY",AG52&lt;&gt;"นิติศาสตร์",K52="S2",T52="",Z52=""),P52,AND(AH52="K5-POLICY",AG52&lt;&gt;"นิติศาสตร์",K52="S1",T52="",Z52=""),EDATE(P52,12),AND(AH52="K5-POLICY",AG52&lt;&gt;"นิติศาสตร์",OR(K52="M2",K52="K4"),T52="",Z52=""),EDATE(P52,12*2),AND(AH52="K5-POLICY",AG52&lt;&gt;"นิติศาสตร์",OR(Z52="M2",Z52="K4"),AC52&gt;=2,OR(AB52&lt;V52,AB52&lt;P52)),EDATE(AB52,12*2),AND(AH52="K5-POLICY",AG52&lt;&gt;"นิติศาสตร์",Z52="S1",AC52&gt;=1,OR(AB52&lt;V52,AB52&lt;P52)),EDATE(AB52,12),AND(AH52="K5-POLICY",AG52&lt;&gt;"นิติศาสตร์",OR(T52="M2",T52="K4"),W52&gt;=2,V52&lt;P52),EDATE(V52,12*2),AND(AH52="K5-POLICY",AG52&lt;&gt;"นิติศาสตร์",T52="S1",W52&gt;=1,V52&lt;P52),EDATE(V52,12),AND(AH52="K5-POLICY",AG52&lt;&gt;"นิติศาสตร์",OR(T52="S2",T52="K5")),V52,AND(AH52="K5-POLICY",AG52&lt;&gt;"นิติศาสตร์",OR(K52="M2",K52="K4"),Q52&gt;=2),EDATE(P52,12*2),AND(AH52="K5-POLICY",AG52&lt;&gt;"นิติศาสตร์",K52="S1",Q52&gt;=1),EDATE(P52,12),AND(AH52="K5-POLICY",AG52&lt;&gt;"นิติศาสตร์",OR(K52="S2",K52="K5")),P52,TRUE,"Check Data")</f>
        <v/>
      </c>
      <c r="AJ52" s="75" t="str">
        <f t="shared" si="24"/>
        <v>Check Data</v>
      </c>
      <c r="AK52" s="76" t="str">
        <f t="shared" si="25"/>
        <v>Check Data</v>
      </c>
      <c r="AL52" s="50" t="str">
        <f t="shared" si="26"/>
        <v>Check Data</v>
      </c>
      <c r="AM52" s="49" t="str">
        <f>IF(B52="","",IF(K52="S1","S1",INDEX(#REF!,#REF!)))</f>
        <v/>
      </c>
      <c r="AN52" s="49" t="str">
        <f t="shared" si="27"/>
        <v>M2</v>
      </c>
      <c r="AO52" s="50" t="b">
        <f>K52=AM52</f>
        <v>0</v>
      </c>
      <c r="AP52" s="50"/>
    </row>
    <row r="53" spans="1:42" ht="21.75">
      <c r="A53" s="49">
        <v>51</v>
      </c>
      <c r="B53" s="50"/>
      <c r="C53" s="50"/>
      <c r="D53" s="50" t="s">
        <v>141</v>
      </c>
      <c r="E53" s="49" t="s">
        <v>259</v>
      </c>
      <c r="F53" s="49" t="str">
        <f t="shared" si="14"/>
        <v>15/02/2001</v>
      </c>
      <c r="G53" s="50">
        <f t="shared" si="15"/>
        <v>24</v>
      </c>
      <c r="H53" s="50">
        <f t="shared" si="16"/>
        <v>4</v>
      </c>
      <c r="I53" s="50">
        <f t="shared" si="17"/>
        <v>5</v>
      </c>
      <c r="J53" s="60"/>
      <c r="K53" s="49" t="s">
        <v>136</v>
      </c>
      <c r="L53" s="64"/>
      <c r="M53" s="49" t="s">
        <v>426</v>
      </c>
      <c r="N53" s="49">
        <v>2577</v>
      </c>
      <c r="O53" s="65" t="s">
        <v>249</v>
      </c>
      <c r="P53" s="49" t="str">
        <f t="shared" si="18"/>
        <v>25/09/2023</v>
      </c>
      <c r="Q53" s="68">
        <f>IF(P53="",0,DATEDIF(P53,$C$1,"Y"))</f>
        <v>1</v>
      </c>
      <c r="R53" s="68">
        <f>IF(P53="",0,DATEDIF(P53,$C$1,"YM"))</f>
        <v>8</v>
      </c>
      <c r="S53" s="68">
        <f>IF(P53="",0,DATEDIF(P53,$C$1,"MD"))</f>
        <v>26</v>
      </c>
      <c r="T53" s="65"/>
      <c r="U53" s="65"/>
      <c r="V53" s="49" t="str">
        <f t="shared" si="19"/>
        <v/>
      </c>
      <c r="W53" s="68">
        <f>IF(V53="",0,DATEDIF(V53,P53,"Y"))</f>
        <v>0</v>
      </c>
      <c r="X53" s="68">
        <f>IF(V53="",0,DATEDIF(V53,P53,"YM"))</f>
        <v>0</v>
      </c>
      <c r="Y53" s="68">
        <f>IF(V53="",0,DATEDIF(V53,P53,"MD"))</f>
        <v>0</v>
      </c>
      <c r="Z53" s="49"/>
      <c r="AA53" s="65"/>
      <c r="AB53" s="50" t="str">
        <f t="shared" si="20"/>
        <v/>
      </c>
      <c r="AC53" s="68">
        <f t="shared" si="21"/>
        <v>0</v>
      </c>
      <c r="AD53" s="68">
        <f t="shared" si="22"/>
        <v>0</v>
      </c>
      <c r="AE53" s="68">
        <f t="shared" si="23"/>
        <v>0</v>
      </c>
      <c r="AF53" s="50"/>
      <c r="AG53" s="50" t="s">
        <v>138</v>
      </c>
      <c r="AH53" s="49" t="str">
        <f>IF(AG53="นิติศาสตร์","K5-LAW","K5-POLICY")</f>
        <v>K5-LAW</v>
      </c>
      <c r="AI53" s="72" t="str">
        <f>_xlfn.IFS(B53="","",AND(AH53="K5-LAW",AG53="นิติศาสตร์",K53="S2",T53="",Z53=""),P53,AND(AH53="K5-LAW",AG53="นิติศาสตร์",K53="S1",T53="",Z53=""),EDATE(P53,12),AND(AH53="K5-LAW",AG53="นิติศาสตร์",OR(K53="M2",K53="K4"),T53="",Z53=""),EDATE(P53,12*2),AND(AH53="K5-LAW",AG53="นิติศาสตร์",OR(Z53="M2",Z53="K4"),AC53&gt;=2,OR(AB53&lt;V53,AB53&lt;P53)),EDATE(AB53,12*2),AND(AH53="K5-LAW",AG53="นิติศาสตร์",Z53="S1",AC53&gt;=1,OR(AB53&lt;V53,AB53&lt;P53)),EDATE(AB53,12),AND(AH53="K5-LAW",AG53="นิติศาสตร์",OR(T53="M2",T53="K4"),W53&gt;=2,V53&lt;P53),EDATE(V53,12*2),AND(AH53="K5-LAW",AG53="นิติศาสตร์",T53="S1",W53&gt;=1,V53&lt;P53),EDATE(V53,12),AND(AH53="K5-LAW",AG53="นิติศาสตร์",OR(T53="S2",T53="K5")),V53,AND(AH53="K5-LAW",AG53="นิติศาสตร์",OR(K53="M2",K53="K4"),Q53&gt;=2),EDATE(P53,12*2),AND(AH53="K5-LAW",AG53="นิติศาสตร์",K53="S1",Q53&gt;=1),EDATE(P53,12),AND(AH53="K5-LAW",AG53="นิติศาสตร์",OR(K53="S2",K53="K5")),P53,AND(AH53="K5-POLICY",AG53&lt;&gt;"นิติศาสตร์",K53="S2",T53="",Z53=""),P53,AND(AH53="K5-POLICY",AG53&lt;&gt;"นิติศาสตร์",K53="S1",T53="",Z53=""),EDATE(P53,12),AND(AH53="K5-POLICY",AG53&lt;&gt;"นิติศาสตร์",OR(K53="M2",K53="K4"),T53="",Z53=""),EDATE(P53,12*2),AND(AH53="K5-POLICY",AG53&lt;&gt;"นิติศาสตร์",OR(Z53="M2",Z53="K4"),AC53&gt;=2,OR(AB53&lt;V53,AB53&lt;P53)),EDATE(AB53,12*2),AND(AH53="K5-POLICY",AG53&lt;&gt;"นิติศาสตร์",Z53="S1",AC53&gt;=1,OR(AB53&lt;V53,AB53&lt;P53)),EDATE(AB53,12),AND(AH53="K5-POLICY",AG53&lt;&gt;"นิติศาสตร์",OR(T53="M2",T53="K4"),W53&gt;=2,V53&lt;P53),EDATE(V53,12*2),AND(AH53="K5-POLICY",AG53&lt;&gt;"นิติศาสตร์",T53="S1",W53&gt;=1,V53&lt;P53),EDATE(V53,12),AND(AH53="K5-POLICY",AG53&lt;&gt;"นิติศาสตร์",OR(T53="S2",T53="K5")),V53,AND(AH53="K5-POLICY",AG53&lt;&gt;"นิติศาสตร์",OR(K53="M2",K53="K4"),Q53&gt;=2),EDATE(P53,12*2),AND(AH53="K5-POLICY",AG53&lt;&gt;"นิติศาสตร์",K53="S1",Q53&gt;=1),EDATE(P53,12),AND(AH53="K5-POLICY",AG53&lt;&gt;"นิติศาสตร์",OR(K53="S2",K53="K5")),P53,TRUE,"Check Data")</f>
        <v/>
      </c>
      <c r="AJ53" s="75" t="str">
        <f t="shared" si="24"/>
        <v>Check Data</v>
      </c>
      <c r="AK53" s="76" t="str">
        <f t="shared" si="25"/>
        <v>Check Data</v>
      </c>
      <c r="AL53" s="50" t="str">
        <f t="shared" si="26"/>
        <v>Check Data</v>
      </c>
      <c r="AM53" s="49" t="str">
        <f>IF(B53="","",IF(K53="S1","S1",INDEX(#REF!,#REF!)))</f>
        <v/>
      </c>
      <c r="AN53" s="49" t="str">
        <f t="shared" si="27"/>
        <v>M2</v>
      </c>
      <c r="AO53" s="50" t="b">
        <f>K53=AM53</f>
        <v>0</v>
      </c>
      <c r="AP53" s="50"/>
    </row>
    <row r="54" spans="1:42" ht="21.75">
      <c r="A54" s="49">
        <v>52</v>
      </c>
      <c r="B54" s="50"/>
      <c r="C54" s="50"/>
      <c r="D54" s="50" t="s">
        <v>140</v>
      </c>
      <c r="E54" s="49" t="s">
        <v>461</v>
      </c>
      <c r="F54" s="49" t="str">
        <f t="shared" si="14"/>
        <v>25/03/1996</v>
      </c>
      <c r="G54" s="50">
        <f t="shared" si="15"/>
        <v>29</v>
      </c>
      <c r="H54" s="50">
        <f t="shared" si="16"/>
        <v>2</v>
      </c>
      <c r="I54" s="50">
        <f t="shared" si="17"/>
        <v>26</v>
      </c>
      <c r="J54" s="57"/>
      <c r="K54" s="49" t="s">
        <v>136</v>
      </c>
      <c r="L54" s="64"/>
      <c r="M54" s="49" t="s">
        <v>426</v>
      </c>
      <c r="N54" s="49">
        <v>2573</v>
      </c>
      <c r="O54" s="65" t="s">
        <v>460</v>
      </c>
      <c r="P54" s="49" t="str">
        <f t="shared" si="18"/>
        <v>29/09/2023</v>
      </c>
      <c r="Q54" s="68">
        <f>IF(P54="",0,DATEDIF(P54,$C$1,"Y"))</f>
        <v>1</v>
      </c>
      <c r="R54" s="68">
        <f>IF(P54="",0,DATEDIF(P54,$C$1,"YM"))</f>
        <v>8</v>
      </c>
      <c r="S54" s="68">
        <f>IF(P54="",0,DATEDIF(P54,$C$1,"MD"))</f>
        <v>22</v>
      </c>
      <c r="T54" s="65"/>
      <c r="U54" s="65"/>
      <c r="V54" s="49" t="str">
        <f t="shared" si="19"/>
        <v/>
      </c>
      <c r="W54" s="68">
        <f>IF(V54="",0,DATEDIF(V54,P54,"Y"))</f>
        <v>0</v>
      </c>
      <c r="X54" s="68">
        <f>IF(V54="",0,DATEDIF(V54,P54,"YM"))</f>
        <v>0</v>
      </c>
      <c r="Y54" s="68">
        <f>IF(V54="",0,DATEDIF(V54,P54,"MD"))</f>
        <v>0</v>
      </c>
      <c r="Z54" s="49"/>
      <c r="AA54" s="65"/>
      <c r="AB54" s="50" t="str">
        <f t="shared" si="20"/>
        <v/>
      </c>
      <c r="AC54" s="68">
        <f t="shared" si="21"/>
        <v>0</v>
      </c>
      <c r="AD54" s="68">
        <f t="shared" si="22"/>
        <v>0</v>
      </c>
      <c r="AE54" s="68">
        <f t="shared" si="23"/>
        <v>0</v>
      </c>
      <c r="AF54" s="50"/>
      <c r="AG54" s="50" t="s">
        <v>138</v>
      </c>
      <c r="AH54" s="49" t="str">
        <f>IF(AG54="นิติศาสตร์","K5-LAW","K5-POLICY")</f>
        <v>K5-LAW</v>
      </c>
      <c r="AI54" s="72" t="str">
        <f>_xlfn.IFS(B54="","",AND(AH54="K5-LAW",AG54="นิติศาสตร์",K54="S2",T54="",Z54=""),P54,AND(AH54="K5-LAW",AG54="นิติศาสตร์",K54="S1",T54="",Z54=""),EDATE(P54,12),AND(AH54="K5-LAW",AG54="นิติศาสตร์",OR(K54="M2",K54="K4"),T54="",Z54=""),EDATE(P54,12*2),AND(AH54="K5-LAW",AG54="นิติศาสตร์",OR(Z54="M2",Z54="K4"),AC54&gt;=2,OR(AB54&lt;V54,AB54&lt;P54)),EDATE(AB54,12*2),AND(AH54="K5-LAW",AG54="นิติศาสตร์",Z54="S1",AC54&gt;=1,OR(AB54&lt;V54,AB54&lt;P54)),EDATE(AB54,12),AND(AH54="K5-LAW",AG54="นิติศาสตร์",OR(T54="M2",T54="K4"),W54&gt;=2,V54&lt;P54),EDATE(V54,12*2),AND(AH54="K5-LAW",AG54="นิติศาสตร์",T54="S1",W54&gt;=1,V54&lt;P54),EDATE(V54,12),AND(AH54="K5-LAW",AG54="นิติศาสตร์",OR(T54="S2",T54="K5")),V54,AND(AH54="K5-LAW",AG54="นิติศาสตร์",OR(K54="M2",K54="K4"),Q54&gt;=2),EDATE(P54,12*2),AND(AH54="K5-LAW",AG54="นิติศาสตร์",K54="S1",Q54&gt;=1),EDATE(P54,12),AND(AH54="K5-LAW",AG54="นิติศาสตร์",OR(K54="S2",K54="K5")),P54,AND(AH54="K5-POLICY",AG54&lt;&gt;"นิติศาสตร์",K54="S2",T54="",Z54=""),P54,AND(AH54="K5-POLICY",AG54&lt;&gt;"นิติศาสตร์",K54="S1",T54="",Z54=""),EDATE(P54,12),AND(AH54="K5-POLICY",AG54&lt;&gt;"นิติศาสตร์",OR(K54="M2",K54="K4"),T54="",Z54=""),EDATE(P54,12*2),AND(AH54="K5-POLICY",AG54&lt;&gt;"นิติศาสตร์",OR(Z54="M2",Z54="K4"),AC54&gt;=2,OR(AB54&lt;V54,AB54&lt;P54)),EDATE(AB54,12*2),AND(AH54="K5-POLICY",AG54&lt;&gt;"นิติศาสตร์",Z54="S1",AC54&gt;=1,OR(AB54&lt;V54,AB54&lt;P54)),EDATE(AB54,12),AND(AH54="K5-POLICY",AG54&lt;&gt;"นิติศาสตร์",OR(T54="M2",T54="K4"),W54&gt;=2,V54&lt;P54),EDATE(V54,12*2),AND(AH54="K5-POLICY",AG54&lt;&gt;"นิติศาสตร์",T54="S1",W54&gt;=1,V54&lt;P54),EDATE(V54,12),AND(AH54="K5-POLICY",AG54&lt;&gt;"นิติศาสตร์",OR(T54="S2",T54="K5")),V54,AND(AH54="K5-POLICY",AG54&lt;&gt;"นิติศาสตร์",OR(K54="M2",K54="K4"),Q54&gt;=2),EDATE(P54,12*2),AND(AH54="K5-POLICY",AG54&lt;&gt;"นิติศาสตร์",K54="S1",Q54&gt;=1),EDATE(P54,12),AND(AH54="K5-POLICY",AG54&lt;&gt;"นิติศาสตร์",OR(K54="S2",K54="K5")),P54,TRUE,"Check Data")</f>
        <v/>
      </c>
      <c r="AJ54" s="75" t="str">
        <f t="shared" si="24"/>
        <v>Check Data</v>
      </c>
      <c r="AK54" s="76" t="str">
        <f t="shared" si="25"/>
        <v>Check Data</v>
      </c>
      <c r="AL54" s="50" t="str">
        <f t="shared" si="26"/>
        <v>Check Data</v>
      </c>
      <c r="AM54" s="49" t="str">
        <f>IF(B54="","",IF(K54="S1","S1",INDEX(#REF!,#REF!)))</f>
        <v/>
      </c>
      <c r="AN54" s="49" t="str">
        <f t="shared" si="27"/>
        <v>M2</v>
      </c>
      <c r="AO54" s="50" t="b">
        <f>K54=AM54</f>
        <v>0</v>
      </c>
      <c r="AP54" s="50"/>
    </row>
    <row r="55" spans="1:42" ht="21.75">
      <c r="A55" s="49">
        <v>53</v>
      </c>
      <c r="B55" s="50"/>
      <c r="C55" s="50"/>
      <c r="D55" s="50" t="s">
        <v>140</v>
      </c>
      <c r="E55" s="49" t="s">
        <v>462</v>
      </c>
      <c r="F55" s="49" t="str">
        <f t="shared" si="14"/>
        <v>02/10/2006</v>
      </c>
      <c r="G55" s="50">
        <f t="shared" si="15"/>
        <v>18</v>
      </c>
      <c r="H55" s="50">
        <f t="shared" si="16"/>
        <v>8</v>
      </c>
      <c r="I55" s="50">
        <f t="shared" si="17"/>
        <v>18</v>
      </c>
      <c r="J55" s="57"/>
      <c r="K55" s="49" t="s">
        <v>136</v>
      </c>
      <c r="L55" s="64"/>
      <c r="M55" s="49" t="s">
        <v>426</v>
      </c>
      <c r="N55" s="49">
        <v>2582</v>
      </c>
      <c r="O55" s="65" t="s">
        <v>460</v>
      </c>
      <c r="P55" s="49" t="str">
        <f t="shared" si="18"/>
        <v>29/09/2023</v>
      </c>
      <c r="Q55" s="68">
        <f>IF(P55="",0,DATEDIF(P55,$C$1,"Y"))</f>
        <v>1</v>
      </c>
      <c r="R55" s="68">
        <f>IF(P55="",0,DATEDIF(P55,$C$1,"YM"))</f>
        <v>8</v>
      </c>
      <c r="S55" s="68">
        <f>IF(P55="",0,DATEDIF(P55,$C$1,"MD"))</f>
        <v>22</v>
      </c>
      <c r="T55" s="65"/>
      <c r="U55" s="65"/>
      <c r="V55" s="49" t="str">
        <f t="shared" si="19"/>
        <v/>
      </c>
      <c r="W55" s="68">
        <f>IF(V55="",0,DATEDIF(V55,P55,"Y"))</f>
        <v>0</v>
      </c>
      <c r="X55" s="68">
        <f>IF(V55="",0,DATEDIF(V55,P55,"YM"))</f>
        <v>0</v>
      </c>
      <c r="Y55" s="68">
        <f>IF(V55="",0,DATEDIF(V55,P55,"MD"))</f>
        <v>0</v>
      </c>
      <c r="Z55" s="49"/>
      <c r="AA55" s="65"/>
      <c r="AB55" s="50" t="str">
        <f t="shared" si="20"/>
        <v/>
      </c>
      <c r="AC55" s="68">
        <f t="shared" si="21"/>
        <v>0</v>
      </c>
      <c r="AD55" s="68">
        <f t="shared" si="22"/>
        <v>0</v>
      </c>
      <c r="AE55" s="68">
        <f t="shared" si="23"/>
        <v>0</v>
      </c>
      <c r="AF55" s="50"/>
      <c r="AG55" s="50" t="s">
        <v>138</v>
      </c>
      <c r="AH55" s="49" t="str">
        <f>IF(AG55="นิติศาสตร์","K5-LAW","K5-POLICY")</f>
        <v>K5-LAW</v>
      </c>
      <c r="AI55" s="72" t="str">
        <f>_xlfn.IFS(B55="","",AND(AH55="K5-LAW",AG55="นิติศาสตร์",K55="S2",T55="",Z55=""),P55,AND(AH55="K5-LAW",AG55="นิติศาสตร์",K55="S1",T55="",Z55=""),EDATE(P55,12),AND(AH55="K5-LAW",AG55="นิติศาสตร์",OR(K55="M2",K55="K4"),T55="",Z55=""),EDATE(P55,12*2),AND(AH55="K5-LAW",AG55="นิติศาสตร์",OR(Z55="M2",Z55="K4"),AC55&gt;=2,OR(AB55&lt;V55,AB55&lt;P55)),EDATE(AB55,12*2),AND(AH55="K5-LAW",AG55="นิติศาสตร์",Z55="S1",AC55&gt;=1,OR(AB55&lt;V55,AB55&lt;P55)),EDATE(AB55,12),AND(AH55="K5-LAW",AG55="นิติศาสตร์",OR(T55="M2",T55="K4"),W55&gt;=2,V55&lt;P55),EDATE(V55,12*2),AND(AH55="K5-LAW",AG55="นิติศาสตร์",T55="S1",W55&gt;=1,V55&lt;P55),EDATE(V55,12),AND(AH55="K5-LAW",AG55="นิติศาสตร์",OR(T55="S2",T55="K5")),V55,AND(AH55="K5-LAW",AG55="นิติศาสตร์",OR(K55="M2",K55="K4"),Q55&gt;=2),EDATE(P55,12*2),AND(AH55="K5-LAW",AG55="นิติศาสตร์",K55="S1",Q55&gt;=1),EDATE(P55,12),AND(AH55="K5-LAW",AG55="นิติศาสตร์",OR(K55="S2",K55="K5")),P55,AND(AH55="K5-POLICY",AG55&lt;&gt;"นิติศาสตร์",K55="S2",T55="",Z55=""),P55,AND(AH55="K5-POLICY",AG55&lt;&gt;"นิติศาสตร์",K55="S1",T55="",Z55=""),EDATE(P55,12),AND(AH55="K5-POLICY",AG55&lt;&gt;"นิติศาสตร์",OR(K55="M2",K55="K4"),T55="",Z55=""),EDATE(P55,12*2),AND(AH55="K5-POLICY",AG55&lt;&gt;"นิติศาสตร์",OR(Z55="M2",Z55="K4"),AC55&gt;=2,OR(AB55&lt;V55,AB55&lt;P55)),EDATE(AB55,12*2),AND(AH55="K5-POLICY",AG55&lt;&gt;"นิติศาสตร์",Z55="S1",AC55&gt;=1,OR(AB55&lt;V55,AB55&lt;P55)),EDATE(AB55,12),AND(AH55="K5-POLICY",AG55&lt;&gt;"นิติศาสตร์",OR(T55="M2",T55="K4"),W55&gt;=2,V55&lt;P55),EDATE(V55,12*2),AND(AH55="K5-POLICY",AG55&lt;&gt;"นิติศาสตร์",T55="S1",W55&gt;=1,V55&lt;P55),EDATE(V55,12),AND(AH55="K5-POLICY",AG55&lt;&gt;"นิติศาสตร์",OR(T55="S2",T55="K5")),V55,AND(AH55="K5-POLICY",AG55&lt;&gt;"นิติศาสตร์",OR(K55="M2",K55="K4"),Q55&gt;=2),EDATE(P55,12*2),AND(AH55="K5-POLICY",AG55&lt;&gt;"นิติศาสตร์",K55="S1",Q55&gt;=1),EDATE(P55,12),AND(AH55="K5-POLICY",AG55&lt;&gt;"นิติศาสตร์",OR(K55="S2",K55="K5")),P55,TRUE,"Check Data")</f>
        <v/>
      </c>
      <c r="AJ55" s="75" t="str">
        <f t="shared" si="24"/>
        <v>Check Data</v>
      </c>
      <c r="AK55" s="76" t="str">
        <f t="shared" si="25"/>
        <v>Check Data</v>
      </c>
      <c r="AL55" s="50" t="str">
        <f t="shared" si="26"/>
        <v>Check Data</v>
      </c>
      <c r="AM55" s="49" t="str">
        <f>IF(B55="","",IF(K55="S1","S1",INDEX(#REF!,#REF!)))</f>
        <v/>
      </c>
      <c r="AN55" s="49" t="str">
        <f t="shared" si="27"/>
        <v>M2</v>
      </c>
      <c r="AO55" s="50" t="b">
        <f>K55=AM55</f>
        <v>0</v>
      </c>
      <c r="AP55" s="50"/>
    </row>
    <row r="56" spans="1:42" ht="21.75">
      <c r="A56" s="49">
        <v>54</v>
      </c>
      <c r="B56" s="50"/>
      <c r="C56" s="50"/>
      <c r="D56" s="50" t="s">
        <v>139</v>
      </c>
      <c r="E56" s="49" t="s">
        <v>231</v>
      </c>
      <c r="F56" s="49" t="str">
        <f t="shared" si="14"/>
        <v>15/05/1995</v>
      </c>
      <c r="G56" s="50">
        <f t="shared" si="15"/>
        <v>30</v>
      </c>
      <c r="H56" s="50">
        <f t="shared" si="16"/>
        <v>1</v>
      </c>
      <c r="I56" s="50">
        <f t="shared" si="17"/>
        <v>5</v>
      </c>
      <c r="J56" s="56"/>
      <c r="K56" s="49" t="s">
        <v>136</v>
      </c>
      <c r="L56" s="64"/>
      <c r="M56" s="49" t="s">
        <v>427</v>
      </c>
      <c r="N56" s="49">
        <v>2573</v>
      </c>
      <c r="O56" s="65" t="s">
        <v>227</v>
      </c>
      <c r="P56" s="49" t="str">
        <f t="shared" si="18"/>
        <v>12/10/2023</v>
      </c>
      <c r="Q56" s="68">
        <f>IF(P56="",0,DATEDIF(P56,$C$1,"Y"))</f>
        <v>1</v>
      </c>
      <c r="R56" s="68">
        <f>IF(P56="",0,DATEDIF(P56,$C$1,"YM"))</f>
        <v>8</v>
      </c>
      <c r="S56" s="68">
        <f>IF(P56="",0,DATEDIF(P56,$C$1,"MD"))</f>
        <v>8</v>
      </c>
      <c r="T56" s="65"/>
      <c r="U56" s="65"/>
      <c r="V56" s="49" t="str">
        <f t="shared" si="19"/>
        <v/>
      </c>
      <c r="W56" s="68">
        <f>IF(V56="",0,DATEDIF(V56,P56,"Y"))</f>
        <v>0</v>
      </c>
      <c r="X56" s="68">
        <f>IF(V56="",0,DATEDIF(V56,P56,"YM"))</f>
        <v>0</v>
      </c>
      <c r="Y56" s="68">
        <f>IF(V56="",0,DATEDIF(V56,P56,"MD"))</f>
        <v>0</v>
      </c>
      <c r="Z56" s="49"/>
      <c r="AA56" s="65"/>
      <c r="AB56" s="50" t="str">
        <f t="shared" si="20"/>
        <v/>
      </c>
      <c r="AC56" s="68">
        <f t="shared" si="21"/>
        <v>0</v>
      </c>
      <c r="AD56" s="68">
        <f t="shared" si="22"/>
        <v>0</v>
      </c>
      <c r="AE56" s="68">
        <f t="shared" si="23"/>
        <v>0</v>
      </c>
      <c r="AF56" s="50"/>
      <c r="AG56" s="50" t="s">
        <v>138</v>
      </c>
      <c r="AH56" s="49" t="str">
        <f>IF(AG56="นิติศาสตร์","K5-LAW","K5-POLICY")</f>
        <v>K5-LAW</v>
      </c>
      <c r="AI56" s="72" t="str">
        <f>_xlfn.IFS(B56="","",AND(AH56="K5-LAW",AG56="นิติศาสตร์",K56="S2",T56="",Z56=""),P56,AND(AH56="K5-LAW",AG56="นิติศาสตร์",K56="S1",T56="",Z56=""),EDATE(P56,12),AND(AH56="K5-LAW",AG56="นิติศาสตร์",OR(K56="M2",K56="K4"),T56="",Z56=""),EDATE(P56,12*2),AND(AH56="K5-LAW",AG56="นิติศาสตร์",OR(Z56="M2",Z56="K4"),AC56&gt;=2,OR(AB56&lt;V56,AB56&lt;P56)),EDATE(AB56,12*2),AND(AH56="K5-LAW",AG56="นิติศาสตร์",Z56="S1",AC56&gt;=1,OR(AB56&lt;V56,AB56&lt;P56)),EDATE(AB56,12),AND(AH56="K5-LAW",AG56="นิติศาสตร์",OR(T56="M2",T56="K4"),W56&gt;=2,V56&lt;P56),EDATE(V56,12*2),AND(AH56="K5-LAW",AG56="นิติศาสตร์",T56="S1",W56&gt;=1,V56&lt;P56),EDATE(V56,12),AND(AH56="K5-LAW",AG56="นิติศาสตร์",OR(T56="S2",T56="K5")),V56,AND(AH56="K5-LAW",AG56="นิติศาสตร์",OR(K56="M2",K56="K4"),Q56&gt;=2),EDATE(P56,12*2),AND(AH56="K5-LAW",AG56="นิติศาสตร์",K56="S1",Q56&gt;=1),EDATE(P56,12),AND(AH56="K5-LAW",AG56="นิติศาสตร์",OR(K56="S2",K56="K5")),P56,AND(AH56="K5-POLICY",AG56&lt;&gt;"นิติศาสตร์",K56="S2",T56="",Z56=""),P56,AND(AH56="K5-POLICY",AG56&lt;&gt;"นิติศาสตร์",K56="S1",T56="",Z56=""),EDATE(P56,12),AND(AH56="K5-POLICY",AG56&lt;&gt;"นิติศาสตร์",OR(K56="M2",K56="K4"),T56="",Z56=""),EDATE(P56,12*2),AND(AH56="K5-POLICY",AG56&lt;&gt;"นิติศาสตร์",OR(Z56="M2",Z56="K4"),AC56&gt;=2,OR(AB56&lt;V56,AB56&lt;P56)),EDATE(AB56,12*2),AND(AH56="K5-POLICY",AG56&lt;&gt;"นิติศาสตร์",Z56="S1",AC56&gt;=1,OR(AB56&lt;V56,AB56&lt;P56)),EDATE(AB56,12),AND(AH56="K5-POLICY",AG56&lt;&gt;"นิติศาสตร์",OR(T56="M2",T56="K4"),W56&gt;=2,V56&lt;P56),EDATE(V56,12*2),AND(AH56="K5-POLICY",AG56&lt;&gt;"นิติศาสตร์",T56="S1",W56&gt;=1,V56&lt;P56),EDATE(V56,12),AND(AH56="K5-POLICY",AG56&lt;&gt;"นิติศาสตร์",OR(T56="S2",T56="K5")),V56,AND(AH56="K5-POLICY",AG56&lt;&gt;"นิติศาสตร์",OR(K56="M2",K56="K4"),Q56&gt;=2),EDATE(P56,12*2),AND(AH56="K5-POLICY",AG56&lt;&gt;"นิติศาสตร์",K56="S1",Q56&gt;=1),EDATE(P56,12),AND(AH56="K5-POLICY",AG56&lt;&gt;"นิติศาสตร์",OR(K56="S2",K56="K5")),P56,TRUE,"Check Data")</f>
        <v/>
      </c>
      <c r="AJ56" s="75" t="str">
        <f t="shared" si="24"/>
        <v>Check Data</v>
      </c>
      <c r="AK56" s="76" t="str">
        <f t="shared" si="25"/>
        <v>Check Data</v>
      </c>
      <c r="AL56" s="50" t="str">
        <f t="shared" si="26"/>
        <v>Check Data</v>
      </c>
      <c r="AM56" s="49" t="str">
        <f>IF(B56="","",IF(K56="S1","S1",INDEX(#REF!,#REF!)))</f>
        <v/>
      </c>
      <c r="AN56" s="49" t="str">
        <f t="shared" si="27"/>
        <v>M2</v>
      </c>
      <c r="AO56" s="50" t="b">
        <f>K56=AM56</f>
        <v>0</v>
      </c>
      <c r="AP56" s="50"/>
    </row>
    <row r="57" spans="1:42" ht="21.75">
      <c r="A57" s="49">
        <v>55</v>
      </c>
      <c r="B57" s="50"/>
      <c r="C57" s="50"/>
      <c r="D57" s="50" t="s">
        <v>142</v>
      </c>
      <c r="E57" s="49" t="s">
        <v>279</v>
      </c>
      <c r="F57" s="49" t="str">
        <f t="shared" si="14"/>
        <v>02/11/1987</v>
      </c>
      <c r="G57" s="50">
        <f t="shared" si="15"/>
        <v>37</v>
      </c>
      <c r="H57" s="50">
        <f t="shared" si="16"/>
        <v>7</v>
      </c>
      <c r="I57" s="50">
        <f t="shared" si="17"/>
        <v>18</v>
      </c>
      <c r="J57" s="58"/>
      <c r="K57" s="49" t="s">
        <v>136</v>
      </c>
      <c r="L57" s="64"/>
      <c r="M57" s="49" t="s">
        <v>427</v>
      </c>
      <c r="N57" s="49">
        <v>0</v>
      </c>
      <c r="O57" s="65" t="s">
        <v>257</v>
      </c>
      <c r="P57" s="49" t="str">
        <f t="shared" ref="P57:P63" si="28">TEXT(EDATE(O57,-543*12),"dd/mm/yyyy")</f>
        <v>19/12/2023</v>
      </c>
      <c r="Q57" s="68">
        <f>IF(P57="",0,DATEDIF(P57,$C$1,"Y"))</f>
        <v>1</v>
      </c>
      <c r="R57" s="68">
        <f>IF(P57="",0,DATEDIF(P57,$C$1,"YM"))</f>
        <v>6</v>
      </c>
      <c r="S57" s="68">
        <f>IF(P57="",0,DATEDIF(P57,$C$1,"MD"))</f>
        <v>1</v>
      </c>
      <c r="T57" s="65"/>
      <c r="U57" s="65"/>
      <c r="V57" s="49" t="str">
        <f t="shared" ref="V57:V63" si="29">IF(U57="","",TEXT(EDATE(U57,-543*12),"dd/mm/yyyy"))</f>
        <v/>
      </c>
      <c r="W57" s="68">
        <f>IF(V57="",0,DATEDIF(V57,P57,"Y"))</f>
        <v>0</v>
      </c>
      <c r="X57" s="68">
        <f>IF(V57="",0,DATEDIF(V57,P57,"YM"))</f>
        <v>0</v>
      </c>
      <c r="Y57" s="68">
        <f>IF(V57="",0,DATEDIF(V57,P57,"MD"))</f>
        <v>0</v>
      </c>
      <c r="Z57" s="49"/>
      <c r="AA57" s="65"/>
      <c r="AB57" s="50" t="str">
        <f t="shared" ref="AB57:AB63" si="30">IF(AA57="","",TEXT(EDATE(AA57,-543*12),"dd/mm/yyyy"))</f>
        <v/>
      </c>
      <c r="AC57" s="68">
        <f t="shared" ref="AC57:AC63" si="31">IF(AB57="",0,DATEDIF(AB57,V57,"Y"))</f>
        <v>0</v>
      </c>
      <c r="AD57" s="68">
        <f t="shared" ref="AD57:AD63" si="32">IF(AB57="",0,DATEDIF(AB57,V57,"YM"))</f>
        <v>0</v>
      </c>
      <c r="AE57" s="68">
        <f t="shared" ref="AE57:AE63" si="33">IF(AB57="",0,DATEDIF(AB57,V57,"MD"))</f>
        <v>0</v>
      </c>
      <c r="AF57" s="50"/>
      <c r="AG57" s="50" t="s">
        <v>138</v>
      </c>
      <c r="AH57" s="49" t="str">
        <f>IF(AG57="นิติศาสตร์","K5-LAW","K5-POLICY")</f>
        <v>K5-LAW</v>
      </c>
      <c r="AI57" s="72" t="str">
        <f>_xlfn.IFS(B57="","",AND(AH57="K5-LAW",AG57="นิติศาสตร์",K57="S2",T57="",Z57=""),P57,AND(AH57="K5-LAW",AG57="นิติศาสตร์",K57="S1",T57="",Z57=""),EDATE(P57,12),AND(AH57="K5-LAW",AG57="นิติศาสตร์",OR(K57="M2",K57="K4"),T57="",Z57=""),EDATE(P57,12*2),AND(AH57="K5-LAW",AG57="นิติศาสตร์",OR(Z57="M2",Z57="K4"),AC57&gt;=2,OR(AB57&lt;V57,AB57&lt;P57)),EDATE(AB57,12*2),AND(AH57="K5-LAW",AG57="นิติศาสตร์",Z57="S1",AC57&gt;=1,OR(AB57&lt;V57,AB57&lt;P57)),EDATE(AB57,12),AND(AH57="K5-LAW",AG57="นิติศาสตร์",OR(T57="M2",T57="K4"),W57&gt;=2,V57&lt;P57),EDATE(V57,12*2),AND(AH57="K5-LAW",AG57="นิติศาสตร์",T57="S1",W57&gt;=1,V57&lt;P57),EDATE(V57,12),AND(AH57="K5-LAW",AG57="นิติศาสตร์",OR(T57="S2",T57="K5")),V57,AND(AH57="K5-LAW",AG57="นิติศาสตร์",OR(K57="M2",K57="K4"),Q57&gt;=2),EDATE(P57,12*2),AND(AH57="K5-LAW",AG57="นิติศาสตร์",K57="S1",Q57&gt;=1),EDATE(P57,12),AND(AH57="K5-LAW",AG57="นิติศาสตร์",OR(K57="S2",K57="K5")),P57,AND(AH57="K5-POLICY",AG57&lt;&gt;"นิติศาสตร์",K57="S2",T57="",Z57=""),P57,AND(AH57="K5-POLICY",AG57&lt;&gt;"นิติศาสตร์",K57="S1",T57="",Z57=""),EDATE(P57,12),AND(AH57="K5-POLICY",AG57&lt;&gt;"นิติศาสตร์",OR(K57="M2",K57="K4"),T57="",Z57=""),EDATE(P57,12*2),AND(AH57="K5-POLICY",AG57&lt;&gt;"นิติศาสตร์",OR(Z57="M2",Z57="K4"),AC57&gt;=2,OR(AB57&lt;V57,AB57&lt;P57)),EDATE(AB57,12*2),AND(AH57="K5-POLICY",AG57&lt;&gt;"นิติศาสตร์",Z57="S1",AC57&gt;=1,OR(AB57&lt;V57,AB57&lt;P57)),EDATE(AB57,12),AND(AH57="K5-POLICY",AG57&lt;&gt;"นิติศาสตร์",OR(T57="M2",T57="K4"),W57&gt;=2,V57&lt;P57),EDATE(V57,12*2),AND(AH57="K5-POLICY",AG57&lt;&gt;"นิติศาสตร์",T57="S1",W57&gt;=1,V57&lt;P57),EDATE(V57,12),AND(AH57="K5-POLICY",AG57&lt;&gt;"นิติศาสตร์",OR(T57="S2",T57="K5")),V57,AND(AH57="K5-POLICY",AG57&lt;&gt;"นิติศาสตร์",OR(K57="M2",K57="K4"),Q57&gt;=2),EDATE(P57,12*2),AND(AH57="K5-POLICY",AG57&lt;&gt;"นิติศาสตร์",K57="S1",Q57&gt;=1),EDATE(P57,12),AND(AH57="K5-POLICY",AG57&lt;&gt;"นิติศาสตร์",OR(K57="S2",K57="K5")),P57,TRUE,"Check Data")</f>
        <v/>
      </c>
      <c r="AJ57" s="75" t="str">
        <f t="shared" ref="AJ57:AJ63" si="34">IFERROR(TEXT(EDATE(AI57,543*12),"dd/mm/yyyy"),"Check Data")</f>
        <v>Check Data</v>
      </c>
      <c r="AK57" s="76" t="str">
        <f t="shared" si="25"/>
        <v>Check Data</v>
      </c>
      <c r="AL57" s="50" t="str">
        <f t="shared" ref="AL57:AL63" si="35">_xlfn.IFS(AK57="Check Data","Check Data",AK57&gt;30,"ยังไม่ถึงเกณฑ์",AK57&gt;0,"ใกล้ถึงเกณฑ์",AK57=0,"ถึงเกณฑ์",AK57&lt;0,"ถึงเกณฑ์นานแล้ว")</f>
        <v>Check Data</v>
      </c>
      <c r="AM57" s="49" t="str">
        <f>IF(B57="","",IF(K57="S1","S1",INDEX(#REF!,#REF!)))</f>
        <v/>
      </c>
      <c r="AN57" s="49" t="str">
        <f>K57</f>
        <v>M2</v>
      </c>
      <c r="AO57" s="50" t="b">
        <f>K57=AM57</f>
        <v>0</v>
      </c>
      <c r="AP57" s="50"/>
    </row>
    <row r="58" spans="1:42" ht="21.75">
      <c r="A58" s="49">
        <v>56</v>
      </c>
      <c r="B58" s="50"/>
      <c r="C58" s="50"/>
      <c r="D58" s="50" t="s">
        <v>141</v>
      </c>
      <c r="E58" s="49" t="s">
        <v>265</v>
      </c>
      <c r="F58" s="49" t="str">
        <f t="shared" si="14"/>
        <v>01/09/1993</v>
      </c>
      <c r="G58" s="50">
        <f t="shared" si="15"/>
        <v>31</v>
      </c>
      <c r="H58" s="50">
        <f t="shared" si="16"/>
        <v>9</v>
      </c>
      <c r="I58" s="50">
        <f t="shared" si="17"/>
        <v>19</v>
      </c>
      <c r="J58" s="60"/>
      <c r="K58" s="49" t="s">
        <v>136</v>
      </c>
      <c r="L58" s="64"/>
      <c r="M58" s="49" t="s">
        <v>427</v>
      </c>
      <c r="N58" s="49">
        <v>2569</v>
      </c>
      <c r="O58" s="65" t="s">
        <v>257</v>
      </c>
      <c r="P58" s="49" t="str">
        <f t="shared" si="28"/>
        <v>19/12/2023</v>
      </c>
      <c r="Q58" s="68">
        <f>IF(P58="",0,DATEDIF(P58,$C$1,"Y"))</f>
        <v>1</v>
      </c>
      <c r="R58" s="68">
        <f>IF(P58="",0,DATEDIF(P58,$C$1,"YM"))</f>
        <v>6</v>
      </c>
      <c r="S58" s="68">
        <f>IF(P58="",0,DATEDIF(P58,$C$1,"MD"))</f>
        <v>1</v>
      </c>
      <c r="T58" s="65"/>
      <c r="U58" s="65"/>
      <c r="V58" s="49" t="str">
        <f t="shared" si="29"/>
        <v/>
      </c>
      <c r="W58" s="68">
        <f>IF(V58="",0,DATEDIF(V58,P58,"Y"))</f>
        <v>0</v>
      </c>
      <c r="X58" s="68">
        <f>IF(V58="",0,DATEDIF(V58,P58,"YM"))</f>
        <v>0</v>
      </c>
      <c r="Y58" s="68">
        <f>IF(V58="",0,DATEDIF(V58,P58,"MD"))</f>
        <v>0</v>
      </c>
      <c r="Z58" s="49"/>
      <c r="AA58" s="65"/>
      <c r="AB58" s="50" t="str">
        <f t="shared" si="30"/>
        <v/>
      </c>
      <c r="AC58" s="68">
        <f t="shared" si="31"/>
        <v>0</v>
      </c>
      <c r="AD58" s="68">
        <f t="shared" si="32"/>
        <v>0</v>
      </c>
      <c r="AE58" s="68">
        <f t="shared" si="33"/>
        <v>0</v>
      </c>
      <c r="AF58" s="50"/>
      <c r="AG58" s="50" t="s">
        <v>138</v>
      </c>
      <c r="AH58" s="49" t="str">
        <f>IF(AG58="นิติศาสตร์","K5-LAW","K5-POLICY")</f>
        <v>K5-LAW</v>
      </c>
      <c r="AI58" s="72" t="str">
        <f>_xlfn.IFS(B58="","",AND(AH58="K5-LAW",AG58="นิติศาสตร์",K58="S2",T58="",Z58=""),P58,AND(AH58="K5-LAW",AG58="นิติศาสตร์",K58="S1",T58="",Z58=""),EDATE(P58,12),AND(AH58="K5-LAW",AG58="นิติศาสตร์",OR(K58="M2",K58="K4"),T58="",Z58=""),EDATE(P58,12*2),AND(AH58="K5-LAW",AG58="นิติศาสตร์",OR(Z58="M2",Z58="K4"),AC58&gt;=2,OR(AB58&lt;V58,AB58&lt;P58)),EDATE(AB58,12*2),AND(AH58="K5-LAW",AG58="นิติศาสตร์",Z58="S1",AC58&gt;=1,OR(AB58&lt;V58,AB58&lt;P58)),EDATE(AB58,12),AND(AH58="K5-LAW",AG58="นิติศาสตร์",OR(T58="M2",T58="K4"),W58&gt;=2,V58&lt;P58),EDATE(V58,12*2),AND(AH58="K5-LAW",AG58="นิติศาสตร์",T58="S1",W58&gt;=1,V58&lt;P58),EDATE(V58,12),AND(AH58="K5-LAW",AG58="นิติศาสตร์",OR(T58="S2",T58="K5")),V58,AND(AH58="K5-LAW",AG58="นิติศาสตร์",OR(K58="M2",K58="K4"),Q58&gt;=2),EDATE(P58,12*2),AND(AH58="K5-LAW",AG58="นิติศาสตร์",K58="S1",Q58&gt;=1),EDATE(P58,12),AND(AH58="K5-LAW",AG58="นิติศาสตร์",OR(K58="S2",K58="K5")),P58,AND(AH58="K5-POLICY",AG58&lt;&gt;"นิติศาสตร์",K58="S2",T58="",Z58=""),P58,AND(AH58="K5-POLICY",AG58&lt;&gt;"นิติศาสตร์",K58="S1",T58="",Z58=""),EDATE(P58,12),AND(AH58="K5-POLICY",AG58&lt;&gt;"นิติศาสตร์",OR(K58="M2",K58="K4"),T58="",Z58=""),EDATE(P58,12*2),AND(AH58="K5-POLICY",AG58&lt;&gt;"นิติศาสตร์",OR(Z58="M2",Z58="K4"),AC58&gt;=2,OR(AB58&lt;V58,AB58&lt;P58)),EDATE(AB58,12*2),AND(AH58="K5-POLICY",AG58&lt;&gt;"นิติศาสตร์",Z58="S1",AC58&gt;=1,OR(AB58&lt;V58,AB58&lt;P58)),EDATE(AB58,12),AND(AH58="K5-POLICY",AG58&lt;&gt;"นิติศาสตร์",OR(T58="M2",T58="K4"),W58&gt;=2,V58&lt;P58),EDATE(V58,12*2),AND(AH58="K5-POLICY",AG58&lt;&gt;"นิติศาสตร์",T58="S1",W58&gt;=1,V58&lt;P58),EDATE(V58,12),AND(AH58="K5-POLICY",AG58&lt;&gt;"นิติศาสตร์",OR(T58="S2",T58="K5")),V58,AND(AH58="K5-POLICY",AG58&lt;&gt;"นิติศาสตร์",OR(K58="M2",K58="K4"),Q58&gt;=2),EDATE(P58,12*2),AND(AH58="K5-POLICY",AG58&lt;&gt;"นิติศาสตร์",K58="S1",Q58&gt;=1),EDATE(P58,12),AND(AH58="K5-POLICY",AG58&lt;&gt;"นิติศาสตร์",OR(K58="S2",K58="K5")),P58,TRUE,"Check Data")</f>
        <v/>
      </c>
      <c r="AJ58" s="75" t="str">
        <f t="shared" si="34"/>
        <v>Check Data</v>
      </c>
      <c r="AK58" s="76" t="str">
        <f t="shared" si="25"/>
        <v>Check Data</v>
      </c>
      <c r="AL58" s="50" t="str">
        <f t="shared" si="35"/>
        <v>Check Data</v>
      </c>
      <c r="AM58" s="49" t="str">
        <f>IF(B58="","",IF(K58="S1","S1",INDEX(#REF!,#REF!)))</f>
        <v/>
      </c>
      <c r="AN58" s="49" t="str">
        <f>K58</f>
        <v>M2</v>
      </c>
      <c r="AO58" s="50" t="b">
        <f>K58=AM58</f>
        <v>0</v>
      </c>
      <c r="AP58" s="50"/>
    </row>
    <row r="59" spans="1:42" ht="21.75">
      <c r="A59" s="49">
        <v>57</v>
      </c>
      <c r="B59" s="50"/>
      <c r="C59" s="50"/>
      <c r="D59" s="50" t="s">
        <v>141</v>
      </c>
      <c r="E59" s="49" t="s">
        <v>256</v>
      </c>
      <c r="F59" s="49" t="str">
        <f t="shared" si="14"/>
        <v>01/02/1993</v>
      </c>
      <c r="G59" s="50">
        <f t="shared" si="15"/>
        <v>32</v>
      </c>
      <c r="H59" s="50">
        <f t="shared" si="16"/>
        <v>4</v>
      </c>
      <c r="I59" s="50">
        <f t="shared" si="17"/>
        <v>19</v>
      </c>
      <c r="J59" s="58"/>
      <c r="K59" s="49" t="s">
        <v>136</v>
      </c>
      <c r="L59" s="64"/>
      <c r="M59" s="49" t="s">
        <v>427</v>
      </c>
      <c r="N59" s="49">
        <v>2571</v>
      </c>
      <c r="O59" s="65" t="s">
        <v>257</v>
      </c>
      <c r="P59" s="49" t="str">
        <f t="shared" si="28"/>
        <v>19/12/2023</v>
      </c>
      <c r="Q59" s="68">
        <f>IF(P59="",0,DATEDIF(P59,$C$1,"Y"))</f>
        <v>1</v>
      </c>
      <c r="R59" s="68">
        <f>IF(P59="",0,DATEDIF(P59,$C$1,"YM"))</f>
        <v>6</v>
      </c>
      <c r="S59" s="68">
        <f>IF(P59="",0,DATEDIF(P59,$C$1,"MD"))</f>
        <v>1</v>
      </c>
      <c r="T59" s="65"/>
      <c r="U59" s="65"/>
      <c r="V59" s="49" t="str">
        <f t="shared" si="29"/>
        <v/>
      </c>
      <c r="W59" s="68">
        <f>IF(V59="",0,DATEDIF(V59,P59,"Y"))</f>
        <v>0</v>
      </c>
      <c r="X59" s="68">
        <f>IF(V59="",0,DATEDIF(V59,P59,"YM"))</f>
        <v>0</v>
      </c>
      <c r="Y59" s="68">
        <f>IF(V59="",0,DATEDIF(V59,P59,"MD"))</f>
        <v>0</v>
      </c>
      <c r="Z59" s="49"/>
      <c r="AA59" s="65"/>
      <c r="AB59" s="50" t="str">
        <f t="shared" si="30"/>
        <v/>
      </c>
      <c r="AC59" s="68">
        <f t="shared" si="31"/>
        <v>0</v>
      </c>
      <c r="AD59" s="68">
        <f t="shared" si="32"/>
        <v>0</v>
      </c>
      <c r="AE59" s="68">
        <f t="shared" si="33"/>
        <v>0</v>
      </c>
      <c r="AF59" s="50"/>
      <c r="AG59" s="50" t="s">
        <v>138</v>
      </c>
      <c r="AH59" s="49" t="str">
        <f>IF(AG59="นิติศาสตร์","K5-LAW","K5-POLICY")</f>
        <v>K5-LAW</v>
      </c>
      <c r="AI59" s="72" t="str">
        <f>_xlfn.IFS(B59="","",AND(AH59="K5-LAW",AG59="นิติศาสตร์",K59="S2",T59="",Z59=""),P59,AND(AH59="K5-LAW",AG59="นิติศาสตร์",K59="S1",T59="",Z59=""),EDATE(P59,12),AND(AH59="K5-LAW",AG59="นิติศาสตร์",OR(K59="M2",K59="K4"),T59="",Z59=""),EDATE(P59,12*2),AND(AH59="K5-LAW",AG59="นิติศาสตร์",OR(Z59="M2",Z59="K4"),AC59&gt;=2,OR(AB59&lt;V59,AB59&lt;P59)),EDATE(AB59,12*2),AND(AH59="K5-LAW",AG59="นิติศาสตร์",Z59="S1",AC59&gt;=1,OR(AB59&lt;V59,AB59&lt;P59)),EDATE(AB59,12),AND(AH59="K5-LAW",AG59="นิติศาสตร์",OR(T59="M2",T59="K4"),W59&gt;=2,V59&lt;P59),EDATE(V59,12*2),AND(AH59="K5-LAW",AG59="นิติศาสตร์",T59="S1",W59&gt;=1,V59&lt;P59),EDATE(V59,12),AND(AH59="K5-LAW",AG59="นิติศาสตร์",OR(T59="S2",T59="K5")),V59,AND(AH59="K5-LAW",AG59="นิติศาสตร์",OR(K59="M2",K59="K4"),Q59&gt;=2),EDATE(P59,12*2),AND(AH59="K5-LAW",AG59="นิติศาสตร์",K59="S1",Q59&gt;=1),EDATE(P59,12),AND(AH59="K5-LAW",AG59="นิติศาสตร์",OR(K59="S2",K59="K5")),P59,AND(AH59="K5-POLICY",AG59&lt;&gt;"นิติศาสตร์",K59="S2",T59="",Z59=""),P59,AND(AH59="K5-POLICY",AG59&lt;&gt;"นิติศาสตร์",K59="S1",T59="",Z59=""),EDATE(P59,12),AND(AH59="K5-POLICY",AG59&lt;&gt;"นิติศาสตร์",OR(K59="M2",K59="K4"),T59="",Z59=""),EDATE(P59,12*2),AND(AH59="K5-POLICY",AG59&lt;&gt;"นิติศาสตร์",OR(Z59="M2",Z59="K4"),AC59&gt;=2,OR(AB59&lt;V59,AB59&lt;P59)),EDATE(AB59,12*2),AND(AH59="K5-POLICY",AG59&lt;&gt;"นิติศาสตร์",Z59="S1",AC59&gt;=1,OR(AB59&lt;V59,AB59&lt;P59)),EDATE(AB59,12),AND(AH59="K5-POLICY",AG59&lt;&gt;"นิติศาสตร์",OR(T59="M2",T59="K4"),W59&gt;=2,V59&lt;P59),EDATE(V59,12*2),AND(AH59="K5-POLICY",AG59&lt;&gt;"นิติศาสตร์",T59="S1",W59&gt;=1,V59&lt;P59),EDATE(V59,12),AND(AH59="K5-POLICY",AG59&lt;&gt;"นิติศาสตร์",OR(T59="S2",T59="K5")),V59,AND(AH59="K5-POLICY",AG59&lt;&gt;"นิติศาสตร์",OR(K59="M2",K59="K4"),Q59&gt;=2),EDATE(P59,12*2),AND(AH59="K5-POLICY",AG59&lt;&gt;"นิติศาสตร์",K59="S1",Q59&gt;=1),EDATE(P59,12),AND(AH59="K5-POLICY",AG59&lt;&gt;"นิติศาสตร์",OR(K59="S2",K59="K5")),P59,TRUE,"Check Data")</f>
        <v/>
      </c>
      <c r="AJ59" s="75" t="str">
        <f t="shared" si="34"/>
        <v>Check Data</v>
      </c>
      <c r="AK59" s="76" t="str">
        <f t="shared" si="25"/>
        <v>Check Data</v>
      </c>
      <c r="AL59" s="50" t="str">
        <f t="shared" si="35"/>
        <v>Check Data</v>
      </c>
      <c r="AM59" s="49" t="str">
        <f>IF(B59="","",IF(K59="S1","S1",INDEX(#REF!,#REF!)))</f>
        <v/>
      </c>
      <c r="AN59" s="49" t="str">
        <f>K59</f>
        <v>M2</v>
      </c>
      <c r="AO59" s="50" t="b">
        <f>K59=AM59</f>
        <v>0</v>
      </c>
      <c r="AP59" s="50"/>
    </row>
    <row r="60" spans="1:42" ht="21.75">
      <c r="A60" s="49">
        <v>58</v>
      </c>
      <c r="B60" s="50"/>
      <c r="C60" s="50"/>
      <c r="D60" s="50" t="s">
        <v>142</v>
      </c>
      <c r="E60" s="49" t="s">
        <v>280</v>
      </c>
      <c r="F60" s="49" t="str">
        <f t="shared" si="14"/>
        <v>13/07/1990</v>
      </c>
      <c r="G60" s="50">
        <f t="shared" si="15"/>
        <v>34</v>
      </c>
      <c r="H60" s="50">
        <f t="shared" si="16"/>
        <v>11</v>
      </c>
      <c r="I60" s="50">
        <f t="shared" si="17"/>
        <v>7</v>
      </c>
      <c r="J60" s="58"/>
      <c r="K60" s="49" t="s">
        <v>136</v>
      </c>
      <c r="L60" s="64"/>
      <c r="M60" s="49">
        <v>0</v>
      </c>
      <c r="N60" s="49">
        <v>0</v>
      </c>
      <c r="O60" s="65" t="s">
        <v>257</v>
      </c>
      <c r="P60" s="49" t="str">
        <f t="shared" si="28"/>
        <v>19/12/2023</v>
      </c>
      <c r="Q60" s="68">
        <f>IF(P60="",0,DATEDIF(P60,$C$1,"Y"))</f>
        <v>1</v>
      </c>
      <c r="R60" s="68">
        <f>IF(P60="",0,DATEDIF(P60,$C$1,"YM"))</f>
        <v>6</v>
      </c>
      <c r="S60" s="68">
        <f>IF(P60="",0,DATEDIF(P60,$C$1,"MD"))</f>
        <v>1</v>
      </c>
      <c r="T60" s="65"/>
      <c r="U60" s="65"/>
      <c r="V60" s="49" t="str">
        <f t="shared" si="29"/>
        <v/>
      </c>
      <c r="W60" s="68">
        <f>IF(V60="",0,DATEDIF(V60,P60,"Y"))</f>
        <v>0</v>
      </c>
      <c r="X60" s="68">
        <f>IF(V60="",0,DATEDIF(V60,P60,"YM"))</f>
        <v>0</v>
      </c>
      <c r="Y60" s="68">
        <f>IF(V60="",0,DATEDIF(V60,P60,"MD"))</f>
        <v>0</v>
      </c>
      <c r="Z60" s="49"/>
      <c r="AA60" s="65"/>
      <c r="AB60" s="50" t="str">
        <f t="shared" si="30"/>
        <v/>
      </c>
      <c r="AC60" s="68">
        <f t="shared" si="31"/>
        <v>0</v>
      </c>
      <c r="AD60" s="68">
        <f t="shared" si="32"/>
        <v>0</v>
      </c>
      <c r="AE60" s="68">
        <f t="shared" si="33"/>
        <v>0</v>
      </c>
      <c r="AF60" s="50"/>
      <c r="AG60" s="50" t="s">
        <v>138</v>
      </c>
      <c r="AH60" s="49" t="str">
        <f>IF(AG60="นิติศาสตร์","K5-LAW","K5-POLICY")</f>
        <v>K5-LAW</v>
      </c>
      <c r="AI60" s="72" t="str">
        <f>_xlfn.IFS(B60="","",AND(AH60="K5-LAW",AG60="นิติศาสตร์",K60="S2",T60="",Z60=""),P60,AND(AH60="K5-LAW",AG60="นิติศาสตร์",K60="S1",T60="",Z60=""),EDATE(P60,12),AND(AH60="K5-LAW",AG60="นิติศาสตร์",OR(K60="M2",K60="K4"),T60="",Z60=""),EDATE(P60,12*2),AND(AH60="K5-LAW",AG60="นิติศาสตร์",OR(Z60="M2",Z60="K4"),AC60&gt;=2,OR(AB60&lt;V60,AB60&lt;P60)),EDATE(AB60,12*2),AND(AH60="K5-LAW",AG60="นิติศาสตร์",Z60="S1",AC60&gt;=1,OR(AB60&lt;V60,AB60&lt;P60)),EDATE(AB60,12),AND(AH60="K5-LAW",AG60="นิติศาสตร์",OR(T60="M2",T60="K4"),W60&gt;=2,V60&lt;P60),EDATE(V60,12*2),AND(AH60="K5-LAW",AG60="นิติศาสตร์",T60="S1",W60&gt;=1,V60&lt;P60),EDATE(V60,12),AND(AH60="K5-LAW",AG60="นิติศาสตร์",OR(T60="S2",T60="K5")),V60,AND(AH60="K5-LAW",AG60="นิติศาสตร์",OR(K60="M2",K60="K4"),Q60&gt;=2),EDATE(P60,12*2),AND(AH60="K5-LAW",AG60="นิติศาสตร์",K60="S1",Q60&gt;=1),EDATE(P60,12),AND(AH60="K5-LAW",AG60="นิติศาสตร์",OR(K60="S2",K60="K5")),P60,AND(AH60="K5-POLICY",AG60&lt;&gt;"นิติศาสตร์",K60="S2",T60="",Z60=""),P60,AND(AH60="K5-POLICY",AG60&lt;&gt;"นิติศาสตร์",K60="S1",T60="",Z60=""),EDATE(P60,12),AND(AH60="K5-POLICY",AG60&lt;&gt;"นิติศาสตร์",OR(K60="M2",K60="K4"),T60="",Z60=""),EDATE(P60,12*2),AND(AH60="K5-POLICY",AG60&lt;&gt;"นิติศาสตร์",OR(Z60="M2",Z60="K4"),AC60&gt;=2,OR(AB60&lt;V60,AB60&lt;P60)),EDATE(AB60,12*2),AND(AH60="K5-POLICY",AG60&lt;&gt;"นิติศาสตร์",Z60="S1",AC60&gt;=1,OR(AB60&lt;V60,AB60&lt;P60)),EDATE(AB60,12),AND(AH60="K5-POLICY",AG60&lt;&gt;"นิติศาสตร์",OR(T60="M2",T60="K4"),W60&gt;=2,V60&lt;P60),EDATE(V60,12*2),AND(AH60="K5-POLICY",AG60&lt;&gt;"นิติศาสตร์",T60="S1",W60&gt;=1,V60&lt;P60),EDATE(V60,12),AND(AH60="K5-POLICY",AG60&lt;&gt;"นิติศาสตร์",OR(T60="S2",T60="K5")),V60,AND(AH60="K5-POLICY",AG60&lt;&gt;"นิติศาสตร์",OR(K60="M2",K60="K4"),Q60&gt;=2),EDATE(P60,12*2),AND(AH60="K5-POLICY",AG60&lt;&gt;"นิติศาสตร์",K60="S1",Q60&gt;=1),EDATE(P60,12),AND(AH60="K5-POLICY",AG60&lt;&gt;"นิติศาสตร์",OR(K60="S2",K60="K5")),P60,TRUE,"Check Data")</f>
        <v/>
      </c>
      <c r="AJ60" s="75" t="str">
        <f t="shared" si="34"/>
        <v>Check Data</v>
      </c>
      <c r="AK60" s="76" t="str">
        <f t="shared" si="25"/>
        <v>Check Data</v>
      </c>
      <c r="AL60" s="50" t="str">
        <f t="shared" si="35"/>
        <v>Check Data</v>
      </c>
      <c r="AM60" s="49" t="str">
        <f>IF(B60="","",IF(K60="S1","S1",INDEX(#REF!,#REF!)))</f>
        <v/>
      </c>
      <c r="AN60" s="49" t="str">
        <f>K60</f>
        <v>M2</v>
      </c>
      <c r="AO60" s="50" t="b">
        <f>K60=AM60</f>
        <v>0</v>
      </c>
      <c r="AP60" s="50"/>
    </row>
    <row r="61" spans="1:42" ht="21.75">
      <c r="A61" s="49">
        <v>59</v>
      </c>
      <c r="B61" s="50"/>
      <c r="C61" s="50"/>
      <c r="D61" s="50" t="s">
        <v>141</v>
      </c>
      <c r="E61" s="49" t="s">
        <v>266</v>
      </c>
      <c r="F61" s="49" t="str">
        <f t="shared" si="14"/>
        <v>16/09/1993</v>
      </c>
      <c r="G61" s="50">
        <f t="shared" si="15"/>
        <v>31</v>
      </c>
      <c r="H61" s="50">
        <f t="shared" si="16"/>
        <v>9</v>
      </c>
      <c r="I61" s="50">
        <f t="shared" si="17"/>
        <v>4</v>
      </c>
      <c r="J61" s="60"/>
      <c r="K61" s="49" t="s">
        <v>136</v>
      </c>
      <c r="L61" s="64"/>
      <c r="M61" s="49" t="s">
        <v>426</v>
      </c>
      <c r="N61" s="49">
        <v>2570</v>
      </c>
      <c r="O61" s="65" t="s">
        <v>257</v>
      </c>
      <c r="P61" s="49" t="str">
        <f t="shared" si="28"/>
        <v>19/12/2023</v>
      </c>
      <c r="Q61" s="68">
        <f>IF(P61="",0,DATEDIF(P61,$C$1,"Y"))</f>
        <v>1</v>
      </c>
      <c r="R61" s="68">
        <f>IF(P61="",0,DATEDIF(P61,$C$1,"YM"))</f>
        <v>6</v>
      </c>
      <c r="S61" s="68">
        <f>IF(P61="",0,DATEDIF(P61,$C$1,"MD"))</f>
        <v>1</v>
      </c>
      <c r="T61" s="65"/>
      <c r="U61" s="65"/>
      <c r="V61" s="49" t="str">
        <f t="shared" si="29"/>
        <v/>
      </c>
      <c r="W61" s="68">
        <f>IF(V61="",0,DATEDIF(V61,P61,"Y"))</f>
        <v>0</v>
      </c>
      <c r="X61" s="68">
        <f>IF(V61="",0,DATEDIF(V61,P61,"YM"))</f>
        <v>0</v>
      </c>
      <c r="Y61" s="68">
        <f>IF(V61="",0,DATEDIF(V61,P61,"MD"))</f>
        <v>0</v>
      </c>
      <c r="Z61" s="49"/>
      <c r="AA61" s="65"/>
      <c r="AB61" s="50" t="str">
        <f t="shared" si="30"/>
        <v/>
      </c>
      <c r="AC61" s="68">
        <f t="shared" si="31"/>
        <v>0</v>
      </c>
      <c r="AD61" s="68">
        <f t="shared" si="32"/>
        <v>0</v>
      </c>
      <c r="AE61" s="68">
        <f t="shared" si="33"/>
        <v>0</v>
      </c>
      <c r="AF61" s="50"/>
      <c r="AG61" s="50" t="s">
        <v>138</v>
      </c>
      <c r="AH61" s="49" t="str">
        <f>IF(AG61="นิติศาสตร์","K5-LAW","K5-POLICY")</f>
        <v>K5-LAW</v>
      </c>
      <c r="AI61" s="72" t="str">
        <f>_xlfn.IFS(B61="","",AND(AH61="K5-LAW",AG61="นิติศาสตร์",K61="S2",T61="",Z61=""),P61,AND(AH61="K5-LAW",AG61="นิติศาสตร์",K61="S1",T61="",Z61=""),EDATE(P61,12),AND(AH61="K5-LAW",AG61="นิติศาสตร์",OR(K61="M2",K61="K4"),T61="",Z61=""),EDATE(P61,12*2),AND(AH61="K5-LAW",AG61="นิติศาสตร์",OR(Z61="M2",Z61="K4"),AC61&gt;=2,OR(AB61&lt;V61,AB61&lt;P61)),EDATE(AB61,12*2),AND(AH61="K5-LAW",AG61="นิติศาสตร์",Z61="S1",AC61&gt;=1,OR(AB61&lt;V61,AB61&lt;P61)),EDATE(AB61,12),AND(AH61="K5-LAW",AG61="นิติศาสตร์",OR(T61="M2",T61="K4"),W61&gt;=2,V61&lt;P61),EDATE(V61,12*2),AND(AH61="K5-LAW",AG61="นิติศาสตร์",T61="S1",W61&gt;=1,V61&lt;P61),EDATE(V61,12),AND(AH61="K5-LAW",AG61="นิติศาสตร์",OR(T61="S2",T61="K5")),V61,AND(AH61="K5-LAW",AG61="นิติศาสตร์",OR(K61="M2",K61="K4"),Q61&gt;=2),EDATE(P61,12*2),AND(AH61="K5-LAW",AG61="นิติศาสตร์",K61="S1",Q61&gt;=1),EDATE(P61,12),AND(AH61="K5-LAW",AG61="นิติศาสตร์",OR(K61="S2",K61="K5")),P61,AND(AH61="K5-POLICY",AG61&lt;&gt;"นิติศาสตร์",K61="S2",T61="",Z61=""),P61,AND(AH61="K5-POLICY",AG61&lt;&gt;"นิติศาสตร์",K61="S1",T61="",Z61=""),EDATE(P61,12),AND(AH61="K5-POLICY",AG61&lt;&gt;"นิติศาสตร์",OR(K61="M2",K61="K4"),T61="",Z61=""),EDATE(P61,12*2),AND(AH61="K5-POLICY",AG61&lt;&gt;"นิติศาสตร์",OR(Z61="M2",Z61="K4"),AC61&gt;=2,OR(AB61&lt;V61,AB61&lt;P61)),EDATE(AB61,12*2),AND(AH61="K5-POLICY",AG61&lt;&gt;"นิติศาสตร์",Z61="S1",AC61&gt;=1,OR(AB61&lt;V61,AB61&lt;P61)),EDATE(AB61,12),AND(AH61="K5-POLICY",AG61&lt;&gt;"นิติศาสตร์",OR(T61="M2",T61="K4"),W61&gt;=2,V61&lt;P61),EDATE(V61,12*2),AND(AH61="K5-POLICY",AG61&lt;&gt;"นิติศาสตร์",T61="S1",W61&gt;=1,V61&lt;P61),EDATE(V61,12),AND(AH61="K5-POLICY",AG61&lt;&gt;"นิติศาสตร์",OR(T61="S2",T61="K5")),V61,AND(AH61="K5-POLICY",AG61&lt;&gt;"นิติศาสตร์",OR(K61="M2",K61="K4"),Q61&gt;=2),EDATE(P61,12*2),AND(AH61="K5-POLICY",AG61&lt;&gt;"นิติศาสตร์",K61="S1",Q61&gt;=1),EDATE(P61,12),AND(AH61="K5-POLICY",AG61&lt;&gt;"นิติศาสตร์",OR(K61="S2",K61="K5")),P61,TRUE,"Check Data")</f>
        <v/>
      </c>
      <c r="AJ61" s="75" t="str">
        <f t="shared" si="34"/>
        <v>Check Data</v>
      </c>
      <c r="AK61" s="76" t="str">
        <f t="shared" si="25"/>
        <v>Check Data</v>
      </c>
      <c r="AL61" s="50" t="str">
        <f t="shared" si="35"/>
        <v>Check Data</v>
      </c>
      <c r="AM61" s="49" t="str">
        <f>IF(B61="","",IF(K61="S1","S1",INDEX(#REF!,#REF!)))</f>
        <v/>
      </c>
      <c r="AN61" s="49" t="str">
        <f>K61</f>
        <v>M2</v>
      </c>
      <c r="AO61" s="50" t="b">
        <f>K61=AM61</f>
        <v>0</v>
      </c>
      <c r="AP61" s="50"/>
    </row>
    <row r="62" spans="1:42" ht="21.75">
      <c r="A62" s="49">
        <v>60</v>
      </c>
      <c r="B62" s="50"/>
      <c r="C62" s="50"/>
      <c r="D62" s="50" t="s">
        <v>142</v>
      </c>
      <c r="E62" s="49" t="s">
        <v>277</v>
      </c>
      <c r="F62" s="49" t="str">
        <f t="shared" si="14"/>
        <v>15/09/1997</v>
      </c>
      <c r="G62" s="50">
        <f t="shared" si="15"/>
        <v>27</v>
      </c>
      <c r="H62" s="50">
        <f t="shared" si="16"/>
        <v>9</v>
      </c>
      <c r="I62" s="50">
        <f t="shared" si="17"/>
        <v>5</v>
      </c>
      <c r="J62" s="58"/>
      <c r="K62" s="49" t="s">
        <v>136</v>
      </c>
      <c r="L62" s="64"/>
      <c r="M62" s="49">
        <v>0</v>
      </c>
      <c r="N62" s="49">
        <v>0</v>
      </c>
      <c r="O62" s="65" t="s">
        <v>257</v>
      </c>
      <c r="P62" s="49" t="str">
        <f t="shared" si="28"/>
        <v>19/12/2023</v>
      </c>
      <c r="Q62" s="68">
        <f>IF(P62="",0,DATEDIF(P62,$C$1,"Y"))</f>
        <v>1</v>
      </c>
      <c r="R62" s="68">
        <f>IF(P62="",0,DATEDIF(P62,$C$1,"YM"))</f>
        <v>6</v>
      </c>
      <c r="S62" s="68">
        <f>IF(P62="",0,DATEDIF(P62,$C$1,"MD"))</f>
        <v>1</v>
      </c>
      <c r="T62" s="65"/>
      <c r="U62" s="65"/>
      <c r="V62" s="49" t="str">
        <f t="shared" si="29"/>
        <v/>
      </c>
      <c r="W62" s="68">
        <f>IF(V62="",0,DATEDIF(V62,P62,"Y"))</f>
        <v>0</v>
      </c>
      <c r="X62" s="68">
        <f>IF(V62="",0,DATEDIF(V62,P62,"YM"))</f>
        <v>0</v>
      </c>
      <c r="Y62" s="68">
        <f>IF(V62="",0,DATEDIF(V62,P62,"MD"))</f>
        <v>0</v>
      </c>
      <c r="Z62" s="49"/>
      <c r="AA62" s="65"/>
      <c r="AB62" s="50" t="str">
        <f t="shared" si="30"/>
        <v/>
      </c>
      <c r="AC62" s="68">
        <f t="shared" si="31"/>
        <v>0</v>
      </c>
      <c r="AD62" s="68">
        <f t="shared" si="32"/>
        <v>0</v>
      </c>
      <c r="AE62" s="68">
        <f t="shared" si="33"/>
        <v>0</v>
      </c>
      <c r="AF62" s="50"/>
      <c r="AG62" s="50" t="s">
        <v>138</v>
      </c>
      <c r="AH62" s="49" t="str">
        <f>IF(AG62="นิติศาสตร์","K5-LAW","K5-POLICY")</f>
        <v>K5-LAW</v>
      </c>
      <c r="AI62" s="72" t="str">
        <f>_xlfn.IFS(B62="","",AND(AH62="K5-LAW",AG62="นิติศาสตร์",K62="S2",T62="",Z62=""),P62,AND(AH62="K5-LAW",AG62="นิติศาสตร์",K62="S1",T62="",Z62=""),EDATE(P62,12),AND(AH62="K5-LAW",AG62="นิติศาสตร์",OR(K62="M2",K62="K4"),T62="",Z62=""),EDATE(P62,12*2),AND(AH62="K5-LAW",AG62="นิติศาสตร์",OR(Z62="M2",Z62="K4"),AC62&gt;=2,OR(AB62&lt;V62,AB62&lt;P62)),EDATE(AB62,12*2),AND(AH62="K5-LAW",AG62="นิติศาสตร์",Z62="S1",AC62&gt;=1,OR(AB62&lt;V62,AB62&lt;P62)),EDATE(AB62,12),AND(AH62="K5-LAW",AG62="นิติศาสตร์",OR(T62="M2",T62="K4"),W62&gt;=2,V62&lt;P62),EDATE(V62,12*2),AND(AH62="K5-LAW",AG62="นิติศาสตร์",T62="S1",W62&gt;=1,V62&lt;P62),EDATE(V62,12),AND(AH62="K5-LAW",AG62="นิติศาสตร์",OR(T62="S2",T62="K5")),V62,AND(AH62="K5-LAW",AG62="นิติศาสตร์",OR(K62="M2",K62="K4"),Q62&gt;=2),EDATE(P62,12*2),AND(AH62="K5-LAW",AG62="นิติศาสตร์",K62="S1",Q62&gt;=1),EDATE(P62,12),AND(AH62="K5-LAW",AG62="นิติศาสตร์",OR(K62="S2",K62="K5")),P62,AND(AH62="K5-POLICY",AG62&lt;&gt;"นิติศาสตร์",K62="S2",T62="",Z62=""),P62,AND(AH62="K5-POLICY",AG62&lt;&gt;"นิติศาสตร์",K62="S1",T62="",Z62=""),EDATE(P62,12),AND(AH62="K5-POLICY",AG62&lt;&gt;"นิติศาสตร์",OR(K62="M2",K62="K4"),T62="",Z62=""),EDATE(P62,12*2),AND(AH62="K5-POLICY",AG62&lt;&gt;"นิติศาสตร์",OR(Z62="M2",Z62="K4"),AC62&gt;=2,OR(AB62&lt;V62,AB62&lt;P62)),EDATE(AB62,12*2),AND(AH62="K5-POLICY",AG62&lt;&gt;"นิติศาสตร์",Z62="S1",AC62&gt;=1,OR(AB62&lt;V62,AB62&lt;P62)),EDATE(AB62,12),AND(AH62="K5-POLICY",AG62&lt;&gt;"นิติศาสตร์",OR(T62="M2",T62="K4"),W62&gt;=2,V62&lt;P62),EDATE(V62,12*2),AND(AH62="K5-POLICY",AG62&lt;&gt;"นิติศาสตร์",T62="S1",W62&gt;=1,V62&lt;P62),EDATE(V62,12),AND(AH62="K5-POLICY",AG62&lt;&gt;"นิติศาสตร์",OR(T62="S2",T62="K5")),V62,AND(AH62="K5-POLICY",AG62&lt;&gt;"นิติศาสตร์",OR(K62="M2",K62="K4"),Q62&gt;=2),EDATE(P62,12*2),AND(AH62="K5-POLICY",AG62&lt;&gt;"นิติศาสตร์",K62="S1",Q62&gt;=1),EDATE(P62,12),AND(AH62="K5-POLICY",AG62&lt;&gt;"นิติศาสตร์",OR(K62="S2",K62="K5")),P62,TRUE,"Check Data")</f>
        <v/>
      </c>
      <c r="AJ62" s="75" t="str">
        <f t="shared" si="34"/>
        <v>Check Data</v>
      </c>
      <c r="AK62" s="76" t="str">
        <f t="shared" si="25"/>
        <v>Check Data</v>
      </c>
      <c r="AL62" s="50" t="str">
        <f t="shared" si="35"/>
        <v>Check Data</v>
      </c>
      <c r="AM62" s="49" t="str">
        <f>IF(B62="","",IF(K62="S1","S1",INDEX(#REF!,#REF!)))</f>
        <v/>
      </c>
      <c r="AN62" s="49" t="str">
        <f>K62</f>
        <v>M2</v>
      </c>
      <c r="AO62" s="50" t="b">
        <f>K62=AM62</f>
        <v>0</v>
      </c>
      <c r="AP62" s="50"/>
    </row>
    <row r="63" spans="1:42" ht="21.75">
      <c r="A63" s="49">
        <v>61</v>
      </c>
      <c r="B63" s="50"/>
      <c r="C63" s="50"/>
      <c r="D63" s="50" t="s">
        <v>141</v>
      </c>
      <c r="E63" s="49" t="s">
        <v>250</v>
      </c>
      <c r="F63" s="49" t="str">
        <f t="shared" si="14"/>
        <v>01/08/1995</v>
      </c>
      <c r="G63" s="50">
        <f t="shared" si="15"/>
        <v>29</v>
      </c>
      <c r="H63" s="50">
        <f t="shared" si="16"/>
        <v>10</v>
      </c>
      <c r="I63" s="50">
        <f t="shared" si="17"/>
        <v>19</v>
      </c>
      <c r="J63" s="60"/>
      <c r="K63" s="49" t="s">
        <v>136</v>
      </c>
      <c r="L63" s="64"/>
      <c r="M63" s="49" t="s">
        <v>426</v>
      </c>
      <c r="N63" s="49">
        <v>2574</v>
      </c>
      <c r="O63" s="65" t="s">
        <v>257</v>
      </c>
      <c r="P63" s="49" t="str">
        <f t="shared" si="28"/>
        <v>19/12/2023</v>
      </c>
      <c r="Q63" s="68">
        <f>IF(P63="",0,DATEDIF(P63,$C$1,"Y"))</f>
        <v>1</v>
      </c>
      <c r="R63" s="68">
        <f>IF(P63="",0,DATEDIF(P63,$C$1,"YM"))</f>
        <v>6</v>
      </c>
      <c r="S63" s="68">
        <f>IF(P63="",0,DATEDIF(P63,$C$1,"MD"))</f>
        <v>1</v>
      </c>
      <c r="T63" s="65"/>
      <c r="U63" s="65"/>
      <c r="V63" s="49" t="str">
        <f t="shared" si="29"/>
        <v/>
      </c>
      <c r="W63" s="68">
        <f>IF(V63="",0,DATEDIF(V63,P63,"Y"))</f>
        <v>0</v>
      </c>
      <c r="X63" s="68">
        <f>IF(V63="",0,DATEDIF(V63,P63,"YM"))</f>
        <v>0</v>
      </c>
      <c r="Y63" s="68">
        <f>IF(V63="",0,DATEDIF(V63,P63,"MD"))</f>
        <v>0</v>
      </c>
      <c r="Z63" s="49"/>
      <c r="AA63" s="65"/>
      <c r="AB63" s="50" t="str">
        <f t="shared" si="30"/>
        <v/>
      </c>
      <c r="AC63" s="68">
        <f t="shared" si="31"/>
        <v>0</v>
      </c>
      <c r="AD63" s="68">
        <f t="shared" si="32"/>
        <v>0</v>
      </c>
      <c r="AE63" s="68">
        <f t="shared" si="33"/>
        <v>0</v>
      </c>
      <c r="AF63" s="50"/>
      <c r="AG63" s="50" t="s">
        <v>138</v>
      </c>
      <c r="AH63" s="49" t="str">
        <f>IF(AG63="นิติศาสตร์","K5-LAW","K5-POLICY")</f>
        <v>K5-LAW</v>
      </c>
      <c r="AI63" s="72" t="str">
        <f>_xlfn.IFS(B63="","",AND(AH63="K5-LAW",AG63="นิติศาสตร์",K63="S2",T63="",Z63=""),P63,AND(AH63="K5-LAW",AG63="นิติศาสตร์",K63="S1",T63="",Z63=""),EDATE(P63,12),AND(AH63="K5-LAW",AG63="นิติศาสตร์",OR(K63="M2",K63="K4"),T63="",Z63=""),EDATE(P63,12*2),AND(AH63="K5-LAW",AG63="นิติศาสตร์",OR(Z63="M2",Z63="K4"),AC63&gt;=2,OR(AB63&lt;V63,AB63&lt;P63)),EDATE(AB63,12*2),AND(AH63="K5-LAW",AG63="นิติศาสตร์",Z63="S1",AC63&gt;=1,OR(AB63&lt;V63,AB63&lt;P63)),EDATE(AB63,12),AND(AH63="K5-LAW",AG63="นิติศาสตร์",OR(T63="M2",T63="K4"),W63&gt;=2,V63&lt;P63),EDATE(V63,12*2),AND(AH63="K5-LAW",AG63="นิติศาสตร์",T63="S1",W63&gt;=1,V63&lt;P63),EDATE(V63,12),AND(AH63="K5-LAW",AG63="นิติศาสตร์",OR(T63="S2",T63="K5")),V63,AND(AH63="K5-LAW",AG63="นิติศาสตร์",OR(K63="M2",K63="K4"),Q63&gt;=2),EDATE(P63,12*2),AND(AH63="K5-LAW",AG63="นิติศาสตร์",K63="S1",Q63&gt;=1),EDATE(P63,12),AND(AH63="K5-LAW",AG63="นิติศาสตร์",OR(K63="S2",K63="K5")),P63,AND(AH63="K5-POLICY",AG63&lt;&gt;"นิติศาสตร์",K63="S2",T63="",Z63=""),P63,AND(AH63="K5-POLICY",AG63&lt;&gt;"นิติศาสตร์",K63="S1",T63="",Z63=""),EDATE(P63,12),AND(AH63="K5-POLICY",AG63&lt;&gt;"นิติศาสตร์",OR(K63="M2",K63="K4"),T63="",Z63=""),EDATE(P63,12*2),AND(AH63="K5-POLICY",AG63&lt;&gt;"นิติศาสตร์",OR(Z63="M2",Z63="K4"),AC63&gt;=2,OR(AB63&lt;V63,AB63&lt;P63)),EDATE(AB63,12*2),AND(AH63="K5-POLICY",AG63&lt;&gt;"นิติศาสตร์",Z63="S1",AC63&gt;=1,OR(AB63&lt;V63,AB63&lt;P63)),EDATE(AB63,12),AND(AH63="K5-POLICY",AG63&lt;&gt;"นิติศาสตร์",OR(T63="M2",T63="K4"),W63&gt;=2,V63&lt;P63),EDATE(V63,12*2),AND(AH63="K5-POLICY",AG63&lt;&gt;"นิติศาสตร์",T63="S1",W63&gt;=1,V63&lt;P63),EDATE(V63,12),AND(AH63="K5-POLICY",AG63&lt;&gt;"นิติศาสตร์",OR(T63="S2",T63="K5")),V63,AND(AH63="K5-POLICY",AG63&lt;&gt;"นิติศาสตร์",OR(K63="M2",K63="K4"),Q63&gt;=2),EDATE(P63,12*2),AND(AH63="K5-POLICY",AG63&lt;&gt;"นิติศาสตร์",K63="S1",Q63&gt;=1),EDATE(P63,12),AND(AH63="K5-POLICY",AG63&lt;&gt;"นิติศาสตร์",OR(K63="S2",K63="K5")),P63,TRUE,"Check Data")</f>
        <v/>
      </c>
      <c r="AJ63" s="75" t="str">
        <f t="shared" si="34"/>
        <v>Check Data</v>
      </c>
      <c r="AK63" s="76" t="str">
        <f t="shared" si="25"/>
        <v>Check Data</v>
      </c>
      <c r="AL63" s="50" t="str">
        <f t="shared" si="35"/>
        <v>Check Data</v>
      </c>
      <c r="AM63" s="49" t="str">
        <f>IF(B63="","",IF(K63="S1","S1",INDEX(#REF!,#REF!)))</f>
        <v/>
      </c>
      <c r="AN63" s="49" t="str">
        <f>K63</f>
        <v>M2</v>
      </c>
      <c r="AO63" s="50" t="b">
        <f>K63=AM63</f>
        <v>0</v>
      </c>
      <c r="AP63" s="50"/>
    </row>
    <row r="64" spans="1:42" ht="21.75">
      <c r="A64" s="49">
        <v>62</v>
      </c>
      <c r="B64" s="50"/>
      <c r="C64" s="50"/>
      <c r="D64" s="50" t="s">
        <v>141</v>
      </c>
      <c r="E64" s="49" t="s">
        <v>262</v>
      </c>
      <c r="F64" s="49" t="str">
        <f t="shared" ref="F64:F70" si="36">IF(E64="","",TEXT(EDATE(E64,-543*12),"dd/mm/yyyy"))</f>
        <v>11/04/1996</v>
      </c>
      <c r="G64" s="50">
        <f t="shared" si="15"/>
        <v>29</v>
      </c>
      <c r="H64" s="50">
        <f t="shared" si="16"/>
        <v>2</v>
      </c>
      <c r="I64" s="50">
        <f t="shared" si="17"/>
        <v>9</v>
      </c>
      <c r="J64" s="60"/>
      <c r="K64" s="49" t="s">
        <v>136</v>
      </c>
      <c r="L64" s="64"/>
      <c r="M64" s="49" t="s">
        <v>426</v>
      </c>
      <c r="N64" s="49">
        <v>2571</v>
      </c>
      <c r="O64" s="65" t="s">
        <v>257</v>
      </c>
      <c r="P64" s="49" t="str">
        <f t="shared" ref="P64:P75" si="37">TEXT(EDATE(O64,-543*12),"dd/mm/yyyy")</f>
        <v>19/12/2023</v>
      </c>
      <c r="Q64" s="68">
        <f>IF(P64="",0,DATEDIF(P64,$C$1,"Y"))</f>
        <v>1</v>
      </c>
      <c r="R64" s="68">
        <f>IF(P64="",0,DATEDIF(P64,$C$1,"YM"))</f>
        <v>6</v>
      </c>
      <c r="S64" s="68">
        <f>IF(P64="",0,DATEDIF(P64,$C$1,"MD"))</f>
        <v>1</v>
      </c>
      <c r="T64" s="65"/>
      <c r="U64" s="65"/>
      <c r="V64" s="49" t="str">
        <f t="shared" ref="V64:V75" si="38">IF(U64="","",TEXT(EDATE(U64,-543*12),"dd/mm/yyyy"))</f>
        <v/>
      </c>
      <c r="W64" s="68">
        <f>IF(V64="",0,DATEDIF(V64,P64,"Y"))</f>
        <v>0</v>
      </c>
      <c r="X64" s="68">
        <f>IF(V64="",0,DATEDIF(V64,P64,"YM"))</f>
        <v>0</v>
      </c>
      <c r="Y64" s="68">
        <f>IF(V64="",0,DATEDIF(V64,P64,"MD"))</f>
        <v>0</v>
      </c>
      <c r="Z64" s="49"/>
      <c r="AA64" s="65"/>
      <c r="AB64" s="50" t="str">
        <f t="shared" ref="AB64:AB75" si="39">IF(AA64="","",TEXT(EDATE(AA64,-543*12),"dd/mm/yyyy"))</f>
        <v/>
      </c>
      <c r="AC64" s="68">
        <f t="shared" ref="AC64:AC75" si="40">IF(AB64="",0,DATEDIF(AB64,V64,"Y"))</f>
        <v>0</v>
      </c>
      <c r="AD64" s="68">
        <f t="shared" ref="AD64:AD75" si="41">IF(AB64="",0,DATEDIF(AB64,V64,"YM"))</f>
        <v>0</v>
      </c>
      <c r="AE64" s="68">
        <f t="shared" ref="AE64:AE75" si="42">IF(AB64="",0,DATEDIF(AB64,V64,"MD"))</f>
        <v>0</v>
      </c>
      <c r="AF64" s="50"/>
      <c r="AG64" s="50" t="s">
        <v>138</v>
      </c>
      <c r="AH64" s="49" t="str">
        <f>IF(AG64="นิติศาสตร์","K5-LAW","K5-POLICY")</f>
        <v>K5-LAW</v>
      </c>
      <c r="AI64" s="72" t="str">
        <f>_xlfn.IFS(B64="","",AND(AH64="K5-LAW",AG64="นิติศาสตร์",K64="S2",T64="",Z64=""),P64,AND(AH64="K5-LAW",AG64="นิติศาสตร์",K64="S1",T64="",Z64=""),EDATE(P64,12),AND(AH64="K5-LAW",AG64="นิติศาสตร์",OR(K64="M2",K64="K4"),T64="",Z64=""),EDATE(P64,12*2),AND(AH64="K5-LAW",AG64="นิติศาสตร์",OR(Z64="M2",Z64="K4"),AC64&gt;=2,OR(AB64&lt;V64,AB64&lt;P64)),EDATE(AB64,12*2),AND(AH64="K5-LAW",AG64="นิติศาสตร์",Z64="S1",AC64&gt;=1,OR(AB64&lt;V64,AB64&lt;P64)),EDATE(AB64,12),AND(AH64="K5-LAW",AG64="นิติศาสตร์",OR(T64="M2",T64="K4"),W64&gt;=2,V64&lt;P64),EDATE(V64,12*2),AND(AH64="K5-LAW",AG64="นิติศาสตร์",T64="S1",W64&gt;=1,V64&lt;P64),EDATE(V64,12),AND(AH64="K5-LAW",AG64="นิติศาสตร์",OR(T64="S2",T64="K5")),V64,AND(AH64="K5-LAW",AG64="นิติศาสตร์",OR(K64="M2",K64="K4"),Q64&gt;=2),EDATE(P64,12*2),AND(AH64="K5-LAW",AG64="นิติศาสตร์",K64="S1",Q64&gt;=1),EDATE(P64,12),AND(AH64="K5-LAW",AG64="นิติศาสตร์",OR(K64="S2",K64="K5")),P64,AND(AH64="K5-POLICY",AG64&lt;&gt;"นิติศาสตร์",K64="S2",T64="",Z64=""),P64,AND(AH64="K5-POLICY",AG64&lt;&gt;"นิติศาสตร์",K64="S1",T64="",Z64=""),EDATE(P64,12),AND(AH64="K5-POLICY",AG64&lt;&gt;"นิติศาสตร์",OR(K64="M2",K64="K4"),T64="",Z64=""),EDATE(P64,12*2),AND(AH64="K5-POLICY",AG64&lt;&gt;"นิติศาสตร์",OR(Z64="M2",Z64="K4"),AC64&gt;=2,OR(AB64&lt;V64,AB64&lt;P64)),EDATE(AB64,12*2),AND(AH64="K5-POLICY",AG64&lt;&gt;"นิติศาสตร์",Z64="S1",AC64&gt;=1,OR(AB64&lt;V64,AB64&lt;P64)),EDATE(AB64,12),AND(AH64="K5-POLICY",AG64&lt;&gt;"นิติศาสตร์",OR(T64="M2",T64="K4"),W64&gt;=2,V64&lt;P64),EDATE(V64,12*2),AND(AH64="K5-POLICY",AG64&lt;&gt;"นิติศาสตร์",T64="S1",W64&gt;=1,V64&lt;P64),EDATE(V64,12),AND(AH64="K5-POLICY",AG64&lt;&gt;"นิติศาสตร์",OR(T64="S2",T64="K5")),V64,AND(AH64="K5-POLICY",AG64&lt;&gt;"นิติศาสตร์",OR(K64="M2",K64="K4"),Q64&gt;=2),EDATE(P64,12*2),AND(AH64="K5-POLICY",AG64&lt;&gt;"นิติศาสตร์",K64="S1",Q64&gt;=1),EDATE(P64,12),AND(AH64="K5-POLICY",AG64&lt;&gt;"นิติศาสตร์",OR(K64="S2",K64="K5")),P64,TRUE,"Check Data")</f>
        <v/>
      </c>
      <c r="AJ64" s="75" t="str">
        <f t="shared" ref="AJ64:AJ75" si="43">IFERROR(TEXT(EDATE(AI64,543*12),"dd/mm/yyyy"),"Check Data")</f>
        <v>Check Data</v>
      </c>
      <c r="AK64" s="76" t="str">
        <f t="shared" si="25"/>
        <v>Check Data</v>
      </c>
      <c r="AL64" s="50" t="str">
        <f t="shared" ref="AL64:AL75" si="44">_xlfn.IFS(AK64="Check Data","Check Data",AK64&gt;30,"ยังไม่ถึงเกณฑ์",AK64&gt;0,"ใกล้ถึงเกณฑ์",AK64=0,"ถึงเกณฑ์",AK64&lt;0,"ถึงเกณฑ์นานแล้ว")</f>
        <v>Check Data</v>
      </c>
      <c r="AM64" s="49" t="str">
        <f>IF(B64="","",IF(K64="S1","S1",INDEX(#REF!,#REF!)))</f>
        <v/>
      </c>
      <c r="AN64" s="49" t="str">
        <f t="shared" ref="AN64:AN75" si="45">K64</f>
        <v>M2</v>
      </c>
      <c r="AO64" s="50" t="b">
        <f>K64=AM64</f>
        <v>0</v>
      </c>
      <c r="AP64" s="50"/>
    </row>
    <row r="65" spans="1:42" ht="21.75">
      <c r="A65" s="49">
        <v>63</v>
      </c>
      <c r="B65" s="50"/>
      <c r="C65" s="50"/>
      <c r="D65" s="50" t="s">
        <v>141</v>
      </c>
      <c r="E65" s="49" t="s">
        <v>261</v>
      </c>
      <c r="F65" s="49" t="str">
        <f t="shared" si="36"/>
        <v>03/04/1996</v>
      </c>
      <c r="G65" s="50">
        <f t="shared" si="15"/>
        <v>29</v>
      </c>
      <c r="H65" s="50">
        <f t="shared" si="16"/>
        <v>2</v>
      </c>
      <c r="I65" s="50">
        <f t="shared" si="17"/>
        <v>17</v>
      </c>
      <c r="J65" s="60"/>
      <c r="K65" s="49" t="s">
        <v>136</v>
      </c>
      <c r="L65" s="64"/>
      <c r="M65" s="49" t="s">
        <v>426</v>
      </c>
      <c r="N65" s="49">
        <v>2574</v>
      </c>
      <c r="O65" s="65" t="s">
        <v>257</v>
      </c>
      <c r="P65" s="49" t="str">
        <f t="shared" si="37"/>
        <v>19/12/2023</v>
      </c>
      <c r="Q65" s="68">
        <f>IF(P65="",0,DATEDIF(P65,$C$1,"Y"))</f>
        <v>1</v>
      </c>
      <c r="R65" s="68">
        <f>IF(P65="",0,DATEDIF(P65,$C$1,"YM"))</f>
        <v>6</v>
      </c>
      <c r="S65" s="68">
        <f>IF(P65="",0,DATEDIF(P65,$C$1,"MD"))</f>
        <v>1</v>
      </c>
      <c r="T65" s="65"/>
      <c r="U65" s="65"/>
      <c r="V65" s="49" t="str">
        <f t="shared" si="38"/>
        <v/>
      </c>
      <c r="W65" s="68">
        <f>IF(V65="",0,DATEDIF(V65,P65,"Y"))</f>
        <v>0</v>
      </c>
      <c r="X65" s="68">
        <f>IF(V65="",0,DATEDIF(V65,P65,"YM"))</f>
        <v>0</v>
      </c>
      <c r="Y65" s="68">
        <f>IF(V65="",0,DATEDIF(V65,P65,"MD"))</f>
        <v>0</v>
      </c>
      <c r="Z65" s="49"/>
      <c r="AA65" s="65"/>
      <c r="AB65" s="50" t="str">
        <f t="shared" si="39"/>
        <v/>
      </c>
      <c r="AC65" s="68">
        <f t="shared" si="40"/>
        <v>0</v>
      </c>
      <c r="AD65" s="68">
        <f t="shared" si="41"/>
        <v>0</v>
      </c>
      <c r="AE65" s="68">
        <f t="shared" si="42"/>
        <v>0</v>
      </c>
      <c r="AF65" s="50"/>
      <c r="AG65" s="50" t="s">
        <v>138</v>
      </c>
      <c r="AH65" s="49" t="str">
        <f>IF(AG65="นิติศาสตร์","K5-LAW","K5-POLICY")</f>
        <v>K5-LAW</v>
      </c>
      <c r="AI65" s="72" t="str">
        <f>_xlfn.IFS(B65="","",AND(AH65="K5-LAW",AG65="นิติศาสตร์",K65="S2",T65="",Z65=""),P65,AND(AH65="K5-LAW",AG65="นิติศาสตร์",K65="S1",T65="",Z65=""),EDATE(P65,12),AND(AH65="K5-LAW",AG65="นิติศาสตร์",OR(K65="M2",K65="K4"),T65="",Z65=""),EDATE(P65,12*2),AND(AH65="K5-LAW",AG65="นิติศาสตร์",OR(Z65="M2",Z65="K4"),AC65&gt;=2,OR(AB65&lt;V65,AB65&lt;P65)),EDATE(AB65,12*2),AND(AH65="K5-LAW",AG65="นิติศาสตร์",Z65="S1",AC65&gt;=1,OR(AB65&lt;V65,AB65&lt;P65)),EDATE(AB65,12),AND(AH65="K5-LAW",AG65="นิติศาสตร์",OR(T65="M2",T65="K4"),W65&gt;=2,V65&lt;P65),EDATE(V65,12*2),AND(AH65="K5-LAW",AG65="นิติศาสตร์",T65="S1",W65&gt;=1,V65&lt;P65),EDATE(V65,12),AND(AH65="K5-LAW",AG65="นิติศาสตร์",OR(T65="S2",T65="K5")),V65,AND(AH65="K5-LAW",AG65="นิติศาสตร์",OR(K65="M2",K65="K4"),Q65&gt;=2),EDATE(P65,12*2),AND(AH65="K5-LAW",AG65="นิติศาสตร์",K65="S1",Q65&gt;=1),EDATE(P65,12),AND(AH65="K5-LAW",AG65="นิติศาสตร์",OR(K65="S2",K65="K5")),P65,AND(AH65="K5-POLICY",AG65&lt;&gt;"นิติศาสตร์",K65="S2",T65="",Z65=""),P65,AND(AH65="K5-POLICY",AG65&lt;&gt;"นิติศาสตร์",K65="S1",T65="",Z65=""),EDATE(P65,12),AND(AH65="K5-POLICY",AG65&lt;&gt;"นิติศาสตร์",OR(K65="M2",K65="K4"),T65="",Z65=""),EDATE(P65,12*2),AND(AH65="K5-POLICY",AG65&lt;&gt;"นิติศาสตร์",OR(Z65="M2",Z65="K4"),AC65&gt;=2,OR(AB65&lt;V65,AB65&lt;P65)),EDATE(AB65,12*2),AND(AH65="K5-POLICY",AG65&lt;&gt;"นิติศาสตร์",Z65="S1",AC65&gt;=1,OR(AB65&lt;V65,AB65&lt;P65)),EDATE(AB65,12),AND(AH65="K5-POLICY",AG65&lt;&gt;"นิติศาสตร์",OR(T65="M2",T65="K4"),W65&gt;=2,V65&lt;P65),EDATE(V65,12*2),AND(AH65="K5-POLICY",AG65&lt;&gt;"นิติศาสตร์",T65="S1",W65&gt;=1,V65&lt;P65),EDATE(V65,12),AND(AH65="K5-POLICY",AG65&lt;&gt;"นิติศาสตร์",OR(T65="S2",T65="K5")),V65,AND(AH65="K5-POLICY",AG65&lt;&gt;"นิติศาสตร์",OR(K65="M2",K65="K4"),Q65&gt;=2),EDATE(P65,12*2),AND(AH65="K5-POLICY",AG65&lt;&gt;"นิติศาสตร์",K65="S1",Q65&gt;=1),EDATE(P65,12),AND(AH65="K5-POLICY",AG65&lt;&gt;"นิติศาสตร์",OR(K65="S2",K65="K5")),P65,TRUE,"Check Data")</f>
        <v/>
      </c>
      <c r="AJ65" s="75" t="str">
        <f t="shared" si="43"/>
        <v>Check Data</v>
      </c>
      <c r="AK65" s="76" t="str">
        <f t="shared" si="25"/>
        <v>Check Data</v>
      </c>
      <c r="AL65" s="50" t="str">
        <f t="shared" si="44"/>
        <v>Check Data</v>
      </c>
      <c r="AM65" s="49" t="str">
        <f>IF(B65="","",IF(K65="S1","S1",INDEX(#REF!,#REF!)))</f>
        <v/>
      </c>
      <c r="AN65" s="49" t="str">
        <f t="shared" si="45"/>
        <v>M2</v>
      </c>
      <c r="AO65" s="50" t="b">
        <f>K65=AM65</f>
        <v>0</v>
      </c>
      <c r="AP65" s="50"/>
    </row>
    <row r="66" spans="1:42" ht="21.75">
      <c r="A66" s="49">
        <v>64</v>
      </c>
      <c r="B66" s="50"/>
      <c r="C66" s="50"/>
      <c r="D66" s="50" t="s">
        <v>141</v>
      </c>
      <c r="E66" s="49" t="s">
        <v>263</v>
      </c>
      <c r="F66" s="49" t="str">
        <f t="shared" si="36"/>
        <v>01/02/1995</v>
      </c>
      <c r="G66" s="50">
        <f t="shared" si="15"/>
        <v>30</v>
      </c>
      <c r="H66" s="50">
        <f t="shared" si="16"/>
        <v>4</v>
      </c>
      <c r="I66" s="50">
        <f t="shared" si="17"/>
        <v>19</v>
      </c>
      <c r="J66" s="60"/>
      <c r="K66" s="49" t="s">
        <v>136</v>
      </c>
      <c r="L66" s="64"/>
      <c r="M66" s="49" t="s">
        <v>426</v>
      </c>
      <c r="N66" s="49">
        <v>2569</v>
      </c>
      <c r="O66" s="65" t="s">
        <v>257</v>
      </c>
      <c r="P66" s="49" t="str">
        <f t="shared" si="37"/>
        <v>19/12/2023</v>
      </c>
      <c r="Q66" s="68">
        <f>IF(P66="",0,DATEDIF(P66,$C$1,"Y"))</f>
        <v>1</v>
      </c>
      <c r="R66" s="68">
        <f>IF(P66="",0,DATEDIF(P66,$C$1,"YM"))</f>
        <v>6</v>
      </c>
      <c r="S66" s="68">
        <f>IF(P66="",0,DATEDIF(P66,$C$1,"MD"))</f>
        <v>1</v>
      </c>
      <c r="T66" s="65"/>
      <c r="U66" s="65"/>
      <c r="V66" s="49" t="str">
        <f t="shared" si="38"/>
        <v/>
      </c>
      <c r="W66" s="68">
        <f>IF(V66="",0,DATEDIF(V66,P66,"Y"))</f>
        <v>0</v>
      </c>
      <c r="X66" s="68">
        <f>IF(V66="",0,DATEDIF(V66,P66,"YM"))</f>
        <v>0</v>
      </c>
      <c r="Y66" s="68">
        <f>IF(V66="",0,DATEDIF(V66,P66,"MD"))</f>
        <v>0</v>
      </c>
      <c r="Z66" s="49"/>
      <c r="AA66" s="65"/>
      <c r="AB66" s="50" t="str">
        <f t="shared" si="39"/>
        <v/>
      </c>
      <c r="AC66" s="68">
        <f t="shared" si="40"/>
        <v>0</v>
      </c>
      <c r="AD66" s="68">
        <f t="shared" si="41"/>
        <v>0</v>
      </c>
      <c r="AE66" s="68">
        <f t="shared" si="42"/>
        <v>0</v>
      </c>
      <c r="AF66" s="50"/>
      <c r="AG66" s="50" t="s">
        <v>138</v>
      </c>
      <c r="AH66" s="49" t="str">
        <f>IF(AG66="นิติศาสตร์","K5-LAW","K5-POLICY")</f>
        <v>K5-LAW</v>
      </c>
      <c r="AI66" s="72" t="str">
        <f>_xlfn.IFS(B66="","",AND(AH66="K5-LAW",AG66="นิติศาสตร์",K66="S2",T66="",Z66=""),P66,AND(AH66="K5-LAW",AG66="นิติศาสตร์",K66="S1",T66="",Z66=""),EDATE(P66,12),AND(AH66="K5-LAW",AG66="นิติศาสตร์",OR(K66="M2",K66="K4"),T66="",Z66=""),EDATE(P66,12*2),AND(AH66="K5-LAW",AG66="นิติศาสตร์",OR(Z66="M2",Z66="K4"),AC66&gt;=2,OR(AB66&lt;V66,AB66&lt;P66)),EDATE(AB66,12*2),AND(AH66="K5-LAW",AG66="นิติศาสตร์",Z66="S1",AC66&gt;=1,OR(AB66&lt;V66,AB66&lt;P66)),EDATE(AB66,12),AND(AH66="K5-LAW",AG66="นิติศาสตร์",OR(T66="M2",T66="K4"),W66&gt;=2,V66&lt;P66),EDATE(V66,12*2),AND(AH66="K5-LAW",AG66="นิติศาสตร์",T66="S1",W66&gt;=1,V66&lt;P66),EDATE(V66,12),AND(AH66="K5-LAW",AG66="นิติศาสตร์",OR(T66="S2",T66="K5")),V66,AND(AH66="K5-LAW",AG66="นิติศาสตร์",OR(K66="M2",K66="K4"),Q66&gt;=2),EDATE(P66,12*2),AND(AH66="K5-LAW",AG66="นิติศาสตร์",K66="S1",Q66&gt;=1),EDATE(P66,12),AND(AH66="K5-LAW",AG66="นิติศาสตร์",OR(K66="S2",K66="K5")),P66,AND(AH66="K5-POLICY",AG66&lt;&gt;"นิติศาสตร์",K66="S2",T66="",Z66=""),P66,AND(AH66="K5-POLICY",AG66&lt;&gt;"นิติศาสตร์",K66="S1",T66="",Z66=""),EDATE(P66,12),AND(AH66="K5-POLICY",AG66&lt;&gt;"นิติศาสตร์",OR(K66="M2",K66="K4"),T66="",Z66=""),EDATE(P66,12*2),AND(AH66="K5-POLICY",AG66&lt;&gt;"นิติศาสตร์",OR(Z66="M2",Z66="K4"),AC66&gt;=2,OR(AB66&lt;V66,AB66&lt;P66)),EDATE(AB66,12*2),AND(AH66="K5-POLICY",AG66&lt;&gt;"นิติศาสตร์",Z66="S1",AC66&gt;=1,OR(AB66&lt;V66,AB66&lt;P66)),EDATE(AB66,12),AND(AH66="K5-POLICY",AG66&lt;&gt;"นิติศาสตร์",OR(T66="M2",T66="K4"),W66&gt;=2,V66&lt;P66),EDATE(V66,12*2),AND(AH66="K5-POLICY",AG66&lt;&gt;"นิติศาสตร์",T66="S1",W66&gt;=1,V66&lt;P66),EDATE(V66,12),AND(AH66="K5-POLICY",AG66&lt;&gt;"นิติศาสตร์",OR(T66="S2",T66="K5")),V66,AND(AH66="K5-POLICY",AG66&lt;&gt;"นิติศาสตร์",OR(K66="M2",K66="K4"),Q66&gt;=2),EDATE(P66,12*2),AND(AH66="K5-POLICY",AG66&lt;&gt;"นิติศาสตร์",K66="S1",Q66&gt;=1),EDATE(P66,12),AND(AH66="K5-POLICY",AG66&lt;&gt;"นิติศาสตร์",OR(K66="S2",K66="K5")),P66,TRUE,"Check Data")</f>
        <v/>
      </c>
      <c r="AJ66" s="75" t="str">
        <f t="shared" si="43"/>
        <v>Check Data</v>
      </c>
      <c r="AK66" s="76" t="str">
        <f t="shared" si="25"/>
        <v>Check Data</v>
      </c>
      <c r="AL66" s="50" t="str">
        <f t="shared" si="44"/>
        <v>Check Data</v>
      </c>
      <c r="AM66" s="49" t="str">
        <f>IF(B66="","",IF(K66="S1","S1",INDEX(#REF!,#REF!)))</f>
        <v/>
      </c>
      <c r="AN66" s="49" t="str">
        <f t="shared" si="45"/>
        <v>M2</v>
      </c>
      <c r="AO66" s="50" t="b">
        <f>K66=AM66</f>
        <v>0</v>
      </c>
      <c r="AP66" s="50"/>
    </row>
    <row r="67" spans="1:42" ht="21.75">
      <c r="A67" s="49">
        <v>65</v>
      </c>
      <c r="B67" s="50"/>
      <c r="C67" s="50"/>
      <c r="D67" s="50" t="s">
        <v>141</v>
      </c>
      <c r="E67" s="49" t="s">
        <v>258</v>
      </c>
      <c r="F67" s="49" t="str">
        <f t="shared" si="36"/>
        <v>02/10/1989</v>
      </c>
      <c r="G67" s="50">
        <f t="shared" ref="G67:G98" si="46">IF(F67="",0,DATEDIF(F67,$C$1,"Y"))</f>
        <v>35</v>
      </c>
      <c r="H67" s="50">
        <f t="shared" ref="H67:H98" si="47">IF(F67="",0,DATEDIF(F67,$C$1,"YM"))</f>
        <v>8</v>
      </c>
      <c r="I67" s="50">
        <f t="shared" ref="I67:I98" si="48">IF(F67="",0,DATEDIF(F67,$C$1,"MD"))</f>
        <v>18</v>
      </c>
      <c r="J67" s="60"/>
      <c r="K67" s="49" t="s">
        <v>136</v>
      </c>
      <c r="L67" s="64"/>
      <c r="M67" s="49" t="s">
        <v>426</v>
      </c>
      <c r="N67" s="49">
        <v>2572</v>
      </c>
      <c r="O67" s="65" t="s">
        <v>257</v>
      </c>
      <c r="P67" s="49" t="str">
        <f t="shared" si="37"/>
        <v>19/12/2023</v>
      </c>
      <c r="Q67" s="68">
        <f>IF(P67="",0,DATEDIF(P67,$C$1,"Y"))</f>
        <v>1</v>
      </c>
      <c r="R67" s="68">
        <f>IF(P67="",0,DATEDIF(P67,$C$1,"YM"))</f>
        <v>6</v>
      </c>
      <c r="S67" s="68">
        <f>IF(P67="",0,DATEDIF(P67,$C$1,"MD"))</f>
        <v>1</v>
      </c>
      <c r="T67" s="65"/>
      <c r="U67" s="65"/>
      <c r="V67" s="49" t="str">
        <f t="shared" si="38"/>
        <v/>
      </c>
      <c r="W67" s="68">
        <f>IF(V67="",0,DATEDIF(V67,P67,"Y"))</f>
        <v>0</v>
      </c>
      <c r="X67" s="68">
        <f>IF(V67="",0,DATEDIF(V67,P67,"YM"))</f>
        <v>0</v>
      </c>
      <c r="Y67" s="68">
        <f>IF(V67="",0,DATEDIF(V67,P67,"MD"))</f>
        <v>0</v>
      </c>
      <c r="Z67" s="49"/>
      <c r="AA67" s="65"/>
      <c r="AB67" s="50" t="str">
        <f t="shared" si="39"/>
        <v/>
      </c>
      <c r="AC67" s="68">
        <f t="shared" si="40"/>
        <v>0</v>
      </c>
      <c r="AD67" s="68">
        <f t="shared" si="41"/>
        <v>0</v>
      </c>
      <c r="AE67" s="68">
        <f t="shared" si="42"/>
        <v>0</v>
      </c>
      <c r="AF67" s="50"/>
      <c r="AG67" s="50" t="s">
        <v>138</v>
      </c>
      <c r="AH67" s="49" t="str">
        <f>IF(AG67="นิติศาสตร์","K5-LAW","K5-POLICY")</f>
        <v>K5-LAW</v>
      </c>
      <c r="AI67" s="72" t="str">
        <f>_xlfn.IFS(B67="","",AND(AH67="K5-LAW",AG67="นิติศาสตร์",K67="S2",T67="",Z67=""),P67,AND(AH67="K5-LAW",AG67="นิติศาสตร์",K67="S1",T67="",Z67=""),EDATE(P67,12),AND(AH67="K5-LAW",AG67="นิติศาสตร์",OR(K67="M2",K67="K4"),T67="",Z67=""),EDATE(P67,12*2),AND(AH67="K5-LAW",AG67="นิติศาสตร์",OR(Z67="M2",Z67="K4"),AC67&gt;=2,OR(AB67&lt;V67,AB67&lt;P67)),EDATE(AB67,12*2),AND(AH67="K5-LAW",AG67="นิติศาสตร์",Z67="S1",AC67&gt;=1,OR(AB67&lt;V67,AB67&lt;P67)),EDATE(AB67,12),AND(AH67="K5-LAW",AG67="นิติศาสตร์",OR(T67="M2",T67="K4"),W67&gt;=2,V67&lt;P67),EDATE(V67,12*2),AND(AH67="K5-LAW",AG67="นิติศาสตร์",T67="S1",W67&gt;=1,V67&lt;P67),EDATE(V67,12),AND(AH67="K5-LAW",AG67="นิติศาสตร์",OR(T67="S2",T67="K5")),V67,AND(AH67="K5-LAW",AG67="นิติศาสตร์",OR(K67="M2",K67="K4"),Q67&gt;=2),EDATE(P67,12*2),AND(AH67="K5-LAW",AG67="นิติศาสตร์",K67="S1",Q67&gt;=1),EDATE(P67,12),AND(AH67="K5-LAW",AG67="นิติศาสตร์",OR(K67="S2",K67="K5")),P67,AND(AH67="K5-POLICY",AG67&lt;&gt;"นิติศาสตร์",K67="S2",T67="",Z67=""),P67,AND(AH67="K5-POLICY",AG67&lt;&gt;"นิติศาสตร์",K67="S1",T67="",Z67=""),EDATE(P67,12),AND(AH67="K5-POLICY",AG67&lt;&gt;"นิติศาสตร์",OR(K67="M2",K67="K4"),T67="",Z67=""),EDATE(P67,12*2),AND(AH67="K5-POLICY",AG67&lt;&gt;"นิติศาสตร์",OR(Z67="M2",Z67="K4"),AC67&gt;=2,OR(AB67&lt;V67,AB67&lt;P67)),EDATE(AB67,12*2),AND(AH67="K5-POLICY",AG67&lt;&gt;"นิติศาสตร์",Z67="S1",AC67&gt;=1,OR(AB67&lt;V67,AB67&lt;P67)),EDATE(AB67,12),AND(AH67="K5-POLICY",AG67&lt;&gt;"นิติศาสตร์",OR(T67="M2",T67="K4"),W67&gt;=2,V67&lt;P67),EDATE(V67,12*2),AND(AH67="K5-POLICY",AG67&lt;&gt;"นิติศาสตร์",T67="S1",W67&gt;=1,V67&lt;P67),EDATE(V67,12),AND(AH67="K5-POLICY",AG67&lt;&gt;"นิติศาสตร์",OR(T67="S2",T67="K5")),V67,AND(AH67="K5-POLICY",AG67&lt;&gt;"นิติศาสตร์",OR(K67="M2",K67="K4"),Q67&gt;=2),EDATE(P67,12*2),AND(AH67="K5-POLICY",AG67&lt;&gt;"นิติศาสตร์",K67="S1",Q67&gt;=1),EDATE(P67,12),AND(AH67="K5-POLICY",AG67&lt;&gt;"นิติศาสตร์",OR(K67="S2",K67="K5")),P67,TRUE,"Check Data")</f>
        <v/>
      </c>
      <c r="AJ67" s="75" t="str">
        <f t="shared" si="43"/>
        <v>Check Data</v>
      </c>
      <c r="AK67" s="76" t="str">
        <f t="shared" ref="AK67:AK98" si="49">IFERROR(IF($C$1&gt;AI67,AI67-$C$1,DATEDIF($C$1,AI67,"d")),"Check Data")</f>
        <v>Check Data</v>
      </c>
      <c r="AL67" s="50" t="str">
        <f t="shared" si="44"/>
        <v>Check Data</v>
      </c>
      <c r="AM67" s="49" t="str">
        <f>IF(B67="","",IF(K67="S1","S1",INDEX(#REF!,#REF!)))</f>
        <v/>
      </c>
      <c r="AN67" s="49" t="str">
        <f t="shared" si="45"/>
        <v>M2</v>
      </c>
      <c r="AO67" s="50" t="b">
        <f>K67=AM67</f>
        <v>0</v>
      </c>
      <c r="AP67" s="50"/>
    </row>
    <row r="68" spans="1:42" ht="21.75">
      <c r="A68" s="49">
        <v>66</v>
      </c>
      <c r="B68" s="50"/>
      <c r="C68" s="50"/>
      <c r="D68" s="50" t="s">
        <v>142</v>
      </c>
      <c r="E68" s="49" t="s">
        <v>274</v>
      </c>
      <c r="F68" s="49" t="str">
        <f t="shared" si="36"/>
        <v>10/09/2001</v>
      </c>
      <c r="G68" s="50">
        <f t="shared" si="46"/>
        <v>23</v>
      </c>
      <c r="H68" s="50">
        <f t="shared" si="47"/>
        <v>9</v>
      </c>
      <c r="I68" s="50">
        <f t="shared" si="48"/>
        <v>10</v>
      </c>
      <c r="J68" s="58"/>
      <c r="K68" s="49" t="s">
        <v>136</v>
      </c>
      <c r="L68" s="64"/>
      <c r="M68" s="49">
        <v>0</v>
      </c>
      <c r="N68" s="49">
        <v>0</v>
      </c>
      <c r="O68" s="65" t="s">
        <v>257</v>
      </c>
      <c r="P68" s="49" t="str">
        <f t="shared" si="37"/>
        <v>19/12/2023</v>
      </c>
      <c r="Q68" s="68">
        <f>IF(P68="",0,DATEDIF(P68,$C$1,"Y"))</f>
        <v>1</v>
      </c>
      <c r="R68" s="68">
        <f>IF(P68="",0,DATEDIF(P68,$C$1,"YM"))</f>
        <v>6</v>
      </c>
      <c r="S68" s="68">
        <f>IF(P68="",0,DATEDIF(P68,$C$1,"MD"))</f>
        <v>1</v>
      </c>
      <c r="T68" s="65"/>
      <c r="U68" s="65"/>
      <c r="V68" s="49" t="str">
        <f t="shared" si="38"/>
        <v/>
      </c>
      <c r="W68" s="68">
        <f>IF(V68="",0,DATEDIF(V68,P68,"Y"))</f>
        <v>0</v>
      </c>
      <c r="X68" s="68">
        <f>IF(V68="",0,DATEDIF(V68,P68,"YM"))</f>
        <v>0</v>
      </c>
      <c r="Y68" s="68">
        <f>IF(V68="",0,DATEDIF(V68,P68,"MD"))</f>
        <v>0</v>
      </c>
      <c r="Z68" s="49"/>
      <c r="AA68" s="65"/>
      <c r="AB68" s="50" t="str">
        <f t="shared" si="39"/>
        <v/>
      </c>
      <c r="AC68" s="68">
        <f t="shared" si="40"/>
        <v>0</v>
      </c>
      <c r="AD68" s="68">
        <f t="shared" si="41"/>
        <v>0</v>
      </c>
      <c r="AE68" s="68">
        <f t="shared" si="42"/>
        <v>0</v>
      </c>
      <c r="AF68" s="50"/>
      <c r="AG68" s="50" t="s">
        <v>138</v>
      </c>
      <c r="AH68" s="49" t="str">
        <f>IF(AG68="นิติศาสตร์","K5-LAW","K5-POLICY")</f>
        <v>K5-LAW</v>
      </c>
      <c r="AI68" s="72" t="str">
        <f>_xlfn.IFS(B68="","",AND(AH68="K5-LAW",AG68="นิติศาสตร์",K68="S2",T68="",Z68=""),P68,AND(AH68="K5-LAW",AG68="นิติศาสตร์",K68="S1",T68="",Z68=""),EDATE(P68,12),AND(AH68="K5-LAW",AG68="นิติศาสตร์",OR(K68="M2",K68="K4"),T68="",Z68=""),EDATE(P68,12*2),AND(AH68="K5-LAW",AG68="นิติศาสตร์",OR(Z68="M2",Z68="K4"),AC68&gt;=2,OR(AB68&lt;V68,AB68&lt;P68)),EDATE(AB68,12*2),AND(AH68="K5-LAW",AG68="นิติศาสตร์",Z68="S1",AC68&gt;=1,OR(AB68&lt;V68,AB68&lt;P68)),EDATE(AB68,12),AND(AH68="K5-LAW",AG68="นิติศาสตร์",OR(T68="M2",T68="K4"),W68&gt;=2,V68&lt;P68),EDATE(V68,12*2),AND(AH68="K5-LAW",AG68="นิติศาสตร์",T68="S1",W68&gt;=1,V68&lt;P68),EDATE(V68,12),AND(AH68="K5-LAW",AG68="นิติศาสตร์",OR(T68="S2",T68="K5")),V68,AND(AH68="K5-LAW",AG68="นิติศาสตร์",OR(K68="M2",K68="K4"),Q68&gt;=2),EDATE(P68,12*2),AND(AH68="K5-LAW",AG68="นิติศาสตร์",K68="S1",Q68&gt;=1),EDATE(P68,12),AND(AH68="K5-LAW",AG68="นิติศาสตร์",OR(K68="S2",K68="K5")),P68,AND(AH68="K5-POLICY",AG68&lt;&gt;"นิติศาสตร์",K68="S2",T68="",Z68=""),P68,AND(AH68="K5-POLICY",AG68&lt;&gt;"นิติศาสตร์",K68="S1",T68="",Z68=""),EDATE(P68,12),AND(AH68="K5-POLICY",AG68&lt;&gt;"นิติศาสตร์",OR(K68="M2",K68="K4"),T68="",Z68=""),EDATE(P68,12*2),AND(AH68="K5-POLICY",AG68&lt;&gt;"นิติศาสตร์",OR(Z68="M2",Z68="K4"),AC68&gt;=2,OR(AB68&lt;V68,AB68&lt;P68)),EDATE(AB68,12*2),AND(AH68="K5-POLICY",AG68&lt;&gt;"นิติศาสตร์",Z68="S1",AC68&gt;=1,OR(AB68&lt;V68,AB68&lt;P68)),EDATE(AB68,12),AND(AH68="K5-POLICY",AG68&lt;&gt;"นิติศาสตร์",OR(T68="M2",T68="K4"),W68&gt;=2,V68&lt;P68),EDATE(V68,12*2),AND(AH68="K5-POLICY",AG68&lt;&gt;"นิติศาสตร์",T68="S1",W68&gt;=1,V68&lt;P68),EDATE(V68,12),AND(AH68="K5-POLICY",AG68&lt;&gt;"นิติศาสตร์",OR(T68="S2",T68="K5")),V68,AND(AH68="K5-POLICY",AG68&lt;&gt;"นิติศาสตร์",OR(K68="M2",K68="K4"),Q68&gt;=2),EDATE(P68,12*2),AND(AH68="K5-POLICY",AG68&lt;&gt;"นิติศาสตร์",K68="S1",Q68&gt;=1),EDATE(P68,12),AND(AH68="K5-POLICY",AG68&lt;&gt;"นิติศาสตร์",OR(K68="S2",K68="K5")),P68,TRUE,"Check Data")</f>
        <v/>
      </c>
      <c r="AJ68" s="75" t="str">
        <f t="shared" si="43"/>
        <v>Check Data</v>
      </c>
      <c r="AK68" s="76" t="str">
        <f t="shared" si="49"/>
        <v>Check Data</v>
      </c>
      <c r="AL68" s="50" t="str">
        <f t="shared" si="44"/>
        <v>Check Data</v>
      </c>
      <c r="AM68" s="49" t="str">
        <f>IF(B68="","",IF(K68="S1","S1",INDEX(#REF!,#REF!)))</f>
        <v/>
      </c>
      <c r="AN68" s="49" t="str">
        <f t="shared" si="45"/>
        <v>M2</v>
      </c>
      <c r="AO68" s="50" t="b">
        <f>K68=AM68</f>
        <v>0</v>
      </c>
      <c r="AP68" s="50"/>
    </row>
    <row r="69" spans="1:42" ht="21.75">
      <c r="A69" s="49">
        <v>67</v>
      </c>
      <c r="B69" s="50"/>
      <c r="C69" s="50"/>
      <c r="D69" s="50" t="s">
        <v>141</v>
      </c>
      <c r="E69" s="49" t="s">
        <v>267</v>
      </c>
      <c r="F69" s="49" t="str">
        <f t="shared" si="36"/>
        <v>18/09/2000</v>
      </c>
      <c r="G69" s="50">
        <f t="shared" si="46"/>
        <v>24</v>
      </c>
      <c r="H69" s="50">
        <f t="shared" si="47"/>
        <v>9</v>
      </c>
      <c r="I69" s="50">
        <f t="shared" si="48"/>
        <v>2</v>
      </c>
      <c r="J69" s="60"/>
      <c r="K69" s="49" t="s">
        <v>136</v>
      </c>
      <c r="L69" s="64"/>
      <c r="M69" s="49" t="s">
        <v>426</v>
      </c>
      <c r="N69" s="49">
        <v>2577</v>
      </c>
      <c r="O69" s="65" t="s">
        <v>257</v>
      </c>
      <c r="P69" s="49" t="str">
        <f t="shared" si="37"/>
        <v>19/12/2023</v>
      </c>
      <c r="Q69" s="68">
        <f>IF(P69="",0,DATEDIF(P69,$C$1,"Y"))</f>
        <v>1</v>
      </c>
      <c r="R69" s="68">
        <f>IF(P69="",0,DATEDIF(P69,$C$1,"YM"))</f>
        <v>6</v>
      </c>
      <c r="S69" s="68">
        <f>IF(P69="",0,DATEDIF(P69,$C$1,"MD"))</f>
        <v>1</v>
      </c>
      <c r="T69" s="65"/>
      <c r="U69" s="65"/>
      <c r="V69" s="49" t="str">
        <f t="shared" si="38"/>
        <v/>
      </c>
      <c r="W69" s="68">
        <f>IF(V69="",0,DATEDIF(V69,P69,"Y"))</f>
        <v>0</v>
      </c>
      <c r="X69" s="68">
        <f>IF(V69="",0,DATEDIF(V69,P69,"YM"))</f>
        <v>0</v>
      </c>
      <c r="Y69" s="68">
        <f>IF(V69="",0,DATEDIF(V69,P69,"MD"))</f>
        <v>0</v>
      </c>
      <c r="Z69" s="49"/>
      <c r="AA69" s="65"/>
      <c r="AB69" s="50" t="str">
        <f t="shared" si="39"/>
        <v/>
      </c>
      <c r="AC69" s="68">
        <f t="shared" si="40"/>
        <v>0</v>
      </c>
      <c r="AD69" s="68">
        <f t="shared" si="41"/>
        <v>0</v>
      </c>
      <c r="AE69" s="68">
        <f t="shared" si="42"/>
        <v>0</v>
      </c>
      <c r="AF69" s="50"/>
      <c r="AG69" s="50" t="s">
        <v>138</v>
      </c>
      <c r="AH69" s="49" t="str">
        <f>IF(AG69="นิติศาสตร์","K5-LAW","K5-POLICY")</f>
        <v>K5-LAW</v>
      </c>
      <c r="AI69" s="72" t="str">
        <f>_xlfn.IFS(B69="","",AND(AH69="K5-LAW",AG69="นิติศาสตร์",K69="S2",T69="",Z69=""),P69,AND(AH69="K5-LAW",AG69="นิติศาสตร์",K69="S1",T69="",Z69=""),EDATE(P69,12),AND(AH69="K5-LAW",AG69="นิติศาสตร์",OR(K69="M2",K69="K4"),T69="",Z69=""),EDATE(P69,12*2),AND(AH69="K5-LAW",AG69="นิติศาสตร์",OR(Z69="M2",Z69="K4"),AC69&gt;=2,OR(AB69&lt;V69,AB69&lt;P69)),EDATE(AB69,12*2),AND(AH69="K5-LAW",AG69="นิติศาสตร์",Z69="S1",AC69&gt;=1,OR(AB69&lt;V69,AB69&lt;P69)),EDATE(AB69,12),AND(AH69="K5-LAW",AG69="นิติศาสตร์",OR(T69="M2",T69="K4"),W69&gt;=2,V69&lt;P69),EDATE(V69,12*2),AND(AH69="K5-LAW",AG69="นิติศาสตร์",T69="S1",W69&gt;=1,V69&lt;P69),EDATE(V69,12),AND(AH69="K5-LAW",AG69="นิติศาสตร์",OR(T69="S2",T69="K5")),V69,AND(AH69="K5-LAW",AG69="นิติศาสตร์",OR(K69="M2",K69="K4"),Q69&gt;=2),EDATE(P69,12*2),AND(AH69="K5-LAW",AG69="นิติศาสตร์",K69="S1",Q69&gt;=1),EDATE(P69,12),AND(AH69="K5-LAW",AG69="นิติศาสตร์",OR(K69="S2",K69="K5")),P69,AND(AH69="K5-POLICY",AG69&lt;&gt;"นิติศาสตร์",K69="S2",T69="",Z69=""),P69,AND(AH69="K5-POLICY",AG69&lt;&gt;"นิติศาสตร์",K69="S1",T69="",Z69=""),EDATE(P69,12),AND(AH69="K5-POLICY",AG69&lt;&gt;"นิติศาสตร์",OR(K69="M2",K69="K4"),T69="",Z69=""),EDATE(P69,12*2),AND(AH69="K5-POLICY",AG69&lt;&gt;"นิติศาสตร์",OR(Z69="M2",Z69="K4"),AC69&gt;=2,OR(AB69&lt;V69,AB69&lt;P69)),EDATE(AB69,12*2),AND(AH69="K5-POLICY",AG69&lt;&gt;"นิติศาสตร์",Z69="S1",AC69&gt;=1,OR(AB69&lt;V69,AB69&lt;P69)),EDATE(AB69,12),AND(AH69="K5-POLICY",AG69&lt;&gt;"นิติศาสตร์",OR(T69="M2",T69="K4"),W69&gt;=2,V69&lt;P69),EDATE(V69,12*2),AND(AH69="K5-POLICY",AG69&lt;&gt;"นิติศาสตร์",T69="S1",W69&gt;=1,V69&lt;P69),EDATE(V69,12),AND(AH69="K5-POLICY",AG69&lt;&gt;"นิติศาสตร์",OR(T69="S2",T69="K5")),V69,AND(AH69="K5-POLICY",AG69&lt;&gt;"นิติศาสตร์",OR(K69="M2",K69="K4"),Q69&gt;=2),EDATE(P69,12*2),AND(AH69="K5-POLICY",AG69&lt;&gt;"นิติศาสตร์",K69="S1",Q69&gt;=1),EDATE(P69,12),AND(AH69="K5-POLICY",AG69&lt;&gt;"นิติศาสตร์",OR(K69="S2",K69="K5")),P69,TRUE,"Check Data")</f>
        <v/>
      </c>
      <c r="AJ69" s="75" t="str">
        <f t="shared" si="43"/>
        <v>Check Data</v>
      </c>
      <c r="AK69" s="76" t="str">
        <f t="shared" si="49"/>
        <v>Check Data</v>
      </c>
      <c r="AL69" s="50" t="str">
        <f t="shared" si="44"/>
        <v>Check Data</v>
      </c>
      <c r="AM69" s="49" t="str">
        <f>IF(B69="","",IF(K69="S1","S1",INDEX(#REF!,#REF!)))</f>
        <v/>
      </c>
      <c r="AN69" s="49" t="str">
        <f t="shared" si="45"/>
        <v>M2</v>
      </c>
      <c r="AO69" s="50" t="b">
        <f>K69=AM69</f>
        <v>0</v>
      </c>
      <c r="AP69" s="50"/>
    </row>
    <row r="70" spans="1:42" ht="21.75">
      <c r="A70" s="49">
        <v>68</v>
      </c>
      <c r="B70" s="50"/>
      <c r="C70" s="50"/>
      <c r="D70" s="50" t="s">
        <v>141</v>
      </c>
      <c r="E70" s="49" t="s">
        <v>264</v>
      </c>
      <c r="F70" s="49" t="str">
        <f t="shared" si="36"/>
        <v>25/10/2000</v>
      </c>
      <c r="G70" s="50">
        <f t="shared" si="46"/>
        <v>24</v>
      </c>
      <c r="H70" s="50">
        <f t="shared" si="47"/>
        <v>7</v>
      </c>
      <c r="I70" s="50">
        <f t="shared" si="48"/>
        <v>26</v>
      </c>
      <c r="J70" s="60"/>
      <c r="K70" s="49" t="s">
        <v>136</v>
      </c>
      <c r="L70" s="64"/>
      <c r="M70" s="49" t="s">
        <v>426</v>
      </c>
      <c r="N70" s="49">
        <v>2578</v>
      </c>
      <c r="O70" s="65" t="s">
        <v>257</v>
      </c>
      <c r="P70" s="49" t="str">
        <f t="shared" si="37"/>
        <v>19/12/2023</v>
      </c>
      <c r="Q70" s="68">
        <f>IF(P70="",0,DATEDIF(P70,$C$1,"Y"))</f>
        <v>1</v>
      </c>
      <c r="R70" s="68">
        <f>IF(P70="",0,DATEDIF(P70,$C$1,"YM"))</f>
        <v>6</v>
      </c>
      <c r="S70" s="68">
        <f>IF(P70="",0,DATEDIF(P70,$C$1,"MD"))</f>
        <v>1</v>
      </c>
      <c r="T70" s="65"/>
      <c r="U70" s="65"/>
      <c r="V70" s="49" t="str">
        <f t="shared" si="38"/>
        <v/>
      </c>
      <c r="W70" s="68">
        <f>IF(V70="",0,DATEDIF(V70,P70,"Y"))</f>
        <v>0</v>
      </c>
      <c r="X70" s="68">
        <f>IF(V70="",0,DATEDIF(V70,P70,"YM"))</f>
        <v>0</v>
      </c>
      <c r="Y70" s="68">
        <f>IF(V70="",0,DATEDIF(V70,P70,"MD"))</f>
        <v>0</v>
      </c>
      <c r="Z70" s="49"/>
      <c r="AA70" s="65"/>
      <c r="AB70" s="50" t="str">
        <f t="shared" si="39"/>
        <v/>
      </c>
      <c r="AC70" s="68">
        <f t="shared" si="40"/>
        <v>0</v>
      </c>
      <c r="AD70" s="68">
        <f t="shared" si="41"/>
        <v>0</v>
      </c>
      <c r="AE70" s="68">
        <f t="shared" si="42"/>
        <v>0</v>
      </c>
      <c r="AF70" s="50"/>
      <c r="AG70" s="50" t="s">
        <v>138</v>
      </c>
      <c r="AH70" s="49" t="str">
        <f>IF(AG70="นิติศาสตร์","K5-LAW","K5-POLICY")</f>
        <v>K5-LAW</v>
      </c>
      <c r="AI70" s="72" t="str">
        <f>_xlfn.IFS(B70="","",AND(AH70="K5-LAW",AG70="นิติศาสตร์",K70="S2",T70="",Z70=""),P70,AND(AH70="K5-LAW",AG70="นิติศาสตร์",K70="S1",T70="",Z70=""),EDATE(P70,12),AND(AH70="K5-LAW",AG70="นิติศาสตร์",OR(K70="M2",K70="K4"),T70="",Z70=""),EDATE(P70,12*2),AND(AH70="K5-LAW",AG70="นิติศาสตร์",OR(Z70="M2",Z70="K4"),AC70&gt;=2,OR(AB70&lt;V70,AB70&lt;P70)),EDATE(AB70,12*2),AND(AH70="K5-LAW",AG70="นิติศาสตร์",Z70="S1",AC70&gt;=1,OR(AB70&lt;V70,AB70&lt;P70)),EDATE(AB70,12),AND(AH70="K5-LAW",AG70="นิติศาสตร์",OR(T70="M2",T70="K4"),W70&gt;=2,V70&lt;P70),EDATE(V70,12*2),AND(AH70="K5-LAW",AG70="นิติศาสตร์",T70="S1",W70&gt;=1,V70&lt;P70),EDATE(V70,12),AND(AH70="K5-LAW",AG70="นิติศาสตร์",OR(T70="S2",T70="K5")),V70,AND(AH70="K5-LAW",AG70="นิติศาสตร์",OR(K70="M2",K70="K4"),Q70&gt;=2),EDATE(P70,12*2),AND(AH70="K5-LAW",AG70="นิติศาสตร์",K70="S1",Q70&gt;=1),EDATE(P70,12),AND(AH70="K5-LAW",AG70="นิติศาสตร์",OR(K70="S2",K70="K5")),P70,AND(AH70="K5-POLICY",AG70&lt;&gt;"นิติศาสตร์",K70="S2",T70="",Z70=""),P70,AND(AH70="K5-POLICY",AG70&lt;&gt;"นิติศาสตร์",K70="S1",T70="",Z70=""),EDATE(P70,12),AND(AH70="K5-POLICY",AG70&lt;&gt;"นิติศาสตร์",OR(K70="M2",K70="K4"),T70="",Z70=""),EDATE(P70,12*2),AND(AH70="K5-POLICY",AG70&lt;&gt;"นิติศาสตร์",OR(Z70="M2",Z70="K4"),AC70&gt;=2,OR(AB70&lt;V70,AB70&lt;P70)),EDATE(AB70,12*2),AND(AH70="K5-POLICY",AG70&lt;&gt;"นิติศาสตร์",Z70="S1",AC70&gt;=1,OR(AB70&lt;V70,AB70&lt;P70)),EDATE(AB70,12),AND(AH70="K5-POLICY",AG70&lt;&gt;"นิติศาสตร์",OR(T70="M2",T70="K4"),W70&gt;=2,V70&lt;P70),EDATE(V70,12*2),AND(AH70="K5-POLICY",AG70&lt;&gt;"นิติศาสตร์",T70="S1",W70&gt;=1,V70&lt;P70),EDATE(V70,12),AND(AH70="K5-POLICY",AG70&lt;&gt;"นิติศาสตร์",OR(T70="S2",T70="K5")),V70,AND(AH70="K5-POLICY",AG70&lt;&gt;"นิติศาสตร์",OR(K70="M2",K70="K4"),Q70&gt;=2),EDATE(P70,12*2),AND(AH70="K5-POLICY",AG70&lt;&gt;"นิติศาสตร์",K70="S1",Q70&gt;=1),EDATE(P70,12),AND(AH70="K5-POLICY",AG70&lt;&gt;"นิติศาสตร์",OR(K70="S2",K70="K5")),P70,TRUE,"Check Data")</f>
        <v/>
      </c>
      <c r="AJ70" s="75" t="str">
        <f t="shared" si="43"/>
        <v>Check Data</v>
      </c>
      <c r="AK70" s="76" t="str">
        <f t="shared" si="49"/>
        <v>Check Data</v>
      </c>
      <c r="AL70" s="50" t="str">
        <f t="shared" si="44"/>
        <v>Check Data</v>
      </c>
      <c r="AM70" s="49" t="str">
        <f>IF(B70="","",IF(K70="S1","S1",INDEX(#REF!,#REF!)))</f>
        <v/>
      </c>
      <c r="AN70" s="49" t="str">
        <f t="shared" si="45"/>
        <v>M2</v>
      </c>
      <c r="AO70" s="50" t="b">
        <f>K70=AM70</f>
        <v>0</v>
      </c>
      <c r="AP70" s="50"/>
    </row>
    <row r="71" spans="1:42" ht="21.75">
      <c r="A71" s="49">
        <v>69</v>
      </c>
      <c r="B71" s="50"/>
      <c r="C71" s="52"/>
      <c r="D71" s="50" t="s">
        <v>141</v>
      </c>
      <c r="E71" s="79"/>
      <c r="F71" s="79"/>
      <c r="G71" s="50">
        <f t="shared" si="46"/>
        <v>0</v>
      </c>
      <c r="H71" s="50">
        <f t="shared" si="47"/>
        <v>0</v>
      </c>
      <c r="I71" s="50">
        <f t="shared" si="48"/>
        <v>0</v>
      </c>
      <c r="J71" s="79"/>
      <c r="K71" s="49" t="s">
        <v>136</v>
      </c>
      <c r="L71" s="79"/>
      <c r="M71" s="79"/>
      <c r="N71" s="79"/>
      <c r="O71" s="65" t="s">
        <v>257</v>
      </c>
      <c r="P71" s="49" t="str">
        <f t="shared" si="37"/>
        <v>19/12/2023</v>
      </c>
      <c r="Q71" s="68">
        <f>IF(P71="",0,DATEDIF(P71,$C$1,"Y"))</f>
        <v>1</v>
      </c>
      <c r="R71" s="68">
        <f>IF(P71="",0,DATEDIF(P71,$C$1,"YM"))</f>
        <v>6</v>
      </c>
      <c r="S71" s="68">
        <f>IF(P71="",0,DATEDIF(P71,$C$1,"MD"))</f>
        <v>1</v>
      </c>
      <c r="T71" s="65"/>
      <c r="U71" s="83"/>
      <c r="V71" s="49" t="str">
        <f t="shared" si="38"/>
        <v/>
      </c>
      <c r="W71" s="68">
        <f>IF(V71="",0,DATEDIF(V71,P71,"Y"))</f>
        <v>0</v>
      </c>
      <c r="X71" s="68">
        <f>IF(V71="",0,DATEDIF(V71,P71,"YM"))</f>
        <v>0</v>
      </c>
      <c r="Y71" s="68">
        <f>IF(V71="",0,DATEDIF(V71,P71,"MD"))</f>
        <v>0</v>
      </c>
      <c r="Z71" s="79"/>
      <c r="AA71" s="79"/>
      <c r="AB71" s="50" t="str">
        <f t="shared" si="39"/>
        <v/>
      </c>
      <c r="AC71" s="68">
        <f t="shared" si="40"/>
        <v>0</v>
      </c>
      <c r="AD71" s="68">
        <f t="shared" si="41"/>
        <v>0</v>
      </c>
      <c r="AE71" s="68">
        <f t="shared" si="42"/>
        <v>0</v>
      </c>
      <c r="AF71" s="79"/>
      <c r="AG71" s="50" t="s">
        <v>138</v>
      </c>
      <c r="AH71" s="49" t="str">
        <f>IF(AG71="นิติศาสตร์","K5-LAW","K5-POLICY")</f>
        <v>K5-LAW</v>
      </c>
      <c r="AI71" s="72" t="str">
        <f>_xlfn.IFS(B71="","",AND(AH71="K5-LAW",AG71="นิติศาสตร์",K71="S2",T71="",Z71=""),P71,AND(AH71="K5-LAW",AG71="นิติศาสตร์",K71="S1",T71="",Z71=""),EDATE(P71,12),AND(AH71="K5-LAW",AG71="นิติศาสตร์",OR(K71="M2",K71="K4"),T71="",Z71=""),EDATE(P71,12*2),AND(AH71="K5-LAW",AG71="นิติศาสตร์",OR(Z71="M2",Z71="K4"),AC71&gt;=2,OR(AB71&lt;V71,AB71&lt;P71)),EDATE(AB71,12*2),AND(AH71="K5-LAW",AG71="นิติศาสตร์",Z71="S1",AC71&gt;=1,OR(AB71&lt;V71,AB71&lt;P71)),EDATE(AB71,12),AND(AH71="K5-LAW",AG71="นิติศาสตร์",OR(T71="M2",T71="K4"),W71&gt;=2,V71&lt;P71),EDATE(V71,12*2),AND(AH71="K5-LAW",AG71="นิติศาสตร์",T71="S1",W71&gt;=1,V71&lt;P71),EDATE(V71,12),AND(AH71="K5-LAW",AG71="นิติศาสตร์",OR(T71="S2",T71="K5")),V71,AND(AH71="K5-LAW",AG71="นิติศาสตร์",OR(K71="M2",K71="K4"),Q71&gt;=2),EDATE(P71,12*2),AND(AH71="K5-LAW",AG71="นิติศาสตร์",K71="S1",Q71&gt;=1),EDATE(P71,12),AND(AH71="K5-LAW",AG71="นิติศาสตร์",OR(K71="S2",K71="K5")),P71,AND(AH71="K5-POLICY",AG71&lt;&gt;"นิติศาสตร์",K71="S2",T71="",Z71=""),P71,AND(AH71="K5-POLICY",AG71&lt;&gt;"นิติศาสตร์",K71="S1",T71="",Z71=""),EDATE(P71,12),AND(AH71="K5-POLICY",AG71&lt;&gt;"นิติศาสตร์",OR(K71="M2",K71="K4"),T71="",Z71=""),EDATE(P71,12*2),AND(AH71="K5-POLICY",AG71&lt;&gt;"นิติศาสตร์",OR(Z71="M2",Z71="K4"),AC71&gt;=2,OR(AB71&lt;V71,AB71&lt;P71)),EDATE(AB71,12*2),AND(AH71="K5-POLICY",AG71&lt;&gt;"นิติศาสตร์",Z71="S1",AC71&gt;=1,OR(AB71&lt;V71,AB71&lt;P71)),EDATE(AB71,12),AND(AH71="K5-POLICY",AG71&lt;&gt;"นิติศาสตร์",OR(T71="M2",T71="K4"),W71&gt;=2,V71&lt;P71),EDATE(V71,12*2),AND(AH71="K5-POLICY",AG71&lt;&gt;"นิติศาสตร์",T71="S1",W71&gt;=1,V71&lt;P71),EDATE(V71,12),AND(AH71="K5-POLICY",AG71&lt;&gt;"นิติศาสตร์",OR(T71="S2",T71="K5")),V71,AND(AH71="K5-POLICY",AG71&lt;&gt;"นิติศาสตร์",OR(K71="M2",K71="K4"),Q71&gt;=2),EDATE(P71,12*2),AND(AH71="K5-POLICY",AG71&lt;&gt;"นิติศาสตร์",K71="S1",Q71&gt;=1),EDATE(P71,12),AND(AH71="K5-POLICY",AG71&lt;&gt;"นิติศาสตร์",OR(K71="S2",K71="K5")),P71,TRUE,"Check Data")</f>
        <v/>
      </c>
      <c r="AJ71" s="75" t="str">
        <f t="shared" si="43"/>
        <v>Check Data</v>
      </c>
      <c r="AK71" s="76" t="str">
        <f t="shared" si="49"/>
        <v>Check Data</v>
      </c>
      <c r="AL71" s="50" t="str">
        <f t="shared" si="44"/>
        <v>Check Data</v>
      </c>
      <c r="AM71" s="49" t="str">
        <f>IF(B71="","",IF(K71="S1","S1",INDEX(#REF!,#REF!)))</f>
        <v/>
      </c>
      <c r="AN71" s="49" t="str">
        <f t="shared" si="45"/>
        <v>M2</v>
      </c>
      <c r="AO71" s="50" t="b">
        <f>K71=AM71</f>
        <v>0</v>
      </c>
      <c r="AP71" s="50"/>
    </row>
    <row r="72" spans="1:42" ht="21.75">
      <c r="A72" s="49">
        <v>70</v>
      </c>
      <c r="B72" s="50"/>
      <c r="C72" s="50"/>
      <c r="D72" s="50" t="s">
        <v>139</v>
      </c>
      <c r="E72" s="49" t="s">
        <v>215</v>
      </c>
      <c r="F72" s="49" t="str">
        <f>IF(E72="","",TEXT(EDATE(E72,-543*12),"dd/mm/yyyy"))</f>
        <v>04/08/1993</v>
      </c>
      <c r="G72" s="50">
        <f t="shared" si="46"/>
        <v>31</v>
      </c>
      <c r="H72" s="50">
        <f t="shared" si="47"/>
        <v>10</v>
      </c>
      <c r="I72" s="50">
        <f t="shared" si="48"/>
        <v>16</v>
      </c>
      <c r="J72" s="56"/>
      <c r="K72" s="49" t="s">
        <v>136</v>
      </c>
      <c r="L72" s="64"/>
      <c r="M72" s="49" t="s">
        <v>427</v>
      </c>
      <c r="N72" s="49">
        <v>2568</v>
      </c>
      <c r="O72" s="65" t="s">
        <v>216</v>
      </c>
      <c r="P72" s="49" t="str">
        <f t="shared" si="37"/>
        <v>21/12/2023</v>
      </c>
      <c r="Q72" s="68">
        <f>IF(P72="",0,DATEDIF(P72,$C$1,"Y"))</f>
        <v>1</v>
      </c>
      <c r="R72" s="68">
        <f>IF(P72="",0,DATEDIF(P72,$C$1,"YM"))</f>
        <v>5</v>
      </c>
      <c r="S72" s="68">
        <f>IF(P72="",0,DATEDIF(P72,$C$1,"MD"))</f>
        <v>30</v>
      </c>
      <c r="T72" s="65"/>
      <c r="U72" s="65"/>
      <c r="V72" s="49" t="str">
        <f t="shared" si="38"/>
        <v/>
      </c>
      <c r="W72" s="68">
        <f>IF(V72="",0,DATEDIF(V72,P72,"Y"))</f>
        <v>0</v>
      </c>
      <c r="X72" s="68">
        <f>IF(V72="",0,DATEDIF(V72,P72,"YM"))</f>
        <v>0</v>
      </c>
      <c r="Y72" s="68">
        <f>IF(V72="",0,DATEDIF(V72,P72,"MD"))</f>
        <v>0</v>
      </c>
      <c r="Z72" s="49"/>
      <c r="AA72" s="65"/>
      <c r="AB72" s="50" t="str">
        <f t="shared" si="39"/>
        <v/>
      </c>
      <c r="AC72" s="68">
        <f t="shared" si="40"/>
        <v>0</v>
      </c>
      <c r="AD72" s="68">
        <f t="shared" si="41"/>
        <v>0</v>
      </c>
      <c r="AE72" s="68">
        <f t="shared" si="42"/>
        <v>0</v>
      </c>
      <c r="AF72" s="50"/>
      <c r="AG72" s="50" t="s">
        <v>138</v>
      </c>
      <c r="AH72" s="49" t="str">
        <f>IF(AG72="นิติศาสตร์","K5-LAW","K5-POLICY")</f>
        <v>K5-LAW</v>
      </c>
      <c r="AI72" s="72" t="str">
        <f>_xlfn.IFS(B72="","",AND(AH72="K5-LAW",AG72="นิติศาสตร์",K72="S2",T72="",Z72=""),P72,AND(AH72="K5-LAW",AG72="นิติศาสตร์",K72="S1",T72="",Z72=""),EDATE(P72,12),AND(AH72="K5-LAW",AG72="นิติศาสตร์",OR(K72="M2",K72="K4"),T72="",Z72=""),EDATE(P72,12*2),AND(AH72="K5-LAW",AG72="นิติศาสตร์",OR(Z72="M2",Z72="K4"),AC72&gt;=2,OR(AB72&lt;V72,AB72&lt;P72)),EDATE(AB72,12*2),AND(AH72="K5-LAW",AG72="นิติศาสตร์",Z72="S1",AC72&gt;=1,OR(AB72&lt;V72,AB72&lt;P72)),EDATE(AB72,12),AND(AH72="K5-LAW",AG72="นิติศาสตร์",OR(T72="M2",T72="K4"),W72&gt;=2,V72&lt;P72),EDATE(V72,12*2),AND(AH72="K5-LAW",AG72="นิติศาสตร์",T72="S1",W72&gt;=1,V72&lt;P72),EDATE(V72,12),AND(AH72="K5-LAW",AG72="นิติศาสตร์",OR(T72="S2",T72="K5")),V72,AND(AH72="K5-LAW",AG72="นิติศาสตร์",OR(K72="M2",K72="K4"),Q72&gt;=2),EDATE(P72,12*2),AND(AH72="K5-LAW",AG72="นิติศาสตร์",K72="S1",Q72&gt;=1),EDATE(P72,12),AND(AH72="K5-LAW",AG72="นิติศาสตร์",OR(K72="S2",K72="K5")),P72,AND(AH72="K5-POLICY",AG72&lt;&gt;"นิติศาสตร์",K72="S2",T72="",Z72=""),P72,AND(AH72="K5-POLICY",AG72&lt;&gt;"นิติศาสตร์",K72="S1",T72="",Z72=""),EDATE(P72,12),AND(AH72="K5-POLICY",AG72&lt;&gt;"นิติศาสตร์",OR(K72="M2",K72="K4"),T72="",Z72=""),EDATE(P72,12*2),AND(AH72="K5-POLICY",AG72&lt;&gt;"นิติศาสตร์",OR(Z72="M2",Z72="K4"),AC72&gt;=2,OR(AB72&lt;V72,AB72&lt;P72)),EDATE(AB72,12*2),AND(AH72="K5-POLICY",AG72&lt;&gt;"นิติศาสตร์",Z72="S1",AC72&gt;=1,OR(AB72&lt;V72,AB72&lt;P72)),EDATE(AB72,12),AND(AH72="K5-POLICY",AG72&lt;&gt;"นิติศาสตร์",OR(T72="M2",T72="K4"),W72&gt;=2,V72&lt;P72),EDATE(V72,12*2),AND(AH72="K5-POLICY",AG72&lt;&gt;"นิติศาสตร์",T72="S1",W72&gt;=1,V72&lt;P72),EDATE(V72,12),AND(AH72="K5-POLICY",AG72&lt;&gt;"นิติศาสตร์",OR(T72="S2",T72="K5")),V72,AND(AH72="K5-POLICY",AG72&lt;&gt;"นิติศาสตร์",OR(K72="M2",K72="K4"),Q72&gt;=2),EDATE(P72,12*2),AND(AH72="K5-POLICY",AG72&lt;&gt;"นิติศาสตร์",K72="S1",Q72&gt;=1),EDATE(P72,12),AND(AH72="K5-POLICY",AG72&lt;&gt;"นิติศาสตร์",OR(K72="S2",K72="K5")),P72,TRUE,"Check Data")</f>
        <v/>
      </c>
      <c r="AJ72" s="75" t="str">
        <f t="shared" si="43"/>
        <v>Check Data</v>
      </c>
      <c r="AK72" s="76" t="str">
        <f t="shared" si="49"/>
        <v>Check Data</v>
      </c>
      <c r="AL72" s="50" t="str">
        <f t="shared" si="44"/>
        <v>Check Data</v>
      </c>
      <c r="AM72" s="49" t="str">
        <f>IF(B72="","",IF(K72="S1","S1",INDEX(#REF!,#REF!)))</f>
        <v/>
      </c>
      <c r="AN72" s="49" t="str">
        <f t="shared" si="45"/>
        <v>M2</v>
      </c>
      <c r="AO72" s="50" t="b">
        <f>K72=AM72</f>
        <v>0</v>
      </c>
      <c r="AP72" s="50"/>
    </row>
    <row r="73" spans="1:42" ht="21.75">
      <c r="A73" s="49">
        <v>71</v>
      </c>
      <c r="B73" s="50"/>
      <c r="C73" s="50"/>
      <c r="D73" s="50" t="s">
        <v>139</v>
      </c>
      <c r="E73" s="49" t="s">
        <v>222</v>
      </c>
      <c r="F73" s="49" t="str">
        <f>IF(E73="","",TEXT(EDATE(E73,-543*12),"dd/mm/yyyy"))</f>
        <v>20/04/1989</v>
      </c>
      <c r="G73" s="50">
        <f t="shared" si="46"/>
        <v>36</v>
      </c>
      <c r="H73" s="50">
        <f t="shared" si="47"/>
        <v>2</v>
      </c>
      <c r="I73" s="50">
        <f t="shared" si="48"/>
        <v>0</v>
      </c>
      <c r="J73" s="56"/>
      <c r="K73" s="49" t="s">
        <v>136</v>
      </c>
      <c r="L73" s="64"/>
      <c r="M73" s="49" t="s">
        <v>426</v>
      </c>
      <c r="N73" s="49">
        <v>2571</v>
      </c>
      <c r="O73" s="65" t="s">
        <v>216</v>
      </c>
      <c r="P73" s="49" t="str">
        <f t="shared" si="37"/>
        <v>21/12/2023</v>
      </c>
      <c r="Q73" s="68">
        <f>IF(P73="",0,DATEDIF(P73,$C$1,"Y"))</f>
        <v>1</v>
      </c>
      <c r="R73" s="68">
        <f>IF(P73="",0,DATEDIF(P73,$C$1,"YM"))</f>
        <v>5</v>
      </c>
      <c r="S73" s="68">
        <f>IF(P73="",0,DATEDIF(P73,$C$1,"MD"))</f>
        <v>30</v>
      </c>
      <c r="T73" s="65"/>
      <c r="U73" s="65"/>
      <c r="V73" s="49" t="str">
        <f t="shared" si="38"/>
        <v/>
      </c>
      <c r="W73" s="68">
        <f>IF(V73="",0,DATEDIF(V73,P73,"Y"))</f>
        <v>0</v>
      </c>
      <c r="X73" s="68">
        <f>IF(V73="",0,DATEDIF(V73,P73,"YM"))</f>
        <v>0</v>
      </c>
      <c r="Y73" s="68">
        <f>IF(V73="",0,DATEDIF(V73,P73,"MD"))</f>
        <v>0</v>
      </c>
      <c r="Z73" s="49"/>
      <c r="AA73" s="65"/>
      <c r="AB73" s="50" t="str">
        <f t="shared" si="39"/>
        <v/>
      </c>
      <c r="AC73" s="68">
        <f t="shared" si="40"/>
        <v>0</v>
      </c>
      <c r="AD73" s="68">
        <f t="shared" si="41"/>
        <v>0</v>
      </c>
      <c r="AE73" s="68">
        <f t="shared" si="42"/>
        <v>0</v>
      </c>
      <c r="AF73" s="50"/>
      <c r="AG73" s="50" t="s">
        <v>138</v>
      </c>
      <c r="AH73" s="49" t="str">
        <f>IF(AG73="นิติศาสตร์","K5-LAW","K5-POLICY")</f>
        <v>K5-LAW</v>
      </c>
      <c r="AI73" s="72" t="str">
        <f>_xlfn.IFS(B73="","",AND(AH73="K5-LAW",AG73="นิติศาสตร์",K73="S2",T73="",Z73=""),P73,AND(AH73="K5-LAW",AG73="นิติศาสตร์",K73="S1",T73="",Z73=""),EDATE(P73,12),AND(AH73="K5-LAW",AG73="นิติศาสตร์",OR(K73="M2",K73="K4"),T73="",Z73=""),EDATE(P73,12*2),AND(AH73="K5-LAW",AG73="นิติศาสตร์",OR(Z73="M2",Z73="K4"),AC73&gt;=2,OR(AB73&lt;V73,AB73&lt;P73)),EDATE(AB73,12*2),AND(AH73="K5-LAW",AG73="นิติศาสตร์",Z73="S1",AC73&gt;=1,OR(AB73&lt;V73,AB73&lt;P73)),EDATE(AB73,12),AND(AH73="K5-LAW",AG73="นิติศาสตร์",OR(T73="M2",T73="K4"),W73&gt;=2,V73&lt;P73),EDATE(V73,12*2),AND(AH73="K5-LAW",AG73="นิติศาสตร์",T73="S1",W73&gt;=1,V73&lt;P73),EDATE(V73,12),AND(AH73="K5-LAW",AG73="นิติศาสตร์",OR(T73="S2",T73="K5")),V73,AND(AH73="K5-LAW",AG73="นิติศาสตร์",OR(K73="M2",K73="K4"),Q73&gt;=2),EDATE(P73,12*2),AND(AH73="K5-LAW",AG73="นิติศาสตร์",K73="S1",Q73&gt;=1),EDATE(P73,12),AND(AH73="K5-LAW",AG73="นิติศาสตร์",OR(K73="S2",K73="K5")),P73,AND(AH73="K5-POLICY",AG73&lt;&gt;"นิติศาสตร์",K73="S2",T73="",Z73=""),P73,AND(AH73="K5-POLICY",AG73&lt;&gt;"นิติศาสตร์",K73="S1",T73="",Z73=""),EDATE(P73,12),AND(AH73="K5-POLICY",AG73&lt;&gt;"นิติศาสตร์",OR(K73="M2",K73="K4"),T73="",Z73=""),EDATE(P73,12*2),AND(AH73="K5-POLICY",AG73&lt;&gt;"นิติศาสตร์",OR(Z73="M2",Z73="K4"),AC73&gt;=2,OR(AB73&lt;V73,AB73&lt;P73)),EDATE(AB73,12*2),AND(AH73="K5-POLICY",AG73&lt;&gt;"นิติศาสตร์",Z73="S1",AC73&gt;=1,OR(AB73&lt;V73,AB73&lt;P73)),EDATE(AB73,12),AND(AH73="K5-POLICY",AG73&lt;&gt;"นิติศาสตร์",OR(T73="M2",T73="K4"),W73&gt;=2,V73&lt;P73),EDATE(V73,12*2),AND(AH73="K5-POLICY",AG73&lt;&gt;"นิติศาสตร์",T73="S1",W73&gt;=1,V73&lt;P73),EDATE(V73,12),AND(AH73="K5-POLICY",AG73&lt;&gt;"นิติศาสตร์",OR(T73="S2",T73="K5")),V73,AND(AH73="K5-POLICY",AG73&lt;&gt;"นิติศาสตร์",OR(K73="M2",K73="K4"),Q73&gt;=2),EDATE(P73,12*2),AND(AH73="K5-POLICY",AG73&lt;&gt;"นิติศาสตร์",K73="S1",Q73&gt;=1),EDATE(P73,12),AND(AH73="K5-POLICY",AG73&lt;&gt;"นิติศาสตร์",OR(K73="S2",K73="K5")),P73,TRUE,"Check Data")</f>
        <v/>
      </c>
      <c r="AJ73" s="75" t="str">
        <f t="shared" si="43"/>
        <v>Check Data</v>
      </c>
      <c r="AK73" s="76" t="str">
        <f t="shared" si="49"/>
        <v>Check Data</v>
      </c>
      <c r="AL73" s="50" t="str">
        <f t="shared" si="44"/>
        <v>Check Data</v>
      </c>
      <c r="AM73" s="49" t="str">
        <f>IF(B73="","",IF(K73="S1","S1",INDEX(#REF!,#REF!)))</f>
        <v/>
      </c>
      <c r="AN73" s="49" t="str">
        <f t="shared" si="45"/>
        <v>M2</v>
      </c>
      <c r="AO73" s="50" t="b">
        <f>K73=AM73</f>
        <v>0</v>
      </c>
      <c r="AP73" s="50"/>
    </row>
    <row r="74" spans="1:42" ht="21.75">
      <c r="A74" s="49">
        <v>72</v>
      </c>
      <c r="B74" s="50"/>
      <c r="C74" s="50"/>
      <c r="D74" s="50" t="s">
        <v>139</v>
      </c>
      <c r="E74" s="49" t="s">
        <v>231</v>
      </c>
      <c r="F74" s="49" t="str">
        <f>IF(E74="","",TEXT(EDATE(E74,-543*12),"dd/mm/yyyy"))</f>
        <v>15/05/1995</v>
      </c>
      <c r="G74" s="50">
        <f t="shared" si="46"/>
        <v>30</v>
      </c>
      <c r="H74" s="50">
        <f t="shared" si="47"/>
        <v>1</v>
      </c>
      <c r="I74" s="50">
        <f t="shared" si="48"/>
        <v>5</v>
      </c>
      <c r="J74" s="59"/>
      <c r="K74" s="49" t="s">
        <v>136</v>
      </c>
      <c r="L74" s="64"/>
      <c r="M74" s="49" t="s">
        <v>426</v>
      </c>
      <c r="N74" s="49">
        <v>2572</v>
      </c>
      <c r="O74" s="65" t="s">
        <v>216</v>
      </c>
      <c r="P74" s="49" t="str">
        <f t="shared" si="37"/>
        <v>21/12/2023</v>
      </c>
      <c r="Q74" s="68">
        <f>IF(P74="",0,DATEDIF(P74,$C$1,"Y"))</f>
        <v>1</v>
      </c>
      <c r="R74" s="68">
        <f>IF(P74="",0,DATEDIF(P74,$C$1,"YM"))</f>
        <v>5</v>
      </c>
      <c r="S74" s="68">
        <f>IF(P74="",0,DATEDIF(P74,$C$1,"MD"))</f>
        <v>30</v>
      </c>
      <c r="T74" s="65"/>
      <c r="U74" s="65"/>
      <c r="V74" s="49" t="str">
        <f t="shared" si="38"/>
        <v/>
      </c>
      <c r="W74" s="68">
        <f>IF(V74="",0,DATEDIF(V74,P74,"Y"))</f>
        <v>0</v>
      </c>
      <c r="X74" s="68">
        <f>IF(V74="",0,DATEDIF(V74,P74,"YM"))</f>
        <v>0</v>
      </c>
      <c r="Y74" s="68">
        <f>IF(V74="",0,DATEDIF(V74,P74,"MD"))</f>
        <v>0</v>
      </c>
      <c r="Z74" s="49"/>
      <c r="AA74" s="65"/>
      <c r="AB74" s="50" t="str">
        <f t="shared" si="39"/>
        <v/>
      </c>
      <c r="AC74" s="68">
        <f t="shared" si="40"/>
        <v>0</v>
      </c>
      <c r="AD74" s="68">
        <f t="shared" si="41"/>
        <v>0</v>
      </c>
      <c r="AE74" s="68">
        <f t="shared" si="42"/>
        <v>0</v>
      </c>
      <c r="AF74" s="50"/>
      <c r="AG74" s="50" t="s">
        <v>138</v>
      </c>
      <c r="AH74" s="49" t="str">
        <f>IF(AG74="นิติศาสตร์","K5-LAW","K5-POLICY")</f>
        <v>K5-LAW</v>
      </c>
      <c r="AI74" s="72" t="str">
        <f>_xlfn.IFS(B74="","",AND(AH74="K5-LAW",AG74="นิติศาสตร์",K74="S2",T74="",Z74=""),P74,AND(AH74="K5-LAW",AG74="นิติศาสตร์",K74="S1",T74="",Z74=""),EDATE(P74,12),AND(AH74="K5-LAW",AG74="นิติศาสตร์",OR(K74="M2",K74="K4"),T74="",Z74=""),EDATE(P74,12*2),AND(AH74="K5-LAW",AG74="นิติศาสตร์",OR(Z74="M2",Z74="K4"),AC74&gt;=2,OR(AB74&lt;V74,AB74&lt;P74)),EDATE(AB74,12*2),AND(AH74="K5-LAW",AG74="นิติศาสตร์",Z74="S1",AC74&gt;=1,OR(AB74&lt;V74,AB74&lt;P74)),EDATE(AB74,12),AND(AH74="K5-LAW",AG74="นิติศาสตร์",OR(T74="M2",T74="K4"),W74&gt;=2,V74&lt;P74),EDATE(V74,12*2),AND(AH74="K5-LAW",AG74="นิติศาสตร์",T74="S1",W74&gt;=1,V74&lt;P74),EDATE(V74,12),AND(AH74="K5-LAW",AG74="นิติศาสตร์",OR(T74="S2",T74="K5")),V74,AND(AH74="K5-LAW",AG74="นิติศาสตร์",OR(K74="M2",K74="K4"),Q74&gt;=2),EDATE(P74,12*2),AND(AH74="K5-LAW",AG74="นิติศาสตร์",K74="S1",Q74&gt;=1),EDATE(P74,12),AND(AH74="K5-LAW",AG74="นิติศาสตร์",OR(K74="S2",K74="K5")),P74,AND(AH74="K5-POLICY",AG74&lt;&gt;"นิติศาสตร์",K74="S2",T74="",Z74=""),P74,AND(AH74="K5-POLICY",AG74&lt;&gt;"นิติศาสตร์",K74="S1",T74="",Z74=""),EDATE(P74,12),AND(AH74="K5-POLICY",AG74&lt;&gt;"นิติศาสตร์",OR(K74="M2",K74="K4"),T74="",Z74=""),EDATE(P74,12*2),AND(AH74="K5-POLICY",AG74&lt;&gt;"นิติศาสตร์",OR(Z74="M2",Z74="K4"),AC74&gt;=2,OR(AB74&lt;V74,AB74&lt;P74)),EDATE(AB74,12*2),AND(AH74="K5-POLICY",AG74&lt;&gt;"นิติศาสตร์",Z74="S1",AC74&gt;=1,OR(AB74&lt;V74,AB74&lt;P74)),EDATE(AB74,12),AND(AH74="K5-POLICY",AG74&lt;&gt;"นิติศาสตร์",OR(T74="M2",T74="K4"),W74&gt;=2,V74&lt;P74),EDATE(V74,12*2),AND(AH74="K5-POLICY",AG74&lt;&gt;"นิติศาสตร์",T74="S1",W74&gt;=1,V74&lt;P74),EDATE(V74,12),AND(AH74="K5-POLICY",AG74&lt;&gt;"นิติศาสตร์",OR(T74="S2",T74="K5")),V74,AND(AH74="K5-POLICY",AG74&lt;&gt;"นิติศาสตร์",OR(K74="M2",K74="K4"),Q74&gt;=2),EDATE(P74,12*2),AND(AH74="K5-POLICY",AG74&lt;&gt;"นิติศาสตร์",K74="S1",Q74&gt;=1),EDATE(P74,12),AND(AH74="K5-POLICY",AG74&lt;&gt;"นิติศาสตร์",OR(K74="S2",K74="K5")),P74,TRUE,"Check Data")</f>
        <v/>
      </c>
      <c r="AJ74" s="75" t="str">
        <f t="shared" si="43"/>
        <v>Check Data</v>
      </c>
      <c r="AK74" s="76" t="str">
        <f t="shared" si="49"/>
        <v>Check Data</v>
      </c>
      <c r="AL74" s="50" t="str">
        <f t="shared" si="44"/>
        <v>Check Data</v>
      </c>
      <c r="AM74" s="49" t="str">
        <f>IF(B74="","",IF(K74="S1","S1",INDEX(#REF!,#REF!)))</f>
        <v/>
      </c>
      <c r="AN74" s="49" t="str">
        <f t="shared" si="45"/>
        <v>M2</v>
      </c>
      <c r="AO74" s="50" t="b">
        <f>K74=AM74</f>
        <v>0</v>
      </c>
      <c r="AP74" s="50"/>
    </row>
    <row r="75" spans="1:42" ht="21.75">
      <c r="A75" s="49">
        <v>73</v>
      </c>
      <c r="B75" s="50"/>
      <c r="C75" s="52"/>
      <c r="D75" s="50" t="s">
        <v>142</v>
      </c>
      <c r="E75" s="79"/>
      <c r="F75" s="79"/>
      <c r="G75" s="50">
        <f t="shared" si="46"/>
        <v>0</v>
      </c>
      <c r="H75" s="50">
        <f t="shared" si="47"/>
        <v>0</v>
      </c>
      <c r="I75" s="50">
        <f t="shared" si="48"/>
        <v>0</v>
      </c>
      <c r="J75" s="79"/>
      <c r="K75" s="49" t="s">
        <v>136</v>
      </c>
      <c r="L75" s="79"/>
      <c r="M75" s="79"/>
      <c r="N75" s="79"/>
      <c r="O75" s="65" t="s">
        <v>433</v>
      </c>
      <c r="P75" s="49" t="str">
        <f t="shared" si="37"/>
        <v>23/04/2024</v>
      </c>
      <c r="Q75" s="68">
        <f>IF(P75="",0,DATEDIF(P75,$C$1,"Y"))</f>
        <v>1</v>
      </c>
      <c r="R75" s="68">
        <f>IF(P75="",0,DATEDIF(P75,$C$1,"YM"))</f>
        <v>1</v>
      </c>
      <c r="S75" s="68">
        <f>IF(P75="",0,DATEDIF(P75,$C$1,"MD"))</f>
        <v>28</v>
      </c>
      <c r="T75" s="65"/>
      <c r="U75" s="83"/>
      <c r="V75" s="49" t="str">
        <f t="shared" si="38"/>
        <v/>
      </c>
      <c r="W75" s="68">
        <f>IF(V75="",0,DATEDIF(V75,P75,"Y"))</f>
        <v>0</v>
      </c>
      <c r="X75" s="68">
        <f>IF(V75="",0,DATEDIF(V75,P75,"YM"))</f>
        <v>0</v>
      </c>
      <c r="Y75" s="68">
        <f>IF(V75="",0,DATEDIF(V75,P75,"MD"))</f>
        <v>0</v>
      </c>
      <c r="Z75" s="79"/>
      <c r="AA75" s="79"/>
      <c r="AB75" s="50" t="str">
        <f t="shared" si="39"/>
        <v/>
      </c>
      <c r="AC75" s="68">
        <f t="shared" si="40"/>
        <v>0</v>
      </c>
      <c r="AD75" s="68">
        <f t="shared" si="41"/>
        <v>0</v>
      </c>
      <c r="AE75" s="68">
        <f t="shared" si="42"/>
        <v>0</v>
      </c>
      <c r="AF75" s="79"/>
      <c r="AG75" s="50" t="s">
        <v>138</v>
      </c>
      <c r="AH75" s="49" t="str">
        <f>IF(AG75="นิติศาสตร์","K5-LAW","K5-POLICY")</f>
        <v>K5-LAW</v>
      </c>
      <c r="AI75" s="72" t="str">
        <f>_xlfn.IFS(B75="","",AND(AH75="K5-LAW",AG75="นิติศาสตร์",K75="S2",T75="",Z75=""),P75,AND(AH75="K5-LAW",AG75="นิติศาสตร์",K75="S1",T75="",Z75=""),EDATE(P75,12),AND(AH75="K5-LAW",AG75="นิติศาสตร์",OR(K75="M2",K75="K4"),T75="",Z75=""),EDATE(P75,12*2),AND(AH75="K5-LAW",AG75="นิติศาสตร์",OR(Z75="M2",Z75="K4"),AC75&gt;=2,OR(AB75&lt;V75,AB75&lt;P75)),EDATE(AB75,12*2),AND(AH75="K5-LAW",AG75="นิติศาสตร์",Z75="S1",AC75&gt;=1,OR(AB75&lt;V75,AB75&lt;P75)),EDATE(AB75,12),AND(AH75="K5-LAW",AG75="นิติศาสตร์",OR(T75="M2",T75="K4"),W75&gt;=2,V75&lt;P75),EDATE(V75,12*2),AND(AH75="K5-LAW",AG75="นิติศาสตร์",T75="S1",W75&gt;=1,V75&lt;P75),EDATE(V75,12),AND(AH75="K5-LAW",AG75="นิติศาสตร์",OR(T75="S2",T75="K5")),V75,AND(AH75="K5-LAW",AG75="นิติศาสตร์",OR(K75="M2",K75="K4"),Q75&gt;=2),EDATE(P75,12*2),AND(AH75="K5-LAW",AG75="นิติศาสตร์",K75="S1",Q75&gt;=1),EDATE(P75,12),AND(AH75="K5-LAW",AG75="นิติศาสตร์",OR(K75="S2",K75="K5")),P75,AND(AH75="K5-POLICY",AG75&lt;&gt;"นิติศาสตร์",K75="S2",T75="",Z75=""),P75,AND(AH75="K5-POLICY",AG75&lt;&gt;"นิติศาสตร์",K75="S1",T75="",Z75=""),EDATE(P75,12),AND(AH75="K5-POLICY",AG75&lt;&gt;"นิติศาสตร์",OR(K75="M2",K75="K4"),T75="",Z75=""),EDATE(P75,12*2),AND(AH75="K5-POLICY",AG75&lt;&gt;"นิติศาสตร์",OR(Z75="M2",Z75="K4"),AC75&gt;=2,OR(AB75&lt;V75,AB75&lt;P75)),EDATE(AB75,12*2),AND(AH75="K5-POLICY",AG75&lt;&gt;"นิติศาสตร์",Z75="S1",AC75&gt;=1,OR(AB75&lt;V75,AB75&lt;P75)),EDATE(AB75,12),AND(AH75="K5-POLICY",AG75&lt;&gt;"นิติศาสตร์",OR(T75="M2",T75="K4"),W75&gt;=2,V75&lt;P75),EDATE(V75,12*2),AND(AH75="K5-POLICY",AG75&lt;&gt;"นิติศาสตร์",T75="S1",W75&gt;=1,V75&lt;P75),EDATE(V75,12),AND(AH75="K5-POLICY",AG75&lt;&gt;"นิติศาสตร์",OR(T75="S2",T75="K5")),V75,AND(AH75="K5-POLICY",AG75&lt;&gt;"นิติศาสตร์",OR(K75="M2",K75="K4"),Q75&gt;=2),EDATE(P75,12*2),AND(AH75="K5-POLICY",AG75&lt;&gt;"นิติศาสตร์",K75="S1",Q75&gt;=1),EDATE(P75,12),AND(AH75="K5-POLICY",AG75&lt;&gt;"นิติศาสตร์",OR(K75="S2",K75="K5")),P75,TRUE,"Check Data")</f>
        <v/>
      </c>
      <c r="AJ75" s="75" t="str">
        <f t="shared" si="43"/>
        <v>Check Data</v>
      </c>
      <c r="AK75" s="76" t="str">
        <f t="shared" si="49"/>
        <v>Check Data</v>
      </c>
      <c r="AL75" s="50" t="str">
        <f t="shared" si="44"/>
        <v>Check Data</v>
      </c>
      <c r="AM75" s="49" t="str">
        <f>IF(B75="","",IF(K75="S1","S1",INDEX(#REF!,#REF!)))</f>
        <v/>
      </c>
      <c r="AN75" s="49" t="str">
        <f t="shared" si="45"/>
        <v>M2</v>
      </c>
      <c r="AO75" s="50" t="b">
        <f>K75=AM75</f>
        <v>0</v>
      </c>
      <c r="AP75" s="50"/>
    </row>
    <row r="76" spans="1:42" ht="21.75">
      <c r="A76" s="49">
        <v>74</v>
      </c>
      <c r="B76" s="50"/>
      <c r="C76" s="52"/>
      <c r="D76" s="50" t="s">
        <v>141</v>
      </c>
      <c r="E76" s="49"/>
      <c r="F76" s="49"/>
      <c r="G76" s="50">
        <f t="shared" si="46"/>
        <v>0</v>
      </c>
      <c r="H76" s="50">
        <f t="shared" si="47"/>
        <v>0</v>
      </c>
      <c r="I76" s="50">
        <f t="shared" si="48"/>
        <v>0</v>
      </c>
      <c r="J76" s="50"/>
      <c r="K76" s="49" t="s">
        <v>136</v>
      </c>
      <c r="L76" s="64"/>
      <c r="M76" s="49"/>
      <c r="N76" s="49"/>
      <c r="O76" s="65" t="s">
        <v>434</v>
      </c>
      <c r="P76" s="49" t="str">
        <f t="shared" ref="P76:P93" si="50">TEXT(EDATE(O76,-543*12),"dd/mm/yyyy")</f>
        <v>02/07/2024</v>
      </c>
      <c r="Q76" s="68">
        <f>IF(P76="",0,DATEDIF(P76,$C$1,"Y"))</f>
        <v>0</v>
      </c>
      <c r="R76" s="68">
        <f>IF(P76="",0,DATEDIF(P76,$C$1,"YM"))</f>
        <v>11</v>
      </c>
      <c r="S76" s="68">
        <f>IF(P76="",0,DATEDIF(P76,$C$1,"MD"))</f>
        <v>18</v>
      </c>
      <c r="T76" s="65"/>
      <c r="U76" s="65"/>
      <c r="V76" s="49" t="str">
        <f t="shared" ref="V76:V93" si="51">IF(U76="","",TEXT(EDATE(U76,-543*12),"dd/mm/yyyy"))</f>
        <v/>
      </c>
      <c r="W76" s="68">
        <f>IF(V76="",0,DATEDIF(V76,P76,"Y"))</f>
        <v>0</v>
      </c>
      <c r="X76" s="68">
        <f>IF(V76="",0,DATEDIF(V76,P76,"YM"))</f>
        <v>0</v>
      </c>
      <c r="Y76" s="68">
        <f>IF(V76="",0,DATEDIF(V76,P76,"MD"))</f>
        <v>0</v>
      </c>
      <c r="Z76" s="49"/>
      <c r="AA76" s="65"/>
      <c r="AB76" s="50" t="str">
        <f t="shared" ref="AB76:AB93" si="52">IF(AA76="","",TEXT(EDATE(AA76,-543*12),"dd/mm/yyyy"))</f>
        <v/>
      </c>
      <c r="AC76" s="68">
        <f t="shared" ref="AC76:AC93" si="53">IF(AB76="",0,DATEDIF(AB76,V76,"Y"))</f>
        <v>0</v>
      </c>
      <c r="AD76" s="68">
        <f t="shared" ref="AD76:AD93" si="54">IF(AB76="",0,DATEDIF(AB76,V76,"YM"))</f>
        <v>0</v>
      </c>
      <c r="AE76" s="68">
        <f t="shared" ref="AE76:AE93" si="55">IF(AB76="",0,DATEDIF(AB76,V76,"MD"))</f>
        <v>0</v>
      </c>
      <c r="AF76" s="50"/>
      <c r="AG76" s="50" t="s">
        <v>138</v>
      </c>
      <c r="AH76" s="49" t="str">
        <f>IF(AG76="นิติศาสตร์","K5-LAW","K5-POLICY")</f>
        <v>K5-LAW</v>
      </c>
      <c r="AI76" s="72" t="str">
        <f>_xlfn.IFS(B76="","",AND(AH76="K5-LAW",AG76="นิติศาสตร์",K76="S2",T76="",Z76=""),P76,AND(AH76="K5-LAW",AG76="นิติศาสตร์",K76="S1",T76="",Z76=""),EDATE(P76,12),AND(AH76="K5-LAW",AG76="นิติศาสตร์",OR(K76="M2",K76="K4"),T76="",Z76=""),EDATE(P76,12*2),AND(AH76="K5-LAW",AG76="นิติศาสตร์",OR(Z76="M2",Z76="K4"),AC76&gt;=2,OR(AB76&lt;V76,AB76&lt;P76)),EDATE(AB76,12*2),AND(AH76="K5-LAW",AG76="นิติศาสตร์",Z76="S1",AC76&gt;=1,OR(AB76&lt;V76,AB76&lt;P76)),EDATE(AB76,12),AND(AH76="K5-LAW",AG76="นิติศาสตร์",OR(T76="M2",T76="K4"),W76&gt;=2,V76&lt;P76),EDATE(V76,12*2),AND(AH76="K5-LAW",AG76="นิติศาสตร์",T76="S1",W76&gt;=1,V76&lt;P76),EDATE(V76,12),AND(AH76="K5-LAW",AG76="นิติศาสตร์",OR(T76="S2",T76="K5")),V76,AND(AH76="K5-LAW",AG76="นิติศาสตร์",OR(K76="M2",K76="K4"),Q76&gt;=2),EDATE(P76,12*2),AND(AH76="K5-LAW",AG76="นิติศาสตร์",K76="S1",Q76&gt;=1),EDATE(P76,12),AND(AH76="K5-LAW",AG76="นิติศาสตร์",OR(K76="S2",K76="K5")),P76,AND(AH76="K5-POLICY",AG76&lt;&gt;"นิติศาสตร์",K76="S2",T76="",Z76=""),P76,AND(AH76="K5-POLICY",AG76&lt;&gt;"นิติศาสตร์",K76="S1",T76="",Z76=""),EDATE(P76,12),AND(AH76="K5-POLICY",AG76&lt;&gt;"นิติศาสตร์",OR(K76="M2",K76="K4"),T76="",Z76=""),EDATE(P76,12*2),AND(AH76="K5-POLICY",AG76&lt;&gt;"นิติศาสตร์",OR(Z76="M2",Z76="K4"),AC76&gt;=2,OR(AB76&lt;V76,AB76&lt;P76)),EDATE(AB76,12*2),AND(AH76="K5-POLICY",AG76&lt;&gt;"นิติศาสตร์",Z76="S1",AC76&gt;=1,OR(AB76&lt;V76,AB76&lt;P76)),EDATE(AB76,12),AND(AH76="K5-POLICY",AG76&lt;&gt;"นิติศาสตร์",OR(T76="M2",T76="K4"),W76&gt;=2,V76&lt;P76),EDATE(V76,12*2),AND(AH76="K5-POLICY",AG76&lt;&gt;"นิติศาสตร์",T76="S1",W76&gt;=1,V76&lt;P76),EDATE(V76,12),AND(AH76="K5-POLICY",AG76&lt;&gt;"นิติศาสตร์",OR(T76="S2",T76="K5")),V76,AND(AH76="K5-POLICY",AG76&lt;&gt;"นิติศาสตร์",OR(K76="M2",K76="K4"),Q76&gt;=2),EDATE(P76,12*2),AND(AH76="K5-POLICY",AG76&lt;&gt;"นิติศาสตร์",K76="S1",Q76&gt;=1),EDATE(P76,12),AND(AH76="K5-POLICY",AG76&lt;&gt;"นิติศาสตร์",OR(K76="S2",K76="K5")),P76,TRUE,"Check Data")</f>
        <v/>
      </c>
      <c r="AJ76" s="75" t="str">
        <f t="shared" ref="AJ76:AJ93" si="56">IFERROR(TEXT(EDATE(AI76,543*12),"dd/mm/yyyy"),"Check Data")</f>
        <v>Check Data</v>
      </c>
      <c r="AK76" s="76" t="str">
        <f t="shared" si="49"/>
        <v>Check Data</v>
      </c>
      <c r="AL76" s="50" t="str">
        <f t="shared" ref="AL76:AL93" si="57">_xlfn.IFS(AK76="Check Data","Check Data",AK76&gt;30,"ยังไม่ถึงเกณฑ์",AK76&gt;0,"ใกล้ถึงเกณฑ์",AK76=0,"ถึงเกณฑ์",AK76&lt;0,"ถึงเกณฑ์นานแล้ว")</f>
        <v>Check Data</v>
      </c>
      <c r="AM76" s="49" t="str">
        <f>IF(B76="","",IF(K76="S1","S1",INDEX(#REF!,#REF!)))</f>
        <v/>
      </c>
      <c r="AN76" s="49" t="str">
        <f>K76</f>
        <v>M2</v>
      </c>
      <c r="AO76" s="50" t="b">
        <f>K76=AM76</f>
        <v>0</v>
      </c>
      <c r="AP76" s="50"/>
    </row>
    <row r="77" spans="1:42" ht="21.75">
      <c r="A77" s="49">
        <v>75</v>
      </c>
      <c r="B77" s="50"/>
      <c r="C77" s="52"/>
      <c r="D77" s="50" t="s">
        <v>141</v>
      </c>
      <c r="E77" s="49"/>
      <c r="F77" s="49"/>
      <c r="G77" s="50">
        <f t="shared" si="46"/>
        <v>0</v>
      </c>
      <c r="H77" s="50">
        <f t="shared" si="47"/>
        <v>0</v>
      </c>
      <c r="I77" s="50">
        <f t="shared" si="48"/>
        <v>0</v>
      </c>
      <c r="J77" s="50"/>
      <c r="K77" s="49" t="s">
        <v>136</v>
      </c>
      <c r="L77" s="64"/>
      <c r="M77" s="49"/>
      <c r="N77" s="49"/>
      <c r="O77" s="65" t="s">
        <v>434</v>
      </c>
      <c r="P77" s="49" t="str">
        <f t="shared" si="50"/>
        <v>02/07/2024</v>
      </c>
      <c r="Q77" s="68">
        <f>IF(P77="",0,DATEDIF(P77,$C$1,"Y"))</f>
        <v>0</v>
      </c>
      <c r="R77" s="68">
        <f>IF(P77="",0,DATEDIF(P77,$C$1,"YM"))</f>
        <v>11</v>
      </c>
      <c r="S77" s="68">
        <f>IF(P77="",0,DATEDIF(P77,$C$1,"MD"))</f>
        <v>18</v>
      </c>
      <c r="T77" s="65"/>
      <c r="U77" s="65"/>
      <c r="V77" s="49" t="str">
        <f t="shared" si="51"/>
        <v/>
      </c>
      <c r="W77" s="68">
        <f>IF(V77="",0,DATEDIF(V77,P77,"Y"))</f>
        <v>0</v>
      </c>
      <c r="X77" s="68">
        <f>IF(V77="",0,DATEDIF(V77,P77,"YM"))</f>
        <v>0</v>
      </c>
      <c r="Y77" s="68">
        <f>IF(V77="",0,DATEDIF(V77,P77,"MD"))</f>
        <v>0</v>
      </c>
      <c r="Z77" s="49"/>
      <c r="AA77" s="65"/>
      <c r="AB77" s="50" t="str">
        <f t="shared" si="52"/>
        <v/>
      </c>
      <c r="AC77" s="68">
        <f t="shared" si="53"/>
        <v>0</v>
      </c>
      <c r="AD77" s="68">
        <f t="shared" si="54"/>
        <v>0</v>
      </c>
      <c r="AE77" s="68">
        <f t="shared" si="55"/>
        <v>0</v>
      </c>
      <c r="AF77" s="50"/>
      <c r="AG77" s="50" t="s">
        <v>138</v>
      </c>
      <c r="AH77" s="49" t="str">
        <f>IF(AG77="นิติศาสตร์","K5-LAW","K5-POLICY")</f>
        <v>K5-LAW</v>
      </c>
      <c r="AI77" s="72" t="str">
        <f>_xlfn.IFS(B77="","",AND(AH77="K5-LAW",AG77="นิติศาสตร์",K77="S2",T77="",Z77=""),P77,AND(AH77="K5-LAW",AG77="นิติศาสตร์",K77="S1",T77="",Z77=""),EDATE(P77,12),AND(AH77="K5-LAW",AG77="นิติศาสตร์",OR(K77="M2",K77="K4"),T77="",Z77=""),EDATE(P77,12*2),AND(AH77="K5-LAW",AG77="นิติศาสตร์",OR(Z77="M2",Z77="K4"),AC77&gt;=2,OR(AB77&lt;V77,AB77&lt;P77)),EDATE(AB77,12*2),AND(AH77="K5-LAW",AG77="นิติศาสตร์",Z77="S1",AC77&gt;=1,OR(AB77&lt;V77,AB77&lt;P77)),EDATE(AB77,12),AND(AH77="K5-LAW",AG77="นิติศาสตร์",OR(T77="M2",T77="K4"),W77&gt;=2,V77&lt;P77),EDATE(V77,12*2),AND(AH77="K5-LAW",AG77="นิติศาสตร์",T77="S1",W77&gt;=1,V77&lt;P77),EDATE(V77,12),AND(AH77="K5-LAW",AG77="นิติศาสตร์",OR(T77="S2",T77="K5")),V77,AND(AH77="K5-LAW",AG77="นิติศาสตร์",OR(K77="M2",K77="K4"),Q77&gt;=2),EDATE(P77,12*2),AND(AH77="K5-LAW",AG77="นิติศาสตร์",K77="S1",Q77&gt;=1),EDATE(P77,12),AND(AH77="K5-LAW",AG77="นิติศาสตร์",OR(K77="S2",K77="K5")),P77,AND(AH77="K5-POLICY",AG77&lt;&gt;"นิติศาสตร์",K77="S2",T77="",Z77=""),P77,AND(AH77="K5-POLICY",AG77&lt;&gt;"นิติศาสตร์",K77="S1",T77="",Z77=""),EDATE(P77,12),AND(AH77="K5-POLICY",AG77&lt;&gt;"นิติศาสตร์",OR(K77="M2",K77="K4"),T77="",Z77=""),EDATE(P77,12*2),AND(AH77="K5-POLICY",AG77&lt;&gt;"นิติศาสตร์",OR(Z77="M2",Z77="K4"),AC77&gt;=2,OR(AB77&lt;V77,AB77&lt;P77)),EDATE(AB77,12*2),AND(AH77="K5-POLICY",AG77&lt;&gt;"นิติศาสตร์",Z77="S1",AC77&gt;=1,OR(AB77&lt;V77,AB77&lt;P77)),EDATE(AB77,12),AND(AH77="K5-POLICY",AG77&lt;&gt;"นิติศาสตร์",OR(T77="M2",T77="K4"),W77&gt;=2,V77&lt;P77),EDATE(V77,12*2),AND(AH77="K5-POLICY",AG77&lt;&gt;"นิติศาสตร์",T77="S1",W77&gt;=1,V77&lt;P77),EDATE(V77,12),AND(AH77="K5-POLICY",AG77&lt;&gt;"นิติศาสตร์",OR(T77="S2",T77="K5")),V77,AND(AH77="K5-POLICY",AG77&lt;&gt;"นิติศาสตร์",OR(K77="M2",K77="K4"),Q77&gt;=2),EDATE(P77,12*2),AND(AH77="K5-POLICY",AG77&lt;&gt;"นิติศาสตร์",K77="S1",Q77&gt;=1),EDATE(P77,12),AND(AH77="K5-POLICY",AG77&lt;&gt;"นิติศาสตร์",OR(K77="S2",K77="K5")),P77,TRUE,"Check Data")</f>
        <v/>
      </c>
      <c r="AJ77" s="75" t="str">
        <f t="shared" si="56"/>
        <v>Check Data</v>
      </c>
      <c r="AK77" s="76" t="str">
        <f t="shared" si="49"/>
        <v>Check Data</v>
      </c>
      <c r="AL77" s="50" t="str">
        <f t="shared" si="57"/>
        <v>Check Data</v>
      </c>
      <c r="AM77" s="49" t="str">
        <f>IF(B77="","",IF(K77="S1","S1",INDEX(#REF!,#REF!)))</f>
        <v/>
      </c>
      <c r="AN77" s="49" t="str">
        <f>K77</f>
        <v>M2</v>
      </c>
      <c r="AO77" s="50" t="b">
        <f>K77=AM77</f>
        <v>0</v>
      </c>
      <c r="AP77" s="50"/>
    </row>
    <row r="78" spans="1:42" ht="21.75">
      <c r="A78" s="49">
        <v>76</v>
      </c>
      <c r="B78" s="50"/>
      <c r="C78" s="52"/>
      <c r="D78" s="50" t="s">
        <v>141</v>
      </c>
      <c r="E78" s="49"/>
      <c r="F78" s="49"/>
      <c r="G78" s="50">
        <f t="shared" si="46"/>
        <v>0</v>
      </c>
      <c r="H78" s="50">
        <f t="shared" si="47"/>
        <v>0</v>
      </c>
      <c r="I78" s="50">
        <f t="shared" si="48"/>
        <v>0</v>
      </c>
      <c r="J78" s="50"/>
      <c r="K78" s="49" t="s">
        <v>136</v>
      </c>
      <c r="L78" s="64"/>
      <c r="M78" s="49"/>
      <c r="N78" s="49"/>
      <c r="O78" s="65" t="s">
        <v>434</v>
      </c>
      <c r="P78" s="49" t="str">
        <f t="shared" si="50"/>
        <v>02/07/2024</v>
      </c>
      <c r="Q78" s="68">
        <f>IF(P78="",0,DATEDIF(P78,$C$1,"Y"))</f>
        <v>0</v>
      </c>
      <c r="R78" s="68">
        <f>IF(P78="",0,DATEDIF(P78,$C$1,"YM"))</f>
        <v>11</v>
      </c>
      <c r="S78" s="68">
        <f>IF(P78="",0,DATEDIF(P78,$C$1,"MD"))</f>
        <v>18</v>
      </c>
      <c r="T78" s="65"/>
      <c r="U78" s="65"/>
      <c r="V78" s="49" t="str">
        <f t="shared" si="51"/>
        <v/>
      </c>
      <c r="W78" s="68">
        <f>IF(V78="",0,DATEDIF(V78,P78,"Y"))</f>
        <v>0</v>
      </c>
      <c r="X78" s="68">
        <f>IF(V78="",0,DATEDIF(V78,P78,"YM"))</f>
        <v>0</v>
      </c>
      <c r="Y78" s="68">
        <f>IF(V78="",0,DATEDIF(V78,P78,"MD"))</f>
        <v>0</v>
      </c>
      <c r="Z78" s="49"/>
      <c r="AA78" s="65"/>
      <c r="AB78" s="50" t="str">
        <f t="shared" si="52"/>
        <v/>
      </c>
      <c r="AC78" s="68">
        <f t="shared" si="53"/>
        <v>0</v>
      </c>
      <c r="AD78" s="68">
        <f t="shared" si="54"/>
        <v>0</v>
      </c>
      <c r="AE78" s="68">
        <f t="shared" si="55"/>
        <v>0</v>
      </c>
      <c r="AF78" s="50"/>
      <c r="AG78" s="50" t="s">
        <v>138</v>
      </c>
      <c r="AH78" s="49" t="str">
        <f>IF(AG78="นิติศาสตร์","K5-LAW","K5-POLICY")</f>
        <v>K5-LAW</v>
      </c>
      <c r="AI78" s="72" t="str">
        <f>_xlfn.IFS(B78="","",AND(AH78="K5-LAW",AG78="นิติศาสตร์",K78="S2",T78="",Z78=""),P78,AND(AH78="K5-LAW",AG78="นิติศาสตร์",K78="S1",T78="",Z78=""),EDATE(P78,12),AND(AH78="K5-LAW",AG78="นิติศาสตร์",OR(K78="M2",K78="K4"),T78="",Z78=""),EDATE(P78,12*2),AND(AH78="K5-LAW",AG78="นิติศาสตร์",OR(Z78="M2",Z78="K4"),AC78&gt;=2,OR(AB78&lt;V78,AB78&lt;P78)),EDATE(AB78,12*2),AND(AH78="K5-LAW",AG78="นิติศาสตร์",Z78="S1",AC78&gt;=1,OR(AB78&lt;V78,AB78&lt;P78)),EDATE(AB78,12),AND(AH78="K5-LAW",AG78="นิติศาสตร์",OR(T78="M2",T78="K4"),W78&gt;=2,V78&lt;P78),EDATE(V78,12*2),AND(AH78="K5-LAW",AG78="นิติศาสตร์",T78="S1",W78&gt;=1,V78&lt;P78),EDATE(V78,12),AND(AH78="K5-LAW",AG78="นิติศาสตร์",OR(T78="S2",T78="K5")),V78,AND(AH78="K5-LAW",AG78="นิติศาสตร์",OR(K78="M2",K78="K4"),Q78&gt;=2),EDATE(P78,12*2),AND(AH78="K5-LAW",AG78="นิติศาสตร์",K78="S1",Q78&gt;=1),EDATE(P78,12),AND(AH78="K5-LAW",AG78="นิติศาสตร์",OR(K78="S2",K78="K5")),P78,AND(AH78="K5-POLICY",AG78&lt;&gt;"นิติศาสตร์",K78="S2",T78="",Z78=""),P78,AND(AH78="K5-POLICY",AG78&lt;&gt;"นิติศาสตร์",K78="S1",T78="",Z78=""),EDATE(P78,12),AND(AH78="K5-POLICY",AG78&lt;&gt;"นิติศาสตร์",OR(K78="M2",K78="K4"),T78="",Z78=""),EDATE(P78,12*2),AND(AH78="K5-POLICY",AG78&lt;&gt;"นิติศาสตร์",OR(Z78="M2",Z78="K4"),AC78&gt;=2,OR(AB78&lt;V78,AB78&lt;P78)),EDATE(AB78,12*2),AND(AH78="K5-POLICY",AG78&lt;&gt;"นิติศาสตร์",Z78="S1",AC78&gt;=1,OR(AB78&lt;V78,AB78&lt;P78)),EDATE(AB78,12),AND(AH78="K5-POLICY",AG78&lt;&gt;"นิติศาสตร์",OR(T78="M2",T78="K4"),W78&gt;=2,V78&lt;P78),EDATE(V78,12*2),AND(AH78="K5-POLICY",AG78&lt;&gt;"นิติศาสตร์",T78="S1",W78&gt;=1,V78&lt;P78),EDATE(V78,12),AND(AH78="K5-POLICY",AG78&lt;&gt;"นิติศาสตร์",OR(T78="S2",T78="K5")),V78,AND(AH78="K5-POLICY",AG78&lt;&gt;"นิติศาสตร์",OR(K78="M2",K78="K4"),Q78&gt;=2),EDATE(P78,12*2),AND(AH78="K5-POLICY",AG78&lt;&gt;"นิติศาสตร์",K78="S1",Q78&gt;=1),EDATE(P78,12),AND(AH78="K5-POLICY",AG78&lt;&gt;"นิติศาสตร์",OR(K78="S2",K78="K5")),P78,TRUE,"Check Data")</f>
        <v/>
      </c>
      <c r="AJ78" s="75" t="str">
        <f t="shared" si="56"/>
        <v>Check Data</v>
      </c>
      <c r="AK78" s="76" t="str">
        <f t="shared" si="49"/>
        <v>Check Data</v>
      </c>
      <c r="AL78" s="50" t="str">
        <f t="shared" si="57"/>
        <v>Check Data</v>
      </c>
      <c r="AM78" s="49" t="str">
        <f>IF(B78="","",IF(K78="S1","S1",INDEX(#REF!,#REF!)))</f>
        <v/>
      </c>
      <c r="AN78" s="49" t="str">
        <f>K78</f>
        <v>M2</v>
      </c>
      <c r="AO78" s="50" t="b">
        <f>K78=AM78</f>
        <v>0</v>
      </c>
      <c r="AP78" s="50"/>
    </row>
    <row r="79" spans="1:42" ht="21.75">
      <c r="A79" s="49">
        <v>77</v>
      </c>
      <c r="B79" s="50"/>
      <c r="C79" s="52"/>
      <c r="D79" s="50" t="s">
        <v>141</v>
      </c>
      <c r="E79" s="49"/>
      <c r="F79" s="49"/>
      <c r="G79" s="50">
        <f t="shared" si="46"/>
        <v>0</v>
      </c>
      <c r="H79" s="50">
        <f t="shared" si="47"/>
        <v>0</v>
      </c>
      <c r="I79" s="50">
        <f t="shared" si="48"/>
        <v>0</v>
      </c>
      <c r="J79" s="50"/>
      <c r="K79" s="49" t="s">
        <v>136</v>
      </c>
      <c r="L79" s="64"/>
      <c r="M79" s="49"/>
      <c r="N79" s="49"/>
      <c r="O79" s="65" t="s">
        <v>434</v>
      </c>
      <c r="P79" s="49" t="str">
        <f t="shared" si="50"/>
        <v>02/07/2024</v>
      </c>
      <c r="Q79" s="68">
        <f>IF(P79="",0,DATEDIF(P79,$C$1,"Y"))</f>
        <v>0</v>
      </c>
      <c r="R79" s="68">
        <f>IF(P79="",0,DATEDIF(P79,$C$1,"YM"))</f>
        <v>11</v>
      </c>
      <c r="S79" s="68">
        <f>IF(P79="",0,DATEDIF(P79,$C$1,"MD"))</f>
        <v>18</v>
      </c>
      <c r="T79" s="65"/>
      <c r="U79" s="65"/>
      <c r="V79" s="49" t="str">
        <f t="shared" si="51"/>
        <v/>
      </c>
      <c r="W79" s="68">
        <f>IF(V79="",0,DATEDIF(V79,P79,"Y"))</f>
        <v>0</v>
      </c>
      <c r="X79" s="68">
        <f>IF(V79="",0,DATEDIF(V79,P79,"YM"))</f>
        <v>0</v>
      </c>
      <c r="Y79" s="68">
        <f>IF(V79="",0,DATEDIF(V79,P79,"MD"))</f>
        <v>0</v>
      </c>
      <c r="Z79" s="49"/>
      <c r="AA79" s="65"/>
      <c r="AB79" s="50" t="str">
        <f t="shared" si="52"/>
        <v/>
      </c>
      <c r="AC79" s="68">
        <f t="shared" si="53"/>
        <v>0</v>
      </c>
      <c r="AD79" s="68">
        <f t="shared" si="54"/>
        <v>0</v>
      </c>
      <c r="AE79" s="68">
        <f t="shared" si="55"/>
        <v>0</v>
      </c>
      <c r="AF79" s="50"/>
      <c r="AG79" s="50" t="s">
        <v>138</v>
      </c>
      <c r="AH79" s="49" t="str">
        <f>IF(AG79="นิติศาสตร์","K5-LAW","K5-POLICY")</f>
        <v>K5-LAW</v>
      </c>
      <c r="AI79" s="72" t="str">
        <f>_xlfn.IFS(B79="","",AND(AH79="K5-LAW",AG79="นิติศาสตร์",K79="S2",T79="",Z79=""),P79,AND(AH79="K5-LAW",AG79="นิติศาสตร์",K79="S1",T79="",Z79=""),EDATE(P79,12),AND(AH79="K5-LAW",AG79="นิติศาสตร์",OR(K79="M2",K79="K4"),T79="",Z79=""),EDATE(P79,12*2),AND(AH79="K5-LAW",AG79="นิติศาสตร์",OR(Z79="M2",Z79="K4"),AC79&gt;=2,OR(AB79&lt;V79,AB79&lt;P79)),EDATE(AB79,12*2),AND(AH79="K5-LAW",AG79="นิติศาสตร์",Z79="S1",AC79&gt;=1,OR(AB79&lt;V79,AB79&lt;P79)),EDATE(AB79,12),AND(AH79="K5-LAW",AG79="นิติศาสตร์",OR(T79="M2",T79="K4"),W79&gt;=2,V79&lt;P79),EDATE(V79,12*2),AND(AH79="K5-LAW",AG79="นิติศาสตร์",T79="S1",W79&gt;=1,V79&lt;P79),EDATE(V79,12),AND(AH79="K5-LAW",AG79="นิติศาสตร์",OR(T79="S2",T79="K5")),V79,AND(AH79="K5-LAW",AG79="นิติศาสตร์",OR(K79="M2",K79="K4"),Q79&gt;=2),EDATE(P79,12*2),AND(AH79="K5-LAW",AG79="นิติศาสตร์",K79="S1",Q79&gt;=1),EDATE(P79,12),AND(AH79="K5-LAW",AG79="นิติศาสตร์",OR(K79="S2",K79="K5")),P79,AND(AH79="K5-POLICY",AG79&lt;&gt;"นิติศาสตร์",K79="S2",T79="",Z79=""),P79,AND(AH79="K5-POLICY",AG79&lt;&gt;"นิติศาสตร์",K79="S1",T79="",Z79=""),EDATE(P79,12),AND(AH79="K5-POLICY",AG79&lt;&gt;"นิติศาสตร์",OR(K79="M2",K79="K4"),T79="",Z79=""),EDATE(P79,12*2),AND(AH79="K5-POLICY",AG79&lt;&gt;"นิติศาสตร์",OR(Z79="M2",Z79="K4"),AC79&gt;=2,OR(AB79&lt;V79,AB79&lt;P79)),EDATE(AB79,12*2),AND(AH79="K5-POLICY",AG79&lt;&gt;"นิติศาสตร์",Z79="S1",AC79&gt;=1,OR(AB79&lt;V79,AB79&lt;P79)),EDATE(AB79,12),AND(AH79="K5-POLICY",AG79&lt;&gt;"นิติศาสตร์",OR(T79="M2",T79="K4"),W79&gt;=2,V79&lt;P79),EDATE(V79,12*2),AND(AH79="K5-POLICY",AG79&lt;&gt;"นิติศาสตร์",T79="S1",W79&gt;=1,V79&lt;P79),EDATE(V79,12),AND(AH79="K5-POLICY",AG79&lt;&gt;"นิติศาสตร์",OR(T79="S2",T79="K5")),V79,AND(AH79="K5-POLICY",AG79&lt;&gt;"นิติศาสตร์",OR(K79="M2",K79="K4"),Q79&gt;=2),EDATE(P79,12*2),AND(AH79="K5-POLICY",AG79&lt;&gt;"นิติศาสตร์",K79="S1",Q79&gt;=1),EDATE(P79,12),AND(AH79="K5-POLICY",AG79&lt;&gt;"นิติศาสตร์",OR(K79="S2",K79="K5")),P79,TRUE,"Check Data")</f>
        <v/>
      </c>
      <c r="AJ79" s="75" t="str">
        <f t="shared" si="56"/>
        <v>Check Data</v>
      </c>
      <c r="AK79" s="76" t="str">
        <f t="shared" si="49"/>
        <v>Check Data</v>
      </c>
      <c r="AL79" s="50" t="str">
        <f t="shared" si="57"/>
        <v>Check Data</v>
      </c>
      <c r="AM79" s="49" t="str">
        <f>IF(B79="","",IF(K79="S1","S1",INDEX(#REF!,#REF!)))</f>
        <v/>
      </c>
      <c r="AN79" s="49" t="str">
        <f>K79</f>
        <v>M2</v>
      </c>
      <c r="AO79" s="50" t="b">
        <f>K79=AM79</f>
        <v>0</v>
      </c>
      <c r="AP79" s="50"/>
    </row>
    <row r="80" spans="1:42" ht="21.75">
      <c r="A80" s="49">
        <v>78</v>
      </c>
      <c r="B80" s="50"/>
      <c r="C80" s="52"/>
      <c r="D80" s="50" t="s">
        <v>141</v>
      </c>
      <c r="E80" s="49"/>
      <c r="F80" s="49"/>
      <c r="G80" s="50">
        <f t="shared" si="46"/>
        <v>0</v>
      </c>
      <c r="H80" s="50">
        <f t="shared" si="47"/>
        <v>0</v>
      </c>
      <c r="I80" s="50">
        <f t="shared" si="48"/>
        <v>0</v>
      </c>
      <c r="J80" s="50"/>
      <c r="K80" s="49" t="s">
        <v>136</v>
      </c>
      <c r="L80" s="64"/>
      <c r="M80" s="49"/>
      <c r="N80" s="49"/>
      <c r="O80" s="65" t="s">
        <v>434</v>
      </c>
      <c r="P80" s="49" t="str">
        <f t="shared" si="50"/>
        <v>02/07/2024</v>
      </c>
      <c r="Q80" s="68">
        <f>IF(P80="",0,DATEDIF(P80,$C$1,"Y"))</f>
        <v>0</v>
      </c>
      <c r="R80" s="68">
        <f>IF(P80="",0,DATEDIF(P80,$C$1,"YM"))</f>
        <v>11</v>
      </c>
      <c r="S80" s="68">
        <f>IF(P80="",0,DATEDIF(P80,$C$1,"MD"))</f>
        <v>18</v>
      </c>
      <c r="T80" s="65"/>
      <c r="U80" s="65"/>
      <c r="V80" s="49" t="str">
        <f t="shared" si="51"/>
        <v/>
      </c>
      <c r="W80" s="68">
        <f>IF(V80="",0,DATEDIF(V80,P80,"Y"))</f>
        <v>0</v>
      </c>
      <c r="X80" s="68">
        <f>IF(V80="",0,DATEDIF(V80,P80,"YM"))</f>
        <v>0</v>
      </c>
      <c r="Y80" s="68">
        <f>IF(V80="",0,DATEDIF(V80,P80,"MD"))</f>
        <v>0</v>
      </c>
      <c r="Z80" s="49"/>
      <c r="AA80" s="65"/>
      <c r="AB80" s="50" t="str">
        <f t="shared" si="52"/>
        <v/>
      </c>
      <c r="AC80" s="68">
        <f t="shared" si="53"/>
        <v>0</v>
      </c>
      <c r="AD80" s="68">
        <f t="shared" si="54"/>
        <v>0</v>
      </c>
      <c r="AE80" s="68">
        <f t="shared" si="55"/>
        <v>0</v>
      </c>
      <c r="AF80" s="50"/>
      <c r="AG80" s="50" t="s">
        <v>138</v>
      </c>
      <c r="AH80" s="49" t="str">
        <f>IF(AG80="นิติศาสตร์","K5-LAW","K5-POLICY")</f>
        <v>K5-LAW</v>
      </c>
      <c r="AI80" s="72" t="str">
        <f>_xlfn.IFS(B80="","",AND(AH80="K5-LAW",AG80="นิติศาสตร์",K80="S2",T80="",Z80=""),P80,AND(AH80="K5-LAW",AG80="นิติศาสตร์",K80="S1",T80="",Z80=""),EDATE(P80,12),AND(AH80="K5-LAW",AG80="นิติศาสตร์",OR(K80="M2",K80="K4"),T80="",Z80=""),EDATE(P80,12*2),AND(AH80="K5-LAW",AG80="นิติศาสตร์",OR(Z80="M2",Z80="K4"),AC80&gt;=2,OR(AB80&lt;V80,AB80&lt;P80)),EDATE(AB80,12*2),AND(AH80="K5-LAW",AG80="นิติศาสตร์",Z80="S1",AC80&gt;=1,OR(AB80&lt;V80,AB80&lt;P80)),EDATE(AB80,12),AND(AH80="K5-LAW",AG80="นิติศาสตร์",OR(T80="M2",T80="K4"),W80&gt;=2,V80&lt;P80),EDATE(V80,12*2),AND(AH80="K5-LAW",AG80="นิติศาสตร์",T80="S1",W80&gt;=1,V80&lt;P80),EDATE(V80,12),AND(AH80="K5-LAW",AG80="นิติศาสตร์",OR(T80="S2",T80="K5")),V80,AND(AH80="K5-LAW",AG80="นิติศาสตร์",OR(K80="M2",K80="K4"),Q80&gt;=2),EDATE(P80,12*2),AND(AH80="K5-LAW",AG80="นิติศาสตร์",K80="S1",Q80&gt;=1),EDATE(P80,12),AND(AH80="K5-LAW",AG80="นิติศาสตร์",OR(K80="S2",K80="K5")),P80,AND(AH80="K5-POLICY",AG80&lt;&gt;"นิติศาสตร์",K80="S2",T80="",Z80=""),P80,AND(AH80="K5-POLICY",AG80&lt;&gt;"นิติศาสตร์",K80="S1",T80="",Z80=""),EDATE(P80,12),AND(AH80="K5-POLICY",AG80&lt;&gt;"นิติศาสตร์",OR(K80="M2",K80="K4"),T80="",Z80=""),EDATE(P80,12*2),AND(AH80="K5-POLICY",AG80&lt;&gt;"นิติศาสตร์",OR(Z80="M2",Z80="K4"),AC80&gt;=2,OR(AB80&lt;V80,AB80&lt;P80)),EDATE(AB80,12*2),AND(AH80="K5-POLICY",AG80&lt;&gt;"นิติศาสตร์",Z80="S1",AC80&gt;=1,OR(AB80&lt;V80,AB80&lt;P80)),EDATE(AB80,12),AND(AH80="K5-POLICY",AG80&lt;&gt;"นิติศาสตร์",OR(T80="M2",T80="K4"),W80&gt;=2,V80&lt;P80),EDATE(V80,12*2),AND(AH80="K5-POLICY",AG80&lt;&gt;"นิติศาสตร์",T80="S1",W80&gt;=1,V80&lt;P80),EDATE(V80,12),AND(AH80="K5-POLICY",AG80&lt;&gt;"นิติศาสตร์",OR(T80="S2",T80="K5")),V80,AND(AH80="K5-POLICY",AG80&lt;&gt;"นิติศาสตร์",OR(K80="M2",K80="K4"),Q80&gt;=2),EDATE(P80,12*2),AND(AH80="K5-POLICY",AG80&lt;&gt;"นิติศาสตร์",K80="S1",Q80&gt;=1),EDATE(P80,12),AND(AH80="K5-POLICY",AG80&lt;&gt;"นิติศาสตร์",OR(K80="S2",K80="K5")),P80,TRUE,"Check Data")</f>
        <v/>
      </c>
      <c r="AJ80" s="75" t="str">
        <f t="shared" si="56"/>
        <v>Check Data</v>
      </c>
      <c r="AK80" s="76" t="str">
        <f t="shared" si="49"/>
        <v>Check Data</v>
      </c>
      <c r="AL80" s="50" t="str">
        <f t="shared" si="57"/>
        <v>Check Data</v>
      </c>
      <c r="AM80" s="49" t="str">
        <f>IF(B80="","",IF(K80="S1","S1",INDEX(#REF!,#REF!)))</f>
        <v/>
      </c>
      <c r="AN80" s="49" t="str">
        <f>K80</f>
        <v>M2</v>
      </c>
      <c r="AO80" s="50" t="b">
        <f>K80=AM80</f>
        <v>0</v>
      </c>
      <c r="AP80" s="50"/>
    </row>
    <row r="81" spans="1:42" ht="21.75">
      <c r="A81" s="49">
        <v>79</v>
      </c>
      <c r="B81" s="50"/>
      <c r="C81" s="52"/>
      <c r="D81" s="50" t="s">
        <v>141</v>
      </c>
      <c r="E81" s="49"/>
      <c r="F81" s="49"/>
      <c r="G81" s="50">
        <f t="shared" si="46"/>
        <v>0</v>
      </c>
      <c r="H81" s="50">
        <f t="shared" si="47"/>
        <v>0</v>
      </c>
      <c r="I81" s="50">
        <f t="shared" si="48"/>
        <v>0</v>
      </c>
      <c r="J81" s="50"/>
      <c r="K81" s="49" t="s">
        <v>136</v>
      </c>
      <c r="L81" s="64"/>
      <c r="M81" s="49"/>
      <c r="N81" s="49"/>
      <c r="O81" s="65" t="s">
        <v>434</v>
      </c>
      <c r="P81" s="49" t="str">
        <f t="shared" si="50"/>
        <v>02/07/2024</v>
      </c>
      <c r="Q81" s="68">
        <f>IF(P81="",0,DATEDIF(P81,$C$1,"Y"))</f>
        <v>0</v>
      </c>
      <c r="R81" s="68">
        <f>IF(P81="",0,DATEDIF(P81,$C$1,"YM"))</f>
        <v>11</v>
      </c>
      <c r="S81" s="68">
        <f>IF(P81="",0,DATEDIF(P81,$C$1,"MD"))</f>
        <v>18</v>
      </c>
      <c r="T81" s="65"/>
      <c r="U81" s="65"/>
      <c r="V81" s="49" t="str">
        <f t="shared" si="51"/>
        <v/>
      </c>
      <c r="W81" s="68">
        <f>IF(V81="",0,DATEDIF(V81,P81,"Y"))</f>
        <v>0</v>
      </c>
      <c r="X81" s="68">
        <f>IF(V81="",0,DATEDIF(V81,P81,"YM"))</f>
        <v>0</v>
      </c>
      <c r="Y81" s="68">
        <f>IF(V81="",0,DATEDIF(V81,P81,"MD"))</f>
        <v>0</v>
      </c>
      <c r="Z81" s="49"/>
      <c r="AA81" s="65"/>
      <c r="AB81" s="50" t="str">
        <f t="shared" si="52"/>
        <v/>
      </c>
      <c r="AC81" s="68">
        <f t="shared" si="53"/>
        <v>0</v>
      </c>
      <c r="AD81" s="68">
        <f t="shared" si="54"/>
        <v>0</v>
      </c>
      <c r="AE81" s="68">
        <f t="shared" si="55"/>
        <v>0</v>
      </c>
      <c r="AF81" s="50"/>
      <c r="AG81" s="50" t="s">
        <v>138</v>
      </c>
      <c r="AH81" s="49" t="str">
        <f>IF(AG81="นิติศาสตร์","K5-LAW","K5-POLICY")</f>
        <v>K5-LAW</v>
      </c>
      <c r="AI81" s="72" t="str">
        <f>_xlfn.IFS(B81="","",AND(AH81="K5-LAW",AG81="นิติศาสตร์",K81="S2",T81="",Z81=""),P81,AND(AH81="K5-LAW",AG81="นิติศาสตร์",K81="S1",T81="",Z81=""),EDATE(P81,12),AND(AH81="K5-LAW",AG81="นิติศาสตร์",OR(K81="M2",K81="K4"),T81="",Z81=""),EDATE(P81,12*2),AND(AH81="K5-LAW",AG81="นิติศาสตร์",OR(Z81="M2",Z81="K4"),AC81&gt;=2,OR(AB81&lt;V81,AB81&lt;P81)),EDATE(AB81,12*2),AND(AH81="K5-LAW",AG81="นิติศาสตร์",Z81="S1",AC81&gt;=1,OR(AB81&lt;V81,AB81&lt;P81)),EDATE(AB81,12),AND(AH81="K5-LAW",AG81="นิติศาสตร์",OR(T81="M2",T81="K4"),W81&gt;=2,V81&lt;P81),EDATE(V81,12*2),AND(AH81="K5-LAW",AG81="นิติศาสตร์",T81="S1",W81&gt;=1,V81&lt;P81),EDATE(V81,12),AND(AH81="K5-LAW",AG81="นิติศาสตร์",OR(T81="S2",T81="K5")),V81,AND(AH81="K5-LAW",AG81="นิติศาสตร์",OR(K81="M2",K81="K4"),Q81&gt;=2),EDATE(P81,12*2),AND(AH81="K5-LAW",AG81="นิติศาสตร์",K81="S1",Q81&gt;=1),EDATE(P81,12),AND(AH81="K5-LAW",AG81="นิติศาสตร์",OR(K81="S2",K81="K5")),P81,AND(AH81="K5-POLICY",AG81&lt;&gt;"นิติศาสตร์",K81="S2",T81="",Z81=""),P81,AND(AH81="K5-POLICY",AG81&lt;&gt;"นิติศาสตร์",K81="S1",T81="",Z81=""),EDATE(P81,12),AND(AH81="K5-POLICY",AG81&lt;&gt;"นิติศาสตร์",OR(K81="M2",K81="K4"),T81="",Z81=""),EDATE(P81,12*2),AND(AH81="K5-POLICY",AG81&lt;&gt;"นิติศาสตร์",OR(Z81="M2",Z81="K4"),AC81&gt;=2,OR(AB81&lt;V81,AB81&lt;P81)),EDATE(AB81,12*2),AND(AH81="K5-POLICY",AG81&lt;&gt;"นิติศาสตร์",Z81="S1",AC81&gt;=1,OR(AB81&lt;V81,AB81&lt;P81)),EDATE(AB81,12),AND(AH81="K5-POLICY",AG81&lt;&gt;"นิติศาสตร์",OR(T81="M2",T81="K4"),W81&gt;=2,V81&lt;P81),EDATE(V81,12*2),AND(AH81="K5-POLICY",AG81&lt;&gt;"นิติศาสตร์",T81="S1",W81&gt;=1,V81&lt;P81),EDATE(V81,12),AND(AH81="K5-POLICY",AG81&lt;&gt;"นิติศาสตร์",OR(T81="S2",T81="K5")),V81,AND(AH81="K5-POLICY",AG81&lt;&gt;"นิติศาสตร์",OR(K81="M2",K81="K4"),Q81&gt;=2),EDATE(P81,12*2),AND(AH81="K5-POLICY",AG81&lt;&gt;"นิติศาสตร์",K81="S1",Q81&gt;=1),EDATE(P81,12),AND(AH81="K5-POLICY",AG81&lt;&gt;"นิติศาสตร์",OR(K81="S2",K81="K5")),P81,TRUE,"Check Data")</f>
        <v/>
      </c>
      <c r="AJ81" s="75" t="str">
        <f t="shared" si="56"/>
        <v>Check Data</v>
      </c>
      <c r="AK81" s="76" t="str">
        <f t="shared" si="49"/>
        <v>Check Data</v>
      </c>
      <c r="AL81" s="50" t="str">
        <f t="shared" si="57"/>
        <v>Check Data</v>
      </c>
      <c r="AM81" s="49" t="str">
        <f>IF(B81="","",IF(K81="S1","S1",INDEX(#REF!,#REF!)))</f>
        <v/>
      </c>
      <c r="AN81" s="49" t="str">
        <f>K81</f>
        <v>M2</v>
      </c>
      <c r="AO81" s="50" t="b">
        <f>K81=AM81</f>
        <v>0</v>
      </c>
      <c r="AP81" s="50"/>
    </row>
    <row r="82" spans="1:42" ht="21.75">
      <c r="A82" s="49">
        <v>80</v>
      </c>
      <c r="B82" s="50"/>
      <c r="C82" s="52"/>
      <c r="D82" s="50" t="s">
        <v>141</v>
      </c>
      <c r="E82" s="49"/>
      <c r="F82" s="49" t="str">
        <f t="shared" ref="F82:F88" si="58">IF(E82="","",TEXT(EDATE(E82,-543*12),"dd/mm/yyyy"))</f>
        <v/>
      </c>
      <c r="G82" s="50">
        <f t="shared" si="46"/>
        <v>0</v>
      </c>
      <c r="H82" s="50">
        <f t="shared" si="47"/>
        <v>0</v>
      </c>
      <c r="I82" s="50">
        <f t="shared" si="48"/>
        <v>0</v>
      </c>
      <c r="J82" s="50"/>
      <c r="K82" s="49" t="s">
        <v>136</v>
      </c>
      <c r="L82" s="64"/>
      <c r="M82" s="49"/>
      <c r="N82" s="49"/>
      <c r="O82" s="65" t="s">
        <v>434</v>
      </c>
      <c r="P82" s="49" t="str">
        <f t="shared" si="50"/>
        <v>02/07/2024</v>
      </c>
      <c r="Q82" s="68">
        <f>IF(P82="",0,DATEDIF(P82,$C$1,"Y"))</f>
        <v>0</v>
      </c>
      <c r="R82" s="68">
        <f>IF(P82="",0,DATEDIF(P82,$C$1,"YM"))</f>
        <v>11</v>
      </c>
      <c r="S82" s="68">
        <f>IF(P82="",0,DATEDIF(P82,$C$1,"MD"))</f>
        <v>18</v>
      </c>
      <c r="T82" s="65"/>
      <c r="U82" s="65"/>
      <c r="V82" s="49" t="str">
        <f t="shared" si="51"/>
        <v/>
      </c>
      <c r="W82" s="68">
        <f>IF(V82="",0,DATEDIF(V82,P82,"Y"))</f>
        <v>0</v>
      </c>
      <c r="X82" s="68">
        <f>IF(V82="",0,DATEDIF(V82,P82,"YM"))</f>
        <v>0</v>
      </c>
      <c r="Y82" s="68">
        <f>IF(V82="",0,DATEDIF(V82,P82,"MD"))</f>
        <v>0</v>
      </c>
      <c r="Z82" s="49"/>
      <c r="AA82" s="65"/>
      <c r="AB82" s="50" t="str">
        <f t="shared" si="52"/>
        <v/>
      </c>
      <c r="AC82" s="68">
        <f t="shared" si="53"/>
        <v>0</v>
      </c>
      <c r="AD82" s="68">
        <f t="shared" si="54"/>
        <v>0</v>
      </c>
      <c r="AE82" s="68">
        <f t="shared" si="55"/>
        <v>0</v>
      </c>
      <c r="AF82" s="50"/>
      <c r="AG82" s="50" t="s">
        <v>138</v>
      </c>
      <c r="AH82" s="49" t="str">
        <f>IF(AG82="นิติศาสตร์","K5-LAW","K5-POLICY")</f>
        <v>K5-LAW</v>
      </c>
      <c r="AI82" s="72" t="str">
        <f>_xlfn.IFS(B82="","",AND(AH82="K5-LAW",AG82="นิติศาสตร์",K82="S2",T82="",Z82=""),P82,AND(AH82="K5-LAW",AG82="นิติศาสตร์",K82="S1",T82="",Z82=""),EDATE(P82,12),AND(AH82="K5-LAW",AG82="นิติศาสตร์",OR(K82="M2",K82="K4"),T82="",Z82=""),EDATE(P82,12*2),AND(AH82="K5-LAW",AG82="นิติศาสตร์",OR(Z82="M2",Z82="K4"),AC82&gt;=2,OR(AB82&lt;V82,AB82&lt;P82)),EDATE(AB82,12*2),AND(AH82="K5-LAW",AG82="นิติศาสตร์",Z82="S1",AC82&gt;=1,OR(AB82&lt;V82,AB82&lt;P82)),EDATE(AB82,12),AND(AH82="K5-LAW",AG82="นิติศาสตร์",OR(T82="M2",T82="K4"),W82&gt;=2,V82&lt;P82),EDATE(V82,12*2),AND(AH82="K5-LAW",AG82="นิติศาสตร์",T82="S1",W82&gt;=1,V82&lt;P82),EDATE(V82,12),AND(AH82="K5-LAW",AG82="นิติศาสตร์",OR(T82="S2",T82="K5")),V82,AND(AH82="K5-LAW",AG82="นิติศาสตร์",OR(K82="M2",K82="K4"),Q82&gt;=2),EDATE(P82,12*2),AND(AH82="K5-LAW",AG82="นิติศาสตร์",K82="S1",Q82&gt;=1),EDATE(P82,12),AND(AH82="K5-LAW",AG82="นิติศาสตร์",OR(K82="S2",K82="K5")),P82,AND(AH82="K5-POLICY",AG82&lt;&gt;"นิติศาสตร์",K82="S2",T82="",Z82=""),P82,AND(AH82="K5-POLICY",AG82&lt;&gt;"นิติศาสตร์",K82="S1",T82="",Z82=""),EDATE(P82,12),AND(AH82="K5-POLICY",AG82&lt;&gt;"นิติศาสตร์",OR(K82="M2",K82="K4"),T82="",Z82=""),EDATE(P82,12*2),AND(AH82="K5-POLICY",AG82&lt;&gt;"นิติศาสตร์",OR(Z82="M2",Z82="K4"),AC82&gt;=2,OR(AB82&lt;V82,AB82&lt;P82)),EDATE(AB82,12*2),AND(AH82="K5-POLICY",AG82&lt;&gt;"นิติศาสตร์",Z82="S1",AC82&gt;=1,OR(AB82&lt;V82,AB82&lt;P82)),EDATE(AB82,12),AND(AH82="K5-POLICY",AG82&lt;&gt;"นิติศาสตร์",OR(T82="M2",T82="K4"),W82&gt;=2,V82&lt;P82),EDATE(V82,12*2),AND(AH82="K5-POLICY",AG82&lt;&gt;"นิติศาสตร์",T82="S1",W82&gt;=1,V82&lt;P82),EDATE(V82,12),AND(AH82="K5-POLICY",AG82&lt;&gt;"นิติศาสตร์",OR(T82="S2",T82="K5")),V82,AND(AH82="K5-POLICY",AG82&lt;&gt;"นิติศาสตร์",OR(K82="M2",K82="K4"),Q82&gt;=2),EDATE(P82,12*2),AND(AH82="K5-POLICY",AG82&lt;&gt;"นิติศาสตร์",K82="S1",Q82&gt;=1),EDATE(P82,12),AND(AH82="K5-POLICY",AG82&lt;&gt;"นิติศาสตร์",OR(K82="S2",K82="K5")),P82,TRUE,"Check Data")</f>
        <v/>
      </c>
      <c r="AJ82" s="75" t="str">
        <f t="shared" si="56"/>
        <v>Check Data</v>
      </c>
      <c r="AK82" s="76" t="str">
        <f t="shared" si="49"/>
        <v>Check Data</v>
      </c>
      <c r="AL82" s="50" t="str">
        <f t="shared" si="57"/>
        <v>Check Data</v>
      </c>
      <c r="AM82" s="49" t="str">
        <f>IF(B82="","",IF(K82="S1","S1",INDEX(#REF!,#REF!)))</f>
        <v/>
      </c>
      <c r="AN82" s="49" t="str">
        <f>K82</f>
        <v>M2</v>
      </c>
      <c r="AO82" s="50" t="b">
        <f>K82=AM82</f>
        <v>0</v>
      </c>
      <c r="AP82" s="50"/>
    </row>
    <row r="83" spans="1:42" ht="21.75">
      <c r="A83" s="49">
        <v>81</v>
      </c>
      <c r="B83" s="50"/>
      <c r="C83" s="52"/>
      <c r="D83" s="50" t="s">
        <v>141</v>
      </c>
      <c r="E83" s="49"/>
      <c r="F83" s="49" t="str">
        <f t="shared" si="58"/>
        <v/>
      </c>
      <c r="G83" s="50">
        <f t="shared" si="46"/>
        <v>0</v>
      </c>
      <c r="H83" s="50">
        <f t="shared" si="47"/>
        <v>0</v>
      </c>
      <c r="I83" s="50">
        <f t="shared" si="48"/>
        <v>0</v>
      </c>
      <c r="J83" s="50"/>
      <c r="K83" s="49" t="s">
        <v>136</v>
      </c>
      <c r="L83" s="64"/>
      <c r="M83" s="49"/>
      <c r="N83" s="49"/>
      <c r="O83" s="65" t="s">
        <v>434</v>
      </c>
      <c r="P83" s="49" t="str">
        <f t="shared" si="50"/>
        <v>02/07/2024</v>
      </c>
      <c r="Q83" s="68">
        <f>IF(P83="",0,DATEDIF(P83,$C$1,"Y"))</f>
        <v>0</v>
      </c>
      <c r="R83" s="68">
        <f>IF(P83="",0,DATEDIF(P83,$C$1,"YM"))</f>
        <v>11</v>
      </c>
      <c r="S83" s="68">
        <f>IF(P83="",0,DATEDIF(P83,$C$1,"MD"))</f>
        <v>18</v>
      </c>
      <c r="T83" s="65"/>
      <c r="U83" s="65"/>
      <c r="V83" s="49" t="str">
        <f t="shared" si="51"/>
        <v/>
      </c>
      <c r="W83" s="68">
        <f>IF(V83="",0,DATEDIF(V83,P83,"Y"))</f>
        <v>0</v>
      </c>
      <c r="X83" s="68">
        <f>IF(V83="",0,DATEDIF(V83,P83,"YM"))</f>
        <v>0</v>
      </c>
      <c r="Y83" s="68">
        <f>IF(V83="",0,DATEDIF(V83,P83,"MD"))</f>
        <v>0</v>
      </c>
      <c r="Z83" s="49"/>
      <c r="AA83" s="65"/>
      <c r="AB83" s="50" t="str">
        <f t="shared" si="52"/>
        <v/>
      </c>
      <c r="AC83" s="68">
        <f t="shared" si="53"/>
        <v>0</v>
      </c>
      <c r="AD83" s="68">
        <f t="shared" si="54"/>
        <v>0</v>
      </c>
      <c r="AE83" s="68">
        <f t="shared" si="55"/>
        <v>0</v>
      </c>
      <c r="AF83" s="50"/>
      <c r="AG83" s="50" t="s">
        <v>138</v>
      </c>
      <c r="AH83" s="49" t="str">
        <f>IF(AG83="นิติศาสตร์","K5-LAW","K5-POLICY")</f>
        <v>K5-LAW</v>
      </c>
      <c r="AI83" s="72" t="str">
        <f>_xlfn.IFS(B83="","",AND(AH83="K5-LAW",AG83="นิติศาสตร์",K83="S2",T83="",Z83=""),P83,AND(AH83="K5-LAW",AG83="นิติศาสตร์",K83="S1",T83="",Z83=""),EDATE(P83,12),AND(AH83="K5-LAW",AG83="นิติศาสตร์",OR(K83="M2",K83="K4"),T83="",Z83=""),EDATE(P83,12*2),AND(AH83="K5-LAW",AG83="นิติศาสตร์",OR(Z83="M2",Z83="K4"),AC83&gt;=2,OR(AB83&lt;V83,AB83&lt;P83)),EDATE(AB83,12*2),AND(AH83="K5-LAW",AG83="นิติศาสตร์",Z83="S1",AC83&gt;=1,OR(AB83&lt;V83,AB83&lt;P83)),EDATE(AB83,12),AND(AH83="K5-LAW",AG83="นิติศาสตร์",OR(T83="M2",T83="K4"),W83&gt;=2,V83&lt;P83),EDATE(V83,12*2),AND(AH83="K5-LAW",AG83="นิติศาสตร์",T83="S1",W83&gt;=1,V83&lt;P83),EDATE(V83,12),AND(AH83="K5-LAW",AG83="นิติศาสตร์",OR(T83="S2",T83="K5")),V83,AND(AH83="K5-LAW",AG83="นิติศาสตร์",OR(K83="M2",K83="K4"),Q83&gt;=2),EDATE(P83,12*2),AND(AH83="K5-LAW",AG83="นิติศาสตร์",K83="S1",Q83&gt;=1),EDATE(P83,12),AND(AH83="K5-LAW",AG83="นิติศาสตร์",OR(K83="S2",K83="K5")),P83,AND(AH83="K5-POLICY",AG83&lt;&gt;"นิติศาสตร์",K83="S2",T83="",Z83=""),P83,AND(AH83="K5-POLICY",AG83&lt;&gt;"นิติศาสตร์",K83="S1",T83="",Z83=""),EDATE(P83,12),AND(AH83="K5-POLICY",AG83&lt;&gt;"นิติศาสตร์",OR(K83="M2",K83="K4"),T83="",Z83=""),EDATE(P83,12*2),AND(AH83="K5-POLICY",AG83&lt;&gt;"นิติศาสตร์",OR(Z83="M2",Z83="K4"),AC83&gt;=2,OR(AB83&lt;V83,AB83&lt;P83)),EDATE(AB83,12*2),AND(AH83="K5-POLICY",AG83&lt;&gt;"นิติศาสตร์",Z83="S1",AC83&gt;=1,OR(AB83&lt;V83,AB83&lt;P83)),EDATE(AB83,12),AND(AH83="K5-POLICY",AG83&lt;&gt;"นิติศาสตร์",OR(T83="M2",T83="K4"),W83&gt;=2,V83&lt;P83),EDATE(V83,12*2),AND(AH83="K5-POLICY",AG83&lt;&gt;"นิติศาสตร์",T83="S1",W83&gt;=1,V83&lt;P83),EDATE(V83,12),AND(AH83="K5-POLICY",AG83&lt;&gt;"นิติศาสตร์",OR(T83="S2",T83="K5")),V83,AND(AH83="K5-POLICY",AG83&lt;&gt;"นิติศาสตร์",OR(K83="M2",K83="K4"),Q83&gt;=2),EDATE(P83,12*2),AND(AH83="K5-POLICY",AG83&lt;&gt;"นิติศาสตร์",K83="S1",Q83&gt;=1),EDATE(P83,12),AND(AH83="K5-POLICY",AG83&lt;&gt;"นิติศาสตร์",OR(K83="S2",K83="K5")),P83,TRUE,"Check Data")</f>
        <v/>
      </c>
      <c r="AJ83" s="75" t="str">
        <f t="shared" si="56"/>
        <v>Check Data</v>
      </c>
      <c r="AK83" s="76" t="str">
        <f t="shared" si="49"/>
        <v>Check Data</v>
      </c>
      <c r="AL83" s="50" t="str">
        <f t="shared" si="57"/>
        <v>Check Data</v>
      </c>
      <c r="AM83" s="49" t="str">
        <f>IF(B83="","",IF(K83="S1","S1",INDEX(#REF!,#REF!)))</f>
        <v/>
      </c>
      <c r="AN83" s="49" t="str">
        <f>K83</f>
        <v>M2</v>
      </c>
      <c r="AO83" s="50" t="b">
        <f>K83=AM83</f>
        <v>0</v>
      </c>
      <c r="AP83" s="50"/>
    </row>
    <row r="84" spans="1:42" ht="21.75">
      <c r="A84" s="49">
        <v>82</v>
      </c>
      <c r="B84" s="50"/>
      <c r="C84" s="52"/>
      <c r="D84" s="50" t="s">
        <v>141</v>
      </c>
      <c r="E84" s="49"/>
      <c r="F84" s="49" t="str">
        <f t="shared" si="58"/>
        <v/>
      </c>
      <c r="G84" s="50">
        <f t="shared" si="46"/>
        <v>0</v>
      </c>
      <c r="H84" s="50">
        <f t="shared" si="47"/>
        <v>0</v>
      </c>
      <c r="I84" s="50">
        <f t="shared" si="48"/>
        <v>0</v>
      </c>
      <c r="J84" s="50"/>
      <c r="K84" s="49" t="s">
        <v>136</v>
      </c>
      <c r="L84" s="64"/>
      <c r="M84" s="49"/>
      <c r="N84" s="49"/>
      <c r="O84" s="65" t="s">
        <v>434</v>
      </c>
      <c r="P84" s="49" t="str">
        <f t="shared" si="50"/>
        <v>02/07/2024</v>
      </c>
      <c r="Q84" s="68">
        <f>IF(P84="",0,DATEDIF(P84,$C$1,"Y"))</f>
        <v>0</v>
      </c>
      <c r="R84" s="68">
        <f>IF(P84="",0,DATEDIF(P84,$C$1,"YM"))</f>
        <v>11</v>
      </c>
      <c r="S84" s="68">
        <f>IF(P84="",0,DATEDIF(P84,$C$1,"MD"))</f>
        <v>18</v>
      </c>
      <c r="T84" s="65"/>
      <c r="U84" s="65"/>
      <c r="V84" s="49" t="str">
        <f t="shared" si="51"/>
        <v/>
      </c>
      <c r="W84" s="68">
        <f>IF(V84="",0,DATEDIF(V84,P84,"Y"))</f>
        <v>0</v>
      </c>
      <c r="X84" s="68">
        <f>IF(V84="",0,DATEDIF(V84,P84,"YM"))</f>
        <v>0</v>
      </c>
      <c r="Y84" s="68">
        <f>IF(V84="",0,DATEDIF(V84,P84,"MD"))</f>
        <v>0</v>
      </c>
      <c r="Z84" s="49"/>
      <c r="AA84" s="65"/>
      <c r="AB84" s="50" t="str">
        <f t="shared" si="52"/>
        <v/>
      </c>
      <c r="AC84" s="68">
        <f t="shared" si="53"/>
        <v>0</v>
      </c>
      <c r="AD84" s="68">
        <f t="shared" si="54"/>
        <v>0</v>
      </c>
      <c r="AE84" s="68">
        <f t="shared" si="55"/>
        <v>0</v>
      </c>
      <c r="AF84" s="50"/>
      <c r="AG84" s="50" t="s">
        <v>138</v>
      </c>
      <c r="AH84" s="49" t="str">
        <f>IF(AG84="นิติศาสตร์","K5-LAW","K5-POLICY")</f>
        <v>K5-LAW</v>
      </c>
      <c r="AI84" s="72" t="str">
        <f>_xlfn.IFS(B84="","",AND(AH84="K5-LAW",AG84="นิติศาสตร์",K84="S2",T84="",Z84=""),P84,AND(AH84="K5-LAW",AG84="นิติศาสตร์",K84="S1",T84="",Z84=""),EDATE(P84,12),AND(AH84="K5-LAW",AG84="นิติศาสตร์",OR(K84="M2",K84="K4"),T84="",Z84=""),EDATE(P84,12*2),AND(AH84="K5-LAW",AG84="นิติศาสตร์",OR(Z84="M2",Z84="K4"),AC84&gt;=2,OR(AB84&lt;V84,AB84&lt;P84)),EDATE(AB84,12*2),AND(AH84="K5-LAW",AG84="นิติศาสตร์",Z84="S1",AC84&gt;=1,OR(AB84&lt;V84,AB84&lt;P84)),EDATE(AB84,12),AND(AH84="K5-LAW",AG84="นิติศาสตร์",OR(T84="M2",T84="K4"),W84&gt;=2,V84&lt;P84),EDATE(V84,12*2),AND(AH84="K5-LAW",AG84="นิติศาสตร์",T84="S1",W84&gt;=1,V84&lt;P84),EDATE(V84,12),AND(AH84="K5-LAW",AG84="นิติศาสตร์",OR(T84="S2",T84="K5")),V84,AND(AH84="K5-LAW",AG84="นิติศาสตร์",OR(K84="M2",K84="K4"),Q84&gt;=2),EDATE(P84,12*2),AND(AH84="K5-LAW",AG84="นิติศาสตร์",K84="S1",Q84&gt;=1),EDATE(P84,12),AND(AH84="K5-LAW",AG84="นิติศาสตร์",OR(K84="S2",K84="K5")),P84,AND(AH84="K5-POLICY",AG84&lt;&gt;"นิติศาสตร์",K84="S2",T84="",Z84=""),P84,AND(AH84="K5-POLICY",AG84&lt;&gt;"นิติศาสตร์",K84="S1",T84="",Z84=""),EDATE(P84,12),AND(AH84="K5-POLICY",AG84&lt;&gt;"นิติศาสตร์",OR(K84="M2",K84="K4"),T84="",Z84=""),EDATE(P84,12*2),AND(AH84="K5-POLICY",AG84&lt;&gt;"นิติศาสตร์",OR(Z84="M2",Z84="K4"),AC84&gt;=2,OR(AB84&lt;V84,AB84&lt;P84)),EDATE(AB84,12*2),AND(AH84="K5-POLICY",AG84&lt;&gt;"นิติศาสตร์",Z84="S1",AC84&gt;=1,OR(AB84&lt;V84,AB84&lt;P84)),EDATE(AB84,12),AND(AH84="K5-POLICY",AG84&lt;&gt;"นิติศาสตร์",OR(T84="M2",T84="K4"),W84&gt;=2,V84&lt;P84),EDATE(V84,12*2),AND(AH84="K5-POLICY",AG84&lt;&gt;"นิติศาสตร์",T84="S1",W84&gt;=1,V84&lt;P84),EDATE(V84,12),AND(AH84="K5-POLICY",AG84&lt;&gt;"นิติศาสตร์",OR(T84="S2",T84="K5")),V84,AND(AH84="K5-POLICY",AG84&lt;&gt;"นิติศาสตร์",OR(K84="M2",K84="K4"),Q84&gt;=2),EDATE(P84,12*2),AND(AH84="K5-POLICY",AG84&lt;&gt;"นิติศาสตร์",K84="S1",Q84&gt;=1),EDATE(P84,12),AND(AH84="K5-POLICY",AG84&lt;&gt;"นิติศาสตร์",OR(K84="S2",K84="K5")),P84,TRUE,"Check Data")</f>
        <v/>
      </c>
      <c r="AJ84" s="75" t="str">
        <f t="shared" si="56"/>
        <v>Check Data</v>
      </c>
      <c r="AK84" s="76" t="str">
        <f t="shared" si="49"/>
        <v>Check Data</v>
      </c>
      <c r="AL84" s="50" t="str">
        <f t="shared" si="57"/>
        <v>Check Data</v>
      </c>
      <c r="AM84" s="49" t="str">
        <f>IF(B84="","",IF(K84="S1","S1",INDEX(#REF!,#REF!)))</f>
        <v/>
      </c>
      <c r="AN84" s="49" t="str">
        <f>K84</f>
        <v>M2</v>
      </c>
      <c r="AO84" s="50" t="b">
        <f>K84=AM84</f>
        <v>0</v>
      </c>
      <c r="AP84" s="50"/>
    </row>
    <row r="85" spans="1:42" ht="21.75">
      <c r="A85" s="49">
        <v>83</v>
      </c>
      <c r="B85" s="50"/>
      <c r="C85" s="52"/>
      <c r="D85" s="50" t="s">
        <v>141</v>
      </c>
      <c r="E85" s="49"/>
      <c r="F85" s="49" t="str">
        <f t="shared" si="58"/>
        <v/>
      </c>
      <c r="G85" s="50">
        <f t="shared" si="46"/>
        <v>0</v>
      </c>
      <c r="H85" s="50">
        <f t="shared" si="47"/>
        <v>0</v>
      </c>
      <c r="I85" s="50">
        <f t="shared" si="48"/>
        <v>0</v>
      </c>
      <c r="J85" s="50"/>
      <c r="K85" s="49" t="s">
        <v>136</v>
      </c>
      <c r="L85" s="64"/>
      <c r="M85" s="49"/>
      <c r="N85" s="49"/>
      <c r="O85" s="65" t="s">
        <v>434</v>
      </c>
      <c r="P85" s="49" t="str">
        <f t="shared" si="50"/>
        <v>02/07/2024</v>
      </c>
      <c r="Q85" s="68">
        <f>IF(P85="",0,DATEDIF(P85,$C$1,"Y"))</f>
        <v>0</v>
      </c>
      <c r="R85" s="68">
        <f>IF(P85="",0,DATEDIF(P85,$C$1,"YM"))</f>
        <v>11</v>
      </c>
      <c r="S85" s="68">
        <f>IF(P85="",0,DATEDIF(P85,$C$1,"MD"))</f>
        <v>18</v>
      </c>
      <c r="T85" s="65"/>
      <c r="U85" s="65"/>
      <c r="V85" s="49" t="str">
        <f t="shared" si="51"/>
        <v/>
      </c>
      <c r="W85" s="68">
        <f>IF(V85="",0,DATEDIF(V85,P85,"Y"))</f>
        <v>0</v>
      </c>
      <c r="X85" s="68">
        <f>IF(V85="",0,DATEDIF(V85,P85,"YM"))</f>
        <v>0</v>
      </c>
      <c r="Y85" s="68">
        <f>IF(V85="",0,DATEDIF(V85,P85,"MD"))</f>
        <v>0</v>
      </c>
      <c r="Z85" s="49"/>
      <c r="AA85" s="65"/>
      <c r="AB85" s="50" t="str">
        <f t="shared" si="52"/>
        <v/>
      </c>
      <c r="AC85" s="68">
        <f t="shared" si="53"/>
        <v>0</v>
      </c>
      <c r="AD85" s="68">
        <f t="shared" si="54"/>
        <v>0</v>
      </c>
      <c r="AE85" s="68">
        <f t="shared" si="55"/>
        <v>0</v>
      </c>
      <c r="AF85" s="50"/>
      <c r="AG85" s="50" t="s">
        <v>138</v>
      </c>
      <c r="AH85" s="49" t="str">
        <f>IF(AG85="นิติศาสตร์","K5-LAW","K5-POLICY")</f>
        <v>K5-LAW</v>
      </c>
      <c r="AI85" s="72" t="str">
        <f>_xlfn.IFS(B85="","",AND(AH85="K5-LAW",AG85="นิติศาสตร์",K85="S2",T85="",Z85=""),P85,AND(AH85="K5-LAW",AG85="นิติศาสตร์",K85="S1",T85="",Z85=""),EDATE(P85,12),AND(AH85="K5-LAW",AG85="นิติศาสตร์",OR(K85="M2",K85="K4"),T85="",Z85=""),EDATE(P85,12*2),AND(AH85="K5-LAW",AG85="นิติศาสตร์",OR(Z85="M2",Z85="K4"),AC85&gt;=2,OR(AB85&lt;V85,AB85&lt;P85)),EDATE(AB85,12*2),AND(AH85="K5-LAW",AG85="นิติศาสตร์",Z85="S1",AC85&gt;=1,OR(AB85&lt;V85,AB85&lt;P85)),EDATE(AB85,12),AND(AH85="K5-LAW",AG85="นิติศาสตร์",OR(T85="M2",T85="K4"),W85&gt;=2,V85&lt;P85),EDATE(V85,12*2),AND(AH85="K5-LAW",AG85="นิติศาสตร์",T85="S1",W85&gt;=1,V85&lt;P85),EDATE(V85,12),AND(AH85="K5-LAW",AG85="นิติศาสตร์",OR(T85="S2",T85="K5")),V85,AND(AH85="K5-LAW",AG85="นิติศาสตร์",OR(K85="M2",K85="K4"),Q85&gt;=2),EDATE(P85,12*2),AND(AH85="K5-LAW",AG85="นิติศาสตร์",K85="S1",Q85&gt;=1),EDATE(P85,12),AND(AH85="K5-LAW",AG85="นิติศาสตร์",OR(K85="S2",K85="K5")),P85,AND(AH85="K5-POLICY",AG85&lt;&gt;"นิติศาสตร์",K85="S2",T85="",Z85=""),P85,AND(AH85="K5-POLICY",AG85&lt;&gt;"นิติศาสตร์",K85="S1",T85="",Z85=""),EDATE(P85,12),AND(AH85="K5-POLICY",AG85&lt;&gt;"นิติศาสตร์",OR(K85="M2",K85="K4"),T85="",Z85=""),EDATE(P85,12*2),AND(AH85="K5-POLICY",AG85&lt;&gt;"นิติศาสตร์",OR(Z85="M2",Z85="K4"),AC85&gt;=2,OR(AB85&lt;V85,AB85&lt;P85)),EDATE(AB85,12*2),AND(AH85="K5-POLICY",AG85&lt;&gt;"นิติศาสตร์",Z85="S1",AC85&gt;=1,OR(AB85&lt;V85,AB85&lt;P85)),EDATE(AB85,12),AND(AH85="K5-POLICY",AG85&lt;&gt;"นิติศาสตร์",OR(T85="M2",T85="K4"),W85&gt;=2,V85&lt;P85),EDATE(V85,12*2),AND(AH85="K5-POLICY",AG85&lt;&gt;"นิติศาสตร์",T85="S1",W85&gt;=1,V85&lt;P85),EDATE(V85,12),AND(AH85="K5-POLICY",AG85&lt;&gt;"นิติศาสตร์",OR(T85="S2",T85="K5")),V85,AND(AH85="K5-POLICY",AG85&lt;&gt;"นิติศาสตร์",OR(K85="M2",K85="K4"),Q85&gt;=2),EDATE(P85,12*2),AND(AH85="K5-POLICY",AG85&lt;&gt;"นิติศาสตร์",K85="S1",Q85&gt;=1),EDATE(P85,12),AND(AH85="K5-POLICY",AG85&lt;&gt;"นิติศาสตร์",OR(K85="S2",K85="K5")),P85,TRUE,"Check Data")</f>
        <v/>
      </c>
      <c r="AJ85" s="75" t="str">
        <f t="shared" si="56"/>
        <v>Check Data</v>
      </c>
      <c r="AK85" s="76" t="str">
        <f t="shared" si="49"/>
        <v>Check Data</v>
      </c>
      <c r="AL85" s="50" t="str">
        <f t="shared" si="57"/>
        <v>Check Data</v>
      </c>
      <c r="AM85" s="49" t="str">
        <f>IF(B85="","",IF(K85="S1","S1",INDEX(#REF!,#REF!)))</f>
        <v/>
      </c>
      <c r="AN85" s="49" t="str">
        <f>K85</f>
        <v>M2</v>
      </c>
      <c r="AO85" s="50" t="b">
        <f>K85=AM85</f>
        <v>0</v>
      </c>
      <c r="AP85" s="50"/>
    </row>
    <row r="86" spans="1:42" ht="21.75">
      <c r="A86" s="49">
        <v>84</v>
      </c>
      <c r="B86" s="50"/>
      <c r="C86" s="52"/>
      <c r="D86" s="50" t="s">
        <v>141</v>
      </c>
      <c r="E86" s="49"/>
      <c r="F86" s="49" t="str">
        <f t="shared" si="58"/>
        <v/>
      </c>
      <c r="G86" s="50">
        <f t="shared" si="46"/>
        <v>0</v>
      </c>
      <c r="H86" s="50">
        <f t="shared" si="47"/>
        <v>0</v>
      </c>
      <c r="I86" s="50">
        <f t="shared" si="48"/>
        <v>0</v>
      </c>
      <c r="J86" s="50"/>
      <c r="K86" s="49" t="s">
        <v>136</v>
      </c>
      <c r="L86" s="64"/>
      <c r="M86" s="49"/>
      <c r="N86" s="49"/>
      <c r="O86" s="65" t="s">
        <v>434</v>
      </c>
      <c r="P86" s="49" t="str">
        <f t="shared" si="50"/>
        <v>02/07/2024</v>
      </c>
      <c r="Q86" s="68">
        <f>IF(P86="",0,DATEDIF(P86,$C$1,"Y"))</f>
        <v>0</v>
      </c>
      <c r="R86" s="68">
        <f>IF(P86="",0,DATEDIF(P86,$C$1,"YM"))</f>
        <v>11</v>
      </c>
      <c r="S86" s="68">
        <f>IF(P86="",0,DATEDIF(P86,$C$1,"MD"))</f>
        <v>18</v>
      </c>
      <c r="T86" s="65"/>
      <c r="U86" s="65"/>
      <c r="V86" s="49" t="str">
        <f t="shared" si="51"/>
        <v/>
      </c>
      <c r="W86" s="68">
        <f>IF(V86="",0,DATEDIF(V86,P86,"Y"))</f>
        <v>0</v>
      </c>
      <c r="X86" s="68">
        <f>IF(V86="",0,DATEDIF(V86,P86,"YM"))</f>
        <v>0</v>
      </c>
      <c r="Y86" s="68">
        <f>IF(V86="",0,DATEDIF(V86,P86,"MD"))</f>
        <v>0</v>
      </c>
      <c r="Z86" s="49"/>
      <c r="AA86" s="65"/>
      <c r="AB86" s="50" t="str">
        <f t="shared" si="52"/>
        <v/>
      </c>
      <c r="AC86" s="68">
        <f t="shared" si="53"/>
        <v>0</v>
      </c>
      <c r="AD86" s="68">
        <f t="shared" si="54"/>
        <v>0</v>
      </c>
      <c r="AE86" s="68">
        <f t="shared" si="55"/>
        <v>0</v>
      </c>
      <c r="AF86" s="50"/>
      <c r="AG86" s="50" t="s">
        <v>138</v>
      </c>
      <c r="AH86" s="49" t="str">
        <f>IF(AG86="นิติศาสตร์","K5-LAW","K5-POLICY")</f>
        <v>K5-LAW</v>
      </c>
      <c r="AI86" s="72" t="str">
        <f>_xlfn.IFS(B86="","",AND(AH86="K5-LAW",AG86="นิติศาสตร์",K86="S2",T86="",Z86=""),P86,AND(AH86="K5-LAW",AG86="นิติศาสตร์",K86="S1",T86="",Z86=""),EDATE(P86,12),AND(AH86="K5-LAW",AG86="นิติศาสตร์",OR(K86="M2",K86="K4"),T86="",Z86=""),EDATE(P86,12*2),AND(AH86="K5-LAW",AG86="นิติศาสตร์",OR(Z86="M2",Z86="K4"),AC86&gt;=2,OR(AB86&lt;V86,AB86&lt;P86)),EDATE(AB86,12*2),AND(AH86="K5-LAW",AG86="นิติศาสตร์",Z86="S1",AC86&gt;=1,OR(AB86&lt;V86,AB86&lt;P86)),EDATE(AB86,12),AND(AH86="K5-LAW",AG86="นิติศาสตร์",OR(T86="M2",T86="K4"),W86&gt;=2,V86&lt;P86),EDATE(V86,12*2),AND(AH86="K5-LAW",AG86="นิติศาสตร์",T86="S1",W86&gt;=1,V86&lt;P86),EDATE(V86,12),AND(AH86="K5-LAW",AG86="นิติศาสตร์",OR(T86="S2",T86="K5")),V86,AND(AH86="K5-LAW",AG86="นิติศาสตร์",OR(K86="M2",K86="K4"),Q86&gt;=2),EDATE(P86,12*2),AND(AH86="K5-LAW",AG86="นิติศาสตร์",K86="S1",Q86&gt;=1),EDATE(P86,12),AND(AH86="K5-LAW",AG86="นิติศาสตร์",OR(K86="S2",K86="K5")),P86,AND(AH86="K5-POLICY",AG86&lt;&gt;"นิติศาสตร์",K86="S2",T86="",Z86=""),P86,AND(AH86="K5-POLICY",AG86&lt;&gt;"นิติศาสตร์",K86="S1",T86="",Z86=""),EDATE(P86,12),AND(AH86="K5-POLICY",AG86&lt;&gt;"นิติศาสตร์",OR(K86="M2",K86="K4"),T86="",Z86=""),EDATE(P86,12*2),AND(AH86="K5-POLICY",AG86&lt;&gt;"นิติศาสตร์",OR(Z86="M2",Z86="K4"),AC86&gt;=2,OR(AB86&lt;V86,AB86&lt;P86)),EDATE(AB86,12*2),AND(AH86="K5-POLICY",AG86&lt;&gt;"นิติศาสตร์",Z86="S1",AC86&gt;=1,OR(AB86&lt;V86,AB86&lt;P86)),EDATE(AB86,12),AND(AH86="K5-POLICY",AG86&lt;&gt;"นิติศาสตร์",OR(T86="M2",T86="K4"),W86&gt;=2,V86&lt;P86),EDATE(V86,12*2),AND(AH86="K5-POLICY",AG86&lt;&gt;"นิติศาสตร์",T86="S1",W86&gt;=1,V86&lt;P86),EDATE(V86,12),AND(AH86="K5-POLICY",AG86&lt;&gt;"นิติศาสตร์",OR(T86="S2",T86="K5")),V86,AND(AH86="K5-POLICY",AG86&lt;&gt;"นิติศาสตร์",OR(K86="M2",K86="K4"),Q86&gt;=2),EDATE(P86,12*2),AND(AH86="K5-POLICY",AG86&lt;&gt;"นิติศาสตร์",K86="S1",Q86&gt;=1),EDATE(P86,12),AND(AH86="K5-POLICY",AG86&lt;&gt;"นิติศาสตร์",OR(K86="S2",K86="K5")),P86,TRUE,"Check Data")</f>
        <v/>
      </c>
      <c r="AJ86" s="75" t="str">
        <f t="shared" si="56"/>
        <v>Check Data</v>
      </c>
      <c r="AK86" s="76" t="str">
        <f t="shared" si="49"/>
        <v>Check Data</v>
      </c>
      <c r="AL86" s="50" t="str">
        <f t="shared" si="57"/>
        <v>Check Data</v>
      </c>
      <c r="AM86" s="49" t="str">
        <f>IF(B86="","",IF(K86="S1","S1",INDEX(#REF!,#REF!)))</f>
        <v/>
      </c>
      <c r="AN86" s="49" t="str">
        <f>K86</f>
        <v>M2</v>
      </c>
      <c r="AO86" s="50" t="b">
        <f>K86=AM86</f>
        <v>0</v>
      </c>
      <c r="AP86" s="50"/>
    </row>
    <row r="87" spans="1:42" ht="21.75">
      <c r="A87" s="49">
        <v>85</v>
      </c>
      <c r="B87" s="50"/>
      <c r="C87" s="52"/>
      <c r="D87" s="50" t="s">
        <v>141</v>
      </c>
      <c r="E87" s="49"/>
      <c r="F87" s="49" t="str">
        <f t="shared" si="58"/>
        <v/>
      </c>
      <c r="G87" s="50">
        <f t="shared" si="46"/>
        <v>0</v>
      </c>
      <c r="H87" s="50">
        <f t="shared" si="47"/>
        <v>0</v>
      </c>
      <c r="I87" s="50">
        <f t="shared" si="48"/>
        <v>0</v>
      </c>
      <c r="J87" s="50"/>
      <c r="K87" s="49" t="s">
        <v>136</v>
      </c>
      <c r="L87" s="64"/>
      <c r="M87" s="49"/>
      <c r="N87" s="49"/>
      <c r="O87" s="65" t="s">
        <v>434</v>
      </c>
      <c r="P87" s="49" t="str">
        <f t="shared" si="50"/>
        <v>02/07/2024</v>
      </c>
      <c r="Q87" s="68">
        <f>IF(P87="",0,DATEDIF(P87,$C$1,"Y"))</f>
        <v>0</v>
      </c>
      <c r="R87" s="68">
        <f>IF(P87="",0,DATEDIF(P87,$C$1,"YM"))</f>
        <v>11</v>
      </c>
      <c r="S87" s="68">
        <f>IF(P87="",0,DATEDIF(P87,$C$1,"MD"))</f>
        <v>18</v>
      </c>
      <c r="T87" s="65"/>
      <c r="U87" s="65"/>
      <c r="V87" s="49" t="str">
        <f t="shared" si="51"/>
        <v/>
      </c>
      <c r="W87" s="68">
        <f>IF(V87="",0,DATEDIF(V87,P87,"Y"))</f>
        <v>0</v>
      </c>
      <c r="X87" s="68">
        <f>IF(V87="",0,DATEDIF(V87,P87,"YM"))</f>
        <v>0</v>
      </c>
      <c r="Y87" s="68">
        <f>IF(V87="",0,DATEDIF(V87,P87,"MD"))</f>
        <v>0</v>
      </c>
      <c r="Z87" s="49"/>
      <c r="AA87" s="65"/>
      <c r="AB87" s="50" t="str">
        <f t="shared" si="52"/>
        <v/>
      </c>
      <c r="AC87" s="68">
        <f t="shared" si="53"/>
        <v>0</v>
      </c>
      <c r="AD87" s="68">
        <f t="shared" si="54"/>
        <v>0</v>
      </c>
      <c r="AE87" s="68">
        <f t="shared" si="55"/>
        <v>0</v>
      </c>
      <c r="AF87" s="50"/>
      <c r="AG87" s="50" t="s">
        <v>138</v>
      </c>
      <c r="AH87" s="49" t="str">
        <f>IF(AG87="นิติศาสตร์","K5-LAW","K5-POLICY")</f>
        <v>K5-LAW</v>
      </c>
      <c r="AI87" s="72" t="str">
        <f>_xlfn.IFS(B87="","",AND(AH87="K5-LAW",AG87="นิติศาสตร์",K87="S2",T87="",Z87=""),P87,AND(AH87="K5-LAW",AG87="นิติศาสตร์",K87="S1",T87="",Z87=""),EDATE(P87,12),AND(AH87="K5-LAW",AG87="นิติศาสตร์",OR(K87="M2",K87="K4"),T87="",Z87=""),EDATE(P87,12*2),AND(AH87="K5-LAW",AG87="นิติศาสตร์",OR(Z87="M2",Z87="K4"),AC87&gt;=2,OR(AB87&lt;V87,AB87&lt;P87)),EDATE(AB87,12*2),AND(AH87="K5-LAW",AG87="นิติศาสตร์",Z87="S1",AC87&gt;=1,OR(AB87&lt;V87,AB87&lt;P87)),EDATE(AB87,12),AND(AH87="K5-LAW",AG87="นิติศาสตร์",OR(T87="M2",T87="K4"),W87&gt;=2,V87&lt;P87),EDATE(V87,12*2),AND(AH87="K5-LAW",AG87="นิติศาสตร์",T87="S1",W87&gt;=1,V87&lt;P87),EDATE(V87,12),AND(AH87="K5-LAW",AG87="นิติศาสตร์",OR(T87="S2",T87="K5")),V87,AND(AH87="K5-LAW",AG87="นิติศาสตร์",OR(K87="M2",K87="K4"),Q87&gt;=2),EDATE(P87,12*2),AND(AH87="K5-LAW",AG87="นิติศาสตร์",K87="S1",Q87&gt;=1),EDATE(P87,12),AND(AH87="K5-LAW",AG87="นิติศาสตร์",OR(K87="S2",K87="K5")),P87,AND(AH87="K5-POLICY",AG87&lt;&gt;"นิติศาสตร์",K87="S2",T87="",Z87=""),P87,AND(AH87="K5-POLICY",AG87&lt;&gt;"นิติศาสตร์",K87="S1",T87="",Z87=""),EDATE(P87,12),AND(AH87="K5-POLICY",AG87&lt;&gt;"นิติศาสตร์",OR(K87="M2",K87="K4"),T87="",Z87=""),EDATE(P87,12*2),AND(AH87="K5-POLICY",AG87&lt;&gt;"นิติศาสตร์",OR(Z87="M2",Z87="K4"),AC87&gt;=2,OR(AB87&lt;V87,AB87&lt;P87)),EDATE(AB87,12*2),AND(AH87="K5-POLICY",AG87&lt;&gt;"นิติศาสตร์",Z87="S1",AC87&gt;=1,OR(AB87&lt;V87,AB87&lt;P87)),EDATE(AB87,12),AND(AH87="K5-POLICY",AG87&lt;&gt;"นิติศาสตร์",OR(T87="M2",T87="K4"),W87&gt;=2,V87&lt;P87),EDATE(V87,12*2),AND(AH87="K5-POLICY",AG87&lt;&gt;"นิติศาสตร์",T87="S1",W87&gt;=1,V87&lt;P87),EDATE(V87,12),AND(AH87="K5-POLICY",AG87&lt;&gt;"นิติศาสตร์",OR(T87="S2",T87="K5")),V87,AND(AH87="K5-POLICY",AG87&lt;&gt;"นิติศาสตร์",OR(K87="M2",K87="K4"),Q87&gt;=2),EDATE(P87,12*2),AND(AH87="K5-POLICY",AG87&lt;&gt;"นิติศาสตร์",K87="S1",Q87&gt;=1),EDATE(P87,12),AND(AH87="K5-POLICY",AG87&lt;&gt;"นิติศาสตร์",OR(K87="S2",K87="K5")),P87,TRUE,"Check Data")</f>
        <v/>
      </c>
      <c r="AJ87" s="75" t="str">
        <f t="shared" si="56"/>
        <v>Check Data</v>
      </c>
      <c r="AK87" s="76" t="str">
        <f t="shared" si="49"/>
        <v>Check Data</v>
      </c>
      <c r="AL87" s="50" t="str">
        <f t="shared" si="57"/>
        <v>Check Data</v>
      </c>
      <c r="AM87" s="49" t="str">
        <f>IF(B87="","",IF(K87="S1","S1",INDEX(#REF!,#REF!)))</f>
        <v/>
      </c>
      <c r="AN87" s="49" t="str">
        <f>K87</f>
        <v>M2</v>
      </c>
      <c r="AO87" s="50" t="b">
        <f>K87=AM87</f>
        <v>0</v>
      </c>
      <c r="AP87" s="50"/>
    </row>
    <row r="88" spans="1:42" ht="21.75">
      <c r="A88" s="49">
        <v>86</v>
      </c>
      <c r="B88" s="50"/>
      <c r="C88" s="52"/>
      <c r="D88" s="50" t="s">
        <v>141</v>
      </c>
      <c r="E88" s="49"/>
      <c r="F88" s="49" t="str">
        <f t="shared" si="58"/>
        <v/>
      </c>
      <c r="G88" s="50">
        <f t="shared" si="46"/>
        <v>0</v>
      </c>
      <c r="H88" s="50">
        <f t="shared" si="47"/>
        <v>0</v>
      </c>
      <c r="I88" s="50">
        <f t="shared" si="48"/>
        <v>0</v>
      </c>
      <c r="J88" s="50"/>
      <c r="K88" s="49" t="s">
        <v>136</v>
      </c>
      <c r="L88" s="64"/>
      <c r="M88" s="49"/>
      <c r="N88" s="49"/>
      <c r="O88" s="65" t="s">
        <v>434</v>
      </c>
      <c r="P88" s="49" t="str">
        <f t="shared" si="50"/>
        <v>02/07/2024</v>
      </c>
      <c r="Q88" s="68">
        <f>IF(P88="",0,DATEDIF(P88,$C$1,"Y"))</f>
        <v>0</v>
      </c>
      <c r="R88" s="68">
        <f>IF(P88="",0,DATEDIF(P88,$C$1,"YM"))</f>
        <v>11</v>
      </c>
      <c r="S88" s="68">
        <f>IF(P88="",0,DATEDIF(P88,$C$1,"MD"))</f>
        <v>18</v>
      </c>
      <c r="T88" s="65"/>
      <c r="U88" s="65"/>
      <c r="V88" s="49" t="str">
        <f t="shared" si="51"/>
        <v/>
      </c>
      <c r="W88" s="68">
        <f>IF(V88="",0,DATEDIF(V88,P88,"Y"))</f>
        <v>0</v>
      </c>
      <c r="X88" s="68">
        <f>IF(V88="",0,DATEDIF(V88,P88,"YM"))</f>
        <v>0</v>
      </c>
      <c r="Y88" s="68">
        <f>IF(V88="",0,DATEDIF(V88,P88,"MD"))</f>
        <v>0</v>
      </c>
      <c r="Z88" s="65"/>
      <c r="AA88" s="65"/>
      <c r="AB88" s="50" t="str">
        <f t="shared" si="52"/>
        <v/>
      </c>
      <c r="AC88" s="68">
        <f t="shared" si="53"/>
        <v>0</v>
      </c>
      <c r="AD88" s="68">
        <f t="shared" si="54"/>
        <v>0</v>
      </c>
      <c r="AE88" s="68">
        <f t="shared" si="55"/>
        <v>0</v>
      </c>
      <c r="AF88" s="50"/>
      <c r="AG88" s="50" t="s">
        <v>138</v>
      </c>
      <c r="AH88" s="49" t="str">
        <f>IF(AG88="นิติศาสตร์","K5-LAW","K5-POLICY")</f>
        <v>K5-LAW</v>
      </c>
      <c r="AI88" s="72" t="str">
        <f>_xlfn.IFS(B88="","",AND(AH88="K5-LAW",AG88="นิติศาสตร์",K88="S2",T88="",Z88=""),P88,AND(AH88="K5-LAW",AG88="นิติศาสตร์",K88="S1",T88="",Z88=""),EDATE(P88,12),AND(AH88="K5-LAW",AG88="นิติศาสตร์",OR(K88="M2",K88="K4"),T88="",Z88=""),EDATE(P88,12*2),AND(AH88="K5-LAW",AG88="นิติศาสตร์",OR(Z88="M2",Z88="K4"),AC88&gt;=2,OR(AB88&lt;V88,AB88&lt;P88)),EDATE(AB88,12*2),AND(AH88="K5-LAW",AG88="นิติศาสตร์",Z88="S1",AC88&gt;=1,OR(AB88&lt;V88,AB88&lt;P88)),EDATE(AB88,12),AND(AH88="K5-LAW",AG88="นิติศาสตร์",OR(T88="M2",T88="K4"),W88&gt;=2,V88&lt;P88),EDATE(V88,12*2),AND(AH88="K5-LAW",AG88="นิติศาสตร์",T88="S1",W88&gt;=1,V88&lt;P88),EDATE(V88,12),AND(AH88="K5-LAW",AG88="นิติศาสตร์",OR(T88="S2",T88="K5")),V88,AND(AH88="K5-LAW",AG88="นิติศาสตร์",OR(K88="M2",K88="K4"),Q88&gt;=2),EDATE(P88,12*2),AND(AH88="K5-LAW",AG88="นิติศาสตร์",K88="S1",Q88&gt;=1),EDATE(P88,12),AND(AH88="K5-LAW",AG88="นิติศาสตร์",OR(K88="S2",K88="K5")),P88,AND(AH88="K5-POLICY",AG88&lt;&gt;"นิติศาสตร์",K88="S2",T88="",Z88=""),P88,AND(AH88="K5-POLICY",AG88&lt;&gt;"นิติศาสตร์",K88="S1",T88="",Z88=""),EDATE(P88,12),AND(AH88="K5-POLICY",AG88&lt;&gt;"นิติศาสตร์",OR(K88="M2",K88="K4"),T88="",Z88=""),EDATE(P88,12*2),AND(AH88="K5-POLICY",AG88&lt;&gt;"นิติศาสตร์",OR(Z88="M2",Z88="K4"),AC88&gt;=2,OR(AB88&lt;V88,AB88&lt;P88)),EDATE(AB88,12*2),AND(AH88="K5-POLICY",AG88&lt;&gt;"นิติศาสตร์",Z88="S1",AC88&gt;=1,OR(AB88&lt;V88,AB88&lt;P88)),EDATE(AB88,12),AND(AH88="K5-POLICY",AG88&lt;&gt;"นิติศาสตร์",OR(T88="M2",T88="K4"),W88&gt;=2,V88&lt;P88),EDATE(V88,12*2),AND(AH88="K5-POLICY",AG88&lt;&gt;"นิติศาสตร์",T88="S1",W88&gt;=1,V88&lt;P88),EDATE(V88,12),AND(AH88="K5-POLICY",AG88&lt;&gt;"นิติศาสตร์",OR(T88="S2",T88="K5")),V88,AND(AH88="K5-POLICY",AG88&lt;&gt;"นิติศาสตร์",OR(K88="M2",K88="K4"),Q88&gt;=2),EDATE(P88,12*2),AND(AH88="K5-POLICY",AG88&lt;&gt;"นิติศาสตร์",K88="S1",Q88&gt;=1),EDATE(P88,12),AND(AH88="K5-POLICY",AG88&lt;&gt;"นิติศาสตร์",OR(K88="S2",K88="K5")),P88,TRUE,"Check Data")</f>
        <v/>
      </c>
      <c r="AJ88" s="75" t="str">
        <f t="shared" si="56"/>
        <v>Check Data</v>
      </c>
      <c r="AK88" s="76" t="str">
        <f t="shared" si="49"/>
        <v>Check Data</v>
      </c>
      <c r="AL88" s="50" t="str">
        <f t="shared" si="57"/>
        <v>Check Data</v>
      </c>
      <c r="AM88" s="49" t="str">
        <f>IF(B88="","",IF(K88="S1","S1",INDEX(#REF!,#REF!)))</f>
        <v/>
      </c>
      <c r="AN88" s="49" t="str">
        <f>K88</f>
        <v>M2</v>
      </c>
      <c r="AO88" s="50" t="b">
        <f>K88=AM88</f>
        <v>0</v>
      </c>
      <c r="AP88" s="50"/>
    </row>
    <row r="89" spans="1:42" ht="21.75">
      <c r="A89" s="49">
        <v>87</v>
      </c>
      <c r="B89" s="50"/>
      <c r="C89" s="52"/>
      <c r="D89" s="50" t="s">
        <v>141</v>
      </c>
      <c r="E89" s="79"/>
      <c r="F89" s="79"/>
      <c r="G89" s="50">
        <f t="shared" si="46"/>
        <v>0</v>
      </c>
      <c r="H89" s="50">
        <f t="shared" si="47"/>
        <v>0</v>
      </c>
      <c r="I89" s="50">
        <f t="shared" si="48"/>
        <v>0</v>
      </c>
      <c r="J89" s="79"/>
      <c r="K89" s="49" t="s">
        <v>136</v>
      </c>
      <c r="L89" s="79"/>
      <c r="M89" s="79"/>
      <c r="N89" s="79"/>
      <c r="O89" s="65" t="s">
        <v>434</v>
      </c>
      <c r="P89" s="49" t="str">
        <f t="shared" si="50"/>
        <v>02/07/2024</v>
      </c>
      <c r="Q89" s="68">
        <f>IF(P89="",0,DATEDIF(P89,$C$1,"Y"))</f>
        <v>0</v>
      </c>
      <c r="R89" s="68">
        <f>IF(P89="",0,DATEDIF(P89,$C$1,"YM"))</f>
        <v>11</v>
      </c>
      <c r="S89" s="68">
        <f>IF(P89="",0,DATEDIF(P89,$C$1,"MD"))</f>
        <v>18</v>
      </c>
      <c r="T89" s="65"/>
      <c r="U89" s="83"/>
      <c r="V89" s="49" t="str">
        <f t="shared" si="51"/>
        <v/>
      </c>
      <c r="W89" s="68">
        <f>IF(V89="",0,DATEDIF(V89,P89,"Y"))</f>
        <v>0</v>
      </c>
      <c r="X89" s="68">
        <f>IF(V89="",0,DATEDIF(V89,P89,"YM"))</f>
        <v>0</v>
      </c>
      <c r="Y89" s="68">
        <f>IF(V89="",0,DATEDIF(V89,P89,"MD"))</f>
        <v>0</v>
      </c>
      <c r="Z89" s="79"/>
      <c r="AA89" s="79"/>
      <c r="AB89" s="50" t="str">
        <f t="shared" si="52"/>
        <v/>
      </c>
      <c r="AC89" s="68">
        <f t="shared" si="53"/>
        <v>0</v>
      </c>
      <c r="AD89" s="68">
        <f t="shared" si="54"/>
        <v>0</v>
      </c>
      <c r="AE89" s="68">
        <f t="shared" si="55"/>
        <v>0</v>
      </c>
      <c r="AF89" s="79"/>
      <c r="AG89" s="50" t="s">
        <v>138</v>
      </c>
      <c r="AH89" s="49" t="str">
        <f>IF(AG89="นิติศาสตร์","K5-LAW","K5-POLICY")</f>
        <v>K5-LAW</v>
      </c>
      <c r="AI89" s="72" t="str">
        <f>_xlfn.IFS(B89="","",AND(AH89="K5-LAW",AG89="นิติศาสตร์",K89="S2",T89="",Z89=""),P89,AND(AH89="K5-LAW",AG89="นิติศาสตร์",K89="S1",T89="",Z89=""),EDATE(P89,12),AND(AH89="K5-LAW",AG89="นิติศาสตร์",OR(K89="M2",K89="K4"),T89="",Z89=""),EDATE(P89,12*2),AND(AH89="K5-LAW",AG89="นิติศาสตร์",OR(Z89="M2",Z89="K4"),AC89&gt;=2,OR(AB89&lt;V89,AB89&lt;P89)),EDATE(AB89,12*2),AND(AH89="K5-LAW",AG89="นิติศาสตร์",Z89="S1",AC89&gt;=1,OR(AB89&lt;V89,AB89&lt;P89)),EDATE(AB89,12),AND(AH89="K5-LAW",AG89="นิติศาสตร์",OR(T89="M2",T89="K4"),W89&gt;=2,V89&lt;P89),EDATE(V89,12*2),AND(AH89="K5-LAW",AG89="นิติศาสตร์",T89="S1",W89&gt;=1,V89&lt;P89),EDATE(V89,12),AND(AH89="K5-LAW",AG89="นิติศาสตร์",OR(T89="S2",T89="K5")),V89,AND(AH89="K5-LAW",AG89="นิติศาสตร์",OR(K89="M2",K89="K4"),Q89&gt;=2),EDATE(P89,12*2),AND(AH89="K5-LAW",AG89="นิติศาสตร์",K89="S1",Q89&gt;=1),EDATE(P89,12),AND(AH89="K5-LAW",AG89="นิติศาสตร์",OR(K89="S2",K89="K5")),P89,AND(AH89="K5-POLICY",AG89&lt;&gt;"นิติศาสตร์",K89="S2",T89="",Z89=""),P89,AND(AH89="K5-POLICY",AG89&lt;&gt;"นิติศาสตร์",K89="S1",T89="",Z89=""),EDATE(P89,12),AND(AH89="K5-POLICY",AG89&lt;&gt;"นิติศาสตร์",OR(K89="M2",K89="K4"),T89="",Z89=""),EDATE(P89,12*2),AND(AH89="K5-POLICY",AG89&lt;&gt;"นิติศาสตร์",OR(Z89="M2",Z89="K4"),AC89&gt;=2,OR(AB89&lt;V89,AB89&lt;P89)),EDATE(AB89,12*2),AND(AH89="K5-POLICY",AG89&lt;&gt;"นิติศาสตร์",Z89="S1",AC89&gt;=1,OR(AB89&lt;V89,AB89&lt;P89)),EDATE(AB89,12),AND(AH89="K5-POLICY",AG89&lt;&gt;"นิติศาสตร์",OR(T89="M2",T89="K4"),W89&gt;=2,V89&lt;P89),EDATE(V89,12*2),AND(AH89="K5-POLICY",AG89&lt;&gt;"นิติศาสตร์",T89="S1",W89&gt;=1,V89&lt;P89),EDATE(V89,12),AND(AH89="K5-POLICY",AG89&lt;&gt;"นิติศาสตร์",OR(T89="S2",T89="K5")),V89,AND(AH89="K5-POLICY",AG89&lt;&gt;"นิติศาสตร์",OR(K89="M2",K89="K4"),Q89&gt;=2),EDATE(P89,12*2),AND(AH89="K5-POLICY",AG89&lt;&gt;"นิติศาสตร์",K89="S1",Q89&gt;=1),EDATE(P89,12),AND(AH89="K5-POLICY",AG89&lt;&gt;"นิติศาสตร์",OR(K89="S2",K89="K5")),P89,TRUE,"Check Data")</f>
        <v/>
      </c>
      <c r="AJ89" s="75" t="str">
        <f t="shared" si="56"/>
        <v>Check Data</v>
      </c>
      <c r="AK89" s="76" t="str">
        <f t="shared" si="49"/>
        <v>Check Data</v>
      </c>
      <c r="AL89" s="50" t="str">
        <f t="shared" si="57"/>
        <v>Check Data</v>
      </c>
      <c r="AM89" s="49" t="str">
        <f>IF(B89="","",IF(K89="S1","S1",INDEX(#REF!,#REF!)))</f>
        <v/>
      </c>
      <c r="AN89" s="49" t="str">
        <f>K89</f>
        <v>M2</v>
      </c>
      <c r="AO89" s="50" t="b">
        <f>K89=AM89</f>
        <v>0</v>
      </c>
      <c r="AP89" s="50"/>
    </row>
    <row r="90" spans="1:42" ht="21.75">
      <c r="A90" s="49">
        <v>88</v>
      </c>
      <c r="B90" s="50"/>
      <c r="C90" s="52"/>
      <c r="D90" s="50" t="s">
        <v>141</v>
      </c>
      <c r="E90" s="79"/>
      <c r="F90" s="79"/>
      <c r="G90" s="50">
        <f t="shared" si="46"/>
        <v>0</v>
      </c>
      <c r="H90" s="50">
        <f t="shared" si="47"/>
        <v>0</v>
      </c>
      <c r="I90" s="50">
        <f t="shared" si="48"/>
        <v>0</v>
      </c>
      <c r="J90" s="79"/>
      <c r="K90" s="49" t="s">
        <v>136</v>
      </c>
      <c r="L90" s="79"/>
      <c r="M90" s="79"/>
      <c r="N90" s="79"/>
      <c r="O90" s="65" t="s">
        <v>434</v>
      </c>
      <c r="P90" s="49" t="str">
        <f t="shared" si="50"/>
        <v>02/07/2024</v>
      </c>
      <c r="Q90" s="68">
        <f>IF(P90="",0,DATEDIF(P90,$C$1,"Y"))</f>
        <v>0</v>
      </c>
      <c r="R90" s="68">
        <f>IF(P90="",0,DATEDIF(P90,$C$1,"YM"))</f>
        <v>11</v>
      </c>
      <c r="S90" s="68">
        <f>IF(P90="",0,DATEDIF(P90,$C$1,"MD"))</f>
        <v>18</v>
      </c>
      <c r="T90" s="65"/>
      <c r="U90" s="83"/>
      <c r="V90" s="49" t="str">
        <f t="shared" si="51"/>
        <v/>
      </c>
      <c r="W90" s="68">
        <f>IF(V90="",0,DATEDIF(V90,P90,"Y"))</f>
        <v>0</v>
      </c>
      <c r="X90" s="68">
        <f>IF(V90="",0,DATEDIF(V90,P90,"YM"))</f>
        <v>0</v>
      </c>
      <c r="Y90" s="68">
        <f>IF(V90="",0,DATEDIF(V90,P90,"MD"))</f>
        <v>0</v>
      </c>
      <c r="Z90" s="79"/>
      <c r="AA90" s="79"/>
      <c r="AB90" s="50" t="str">
        <f t="shared" si="52"/>
        <v/>
      </c>
      <c r="AC90" s="68">
        <f t="shared" si="53"/>
        <v>0</v>
      </c>
      <c r="AD90" s="68">
        <f t="shared" si="54"/>
        <v>0</v>
      </c>
      <c r="AE90" s="68">
        <f t="shared" si="55"/>
        <v>0</v>
      </c>
      <c r="AF90" s="79"/>
      <c r="AG90" s="50" t="s">
        <v>138</v>
      </c>
      <c r="AH90" s="49" t="str">
        <f>IF(AG90="นิติศาสตร์","K5-LAW","K5-POLICY")</f>
        <v>K5-LAW</v>
      </c>
      <c r="AI90" s="72" t="str">
        <f>_xlfn.IFS(B90="","",AND(AH90="K5-LAW",AG90="นิติศาสตร์",K90="S2",T90="",Z90=""),P90,AND(AH90="K5-LAW",AG90="นิติศาสตร์",K90="S1",T90="",Z90=""),EDATE(P90,12),AND(AH90="K5-LAW",AG90="นิติศาสตร์",OR(K90="M2",K90="K4"),T90="",Z90=""),EDATE(P90,12*2),AND(AH90="K5-LAW",AG90="นิติศาสตร์",OR(Z90="M2",Z90="K4"),AC90&gt;=2,OR(AB90&lt;V90,AB90&lt;P90)),EDATE(AB90,12*2),AND(AH90="K5-LAW",AG90="นิติศาสตร์",Z90="S1",AC90&gt;=1,OR(AB90&lt;V90,AB90&lt;P90)),EDATE(AB90,12),AND(AH90="K5-LAW",AG90="นิติศาสตร์",OR(T90="M2",T90="K4"),W90&gt;=2,V90&lt;P90),EDATE(V90,12*2),AND(AH90="K5-LAW",AG90="นิติศาสตร์",T90="S1",W90&gt;=1,V90&lt;P90),EDATE(V90,12),AND(AH90="K5-LAW",AG90="นิติศาสตร์",OR(T90="S2",T90="K5")),V90,AND(AH90="K5-LAW",AG90="นิติศาสตร์",OR(K90="M2",K90="K4"),Q90&gt;=2),EDATE(P90,12*2),AND(AH90="K5-LAW",AG90="นิติศาสตร์",K90="S1",Q90&gt;=1),EDATE(P90,12),AND(AH90="K5-LAW",AG90="นิติศาสตร์",OR(K90="S2",K90="K5")),P90,AND(AH90="K5-POLICY",AG90&lt;&gt;"นิติศาสตร์",K90="S2",T90="",Z90=""),P90,AND(AH90="K5-POLICY",AG90&lt;&gt;"นิติศาสตร์",K90="S1",T90="",Z90=""),EDATE(P90,12),AND(AH90="K5-POLICY",AG90&lt;&gt;"นิติศาสตร์",OR(K90="M2",K90="K4"),T90="",Z90=""),EDATE(P90,12*2),AND(AH90="K5-POLICY",AG90&lt;&gt;"นิติศาสตร์",OR(Z90="M2",Z90="K4"),AC90&gt;=2,OR(AB90&lt;V90,AB90&lt;P90)),EDATE(AB90,12*2),AND(AH90="K5-POLICY",AG90&lt;&gt;"นิติศาสตร์",Z90="S1",AC90&gt;=1,OR(AB90&lt;V90,AB90&lt;P90)),EDATE(AB90,12),AND(AH90="K5-POLICY",AG90&lt;&gt;"นิติศาสตร์",OR(T90="M2",T90="K4"),W90&gt;=2,V90&lt;P90),EDATE(V90,12*2),AND(AH90="K5-POLICY",AG90&lt;&gt;"นิติศาสตร์",T90="S1",W90&gt;=1,V90&lt;P90),EDATE(V90,12),AND(AH90="K5-POLICY",AG90&lt;&gt;"นิติศาสตร์",OR(T90="S2",T90="K5")),V90,AND(AH90="K5-POLICY",AG90&lt;&gt;"นิติศาสตร์",OR(K90="M2",K90="K4"),Q90&gt;=2),EDATE(P90,12*2),AND(AH90="K5-POLICY",AG90&lt;&gt;"นิติศาสตร์",K90="S1",Q90&gt;=1),EDATE(P90,12),AND(AH90="K5-POLICY",AG90&lt;&gt;"นิติศาสตร์",OR(K90="S2",K90="K5")),P90,TRUE,"Check Data")</f>
        <v/>
      </c>
      <c r="AJ90" s="75" t="str">
        <f t="shared" si="56"/>
        <v>Check Data</v>
      </c>
      <c r="AK90" s="76" t="str">
        <f t="shared" si="49"/>
        <v>Check Data</v>
      </c>
      <c r="AL90" s="50" t="str">
        <f t="shared" si="57"/>
        <v>Check Data</v>
      </c>
      <c r="AM90" s="49" t="str">
        <f>IF(B90="","",IF(K90="S1","S1",INDEX(#REF!,#REF!)))</f>
        <v/>
      </c>
      <c r="AN90" s="49" t="str">
        <f>K90</f>
        <v>M2</v>
      </c>
      <c r="AO90" s="50" t="b">
        <f>K90=AM90</f>
        <v>0</v>
      </c>
      <c r="AP90" s="50"/>
    </row>
    <row r="91" spans="1:42" ht="21.75">
      <c r="A91" s="49">
        <v>89</v>
      </c>
      <c r="B91" s="50"/>
      <c r="C91" s="52"/>
      <c r="D91" s="50" t="s">
        <v>141</v>
      </c>
      <c r="E91" s="79"/>
      <c r="F91" s="79"/>
      <c r="G91" s="50">
        <f t="shared" si="46"/>
        <v>0</v>
      </c>
      <c r="H91" s="50">
        <f t="shared" si="47"/>
        <v>0</v>
      </c>
      <c r="I91" s="50">
        <f t="shared" si="48"/>
        <v>0</v>
      </c>
      <c r="J91" s="79"/>
      <c r="K91" s="49" t="s">
        <v>136</v>
      </c>
      <c r="L91" s="79"/>
      <c r="M91" s="79"/>
      <c r="N91" s="79"/>
      <c r="O91" s="65" t="s">
        <v>434</v>
      </c>
      <c r="P91" s="49" t="str">
        <f t="shared" si="50"/>
        <v>02/07/2024</v>
      </c>
      <c r="Q91" s="68">
        <f>IF(P91="",0,DATEDIF(P91,$C$1,"Y"))</f>
        <v>0</v>
      </c>
      <c r="R91" s="68">
        <f>IF(P91="",0,DATEDIF(P91,$C$1,"YM"))</f>
        <v>11</v>
      </c>
      <c r="S91" s="68">
        <f>IF(P91="",0,DATEDIF(P91,$C$1,"MD"))</f>
        <v>18</v>
      </c>
      <c r="T91" s="65"/>
      <c r="U91" s="83"/>
      <c r="V91" s="49" t="str">
        <f t="shared" si="51"/>
        <v/>
      </c>
      <c r="W91" s="68">
        <f>IF(V91="",0,DATEDIF(V91,P91,"Y"))</f>
        <v>0</v>
      </c>
      <c r="X91" s="68">
        <f>IF(V91="",0,DATEDIF(V91,P91,"YM"))</f>
        <v>0</v>
      </c>
      <c r="Y91" s="68">
        <f>IF(V91="",0,DATEDIF(V91,P91,"MD"))</f>
        <v>0</v>
      </c>
      <c r="Z91" s="79"/>
      <c r="AA91" s="79"/>
      <c r="AB91" s="50" t="str">
        <f t="shared" si="52"/>
        <v/>
      </c>
      <c r="AC91" s="68">
        <f t="shared" si="53"/>
        <v>0</v>
      </c>
      <c r="AD91" s="68">
        <f t="shared" si="54"/>
        <v>0</v>
      </c>
      <c r="AE91" s="68">
        <f t="shared" si="55"/>
        <v>0</v>
      </c>
      <c r="AF91" s="79"/>
      <c r="AG91" s="50" t="s">
        <v>138</v>
      </c>
      <c r="AH91" s="49" t="str">
        <f>IF(AG91="นิติศาสตร์","K5-LAW","K5-POLICY")</f>
        <v>K5-LAW</v>
      </c>
      <c r="AI91" s="72" t="str">
        <f>_xlfn.IFS(B91="","",AND(AH91="K5-LAW",AG91="นิติศาสตร์",K91="S2",T91="",Z91=""),P91,AND(AH91="K5-LAW",AG91="นิติศาสตร์",K91="S1",T91="",Z91=""),EDATE(P91,12),AND(AH91="K5-LAW",AG91="นิติศาสตร์",OR(K91="M2",K91="K4"),T91="",Z91=""),EDATE(P91,12*2),AND(AH91="K5-LAW",AG91="นิติศาสตร์",OR(Z91="M2",Z91="K4"),AC91&gt;=2,OR(AB91&lt;V91,AB91&lt;P91)),EDATE(AB91,12*2),AND(AH91="K5-LAW",AG91="นิติศาสตร์",Z91="S1",AC91&gt;=1,OR(AB91&lt;V91,AB91&lt;P91)),EDATE(AB91,12),AND(AH91="K5-LAW",AG91="นิติศาสตร์",OR(T91="M2",T91="K4"),W91&gt;=2,V91&lt;P91),EDATE(V91,12*2),AND(AH91="K5-LAW",AG91="นิติศาสตร์",T91="S1",W91&gt;=1,V91&lt;P91),EDATE(V91,12),AND(AH91="K5-LAW",AG91="นิติศาสตร์",OR(T91="S2",T91="K5")),V91,AND(AH91="K5-LAW",AG91="นิติศาสตร์",OR(K91="M2",K91="K4"),Q91&gt;=2),EDATE(P91,12*2),AND(AH91="K5-LAW",AG91="นิติศาสตร์",K91="S1",Q91&gt;=1),EDATE(P91,12),AND(AH91="K5-LAW",AG91="นิติศาสตร์",OR(K91="S2",K91="K5")),P91,AND(AH91="K5-POLICY",AG91&lt;&gt;"นิติศาสตร์",K91="S2",T91="",Z91=""),P91,AND(AH91="K5-POLICY",AG91&lt;&gt;"นิติศาสตร์",K91="S1",T91="",Z91=""),EDATE(P91,12),AND(AH91="K5-POLICY",AG91&lt;&gt;"นิติศาสตร์",OR(K91="M2",K91="K4"),T91="",Z91=""),EDATE(P91,12*2),AND(AH91="K5-POLICY",AG91&lt;&gt;"นิติศาสตร์",OR(Z91="M2",Z91="K4"),AC91&gt;=2,OR(AB91&lt;V91,AB91&lt;P91)),EDATE(AB91,12*2),AND(AH91="K5-POLICY",AG91&lt;&gt;"นิติศาสตร์",Z91="S1",AC91&gt;=1,OR(AB91&lt;V91,AB91&lt;P91)),EDATE(AB91,12),AND(AH91="K5-POLICY",AG91&lt;&gt;"นิติศาสตร์",OR(T91="M2",T91="K4"),W91&gt;=2,V91&lt;P91),EDATE(V91,12*2),AND(AH91="K5-POLICY",AG91&lt;&gt;"นิติศาสตร์",T91="S1",W91&gt;=1,V91&lt;P91),EDATE(V91,12),AND(AH91="K5-POLICY",AG91&lt;&gt;"นิติศาสตร์",OR(T91="S2",T91="K5")),V91,AND(AH91="K5-POLICY",AG91&lt;&gt;"นิติศาสตร์",OR(K91="M2",K91="K4"),Q91&gt;=2),EDATE(P91,12*2),AND(AH91="K5-POLICY",AG91&lt;&gt;"นิติศาสตร์",K91="S1",Q91&gt;=1),EDATE(P91,12),AND(AH91="K5-POLICY",AG91&lt;&gt;"นิติศาสตร์",OR(K91="S2",K91="K5")),P91,TRUE,"Check Data")</f>
        <v/>
      </c>
      <c r="AJ91" s="75" t="str">
        <f t="shared" si="56"/>
        <v>Check Data</v>
      </c>
      <c r="AK91" s="76" t="str">
        <f t="shared" si="49"/>
        <v>Check Data</v>
      </c>
      <c r="AL91" s="50" t="str">
        <f t="shared" si="57"/>
        <v>Check Data</v>
      </c>
      <c r="AM91" s="49" t="str">
        <f>IF(B91="","",IF(K91="S1","S1",INDEX(#REF!,#REF!)))</f>
        <v/>
      </c>
      <c r="AN91" s="49" t="str">
        <f>K91</f>
        <v>M2</v>
      </c>
      <c r="AO91" s="50" t="b">
        <f>K91=AM91</f>
        <v>0</v>
      </c>
      <c r="AP91" s="50"/>
    </row>
    <row r="92" spans="1:42" ht="21.75">
      <c r="A92" s="49">
        <v>90</v>
      </c>
      <c r="B92" s="50"/>
      <c r="C92" s="52"/>
      <c r="D92" s="50" t="s">
        <v>141</v>
      </c>
      <c r="E92" s="79"/>
      <c r="F92" s="79"/>
      <c r="G92" s="50">
        <f t="shared" si="46"/>
        <v>0</v>
      </c>
      <c r="H92" s="50">
        <f t="shared" si="47"/>
        <v>0</v>
      </c>
      <c r="I92" s="50">
        <f t="shared" si="48"/>
        <v>0</v>
      </c>
      <c r="J92" s="79"/>
      <c r="K92" s="49" t="s">
        <v>136</v>
      </c>
      <c r="L92" s="79"/>
      <c r="M92" s="79"/>
      <c r="N92" s="79"/>
      <c r="O92" s="65" t="s">
        <v>434</v>
      </c>
      <c r="P92" s="49" t="str">
        <f t="shared" si="50"/>
        <v>02/07/2024</v>
      </c>
      <c r="Q92" s="68">
        <f>IF(P92="",0,DATEDIF(P92,$C$1,"Y"))</f>
        <v>0</v>
      </c>
      <c r="R92" s="68">
        <f>IF(P92="",0,DATEDIF(P92,$C$1,"YM"))</f>
        <v>11</v>
      </c>
      <c r="S92" s="68">
        <f>IF(P92="",0,DATEDIF(P92,$C$1,"MD"))</f>
        <v>18</v>
      </c>
      <c r="T92" s="65"/>
      <c r="U92" s="83"/>
      <c r="V92" s="49" t="str">
        <f t="shared" si="51"/>
        <v/>
      </c>
      <c r="W92" s="68">
        <f>IF(V92="",0,DATEDIF(V92,P92,"Y"))</f>
        <v>0</v>
      </c>
      <c r="X92" s="68">
        <f>IF(V92="",0,DATEDIF(V92,P92,"YM"))</f>
        <v>0</v>
      </c>
      <c r="Y92" s="68">
        <f>IF(V92="",0,DATEDIF(V92,P92,"MD"))</f>
        <v>0</v>
      </c>
      <c r="Z92" s="79"/>
      <c r="AA92" s="79"/>
      <c r="AB92" s="50" t="str">
        <f t="shared" si="52"/>
        <v/>
      </c>
      <c r="AC92" s="68">
        <f t="shared" si="53"/>
        <v>0</v>
      </c>
      <c r="AD92" s="68">
        <f t="shared" si="54"/>
        <v>0</v>
      </c>
      <c r="AE92" s="68">
        <f t="shared" si="55"/>
        <v>0</v>
      </c>
      <c r="AF92" s="79"/>
      <c r="AG92" s="50" t="s">
        <v>138</v>
      </c>
      <c r="AH92" s="49" t="str">
        <f>IF(AG92="นิติศาสตร์","K5-LAW","K5-POLICY")</f>
        <v>K5-LAW</v>
      </c>
      <c r="AI92" s="72" t="str">
        <f>_xlfn.IFS(B92="","",AND(AH92="K5-LAW",AG92="นิติศาสตร์",K92="S2",T92="",Z92=""),P92,AND(AH92="K5-LAW",AG92="นิติศาสตร์",K92="S1",T92="",Z92=""),EDATE(P92,12),AND(AH92="K5-LAW",AG92="นิติศาสตร์",OR(K92="M2",K92="K4"),T92="",Z92=""),EDATE(P92,12*2),AND(AH92="K5-LAW",AG92="นิติศาสตร์",OR(Z92="M2",Z92="K4"),AC92&gt;=2,OR(AB92&lt;V92,AB92&lt;P92)),EDATE(AB92,12*2),AND(AH92="K5-LAW",AG92="นิติศาสตร์",Z92="S1",AC92&gt;=1,OR(AB92&lt;V92,AB92&lt;P92)),EDATE(AB92,12),AND(AH92="K5-LAW",AG92="นิติศาสตร์",OR(T92="M2",T92="K4"),W92&gt;=2,V92&lt;P92),EDATE(V92,12*2),AND(AH92="K5-LAW",AG92="นิติศาสตร์",T92="S1",W92&gt;=1,V92&lt;P92),EDATE(V92,12),AND(AH92="K5-LAW",AG92="นิติศาสตร์",OR(T92="S2",T92="K5")),V92,AND(AH92="K5-LAW",AG92="นิติศาสตร์",OR(K92="M2",K92="K4"),Q92&gt;=2),EDATE(P92,12*2),AND(AH92="K5-LAW",AG92="นิติศาสตร์",K92="S1",Q92&gt;=1),EDATE(P92,12),AND(AH92="K5-LAW",AG92="นิติศาสตร์",OR(K92="S2",K92="K5")),P92,AND(AH92="K5-POLICY",AG92&lt;&gt;"นิติศาสตร์",K92="S2",T92="",Z92=""),P92,AND(AH92="K5-POLICY",AG92&lt;&gt;"นิติศาสตร์",K92="S1",T92="",Z92=""),EDATE(P92,12),AND(AH92="K5-POLICY",AG92&lt;&gt;"นิติศาสตร์",OR(K92="M2",K92="K4"),T92="",Z92=""),EDATE(P92,12*2),AND(AH92="K5-POLICY",AG92&lt;&gt;"นิติศาสตร์",OR(Z92="M2",Z92="K4"),AC92&gt;=2,OR(AB92&lt;V92,AB92&lt;P92)),EDATE(AB92,12*2),AND(AH92="K5-POLICY",AG92&lt;&gt;"นิติศาสตร์",Z92="S1",AC92&gt;=1,OR(AB92&lt;V92,AB92&lt;P92)),EDATE(AB92,12),AND(AH92="K5-POLICY",AG92&lt;&gt;"นิติศาสตร์",OR(T92="M2",T92="K4"),W92&gt;=2,V92&lt;P92),EDATE(V92,12*2),AND(AH92="K5-POLICY",AG92&lt;&gt;"นิติศาสตร์",T92="S1",W92&gt;=1,V92&lt;P92),EDATE(V92,12),AND(AH92="K5-POLICY",AG92&lt;&gt;"นิติศาสตร์",OR(T92="S2",T92="K5")),V92,AND(AH92="K5-POLICY",AG92&lt;&gt;"นิติศาสตร์",OR(K92="M2",K92="K4"),Q92&gt;=2),EDATE(P92,12*2),AND(AH92="K5-POLICY",AG92&lt;&gt;"นิติศาสตร์",K92="S1",Q92&gt;=1),EDATE(P92,12),AND(AH92="K5-POLICY",AG92&lt;&gt;"นิติศาสตร์",OR(K92="S2",K92="K5")),P92,TRUE,"Check Data")</f>
        <v/>
      </c>
      <c r="AJ92" s="75" t="str">
        <f t="shared" si="56"/>
        <v>Check Data</v>
      </c>
      <c r="AK92" s="76" t="str">
        <f t="shared" si="49"/>
        <v>Check Data</v>
      </c>
      <c r="AL92" s="50" t="str">
        <f t="shared" si="57"/>
        <v>Check Data</v>
      </c>
      <c r="AM92" s="49" t="str">
        <f>IF(B92="","",IF(K92="S1","S1",INDEX(#REF!,#REF!)))</f>
        <v/>
      </c>
      <c r="AN92" s="49" t="str">
        <f>K92</f>
        <v>M2</v>
      </c>
      <c r="AO92" s="50" t="b">
        <f>K92=AM92</f>
        <v>0</v>
      </c>
      <c r="AP92" s="50"/>
    </row>
    <row r="93" spans="1:42" ht="21.75">
      <c r="A93" s="49">
        <v>91</v>
      </c>
      <c r="B93" s="50"/>
      <c r="C93" s="52"/>
      <c r="D93" s="50" t="s">
        <v>141</v>
      </c>
      <c r="E93" s="79"/>
      <c r="F93" s="79"/>
      <c r="G93" s="50">
        <f t="shared" si="46"/>
        <v>0</v>
      </c>
      <c r="H93" s="50">
        <f t="shared" si="47"/>
        <v>0</v>
      </c>
      <c r="I93" s="50">
        <f t="shared" si="48"/>
        <v>0</v>
      </c>
      <c r="J93" s="79"/>
      <c r="K93" s="49" t="s">
        <v>136</v>
      </c>
      <c r="L93" s="79"/>
      <c r="M93" s="79"/>
      <c r="N93" s="79"/>
      <c r="O93" s="65" t="s">
        <v>434</v>
      </c>
      <c r="P93" s="49" t="str">
        <f t="shared" si="50"/>
        <v>02/07/2024</v>
      </c>
      <c r="Q93" s="68">
        <f>IF(P93="",0,DATEDIF(P93,$C$1,"Y"))</f>
        <v>0</v>
      </c>
      <c r="R93" s="68">
        <f>IF(P93="",0,DATEDIF(P93,$C$1,"YM"))</f>
        <v>11</v>
      </c>
      <c r="S93" s="68">
        <f>IF(P93="",0,DATEDIF(P93,$C$1,"MD"))</f>
        <v>18</v>
      </c>
      <c r="T93" s="65"/>
      <c r="U93" s="83"/>
      <c r="V93" s="49" t="str">
        <f t="shared" si="51"/>
        <v/>
      </c>
      <c r="W93" s="68">
        <f>IF(V93="",0,DATEDIF(V93,P93,"Y"))</f>
        <v>0</v>
      </c>
      <c r="X93" s="68">
        <f>IF(V93="",0,DATEDIF(V93,P93,"YM"))</f>
        <v>0</v>
      </c>
      <c r="Y93" s="68">
        <f>IF(V93="",0,DATEDIF(V93,P93,"MD"))</f>
        <v>0</v>
      </c>
      <c r="Z93" s="79"/>
      <c r="AA93" s="79"/>
      <c r="AB93" s="50" t="str">
        <f t="shared" si="52"/>
        <v/>
      </c>
      <c r="AC93" s="68">
        <f t="shared" si="53"/>
        <v>0</v>
      </c>
      <c r="AD93" s="68">
        <f t="shared" si="54"/>
        <v>0</v>
      </c>
      <c r="AE93" s="68">
        <f t="shared" si="55"/>
        <v>0</v>
      </c>
      <c r="AF93" s="79"/>
      <c r="AG93" s="50" t="s">
        <v>138</v>
      </c>
      <c r="AH93" s="49" t="str">
        <f>IF(AG93="นิติศาสตร์","K5-LAW","K5-POLICY")</f>
        <v>K5-LAW</v>
      </c>
      <c r="AI93" s="72" t="str">
        <f>_xlfn.IFS(B93="","",AND(AH93="K5-LAW",AG93="นิติศาสตร์",K93="S2",T93="",Z93=""),P93,AND(AH93="K5-LAW",AG93="นิติศาสตร์",K93="S1",T93="",Z93=""),EDATE(P93,12),AND(AH93="K5-LAW",AG93="นิติศาสตร์",OR(K93="M2",K93="K4"),T93="",Z93=""),EDATE(P93,12*2),AND(AH93="K5-LAW",AG93="นิติศาสตร์",OR(Z93="M2",Z93="K4"),AC93&gt;=2,OR(AB93&lt;V93,AB93&lt;P93)),EDATE(AB93,12*2),AND(AH93="K5-LAW",AG93="นิติศาสตร์",Z93="S1",AC93&gt;=1,OR(AB93&lt;V93,AB93&lt;P93)),EDATE(AB93,12),AND(AH93="K5-LAW",AG93="นิติศาสตร์",OR(T93="M2",T93="K4"),W93&gt;=2,V93&lt;P93),EDATE(V93,12*2),AND(AH93="K5-LAW",AG93="นิติศาสตร์",T93="S1",W93&gt;=1,V93&lt;P93),EDATE(V93,12),AND(AH93="K5-LAW",AG93="นิติศาสตร์",OR(T93="S2",T93="K5")),V93,AND(AH93="K5-LAW",AG93="นิติศาสตร์",OR(K93="M2",K93="K4"),Q93&gt;=2),EDATE(P93,12*2),AND(AH93="K5-LAW",AG93="นิติศาสตร์",K93="S1",Q93&gt;=1),EDATE(P93,12),AND(AH93="K5-LAW",AG93="นิติศาสตร์",OR(K93="S2",K93="K5")),P93,AND(AH93="K5-POLICY",AG93&lt;&gt;"นิติศาสตร์",K93="S2",T93="",Z93=""),P93,AND(AH93="K5-POLICY",AG93&lt;&gt;"นิติศาสตร์",K93="S1",T93="",Z93=""),EDATE(P93,12),AND(AH93="K5-POLICY",AG93&lt;&gt;"นิติศาสตร์",OR(K93="M2",K93="K4"),T93="",Z93=""),EDATE(P93,12*2),AND(AH93="K5-POLICY",AG93&lt;&gt;"นิติศาสตร์",OR(Z93="M2",Z93="K4"),AC93&gt;=2,OR(AB93&lt;V93,AB93&lt;P93)),EDATE(AB93,12*2),AND(AH93="K5-POLICY",AG93&lt;&gt;"นิติศาสตร์",Z93="S1",AC93&gt;=1,OR(AB93&lt;V93,AB93&lt;P93)),EDATE(AB93,12),AND(AH93="K5-POLICY",AG93&lt;&gt;"นิติศาสตร์",OR(T93="M2",T93="K4"),W93&gt;=2,V93&lt;P93),EDATE(V93,12*2),AND(AH93="K5-POLICY",AG93&lt;&gt;"นิติศาสตร์",T93="S1",W93&gt;=1,V93&lt;P93),EDATE(V93,12),AND(AH93="K5-POLICY",AG93&lt;&gt;"นิติศาสตร์",OR(T93="S2",T93="K5")),V93,AND(AH93="K5-POLICY",AG93&lt;&gt;"นิติศาสตร์",OR(K93="M2",K93="K4"),Q93&gt;=2),EDATE(P93,12*2),AND(AH93="K5-POLICY",AG93&lt;&gt;"นิติศาสตร์",K93="S1",Q93&gt;=1),EDATE(P93,12),AND(AH93="K5-POLICY",AG93&lt;&gt;"นิติศาสตร์",OR(K93="S2",K93="K5")),P93,TRUE,"Check Data")</f>
        <v/>
      </c>
      <c r="AJ93" s="75" t="str">
        <f t="shared" si="56"/>
        <v>Check Data</v>
      </c>
      <c r="AK93" s="76" t="str">
        <f t="shared" si="49"/>
        <v>Check Data</v>
      </c>
      <c r="AL93" s="50" t="str">
        <f t="shared" si="57"/>
        <v>Check Data</v>
      </c>
      <c r="AM93" s="49" t="str">
        <f>IF(B93="","",IF(K93="S1","S1",INDEX(#REF!,#REF!)))</f>
        <v/>
      </c>
      <c r="AN93" s="49" t="str">
        <f>K93</f>
        <v>M2</v>
      </c>
      <c r="AO93" s="50" t="b">
        <f>K93=AM93</f>
        <v>0</v>
      </c>
      <c r="AP93" s="50"/>
    </row>
    <row r="94" spans="1:42" ht="21.75">
      <c r="A94" s="49">
        <v>92</v>
      </c>
      <c r="B94" s="50"/>
      <c r="C94" s="52"/>
      <c r="D94" s="50" t="s">
        <v>139</v>
      </c>
      <c r="E94" s="49"/>
      <c r="F94" s="49"/>
      <c r="G94" s="50">
        <f t="shared" si="46"/>
        <v>0</v>
      </c>
      <c r="H94" s="50">
        <f t="shared" si="47"/>
        <v>0</v>
      </c>
      <c r="I94" s="50">
        <f t="shared" si="48"/>
        <v>0</v>
      </c>
      <c r="J94" s="50"/>
      <c r="K94" s="49" t="s">
        <v>136</v>
      </c>
      <c r="L94" s="64"/>
      <c r="M94" s="49"/>
      <c r="N94" s="49"/>
      <c r="O94" s="65" t="s">
        <v>459</v>
      </c>
      <c r="P94" s="49" t="str">
        <f t="shared" ref="P94:P110" si="59">TEXT(EDATE(O94,-543*12),"dd/mm/yyyy")</f>
        <v>18/09/2024</v>
      </c>
      <c r="Q94" s="68">
        <f>IF(P94="",0,DATEDIF(P94,$C$1,"Y"))</f>
        <v>0</v>
      </c>
      <c r="R94" s="68">
        <f>IF(P94="",0,DATEDIF(P94,$C$1,"YM"))</f>
        <v>9</v>
      </c>
      <c r="S94" s="68">
        <f>IF(P94="",0,DATEDIF(P94,$C$1,"MD"))</f>
        <v>2</v>
      </c>
      <c r="T94" s="65"/>
      <c r="U94" s="65"/>
      <c r="V94" s="49" t="str">
        <f t="shared" ref="V94:V110" si="60">IF(U94="","",TEXT(EDATE(U94,-543*12),"dd/mm/yyyy"))</f>
        <v/>
      </c>
      <c r="W94" s="68">
        <f>IF(V94="",0,DATEDIF(V94,P94,"Y"))</f>
        <v>0</v>
      </c>
      <c r="X94" s="68">
        <f>IF(V94="",0,DATEDIF(V94,P94,"YM"))</f>
        <v>0</v>
      </c>
      <c r="Y94" s="68">
        <f>IF(V94="",0,DATEDIF(V94,P94,"MD"))</f>
        <v>0</v>
      </c>
      <c r="Z94" s="49"/>
      <c r="AA94" s="65"/>
      <c r="AB94" s="50" t="str">
        <f t="shared" ref="AB94:AB110" si="61">IF(AA94="","",TEXT(EDATE(AA94,-543*12),"dd/mm/yyyy"))</f>
        <v/>
      </c>
      <c r="AC94" s="68">
        <f t="shared" ref="AC94:AC110" si="62">IF(AB94="",0,DATEDIF(AB94,V94,"Y"))</f>
        <v>0</v>
      </c>
      <c r="AD94" s="68">
        <f t="shared" ref="AD94:AD110" si="63">IF(AB94="",0,DATEDIF(AB94,V94,"YM"))</f>
        <v>0</v>
      </c>
      <c r="AE94" s="68">
        <f t="shared" ref="AE94:AE110" si="64">IF(AB94="",0,DATEDIF(AB94,V94,"MD"))</f>
        <v>0</v>
      </c>
      <c r="AF94" s="50"/>
      <c r="AG94" s="50" t="s">
        <v>138</v>
      </c>
      <c r="AH94" s="49" t="str">
        <f>IF(AG94="นิติศาสตร์","K5-LAW","K5-POLICY")</f>
        <v>K5-LAW</v>
      </c>
      <c r="AI94" s="72" t="str">
        <f>_xlfn.IFS(B94="","",AND(AH94="K5-LAW",AG94="นิติศาสตร์",K94="S2",T94="",Z94=""),P94,AND(AH94="K5-LAW",AG94="นิติศาสตร์",K94="S1",T94="",Z94=""),EDATE(P94,12),AND(AH94="K5-LAW",AG94="นิติศาสตร์",OR(K94="M2",K94="K4"),T94="",Z94=""),EDATE(P94,12*2),AND(AH94="K5-LAW",AG94="นิติศาสตร์",OR(Z94="M2",Z94="K4"),AC94&gt;=2,OR(AB94&lt;V94,AB94&lt;P94)),EDATE(AB94,12*2),AND(AH94="K5-LAW",AG94="นิติศาสตร์",Z94="S1",AC94&gt;=1,OR(AB94&lt;V94,AB94&lt;P94)),EDATE(AB94,12),AND(AH94="K5-LAW",AG94="นิติศาสตร์",OR(T94="M2",T94="K4"),W94&gt;=2,V94&lt;P94),EDATE(V94,12*2),AND(AH94="K5-LAW",AG94="นิติศาสตร์",T94="S1",W94&gt;=1,V94&lt;P94),EDATE(V94,12),AND(AH94="K5-LAW",AG94="นิติศาสตร์",OR(T94="S2",T94="K5")),V94,AND(AH94="K5-LAW",AG94="นิติศาสตร์",OR(K94="M2",K94="K4"),Q94&gt;=2),EDATE(P94,12*2),AND(AH94="K5-LAW",AG94="นิติศาสตร์",K94="S1",Q94&gt;=1),EDATE(P94,12),AND(AH94="K5-LAW",AG94="นิติศาสตร์",OR(K94="S2",K94="K5")),P94,AND(AH94="K5-POLICY",AG94&lt;&gt;"นิติศาสตร์",K94="S2",T94="",Z94=""),P94,AND(AH94="K5-POLICY",AG94&lt;&gt;"นิติศาสตร์",K94="S1",T94="",Z94=""),EDATE(P94,12),AND(AH94="K5-POLICY",AG94&lt;&gt;"นิติศาสตร์",OR(K94="M2",K94="K4"),T94="",Z94=""),EDATE(P94,12*2),AND(AH94="K5-POLICY",AG94&lt;&gt;"นิติศาสตร์",OR(Z94="M2",Z94="K4"),AC94&gt;=2,OR(AB94&lt;V94,AB94&lt;P94)),EDATE(AB94,12*2),AND(AH94="K5-POLICY",AG94&lt;&gt;"นิติศาสตร์",Z94="S1",AC94&gt;=1,OR(AB94&lt;V94,AB94&lt;P94)),EDATE(AB94,12),AND(AH94="K5-POLICY",AG94&lt;&gt;"นิติศาสตร์",OR(T94="M2",T94="K4"),W94&gt;=2,V94&lt;P94),EDATE(V94,12*2),AND(AH94="K5-POLICY",AG94&lt;&gt;"นิติศาสตร์",T94="S1",W94&gt;=1,V94&lt;P94),EDATE(V94,12),AND(AH94="K5-POLICY",AG94&lt;&gt;"นิติศาสตร์",OR(T94="S2",T94="K5")),V94,AND(AH94="K5-POLICY",AG94&lt;&gt;"นิติศาสตร์",OR(K94="M2",K94="K4"),Q94&gt;=2),EDATE(P94,12*2),AND(AH94="K5-POLICY",AG94&lt;&gt;"นิติศาสตร์",K94="S1",Q94&gt;=1),EDATE(P94,12),AND(AH94="K5-POLICY",AG94&lt;&gt;"นิติศาสตร์",OR(K94="S2",K94="K5")),P94,TRUE,"Check Data")</f>
        <v/>
      </c>
      <c r="AJ94" s="75" t="str">
        <f t="shared" ref="AJ94:AJ110" si="65">IFERROR(TEXT(EDATE(AI94,543*12),"dd/mm/yyyy"),"Check Data")</f>
        <v>Check Data</v>
      </c>
      <c r="AK94" s="76" t="str">
        <f t="shared" si="49"/>
        <v>Check Data</v>
      </c>
      <c r="AL94" s="50" t="str">
        <f t="shared" ref="AL94:AL110" si="66">_xlfn.IFS(AK94="Check Data","Check Data",AK94&gt;30,"ยังไม่ถึงเกณฑ์",AK94&gt;0,"ใกล้ถึงเกณฑ์",AK94=0,"ถึงเกณฑ์",AK94&lt;0,"ถึงเกณฑ์นานแล้ว")</f>
        <v>Check Data</v>
      </c>
      <c r="AM94" s="49" t="str">
        <f>IF(B94="","",IF(K94="S1","S1",INDEX(#REF!,#REF!)))</f>
        <v/>
      </c>
      <c r="AN94" s="49" t="str">
        <f t="shared" ref="AN94:AN110" si="67">K94</f>
        <v>M2</v>
      </c>
      <c r="AO94" s="50" t="b">
        <f>K94=AM94</f>
        <v>0</v>
      </c>
      <c r="AP94" s="50"/>
    </row>
    <row r="95" spans="1:42" ht="21.75">
      <c r="A95" s="49">
        <v>93</v>
      </c>
      <c r="B95" s="50"/>
      <c r="C95" s="52"/>
      <c r="D95" s="50" t="s">
        <v>143</v>
      </c>
      <c r="E95" s="79"/>
      <c r="F95" s="79"/>
      <c r="G95" s="50">
        <f t="shared" si="46"/>
        <v>0</v>
      </c>
      <c r="H95" s="50">
        <f t="shared" si="47"/>
        <v>0</v>
      </c>
      <c r="I95" s="50">
        <f t="shared" si="48"/>
        <v>0</v>
      </c>
      <c r="J95" s="79"/>
      <c r="K95" s="49" t="s">
        <v>136</v>
      </c>
      <c r="L95" s="79"/>
      <c r="M95" s="79"/>
      <c r="N95" s="79"/>
      <c r="O95" s="65" t="s">
        <v>464</v>
      </c>
      <c r="P95" s="49" t="str">
        <f t="shared" si="59"/>
        <v>21/11/2024</v>
      </c>
      <c r="Q95" s="68">
        <f>IF(P95="",0,DATEDIF(P95,$C$1,"Y"))</f>
        <v>0</v>
      </c>
      <c r="R95" s="68">
        <f>IF(P95="",0,DATEDIF(P95,$C$1,"YM"))</f>
        <v>6</v>
      </c>
      <c r="S95" s="68">
        <f>IF(P95="",0,DATEDIF(P95,$C$1,"MD"))</f>
        <v>30</v>
      </c>
      <c r="T95" s="65"/>
      <c r="U95" s="83"/>
      <c r="V95" s="49" t="str">
        <f t="shared" si="60"/>
        <v/>
      </c>
      <c r="W95" s="68">
        <f>IF(V95="",0,DATEDIF(V95,P95,"Y"))</f>
        <v>0</v>
      </c>
      <c r="X95" s="68">
        <f>IF(V95="",0,DATEDIF(V95,P95,"YM"))</f>
        <v>0</v>
      </c>
      <c r="Y95" s="68">
        <f>IF(V95="",0,DATEDIF(V95,P95,"MD"))</f>
        <v>0</v>
      </c>
      <c r="Z95" s="79"/>
      <c r="AA95" s="79"/>
      <c r="AB95" s="50" t="str">
        <f t="shared" si="61"/>
        <v/>
      </c>
      <c r="AC95" s="68">
        <f t="shared" si="62"/>
        <v>0</v>
      </c>
      <c r="AD95" s="68">
        <f t="shared" si="63"/>
        <v>0</v>
      </c>
      <c r="AE95" s="68">
        <f t="shared" si="64"/>
        <v>0</v>
      </c>
      <c r="AF95" s="79"/>
      <c r="AG95" s="50" t="s">
        <v>138</v>
      </c>
      <c r="AH95" s="49" t="str">
        <f>IF(AG95="นิติศาสตร์","K5-LAW","K5-POLICY")</f>
        <v>K5-LAW</v>
      </c>
      <c r="AI95" s="72" t="str">
        <f>_xlfn.IFS(B95="","",AND(AH95="K5-LAW",AG95="นิติศาสตร์",K95="S2",T95="",Z95=""),P95,AND(AH95="K5-LAW",AG95="นิติศาสตร์",K95="S1",T95="",Z95=""),EDATE(P95,12),AND(AH95="K5-LAW",AG95="นิติศาสตร์",OR(K95="M2",K95="K4"),T95="",Z95=""),EDATE(P95,12*2),AND(AH95="K5-LAW",AG95="นิติศาสตร์",OR(Z95="M2",Z95="K4"),AC95&gt;=2,OR(AB95&lt;V95,AB95&lt;P95)),EDATE(AB95,12*2),AND(AH95="K5-LAW",AG95="นิติศาสตร์",Z95="S1",AC95&gt;=1,OR(AB95&lt;V95,AB95&lt;P95)),EDATE(AB95,12),AND(AH95="K5-LAW",AG95="นิติศาสตร์",OR(T95="M2",T95="K4"),W95&gt;=2,V95&lt;P95),EDATE(V95,12*2),AND(AH95="K5-LAW",AG95="นิติศาสตร์",T95="S1",W95&gt;=1,V95&lt;P95),EDATE(V95,12),AND(AH95="K5-LAW",AG95="นิติศาสตร์",OR(T95="S2",T95="K5")),V95,AND(AH95="K5-LAW",AG95="นิติศาสตร์",OR(K95="M2",K95="K4"),Q95&gt;=2),EDATE(P95,12*2),AND(AH95="K5-LAW",AG95="นิติศาสตร์",K95="S1",Q95&gt;=1),EDATE(P95,12),AND(AH95="K5-LAW",AG95="นิติศาสตร์",OR(K95="S2",K95="K5")),P95,AND(AH95="K5-POLICY",AG95&lt;&gt;"นิติศาสตร์",K95="S2",T95="",Z95=""),P95,AND(AH95="K5-POLICY",AG95&lt;&gt;"นิติศาสตร์",K95="S1",T95="",Z95=""),EDATE(P95,12),AND(AH95="K5-POLICY",AG95&lt;&gt;"นิติศาสตร์",OR(K95="M2",K95="K4"),T95="",Z95=""),EDATE(P95,12*2),AND(AH95="K5-POLICY",AG95&lt;&gt;"นิติศาสตร์",OR(Z95="M2",Z95="K4"),AC95&gt;=2,OR(AB95&lt;V95,AB95&lt;P95)),EDATE(AB95,12*2),AND(AH95="K5-POLICY",AG95&lt;&gt;"นิติศาสตร์",Z95="S1",AC95&gt;=1,OR(AB95&lt;V95,AB95&lt;P95)),EDATE(AB95,12),AND(AH95="K5-POLICY",AG95&lt;&gt;"นิติศาสตร์",OR(T95="M2",T95="K4"),W95&gt;=2,V95&lt;P95),EDATE(V95,12*2),AND(AH95="K5-POLICY",AG95&lt;&gt;"นิติศาสตร์",T95="S1",W95&gt;=1,V95&lt;P95),EDATE(V95,12),AND(AH95="K5-POLICY",AG95&lt;&gt;"นิติศาสตร์",OR(T95="S2",T95="K5")),V95,AND(AH95="K5-POLICY",AG95&lt;&gt;"นิติศาสตร์",OR(K95="M2",K95="K4"),Q95&gt;=2),EDATE(P95,12*2),AND(AH95="K5-POLICY",AG95&lt;&gt;"นิติศาสตร์",K95="S1",Q95&gt;=1),EDATE(P95,12),AND(AH95="K5-POLICY",AG95&lt;&gt;"นิติศาสตร์",OR(K95="S2",K95="K5")),P95,TRUE,"Check Data")</f>
        <v/>
      </c>
      <c r="AJ95" s="75" t="str">
        <f t="shared" si="65"/>
        <v>Check Data</v>
      </c>
      <c r="AK95" s="76" t="str">
        <f t="shared" si="49"/>
        <v>Check Data</v>
      </c>
      <c r="AL95" s="50" t="str">
        <f t="shared" si="66"/>
        <v>Check Data</v>
      </c>
      <c r="AM95" s="49" t="str">
        <f>IF(B95="","",IF(K95="S1","S1",INDEX(#REF!,#REF!)))</f>
        <v/>
      </c>
      <c r="AN95" s="49" t="str">
        <f t="shared" si="67"/>
        <v>M2</v>
      </c>
      <c r="AO95" s="50" t="b">
        <f>K95=AM95</f>
        <v>0</v>
      </c>
      <c r="AP95" s="50"/>
    </row>
    <row r="96" spans="1:42" ht="21.75">
      <c r="A96" s="49">
        <v>94</v>
      </c>
      <c r="B96" s="50"/>
      <c r="C96" s="50"/>
      <c r="D96" s="50" t="s">
        <v>144</v>
      </c>
      <c r="E96" s="49" t="s">
        <v>208</v>
      </c>
      <c r="F96" s="49" t="str">
        <f>IF(E96="","",TEXT(EDATE(E96,-543*12),"dd/mm/yyyy"))</f>
        <v>01/02/1990</v>
      </c>
      <c r="G96" s="50">
        <f t="shared" si="46"/>
        <v>35</v>
      </c>
      <c r="H96" s="50">
        <f t="shared" si="47"/>
        <v>4</v>
      </c>
      <c r="I96" s="50">
        <f t="shared" si="48"/>
        <v>19</v>
      </c>
      <c r="J96" s="50"/>
      <c r="K96" s="49" t="s">
        <v>137</v>
      </c>
      <c r="L96" s="64"/>
      <c r="M96" s="49"/>
      <c r="N96" s="49"/>
      <c r="O96" s="65" t="s">
        <v>413</v>
      </c>
      <c r="P96" s="49" t="str">
        <f t="shared" si="59"/>
        <v>31/03/2015</v>
      </c>
      <c r="Q96" s="68">
        <f>IF(P96="",0,DATEDIF(P96,$C$1,"Y"))</f>
        <v>10</v>
      </c>
      <c r="R96" s="68">
        <f>IF(P96="",0,DATEDIF(P96,$C$1,"YM"))</f>
        <v>2</v>
      </c>
      <c r="S96" s="68">
        <f>IF(P96="",0,DATEDIF(P96,$C$1,"MD"))</f>
        <v>20</v>
      </c>
      <c r="T96" s="65"/>
      <c r="U96" s="65"/>
      <c r="V96" s="49" t="str">
        <f t="shared" si="60"/>
        <v/>
      </c>
      <c r="W96" s="68">
        <f>IF(V96="",0,DATEDIF(V96,P96,"Y"))</f>
        <v>0</v>
      </c>
      <c r="X96" s="68">
        <f>IF(V96="",0,DATEDIF(V96,P96,"YM"))</f>
        <v>0</v>
      </c>
      <c r="Y96" s="68">
        <f>IF(V96="",0,DATEDIF(V96,P96,"MD"))</f>
        <v>0</v>
      </c>
      <c r="Z96" s="49"/>
      <c r="AA96" s="65"/>
      <c r="AB96" s="50" t="str">
        <f t="shared" si="61"/>
        <v/>
      </c>
      <c r="AC96" s="68">
        <f t="shared" si="62"/>
        <v>0</v>
      </c>
      <c r="AD96" s="68">
        <f t="shared" si="63"/>
        <v>0</v>
      </c>
      <c r="AE96" s="68">
        <f t="shared" si="64"/>
        <v>0</v>
      </c>
      <c r="AF96" s="50"/>
      <c r="AG96" s="50" t="s">
        <v>138</v>
      </c>
      <c r="AH96" s="49" t="str">
        <f>IF(AG96="นิติศาสตร์","K5-LAW","K5-POLICY")</f>
        <v>K5-LAW</v>
      </c>
      <c r="AI96" s="72" t="str">
        <f>_xlfn.IFS(B96="","",AND(AH96="K5-LAW",AG96="นิติศาสตร์",K96="S2",T96="",Z96=""),P96,AND(AH96="K5-LAW",AG96="นิติศาสตร์",K96="S1",T96="",Z96=""),EDATE(P96,12),AND(AH96="K5-LAW",AG96="นิติศาสตร์",OR(K96="M2",K96="K4"),T96="",Z96=""),EDATE(P96,12*2),AND(AH96="K5-LAW",AG96="นิติศาสตร์",OR(Z96="M2",Z96="K4"),AC96&gt;=2,OR(AB96&lt;V96,AB96&lt;P96)),EDATE(AB96,12*2),AND(AH96="K5-LAW",AG96="นิติศาสตร์",Z96="S1",AC96&gt;=1,OR(AB96&lt;V96,AB96&lt;P96)),EDATE(AB96,12),AND(AH96="K5-LAW",AG96="นิติศาสตร์",OR(T96="M2",T96="K4"),W96&gt;=2,V96&lt;P96),EDATE(V96,12*2),AND(AH96="K5-LAW",AG96="นิติศาสตร์",T96="S1",W96&gt;=1,V96&lt;P96),EDATE(V96,12),AND(AH96="K5-LAW",AG96="นิติศาสตร์",OR(T96="S2",T96="K5")),V96,AND(AH96="K5-LAW",AG96="นิติศาสตร์",OR(K96="M2",K96="K4"),Q96&gt;=2),EDATE(P96,12*2),AND(AH96="K5-LAW",AG96="นิติศาสตร์",K96="S1",Q96&gt;=1),EDATE(P96,12),AND(AH96="K5-LAW",AG96="นิติศาสตร์",OR(K96="S2",K96="K5")),P96,AND(AH96="K5-POLICY",AG96&lt;&gt;"นิติศาสตร์",K96="S2",T96="",Z96=""),P96,AND(AH96="K5-POLICY",AG96&lt;&gt;"นิติศาสตร์",K96="S1",T96="",Z96=""),EDATE(P96,12),AND(AH96="K5-POLICY",AG96&lt;&gt;"นิติศาสตร์",OR(K96="M2",K96="K4"),T96="",Z96=""),EDATE(P96,12*2),AND(AH96="K5-POLICY",AG96&lt;&gt;"นิติศาสตร์",OR(Z96="M2",Z96="K4"),AC96&gt;=2,OR(AB96&lt;V96,AB96&lt;P96)),EDATE(AB96,12*2),AND(AH96="K5-POLICY",AG96&lt;&gt;"นิติศาสตร์",Z96="S1",AC96&gt;=1,OR(AB96&lt;V96,AB96&lt;P96)),EDATE(AB96,12),AND(AH96="K5-POLICY",AG96&lt;&gt;"นิติศาสตร์",OR(T96="M2",T96="K4"),W96&gt;=2,V96&lt;P96),EDATE(V96,12*2),AND(AH96="K5-POLICY",AG96&lt;&gt;"นิติศาสตร์",T96="S1",W96&gt;=1,V96&lt;P96),EDATE(V96,12),AND(AH96="K5-POLICY",AG96&lt;&gt;"นิติศาสตร์",OR(T96="S2",T96="K5")),V96,AND(AH96="K5-POLICY",AG96&lt;&gt;"นิติศาสตร์",OR(K96="M2",K96="K4"),Q96&gt;=2),EDATE(P96,12*2),AND(AH96="K5-POLICY",AG96&lt;&gt;"นิติศาสตร์",K96="S1",Q96&gt;=1),EDATE(P96,12),AND(AH96="K5-POLICY",AG96&lt;&gt;"นิติศาสตร์",OR(K96="S2",K96="K5")),P96,TRUE,"Check Data")</f>
        <v/>
      </c>
      <c r="AJ96" s="75" t="str">
        <f t="shared" si="65"/>
        <v>Check Data</v>
      </c>
      <c r="AK96" s="76" t="str">
        <f t="shared" si="49"/>
        <v>Check Data</v>
      </c>
      <c r="AL96" s="50" t="str">
        <f t="shared" si="66"/>
        <v>Check Data</v>
      </c>
      <c r="AM96" s="49" t="str">
        <f>IF(B96="","",IF(K96="S1","S1",INDEX(#REF!,#REF!)))</f>
        <v/>
      </c>
      <c r="AN96" s="49" t="str">
        <f t="shared" si="67"/>
        <v>K4</v>
      </c>
      <c r="AO96" s="50" t="b">
        <f>K96=AM96</f>
        <v>0</v>
      </c>
    </row>
    <row r="97" spans="1:41" ht="21.75">
      <c r="A97" s="49">
        <v>95</v>
      </c>
      <c r="B97" s="50"/>
      <c r="C97" s="50"/>
      <c r="D97" s="50" t="s">
        <v>144</v>
      </c>
      <c r="E97" s="49" t="s">
        <v>382</v>
      </c>
      <c r="F97" s="49" t="str">
        <f>IF(E97="","",TEXT(EDATE(E97,-543*12),"dd/mm/yyyy"))</f>
        <v>01/05/1989</v>
      </c>
      <c r="G97" s="50">
        <f t="shared" si="46"/>
        <v>36</v>
      </c>
      <c r="H97" s="50">
        <f t="shared" si="47"/>
        <v>1</v>
      </c>
      <c r="I97" s="50">
        <f t="shared" si="48"/>
        <v>19</v>
      </c>
      <c r="J97" s="50"/>
      <c r="K97" s="49" t="s">
        <v>137</v>
      </c>
      <c r="L97" s="64"/>
      <c r="M97" s="49"/>
      <c r="N97" s="49"/>
      <c r="O97" s="65" t="s">
        <v>408</v>
      </c>
      <c r="P97" s="49" t="str">
        <f t="shared" si="59"/>
        <v>23/11/2016</v>
      </c>
      <c r="Q97" s="68">
        <f>IF(P97="",0,DATEDIF(P97,$C$1,"Y"))</f>
        <v>8</v>
      </c>
      <c r="R97" s="68">
        <f>IF(P97="",0,DATEDIF(P97,$C$1,"YM"))</f>
        <v>6</v>
      </c>
      <c r="S97" s="68">
        <f>IF(P97="",0,DATEDIF(P97,$C$1,"MD"))</f>
        <v>28</v>
      </c>
      <c r="T97" s="65"/>
      <c r="U97" s="65"/>
      <c r="V97" s="49" t="str">
        <f t="shared" si="60"/>
        <v/>
      </c>
      <c r="W97" s="68">
        <f>IF(V97="",0,DATEDIF(V97,P97,"Y"))</f>
        <v>0</v>
      </c>
      <c r="X97" s="68">
        <f>IF(V97="",0,DATEDIF(V97,P97,"YM"))</f>
        <v>0</v>
      </c>
      <c r="Y97" s="68">
        <f>IF(V97="",0,DATEDIF(V97,P97,"MD"))</f>
        <v>0</v>
      </c>
      <c r="Z97" s="49"/>
      <c r="AA97" s="65"/>
      <c r="AB97" s="50" t="str">
        <f t="shared" si="61"/>
        <v/>
      </c>
      <c r="AC97" s="68">
        <f t="shared" si="62"/>
        <v>0</v>
      </c>
      <c r="AD97" s="68">
        <f t="shared" si="63"/>
        <v>0</v>
      </c>
      <c r="AE97" s="68">
        <f t="shared" si="64"/>
        <v>0</v>
      </c>
      <c r="AF97" s="50"/>
      <c r="AG97" s="50" t="s">
        <v>138</v>
      </c>
      <c r="AH97" s="49" t="str">
        <f>IF(AG97="นิติศาสตร์","K5-LAW","K5-POLICY")</f>
        <v>K5-LAW</v>
      </c>
      <c r="AI97" s="72" t="str">
        <f>_xlfn.IFS(B97="","",AND(AH97="K5-LAW",AG97="นิติศาสตร์",K97="S2",T97="",Z97=""),P97,AND(AH97="K5-LAW",AG97="นิติศาสตร์",K97="S1",T97="",Z97=""),EDATE(P97,12),AND(AH97="K5-LAW",AG97="นิติศาสตร์",OR(K97="M2",K97="K4"),T97="",Z97=""),EDATE(P97,12*2),AND(AH97="K5-LAW",AG97="นิติศาสตร์",OR(Z97="M2",Z97="K4"),AC97&gt;=2,OR(AB97&lt;V97,AB97&lt;P97)),EDATE(AB97,12*2),AND(AH97="K5-LAW",AG97="นิติศาสตร์",Z97="S1",AC97&gt;=1,OR(AB97&lt;V97,AB97&lt;P97)),EDATE(AB97,12),AND(AH97="K5-LAW",AG97="นิติศาสตร์",OR(T97="M2",T97="K4"),W97&gt;=2,V97&lt;P97),EDATE(V97,12*2),AND(AH97="K5-LAW",AG97="นิติศาสตร์",T97="S1",W97&gt;=1,V97&lt;P97),EDATE(V97,12),AND(AH97="K5-LAW",AG97="นิติศาสตร์",OR(T97="S2",T97="K5")),V97,AND(AH97="K5-LAW",AG97="นิติศาสตร์",OR(K97="M2",K97="K4"),Q97&gt;=2),EDATE(P97,12*2),AND(AH97="K5-LAW",AG97="นิติศาสตร์",K97="S1",Q97&gt;=1),EDATE(P97,12),AND(AH97="K5-LAW",AG97="นิติศาสตร์",OR(K97="S2",K97="K5")),P97,AND(AH97="K5-POLICY",AG97&lt;&gt;"นิติศาสตร์",K97="S2",T97="",Z97=""),P97,AND(AH97="K5-POLICY",AG97&lt;&gt;"นิติศาสตร์",K97="S1",T97="",Z97=""),EDATE(P97,12),AND(AH97="K5-POLICY",AG97&lt;&gt;"นิติศาสตร์",OR(K97="M2",K97="K4"),T97="",Z97=""),EDATE(P97,12*2),AND(AH97="K5-POLICY",AG97&lt;&gt;"นิติศาสตร์",OR(Z97="M2",Z97="K4"),AC97&gt;=2,OR(AB97&lt;V97,AB97&lt;P97)),EDATE(AB97,12*2),AND(AH97="K5-POLICY",AG97&lt;&gt;"นิติศาสตร์",Z97="S1",AC97&gt;=1,OR(AB97&lt;V97,AB97&lt;P97)),EDATE(AB97,12),AND(AH97="K5-POLICY",AG97&lt;&gt;"นิติศาสตร์",OR(T97="M2",T97="K4"),W97&gt;=2,V97&lt;P97),EDATE(V97,12*2),AND(AH97="K5-POLICY",AG97&lt;&gt;"นิติศาสตร์",T97="S1",W97&gt;=1,V97&lt;P97),EDATE(V97,12),AND(AH97="K5-POLICY",AG97&lt;&gt;"นิติศาสตร์",OR(T97="S2",T97="K5")),V97,AND(AH97="K5-POLICY",AG97&lt;&gt;"นิติศาสตร์",OR(K97="M2",K97="K4"),Q97&gt;=2),EDATE(P97,12*2),AND(AH97="K5-POLICY",AG97&lt;&gt;"นิติศาสตร์",K97="S1",Q97&gt;=1),EDATE(P97,12),AND(AH97="K5-POLICY",AG97&lt;&gt;"นิติศาสตร์",OR(K97="S2",K97="K5")),P97,TRUE,"Check Data")</f>
        <v/>
      </c>
      <c r="AJ97" s="75" t="str">
        <f t="shared" si="65"/>
        <v>Check Data</v>
      </c>
      <c r="AK97" s="76" t="str">
        <f t="shared" si="49"/>
        <v>Check Data</v>
      </c>
      <c r="AL97" s="50" t="str">
        <f t="shared" si="66"/>
        <v>Check Data</v>
      </c>
      <c r="AM97" s="49" t="str">
        <f>IF(B97="","",IF(K97="S1","S1",INDEX(#REF!,#REF!)))</f>
        <v/>
      </c>
      <c r="AN97" s="49" t="str">
        <f t="shared" si="67"/>
        <v>K4</v>
      </c>
      <c r="AO97" s="50" t="b">
        <f>K97=AM97</f>
        <v>0</v>
      </c>
    </row>
    <row r="98" spans="1:41" ht="21.75">
      <c r="A98" s="49">
        <v>96</v>
      </c>
      <c r="B98" s="50"/>
      <c r="C98" s="50"/>
      <c r="D98" s="50" t="s">
        <v>144</v>
      </c>
      <c r="E98" s="49" t="s">
        <v>328</v>
      </c>
      <c r="F98" s="49" t="str">
        <f>IF(E98="","",TEXT(EDATE(E98,-543*12),"dd/mm/yyyy"))</f>
        <v>03/06/1991</v>
      </c>
      <c r="G98" s="50">
        <f t="shared" si="46"/>
        <v>34</v>
      </c>
      <c r="H98" s="50">
        <f t="shared" si="47"/>
        <v>0</v>
      </c>
      <c r="I98" s="50">
        <f t="shared" si="48"/>
        <v>17</v>
      </c>
      <c r="J98" s="50"/>
      <c r="K98" s="49" t="s">
        <v>137</v>
      </c>
      <c r="L98" s="64"/>
      <c r="M98" s="49"/>
      <c r="N98" s="49"/>
      <c r="O98" s="65" t="s">
        <v>415</v>
      </c>
      <c r="P98" s="49" t="str">
        <f t="shared" si="59"/>
        <v>30/01/2018</v>
      </c>
      <c r="Q98" s="68">
        <f>IF(P98="",0,DATEDIF(P98,$C$1,"Y"))</f>
        <v>7</v>
      </c>
      <c r="R98" s="68">
        <f>IF(P98="",0,DATEDIF(P98,$C$1,"YM"))</f>
        <v>4</v>
      </c>
      <c r="S98" s="68">
        <f>IF(P98="",0,DATEDIF(P98,$C$1,"MD"))</f>
        <v>21</v>
      </c>
      <c r="T98" s="65"/>
      <c r="U98" s="65"/>
      <c r="V98" s="49" t="str">
        <f t="shared" si="60"/>
        <v/>
      </c>
      <c r="W98" s="68">
        <f>IF(V98="",0,DATEDIF(V98,P98,"Y"))</f>
        <v>0</v>
      </c>
      <c r="X98" s="68">
        <f>IF(V98="",0,DATEDIF(V98,P98,"YM"))</f>
        <v>0</v>
      </c>
      <c r="Y98" s="68">
        <f>IF(V98="",0,DATEDIF(V98,P98,"MD"))</f>
        <v>0</v>
      </c>
      <c r="Z98" s="49"/>
      <c r="AA98" s="65"/>
      <c r="AB98" s="50" t="str">
        <f t="shared" si="61"/>
        <v/>
      </c>
      <c r="AC98" s="68">
        <f t="shared" si="62"/>
        <v>0</v>
      </c>
      <c r="AD98" s="68">
        <f t="shared" si="63"/>
        <v>0</v>
      </c>
      <c r="AE98" s="68">
        <f t="shared" si="64"/>
        <v>0</v>
      </c>
      <c r="AF98" s="50"/>
      <c r="AG98" s="50" t="s">
        <v>138</v>
      </c>
      <c r="AH98" s="49" t="str">
        <f>IF(AG98="นิติศาสตร์","K5-LAW","K5-POLICY")</f>
        <v>K5-LAW</v>
      </c>
      <c r="AI98" s="72" t="str">
        <f>_xlfn.IFS(B98="","",AND(AH98="K5-LAW",AG98="นิติศาสตร์",K98="S2",T98="",Z98=""),P98,AND(AH98="K5-LAW",AG98="นิติศาสตร์",K98="S1",T98="",Z98=""),EDATE(P98,12),AND(AH98="K5-LAW",AG98="นิติศาสตร์",OR(K98="M2",K98="K4"),T98="",Z98=""),EDATE(P98,12*2),AND(AH98="K5-LAW",AG98="นิติศาสตร์",OR(Z98="M2",Z98="K4"),AC98&gt;=2,OR(AB98&lt;V98,AB98&lt;P98)),EDATE(AB98,12*2),AND(AH98="K5-LAW",AG98="นิติศาสตร์",Z98="S1",AC98&gt;=1,OR(AB98&lt;V98,AB98&lt;P98)),EDATE(AB98,12),AND(AH98="K5-LAW",AG98="นิติศาสตร์",OR(T98="M2",T98="K4"),W98&gt;=2,V98&lt;P98),EDATE(V98,12*2),AND(AH98="K5-LAW",AG98="นิติศาสตร์",T98="S1",W98&gt;=1,V98&lt;P98),EDATE(V98,12),AND(AH98="K5-LAW",AG98="นิติศาสตร์",OR(T98="S2",T98="K5")),V98,AND(AH98="K5-LAW",AG98="นิติศาสตร์",OR(K98="M2",K98="K4"),Q98&gt;=2),EDATE(P98,12*2),AND(AH98="K5-LAW",AG98="นิติศาสตร์",K98="S1",Q98&gt;=1),EDATE(P98,12),AND(AH98="K5-LAW",AG98="นิติศาสตร์",OR(K98="S2",K98="K5")),P98,AND(AH98="K5-POLICY",AG98&lt;&gt;"นิติศาสตร์",K98="S2",T98="",Z98=""),P98,AND(AH98="K5-POLICY",AG98&lt;&gt;"นิติศาสตร์",K98="S1",T98="",Z98=""),EDATE(P98,12),AND(AH98="K5-POLICY",AG98&lt;&gt;"นิติศาสตร์",OR(K98="M2",K98="K4"),T98="",Z98=""),EDATE(P98,12*2),AND(AH98="K5-POLICY",AG98&lt;&gt;"นิติศาสตร์",OR(Z98="M2",Z98="K4"),AC98&gt;=2,OR(AB98&lt;V98,AB98&lt;P98)),EDATE(AB98,12*2),AND(AH98="K5-POLICY",AG98&lt;&gt;"นิติศาสตร์",Z98="S1",AC98&gt;=1,OR(AB98&lt;V98,AB98&lt;P98)),EDATE(AB98,12),AND(AH98="K5-POLICY",AG98&lt;&gt;"นิติศาสตร์",OR(T98="M2",T98="K4"),W98&gt;=2,V98&lt;P98),EDATE(V98,12*2),AND(AH98="K5-POLICY",AG98&lt;&gt;"นิติศาสตร์",T98="S1",W98&gt;=1,V98&lt;P98),EDATE(V98,12),AND(AH98="K5-POLICY",AG98&lt;&gt;"นิติศาสตร์",OR(T98="S2",T98="K5")),V98,AND(AH98="K5-POLICY",AG98&lt;&gt;"นิติศาสตร์",OR(K98="M2",K98="K4"),Q98&gt;=2),EDATE(P98,12*2),AND(AH98="K5-POLICY",AG98&lt;&gt;"นิติศาสตร์",K98="S1",Q98&gt;=1),EDATE(P98,12),AND(AH98="K5-POLICY",AG98&lt;&gt;"นิติศาสตร์",OR(K98="S2",K98="K5")),P98,TRUE,"Check Data")</f>
        <v/>
      </c>
      <c r="AJ98" s="75" t="str">
        <f t="shared" si="65"/>
        <v>Check Data</v>
      </c>
      <c r="AK98" s="76" t="str">
        <f t="shared" si="49"/>
        <v>Check Data</v>
      </c>
      <c r="AL98" s="50" t="str">
        <f t="shared" si="66"/>
        <v>Check Data</v>
      </c>
      <c r="AM98" s="49" t="str">
        <f>IF(B98="","",IF(K98="S1","S1",INDEX(#REF!,#REF!)))</f>
        <v/>
      </c>
      <c r="AN98" s="49" t="str">
        <f t="shared" si="67"/>
        <v>K4</v>
      </c>
      <c r="AO98" s="50" t="b">
        <f>K98=AM98</f>
        <v>0</v>
      </c>
    </row>
    <row r="99" spans="1:41" ht="21.75">
      <c r="A99" s="49">
        <v>97</v>
      </c>
      <c r="B99" s="50"/>
      <c r="C99" s="52"/>
      <c r="D99" s="50" t="s">
        <v>34</v>
      </c>
      <c r="E99" s="49"/>
      <c r="F99" s="49"/>
      <c r="G99" s="50">
        <f t="shared" ref="G99:G110" si="68">IF(F99="",0,DATEDIF(F99,$C$1,"Y"))</f>
        <v>0</v>
      </c>
      <c r="H99" s="50">
        <f t="shared" ref="H99:H110" si="69">IF(F99="",0,DATEDIF(F99,$C$1,"YM"))</f>
        <v>0</v>
      </c>
      <c r="I99" s="50">
        <f t="shared" ref="I99:I110" si="70">IF(F99="",0,DATEDIF(F99,$C$1,"MD"))</f>
        <v>0</v>
      </c>
      <c r="J99" s="50"/>
      <c r="K99" s="49" t="s">
        <v>137</v>
      </c>
      <c r="L99" s="64"/>
      <c r="M99" s="49"/>
      <c r="N99" s="49"/>
      <c r="O99" s="65" t="s">
        <v>452</v>
      </c>
      <c r="P99" s="49" t="str">
        <f t="shared" si="59"/>
        <v>25/02/2025</v>
      </c>
      <c r="Q99" s="68">
        <f>IF(P99="",0,DATEDIF(P99,$C$1,"Y"))</f>
        <v>0</v>
      </c>
      <c r="R99" s="68">
        <f>IF(P99="",0,DATEDIF(P99,$C$1,"YM"))</f>
        <v>3</v>
      </c>
      <c r="S99" s="68">
        <f>IF(P99="",0,DATEDIF(P99,$C$1,"MD"))</f>
        <v>26</v>
      </c>
      <c r="T99" s="65" t="s">
        <v>136</v>
      </c>
      <c r="U99" s="65" t="s">
        <v>531</v>
      </c>
      <c r="V99" s="49" t="str">
        <f t="shared" si="60"/>
        <v>25/02/2021</v>
      </c>
      <c r="W99" s="68">
        <f>IF(V99="",0,DATEDIF(V99,P99,"Y"))</f>
        <v>4</v>
      </c>
      <c r="X99" s="68">
        <f>IF(V99="",0,DATEDIF(V99,P99,"YM"))</f>
        <v>0</v>
      </c>
      <c r="Y99" s="68">
        <f>IF(V99="",0,DATEDIF(V99,P99,"MD"))</f>
        <v>0</v>
      </c>
      <c r="Z99" s="49" t="s">
        <v>136</v>
      </c>
      <c r="AA99" s="65" t="s">
        <v>532</v>
      </c>
      <c r="AB99" s="50" t="str">
        <f t="shared" si="61"/>
        <v>01/07/2018</v>
      </c>
      <c r="AC99" s="68">
        <f t="shared" si="62"/>
        <v>2</v>
      </c>
      <c r="AD99" s="68">
        <f t="shared" si="63"/>
        <v>7</v>
      </c>
      <c r="AE99" s="68">
        <f t="shared" si="64"/>
        <v>24</v>
      </c>
      <c r="AF99" s="50"/>
      <c r="AG99" s="50" t="s">
        <v>138</v>
      </c>
      <c r="AH99" s="49" t="str">
        <f>IF(AG99="นิติศาสตร์","K5-LAW","K5-POLICY")</f>
        <v>K5-LAW</v>
      </c>
      <c r="AI99" s="72" t="str">
        <f>_xlfn.IFS(B99="","",AND(AH99="K5-LAW",AG99="นิติศาสตร์",K99="S2",T99="",Z99=""),P99,AND(AH99="K5-LAW",AG99="นิติศาสตร์",K99="S1",T99="",Z99=""),EDATE(P99,12),AND(AH99="K5-LAW",AG99="นิติศาสตร์",OR(K99="M2",K99="K4"),T99="",Z99=""),EDATE(P99,12*2),AND(AH99="K5-LAW",AG99="นิติศาสตร์",OR(Z99="M2",Z99="K4"),AC99&gt;=2,OR(AB99&lt;V99,AB99&lt;P99)),EDATE(AB99,12*2),AND(AH99="K5-LAW",AG99="นิติศาสตร์",Z99="S1",AC99&gt;=1,OR(AB99&lt;V99,AB99&lt;P99)),EDATE(AB99,12),AND(AH99="K5-LAW",AG99="นิติศาสตร์",OR(T99="M2",T99="K4"),W99&gt;=2,V99&lt;P99),EDATE(V99,12*2),AND(AH99="K5-LAW",AG99="นิติศาสตร์",T99="S1",W99&gt;=1,V99&lt;P99),EDATE(V99,12),AND(AH99="K5-LAW",AG99="นิติศาสตร์",OR(T99="S2",T99="K5")),V99,AND(AH99="K5-LAW",AG99="นิติศาสตร์",OR(K99="M2",K99="K4"),Q99&gt;=2),EDATE(P99,12*2),AND(AH99="K5-LAW",AG99="นิติศาสตร์",K99="S1",Q99&gt;=1),EDATE(P99,12),AND(AH99="K5-LAW",AG99="นิติศาสตร์",OR(K99="S2",K99="K5")),P99,AND(AH99="K5-POLICY",AG99&lt;&gt;"นิติศาสตร์",K99="S2",T99="",Z99=""),P99,AND(AH99="K5-POLICY",AG99&lt;&gt;"นิติศาสตร์",K99="S1",T99="",Z99=""),EDATE(P99,12),AND(AH99="K5-POLICY",AG99&lt;&gt;"นิติศาสตร์",OR(K99="M2",K99="K4"),T99="",Z99=""),EDATE(P99,12*2),AND(AH99="K5-POLICY",AG99&lt;&gt;"นิติศาสตร์",OR(Z99="M2",Z99="K4"),AC99&gt;=2,OR(AB99&lt;V99,AB99&lt;P99)),EDATE(AB99,12*2),AND(AH99="K5-POLICY",AG99&lt;&gt;"นิติศาสตร์",Z99="S1",AC99&gt;=1,OR(AB99&lt;V99,AB99&lt;P99)),EDATE(AB99,12),AND(AH99="K5-POLICY",AG99&lt;&gt;"นิติศาสตร์",OR(T99="M2",T99="K4"),W99&gt;=2,V99&lt;P99),EDATE(V99,12*2),AND(AH99="K5-POLICY",AG99&lt;&gt;"นิติศาสตร์",T99="S1",W99&gt;=1,V99&lt;P99),EDATE(V99,12),AND(AH99="K5-POLICY",AG99&lt;&gt;"นิติศาสตร์",OR(T99="S2",T99="K5")),V99,AND(AH99="K5-POLICY",AG99&lt;&gt;"นิติศาสตร์",OR(K99="M2",K99="K4"),Q99&gt;=2),EDATE(P99,12*2),AND(AH99="K5-POLICY",AG99&lt;&gt;"นิติศาสตร์",K99="S1",Q99&gt;=1),EDATE(P99,12),AND(AH99="K5-POLICY",AG99&lt;&gt;"นิติศาสตร์",OR(K99="S2",K99="K5")),P99,TRUE,"Check Data")</f>
        <v/>
      </c>
      <c r="AJ99" s="75" t="str">
        <f t="shared" si="65"/>
        <v>Check Data</v>
      </c>
      <c r="AK99" s="76" t="str">
        <f t="shared" ref="AK99:AK110" si="71">IFERROR(IF($C$1&gt;AI99,AI99-$C$1,DATEDIF($C$1,AI99,"d")),"Check Data")</f>
        <v>Check Data</v>
      </c>
      <c r="AL99" s="50" t="str">
        <f t="shared" si="66"/>
        <v>Check Data</v>
      </c>
      <c r="AM99" s="49" t="str">
        <f>IF(B99="","",IF(K99="S1","S1",INDEX(#REF!,#REF!)))</f>
        <v/>
      </c>
      <c r="AN99" s="49" t="str">
        <f t="shared" si="67"/>
        <v>K4</v>
      </c>
      <c r="AO99" s="50" t="b">
        <f>K99=AM99</f>
        <v>0</v>
      </c>
    </row>
    <row r="100" spans="1:41" ht="21.75">
      <c r="A100" s="49">
        <v>98</v>
      </c>
      <c r="B100" s="50"/>
      <c r="C100" s="50"/>
      <c r="D100" s="50" t="s">
        <v>144</v>
      </c>
      <c r="E100" s="49" t="s">
        <v>333</v>
      </c>
      <c r="F100" s="49" t="str">
        <f t="shared" ref="F100:F105" si="72">IF(E100="","",TEXT(EDATE(E100,-543*12),"dd/mm/yyyy"))</f>
        <v>29/01/1990</v>
      </c>
      <c r="G100" s="50">
        <f t="shared" si="68"/>
        <v>35</v>
      </c>
      <c r="H100" s="50">
        <f t="shared" si="69"/>
        <v>4</v>
      </c>
      <c r="I100" s="50">
        <f t="shared" si="70"/>
        <v>22</v>
      </c>
      <c r="J100" s="50"/>
      <c r="K100" s="49" t="s">
        <v>137</v>
      </c>
      <c r="L100" s="64"/>
      <c r="M100" s="49"/>
      <c r="N100" s="49"/>
      <c r="O100" s="65" t="s">
        <v>411</v>
      </c>
      <c r="P100" s="49" t="str">
        <f t="shared" si="59"/>
        <v>24/12/2019</v>
      </c>
      <c r="Q100" s="68">
        <f>IF(P100="",0,DATEDIF(P100,$C$1,"Y"))</f>
        <v>5</v>
      </c>
      <c r="R100" s="68">
        <f>IF(P100="",0,DATEDIF(P100,$C$1,"YM"))</f>
        <v>5</v>
      </c>
      <c r="S100" s="68">
        <f>IF(P100="",0,DATEDIF(P100,$C$1,"MD"))</f>
        <v>27</v>
      </c>
      <c r="T100" s="65"/>
      <c r="U100" s="65"/>
      <c r="V100" s="49" t="str">
        <f t="shared" si="60"/>
        <v/>
      </c>
      <c r="W100" s="68">
        <f>IF(V100="",0,DATEDIF(V100,P100,"Y"))</f>
        <v>0</v>
      </c>
      <c r="X100" s="68">
        <f>IF(V100="",0,DATEDIF(V100,P100,"YM"))</f>
        <v>0</v>
      </c>
      <c r="Y100" s="68">
        <f>IF(V100="",0,DATEDIF(V100,P100,"MD"))</f>
        <v>0</v>
      </c>
      <c r="Z100" s="49"/>
      <c r="AA100" s="65"/>
      <c r="AB100" s="50" t="str">
        <f t="shared" si="61"/>
        <v/>
      </c>
      <c r="AC100" s="68">
        <f t="shared" si="62"/>
        <v>0</v>
      </c>
      <c r="AD100" s="68">
        <f t="shared" si="63"/>
        <v>0</v>
      </c>
      <c r="AE100" s="68">
        <f t="shared" si="64"/>
        <v>0</v>
      </c>
      <c r="AF100" s="50"/>
      <c r="AG100" s="50" t="s">
        <v>138</v>
      </c>
      <c r="AH100" s="49" t="str">
        <f>IF(AG100="นิติศาสตร์","K5-LAW","K5-POLICY")</f>
        <v>K5-LAW</v>
      </c>
      <c r="AI100" s="72" t="str">
        <f>_xlfn.IFS(B100="","",AND(AH100="K5-LAW",AG100="นิติศาสตร์",K100="S2",T100="",Z100=""),P100,AND(AH100="K5-LAW",AG100="นิติศาสตร์",K100="S1",T100="",Z100=""),EDATE(P100,12),AND(AH100="K5-LAW",AG100="นิติศาสตร์",OR(K100="M2",K100="K4"),T100="",Z100=""),EDATE(P100,12*2),AND(AH100="K5-LAW",AG100="นิติศาสตร์",OR(Z100="M2",Z100="K4"),AC100&gt;=2,OR(AB100&lt;V100,AB100&lt;P100)),EDATE(AB100,12*2),AND(AH100="K5-LAW",AG100="นิติศาสตร์",Z100="S1",AC100&gt;=1,OR(AB100&lt;V100,AB100&lt;P100)),EDATE(AB100,12),AND(AH100="K5-LAW",AG100="นิติศาสตร์",OR(T100="M2",T100="K4"),W100&gt;=2,V100&lt;P100),EDATE(V100,12*2),AND(AH100="K5-LAW",AG100="นิติศาสตร์",T100="S1",W100&gt;=1,V100&lt;P100),EDATE(V100,12),AND(AH100="K5-LAW",AG100="นิติศาสตร์",OR(T100="S2",T100="K5")),V100,AND(AH100="K5-LAW",AG100="นิติศาสตร์",OR(K100="M2",K100="K4"),Q100&gt;=2),EDATE(P100,12*2),AND(AH100="K5-LAW",AG100="นิติศาสตร์",K100="S1",Q100&gt;=1),EDATE(P100,12),AND(AH100="K5-LAW",AG100="นิติศาสตร์",OR(K100="S2",K100="K5")),P100,AND(AH100="K5-POLICY",AG100&lt;&gt;"นิติศาสตร์",K100="S2",T100="",Z100=""),P100,AND(AH100="K5-POLICY",AG100&lt;&gt;"นิติศาสตร์",K100="S1",T100="",Z100=""),EDATE(P100,12),AND(AH100="K5-POLICY",AG100&lt;&gt;"นิติศาสตร์",OR(K100="M2",K100="K4"),T100="",Z100=""),EDATE(P100,12*2),AND(AH100="K5-POLICY",AG100&lt;&gt;"นิติศาสตร์",OR(Z100="M2",Z100="K4"),AC100&gt;=2,OR(AB100&lt;V100,AB100&lt;P100)),EDATE(AB100,12*2),AND(AH100="K5-POLICY",AG100&lt;&gt;"นิติศาสตร์",Z100="S1",AC100&gt;=1,OR(AB100&lt;V100,AB100&lt;P100)),EDATE(AB100,12),AND(AH100="K5-POLICY",AG100&lt;&gt;"นิติศาสตร์",OR(T100="M2",T100="K4"),W100&gt;=2,V100&lt;P100),EDATE(V100,12*2),AND(AH100="K5-POLICY",AG100&lt;&gt;"นิติศาสตร์",T100="S1",W100&gt;=1,V100&lt;P100),EDATE(V100,12),AND(AH100="K5-POLICY",AG100&lt;&gt;"นิติศาสตร์",OR(T100="S2",T100="K5")),V100,AND(AH100="K5-POLICY",AG100&lt;&gt;"นิติศาสตร์",OR(K100="M2",K100="K4"),Q100&gt;=2),EDATE(P100,12*2),AND(AH100="K5-POLICY",AG100&lt;&gt;"นิติศาสตร์",K100="S1",Q100&gt;=1),EDATE(P100,12),AND(AH100="K5-POLICY",AG100&lt;&gt;"นิติศาสตร์",OR(K100="S2",K100="K5")),P100,TRUE,"Check Data")</f>
        <v/>
      </c>
      <c r="AJ100" s="75" t="str">
        <f t="shared" si="65"/>
        <v>Check Data</v>
      </c>
      <c r="AK100" s="76" t="str">
        <f t="shared" si="71"/>
        <v>Check Data</v>
      </c>
      <c r="AL100" s="50" t="str">
        <f t="shared" si="66"/>
        <v>Check Data</v>
      </c>
      <c r="AM100" s="49" t="str">
        <f>IF(B100="","",IF(K100="S1","S1",INDEX(#REF!,#REF!)))</f>
        <v/>
      </c>
      <c r="AN100" s="49" t="str">
        <f t="shared" si="67"/>
        <v>K4</v>
      </c>
      <c r="AO100" s="50" t="b">
        <f>K100=AM100</f>
        <v>0</v>
      </c>
    </row>
    <row r="101" spans="1:41" ht="21.75">
      <c r="A101" s="49">
        <v>99</v>
      </c>
      <c r="B101" s="129"/>
      <c r="C101" s="50"/>
      <c r="D101" s="50" t="s">
        <v>144</v>
      </c>
      <c r="E101" s="49" t="s">
        <v>326</v>
      </c>
      <c r="F101" s="49" t="str">
        <f t="shared" si="72"/>
        <v>27/02/1984</v>
      </c>
      <c r="G101" s="50">
        <f t="shared" si="68"/>
        <v>41</v>
      </c>
      <c r="H101" s="50">
        <f t="shared" si="69"/>
        <v>3</v>
      </c>
      <c r="I101" s="50">
        <f t="shared" si="70"/>
        <v>24</v>
      </c>
      <c r="J101" s="50"/>
      <c r="K101" s="49" t="s">
        <v>137</v>
      </c>
      <c r="L101" s="64"/>
      <c r="M101" s="49"/>
      <c r="N101" s="49"/>
      <c r="O101" s="65" t="s">
        <v>416</v>
      </c>
      <c r="P101" s="49" t="str">
        <f t="shared" si="59"/>
        <v>27/02/2020</v>
      </c>
      <c r="Q101" s="68">
        <f>IF(P101="",0,DATEDIF(P101,$C$1,"Y"))</f>
        <v>5</v>
      </c>
      <c r="R101" s="68">
        <f>IF(P101="",0,DATEDIF(P101,$C$1,"YM"))</f>
        <v>3</v>
      </c>
      <c r="S101" s="68">
        <f>IF(P101="",0,DATEDIF(P101,$C$1,"MD"))</f>
        <v>24</v>
      </c>
      <c r="T101" s="65"/>
      <c r="U101" s="65"/>
      <c r="V101" s="49" t="str">
        <f t="shared" si="60"/>
        <v/>
      </c>
      <c r="W101" s="68">
        <f>IF(V101="",0,DATEDIF(V101,P101,"Y"))</f>
        <v>0</v>
      </c>
      <c r="X101" s="68">
        <f>IF(V101="",0,DATEDIF(V101,P101,"YM"))</f>
        <v>0</v>
      </c>
      <c r="Y101" s="68">
        <f>IF(V101="",0,DATEDIF(V101,P101,"MD"))</f>
        <v>0</v>
      </c>
      <c r="Z101" s="49"/>
      <c r="AA101" s="65"/>
      <c r="AB101" s="50" t="str">
        <f t="shared" si="61"/>
        <v/>
      </c>
      <c r="AC101" s="68">
        <f t="shared" si="62"/>
        <v>0</v>
      </c>
      <c r="AD101" s="68">
        <f t="shared" si="63"/>
        <v>0</v>
      </c>
      <c r="AE101" s="68">
        <f t="shared" si="64"/>
        <v>0</v>
      </c>
      <c r="AF101" s="50"/>
      <c r="AG101" s="50" t="s">
        <v>138</v>
      </c>
      <c r="AH101" s="49" t="str">
        <f>IF(AG101="นิติศาสตร์","K5-LAW","K5-POLICY")</f>
        <v>K5-LAW</v>
      </c>
      <c r="AI101" s="72" t="str">
        <f>_xlfn.IFS(B101="","",AND(AH101="K5-LAW",AG101="นิติศาสตร์",K101="S2",T101="",Z101=""),P101,AND(AH101="K5-LAW",AG101="นิติศาสตร์",K101="S1",T101="",Z101=""),EDATE(P101,12),AND(AH101="K5-LAW",AG101="นิติศาสตร์",OR(K101="M2",K101="K4"),T101="",Z101=""),EDATE(P101,12*2),AND(AH101="K5-LAW",AG101="นิติศาสตร์",OR(Z101="M2",Z101="K4"),AC101&gt;=2,OR(AB101&lt;V101,AB101&lt;P101)),EDATE(AB101,12*2),AND(AH101="K5-LAW",AG101="นิติศาสตร์",Z101="S1",AC101&gt;=1,OR(AB101&lt;V101,AB101&lt;P101)),EDATE(AB101,12),AND(AH101="K5-LAW",AG101="นิติศาสตร์",OR(T101="M2",T101="K4"),W101&gt;=2,V101&lt;P101),EDATE(V101,12*2),AND(AH101="K5-LAW",AG101="นิติศาสตร์",T101="S1",W101&gt;=1,V101&lt;P101),EDATE(V101,12),AND(AH101="K5-LAW",AG101="นิติศาสตร์",OR(T101="S2",T101="K5")),V101,AND(AH101="K5-LAW",AG101="นิติศาสตร์",OR(K101="M2",K101="K4"),Q101&gt;=2),EDATE(P101,12*2),AND(AH101="K5-LAW",AG101="นิติศาสตร์",K101="S1",Q101&gt;=1),EDATE(P101,12),AND(AH101="K5-LAW",AG101="นิติศาสตร์",OR(K101="S2",K101="K5")),P101,AND(AH101="K5-POLICY",AG101&lt;&gt;"นิติศาสตร์",K101="S2",T101="",Z101=""),P101,AND(AH101="K5-POLICY",AG101&lt;&gt;"นิติศาสตร์",K101="S1",T101="",Z101=""),EDATE(P101,12),AND(AH101="K5-POLICY",AG101&lt;&gt;"นิติศาสตร์",OR(K101="M2",K101="K4"),T101="",Z101=""),EDATE(P101,12*2),AND(AH101="K5-POLICY",AG101&lt;&gt;"นิติศาสตร์",OR(Z101="M2",Z101="K4"),AC101&gt;=2,OR(AB101&lt;V101,AB101&lt;P101)),EDATE(AB101,12*2),AND(AH101="K5-POLICY",AG101&lt;&gt;"นิติศาสตร์",Z101="S1",AC101&gt;=1,OR(AB101&lt;V101,AB101&lt;P101)),EDATE(AB101,12),AND(AH101="K5-POLICY",AG101&lt;&gt;"นิติศาสตร์",OR(T101="M2",T101="K4"),W101&gt;=2,V101&lt;P101),EDATE(V101,12*2),AND(AH101="K5-POLICY",AG101&lt;&gt;"นิติศาสตร์",T101="S1",W101&gt;=1,V101&lt;P101),EDATE(V101,12),AND(AH101="K5-POLICY",AG101&lt;&gt;"นิติศาสตร์",OR(T101="S2",T101="K5")),V101,AND(AH101="K5-POLICY",AG101&lt;&gt;"นิติศาสตร์",OR(K101="M2",K101="K4"),Q101&gt;=2),EDATE(P101,12*2),AND(AH101="K5-POLICY",AG101&lt;&gt;"นิติศาสตร์",K101="S1",Q101&gt;=1),EDATE(P101,12),AND(AH101="K5-POLICY",AG101&lt;&gt;"นิติศาสตร์",OR(K101="S2",K101="K5")),P101,TRUE,"Check Data")</f>
        <v/>
      </c>
      <c r="AJ101" s="75" t="str">
        <f t="shared" si="65"/>
        <v>Check Data</v>
      </c>
      <c r="AK101" s="76" t="str">
        <f t="shared" si="71"/>
        <v>Check Data</v>
      </c>
      <c r="AL101" s="50" t="str">
        <f t="shared" si="66"/>
        <v>Check Data</v>
      </c>
      <c r="AM101" s="49" t="str">
        <f>IF(B101="","",IF(K101="S1","S1",INDEX(#REF!,#REF!)))</f>
        <v/>
      </c>
      <c r="AN101" s="49" t="str">
        <f t="shared" si="67"/>
        <v>K4</v>
      </c>
      <c r="AO101" s="50" t="b">
        <f>K101=AM101</f>
        <v>0</v>
      </c>
    </row>
    <row r="102" spans="1:41" ht="21.75">
      <c r="A102" s="49">
        <v>100</v>
      </c>
      <c r="B102" s="50"/>
      <c r="C102" s="50"/>
      <c r="D102" s="50" t="s">
        <v>141</v>
      </c>
      <c r="E102" s="49" t="s">
        <v>268</v>
      </c>
      <c r="F102" s="49" t="str">
        <f t="shared" si="72"/>
        <v>21/12/1987</v>
      </c>
      <c r="G102" s="50">
        <f t="shared" si="68"/>
        <v>37</v>
      </c>
      <c r="H102" s="50">
        <f t="shared" si="69"/>
        <v>5</v>
      </c>
      <c r="I102" s="50">
        <f t="shared" si="70"/>
        <v>30</v>
      </c>
      <c r="J102" s="50"/>
      <c r="K102" s="49" t="s">
        <v>137</v>
      </c>
      <c r="L102" s="64"/>
      <c r="M102" s="49"/>
      <c r="N102" s="49"/>
      <c r="O102" s="65" t="s">
        <v>403</v>
      </c>
      <c r="P102" s="49" t="str">
        <f t="shared" si="59"/>
        <v>27/09/2021</v>
      </c>
      <c r="Q102" s="68">
        <f>IF(P102="",0,DATEDIF(P102,$C$1,"Y"))</f>
        <v>3</v>
      </c>
      <c r="R102" s="68">
        <f>IF(P102="",0,DATEDIF(P102,$C$1,"YM"))</f>
        <v>8</v>
      </c>
      <c r="S102" s="68">
        <f>IF(P102="",0,DATEDIF(P102,$C$1,"MD"))</f>
        <v>24</v>
      </c>
      <c r="T102" s="65"/>
      <c r="U102" s="65"/>
      <c r="V102" s="49" t="str">
        <f t="shared" si="60"/>
        <v/>
      </c>
      <c r="W102" s="68">
        <f>IF(V102="",0,DATEDIF(V102,P102,"Y"))</f>
        <v>0</v>
      </c>
      <c r="X102" s="68">
        <f>IF(V102="",0,DATEDIF(V102,P102,"YM"))</f>
        <v>0</v>
      </c>
      <c r="Y102" s="68">
        <f>IF(V102="",0,DATEDIF(V102,P102,"MD"))</f>
        <v>0</v>
      </c>
      <c r="Z102" s="49"/>
      <c r="AA102" s="65"/>
      <c r="AB102" s="50" t="str">
        <f t="shared" si="61"/>
        <v/>
      </c>
      <c r="AC102" s="68">
        <f t="shared" si="62"/>
        <v>0</v>
      </c>
      <c r="AD102" s="68">
        <f t="shared" si="63"/>
        <v>0</v>
      </c>
      <c r="AE102" s="68">
        <f t="shared" si="64"/>
        <v>0</v>
      </c>
      <c r="AF102" s="50"/>
      <c r="AG102" s="50" t="s">
        <v>138</v>
      </c>
      <c r="AH102" s="49" t="str">
        <f>IF(AG102="นิติศาสตร์","K5-LAW","K5-POLICY")</f>
        <v>K5-LAW</v>
      </c>
      <c r="AI102" s="72" t="str">
        <f>_xlfn.IFS(B102="","",AND(AH102="K5-LAW",AG102="นิติศาสตร์",K102="S2",T102="",Z102=""),P102,AND(AH102="K5-LAW",AG102="นิติศาสตร์",K102="S1",T102="",Z102=""),EDATE(P102,12),AND(AH102="K5-LAW",AG102="นิติศาสตร์",OR(K102="M2",K102="K4"),T102="",Z102=""),EDATE(P102,12*2),AND(AH102="K5-LAW",AG102="นิติศาสตร์",OR(Z102="M2",Z102="K4"),AC102&gt;=2,OR(AB102&lt;V102,AB102&lt;P102)),EDATE(AB102,12*2),AND(AH102="K5-LAW",AG102="นิติศาสตร์",Z102="S1",AC102&gt;=1,OR(AB102&lt;V102,AB102&lt;P102)),EDATE(AB102,12),AND(AH102="K5-LAW",AG102="นิติศาสตร์",OR(T102="M2",T102="K4"),W102&gt;=2,V102&lt;P102),EDATE(V102,12*2),AND(AH102="K5-LAW",AG102="นิติศาสตร์",T102="S1",W102&gt;=1,V102&lt;P102),EDATE(V102,12),AND(AH102="K5-LAW",AG102="นิติศาสตร์",OR(T102="S2",T102="K5")),V102,AND(AH102="K5-LAW",AG102="นิติศาสตร์",OR(K102="M2",K102="K4"),Q102&gt;=2),EDATE(P102,12*2),AND(AH102="K5-LAW",AG102="นิติศาสตร์",K102="S1",Q102&gt;=1),EDATE(P102,12),AND(AH102="K5-LAW",AG102="นิติศาสตร์",OR(K102="S2",K102="K5")),P102,AND(AH102="K5-POLICY",AG102&lt;&gt;"นิติศาสตร์",K102="S2",T102="",Z102=""),P102,AND(AH102="K5-POLICY",AG102&lt;&gt;"นิติศาสตร์",K102="S1",T102="",Z102=""),EDATE(P102,12),AND(AH102="K5-POLICY",AG102&lt;&gt;"นิติศาสตร์",OR(K102="M2",K102="K4"),T102="",Z102=""),EDATE(P102,12*2),AND(AH102="K5-POLICY",AG102&lt;&gt;"นิติศาสตร์",OR(Z102="M2",Z102="K4"),AC102&gt;=2,OR(AB102&lt;V102,AB102&lt;P102)),EDATE(AB102,12*2),AND(AH102="K5-POLICY",AG102&lt;&gt;"นิติศาสตร์",Z102="S1",AC102&gt;=1,OR(AB102&lt;V102,AB102&lt;P102)),EDATE(AB102,12),AND(AH102="K5-POLICY",AG102&lt;&gt;"นิติศาสตร์",OR(T102="M2",T102="K4"),W102&gt;=2,V102&lt;P102),EDATE(V102,12*2),AND(AH102="K5-POLICY",AG102&lt;&gt;"นิติศาสตร์",T102="S1",W102&gt;=1,V102&lt;P102),EDATE(V102,12),AND(AH102="K5-POLICY",AG102&lt;&gt;"นิติศาสตร์",OR(T102="S2",T102="K5")),V102,AND(AH102="K5-POLICY",AG102&lt;&gt;"นิติศาสตร์",OR(K102="M2",K102="K4"),Q102&gt;=2),EDATE(P102,12*2),AND(AH102="K5-POLICY",AG102&lt;&gt;"นิติศาสตร์",K102="S1",Q102&gt;=1),EDATE(P102,12),AND(AH102="K5-POLICY",AG102&lt;&gt;"นิติศาสตร์",OR(K102="S2",K102="K5")),P102,TRUE,"Check Data")</f>
        <v/>
      </c>
      <c r="AJ102" s="75" t="str">
        <f t="shared" si="65"/>
        <v>Check Data</v>
      </c>
      <c r="AK102" s="76" t="str">
        <f t="shared" si="71"/>
        <v>Check Data</v>
      </c>
      <c r="AL102" s="50" t="str">
        <f t="shared" si="66"/>
        <v>Check Data</v>
      </c>
      <c r="AM102" s="49" t="str">
        <f>IF(B102="","",IF(K102="S1","S1",INDEX(#REF!,#REF!)))</f>
        <v/>
      </c>
      <c r="AN102" s="49" t="str">
        <f t="shared" si="67"/>
        <v>K4</v>
      </c>
      <c r="AO102" s="50" t="b">
        <f>K102=AM102</f>
        <v>0</v>
      </c>
    </row>
    <row r="103" spans="1:41" ht="21.75">
      <c r="A103" s="49">
        <v>101</v>
      </c>
      <c r="B103" s="50"/>
      <c r="C103" s="50"/>
      <c r="D103" s="50" t="s">
        <v>144</v>
      </c>
      <c r="E103" s="49" t="s">
        <v>362</v>
      </c>
      <c r="F103" s="49" t="str">
        <f t="shared" si="72"/>
        <v>30/01/1987</v>
      </c>
      <c r="G103" s="50">
        <f t="shared" si="68"/>
        <v>38</v>
      </c>
      <c r="H103" s="50">
        <f t="shared" si="69"/>
        <v>4</v>
      </c>
      <c r="I103" s="50">
        <f t="shared" si="70"/>
        <v>21</v>
      </c>
      <c r="J103" s="50"/>
      <c r="K103" s="49" t="s">
        <v>137</v>
      </c>
      <c r="L103" s="64"/>
      <c r="M103" s="49"/>
      <c r="N103" s="49"/>
      <c r="O103" s="65" t="s">
        <v>466</v>
      </c>
      <c r="P103" s="49" t="str">
        <f t="shared" si="59"/>
        <v>05/11/2021</v>
      </c>
      <c r="Q103" s="68">
        <f>IF(P103="",0,DATEDIF(P103,$C$1,"Y"))</f>
        <v>3</v>
      </c>
      <c r="R103" s="68">
        <f>IF(P103="",0,DATEDIF(P103,$C$1,"YM"))</f>
        <v>7</v>
      </c>
      <c r="S103" s="68">
        <f>IF(P103="",0,DATEDIF(P103,$C$1,"MD"))</f>
        <v>15</v>
      </c>
      <c r="T103" s="65"/>
      <c r="U103" s="65"/>
      <c r="V103" s="49" t="str">
        <f t="shared" si="60"/>
        <v/>
      </c>
      <c r="W103" s="68">
        <f>IF(V103="",0,DATEDIF(V103,P103,"Y"))</f>
        <v>0</v>
      </c>
      <c r="X103" s="68">
        <f>IF(V103="",0,DATEDIF(V103,P103,"YM"))</f>
        <v>0</v>
      </c>
      <c r="Y103" s="68">
        <f>IF(V103="",0,DATEDIF(V103,P103,"MD"))</f>
        <v>0</v>
      </c>
      <c r="Z103" s="49"/>
      <c r="AA103" s="65"/>
      <c r="AB103" s="50" t="str">
        <f t="shared" si="61"/>
        <v/>
      </c>
      <c r="AC103" s="68">
        <f t="shared" si="62"/>
        <v>0</v>
      </c>
      <c r="AD103" s="68">
        <f t="shared" si="63"/>
        <v>0</v>
      </c>
      <c r="AE103" s="68">
        <f t="shared" si="64"/>
        <v>0</v>
      </c>
      <c r="AF103" s="50"/>
      <c r="AG103" s="50" t="s">
        <v>138</v>
      </c>
      <c r="AH103" s="49" t="str">
        <f>IF(AG103="นิติศาสตร์","K5-LAW","K5-POLICY")</f>
        <v>K5-LAW</v>
      </c>
      <c r="AI103" s="72" t="str">
        <f>_xlfn.IFS(B103="","",AND(AH103="K5-LAW",AG103="นิติศาสตร์",K103="S2",T103="",Z103=""),P103,AND(AH103="K5-LAW",AG103="นิติศาสตร์",K103="S1",T103="",Z103=""),EDATE(P103,12),AND(AH103="K5-LAW",AG103="นิติศาสตร์",OR(K103="M2",K103="K4"),T103="",Z103=""),EDATE(P103,12*2),AND(AH103="K5-LAW",AG103="นิติศาสตร์",OR(Z103="M2",Z103="K4"),AC103&gt;=2,OR(AB103&lt;V103,AB103&lt;P103)),EDATE(AB103,12*2),AND(AH103="K5-LAW",AG103="นิติศาสตร์",Z103="S1",AC103&gt;=1,OR(AB103&lt;V103,AB103&lt;P103)),EDATE(AB103,12),AND(AH103="K5-LAW",AG103="นิติศาสตร์",OR(T103="M2",T103="K4"),W103&gt;=2,V103&lt;P103),EDATE(V103,12*2),AND(AH103="K5-LAW",AG103="นิติศาสตร์",T103="S1",W103&gt;=1,V103&lt;P103),EDATE(V103,12),AND(AH103="K5-LAW",AG103="นิติศาสตร์",OR(T103="S2",T103="K5")),V103,AND(AH103="K5-LAW",AG103="นิติศาสตร์",OR(K103="M2",K103="K4"),Q103&gt;=2),EDATE(P103,12*2),AND(AH103="K5-LAW",AG103="นิติศาสตร์",K103="S1",Q103&gt;=1),EDATE(P103,12),AND(AH103="K5-LAW",AG103="นิติศาสตร์",OR(K103="S2",K103="K5")),P103,AND(AH103="K5-POLICY",AG103&lt;&gt;"นิติศาสตร์",K103="S2",T103="",Z103=""),P103,AND(AH103="K5-POLICY",AG103&lt;&gt;"นิติศาสตร์",K103="S1",T103="",Z103=""),EDATE(P103,12),AND(AH103="K5-POLICY",AG103&lt;&gt;"นิติศาสตร์",OR(K103="M2",K103="K4"),T103="",Z103=""),EDATE(P103,12*2),AND(AH103="K5-POLICY",AG103&lt;&gt;"นิติศาสตร์",OR(Z103="M2",Z103="K4"),AC103&gt;=2,OR(AB103&lt;V103,AB103&lt;P103)),EDATE(AB103,12*2),AND(AH103="K5-POLICY",AG103&lt;&gt;"นิติศาสตร์",Z103="S1",AC103&gt;=1,OR(AB103&lt;V103,AB103&lt;P103)),EDATE(AB103,12),AND(AH103="K5-POLICY",AG103&lt;&gt;"นิติศาสตร์",OR(T103="M2",T103="K4"),W103&gt;=2,V103&lt;P103),EDATE(V103,12*2),AND(AH103="K5-POLICY",AG103&lt;&gt;"นิติศาสตร์",T103="S1",W103&gt;=1,V103&lt;P103),EDATE(V103,12),AND(AH103="K5-POLICY",AG103&lt;&gt;"นิติศาสตร์",OR(T103="S2",T103="K5")),V103,AND(AH103="K5-POLICY",AG103&lt;&gt;"นิติศาสตร์",OR(K103="M2",K103="K4"),Q103&gt;=2),EDATE(P103,12*2),AND(AH103="K5-POLICY",AG103&lt;&gt;"นิติศาสตร์",K103="S1",Q103&gt;=1),EDATE(P103,12),AND(AH103="K5-POLICY",AG103&lt;&gt;"นิติศาสตร์",OR(K103="S2",K103="K5")),P103,TRUE,"Check Data")</f>
        <v/>
      </c>
      <c r="AJ103" s="75" t="str">
        <f t="shared" si="65"/>
        <v>Check Data</v>
      </c>
      <c r="AK103" s="76" t="str">
        <f t="shared" si="71"/>
        <v>Check Data</v>
      </c>
      <c r="AL103" s="50" t="str">
        <f t="shared" si="66"/>
        <v>Check Data</v>
      </c>
      <c r="AM103" s="49" t="str">
        <f>IF(B103="","",IF(K103="S1","S1",INDEX(#REF!,#REF!)))</f>
        <v/>
      </c>
      <c r="AN103" s="49" t="str">
        <f t="shared" si="67"/>
        <v>K4</v>
      </c>
      <c r="AO103" s="50" t="b">
        <f>K103=AM103</f>
        <v>0</v>
      </c>
    </row>
    <row r="104" spans="1:41" ht="21.75">
      <c r="A104" s="49">
        <v>102</v>
      </c>
      <c r="B104" s="50"/>
      <c r="C104" s="50"/>
      <c r="D104" s="50" t="s">
        <v>142</v>
      </c>
      <c r="E104" s="49" t="s">
        <v>210</v>
      </c>
      <c r="F104" s="49" t="str">
        <f t="shared" si="72"/>
        <v>27/01/1986</v>
      </c>
      <c r="G104" s="50">
        <f t="shared" si="68"/>
        <v>39</v>
      </c>
      <c r="H104" s="50">
        <f t="shared" si="69"/>
        <v>4</v>
      </c>
      <c r="I104" s="50">
        <f t="shared" si="70"/>
        <v>24</v>
      </c>
      <c r="J104" s="50"/>
      <c r="K104" s="49" t="s">
        <v>137</v>
      </c>
      <c r="L104" s="64"/>
      <c r="M104" s="49"/>
      <c r="N104" s="49"/>
      <c r="O104" s="65" t="s">
        <v>405</v>
      </c>
      <c r="P104" s="49" t="str">
        <f t="shared" si="59"/>
        <v>18/01/2022</v>
      </c>
      <c r="Q104" s="68">
        <f>IF(P104="",0,DATEDIF(P104,$C$1,"Y"))</f>
        <v>3</v>
      </c>
      <c r="R104" s="68">
        <f>IF(P104="",0,DATEDIF(P104,$C$1,"YM"))</f>
        <v>5</v>
      </c>
      <c r="S104" s="68">
        <f>IF(P104="",0,DATEDIF(P104,$C$1,"MD"))</f>
        <v>2</v>
      </c>
      <c r="T104" s="65"/>
      <c r="U104" s="65"/>
      <c r="V104" s="49" t="str">
        <f t="shared" si="60"/>
        <v/>
      </c>
      <c r="W104" s="68">
        <f>IF(V104="",0,DATEDIF(V104,P104,"Y"))</f>
        <v>0</v>
      </c>
      <c r="X104" s="68">
        <f>IF(V104="",0,DATEDIF(V104,P104,"YM"))</f>
        <v>0</v>
      </c>
      <c r="Y104" s="68">
        <f>IF(V104="",0,DATEDIF(V104,P104,"MD"))</f>
        <v>0</v>
      </c>
      <c r="Z104" s="49"/>
      <c r="AA104" s="65"/>
      <c r="AB104" s="50" t="str">
        <f t="shared" si="61"/>
        <v/>
      </c>
      <c r="AC104" s="68">
        <f t="shared" si="62"/>
        <v>0</v>
      </c>
      <c r="AD104" s="68">
        <f t="shared" si="63"/>
        <v>0</v>
      </c>
      <c r="AE104" s="68">
        <f t="shared" si="64"/>
        <v>0</v>
      </c>
      <c r="AF104" s="50"/>
      <c r="AG104" s="50" t="s">
        <v>138</v>
      </c>
      <c r="AH104" s="49" t="str">
        <f>IF(AG104="นิติศาสตร์","K5-LAW","K5-POLICY")</f>
        <v>K5-LAW</v>
      </c>
      <c r="AI104" s="72" t="str">
        <f>_xlfn.IFS(B104="","",AND(AH104="K5-LAW",AG104="นิติศาสตร์",K104="S2",T104="",Z104=""),P104,AND(AH104="K5-LAW",AG104="นิติศาสตร์",K104="S1",T104="",Z104=""),EDATE(P104,12),AND(AH104="K5-LAW",AG104="นิติศาสตร์",OR(K104="M2",K104="K4"),T104="",Z104=""),EDATE(P104,12*2),AND(AH104="K5-LAW",AG104="นิติศาสตร์",OR(Z104="M2",Z104="K4"),AC104&gt;=2,OR(AB104&lt;V104,AB104&lt;P104)),EDATE(AB104,12*2),AND(AH104="K5-LAW",AG104="นิติศาสตร์",Z104="S1",AC104&gt;=1,OR(AB104&lt;V104,AB104&lt;P104)),EDATE(AB104,12),AND(AH104="K5-LAW",AG104="นิติศาสตร์",OR(T104="M2",T104="K4"),W104&gt;=2,V104&lt;P104),EDATE(V104,12*2),AND(AH104="K5-LAW",AG104="นิติศาสตร์",T104="S1",W104&gt;=1,V104&lt;P104),EDATE(V104,12),AND(AH104="K5-LAW",AG104="นิติศาสตร์",OR(T104="S2",T104="K5")),V104,AND(AH104="K5-LAW",AG104="นิติศาสตร์",OR(K104="M2",K104="K4"),Q104&gt;=2),EDATE(P104,12*2),AND(AH104="K5-LAW",AG104="นิติศาสตร์",K104="S1",Q104&gt;=1),EDATE(P104,12),AND(AH104="K5-LAW",AG104="นิติศาสตร์",OR(K104="S2",K104="K5")),P104,AND(AH104="K5-POLICY",AG104&lt;&gt;"นิติศาสตร์",K104="S2",T104="",Z104=""),P104,AND(AH104="K5-POLICY",AG104&lt;&gt;"นิติศาสตร์",K104="S1",T104="",Z104=""),EDATE(P104,12),AND(AH104="K5-POLICY",AG104&lt;&gt;"นิติศาสตร์",OR(K104="M2",K104="K4"),T104="",Z104=""),EDATE(P104,12*2),AND(AH104="K5-POLICY",AG104&lt;&gt;"นิติศาสตร์",OR(Z104="M2",Z104="K4"),AC104&gt;=2,OR(AB104&lt;V104,AB104&lt;P104)),EDATE(AB104,12*2),AND(AH104="K5-POLICY",AG104&lt;&gt;"นิติศาสตร์",Z104="S1",AC104&gt;=1,OR(AB104&lt;V104,AB104&lt;P104)),EDATE(AB104,12),AND(AH104="K5-POLICY",AG104&lt;&gt;"นิติศาสตร์",OR(T104="M2",T104="K4"),W104&gt;=2,V104&lt;P104),EDATE(V104,12*2),AND(AH104="K5-POLICY",AG104&lt;&gt;"นิติศาสตร์",T104="S1",W104&gt;=1,V104&lt;P104),EDATE(V104,12),AND(AH104="K5-POLICY",AG104&lt;&gt;"นิติศาสตร์",OR(T104="S2",T104="K5")),V104,AND(AH104="K5-POLICY",AG104&lt;&gt;"นิติศาสตร์",OR(K104="M2",K104="K4"),Q104&gt;=2),EDATE(P104,12*2),AND(AH104="K5-POLICY",AG104&lt;&gt;"นิติศาสตร์",K104="S1",Q104&gt;=1),EDATE(P104,12),AND(AH104="K5-POLICY",AG104&lt;&gt;"นิติศาสตร์",OR(K104="S2",K104="K5")),P104,TRUE,"Check Data")</f>
        <v/>
      </c>
      <c r="AJ104" s="75" t="str">
        <f t="shared" si="65"/>
        <v>Check Data</v>
      </c>
      <c r="AK104" s="76" t="str">
        <f t="shared" si="71"/>
        <v>Check Data</v>
      </c>
      <c r="AL104" s="50" t="str">
        <f t="shared" si="66"/>
        <v>Check Data</v>
      </c>
      <c r="AM104" s="49" t="str">
        <f>IF(B104="","",IF(K104="S1","S1",INDEX(#REF!,#REF!)))</f>
        <v/>
      </c>
      <c r="AN104" s="49" t="str">
        <f t="shared" si="67"/>
        <v>K4</v>
      </c>
      <c r="AO104" s="50" t="b">
        <f>K104=AM104</f>
        <v>0</v>
      </c>
    </row>
    <row r="105" spans="1:41" ht="21.75">
      <c r="A105" s="49">
        <v>103</v>
      </c>
      <c r="B105" s="50"/>
      <c r="C105" s="50"/>
      <c r="D105" s="50" t="s">
        <v>143</v>
      </c>
      <c r="E105" s="49" t="s">
        <v>208</v>
      </c>
      <c r="F105" s="49" t="str">
        <f t="shared" si="72"/>
        <v>01/02/1990</v>
      </c>
      <c r="G105" s="50">
        <f t="shared" si="68"/>
        <v>35</v>
      </c>
      <c r="H105" s="50">
        <f t="shared" si="69"/>
        <v>4</v>
      </c>
      <c r="I105" s="50">
        <f t="shared" si="70"/>
        <v>19</v>
      </c>
      <c r="J105" s="50"/>
      <c r="K105" s="49" t="s">
        <v>137</v>
      </c>
      <c r="L105" s="64"/>
      <c r="M105" s="49"/>
      <c r="N105" s="49"/>
      <c r="O105" s="65" t="s">
        <v>406</v>
      </c>
      <c r="P105" s="49" t="str">
        <f t="shared" si="59"/>
        <v>19/05/2022</v>
      </c>
      <c r="Q105" s="68">
        <f>IF(P105="",0,DATEDIF(P105,$C$1,"Y"))</f>
        <v>3</v>
      </c>
      <c r="R105" s="68">
        <f>IF(P105="",0,DATEDIF(P105,$C$1,"YM"))</f>
        <v>1</v>
      </c>
      <c r="S105" s="68">
        <f>IF(P105="",0,DATEDIF(P105,$C$1,"MD"))</f>
        <v>1</v>
      </c>
      <c r="T105" s="65"/>
      <c r="U105" s="65"/>
      <c r="V105" s="49" t="str">
        <f t="shared" si="60"/>
        <v/>
      </c>
      <c r="W105" s="68">
        <f>IF(V105="",0,DATEDIF(V105,P105,"Y"))</f>
        <v>0</v>
      </c>
      <c r="X105" s="68">
        <f>IF(V105="",0,DATEDIF(V105,P105,"YM"))</f>
        <v>0</v>
      </c>
      <c r="Y105" s="68">
        <f>IF(V105="",0,DATEDIF(V105,P105,"MD"))</f>
        <v>0</v>
      </c>
      <c r="Z105" s="49"/>
      <c r="AA105" s="65"/>
      <c r="AB105" s="50" t="str">
        <f t="shared" si="61"/>
        <v/>
      </c>
      <c r="AC105" s="68">
        <f t="shared" si="62"/>
        <v>0</v>
      </c>
      <c r="AD105" s="68">
        <f t="shared" si="63"/>
        <v>0</v>
      </c>
      <c r="AE105" s="68">
        <f t="shared" si="64"/>
        <v>0</v>
      </c>
      <c r="AF105" s="50"/>
      <c r="AG105" s="50" t="s">
        <v>138</v>
      </c>
      <c r="AH105" s="49" t="str">
        <f>IF(AG105="นิติศาสตร์","K5-LAW","K5-POLICY")</f>
        <v>K5-LAW</v>
      </c>
      <c r="AI105" s="72" t="str">
        <f>_xlfn.IFS(B105="","",AND(AH105="K5-LAW",AG105="นิติศาสตร์",K105="S2",T105="",Z105=""),P105,AND(AH105="K5-LAW",AG105="นิติศาสตร์",K105="S1",T105="",Z105=""),EDATE(P105,12),AND(AH105="K5-LAW",AG105="นิติศาสตร์",OR(K105="M2",K105="K4"),T105="",Z105=""),EDATE(P105,12*2),AND(AH105="K5-LAW",AG105="นิติศาสตร์",OR(Z105="M2",Z105="K4"),AC105&gt;=2,OR(AB105&lt;V105,AB105&lt;P105)),EDATE(AB105,12*2),AND(AH105="K5-LAW",AG105="นิติศาสตร์",Z105="S1",AC105&gt;=1,OR(AB105&lt;V105,AB105&lt;P105)),EDATE(AB105,12),AND(AH105="K5-LAW",AG105="นิติศาสตร์",OR(T105="M2",T105="K4"),W105&gt;=2,V105&lt;P105),EDATE(V105,12*2),AND(AH105="K5-LAW",AG105="นิติศาสตร์",T105="S1",W105&gt;=1,V105&lt;P105),EDATE(V105,12),AND(AH105="K5-LAW",AG105="นิติศาสตร์",OR(T105="S2",T105="K5")),V105,AND(AH105="K5-LAW",AG105="นิติศาสตร์",OR(K105="M2",K105="K4"),Q105&gt;=2),EDATE(P105,12*2),AND(AH105="K5-LAW",AG105="นิติศาสตร์",K105="S1",Q105&gt;=1),EDATE(P105,12),AND(AH105="K5-LAW",AG105="นิติศาสตร์",OR(K105="S2",K105="K5")),P105,AND(AH105="K5-POLICY",AG105&lt;&gt;"นิติศาสตร์",K105="S2",T105="",Z105=""),P105,AND(AH105="K5-POLICY",AG105&lt;&gt;"นิติศาสตร์",K105="S1",T105="",Z105=""),EDATE(P105,12),AND(AH105="K5-POLICY",AG105&lt;&gt;"นิติศาสตร์",OR(K105="M2",K105="K4"),T105="",Z105=""),EDATE(P105,12*2),AND(AH105="K5-POLICY",AG105&lt;&gt;"นิติศาสตร์",OR(Z105="M2",Z105="K4"),AC105&gt;=2,OR(AB105&lt;V105,AB105&lt;P105)),EDATE(AB105,12*2),AND(AH105="K5-POLICY",AG105&lt;&gt;"นิติศาสตร์",Z105="S1",AC105&gt;=1,OR(AB105&lt;V105,AB105&lt;P105)),EDATE(AB105,12),AND(AH105="K5-POLICY",AG105&lt;&gt;"นิติศาสตร์",OR(T105="M2",T105="K4"),W105&gt;=2,V105&lt;P105),EDATE(V105,12*2),AND(AH105="K5-POLICY",AG105&lt;&gt;"นิติศาสตร์",T105="S1",W105&gt;=1,V105&lt;P105),EDATE(V105,12),AND(AH105="K5-POLICY",AG105&lt;&gt;"นิติศาสตร์",OR(T105="S2",T105="K5")),V105,AND(AH105="K5-POLICY",AG105&lt;&gt;"นิติศาสตร์",OR(K105="M2",K105="K4"),Q105&gt;=2),EDATE(P105,12*2),AND(AH105="K5-POLICY",AG105&lt;&gt;"นิติศาสตร์",K105="S1",Q105&gt;=1),EDATE(P105,12),AND(AH105="K5-POLICY",AG105&lt;&gt;"นิติศาสตร์",OR(K105="S2",K105="K5")),P105,TRUE,"Check Data")</f>
        <v/>
      </c>
      <c r="AJ105" s="75" t="str">
        <f t="shared" si="65"/>
        <v>Check Data</v>
      </c>
      <c r="AK105" s="76" t="str">
        <f t="shared" si="71"/>
        <v>Check Data</v>
      </c>
      <c r="AL105" s="50" t="str">
        <f t="shared" si="66"/>
        <v>Check Data</v>
      </c>
      <c r="AM105" s="49" t="str">
        <f>IF(B105="","",IF(K105="S1","S1",INDEX(#REF!,#REF!)))</f>
        <v/>
      </c>
      <c r="AN105" s="49" t="str">
        <f t="shared" si="67"/>
        <v>K4</v>
      </c>
      <c r="AO105" s="50" t="b">
        <f>K105=AM105</f>
        <v>0</v>
      </c>
    </row>
    <row r="106" spans="1:41" ht="21.75">
      <c r="A106" s="49">
        <v>104</v>
      </c>
      <c r="B106" s="50"/>
      <c r="C106" s="52"/>
      <c r="D106" s="50" t="s">
        <v>144</v>
      </c>
      <c r="E106" s="79"/>
      <c r="F106" s="79"/>
      <c r="G106" s="50">
        <f t="shared" si="68"/>
        <v>0</v>
      </c>
      <c r="H106" s="50">
        <f t="shared" si="69"/>
        <v>0</v>
      </c>
      <c r="I106" s="50">
        <f t="shared" si="70"/>
        <v>0</v>
      </c>
      <c r="J106" s="79"/>
      <c r="K106" s="49" t="s">
        <v>137</v>
      </c>
      <c r="L106" s="79"/>
      <c r="M106" s="79"/>
      <c r="N106" s="79"/>
      <c r="O106" s="65" t="s">
        <v>410</v>
      </c>
      <c r="P106" s="49" t="str">
        <f t="shared" si="59"/>
        <v>14/07/2023</v>
      </c>
      <c r="Q106" s="68">
        <f>IF(P106="",0,DATEDIF(P106,$C$1,"Y"))</f>
        <v>1</v>
      </c>
      <c r="R106" s="68">
        <f>IF(P106="",0,DATEDIF(P106,$C$1,"YM"))</f>
        <v>11</v>
      </c>
      <c r="S106" s="68">
        <f>IF(P106="",0,DATEDIF(P106,$C$1,"MD"))</f>
        <v>6</v>
      </c>
      <c r="T106" s="65"/>
      <c r="U106" s="83"/>
      <c r="V106" s="49" t="str">
        <f t="shared" si="60"/>
        <v/>
      </c>
      <c r="W106" s="68">
        <f>IF(V106="",0,DATEDIF(V106,P106,"Y"))</f>
        <v>0</v>
      </c>
      <c r="X106" s="68">
        <f>IF(V106="",0,DATEDIF(V106,P106,"YM"))</f>
        <v>0</v>
      </c>
      <c r="Y106" s="68">
        <f>IF(V106="",0,DATEDIF(V106,P106,"MD"))</f>
        <v>0</v>
      </c>
      <c r="Z106" s="79"/>
      <c r="AA106" s="79"/>
      <c r="AB106" s="50" t="str">
        <f t="shared" si="61"/>
        <v/>
      </c>
      <c r="AC106" s="68">
        <f t="shared" si="62"/>
        <v>0</v>
      </c>
      <c r="AD106" s="68">
        <f t="shared" si="63"/>
        <v>0</v>
      </c>
      <c r="AE106" s="68">
        <f t="shared" si="64"/>
        <v>0</v>
      </c>
      <c r="AF106" s="79"/>
      <c r="AG106" s="50" t="s">
        <v>138</v>
      </c>
      <c r="AH106" s="49" t="str">
        <f>IF(AG106="นิติศาสตร์","K5-LAW","K5-POLICY")</f>
        <v>K5-LAW</v>
      </c>
      <c r="AI106" s="72" t="str">
        <f>_xlfn.IFS(B106="","",AND(AH106="K5-LAW",AG106="นิติศาสตร์",K106="S2",T106="",Z106=""),P106,AND(AH106="K5-LAW",AG106="นิติศาสตร์",K106="S1",T106="",Z106=""),EDATE(P106,12),AND(AH106="K5-LAW",AG106="นิติศาสตร์",OR(K106="M2",K106="K4"),T106="",Z106=""),EDATE(P106,12*2),AND(AH106="K5-LAW",AG106="นิติศาสตร์",OR(Z106="M2",Z106="K4"),AC106&gt;=2,OR(AB106&lt;V106,AB106&lt;P106)),EDATE(AB106,12*2),AND(AH106="K5-LAW",AG106="นิติศาสตร์",Z106="S1",AC106&gt;=1,OR(AB106&lt;V106,AB106&lt;P106)),EDATE(AB106,12),AND(AH106="K5-LAW",AG106="นิติศาสตร์",OR(T106="M2",T106="K4"),W106&gt;=2,V106&lt;P106),EDATE(V106,12*2),AND(AH106="K5-LAW",AG106="นิติศาสตร์",T106="S1",W106&gt;=1,V106&lt;P106),EDATE(V106,12),AND(AH106="K5-LAW",AG106="นิติศาสตร์",OR(T106="S2",T106="K5")),V106,AND(AH106="K5-LAW",AG106="นิติศาสตร์",OR(K106="M2",K106="K4"),Q106&gt;=2),EDATE(P106,12*2),AND(AH106="K5-LAW",AG106="นิติศาสตร์",K106="S1",Q106&gt;=1),EDATE(P106,12),AND(AH106="K5-LAW",AG106="นิติศาสตร์",OR(K106="S2",K106="K5")),P106,AND(AH106="K5-POLICY",AG106&lt;&gt;"นิติศาสตร์",K106="S2",T106="",Z106=""),P106,AND(AH106="K5-POLICY",AG106&lt;&gt;"นิติศาสตร์",K106="S1",T106="",Z106=""),EDATE(P106,12),AND(AH106="K5-POLICY",AG106&lt;&gt;"นิติศาสตร์",OR(K106="M2",K106="K4"),T106="",Z106=""),EDATE(P106,12*2),AND(AH106="K5-POLICY",AG106&lt;&gt;"นิติศาสตร์",OR(Z106="M2",Z106="K4"),AC106&gt;=2,OR(AB106&lt;V106,AB106&lt;P106)),EDATE(AB106,12*2),AND(AH106="K5-POLICY",AG106&lt;&gt;"นิติศาสตร์",Z106="S1",AC106&gt;=1,OR(AB106&lt;V106,AB106&lt;P106)),EDATE(AB106,12),AND(AH106="K5-POLICY",AG106&lt;&gt;"นิติศาสตร์",OR(T106="M2",T106="K4"),W106&gt;=2,V106&lt;P106),EDATE(V106,12*2),AND(AH106="K5-POLICY",AG106&lt;&gt;"นิติศาสตร์",T106="S1",W106&gt;=1,V106&lt;P106),EDATE(V106,12),AND(AH106="K5-POLICY",AG106&lt;&gt;"นิติศาสตร์",OR(T106="S2",T106="K5")),V106,AND(AH106="K5-POLICY",AG106&lt;&gt;"นิติศาสตร์",OR(K106="M2",K106="K4"),Q106&gt;=2),EDATE(P106,12*2),AND(AH106="K5-POLICY",AG106&lt;&gt;"นิติศาสตร์",K106="S1",Q106&gt;=1),EDATE(P106,12),AND(AH106="K5-POLICY",AG106&lt;&gt;"นิติศาสตร์",OR(K106="S2",K106="K5")),P106,TRUE,"Check Data")</f>
        <v/>
      </c>
      <c r="AJ106" s="75" t="str">
        <f t="shared" si="65"/>
        <v>Check Data</v>
      </c>
      <c r="AK106" s="76" t="str">
        <f t="shared" si="71"/>
        <v>Check Data</v>
      </c>
      <c r="AL106" s="50" t="str">
        <f t="shared" si="66"/>
        <v>Check Data</v>
      </c>
      <c r="AM106" s="49" t="str">
        <f>IF(B106="","",IF(K106="S1","S1",INDEX(#REF!,#REF!)))</f>
        <v/>
      </c>
      <c r="AN106" s="49" t="str">
        <f t="shared" si="67"/>
        <v>K4</v>
      </c>
      <c r="AO106" s="50" t="b">
        <f>K106=AM106</f>
        <v>0</v>
      </c>
    </row>
    <row r="107" spans="1:41" ht="21.75">
      <c r="A107" s="49">
        <v>105</v>
      </c>
      <c r="B107" s="50"/>
      <c r="C107" s="52"/>
      <c r="D107" s="50" t="s">
        <v>143</v>
      </c>
      <c r="E107" s="79"/>
      <c r="F107" s="79"/>
      <c r="G107" s="50">
        <f t="shared" si="68"/>
        <v>0</v>
      </c>
      <c r="H107" s="50">
        <f t="shared" si="69"/>
        <v>0</v>
      </c>
      <c r="I107" s="50">
        <f t="shared" si="70"/>
        <v>0</v>
      </c>
      <c r="J107" s="79"/>
      <c r="K107" s="49" t="s">
        <v>137</v>
      </c>
      <c r="L107" s="79"/>
      <c r="M107" s="79"/>
      <c r="N107" s="79"/>
      <c r="O107" s="65" t="s">
        <v>446</v>
      </c>
      <c r="P107" s="49" t="str">
        <f t="shared" si="59"/>
        <v>20/07/2023</v>
      </c>
      <c r="Q107" s="68">
        <f>IF(P107="",0,DATEDIF(P107,$C$1,"Y"))</f>
        <v>1</v>
      </c>
      <c r="R107" s="68">
        <f>IF(P107="",0,DATEDIF(P107,$C$1,"YM"))</f>
        <v>11</v>
      </c>
      <c r="S107" s="68">
        <f>IF(P107="",0,DATEDIF(P107,$C$1,"MD"))</f>
        <v>0</v>
      </c>
      <c r="T107" s="65"/>
      <c r="U107" s="83"/>
      <c r="V107" s="49" t="str">
        <f t="shared" si="60"/>
        <v/>
      </c>
      <c r="W107" s="68">
        <f>IF(V107="",0,DATEDIF(V107,P107,"Y"))</f>
        <v>0</v>
      </c>
      <c r="X107" s="68">
        <f>IF(V107="",0,DATEDIF(V107,P107,"YM"))</f>
        <v>0</v>
      </c>
      <c r="Y107" s="68">
        <f>IF(V107="",0,DATEDIF(V107,P107,"MD"))</f>
        <v>0</v>
      </c>
      <c r="Z107" s="79"/>
      <c r="AA107" s="79"/>
      <c r="AB107" s="50" t="str">
        <f t="shared" si="61"/>
        <v/>
      </c>
      <c r="AC107" s="68">
        <f t="shared" si="62"/>
        <v>0</v>
      </c>
      <c r="AD107" s="68">
        <f t="shared" si="63"/>
        <v>0</v>
      </c>
      <c r="AE107" s="68">
        <f t="shared" si="64"/>
        <v>0</v>
      </c>
      <c r="AF107" s="79"/>
      <c r="AG107" s="50" t="s">
        <v>138</v>
      </c>
      <c r="AH107" s="49" t="str">
        <f>IF(AG107="นิติศาสตร์","K5-LAW","K5-POLICY")</f>
        <v>K5-LAW</v>
      </c>
      <c r="AI107" s="72" t="str">
        <f>_xlfn.IFS(B107="","",AND(AH107="K5-LAW",AG107="นิติศาสตร์",K107="S2",T107="",Z107=""),P107,AND(AH107="K5-LAW",AG107="นิติศาสตร์",K107="S1",T107="",Z107=""),EDATE(P107,12),AND(AH107="K5-LAW",AG107="นิติศาสตร์",OR(K107="M2",K107="K4"),T107="",Z107=""),EDATE(P107,12*2),AND(AH107="K5-LAW",AG107="นิติศาสตร์",OR(Z107="M2",Z107="K4"),AC107&gt;=2,OR(AB107&lt;V107,AB107&lt;P107)),EDATE(AB107,12*2),AND(AH107="K5-LAW",AG107="นิติศาสตร์",Z107="S1",AC107&gt;=1,OR(AB107&lt;V107,AB107&lt;P107)),EDATE(AB107,12),AND(AH107="K5-LAW",AG107="นิติศาสตร์",OR(T107="M2",T107="K4"),W107&gt;=2,V107&lt;P107),EDATE(V107,12*2),AND(AH107="K5-LAW",AG107="นิติศาสตร์",T107="S1",W107&gt;=1,V107&lt;P107),EDATE(V107,12),AND(AH107="K5-LAW",AG107="นิติศาสตร์",OR(T107="S2",T107="K5")),V107,AND(AH107="K5-LAW",AG107="นิติศาสตร์",OR(K107="M2",K107="K4"),Q107&gt;=2),EDATE(P107,12*2),AND(AH107="K5-LAW",AG107="นิติศาสตร์",K107="S1",Q107&gt;=1),EDATE(P107,12),AND(AH107="K5-LAW",AG107="นิติศาสตร์",OR(K107="S2",K107="K5")),P107,AND(AH107="K5-POLICY",AG107&lt;&gt;"นิติศาสตร์",K107="S2",T107="",Z107=""),P107,AND(AH107="K5-POLICY",AG107&lt;&gt;"นิติศาสตร์",K107="S1",T107="",Z107=""),EDATE(P107,12),AND(AH107="K5-POLICY",AG107&lt;&gt;"นิติศาสตร์",OR(K107="M2",K107="K4"),T107="",Z107=""),EDATE(P107,12*2),AND(AH107="K5-POLICY",AG107&lt;&gt;"นิติศาสตร์",OR(Z107="M2",Z107="K4"),AC107&gt;=2,OR(AB107&lt;V107,AB107&lt;P107)),EDATE(AB107,12*2),AND(AH107="K5-POLICY",AG107&lt;&gt;"นิติศาสตร์",Z107="S1",AC107&gt;=1,OR(AB107&lt;V107,AB107&lt;P107)),EDATE(AB107,12),AND(AH107="K5-POLICY",AG107&lt;&gt;"นิติศาสตร์",OR(T107="M2",T107="K4"),W107&gt;=2,V107&lt;P107),EDATE(V107,12*2),AND(AH107="K5-POLICY",AG107&lt;&gt;"นิติศาสตร์",T107="S1",W107&gt;=1,V107&lt;P107),EDATE(V107,12),AND(AH107="K5-POLICY",AG107&lt;&gt;"นิติศาสตร์",OR(T107="S2",T107="K5")),V107,AND(AH107="K5-POLICY",AG107&lt;&gt;"นิติศาสตร์",OR(K107="M2",K107="K4"),Q107&gt;=2),EDATE(P107,12*2),AND(AH107="K5-POLICY",AG107&lt;&gt;"นิติศาสตร์",K107="S1",Q107&gt;=1),EDATE(P107,12),AND(AH107="K5-POLICY",AG107&lt;&gt;"นิติศาสตร์",OR(K107="S2",K107="K5")),P107,TRUE,"Check Data")</f>
        <v/>
      </c>
      <c r="AJ107" s="75" t="str">
        <f t="shared" si="65"/>
        <v>Check Data</v>
      </c>
      <c r="AK107" s="76" t="str">
        <f t="shared" si="71"/>
        <v>Check Data</v>
      </c>
      <c r="AL107" s="50" t="str">
        <f t="shared" si="66"/>
        <v>Check Data</v>
      </c>
      <c r="AM107" s="49" t="str">
        <f>IF(B107="","",IF(K107="S1","S1",INDEX(#REF!,#REF!)))</f>
        <v/>
      </c>
      <c r="AN107" s="49" t="str">
        <f t="shared" si="67"/>
        <v>K4</v>
      </c>
      <c r="AO107" s="50" t="b">
        <f>K107=AM107</f>
        <v>0</v>
      </c>
    </row>
    <row r="108" spans="1:41" ht="21.75">
      <c r="A108" s="49">
        <v>106</v>
      </c>
      <c r="B108" s="50"/>
      <c r="C108" s="52"/>
      <c r="D108" s="50" t="s">
        <v>144</v>
      </c>
      <c r="E108" s="79"/>
      <c r="F108" s="79"/>
      <c r="G108" s="50">
        <f t="shared" si="68"/>
        <v>0</v>
      </c>
      <c r="H108" s="50">
        <f t="shared" si="69"/>
        <v>0</v>
      </c>
      <c r="I108" s="50">
        <f t="shared" si="70"/>
        <v>0</v>
      </c>
      <c r="J108" s="79"/>
      <c r="K108" s="49" t="s">
        <v>137</v>
      </c>
      <c r="L108" s="79"/>
      <c r="M108" s="79"/>
      <c r="N108" s="79"/>
      <c r="O108" s="65" t="s">
        <v>436</v>
      </c>
      <c r="P108" s="49" t="str">
        <f t="shared" si="59"/>
        <v>21/09/2023</v>
      </c>
      <c r="Q108" s="68">
        <f>IF(P108="",0,DATEDIF(P108,$C$1,"Y"))</f>
        <v>1</v>
      </c>
      <c r="R108" s="68">
        <f>IF(P108="",0,DATEDIF(P108,$C$1,"YM"))</f>
        <v>8</v>
      </c>
      <c r="S108" s="68">
        <f>IF(P108="",0,DATEDIF(P108,$C$1,"MD"))</f>
        <v>30</v>
      </c>
      <c r="T108" s="65"/>
      <c r="U108" s="83"/>
      <c r="V108" s="49" t="str">
        <f t="shared" si="60"/>
        <v/>
      </c>
      <c r="W108" s="68">
        <f>IF(V108="",0,DATEDIF(V108,P108,"Y"))</f>
        <v>0</v>
      </c>
      <c r="X108" s="68">
        <f>IF(V108="",0,DATEDIF(V108,P108,"YM"))</f>
        <v>0</v>
      </c>
      <c r="Y108" s="68">
        <f>IF(V108="",0,DATEDIF(V108,P108,"MD"))</f>
        <v>0</v>
      </c>
      <c r="Z108" s="79"/>
      <c r="AA108" s="79"/>
      <c r="AB108" s="50" t="str">
        <f t="shared" si="61"/>
        <v/>
      </c>
      <c r="AC108" s="68">
        <f t="shared" si="62"/>
        <v>0</v>
      </c>
      <c r="AD108" s="68">
        <f t="shared" si="63"/>
        <v>0</v>
      </c>
      <c r="AE108" s="68">
        <f t="shared" si="64"/>
        <v>0</v>
      </c>
      <c r="AF108" s="79"/>
      <c r="AG108" s="50" t="s">
        <v>138</v>
      </c>
      <c r="AH108" s="49" t="str">
        <f>IF(AG108="นิติศาสตร์","K5-LAW","K5-POLICY")</f>
        <v>K5-LAW</v>
      </c>
      <c r="AI108" s="72" t="str">
        <f>_xlfn.IFS(B108="","",AND(AH108="K5-LAW",AG108="นิติศาสตร์",K108="S2",T108="",Z108=""),P108,AND(AH108="K5-LAW",AG108="นิติศาสตร์",K108="S1",T108="",Z108=""),EDATE(P108,12),AND(AH108="K5-LAW",AG108="นิติศาสตร์",OR(K108="M2",K108="K4"),T108="",Z108=""),EDATE(P108,12*2),AND(AH108="K5-LAW",AG108="นิติศาสตร์",OR(Z108="M2",Z108="K4"),AC108&gt;=2,OR(AB108&lt;V108,AB108&lt;P108)),EDATE(AB108,12*2),AND(AH108="K5-LAW",AG108="นิติศาสตร์",Z108="S1",AC108&gt;=1,OR(AB108&lt;V108,AB108&lt;P108)),EDATE(AB108,12),AND(AH108="K5-LAW",AG108="นิติศาสตร์",OR(T108="M2",T108="K4"),W108&gt;=2,V108&lt;P108),EDATE(V108,12*2),AND(AH108="K5-LAW",AG108="นิติศาสตร์",T108="S1",W108&gt;=1,V108&lt;P108),EDATE(V108,12),AND(AH108="K5-LAW",AG108="นิติศาสตร์",OR(T108="S2",T108="K5")),V108,AND(AH108="K5-LAW",AG108="นิติศาสตร์",OR(K108="M2",K108="K4"),Q108&gt;=2),EDATE(P108,12*2),AND(AH108="K5-LAW",AG108="นิติศาสตร์",K108="S1",Q108&gt;=1),EDATE(P108,12),AND(AH108="K5-LAW",AG108="นิติศาสตร์",OR(K108="S2",K108="K5")),P108,AND(AH108="K5-POLICY",AG108&lt;&gt;"นิติศาสตร์",K108="S2",T108="",Z108=""),P108,AND(AH108="K5-POLICY",AG108&lt;&gt;"นิติศาสตร์",K108="S1",T108="",Z108=""),EDATE(P108,12),AND(AH108="K5-POLICY",AG108&lt;&gt;"นิติศาสตร์",OR(K108="M2",K108="K4"),T108="",Z108=""),EDATE(P108,12*2),AND(AH108="K5-POLICY",AG108&lt;&gt;"นิติศาสตร์",OR(Z108="M2",Z108="K4"),AC108&gt;=2,OR(AB108&lt;V108,AB108&lt;P108)),EDATE(AB108,12*2),AND(AH108="K5-POLICY",AG108&lt;&gt;"นิติศาสตร์",Z108="S1",AC108&gt;=1,OR(AB108&lt;V108,AB108&lt;P108)),EDATE(AB108,12),AND(AH108="K5-POLICY",AG108&lt;&gt;"นิติศาสตร์",OR(T108="M2",T108="K4"),W108&gt;=2,V108&lt;P108),EDATE(V108,12*2),AND(AH108="K5-POLICY",AG108&lt;&gt;"นิติศาสตร์",T108="S1",W108&gt;=1,V108&lt;P108),EDATE(V108,12),AND(AH108="K5-POLICY",AG108&lt;&gt;"นิติศาสตร์",OR(T108="S2",T108="K5")),V108,AND(AH108="K5-POLICY",AG108&lt;&gt;"นิติศาสตร์",OR(K108="M2",K108="K4"),Q108&gt;=2),EDATE(P108,12*2),AND(AH108="K5-POLICY",AG108&lt;&gt;"นิติศาสตร์",K108="S1",Q108&gt;=1),EDATE(P108,12),AND(AH108="K5-POLICY",AG108&lt;&gt;"นิติศาสตร์",OR(K108="S2",K108="K5")),P108,TRUE,"Check Data")</f>
        <v/>
      </c>
      <c r="AJ108" s="75" t="str">
        <f t="shared" si="65"/>
        <v>Check Data</v>
      </c>
      <c r="AK108" s="76" t="str">
        <f t="shared" si="71"/>
        <v>Check Data</v>
      </c>
      <c r="AL108" s="50" t="str">
        <f t="shared" si="66"/>
        <v>Check Data</v>
      </c>
      <c r="AM108" s="49" t="str">
        <f>IF(B108="","",IF(K108="S1","S1",INDEX(#REF!,#REF!)))</f>
        <v/>
      </c>
      <c r="AN108" s="49" t="str">
        <f t="shared" si="67"/>
        <v>K4</v>
      </c>
      <c r="AO108" s="50" t="b">
        <f>K108=AM108</f>
        <v>0</v>
      </c>
    </row>
    <row r="109" spans="1:41" ht="21.75">
      <c r="A109" s="49">
        <v>107</v>
      </c>
      <c r="B109" s="50"/>
      <c r="C109" s="52"/>
      <c r="D109" s="50" t="s">
        <v>141</v>
      </c>
      <c r="E109" s="49"/>
      <c r="F109" s="49"/>
      <c r="G109" s="50">
        <f t="shared" si="68"/>
        <v>0</v>
      </c>
      <c r="H109" s="50">
        <f t="shared" si="69"/>
        <v>0</v>
      </c>
      <c r="I109" s="50">
        <f t="shared" si="70"/>
        <v>0</v>
      </c>
      <c r="J109" s="50"/>
      <c r="K109" s="49" t="s">
        <v>137</v>
      </c>
      <c r="L109" s="64"/>
      <c r="M109" s="49"/>
      <c r="N109" s="49"/>
      <c r="O109" s="65" t="s">
        <v>448</v>
      </c>
      <c r="P109" s="49" t="str">
        <f t="shared" si="59"/>
        <v>17/07/2024</v>
      </c>
      <c r="Q109" s="68">
        <f>IF(P109="",0,DATEDIF(P109,$C$1,"Y"))</f>
        <v>0</v>
      </c>
      <c r="R109" s="68">
        <f>IF(P109="",0,DATEDIF(P109,$C$1,"YM"))</f>
        <v>11</v>
      </c>
      <c r="S109" s="68">
        <f>IF(P109="",0,DATEDIF(P109,$C$1,"MD"))</f>
        <v>3</v>
      </c>
      <c r="T109" s="65"/>
      <c r="U109" s="65"/>
      <c r="V109" s="49" t="str">
        <f t="shared" si="60"/>
        <v/>
      </c>
      <c r="W109" s="68">
        <f>IF(V109="",0,DATEDIF(V109,P109,"Y"))</f>
        <v>0</v>
      </c>
      <c r="X109" s="68">
        <f>IF(V109="",0,DATEDIF(V109,P109,"YM"))</f>
        <v>0</v>
      </c>
      <c r="Y109" s="68">
        <f>IF(V109="",0,DATEDIF(V109,P109,"MD"))</f>
        <v>0</v>
      </c>
      <c r="Z109" s="49"/>
      <c r="AA109" s="65"/>
      <c r="AB109" s="50" t="str">
        <f t="shared" si="61"/>
        <v/>
      </c>
      <c r="AC109" s="68">
        <f t="shared" si="62"/>
        <v>0</v>
      </c>
      <c r="AD109" s="68">
        <f t="shared" si="63"/>
        <v>0</v>
      </c>
      <c r="AE109" s="68">
        <f t="shared" si="64"/>
        <v>0</v>
      </c>
      <c r="AF109" s="50"/>
      <c r="AG109" s="50" t="s">
        <v>138</v>
      </c>
      <c r="AH109" s="49" t="str">
        <f>IF(AG109="นิติศาสตร์","K5-LAW","K5-POLICY")</f>
        <v>K5-LAW</v>
      </c>
      <c r="AI109" s="72" t="str">
        <f>_xlfn.IFS(B109="","",AND(AH109="K5-LAW",AG109="นิติศาสตร์",K109="S2",T109="",Z109=""),P109,AND(AH109="K5-LAW",AG109="นิติศาสตร์",K109="S1",T109="",Z109=""),EDATE(P109,12),AND(AH109="K5-LAW",AG109="นิติศาสตร์",OR(K109="M2",K109="K4"),T109="",Z109=""),EDATE(P109,12*2),AND(AH109="K5-LAW",AG109="นิติศาสตร์",OR(Z109="M2",Z109="K4"),AC109&gt;=2,OR(AB109&lt;V109,AB109&lt;P109)),EDATE(AB109,12*2),AND(AH109="K5-LAW",AG109="นิติศาสตร์",Z109="S1",AC109&gt;=1,OR(AB109&lt;V109,AB109&lt;P109)),EDATE(AB109,12),AND(AH109="K5-LAW",AG109="นิติศาสตร์",OR(T109="M2",T109="K4"),W109&gt;=2,V109&lt;P109),EDATE(V109,12*2),AND(AH109="K5-LAW",AG109="นิติศาสตร์",T109="S1",W109&gt;=1,V109&lt;P109),EDATE(V109,12),AND(AH109="K5-LAW",AG109="นิติศาสตร์",OR(T109="S2",T109="K5")),V109,AND(AH109="K5-LAW",AG109="นิติศาสตร์",OR(K109="M2",K109="K4"),Q109&gt;=2),EDATE(P109,12*2),AND(AH109="K5-LAW",AG109="นิติศาสตร์",K109="S1",Q109&gt;=1),EDATE(P109,12),AND(AH109="K5-LAW",AG109="นิติศาสตร์",OR(K109="S2",K109="K5")),P109,AND(AH109="K5-POLICY",AG109&lt;&gt;"นิติศาสตร์",K109="S2",T109="",Z109=""),P109,AND(AH109="K5-POLICY",AG109&lt;&gt;"นิติศาสตร์",K109="S1",T109="",Z109=""),EDATE(P109,12),AND(AH109="K5-POLICY",AG109&lt;&gt;"นิติศาสตร์",OR(K109="M2",K109="K4"),T109="",Z109=""),EDATE(P109,12*2),AND(AH109="K5-POLICY",AG109&lt;&gt;"นิติศาสตร์",OR(Z109="M2",Z109="K4"),AC109&gt;=2,OR(AB109&lt;V109,AB109&lt;P109)),EDATE(AB109,12*2),AND(AH109="K5-POLICY",AG109&lt;&gt;"นิติศาสตร์",Z109="S1",AC109&gt;=1,OR(AB109&lt;V109,AB109&lt;P109)),EDATE(AB109,12),AND(AH109="K5-POLICY",AG109&lt;&gt;"นิติศาสตร์",OR(T109="M2",T109="K4"),W109&gt;=2,V109&lt;P109),EDATE(V109,12*2),AND(AH109="K5-POLICY",AG109&lt;&gt;"นิติศาสตร์",T109="S1",W109&gt;=1,V109&lt;P109),EDATE(V109,12),AND(AH109="K5-POLICY",AG109&lt;&gt;"นิติศาสตร์",OR(T109="S2",T109="K5")),V109,AND(AH109="K5-POLICY",AG109&lt;&gt;"นิติศาสตร์",OR(K109="M2",K109="K4"),Q109&gt;=2),EDATE(P109,12*2),AND(AH109="K5-POLICY",AG109&lt;&gt;"นิติศาสตร์",K109="S1",Q109&gt;=1),EDATE(P109,12),AND(AH109="K5-POLICY",AG109&lt;&gt;"นิติศาสตร์",OR(K109="S2",K109="K5")),P109,TRUE,"Check Data")</f>
        <v/>
      </c>
      <c r="AJ109" s="75" t="str">
        <f t="shared" si="65"/>
        <v>Check Data</v>
      </c>
      <c r="AK109" s="76" t="str">
        <f t="shared" si="71"/>
        <v>Check Data</v>
      </c>
      <c r="AL109" s="50" t="str">
        <f t="shared" si="66"/>
        <v>Check Data</v>
      </c>
      <c r="AM109" s="49" t="str">
        <f>IF(B109="","",IF(K109="S1","S1",INDEX(#REF!,#REF!)))</f>
        <v/>
      </c>
      <c r="AN109" s="49" t="str">
        <f t="shared" si="67"/>
        <v>K4</v>
      </c>
      <c r="AO109" s="50" t="b">
        <f>K109=AM109</f>
        <v>0</v>
      </c>
    </row>
    <row r="110" spans="1:41" ht="21.75">
      <c r="A110" s="49">
        <v>108</v>
      </c>
      <c r="B110" s="50"/>
      <c r="C110" s="52"/>
      <c r="D110" s="50" t="s">
        <v>140</v>
      </c>
      <c r="E110" s="49"/>
      <c r="F110" s="49"/>
      <c r="G110" s="50">
        <f t="shared" si="68"/>
        <v>0</v>
      </c>
      <c r="H110" s="50">
        <f t="shared" si="69"/>
        <v>0</v>
      </c>
      <c r="I110" s="50">
        <f t="shared" si="70"/>
        <v>0</v>
      </c>
      <c r="J110" s="50"/>
      <c r="K110" s="49" t="s">
        <v>137</v>
      </c>
      <c r="L110" s="64"/>
      <c r="M110" s="49"/>
      <c r="N110" s="49"/>
      <c r="O110" s="65" t="s">
        <v>463</v>
      </c>
      <c r="P110" s="49" t="str">
        <f t="shared" si="59"/>
        <v>14/08/2024</v>
      </c>
      <c r="Q110" s="68">
        <f>IF(P110="",0,DATEDIF(P110,$C$1,"Y"))</f>
        <v>0</v>
      </c>
      <c r="R110" s="68">
        <f>IF(P110="",0,DATEDIF(P110,$C$1,"YM"))</f>
        <v>10</v>
      </c>
      <c r="S110" s="68">
        <f>IF(P110="",0,DATEDIF(P110,$C$1,"MD"))</f>
        <v>6</v>
      </c>
      <c r="T110" s="65"/>
      <c r="U110" s="65"/>
      <c r="V110" s="49" t="str">
        <f t="shared" si="60"/>
        <v/>
      </c>
      <c r="W110" s="68">
        <f>IF(V110="",0,DATEDIF(V110,P110,"Y"))</f>
        <v>0</v>
      </c>
      <c r="X110" s="68">
        <f>IF(V110="",0,DATEDIF(V110,P110,"YM"))</f>
        <v>0</v>
      </c>
      <c r="Y110" s="68">
        <f>IF(V110="",0,DATEDIF(V110,P110,"MD"))</f>
        <v>0</v>
      </c>
      <c r="Z110" s="49"/>
      <c r="AA110" s="65"/>
      <c r="AB110" s="50" t="str">
        <f t="shared" si="61"/>
        <v/>
      </c>
      <c r="AC110" s="68">
        <f t="shared" si="62"/>
        <v>0</v>
      </c>
      <c r="AD110" s="68">
        <f t="shared" si="63"/>
        <v>0</v>
      </c>
      <c r="AE110" s="68">
        <f t="shared" si="64"/>
        <v>0</v>
      </c>
      <c r="AF110" s="50"/>
      <c r="AG110" s="50" t="s">
        <v>138</v>
      </c>
      <c r="AH110" s="49" t="str">
        <f>IF(AG110="นิติศาสตร์","K5-LAW","K5-POLICY")</f>
        <v>K5-LAW</v>
      </c>
      <c r="AI110" s="72" t="str">
        <f>_xlfn.IFS(B110="","",AND(AH110="K5-LAW",AG110="นิติศาสตร์",K110="S2",T110="",Z110=""),P110,AND(AH110="K5-LAW",AG110="นิติศาสตร์",K110="S1",T110="",Z110=""),EDATE(P110,12),AND(AH110="K5-LAW",AG110="นิติศาสตร์",OR(K110="M2",K110="K4"),T110="",Z110=""),EDATE(P110,12*2),AND(AH110="K5-LAW",AG110="นิติศาสตร์",OR(Z110="M2",Z110="K4"),AC110&gt;=2,OR(AB110&lt;V110,AB110&lt;P110)),EDATE(AB110,12*2),AND(AH110="K5-LAW",AG110="นิติศาสตร์",Z110="S1",AC110&gt;=1,OR(AB110&lt;V110,AB110&lt;P110)),EDATE(AB110,12),AND(AH110="K5-LAW",AG110="นิติศาสตร์",OR(T110="M2",T110="K4"),W110&gt;=2,V110&lt;P110),EDATE(V110,12*2),AND(AH110="K5-LAW",AG110="นิติศาสตร์",T110="S1",W110&gt;=1,V110&lt;P110),EDATE(V110,12),AND(AH110="K5-LAW",AG110="นิติศาสตร์",OR(T110="S2",T110="K5")),V110,AND(AH110="K5-LAW",AG110="นิติศาสตร์",OR(K110="M2",K110="K4"),Q110&gt;=2),EDATE(P110,12*2),AND(AH110="K5-LAW",AG110="นิติศาสตร์",K110="S1",Q110&gt;=1),EDATE(P110,12),AND(AH110="K5-LAW",AG110="นิติศาสตร์",OR(K110="S2",K110="K5")),P110,AND(AH110="K5-POLICY",AG110&lt;&gt;"นิติศาสตร์",K110="S2",T110="",Z110=""),P110,AND(AH110="K5-POLICY",AG110&lt;&gt;"นิติศาสตร์",K110="S1",T110="",Z110=""),EDATE(P110,12),AND(AH110="K5-POLICY",AG110&lt;&gt;"นิติศาสตร์",OR(K110="M2",K110="K4"),T110="",Z110=""),EDATE(P110,12*2),AND(AH110="K5-POLICY",AG110&lt;&gt;"นิติศาสตร์",OR(Z110="M2",Z110="K4"),AC110&gt;=2,OR(AB110&lt;V110,AB110&lt;P110)),EDATE(AB110,12*2),AND(AH110="K5-POLICY",AG110&lt;&gt;"นิติศาสตร์",Z110="S1",AC110&gt;=1,OR(AB110&lt;V110,AB110&lt;P110)),EDATE(AB110,12),AND(AH110="K5-POLICY",AG110&lt;&gt;"นิติศาสตร์",OR(T110="M2",T110="K4"),W110&gt;=2,V110&lt;P110),EDATE(V110,12*2),AND(AH110="K5-POLICY",AG110&lt;&gt;"นิติศาสตร์",T110="S1",W110&gt;=1,V110&lt;P110),EDATE(V110,12),AND(AH110="K5-POLICY",AG110&lt;&gt;"นิติศาสตร์",OR(T110="S2",T110="K5")),V110,AND(AH110="K5-POLICY",AG110&lt;&gt;"นิติศาสตร์",OR(K110="M2",K110="K4"),Q110&gt;=2),EDATE(P110,12*2),AND(AH110="K5-POLICY",AG110&lt;&gt;"นิติศาสตร์",K110="S1",Q110&gt;=1),EDATE(P110,12),AND(AH110="K5-POLICY",AG110&lt;&gt;"นิติศาสตร์",OR(K110="S2",K110="K5")),P110,TRUE,"Check Data")</f>
        <v/>
      </c>
      <c r="AJ110" s="75" t="str">
        <f t="shared" si="65"/>
        <v>Check Data</v>
      </c>
      <c r="AK110" s="76" t="str">
        <f t="shared" si="71"/>
        <v>Check Data</v>
      </c>
      <c r="AL110" s="50" t="str">
        <f t="shared" si="66"/>
        <v>Check Data</v>
      </c>
      <c r="AM110" s="49" t="str">
        <f>IF(B110="","",IF(K110="S1","S1",INDEX(#REF!,#REF!)))</f>
        <v/>
      </c>
      <c r="AN110" s="49" t="str">
        <f t="shared" si="67"/>
        <v>K4</v>
      </c>
      <c r="AO110" s="50" t="b">
        <f>K110=AM110</f>
        <v>0</v>
      </c>
    </row>
    <row r="112" spans="1:41" ht="21.75">
      <c r="C112" s="95" t="s">
        <v>533</v>
      </c>
    </row>
  </sheetData>
  <autoFilter ref="A2:AP110" xr:uid="{00000000-0009-0000-0000-000014000000}"/>
  <printOptions horizontalCentered="1"/>
  <pageMargins left="0.30694444444444402" right="0.30694444444444402" top="0.75138888888888899" bottom="0.55486111111111103" header="0" footer="0.29861111111111099"/>
  <pageSetup paperSize="9" scale="62" fitToHeight="0" orientation="landscape"/>
  <headerFooter>
    <oddFooter>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Q336"/>
  <sheetViews>
    <sheetView workbookViewId="0">
      <pane xSplit="3" ySplit="2" topLeftCell="AN323" activePane="bottomRight" state="frozen"/>
      <selection pane="topRight"/>
      <selection pane="bottomLeft"/>
      <selection pane="bottomRight" activeCell="AI1" sqref="AI1:AJ1048576"/>
    </sheetView>
  </sheetViews>
  <sheetFormatPr defaultColWidth="9" defaultRowHeight="14.25"/>
  <cols>
    <col min="2" max="2" width="17.625" customWidth="1"/>
    <col min="3" max="3" width="30.25" customWidth="1"/>
    <col min="4" max="4" width="27.25" customWidth="1"/>
    <col min="5" max="5" width="45.5" customWidth="1"/>
    <col min="6" max="6" width="16.5" customWidth="1"/>
    <col min="7" max="7" width="16.125" customWidth="1"/>
    <col min="9" max="10" width="9" customWidth="1"/>
    <col min="11" max="11" width="41.25" customWidth="1"/>
    <col min="12" max="12" width="12" customWidth="1"/>
    <col min="13" max="13" width="9.625" customWidth="1"/>
    <col min="14" max="14" width="9" customWidth="1"/>
    <col min="15" max="15" width="21.75" customWidth="1"/>
    <col min="16" max="16" width="14" customWidth="1"/>
    <col min="17" max="17" width="28.5" customWidth="1"/>
    <col min="18" max="18" width="6.625" customWidth="1"/>
    <col min="19" max="19" width="6.375" customWidth="1"/>
    <col min="20" max="20" width="9" customWidth="1"/>
    <col min="21" max="21" width="12" style="43" customWidth="1"/>
    <col min="22" max="22" width="11.875" style="43" customWidth="1"/>
    <col min="23" max="23" width="43.125" customWidth="1"/>
    <col min="24" max="24" width="6" customWidth="1"/>
    <col min="25" max="25" width="6.75" customWidth="1"/>
    <col min="26" max="26" width="9" customWidth="1"/>
    <col min="27" max="27" width="33.625" customWidth="1"/>
    <col min="28" max="29" width="43.25" customWidth="1"/>
    <col min="30" max="32" width="9" customWidth="1"/>
    <col min="33" max="33" width="17.875" customWidth="1"/>
    <col min="34" max="34" width="25.875" style="106" customWidth="1"/>
    <col min="35" max="35" width="14.875" customWidth="1"/>
    <col min="36" max="36" width="36.25" customWidth="1"/>
    <col min="37" max="37" width="15.875" customWidth="1"/>
    <col min="38" max="38" width="20" customWidth="1"/>
    <col min="39" max="39" width="16.375" customWidth="1"/>
    <col min="40" max="41" width="24.375" customWidth="1"/>
    <col min="42" max="42" width="16.375" customWidth="1"/>
  </cols>
  <sheetData>
    <row r="1" spans="1:43" ht="21.75">
      <c r="B1" s="44" t="s">
        <v>50</v>
      </c>
      <c r="C1" s="46">
        <v>45828</v>
      </c>
      <c r="D1" s="46"/>
      <c r="E1" s="46"/>
      <c r="F1" s="45"/>
      <c r="G1" s="55"/>
      <c r="K1" s="45" t="s">
        <v>0</v>
      </c>
      <c r="L1" s="62">
        <v>232387</v>
      </c>
      <c r="M1" s="62">
        <f>IF(AND(LEFT(L1,2)="29",MID(L1,4,1)="2"),LEFT(L1,2)&amp;"/"&amp;MID(L1,4,1)&amp;"/"&amp;RIGHT(L1,4)-543,EDATE(L1,-543*12))</f>
        <v>34060</v>
      </c>
      <c r="N1" s="62"/>
      <c r="O1" s="62"/>
      <c r="P1" s="63"/>
      <c r="Q1" s="45"/>
      <c r="R1" s="66"/>
      <c r="S1" s="66"/>
      <c r="T1" s="66"/>
      <c r="U1" s="67"/>
      <c r="V1" s="67"/>
      <c r="X1" s="66"/>
      <c r="Y1" s="66"/>
      <c r="Z1" s="66"/>
      <c r="AA1" s="67"/>
      <c r="AB1" s="67"/>
      <c r="AD1" s="66"/>
      <c r="AE1" s="66"/>
      <c r="AF1" s="66"/>
      <c r="AI1" s="55"/>
      <c r="AJ1" s="70"/>
      <c r="AK1" s="70"/>
      <c r="AL1" s="73"/>
    </row>
    <row r="2" spans="1:43" s="105" customFormat="1" ht="65.25">
      <c r="A2" s="98" t="s">
        <v>51</v>
      </c>
      <c r="B2" s="99" t="s">
        <v>52</v>
      </c>
      <c r="C2" s="98" t="s">
        <v>53</v>
      </c>
      <c r="D2" s="98" t="s">
        <v>23</v>
      </c>
      <c r="E2" s="98"/>
      <c r="F2" s="98" t="s">
        <v>469</v>
      </c>
      <c r="G2" s="98" t="s">
        <v>470</v>
      </c>
      <c r="H2" s="99" t="s">
        <v>4</v>
      </c>
      <c r="I2" s="99" t="s">
        <v>5</v>
      </c>
      <c r="J2" s="99" t="s">
        <v>6</v>
      </c>
      <c r="K2" s="98" t="s">
        <v>55</v>
      </c>
      <c r="L2" s="98" t="s">
        <v>56</v>
      </c>
      <c r="M2" s="98" t="s">
        <v>151</v>
      </c>
      <c r="N2" s="98" t="s">
        <v>152</v>
      </c>
      <c r="O2" s="98" t="s">
        <v>150</v>
      </c>
      <c r="P2" s="99" t="s">
        <v>471</v>
      </c>
      <c r="Q2" s="98" t="s">
        <v>472</v>
      </c>
      <c r="R2" s="99" t="s">
        <v>4</v>
      </c>
      <c r="S2" s="99" t="s">
        <v>5</v>
      </c>
      <c r="T2" s="99" t="s">
        <v>6</v>
      </c>
      <c r="U2" s="99" t="s">
        <v>132</v>
      </c>
      <c r="V2" s="99" t="s">
        <v>473</v>
      </c>
      <c r="W2" s="98" t="s">
        <v>474</v>
      </c>
      <c r="X2" s="99" t="s">
        <v>4</v>
      </c>
      <c r="Y2" s="99" t="s">
        <v>5</v>
      </c>
      <c r="Z2" s="99" t="s">
        <v>6</v>
      </c>
      <c r="AA2" s="99" t="s">
        <v>133</v>
      </c>
      <c r="AB2" s="99" t="s">
        <v>475</v>
      </c>
      <c r="AC2" s="98" t="s">
        <v>476</v>
      </c>
      <c r="AD2" s="99" t="s">
        <v>4</v>
      </c>
      <c r="AE2" s="99" t="s">
        <v>5</v>
      </c>
      <c r="AF2" s="99" t="s">
        <v>6</v>
      </c>
      <c r="AG2" s="98" t="s">
        <v>61</v>
      </c>
      <c r="AH2" s="107" t="s">
        <v>134</v>
      </c>
      <c r="AI2" s="98" t="s">
        <v>62</v>
      </c>
      <c r="AJ2" s="100" t="s">
        <v>477</v>
      </c>
      <c r="AK2" s="100" t="s">
        <v>478</v>
      </c>
      <c r="AL2" s="101" t="s">
        <v>69</v>
      </c>
      <c r="AM2" s="98" t="s">
        <v>70</v>
      </c>
      <c r="AN2" s="98" t="s">
        <v>479</v>
      </c>
      <c r="AO2" s="98" t="s">
        <v>480</v>
      </c>
      <c r="AP2" s="98" t="s">
        <v>441</v>
      </c>
      <c r="AQ2" s="98" t="s">
        <v>440</v>
      </c>
    </row>
    <row r="3" spans="1:43" ht="21.75">
      <c r="A3" s="49">
        <v>1</v>
      </c>
      <c r="B3" s="50"/>
      <c r="C3" s="50"/>
      <c r="D3" s="50" t="s">
        <v>139</v>
      </c>
      <c r="E3" s="50" t="e">
        <f>INDEX(#REF!,#REF!)</f>
        <v>#REF!</v>
      </c>
      <c r="F3" s="49" t="s">
        <v>208</v>
      </c>
      <c r="G3" s="49" t="str">
        <f t="shared" ref="G3:G41" si="0">IF(F3="","",TEXT(EDATE(F3,-543*12),"dd/mm/yyyy"))</f>
        <v>01/02/1990</v>
      </c>
      <c r="H3" s="50">
        <f t="shared" ref="H3:H66" si="1">IF(G3="",0,DATEDIF(G3,$C$1,"Y"))</f>
        <v>35</v>
      </c>
      <c r="I3" s="50">
        <f t="shared" ref="I3:I66" si="2">IF(G3="",0,DATEDIF(G3,$C$1,"YM"))</f>
        <v>4</v>
      </c>
      <c r="J3" s="50">
        <f t="shared" ref="J3:J66" si="3">IF(G3="",0,DATEDIF(G3,$C$1,"MD"))</f>
        <v>19</v>
      </c>
      <c r="K3" s="56"/>
      <c r="L3" s="49" t="s">
        <v>136</v>
      </c>
      <c r="M3" s="64"/>
      <c r="N3" s="49" t="s">
        <v>425</v>
      </c>
      <c r="O3" s="49">
        <v>2568</v>
      </c>
      <c r="P3" s="65" t="s">
        <v>211</v>
      </c>
      <c r="Q3" s="49" t="str">
        <f t="shared" ref="Q3:Q41" si="4">TEXT(EDATE(P3,-543*12),"dd/mm/yyyy")</f>
        <v>01/05/2014</v>
      </c>
      <c r="R3" s="68">
        <f>IF(Q3="",0,DATEDIF(Q3,$C$1,"Y"))</f>
        <v>11</v>
      </c>
      <c r="S3" s="68">
        <f>IF(Q3="",0,DATEDIF(Q3,$C$1,"YM"))</f>
        <v>1</v>
      </c>
      <c r="T3" s="68">
        <f>IF(Q3="",0,DATEDIF(Q3,$C$1,"MD"))</f>
        <v>19</v>
      </c>
      <c r="U3" s="65"/>
      <c r="V3" s="65"/>
      <c r="W3" s="49" t="str">
        <f>IF(V3="","",TEXT(EDATE(V3,-543*12),"dd/mm/yyyy"))</f>
        <v/>
      </c>
      <c r="X3" s="68">
        <f>IF(W3="",0,DATEDIF(W3,Q3,"Y"))</f>
        <v>0</v>
      </c>
      <c r="Y3" s="68">
        <f>IF(W3="",0,DATEDIF(W3,Q3,"YM"))</f>
        <v>0</v>
      </c>
      <c r="Z3" s="68">
        <f>IF(W3="",0,DATEDIF(W3,Q3,"MD"))</f>
        <v>0</v>
      </c>
      <c r="AA3" s="49"/>
      <c r="AB3" s="65"/>
      <c r="AC3" s="50" t="str">
        <f>IF(AB3="","",TEXT(EDATE(AB3,-543*12),"dd/mm/yyyy"))</f>
        <v/>
      </c>
      <c r="AD3" s="68">
        <f>IF(AC3="",0,DATEDIF(AC3,W3,"Y"))</f>
        <v>0</v>
      </c>
      <c r="AE3" s="68">
        <f>IF(AC3="",0,DATEDIF(AC3,W3,"YM"))</f>
        <v>0</v>
      </c>
      <c r="AF3" s="68">
        <f>IF(AC3="",0,DATEDIF(AC3,W3,"MD"))</f>
        <v>0</v>
      </c>
      <c r="AG3" s="50"/>
      <c r="AH3" s="108" t="s">
        <v>165</v>
      </c>
      <c r="AI3" s="49" t="str">
        <f>IF(AH3="นิติศาสตร์","K5-LAW","K5-POLICY")</f>
        <v>K5-POLICY</v>
      </c>
      <c r="AJ3" s="72" t="str">
        <f>_xlfn.IFS(B3="","",AND(AI3="K5-LAW",AH3="นิติศาสตร์",L3="S2",U3="",AA3=""),Q3,AND(AI3="K5-LAW",AH3="นิติศาสตร์",L3="S1",U3="",AA3=""),EDATE(Q3,12),AND(AI3="K5-LAW",AH3="นิติศาสตร์",OR(L3="M2",L3="K4"),U3="",AA3=""),EDATE(Q3,12*2),AND(AI3="K5-LAW",AH3="นิติศาสตร์",OR(AA3="M2",AA3="K4"),AD3&gt;=2,OR(AC3&lt;W3,AC3&lt;Q3)),EDATE(AC3,12*2),AND(AI3="K5-LAW",AH3="นิติศาสตร์",AA3="S1",AD3&gt;=1,OR(AC3&lt;W3,AC3&lt;Q3)),EDATE(AC3,12),AND(AI3="K5-LAW",AH3="นิติศาสตร์",OR(U3="M2",U3="K4"),X3&gt;=2,W3&lt;Q3),EDATE(W3,12*2),AND(AI3="K5-LAW",AH3="นิติศาสตร์",U3="S1",X3&gt;=1,W3&lt;Q3),EDATE(W3,12),AND(AI3="K5-LAW",AH3="นิติศาสตร์",OR(U3="S2",U3="K5")),W3,AND(AI3="K5-LAW",AH3="นิติศาสตร์",OR(L3="M2",L3="K4"),R3&gt;=2),EDATE(Q3,12*2),AND(AI3="K5-LAW",AH3="นิติศาสตร์",L3="S1",R3&gt;=1),EDATE(Q3,12),AND(AI3="K5-LAW",AH3="นิติศาสตร์",OR(L3="S2",L3="K5")),Q3,AND(AI3="K5-POLICY",AH3&lt;&gt;"นิติศาสตร์",L3="S2",U3="",AA3=""),Q3,AND(AI3="K5-POLICY",AH3&lt;&gt;"นิติศาสตร์",L3="S1",U3="",AA3=""),EDATE(Q3,12),AND(AI3="K5-POLICY",AH3&lt;&gt;"นิติศาสตร์",OR(L3="M2",L3="K4"),U3="",AA3=""),EDATE(Q3,12*2),AND(AI3="K5-POLICY",AH3&lt;&gt;"นิติศาสตร์",OR(AA3="M2",AA3="K4"),AD3&gt;=2,OR(AC3&lt;W3,AC3&lt;Q3)),EDATE(AC3,12*2),AND(AI3="K5-POLICY",AH3&lt;&gt;"นิติศาสตร์",AA3="S1",AD3&gt;=1,OR(AC3&lt;W3,AC3&lt;Q3)),EDATE(AC3,12),AND(AI3="K5-POLICY",AH3&lt;&gt;"นิติศาสตร์",OR(U3="M2",U3="K4"),X3&gt;=2,W3&lt;Q3),EDATE(W3,12*2),AND(AI3="K5-POLICY",AH3&lt;&gt;"นิติศาสตร์",U3="S1",X3&gt;=1,W3&lt;Q3),EDATE(W3,12),AND(AI3="K5-POLICY",AH3&lt;&gt;"นิติศาสตร์",OR(U3="S2",U3="K5")),W3,AND(AI3="K5-POLICY",AH3&lt;&gt;"นิติศาสตร์",OR(L3="M2",L3="K4"),R3&gt;=2),EDATE(Q3,12*2),AND(AI3="K5-POLICY",AH3&lt;&gt;"นิติศาสตร์",L3="S1",R3&gt;=1),EDATE(Q3,12),AND(AI3="K5-POLICY",AH3&lt;&gt;"นิติศาสตร์",OR(L3="S2",L3="K5")),Q3,TRUE,"Check Data")</f>
        <v/>
      </c>
      <c r="AK3" s="75" t="str">
        <f t="shared" ref="AK3:AK41" si="5">IFERROR(TEXT(EDATE(AJ3,543*12),"dd/mm/yyyy"),"Check Data")</f>
        <v>Check Data</v>
      </c>
      <c r="AL3" s="76" t="str">
        <f t="shared" ref="AL3:AL66" si="6">IFERROR(IF($C$1&gt;AJ3,AJ3-$C$1,DATEDIF($C$1,AJ3,"d")),"Check Data")</f>
        <v>Check Data</v>
      </c>
      <c r="AM3" s="50" t="str">
        <f t="shared" ref="AM3:AM41" si="7">_xlfn.IFS(AL3="Check Data","Check Data",AL3&gt;30,"ยังไม่ถึงเกณฑ์",AL3&gt;0,"ใกล้ถึงเกณฑ์",AL3=0,"ถึงเกณฑ์",AL3&lt;0,"ถึงเกณฑ์นานแล้ว")</f>
        <v>Check Data</v>
      </c>
      <c r="AN3" s="49" t="str">
        <f>IF(B3="","",IF(L3="S1","S1",INDEX(#REF!,#REF!)))</f>
        <v/>
      </c>
      <c r="AO3" s="49" t="str">
        <f>L3</f>
        <v>M2</v>
      </c>
      <c r="AP3" s="50" t="b">
        <f>L3=AN3</f>
        <v>0</v>
      </c>
      <c r="AQ3" s="50"/>
    </row>
    <row r="4" spans="1:43" ht="21.75">
      <c r="A4" s="49">
        <v>2</v>
      </c>
      <c r="B4" s="50"/>
      <c r="C4" s="50"/>
      <c r="D4" s="50" t="s">
        <v>139</v>
      </c>
      <c r="E4" s="50" t="e">
        <f>INDEX(#REF!,#REF!)</f>
        <v>#REF!</v>
      </c>
      <c r="F4" s="49" t="s">
        <v>164</v>
      </c>
      <c r="G4" s="49" t="str">
        <f t="shared" si="0"/>
        <v>01/05/1990</v>
      </c>
      <c r="H4" s="50">
        <f t="shared" si="1"/>
        <v>35</v>
      </c>
      <c r="I4" s="50">
        <f t="shared" si="2"/>
        <v>1</v>
      </c>
      <c r="J4" s="50">
        <f t="shared" si="3"/>
        <v>19</v>
      </c>
      <c r="K4" s="56"/>
      <c r="L4" s="49" t="s">
        <v>136</v>
      </c>
      <c r="M4" s="64"/>
      <c r="N4" s="49" t="s">
        <v>425</v>
      </c>
      <c r="O4" s="49">
        <v>2570</v>
      </c>
      <c r="P4" s="65" t="s">
        <v>211</v>
      </c>
      <c r="Q4" s="49" t="str">
        <f t="shared" si="4"/>
        <v>01/05/2014</v>
      </c>
      <c r="R4" s="68">
        <f>IF(Q4="",0,DATEDIF(Q4,$C$1,"Y"))</f>
        <v>11</v>
      </c>
      <c r="S4" s="68">
        <f>IF(Q4="",0,DATEDIF(Q4,$C$1,"YM"))</f>
        <v>1</v>
      </c>
      <c r="T4" s="68">
        <f>IF(Q4="",0,DATEDIF(Q4,$C$1,"MD"))</f>
        <v>19</v>
      </c>
      <c r="U4" s="65"/>
      <c r="V4" s="65"/>
      <c r="W4" s="49" t="str">
        <f t="shared" ref="W4:W43" si="8">IF(V4="","",TEXT(EDATE(V4,-543*12),"dd/mm/yyyy"))</f>
        <v/>
      </c>
      <c r="X4" s="68">
        <f>IF(W4="",0,DATEDIF(W4,Q4,"Y"))</f>
        <v>0</v>
      </c>
      <c r="Y4" s="68">
        <f>IF(W4="",0,DATEDIF(W4,Q4,"YM"))</f>
        <v>0</v>
      </c>
      <c r="Z4" s="68">
        <f>IF(W4="",0,DATEDIF(W4,Q4,"MD"))</f>
        <v>0</v>
      </c>
      <c r="AA4" s="49"/>
      <c r="AB4" s="65"/>
      <c r="AC4" s="50" t="str">
        <f t="shared" ref="AC4:AC43" si="9">IF(AB4="","",TEXT(EDATE(AB4,-543*12),"dd/mm/yyyy"))</f>
        <v/>
      </c>
      <c r="AD4" s="68">
        <f t="shared" ref="AD4:AD43" si="10">IF(AC4="",0,DATEDIF(AC4,W4,"Y"))</f>
        <v>0</v>
      </c>
      <c r="AE4" s="68">
        <f t="shared" ref="AE4:AE43" si="11">IF(AC4="",0,DATEDIF(AC4,W4,"YM"))</f>
        <v>0</v>
      </c>
      <c r="AF4" s="68">
        <f t="shared" ref="AF4:AF43" si="12">IF(AC4="",0,DATEDIF(AC4,W4,"MD"))</f>
        <v>0</v>
      </c>
      <c r="AG4" s="50"/>
      <c r="AH4" s="108" t="s">
        <v>167</v>
      </c>
      <c r="AI4" s="49" t="str">
        <f>IF(AH4="นิติศาสตร์","K5-LAW","K5-POLICY")</f>
        <v>K5-POLICY</v>
      </c>
      <c r="AJ4" s="72" t="str">
        <f>_xlfn.IFS(B4="","",AND(AI4="K5-LAW",AH4="นิติศาสตร์",L4="S2",U4="",AA4=""),Q4,AND(AI4="K5-LAW",AH4="นิติศาสตร์",L4="S1",U4="",AA4=""),EDATE(Q4,12),AND(AI4="K5-LAW",AH4="นิติศาสตร์",OR(L4="M2",L4="K4"),U4="",AA4=""),EDATE(Q4,12*2),AND(AI4="K5-LAW",AH4="นิติศาสตร์",OR(AA4="M2",AA4="K4"),AD4&gt;=2,OR(AC4&lt;W4,AC4&lt;Q4)),EDATE(AC4,12*2),AND(AI4="K5-LAW",AH4="นิติศาสตร์",AA4="S1",AD4&gt;=1,OR(AC4&lt;W4,AC4&lt;Q4)),EDATE(AC4,12),AND(AI4="K5-LAW",AH4="นิติศาสตร์",OR(U4="M2",U4="K4"),X4&gt;=2,W4&lt;Q4),EDATE(W4,12*2),AND(AI4="K5-LAW",AH4="นิติศาสตร์",U4="S1",X4&gt;=1,W4&lt;Q4),EDATE(W4,12),AND(AI4="K5-LAW",AH4="นิติศาสตร์",OR(U4="S2",U4="K5")),W4,AND(AI4="K5-LAW",AH4="นิติศาสตร์",OR(L4="M2",L4="K4"),R4&gt;=2),EDATE(Q4,12*2),AND(AI4="K5-LAW",AH4="นิติศาสตร์",L4="S1",R4&gt;=1),EDATE(Q4,12),AND(AI4="K5-LAW",AH4="นิติศาสตร์",OR(L4="S2",L4="K5")),Q4,AND(AI4="K5-POLICY",AH4&lt;&gt;"นิติศาสตร์",L4="S2",U4="",AA4=""),Q4,AND(AI4="K5-POLICY",AH4&lt;&gt;"นิติศาสตร์",L4="S1",U4="",AA4=""),EDATE(Q4,12),AND(AI4="K5-POLICY",AH4&lt;&gt;"นิติศาสตร์",OR(L4="M2",L4="K4"),U4="",AA4=""),EDATE(Q4,12*2),AND(AI4="K5-POLICY",AH4&lt;&gt;"นิติศาสตร์",OR(AA4="M2",AA4="K4"),AD4&gt;=2,OR(AC4&lt;W4,AC4&lt;Q4)),EDATE(AC4,12*2),AND(AI4="K5-POLICY",AH4&lt;&gt;"นิติศาสตร์",AA4="S1",AD4&gt;=1,OR(AC4&lt;W4,AC4&lt;Q4)),EDATE(AC4,12),AND(AI4="K5-POLICY",AH4&lt;&gt;"นิติศาสตร์",OR(U4="M2",U4="K4"),X4&gt;=2,W4&lt;Q4),EDATE(W4,12*2),AND(AI4="K5-POLICY",AH4&lt;&gt;"นิติศาสตร์",U4="S1",X4&gt;=1,W4&lt;Q4),EDATE(W4,12),AND(AI4="K5-POLICY",AH4&lt;&gt;"นิติศาสตร์",OR(U4="S2",U4="K5")),W4,AND(AI4="K5-POLICY",AH4&lt;&gt;"นิติศาสตร์",OR(L4="M2",L4="K4"),R4&gt;=2),EDATE(Q4,12*2),AND(AI4="K5-POLICY",AH4&lt;&gt;"นิติศาสตร์",L4="S1",R4&gt;=1),EDATE(Q4,12),AND(AI4="K5-POLICY",AH4&lt;&gt;"นิติศาสตร์",OR(L4="S2",L4="K5")),Q4,TRUE,"Check Data")</f>
        <v/>
      </c>
      <c r="AK4" s="75" t="str">
        <f t="shared" si="5"/>
        <v>Check Data</v>
      </c>
      <c r="AL4" s="76" t="str">
        <f t="shared" si="6"/>
        <v>Check Data</v>
      </c>
      <c r="AM4" s="50" t="str">
        <f t="shared" si="7"/>
        <v>Check Data</v>
      </c>
      <c r="AN4" s="49" t="str">
        <f>IF(B4="","",IF(L4="S1","S1",INDEX(#REF!,#REF!)))</f>
        <v/>
      </c>
      <c r="AO4" s="49" t="str">
        <f>L4</f>
        <v>M2</v>
      </c>
      <c r="AP4" s="50" t="b">
        <f>L4=AN4</f>
        <v>0</v>
      </c>
      <c r="AQ4" s="50"/>
    </row>
    <row r="5" spans="1:43" ht="21.75">
      <c r="A5" s="49">
        <v>3</v>
      </c>
      <c r="B5" s="50"/>
      <c r="C5" s="50"/>
      <c r="D5" s="50" t="s">
        <v>144</v>
      </c>
      <c r="E5" s="50" t="e">
        <f>INDEX(#REF!,#REF!)</f>
        <v>#REF!</v>
      </c>
      <c r="F5" s="49" t="s">
        <v>382</v>
      </c>
      <c r="G5" s="49" t="str">
        <f t="shared" si="0"/>
        <v>01/05/1989</v>
      </c>
      <c r="H5" s="50">
        <f t="shared" si="1"/>
        <v>36</v>
      </c>
      <c r="I5" s="50">
        <f t="shared" si="2"/>
        <v>1</v>
      </c>
      <c r="J5" s="50">
        <f t="shared" si="3"/>
        <v>19</v>
      </c>
      <c r="K5" s="57"/>
      <c r="L5" s="49" t="s">
        <v>136</v>
      </c>
      <c r="M5" s="64"/>
      <c r="N5" s="49" t="s">
        <v>425</v>
      </c>
      <c r="O5" s="49">
        <v>2572</v>
      </c>
      <c r="P5" s="65" t="s">
        <v>388</v>
      </c>
      <c r="Q5" s="49" t="str">
        <f t="shared" si="4"/>
        <v>16/07/2015</v>
      </c>
      <c r="R5" s="68">
        <f>IF(Q5="",0,DATEDIF(Q5,$C$1,"Y"))</f>
        <v>9</v>
      </c>
      <c r="S5" s="68">
        <f>IF(Q5="",0,DATEDIF(Q5,$C$1,"YM"))</f>
        <v>11</v>
      </c>
      <c r="T5" s="68">
        <f>IF(Q5="",0,DATEDIF(Q5,$C$1,"MD"))</f>
        <v>4</v>
      </c>
      <c r="U5" s="65"/>
      <c r="V5" s="65"/>
      <c r="W5" s="49" t="str">
        <f t="shared" si="8"/>
        <v/>
      </c>
      <c r="X5" s="68">
        <f>IF(W5="",0,DATEDIF(W5,Q5,"Y"))</f>
        <v>0</v>
      </c>
      <c r="Y5" s="68">
        <f>IF(W5="",0,DATEDIF(W5,Q5,"YM"))</f>
        <v>0</v>
      </c>
      <c r="Z5" s="68">
        <f>IF(W5="",0,DATEDIF(W5,Q5,"MD"))</f>
        <v>0</v>
      </c>
      <c r="AA5" s="49"/>
      <c r="AB5" s="65"/>
      <c r="AC5" s="50" t="str">
        <f t="shared" si="9"/>
        <v/>
      </c>
      <c r="AD5" s="68">
        <f t="shared" si="10"/>
        <v>0</v>
      </c>
      <c r="AE5" s="68">
        <f t="shared" si="11"/>
        <v>0</v>
      </c>
      <c r="AF5" s="68">
        <f t="shared" si="12"/>
        <v>0</v>
      </c>
      <c r="AG5" s="50"/>
      <c r="AH5" s="108" t="s">
        <v>509</v>
      </c>
      <c r="AI5" s="49" t="str">
        <f>IF(AH5="นิติศาสตร์","K5-LAW","K5-POLICY")</f>
        <v>K5-POLICY</v>
      </c>
      <c r="AJ5" s="72" t="str">
        <f>_xlfn.IFS(B5="","",AND(AI5="K5-LAW",AH5="นิติศาสตร์",L5="S2",U5="",AA5=""),Q5,AND(AI5="K5-LAW",AH5="นิติศาสตร์",L5="S1",U5="",AA5=""),EDATE(Q5,12),AND(AI5="K5-LAW",AH5="นิติศาสตร์",OR(L5="M2",L5="K4"),U5="",AA5=""),EDATE(Q5,12*2),AND(AI5="K5-LAW",AH5="นิติศาสตร์",OR(AA5="M2",AA5="K4"),AD5&gt;=2,OR(AC5&lt;W5,AC5&lt;Q5)),EDATE(AC5,12*2),AND(AI5="K5-LAW",AH5="นิติศาสตร์",AA5="S1",AD5&gt;=1,OR(AC5&lt;W5,AC5&lt;Q5)),EDATE(AC5,12),AND(AI5="K5-LAW",AH5="นิติศาสตร์",OR(U5="M2",U5="K4"),X5&gt;=2,W5&lt;Q5),EDATE(W5,12*2),AND(AI5="K5-LAW",AH5="นิติศาสตร์",U5="S1",X5&gt;=1,W5&lt;Q5),EDATE(W5,12),AND(AI5="K5-LAW",AH5="นิติศาสตร์",OR(U5="S2",U5="K5")),W5,AND(AI5="K5-LAW",AH5="นิติศาสตร์",OR(L5="M2",L5="K4"),R5&gt;=2),EDATE(Q5,12*2),AND(AI5="K5-LAW",AH5="นิติศาสตร์",L5="S1",R5&gt;=1),EDATE(Q5,12),AND(AI5="K5-LAW",AH5="นิติศาสตร์",OR(L5="S2",L5="K5")),Q5,AND(AI5="K5-POLICY",AH5&lt;&gt;"นิติศาสตร์",L5="S2",U5="",AA5=""),Q5,AND(AI5="K5-POLICY",AH5&lt;&gt;"นิติศาสตร์",L5="S1",U5="",AA5=""),EDATE(Q5,12),AND(AI5="K5-POLICY",AH5&lt;&gt;"นิติศาสตร์",OR(L5="M2",L5="K4"),U5="",AA5=""),EDATE(Q5,12*2),AND(AI5="K5-POLICY",AH5&lt;&gt;"นิติศาสตร์",OR(AA5="M2",AA5="K4"),AD5&gt;=2,OR(AC5&lt;W5,AC5&lt;Q5)),EDATE(AC5,12*2),AND(AI5="K5-POLICY",AH5&lt;&gt;"นิติศาสตร์",AA5="S1",AD5&gt;=1,OR(AC5&lt;W5,AC5&lt;Q5)),EDATE(AC5,12),AND(AI5="K5-POLICY",AH5&lt;&gt;"นิติศาสตร์",OR(U5="M2",U5="K4"),X5&gt;=2,W5&lt;Q5),EDATE(W5,12*2),AND(AI5="K5-POLICY",AH5&lt;&gt;"นิติศาสตร์",U5="S1",X5&gt;=1,W5&lt;Q5),EDATE(W5,12),AND(AI5="K5-POLICY",AH5&lt;&gt;"นิติศาสตร์",OR(U5="S2",U5="K5")),W5,AND(AI5="K5-POLICY",AH5&lt;&gt;"นิติศาสตร์",OR(L5="M2",L5="K4"),R5&gt;=2),EDATE(Q5,12*2),AND(AI5="K5-POLICY",AH5&lt;&gt;"นิติศาสตร์",L5="S1",R5&gt;=1),EDATE(Q5,12),AND(AI5="K5-POLICY",AH5&lt;&gt;"นิติศาสตร์",OR(L5="S2",L5="K5")),Q5,TRUE,"Check Data")</f>
        <v/>
      </c>
      <c r="AK5" s="75" t="str">
        <f t="shared" si="5"/>
        <v>Check Data</v>
      </c>
      <c r="AL5" s="76" t="str">
        <f t="shared" si="6"/>
        <v>Check Data</v>
      </c>
      <c r="AM5" s="50" t="str">
        <f t="shared" si="7"/>
        <v>Check Data</v>
      </c>
      <c r="AN5" s="49" t="str">
        <f>IF(B5="","",IF(L5="S1","S1",INDEX(#REF!,#REF!)))</f>
        <v/>
      </c>
      <c r="AO5" s="49" t="str">
        <f>L5</f>
        <v>M2</v>
      </c>
      <c r="AP5" s="50" t="b">
        <f>L5=AN5</f>
        <v>0</v>
      </c>
      <c r="AQ5" s="50"/>
    </row>
    <row r="6" spans="1:43" ht="21.75">
      <c r="A6" s="49">
        <v>4</v>
      </c>
      <c r="B6" s="50"/>
      <c r="C6" s="50"/>
      <c r="D6" s="50" t="s">
        <v>142</v>
      </c>
      <c r="E6" s="50" t="e">
        <f>INDEX(#REF!,#REF!)</f>
        <v>#REF!</v>
      </c>
      <c r="F6" s="49" t="s">
        <v>283</v>
      </c>
      <c r="G6" s="49" t="str">
        <f t="shared" si="0"/>
        <v>01/04/1998</v>
      </c>
      <c r="H6" s="50">
        <f t="shared" si="1"/>
        <v>27</v>
      </c>
      <c r="I6" s="50">
        <f t="shared" si="2"/>
        <v>2</v>
      </c>
      <c r="J6" s="50">
        <f t="shared" si="3"/>
        <v>19</v>
      </c>
      <c r="K6" s="58"/>
      <c r="L6" s="49" t="s">
        <v>136</v>
      </c>
      <c r="M6" s="64"/>
      <c r="N6" s="49" t="s">
        <v>425</v>
      </c>
      <c r="O6" s="49">
        <v>2575</v>
      </c>
      <c r="P6" s="65" t="s">
        <v>284</v>
      </c>
      <c r="Q6" s="49" t="str">
        <f t="shared" si="4"/>
        <v>21/04/2016</v>
      </c>
      <c r="R6" s="68">
        <f>IF(Q6="",0,DATEDIF(Q6,$C$1,"Y"))</f>
        <v>9</v>
      </c>
      <c r="S6" s="68">
        <f>IF(Q6="",0,DATEDIF(Q6,$C$1,"YM"))</f>
        <v>1</v>
      </c>
      <c r="T6" s="68">
        <f>IF(Q6="",0,DATEDIF(Q6,$C$1,"MD"))</f>
        <v>30</v>
      </c>
      <c r="U6" s="65"/>
      <c r="V6" s="65"/>
      <c r="W6" s="49" t="str">
        <f t="shared" si="8"/>
        <v/>
      </c>
      <c r="X6" s="68">
        <f>IF(W6="",0,DATEDIF(W6,Q6,"Y"))</f>
        <v>0</v>
      </c>
      <c r="Y6" s="68">
        <f>IF(W6="",0,DATEDIF(W6,Q6,"YM"))</f>
        <v>0</v>
      </c>
      <c r="Z6" s="68">
        <f>IF(W6="",0,DATEDIF(W6,Q6,"MD"))</f>
        <v>0</v>
      </c>
      <c r="AA6" s="49"/>
      <c r="AB6" s="65"/>
      <c r="AC6" s="50" t="str">
        <f t="shared" si="9"/>
        <v/>
      </c>
      <c r="AD6" s="68">
        <f t="shared" si="10"/>
        <v>0</v>
      </c>
      <c r="AE6" s="68">
        <f t="shared" si="11"/>
        <v>0</v>
      </c>
      <c r="AF6" s="68">
        <f t="shared" si="12"/>
        <v>0</v>
      </c>
      <c r="AG6" s="50"/>
      <c r="AH6" s="108" t="s">
        <v>138</v>
      </c>
      <c r="AI6" s="49" t="str">
        <f>IF(AH6="นิติศาสตร์","K5-LAW","K5-POLICY")</f>
        <v>K5-LAW</v>
      </c>
      <c r="AJ6" s="72" t="str">
        <f>_xlfn.IFS(B6="","",AND(AI6="K5-LAW",AH6="นิติศาสตร์",L6="S2",U6="",AA6=""),Q6,AND(AI6="K5-LAW",AH6="นิติศาสตร์",L6="S1",U6="",AA6=""),EDATE(Q6,12),AND(AI6="K5-LAW",AH6="นิติศาสตร์",OR(L6="M2",L6="K4"),U6="",AA6=""),EDATE(Q6,12*2),AND(AI6="K5-LAW",AH6="นิติศาสตร์",OR(AA6="M2",AA6="K4"),AD6&gt;=2,OR(AC6&lt;W6,AC6&lt;Q6)),EDATE(AC6,12*2),AND(AI6="K5-LAW",AH6="นิติศาสตร์",AA6="S1",AD6&gt;=1,OR(AC6&lt;W6,AC6&lt;Q6)),EDATE(AC6,12),AND(AI6="K5-LAW",AH6="นิติศาสตร์",OR(U6="M2",U6="K4"),X6&gt;=2,W6&lt;Q6),EDATE(W6,12*2),AND(AI6="K5-LAW",AH6="นิติศาสตร์",U6="S1",X6&gt;=1,W6&lt;Q6),EDATE(W6,12),AND(AI6="K5-LAW",AH6="นิติศาสตร์",OR(U6="S2",U6="K5")),W6,AND(AI6="K5-LAW",AH6="นิติศาสตร์",OR(L6="M2",L6="K4"),R6&gt;=2),EDATE(Q6,12*2),AND(AI6="K5-LAW",AH6="นิติศาสตร์",L6="S1",R6&gt;=1),EDATE(Q6,12),AND(AI6="K5-LAW",AH6="นิติศาสตร์",OR(L6="S2",L6="K5")),Q6,AND(AI6="K5-POLICY",AH6&lt;&gt;"นิติศาสตร์",L6="S2",U6="",AA6=""),Q6,AND(AI6="K5-POLICY",AH6&lt;&gt;"นิติศาสตร์",L6="S1",U6="",AA6=""),EDATE(Q6,12),AND(AI6="K5-POLICY",AH6&lt;&gt;"นิติศาสตร์",OR(L6="M2",L6="K4"),U6="",AA6=""),EDATE(Q6,12*2),AND(AI6="K5-POLICY",AH6&lt;&gt;"นิติศาสตร์",OR(AA6="M2",AA6="K4"),AD6&gt;=2,OR(AC6&lt;W6,AC6&lt;Q6)),EDATE(AC6,12*2),AND(AI6="K5-POLICY",AH6&lt;&gt;"นิติศาสตร์",AA6="S1",AD6&gt;=1,OR(AC6&lt;W6,AC6&lt;Q6)),EDATE(AC6,12),AND(AI6="K5-POLICY",AH6&lt;&gt;"นิติศาสตร์",OR(U6="M2",U6="K4"),X6&gt;=2,W6&lt;Q6),EDATE(W6,12*2),AND(AI6="K5-POLICY",AH6&lt;&gt;"นิติศาสตร์",U6="S1",X6&gt;=1,W6&lt;Q6),EDATE(W6,12),AND(AI6="K5-POLICY",AH6&lt;&gt;"นิติศาสตร์",OR(U6="S2",U6="K5")),W6,AND(AI6="K5-POLICY",AH6&lt;&gt;"นิติศาสตร์",OR(L6="M2",L6="K4"),R6&gt;=2),EDATE(Q6,12*2),AND(AI6="K5-POLICY",AH6&lt;&gt;"นิติศาสตร์",L6="S1",R6&gt;=1),EDATE(Q6,12),AND(AI6="K5-POLICY",AH6&lt;&gt;"นิติศาสตร์",OR(L6="S2",L6="K5")),Q6,TRUE,"Check Data")</f>
        <v/>
      </c>
      <c r="AK6" s="75" t="str">
        <f t="shared" si="5"/>
        <v>Check Data</v>
      </c>
      <c r="AL6" s="76" t="str">
        <f t="shared" si="6"/>
        <v>Check Data</v>
      </c>
      <c r="AM6" s="50" t="str">
        <f t="shared" si="7"/>
        <v>Check Data</v>
      </c>
      <c r="AN6" s="49" t="str">
        <f>IF(B6="","",IF(L6="S1","S1",INDEX(#REF!,#REF!)))</f>
        <v/>
      </c>
      <c r="AO6" s="49" t="str">
        <f>L6</f>
        <v>M2</v>
      </c>
      <c r="AP6" s="50" t="b">
        <f>L6=AN6</f>
        <v>0</v>
      </c>
      <c r="AQ6" s="50"/>
    </row>
    <row r="7" spans="1:43" ht="21.75">
      <c r="A7" s="49">
        <v>5</v>
      </c>
      <c r="B7" s="50"/>
      <c r="C7" s="50"/>
      <c r="D7" s="50" t="s">
        <v>142</v>
      </c>
      <c r="E7" s="50" t="e">
        <f>INDEX(#REF!,#REF!)</f>
        <v>#REF!</v>
      </c>
      <c r="F7" s="49" t="s">
        <v>262</v>
      </c>
      <c r="G7" s="49" t="str">
        <f t="shared" si="0"/>
        <v>11/04/1996</v>
      </c>
      <c r="H7" s="50">
        <f t="shared" si="1"/>
        <v>29</v>
      </c>
      <c r="I7" s="50">
        <f t="shared" si="2"/>
        <v>2</v>
      </c>
      <c r="J7" s="50">
        <f t="shared" si="3"/>
        <v>9</v>
      </c>
      <c r="K7" s="58"/>
      <c r="L7" s="49" t="s">
        <v>136</v>
      </c>
      <c r="M7" s="64"/>
      <c r="N7" s="49" t="s">
        <v>425</v>
      </c>
      <c r="O7" s="49">
        <v>2573</v>
      </c>
      <c r="P7" s="65" t="s">
        <v>205</v>
      </c>
      <c r="Q7" s="49" t="str">
        <f t="shared" si="4"/>
        <v>26/10/2016</v>
      </c>
      <c r="R7" s="68">
        <f>IF(Q7="",0,DATEDIF(Q7,$C$1,"Y"))</f>
        <v>8</v>
      </c>
      <c r="S7" s="68">
        <f>IF(Q7="",0,DATEDIF(Q7,$C$1,"YM"))</f>
        <v>7</v>
      </c>
      <c r="T7" s="68">
        <f>IF(Q7="",0,DATEDIF(Q7,$C$1,"MD"))</f>
        <v>25</v>
      </c>
      <c r="U7" s="65"/>
      <c r="V7" s="65"/>
      <c r="W7" s="49" t="str">
        <f t="shared" si="8"/>
        <v/>
      </c>
      <c r="X7" s="68">
        <f>IF(W7="",0,DATEDIF(W7,Q7,"Y"))</f>
        <v>0</v>
      </c>
      <c r="Y7" s="68">
        <f>IF(W7="",0,DATEDIF(W7,Q7,"YM"))</f>
        <v>0</v>
      </c>
      <c r="Z7" s="68">
        <f>IF(W7="",0,DATEDIF(W7,Q7,"MD"))</f>
        <v>0</v>
      </c>
      <c r="AA7" s="49"/>
      <c r="AB7" s="65"/>
      <c r="AC7" s="50" t="str">
        <f t="shared" si="9"/>
        <v/>
      </c>
      <c r="AD7" s="68">
        <f t="shared" si="10"/>
        <v>0</v>
      </c>
      <c r="AE7" s="68">
        <f t="shared" si="11"/>
        <v>0</v>
      </c>
      <c r="AF7" s="68">
        <f t="shared" si="12"/>
        <v>0</v>
      </c>
      <c r="AG7" s="50"/>
      <c r="AH7" s="108" t="s">
        <v>138</v>
      </c>
      <c r="AI7" s="49" t="str">
        <f>IF(AH7="นิติศาสตร์","K5-LAW","K5-POLICY")</f>
        <v>K5-LAW</v>
      </c>
      <c r="AJ7" s="72" t="str">
        <f>_xlfn.IFS(B7="","",AND(AI7="K5-LAW",AH7="นิติศาสตร์",L7="S2",U7="",AA7=""),Q7,AND(AI7="K5-LAW",AH7="นิติศาสตร์",L7="S1",U7="",AA7=""),EDATE(Q7,12),AND(AI7="K5-LAW",AH7="นิติศาสตร์",OR(L7="M2",L7="K4"),U7="",AA7=""),EDATE(Q7,12*2),AND(AI7="K5-LAW",AH7="นิติศาสตร์",OR(AA7="M2",AA7="K4"),AD7&gt;=2,OR(AC7&lt;W7,AC7&lt;Q7)),EDATE(AC7,12*2),AND(AI7="K5-LAW",AH7="นิติศาสตร์",AA7="S1",AD7&gt;=1,OR(AC7&lt;W7,AC7&lt;Q7)),EDATE(AC7,12),AND(AI7="K5-LAW",AH7="นิติศาสตร์",OR(U7="M2",U7="K4"),X7&gt;=2,W7&lt;Q7),EDATE(W7,12*2),AND(AI7="K5-LAW",AH7="นิติศาสตร์",U7="S1",X7&gt;=1,W7&lt;Q7),EDATE(W7,12),AND(AI7="K5-LAW",AH7="นิติศาสตร์",OR(U7="S2",U7="K5")),W7,AND(AI7="K5-LAW",AH7="นิติศาสตร์",OR(L7="M2",L7="K4"),R7&gt;=2),EDATE(Q7,12*2),AND(AI7="K5-LAW",AH7="นิติศาสตร์",L7="S1",R7&gt;=1),EDATE(Q7,12),AND(AI7="K5-LAW",AH7="นิติศาสตร์",OR(L7="S2",L7="K5")),Q7,AND(AI7="K5-POLICY",AH7&lt;&gt;"นิติศาสตร์",L7="S2",U7="",AA7=""),Q7,AND(AI7="K5-POLICY",AH7&lt;&gt;"นิติศาสตร์",L7="S1",U7="",AA7=""),EDATE(Q7,12),AND(AI7="K5-POLICY",AH7&lt;&gt;"นิติศาสตร์",OR(L7="M2",L7="K4"),U7="",AA7=""),EDATE(Q7,12*2),AND(AI7="K5-POLICY",AH7&lt;&gt;"นิติศาสตร์",OR(AA7="M2",AA7="K4"),AD7&gt;=2,OR(AC7&lt;W7,AC7&lt;Q7)),EDATE(AC7,12*2),AND(AI7="K5-POLICY",AH7&lt;&gt;"นิติศาสตร์",AA7="S1",AD7&gt;=1,OR(AC7&lt;W7,AC7&lt;Q7)),EDATE(AC7,12),AND(AI7="K5-POLICY",AH7&lt;&gt;"นิติศาสตร์",OR(U7="M2",U7="K4"),X7&gt;=2,W7&lt;Q7),EDATE(W7,12*2),AND(AI7="K5-POLICY",AH7&lt;&gt;"นิติศาสตร์",U7="S1",X7&gt;=1,W7&lt;Q7),EDATE(W7,12),AND(AI7="K5-POLICY",AH7&lt;&gt;"นิติศาสตร์",OR(U7="S2",U7="K5")),W7,AND(AI7="K5-POLICY",AH7&lt;&gt;"นิติศาสตร์",OR(L7="M2",L7="K4"),R7&gt;=2),EDATE(Q7,12*2),AND(AI7="K5-POLICY",AH7&lt;&gt;"นิติศาสตร์",L7="S1",R7&gt;=1),EDATE(Q7,12),AND(AI7="K5-POLICY",AH7&lt;&gt;"นิติศาสตร์",OR(L7="S2",L7="K5")),Q7,TRUE,"Check Data")</f>
        <v/>
      </c>
      <c r="AK7" s="75" t="str">
        <f t="shared" si="5"/>
        <v>Check Data</v>
      </c>
      <c r="AL7" s="76" t="str">
        <f t="shared" si="6"/>
        <v>Check Data</v>
      </c>
      <c r="AM7" s="50" t="str">
        <f t="shared" si="7"/>
        <v>Check Data</v>
      </c>
      <c r="AN7" s="49" t="str">
        <f>IF(B7="","",IF(L7="S1","S1",INDEX(#REF!,#REF!)))</f>
        <v/>
      </c>
      <c r="AO7" s="49" t="str">
        <f>L7</f>
        <v>M2</v>
      </c>
      <c r="AP7" s="50" t="b">
        <f>L7=AN7</f>
        <v>0</v>
      </c>
      <c r="AQ7" s="50"/>
    </row>
    <row r="8" spans="1:43" ht="21.75">
      <c r="A8" s="49">
        <v>6</v>
      </c>
      <c r="B8" s="50"/>
      <c r="C8" s="50"/>
      <c r="D8" s="50" t="s">
        <v>139</v>
      </c>
      <c r="E8" s="50" t="e">
        <f>INDEX(#REF!,#REF!)</f>
        <v>#REF!</v>
      </c>
      <c r="F8" s="49" t="s">
        <v>208</v>
      </c>
      <c r="G8" s="49" t="str">
        <f t="shared" si="0"/>
        <v>01/02/1990</v>
      </c>
      <c r="H8" s="50">
        <f t="shared" si="1"/>
        <v>35</v>
      </c>
      <c r="I8" s="50">
        <f t="shared" si="2"/>
        <v>4</v>
      </c>
      <c r="J8" s="50">
        <f t="shared" si="3"/>
        <v>19</v>
      </c>
      <c r="K8" s="56"/>
      <c r="L8" s="49" t="s">
        <v>136</v>
      </c>
      <c r="M8" s="64"/>
      <c r="N8" s="49" t="s">
        <v>425</v>
      </c>
      <c r="O8" s="49">
        <v>2569</v>
      </c>
      <c r="P8" s="65" t="s">
        <v>209</v>
      </c>
      <c r="Q8" s="49" t="str">
        <f t="shared" si="4"/>
        <v>19/12/2016</v>
      </c>
      <c r="R8" s="68">
        <f>IF(Q8="",0,DATEDIF(Q8,$C$1,"Y"))</f>
        <v>8</v>
      </c>
      <c r="S8" s="68">
        <f>IF(Q8="",0,DATEDIF(Q8,$C$1,"YM"))</f>
        <v>6</v>
      </c>
      <c r="T8" s="68">
        <f>IF(Q8="",0,DATEDIF(Q8,$C$1,"MD"))</f>
        <v>1</v>
      </c>
      <c r="U8" s="65"/>
      <c r="V8" s="65"/>
      <c r="W8" s="49" t="str">
        <f t="shared" si="8"/>
        <v/>
      </c>
      <c r="X8" s="68">
        <f>IF(W8="",0,DATEDIF(W8,Q8,"Y"))</f>
        <v>0</v>
      </c>
      <c r="Y8" s="68">
        <f>IF(W8="",0,DATEDIF(W8,Q8,"YM"))</f>
        <v>0</v>
      </c>
      <c r="Z8" s="68">
        <f>IF(W8="",0,DATEDIF(W8,Q8,"MD"))</f>
        <v>0</v>
      </c>
      <c r="AA8" s="49"/>
      <c r="AB8" s="65"/>
      <c r="AC8" s="50" t="str">
        <f t="shared" si="9"/>
        <v/>
      </c>
      <c r="AD8" s="68">
        <f t="shared" si="10"/>
        <v>0</v>
      </c>
      <c r="AE8" s="68">
        <f t="shared" si="11"/>
        <v>0</v>
      </c>
      <c r="AF8" s="68">
        <f t="shared" si="12"/>
        <v>0</v>
      </c>
      <c r="AG8" s="50"/>
      <c r="AH8" s="108" t="s">
        <v>165</v>
      </c>
      <c r="AI8" s="49" t="str">
        <f>IF(AH8="นิติศาสตร์","K5-LAW","K5-POLICY")</f>
        <v>K5-POLICY</v>
      </c>
      <c r="AJ8" s="72" t="str">
        <f>_xlfn.IFS(B8="","",AND(AI8="K5-LAW",AH8="นิติศาสตร์",L8="S2",U8="",AA8=""),Q8,AND(AI8="K5-LAW",AH8="นิติศาสตร์",L8="S1",U8="",AA8=""),EDATE(Q8,12),AND(AI8="K5-LAW",AH8="นิติศาสตร์",OR(L8="M2",L8="K4"),U8="",AA8=""),EDATE(Q8,12*2),AND(AI8="K5-LAW",AH8="นิติศาสตร์",OR(AA8="M2",AA8="K4"),AD8&gt;=2,OR(AC8&lt;W8,AC8&lt;Q8)),EDATE(AC8,12*2),AND(AI8="K5-LAW",AH8="นิติศาสตร์",AA8="S1",AD8&gt;=1,OR(AC8&lt;W8,AC8&lt;Q8)),EDATE(AC8,12),AND(AI8="K5-LAW",AH8="นิติศาสตร์",OR(U8="M2",U8="K4"),X8&gt;=2,W8&lt;Q8),EDATE(W8,12*2),AND(AI8="K5-LAW",AH8="นิติศาสตร์",U8="S1",X8&gt;=1,W8&lt;Q8),EDATE(W8,12),AND(AI8="K5-LAW",AH8="นิติศาสตร์",OR(U8="S2",U8="K5")),W8,AND(AI8="K5-LAW",AH8="นิติศาสตร์",OR(L8="M2",L8="K4"),R8&gt;=2),EDATE(Q8,12*2),AND(AI8="K5-LAW",AH8="นิติศาสตร์",L8="S1",R8&gt;=1),EDATE(Q8,12),AND(AI8="K5-LAW",AH8="นิติศาสตร์",OR(L8="S2",L8="K5")),Q8,AND(AI8="K5-POLICY",AH8&lt;&gt;"นิติศาสตร์",L8="S2",U8="",AA8=""),Q8,AND(AI8="K5-POLICY",AH8&lt;&gt;"นิติศาสตร์",L8="S1",U8="",AA8=""),EDATE(Q8,12),AND(AI8="K5-POLICY",AH8&lt;&gt;"นิติศาสตร์",OR(L8="M2",L8="K4"),U8="",AA8=""),EDATE(Q8,12*2),AND(AI8="K5-POLICY",AH8&lt;&gt;"นิติศาสตร์",OR(AA8="M2",AA8="K4"),AD8&gt;=2,OR(AC8&lt;W8,AC8&lt;Q8)),EDATE(AC8,12*2),AND(AI8="K5-POLICY",AH8&lt;&gt;"นิติศาสตร์",AA8="S1",AD8&gt;=1,OR(AC8&lt;W8,AC8&lt;Q8)),EDATE(AC8,12),AND(AI8="K5-POLICY",AH8&lt;&gt;"นิติศาสตร์",OR(U8="M2",U8="K4"),X8&gt;=2,W8&lt;Q8),EDATE(W8,12*2),AND(AI8="K5-POLICY",AH8&lt;&gt;"นิติศาสตร์",U8="S1",X8&gt;=1,W8&lt;Q8),EDATE(W8,12),AND(AI8="K5-POLICY",AH8&lt;&gt;"นิติศาสตร์",OR(U8="S2",U8="K5")),W8,AND(AI8="K5-POLICY",AH8&lt;&gt;"นิติศาสตร์",OR(L8="M2",L8="K4"),R8&gt;=2),EDATE(Q8,12*2),AND(AI8="K5-POLICY",AH8&lt;&gt;"นิติศาสตร์",L8="S1",R8&gt;=1),EDATE(Q8,12),AND(AI8="K5-POLICY",AH8&lt;&gt;"นิติศาสตร์",OR(L8="S2",L8="K5")),Q8,TRUE,"Check Data")</f>
        <v/>
      </c>
      <c r="AK8" s="75" t="str">
        <f t="shared" si="5"/>
        <v>Check Data</v>
      </c>
      <c r="AL8" s="76" t="str">
        <f t="shared" si="6"/>
        <v>Check Data</v>
      </c>
      <c r="AM8" s="50" t="str">
        <f t="shared" si="7"/>
        <v>Check Data</v>
      </c>
      <c r="AN8" s="49" t="str">
        <f>IF(B8="","",IF(L8="S1","S1",INDEX(#REF!,#REF!)))</f>
        <v/>
      </c>
      <c r="AO8" s="49" t="str">
        <f>L8</f>
        <v>M2</v>
      </c>
      <c r="AP8" s="50" t="b">
        <f>L8=AN8</f>
        <v>0</v>
      </c>
      <c r="AQ8" s="50"/>
    </row>
    <row r="9" spans="1:43" ht="21.75">
      <c r="A9" s="49">
        <v>7</v>
      </c>
      <c r="B9" s="50"/>
      <c r="C9" s="50"/>
      <c r="D9" s="50" t="s">
        <v>139</v>
      </c>
      <c r="E9" s="50" t="e">
        <f>INDEX(#REF!,#REF!)</f>
        <v>#REF!</v>
      </c>
      <c r="F9" s="49" t="s">
        <v>164</v>
      </c>
      <c r="G9" s="49" t="str">
        <f t="shared" si="0"/>
        <v>01/05/1990</v>
      </c>
      <c r="H9" s="50">
        <f t="shared" si="1"/>
        <v>35</v>
      </c>
      <c r="I9" s="50">
        <f t="shared" si="2"/>
        <v>1</v>
      </c>
      <c r="J9" s="50">
        <f t="shared" si="3"/>
        <v>19</v>
      </c>
      <c r="K9" s="56"/>
      <c r="L9" s="49" t="s">
        <v>136</v>
      </c>
      <c r="M9" s="64"/>
      <c r="N9" s="49" t="s">
        <v>425</v>
      </c>
      <c r="O9" s="49">
        <v>2570</v>
      </c>
      <c r="P9" s="65" t="s">
        <v>209</v>
      </c>
      <c r="Q9" s="49" t="str">
        <f t="shared" si="4"/>
        <v>19/12/2016</v>
      </c>
      <c r="R9" s="68">
        <f>IF(Q9="",0,DATEDIF(Q9,$C$1,"Y"))</f>
        <v>8</v>
      </c>
      <c r="S9" s="68">
        <f>IF(Q9="",0,DATEDIF(Q9,$C$1,"YM"))</f>
        <v>6</v>
      </c>
      <c r="T9" s="68">
        <f>IF(Q9="",0,DATEDIF(Q9,$C$1,"MD"))</f>
        <v>1</v>
      </c>
      <c r="U9" s="65"/>
      <c r="V9" s="65"/>
      <c r="W9" s="49" t="str">
        <f t="shared" si="8"/>
        <v/>
      </c>
      <c r="X9" s="68">
        <f>IF(W9="",0,DATEDIF(W9,Q9,"Y"))</f>
        <v>0</v>
      </c>
      <c r="Y9" s="68">
        <f>IF(W9="",0,DATEDIF(W9,Q9,"YM"))</f>
        <v>0</v>
      </c>
      <c r="Z9" s="68">
        <f>IF(W9="",0,DATEDIF(W9,Q9,"MD"))</f>
        <v>0</v>
      </c>
      <c r="AA9" s="49"/>
      <c r="AB9" s="65"/>
      <c r="AC9" s="50" t="str">
        <f t="shared" si="9"/>
        <v/>
      </c>
      <c r="AD9" s="68">
        <f t="shared" si="10"/>
        <v>0</v>
      </c>
      <c r="AE9" s="68">
        <f t="shared" si="11"/>
        <v>0</v>
      </c>
      <c r="AF9" s="68">
        <f t="shared" si="12"/>
        <v>0</v>
      </c>
      <c r="AG9" s="50"/>
      <c r="AH9" s="108" t="s">
        <v>178</v>
      </c>
      <c r="AI9" s="49" t="str">
        <f>IF(AH9="นิติศาสตร์","K5-LAW","K5-POLICY")</f>
        <v>K5-POLICY</v>
      </c>
      <c r="AJ9" s="72" t="str">
        <f>_xlfn.IFS(B9="","",AND(AI9="K5-LAW",AH9="นิติศาสตร์",L9="S2",U9="",AA9=""),Q9,AND(AI9="K5-LAW",AH9="นิติศาสตร์",L9="S1",U9="",AA9=""),EDATE(Q9,12),AND(AI9="K5-LAW",AH9="นิติศาสตร์",OR(L9="M2",L9="K4"),U9="",AA9=""),EDATE(Q9,12*2),AND(AI9="K5-LAW",AH9="นิติศาสตร์",OR(AA9="M2",AA9="K4"),AD9&gt;=2,OR(AC9&lt;W9,AC9&lt;Q9)),EDATE(AC9,12*2),AND(AI9="K5-LAW",AH9="นิติศาสตร์",AA9="S1",AD9&gt;=1,OR(AC9&lt;W9,AC9&lt;Q9)),EDATE(AC9,12),AND(AI9="K5-LAW",AH9="นิติศาสตร์",OR(U9="M2",U9="K4"),X9&gt;=2,W9&lt;Q9),EDATE(W9,12*2),AND(AI9="K5-LAW",AH9="นิติศาสตร์",U9="S1",X9&gt;=1,W9&lt;Q9),EDATE(W9,12),AND(AI9="K5-LAW",AH9="นิติศาสตร์",OR(U9="S2",U9="K5")),W9,AND(AI9="K5-LAW",AH9="นิติศาสตร์",OR(L9="M2",L9="K4"),R9&gt;=2),EDATE(Q9,12*2),AND(AI9="K5-LAW",AH9="นิติศาสตร์",L9="S1",R9&gt;=1),EDATE(Q9,12),AND(AI9="K5-LAW",AH9="นิติศาสตร์",OR(L9="S2",L9="K5")),Q9,AND(AI9="K5-POLICY",AH9&lt;&gt;"นิติศาสตร์",L9="S2",U9="",AA9=""),Q9,AND(AI9="K5-POLICY",AH9&lt;&gt;"นิติศาสตร์",L9="S1",U9="",AA9=""),EDATE(Q9,12),AND(AI9="K5-POLICY",AH9&lt;&gt;"นิติศาสตร์",OR(L9="M2",L9="K4"),U9="",AA9=""),EDATE(Q9,12*2),AND(AI9="K5-POLICY",AH9&lt;&gt;"นิติศาสตร์",OR(AA9="M2",AA9="K4"),AD9&gt;=2,OR(AC9&lt;W9,AC9&lt;Q9)),EDATE(AC9,12*2),AND(AI9="K5-POLICY",AH9&lt;&gt;"นิติศาสตร์",AA9="S1",AD9&gt;=1,OR(AC9&lt;W9,AC9&lt;Q9)),EDATE(AC9,12),AND(AI9="K5-POLICY",AH9&lt;&gt;"นิติศาสตร์",OR(U9="M2",U9="K4"),X9&gt;=2,W9&lt;Q9),EDATE(W9,12*2),AND(AI9="K5-POLICY",AH9&lt;&gt;"นิติศาสตร์",U9="S1",X9&gt;=1,W9&lt;Q9),EDATE(W9,12),AND(AI9="K5-POLICY",AH9&lt;&gt;"นิติศาสตร์",OR(U9="S2",U9="K5")),W9,AND(AI9="K5-POLICY",AH9&lt;&gt;"นิติศาสตร์",OR(L9="M2",L9="K4"),R9&gt;=2),EDATE(Q9,12*2),AND(AI9="K5-POLICY",AH9&lt;&gt;"นิติศาสตร์",L9="S1",R9&gt;=1),EDATE(Q9,12),AND(AI9="K5-POLICY",AH9&lt;&gt;"นิติศาสตร์",OR(L9="S2",L9="K5")),Q9,TRUE,"Check Data")</f>
        <v/>
      </c>
      <c r="AK9" s="75" t="str">
        <f t="shared" si="5"/>
        <v>Check Data</v>
      </c>
      <c r="AL9" s="76" t="str">
        <f t="shared" si="6"/>
        <v>Check Data</v>
      </c>
      <c r="AM9" s="50" t="str">
        <f t="shared" si="7"/>
        <v>Check Data</v>
      </c>
      <c r="AN9" s="49" t="str">
        <f>IF(B9="","",IF(L9="S1","S1",INDEX(#REF!,#REF!)))</f>
        <v/>
      </c>
      <c r="AO9" s="49" t="str">
        <f>L9</f>
        <v>M2</v>
      </c>
      <c r="AP9" s="50" t="b">
        <f>L9=AN9</f>
        <v>0</v>
      </c>
      <c r="AQ9" s="50"/>
    </row>
    <row r="10" spans="1:43" ht="21.75">
      <c r="A10" s="49">
        <v>8</v>
      </c>
      <c r="B10" s="50"/>
      <c r="C10" s="50"/>
      <c r="D10" s="50" t="s">
        <v>142</v>
      </c>
      <c r="E10" s="50" t="e">
        <f>INDEX(#REF!,#REF!)</f>
        <v>#REF!</v>
      </c>
      <c r="F10" s="49" t="s">
        <v>271</v>
      </c>
      <c r="G10" s="49" t="str">
        <f t="shared" si="0"/>
        <v>10/05/1999</v>
      </c>
      <c r="H10" s="50">
        <f t="shared" si="1"/>
        <v>26</v>
      </c>
      <c r="I10" s="50">
        <f t="shared" si="2"/>
        <v>1</v>
      </c>
      <c r="J10" s="50">
        <f t="shared" si="3"/>
        <v>10</v>
      </c>
      <c r="K10" s="58"/>
      <c r="L10" s="49" t="s">
        <v>136</v>
      </c>
      <c r="M10" s="64"/>
      <c r="N10" s="49" t="s">
        <v>425</v>
      </c>
      <c r="O10" s="49">
        <v>2573</v>
      </c>
      <c r="P10" s="65" t="s">
        <v>272</v>
      </c>
      <c r="Q10" s="49" t="str">
        <f t="shared" si="4"/>
        <v>03/07/2017</v>
      </c>
      <c r="R10" s="68">
        <f>IF(Q10="",0,DATEDIF(Q10,$C$1,"Y"))</f>
        <v>7</v>
      </c>
      <c r="S10" s="68">
        <f>IF(Q10="",0,DATEDIF(Q10,$C$1,"YM"))</f>
        <v>11</v>
      </c>
      <c r="T10" s="68">
        <f>IF(Q10="",0,DATEDIF(Q10,$C$1,"MD"))</f>
        <v>17</v>
      </c>
      <c r="U10" s="65"/>
      <c r="V10" s="65"/>
      <c r="W10" s="49" t="str">
        <f t="shared" si="8"/>
        <v/>
      </c>
      <c r="X10" s="68">
        <f>IF(W10="",0,DATEDIF(W10,Q10,"Y"))</f>
        <v>0</v>
      </c>
      <c r="Y10" s="68">
        <f>IF(W10="",0,DATEDIF(W10,Q10,"YM"))</f>
        <v>0</v>
      </c>
      <c r="Z10" s="68">
        <f>IF(W10="",0,DATEDIF(W10,Q10,"MD"))</f>
        <v>0</v>
      </c>
      <c r="AA10" s="49"/>
      <c r="AB10" s="65"/>
      <c r="AC10" s="50" t="str">
        <f t="shared" si="9"/>
        <v/>
      </c>
      <c r="AD10" s="68">
        <f t="shared" si="10"/>
        <v>0</v>
      </c>
      <c r="AE10" s="68">
        <f t="shared" si="11"/>
        <v>0</v>
      </c>
      <c r="AF10" s="68">
        <f t="shared" si="12"/>
        <v>0</v>
      </c>
      <c r="AG10" s="50"/>
      <c r="AH10" s="108" t="s">
        <v>510</v>
      </c>
      <c r="AI10" s="49" t="str">
        <f>IF(AH10="นิติศาสตร์","K5-LAW","K5-POLICY")</f>
        <v>K5-POLICY</v>
      </c>
      <c r="AJ10" s="72" t="str">
        <f>_xlfn.IFS(B10="","",AND(AI10="K5-LAW",AH10="นิติศาสตร์",L10="S2",U10="",AA10=""),Q10,AND(AI10="K5-LAW",AH10="นิติศาสตร์",L10="S1",U10="",AA10=""),EDATE(Q10,12),AND(AI10="K5-LAW",AH10="นิติศาสตร์",OR(L10="M2",L10="K4"),U10="",AA10=""),EDATE(Q10,12*2),AND(AI10="K5-LAW",AH10="นิติศาสตร์",OR(AA10="M2",AA10="K4"),AD10&gt;=2,OR(AC10&lt;W10,AC10&lt;Q10)),EDATE(AC10,12*2),AND(AI10="K5-LAW",AH10="นิติศาสตร์",AA10="S1",AD10&gt;=1,OR(AC10&lt;W10,AC10&lt;Q10)),EDATE(AC10,12),AND(AI10="K5-LAW",AH10="นิติศาสตร์",OR(U10="M2",U10="K4"),X10&gt;=2,W10&lt;Q10),EDATE(W10,12*2),AND(AI10="K5-LAW",AH10="นิติศาสตร์",U10="S1",X10&gt;=1,W10&lt;Q10),EDATE(W10,12),AND(AI10="K5-LAW",AH10="นิติศาสตร์",OR(U10="S2",U10="K5")),W10,AND(AI10="K5-LAW",AH10="นิติศาสตร์",OR(L10="M2",L10="K4"),R10&gt;=2),EDATE(Q10,12*2),AND(AI10="K5-LAW",AH10="นิติศาสตร์",L10="S1",R10&gt;=1),EDATE(Q10,12),AND(AI10="K5-LAW",AH10="นิติศาสตร์",OR(L10="S2",L10="K5")),Q10,AND(AI10="K5-POLICY",AH10&lt;&gt;"นิติศาสตร์",L10="S2",U10="",AA10=""),Q10,AND(AI10="K5-POLICY",AH10&lt;&gt;"นิติศาสตร์",L10="S1",U10="",AA10=""),EDATE(Q10,12),AND(AI10="K5-POLICY",AH10&lt;&gt;"นิติศาสตร์",OR(L10="M2",L10="K4"),U10="",AA10=""),EDATE(Q10,12*2),AND(AI10="K5-POLICY",AH10&lt;&gt;"นิติศาสตร์",OR(AA10="M2",AA10="K4"),AD10&gt;=2,OR(AC10&lt;W10,AC10&lt;Q10)),EDATE(AC10,12*2),AND(AI10="K5-POLICY",AH10&lt;&gt;"นิติศาสตร์",AA10="S1",AD10&gt;=1,OR(AC10&lt;W10,AC10&lt;Q10)),EDATE(AC10,12),AND(AI10="K5-POLICY",AH10&lt;&gt;"นิติศาสตร์",OR(U10="M2",U10="K4"),X10&gt;=2,W10&lt;Q10),EDATE(W10,12*2),AND(AI10="K5-POLICY",AH10&lt;&gt;"นิติศาสตร์",U10="S1",X10&gt;=1,W10&lt;Q10),EDATE(W10,12),AND(AI10="K5-POLICY",AH10&lt;&gt;"นิติศาสตร์",OR(U10="S2",U10="K5")),W10,AND(AI10="K5-POLICY",AH10&lt;&gt;"นิติศาสตร์",OR(L10="M2",L10="K4"),R10&gt;=2),EDATE(Q10,12*2),AND(AI10="K5-POLICY",AH10&lt;&gt;"นิติศาสตร์",L10="S1",R10&gt;=1),EDATE(Q10,12),AND(AI10="K5-POLICY",AH10&lt;&gt;"นิติศาสตร์",OR(L10="S2",L10="K5")),Q10,TRUE,"Check Data")</f>
        <v/>
      </c>
      <c r="AK10" s="75" t="str">
        <f t="shared" si="5"/>
        <v>Check Data</v>
      </c>
      <c r="AL10" s="76" t="str">
        <f t="shared" si="6"/>
        <v>Check Data</v>
      </c>
      <c r="AM10" s="50" t="str">
        <f t="shared" si="7"/>
        <v>Check Data</v>
      </c>
      <c r="AN10" s="49" t="str">
        <f>IF(B10="","",IF(L10="S1","S1",INDEX(#REF!,#REF!)))</f>
        <v/>
      </c>
      <c r="AO10" s="49" t="str">
        <f>L10</f>
        <v>M2</v>
      </c>
      <c r="AP10" s="50" t="b">
        <f>L10=AN10</f>
        <v>0</v>
      </c>
      <c r="AQ10" s="50"/>
    </row>
    <row r="11" spans="1:43" ht="21.75">
      <c r="A11" s="49">
        <v>9</v>
      </c>
      <c r="B11" s="50"/>
      <c r="C11" s="50"/>
      <c r="D11" s="50" t="s">
        <v>143</v>
      </c>
      <c r="E11" s="50" t="e">
        <f>INDEX(#REF!,#REF!)</f>
        <v>#REF!</v>
      </c>
      <c r="F11" s="49" t="s">
        <v>328</v>
      </c>
      <c r="G11" s="49" t="str">
        <f t="shared" si="0"/>
        <v>03/06/1991</v>
      </c>
      <c r="H11" s="50">
        <f t="shared" si="1"/>
        <v>34</v>
      </c>
      <c r="I11" s="50">
        <f t="shared" si="2"/>
        <v>0</v>
      </c>
      <c r="J11" s="50">
        <f t="shared" si="3"/>
        <v>17</v>
      </c>
      <c r="K11" s="59"/>
      <c r="L11" s="49" t="s">
        <v>136</v>
      </c>
      <c r="M11" s="64"/>
      <c r="N11" s="49" t="s">
        <v>425</v>
      </c>
      <c r="O11" s="49">
        <v>2569</v>
      </c>
      <c r="P11" s="65" t="s">
        <v>435</v>
      </c>
      <c r="Q11" s="49" t="str">
        <f t="shared" si="4"/>
        <v>11/09/2017</v>
      </c>
      <c r="R11" s="68">
        <f>IF(Q11="",0,DATEDIF(Q11,$C$1,"Y"))</f>
        <v>7</v>
      </c>
      <c r="S11" s="68">
        <f>IF(Q11="",0,DATEDIF(Q11,$C$1,"YM"))</f>
        <v>9</v>
      </c>
      <c r="T11" s="68">
        <f>IF(Q11="",0,DATEDIF(Q11,$C$1,"MD"))</f>
        <v>9</v>
      </c>
      <c r="U11" s="65"/>
      <c r="V11" s="65"/>
      <c r="W11" s="49" t="str">
        <f t="shared" si="8"/>
        <v/>
      </c>
      <c r="X11" s="68">
        <f>IF(W11="",0,DATEDIF(W11,Q11,"Y"))</f>
        <v>0</v>
      </c>
      <c r="Y11" s="68">
        <f>IF(W11="",0,DATEDIF(W11,Q11,"YM"))</f>
        <v>0</v>
      </c>
      <c r="Z11" s="68">
        <f>IF(W11="",0,DATEDIF(W11,Q11,"MD"))</f>
        <v>0</v>
      </c>
      <c r="AA11" s="49"/>
      <c r="AB11" s="65"/>
      <c r="AC11" s="50" t="str">
        <f t="shared" si="9"/>
        <v/>
      </c>
      <c r="AD11" s="68">
        <f t="shared" si="10"/>
        <v>0</v>
      </c>
      <c r="AE11" s="68">
        <f t="shared" si="11"/>
        <v>0</v>
      </c>
      <c r="AF11" s="68">
        <f t="shared" si="12"/>
        <v>0</v>
      </c>
      <c r="AG11" s="50"/>
      <c r="AH11" s="108" t="s">
        <v>329</v>
      </c>
      <c r="AI11" s="49" t="str">
        <f>IF(AH11="นิติศาสตร์","K5-LAW","K5-POLICY")</f>
        <v>K5-POLICY</v>
      </c>
      <c r="AJ11" s="72" t="str">
        <f>_xlfn.IFS(B11="","",AND(AI11="K5-LAW",AH11="นิติศาสตร์",L11="S2",U11="",AA11=""),Q11,AND(AI11="K5-LAW",AH11="นิติศาสตร์",L11="S1",U11="",AA11=""),EDATE(Q11,12),AND(AI11="K5-LAW",AH11="นิติศาสตร์",OR(L11="M2",L11="K4"),U11="",AA11=""),EDATE(Q11,12*2),AND(AI11="K5-LAW",AH11="นิติศาสตร์",OR(AA11="M2",AA11="K4"),AD11&gt;=2,OR(AC11&lt;W11,AC11&lt;Q11)),EDATE(AC11,12*2),AND(AI11="K5-LAW",AH11="นิติศาสตร์",AA11="S1",AD11&gt;=1,OR(AC11&lt;W11,AC11&lt;Q11)),EDATE(AC11,12),AND(AI11="K5-LAW",AH11="นิติศาสตร์",OR(U11="M2",U11="K4"),X11&gt;=2,W11&lt;Q11),EDATE(W11,12*2),AND(AI11="K5-LAW",AH11="นิติศาสตร์",U11="S1",X11&gt;=1,W11&lt;Q11),EDATE(W11,12),AND(AI11="K5-LAW",AH11="นิติศาสตร์",OR(U11="S2",U11="K5")),W11,AND(AI11="K5-LAW",AH11="นิติศาสตร์",OR(L11="M2",L11="K4"),R11&gt;=2),EDATE(Q11,12*2),AND(AI11="K5-LAW",AH11="นิติศาสตร์",L11="S1",R11&gt;=1),EDATE(Q11,12),AND(AI11="K5-LAW",AH11="นิติศาสตร์",OR(L11="S2",L11="K5")),Q11,AND(AI11="K5-POLICY",AH11&lt;&gt;"นิติศาสตร์",L11="S2",U11="",AA11=""),Q11,AND(AI11="K5-POLICY",AH11&lt;&gt;"นิติศาสตร์",L11="S1",U11="",AA11=""),EDATE(Q11,12),AND(AI11="K5-POLICY",AH11&lt;&gt;"นิติศาสตร์",OR(L11="M2",L11="K4"),U11="",AA11=""),EDATE(Q11,12*2),AND(AI11="K5-POLICY",AH11&lt;&gt;"นิติศาสตร์",OR(AA11="M2",AA11="K4"),AD11&gt;=2,OR(AC11&lt;W11,AC11&lt;Q11)),EDATE(AC11,12*2),AND(AI11="K5-POLICY",AH11&lt;&gt;"นิติศาสตร์",AA11="S1",AD11&gt;=1,OR(AC11&lt;W11,AC11&lt;Q11)),EDATE(AC11,12),AND(AI11="K5-POLICY",AH11&lt;&gt;"นิติศาสตร์",OR(U11="M2",U11="K4"),X11&gt;=2,W11&lt;Q11),EDATE(W11,12*2),AND(AI11="K5-POLICY",AH11&lt;&gt;"นิติศาสตร์",U11="S1",X11&gt;=1,W11&lt;Q11),EDATE(W11,12),AND(AI11="K5-POLICY",AH11&lt;&gt;"นิติศาสตร์",OR(U11="S2",U11="K5")),W11,AND(AI11="K5-POLICY",AH11&lt;&gt;"นิติศาสตร์",OR(L11="M2",L11="K4"),R11&gt;=2),EDATE(Q11,12*2),AND(AI11="K5-POLICY",AH11&lt;&gt;"นิติศาสตร์",L11="S1",R11&gt;=1),EDATE(Q11,12),AND(AI11="K5-POLICY",AH11&lt;&gt;"นิติศาสตร์",OR(L11="S2",L11="K5")),Q11,TRUE,"Check Data")</f>
        <v/>
      </c>
      <c r="AK11" s="75" t="str">
        <f t="shared" si="5"/>
        <v>Check Data</v>
      </c>
      <c r="AL11" s="76" t="str">
        <f t="shared" si="6"/>
        <v>Check Data</v>
      </c>
      <c r="AM11" s="50" t="str">
        <f t="shared" si="7"/>
        <v>Check Data</v>
      </c>
      <c r="AN11" s="49" t="str">
        <f>IF(B11="","",IF(L11="S1","S1",INDEX(#REF!,#REF!)))</f>
        <v/>
      </c>
      <c r="AO11" s="49" t="str">
        <f>L11</f>
        <v>M2</v>
      </c>
      <c r="AP11" s="50" t="b">
        <f>L11=AN11</f>
        <v>0</v>
      </c>
      <c r="AQ11" s="50"/>
    </row>
    <row r="12" spans="1:43" ht="21.75">
      <c r="A12" s="49">
        <v>10</v>
      </c>
      <c r="B12" s="50"/>
      <c r="C12" s="50"/>
      <c r="D12" s="50" t="s">
        <v>143</v>
      </c>
      <c r="E12" s="50" t="e">
        <f>INDEX(#REF!,#REF!)</f>
        <v>#REF!</v>
      </c>
      <c r="F12" s="49" t="s">
        <v>208</v>
      </c>
      <c r="G12" s="49" t="str">
        <f t="shared" si="0"/>
        <v>01/02/1990</v>
      </c>
      <c r="H12" s="50">
        <f t="shared" si="1"/>
        <v>35</v>
      </c>
      <c r="I12" s="50">
        <f t="shared" si="2"/>
        <v>4</v>
      </c>
      <c r="J12" s="50">
        <f t="shared" si="3"/>
        <v>19</v>
      </c>
      <c r="K12" s="59"/>
      <c r="L12" s="49" t="s">
        <v>136</v>
      </c>
      <c r="M12" s="64"/>
      <c r="N12" s="49" t="s">
        <v>425</v>
      </c>
      <c r="O12" s="49">
        <v>2569</v>
      </c>
      <c r="P12" s="65" t="s">
        <v>308</v>
      </c>
      <c r="Q12" s="49" t="str">
        <f t="shared" si="4"/>
        <v>16/01/2018</v>
      </c>
      <c r="R12" s="68">
        <f>IF(Q12="",0,DATEDIF(Q12,$C$1,"Y"))</f>
        <v>7</v>
      </c>
      <c r="S12" s="68">
        <f>IF(Q12="",0,DATEDIF(Q12,$C$1,"YM"))</f>
        <v>5</v>
      </c>
      <c r="T12" s="68">
        <f>IF(Q12="",0,DATEDIF(Q12,$C$1,"MD"))</f>
        <v>4</v>
      </c>
      <c r="U12" s="65"/>
      <c r="V12" s="65"/>
      <c r="W12" s="49" t="str">
        <f t="shared" si="8"/>
        <v/>
      </c>
      <c r="X12" s="68">
        <f>IF(W12="",0,DATEDIF(W12,Q12,"Y"))</f>
        <v>0</v>
      </c>
      <c r="Y12" s="68">
        <f>IF(W12="",0,DATEDIF(W12,Q12,"YM"))</f>
        <v>0</v>
      </c>
      <c r="Z12" s="68">
        <f>IF(W12="",0,DATEDIF(W12,Q12,"MD"))</f>
        <v>0</v>
      </c>
      <c r="AA12" s="49"/>
      <c r="AB12" s="65"/>
      <c r="AC12" s="50" t="str">
        <f t="shared" si="9"/>
        <v/>
      </c>
      <c r="AD12" s="68">
        <f t="shared" si="10"/>
        <v>0</v>
      </c>
      <c r="AE12" s="68">
        <f t="shared" si="11"/>
        <v>0</v>
      </c>
      <c r="AF12" s="68">
        <f t="shared" si="12"/>
        <v>0</v>
      </c>
      <c r="AG12" s="50"/>
      <c r="AH12" s="108" t="s">
        <v>269</v>
      </c>
      <c r="AI12" s="49" t="str">
        <f>IF(AH12="นิติศาสตร์","K5-LAW","K5-POLICY")</f>
        <v>K5-POLICY</v>
      </c>
      <c r="AJ12" s="72" t="str">
        <f>_xlfn.IFS(B12="","",AND(AI12="K5-LAW",AH12="นิติศาสตร์",L12="S2",U12="",AA12=""),Q12,AND(AI12="K5-LAW",AH12="นิติศาสตร์",L12="S1",U12="",AA12=""),EDATE(Q12,12),AND(AI12="K5-LAW",AH12="นิติศาสตร์",OR(L12="M2",L12="K4"),U12="",AA12=""),EDATE(Q12,12*2),AND(AI12="K5-LAW",AH12="นิติศาสตร์",OR(AA12="M2",AA12="K4"),AD12&gt;=2,OR(AC12&lt;W12,AC12&lt;Q12)),EDATE(AC12,12*2),AND(AI12="K5-LAW",AH12="นิติศาสตร์",AA12="S1",AD12&gt;=1,OR(AC12&lt;W12,AC12&lt;Q12)),EDATE(AC12,12),AND(AI12="K5-LAW",AH12="นิติศาสตร์",OR(U12="M2",U12="K4"),X12&gt;=2,W12&lt;Q12),EDATE(W12,12*2),AND(AI12="K5-LAW",AH12="นิติศาสตร์",U12="S1",X12&gt;=1,W12&lt;Q12),EDATE(W12,12),AND(AI12="K5-LAW",AH12="นิติศาสตร์",OR(U12="S2",U12="K5")),W12,AND(AI12="K5-LAW",AH12="นิติศาสตร์",OR(L12="M2",L12="K4"),R12&gt;=2),EDATE(Q12,12*2),AND(AI12="K5-LAW",AH12="นิติศาสตร์",L12="S1",R12&gt;=1),EDATE(Q12,12),AND(AI12="K5-LAW",AH12="นิติศาสตร์",OR(L12="S2",L12="K5")),Q12,AND(AI12="K5-POLICY",AH12&lt;&gt;"นิติศาสตร์",L12="S2",U12="",AA12=""),Q12,AND(AI12="K5-POLICY",AH12&lt;&gt;"นิติศาสตร์",L12="S1",U12="",AA12=""),EDATE(Q12,12),AND(AI12="K5-POLICY",AH12&lt;&gt;"นิติศาสตร์",OR(L12="M2",L12="K4"),U12="",AA12=""),EDATE(Q12,12*2),AND(AI12="K5-POLICY",AH12&lt;&gt;"นิติศาสตร์",OR(AA12="M2",AA12="K4"),AD12&gt;=2,OR(AC12&lt;W12,AC12&lt;Q12)),EDATE(AC12,12*2),AND(AI12="K5-POLICY",AH12&lt;&gt;"นิติศาสตร์",AA12="S1",AD12&gt;=1,OR(AC12&lt;W12,AC12&lt;Q12)),EDATE(AC12,12),AND(AI12="K5-POLICY",AH12&lt;&gt;"นิติศาสตร์",OR(U12="M2",U12="K4"),X12&gt;=2,W12&lt;Q12),EDATE(W12,12*2),AND(AI12="K5-POLICY",AH12&lt;&gt;"นิติศาสตร์",U12="S1",X12&gt;=1,W12&lt;Q12),EDATE(W12,12),AND(AI12="K5-POLICY",AH12&lt;&gt;"นิติศาสตร์",OR(U12="S2",U12="K5")),W12,AND(AI12="K5-POLICY",AH12&lt;&gt;"นิติศาสตร์",OR(L12="M2",L12="K4"),R12&gt;=2),EDATE(Q12,12*2),AND(AI12="K5-POLICY",AH12&lt;&gt;"นิติศาสตร์",L12="S1",R12&gt;=1),EDATE(Q12,12),AND(AI12="K5-POLICY",AH12&lt;&gt;"นิติศาสตร์",OR(L12="S2",L12="K5")),Q12,TRUE,"Check Data")</f>
        <v/>
      </c>
      <c r="AK12" s="75" t="str">
        <f t="shared" si="5"/>
        <v>Check Data</v>
      </c>
      <c r="AL12" s="76" t="str">
        <f t="shared" si="6"/>
        <v>Check Data</v>
      </c>
      <c r="AM12" s="50" t="str">
        <f t="shared" si="7"/>
        <v>Check Data</v>
      </c>
      <c r="AN12" s="49" t="str">
        <f>IF(B12="","",IF(L12="S1","S1",INDEX(#REF!,#REF!)))</f>
        <v/>
      </c>
      <c r="AO12" s="49" t="str">
        <f>L12</f>
        <v>M2</v>
      </c>
      <c r="AP12" s="50" t="b">
        <f>L12=AN12</f>
        <v>0</v>
      </c>
      <c r="AQ12" s="50"/>
    </row>
    <row r="13" spans="1:43" ht="21.75">
      <c r="A13" s="49">
        <v>11</v>
      </c>
      <c r="B13" s="50"/>
      <c r="C13" s="50"/>
      <c r="D13" s="50" t="s">
        <v>141</v>
      </c>
      <c r="E13" s="50" t="e">
        <f>INDEX(#REF!,#REF!)</f>
        <v>#REF!</v>
      </c>
      <c r="F13" s="49" t="s">
        <v>243</v>
      </c>
      <c r="G13" s="49" t="str">
        <f t="shared" si="0"/>
        <v>03/01/1995</v>
      </c>
      <c r="H13" s="50">
        <f t="shared" si="1"/>
        <v>30</v>
      </c>
      <c r="I13" s="50">
        <f t="shared" si="2"/>
        <v>5</v>
      </c>
      <c r="J13" s="50">
        <f t="shared" si="3"/>
        <v>17</v>
      </c>
      <c r="K13" s="60"/>
      <c r="L13" s="49" t="s">
        <v>136</v>
      </c>
      <c r="M13" s="64"/>
      <c r="N13" s="49" t="s">
        <v>425</v>
      </c>
      <c r="O13" s="49">
        <v>2573</v>
      </c>
      <c r="P13" s="65" t="s">
        <v>242</v>
      </c>
      <c r="Q13" s="49" t="str">
        <f t="shared" si="4"/>
        <v>20/04/2018</v>
      </c>
      <c r="R13" s="68">
        <f>IF(Q13="",0,DATEDIF(Q13,$C$1,"Y"))</f>
        <v>7</v>
      </c>
      <c r="S13" s="68">
        <f>IF(Q13="",0,DATEDIF(Q13,$C$1,"YM"))</f>
        <v>2</v>
      </c>
      <c r="T13" s="68">
        <f>IF(Q13="",0,DATEDIF(Q13,$C$1,"MD"))</f>
        <v>0</v>
      </c>
      <c r="U13" s="65"/>
      <c r="V13" s="65"/>
      <c r="W13" s="49" t="str">
        <f t="shared" si="8"/>
        <v/>
      </c>
      <c r="X13" s="68">
        <f>IF(W13="",0,DATEDIF(W13,Q13,"Y"))</f>
        <v>0</v>
      </c>
      <c r="Y13" s="68">
        <f>IF(W13="",0,DATEDIF(W13,Q13,"YM"))</f>
        <v>0</v>
      </c>
      <c r="Z13" s="68">
        <f>IF(W13="",0,DATEDIF(W13,Q13,"MD"))</f>
        <v>0</v>
      </c>
      <c r="AA13" s="49"/>
      <c r="AB13" s="65"/>
      <c r="AC13" s="50" t="str">
        <f t="shared" si="9"/>
        <v/>
      </c>
      <c r="AD13" s="68">
        <f t="shared" si="10"/>
        <v>0</v>
      </c>
      <c r="AE13" s="68">
        <f t="shared" si="11"/>
        <v>0</v>
      </c>
      <c r="AF13" s="68">
        <f t="shared" si="12"/>
        <v>0</v>
      </c>
      <c r="AG13" s="50"/>
      <c r="AH13" s="108" t="s">
        <v>138</v>
      </c>
      <c r="AI13" s="49" t="str">
        <f>IF(AH13="นิติศาสตร์","K5-LAW","K5-POLICY")</f>
        <v>K5-LAW</v>
      </c>
      <c r="AJ13" s="72" t="str">
        <f>_xlfn.IFS(B13="","",AND(AI13="K5-LAW",AH13="นิติศาสตร์",L13="S2",U13="",AA13=""),Q13,AND(AI13="K5-LAW",AH13="นิติศาสตร์",L13="S1",U13="",AA13=""),EDATE(Q13,12),AND(AI13="K5-LAW",AH13="นิติศาสตร์",OR(L13="M2",L13="K4"),U13="",AA13=""),EDATE(Q13,12*2),AND(AI13="K5-LAW",AH13="นิติศาสตร์",OR(AA13="M2",AA13="K4"),AD13&gt;=2,OR(AC13&lt;W13,AC13&lt;Q13)),EDATE(AC13,12*2),AND(AI13="K5-LAW",AH13="นิติศาสตร์",AA13="S1",AD13&gt;=1,OR(AC13&lt;W13,AC13&lt;Q13)),EDATE(AC13,12),AND(AI13="K5-LAW",AH13="นิติศาสตร์",OR(U13="M2",U13="K4"),X13&gt;=2,W13&lt;Q13),EDATE(W13,12*2),AND(AI13="K5-LAW",AH13="นิติศาสตร์",U13="S1",X13&gt;=1,W13&lt;Q13),EDATE(W13,12),AND(AI13="K5-LAW",AH13="นิติศาสตร์",OR(U13="S2",U13="K5")),W13,AND(AI13="K5-LAW",AH13="นิติศาสตร์",OR(L13="M2",L13="K4"),R13&gt;=2),EDATE(Q13,12*2),AND(AI13="K5-LAW",AH13="นิติศาสตร์",L13="S1",R13&gt;=1),EDATE(Q13,12),AND(AI13="K5-LAW",AH13="นิติศาสตร์",OR(L13="S2",L13="K5")),Q13,AND(AI13="K5-POLICY",AH13&lt;&gt;"นิติศาสตร์",L13="S2",U13="",AA13=""),Q13,AND(AI13="K5-POLICY",AH13&lt;&gt;"นิติศาสตร์",L13="S1",U13="",AA13=""),EDATE(Q13,12),AND(AI13="K5-POLICY",AH13&lt;&gt;"นิติศาสตร์",OR(L13="M2",L13="K4"),U13="",AA13=""),EDATE(Q13,12*2),AND(AI13="K5-POLICY",AH13&lt;&gt;"นิติศาสตร์",OR(AA13="M2",AA13="K4"),AD13&gt;=2,OR(AC13&lt;W13,AC13&lt;Q13)),EDATE(AC13,12*2),AND(AI13="K5-POLICY",AH13&lt;&gt;"นิติศาสตร์",AA13="S1",AD13&gt;=1,OR(AC13&lt;W13,AC13&lt;Q13)),EDATE(AC13,12),AND(AI13="K5-POLICY",AH13&lt;&gt;"นิติศาสตร์",OR(U13="M2",U13="K4"),X13&gt;=2,W13&lt;Q13),EDATE(W13,12*2),AND(AI13="K5-POLICY",AH13&lt;&gt;"นิติศาสตร์",U13="S1",X13&gt;=1,W13&lt;Q13),EDATE(W13,12),AND(AI13="K5-POLICY",AH13&lt;&gt;"นิติศาสตร์",OR(U13="S2",U13="K5")),W13,AND(AI13="K5-POLICY",AH13&lt;&gt;"นิติศาสตร์",OR(L13="M2",L13="K4"),R13&gt;=2),EDATE(Q13,12*2),AND(AI13="K5-POLICY",AH13&lt;&gt;"นิติศาสตร์",L13="S1",R13&gt;=1),EDATE(Q13,12),AND(AI13="K5-POLICY",AH13&lt;&gt;"นิติศาสตร์",OR(L13="S2",L13="K5")),Q13,TRUE,"Check Data")</f>
        <v/>
      </c>
      <c r="AK13" s="75" t="str">
        <f t="shared" si="5"/>
        <v>Check Data</v>
      </c>
      <c r="AL13" s="76" t="str">
        <f t="shared" si="6"/>
        <v>Check Data</v>
      </c>
      <c r="AM13" s="50" t="str">
        <f t="shared" si="7"/>
        <v>Check Data</v>
      </c>
      <c r="AN13" s="49" t="str">
        <f>IF(B13="","",IF(L13="S1","S1",INDEX(#REF!,#REF!)))</f>
        <v/>
      </c>
      <c r="AO13" s="49" t="str">
        <f>L13</f>
        <v>M2</v>
      </c>
      <c r="AP13" s="50" t="b">
        <f>L13=AN13</f>
        <v>0</v>
      </c>
      <c r="AQ13" s="50"/>
    </row>
    <row r="14" spans="1:43" ht="21.75">
      <c r="A14" s="49">
        <v>12</v>
      </c>
      <c r="B14" s="50"/>
      <c r="C14" s="50"/>
      <c r="D14" s="50" t="s">
        <v>139</v>
      </c>
      <c r="E14" s="50" t="e">
        <f>INDEX(#REF!,#REF!)</f>
        <v>#REF!</v>
      </c>
      <c r="F14" s="49" t="s">
        <v>208</v>
      </c>
      <c r="G14" s="49" t="str">
        <f t="shared" si="0"/>
        <v>01/02/1990</v>
      </c>
      <c r="H14" s="50">
        <f t="shared" si="1"/>
        <v>35</v>
      </c>
      <c r="I14" s="50">
        <f t="shared" si="2"/>
        <v>4</v>
      </c>
      <c r="J14" s="50">
        <f t="shared" si="3"/>
        <v>19</v>
      </c>
      <c r="K14" s="56"/>
      <c r="L14" s="49" t="s">
        <v>136</v>
      </c>
      <c r="M14" s="64"/>
      <c r="N14" s="49" t="s">
        <v>425</v>
      </c>
      <c r="O14" s="49">
        <v>2569</v>
      </c>
      <c r="P14" s="65" t="s">
        <v>212</v>
      </c>
      <c r="Q14" s="49" t="str">
        <f t="shared" si="4"/>
        <v>18/06/2018</v>
      </c>
      <c r="R14" s="68">
        <f>IF(Q14="",0,DATEDIF(Q14,$C$1,"Y"))</f>
        <v>7</v>
      </c>
      <c r="S14" s="68">
        <f>IF(Q14="",0,DATEDIF(Q14,$C$1,"YM"))</f>
        <v>0</v>
      </c>
      <c r="T14" s="68">
        <f>IF(Q14="",0,DATEDIF(Q14,$C$1,"MD"))</f>
        <v>2</v>
      </c>
      <c r="U14" s="65"/>
      <c r="V14" s="65"/>
      <c r="W14" s="49" t="str">
        <f t="shared" si="8"/>
        <v/>
      </c>
      <c r="X14" s="68">
        <f>IF(W14="",0,DATEDIF(W14,Q14,"Y"))</f>
        <v>0</v>
      </c>
      <c r="Y14" s="68">
        <f>IF(W14="",0,DATEDIF(W14,Q14,"YM"))</f>
        <v>0</v>
      </c>
      <c r="Z14" s="68">
        <f>IF(W14="",0,DATEDIF(W14,Q14,"MD"))</f>
        <v>0</v>
      </c>
      <c r="AA14" s="49"/>
      <c r="AB14" s="65"/>
      <c r="AC14" s="50" t="str">
        <f t="shared" si="9"/>
        <v/>
      </c>
      <c r="AD14" s="68">
        <f t="shared" si="10"/>
        <v>0</v>
      </c>
      <c r="AE14" s="68">
        <f t="shared" si="11"/>
        <v>0</v>
      </c>
      <c r="AF14" s="68">
        <f t="shared" si="12"/>
        <v>0</v>
      </c>
      <c r="AG14" s="50"/>
      <c r="AH14" s="108" t="s">
        <v>167</v>
      </c>
      <c r="AI14" s="49" t="str">
        <f>IF(AH14="นิติศาสตร์","K5-LAW","K5-POLICY")</f>
        <v>K5-POLICY</v>
      </c>
      <c r="AJ14" s="72" t="str">
        <f>_xlfn.IFS(B14="","",AND(AI14="K5-LAW",AH14="นิติศาสตร์",L14="S2",U14="",AA14=""),Q14,AND(AI14="K5-LAW",AH14="นิติศาสตร์",L14="S1",U14="",AA14=""),EDATE(Q14,12),AND(AI14="K5-LAW",AH14="นิติศาสตร์",OR(L14="M2",L14="K4"),U14="",AA14=""),EDATE(Q14,12*2),AND(AI14="K5-LAW",AH14="นิติศาสตร์",OR(AA14="M2",AA14="K4"),AD14&gt;=2,OR(AC14&lt;W14,AC14&lt;Q14)),EDATE(AC14,12*2),AND(AI14="K5-LAW",AH14="นิติศาสตร์",AA14="S1",AD14&gt;=1,OR(AC14&lt;W14,AC14&lt;Q14)),EDATE(AC14,12),AND(AI14="K5-LAW",AH14="นิติศาสตร์",OR(U14="M2",U14="K4"),X14&gt;=2,W14&lt;Q14),EDATE(W14,12*2),AND(AI14="K5-LAW",AH14="นิติศาสตร์",U14="S1",X14&gt;=1,W14&lt;Q14),EDATE(W14,12),AND(AI14="K5-LAW",AH14="นิติศาสตร์",OR(U14="S2",U14="K5")),W14,AND(AI14="K5-LAW",AH14="นิติศาสตร์",OR(L14="M2",L14="K4"),R14&gt;=2),EDATE(Q14,12*2),AND(AI14="K5-LAW",AH14="นิติศาสตร์",L14="S1",R14&gt;=1),EDATE(Q14,12),AND(AI14="K5-LAW",AH14="นิติศาสตร์",OR(L14="S2",L14="K5")),Q14,AND(AI14="K5-POLICY",AH14&lt;&gt;"นิติศาสตร์",L14="S2",U14="",AA14=""),Q14,AND(AI14="K5-POLICY",AH14&lt;&gt;"นิติศาสตร์",L14="S1",U14="",AA14=""),EDATE(Q14,12),AND(AI14="K5-POLICY",AH14&lt;&gt;"นิติศาสตร์",OR(L14="M2",L14="K4"),U14="",AA14=""),EDATE(Q14,12*2),AND(AI14="K5-POLICY",AH14&lt;&gt;"นิติศาสตร์",OR(AA14="M2",AA14="K4"),AD14&gt;=2,OR(AC14&lt;W14,AC14&lt;Q14)),EDATE(AC14,12*2),AND(AI14="K5-POLICY",AH14&lt;&gt;"นิติศาสตร์",AA14="S1",AD14&gt;=1,OR(AC14&lt;W14,AC14&lt;Q14)),EDATE(AC14,12),AND(AI14="K5-POLICY",AH14&lt;&gt;"นิติศาสตร์",OR(U14="M2",U14="K4"),X14&gt;=2,W14&lt;Q14),EDATE(W14,12*2),AND(AI14="K5-POLICY",AH14&lt;&gt;"นิติศาสตร์",U14="S1",X14&gt;=1,W14&lt;Q14),EDATE(W14,12),AND(AI14="K5-POLICY",AH14&lt;&gt;"นิติศาสตร์",OR(U14="S2",U14="K5")),W14,AND(AI14="K5-POLICY",AH14&lt;&gt;"นิติศาสตร์",OR(L14="M2",L14="K4"),R14&gt;=2),EDATE(Q14,12*2),AND(AI14="K5-POLICY",AH14&lt;&gt;"นิติศาสตร์",L14="S1",R14&gt;=1),EDATE(Q14,12),AND(AI14="K5-POLICY",AH14&lt;&gt;"นิติศาสตร์",OR(L14="S2",L14="K5")),Q14,TRUE,"Check Data")</f>
        <v/>
      </c>
      <c r="AK14" s="75" t="str">
        <f t="shared" si="5"/>
        <v>Check Data</v>
      </c>
      <c r="AL14" s="76" t="str">
        <f t="shared" si="6"/>
        <v>Check Data</v>
      </c>
      <c r="AM14" s="50" t="str">
        <f t="shared" si="7"/>
        <v>Check Data</v>
      </c>
      <c r="AN14" s="49" t="str">
        <f>IF(B14="","",IF(L14="S1","S1",INDEX(#REF!,#REF!)))</f>
        <v/>
      </c>
      <c r="AO14" s="49" t="str">
        <f>L14</f>
        <v>M2</v>
      </c>
      <c r="AP14" s="50" t="b">
        <f>L14=AN14</f>
        <v>0</v>
      </c>
      <c r="AQ14" s="50"/>
    </row>
    <row r="15" spans="1:43" ht="21.75">
      <c r="A15" s="49">
        <v>13</v>
      </c>
      <c r="B15" s="50"/>
      <c r="C15" s="50"/>
      <c r="D15" s="50" t="s">
        <v>141</v>
      </c>
      <c r="E15" s="50" t="e">
        <f>INDEX(#REF!,#REF!)</f>
        <v>#REF!</v>
      </c>
      <c r="F15" s="49" t="s">
        <v>244</v>
      </c>
      <c r="G15" s="49" t="str">
        <f t="shared" si="0"/>
        <v>02/01/1992</v>
      </c>
      <c r="H15" s="50">
        <f t="shared" si="1"/>
        <v>33</v>
      </c>
      <c r="I15" s="50">
        <f t="shared" si="2"/>
        <v>5</v>
      </c>
      <c r="J15" s="50">
        <f t="shared" si="3"/>
        <v>18</v>
      </c>
      <c r="K15" s="60"/>
      <c r="L15" s="49" t="s">
        <v>136</v>
      </c>
      <c r="M15" s="64"/>
      <c r="N15" s="49" t="s">
        <v>425</v>
      </c>
      <c r="O15" s="49">
        <v>2570</v>
      </c>
      <c r="P15" s="65" t="s">
        <v>245</v>
      </c>
      <c r="Q15" s="49" t="str">
        <f t="shared" si="4"/>
        <v>19/07/2018</v>
      </c>
      <c r="R15" s="68">
        <f>IF(Q15="",0,DATEDIF(Q15,$C$1,"Y"))</f>
        <v>6</v>
      </c>
      <c r="S15" s="68">
        <f>IF(Q15="",0,DATEDIF(Q15,$C$1,"YM"))</f>
        <v>11</v>
      </c>
      <c r="T15" s="68">
        <f>IF(Q15="",0,DATEDIF(Q15,$C$1,"MD"))</f>
        <v>1</v>
      </c>
      <c r="U15" s="65"/>
      <c r="V15" s="65"/>
      <c r="W15" s="49" t="str">
        <f t="shared" si="8"/>
        <v/>
      </c>
      <c r="X15" s="68">
        <f>IF(W15="",0,DATEDIF(W15,Q15,"Y"))</f>
        <v>0</v>
      </c>
      <c r="Y15" s="68">
        <f>IF(W15="",0,DATEDIF(W15,Q15,"YM"))</f>
        <v>0</v>
      </c>
      <c r="Z15" s="68">
        <f>IF(W15="",0,DATEDIF(W15,Q15,"MD"))</f>
        <v>0</v>
      </c>
      <c r="AA15" s="49"/>
      <c r="AB15" s="65"/>
      <c r="AC15" s="50" t="str">
        <f t="shared" si="9"/>
        <v/>
      </c>
      <c r="AD15" s="68">
        <f t="shared" si="10"/>
        <v>0</v>
      </c>
      <c r="AE15" s="68">
        <f t="shared" si="11"/>
        <v>0</v>
      </c>
      <c r="AF15" s="68">
        <f t="shared" si="12"/>
        <v>0</v>
      </c>
      <c r="AG15" s="50"/>
      <c r="AH15" s="108" t="s">
        <v>138</v>
      </c>
      <c r="AI15" s="49" t="str">
        <f>IF(AH15="นิติศาสตร์","K5-LAW","K5-POLICY")</f>
        <v>K5-LAW</v>
      </c>
      <c r="AJ15" s="72" t="str">
        <f>_xlfn.IFS(B15="","",AND(AI15="K5-LAW",AH15="นิติศาสตร์",L15="S2",U15="",AA15=""),Q15,AND(AI15="K5-LAW",AH15="นิติศาสตร์",L15="S1",U15="",AA15=""),EDATE(Q15,12),AND(AI15="K5-LAW",AH15="นิติศาสตร์",OR(L15="M2",L15="K4"),U15="",AA15=""),EDATE(Q15,12*2),AND(AI15="K5-LAW",AH15="นิติศาสตร์",OR(AA15="M2",AA15="K4"),AD15&gt;=2,OR(AC15&lt;W15,AC15&lt;Q15)),EDATE(AC15,12*2),AND(AI15="K5-LAW",AH15="นิติศาสตร์",AA15="S1",AD15&gt;=1,OR(AC15&lt;W15,AC15&lt;Q15)),EDATE(AC15,12),AND(AI15="K5-LAW",AH15="นิติศาสตร์",OR(U15="M2",U15="K4"),X15&gt;=2,W15&lt;Q15),EDATE(W15,12*2),AND(AI15="K5-LAW",AH15="นิติศาสตร์",U15="S1",X15&gt;=1,W15&lt;Q15),EDATE(W15,12),AND(AI15="K5-LAW",AH15="นิติศาสตร์",OR(U15="S2",U15="K5")),W15,AND(AI15="K5-LAW",AH15="นิติศาสตร์",OR(L15="M2",L15="K4"),R15&gt;=2),EDATE(Q15,12*2),AND(AI15="K5-LAW",AH15="นิติศาสตร์",L15="S1",R15&gt;=1),EDATE(Q15,12),AND(AI15="K5-LAW",AH15="นิติศาสตร์",OR(L15="S2",L15="K5")),Q15,AND(AI15="K5-POLICY",AH15&lt;&gt;"นิติศาสตร์",L15="S2",U15="",AA15=""),Q15,AND(AI15="K5-POLICY",AH15&lt;&gt;"นิติศาสตร์",L15="S1",U15="",AA15=""),EDATE(Q15,12),AND(AI15="K5-POLICY",AH15&lt;&gt;"นิติศาสตร์",OR(L15="M2",L15="K4"),U15="",AA15=""),EDATE(Q15,12*2),AND(AI15="K5-POLICY",AH15&lt;&gt;"นิติศาสตร์",OR(AA15="M2",AA15="K4"),AD15&gt;=2,OR(AC15&lt;W15,AC15&lt;Q15)),EDATE(AC15,12*2),AND(AI15="K5-POLICY",AH15&lt;&gt;"นิติศาสตร์",AA15="S1",AD15&gt;=1,OR(AC15&lt;W15,AC15&lt;Q15)),EDATE(AC15,12),AND(AI15="K5-POLICY",AH15&lt;&gt;"นิติศาสตร์",OR(U15="M2",U15="K4"),X15&gt;=2,W15&lt;Q15),EDATE(W15,12*2),AND(AI15="K5-POLICY",AH15&lt;&gt;"นิติศาสตร์",U15="S1",X15&gt;=1,W15&lt;Q15),EDATE(W15,12),AND(AI15="K5-POLICY",AH15&lt;&gt;"นิติศาสตร์",OR(U15="S2",U15="K5")),W15,AND(AI15="K5-POLICY",AH15&lt;&gt;"นิติศาสตร์",OR(L15="M2",L15="K4"),R15&gt;=2),EDATE(Q15,12*2),AND(AI15="K5-POLICY",AH15&lt;&gt;"นิติศาสตร์",L15="S1",R15&gt;=1),EDATE(Q15,12),AND(AI15="K5-POLICY",AH15&lt;&gt;"นิติศาสตร์",OR(L15="S2",L15="K5")),Q15,TRUE,"Check Data")</f>
        <v/>
      </c>
      <c r="AK15" s="75" t="str">
        <f t="shared" si="5"/>
        <v>Check Data</v>
      </c>
      <c r="AL15" s="76" t="str">
        <f t="shared" si="6"/>
        <v>Check Data</v>
      </c>
      <c r="AM15" s="50" t="str">
        <f t="shared" si="7"/>
        <v>Check Data</v>
      </c>
      <c r="AN15" s="49" t="str">
        <f>IF(B15="","",IF(L15="S1","S1",INDEX(#REF!,#REF!)))</f>
        <v/>
      </c>
      <c r="AO15" s="49" t="str">
        <f>L15</f>
        <v>M2</v>
      </c>
      <c r="AP15" s="50" t="b">
        <f>L15=AN15</f>
        <v>0</v>
      </c>
      <c r="AQ15" s="50"/>
    </row>
    <row r="16" spans="1:43" ht="21.75">
      <c r="A16" s="49">
        <v>14</v>
      </c>
      <c r="B16" s="50"/>
      <c r="C16" s="53"/>
      <c r="D16" s="50" t="s">
        <v>141</v>
      </c>
      <c r="E16" s="50" t="e">
        <f>INDEX(#REF!,#REF!)</f>
        <v>#REF!</v>
      </c>
      <c r="F16" s="49" t="s">
        <v>246</v>
      </c>
      <c r="G16" s="49" t="str">
        <f t="shared" si="0"/>
        <v>13/06/1994</v>
      </c>
      <c r="H16" s="50">
        <f t="shared" si="1"/>
        <v>31</v>
      </c>
      <c r="I16" s="50">
        <f t="shared" si="2"/>
        <v>0</v>
      </c>
      <c r="J16" s="50">
        <f t="shared" si="3"/>
        <v>7</v>
      </c>
      <c r="K16" s="60"/>
      <c r="L16" s="49" t="s">
        <v>136</v>
      </c>
      <c r="M16" s="64"/>
      <c r="N16" s="49" t="s">
        <v>425</v>
      </c>
      <c r="O16" s="49">
        <v>2569</v>
      </c>
      <c r="P16" s="65" t="s">
        <v>247</v>
      </c>
      <c r="Q16" s="49" t="str">
        <f t="shared" si="4"/>
        <v>12/11/2018</v>
      </c>
      <c r="R16" s="68">
        <f>IF(Q16="",0,DATEDIF(Q16,$C$1,"Y"))</f>
        <v>6</v>
      </c>
      <c r="S16" s="68">
        <f>IF(Q16="",0,DATEDIF(Q16,$C$1,"YM"))</f>
        <v>7</v>
      </c>
      <c r="T16" s="68">
        <f>IF(Q16="",0,DATEDIF(Q16,$C$1,"MD"))</f>
        <v>8</v>
      </c>
      <c r="U16" s="65"/>
      <c r="V16" s="65"/>
      <c r="W16" s="49" t="str">
        <f t="shared" si="8"/>
        <v/>
      </c>
      <c r="X16" s="68">
        <f>IF(W16="",0,DATEDIF(W16,Q16,"Y"))</f>
        <v>0</v>
      </c>
      <c r="Y16" s="68">
        <f>IF(W16="",0,DATEDIF(W16,Q16,"YM"))</f>
        <v>0</v>
      </c>
      <c r="Z16" s="68">
        <f>IF(W16="",0,DATEDIF(W16,Q16,"MD"))</f>
        <v>0</v>
      </c>
      <c r="AA16" s="49"/>
      <c r="AB16" s="65"/>
      <c r="AC16" s="50" t="str">
        <f t="shared" si="9"/>
        <v/>
      </c>
      <c r="AD16" s="68">
        <f t="shared" si="10"/>
        <v>0</v>
      </c>
      <c r="AE16" s="68">
        <f t="shared" si="11"/>
        <v>0</v>
      </c>
      <c r="AF16" s="68">
        <f t="shared" si="12"/>
        <v>0</v>
      </c>
      <c r="AG16" s="50"/>
      <c r="AH16" s="108" t="s">
        <v>138</v>
      </c>
      <c r="AI16" s="49" t="str">
        <f>IF(AH16="นิติศาสตร์","K5-LAW","K5-POLICY")</f>
        <v>K5-LAW</v>
      </c>
      <c r="AJ16" s="72" t="str">
        <f>_xlfn.IFS(B16="","",AND(AI16="K5-LAW",AH16="นิติศาสตร์",L16="S2",U16="",AA16=""),Q16,AND(AI16="K5-LAW",AH16="นิติศาสตร์",L16="S1",U16="",AA16=""),EDATE(Q16,12),AND(AI16="K5-LAW",AH16="นิติศาสตร์",OR(L16="M2",L16="K4"),U16="",AA16=""),EDATE(Q16,12*2),AND(AI16="K5-LAW",AH16="นิติศาสตร์",OR(AA16="M2",AA16="K4"),AD16&gt;=2,OR(AC16&lt;W16,AC16&lt;Q16)),EDATE(AC16,12*2),AND(AI16="K5-LAW",AH16="นิติศาสตร์",AA16="S1",AD16&gt;=1,OR(AC16&lt;W16,AC16&lt;Q16)),EDATE(AC16,12),AND(AI16="K5-LAW",AH16="นิติศาสตร์",OR(U16="M2",U16="K4"),X16&gt;=2,W16&lt;Q16),EDATE(W16,12*2),AND(AI16="K5-LAW",AH16="นิติศาสตร์",U16="S1",X16&gt;=1,W16&lt;Q16),EDATE(W16,12),AND(AI16="K5-LAW",AH16="นิติศาสตร์",OR(U16="S2",U16="K5")),W16,AND(AI16="K5-LAW",AH16="นิติศาสตร์",OR(L16="M2",L16="K4"),R16&gt;=2),EDATE(Q16,12*2),AND(AI16="K5-LAW",AH16="นิติศาสตร์",L16="S1",R16&gt;=1),EDATE(Q16,12),AND(AI16="K5-LAW",AH16="นิติศาสตร์",OR(L16="S2",L16="K5")),Q16,AND(AI16="K5-POLICY",AH16&lt;&gt;"นิติศาสตร์",L16="S2",U16="",AA16=""),Q16,AND(AI16="K5-POLICY",AH16&lt;&gt;"นิติศาสตร์",L16="S1",U16="",AA16=""),EDATE(Q16,12),AND(AI16="K5-POLICY",AH16&lt;&gt;"นิติศาสตร์",OR(L16="M2",L16="K4"),U16="",AA16=""),EDATE(Q16,12*2),AND(AI16="K5-POLICY",AH16&lt;&gt;"นิติศาสตร์",OR(AA16="M2",AA16="K4"),AD16&gt;=2,OR(AC16&lt;W16,AC16&lt;Q16)),EDATE(AC16,12*2),AND(AI16="K5-POLICY",AH16&lt;&gt;"นิติศาสตร์",AA16="S1",AD16&gt;=1,OR(AC16&lt;W16,AC16&lt;Q16)),EDATE(AC16,12),AND(AI16="K5-POLICY",AH16&lt;&gt;"นิติศาสตร์",OR(U16="M2",U16="K4"),X16&gt;=2,W16&lt;Q16),EDATE(W16,12*2),AND(AI16="K5-POLICY",AH16&lt;&gt;"นิติศาสตร์",U16="S1",X16&gt;=1,W16&lt;Q16),EDATE(W16,12),AND(AI16="K5-POLICY",AH16&lt;&gt;"นิติศาสตร์",OR(U16="S2",U16="K5")),W16,AND(AI16="K5-POLICY",AH16&lt;&gt;"นิติศาสตร์",OR(L16="M2",L16="K4"),R16&gt;=2),EDATE(Q16,12*2),AND(AI16="K5-POLICY",AH16&lt;&gt;"นิติศาสตร์",L16="S1",R16&gt;=1),EDATE(Q16,12),AND(AI16="K5-POLICY",AH16&lt;&gt;"นิติศาสตร์",OR(L16="S2",L16="K5")),Q16,TRUE,"Check Data")</f>
        <v/>
      </c>
      <c r="AK16" s="75" t="str">
        <f t="shared" si="5"/>
        <v>Check Data</v>
      </c>
      <c r="AL16" s="76" t="str">
        <f t="shared" si="6"/>
        <v>Check Data</v>
      </c>
      <c r="AM16" s="50" t="str">
        <f t="shared" si="7"/>
        <v>Check Data</v>
      </c>
      <c r="AN16" s="49" t="str">
        <f>IF(B16="","",IF(L16="S1","S1",INDEX(#REF!,#REF!)))</f>
        <v/>
      </c>
      <c r="AO16" s="49" t="str">
        <f>L16</f>
        <v>M2</v>
      </c>
      <c r="AP16" s="50" t="b">
        <f>L16=AN16</f>
        <v>0</v>
      </c>
      <c r="AQ16" s="50"/>
    </row>
    <row r="17" spans="1:43" ht="21.75">
      <c r="A17" s="49">
        <v>15</v>
      </c>
      <c r="B17" s="50"/>
      <c r="C17" s="50"/>
      <c r="D17" s="50" t="s">
        <v>139</v>
      </c>
      <c r="E17" s="50" t="e">
        <f>INDEX(#REF!,#REF!)</f>
        <v>#REF!</v>
      </c>
      <c r="F17" s="49" t="s">
        <v>236</v>
      </c>
      <c r="G17" s="49" t="str">
        <f t="shared" si="0"/>
        <v>09/04/1990</v>
      </c>
      <c r="H17" s="50">
        <f t="shared" si="1"/>
        <v>35</v>
      </c>
      <c r="I17" s="50">
        <f t="shared" si="2"/>
        <v>2</v>
      </c>
      <c r="J17" s="50">
        <f t="shared" si="3"/>
        <v>11</v>
      </c>
      <c r="K17" s="56"/>
      <c r="L17" s="49" t="s">
        <v>136</v>
      </c>
      <c r="M17" s="64"/>
      <c r="N17" s="49" t="s">
        <v>427</v>
      </c>
      <c r="O17" s="49">
        <v>2569</v>
      </c>
      <c r="P17" s="65" t="s">
        <v>237</v>
      </c>
      <c r="Q17" s="49" t="str">
        <f t="shared" si="4"/>
        <v>27/11/2018</v>
      </c>
      <c r="R17" s="68">
        <f>IF(Q17="",0,DATEDIF(Q17,$C$1,"Y"))</f>
        <v>6</v>
      </c>
      <c r="S17" s="68">
        <f>IF(Q17="",0,DATEDIF(Q17,$C$1,"YM"))</f>
        <v>6</v>
      </c>
      <c r="T17" s="68">
        <f>IF(Q17="",0,DATEDIF(Q17,$C$1,"MD"))</f>
        <v>24</v>
      </c>
      <c r="U17" s="65"/>
      <c r="V17" s="65"/>
      <c r="W17" s="49" t="str">
        <f t="shared" si="8"/>
        <v/>
      </c>
      <c r="X17" s="68">
        <f>IF(W17="",0,DATEDIF(W17,Q17,"Y"))</f>
        <v>0</v>
      </c>
      <c r="Y17" s="68">
        <f>IF(W17="",0,DATEDIF(W17,Q17,"YM"))</f>
        <v>0</v>
      </c>
      <c r="Z17" s="68">
        <f>IF(W17="",0,DATEDIF(W17,Q17,"MD"))</f>
        <v>0</v>
      </c>
      <c r="AA17" s="49"/>
      <c r="AB17" s="65"/>
      <c r="AC17" s="50" t="str">
        <f t="shared" si="9"/>
        <v/>
      </c>
      <c r="AD17" s="68">
        <f t="shared" si="10"/>
        <v>0</v>
      </c>
      <c r="AE17" s="68">
        <f t="shared" si="11"/>
        <v>0</v>
      </c>
      <c r="AF17" s="68">
        <f t="shared" si="12"/>
        <v>0</v>
      </c>
      <c r="AG17" s="50"/>
      <c r="AH17" s="108" t="s">
        <v>138</v>
      </c>
      <c r="AI17" s="49" t="str">
        <f>IF(AH17="นิติศาสตร์","K5-LAW","K5-POLICY")</f>
        <v>K5-LAW</v>
      </c>
      <c r="AJ17" s="72" t="str">
        <f>_xlfn.IFS(B17="","",AND(AI17="K5-LAW",AH17="นิติศาสตร์",L17="S2",U17="",AA17=""),Q17,AND(AI17="K5-LAW",AH17="นิติศาสตร์",L17="S1",U17="",AA17=""),EDATE(Q17,12),AND(AI17="K5-LAW",AH17="นิติศาสตร์",OR(L17="M2",L17="K4"),U17="",AA17=""),EDATE(Q17,12*2),AND(AI17="K5-LAW",AH17="นิติศาสตร์",OR(AA17="M2",AA17="K4"),AD17&gt;=2,OR(AC17&lt;W17,AC17&lt;Q17)),EDATE(AC17,12*2),AND(AI17="K5-LAW",AH17="นิติศาสตร์",AA17="S1",AD17&gt;=1,OR(AC17&lt;W17,AC17&lt;Q17)),EDATE(AC17,12),AND(AI17="K5-LAW",AH17="นิติศาสตร์",OR(U17="M2",U17="K4"),X17&gt;=2,W17&lt;Q17),EDATE(W17,12*2),AND(AI17="K5-LAW",AH17="นิติศาสตร์",U17="S1",X17&gt;=1,W17&lt;Q17),EDATE(W17,12),AND(AI17="K5-LAW",AH17="นิติศาสตร์",OR(U17="S2",U17="K5")),W17,AND(AI17="K5-LAW",AH17="นิติศาสตร์",OR(L17="M2",L17="K4"),R17&gt;=2),EDATE(Q17,12*2),AND(AI17="K5-LAW",AH17="นิติศาสตร์",L17="S1",R17&gt;=1),EDATE(Q17,12),AND(AI17="K5-LAW",AH17="นิติศาสตร์",OR(L17="S2",L17="K5")),Q17,AND(AI17="K5-POLICY",AH17&lt;&gt;"นิติศาสตร์",L17="S2",U17="",AA17=""),Q17,AND(AI17="K5-POLICY",AH17&lt;&gt;"นิติศาสตร์",L17="S1",U17="",AA17=""),EDATE(Q17,12),AND(AI17="K5-POLICY",AH17&lt;&gt;"นิติศาสตร์",OR(L17="M2",L17="K4"),U17="",AA17=""),EDATE(Q17,12*2),AND(AI17="K5-POLICY",AH17&lt;&gt;"นิติศาสตร์",OR(AA17="M2",AA17="K4"),AD17&gt;=2,OR(AC17&lt;W17,AC17&lt;Q17)),EDATE(AC17,12*2),AND(AI17="K5-POLICY",AH17&lt;&gt;"นิติศาสตร์",AA17="S1",AD17&gt;=1,OR(AC17&lt;W17,AC17&lt;Q17)),EDATE(AC17,12),AND(AI17="K5-POLICY",AH17&lt;&gt;"นิติศาสตร์",OR(U17="M2",U17="K4"),X17&gt;=2,W17&lt;Q17),EDATE(W17,12*2),AND(AI17="K5-POLICY",AH17&lt;&gt;"นิติศาสตร์",U17="S1",X17&gt;=1,W17&lt;Q17),EDATE(W17,12),AND(AI17="K5-POLICY",AH17&lt;&gt;"นิติศาสตร์",OR(U17="S2",U17="K5")),W17,AND(AI17="K5-POLICY",AH17&lt;&gt;"นิติศาสตร์",OR(L17="M2",L17="K4"),R17&gt;=2),EDATE(Q17,12*2),AND(AI17="K5-POLICY",AH17&lt;&gt;"นิติศาสตร์",L17="S1",R17&gt;=1),EDATE(Q17,12),AND(AI17="K5-POLICY",AH17&lt;&gt;"นิติศาสตร์",OR(L17="S2",L17="K5")),Q17,TRUE,"Check Data")</f>
        <v/>
      </c>
      <c r="AK17" s="75" t="str">
        <f t="shared" si="5"/>
        <v>Check Data</v>
      </c>
      <c r="AL17" s="76" t="str">
        <f t="shared" si="6"/>
        <v>Check Data</v>
      </c>
      <c r="AM17" s="50" t="str">
        <f t="shared" si="7"/>
        <v>Check Data</v>
      </c>
      <c r="AN17" s="49" t="str">
        <f>IF(B17="","",IF(L17="S1","S1",INDEX(#REF!,#REF!)))</f>
        <v/>
      </c>
      <c r="AO17" s="49" t="str">
        <f>L17</f>
        <v>M2</v>
      </c>
      <c r="AP17" s="50" t="b">
        <f>L17=AN17</f>
        <v>0</v>
      </c>
      <c r="AQ17" s="50"/>
    </row>
    <row r="18" spans="1:43" ht="21.75">
      <c r="A18" s="49">
        <v>16</v>
      </c>
      <c r="B18" s="50"/>
      <c r="C18" s="50"/>
      <c r="D18" s="50" t="s">
        <v>139</v>
      </c>
      <c r="E18" s="50" t="e">
        <f>INDEX(#REF!,#REF!)</f>
        <v>#REF!</v>
      </c>
      <c r="F18" s="49" t="s">
        <v>187</v>
      </c>
      <c r="G18" s="49" t="str">
        <f t="shared" si="0"/>
        <v>01/08/1990</v>
      </c>
      <c r="H18" s="50">
        <f t="shared" si="1"/>
        <v>34</v>
      </c>
      <c r="I18" s="50">
        <f t="shared" si="2"/>
        <v>10</v>
      </c>
      <c r="J18" s="50">
        <f t="shared" si="3"/>
        <v>19</v>
      </c>
      <c r="K18" s="56"/>
      <c r="L18" s="49" t="s">
        <v>136</v>
      </c>
      <c r="M18" s="64"/>
      <c r="N18" s="49" t="s">
        <v>427</v>
      </c>
      <c r="O18" s="49">
        <v>2568</v>
      </c>
      <c r="P18" s="65" t="s">
        <v>237</v>
      </c>
      <c r="Q18" s="49" t="str">
        <f t="shared" si="4"/>
        <v>27/11/2018</v>
      </c>
      <c r="R18" s="68">
        <f>IF(Q18="",0,DATEDIF(Q18,$C$1,"Y"))</f>
        <v>6</v>
      </c>
      <c r="S18" s="68">
        <f>IF(Q18="",0,DATEDIF(Q18,$C$1,"YM"))</f>
        <v>6</v>
      </c>
      <c r="T18" s="68">
        <f>IF(Q18="",0,DATEDIF(Q18,$C$1,"MD"))</f>
        <v>24</v>
      </c>
      <c r="U18" s="65"/>
      <c r="V18" s="65"/>
      <c r="W18" s="49" t="str">
        <f t="shared" si="8"/>
        <v/>
      </c>
      <c r="X18" s="68">
        <f>IF(W18="",0,DATEDIF(W18,Q18,"Y"))</f>
        <v>0</v>
      </c>
      <c r="Y18" s="68">
        <f>IF(W18="",0,DATEDIF(W18,Q18,"YM"))</f>
        <v>0</v>
      </c>
      <c r="Z18" s="68">
        <f>IF(W18="",0,DATEDIF(W18,Q18,"MD"))</f>
        <v>0</v>
      </c>
      <c r="AA18" s="49"/>
      <c r="AB18" s="65"/>
      <c r="AC18" s="50" t="str">
        <f t="shared" si="9"/>
        <v/>
      </c>
      <c r="AD18" s="68">
        <f t="shared" si="10"/>
        <v>0</v>
      </c>
      <c r="AE18" s="68">
        <f t="shared" si="11"/>
        <v>0</v>
      </c>
      <c r="AF18" s="68">
        <f t="shared" si="12"/>
        <v>0</v>
      </c>
      <c r="AG18" s="50"/>
      <c r="AH18" s="108" t="s">
        <v>165</v>
      </c>
      <c r="AI18" s="49" t="str">
        <f>IF(AH18="นิติศาสตร์","K5-LAW","K5-POLICY")</f>
        <v>K5-POLICY</v>
      </c>
      <c r="AJ18" s="72" t="str">
        <f>_xlfn.IFS(B18="","",AND(AI18="K5-LAW",AH18="นิติศาสตร์",L18="S2",U18="",AA18=""),Q18,AND(AI18="K5-LAW",AH18="นิติศาสตร์",L18="S1",U18="",AA18=""),EDATE(Q18,12),AND(AI18="K5-LAW",AH18="นิติศาสตร์",OR(L18="M2",L18="K4"),U18="",AA18=""),EDATE(Q18,12*2),AND(AI18="K5-LAW",AH18="นิติศาสตร์",OR(AA18="M2",AA18="K4"),AD18&gt;=2,OR(AC18&lt;W18,AC18&lt;Q18)),EDATE(AC18,12*2),AND(AI18="K5-LAW",AH18="นิติศาสตร์",AA18="S1",AD18&gt;=1,OR(AC18&lt;W18,AC18&lt;Q18)),EDATE(AC18,12),AND(AI18="K5-LAW",AH18="นิติศาสตร์",OR(U18="M2",U18="K4"),X18&gt;=2,W18&lt;Q18),EDATE(W18,12*2),AND(AI18="K5-LAW",AH18="นิติศาสตร์",U18="S1",X18&gt;=1,W18&lt;Q18),EDATE(W18,12),AND(AI18="K5-LAW",AH18="นิติศาสตร์",OR(U18="S2",U18="K5")),W18,AND(AI18="K5-LAW",AH18="นิติศาสตร์",OR(L18="M2",L18="K4"),R18&gt;=2),EDATE(Q18,12*2),AND(AI18="K5-LAW",AH18="นิติศาสตร์",L18="S1",R18&gt;=1),EDATE(Q18,12),AND(AI18="K5-LAW",AH18="นิติศาสตร์",OR(L18="S2",L18="K5")),Q18,AND(AI18="K5-POLICY",AH18&lt;&gt;"นิติศาสตร์",L18="S2",U18="",AA18=""),Q18,AND(AI18="K5-POLICY",AH18&lt;&gt;"นิติศาสตร์",L18="S1",U18="",AA18=""),EDATE(Q18,12),AND(AI18="K5-POLICY",AH18&lt;&gt;"นิติศาสตร์",OR(L18="M2",L18="K4"),U18="",AA18=""),EDATE(Q18,12*2),AND(AI18="K5-POLICY",AH18&lt;&gt;"นิติศาสตร์",OR(AA18="M2",AA18="K4"),AD18&gt;=2,OR(AC18&lt;W18,AC18&lt;Q18)),EDATE(AC18,12*2),AND(AI18="K5-POLICY",AH18&lt;&gt;"นิติศาสตร์",AA18="S1",AD18&gt;=1,OR(AC18&lt;W18,AC18&lt;Q18)),EDATE(AC18,12),AND(AI18="K5-POLICY",AH18&lt;&gt;"นิติศาสตร์",OR(U18="M2",U18="K4"),X18&gt;=2,W18&lt;Q18),EDATE(W18,12*2),AND(AI18="K5-POLICY",AH18&lt;&gt;"นิติศาสตร์",U18="S1",X18&gt;=1,W18&lt;Q18),EDATE(W18,12),AND(AI18="K5-POLICY",AH18&lt;&gt;"นิติศาสตร์",OR(U18="S2",U18="K5")),W18,AND(AI18="K5-POLICY",AH18&lt;&gt;"นิติศาสตร์",OR(L18="M2",L18="K4"),R18&gt;=2),EDATE(Q18,12*2),AND(AI18="K5-POLICY",AH18&lt;&gt;"นิติศาสตร์",L18="S1",R18&gt;=1),EDATE(Q18,12),AND(AI18="K5-POLICY",AH18&lt;&gt;"นิติศาสตร์",OR(L18="S2",L18="K5")),Q18,TRUE,"Check Data")</f>
        <v/>
      </c>
      <c r="AK18" s="75" t="str">
        <f t="shared" si="5"/>
        <v>Check Data</v>
      </c>
      <c r="AL18" s="76" t="str">
        <f t="shared" si="6"/>
        <v>Check Data</v>
      </c>
      <c r="AM18" s="50" t="str">
        <f t="shared" si="7"/>
        <v>Check Data</v>
      </c>
      <c r="AN18" s="49" t="str">
        <f>IF(B18="","",IF(L18="S1","S1",INDEX(#REF!,#REF!)))</f>
        <v/>
      </c>
      <c r="AO18" s="49" t="str">
        <f>L18</f>
        <v>M2</v>
      </c>
      <c r="AP18" s="50" t="b">
        <f>L18=AN18</f>
        <v>0</v>
      </c>
      <c r="AQ18" s="50"/>
    </row>
    <row r="19" spans="1:43" ht="21.75">
      <c r="A19" s="49">
        <v>17</v>
      </c>
      <c r="B19" s="50"/>
      <c r="C19" s="50"/>
      <c r="D19" s="50" t="s">
        <v>143</v>
      </c>
      <c r="E19" s="50" t="e">
        <f>INDEX(#REF!,#REF!)</f>
        <v>#REF!</v>
      </c>
      <c r="F19" s="49" t="s">
        <v>331</v>
      </c>
      <c r="G19" s="49" t="str">
        <f t="shared" si="0"/>
        <v>01/04/1986</v>
      </c>
      <c r="H19" s="50">
        <f t="shared" si="1"/>
        <v>39</v>
      </c>
      <c r="I19" s="50">
        <f t="shared" si="2"/>
        <v>2</v>
      </c>
      <c r="J19" s="50">
        <f t="shared" si="3"/>
        <v>19</v>
      </c>
      <c r="K19" s="59"/>
      <c r="L19" s="49" t="s">
        <v>136</v>
      </c>
      <c r="M19" s="64"/>
      <c r="N19" s="49" t="s">
        <v>425</v>
      </c>
      <c r="O19" s="49">
        <v>2569</v>
      </c>
      <c r="P19" s="65" t="s">
        <v>301</v>
      </c>
      <c r="Q19" s="49" t="str">
        <f t="shared" si="4"/>
        <v>29/11/2018</v>
      </c>
      <c r="R19" s="68">
        <f>IF(Q19="",0,DATEDIF(Q19,$C$1,"Y"))</f>
        <v>6</v>
      </c>
      <c r="S19" s="68">
        <f>IF(Q19="",0,DATEDIF(Q19,$C$1,"YM"))</f>
        <v>6</v>
      </c>
      <c r="T19" s="68">
        <f>IF(Q19="",0,DATEDIF(Q19,$C$1,"MD"))</f>
        <v>22</v>
      </c>
      <c r="U19" s="65"/>
      <c r="V19" s="65"/>
      <c r="W19" s="49" t="str">
        <f t="shared" si="8"/>
        <v/>
      </c>
      <c r="X19" s="68">
        <f>IF(W19="",0,DATEDIF(W19,Q19,"Y"))</f>
        <v>0</v>
      </c>
      <c r="Y19" s="68">
        <f>IF(W19="",0,DATEDIF(W19,Q19,"YM"))</f>
        <v>0</v>
      </c>
      <c r="Z19" s="68">
        <f>IF(W19="",0,DATEDIF(W19,Q19,"MD"))</f>
        <v>0</v>
      </c>
      <c r="AA19" s="49"/>
      <c r="AB19" s="65"/>
      <c r="AC19" s="50" t="str">
        <f t="shared" si="9"/>
        <v/>
      </c>
      <c r="AD19" s="68">
        <f t="shared" si="10"/>
        <v>0</v>
      </c>
      <c r="AE19" s="68">
        <f t="shared" si="11"/>
        <v>0</v>
      </c>
      <c r="AF19" s="68">
        <f t="shared" si="12"/>
        <v>0</v>
      </c>
      <c r="AG19" s="50"/>
      <c r="AH19" s="108" t="s">
        <v>285</v>
      </c>
      <c r="AI19" s="49" t="str">
        <f>IF(AH19="นิติศาสตร์","K5-LAW","K5-POLICY")</f>
        <v>K5-POLICY</v>
      </c>
      <c r="AJ19" s="72" t="str">
        <f>_xlfn.IFS(B19="","",AND(AI19="K5-LAW",AH19="นิติศาสตร์",L19="S2",U19="",AA19=""),Q19,AND(AI19="K5-LAW",AH19="นิติศาสตร์",L19="S1",U19="",AA19=""),EDATE(Q19,12),AND(AI19="K5-LAW",AH19="นิติศาสตร์",OR(L19="M2",L19="K4"),U19="",AA19=""),EDATE(Q19,12*2),AND(AI19="K5-LAW",AH19="นิติศาสตร์",OR(AA19="M2",AA19="K4"),AD19&gt;=2,OR(AC19&lt;W19,AC19&lt;Q19)),EDATE(AC19,12*2),AND(AI19="K5-LAW",AH19="นิติศาสตร์",AA19="S1",AD19&gt;=1,OR(AC19&lt;W19,AC19&lt;Q19)),EDATE(AC19,12),AND(AI19="K5-LAW",AH19="นิติศาสตร์",OR(U19="M2",U19="K4"),X19&gt;=2,W19&lt;Q19),EDATE(W19,12*2),AND(AI19="K5-LAW",AH19="นิติศาสตร์",U19="S1",X19&gt;=1,W19&lt;Q19),EDATE(W19,12),AND(AI19="K5-LAW",AH19="นิติศาสตร์",OR(U19="S2",U19="K5")),W19,AND(AI19="K5-LAW",AH19="นิติศาสตร์",OR(L19="M2",L19="K4"),R19&gt;=2),EDATE(Q19,12*2),AND(AI19="K5-LAW",AH19="นิติศาสตร์",L19="S1",R19&gt;=1),EDATE(Q19,12),AND(AI19="K5-LAW",AH19="นิติศาสตร์",OR(L19="S2",L19="K5")),Q19,AND(AI19="K5-POLICY",AH19&lt;&gt;"นิติศาสตร์",L19="S2",U19="",AA19=""),Q19,AND(AI19="K5-POLICY",AH19&lt;&gt;"นิติศาสตร์",L19="S1",U19="",AA19=""),EDATE(Q19,12),AND(AI19="K5-POLICY",AH19&lt;&gt;"นิติศาสตร์",OR(L19="M2",L19="K4"),U19="",AA19=""),EDATE(Q19,12*2),AND(AI19="K5-POLICY",AH19&lt;&gt;"นิติศาสตร์",OR(AA19="M2",AA19="K4"),AD19&gt;=2,OR(AC19&lt;W19,AC19&lt;Q19)),EDATE(AC19,12*2),AND(AI19="K5-POLICY",AH19&lt;&gt;"นิติศาสตร์",AA19="S1",AD19&gt;=1,OR(AC19&lt;W19,AC19&lt;Q19)),EDATE(AC19,12),AND(AI19="K5-POLICY",AH19&lt;&gt;"นิติศาสตร์",OR(U19="M2",U19="K4"),X19&gt;=2,W19&lt;Q19),EDATE(W19,12*2),AND(AI19="K5-POLICY",AH19&lt;&gt;"นิติศาสตร์",U19="S1",X19&gt;=1,W19&lt;Q19),EDATE(W19,12),AND(AI19="K5-POLICY",AH19&lt;&gt;"นิติศาสตร์",OR(U19="S2",U19="K5")),W19,AND(AI19="K5-POLICY",AH19&lt;&gt;"นิติศาสตร์",OR(L19="M2",L19="K4"),R19&gt;=2),EDATE(Q19,12*2),AND(AI19="K5-POLICY",AH19&lt;&gt;"นิติศาสตร์",L19="S1",R19&gt;=1),EDATE(Q19,12),AND(AI19="K5-POLICY",AH19&lt;&gt;"นิติศาสตร์",OR(L19="S2",L19="K5")),Q19,TRUE,"Check Data")</f>
        <v/>
      </c>
      <c r="AK19" s="75" t="str">
        <f t="shared" si="5"/>
        <v>Check Data</v>
      </c>
      <c r="AL19" s="76" t="str">
        <f t="shared" si="6"/>
        <v>Check Data</v>
      </c>
      <c r="AM19" s="50" t="str">
        <f t="shared" si="7"/>
        <v>Check Data</v>
      </c>
      <c r="AN19" s="49" t="str">
        <f>IF(B19="","",IF(L19="S1","S1",INDEX(#REF!,#REF!)))</f>
        <v/>
      </c>
      <c r="AO19" s="49" t="str">
        <f>L19</f>
        <v>M2</v>
      </c>
      <c r="AP19" s="50" t="b">
        <f>L19=AN19</f>
        <v>0</v>
      </c>
      <c r="AQ19" s="50"/>
    </row>
    <row r="20" spans="1:43" ht="21.75">
      <c r="A20" s="49">
        <v>18</v>
      </c>
      <c r="B20" s="50"/>
      <c r="C20" s="50"/>
      <c r="D20" s="50" t="s">
        <v>143</v>
      </c>
      <c r="E20" s="50" t="e">
        <f>INDEX(#REF!,#REF!)</f>
        <v>#REF!</v>
      </c>
      <c r="F20" s="49" t="s">
        <v>316</v>
      </c>
      <c r="G20" s="49" t="str">
        <f t="shared" si="0"/>
        <v>15/06/1987</v>
      </c>
      <c r="H20" s="50">
        <f t="shared" si="1"/>
        <v>38</v>
      </c>
      <c r="I20" s="50">
        <f t="shared" si="2"/>
        <v>0</v>
      </c>
      <c r="J20" s="50">
        <f t="shared" si="3"/>
        <v>5</v>
      </c>
      <c r="K20" s="58"/>
      <c r="L20" s="49" t="s">
        <v>136</v>
      </c>
      <c r="M20" s="64"/>
      <c r="N20" s="49" t="s">
        <v>425</v>
      </c>
      <c r="O20" s="49">
        <v>2569</v>
      </c>
      <c r="P20" s="65" t="s">
        <v>301</v>
      </c>
      <c r="Q20" s="49" t="str">
        <f t="shared" si="4"/>
        <v>29/11/2018</v>
      </c>
      <c r="R20" s="68">
        <f>IF(Q20="",0,DATEDIF(Q20,$C$1,"Y"))</f>
        <v>6</v>
      </c>
      <c r="S20" s="68">
        <f>IF(Q20="",0,DATEDIF(Q20,$C$1,"YM"))</f>
        <v>6</v>
      </c>
      <c r="T20" s="68">
        <f>IF(Q20="",0,DATEDIF(Q20,$C$1,"MD"))</f>
        <v>22</v>
      </c>
      <c r="U20" s="65"/>
      <c r="V20" s="65"/>
      <c r="W20" s="49" t="str">
        <f t="shared" si="8"/>
        <v/>
      </c>
      <c r="X20" s="68">
        <f>IF(W20="",0,DATEDIF(W20,Q20,"Y"))</f>
        <v>0</v>
      </c>
      <c r="Y20" s="68">
        <f>IF(W20="",0,DATEDIF(W20,Q20,"YM"))</f>
        <v>0</v>
      </c>
      <c r="Z20" s="68">
        <f>IF(W20="",0,DATEDIF(W20,Q20,"MD"))</f>
        <v>0</v>
      </c>
      <c r="AA20" s="49"/>
      <c r="AB20" s="65"/>
      <c r="AC20" s="50" t="str">
        <f t="shared" si="9"/>
        <v/>
      </c>
      <c r="AD20" s="68">
        <f t="shared" si="10"/>
        <v>0</v>
      </c>
      <c r="AE20" s="68">
        <f t="shared" si="11"/>
        <v>0</v>
      </c>
      <c r="AF20" s="68">
        <f t="shared" si="12"/>
        <v>0</v>
      </c>
      <c r="AG20" s="50"/>
      <c r="AH20" s="108" t="s">
        <v>167</v>
      </c>
      <c r="AI20" s="49" t="str">
        <f>IF(AH20="นิติศาสตร์","K5-LAW","K5-POLICY")</f>
        <v>K5-POLICY</v>
      </c>
      <c r="AJ20" s="72" t="str">
        <f>_xlfn.IFS(B20="","",AND(AI20="K5-LAW",AH20="นิติศาสตร์",L20="S2",U20="",AA20=""),Q20,AND(AI20="K5-LAW",AH20="นิติศาสตร์",L20="S1",U20="",AA20=""),EDATE(Q20,12),AND(AI20="K5-LAW",AH20="นิติศาสตร์",OR(L20="M2",L20="K4"),U20="",AA20=""),EDATE(Q20,12*2),AND(AI20="K5-LAW",AH20="นิติศาสตร์",OR(AA20="M2",AA20="K4"),AD20&gt;=2,OR(AC20&lt;W20,AC20&lt;Q20)),EDATE(AC20,12*2),AND(AI20="K5-LAW",AH20="นิติศาสตร์",AA20="S1",AD20&gt;=1,OR(AC20&lt;W20,AC20&lt;Q20)),EDATE(AC20,12),AND(AI20="K5-LAW",AH20="นิติศาสตร์",OR(U20="M2",U20="K4"),X20&gt;=2,W20&lt;Q20),EDATE(W20,12*2),AND(AI20="K5-LAW",AH20="นิติศาสตร์",U20="S1",X20&gt;=1,W20&lt;Q20),EDATE(W20,12),AND(AI20="K5-LAW",AH20="นิติศาสตร์",OR(U20="S2",U20="K5")),W20,AND(AI20="K5-LAW",AH20="นิติศาสตร์",OR(L20="M2",L20="K4"),R20&gt;=2),EDATE(Q20,12*2),AND(AI20="K5-LAW",AH20="นิติศาสตร์",L20="S1",R20&gt;=1),EDATE(Q20,12),AND(AI20="K5-LAW",AH20="นิติศาสตร์",OR(L20="S2",L20="K5")),Q20,AND(AI20="K5-POLICY",AH20&lt;&gt;"นิติศาสตร์",L20="S2",U20="",AA20=""),Q20,AND(AI20="K5-POLICY",AH20&lt;&gt;"นิติศาสตร์",L20="S1",U20="",AA20=""),EDATE(Q20,12),AND(AI20="K5-POLICY",AH20&lt;&gt;"นิติศาสตร์",OR(L20="M2",L20="K4"),U20="",AA20=""),EDATE(Q20,12*2),AND(AI20="K5-POLICY",AH20&lt;&gt;"นิติศาสตร์",OR(AA20="M2",AA20="K4"),AD20&gt;=2,OR(AC20&lt;W20,AC20&lt;Q20)),EDATE(AC20,12*2),AND(AI20="K5-POLICY",AH20&lt;&gt;"นิติศาสตร์",AA20="S1",AD20&gt;=1,OR(AC20&lt;W20,AC20&lt;Q20)),EDATE(AC20,12),AND(AI20="K5-POLICY",AH20&lt;&gt;"นิติศาสตร์",OR(U20="M2",U20="K4"),X20&gt;=2,W20&lt;Q20),EDATE(W20,12*2),AND(AI20="K5-POLICY",AH20&lt;&gt;"นิติศาสตร์",U20="S1",X20&gt;=1,W20&lt;Q20),EDATE(W20,12),AND(AI20="K5-POLICY",AH20&lt;&gt;"นิติศาสตร์",OR(U20="S2",U20="K5")),W20,AND(AI20="K5-POLICY",AH20&lt;&gt;"นิติศาสตร์",OR(L20="M2",L20="K4"),R20&gt;=2),EDATE(Q20,12*2),AND(AI20="K5-POLICY",AH20&lt;&gt;"นิติศาสตร์",L20="S1",R20&gt;=1),EDATE(Q20,12),AND(AI20="K5-POLICY",AH20&lt;&gt;"นิติศาสตร์",OR(L20="S2",L20="K5")),Q20,TRUE,"Check Data")</f>
        <v/>
      </c>
      <c r="AK20" s="75" t="str">
        <f t="shared" si="5"/>
        <v>Check Data</v>
      </c>
      <c r="AL20" s="76" t="str">
        <f t="shared" si="6"/>
        <v>Check Data</v>
      </c>
      <c r="AM20" s="50" t="str">
        <f t="shared" si="7"/>
        <v>Check Data</v>
      </c>
      <c r="AN20" s="49" t="str">
        <f>IF(B20="","",IF(L20="S1","S1",INDEX(#REF!,#REF!)))</f>
        <v/>
      </c>
      <c r="AO20" s="49" t="str">
        <f>L20</f>
        <v>M2</v>
      </c>
      <c r="AP20" s="50" t="b">
        <f>L20=AN20</f>
        <v>0</v>
      </c>
      <c r="AQ20" s="50"/>
    </row>
    <row r="21" spans="1:43" ht="21.75">
      <c r="A21" s="49">
        <v>19</v>
      </c>
      <c r="B21" s="50"/>
      <c r="C21" s="50"/>
      <c r="D21" s="50" t="s">
        <v>143</v>
      </c>
      <c r="E21" s="50" t="e">
        <f>INDEX(#REF!,#REF!)</f>
        <v>#REF!</v>
      </c>
      <c r="F21" s="49" t="s">
        <v>327</v>
      </c>
      <c r="G21" s="49" t="str">
        <f t="shared" si="0"/>
        <v>21/06/1988</v>
      </c>
      <c r="H21" s="50">
        <f t="shared" si="1"/>
        <v>36</v>
      </c>
      <c r="I21" s="50">
        <f t="shared" si="2"/>
        <v>11</v>
      </c>
      <c r="J21" s="50">
        <f t="shared" si="3"/>
        <v>30</v>
      </c>
      <c r="K21" s="59"/>
      <c r="L21" s="49" t="s">
        <v>136</v>
      </c>
      <c r="M21" s="64"/>
      <c r="N21" s="49" t="s">
        <v>425</v>
      </c>
      <c r="O21" s="49">
        <v>2570</v>
      </c>
      <c r="P21" s="65" t="s">
        <v>301</v>
      </c>
      <c r="Q21" s="49" t="str">
        <f t="shared" si="4"/>
        <v>29/11/2018</v>
      </c>
      <c r="R21" s="68">
        <f>IF(Q21="",0,DATEDIF(Q21,$C$1,"Y"))</f>
        <v>6</v>
      </c>
      <c r="S21" s="68">
        <f>IF(Q21="",0,DATEDIF(Q21,$C$1,"YM"))</f>
        <v>6</v>
      </c>
      <c r="T21" s="68">
        <f>IF(Q21="",0,DATEDIF(Q21,$C$1,"MD"))</f>
        <v>22</v>
      </c>
      <c r="U21" s="65"/>
      <c r="V21" s="65"/>
      <c r="W21" s="49" t="str">
        <f t="shared" si="8"/>
        <v/>
      </c>
      <c r="X21" s="68">
        <f>IF(W21="",0,DATEDIF(W21,Q21,"Y"))</f>
        <v>0</v>
      </c>
      <c r="Y21" s="68">
        <f>IF(W21="",0,DATEDIF(W21,Q21,"YM"))</f>
        <v>0</v>
      </c>
      <c r="Z21" s="68">
        <f>IF(W21="",0,DATEDIF(W21,Q21,"MD"))</f>
        <v>0</v>
      </c>
      <c r="AA21" s="49"/>
      <c r="AB21" s="65"/>
      <c r="AC21" s="50" t="str">
        <f t="shared" si="9"/>
        <v/>
      </c>
      <c r="AD21" s="68">
        <f t="shared" si="10"/>
        <v>0</v>
      </c>
      <c r="AE21" s="68">
        <f t="shared" si="11"/>
        <v>0</v>
      </c>
      <c r="AF21" s="68">
        <f t="shared" si="12"/>
        <v>0</v>
      </c>
      <c r="AG21" s="50"/>
      <c r="AH21" s="108" t="s">
        <v>138</v>
      </c>
      <c r="AI21" s="49" t="str">
        <f>IF(AH21="นิติศาสตร์","K5-LAW","K5-POLICY")</f>
        <v>K5-LAW</v>
      </c>
      <c r="AJ21" s="72" t="str">
        <f>_xlfn.IFS(B21="","",AND(AI21="K5-LAW",AH21="นิติศาสตร์",L21="S2",U21="",AA21=""),Q21,AND(AI21="K5-LAW",AH21="นิติศาสตร์",L21="S1",U21="",AA21=""),EDATE(Q21,12),AND(AI21="K5-LAW",AH21="นิติศาสตร์",OR(L21="M2",L21="K4"),U21="",AA21=""),EDATE(Q21,12*2),AND(AI21="K5-LAW",AH21="นิติศาสตร์",OR(AA21="M2",AA21="K4"),AD21&gt;=2,OR(AC21&lt;W21,AC21&lt;Q21)),EDATE(AC21,12*2),AND(AI21="K5-LAW",AH21="นิติศาสตร์",AA21="S1",AD21&gt;=1,OR(AC21&lt;W21,AC21&lt;Q21)),EDATE(AC21,12),AND(AI21="K5-LAW",AH21="นิติศาสตร์",OR(U21="M2",U21="K4"),X21&gt;=2,W21&lt;Q21),EDATE(W21,12*2),AND(AI21="K5-LAW",AH21="นิติศาสตร์",U21="S1",X21&gt;=1,W21&lt;Q21),EDATE(W21,12),AND(AI21="K5-LAW",AH21="นิติศาสตร์",OR(U21="S2",U21="K5")),W21,AND(AI21="K5-LAW",AH21="นิติศาสตร์",OR(L21="M2",L21="K4"),R21&gt;=2),EDATE(Q21,12*2),AND(AI21="K5-LAW",AH21="นิติศาสตร์",L21="S1",R21&gt;=1),EDATE(Q21,12),AND(AI21="K5-LAW",AH21="นิติศาสตร์",OR(L21="S2",L21="K5")),Q21,AND(AI21="K5-POLICY",AH21&lt;&gt;"นิติศาสตร์",L21="S2",U21="",AA21=""),Q21,AND(AI21="K5-POLICY",AH21&lt;&gt;"นิติศาสตร์",L21="S1",U21="",AA21=""),EDATE(Q21,12),AND(AI21="K5-POLICY",AH21&lt;&gt;"นิติศาสตร์",OR(L21="M2",L21="K4"),U21="",AA21=""),EDATE(Q21,12*2),AND(AI21="K5-POLICY",AH21&lt;&gt;"นิติศาสตร์",OR(AA21="M2",AA21="K4"),AD21&gt;=2,OR(AC21&lt;W21,AC21&lt;Q21)),EDATE(AC21,12*2),AND(AI21="K5-POLICY",AH21&lt;&gt;"นิติศาสตร์",AA21="S1",AD21&gt;=1,OR(AC21&lt;W21,AC21&lt;Q21)),EDATE(AC21,12),AND(AI21="K5-POLICY",AH21&lt;&gt;"นิติศาสตร์",OR(U21="M2",U21="K4"),X21&gt;=2,W21&lt;Q21),EDATE(W21,12*2),AND(AI21="K5-POLICY",AH21&lt;&gt;"นิติศาสตร์",U21="S1",X21&gt;=1,W21&lt;Q21),EDATE(W21,12),AND(AI21="K5-POLICY",AH21&lt;&gt;"นิติศาสตร์",OR(U21="S2",U21="K5")),W21,AND(AI21="K5-POLICY",AH21&lt;&gt;"นิติศาสตร์",OR(L21="M2",L21="K4"),R21&gt;=2),EDATE(Q21,12*2),AND(AI21="K5-POLICY",AH21&lt;&gt;"นิติศาสตร์",L21="S1",R21&gt;=1),EDATE(Q21,12),AND(AI21="K5-POLICY",AH21&lt;&gt;"นิติศาสตร์",OR(L21="S2",L21="K5")),Q21,TRUE,"Check Data")</f>
        <v/>
      </c>
      <c r="AK21" s="75" t="str">
        <f t="shared" si="5"/>
        <v>Check Data</v>
      </c>
      <c r="AL21" s="76" t="str">
        <f t="shared" si="6"/>
        <v>Check Data</v>
      </c>
      <c r="AM21" s="50" t="str">
        <f t="shared" si="7"/>
        <v>Check Data</v>
      </c>
      <c r="AN21" s="49" t="str">
        <f>IF(B21="","",IF(L21="S1","S1",INDEX(#REF!,#REF!)))</f>
        <v/>
      </c>
      <c r="AO21" s="49" t="str">
        <f>L21</f>
        <v>M2</v>
      </c>
      <c r="AP21" s="50" t="b">
        <f>L21=AN21</f>
        <v>0</v>
      </c>
      <c r="AQ21" s="50"/>
    </row>
    <row r="22" spans="1:43" ht="21.75">
      <c r="A22" s="49">
        <v>20</v>
      </c>
      <c r="B22" s="50"/>
      <c r="C22" s="50"/>
      <c r="D22" s="50" t="s">
        <v>143</v>
      </c>
      <c r="E22" s="50" t="e">
        <f>INDEX(#REF!,#REF!)</f>
        <v>#REF!</v>
      </c>
      <c r="F22" s="49" t="s">
        <v>246</v>
      </c>
      <c r="G22" s="49" t="str">
        <f t="shared" si="0"/>
        <v>13/06/1994</v>
      </c>
      <c r="H22" s="50">
        <f t="shared" si="1"/>
        <v>31</v>
      </c>
      <c r="I22" s="50">
        <f t="shared" si="2"/>
        <v>0</v>
      </c>
      <c r="J22" s="50">
        <f t="shared" si="3"/>
        <v>7</v>
      </c>
      <c r="K22" s="59"/>
      <c r="L22" s="49" t="s">
        <v>136</v>
      </c>
      <c r="M22" s="64"/>
      <c r="N22" s="49" t="s">
        <v>425</v>
      </c>
      <c r="O22" s="49">
        <v>2569</v>
      </c>
      <c r="P22" s="65" t="s">
        <v>301</v>
      </c>
      <c r="Q22" s="49" t="str">
        <f t="shared" si="4"/>
        <v>29/11/2018</v>
      </c>
      <c r="R22" s="68">
        <f>IF(Q22="",0,DATEDIF(Q22,$C$1,"Y"))</f>
        <v>6</v>
      </c>
      <c r="S22" s="68">
        <f>IF(Q22="",0,DATEDIF(Q22,$C$1,"YM"))</f>
        <v>6</v>
      </c>
      <c r="T22" s="68">
        <f>IF(Q22="",0,DATEDIF(Q22,$C$1,"MD"))</f>
        <v>22</v>
      </c>
      <c r="U22" s="65"/>
      <c r="V22" s="65"/>
      <c r="W22" s="49" t="str">
        <f t="shared" si="8"/>
        <v/>
      </c>
      <c r="X22" s="68">
        <f>IF(W22="",0,DATEDIF(W22,Q22,"Y"))</f>
        <v>0</v>
      </c>
      <c r="Y22" s="68">
        <f>IF(W22="",0,DATEDIF(W22,Q22,"YM"))</f>
        <v>0</v>
      </c>
      <c r="Z22" s="68">
        <f>IF(W22="",0,DATEDIF(W22,Q22,"MD"))</f>
        <v>0</v>
      </c>
      <c r="AA22" s="49"/>
      <c r="AB22" s="65"/>
      <c r="AC22" s="50" t="str">
        <f t="shared" si="9"/>
        <v/>
      </c>
      <c r="AD22" s="68">
        <f t="shared" si="10"/>
        <v>0</v>
      </c>
      <c r="AE22" s="68">
        <f t="shared" si="11"/>
        <v>0</v>
      </c>
      <c r="AF22" s="68">
        <f t="shared" si="12"/>
        <v>0</v>
      </c>
      <c r="AG22" s="50"/>
      <c r="AH22" s="108" t="s">
        <v>138</v>
      </c>
      <c r="AI22" s="49" t="str">
        <f>IF(AH22="นิติศาสตร์","K5-LAW","K5-POLICY")</f>
        <v>K5-LAW</v>
      </c>
      <c r="AJ22" s="72" t="str">
        <f>_xlfn.IFS(B22="","",AND(AI22="K5-LAW",AH22="นิติศาสตร์",L22="S2",U22="",AA22=""),Q22,AND(AI22="K5-LAW",AH22="นิติศาสตร์",L22="S1",U22="",AA22=""),EDATE(Q22,12),AND(AI22="K5-LAW",AH22="นิติศาสตร์",OR(L22="M2",L22="K4"),U22="",AA22=""),EDATE(Q22,12*2),AND(AI22="K5-LAW",AH22="นิติศาสตร์",OR(AA22="M2",AA22="K4"),AD22&gt;=2,OR(AC22&lt;W22,AC22&lt;Q22)),EDATE(AC22,12*2),AND(AI22="K5-LAW",AH22="นิติศาสตร์",AA22="S1",AD22&gt;=1,OR(AC22&lt;W22,AC22&lt;Q22)),EDATE(AC22,12),AND(AI22="K5-LAW",AH22="นิติศาสตร์",OR(U22="M2",U22="K4"),X22&gt;=2,W22&lt;Q22),EDATE(W22,12*2),AND(AI22="K5-LAW",AH22="นิติศาสตร์",U22="S1",X22&gt;=1,W22&lt;Q22),EDATE(W22,12),AND(AI22="K5-LAW",AH22="นิติศาสตร์",OR(U22="S2",U22="K5")),W22,AND(AI22="K5-LAW",AH22="นิติศาสตร์",OR(L22="M2",L22="K4"),R22&gt;=2),EDATE(Q22,12*2),AND(AI22="K5-LAW",AH22="นิติศาสตร์",L22="S1",R22&gt;=1),EDATE(Q22,12),AND(AI22="K5-LAW",AH22="นิติศาสตร์",OR(L22="S2",L22="K5")),Q22,AND(AI22="K5-POLICY",AH22&lt;&gt;"นิติศาสตร์",L22="S2",U22="",AA22=""),Q22,AND(AI22="K5-POLICY",AH22&lt;&gt;"นิติศาสตร์",L22="S1",U22="",AA22=""),EDATE(Q22,12),AND(AI22="K5-POLICY",AH22&lt;&gt;"นิติศาสตร์",OR(L22="M2",L22="K4"),U22="",AA22=""),EDATE(Q22,12*2),AND(AI22="K5-POLICY",AH22&lt;&gt;"นิติศาสตร์",OR(AA22="M2",AA22="K4"),AD22&gt;=2,OR(AC22&lt;W22,AC22&lt;Q22)),EDATE(AC22,12*2),AND(AI22="K5-POLICY",AH22&lt;&gt;"นิติศาสตร์",AA22="S1",AD22&gt;=1,OR(AC22&lt;W22,AC22&lt;Q22)),EDATE(AC22,12),AND(AI22="K5-POLICY",AH22&lt;&gt;"นิติศาสตร์",OR(U22="M2",U22="K4"),X22&gt;=2,W22&lt;Q22),EDATE(W22,12*2),AND(AI22="K5-POLICY",AH22&lt;&gt;"นิติศาสตร์",U22="S1",X22&gt;=1,W22&lt;Q22),EDATE(W22,12),AND(AI22="K5-POLICY",AH22&lt;&gt;"นิติศาสตร์",OR(U22="S2",U22="K5")),W22,AND(AI22="K5-POLICY",AH22&lt;&gt;"นิติศาสตร์",OR(L22="M2",L22="K4"),R22&gt;=2),EDATE(Q22,12*2),AND(AI22="K5-POLICY",AH22&lt;&gt;"นิติศาสตร์",L22="S1",R22&gt;=1),EDATE(Q22,12),AND(AI22="K5-POLICY",AH22&lt;&gt;"นิติศาสตร์",OR(L22="S2",L22="K5")),Q22,TRUE,"Check Data")</f>
        <v/>
      </c>
      <c r="AK22" s="75" t="str">
        <f t="shared" si="5"/>
        <v>Check Data</v>
      </c>
      <c r="AL22" s="76" t="str">
        <f t="shared" si="6"/>
        <v>Check Data</v>
      </c>
      <c r="AM22" s="50" t="str">
        <f t="shared" si="7"/>
        <v>Check Data</v>
      </c>
      <c r="AN22" s="49" t="str">
        <f>IF(B22="","",IF(L22="S1","S1",INDEX(#REF!,#REF!)))</f>
        <v/>
      </c>
      <c r="AO22" s="49" t="str">
        <f>L22</f>
        <v>M2</v>
      </c>
      <c r="AP22" s="50" t="b">
        <f>L22=AN22</f>
        <v>0</v>
      </c>
      <c r="AQ22" s="50"/>
    </row>
    <row r="23" spans="1:43" ht="21.75">
      <c r="A23" s="49">
        <v>21</v>
      </c>
      <c r="B23" s="50"/>
      <c r="C23" s="50"/>
      <c r="D23" s="50" t="s">
        <v>143</v>
      </c>
      <c r="E23" s="50" t="e">
        <f>INDEX(#REF!,#REF!)</f>
        <v>#REF!</v>
      </c>
      <c r="F23" s="49" t="s">
        <v>312</v>
      </c>
      <c r="G23" s="49" t="str">
        <f t="shared" si="0"/>
        <v>04/05/2000</v>
      </c>
      <c r="H23" s="50">
        <f t="shared" si="1"/>
        <v>25</v>
      </c>
      <c r="I23" s="50">
        <f t="shared" si="2"/>
        <v>1</v>
      </c>
      <c r="J23" s="50">
        <f t="shared" si="3"/>
        <v>16</v>
      </c>
      <c r="K23" s="59"/>
      <c r="L23" s="49" t="s">
        <v>136</v>
      </c>
      <c r="M23" s="64"/>
      <c r="N23" s="49" t="s">
        <v>425</v>
      </c>
      <c r="O23" s="49">
        <v>2574</v>
      </c>
      <c r="P23" s="65" t="s">
        <v>301</v>
      </c>
      <c r="Q23" s="49" t="str">
        <f t="shared" si="4"/>
        <v>29/11/2018</v>
      </c>
      <c r="R23" s="68">
        <f>IF(Q23="",0,DATEDIF(Q23,$C$1,"Y"))</f>
        <v>6</v>
      </c>
      <c r="S23" s="68">
        <f>IF(Q23="",0,DATEDIF(Q23,$C$1,"YM"))</f>
        <v>6</v>
      </c>
      <c r="T23" s="68">
        <f>IF(Q23="",0,DATEDIF(Q23,$C$1,"MD"))</f>
        <v>22</v>
      </c>
      <c r="U23" s="65"/>
      <c r="V23" s="65"/>
      <c r="W23" s="49" t="str">
        <f t="shared" si="8"/>
        <v/>
      </c>
      <c r="X23" s="68">
        <f>IF(W23="",0,DATEDIF(W23,Q23,"Y"))</f>
        <v>0</v>
      </c>
      <c r="Y23" s="68">
        <f>IF(W23="",0,DATEDIF(W23,Q23,"YM"))</f>
        <v>0</v>
      </c>
      <c r="Z23" s="68">
        <f>IF(W23="",0,DATEDIF(W23,Q23,"MD"))</f>
        <v>0</v>
      </c>
      <c r="AA23" s="49"/>
      <c r="AB23" s="65"/>
      <c r="AC23" s="50" t="str">
        <f t="shared" si="9"/>
        <v/>
      </c>
      <c r="AD23" s="68">
        <f t="shared" si="10"/>
        <v>0</v>
      </c>
      <c r="AE23" s="68">
        <f t="shared" si="11"/>
        <v>0</v>
      </c>
      <c r="AF23" s="68">
        <f t="shared" si="12"/>
        <v>0</v>
      </c>
      <c r="AG23" s="50"/>
      <c r="AH23" s="108" t="s">
        <v>166</v>
      </c>
      <c r="AI23" s="49" t="str">
        <f>IF(AH23="นิติศาสตร์","K5-LAW","K5-POLICY")</f>
        <v>K5-POLICY</v>
      </c>
      <c r="AJ23" s="72" t="str">
        <f>_xlfn.IFS(B23="","",AND(AI23="K5-LAW",AH23="นิติศาสตร์",L23="S2",U23="",AA23=""),Q23,AND(AI23="K5-LAW",AH23="นิติศาสตร์",L23="S1",U23="",AA23=""),EDATE(Q23,12),AND(AI23="K5-LAW",AH23="นิติศาสตร์",OR(L23="M2",L23="K4"),U23="",AA23=""),EDATE(Q23,12*2),AND(AI23="K5-LAW",AH23="นิติศาสตร์",OR(AA23="M2",AA23="K4"),AD23&gt;=2,OR(AC23&lt;W23,AC23&lt;Q23)),EDATE(AC23,12*2),AND(AI23="K5-LAW",AH23="นิติศาสตร์",AA23="S1",AD23&gt;=1,OR(AC23&lt;W23,AC23&lt;Q23)),EDATE(AC23,12),AND(AI23="K5-LAW",AH23="นิติศาสตร์",OR(U23="M2",U23="K4"),X23&gt;=2,W23&lt;Q23),EDATE(W23,12*2),AND(AI23="K5-LAW",AH23="นิติศาสตร์",U23="S1",X23&gt;=1,W23&lt;Q23),EDATE(W23,12),AND(AI23="K5-LAW",AH23="นิติศาสตร์",OR(U23="S2",U23="K5")),W23,AND(AI23="K5-LAW",AH23="นิติศาสตร์",OR(L23="M2",L23="K4"),R23&gt;=2),EDATE(Q23,12*2),AND(AI23="K5-LAW",AH23="นิติศาสตร์",L23="S1",R23&gt;=1),EDATE(Q23,12),AND(AI23="K5-LAW",AH23="นิติศาสตร์",OR(L23="S2",L23="K5")),Q23,AND(AI23="K5-POLICY",AH23&lt;&gt;"นิติศาสตร์",L23="S2",U23="",AA23=""),Q23,AND(AI23="K5-POLICY",AH23&lt;&gt;"นิติศาสตร์",L23="S1",U23="",AA23=""),EDATE(Q23,12),AND(AI23="K5-POLICY",AH23&lt;&gt;"นิติศาสตร์",OR(L23="M2",L23="K4"),U23="",AA23=""),EDATE(Q23,12*2),AND(AI23="K5-POLICY",AH23&lt;&gt;"นิติศาสตร์",OR(AA23="M2",AA23="K4"),AD23&gt;=2,OR(AC23&lt;W23,AC23&lt;Q23)),EDATE(AC23,12*2),AND(AI23="K5-POLICY",AH23&lt;&gt;"นิติศาสตร์",AA23="S1",AD23&gt;=1,OR(AC23&lt;W23,AC23&lt;Q23)),EDATE(AC23,12),AND(AI23="K5-POLICY",AH23&lt;&gt;"นิติศาสตร์",OR(U23="M2",U23="K4"),X23&gt;=2,W23&lt;Q23),EDATE(W23,12*2),AND(AI23="K5-POLICY",AH23&lt;&gt;"นิติศาสตร์",U23="S1",X23&gt;=1,W23&lt;Q23),EDATE(W23,12),AND(AI23="K5-POLICY",AH23&lt;&gt;"นิติศาสตร์",OR(U23="S2",U23="K5")),W23,AND(AI23="K5-POLICY",AH23&lt;&gt;"นิติศาสตร์",OR(L23="M2",L23="K4"),R23&gt;=2),EDATE(Q23,12*2),AND(AI23="K5-POLICY",AH23&lt;&gt;"นิติศาสตร์",L23="S1",R23&gt;=1),EDATE(Q23,12),AND(AI23="K5-POLICY",AH23&lt;&gt;"นิติศาสตร์",OR(L23="S2",L23="K5")),Q23,TRUE,"Check Data")</f>
        <v/>
      </c>
      <c r="AK23" s="75" t="str">
        <f t="shared" si="5"/>
        <v>Check Data</v>
      </c>
      <c r="AL23" s="76" t="str">
        <f t="shared" si="6"/>
        <v>Check Data</v>
      </c>
      <c r="AM23" s="50" t="str">
        <f t="shared" si="7"/>
        <v>Check Data</v>
      </c>
      <c r="AN23" s="49" t="str">
        <f>IF(B23="","",IF(L23="S1","S1",INDEX(#REF!,#REF!)))</f>
        <v/>
      </c>
      <c r="AO23" s="49" t="str">
        <f>L23</f>
        <v>M2</v>
      </c>
      <c r="AP23" s="50" t="b">
        <f>L23=AN23</f>
        <v>0</v>
      </c>
      <c r="AQ23" s="50"/>
    </row>
    <row r="24" spans="1:43" ht="21.75">
      <c r="A24" s="49">
        <v>22</v>
      </c>
      <c r="B24" s="50"/>
      <c r="C24" s="50"/>
      <c r="D24" s="50" t="s">
        <v>140</v>
      </c>
      <c r="E24" s="50" t="e">
        <f>INDEX(#REF!,#REF!)</f>
        <v>#REF!</v>
      </c>
      <c r="F24" s="49" t="s">
        <v>240</v>
      </c>
      <c r="G24" s="49" t="str">
        <f t="shared" si="0"/>
        <v>16/06/1997</v>
      </c>
      <c r="H24" s="50">
        <f t="shared" si="1"/>
        <v>28</v>
      </c>
      <c r="I24" s="50">
        <f t="shared" si="2"/>
        <v>0</v>
      </c>
      <c r="J24" s="50">
        <f t="shared" si="3"/>
        <v>4</v>
      </c>
      <c r="K24" s="57"/>
      <c r="L24" s="49" t="s">
        <v>136</v>
      </c>
      <c r="M24" s="64"/>
      <c r="N24" s="49" t="s">
        <v>425</v>
      </c>
      <c r="O24" s="49">
        <v>2580</v>
      </c>
      <c r="P24" s="65" t="s">
        <v>241</v>
      </c>
      <c r="Q24" s="49" t="str">
        <f t="shared" si="4"/>
        <v>08/01/2019</v>
      </c>
      <c r="R24" s="68">
        <f>IF(Q24="",0,DATEDIF(Q24,$C$1,"Y"))</f>
        <v>6</v>
      </c>
      <c r="S24" s="68">
        <f>IF(Q24="",0,DATEDIF(Q24,$C$1,"YM"))</f>
        <v>5</v>
      </c>
      <c r="T24" s="68">
        <f>IF(Q24="",0,DATEDIF(Q24,$C$1,"MD"))</f>
        <v>12</v>
      </c>
      <c r="U24" s="65"/>
      <c r="V24" s="65"/>
      <c r="W24" s="49" t="str">
        <f t="shared" si="8"/>
        <v/>
      </c>
      <c r="X24" s="68">
        <f>IF(W24="",0,DATEDIF(W24,Q24,"Y"))</f>
        <v>0</v>
      </c>
      <c r="Y24" s="68">
        <f>IF(W24="",0,DATEDIF(W24,Q24,"YM"))</f>
        <v>0</v>
      </c>
      <c r="Z24" s="68">
        <f>IF(W24="",0,DATEDIF(W24,Q24,"MD"))</f>
        <v>0</v>
      </c>
      <c r="AA24" s="49"/>
      <c r="AB24" s="65"/>
      <c r="AC24" s="50" t="str">
        <f t="shared" si="9"/>
        <v/>
      </c>
      <c r="AD24" s="68">
        <f t="shared" si="10"/>
        <v>0</v>
      </c>
      <c r="AE24" s="68">
        <f t="shared" si="11"/>
        <v>0</v>
      </c>
      <c r="AF24" s="68">
        <f t="shared" si="12"/>
        <v>0</v>
      </c>
      <c r="AG24" s="50"/>
      <c r="AH24" s="108" t="s">
        <v>172</v>
      </c>
      <c r="AI24" s="49" t="str">
        <f>IF(AH24="นิติศาสตร์","K5-LAW","K5-POLICY")</f>
        <v>K5-POLICY</v>
      </c>
      <c r="AJ24" s="72" t="str">
        <f>_xlfn.IFS(B24="","",AND(AI24="K5-LAW",AH24="นิติศาสตร์",L24="S2",U24="",AA24=""),Q24,AND(AI24="K5-LAW",AH24="นิติศาสตร์",L24="S1",U24="",AA24=""),EDATE(Q24,12),AND(AI24="K5-LAW",AH24="นิติศาสตร์",OR(L24="M2",L24="K4"),U24="",AA24=""),EDATE(Q24,12*2),AND(AI24="K5-LAW",AH24="นิติศาสตร์",OR(AA24="M2",AA24="K4"),AD24&gt;=2,OR(AC24&lt;W24,AC24&lt;Q24)),EDATE(AC24,12*2),AND(AI24="K5-LAW",AH24="นิติศาสตร์",AA24="S1",AD24&gt;=1,OR(AC24&lt;W24,AC24&lt;Q24)),EDATE(AC24,12),AND(AI24="K5-LAW",AH24="นิติศาสตร์",OR(U24="M2",U24="K4"),X24&gt;=2,W24&lt;Q24),EDATE(W24,12*2),AND(AI24="K5-LAW",AH24="นิติศาสตร์",U24="S1",X24&gt;=1,W24&lt;Q24),EDATE(W24,12),AND(AI24="K5-LAW",AH24="นิติศาสตร์",OR(U24="S2",U24="K5")),W24,AND(AI24="K5-LAW",AH24="นิติศาสตร์",OR(L24="M2",L24="K4"),R24&gt;=2),EDATE(Q24,12*2),AND(AI24="K5-LAW",AH24="นิติศาสตร์",L24="S1",R24&gt;=1),EDATE(Q24,12),AND(AI24="K5-LAW",AH24="นิติศาสตร์",OR(L24="S2",L24="K5")),Q24,AND(AI24="K5-POLICY",AH24&lt;&gt;"นิติศาสตร์",L24="S2",U24="",AA24=""),Q24,AND(AI24="K5-POLICY",AH24&lt;&gt;"นิติศาสตร์",L24="S1",U24="",AA24=""),EDATE(Q24,12),AND(AI24="K5-POLICY",AH24&lt;&gt;"นิติศาสตร์",OR(L24="M2",L24="K4"),U24="",AA24=""),EDATE(Q24,12*2),AND(AI24="K5-POLICY",AH24&lt;&gt;"นิติศาสตร์",OR(AA24="M2",AA24="K4"),AD24&gt;=2,OR(AC24&lt;W24,AC24&lt;Q24)),EDATE(AC24,12*2),AND(AI24="K5-POLICY",AH24&lt;&gt;"นิติศาสตร์",AA24="S1",AD24&gt;=1,OR(AC24&lt;W24,AC24&lt;Q24)),EDATE(AC24,12),AND(AI24="K5-POLICY",AH24&lt;&gt;"นิติศาสตร์",OR(U24="M2",U24="K4"),X24&gt;=2,W24&lt;Q24),EDATE(W24,12*2),AND(AI24="K5-POLICY",AH24&lt;&gt;"นิติศาสตร์",U24="S1",X24&gt;=1,W24&lt;Q24),EDATE(W24,12),AND(AI24="K5-POLICY",AH24&lt;&gt;"นิติศาสตร์",OR(U24="S2",U24="K5")),W24,AND(AI24="K5-POLICY",AH24&lt;&gt;"นิติศาสตร์",OR(L24="M2",L24="K4"),R24&gt;=2),EDATE(Q24,12*2),AND(AI24="K5-POLICY",AH24&lt;&gt;"นิติศาสตร์",L24="S1",R24&gt;=1),EDATE(Q24,12),AND(AI24="K5-POLICY",AH24&lt;&gt;"นิติศาสตร์",OR(L24="S2",L24="K5")),Q24,TRUE,"Check Data")</f>
        <v/>
      </c>
      <c r="AK24" s="75" t="str">
        <f t="shared" si="5"/>
        <v>Check Data</v>
      </c>
      <c r="AL24" s="76" t="str">
        <f t="shared" si="6"/>
        <v>Check Data</v>
      </c>
      <c r="AM24" s="50" t="str">
        <f t="shared" si="7"/>
        <v>Check Data</v>
      </c>
      <c r="AN24" s="49" t="str">
        <f>IF(B24="","",IF(L24="S1","S1",INDEX(#REF!,#REF!)))</f>
        <v/>
      </c>
      <c r="AO24" s="49" t="str">
        <f>L24</f>
        <v>M2</v>
      </c>
      <c r="AP24" s="50" t="b">
        <f>L24=AN24</f>
        <v>0</v>
      </c>
      <c r="AQ24" s="50"/>
    </row>
    <row r="25" spans="1:43" ht="21.75">
      <c r="A25" s="49">
        <v>23</v>
      </c>
      <c r="B25" s="50"/>
      <c r="C25" s="50"/>
      <c r="D25" s="50" t="s">
        <v>141</v>
      </c>
      <c r="E25" s="50" t="e">
        <f>INDEX(#REF!,#REF!)</f>
        <v>#REF!</v>
      </c>
      <c r="F25" s="49" t="s">
        <v>260</v>
      </c>
      <c r="G25" s="49" t="str">
        <f t="shared" si="0"/>
        <v>04/03/1996</v>
      </c>
      <c r="H25" s="50">
        <f t="shared" si="1"/>
        <v>29</v>
      </c>
      <c r="I25" s="50">
        <f t="shared" si="2"/>
        <v>3</v>
      </c>
      <c r="J25" s="50">
        <f t="shared" si="3"/>
        <v>16</v>
      </c>
      <c r="K25" s="60"/>
      <c r="L25" s="49" t="s">
        <v>136</v>
      </c>
      <c r="M25" s="64"/>
      <c r="N25" s="49" t="s">
        <v>425</v>
      </c>
      <c r="O25" s="49">
        <v>2571</v>
      </c>
      <c r="P25" s="65" t="s">
        <v>248</v>
      </c>
      <c r="Q25" s="49" t="str">
        <f t="shared" si="4"/>
        <v>03/04/2019</v>
      </c>
      <c r="R25" s="68">
        <f>IF(Q25="",0,DATEDIF(Q25,$C$1,"Y"))</f>
        <v>6</v>
      </c>
      <c r="S25" s="68">
        <f>IF(Q25="",0,DATEDIF(Q25,$C$1,"YM"))</f>
        <v>2</v>
      </c>
      <c r="T25" s="68">
        <f>IF(Q25="",0,DATEDIF(Q25,$C$1,"MD"))</f>
        <v>17</v>
      </c>
      <c r="U25" s="65"/>
      <c r="V25" s="65"/>
      <c r="W25" s="49" t="str">
        <f t="shared" si="8"/>
        <v/>
      </c>
      <c r="X25" s="68">
        <f>IF(W25="",0,DATEDIF(W25,Q25,"Y"))</f>
        <v>0</v>
      </c>
      <c r="Y25" s="68">
        <f>IF(W25="",0,DATEDIF(W25,Q25,"YM"))</f>
        <v>0</v>
      </c>
      <c r="Z25" s="68">
        <f>IF(W25="",0,DATEDIF(W25,Q25,"MD"))</f>
        <v>0</v>
      </c>
      <c r="AA25" s="49"/>
      <c r="AB25" s="65"/>
      <c r="AC25" s="50" t="str">
        <f t="shared" si="9"/>
        <v/>
      </c>
      <c r="AD25" s="68">
        <f t="shared" si="10"/>
        <v>0</v>
      </c>
      <c r="AE25" s="68">
        <f t="shared" si="11"/>
        <v>0</v>
      </c>
      <c r="AF25" s="68">
        <f t="shared" si="12"/>
        <v>0</v>
      </c>
      <c r="AG25" s="50"/>
      <c r="AH25" s="108" t="s">
        <v>138</v>
      </c>
      <c r="AI25" s="49" t="str">
        <f>IF(AH25="นิติศาสตร์","K5-LAW","K5-POLICY")</f>
        <v>K5-LAW</v>
      </c>
      <c r="AJ25" s="72" t="str">
        <f>_xlfn.IFS(B25="","",AND(AI25="K5-LAW",AH25="นิติศาสตร์",L25="S2",U25="",AA25=""),Q25,AND(AI25="K5-LAW",AH25="นิติศาสตร์",L25="S1",U25="",AA25=""),EDATE(Q25,12),AND(AI25="K5-LAW",AH25="นิติศาสตร์",OR(L25="M2",L25="K4"),U25="",AA25=""),EDATE(Q25,12*2),AND(AI25="K5-LAW",AH25="นิติศาสตร์",OR(AA25="M2",AA25="K4"),AD25&gt;=2,OR(AC25&lt;W25,AC25&lt;Q25)),EDATE(AC25,12*2),AND(AI25="K5-LAW",AH25="นิติศาสตร์",AA25="S1",AD25&gt;=1,OR(AC25&lt;W25,AC25&lt;Q25)),EDATE(AC25,12),AND(AI25="K5-LAW",AH25="นิติศาสตร์",OR(U25="M2",U25="K4"),X25&gt;=2,W25&lt;Q25),EDATE(W25,12*2),AND(AI25="K5-LAW",AH25="นิติศาสตร์",U25="S1",X25&gt;=1,W25&lt;Q25),EDATE(W25,12),AND(AI25="K5-LAW",AH25="นิติศาสตร์",OR(U25="S2",U25="K5")),W25,AND(AI25="K5-LAW",AH25="นิติศาสตร์",OR(L25="M2",L25="K4"),R25&gt;=2),EDATE(Q25,12*2),AND(AI25="K5-LAW",AH25="นิติศาสตร์",L25="S1",R25&gt;=1),EDATE(Q25,12),AND(AI25="K5-LAW",AH25="นิติศาสตร์",OR(L25="S2",L25="K5")),Q25,AND(AI25="K5-POLICY",AH25&lt;&gt;"นิติศาสตร์",L25="S2",U25="",AA25=""),Q25,AND(AI25="K5-POLICY",AH25&lt;&gt;"นิติศาสตร์",L25="S1",U25="",AA25=""),EDATE(Q25,12),AND(AI25="K5-POLICY",AH25&lt;&gt;"นิติศาสตร์",OR(L25="M2",L25="K4"),U25="",AA25=""),EDATE(Q25,12*2),AND(AI25="K5-POLICY",AH25&lt;&gt;"นิติศาสตร์",OR(AA25="M2",AA25="K4"),AD25&gt;=2,OR(AC25&lt;W25,AC25&lt;Q25)),EDATE(AC25,12*2),AND(AI25="K5-POLICY",AH25&lt;&gt;"นิติศาสตร์",AA25="S1",AD25&gt;=1,OR(AC25&lt;W25,AC25&lt;Q25)),EDATE(AC25,12),AND(AI25="K5-POLICY",AH25&lt;&gt;"นิติศาสตร์",OR(U25="M2",U25="K4"),X25&gt;=2,W25&lt;Q25),EDATE(W25,12*2),AND(AI25="K5-POLICY",AH25&lt;&gt;"นิติศาสตร์",U25="S1",X25&gt;=1,W25&lt;Q25),EDATE(W25,12),AND(AI25="K5-POLICY",AH25&lt;&gt;"นิติศาสตร์",OR(U25="S2",U25="K5")),W25,AND(AI25="K5-POLICY",AH25&lt;&gt;"นิติศาสตร์",OR(L25="M2",L25="K4"),R25&gt;=2),EDATE(Q25,12*2),AND(AI25="K5-POLICY",AH25&lt;&gt;"นิติศาสตร์",L25="S1",R25&gt;=1),EDATE(Q25,12),AND(AI25="K5-POLICY",AH25&lt;&gt;"นิติศาสตร์",OR(L25="S2",L25="K5")),Q25,TRUE,"Check Data")</f>
        <v/>
      </c>
      <c r="AK25" s="75" t="str">
        <f t="shared" si="5"/>
        <v>Check Data</v>
      </c>
      <c r="AL25" s="76" t="str">
        <f t="shared" si="6"/>
        <v>Check Data</v>
      </c>
      <c r="AM25" s="50" t="str">
        <f t="shared" si="7"/>
        <v>Check Data</v>
      </c>
      <c r="AN25" s="49" t="str">
        <f>IF(B25="","",IF(L25="S1","S1",INDEX(#REF!,#REF!)))</f>
        <v/>
      </c>
      <c r="AO25" s="49" t="str">
        <f>L25</f>
        <v>M2</v>
      </c>
      <c r="AP25" s="50" t="b">
        <f>L25=AN25</f>
        <v>0</v>
      </c>
      <c r="AQ25" s="50"/>
    </row>
    <row r="26" spans="1:43" ht="21.75">
      <c r="A26" s="49">
        <v>24</v>
      </c>
      <c r="B26" s="50"/>
      <c r="C26" s="50"/>
      <c r="D26" s="50" t="s">
        <v>145</v>
      </c>
      <c r="E26" s="50" t="e">
        <f>INDEX(#REF!,#REF!)</f>
        <v>#REF!</v>
      </c>
      <c r="F26" s="49" t="s">
        <v>392</v>
      </c>
      <c r="G26" s="49" t="str">
        <f t="shared" si="0"/>
        <v>07/08/2006</v>
      </c>
      <c r="H26" s="50">
        <f t="shared" si="1"/>
        <v>18</v>
      </c>
      <c r="I26" s="50">
        <f t="shared" si="2"/>
        <v>10</v>
      </c>
      <c r="J26" s="50">
        <f t="shared" si="3"/>
        <v>13</v>
      </c>
      <c r="K26" s="61"/>
      <c r="L26" s="49" t="s">
        <v>136</v>
      </c>
      <c r="M26" s="64"/>
      <c r="N26" s="49" t="s">
        <v>427</v>
      </c>
      <c r="O26" s="49">
        <v>2575</v>
      </c>
      <c r="P26" s="65" t="s">
        <v>467</v>
      </c>
      <c r="Q26" s="49" t="str">
        <f t="shared" si="4"/>
        <v>02/05/2019</v>
      </c>
      <c r="R26" s="68">
        <f>IF(Q26="",0,DATEDIF(Q26,$C$1,"Y"))</f>
        <v>6</v>
      </c>
      <c r="S26" s="68">
        <f>IF(Q26="",0,DATEDIF(Q26,$C$1,"YM"))</f>
        <v>1</v>
      </c>
      <c r="T26" s="68">
        <f>IF(Q26="",0,DATEDIF(Q26,$C$1,"MD"))</f>
        <v>18</v>
      </c>
      <c r="U26" s="65"/>
      <c r="V26" s="65"/>
      <c r="W26" s="49" t="str">
        <f t="shared" si="8"/>
        <v/>
      </c>
      <c r="X26" s="68">
        <f>IF(W26="",0,DATEDIF(W26,Q26,"Y"))</f>
        <v>0</v>
      </c>
      <c r="Y26" s="68">
        <f>IF(W26="",0,DATEDIF(W26,Q26,"YM"))</f>
        <v>0</v>
      </c>
      <c r="Z26" s="68">
        <f>IF(W26="",0,DATEDIF(W26,Q26,"MD"))</f>
        <v>0</v>
      </c>
      <c r="AA26" s="49"/>
      <c r="AB26" s="65"/>
      <c r="AC26" s="50" t="str">
        <f t="shared" si="9"/>
        <v/>
      </c>
      <c r="AD26" s="68">
        <f t="shared" si="10"/>
        <v>0</v>
      </c>
      <c r="AE26" s="68">
        <f t="shared" si="11"/>
        <v>0</v>
      </c>
      <c r="AF26" s="68">
        <f t="shared" si="12"/>
        <v>0</v>
      </c>
      <c r="AG26" s="50"/>
      <c r="AH26" s="108" t="s">
        <v>165</v>
      </c>
      <c r="AI26" s="49" t="str">
        <f>IF(AH26="นิติศาสตร์","K5-LAW","K5-POLICY")</f>
        <v>K5-POLICY</v>
      </c>
      <c r="AJ26" s="72" t="str">
        <f>_xlfn.IFS(B26="","",AND(AI26="K5-LAW",AH26="นิติศาสตร์",L26="S2",U26="",AA26=""),Q26,AND(AI26="K5-LAW",AH26="นิติศาสตร์",L26="S1",U26="",AA26=""),EDATE(Q26,12),AND(AI26="K5-LAW",AH26="นิติศาสตร์",OR(L26="M2",L26="K4"),U26="",AA26=""),EDATE(Q26,12*2),AND(AI26="K5-LAW",AH26="นิติศาสตร์",OR(AA26="M2",AA26="K4"),AD26&gt;=2,OR(AC26&lt;W26,AC26&lt;Q26)),EDATE(AC26,12*2),AND(AI26="K5-LAW",AH26="นิติศาสตร์",AA26="S1",AD26&gt;=1,OR(AC26&lt;W26,AC26&lt;Q26)),EDATE(AC26,12),AND(AI26="K5-LAW",AH26="นิติศาสตร์",OR(U26="M2",U26="K4"),X26&gt;=2,W26&lt;Q26),EDATE(W26,12*2),AND(AI26="K5-LAW",AH26="นิติศาสตร์",U26="S1",X26&gt;=1,W26&lt;Q26),EDATE(W26,12),AND(AI26="K5-LAW",AH26="นิติศาสตร์",OR(U26="S2",U26="K5")),W26,AND(AI26="K5-LAW",AH26="นิติศาสตร์",OR(L26="M2",L26="K4"),R26&gt;=2),EDATE(Q26,12*2),AND(AI26="K5-LAW",AH26="นิติศาสตร์",L26="S1",R26&gt;=1),EDATE(Q26,12),AND(AI26="K5-LAW",AH26="นิติศาสตร์",OR(L26="S2",L26="K5")),Q26,AND(AI26="K5-POLICY",AH26&lt;&gt;"นิติศาสตร์",L26="S2",U26="",AA26=""),Q26,AND(AI26="K5-POLICY",AH26&lt;&gt;"นิติศาสตร์",L26="S1",U26="",AA26=""),EDATE(Q26,12),AND(AI26="K5-POLICY",AH26&lt;&gt;"นิติศาสตร์",OR(L26="M2",L26="K4"),U26="",AA26=""),EDATE(Q26,12*2),AND(AI26="K5-POLICY",AH26&lt;&gt;"นิติศาสตร์",OR(AA26="M2",AA26="K4"),AD26&gt;=2,OR(AC26&lt;W26,AC26&lt;Q26)),EDATE(AC26,12*2),AND(AI26="K5-POLICY",AH26&lt;&gt;"นิติศาสตร์",AA26="S1",AD26&gt;=1,OR(AC26&lt;W26,AC26&lt;Q26)),EDATE(AC26,12),AND(AI26="K5-POLICY",AH26&lt;&gt;"นิติศาสตร์",OR(U26="M2",U26="K4"),X26&gt;=2,W26&lt;Q26),EDATE(W26,12*2),AND(AI26="K5-POLICY",AH26&lt;&gt;"นิติศาสตร์",U26="S1",X26&gt;=1,W26&lt;Q26),EDATE(W26,12),AND(AI26="K5-POLICY",AH26&lt;&gt;"นิติศาสตร์",OR(U26="S2",U26="K5")),W26,AND(AI26="K5-POLICY",AH26&lt;&gt;"นิติศาสตร์",OR(L26="M2",L26="K4"),R26&gt;=2),EDATE(Q26,12*2),AND(AI26="K5-POLICY",AH26&lt;&gt;"นิติศาสตร์",L26="S1",R26&gt;=1),EDATE(Q26,12),AND(AI26="K5-POLICY",AH26&lt;&gt;"นิติศาสตร์",OR(L26="S2",L26="K5")),Q26,TRUE,"Check Data")</f>
        <v/>
      </c>
      <c r="AK26" s="75" t="str">
        <f t="shared" si="5"/>
        <v>Check Data</v>
      </c>
      <c r="AL26" s="76" t="str">
        <f t="shared" si="6"/>
        <v>Check Data</v>
      </c>
      <c r="AM26" s="50" t="str">
        <f t="shared" si="7"/>
        <v>Check Data</v>
      </c>
      <c r="AN26" s="49" t="str">
        <f>IF(B26="","",IF(L26="S1","S1",INDEX(#REF!,#REF!)))</f>
        <v/>
      </c>
      <c r="AO26" s="49" t="str">
        <f>L26</f>
        <v>M2</v>
      </c>
      <c r="AP26" s="50" t="b">
        <f>L26=AN26</f>
        <v>0</v>
      </c>
      <c r="AQ26" s="50"/>
    </row>
    <row r="27" spans="1:43" ht="21.75">
      <c r="A27" s="49">
        <v>25</v>
      </c>
      <c r="B27" s="50"/>
      <c r="C27" s="50"/>
      <c r="D27" s="50" t="s">
        <v>139</v>
      </c>
      <c r="E27" s="50" t="e">
        <f>INDEX(#REF!,#REF!)</f>
        <v>#REF!</v>
      </c>
      <c r="F27" s="49" t="s">
        <v>233</v>
      </c>
      <c r="G27" s="49" t="str">
        <f t="shared" si="0"/>
        <v>08/08/1988</v>
      </c>
      <c r="H27" s="50">
        <f t="shared" si="1"/>
        <v>36</v>
      </c>
      <c r="I27" s="50">
        <f t="shared" si="2"/>
        <v>10</v>
      </c>
      <c r="J27" s="50">
        <f t="shared" si="3"/>
        <v>12</v>
      </c>
      <c r="K27" s="56"/>
      <c r="L27" s="49" t="s">
        <v>136</v>
      </c>
      <c r="M27" s="64"/>
      <c r="N27" s="49" t="s">
        <v>425</v>
      </c>
      <c r="O27" s="49">
        <v>2568</v>
      </c>
      <c r="P27" s="65" t="s">
        <v>213</v>
      </c>
      <c r="Q27" s="49" t="str">
        <f t="shared" si="4"/>
        <v>07/05/2019</v>
      </c>
      <c r="R27" s="68">
        <f>IF(Q27="",0,DATEDIF(Q27,$C$1,"Y"))</f>
        <v>6</v>
      </c>
      <c r="S27" s="68">
        <f>IF(Q27="",0,DATEDIF(Q27,$C$1,"YM"))</f>
        <v>1</v>
      </c>
      <c r="T27" s="68">
        <f>IF(Q27="",0,DATEDIF(Q27,$C$1,"MD"))</f>
        <v>13</v>
      </c>
      <c r="U27" s="65"/>
      <c r="V27" s="65"/>
      <c r="W27" s="49" t="str">
        <f t="shared" si="8"/>
        <v/>
      </c>
      <c r="X27" s="68">
        <f>IF(W27="",0,DATEDIF(W27,Q27,"Y"))</f>
        <v>0</v>
      </c>
      <c r="Y27" s="68">
        <f>IF(W27="",0,DATEDIF(W27,Q27,"YM"))</f>
        <v>0</v>
      </c>
      <c r="Z27" s="68">
        <f>IF(W27="",0,DATEDIF(W27,Q27,"MD"))</f>
        <v>0</v>
      </c>
      <c r="AA27" s="49"/>
      <c r="AB27" s="65"/>
      <c r="AC27" s="50" t="str">
        <f t="shared" si="9"/>
        <v/>
      </c>
      <c r="AD27" s="68">
        <f t="shared" si="10"/>
        <v>0</v>
      </c>
      <c r="AE27" s="68">
        <f t="shared" si="11"/>
        <v>0</v>
      </c>
      <c r="AF27" s="68">
        <f t="shared" si="12"/>
        <v>0</v>
      </c>
      <c r="AG27" s="50"/>
      <c r="AH27" s="108" t="s">
        <v>167</v>
      </c>
      <c r="AI27" s="49" t="str">
        <f>IF(AH27="นิติศาสตร์","K5-LAW","K5-POLICY")</f>
        <v>K5-POLICY</v>
      </c>
      <c r="AJ27" s="72" t="str">
        <f>_xlfn.IFS(B27="","",AND(AI27="K5-LAW",AH27="นิติศาสตร์",L27="S2",U27="",AA27=""),Q27,AND(AI27="K5-LAW",AH27="นิติศาสตร์",L27="S1",U27="",AA27=""),EDATE(Q27,12),AND(AI27="K5-LAW",AH27="นิติศาสตร์",OR(L27="M2",L27="K4"),U27="",AA27=""),EDATE(Q27,12*2),AND(AI27="K5-LAW",AH27="นิติศาสตร์",OR(AA27="M2",AA27="K4"),AD27&gt;=2,OR(AC27&lt;W27,AC27&lt;Q27)),EDATE(AC27,12*2),AND(AI27="K5-LAW",AH27="นิติศาสตร์",AA27="S1",AD27&gt;=1,OR(AC27&lt;W27,AC27&lt;Q27)),EDATE(AC27,12),AND(AI27="K5-LAW",AH27="นิติศาสตร์",OR(U27="M2",U27="K4"),X27&gt;=2,W27&lt;Q27),EDATE(W27,12*2),AND(AI27="K5-LAW",AH27="นิติศาสตร์",U27="S1",X27&gt;=1,W27&lt;Q27),EDATE(W27,12),AND(AI27="K5-LAW",AH27="นิติศาสตร์",OR(U27="S2",U27="K5")),W27,AND(AI27="K5-LAW",AH27="นิติศาสตร์",OR(L27="M2",L27="K4"),R27&gt;=2),EDATE(Q27,12*2),AND(AI27="K5-LAW",AH27="นิติศาสตร์",L27="S1",R27&gt;=1),EDATE(Q27,12),AND(AI27="K5-LAW",AH27="นิติศาสตร์",OR(L27="S2",L27="K5")),Q27,AND(AI27="K5-POLICY",AH27&lt;&gt;"นิติศาสตร์",L27="S2",U27="",AA27=""),Q27,AND(AI27="K5-POLICY",AH27&lt;&gt;"นิติศาสตร์",L27="S1",U27="",AA27=""),EDATE(Q27,12),AND(AI27="K5-POLICY",AH27&lt;&gt;"นิติศาสตร์",OR(L27="M2",L27="K4"),U27="",AA27=""),EDATE(Q27,12*2),AND(AI27="K5-POLICY",AH27&lt;&gt;"นิติศาสตร์",OR(AA27="M2",AA27="K4"),AD27&gt;=2,OR(AC27&lt;W27,AC27&lt;Q27)),EDATE(AC27,12*2),AND(AI27="K5-POLICY",AH27&lt;&gt;"นิติศาสตร์",AA27="S1",AD27&gt;=1,OR(AC27&lt;W27,AC27&lt;Q27)),EDATE(AC27,12),AND(AI27="K5-POLICY",AH27&lt;&gt;"นิติศาสตร์",OR(U27="M2",U27="K4"),X27&gt;=2,W27&lt;Q27),EDATE(W27,12*2),AND(AI27="K5-POLICY",AH27&lt;&gt;"นิติศาสตร์",U27="S1",X27&gt;=1,W27&lt;Q27),EDATE(W27,12),AND(AI27="K5-POLICY",AH27&lt;&gt;"นิติศาสตร์",OR(U27="S2",U27="K5")),W27,AND(AI27="K5-POLICY",AH27&lt;&gt;"นิติศาสตร์",OR(L27="M2",L27="K4"),R27&gt;=2),EDATE(Q27,12*2),AND(AI27="K5-POLICY",AH27&lt;&gt;"นิติศาสตร์",L27="S1",R27&gt;=1),EDATE(Q27,12),AND(AI27="K5-POLICY",AH27&lt;&gt;"นิติศาสตร์",OR(L27="S2",L27="K5")),Q27,TRUE,"Check Data")</f>
        <v/>
      </c>
      <c r="AK27" s="75" t="str">
        <f t="shared" si="5"/>
        <v>Check Data</v>
      </c>
      <c r="AL27" s="76" t="str">
        <f t="shared" si="6"/>
        <v>Check Data</v>
      </c>
      <c r="AM27" s="50" t="str">
        <f t="shared" si="7"/>
        <v>Check Data</v>
      </c>
      <c r="AN27" s="49" t="str">
        <f>IF(B27="","",IF(L27="S1","S1",INDEX(#REF!,#REF!)))</f>
        <v/>
      </c>
      <c r="AO27" s="49" t="str">
        <f>L27</f>
        <v>M2</v>
      </c>
      <c r="AP27" s="50" t="b">
        <f>L27=AN27</f>
        <v>0</v>
      </c>
      <c r="AQ27" s="50"/>
    </row>
    <row r="28" spans="1:43" ht="21.75">
      <c r="A28" s="49">
        <v>26</v>
      </c>
      <c r="B28" s="50"/>
      <c r="C28" s="50"/>
      <c r="D28" s="50" t="s">
        <v>139</v>
      </c>
      <c r="E28" s="50" t="e">
        <f>INDEX(#REF!,#REF!)</f>
        <v>#REF!</v>
      </c>
      <c r="F28" s="49" t="s">
        <v>164</v>
      </c>
      <c r="G28" s="49" t="str">
        <f t="shared" si="0"/>
        <v>01/05/1990</v>
      </c>
      <c r="H28" s="50">
        <f t="shared" si="1"/>
        <v>35</v>
      </c>
      <c r="I28" s="50">
        <f t="shared" si="2"/>
        <v>1</v>
      </c>
      <c r="J28" s="50">
        <f t="shared" si="3"/>
        <v>19</v>
      </c>
      <c r="K28" s="56"/>
      <c r="L28" s="49" t="s">
        <v>136</v>
      </c>
      <c r="M28" s="64"/>
      <c r="N28" s="49" t="s">
        <v>425</v>
      </c>
      <c r="O28" s="49">
        <v>2568</v>
      </c>
      <c r="P28" s="65" t="s">
        <v>213</v>
      </c>
      <c r="Q28" s="49" t="str">
        <f t="shared" si="4"/>
        <v>07/05/2019</v>
      </c>
      <c r="R28" s="68">
        <f>IF(Q28="",0,DATEDIF(Q28,$C$1,"Y"))</f>
        <v>6</v>
      </c>
      <c r="S28" s="68">
        <f>IF(Q28="",0,DATEDIF(Q28,$C$1,"YM"))</f>
        <v>1</v>
      </c>
      <c r="T28" s="68">
        <f>IF(Q28="",0,DATEDIF(Q28,$C$1,"MD"))</f>
        <v>13</v>
      </c>
      <c r="U28" s="65"/>
      <c r="V28" s="65"/>
      <c r="W28" s="49" t="str">
        <f t="shared" si="8"/>
        <v/>
      </c>
      <c r="X28" s="68">
        <f>IF(W28="",0,DATEDIF(W28,Q28,"Y"))</f>
        <v>0</v>
      </c>
      <c r="Y28" s="68">
        <f>IF(W28="",0,DATEDIF(W28,Q28,"YM"))</f>
        <v>0</v>
      </c>
      <c r="Z28" s="68">
        <f>IF(W28="",0,DATEDIF(W28,Q28,"MD"))</f>
        <v>0</v>
      </c>
      <c r="AA28" s="49"/>
      <c r="AB28" s="65"/>
      <c r="AC28" s="50" t="str">
        <f t="shared" si="9"/>
        <v/>
      </c>
      <c r="AD28" s="68">
        <f t="shared" si="10"/>
        <v>0</v>
      </c>
      <c r="AE28" s="68">
        <f t="shared" si="11"/>
        <v>0</v>
      </c>
      <c r="AF28" s="68">
        <f t="shared" si="12"/>
        <v>0</v>
      </c>
      <c r="AG28" s="50"/>
      <c r="AH28" s="108" t="s">
        <v>167</v>
      </c>
      <c r="AI28" s="49" t="str">
        <f>IF(AH28="นิติศาสตร์","K5-LAW","K5-POLICY")</f>
        <v>K5-POLICY</v>
      </c>
      <c r="AJ28" s="72" t="str">
        <f>_xlfn.IFS(B28="","",AND(AI28="K5-LAW",AH28="นิติศาสตร์",L28="S2",U28="",AA28=""),Q28,AND(AI28="K5-LAW",AH28="นิติศาสตร์",L28="S1",U28="",AA28=""),EDATE(Q28,12),AND(AI28="K5-LAW",AH28="นิติศาสตร์",OR(L28="M2",L28="K4"),U28="",AA28=""),EDATE(Q28,12*2),AND(AI28="K5-LAW",AH28="นิติศาสตร์",OR(AA28="M2",AA28="K4"),AD28&gt;=2,OR(AC28&lt;W28,AC28&lt;Q28)),EDATE(AC28,12*2),AND(AI28="K5-LAW",AH28="นิติศาสตร์",AA28="S1",AD28&gt;=1,OR(AC28&lt;W28,AC28&lt;Q28)),EDATE(AC28,12),AND(AI28="K5-LAW",AH28="นิติศาสตร์",OR(U28="M2",U28="K4"),X28&gt;=2,W28&lt;Q28),EDATE(W28,12*2),AND(AI28="K5-LAW",AH28="นิติศาสตร์",U28="S1",X28&gt;=1,W28&lt;Q28),EDATE(W28,12),AND(AI28="K5-LAW",AH28="นิติศาสตร์",OR(U28="S2",U28="K5")),W28,AND(AI28="K5-LAW",AH28="นิติศาสตร์",OR(L28="M2",L28="K4"),R28&gt;=2),EDATE(Q28,12*2),AND(AI28="K5-LAW",AH28="นิติศาสตร์",L28="S1",R28&gt;=1),EDATE(Q28,12),AND(AI28="K5-LAW",AH28="นิติศาสตร์",OR(L28="S2",L28="K5")),Q28,AND(AI28="K5-POLICY",AH28&lt;&gt;"นิติศาสตร์",L28="S2",U28="",AA28=""),Q28,AND(AI28="K5-POLICY",AH28&lt;&gt;"นิติศาสตร์",L28="S1",U28="",AA28=""),EDATE(Q28,12),AND(AI28="K5-POLICY",AH28&lt;&gt;"นิติศาสตร์",OR(L28="M2",L28="K4"),U28="",AA28=""),EDATE(Q28,12*2),AND(AI28="K5-POLICY",AH28&lt;&gt;"นิติศาสตร์",OR(AA28="M2",AA28="K4"),AD28&gt;=2,OR(AC28&lt;W28,AC28&lt;Q28)),EDATE(AC28,12*2),AND(AI28="K5-POLICY",AH28&lt;&gt;"นิติศาสตร์",AA28="S1",AD28&gt;=1,OR(AC28&lt;W28,AC28&lt;Q28)),EDATE(AC28,12),AND(AI28="K5-POLICY",AH28&lt;&gt;"นิติศาสตร์",OR(U28="M2",U28="K4"),X28&gt;=2,W28&lt;Q28),EDATE(W28,12*2),AND(AI28="K5-POLICY",AH28&lt;&gt;"นิติศาสตร์",U28="S1",X28&gt;=1,W28&lt;Q28),EDATE(W28,12),AND(AI28="K5-POLICY",AH28&lt;&gt;"นิติศาสตร์",OR(U28="S2",U28="K5")),W28,AND(AI28="K5-POLICY",AH28&lt;&gt;"นิติศาสตร์",OR(L28="M2",L28="K4"),R28&gt;=2),EDATE(Q28,12*2),AND(AI28="K5-POLICY",AH28&lt;&gt;"นิติศาสตร์",L28="S1",R28&gt;=1),EDATE(Q28,12),AND(AI28="K5-POLICY",AH28&lt;&gt;"นิติศาสตร์",OR(L28="S2",L28="K5")),Q28,TRUE,"Check Data")</f>
        <v/>
      </c>
      <c r="AK28" s="75" t="str">
        <f t="shared" si="5"/>
        <v>Check Data</v>
      </c>
      <c r="AL28" s="76" t="str">
        <f t="shared" si="6"/>
        <v>Check Data</v>
      </c>
      <c r="AM28" s="50" t="str">
        <f t="shared" si="7"/>
        <v>Check Data</v>
      </c>
      <c r="AN28" s="49" t="str">
        <f>IF(B28="","",IF(L28="S1","S1",INDEX(#REF!,#REF!)))</f>
        <v/>
      </c>
      <c r="AO28" s="49" t="str">
        <f>L28</f>
        <v>M2</v>
      </c>
      <c r="AP28" s="50" t="b">
        <f>L28=AN28</f>
        <v>0</v>
      </c>
      <c r="AQ28" s="50"/>
    </row>
    <row r="29" spans="1:43" ht="21.75">
      <c r="A29" s="49">
        <v>27</v>
      </c>
      <c r="B29" s="50"/>
      <c r="C29" s="50"/>
      <c r="D29" s="50" t="s">
        <v>140</v>
      </c>
      <c r="E29" s="50" t="e">
        <f>INDEX(#REF!,#REF!)</f>
        <v>#REF!</v>
      </c>
      <c r="F29" s="49" t="s">
        <v>239</v>
      </c>
      <c r="G29" s="49" t="str">
        <f t="shared" si="0"/>
        <v>01/05/1985</v>
      </c>
      <c r="H29" s="50">
        <f t="shared" si="1"/>
        <v>40</v>
      </c>
      <c r="I29" s="50">
        <f t="shared" si="2"/>
        <v>1</v>
      </c>
      <c r="J29" s="50">
        <f t="shared" si="3"/>
        <v>19</v>
      </c>
      <c r="K29" s="57"/>
      <c r="L29" s="49" t="s">
        <v>136</v>
      </c>
      <c r="M29" s="64"/>
      <c r="N29" s="49" t="s">
        <v>425</v>
      </c>
      <c r="O29" s="49">
        <v>2568</v>
      </c>
      <c r="P29" s="65" t="s">
        <v>213</v>
      </c>
      <c r="Q29" s="49" t="str">
        <f t="shared" si="4"/>
        <v>07/05/2019</v>
      </c>
      <c r="R29" s="68">
        <f>IF(Q29="",0,DATEDIF(Q29,$C$1,"Y"))</f>
        <v>6</v>
      </c>
      <c r="S29" s="68">
        <f>IF(Q29="",0,DATEDIF(Q29,$C$1,"YM"))</f>
        <v>1</v>
      </c>
      <c r="T29" s="68">
        <f>IF(Q29="",0,DATEDIF(Q29,$C$1,"MD"))</f>
        <v>13</v>
      </c>
      <c r="U29" s="65"/>
      <c r="V29" s="65"/>
      <c r="W29" s="49" t="str">
        <f t="shared" si="8"/>
        <v/>
      </c>
      <c r="X29" s="68">
        <f>IF(W29="",0,DATEDIF(W29,Q29,"Y"))</f>
        <v>0</v>
      </c>
      <c r="Y29" s="68">
        <f>IF(W29="",0,DATEDIF(W29,Q29,"YM"))</f>
        <v>0</v>
      </c>
      <c r="Z29" s="68">
        <f>IF(W29="",0,DATEDIF(W29,Q29,"MD"))</f>
        <v>0</v>
      </c>
      <c r="AA29" s="49"/>
      <c r="AB29" s="65"/>
      <c r="AC29" s="50" t="str">
        <f t="shared" si="9"/>
        <v/>
      </c>
      <c r="AD29" s="68">
        <f t="shared" si="10"/>
        <v>0</v>
      </c>
      <c r="AE29" s="68">
        <f t="shared" si="11"/>
        <v>0</v>
      </c>
      <c r="AF29" s="68">
        <f t="shared" si="12"/>
        <v>0</v>
      </c>
      <c r="AG29" s="50"/>
      <c r="AH29" s="108" t="s">
        <v>138</v>
      </c>
      <c r="AI29" s="49" t="str">
        <f>IF(AH29="นิติศาสตร์","K5-LAW","K5-POLICY")</f>
        <v>K5-LAW</v>
      </c>
      <c r="AJ29" s="72" t="str">
        <f>_xlfn.IFS(B29="","",AND(AI29="K5-LAW",AH29="นิติศาสตร์",L29="S2",U29="",AA29=""),Q29,AND(AI29="K5-LAW",AH29="นิติศาสตร์",L29="S1",U29="",AA29=""),EDATE(Q29,12),AND(AI29="K5-LAW",AH29="นิติศาสตร์",OR(L29="M2",L29="K4"),U29="",AA29=""),EDATE(Q29,12*2),AND(AI29="K5-LAW",AH29="นิติศาสตร์",OR(AA29="M2",AA29="K4"),AD29&gt;=2,OR(AC29&lt;W29,AC29&lt;Q29)),EDATE(AC29,12*2),AND(AI29="K5-LAW",AH29="นิติศาสตร์",AA29="S1",AD29&gt;=1,OR(AC29&lt;W29,AC29&lt;Q29)),EDATE(AC29,12),AND(AI29="K5-LAW",AH29="นิติศาสตร์",OR(U29="M2",U29="K4"),X29&gt;=2,W29&lt;Q29),EDATE(W29,12*2),AND(AI29="K5-LAW",AH29="นิติศาสตร์",U29="S1",X29&gt;=1,W29&lt;Q29),EDATE(W29,12),AND(AI29="K5-LAW",AH29="นิติศาสตร์",OR(U29="S2",U29="K5")),W29,AND(AI29="K5-LAW",AH29="นิติศาสตร์",OR(L29="M2",L29="K4"),R29&gt;=2),EDATE(Q29,12*2),AND(AI29="K5-LAW",AH29="นิติศาสตร์",L29="S1",R29&gt;=1),EDATE(Q29,12),AND(AI29="K5-LAW",AH29="นิติศาสตร์",OR(L29="S2",L29="K5")),Q29,AND(AI29="K5-POLICY",AH29&lt;&gt;"นิติศาสตร์",L29="S2",U29="",AA29=""),Q29,AND(AI29="K5-POLICY",AH29&lt;&gt;"นิติศาสตร์",L29="S1",U29="",AA29=""),EDATE(Q29,12),AND(AI29="K5-POLICY",AH29&lt;&gt;"นิติศาสตร์",OR(L29="M2",L29="K4"),U29="",AA29=""),EDATE(Q29,12*2),AND(AI29="K5-POLICY",AH29&lt;&gt;"นิติศาสตร์",OR(AA29="M2",AA29="K4"),AD29&gt;=2,OR(AC29&lt;W29,AC29&lt;Q29)),EDATE(AC29,12*2),AND(AI29="K5-POLICY",AH29&lt;&gt;"นิติศาสตร์",AA29="S1",AD29&gt;=1,OR(AC29&lt;W29,AC29&lt;Q29)),EDATE(AC29,12),AND(AI29="K5-POLICY",AH29&lt;&gt;"นิติศาสตร์",OR(U29="M2",U29="K4"),X29&gt;=2,W29&lt;Q29),EDATE(W29,12*2),AND(AI29="K5-POLICY",AH29&lt;&gt;"นิติศาสตร์",U29="S1",X29&gt;=1,W29&lt;Q29),EDATE(W29,12),AND(AI29="K5-POLICY",AH29&lt;&gt;"นิติศาสตร์",OR(U29="S2",U29="K5")),W29,AND(AI29="K5-POLICY",AH29&lt;&gt;"นิติศาสตร์",OR(L29="M2",L29="K4"),R29&gt;=2),EDATE(Q29,12*2),AND(AI29="K5-POLICY",AH29&lt;&gt;"นิติศาสตร์",L29="S1",R29&gt;=1),EDATE(Q29,12),AND(AI29="K5-POLICY",AH29&lt;&gt;"นิติศาสตร์",OR(L29="S2",L29="K5")),Q29,TRUE,"Check Data")</f>
        <v/>
      </c>
      <c r="AK29" s="75" t="str">
        <f t="shared" si="5"/>
        <v>Check Data</v>
      </c>
      <c r="AL29" s="76" t="str">
        <f t="shared" si="6"/>
        <v>Check Data</v>
      </c>
      <c r="AM29" s="50" t="str">
        <f t="shared" si="7"/>
        <v>Check Data</v>
      </c>
      <c r="AN29" s="49" t="str">
        <f>IF(B29="","",IF(L29="S1","S1",INDEX(#REF!,#REF!)))</f>
        <v/>
      </c>
      <c r="AO29" s="49" t="str">
        <f>L29</f>
        <v>M2</v>
      </c>
      <c r="AP29" s="50" t="b">
        <f>L29=AN29</f>
        <v>0</v>
      </c>
      <c r="AQ29" s="50"/>
    </row>
    <row r="30" spans="1:43" ht="21.75">
      <c r="A30" s="49">
        <v>28</v>
      </c>
      <c r="B30" s="50"/>
      <c r="C30" s="50"/>
      <c r="D30" s="50" t="s">
        <v>144</v>
      </c>
      <c r="E30" s="50" t="e">
        <f>INDEX(#REF!,#REF!)</f>
        <v>#REF!</v>
      </c>
      <c r="F30" s="49" t="s">
        <v>386</v>
      </c>
      <c r="G30" s="49" t="str">
        <f t="shared" si="0"/>
        <v>07/02/1994</v>
      </c>
      <c r="H30" s="50">
        <f t="shared" si="1"/>
        <v>31</v>
      </c>
      <c r="I30" s="50">
        <f t="shared" si="2"/>
        <v>4</v>
      </c>
      <c r="J30" s="50">
        <f t="shared" si="3"/>
        <v>13</v>
      </c>
      <c r="K30" s="57"/>
      <c r="L30" s="49" t="s">
        <v>136</v>
      </c>
      <c r="M30" s="64"/>
      <c r="N30" s="49" t="s">
        <v>425</v>
      </c>
      <c r="O30" s="49">
        <v>2568</v>
      </c>
      <c r="P30" s="65" t="s">
        <v>387</v>
      </c>
      <c r="Q30" s="49" t="str">
        <f t="shared" si="4"/>
        <v>01/07/2019</v>
      </c>
      <c r="R30" s="68">
        <f>IF(Q30="",0,DATEDIF(Q30,$C$1,"Y"))</f>
        <v>5</v>
      </c>
      <c r="S30" s="68">
        <f>IF(Q30="",0,DATEDIF(Q30,$C$1,"YM"))</f>
        <v>11</v>
      </c>
      <c r="T30" s="68">
        <f>IF(Q30="",0,DATEDIF(Q30,$C$1,"MD"))</f>
        <v>19</v>
      </c>
      <c r="U30" s="65"/>
      <c r="V30" s="65"/>
      <c r="W30" s="49" t="str">
        <f t="shared" si="8"/>
        <v/>
      </c>
      <c r="X30" s="68">
        <f>IF(W30="",0,DATEDIF(W30,Q30,"Y"))</f>
        <v>0</v>
      </c>
      <c r="Y30" s="68">
        <f>IF(W30="",0,DATEDIF(W30,Q30,"YM"))</f>
        <v>0</v>
      </c>
      <c r="Z30" s="68">
        <f>IF(W30="",0,DATEDIF(W30,Q30,"MD"))</f>
        <v>0</v>
      </c>
      <c r="AA30" s="49"/>
      <c r="AB30" s="65"/>
      <c r="AC30" s="50" t="str">
        <f t="shared" si="9"/>
        <v/>
      </c>
      <c r="AD30" s="68">
        <f t="shared" si="10"/>
        <v>0</v>
      </c>
      <c r="AE30" s="68">
        <f t="shared" si="11"/>
        <v>0</v>
      </c>
      <c r="AF30" s="68">
        <f t="shared" si="12"/>
        <v>0</v>
      </c>
      <c r="AG30" s="50"/>
      <c r="AH30" s="108" t="s">
        <v>138</v>
      </c>
      <c r="AI30" s="49" t="str">
        <f>IF(AH30="นิติศาสตร์","K5-LAW","K5-POLICY")</f>
        <v>K5-LAW</v>
      </c>
      <c r="AJ30" s="72" t="str">
        <f>_xlfn.IFS(B30="","",AND(AI30="K5-LAW",AH30="นิติศาสตร์",L30="S2",U30="",AA30=""),Q30,AND(AI30="K5-LAW",AH30="นิติศาสตร์",L30="S1",U30="",AA30=""),EDATE(Q30,12),AND(AI30="K5-LAW",AH30="นิติศาสตร์",OR(L30="M2",L30="K4"),U30="",AA30=""),EDATE(Q30,12*2),AND(AI30="K5-LAW",AH30="นิติศาสตร์",OR(AA30="M2",AA30="K4"),AD30&gt;=2,OR(AC30&lt;W30,AC30&lt;Q30)),EDATE(AC30,12*2),AND(AI30="K5-LAW",AH30="นิติศาสตร์",AA30="S1",AD30&gt;=1,OR(AC30&lt;W30,AC30&lt;Q30)),EDATE(AC30,12),AND(AI30="K5-LAW",AH30="นิติศาสตร์",OR(U30="M2",U30="K4"),X30&gt;=2,W30&lt;Q30),EDATE(W30,12*2),AND(AI30="K5-LAW",AH30="นิติศาสตร์",U30="S1",X30&gt;=1,W30&lt;Q30),EDATE(W30,12),AND(AI30="K5-LAW",AH30="นิติศาสตร์",OR(U30="S2",U30="K5")),W30,AND(AI30="K5-LAW",AH30="นิติศาสตร์",OR(L30="M2",L30="K4"),R30&gt;=2),EDATE(Q30,12*2),AND(AI30="K5-LAW",AH30="นิติศาสตร์",L30="S1",R30&gt;=1),EDATE(Q30,12),AND(AI30="K5-LAW",AH30="นิติศาสตร์",OR(L30="S2",L30="K5")),Q30,AND(AI30="K5-POLICY",AH30&lt;&gt;"นิติศาสตร์",L30="S2",U30="",AA30=""),Q30,AND(AI30="K5-POLICY",AH30&lt;&gt;"นิติศาสตร์",L30="S1",U30="",AA30=""),EDATE(Q30,12),AND(AI30="K5-POLICY",AH30&lt;&gt;"นิติศาสตร์",OR(L30="M2",L30="K4"),U30="",AA30=""),EDATE(Q30,12*2),AND(AI30="K5-POLICY",AH30&lt;&gt;"นิติศาสตร์",OR(AA30="M2",AA30="K4"),AD30&gt;=2,OR(AC30&lt;W30,AC30&lt;Q30)),EDATE(AC30,12*2),AND(AI30="K5-POLICY",AH30&lt;&gt;"นิติศาสตร์",AA30="S1",AD30&gt;=1,OR(AC30&lt;W30,AC30&lt;Q30)),EDATE(AC30,12),AND(AI30="K5-POLICY",AH30&lt;&gt;"นิติศาสตร์",OR(U30="M2",U30="K4"),X30&gt;=2,W30&lt;Q30),EDATE(W30,12*2),AND(AI30="K5-POLICY",AH30&lt;&gt;"นิติศาสตร์",U30="S1",X30&gt;=1,W30&lt;Q30),EDATE(W30,12),AND(AI30="K5-POLICY",AH30&lt;&gt;"นิติศาสตร์",OR(U30="S2",U30="K5")),W30,AND(AI30="K5-POLICY",AH30&lt;&gt;"นิติศาสตร์",OR(L30="M2",L30="K4"),R30&gt;=2),EDATE(Q30,12*2),AND(AI30="K5-POLICY",AH30&lt;&gt;"นิติศาสตร์",L30="S1",R30&gt;=1),EDATE(Q30,12),AND(AI30="K5-POLICY",AH30&lt;&gt;"นิติศาสตร์",OR(L30="S2",L30="K5")),Q30,TRUE,"Check Data")</f>
        <v/>
      </c>
      <c r="AK30" s="75" t="str">
        <f t="shared" si="5"/>
        <v>Check Data</v>
      </c>
      <c r="AL30" s="76" t="str">
        <f t="shared" si="6"/>
        <v>Check Data</v>
      </c>
      <c r="AM30" s="50" t="str">
        <f t="shared" si="7"/>
        <v>Check Data</v>
      </c>
      <c r="AN30" s="49" t="str">
        <f>IF(B30="","",IF(L30="S1","S1",INDEX(#REF!,#REF!)))</f>
        <v/>
      </c>
      <c r="AO30" s="49" t="str">
        <f>L30</f>
        <v>M2</v>
      </c>
      <c r="AP30" s="50" t="b">
        <f>L30=AN30</f>
        <v>0</v>
      </c>
      <c r="AQ30" s="50"/>
    </row>
    <row r="31" spans="1:43" ht="21.75">
      <c r="A31" s="49">
        <v>29</v>
      </c>
      <c r="B31" s="50"/>
      <c r="C31" s="50"/>
      <c r="D31" s="50" t="s">
        <v>139</v>
      </c>
      <c r="E31" s="50" t="e">
        <f>INDEX(#REF!,#REF!)</f>
        <v>#REF!</v>
      </c>
      <c r="F31" s="49" t="s">
        <v>187</v>
      </c>
      <c r="G31" s="49" t="str">
        <f t="shared" si="0"/>
        <v>01/08/1990</v>
      </c>
      <c r="H31" s="50">
        <f t="shared" si="1"/>
        <v>34</v>
      </c>
      <c r="I31" s="50">
        <f t="shared" si="2"/>
        <v>10</v>
      </c>
      <c r="J31" s="50">
        <f t="shared" si="3"/>
        <v>19</v>
      </c>
      <c r="K31" s="56"/>
      <c r="L31" s="49" t="s">
        <v>136</v>
      </c>
      <c r="M31" s="64"/>
      <c r="N31" s="49" t="s">
        <v>425</v>
      </c>
      <c r="O31" s="49">
        <v>2571</v>
      </c>
      <c r="P31" s="65" t="s">
        <v>228</v>
      </c>
      <c r="Q31" s="49" t="str">
        <f t="shared" si="4"/>
        <v>04/12/2019</v>
      </c>
      <c r="R31" s="68">
        <f>IF(Q31="",0,DATEDIF(Q31,$C$1,"Y"))</f>
        <v>5</v>
      </c>
      <c r="S31" s="68">
        <f>IF(Q31="",0,DATEDIF(Q31,$C$1,"YM"))</f>
        <v>6</v>
      </c>
      <c r="T31" s="68">
        <f>IF(Q31="",0,DATEDIF(Q31,$C$1,"MD"))</f>
        <v>16</v>
      </c>
      <c r="U31" s="65"/>
      <c r="V31" s="65"/>
      <c r="W31" s="49" t="str">
        <f t="shared" si="8"/>
        <v/>
      </c>
      <c r="X31" s="68">
        <f>IF(W31="",0,DATEDIF(W31,Q31,"Y"))</f>
        <v>0</v>
      </c>
      <c r="Y31" s="68">
        <f>IF(W31="",0,DATEDIF(W31,Q31,"YM"))</f>
        <v>0</v>
      </c>
      <c r="Z31" s="68">
        <f>IF(W31="",0,DATEDIF(W31,Q31,"MD"))</f>
        <v>0</v>
      </c>
      <c r="AA31" s="49"/>
      <c r="AB31" s="65"/>
      <c r="AC31" s="50" t="str">
        <f t="shared" si="9"/>
        <v/>
      </c>
      <c r="AD31" s="68">
        <f t="shared" si="10"/>
        <v>0</v>
      </c>
      <c r="AE31" s="68">
        <f t="shared" si="11"/>
        <v>0</v>
      </c>
      <c r="AF31" s="68">
        <f t="shared" si="12"/>
        <v>0</v>
      </c>
      <c r="AG31" s="50"/>
      <c r="AH31" s="108" t="s">
        <v>165</v>
      </c>
      <c r="AI31" s="49" t="str">
        <f>IF(AH31="นิติศาสตร์","K5-LAW","K5-POLICY")</f>
        <v>K5-POLICY</v>
      </c>
      <c r="AJ31" s="72" t="str">
        <f>_xlfn.IFS(B31="","",AND(AI31="K5-LAW",AH31="นิติศาสตร์",L31="S2",U31="",AA31=""),Q31,AND(AI31="K5-LAW",AH31="นิติศาสตร์",L31="S1",U31="",AA31=""),EDATE(Q31,12),AND(AI31="K5-LAW",AH31="นิติศาสตร์",OR(L31="M2",L31="K4"),U31="",AA31=""),EDATE(Q31,12*2),AND(AI31="K5-LAW",AH31="นิติศาสตร์",OR(AA31="M2",AA31="K4"),AD31&gt;=2,OR(AC31&lt;W31,AC31&lt;Q31)),EDATE(AC31,12*2),AND(AI31="K5-LAW",AH31="นิติศาสตร์",AA31="S1",AD31&gt;=1,OR(AC31&lt;W31,AC31&lt;Q31)),EDATE(AC31,12),AND(AI31="K5-LAW",AH31="นิติศาสตร์",OR(U31="M2",U31="K4"),X31&gt;=2,W31&lt;Q31),EDATE(W31,12*2),AND(AI31="K5-LAW",AH31="นิติศาสตร์",U31="S1",X31&gt;=1,W31&lt;Q31),EDATE(W31,12),AND(AI31="K5-LAW",AH31="นิติศาสตร์",OR(U31="S2",U31="K5")),W31,AND(AI31="K5-LAW",AH31="นิติศาสตร์",OR(L31="M2",L31="K4"),R31&gt;=2),EDATE(Q31,12*2),AND(AI31="K5-LAW",AH31="นิติศาสตร์",L31="S1",R31&gt;=1),EDATE(Q31,12),AND(AI31="K5-LAW",AH31="นิติศาสตร์",OR(L31="S2",L31="K5")),Q31,AND(AI31="K5-POLICY",AH31&lt;&gt;"นิติศาสตร์",L31="S2",U31="",AA31=""),Q31,AND(AI31="K5-POLICY",AH31&lt;&gt;"นิติศาสตร์",L31="S1",U31="",AA31=""),EDATE(Q31,12),AND(AI31="K5-POLICY",AH31&lt;&gt;"นิติศาสตร์",OR(L31="M2",L31="K4"),U31="",AA31=""),EDATE(Q31,12*2),AND(AI31="K5-POLICY",AH31&lt;&gt;"นิติศาสตร์",OR(AA31="M2",AA31="K4"),AD31&gt;=2,OR(AC31&lt;W31,AC31&lt;Q31)),EDATE(AC31,12*2),AND(AI31="K5-POLICY",AH31&lt;&gt;"นิติศาสตร์",AA31="S1",AD31&gt;=1,OR(AC31&lt;W31,AC31&lt;Q31)),EDATE(AC31,12),AND(AI31="K5-POLICY",AH31&lt;&gt;"นิติศาสตร์",OR(U31="M2",U31="K4"),X31&gt;=2,W31&lt;Q31),EDATE(W31,12*2),AND(AI31="K5-POLICY",AH31&lt;&gt;"นิติศาสตร์",U31="S1",X31&gt;=1,W31&lt;Q31),EDATE(W31,12),AND(AI31="K5-POLICY",AH31&lt;&gt;"นิติศาสตร์",OR(U31="S2",U31="K5")),W31,AND(AI31="K5-POLICY",AH31&lt;&gt;"นิติศาสตร์",OR(L31="M2",L31="K4"),R31&gt;=2),EDATE(Q31,12*2),AND(AI31="K5-POLICY",AH31&lt;&gt;"นิติศาสตร์",L31="S1",R31&gt;=1),EDATE(Q31,12),AND(AI31="K5-POLICY",AH31&lt;&gt;"นิติศาสตร์",OR(L31="S2",L31="K5")),Q31,TRUE,"Check Data")</f>
        <v/>
      </c>
      <c r="AK31" s="75" t="str">
        <f t="shared" si="5"/>
        <v>Check Data</v>
      </c>
      <c r="AL31" s="76" t="str">
        <f t="shared" si="6"/>
        <v>Check Data</v>
      </c>
      <c r="AM31" s="50" t="str">
        <f t="shared" si="7"/>
        <v>Check Data</v>
      </c>
      <c r="AN31" s="49" t="str">
        <f>IF(B31="","",IF(L31="S1","S1",INDEX(#REF!,#REF!)))</f>
        <v/>
      </c>
      <c r="AO31" s="49" t="str">
        <f>L31</f>
        <v>M2</v>
      </c>
      <c r="AP31" s="50" t="b">
        <f>L31=AN31</f>
        <v>0</v>
      </c>
      <c r="AQ31" s="50"/>
    </row>
    <row r="32" spans="1:43" ht="21.75">
      <c r="A32" s="49">
        <v>30</v>
      </c>
      <c r="B32" s="50"/>
      <c r="C32" s="50"/>
      <c r="D32" s="50" t="s">
        <v>139</v>
      </c>
      <c r="E32" s="50" t="e">
        <f>INDEX(#REF!,#REF!)</f>
        <v>#REF!</v>
      </c>
      <c r="F32" s="49" t="s">
        <v>229</v>
      </c>
      <c r="G32" s="49" t="str">
        <f t="shared" si="0"/>
        <v>04/10/1993</v>
      </c>
      <c r="H32" s="50">
        <f t="shared" si="1"/>
        <v>31</v>
      </c>
      <c r="I32" s="50">
        <f t="shared" si="2"/>
        <v>8</v>
      </c>
      <c r="J32" s="50">
        <f t="shared" si="3"/>
        <v>16</v>
      </c>
      <c r="K32" s="56"/>
      <c r="L32" s="49" t="s">
        <v>136</v>
      </c>
      <c r="M32" s="64"/>
      <c r="N32" s="49" t="s">
        <v>425</v>
      </c>
      <c r="O32" s="49">
        <v>2569</v>
      </c>
      <c r="P32" s="65" t="s">
        <v>228</v>
      </c>
      <c r="Q32" s="49" t="str">
        <f t="shared" si="4"/>
        <v>04/12/2019</v>
      </c>
      <c r="R32" s="68">
        <f>IF(Q32="",0,DATEDIF(Q32,$C$1,"Y"))</f>
        <v>5</v>
      </c>
      <c r="S32" s="68">
        <f>IF(Q32="",0,DATEDIF(Q32,$C$1,"YM"))</f>
        <v>6</v>
      </c>
      <c r="T32" s="68">
        <f>IF(Q32="",0,DATEDIF(Q32,$C$1,"MD"))</f>
        <v>16</v>
      </c>
      <c r="U32" s="65"/>
      <c r="V32" s="65"/>
      <c r="W32" s="49" t="str">
        <f t="shared" si="8"/>
        <v/>
      </c>
      <c r="X32" s="68">
        <f>IF(W32="",0,DATEDIF(W32,Q32,"Y"))</f>
        <v>0</v>
      </c>
      <c r="Y32" s="68">
        <f>IF(W32="",0,DATEDIF(W32,Q32,"YM"))</f>
        <v>0</v>
      </c>
      <c r="Z32" s="68">
        <f>IF(W32="",0,DATEDIF(W32,Q32,"MD"))</f>
        <v>0</v>
      </c>
      <c r="AA32" s="49"/>
      <c r="AB32" s="65"/>
      <c r="AC32" s="50" t="str">
        <f t="shared" si="9"/>
        <v/>
      </c>
      <c r="AD32" s="68">
        <f t="shared" si="10"/>
        <v>0</v>
      </c>
      <c r="AE32" s="68">
        <f t="shared" si="11"/>
        <v>0</v>
      </c>
      <c r="AF32" s="68">
        <f t="shared" si="12"/>
        <v>0</v>
      </c>
      <c r="AG32" s="50"/>
      <c r="AH32" s="108" t="s">
        <v>138</v>
      </c>
      <c r="AI32" s="49" t="str">
        <f>IF(AH32="นิติศาสตร์","K5-LAW","K5-POLICY")</f>
        <v>K5-LAW</v>
      </c>
      <c r="AJ32" s="72" t="str">
        <f>_xlfn.IFS(B32="","",AND(AI32="K5-LAW",AH32="นิติศาสตร์",L32="S2",U32="",AA32=""),Q32,AND(AI32="K5-LAW",AH32="นิติศาสตร์",L32="S1",U32="",AA32=""),EDATE(Q32,12),AND(AI32="K5-LAW",AH32="นิติศาสตร์",OR(L32="M2",L32="K4"),U32="",AA32=""),EDATE(Q32,12*2),AND(AI32="K5-LAW",AH32="นิติศาสตร์",OR(AA32="M2",AA32="K4"),AD32&gt;=2,OR(AC32&lt;W32,AC32&lt;Q32)),EDATE(AC32,12*2),AND(AI32="K5-LAW",AH32="นิติศาสตร์",AA32="S1",AD32&gt;=1,OR(AC32&lt;W32,AC32&lt;Q32)),EDATE(AC32,12),AND(AI32="K5-LAW",AH32="นิติศาสตร์",OR(U32="M2",U32="K4"),X32&gt;=2,W32&lt;Q32),EDATE(W32,12*2),AND(AI32="K5-LAW",AH32="นิติศาสตร์",U32="S1",X32&gt;=1,W32&lt;Q32),EDATE(W32,12),AND(AI32="K5-LAW",AH32="นิติศาสตร์",OR(U32="S2",U32="K5")),W32,AND(AI32="K5-LAW",AH32="นิติศาสตร์",OR(L32="M2",L32="K4"),R32&gt;=2),EDATE(Q32,12*2),AND(AI32="K5-LAW",AH32="นิติศาสตร์",L32="S1",R32&gt;=1),EDATE(Q32,12),AND(AI32="K5-LAW",AH32="นิติศาสตร์",OR(L32="S2",L32="K5")),Q32,AND(AI32="K5-POLICY",AH32&lt;&gt;"นิติศาสตร์",L32="S2",U32="",AA32=""),Q32,AND(AI32="K5-POLICY",AH32&lt;&gt;"นิติศาสตร์",L32="S1",U32="",AA32=""),EDATE(Q32,12),AND(AI32="K5-POLICY",AH32&lt;&gt;"นิติศาสตร์",OR(L32="M2",L32="K4"),U32="",AA32=""),EDATE(Q32,12*2),AND(AI32="K5-POLICY",AH32&lt;&gt;"นิติศาสตร์",OR(AA32="M2",AA32="K4"),AD32&gt;=2,OR(AC32&lt;W32,AC32&lt;Q32)),EDATE(AC32,12*2),AND(AI32="K5-POLICY",AH32&lt;&gt;"นิติศาสตร์",AA32="S1",AD32&gt;=1,OR(AC32&lt;W32,AC32&lt;Q32)),EDATE(AC32,12),AND(AI32="K5-POLICY",AH32&lt;&gt;"นิติศาสตร์",OR(U32="M2",U32="K4"),X32&gt;=2,W32&lt;Q32),EDATE(W32,12*2),AND(AI32="K5-POLICY",AH32&lt;&gt;"นิติศาสตร์",U32="S1",X32&gt;=1,W32&lt;Q32),EDATE(W32,12),AND(AI32="K5-POLICY",AH32&lt;&gt;"นิติศาสตร์",OR(U32="S2",U32="K5")),W32,AND(AI32="K5-POLICY",AH32&lt;&gt;"นิติศาสตร์",OR(L32="M2",L32="K4"),R32&gt;=2),EDATE(Q32,12*2),AND(AI32="K5-POLICY",AH32&lt;&gt;"นิติศาสตร์",L32="S1",R32&gt;=1),EDATE(Q32,12),AND(AI32="K5-POLICY",AH32&lt;&gt;"นิติศาสตร์",OR(L32="S2",L32="K5")),Q32,TRUE,"Check Data")</f>
        <v/>
      </c>
      <c r="AK32" s="75" t="str">
        <f t="shared" si="5"/>
        <v>Check Data</v>
      </c>
      <c r="AL32" s="76" t="str">
        <f t="shared" si="6"/>
        <v>Check Data</v>
      </c>
      <c r="AM32" s="50" t="str">
        <f t="shared" si="7"/>
        <v>Check Data</v>
      </c>
      <c r="AN32" s="49" t="str">
        <f>IF(B32="","",IF(L32="S1","S1",INDEX(#REF!,#REF!)))</f>
        <v/>
      </c>
      <c r="AO32" s="49" t="str">
        <f>L32</f>
        <v>M2</v>
      </c>
      <c r="AP32" s="50" t="b">
        <f>L32=AN32</f>
        <v>0</v>
      </c>
      <c r="AQ32" s="50"/>
    </row>
    <row r="33" spans="1:43" ht="21.75">
      <c r="A33" s="49">
        <v>31</v>
      </c>
      <c r="B33" s="50"/>
      <c r="C33" s="50"/>
      <c r="D33" s="50" t="s">
        <v>141</v>
      </c>
      <c r="E33" s="50" t="e">
        <f>INDEX(#REF!,#REF!)</f>
        <v>#REF!</v>
      </c>
      <c r="F33" s="49" t="s">
        <v>255</v>
      </c>
      <c r="G33" s="49" t="str">
        <f t="shared" si="0"/>
        <v>20/03/1985</v>
      </c>
      <c r="H33" s="50">
        <f t="shared" si="1"/>
        <v>40</v>
      </c>
      <c r="I33" s="50">
        <f t="shared" si="2"/>
        <v>3</v>
      </c>
      <c r="J33" s="50">
        <f t="shared" si="3"/>
        <v>0</v>
      </c>
      <c r="K33" s="60"/>
      <c r="L33" s="49" t="s">
        <v>136</v>
      </c>
      <c r="M33" s="64"/>
      <c r="N33" s="49" t="s">
        <v>425</v>
      </c>
      <c r="O33" s="49">
        <v>2569</v>
      </c>
      <c r="P33" s="65" t="s">
        <v>228</v>
      </c>
      <c r="Q33" s="49" t="str">
        <f t="shared" si="4"/>
        <v>04/12/2019</v>
      </c>
      <c r="R33" s="68">
        <f>IF(Q33="",0,DATEDIF(Q33,$C$1,"Y"))</f>
        <v>5</v>
      </c>
      <c r="S33" s="68">
        <f>IF(Q33="",0,DATEDIF(Q33,$C$1,"YM"))</f>
        <v>6</v>
      </c>
      <c r="T33" s="68">
        <f>IF(Q33="",0,DATEDIF(Q33,$C$1,"MD"))</f>
        <v>16</v>
      </c>
      <c r="U33" s="65"/>
      <c r="V33" s="65"/>
      <c r="W33" s="49" t="str">
        <f t="shared" si="8"/>
        <v/>
      </c>
      <c r="X33" s="68">
        <f>IF(W33="",0,DATEDIF(W33,Q33,"Y"))</f>
        <v>0</v>
      </c>
      <c r="Y33" s="68">
        <f>IF(W33="",0,DATEDIF(W33,Q33,"YM"))</f>
        <v>0</v>
      </c>
      <c r="Z33" s="68">
        <f>IF(W33="",0,DATEDIF(W33,Q33,"MD"))</f>
        <v>0</v>
      </c>
      <c r="AA33" s="49"/>
      <c r="AB33" s="65"/>
      <c r="AC33" s="50" t="str">
        <f t="shared" si="9"/>
        <v/>
      </c>
      <c r="AD33" s="68">
        <f t="shared" si="10"/>
        <v>0</v>
      </c>
      <c r="AE33" s="68">
        <f t="shared" si="11"/>
        <v>0</v>
      </c>
      <c r="AF33" s="68">
        <f t="shared" si="12"/>
        <v>0</v>
      </c>
      <c r="AG33" s="50"/>
      <c r="AH33" s="108" t="s">
        <v>138</v>
      </c>
      <c r="AI33" s="49" t="str">
        <f>IF(AH33="นิติศาสตร์","K5-LAW","K5-POLICY")</f>
        <v>K5-LAW</v>
      </c>
      <c r="AJ33" s="72" t="str">
        <f>_xlfn.IFS(B33="","",AND(AI33="K5-LAW",AH33="นิติศาสตร์",L33="S2",U33="",AA33=""),Q33,AND(AI33="K5-LAW",AH33="นิติศาสตร์",L33="S1",U33="",AA33=""),EDATE(Q33,12),AND(AI33="K5-LAW",AH33="นิติศาสตร์",OR(L33="M2",L33="K4"),U33="",AA33=""),EDATE(Q33,12*2),AND(AI33="K5-LAW",AH33="นิติศาสตร์",OR(AA33="M2",AA33="K4"),AD33&gt;=2,OR(AC33&lt;W33,AC33&lt;Q33)),EDATE(AC33,12*2),AND(AI33="K5-LAW",AH33="นิติศาสตร์",AA33="S1",AD33&gt;=1,OR(AC33&lt;W33,AC33&lt;Q33)),EDATE(AC33,12),AND(AI33="K5-LAW",AH33="นิติศาสตร์",OR(U33="M2",U33="K4"),X33&gt;=2,W33&lt;Q33),EDATE(W33,12*2),AND(AI33="K5-LAW",AH33="นิติศาสตร์",U33="S1",X33&gt;=1,W33&lt;Q33),EDATE(W33,12),AND(AI33="K5-LAW",AH33="นิติศาสตร์",OR(U33="S2",U33="K5")),W33,AND(AI33="K5-LAW",AH33="นิติศาสตร์",OR(L33="M2",L33="K4"),R33&gt;=2),EDATE(Q33,12*2),AND(AI33="K5-LAW",AH33="นิติศาสตร์",L33="S1",R33&gt;=1),EDATE(Q33,12),AND(AI33="K5-LAW",AH33="นิติศาสตร์",OR(L33="S2",L33="K5")),Q33,AND(AI33="K5-POLICY",AH33&lt;&gt;"นิติศาสตร์",L33="S2",U33="",AA33=""),Q33,AND(AI33="K5-POLICY",AH33&lt;&gt;"นิติศาสตร์",L33="S1",U33="",AA33=""),EDATE(Q33,12),AND(AI33="K5-POLICY",AH33&lt;&gt;"นิติศาสตร์",OR(L33="M2",L33="K4"),U33="",AA33=""),EDATE(Q33,12*2),AND(AI33="K5-POLICY",AH33&lt;&gt;"นิติศาสตร์",OR(AA33="M2",AA33="K4"),AD33&gt;=2,OR(AC33&lt;W33,AC33&lt;Q33)),EDATE(AC33,12*2),AND(AI33="K5-POLICY",AH33&lt;&gt;"นิติศาสตร์",AA33="S1",AD33&gt;=1,OR(AC33&lt;W33,AC33&lt;Q33)),EDATE(AC33,12),AND(AI33="K5-POLICY",AH33&lt;&gt;"นิติศาสตร์",OR(U33="M2",U33="K4"),X33&gt;=2,W33&lt;Q33),EDATE(W33,12*2),AND(AI33="K5-POLICY",AH33&lt;&gt;"นิติศาสตร์",U33="S1",X33&gt;=1,W33&lt;Q33),EDATE(W33,12),AND(AI33="K5-POLICY",AH33&lt;&gt;"นิติศาสตร์",OR(U33="S2",U33="K5")),W33,AND(AI33="K5-POLICY",AH33&lt;&gt;"นิติศาสตร์",OR(L33="M2",L33="K4"),R33&gt;=2),EDATE(Q33,12*2),AND(AI33="K5-POLICY",AH33&lt;&gt;"นิติศาสตร์",L33="S1",R33&gt;=1),EDATE(Q33,12),AND(AI33="K5-POLICY",AH33&lt;&gt;"นิติศาสตร์",OR(L33="S2",L33="K5")),Q33,TRUE,"Check Data")</f>
        <v/>
      </c>
      <c r="AK33" s="75" t="str">
        <f t="shared" si="5"/>
        <v>Check Data</v>
      </c>
      <c r="AL33" s="76" t="str">
        <f t="shared" si="6"/>
        <v>Check Data</v>
      </c>
      <c r="AM33" s="50" t="str">
        <f t="shared" si="7"/>
        <v>Check Data</v>
      </c>
      <c r="AN33" s="49" t="str">
        <f>IF(B33="","",IF(L33="S1","S1",INDEX(#REF!,#REF!)))</f>
        <v/>
      </c>
      <c r="AO33" s="49" t="str">
        <f>L33</f>
        <v>M2</v>
      </c>
      <c r="AP33" s="50" t="b">
        <f>L33=AN33</f>
        <v>0</v>
      </c>
      <c r="AQ33" s="50"/>
    </row>
    <row r="34" spans="1:43" ht="21.75">
      <c r="A34" s="49">
        <v>32</v>
      </c>
      <c r="B34" s="50"/>
      <c r="C34" s="50"/>
      <c r="D34" s="50" t="s">
        <v>141</v>
      </c>
      <c r="E34" s="50" t="e">
        <f>INDEX(#REF!,#REF!)</f>
        <v>#REF!</v>
      </c>
      <c r="F34" s="49" t="s">
        <v>176</v>
      </c>
      <c r="G34" s="49" t="str">
        <f t="shared" si="0"/>
        <v>01/03/1990</v>
      </c>
      <c r="H34" s="50">
        <f t="shared" si="1"/>
        <v>35</v>
      </c>
      <c r="I34" s="50">
        <f t="shared" si="2"/>
        <v>3</v>
      </c>
      <c r="J34" s="50">
        <f t="shared" si="3"/>
        <v>19</v>
      </c>
      <c r="K34" s="60"/>
      <c r="L34" s="49" t="s">
        <v>136</v>
      </c>
      <c r="M34" s="64"/>
      <c r="N34" s="49" t="s">
        <v>425</v>
      </c>
      <c r="O34" s="49">
        <v>2568</v>
      </c>
      <c r="P34" s="65" t="s">
        <v>228</v>
      </c>
      <c r="Q34" s="49" t="str">
        <f t="shared" si="4"/>
        <v>04/12/2019</v>
      </c>
      <c r="R34" s="68">
        <f>IF(Q34="",0,DATEDIF(Q34,$C$1,"Y"))</f>
        <v>5</v>
      </c>
      <c r="S34" s="68">
        <f>IF(Q34="",0,DATEDIF(Q34,$C$1,"YM"))</f>
        <v>6</v>
      </c>
      <c r="T34" s="68">
        <f>IF(Q34="",0,DATEDIF(Q34,$C$1,"MD"))</f>
        <v>16</v>
      </c>
      <c r="U34" s="65"/>
      <c r="V34" s="65"/>
      <c r="W34" s="49" t="str">
        <f t="shared" si="8"/>
        <v/>
      </c>
      <c r="X34" s="68">
        <f>IF(W34="",0,DATEDIF(W34,Q34,"Y"))</f>
        <v>0</v>
      </c>
      <c r="Y34" s="68">
        <f>IF(W34="",0,DATEDIF(W34,Q34,"YM"))</f>
        <v>0</v>
      </c>
      <c r="Z34" s="68">
        <f>IF(W34="",0,DATEDIF(W34,Q34,"MD"))</f>
        <v>0</v>
      </c>
      <c r="AA34" s="49"/>
      <c r="AB34" s="65"/>
      <c r="AC34" s="50" t="str">
        <f t="shared" si="9"/>
        <v/>
      </c>
      <c r="AD34" s="68">
        <f t="shared" si="10"/>
        <v>0</v>
      </c>
      <c r="AE34" s="68">
        <f t="shared" si="11"/>
        <v>0</v>
      </c>
      <c r="AF34" s="68">
        <f t="shared" si="12"/>
        <v>0</v>
      </c>
      <c r="AG34" s="50"/>
      <c r="AH34" s="108" t="s">
        <v>138</v>
      </c>
      <c r="AI34" s="49" t="str">
        <f>IF(AH34="นิติศาสตร์","K5-LAW","K5-POLICY")</f>
        <v>K5-LAW</v>
      </c>
      <c r="AJ34" s="72" t="str">
        <f>_xlfn.IFS(B34="","",AND(AI34="K5-LAW",AH34="นิติศาสตร์",L34="S2",U34="",AA34=""),Q34,AND(AI34="K5-LAW",AH34="นิติศาสตร์",L34="S1",U34="",AA34=""),EDATE(Q34,12),AND(AI34="K5-LAW",AH34="นิติศาสตร์",OR(L34="M2",L34="K4"),U34="",AA34=""),EDATE(Q34,12*2),AND(AI34="K5-LAW",AH34="นิติศาสตร์",OR(AA34="M2",AA34="K4"),AD34&gt;=2,OR(AC34&lt;W34,AC34&lt;Q34)),EDATE(AC34,12*2),AND(AI34="K5-LAW",AH34="นิติศาสตร์",AA34="S1",AD34&gt;=1,OR(AC34&lt;W34,AC34&lt;Q34)),EDATE(AC34,12),AND(AI34="K5-LAW",AH34="นิติศาสตร์",OR(U34="M2",U34="K4"),X34&gt;=2,W34&lt;Q34),EDATE(W34,12*2),AND(AI34="K5-LAW",AH34="นิติศาสตร์",U34="S1",X34&gt;=1,W34&lt;Q34),EDATE(W34,12),AND(AI34="K5-LAW",AH34="นิติศาสตร์",OR(U34="S2",U34="K5")),W34,AND(AI34="K5-LAW",AH34="นิติศาสตร์",OR(L34="M2",L34="K4"),R34&gt;=2),EDATE(Q34,12*2),AND(AI34="K5-LAW",AH34="นิติศาสตร์",L34="S1",R34&gt;=1),EDATE(Q34,12),AND(AI34="K5-LAW",AH34="นิติศาสตร์",OR(L34="S2",L34="K5")),Q34,AND(AI34="K5-POLICY",AH34&lt;&gt;"นิติศาสตร์",L34="S2",U34="",AA34=""),Q34,AND(AI34="K5-POLICY",AH34&lt;&gt;"นิติศาสตร์",L34="S1",U34="",AA34=""),EDATE(Q34,12),AND(AI34="K5-POLICY",AH34&lt;&gt;"นิติศาสตร์",OR(L34="M2",L34="K4"),U34="",AA34=""),EDATE(Q34,12*2),AND(AI34="K5-POLICY",AH34&lt;&gt;"นิติศาสตร์",OR(AA34="M2",AA34="K4"),AD34&gt;=2,OR(AC34&lt;W34,AC34&lt;Q34)),EDATE(AC34,12*2),AND(AI34="K5-POLICY",AH34&lt;&gt;"นิติศาสตร์",AA34="S1",AD34&gt;=1,OR(AC34&lt;W34,AC34&lt;Q34)),EDATE(AC34,12),AND(AI34="K5-POLICY",AH34&lt;&gt;"นิติศาสตร์",OR(U34="M2",U34="K4"),X34&gt;=2,W34&lt;Q34),EDATE(W34,12*2),AND(AI34="K5-POLICY",AH34&lt;&gt;"นิติศาสตร์",U34="S1",X34&gt;=1,W34&lt;Q34),EDATE(W34,12),AND(AI34="K5-POLICY",AH34&lt;&gt;"นิติศาสตร์",OR(U34="S2",U34="K5")),W34,AND(AI34="K5-POLICY",AH34&lt;&gt;"นิติศาสตร์",OR(L34="M2",L34="K4"),R34&gt;=2),EDATE(Q34,12*2),AND(AI34="K5-POLICY",AH34&lt;&gt;"นิติศาสตร์",L34="S1",R34&gt;=1),EDATE(Q34,12),AND(AI34="K5-POLICY",AH34&lt;&gt;"นิติศาสตร์",OR(L34="S2",L34="K5")),Q34,TRUE,"Check Data")</f>
        <v/>
      </c>
      <c r="AK34" s="75" t="str">
        <f t="shared" si="5"/>
        <v>Check Data</v>
      </c>
      <c r="AL34" s="76" t="str">
        <f t="shared" si="6"/>
        <v>Check Data</v>
      </c>
      <c r="AM34" s="50" t="str">
        <f t="shared" si="7"/>
        <v>Check Data</v>
      </c>
      <c r="AN34" s="49" t="str">
        <f>IF(B34="","",IF(L34="S1","S1",INDEX(#REF!,#REF!)))</f>
        <v/>
      </c>
      <c r="AO34" s="49" t="str">
        <f>L34</f>
        <v>M2</v>
      </c>
      <c r="AP34" s="50" t="b">
        <f>L34=AN34</f>
        <v>0</v>
      </c>
      <c r="AQ34" s="50"/>
    </row>
    <row r="35" spans="1:43" ht="21.75">
      <c r="A35" s="49">
        <v>33</v>
      </c>
      <c r="B35" s="50"/>
      <c r="C35" s="50"/>
      <c r="D35" s="50" t="s">
        <v>142</v>
      </c>
      <c r="E35" s="50" t="e">
        <f>INDEX(#REF!,#REF!)</f>
        <v>#REF!</v>
      </c>
      <c r="F35" s="49" t="s">
        <v>239</v>
      </c>
      <c r="G35" s="49" t="str">
        <f t="shared" si="0"/>
        <v>01/05/1985</v>
      </c>
      <c r="H35" s="50">
        <f t="shared" si="1"/>
        <v>40</v>
      </c>
      <c r="I35" s="50">
        <f t="shared" si="2"/>
        <v>1</v>
      </c>
      <c r="J35" s="50">
        <f t="shared" si="3"/>
        <v>19</v>
      </c>
      <c r="K35" s="58"/>
      <c r="L35" s="49" t="s">
        <v>136</v>
      </c>
      <c r="M35" s="64"/>
      <c r="N35" s="49" t="s">
        <v>425</v>
      </c>
      <c r="O35" s="49">
        <v>2569</v>
      </c>
      <c r="P35" s="65" t="s">
        <v>228</v>
      </c>
      <c r="Q35" s="49" t="str">
        <f t="shared" si="4"/>
        <v>04/12/2019</v>
      </c>
      <c r="R35" s="68">
        <f>IF(Q35="",0,DATEDIF(Q35,$C$1,"Y"))</f>
        <v>5</v>
      </c>
      <c r="S35" s="68">
        <f>IF(Q35="",0,DATEDIF(Q35,$C$1,"YM"))</f>
        <v>6</v>
      </c>
      <c r="T35" s="68">
        <f>IF(Q35="",0,DATEDIF(Q35,$C$1,"MD"))</f>
        <v>16</v>
      </c>
      <c r="U35" s="65"/>
      <c r="V35" s="65"/>
      <c r="W35" s="49" t="str">
        <f t="shared" si="8"/>
        <v/>
      </c>
      <c r="X35" s="68">
        <f>IF(W35="",0,DATEDIF(W35,Q35,"Y"))</f>
        <v>0</v>
      </c>
      <c r="Y35" s="68">
        <f>IF(W35="",0,DATEDIF(W35,Q35,"YM"))</f>
        <v>0</v>
      </c>
      <c r="Z35" s="68">
        <f>IF(W35="",0,DATEDIF(W35,Q35,"MD"))</f>
        <v>0</v>
      </c>
      <c r="AA35" s="49"/>
      <c r="AB35" s="65"/>
      <c r="AC35" s="50" t="str">
        <f t="shared" si="9"/>
        <v/>
      </c>
      <c r="AD35" s="68">
        <f t="shared" si="10"/>
        <v>0</v>
      </c>
      <c r="AE35" s="68">
        <f t="shared" si="11"/>
        <v>0</v>
      </c>
      <c r="AF35" s="68">
        <f t="shared" si="12"/>
        <v>0</v>
      </c>
      <c r="AG35" s="50"/>
      <c r="AH35" s="108" t="s">
        <v>138</v>
      </c>
      <c r="AI35" s="49" t="str">
        <f>IF(AH35="นิติศาสตร์","K5-LAW","K5-POLICY")</f>
        <v>K5-LAW</v>
      </c>
      <c r="AJ35" s="72" t="str">
        <f>_xlfn.IFS(B35="","",AND(AI35="K5-LAW",AH35="นิติศาสตร์",L35="S2",U35="",AA35=""),Q35,AND(AI35="K5-LAW",AH35="นิติศาสตร์",L35="S1",U35="",AA35=""),EDATE(Q35,12),AND(AI35="K5-LAW",AH35="นิติศาสตร์",OR(L35="M2",L35="K4"),U35="",AA35=""),EDATE(Q35,12*2),AND(AI35="K5-LAW",AH35="นิติศาสตร์",OR(AA35="M2",AA35="K4"),AD35&gt;=2,OR(AC35&lt;W35,AC35&lt;Q35)),EDATE(AC35,12*2),AND(AI35="K5-LAW",AH35="นิติศาสตร์",AA35="S1",AD35&gt;=1,OR(AC35&lt;W35,AC35&lt;Q35)),EDATE(AC35,12),AND(AI35="K5-LAW",AH35="นิติศาสตร์",OR(U35="M2",U35="K4"),X35&gt;=2,W35&lt;Q35),EDATE(W35,12*2),AND(AI35="K5-LAW",AH35="นิติศาสตร์",U35="S1",X35&gt;=1,W35&lt;Q35),EDATE(W35,12),AND(AI35="K5-LAW",AH35="นิติศาสตร์",OR(U35="S2",U35="K5")),W35,AND(AI35="K5-LAW",AH35="นิติศาสตร์",OR(L35="M2",L35="K4"),R35&gt;=2),EDATE(Q35,12*2),AND(AI35="K5-LAW",AH35="นิติศาสตร์",L35="S1",R35&gt;=1),EDATE(Q35,12),AND(AI35="K5-LAW",AH35="นิติศาสตร์",OR(L35="S2",L35="K5")),Q35,AND(AI35="K5-POLICY",AH35&lt;&gt;"นิติศาสตร์",L35="S2",U35="",AA35=""),Q35,AND(AI35="K5-POLICY",AH35&lt;&gt;"นิติศาสตร์",L35="S1",U35="",AA35=""),EDATE(Q35,12),AND(AI35="K5-POLICY",AH35&lt;&gt;"นิติศาสตร์",OR(L35="M2",L35="K4"),U35="",AA35=""),EDATE(Q35,12*2),AND(AI35="K5-POLICY",AH35&lt;&gt;"นิติศาสตร์",OR(AA35="M2",AA35="K4"),AD35&gt;=2,OR(AC35&lt;W35,AC35&lt;Q35)),EDATE(AC35,12*2),AND(AI35="K5-POLICY",AH35&lt;&gt;"นิติศาสตร์",AA35="S1",AD35&gt;=1,OR(AC35&lt;W35,AC35&lt;Q35)),EDATE(AC35,12),AND(AI35="K5-POLICY",AH35&lt;&gt;"นิติศาสตร์",OR(U35="M2",U35="K4"),X35&gt;=2,W35&lt;Q35),EDATE(W35,12*2),AND(AI35="K5-POLICY",AH35&lt;&gt;"นิติศาสตร์",U35="S1",X35&gt;=1,W35&lt;Q35),EDATE(W35,12),AND(AI35="K5-POLICY",AH35&lt;&gt;"นิติศาสตร์",OR(U35="S2",U35="K5")),W35,AND(AI35="K5-POLICY",AH35&lt;&gt;"นิติศาสตร์",OR(L35="M2",L35="K4"),R35&gt;=2),EDATE(Q35,12*2),AND(AI35="K5-POLICY",AH35&lt;&gt;"นิติศาสตร์",L35="S1",R35&gt;=1),EDATE(Q35,12),AND(AI35="K5-POLICY",AH35&lt;&gt;"นิติศาสตร์",OR(L35="S2",L35="K5")),Q35,TRUE,"Check Data")</f>
        <v/>
      </c>
      <c r="AK35" s="75" t="str">
        <f t="shared" si="5"/>
        <v>Check Data</v>
      </c>
      <c r="AL35" s="76" t="str">
        <f t="shared" si="6"/>
        <v>Check Data</v>
      </c>
      <c r="AM35" s="50" t="str">
        <f t="shared" si="7"/>
        <v>Check Data</v>
      </c>
      <c r="AN35" s="49" t="str">
        <f>IF(B35="","",IF(L35="S1","S1",INDEX(#REF!,#REF!)))</f>
        <v/>
      </c>
      <c r="AO35" s="49" t="str">
        <f>L35</f>
        <v>M2</v>
      </c>
      <c r="AP35" s="50" t="b">
        <f>L35=AN35</f>
        <v>0</v>
      </c>
      <c r="AQ35" s="50"/>
    </row>
    <row r="36" spans="1:43" ht="21.75">
      <c r="A36" s="49">
        <v>34</v>
      </c>
      <c r="B36" s="50"/>
      <c r="C36" s="50"/>
      <c r="D36" s="50" t="s">
        <v>142</v>
      </c>
      <c r="E36" s="50" t="e">
        <f>INDEX(#REF!,#REF!)</f>
        <v>#REF!</v>
      </c>
      <c r="F36" s="49" t="s">
        <v>262</v>
      </c>
      <c r="G36" s="49" t="str">
        <f t="shared" si="0"/>
        <v>11/04/1996</v>
      </c>
      <c r="H36" s="50">
        <f t="shared" si="1"/>
        <v>29</v>
      </c>
      <c r="I36" s="50">
        <f t="shared" si="2"/>
        <v>2</v>
      </c>
      <c r="J36" s="50">
        <f t="shared" si="3"/>
        <v>9</v>
      </c>
      <c r="K36" s="58"/>
      <c r="L36" s="49" t="s">
        <v>136</v>
      </c>
      <c r="M36" s="64"/>
      <c r="N36" s="49" t="s">
        <v>425</v>
      </c>
      <c r="O36" s="49">
        <v>2571</v>
      </c>
      <c r="P36" s="65" t="s">
        <v>228</v>
      </c>
      <c r="Q36" s="49" t="str">
        <f t="shared" si="4"/>
        <v>04/12/2019</v>
      </c>
      <c r="R36" s="68">
        <f>IF(Q36="",0,DATEDIF(Q36,$C$1,"Y"))</f>
        <v>5</v>
      </c>
      <c r="S36" s="68">
        <f>IF(Q36="",0,DATEDIF(Q36,$C$1,"YM"))</f>
        <v>6</v>
      </c>
      <c r="T36" s="68">
        <f>IF(Q36="",0,DATEDIF(Q36,$C$1,"MD"))</f>
        <v>16</v>
      </c>
      <c r="U36" s="65"/>
      <c r="V36" s="65"/>
      <c r="W36" s="49" t="str">
        <f t="shared" si="8"/>
        <v/>
      </c>
      <c r="X36" s="68">
        <f>IF(W36="",0,DATEDIF(W36,Q36,"Y"))</f>
        <v>0</v>
      </c>
      <c r="Y36" s="68">
        <f>IF(W36="",0,DATEDIF(W36,Q36,"YM"))</f>
        <v>0</v>
      </c>
      <c r="Z36" s="68">
        <f>IF(W36="",0,DATEDIF(W36,Q36,"MD"))</f>
        <v>0</v>
      </c>
      <c r="AA36" s="49"/>
      <c r="AB36" s="65"/>
      <c r="AC36" s="50" t="str">
        <f t="shared" si="9"/>
        <v/>
      </c>
      <c r="AD36" s="68">
        <f t="shared" si="10"/>
        <v>0</v>
      </c>
      <c r="AE36" s="68">
        <f t="shared" si="11"/>
        <v>0</v>
      </c>
      <c r="AF36" s="68">
        <f t="shared" si="12"/>
        <v>0</v>
      </c>
      <c r="AG36" s="50"/>
      <c r="AH36" s="108" t="s">
        <v>138</v>
      </c>
      <c r="AI36" s="49" t="str">
        <f>IF(AH36="นิติศาสตร์","K5-LAW","K5-POLICY")</f>
        <v>K5-LAW</v>
      </c>
      <c r="AJ36" s="72" t="str">
        <f>_xlfn.IFS(B36="","",AND(AI36="K5-LAW",AH36="นิติศาสตร์",L36="S2",U36="",AA36=""),Q36,AND(AI36="K5-LAW",AH36="นิติศาสตร์",L36="S1",U36="",AA36=""),EDATE(Q36,12),AND(AI36="K5-LAW",AH36="นิติศาสตร์",OR(L36="M2",L36="K4"),U36="",AA36=""),EDATE(Q36,12*2),AND(AI36="K5-LAW",AH36="นิติศาสตร์",OR(AA36="M2",AA36="K4"),AD36&gt;=2,OR(AC36&lt;W36,AC36&lt;Q36)),EDATE(AC36,12*2),AND(AI36="K5-LAW",AH36="นิติศาสตร์",AA36="S1",AD36&gt;=1,OR(AC36&lt;W36,AC36&lt;Q36)),EDATE(AC36,12),AND(AI36="K5-LAW",AH36="นิติศาสตร์",OR(U36="M2",U36="K4"),X36&gt;=2,W36&lt;Q36),EDATE(W36,12*2),AND(AI36="K5-LAW",AH36="นิติศาสตร์",U36="S1",X36&gt;=1,W36&lt;Q36),EDATE(W36,12),AND(AI36="K5-LAW",AH36="นิติศาสตร์",OR(U36="S2",U36="K5")),W36,AND(AI36="K5-LAW",AH36="นิติศาสตร์",OR(L36="M2",L36="K4"),R36&gt;=2),EDATE(Q36,12*2),AND(AI36="K5-LAW",AH36="นิติศาสตร์",L36="S1",R36&gt;=1),EDATE(Q36,12),AND(AI36="K5-LAW",AH36="นิติศาสตร์",OR(L36="S2",L36="K5")),Q36,AND(AI36="K5-POLICY",AH36&lt;&gt;"นิติศาสตร์",L36="S2",U36="",AA36=""),Q36,AND(AI36="K5-POLICY",AH36&lt;&gt;"นิติศาสตร์",L36="S1",U36="",AA36=""),EDATE(Q36,12),AND(AI36="K5-POLICY",AH36&lt;&gt;"นิติศาสตร์",OR(L36="M2",L36="K4"),U36="",AA36=""),EDATE(Q36,12*2),AND(AI36="K5-POLICY",AH36&lt;&gt;"นิติศาสตร์",OR(AA36="M2",AA36="K4"),AD36&gt;=2,OR(AC36&lt;W36,AC36&lt;Q36)),EDATE(AC36,12*2),AND(AI36="K5-POLICY",AH36&lt;&gt;"นิติศาสตร์",AA36="S1",AD36&gt;=1,OR(AC36&lt;W36,AC36&lt;Q36)),EDATE(AC36,12),AND(AI36="K5-POLICY",AH36&lt;&gt;"นิติศาสตร์",OR(U36="M2",U36="K4"),X36&gt;=2,W36&lt;Q36),EDATE(W36,12*2),AND(AI36="K5-POLICY",AH36&lt;&gt;"นิติศาสตร์",U36="S1",X36&gt;=1,W36&lt;Q36),EDATE(W36,12),AND(AI36="K5-POLICY",AH36&lt;&gt;"นิติศาสตร์",OR(U36="S2",U36="K5")),W36,AND(AI36="K5-POLICY",AH36&lt;&gt;"นิติศาสตร์",OR(L36="M2",L36="K4"),R36&gt;=2),EDATE(Q36,12*2),AND(AI36="K5-POLICY",AH36&lt;&gt;"นิติศาสตร์",L36="S1",R36&gt;=1),EDATE(Q36,12),AND(AI36="K5-POLICY",AH36&lt;&gt;"นิติศาสตร์",OR(L36="S2",L36="K5")),Q36,TRUE,"Check Data")</f>
        <v/>
      </c>
      <c r="AK36" s="75" t="str">
        <f t="shared" si="5"/>
        <v>Check Data</v>
      </c>
      <c r="AL36" s="76" t="str">
        <f t="shared" si="6"/>
        <v>Check Data</v>
      </c>
      <c r="AM36" s="50" t="str">
        <f t="shared" si="7"/>
        <v>Check Data</v>
      </c>
      <c r="AN36" s="49" t="str">
        <f>IF(B36="","",IF(L36="S1","S1",INDEX(#REF!,#REF!)))</f>
        <v/>
      </c>
      <c r="AO36" s="49" t="str">
        <f>L36</f>
        <v>M2</v>
      </c>
      <c r="AP36" s="50" t="b">
        <f>L36=AN36</f>
        <v>0</v>
      </c>
      <c r="AQ36" s="50"/>
    </row>
    <row r="37" spans="1:43" ht="21.75">
      <c r="A37" s="49">
        <v>35</v>
      </c>
      <c r="B37" s="50"/>
      <c r="C37" s="50"/>
      <c r="D37" s="50" t="s">
        <v>142</v>
      </c>
      <c r="E37" s="50" t="e">
        <f>INDEX(#REF!,#REF!)</f>
        <v>#REF!</v>
      </c>
      <c r="F37" s="49" t="s">
        <v>262</v>
      </c>
      <c r="G37" s="49" t="str">
        <f t="shared" si="0"/>
        <v>11/04/1996</v>
      </c>
      <c r="H37" s="50">
        <f t="shared" si="1"/>
        <v>29</v>
      </c>
      <c r="I37" s="50">
        <f t="shared" si="2"/>
        <v>2</v>
      </c>
      <c r="J37" s="50">
        <f t="shared" si="3"/>
        <v>9</v>
      </c>
      <c r="K37" s="58"/>
      <c r="L37" s="49" t="s">
        <v>136</v>
      </c>
      <c r="M37" s="64"/>
      <c r="N37" s="49" t="s">
        <v>425</v>
      </c>
      <c r="O37" s="49">
        <v>2570</v>
      </c>
      <c r="P37" s="65" t="s">
        <v>228</v>
      </c>
      <c r="Q37" s="49" t="str">
        <f t="shared" si="4"/>
        <v>04/12/2019</v>
      </c>
      <c r="R37" s="68">
        <f>IF(Q37="",0,DATEDIF(Q37,$C$1,"Y"))</f>
        <v>5</v>
      </c>
      <c r="S37" s="68">
        <f>IF(Q37="",0,DATEDIF(Q37,$C$1,"YM"))</f>
        <v>6</v>
      </c>
      <c r="T37" s="68">
        <f>IF(Q37="",0,DATEDIF(Q37,$C$1,"MD"))</f>
        <v>16</v>
      </c>
      <c r="U37" s="65"/>
      <c r="V37" s="65"/>
      <c r="W37" s="49" t="str">
        <f t="shared" si="8"/>
        <v/>
      </c>
      <c r="X37" s="68">
        <f>IF(W37="",0,DATEDIF(W37,Q37,"Y"))</f>
        <v>0</v>
      </c>
      <c r="Y37" s="68">
        <f>IF(W37="",0,DATEDIF(W37,Q37,"YM"))</f>
        <v>0</v>
      </c>
      <c r="Z37" s="68">
        <f>IF(W37="",0,DATEDIF(W37,Q37,"MD"))</f>
        <v>0</v>
      </c>
      <c r="AA37" s="49"/>
      <c r="AB37" s="65"/>
      <c r="AC37" s="50" t="str">
        <f t="shared" si="9"/>
        <v/>
      </c>
      <c r="AD37" s="68">
        <f t="shared" si="10"/>
        <v>0</v>
      </c>
      <c r="AE37" s="68">
        <f t="shared" si="11"/>
        <v>0</v>
      </c>
      <c r="AF37" s="68">
        <f t="shared" si="12"/>
        <v>0</v>
      </c>
      <c r="AG37" s="50"/>
      <c r="AH37" s="108" t="s">
        <v>138</v>
      </c>
      <c r="AI37" s="49" t="str">
        <f>IF(AH37="นิติศาสตร์","K5-LAW","K5-POLICY")</f>
        <v>K5-LAW</v>
      </c>
      <c r="AJ37" s="72" t="str">
        <f>_xlfn.IFS(B37="","",AND(AI37="K5-LAW",AH37="นิติศาสตร์",L37="S2",U37="",AA37=""),Q37,AND(AI37="K5-LAW",AH37="นิติศาสตร์",L37="S1",U37="",AA37=""),EDATE(Q37,12),AND(AI37="K5-LAW",AH37="นิติศาสตร์",OR(L37="M2",L37="K4"),U37="",AA37=""),EDATE(Q37,12*2),AND(AI37="K5-LAW",AH37="นิติศาสตร์",OR(AA37="M2",AA37="K4"),AD37&gt;=2,OR(AC37&lt;W37,AC37&lt;Q37)),EDATE(AC37,12*2),AND(AI37="K5-LAW",AH37="นิติศาสตร์",AA37="S1",AD37&gt;=1,OR(AC37&lt;W37,AC37&lt;Q37)),EDATE(AC37,12),AND(AI37="K5-LAW",AH37="นิติศาสตร์",OR(U37="M2",U37="K4"),X37&gt;=2,W37&lt;Q37),EDATE(W37,12*2),AND(AI37="K5-LAW",AH37="นิติศาสตร์",U37="S1",X37&gt;=1,W37&lt;Q37),EDATE(W37,12),AND(AI37="K5-LAW",AH37="นิติศาสตร์",OR(U37="S2",U37="K5")),W37,AND(AI37="K5-LAW",AH37="นิติศาสตร์",OR(L37="M2",L37="K4"),R37&gt;=2),EDATE(Q37,12*2),AND(AI37="K5-LAW",AH37="นิติศาสตร์",L37="S1",R37&gt;=1),EDATE(Q37,12),AND(AI37="K5-LAW",AH37="นิติศาสตร์",OR(L37="S2",L37="K5")),Q37,AND(AI37="K5-POLICY",AH37&lt;&gt;"นิติศาสตร์",L37="S2",U37="",AA37=""),Q37,AND(AI37="K5-POLICY",AH37&lt;&gt;"นิติศาสตร์",L37="S1",U37="",AA37=""),EDATE(Q37,12),AND(AI37="K5-POLICY",AH37&lt;&gt;"นิติศาสตร์",OR(L37="M2",L37="K4"),U37="",AA37=""),EDATE(Q37,12*2),AND(AI37="K5-POLICY",AH37&lt;&gt;"นิติศาสตร์",OR(AA37="M2",AA37="K4"),AD37&gt;=2,OR(AC37&lt;W37,AC37&lt;Q37)),EDATE(AC37,12*2),AND(AI37="K5-POLICY",AH37&lt;&gt;"นิติศาสตร์",AA37="S1",AD37&gt;=1,OR(AC37&lt;W37,AC37&lt;Q37)),EDATE(AC37,12),AND(AI37="K5-POLICY",AH37&lt;&gt;"นิติศาสตร์",OR(U37="M2",U37="K4"),X37&gt;=2,W37&lt;Q37),EDATE(W37,12*2),AND(AI37="K5-POLICY",AH37&lt;&gt;"นิติศาสตร์",U37="S1",X37&gt;=1,W37&lt;Q37),EDATE(W37,12),AND(AI37="K5-POLICY",AH37&lt;&gt;"นิติศาสตร์",OR(U37="S2",U37="K5")),W37,AND(AI37="K5-POLICY",AH37&lt;&gt;"นิติศาสตร์",OR(L37="M2",L37="K4"),R37&gt;=2),EDATE(Q37,12*2),AND(AI37="K5-POLICY",AH37&lt;&gt;"นิติศาสตร์",L37="S1",R37&gt;=1),EDATE(Q37,12),AND(AI37="K5-POLICY",AH37&lt;&gt;"นิติศาสตร์",OR(L37="S2",L37="K5")),Q37,TRUE,"Check Data")</f>
        <v/>
      </c>
      <c r="AK37" s="75" t="str">
        <f t="shared" si="5"/>
        <v>Check Data</v>
      </c>
      <c r="AL37" s="76" t="str">
        <f t="shared" si="6"/>
        <v>Check Data</v>
      </c>
      <c r="AM37" s="50" t="str">
        <f t="shared" si="7"/>
        <v>Check Data</v>
      </c>
      <c r="AN37" s="49" t="str">
        <f>IF(B37="","",IF(L37="S1","S1",INDEX(#REF!,#REF!)))</f>
        <v/>
      </c>
      <c r="AO37" s="49" t="str">
        <f>L37</f>
        <v>M2</v>
      </c>
      <c r="AP37" s="50" t="b">
        <f>L37=AN37</f>
        <v>0</v>
      </c>
      <c r="AQ37" s="50"/>
    </row>
    <row r="38" spans="1:43" ht="21.75">
      <c r="A38" s="49">
        <v>36</v>
      </c>
      <c r="B38" s="50"/>
      <c r="C38" s="50"/>
      <c r="D38" s="50" t="s">
        <v>142</v>
      </c>
      <c r="E38" s="50" t="e">
        <f>INDEX(#REF!,#REF!)</f>
        <v>#REF!</v>
      </c>
      <c r="F38" s="49" t="s">
        <v>251</v>
      </c>
      <c r="G38" s="49" t="str">
        <f t="shared" si="0"/>
        <v>15/08/1997</v>
      </c>
      <c r="H38" s="50">
        <f t="shared" si="1"/>
        <v>27</v>
      </c>
      <c r="I38" s="50">
        <f t="shared" si="2"/>
        <v>10</v>
      </c>
      <c r="J38" s="50">
        <f t="shared" si="3"/>
        <v>5</v>
      </c>
      <c r="K38" s="58"/>
      <c r="L38" s="49" t="s">
        <v>136</v>
      </c>
      <c r="M38" s="64"/>
      <c r="N38" s="49" t="s">
        <v>425</v>
      </c>
      <c r="O38" s="49">
        <v>2571</v>
      </c>
      <c r="P38" s="65" t="s">
        <v>228</v>
      </c>
      <c r="Q38" s="49" t="str">
        <f t="shared" si="4"/>
        <v>04/12/2019</v>
      </c>
      <c r="R38" s="68">
        <f>IF(Q38="",0,DATEDIF(Q38,$C$1,"Y"))</f>
        <v>5</v>
      </c>
      <c r="S38" s="68">
        <f>IF(Q38="",0,DATEDIF(Q38,$C$1,"YM"))</f>
        <v>6</v>
      </c>
      <c r="T38" s="68">
        <f>IF(Q38="",0,DATEDIF(Q38,$C$1,"MD"))</f>
        <v>16</v>
      </c>
      <c r="U38" s="65"/>
      <c r="V38" s="65"/>
      <c r="W38" s="49" t="str">
        <f t="shared" si="8"/>
        <v/>
      </c>
      <c r="X38" s="68">
        <f>IF(W38="",0,DATEDIF(W38,Q38,"Y"))</f>
        <v>0</v>
      </c>
      <c r="Y38" s="68">
        <f>IF(W38="",0,DATEDIF(W38,Q38,"YM"))</f>
        <v>0</v>
      </c>
      <c r="Z38" s="68">
        <f>IF(W38="",0,DATEDIF(W38,Q38,"MD"))</f>
        <v>0</v>
      </c>
      <c r="AA38" s="49"/>
      <c r="AB38" s="65"/>
      <c r="AC38" s="50" t="str">
        <f t="shared" si="9"/>
        <v/>
      </c>
      <c r="AD38" s="68">
        <f t="shared" si="10"/>
        <v>0</v>
      </c>
      <c r="AE38" s="68">
        <f t="shared" si="11"/>
        <v>0</v>
      </c>
      <c r="AF38" s="68">
        <f t="shared" si="12"/>
        <v>0</v>
      </c>
      <c r="AG38" s="50"/>
      <c r="AH38" s="108" t="s">
        <v>138</v>
      </c>
      <c r="AI38" s="49" t="str">
        <f>IF(AH38="นิติศาสตร์","K5-LAW","K5-POLICY")</f>
        <v>K5-LAW</v>
      </c>
      <c r="AJ38" s="72" t="str">
        <f>_xlfn.IFS(B38="","",AND(AI38="K5-LAW",AH38="นิติศาสตร์",L38="S2",U38="",AA38=""),Q38,AND(AI38="K5-LAW",AH38="นิติศาสตร์",L38="S1",U38="",AA38=""),EDATE(Q38,12),AND(AI38="K5-LAW",AH38="นิติศาสตร์",OR(L38="M2",L38="K4"),U38="",AA38=""),EDATE(Q38,12*2),AND(AI38="K5-LAW",AH38="นิติศาสตร์",OR(AA38="M2",AA38="K4"),AD38&gt;=2,OR(AC38&lt;W38,AC38&lt;Q38)),EDATE(AC38,12*2),AND(AI38="K5-LAW",AH38="นิติศาสตร์",AA38="S1",AD38&gt;=1,OR(AC38&lt;W38,AC38&lt;Q38)),EDATE(AC38,12),AND(AI38="K5-LAW",AH38="นิติศาสตร์",OR(U38="M2",U38="K4"),X38&gt;=2,W38&lt;Q38),EDATE(W38,12*2),AND(AI38="K5-LAW",AH38="นิติศาสตร์",U38="S1",X38&gt;=1,W38&lt;Q38),EDATE(W38,12),AND(AI38="K5-LAW",AH38="นิติศาสตร์",OR(U38="S2",U38="K5")),W38,AND(AI38="K5-LAW",AH38="นิติศาสตร์",OR(L38="M2",L38="K4"),R38&gt;=2),EDATE(Q38,12*2),AND(AI38="K5-LAW",AH38="นิติศาสตร์",L38="S1",R38&gt;=1),EDATE(Q38,12),AND(AI38="K5-LAW",AH38="นิติศาสตร์",OR(L38="S2",L38="K5")),Q38,AND(AI38="K5-POLICY",AH38&lt;&gt;"นิติศาสตร์",L38="S2",U38="",AA38=""),Q38,AND(AI38="K5-POLICY",AH38&lt;&gt;"นิติศาสตร์",L38="S1",U38="",AA38=""),EDATE(Q38,12),AND(AI38="K5-POLICY",AH38&lt;&gt;"นิติศาสตร์",OR(L38="M2",L38="K4"),U38="",AA38=""),EDATE(Q38,12*2),AND(AI38="K5-POLICY",AH38&lt;&gt;"นิติศาสตร์",OR(AA38="M2",AA38="K4"),AD38&gt;=2,OR(AC38&lt;W38,AC38&lt;Q38)),EDATE(AC38,12*2),AND(AI38="K5-POLICY",AH38&lt;&gt;"นิติศาสตร์",AA38="S1",AD38&gt;=1,OR(AC38&lt;W38,AC38&lt;Q38)),EDATE(AC38,12),AND(AI38="K5-POLICY",AH38&lt;&gt;"นิติศาสตร์",OR(U38="M2",U38="K4"),X38&gt;=2,W38&lt;Q38),EDATE(W38,12*2),AND(AI38="K5-POLICY",AH38&lt;&gt;"นิติศาสตร์",U38="S1",X38&gt;=1,W38&lt;Q38),EDATE(W38,12),AND(AI38="K5-POLICY",AH38&lt;&gt;"นิติศาสตร์",OR(U38="S2",U38="K5")),W38,AND(AI38="K5-POLICY",AH38&lt;&gt;"นิติศาสตร์",OR(L38="M2",L38="K4"),R38&gt;=2),EDATE(Q38,12*2),AND(AI38="K5-POLICY",AH38&lt;&gt;"นิติศาสตร์",L38="S1",R38&gt;=1),EDATE(Q38,12),AND(AI38="K5-POLICY",AH38&lt;&gt;"นิติศาสตร์",OR(L38="S2",L38="K5")),Q38,TRUE,"Check Data")</f>
        <v/>
      </c>
      <c r="AK38" s="75" t="str">
        <f t="shared" si="5"/>
        <v>Check Data</v>
      </c>
      <c r="AL38" s="76" t="str">
        <f t="shared" si="6"/>
        <v>Check Data</v>
      </c>
      <c r="AM38" s="50" t="str">
        <f t="shared" si="7"/>
        <v>Check Data</v>
      </c>
      <c r="AN38" s="49" t="str">
        <f>IF(B38="","",IF(L38="S1","S1",INDEX(#REF!,#REF!)))</f>
        <v/>
      </c>
      <c r="AO38" s="49" t="str">
        <f>L38</f>
        <v>M2</v>
      </c>
      <c r="AP38" s="50" t="b">
        <f>L38=AN38</f>
        <v>0</v>
      </c>
      <c r="AQ38" s="50"/>
    </row>
    <row r="39" spans="1:43" ht="21.75">
      <c r="A39" s="49">
        <v>37</v>
      </c>
      <c r="B39" s="50"/>
      <c r="C39" s="50"/>
      <c r="D39" s="50" t="s">
        <v>143</v>
      </c>
      <c r="E39" s="50" t="e">
        <f>INDEX(#REF!,#REF!)</f>
        <v>#REF!</v>
      </c>
      <c r="F39" s="49" t="s">
        <v>305</v>
      </c>
      <c r="G39" s="49" t="str">
        <f t="shared" si="0"/>
        <v>01/04/1989</v>
      </c>
      <c r="H39" s="50">
        <f t="shared" si="1"/>
        <v>36</v>
      </c>
      <c r="I39" s="50">
        <f t="shared" si="2"/>
        <v>2</v>
      </c>
      <c r="J39" s="50">
        <f t="shared" si="3"/>
        <v>19</v>
      </c>
      <c r="K39" s="59"/>
      <c r="L39" s="49" t="s">
        <v>136</v>
      </c>
      <c r="M39" s="64"/>
      <c r="N39" s="49" t="s">
        <v>425</v>
      </c>
      <c r="O39" s="49">
        <v>2570</v>
      </c>
      <c r="P39" s="65" t="s">
        <v>306</v>
      </c>
      <c r="Q39" s="49" t="str">
        <f t="shared" si="4"/>
        <v>19/12/2019</v>
      </c>
      <c r="R39" s="68">
        <f>IF(Q39="",0,DATEDIF(Q39,$C$1,"Y"))</f>
        <v>5</v>
      </c>
      <c r="S39" s="68">
        <f>IF(Q39="",0,DATEDIF(Q39,$C$1,"YM"))</f>
        <v>6</v>
      </c>
      <c r="T39" s="68">
        <f>IF(Q39="",0,DATEDIF(Q39,$C$1,"MD"))</f>
        <v>1</v>
      </c>
      <c r="U39" s="65"/>
      <c r="V39" s="65"/>
      <c r="W39" s="49" t="str">
        <f t="shared" si="8"/>
        <v/>
      </c>
      <c r="X39" s="68">
        <f>IF(W39="",0,DATEDIF(W39,Q39,"Y"))</f>
        <v>0</v>
      </c>
      <c r="Y39" s="68">
        <f>IF(W39="",0,DATEDIF(W39,Q39,"YM"))</f>
        <v>0</v>
      </c>
      <c r="Z39" s="68">
        <f>IF(W39="",0,DATEDIF(W39,Q39,"MD"))</f>
        <v>0</v>
      </c>
      <c r="AA39" s="49"/>
      <c r="AB39" s="65"/>
      <c r="AC39" s="50" t="str">
        <f t="shared" si="9"/>
        <v/>
      </c>
      <c r="AD39" s="68">
        <f t="shared" si="10"/>
        <v>0</v>
      </c>
      <c r="AE39" s="68">
        <f t="shared" si="11"/>
        <v>0</v>
      </c>
      <c r="AF39" s="68">
        <f t="shared" si="12"/>
        <v>0</v>
      </c>
      <c r="AG39" s="50"/>
      <c r="AH39" s="108" t="s">
        <v>178</v>
      </c>
      <c r="AI39" s="49" t="str">
        <f>IF(AH39="นิติศาสตร์","K5-LAW","K5-POLICY")</f>
        <v>K5-POLICY</v>
      </c>
      <c r="AJ39" s="72" t="str">
        <f>_xlfn.IFS(B39="","",AND(AI39="K5-LAW",AH39="นิติศาสตร์",L39="S2",U39="",AA39=""),Q39,AND(AI39="K5-LAW",AH39="นิติศาสตร์",L39="S1",U39="",AA39=""),EDATE(Q39,12),AND(AI39="K5-LAW",AH39="นิติศาสตร์",OR(L39="M2",L39="K4"),U39="",AA39=""),EDATE(Q39,12*2),AND(AI39="K5-LAW",AH39="นิติศาสตร์",OR(AA39="M2",AA39="K4"),AD39&gt;=2,OR(AC39&lt;W39,AC39&lt;Q39)),EDATE(AC39,12*2),AND(AI39="K5-LAW",AH39="นิติศาสตร์",AA39="S1",AD39&gt;=1,OR(AC39&lt;W39,AC39&lt;Q39)),EDATE(AC39,12),AND(AI39="K5-LAW",AH39="นิติศาสตร์",OR(U39="M2",U39="K4"),X39&gt;=2,W39&lt;Q39),EDATE(W39,12*2),AND(AI39="K5-LAW",AH39="นิติศาสตร์",U39="S1",X39&gt;=1,W39&lt;Q39),EDATE(W39,12),AND(AI39="K5-LAW",AH39="นิติศาสตร์",OR(U39="S2",U39="K5")),W39,AND(AI39="K5-LAW",AH39="นิติศาสตร์",OR(L39="M2",L39="K4"),R39&gt;=2),EDATE(Q39,12*2),AND(AI39="K5-LAW",AH39="นิติศาสตร์",L39="S1",R39&gt;=1),EDATE(Q39,12),AND(AI39="K5-LAW",AH39="นิติศาสตร์",OR(L39="S2",L39="K5")),Q39,AND(AI39="K5-POLICY",AH39&lt;&gt;"นิติศาสตร์",L39="S2",U39="",AA39=""),Q39,AND(AI39="K5-POLICY",AH39&lt;&gt;"นิติศาสตร์",L39="S1",U39="",AA39=""),EDATE(Q39,12),AND(AI39="K5-POLICY",AH39&lt;&gt;"นิติศาสตร์",OR(L39="M2",L39="K4"),U39="",AA39=""),EDATE(Q39,12*2),AND(AI39="K5-POLICY",AH39&lt;&gt;"นิติศาสตร์",OR(AA39="M2",AA39="K4"),AD39&gt;=2,OR(AC39&lt;W39,AC39&lt;Q39)),EDATE(AC39,12*2),AND(AI39="K5-POLICY",AH39&lt;&gt;"นิติศาสตร์",AA39="S1",AD39&gt;=1,OR(AC39&lt;W39,AC39&lt;Q39)),EDATE(AC39,12),AND(AI39="K5-POLICY",AH39&lt;&gt;"นิติศาสตร์",OR(U39="M2",U39="K4"),X39&gt;=2,W39&lt;Q39),EDATE(W39,12*2),AND(AI39="K5-POLICY",AH39&lt;&gt;"นิติศาสตร์",U39="S1",X39&gt;=1,W39&lt;Q39),EDATE(W39,12),AND(AI39="K5-POLICY",AH39&lt;&gt;"นิติศาสตร์",OR(U39="S2",U39="K5")),W39,AND(AI39="K5-POLICY",AH39&lt;&gt;"นิติศาสตร์",OR(L39="M2",L39="K4"),R39&gt;=2),EDATE(Q39,12*2),AND(AI39="K5-POLICY",AH39&lt;&gt;"นิติศาสตร์",L39="S1",R39&gt;=1),EDATE(Q39,12),AND(AI39="K5-POLICY",AH39&lt;&gt;"นิติศาสตร์",OR(L39="S2",L39="K5")),Q39,TRUE,"Check Data")</f>
        <v/>
      </c>
      <c r="AK39" s="75" t="str">
        <f t="shared" si="5"/>
        <v>Check Data</v>
      </c>
      <c r="AL39" s="76" t="str">
        <f t="shared" si="6"/>
        <v>Check Data</v>
      </c>
      <c r="AM39" s="50" t="str">
        <f t="shared" si="7"/>
        <v>Check Data</v>
      </c>
      <c r="AN39" s="49" t="str">
        <f>IF(B39="","",IF(L39="S1","S1",INDEX(#REF!,#REF!)))</f>
        <v/>
      </c>
      <c r="AO39" s="49" t="str">
        <f>L39</f>
        <v>M2</v>
      </c>
      <c r="AP39" s="50" t="b">
        <f>L39=AN39</f>
        <v>0</v>
      </c>
      <c r="AQ39" s="50"/>
    </row>
    <row r="40" spans="1:43" ht="21.75">
      <c r="A40" s="49">
        <v>38</v>
      </c>
      <c r="B40" s="50"/>
      <c r="C40" s="50"/>
      <c r="D40" s="50" t="s">
        <v>143</v>
      </c>
      <c r="E40" s="50" t="e">
        <f>INDEX(#REF!,#REF!)</f>
        <v>#REF!</v>
      </c>
      <c r="F40" s="49" t="s">
        <v>307</v>
      </c>
      <c r="G40" s="49" t="str">
        <f t="shared" si="0"/>
        <v>05/03/1992</v>
      </c>
      <c r="H40" s="50">
        <f t="shared" si="1"/>
        <v>33</v>
      </c>
      <c r="I40" s="50">
        <f t="shared" si="2"/>
        <v>3</v>
      </c>
      <c r="J40" s="50">
        <f t="shared" si="3"/>
        <v>15</v>
      </c>
      <c r="K40" s="59"/>
      <c r="L40" s="49" t="s">
        <v>136</v>
      </c>
      <c r="M40" s="64"/>
      <c r="N40" s="49" t="s">
        <v>425</v>
      </c>
      <c r="O40" s="49">
        <v>2568</v>
      </c>
      <c r="P40" s="65" t="s">
        <v>306</v>
      </c>
      <c r="Q40" s="49" t="str">
        <f t="shared" si="4"/>
        <v>19/12/2019</v>
      </c>
      <c r="R40" s="68">
        <f>IF(Q40="",0,DATEDIF(Q40,$C$1,"Y"))</f>
        <v>5</v>
      </c>
      <c r="S40" s="68">
        <f>IF(Q40="",0,DATEDIF(Q40,$C$1,"YM"))</f>
        <v>6</v>
      </c>
      <c r="T40" s="68">
        <f>IF(Q40="",0,DATEDIF(Q40,$C$1,"MD"))</f>
        <v>1</v>
      </c>
      <c r="U40" s="65"/>
      <c r="V40" s="65"/>
      <c r="W40" s="49" t="str">
        <f t="shared" si="8"/>
        <v/>
      </c>
      <c r="X40" s="68">
        <f>IF(W40="",0,DATEDIF(W40,Q40,"Y"))</f>
        <v>0</v>
      </c>
      <c r="Y40" s="68">
        <f>IF(W40="",0,DATEDIF(W40,Q40,"YM"))</f>
        <v>0</v>
      </c>
      <c r="Z40" s="68">
        <f>IF(W40="",0,DATEDIF(W40,Q40,"MD"))</f>
        <v>0</v>
      </c>
      <c r="AA40" s="49"/>
      <c r="AB40" s="65"/>
      <c r="AC40" s="50" t="str">
        <f t="shared" si="9"/>
        <v/>
      </c>
      <c r="AD40" s="68">
        <f t="shared" si="10"/>
        <v>0</v>
      </c>
      <c r="AE40" s="68">
        <f t="shared" si="11"/>
        <v>0</v>
      </c>
      <c r="AF40" s="68">
        <f t="shared" si="12"/>
        <v>0</v>
      </c>
      <c r="AG40" s="50"/>
      <c r="AH40" s="108" t="s">
        <v>167</v>
      </c>
      <c r="AI40" s="49" t="str">
        <f>IF(AH40="นิติศาสตร์","K5-LAW","K5-POLICY")</f>
        <v>K5-POLICY</v>
      </c>
      <c r="AJ40" s="72" t="str">
        <f>_xlfn.IFS(B40="","",AND(AI40="K5-LAW",AH40="นิติศาสตร์",L40="S2",U40="",AA40=""),Q40,AND(AI40="K5-LAW",AH40="นิติศาสตร์",L40="S1",U40="",AA40=""),EDATE(Q40,12),AND(AI40="K5-LAW",AH40="นิติศาสตร์",OR(L40="M2",L40="K4"),U40="",AA40=""),EDATE(Q40,12*2),AND(AI40="K5-LAW",AH40="นิติศาสตร์",OR(AA40="M2",AA40="K4"),AD40&gt;=2,OR(AC40&lt;W40,AC40&lt;Q40)),EDATE(AC40,12*2),AND(AI40="K5-LAW",AH40="นิติศาสตร์",AA40="S1",AD40&gt;=1,OR(AC40&lt;W40,AC40&lt;Q40)),EDATE(AC40,12),AND(AI40="K5-LAW",AH40="นิติศาสตร์",OR(U40="M2",U40="K4"),X40&gt;=2,W40&lt;Q40),EDATE(W40,12*2),AND(AI40="K5-LAW",AH40="นิติศาสตร์",U40="S1",X40&gt;=1,W40&lt;Q40),EDATE(W40,12),AND(AI40="K5-LAW",AH40="นิติศาสตร์",OR(U40="S2",U40="K5")),W40,AND(AI40="K5-LAW",AH40="นิติศาสตร์",OR(L40="M2",L40="K4"),R40&gt;=2),EDATE(Q40,12*2),AND(AI40="K5-LAW",AH40="นิติศาสตร์",L40="S1",R40&gt;=1),EDATE(Q40,12),AND(AI40="K5-LAW",AH40="นิติศาสตร์",OR(L40="S2",L40="K5")),Q40,AND(AI40="K5-POLICY",AH40&lt;&gt;"นิติศาสตร์",L40="S2",U40="",AA40=""),Q40,AND(AI40="K5-POLICY",AH40&lt;&gt;"นิติศาสตร์",L40="S1",U40="",AA40=""),EDATE(Q40,12),AND(AI40="K5-POLICY",AH40&lt;&gt;"นิติศาสตร์",OR(L40="M2",L40="K4"),U40="",AA40=""),EDATE(Q40,12*2),AND(AI40="K5-POLICY",AH40&lt;&gt;"นิติศาสตร์",OR(AA40="M2",AA40="K4"),AD40&gt;=2,OR(AC40&lt;W40,AC40&lt;Q40)),EDATE(AC40,12*2),AND(AI40="K5-POLICY",AH40&lt;&gt;"นิติศาสตร์",AA40="S1",AD40&gt;=1,OR(AC40&lt;W40,AC40&lt;Q40)),EDATE(AC40,12),AND(AI40="K5-POLICY",AH40&lt;&gt;"นิติศาสตร์",OR(U40="M2",U40="K4"),X40&gt;=2,W40&lt;Q40),EDATE(W40,12*2),AND(AI40="K5-POLICY",AH40&lt;&gt;"นิติศาสตร์",U40="S1",X40&gt;=1,W40&lt;Q40),EDATE(W40,12),AND(AI40="K5-POLICY",AH40&lt;&gt;"นิติศาสตร์",OR(U40="S2",U40="K5")),W40,AND(AI40="K5-POLICY",AH40&lt;&gt;"นิติศาสตร์",OR(L40="M2",L40="K4"),R40&gt;=2),EDATE(Q40,12*2),AND(AI40="K5-POLICY",AH40&lt;&gt;"นิติศาสตร์",L40="S1",R40&gt;=1),EDATE(Q40,12),AND(AI40="K5-POLICY",AH40&lt;&gt;"นิติศาสตร์",OR(L40="S2",L40="K5")),Q40,TRUE,"Check Data")</f>
        <v/>
      </c>
      <c r="AK40" s="75" t="str">
        <f t="shared" si="5"/>
        <v>Check Data</v>
      </c>
      <c r="AL40" s="76" t="str">
        <f t="shared" si="6"/>
        <v>Check Data</v>
      </c>
      <c r="AM40" s="50" t="str">
        <f t="shared" si="7"/>
        <v>Check Data</v>
      </c>
      <c r="AN40" s="49" t="str">
        <f>IF(B40="","",IF(L40="S1","S1",INDEX(#REF!,#REF!)))</f>
        <v/>
      </c>
      <c r="AO40" s="49" t="str">
        <f>L40</f>
        <v>M2</v>
      </c>
      <c r="AP40" s="50" t="b">
        <f>L40=AN40</f>
        <v>0</v>
      </c>
      <c r="AQ40" s="50"/>
    </row>
    <row r="41" spans="1:43" ht="21.75">
      <c r="A41" s="49">
        <v>39</v>
      </c>
      <c r="B41" s="50"/>
      <c r="C41" s="50"/>
      <c r="D41" s="50" t="s">
        <v>143</v>
      </c>
      <c r="E41" s="50" t="e">
        <f>INDEX(#REF!,#REF!)</f>
        <v>#REF!</v>
      </c>
      <c r="F41" s="49" t="s">
        <v>307</v>
      </c>
      <c r="G41" s="49" t="str">
        <f t="shared" si="0"/>
        <v>05/03/1992</v>
      </c>
      <c r="H41" s="50">
        <f t="shared" si="1"/>
        <v>33</v>
      </c>
      <c r="I41" s="50">
        <f t="shared" si="2"/>
        <v>3</v>
      </c>
      <c r="J41" s="50">
        <f t="shared" si="3"/>
        <v>15</v>
      </c>
      <c r="K41" s="59"/>
      <c r="L41" s="49" t="s">
        <v>136</v>
      </c>
      <c r="M41" s="64"/>
      <c r="N41" s="49" t="s">
        <v>425</v>
      </c>
      <c r="O41" s="49">
        <v>2570</v>
      </c>
      <c r="P41" s="65" t="s">
        <v>306</v>
      </c>
      <c r="Q41" s="49" t="str">
        <f t="shared" si="4"/>
        <v>19/12/2019</v>
      </c>
      <c r="R41" s="68">
        <f>IF(Q41="",0,DATEDIF(Q41,$C$1,"Y"))</f>
        <v>5</v>
      </c>
      <c r="S41" s="68">
        <f>IF(Q41="",0,DATEDIF(Q41,$C$1,"YM"))</f>
        <v>6</v>
      </c>
      <c r="T41" s="68">
        <f>IF(Q41="",0,DATEDIF(Q41,$C$1,"MD"))</f>
        <v>1</v>
      </c>
      <c r="U41" s="65"/>
      <c r="V41" s="65"/>
      <c r="W41" s="49" t="str">
        <f t="shared" si="8"/>
        <v/>
      </c>
      <c r="X41" s="68">
        <f>IF(W41="",0,DATEDIF(W41,Q41,"Y"))</f>
        <v>0</v>
      </c>
      <c r="Y41" s="68">
        <f>IF(W41="",0,DATEDIF(W41,Q41,"YM"))</f>
        <v>0</v>
      </c>
      <c r="Z41" s="68">
        <f>IF(W41="",0,DATEDIF(W41,Q41,"MD"))</f>
        <v>0</v>
      </c>
      <c r="AA41" s="49"/>
      <c r="AB41" s="65"/>
      <c r="AC41" s="50" t="str">
        <f t="shared" si="9"/>
        <v/>
      </c>
      <c r="AD41" s="68">
        <f t="shared" si="10"/>
        <v>0</v>
      </c>
      <c r="AE41" s="68">
        <f t="shared" si="11"/>
        <v>0</v>
      </c>
      <c r="AF41" s="68">
        <f t="shared" si="12"/>
        <v>0</v>
      </c>
      <c r="AG41" s="50"/>
      <c r="AH41" s="108" t="s">
        <v>285</v>
      </c>
      <c r="AI41" s="49" t="str">
        <f>IF(AH41="นิติศาสตร์","K5-LAW","K5-POLICY")</f>
        <v>K5-POLICY</v>
      </c>
      <c r="AJ41" s="72" t="str">
        <f>_xlfn.IFS(B41="","",AND(AI41="K5-LAW",AH41="นิติศาสตร์",L41="S2",U41="",AA41=""),Q41,AND(AI41="K5-LAW",AH41="นิติศาสตร์",L41="S1",U41="",AA41=""),EDATE(Q41,12),AND(AI41="K5-LAW",AH41="นิติศาสตร์",OR(L41="M2",L41="K4"),U41="",AA41=""),EDATE(Q41,12*2),AND(AI41="K5-LAW",AH41="นิติศาสตร์",OR(AA41="M2",AA41="K4"),AD41&gt;=2,OR(AC41&lt;W41,AC41&lt;Q41)),EDATE(AC41,12*2),AND(AI41="K5-LAW",AH41="นิติศาสตร์",AA41="S1",AD41&gt;=1,OR(AC41&lt;W41,AC41&lt;Q41)),EDATE(AC41,12),AND(AI41="K5-LAW",AH41="นิติศาสตร์",OR(U41="M2",U41="K4"),X41&gt;=2,W41&lt;Q41),EDATE(W41,12*2),AND(AI41="K5-LAW",AH41="นิติศาสตร์",U41="S1",X41&gt;=1,W41&lt;Q41),EDATE(W41,12),AND(AI41="K5-LAW",AH41="นิติศาสตร์",OR(U41="S2",U41="K5")),W41,AND(AI41="K5-LAW",AH41="นิติศาสตร์",OR(L41="M2",L41="K4"),R41&gt;=2),EDATE(Q41,12*2),AND(AI41="K5-LAW",AH41="นิติศาสตร์",L41="S1",R41&gt;=1),EDATE(Q41,12),AND(AI41="K5-LAW",AH41="นิติศาสตร์",OR(L41="S2",L41="K5")),Q41,AND(AI41="K5-POLICY",AH41&lt;&gt;"นิติศาสตร์",L41="S2",U41="",AA41=""),Q41,AND(AI41="K5-POLICY",AH41&lt;&gt;"นิติศาสตร์",L41="S1",U41="",AA41=""),EDATE(Q41,12),AND(AI41="K5-POLICY",AH41&lt;&gt;"นิติศาสตร์",OR(L41="M2",L41="K4"),U41="",AA41=""),EDATE(Q41,12*2),AND(AI41="K5-POLICY",AH41&lt;&gt;"นิติศาสตร์",OR(AA41="M2",AA41="K4"),AD41&gt;=2,OR(AC41&lt;W41,AC41&lt;Q41)),EDATE(AC41,12*2),AND(AI41="K5-POLICY",AH41&lt;&gt;"นิติศาสตร์",AA41="S1",AD41&gt;=1,OR(AC41&lt;W41,AC41&lt;Q41)),EDATE(AC41,12),AND(AI41="K5-POLICY",AH41&lt;&gt;"นิติศาสตร์",OR(U41="M2",U41="K4"),X41&gt;=2,W41&lt;Q41),EDATE(W41,12*2),AND(AI41="K5-POLICY",AH41&lt;&gt;"นิติศาสตร์",U41="S1",X41&gt;=1,W41&lt;Q41),EDATE(W41,12),AND(AI41="K5-POLICY",AH41&lt;&gt;"นิติศาสตร์",OR(U41="S2",U41="K5")),W41,AND(AI41="K5-POLICY",AH41&lt;&gt;"นิติศาสตร์",OR(L41="M2",L41="K4"),R41&gt;=2),EDATE(Q41,12*2),AND(AI41="K5-POLICY",AH41&lt;&gt;"นิติศาสตร์",L41="S1",R41&gt;=1),EDATE(Q41,12),AND(AI41="K5-POLICY",AH41&lt;&gt;"นิติศาสตร์",OR(L41="S2",L41="K5")),Q41,TRUE,"Check Data")</f>
        <v/>
      </c>
      <c r="AK41" s="75" t="str">
        <f t="shared" si="5"/>
        <v>Check Data</v>
      </c>
      <c r="AL41" s="76" t="str">
        <f t="shared" si="6"/>
        <v>Check Data</v>
      </c>
      <c r="AM41" s="50" t="str">
        <f t="shared" si="7"/>
        <v>Check Data</v>
      </c>
      <c r="AN41" s="49" t="str">
        <f>IF(B41="","",IF(L41="S1","S1",INDEX(#REF!,#REF!)))</f>
        <v/>
      </c>
      <c r="AO41" s="49" t="str">
        <f>L41</f>
        <v>M2</v>
      </c>
      <c r="AP41" s="50" t="b">
        <f>L41=AN41</f>
        <v>0</v>
      </c>
      <c r="AQ41" s="50"/>
    </row>
    <row r="42" spans="1:43" ht="21.75">
      <c r="A42" s="49">
        <v>40</v>
      </c>
      <c r="B42" s="50"/>
      <c r="C42" s="50"/>
      <c r="D42" s="50" t="s">
        <v>143</v>
      </c>
      <c r="E42" s="50" t="e">
        <f>INDEX(#REF!,#REF!)</f>
        <v>#REF!</v>
      </c>
      <c r="F42" s="49" t="s">
        <v>348</v>
      </c>
      <c r="G42" s="49" t="str">
        <f t="shared" ref="G42:G73" si="13">IF(F42="","",TEXT(EDATE(F42,-543*12),"dd/mm/yyyy"))</f>
        <v>09/10/1995</v>
      </c>
      <c r="H42" s="50">
        <f t="shared" si="1"/>
        <v>29</v>
      </c>
      <c r="I42" s="50">
        <f t="shared" si="2"/>
        <v>8</v>
      </c>
      <c r="J42" s="50">
        <f t="shared" si="3"/>
        <v>11</v>
      </c>
      <c r="K42" s="59"/>
      <c r="L42" s="49" t="s">
        <v>136</v>
      </c>
      <c r="M42" s="64"/>
      <c r="N42" s="49" t="s">
        <v>425</v>
      </c>
      <c r="O42" s="49">
        <v>2569</v>
      </c>
      <c r="P42" s="65" t="s">
        <v>306</v>
      </c>
      <c r="Q42" s="49" t="str">
        <f t="shared" ref="Q42:Q73" si="14">TEXT(EDATE(P42,-543*12),"dd/mm/yyyy")</f>
        <v>19/12/2019</v>
      </c>
      <c r="R42" s="68">
        <f>IF(Q42="",0,DATEDIF(Q42,$C$1,"Y"))</f>
        <v>5</v>
      </c>
      <c r="S42" s="68">
        <f>IF(Q42="",0,DATEDIF(Q42,$C$1,"YM"))</f>
        <v>6</v>
      </c>
      <c r="T42" s="68">
        <f>IF(Q42="",0,DATEDIF(Q42,$C$1,"MD"))</f>
        <v>1</v>
      </c>
      <c r="U42" s="65"/>
      <c r="V42" s="65"/>
      <c r="W42" s="49" t="str">
        <f t="shared" si="8"/>
        <v/>
      </c>
      <c r="X42" s="68">
        <f>IF(W42="",0,DATEDIF(W42,Q42,"Y"))</f>
        <v>0</v>
      </c>
      <c r="Y42" s="68">
        <f>IF(W42="",0,DATEDIF(W42,Q42,"YM"))</f>
        <v>0</v>
      </c>
      <c r="Z42" s="68">
        <f>IF(W42="",0,DATEDIF(W42,Q42,"MD"))</f>
        <v>0</v>
      </c>
      <c r="AA42" s="49"/>
      <c r="AB42" s="65"/>
      <c r="AC42" s="50" t="str">
        <f t="shared" si="9"/>
        <v/>
      </c>
      <c r="AD42" s="68">
        <f t="shared" si="10"/>
        <v>0</v>
      </c>
      <c r="AE42" s="68">
        <f t="shared" si="11"/>
        <v>0</v>
      </c>
      <c r="AF42" s="68">
        <f t="shared" si="12"/>
        <v>0</v>
      </c>
      <c r="AG42" s="50"/>
      <c r="AH42" s="108" t="s">
        <v>138</v>
      </c>
      <c r="AI42" s="49" t="str">
        <f>IF(AH42="นิติศาสตร์","K5-LAW","K5-POLICY")</f>
        <v>K5-LAW</v>
      </c>
      <c r="AJ42" s="72" t="str">
        <f>_xlfn.IFS(B42="","",AND(AI42="K5-LAW",AH42="นิติศาสตร์",L42="S2",U42="",AA42=""),Q42,AND(AI42="K5-LAW",AH42="นิติศาสตร์",L42="S1",U42="",AA42=""),EDATE(Q42,12),AND(AI42="K5-LAW",AH42="นิติศาสตร์",OR(L42="M2",L42="K4"),U42="",AA42=""),EDATE(Q42,12*2),AND(AI42="K5-LAW",AH42="นิติศาสตร์",OR(AA42="M2",AA42="K4"),AD42&gt;=2,OR(AC42&lt;W42,AC42&lt;Q42)),EDATE(AC42,12*2),AND(AI42="K5-LAW",AH42="นิติศาสตร์",AA42="S1",AD42&gt;=1,OR(AC42&lt;W42,AC42&lt;Q42)),EDATE(AC42,12),AND(AI42="K5-LAW",AH42="นิติศาสตร์",OR(U42="M2",U42="K4"),X42&gt;=2,W42&lt;Q42),EDATE(W42,12*2),AND(AI42="K5-LAW",AH42="นิติศาสตร์",U42="S1",X42&gt;=1,W42&lt;Q42),EDATE(W42,12),AND(AI42="K5-LAW",AH42="นิติศาสตร์",OR(U42="S2",U42="K5")),W42,AND(AI42="K5-LAW",AH42="นิติศาสตร์",OR(L42="M2",L42="K4"),R42&gt;=2),EDATE(Q42,12*2),AND(AI42="K5-LAW",AH42="นิติศาสตร์",L42="S1",R42&gt;=1),EDATE(Q42,12),AND(AI42="K5-LAW",AH42="นิติศาสตร์",OR(L42="S2",L42="K5")),Q42,AND(AI42="K5-POLICY",AH42&lt;&gt;"นิติศาสตร์",L42="S2",U42="",AA42=""),Q42,AND(AI42="K5-POLICY",AH42&lt;&gt;"นิติศาสตร์",L42="S1",U42="",AA42=""),EDATE(Q42,12),AND(AI42="K5-POLICY",AH42&lt;&gt;"นิติศาสตร์",OR(L42="M2",L42="K4"),U42="",AA42=""),EDATE(Q42,12*2),AND(AI42="K5-POLICY",AH42&lt;&gt;"นิติศาสตร์",OR(AA42="M2",AA42="K4"),AD42&gt;=2,OR(AC42&lt;W42,AC42&lt;Q42)),EDATE(AC42,12*2),AND(AI42="K5-POLICY",AH42&lt;&gt;"นิติศาสตร์",AA42="S1",AD42&gt;=1,OR(AC42&lt;W42,AC42&lt;Q42)),EDATE(AC42,12),AND(AI42="K5-POLICY",AH42&lt;&gt;"นิติศาสตร์",OR(U42="M2",U42="K4"),X42&gt;=2,W42&lt;Q42),EDATE(W42,12*2),AND(AI42="K5-POLICY",AH42&lt;&gt;"นิติศาสตร์",U42="S1",X42&gt;=1,W42&lt;Q42),EDATE(W42,12),AND(AI42="K5-POLICY",AH42&lt;&gt;"นิติศาสตร์",OR(U42="S2",U42="K5")),W42,AND(AI42="K5-POLICY",AH42&lt;&gt;"นิติศาสตร์",OR(L42="M2",L42="K4"),R42&gt;=2),EDATE(Q42,12*2),AND(AI42="K5-POLICY",AH42&lt;&gt;"นิติศาสตร์",L42="S1",R42&gt;=1),EDATE(Q42,12),AND(AI42="K5-POLICY",AH42&lt;&gt;"นิติศาสตร์",OR(L42="S2",L42="K5")),Q42,TRUE,"Check Data")</f>
        <v/>
      </c>
      <c r="AK42" s="75" t="str">
        <f t="shared" ref="AK42:AK73" si="15">IFERROR(TEXT(EDATE(AJ42,543*12),"dd/mm/yyyy"),"Check Data")</f>
        <v>Check Data</v>
      </c>
      <c r="AL42" s="76" t="str">
        <f t="shared" si="6"/>
        <v>Check Data</v>
      </c>
      <c r="AM42" s="50" t="str">
        <f t="shared" ref="AM42:AM73" si="16">_xlfn.IFS(AL42="Check Data","Check Data",AL42&gt;30,"ยังไม่ถึงเกณฑ์",AL42&gt;0,"ใกล้ถึงเกณฑ์",AL42=0,"ถึงเกณฑ์",AL42&lt;0,"ถึงเกณฑ์นานแล้ว")</f>
        <v>Check Data</v>
      </c>
      <c r="AN42" s="49" t="str">
        <f>IF(B42="","",IF(L42="S1","S1",INDEX(#REF!,#REF!)))</f>
        <v/>
      </c>
      <c r="AO42" s="49" t="str">
        <f t="shared" ref="AO42:AO73" si="17">L42</f>
        <v>M2</v>
      </c>
      <c r="AP42" s="50" t="b">
        <f>L42=AN42</f>
        <v>0</v>
      </c>
      <c r="AQ42" s="50"/>
    </row>
    <row r="43" spans="1:43" ht="21.75">
      <c r="A43" s="49">
        <v>41</v>
      </c>
      <c r="B43" s="50"/>
      <c r="C43" s="50"/>
      <c r="D43" s="50" t="s">
        <v>144</v>
      </c>
      <c r="E43" s="50" t="e">
        <f>INDEX(#REF!,#REF!)</f>
        <v>#REF!</v>
      </c>
      <c r="F43" s="49" t="s">
        <v>379</v>
      </c>
      <c r="G43" s="49" t="str">
        <f t="shared" si="13"/>
        <v>10/07/1987</v>
      </c>
      <c r="H43" s="50">
        <f t="shared" si="1"/>
        <v>37</v>
      </c>
      <c r="I43" s="50">
        <f t="shared" si="2"/>
        <v>11</v>
      </c>
      <c r="J43" s="50">
        <f t="shared" si="3"/>
        <v>10</v>
      </c>
      <c r="K43" s="57"/>
      <c r="L43" s="49" t="s">
        <v>136</v>
      </c>
      <c r="M43" s="64"/>
      <c r="N43" s="49" t="s">
        <v>425</v>
      </c>
      <c r="O43" s="49">
        <v>2572</v>
      </c>
      <c r="P43" s="65" t="s">
        <v>380</v>
      </c>
      <c r="Q43" s="49" t="str">
        <f t="shared" si="14"/>
        <v>21/01/2020</v>
      </c>
      <c r="R43" s="68">
        <f>IF(Q43="",0,DATEDIF(Q43,$C$1,"Y"))</f>
        <v>5</v>
      </c>
      <c r="S43" s="68">
        <f>IF(Q43="",0,DATEDIF(Q43,$C$1,"YM"))</f>
        <v>4</v>
      </c>
      <c r="T43" s="68">
        <f>IF(Q43="",0,DATEDIF(Q43,$C$1,"MD"))</f>
        <v>30</v>
      </c>
      <c r="U43" s="65"/>
      <c r="V43" s="65"/>
      <c r="W43" s="49" t="str">
        <f t="shared" si="8"/>
        <v/>
      </c>
      <c r="X43" s="68">
        <f>IF(W43="",0,DATEDIF(W43,Q43,"Y"))</f>
        <v>0</v>
      </c>
      <c r="Y43" s="68">
        <f>IF(W43="",0,DATEDIF(W43,Q43,"YM"))</f>
        <v>0</v>
      </c>
      <c r="Z43" s="68">
        <f>IF(W43="",0,DATEDIF(W43,Q43,"MD"))</f>
        <v>0</v>
      </c>
      <c r="AA43" s="49"/>
      <c r="AB43" s="65"/>
      <c r="AC43" s="50" t="str">
        <f t="shared" si="9"/>
        <v/>
      </c>
      <c r="AD43" s="68">
        <f t="shared" si="10"/>
        <v>0</v>
      </c>
      <c r="AE43" s="68">
        <f t="shared" si="11"/>
        <v>0</v>
      </c>
      <c r="AF43" s="68">
        <f t="shared" si="12"/>
        <v>0</v>
      </c>
      <c r="AG43" s="50"/>
      <c r="AH43" s="108" t="s">
        <v>138</v>
      </c>
      <c r="AI43" s="49" t="str">
        <f>IF(AH43="นิติศาสตร์","K5-LAW","K5-POLICY")</f>
        <v>K5-LAW</v>
      </c>
      <c r="AJ43" s="72" t="str">
        <f>_xlfn.IFS(B43="","",AND(AI43="K5-LAW",AH43="นิติศาสตร์",L43="S2",U43="",AA43=""),Q43,AND(AI43="K5-LAW",AH43="นิติศาสตร์",L43="S1",U43="",AA43=""),EDATE(Q43,12),AND(AI43="K5-LAW",AH43="นิติศาสตร์",OR(L43="M2",L43="K4"),U43="",AA43=""),EDATE(Q43,12*2),AND(AI43="K5-LAW",AH43="นิติศาสตร์",OR(AA43="M2",AA43="K4"),AD43&gt;=2,OR(AC43&lt;W43,AC43&lt;Q43)),EDATE(AC43,12*2),AND(AI43="K5-LAW",AH43="นิติศาสตร์",AA43="S1",AD43&gt;=1,OR(AC43&lt;W43,AC43&lt;Q43)),EDATE(AC43,12),AND(AI43="K5-LAW",AH43="นิติศาสตร์",OR(U43="M2",U43="K4"),X43&gt;=2,W43&lt;Q43),EDATE(W43,12*2),AND(AI43="K5-LAW",AH43="นิติศาสตร์",U43="S1",X43&gt;=1,W43&lt;Q43),EDATE(W43,12),AND(AI43="K5-LAW",AH43="นิติศาสตร์",OR(U43="S2",U43="K5")),W43,AND(AI43="K5-LAW",AH43="นิติศาสตร์",OR(L43="M2",L43="K4"),R43&gt;=2),EDATE(Q43,12*2),AND(AI43="K5-LAW",AH43="นิติศาสตร์",L43="S1",R43&gt;=1),EDATE(Q43,12),AND(AI43="K5-LAW",AH43="นิติศาสตร์",OR(L43="S2",L43="K5")),Q43,AND(AI43="K5-POLICY",AH43&lt;&gt;"นิติศาสตร์",L43="S2",U43="",AA43=""),Q43,AND(AI43="K5-POLICY",AH43&lt;&gt;"นิติศาสตร์",L43="S1",U43="",AA43=""),EDATE(Q43,12),AND(AI43="K5-POLICY",AH43&lt;&gt;"นิติศาสตร์",OR(L43="M2",L43="K4"),U43="",AA43=""),EDATE(Q43,12*2),AND(AI43="K5-POLICY",AH43&lt;&gt;"นิติศาสตร์",OR(AA43="M2",AA43="K4"),AD43&gt;=2,OR(AC43&lt;W43,AC43&lt;Q43)),EDATE(AC43,12*2),AND(AI43="K5-POLICY",AH43&lt;&gt;"นิติศาสตร์",AA43="S1",AD43&gt;=1,OR(AC43&lt;W43,AC43&lt;Q43)),EDATE(AC43,12),AND(AI43="K5-POLICY",AH43&lt;&gt;"นิติศาสตร์",OR(U43="M2",U43="K4"),X43&gt;=2,W43&lt;Q43),EDATE(W43,12*2),AND(AI43="K5-POLICY",AH43&lt;&gt;"นิติศาสตร์",U43="S1",X43&gt;=1,W43&lt;Q43),EDATE(W43,12),AND(AI43="K5-POLICY",AH43&lt;&gt;"นิติศาสตร์",OR(U43="S2",U43="K5")),W43,AND(AI43="K5-POLICY",AH43&lt;&gt;"นิติศาสตร์",OR(L43="M2",L43="K4"),R43&gt;=2),EDATE(Q43,12*2),AND(AI43="K5-POLICY",AH43&lt;&gt;"นิติศาสตร์",L43="S1",R43&gt;=1),EDATE(Q43,12),AND(AI43="K5-POLICY",AH43&lt;&gt;"นิติศาสตร์",OR(L43="S2",L43="K5")),Q43,TRUE,"Check Data")</f>
        <v/>
      </c>
      <c r="AK43" s="75" t="str">
        <f t="shared" si="15"/>
        <v>Check Data</v>
      </c>
      <c r="AL43" s="76" t="str">
        <f t="shared" si="6"/>
        <v>Check Data</v>
      </c>
      <c r="AM43" s="50" t="str">
        <f t="shared" si="16"/>
        <v>Check Data</v>
      </c>
      <c r="AN43" s="49" t="str">
        <f>IF(B43="","",IF(L43="S1","S1",INDEX(#REF!,#REF!)))</f>
        <v/>
      </c>
      <c r="AO43" s="49" t="str">
        <f t="shared" si="17"/>
        <v>M2</v>
      </c>
      <c r="AP43" s="50" t="b">
        <f>L43=AN43</f>
        <v>0</v>
      </c>
      <c r="AQ43" s="50"/>
    </row>
    <row r="44" spans="1:43" ht="21.75">
      <c r="A44" s="49">
        <v>42</v>
      </c>
      <c r="B44" s="50"/>
      <c r="C44" s="50"/>
      <c r="D44" s="50" t="s">
        <v>146</v>
      </c>
      <c r="E44" s="50" t="e">
        <f>INDEX(#REF!,#REF!)</f>
        <v>#REF!</v>
      </c>
      <c r="F44" s="49" t="s">
        <v>420</v>
      </c>
      <c r="G44" s="49" t="str">
        <f t="shared" si="13"/>
        <v>28/09/1994</v>
      </c>
      <c r="H44" s="50">
        <f t="shared" si="1"/>
        <v>30</v>
      </c>
      <c r="I44" s="50">
        <f t="shared" si="2"/>
        <v>8</v>
      </c>
      <c r="J44" s="50">
        <f t="shared" si="3"/>
        <v>23</v>
      </c>
      <c r="K44" s="80"/>
      <c r="L44" s="49" t="s">
        <v>136</v>
      </c>
      <c r="M44" s="64"/>
      <c r="N44" s="49" t="s">
        <v>427</v>
      </c>
      <c r="O44" s="49">
        <v>2572</v>
      </c>
      <c r="P44" s="65" t="s">
        <v>394</v>
      </c>
      <c r="Q44" s="49" t="str">
        <f t="shared" si="14"/>
        <v>27/09/2023</v>
      </c>
      <c r="R44" s="68">
        <f>IF(Q44="",0,DATEDIF(Q44,$C$1,"Y"))</f>
        <v>1</v>
      </c>
      <c r="S44" s="68">
        <f>IF(Q44="",0,DATEDIF(Q44,$C$1,"YM"))</f>
        <v>8</v>
      </c>
      <c r="T44" s="68">
        <f>IF(Q44="",0,DATEDIF(Q44,$C$1,"MD"))</f>
        <v>24</v>
      </c>
      <c r="U44" s="65" t="s">
        <v>137</v>
      </c>
      <c r="V44" s="65" t="s">
        <v>525</v>
      </c>
      <c r="W44" s="49" t="str">
        <f t="shared" ref="W44:W75" si="18">IF(V44="","",TEXT(EDATE(V44,-543*12),"dd/mm/yyyy"))</f>
        <v>08/04/2020</v>
      </c>
      <c r="X44" s="68">
        <f>IF(W44="",0,DATEDIF(W44,Q44,"Y"))</f>
        <v>3</v>
      </c>
      <c r="Y44" s="68">
        <f>IF(W44="",0,DATEDIF(W44,Q44,"YM"))</f>
        <v>5</v>
      </c>
      <c r="Z44" s="68">
        <f>IF(W44="",0,DATEDIF(W44,Q44,"MD"))</f>
        <v>19</v>
      </c>
      <c r="AA44" s="49"/>
      <c r="AB44" s="65"/>
      <c r="AC44" s="50" t="str">
        <f t="shared" ref="AC44:AC75" si="19">IF(AB44="","",TEXT(EDATE(AB44,-543*12),"dd/mm/yyyy"))</f>
        <v/>
      </c>
      <c r="AD44" s="68">
        <f t="shared" ref="AD44:AD75" si="20">IF(AC44="",0,DATEDIF(AC44,W44,"Y"))</f>
        <v>0</v>
      </c>
      <c r="AE44" s="68">
        <f t="shared" ref="AE44:AE75" si="21">IF(AC44="",0,DATEDIF(AC44,W44,"YM"))</f>
        <v>0</v>
      </c>
      <c r="AF44" s="68">
        <f t="shared" ref="AF44:AF75" si="22">IF(AC44="",0,DATEDIF(AC44,W44,"MD"))</f>
        <v>0</v>
      </c>
      <c r="AG44" s="50"/>
      <c r="AH44" s="108" t="s">
        <v>138</v>
      </c>
      <c r="AI44" s="49" t="str">
        <f>IF(AH44="นิติศาสตร์","K5-LAW","K5-POLICY")</f>
        <v>K5-LAW</v>
      </c>
      <c r="AJ44" s="72" t="str">
        <f>_xlfn.IFS(B44="","",AND(AI44="K5-LAW",AH44="นิติศาสตร์",L44="S2",U44="",AA44=""),Q44,AND(AI44="K5-LAW",AH44="นิติศาสตร์",L44="S1",U44="",AA44=""),EDATE(Q44,12),AND(AI44="K5-LAW",AH44="นิติศาสตร์",OR(L44="M2",L44="K4"),U44="",AA44=""),EDATE(Q44,12*2),AND(AI44="K5-LAW",AH44="นิติศาสตร์",OR(AA44="M2",AA44="K4"),AD44&gt;=2,OR(AC44&lt;W44,AC44&lt;Q44)),EDATE(AC44,12*2),AND(AI44="K5-LAW",AH44="นิติศาสตร์",AA44="S1",AD44&gt;=1,OR(AC44&lt;W44,AC44&lt;Q44)),EDATE(AC44,12),AND(AI44="K5-LAW",AH44="นิติศาสตร์",OR(U44="M2",U44="K4"),X44&gt;=2,W44&lt;Q44),EDATE(W44,12*2),AND(AI44="K5-LAW",AH44="นิติศาสตร์",U44="S1",X44&gt;=1,W44&lt;Q44),EDATE(W44,12),AND(AI44="K5-LAW",AH44="นิติศาสตร์",OR(U44="S2",U44="K5")),W44,AND(AI44="K5-LAW",AH44="นิติศาสตร์",OR(L44="M2",L44="K4"),R44&gt;=2),EDATE(Q44,12*2),AND(AI44="K5-LAW",AH44="นิติศาสตร์",L44="S1",R44&gt;=1),EDATE(Q44,12),AND(AI44="K5-LAW",AH44="นิติศาสตร์",OR(L44="S2",L44="K5")),Q44,AND(AI44="K5-POLICY",AH44&lt;&gt;"นิติศาสตร์",L44="S2",U44="",AA44=""),Q44,AND(AI44="K5-POLICY",AH44&lt;&gt;"นิติศาสตร์",L44="S1",U44="",AA44=""),EDATE(Q44,12),AND(AI44="K5-POLICY",AH44&lt;&gt;"นิติศาสตร์",OR(L44="M2",L44="K4"),U44="",AA44=""),EDATE(Q44,12*2),AND(AI44="K5-POLICY",AH44&lt;&gt;"นิติศาสตร์",OR(AA44="M2",AA44="K4"),AD44&gt;=2,OR(AC44&lt;W44,AC44&lt;Q44)),EDATE(AC44,12*2),AND(AI44="K5-POLICY",AH44&lt;&gt;"นิติศาสตร์",AA44="S1",AD44&gt;=1,OR(AC44&lt;W44,AC44&lt;Q44)),EDATE(AC44,12),AND(AI44="K5-POLICY",AH44&lt;&gt;"นิติศาสตร์",OR(U44="M2",U44="K4"),X44&gt;=2,W44&lt;Q44),EDATE(W44,12*2),AND(AI44="K5-POLICY",AH44&lt;&gt;"นิติศาสตร์",U44="S1",X44&gt;=1,W44&lt;Q44),EDATE(W44,12),AND(AI44="K5-POLICY",AH44&lt;&gt;"นิติศาสตร์",OR(U44="S2",U44="K5")),W44,AND(AI44="K5-POLICY",AH44&lt;&gt;"นิติศาสตร์",OR(L44="M2",L44="K4"),R44&gt;=2),EDATE(Q44,12*2),AND(AI44="K5-POLICY",AH44&lt;&gt;"นิติศาสตร์",L44="S1",R44&gt;=1),EDATE(Q44,12),AND(AI44="K5-POLICY",AH44&lt;&gt;"นิติศาสตร์",OR(L44="S2",L44="K5")),Q44,TRUE,"Check Data")</f>
        <v/>
      </c>
      <c r="AK44" s="75" t="str">
        <f t="shared" si="15"/>
        <v>Check Data</v>
      </c>
      <c r="AL44" s="76" t="str">
        <f t="shared" si="6"/>
        <v>Check Data</v>
      </c>
      <c r="AM44" s="50" t="str">
        <f t="shared" si="16"/>
        <v>Check Data</v>
      </c>
      <c r="AN44" s="49" t="str">
        <f>IF(B44="","",IF(L44="S1","S1",INDEX(#REF!,#REF!)))</f>
        <v/>
      </c>
      <c r="AO44" s="49" t="str">
        <f t="shared" si="17"/>
        <v>M2</v>
      </c>
      <c r="AP44" s="50" t="b">
        <f>L44=AN44</f>
        <v>0</v>
      </c>
      <c r="AQ44" s="50"/>
    </row>
    <row r="45" spans="1:43" ht="21.75">
      <c r="A45" s="49">
        <v>43</v>
      </c>
      <c r="B45" s="50"/>
      <c r="C45" s="50"/>
      <c r="D45" s="50" t="s">
        <v>143</v>
      </c>
      <c r="E45" s="50" t="e">
        <f>INDEX(#REF!,#REF!)</f>
        <v>#REF!</v>
      </c>
      <c r="F45" s="49" t="s">
        <v>335</v>
      </c>
      <c r="G45" s="49" t="str">
        <f t="shared" si="13"/>
        <v>01/01/1999</v>
      </c>
      <c r="H45" s="50">
        <f t="shared" si="1"/>
        <v>26</v>
      </c>
      <c r="I45" s="50">
        <f t="shared" si="2"/>
        <v>5</v>
      </c>
      <c r="J45" s="50">
        <f t="shared" si="3"/>
        <v>19</v>
      </c>
      <c r="K45" s="59"/>
      <c r="L45" s="49" t="s">
        <v>136</v>
      </c>
      <c r="M45" s="64"/>
      <c r="N45" s="49" t="s">
        <v>427</v>
      </c>
      <c r="O45" s="49">
        <v>2579</v>
      </c>
      <c r="P45" s="65" t="s">
        <v>336</v>
      </c>
      <c r="Q45" s="49" t="str">
        <f t="shared" si="14"/>
        <v>05/05/2020</v>
      </c>
      <c r="R45" s="68">
        <f>IF(Q45="",0,DATEDIF(Q45,$C$1,"Y"))</f>
        <v>5</v>
      </c>
      <c r="S45" s="68">
        <f>IF(Q45="",0,DATEDIF(Q45,$C$1,"YM"))</f>
        <v>1</v>
      </c>
      <c r="T45" s="68">
        <f>IF(Q45="",0,DATEDIF(Q45,$C$1,"MD"))</f>
        <v>15</v>
      </c>
      <c r="U45" s="65"/>
      <c r="V45" s="65"/>
      <c r="W45" s="49" t="str">
        <f t="shared" si="18"/>
        <v/>
      </c>
      <c r="X45" s="68">
        <f>IF(W45="",0,DATEDIF(W45,Q45,"Y"))</f>
        <v>0</v>
      </c>
      <c r="Y45" s="68">
        <f>IF(W45="",0,DATEDIF(W45,Q45,"YM"))</f>
        <v>0</v>
      </c>
      <c r="Z45" s="68">
        <f>IF(W45="",0,DATEDIF(W45,Q45,"MD"))</f>
        <v>0</v>
      </c>
      <c r="AA45" s="49"/>
      <c r="AB45" s="65"/>
      <c r="AC45" s="50" t="str">
        <f t="shared" si="19"/>
        <v/>
      </c>
      <c r="AD45" s="68">
        <f t="shared" si="20"/>
        <v>0</v>
      </c>
      <c r="AE45" s="68">
        <f t="shared" si="21"/>
        <v>0</v>
      </c>
      <c r="AF45" s="68">
        <f t="shared" si="22"/>
        <v>0</v>
      </c>
      <c r="AG45" s="50"/>
      <c r="AH45" s="108" t="s">
        <v>337</v>
      </c>
      <c r="AI45" s="49" t="str">
        <f>IF(AH45="นิติศาสตร์","K5-LAW","K5-POLICY")</f>
        <v>K5-POLICY</v>
      </c>
      <c r="AJ45" s="72" t="str">
        <f>_xlfn.IFS(B45="","",AND(AI45="K5-LAW",AH45="นิติศาสตร์",L45="S2",U45="",AA45=""),Q45,AND(AI45="K5-LAW",AH45="นิติศาสตร์",L45="S1",U45="",AA45=""),EDATE(Q45,12),AND(AI45="K5-LAW",AH45="นิติศาสตร์",OR(L45="M2",L45="K4"),U45="",AA45=""),EDATE(Q45,12*2),AND(AI45="K5-LAW",AH45="นิติศาสตร์",OR(AA45="M2",AA45="K4"),AD45&gt;=2,OR(AC45&lt;W45,AC45&lt;Q45)),EDATE(AC45,12*2),AND(AI45="K5-LAW",AH45="นิติศาสตร์",AA45="S1",AD45&gt;=1,OR(AC45&lt;W45,AC45&lt;Q45)),EDATE(AC45,12),AND(AI45="K5-LAW",AH45="นิติศาสตร์",OR(U45="M2",U45="K4"),X45&gt;=2,W45&lt;Q45),EDATE(W45,12*2),AND(AI45="K5-LAW",AH45="นิติศาสตร์",U45="S1",X45&gt;=1,W45&lt;Q45),EDATE(W45,12),AND(AI45="K5-LAW",AH45="นิติศาสตร์",OR(U45="S2",U45="K5")),W45,AND(AI45="K5-LAW",AH45="นิติศาสตร์",OR(L45="M2",L45="K4"),R45&gt;=2),EDATE(Q45,12*2),AND(AI45="K5-LAW",AH45="นิติศาสตร์",L45="S1",R45&gt;=1),EDATE(Q45,12),AND(AI45="K5-LAW",AH45="นิติศาสตร์",OR(L45="S2",L45="K5")),Q45,AND(AI45="K5-POLICY",AH45&lt;&gt;"นิติศาสตร์",L45="S2",U45="",AA45=""),Q45,AND(AI45="K5-POLICY",AH45&lt;&gt;"นิติศาสตร์",L45="S1",U45="",AA45=""),EDATE(Q45,12),AND(AI45="K5-POLICY",AH45&lt;&gt;"นิติศาสตร์",OR(L45="M2",L45="K4"),U45="",AA45=""),EDATE(Q45,12*2),AND(AI45="K5-POLICY",AH45&lt;&gt;"นิติศาสตร์",OR(AA45="M2",AA45="K4"),AD45&gt;=2,OR(AC45&lt;W45,AC45&lt;Q45)),EDATE(AC45,12*2),AND(AI45="K5-POLICY",AH45&lt;&gt;"นิติศาสตร์",AA45="S1",AD45&gt;=1,OR(AC45&lt;W45,AC45&lt;Q45)),EDATE(AC45,12),AND(AI45="K5-POLICY",AH45&lt;&gt;"นิติศาสตร์",OR(U45="M2",U45="K4"),X45&gt;=2,W45&lt;Q45),EDATE(W45,12*2),AND(AI45="K5-POLICY",AH45&lt;&gt;"นิติศาสตร์",U45="S1",X45&gt;=1,W45&lt;Q45),EDATE(W45,12),AND(AI45="K5-POLICY",AH45&lt;&gt;"นิติศาสตร์",OR(U45="S2",U45="K5")),W45,AND(AI45="K5-POLICY",AH45&lt;&gt;"นิติศาสตร์",OR(L45="M2",L45="K4"),R45&gt;=2),EDATE(Q45,12*2),AND(AI45="K5-POLICY",AH45&lt;&gt;"นิติศาสตร์",L45="S1",R45&gt;=1),EDATE(Q45,12),AND(AI45="K5-POLICY",AH45&lt;&gt;"นิติศาสตร์",OR(L45="S2",L45="K5")),Q45,TRUE,"Check Data")</f>
        <v/>
      </c>
      <c r="AK45" s="75" t="str">
        <f t="shared" si="15"/>
        <v>Check Data</v>
      </c>
      <c r="AL45" s="76" t="str">
        <f t="shared" si="6"/>
        <v>Check Data</v>
      </c>
      <c r="AM45" s="50" t="str">
        <f t="shared" si="16"/>
        <v>Check Data</v>
      </c>
      <c r="AN45" s="49" t="str">
        <f>IF(B45="","",IF(L45="S1","S1",INDEX(#REF!,#REF!)))</f>
        <v/>
      </c>
      <c r="AO45" s="49" t="str">
        <f t="shared" si="17"/>
        <v>M2</v>
      </c>
      <c r="AP45" s="50" t="b">
        <f>L45=AN45</f>
        <v>0</v>
      </c>
      <c r="AQ45" s="50"/>
    </row>
    <row r="46" spans="1:43" ht="21.75">
      <c r="A46" s="49">
        <v>44</v>
      </c>
      <c r="B46" s="50"/>
      <c r="C46" s="50"/>
      <c r="D46" s="50" t="s">
        <v>144</v>
      </c>
      <c r="E46" s="50" t="e">
        <f>INDEX(#REF!,#REF!)</f>
        <v>#REF!</v>
      </c>
      <c r="F46" s="49" t="s">
        <v>384</v>
      </c>
      <c r="G46" s="49" t="str">
        <f t="shared" si="13"/>
        <v>01/06/1994</v>
      </c>
      <c r="H46" s="50">
        <f t="shared" si="1"/>
        <v>31</v>
      </c>
      <c r="I46" s="50">
        <f t="shared" si="2"/>
        <v>0</v>
      </c>
      <c r="J46" s="50">
        <f t="shared" si="3"/>
        <v>19</v>
      </c>
      <c r="K46" s="57"/>
      <c r="L46" s="49" t="s">
        <v>136</v>
      </c>
      <c r="M46" s="64"/>
      <c r="N46" s="49" t="s">
        <v>425</v>
      </c>
      <c r="O46" s="49">
        <v>2569</v>
      </c>
      <c r="P46" s="65" t="s">
        <v>385</v>
      </c>
      <c r="Q46" s="49" t="str">
        <f t="shared" si="14"/>
        <v>29/09/2020</v>
      </c>
      <c r="R46" s="68">
        <f>IF(Q46="",0,DATEDIF(Q46,$C$1,"Y"))</f>
        <v>4</v>
      </c>
      <c r="S46" s="68">
        <f>IF(Q46="",0,DATEDIF(Q46,$C$1,"YM"))</f>
        <v>8</v>
      </c>
      <c r="T46" s="68">
        <f>IF(Q46="",0,DATEDIF(Q46,$C$1,"MD"))</f>
        <v>22</v>
      </c>
      <c r="U46" s="65"/>
      <c r="V46" s="65"/>
      <c r="W46" s="49" t="str">
        <f t="shared" si="18"/>
        <v/>
      </c>
      <c r="X46" s="68">
        <f>IF(W46="",0,DATEDIF(W46,Q46,"Y"))</f>
        <v>0</v>
      </c>
      <c r="Y46" s="68">
        <f>IF(W46="",0,DATEDIF(W46,Q46,"YM"))</f>
        <v>0</v>
      </c>
      <c r="Z46" s="68">
        <f>IF(W46="",0,DATEDIF(W46,Q46,"MD"))</f>
        <v>0</v>
      </c>
      <c r="AA46" s="49"/>
      <c r="AB46" s="65"/>
      <c r="AC46" s="50" t="str">
        <f t="shared" si="19"/>
        <v/>
      </c>
      <c r="AD46" s="68">
        <f t="shared" si="20"/>
        <v>0</v>
      </c>
      <c r="AE46" s="68">
        <f t="shared" si="21"/>
        <v>0</v>
      </c>
      <c r="AF46" s="68">
        <f t="shared" si="22"/>
        <v>0</v>
      </c>
      <c r="AG46" s="50"/>
      <c r="AH46" s="108" t="s">
        <v>138</v>
      </c>
      <c r="AI46" s="49" t="str">
        <f>IF(AH46="นิติศาสตร์","K5-LAW","K5-POLICY")</f>
        <v>K5-LAW</v>
      </c>
      <c r="AJ46" s="72" t="str">
        <f>_xlfn.IFS(B46="","",AND(AI46="K5-LAW",AH46="นิติศาสตร์",L46="S2",U46="",AA46=""),Q46,AND(AI46="K5-LAW",AH46="นิติศาสตร์",L46="S1",U46="",AA46=""),EDATE(Q46,12),AND(AI46="K5-LAW",AH46="นิติศาสตร์",OR(L46="M2",L46="K4"),U46="",AA46=""),EDATE(Q46,12*2),AND(AI46="K5-LAW",AH46="นิติศาสตร์",OR(AA46="M2",AA46="K4"),AD46&gt;=2,OR(AC46&lt;W46,AC46&lt;Q46)),EDATE(AC46,12*2),AND(AI46="K5-LAW",AH46="นิติศาสตร์",AA46="S1",AD46&gt;=1,OR(AC46&lt;W46,AC46&lt;Q46)),EDATE(AC46,12),AND(AI46="K5-LAW",AH46="นิติศาสตร์",OR(U46="M2",U46="K4"),X46&gt;=2,W46&lt;Q46),EDATE(W46,12*2),AND(AI46="K5-LAW",AH46="นิติศาสตร์",U46="S1",X46&gt;=1,W46&lt;Q46),EDATE(W46,12),AND(AI46="K5-LAW",AH46="นิติศาสตร์",OR(U46="S2",U46="K5")),W46,AND(AI46="K5-LAW",AH46="นิติศาสตร์",OR(L46="M2",L46="K4"),R46&gt;=2),EDATE(Q46,12*2),AND(AI46="K5-LAW",AH46="นิติศาสตร์",L46="S1",R46&gt;=1),EDATE(Q46,12),AND(AI46="K5-LAW",AH46="นิติศาสตร์",OR(L46="S2",L46="K5")),Q46,AND(AI46="K5-POLICY",AH46&lt;&gt;"นิติศาสตร์",L46="S2",U46="",AA46=""),Q46,AND(AI46="K5-POLICY",AH46&lt;&gt;"นิติศาสตร์",L46="S1",U46="",AA46=""),EDATE(Q46,12),AND(AI46="K5-POLICY",AH46&lt;&gt;"นิติศาสตร์",OR(L46="M2",L46="K4"),U46="",AA46=""),EDATE(Q46,12*2),AND(AI46="K5-POLICY",AH46&lt;&gt;"นิติศาสตร์",OR(AA46="M2",AA46="K4"),AD46&gt;=2,OR(AC46&lt;W46,AC46&lt;Q46)),EDATE(AC46,12*2),AND(AI46="K5-POLICY",AH46&lt;&gt;"นิติศาสตร์",AA46="S1",AD46&gt;=1,OR(AC46&lt;W46,AC46&lt;Q46)),EDATE(AC46,12),AND(AI46="K5-POLICY",AH46&lt;&gt;"นิติศาสตร์",OR(U46="M2",U46="K4"),X46&gt;=2,W46&lt;Q46),EDATE(W46,12*2),AND(AI46="K5-POLICY",AH46&lt;&gt;"นิติศาสตร์",U46="S1",X46&gt;=1,W46&lt;Q46),EDATE(W46,12),AND(AI46="K5-POLICY",AH46&lt;&gt;"นิติศาสตร์",OR(U46="S2",U46="K5")),W46,AND(AI46="K5-POLICY",AH46&lt;&gt;"นิติศาสตร์",OR(L46="M2",L46="K4"),R46&gt;=2),EDATE(Q46,12*2),AND(AI46="K5-POLICY",AH46&lt;&gt;"นิติศาสตร์",L46="S1",R46&gt;=1),EDATE(Q46,12),AND(AI46="K5-POLICY",AH46&lt;&gt;"นิติศาสตร์",OR(L46="S2",L46="K5")),Q46,TRUE,"Check Data")</f>
        <v/>
      </c>
      <c r="AK46" s="75" t="str">
        <f t="shared" si="15"/>
        <v>Check Data</v>
      </c>
      <c r="AL46" s="76" t="str">
        <f t="shared" si="6"/>
        <v>Check Data</v>
      </c>
      <c r="AM46" s="50" t="str">
        <f t="shared" si="16"/>
        <v>Check Data</v>
      </c>
      <c r="AN46" s="49" t="str">
        <f>IF(B46="","",IF(L46="S1","S1",INDEX(#REF!,#REF!)))</f>
        <v/>
      </c>
      <c r="AO46" s="49" t="str">
        <f t="shared" si="17"/>
        <v>M2</v>
      </c>
      <c r="AP46" s="50" t="b">
        <f>L46=AN46</f>
        <v>0</v>
      </c>
      <c r="AQ46" s="50"/>
    </row>
    <row r="47" spans="1:43" ht="21.75">
      <c r="A47" s="49">
        <v>45</v>
      </c>
      <c r="B47" s="50"/>
      <c r="C47" s="50"/>
      <c r="D47" s="50" t="s">
        <v>141</v>
      </c>
      <c r="E47" s="50" t="e">
        <f>INDEX(#REF!,#REF!)</f>
        <v>#REF!</v>
      </c>
      <c r="F47" s="49" t="s">
        <v>254</v>
      </c>
      <c r="G47" s="49" t="str">
        <f t="shared" si="13"/>
        <v>13/08/1991</v>
      </c>
      <c r="H47" s="50">
        <f t="shared" si="1"/>
        <v>33</v>
      </c>
      <c r="I47" s="50">
        <f t="shared" si="2"/>
        <v>10</v>
      </c>
      <c r="J47" s="50">
        <f t="shared" si="3"/>
        <v>7</v>
      </c>
      <c r="K47" s="60"/>
      <c r="L47" s="49" t="s">
        <v>136</v>
      </c>
      <c r="M47" s="64"/>
      <c r="N47" s="49" t="s">
        <v>427</v>
      </c>
      <c r="O47" s="49">
        <v>2568</v>
      </c>
      <c r="P47" s="65" t="s">
        <v>252</v>
      </c>
      <c r="Q47" s="49" t="str">
        <f t="shared" si="14"/>
        <v>01/10/2020</v>
      </c>
      <c r="R47" s="68">
        <f>IF(Q47="",0,DATEDIF(Q47,$C$1,"Y"))</f>
        <v>4</v>
      </c>
      <c r="S47" s="68">
        <f>IF(Q47="",0,DATEDIF(Q47,$C$1,"YM"))</f>
        <v>8</v>
      </c>
      <c r="T47" s="68">
        <f>IF(Q47="",0,DATEDIF(Q47,$C$1,"MD"))</f>
        <v>19</v>
      </c>
      <c r="U47" s="65"/>
      <c r="V47" s="65"/>
      <c r="W47" s="49" t="str">
        <f t="shared" si="18"/>
        <v/>
      </c>
      <c r="X47" s="68">
        <f>IF(W47="",0,DATEDIF(W47,Q47,"Y"))</f>
        <v>0</v>
      </c>
      <c r="Y47" s="68">
        <f>IF(W47="",0,DATEDIF(W47,Q47,"YM"))</f>
        <v>0</v>
      </c>
      <c r="Z47" s="68">
        <f>IF(W47="",0,DATEDIF(W47,Q47,"MD"))</f>
        <v>0</v>
      </c>
      <c r="AA47" s="49"/>
      <c r="AB47" s="65"/>
      <c r="AC47" s="50" t="str">
        <f t="shared" si="19"/>
        <v/>
      </c>
      <c r="AD47" s="68">
        <f t="shared" si="20"/>
        <v>0</v>
      </c>
      <c r="AE47" s="68">
        <f t="shared" si="21"/>
        <v>0</v>
      </c>
      <c r="AF47" s="68">
        <f t="shared" si="22"/>
        <v>0</v>
      </c>
      <c r="AG47" s="50"/>
      <c r="AH47" s="108" t="s">
        <v>138</v>
      </c>
      <c r="AI47" s="49" t="str">
        <f>IF(AH47="นิติศาสตร์","K5-LAW","K5-POLICY")</f>
        <v>K5-LAW</v>
      </c>
      <c r="AJ47" s="72" t="str">
        <f>_xlfn.IFS(B47="","",AND(AI47="K5-LAW",AH47="นิติศาสตร์",L47="S2",U47="",AA47=""),Q47,AND(AI47="K5-LAW",AH47="นิติศาสตร์",L47="S1",U47="",AA47=""),EDATE(Q47,12),AND(AI47="K5-LAW",AH47="นิติศาสตร์",OR(L47="M2",L47="K4"),U47="",AA47=""),EDATE(Q47,12*2),AND(AI47="K5-LAW",AH47="นิติศาสตร์",OR(AA47="M2",AA47="K4"),AD47&gt;=2,OR(AC47&lt;W47,AC47&lt;Q47)),EDATE(AC47,12*2),AND(AI47="K5-LAW",AH47="นิติศาสตร์",AA47="S1",AD47&gt;=1,OR(AC47&lt;W47,AC47&lt;Q47)),EDATE(AC47,12),AND(AI47="K5-LAW",AH47="นิติศาสตร์",OR(U47="M2",U47="K4"),X47&gt;=2,W47&lt;Q47),EDATE(W47,12*2),AND(AI47="K5-LAW",AH47="นิติศาสตร์",U47="S1",X47&gt;=1,W47&lt;Q47),EDATE(W47,12),AND(AI47="K5-LAW",AH47="นิติศาสตร์",OR(U47="S2",U47="K5")),W47,AND(AI47="K5-LAW",AH47="นิติศาสตร์",OR(L47="M2",L47="K4"),R47&gt;=2),EDATE(Q47,12*2),AND(AI47="K5-LAW",AH47="นิติศาสตร์",L47="S1",R47&gt;=1),EDATE(Q47,12),AND(AI47="K5-LAW",AH47="นิติศาสตร์",OR(L47="S2",L47="K5")),Q47,AND(AI47="K5-POLICY",AH47&lt;&gt;"นิติศาสตร์",L47="S2",U47="",AA47=""),Q47,AND(AI47="K5-POLICY",AH47&lt;&gt;"นิติศาสตร์",L47="S1",U47="",AA47=""),EDATE(Q47,12),AND(AI47="K5-POLICY",AH47&lt;&gt;"นิติศาสตร์",OR(L47="M2",L47="K4"),U47="",AA47=""),EDATE(Q47,12*2),AND(AI47="K5-POLICY",AH47&lt;&gt;"นิติศาสตร์",OR(AA47="M2",AA47="K4"),AD47&gt;=2,OR(AC47&lt;W47,AC47&lt;Q47)),EDATE(AC47,12*2),AND(AI47="K5-POLICY",AH47&lt;&gt;"นิติศาสตร์",AA47="S1",AD47&gt;=1,OR(AC47&lt;W47,AC47&lt;Q47)),EDATE(AC47,12),AND(AI47="K5-POLICY",AH47&lt;&gt;"นิติศาสตร์",OR(U47="M2",U47="K4"),X47&gt;=2,W47&lt;Q47),EDATE(W47,12*2),AND(AI47="K5-POLICY",AH47&lt;&gt;"นิติศาสตร์",U47="S1",X47&gt;=1,W47&lt;Q47),EDATE(W47,12),AND(AI47="K5-POLICY",AH47&lt;&gt;"นิติศาสตร์",OR(U47="S2",U47="K5")),W47,AND(AI47="K5-POLICY",AH47&lt;&gt;"นิติศาสตร์",OR(L47="M2",L47="K4"),R47&gt;=2),EDATE(Q47,12*2),AND(AI47="K5-POLICY",AH47&lt;&gt;"นิติศาสตร์",L47="S1",R47&gt;=1),EDATE(Q47,12),AND(AI47="K5-POLICY",AH47&lt;&gt;"นิติศาสตร์",OR(L47="S2",L47="K5")),Q47,TRUE,"Check Data")</f>
        <v/>
      </c>
      <c r="AK47" s="75" t="str">
        <f t="shared" si="15"/>
        <v>Check Data</v>
      </c>
      <c r="AL47" s="76" t="str">
        <f t="shared" si="6"/>
        <v>Check Data</v>
      </c>
      <c r="AM47" s="50" t="str">
        <f t="shared" si="16"/>
        <v>Check Data</v>
      </c>
      <c r="AN47" s="49" t="str">
        <f>IF(B47="","",IF(L47="S1","S1",INDEX(#REF!,#REF!)))</f>
        <v/>
      </c>
      <c r="AO47" s="49" t="str">
        <f t="shared" si="17"/>
        <v>M2</v>
      </c>
      <c r="AP47" s="50" t="b">
        <f>L47=AN47</f>
        <v>0</v>
      </c>
      <c r="AQ47" s="50"/>
    </row>
    <row r="48" spans="1:43" ht="21.75">
      <c r="A48" s="49">
        <v>46</v>
      </c>
      <c r="B48" s="50"/>
      <c r="C48" s="50"/>
      <c r="D48" s="50" t="s">
        <v>141</v>
      </c>
      <c r="E48" s="50" t="e">
        <f>INDEX(#REF!,#REF!)</f>
        <v>#REF!</v>
      </c>
      <c r="F48" s="49" t="s">
        <v>251</v>
      </c>
      <c r="G48" s="49" t="str">
        <f t="shared" si="13"/>
        <v>15/08/1997</v>
      </c>
      <c r="H48" s="50">
        <f t="shared" si="1"/>
        <v>27</v>
      </c>
      <c r="I48" s="50">
        <f t="shared" si="2"/>
        <v>10</v>
      </c>
      <c r="J48" s="50">
        <f t="shared" si="3"/>
        <v>5</v>
      </c>
      <c r="K48" s="60"/>
      <c r="L48" s="49" t="s">
        <v>136</v>
      </c>
      <c r="M48" s="64"/>
      <c r="N48" s="49" t="s">
        <v>425</v>
      </c>
      <c r="O48" s="49">
        <v>2575</v>
      </c>
      <c r="P48" s="65" t="s">
        <v>252</v>
      </c>
      <c r="Q48" s="49" t="str">
        <f t="shared" si="14"/>
        <v>01/10/2020</v>
      </c>
      <c r="R48" s="68">
        <f>IF(Q48="",0,DATEDIF(Q48,$C$1,"Y"))</f>
        <v>4</v>
      </c>
      <c r="S48" s="68">
        <f>IF(Q48="",0,DATEDIF(Q48,$C$1,"YM"))</f>
        <v>8</v>
      </c>
      <c r="T48" s="68">
        <f>IF(Q48="",0,DATEDIF(Q48,$C$1,"MD"))</f>
        <v>19</v>
      </c>
      <c r="U48" s="65"/>
      <c r="V48" s="65"/>
      <c r="W48" s="49" t="str">
        <f t="shared" si="18"/>
        <v/>
      </c>
      <c r="X48" s="68">
        <f>IF(W48="",0,DATEDIF(W48,Q48,"Y"))</f>
        <v>0</v>
      </c>
      <c r="Y48" s="68">
        <f>IF(W48="",0,DATEDIF(W48,Q48,"YM"))</f>
        <v>0</v>
      </c>
      <c r="Z48" s="68">
        <f>IF(W48="",0,DATEDIF(W48,Q48,"MD"))</f>
        <v>0</v>
      </c>
      <c r="AA48" s="49"/>
      <c r="AB48" s="65"/>
      <c r="AC48" s="50" t="str">
        <f t="shared" si="19"/>
        <v/>
      </c>
      <c r="AD48" s="68">
        <f t="shared" si="20"/>
        <v>0</v>
      </c>
      <c r="AE48" s="68">
        <f t="shared" si="21"/>
        <v>0</v>
      </c>
      <c r="AF48" s="68">
        <f t="shared" si="22"/>
        <v>0</v>
      </c>
      <c r="AG48" s="50"/>
      <c r="AH48" s="108" t="s">
        <v>138</v>
      </c>
      <c r="AI48" s="49" t="str">
        <f>IF(AH48="นิติศาสตร์","K5-LAW","K5-POLICY")</f>
        <v>K5-LAW</v>
      </c>
      <c r="AJ48" s="72" t="str">
        <f>_xlfn.IFS(B48="","",AND(AI48="K5-LAW",AH48="นิติศาสตร์",L48="S2",U48="",AA48=""),Q48,AND(AI48="K5-LAW",AH48="นิติศาสตร์",L48="S1",U48="",AA48=""),EDATE(Q48,12),AND(AI48="K5-LAW",AH48="นิติศาสตร์",OR(L48="M2",L48="K4"),U48="",AA48=""),EDATE(Q48,12*2),AND(AI48="K5-LAW",AH48="นิติศาสตร์",OR(AA48="M2",AA48="K4"),AD48&gt;=2,OR(AC48&lt;W48,AC48&lt;Q48)),EDATE(AC48,12*2),AND(AI48="K5-LAW",AH48="นิติศาสตร์",AA48="S1",AD48&gt;=1,OR(AC48&lt;W48,AC48&lt;Q48)),EDATE(AC48,12),AND(AI48="K5-LAW",AH48="นิติศาสตร์",OR(U48="M2",U48="K4"),X48&gt;=2,W48&lt;Q48),EDATE(W48,12*2),AND(AI48="K5-LAW",AH48="นิติศาสตร์",U48="S1",X48&gt;=1,W48&lt;Q48),EDATE(W48,12),AND(AI48="K5-LAW",AH48="นิติศาสตร์",OR(U48="S2",U48="K5")),W48,AND(AI48="K5-LAW",AH48="นิติศาสตร์",OR(L48="M2",L48="K4"),R48&gt;=2),EDATE(Q48,12*2),AND(AI48="K5-LAW",AH48="นิติศาสตร์",L48="S1",R48&gt;=1),EDATE(Q48,12),AND(AI48="K5-LAW",AH48="นิติศาสตร์",OR(L48="S2",L48="K5")),Q48,AND(AI48="K5-POLICY",AH48&lt;&gt;"นิติศาสตร์",L48="S2",U48="",AA48=""),Q48,AND(AI48="K5-POLICY",AH48&lt;&gt;"นิติศาสตร์",L48="S1",U48="",AA48=""),EDATE(Q48,12),AND(AI48="K5-POLICY",AH48&lt;&gt;"นิติศาสตร์",OR(L48="M2",L48="K4"),U48="",AA48=""),EDATE(Q48,12*2),AND(AI48="K5-POLICY",AH48&lt;&gt;"นิติศาสตร์",OR(AA48="M2",AA48="K4"),AD48&gt;=2,OR(AC48&lt;W48,AC48&lt;Q48)),EDATE(AC48,12*2),AND(AI48="K5-POLICY",AH48&lt;&gt;"นิติศาสตร์",AA48="S1",AD48&gt;=1,OR(AC48&lt;W48,AC48&lt;Q48)),EDATE(AC48,12),AND(AI48="K5-POLICY",AH48&lt;&gt;"นิติศาสตร์",OR(U48="M2",U48="K4"),X48&gt;=2,W48&lt;Q48),EDATE(W48,12*2),AND(AI48="K5-POLICY",AH48&lt;&gt;"นิติศาสตร์",U48="S1",X48&gt;=1,W48&lt;Q48),EDATE(W48,12),AND(AI48="K5-POLICY",AH48&lt;&gt;"นิติศาสตร์",OR(U48="S2",U48="K5")),W48,AND(AI48="K5-POLICY",AH48&lt;&gt;"นิติศาสตร์",OR(L48="M2",L48="K4"),R48&gt;=2),EDATE(Q48,12*2),AND(AI48="K5-POLICY",AH48&lt;&gt;"นิติศาสตร์",L48="S1",R48&gt;=1),EDATE(Q48,12),AND(AI48="K5-POLICY",AH48&lt;&gt;"นิติศาสตร์",OR(L48="S2",L48="K5")),Q48,TRUE,"Check Data")</f>
        <v/>
      </c>
      <c r="AK48" s="75" t="str">
        <f t="shared" si="15"/>
        <v>Check Data</v>
      </c>
      <c r="AL48" s="76" t="str">
        <f t="shared" si="6"/>
        <v>Check Data</v>
      </c>
      <c r="AM48" s="50" t="str">
        <f t="shared" si="16"/>
        <v>Check Data</v>
      </c>
      <c r="AN48" s="49" t="str">
        <f>IF(B48="","",IF(L48="S1","S1",INDEX(#REF!,#REF!)))</f>
        <v/>
      </c>
      <c r="AO48" s="49" t="str">
        <f t="shared" si="17"/>
        <v>M2</v>
      </c>
      <c r="AP48" s="50" t="b">
        <f>L48=AN48</f>
        <v>0</v>
      </c>
      <c r="AQ48" s="50"/>
    </row>
    <row r="49" spans="1:43" ht="21.75">
      <c r="A49" s="49">
        <v>47</v>
      </c>
      <c r="B49" s="50"/>
      <c r="C49" s="50"/>
      <c r="D49" s="50" t="s">
        <v>142</v>
      </c>
      <c r="E49" s="50" t="e">
        <f>INDEX(#REF!,#REF!)</f>
        <v>#REF!</v>
      </c>
      <c r="F49" s="49" t="s">
        <v>428</v>
      </c>
      <c r="G49" s="49" t="str">
        <f t="shared" si="13"/>
        <v>13/12/1990</v>
      </c>
      <c r="H49" s="50">
        <f t="shared" si="1"/>
        <v>34</v>
      </c>
      <c r="I49" s="50">
        <f t="shared" si="2"/>
        <v>6</v>
      </c>
      <c r="J49" s="50">
        <f t="shared" si="3"/>
        <v>7</v>
      </c>
      <c r="K49" s="58"/>
      <c r="L49" s="49" t="s">
        <v>136</v>
      </c>
      <c r="M49" s="64"/>
      <c r="N49" s="49" t="s">
        <v>425</v>
      </c>
      <c r="O49" s="49">
        <v>2569</v>
      </c>
      <c r="P49" s="65" t="s">
        <v>278</v>
      </c>
      <c r="Q49" s="49" t="str">
        <f t="shared" si="14"/>
        <v>15/10/2020</v>
      </c>
      <c r="R49" s="68">
        <f>IF(Q49="",0,DATEDIF(Q49,$C$1,"Y"))</f>
        <v>4</v>
      </c>
      <c r="S49" s="68">
        <f>IF(Q49="",0,DATEDIF(Q49,$C$1,"YM"))</f>
        <v>8</v>
      </c>
      <c r="T49" s="68">
        <f>IF(Q49="",0,DATEDIF(Q49,$C$1,"MD"))</f>
        <v>5</v>
      </c>
      <c r="U49" s="65"/>
      <c r="V49" s="65"/>
      <c r="W49" s="49" t="str">
        <f t="shared" si="18"/>
        <v/>
      </c>
      <c r="X49" s="68">
        <f>IF(W49="",0,DATEDIF(W49,Q49,"Y"))</f>
        <v>0</v>
      </c>
      <c r="Y49" s="68">
        <f>IF(W49="",0,DATEDIF(W49,Q49,"YM"))</f>
        <v>0</v>
      </c>
      <c r="Z49" s="68">
        <f>IF(W49="",0,DATEDIF(W49,Q49,"MD"))</f>
        <v>0</v>
      </c>
      <c r="AA49" s="49"/>
      <c r="AB49" s="65"/>
      <c r="AC49" s="50" t="str">
        <f t="shared" si="19"/>
        <v/>
      </c>
      <c r="AD49" s="68">
        <f t="shared" si="20"/>
        <v>0</v>
      </c>
      <c r="AE49" s="68">
        <f t="shared" si="21"/>
        <v>0</v>
      </c>
      <c r="AF49" s="68">
        <f t="shared" si="22"/>
        <v>0</v>
      </c>
      <c r="AG49" s="50"/>
      <c r="AH49" s="108" t="s">
        <v>165</v>
      </c>
      <c r="AI49" s="49" t="str">
        <f>IF(AH49="นิติศาสตร์","K5-LAW","K5-POLICY")</f>
        <v>K5-POLICY</v>
      </c>
      <c r="AJ49" s="72" t="str">
        <f>_xlfn.IFS(B49="","",AND(AI49="K5-LAW",AH49="นิติศาสตร์",L49="S2",U49="",AA49=""),Q49,AND(AI49="K5-LAW",AH49="นิติศาสตร์",L49="S1",U49="",AA49=""),EDATE(Q49,12),AND(AI49="K5-LAW",AH49="นิติศาสตร์",OR(L49="M2",L49="K4"),U49="",AA49=""),EDATE(Q49,12*2),AND(AI49="K5-LAW",AH49="นิติศาสตร์",OR(AA49="M2",AA49="K4"),AD49&gt;=2,OR(AC49&lt;W49,AC49&lt;Q49)),EDATE(AC49,12*2),AND(AI49="K5-LAW",AH49="นิติศาสตร์",AA49="S1",AD49&gt;=1,OR(AC49&lt;W49,AC49&lt;Q49)),EDATE(AC49,12),AND(AI49="K5-LAW",AH49="นิติศาสตร์",OR(U49="M2",U49="K4"),X49&gt;=2,W49&lt;Q49),EDATE(W49,12*2),AND(AI49="K5-LAW",AH49="นิติศาสตร์",U49="S1",X49&gt;=1,W49&lt;Q49),EDATE(W49,12),AND(AI49="K5-LAW",AH49="นิติศาสตร์",OR(U49="S2",U49="K5")),W49,AND(AI49="K5-LAW",AH49="นิติศาสตร์",OR(L49="M2",L49="K4"),R49&gt;=2),EDATE(Q49,12*2),AND(AI49="K5-LAW",AH49="นิติศาสตร์",L49="S1",R49&gt;=1),EDATE(Q49,12),AND(AI49="K5-LAW",AH49="นิติศาสตร์",OR(L49="S2",L49="K5")),Q49,AND(AI49="K5-POLICY",AH49&lt;&gt;"นิติศาสตร์",L49="S2",U49="",AA49=""),Q49,AND(AI49="K5-POLICY",AH49&lt;&gt;"นิติศาสตร์",L49="S1",U49="",AA49=""),EDATE(Q49,12),AND(AI49="K5-POLICY",AH49&lt;&gt;"นิติศาสตร์",OR(L49="M2",L49="K4"),U49="",AA49=""),EDATE(Q49,12*2),AND(AI49="K5-POLICY",AH49&lt;&gt;"นิติศาสตร์",OR(AA49="M2",AA49="K4"),AD49&gt;=2,OR(AC49&lt;W49,AC49&lt;Q49)),EDATE(AC49,12*2),AND(AI49="K5-POLICY",AH49&lt;&gt;"นิติศาสตร์",AA49="S1",AD49&gt;=1,OR(AC49&lt;W49,AC49&lt;Q49)),EDATE(AC49,12),AND(AI49="K5-POLICY",AH49&lt;&gt;"นิติศาสตร์",OR(U49="M2",U49="K4"),X49&gt;=2,W49&lt;Q49),EDATE(W49,12*2),AND(AI49="K5-POLICY",AH49&lt;&gt;"นิติศาสตร์",U49="S1",X49&gt;=1,W49&lt;Q49),EDATE(W49,12),AND(AI49="K5-POLICY",AH49&lt;&gt;"นิติศาสตร์",OR(U49="S2",U49="K5")),W49,AND(AI49="K5-POLICY",AH49&lt;&gt;"นิติศาสตร์",OR(L49="M2",L49="K4"),R49&gt;=2),EDATE(Q49,12*2),AND(AI49="K5-POLICY",AH49&lt;&gt;"นิติศาสตร์",L49="S1",R49&gt;=1),EDATE(Q49,12),AND(AI49="K5-POLICY",AH49&lt;&gt;"นิติศาสตร์",OR(L49="S2",L49="K5")),Q49,TRUE,"Check Data")</f>
        <v/>
      </c>
      <c r="AK49" s="75" t="str">
        <f t="shared" si="15"/>
        <v>Check Data</v>
      </c>
      <c r="AL49" s="76" t="str">
        <f t="shared" si="6"/>
        <v>Check Data</v>
      </c>
      <c r="AM49" s="50" t="str">
        <f t="shared" si="16"/>
        <v>Check Data</v>
      </c>
      <c r="AN49" s="49" t="str">
        <f>IF(B49="","",IF(L49="S1","S1",INDEX(#REF!,#REF!)))</f>
        <v/>
      </c>
      <c r="AO49" s="49" t="str">
        <f t="shared" si="17"/>
        <v>M2</v>
      </c>
      <c r="AP49" s="50" t="b">
        <f>L49=AN49</f>
        <v>0</v>
      </c>
      <c r="AQ49" s="50"/>
    </row>
    <row r="50" spans="1:43" ht="21.75">
      <c r="A50" s="49">
        <v>48</v>
      </c>
      <c r="B50" s="50"/>
      <c r="C50" s="50"/>
      <c r="D50" s="50" t="s">
        <v>143</v>
      </c>
      <c r="E50" s="50" t="e">
        <f>INDEX(#REF!,#REF!)</f>
        <v>#REF!</v>
      </c>
      <c r="F50" s="49" t="s">
        <v>307</v>
      </c>
      <c r="G50" s="49" t="str">
        <f t="shared" si="13"/>
        <v>05/03/1992</v>
      </c>
      <c r="H50" s="50">
        <f t="shared" si="1"/>
        <v>33</v>
      </c>
      <c r="I50" s="50">
        <f t="shared" si="2"/>
        <v>3</v>
      </c>
      <c r="J50" s="50">
        <f t="shared" si="3"/>
        <v>15</v>
      </c>
      <c r="K50" s="59"/>
      <c r="L50" s="49" t="s">
        <v>136</v>
      </c>
      <c r="M50" s="64"/>
      <c r="N50" s="49" t="s">
        <v>425</v>
      </c>
      <c r="O50" s="49">
        <v>2569</v>
      </c>
      <c r="P50" s="65" t="s">
        <v>287</v>
      </c>
      <c r="Q50" s="49" t="str">
        <f t="shared" si="14"/>
        <v>29/10/2020</v>
      </c>
      <c r="R50" s="68">
        <f>IF(Q50="",0,DATEDIF(Q50,$C$1,"Y"))</f>
        <v>4</v>
      </c>
      <c r="S50" s="68">
        <f>IF(Q50="",0,DATEDIF(Q50,$C$1,"YM"))</f>
        <v>7</v>
      </c>
      <c r="T50" s="68">
        <f>IF(Q50="",0,DATEDIF(Q50,$C$1,"MD"))</f>
        <v>22</v>
      </c>
      <c r="U50" s="65"/>
      <c r="V50" s="65"/>
      <c r="W50" s="49" t="str">
        <f t="shared" si="18"/>
        <v/>
      </c>
      <c r="X50" s="68">
        <f>IF(W50="",0,DATEDIF(W50,Q50,"Y"))</f>
        <v>0</v>
      </c>
      <c r="Y50" s="68">
        <f>IF(W50="",0,DATEDIF(W50,Q50,"YM"))</f>
        <v>0</v>
      </c>
      <c r="Z50" s="68">
        <f>IF(W50="",0,DATEDIF(W50,Q50,"MD"))</f>
        <v>0</v>
      </c>
      <c r="AA50" s="49"/>
      <c r="AB50" s="65"/>
      <c r="AC50" s="50" t="str">
        <f t="shared" si="19"/>
        <v/>
      </c>
      <c r="AD50" s="68">
        <f t="shared" si="20"/>
        <v>0</v>
      </c>
      <c r="AE50" s="68">
        <f t="shared" si="21"/>
        <v>0</v>
      </c>
      <c r="AF50" s="68">
        <f t="shared" si="22"/>
        <v>0</v>
      </c>
      <c r="AG50" s="50"/>
      <c r="AH50" s="108" t="s">
        <v>486</v>
      </c>
      <c r="AI50" s="49" t="str">
        <f>IF(AH50="นิติศาสตร์","K5-LAW","K5-POLICY")</f>
        <v>K5-POLICY</v>
      </c>
      <c r="AJ50" s="72" t="str">
        <f>_xlfn.IFS(B50="","",AND(AI50="K5-LAW",AH50="นิติศาสตร์",L50="S2",U50="",AA50=""),Q50,AND(AI50="K5-LAW",AH50="นิติศาสตร์",L50="S1",U50="",AA50=""),EDATE(Q50,12),AND(AI50="K5-LAW",AH50="นิติศาสตร์",OR(L50="M2",L50="K4"),U50="",AA50=""),EDATE(Q50,12*2),AND(AI50="K5-LAW",AH50="นิติศาสตร์",OR(AA50="M2",AA50="K4"),AD50&gt;=2,OR(AC50&lt;W50,AC50&lt;Q50)),EDATE(AC50,12*2),AND(AI50="K5-LAW",AH50="นิติศาสตร์",AA50="S1",AD50&gt;=1,OR(AC50&lt;W50,AC50&lt;Q50)),EDATE(AC50,12),AND(AI50="K5-LAW",AH50="นิติศาสตร์",OR(U50="M2",U50="K4"),X50&gt;=2,W50&lt;Q50),EDATE(W50,12*2),AND(AI50="K5-LAW",AH50="นิติศาสตร์",U50="S1",X50&gt;=1,W50&lt;Q50),EDATE(W50,12),AND(AI50="K5-LAW",AH50="นิติศาสตร์",OR(U50="S2",U50="K5")),W50,AND(AI50="K5-LAW",AH50="นิติศาสตร์",OR(L50="M2",L50="K4"),R50&gt;=2),EDATE(Q50,12*2),AND(AI50="K5-LAW",AH50="นิติศาสตร์",L50="S1",R50&gt;=1),EDATE(Q50,12),AND(AI50="K5-LAW",AH50="นิติศาสตร์",OR(L50="S2",L50="K5")),Q50,AND(AI50="K5-POLICY",AH50&lt;&gt;"นิติศาสตร์",L50="S2",U50="",AA50=""),Q50,AND(AI50="K5-POLICY",AH50&lt;&gt;"นิติศาสตร์",L50="S1",U50="",AA50=""),EDATE(Q50,12),AND(AI50="K5-POLICY",AH50&lt;&gt;"นิติศาสตร์",OR(L50="M2",L50="K4"),U50="",AA50=""),EDATE(Q50,12*2),AND(AI50="K5-POLICY",AH50&lt;&gt;"นิติศาสตร์",OR(AA50="M2",AA50="K4"),AD50&gt;=2,OR(AC50&lt;W50,AC50&lt;Q50)),EDATE(AC50,12*2),AND(AI50="K5-POLICY",AH50&lt;&gt;"นิติศาสตร์",AA50="S1",AD50&gt;=1,OR(AC50&lt;W50,AC50&lt;Q50)),EDATE(AC50,12),AND(AI50="K5-POLICY",AH50&lt;&gt;"นิติศาสตร์",OR(U50="M2",U50="K4"),X50&gt;=2,W50&lt;Q50),EDATE(W50,12*2),AND(AI50="K5-POLICY",AH50&lt;&gt;"นิติศาสตร์",U50="S1",X50&gt;=1,W50&lt;Q50),EDATE(W50,12),AND(AI50="K5-POLICY",AH50&lt;&gt;"นิติศาสตร์",OR(U50="S2",U50="K5")),W50,AND(AI50="K5-POLICY",AH50&lt;&gt;"นิติศาสตร์",OR(L50="M2",L50="K4"),R50&gt;=2),EDATE(Q50,12*2),AND(AI50="K5-POLICY",AH50&lt;&gt;"นิติศาสตร์",L50="S1",R50&gt;=1),EDATE(Q50,12),AND(AI50="K5-POLICY",AH50&lt;&gt;"นิติศาสตร์",OR(L50="S2",L50="K5")),Q50,TRUE,"Check Data")</f>
        <v/>
      </c>
      <c r="AK50" s="75" t="str">
        <f t="shared" si="15"/>
        <v>Check Data</v>
      </c>
      <c r="AL50" s="76" t="str">
        <f t="shared" si="6"/>
        <v>Check Data</v>
      </c>
      <c r="AM50" s="50" t="str">
        <f t="shared" si="16"/>
        <v>Check Data</v>
      </c>
      <c r="AN50" s="49" t="str">
        <f>IF(B50="","",IF(L50="S1","S1",INDEX(#REF!,#REF!)))</f>
        <v/>
      </c>
      <c r="AO50" s="49" t="str">
        <f t="shared" si="17"/>
        <v>M2</v>
      </c>
      <c r="AP50" s="50" t="b">
        <f>L50=AN50</f>
        <v>0</v>
      </c>
      <c r="AQ50" s="50"/>
    </row>
    <row r="51" spans="1:43" ht="21.75">
      <c r="A51" s="49">
        <v>49</v>
      </c>
      <c r="B51" s="50"/>
      <c r="C51" s="50"/>
      <c r="D51" s="50" t="s">
        <v>143</v>
      </c>
      <c r="E51" s="50" t="e">
        <f>INDEX(#REF!,#REF!)</f>
        <v>#REF!</v>
      </c>
      <c r="F51" s="49" t="s">
        <v>359</v>
      </c>
      <c r="G51" s="49" t="str">
        <f t="shared" si="13"/>
        <v>06/01/1992</v>
      </c>
      <c r="H51" s="50">
        <f t="shared" si="1"/>
        <v>33</v>
      </c>
      <c r="I51" s="50">
        <f t="shared" si="2"/>
        <v>5</v>
      </c>
      <c r="J51" s="50">
        <f t="shared" si="3"/>
        <v>14</v>
      </c>
      <c r="K51" s="58"/>
      <c r="L51" s="49" t="s">
        <v>136</v>
      </c>
      <c r="M51" s="64"/>
      <c r="N51" s="49" t="s">
        <v>427</v>
      </c>
      <c r="O51" s="49">
        <v>2571</v>
      </c>
      <c r="P51" s="65" t="s">
        <v>287</v>
      </c>
      <c r="Q51" s="49" t="str">
        <f t="shared" si="14"/>
        <v>29/10/2020</v>
      </c>
      <c r="R51" s="68">
        <f>IF(Q51="",0,DATEDIF(Q51,$C$1,"Y"))</f>
        <v>4</v>
      </c>
      <c r="S51" s="68">
        <f>IF(Q51="",0,DATEDIF(Q51,$C$1,"YM"))</f>
        <v>7</v>
      </c>
      <c r="T51" s="68">
        <f>IF(Q51="",0,DATEDIF(Q51,$C$1,"MD"))</f>
        <v>22</v>
      </c>
      <c r="U51" s="65"/>
      <c r="V51" s="65"/>
      <c r="W51" s="49" t="str">
        <f t="shared" si="18"/>
        <v/>
      </c>
      <c r="X51" s="68">
        <f>IF(W51="",0,DATEDIF(W51,Q51,"Y"))</f>
        <v>0</v>
      </c>
      <c r="Y51" s="68">
        <f>IF(W51="",0,DATEDIF(W51,Q51,"YM"))</f>
        <v>0</v>
      </c>
      <c r="Z51" s="68">
        <f>IF(W51="",0,DATEDIF(W51,Q51,"MD"))</f>
        <v>0</v>
      </c>
      <c r="AA51" s="49"/>
      <c r="AB51" s="65"/>
      <c r="AC51" s="50" t="str">
        <f t="shared" si="19"/>
        <v/>
      </c>
      <c r="AD51" s="68">
        <f t="shared" si="20"/>
        <v>0</v>
      </c>
      <c r="AE51" s="68">
        <f t="shared" si="21"/>
        <v>0</v>
      </c>
      <c r="AF51" s="68">
        <f t="shared" si="22"/>
        <v>0</v>
      </c>
      <c r="AG51" s="50"/>
      <c r="AH51" s="108" t="s">
        <v>172</v>
      </c>
      <c r="AI51" s="49" t="str">
        <f>IF(AH51="นิติศาสตร์","K5-LAW","K5-POLICY")</f>
        <v>K5-POLICY</v>
      </c>
      <c r="AJ51" s="72" t="str">
        <f>_xlfn.IFS(B51="","",AND(AI51="K5-LAW",AH51="นิติศาสตร์",L51="S2",U51="",AA51=""),Q51,AND(AI51="K5-LAW",AH51="นิติศาสตร์",L51="S1",U51="",AA51=""),EDATE(Q51,12),AND(AI51="K5-LAW",AH51="นิติศาสตร์",OR(L51="M2",L51="K4"),U51="",AA51=""),EDATE(Q51,12*2),AND(AI51="K5-LAW",AH51="นิติศาสตร์",OR(AA51="M2",AA51="K4"),AD51&gt;=2,OR(AC51&lt;W51,AC51&lt;Q51)),EDATE(AC51,12*2),AND(AI51="K5-LAW",AH51="นิติศาสตร์",AA51="S1",AD51&gt;=1,OR(AC51&lt;W51,AC51&lt;Q51)),EDATE(AC51,12),AND(AI51="K5-LAW",AH51="นิติศาสตร์",OR(U51="M2",U51="K4"),X51&gt;=2,W51&lt;Q51),EDATE(W51,12*2),AND(AI51="K5-LAW",AH51="นิติศาสตร์",U51="S1",X51&gt;=1,W51&lt;Q51),EDATE(W51,12),AND(AI51="K5-LAW",AH51="นิติศาสตร์",OR(U51="S2",U51="K5")),W51,AND(AI51="K5-LAW",AH51="นิติศาสตร์",OR(L51="M2",L51="K4"),R51&gt;=2),EDATE(Q51,12*2),AND(AI51="K5-LAW",AH51="นิติศาสตร์",L51="S1",R51&gt;=1),EDATE(Q51,12),AND(AI51="K5-LAW",AH51="นิติศาสตร์",OR(L51="S2",L51="K5")),Q51,AND(AI51="K5-POLICY",AH51&lt;&gt;"นิติศาสตร์",L51="S2",U51="",AA51=""),Q51,AND(AI51="K5-POLICY",AH51&lt;&gt;"นิติศาสตร์",L51="S1",U51="",AA51=""),EDATE(Q51,12),AND(AI51="K5-POLICY",AH51&lt;&gt;"นิติศาสตร์",OR(L51="M2",L51="K4"),U51="",AA51=""),EDATE(Q51,12*2),AND(AI51="K5-POLICY",AH51&lt;&gt;"นิติศาสตร์",OR(AA51="M2",AA51="K4"),AD51&gt;=2,OR(AC51&lt;W51,AC51&lt;Q51)),EDATE(AC51,12*2),AND(AI51="K5-POLICY",AH51&lt;&gt;"นิติศาสตร์",AA51="S1",AD51&gt;=1,OR(AC51&lt;W51,AC51&lt;Q51)),EDATE(AC51,12),AND(AI51="K5-POLICY",AH51&lt;&gt;"นิติศาสตร์",OR(U51="M2",U51="K4"),X51&gt;=2,W51&lt;Q51),EDATE(W51,12*2),AND(AI51="K5-POLICY",AH51&lt;&gt;"นิติศาสตร์",U51="S1",X51&gt;=1,W51&lt;Q51),EDATE(W51,12),AND(AI51="K5-POLICY",AH51&lt;&gt;"นิติศาสตร์",OR(U51="S2",U51="K5")),W51,AND(AI51="K5-POLICY",AH51&lt;&gt;"นิติศาสตร์",OR(L51="M2",L51="K4"),R51&gt;=2),EDATE(Q51,12*2),AND(AI51="K5-POLICY",AH51&lt;&gt;"นิติศาสตร์",L51="S1",R51&gt;=1),EDATE(Q51,12),AND(AI51="K5-POLICY",AH51&lt;&gt;"นิติศาสตร์",OR(L51="S2",L51="K5")),Q51,TRUE,"Check Data")</f>
        <v/>
      </c>
      <c r="AK51" s="75" t="str">
        <f t="shared" si="15"/>
        <v>Check Data</v>
      </c>
      <c r="AL51" s="76" t="str">
        <f t="shared" si="6"/>
        <v>Check Data</v>
      </c>
      <c r="AM51" s="50" t="str">
        <f t="shared" si="16"/>
        <v>Check Data</v>
      </c>
      <c r="AN51" s="49" t="str">
        <f>IF(B51="","",IF(L51="S1","S1",INDEX(#REF!,#REF!)))</f>
        <v/>
      </c>
      <c r="AO51" s="49" t="str">
        <f t="shared" si="17"/>
        <v>M2</v>
      </c>
      <c r="AP51" s="50" t="b">
        <f>L51=AN51</f>
        <v>0</v>
      </c>
      <c r="AQ51" s="50"/>
    </row>
    <row r="52" spans="1:43" ht="21.75">
      <c r="A52" s="49">
        <v>50</v>
      </c>
      <c r="B52" s="50"/>
      <c r="C52" s="50"/>
      <c r="D52" s="50" t="s">
        <v>143</v>
      </c>
      <c r="E52" s="50" t="e">
        <f>INDEX(#REF!,#REF!)</f>
        <v>#REF!</v>
      </c>
      <c r="F52" s="49" t="s">
        <v>300</v>
      </c>
      <c r="G52" s="49" t="str">
        <f t="shared" si="13"/>
        <v>22/11/1993</v>
      </c>
      <c r="H52" s="50">
        <f t="shared" si="1"/>
        <v>31</v>
      </c>
      <c r="I52" s="50">
        <f t="shared" si="2"/>
        <v>6</v>
      </c>
      <c r="J52" s="50">
        <f t="shared" si="3"/>
        <v>29</v>
      </c>
      <c r="K52" s="59"/>
      <c r="L52" s="49" t="s">
        <v>136</v>
      </c>
      <c r="M52" s="64"/>
      <c r="N52" s="49" t="s">
        <v>425</v>
      </c>
      <c r="O52" s="49">
        <v>2568</v>
      </c>
      <c r="P52" s="65" t="s">
        <v>287</v>
      </c>
      <c r="Q52" s="49" t="str">
        <f t="shared" si="14"/>
        <v>29/10/2020</v>
      </c>
      <c r="R52" s="68">
        <f>IF(Q52="",0,DATEDIF(Q52,$C$1,"Y"))</f>
        <v>4</v>
      </c>
      <c r="S52" s="68">
        <f>IF(Q52="",0,DATEDIF(Q52,$C$1,"YM"))</f>
        <v>7</v>
      </c>
      <c r="T52" s="68">
        <f>IF(Q52="",0,DATEDIF(Q52,$C$1,"MD"))</f>
        <v>22</v>
      </c>
      <c r="U52" s="65"/>
      <c r="V52" s="65"/>
      <c r="W52" s="49" t="str">
        <f t="shared" si="18"/>
        <v/>
      </c>
      <c r="X52" s="68">
        <f>IF(W52="",0,DATEDIF(W52,Q52,"Y"))</f>
        <v>0</v>
      </c>
      <c r="Y52" s="68">
        <f>IF(W52="",0,DATEDIF(W52,Q52,"YM"))</f>
        <v>0</v>
      </c>
      <c r="Z52" s="68">
        <f>IF(W52="",0,DATEDIF(W52,Q52,"MD"))</f>
        <v>0</v>
      </c>
      <c r="AA52" s="49"/>
      <c r="AB52" s="65"/>
      <c r="AC52" s="50" t="str">
        <f t="shared" si="19"/>
        <v/>
      </c>
      <c r="AD52" s="68">
        <f t="shared" si="20"/>
        <v>0</v>
      </c>
      <c r="AE52" s="68">
        <f t="shared" si="21"/>
        <v>0</v>
      </c>
      <c r="AF52" s="68">
        <f t="shared" si="22"/>
        <v>0</v>
      </c>
      <c r="AG52" s="50"/>
      <c r="AH52" s="108" t="s">
        <v>486</v>
      </c>
      <c r="AI52" s="49" t="str">
        <f>IF(AH52="นิติศาสตร์","K5-LAW","K5-POLICY")</f>
        <v>K5-POLICY</v>
      </c>
      <c r="AJ52" s="72" t="str">
        <f>_xlfn.IFS(B52="","",AND(AI52="K5-LAW",AH52="นิติศาสตร์",L52="S2",U52="",AA52=""),Q52,AND(AI52="K5-LAW",AH52="นิติศาสตร์",L52="S1",U52="",AA52=""),EDATE(Q52,12),AND(AI52="K5-LAW",AH52="นิติศาสตร์",OR(L52="M2",L52="K4"),U52="",AA52=""),EDATE(Q52,12*2),AND(AI52="K5-LAW",AH52="นิติศาสตร์",OR(AA52="M2",AA52="K4"),AD52&gt;=2,OR(AC52&lt;W52,AC52&lt;Q52)),EDATE(AC52,12*2),AND(AI52="K5-LAW",AH52="นิติศาสตร์",AA52="S1",AD52&gt;=1,OR(AC52&lt;W52,AC52&lt;Q52)),EDATE(AC52,12),AND(AI52="K5-LAW",AH52="นิติศาสตร์",OR(U52="M2",U52="K4"),X52&gt;=2,W52&lt;Q52),EDATE(W52,12*2),AND(AI52="K5-LAW",AH52="นิติศาสตร์",U52="S1",X52&gt;=1,W52&lt;Q52),EDATE(W52,12),AND(AI52="K5-LAW",AH52="นิติศาสตร์",OR(U52="S2",U52="K5")),W52,AND(AI52="K5-LAW",AH52="นิติศาสตร์",OR(L52="M2",L52="K4"),R52&gt;=2),EDATE(Q52,12*2),AND(AI52="K5-LAW",AH52="นิติศาสตร์",L52="S1",R52&gt;=1),EDATE(Q52,12),AND(AI52="K5-LAW",AH52="นิติศาสตร์",OR(L52="S2",L52="K5")),Q52,AND(AI52="K5-POLICY",AH52&lt;&gt;"นิติศาสตร์",L52="S2",U52="",AA52=""),Q52,AND(AI52="K5-POLICY",AH52&lt;&gt;"นิติศาสตร์",L52="S1",U52="",AA52=""),EDATE(Q52,12),AND(AI52="K5-POLICY",AH52&lt;&gt;"นิติศาสตร์",OR(L52="M2",L52="K4"),U52="",AA52=""),EDATE(Q52,12*2),AND(AI52="K5-POLICY",AH52&lt;&gt;"นิติศาสตร์",OR(AA52="M2",AA52="K4"),AD52&gt;=2,OR(AC52&lt;W52,AC52&lt;Q52)),EDATE(AC52,12*2),AND(AI52="K5-POLICY",AH52&lt;&gt;"นิติศาสตร์",AA52="S1",AD52&gt;=1,OR(AC52&lt;W52,AC52&lt;Q52)),EDATE(AC52,12),AND(AI52="K5-POLICY",AH52&lt;&gt;"นิติศาสตร์",OR(U52="M2",U52="K4"),X52&gt;=2,W52&lt;Q52),EDATE(W52,12*2),AND(AI52="K5-POLICY",AH52&lt;&gt;"นิติศาสตร์",U52="S1",X52&gt;=1,W52&lt;Q52),EDATE(W52,12),AND(AI52="K5-POLICY",AH52&lt;&gt;"นิติศาสตร์",OR(U52="S2",U52="K5")),W52,AND(AI52="K5-POLICY",AH52&lt;&gt;"นิติศาสตร์",OR(L52="M2",L52="K4"),R52&gt;=2),EDATE(Q52,12*2),AND(AI52="K5-POLICY",AH52&lt;&gt;"นิติศาสตร์",L52="S1",R52&gt;=1),EDATE(Q52,12),AND(AI52="K5-POLICY",AH52&lt;&gt;"นิติศาสตร์",OR(L52="S2",L52="K5")),Q52,TRUE,"Check Data")</f>
        <v/>
      </c>
      <c r="AK52" s="75" t="str">
        <f t="shared" si="15"/>
        <v>Check Data</v>
      </c>
      <c r="AL52" s="76" t="str">
        <f t="shared" si="6"/>
        <v>Check Data</v>
      </c>
      <c r="AM52" s="50" t="str">
        <f t="shared" si="16"/>
        <v>Check Data</v>
      </c>
      <c r="AN52" s="49" t="str">
        <f>IF(B52="","",IF(L52="S1","S1",INDEX(#REF!,#REF!)))</f>
        <v/>
      </c>
      <c r="AO52" s="49" t="str">
        <f t="shared" si="17"/>
        <v>M2</v>
      </c>
      <c r="AP52" s="50" t="b">
        <f>L52=AN52</f>
        <v>0</v>
      </c>
      <c r="AQ52" s="50"/>
    </row>
    <row r="53" spans="1:43" ht="21.75">
      <c r="A53" s="49">
        <v>51</v>
      </c>
      <c r="B53" s="50"/>
      <c r="C53" s="50"/>
      <c r="D53" s="50" t="s">
        <v>143</v>
      </c>
      <c r="E53" s="50" t="e">
        <f>INDEX(#REF!,#REF!)</f>
        <v>#REF!</v>
      </c>
      <c r="F53" s="49" t="s">
        <v>358</v>
      </c>
      <c r="G53" s="49" t="str">
        <f t="shared" si="13"/>
        <v>16/01/1991</v>
      </c>
      <c r="H53" s="50">
        <f t="shared" si="1"/>
        <v>34</v>
      </c>
      <c r="I53" s="50">
        <f t="shared" si="2"/>
        <v>5</v>
      </c>
      <c r="J53" s="50">
        <f t="shared" si="3"/>
        <v>4</v>
      </c>
      <c r="K53" s="59"/>
      <c r="L53" s="49" t="s">
        <v>136</v>
      </c>
      <c r="M53" s="64"/>
      <c r="N53" s="49" t="s">
        <v>425</v>
      </c>
      <c r="O53" s="49">
        <v>2569</v>
      </c>
      <c r="P53" s="65" t="s">
        <v>287</v>
      </c>
      <c r="Q53" s="49" t="str">
        <f t="shared" si="14"/>
        <v>29/10/2020</v>
      </c>
      <c r="R53" s="68">
        <f>IF(Q53="",0,DATEDIF(Q53,$C$1,"Y"))</f>
        <v>4</v>
      </c>
      <c r="S53" s="68">
        <f>IF(Q53="",0,DATEDIF(Q53,$C$1,"YM"))</f>
        <v>7</v>
      </c>
      <c r="T53" s="68">
        <f>IF(Q53="",0,DATEDIF(Q53,$C$1,"MD"))</f>
        <v>22</v>
      </c>
      <c r="U53" s="65"/>
      <c r="V53" s="65"/>
      <c r="W53" s="49" t="str">
        <f t="shared" si="18"/>
        <v/>
      </c>
      <c r="X53" s="68">
        <f>IF(W53="",0,DATEDIF(W53,Q53,"Y"))</f>
        <v>0</v>
      </c>
      <c r="Y53" s="68">
        <f>IF(W53="",0,DATEDIF(W53,Q53,"YM"))</f>
        <v>0</v>
      </c>
      <c r="Z53" s="68">
        <f>IF(W53="",0,DATEDIF(W53,Q53,"MD"))</f>
        <v>0</v>
      </c>
      <c r="AA53" s="49"/>
      <c r="AB53" s="65"/>
      <c r="AC53" s="50" t="str">
        <f t="shared" si="19"/>
        <v/>
      </c>
      <c r="AD53" s="68">
        <f t="shared" si="20"/>
        <v>0</v>
      </c>
      <c r="AE53" s="68">
        <f t="shared" si="21"/>
        <v>0</v>
      </c>
      <c r="AF53" s="68">
        <f t="shared" si="22"/>
        <v>0</v>
      </c>
      <c r="AG53" s="50"/>
      <c r="AH53" s="108" t="s">
        <v>167</v>
      </c>
      <c r="AI53" s="49" t="str">
        <f>IF(AH53="นิติศาสตร์","K5-LAW","K5-POLICY")</f>
        <v>K5-POLICY</v>
      </c>
      <c r="AJ53" s="72" t="str">
        <f>_xlfn.IFS(B53="","",AND(AI53="K5-LAW",AH53="นิติศาสตร์",L53="S2",U53="",AA53=""),Q53,AND(AI53="K5-LAW",AH53="นิติศาสตร์",L53="S1",U53="",AA53=""),EDATE(Q53,12),AND(AI53="K5-LAW",AH53="นิติศาสตร์",OR(L53="M2",L53="K4"),U53="",AA53=""),EDATE(Q53,12*2),AND(AI53="K5-LAW",AH53="นิติศาสตร์",OR(AA53="M2",AA53="K4"),AD53&gt;=2,OR(AC53&lt;W53,AC53&lt;Q53)),EDATE(AC53,12*2),AND(AI53="K5-LAW",AH53="นิติศาสตร์",AA53="S1",AD53&gt;=1,OR(AC53&lt;W53,AC53&lt;Q53)),EDATE(AC53,12),AND(AI53="K5-LAW",AH53="นิติศาสตร์",OR(U53="M2",U53="K4"),X53&gt;=2,W53&lt;Q53),EDATE(W53,12*2),AND(AI53="K5-LAW",AH53="นิติศาสตร์",U53="S1",X53&gt;=1,W53&lt;Q53),EDATE(W53,12),AND(AI53="K5-LAW",AH53="นิติศาสตร์",OR(U53="S2",U53="K5")),W53,AND(AI53="K5-LAW",AH53="นิติศาสตร์",OR(L53="M2",L53="K4"),R53&gt;=2),EDATE(Q53,12*2),AND(AI53="K5-LAW",AH53="นิติศาสตร์",L53="S1",R53&gt;=1),EDATE(Q53,12),AND(AI53="K5-LAW",AH53="นิติศาสตร์",OR(L53="S2",L53="K5")),Q53,AND(AI53="K5-POLICY",AH53&lt;&gt;"นิติศาสตร์",L53="S2",U53="",AA53=""),Q53,AND(AI53="K5-POLICY",AH53&lt;&gt;"นิติศาสตร์",L53="S1",U53="",AA53=""),EDATE(Q53,12),AND(AI53="K5-POLICY",AH53&lt;&gt;"นิติศาสตร์",OR(L53="M2",L53="K4"),U53="",AA53=""),EDATE(Q53,12*2),AND(AI53="K5-POLICY",AH53&lt;&gt;"นิติศาสตร์",OR(AA53="M2",AA53="K4"),AD53&gt;=2,OR(AC53&lt;W53,AC53&lt;Q53)),EDATE(AC53,12*2),AND(AI53="K5-POLICY",AH53&lt;&gt;"นิติศาสตร์",AA53="S1",AD53&gt;=1,OR(AC53&lt;W53,AC53&lt;Q53)),EDATE(AC53,12),AND(AI53="K5-POLICY",AH53&lt;&gt;"นิติศาสตร์",OR(U53="M2",U53="K4"),X53&gt;=2,W53&lt;Q53),EDATE(W53,12*2),AND(AI53="K5-POLICY",AH53&lt;&gt;"นิติศาสตร์",U53="S1",X53&gt;=1,W53&lt;Q53),EDATE(W53,12),AND(AI53="K5-POLICY",AH53&lt;&gt;"นิติศาสตร์",OR(U53="S2",U53="K5")),W53,AND(AI53="K5-POLICY",AH53&lt;&gt;"นิติศาสตร์",OR(L53="M2",L53="K4"),R53&gt;=2),EDATE(Q53,12*2),AND(AI53="K5-POLICY",AH53&lt;&gt;"นิติศาสตร์",L53="S1",R53&gt;=1),EDATE(Q53,12),AND(AI53="K5-POLICY",AH53&lt;&gt;"นิติศาสตร์",OR(L53="S2",L53="K5")),Q53,TRUE,"Check Data")</f>
        <v/>
      </c>
      <c r="AK53" s="75" t="str">
        <f t="shared" si="15"/>
        <v>Check Data</v>
      </c>
      <c r="AL53" s="76" t="str">
        <f t="shared" si="6"/>
        <v>Check Data</v>
      </c>
      <c r="AM53" s="50" t="str">
        <f t="shared" si="16"/>
        <v>Check Data</v>
      </c>
      <c r="AN53" s="49" t="str">
        <f>IF(B53="","",IF(L53="S1","S1",INDEX(#REF!,#REF!)))</f>
        <v/>
      </c>
      <c r="AO53" s="49" t="str">
        <f t="shared" si="17"/>
        <v>M2</v>
      </c>
      <c r="AP53" s="50" t="b">
        <f>L53=AN53</f>
        <v>0</v>
      </c>
      <c r="AQ53" s="50"/>
    </row>
    <row r="54" spans="1:43" ht="21.75">
      <c r="A54" s="49">
        <v>52</v>
      </c>
      <c r="B54" s="50"/>
      <c r="C54" s="50"/>
      <c r="D54" s="50" t="s">
        <v>143</v>
      </c>
      <c r="E54" s="50" t="e">
        <f>INDEX(#REF!,#REF!)</f>
        <v>#REF!</v>
      </c>
      <c r="F54" s="49" t="s">
        <v>170</v>
      </c>
      <c r="G54" s="49" t="str">
        <f t="shared" si="13"/>
        <v>15/03/1991</v>
      </c>
      <c r="H54" s="50">
        <f t="shared" si="1"/>
        <v>34</v>
      </c>
      <c r="I54" s="50">
        <f t="shared" si="2"/>
        <v>3</v>
      </c>
      <c r="J54" s="50">
        <f t="shared" si="3"/>
        <v>5</v>
      </c>
      <c r="K54" s="59"/>
      <c r="L54" s="49" t="s">
        <v>136</v>
      </c>
      <c r="M54" s="64"/>
      <c r="N54" s="49" t="s">
        <v>427</v>
      </c>
      <c r="O54" s="49">
        <v>2571</v>
      </c>
      <c r="P54" s="65" t="s">
        <v>287</v>
      </c>
      <c r="Q54" s="49" t="str">
        <f t="shared" si="14"/>
        <v>29/10/2020</v>
      </c>
      <c r="R54" s="68">
        <f>IF(Q54="",0,DATEDIF(Q54,$C$1,"Y"))</f>
        <v>4</v>
      </c>
      <c r="S54" s="68">
        <f>IF(Q54="",0,DATEDIF(Q54,$C$1,"YM"))</f>
        <v>7</v>
      </c>
      <c r="T54" s="68">
        <f>IF(Q54="",0,DATEDIF(Q54,$C$1,"MD"))</f>
        <v>22</v>
      </c>
      <c r="U54" s="65"/>
      <c r="V54" s="65"/>
      <c r="W54" s="49" t="str">
        <f t="shared" si="18"/>
        <v/>
      </c>
      <c r="X54" s="68">
        <f>IF(W54="",0,DATEDIF(W54,Q54,"Y"))</f>
        <v>0</v>
      </c>
      <c r="Y54" s="68">
        <f>IF(W54="",0,DATEDIF(W54,Q54,"YM"))</f>
        <v>0</v>
      </c>
      <c r="Z54" s="68">
        <f>IF(W54="",0,DATEDIF(W54,Q54,"MD"))</f>
        <v>0</v>
      </c>
      <c r="AA54" s="49"/>
      <c r="AB54" s="65"/>
      <c r="AC54" s="50" t="str">
        <f t="shared" si="19"/>
        <v/>
      </c>
      <c r="AD54" s="68">
        <f t="shared" si="20"/>
        <v>0</v>
      </c>
      <c r="AE54" s="68">
        <f t="shared" si="21"/>
        <v>0</v>
      </c>
      <c r="AF54" s="68">
        <f t="shared" si="22"/>
        <v>0</v>
      </c>
      <c r="AG54" s="50"/>
      <c r="AH54" s="108" t="s">
        <v>512</v>
      </c>
      <c r="AI54" s="49" t="str">
        <f>IF(AH54="นิติศาสตร์","K5-LAW","K5-POLICY")</f>
        <v>K5-POLICY</v>
      </c>
      <c r="AJ54" s="72" t="str">
        <f>_xlfn.IFS(B54="","",AND(AI54="K5-LAW",AH54="นิติศาสตร์",L54="S2",U54="",AA54=""),Q54,AND(AI54="K5-LAW",AH54="นิติศาสตร์",L54="S1",U54="",AA54=""),EDATE(Q54,12),AND(AI54="K5-LAW",AH54="นิติศาสตร์",OR(L54="M2",L54="K4"),U54="",AA54=""),EDATE(Q54,12*2),AND(AI54="K5-LAW",AH54="นิติศาสตร์",OR(AA54="M2",AA54="K4"),AD54&gt;=2,OR(AC54&lt;W54,AC54&lt;Q54)),EDATE(AC54,12*2),AND(AI54="K5-LAW",AH54="นิติศาสตร์",AA54="S1",AD54&gt;=1,OR(AC54&lt;W54,AC54&lt;Q54)),EDATE(AC54,12),AND(AI54="K5-LAW",AH54="นิติศาสตร์",OR(U54="M2",U54="K4"),X54&gt;=2,W54&lt;Q54),EDATE(W54,12*2),AND(AI54="K5-LAW",AH54="นิติศาสตร์",U54="S1",X54&gt;=1,W54&lt;Q54),EDATE(W54,12),AND(AI54="K5-LAW",AH54="นิติศาสตร์",OR(U54="S2",U54="K5")),W54,AND(AI54="K5-LAW",AH54="นิติศาสตร์",OR(L54="M2",L54="K4"),R54&gt;=2),EDATE(Q54,12*2),AND(AI54="K5-LAW",AH54="นิติศาสตร์",L54="S1",R54&gt;=1),EDATE(Q54,12),AND(AI54="K5-LAW",AH54="นิติศาสตร์",OR(L54="S2",L54="K5")),Q54,AND(AI54="K5-POLICY",AH54&lt;&gt;"นิติศาสตร์",L54="S2",U54="",AA54=""),Q54,AND(AI54="K5-POLICY",AH54&lt;&gt;"นิติศาสตร์",L54="S1",U54="",AA54=""),EDATE(Q54,12),AND(AI54="K5-POLICY",AH54&lt;&gt;"นิติศาสตร์",OR(L54="M2",L54="K4"),U54="",AA54=""),EDATE(Q54,12*2),AND(AI54="K5-POLICY",AH54&lt;&gt;"นิติศาสตร์",OR(AA54="M2",AA54="K4"),AD54&gt;=2,OR(AC54&lt;W54,AC54&lt;Q54)),EDATE(AC54,12*2),AND(AI54="K5-POLICY",AH54&lt;&gt;"นิติศาสตร์",AA54="S1",AD54&gt;=1,OR(AC54&lt;W54,AC54&lt;Q54)),EDATE(AC54,12),AND(AI54="K5-POLICY",AH54&lt;&gt;"นิติศาสตร์",OR(U54="M2",U54="K4"),X54&gt;=2,W54&lt;Q54),EDATE(W54,12*2),AND(AI54="K5-POLICY",AH54&lt;&gt;"นิติศาสตร์",U54="S1",X54&gt;=1,W54&lt;Q54),EDATE(W54,12),AND(AI54="K5-POLICY",AH54&lt;&gt;"นิติศาสตร์",OR(U54="S2",U54="K5")),W54,AND(AI54="K5-POLICY",AH54&lt;&gt;"นิติศาสตร์",OR(L54="M2",L54="K4"),R54&gt;=2),EDATE(Q54,12*2),AND(AI54="K5-POLICY",AH54&lt;&gt;"นิติศาสตร์",L54="S1",R54&gt;=1),EDATE(Q54,12),AND(AI54="K5-POLICY",AH54&lt;&gt;"นิติศาสตร์",OR(L54="S2",L54="K5")),Q54,TRUE,"Check Data")</f>
        <v/>
      </c>
      <c r="AK54" s="75" t="str">
        <f t="shared" si="15"/>
        <v>Check Data</v>
      </c>
      <c r="AL54" s="76" t="str">
        <f t="shared" si="6"/>
        <v>Check Data</v>
      </c>
      <c r="AM54" s="50" t="str">
        <f t="shared" si="16"/>
        <v>Check Data</v>
      </c>
      <c r="AN54" s="49" t="str">
        <f>IF(B54="","",IF(L54="S1","S1",INDEX(#REF!,#REF!)))</f>
        <v/>
      </c>
      <c r="AO54" s="49" t="str">
        <f t="shared" si="17"/>
        <v>M2</v>
      </c>
      <c r="AP54" s="50" t="b">
        <f>L54=AN54</f>
        <v>0</v>
      </c>
      <c r="AQ54" s="50"/>
    </row>
    <row r="55" spans="1:43" ht="21.75">
      <c r="A55" s="49">
        <v>53</v>
      </c>
      <c r="B55" s="50"/>
      <c r="C55" s="50"/>
      <c r="D55" s="50" t="s">
        <v>143</v>
      </c>
      <c r="E55" s="50" t="e">
        <f>INDEX(#REF!,#REF!)</f>
        <v>#REF!</v>
      </c>
      <c r="F55" s="49" t="s">
        <v>307</v>
      </c>
      <c r="G55" s="49" t="str">
        <f t="shared" si="13"/>
        <v>05/03/1992</v>
      </c>
      <c r="H55" s="50">
        <f t="shared" si="1"/>
        <v>33</v>
      </c>
      <c r="I55" s="50">
        <f t="shared" si="2"/>
        <v>3</v>
      </c>
      <c r="J55" s="50">
        <f t="shared" si="3"/>
        <v>15</v>
      </c>
      <c r="K55" s="59"/>
      <c r="L55" s="49" t="s">
        <v>136</v>
      </c>
      <c r="M55" s="64"/>
      <c r="N55" s="49" t="s">
        <v>427</v>
      </c>
      <c r="O55" s="49">
        <v>2569</v>
      </c>
      <c r="P55" s="65" t="s">
        <v>287</v>
      </c>
      <c r="Q55" s="49" t="str">
        <f t="shared" si="14"/>
        <v>29/10/2020</v>
      </c>
      <c r="R55" s="68">
        <f>IF(Q55="",0,DATEDIF(Q55,$C$1,"Y"))</f>
        <v>4</v>
      </c>
      <c r="S55" s="68">
        <f>IF(Q55="",0,DATEDIF(Q55,$C$1,"YM"))</f>
        <v>7</v>
      </c>
      <c r="T55" s="68">
        <f>IF(Q55="",0,DATEDIF(Q55,$C$1,"MD"))</f>
        <v>22</v>
      </c>
      <c r="U55" s="65"/>
      <c r="V55" s="65"/>
      <c r="W55" s="49" t="str">
        <f t="shared" si="18"/>
        <v/>
      </c>
      <c r="X55" s="68">
        <f>IF(W55="",0,DATEDIF(W55,Q55,"Y"))</f>
        <v>0</v>
      </c>
      <c r="Y55" s="68">
        <f>IF(W55="",0,DATEDIF(W55,Q55,"YM"))</f>
        <v>0</v>
      </c>
      <c r="Z55" s="68">
        <f>IF(W55="",0,DATEDIF(W55,Q55,"MD"))</f>
        <v>0</v>
      </c>
      <c r="AA55" s="49"/>
      <c r="AB55" s="65"/>
      <c r="AC55" s="50" t="str">
        <f t="shared" si="19"/>
        <v/>
      </c>
      <c r="AD55" s="68">
        <f t="shared" si="20"/>
        <v>0</v>
      </c>
      <c r="AE55" s="68">
        <f t="shared" si="21"/>
        <v>0</v>
      </c>
      <c r="AF55" s="68">
        <f t="shared" si="22"/>
        <v>0</v>
      </c>
      <c r="AG55" s="50"/>
      <c r="AH55" s="108" t="s">
        <v>371</v>
      </c>
      <c r="AI55" s="49" t="str">
        <f>IF(AH55="นิติศาสตร์","K5-LAW","K5-POLICY")</f>
        <v>K5-POLICY</v>
      </c>
      <c r="AJ55" s="72" t="str">
        <f>_xlfn.IFS(B55="","",AND(AI55="K5-LAW",AH55="นิติศาสตร์",L55="S2",U55="",AA55=""),Q55,AND(AI55="K5-LAW",AH55="นิติศาสตร์",L55="S1",U55="",AA55=""),EDATE(Q55,12),AND(AI55="K5-LAW",AH55="นิติศาสตร์",OR(L55="M2",L55="K4"),U55="",AA55=""),EDATE(Q55,12*2),AND(AI55="K5-LAW",AH55="นิติศาสตร์",OR(AA55="M2",AA55="K4"),AD55&gt;=2,OR(AC55&lt;W55,AC55&lt;Q55)),EDATE(AC55,12*2),AND(AI55="K5-LAW",AH55="นิติศาสตร์",AA55="S1",AD55&gt;=1,OR(AC55&lt;W55,AC55&lt;Q55)),EDATE(AC55,12),AND(AI55="K5-LAW",AH55="นิติศาสตร์",OR(U55="M2",U55="K4"),X55&gt;=2,W55&lt;Q55),EDATE(W55,12*2),AND(AI55="K5-LAW",AH55="นิติศาสตร์",U55="S1",X55&gt;=1,W55&lt;Q55),EDATE(W55,12),AND(AI55="K5-LAW",AH55="นิติศาสตร์",OR(U55="S2",U55="K5")),W55,AND(AI55="K5-LAW",AH55="นิติศาสตร์",OR(L55="M2",L55="K4"),R55&gt;=2),EDATE(Q55,12*2),AND(AI55="K5-LAW",AH55="นิติศาสตร์",L55="S1",R55&gt;=1),EDATE(Q55,12),AND(AI55="K5-LAW",AH55="นิติศาสตร์",OR(L55="S2",L55="K5")),Q55,AND(AI55="K5-POLICY",AH55&lt;&gt;"นิติศาสตร์",L55="S2",U55="",AA55=""),Q55,AND(AI55="K5-POLICY",AH55&lt;&gt;"นิติศาสตร์",L55="S1",U55="",AA55=""),EDATE(Q55,12),AND(AI55="K5-POLICY",AH55&lt;&gt;"นิติศาสตร์",OR(L55="M2",L55="K4"),U55="",AA55=""),EDATE(Q55,12*2),AND(AI55="K5-POLICY",AH55&lt;&gt;"นิติศาสตร์",OR(AA55="M2",AA55="K4"),AD55&gt;=2,OR(AC55&lt;W55,AC55&lt;Q55)),EDATE(AC55,12*2),AND(AI55="K5-POLICY",AH55&lt;&gt;"นิติศาสตร์",AA55="S1",AD55&gt;=1,OR(AC55&lt;W55,AC55&lt;Q55)),EDATE(AC55,12),AND(AI55="K5-POLICY",AH55&lt;&gt;"นิติศาสตร์",OR(U55="M2",U55="K4"),X55&gt;=2,W55&lt;Q55),EDATE(W55,12*2),AND(AI55="K5-POLICY",AH55&lt;&gt;"นิติศาสตร์",U55="S1",X55&gt;=1,W55&lt;Q55),EDATE(W55,12),AND(AI55="K5-POLICY",AH55&lt;&gt;"นิติศาสตร์",OR(U55="S2",U55="K5")),W55,AND(AI55="K5-POLICY",AH55&lt;&gt;"นิติศาสตร์",OR(L55="M2",L55="K4"),R55&gt;=2),EDATE(Q55,12*2),AND(AI55="K5-POLICY",AH55&lt;&gt;"นิติศาสตร์",L55="S1",R55&gt;=1),EDATE(Q55,12),AND(AI55="K5-POLICY",AH55&lt;&gt;"นิติศาสตร์",OR(L55="S2",L55="K5")),Q55,TRUE,"Check Data")</f>
        <v/>
      </c>
      <c r="AK55" s="75" t="str">
        <f t="shared" si="15"/>
        <v>Check Data</v>
      </c>
      <c r="AL55" s="76" t="str">
        <f t="shared" si="6"/>
        <v>Check Data</v>
      </c>
      <c r="AM55" s="50" t="str">
        <f t="shared" si="16"/>
        <v>Check Data</v>
      </c>
      <c r="AN55" s="49" t="str">
        <f>IF(B55="","",IF(L55="S1","S1",INDEX(#REF!,#REF!)))</f>
        <v/>
      </c>
      <c r="AO55" s="49" t="str">
        <f t="shared" si="17"/>
        <v>M2</v>
      </c>
      <c r="AP55" s="50" t="b">
        <f>L55=AN55</f>
        <v>0</v>
      </c>
      <c r="AQ55" s="50"/>
    </row>
    <row r="56" spans="1:43" ht="21.75">
      <c r="A56" s="49">
        <v>54</v>
      </c>
      <c r="B56" s="50"/>
      <c r="C56" s="50"/>
      <c r="D56" s="50" t="s">
        <v>143</v>
      </c>
      <c r="E56" s="50" t="e">
        <f>INDEX(#REF!,#REF!)</f>
        <v>#REF!</v>
      </c>
      <c r="F56" s="49" t="s">
        <v>322</v>
      </c>
      <c r="G56" s="49" t="str">
        <f t="shared" si="13"/>
        <v>30/07/1992</v>
      </c>
      <c r="H56" s="50">
        <f t="shared" si="1"/>
        <v>32</v>
      </c>
      <c r="I56" s="50">
        <f t="shared" si="2"/>
        <v>10</v>
      </c>
      <c r="J56" s="50">
        <f t="shared" si="3"/>
        <v>21</v>
      </c>
      <c r="K56" s="59"/>
      <c r="L56" s="49" t="s">
        <v>136</v>
      </c>
      <c r="M56" s="64"/>
      <c r="N56" s="49" t="s">
        <v>427</v>
      </c>
      <c r="O56" s="49">
        <v>2570</v>
      </c>
      <c r="P56" s="65" t="s">
        <v>287</v>
      </c>
      <c r="Q56" s="49" t="str">
        <f t="shared" si="14"/>
        <v>29/10/2020</v>
      </c>
      <c r="R56" s="68">
        <f>IF(Q56="",0,DATEDIF(Q56,$C$1,"Y"))</f>
        <v>4</v>
      </c>
      <c r="S56" s="68">
        <f>IF(Q56="",0,DATEDIF(Q56,$C$1,"YM"))</f>
        <v>7</v>
      </c>
      <c r="T56" s="68">
        <f>IF(Q56="",0,DATEDIF(Q56,$C$1,"MD"))</f>
        <v>22</v>
      </c>
      <c r="U56" s="65"/>
      <c r="V56" s="65"/>
      <c r="W56" s="49" t="str">
        <f t="shared" si="18"/>
        <v/>
      </c>
      <c r="X56" s="68">
        <f>IF(W56="",0,DATEDIF(W56,Q56,"Y"))</f>
        <v>0</v>
      </c>
      <c r="Y56" s="68">
        <f>IF(W56="",0,DATEDIF(W56,Q56,"YM"))</f>
        <v>0</v>
      </c>
      <c r="Z56" s="68">
        <f>IF(W56="",0,DATEDIF(W56,Q56,"MD"))</f>
        <v>0</v>
      </c>
      <c r="AA56" s="49"/>
      <c r="AB56" s="65"/>
      <c r="AC56" s="50" t="str">
        <f t="shared" si="19"/>
        <v/>
      </c>
      <c r="AD56" s="68">
        <f t="shared" si="20"/>
        <v>0</v>
      </c>
      <c r="AE56" s="68">
        <f t="shared" si="21"/>
        <v>0</v>
      </c>
      <c r="AF56" s="68">
        <f t="shared" si="22"/>
        <v>0</v>
      </c>
      <c r="AG56" s="50"/>
      <c r="AH56" s="108" t="s">
        <v>138</v>
      </c>
      <c r="AI56" s="49" t="str">
        <f>IF(AH56="นิติศาสตร์","K5-LAW","K5-POLICY")</f>
        <v>K5-LAW</v>
      </c>
      <c r="AJ56" s="72" t="str">
        <f>_xlfn.IFS(B56="","",AND(AI56="K5-LAW",AH56="นิติศาสตร์",L56="S2",U56="",AA56=""),Q56,AND(AI56="K5-LAW",AH56="นิติศาสตร์",L56="S1",U56="",AA56=""),EDATE(Q56,12),AND(AI56="K5-LAW",AH56="นิติศาสตร์",OR(L56="M2",L56="K4"),U56="",AA56=""),EDATE(Q56,12*2),AND(AI56="K5-LAW",AH56="นิติศาสตร์",OR(AA56="M2",AA56="K4"),AD56&gt;=2,OR(AC56&lt;W56,AC56&lt;Q56)),EDATE(AC56,12*2),AND(AI56="K5-LAW",AH56="นิติศาสตร์",AA56="S1",AD56&gt;=1,OR(AC56&lt;W56,AC56&lt;Q56)),EDATE(AC56,12),AND(AI56="K5-LAW",AH56="นิติศาสตร์",OR(U56="M2",U56="K4"),X56&gt;=2,W56&lt;Q56),EDATE(W56,12*2),AND(AI56="K5-LAW",AH56="นิติศาสตร์",U56="S1",X56&gt;=1,W56&lt;Q56),EDATE(W56,12),AND(AI56="K5-LAW",AH56="นิติศาสตร์",OR(U56="S2",U56="K5")),W56,AND(AI56="K5-LAW",AH56="นิติศาสตร์",OR(L56="M2",L56="K4"),R56&gt;=2),EDATE(Q56,12*2),AND(AI56="K5-LAW",AH56="นิติศาสตร์",L56="S1",R56&gt;=1),EDATE(Q56,12),AND(AI56="K5-LAW",AH56="นิติศาสตร์",OR(L56="S2",L56="K5")),Q56,AND(AI56="K5-POLICY",AH56&lt;&gt;"นิติศาสตร์",L56="S2",U56="",AA56=""),Q56,AND(AI56="K5-POLICY",AH56&lt;&gt;"นิติศาสตร์",L56="S1",U56="",AA56=""),EDATE(Q56,12),AND(AI56="K5-POLICY",AH56&lt;&gt;"นิติศาสตร์",OR(L56="M2",L56="K4"),U56="",AA56=""),EDATE(Q56,12*2),AND(AI56="K5-POLICY",AH56&lt;&gt;"นิติศาสตร์",OR(AA56="M2",AA56="K4"),AD56&gt;=2,OR(AC56&lt;W56,AC56&lt;Q56)),EDATE(AC56,12*2),AND(AI56="K5-POLICY",AH56&lt;&gt;"นิติศาสตร์",AA56="S1",AD56&gt;=1,OR(AC56&lt;W56,AC56&lt;Q56)),EDATE(AC56,12),AND(AI56="K5-POLICY",AH56&lt;&gt;"นิติศาสตร์",OR(U56="M2",U56="K4"),X56&gt;=2,W56&lt;Q56),EDATE(W56,12*2),AND(AI56="K5-POLICY",AH56&lt;&gt;"นิติศาสตร์",U56="S1",X56&gt;=1,W56&lt;Q56),EDATE(W56,12),AND(AI56="K5-POLICY",AH56&lt;&gt;"นิติศาสตร์",OR(U56="S2",U56="K5")),W56,AND(AI56="K5-POLICY",AH56&lt;&gt;"นิติศาสตร์",OR(L56="M2",L56="K4"),R56&gt;=2),EDATE(Q56,12*2),AND(AI56="K5-POLICY",AH56&lt;&gt;"นิติศาสตร์",L56="S1",R56&gt;=1),EDATE(Q56,12),AND(AI56="K5-POLICY",AH56&lt;&gt;"นิติศาสตร์",OR(L56="S2",L56="K5")),Q56,TRUE,"Check Data")</f>
        <v/>
      </c>
      <c r="AK56" s="75" t="str">
        <f t="shared" si="15"/>
        <v>Check Data</v>
      </c>
      <c r="AL56" s="76" t="str">
        <f t="shared" si="6"/>
        <v>Check Data</v>
      </c>
      <c r="AM56" s="50" t="str">
        <f t="shared" si="16"/>
        <v>Check Data</v>
      </c>
      <c r="AN56" s="49" t="str">
        <f>IF(B56="","",IF(L56="S1","S1",INDEX(#REF!,#REF!)))</f>
        <v/>
      </c>
      <c r="AO56" s="49" t="str">
        <f t="shared" si="17"/>
        <v>M2</v>
      </c>
      <c r="AP56" s="50" t="b">
        <f>L56=AN56</f>
        <v>0</v>
      </c>
      <c r="AQ56" s="50"/>
    </row>
    <row r="57" spans="1:43" ht="21.75">
      <c r="A57" s="49">
        <v>55</v>
      </c>
      <c r="B57" s="50"/>
      <c r="C57" s="50"/>
      <c r="D57" s="50" t="s">
        <v>143</v>
      </c>
      <c r="E57" s="50" t="e">
        <f>INDEX(#REF!,#REF!)</f>
        <v>#REF!</v>
      </c>
      <c r="F57" s="49" t="s">
        <v>357</v>
      </c>
      <c r="G57" s="49" t="str">
        <f t="shared" si="13"/>
        <v>21/05/1990</v>
      </c>
      <c r="H57" s="50">
        <f t="shared" si="1"/>
        <v>35</v>
      </c>
      <c r="I57" s="50">
        <f t="shared" si="2"/>
        <v>0</v>
      </c>
      <c r="J57" s="50">
        <f t="shared" si="3"/>
        <v>30</v>
      </c>
      <c r="K57" s="59"/>
      <c r="L57" s="49" t="s">
        <v>136</v>
      </c>
      <c r="M57" s="64"/>
      <c r="N57" s="49" t="s">
        <v>427</v>
      </c>
      <c r="O57" s="49">
        <v>2569</v>
      </c>
      <c r="P57" s="65" t="s">
        <v>287</v>
      </c>
      <c r="Q57" s="49" t="str">
        <f t="shared" si="14"/>
        <v>29/10/2020</v>
      </c>
      <c r="R57" s="68">
        <f>IF(Q57="",0,DATEDIF(Q57,$C$1,"Y"))</f>
        <v>4</v>
      </c>
      <c r="S57" s="68">
        <f>IF(Q57="",0,DATEDIF(Q57,$C$1,"YM"))</f>
        <v>7</v>
      </c>
      <c r="T57" s="68">
        <f>IF(Q57="",0,DATEDIF(Q57,$C$1,"MD"))</f>
        <v>22</v>
      </c>
      <c r="U57" s="65"/>
      <c r="V57" s="65"/>
      <c r="W57" s="49" t="str">
        <f t="shared" si="18"/>
        <v/>
      </c>
      <c r="X57" s="68">
        <f>IF(W57="",0,DATEDIF(W57,Q57,"Y"))</f>
        <v>0</v>
      </c>
      <c r="Y57" s="68">
        <f>IF(W57="",0,DATEDIF(W57,Q57,"YM"))</f>
        <v>0</v>
      </c>
      <c r="Z57" s="68">
        <f>IF(W57="",0,DATEDIF(W57,Q57,"MD"))</f>
        <v>0</v>
      </c>
      <c r="AA57" s="49"/>
      <c r="AB57" s="65"/>
      <c r="AC57" s="50" t="str">
        <f t="shared" si="19"/>
        <v/>
      </c>
      <c r="AD57" s="68">
        <f t="shared" si="20"/>
        <v>0</v>
      </c>
      <c r="AE57" s="68">
        <f t="shared" si="21"/>
        <v>0</v>
      </c>
      <c r="AF57" s="68">
        <f t="shared" si="22"/>
        <v>0</v>
      </c>
      <c r="AG57" s="50"/>
      <c r="AH57" s="108" t="s">
        <v>332</v>
      </c>
      <c r="AI57" s="49" t="str">
        <f>IF(AH57="นิติศาสตร์","K5-LAW","K5-POLICY")</f>
        <v>K5-POLICY</v>
      </c>
      <c r="AJ57" s="72" t="str">
        <f>_xlfn.IFS(B57="","",AND(AI57="K5-LAW",AH57="นิติศาสตร์",L57="S2",U57="",AA57=""),Q57,AND(AI57="K5-LAW",AH57="นิติศาสตร์",L57="S1",U57="",AA57=""),EDATE(Q57,12),AND(AI57="K5-LAW",AH57="นิติศาสตร์",OR(L57="M2",L57="K4"),U57="",AA57=""),EDATE(Q57,12*2),AND(AI57="K5-LAW",AH57="นิติศาสตร์",OR(AA57="M2",AA57="K4"),AD57&gt;=2,OR(AC57&lt;W57,AC57&lt;Q57)),EDATE(AC57,12*2),AND(AI57="K5-LAW",AH57="นิติศาสตร์",AA57="S1",AD57&gt;=1,OR(AC57&lt;W57,AC57&lt;Q57)),EDATE(AC57,12),AND(AI57="K5-LAW",AH57="นิติศาสตร์",OR(U57="M2",U57="K4"),X57&gt;=2,W57&lt;Q57),EDATE(W57,12*2),AND(AI57="K5-LAW",AH57="นิติศาสตร์",U57="S1",X57&gt;=1,W57&lt;Q57),EDATE(W57,12),AND(AI57="K5-LAW",AH57="นิติศาสตร์",OR(U57="S2",U57="K5")),W57,AND(AI57="K5-LAW",AH57="นิติศาสตร์",OR(L57="M2",L57="K4"),R57&gt;=2),EDATE(Q57,12*2),AND(AI57="K5-LAW",AH57="นิติศาสตร์",L57="S1",R57&gt;=1),EDATE(Q57,12),AND(AI57="K5-LAW",AH57="นิติศาสตร์",OR(L57="S2",L57="K5")),Q57,AND(AI57="K5-POLICY",AH57&lt;&gt;"นิติศาสตร์",L57="S2",U57="",AA57=""),Q57,AND(AI57="K5-POLICY",AH57&lt;&gt;"นิติศาสตร์",L57="S1",U57="",AA57=""),EDATE(Q57,12),AND(AI57="K5-POLICY",AH57&lt;&gt;"นิติศาสตร์",OR(L57="M2",L57="K4"),U57="",AA57=""),EDATE(Q57,12*2),AND(AI57="K5-POLICY",AH57&lt;&gt;"นิติศาสตร์",OR(AA57="M2",AA57="K4"),AD57&gt;=2,OR(AC57&lt;W57,AC57&lt;Q57)),EDATE(AC57,12*2),AND(AI57="K5-POLICY",AH57&lt;&gt;"นิติศาสตร์",AA57="S1",AD57&gt;=1,OR(AC57&lt;W57,AC57&lt;Q57)),EDATE(AC57,12),AND(AI57="K5-POLICY",AH57&lt;&gt;"นิติศาสตร์",OR(U57="M2",U57="K4"),X57&gt;=2,W57&lt;Q57),EDATE(W57,12*2),AND(AI57="K5-POLICY",AH57&lt;&gt;"นิติศาสตร์",U57="S1",X57&gt;=1,W57&lt;Q57),EDATE(W57,12),AND(AI57="K5-POLICY",AH57&lt;&gt;"นิติศาสตร์",OR(U57="S2",U57="K5")),W57,AND(AI57="K5-POLICY",AH57&lt;&gt;"นิติศาสตร์",OR(L57="M2",L57="K4"),R57&gt;=2),EDATE(Q57,12*2),AND(AI57="K5-POLICY",AH57&lt;&gt;"นิติศาสตร์",L57="S1",R57&gt;=1),EDATE(Q57,12),AND(AI57="K5-POLICY",AH57&lt;&gt;"นิติศาสตร์",OR(L57="S2",L57="K5")),Q57,TRUE,"Check Data")</f>
        <v/>
      </c>
      <c r="AK57" s="75" t="str">
        <f t="shared" si="15"/>
        <v>Check Data</v>
      </c>
      <c r="AL57" s="76" t="str">
        <f t="shared" si="6"/>
        <v>Check Data</v>
      </c>
      <c r="AM57" s="50" t="str">
        <f t="shared" si="16"/>
        <v>Check Data</v>
      </c>
      <c r="AN57" s="49" t="str">
        <f>IF(B57="","",IF(L57="S1","S1",INDEX(#REF!,#REF!)))</f>
        <v/>
      </c>
      <c r="AO57" s="49" t="str">
        <f t="shared" si="17"/>
        <v>M2</v>
      </c>
      <c r="AP57" s="50" t="b">
        <f>L57=AN57</f>
        <v>0</v>
      </c>
      <c r="AQ57" s="50"/>
    </row>
    <row r="58" spans="1:43" ht="21.75">
      <c r="A58" s="49">
        <v>56</v>
      </c>
      <c r="B58" s="50"/>
      <c r="C58" s="50"/>
      <c r="D58" s="50" t="s">
        <v>143</v>
      </c>
      <c r="E58" s="50" t="e">
        <f>INDEX(#REF!,#REF!)</f>
        <v>#REF!</v>
      </c>
      <c r="F58" s="49" t="s">
        <v>346</v>
      </c>
      <c r="G58" s="49" t="str">
        <f t="shared" si="13"/>
        <v>28/04/1986</v>
      </c>
      <c r="H58" s="50">
        <f t="shared" si="1"/>
        <v>39</v>
      </c>
      <c r="I58" s="50">
        <f t="shared" si="2"/>
        <v>1</v>
      </c>
      <c r="J58" s="50">
        <f t="shared" si="3"/>
        <v>23</v>
      </c>
      <c r="K58" s="59"/>
      <c r="L58" s="49" t="s">
        <v>136</v>
      </c>
      <c r="M58" s="64"/>
      <c r="N58" s="49" t="s">
        <v>427</v>
      </c>
      <c r="O58" s="49">
        <v>2570</v>
      </c>
      <c r="P58" s="65" t="s">
        <v>287</v>
      </c>
      <c r="Q58" s="49" t="str">
        <f t="shared" si="14"/>
        <v>29/10/2020</v>
      </c>
      <c r="R58" s="68">
        <f>IF(Q58="",0,DATEDIF(Q58,$C$1,"Y"))</f>
        <v>4</v>
      </c>
      <c r="S58" s="68">
        <f>IF(Q58="",0,DATEDIF(Q58,$C$1,"YM"))</f>
        <v>7</v>
      </c>
      <c r="T58" s="68">
        <f>IF(Q58="",0,DATEDIF(Q58,$C$1,"MD"))</f>
        <v>22</v>
      </c>
      <c r="U58" s="65"/>
      <c r="V58" s="65"/>
      <c r="W58" s="49" t="str">
        <f t="shared" si="18"/>
        <v/>
      </c>
      <c r="X58" s="68">
        <f>IF(W58="",0,DATEDIF(W58,Q58,"Y"))</f>
        <v>0</v>
      </c>
      <c r="Y58" s="68">
        <f>IF(W58="",0,DATEDIF(W58,Q58,"YM"))</f>
        <v>0</v>
      </c>
      <c r="Z58" s="68">
        <f>IF(W58="",0,DATEDIF(W58,Q58,"MD"))</f>
        <v>0</v>
      </c>
      <c r="AA58" s="49"/>
      <c r="AB58" s="65"/>
      <c r="AC58" s="50" t="str">
        <f t="shared" si="19"/>
        <v/>
      </c>
      <c r="AD58" s="68">
        <f t="shared" si="20"/>
        <v>0</v>
      </c>
      <c r="AE58" s="68">
        <f t="shared" si="21"/>
        <v>0</v>
      </c>
      <c r="AF58" s="68">
        <f t="shared" si="22"/>
        <v>0</v>
      </c>
      <c r="AG58" s="50"/>
      <c r="AH58" s="108" t="s">
        <v>509</v>
      </c>
      <c r="AI58" s="49" t="str">
        <f>IF(AH58="นิติศาสตร์","K5-LAW","K5-POLICY")</f>
        <v>K5-POLICY</v>
      </c>
      <c r="AJ58" s="72" t="str">
        <f>_xlfn.IFS(B58="","",AND(AI58="K5-LAW",AH58="นิติศาสตร์",L58="S2",U58="",AA58=""),Q58,AND(AI58="K5-LAW",AH58="นิติศาสตร์",L58="S1",U58="",AA58=""),EDATE(Q58,12),AND(AI58="K5-LAW",AH58="นิติศาสตร์",OR(L58="M2",L58="K4"),U58="",AA58=""),EDATE(Q58,12*2),AND(AI58="K5-LAW",AH58="นิติศาสตร์",OR(AA58="M2",AA58="K4"),AD58&gt;=2,OR(AC58&lt;W58,AC58&lt;Q58)),EDATE(AC58,12*2),AND(AI58="K5-LAW",AH58="นิติศาสตร์",AA58="S1",AD58&gt;=1,OR(AC58&lt;W58,AC58&lt;Q58)),EDATE(AC58,12),AND(AI58="K5-LAW",AH58="นิติศาสตร์",OR(U58="M2",U58="K4"),X58&gt;=2,W58&lt;Q58),EDATE(W58,12*2),AND(AI58="K5-LAW",AH58="นิติศาสตร์",U58="S1",X58&gt;=1,W58&lt;Q58),EDATE(W58,12),AND(AI58="K5-LAW",AH58="นิติศาสตร์",OR(U58="S2",U58="K5")),W58,AND(AI58="K5-LAW",AH58="นิติศาสตร์",OR(L58="M2",L58="K4"),R58&gt;=2),EDATE(Q58,12*2),AND(AI58="K5-LAW",AH58="นิติศาสตร์",L58="S1",R58&gt;=1),EDATE(Q58,12),AND(AI58="K5-LAW",AH58="นิติศาสตร์",OR(L58="S2",L58="K5")),Q58,AND(AI58="K5-POLICY",AH58&lt;&gt;"นิติศาสตร์",L58="S2",U58="",AA58=""),Q58,AND(AI58="K5-POLICY",AH58&lt;&gt;"นิติศาสตร์",L58="S1",U58="",AA58=""),EDATE(Q58,12),AND(AI58="K5-POLICY",AH58&lt;&gt;"นิติศาสตร์",OR(L58="M2",L58="K4"),U58="",AA58=""),EDATE(Q58,12*2),AND(AI58="K5-POLICY",AH58&lt;&gt;"นิติศาสตร์",OR(AA58="M2",AA58="K4"),AD58&gt;=2,OR(AC58&lt;W58,AC58&lt;Q58)),EDATE(AC58,12*2),AND(AI58="K5-POLICY",AH58&lt;&gt;"นิติศาสตร์",AA58="S1",AD58&gt;=1,OR(AC58&lt;W58,AC58&lt;Q58)),EDATE(AC58,12),AND(AI58="K5-POLICY",AH58&lt;&gt;"นิติศาสตร์",OR(U58="M2",U58="K4"),X58&gt;=2,W58&lt;Q58),EDATE(W58,12*2),AND(AI58="K5-POLICY",AH58&lt;&gt;"นิติศาสตร์",U58="S1",X58&gt;=1,W58&lt;Q58),EDATE(W58,12),AND(AI58="K5-POLICY",AH58&lt;&gt;"นิติศาสตร์",OR(U58="S2",U58="K5")),W58,AND(AI58="K5-POLICY",AH58&lt;&gt;"นิติศาสตร์",OR(L58="M2",L58="K4"),R58&gt;=2),EDATE(Q58,12*2),AND(AI58="K5-POLICY",AH58&lt;&gt;"นิติศาสตร์",L58="S1",R58&gt;=1),EDATE(Q58,12),AND(AI58="K5-POLICY",AH58&lt;&gt;"นิติศาสตร์",OR(L58="S2",L58="K5")),Q58,TRUE,"Check Data")</f>
        <v/>
      </c>
      <c r="AK58" s="75" t="str">
        <f t="shared" si="15"/>
        <v>Check Data</v>
      </c>
      <c r="AL58" s="76" t="str">
        <f t="shared" si="6"/>
        <v>Check Data</v>
      </c>
      <c r="AM58" s="50" t="str">
        <f t="shared" si="16"/>
        <v>Check Data</v>
      </c>
      <c r="AN58" s="49" t="str">
        <f>IF(B58="","",IF(L58="S1","S1",INDEX(#REF!,#REF!)))</f>
        <v/>
      </c>
      <c r="AO58" s="49" t="str">
        <f t="shared" si="17"/>
        <v>M2</v>
      </c>
      <c r="AP58" s="50" t="b">
        <f>L58=AN58</f>
        <v>0</v>
      </c>
      <c r="AQ58" s="50"/>
    </row>
    <row r="59" spans="1:43" ht="21.75">
      <c r="A59" s="49">
        <v>57</v>
      </c>
      <c r="B59" s="50"/>
      <c r="C59" s="50"/>
      <c r="D59" s="50" t="s">
        <v>143</v>
      </c>
      <c r="E59" s="50" t="e">
        <f>INDEX(#REF!,#REF!)</f>
        <v>#REF!</v>
      </c>
      <c r="F59" s="49" t="s">
        <v>321</v>
      </c>
      <c r="G59" s="49" t="str">
        <f t="shared" si="13"/>
        <v>16/08/1990</v>
      </c>
      <c r="H59" s="50">
        <f t="shared" si="1"/>
        <v>34</v>
      </c>
      <c r="I59" s="50">
        <f t="shared" si="2"/>
        <v>10</v>
      </c>
      <c r="J59" s="50">
        <f t="shared" si="3"/>
        <v>4</v>
      </c>
      <c r="K59" s="59"/>
      <c r="L59" s="49" t="s">
        <v>136</v>
      </c>
      <c r="M59" s="64"/>
      <c r="N59" s="49" t="s">
        <v>427</v>
      </c>
      <c r="O59" s="49">
        <v>2568</v>
      </c>
      <c r="P59" s="65" t="s">
        <v>287</v>
      </c>
      <c r="Q59" s="49" t="str">
        <f t="shared" si="14"/>
        <v>29/10/2020</v>
      </c>
      <c r="R59" s="68">
        <f>IF(Q59="",0,DATEDIF(Q59,$C$1,"Y"))</f>
        <v>4</v>
      </c>
      <c r="S59" s="68">
        <f>IF(Q59="",0,DATEDIF(Q59,$C$1,"YM"))</f>
        <v>7</v>
      </c>
      <c r="T59" s="68">
        <f>IF(Q59="",0,DATEDIF(Q59,$C$1,"MD"))</f>
        <v>22</v>
      </c>
      <c r="U59" s="65"/>
      <c r="V59" s="65"/>
      <c r="W59" s="49" t="str">
        <f t="shared" si="18"/>
        <v/>
      </c>
      <c r="X59" s="68">
        <f>IF(W59="",0,DATEDIF(W59,Q59,"Y"))</f>
        <v>0</v>
      </c>
      <c r="Y59" s="68">
        <f>IF(W59="",0,DATEDIF(W59,Q59,"YM"))</f>
        <v>0</v>
      </c>
      <c r="Z59" s="68">
        <f>IF(W59="",0,DATEDIF(W59,Q59,"MD"))</f>
        <v>0</v>
      </c>
      <c r="AA59" s="49"/>
      <c r="AB59" s="65"/>
      <c r="AC59" s="50" t="str">
        <f t="shared" si="19"/>
        <v/>
      </c>
      <c r="AD59" s="68">
        <f t="shared" si="20"/>
        <v>0</v>
      </c>
      <c r="AE59" s="68">
        <f t="shared" si="21"/>
        <v>0</v>
      </c>
      <c r="AF59" s="68">
        <f t="shared" si="22"/>
        <v>0</v>
      </c>
      <c r="AG59" s="50"/>
      <c r="AH59" s="108" t="s">
        <v>172</v>
      </c>
      <c r="AI59" s="49" t="str">
        <f>IF(AH59="นิติศาสตร์","K5-LAW","K5-POLICY")</f>
        <v>K5-POLICY</v>
      </c>
      <c r="AJ59" s="72" t="str">
        <f>_xlfn.IFS(B59="","",AND(AI59="K5-LAW",AH59="นิติศาสตร์",L59="S2",U59="",AA59=""),Q59,AND(AI59="K5-LAW",AH59="นิติศาสตร์",L59="S1",U59="",AA59=""),EDATE(Q59,12),AND(AI59="K5-LAW",AH59="นิติศาสตร์",OR(L59="M2",L59="K4"),U59="",AA59=""),EDATE(Q59,12*2),AND(AI59="K5-LAW",AH59="นิติศาสตร์",OR(AA59="M2",AA59="K4"),AD59&gt;=2,OR(AC59&lt;W59,AC59&lt;Q59)),EDATE(AC59,12*2),AND(AI59="K5-LAW",AH59="นิติศาสตร์",AA59="S1",AD59&gt;=1,OR(AC59&lt;W59,AC59&lt;Q59)),EDATE(AC59,12),AND(AI59="K5-LAW",AH59="นิติศาสตร์",OR(U59="M2",U59="K4"),X59&gt;=2,W59&lt;Q59),EDATE(W59,12*2),AND(AI59="K5-LAW",AH59="นิติศาสตร์",U59="S1",X59&gt;=1,W59&lt;Q59),EDATE(W59,12),AND(AI59="K5-LAW",AH59="นิติศาสตร์",OR(U59="S2",U59="K5")),W59,AND(AI59="K5-LAW",AH59="นิติศาสตร์",OR(L59="M2",L59="K4"),R59&gt;=2),EDATE(Q59,12*2),AND(AI59="K5-LAW",AH59="นิติศาสตร์",L59="S1",R59&gt;=1),EDATE(Q59,12),AND(AI59="K5-LAW",AH59="นิติศาสตร์",OR(L59="S2",L59="K5")),Q59,AND(AI59="K5-POLICY",AH59&lt;&gt;"นิติศาสตร์",L59="S2",U59="",AA59=""),Q59,AND(AI59="K5-POLICY",AH59&lt;&gt;"นิติศาสตร์",L59="S1",U59="",AA59=""),EDATE(Q59,12),AND(AI59="K5-POLICY",AH59&lt;&gt;"นิติศาสตร์",OR(L59="M2",L59="K4"),U59="",AA59=""),EDATE(Q59,12*2),AND(AI59="K5-POLICY",AH59&lt;&gt;"นิติศาสตร์",OR(AA59="M2",AA59="K4"),AD59&gt;=2,OR(AC59&lt;W59,AC59&lt;Q59)),EDATE(AC59,12*2),AND(AI59="K5-POLICY",AH59&lt;&gt;"นิติศาสตร์",AA59="S1",AD59&gt;=1,OR(AC59&lt;W59,AC59&lt;Q59)),EDATE(AC59,12),AND(AI59="K5-POLICY",AH59&lt;&gt;"นิติศาสตร์",OR(U59="M2",U59="K4"),X59&gt;=2,W59&lt;Q59),EDATE(W59,12*2),AND(AI59="K5-POLICY",AH59&lt;&gt;"นิติศาสตร์",U59="S1",X59&gt;=1,W59&lt;Q59),EDATE(W59,12),AND(AI59="K5-POLICY",AH59&lt;&gt;"นิติศาสตร์",OR(U59="S2",U59="K5")),W59,AND(AI59="K5-POLICY",AH59&lt;&gt;"นิติศาสตร์",OR(L59="M2",L59="K4"),R59&gt;=2),EDATE(Q59,12*2),AND(AI59="K5-POLICY",AH59&lt;&gt;"นิติศาสตร์",L59="S1",R59&gt;=1),EDATE(Q59,12),AND(AI59="K5-POLICY",AH59&lt;&gt;"นิติศาสตร์",OR(L59="S2",L59="K5")),Q59,TRUE,"Check Data")</f>
        <v/>
      </c>
      <c r="AK59" s="75" t="str">
        <f t="shared" si="15"/>
        <v>Check Data</v>
      </c>
      <c r="AL59" s="76" t="str">
        <f t="shared" si="6"/>
        <v>Check Data</v>
      </c>
      <c r="AM59" s="50" t="str">
        <f t="shared" si="16"/>
        <v>Check Data</v>
      </c>
      <c r="AN59" s="49" t="str">
        <f>IF(B59="","",IF(L59="S1","S1",INDEX(#REF!,#REF!)))</f>
        <v/>
      </c>
      <c r="AO59" s="49" t="str">
        <f t="shared" si="17"/>
        <v>M2</v>
      </c>
      <c r="AP59" s="50" t="b">
        <f>L59=AN59</f>
        <v>0</v>
      </c>
      <c r="AQ59" s="50"/>
    </row>
    <row r="60" spans="1:43" ht="21.75">
      <c r="A60" s="49">
        <v>58</v>
      </c>
      <c r="B60" s="50"/>
      <c r="C60" s="50"/>
      <c r="D60" s="50" t="s">
        <v>143</v>
      </c>
      <c r="E60" s="50" t="e">
        <f>INDEX(#REF!,#REF!)</f>
        <v>#REF!</v>
      </c>
      <c r="F60" s="49" t="s">
        <v>323</v>
      </c>
      <c r="G60" s="49" t="str">
        <f t="shared" si="13"/>
        <v>15/05/1984</v>
      </c>
      <c r="H60" s="50">
        <f t="shared" si="1"/>
        <v>41</v>
      </c>
      <c r="I60" s="50">
        <f t="shared" si="2"/>
        <v>1</v>
      </c>
      <c r="J60" s="50">
        <f t="shared" si="3"/>
        <v>5</v>
      </c>
      <c r="K60" s="59"/>
      <c r="L60" s="49" t="s">
        <v>136</v>
      </c>
      <c r="M60" s="64"/>
      <c r="N60" s="49" t="s">
        <v>427</v>
      </c>
      <c r="O60" s="49">
        <v>2568</v>
      </c>
      <c r="P60" s="65" t="s">
        <v>287</v>
      </c>
      <c r="Q60" s="49" t="str">
        <f t="shared" si="14"/>
        <v>29/10/2020</v>
      </c>
      <c r="R60" s="68">
        <f>IF(Q60="",0,DATEDIF(Q60,$C$1,"Y"))</f>
        <v>4</v>
      </c>
      <c r="S60" s="68">
        <f>IF(Q60="",0,DATEDIF(Q60,$C$1,"YM"))</f>
        <v>7</v>
      </c>
      <c r="T60" s="68">
        <f>IF(Q60="",0,DATEDIF(Q60,$C$1,"MD"))</f>
        <v>22</v>
      </c>
      <c r="U60" s="65"/>
      <c r="V60" s="65"/>
      <c r="W60" s="49" t="str">
        <f t="shared" si="18"/>
        <v/>
      </c>
      <c r="X60" s="68">
        <f>IF(W60="",0,DATEDIF(W60,Q60,"Y"))</f>
        <v>0</v>
      </c>
      <c r="Y60" s="68">
        <f>IF(W60="",0,DATEDIF(W60,Q60,"YM"))</f>
        <v>0</v>
      </c>
      <c r="Z60" s="68">
        <f>IF(W60="",0,DATEDIF(W60,Q60,"MD"))</f>
        <v>0</v>
      </c>
      <c r="AA60" s="49"/>
      <c r="AB60" s="65"/>
      <c r="AC60" s="50" t="str">
        <f t="shared" si="19"/>
        <v/>
      </c>
      <c r="AD60" s="68">
        <f t="shared" si="20"/>
        <v>0</v>
      </c>
      <c r="AE60" s="68">
        <f t="shared" si="21"/>
        <v>0</v>
      </c>
      <c r="AF60" s="68">
        <f t="shared" si="22"/>
        <v>0</v>
      </c>
      <c r="AG60" s="50"/>
      <c r="AH60" s="108" t="s">
        <v>513</v>
      </c>
      <c r="AI60" s="49" t="str">
        <f>IF(AH60="นิติศาสตร์","K5-LAW","K5-POLICY")</f>
        <v>K5-POLICY</v>
      </c>
      <c r="AJ60" s="72" t="str">
        <f>_xlfn.IFS(B60="","",AND(AI60="K5-LAW",AH60="นิติศาสตร์",L60="S2",U60="",AA60=""),Q60,AND(AI60="K5-LAW",AH60="นิติศาสตร์",L60="S1",U60="",AA60=""),EDATE(Q60,12),AND(AI60="K5-LAW",AH60="นิติศาสตร์",OR(L60="M2",L60="K4"),U60="",AA60=""),EDATE(Q60,12*2),AND(AI60="K5-LAW",AH60="นิติศาสตร์",OR(AA60="M2",AA60="K4"),AD60&gt;=2,OR(AC60&lt;W60,AC60&lt;Q60)),EDATE(AC60,12*2),AND(AI60="K5-LAW",AH60="นิติศาสตร์",AA60="S1",AD60&gt;=1,OR(AC60&lt;W60,AC60&lt;Q60)),EDATE(AC60,12),AND(AI60="K5-LAW",AH60="นิติศาสตร์",OR(U60="M2",U60="K4"),X60&gt;=2,W60&lt;Q60),EDATE(W60,12*2),AND(AI60="K5-LAW",AH60="นิติศาสตร์",U60="S1",X60&gt;=1,W60&lt;Q60),EDATE(W60,12),AND(AI60="K5-LAW",AH60="นิติศาสตร์",OR(U60="S2",U60="K5")),W60,AND(AI60="K5-LAW",AH60="นิติศาสตร์",OR(L60="M2",L60="K4"),R60&gt;=2),EDATE(Q60,12*2),AND(AI60="K5-LAW",AH60="นิติศาสตร์",L60="S1",R60&gt;=1),EDATE(Q60,12),AND(AI60="K5-LAW",AH60="นิติศาสตร์",OR(L60="S2",L60="K5")),Q60,AND(AI60="K5-POLICY",AH60&lt;&gt;"นิติศาสตร์",L60="S2",U60="",AA60=""),Q60,AND(AI60="K5-POLICY",AH60&lt;&gt;"นิติศาสตร์",L60="S1",U60="",AA60=""),EDATE(Q60,12),AND(AI60="K5-POLICY",AH60&lt;&gt;"นิติศาสตร์",OR(L60="M2",L60="K4"),U60="",AA60=""),EDATE(Q60,12*2),AND(AI60="K5-POLICY",AH60&lt;&gt;"นิติศาสตร์",OR(AA60="M2",AA60="K4"),AD60&gt;=2,OR(AC60&lt;W60,AC60&lt;Q60)),EDATE(AC60,12*2),AND(AI60="K5-POLICY",AH60&lt;&gt;"นิติศาสตร์",AA60="S1",AD60&gt;=1,OR(AC60&lt;W60,AC60&lt;Q60)),EDATE(AC60,12),AND(AI60="K5-POLICY",AH60&lt;&gt;"นิติศาสตร์",OR(U60="M2",U60="K4"),X60&gt;=2,W60&lt;Q60),EDATE(W60,12*2),AND(AI60="K5-POLICY",AH60&lt;&gt;"นิติศาสตร์",U60="S1",X60&gt;=1,W60&lt;Q60),EDATE(W60,12),AND(AI60="K5-POLICY",AH60&lt;&gt;"นิติศาสตร์",OR(U60="S2",U60="K5")),W60,AND(AI60="K5-POLICY",AH60&lt;&gt;"นิติศาสตร์",OR(L60="M2",L60="K4"),R60&gt;=2),EDATE(Q60,12*2),AND(AI60="K5-POLICY",AH60&lt;&gt;"นิติศาสตร์",L60="S1",R60&gt;=1),EDATE(Q60,12),AND(AI60="K5-POLICY",AH60&lt;&gt;"นิติศาสตร์",OR(L60="S2",L60="K5")),Q60,TRUE,"Check Data")</f>
        <v/>
      </c>
      <c r="AK60" s="75" t="str">
        <f t="shared" si="15"/>
        <v>Check Data</v>
      </c>
      <c r="AL60" s="76" t="str">
        <f t="shared" si="6"/>
        <v>Check Data</v>
      </c>
      <c r="AM60" s="50" t="str">
        <f t="shared" si="16"/>
        <v>Check Data</v>
      </c>
      <c r="AN60" s="49" t="str">
        <f>IF(B60="","",IF(L60="S1","S1",INDEX(#REF!,#REF!)))</f>
        <v/>
      </c>
      <c r="AO60" s="49" t="str">
        <f t="shared" si="17"/>
        <v>M2</v>
      </c>
      <c r="AP60" s="50" t="b">
        <f>L60=AN60</f>
        <v>0</v>
      </c>
      <c r="AQ60" s="50"/>
    </row>
    <row r="61" spans="1:43" ht="21.75">
      <c r="A61" s="49">
        <v>59</v>
      </c>
      <c r="B61" s="50"/>
      <c r="C61" s="50"/>
      <c r="D61" s="50" t="s">
        <v>143</v>
      </c>
      <c r="E61" s="50" t="e">
        <f>INDEX(#REF!,#REF!)</f>
        <v>#REF!</v>
      </c>
      <c r="F61" s="49" t="s">
        <v>222</v>
      </c>
      <c r="G61" s="49" t="str">
        <f t="shared" si="13"/>
        <v>20/04/1989</v>
      </c>
      <c r="H61" s="50">
        <f t="shared" si="1"/>
        <v>36</v>
      </c>
      <c r="I61" s="50">
        <f t="shared" si="2"/>
        <v>2</v>
      </c>
      <c r="J61" s="50">
        <f t="shared" si="3"/>
        <v>0</v>
      </c>
      <c r="K61" s="59"/>
      <c r="L61" s="49" t="s">
        <v>136</v>
      </c>
      <c r="M61" s="64"/>
      <c r="N61" s="49" t="s">
        <v>427</v>
      </c>
      <c r="O61" s="49">
        <v>2570</v>
      </c>
      <c r="P61" s="65" t="s">
        <v>287</v>
      </c>
      <c r="Q61" s="49" t="str">
        <f t="shared" si="14"/>
        <v>29/10/2020</v>
      </c>
      <c r="R61" s="68">
        <f>IF(Q61="",0,DATEDIF(Q61,$C$1,"Y"))</f>
        <v>4</v>
      </c>
      <c r="S61" s="68">
        <f>IF(Q61="",0,DATEDIF(Q61,$C$1,"YM"))</f>
        <v>7</v>
      </c>
      <c r="T61" s="68">
        <f>IF(Q61="",0,DATEDIF(Q61,$C$1,"MD"))</f>
        <v>22</v>
      </c>
      <c r="U61" s="65"/>
      <c r="V61" s="65"/>
      <c r="W61" s="49" t="str">
        <f t="shared" si="18"/>
        <v/>
      </c>
      <c r="X61" s="68">
        <f>IF(W61="",0,DATEDIF(W61,Q61,"Y"))</f>
        <v>0</v>
      </c>
      <c r="Y61" s="68">
        <f>IF(W61="",0,DATEDIF(W61,Q61,"YM"))</f>
        <v>0</v>
      </c>
      <c r="Z61" s="68">
        <f>IF(W61="",0,DATEDIF(W61,Q61,"MD"))</f>
        <v>0</v>
      </c>
      <c r="AA61" s="49"/>
      <c r="AB61" s="65"/>
      <c r="AC61" s="50" t="str">
        <f t="shared" si="19"/>
        <v/>
      </c>
      <c r="AD61" s="68">
        <f t="shared" si="20"/>
        <v>0</v>
      </c>
      <c r="AE61" s="68">
        <f t="shared" si="21"/>
        <v>0</v>
      </c>
      <c r="AF61" s="68">
        <f t="shared" si="22"/>
        <v>0</v>
      </c>
      <c r="AG61" s="50"/>
      <c r="AH61" s="108" t="s">
        <v>163</v>
      </c>
      <c r="AI61" s="49" t="str">
        <f>IF(AH61="นิติศาสตร์","K5-LAW","K5-POLICY")</f>
        <v>K5-POLICY</v>
      </c>
      <c r="AJ61" s="72" t="str">
        <f>_xlfn.IFS(B61="","",AND(AI61="K5-LAW",AH61="นิติศาสตร์",L61="S2",U61="",AA61=""),Q61,AND(AI61="K5-LAW",AH61="นิติศาสตร์",L61="S1",U61="",AA61=""),EDATE(Q61,12),AND(AI61="K5-LAW",AH61="นิติศาสตร์",OR(L61="M2",L61="K4"),U61="",AA61=""),EDATE(Q61,12*2),AND(AI61="K5-LAW",AH61="นิติศาสตร์",OR(AA61="M2",AA61="K4"),AD61&gt;=2,OR(AC61&lt;W61,AC61&lt;Q61)),EDATE(AC61,12*2),AND(AI61="K5-LAW",AH61="นิติศาสตร์",AA61="S1",AD61&gt;=1,OR(AC61&lt;W61,AC61&lt;Q61)),EDATE(AC61,12),AND(AI61="K5-LAW",AH61="นิติศาสตร์",OR(U61="M2",U61="K4"),X61&gt;=2,W61&lt;Q61),EDATE(W61,12*2),AND(AI61="K5-LAW",AH61="นิติศาสตร์",U61="S1",X61&gt;=1,W61&lt;Q61),EDATE(W61,12),AND(AI61="K5-LAW",AH61="นิติศาสตร์",OR(U61="S2",U61="K5")),W61,AND(AI61="K5-LAW",AH61="นิติศาสตร์",OR(L61="M2",L61="K4"),R61&gt;=2),EDATE(Q61,12*2),AND(AI61="K5-LAW",AH61="นิติศาสตร์",L61="S1",R61&gt;=1),EDATE(Q61,12),AND(AI61="K5-LAW",AH61="นิติศาสตร์",OR(L61="S2",L61="K5")),Q61,AND(AI61="K5-POLICY",AH61&lt;&gt;"นิติศาสตร์",L61="S2",U61="",AA61=""),Q61,AND(AI61="K5-POLICY",AH61&lt;&gt;"นิติศาสตร์",L61="S1",U61="",AA61=""),EDATE(Q61,12),AND(AI61="K5-POLICY",AH61&lt;&gt;"นิติศาสตร์",OR(L61="M2",L61="K4"),U61="",AA61=""),EDATE(Q61,12*2),AND(AI61="K5-POLICY",AH61&lt;&gt;"นิติศาสตร์",OR(AA61="M2",AA61="K4"),AD61&gt;=2,OR(AC61&lt;W61,AC61&lt;Q61)),EDATE(AC61,12*2),AND(AI61="K5-POLICY",AH61&lt;&gt;"นิติศาสตร์",AA61="S1",AD61&gt;=1,OR(AC61&lt;W61,AC61&lt;Q61)),EDATE(AC61,12),AND(AI61="K5-POLICY",AH61&lt;&gt;"นิติศาสตร์",OR(U61="M2",U61="K4"),X61&gt;=2,W61&lt;Q61),EDATE(W61,12*2),AND(AI61="K5-POLICY",AH61&lt;&gt;"นิติศาสตร์",U61="S1",X61&gt;=1,W61&lt;Q61),EDATE(W61,12),AND(AI61="K5-POLICY",AH61&lt;&gt;"นิติศาสตร์",OR(U61="S2",U61="K5")),W61,AND(AI61="K5-POLICY",AH61&lt;&gt;"นิติศาสตร์",OR(L61="M2",L61="K4"),R61&gt;=2),EDATE(Q61,12*2),AND(AI61="K5-POLICY",AH61&lt;&gt;"นิติศาสตร์",L61="S1",R61&gt;=1),EDATE(Q61,12),AND(AI61="K5-POLICY",AH61&lt;&gt;"นิติศาสตร์",OR(L61="S2",L61="K5")),Q61,TRUE,"Check Data")</f>
        <v/>
      </c>
      <c r="AK61" s="75" t="str">
        <f t="shared" si="15"/>
        <v>Check Data</v>
      </c>
      <c r="AL61" s="76" t="str">
        <f t="shared" si="6"/>
        <v>Check Data</v>
      </c>
      <c r="AM61" s="50" t="str">
        <f t="shared" si="16"/>
        <v>Check Data</v>
      </c>
      <c r="AN61" s="49" t="str">
        <f>IF(B61="","",IF(L61="S1","S1",INDEX(#REF!,#REF!)))</f>
        <v/>
      </c>
      <c r="AO61" s="49" t="str">
        <f t="shared" si="17"/>
        <v>M2</v>
      </c>
      <c r="AP61" s="50" t="b">
        <f>L61=AN61</f>
        <v>0</v>
      </c>
      <c r="AQ61" s="50"/>
    </row>
    <row r="62" spans="1:43" ht="21.75">
      <c r="A62" s="49">
        <v>60</v>
      </c>
      <c r="B62" s="50"/>
      <c r="C62" s="50"/>
      <c r="D62" s="50" t="s">
        <v>143</v>
      </c>
      <c r="E62" s="50" t="e">
        <f>INDEX(#REF!,#REF!)</f>
        <v>#REF!</v>
      </c>
      <c r="F62" s="49" t="s">
        <v>327</v>
      </c>
      <c r="G62" s="49" t="str">
        <f t="shared" si="13"/>
        <v>21/06/1988</v>
      </c>
      <c r="H62" s="50">
        <f t="shared" si="1"/>
        <v>36</v>
      </c>
      <c r="I62" s="50">
        <f t="shared" si="2"/>
        <v>11</v>
      </c>
      <c r="J62" s="50">
        <f t="shared" si="3"/>
        <v>30</v>
      </c>
      <c r="K62" s="58"/>
      <c r="L62" s="49" t="s">
        <v>136</v>
      </c>
      <c r="M62" s="64"/>
      <c r="N62" s="49" t="s">
        <v>427</v>
      </c>
      <c r="O62" s="49">
        <v>2570</v>
      </c>
      <c r="P62" s="65" t="s">
        <v>287</v>
      </c>
      <c r="Q62" s="49" t="str">
        <f t="shared" si="14"/>
        <v>29/10/2020</v>
      </c>
      <c r="R62" s="68">
        <f>IF(Q62="",0,DATEDIF(Q62,$C$1,"Y"))</f>
        <v>4</v>
      </c>
      <c r="S62" s="68">
        <f>IF(Q62="",0,DATEDIF(Q62,$C$1,"YM"))</f>
        <v>7</v>
      </c>
      <c r="T62" s="68">
        <f>IF(Q62="",0,DATEDIF(Q62,$C$1,"MD"))</f>
        <v>22</v>
      </c>
      <c r="U62" s="65"/>
      <c r="V62" s="65"/>
      <c r="W62" s="49" t="str">
        <f t="shared" si="18"/>
        <v/>
      </c>
      <c r="X62" s="68">
        <f>IF(W62="",0,DATEDIF(W62,Q62,"Y"))</f>
        <v>0</v>
      </c>
      <c r="Y62" s="68">
        <f>IF(W62="",0,DATEDIF(W62,Q62,"YM"))</f>
        <v>0</v>
      </c>
      <c r="Z62" s="68">
        <f>IF(W62="",0,DATEDIF(W62,Q62,"MD"))</f>
        <v>0</v>
      </c>
      <c r="AA62" s="49"/>
      <c r="AB62" s="65"/>
      <c r="AC62" s="50" t="str">
        <f t="shared" si="19"/>
        <v/>
      </c>
      <c r="AD62" s="68">
        <f t="shared" si="20"/>
        <v>0</v>
      </c>
      <c r="AE62" s="68">
        <f t="shared" si="21"/>
        <v>0</v>
      </c>
      <c r="AF62" s="68">
        <f t="shared" si="22"/>
        <v>0</v>
      </c>
      <c r="AG62" s="50"/>
      <c r="AH62" s="108" t="s">
        <v>178</v>
      </c>
      <c r="AI62" s="49" t="str">
        <f>IF(AH62="นิติศาสตร์","K5-LAW","K5-POLICY")</f>
        <v>K5-POLICY</v>
      </c>
      <c r="AJ62" s="72" t="str">
        <f>_xlfn.IFS(B62="","",AND(AI62="K5-LAW",AH62="นิติศาสตร์",L62="S2",U62="",AA62=""),Q62,AND(AI62="K5-LAW",AH62="นิติศาสตร์",L62="S1",U62="",AA62=""),EDATE(Q62,12),AND(AI62="K5-LAW",AH62="นิติศาสตร์",OR(L62="M2",L62="K4"),U62="",AA62=""),EDATE(Q62,12*2),AND(AI62="K5-LAW",AH62="นิติศาสตร์",OR(AA62="M2",AA62="K4"),AD62&gt;=2,OR(AC62&lt;W62,AC62&lt;Q62)),EDATE(AC62,12*2),AND(AI62="K5-LAW",AH62="นิติศาสตร์",AA62="S1",AD62&gt;=1,OR(AC62&lt;W62,AC62&lt;Q62)),EDATE(AC62,12),AND(AI62="K5-LAW",AH62="นิติศาสตร์",OR(U62="M2",U62="K4"),X62&gt;=2,W62&lt;Q62),EDATE(W62,12*2),AND(AI62="K5-LAW",AH62="นิติศาสตร์",U62="S1",X62&gt;=1,W62&lt;Q62),EDATE(W62,12),AND(AI62="K5-LAW",AH62="นิติศาสตร์",OR(U62="S2",U62="K5")),W62,AND(AI62="K5-LAW",AH62="นิติศาสตร์",OR(L62="M2",L62="K4"),R62&gt;=2),EDATE(Q62,12*2),AND(AI62="K5-LAW",AH62="นิติศาสตร์",L62="S1",R62&gt;=1),EDATE(Q62,12),AND(AI62="K5-LAW",AH62="นิติศาสตร์",OR(L62="S2",L62="K5")),Q62,AND(AI62="K5-POLICY",AH62&lt;&gt;"นิติศาสตร์",L62="S2",U62="",AA62=""),Q62,AND(AI62="K5-POLICY",AH62&lt;&gt;"นิติศาสตร์",L62="S1",U62="",AA62=""),EDATE(Q62,12),AND(AI62="K5-POLICY",AH62&lt;&gt;"นิติศาสตร์",OR(L62="M2",L62="K4"),U62="",AA62=""),EDATE(Q62,12*2),AND(AI62="K5-POLICY",AH62&lt;&gt;"นิติศาสตร์",OR(AA62="M2",AA62="K4"),AD62&gt;=2,OR(AC62&lt;W62,AC62&lt;Q62)),EDATE(AC62,12*2),AND(AI62="K5-POLICY",AH62&lt;&gt;"นิติศาสตร์",AA62="S1",AD62&gt;=1,OR(AC62&lt;W62,AC62&lt;Q62)),EDATE(AC62,12),AND(AI62="K5-POLICY",AH62&lt;&gt;"นิติศาสตร์",OR(U62="M2",U62="K4"),X62&gt;=2,W62&lt;Q62),EDATE(W62,12*2),AND(AI62="K5-POLICY",AH62&lt;&gt;"นิติศาสตร์",U62="S1",X62&gt;=1,W62&lt;Q62),EDATE(W62,12),AND(AI62="K5-POLICY",AH62&lt;&gt;"นิติศาสตร์",OR(U62="S2",U62="K5")),W62,AND(AI62="K5-POLICY",AH62&lt;&gt;"นิติศาสตร์",OR(L62="M2",L62="K4"),R62&gt;=2),EDATE(Q62,12*2),AND(AI62="K5-POLICY",AH62&lt;&gt;"นิติศาสตร์",L62="S1",R62&gt;=1),EDATE(Q62,12),AND(AI62="K5-POLICY",AH62&lt;&gt;"นิติศาสตร์",OR(L62="S2",L62="K5")),Q62,TRUE,"Check Data")</f>
        <v/>
      </c>
      <c r="AK62" s="75" t="str">
        <f t="shared" si="15"/>
        <v>Check Data</v>
      </c>
      <c r="AL62" s="76" t="str">
        <f t="shared" si="6"/>
        <v>Check Data</v>
      </c>
      <c r="AM62" s="50" t="str">
        <f t="shared" si="16"/>
        <v>Check Data</v>
      </c>
      <c r="AN62" s="49" t="str">
        <f>IF(B62="","",IF(L62="S1","S1",INDEX(#REF!,#REF!)))</f>
        <v/>
      </c>
      <c r="AO62" s="49" t="str">
        <f t="shared" si="17"/>
        <v>M2</v>
      </c>
      <c r="AP62" s="50" t="b">
        <f>L62=AN62</f>
        <v>0</v>
      </c>
      <c r="AQ62" s="50"/>
    </row>
    <row r="63" spans="1:43" ht="21.75">
      <c r="A63" s="49">
        <v>61</v>
      </c>
      <c r="B63" s="50"/>
      <c r="C63" s="50"/>
      <c r="D63" s="50" t="s">
        <v>143</v>
      </c>
      <c r="E63" s="50" t="e">
        <f>INDEX(#REF!,#REF!)</f>
        <v>#REF!</v>
      </c>
      <c r="F63" s="49" t="s">
        <v>347</v>
      </c>
      <c r="G63" s="49" t="str">
        <f t="shared" si="13"/>
        <v>16/11/1992</v>
      </c>
      <c r="H63" s="50">
        <f t="shared" si="1"/>
        <v>32</v>
      </c>
      <c r="I63" s="50">
        <f t="shared" si="2"/>
        <v>7</v>
      </c>
      <c r="J63" s="50">
        <f t="shared" si="3"/>
        <v>4</v>
      </c>
      <c r="K63" s="59"/>
      <c r="L63" s="49" t="s">
        <v>136</v>
      </c>
      <c r="M63" s="64"/>
      <c r="N63" s="49" t="s">
        <v>427</v>
      </c>
      <c r="O63" s="49">
        <v>2568</v>
      </c>
      <c r="P63" s="65" t="s">
        <v>287</v>
      </c>
      <c r="Q63" s="49" t="str">
        <f t="shared" si="14"/>
        <v>29/10/2020</v>
      </c>
      <c r="R63" s="68">
        <f>IF(Q63="",0,DATEDIF(Q63,$C$1,"Y"))</f>
        <v>4</v>
      </c>
      <c r="S63" s="68">
        <f>IF(Q63="",0,DATEDIF(Q63,$C$1,"YM"))</f>
        <v>7</v>
      </c>
      <c r="T63" s="68">
        <f>IF(Q63="",0,DATEDIF(Q63,$C$1,"MD"))</f>
        <v>22</v>
      </c>
      <c r="U63" s="65"/>
      <c r="V63" s="65"/>
      <c r="W63" s="49" t="str">
        <f t="shared" si="18"/>
        <v/>
      </c>
      <c r="X63" s="68">
        <f>IF(W63="",0,DATEDIF(W63,Q63,"Y"))</f>
        <v>0</v>
      </c>
      <c r="Y63" s="68">
        <f>IF(W63="",0,DATEDIF(W63,Q63,"YM"))</f>
        <v>0</v>
      </c>
      <c r="Z63" s="68">
        <f>IF(W63="",0,DATEDIF(W63,Q63,"MD"))</f>
        <v>0</v>
      </c>
      <c r="AA63" s="49"/>
      <c r="AB63" s="65"/>
      <c r="AC63" s="50" t="str">
        <f t="shared" si="19"/>
        <v/>
      </c>
      <c r="AD63" s="68">
        <f t="shared" si="20"/>
        <v>0</v>
      </c>
      <c r="AE63" s="68">
        <f t="shared" si="21"/>
        <v>0</v>
      </c>
      <c r="AF63" s="68">
        <f t="shared" si="22"/>
        <v>0</v>
      </c>
      <c r="AG63" s="50"/>
      <c r="AH63" s="108" t="s">
        <v>514</v>
      </c>
      <c r="AI63" s="49" t="str">
        <f>IF(AH63="นิติศาสตร์","K5-LAW","K5-POLICY")</f>
        <v>K5-POLICY</v>
      </c>
      <c r="AJ63" s="72" t="str">
        <f>_xlfn.IFS(B63="","",AND(AI63="K5-LAW",AH63="นิติศาสตร์",L63="S2",U63="",AA63=""),Q63,AND(AI63="K5-LAW",AH63="นิติศาสตร์",L63="S1",U63="",AA63=""),EDATE(Q63,12),AND(AI63="K5-LAW",AH63="นิติศาสตร์",OR(L63="M2",L63="K4"),U63="",AA63=""),EDATE(Q63,12*2),AND(AI63="K5-LAW",AH63="นิติศาสตร์",OR(AA63="M2",AA63="K4"),AD63&gt;=2,OR(AC63&lt;W63,AC63&lt;Q63)),EDATE(AC63,12*2),AND(AI63="K5-LAW",AH63="นิติศาสตร์",AA63="S1",AD63&gt;=1,OR(AC63&lt;W63,AC63&lt;Q63)),EDATE(AC63,12),AND(AI63="K5-LAW",AH63="นิติศาสตร์",OR(U63="M2",U63="K4"),X63&gt;=2,W63&lt;Q63),EDATE(W63,12*2),AND(AI63="K5-LAW",AH63="นิติศาสตร์",U63="S1",X63&gt;=1,W63&lt;Q63),EDATE(W63,12),AND(AI63="K5-LAW",AH63="นิติศาสตร์",OR(U63="S2",U63="K5")),W63,AND(AI63="K5-LAW",AH63="นิติศาสตร์",OR(L63="M2",L63="K4"),R63&gt;=2),EDATE(Q63,12*2),AND(AI63="K5-LAW",AH63="นิติศาสตร์",L63="S1",R63&gt;=1),EDATE(Q63,12),AND(AI63="K5-LAW",AH63="นิติศาสตร์",OR(L63="S2",L63="K5")),Q63,AND(AI63="K5-POLICY",AH63&lt;&gt;"นิติศาสตร์",L63="S2",U63="",AA63=""),Q63,AND(AI63="K5-POLICY",AH63&lt;&gt;"นิติศาสตร์",L63="S1",U63="",AA63=""),EDATE(Q63,12),AND(AI63="K5-POLICY",AH63&lt;&gt;"นิติศาสตร์",OR(L63="M2",L63="K4"),U63="",AA63=""),EDATE(Q63,12*2),AND(AI63="K5-POLICY",AH63&lt;&gt;"นิติศาสตร์",OR(AA63="M2",AA63="K4"),AD63&gt;=2,OR(AC63&lt;W63,AC63&lt;Q63)),EDATE(AC63,12*2),AND(AI63="K5-POLICY",AH63&lt;&gt;"นิติศาสตร์",AA63="S1",AD63&gt;=1,OR(AC63&lt;W63,AC63&lt;Q63)),EDATE(AC63,12),AND(AI63="K5-POLICY",AH63&lt;&gt;"นิติศาสตร์",OR(U63="M2",U63="K4"),X63&gt;=2,W63&lt;Q63),EDATE(W63,12*2),AND(AI63="K5-POLICY",AH63&lt;&gt;"นิติศาสตร์",U63="S1",X63&gt;=1,W63&lt;Q63),EDATE(W63,12),AND(AI63="K5-POLICY",AH63&lt;&gt;"นิติศาสตร์",OR(U63="S2",U63="K5")),W63,AND(AI63="K5-POLICY",AH63&lt;&gt;"นิติศาสตร์",OR(L63="M2",L63="K4"),R63&gt;=2),EDATE(Q63,12*2),AND(AI63="K5-POLICY",AH63&lt;&gt;"นิติศาสตร์",L63="S1",R63&gt;=1),EDATE(Q63,12),AND(AI63="K5-POLICY",AH63&lt;&gt;"นิติศาสตร์",OR(L63="S2",L63="K5")),Q63,TRUE,"Check Data")</f>
        <v/>
      </c>
      <c r="AK63" s="75" t="str">
        <f t="shared" si="15"/>
        <v>Check Data</v>
      </c>
      <c r="AL63" s="76" t="str">
        <f t="shared" si="6"/>
        <v>Check Data</v>
      </c>
      <c r="AM63" s="50" t="str">
        <f t="shared" si="16"/>
        <v>Check Data</v>
      </c>
      <c r="AN63" s="49" t="str">
        <f>IF(B63="","",IF(L63="S1","S1",INDEX(#REF!,#REF!)))</f>
        <v/>
      </c>
      <c r="AO63" s="49" t="str">
        <f t="shared" si="17"/>
        <v>M2</v>
      </c>
      <c r="AP63" s="50" t="b">
        <f>L63=AN63</f>
        <v>0</v>
      </c>
      <c r="AQ63" s="50"/>
    </row>
    <row r="64" spans="1:43" ht="21.75">
      <c r="A64" s="49">
        <v>62</v>
      </c>
      <c r="B64" s="50"/>
      <c r="C64" s="50"/>
      <c r="D64" s="50" t="s">
        <v>143</v>
      </c>
      <c r="E64" s="50" t="e">
        <f>INDEX(#REF!,#REF!)</f>
        <v>#REF!</v>
      </c>
      <c r="F64" s="49" t="s">
        <v>327</v>
      </c>
      <c r="G64" s="49" t="str">
        <f t="shared" si="13"/>
        <v>21/06/1988</v>
      </c>
      <c r="H64" s="50">
        <f t="shared" si="1"/>
        <v>36</v>
      </c>
      <c r="I64" s="50">
        <f t="shared" si="2"/>
        <v>11</v>
      </c>
      <c r="J64" s="50">
        <f t="shared" si="3"/>
        <v>30</v>
      </c>
      <c r="K64" s="59"/>
      <c r="L64" s="49" t="s">
        <v>136</v>
      </c>
      <c r="M64" s="64"/>
      <c r="N64" s="49" t="s">
        <v>427</v>
      </c>
      <c r="O64" s="49">
        <v>2569</v>
      </c>
      <c r="P64" s="65" t="s">
        <v>287</v>
      </c>
      <c r="Q64" s="49" t="str">
        <f t="shared" si="14"/>
        <v>29/10/2020</v>
      </c>
      <c r="R64" s="68">
        <f>IF(Q64="",0,DATEDIF(Q64,$C$1,"Y"))</f>
        <v>4</v>
      </c>
      <c r="S64" s="68">
        <f>IF(Q64="",0,DATEDIF(Q64,$C$1,"YM"))</f>
        <v>7</v>
      </c>
      <c r="T64" s="68">
        <f>IF(Q64="",0,DATEDIF(Q64,$C$1,"MD"))</f>
        <v>22</v>
      </c>
      <c r="U64" s="65"/>
      <c r="V64" s="65"/>
      <c r="W64" s="49" t="str">
        <f t="shared" si="18"/>
        <v/>
      </c>
      <c r="X64" s="68">
        <f>IF(W64="",0,DATEDIF(W64,Q64,"Y"))</f>
        <v>0</v>
      </c>
      <c r="Y64" s="68">
        <f>IF(W64="",0,DATEDIF(W64,Q64,"YM"))</f>
        <v>0</v>
      </c>
      <c r="Z64" s="68">
        <f>IF(W64="",0,DATEDIF(W64,Q64,"MD"))</f>
        <v>0</v>
      </c>
      <c r="AA64" s="49"/>
      <c r="AB64" s="65"/>
      <c r="AC64" s="50" t="str">
        <f t="shared" si="19"/>
        <v/>
      </c>
      <c r="AD64" s="68">
        <f t="shared" si="20"/>
        <v>0</v>
      </c>
      <c r="AE64" s="68">
        <f t="shared" si="21"/>
        <v>0</v>
      </c>
      <c r="AF64" s="68">
        <f t="shared" si="22"/>
        <v>0</v>
      </c>
      <c r="AG64" s="50"/>
      <c r="AH64" s="108" t="s">
        <v>513</v>
      </c>
      <c r="AI64" s="49" t="str">
        <f>IF(AH64="นิติศาสตร์","K5-LAW","K5-POLICY")</f>
        <v>K5-POLICY</v>
      </c>
      <c r="AJ64" s="72" t="str">
        <f>_xlfn.IFS(B64="","",AND(AI64="K5-LAW",AH64="นิติศาสตร์",L64="S2",U64="",AA64=""),Q64,AND(AI64="K5-LAW",AH64="นิติศาสตร์",L64="S1",U64="",AA64=""),EDATE(Q64,12),AND(AI64="K5-LAW",AH64="นิติศาสตร์",OR(L64="M2",L64="K4"),U64="",AA64=""),EDATE(Q64,12*2),AND(AI64="K5-LAW",AH64="นิติศาสตร์",OR(AA64="M2",AA64="K4"),AD64&gt;=2,OR(AC64&lt;W64,AC64&lt;Q64)),EDATE(AC64,12*2),AND(AI64="K5-LAW",AH64="นิติศาสตร์",AA64="S1",AD64&gt;=1,OR(AC64&lt;W64,AC64&lt;Q64)),EDATE(AC64,12),AND(AI64="K5-LAW",AH64="นิติศาสตร์",OR(U64="M2",U64="K4"),X64&gt;=2,W64&lt;Q64),EDATE(W64,12*2),AND(AI64="K5-LAW",AH64="นิติศาสตร์",U64="S1",X64&gt;=1,W64&lt;Q64),EDATE(W64,12),AND(AI64="K5-LAW",AH64="นิติศาสตร์",OR(U64="S2",U64="K5")),W64,AND(AI64="K5-LAW",AH64="นิติศาสตร์",OR(L64="M2",L64="K4"),R64&gt;=2),EDATE(Q64,12*2),AND(AI64="K5-LAW",AH64="นิติศาสตร์",L64="S1",R64&gt;=1),EDATE(Q64,12),AND(AI64="K5-LAW",AH64="นิติศาสตร์",OR(L64="S2",L64="K5")),Q64,AND(AI64="K5-POLICY",AH64&lt;&gt;"นิติศาสตร์",L64="S2",U64="",AA64=""),Q64,AND(AI64="K5-POLICY",AH64&lt;&gt;"นิติศาสตร์",L64="S1",U64="",AA64=""),EDATE(Q64,12),AND(AI64="K5-POLICY",AH64&lt;&gt;"นิติศาสตร์",OR(L64="M2",L64="K4"),U64="",AA64=""),EDATE(Q64,12*2),AND(AI64="K5-POLICY",AH64&lt;&gt;"นิติศาสตร์",OR(AA64="M2",AA64="K4"),AD64&gt;=2,OR(AC64&lt;W64,AC64&lt;Q64)),EDATE(AC64,12*2),AND(AI64="K5-POLICY",AH64&lt;&gt;"นิติศาสตร์",AA64="S1",AD64&gt;=1,OR(AC64&lt;W64,AC64&lt;Q64)),EDATE(AC64,12),AND(AI64="K5-POLICY",AH64&lt;&gt;"นิติศาสตร์",OR(U64="M2",U64="K4"),X64&gt;=2,W64&lt;Q64),EDATE(W64,12*2),AND(AI64="K5-POLICY",AH64&lt;&gt;"นิติศาสตร์",U64="S1",X64&gt;=1,W64&lt;Q64),EDATE(W64,12),AND(AI64="K5-POLICY",AH64&lt;&gt;"นิติศาสตร์",OR(U64="S2",U64="K5")),W64,AND(AI64="K5-POLICY",AH64&lt;&gt;"นิติศาสตร์",OR(L64="M2",L64="K4"),R64&gt;=2),EDATE(Q64,12*2),AND(AI64="K5-POLICY",AH64&lt;&gt;"นิติศาสตร์",L64="S1",R64&gt;=1),EDATE(Q64,12),AND(AI64="K5-POLICY",AH64&lt;&gt;"นิติศาสตร์",OR(L64="S2",L64="K5")),Q64,TRUE,"Check Data")</f>
        <v/>
      </c>
      <c r="AK64" s="75" t="str">
        <f t="shared" si="15"/>
        <v>Check Data</v>
      </c>
      <c r="AL64" s="76" t="str">
        <f t="shared" si="6"/>
        <v>Check Data</v>
      </c>
      <c r="AM64" s="50" t="str">
        <f t="shared" si="16"/>
        <v>Check Data</v>
      </c>
      <c r="AN64" s="49" t="str">
        <f>IF(B64="","",IF(L64="S1","S1",INDEX(#REF!,#REF!)))</f>
        <v/>
      </c>
      <c r="AO64" s="49" t="str">
        <f t="shared" si="17"/>
        <v>M2</v>
      </c>
      <c r="AP64" s="50" t="b">
        <f>L64=AN64</f>
        <v>0</v>
      </c>
      <c r="AQ64" s="50"/>
    </row>
    <row r="65" spans="1:43" ht="21.75">
      <c r="A65" s="49">
        <v>63</v>
      </c>
      <c r="B65" s="50"/>
      <c r="C65" s="50"/>
      <c r="D65" s="50" t="s">
        <v>143</v>
      </c>
      <c r="E65" s="50" t="e">
        <f>INDEX(#REF!,#REF!)</f>
        <v>#REF!</v>
      </c>
      <c r="F65" s="49" t="s">
        <v>349</v>
      </c>
      <c r="G65" s="49" t="str">
        <f t="shared" si="13"/>
        <v>24/10/1991</v>
      </c>
      <c r="H65" s="50">
        <f t="shared" si="1"/>
        <v>33</v>
      </c>
      <c r="I65" s="50">
        <f t="shared" si="2"/>
        <v>7</v>
      </c>
      <c r="J65" s="50">
        <f t="shared" si="3"/>
        <v>27</v>
      </c>
      <c r="K65" s="59"/>
      <c r="L65" s="49" t="s">
        <v>136</v>
      </c>
      <c r="M65" s="64"/>
      <c r="N65" s="49" t="s">
        <v>427</v>
      </c>
      <c r="O65" s="49">
        <v>2572</v>
      </c>
      <c r="P65" s="65" t="s">
        <v>287</v>
      </c>
      <c r="Q65" s="49" t="str">
        <f t="shared" si="14"/>
        <v>29/10/2020</v>
      </c>
      <c r="R65" s="68">
        <f>IF(Q65="",0,DATEDIF(Q65,$C$1,"Y"))</f>
        <v>4</v>
      </c>
      <c r="S65" s="68">
        <f>IF(Q65="",0,DATEDIF(Q65,$C$1,"YM"))</f>
        <v>7</v>
      </c>
      <c r="T65" s="68">
        <f>IF(Q65="",0,DATEDIF(Q65,$C$1,"MD"))</f>
        <v>22</v>
      </c>
      <c r="U65" s="65"/>
      <c r="V65" s="65"/>
      <c r="W65" s="49" t="str">
        <f t="shared" si="18"/>
        <v/>
      </c>
      <c r="X65" s="68">
        <f>IF(W65="",0,DATEDIF(W65,Q65,"Y"))</f>
        <v>0</v>
      </c>
      <c r="Y65" s="68">
        <f>IF(W65="",0,DATEDIF(W65,Q65,"YM"))</f>
        <v>0</v>
      </c>
      <c r="Z65" s="68">
        <f>IF(W65="",0,DATEDIF(W65,Q65,"MD"))</f>
        <v>0</v>
      </c>
      <c r="AA65" s="49"/>
      <c r="AB65" s="65"/>
      <c r="AC65" s="50" t="str">
        <f t="shared" si="19"/>
        <v/>
      </c>
      <c r="AD65" s="68">
        <f t="shared" si="20"/>
        <v>0</v>
      </c>
      <c r="AE65" s="68">
        <f t="shared" si="21"/>
        <v>0</v>
      </c>
      <c r="AF65" s="68">
        <f t="shared" si="22"/>
        <v>0</v>
      </c>
      <c r="AG65" s="50"/>
      <c r="AH65" s="108" t="s">
        <v>178</v>
      </c>
      <c r="AI65" s="49" t="str">
        <f>IF(AH65="นิติศาสตร์","K5-LAW","K5-POLICY")</f>
        <v>K5-POLICY</v>
      </c>
      <c r="AJ65" s="72" t="str">
        <f>_xlfn.IFS(B65="","",AND(AI65="K5-LAW",AH65="นิติศาสตร์",L65="S2",U65="",AA65=""),Q65,AND(AI65="K5-LAW",AH65="นิติศาสตร์",L65="S1",U65="",AA65=""),EDATE(Q65,12),AND(AI65="K5-LAW",AH65="นิติศาสตร์",OR(L65="M2",L65="K4"),U65="",AA65=""),EDATE(Q65,12*2),AND(AI65="K5-LAW",AH65="นิติศาสตร์",OR(AA65="M2",AA65="K4"),AD65&gt;=2,OR(AC65&lt;W65,AC65&lt;Q65)),EDATE(AC65,12*2),AND(AI65="K5-LAW",AH65="นิติศาสตร์",AA65="S1",AD65&gt;=1,OR(AC65&lt;W65,AC65&lt;Q65)),EDATE(AC65,12),AND(AI65="K5-LAW",AH65="นิติศาสตร์",OR(U65="M2",U65="K4"),X65&gt;=2,W65&lt;Q65),EDATE(W65,12*2),AND(AI65="K5-LAW",AH65="นิติศาสตร์",U65="S1",X65&gt;=1,W65&lt;Q65),EDATE(W65,12),AND(AI65="K5-LAW",AH65="นิติศาสตร์",OR(U65="S2",U65="K5")),W65,AND(AI65="K5-LAW",AH65="นิติศาสตร์",OR(L65="M2",L65="K4"),R65&gt;=2),EDATE(Q65,12*2),AND(AI65="K5-LAW",AH65="นิติศาสตร์",L65="S1",R65&gt;=1),EDATE(Q65,12),AND(AI65="K5-LAW",AH65="นิติศาสตร์",OR(L65="S2",L65="K5")),Q65,AND(AI65="K5-POLICY",AH65&lt;&gt;"นิติศาสตร์",L65="S2",U65="",AA65=""),Q65,AND(AI65="K5-POLICY",AH65&lt;&gt;"นิติศาสตร์",L65="S1",U65="",AA65=""),EDATE(Q65,12),AND(AI65="K5-POLICY",AH65&lt;&gt;"นิติศาสตร์",OR(L65="M2",L65="K4"),U65="",AA65=""),EDATE(Q65,12*2),AND(AI65="K5-POLICY",AH65&lt;&gt;"นิติศาสตร์",OR(AA65="M2",AA65="K4"),AD65&gt;=2,OR(AC65&lt;W65,AC65&lt;Q65)),EDATE(AC65,12*2),AND(AI65="K5-POLICY",AH65&lt;&gt;"นิติศาสตร์",AA65="S1",AD65&gt;=1,OR(AC65&lt;W65,AC65&lt;Q65)),EDATE(AC65,12),AND(AI65="K5-POLICY",AH65&lt;&gt;"นิติศาสตร์",OR(U65="M2",U65="K4"),X65&gt;=2,W65&lt;Q65),EDATE(W65,12*2),AND(AI65="K5-POLICY",AH65&lt;&gt;"นิติศาสตร์",U65="S1",X65&gt;=1,W65&lt;Q65),EDATE(W65,12),AND(AI65="K5-POLICY",AH65&lt;&gt;"นิติศาสตร์",OR(U65="S2",U65="K5")),W65,AND(AI65="K5-POLICY",AH65&lt;&gt;"นิติศาสตร์",OR(L65="M2",L65="K4"),R65&gt;=2),EDATE(Q65,12*2),AND(AI65="K5-POLICY",AH65&lt;&gt;"นิติศาสตร์",L65="S1",R65&gt;=1),EDATE(Q65,12),AND(AI65="K5-POLICY",AH65&lt;&gt;"นิติศาสตร์",OR(L65="S2",L65="K5")),Q65,TRUE,"Check Data")</f>
        <v/>
      </c>
      <c r="AK65" s="75" t="str">
        <f t="shared" si="15"/>
        <v>Check Data</v>
      </c>
      <c r="AL65" s="76" t="str">
        <f t="shared" si="6"/>
        <v>Check Data</v>
      </c>
      <c r="AM65" s="50" t="str">
        <f t="shared" si="16"/>
        <v>Check Data</v>
      </c>
      <c r="AN65" s="49" t="str">
        <f>IF(B65="","",IF(L65="S1","S1",INDEX(#REF!,#REF!)))</f>
        <v/>
      </c>
      <c r="AO65" s="49" t="str">
        <f t="shared" si="17"/>
        <v>M2</v>
      </c>
      <c r="AP65" s="50" t="b">
        <f>L65=AN65</f>
        <v>0</v>
      </c>
      <c r="AQ65" s="50"/>
    </row>
    <row r="66" spans="1:43" ht="21.75">
      <c r="A66" s="49">
        <v>64</v>
      </c>
      <c r="B66" s="50"/>
      <c r="C66" s="50"/>
      <c r="D66" s="50" t="s">
        <v>143</v>
      </c>
      <c r="E66" s="50" t="e">
        <f>INDEX(#REF!,#REF!)</f>
        <v>#REF!</v>
      </c>
      <c r="F66" s="49" t="s">
        <v>354</v>
      </c>
      <c r="G66" s="49" t="str">
        <f t="shared" si="13"/>
        <v>06/03/1996</v>
      </c>
      <c r="H66" s="50">
        <f t="shared" si="1"/>
        <v>29</v>
      </c>
      <c r="I66" s="50">
        <f t="shared" si="2"/>
        <v>3</v>
      </c>
      <c r="J66" s="50">
        <f t="shared" si="3"/>
        <v>14</v>
      </c>
      <c r="K66" s="59"/>
      <c r="L66" s="49" t="s">
        <v>136</v>
      </c>
      <c r="M66" s="64"/>
      <c r="N66" s="49" t="s">
        <v>427</v>
      </c>
      <c r="O66" s="49">
        <v>2573</v>
      </c>
      <c r="P66" s="65" t="s">
        <v>287</v>
      </c>
      <c r="Q66" s="49" t="str">
        <f t="shared" si="14"/>
        <v>29/10/2020</v>
      </c>
      <c r="R66" s="68">
        <f>IF(Q66="",0,DATEDIF(Q66,$C$1,"Y"))</f>
        <v>4</v>
      </c>
      <c r="S66" s="68">
        <f>IF(Q66="",0,DATEDIF(Q66,$C$1,"YM"))</f>
        <v>7</v>
      </c>
      <c r="T66" s="68">
        <f>IF(Q66="",0,DATEDIF(Q66,$C$1,"MD"))</f>
        <v>22</v>
      </c>
      <c r="U66" s="65"/>
      <c r="V66" s="65"/>
      <c r="W66" s="49" t="str">
        <f t="shared" si="18"/>
        <v/>
      </c>
      <c r="X66" s="68">
        <f>IF(W66="",0,DATEDIF(W66,Q66,"Y"))</f>
        <v>0</v>
      </c>
      <c r="Y66" s="68">
        <f>IF(W66="",0,DATEDIF(W66,Q66,"YM"))</f>
        <v>0</v>
      </c>
      <c r="Z66" s="68">
        <f>IF(W66="",0,DATEDIF(W66,Q66,"MD"))</f>
        <v>0</v>
      </c>
      <c r="AA66" s="49"/>
      <c r="AB66" s="65"/>
      <c r="AC66" s="50" t="str">
        <f t="shared" si="19"/>
        <v/>
      </c>
      <c r="AD66" s="68">
        <f t="shared" si="20"/>
        <v>0</v>
      </c>
      <c r="AE66" s="68">
        <f t="shared" si="21"/>
        <v>0</v>
      </c>
      <c r="AF66" s="68">
        <f t="shared" si="22"/>
        <v>0</v>
      </c>
      <c r="AG66" s="50"/>
      <c r="AH66" s="108" t="s">
        <v>486</v>
      </c>
      <c r="AI66" s="49" t="str">
        <f>IF(AH66="นิติศาสตร์","K5-LAW","K5-POLICY")</f>
        <v>K5-POLICY</v>
      </c>
      <c r="AJ66" s="72" t="str">
        <f>_xlfn.IFS(B66="","",AND(AI66="K5-LAW",AH66="นิติศาสตร์",L66="S2",U66="",AA66=""),Q66,AND(AI66="K5-LAW",AH66="นิติศาสตร์",L66="S1",U66="",AA66=""),EDATE(Q66,12),AND(AI66="K5-LAW",AH66="นิติศาสตร์",OR(L66="M2",L66="K4"),U66="",AA66=""),EDATE(Q66,12*2),AND(AI66="K5-LAW",AH66="นิติศาสตร์",OR(AA66="M2",AA66="K4"),AD66&gt;=2,OR(AC66&lt;W66,AC66&lt;Q66)),EDATE(AC66,12*2),AND(AI66="K5-LAW",AH66="นิติศาสตร์",AA66="S1",AD66&gt;=1,OR(AC66&lt;W66,AC66&lt;Q66)),EDATE(AC66,12),AND(AI66="K5-LAW",AH66="นิติศาสตร์",OR(U66="M2",U66="K4"),X66&gt;=2,W66&lt;Q66),EDATE(W66,12*2),AND(AI66="K5-LAW",AH66="นิติศาสตร์",U66="S1",X66&gt;=1,W66&lt;Q66),EDATE(W66,12),AND(AI66="K5-LAW",AH66="นิติศาสตร์",OR(U66="S2",U66="K5")),W66,AND(AI66="K5-LAW",AH66="นิติศาสตร์",OR(L66="M2",L66="K4"),R66&gt;=2),EDATE(Q66,12*2),AND(AI66="K5-LAW",AH66="นิติศาสตร์",L66="S1",R66&gt;=1),EDATE(Q66,12),AND(AI66="K5-LAW",AH66="นิติศาสตร์",OR(L66="S2",L66="K5")),Q66,AND(AI66="K5-POLICY",AH66&lt;&gt;"นิติศาสตร์",L66="S2",U66="",AA66=""),Q66,AND(AI66="K5-POLICY",AH66&lt;&gt;"นิติศาสตร์",L66="S1",U66="",AA66=""),EDATE(Q66,12),AND(AI66="K5-POLICY",AH66&lt;&gt;"นิติศาสตร์",OR(L66="M2",L66="K4"),U66="",AA66=""),EDATE(Q66,12*2),AND(AI66="K5-POLICY",AH66&lt;&gt;"นิติศาสตร์",OR(AA66="M2",AA66="K4"),AD66&gt;=2,OR(AC66&lt;W66,AC66&lt;Q66)),EDATE(AC66,12*2),AND(AI66="K5-POLICY",AH66&lt;&gt;"นิติศาสตร์",AA66="S1",AD66&gt;=1,OR(AC66&lt;W66,AC66&lt;Q66)),EDATE(AC66,12),AND(AI66="K5-POLICY",AH66&lt;&gt;"นิติศาสตร์",OR(U66="M2",U66="K4"),X66&gt;=2,W66&lt;Q66),EDATE(W66,12*2),AND(AI66="K5-POLICY",AH66&lt;&gt;"นิติศาสตร์",U66="S1",X66&gt;=1,W66&lt;Q66),EDATE(W66,12),AND(AI66="K5-POLICY",AH66&lt;&gt;"นิติศาสตร์",OR(U66="S2",U66="K5")),W66,AND(AI66="K5-POLICY",AH66&lt;&gt;"นิติศาสตร์",OR(L66="M2",L66="K4"),R66&gt;=2),EDATE(Q66,12*2),AND(AI66="K5-POLICY",AH66&lt;&gt;"นิติศาสตร์",L66="S1",R66&gt;=1),EDATE(Q66,12),AND(AI66="K5-POLICY",AH66&lt;&gt;"นิติศาสตร์",OR(L66="S2",L66="K5")),Q66,TRUE,"Check Data")</f>
        <v/>
      </c>
      <c r="AK66" s="75" t="str">
        <f t="shared" si="15"/>
        <v>Check Data</v>
      </c>
      <c r="AL66" s="76" t="str">
        <f t="shared" si="6"/>
        <v>Check Data</v>
      </c>
      <c r="AM66" s="50" t="str">
        <f t="shared" si="16"/>
        <v>Check Data</v>
      </c>
      <c r="AN66" s="49" t="str">
        <f>IF(B66="","",IF(L66="S1","S1",INDEX(#REF!,#REF!)))</f>
        <v/>
      </c>
      <c r="AO66" s="49" t="str">
        <f t="shared" si="17"/>
        <v>M2</v>
      </c>
      <c r="AP66" s="50" t="b">
        <f>L66=AN66</f>
        <v>0</v>
      </c>
      <c r="AQ66" s="50"/>
    </row>
    <row r="67" spans="1:43" ht="21.75">
      <c r="A67" s="49">
        <v>65</v>
      </c>
      <c r="B67" s="50"/>
      <c r="C67" s="50"/>
      <c r="D67" s="50" t="s">
        <v>143</v>
      </c>
      <c r="E67" s="50" t="e">
        <f>INDEX(#REF!,#REF!)</f>
        <v>#REF!</v>
      </c>
      <c r="F67" s="49" t="s">
        <v>296</v>
      </c>
      <c r="G67" s="49" t="str">
        <f t="shared" si="13"/>
        <v>02/10/1995</v>
      </c>
      <c r="H67" s="50">
        <f t="shared" ref="H67:H130" si="23">IF(G67="",0,DATEDIF(G67,$C$1,"Y"))</f>
        <v>29</v>
      </c>
      <c r="I67" s="50">
        <f t="shared" ref="I67:I130" si="24">IF(G67="",0,DATEDIF(G67,$C$1,"YM"))</f>
        <v>8</v>
      </c>
      <c r="J67" s="50">
        <f t="shared" ref="J67:J130" si="25">IF(G67="",0,DATEDIF(G67,$C$1,"MD"))</f>
        <v>18</v>
      </c>
      <c r="K67" s="59"/>
      <c r="L67" s="49" t="s">
        <v>136</v>
      </c>
      <c r="M67" s="64"/>
      <c r="N67" s="49" t="s">
        <v>427</v>
      </c>
      <c r="O67" s="49">
        <v>2570</v>
      </c>
      <c r="P67" s="65" t="s">
        <v>287</v>
      </c>
      <c r="Q67" s="49" t="str">
        <f t="shared" si="14"/>
        <v>29/10/2020</v>
      </c>
      <c r="R67" s="68">
        <f>IF(Q67="",0,DATEDIF(Q67,$C$1,"Y"))</f>
        <v>4</v>
      </c>
      <c r="S67" s="68">
        <f>IF(Q67="",0,DATEDIF(Q67,$C$1,"YM"))</f>
        <v>7</v>
      </c>
      <c r="T67" s="68">
        <f>IF(Q67="",0,DATEDIF(Q67,$C$1,"MD"))</f>
        <v>22</v>
      </c>
      <c r="U67" s="65"/>
      <c r="V67" s="65"/>
      <c r="W67" s="49" t="str">
        <f t="shared" si="18"/>
        <v/>
      </c>
      <c r="X67" s="68">
        <f>IF(W67="",0,DATEDIF(W67,Q67,"Y"))</f>
        <v>0</v>
      </c>
      <c r="Y67" s="68">
        <f>IF(W67="",0,DATEDIF(W67,Q67,"YM"))</f>
        <v>0</v>
      </c>
      <c r="Z67" s="68">
        <f>IF(W67="",0,DATEDIF(W67,Q67,"MD"))</f>
        <v>0</v>
      </c>
      <c r="AA67" s="49"/>
      <c r="AB67" s="65"/>
      <c r="AC67" s="50" t="str">
        <f t="shared" si="19"/>
        <v/>
      </c>
      <c r="AD67" s="68">
        <f t="shared" si="20"/>
        <v>0</v>
      </c>
      <c r="AE67" s="68">
        <f t="shared" si="21"/>
        <v>0</v>
      </c>
      <c r="AF67" s="68">
        <f t="shared" si="22"/>
        <v>0</v>
      </c>
      <c r="AG67" s="50"/>
      <c r="AH67" s="108" t="s">
        <v>515</v>
      </c>
      <c r="AI67" s="49" t="str">
        <f>IF(AH67="นิติศาสตร์","K5-LAW","K5-POLICY")</f>
        <v>K5-POLICY</v>
      </c>
      <c r="AJ67" s="72" t="str">
        <f>_xlfn.IFS(B67="","",AND(AI67="K5-LAW",AH67="นิติศาสตร์",L67="S2",U67="",AA67=""),Q67,AND(AI67="K5-LAW",AH67="นิติศาสตร์",L67="S1",U67="",AA67=""),EDATE(Q67,12),AND(AI67="K5-LAW",AH67="นิติศาสตร์",OR(L67="M2",L67="K4"),U67="",AA67=""),EDATE(Q67,12*2),AND(AI67="K5-LAW",AH67="นิติศาสตร์",OR(AA67="M2",AA67="K4"),AD67&gt;=2,OR(AC67&lt;W67,AC67&lt;Q67)),EDATE(AC67,12*2),AND(AI67="K5-LAW",AH67="นิติศาสตร์",AA67="S1",AD67&gt;=1,OR(AC67&lt;W67,AC67&lt;Q67)),EDATE(AC67,12),AND(AI67="K5-LAW",AH67="นิติศาสตร์",OR(U67="M2",U67="K4"),X67&gt;=2,W67&lt;Q67),EDATE(W67,12*2),AND(AI67="K5-LAW",AH67="นิติศาสตร์",U67="S1",X67&gt;=1,W67&lt;Q67),EDATE(W67,12),AND(AI67="K5-LAW",AH67="นิติศาสตร์",OR(U67="S2",U67="K5")),W67,AND(AI67="K5-LAW",AH67="นิติศาสตร์",OR(L67="M2",L67="K4"),R67&gt;=2),EDATE(Q67,12*2),AND(AI67="K5-LAW",AH67="นิติศาสตร์",L67="S1",R67&gt;=1),EDATE(Q67,12),AND(AI67="K5-LAW",AH67="นิติศาสตร์",OR(L67="S2",L67="K5")),Q67,AND(AI67="K5-POLICY",AH67&lt;&gt;"นิติศาสตร์",L67="S2",U67="",AA67=""),Q67,AND(AI67="K5-POLICY",AH67&lt;&gt;"นิติศาสตร์",L67="S1",U67="",AA67=""),EDATE(Q67,12),AND(AI67="K5-POLICY",AH67&lt;&gt;"นิติศาสตร์",OR(L67="M2",L67="K4"),U67="",AA67=""),EDATE(Q67,12*2),AND(AI67="K5-POLICY",AH67&lt;&gt;"นิติศาสตร์",OR(AA67="M2",AA67="K4"),AD67&gt;=2,OR(AC67&lt;W67,AC67&lt;Q67)),EDATE(AC67,12*2),AND(AI67="K5-POLICY",AH67&lt;&gt;"นิติศาสตร์",AA67="S1",AD67&gt;=1,OR(AC67&lt;W67,AC67&lt;Q67)),EDATE(AC67,12),AND(AI67="K5-POLICY",AH67&lt;&gt;"นิติศาสตร์",OR(U67="M2",U67="K4"),X67&gt;=2,W67&lt;Q67),EDATE(W67,12*2),AND(AI67="K5-POLICY",AH67&lt;&gt;"นิติศาสตร์",U67="S1",X67&gt;=1,W67&lt;Q67),EDATE(W67,12),AND(AI67="K5-POLICY",AH67&lt;&gt;"นิติศาสตร์",OR(U67="S2",U67="K5")),W67,AND(AI67="K5-POLICY",AH67&lt;&gt;"นิติศาสตร์",OR(L67="M2",L67="K4"),R67&gt;=2),EDATE(Q67,12*2),AND(AI67="K5-POLICY",AH67&lt;&gt;"นิติศาสตร์",L67="S1",R67&gt;=1),EDATE(Q67,12),AND(AI67="K5-POLICY",AH67&lt;&gt;"นิติศาสตร์",OR(L67="S2",L67="K5")),Q67,TRUE,"Check Data")</f>
        <v/>
      </c>
      <c r="AK67" s="75" t="str">
        <f t="shared" si="15"/>
        <v>Check Data</v>
      </c>
      <c r="AL67" s="76" t="str">
        <f t="shared" ref="AL67:AL130" si="26">IFERROR(IF($C$1&gt;AJ67,AJ67-$C$1,DATEDIF($C$1,AJ67,"d")),"Check Data")</f>
        <v>Check Data</v>
      </c>
      <c r="AM67" s="50" t="str">
        <f t="shared" si="16"/>
        <v>Check Data</v>
      </c>
      <c r="AN67" s="49" t="str">
        <f>IF(B67="","",IF(L67="S1","S1",INDEX(#REF!,#REF!)))</f>
        <v/>
      </c>
      <c r="AO67" s="49" t="str">
        <f t="shared" si="17"/>
        <v>M2</v>
      </c>
      <c r="AP67" s="50" t="b">
        <f>L67=AN67</f>
        <v>0</v>
      </c>
      <c r="AQ67" s="50"/>
    </row>
    <row r="68" spans="1:43" ht="21.75">
      <c r="A68" s="49">
        <v>66</v>
      </c>
      <c r="B68" s="50"/>
      <c r="C68" s="50"/>
      <c r="D68" s="50" t="s">
        <v>143</v>
      </c>
      <c r="E68" s="50" t="e">
        <f>INDEX(#REF!,#REF!)</f>
        <v>#REF!</v>
      </c>
      <c r="F68" s="49" t="s">
        <v>230</v>
      </c>
      <c r="G68" s="49" t="str">
        <f t="shared" si="13"/>
        <v>03/11/1997</v>
      </c>
      <c r="H68" s="50">
        <f t="shared" si="23"/>
        <v>27</v>
      </c>
      <c r="I68" s="50">
        <f t="shared" si="24"/>
        <v>7</v>
      </c>
      <c r="J68" s="50">
        <f t="shared" si="25"/>
        <v>17</v>
      </c>
      <c r="K68" s="59"/>
      <c r="L68" s="49" t="s">
        <v>136</v>
      </c>
      <c r="M68" s="64"/>
      <c r="N68" s="49" t="s">
        <v>427</v>
      </c>
      <c r="O68" s="49">
        <v>2576</v>
      </c>
      <c r="P68" s="65" t="s">
        <v>287</v>
      </c>
      <c r="Q68" s="49" t="str">
        <f t="shared" si="14"/>
        <v>29/10/2020</v>
      </c>
      <c r="R68" s="68">
        <f>IF(Q68="",0,DATEDIF(Q68,$C$1,"Y"))</f>
        <v>4</v>
      </c>
      <c r="S68" s="68">
        <f>IF(Q68="",0,DATEDIF(Q68,$C$1,"YM"))</f>
        <v>7</v>
      </c>
      <c r="T68" s="68">
        <f>IF(Q68="",0,DATEDIF(Q68,$C$1,"MD"))</f>
        <v>22</v>
      </c>
      <c r="U68" s="65"/>
      <c r="V68" s="65"/>
      <c r="W68" s="49" t="str">
        <f t="shared" si="18"/>
        <v/>
      </c>
      <c r="X68" s="68">
        <f>IF(W68="",0,DATEDIF(W68,Q68,"Y"))</f>
        <v>0</v>
      </c>
      <c r="Y68" s="68">
        <f>IF(W68="",0,DATEDIF(W68,Q68,"YM"))</f>
        <v>0</v>
      </c>
      <c r="Z68" s="68">
        <f>IF(W68="",0,DATEDIF(W68,Q68,"MD"))</f>
        <v>0</v>
      </c>
      <c r="AA68" s="49"/>
      <c r="AB68" s="65"/>
      <c r="AC68" s="50" t="str">
        <f t="shared" si="19"/>
        <v/>
      </c>
      <c r="AD68" s="68">
        <f t="shared" si="20"/>
        <v>0</v>
      </c>
      <c r="AE68" s="68">
        <f t="shared" si="21"/>
        <v>0</v>
      </c>
      <c r="AF68" s="68">
        <f t="shared" si="22"/>
        <v>0</v>
      </c>
      <c r="AG68" s="50"/>
      <c r="AH68" s="108" t="s">
        <v>138</v>
      </c>
      <c r="AI68" s="49" t="str">
        <f>IF(AH68="นิติศาสตร์","K5-LAW","K5-POLICY")</f>
        <v>K5-LAW</v>
      </c>
      <c r="AJ68" s="72" t="str">
        <f>_xlfn.IFS(B68="","",AND(AI68="K5-LAW",AH68="นิติศาสตร์",L68="S2",U68="",AA68=""),Q68,AND(AI68="K5-LAW",AH68="นิติศาสตร์",L68="S1",U68="",AA68=""),EDATE(Q68,12),AND(AI68="K5-LAW",AH68="นิติศาสตร์",OR(L68="M2",L68="K4"),U68="",AA68=""),EDATE(Q68,12*2),AND(AI68="K5-LAW",AH68="นิติศาสตร์",OR(AA68="M2",AA68="K4"),AD68&gt;=2,OR(AC68&lt;W68,AC68&lt;Q68)),EDATE(AC68,12*2),AND(AI68="K5-LAW",AH68="นิติศาสตร์",AA68="S1",AD68&gt;=1,OR(AC68&lt;W68,AC68&lt;Q68)),EDATE(AC68,12),AND(AI68="K5-LAW",AH68="นิติศาสตร์",OR(U68="M2",U68="K4"),X68&gt;=2,W68&lt;Q68),EDATE(W68,12*2),AND(AI68="K5-LAW",AH68="นิติศาสตร์",U68="S1",X68&gt;=1,W68&lt;Q68),EDATE(W68,12),AND(AI68="K5-LAW",AH68="นิติศาสตร์",OR(U68="S2",U68="K5")),W68,AND(AI68="K5-LAW",AH68="นิติศาสตร์",OR(L68="M2",L68="K4"),R68&gt;=2),EDATE(Q68,12*2),AND(AI68="K5-LAW",AH68="นิติศาสตร์",L68="S1",R68&gt;=1),EDATE(Q68,12),AND(AI68="K5-LAW",AH68="นิติศาสตร์",OR(L68="S2",L68="K5")),Q68,AND(AI68="K5-POLICY",AH68&lt;&gt;"นิติศาสตร์",L68="S2",U68="",AA68=""),Q68,AND(AI68="K5-POLICY",AH68&lt;&gt;"นิติศาสตร์",L68="S1",U68="",AA68=""),EDATE(Q68,12),AND(AI68="K5-POLICY",AH68&lt;&gt;"นิติศาสตร์",OR(L68="M2",L68="K4"),U68="",AA68=""),EDATE(Q68,12*2),AND(AI68="K5-POLICY",AH68&lt;&gt;"นิติศาสตร์",OR(AA68="M2",AA68="K4"),AD68&gt;=2,OR(AC68&lt;W68,AC68&lt;Q68)),EDATE(AC68,12*2),AND(AI68="K5-POLICY",AH68&lt;&gt;"นิติศาสตร์",AA68="S1",AD68&gt;=1,OR(AC68&lt;W68,AC68&lt;Q68)),EDATE(AC68,12),AND(AI68="K5-POLICY",AH68&lt;&gt;"นิติศาสตร์",OR(U68="M2",U68="K4"),X68&gt;=2,W68&lt;Q68),EDATE(W68,12*2),AND(AI68="K5-POLICY",AH68&lt;&gt;"นิติศาสตร์",U68="S1",X68&gt;=1,W68&lt;Q68),EDATE(W68,12),AND(AI68="K5-POLICY",AH68&lt;&gt;"นิติศาสตร์",OR(U68="S2",U68="K5")),W68,AND(AI68="K5-POLICY",AH68&lt;&gt;"นิติศาสตร์",OR(L68="M2",L68="K4"),R68&gt;=2),EDATE(Q68,12*2),AND(AI68="K5-POLICY",AH68&lt;&gt;"นิติศาสตร์",L68="S1",R68&gt;=1),EDATE(Q68,12),AND(AI68="K5-POLICY",AH68&lt;&gt;"นิติศาสตร์",OR(L68="S2",L68="K5")),Q68,TRUE,"Check Data")</f>
        <v/>
      </c>
      <c r="AK68" s="75" t="str">
        <f t="shared" si="15"/>
        <v>Check Data</v>
      </c>
      <c r="AL68" s="76" t="str">
        <f t="shared" si="26"/>
        <v>Check Data</v>
      </c>
      <c r="AM68" s="50" t="str">
        <f t="shared" si="16"/>
        <v>Check Data</v>
      </c>
      <c r="AN68" s="49" t="str">
        <f>IF(B68="","",IF(L68="S1","S1",INDEX(#REF!,#REF!)))</f>
        <v/>
      </c>
      <c r="AO68" s="49" t="str">
        <f t="shared" si="17"/>
        <v>M2</v>
      </c>
      <c r="AP68" s="50" t="b">
        <f>L68=AN68</f>
        <v>0</v>
      </c>
      <c r="AQ68" s="50"/>
    </row>
    <row r="69" spans="1:43" ht="21.75">
      <c r="A69" s="49">
        <v>67</v>
      </c>
      <c r="B69" s="50"/>
      <c r="C69" s="50"/>
      <c r="D69" s="50" t="s">
        <v>143</v>
      </c>
      <c r="E69" s="50" t="e">
        <f>INDEX(#REF!,#REF!)</f>
        <v>#REF!</v>
      </c>
      <c r="F69" s="49" t="s">
        <v>334</v>
      </c>
      <c r="G69" s="49" t="str">
        <f t="shared" si="13"/>
        <v>23/08/1996</v>
      </c>
      <c r="H69" s="50">
        <f t="shared" si="23"/>
        <v>28</v>
      </c>
      <c r="I69" s="50">
        <f t="shared" si="24"/>
        <v>9</v>
      </c>
      <c r="J69" s="50">
        <f t="shared" si="25"/>
        <v>28</v>
      </c>
      <c r="K69" s="59"/>
      <c r="L69" s="49" t="s">
        <v>136</v>
      </c>
      <c r="M69" s="64"/>
      <c r="N69" s="49" t="s">
        <v>427</v>
      </c>
      <c r="O69" s="49">
        <v>2576</v>
      </c>
      <c r="P69" s="65" t="s">
        <v>287</v>
      </c>
      <c r="Q69" s="49" t="str">
        <f t="shared" si="14"/>
        <v>29/10/2020</v>
      </c>
      <c r="R69" s="68">
        <f>IF(Q69="",0,DATEDIF(Q69,$C$1,"Y"))</f>
        <v>4</v>
      </c>
      <c r="S69" s="68">
        <f>IF(Q69="",0,DATEDIF(Q69,$C$1,"YM"))</f>
        <v>7</v>
      </c>
      <c r="T69" s="68">
        <f>IF(Q69="",0,DATEDIF(Q69,$C$1,"MD"))</f>
        <v>22</v>
      </c>
      <c r="U69" s="65"/>
      <c r="V69" s="65"/>
      <c r="W69" s="49" t="str">
        <f t="shared" si="18"/>
        <v/>
      </c>
      <c r="X69" s="68">
        <f>IF(W69="",0,DATEDIF(W69,Q69,"Y"))</f>
        <v>0</v>
      </c>
      <c r="Y69" s="68">
        <f>IF(W69="",0,DATEDIF(W69,Q69,"YM"))</f>
        <v>0</v>
      </c>
      <c r="Z69" s="68">
        <f>IF(W69="",0,DATEDIF(W69,Q69,"MD"))</f>
        <v>0</v>
      </c>
      <c r="AA69" s="49"/>
      <c r="AB69" s="65"/>
      <c r="AC69" s="50" t="str">
        <f t="shared" si="19"/>
        <v/>
      </c>
      <c r="AD69" s="68">
        <f t="shared" si="20"/>
        <v>0</v>
      </c>
      <c r="AE69" s="68">
        <f t="shared" si="21"/>
        <v>0</v>
      </c>
      <c r="AF69" s="68">
        <f t="shared" si="22"/>
        <v>0</v>
      </c>
      <c r="AG69" s="50"/>
      <c r="AH69" s="108" t="s">
        <v>513</v>
      </c>
      <c r="AI69" s="49" t="str">
        <f>IF(AH69="นิติศาสตร์","K5-LAW","K5-POLICY")</f>
        <v>K5-POLICY</v>
      </c>
      <c r="AJ69" s="72" t="str">
        <f>_xlfn.IFS(B69="","",AND(AI69="K5-LAW",AH69="นิติศาสตร์",L69="S2",U69="",AA69=""),Q69,AND(AI69="K5-LAW",AH69="นิติศาสตร์",L69="S1",U69="",AA69=""),EDATE(Q69,12),AND(AI69="K5-LAW",AH69="นิติศาสตร์",OR(L69="M2",L69="K4"),U69="",AA69=""),EDATE(Q69,12*2),AND(AI69="K5-LAW",AH69="นิติศาสตร์",OR(AA69="M2",AA69="K4"),AD69&gt;=2,OR(AC69&lt;W69,AC69&lt;Q69)),EDATE(AC69,12*2),AND(AI69="K5-LAW",AH69="นิติศาสตร์",AA69="S1",AD69&gt;=1,OR(AC69&lt;W69,AC69&lt;Q69)),EDATE(AC69,12),AND(AI69="K5-LAW",AH69="นิติศาสตร์",OR(U69="M2",U69="K4"),X69&gt;=2,W69&lt;Q69),EDATE(W69,12*2),AND(AI69="K5-LAW",AH69="นิติศาสตร์",U69="S1",X69&gt;=1,W69&lt;Q69),EDATE(W69,12),AND(AI69="K5-LAW",AH69="นิติศาสตร์",OR(U69="S2",U69="K5")),W69,AND(AI69="K5-LAW",AH69="นิติศาสตร์",OR(L69="M2",L69="K4"),R69&gt;=2),EDATE(Q69,12*2),AND(AI69="K5-LAW",AH69="นิติศาสตร์",L69="S1",R69&gt;=1),EDATE(Q69,12),AND(AI69="K5-LAW",AH69="นิติศาสตร์",OR(L69="S2",L69="K5")),Q69,AND(AI69="K5-POLICY",AH69&lt;&gt;"นิติศาสตร์",L69="S2",U69="",AA69=""),Q69,AND(AI69="K5-POLICY",AH69&lt;&gt;"นิติศาสตร์",L69="S1",U69="",AA69=""),EDATE(Q69,12),AND(AI69="K5-POLICY",AH69&lt;&gt;"นิติศาสตร์",OR(L69="M2",L69="K4"),U69="",AA69=""),EDATE(Q69,12*2),AND(AI69="K5-POLICY",AH69&lt;&gt;"นิติศาสตร์",OR(AA69="M2",AA69="K4"),AD69&gt;=2,OR(AC69&lt;W69,AC69&lt;Q69)),EDATE(AC69,12*2),AND(AI69="K5-POLICY",AH69&lt;&gt;"นิติศาสตร์",AA69="S1",AD69&gt;=1,OR(AC69&lt;W69,AC69&lt;Q69)),EDATE(AC69,12),AND(AI69="K5-POLICY",AH69&lt;&gt;"นิติศาสตร์",OR(U69="M2",U69="K4"),X69&gt;=2,W69&lt;Q69),EDATE(W69,12*2),AND(AI69="K5-POLICY",AH69&lt;&gt;"นิติศาสตร์",U69="S1",X69&gt;=1,W69&lt;Q69),EDATE(W69,12),AND(AI69="K5-POLICY",AH69&lt;&gt;"นิติศาสตร์",OR(U69="S2",U69="K5")),W69,AND(AI69="K5-POLICY",AH69&lt;&gt;"นิติศาสตร์",OR(L69="M2",L69="K4"),R69&gt;=2),EDATE(Q69,12*2),AND(AI69="K5-POLICY",AH69&lt;&gt;"นิติศาสตร์",L69="S1",R69&gt;=1),EDATE(Q69,12),AND(AI69="K5-POLICY",AH69&lt;&gt;"นิติศาสตร์",OR(L69="S2",L69="K5")),Q69,TRUE,"Check Data")</f>
        <v/>
      </c>
      <c r="AK69" s="75" t="str">
        <f t="shared" si="15"/>
        <v>Check Data</v>
      </c>
      <c r="AL69" s="76" t="str">
        <f t="shared" si="26"/>
        <v>Check Data</v>
      </c>
      <c r="AM69" s="50" t="str">
        <f t="shared" si="16"/>
        <v>Check Data</v>
      </c>
      <c r="AN69" s="49" t="str">
        <f>IF(B69="","",IF(L69="S1","S1",INDEX(#REF!,#REF!)))</f>
        <v/>
      </c>
      <c r="AO69" s="49" t="str">
        <f t="shared" si="17"/>
        <v>M2</v>
      </c>
      <c r="AP69" s="50" t="b">
        <f>L69=AN69</f>
        <v>0</v>
      </c>
      <c r="AQ69" s="50"/>
    </row>
    <row r="70" spans="1:43" ht="21.75">
      <c r="A70" s="49">
        <v>68</v>
      </c>
      <c r="B70" s="50"/>
      <c r="C70" s="50"/>
      <c r="D70" s="50" t="s">
        <v>143</v>
      </c>
      <c r="E70" s="50" t="e">
        <f>INDEX(#REF!,#REF!)</f>
        <v>#REF!</v>
      </c>
      <c r="F70" s="49" t="s">
        <v>302</v>
      </c>
      <c r="G70" s="49" t="str">
        <f t="shared" si="13"/>
        <v>27/12/1989</v>
      </c>
      <c r="H70" s="50">
        <f t="shared" si="23"/>
        <v>35</v>
      </c>
      <c r="I70" s="50">
        <f t="shared" si="24"/>
        <v>5</v>
      </c>
      <c r="J70" s="50">
        <f t="shared" si="25"/>
        <v>24</v>
      </c>
      <c r="K70" s="59"/>
      <c r="L70" s="49" t="s">
        <v>136</v>
      </c>
      <c r="M70" s="64"/>
      <c r="N70" s="49" t="s">
        <v>427</v>
      </c>
      <c r="O70" s="49">
        <v>2571</v>
      </c>
      <c r="P70" s="65" t="s">
        <v>287</v>
      </c>
      <c r="Q70" s="49" t="str">
        <f t="shared" si="14"/>
        <v>29/10/2020</v>
      </c>
      <c r="R70" s="68">
        <f>IF(Q70="",0,DATEDIF(Q70,$C$1,"Y"))</f>
        <v>4</v>
      </c>
      <c r="S70" s="68">
        <f>IF(Q70="",0,DATEDIF(Q70,$C$1,"YM"))</f>
        <v>7</v>
      </c>
      <c r="T70" s="68">
        <f>IF(Q70="",0,DATEDIF(Q70,$C$1,"MD"))</f>
        <v>22</v>
      </c>
      <c r="U70" s="65"/>
      <c r="V70" s="65"/>
      <c r="W70" s="49" t="str">
        <f t="shared" si="18"/>
        <v/>
      </c>
      <c r="X70" s="68">
        <f>IF(W70="",0,DATEDIF(W70,Q70,"Y"))</f>
        <v>0</v>
      </c>
      <c r="Y70" s="68">
        <f>IF(W70="",0,DATEDIF(W70,Q70,"YM"))</f>
        <v>0</v>
      </c>
      <c r="Z70" s="68">
        <f>IF(W70="",0,DATEDIF(W70,Q70,"MD"))</f>
        <v>0</v>
      </c>
      <c r="AA70" s="49"/>
      <c r="AB70" s="65"/>
      <c r="AC70" s="50" t="str">
        <f t="shared" si="19"/>
        <v/>
      </c>
      <c r="AD70" s="68">
        <f t="shared" si="20"/>
        <v>0</v>
      </c>
      <c r="AE70" s="68">
        <f t="shared" si="21"/>
        <v>0</v>
      </c>
      <c r="AF70" s="68">
        <f t="shared" si="22"/>
        <v>0</v>
      </c>
      <c r="AG70" s="50"/>
      <c r="AH70" s="108" t="s">
        <v>167</v>
      </c>
      <c r="AI70" s="49" t="str">
        <f>IF(AH70="นิติศาสตร์","K5-LAW","K5-POLICY")</f>
        <v>K5-POLICY</v>
      </c>
      <c r="AJ70" s="72" t="str">
        <f>_xlfn.IFS(B70="","",AND(AI70="K5-LAW",AH70="นิติศาสตร์",L70="S2",U70="",AA70=""),Q70,AND(AI70="K5-LAW",AH70="นิติศาสตร์",L70="S1",U70="",AA70=""),EDATE(Q70,12),AND(AI70="K5-LAW",AH70="นิติศาสตร์",OR(L70="M2",L70="K4"),U70="",AA70=""),EDATE(Q70,12*2),AND(AI70="K5-LAW",AH70="นิติศาสตร์",OR(AA70="M2",AA70="K4"),AD70&gt;=2,OR(AC70&lt;W70,AC70&lt;Q70)),EDATE(AC70,12*2),AND(AI70="K5-LAW",AH70="นิติศาสตร์",AA70="S1",AD70&gt;=1,OR(AC70&lt;W70,AC70&lt;Q70)),EDATE(AC70,12),AND(AI70="K5-LAW",AH70="นิติศาสตร์",OR(U70="M2",U70="K4"),X70&gt;=2,W70&lt;Q70),EDATE(W70,12*2),AND(AI70="K5-LAW",AH70="นิติศาสตร์",U70="S1",X70&gt;=1,W70&lt;Q70),EDATE(W70,12),AND(AI70="K5-LAW",AH70="นิติศาสตร์",OR(U70="S2",U70="K5")),W70,AND(AI70="K5-LAW",AH70="นิติศาสตร์",OR(L70="M2",L70="K4"),R70&gt;=2),EDATE(Q70,12*2),AND(AI70="K5-LAW",AH70="นิติศาสตร์",L70="S1",R70&gt;=1),EDATE(Q70,12),AND(AI70="K5-LAW",AH70="นิติศาสตร์",OR(L70="S2",L70="K5")),Q70,AND(AI70="K5-POLICY",AH70&lt;&gt;"นิติศาสตร์",L70="S2",U70="",AA70=""),Q70,AND(AI70="K5-POLICY",AH70&lt;&gt;"นิติศาสตร์",L70="S1",U70="",AA70=""),EDATE(Q70,12),AND(AI70="K5-POLICY",AH70&lt;&gt;"นิติศาสตร์",OR(L70="M2",L70="K4"),U70="",AA70=""),EDATE(Q70,12*2),AND(AI70="K5-POLICY",AH70&lt;&gt;"นิติศาสตร์",OR(AA70="M2",AA70="K4"),AD70&gt;=2,OR(AC70&lt;W70,AC70&lt;Q70)),EDATE(AC70,12*2),AND(AI70="K5-POLICY",AH70&lt;&gt;"นิติศาสตร์",AA70="S1",AD70&gt;=1,OR(AC70&lt;W70,AC70&lt;Q70)),EDATE(AC70,12),AND(AI70="K5-POLICY",AH70&lt;&gt;"นิติศาสตร์",OR(U70="M2",U70="K4"),X70&gt;=2,W70&lt;Q70),EDATE(W70,12*2),AND(AI70="K5-POLICY",AH70&lt;&gt;"นิติศาสตร์",U70="S1",X70&gt;=1,W70&lt;Q70),EDATE(W70,12),AND(AI70="K5-POLICY",AH70&lt;&gt;"นิติศาสตร์",OR(U70="S2",U70="K5")),W70,AND(AI70="K5-POLICY",AH70&lt;&gt;"นิติศาสตร์",OR(L70="M2",L70="K4"),R70&gt;=2),EDATE(Q70,12*2),AND(AI70="K5-POLICY",AH70&lt;&gt;"นิติศาสตร์",L70="S1",R70&gt;=1),EDATE(Q70,12),AND(AI70="K5-POLICY",AH70&lt;&gt;"นิติศาสตร์",OR(L70="S2",L70="K5")),Q70,TRUE,"Check Data")</f>
        <v/>
      </c>
      <c r="AK70" s="75" t="str">
        <f t="shared" si="15"/>
        <v>Check Data</v>
      </c>
      <c r="AL70" s="76" t="str">
        <f t="shared" si="26"/>
        <v>Check Data</v>
      </c>
      <c r="AM70" s="50" t="str">
        <f t="shared" si="16"/>
        <v>Check Data</v>
      </c>
      <c r="AN70" s="49" t="str">
        <f>IF(B70="","",IF(L70="S1","S1",INDEX(#REF!,#REF!)))</f>
        <v/>
      </c>
      <c r="AO70" s="49" t="str">
        <f t="shared" si="17"/>
        <v>M2</v>
      </c>
      <c r="AP70" s="50" t="b">
        <f>L70=AN70</f>
        <v>0</v>
      </c>
      <c r="AQ70" s="50"/>
    </row>
    <row r="71" spans="1:43" ht="21.75">
      <c r="A71" s="49">
        <v>69</v>
      </c>
      <c r="B71" s="50"/>
      <c r="C71" s="50"/>
      <c r="D71" s="50" t="s">
        <v>143</v>
      </c>
      <c r="E71" s="50" t="e">
        <f>INDEX(#REF!,#REF!)</f>
        <v>#REF!</v>
      </c>
      <c r="F71" s="49" t="s">
        <v>324</v>
      </c>
      <c r="G71" s="49" t="str">
        <f t="shared" si="13"/>
        <v>01/09/1999</v>
      </c>
      <c r="H71" s="50">
        <f t="shared" si="23"/>
        <v>25</v>
      </c>
      <c r="I71" s="50">
        <f t="shared" si="24"/>
        <v>9</v>
      </c>
      <c r="J71" s="50">
        <f t="shared" si="25"/>
        <v>19</v>
      </c>
      <c r="K71" s="59"/>
      <c r="L71" s="49" t="s">
        <v>136</v>
      </c>
      <c r="M71" s="64"/>
      <c r="N71" s="49" t="s">
        <v>427</v>
      </c>
      <c r="O71" s="49">
        <v>2575</v>
      </c>
      <c r="P71" s="65" t="s">
        <v>287</v>
      </c>
      <c r="Q71" s="49" t="str">
        <f t="shared" si="14"/>
        <v>29/10/2020</v>
      </c>
      <c r="R71" s="68">
        <f>IF(Q71="",0,DATEDIF(Q71,$C$1,"Y"))</f>
        <v>4</v>
      </c>
      <c r="S71" s="68">
        <f>IF(Q71="",0,DATEDIF(Q71,$C$1,"YM"))</f>
        <v>7</v>
      </c>
      <c r="T71" s="68">
        <f>IF(Q71="",0,DATEDIF(Q71,$C$1,"MD"))</f>
        <v>22</v>
      </c>
      <c r="U71" s="65"/>
      <c r="V71" s="65"/>
      <c r="W71" s="49" t="str">
        <f t="shared" si="18"/>
        <v/>
      </c>
      <c r="X71" s="68">
        <f>IF(W71="",0,DATEDIF(W71,Q71,"Y"))</f>
        <v>0</v>
      </c>
      <c r="Y71" s="68">
        <f>IF(W71="",0,DATEDIF(W71,Q71,"YM"))</f>
        <v>0</v>
      </c>
      <c r="Z71" s="68">
        <f>IF(W71="",0,DATEDIF(W71,Q71,"MD"))</f>
        <v>0</v>
      </c>
      <c r="AA71" s="49"/>
      <c r="AB71" s="65"/>
      <c r="AC71" s="50" t="str">
        <f t="shared" si="19"/>
        <v/>
      </c>
      <c r="AD71" s="68">
        <f t="shared" si="20"/>
        <v>0</v>
      </c>
      <c r="AE71" s="68">
        <f t="shared" si="21"/>
        <v>0</v>
      </c>
      <c r="AF71" s="68">
        <f t="shared" si="22"/>
        <v>0</v>
      </c>
      <c r="AG71" s="50"/>
      <c r="AH71" s="108" t="s">
        <v>512</v>
      </c>
      <c r="AI71" s="49" t="str">
        <f>IF(AH71="นิติศาสตร์","K5-LAW","K5-POLICY")</f>
        <v>K5-POLICY</v>
      </c>
      <c r="AJ71" s="72" t="str">
        <f>_xlfn.IFS(B71="","",AND(AI71="K5-LAW",AH71="นิติศาสตร์",L71="S2",U71="",AA71=""),Q71,AND(AI71="K5-LAW",AH71="นิติศาสตร์",L71="S1",U71="",AA71=""),EDATE(Q71,12),AND(AI71="K5-LAW",AH71="นิติศาสตร์",OR(L71="M2",L71="K4"),U71="",AA71=""),EDATE(Q71,12*2),AND(AI71="K5-LAW",AH71="นิติศาสตร์",OR(AA71="M2",AA71="K4"),AD71&gt;=2,OR(AC71&lt;W71,AC71&lt;Q71)),EDATE(AC71,12*2),AND(AI71="K5-LAW",AH71="นิติศาสตร์",AA71="S1",AD71&gt;=1,OR(AC71&lt;W71,AC71&lt;Q71)),EDATE(AC71,12),AND(AI71="K5-LAW",AH71="นิติศาสตร์",OR(U71="M2",U71="K4"),X71&gt;=2,W71&lt;Q71),EDATE(W71,12*2),AND(AI71="K5-LAW",AH71="นิติศาสตร์",U71="S1",X71&gt;=1,W71&lt;Q71),EDATE(W71,12),AND(AI71="K5-LAW",AH71="นิติศาสตร์",OR(U71="S2",U71="K5")),W71,AND(AI71="K5-LAW",AH71="นิติศาสตร์",OR(L71="M2",L71="K4"),R71&gt;=2),EDATE(Q71,12*2),AND(AI71="K5-LAW",AH71="นิติศาสตร์",L71="S1",R71&gt;=1),EDATE(Q71,12),AND(AI71="K5-LAW",AH71="นิติศาสตร์",OR(L71="S2",L71="K5")),Q71,AND(AI71="K5-POLICY",AH71&lt;&gt;"นิติศาสตร์",L71="S2",U71="",AA71=""),Q71,AND(AI71="K5-POLICY",AH71&lt;&gt;"นิติศาสตร์",L71="S1",U71="",AA71=""),EDATE(Q71,12),AND(AI71="K5-POLICY",AH71&lt;&gt;"นิติศาสตร์",OR(L71="M2",L71="K4"),U71="",AA71=""),EDATE(Q71,12*2),AND(AI71="K5-POLICY",AH71&lt;&gt;"นิติศาสตร์",OR(AA71="M2",AA71="K4"),AD71&gt;=2,OR(AC71&lt;W71,AC71&lt;Q71)),EDATE(AC71,12*2),AND(AI71="K5-POLICY",AH71&lt;&gt;"นิติศาสตร์",AA71="S1",AD71&gt;=1,OR(AC71&lt;W71,AC71&lt;Q71)),EDATE(AC71,12),AND(AI71="K5-POLICY",AH71&lt;&gt;"นิติศาสตร์",OR(U71="M2",U71="K4"),X71&gt;=2,W71&lt;Q71),EDATE(W71,12*2),AND(AI71="K5-POLICY",AH71&lt;&gt;"นิติศาสตร์",U71="S1",X71&gt;=1,W71&lt;Q71),EDATE(W71,12),AND(AI71="K5-POLICY",AH71&lt;&gt;"นิติศาสตร์",OR(U71="S2",U71="K5")),W71,AND(AI71="K5-POLICY",AH71&lt;&gt;"นิติศาสตร์",OR(L71="M2",L71="K4"),R71&gt;=2),EDATE(Q71,12*2),AND(AI71="K5-POLICY",AH71&lt;&gt;"นิติศาสตร์",L71="S1",R71&gt;=1),EDATE(Q71,12),AND(AI71="K5-POLICY",AH71&lt;&gt;"นิติศาสตร์",OR(L71="S2",L71="K5")),Q71,TRUE,"Check Data")</f>
        <v/>
      </c>
      <c r="AK71" s="75" t="str">
        <f t="shared" si="15"/>
        <v>Check Data</v>
      </c>
      <c r="AL71" s="76" t="str">
        <f t="shared" si="26"/>
        <v>Check Data</v>
      </c>
      <c r="AM71" s="50" t="str">
        <f t="shared" si="16"/>
        <v>Check Data</v>
      </c>
      <c r="AN71" s="49" t="str">
        <f>IF(B71="","",IF(L71="S1","S1",INDEX(#REF!,#REF!)))</f>
        <v/>
      </c>
      <c r="AO71" s="49" t="str">
        <f t="shared" si="17"/>
        <v>M2</v>
      </c>
      <c r="AP71" s="50" t="b">
        <f>L71=AN71</f>
        <v>0</v>
      </c>
      <c r="AQ71" s="50"/>
    </row>
    <row r="72" spans="1:43" ht="21.75">
      <c r="A72" s="49">
        <v>70</v>
      </c>
      <c r="B72" s="50"/>
      <c r="C72" s="50"/>
      <c r="D72" s="50" t="s">
        <v>143</v>
      </c>
      <c r="E72" s="50" t="e">
        <f>INDEX(#REF!,#REF!)</f>
        <v>#REF!</v>
      </c>
      <c r="F72" s="49" t="s">
        <v>288</v>
      </c>
      <c r="G72" s="49" t="str">
        <f t="shared" si="13"/>
        <v>13/01/1997</v>
      </c>
      <c r="H72" s="50">
        <f t="shared" si="23"/>
        <v>28</v>
      </c>
      <c r="I72" s="50">
        <f t="shared" si="24"/>
        <v>5</v>
      </c>
      <c r="J72" s="50">
        <f t="shared" si="25"/>
        <v>7</v>
      </c>
      <c r="K72" s="59"/>
      <c r="L72" s="49" t="s">
        <v>136</v>
      </c>
      <c r="M72" s="64"/>
      <c r="N72" s="49" t="s">
        <v>427</v>
      </c>
      <c r="O72" s="49">
        <v>2571</v>
      </c>
      <c r="P72" s="65" t="s">
        <v>287</v>
      </c>
      <c r="Q72" s="49" t="str">
        <f t="shared" si="14"/>
        <v>29/10/2020</v>
      </c>
      <c r="R72" s="68">
        <f>IF(Q72="",0,DATEDIF(Q72,$C$1,"Y"))</f>
        <v>4</v>
      </c>
      <c r="S72" s="68">
        <f>IF(Q72="",0,DATEDIF(Q72,$C$1,"YM"))</f>
        <v>7</v>
      </c>
      <c r="T72" s="68">
        <f>IF(Q72="",0,DATEDIF(Q72,$C$1,"MD"))</f>
        <v>22</v>
      </c>
      <c r="U72" s="65"/>
      <c r="V72" s="65"/>
      <c r="W72" s="49" t="str">
        <f t="shared" si="18"/>
        <v/>
      </c>
      <c r="X72" s="68">
        <f>IF(W72="",0,DATEDIF(W72,Q72,"Y"))</f>
        <v>0</v>
      </c>
      <c r="Y72" s="68">
        <f>IF(W72="",0,DATEDIF(W72,Q72,"YM"))</f>
        <v>0</v>
      </c>
      <c r="Z72" s="68">
        <f>IF(W72="",0,DATEDIF(W72,Q72,"MD"))</f>
        <v>0</v>
      </c>
      <c r="AA72" s="49"/>
      <c r="AB72" s="65"/>
      <c r="AC72" s="50" t="str">
        <f t="shared" si="19"/>
        <v/>
      </c>
      <c r="AD72" s="68">
        <f t="shared" si="20"/>
        <v>0</v>
      </c>
      <c r="AE72" s="68">
        <f t="shared" si="21"/>
        <v>0</v>
      </c>
      <c r="AF72" s="68">
        <f t="shared" si="22"/>
        <v>0</v>
      </c>
      <c r="AG72" s="50"/>
      <c r="AH72" s="108" t="s">
        <v>512</v>
      </c>
      <c r="AI72" s="49" t="str">
        <f>IF(AH72="นิติศาสตร์","K5-LAW","K5-POLICY")</f>
        <v>K5-POLICY</v>
      </c>
      <c r="AJ72" s="72" t="str">
        <f>_xlfn.IFS(B72="","",AND(AI72="K5-LAW",AH72="นิติศาสตร์",L72="S2",U72="",AA72=""),Q72,AND(AI72="K5-LAW",AH72="นิติศาสตร์",L72="S1",U72="",AA72=""),EDATE(Q72,12),AND(AI72="K5-LAW",AH72="นิติศาสตร์",OR(L72="M2",L72="K4"),U72="",AA72=""),EDATE(Q72,12*2),AND(AI72="K5-LAW",AH72="นิติศาสตร์",OR(AA72="M2",AA72="K4"),AD72&gt;=2,OR(AC72&lt;W72,AC72&lt;Q72)),EDATE(AC72,12*2),AND(AI72="K5-LAW",AH72="นิติศาสตร์",AA72="S1",AD72&gt;=1,OR(AC72&lt;W72,AC72&lt;Q72)),EDATE(AC72,12),AND(AI72="K5-LAW",AH72="นิติศาสตร์",OR(U72="M2",U72="K4"),X72&gt;=2,W72&lt;Q72),EDATE(W72,12*2),AND(AI72="K5-LAW",AH72="นิติศาสตร์",U72="S1",X72&gt;=1,W72&lt;Q72),EDATE(W72,12),AND(AI72="K5-LAW",AH72="นิติศาสตร์",OR(U72="S2",U72="K5")),W72,AND(AI72="K5-LAW",AH72="นิติศาสตร์",OR(L72="M2",L72="K4"),R72&gt;=2),EDATE(Q72,12*2),AND(AI72="K5-LAW",AH72="นิติศาสตร์",L72="S1",R72&gt;=1),EDATE(Q72,12),AND(AI72="K5-LAW",AH72="นิติศาสตร์",OR(L72="S2",L72="K5")),Q72,AND(AI72="K5-POLICY",AH72&lt;&gt;"นิติศาสตร์",L72="S2",U72="",AA72=""),Q72,AND(AI72="K5-POLICY",AH72&lt;&gt;"นิติศาสตร์",L72="S1",U72="",AA72=""),EDATE(Q72,12),AND(AI72="K5-POLICY",AH72&lt;&gt;"นิติศาสตร์",OR(L72="M2",L72="K4"),U72="",AA72=""),EDATE(Q72,12*2),AND(AI72="K5-POLICY",AH72&lt;&gt;"นิติศาสตร์",OR(AA72="M2",AA72="K4"),AD72&gt;=2,OR(AC72&lt;W72,AC72&lt;Q72)),EDATE(AC72,12*2),AND(AI72="K5-POLICY",AH72&lt;&gt;"นิติศาสตร์",AA72="S1",AD72&gt;=1,OR(AC72&lt;W72,AC72&lt;Q72)),EDATE(AC72,12),AND(AI72="K5-POLICY",AH72&lt;&gt;"นิติศาสตร์",OR(U72="M2",U72="K4"),X72&gt;=2,W72&lt;Q72),EDATE(W72,12*2),AND(AI72="K5-POLICY",AH72&lt;&gt;"นิติศาสตร์",U72="S1",X72&gt;=1,W72&lt;Q72),EDATE(W72,12),AND(AI72="K5-POLICY",AH72&lt;&gt;"นิติศาสตร์",OR(U72="S2",U72="K5")),W72,AND(AI72="K5-POLICY",AH72&lt;&gt;"นิติศาสตร์",OR(L72="M2",L72="K4"),R72&gt;=2),EDATE(Q72,12*2),AND(AI72="K5-POLICY",AH72&lt;&gt;"นิติศาสตร์",L72="S1",R72&gt;=1),EDATE(Q72,12),AND(AI72="K5-POLICY",AH72&lt;&gt;"นิติศาสตร์",OR(L72="S2",L72="K5")),Q72,TRUE,"Check Data")</f>
        <v/>
      </c>
      <c r="AK72" s="75" t="str">
        <f t="shared" si="15"/>
        <v>Check Data</v>
      </c>
      <c r="AL72" s="76" t="str">
        <f t="shared" si="26"/>
        <v>Check Data</v>
      </c>
      <c r="AM72" s="50" t="str">
        <f t="shared" si="16"/>
        <v>Check Data</v>
      </c>
      <c r="AN72" s="49" t="str">
        <f>IF(B72="","",IF(L72="S1","S1",INDEX(#REF!,#REF!)))</f>
        <v/>
      </c>
      <c r="AO72" s="49" t="str">
        <f t="shared" si="17"/>
        <v>M2</v>
      </c>
      <c r="AP72" s="50" t="b">
        <f>L72=AN72</f>
        <v>0</v>
      </c>
      <c r="AQ72" s="50"/>
    </row>
    <row r="73" spans="1:43" ht="21.75">
      <c r="A73" s="49">
        <v>71</v>
      </c>
      <c r="B73" s="50"/>
      <c r="C73" s="50"/>
      <c r="D73" s="50" t="s">
        <v>143</v>
      </c>
      <c r="E73" s="50" t="e">
        <f>INDEX(#REF!,#REF!)</f>
        <v>#REF!</v>
      </c>
      <c r="F73" s="49" t="s">
        <v>309</v>
      </c>
      <c r="G73" s="49" t="str">
        <f t="shared" si="13"/>
        <v>01/06/1995</v>
      </c>
      <c r="H73" s="50">
        <f t="shared" si="23"/>
        <v>30</v>
      </c>
      <c r="I73" s="50">
        <f t="shared" si="24"/>
        <v>0</v>
      </c>
      <c r="J73" s="50">
        <f t="shared" si="25"/>
        <v>19</v>
      </c>
      <c r="K73" s="59"/>
      <c r="L73" s="49" t="s">
        <v>136</v>
      </c>
      <c r="M73" s="64"/>
      <c r="N73" s="49" t="s">
        <v>427</v>
      </c>
      <c r="O73" s="49">
        <v>2575</v>
      </c>
      <c r="P73" s="65" t="s">
        <v>287</v>
      </c>
      <c r="Q73" s="49" t="str">
        <f t="shared" si="14"/>
        <v>29/10/2020</v>
      </c>
      <c r="R73" s="68">
        <f>IF(Q73="",0,DATEDIF(Q73,$C$1,"Y"))</f>
        <v>4</v>
      </c>
      <c r="S73" s="68">
        <f>IF(Q73="",0,DATEDIF(Q73,$C$1,"YM"))</f>
        <v>7</v>
      </c>
      <c r="T73" s="68">
        <f>IF(Q73="",0,DATEDIF(Q73,$C$1,"MD"))</f>
        <v>22</v>
      </c>
      <c r="U73" s="65"/>
      <c r="V73" s="65"/>
      <c r="W73" s="49" t="str">
        <f t="shared" si="18"/>
        <v/>
      </c>
      <c r="X73" s="68">
        <f>IF(W73="",0,DATEDIF(W73,Q73,"Y"))</f>
        <v>0</v>
      </c>
      <c r="Y73" s="68">
        <f>IF(W73="",0,DATEDIF(W73,Q73,"YM"))</f>
        <v>0</v>
      </c>
      <c r="Z73" s="68">
        <f>IF(W73="",0,DATEDIF(W73,Q73,"MD"))</f>
        <v>0</v>
      </c>
      <c r="AA73" s="49"/>
      <c r="AB73" s="65"/>
      <c r="AC73" s="50" t="str">
        <f t="shared" si="19"/>
        <v/>
      </c>
      <c r="AD73" s="68">
        <f t="shared" si="20"/>
        <v>0</v>
      </c>
      <c r="AE73" s="68">
        <f t="shared" si="21"/>
        <v>0</v>
      </c>
      <c r="AF73" s="68">
        <f t="shared" si="22"/>
        <v>0</v>
      </c>
      <c r="AG73" s="50"/>
      <c r="AH73" s="108" t="s">
        <v>172</v>
      </c>
      <c r="AI73" s="49" t="str">
        <f>IF(AH73="นิติศาสตร์","K5-LAW","K5-POLICY")</f>
        <v>K5-POLICY</v>
      </c>
      <c r="AJ73" s="72" t="str">
        <f>_xlfn.IFS(B73="","",AND(AI73="K5-LAW",AH73="นิติศาสตร์",L73="S2",U73="",AA73=""),Q73,AND(AI73="K5-LAW",AH73="นิติศาสตร์",L73="S1",U73="",AA73=""),EDATE(Q73,12),AND(AI73="K5-LAW",AH73="นิติศาสตร์",OR(L73="M2",L73="K4"),U73="",AA73=""),EDATE(Q73,12*2),AND(AI73="K5-LAW",AH73="นิติศาสตร์",OR(AA73="M2",AA73="K4"),AD73&gt;=2,OR(AC73&lt;W73,AC73&lt;Q73)),EDATE(AC73,12*2),AND(AI73="K5-LAW",AH73="นิติศาสตร์",AA73="S1",AD73&gt;=1,OR(AC73&lt;W73,AC73&lt;Q73)),EDATE(AC73,12),AND(AI73="K5-LAW",AH73="นิติศาสตร์",OR(U73="M2",U73="K4"),X73&gt;=2,W73&lt;Q73),EDATE(W73,12*2),AND(AI73="K5-LAW",AH73="นิติศาสตร์",U73="S1",X73&gt;=1,W73&lt;Q73),EDATE(W73,12),AND(AI73="K5-LAW",AH73="นิติศาสตร์",OR(U73="S2",U73="K5")),W73,AND(AI73="K5-LAW",AH73="นิติศาสตร์",OR(L73="M2",L73="K4"),R73&gt;=2),EDATE(Q73,12*2),AND(AI73="K5-LAW",AH73="นิติศาสตร์",L73="S1",R73&gt;=1),EDATE(Q73,12),AND(AI73="K5-LAW",AH73="นิติศาสตร์",OR(L73="S2",L73="K5")),Q73,AND(AI73="K5-POLICY",AH73&lt;&gt;"นิติศาสตร์",L73="S2",U73="",AA73=""),Q73,AND(AI73="K5-POLICY",AH73&lt;&gt;"นิติศาสตร์",L73="S1",U73="",AA73=""),EDATE(Q73,12),AND(AI73="K5-POLICY",AH73&lt;&gt;"นิติศาสตร์",OR(L73="M2",L73="K4"),U73="",AA73=""),EDATE(Q73,12*2),AND(AI73="K5-POLICY",AH73&lt;&gt;"นิติศาสตร์",OR(AA73="M2",AA73="K4"),AD73&gt;=2,OR(AC73&lt;W73,AC73&lt;Q73)),EDATE(AC73,12*2),AND(AI73="K5-POLICY",AH73&lt;&gt;"นิติศาสตร์",AA73="S1",AD73&gt;=1,OR(AC73&lt;W73,AC73&lt;Q73)),EDATE(AC73,12),AND(AI73="K5-POLICY",AH73&lt;&gt;"นิติศาสตร์",OR(U73="M2",U73="K4"),X73&gt;=2,W73&lt;Q73),EDATE(W73,12*2),AND(AI73="K5-POLICY",AH73&lt;&gt;"นิติศาสตร์",U73="S1",X73&gt;=1,W73&lt;Q73),EDATE(W73,12),AND(AI73="K5-POLICY",AH73&lt;&gt;"นิติศาสตร์",OR(U73="S2",U73="K5")),W73,AND(AI73="K5-POLICY",AH73&lt;&gt;"นิติศาสตร์",OR(L73="M2",L73="K4"),R73&gt;=2),EDATE(Q73,12*2),AND(AI73="K5-POLICY",AH73&lt;&gt;"นิติศาสตร์",L73="S1",R73&gt;=1),EDATE(Q73,12),AND(AI73="K5-POLICY",AH73&lt;&gt;"นิติศาสตร์",OR(L73="S2",L73="K5")),Q73,TRUE,"Check Data")</f>
        <v/>
      </c>
      <c r="AK73" s="75" t="str">
        <f t="shared" si="15"/>
        <v>Check Data</v>
      </c>
      <c r="AL73" s="76" t="str">
        <f t="shared" si="26"/>
        <v>Check Data</v>
      </c>
      <c r="AM73" s="50" t="str">
        <f t="shared" si="16"/>
        <v>Check Data</v>
      </c>
      <c r="AN73" s="49" t="str">
        <f>IF(B73="","",IF(L73="S1","S1",INDEX(#REF!,#REF!)))</f>
        <v/>
      </c>
      <c r="AO73" s="49" t="str">
        <f t="shared" si="17"/>
        <v>M2</v>
      </c>
      <c r="AP73" s="50" t="b">
        <f>L73=AN73</f>
        <v>0</v>
      </c>
      <c r="AQ73" s="50"/>
    </row>
    <row r="74" spans="1:43" ht="21.75">
      <c r="A74" s="49">
        <v>72</v>
      </c>
      <c r="B74" s="50"/>
      <c r="C74" s="50"/>
      <c r="D74" s="50" t="s">
        <v>143</v>
      </c>
      <c r="E74" s="50" t="e">
        <f>INDEX(#REF!,#REF!)</f>
        <v>#REF!</v>
      </c>
      <c r="F74" s="49" t="s">
        <v>312</v>
      </c>
      <c r="G74" s="49" t="str">
        <f t="shared" ref="G74:G105" si="27">IF(F74="","",TEXT(EDATE(F74,-543*12),"dd/mm/yyyy"))</f>
        <v>04/05/2000</v>
      </c>
      <c r="H74" s="50">
        <f t="shared" si="23"/>
        <v>25</v>
      </c>
      <c r="I74" s="50">
        <f t="shared" si="24"/>
        <v>1</v>
      </c>
      <c r="J74" s="50">
        <f t="shared" si="25"/>
        <v>16</v>
      </c>
      <c r="K74" s="59"/>
      <c r="L74" s="49" t="s">
        <v>136</v>
      </c>
      <c r="M74" s="64"/>
      <c r="N74" s="49" t="s">
        <v>427</v>
      </c>
      <c r="O74" s="49">
        <v>2581</v>
      </c>
      <c r="P74" s="65" t="s">
        <v>287</v>
      </c>
      <c r="Q74" s="49" t="str">
        <f t="shared" ref="Q74:Q105" si="28">TEXT(EDATE(P74,-543*12),"dd/mm/yyyy")</f>
        <v>29/10/2020</v>
      </c>
      <c r="R74" s="68">
        <f>IF(Q74="",0,DATEDIF(Q74,$C$1,"Y"))</f>
        <v>4</v>
      </c>
      <c r="S74" s="68">
        <f>IF(Q74="",0,DATEDIF(Q74,$C$1,"YM"))</f>
        <v>7</v>
      </c>
      <c r="T74" s="68">
        <f>IF(Q74="",0,DATEDIF(Q74,$C$1,"MD"))</f>
        <v>22</v>
      </c>
      <c r="U74" s="65"/>
      <c r="V74" s="65"/>
      <c r="W74" s="49" t="str">
        <f t="shared" si="18"/>
        <v/>
      </c>
      <c r="X74" s="68">
        <f>IF(W74="",0,DATEDIF(W74,Q74,"Y"))</f>
        <v>0</v>
      </c>
      <c r="Y74" s="68">
        <f>IF(W74="",0,DATEDIF(W74,Q74,"YM"))</f>
        <v>0</v>
      </c>
      <c r="Z74" s="68">
        <f>IF(W74="",0,DATEDIF(W74,Q74,"MD"))</f>
        <v>0</v>
      </c>
      <c r="AA74" s="49"/>
      <c r="AB74" s="65"/>
      <c r="AC74" s="50" t="str">
        <f t="shared" si="19"/>
        <v/>
      </c>
      <c r="AD74" s="68">
        <f t="shared" si="20"/>
        <v>0</v>
      </c>
      <c r="AE74" s="68">
        <f t="shared" si="21"/>
        <v>0</v>
      </c>
      <c r="AF74" s="68">
        <f t="shared" si="22"/>
        <v>0</v>
      </c>
      <c r="AG74" s="50"/>
      <c r="AH74" s="108" t="s">
        <v>138</v>
      </c>
      <c r="AI74" s="49" t="str">
        <f>IF(AH74="นิติศาสตร์","K5-LAW","K5-POLICY")</f>
        <v>K5-LAW</v>
      </c>
      <c r="AJ74" s="72" t="str">
        <f>_xlfn.IFS(B74="","",AND(AI74="K5-LAW",AH74="นิติศาสตร์",L74="S2",U74="",AA74=""),Q74,AND(AI74="K5-LAW",AH74="นิติศาสตร์",L74="S1",U74="",AA74=""),EDATE(Q74,12),AND(AI74="K5-LAW",AH74="นิติศาสตร์",OR(L74="M2",L74="K4"),U74="",AA74=""),EDATE(Q74,12*2),AND(AI74="K5-LAW",AH74="นิติศาสตร์",OR(AA74="M2",AA74="K4"),AD74&gt;=2,OR(AC74&lt;W74,AC74&lt;Q74)),EDATE(AC74,12*2),AND(AI74="K5-LAW",AH74="นิติศาสตร์",AA74="S1",AD74&gt;=1,OR(AC74&lt;W74,AC74&lt;Q74)),EDATE(AC74,12),AND(AI74="K5-LAW",AH74="นิติศาสตร์",OR(U74="M2",U74="K4"),X74&gt;=2,W74&lt;Q74),EDATE(W74,12*2),AND(AI74="K5-LAW",AH74="นิติศาสตร์",U74="S1",X74&gt;=1,W74&lt;Q74),EDATE(W74,12),AND(AI74="K5-LAW",AH74="นิติศาสตร์",OR(U74="S2",U74="K5")),W74,AND(AI74="K5-LAW",AH74="นิติศาสตร์",OR(L74="M2",L74="K4"),R74&gt;=2),EDATE(Q74,12*2),AND(AI74="K5-LAW",AH74="นิติศาสตร์",L74="S1",R74&gt;=1),EDATE(Q74,12),AND(AI74="K5-LAW",AH74="นิติศาสตร์",OR(L74="S2",L74="K5")),Q74,AND(AI74="K5-POLICY",AH74&lt;&gt;"นิติศาสตร์",L74="S2",U74="",AA74=""),Q74,AND(AI74="K5-POLICY",AH74&lt;&gt;"นิติศาสตร์",L74="S1",U74="",AA74=""),EDATE(Q74,12),AND(AI74="K5-POLICY",AH74&lt;&gt;"นิติศาสตร์",OR(L74="M2",L74="K4"),U74="",AA74=""),EDATE(Q74,12*2),AND(AI74="K5-POLICY",AH74&lt;&gt;"นิติศาสตร์",OR(AA74="M2",AA74="K4"),AD74&gt;=2,OR(AC74&lt;W74,AC74&lt;Q74)),EDATE(AC74,12*2),AND(AI74="K5-POLICY",AH74&lt;&gt;"นิติศาสตร์",AA74="S1",AD74&gt;=1,OR(AC74&lt;W74,AC74&lt;Q74)),EDATE(AC74,12),AND(AI74="K5-POLICY",AH74&lt;&gt;"นิติศาสตร์",OR(U74="M2",U74="K4"),X74&gt;=2,W74&lt;Q74),EDATE(W74,12*2),AND(AI74="K5-POLICY",AH74&lt;&gt;"นิติศาสตร์",U74="S1",X74&gt;=1,W74&lt;Q74),EDATE(W74,12),AND(AI74="K5-POLICY",AH74&lt;&gt;"นิติศาสตร์",OR(U74="S2",U74="K5")),W74,AND(AI74="K5-POLICY",AH74&lt;&gt;"นิติศาสตร์",OR(L74="M2",L74="K4"),R74&gt;=2),EDATE(Q74,12*2),AND(AI74="K5-POLICY",AH74&lt;&gt;"นิติศาสตร์",L74="S1",R74&gt;=1),EDATE(Q74,12),AND(AI74="K5-POLICY",AH74&lt;&gt;"นิติศาสตร์",OR(L74="S2",L74="K5")),Q74,TRUE,"Check Data")</f>
        <v/>
      </c>
      <c r="AK74" s="75" t="str">
        <f t="shared" ref="AK74:AK105" si="29">IFERROR(TEXT(EDATE(AJ74,543*12),"dd/mm/yyyy"),"Check Data")</f>
        <v>Check Data</v>
      </c>
      <c r="AL74" s="76" t="str">
        <f t="shared" si="26"/>
        <v>Check Data</v>
      </c>
      <c r="AM74" s="50" t="str">
        <f t="shared" ref="AM74:AM105" si="30">_xlfn.IFS(AL74="Check Data","Check Data",AL74&gt;30,"ยังไม่ถึงเกณฑ์",AL74&gt;0,"ใกล้ถึงเกณฑ์",AL74=0,"ถึงเกณฑ์",AL74&lt;0,"ถึงเกณฑ์นานแล้ว")</f>
        <v>Check Data</v>
      </c>
      <c r="AN74" s="49" t="str">
        <f>IF(B74="","",IF(L74="S1","S1",INDEX(#REF!,#REF!)))</f>
        <v/>
      </c>
      <c r="AO74" s="49" t="str">
        <f t="shared" ref="AO74:AO105" si="31">L74</f>
        <v>M2</v>
      </c>
      <c r="AP74" s="50" t="b">
        <f>L74=AN74</f>
        <v>0</v>
      </c>
      <c r="AQ74" s="50"/>
    </row>
    <row r="75" spans="1:43" ht="21.75">
      <c r="A75" s="49">
        <v>73</v>
      </c>
      <c r="B75" s="50"/>
      <c r="C75" s="50"/>
      <c r="D75" s="50" t="s">
        <v>143</v>
      </c>
      <c r="E75" s="50" t="e">
        <f>INDEX(#REF!,#REF!)</f>
        <v>#REF!</v>
      </c>
      <c r="F75" s="49" t="s">
        <v>345</v>
      </c>
      <c r="G75" s="49" t="str">
        <f t="shared" si="27"/>
        <v>29/04/1990</v>
      </c>
      <c r="H75" s="50">
        <f t="shared" si="23"/>
        <v>35</v>
      </c>
      <c r="I75" s="50">
        <f t="shared" si="24"/>
        <v>1</v>
      </c>
      <c r="J75" s="50">
        <f t="shared" si="25"/>
        <v>22</v>
      </c>
      <c r="K75" s="59"/>
      <c r="L75" s="49" t="s">
        <v>136</v>
      </c>
      <c r="M75" s="64"/>
      <c r="N75" s="49" t="s">
        <v>427</v>
      </c>
      <c r="O75" s="49">
        <v>2574</v>
      </c>
      <c r="P75" s="65" t="s">
        <v>287</v>
      </c>
      <c r="Q75" s="49" t="str">
        <f t="shared" si="28"/>
        <v>29/10/2020</v>
      </c>
      <c r="R75" s="68">
        <f>IF(Q75="",0,DATEDIF(Q75,$C$1,"Y"))</f>
        <v>4</v>
      </c>
      <c r="S75" s="68">
        <f>IF(Q75="",0,DATEDIF(Q75,$C$1,"YM"))</f>
        <v>7</v>
      </c>
      <c r="T75" s="68">
        <f>IF(Q75="",0,DATEDIF(Q75,$C$1,"MD"))</f>
        <v>22</v>
      </c>
      <c r="U75" s="65"/>
      <c r="V75" s="65"/>
      <c r="W75" s="49" t="str">
        <f t="shared" si="18"/>
        <v/>
      </c>
      <c r="X75" s="68">
        <f>IF(W75="",0,DATEDIF(W75,Q75,"Y"))</f>
        <v>0</v>
      </c>
      <c r="Y75" s="68">
        <f>IF(W75="",0,DATEDIF(W75,Q75,"YM"))</f>
        <v>0</v>
      </c>
      <c r="Z75" s="68">
        <f>IF(W75="",0,DATEDIF(W75,Q75,"MD"))</f>
        <v>0</v>
      </c>
      <c r="AA75" s="49"/>
      <c r="AB75" s="65"/>
      <c r="AC75" s="50" t="str">
        <f t="shared" si="19"/>
        <v/>
      </c>
      <c r="AD75" s="68">
        <f t="shared" si="20"/>
        <v>0</v>
      </c>
      <c r="AE75" s="68">
        <f t="shared" si="21"/>
        <v>0</v>
      </c>
      <c r="AF75" s="68">
        <f t="shared" si="22"/>
        <v>0</v>
      </c>
      <c r="AG75" s="50"/>
      <c r="AH75" s="108" t="s">
        <v>172</v>
      </c>
      <c r="AI75" s="49" t="str">
        <f>IF(AH75="นิติศาสตร์","K5-LAW","K5-POLICY")</f>
        <v>K5-POLICY</v>
      </c>
      <c r="AJ75" s="72" t="str">
        <f>_xlfn.IFS(B75="","",AND(AI75="K5-LAW",AH75="นิติศาสตร์",L75="S2",U75="",AA75=""),Q75,AND(AI75="K5-LAW",AH75="นิติศาสตร์",L75="S1",U75="",AA75=""),EDATE(Q75,12),AND(AI75="K5-LAW",AH75="นิติศาสตร์",OR(L75="M2",L75="K4"),U75="",AA75=""),EDATE(Q75,12*2),AND(AI75="K5-LAW",AH75="นิติศาสตร์",OR(AA75="M2",AA75="K4"),AD75&gt;=2,OR(AC75&lt;W75,AC75&lt;Q75)),EDATE(AC75,12*2),AND(AI75="K5-LAW",AH75="นิติศาสตร์",AA75="S1",AD75&gt;=1,OR(AC75&lt;W75,AC75&lt;Q75)),EDATE(AC75,12),AND(AI75="K5-LAW",AH75="นิติศาสตร์",OR(U75="M2",U75="K4"),X75&gt;=2,W75&lt;Q75),EDATE(W75,12*2),AND(AI75="K5-LAW",AH75="นิติศาสตร์",U75="S1",X75&gt;=1,W75&lt;Q75),EDATE(W75,12),AND(AI75="K5-LAW",AH75="นิติศาสตร์",OR(U75="S2",U75="K5")),W75,AND(AI75="K5-LAW",AH75="นิติศาสตร์",OR(L75="M2",L75="K4"),R75&gt;=2),EDATE(Q75,12*2),AND(AI75="K5-LAW",AH75="นิติศาสตร์",L75="S1",R75&gt;=1),EDATE(Q75,12),AND(AI75="K5-LAW",AH75="นิติศาสตร์",OR(L75="S2",L75="K5")),Q75,AND(AI75="K5-POLICY",AH75&lt;&gt;"นิติศาสตร์",L75="S2",U75="",AA75=""),Q75,AND(AI75="K5-POLICY",AH75&lt;&gt;"นิติศาสตร์",L75="S1",U75="",AA75=""),EDATE(Q75,12),AND(AI75="K5-POLICY",AH75&lt;&gt;"นิติศาสตร์",OR(L75="M2",L75="K4"),U75="",AA75=""),EDATE(Q75,12*2),AND(AI75="K5-POLICY",AH75&lt;&gt;"นิติศาสตร์",OR(AA75="M2",AA75="K4"),AD75&gt;=2,OR(AC75&lt;W75,AC75&lt;Q75)),EDATE(AC75,12*2),AND(AI75="K5-POLICY",AH75&lt;&gt;"นิติศาสตร์",AA75="S1",AD75&gt;=1,OR(AC75&lt;W75,AC75&lt;Q75)),EDATE(AC75,12),AND(AI75="K5-POLICY",AH75&lt;&gt;"นิติศาสตร์",OR(U75="M2",U75="K4"),X75&gt;=2,W75&lt;Q75),EDATE(W75,12*2),AND(AI75="K5-POLICY",AH75&lt;&gt;"นิติศาสตร์",U75="S1",X75&gt;=1,W75&lt;Q75),EDATE(W75,12),AND(AI75="K5-POLICY",AH75&lt;&gt;"นิติศาสตร์",OR(U75="S2",U75="K5")),W75,AND(AI75="K5-POLICY",AH75&lt;&gt;"นิติศาสตร์",OR(L75="M2",L75="K4"),R75&gt;=2),EDATE(Q75,12*2),AND(AI75="K5-POLICY",AH75&lt;&gt;"นิติศาสตร์",L75="S1",R75&gt;=1),EDATE(Q75,12),AND(AI75="K5-POLICY",AH75&lt;&gt;"นิติศาสตร์",OR(L75="S2",L75="K5")),Q75,TRUE,"Check Data")</f>
        <v/>
      </c>
      <c r="AK75" s="75" t="str">
        <f t="shared" si="29"/>
        <v>Check Data</v>
      </c>
      <c r="AL75" s="76" t="str">
        <f t="shared" si="26"/>
        <v>Check Data</v>
      </c>
      <c r="AM75" s="50" t="str">
        <f t="shared" si="30"/>
        <v>Check Data</v>
      </c>
      <c r="AN75" s="49" t="str">
        <f>IF(B75="","",IF(L75="S1","S1",INDEX(#REF!,#REF!)))</f>
        <v/>
      </c>
      <c r="AO75" s="49" t="str">
        <f t="shared" si="31"/>
        <v>M2</v>
      </c>
      <c r="AP75" s="50" t="b">
        <f>L75=AN75</f>
        <v>0</v>
      </c>
      <c r="AQ75" s="50"/>
    </row>
    <row r="76" spans="1:43" ht="21.75">
      <c r="A76" s="49">
        <v>74</v>
      </c>
      <c r="B76" s="50"/>
      <c r="C76" s="50"/>
      <c r="D76" s="50" t="s">
        <v>143</v>
      </c>
      <c r="E76" s="50" t="e">
        <f>INDEX(#REF!,#REF!)</f>
        <v>#REF!</v>
      </c>
      <c r="F76" s="49" t="s">
        <v>343</v>
      </c>
      <c r="G76" s="49" t="str">
        <f t="shared" si="27"/>
        <v>07/06/1996</v>
      </c>
      <c r="H76" s="50">
        <f t="shared" si="23"/>
        <v>29</v>
      </c>
      <c r="I76" s="50">
        <f t="shared" si="24"/>
        <v>0</v>
      </c>
      <c r="J76" s="50">
        <f t="shared" si="25"/>
        <v>13</v>
      </c>
      <c r="K76" s="58"/>
      <c r="L76" s="49" t="s">
        <v>136</v>
      </c>
      <c r="M76" s="64"/>
      <c r="N76" s="49" t="s">
        <v>427</v>
      </c>
      <c r="O76" s="49">
        <v>2572</v>
      </c>
      <c r="P76" s="65" t="s">
        <v>287</v>
      </c>
      <c r="Q76" s="49" t="str">
        <f t="shared" si="28"/>
        <v>29/10/2020</v>
      </c>
      <c r="R76" s="68">
        <f>IF(Q76="",0,DATEDIF(Q76,$C$1,"Y"))</f>
        <v>4</v>
      </c>
      <c r="S76" s="68">
        <f>IF(Q76="",0,DATEDIF(Q76,$C$1,"YM"))</f>
        <v>7</v>
      </c>
      <c r="T76" s="68">
        <f>IF(Q76="",0,DATEDIF(Q76,$C$1,"MD"))</f>
        <v>22</v>
      </c>
      <c r="U76" s="65"/>
      <c r="V76" s="65"/>
      <c r="W76" s="49" t="str">
        <f t="shared" ref="W76:W107" si="32">IF(V76="","",TEXT(EDATE(V76,-543*12),"dd/mm/yyyy"))</f>
        <v/>
      </c>
      <c r="X76" s="68">
        <f>IF(W76="",0,DATEDIF(W76,Q76,"Y"))</f>
        <v>0</v>
      </c>
      <c r="Y76" s="68">
        <f>IF(W76="",0,DATEDIF(W76,Q76,"YM"))</f>
        <v>0</v>
      </c>
      <c r="Z76" s="68">
        <f>IF(W76="",0,DATEDIF(W76,Q76,"MD"))</f>
        <v>0</v>
      </c>
      <c r="AA76" s="49"/>
      <c r="AB76" s="65"/>
      <c r="AC76" s="50" t="str">
        <f t="shared" ref="AC76:AC107" si="33">IF(AB76="","",TEXT(EDATE(AB76,-543*12),"dd/mm/yyyy"))</f>
        <v/>
      </c>
      <c r="AD76" s="68">
        <f t="shared" ref="AD76:AD107" si="34">IF(AC76="",0,DATEDIF(AC76,W76,"Y"))</f>
        <v>0</v>
      </c>
      <c r="AE76" s="68">
        <f t="shared" ref="AE76:AE107" si="35">IF(AC76="",0,DATEDIF(AC76,W76,"YM"))</f>
        <v>0</v>
      </c>
      <c r="AF76" s="68">
        <f t="shared" ref="AF76:AF107" si="36">IF(AC76="",0,DATEDIF(AC76,W76,"MD"))</f>
        <v>0</v>
      </c>
      <c r="AG76" s="50"/>
      <c r="AH76" s="108" t="s">
        <v>486</v>
      </c>
      <c r="AI76" s="49" t="str">
        <f>IF(AH76="นิติศาสตร์","K5-LAW","K5-POLICY")</f>
        <v>K5-POLICY</v>
      </c>
      <c r="AJ76" s="72" t="str">
        <f>_xlfn.IFS(B76="","",AND(AI76="K5-LAW",AH76="นิติศาสตร์",L76="S2",U76="",AA76=""),Q76,AND(AI76="K5-LAW",AH76="นิติศาสตร์",L76="S1",U76="",AA76=""),EDATE(Q76,12),AND(AI76="K5-LAW",AH76="นิติศาสตร์",OR(L76="M2",L76="K4"),U76="",AA76=""),EDATE(Q76,12*2),AND(AI76="K5-LAW",AH76="นิติศาสตร์",OR(AA76="M2",AA76="K4"),AD76&gt;=2,OR(AC76&lt;W76,AC76&lt;Q76)),EDATE(AC76,12*2),AND(AI76="K5-LAW",AH76="นิติศาสตร์",AA76="S1",AD76&gt;=1,OR(AC76&lt;W76,AC76&lt;Q76)),EDATE(AC76,12),AND(AI76="K5-LAW",AH76="นิติศาสตร์",OR(U76="M2",U76="K4"),X76&gt;=2,W76&lt;Q76),EDATE(W76,12*2),AND(AI76="K5-LAW",AH76="นิติศาสตร์",U76="S1",X76&gt;=1,W76&lt;Q76),EDATE(W76,12),AND(AI76="K5-LAW",AH76="นิติศาสตร์",OR(U76="S2",U76="K5")),W76,AND(AI76="K5-LAW",AH76="นิติศาสตร์",OR(L76="M2",L76="K4"),R76&gt;=2),EDATE(Q76,12*2),AND(AI76="K5-LAW",AH76="นิติศาสตร์",L76="S1",R76&gt;=1),EDATE(Q76,12),AND(AI76="K5-LAW",AH76="นิติศาสตร์",OR(L76="S2",L76="K5")),Q76,AND(AI76="K5-POLICY",AH76&lt;&gt;"นิติศาสตร์",L76="S2",U76="",AA76=""),Q76,AND(AI76="K5-POLICY",AH76&lt;&gt;"นิติศาสตร์",L76="S1",U76="",AA76=""),EDATE(Q76,12),AND(AI76="K5-POLICY",AH76&lt;&gt;"นิติศาสตร์",OR(L76="M2",L76="K4"),U76="",AA76=""),EDATE(Q76,12*2),AND(AI76="K5-POLICY",AH76&lt;&gt;"นิติศาสตร์",OR(AA76="M2",AA76="K4"),AD76&gt;=2,OR(AC76&lt;W76,AC76&lt;Q76)),EDATE(AC76,12*2),AND(AI76="K5-POLICY",AH76&lt;&gt;"นิติศาสตร์",AA76="S1",AD76&gt;=1,OR(AC76&lt;W76,AC76&lt;Q76)),EDATE(AC76,12),AND(AI76="K5-POLICY",AH76&lt;&gt;"นิติศาสตร์",OR(U76="M2",U76="K4"),X76&gt;=2,W76&lt;Q76),EDATE(W76,12*2),AND(AI76="K5-POLICY",AH76&lt;&gt;"นิติศาสตร์",U76="S1",X76&gt;=1,W76&lt;Q76),EDATE(W76,12),AND(AI76="K5-POLICY",AH76&lt;&gt;"นิติศาสตร์",OR(U76="S2",U76="K5")),W76,AND(AI76="K5-POLICY",AH76&lt;&gt;"นิติศาสตร์",OR(L76="M2",L76="K4"),R76&gt;=2),EDATE(Q76,12*2),AND(AI76="K5-POLICY",AH76&lt;&gt;"นิติศาสตร์",L76="S1",R76&gt;=1),EDATE(Q76,12),AND(AI76="K5-POLICY",AH76&lt;&gt;"นิติศาสตร์",OR(L76="S2",L76="K5")),Q76,TRUE,"Check Data")</f>
        <v/>
      </c>
      <c r="AK76" s="75" t="str">
        <f t="shared" si="29"/>
        <v>Check Data</v>
      </c>
      <c r="AL76" s="76" t="str">
        <f t="shared" si="26"/>
        <v>Check Data</v>
      </c>
      <c r="AM76" s="50" t="str">
        <f t="shared" si="30"/>
        <v>Check Data</v>
      </c>
      <c r="AN76" s="49" t="str">
        <f>IF(B76="","",IF(L76="S1","S1",INDEX(#REF!,#REF!)))</f>
        <v/>
      </c>
      <c r="AO76" s="49" t="str">
        <f t="shared" si="31"/>
        <v>M2</v>
      </c>
      <c r="AP76" s="50" t="b">
        <f>L76=AN76</f>
        <v>0</v>
      </c>
      <c r="AQ76" s="50"/>
    </row>
    <row r="77" spans="1:43" ht="21.75">
      <c r="A77" s="49">
        <v>75</v>
      </c>
      <c r="B77" s="50"/>
      <c r="C77" s="50"/>
      <c r="D77" s="50" t="s">
        <v>143</v>
      </c>
      <c r="E77" s="50" t="e">
        <f>INDEX(#REF!,#REF!)</f>
        <v>#REF!</v>
      </c>
      <c r="F77" s="49" t="s">
        <v>320</v>
      </c>
      <c r="G77" s="49" t="str">
        <f t="shared" si="27"/>
        <v>03/12/2001</v>
      </c>
      <c r="H77" s="50">
        <f t="shared" si="23"/>
        <v>23</v>
      </c>
      <c r="I77" s="50">
        <f t="shared" si="24"/>
        <v>6</v>
      </c>
      <c r="J77" s="50">
        <f t="shared" si="25"/>
        <v>17</v>
      </c>
      <c r="K77" s="58"/>
      <c r="L77" s="49" t="s">
        <v>136</v>
      </c>
      <c r="M77" s="64"/>
      <c r="N77" s="49" t="s">
        <v>427</v>
      </c>
      <c r="O77" s="49">
        <v>2574</v>
      </c>
      <c r="P77" s="65" t="s">
        <v>287</v>
      </c>
      <c r="Q77" s="49" t="str">
        <f t="shared" si="28"/>
        <v>29/10/2020</v>
      </c>
      <c r="R77" s="68">
        <f>IF(Q77="",0,DATEDIF(Q77,$C$1,"Y"))</f>
        <v>4</v>
      </c>
      <c r="S77" s="68">
        <f>IF(Q77="",0,DATEDIF(Q77,$C$1,"YM"))</f>
        <v>7</v>
      </c>
      <c r="T77" s="68">
        <f>IF(Q77="",0,DATEDIF(Q77,$C$1,"MD"))</f>
        <v>22</v>
      </c>
      <c r="U77" s="65"/>
      <c r="V77" s="65"/>
      <c r="W77" s="49" t="str">
        <f t="shared" si="32"/>
        <v/>
      </c>
      <c r="X77" s="68">
        <f>IF(W77="",0,DATEDIF(W77,Q77,"Y"))</f>
        <v>0</v>
      </c>
      <c r="Y77" s="68">
        <f>IF(W77="",0,DATEDIF(W77,Q77,"YM"))</f>
        <v>0</v>
      </c>
      <c r="Z77" s="68">
        <f>IF(W77="",0,DATEDIF(W77,Q77,"MD"))</f>
        <v>0</v>
      </c>
      <c r="AA77" s="49"/>
      <c r="AB77" s="65"/>
      <c r="AC77" s="50" t="str">
        <f t="shared" si="33"/>
        <v/>
      </c>
      <c r="AD77" s="68">
        <f t="shared" si="34"/>
        <v>0</v>
      </c>
      <c r="AE77" s="68">
        <f t="shared" si="35"/>
        <v>0</v>
      </c>
      <c r="AF77" s="68">
        <f t="shared" si="36"/>
        <v>0</v>
      </c>
      <c r="AG77" s="50"/>
      <c r="AH77" s="108" t="s">
        <v>138</v>
      </c>
      <c r="AI77" s="49" t="str">
        <f>IF(AH77="นิติศาสตร์","K5-LAW","K5-POLICY")</f>
        <v>K5-LAW</v>
      </c>
      <c r="AJ77" s="72" t="str">
        <f>_xlfn.IFS(B77="","",AND(AI77="K5-LAW",AH77="นิติศาสตร์",L77="S2",U77="",AA77=""),Q77,AND(AI77="K5-LAW",AH77="นิติศาสตร์",L77="S1",U77="",AA77=""),EDATE(Q77,12),AND(AI77="K5-LAW",AH77="นิติศาสตร์",OR(L77="M2",L77="K4"),U77="",AA77=""),EDATE(Q77,12*2),AND(AI77="K5-LAW",AH77="นิติศาสตร์",OR(AA77="M2",AA77="K4"),AD77&gt;=2,OR(AC77&lt;W77,AC77&lt;Q77)),EDATE(AC77,12*2),AND(AI77="K5-LAW",AH77="นิติศาสตร์",AA77="S1",AD77&gt;=1,OR(AC77&lt;W77,AC77&lt;Q77)),EDATE(AC77,12),AND(AI77="K5-LAW",AH77="นิติศาสตร์",OR(U77="M2",U77="K4"),X77&gt;=2,W77&lt;Q77),EDATE(W77,12*2),AND(AI77="K5-LAW",AH77="นิติศาสตร์",U77="S1",X77&gt;=1,W77&lt;Q77),EDATE(W77,12),AND(AI77="K5-LAW",AH77="นิติศาสตร์",OR(U77="S2",U77="K5")),W77,AND(AI77="K5-LAW",AH77="นิติศาสตร์",OR(L77="M2",L77="K4"),R77&gt;=2),EDATE(Q77,12*2),AND(AI77="K5-LAW",AH77="นิติศาสตร์",L77="S1",R77&gt;=1),EDATE(Q77,12),AND(AI77="K5-LAW",AH77="นิติศาสตร์",OR(L77="S2",L77="K5")),Q77,AND(AI77="K5-POLICY",AH77&lt;&gt;"นิติศาสตร์",L77="S2",U77="",AA77=""),Q77,AND(AI77="K5-POLICY",AH77&lt;&gt;"นิติศาสตร์",L77="S1",U77="",AA77=""),EDATE(Q77,12),AND(AI77="K5-POLICY",AH77&lt;&gt;"นิติศาสตร์",OR(L77="M2",L77="K4"),U77="",AA77=""),EDATE(Q77,12*2),AND(AI77="K5-POLICY",AH77&lt;&gt;"นิติศาสตร์",OR(AA77="M2",AA77="K4"),AD77&gt;=2,OR(AC77&lt;W77,AC77&lt;Q77)),EDATE(AC77,12*2),AND(AI77="K5-POLICY",AH77&lt;&gt;"นิติศาสตร์",AA77="S1",AD77&gt;=1,OR(AC77&lt;W77,AC77&lt;Q77)),EDATE(AC77,12),AND(AI77="K5-POLICY",AH77&lt;&gt;"นิติศาสตร์",OR(U77="M2",U77="K4"),X77&gt;=2,W77&lt;Q77),EDATE(W77,12*2),AND(AI77="K5-POLICY",AH77&lt;&gt;"นิติศาสตร์",U77="S1",X77&gt;=1,W77&lt;Q77),EDATE(W77,12),AND(AI77="K5-POLICY",AH77&lt;&gt;"นิติศาสตร์",OR(U77="S2",U77="K5")),W77,AND(AI77="K5-POLICY",AH77&lt;&gt;"นิติศาสตร์",OR(L77="M2",L77="K4"),R77&gt;=2),EDATE(Q77,12*2),AND(AI77="K5-POLICY",AH77&lt;&gt;"นิติศาสตร์",L77="S1",R77&gt;=1),EDATE(Q77,12),AND(AI77="K5-POLICY",AH77&lt;&gt;"นิติศาสตร์",OR(L77="S2",L77="K5")),Q77,TRUE,"Check Data")</f>
        <v/>
      </c>
      <c r="AK77" s="75" t="str">
        <f t="shared" si="29"/>
        <v>Check Data</v>
      </c>
      <c r="AL77" s="76" t="str">
        <f t="shared" si="26"/>
        <v>Check Data</v>
      </c>
      <c r="AM77" s="50" t="str">
        <f t="shared" si="30"/>
        <v>Check Data</v>
      </c>
      <c r="AN77" s="49" t="str">
        <f>IF(B77="","",IF(L77="S1","S1",INDEX(#REF!,#REF!)))</f>
        <v/>
      </c>
      <c r="AO77" s="49" t="str">
        <f t="shared" si="31"/>
        <v>M2</v>
      </c>
      <c r="AP77" s="50" t="b">
        <f>L77=AN77</f>
        <v>0</v>
      </c>
      <c r="AQ77" s="50"/>
    </row>
    <row r="78" spans="1:43" ht="21.75">
      <c r="A78" s="49">
        <v>76</v>
      </c>
      <c r="B78" s="50"/>
      <c r="C78" s="50"/>
      <c r="D78" s="50" t="s">
        <v>143</v>
      </c>
      <c r="E78" s="50" t="e">
        <f>INDEX(#REF!,#REF!)</f>
        <v>#REF!</v>
      </c>
      <c r="F78" s="49" t="s">
        <v>312</v>
      </c>
      <c r="G78" s="49" t="str">
        <f t="shared" si="27"/>
        <v>04/05/2000</v>
      </c>
      <c r="H78" s="50">
        <f t="shared" si="23"/>
        <v>25</v>
      </c>
      <c r="I78" s="50">
        <f t="shared" si="24"/>
        <v>1</v>
      </c>
      <c r="J78" s="50">
        <f t="shared" si="25"/>
        <v>16</v>
      </c>
      <c r="K78" s="59"/>
      <c r="L78" s="49" t="s">
        <v>136</v>
      </c>
      <c r="M78" s="64"/>
      <c r="N78" s="49" t="s">
        <v>427</v>
      </c>
      <c r="O78" s="49">
        <v>2576</v>
      </c>
      <c r="P78" s="65" t="s">
        <v>287</v>
      </c>
      <c r="Q78" s="49" t="str">
        <f t="shared" si="28"/>
        <v>29/10/2020</v>
      </c>
      <c r="R78" s="68">
        <f>IF(Q78="",0,DATEDIF(Q78,$C$1,"Y"))</f>
        <v>4</v>
      </c>
      <c r="S78" s="68">
        <f>IF(Q78="",0,DATEDIF(Q78,$C$1,"YM"))</f>
        <v>7</v>
      </c>
      <c r="T78" s="68">
        <f>IF(Q78="",0,DATEDIF(Q78,$C$1,"MD"))</f>
        <v>22</v>
      </c>
      <c r="U78" s="65"/>
      <c r="V78" s="65"/>
      <c r="W78" s="49" t="str">
        <f t="shared" si="32"/>
        <v/>
      </c>
      <c r="X78" s="68">
        <f>IF(W78="",0,DATEDIF(W78,Q78,"Y"))</f>
        <v>0</v>
      </c>
      <c r="Y78" s="68">
        <f>IF(W78="",0,DATEDIF(W78,Q78,"YM"))</f>
        <v>0</v>
      </c>
      <c r="Z78" s="68">
        <f>IF(W78="",0,DATEDIF(W78,Q78,"MD"))</f>
        <v>0</v>
      </c>
      <c r="AA78" s="49"/>
      <c r="AB78" s="65"/>
      <c r="AC78" s="50" t="str">
        <f t="shared" si="33"/>
        <v/>
      </c>
      <c r="AD78" s="68">
        <f t="shared" si="34"/>
        <v>0</v>
      </c>
      <c r="AE78" s="68">
        <f t="shared" si="35"/>
        <v>0</v>
      </c>
      <c r="AF78" s="68">
        <f t="shared" si="36"/>
        <v>0</v>
      </c>
      <c r="AG78" s="50"/>
      <c r="AH78" s="108" t="s">
        <v>486</v>
      </c>
      <c r="AI78" s="49" t="str">
        <f>IF(AH78="นิติศาสตร์","K5-LAW","K5-POLICY")</f>
        <v>K5-POLICY</v>
      </c>
      <c r="AJ78" s="72" t="str">
        <f>_xlfn.IFS(B78="","",AND(AI78="K5-LAW",AH78="นิติศาสตร์",L78="S2",U78="",AA78=""),Q78,AND(AI78="K5-LAW",AH78="นิติศาสตร์",L78="S1",U78="",AA78=""),EDATE(Q78,12),AND(AI78="K5-LAW",AH78="นิติศาสตร์",OR(L78="M2",L78="K4"),U78="",AA78=""),EDATE(Q78,12*2),AND(AI78="K5-LAW",AH78="นิติศาสตร์",OR(AA78="M2",AA78="K4"),AD78&gt;=2,OR(AC78&lt;W78,AC78&lt;Q78)),EDATE(AC78,12*2),AND(AI78="K5-LAW",AH78="นิติศาสตร์",AA78="S1",AD78&gt;=1,OR(AC78&lt;W78,AC78&lt;Q78)),EDATE(AC78,12),AND(AI78="K5-LAW",AH78="นิติศาสตร์",OR(U78="M2",U78="K4"),X78&gt;=2,W78&lt;Q78),EDATE(W78,12*2),AND(AI78="K5-LAW",AH78="นิติศาสตร์",U78="S1",X78&gt;=1,W78&lt;Q78),EDATE(W78,12),AND(AI78="K5-LAW",AH78="นิติศาสตร์",OR(U78="S2",U78="K5")),W78,AND(AI78="K5-LAW",AH78="นิติศาสตร์",OR(L78="M2",L78="K4"),R78&gt;=2),EDATE(Q78,12*2),AND(AI78="K5-LAW",AH78="นิติศาสตร์",L78="S1",R78&gt;=1),EDATE(Q78,12),AND(AI78="K5-LAW",AH78="นิติศาสตร์",OR(L78="S2",L78="K5")),Q78,AND(AI78="K5-POLICY",AH78&lt;&gt;"นิติศาสตร์",L78="S2",U78="",AA78=""),Q78,AND(AI78="K5-POLICY",AH78&lt;&gt;"นิติศาสตร์",L78="S1",U78="",AA78=""),EDATE(Q78,12),AND(AI78="K5-POLICY",AH78&lt;&gt;"นิติศาสตร์",OR(L78="M2",L78="K4"),U78="",AA78=""),EDATE(Q78,12*2),AND(AI78="K5-POLICY",AH78&lt;&gt;"นิติศาสตร์",OR(AA78="M2",AA78="K4"),AD78&gt;=2,OR(AC78&lt;W78,AC78&lt;Q78)),EDATE(AC78,12*2),AND(AI78="K5-POLICY",AH78&lt;&gt;"นิติศาสตร์",AA78="S1",AD78&gt;=1,OR(AC78&lt;W78,AC78&lt;Q78)),EDATE(AC78,12),AND(AI78="K5-POLICY",AH78&lt;&gt;"นิติศาสตร์",OR(U78="M2",U78="K4"),X78&gt;=2,W78&lt;Q78),EDATE(W78,12*2),AND(AI78="K5-POLICY",AH78&lt;&gt;"นิติศาสตร์",U78="S1",X78&gt;=1,W78&lt;Q78),EDATE(W78,12),AND(AI78="K5-POLICY",AH78&lt;&gt;"นิติศาสตร์",OR(U78="S2",U78="K5")),W78,AND(AI78="K5-POLICY",AH78&lt;&gt;"นิติศาสตร์",OR(L78="M2",L78="K4"),R78&gt;=2),EDATE(Q78,12*2),AND(AI78="K5-POLICY",AH78&lt;&gt;"นิติศาสตร์",L78="S1",R78&gt;=1),EDATE(Q78,12),AND(AI78="K5-POLICY",AH78&lt;&gt;"นิติศาสตร์",OR(L78="S2",L78="K5")),Q78,TRUE,"Check Data")</f>
        <v/>
      </c>
      <c r="AK78" s="75" t="str">
        <f t="shared" si="29"/>
        <v>Check Data</v>
      </c>
      <c r="AL78" s="76" t="str">
        <f t="shared" si="26"/>
        <v>Check Data</v>
      </c>
      <c r="AM78" s="50" t="str">
        <f t="shared" si="30"/>
        <v>Check Data</v>
      </c>
      <c r="AN78" s="49" t="str">
        <f>IF(B78="","",IF(L78="S1","S1",INDEX(#REF!,#REF!)))</f>
        <v/>
      </c>
      <c r="AO78" s="49" t="str">
        <f t="shared" si="31"/>
        <v>M2</v>
      </c>
      <c r="AP78" s="50" t="b">
        <f>L78=AN78</f>
        <v>0</v>
      </c>
      <c r="AQ78" s="50"/>
    </row>
    <row r="79" spans="1:43" ht="21.75">
      <c r="A79" s="49">
        <v>77</v>
      </c>
      <c r="B79" s="50"/>
      <c r="C79" s="50"/>
      <c r="D79" s="50" t="s">
        <v>143</v>
      </c>
      <c r="E79" s="50" t="e">
        <f>INDEX(#REF!,#REF!)</f>
        <v>#REF!</v>
      </c>
      <c r="F79" s="49" t="s">
        <v>290</v>
      </c>
      <c r="G79" s="49" t="str">
        <f t="shared" si="27"/>
        <v>02/06/2000</v>
      </c>
      <c r="H79" s="50">
        <f t="shared" si="23"/>
        <v>25</v>
      </c>
      <c r="I79" s="50">
        <f t="shared" si="24"/>
        <v>0</v>
      </c>
      <c r="J79" s="50">
        <f t="shared" si="25"/>
        <v>18</v>
      </c>
      <c r="K79" s="59"/>
      <c r="L79" s="49" t="s">
        <v>136</v>
      </c>
      <c r="M79" s="64"/>
      <c r="N79" s="49" t="s">
        <v>427</v>
      </c>
      <c r="O79" s="49">
        <v>2577</v>
      </c>
      <c r="P79" s="65" t="s">
        <v>287</v>
      </c>
      <c r="Q79" s="49" t="str">
        <f t="shared" si="28"/>
        <v>29/10/2020</v>
      </c>
      <c r="R79" s="68">
        <f>IF(Q79="",0,DATEDIF(Q79,$C$1,"Y"))</f>
        <v>4</v>
      </c>
      <c r="S79" s="68">
        <f>IF(Q79="",0,DATEDIF(Q79,$C$1,"YM"))</f>
        <v>7</v>
      </c>
      <c r="T79" s="68">
        <f>IF(Q79="",0,DATEDIF(Q79,$C$1,"MD"))</f>
        <v>22</v>
      </c>
      <c r="U79" s="65"/>
      <c r="V79" s="65"/>
      <c r="W79" s="49" t="str">
        <f t="shared" si="32"/>
        <v/>
      </c>
      <c r="X79" s="68">
        <f>IF(W79="",0,DATEDIF(W79,Q79,"Y"))</f>
        <v>0</v>
      </c>
      <c r="Y79" s="68">
        <f>IF(W79="",0,DATEDIF(W79,Q79,"YM"))</f>
        <v>0</v>
      </c>
      <c r="Z79" s="68">
        <f>IF(W79="",0,DATEDIF(W79,Q79,"MD"))</f>
        <v>0</v>
      </c>
      <c r="AA79" s="49"/>
      <c r="AB79" s="65"/>
      <c r="AC79" s="50" t="str">
        <f t="shared" si="33"/>
        <v/>
      </c>
      <c r="AD79" s="68">
        <f t="shared" si="34"/>
        <v>0</v>
      </c>
      <c r="AE79" s="68">
        <f t="shared" si="35"/>
        <v>0</v>
      </c>
      <c r="AF79" s="68">
        <f t="shared" si="36"/>
        <v>0</v>
      </c>
      <c r="AG79" s="50"/>
      <c r="AH79" s="108" t="s">
        <v>486</v>
      </c>
      <c r="AI79" s="49" t="str">
        <f>IF(AH79="นิติศาสตร์","K5-LAW","K5-POLICY")</f>
        <v>K5-POLICY</v>
      </c>
      <c r="AJ79" s="72" t="str">
        <f>_xlfn.IFS(B79="","",AND(AI79="K5-LAW",AH79="นิติศาสตร์",L79="S2",U79="",AA79=""),Q79,AND(AI79="K5-LAW",AH79="นิติศาสตร์",L79="S1",U79="",AA79=""),EDATE(Q79,12),AND(AI79="K5-LAW",AH79="นิติศาสตร์",OR(L79="M2",L79="K4"),U79="",AA79=""),EDATE(Q79,12*2),AND(AI79="K5-LAW",AH79="นิติศาสตร์",OR(AA79="M2",AA79="K4"),AD79&gt;=2,OR(AC79&lt;W79,AC79&lt;Q79)),EDATE(AC79,12*2),AND(AI79="K5-LAW",AH79="นิติศาสตร์",AA79="S1",AD79&gt;=1,OR(AC79&lt;W79,AC79&lt;Q79)),EDATE(AC79,12),AND(AI79="K5-LAW",AH79="นิติศาสตร์",OR(U79="M2",U79="K4"),X79&gt;=2,W79&lt;Q79),EDATE(W79,12*2),AND(AI79="K5-LAW",AH79="นิติศาสตร์",U79="S1",X79&gt;=1,W79&lt;Q79),EDATE(W79,12),AND(AI79="K5-LAW",AH79="นิติศาสตร์",OR(U79="S2",U79="K5")),W79,AND(AI79="K5-LAW",AH79="นิติศาสตร์",OR(L79="M2",L79="K4"),R79&gt;=2),EDATE(Q79,12*2),AND(AI79="K5-LAW",AH79="นิติศาสตร์",L79="S1",R79&gt;=1),EDATE(Q79,12),AND(AI79="K5-LAW",AH79="นิติศาสตร์",OR(L79="S2",L79="K5")),Q79,AND(AI79="K5-POLICY",AH79&lt;&gt;"นิติศาสตร์",L79="S2",U79="",AA79=""),Q79,AND(AI79="K5-POLICY",AH79&lt;&gt;"นิติศาสตร์",L79="S1",U79="",AA79=""),EDATE(Q79,12),AND(AI79="K5-POLICY",AH79&lt;&gt;"นิติศาสตร์",OR(L79="M2",L79="K4"),U79="",AA79=""),EDATE(Q79,12*2),AND(AI79="K5-POLICY",AH79&lt;&gt;"นิติศาสตร์",OR(AA79="M2",AA79="K4"),AD79&gt;=2,OR(AC79&lt;W79,AC79&lt;Q79)),EDATE(AC79,12*2),AND(AI79="K5-POLICY",AH79&lt;&gt;"นิติศาสตร์",AA79="S1",AD79&gt;=1,OR(AC79&lt;W79,AC79&lt;Q79)),EDATE(AC79,12),AND(AI79="K5-POLICY",AH79&lt;&gt;"นิติศาสตร์",OR(U79="M2",U79="K4"),X79&gt;=2,W79&lt;Q79),EDATE(W79,12*2),AND(AI79="K5-POLICY",AH79&lt;&gt;"นิติศาสตร์",U79="S1",X79&gt;=1,W79&lt;Q79),EDATE(W79,12),AND(AI79="K5-POLICY",AH79&lt;&gt;"นิติศาสตร์",OR(U79="S2",U79="K5")),W79,AND(AI79="K5-POLICY",AH79&lt;&gt;"นิติศาสตร์",OR(L79="M2",L79="K4"),R79&gt;=2),EDATE(Q79,12*2),AND(AI79="K5-POLICY",AH79&lt;&gt;"นิติศาสตร์",L79="S1",R79&gt;=1),EDATE(Q79,12),AND(AI79="K5-POLICY",AH79&lt;&gt;"นิติศาสตร์",OR(L79="S2",L79="K5")),Q79,TRUE,"Check Data")</f>
        <v/>
      </c>
      <c r="AK79" s="75" t="str">
        <f t="shared" si="29"/>
        <v>Check Data</v>
      </c>
      <c r="AL79" s="76" t="str">
        <f t="shared" si="26"/>
        <v>Check Data</v>
      </c>
      <c r="AM79" s="50" t="str">
        <f t="shared" si="30"/>
        <v>Check Data</v>
      </c>
      <c r="AN79" s="49" t="str">
        <f>IF(B79="","",IF(L79="S1","S1",INDEX(#REF!,#REF!)))</f>
        <v/>
      </c>
      <c r="AO79" s="49" t="str">
        <f t="shared" si="31"/>
        <v>M2</v>
      </c>
      <c r="AP79" s="50" t="b">
        <f>L79=AN79</f>
        <v>0</v>
      </c>
      <c r="AQ79" s="50"/>
    </row>
    <row r="80" spans="1:43" ht="21.75">
      <c r="A80" s="49">
        <v>78</v>
      </c>
      <c r="B80" s="50"/>
      <c r="C80" s="50"/>
      <c r="D80" s="50" t="s">
        <v>143</v>
      </c>
      <c r="E80" s="50" t="e">
        <f>INDEX(#REF!,#REF!)</f>
        <v>#REF!</v>
      </c>
      <c r="F80" s="49" t="s">
        <v>340</v>
      </c>
      <c r="G80" s="49" t="str">
        <f t="shared" si="27"/>
        <v>06/11/2000</v>
      </c>
      <c r="H80" s="50">
        <f t="shared" si="23"/>
        <v>24</v>
      </c>
      <c r="I80" s="50">
        <f t="shared" si="24"/>
        <v>7</v>
      </c>
      <c r="J80" s="50">
        <f t="shared" si="25"/>
        <v>14</v>
      </c>
      <c r="K80" s="59"/>
      <c r="L80" s="49" t="s">
        <v>136</v>
      </c>
      <c r="M80" s="64"/>
      <c r="N80" s="49" t="s">
        <v>427</v>
      </c>
      <c r="O80" s="49">
        <v>2575</v>
      </c>
      <c r="P80" s="65" t="s">
        <v>287</v>
      </c>
      <c r="Q80" s="49" t="str">
        <f t="shared" si="28"/>
        <v>29/10/2020</v>
      </c>
      <c r="R80" s="68">
        <f>IF(Q80="",0,DATEDIF(Q80,$C$1,"Y"))</f>
        <v>4</v>
      </c>
      <c r="S80" s="68">
        <f>IF(Q80="",0,DATEDIF(Q80,$C$1,"YM"))</f>
        <v>7</v>
      </c>
      <c r="T80" s="68">
        <f>IF(Q80="",0,DATEDIF(Q80,$C$1,"MD"))</f>
        <v>22</v>
      </c>
      <c r="U80" s="65"/>
      <c r="V80" s="65"/>
      <c r="W80" s="49" t="str">
        <f t="shared" si="32"/>
        <v/>
      </c>
      <c r="X80" s="68">
        <f>IF(W80="",0,DATEDIF(W80,Q80,"Y"))</f>
        <v>0</v>
      </c>
      <c r="Y80" s="68">
        <f>IF(W80="",0,DATEDIF(W80,Q80,"YM"))</f>
        <v>0</v>
      </c>
      <c r="Z80" s="68">
        <f>IF(W80="",0,DATEDIF(W80,Q80,"MD"))</f>
        <v>0</v>
      </c>
      <c r="AA80" s="49"/>
      <c r="AB80" s="65"/>
      <c r="AC80" s="50" t="str">
        <f t="shared" si="33"/>
        <v/>
      </c>
      <c r="AD80" s="68">
        <f t="shared" si="34"/>
        <v>0</v>
      </c>
      <c r="AE80" s="68">
        <f t="shared" si="35"/>
        <v>0</v>
      </c>
      <c r="AF80" s="68">
        <f t="shared" si="36"/>
        <v>0</v>
      </c>
      <c r="AG80" s="50"/>
      <c r="AH80" s="108" t="s">
        <v>138</v>
      </c>
      <c r="AI80" s="49" t="str">
        <f>IF(AH80="นิติศาสตร์","K5-LAW","K5-POLICY")</f>
        <v>K5-LAW</v>
      </c>
      <c r="AJ80" s="72" t="str">
        <f>_xlfn.IFS(B80="","",AND(AI80="K5-LAW",AH80="นิติศาสตร์",L80="S2",U80="",AA80=""),Q80,AND(AI80="K5-LAW",AH80="นิติศาสตร์",L80="S1",U80="",AA80=""),EDATE(Q80,12),AND(AI80="K5-LAW",AH80="นิติศาสตร์",OR(L80="M2",L80="K4"),U80="",AA80=""),EDATE(Q80,12*2),AND(AI80="K5-LAW",AH80="นิติศาสตร์",OR(AA80="M2",AA80="K4"),AD80&gt;=2,OR(AC80&lt;W80,AC80&lt;Q80)),EDATE(AC80,12*2),AND(AI80="K5-LAW",AH80="นิติศาสตร์",AA80="S1",AD80&gt;=1,OR(AC80&lt;W80,AC80&lt;Q80)),EDATE(AC80,12),AND(AI80="K5-LAW",AH80="นิติศาสตร์",OR(U80="M2",U80="K4"),X80&gt;=2,W80&lt;Q80),EDATE(W80,12*2),AND(AI80="K5-LAW",AH80="นิติศาสตร์",U80="S1",X80&gt;=1,W80&lt;Q80),EDATE(W80,12),AND(AI80="K5-LAW",AH80="นิติศาสตร์",OR(U80="S2",U80="K5")),W80,AND(AI80="K5-LAW",AH80="นิติศาสตร์",OR(L80="M2",L80="K4"),R80&gt;=2),EDATE(Q80,12*2),AND(AI80="K5-LAW",AH80="นิติศาสตร์",L80="S1",R80&gt;=1),EDATE(Q80,12),AND(AI80="K5-LAW",AH80="นิติศาสตร์",OR(L80="S2",L80="K5")),Q80,AND(AI80="K5-POLICY",AH80&lt;&gt;"นิติศาสตร์",L80="S2",U80="",AA80=""),Q80,AND(AI80="K5-POLICY",AH80&lt;&gt;"นิติศาสตร์",L80="S1",U80="",AA80=""),EDATE(Q80,12),AND(AI80="K5-POLICY",AH80&lt;&gt;"นิติศาสตร์",OR(L80="M2",L80="K4"),U80="",AA80=""),EDATE(Q80,12*2),AND(AI80="K5-POLICY",AH80&lt;&gt;"นิติศาสตร์",OR(AA80="M2",AA80="K4"),AD80&gt;=2,OR(AC80&lt;W80,AC80&lt;Q80)),EDATE(AC80,12*2),AND(AI80="K5-POLICY",AH80&lt;&gt;"นิติศาสตร์",AA80="S1",AD80&gt;=1,OR(AC80&lt;W80,AC80&lt;Q80)),EDATE(AC80,12),AND(AI80="K5-POLICY",AH80&lt;&gt;"นิติศาสตร์",OR(U80="M2",U80="K4"),X80&gt;=2,W80&lt;Q80),EDATE(W80,12*2),AND(AI80="K5-POLICY",AH80&lt;&gt;"นิติศาสตร์",U80="S1",X80&gt;=1,W80&lt;Q80),EDATE(W80,12),AND(AI80="K5-POLICY",AH80&lt;&gt;"นิติศาสตร์",OR(U80="S2",U80="K5")),W80,AND(AI80="K5-POLICY",AH80&lt;&gt;"นิติศาสตร์",OR(L80="M2",L80="K4"),R80&gt;=2),EDATE(Q80,12*2),AND(AI80="K5-POLICY",AH80&lt;&gt;"นิติศาสตร์",L80="S1",R80&gt;=1),EDATE(Q80,12),AND(AI80="K5-POLICY",AH80&lt;&gt;"นิติศาสตร์",OR(L80="S2",L80="K5")),Q80,TRUE,"Check Data")</f>
        <v/>
      </c>
      <c r="AK80" s="75" t="str">
        <f t="shared" si="29"/>
        <v>Check Data</v>
      </c>
      <c r="AL80" s="76" t="str">
        <f t="shared" si="26"/>
        <v>Check Data</v>
      </c>
      <c r="AM80" s="50" t="str">
        <f t="shared" si="30"/>
        <v>Check Data</v>
      </c>
      <c r="AN80" s="49" t="str">
        <f>IF(B80="","",IF(L80="S1","S1",INDEX(#REF!,#REF!)))</f>
        <v/>
      </c>
      <c r="AO80" s="49" t="str">
        <f t="shared" si="31"/>
        <v>M2</v>
      </c>
      <c r="AP80" s="50" t="b">
        <f>L80=AN80</f>
        <v>0</v>
      </c>
      <c r="AQ80" s="50"/>
    </row>
    <row r="81" spans="1:43" ht="21.75">
      <c r="A81" s="49">
        <v>79</v>
      </c>
      <c r="B81" s="50"/>
      <c r="C81" s="50"/>
      <c r="D81" s="50" t="s">
        <v>143</v>
      </c>
      <c r="E81" s="50" t="e">
        <f>INDEX(#REF!,#REF!)</f>
        <v>#REF!</v>
      </c>
      <c r="F81" s="49" t="s">
        <v>353</v>
      </c>
      <c r="G81" s="49" t="str">
        <f t="shared" si="27"/>
        <v>28/07/2000</v>
      </c>
      <c r="H81" s="50">
        <f t="shared" si="23"/>
        <v>24</v>
      </c>
      <c r="I81" s="50">
        <f t="shared" si="24"/>
        <v>10</v>
      </c>
      <c r="J81" s="50">
        <f t="shared" si="25"/>
        <v>23</v>
      </c>
      <c r="K81" s="59"/>
      <c r="L81" s="49" t="s">
        <v>136</v>
      </c>
      <c r="M81" s="64"/>
      <c r="N81" s="49" t="s">
        <v>427</v>
      </c>
      <c r="O81" s="49">
        <v>2578</v>
      </c>
      <c r="P81" s="65" t="s">
        <v>287</v>
      </c>
      <c r="Q81" s="49" t="str">
        <f t="shared" si="28"/>
        <v>29/10/2020</v>
      </c>
      <c r="R81" s="68">
        <f>IF(Q81="",0,DATEDIF(Q81,$C$1,"Y"))</f>
        <v>4</v>
      </c>
      <c r="S81" s="68">
        <f>IF(Q81="",0,DATEDIF(Q81,$C$1,"YM"))</f>
        <v>7</v>
      </c>
      <c r="T81" s="68">
        <f>IF(Q81="",0,DATEDIF(Q81,$C$1,"MD"))</f>
        <v>22</v>
      </c>
      <c r="U81" s="65"/>
      <c r="V81" s="65"/>
      <c r="W81" s="49" t="str">
        <f t="shared" si="32"/>
        <v/>
      </c>
      <c r="X81" s="68">
        <f>IF(W81="",0,DATEDIF(W81,Q81,"Y"))</f>
        <v>0</v>
      </c>
      <c r="Y81" s="68">
        <f>IF(W81="",0,DATEDIF(W81,Q81,"YM"))</f>
        <v>0</v>
      </c>
      <c r="Z81" s="68">
        <f>IF(W81="",0,DATEDIF(W81,Q81,"MD"))</f>
        <v>0</v>
      </c>
      <c r="AA81" s="49"/>
      <c r="AB81" s="65"/>
      <c r="AC81" s="50" t="str">
        <f t="shared" si="33"/>
        <v/>
      </c>
      <c r="AD81" s="68">
        <f t="shared" si="34"/>
        <v>0</v>
      </c>
      <c r="AE81" s="68">
        <f t="shared" si="35"/>
        <v>0</v>
      </c>
      <c r="AF81" s="68">
        <f t="shared" si="36"/>
        <v>0</v>
      </c>
      <c r="AG81" s="50"/>
      <c r="AH81" s="108" t="s">
        <v>138</v>
      </c>
      <c r="AI81" s="49" t="str">
        <f>IF(AH81="นิติศาสตร์","K5-LAW","K5-POLICY")</f>
        <v>K5-LAW</v>
      </c>
      <c r="AJ81" s="72" t="str">
        <f>_xlfn.IFS(B81="","",AND(AI81="K5-LAW",AH81="นิติศาสตร์",L81="S2",U81="",AA81=""),Q81,AND(AI81="K5-LAW",AH81="นิติศาสตร์",L81="S1",U81="",AA81=""),EDATE(Q81,12),AND(AI81="K5-LAW",AH81="นิติศาสตร์",OR(L81="M2",L81="K4"),U81="",AA81=""),EDATE(Q81,12*2),AND(AI81="K5-LAW",AH81="นิติศาสตร์",OR(AA81="M2",AA81="K4"),AD81&gt;=2,OR(AC81&lt;W81,AC81&lt;Q81)),EDATE(AC81,12*2),AND(AI81="K5-LAW",AH81="นิติศาสตร์",AA81="S1",AD81&gt;=1,OR(AC81&lt;W81,AC81&lt;Q81)),EDATE(AC81,12),AND(AI81="K5-LAW",AH81="นิติศาสตร์",OR(U81="M2",U81="K4"),X81&gt;=2,W81&lt;Q81),EDATE(W81,12*2),AND(AI81="K5-LAW",AH81="นิติศาสตร์",U81="S1",X81&gt;=1,W81&lt;Q81),EDATE(W81,12),AND(AI81="K5-LAW",AH81="นิติศาสตร์",OR(U81="S2",U81="K5")),W81,AND(AI81="K5-LAW",AH81="นิติศาสตร์",OR(L81="M2",L81="K4"),R81&gt;=2),EDATE(Q81,12*2),AND(AI81="K5-LAW",AH81="นิติศาสตร์",L81="S1",R81&gt;=1),EDATE(Q81,12),AND(AI81="K5-LAW",AH81="นิติศาสตร์",OR(L81="S2",L81="K5")),Q81,AND(AI81="K5-POLICY",AH81&lt;&gt;"นิติศาสตร์",L81="S2",U81="",AA81=""),Q81,AND(AI81="K5-POLICY",AH81&lt;&gt;"นิติศาสตร์",L81="S1",U81="",AA81=""),EDATE(Q81,12),AND(AI81="K5-POLICY",AH81&lt;&gt;"นิติศาสตร์",OR(L81="M2",L81="K4"),U81="",AA81=""),EDATE(Q81,12*2),AND(AI81="K5-POLICY",AH81&lt;&gt;"นิติศาสตร์",OR(AA81="M2",AA81="K4"),AD81&gt;=2,OR(AC81&lt;W81,AC81&lt;Q81)),EDATE(AC81,12*2),AND(AI81="K5-POLICY",AH81&lt;&gt;"นิติศาสตร์",AA81="S1",AD81&gt;=1,OR(AC81&lt;W81,AC81&lt;Q81)),EDATE(AC81,12),AND(AI81="K5-POLICY",AH81&lt;&gt;"นิติศาสตร์",OR(U81="M2",U81="K4"),X81&gt;=2,W81&lt;Q81),EDATE(W81,12*2),AND(AI81="K5-POLICY",AH81&lt;&gt;"นิติศาสตร์",U81="S1",X81&gt;=1,W81&lt;Q81),EDATE(W81,12),AND(AI81="K5-POLICY",AH81&lt;&gt;"นิติศาสตร์",OR(U81="S2",U81="K5")),W81,AND(AI81="K5-POLICY",AH81&lt;&gt;"นิติศาสตร์",OR(L81="M2",L81="K4"),R81&gt;=2),EDATE(Q81,12*2),AND(AI81="K5-POLICY",AH81&lt;&gt;"นิติศาสตร์",L81="S1",R81&gt;=1),EDATE(Q81,12),AND(AI81="K5-POLICY",AH81&lt;&gt;"นิติศาสตร์",OR(L81="S2",L81="K5")),Q81,TRUE,"Check Data")</f>
        <v/>
      </c>
      <c r="AK81" s="75" t="str">
        <f t="shared" si="29"/>
        <v>Check Data</v>
      </c>
      <c r="AL81" s="76" t="str">
        <f t="shared" si="26"/>
        <v>Check Data</v>
      </c>
      <c r="AM81" s="50" t="str">
        <f t="shared" si="30"/>
        <v>Check Data</v>
      </c>
      <c r="AN81" s="49" t="str">
        <f>IF(B81="","",IF(L81="S1","S1",INDEX(#REF!,#REF!)))</f>
        <v/>
      </c>
      <c r="AO81" s="49" t="str">
        <f t="shared" si="31"/>
        <v>M2</v>
      </c>
      <c r="AP81" s="50" t="b">
        <f>L81=AN81</f>
        <v>0</v>
      </c>
      <c r="AQ81" s="50"/>
    </row>
    <row r="82" spans="1:43" ht="21.75">
      <c r="A82" s="49">
        <v>80</v>
      </c>
      <c r="B82" s="50"/>
      <c r="C82" s="50"/>
      <c r="D82" s="50" t="s">
        <v>143</v>
      </c>
      <c r="E82" s="50" t="e">
        <f>INDEX(#REF!,#REF!)</f>
        <v>#REF!</v>
      </c>
      <c r="F82" s="49" t="s">
        <v>304</v>
      </c>
      <c r="G82" s="49" t="str">
        <f t="shared" si="27"/>
        <v>01/02/2000</v>
      </c>
      <c r="H82" s="50">
        <f t="shared" si="23"/>
        <v>25</v>
      </c>
      <c r="I82" s="50">
        <f t="shared" si="24"/>
        <v>4</v>
      </c>
      <c r="J82" s="50">
        <f t="shared" si="25"/>
        <v>19</v>
      </c>
      <c r="K82" s="59"/>
      <c r="L82" s="49" t="s">
        <v>136</v>
      </c>
      <c r="M82" s="64"/>
      <c r="N82" s="49" t="s">
        <v>427</v>
      </c>
      <c r="O82" s="49">
        <v>2577</v>
      </c>
      <c r="P82" s="65" t="s">
        <v>287</v>
      </c>
      <c r="Q82" s="49" t="str">
        <f t="shared" si="28"/>
        <v>29/10/2020</v>
      </c>
      <c r="R82" s="68">
        <f>IF(Q82="",0,DATEDIF(Q82,$C$1,"Y"))</f>
        <v>4</v>
      </c>
      <c r="S82" s="68">
        <f>IF(Q82="",0,DATEDIF(Q82,$C$1,"YM"))</f>
        <v>7</v>
      </c>
      <c r="T82" s="68">
        <f>IF(Q82="",0,DATEDIF(Q82,$C$1,"MD"))</f>
        <v>22</v>
      </c>
      <c r="U82" s="65"/>
      <c r="V82" s="65"/>
      <c r="W82" s="49" t="str">
        <f t="shared" si="32"/>
        <v/>
      </c>
      <c r="X82" s="68">
        <f>IF(W82="",0,DATEDIF(W82,Q82,"Y"))</f>
        <v>0</v>
      </c>
      <c r="Y82" s="68">
        <f>IF(W82="",0,DATEDIF(W82,Q82,"YM"))</f>
        <v>0</v>
      </c>
      <c r="Z82" s="68">
        <f>IF(W82="",0,DATEDIF(W82,Q82,"MD"))</f>
        <v>0</v>
      </c>
      <c r="AA82" s="49"/>
      <c r="AB82" s="65"/>
      <c r="AC82" s="50" t="str">
        <f t="shared" si="33"/>
        <v/>
      </c>
      <c r="AD82" s="68">
        <f t="shared" si="34"/>
        <v>0</v>
      </c>
      <c r="AE82" s="68">
        <f t="shared" si="35"/>
        <v>0</v>
      </c>
      <c r="AF82" s="68">
        <f t="shared" si="36"/>
        <v>0</v>
      </c>
      <c r="AG82" s="50"/>
      <c r="AH82" s="108" t="s">
        <v>482</v>
      </c>
      <c r="AI82" s="49" t="str">
        <f>IF(AH82="นิติศาสตร์","K5-LAW","K5-POLICY")</f>
        <v>K5-POLICY</v>
      </c>
      <c r="AJ82" s="72" t="str">
        <f>_xlfn.IFS(B82="","",AND(AI82="K5-LAW",AH82="นิติศาสตร์",L82="S2",U82="",AA82=""),Q82,AND(AI82="K5-LAW",AH82="นิติศาสตร์",L82="S1",U82="",AA82=""),EDATE(Q82,12),AND(AI82="K5-LAW",AH82="นิติศาสตร์",OR(L82="M2",L82="K4"),U82="",AA82=""),EDATE(Q82,12*2),AND(AI82="K5-LAW",AH82="นิติศาสตร์",OR(AA82="M2",AA82="K4"),AD82&gt;=2,OR(AC82&lt;W82,AC82&lt;Q82)),EDATE(AC82,12*2),AND(AI82="K5-LAW",AH82="นิติศาสตร์",AA82="S1",AD82&gt;=1,OR(AC82&lt;W82,AC82&lt;Q82)),EDATE(AC82,12),AND(AI82="K5-LAW",AH82="นิติศาสตร์",OR(U82="M2",U82="K4"),X82&gt;=2,W82&lt;Q82),EDATE(W82,12*2),AND(AI82="K5-LAW",AH82="นิติศาสตร์",U82="S1",X82&gt;=1,W82&lt;Q82),EDATE(W82,12),AND(AI82="K5-LAW",AH82="นิติศาสตร์",OR(U82="S2",U82="K5")),W82,AND(AI82="K5-LAW",AH82="นิติศาสตร์",OR(L82="M2",L82="K4"),R82&gt;=2),EDATE(Q82,12*2),AND(AI82="K5-LAW",AH82="นิติศาสตร์",L82="S1",R82&gt;=1),EDATE(Q82,12),AND(AI82="K5-LAW",AH82="นิติศาสตร์",OR(L82="S2",L82="K5")),Q82,AND(AI82="K5-POLICY",AH82&lt;&gt;"นิติศาสตร์",L82="S2",U82="",AA82=""),Q82,AND(AI82="K5-POLICY",AH82&lt;&gt;"นิติศาสตร์",L82="S1",U82="",AA82=""),EDATE(Q82,12),AND(AI82="K5-POLICY",AH82&lt;&gt;"นิติศาสตร์",OR(L82="M2",L82="K4"),U82="",AA82=""),EDATE(Q82,12*2),AND(AI82="K5-POLICY",AH82&lt;&gt;"นิติศาสตร์",OR(AA82="M2",AA82="K4"),AD82&gt;=2,OR(AC82&lt;W82,AC82&lt;Q82)),EDATE(AC82,12*2),AND(AI82="K5-POLICY",AH82&lt;&gt;"นิติศาสตร์",AA82="S1",AD82&gt;=1,OR(AC82&lt;W82,AC82&lt;Q82)),EDATE(AC82,12),AND(AI82="K5-POLICY",AH82&lt;&gt;"นิติศาสตร์",OR(U82="M2",U82="K4"),X82&gt;=2,W82&lt;Q82),EDATE(W82,12*2),AND(AI82="K5-POLICY",AH82&lt;&gt;"นิติศาสตร์",U82="S1",X82&gt;=1,W82&lt;Q82),EDATE(W82,12),AND(AI82="K5-POLICY",AH82&lt;&gt;"นิติศาสตร์",OR(U82="S2",U82="K5")),W82,AND(AI82="K5-POLICY",AH82&lt;&gt;"นิติศาสตร์",OR(L82="M2",L82="K4"),R82&gt;=2),EDATE(Q82,12*2),AND(AI82="K5-POLICY",AH82&lt;&gt;"นิติศาสตร์",L82="S1",R82&gt;=1),EDATE(Q82,12),AND(AI82="K5-POLICY",AH82&lt;&gt;"นิติศาสตร์",OR(L82="S2",L82="K5")),Q82,TRUE,"Check Data")</f>
        <v/>
      </c>
      <c r="AK82" s="75" t="str">
        <f t="shared" si="29"/>
        <v>Check Data</v>
      </c>
      <c r="AL82" s="76" t="str">
        <f t="shared" si="26"/>
        <v>Check Data</v>
      </c>
      <c r="AM82" s="50" t="str">
        <f t="shared" si="30"/>
        <v>Check Data</v>
      </c>
      <c r="AN82" s="49" t="str">
        <f>IF(B82="","",IF(L82="S1","S1",INDEX(#REF!,#REF!)))</f>
        <v/>
      </c>
      <c r="AO82" s="49" t="str">
        <f t="shared" si="31"/>
        <v>M2</v>
      </c>
      <c r="AP82" s="50" t="b">
        <f>L82=AN82</f>
        <v>0</v>
      </c>
      <c r="AQ82" s="50"/>
    </row>
    <row r="83" spans="1:43" ht="21.75">
      <c r="A83" s="49">
        <v>81</v>
      </c>
      <c r="B83" s="50"/>
      <c r="C83" s="50"/>
      <c r="D83" s="50" t="s">
        <v>143</v>
      </c>
      <c r="E83" s="50" t="e">
        <f>INDEX(#REF!,#REF!)</f>
        <v>#REF!</v>
      </c>
      <c r="F83" s="49" t="s">
        <v>281</v>
      </c>
      <c r="G83" s="49" t="str">
        <f t="shared" si="27"/>
        <v>03/05/1999</v>
      </c>
      <c r="H83" s="50">
        <f t="shared" si="23"/>
        <v>26</v>
      </c>
      <c r="I83" s="50">
        <f t="shared" si="24"/>
        <v>1</v>
      </c>
      <c r="J83" s="50">
        <f t="shared" si="25"/>
        <v>17</v>
      </c>
      <c r="K83" s="59"/>
      <c r="L83" s="49" t="s">
        <v>136</v>
      </c>
      <c r="M83" s="64"/>
      <c r="N83" s="49" t="s">
        <v>427</v>
      </c>
      <c r="O83" s="49">
        <v>2576</v>
      </c>
      <c r="P83" s="65" t="s">
        <v>287</v>
      </c>
      <c r="Q83" s="49" t="str">
        <f t="shared" si="28"/>
        <v>29/10/2020</v>
      </c>
      <c r="R83" s="68">
        <f>IF(Q83="",0,DATEDIF(Q83,$C$1,"Y"))</f>
        <v>4</v>
      </c>
      <c r="S83" s="68">
        <f>IF(Q83="",0,DATEDIF(Q83,$C$1,"YM"))</f>
        <v>7</v>
      </c>
      <c r="T83" s="68">
        <f>IF(Q83="",0,DATEDIF(Q83,$C$1,"MD"))</f>
        <v>22</v>
      </c>
      <c r="U83" s="65"/>
      <c r="V83" s="65"/>
      <c r="W83" s="49" t="str">
        <f t="shared" si="32"/>
        <v/>
      </c>
      <c r="X83" s="68">
        <f>IF(W83="",0,DATEDIF(W83,Q83,"Y"))</f>
        <v>0</v>
      </c>
      <c r="Y83" s="68">
        <f>IF(W83="",0,DATEDIF(W83,Q83,"YM"))</f>
        <v>0</v>
      </c>
      <c r="Z83" s="68">
        <f>IF(W83="",0,DATEDIF(W83,Q83,"MD"))</f>
        <v>0</v>
      </c>
      <c r="AA83" s="49"/>
      <c r="AB83" s="65"/>
      <c r="AC83" s="50" t="str">
        <f t="shared" si="33"/>
        <v/>
      </c>
      <c r="AD83" s="68">
        <f t="shared" si="34"/>
        <v>0</v>
      </c>
      <c r="AE83" s="68">
        <f t="shared" si="35"/>
        <v>0</v>
      </c>
      <c r="AF83" s="68">
        <f t="shared" si="36"/>
        <v>0</v>
      </c>
      <c r="AG83" s="50"/>
      <c r="AH83" s="108" t="s">
        <v>516</v>
      </c>
      <c r="AI83" s="49" t="str">
        <f>IF(AH83="นิติศาสตร์","K5-LAW","K5-POLICY")</f>
        <v>K5-POLICY</v>
      </c>
      <c r="AJ83" s="72" t="str">
        <f>_xlfn.IFS(B83="","",AND(AI83="K5-LAW",AH83="นิติศาสตร์",L83="S2",U83="",AA83=""),Q83,AND(AI83="K5-LAW",AH83="นิติศาสตร์",L83="S1",U83="",AA83=""),EDATE(Q83,12),AND(AI83="K5-LAW",AH83="นิติศาสตร์",OR(L83="M2",L83="K4"),U83="",AA83=""),EDATE(Q83,12*2),AND(AI83="K5-LAW",AH83="นิติศาสตร์",OR(AA83="M2",AA83="K4"),AD83&gt;=2,OR(AC83&lt;W83,AC83&lt;Q83)),EDATE(AC83,12*2),AND(AI83="K5-LAW",AH83="นิติศาสตร์",AA83="S1",AD83&gt;=1,OR(AC83&lt;W83,AC83&lt;Q83)),EDATE(AC83,12),AND(AI83="K5-LAW",AH83="นิติศาสตร์",OR(U83="M2",U83="K4"),X83&gt;=2,W83&lt;Q83),EDATE(W83,12*2),AND(AI83="K5-LAW",AH83="นิติศาสตร์",U83="S1",X83&gt;=1,W83&lt;Q83),EDATE(W83,12),AND(AI83="K5-LAW",AH83="นิติศาสตร์",OR(U83="S2",U83="K5")),W83,AND(AI83="K5-LAW",AH83="นิติศาสตร์",OR(L83="M2",L83="K4"),R83&gt;=2),EDATE(Q83,12*2),AND(AI83="K5-LAW",AH83="นิติศาสตร์",L83="S1",R83&gt;=1),EDATE(Q83,12),AND(AI83="K5-LAW",AH83="นิติศาสตร์",OR(L83="S2",L83="K5")),Q83,AND(AI83="K5-POLICY",AH83&lt;&gt;"นิติศาสตร์",L83="S2",U83="",AA83=""),Q83,AND(AI83="K5-POLICY",AH83&lt;&gt;"นิติศาสตร์",L83="S1",U83="",AA83=""),EDATE(Q83,12),AND(AI83="K5-POLICY",AH83&lt;&gt;"นิติศาสตร์",OR(L83="M2",L83="K4"),U83="",AA83=""),EDATE(Q83,12*2),AND(AI83="K5-POLICY",AH83&lt;&gt;"นิติศาสตร์",OR(AA83="M2",AA83="K4"),AD83&gt;=2,OR(AC83&lt;W83,AC83&lt;Q83)),EDATE(AC83,12*2),AND(AI83="K5-POLICY",AH83&lt;&gt;"นิติศาสตร์",AA83="S1",AD83&gt;=1,OR(AC83&lt;W83,AC83&lt;Q83)),EDATE(AC83,12),AND(AI83="K5-POLICY",AH83&lt;&gt;"นิติศาสตร์",OR(U83="M2",U83="K4"),X83&gt;=2,W83&lt;Q83),EDATE(W83,12*2),AND(AI83="K5-POLICY",AH83&lt;&gt;"นิติศาสตร์",U83="S1",X83&gt;=1,W83&lt;Q83),EDATE(W83,12),AND(AI83="K5-POLICY",AH83&lt;&gt;"นิติศาสตร์",OR(U83="S2",U83="K5")),W83,AND(AI83="K5-POLICY",AH83&lt;&gt;"นิติศาสตร์",OR(L83="M2",L83="K4"),R83&gt;=2),EDATE(Q83,12*2),AND(AI83="K5-POLICY",AH83&lt;&gt;"นิติศาสตร์",L83="S1",R83&gt;=1),EDATE(Q83,12),AND(AI83="K5-POLICY",AH83&lt;&gt;"นิติศาสตร์",OR(L83="S2",L83="K5")),Q83,TRUE,"Check Data")</f>
        <v/>
      </c>
      <c r="AK83" s="75" t="str">
        <f t="shared" si="29"/>
        <v>Check Data</v>
      </c>
      <c r="AL83" s="76" t="str">
        <f t="shared" si="26"/>
        <v>Check Data</v>
      </c>
      <c r="AM83" s="50" t="str">
        <f t="shared" si="30"/>
        <v>Check Data</v>
      </c>
      <c r="AN83" s="49" t="str">
        <f>IF(B83="","",IF(L83="S1","S1",INDEX(#REF!,#REF!)))</f>
        <v/>
      </c>
      <c r="AO83" s="49" t="str">
        <f t="shared" si="31"/>
        <v>M2</v>
      </c>
      <c r="AP83" s="50" t="b">
        <f>L83=AN83</f>
        <v>0</v>
      </c>
      <c r="AQ83" s="50"/>
    </row>
    <row r="84" spans="1:43" ht="21.75">
      <c r="A84" s="49">
        <v>82</v>
      </c>
      <c r="B84" s="50"/>
      <c r="C84" s="50"/>
      <c r="D84" s="50" t="s">
        <v>143</v>
      </c>
      <c r="E84" s="50" t="e">
        <f>INDEX(#REF!,#REF!)</f>
        <v>#REF!</v>
      </c>
      <c r="F84" s="49" t="s">
        <v>334</v>
      </c>
      <c r="G84" s="49" t="str">
        <f t="shared" si="27"/>
        <v>23/08/1996</v>
      </c>
      <c r="H84" s="50">
        <f t="shared" si="23"/>
        <v>28</v>
      </c>
      <c r="I84" s="50">
        <f t="shared" si="24"/>
        <v>9</v>
      </c>
      <c r="J84" s="50">
        <f t="shared" si="25"/>
        <v>28</v>
      </c>
      <c r="K84" s="59"/>
      <c r="L84" s="49" t="s">
        <v>136</v>
      </c>
      <c r="M84" s="64"/>
      <c r="N84" s="49" t="s">
        <v>427</v>
      </c>
      <c r="O84" s="49">
        <v>2575</v>
      </c>
      <c r="P84" s="65" t="s">
        <v>287</v>
      </c>
      <c r="Q84" s="49" t="str">
        <f t="shared" si="28"/>
        <v>29/10/2020</v>
      </c>
      <c r="R84" s="68">
        <f>IF(Q84="",0,DATEDIF(Q84,$C$1,"Y"))</f>
        <v>4</v>
      </c>
      <c r="S84" s="68">
        <f>IF(Q84="",0,DATEDIF(Q84,$C$1,"YM"))</f>
        <v>7</v>
      </c>
      <c r="T84" s="68">
        <f>IF(Q84="",0,DATEDIF(Q84,$C$1,"MD"))</f>
        <v>22</v>
      </c>
      <c r="U84" s="65"/>
      <c r="V84" s="65"/>
      <c r="W84" s="49" t="str">
        <f t="shared" si="32"/>
        <v/>
      </c>
      <c r="X84" s="68">
        <f>IF(W84="",0,DATEDIF(W84,Q84,"Y"))</f>
        <v>0</v>
      </c>
      <c r="Y84" s="68">
        <f>IF(W84="",0,DATEDIF(W84,Q84,"YM"))</f>
        <v>0</v>
      </c>
      <c r="Z84" s="68">
        <f>IF(W84="",0,DATEDIF(W84,Q84,"MD"))</f>
        <v>0</v>
      </c>
      <c r="AA84" s="49"/>
      <c r="AB84" s="65"/>
      <c r="AC84" s="50" t="str">
        <f t="shared" si="33"/>
        <v/>
      </c>
      <c r="AD84" s="68">
        <f t="shared" si="34"/>
        <v>0</v>
      </c>
      <c r="AE84" s="68">
        <f t="shared" si="35"/>
        <v>0</v>
      </c>
      <c r="AF84" s="68">
        <f t="shared" si="36"/>
        <v>0</v>
      </c>
      <c r="AG84" s="50"/>
      <c r="AH84" s="108" t="s">
        <v>512</v>
      </c>
      <c r="AI84" s="49" t="str">
        <f>IF(AH84="นิติศาสตร์","K5-LAW","K5-POLICY")</f>
        <v>K5-POLICY</v>
      </c>
      <c r="AJ84" s="72" t="str">
        <f>_xlfn.IFS(B84="","",AND(AI84="K5-LAW",AH84="นิติศาสตร์",L84="S2",U84="",AA84=""),Q84,AND(AI84="K5-LAW",AH84="นิติศาสตร์",L84="S1",U84="",AA84=""),EDATE(Q84,12),AND(AI84="K5-LAW",AH84="นิติศาสตร์",OR(L84="M2",L84="K4"),U84="",AA84=""),EDATE(Q84,12*2),AND(AI84="K5-LAW",AH84="นิติศาสตร์",OR(AA84="M2",AA84="K4"),AD84&gt;=2,OR(AC84&lt;W84,AC84&lt;Q84)),EDATE(AC84,12*2),AND(AI84="K5-LAW",AH84="นิติศาสตร์",AA84="S1",AD84&gt;=1,OR(AC84&lt;W84,AC84&lt;Q84)),EDATE(AC84,12),AND(AI84="K5-LAW",AH84="นิติศาสตร์",OR(U84="M2",U84="K4"),X84&gt;=2,W84&lt;Q84),EDATE(W84,12*2),AND(AI84="K5-LAW",AH84="นิติศาสตร์",U84="S1",X84&gt;=1,W84&lt;Q84),EDATE(W84,12),AND(AI84="K5-LAW",AH84="นิติศาสตร์",OR(U84="S2",U84="K5")),W84,AND(AI84="K5-LAW",AH84="นิติศาสตร์",OR(L84="M2",L84="K4"),R84&gt;=2),EDATE(Q84,12*2),AND(AI84="K5-LAW",AH84="นิติศาสตร์",L84="S1",R84&gt;=1),EDATE(Q84,12),AND(AI84="K5-LAW",AH84="นิติศาสตร์",OR(L84="S2",L84="K5")),Q84,AND(AI84="K5-POLICY",AH84&lt;&gt;"นิติศาสตร์",L84="S2",U84="",AA84=""),Q84,AND(AI84="K5-POLICY",AH84&lt;&gt;"นิติศาสตร์",L84="S1",U84="",AA84=""),EDATE(Q84,12),AND(AI84="K5-POLICY",AH84&lt;&gt;"นิติศาสตร์",OR(L84="M2",L84="K4"),U84="",AA84=""),EDATE(Q84,12*2),AND(AI84="K5-POLICY",AH84&lt;&gt;"นิติศาสตร์",OR(AA84="M2",AA84="K4"),AD84&gt;=2,OR(AC84&lt;W84,AC84&lt;Q84)),EDATE(AC84,12*2),AND(AI84="K5-POLICY",AH84&lt;&gt;"นิติศาสตร์",AA84="S1",AD84&gt;=1,OR(AC84&lt;W84,AC84&lt;Q84)),EDATE(AC84,12),AND(AI84="K5-POLICY",AH84&lt;&gt;"นิติศาสตร์",OR(U84="M2",U84="K4"),X84&gt;=2,W84&lt;Q84),EDATE(W84,12*2),AND(AI84="K5-POLICY",AH84&lt;&gt;"นิติศาสตร์",U84="S1",X84&gt;=1,W84&lt;Q84),EDATE(W84,12),AND(AI84="K5-POLICY",AH84&lt;&gt;"นิติศาสตร์",OR(U84="S2",U84="K5")),W84,AND(AI84="K5-POLICY",AH84&lt;&gt;"นิติศาสตร์",OR(L84="M2",L84="K4"),R84&gt;=2),EDATE(Q84,12*2),AND(AI84="K5-POLICY",AH84&lt;&gt;"นิติศาสตร์",L84="S1",R84&gt;=1),EDATE(Q84,12),AND(AI84="K5-POLICY",AH84&lt;&gt;"นิติศาสตร์",OR(L84="S2",L84="K5")),Q84,TRUE,"Check Data")</f>
        <v/>
      </c>
      <c r="AK84" s="75" t="str">
        <f t="shared" si="29"/>
        <v>Check Data</v>
      </c>
      <c r="AL84" s="76" t="str">
        <f t="shared" si="26"/>
        <v>Check Data</v>
      </c>
      <c r="AM84" s="50" t="str">
        <f t="shared" si="30"/>
        <v>Check Data</v>
      </c>
      <c r="AN84" s="49" t="str">
        <f>IF(B84="","",IF(L84="S1","S1",INDEX(#REF!,#REF!)))</f>
        <v/>
      </c>
      <c r="AO84" s="49" t="str">
        <f t="shared" si="31"/>
        <v>M2</v>
      </c>
      <c r="AP84" s="50" t="b">
        <f>L84=AN84</f>
        <v>0</v>
      </c>
      <c r="AQ84" s="50"/>
    </row>
    <row r="85" spans="1:43" ht="21.75">
      <c r="A85" s="49">
        <v>83</v>
      </c>
      <c r="B85" s="50"/>
      <c r="C85" s="50"/>
      <c r="D85" s="50" t="s">
        <v>143</v>
      </c>
      <c r="E85" s="50" t="e">
        <f>INDEX(#REF!,#REF!)</f>
        <v>#REF!</v>
      </c>
      <c r="F85" s="49" t="s">
        <v>341</v>
      </c>
      <c r="G85" s="49" t="str">
        <f t="shared" si="27"/>
        <v>29/10/2001</v>
      </c>
      <c r="H85" s="50">
        <f t="shared" si="23"/>
        <v>23</v>
      </c>
      <c r="I85" s="50">
        <f t="shared" si="24"/>
        <v>7</v>
      </c>
      <c r="J85" s="50">
        <f t="shared" si="25"/>
        <v>22</v>
      </c>
      <c r="K85" s="59"/>
      <c r="L85" s="49" t="s">
        <v>136</v>
      </c>
      <c r="M85" s="64"/>
      <c r="N85" s="49" t="s">
        <v>426</v>
      </c>
      <c r="O85" s="49">
        <v>2575</v>
      </c>
      <c r="P85" s="65" t="s">
        <v>287</v>
      </c>
      <c r="Q85" s="49" t="str">
        <f t="shared" si="28"/>
        <v>29/10/2020</v>
      </c>
      <c r="R85" s="68">
        <f>IF(Q85="",0,DATEDIF(Q85,$C$1,"Y"))</f>
        <v>4</v>
      </c>
      <c r="S85" s="68">
        <f>IF(Q85="",0,DATEDIF(Q85,$C$1,"YM"))</f>
        <v>7</v>
      </c>
      <c r="T85" s="68">
        <f>IF(Q85="",0,DATEDIF(Q85,$C$1,"MD"))</f>
        <v>22</v>
      </c>
      <c r="U85" s="65"/>
      <c r="V85" s="65"/>
      <c r="W85" s="49" t="str">
        <f t="shared" si="32"/>
        <v/>
      </c>
      <c r="X85" s="68">
        <f>IF(W85="",0,DATEDIF(W85,Q85,"Y"))</f>
        <v>0</v>
      </c>
      <c r="Y85" s="68">
        <f>IF(W85="",0,DATEDIF(W85,Q85,"YM"))</f>
        <v>0</v>
      </c>
      <c r="Z85" s="68">
        <f>IF(W85="",0,DATEDIF(W85,Q85,"MD"))</f>
        <v>0</v>
      </c>
      <c r="AA85" s="49"/>
      <c r="AB85" s="65"/>
      <c r="AC85" s="50" t="str">
        <f t="shared" si="33"/>
        <v/>
      </c>
      <c r="AD85" s="68">
        <f t="shared" si="34"/>
        <v>0</v>
      </c>
      <c r="AE85" s="68">
        <f t="shared" si="35"/>
        <v>0</v>
      </c>
      <c r="AF85" s="68">
        <f t="shared" si="36"/>
        <v>0</v>
      </c>
      <c r="AG85" s="50"/>
      <c r="AH85" s="108" t="s">
        <v>486</v>
      </c>
      <c r="AI85" s="49" t="str">
        <f>IF(AH85="นิติศาสตร์","K5-LAW","K5-POLICY")</f>
        <v>K5-POLICY</v>
      </c>
      <c r="AJ85" s="72" t="str">
        <f>_xlfn.IFS(B85="","",AND(AI85="K5-LAW",AH85="นิติศาสตร์",L85="S2",U85="",AA85=""),Q85,AND(AI85="K5-LAW",AH85="นิติศาสตร์",L85="S1",U85="",AA85=""),EDATE(Q85,12),AND(AI85="K5-LAW",AH85="นิติศาสตร์",OR(L85="M2",L85="K4"),U85="",AA85=""),EDATE(Q85,12*2),AND(AI85="K5-LAW",AH85="นิติศาสตร์",OR(AA85="M2",AA85="K4"),AD85&gt;=2,OR(AC85&lt;W85,AC85&lt;Q85)),EDATE(AC85,12*2),AND(AI85="K5-LAW",AH85="นิติศาสตร์",AA85="S1",AD85&gt;=1,OR(AC85&lt;W85,AC85&lt;Q85)),EDATE(AC85,12),AND(AI85="K5-LAW",AH85="นิติศาสตร์",OR(U85="M2",U85="K4"),X85&gt;=2,W85&lt;Q85),EDATE(W85,12*2),AND(AI85="K5-LAW",AH85="นิติศาสตร์",U85="S1",X85&gt;=1,W85&lt;Q85),EDATE(W85,12),AND(AI85="K5-LAW",AH85="นิติศาสตร์",OR(U85="S2",U85="K5")),W85,AND(AI85="K5-LAW",AH85="นิติศาสตร์",OR(L85="M2",L85="K4"),R85&gt;=2),EDATE(Q85,12*2),AND(AI85="K5-LAW",AH85="นิติศาสตร์",L85="S1",R85&gt;=1),EDATE(Q85,12),AND(AI85="K5-LAW",AH85="นิติศาสตร์",OR(L85="S2",L85="K5")),Q85,AND(AI85="K5-POLICY",AH85&lt;&gt;"นิติศาสตร์",L85="S2",U85="",AA85=""),Q85,AND(AI85="K5-POLICY",AH85&lt;&gt;"นิติศาสตร์",L85="S1",U85="",AA85=""),EDATE(Q85,12),AND(AI85="K5-POLICY",AH85&lt;&gt;"นิติศาสตร์",OR(L85="M2",L85="K4"),U85="",AA85=""),EDATE(Q85,12*2),AND(AI85="K5-POLICY",AH85&lt;&gt;"นิติศาสตร์",OR(AA85="M2",AA85="K4"),AD85&gt;=2,OR(AC85&lt;W85,AC85&lt;Q85)),EDATE(AC85,12*2),AND(AI85="K5-POLICY",AH85&lt;&gt;"นิติศาสตร์",AA85="S1",AD85&gt;=1,OR(AC85&lt;W85,AC85&lt;Q85)),EDATE(AC85,12),AND(AI85="K5-POLICY",AH85&lt;&gt;"นิติศาสตร์",OR(U85="M2",U85="K4"),X85&gt;=2,W85&lt;Q85),EDATE(W85,12*2),AND(AI85="K5-POLICY",AH85&lt;&gt;"นิติศาสตร์",U85="S1",X85&gt;=1,W85&lt;Q85),EDATE(W85,12),AND(AI85="K5-POLICY",AH85&lt;&gt;"นิติศาสตร์",OR(U85="S2",U85="K5")),W85,AND(AI85="K5-POLICY",AH85&lt;&gt;"นิติศาสตร์",OR(L85="M2",L85="K4"),R85&gt;=2),EDATE(Q85,12*2),AND(AI85="K5-POLICY",AH85&lt;&gt;"นิติศาสตร์",L85="S1",R85&gt;=1),EDATE(Q85,12),AND(AI85="K5-POLICY",AH85&lt;&gt;"นิติศาสตร์",OR(L85="S2",L85="K5")),Q85,TRUE,"Check Data")</f>
        <v/>
      </c>
      <c r="AK85" s="75" t="str">
        <f t="shared" si="29"/>
        <v>Check Data</v>
      </c>
      <c r="AL85" s="76" t="str">
        <f t="shared" si="26"/>
        <v>Check Data</v>
      </c>
      <c r="AM85" s="50" t="str">
        <f t="shared" si="30"/>
        <v>Check Data</v>
      </c>
      <c r="AN85" s="49" t="str">
        <f>IF(B85="","",IF(L85="S1","S1",INDEX(#REF!,#REF!)))</f>
        <v/>
      </c>
      <c r="AO85" s="49" t="str">
        <f t="shared" si="31"/>
        <v>M2</v>
      </c>
      <c r="AP85" s="50" t="b">
        <f>L85=AN85</f>
        <v>0</v>
      </c>
      <c r="AQ85" s="50"/>
    </row>
    <row r="86" spans="1:43" ht="21.75">
      <c r="A86" s="49">
        <v>84</v>
      </c>
      <c r="B86" s="50"/>
      <c r="C86" s="50"/>
      <c r="D86" s="50" t="s">
        <v>143</v>
      </c>
      <c r="E86" s="50" t="e">
        <f>INDEX(#REF!,#REF!)</f>
        <v>#REF!</v>
      </c>
      <c r="F86" s="49" t="s">
        <v>355</v>
      </c>
      <c r="G86" s="49" t="str">
        <f t="shared" si="27"/>
        <v>30/04/1993</v>
      </c>
      <c r="H86" s="50">
        <f t="shared" si="23"/>
        <v>32</v>
      </c>
      <c r="I86" s="50">
        <f t="shared" si="24"/>
        <v>1</v>
      </c>
      <c r="J86" s="50">
        <f t="shared" si="25"/>
        <v>21</v>
      </c>
      <c r="K86" s="59"/>
      <c r="L86" s="49" t="s">
        <v>136</v>
      </c>
      <c r="M86" s="64"/>
      <c r="N86" s="49" t="s">
        <v>427</v>
      </c>
      <c r="O86" s="49">
        <v>2575</v>
      </c>
      <c r="P86" s="65" t="s">
        <v>287</v>
      </c>
      <c r="Q86" s="49" t="str">
        <f t="shared" si="28"/>
        <v>29/10/2020</v>
      </c>
      <c r="R86" s="68">
        <f>IF(Q86="",0,DATEDIF(Q86,$C$1,"Y"))</f>
        <v>4</v>
      </c>
      <c r="S86" s="68">
        <f>IF(Q86="",0,DATEDIF(Q86,$C$1,"YM"))</f>
        <v>7</v>
      </c>
      <c r="T86" s="68">
        <f>IF(Q86="",0,DATEDIF(Q86,$C$1,"MD"))</f>
        <v>22</v>
      </c>
      <c r="U86" s="65"/>
      <c r="V86" s="65"/>
      <c r="W86" s="49" t="str">
        <f t="shared" si="32"/>
        <v/>
      </c>
      <c r="X86" s="68">
        <f>IF(W86="",0,DATEDIF(W86,Q86,"Y"))</f>
        <v>0</v>
      </c>
      <c r="Y86" s="68">
        <f>IF(W86="",0,DATEDIF(W86,Q86,"YM"))</f>
        <v>0</v>
      </c>
      <c r="Z86" s="68">
        <f>IF(W86="",0,DATEDIF(W86,Q86,"MD"))</f>
        <v>0</v>
      </c>
      <c r="AA86" s="49"/>
      <c r="AB86" s="65"/>
      <c r="AC86" s="50" t="str">
        <f t="shared" si="33"/>
        <v/>
      </c>
      <c r="AD86" s="68">
        <f t="shared" si="34"/>
        <v>0</v>
      </c>
      <c r="AE86" s="68">
        <f t="shared" si="35"/>
        <v>0</v>
      </c>
      <c r="AF86" s="68">
        <f t="shared" si="36"/>
        <v>0</v>
      </c>
      <c r="AG86" s="50"/>
      <c r="AH86" s="108" t="s">
        <v>484</v>
      </c>
      <c r="AI86" s="49" t="str">
        <f>IF(AH86="นิติศาสตร์","K5-LAW","K5-POLICY")</f>
        <v>K5-POLICY</v>
      </c>
      <c r="AJ86" s="72" t="str">
        <f>_xlfn.IFS(B86="","",AND(AI86="K5-LAW",AH86="นิติศาสตร์",L86="S2",U86="",AA86=""),Q86,AND(AI86="K5-LAW",AH86="นิติศาสตร์",L86="S1",U86="",AA86=""),EDATE(Q86,12),AND(AI86="K5-LAW",AH86="นิติศาสตร์",OR(L86="M2",L86="K4"),U86="",AA86=""),EDATE(Q86,12*2),AND(AI86="K5-LAW",AH86="นิติศาสตร์",OR(AA86="M2",AA86="K4"),AD86&gt;=2,OR(AC86&lt;W86,AC86&lt;Q86)),EDATE(AC86,12*2),AND(AI86="K5-LAW",AH86="นิติศาสตร์",AA86="S1",AD86&gt;=1,OR(AC86&lt;W86,AC86&lt;Q86)),EDATE(AC86,12),AND(AI86="K5-LAW",AH86="นิติศาสตร์",OR(U86="M2",U86="K4"),X86&gt;=2,W86&lt;Q86),EDATE(W86,12*2),AND(AI86="K5-LAW",AH86="นิติศาสตร์",U86="S1",X86&gt;=1,W86&lt;Q86),EDATE(W86,12),AND(AI86="K5-LAW",AH86="นิติศาสตร์",OR(U86="S2",U86="K5")),W86,AND(AI86="K5-LAW",AH86="นิติศาสตร์",OR(L86="M2",L86="K4"),R86&gt;=2),EDATE(Q86,12*2),AND(AI86="K5-LAW",AH86="นิติศาสตร์",L86="S1",R86&gt;=1),EDATE(Q86,12),AND(AI86="K5-LAW",AH86="นิติศาสตร์",OR(L86="S2",L86="K5")),Q86,AND(AI86="K5-POLICY",AH86&lt;&gt;"นิติศาสตร์",L86="S2",U86="",AA86=""),Q86,AND(AI86="K5-POLICY",AH86&lt;&gt;"นิติศาสตร์",L86="S1",U86="",AA86=""),EDATE(Q86,12),AND(AI86="K5-POLICY",AH86&lt;&gt;"นิติศาสตร์",OR(L86="M2",L86="K4"),U86="",AA86=""),EDATE(Q86,12*2),AND(AI86="K5-POLICY",AH86&lt;&gt;"นิติศาสตร์",OR(AA86="M2",AA86="K4"),AD86&gt;=2,OR(AC86&lt;W86,AC86&lt;Q86)),EDATE(AC86,12*2),AND(AI86="K5-POLICY",AH86&lt;&gt;"นิติศาสตร์",AA86="S1",AD86&gt;=1,OR(AC86&lt;W86,AC86&lt;Q86)),EDATE(AC86,12),AND(AI86="K5-POLICY",AH86&lt;&gt;"นิติศาสตร์",OR(U86="M2",U86="K4"),X86&gt;=2,W86&lt;Q86),EDATE(W86,12*2),AND(AI86="K5-POLICY",AH86&lt;&gt;"นิติศาสตร์",U86="S1",X86&gt;=1,W86&lt;Q86),EDATE(W86,12),AND(AI86="K5-POLICY",AH86&lt;&gt;"นิติศาสตร์",OR(U86="S2",U86="K5")),W86,AND(AI86="K5-POLICY",AH86&lt;&gt;"นิติศาสตร์",OR(L86="M2",L86="K4"),R86&gt;=2),EDATE(Q86,12*2),AND(AI86="K5-POLICY",AH86&lt;&gt;"นิติศาสตร์",L86="S1",R86&gt;=1),EDATE(Q86,12),AND(AI86="K5-POLICY",AH86&lt;&gt;"นิติศาสตร์",OR(L86="S2",L86="K5")),Q86,TRUE,"Check Data")</f>
        <v/>
      </c>
      <c r="AK86" s="75" t="str">
        <f t="shared" si="29"/>
        <v>Check Data</v>
      </c>
      <c r="AL86" s="76" t="str">
        <f t="shared" si="26"/>
        <v>Check Data</v>
      </c>
      <c r="AM86" s="50" t="str">
        <f t="shared" si="30"/>
        <v>Check Data</v>
      </c>
      <c r="AN86" s="49" t="str">
        <f>IF(B86="","",IF(L86="S1","S1",INDEX(#REF!,#REF!)))</f>
        <v/>
      </c>
      <c r="AO86" s="49" t="str">
        <f t="shared" si="31"/>
        <v>M2</v>
      </c>
      <c r="AP86" s="50" t="b">
        <f>L86=AN86</f>
        <v>0</v>
      </c>
      <c r="AQ86" s="50"/>
    </row>
    <row r="87" spans="1:43" ht="21.75">
      <c r="A87" s="49">
        <v>85</v>
      </c>
      <c r="B87" s="50"/>
      <c r="C87" s="50"/>
      <c r="D87" s="50" t="s">
        <v>143</v>
      </c>
      <c r="E87" s="50" t="e">
        <f>INDEX(#REF!,#REF!)</f>
        <v>#REF!</v>
      </c>
      <c r="F87" s="49" t="s">
        <v>312</v>
      </c>
      <c r="G87" s="49" t="str">
        <f t="shared" si="27"/>
        <v>04/05/2000</v>
      </c>
      <c r="H87" s="50">
        <f t="shared" si="23"/>
        <v>25</v>
      </c>
      <c r="I87" s="50">
        <f t="shared" si="24"/>
        <v>1</v>
      </c>
      <c r="J87" s="50">
        <f t="shared" si="25"/>
        <v>16</v>
      </c>
      <c r="K87" s="59"/>
      <c r="L87" s="49" t="s">
        <v>136</v>
      </c>
      <c r="M87" s="64"/>
      <c r="N87" s="49" t="s">
        <v>427</v>
      </c>
      <c r="O87" s="49">
        <v>2572</v>
      </c>
      <c r="P87" s="65" t="s">
        <v>287</v>
      </c>
      <c r="Q87" s="49" t="str">
        <f t="shared" si="28"/>
        <v>29/10/2020</v>
      </c>
      <c r="R87" s="68">
        <f>IF(Q87="",0,DATEDIF(Q87,$C$1,"Y"))</f>
        <v>4</v>
      </c>
      <c r="S87" s="68">
        <f>IF(Q87="",0,DATEDIF(Q87,$C$1,"YM"))</f>
        <v>7</v>
      </c>
      <c r="T87" s="68">
        <f>IF(Q87="",0,DATEDIF(Q87,$C$1,"MD"))</f>
        <v>22</v>
      </c>
      <c r="U87" s="65"/>
      <c r="V87" s="65"/>
      <c r="W87" s="49" t="str">
        <f t="shared" si="32"/>
        <v/>
      </c>
      <c r="X87" s="68">
        <f>IF(W87="",0,DATEDIF(W87,Q87,"Y"))</f>
        <v>0</v>
      </c>
      <c r="Y87" s="68">
        <f>IF(W87="",0,DATEDIF(W87,Q87,"YM"))</f>
        <v>0</v>
      </c>
      <c r="Z87" s="68">
        <f>IF(W87="",0,DATEDIF(W87,Q87,"MD"))</f>
        <v>0</v>
      </c>
      <c r="AA87" s="49"/>
      <c r="AB87" s="65"/>
      <c r="AC87" s="50" t="str">
        <f t="shared" si="33"/>
        <v/>
      </c>
      <c r="AD87" s="68">
        <f t="shared" si="34"/>
        <v>0</v>
      </c>
      <c r="AE87" s="68">
        <f t="shared" si="35"/>
        <v>0</v>
      </c>
      <c r="AF87" s="68">
        <f t="shared" si="36"/>
        <v>0</v>
      </c>
      <c r="AG87" s="50"/>
      <c r="AH87" s="108" t="s">
        <v>163</v>
      </c>
      <c r="AI87" s="49" t="str">
        <f>IF(AH87="นิติศาสตร์","K5-LAW","K5-POLICY")</f>
        <v>K5-POLICY</v>
      </c>
      <c r="AJ87" s="72" t="str">
        <f>_xlfn.IFS(B87="","",AND(AI87="K5-LAW",AH87="นิติศาสตร์",L87="S2",U87="",AA87=""),Q87,AND(AI87="K5-LAW",AH87="นิติศาสตร์",L87="S1",U87="",AA87=""),EDATE(Q87,12),AND(AI87="K5-LAW",AH87="นิติศาสตร์",OR(L87="M2",L87="K4"),U87="",AA87=""),EDATE(Q87,12*2),AND(AI87="K5-LAW",AH87="นิติศาสตร์",OR(AA87="M2",AA87="K4"),AD87&gt;=2,OR(AC87&lt;W87,AC87&lt;Q87)),EDATE(AC87,12*2),AND(AI87="K5-LAW",AH87="นิติศาสตร์",AA87="S1",AD87&gt;=1,OR(AC87&lt;W87,AC87&lt;Q87)),EDATE(AC87,12),AND(AI87="K5-LAW",AH87="นิติศาสตร์",OR(U87="M2",U87="K4"),X87&gt;=2,W87&lt;Q87),EDATE(W87,12*2),AND(AI87="K5-LAW",AH87="นิติศาสตร์",U87="S1",X87&gt;=1,W87&lt;Q87),EDATE(W87,12),AND(AI87="K5-LAW",AH87="นิติศาสตร์",OR(U87="S2",U87="K5")),W87,AND(AI87="K5-LAW",AH87="นิติศาสตร์",OR(L87="M2",L87="K4"),R87&gt;=2),EDATE(Q87,12*2),AND(AI87="K5-LAW",AH87="นิติศาสตร์",L87="S1",R87&gt;=1),EDATE(Q87,12),AND(AI87="K5-LAW",AH87="นิติศาสตร์",OR(L87="S2",L87="K5")),Q87,AND(AI87="K5-POLICY",AH87&lt;&gt;"นิติศาสตร์",L87="S2",U87="",AA87=""),Q87,AND(AI87="K5-POLICY",AH87&lt;&gt;"นิติศาสตร์",L87="S1",U87="",AA87=""),EDATE(Q87,12),AND(AI87="K5-POLICY",AH87&lt;&gt;"นิติศาสตร์",OR(L87="M2",L87="K4"),U87="",AA87=""),EDATE(Q87,12*2),AND(AI87="K5-POLICY",AH87&lt;&gt;"นิติศาสตร์",OR(AA87="M2",AA87="K4"),AD87&gt;=2,OR(AC87&lt;W87,AC87&lt;Q87)),EDATE(AC87,12*2),AND(AI87="K5-POLICY",AH87&lt;&gt;"นิติศาสตร์",AA87="S1",AD87&gt;=1,OR(AC87&lt;W87,AC87&lt;Q87)),EDATE(AC87,12),AND(AI87="K5-POLICY",AH87&lt;&gt;"นิติศาสตร์",OR(U87="M2",U87="K4"),X87&gt;=2,W87&lt;Q87),EDATE(W87,12*2),AND(AI87="K5-POLICY",AH87&lt;&gt;"นิติศาสตร์",U87="S1",X87&gt;=1,W87&lt;Q87),EDATE(W87,12),AND(AI87="K5-POLICY",AH87&lt;&gt;"นิติศาสตร์",OR(U87="S2",U87="K5")),W87,AND(AI87="K5-POLICY",AH87&lt;&gt;"นิติศาสตร์",OR(L87="M2",L87="K4"),R87&gt;=2),EDATE(Q87,12*2),AND(AI87="K5-POLICY",AH87&lt;&gt;"นิติศาสตร์",L87="S1",R87&gt;=1),EDATE(Q87,12),AND(AI87="K5-POLICY",AH87&lt;&gt;"นิติศาสตร์",OR(L87="S2",L87="K5")),Q87,TRUE,"Check Data")</f>
        <v/>
      </c>
      <c r="AK87" s="75" t="str">
        <f t="shared" si="29"/>
        <v>Check Data</v>
      </c>
      <c r="AL87" s="76" t="str">
        <f t="shared" si="26"/>
        <v>Check Data</v>
      </c>
      <c r="AM87" s="50" t="str">
        <f t="shared" si="30"/>
        <v>Check Data</v>
      </c>
      <c r="AN87" s="49" t="str">
        <f>IF(B87="","",IF(L87="S1","S1",INDEX(#REF!,#REF!)))</f>
        <v/>
      </c>
      <c r="AO87" s="49" t="str">
        <f t="shared" si="31"/>
        <v>M2</v>
      </c>
      <c r="AP87" s="50" t="b">
        <f>L87=AN87</f>
        <v>0</v>
      </c>
      <c r="AQ87" s="50"/>
    </row>
    <row r="88" spans="1:43" ht="21.75">
      <c r="A88" s="49">
        <v>86</v>
      </c>
      <c r="B88" s="50"/>
      <c r="C88" s="50"/>
      <c r="D88" s="50" t="s">
        <v>143</v>
      </c>
      <c r="E88" s="50" t="e">
        <f>INDEX(#REF!,#REF!)</f>
        <v>#REF!</v>
      </c>
      <c r="F88" s="49" t="s">
        <v>289</v>
      </c>
      <c r="G88" s="49" t="str">
        <f t="shared" si="27"/>
        <v>01/07/1993</v>
      </c>
      <c r="H88" s="50">
        <f t="shared" si="23"/>
        <v>31</v>
      </c>
      <c r="I88" s="50">
        <f t="shared" si="24"/>
        <v>11</v>
      </c>
      <c r="J88" s="50">
        <f t="shared" si="25"/>
        <v>19</v>
      </c>
      <c r="K88" s="59"/>
      <c r="L88" s="49" t="s">
        <v>136</v>
      </c>
      <c r="M88" s="64"/>
      <c r="N88" s="49" t="s">
        <v>427</v>
      </c>
      <c r="O88" s="49">
        <v>2571</v>
      </c>
      <c r="P88" s="65" t="s">
        <v>287</v>
      </c>
      <c r="Q88" s="49" t="str">
        <f t="shared" si="28"/>
        <v>29/10/2020</v>
      </c>
      <c r="R88" s="68">
        <f>IF(Q88="",0,DATEDIF(Q88,$C$1,"Y"))</f>
        <v>4</v>
      </c>
      <c r="S88" s="68">
        <f>IF(Q88="",0,DATEDIF(Q88,$C$1,"YM"))</f>
        <v>7</v>
      </c>
      <c r="T88" s="68">
        <f>IF(Q88="",0,DATEDIF(Q88,$C$1,"MD"))</f>
        <v>22</v>
      </c>
      <c r="U88" s="65"/>
      <c r="V88" s="65"/>
      <c r="W88" s="49" t="str">
        <f t="shared" si="32"/>
        <v/>
      </c>
      <c r="X88" s="68">
        <f>IF(W88="",0,DATEDIF(W88,Q88,"Y"))</f>
        <v>0</v>
      </c>
      <c r="Y88" s="68">
        <f>IF(W88="",0,DATEDIF(W88,Q88,"YM"))</f>
        <v>0</v>
      </c>
      <c r="Z88" s="68">
        <f>IF(W88="",0,DATEDIF(W88,Q88,"MD"))</f>
        <v>0</v>
      </c>
      <c r="AA88" s="49"/>
      <c r="AB88" s="65"/>
      <c r="AC88" s="50" t="str">
        <f t="shared" si="33"/>
        <v/>
      </c>
      <c r="AD88" s="68">
        <f t="shared" si="34"/>
        <v>0</v>
      </c>
      <c r="AE88" s="68">
        <f t="shared" si="35"/>
        <v>0</v>
      </c>
      <c r="AF88" s="68">
        <f t="shared" si="36"/>
        <v>0</v>
      </c>
      <c r="AG88" s="50"/>
      <c r="AH88" s="108" t="s">
        <v>196</v>
      </c>
      <c r="AI88" s="49" t="str">
        <f>IF(AH88="นิติศาสตร์","K5-LAW","K5-POLICY")</f>
        <v>K5-POLICY</v>
      </c>
      <c r="AJ88" s="72" t="str">
        <f>_xlfn.IFS(B88="","",AND(AI88="K5-LAW",AH88="นิติศาสตร์",L88="S2",U88="",AA88=""),Q88,AND(AI88="K5-LAW",AH88="นิติศาสตร์",L88="S1",U88="",AA88=""),EDATE(Q88,12),AND(AI88="K5-LAW",AH88="นิติศาสตร์",OR(L88="M2",L88="K4"),U88="",AA88=""),EDATE(Q88,12*2),AND(AI88="K5-LAW",AH88="นิติศาสตร์",OR(AA88="M2",AA88="K4"),AD88&gt;=2,OR(AC88&lt;W88,AC88&lt;Q88)),EDATE(AC88,12*2),AND(AI88="K5-LAW",AH88="นิติศาสตร์",AA88="S1",AD88&gt;=1,OR(AC88&lt;W88,AC88&lt;Q88)),EDATE(AC88,12),AND(AI88="K5-LAW",AH88="นิติศาสตร์",OR(U88="M2",U88="K4"),X88&gt;=2,W88&lt;Q88),EDATE(W88,12*2),AND(AI88="K5-LAW",AH88="นิติศาสตร์",U88="S1",X88&gt;=1,W88&lt;Q88),EDATE(W88,12),AND(AI88="K5-LAW",AH88="นิติศาสตร์",OR(U88="S2",U88="K5")),W88,AND(AI88="K5-LAW",AH88="นิติศาสตร์",OR(L88="M2",L88="K4"),R88&gt;=2),EDATE(Q88,12*2),AND(AI88="K5-LAW",AH88="นิติศาสตร์",L88="S1",R88&gt;=1),EDATE(Q88,12),AND(AI88="K5-LAW",AH88="นิติศาสตร์",OR(L88="S2",L88="K5")),Q88,AND(AI88="K5-POLICY",AH88&lt;&gt;"นิติศาสตร์",L88="S2",U88="",AA88=""),Q88,AND(AI88="K5-POLICY",AH88&lt;&gt;"นิติศาสตร์",L88="S1",U88="",AA88=""),EDATE(Q88,12),AND(AI88="K5-POLICY",AH88&lt;&gt;"นิติศาสตร์",OR(L88="M2",L88="K4"),U88="",AA88=""),EDATE(Q88,12*2),AND(AI88="K5-POLICY",AH88&lt;&gt;"นิติศาสตร์",OR(AA88="M2",AA88="K4"),AD88&gt;=2,OR(AC88&lt;W88,AC88&lt;Q88)),EDATE(AC88,12*2),AND(AI88="K5-POLICY",AH88&lt;&gt;"นิติศาสตร์",AA88="S1",AD88&gt;=1,OR(AC88&lt;W88,AC88&lt;Q88)),EDATE(AC88,12),AND(AI88="K5-POLICY",AH88&lt;&gt;"นิติศาสตร์",OR(U88="M2",U88="K4"),X88&gt;=2,W88&lt;Q88),EDATE(W88,12*2),AND(AI88="K5-POLICY",AH88&lt;&gt;"นิติศาสตร์",U88="S1",X88&gt;=1,W88&lt;Q88),EDATE(W88,12),AND(AI88="K5-POLICY",AH88&lt;&gt;"นิติศาสตร์",OR(U88="S2",U88="K5")),W88,AND(AI88="K5-POLICY",AH88&lt;&gt;"นิติศาสตร์",OR(L88="M2",L88="K4"),R88&gt;=2),EDATE(Q88,12*2),AND(AI88="K5-POLICY",AH88&lt;&gt;"นิติศาสตร์",L88="S1",R88&gt;=1),EDATE(Q88,12),AND(AI88="K5-POLICY",AH88&lt;&gt;"นิติศาสตร์",OR(L88="S2",L88="K5")),Q88,TRUE,"Check Data")</f>
        <v/>
      </c>
      <c r="AK88" s="75" t="str">
        <f t="shared" si="29"/>
        <v>Check Data</v>
      </c>
      <c r="AL88" s="76" t="str">
        <f t="shared" si="26"/>
        <v>Check Data</v>
      </c>
      <c r="AM88" s="50" t="str">
        <f t="shared" si="30"/>
        <v>Check Data</v>
      </c>
      <c r="AN88" s="49" t="str">
        <f>IF(B88="","",IF(L88="S1","S1",INDEX(#REF!,#REF!)))</f>
        <v/>
      </c>
      <c r="AO88" s="49" t="str">
        <f t="shared" si="31"/>
        <v>M2</v>
      </c>
      <c r="AP88" s="50" t="b">
        <f>L88=AN88</f>
        <v>0</v>
      </c>
      <c r="AQ88" s="50"/>
    </row>
    <row r="89" spans="1:43" ht="21.75">
      <c r="A89" s="49">
        <v>87</v>
      </c>
      <c r="B89" s="50"/>
      <c r="C89" s="50"/>
      <c r="D89" s="50" t="s">
        <v>143</v>
      </c>
      <c r="E89" s="50" t="e">
        <f>INDEX(#REF!,#REF!)</f>
        <v>#REF!</v>
      </c>
      <c r="F89" s="49" t="s">
        <v>319</v>
      </c>
      <c r="G89" s="49" t="str">
        <f t="shared" si="27"/>
        <v>01/08/2002</v>
      </c>
      <c r="H89" s="50">
        <f t="shared" si="23"/>
        <v>22</v>
      </c>
      <c r="I89" s="50">
        <f t="shared" si="24"/>
        <v>10</v>
      </c>
      <c r="J89" s="50">
        <f t="shared" si="25"/>
        <v>19</v>
      </c>
      <c r="K89" s="59"/>
      <c r="L89" s="49" t="s">
        <v>136</v>
      </c>
      <c r="M89" s="64"/>
      <c r="N89" s="49" t="s">
        <v>427</v>
      </c>
      <c r="O89" s="49">
        <v>2575</v>
      </c>
      <c r="P89" s="65" t="s">
        <v>287</v>
      </c>
      <c r="Q89" s="49" t="str">
        <f t="shared" si="28"/>
        <v>29/10/2020</v>
      </c>
      <c r="R89" s="68">
        <f>IF(Q89="",0,DATEDIF(Q89,$C$1,"Y"))</f>
        <v>4</v>
      </c>
      <c r="S89" s="68">
        <f>IF(Q89="",0,DATEDIF(Q89,$C$1,"YM"))</f>
        <v>7</v>
      </c>
      <c r="T89" s="68">
        <f>IF(Q89="",0,DATEDIF(Q89,$C$1,"MD"))</f>
        <v>22</v>
      </c>
      <c r="U89" s="65"/>
      <c r="V89" s="65"/>
      <c r="W89" s="49" t="str">
        <f t="shared" si="32"/>
        <v/>
      </c>
      <c r="X89" s="68">
        <f>IF(W89="",0,DATEDIF(W89,Q89,"Y"))</f>
        <v>0</v>
      </c>
      <c r="Y89" s="68">
        <f>IF(W89="",0,DATEDIF(W89,Q89,"YM"))</f>
        <v>0</v>
      </c>
      <c r="Z89" s="68">
        <f>IF(W89="",0,DATEDIF(W89,Q89,"MD"))</f>
        <v>0</v>
      </c>
      <c r="AA89" s="49"/>
      <c r="AB89" s="65"/>
      <c r="AC89" s="50" t="str">
        <f t="shared" si="33"/>
        <v/>
      </c>
      <c r="AD89" s="68">
        <f t="shared" si="34"/>
        <v>0</v>
      </c>
      <c r="AE89" s="68">
        <f t="shared" si="35"/>
        <v>0</v>
      </c>
      <c r="AF89" s="68">
        <f t="shared" si="36"/>
        <v>0</v>
      </c>
      <c r="AG89" s="50"/>
      <c r="AH89" s="108" t="s">
        <v>517</v>
      </c>
      <c r="AI89" s="49" t="str">
        <f>IF(AH89="นิติศาสตร์","K5-LAW","K5-POLICY")</f>
        <v>K5-POLICY</v>
      </c>
      <c r="AJ89" s="72" t="str">
        <f>_xlfn.IFS(B89="","",AND(AI89="K5-LAW",AH89="นิติศาสตร์",L89="S2",U89="",AA89=""),Q89,AND(AI89="K5-LAW",AH89="นิติศาสตร์",L89="S1",U89="",AA89=""),EDATE(Q89,12),AND(AI89="K5-LAW",AH89="นิติศาสตร์",OR(L89="M2",L89="K4"),U89="",AA89=""),EDATE(Q89,12*2),AND(AI89="K5-LAW",AH89="นิติศาสตร์",OR(AA89="M2",AA89="K4"),AD89&gt;=2,OR(AC89&lt;W89,AC89&lt;Q89)),EDATE(AC89,12*2),AND(AI89="K5-LAW",AH89="นิติศาสตร์",AA89="S1",AD89&gt;=1,OR(AC89&lt;W89,AC89&lt;Q89)),EDATE(AC89,12),AND(AI89="K5-LAW",AH89="นิติศาสตร์",OR(U89="M2",U89="K4"),X89&gt;=2,W89&lt;Q89),EDATE(W89,12*2),AND(AI89="K5-LAW",AH89="นิติศาสตร์",U89="S1",X89&gt;=1,W89&lt;Q89),EDATE(W89,12),AND(AI89="K5-LAW",AH89="นิติศาสตร์",OR(U89="S2",U89="K5")),W89,AND(AI89="K5-LAW",AH89="นิติศาสตร์",OR(L89="M2",L89="K4"),R89&gt;=2),EDATE(Q89,12*2),AND(AI89="K5-LAW",AH89="นิติศาสตร์",L89="S1",R89&gt;=1),EDATE(Q89,12),AND(AI89="K5-LAW",AH89="นิติศาสตร์",OR(L89="S2",L89="K5")),Q89,AND(AI89="K5-POLICY",AH89&lt;&gt;"นิติศาสตร์",L89="S2",U89="",AA89=""),Q89,AND(AI89="K5-POLICY",AH89&lt;&gt;"นิติศาสตร์",L89="S1",U89="",AA89=""),EDATE(Q89,12),AND(AI89="K5-POLICY",AH89&lt;&gt;"นิติศาสตร์",OR(L89="M2",L89="K4"),U89="",AA89=""),EDATE(Q89,12*2),AND(AI89="K5-POLICY",AH89&lt;&gt;"นิติศาสตร์",OR(AA89="M2",AA89="K4"),AD89&gt;=2,OR(AC89&lt;W89,AC89&lt;Q89)),EDATE(AC89,12*2),AND(AI89="K5-POLICY",AH89&lt;&gt;"นิติศาสตร์",AA89="S1",AD89&gt;=1,OR(AC89&lt;W89,AC89&lt;Q89)),EDATE(AC89,12),AND(AI89="K5-POLICY",AH89&lt;&gt;"นิติศาสตร์",OR(U89="M2",U89="K4"),X89&gt;=2,W89&lt;Q89),EDATE(W89,12*2),AND(AI89="K5-POLICY",AH89&lt;&gt;"นิติศาสตร์",U89="S1",X89&gt;=1,W89&lt;Q89),EDATE(W89,12),AND(AI89="K5-POLICY",AH89&lt;&gt;"นิติศาสตร์",OR(U89="S2",U89="K5")),W89,AND(AI89="K5-POLICY",AH89&lt;&gt;"นิติศาสตร์",OR(L89="M2",L89="K4"),R89&gt;=2),EDATE(Q89,12*2),AND(AI89="K5-POLICY",AH89&lt;&gt;"นิติศาสตร์",L89="S1",R89&gt;=1),EDATE(Q89,12),AND(AI89="K5-POLICY",AH89&lt;&gt;"นิติศาสตร์",OR(L89="S2",L89="K5")),Q89,TRUE,"Check Data")</f>
        <v/>
      </c>
      <c r="AK89" s="75" t="str">
        <f t="shared" si="29"/>
        <v>Check Data</v>
      </c>
      <c r="AL89" s="76" t="str">
        <f t="shared" si="26"/>
        <v>Check Data</v>
      </c>
      <c r="AM89" s="50" t="str">
        <f t="shared" si="30"/>
        <v>Check Data</v>
      </c>
      <c r="AN89" s="49" t="str">
        <f>IF(B89="","",IF(L89="S1","S1",INDEX(#REF!,#REF!)))</f>
        <v/>
      </c>
      <c r="AO89" s="49" t="str">
        <f t="shared" si="31"/>
        <v>M2</v>
      </c>
      <c r="AP89" s="50" t="b">
        <f>L89=AN89</f>
        <v>0</v>
      </c>
      <c r="AQ89" s="50"/>
    </row>
    <row r="90" spans="1:43" ht="21.75">
      <c r="A90" s="49">
        <v>88</v>
      </c>
      <c r="B90" s="50"/>
      <c r="C90" s="50"/>
      <c r="D90" s="50" t="s">
        <v>139</v>
      </c>
      <c r="E90" s="50" t="e">
        <f>INDEX(#REF!,#REF!)</f>
        <v>#REF!</v>
      </c>
      <c r="F90" s="49" t="s">
        <v>208</v>
      </c>
      <c r="G90" s="49" t="str">
        <f t="shared" si="27"/>
        <v>01/02/1990</v>
      </c>
      <c r="H90" s="50">
        <f t="shared" si="23"/>
        <v>35</v>
      </c>
      <c r="I90" s="50">
        <f t="shared" si="24"/>
        <v>4</v>
      </c>
      <c r="J90" s="50">
        <f t="shared" si="25"/>
        <v>19</v>
      </c>
      <c r="K90" s="56"/>
      <c r="L90" s="49" t="s">
        <v>136</v>
      </c>
      <c r="M90" s="64"/>
      <c r="N90" s="49" t="s">
        <v>425</v>
      </c>
      <c r="O90" s="49">
        <v>2571</v>
      </c>
      <c r="P90" s="65" t="s">
        <v>225</v>
      </c>
      <c r="Q90" s="49" t="str">
        <f t="shared" si="28"/>
        <v>30/11/2020</v>
      </c>
      <c r="R90" s="68">
        <f>IF(Q90="",0,DATEDIF(Q90,$C$1,"Y"))</f>
        <v>4</v>
      </c>
      <c r="S90" s="68">
        <f>IF(Q90="",0,DATEDIF(Q90,$C$1,"YM"))</f>
        <v>6</v>
      </c>
      <c r="T90" s="68">
        <f>IF(Q90="",0,DATEDIF(Q90,$C$1,"MD"))</f>
        <v>21</v>
      </c>
      <c r="U90" s="65"/>
      <c r="V90" s="65"/>
      <c r="W90" s="49" t="str">
        <f t="shared" si="32"/>
        <v/>
      </c>
      <c r="X90" s="68">
        <f>IF(W90="",0,DATEDIF(W90,Q90,"Y"))</f>
        <v>0</v>
      </c>
      <c r="Y90" s="68">
        <f>IF(W90="",0,DATEDIF(W90,Q90,"YM"))</f>
        <v>0</v>
      </c>
      <c r="Z90" s="68">
        <f>IF(W90="",0,DATEDIF(W90,Q90,"MD"))</f>
        <v>0</v>
      </c>
      <c r="AA90" s="49"/>
      <c r="AB90" s="65"/>
      <c r="AC90" s="50" t="str">
        <f t="shared" si="33"/>
        <v/>
      </c>
      <c r="AD90" s="68">
        <f t="shared" si="34"/>
        <v>0</v>
      </c>
      <c r="AE90" s="68">
        <f t="shared" si="35"/>
        <v>0</v>
      </c>
      <c r="AF90" s="68">
        <f t="shared" si="36"/>
        <v>0</v>
      </c>
      <c r="AG90" s="50"/>
      <c r="AH90" s="108" t="s">
        <v>167</v>
      </c>
      <c r="AI90" s="49" t="str">
        <f>IF(AH90="นิติศาสตร์","K5-LAW","K5-POLICY")</f>
        <v>K5-POLICY</v>
      </c>
      <c r="AJ90" s="72" t="str">
        <f>_xlfn.IFS(B90="","",AND(AI90="K5-LAW",AH90="นิติศาสตร์",L90="S2",U90="",AA90=""),Q90,AND(AI90="K5-LAW",AH90="นิติศาสตร์",L90="S1",U90="",AA90=""),EDATE(Q90,12),AND(AI90="K5-LAW",AH90="นิติศาสตร์",OR(L90="M2",L90="K4"),U90="",AA90=""),EDATE(Q90,12*2),AND(AI90="K5-LAW",AH90="นิติศาสตร์",OR(AA90="M2",AA90="K4"),AD90&gt;=2,OR(AC90&lt;W90,AC90&lt;Q90)),EDATE(AC90,12*2),AND(AI90="K5-LAW",AH90="นิติศาสตร์",AA90="S1",AD90&gt;=1,OR(AC90&lt;W90,AC90&lt;Q90)),EDATE(AC90,12),AND(AI90="K5-LAW",AH90="นิติศาสตร์",OR(U90="M2",U90="K4"),X90&gt;=2,W90&lt;Q90),EDATE(W90,12*2),AND(AI90="K5-LAW",AH90="นิติศาสตร์",U90="S1",X90&gt;=1,W90&lt;Q90),EDATE(W90,12),AND(AI90="K5-LAW",AH90="นิติศาสตร์",OR(U90="S2",U90="K5")),W90,AND(AI90="K5-LAW",AH90="นิติศาสตร์",OR(L90="M2",L90="K4"),R90&gt;=2),EDATE(Q90,12*2),AND(AI90="K5-LAW",AH90="นิติศาสตร์",L90="S1",R90&gt;=1),EDATE(Q90,12),AND(AI90="K5-LAW",AH90="นิติศาสตร์",OR(L90="S2",L90="K5")),Q90,AND(AI90="K5-POLICY",AH90&lt;&gt;"นิติศาสตร์",L90="S2",U90="",AA90=""),Q90,AND(AI90="K5-POLICY",AH90&lt;&gt;"นิติศาสตร์",L90="S1",U90="",AA90=""),EDATE(Q90,12),AND(AI90="K5-POLICY",AH90&lt;&gt;"นิติศาสตร์",OR(L90="M2",L90="K4"),U90="",AA90=""),EDATE(Q90,12*2),AND(AI90="K5-POLICY",AH90&lt;&gt;"นิติศาสตร์",OR(AA90="M2",AA90="K4"),AD90&gt;=2,OR(AC90&lt;W90,AC90&lt;Q90)),EDATE(AC90,12*2),AND(AI90="K5-POLICY",AH90&lt;&gt;"นิติศาสตร์",AA90="S1",AD90&gt;=1,OR(AC90&lt;W90,AC90&lt;Q90)),EDATE(AC90,12),AND(AI90="K5-POLICY",AH90&lt;&gt;"นิติศาสตร์",OR(U90="M2",U90="K4"),X90&gt;=2,W90&lt;Q90),EDATE(W90,12*2),AND(AI90="K5-POLICY",AH90&lt;&gt;"นิติศาสตร์",U90="S1",X90&gt;=1,W90&lt;Q90),EDATE(W90,12),AND(AI90="K5-POLICY",AH90&lt;&gt;"นิติศาสตร์",OR(U90="S2",U90="K5")),W90,AND(AI90="K5-POLICY",AH90&lt;&gt;"นิติศาสตร์",OR(L90="M2",L90="K4"),R90&gt;=2),EDATE(Q90,12*2),AND(AI90="K5-POLICY",AH90&lt;&gt;"นิติศาสตร์",L90="S1",R90&gt;=1),EDATE(Q90,12),AND(AI90="K5-POLICY",AH90&lt;&gt;"นิติศาสตร์",OR(L90="S2",L90="K5")),Q90,TRUE,"Check Data")</f>
        <v/>
      </c>
      <c r="AK90" s="75" t="str">
        <f t="shared" si="29"/>
        <v>Check Data</v>
      </c>
      <c r="AL90" s="76" t="str">
        <f t="shared" si="26"/>
        <v>Check Data</v>
      </c>
      <c r="AM90" s="50" t="str">
        <f t="shared" si="30"/>
        <v>Check Data</v>
      </c>
      <c r="AN90" s="49" t="str">
        <f>IF(B90="","",IF(L90="S1","S1",INDEX(#REF!,#REF!)))</f>
        <v/>
      </c>
      <c r="AO90" s="49" t="str">
        <f t="shared" si="31"/>
        <v>M2</v>
      </c>
      <c r="AP90" s="50" t="b">
        <f>L90=AN90</f>
        <v>0</v>
      </c>
      <c r="AQ90" s="50"/>
    </row>
    <row r="91" spans="1:43" ht="21.75">
      <c r="A91" s="49">
        <v>89</v>
      </c>
      <c r="B91" s="50"/>
      <c r="C91" s="50"/>
      <c r="D91" s="50" t="s">
        <v>139</v>
      </c>
      <c r="E91" s="50" t="e">
        <f>INDEX(#REF!,#REF!)</f>
        <v>#REF!</v>
      </c>
      <c r="F91" s="49" t="s">
        <v>176</v>
      </c>
      <c r="G91" s="49" t="str">
        <f t="shared" si="27"/>
        <v>01/03/1990</v>
      </c>
      <c r="H91" s="50">
        <f t="shared" si="23"/>
        <v>35</v>
      </c>
      <c r="I91" s="50">
        <f t="shared" si="24"/>
        <v>3</v>
      </c>
      <c r="J91" s="50">
        <f t="shared" si="25"/>
        <v>19</v>
      </c>
      <c r="K91" s="58"/>
      <c r="L91" s="49" t="s">
        <v>136</v>
      </c>
      <c r="M91" s="64"/>
      <c r="N91" s="49" t="s">
        <v>427</v>
      </c>
      <c r="O91" s="49">
        <v>2569</v>
      </c>
      <c r="P91" s="65" t="s">
        <v>225</v>
      </c>
      <c r="Q91" s="49" t="str">
        <f t="shared" si="28"/>
        <v>30/11/2020</v>
      </c>
      <c r="R91" s="68">
        <f>IF(Q91="",0,DATEDIF(Q91,$C$1,"Y"))</f>
        <v>4</v>
      </c>
      <c r="S91" s="68">
        <f>IF(Q91="",0,DATEDIF(Q91,$C$1,"YM"))</f>
        <v>6</v>
      </c>
      <c r="T91" s="68">
        <f>IF(Q91="",0,DATEDIF(Q91,$C$1,"MD"))</f>
        <v>21</v>
      </c>
      <c r="U91" s="65"/>
      <c r="V91" s="65"/>
      <c r="W91" s="49" t="str">
        <f t="shared" si="32"/>
        <v/>
      </c>
      <c r="X91" s="68">
        <f>IF(W91="",0,DATEDIF(W91,Q91,"Y"))</f>
        <v>0</v>
      </c>
      <c r="Y91" s="68">
        <f>IF(W91="",0,DATEDIF(W91,Q91,"YM"))</f>
        <v>0</v>
      </c>
      <c r="Z91" s="68">
        <f>IF(W91="",0,DATEDIF(W91,Q91,"MD"))</f>
        <v>0</v>
      </c>
      <c r="AA91" s="49"/>
      <c r="AB91" s="65"/>
      <c r="AC91" s="50" t="str">
        <f t="shared" si="33"/>
        <v/>
      </c>
      <c r="AD91" s="68">
        <f t="shared" si="34"/>
        <v>0</v>
      </c>
      <c r="AE91" s="68">
        <f t="shared" si="35"/>
        <v>0</v>
      </c>
      <c r="AF91" s="68">
        <f t="shared" si="36"/>
        <v>0</v>
      </c>
      <c r="AG91" s="50"/>
      <c r="AH91" s="108" t="s">
        <v>138</v>
      </c>
      <c r="AI91" s="49" t="str">
        <f>IF(AH91="นิติศาสตร์","K5-LAW","K5-POLICY")</f>
        <v>K5-LAW</v>
      </c>
      <c r="AJ91" s="72" t="str">
        <f>_xlfn.IFS(B91="","",AND(AI91="K5-LAW",AH91="นิติศาสตร์",L91="S2",U91="",AA91=""),Q91,AND(AI91="K5-LAW",AH91="นิติศาสตร์",L91="S1",U91="",AA91=""),EDATE(Q91,12),AND(AI91="K5-LAW",AH91="นิติศาสตร์",OR(L91="M2",L91="K4"),U91="",AA91=""),EDATE(Q91,12*2),AND(AI91="K5-LAW",AH91="นิติศาสตร์",OR(AA91="M2",AA91="K4"),AD91&gt;=2,OR(AC91&lt;W91,AC91&lt;Q91)),EDATE(AC91,12*2),AND(AI91="K5-LAW",AH91="นิติศาสตร์",AA91="S1",AD91&gt;=1,OR(AC91&lt;W91,AC91&lt;Q91)),EDATE(AC91,12),AND(AI91="K5-LAW",AH91="นิติศาสตร์",OR(U91="M2",U91="K4"),X91&gt;=2,W91&lt;Q91),EDATE(W91,12*2),AND(AI91="K5-LAW",AH91="นิติศาสตร์",U91="S1",X91&gt;=1,W91&lt;Q91),EDATE(W91,12),AND(AI91="K5-LAW",AH91="นิติศาสตร์",OR(U91="S2",U91="K5")),W91,AND(AI91="K5-LAW",AH91="นิติศาสตร์",OR(L91="M2",L91="K4"),R91&gt;=2),EDATE(Q91,12*2),AND(AI91="K5-LAW",AH91="นิติศาสตร์",L91="S1",R91&gt;=1),EDATE(Q91,12),AND(AI91="K5-LAW",AH91="นิติศาสตร์",OR(L91="S2",L91="K5")),Q91,AND(AI91="K5-POLICY",AH91&lt;&gt;"นิติศาสตร์",L91="S2",U91="",AA91=""),Q91,AND(AI91="K5-POLICY",AH91&lt;&gt;"นิติศาสตร์",L91="S1",U91="",AA91=""),EDATE(Q91,12),AND(AI91="K5-POLICY",AH91&lt;&gt;"นิติศาสตร์",OR(L91="M2",L91="K4"),U91="",AA91=""),EDATE(Q91,12*2),AND(AI91="K5-POLICY",AH91&lt;&gt;"นิติศาสตร์",OR(AA91="M2",AA91="K4"),AD91&gt;=2,OR(AC91&lt;W91,AC91&lt;Q91)),EDATE(AC91,12*2),AND(AI91="K5-POLICY",AH91&lt;&gt;"นิติศาสตร์",AA91="S1",AD91&gt;=1,OR(AC91&lt;W91,AC91&lt;Q91)),EDATE(AC91,12),AND(AI91="K5-POLICY",AH91&lt;&gt;"นิติศาสตร์",OR(U91="M2",U91="K4"),X91&gt;=2,W91&lt;Q91),EDATE(W91,12*2),AND(AI91="K5-POLICY",AH91&lt;&gt;"นิติศาสตร์",U91="S1",X91&gt;=1,W91&lt;Q91),EDATE(W91,12),AND(AI91="K5-POLICY",AH91&lt;&gt;"นิติศาสตร์",OR(U91="S2",U91="K5")),W91,AND(AI91="K5-POLICY",AH91&lt;&gt;"นิติศาสตร์",OR(L91="M2",L91="K4"),R91&gt;=2),EDATE(Q91,12*2),AND(AI91="K5-POLICY",AH91&lt;&gt;"นิติศาสตร์",L91="S1",R91&gt;=1),EDATE(Q91,12),AND(AI91="K5-POLICY",AH91&lt;&gt;"นิติศาสตร์",OR(L91="S2",L91="K5")),Q91,TRUE,"Check Data")</f>
        <v/>
      </c>
      <c r="AK91" s="75" t="str">
        <f t="shared" si="29"/>
        <v>Check Data</v>
      </c>
      <c r="AL91" s="76" t="str">
        <f t="shared" si="26"/>
        <v>Check Data</v>
      </c>
      <c r="AM91" s="50" t="str">
        <f t="shared" si="30"/>
        <v>Check Data</v>
      </c>
      <c r="AN91" s="49" t="str">
        <f>IF(B91="","",IF(L91="S1","S1",INDEX(#REF!,#REF!)))</f>
        <v/>
      </c>
      <c r="AO91" s="49" t="str">
        <f t="shared" si="31"/>
        <v>M2</v>
      </c>
      <c r="AP91" s="50" t="b">
        <f>L91=AN91</f>
        <v>0</v>
      </c>
      <c r="AQ91" s="50"/>
    </row>
    <row r="92" spans="1:43" ht="21.75">
      <c r="A92" s="49">
        <v>90</v>
      </c>
      <c r="B92" s="50"/>
      <c r="C92" s="50"/>
      <c r="D92" s="50" t="s">
        <v>139</v>
      </c>
      <c r="E92" s="50" t="e">
        <f>INDEX(#REF!,#REF!)</f>
        <v>#REF!</v>
      </c>
      <c r="F92" s="49" t="s">
        <v>231</v>
      </c>
      <c r="G92" s="49" t="str">
        <f t="shared" si="27"/>
        <v>15/05/1995</v>
      </c>
      <c r="H92" s="50">
        <f t="shared" si="23"/>
        <v>30</v>
      </c>
      <c r="I92" s="50">
        <f t="shared" si="24"/>
        <v>1</v>
      </c>
      <c r="J92" s="50">
        <f t="shared" si="25"/>
        <v>5</v>
      </c>
      <c r="K92" s="58"/>
      <c r="L92" s="49" t="s">
        <v>136</v>
      </c>
      <c r="M92" s="64"/>
      <c r="N92" s="49" t="s">
        <v>427</v>
      </c>
      <c r="O92" s="49">
        <v>2574</v>
      </c>
      <c r="P92" s="65" t="s">
        <v>225</v>
      </c>
      <c r="Q92" s="49" t="str">
        <f t="shared" si="28"/>
        <v>30/11/2020</v>
      </c>
      <c r="R92" s="68">
        <f>IF(Q92="",0,DATEDIF(Q92,$C$1,"Y"))</f>
        <v>4</v>
      </c>
      <c r="S92" s="68">
        <f>IF(Q92="",0,DATEDIF(Q92,$C$1,"YM"))</f>
        <v>6</v>
      </c>
      <c r="T92" s="68">
        <f>IF(Q92="",0,DATEDIF(Q92,$C$1,"MD"))</f>
        <v>21</v>
      </c>
      <c r="U92" s="65"/>
      <c r="V92" s="65"/>
      <c r="W92" s="49" t="str">
        <f t="shared" si="32"/>
        <v/>
      </c>
      <c r="X92" s="68">
        <f>IF(W92="",0,DATEDIF(W92,Q92,"Y"))</f>
        <v>0</v>
      </c>
      <c r="Y92" s="68">
        <f>IF(W92="",0,DATEDIF(W92,Q92,"YM"))</f>
        <v>0</v>
      </c>
      <c r="Z92" s="68">
        <f>IF(W92="",0,DATEDIF(W92,Q92,"MD"))</f>
        <v>0</v>
      </c>
      <c r="AA92" s="49"/>
      <c r="AB92" s="65"/>
      <c r="AC92" s="50" t="str">
        <f t="shared" si="33"/>
        <v/>
      </c>
      <c r="AD92" s="68">
        <f t="shared" si="34"/>
        <v>0</v>
      </c>
      <c r="AE92" s="68">
        <f t="shared" si="35"/>
        <v>0</v>
      </c>
      <c r="AF92" s="68">
        <f t="shared" si="36"/>
        <v>0</v>
      </c>
      <c r="AG92" s="50"/>
      <c r="AH92" s="108" t="s">
        <v>163</v>
      </c>
      <c r="AI92" s="49" t="str">
        <f>IF(AH92="นิติศาสตร์","K5-LAW","K5-POLICY")</f>
        <v>K5-POLICY</v>
      </c>
      <c r="AJ92" s="72" t="str">
        <f>_xlfn.IFS(B92="","",AND(AI92="K5-LAW",AH92="นิติศาสตร์",L92="S2",U92="",AA92=""),Q92,AND(AI92="K5-LAW",AH92="นิติศาสตร์",L92="S1",U92="",AA92=""),EDATE(Q92,12),AND(AI92="K5-LAW",AH92="นิติศาสตร์",OR(L92="M2",L92="K4"),U92="",AA92=""),EDATE(Q92,12*2),AND(AI92="K5-LAW",AH92="นิติศาสตร์",OR(AA92="M2",AA92="K4"),AD92&gt;=2,OR(AC92&lt;W92,AC92&lt;Q92)),EDATE(AC92,12*2),AND(AI92="K5-LAW",AH92="นิติศาสตร์",AA92="S1",AD92&gt;=1,OR(AC92&lt;W92,AC92&lt;Q92)),EDATE(AC92,12),AND(AI92="K5-LAW",AH92="นิติศาสตร์",OR(U92="M2",U92="K4"),X92&gt;=2,W92&lt;Q92),EDATE(W92,12*2),AND(AI92="K5-LAW",AH92="นิติศาสตร์",U92="S1",X92&gt;=1,W92&lt;Q92),EDATE(W92,12),AND(AI92="K5-LAW",AH92="นิติศาสตร์",OR(U92="S2",U92="K5")),W92,AND(AI92="K5-LAW",AH92="นิติศาสตร์",OR(L92="M2",L92="K4"),R92&gt;=2),EDATE(Q92,12*2),AND(AI92="K5-LAW",AH92="นิติศาสตร์",L92="S1",R92&gt;=1),EDATE(Q92,12),AND(AI92="K5-LAW",AH92="นิติศาสตร์",OR(L92="S2",L92="K5")),Q92,AND(AI92="K5-POLICY",AH92&lt;&gt;"นิติศาสตร์",L92="S2",U92="",AA92=""),Q92,AND(AI92="K5-POLICY",AH92&lt;&gt;"นิติศาสตร์",L92="S1",U92="",AA92=""),EDATE(Q92,12),AND(AI92="K5-POLICY",AH92&lt;&gt;"นิติศาสตร์",OR(L92="M2",L92="K4"),U92="",AA92=""),EDATE(Q92,12*2),AND(AI92="K5-POLICY",AH92&lt;&gt;"นิติศาสตร์",OR(AA92="M2",AA92="K4"),AD92&gt;=2,OR(AC92&lt;W92,AC92&lt;Q92)),EDATE(AC92,12*2),AND(AI92="K5-POLICY",AH92&lt;&gt;"นิติศาสตร์",AA92="S1",AD92&gt;=1,OR(AC92&lt;W92,AC92&lt;Q92)),EDATE(AC92,12),AND(AI92="K5-POLICY",AH92&lt;&gt;"นิติศาสตร์",OR(U92="M2",U92="K4"),X92&gt;=2,W92&lt;Q92),EDATE(W92,12*2),AND(AI92="K5-POLICY",AH92&lt;&gt;"นิติศาสตร์",U92="S1",X92&gt;=1,W92&lt;Q92),EDATE(W92,12),AND(AI92="K5-POLICY",AH92&lt;&gt;"นิติศาสตร์",OR(U92="S2",U92="K5")),W92,AND(AI92="K5-POLICY",AH92&lt;&gt;"นิติศาสตร์",OR(L92="M2",L92="K4"),R92&gt;=2),EDATE(Q92,12*2),AND(AI92="K5-POLICY",AH92&lt;&gt;"นิติศาสตร์",L92="S1",R92&gt;=1),EDATE(Q92,12),AND(AI92="K5-POLICY",AH92&lt;&gt;"นิติศาสตร์",OR(L92="S2",L92="K5")),Q92,TRUE,"Check Data")</f>
        <v/>
      </c>
      <c r="AK92" s="75" t="str">
        <f t="shared" si="29"/>
        <v>Check Data</v>
      </c>
      <c r="AL92" s="76" t="str">
        <f t="shared" si="26"/>
        <v>Check Data</v>
      </c>
      <c r="AM92" s="50" t="str">
        <f t="shared" si="30"/>
        <v>Check Data</v>
      </c>
      <c r="AN92" s="49" t="str">
        <f>IF(B92="","",IF(L92="S1","S1",INDEX(#REF!,#REF!)))</f>
        <v/>
      </c>
      <c r="AO92" s="49" t="str">
        <f t="shared" si="31"/>
        <v>M2</v>
      </c>
      <c r="AP92" s="50" t="b">
        <f>L92=AN92</f>
        <v>0</v>
      </c>
      <c r="AQ92" s="50"/>
    </row>
    <row r="93" spans="1:43" ht="21.75">
      <c r="A93" s="49">
        <v>91</v>
      </c>
      <c r="B93" s="50"/>
      <c r="C93" s="50"/>
      <c r="D93" s="50" t="s">
        <v>139</v>
      </c>
      <c r="E93" s="50" t="e">
        <f>INDEX(#REF!,#REF!)</f>
        <v>#REF!</v>
      </c>
      <c r="F93" s="49" t="s">
        <v>224</v>
      </c>
      <c r="G93" s="49" t="str">
        <f t="shared" si="27"/>
        <v>23/04/1997</v>
      </c>
      <c r="H93" s="50">
        <f t="shared" si="23"/>
        <v>28</v>
      </c>
      <c r="I93" s="50">
        <f t="shared" si="24"/>
        <v>1</v>
      </c>
      <c r="J93" s="50">
        <f t="shared" si="25"/>
        <v>28</v>
      </c>
      <c r="K93" s="56"/>
      <c r="L93" s="49" t="s">
        <v>136</v>
      </c>
      <c r="M93" s="64"/>
      <c r="N93" s="49" t="s">
        <v>427</v>
      </c>
      <c r="O93" s="49">
        <v>2573</v>
      </c>
      <c r="P93" s="65" t="s">
        <v>225</v>
      </c>
      <c r="Q93" s="49" t="str">
        <f t="shared" si="28"/>
        <v>30/11/2020</v>
      </c>
      <c r="R93" s="68">
        <f>IF(Q93="",0,DATEDIF(Q93,$C$1,"Y"))</f>
        <v>4</v>
      </c>
      <c r="S93" s="68">
        <f>IF(Q93="",0,DATEDIF(Q93,$C$1,"YM"))</f>
        <v>6</v>
      </c>
      <c r="T93" s="68">
        <f>IF(Q93="",0,DATEDIF(Q93,$C$1,"MD"))</f>
        <v>21</v>
      </c>
      <c r="U93" s="65"/>
      <c r="V93" s="65"/>
      <c r="W93" s="49" t="str">
        <f t="shared" si="32"/>
        <v/>
      </c>
      <c r="X93" s="68">
        <f>IF(W93="",0,DATEDIF(W93,Q93,"Y"))</f>
        <v>0</v>
      </c>
      <c r="Y93" s="68">
        <f>IF(W93="",0,DATEDIF(W93,Q93,"YM"))</f>
        <v>0</v>
      </c>
      <c r="Z93" s="68">
        <f>IF(W93="",0,DATEDIF(W93,Q93,"MD"))</f>
        <v>0</v>
      </c>
      <c r="AA93" s="49"/>
      <c r="AB93" s="65"/>
      <c r="AC93" s="50" t="str">
        <f t="shared" si="33"/>
        <v/>
      </c>
      <c r="AD93" s="68">
        <f t="shared" si="34"/>
        <v>0</v>
      </c>
      <c r="AE93" s="68">
        <f t="shared" si="35"/>
        <v>0</v>
      </c>
      <c r="AF93" s="68">
        <f t="shared" si="36"/>
        <v>0</v>
      </c>
      <c r="AG93" s="50"/>
      <c r="AH93" s="108" t="s">
        <v>167</v>
      </c>
      <c r="AI93" s="49" t="str">
        <f>IF(AH93="นิติศาสตร์","K5-LAW","K5-POLICY")</f>
        <v>K5-POLICY</v>
      </c>
      <c r="AJ93" s="72" t="str">
        <f>_xlfn.IFS(B93="","",AND(AI93="K5-LAW",AH93="นิติศาสตร์",L93="S2",U93="",AA93=""),Q93,AND(AI93="K5-LAW",AH93="นิติศาสตร์",L93="S1",U93="",AA93=""),EDATE(Q93,12),AND(AI93="K5-LAW",AH93="นิติศาสตร์",OR(L93="M2",L93="K4"),U93="",AA93=""),EDATE(Q93,12*2),AND(AI93="K5-LAW",AH93="นิติศาสตร์",OR(AA93="M2",AA93="K4"),AD93&gt;=2,OR(AC93&lt;W93,AC93&lt;Q93)),EDATE(AC93,12*2),AND(AI93="K5-LAW",AH93="นิติศาสตร์",AA93="S1",AD93&gt;=1,OR(AC93&lt;W93,AC93&lt;Q93)),EDATE(AC93,12),AND(AI93="K5-LAW",AH93="นิติศาสตร์",OR(U93="M2",U93="K4"),X93&gt;=2,W93&lt;Q93),EDATE(W93,12*2),AND(AI93="K5-LAW",AH93="นิติศาสตร์",U93="S1",X93&gt;=1,W93&lt;Q93),EDATE(W93,12),AND(AI93="K5-LAW",AH93="นิติศาสตร์",OR(U93="S2",U93="K5")),W93,AND(AI93="K5-LAW",AH93="นิติศาสตร์",OR(L93="M2",L93="K4"),R93&gt;=2),EDATE(Q93,12*2),AND(AI93="K5-LAW",AH93="นิติศาสตร์",L93="S1",R93&gt;=1),EDATE(Q93,12),AND(AI93="K5-LAW",AH93="นิติศาสตร์",OR(L93="S2",L93="K5")),Q93,AND(AI93="K5-POLICY",AH93&lt;&gt;"นิติศาสตร์",L93="S2",U93="",AA93=""),Q93,AND(AI93="K5-POLICY",AH93&lt;&gt;"นิติศาสตร์",L93="S1",U93="",AA93=""),EDATE(Q93,12),AND(AI93="K5-POLICY",AH93&lt;&gt;"นิติศาสตร์",OR(L93="M2",L93="K4"),U93="",AA93=""),EDATE(Q93,12*2),AND(AI93="K5-POLICY",AH93&lt;&gt;"นิติศาสตร์",OR(AA93="M2",AA93="K4"),AD93&gt;=2,OR(AC93&lt;W93,AC93&lt;Q93)),EDATE(AC93,12*2),AND(AI93="K5-POLICY",AH93&lt;&gt;"นิติศาสตร์",AA93="S1",AD93&gt;=1,OR(AC93&lt;W93,AC93&lt;Q93)),EDATE(AC93,12),AND(AI93="K5-POLICY",AH93&lt;&gt;"นิติศาสตร์",OR(U93="M2",U93="K4"),X93&gt;=2,W93&lt;Q93),EDATE(W93,12*2),AND(AI93="K5-POLICY",AH93&lt;&gt;"นิติศาสตร์",U93="S1",X93&gt;=1,W93&lt;Q93),EDATE(W93,12),AND(AI93="K5-POLICY",AH93&lt;&gt;"นิติศาสตร์",OR(U93="S2",U93="K5")),W93,AND(AI93="K5-POLICY",AH93&lt;&gt;"นิติศาสตร์",OR(L93="M2",L93="K4"),R93&gt;=2),EDATE(Q93,12*2),AND(AI93="K5-POLICY",AH93&lt;&gt;"นิติศาสตร์",L93="S1",R93&gt;=1),EDATE(Q93,12),AND(AI93="K5-POLICY",AH93&lt;&gt;"นิติศาสตร์",OR(L93="S2",L93="K5")),Q93,TRUE,"Check Data")</f>
        <v/>
      </c>
      <c r="AK93" s="75" t="str">
        <f t="shared" si="29"/>
        <v>Check Data</v>
      </c>
      <c r="AL93" s="76" t="str">
        <f t="shared" si="26"/>
        <v>Check Data</v>
      </c>
      <c r="AM93" s="50" t="str">
        <f t="shared" si="30"/>
        <v>Check Data</v>
      </c>
      <c r="AN93" s="49" t="str">
        <f>IF(B93="","",IF(L93="S1","S1",INDEX(#REF!,#REF!)))</f>
        <v/>
      </c>
      <c r="AO93" s="49" t="str">
        <f t="shared" si="31"/>
        <v>M2</v>
      </c>
      <c r="AP93" s="50" t="b">
        <f>L93=AN93</f>
        <v>0</v>
      </c>
      <c r="AQ93" s="50"/>
    </row>
    <row r="94" spans="1:43" ht="21.75">
      <c r="A94" s="49">
        <v>92</v>
      </c>
      <c r="B94" s="50"/>
      <c r="C94" s="50"/>
      <c r="D94" s="50" t="s">
        <v>146</v>
      </c>
      <c r="E94" s="50" t="e">
        <f>INDEX(#REF!,#REF!)</f>
        <v>#REF!</v>
      </c>
      <c r="F94" s="49" t="s">
        <v>395</v>
      </c>
      <c r="G94" s="49" t="str">
        <f t="shared" si="27"/>
        <v>01/07/2003</v>
      </c>
      <c r="H94" s="50">
        <f t="shared" si="23"/>
        <v>21</v>
      </c>
      <c r="I94" s="50">
        <f t="shared" si="24"/>
        <v>11</v>
      </c>
      <c r="J94" s="50">
        <f t="shared" si="25"/>
        <v>19</v>
      </c>
      <c r="K94" s="57"/>
      <c r="L94" s="49" t="s">
        <v>136</v>
      </c>
      <c r="M94" s="64"/>
      <c r="N94" s="49" t="s">
        <v>427</v>
      </c>
      <c r="O94" s="49">
        <v>2578</v>
      </c>
      <c r="P94" s="65" t="s">
        <v>225</v>
      </c>
      <c r="Q94" s="49" t="str">
        <f t="shared" si="28"/>
        <v>30/11/2020</v>
      </c>
      <c r="R94" s="68">
        <f>IF(Q94="",0,DATEDIF(Q94,$C$1,"Y"))</f>
        <v>4</v>
      </c>
      <c r="S94" s="68">
        <f>IF(Q94="",0,DATEDIF(Q94,$C$1,"YM"))</f>
        <v>6</v>
      </c>
      <c r="T94" s="68">
        <f>IF(Q94="",0,DATEDIF(Q94,$C$1,"MD"))</f>
        <v>21</v>
      </c>
      <c r="U94" s="65"/>
      <c r="V94" s="65"/>
      <c r="W94" s="49" t="str">
        <f t="shared" si="32"/>
        <v/>
      </c>
      <c r="X94" s="68">
        <f>IF(W94="",0,DATEDIF(W94,Q94,"Y"))</f>
        <v>0</v>
      </c>
      <c r="Y94" s="68">
        <f>IF(W94="",0,DATEDIF(W94,Q94,"YM"))</f>
        <v>0</v>
      </c>
      <c r="Z94" s="68">
        <f>IF(W94="",0,DATEDIF(W94,Q94,"MD"))</f>
        <v>0</v>
      </c>
      <c r="AA94" s="49"/>
      <c r="AB94" s="65"/>
      <c r="AC94" s="50" t="str">
        <f t="shared" si="33"/>
        <v/>
      </c>
      <c r="AD94" s="68">
        <f t="shared" si="34"/>
        <v>0</v>
      </c>
      <c r="AE94" s="68">
        <f t="shared" si="35"/>
        <v>0</v>
      </c>
      <c r="AF94" s="68">
        <f t="shared" si="36"/>
        <v>0</v>
      </c>
      <c r="AG94" s="50"/>
      <c r="AH94" s="108" t="s">
        <v>175</v>
      </c>
      <c r="AI94" s="49" t="str">
        <f>IF(AH94="นิติศาสตร์","K5-LAW","K5-POLICY")</f>
        <v>K5-POLICY</v>
      </c>
      <c r="AJ94" s="72" t="str">
        <f>_xlfn.IFS(B94="","",AND(AI94="K5-LAW",AH94="นิติศาสตร์",L94="S2",U94="",AA94=""),Q94,AND(AI94="K5-LAW",AH94="นิติศาสตร์",L94="S1",U94="",AA94=""),EDATE(Q94,12),AND(AI94="K5-LAW",AH94="นิติศาสตร์",OR(L94="M2",L94="K4"),U94="",AA94=""),EDATE(Q94,12*2),AND(AI94="K5-LAW",AH94="นิติศาสตร์",OR(AA94="M2",AA94="K4"),AD94&gt;=2,OR(AC94&lt;W94,AC94&lt;Q94)),EDATE(AC94,12*2),AND(AI94="K5-LAW",AH94="นิติศาสตร์",AA94="S1",AD94&gt;=1,OR(AC94&lt;W94,AC94&lt;Q94)),EDATE(AC94,12),AND(AI94="K5-LAW",AH94="นิติศาสตร์",OR(U94="M2",U94="K4"),X94&gt;=2,W94&lt;Q94),EDATE(W94,12*2),AND(AI94="K5-LAW",AH94="นิติศาสตร์",U94="S1",X94&gt;=1,W94&lt;Q94),EDATE(W94,12),AND(AI94="K5-LAW",AH94="นิติศาสตร์",OR(U94="S2",U94="K5")),W94,AND(AI94="K5-LAW",AH94="นิติศาสตร์",OR(L94="M2",L94="K4"),R94&gt;=2),EDATE(Q94,12*2),AND(AI94="K5-LAW",AH94="นิติศาสตร์",L94="S1",R94&gt;=1),EDATE(Q94,12),AND(AI94="K5-LAW",AH94="นิติศาสตร์",OR(L94="S2",L94="K5")),Q94,AND(AI94="K5-POLICY",AH94&lt;&gt;"นิติศาสตร์",L94="S2",U94="",AA94=""),Q94,AND(AI94="K5-POLICY",AH94&lt;&gt;"นิติศาสตร์",L94="S1",U94="",AA94=""),EDATE(Q94,12),AND(AI94="K5-POLICY",AH94&lt;&gt;"นิติศาสตร์",OR(L94="M2",L94="K4"),U94="",AA94=""),EDATE(Q94,12*2),AND(AI94="K5-POLICY",AH94&lt;&gt;"นิติศาสตร์",OR(AA94="M2",AA94="K4"),AD94&gt;=2,OR(AC94&lt;W94,AC94&lt;Q94)),EDATE(AC94,12*2),AND(AI94="K5-POLICY",AH94&lt;&gt;"นิติศาสตร์",AA94="S1",AD94&gt;=1,OR(AC94&lt;W94,AC94&lt;Q94)),EDATE(AC94,12),AND(AI94="K5-POLICY",AH94&lt;&gt;"นิติศาสตร์",OR(U94="M2",U94="K4"),X94&gt;=2,W94&lt;Q94),EDATE(W94,12*2),AND(AI94="K5-POLICY",AH94&lt;&gt;"นิติศาสตร์",U94="S1",X94&gt;=1,W94&lt;Q94),EDATE(W94,12),AND(AI94="K5-POLICY",AH94&lt;&gt;"นิติศาสตร์",OR(U94="S2",U94="K5")),W94,AND(AI94="K5-POLICY",AH94&lt;&gt;"นิติศาสตร์",OR(L94="M2",L94="K4"),R94&gt;=2),EDATE(Q94,12*2),AND(AI94="K5-POLICY",AH94&lt;&gt;"นิติศาสตร์",L94="S1",R94&gt;=1),EDATE(Q94,12),AND(AI94="K5-POLICY",AH94&lt;&gt;"นิติศาสตร์",OR(L94="S2",L94="K5")),Q94,TRUE,"Check Data")</f>
        <v/>
      </c>
      <c r="AK94" s="75" t="str">
        <f t="shared" si="29"/>
        <v>Check Data</v>
      </c>
      <c r="AL94" s="76" t="str">
        <f t="shared" si="26"/>
        <v>Check Data</v>
      </c>
      <c r="AM94" s="50" t="str">
        <f t="shared" si="30"/>
        <v>Check Data</v>
      </c>
      <c r="AN94" s="49" t="str">
        <f>IF(B94="","",IF(L94="S1","S1",INDEX(#REF!,#REF!)))</f>
        <v/>
      </c>
      <c r="AO94" s="49" t="str">
        <f t="shared" si="31"/>
        <v>M2</v>
      </c>
      <c r="AP94" s="50" t="b">
        <f>L94=AN94</f>
        <v>0</v>
      </c>
      <c r="AQ94" s="50"/>
    </row>
    <row r="95" spans="1:43" ht="21.75">
      <c r="A95" s="49">
        <v>93</v>
      </c>
      <c r="B95" s="50"/>
      <c r="C95" s="53"/>
      <c r="D95" s="50" t="s">
        <v>142</v>
      </c>
      <c r="E95" s="50" t="e">
        <f>INDEX(#REF!,#REF!)</f>
        <v>#REF!</v>
      </c>
      <c r="F95" s="49" t="s">
        <v>273</v>
      </c>
      <c r="G95" s="49" t="str">
        <f t="shared" si="27"/>
        <v>28/04/1985</v>
      </c>
      <c r="H95" s="50">
        <f t="shared" si="23"/>
        <v>40</v>
      </c>
      <c r="I95" s="50">
        <f t="shared" si="24"/>
        <v>1</v>
      </c>
      <c r="J95" s="50">
        <f t="shared" si="25"/>
        <v>23</v>
      </c>
      <c r="K95" s="58"/>
      <c r="L95" s="49" t="s">
        <v>136</v>
      </c>
      <c r="M95" s="64"/>
      <c r="N95" s="49" t="s">
        <v>427</v>
      </c>
      <c r="O95" s="49">
        <v>2569</v>
      </c>
      <c r="P95" s="65" t="s">
        <v>225</v>
      </c>
      <c r="Q95" s="49" t="str">
        <f t="shared" si="28"/>
        <v>30/11/2020</v>
      </c>
      <c r="R95" s="68">
        <f>IF(Q95="",0,DATEDIF(Q95,$C$1,"Y"))</f>
        <v>4</v>
      </c>
      <c r="S95" s="68">
        <f>IF(Q95="",0,DATEDIF(Q95,$C$1,"YM"))</f>
        <v>6</v>
      </c>
      <c r="T95" s="68">
        <f>IF(Q95="",0,DATEDIF(Q95,$C$1,"MD"))</f>
        <v>21</v>
      </c>
      <c r="U95" s="65"/>
      <c r="V95" s="65"/>
      <c r="W95" s="49" t="str">
        <f t="shared" si="32"/>
        <v/>
      </c>
      <c r="X95" s="68">
        <f>IF(W95="",0,DATEDIF(W95,Q95,"Y"))</f>
        <v>0</v>
      </c>
      <c r="Y95" s="68">
        <f>IF(W95="",0,DATEDIF(W95,Q95,"YM"))</f>
        <v>0</v>
      </c>
      <c r="Z95" s="68">
        <f>IF(W95="",0,DATEDIF(W95,Q95,"MD"))</f>
        <v>0</v>
      </c>
      <c r="AA95" s="49"/>
      <c r="AB95" s="65"/>
      <c r="AC95" s="50" t="str">
        <f t="shared" si="33"/>
        <v/>
      </c>
      <c r="AD95" s="68">
        <f t="shared" si="34"/>
        <v>0</v>
      </c>
      <c r="AE95" s="68">
        <f t="shared" si="35"/>
        <v>0</v>
      </c>
      <c r="AF95" s="68">
        <f t="shared" si="36"/>
        <v>0</v>
      </c>
      <c r="AG95" s="50"/>
      <c r="AH95" s="108" t="s">
        <v>178</v>
      </c>
      <c r="AI95" s="49" t="str">
        <f>IF(AH95="นิติศาสตร์","K5-LAW","K5-POLICY")</f>
        <v>K5-POLICY</v>
      </c>
      <c r="AJ95" s="72" t="str">
        <f>_xlfn.IFS(B95="","",AND(AI95="K5-LAW",AH95="นิติศาสตร์",L95="S2",U95="",AA95=""),Q95,AND(AI95="K5-LAW",AH95="นิติศาสตร์",L95="S1",U95="",AA95=""),EDATE(Q95,12),AND(AI95="K5-LAW",AH95="นิติศาสตร์",OR(L95="M2",L95="K4"),U95="",AA95=""),EDATE(Q95,12*2),AND(AI95="K5-LAW",AH95="นิติศาสตร์",OR(AA95="M2",AA95="K4"),AD95&gt;=2,OR(AC95&lt;W95,AC95&lt;Q95)),EDATE(AC95,12*2),AND(AI95="K5-LAW",AH95="นิติศาสตร์",AA95="S1",AD95&gt;=1,OR(AC95&lt;W95,AC95&lt;Q95)),EDATE(AC95,12),AND(AI95="K5-LAW",AH95="นิติศาสตร์",OR(U95="M2",U95="K4"),X95&gt;=2,W95&lt;Q95),EDATE(W95,12*2),AND(AI95="K5-LAW",AH95="นิติศาสตร์",U95="S1",X95&gt;=1,W95&lt;Q95),EDATE(W95,12),AND(AI95="K5-LAW",AH95="นิติศาสตร์",OR(U95="S2",U95="K5")),W95,AND(AI95="K5-LAW",AH95="นิติศาสตร์",OR(L95="M2",L95="K4"),R95&gt;=2),EDATE(Q95,12*2),AND(AI95="K5-LAW",AH95="นิติศาสตร์",L95="S1",R95&gt;=1),EDATE(Q95,12),AND(AI95="K5-LAW",AH95="นิติศาสตร์",OR(L95="S2",L95="K5")),Q95,AND(AI95="K5-POLICY",AH95&lt;&gt;"นิติศาสตร์",L95="S2",U95="",AA95=""),Q95,AND(AI95="K5-POLICY",AH95&lt;&gt;"นิติศาสตร์",L95="S1",U95="",AA95=""),EDATE(Q95,12),AND(AI95="K5-POLICY",AH95&lt;&gt;"นิติศาสตร์",OR(L95="M2",L95="K4"),U95="",AA95=""),EDATE(Q95,12*2),AND(AI95="K5-POLICY",AH95&lt;&gt;"นิติศาสตร์",OR(AA95="M2",AA95="K4"),AD95&gt;=2,OR(AC95&lt;W95,AC95&lt;Q95)),EDATE(AC95,12*2),AND(AI95="K5-POLICY",AH95&lt;&gt;"นิติศาสตร์",AA95="S1",AD95&gt;=1,OR(AC95&lt;W95,AC95&lt;Q95)),EDATE(AC95,12),AND(AI95="K5-POLICY",AH95&lt;&gt;"นิติศาสตร์",OR(U95="M2",U95="K4"),X95&gt;=2,W95&lt;Q95),EDATE(W95,12*2),AND(AI95="K5-POLICY",AH95&lt;&gt;"นิติศาสตร์",U95="S1",X95&gt;=1,W95&lt;Q95),EDATE(W95,12),AND(AI95="K5-POLICY",AH95&lt;&gt;"นิติศาสตร์",OR(U95="S2",U95="K5")),W95,AND(AI95="K5-POLICY",AH95&lt;&gt;"นิติศาสตร์",OR(L95="M2",L95="K4"),R95&gt;=2),EDATE(Q95,12*2),AND(AI95="K5-POLICY",AH95&lt;&gt;"นิติศาสตร์",L95="S1",R95&gt;=1),EDATE(Q95,12),AND(AI95="K5-POLICY",AH95&lt;&gt;"นิติศาสตร์",OR(L95="S2",L95="K5")),Q95,TRUE,"Check Data")</f>
        <v/>
      </c>
      <c r="AK95" s="75" t="str">
        <f t="shared" si="29"/>
        <v>Check Data</v>
      </c>
      <c r="AL95" s="76" t="str">
        <f t="shared" si="26"/>
        <v>Check Data</v>
      </c>
      <c r="AM95" s="50" t="str">
        <f t="shared" si="30"/>
        <v>Check Data</v>
      </c>
      <c r="AN95" s="49" t="str">
        <f>IF(B95="","",IF(L95="S1","S1",INDEX(#REF!,#REF!)))</f>
        <v/>
      </c>
      <c r="AO95" s="49" t="str">
        <f t="shared" si="31"/>
        <v>M2</v>
      </c>
      <c r="AP95" s="50" t="b">
        <f>L95=AN95</f>
        <v>0</v>
      </c>
      <c r="AQ95" s="50"/>
    </row>
    <row r="96" spans="1:43" ht="21.75">
      <c r="A96" s="49">
        <v>94</v>
      </c>
      <c r="B96" s="50"/>
      <c r="C96" s="50"/>
      <c r="D96" s="50" t="s">
        <v>142</v>
      </c>
      <c r="E96" s="50" t="e">
        <f>INDEX(#REF!,#REF!)</f>
        <v>#REF!</v>
      </c>
      <c r="F96" s="49" t="s">
        <v>282</v>
      </c>
      <c r="G96" s="49" t="str">
        <f t="shared" si="27"/>
        <v>12/12/2000</v>
      </c>
      <c r="H96" s="50">
        <f t="shared" si="23"/>
        <v>24</v>
      </c>
      <c r="I96" s="50">
        <f t="shared" si="24"/>
        <v>6</v>
      </c>
      <c r="J96" s="50">
        <f t="shared" si="25"/>
        <v>8</v>
      </c>
      <c r="K96" s="58"/>
      <c r="L96" s="49" t="s">
        <v>136</v>
      </c>
      <c r="M96" s="64"/>
      <c r="N96" s="49" t="s">
        <v>427</v>
      </c>
      <c r="O96" s="49">
        <v>2581</v>
      </c>
      <c r="P96" s="65" t="s">
        <v>225</v>
      </c>
      <c r="Q96" s="49" t="str">
        <f t="shared" si="28"/>
        <v>30/11/2020</v>
      </c>
      <c r="R96" s="68">
        <f>IF(Q96="",0,DATEDIF(Q96,$C$1,"Y"))</f>
        <v>4</v>
      </c>
      <c r="S96" s="68">
        <f>IF(Q96="",0,DATEDIF(Q96,$C$1,"YM"))</f>
        <v>6</v>
      </c>
      <c r="T96" s="68">
        <f>IF(Q96="",0,DATEDIF(Q96,$C$1,"MD"))</f>
        <v>21</v>
      </c>
      <c r="U96" s="65"/>
      <c r="V96" s="65"/>
      <c r="W96" s="49" t="str">
        <f t="shared" si="32"/>
        <v/>
      </c>
      <c r="X96" s="68">
        <f>IF(W96="",0,DATEDIF(W96,Q96,"Y"))</f>
        <v>0</v>
      </c>
      <c r="Y96" s="68">
        <f>IF(W96="",0,DATEDIF(W96,Q96,"YM"))</f>
        <v>0</v>
      </c>
      <c r="Z96" s="68">
        <f>IF(W96="",0,DATEDIF(W96,Q96,"MD"))</f>
        <v>0</v>
      </c>
      <c r="AA96" s="49"/>
      <c r="AB96" s="65"/>
      <c r="AC96" s="50" t="str">
        <f t="shared" si="33"/>
        <v/>
      </c>
      <c r="AD96" s="68">
        <f t="shared" si="34"/>
        <v>0</v>
      </c>
      <c r="AE96" s="68">
        <f t="shared" si="35"/>
        <v>0</v>
      </c>
      <c r="AF96" s="68">
        <f t="shared" si="36"/>
        <v>0</v>
      </c>
      <c r="AG96" s="50"/>
      <c r="AH96" s="108" t="s">
        <v>138</v>
      </c>
      <c r="AI96" s="49" t="str">
        <f>IF(AH96="นิติศาสตร์","K5-LAW","K5-POLICY")</f>
        <v>K5-LAW</v>
      </c>
      <c r="AJ96" s="72" t="str">
        <f>_xlfn.IFS(B96="","",AND(AI96="K5-LAW",AH96="นิติศาสตร์",L96="S2",U96="",AA96=""),Q96,AND(AI96="K5-LAW",AH96="นิติศาสตร์",L96="S1",U96="",AA96=""),EDATE(Q96,12),AND(AI96="K5-LAW",AH96="นิติศาสตร์",OR(L96="M2",L96="K4"),U96="",AA96=""),EDATE(Q96,12*2),AND(AI96="K5-LAW",AH96="นิติศาสตร์",OR(AA96="M2",AA96="K4"),AD96&gt;=2,OR(AC96&lt;W96,AC96&lt;Q96)),EDATE(AC96,12*2),AND(AI96="K5-LAW",AH96="นิติศาสตร์",AA96="S1",AD96&gt;=1,OR(AC96&lt;W96,AC96&lt;Q96)),EDATE(AC96,12),AND(AI96="K5-LAW",AH96="นิติศาสตร์",OR(U96="M2",U96="K4"),X96&gt;=2,W96&lt;Q96),EDATE(W96,12*2),AND(AI96="K5-LAW",AH96="นิติศาสตร์",U96="S1",X96&gt;=1,W96&lt;Q96),EDATE(W96,12),AND(AI96="K5-LAW",AH96="นิติศาสตร์",OR(U96="S2",U96="K5")),W96,AND(AI96="K5-LAW",AH96="นิติศาสตร์",OR(L96="M2",L96="K4"),R96&gt;=2),EDATE(Q96,12*2),AND(AI96="K5-LAW",AH96="นิติศาสตร์",L96="S1",R96&gt;=1),EDATE(Q96,12),AND(AI96="K5-LAW",AH96="นิติศาสตร์",OR(L96="S2",L96="K5")),Q96,AND(AI96="K5-POLICY",AH96&lt;&gt;"นิติศาสตร์",L96="S2",U96="",AA96=""),Q96,AND(AI96="K5-POLICY",AH96&lt;&gt;"นิติศาสตร์",L96="S1",U96="",AA96=""),EDATE(Q96,12),AND(AI96="K5-POLICY",AH96&lt;&gt;"นิติศาสตร์",OR(L96="M2",L96="K4"),U96="",AA96=""),EDATE(Q96,12*2),AND(AI96="K5-POLICY",AH96&lt;&gt;"นิติศาสตร์",OR(AA96="M2",AA96="K4"),AD96&gt;=2,OR(AC96&lt;W96,AC96&lt;Q96)),EDATE(AC96,12*2),AND(AI96="K5-POLICY",AH96&lt;&gt;"นิติศาสตร์",AA96="S1",AD96&gt;=1,OR(AC96&lt;W96,AC96&lt;Q96)),EDATE(AC96,12),AND(AI96="K5-POLICY",AH96&lt;&gt;"นิติศาสตร์",OR(U96="M2",U96="K4"),X96&gt;=2,W96&lt;Q96),EDATE(W96,12*2),AND(AI96="K5-POLICY",AH96&lt;&gt;"นิติศาสตร์",U96="S1",X96&gt;=1,W96&lt;Q96),EDATE(W96,12),AND(AI96="K5-POLICY",AH96&lt;&gt;"นิติศาสตร์",OR(U96="S2",U96="K5")),W96,AND(AI96="K5-POLICY",AH96&lt;&gt;"นิติศาสตร์",OR(L96="M2",L96="K4"),R96&gt;=2),EDATE(Q96,12*2),AND(AI96="K5-POLICY",AH96&lt;&gt;"นิติศาสตร์",L96="S1",R96&gt;=1),EDATE(Q96,12),AND(AI96="K5-POLICY",AH96&lt;&gt;"นิติศาสตร์",OR(L96="S2",L96="K5")),Q96,TRUE,"Check Data")</f>
        <v/>
      </c>
      <c r="AK96" s="75" t="str">
        <f t="shared" si="29"/>
        <v>Check Data</v>
      </c>
      <c r="AL96" s="76" t="str">
        <f t="shared" si="26"/>
        <v>Check Data</v>
      </c>
      <c r="AM96" s="50" t="str">
        <f t="shared" si="30"/>
        <v>Check Data</v>
      </c>
      <c r="AN96" s="49" t="str">
        <f>IF(B96="","",IF(L96="S1","S1",INDEX(#REF!,#REF!)))</f>
        <v/>
      </c>
      <c r="AO96" s="49" t="str">
        <f t="shared" si="31"/>
        <v>M2</v>
      </c>
      <c r="AP96" s="50" t="b">
        <f>L96=AN96</f>
        <v>0</v>
      </c>
      <c r="AQ96" s="50"/>
    </row>
    <row r="97" spans="1:43" ht="21.75">
      <c r="A97" s="49">
        <v>95</v>
      </c>
      <c r="B97" s="50"/>
      <c r="C97" s="50"/>
      <c r="D97" s="50" t="s">
        <v>144</v>
      </c>
      <c r="E97" s="50" t="e">
        <f>INDEX(#REF!,#REF!)</f>
        <v>#REF!</v>
      </c>
      <c r="F97" s="49" t="s">
        <v>375</v>
      </c>
      <c r="G97" s="49" t="str">
        <f t="shared" si="27"/>
        <v>06/05/1986</v>
      </c>
      <c r="H97" s="50">
        <f t="shared" si="23"/>
        <v>39</v>
      </c>
      <c r="I97" s="50">
        <f t="shared" si="24"/>
        <v>1</v>
      </c>
      <c r="J97" s="50">
        <f t="shared" si="25"/>
        <v>14</v>
      </c>
      <c r="K97" s="57"/>
      <c r="L97" s="49" t="s">
        <v>136</v>
      </c>
      <c r="M97" s="64"/>
      <c r="N97" s="49" t="s">
        <v>425</v>
      </c>
      <c r="O97" s="49">
        <v>2570</v>
      </c>
      <c r="P97" s="65" t="s">
        <v>376</v>
      </c>
      <c r="Q97" s="49" t="str">
        <f t="shared" si="28"/>
        <v>10/03/2021</v>
      </c>
      <c r="R97" s="68">
        <f>IF(Q97="",0,DATEDIF(Q97,$C$1,"Y"))</f>
        <v>4</v>
      </c>
      <c r="S97" s="68">
        <f>IF(Q97="",0,DATEDIF(Q97,$C$1,"YM"))</f>
        <v>3</v>
      </c>
      <c r="T97" s="68">
        <f>IF(Q97="",0,DATEDIF(Q97,$C$1,"MD"))</f>
        <v>10</v>
      </c>
      <c r="U97" s="65"/>
      <c r="V97" s="65"/>
      <c r="W97" s="49" t="str">
        <f t="shared" si="32"/>
        <v/>
      </c>
      <c r="X97" s="68">
        <f>IF(W97="",0,DATEDIF(W97,Q97,"Y"))</f>
        <v>0</v>
      </c>
      <c r="Y97" s="68">
        <f>IF(W97="",0,DATEDIF(W97,Q97,"YM"))</f>
        <v>0</v>
      </c>
      <c r="Z97" s="68">
        <f>IF(W97="",0,DATEDIF(W97,Q97,"MD"))</f>
        <v>0</v>
      </c>
      <c r="AA97" s="49"/>
      <c r="AB97" s="65"/>
      <c r="AC97" s="50" t="str">
        <f t="shared" si="33"/>
        <v/>
      </c>
      <c r="AD97" s="68">
        <f t="shared" si="34"/>
        <v>0</v>
      </c>
      <c r="AE97" s="68">
        <f t="shared" si="35"/>
        <v>0</v>
      </c>
      <c r="AF97" s="68">
        <f t="shared" si="36"/>
        <v>0</v>
      </c>
      <c r="AG97" s="50"/>
      <c r="AH97" s="108" t="s">
        <v>138</v>
      </c>
      <c r="AI97" s="49" t="str">
        <f>IF(AH97="นิติศาสตร์","K5-LAW","K5-POLICY")</f>
        <v>K5-LAW</v>
      </c>
      <c r="AJ97" s="72" t="str">
        <f>_xlfn.IFS(B97="","",AND(AI97="K5-LAW",AH97="นิติศาสตร์",L97="S2",U97="",AA97=""),Q97,AND(AI97="K5-LAW",AH97="นิติศาสตร์",L97="S1",U97="",AA97=""),EDATE(Q97,12),AND(AI97="K5-LAW",AH97="นิติศาสตร์",OR(L97="M2",L97="K4"),U97="",AA97=""),EDATE(Q97,12*2),AND(AI97="K5-LAW",AH97="นิติศาสตร์",OR(AA97="M2",AA97="K4"),AD97&gt;=2,OR(AC97&lt;W97,AC97&lt;Q97)),EDATE(AC97,12*2),AND(AI97="K5-LAW",AH97="นิติศาสตร์",AA97="S1",AD97&gt;=1,OR(AC97&lt;W97,AC97&lt;Q97)),EDATE(AC97,12),AND(AI97="K5-LAW",AH97="นิติศาสตร์",OR(U97="M2",U97="K4"),X97&gt;=2,W97&lt;Q97),EDATE(W97,12*2),AND(AI97="K5-LAW",AH97="นิติศาสตร์",U97="S1",X97&gt;=1,W97&lt;Q97),EDATE(W97,12),AND(AI97="K5-LAW",AH97="นิติศาสตร์",OR(U97="S2",U97="K5")),W97,AND(AI97="K5-LAW",AH97="นิติศาสตร์",OR(L97="M2",L97="K4"),R97&gt;=2),EDATE(Q97,12*2),AND(AI97="K5-LAW",AH97="นิติศาสตร์",L97="S1",R97&gt;=1),EDATE(Q97,12),AND(AI97="K5-LAW",AH97="นิติศาสตร์",OR(L97="S2",L97="K5")),Q97,AND(AI97="K5-POLICY",AH97&lt;&gt;"นิติศาสตร์",L97="S2",U97="",AA97=""),Q97,AND(AI97="K5-POLICY",AH97&lt;&gt;"นิติศาสตร์",L97="S1",U97="",AA97=""),EDATE(Q97,12),AND(AI97="K5-POLICY",AH97&lt;&gt;"นิติศาสตร์",OR(L97="M2",L97="K4"),U97="",AA97=""),EDATE(Q97,12*2),AND(AI97="K5-POLICY",AH97&lt;&gt;"นิติศาสตร์",OR(AA97="M2",AA97="K4"),AD97&gt;=2,OR(AC97&lt;W97,AC97&lt;Q97)),EDATE(AC97,12*2),AND(AI97="K5-POLICY",AH97&lt;&gt;"นิติศาสตร์",AA97="S1",AD97&gt;=1,OR(AC97&lt;W97,AC97&lt;Q97)),EDATE(AC97,12),AND(AI97="K5-POLICY",AH97&lt;&gt;"นิติศาสตร์",OR(U97="M2",U97="K4"),X97&gt;=2,W97&lt;Q97),EDATE(W97,12*2),AND(AI97="K5-POLICY",AH97&lt;&gt;"นิติศาสตร์",U97="S1",X97&gt;=1,W97&lt;Q97),EDATE(W97,12),AND(AI97="K5-POLICY",AH97&lt;&gt;"นิติศาสตร์",OR(U97="S2",U97="K5")),W97,AND(AI97="K5-POLICY",AH97&lt;&gt;"นิติศาสตร์",OR(L97="M2",L97="K4"),R97&gt;=2),EDATE(Q97,12*2),AND(AI97="K5-POLICY",AH97&lt;&gt;"นิติศาสตร์",L97="S1",R97&gt;=1),EDATE(Q97,12),AND(AI97="K5-POLICY",AH97&lt;&gt;"นิติศาสตร์",OR(L97="S2",L97="K5")),Q97,TRUE,"Check Data")</f>
        <v/>
      </c>
      <c r="AK97" s="75" t="str">
        <f t="shared" si="29"/>
        <v>Check Data</v>
      </c>
      <c r="AL97" s="76" t="str">
        <f t="shared" si="26"/>
        <v>Check Data</v>
      </c>
      <c r="AM97" s="50" t="str">
        <f t="shared" si="30"/>
        <v>Check Data</v>
      </c>
      <c r="AN97" s="49" t="str">
        <f>IF(B97="","",IF(L97="S1","S1",INDEX(#REF!,#REF!)))</f>
        <v/>
      </c>
      <c r="AO97" s="49" t="str">
        <f t="shared" si="31"/>
        <v>M2</v>
      </c>
      <c r="AP97" s="50" t="b">
        <f>L97=AN97</f>
        <v>0</v>
      </c>
      <c r="AQ97" s="50"/>
    </row>
    <row r="98" spans="1:43" ht="21.75">
      <c r="A98" s="49">
        <v>96</v>
      </c>
      <c r="B98" s="50"/>
      <c r="C98" s="50"/>
      <c r="D98" s="50" t="s">
        <v>143</v>
      </c>
      <c r="E98" s="50" t="e">
        <f>INDEX(#REF!,#REF!)</f>
        <v>#REF!</v>
      </c>
      <c r="F98" s="49" t="s">
        <v>309</v>
      </c>
      <c r="G98" s="49" t="str">
        <f t="shared" si="27"/>
        <v>01/06/1995</v>
      </c>
      <c r="H98" s="50">
        <f t="shared" si="23"/>
        <v>30</v>
      </c>
      <c r="I98" s="50">
        <f t="shared" si="24"/>
        <v>0</v>
      </c>
      <c r="J98" s="50">
        <f t="shared" si="25"/>
        <v>19</v>
      </c>
      <c r="K98" s="59"/>
      <c r="L98" s="49" t="s">
        <v>136</v>
      </c>
      <c r="M98" s="64"/>
      <c r="N98" s="49" t="s">
        <v>427</v>
      </c>
      <c r="O98" s="49">
        <v>2573</v>
      </c>
      <c r="P98" s="65" t="s">
        <v>310</v>
      </c>
      <c r="Q98" s="49" t="str">
        <f t="shared" si="28"/>
        <v>07/05/2021</v>
      </c>
      <c r="R98" s="68">
        <f>IF(Q98="",0,DATEDIF(Q98,$C$1,"Y"))</f>
        <v>4</v>
      </c>
      <c r="S98" s="68">
        <f>IF(Q98="",0,DATEDIF(Q98,$C$1,"YM"))</f>
        <v>1</v>
      </c>
      <c r="T98" s="68">
        <f>IF(Q98="",0,DATEDIF(Q98,$C$1,"MD"))</f>
        <v>13</v>
      </c>
      <c r="U98" s="65"/>
      <c r="V98" s="65"/>
      <c r="W98" s="49" t="str">
        <f t="shared" si="32"/>
        <v/>
      </c>
      <c r="X98" s="68">
        <f>IF(W98="",0,DATEDIF(W98,Q98,"Y"))</f>
        <v>0</v>
      </c>
      <c r="Y98" s="68">
        <f>IF(W98="",0,DATEDIF(W98,Q98,"YM"))</f>
        <v>0</v>
      </c>
      <c r="Z98" s="68">
        <f>IF(W98="",0,DATEDIF(W98,Q98,"MD"))</f>
        <v>0</v>
      </c>
      <c r="AA98" s="49"/>
      <c r="AB98" s="65"/>
      <c r="AC98" s="50" t="str">
        <f t="shared" si="33"/>
        <v/>
      </c>
      <c r="AD98" s="68">
        <f t="shared" si="34"/>
        <v>0</v>
      </c>
      <c r="AE98" s="68">
        <f t="shared" si="35"/>
        <v>0</v>
      </c>
      <c r="AF98" s="68">
        <f t="shared" si="36"/>
        <v>0</v>
      </c>
      <c r="AG98" s="50"/>
      <c r="AH98" s="108" t="s">
        <v>518</v>
      </c>
      <c r="AI98" s="49" t="str">
        <f>IF(AH98="นิติศาสตร์","K5-LAW","K5-POLICY")</f>
        <v>K5-POLICY</v>
      </c>
      <c r="AJ98" s="72" t="str">
        <f>_xlfn.IFS(B98="","",AND(AI98="K5-LAW",AH98="นิติศาสตร์",L98="S2",U98="",AA98=""),Q98,AND(AI98="K5-LAW",AH98="นิติศาสตร์",L98="S1",U98="",AA98=""),EDATE(Q98,12),AND(AI98="K5-LAW",AH98="นิติศาสตร์",OR(L98="M2",L98="K4"),U98="",AA98=""),EDATE(Q98,12*2),AND(AI98="K5-LAW",AH98="นิติศาสตร์",OR(AA98="M2",AA98="K4"),AD98&gt;=2,OR(AC98&lt;W98,AC98&lt;Q98)),EDATE(AC98,12*2),AND(AI98="K5-LAW",AH98="นิติศาสตร์",AA98="S1",AD98&gt;=1,OR(AC98&lt;W98,AC98&lt;Q98)),EDATE(AC98,12),AND(AI98="K5-LAW",AH98="นิติศาสตร์",OR(U98="M2",U98="K4"),X98&gt;=2,W98&lt;Q98),EDATE(W98,12*2),AND(AI98="K5-LAW",AH98="นิติศาสตร์",U98="S1",X98&gt;=1,W98&lt;Q98),EDATE(W98,12),AND(AI98="K5-LAW",AH98="นิติศาสตร์",OR(U98="S2",U98="K5")),W98,AND(AI98="K5-LAW",AH98="นิติศาสตร์",OR(L98="M2",L98="K4"),R98&gt;=2),EDATE(Q98,12*2),AND(AI98="K5-LAW",AH98="นิติศาสตร์",L98="S1",R98&gt;=1),EDATE(Q98,12),AND(AI98="K5-LAW",AH98="นิติศาสตร์",OR(L98="S2",L98="K5")),Q98,AND(AI98="K5-POLICY",AH98&lt;&gt;"นิติศาสตร์",L98="S2",U98="",AA98=""),Q98,AND(AI98="K5-POLICY",AH98&lt;&gt;"นิติศาสตร์",L98="S1",U98="",AA98=""),EDATE(Q98,12),AND(AI98="K5-POLICY",AH98&lt;&gt;"นิติศาสตร์",OR(L98="M2",L98="K4"),U98="",AA98=""),EDATE(Q98,12*2),AND(AI98="K5-POLICY",AH98&lt;&gt;"นิติศาสตร์",OR(AA98="M2",AA98="K4"),AD98&gt;=2,OR(AC98&lt;W98,AC98&lt;Q98)),EDATE(AC98,12*2),AND(AI98="K5-POLICY",AH98&lt;&gt;"นิติศาสตร์",AA98="S1",AD98&gt;=1,OR(AC98&lt;W98,AC98&lt;Q98)),EDATE(AC98,12),AND(AI98="K5-POLICY",AH98&lt;&gt;"นิติศาสตร์",OR(U98="M2",U98="K4"),X98&gt;=2,W98&lt;Q98),EDATE(W98,12*2),AND(AI98="K5-POLICY",AH98&lt;&gt;"นิติศาสตร์",U98="S1",X98&gt;=1,W98&lt;Q98),EDATE(W98,12),AND(AI98="K5-POLICY",AH98&lt;&gt;"นิติศาสตร์",OR(U98="S2",U98="K5")),W98,AND(AI98="K5-POLICY",AH98&lt;&gt;"นิติศาสตร์",OR(L98="M2",L98="K4"),R98&gt;=2),EDATE(Q98,12*2),AND(AI98="K5-POLICY",AH98&lt;&gt;"นิติศาสตร์",L98="S1",R98&gt;=1),EDATE(Q98,12),AND(AI98="K5-POLICY",AH98&lt;&gt;"นิติศาสตร์",OR(L98="S2",L98="K5")),Q98,TRUE,"Check Data")</f>
        <v/>
      </c>
      <c r="AK98" s="75" t="str">
        <f t="shared" si="29"/>
        <v>Check Data</v>
      </c>
      <c r="AL98" s="76" t="str">
        <f t="shared" si="26"/>
        <v>Check Data</v>
      </c>
      <c r="AM98" s="50" t="str">
        <f t="shared" si="30"/>
        <v>Check Data</v>
      </c>
      <c r="AN98" s="49" t="str">
        <f>IF(B98="","",IF(L98="S1","S1",INDEX(#REF!,#REF!)))</f>
        <v/>
      </c>
      <c r="AO98" s="49" t="str">
        <f t="shared" si="31"/>
        <v>M2</v>
      </c>
      <c r="AP98" s="50" t="b">
        <f>L98=AN98</f>
        <v>0</v>
      </c>
      <c r="AQ98" s="50"/>
    </row>
    <row r="99" spans="1:43" ht="21.75">
      <c r="A99" s="49">
        <v>97</v>
      </c>
      <c r="B99" s="50"/>
      <c r="C99" s="50"/>
      <c r="D99" s="50" t="s">
        <v>143</v>
      </c>
      <c r="E99" s="50" t="e">
        <f>INDEX(#REF!,#REF!)</f>
        <v>#REF!</v>
      </c>
      <c r="F99" s="49" t="s">
        <v>311</v>
      </c>
      <c r="G99" s="49" t="str">
        <f t="shared" si="27"/>
        <v>26/04/1987</v>
      </c>
      <c r="H99" s="50">
        <f t="shared" si="23"/>
        <v>38</v>
      </c>
      <c r="I99" s="50">
        <f t="shared" si="24"/>
        <v>1</v>
      </c>
      <c r="J99" s="50">
        <f t="shared" si="25"/>
        <v>25</v>
      </c>
      <c r="K99" s="59"/>
      <c r="L99" s="49" t="s">
        <v>136</v>
      </c>
      <c r="M99" s="64"/>
      <c r="N99" s="49" t="s">
        <v>427</v>
      </c>
      <c r="O99" s="49">
        <v>2573</v>
      </c>
      <c r="P99" s="65" t="s">
        <v>310</v>
      </c>
      <c r="Q99" s="49" t="str">
        <f t="shared" si="28"/>
        <v>07/05/2021</v>
      </c>
      <c r="R99" s="68">
        <f>IF(Q99="",0,DATEDIF(Q99,$C$1,"Y"))</f>
        <v>4</v>
      </c>
      <c r="S99" s="68">
        <f>IF(Q99="",0,DATEDIF(Q99,$C$1,"YM"))</f>
        <v>1</v>
      </c>
      <c r="T99" s="68">
        <f>IF(Q99="",0,DATEDIF(Q99,$C$1,"MD"))</f>
        <v>13</v>
      </c>
      <c r="U99" s="65"/>
      <c r="V99" s="65"/>
      <c r="W99" s="49" t="str">
        <f t="shared" si="32"/>
        <v/>
      </c>
      <c r="X99" s="68">
        <f>IF(W99="",0,DATEDIF(W99,Q99,"Y"))</f>
        <v>0</v>
      </c>
      <c r="Y99" s="68">
        <f>IF(W99="",0,DATEDIF(W99,Q99,"YM"))</f>
        <v>0</v>
      </c>
      <c r="Z99" s="68">
        <f>IF(W99="",0,DATEDIF(W99,Q99,"MD"))</f>
        <v>0</v>
      </c>
      <c r="AA99" s="49"/>
      <c r="AB99" s="65"/>
      <c r="AC99" s="50" t="str">
        <f t="shared" si="33"/>
        <v/>
      </c>
      <c r="AD99" s="68">
        <f t="shared" si="34"/>
        <v>0</v>
      </c>
      <c r="AE99" s="68">
        <f t="shared" si="35"/>
        <v>0</v>
      </c>
      <c r="AF99" s="68">
        <f t="shared" si="36"/>
        <v>0</v>
      </c>
      <c r="AG99" s="50"/>
      <c r="AH99" s="108" t="s">
        <v>484</v>
      </c>
      <c r="AI99" s="49" t="str">
        <f>IF(AH99="นิติศาสตร์","K5-LAW","K5-POLICY")</f>
        <v>K5-POLICY</v>
      </c>
      <c r="AJ99" s="72" t="str">
        <f>_xlfn.IFS(B99="","",AND(AI99="K5-LAW",AH99="นิติศาสตร์",L99="S2",U99="",AA99=""),Q99,AND(AI99="K5-LAW",AH99="นิติศาสตร์",L99="S1",U99="",AA99=""),EDATE(Q99,12),AND(AI99="K5-LAW",AH99="นิติศาสตร์",OR(L99="M2",L99="K4"),U99="",AA99=""),EDATE(Q99,12*2),AND(AI99="K5-LAW",AH99="นิติศาสตร์",OR(AA99="M2",AA99="K4"),AD99&gt;=2,OR(AC99&lt;W99,AC99&lt;Q99)),EDATE(AC99,12*2),AND(AI99="K5-LAW",AH99="นิติศาสตร์",AA99="S1",AD99&gt;=1,OR(AC99&lt;W99,AC99&lt;Q99)),EDATE(AC99,12),AND(AI99="K5-LAW",AH99="นิติศาสตร์",OR(U99="M2",U99="K4"),X99&gt;=2,W99&lt;Q99),EDATE(W99,12*2),AND(AI99="K5-LAW",AH99="นิติศาสตร์",U99="S1",X99&gt;=1,W99&lt;Q99),EDATE(W99,12),AND(AI99="K5-LAW",AH99="นิติศาสตร์",OR(U99="S2",U99="K5")),W99,AND(AI99="K5-LAW",AH99="นิติศาสตร์",OR(L99="M2",L99="K4"),R99&gt;=2),EDATE(Q99,12*2),AND(AI99="K5-LAW",AH99="นิติศาสตร์",L99="S1",R99&gt;=1),EDATE(Q99,12),AND(AI99="K5-LAW",AH99="นิติศาสตร์",OR(L99="S2",L99="K5")),Q99,AND(AI99="K5-POLICY",AH99&lt;&gt;"นิติศาสตร์",L99="S2",U99="",AA99=""),Q99,AND(AI99="K5-POLICY",AH99&lt;&gt;"นิติศาสตร์",L99="S1",U99="",AA99=""),EDATE(Q99,12),AND(AI99="K5-POLICY",AH99&lt;&gt;"นิติศาสตร์",OR(L99="M2",L99="K4"),U99="",AA99=""),EDATE(Q99,12*2),AND(AI99="K5-POLICY",AH99&lt;&gt;"นิติศาสตร์",OR(AA99="M2",AA99="K4"),AD99&gt;=2,OR(AC99&lt;W99,AC99&lt;Q99)),EDATE(AC99,12*2),AND(AI99="K5-POLICY",AH99&lt;&gt;"นิติศาสตร์",AA99="S1",AD99&gt;=1,OR(AC99&lt;W99,AC99&lt;Q99)),EDATE(AC99,12),AND(AI99="K5-POLICY",AH99&lt;&gt;"นิติศาสตร์",OR(U99="M2",U99="K4"),X99&gt;=2,W99&lt;Q99),EDATE(W99,12*2),AND(AI99="K5-POLICY",AH99&lt;&gt;"นิติศาสตร์",U99="S1",X99&gt;=1,W99&lt;Q99),EDATE(W99,12),AND(AI99="K5-POLICY",AH99&lt;&gt;"นิติศาสตร์",OR(U99="S2",U99="K5")),W99,AND(AI99="K5-POLICY",AH99&lt;&gt;"นิติศาสตร์",OR(L99="M2",L99="K4"),R99&gt;=2),EDATE(Q99,12*2),AND(AI99="K5-POLICY",AH99&lt;&gt;"นิติศาสตร์",L99="S1",R99&gt;=1),EDATE(Q99,12),AND(AI99="K5-POLICY",AH99&lt;&gt;"นิติศาสตร์",OR(L99="S2",L99="K5")),Q99,TRUE,"Check Data")</f>
        <v/>
      </c>
      <c r="AK99" s="75" t="str">
        <f t="shared" si="29"/>
        <v>Check Data</v>
      </c>
      <c r="AL99" s="76" t="str">
        <f t="shared" si="26"/>
        <v>Check Data</v>
      </c>
      <c r="AM99" s="50" t="str">
        <f t="shared" si="30"/>
        <v>Check Data</v>
      </c>
      <c r="AN99" s="49" t="str">
        <f>IF(B99="","",IF(L99="S1","S1",INDEX(#REF!,#REF!)))</f>
        <v/>
      </c>
      <c r="AO99" s="49" t="str">
        <f t="shared" si="31"/>
        <v>M2</v>
      </c>
      <c r="AP99" s="50" t="b">
        <f>L99=AN99</f>
        <v>0</v>
      </c>
      <c r="AQ99" s="50"/>
    </row>
    <row r="100" spans="1:43" ht="21.75">
      <c r="A100" s="49">
        <v>98</v>
      </c>
      <c r="B100" s="50"/>
      <c r="C100" s="50"/>
      <c r="D100" s="50" t="s">
        <v>34</v>
      </c>
      <c r="E100" s="50" t="e">
        <f>INDEX(#REF!,#REF!)</f>
        <v>#REF!</v>
      </c>
      <c r="F100" s="49" t="s">
        <v>430</v>
      </c>
      <c r="G100" s="49" t="str">
        <f t="shared" si="27"/>
        <v>15/11/1999</v>
      </c>
      <c r="H100" s="50">
        <f t="shared" si="23"/>
        <v>25</v>
      </c>
      <c r="I100" s="50">
        <f t="shared" si="24"/>
        <v>7</v>
      </c>
      <c r="J100" s="50">
        <f t="shared" si="25"/>
        <v>5</v>
      </c>
      <c r="K100" s="78"/>
      <c r="L100" s="49" t="s">
        <v>136</v>
      </c>
      <c r="M100" s="64"/>
      <c r="N100" s="49" t="s">
        <v>427</v>
      </c>
      <c r="O100" s="49">
        <v>2579</v>
      </c>
      <c r="P100" s="65" t="s">
        <v>429</v>
      </c>
      <c r="Q100" s="49" t="str">
        <f t="shared" si="28"/>
        <v>10/06/2021</v>
      </c>
      <c r="R100" s="68">
        <f>IF(Q100="",0,DATEDIF(Q100,$C$1,"Y"))</f>
        <v>4</v>
      </c>
      <c r="S100" s="68">
        <f>IF(Q100="",0,DATEDIF(Q100,$C$1,"YM"))</f>
        <v>0</v>
      </c>
      <c r="T100" s="68">
        <f>IF(Q100="",0,DATEDIF(Q100,$C$1,"MD"))</f>
        <v>10</v>
      </c>
      <c r="U100" s="65"/>
      <c r="V100" s="65"/>
      <c r="W100" s="49" t="str">
        <f t="shared" si="32"/>
        <v/>
      </c>
      <c r="X100" s="68">
        <f>IF(W100="",0,DATEDIF(W100,Q100,"Y"))</f>
        <v>0</v>
      </c>
      <c r="Y100" s="68">
        <f>IF(W100="",0,DATEDIF(W100,Q100,"YM"))</f>
        <v>0</v>
      </c>
      <c r="Z100" s="68">
        <f>IF(W100="",0,DATEDIF(W100,Q100,"MD"))</f>
        <v>0</v>
      </c>
      <c r="AA100" s="49"/>
      <c r="AB100" s="65"/>
      <c r="AC100" s="50" t="str">
        <f t="shared" si="33"/>
        <v/>
      </c>
      <c r="AD100" s="68">
        <f t="shared" si="34"/>
        <v>0</v>
      </c>
      <c r="AE100" s="68">
        <f t="shared" si="35"/>
        <v>0</v>
      </c>
      <c r="AF100" s="68">
        <f t="shared" si="36"/>
        <v>0</v>
      </c>
      <c r="AG100" s="50"/>
      <c r="AH100" s="108" t="s">
        <v>517</v>
      </c>
      <c r="AI100" s="49" t="str">
        <f>IF(AH100="นิติศาสตร์","K5-LAW","K5-POLICY")</f>
        <v>K5-POLICY</v>
      </c>
      <c r="AJ100" s="72" t="str">
        <f>_xlfn.IFS(B100="","",AND(AI100="K5-LAW",AH100="นิติศาสตร์",L100="S2",U100="",AA100=""),Q100,AND(AI100="K5-LAW",AH100="นิติศาสตร์",L100="S1",U100="",AA100=""),EDATE(Q100,12),AND(AI100="K5-LAW",AH100="นิติศาสตร์",OR(L100="M2",L100="K4"),U100="",AA100=""),EDATE(Q100,12*2),AND(AI100="K5-LAW",AH100="นิติศาสตร์",OR(AA100="M2",AA100="K4"),AD100&gt;=2,OR(AC100&lt;W100,AC100&lt;Q100)),EDATE(AC100,12*2),AND(AI100="K5-LAW",AH100="นิติศาสตร์",AA100="S1",AD100&gt;=1,OR(AC100&lt;W100,AC100&lt;Q100)),EDATE(AC100,12),AND(AI100="K5-LAW",AH100="นิติศาสตร์",OR(U100="M2",U100="K4"),X100&gt;=2,W100&lt;Q100),EDATE(W100,12*2),AND(AI100="K5-LAW",AH100="นิติศาสตร์",U100="S1",X100&gt;=1,W100&lt;Q100),EDATE(W100,12),AND(AI100="K5-LAW",AH100="นิติศาสตร์",OR(U100="S2",U100="K5")),W100,AND(AI100="K5-LAW",AH100="นิติศาสตร์",OR(L100="M2",L100="K4"),R100&gt;=2),EDATE(Q100,12*2),AND(AI100="K5-LAW",AH100="นิติศาสตร์",L100="S1",R100&gt;=1),EDATE(Q100,12),AND(AI100="K5-LAW",AH100="นิติศาสตร์",OR(L100="S2",L100="K5")),Q100,AND(AI100="K5-POLICY",AH100&lt;&gt;"นิติศาสตร์",L100="S2",U100="",AA100=""),Q100,AND(AI100="K5-POLICY",AH100&lt;&gt;"นิติศาสตร์",L100="S1",U100="",AA100=""),EDATE(Q100,12),AND(AI100="K5-POLICY",AH100&lt;&gt;"นิติศาสตร์",OR(L100="M2",L100="K4"),U100="",AA100=""),EDATE(Q100,12*2),AND(AI100="K5-POLICY",AH100&lt;&gt;"นิติศาสตร์",OR(AA100="M2",AA100="K4"),AD100&gt;=2,OR(AC100&lt;W100,AC100&lt;Q100)),EDATE(AC100,12*2),AND(AI100="K5-POLICY",AH100&lt;&gt;"นิติศาสตร์",AA100="S1",AD100&gt;=1,OR(AC100&lt;W100,AC100&lt;Q100)),EDATE(AC100,12),AND(AI100="K5-POLICY",AH100&lt;&gt;"นิติศาสตร์",OR(U100="M2",U100="K4"),X100&gt;=2,W100&lt;Q100),EDATE(W100,12*2),AND(AI100="K5-POLICY",AH100&lt;&gt;"นิติศาสตร์",U100="S1",X100&gt;=1,W100&lt;Q100),EDATE(W100,12),AND(AI100="K5-POLICY",AH100&lt;&gt;"นิติศาสตร์",OR(U100="S2",U100="K5")),W100,AND(AI100="K5-POLICY",AH100&lt;&gt;"นิติศาสตร์",OR(L100="M2",L100="K4"),R100&gt;=2),EDATE(Q100,12*2),AND(AI100="K5-POLICY",AH100&lt;&gt;"นิติศาสตร์",L100="S1",R100&gt;=1),EDATE(Q100,12),AND(AI100="K5-POLICY",AH100&lt;&gt;"นิติศาสตร์",OR(L100="S2",L100="K5")),Q100,TRUE,"Check Data")</f>
        <v/>
      </c>
      <c r="AK100" s="75" t="str">
        <f t="shared" si="29"/>
        <v>Check Data</v>
      </c>
      <c r="AL100" s="76" t="str">
        <f t="shared" si="26"/>
        <v>Check Data</v>
      </c>
      <c r="AM100" s="50" t="str">
        <f t="shared" si="30"/>
        <v>Check Data</v>
      </c>
      <c r="AN100" s="49" t="str">
        <f>IF(B100="","",IF(L100="S1","S1",INDEX(#REF!,#REF!)))</f>
        <v/>
      </c>
      <c r="AO100" s="49" t="str">
        <f t="shared" si="31"/>
        <v>M2</v>
      </c>
      <c r="AP100" s="50" t="b">
        <f>L100=AN100</f>
        <v>0</v>
      </c>
      <c r="AQ100" s="50"/>
    </row>
    <row r="101" spans="1:43" ht="21.75">
      <c r="A101" s="49">
        <v>99</v>
      </c>
      <c r="B101" s="50"/>
      <c r="C101" s="50"/>
      <c r="D101" s="50" t="s">
        <v>143</v>
      </c>
      <c r="E101" s="50" t="e">
        <f>INDEX(#REF!,#REF!)</f>
        <v>#REF!</v>
      </c>
      <c r="F101" s="49" t="s">
        <v>314</v>
      </c>
      <c r="G101" s="49" t="str">
        <f t="shared" si="27"/>
        <v>04/12/1989</v>
      </c>
      <c r="H101" s="50">
        <f t="shared" si="23"/>
        <v>35</v>
      </c>
      <c r="I101" s="50">
        <f t="shared" si="24"/>
        <v>6</v>
      </c>
      <c r="J101" s="50">
        <f t="shared" si="25"/>
        <v>16</v>
      </c>
      <c r="K101" s="59"/>
      <c r="L101" s="49" t="s">
        <v>136</v>
      </c>
      <c r="M101" s="64"/>
      <c r="N101" s="49" t="s">
        <v>425</v>
      </c>
      <c r="O101" s="49">
        <v>2568</v>
      </c>
      <c r="P101" s="65" t="s">
        <v>315</v>
      </c>
      <c r="Q101" s="49" t="str">
        <f t="shared" si="28"/>
        <v>23/07/2021</v>
      </c>
      <c r="R101" s="68">
        <f>IF(Q101="",0,DATEDIF(Q101,$C$1,"Y"))</f>
        <v>3</v>
      </c>
      <c r="S101" s="68">
        <f>IF(Q101="",0,DATEDIF(Q101,$C$1,"YM"))</f>
        <v>10</v>
      </c>
      <c r="T101" s="68">
        <f>IF(Q101="",0,DATEDIF(Q101,$C$1,"MD"))</f>
        <v>28</v>
      </c>
      <c r="U101" s="65"/>
      <c r="V101" s="65"/>
      <c r="W101" s="49" t="str">
        <f t="shared" si="32"/>
        <v/>
      </c>
      <c r="X101" s="68">
        <f>IF(W101="",0,DATEDIF(W101,Q101,"Y"))</f>
        <v>0</v>
      </c>
      <c r="Y101" s="68">
        <f>IF(W101="",0,DATEDIF(W101,Q101,"YM"))</f>
        <v>0</v>
      </c>
      <c r="Z101" s="68">
        <f>IF(W101="",0,DATEDIF(W101,Q101,"MD"))</f>
        <v>0</v>
      </c>
      <c r="AA101" s="49"/>
      <c r="AB101" s="65"/>
      <c r="AC101" s="50" t="str">
        <f t="shared" si="33"/>
        <v/>
      </c>
      <c r="AD101" s="68">
        <f t="shared" si="34"/>
        <v>0</v>
      </c>
      <c r="AE101" s="68">
        <f t="shared" si="35"/>
        <v>0</v>
      </c>
      <c r="AF101" s="68">
        <f t="shared" si="36"/>
        <v>0</v>
      </c>
      <c r="AG101" s="50"/>
      <c r="AH101" s="108" t="s">
        <v>172</v>
      </c>
      <c r="AI101" s="49" t="str">
        <f>IF(AH101="นิติศาสตร์","K5-LAW","K5-POLICY")</f>
        <v>K5-POLICY</v>
      </c>
      <c r="AJ101" s="72" t="str">
        <f>_xlfn.IFS(B101="","",AND(AI101="K5-LAW",AH101="นิติศาสตร์",L101="S2",U101="",AA101=""),Q101,AND(AI101="K5-LAW",AH101="นิติศาสตร์",L101="S1",U101="",AA101=""),EDATE(Q101,12),AND(AI101="K5-LAW",AH101="นิติศาสตร์",OR(L101="M2",L101="K4"),U101="",AA101=""),EDATE(Q101,12*2),AND(AI101="K5-LAW",AH101="นิติศาสตร์",OR(AA101="M2",AA101="K4"),AD101&gt;=2,OR(AC101&lt;W101,AC101&lt;Q101)),EDATE(AC101,12*2),AND(AI101="K5-LAW",AH101="นิติศาสตร์",AA101="S1",AD101&gt;=1,OR(AC101&lt;W101,AC101&lt;Q101)),EDATE(AC101,12),AND(AI101="K5-LAW",AH101="นิติศาสตร์",OR(U101="M2",U101="K4"),X101&gt;=2,W101&lt;Q101),EDATE(W101,12*2),AND(AI101="K5-LAW",AH101="นิติศาสตร์",U101="S1",X101&gt;=1,W101&lt;Q101),EDATE(W101,12),AND(AI101="K5-LAW",AH101="นิติศาสตร์",OR(U101="S2",U101="K5")),W101,AND(AI101="K5-LAW",AH101="นิติศาสตร์",OR(L101="M2",L101="K4"),R101&gt;=2),EDATE(Q101,12*2),AND(AI101="K5-LAW",AH101="นิติศาสตร์",L101="S1",R101&gt;=1),EDATE(Q101,12),AND(AI101="K5-LAW",AH101="นิติศาสตร์",OR(L101="S2",L101="K5")),Q101,AND(AI101="K5-POLICY",AH101&lt;&gt;"นิติศาสตร์",L101="S2",U101="",AA101=""),Q101,AND(AI101="K5-POLICY",AH101&lt;&gt;"นิติศาสตร์",L101="S1",U101="",AA101=""),EDATE(Q101,12),AND(AI101="K5-POLICY",AH101&lt;&gt;"นิติศาสตร์",OR(L101="M2",L101="K4"),U101="",AA101=""),EDATE(Q101,12*2),AND(AI101="K5-POLICY",AH101&lt;&gt;"นิติศาสตร์",OR(AA101="M2",AA101="K4"),AD101&gt;=2,OR(AC101&lt;W101,AC101&lt;Q101)),EDATE(AC101,12*2),AND(AI101="K5-POLICY",AH101&lt;&gt;"นิติศาสตร์",AA101="S1",AD101&gt;=1,OR(AC101&lt;W101,AC101&lt;Q101)),EDATE(AC101,12),AND(AI101="K5-POLICY",AH101&lt;&gt;"นิติศาสตร์",OR(U101="M2",U101="K4"),X101&gt;=2,W101&lt;Q101),EDATE(W101,12*2),AND(AI101="K5-POLICY",AH101&lt;&gt;"นิติศาสตร์",U101="S1",X101&gt;=1,W101&lt;Q101),EDATE(W101,12),AND(AI101="K5-POLICY",AH101&lt;&gt;"นิติศาสตร์",OR(U101="S2",U101="K5")),W101,AND(AI101="K5-POLICY",AH101&lt;&gt;"นิติศาสตร์",OR(L101="M2",L101="K4"),R101&gt;=2),EDATE(Q101,12*2),AND(AI101="K5-POLICY",AH101&lt;&gt;"นิติศาสตร์",L101="S1",R101&gt;=1),EDATE(Q101,12),AND(AI101="K5-POLICY",AH101&lt;&gt;"นิติศาสตร์",OR(L101="S2",L101="K5")),Q101,TRUE,"Check Data")</f>
        <v/>
      </c>
      <c r="AK101" s="75" t="str">
        <f t="shared" si="29"/>
        <v>Check Data</v>
      </c>
      <c r="AL101" s="76" t="str">
        <f t="shared" si="26"/>
        <v>Check Data</v>
      </c>
      <c r="AM101" s="50" t="str">
        <f t="shared" si="30"/>
        <v>Check Data</v>
      </c>
      <c r="AN101" s="49" t="str">
        <f>IF(B101="","",IF(L101="S1","S1",INDEX(#REF!,#REF!)))</f>
        <v/>
      </c>
      <c r="AO101" s="49" t="str">
        <f t="shared" si="31"/>
        <v>M2</v>
      </c>
      <c r="AP101" s="50" t="b">
        <f>L101=AN101</f>
        <v>0</v>
      </c>
      <c r="AQ101" s="50"/>
    </row>
    <row r="102" spans="1:43" ht="21.75">
      <c r="A102" s="49">
        <v>100</v>
      </c>
      <c r="B102" s="50"/>
      <c r="C102" s="50"/>
      <c r="D102" s="50" t="s">
        <v>141</v>
      </c>
      <c r="E102" s="50" t="e">
        <f>INDEX(#REF!,#REF!)</f>
        <v>#REF!</v>
      </c>
      <c r="F102" s="49" t="s">
        <v>250</v>
      </c>
      <c r="G102" s="49" t="str">
        <f t="shared" si="27"/>
        <v>01/08/1995</v>
      </c>
      <c r="H102" s="50">
        <f t="shared" si="23"/>
        <v>29</v>
      </c>
      <c r="I102" s="50">
        <f t="shared" si="24"/>
        <v>10</v>
      </c>
      <c r="J102" s="50">
        <f t="shared" si="25"/>
        <v>19</v>
      </c>
      <c r="K102" s="60"/>
      <c r="L102" s="49" t="s">
        <v>136</v>
      </c>
      <c r="M102" s="64"/>
      <c r="N102" s="49" t="s">
        <v>427</v>
      </c>
      <c r="O102" s="49">
        <v>2571</v>
      </c>
      <c r="P102" s="65" t="s">
        <v>201</v>
      </c>
      <c r="Q102" s="49" t="str">
        <f t="shared" si="28"/>
        <v>01/10/2021</v>
      </c>
      <c r="R102" s="68">
        <f>IF(Q102="",0,DATEDIF(Q102,$C$1,"Y"))</f>
        <v>3</v>
      </c>
      <c r="S102" s="68">
        <f>IF(Q102="",0,DATEDIF(Q102,$C$1,"YM"))</f>
        <v>8</v>
      </c>
      <c r="T102" s="68">
        <f>IF(Q102="",0,DATEDIF(Q102,$C$1,"MD"))</f>
        <v>19</v>
      </c>
      <c r="U102" s="65"/>
      <c r="V102" s="65"/>
      <c r="W102" s="49" t="str">
        <f t="shared" si="32"/>
        <v/>
      </c>
      <c r="X102" s="68">
        <f>IF(W102="",0,DATEDIF(W102,Q102,"Y"))</f>
        <v>0</v>
      </c>
      <c r="Y102" s="68">
        <f>IF(W102="",0,DATEDIF(W102,Q102,"YM"))</f>
        <v>0</v>
      </c>
      <c r="Z102" s="68">
        <f>IF(W102="",0,DATEDIF(W102,Q102,"MD"))</f>
        <v>0</v>
      </c>
      <c r="AA102" s="49"/>
      <c r="AB102" s="65"/>
      <c r="AC102" s="50" t="str">
        <f t="shared" si="33"/>
        <v/>
      </c>
      <c r="AD102" s="68">
        <f t="shared" si="34"/>
        <v>0</v>
      </c>
      <c r="AE102" s="68">
        <f t="shared" si="35"/>
        <v>0</v>
      </c>
      <c r="AF102" s="68">
        <f t="shared" si="36"/>
        <v>0</v>
      </c>
      <c r="AG102" s="50"/>
      <c r="AH102" s="108" t="s">
        <v>138</v>
      </c>
      <c r="AI102" s="49" t="str">
        <f>IF(AH102="นิติศาสตร์","K5-LAW","K5-POLICY")</f>
        <v>K5-LAW</v>
      </c>
      <c r="AJ102" s="72" t="str">
        <f>_xlfn.IFS(B102="","",AND(AI102="K5-LAW",AH102="นิติศาสตร์",L102="S2",U102="",AA102=""),Q102,AND(AI102="K5-LAW",AH102="นิติศาสตร์",L102="S1",U102="",AA102=""),EDATE(Q102,12),AND(AI102="K5-LAW",AH102="นิติศาสตร์",OR(L102="M2",L102="K4"),U102="",AA102=""),EDATE(Q102,12*2),AND(AI102="K5-LAW",AH102="นิติศาสตร์",OR(AA102="M2",AA102="K4"),AD102&gt;=2,OR(AC102&lt;W102,AC102&lt;Q102)),EDATE(AC102,12*2),AND(AI102="K5-LAW",AH102="นิติศาสตร์",AA102="S1",AD102&gt;=1,OR(AC102&lt;W102,AC102&lt;Q102)),EDATE(AC102,12),AND(AI102="K5-LAW",AH102="นิติศาสตร์",OR(U102="M2",U102="K4"),X102&gt;=2,W102&lt;Q102),EDATE(W102,12*2),AND(AI102="K5-LAW",AH102="นิติศาสตร์",U102="S1",X102&gt;=1,W102&lt;Q102),EDATE(W102,12),AND(AI102="K5-LAW",AH102="นิติศาสตร์",OR(U102="S2",U102="K5")),W102,AND(AI102="K5-LAW",AH102="นิติศาสตร์",OR(L102="M2",L102="K4"),R102&gt;=2),EDATE(Q102,12*2),AND(AI102="K5-LAW",AH102="นิติศาสตร์",L102="S1",R102&gt;=1),EDATE(Q102,12),AND(AI102="K5-LAW",AH102="นิติศาสตร์",OR(L102="S2",L102="K5")),Q102,AND(AI102="K5-POLICY",AH102&lt;&gt;"นิติศาสตร์",L102="S2",U102="",AA102=""),Q102,AND(AI102="K5-POLICY",AH102&lt;&gt;"นิติศาสตร์",L102="S1",U102="",AA102=""),EDATE(Q102,12),AND(AI102="K5-POLICY",AH102&lt;&gt;"นิติศาสตร์",OR(L102="M2",L102="K4"),U102="",AA102=""),EDATE(Q102,12*2),AND(AI102="K5-POLICY",AH102&lt;&gt;"นิติศาสตร์",OR(AA102="M2",AA102="K4"),AD102&gt;=2,OR(AC102&lt;W102,AC102&lt;Q102)),EDATE(AC102,12*2),AND(AI102="K5-POLICY",AH102&lt;&gt;"นิติศาสตร์",AA102="S1",AD102&gt;=1,OR(AC102&lt;W102,AC102&lt;Q102)),EDATE(AC102,12),AND(AI102="K5-POLICY",AH102&lt;&gt;"นิติศาสตร์",OR(U102="M2",U102="K4"),X102&gt;=2,W102&lt;Q102),EDATE(W102,12*2),AND(AI102="K5-POLICY",AH102&lt;&gt;"นิติศาสตร์",U102="S1",X102&gt;=1,W102&lt;Q102),EDATE(W102,12),AND(AI102="K5-POLICY",AH102&lt;&gt;"นิติศาสตร์",OR(U102="S2",U102="K5")),W102,AND(AI102="K5-POLICY",AH102&lt;&gt;"นิติศาสตร์",OR(L102="M2",L102="K4"),R102&gt;=2),EDATE(Q102,12*2),AND(AI102="K5-POLICY",AH102&lt;&gt;"นิติศาสตร์",L102="S1",R102&gt;=1),EDATE(Q102,12),AND(AI102="K5-POLICY",AH102&lt;&gt;"นิติศาสตร์",OR(L102="S2",L102="K5")),Q102,TRUE,"Check Data")</f>
        <v/>
      </c>
      <c r="AK102" s="75" t="str">
        <f t="shared" si="29"/>
        <v>Check Data</v>
      </c>
      <c r="AL102" s="76" t="str">
        <f t="shared" si="26"/>
        <v>Check Data</v>
      </c>
      <c r="AM102" s="50" t="str">
        <f t="shared" si="30"/>
        <v>Check Data</v>
      </c>
      <c r="AN102" s="49" t="str">
        <f>IF(B102="","",IF(L102="S1","S1",INDEX(#REF!,#REF!)))</f>
        <v/>
      </c>
      <c r="AO102" s="49" t="str">
        <f t="shared" si="31"/>
        <v>M2</v>
      </c>
      <c r="AP102" s="50" t="b">
        <f>L102=AN102</f>
        <v>0</v>
      </c>
      <c r="AQ102" s="50"/>
    </row>
    <row r="103" spans="1:43" ht="21.75">
      <c r="A103" s="49">
        <v>101</v>
      </c>
      <c r="B103" s="50"/>
      <c r="C103" s="50"/>
      <c r="D103" s="50" t="s">
        <v>34</v>
      </c>
      <c r="E103" s="50" t="e">
        <f>INDEX(#REF!,#REF!)</f>
        <v>#REF!</v>
      </c>
      <c r="F103" s="49" t="s">
        <v>309</v>
      </c>
      <c r="G103" s="49" t="str">
        <f t="shared" si="27"/>
        <v>01/06/1995</v>
      </c>
      <c r="H103" s="50">
        <f t="shared" si="23"/>
        <v>30</v>
      </c>
      <c r="I103" s="50">
        <f t="shared" si="24"/>
        <v>0</v>
      </c>
      <c r="J103" s="50">
        <f t="shared" si="25"/>
        <v>19</v>
      </c>
      <c r="K103" s="78"/>
      <c r="L103" s="49" t="s">
        <v>136</v>
      </c>
      <c r="M103" s="64"/>
      <c r="N103" s="49" t="s">
        <v>427</v>
      </c>
      <c r="O103" s="49">
        <v>2575</v>
      </c>
      <c r="P103" s="65" t="s">
        <v>391</v>
      </c>
      <c r="Q103" s="49" t="str">
        <f t="shared" si="28"/>
        <v>18/10/2021</v>
      </c>
      <c r="R103" s="68">
        <f>IF(Q103="",0,DATEDIF(Q103,$C$1,"Y"))</f>
        <v>3</v>
      </c>
      <c r="S103" s="68">
        <f>IF(Q103="",0,DATEDIF(Q103,$C$1,"YM"))</f>
        <v>8</v>
      </c>
      <c r="T103" s="68">
        <f>IF(Q103="",0,DATEDIF(Q103,$C$1,"MD"))</f>
        <v>2</v>
      </c>
      <c r="U103" s="65"/>
      <c r="V103" s="65"/>
      <c r="W103" s="49" t="str">
        <f t="shared" si="32"/>
        <v/>
      </c>
      <c r="X103" s="68">
        <f>IF(W103="",0,DATEDIF(W103,Q103,"Y"))</f>
        <v>0</v>
      </c>
      <c r="Y103" s="68">
        <f>IF(W103="",0,DATEDIF(W103,Q103,"YM"))</f>
        <v>0</v>
      </c>
      <c r="Z103" s="68">
        <f>IF(W103="",0,DATEDIF(W103,Q103,"MD"))</f>
        <v>0</v>
      </c>
      <c r="AA103" s="49"/>
      <c r="AB103" s="65"/>
      <c r="AC103" s="50" t="str">
        <f t="shared" si="33"/>
        <v/>
      </c>
      <c r="AD103" s="68">
        <f t="shared" si="34"/>
        <v>0</v>
      </c>
      <c r="AE103" s="68">
        <f t="shared" si="35"/>
        <v>0</v>
      </c>
      <c r="AF103" s="68">
        <f t="shared" si="36"/>
        <v>0</v>
      </c>
      <c r="AG103" s="50"/>
      <c r="AH103" s="108" t="s">
        <v>167</v>
      </c>
      <c r="AI103" s="49" t="str">
        <f>IF(AH103="นิติศาสตร์","K5-LAW","K5-POLICY")</f>
        <v>K5-POLICY</v>
      </c>
      <c r="AJ103" s="72" t="str">
        <f>_xlfn.IFS(B103="","",AND(AI103="K5-LAW",AH103="นิติศาสตร์",L103="S2",U103="",AA103=""),Q103,AND(AI103="K5-LAW",AH103="นิติศาสตร์",L103="S1",U103="",AA103=""),EDATE(Q103,12),AND(AI103="K5-LAW",AH103="นิติศาสตร์",OR(L103="M2",L103="K4"),U103="",AA103=""),EDATE(Q103,12*2),AND(AI103="K5-LAW",AH103="นิติศาสตร์",OR(AA103="M2",AA103="K4"),AD103&gt;=2,OR(AC103&lt;W103,AC103&lt;Q103)),EDATE(AC103,12*2),AND(AI103="K5-LAW",AH103="นิติศาสตร์",AA103="S1",AD103&gt;=1,OR(AC103&lt;W103,AC103&lt;Q103)),EDATE(AC103,12),AND(AI103="K5-LAW",AH103="นิติศาสตร์",OR(U103="M2",U103="K4"),X103&gt;=2,W103&lt;Q103),EDATE(W103,12*2),AND(AI103="K5-LAW",AH103="นิติศาสตร์",U103="S1",X103&gt;=1,W103&lt;Q103),EDATE(W103,12),AND(AI103="K5-LAW",AH103="นิติศาสตร์",OR(U103="S2",U103="K5")),W103,AND(AI103="K5-LAW",AH103="นิติศาสตร์",OR(L103="M2",L103="K4"),R103&gt;=2),EDATE(Q103,12*2),AND(AI103="K5-LAW",AH103="นิติศาสตร์",L103="S1",R103&gt;=1),EDATE(Q103,12),AND(AI103="K5-LAW",AH103="นิติศาสตร์",OR(L103="S2",L103="K5")),Q103,AND(AI103="K5-POLICY",AH103&lt;&gt;"นิติศาสตร์",L103="S2",U103="",AA103=""),Q103,AND(AI103="K5-POLICY",AH103&lt;&gt;"นิติศาสตร์",L103="S1",U103="",AA103=""),EDATE(Q103,12),AND(AI103="K5-POLICY",AH103&lt;&gt;"นิติศาสตร์",OR(L103="M2",L103="K4"),U103="",AA103=""),EDATE(Q103,12*2),AND(AI103="K5-POLICY",AH103&lt;&gt;"นิติศาสตร์",OR(AA103="M2",AA103="K4"),AD103&gt;=2,OR(AC103&lt;W103,AC103&lt;Q103)),EDATE(AC103,12*2),AND(AI103="K5-POLICY",AH103&lt;&gt;"นิติศาสตร์",AA103="S1",AD103&gt;=1,OR(AC103&lt;W103,AC103&lt;Q103)),EDATE(AC103,12),AND(AI103="K5-POLICY",AH103&lt;&gt;"นิติศาสตร์",OR(U103="M2",U103="K4"),X103&gt;=2,W103&lt;Q103),EDATE(W103,12*2),AND(AI103="K5-POLICY",AH103&lt;&gt;"นิติศาสตร์",U103="S1",X103&gt;=1,W103&lt;Q103),EDATE(W103,12),AND(AI103="K5-POLICY",AH103&lt;&gt;"นิติศาสตร์",OR(U103="S2",U103="K5")),W103,AND(AI103="K5-POLICY",AH103&lt;&gt;"นิติศาสตร์",OR(L103="M2",L103="K4"),R103&gt;=2),EDATE(Q103,12*2),AND(AI103="K5-POLICY",AH103&lt;&gt;"นิติศาสตร์",L103="S1",R103&gt;=1),EDATE(Q103,12),AND(AI103="K5-POLICY",AH103&lt;&gt;"นิติศาสตร์",OR(L103="S2",L103="K5")),Q103,TRUE,"Check Data")</f>
        <v/>
      </c>
      <c r="AK103" s="75" t="str">
        <f t="shared" si="29"/>
        <v>Check Data</v>
      </c>
      <c r="AL103" s="76" t="str">
        <f t="shared" si="26"/>
        <v>Check Data</v>
      </c>
      <c r="AM103" s="50" t="str">
        <f t="shared" si="30"/>
        <v>Check Data</v>
      </c>
      <c r="AN103" s="49" t="str">
        <f>IF(B103="","",IF(L103="S1","S1",INDEX(#REF!,#REF!)))</f>
        <v/>
      </c>
      <c r="AO103" s="49" t="str">
        <f t="shared" si="31"/>
        <v>M2</v>
      </c>
      <c r="AP103" s="50" t="b">
        <f>L103=AN103</f>
        <v>0</v>
      </c>
      <c r="AQ103" s="50"/>
    </row>
    <row r="104" spans="1:43" ht="21.75">
      <c r="A104" s="49">
        <v>102</v>
      </c>
      <c r="B104" s="50"/>
      <c r="C104" s="50"/>
      <c r="D104" s="50" t="s">
        <v>143</v>
      </c>
      <c r="E104" s="50" t="e">
        <f>INDEX(#REF!,#REF!)</f>
        <v>#REF!</v>
      </c>
      <c r="F104" s="49" t="s">
        <v>325</v>
      </c>
      <c r="G104" s="49" t="str">
        <f t="shared" si="27"/>
        <v>10/10/1988</v>
      </c>
      <c r="H104" s="50">
        <f t="shared" si="23"/>
        <v>36</v>
      </c>
      <c r="I104" s="50">
        <f t="shared" si="24"/>
        <v>8</v>
      </c>
      <c r="J104" s="50">
        <f t="shared" si="25"/>
        <v>10</v>
      </c>
      <c r="K104" s="59"/>
      <c r="L104" s="49" t="s">
        <v>136</v>
      </c>
      <c r="M104" s="64"/>
      <c r="N104" s="49" t="s">
        <v>427</v>
      </c>
      <c r="O104" s="49">
        <v>2568</v>
      </c>
      <c r="P104" s="65" t="s">
        <v>291</v>
      </c>
      <c r="Q104" s="49" t="str">
        <f t="shared" si="28"/>
        <v>01/11/2021</v>
      </c>
      <c r="R104" s="68">
        <f>IF(Q104="",0,DATEDIF(Q104,$C$1,"Y"))</f>
        <v>3</v>
      </c>
      <c r="S104" s="68">
        <f>IF(Q104="",0,DATEDIF(Q104,$C$1,"YM"))</f>
        <v>7</v>
      </c>
      <c r="T104" s="68">
        <f>IF(Q104="",0,DATEDIF(Q104,$C$1,"MD"))</f>
        <v>19</v>
      </c>
      <c r="U104" s="65"/>
      <c r="V104" s="65"/>
      <c r="W104" s="49" t="str">
        <f t="shared" si="32"/>
        <v/>
      </c>
      <c r="X104" s="68">
        <f>IF(W104="",0,DATEDIF(W104,Q104,"Y"))</f>
        <v>0</v>
      </c>
      <c r="Y104" s="68">
        <f>IF(W104="",0,DATEDIF(W104,Q104,"YM"))</f>
        <v>0</v>
      </c>
      <c r="Z104" s="68">
        <f>IF(W104="",0,DATEDIF(W104,Q104,"MD"))</f>
        <v>0</v>
      </c>
      <c r="AA104" s="49"/>
      <c r="AB104" s="65"/>
      <c r="AC104" s="50" t="str">
        <f t="shared" si="33"/>
        <v/>
      </c>
      <c r="AD104" s="68">
        <f t="shared" si="34"/>
        <v>0</v>
      </c>
      <c r="AE104" s="68">
        <f t="shared" si="35"/>
        <v>0</v>
      </c>
      <c r="AF104" s="68">
        <f t="shared" si="36"/>
        <v>0</v>
      </c>
      <c r="AG104" s="50"/>
      <c r="AH104" s="108" t="s">
        <v>486</v>
      </c>
      <c r="AI104" s="49" t="str">
        <f>IF(AH104="นิติศาสตร์","K5-LAW","K5-POLICY")</f>
        <v>K5-POLICY</v>
      </c>
      <c r="AJ104" s="72" t="str">
        <f>_xlfn.IFS(B104="","",AND(AI104="K5-LAW",AH104="นิติศาสตร์",L104="S2",U104="",AA104=""),Q104,AND(AI104="K5-LAW",AH104="นิติศาสตร์",L104="S1",U104="",AA104=""),EDATE(Q104,12),AND(AI104="K5-LAW",AH104="นิติศาสตร์",OR(L104="M2",L104="K4"),U104="",AA104=""),EDATE(Q104,12*2),AND(AI104="K5-LAW",AH104="นิติศาสตร์",OR(AA104="M2",AA104="K4"),AD104&gt;=2,OR(AC104&lt;W104,AC104&lt;Q104)),EDATE(AC104,12*2),AND(AI104="K5-LAW",AH104="นิติศาสตร์",AA104="S1",AD104&gt;=1,OR(AC104&lt;W104,AC104&lt;Q104)),EDATE(AC104,12),AND(AI104="K5-LAW",AH104="นิติศาสตร์",OR(U104="M2",U104="K4"),X104&gt;=2,W104&lt;Q104),EDATE(W104,12*2),AND(AI104="K5-LAW",AH104="นิติศาสตร์",U104="S1",X104&gt;=1,W104&lt;Q104),EDATE(W104,12),AND(AI104="K5-LAW",AH104="นิติศาสตร์",OR(U104="S2",U104="K5")),W104,AND(AI104="K5-LAW",AH104="นิติศาสตร์",OR(L104="M2",L104="K4"),R104&gt;=2),EDATE(Q104,12*2),AND(AI104="K5-LAW",AH104="นิติศาสตร์",L104="S1",R104&gt;=1),EDATE(Q104,12),AND(AI104="K5-LAW",AH104="นิติศาสตร์",OR(L104="S2",L104="K5")),Q104,AND(AI104="K5-POLICY",AH104&lt;&gt;"นิติศาสตร์",L104="S2",U104="",AA104=""),Q104,AND(AI104="K5-POLICY",AH104&lt;&gt;"นิติศาสตร์",L104="S1",U104="",AA104=""),EDATE(Q104,12),AND(AI104="K5-POLICY",AH104&lt;&gt;"นิติศาสตร์",OR(L104="M2",L104="K4"),U104="",AA104=""),EDATE(Q104,12*2),AND(AI104="K5-POLICY",AH104&lt;&gt;"นิติศาสตร์",OR(AA104="M2",AA104="K4"),AD104&gt;=2,OR(AC104&lt;W104,AC104&lt;Q104)),EDATE(AC104,12*2),AND(AI104="K5-POLICY",AH104&lt;&gt;"นิติศาสตร์",AA104="S1",AD104&gt;=1,OR(AC104&lt;W104,AC104&lt;Q104)),EDATE(AC104,12),AND(AI104="K5-POLICY",AH104&lt;&gt;"นิติศาสตร์",OR(U104="M2",U104="K4"),X104&gt;=2,W104&lt;Q104),EDATE(W104,12*2),AND(AI104="K5-POLICY",AH104&lt;&gt;"นิติศาสตร์",U104="S1",X104&gt;=1,W104&lt;Q104),EDATE(W104,12),AND(AI104="K5-POLICY",AH104&lt;&gt;"นิติศาสตร์",OR(U104="S2",U104="K5")),W104,AND(AI104="K5-POLICY",AH104&lt;&gt;"นิติศาสตร์",OR(L104="M2",L104="K4"),R104&gt;=2),EDATE(Q104,12*2),AND(AI104="K5-POLICY",AH104&lt;&gt;"นิติศาสตร์",L104="S1",R104&gt;=1),EDATE(Q104,12),AND(AI104="K5-POLICY",AH104&lt;&gt;"นิติศาสตร์",OR(L104="S2",L104="K5")),Q104,TRUE,"Check Data")</f>
        <v/>
      </c>
      <c r="AK104" s="75" t="str">
        <f t="shared" si="29"/>
        <v>Check Data</v>
      </c>
      <c r="AL104" s="76" t="str">
        <f t="shared" si="26"/>
        <v>Check Data</v>
      </c>
      <c r="AM104" s="50" t="str">
        <f t="shared" si="30"/>
        <v>Check Data</v>
      </c>
      <c r="AN104" s="49" t="str">
        <f>IF(B104="","",IF(L104="S1","S1",INDEX(#REF!,#REF!)))</f>
        <v/>
      </c>
      <c r="AO104" s="49" t="str">
        <f t="shared" si="31"/>
        <v>M2</v>
      </c>
      <c r="AP104" s="50" t="b">
        <f>L104=AN104</f>
        <v>0</v>
      </c>
      <c r="AQ104" s="50"/>
    </row>
    <row r="105" spans="1:43" ht="21.75">
      <c r="A105" s="49">
        <v>103</v>
      </c>
      <c r="B105" s="50"/>
      <c r="C105" s="50"/>
      <c r="D105" s="50" t="s">
        <v>143</v>
      </c>
      <c r="E105" s="50" t="e">
        <f>INDEX(#REF!,#REF!)</f>
        <v>#REF!</v>
      </c>
      <c r="F105" s="49" t="s">
        <v>350</v>
      </c>
      <c r="G105" s="49" t="str">
        <f t="shared" si="27"/>
        <v>03/05/1993</v>
      </c>
      <c r="H105" s="50">
        <f t="shared" si="23"/>
        <v>32</v>
      </c>
      <c r="I105" s="50">
        <f t="shared" si="24"/>
        <v>1</v>
      </c>
      <c r="J105" s="50">
        <f t="shared" si="25"/>
        <v>17</v>
      </c>
      <c r="K105" s="58"/>
      <c r="L105" s="49" t="s">
        <v>136</v>
      </c>
      <c r="M105" s="64"/>
      <c r="N105" s="49" t="s">
        <v>426</v>
      </c>
      <c r="O105" s="49">
        <v>2569</v>
      </c>
      <c r="P105" s="65" t="s">
        <v>291</v>
      </c>
      <c r="Q105" s="49" t="str">
        <f t="shared" si="28"/>
        <v>01/11/2021</v>
      </c>
      <c r="R105" s="68">
        <f>IF(Q105="",0,DATEDIF(Q105,$C$1,"Y"))</f>
        <v>3</v>
      </c>
      <c r="S105" s="68">
        <f>IF(Q105="",0,DATEDIF(Q105,$C$1,"YM"))</f>
        <v>7</v>
      </c>
      <c r="T105" s="68">
        <f>IF(Q105="",0,DATEDIF(Q105,$C$1,"MD"))</f>
        <v>19</v>
      </c>
      <c r="U105" s="65"/>
      <c r="V105" s="65"/>
      <c r="W105" s="49" t="str">
        <f t="shared" si="32"/>
        <v/>
      </c>
      <c r="X105" s="68">
        <f>IF(W105="",0,DATEDIF(W105,Q105,"Y"))</f>
        <v>0</v>
      </c>
      <c r="Y105" s="68">
        <f>IF(W105="",0,DATEDIF(W105,Q105,"YM"))</f>
        <v>0</v>
      </c>
      <c r="Z105" s="68">
        <f>IF(W105="",0,DATEDIF(W105,Q105,"MD"))</f>
        <v>0</v>
      </c>
      <c r="AA105" s="49"/>
      <c r="AB105" s="65"/>
      <c r="AC105" s="50" t="str">
        <f t="shared" si="33"/>
        <v/>
      </c>
      <c r="AD105" s="68">
        <f t="shared" si="34"/>
        <v>0</v>
      </c>
      <c r="AE105" s="68">
        <f t="shared" si="35"/>
        <v>0</v>
      </c>
      <c r="AF105" s="68">
        <f t="shared" si="36"/>
        <v>0</v>
      </c>
      <c r="AG105" s="50"/>
      <c r="AH105" s="108" t="s">
        <v>138</v>
      </c>
      <c r="AI105" s="49" t="str">
        <f>IF(AH105="นิติศาสตร์","K5-LAW","K5-POLICY")</f>
        <v>K5-LAW</v>
      </c>
      <c r="AJ105" s="72" t="str">
        <f>_xlfn.IFS(B105="","",AND(AI105="K5-LAW",AH105="นิติศาสตร์",L105="S2",U105="",AA105=""),Q105,AND(AI105="K5-LAW",AH105="นิติศาสตร์",L105="S1",U105="",AA105=""),EDATE(Q105,12),AND(AI105="K5-LAW",AH105="นิติศาสตร์",OR(L105="M2",L105="K4"),U105="",AA105=""),EDATE(Q105,12*2),AND(AI105="K5-LAW",AH105="นิติศาสตร์",OR(AA105="M2",AA105="K4"),AD105&gt;=2,OR(AC105&lt;W105,AC105&lt;Q105)),EDATE(AC105,12*2),AND(AI105="K5-LAW",AH105="นิติศาสตร์",AA105="S1",AD105&gt;=1,OR(AC105&lt;W105,AC105&lt;Q105)),EDATE(AC105,12),AND(AI105="K5-LAW",AH105="นิติศาสตร์",OR(U105="M2",U105="K4"),X105&gt;=2,W105&lt;Q105),EDATE(W105,12*2),AND(AI105="K5-LAW",AH105="นิติศาสตร์",U105="S1",X105&gt;=1,W105&lt;Q105),EDATE(W105,12),AND(AI105="K5-LAW",AH105="นิติศาสตร์",OR(U105="S2",U105="K5")),W105,AND(AI105="K5-LAW",AH105="นิติศาสตร์",OR(L105="M2",L105="K4"),R105&gt;=2),EDATE(Q105,12*2),AND(AI105="K5-LAW",AH105="นิติศาสตร์",L105="S1",R105&gt;=1),EDATE(Q105,12),AND(AI105="K5-LAW",AH105="นิติศาสตร์",OR(L105="S2",L105="K5")),Q105,AND(AI105="K5-POLICY",AH105&lt;&gt;"นิติศาสตร์",L105="S2",U105="",AA105=""),Q105,AND(AI105="K5-POLICY",AH105&lt;&gt;"นิติศาสตร์",L105="S1",U105="",AA105=""),EDATE(Q105,12),AND(AI105="K5-POLICY",AH105&lt;&gt;"นิติศาสตร์",OR(L105="M2",L105="K4"),U105="",AA105=""),EDATE(Q105,12*2),AND(AI105="K5-POLICY",AH105&lt;&gt;"นิติศาสตร์",OR(AA105="M2",AA105="K4"),AD105&gt;=2,OR(AC105&lt;W105,AC105&lt;Q105)),EDATE(AC105,12*2),AND(AI105="K5-POLICY",AH105&lt;&gt;"นิติศาสตร์",AA105="S1",AD105&gt;=1,OR(AC105&lt;W105,AC105&lt;Q105)),EDATE(AC105,12),AND(AI105="K5-POLICY",AH105&lt;&gt;"นิติศาสตร์",OR(U105="M2",U105="K4"),X105&gt;=2,W105&lt;Q105),EDATE(W105,12*2),AND(AI105="K5-POLICY",AH105&lt;&gt;"นิติศาสตร์",U105="S1",X105&gt;=1,W105&lt;Q105),EDATE(W105,12),AND(AI105="K5-POLICY",AH105&lt;&gt;"นิติศาสตร์",OR(U105="S2",U105="K5")),W105,AND(AI105="K5-POLICY",AH105&lt;&gt;"นิติศาสตร์",OR(L105="M2",L105="K4"),R105&gt;=2),EDATE(Q105,12*2),AND(AI105="K5-POLICY",AH105&lt;&gt;"นิติศาสตร์",L105="S1",R105&gt;=1),EDATE(Q105,12),AND(AI105="K5-POLICY",AH105&lt;&gt;"นิติศาสตร์",OR(L105="S2",L105="K5")),Q105,TRUE,"Check Data")</f>
        <v/>
      </c>
      <c r="AK105" s="75" t="str">
        <f t="shared" si="29"/>
        <v>Check Data</v>
      </c>
      <c r="AL105" s="76" t="str">
        <f t="shared" si="26"/>
        <v>Check Data</v>
      </c>
      <c r="AM105" s="50" t="str">
        <f t="shared" si="30"/>
        <v>Check Data</v>
      </c>
      <c r="AN105" s="49" t="str">
        <f>IF(B105="","",IF(L105="S1","S1",INDEX(#REF!,#REF!)))</f>
        <v/>
      </c>
      <c r="AO105" s="49" t="str">
        <f t="shared" si="31"/>
        <v>M2</v>
      </c>
      <c r="AP105" s="50" t="b">
        <f>L105=AN105</f>
        <v>0</v>
      </c>
      <c r="AQ105" s="50"/>
    </row>
    <row r="106" spans="1:43" ht="21.75">
      <c r="A106" s="49">
        <v>104</v>
      </c>
      <c r="B106" s="50"/>
      <c r="C106" s="50"/>
      <c r="D106" s="50" t="s">
        <v>143</v>
      </c>
      <c r="E106" s="50" t="e">
        <f>INDEX(#REF!,#REF!)</f>
        <v>#REF!</v>
      </c>
      <c r="F106" s="49" t="s">
        <v>322</v>
      </c>
      <c r="G106" s="49" t="str">
        <f t="shared" ref="G106:G137" si="37">IF(F106="","",TEXT(EDATE(F106,-543*12),"dd/mm/yyyy"))</f>
        <v>30/07/1992</v>
      </c>
      <c r="H106" s="50">
        <f t="shared" si="23"/>
        <v>32</v>
      </c>
      <c r="I106" s="50">
        <f t="shared" si="24"/>
        <v>10</v>
      </c>
      <c r="J106" s="50">
        <f t="shared" si="25"/>
        <v>21</v>
      </c>
      <c r="K106" s="59"/>
      <c r="L106" s="49" t="s">
        <v>136</v>
      </c>
      <c r="M106" s="64"/>
      <c r="N106" s="49" t="s">
        <v>426</v>
      </c>
      <c r="O106" s="49">
        <v>2569</v>
      </c>
      <c r="P106" s="65" t="s">
        <v>291</v>
      </c>
      <c r="Q106" s="49" t="str">
        <f t="shared" ref="Q106:Q137" si="38">TEXT(EDATE(P106,-543*12),"dd/mm/yyyy")</f>
        <v>01/11/2021</v>
      </c>
      <c r="R106" s="68">
        <f>IF(Q106="",0,DATEDIF(Q106,$C$1,"Y"))</f>
        <v>3</v>
      </c>
      <c r="S106" s="68">
        <f>IF(Q106="",0,DATEDIF(Q106,$C$1,"YM"))</f>
        <v>7</v>
      </c>
      <c r="T106" s="68">
        <f>IF(Q106="",0,DATEDIF(Q106,$C$1,"MD"))</f>
        <v>19</v>
      </c>
      <c r="U106" s="65"/>
      <c r="V106" s="65"/>
      <c r="W106" s="49" t="str">
        <f t="shared" si="32"/>
        <v/>
      </c>
      <c r="X106" s="68">
        <f>IF(W106="",0,DATEDIF(W106,Q106,"Y"))</f>
        <v>0</v>
      </c>
      <c r="Y106" s="68">
        <f>IF(W106="",0,DATEDIF(W106,Q106,"YM"))</f>
        <v>0</v>
      </c>
      <c r="Z106" s="68">
        <f>IF(W106="",0,DATEDIF(W106,Q106,"MD"))</f>
        <v>0</v>
      </c>
      <c r="AA106" s="49"/>
      <c r="AB106" s="65"/>
      <c r="AC106" s="50" t="str">
        <f t="shared" si="33"/>
        <v/>
      </c>
      <c r="AD106" s="68">
        <f t="shared" si="34"/>
        <v>0</v>
      </c>
      <c r="AE106" s="68">
        <f t="shared" si="35"/>
        <v>0</v>
      </c>
      <c r="AF106" s="68">
        <f t="shared" si="36"/>
        <v>0</v>
      </c>
      <c r="AG106" s="50"/>
      <c r="AH106" s="108" t="s">
        <v>138</v>
      </c>
      <c r="AI106" s="49" t="str">
        <f>IF(AH106="นิติศาสตร์","K5-LAW","K5-POLICY")</f>
        <v>K5-LAW</v>
      </c>
      <c r="AJ106" s="72" t="str">
        <f>_xlfn.IFS(B106="","",AND(AI106="K5-LAW",AH106="นิติศาสตร์",L106="S2",U106="",AA106=""),Q106,AND(AI106="K5-LAW",AH106="นิติศาสตร์",L106="S1",U106="",AA106=""),EDATE(Q106,12),AND(AI106="K5-LAW",AH106="นิติศาสตร์",OR(L106="M2",L106="K4"),U106="",AA106=""),EDATE(Q106,12*2),AND(AI106="K5-LAW",AH106="นิติศาสตร์",OR(AA106="M2",AA106="K4"),AD106&gt;=2,OR(AC106&lt;W106,AC106&lt;Q106)),EDATE(AC106,12*2),AND(AI106="K5-LAW",AH106="นิติศาสตร์",AA106="S1",AD106&gt;=1,OR(AC106&lt;W106,AC106&lt;Q106)),EDATE(AC106,12),AND(AI106="K5-LAW",AH106="นิติศาสตร์",OR(U106="M2",U106="K4"),X106&gt;=2,W106&lt;Q106),EDATE(W106,12*2),AND(AI106="K5-LAW",AH106="นิติศาสตร์",U106="S1",X106&gt;=1,W106&lt;Q106),EDATE(W106,12),AND(AI106="K5-LAW",AH106="นิติศาสตร์",OR(U106="S2",U106="K5")),W106,AND(AI106="K5-LAW",AH106="นิติศาสตร์",OR(L106="M2",L106="K4"),R106&gt;=2),EDATE(Q106,12*2),AND(AI106="K5-LAW",AH106="นิติศาสตร์",L106="S1",R106&gt;=1),EDATE(Q106,12),AND(AI106="K5-LAW",AH106="นิติศาสตร์",OR(L106="S2",L106="K5")),Q106,AND(AI106="K5-POLICY",AH106&lt;&gt;"นิติศาสตร์",L106="S2",U106="",AA106=""),Q106,AND(AI106="K5-POLICY",AH106&lt;&gt;"นิติศาสตร์",L106="S1",U106="",AA106=""),EDATE(Q106,12),AND(AI106="K5-POLICY",AH106&lt;&gt;"นิติศาสตร์",OR(L106="M2",L106="K4"),U106="",AA106=""),EDATE(Q106,12*2),AND(AI106="K5-POLICY",AH106&lt;&gt;"นิติศาสตร์",OR(AA106="M2",AA106="K4"),AD106&gt;=2,OR(AC106&lt;W106,AC106&lt;Q106)),EDATE(AC106,12*2),AND(AI106="K5-POLICY",AH106&lt;&gt;"นิติศาสตร์",AA106="S1",AD106&gt;=1,OR(AC106&lt;W106,AC106&lt;Q106)),EDATE(AC106,12),AND(AI106="K5-POLICY",AH106&lt;&gt;"นิติศาสตร์",OR(U106="M2",U106="K4"),X106&gt;=2,W106&lt;Q106),EDATE(W106,12*2),AND(AI106="K5-POLICY",AH106&lt;&gt;"นิติศาสตร์",U106="S1",X106&gt;=1,W106&lt;Q106),EDATE(W106,12),AND(AI106="K5-POLICY",AH106&lt;&gt;"นิติศาสตร์",OR(U106="S2",U106="K5")),W106,AND(AI106="K5-POLICY",AH106&lt;&gt;"นิติศาสตร์",OR(L106="M2",L106="K4"),R106&gt;=2),EDATE(Q106,12*2),AND(AI106="K5-POLICY",AH106&lt;&gt;"นิติศาสตร์",L106="S1",R106&gt;=1),EDATE(Q106,12),AND(AI106="K5-POLICY",AH106&lt;&gt;"นิติศาสตร์",OR(L106="S2",L106="K5")),Q106,TRUE,"Check Data")</f>
        <v/>
      </c>
      <c r="AK106" s="75" t="str">
        <f t="shared" ref="AK106:AK137" si="39">IFERROR(TEXT(EDATE(AJ106,543*12),"dd/mm/yyyy"),"Check Data")</f>
        <v>Check Data</v>
      </c>
      <c r="AL106" s="76" t="str">
        <f t="shared" si="26"/>
        <v>Check Data</v>
      </c>
      <c r="AM106" s="50" t="str">
        <f t="shared" ref="AM106:AM137" si="40">_xlfn.IFS(AL106="Check Data","Check Data",AL106&gt;30,"ยังไม่ถึงเกณฑ์",AL106&gt;0,"ใกล้ถึงเกณฑ์",AL106=0,"ถึงเกณฑ์",AL106&lt;0,"ถึงเกณฑ์นานแล้ว")</f>
        <v>Check Data</v>
      </c>
      <c r="AN106" s="49" t="str">
        <f>IF(B106="","",IF(L106="S1","S1",INDEX(#REF!,#REF!)))</f>
        <v/>
      </c>
      <c r="AO106" s="49" t="str">
        <f t="shared" ref="AO106:AO137" si="41">L106</f>
        <v>M2</v>
      </c>
      <c r="AP106" s="50" t="b">
        <f>L106=AN106</f>
        <v>0</v>
      </c>
      <c r="AQ106" s="50"/>
    </row>
    <row r="107" spans="1:43" ht="21.75">
      <c r="A107" s="49">
        <v>105</v>
      </c>
      <c r="B107" s="50"/>
      <c r="C107" s="50"/>
      <c r="D107" s="50" t="s">
        <v>143</v>
      </c>
      <c r="E107" s="50" t="e">
        <f>INDEX(#REF!,#REF!)</f>
        <v>#REF!</v>
      </c>
      <c r="F107" s="49" t="s">
        <v>297</v>
      </c>
      <c r="G107" s="49" t="str">
        <f t="shared" si="37"/>
        <v>22/12/1997</v>
      </c>
      <c r="H107" s="50">
        <f t="shared" si="23"/>
        <v>27</v>
      </c>
      <c r="I107" s="50">
        <f t="shared" si="24"/>
        <v>5</v>
      </c>
      <c r="J107" s="50">
        <f t="shared" si="25"/>
        <v>29</v>
      </c>
      <c r="K107" s="59"/>
      <c r="L107" s="49" t="s">
        <v>136</v>
      </c>
      <c r="M107" s="64"/>
      <c r="N107" s="49" t="s">
        <v>427</v>
      </c>
      <c r="O107" s="49">
        <v>2573</v>
      </c>
      <c r="P107" s="65" t="s">
        <v>291</v>
      </c>
      <c r="Q107" s="49" t="str">
        <f t="shared" si="38"/>
        <v>01/11/2021</v>
      </c>
      <c r="R107" s="68">
        <f>IF(Q107="",0,DATEDIF(Q107,$C$1,"Y"))</f>
        <v>3</v>
      </c>
      <c r="S107" s="68">
        <f>IF(Q107="",0,DATEDIF(Q107,$C$1,"YM"))</f>
        <v>7</v>
      </c>
      <c r="T107" s="68">
        <f>IF(Q107="",0,DATEDIF(Q107,$C$1,"MD"))</f>
        <v>19</v>
      </c>
      <c r="U107" s="65"/>
      <c r="V107" s="65"/>
      <c r="W107" s="49" t="str">
        <f t="shared" si="32"/>
        <v/>
      </c>
      <c r="X107" s="68">
        <f>IF(W107="",0,DATEDIF(W107,Q107,"Y"))</f>
        <v>0</v>
      </c>
      <c r="Y107" s="68">
        <f>IF(W107="",0,DATEDIF(W107,Q107,"YM"))</f>
        <v>0</v>
      </c>
      <c r="Z107" s="68">
        <f>IF(W107="",0,DATEDIF(W107,Q107,"MD"))</f>
        <v>0</v>
      </c>
      <c r="AA107" s="49"/>
      <c r="AB107" s="65"/>
      <c r="AC107" s="50" t="str">
        <f t="shared" si="33"/>
        <v/>
      </c>
      <c r="AD107" s="68">
        <f t="shared" si="34"/>
        <v>0</v>
      </c>
      <c r="AE107" s="68">
        <f t="shared" si="35"/>
        <v>0</v>
      </c>
      <c r="AF107" s="68">
        <f t="shared" si="36"/>
        <v>0</v>
      </c>
      <c r="AG107" s="50"/>
      <c r="AH107" s="108" t="s">
        <v>169</v>
      </c>
      <c r="AI107" s="49" t="str">
        <f>IF(AH107="นิติศาสตร์","K5-LAW","K5-POLICY")</f>
        <v>K5-POLICY</v>
      </c>
      <c r="AJ107" s="72" t="str">
        <f>_xlfn.IFS(B107="","",AND(AI107="K5-LAW",AH107="นิติศาสตร์",L107="S2",U107="",AA107=""),Q107,AND(AI107="K5-LAW",AH107="นิติศาสตร์",L107="S1",U107="",AA107=""),EDATE(Q107,12),AND(AI107="K5-LAW",AH107="นิติศาสตร์",OR(L107="M2",L107="K4"),U107="",AA107=""),EDATE(Q107,12*2),AND(AI107="K5-LAW",AH107="นิติศาสตร์",OR(AA107="M2",AA107="K4"),AD107&gt;=2,OR(AC107&lt;W107,AC107&lt;Q107)),EDATE(AC107,12*2),AND(AI107="K5-LAW",AH107="นิติศาสตร์",AA107="S1",AD107&gt;=1,OR(AC107&lt;W107,AC107&lt;Q107)),EDATE(AC107,12),AND(AI107="K5-LAW",AH107="นิติศาสตร์",OR(U107="M2",U107="K4"),X107&gt;=2,W107&lt;Q107),EDATE(W107,12*2),AND(AI107="K5-LAW",AH107="นิติศาสตร์",U107="S1",X107&gt;=1,W107&lt;Q107),EDATE(W107,12),AND(AI107="K5-LAW",AH107="นิติศาสตร์",OR(U107="S2",U107="K5")),W107,AND(AI107="K5-LAW",AH107="นิติศาสตร์",OR(L107="M2",L107="K4"),R107&gt;=2),EDATE(Q107,12*2),AND(AI107="K5-LAW",AH107="นิติศาสตร์",L107="S1",R107&gt;=1),EDATE(Q107,12),AND(AI107="K5-LAW",AH107="นิติศาสตร์",OR(L107="S2",L107="K5")),Q107,AND(AI107="K5-POLICY",AH107&lt;&gt;"นิติศาสตร์",L107="S2",U107="",AA107=""),Q107,AND(AI107="K5-POLICY",AH107&lt;&gt;"นิติศาสตร์",L107="S1",U107="",AA107=""),EDATE(Q107,12),AND(AI107="K5-POLICY",AH107&lt;&gt;"นิติศาสตร์",OR(L107="M2",L107="K4"),U107="",AA107=""),EDATE(Q107,12*2),AND(AI107="K5-POLICY",AH107&lt;&gt;"นิติศาสตร์",OR(AA107="M2",AA107="K4"),AD107&gt;=2,OR(AC107&lt;W107,AC107&lt;Q107)),EDATE(AC107,12*2),AND(AI107="K5-POLICY",AH107&lt;&gt;"นิติศาสตร์",AA107="S1",AD107&gt;=1,OR(AC107&lt;W107,AC107&lt;Q107)),EDATE(AC107,12),AND(AI107="K5-POLICY",AH107&lt;&gt;"นิติศาสตร์",OR(U107="M2",U107="K4"),X107&gt;=2,W107&lt;Q107),EDATE(W107,12*2),AND(AI107="K5-POLICY",AH107&lt;&gt;"นิติศาสตร์",U107="S1",X107&gt;=1,W107&lt;Q107),EDATE(W107,12),AND(AI107="K5-POLICY",AH107&lt;&gt;"นิติศาสตร์",OR(U107="S2",U107="K5")),W107,AND(AI107="K5-POLICY",AH107&lt;&gt;"นิติศาสตร์",OR(L107="M2",L107="K4"),R107&gt;=2),EDATE(Q107,12*2),AND(AI107="K5-POLICY",AH107&lt;&gt;"นิติศาสตร์",L107="S1",R107&gt;=1),EDATE(Q107,12),AND(AI107="K5-POLICY",AH107&lt;&gt;"นิติศาสตร์",OR(L107="S2",L107="K5")),Q107,TRUE,"Check Data")</f>
        <v/>
      </c>
      <c r="AK107" s="75" t="str">
        <f t="shared" si="39"/>
        <v>Check Data</v>
      </c>
      <c r="AL107" s="76" t="str">
        <f t="shared" si="26"/>
        <v>Check Data</v>
      </c>
      <c r="AM107" s="50" t="str">
        <f t="shared" si="40"/>
        <v>Check Data</v>
      </c>
      <c r="AN107" s="49" t="str">
        <f>IF(B107="","",IF(L107="S1","S1",INDEX(#REF!,#REF!)))</f>
        <v/>
      </c>
      <c r="AO107" s="49" t="str">
        <f t="shared" si="41"/>
        <v>M2</v>
      </c>
      <c r="AP107" s="50" t="b">
        <f>L107=AN107</f>
        <v>0</v>
      </c>
      <c r="AQ107" s="50"/>
    </row>
    <row r="108" spans="1:43" ht="21.75">
      <c r="A108" s="49">
        <v>106</v>
      </c>
      <c r="B108" s="50"/>
      <c r="C108" s="50"/>
      <c r="D108" s="50" t="s">
        <v>143</v>
      </c>
      <c r="E108" s="50" t="e">
        <f>INDEX(#REF!,#REF!)</f>
        <v>#REF!</v>
      </c>
      <c r="F108" s="49" t="s">
        <v>342</v>
      </c>
      <c r="G108" s="49" t="str">
        <f t="shared" si="37"/>
        <v>11/07/1996</v>
      </c>
      <c r="H108" s="50">
        <f t="shared" si="23"/>
        <v>28</v>
      </c>
      <c r="I108" s="50">
        <f t="shared" si="24"/>
        <v>11</v>
      </c>
      <c r="J108" s="50">
        <f t="shared" si="25"/>
        <v>9</v>
      </c>
      <c r="K108" s="59"/>
      <c r="L108" s="49" t="s">
        <v>136</v>
      </c>
      <c r="M108" s="64"/>
      <c r="N108" s="49" t="s">
        <v>427</v>
      </c>
      <c r="O108" s="49">
        <v>2576</v>
      </c>
      <c r="P108" s="65" t="s">
        <v>291</v>
      </c>
      <c r="Q108" s="49" t="str">
        <f t="shared" si="38"/>
        <v>01/11/2021</v>
      </c>
      <c r="R108" s="68">
        <f>IF(Q108="",0,DATEDIF(Q108,$C$1,"Y"))</f>
        <v>3</v>
      </c>
      <c r="S108" s="68">
        <f>IF(Q108="",0,DATEDIF(Q108,$C$1,"YM"))</f>
        <v>7</v>
      </c>
      <c r="T108" s="68">
        <f>IF(Q108="",0,DATEDIF(Q108,$C$1,"MD"))</f>
        <v>19</v>
      </c>
      <c r="U108" s="65"/>
      <c r="V108" s="65"/>
      <c r="W108" s="49" t="str">
        <f t="shared" ref="W108:W139" si="42">IF(V108="","",TEXT(EDATE(V108,-543*12),"dd/mm/yyyy"))</f>
        <v/>
      </c>
      <c r="X108" s="68">
        <f>IF(W108="",0,DATEDIF(W108,Q108,"Y"))</f>
        <v>0</v>
      </c>
      <c r="Y108" s="68">
        <f>IF(W108="",0,DATEDIF(W108,Q108,"YM"))</f>
        <v>0</v>
      </c>
      <c r="Z108" s="68">
        <f>IF(W108="",0,DATEDIF(W108,Q108,"MD"))</f>
        <v>0</v>
      </c>
      <c r="AA108" s="49"/>
      <c r="AB108" s="65"/>
      <c r="AC108" s="50" t="str">
        <f t="shared" ref="AC108:AC139" si="43">IF(AB108="","",TEXT(EDATE(AB108,-543*12),"dd/mm/yyyy"))</f>
        <v/>
      </c>
      <c r="AD108" s="68">
        <f t="shared" ref="AD108:AD139" si="44">IF(AC108="",0,DATEDIF(AC108,W108,"Y"))</f>
        <v>0</v>
      </c>
      <c r="AE108" s="68">
        <f t="shared" ref="AE108:AE139" si="45">IF(AC108="",0,DATEDIF(AC108,W108,"YM"))</f>
        <v>0</v>
      </c>
      <c r="AF108" s="68">
        <f t="shared" ref="AF108:AF139" si="46">IF(AC108="",0,DATEDIF(AC108,W108,"MD"))</f>
        <v>0</v>
      </c>
      <c r="AG108" s="50"/>
      <c r="AH108" s="108" t="s">
        <v>518</v>
      </c>
      <c r="AI108" s="49" t="str">
        <f>IF(AH108="นิติศาสตร์","K5-LAW","K5-POLICY")</f>
        <v>K5-POLICY</v>
      </c>
      <c r="AJ108" s="72" t="str">
        <f>_xlfn.IFS(B108="","",AND(AI108="K5-LAW",AH108="นิติศาสตร์",L108="S2",U108="",AA108=""),Q108,AND(AI108="K5-LAW",AH108="นิติศาสตร์",L108="S1",U108="",AA108=""),EDATE(Q108,12),AND(AI108="K5-LAW",AH108="นิติศาสตร์",OR(L108="M2",L108="K4"),U108="",AA108=""),EDATE(Q108,12*2),AND(AI108="K5-LAW",AH108="นิติศาสตร์",OR(AA108="M2",AA108="K4"),AD108&gt;=2,OR(AC108&lt;W108,AC108&lt;Q108)),EDATE(AC108,12*2),AND(AI108="K5-LAW",AH108="นิติศาสตร์",AA108="S1",AD108&gt;=1,OR(AC108&lt;W108,AC108&lt;Q108)),EDATE(AC108,12),AND(AI108="K5-LAW",AH108="นิติศาสตร์",OR(U108="M2",U108="K4"),X108&gt;=2,W108&lt;Q108),EDATE(W108,12*2),AND(AI108="K5-LAW",AH108="นิติศาสตร์",U108="S1",X108&gt;=1,W108&lt;Q108),EDATE(W108,12),AND(AI108="K5-LAW",AH108="นิติศาสตร์",OR(U108="S2",U108="K5")),W108,AND(AI108="K5-LAW",AH108="นิติศาสตร์",OR(L108="M2",L108="K4"),R108&gt;=2),EDATE(Q108,12*2),AND(AI108="K5-LAW",AH108="นิติศาสตร์",L108="S1",R108&gt;=1),EDATE(Q108,12),AND(AI108="K5-LAW",AH108="นิติศาสตร์",OR(L108="S2",L108="K5")),Q108,AND(AI108="K5-POLICY",AH108&lt;&gt;"นิติศาสตร์",L108="S2",U108="",AA108=""),Q108,AND(AI108="K5-POLICY",AH108&lt;&gt;"นิติศาสตร์",L108="S1",U108="",AA108=""),EDATE(Q108,12),AND(AI108="K5-POLICY",AH108&lt;&gt;"นิติศาสตร์",OR(L108="M2",L108="K4"),U108="",AA108=""),EDATE(Q108,12*2),AND(AI108="K5-POLICY",AH108&lt;&gt;"นิติศาสตร์",OR(AA108="M2",AA108="K4"),AD108&gt;=2,OR(AC108&lt;W108,AC108&lt;Q108)),EDATE(AC108,12*2),AND(AI108="K5-POLICY",AH108&lt;&gt;"นิติศาสตร์",AA108="S1",AD108&gt;=1,OR(AC108&lt;W108,AC108&lt;Q108)),EDATE(AC108,12),AND(AI108="K5-POLICY",AH108&lt;&gt;"นิติศาสตร์",OR(U108="M2",U108="K4"),X108&gt;=2,W108&lt;Q108),EDATE(W108,12*2),AND(AI108="K5-POLICY",AH108&lt;&gt;"นิติศาสตร์",U108="S1",X108&gt;=1,W108&lt;Q108),EDATE(W108,12),AND(AI108="K5-POLICY",AH108&lt;&gt;"นิติศาสตร์",OR(U108="S2",U108="K5")),W108,AND(AI108="K5-POLICY",AH108&lt;&gt;"นิติศาสตร์",OR(L108="M2",L108="K4"),R108&gt;=2),EDATE(Q108,12*2),AND(AI108="K5-POLICY",AH108&lt;&gt;"นิติศาสตร์",L108="S1",R108&gt;=1),EDATE(Q108,12),AND(AI108="K5-POLICY",AH108&lt;&gt;"นิติศาสตร์",OR(L108="S2",L108="K5")),Q108,TRUE,"Check Data")</f>
        <v/>
      </c>
      <c r="AK108" s="75" t="str">
        <f t="shared" si="39"/>
        <v>Check Data</v>
      </c>
      <c r="AL108" s="76" t="str">
        <f t="shared" si="26"/>
        <v>Check Data</v>
      </c>
      <c r="AM108" s="50" t="str">
        <f t="shared" si="40"/>
        <v>Check Data</v>
      </c>
      <c r="AN108" s="49" t="str">
        <f>IF(B108="","",IF(L108="S1","S1",INDEX(#REF!,#REF!)))</f>
        <v/>
      </c>
      <c r="AO108" s="49" t="str">
        <f t="shared" si="41"/>
        <v>M2</v>
      </c>
      <c r="AP108" s="50" t="b">
        <f>L108=AN108</f>
        <v>0</v>
      </c>
      <c r="AQ108" s="50"/>
    </row>
    <row r="109" spans="1:43" ht="21.75">
      <c r="A109" s="49">
        <v>107</v>
      </c>
      <c r="B109" s="50"/>
      <c r="C109" s="50"/>
      <c r="D109" s="50" t="s">
        <v>143</v>
      </c>
      <c r="E109" s="50" t="e">
        <f>INDEX(#REF!,#REF!)</f>
        <v>#REF!</v>
      </c>
      <c r="F109" s="49" t="s">
        <v>164</v>
      </c>
      <c r="G109" s="49" t="str">
        <f t="shared" si="37"/>
        <v>01/05/1990</v>
      </c>
      <c r="H109" s="50">
        <f t="shared" si="23"/>
        <v>35</v>
      </c>
      <c r="I109" s="50">
        <f t="shared" si="24"/>
        <v>1</v>
      </c>
      <c r="J109" s="50">
        <f t="shared" si="25"/>
        <v>19</v>
      </c>
      <c r="K109" s="59"/>
      <c r="L109" s="49" t="s">
        <v>136</v>
      </c>
      <c r="M109" s="64"/>
      <c r="N109" s="49" t="s">
        <v>427</v>
      </c>
      <c r="O109" s="49">
        <v>2575</v>
      </c>
      <c r="P109" s="65" t="s">
        <v>291</v>
      </c>
      <c r="Q109" s="49" t="str">
        <f t="shared" si="38"/>
        <v>01/11/2021</v>
      </c>
      <c r="R109" s="68">
        <f>IF(Q109="",0,DATEDIF(Q109,$C$1,"Y"))</f>
        <v>3</v>
      </c>
      <c r="S109" s="68">
        <f>IF(Q109="",0,DATEDIF(Q109,$C$1,"YM"))</f>
        <v>7</v>
      </c>
      <c r="T109" s="68">
        <f>IF(Q109="",0,DATEDIF(Q109,$C$1,"MD"))</f>
        <v>19</v>
      </c>
      <c r="U109" s="65"/>
      <c r="V109" s="65"/>
      <c r="W109" s="49" t="str">
        <f t="shared" si="42"/>
        <v/>
      </c>
      <c r="X109" s="68">
        <f>IF(W109="",0,DATEDIF(W109,Q109,"Y"))</f>
        <v>0</v>
      </c>
      <c r="Y109" s="68">
        <f>IF(W109="",0,DATEDIF(W109,Q109,"YM"))</f>
        <v>0</v>
      </c>
      <c r="Z109" s="68">
        <f>IF(W109="",0,DATEDIF(W109,Q109,"MD"))</f>
        <v>0</v>
      </c>
      <c r="AA109" s="49"/>
      <c r="AB109" s="65"/>
      <c r="AC109" s="50" t="str">
        <f t="shared" si="43"/>
        <v/>
      </c>
      <c r="AD109" s="68">
        <f t="shared" si="44"/>
        <v>0</v>
      </c>
      <c r="AE109" s="68">
        <f t="shared" si="45"/>
        <v>0</v>
      </c>
      <c r="AF109" s="68">
        <f t="shared" si="46"/>
        <v>0</v>
      </c>
      <c r="AG109" s="50"/>
      <c r="AH109" s="108" t="s">
        <v>163</v>
      </c>
      <c r="AI109" s="49" t="str">
        <f>IF(AH109="นิติศาสตร์","K5-LAW","K5-POLICY")</f>
        <v>K5-POLICY</v>
      </c>
      <c r="AJ109" s="72" t="str">
        <f>_xlfn.IFS(B109="","",AND(AI109="K5-LAW",AH109="นิติศาสตร์",L109="S2",U109="",AA109=""),Q109,AND(AI109="K5-LAW",AH109="นิติศาสตร์",L109="S1",U109="",AA109=""),EDATE(Q109,12),AND(AI109="K5-LAW",AH109="นิติศาสตร์",OR(L109="M2",L109="K4"),U109="",AA109=""),EDATE(Q109,12*2),AND(AI109="K5-LAW",AH109="นิติศาสตร์",OR(AA109="M2",AA109="K4"),AD109&gt;=2,OR(AC109&lt;W109,AC109&lt;Q109)),EDATE(AC109,12*2),AND(AI109="K5-LAW",AH109="นิติศาสตร์",AA109="S1",AD109&gt;=1,OR(AC109&lt;W109,AC109&lt;Q109)),EDATE(AC109,12),AND(AI109="K5-LAW",AH109="นิติศาสตร์",OR(U109="M2",U109="K4"),X109&gt;=2,W109&lt;Q109),EDATE(W109,12*2),AND(AI109="K5-LAW",AH109="นิติศาสตร์",U109="S1",X109&gt;=1,W109&lt;Q109),EDATE(W109,12),AND(AI109="K5-LAW",AH109="นิติศาสตร์",OR(U109="S2",U109="K5")),W109,AND(AI109="K5-LAW",AH109="นิติศาสตร์",OR(L109="M2",L109="K4"),R109&gt;=2),EDATE(Q109,12*2),AND(AI109="K5-LAW",AH109="นิติศาสตร์",L109="S1",R109&gt;=1),EDATE(Q109,12),AND(AI109="K5-LAW",AH109="นิติศาสตร์",OR(L109="S2",L109="K5")),Q109,AND(AI109="K5-POLICY",AH109&lt;&gt;"นิติศาสตร์",L109="S2",U109="",AA109=""),Q109,AND(AI109="K5-POLICY",AH109&lt;&gt;"นิติศาสตร์",L109="S1",U109="",AA109=""),EDATE(Q109,12),AND(AI109="K5-POLICY",AH109&lt;&gt;"นิติศาสตร์",OR(L109="M2",L109="K4"),U109="",AA109=""),EDATE(Q109,12*2),AND(AI109="K5-POLICY",AH109&lt;&gt;"นิติศาสตร์",OR(AA109="M2",AA109="K4"),AD109&gt;=2,OR(AC109&lt;W109,AC109&lt;Q109)),EDATE(AC109,12*2),AND(AI109="K5-POLICY",AH109&lt;&gt;"นิติศาสตร์",AA109="S1",AD109&gt;=1,OR(AC109&lt;W109,AC109&lt;Q109)),EDATE(AC109,12),AND(AI109="K5-POLICY",AH109&lt;&gt;"นิติศาสตร์",OR(U109="M2",U109="K4"),X109&gt;=2,W109&lt;Q109),EDATE(W109,12*2),AND(AI109="K5-POLICY",AH109&lt;&gt;"นิติศาสตร์",U109="S1",X109&gt;=1,W109&lt;Q109),EDATE(W109,12),AND(AI109="K5-POLICY",AH109&lt;&gt;"นิติศาสตร์",OR(U109="S2",U109="K5")),W109,AND(AI109="K5-POLICY",AH109&lt;&gt;"นิติศาสตร์",OR(L109="M2",L109="K4"),R109&gt;=2),EDATE(Q109,12*2),AND(AI109="K5-POLICY",AH109&lt;&gt;"นิติศาสตร์",L109="S1",R109&gt;=1),EDATE(Q109,12),AND(AI109="K5-POLICY",AH109&lt;&gt;"นิติศาสตร์",OR(L109="S2",L109="K5")),Q109,TRUE,"Check Data")</f>
        <v/>
      </c>
      <c r="AK109" s="75" t="str">
        <f t="shared" si="39"/>
        <v>Check Data</v>
      </c>
      <c r="AL109" s="76" t="str">
        <f t="shared" si="26"/>
        <v>Check Data</v>
      </c>
      <c r="AM109" s="50" t="str">
        <f t="shared" si="40"/>
        <v>Check Data</v>
      </c>
      <c r="AN109" s="49" t="str">
        <f>IF(B109="","",IF(L109="S1","S1",INDEX(#REF!,#REF!)))</f>
        <v/>
      </c>
      <c r="AO109" s="49" t="str">
        <f t="shared" si="41"/>
        <v>M2</v>
      </c>
      <c r="AP109" s="50" t="b">
        <f>L109=AN109</f>
        <v>0</v>
      </c>
      <c r="AQ109" s="50"/>
    </row>
    <row r="110" spans="1:43" ht="21.75">
      <c r="A110" s="49">
        <v>108</v>
      </c>
      <c r="B110" s="50"/>
      <c r="C110" s="50"/>
      <c r="D110" s="50" t="s">
        <v>143</v>
      </c>
      <c r="E110" s="50" t="e">
        <f>INDEX(#REF!,#REF!)</f>
        <v>#REF!</v>
      </c>
      <c r="F110" s="49" t="s">
        <v>299</v>
      </c>
      <c r="G110" s="49" t="str">
        <f t="shared" si="37"/>
        <v>01/09/2000</v>
      </c>
      <c r="H110" s="50">
        <f t="shared" si="23"/>
        <v>24</v>
      </c>
      <c r="I110" s="50">
        <f t="shared" si="24"/>
        <v>9</v>
      </c>
      <c r="J110" s="50">
        <f t="shared" si="25"/>
        <v>19</v>
      </c>
      <c r="K110" s="59"/>
      <c r="L110" s="49" t="s">
        <v>136</v>
      </c>
      <c r="M110" s="64"/>
      <c r="N110" s="49" t="s">
        <v>427</v>
      </c>
      <c r="O110" s="49">
        <v>2575</v>
      </c>
      <c r="P110" s="65" t="s">
        <v>291</v>
      </c>
      <c r="Q110" s="49" t="str">
        <f t="shared" si="38"/>
        <v>01/11/2021</v>
      </c>
      <c r="R110" s="68">
        <f>IF(Q110="",0,DATEDIF(Q110,$C$1,"Y"))</f>
        <v>3</v>
      </c>
      <c r="S110" s="68">
        <f>IF(Q110="",0,DATEDIF(Q110,$C$1,"YM"))</f>
        <v>7</v>
      </c>
      <c r="T110" s="68">
        <f>IF(Q110="",0,DATEDIF(Q110,$C$1,"MD"))</f>
        <v>19</v>
      </c>
      <c r="U110" s="65"/>
      <c r="V110" s="65"/>
      <c r="W110" s="49" t="str">
        <f t="shared" si="42"/>
        <v/>
      </c>
      <c r="X110" s="68">
        <f>IF(W110="",0,DATEDIF(W110,Q110,"Y"))</f>
        <v>0</v>
      </c>
      <c r="Y110" s="68">
        <f>IF(W110="",0,DATEDIF(W110,Q110,"YM"))</f>
        <v>0</v>
      </c>
      <c r="Z110" s="68">
        <f>IF(W110="",0,DATEDIF(W110,Q110,"MD"))</f>
        <v>0</v>
      </c>
      <c r="AA110" s="49"/>
      <c r="AB110" s="65"/>
      <c r="AC110" s="50" t="str">
        <f t="shared" si="43"/>
        <v/>
      </c>
      <c r="AD110" s="68">
        <f t="shared" si="44"/>
        <v>0</v>
      </c>
      <c r="AE110" s="68">
        <f t="shared" si="45"/>
        <v>0</v>
      </c>
      <c r="AF110" s="68">
        <f t="shared" si="46"/>
        <v>0</v>
      </c>
      <c r="AG110" s="50"/>
      <c r="AH110" s="108" t="s">
        <v>512</v>
      </c>
      <c r="AI110" s="49" t="str">
        <f>IF(AH110="นิติศาสตร์","K5-LAW","K5-POLICY")</f>
        <v>K5-POLICY</v>
      </c>
      <c r="AJ110" s="72" t="str">
        <f>_xlfn.IFS(B110="","",AND(AI110="K5-LAW",AH110="นิติศาสตร์",L110="S2",U110="",AA110=""),Q110,AND(AI110="K5-LAW",AH110="นิติศาสตร์",L110="S1",U110="",AA110=""),EDATE(Q110,12),AND(AI110="K5-LAW",AH110="นิติศาสตร์",OR(L110="M2",L110="K4"),U110="",AA110=""),EDATE(Q110,12*2),AND(AI110="K5-LAW",AH110="นิติศาสตร์",OR(AA110="M2",AA110="K4"),AD110&gt;=2,OR(AC110&lt;W110,AC110&lt;Q110)),EDATE(AC110,12*2),AND(AI110="K5-LAW",AH110="นิติศาสตร์",AA110="S1",AD110&gt;=1,OR(AC110&lt;W110,AC110&lt;Q110)),EDATE(AC110,12),AND(AI110="K5-LAW",AH110="นิติศาสตร์",OR(U110="M2",U110="K4"),X110&gt;=2,W110&lt;Q110),EDATE(W110,12*2),AND(AI110="K5-LAW",AH110="นิติศาสตร์",U110="S1",X110&gt;=1,W110&lt;Q110),EDATE(W110,12),AND(AI110="K5-LAW",AH110="นิติศาสตร์",OR(U110="S2",U110="K5")),W110,AND(AI110="K5-LAW",AH110="นิติศาสตร์",OR(L110="M2",L110="K4"),R110&gt;=2),EDATE(Q110,12*2),AND(AI110="K5-LAW",AH110="นิติศาสตร์",L110="S1",R110&gt;=1),EDATE(Q110,12),AND(AI110="K5-LAW",AH110="นิติศาสตร์",OR(L110="S2",L110="K5")),Q110,AND(AI110="K5-POLICY",AH110&lt;&gt;"นิติศาสตร์",L110="S2",U110="",AA110=""),Q110,AND(AI110="K5-POLICY",AH110&lt;&gt;"นิติศาสตร์",L110="S1",U110="",AA110=""),EDATE(Q110,12),AND(AI110="K5-POLICY",AH110&lt;&gt;"นิติศาสตร์",OR(L110="M2",L110="K4"),U110="",AA110=""),EDATE(Q110,12*2),AND(AI110="K5-POLICY",AH110&lt;&gt;"นิติศาสตร์",OR(AA110="M2",AA110="K4"),AD110&gt;=2,OR(AC110&lt;W110,AC110&lt;Q110)),EDATE(AC110,12*2),AND(AI110="K5-POLICY",AH110&lt;&gt;"นิติศาสตร์",AA110="S1",AD110&gt;=1,OR(AC110&lt;W110,AC110&lt;Q110)),EDATE(AC110,12),AND(AI110="K5-POLICY",AH110&lt;&gt;"นิติศาสตร์",OR(U110="M2",U110="K4"),X110&gt;=2,W110&lt;Q110),EDATE(W110,12*2),AND(AI110="K5-POLICY",AH110&lt;&gt;"นิติศาสตร์",U110="S1",X110&gt;=1,W110&lt;Q110),EDATE(W110,12),AND(AI110="K5-POLICY",AH110&lt;&gt;"นิติศาสตร์",OR(U110="S2",U110="K5")),W110,AND(AI110="K5-POLICY",AH110&lt;&gt;"นิติศาสตร์",OR(L110="M2",L110="K4"),R110&gt;=2),EDATE(Q110,12*2),AND(AI110="K5-POLICY",AH110&lt;&gt;"นิติศาสตร์",L110="S1",R110&gt;=1),EDATE(Q110,12),AND(AI110="K5-POLICY",AH110&lt;&gt;"นิติศาสตร์",OR(L110="S2",L110="K5")),Q110,TRUE,"Check Data")</f>
        <v/>
      </c>
      <c r="AK110" s="75" t="str">
        <f t="shared" si="39"/>
        <v>Check Data</v>
      </c>
      <c r="AL110" s="76" t="str">
        <f t="shared" si="26"/>
        <v>Check Data</v>
      </c>
      <c r="AM110" s="50" t="str">
        <f t="shared" si="40"/>
        <v>Check Data</v>
      </c>
      <c r="AN110" s="49" t="str">
        <f>IF(B110="","",IF(L110="S1","S1",INDEX(#REF!,#REF!)))</f>
        <v/>
      </c>
      <c r="AO110" s="49" t="str">
        <f t="shared" si="41"/>
        <v>M2</v>
      </c>
      <c r="AP110" s="50" t="b">
        <f>L110=AN110</f>
        <v>0</v>
      </c>
      <c r="AQ110" s="50"/>
    </row>
    <row r="111" spans="1:43" ht="21.75">
      <c r="A111" s="49">
        <v>109</v>
      </c>
      <c r="B111" s="50"/>
      <c r="C111" s="50"/>
      <c r="D111" s="50" t="s">
        <v>143</v>
      </c>
      <c r="E111" s="50" t="e">
        <f>INDEX(#REF!,#REF!)</f>
        <v>#REF!</v>
      </c>
      <c r="F111" s="49" t="s">
        <v>292</v>
      </c>
      <c r="G111" s="49" t="str">
        <f t="shared" si="37"/>
        <v>01/09/1998</v>
      </c>
      <c r="H111" s="50">
        <f t="shared" si="23"/>
        <v>26</v>
      </c>
      <c r="I111" s="50">
        <f t="shared" si="24"/>
        <v>9</v>
      </c>
      <c r="J111" s="50">
        <f t="shared" si="25"/>
        <v>19</v>
      </c>
      <c r="K111" s="59"/>
      <c r="L111" s="49" t="s">
        <v>136</v>
      </c>
      <c r="M111" s="64"/>
      <c r="N111" s="49" t="s">
        <v>427</v>
      </c>
      <c r="O111" s="49">
        <v>2578</v>
      </c>
      <c r="P111" s="65" t="s">
        <v>291</v>
      </c>
      <c r="Q111" s="49" t="str">
        <f t="shared" si="38"/>
        <v>01/11/2021</v>
      </c>
      <c r="R111" s="68">
        <f>IF(Q111="",0,DATEDIF(Q111,$C$1,"Y"))</f>
        <v>3</v>
      </c>
      <c r="S111" s="68">
        <f>IF(Q111="",0,DATEDIF(Q111,$C$1,"YM"))</f>
        <v>7</v>
      </c>
      <c r="T111" s="68">
        <f>IF(Q111="",0,DATEDIF(Q111,$C$1,"MD"))</f>
        <v>19</v>
      </c>
      <c r="U111" s="65"/>
      <c r="V111" s="65"/>
      <c r="W111" s="49" t="str">
        <f t="shared" si="42"/>
        <v/>
      </c>
      <c r="X111" s="68">
        <f>IF(W111="",0,DATEDIF(W111,Q111,"Y"))</f>
        <v>0</v>
      </c>
      <c r="Y111" s="68">
        <f>IF(W111="",0,DATEDIF(W111,Q111,"YM"))</f>
        <v>0</v>
      </c>
      <c r="Z111" s="68">
        <f>IF(W111="",0,DATEDIF(W111,Q111,"MD"))</f>
        <v>0</v>
      </c>
      <c r="AA111" s="49"/>
      <c r="AB111" s="65"/>
      <c r="AC111" s="50" t="str">
        <f t="shared" si="43"/>
        <v/>
      </c>
      <c r="AD111" s="68">
        <f t="shared" si="44"/>
        <v>0</v>
      </c>
      <c r="AE111" s="68">
        <f t="shared" si="45"/>
        <v>0</v>
      </c>
      <c r="AF111" s="68">
        <f t="shared" si="46"/>
        <v>0</v>
      </c>
      <c r="AG111" s="50"/>
      <c r="AH111" s="108" t="s">
        <v>516</v>
      </c>
      <c r="AI111" s="49" t="str">
        <f>IF(AH111="นิติศาสตร์","K5-LAW","K5-POLICY")</f>
        <v>K5-POLICY</v>
      </c>
      <c r="AJ111" s="72" t="str">
        <f>_xlfn.IFS(B111="","",AND(AI111="K5-LAW",AH111="นิติศาสตร์",L111="S2",U111="",AA111=""),Q111,AND(AI111="K5-LAW",AH111="นิติศาสตร์",L111="S1",U111="",AA111=""),EDATE(Q111,12),AND(AI111="K5-LAW",AH111="นิติศาสตร์",OR(L111="M2",L111="K4"),U111="",AA111=""),EDATE(Q111,12*2),AND(AI111="K5-LAW",AH111="นิติศาสตร์",OR(AA111="M2",AA111="K4"),AD111&gt;=2,OR(AC111&lt;W111,AC111&lt;Q111)),EDATE(AC111,12*2),AND(AI111="K5-LAW",AH111="นิติศาสตร์",AA111="S1",AD111&gt;=1,OR(AC111&lt;W111,AC111&lt;Q111)),EDATE(AC111,12),AND(AI111="K5-LAW",AH111="นิติศาสตร์",OR(U111="M2",U111="K4"),X111&gt;=2,W111&lt;Q111),EDATE(W111,12*2),AND(AI111="K5-LAW",AH111="นิติศาสตร์",U111="S1",X111&gt;=1,W111&lt;Q111),EDATE(W111,12),AND(AI111="K5-LAW",AH111="นิติศาสตร์",OR(U111="S2",U111="K5")),W111,AND(AI111="K5-LAW",AH111="นิติศาสตร์",OR(L111="M2",L111="K4"),R111&gt;=2),EDATE(Q111,12*2),AND(AI111="K5-LAW",AH111="นิติศาสตร์",L111="S1",R111&gt;=1),EDATE(Q111,12),AND(AI111="K5-LAW",AH111="นิติศาสตร์",OR(L111="S2",L111="K5")),Q111,AND(AI111="K5-POLICY",AH111&lt;&gt;"นิติศาสตร์",L111="S2",U111="",AA111=""),Q111,AND(AI111="K5-POLICY",AH111&lt;&gt;"นิติศาสตร์",L111="S1",U111="",AA111=""),EDATE(Q111,12),AND(AI111="K5-POLICY",AH111&lt;&gt;"นิติศาสตร์",OR(L111="M2",L111="K4"),U111="",AA111=""),EDATE(Q111,12*2),AND(AI111="K5-POLICY",AH111&lt;&gt;"นิติศาสตร์",OR(AA111="M2",AA111="K4"),AD111&gt;=2,OR(AC111&lt;W111,AC111&lt;Q111)),EDATE(AC111,12*2),AND(AI111="K5-POLICY",AH111&lt;&gt;"นิติศาสตร์",AA111="S1",AD111&gt;=1,OR(AC111&lt;W111,AC111&lt;Q111)),EDATE(AC111,12),AND(AI111="K5-POLICY",AH111&lt;&gt;"นิติศาสตร์",OR(U111="M2",U111="K4"),X111&gt;=2,W111&lt;Q111),EDATE(W111,12*2),AND(AI111="K5-POLICY",AH111&lt;&gt;"นิติศาสตร์",U111="S1",X111&gt;=1,W111&lt;Q111),EDATE(W111,12),AND(AI111="K5-POLICY",AH111&lt;&gt;"นิติศาสตร์",OR(U111="S2",U111="K5")),W111,AND(AI111="K5-POLICY",AH111&lt;&gt;"นิติศาสตร์",OR(L111="M2",L111="K4"),R111&gt;=2),EDATE(Q111,12*2),AND(AI111="K5-POLICY",AH111&lt;&gt;"นิติศาสตร์",L111="S1",R111&gt;=1),EDATE(Q111,12),AND(AI111="K5-POLICY",AH111&lt;&gt;"นิติศาสตร์",OR(L111="S2",L111="K5")),Q111,TRUE,"Check Data")</f>
        <v/>
      </c>
      <c r="AK111" s="75" t="str">
        <f t="shared" si="39"/>
        <v>Check Data</v>
      </c>
      <c r="AL111" s="76" t="str">
        <f t="shared" si="26"/>
        <v>Check Data</v>
      </c>
      <c r="AM111" s="50" t="str">
        <f t="shared" si="40"/>
        <v>Check Data</v>
      </c>
      <c r="AN111" s="49" t="str">
        <f>IF(B111="","",IF(L111="S1","S1",INDEX(#REF!,#REF!)))</f>
        <v/>
      </c>
      <c r="AO111" s="49" t="str">
        <f t="shared" si="41"/>
        <v>M2</v>
      </c>
      <c r="AP111" s="50" t="b">
        <f>L111=AN111</f>
        <v>0</v>
      </c>
      <c r="AQ111" s="50"/>
    </row>
    <row r="112" spans="1:43" ht="21.75">
      <c r="A112" s="49">
        <v>110</v>
      </c>
      <c r="B112" s="50"/>
      <c r="C112" s="50"/>
      <c r="D112" s="50" t="s">
        <v>143</v>
      </c>
      <c r="E112" s="50" t="e">
        <f>INDEX(#REF!,#REF!)</f>
        <v>#REF!</v>
      </c>
      <c r="F112" s="49" t="s">
        <v>330</v>
      </c>
      <c r="G112" s="49" t="str">
        <f t="shared" si="37"/>
        <v>15/06/1988</v>
      </c>
      <c r="H112" s="50">
        <f t="shared" si="23"/>
        <v>37</v>
      </c>
      <c r="I112" s="50">
        <f t="shared" si="24"/>
        <v>0</v>
      </c>
      <c r="J112" s="50">
        <f t="shared" si="25"/>
        <v>5</v>
      </c>
      <c r="K112" s="59"/>
      <c r="L112" s="49" t="s">
        <v>136</v>
      </c>
      <c r="M112" s="64"/>
      <c r="N112" s="49" t="s">
        <v>427</v>
      </c>
      <c r="O112" s="49">
        <v>2571</v>
      </c>
      <c r="P112" s="65" t="s">
        <v>291</v>
      </c>
      <c r="Q112" s="49" t="str">
        <f t="shared" si="38"/>
        <v>01/11/2021</v>
      </c>
      <c r="R112" s="68">
        <f>IF(Q112="",0,DATEDIF(Q112,$C$1,"Y"))</f>
        <v>3</v>
      </c>
      <c r="S112" s="68">
        <f>IF(Q112="",0,DATEDIF(Q112,$C$1,"YM"))</f>
        <v>7</v>
      </c>
      <c r="T112" s="68">
        <f>IF(Q112="",0,DATEDIF(Q112,$C$1,"MD"))</f>
        <v>19</v>
      </c>
      <c r="U112" s="65"/>
      <c r="V112" s="65"/>
      <c r="W112" s="49" t="str">
        <f t="shared" si="42"/>
        <v/>
      </c>
      <c r="X112" s="68">
        <f>IF(W112="",0,DATEDIF(W112,Q112,"Y"))</f>
        <v>0</v>
      </c>
      <c r="Y112" s="68">
        <f>IF(W112="",0,DATEDIF(W112,Q112,"YM"))</f>
        <v>0</v>
      </c>
      <c r="Z112" s="68">
        <f>IF(W112="",0,DATEDIF(W112,Q112,"MD"))</f>
        <v>0</v>
      </c>
      <c r="AA112" s="49"/>
      <c r="AB112" s="65"/>
      <c r="AC112" s="50" t="str">
        <f t="shared" si="43"/>
        <v/>
      </c>
      <c r="AD112" s="68">
        <f t="shared" si="44"/>
        <v>0</v>
      </c>
      <c r="AE112" s="68">
        <f t="shared" si="45"/>
        <v>0</v>
      </c>
      <c r="AF112" s="68">
        <f t="shared" si="46"/>
        <v>0</v>
      </c>
      <c r="AG112" s="50"/>
      <c r="AH112" s="108" t="s">
        <v>138</v>
      </c>
      <c r="AI112" s="49" t="str">
        <f>IF(AH112="นิติศาสตร์","K5-LAW","K5-POLICY")</f>
        <v>K5-LAW</v>
      </c>
      <c r="AJ112" s="72" t="str">
        <f>_xlfn.IFS(B112="","",AND(AI112="K5-LAW",AH112="นิติศาสตร์",L112="S2",U112="",AA112=""),Q112,AND(AI112="K5-LAW",AH112="นิติศาสตร์",L112="S1",U112="",AA112=""),EDATE(Q112,12),AND(AI112="K5-LAW",AH112="นิติศาสตร์",OR(L112="M2",L112="K4"),U112="",AA112=""),EDATE(Q112,12*2),AND(AI112="K5-LAW",AH112="นิติศาสตร์",OR(AA112="M2",AA112="K4"),AD112&gt;=2,OR(AC112&lt;W112,AC112&lt;Q112)),EDATE(AC112,12*2),AND(AI112="K5-LAW",AH112="นิติศาสตร์",AA112="S1",AD112&gt;=1,OR(AC112&lt;W112,AC112&lt;Q112)),EDATE(AC112,12),AND(AI112="K5-LAW",AH112="นิติศาสตร์",OR(U112="M2",U112="K4"),X112&gt;=2,W112&lt;Q112),EDATE(W112,12*2),AND(AI112="K5-LAW",AH112="นิติศาสตร์",U112="S1",X112&gt;=1,W112&lt;Q112),EDATE(W112,12),AND(AI112="K5-LAW",AH112="นิติศาสตร์",OR(U112="S2",U112="K5")),W112,AND(AI112="K5-LAW",AH112="นิติศาสตร์",OR(L112="M2",L112="K4"),R112&gt;=2),EDATE(Q112,12*2),AND(AI112="K5-LAW",AH112="นิติศาสตร์",L112="S1",R112&gt;=1),EDATE(Q112,12),AND(AI112="K5-LAW",AH112="นิติศาสตร์",OR(L112="S2",L112="K5")),Q112,AND(AI112="K5-POLICY",AH112&lt;&gt;"นิติศาสตร์",L112="S2",U112="",AA112=""),Q112,AND(AI112="K5-POLICY",AH112&lt;&gt;"นิติศาสตร์",L112="S1",U112="",AA112=""),EDATE(Q112,12),AND(AI112="K5-POLICY",AH112&lt;&gt;"นิติศาสตร์",OR(L112="M2",L112="K4"),U112="",AA112=""),EDATE(Q112,12*2),AND(AI112="K5-POLICY",AH112&lt;&gt;"นิติศาสตร์",OR(AA112="M2",AA112="K4"),AD112&gt;=2,OR(AC112&lt;W112,AC112&lt;Q112)),EDATE(AC112,12*2),AND(AI112="K5-POLICY",AH112&lt;&gt;"นิติศาสตร์",AA112="S1",AD112&gt;=1,OR(AC112&lt;W112,AC112&lt;Q112)),EDATE(AC112,12),AND(AI112="K5-POLICY",AH112&lt;&gt;"นิติศาสตร์",OR(U112="M2",U112="K4"),X112&gt;=2,W112&lt;Q112),EDATE(W112,12*2),AND(AI112="K5-POLICY",AH112&lt;&gt;"นิติศาสตร์",U112="S1",X112&gt;=1,W112&lt;Q112),EDATE(W112,12),AND(AI112="K5-POLICY",AH112&lt;&gt;"นิติศาสตร์",OR(U112="S2",U112="K5")),W112,AND(AI112="K5-POLICY",AH112&lt;&gt;"นิติศาสตร์",OR(L112="M2",L112="K4"),R112&gt;=2),EDATE(Q112,12*2),AND(AI112="K5-POLICY",AH112&lt;&gt;"นิติศาสตร์",L112="S1",R112&gt;=1),EDATE(Q112,12),AND(AI112="K5-POLICY",AH112&lt;&gt;"นิติศาสตร์",OR(L112="S2",L112="K5")),Q112,TRUE,"Check Data")</f>
        <v/>
      </c>
      <c r="AK112" s="75" t="str">
        <f t="shared" si="39"/>
        <v>Check Data</v>
      </c>
      <c r="AL112" s="76" t="str">
        <f t="shared" si="26"/>
        <v>Check Data</v>
      </c>
      <c r="AM112" s="50" t="str">
        <f t="shared" si="40"/>
        <v>Check Data</v>
      </c>
      <c r="AN112" s="49" t="str">
        <f>IF(B112="","",IF(L112="S1","S1",INDEX(#REF!,#REF!)))</f>
        <v/>
      </c>
      <c r="AO112" s="49" t="str">
        <f t="shared" si="41"/>
        <v>M2</v>
      </c>
      <c r="AP112" s="50" t="b">
        <f>L112=AN112</f>
        <v>0</v>
      </c>
      <c r="AQ112" s="50"/>
    </row>
    <row r="113" spans="1:43" ht="21.75">
      <c r="A113" s="49">
        <v>111</v>
      </c>
      <c r="B113" s="50"/>
      <c r="C113" s="50"/>
      <c r="D113" s="50" t="s">
        <v>143</v>
      </c>
      <c r="E113" s="50" t="e">
        <f>INDEX(#REF!,#REF!)</f>
        <v>#REF!</v>
      </c>
      <c r="F113" s="49" t="s">
        <v>351</v>
      </c>
      <c r="G113" s="49" t="str">
        <f t="shared" si="37"/>
        <v>15/01/1998</v>
      </c>
      <c r="H113" s="50">
        <f t="shared" si="23"/>
        <v>27</v>
      </c>
      <c r="I113" s="50">
        <f t="shared" si="24"/>
        <v>5</v>
      </c>
      <c r="J113" s="50">
        <f t="shared" si="25"/>
        <v>5</v>
      </c>
      <c r="K113" s="59"/>
      <c r="L113" s="49" t="s">
        <v>136</v>
      </c>
      <c r="M113" s="64"/>
      <c r="N113" s="49" t="s">
        <v>427</v>
      </c>
      <c r="O113" s="49">
        <v>2576</v>
      </c>
      <c r="P113" s="65" t="s">
        <v>291</v>
      </c>
      <c r="Q113" s="49" t="str">
        <f t="shared" si="38"/>
        <v>01/11/2021</v>
      </c>
      <c r="R113" s="68">
        <f>IF(Q113="",0,DATEDIF(Q113,$C$1,"Y"))</f>
        <v>3</v>
      </c>
      <c r="S113" s="68">
        <f>IF(Q113="",0,DATEDIF(Q113,$C$1,"YM"))</f>
        <v>7</v>
      </c>
      <c r="T113" s="68">
        <f>IF(Q113="",0,DATEDIF(Q113,$C$1,"MD"))</f>
        <v>19</v>
      </c>
      <c r="U113" s="65"/>
      <c r="V113" s="65"/>
      <c r="W113" s="49" t="str">
        <f t="shared" si="42"/>
        <v/>
      </c>
      <c r="X113" s="68">
        <f>IF(W113="",0,DATEDIF(W113,Q113,"Y"))</f>
        <v>0</v>
      </c>
      <c r="Y113" s="68">
        <f>IF(W113="",0,DATEDIF(W113,Q113,"YM"))</f>
        <v>0</v>
      </c>
      <c r="Z113" s="68">
        <f>IF(W113="",0,DATEDIF(W113,Q113,"MD"))</f>
        <v>0</v>
      </c>
      <c r="AA113" s="49"/>
      <c r="AB113" s="65"/>
      <c r="AC113" s="50" t="str">
        <f t="shared" si="43"/>
        <v/>
      </c>
      <c r="AD113" s="68">
        <f t="shared" si="44"/>
        <v>0</v>
      </c>
      <c r="AE113" s="68">
        <f t="shared" si="45"/>
        <v>0</v>
      </c>
      <c r="AF113" s="68">
        <f t="shared" si="46"/>
        <v>0</v>
      </c>
      <c r="AG113" s="50"/>
      <c r="AH113" s="108" t="s">
        <v>482</v>
      </c>
      <c r="AI113" s="49" t="str">
        <f>IF(AH113="นิติศาสตร์","K5-LAW","K5-POLICY")</f>
        <v>K5-POLICY</v>
      </c>
      <c r="AJ113" s="72" t="str">
        <f>_xlfn.IFS(B113="","",AND(AI113="K5-LAW",AH113="นิติศาสตร์",L113="S2",U113="",AA113=""),Q113,AND(AI113="K5-LAW",AH113="นิติศาสตร์",L113="S1",U113="",AA113=""),EDATE(Q113,12),AND(AI113="K5-LAW",AH113="นิติศาสตร์",OR(L113="M2",L113="K4"),U113="",AA113=""),EDATE(Q113,12*2),AND(AI113="K5-LAW",AH113="นิติศาสตร์",OR(AA113="M2",AA113="K4"),AD113&gt;=2,OR(AC113&lt;W113,AC113&lt;Q113)),EDATE(AC113,12*2),AND(AI113="K5-LAW",AH113="นิติศาสตร์",AA113="S1",AD113&gt;=1,OR(AC113&lt;W113,AC113&lt;Q113)),EDATE(AC113,12),AND(AI113="K5-LAW",AH113="นิติศาสตร์",OR(U113="M2",U113="K4"),X113&gt;=2,W113&lt;Q113),EDATE(W113,12*2),AND(AI113="K5-LAW",AH113="นิติศาสตร์",U113="S1",X113&gt;=1,W113&lt;Q113),EDATE(W113,12),AND(AI113="K5-LAW",AH113="นิติศาสตร์",OR(U113="S2",U113="K5")),W113,AND(AI113="K5-LAW",AH113="นิติศาสตร์",OR(L113="M2",L113="K4"),R113&gt;=2),EDATE(Q113,12*2),AND(AI113="K5-LAW",AH113="นิติศาสตร์",L113="S1",R113&gt;=1),EDATE(Q113,12),AND(AI113="K5-LAW",AH113="นิติศาสตร์",OR(L113="S2",L113="K5")),Q113,AND(AI113="K5-POLICY",AH113&lt;&gt;"นิติศาสตร์",L113="S2",U113="",AA113=""),Q113,AND(AI113="K5-POLICY",AH113&lt;&gt;"นิติศาสตร์",L113="S1",U113="",AA113=""),EDATE(Q113,12),AND(AI113="K5-POLICY",AH113&lt;&gt;"นิติศาสตร์",OR(L113="M2",L113="K4"),U113="",AA113=""),EDATE(Q113,12*2),AND(AI113="K5-POLICY",AH113&lt;&gt;"นิติศาสตร์",OR(AA113="M2",AA113="K4"),AD113&gt;=2,OR(AC113&lt;W113,AC113&lt;Q113)),EDATE(AC113,12*2),AND(AI113="K5-POLICY",AH113&lt;&gt;"นิติศาสตร์",AA113="S1",AD113&gt;=1,OR(AC113&lt;W113,AC113&lt;Q113)),EDATE(AC113,12),AND(AI113="K5-POLICY",AH113&lt;&gt;"นิติศาสตร์",OR(U113="M2",U113="K4"),X113&gt;=2,W113&lt;Q113),EDATE(W113,12*2),AND(AI113="K5-POLICY",AH113&lt;&gt;"นิติศาสตร์",U113="S1",X113&gt;=1,W113&lt;Q113),EDATE(W113,12),AND(AI113="K5-POLICY",AH113&lt;&gt;"นิติศาสตร์",OR(U113="S2",U113="K5")),W113,AND(AI113="K5-POLICY",AH113&lt;&gt;"นิติศาสตร์",OR(L113="M2",L113="K4"),R113&gt;=2),EDATE(Q113,12*2),AND(AI113="K5-POLICY",AH113&lt;&gt;"นิติศาสตร์",L113="S1",R113&gt;=1),EDATE(Q113,12),AND(AI113="K5-POLICY",AH113&lt;&gt;"นิติศาสตร์",OR(L113="S2",L113="K5")),Q113,TRUE,"Check Data")</f>
        <v/>
      </c>
      <c r="AK113" s="75" t="str">
        <f t="shared" si="39"/>
        <v>Check Data</v>
      </c>
      <c r="AL113" s="76" t="str">
        <f t="shared" si="26"/>
        <v>Check Data</v>
      </c>
      <c r="AM113" s="50" t="str">
        <f t="shared" si="40"/>
        <v>Check Data</v>
      </c>
      <c r="AN113" s="49" t="str">
        <f>IF(B113="","",IF(L113="S1","S1",INDEX(#REF!,#REF!)))</f>
        <v/>
      </c>
      <c r="AO113" s="49" t="str">
        <f t="shared" si="41"/>
        <v>M2</v>
      </c>
      <c r="AP113" s="50" t="b">
        <f>L113=AN113</f>
        <v>0</v>
      </c>
      <c r="AQ113" s="50"/>
    </row>
    <row r="114" spans="1:43" ht="21.75">
      <c r="A114" s="49">
        <v>112</v>
      </c>
      <c r="B114" s="50"/>
      <c r="C114" s="50"/>
      <c r="D114" s="50" t="s">
        <v>143</v>
      </c>
      <c r="E114" s="50" t="e">
        <f>INDEX(#REF!,#REF!)</f>
        <v>#REF!</v>
      </c>
      <c r="F114" s="49" t="s">
        <v>293</v>
      </c>
      <c r="G114" s="49" t="str">
        <f t="shared" si="37"/>
        <v>01/11/2000</v>
      </c>
      <c r="H114" s="50">
        <f t="shared" si="23"/>
        <v>24</v>
      </c>
      <c r="I114" s="50">
        <f t="shared" si="24"/>
        <v>7</v>
      </c>
      <c r="J114" s="50">
        <f t="shared" si="25"/>
        <v>19</v>
      </c>
      <c r="K114" s="59"/>
      <c r="L114" s="49" t="s">
        <v>136</v>
      </c>
      <c r="M114" s="64"/>
      <c r="N114" s="49" t="s">
        <v>426</v>
      </c>
      <c r="O114" s="49">
        <v>2581</v>
      </c>
      <c r="P114" s="65" t="s">
        <v>291</v>
      </c>
      <c r="Q114" s="49" t="str">
        <f t="shared" si="38"/>
        <v>01/11/2021</v>
      </c>
      <c r="R114" s="68">
        <f>IF(Q114="",0,DATEDIF(Q114,$C$1,"Y"))</f>
        <v>3</v>
      </c>
      <c r="S114" s="68">
        <f>IF(Q114="",0,DATEDIF(Q114,$C$1,"YM"))</f>
        <v>7</v>
      </c>
      <c r="T114" s="68">
        <f>IF(Q114="",0,DATEDIF(Q114,$C$1,"MD"))</f>
        <v>19</v>
      </c>
      <c r="U114" s="65"/>
      <c r="V114" s="65"/>
      <c r="W114" s="49" t="str">
        <f t="shared" si="42"/>
        <v/>
      </c>
      <c r="X114" s="68">
        <f>IF(W114="",0,DATEDIF(W114,Q114,"Y"))</f>
        <v>0</v>
      </c>
      <c r="Y114" s="68">
        <f>IF(W114="",0,DATEDIF(W114,Q114,"YM"))</f>
        <v>0</v>
      </c>
      <c r="Z114" s="68">
        <f>IF(W114="",0,DATEDIF(W114,Q114,"MD"))</f>
        <v>0</v>
      </c>
      <c r="AA114" s="49"/>
      <c r="AB114" s="65"/>
      <c r="AC114" s="50" t="str">
        <f t="shared" si="43"/>
        <v/>
      </c>
      <c r="AD114" s="68">
        <f t="shared" si="44"/>
        <v>0</v>
      </c>
      <c r="AE114" s="68">
        <f t="shared" si="45"/>
        <v>0</v>
      </c>
      <c r="AF114" s="68">
        <f t="shared" si="46"/>
        <v>0</v>
      </c>
      <c r="AG114" s="50"/>
      <c r="AH114" s="108" t="s">
        <v>518</v>
      </c>
      <c r="AI114" s="49" t="str">
        <f>IF(AH114="นิติศาสตร์","K5-LAW","K5-POLICY")</f>
        <v>K5-POLICY</v>
      </c>
      <c r="AJ114" s="72" t="str">
        <f>_xlfn.IFS(B114="","",AND(AI114="K5-LAW",AH114="นิติศาสตร์",L114="S2",U114="",AA114=""),Q114,AND(AI114="K5-LAW",AH114="นิติศาสตร์",L114="S1",U114="",AA114=""),EDATE(Q114,12),AND(AI114="K5-LAW",AH114="นิติศาสตร์",OR(L114="M2",L114="K4"),U114="",AA114=""),EDATE(Q114,12*2),AND(AI114="K5-LAW",AH114="นิติศาสตร์",OR(AA114="M2",AA114="K4"),AD114&gt;=2,OR(AC114&lt;W114,AC114&lt;Q114)),EDATE(AC114,12*2),AND(AI114="K5-LAW",AH114="นิติศาสตร์",AA114="S1",AD114&gt;=1,OR(AC114&lt;W114,AC114&lt;Q114)),EDATE(AC114,12),AND(AI114="K5-LAW",AH114="นิติศาสตร์",OR(U114="M2",U114="K4"),X114&gt;=2,W114&lt;Q114),EDATE(W114,12*2),AND(AI114="K5-LAW",AH114="นิติศาสตร์",U114="S1",X114&gt;=1,W114&lt;Q114),EDATE(W114,12),AND(AI114="K5-LAW",AH114="นิติศาสตร์",OR(U114="S2",U114="K5")),W114,AND(AI114="K5-LAW",AH114="นิติศาสตร์",OR(L114="M2",L114="K4"),R114&gt;=2),EDATE(Q114,12*2),AND(AI114="K5-LAW",AH114="นิติศาสตร์",L114="S1",R114&gt;=1),EDATE(Q114,12),AND(AI114="K5-LAW",AH114="นิติศาสตร์",OR(L114="S2",L114="K5")),Q114,AND(AI114="K5-POLICY",AH114&lt;&gt;"นิติศาสตร์",L114="S2",U114="",AA114=""),Q114,AND(AI114="K5-POLICY",AH114&lt;&gt;"นิติศาสตร์",L114="S1",U114="",AA114=""),EDATE(Q114,12),AND(AI114="K5-POLICY",AH114&lt;&gt;"นิติศาสตร์",OR(L114="M2",L114="K4"),U114="",AA114=""),EDATE(Q114,12*2),AND(AI114="K5-POLICY",AH114&lt;&gt;"นิติศาสตร์",OR(AA114="M2",AA114="K4"),AD114&gt;=2,OR(AC114&lt;W114,AC114&lt;Q114)),EDATE(AC114,12*2),AND(AI114="K5-POLICY",AH114&lt;&gt;"นิติศาสตร์",AA114="S1",AD114&gt;=1,OR(AC114&lt;W114,AC114&lt;Q114)),EDATE(AC114,12),AND(AI114="K5-POLICY",AH114&lt;&gt;"นิติศาสตร์",OR(U114="M2",U114="K4"),X114&gt;=2,W114&lt;Q114),EDATE(W114,12*2),AND(AI114="K5-POLICY",AH114&lt;&gt;"นิติศาสตร์",U114="S1",X114&gt;=1,W114&lt;Q114),EDATE(W114,12),AND(AI114="K5-POLICY",AH114&lt;&gt;"นิติศาสตร์",OR(U114="S2",U114="K5")),W114,AND(AI114="K5-POLICY",AH114&lt;&gt;"นิติศาสตร์",OR(L114="M2",L114="K4"),R114&gt;=2),EDATE(Q114,12*2),AND(AI114="K5-POLICY",AH114&lt;&gt;"นิติศาสตร์",L114="S1",R114&gt;=1),EDATE(Q114,12),AND(AI114="K5-POLICY",AH114&lt;&gt;"นิติศาสตร์",OR(L114="S2",L114="K5")),Q114,TRUE,"Check Data")</f>
        <v/>
      </c>
      <c r="AK114" s="75" t="str">
        <f t="shared" si="39"/>
        <v>Check Data</v>
      </c>
      <c r="AL114" s="76" t="str">
        <f t="shared" si="26"/>
        <v>Check Data</v>
      </c>
      <c r="AM114" s="50" t="str">
        <f t="shared" si="40"/>
        <v>Check Data</v>
      </c>
      <c r="AN114" s="49" t="str">
        <f>IF(B114="","",IF(L114="S1","S1",INDEX(#REF!,#REF!)))</f>
        <v/>
      </c>
      <c r="AO114" s="49" t="str">
        <f t="shared" si="41"/>
        <v>M2</v>
      </c>
      <c r="AP114" s="50" t="b">
        <f>L114=AN114</f>
        <v>0</v>
      </c>
      <c r="AQ114" s="50"/>
    </row>
    <row r="115" spans="1:43" ht="21.75">
      <c r="A115" s="49">
        <v>113</v>
      </c>
      <c r="B115" s="50"/>
      <c r="C115" s="50"/>
      <c r="D115" s="50" t="s">
        <v>143</v>
      </c>
      <c r="E115" s="50" t="e">
        <f>INDEX(#REF!,#REF!)</f>
        <v>#REF!</v>
      </c>
      <c r="F115" s="49" t="s">
        <v>303</v>
      </c>
      <c r="G115" s="49" t="str">
        <f t="shared" si="37"/>
        <v>15/07/2005</v>
      </c>
      <c r="H115" s="50">
        <f t="shared" si="23"/>
        <v>19</v>
      </c>
      <c r="I115" s="50">
        <f t="shared" si="24"/>
        <v>11</v>
      </c>
      <c r="J115" s="50">
        <f t="shared" si="25"/>
        <v>5</v>
      </c>
      <c r="K115" s="59"/>
      <c r="L115" s="49" t="s">
        <v>136</v>
      </c>
      <c r="M115" s="64"/>
      <c r="N115" s="49" t="s">
        <v>427</v>
      </c>
      <c r="O115" s="49">
        <v>2584</v>
      </c>
      <c r="P115" s="65" t="s">
        <v>291</v>
      </c>
      <c r="Q115" s="49" t="str">
        <f t="shared" si="38"/>
        <v>01/11/2021</v>
      </c>
      <c r="R115" s="68">
        <f>IF(Q115="",0,DATEDIF(Q115,$C$1,"Y"))</f>
        <v>3</v>
      </c>
      <c r="S115" s="68">
        <f>IF(Q115="",0,DATEDIF(Q115,$C$1,"YM"))</f>
        <v>7</v>
      </c>
      <c r="T115" s="68">
        <f>IF(Q115="",0,DATEDIF(Q115,$C$1,"MD"))</f>
        <v>19</v>
      </c>
      <c r="U115" s="65"/>
      <c r="V115" s="65"/>
      <c r="W115" s="49" t="str">
        <f t="shared" si="42"/>
        <v/>
      </c>
      <c r="X115" s="68">
        <f>IF(W115="",0,DATEDIF(W115,Q115,"Y"))</f>
        <v>0</v>
      </c>
      <c r="Y115" s="68">
        <f>IF(W115="",0,DATEDIF(W115,Q115,"YM"))</f>
        <v>0</v>
      </c>
      <c r="Z115" s="68">
        <f>IF(W115="",0,DATEDIF(W115,Q115,"MD"))</f>
        <v>0</v>
      </c>
      <c r="AA115" s="49"/>
      <c r="AB115" s="65"/>
      <c r="AC115" s="50" t="str">
        <f t="shared" si="43"/>
        <v/>
      </c>
      <c r="AD115" s="68">
        <f t="shared" si="44"/>
        <v>0</v>
      </c>
      <c r="AE115" s="68">
        <f t="shared" si="45"/>
        <v>0</v>
      </c>
      <c r="AF115" s="68">
        <f t="shared" si="46"/>
        <v>0</v>
      </c>
      <c r="AG115" s="50"/>
      <c r="AH115" s="108" t="s">
        <v>175</v>
      </c>
      <c r="AI115" s="49" t="str">
        <f>IF(AH115="นิติศาสตร์","K5-LAW","K5-POLICY")</f>
        <v>K5-POLICY</v>
      </c>
      <c r="AJ115" s="72" t="str">
        <f>_xlfn.IFS(B115="","",AND(AI115="K5-LAW",AH115="นิติศาสตร์",L115="S2",U115="",AA115=""),Q115,AND(AI115="K5-LAW",AH115="นิติศาสตร์",L115="S1",U115="",AA115=""),EDATE(Q115,12),AND(AI115="K5-LAW",AH115="นิติศาสตร์",OR(L115="M2",L115="K4"),U115="",AA115=""),EDATE(Q115,12*2),AND(AI115="K5-LAW",AH115="นิติศาสตร์",OR(AA115="M2",AA115="K4"),AD115&gt;=2,OR(AC115&lt;W115,AC115&lt;Q115)),EDATE(AC115,12*2),AND(AI115="K5-LAW",AH115="นิติศาสตร์",AA115="S1",AD115&gt;=1,OR(AC115&lt;W115,AC115&lt;Q115)),EDATE(AC115,12),AND(AI115="K5-LAW",AH115="นิติศาสตร์",OR(U115="M2",U115="K4"),X115&gt;=2,W115&lt;Q115),EDATE(W115,12*2),AND(AI115="K5-LAW",AH115="นิติศาสตร์",U115="S1",X115&gt;=1,W115&lt;Q115),EDATE(W115,12),AND(AI115="K5-LAW",AH115="นิติศาสตร์",OR(U115="S2",U115="K5")),W115,AND(AI115="K5-LAW",AH115="นิติศาสตร์",OR(L115="M2",L115="K4"),R115&gt;=2),EDATE(Q115,12*2),AND(AI115="K5-LAW",AH115="นิติศาสตร์",L115="S1",R115&gt;=1),EDATE(Q115,12),AND(AI115="K5-LAW",AH115="นิติศาสตร์",OR(L115="S2",L115="K5")),Q115,AND(AI115="K5-POLICY",AH115&lt;&gt;"นิติศาสตร์",L115="S2",U115="",AA115=""),Q115,AND(AI115="K5-POLICY",AH115&lt;&gt;"นิติศาสตร์",L115="S1",U115="",AA115=""),EDATE(Q115,12),AND(AI115="K5-POLICY",AH115&lt;&gt;"นิติศาสตร์",OR(L115="M2",L115="K4"),U115="",AA115=""),EDATE(Q115,12*2),AND(AI115="K5-POLICY",AH115&lt;&gt;"นิติศาสตร์",OR(AA115="M2",AA115="K4"),AD115&gt;=2,OR(AC115&lt;W115,AC115&lt;Q115)),EDATE(AC115,12*2),AND(AI115="K5-POLICY",AH115&lt;&gt;"นิติศาสตร์",AA115="S1",AD115&gt;=1,OR(AC115&lt;W115,AC115&lt;Q115)),EDATE(AC115,12),AND(AI115="K5-POLICY",AH115&lt;&gt;"นิติศาสตร์",OR(U115="M2",U115="K4"),X115&gt;=2,W115&lt;Q115),EDATE(W115,12*2),AND(AI115="K5-POLICY",AH115&lt;&gt;"นิติศาสตร์",U115="S1",X115&gt;=1,W115&lt;Q115),EDATE(W115,12),AND(AI115="K5-POLICY",AH115&lt;&gt;"นิติศาสตร์",OR(U115="S2",U115="K5")),W115,AND(AI115="K5-POLICY",AH115&lt;&gt;"นิติศาสตร์",OR(L115="M2",L115="K4"),R115&gt;=2),EDATE(Q115,12*2),AND(AI115="K5-POLICY",AH115&lt;&gt;"นิติศาสตร์",L115="S1",R115&gt;=1),EDATE(Q115,12),AND(AI115="K5-POLICY",AH115&lt;&gt;"นิติศาสตร์",OR(L115="S2",L115="K5")),Q115,TRUE,"Check Data")</f>
        <v/>
      </c>
      <c r="AK115" s="75" t="str">
        <f t="shared" si="39"/>
        <v>Check Data</v>
      </c>
      <c r="AL115" s="76" t="str">
        <f t="shared" si="26"/>
        <v>Check Data</v>
      </c>
      <c r="AM115" s="50" t="str">
        <f t="shared" si="40"/>
        <v>Check Data</v>
      </c>
      <c r="AN115" s="49" t="str">
        <f>IF(B115="","",IF(L115="S1","S1",INDEX(#REF!,#REF!)))</f>
        <v/>
      </c>
      <c r="AO115" s="49" t="str">
        <f t="shared" si="41"/>
        <v>M2</v>
      </c>
      <c r="AP115" s="50" t="b">
        <f>L115=AN115</f>
        <v>0</v>
      </c>
      <c r="AQ115" s="50"/>
    </row>
    <row r="116" spans="1:43" ht="21.75">
      <c r="A116" s="49">
        <v>114</v>
      </c>
      <c r="B116" s="50"/>
      <c r="C116" s="50"/>
      <c r="D116" s="50" t="s">
        <v>143</v>
      </c>
      <c r="E116" s="50" t="e">
        <f>INDEX(#REF!,#REF!)</f>
        <v>#REF!</v>
      </c>
      <c r="F116" s="49" t="s">
        <v>352</v>
      </c>
      <c r="G116" s="49" t="str">
        <f t="shared" si="37"/>
        <v>01/07/1997</v>
      </c>
      <c r="H116" s="50">
        <f t="shared" si="23"/>
        <v>27</v>
      </c>
      <c r="I116" s="50">
        <f t="shared" si="24"/>
        <v>11</v>
      </c>
      <c r="J116" s="50">
        <f t="shared" si="25"/>
        <v>19</v>
      </c>
      <c r="K116" s="59"/>
      <c r="L116" s="49" t="s">
        <v>136</v>
      </c>
      <c r="M116" s="64"/>
      <c r="N116" s="49" t="s">
        <v>427</v>
      </c>
      <c r="O116" s="49">
        <v>2577</v>
      </c>
      <c r="P116" s="65" t="s">
        <v>291</v>
      </c>
      <c r="Q116" s="49" t="str">
        <f t="shared" si="38"/>
        <v>01/11/2021</v>
      </c>
      <c r="R116" s="68">
        <f>IF(Q116="",0,DATEDIF(Q116,$C$1,"Y"))</f>
        <v>3</v>
      </c>
      <c r="S116" s="68">
        <f>IF(Q116="",0,DATEDIF(Q116,$C$1,"YM"))</f>
        <v>7</v>
      </c>
      <c r="T116" s="68">
        <f>IF(Q116="",0,DATEDIF(Q116,$C$1,"MD"))</f>
        <v>19</v>
      </c>
      <c r="U116" s="65"/>
      <c r="V116" s="65"/>
      <c r="W116" s="49" t="str">
        <f t="shared" si="42"/>
        <v/>
      </c>
      <c r="X116" s="68">
        <f>IF(W116="",0,DATEDIF(W116,Q116,"Y"))</f>
        <v>0</v>
      </c>
      <c r="Y116" s="68">
        <f>IF(W116="",0,DATEDIF(W116,Q116,"YM"))</f>
        <v>0</v>
      </c>
      <c r="Z116" s="68">
        <f>IF(W116="",0,DATEDIF(W116,Q116,"MD"))</f>
        <v>0</v>
      </c>
      <c r="AA116" s="49"/>
      <c r="AB116" s="65"/>
      <c r="AC116" s="50" t="str">
        <f t="shared" si="43"/>
        <v/>
      </c>
      <c r="AD116" s="68">
        <f t="shared" si="44"/>
        <v>0</v>
      </c>
      <c r="AE116" s="68">
        <f t="shared" si="45"/>
        <v>0</v>
      </c>
      <c r="AF116" s="68">
        <f t="shared" si="46"/>
        <v>0</v>
      </c>
      <c r="AG116" s="50"/>
      <c r="AH116" s="108" t="s">
        <v>486</v>
      </c>
      <c r="AI116" s="49" t="str">
        <f>IF(AH116="นิติศาสตร์","K5-LAW","K5-POLICY")</f>
        <v>K5-POLICY</v>
      </c>
      <c r="AJ116" s="72" t="str">
        <f>_xlfn.IFS(B116="","",AND(AI116="K5-LAW",AH116="นิติศาสตร์",L116="S2",U116="",AA116=""),Q116,AND(AI116="K5-LAW",AH116="นิติศาสตร์",L116="S1",U116="",AA116=""),EDATE(Q116,12),AND(AI116="K5-LAW",AH116="นิติศาสตร์",OR(L116="M2",L116="K4"),U116="",AA116=""),EDATE(Q116,12*2),AND(AI116="K5-LAW",AH116="นิติศาสตร์",OR(AA116="M2",AA116="K4"),AD116&gt;=2,OR(AC116&lt;W116,AC116&lt;Q116)),EDATE(AC116,12*2),AND(AI116="K5-LAW",AH116="นิติศาสตร์",AA116="S1",AD116&gt;=1,OR(AC116&lt;W116,AC116&lt;Q116)),EDATE(AC116,12),AND(AI116="K5-LAW",AH116="นิติศาสตร์",OR(U116="M2",U116="K4"),X116&gt;=2,W116&lt;Q116),EDATE(W116,12*2),AND(AI116="K5-LAW",AH116="นิติศาสตร์",U116="S1",X116&gt;=1,W116&lt;Q116),EDATE(W116,12),AND(AI116="K5-LAW",AH116="นิติศาสตร์",OR(U116="S2",U116="K5")),W116,AND(AI116="K5-LAW",AH116="นิติศาสตร์",OR(L116="M2",L116="K4"),R116&gt;=2),EDATE(Q116,12*2),AND(AI116="K5-LAW",AH116="นิติศาสตร์",L116="S1",R116&gt;=1),EDATE(Q116,12),AND(AI116="K5-LAW",AH116="นิติศาสตร์",OR(L116="S2",L116="K5")),Q116,AND(AI116="K5-POLICY",AH116&lt;&gt;"นิติศาสตร์",L116="S2",U116="",AA116=""),Q116,AND(AI116="K5-POLICY",AH116&lt;&gt;"นิติศาสตร์",L116="S1",U116="",AA116=""),EDATE(Q116,12),AND(AI116="K5-POLICY",AH116&lt;&gt;"นิติศาสตร์",OR(L116="M2",L116="K4"),U116="",AA116=""),EDATE(Q116,12*2),AND(AI116="K5-POLICY",AH116&lt;&gt;"นิติศาสตร์",OR(AA116="M2",AA116="K4"),AD116&gt;=2,OR(AC116&lt;W116,AC116&lt;Q116)),EDATE(AC116,12*2),AND(AI116="K5-POLICY",AH116&lt;&gt;"นิติศาสตร์",AA116="S1",AD116&gt;=1,OR(AC116&lt;W116,AC116&lt;Q116)),EDATE(AC116,12),AND(AI116="K5-POLICY",AH116&lt;&gt;"นิติศาสตร์",OR(U116="M2",U116="K4"),X116&gt;=2,W116&lt;Q116),EDATE(W116,12*2),AND(AI116="K5-POLICY",AH116&lt;&gt;"นิติศาสตร์",U116="S1",X116&gt;=1,W116&lt;Q116),EDATE(W116,12),AND(AI116="K5-POLICY",AH116&lt;&gt;"นิติศาสตร์",OR(U116="S2",U116="K5")),W116,AND(AI116="K5-POLICY",AH116&lt;&gt;"นิติศาสตร์",OR(L116="M2",L116="K4"),R116&gt;=2),EDATE(Q116,12*2),AND(AI116="K5-POLICY",AH116&lt;&gt;"นิติศาสตร์",L116="S1",R116&gt;=1),EDATE(Q116,12),AND(AI116="K5-POLICY",AH116&lt;&gt;"นิติศาสตร์",OR(L116="S2",L116="K5")),Q116,TRUE,"Check Data")</f>
        <v/>
      </c>
      <c r="AK116" s="75" t="str">
        <f t="shared" si="39"/>
        <v>Check Data</v>
      </c>
      <c r="AL116" s="76" t="str">
        <f t="shared" si="26"/>
        <v>Check Data</v>
      </c>
      <c r="AM116" s="50" t="str">
        <f t="shared" si="40"/>
        <v>Check Data</v>
      </c>
      <c r="AN116" s="49" t="str">
        <f>IF(B116="","",IF(L116="S1","S1",INDEX(#REF!,#REF!)))</f>
        <v/>
      </c>
      <c r="AO116" s="49" t="str">
        <f t="shared" si="41"/>
        <v>M2</v>
      </c>
      <c r="AP116" s="50" t="b">
        <f>L116=AN116</f>
        <v>0</v>
      </c>
      <c r="AQ116" s="50"/>
    </row>
    <row r="117" spans="1:43" ht="21.75">
      <c r="A117" s="49">
        <v>115</v>
      </c>
      <c r="B117" s="50"/>
      <c r="C117" s="50"/>
      <c r="D117" s="50" t="s">
        <v>143</v>
      </c>
      <c r="E117" s="50" t="e">
        <f>INDEX(#REF!,#REF!)</f>
        <v>#REF!</v>
      </c>
      <c r="F117" s="49" t="s">
        <v>367</v>
      </c>
      <c r="G117" s="49" t="str">
        <f t="shared" si="37"/>
        <v>02/04/2001</v>
      </c>
      <c r="H117" s="50">
        <f t="shared" si="23"/>
        <v>24</v>
      </c>
      <c r="I117" s="50">
        <f t="shared" si="24"/>
        <v>2</v>
      </c>
      <c r="J117" s="50">
        <f t="shared" si="25"/>
        <v>18</v>
      </c>
      <c r="K117" s="59"/>
      <c r="L117" s="49" t="s">
        <v>136</v>
      </c>
      <c r="M117" s="64"/>
      <c r="N117" s="49" t="s">
        <v>427</v>
      </c>
      <c r="O117" s="49">
        <v>2578</v>
      </c>
      <c r="P117" s="65" t="s">
        <v>291</v>
      </c>
      <c r="Q117" s="49" t="str">
        <f t="shared" si="38"/>
        <v>01/11/2021</v>
      </c>
      <c r="R117" s="68">
        <f>IF(Q117="",0,DATEDIF(Q117,$C$1,"Y"))</f>
        <v>3</v>
      </c>
      <c r="S117" s="68">
        <f>IF(Q117="",0,DATEDIF(Q117,$C$1,"YM"))</f>
        <v>7</v>
      </c>
      <c r="T117" s="68">
        <f>IF(Q117="",0,DATEDIF(Q117,$C$1,"MD"))</f>
        <v>19</v>
      </c>
      <c r="U117" s="65"/>
      <c r="V117" s="65"/>
      <c r="W117" s="49" t="str">
        <f t="shared" si="42"/>
        <v/>
      </c>
      <c r="X117" s="68">
        <f>IF(W117="",0,DATEDIF(W117,Q117,"Y"))</f>
        <v>0</v>
      </c>
      <c r="Y117" s="68">
        <f>IF(W117="",0,DATEDIF(W117,Q117,"YM"))</f>
        <v>0</v>
      </c>
      <c r="Z117" s="68">
        <f>IF(W117="",0,DATEDIF(W117,Q117,"MD"))</f>
        <v>0</v>
      </c>
      <c r="AA117" s="49"/>
      <c r="AB117" s="65"/>
      <c r="AC117" s="50" t="str">
        <f t="shared" si="43"/>
        <v/>
      </c>
      <c r="AD117" s="68">
        <f t="shared" si="44"/>
        <v>0</v>
      </c>
      <c r="AE117" s="68">
        <f t="shared" si="45"/>
        <v>0</v>
      </c>
      <c r="AF117" s="68">
        <f t="shared" si="46"/>
        <v>0</v>
      </c>
      <c r="AG117" s="50"/>
      <c r="AH117" s="108" t="s">
        <v>486</v>
      </c>
      <c r="AI117" s="49" t="str">
        <f>IF(AH117="นิติศาสตร์","K5-LAW","K5-POLICY")</f>
        <v>K5-POLICY</v>
      </c>
      <c r="AJ117" s="72" t="str">
        <f>_xlfn.IFS(B117="","",AND(AI117="K5-LAW",AH117="นิติศาสตร์",L117="S2",U117="",AA117=""),Q117,AND(AI117="K5-LAW",AH117="นิติศาสตร์",L117="S1",U117="",AA117=""),EDATE(Q117,12),AND(AI117="K5-LAW",AH117="นิติศาสตร์",OR(L117="M2",L117="K4"),U117="",AA117=""),EDATE(Q117,12*2),AND(AI117="K5-LAW",AH117="นิติศาสตร์",OR(AA117="M2",AA117="K4"),AD117&gt;=2,OR(AC117&lt;W117,AC117&lt;Q117)),EDATE(AC117,12*2),AND(AI117="K5-LAW",AH117="นิติศาสตร์",AA117="S1",AD117&gt;=1,OR(AC117&lt;W117,AC117&lt;Q117)),EDATE(AC117,12),AND(AI117="K5-LAW",AH117="นิติศาสตร์",OR(U117="M2",U117="K4"),X117&gt;=2,W117&lt;Q117),EDATE(W117,12*2),AND(AI117="K5-LAW",AH117="นิติศาสตร์",U117="S1",X117&gt;=1,W117&lt;Q117),EDATE(W117,12),AND(AI117="K5-LAW",AH117="นิติศาสตร์",OR(U117="S2",U117="K5")),W117,AND(AI117="K5-LAW",AH117="นิติศาสตร์",OR(L117="M2",L117="K4"),R117&gt;=2),EDATE(Q117,12*2),AND(AI117="K5-LAW",AH117="นิติศาสตร์",L117="S1",R117&gt;=1),EDATE(Q117,12),AND(AI117="K5-LAW",AH117="นิติศาสตร์",OR(L117="S2",L117="K5")),Q117,AND(AI117="K5-POLICY",AH117&lt;&gt;"นิติศาสตร์",L117="S2",U117="",AA117=""),Q117,AND(AI117="K5-POLICY",AH117&lt;&gt;"นิติศาสตร์",L117="S1",U117="",AA117=""),EDATE(Q117,12),AND(AI117="K5-POLICY",AH117&lt;&gt;"นิติศาสตร์",OR(L117="M2",L117="K4"),U117="",AA117=""),EDATE(Q117,12*2),AND(AI117="K5-POLICY",AH117&lt;&gt;"นิติศาสตร์",OR(AA117="M2",AA117="K4"),AD117&gt;=2,OR(AC117&lt;W117,AC117&lt;Q117)),EDATE(AC117,12*2),AND(AI117="K5-POLICY",AH117&lt;&gt;"นิติศาสตร์",AA117="S1",AD117&gt;=1,OR(AC117&lt;W117,AC117&lt;Q117)),EDATE(AC117,12),AND(AI117="K5-POLICY",AH117&lt;&gt;"นิติศาสตร์",OR(U117="M2",U117="K4"),X117&gt;=2,W117&lt;Q117),EDATE(W117,12*2),AND(AI117="K5-POLICY",AH117&lt;&gt;"นิติศาสตร์",U117="S1",X117&gt;=1,W117&lt;Q117),EDATE(W117,12),AND(AI117="K5-POLICY",AH117&lt;&gt;"นิติศาสตร์",OR(U117="S2",U117="K5")),W117,AND(AI117="K5-POLICY",AH117&lt;&gt;"นิติศาสตร์",OR(L117="M2",L117="K4"),R117&gt;=2),EDATE(Q117,12*2),AND(AI117="K5-POLICY",AH117&lt;&gt;"นิติศาสตร์",L117="S1",R117&gt;=1),EDATE(Q117,12),AND(AI117="K5-POLICY",AH117&lt;&gt;"นิติศาสตร์",OR(L117="S2",L117="K5")),Q117,TRUE,"Check Data")</f>
        <v/>
      </c>
      <c r="AK117" s="75" t="str">
        <f t="shared" si="39"/>
        <v>Check Data</v>
      </c>
      <c r="AL117" s="76" t="str">
        <f t="shared" si="26"/>
        <v>Check Data</v>
      </c>
      <c r="AM117" s="50" t="str">
        <f t="shared" si="40"/>
        <v>Check Data</v>
      </c>
      <c r="AN117" s="49" t="str">
        <f>IF(B117="","",IF(L117="S1","S1",INDEX(#REF!,#REF!)))</f>
        <v/>
      </c>
      <c r="AO117" s="49" t="str">
        <f t="shared" si="41"/>
        <v>M2</v>
      </c>
      <c r="AP117" s="50" t="b">
        <f>L117=AN117</f>
        <v>0</v>
      </c>
      <c r="AQ117" s="50"/>
    </row>
    <row r="118" spans="1:43" ht="21.75">
      <c r="A118" s="49">
        <v>116</v>
      </c>
      <c r="B118" s="50"/>
      <c r="C118" s="50"/>
      <c r="D118" s="50" t="s">
        <v>143</v>
      </c>
      <c r="E118" s="50" t="e">
        <f>INDEX(#REF!,#REF!)</f>
        <v>#REF!</v>
      </c>
      <c r="F118" s="49" t="s">
        <v>340</v>
      </c>
      <c r="G118" s="49" t="str">
        <f t="shared" si="37"/>
        <v>06/11/2000</v>
      </c>
      <c r="H118" s="50">
        <f t="shared" si="23"/>
        <v>24</v>
      </c>
      <c r="I118" s="50">
        <f t="shared" si="24"/>
        <v>7</v>
      </c>
      <c r="J118" s="50">
        <f t="shared" si="25"/>
        <v>14</v>
      </c>
      <c r="K118" s="59"/>
      <c r="L118" s="49" t="s">
        <v>136</v>
      </c>
      <c r="M118" s="64"/>
      <c r="N118" s="49" t="s">
        <v>427</v>
      </c>
      <c r="O118" s="49">
        <v>2575</v>
      </c>
      <c r="P118" s="65" t="s">
        <v>291</v>
      </c>
      <c r="Q118" s="49" t="str">
        <f t="shared" si="38"/>
        <v>01/11/2021</v>
      </c>
      <c r="R118" s="68">
        <f>IF(Q118="",0,DATEDIF(Q118,$C$1,"Y"))</f>
        <v>3</v>
      </c>
      <c r="S118" s="68">
        <f>IF(Q118="",0,DATEDIF(Q118,$C$1,"YM"))</f>
        <v>7</v>
      </c>
      <c r="T118" s="68">
        <f>IF(Q118="",0,DATEDIF(Q118,$C$1,"MD"))</f>
        <v>19</v>
      </c>
      <c r="U118" s="65"/>
      <c r="V118" s="65"/>
      <c r="W118" s="49" t="str">
        <f t="shared" si="42"/>
        <v/>
      </c>
      <c r="X118" s="68">
        <f>IF(W118="",0,DATEDIF(W118,Q118,"Y"))</f>
        <v>0</v>
      </c>
      <c r="Y118" s="68">
        <f>IF(W118="",0,DATEDIF(W118,Q118,"YM"))</f>
        <v>0</v>
      </c>
      <c r="Z118" s="68">
        <f>IF(W118="",0,DATEDIF(W118,Q118,"MD"))</f>
        <v>0</v>
      </c>
      <c r="AA118" s="49"/>
      <c r="AB118" s="65"/>
      <c r="AC118" s="50" t="str">
        <f t="shared" si="43"/>
        <v/>
      </c>
      <c r="AD118" s="68">
        <f t="shared" si="44"/>
        <v>0</v>
      </c>
      <c r="AE118" s="68">
        <f t="shared" si="45"/>
        <v>0</v>
      </c>
      <c r="AF118" s="68">
        <f t="shared" si="46"/>
        <v>0</v>
      </c>
      <c r="AG118" s="50"/>
      <c r="AH118" s="108" t="s">
        <v>163</v>
      </c>
      <c r="AI118" s="49" t="str">
        <f>IF(AH118="นิติศาสตร์","K5-LAW","K5-POLICY")</f>
        <v>K5-POLICY</v>
      </c>
      <c r="AJ118" s="72" t="str">
        <f>_xlfn.IFS(B118="","",AND(AI118="K5-LAW",AH118="นิติศาสตร์",L118="S2",U118="",AA118=""),Q118,AND(AI118="K5-LAW",AH118="นิติศาสตร์",L118="S1",U118="",AA118=""),EDATE(Q118,12),AND(AI118="K5-LAW",AH118="นิติศาสตร์",OR(L118="M2",L118="K4"),U118="",AA118=""),EDATE(Q118,12*2),AND(AI118="K5-LAW",AH118="นิติศาสตร์",OR(AA118="M2",AA118="K4"),AD118&gt;=2,OR(AC118&lt;W118,AC118&lt;Q118)),EDATE(AC118,12*2),AND(AI118="K5-LAW",AH118="นิติศาสตร์",AA118="S1",AD118&gt;=1,OR(AC118&lt;W118,AC118&lt;Q118)),EDATE(AC118,12),AND(AI118="K5-LAW",AH118="นิติศาสตร์",OR(U118="M2",U118="K4"),X118&gt;=2,W118&lt;Q118),EDATE(W118,12*2),AND(AI118="K5-LAW",AH118="นิติศาสตร์",U118="S1",X118&gt;=1,W118&lt;Q118),EDATE(W118,12),AND(AI118="K5-LAW",AH118="นิติศาสตร์",OR(U118="S2",U118="K5")),W118,AND(AI118="K5-LAW",AH118="นิติศาสตร์",OR(L118="M2",L118="K4"),R118&gt;=2),EDATE(Q118,12*2),AND(AI118="K5-LAW",AH118="นิติศาสตร์",L118="S1",R118&gt;=1),EDATE(Q118,12),AND(AI118="K5-LAW",AH118="นิติศาสตร์",OR(L118="S2",L118="K5")),Q118,AND(AI118="K5-POLICY",AH118&lt;&gt;"นิติศาสตร์",L118="S2",U118="",AA118=""),Q118,AND(AI118="K5-POLICY",AH118&lt;&gt;"นิติศาสตร์",L118="S1",U118="",AA118=""),EDATE(Q118,12),AND(AI118="K5-POLICY",AH118&lt;&gt;"นิติศาสตร์",OR(L118="M2",L118="K4"),U118="",AA118=""),EDATE(Q118,12*2),AND(AI118="K5-POLICY",AH118&lt;&gt;"นิติศาสตร์",OR(AA118="M2",AA118="K4"),AD118&gt;=2,OR(AC118&lt;W118,AC118&lt;Q118)),EDATE(AC118,12*2),AND(AI118="K5-POLICY",AH118&lt;&gt;"นิติศาสตร์",AA118="S1",AD118&gt;=1,OR(AC118&lt;W118,AC118&lt;Q118)),EDATE(AC118,12),AND(AI118="K5-POLICY",AH118&lt;&gt;"นิติศาสตร์",OR(U118="M2",U118="K4"),X118&gt;=2,W118&lt;Q118),EDATE(W118,12*2),AND(AI118="K5-POLICY",AH118&lt;&gt;"นิติศาสตร์",U118="S1",X118&gt;=1,W118&lt;Q118),EDATE(W118,12),AND(AI118="K5-POLICY",AH118&lt;&gt;"นิติศาสตร์",OR(U118="S2",U118="K5")),W118,AND(AI118="K5-POLICY",AH118&lt;&gt;"นิติศาสตร์",OR(L118="M2",L118="K4"),R118&gt;=2),EDATE(Q118,12*2),AND(AI118="K5-POLICY",AH118&lt;&gt;"นิติศาสตร์",L118="S1",R118&gt;=1),EDATE(Q118,12),AND(AI118="K5-POLICY",AH118&lt;&gt;"นิติศาสตร์",OR(L118="S2",L118="K5")),Q118,TRUE,"Check Data")</f>
        <v/>
      </c>
      <c r="AK118" s="75" t="str">
        <f t="shared" si="39"/>
        <v>Check Data</v>
      </c>
      <c r="AL118" s="76" t="str">
        <f t="shared" si="26"/>
        <v>Check Data</v>
      </c>
      <c r="AM118" s="50" t="str">
        <f t="shared" si="40"/>
        <v>Check Data</v>
      </c>
      <c r="AN118" s="49" t="str">
        <f>IF(B118="","",IF(L118="S1","S1",INDEX(#REF!,#REF!)))</f>
        <v/>
      </c>
      <c r="AO118" s="49" t="str">
        <f t="shared" si="41"/>
        <v>M2</v>
      </c>
      <c r="AP118" s="50" t="b">
        <f>L118=AN118</f>
        <v>0</v>
      </c>
      <c r="AQ118" s="50"/>
    </row>
    <row r="119" spans="1:43" ht="21.75">
      <c r="A119" s="49">
        <v>117</v>
      </c>
      <c r="B119" s="50"/>
      <c r="C119" s="50"/>
      <c r="D119" s="50" t="s">
        <v>143</v>
      </c>
      <c r="E119" s="50" t="e">
        <f>INDEX(#REF!,#REF!)</f>
        <v>#REF!</v>
      </c>
      <c r="F119" s="49" t="s">
        <v>344</v>
      </c>
      <c r="G119" s="49" t="str">
        <f t="shared" si="37"/>
        <v>15/08/2001</v>
      </c>
      <c r="H119" s="50">
        <f t="shared" si="23"/>
        <v>23</v>
      </c>
      <c r="I119" s="50">
        <f t="shared" si="24"/>
        <v>10</v>
      </c>
      <c r="J119" s="50">
        <f t="shared" si="25"/>
        <v>5</v>
      </c>
      <c r="K119" s="59"/>
      <c r="L119" s="49" t="s">
        <v>136</v>
      </c>
      <c r="M119" s="64"/>
      <c r="N119" s="49" t="s">
        <v>427</v>
      </c>
      <c r="O119" s="49">
        <v>2581</v>
      </c>
      <c r="P119" s="65" t="s">
        <v>291</v>
      </c>
      <c r="Q119" s="49" t="str">
        <f t="shared" si="38"/>
        <v>01/11/2021</v>
      </c>
      <c r="R119" s="68">
        <f>IF(Q119="",0,DATEDIF(Q119,$C$1,"Y"))</f>
        <v>3</v>
      </c>
      <c r="S119" s="68">
        <f>IF(Q119="",0,DATEDIF(Q119,$C$1,"YM"))</f>
        <v>7</v>
      </c>
      <c r="T119" s="68">
        <f>IF(Q119="",0,DATEDIF(Q119,$C$1,"MD"))</f>
        <v>19</v>
      </c>
      <c r="U119" s="65"/>
      <c r="V119" s="65"/>
      <c r="W119" s="49" t="str">
        <f t="shared" si="42"/>
        <v/>
      </c>
      <c r="X119" s="68">
        <f>IF(W119="",0,DATEDIF(W119,Q119,"Y"))</f>
        <v>0</v>
      </c>
      <c r="Y119" s="68">
        <f>IF(W119="",0,DATEDIF(W119,Q119,"YM"))</f>
        <v>0</v>
      </c>
      <c r="Z119" s="68">
        <f>IF(W119="",0,DATEDIF(W119,Q119,"MD"))</f>
        <v>0</v>
      </c>
      <c r="AA119" s="49"/>
      <c r="AB119" s="65"/>
      <c r="AC119" s="50" t="str">
        <f t="shared" si="43"/>
        <v/>
      </c>
      <c r="AD119" s="68">
        <f t="shared" si="44"/>
        <v>0</v>
      </c>
      <c r="AE119" s="68">
        <f t="shared" si="45"/>
        <v>0</v>
      </c>
      <c r="AF119" s="68">
        <f t="shared" si="46"/>
        <v>0</v>
      </c>
      <c r="AG119" s="50"/>
      <c r="AH119" s="108" t="s">
        <v>484</v>
      </c>
      <c r="AI119" s="49" t="str">
        <f>IF(AH119="นิติศาสตร์","K5-LAW","K5-POLICY")</f>
        <v>K5-POLICY</v>
      </c>
      <c r="AJ119" s="72" t="str">
        <f>_xlfn.IFS(B119="","",AND(AI119="K5-LAW",AH119="นิติศาสตร์",L119="S2",U119="",AA119=""),Q119,AND(AI119="K5-LAW",AH119="นิติศาสตร์",L119="S1",U119="",AA119=""),EDATE(Q119,12),AND(AI119="K5-LAW",AH119="นิติศาสตร์",OR(L119="M2",L119="K4"),U119="",AA119=""),EDATE(Q119,12*2),AND(AI119="K5-LAW",AH119="นิติศาสตร์",OR(AA119="M2",AA119="K4"),AD119&gt;=2,OR(AC119&lt;W119,AC119&lt;Q119)),EDATE(AC119,12*2),AND(AI119="K5-LAW",AH119="นิติศาสตร์",AA119="S1",AD119&gt;=1,OR(AC119&lt;W119,AC119&lt;Q119)),EDATE(AC119,12),AND(AI119="K5-LAW",AH119="นิติศาสตร์",OR(U119="M2",U119="K4"),X119&gt;=2,W119&lt;Q119),EDATE(W119,12*2),AND(AI119="K5-LAW",AH119="นิติศาสตร์",U119="S1",X119&gt;=1,W119&lt;Q119),EDATE(W119,12),AND(AI119="K5-LAW",AH119="นิติศาสตร์",OR(U119="S2",U119="K5")),W119,AND(AI119="K5-LAW",AH119="นิติศาสตร์",OR(L119="M2",L119="K4"),R119&gt;=2),EDATE(Q119,12*2),AND(AI119="K5-LAW",AH119="นิติศาสตร์",L119="S1",R119&gt;=1),EDATE(Q119,12),AND(AI119="K5-LAW",AH119="นิติศาสตร์",OR(L119="S2",L119="K5")),Q119,AND(AI119="K5-POLICY",AH119&lt;&gt;"นิติศาสตร์",L119="S2",U119="",AA119=""),Q119,AND(AI119="K5-POLICY",AH119&lt;&gt;"นิติศาสตร์",L119="S1",U119="",AA119=""),EDATE(Q119,12),AND(AI119="K5-POLICY",AH119&lt;&gt;"นิติศาสตร์",OR(L119="M2",L119="K4"),U119="",AA119=""),EDATE(Q119,12*2),AND(AI119="K5-POLICY",AH119&lt;&gt;"นิติศาสตร์",OR(AA119="M2",AA119="K4"),AD119&gt;=2,OR(AC119&lt;W119,AC119&lt;Q119)),EDATE(AC119,12*2),AND(AI119="K5-POLICY",AH119&lt;&gt;"นิติศาสตร์",AA119="S1",AD119&gt;=1,OR(AC119&lt;W119,AC119&lt;Q119)),EDATE(AC119,12),AND(AI119="K5-POLICY",AH119&lt;&gt;"นิติศาสตร์",OR(U119="M2",U119="K4"),X119&gt;=2,W119&lt;Q119),EDATE(W119,12*2),AND(AI119="K5-POLICY",AH119&lt;&gt;"นิติศาสตร์",U119="S1",X119&gt;=1,W119&lt;Q119),EDATE(W119,12),AND(AI119="K5-POLICY",AH119&lt;&gt;"นิติศาสตร์",OR(U119="S2",U119="K5")),W119,AND(AI119="K5-POLICY",AH119&lt;&gt;"นิติศาสตร์",OR(L119="M2",L119="K4"),R119&gt;=2),EDATE(Q119,12*2),AND(AI119="K5-POLICY",AH119&lt;&gt;"นิติศาสตร์",L119="S1",R119&gt;=1),EDATE(Q119,12),AND(AI119="K5-POLICY",AH119&lt;&gt;"นิติศาสตร์",OR(L119="S2",L119="K5")),Q119,TRUE,"Check Data")</f>
        <v/>
      </c>
      <c r="AK119" s="75" t="str">
        <f t="shared" si="39"/>
        <v>Check Data</v>
      </c>
      <c r="AL119" s="76" t="str">
        <f t="shared" si="26"/>
        <v>Check Data</v>
      </c>
      <c r="AM119" s="50" t="str">
        <f t="shared" si="40"/>
        <v>Check Data</v>
      </c>
      <c r="AN119" s="49" t="str">
        <f>IF(B119="","",IF(L119="S1","S1",INDEX(#REF!,#REF!)))</f>
        <v/>
      </c>
      <c r="AO119" s="49" t="str">
        <f t="shared" si="41"/>
        <v>M2</v>
      </c>
      <c r="AP119" s="50" t="b">
        <f>L119=AN119</f>
        <v>0</v>
      </c>
      <c r="AQ119" s="50"/>
    </row>
    <row r="120" spans="1:43" ht="21.75">
      <c r="A120" s="49">
        <v>118</v>
      </c>
      <c r="B120" s="50"/>
      <c r="C120" s="50"/>
      <c r="D120" s="50" t="s">
        <v>143</v>
      </c>
      <c r="E120" s="50" t="e">
        <f>INDEX(#REF!,#REF!)</f>
        <v>#REF!</v>
      </c>
      <c r="F120" s="49" t="s">
        <v>365</v>
      </c>
      <c r="G120" s="49" t="str">
        <f t="shared" si="37"/>
        <v>26/08/2002</v>
      </c>
      <c r="H120" s="50">
        <f t="shared" si="23"/>
        <v>22</v>
      </c>
      <c r="I120" s="50">
        <f t="shared" si="24"/>
        <v>9</v>
      </c>
      <c r="J120" s="50">
        <f t="shared" si="25"/>
        <v>25</v>
      </c>
      <c r="K120" s="59"/>
      <c r="L120" s="49" t="s">
        <v>136</v>
      </c>
      <c r="M120" s="64"/>
      <c r="N120" s="49" t="s">
        <v>427</v>
      </c>
      <c r="O120" s="49">
        <v>2582</v>
      </c>
      <c r="P120" s="65" t="s">
        <v>291</v>
      </c>
      <c r="Q120" s="49" t="str">
        <f t="shared" si="38"/>
        <v>01/11/2021</v>
      </c>
      <c r="R120" s="68">
        <f>IF(Q120="",0,DATEDIF(Q120,$C$1,"Y"))</f>
        <v>3</v>
      </c>
      <c r="S120" s="68">
        <f>IF(Q120="",0,DATEDIF(Q120,$C$1,"YM"))</f>
        <v>7</v>
      </c>
      <c r="T120" s="68">
        <f>IF(Q120="",0,DATEDIF(Q120,$C$1,"MD"))</f>
        <v>19</v>
      </c>
      <c r="U120" s="65"/>
      <c r="V120" s="65"/>
      <c r="W120" s="49" t="str">
        <f t="shared" si="42"/>
        <v/>
      </c>
      <c r="X120" s="68">
        <f>IF(W120="",0,DATEDIF(W120,Q120,"Y"))</f>
        <v>0</v>
      </c>
      <c r="Y120" s="68">
        <f>IF(W120="",0,DATEDIF(W120,Q120,"YM"))</f>
        <v>0</v>
      </c>
      <c r="Z120" s="68">
        <f>IF(W120="",0,DATEDIF(W120,Q120,"MD"))</f>
        <v>0</v>
      </c>
      <c r="AA120" s="49"/>
      <c r="AB120" s="65"/>
      <c r="AC120" s="50" t="str">
        <f t="shared" si="43"/>
        <v/>
      </c>
      <c r="AD120" s="68">
        <f t="shared" si="44"/>
        <v>0</v>
      </c>
      <c r="AE120" s="68">
        <f t="shared" si="45"/>
        <v>0</v>
      </c>
      <c r="AF120" s="68">
        <f t="shared" si="46"/>
        <v>0</v>
      </c>
      <c r="AG120" s="50"/>
      <c r="AH120" s="108" t="s">
        <v>517</v>
      </c>
      <c r="AI120" s="49" t="str">
        <f>IF(AH120="นิติศาสตร์","K5-LAW","K5-POLICY")</f>
        <v>K5-POLICY</v>
      </c>
      <c r="AJ120" s="72" t="str">
        <f>_xlfn.IFS(B120="","",AND(AI120="K5-LAW",AH120="นิติศาสตร์",L120="S2",U120="",AA120=""),Q120,AND(AI120="K5-LAW",AH120="นิติศาสตร์",L120="S1",U120="",AA120=""),EDATE(Q120,12),AND(AI120="K5-LAW",AH120="นิติศาสตร์",OR(L120="M2",L120="K4"),U120="",AA120=""),EDATE(Q120,12*2),AND(AI120="K5-LAW",AH120="นิติศาสตร์",OR(AA120="M2",AA120="K4"),AD120&gt;=2,OR(AC120&lt;W120,AC120&lt;Q120)),EDATE(AC120,12*2),AND(AI120="K5-LAW",AH120="นิติศาสตร์",AA120="S1",AD120&gt;=1,OR(AC120&lt;W120,AC120&lt;Q120)),EDATE(AC120,12),AND(AI120="K5-LAW",AH120="นิติศาสตร์",OR(U120="M2",U120="K4"),X120&gt;=2,W120&lt;Q120),EDATE(W120,12*2),AND(AI120="K5-LAW",AH120="นิติศาสตร์",U120="S1",X120&gt;=1,W120&lt;Q120),EDATE(W120,12),AND(AI120="K5-LAW",AH120="นิติศาสตร์",OR(U120="S2",U120="K5")),W120,AND(AI120="K5-LAW",AH120="นิติศาสตร์",OR(L120="M2",L120="K4"),R120&gt;=2),EDATE(Q120,12*2),AND(AI120="K5-LAW",AH120="นิติศาสตร์",L120="S1",R120&gt;=1),EDATE(Q120,12),AND(AI120="K5-LAW",AH120="นิติศาสตร์",OR(L120="S2",L120="K5")),Q120,AND(AI120="K5-POLICY",AH120&lt;&gt;"นิติศาสตร์",L120="S2",U120="",AA120=""),Q120,AND(AI120="K5-POLICY",AH120&lt;&gt;"นิติศาสตร์",L120="S1",U120="",AA120=""),EDATE(Q120,12),AND(AI120="K5-POLICY",AH120&lt;&gt;"นิติศาสตร์",OR(L120="M2",L120="K4"),U120="",AA120=""),EDATE(Q120,12*2),AND(AI120="K5-POLICY",AH120&lt;&gt;"นิติศาสตร์",OR(AA120="M2",AA120="K4"),AD120&gt;=2,OR(AC120&lt;W120,AC120&lt;Q120)),EDATE(AC120,12*2),AND(AI120="K5-POLICY",AH120&lt;&gt;"นิติศาสตร์",AA120="S1",AD120&gt;=1,OR(AC120&lt;W120,AC120&lt;Q120)),EDATE(AC120,12),AND(AI120="K5-POLICY",AH120&lt;&gt;"นิติศาสตร์",OR(U120="M2",U120="K4"),X120&gt;=2,W120&lt;Q120),EDATE(W120,12*2),AND(AI120="K5-POLICY",AH120&lt;&gt;"นิติศาสตร์",U120="S1",X120&gt;=1,W120&lt;Q120),EDATE(W120,12),AND(AI120="K5-POLICY",AH120&lt;&gt;"นิติศาสตร์",OR(U120="S2",U120="K5")),W120,AND(AI120="K5-POLICY",AH120&lt;&gt;"นิติศาสตร์",OR(L120="M2",L120="K4"),R120&gt;=2),EDATE(Q120,12*2),AND(AI120="K5-POLICY",AH120&lt;&gt;"นิติศาสตร์",L120="S1",R120&gt;=1),EDATE(Q120,12),AND(AI120="K5-POLICY",AH120&lt;&gt;"นิติศาสตร์",OR(L120="S2",L120="K5")),Q120,TRUE,"Check Data")</f>
        <v/>
      </c>
      <c r="AK120" s="75" t="str">
        <f t="shared" si="39"/>
        <v>Check Data</v>
      </c>
      <c r="AL120" s="76" t="str">
        <f t="shared" si="26"/>
        <v>Check Data</v>
      </c>
      <c r="AM120" s="50" t="str">
        <f t="shared" si="40"/>
        <v>Check Data</v>
      </c>
      <c r="AN120" s="49" t="str">
        <f>IF(B120="","",IF(L120="S1","S1",INDEX(#REF!,#REF!)))</f>
        <v/>
      </c>
      <c r="AO120" s="49" t="str">
        <f t="shared" si="41"/>
        <v>M2</v>
      </c>
      <c r="AP120" s="50" t="b">
        <f>L120=AN120</f>
        <v>0</v>
      </c>
      <c r="AQ120" s="50"/>
    </row>
    <row r="121" spans="1:43" ht="21.75">
      <c r="A121" s="49">
        <v>119</v>
      </c>
      <c r="B121" s="50"/>
      <c r="C121" s="50"/>
      <c r="D121" s="50" t="s">
        <v>143</v>
      </c>
      <c r="E121" s="50" t="e">
        <f>INDEX(#REF!,#REF!)</f>
        <v>#REF!</v>
      </c>
      <c r="F121" s="49" t="s">
        <v>355</v>
      </c>
      <c r="G121" s="49" t="str">
        <f t="shared" si="37"/>
        <v>30/04/1993</v>
      </c>
      <c r="H121" s="50">
        <f t="shared" si="23"/>
        <v>32</v>
      </c>
      <c r="I121" s="50">
        <f t="shared" si="24"/>
        <v>1</v>
      </c>
      <c r="J121" s="50">
        <f t="shared" si="25"/>
        <v>21</v>
      </c>
      <c r="K121" s="58"/>
      <c r="L121" s="49" t="s">
        <v>136</v>
      </c>
      <c r="M121" s="64"/>
      <c r="N121" s="49" t="s">
        <v>427</v>
      </c>
      <c r="O121" s="49">
        <v>2569</v>
      </c>
      <c r="P121" s="65" t="s">
        <v>291</v>
      </c>
      <c r="Q121" s="49" t="str">
        <f t="shared" si="38"/>
        <v>01/11/2021</v>
      </c>
      <c r="R121" s="68">
        <f>IF(Q121="",0,DATEDIF(Q121,$C$1,"Y"))</f>
        <v>3</v>
      </c>
      <c r="S121" s="68">
        <f>IF(Q121="",0,DATEDIF(Q121,$C$1,"YM"))</f>
        <v>7</v>
      </c>
      <c r="T121" s="68">
        <f>IF(Q121="",0,DATEDIF(Q121,$C$1,"MD"))</f>
        <v>19</v>
      </c>
      <c r="U121" s="65"/>
      <c r="V121" s="65"/>
      <c r="W121" s="49" t="str">
        <f t="shared" si="42"/>
        <v/>
      </c>
      <c r="X121" s="68">
        <f>IF(W121="",0,DATEDIF(W121,Q121,"Y"))</f>
        <v>0</v>
      </c>
      <c r="Y121" s="68">
        <f>IF(W121="",0,DATEDIF(W121,Q121,"YM"))</f>
        <v>0</v>
      </c>
      <c r="Z121" s="68">
        <f>IF(W121="",0,DATEDIF(W121,Q121,"MD"))</f>
        <v>0</v>
      </c>
      <c r="AA121" s="49"/>
      <c r="AB121" s="65"/>
      <c r="AC121" s="50" t="str">
        <f t="shared" si="43"/>
        <v/>
      </c>
      <c r="AD121" s="68">
        <f t="shared" si="44"/>
        <v>0</v>
      </c>
      <c r="AE121" s="68">
        <f t="shared" si="45"/>
        <v>0</v>
      </c>
      <c r="AF121" s="68">
        <f t="shared" si="46"/>
        <v>0</v>
      </c>
      <c r="AG121" s="50"/>
      <c r="AH121" s="108" t="s">
        <v>167</v>
      </c>
      <c r="AI121" s="49" t="str">
        <f>IF(AH121="นิติศาสตร์","K5-LAW","K5-POLICY")</f>
        <v>K5-POLICY</v>
      </c>
      <c r="AJ121" s="72" t="str">
        <f>_xlfn.IFS(B121="","",AND(AI121="K5-LAW",AH121="นิติศาสตร์",L121="S2",U121="",AA121=""),Q121,AND(AI121="K5-LAW",AH121="นิติศาสตร์",L121="S1",U121="",AA121=""),EDATE(Q121,12),AND(AI121="K5-LAW",AH121="นิติศาสตร์",OR(L121="M2",L121="K4"),U121="",AA121=""),EDATE(Q121,12*2),AND(AI121="K5-LAW",AH121="นิติศาสตร์",OR(AA121="M2",AA121="K4"),AD121&gt;=2,OR(AC121&lt;W121,AC121&lt;Q121)),EDATE(AC121,12*2),AND(AI121="K5-LAW",AH121="นิติศาสตร์",AA121="S1",AD121&gt;=1,OR(AC121&lt;W121,AC121&lt;Q121)),EDATE(AC121,12),AND(AI121="K5-LAW",AH121="นิติศาสตร์",OR(U121="M2",U121="K4"),X121&gt;=2,W121&lt;Q121),EDATE(W121,12*2),AND(AI121="K5-LAW",AH121="นิติศาสตร์",U121="S1",X121&gt;=1,W121&lt;Q121),EDATE(W121,12),AND(AI121="K5-LAW",AH121="นิติศาสตร์",OR(U121="S2",U121="K5")),W121,AND(AI121="K5-LAW",AH121="นิติศาสตร์",OR(L121="M2",L121="K4"),R121&gt;=2),EDATE(Q121,12*2),AND(AI121="K5-LAW",AH121="นิติศาสตร์",L121="S1",R121&gt;=1),EDATE(Q121,12),AND(AI121="K5-LAW",AH121="นิติศาสตร์",OR(L121="S2",L121="K5")),Q121,AND(AI121="K5-POLICY",AH121&lt;&gt;"นิติศาสตร์",L121="S2",U121="",AA121=""),Q121,AND(AI121="K5-POLICY",AH121&lt;&gt;"นิติศาสตร์",L121="S1",U121="",AA121=""),EDATE(Q121,12),AND(AI121="K5-POLICY",AH121&lt;&gt;"นิติศาสตร์",OR(L121="M2",L121="K4"),U121="",AA121=""),EDATE(Q121,12*2),AND(AI121="K5-POLICY",AH121&lt;&gt;"นิติศาสตร์",OR(AA121="M2",AA121="K4"),AD121&gt;=2,OR(AC121&lt;W121,AC121&lt;Q121)),EDATE(AC121,12*2),AND(AI121="K5-POLICY",AH121&lt;&gt;"นิติศาสตร์",AA121="S1",AD121&gt;=1,OR(AC121&lt;W121,AC121&lt;Q121)),EDATE(AC121,12),AND(AI121="K5-POLICY",AH121&lt;&gt;"นิติศาสตร์",OR(U121="M2",U121="K4"),X121&gt;=2,W121&lt;Q121),EDATE(W121,12*2),AND(AI121="K5-POLICY",AH121&lt;&gt;"นิติศาสตร์",U121="S1",X121&gt;=1,W121&lt;Q121),EDATE(W121,12),AND(AI121="K5-POLICY",AH121&lt;&gt;"นิติศาสตร์",OR(U121="S2",U121="K5")),W121,AND(AI121="K5-POLICY",AH121&lt;&gt;"นิติศาสตร์",OR(L121="M2",L121="K4"),R121&gt;=2),EDATE(Q121,12*2),AND(AI121="K5-POLICY",AH121&lt;&gt;"นิติศาสตร์",L121="S1",R121&gt;=1),EDATE(Q121,12),AND(AI121="K5-POLICY",AH121&lt;&gt;"นิติศาสตร์",OR(L121="S2",L121="K5")),Q121,TRUE,"Check Data")</f>
        <v/>
      </c>
      <c r="AK121" s="75" t="str">
        <f t="shared" si="39"/>
        <v>Check Data</v>
      </c>
      <c r="AL121" s="76" t="str">
        <f t="shared" si="26"/>
        <v>Check Data</v>
      </c>
      <c r="AM121" s="50" t="str">
        <f t="shared" si="40"/>
        <v>Check Data</v>
      </c>
      <c r="AN121" s="49" t="str">
        <f>IF(B121="","",IF(L121="S1","S1",INDEX(#REF!,#REF!)))</f>
        <v/>
      </c>
      <c r="AO121" s="49" t="str">
        <f t="shared" si="41"/>
        <v>M2</v>
      </c>
      <c r="AP121" s="50" t="b">
        <f>L121=AN121</f>
        <v>0</v>
      </c>
      <c r="AQ121" s="50"/>
    </row>
    <row r="122" spans="1:43" ht="21.75">
      <c r="A122" s="49">
        <v>120</v>
      </c>
      <c r="B122" s="50"/>
      <c r="C122" s="50"/>
      <c r="D122" s="50" t="s">
        <v>143</v>
      </c>
      <c r="E122" s="50" t="e">
        <f>INDEX(#REF!,#REF!)</f>
        <v>#REF!</v>
      </c>
      <c r="F122" s="49" t="s">
        <v>342</v>
      </c>
      <c r="G122" s="49" t="str">
        <f t="shared" si="37"/>
        <v>11/07/1996</v>
      </c>
      <c r="H122" s="50">
        <f t="shared" si="23"/>
        <v>28</v>
      </c>
      <c r="I122" s="50">
        <f t="shared" si="24"/>
        <v>11</v>
      </c>
      <c r="J122" s="50">
        <f t="shared" si="25"/>
        <v>9</v>
      </c>
      <c r="K122" s="58"/>
      <c r="L122" s="49" t="s">
        <v>136</v>
      </c>
      <c r="M122" s="64"/>
      <c r="N122" s="49" t="s">
        <v>427</v>
      </c>
      <c r="O122" s="49">
        <v>2573</v>
      </c>
      <c r="P122" s="65" t="s">
        <v>291</v>
      </c>
      <c r="Q122" s="49" t="str">
        <f t="shared" si="38"/>
        <v>01/11/2021</v>
      </c>
      <c r="R122" s="68">
        <f>IF(Q122="",0,DATEDIF(Q122,$C$1,"Y"))</f>
        <v>3</v>
      </c>
      <c r="S122" s="68">
        <f>IF(Q122="",0,DATEDIF(Q122,$C$1,"YM"))</f>
        <v>7</v>
      </c>
      <c r="T122" s="68">
        <f>IF(Q122="",0,DATEDIF(Q122,$C$1,"MD"))</f>
        <v>19</v>
      </c>
      <c r="U122" s="65"/>
      <c r="V122" s="65"/>
      <c r="W122" s="49" t="str">
        <f t="shared" si="42"/>
        <v/>
      </c>
      <c r="X122" s="68">
        <f>IF(W122="",0,DATEDIF(W122,Q122,"Y"))</f>
        <v>0</v>
      </c>
      <c r="Y122" s="68">
        <f>IF(W122="",0,DATEDIF(W122,Q122,"YM"))</f>
        <v>0</v>
      </c>
      <c r="Z122" s="68">
        <f>IF(W122="",0,DATEDIF(W122,Q122,"MD"))</f>
        <v>0</v>
      </c>
      <c r="AA122" s="49"/>
      <c r="AB122" s="65"/>
      <c r="AC122" s="50" t="str">
        <f t="shared" si="43"/>
        <v/>
      </c>
      <c r="AD122" s="68">
        <f t="shared" si="44"/>
        <v>0</v>
      </c>
      <c r="AE122" s="68">
        <f t="shared" si="45"/>
        <v>0</v>
      </c>
      <c r="AF122" s="68">
        <f t="shared" si="46"/>
        <v>0</v>
      </c>
      <c r="AG122" s="50"/>
      <c r="AH122" s="108" t="s">
        <v>486</v>
      </c>
      <c r="AI122" s="49" t="str">
        <f>IF(AH122="นิติศาสตร์","K5-LAW","K5-POLICY")</f>
        <v>K5-POLICY</v>
      </c>
      <c r="AJ122" s="72" t="str">
        <f>_xlfn.IFS(B122="","",AND(AI122="K5-LAW",AH122="นิติศาสตร์",L122="S2",U122="",AA122=""),Q122,AND(AI122="K5-LAW",AH122="นิติศาสตร์",L122="S1",U122="",AA122=""),EDATE(Q122,12),AND(AI122="K5-LAW",AH122="นิติศาสตร์",OR(L122="M2",L122="K4"),U122="",AA122=""),EDATE(Q122,12*2),AND(AI122="K5-LAW",AH122="นิติศาสตร์",OR(AA122="M2",AA122="K4"),AD122&gt;=2,OR(AC122&lt;W122,AC122&lt;Q122)),EDATE(AC122,12*2),AND(AI122="K5-LAW",AH122="นิติศาสตร์",AA122="S1",AD122&gt;=1,OR(AC122&lt;W122,AC122&lt;Q122)),EDATE(AC122,12),AND(AI122="K5-LAW",AH122="นิติศาสตร์",OR(U122="M2",U122="K4"),X122&gt;=2,W122&lt;Q122),EDATE(W122,12*2),AND(AI122="K5-LAW",AH122="นิติศาสตร์",U122="S1",X122&gt;=1,W122&lt;Q122),EDATE(W122,12),AND(AI122="K5-LAW",AH122="นิติศาสตร์",OR(U122="S2",U122="K5")),W122,AND(AI122="K5-LAW",AH122="นิติศาสตร์",OR(L122="M2",L122="K4"),R122&gt;=2),EDATE(Q122,12*2),AND(AI122="K5-LAW",AH122="นิติศาสตร์",L122="S1",R122&gt;=1),EDATE(Q122,12),AND(AI122="K5-LAW",AH122="นิติศาสตร์",OR(L122="S2",L122="K5")),Q122,AND(AI122="K5-POLICY",AH122&lt;&gt;"นิติศาสตร์",L122="S2",U122="",AA122=""),Q122,AND(AI122="K5-POLICY",AH122&lt;&gt;"นิติศาสตร์",L122="S1",U122="",AA122=""),EDATE(Q122,12),AND(AI122="K5-POLICY",AH122&lt;&gt;"นิติศาสตร์",OR(L122="M2",L122="K4"),U122="",AA122=""),EDATE(Q122,12*2),AND(AI122="K5-POLICY",AH122&lt;&gt;"นิติศาสตร์",OR(AA122="M2",AA122="K4"),AD122&gt;=2,OR(AC122&lt;W122,AC122&lt;Q122)),EDATE(AC122,12*2),AND(AI122="K5-POLICY",AH122&lt;&gt;"นิติศาสตร์",AA122="S1",AD122&gt;=1,OR(AC122&lt;W122,AC122&lt;Q122)),EDATE(AC122,12),AND(AI122="K5-POLICY",AH122&lt;&gt;"นิติศาสตร์",OR(U122="M2",U122="K4"),X122&gt;=2,W122&lt;Q122),EDATE(W122,12*2),AND(AI122="K5-POLICY",AH122&lt;&gt;"นิติศาสตร์",U122="S1",X122&gt;=1,W122&lt;Q122),EDATE(W122,12),AND(AI122="K5-POLICY",AH122&lt;&gt;"นิติศาสตร์",OR(U122="S2",U122="K5")),W122,AND(AI122="K5-POLICY",AH122&lt;&gt;"นิติศาสตร์",OR(L122="M2",L122="K4"),R122&gt;=2),EDATE(Q122,12*2),AND(AI122="K5-POLICY",AH122&lt;&gt;"นิติศาสตร์",L122="S1",R122&gt;=1),EDATE(Q122,12),AND(AI122="K5-POLICY",AH122&lt;&gt;"นิติศาสตร์",OR(L122="S2",L122="K5")),Q122,TRUE,"Check Data")</f>
        <v/>
      </c>
      <c r="AK122" s="75" t="str">
        <f t="shared" si="39"/>
        <v>Check Data</v>
      </c>
      <c r="AL122" s="76" t="str">
        <f t="shared" si="26"/>
        <v>Check Data</v>
      </c>
      <c r="AM122" s="50" t="str">
        <f t="shared" si="40"/>
        <v>Check Data</v>
      </c>
      <c r="AN122" s="49" t="str">
        <f>IF(B122="","",IF(L122="S1","S1",INDEX(#REF!,#REF!)))</f>
        <v/>
      </c>
      <c r="AO122" s="49" t="str">
        <f t="shared" si="41"/>
        <v>M2</v>
      </c>
      <c r="AP122" s="50" t="b">
        <f>L122=AN122</f>
        <v>0</v>
      </c>
      <c r="AQ122" s="50"/>
    </row>
    <row r="123" spans="1:43" ht="21.75">
      <c r="A123" s="49">
        <v>121</v>
      </c>
      <c r="B123" s="50"/>
      <c r="C123" s="50"/>
      <c r="D123" s="50" t="s">
        <v>140</v>
      </c>
      <c r="E123" s="50" t="e">
        <f>INDEX(#REF!,#REF!)</f>
        <v>#REF!</v>
      </c>
      <c r="F123" s="49" t="s">
        <v>162</v>
      </c>
      <c r="G123" s="49" t="str">
        <f t="shared" si="37"/>
        <v>03/04/1989</v>
      </c>
      <c r="H123" s="50">
        <f t="shared" si="23"/>
        <v>36</v>
      </c>
      <c r="I123" s="50">
        <f t="shared" si="24"/>
        <v>2</v>
      </c>
      <c r="J123" s="50">
        <f t="shared" si="25"/>
        <v>17</v>
      </c>
      <c r="K123" s="57"/>
      <c r="L123" s="49" t="s">
        <v>136</v>
      </c>
      <c r="M123" s="64"/>
      <c r="N123" s="49" t="s">
        <v>425</v>
      </c>
      <c r="O123" s="49">
        <v>2570</v>
      </c>
      <c r="P123" s="65" t="s">
        <v>238</v>
      </c>
      <c r="Q123" s="49" t="str">
        <f t="shared" si="38"/>
        <v>19/11/2021</v>
      </c>
      <c r="R123" s="68">
        <f>IF(Q123="",0,DATEDIF(Q123,$C$1,"Y"))</f>
        <v>3</v>
      </c>
      <c r="S123" s="68">
        <f>IF(Q123="",0,DATEDIF(Q123,$C$1,"YM"))</f>
        <v>7</v>
      </c>
      <c r="T123" s="68">
        <f>IF(Q123="",0,DATEDIF(Q123,$C$1,"MD"))</f>
        <v>1</v>
      </c>
      <c r="U123" s="65"/>
      <c r="V123" s="65"/>
      <c r="W123" s="49" t="str">
        <f t="shared" si="42"/>
        <v/>
      </c>
      <c r="X123" s="68">
        <f>IF(W123="",0,DATEDIF(W123,Q123,"Y"))</f>
        <v>0</v>
      </c>
      <c r="Y123" s="68">
        <f>IF(W123="",0,DATEDIF(W123,Q123,"YM"))</f>
        <v>0</v>
      </c>
      <c r="Z123" s="68">
        <f>IF(W123="",0,DATEDIF(W123,Q123,"MD"))</f>
        <v>0</v>
      </c>
      <c r="AA123" s="49"/>
      <c r="AB123" s="65"/>
      <c r="AC123" s="50" t="str">
        <f t="shared" si="43"/>
        <v/>
      </c>
      <c r="AD123" s="68">
        <f t="shared" si="44"/>
        <v>0</v>
      </c>
      <c r="AE123" s="68">
        <f t="shared" si="45"/>
        <v>0</v>
      </c>
      <c r="AF123" s="68">
        <f t="shared" si="46"/>
        <v>0</v>
      </c>
      <c r="AG123" s="50"/>
      <c r="AH123" s="108" t="s">
        <v>138</v>
      </c>
      <c r="AI123" s="49" t="str">
        <f>IF(AH123="นิติศาสตร์","K5-LAW","K5-POLICY")</f>
        <v>K5-LAW</v>
      </c>
      <c r="AJ123" s="72" t="str">
        <f>_xlfn.IFS(B123="","",AND(AI123="K5-LAW",AH123="นิติศาสตร์",L123="S2",U123="",AA123=""),Q123,AND(AI123="K5-LAW",AH123="นิติศาสตร์",L123="S1",U123="",AA123=""),EDATE(Q123,12),AND(AI123="K5-LAW",AH123="นิติศาสตร์",OR(L123="M2",L123="K4"),U123="",AA123=""),EDATE(Q123,12*2),AND(AI123="K5-LAW",AH123="นิติศาสตร์",OR(AA123="M2",AA123="K4"),AD123&gt;=2,OR(AC123&lt;W123,AC123&lt;Q123)),EDATE(AC123,12*2),AND(AI123="K5-LAW",AH123="นิติศาสตร์",AA123="S1",AD123&gt;=1,OR(AC123&lt;W123,AC123&lt;Q123)),EDATE(AC123,12),AND(AI123="K5-LAW",AH123="นิติศาสตร์",OR(U123="M2",U123="K4"),X123&gt;=2,W123&lt;Q123),EDATE(W123,12*2),AND(AI123="K5-LAW",AH123="นิติศาสตร์",U123="S1",X123&gt;=1,W123&lt;Q123),EDATE(W123,12),AND(AI123="K5-LAW",AH123="นิติศาสตร์",OR(U123="S2",U123="K5")),W123,AND(AI123="K5-LAW",AH123="นิติศาสตร์",OR(L123="M2",L123="K4"),R123&gt;=2),EDATE(Q123,12*2),AND(AI123="K5-LAW",AH123="นิติศาสตร์",L123="S1",R123&gt;=1),EDATE(Q123,12),AND(AI123="K5-LAW",AH123="นิติศาสตร์",OR(L123="S2",L123="K5")),Q123,AND(AI123="K5-POLICY",AH123&lt;&gt;"นิติศาสตร์",L123="S2",U123="",AA123=""),Q123,AND(AI123="K5-POLICY",AH123&lt;&gt;"นิติศาสตร์",L123="S1",U123="",AA123=""),EDATE(Q123,12),AND(AI123="K5-POLICY",AH123&lt;&gt;"นิติศาสตร์",OR(L123="M2",L123="K4"),U123="",AA123=""),EDATE(Q123,12*2),AND(AI123="K5-POLICY",AH123&lt;&gt;"นิติศาสตร์",OR(AA123="M2",AA123="K4"),AD123&gt;=2,OR(AC123&lt;W123,AC123&lt;Q123)),EDATE(AC123,12*2),AND(AI123="K5-POLICY",AH123&lt;&gt;"นิติศาสตร์",AA123="S1",AD123&gt;=1,OR(AC123&lt;W123,AC123&lt;Q123)),EDATE(AC123,12),AND(AI123="K5-POLICY",AH123&lt;&gt;"นิติศาสตร์",OR(U123="M2",U123="K4"),X123&gt;=2,W123&lt;Q123),EDATE(W123,12*2),AND(AI123="K5-POLICY",AH123&lt;&gt;"นิติศาสตร์",U123="S1",X123&gt;=1,W123&lt;Q123),EDATE(W123,12),AND(AI123="K5-POLICY",AH123&lt;&gt;"นิติศาสตร์",OR(U123="S2",U123="K5")),W123,AND(AI123="K5-POLICY",AH123&lt;&gt;"นิติศาสตร์",OR(L123="M2",L123="K4"),R123&gt;=2),EDATE(Q123,12*2),AND(AI123="K5-POLICY",AH123&lt;&gt;"นิติศาสตร์",L123="S1",R123&gt;=1),EDATE(Q123,12),AND(AI123="K5-POLICY",AH123&lt;&gt;"นิติศาสตร์",OR(L123="S2",L123="K5")),Q123,TRUE,"Check Data")</f>
        <v/>
      </c>
      <c r="AK123" s="75" t="str">
        <f t="shared" si="39"/>
        <v>Check Data</v>
      </c>
      <c r="AL123" s="76" t="str">
        <f t="shared" si="26"/>
        <v>Check Data</v>
      </c>
      <c r="AM123" s="50" t="str">
        <f t="shared" si="40"/>
        <v>Check Data</v>
      </c>
      <c r="AN123" s="49" t="str">
        <f>IF(B123="","",IF(L123="S1","S1",INDEX(#REF!,#REF!)))</f>
        <v/>
      </c>
      <c r="AO123" s="49" t="str">
        <f t="shared" si="41"/>
        <v>M2</v>
      </c>
      <c r="AP123" s="50" t="b">
        <f>L123=AN123</f>
        <v>0</v>
      </c>
      <c r="AQ123" s="50"/>
    </row>
    <row r="124" spans="1:43" ht="21.75">
      <c r="A124" s="49">
        <v>122</v>
      </c>
      <c r="B124" s="50"/>
      <c r="C124" s="50"/>
      <c r="D124" s="50" t="s">
        <v>144</v>
      </c>
      <c r="E124" s="50" t="e">
        <f>INDEX(#REF!,#REF!)</f>
        <v>#REF!</v>
      </c>
      <c r="F124" s="49" t="s">
        <v>174</v>
      </c>
      <c r="G124" s="49" t="str">
        <f t="shared" si="37"/>
        <v>01/04/1992</v>
      </c>
      <c r="H124" s="50">
        <f t="shared" si="23"/>
        <v>33</v>
      </c>
      <c r="I124" s="50">
        <f t="shared" si="24"/>
        <v>2</v>
      </c>
      <c r="J124" s="50">
        <f t="shared" si="25"/>
        <v>19</v>
      </c>
      <c r="K124" s="57"/>
      <c r="L124" s="49" t="s">
        <v>136</v>
      </c>
      <c r="M124" s="64"/>
      <c r="N124" s="49" t="s">
        <v>427</v>
      </c>
      <c r="O124" s="49">
        <v>2577</v>
      </c>
      <c r="P124" s="65" t="s">
        <v>238</v>
      </c>
      <c r="Q124" s="49" t="str">
        <f t="shared" si="38"/>
        <v>19/11/2021</v>
      </c>
      <c r="R124" s="68">
        <f>IF(Q124="",0,DATEDIF(Q124,$C$1,"Y"))</f>
        <v>3</v>
      </c>
      <c r="S124" s="68">
        <f>IF(Q124="",0,DATEDIF(Q124,$C$1,"YM"))</f>
        <v>7</v>
      </c>
      <c r="T124" s="68">
        <f>IF(Q124="",0,DATEDIF(Q124,$C$1,"MD"))</f>
        <v>1</v>
      </c>
      <c r="U124" s="65"/>
      <c r="V124" s="65"/>
      <c r="W124" s="49" t="str">
        <f t="shared" si="42"/>
        <v/>
      </c>
      <c r="X124" s="68">
        <f>IF(W124="",0,DATEDIF(W124,Q124,"Y"))</f>
        <v>0</v>
      </c>
      <c r="Y124" s="68">
        <f>IF(W124="",0,DATEDIF(W124,Q124,"YM"))</f>
        <v>0</v>
      </c>
      <c r="Z124" s="68">
        <f>IF(W124="",0,DATEDIF(W124,Q124,"MD"))</f>
        <v>0</v>
      </c>
      <c r="AA124" s="49"/>
      <c r="AB124" s="65"/>
      <c r="AC124" s="50" t="str">
        <f t="shared" si="43"/>
        <v/>
      </c>
      <c r="AD124" s="68">
        <f t="shared" si="44"/>
        <v>0</v>
      </c>
      <c r="AE124" s="68">
        <f t="shared" si="45"/>
        <v>0</v>
      </c>
      <c r="AF124" s="68">
        <f t="shared" si="46"/>
        <v>0</v>
      </c>
      <c r="AG124" s="50"/>
      <c r="AH124" s="108" t="s">
        <v>163</v>
      </c>
      <c r="AI124" s="49" t="str">
        <f>IF(AH124="นิติศาสตร์","K5-LAW","K5-POLICY")</f>
        <v>K5-POLICY</v>
      </c>
      <c r="AJ124" s="72" t="str">
        <f>_xlfn.IFS(B124="","",AND(AI124="K5-LAW",AH124="นิติศาสตร์",L124="S2",U124="",AA124=""),Q124,AND(AI124="K5-LAW",AH124="นิติศาสตร์",L124="S1",U124="",AA124=""),EDATE(Q124,12),AND(AI124="K5-LAW",AH124="นิติศาสตร์",OR(L124="M2",L124="K4"),U124="",AA124=""),EDATE(Q124,12*2),AND(AI124="K5-LAW",AH124="นิติศาสตร์",OR(AA124="M2",AA124="K4"),AD124&gt;=2,OR(AC124&lt;W124,AC124&lt;Q124)),EDATE(AC124,12*2),AND(AI124="K5-LAW",AH124="นิติศาสตร์",AA124="S1",AD124&gt;=1,OR(AC124&lt;W124,AC124&lt;Q124)),EDATE(AC124,12),AND(AI124="K5-LAW",AH124="นิติศาสตร์",OR(U124="M2",U124="K4"),X124&gt;=2,W124&lt;Q124),EDATE(W124,12*2),AND(AI124="K5-LAW",AH124="นิติศาสตร์",U124="S1",X124&gt;=1,W124&lt;Q124),EDATE(W124,12),AND(AI124="K5-LAW",AH124="นิติศาสตร์",OR(U124="S2",U124="K5")),W124,AND(AI124="K5-LAW",AH124="นิติศาสตร์",OR(L124="M2",L124="K4"),R124&gt;=2),EDATE(Q124,12*2),AND(AI124="K5-LAW",AH124="นิติศาสตร์",L124="S1",R124&gt;=1),EDATE(Q124,12),AND(AI124="K5-LAW",AH124="นิติศาสตร์",OR(L124="S2",L124="K5")),Q124,AND(AI124="K5-POLICY",AH124&lt;&gt;"นิติศาสตร์",L124="S2",U124="",AA124=""),Q124,AND(AI124="K5-POLICY",AH124&lt;&gt;"นิติศาสตร์",L124="S1",U124="",AA124=""),EDATE(Q124,12),AND(AI124="K5-POLICY",AH124&lt;&gt;"นิติศาสตร์",OR(L124="M2",L124="K4"),U124="",AA124=""),EDATE(Q124,12*2),AND(AI124="K5-POLICY",AH124&lt;&gt;"นิติศาสตร์",OR(AA124="M2",AA124="K4"),AD124&gt;=2,OR(AC124&lt;W124,AC124&lt;Q124)),EDATE(AC124,12*2),AND(AI124="K5-POLICY",AH124&lt;&gt;"นิติศาสตร์",AA124="S1",AD124&gt;=1,OR(AC124&lt;W124,AC124&lt;Q124)),EDATE(AC124,12),AND(AI124="K5-POLICY",AH124&lt;&gt;"นิติศาสตร์",OR(U124="M2",U124="K4"),X124&gt;=2,W124&lt;Q124),EDATE(W124,12*2),AND(AI124="K5-POLICY",AH124&lt;&gt;"นิติศาสตร์",U124="S1",X124&gt;=1,W124&lt;Q124),EDATE(W124,12),AND(AI124="K5-POLICY",AH124&lt;&gt;"นิติศาสตร์",OR(U124="S2",U124="K5")),W124,AND(AI124="K5-POLICY",AH124&lt;&gt;"นิติศาสตร์",OR(L124="M2",L124="K4"),R124&gt;=2),EDATE(Q124,12*2),AND(AI124="K5-POLICY",AH124&lt;&gt;"นิติศาสตร์",L124="S1",R124&gt;=1),EDATE(Q124,12),AND(AI124="K5-POLICY",AH124&lt;&gt;"นิติศาสตร์",OR(L124="S2",L124="K5")),Q124,TRUE,"Check Data")</f>
        <v/>
      </c>
      <c r="AK124" s="75" t="str">
        <f t="shared" si="39"/>
        <v>Check Data</v>
      </c>
      <c r="AL124" s="76" t="str">
        <f t="shared" si="26"/>
        <v>Check Data</v>
      </c>
      <c r="AM124" s="50" t="str">
        <f t="shared" si="40"/>
        <v>Check Data</v>
      </c>
      <c r="AN124" s="49" t="str">
        <f>IF(B124="","",IF(L124="S1","S1",INDEX(#REF!,#REF!)))</f>
        <v/>
      </c>
      <c r="AO124" s="49" t="str">
        <f t="shared" si="41"/>
        <v>M2</v>
      </c>
      <c r="AP124" s="50" t="b">
        <f>L124=AN124</f>
        <v>0</v>
      </c>
      <c r="AQ124" s="50"/>
    </row>
    <row r="125" spans="1:43" ht="21.75">
      <c r="A125" s="49">
        <v>123</v>
      </c>
      <c r="B125" s="50"/>
      <c r="C125" s="50"/>
      <c r="D125" s="50" t="s">
        <v>142</v>
      </c>
      <c r="E125" s="50" t="e">
        <f>INDEX(#REF!,#REF!)</f>
        <v>#REF!</v>
      </c>
      <c r="F125" s="49" t="s">
        <v>275</v>
      </c>
      <c r="G125" s="49" t="str">
        <f t="shared" si="37"/>
        <v>21/06/1993</v>
      </c>
      <c r="H125" s="50">
        <f t="shared" si="23"/>
        <v>31</v>
      </c>
      <c r="I125" s="50">
        <f t="shared" si="24"/>
        <v>11</v>
      </c>
      <c r="J125" s="50">
        <f t="shared" si="25"/>
        <v>30</v>
      </c>
      <c r="K125" s="58"/>
      <c r="L125" s="49" t="s">
        <v>136</v>
      </c>
      <c r="M125" s="64"/>
      <c r="N125" s="49" t="s">
        <v>427</v>
      </c>
      <c r="O125" s="49">
        <v>2569</v>
      </c>
      <c r="P125" s="65" t="s">
        <v>276</v>
      </c>
      <c r="Q125" s="49" t="str">
        <f t="shared" si="38"/>
        <v>03/12/2021</v>
      </c>
      <c r="R125" s="68">
        <f>IF(Q125="",0,DATEDIF(Q125,$C$1,"Y"))</f>
        <v>3</v>
      </c>
      <c r="S125" s="68">
        <f>IF(Q125="",0,DATEDIF(Q125,$C$1,"YM"))</f>
        <v>6</v>
      </c>
      <c r="T125" s="68">
        <f>IF(Q125="",0,DATEDIF(Q125,$C$1,"MD"))</f>
        <v>17</v>
      </c>
      <c r="U125" s="65"/>
      <c r="V125" s="65"/>
      <c r="W125" s="49" t="str">
        <f t="shared" si="42"/>
        <v/>
      </c>
      <c r="X125" s="68">
        <f>IF(W125="",0,DATEDIF(W125,Q125,"Y"))</f>
        <v>0</v>
      </c>
      <c r="Y125" s="68">
        <f>IF(W125="",0,DATEDIF(W125,Q125,"YM"))</f>
        <v>0</v>
      </c>
      <c r="Z125" s="68">
        <f>IF(W125="",0,DATEDIF(W125,Q125,"MD"))</f>
        <v>0</v>
      </c>
      <c r="AA125" s="49"/>
      <c r="AB125" s="65"/>
      <c r="AC125" s="50" t="str">
        <f t="shared" si="43"/>
        <v/>
      </c>
      <c r="AD125" s="68">
        <f t="shared" si="44"/>
        <v>0</v>
      </c>
      <c r="AE125" s="68">
        <f t="shared" si="45"/>
        <v>0</v>
      </c>
      <c r="AF125" s="68">
        <f t="shared" si="46"/>
        <v>0</v>
      </c>
      <c r="AG125" s="50"/>
      <c r="AH125" s="108" t="s">
        <v>138</v>
      </c>
      <c r="AI125" s="49" t="str">
        <f>IF(AH125="นิติศาสตร์","K5-LAW","K5-POLICY")</f>
        <v>K5-LAW</v>
      </c>
      <c r="AJ125" s="72" t="str">
        <f>_xlfn.IFS(B125="","",AND(AI125="K5-LAW",AH125="นิติศาสตร์",L125="S2",U125="",AA125=""),Q125,AND(AI125="K5-LAW",AH125="นิติศาสตร์",L125="S1",U125="",AA125=""),EDATE(Q125,12),AND(AI125="K5-LAW",AH125="นิติศาสตร์",OR(L125="M2",L125="K4"),U125="",AA125=""),EDATE(Q125,12*2),AND(AI125="K5-LAW",AH125="นิติศาสตร์",OR(AA125="M2",AA125="K4"),AD125&gt;=2,OR(AC125&lt;W125,AC125&lt;Q125)),EDATE(AC125,12*2),AND(AI125="K5-LAW",AH125="นิติศาสตร์",AA125="S1",AD125&gt;=1,OR(AC125&lt;W125,AC125&lt;Q125)),EDATE(AC125,12),AND(AI125="K5-LAW",AH125="นิติศาสตร์",OR(U125="M2",U125="K4"),X125&gt;=2,W125&lt;Q125),EDATE(W125,12*2),AND(AI125="K5-LAW",AH125="นิติศาสตร์",U125="S1",X125&gt;=1,W125&lt;Q125),EDATE(W125,12),AND(AI125="K5-LAW",AH125="นิติศาสตร์",OR(U125="S2",U125="K5")),W125,AND(AI125="K5-LAW",AH125="นิติศาสตร์",OR(L125="M2",L125="K4"),R125&gt;=2),EDATE(Q125,12*2),AND(AI125="K5-LAW",AH125="นิติศาสตร์",L125="S1",R125&gt;=1),EDATE(Q125,12),AND(AI125="K5-LAW",AH125="นิติศาสตร์",OR(L125="S2",L125="K5")),Q125,AND(AI125="K5-POLICY",AH125&lt;&gt;"นิติศาสตร์",L125="S2",U125="",AA125=""),Q125,AND(AI125="K5-POLICY",AH125&lt;&gt;"นิติศาสตร์",L125="S1",U125="",AA125=""),EDATE(Q125,12),AND(AI125="K5-POLICY",AH125&lt;&gt;"นิติศาสตร์",OR(L125="M2",L125="K4"),U125="",AA125=""),EDATE(Q125,12*2),AND(AI125="K5-POLICY",AH125&lt;&gt;"นิติศาสตร์",OR(AA125="M2",AA125="K4"),AD125&gt;=2,OR(AC125&lt;W125,AC125&lt;Q125)),EDATE(AC125,12*2),AND(AI125="K5-POLICY",AH125&lt;&gt;"นิติศาสตร์",AA125="S1",AD125&gt;=1,OR(AC125&lt;W125,AC125&lt;Q125)),EDATE(AC125,12),AND(AI125="K5-POLICY",AH125&lt;&gt;"นิติศาสตร์",OR(U125="M2",U125="K4"),X125&gt;=2,W125&lt;Q125),EDATE(W125,12*2),AND(AI125="K5-POLICY",AH125&lt;&gt;"นิติศาสตร์",U125="S1",X125&gt;=1,W125&lt;Q125),EDATE(W125,12),AND(AI125="K5-POLICY",AH125&lt;&gt;"นิติศาสตร์",OR(U125="S2",U125="K5")),W125,AND(AI125="K5-POLICY",AH125&lt;&gt;"นิติศาสตร์",OR(L125="M2",L125="K4"),R125&gt;=2),EDATE(Q125,12*2),AND(AI125="K5-POLICY",AH125&lt;&gt;"นิติศาสตร์",L125="S1",R125&gt;=1),EDATE(Q125,12),AND(AI125="K5-POLICY",AH125&lt;&gt;"นิติศาสตร์",OR(L125="S2",L125="K5")),Q125,TRUE,"Check Data")</f>
        <v/>
      </c>
      <c r="AK125" s="75" t="str">
        <f t="shared" si="39"/>
        <v>Check Data</v>
      </c>
      <c r="AL125" s="76" t="str">
        <f t="shared" si="26"/>
        <v>Check Data</v>
      </c>
      <c r="AM125" s="50" t="str">
        <f t="shared" si="40"/>
        <v>Check Data</v>
      </c>
      <c r="AN125" s="49" t="str">
        <f>IF(B125="","",IF(L125="S1","S1",INDEX(#REF!,#REF!)))</f>
        <v/>
      </c>
      <c r="AO125" s="49" t="str">
        <f t="shared" si="41"/>
        <v>M2</v>
      </c>
      <c r="AP125" s="50" t="b">
        <f>L125=AN125</f>
        <v>0</v>
      </c>
      <c r="AQ125" s="50"/>
    </row>
    <row r="126" spans="1:43" ht="21.75">
      <c r="A126" s="49">
        <v>124</v>
      </c>
      <c r="B126" s="50"/>
      <c r="C126" s="50"/>
      <c r="D126" s="50" t="s">
        <v>142</v>
      </c>
      <c r="E126" s="50" t="e">
        <f>INDEX(#REF!,#REF!)</f>
        <v>#REF!</v>
      </c>
      <c r="F126" s="49" t="s">
        <v>277</v>
      </c>
      <c r="G126" s="49" t="str">
        <f t="shared" si="37"/>
        <v>15/09/1997</v>
      </c>
      <c r="H126" s="50">
        <f t="shared" si="23"/>
        <v>27</v>
      </c>
      <c r="I126" s="50">
        <f t="shared" si="24"/>
        <v>9</v>
      </c>
      <c r="J126" s="50">
        <f t="shared" si="25"/>
        <v>5</v>
      </c>
      <c r="K126" s="58"/>
      <c r="L126" s="49" t="s">
        <v>136</v>
      </c>
      <c r="M126" s="64"/>
      <c r="N126" s="49" t="s">
        <v>427</v>
      </c>
      <c r="O126" s="49">
        <v>2573</v>
      </c>
      <c r="P126" s="65" t="s">
        <v>276</v>
      </c>
      <c r="Q126" s="49" t="str">
        <f t="shared" si="38"/>
        <v>03/12/2021</v>
      </c>
      <c r="R126" s="68">
        <f>IF(Q126="",0,DATEDIF(Q126,$C$1,"Y"))</f>
        <v>3</v>
      </c>
      <c r="S126" s="68">
        <f>IF(Q126="",0,DATEDIF(Q126,$C$1,"YM"))</f>
        <v>6</v>
      </c>
      <c r="T126" s="68">
        <f>IF(Q126="",0,DATEDIF(Q126,$C$1,"MD"))</f>
        <v>17</v>
      </c>
      <c r="U126" s="65"/>
      <c r="V126" s="65"/>
      <c r="W126" s="49" t="str">
        <f t="shared" si="42"/>
        <v/>
      </c>
      <c r="X126" s="68">
        <f>IF(W126="",0,DATEDIF(W126,Q126,"Y"))</f>
        <v>0</v>
      </c>
      <c r="Y126" s="68">
        <f>IF(W126="",0,DATEDIF(W126,Q126,"YM"))</f>
        <v>0</v>
      </c>
      <c r="Z126" s="68">
        <f>IF(W126="",0,DATEDIF(W126,Q126,"MD"))</f>
        <v>0</v>
      </c>
      <c r="AA126" s="49"/>
      <c r="AB126" s="65"/>
      <c r="AC126" s="50" t="str">
        <f t="shared" si="43"/>
        <v/>
      </c>
      <c r="AD126" s="68">
        <f t="shared" si="44"/>
        <v>0</v>
      </c>
      <c r="AE126" s="68">
        <f t="shared" si="45"/>
        <v>0</v>
      </c>
      <c r="AF126" s="68">
        <f t="shared" si="46"/>
        <v>0</v>
      </c>
      <c r="AG126" s="50"/>
      <c r="AH126" s="108" t="s">
        <v>138</v>
      </c>
      <c r="AI126" s="49" t="str">
        <f>IF(AH126="นิติศาสตร์","K5-LAW","K5-POLICY")</f>
        <v>K5-LAW</v>
      </c>
      <c r="AJ126" s="72" t="str">
        <f>_xlfn.IFS(B126="","",AND(AI126="K5-LAW",AH126="นิติศาสตร์",L126="S2",U126="",AA126=""),Q126,AND(AI126="K5-LAW",AH126="นิติศาสตร์",L126="S1",U126="",AA126=""),EDATE(Q126,12),AND(AI126="K5-LAW",AH126="นิติศาสตร์",OR(L126="M2",L126="K4"),U126="",AA126=""),EDATE(Q126,12*2),AND(AI126="K5-LAW",AH126="นิติศาสตร์",OR(AA126="M2",AA126="K4"),AD126&gt;=2,OR(AC126&lt;W126,AC126&lt;Q126)),EDATE(AC126,12*2),AND(AI126="K5-LAW",AH126="นิติศาสตร์",AA126="S1",AD126&gt;=1,OR(AC126&lt;W126,AC126&lt;Q126)),EDATE(AC126,12),AND(AI126="K5-LAW",AH126="นิติศาสตร์",OR(U126="M2",U126="K4"),X126&gt;=2,W126&lt;Q126),EDATE(W126,12*2),AND(AI126="K5-LAW",AH126="นิติศาสตร์",U126="S1",X126&gt;=1,W126&lt;Q126),EDATE(W126,12),AND(AI126="K5-LAW",AH126="นิติศาสตร์",OR(U126="S2",U126="K5")),W126,AND(AI126="K5-LAW",AH126="นิติศาสตร์",OR(L126="M2",L126="K4"),R126&gt;=2),EDATE(Q126,12*2),AND(AI126="K5-LAW",AH126="นิติศาสตร์",L126="S1",R126&gt;=1),EDATE(Q126,12),AND(AI126="K5-LAW",AH126="นิติศาสตร์",OR(L126="S2",L126="K5")),Q126,AND(AI126="K5-POLICY",AH126&lt;&gt;"นิติศาสตร์",L126="S2",U126="",AA126=""),Q126,AND(AI126="K5-POLICY",AH126&lt;&gt;"นิติศาสตร์",L126="S1",U126="",AA126=""),EDATE(Q126,12),AND(AI126="K5-POLICY",AH126&lt;&gt;"นิติศาสตร์",OR(L126="M2",L126="K4"),U126="",AA126=""),EDATE(Q126,12*2),AND(AI126="K5-POLICY",AH126&lt;&gt;"นิติศาสตร์",OR(AA126="M2",AA126="K4"),AD126&gt;=2,OR(AC126&lt;W126,AC126&lt;Q126)),EDATE(AC126,12*2),AND(AI126="K5-POLICY",AH126&lt;&gt;"นิติศาสตร์",AA126="S1",AD126&gt;=1,OR(AC126&lt;W126,AC126&lt;Q126)),EDATE(AC126,12),AND(AI126="K5-POLICY",AH126&lt;&gt;"นิติศาสตร์",OR(U126="M2",U126="K4"),X126&gt;=2,W126&lt;Q126),EDATE(W126,12*2),AND(AI126="K5-POLICY",AH126&lt;&gt;"นิติศาสตร์",U126="S1",X126&gt;=1,W126&lt;Q126),EDATE(W126,12),AND(AI126="K5-POLICY",AH126&lt;&gt;"นิติศาสตร์",OR(U126="S2",U126="K5")),W126,AND(AI126="K5-POLICY",AH126&lt;&gt;"นิติศาสตร์",OR(L126="M2",L126="K4"),R126&gt;=2),EDATE(Q126,12*2),AND(AI126="K5-POLICY",AH126&lt;&gt;"นิติศาสตร์",L126="S1",R126&gt;=1),EDATE(Q126,12),AND(AI126="K5-POLICY",AH126&lt;&gt;"นิติศาสตร์",OR(L126="S2",L126="K5")),Q126,TRUE,"Check Data")</f>
        <v/>
      </c>
      <c r="AK126" s="75" t="str">
        <f t="shared" si="39"/>
        <v>Check Data</v>
      </c>
      <c r="AL126" s="76" t="str">
        <f t="shared" si="26"/>
        <v>Check Data</v>
      </c>
      <c r="AM126" s="50" t="str">
        <f t="shared" si="40"/>
        <v>Check Data</v>
      </c>
      <c r="AN126" s="49" t="str">
        <f>IF(B126="","",IF(L126="S1","S1",INDEX(#REF!,#REF!)))</f>
        <v/>
      </c>
      <c r="AO126" s="49" t="str">
        <f t="shared" si="41"/>
        <v>M2</v>
      </c>
      <c r="AP126" s="50" t="b">
        <f>L126=AN126</f>
        <v>0</v>
      </c>
      <c r="AQ126" s="50"/>
    </row>
    <row r="127" spans="1:43" ht="21.75">
      <c r="A127" s="49">
        <v>125</v>
      </c>
      <c r="B127" s="50"/>
      <c r="C127" s="50"/>
      <c r="D127" s="50" t="s">
        <v>142</v>
      </c>
      <c r="E127" s="50" t="e">
        <f>INDEX(#REF!,#REF!)</f>
        <v>#REF!</v>
      </c>
      <c r="F127" s="49" t="s">
        <v>277</v>
      </c>
      <c r="G127" s="49" t="str">
        <f t="shared" si="37"/>
        <v>15/09/1997</v>
      </c>
      <c r="H127" s="50">
        <f t="shared" si="23"/>
        <v>27</v>
      </c>
      <c r="I127" s="50">
        <f t="shared" si="24"/>
        <v>9</v>
      </c>
      <c r="J127" s="50">
        <f t="shared" si="25"/>
        <v>5</v>
      </c>
      <c r="K127" s="58"/>
      <c r="L127" s="49" t="s">
        <v>136</v>
      </c>
      <c r="M127" s="64"/>
      <c r="N127" s="49" t="s">
        <v>427</v>
      </c>
      <c r="O127" s="49">
        <v>2573</v>
      </c>
      <c r="P127" s="65" t="s">
        <v>276</v>
      </c>
      <c r="Q127" s="49" t="str">
        <f t="shared" si="38"/>
        <v>03/12/2021</v>
      </c>
      <c r="R127" s="68">
        <f>IF(Q127="",0,DATEDIF(Q127,$C$1,"Y"))</f>
        <v>3</v>
      </c>
      <c r="S127" s="68">
        <f>IF(Q127="",0,DATEDIF(Q127,$C$1,"YM"))</f>
        <v>6</v>
      </c>
      <c r="T127" s="68">
        <f>IF(Q127="",0,DATEDIF(Q127,$C$1,"MD"))</f>
        <v>17</v>
      </c>
      <c r="U127" s="65"/>
      <c r="V127" s="65"/>
      <c r="W127" s="49" t="str">
        <f t="shared" si="42"/>
        <v/>
      </c>
      <c r="X127" s="68">
        <f>IF(W127="",0,DATEDIF(W127,Q127,"Y"))</f>
        <v>0</v>
      </c>
      <c r="Y127" s="68">
        <f>IF(W127="",0,DATEDIF(W127,Q127,"YM"))</f>
        <v>0</v>
      </c>
      <c r="Z127" s="68">
        <f>IF(W127="",0,DATEDIF(W127,Q127,"MD"))</f>
        <v>0</v>
      </c>
      <c r="AA127" s="49"/>
      <c r="AB127" s="65"/>
      <c r="AC127" s="50" t="str">
        <f t="shared" si="43"/>
        <v/>
      </c>
      <c r="AD127" s="68">
        <f t="shared" si="44"/>
        <v>0</v>
      </c>
      <c r="AE127" s="68">
        <f t="shared" si="45"/>
        <v>0</v>
      </c>
      <c r="AF127" s="68">
        <f t="shared" si="46"/>
        <v>0</v>
      </c>
      <c r="AG127" s="50"/>
      <c r="AH127" s="108" t="s">
        <v>178</v>
      </c>
      <c r="AI127" s="49" t="str">
        <f>IF(AH127="นิติศาสตร์","K5-LAW","K5-POLICY")</f>
        <v>K5-POLICY</v>
      </c>
      <c r="AJ127" s="72" t="str">
        <f>_xlfn.IFS(B127="","",AND(AI127="K5-LAW",AH127="นิติศาสตร์",L127="S2",U127="",AA127=""),Q127,AND(AI127="K5-LAW",AH127="นิติศาสตร์",L127="S1",U127="",AA127=""),EDATE(Q127,12),AND(AI127="K5-LAW",AH127="นิติศาสตร์",OR(L127="M2",L127="K4"),U127="",AA127=""),EDATE(Q127,12*2),AND(AI127="K5-LAW",AH127="นิติศาสตร์",OR(AA127="M2",AA127="K4"),AD127&gt;=2,OR(AC127&lt;W127,AC127&lt;Q127)),EDATE(AC127,12*2),AND(AI127="K5-LAW",AH127="นิติศาสตร์",AA127="S1",AD127&gt;=1,OR(AC127&lt;W127,AC127&lt;Q127)),EDATE(AC127,12),AND(AI127="K5-LAW",AH127="นิติศาสตร์",OR(U127="M2",U127="K4"),X127&gt;=2,W127&lt;Q127),EDATE(W127,12*2),AND(AI127="K5-LAW",AH127="นิติศาสตร์",U127="S1",X127&gt;=1,W127&lt;Q127),EDATE(W127,12),AND(AI127="K5-LAW",AH127="นิติศาสตร์",OR(U127="S2",U127="K5")),W127,AND(AI127="K5-LAW",AH127="นิติศาสตร์",OR(L127="M2",L127="K4"),R127&gt;=2),EDATE(Q127,12*2),AND(AI127="K5-LAW",AH127="นิติศาสตร์",L127="S1",R127&gt;=1),EDATE(Q127,12),AND(AI127="K5-LAW",AH127="นิติศาสตร์",OR(L127="S2",L127="K5")),Q127,AND(AI127="K5-POLICY",AH127&lt;&gt;"นิติศาสตร์",L127="S2",U127="",AA127=""),Q127,AND(AI127="K5-POLICY",AH127&lt;&gt;"นิติศาสตร์",L127="S1",U127="",AA127=""),EDATE(Q127,12),AND(AI127="K5-POLICY",AH127&lt;&gt;"นิติศาสตร์",OR(L127="M2",L127="K4"),U127="",AA127=""),EDATE(Q127,12*2),AND(AI127="K5-POLICY",AH127&lt;&gt;"นิติศาสตร์",OR(AA127="M2",AA127="K4"),AD127&gt;=2,OR(AC127&lt;W127,AC127&lt;Q127)),EDATE(AC127,12*2),AND(AI127="K5-POLICY",AH127&lt;&gt;"นิติศาสตร์",AA127="S1",AD127&gt;=1,OR(AC127&lt;W127,AC127&lt;Q127)),EDATE(AC127,12),AND(AI127="K5-POLICY",AH127&lt;&gt;"นิติศาสตร์",OR(U127="M2",U127="K4"),X127&gt;=2,W127&lt;Q127),EDATE(W127,12*2),AND(AI127="K5-POLICY",AH127&lt;&gt;"นิติศาสตร์",U127="S1",X127&gt;=1,W127&lt;Q127),EDATE(W127,12),AND(AI127="K5-POLICY",AH127&lt;&gt;"นิติศาสตร์",OR(U127="S2",U127="K5")),W127,AND(AI127="K5-POLICY",AH127&lt;&gt;"นิติศาสตร์",OR(L127="M2",L127="K4"),R127&gt;=2),EDATE(Q127,12*2),AND(AI127="K5-POLICY",AH127&lt;&gt;"นิติศาสตร์",L127="S1",R127&gt;=1),EDATE(Q127,12),AND(AI127="K5-POLICY",AH127&lt;&gt;"นิติศาสตร์",OR(L127="S2",L127="K5")),Q127,TRUE,"Check Data")</f>
        <v/>
      </c>
      <c r="AK127" s="75" t="str">
        <f t="shared" si="39"/>
        <v>Check Data</v>
      </c>
      <c r="AL127" s="76" t="str">
        <f t="shared" si="26"/>
        <v>Check Data</v>
      </c>
      <c r="AM127" s="50" t="str">
        <f t="shared" si="40"/>
        <v>Check Data</v>
      </c>
      <c r="AN127" s="49" t="str">
        <f>IF(B127="","",IF(L127="S1","S1",INDEX(#REF!,#REF!)))</f>
        <v/>
      </c>
      <c r="AO127" s="49" t="str">
        <f t="shared" si="41"/>
        <v>M2</v>
      </c>
      <c r="AP127" s="50" t="b">
        <f>L127=AN127</f>
        <v>0</v>
      </c>
      <c r="AQ127" s="50"/>
    </row>
    <row r="128" spans="1:43" ht="21.75">
      <c r="A128" s="49">
        <v>126</v>
      </c>
      <c r="B128" s="50"/>
      <c r="C128" s="50"/>
      <c r="D128" s="50" t="s">
        <v>142</v>
      </c>
      <c r="E128" s="50" t="e">
        <f>INDEX(#REF!,#REF!)</f>
        <v>#REF!</v>
      </c>
      <c r="F128" s="49" t="s">
        <v>251</v>
      </c>
      <c r="G128" s="49" t="str">
        <f t="shared" si="37"/>
        <v>15/08/1997</v>
      </c>
      <c r="H128" s="50">
        <f t="shared" si="23"/>
        <v>27</v>
      </c>
      <c r="I128" s="50">
        <f t="shared" si="24"/>
        <v>10</v>
      </c>
      <c r="J128" s="50">
        <f t="shared" si="25"/>
        <v>5</v>
      </c>
      <c r="K128" s="58"/>
      <c r="L128" s="49" t="s">
        <v>136</v>
      </c>
      <c r="M128" s="64"/>
      <c r="N128" s="49" t="s">
        <v>427</v>
      </c>
      <c r="O128" s="49">
        <v>2572</v>
      </c>
      <c r="P128" s="65" t="s">
        <v>276</v>
      </c>
      <c r="Q128" s="49" t="str">
        <f t="shared" si="38"/>
        <v>03/12/2021</v>
      </c>
      <c r="R128" s="68">
        <f>IF(Q128="",0,DATEDIF(Q128,$C$1,"Y"))</f>
        <v>3</v>
      </c>
      <c r="S128" s="68">
        <f>IF(Q128="",0,DATEDIF(Q128,$C$1,"YM"))</f>
        <v>6</v>
      </c>
      <c r="T128" s="68">
        <f>IF(Q128="",0,DATEDIF(Q128,$C$1,"MD"))</f>
        <v>17</v>
      </c>
      <c r="U128" s="65"/>
      <c r="V128" s="65"/>
      <c r="W128" s="49" t="str">
        <f t="shared" si="42"/>
        <v/>
      </c>
      <c r="X128" s="68">
        <f>IF(W128="",0,DATEDIF(W128,Q128,"Y"))</f>
        <v>0</v>
      </c>
      <c r="Y128" s="68">
        <f>IF(W128="",0,DATEDIF(W128,Q128,"YM"))</f>
        <v>0</v>
      </c>
      <c r="Z128" s="68">
        <f>IF(W128="",0,DATEDIF(W128,Q128,"MD"))</f>
        <v>0</v>
      </c>
      <c r="AA128" s="49"/>
      <c r="AB128" s="65"/>
      <c r="AC128" s="50" t="str">
        <f t="shared" si="43"/>
        <v/>
      </c>
      <c r="AD128" s="68">
        <f t="shared" si="44"/>
        <v>0</v>
      </c>
      <c r="AE128" s="68">
        <f t="shared" si="45"/>
        <v>0</v>
      </c>
      <c r="AF128" s="68">
        <f t="shared" si="46"/>
        <v>0</v>
      </c>
      <c r="AG128" s="50"/>
      <c r="AH128" s="108" t="s">
        <v>172</v>
      </c>
      <c r="AI128" s="49" t="str">
        <f>IF(AH128="นิติศาสตร์","K5-LAW","K5-POLICY")</f>
        <v>K5-POLICY</v>
      </c>
      <c r="AJ128" s="72" t="str">
        <f>_xlfn.IFS(B128="","",AND(AI128="K5-LAW",AH128="นิติศาสตร์",L128="S2",U128="",AA128=""),Q128,AND(AI128="K5-LAW",AH128="นิติศาสตร์",L128="S1",U128="",AA128=""),EDATE(Q128,12),AND(AI128="K5-LAW",AH128="นิติศาสตร์",OR(L128="M2",L128="K4"),U128="",AA128=""),EDATE(Q128,12*2),AND(AI128="K5-LAW",AH128="นิติศาสตร์",OR(AA128="M2",AA128="K4"),AD128&gt;=2,OR(AC128&lt;W128,AC128&lt;Q128)),EDATE(AC128,12*2),AND(AI128="K5-LAW",AH128="นิติศาสตร์",AA128="S1",AD128&gt;=1,OR(AC128&lt;W128,AC128&lt;Q128)),EDATE(AC128,12),AND(AI128="K5-LAW",AH128="นิติศาสตร์",OR(U128="M2",U128="K4"),X128&gt;=2,W128&lt;Q128),EDATE(W128,12*2),AND(AI128="K5-LAW",AH128="นิติศาสตร์",U128="S1",X128&gt;=1,W128&lt;Q128),EDATE(W128,12),AND(AI128="K5-LAW",AH128="นิติศาสตร์",OR(U128="S2",U128="K5")),W128,AND(AI128="K5-LAW",AH128="นิติศาสตร์",OR(L128="M2",L128="K4"),R128&gt;=2),EDATE(Q128,12*2),AND(AI128="K5-LAW",AH128="นิติศาสตร์",L128="S1",R128&gt;=1),EDATE(Q128,12),AND(AI128="K5-LAW",AH128="นิติศาสตร์",OR(L128="S2",L128="K5")),Q128,AND(AI128="K5-POLICY",AH128&lt;&gt;"นิติศาสตร์",L128="S2",U128="",AA128=""),Q128,AND(AI128="K5-POLICY",AH128&lt;&gt;"นิติศาสตร์",L128="S1",U128="",AA128=""),EDATE(Q128,12),AND(AI128="K5-POLICY",AH128&lt;&gt;"นิติศาสตร์",OR(L128="M2",L128="K4"),U128="",AA128=""),EDATE(Q128,12*2),AND(AI128="K5-POLICY",AH128&lt;&gt;"นิติศาสตร์",OR(AA128="M2",AA128="K4"),AD128&gt;=2,OR(AC128&lt;W128,AC128&lt;Q128)),EDATE(AC128,12*2),AND(AI128="K5-POLICY",AH128&lt;&gt;"นิติศาสตร์",AA128="S1",AD128&gt;=1,OR(AC128&lt;W128,AC128&lt;Q128)),EDATE(AC128,12),AND(AI128="K5-POLICY",AH128&lt;&gt;"นิติศาสตร์",OR(U128="M2",U128="K4"),X128&gt;=2,W128&lt;Q128),EDATE(W128,12*2),AND(AI128="K5-POLICY",AH128&lt;&gt;"นิติศาสตร์",U128="S1",X128&gt;=1,W128&lt;Q128),EDATE(W128,12),AND(AI128="K5-POLICY",AH128&lt;&gt;"นิติศาสตร์",OR(U128="S2",U128="K5")),W128,AND(AI128="K5-POLICY",AH128&lt;&gt;"นิติศาสตร์",OR(L128="M2",L128="K4"),R128&gt;=2),EDATE(Q128,12*2),AND(AI128="K5-POLICY",AH128&lt;&gt;"นิติศาสตร์",L128="S1",R128&gt;=1),EDATE(Q128,12),AND(AI128="K5-POLICY",AH128&lt;&gt;"นิติศาสตร์",OR(L128="S2",L128="K5")),Q128,TRUE,"Check Data")</f>
        <v/>
      </c>
      <c r="AK128" s="75" t="str">
        <f t="shared" si="39"/>
        <v>Check Data</v>
      </c>
      <c r="AL128" s="76" t="str">
        <f t="shared" si="26"/>
        <v>Check Data</v>
      </c>
      <c r="AM128" s="50" t="str">
        <f t="shared" si="40"/>
        <v>Check Data</v>
      </c>
      <c r="AN128" s="49" t="str">
        <f>IF(B128="","",IF(L128="S1","S1",INDEX(#REF!,#REF!)))</f>
        <v/>
      </c>
      <c r="AO128" s="49" t="str">
        <f t="shared" si="41"/>
        <v>M2</v>
      </c>
      <c r="AP128" s="50" t="b">
        <f>L128=AN128</f>
        <v>0</v>
      </c>
      <c r="AQ128" s="50"/>
    </row>
    <row r="129" spans="1:43" ht="21.75">
      <c r="A129" s="49">
        <v>127</v>
      </c>
      <c r="B129" s="50"/>
      <c r="C129" s="50"/>
      <c r="D129" s="50" t="s">
        <v>144</v>
      </c>
      <c r="E129" s="50" t="e">
        <f>INDEX(#REF!,#REF!)</f>
        <v>#REF!</v>
      </c>
      <c r="F129" s="49" t="s">
        <v>382</v>
      </c>
      <c r="G129" s="49" t="str">
        <f t="shared" si="37"/>
        <v>01/05/1989</v>
      </c>
      <c r="H129" s="50">
        <f t="shared" si="23"/>
        <v>36</v>
      </c>
      <c r="I129" s="50">
        <f t="shared" si="24"/>
        <v>1</v>
      </c>
      <c r="J129" s="50">
        <f t="shared" si="25"/>
        <v>19</v>
      </c>
      <c r="K129" s="59"/>
      <c r="L129" s="49" t="s">
        <v>136</v>
      </c>
      <c r="M129" s="64"/>
      <c r="N129" s="49" t="s">
        <v>425</v>
      </c>
      <c r="O129" s="49">
        <v>2573</v>
      </c>
      <c r="P129" s="65" t="s">
        <v>383</v>
      </c>
      <c r="Q129" s="49" t="str">
        <f t="shared" si="38"/>
        <v>17/12/2021</v>
      </c>
      <c r="R129" s="68">
        <f>IF(Q129="",0,DATEDIF(Q129,$C$1,"Y"))</f>
        <v>3</v>
      </c>
      <c r="S129" s="68">
        <f>IF(Q129="",0,DATEDIF(Q129,$C$1,"YM"))</f>
        <v>6</v>
      </c>
      <c r="T129" s="68">
        <f>IF(Q129="",0,DATEDIF(Q129,$C$1,"MD"))</f>
        <v>3</v>
      </c>
      <c r="U129" s="65"/>
      <c r="V129" s="65"/>
      <c r="W129" s="49" t="str">
        <f t="shared" si="42"/>
        <v/>
      </c>
      <c r="X129" s="68">
        <f>IF(W129="",0,DATEDIF(W129,Q129,"Y"))</f>
        <v>0</v>
      </c>
      <c r="Y129" s="68">
        <f>IF(W129="",0,DATEDIF(W129,Q129,"YM"))</f>
        <v>0</v>
      </c>
      <c r="Z129" s="68">
        <f>IF(W129="",0,DATEDIF(W129,Q129,"MD"))</f>
        <v>0</v>
      </c>
      <c r="AA129" s="49"/>
      <c r="AB129" s="65"/>
      <c r="AC129" s="50" t="str">
        <f t="shared" si="43"/>
        <v/>
      </c>
      <c r="AD129" s="68">
        <f t="shared" si="44"/>
        <v>0</v>
      </c>
      <c r="AE129" s="68">
        <f t="shared" si="45"/>
        <v>0</v>
      </c>
      <c r="AF129" s="68">
        <f t="shared" si="46"/>
        <v>0</v>
      </c>
      <c r="AG129" s="50"/>
      <c r="AH129" s="108" t="s">
        <v>172</v>
      </c>
      <c r="AI129" s="49" t="str">
        <f>IF(AH129="นิติศาสตร์","K5-LAW","K5-POLICY")</f>
        <v>K5-POLICY</v>
      </c>
      <c r="AJ129" s="72" t="str">
        <f>_xlfn.IFS(B129="","",AND(AI129="K5-LAW",AH129="นิติศาสตร์",L129="S2",U129="",AA129=""),Q129,AND(AI129="K5-LAW",AH129="นิติศาสตร์",L129="S1",U129="",AA129=""),EDATE(Q129,12),AND(AI129="K5-LAW",AH129="นิติศาสตร์",OR(L129="M2",L129="K4"),U129="",AA129=""),EDATE(Q129,12*2),AND(AI129="K5-LAW",AH129="นิติศาสตร์",OR(AA129="M2",AA129="K4"),AD129&gt;=2,OR(AC129&lt;W129,AC129&lt;Q129)),EDATE(AC129,12*2),AND(AI129="K5-LAW",AH129="นิติศาสตร์",AA129="S1",AD129&gt;=1,OR(AC129&lt;W129,AC129&lt;Q129)),EDATE(AC129,12),AND(AI129="K5-LAW",AH129="นิติศาสตร์",OR(U129="M2",U129="K4"),X129&gt;=2,W129&lt;Q129),EDATE(W129,12*2),AND(AI129="K5-LAW",AH129="นิติศาสตร์",U129="S1",X129&gt;=1,W129&lt;Q129),EDATE(W129,12),AND(AI129="K5-LAW",AH129="นิติศาสตร์",OR(U129="S2",U129="K5")),W129,AND(AI129="K5-LAW",AH129="นิติศาสตร์",OR(L129="M2",L129="K4"),R129&gt;=2),EDATE(Q129,12*2),AND(AI129="K5-LAW",AH129="นิติศาสตร์",L129="S1",R129&gt;=1),EDATE(Q129,12),AND(AI129="K5-LAW",AH129="นิติศาสตร์",OR(L129="S2",L129="K5")),Q129,AND(AI129="K5-POLICY",AH129&lt;&gt;"นิติศาสตร์",L129="S2",U129="",AA129=""),Q129,AND(AI129="K5-POLICY",AH129&lt;&gt;"นิติศาสตร์",L129="S1",U129="",AA129=""),EDATE(Q129,12),AND(AI129="K5-POLICY",AH129&lt;&gt;"นิติศาสตร์",OR(L129="M2",L129="K4"),U129="",AA129=""),EDATE(Q129,12*2),AND(AI129="K5-POLICY",AH129&lt;&gt;"นิติศาสตร์",OR(AA129="M2",AA129="K4"),AD129&gt;=2,OR(AC129&lt;W129,AC129&lt;Q129)),EDATE(AC129,12*2),AND(AI129="K5-POLICY",AH129&lt;&gt;"นิติศาสตร์",AA129="S1",AD129&gt;=1,OR(AC129&lt;W129,AC129&lt;Q129)),EDATE(AC129,12),AND(AI129="K5-POLICY",AH129&lt;&gt;"นิติศาสตร์",OR(U129="M2",U129="K4"),X129&gt;=2,W129&lt;Q129),EDATE(W129,12*2),AND(AI129="K5-POLICY",AH129&lt;&gt;"นิติศาสตร์",U129="S1",X129&gt;=1,W129&lt;Q129),EDATE(W129,12),AND(AI129="K5-POLICY",AH129&lt;&gt;"นิติศาสตร์",OR(U129="S2",U129="K5")),W129,AND(AI129="K5-POLICY",AH129&lt;&gt;"นิติศาสตร์",OR(L129="M2",L129="K4"),R129&gt;=2),EDATE(Q129,12*2),AND(AI129="K5-POLICY",AH129&lt;&gt;"นิติศาสตร์",L129="S1",R129&gt;=1),EDATE(Q129,12),AND(AI129="K5-POLICY",AH129&lt;&gt;"นิติศาสตร์",OR(L129="S2",L129="K5")),Q129,TRUE,"Check Data")</f>
        <v/>
      </c>
      <c r="AK129" s="75" t="str">
        <f t="shared" si="39"/>
        <v>Check Data</v>
      </c>
      <c r="AL129" s="76" t="str">
        <f t="shared" si="26"/>
        <v>Check Data</v>
      </c>
      <c r="AM129" s="50" t="str">
        <f t="shared" si="40"/>
        <v>Check Data</v>
      </c>
      <c r="AN129" s="49" t="str">
        <f>IF(B129="","",IF(L129="S1","S1",INDEX(#REF!,#REF!)))</f>
        <v/>
      </c>
      <c r="AO129" s="49" t="str">
        <f t="shared" si="41"/>
        <v>M2</v>
      </c>
      <c r="AP129" s="50" t="b">
        <f>L129=AN129</f>
        <v>0</v>
      </c>
      <c r="AQ129" s="50"/>
    </row>
    <row r="130" spans="1:43" ht="21.75">
      <c r="A130" s="49">
        <v>128</v>
      </c>
      <c r="B130" s="50"/>
      <c r="C130" s="50"/>
      <c r="D130" s="50" t="s">
        <v>144</v>
      </c>
      <c r="E130" s="50" t="e">
        <f>INDEX(#REF!,#REF!)</f>
        <v>#REF!</v>
      </c>
      <c r="F130" s="49" t="s">
        <v>377</v>
      </c>
      <c r="G130" s="49" t="str">
        <f t="shared" si="37"/>
        <v>01/10/1993</v>
      </c>
      <c r="H130" s="50">
        <f t="shared" si="23"/>
        <v>31</v>
      </c>
      <c r="I130" s="50">
        <f t="shared" si="24"/>
        <v>8</v>
      </c>
      <c r="J130" s="50">
        <f t="shared" si="25"/>
        <v>19</v>
      </c>
      <c r="K130" s="57"/>
      <c r="L130" s="49" t="s">
        <v>136</v>
      </c>
      <c r="M130" s="64"/>
      <c r="N130" s="49" t="s">
        <v>427</v>
      </c>
      <c r="O130" s="49">
        <v>2568</v>
      </c>
      <c r="P130" s="65" t="s">
        <v>383</v>
      </c>
      <c r="Q130" s="49" t="str">
        <f t="shared" si="38"/>
        <v>17/12/2021</v>
      </c>
      <c r="R130" s="68">
        <f>IF(Q130="",0,DATEDIF(Q130,$C$1,"Y"))</f>
        <v>3</v>
      </c>
      <c r="S130" s="68">
        <f>IF(Q130="",0,DATEDIF(Q130,$C$1,"YM"))</f>
        <v>6</v>
      </c>
      <c r="T130" s="68">
        <f>IF(Q130="",0,DATEDIF(Q130,$C$1,"MD"))</f>
        <v>3</v>
      </c>
      <c r="U130" s="65"/>
      <c r="V130" s="65"/>
      <c r="W130" s="49" t="str">
        <f t="shared" si="42"/>
        <v/>
      </c>
      <c r="X130" s="68">
        <f>IF(W130="",0,DATEDIF(W130,Q130,"Y"))</f>
        <v>0</v>
      </c>
      <c r="Y130" s="68">
        <f>IF(W130="",0,DATEDIF(W130,Q130,"YM"))</f>
        <v>0</v>
      </c>
      <c r="Z130" s="68">
        <f>IF(W130="",0,DATEDIF(W130,Q130,"MD"))</f>
        <v>0</v>
      </c>
      <c r="AA130" s="49"/>
      <c r="AB130" s="65"/>
      <c r="AC130" s="50" t="str">
        <f t="shared" si="43"/>
        <v/>
      </c>
      <c r="AD130" s="68">
        <f t="shared" si="44"/>
        <v>0</v>
      </c>
      <c r="AE130" s="68">
        <f t="shared" si="45"/>
        <v>0</v>
      </c>
      <c r="AF130" s="68">
        <f t="shared" si="46"/>
        <v>0</v>
      </c>
      <c r="AG130" s="50"/>
      <c r="AH130" s="108" t="s">
        <v>138</v>
      </c>
      <c r="AI130" s="49" t="str">
        <f>IF(AH130="นิติศาสตร์","K5-LAW","K5-POLICY")</f>
        <v>K5-LAW</v>
      </c>
      <c r="AJ130" s="72" t="str">
        <f>_xlfn.IFS(B130="","",AND(AI130="K5-LAW",AH130="นิติศาสตร์",L130="S2",U130="",AA130=""),Q130,AND(AI130="K5-LAW",AH130="นิติศาสตร์",L130="S1",U130="",AA130=""),EDATE(Q130,12),AND(AI130="K5-LAW",AH130="นิติศาสตร์",OR(L130="M2",L130="K4"),U130="",AA130=""),EDATE(Q130,12*2),AND(AI130="K5-LAW",AH130="นิติศาสตร์",OR(AA130="M2",AA130="K4"),AD130&gt;=2,OR(AC130&lt;W130,AC130&lt;Q130)),EDATE(AC130,12*2),AND(AI130="K5-LAW",AH130="นิติศาสตร์",AA130="S1",AD130&gt;=1,OR(AC130&lt;W130,AC130&lt;Q130)),EDATE(AC130,12),AND(AI130="K5-LAW",AH130="นิติศาสตร์",OR(U130="M2",U130="K4"),X130&gt;=2,W130&lt;Q130),EDATE(W130,12*2),AND(AI130="K5-LAW",AH130="นิติศาสตร์",U130="S1",X130&gt;=1,W130&lt;Q130),EDATE(W130,12),AND(AI130="K5-LAW",AH130="นิติศาสตร์",OR(U130="S2",U130="K5")),W130,AND(AI130="K5-LAW",AH130="นิติศาสตร์",OR(L130="M2",L130="K4"),R130&gt;=2),EDATE(Q130,12*2),AND(AI130="K5-LAW",AH130="นิติศาสตร์",L130="S1",R130&gt;=1),EDATE(Q130,12),AND(AI130="K5-LAW",AH130="นิติศาสตร์",OR(L130="S2",L130="K5")),Q130,AND(AI130="K5-POLICY",AH130&lt;&gt;"นิติศาสตร์",L130="S2",U130="",AA130=""),Q130,AND(AI130="K5-POLICY",AH130&lt;&gt;"นิติศาสตร์",L130="S1",U130="",AA130=""),EDATE(Q130,12),AND(AI130="K5-POLICY",AH130&lt;&gt;"นิติศาสตร์",OR(L130="M2",L130="K4"),U130="",AA130=""),EDATE(Q130,12*2),AND(AI130="K5-POLICY",AH130&lt;&gt;"นิติศาสตร์",OR(AA130="M2",AA130="K4"),AD130&gt;=2,OR(AC130&lt;W130,AC130&lt;Q130)),EDATE(AC130,12*2),AND(AI130="K5-POLICY",AH130&lt;&gt;"นิติศาสตร์",AA130="S1",AD130&gt;=1,OR(AC130&lt;W130,AC130&lt;Q130)),EDATE(AC130,12),AND(AI130="K5-POLICY",AH130&lt;&gt;"นิติศาสตร์",OR(U130="M2",U130="K4"),X130&gt;=2,W130&lt;Q130),EDATE(W130,12*2),AND(AI130="K5-POLICY",AH130&lt;&gt;"นิติศาสตร์",U130="S1",X130&gt;=1,W130&lt;Q130),EDATE(W130,12),AND(AI130="K5-POLICY",AH130&lt;&gt;"นิติศาสตร์",OR(U130="S2",U130="K5")),W130,AND(AI130="K5-POLICY",AH130&lt;&gt;"นิติศาสตร์",OR(L130="M2",L130="K4"),R130&gt;=2),EDATE(Q130,12*2),AND(AI130="K5-POLICY",AH130&lt;&gt;"นิติศาสตร์",L130="S1",R130&gt;=1),EDATE(Q130,12),AND(AI130="K5-POLICY",AH130&lt;&gt;"นิติศาสตร์",OR(L130="S2",L130="K5")),Q130,TRUE,"Check Data")</f>
        <v/>
      </c>
      <c r="AK130" s="75" t="str">
        <f t="shared" si="39"/>
        <v>Check Data</v>
      </c>
      <c r="AL130" s="76" t="str">
        <f t="shared" si="26"/>
        <v>Check Data</v>
      </c>
      <c r="AM130" s="50" t="str">
        <f t="shared" si="40"/>
        <v>Check Data</v>
      </c>
      <c r="AN130" s="49" t="str">
        <f>IF(B130="","",IF(L130="S1","S1",INDEX(#REF!,#REF!)))</f>
        <v/>
      </c>
      <c r="AO130" s="49" t="str">
        <f t="shared" si="41"/>
        <v>M2</v>
      </c>
      <c r="AP130" s="50" t="b">
        <f>L130=AN130</f>
        <v>0</v>
      </c>
      <c r="AQ130" s="50"/>
    </row>
    <row r="131" spans="1:43" ht="21.75">
      <c r="A131" s="49">
        <v>129</v>
      </c>
      <c r="B131" s="50"/>
      <c r="C131" s="50"/>
      <c r="D131" s="50" t="s">
        <v>139</v>
      </c>
      <c r="E131" s="50" t="e">
        <f>INDEX(#REF!,#REF!)</f>
        <v>#REF!</v>
      </c>
      <c r="F131" s="49" t="s">
        <v>187</v>
      </c>
      <c r="G131" s="49" t="str">
        <f t="shared" si="37"/>
        <v>01/08/1990</v>
      </c>
      <c r="H131" s="50">
        <f t="shared" ref="H131:H194" si="47">IF(G131="",0,DATEDIF(G131,$C$1,"Y"))</f>
        <v>34</v>
      </c>
      <c r="I131" s="50">
        <f t="shared" ref="I131:I194" si="48">IF(G131="",0,DATEDIF(G131,$C$1,"YM"))</f>
        <v>10</v>
      </c>
      <c r="J131" s="50">
        <f t="shared" ref="J131:J194" si="49">IF(G131="",0,DATEDIF(G131,$C$1,"MD"))</f>
        <v>19</v>
      </c>
      <c r="K131" s="56"/>
      <c r="L131" s="49" t="s">
        <v>136</v>
      </c>
      <c r="M131" s="64"/>
      <c r="N131" s="49" t="s">
        <v>425</v>
      </c>
      <c r="O131" s="49">
        <v>2569</v>
      </c>
      <c r="P131" s="65" t="s">
        <v>214</v>
      </c>
      <c r="Q131" s="49" t="str">
        <f t="shared" si="38"/>
        <v>06/01/2022</v>
      </c>
      <c r="R131" s="68">
        <f>IF(Q131="",0,DATEDIF(Q131,$C$1,"Y"))</f>
        <v>3</v>
      </c>
      <c r="S131" s="68">
        <f>IF(Q131="",0,DATEDIF(Q131,$C$1,"YM"))</f>
        <v>5</v>
      </c>
      <c r="T131" s="68">
        <f>IF(Q131="",0,DATEDIF(Q131,$C$1,"MD"))</f>
        <v>14</v>
      </c>
      <c r="U131" s="65"/>
      <c r="V131" s="65"/>
      <c r="W131" s="49" t="str">
        <f t="shared" si="42"/>
        <v/>
      </c>
      <c r="X131" s="68">
        <f>IF(W131="",0,DATEDIF(W131,Q131,"Y"))</f>
        <v>0</v>
      </c>
      <c r="Y131" s="68">
        <f>IF(W131="",0,DATEDIF(W131,Q131,"YM"))</f>
        <v>0</v>
      </c>
      <c r="Z131" s="68">
        <f>IF(W131="",0,DATEDIF(W131,Q131,"MD"))</f>
        <v>0</v>
      </c>
      <c r="AA131" s="49"/>
      <c r="AB131" s="65"/>
      <c r="AC131" s="50" t="str">
        <f t="shared" si="43"/>
        <v/>
      </c>
      <c r="AD131" s="68">
        <f t="shared" si="44"/>
        <v>0</v>
      </c>
      <c r="AE131" s="68">
        <f t="shared" si="45"/>
        <v>0</v>
      </c>
      <c r="AF131" s="68">
        <f t="shared" si="46"/>
        <v>0</v>
      </c>
      <c r="AG131" s="50"/>
      <c r="AH131" s="108" t="s">
        <v>167</v>
      </c>
      <c r="AI131" s="49" t="str">
        <f>IF(AH131="นิติศาสตร์","K5-LAW","K5-POLICY")</f>
        <v>K5-POLICY</v>
      </c>
      <c r="AJ131" s="72" t="str">
        <f>_xlfn.IFS(B131="","",AND(AI131="K5-LAW",AH131="นิติศาสตร์",L131="S2",U131="",AA131=""),Q131,AND(AI131="K5-LAW",AH131="นิติศาสตร์",L131="S1",U131="",AA131=""),EDATE(Q131,12),AND(AI131="K5-LAW",AH131="นิติศาสตร์",OR(L131="M2",L131="K4"),U131="",AA131=""),EDATE(Q131,12*2),AND(AI131="K5-LAW",AH131="นิติศาสตร์",OR(AA131="M2",AA131="K4"),AD131&gt;=2,OR(AC131&lt;W131,AC131&lt;Q131)),EDATE(AC131,12*2),AND(AI131="K5-LAW",AH131="นิติศาสตร์",AA131="S1",AD131&gt;=1,OR(AC131&lt;W131,AC131&lt;Q131)),EDATE(AC131,12),AND(AI131="K5-LAW",AH131="นิติศาสตร์",OR(U131="M2",U131="K4"),X131&gt;=2,W131&lt;Q131),EDATE(W131,12*2),AND(AI131="K5-LAW",AH131="นิติศาสตร์",U131="S1",X131&gt;=1,W131&lt;Q131),EDATE(W131,12),AND(AI131="K5-LAW",AH131="นิติศาสตร์",OR(U131="S2",U131="K5")),W131,AND(AI131="K5-LAW",AH131="นิติศาสตร์",OR(L131="M2",L131="K4"),R131&gt;=2),EDATE(Q131,12*2),AND(AI131="K5-LAW",AH131="นิติศาสตร์",L131="S1",R131&gt;=1),EDATE(Q131,12),AND(AI131="K5-LAW",AH131="นิติศาสตร์",OR(L131="S2",L131="K5")),Q131,AND(AI131="K5-POLICY",AH131&lt;&gt;"นิติศาสตร์",L131="S2",U131="",AA131=""),Q131,AND(AI131="K5-POLICY",AH131&lt;&gt;"นิติศาสตร์",L131="S1",U131="",AA131=""),EDATE(Q131,12),AND(AI131="K5-POLICY",AH131&lt;&gt;"นิติศาสตร์",OR(L131="M2",L131="K4"),U131="",AA131=""),EDATE(Q131,12*2),AND(AI131="K5-POLICY",AH131&lt;&gt;"นิติศาสตร์",OR(AA131="M2",AA131="K4"),AD131&gt;=2,OR(AC131&lt;W131,AC131&lt;Q131)),EDATE(AC131,12*2),AND(AI131="K5-POLICY",AH131&lt;&gt;"นิติศาสตร์",AA131="S1",AD131&gt;=1,OR(AC131&lt;W131,AC131&lt;Q131)),EDATE(AC131,12),AND(AI131="K5-POLICY",AH131&lt;&gt;"นิติศาสตร์",OR(U131="M2",U131="K4"),X131&gt;=2,W131&lt;Q131),EDATE(W131,12*2),AND(AI131="K5-POLICY",AH131&lt;&gt;"นิติศาสตร์",U131="S1",X131&gt;=1,W131&lt;Q131),EDATE(W131,12),AND(AI131="K5-POLICY",AH131&lt;&gt;"นิติศาสตร์",OR(U131="S2",U131="K5")),W131,AND(AI131="K5-POLICY",AH131&lt;&gt;"นิติศาสตร์",OR(L131="M2",L131="K4"),R131&gt;=2),EDATE(Q131,12*2),AND(AI131="K5-POLICY",AH131&lt;&gt;"นิติศาสตร์",L131="S1",R131&gt;=1),EDATE(Q131,12),AND(AI131="K5-POLICY",AH131&lt;&gt;"นิติศาสตร์",OR(L131="S2",L131="K5")),Q131,TRUE,"Check Data")</f>
        <v/>
      </c>
      <c r="AK131" s="75" t="str">
        <f t="shared" si="39"/>
        <v>Check Data</v>
      </c>
      <c r="AL131" s="76" t="str">
        <f t="shared" ref="AL131:AL194" si="50">IFERROR(IF($C$1&gt;AJ131,AJ131-$C$1,DATEDIF($C$1,AJ131,"d")),"Check Data")</f>
        <v>Check Data</v>
      </c>
      <c r="AM131" s="50" t="str">
        <f t="shared" si="40"/>
        <v>Check Data</v>
      </c>
      <c r="AN131" s="49" t="str">
        <f>IF(B131="","",IF(L131="S1","S1",INDEX(#REF!,#REF!)))</f>
        <v/>
      </c>
      <c r="AO131" s="49" t="str">
        <f t="shared" si="41"/>
        <v>M2</v>
      </c>
      <c r="AP131" s="50" t="b">
        <f>L131=AN131</f>
        <v>0</v>
      </c>
      <c r="AQ131" s="50"/>
    </row>
    <row r="132" spans="1:43" ht="21.75">
      <c r="A132" s="49">
        <v>130</v>
      </c>
      <c r="B132" s="50"/>
      <c r="C132" s="50"/>
      <c r="D132" s="50" t="s">
        <v>139</v>
      </c>
      <c r="E132" s="50" t="e">
        <f>INDEX(#REF!,#REF!)</f>
        <v>#REF!</v>
      </c>
      <c r="F132" s="49" t="s">
        <v>208</v>
      </c>
      <c r="G132" s="49" t="str">
        <f t="shared" si="37"/>
        <v>01/02/1990</v>
      </c>
      <c r="H132" s="50">
        <f t="shared" si="47"/>
        <v>35</v>
      </c>
      <c r="I132" s="50">
        <f t="shared" si="48"/>
        <v>4</v>
      </c>
      <c r="J132" s="50">
        <f t="shared" si="49"/>
        <v>19</v>
      </c>
      <c r="K132" s="56"/>
      <c r="L132" s="49" t="s">
        <v>136</v>
      </c>
      <c r="M132" s="64"/>
      <c r="N132" s="49" t="s">
        <v>427</v>
      </c>
      <c r="O132" s="49">
        <v>2571</v>
      </c>
      <c r="P132" s="65" t="s">
        <v>214</v>
      </c>
      <c r="Q132" s="49" t="str">
        <f t="shared" si="38"/>
        <v>06/01/2022</v>
      </c>
      <c r="R132" s="68">
        <f>IF(Q132="",0,DATEDIF(Q132,$C$1,"Y"))</f>
        <v>3</v>
      </c>
      <c r="S132" s="68">
        <f>IF(Q132="",0,DATEDIF(Q132,$C$1,"YM"))</f>
        <v>5</v>
      </c>
      <c r="T132" s="68">
        <f>IF(Q132="",0,DATEDIF(Q132,$C$1,"MD"))</f>
        <v>14</v>
      </c>
      <c r="U132" s="65"/>
      <c r="V132" s="65"/>
      <c r="W132" s="49" t="str">
        <f t="shared" si="42"/>
        <v/>
      </c>
      <c r="X132" s="68">
        <f>IF(W132="",0,DATEDIF(W132,Q132,"Y"))</f>
        <v>0</v>
      </c>
      <c r="Y132" s="68">
        <f>IF(W132="",0,DATEDIF(W132,Q132,"YM"))</f>
        <v>0</v>
      </c>
      <c r="Z132" s="68">
        <f>IF(W132="",0,DATEDIF(W132,Q132,"MD"))</f>
        <v>0</v>
      </c>
      <c r="AA132" s="49"/>
      <c r="AB132" s="65"/>
      <c r="AC132" s="50" t="str">
        <f t="shared" si="43"/>
        <v/>
      </c>
      <c r="AD132" s="68">
        <f t="shared" si="44"/>
        <v>0</v>
      </c>
      <c r="AE132" s="68">
        <f t="shared" si="45"/>
        <v>0</v>
      </c>
      <c r="AF132" s="68">
        <f t="shared" si="46"/>
        <v>0</v>
      </c>
      <c r="AG132" s="50"/>
      <c r="AH132" s="108" t="s">
        <v>169</v>
      </c>
      <c r="AI132" s="49" t="str">
        <f>IF(AH132="นิติศาสตร์","K5-LAW","K5-POLICY")</f>
        <v>K5-POLICY</v>
      </c>
      <c r="AJ132" s="72" t="str">
        <f>_xlfn.IFS(B132="","",AND(AI132="K5-LAW",AH132="นิติศาสตร์",L132="S2",U132="",AA132=""),Q132,AND(AI132="K5-LAW",AH132="นิติศาสตร์",L132="S1",U132="",AA132=""),EDATE(Q132,12),AND(AI132="K5-LAW",AH132="นิติศาสตร์",OR(L132="M2",L132="K4"),U132="",AA132=""),EDATE(Q132,12*2),AND(AI132="K5-LAW",AH132="นิติศาสตร์",OR(AA132="M2",AA132="K4"),AD132&gt;=2,OR(AC132&lt;W132,AC132&lt;Q132)),EDATE(AC132,12*2),AND(AI132="K5-LAW",AH132="นิติศาสตร์",AA132="S1",AD132&gt;=1,OR(AC132&lt;W132,AC132&lt;Q132)),EDATE(AC132,12),AND(AI132="K5-LAW",AH132="นิติศาสตร์",OR(U132="M2",U132="K4"),X132&gt;=2,W132&lt;Q132),EDATE(W132,12*2),AND(AI132="K5-LAW",AH132="นิติศาสตร์",U132="S1",X132&gt;=1,W132&lt;Q132),EDATE(W132,12),AND(AI132="K5-LAW",AH132="นิติศาสตร์",OR(U132="S2",U132="K5")),W132,AND(AI132="K5-LAW",AH132="นิติศาสตร์",OR(L132="M2",L132="K4"),R132&gt;=2),EDATE(Q132,12*2),AND(AI132="K5-LAW",AH132="นิติศาสตร์",L132="S1",R132&gt;=1),EDATE(Q132,12),AND(AI132="K5-LAW",AH132="นิติศาสตร์",OR(L132="S2",L132="K5")),Q132,AND(AI132="K5-POLICY",AH132&lt;&gt;"นิติศาสตร์",L132="S2",U132="",AA132=""),Q132,AND(AI132="K5-POLICY",AH132&lt;&gt;"นิติศาสตร์",L132="S1",U132="",AA132=""),EDATE(Q132,12),AND(AI132="K5-POLICY",AH132&lt;&gt;"นิติศาสตร์",OR(L132="M2",L132="K4"),U132="",AA132=""),EDATE(Q132,12*2),AND(AI132="K5-POLICY",AH132&lt;&gt;"นิติศาสตร์",OR(AA132="M2",AA132="K4"),AD132&gt;=2,OR(AC132&lt;W132,AC132&lt;Q132)),EDATE(AC132,12*2),AND(AI132="K5-POLICY",AH132&lt;&gt;"นิติศาสตร์",AA132="S1",AD132&gt;=1,OR(AC132&lt;W132,AC132&lt;Q132)),EDATE(AC132,12),AND(AI132="K5-POLICY",AH132&lt;&gt;"นิติศาสตร์",OR(U132="M2",U132="K4"),X132&gt;=2,W132&lt;Q132),EDATE(W132,12*2),AND(AI132="K5-POLICY",AH132&lt;&gt;"นิติศาสตร์",U132="S1",X132&gt;=1,W132&lt;Q132),EDATE(W132,12),AND(AI132="K5-POLICY",AH132&lt;&gt;"นิติศาสตร์",OR(U132="S2",U132="K5")),W132,AND(AI132="K5-POLICY",AH132&lt;&gt;"นิติศาสตร์",OR(L132="M2",L132="K4"),R132&gt;=2),EDATE(Q132,12*2),AND(AI132="K5-POLICY",AH132&lt;&gt;"นิติศาสตร์",L132="S1",R132&gt;=1),EDATE(Q132,12),AND(AI132="K5-POLICY",AH132&lt;&gt;"นิติศาสตร์",OR(L132="S2",L132="K5")),Q132,TRUE,"Check Data")</f>
        <v/>
      </c>
      <c r="AK132" s="75" t="str">
        <f t="shared" si="39"/>
        <v>Check Data</v>
      </c>
      <c r="AL132" s="76" t="str">
        <f t="shared" si="50"/>
        <v>Check Data</v>
      </c>
      <c r="AM132" s="50" t="str">
        <f t="shared" si="40"/>
        <v>Check Data</v>
      </c>
      <c r="AN132" s="49" t="str">
        <f>IF(B132="","",IF(L132="S1","S1",INDEX(#REF!,#REF!)))</f>
        <v/>
      </c>
      <c r="AO132" s="49" t="str">
        <f t="shared" si="41"/>
        <v>M2</v>
      </c>
      <c r="AP132" s="50" t="b">
        <f>L132=AN132</f>
        <v>0</v>
      </c>
      <c r="AQ132" s="50"/>
    </row>
    <row r="133" spans="1:43" ht="21.75">
      <c r="A133" s="49">
        <v>131</v>
      </c>
      <c r="B133" s="50"/>
      <c r="C133" s="50"/>
      <c r="D133" s="50" t="s">
        <v>139</v>
      </c>
      <c r="E133" s="50" t="e">
        <f>INDEX(#REF!,#REF!)</f>
        <v>#REF!</v>
      </c>
      <c r="F133" s="49" t="s">
        <v>230</v>
      </c>
      <c r="G133" s="49" t="str">
        <f t="shared" si="37"/>
        <v>03/11/1997</v>
      </c>
      <c r="H133" s="50">
        <f t="shared" si="47"/>
        <v>27</v>
      </c>
      <c r="I133" s="50">
        <f t="shared" si="48"/>
        <v>7</v>
      </c>
      <c r="J133" s="50">
        <f t="shared" si="49"/>
        <v>17</v>
      </c>
      <c r="K133" s="56"/>
      <c r="L133" s="49" t="s">
        <v>136</v>
      </c>
      <c r="M133" s="64"/>
      <c r="N133" s="49" t="s">
        <v>427</v>
      </c>
      <c r="O133" s="49">
        <v>2576</v>
      </c>
      <c r="P133" s="65" t="s">
        <v>214</v>
      </c>
      <c r="Q133" s="49" t="str">
        <f t="shared" si="38"/>
        <v>06/01/2022</v>
      </c>
      <c r="R133" s="68">
        <f>IF(Q133="",0,DATEDIF(Q133,$C$1,"Y"))</f>
        <v>3</v>
      </c>
      <c r="S133" s="68">
        <f>IF(Q133="",0,DATEDIF(Q133,$C$1,"YM"))</f>
        <v>5</v>
      </c>
      <c r="T133" s="68">
        <f>IF(Q133="",0,DATEDIF(Q133,$C$1,"MD"))</f>
        <v>14</v>
      </c>
      <c r="U133" s="65"/>
      <c r="V133" s="65"/>
      <c r="W133" s="49" t="str">
        <f t="shared" si="42"/>
        <v/>
      </c>
      <c r="X133" s="68">
        <f>IF(W133="",0,DATEDIF(W133,Q133,"Y"))</f>
        <v>0</v>
      </c>
      <c r="Y133" s="68">
        <f>IF(W133="",0,DATEDIF(W133,Q133,"YM"))</f>
        <v>0</v>
      </c>
      <c r="Z133" s="68">
        <f>IF(W133="",0,DATEDIF(W133,Q133,"MD"))</f>
        <v>0</v>
      </c>
      <c r="AA133" s="49"/>
      <c r="AB133" s="65"/>
      <c r="AC133" s="50" t="str">
        <f t="shared" si="43"/>
        <v/>
      </c>
      <c r="AD133" s="68">
        <f t="shared" si="44"/>
        <v>0</v>
      </c>
      <c r="AE133" s="68">
        <f t="shared" si="45"/>
        <v>0</v>
      </c>
      <c r="AF133" s="68">
        <f t="shared" si="46"/>
        <v>0</v>
      </c>
      <c r="AG133" s="50"/>
      <c r="AH133" s="108" t="s">
        <v>172</v>
      </c>
      <c r="AI133" s="49" t="str">
        <f>IF(AH133="นิติศาสตร์","K5-LAW","K5-POLICY")</f>
        <v>K5-POLICY</v>
      </c>
      <c r="AJ133" s="72" t="str">
        <f>_xlfn.IFS(B133="","",AND(AI133="K5-LAW",AH133="นิติศาสตร์",L133="S2",U133="",AA133=""),Q133,AND(AI133="K5-LAW",AH133="นิติศาสตร์",L133="S1",U133="",AA133=""),EDATE(Q133,12),AND(AI133="K5-LAW",AH133="นิติศาสตร์",OR(L133="M2",L133="K4"),U133="",AA133=""),EDATE(Q133,12*2),AND(AI133="K5-LAW",AH133="นิติศาสตร์",OR(AA133="M2",AA133="K4"),AD133&gt;=2,OR(AC133&lt;W133,AC133&lt;Q133)),EDATE(AC133,12*2),AND(AI133="K5-LAW",AH133="นิติศาสตร์",AA133="S1",AD133&gt;=1,OR(AC133&lt;W133,AC133&lt;Q133)),EDATE(AC133,12),AND(AI133="K5-LAW",AH133="นิติศาสตร์",OR(U133="M2",U133="K4"),X133&gt;=2,W133&lt;Q133),EDATE(W133,12*2),AND(AI133="K5-LAW",AH133="นิติศาสตร์",U133="S1",X133&gt;=1,W133&lt;Q133),EDATE(W133,12),AND(AI133="K5-LAW",AH133="นิติศาสตร์",OR(U133="S2",U133="K5")),W133,AND(AI133="K5-LAW",AH133="นิติศาสตร์",OR(L133="M2",L133="K4"),R133&gt;=2),EDATE(Q133,12*2),AND(AI133="K5-LAW",AH133="นิติศาสตร์",L133="S1",R133&gt;=1),EDATE(Q133,12),AND(AI133="K5-LAW",AH133="นิติศาสตร์",OR(L133="S2",L133="K5")),Q133,AND(AI133="K5-POLICY",AH133&lt;&gt;"นิติศาสตร์",L133="S2",U133="",AA133=""),Q133,AND(AI133="K5-POLICY",AH133&lt;&gt;"นิติศาสตร์",L133="S1",U133="",AA133=""),EDATE(Q133,12),AND(AI133="K5-POLICY",AH133&lt;&gt;"นิติศาสตร์",OR(L133="M2",L133="K4"),U133="",AA133=""),EDATE(Q133,12*2),AND(AI133="K5-POLICY",AH133&lt;&gt;"นิติศาสตร์",OR(AA133="M2",AA133="K4"),AD133&gt;=2,OR(AC133&lt;W133,AC133&lt;Q133)),EDATE(AC133,12*2),AND(AI133="K5-POLICY",AH133&lt;&gt;"นิติศาสตร์",AA133="S1",AD133&gt;=1,OR(AC133&lt;W133,AC133&lt;Q133)),EDATE(AC133,12),AND(AI133="K5-POLICY",AH133&lt;&gt;"นิติศาสตร์",OR(U133="M2",U133="K4"),X133&gt;=2,W133&lt;Q133),EDATE(W133,12*2),AND(AI133="K5-POLICY",AH133&lt;&gt;"นิติศาสตร์",U133="S1",X133&gt;=1,W133&lt;Q133),EDATE(W133,12),AND(AI133="K5-POLICY",AH133&lt;&gt;"นิติศาสตร์",OR(U133="S2",U133="K5")),W133,AND(AI133="K5-POLICY",AH133&lt;&gt;"นิติศาสตร์",OR(L133="M2",L133="K4"),R133&gt;=2),EDATE(Q133,12*2),AND(AI133="K5-POLICY",AH133&lt;&gt;"นิติศาสตร์",L133="S1",R133&gt;=1),EDATE(Q133,12),AND(AI133="K5-POLICY",AH133&lt;&gt;"นิติศาสตร์",OR(L133="S2",L133="K5")),Q133,TRUE,"Check Data")</f>
        <v/>
      </c>
      <c r="AK133" s="75" t="str">
        <f t="shared" si="39"/>
        <v>Check Data</v>
      </c>
      <c r="AL133" s="76" t="str">
        <f t="shared" si="50"/>
        <v>Check Data</v>
      </c>
      <c r="AM133" s="50" t="str">
        <f t="shared" si="40"/>
        <v>Check Data</v>
      </c>
      <c r="AN133" s="49" t="str">
        <f>IF(B133="","",IF(L133="S1","S1",INDEX(#REF!,#REF!)))</f>
        <v/>
      </c>
      <c r="AO133" s="49" t="str">
        <f t="shared" si="41"/>
        <v>M2</v>
      </c>
      <c r="AP133" s="50" t="b">
        <f>L133=AN133</f>
        <v>0</v>
      </c>
      <c r="AQ133" s="50"/>
    </row>
    <row r="134" spans="1:43" ht="21.75">
      <c r="A134" s="49">
        <v>132</v>
      </c>
      <c r="B134" s="50"/>
      <c r="C134" s="50"/>
      <c r="D134" s="50" t="s">
        <v>143</v>
      </c>
      <c r="E134" s="50" t="e">
        <f>INDEX(#REF!,#REF!)</f>
        <v>#REF!</v>
      </c>
      <c r="F134" s="49" t="s">
        <v>356</v>
      </c>
      <c r="G134" s="49" t="str">
        <f t="shared" si="37"/>
        <v>15/05/1992</v>
      </c>
      <c r="H134" s="50">
        <f t="shared" si="47"/>
        <v>33</v>
      </c>
      <c r="I134" s="50">
        <f t="shared" si="48"/>
        <v>1</v>
      </c>
      <c r="J134" s="50">
        <f t="shared" si="49"/>
        <v>5</v>
      </c>
      <c r="K134" s="59"/>
      <c r="L134" s="49" t="s">
        <v>136</v>
      </c>
      <c r="M134" s="64"/>
      <c r="N134" s="49" t="s">
        <v>427</v>
      </c>
      <c r="O134" s="49">
        <v>2575</v>
      </c>
      <c r="P134" s="65" t="s">
        <v>214</v>
      </c>
      <c r="Q134" s="49" t="str">
        <f t="shared" si="38"/>
        <v>06/01/2022</v>
      </c>
      <c r="R134" s="68">
        <f>IF(Q134="",0,DATEDIF(Q134,$C$1,"Y"))</f>
        <v>3</v>
      </c>
      <c r="S134" s="68">
        <f>IF(Q134="",0,DATEDIF(Q134,$C$1,"YM"))</f>
        <v>5</v>
      </c>
      <c r="T134" s="68">
        <f>IF(Q134="",0,DATEDIF(Q134,$C$1,"MD"))</f>
        <v>14</v>
      </c>
      <c r="U134" s="65"/>
      <c r="V134" s="65"/>
      <c r="W134" s="49" t="str">
        <f t="shared" si="42"/>
        <v/>
      </c>
      <c r="X134" s="68">
        <f>IF(W134="",0,DATEDIF(W134,Q134,"Y"))</f>
        <v>0</v>
      </c>
      <c r="Y134" s="68">
        <f>IF(W134="",0,DATEDIF(W134,Q134,"YM"))</f>
        <v>0</v>
      </c>
      <c r="Z134" s="68">
        <f>IF(W134="",0,DATEDIF(W134,Q134,"MD"))</f>
        <v>0</v>
      </c>
      <c r="AA134" s="49"/>
      <c r="AB134" s="65"/>
      <c r="AC134" s="50" t="str">
        <f t="shared" si="43"/>
        <v/>
      </c>
      <c r="AD134" s="68">
        <f t="shared" si="44"/>
        <v>0</v>
      </c>
      <c r="AE134" s="68">
        <f t="shared" si="45"/>
        <v>0</v>
      </c>
      <c r="AF134" s="68">
        <f t="shared" si="46"/>
        <v>0</v>
      </c>
      <c r="AG134" s="50"/>
      <c r="AH134" s="108" t="s">
        <v>486</v>
      </c>
      <c r="AI134" s="49" t="str">
        <f>IF(AH134="นิติศาสตร์","K5-LAW","K5-POLICY")</f>
        <v>K5-POLICY</v>
      </c>
      <c r="AJ134" s="72" t="str">
        <f>_xlfn.IFS(B134="","",AND(AI134="K5-LAW",AH134="นิติศาสตร์",L134="S2",U134="",AA134=""),Q134,AND(AI134="K5-LAW",AH134="นิติศาสตร์",L134="S1",U134="",AA134=""),EDATE(Q134,12),AND(AI134="K5-LAW",AH134="นิติศาสตร์",OR(L134="M2",L134="K4"),U134="",AA134=""),EDATE(Q134,12*2),AND(AI134="K5-LAW",AH134="นิติศาสตร์",OR(AA134="M2",AA134="K4"),AD134&gt;=2,OR(AC134&lt;W134,AC134&lt;Q134)),EDATE(AC134,12*2),AND(AI134="K5-LAW",AH134="นิติศาสตร์",AA134="S1",AD134&gt;=1,OR(AC134&lt;W134,AC134&lt;Q134)),EDATE(AC134,12),AND(AI134="K5-LAW",AH134="นิติศาสตร์",OR(U134="M2",U134="K4"),X134&gt;=2,W134&lt;Q134),EDATE(W134,12*2),AND(AI134="K5-LAW",AH134="นิติศาสตร์",U134="S1",X134&gt;=1,W134&lt;Q134),EDATE(W134,12),AND(AI134="K5-LAW",AH134="นิติศาสตร์",OR(U134="S2",U134="K5")),W134,AND(AI134="K5-LAW",AH134="นิติศาสตร์",OR(L134="M2",L134="K4"),R134&gt;=2),EDATE(Q134,12*2),AND(AI134="K5-LAW",AH134="นิติศาสตร์",L134="S1",R134&gt;=1),EDATE(Q134,12),AND(AI134="K5-LAW",AH134="นิติศาสตร์",OR(L134="S2",L134="K5")),Q134,AND(AI134="K5-POLICY",AH134&lt;&gt;"นิติศาสตร์",L134="S2",U134="",AA134=""),Q134,AND(AI134="K5-POLICY",AH134&lt;&gt;"นิติศาสตร์",L134="S1",U134="",AA134=""),EDATE(Q134,12),AND(AI134="K5-POLICY",AH134&lt;&gt;"นิติศาสตร์",OR(L134="M2",L134="K4"),U134="",AA134=""),EDATE(Q134,12*2),AND(AI134="K5-POLICY",AH134&lt;&gt;"นิติศาสตร์",OR(AA134="M2",AA134="K4"),AD134&gt;=2,OR(AC134&lt;W134,AC134&lt;Q134)),EDATE(AC134,12*2),AND(AI134="K5-POLICY",AH134&lt;&gt;"นิติศาสตร์",AA134="S1",AD134&gt;=1,OR(AC134&lt;W134,AC134&lt;Q134)),EDATE(AC134,12),AND(AI134="K5-POLICY",AH134&lt;&gt;"นิติศาสตร์",OR(U134="M2",U134="K4"),X134&gt;=2,W134&lt;Q134),EDATE(W134,12*2),AND(AI134="K5-POLICY",AH134&lt;&gt;"นิติศาสตร์",U134="S1",X134&gt;=1,W134&lt;Q134),EDATE(W134,12),AND(AI134="K5-POLICY",AH134&lt;&gt;"นิติศาสตร์",OR(U134="S2",U134="K5")),W134,AND(AI134="K5-POLICY",AH134&lt;&gt;"นิติศาสตร์",OR(L134="M2",L134="K4"),R134&gt;=2),EDATE(Q134,12*2),AND(AI134="K5-POLICY",AH134&lt;&gt;"นิติศาสตร์",L134="S1",R134&gt;=1),EDATE(Q134,12),AND(AI134="K5-POLICY",AH134&lt;&gt;"นิติศาสตร์",OR(L134="S2",L134="K5")),Q134,TRUE,"Check Data")</f>
        <v/>
      </c>
      <c r="AK134" s="75" t="str">
        <f t="shared" si="39"/>
        <v>Check Data</v>
      </c>
      <c r="AL134" s="76" t="str">
        <f t="shared" si="50"/>
        <v>Check Data</v>
      </c>
      <c r="AM134" s="50" t="str">
        <f t="shared" si="40"/>
        <v>Check Data</v>
      </c>
      <c r="AN134" s="49" t="str">
        <f>IF(B134="","",IF(L134="S1","S1",INDEX(#REF!,#REF!)))</f>
        <v/>
      </c>
      <c r="AO134" s="49" t="str">
        <f t="shared" si="41"/>
        <v>M2</v>
      </c>
      <c r="AP134" s="50" t="b">
        <f>L134=AN134</f>
        <v>0</v>
      </c>
      <c r="AQ134" s="50"/>
    </row>
    <row r="135" spans="1:43" ht="21.75">
      <c r="A135" s="49">
        <v>133</v>
      </c>
      <c r="B135" s="50"/>
      <c r="C135" s="50"/>
      <c r="D135" s="50" t="s">
        <v>143</v>
      </c>
      <c r="E135" s="50" t="e">
        <f>INDEX(#REF!,#REF!)</f>
        <v>#REF!</v>
      </c>
      <c r="F135" s="49" t="s">
        <v>338</v>
      </c>
      <c r="G135" s="49" t="str">
        <f t="shared" si="37"/>
        <v>14/07/2000</v>
      </c>
      <c r="H135" s="50">
        <f t="shared" si="47"/>
        <v>24</v>
      </c>
      <c r="I135" s="50">
        <f t="shared" si="48"/>
        <v>11</v>
      </c>
      <c r="J135" s="50">
        <f t="shared" si="49"/>
        <v>6</v>
      </c>
      <c r="K135" s="59"/>
      <c r="L135" s="49" t="s">
        <v>136</v>
      </c>
      <c r="M135" s="64"/>
      <c r="N135" s="49" t="s">
        <v>427</v>
      </c>
      <c r="O135" s="49">
        <v>2574</v>
      </c>
      <c r="P135" s="65" t="s">
        <v>339</v>
      </c>
      <c r="Q135" s="49" t="str">
        <f t="shared" si="38"/>
        <v>25/03/2022</v>
      </c>
      <c r="R135" s="68">
        <f>IF(Q135="",0,DATEDIF(Q135,$C$1,"Y"))</f>
        <v>3</v>
      </c>
      <c r="S135" s="68">
        <f>IF(Q135="",0,DATEDIF(Q135,$C$1,"YM"))</f>
        <v>2</v>
      </c>
      <c r="T135" s="68">
        <f>IF(Q135="",0,DATEDIF(Q135,$C$1,"MD"))</f>
        <v>26</v>
      </c>
      <c r="U135" s="65"/>
      <c r="V135" s="65"/>
      <c r="W135" s="49" t="str">
        <f t="shared" si="42"/>
        <v/>
      </c>
      <c r="X135" s="68">
        <f>IF(W135="",0,DATEDIF(W135,Q135,"Y"))</f>
        <v>0</v>
      </c>
      <c r="Y135" s="68">
        <f>IF(W135="",0,DATEDIF(W135,Q135,"YM"))</f>
        <v>0</v>
      </c>
      <c r="Z135" s="68">
        <f>IF(W135="",0,DATEDIF(W135,Q135,"MD"))</f>
        <v>0</v>
      </c>
      <c r="AA135" s="49"/>
      <c r="AB135" s="65"/>
      <c r="AC135" s="50" t="str">
        <f t="shared" si="43"/>
        <v/>
      </c>
      <c r="AD135" s="68">
        <f t="shared" si="44"/>
        <v>0</v>
      </c>
      <c r="AE135" s="68">
        <f t="shared" si="45"/>
        <v>0</v>
      </c>
      <c r="AF135" s="68">
        <f t="shared" si="46"/>
        <v>0</v>
      </c>
      <c r="AG135" s="50"/>
      <c r="AH135" s="108" t="s">
        <v>138</v>
      </c>
      <c r="AI135" s="49" t="str">
        <f>IF(AH135="นิติศาสตร์","K5-LAW","K5-POLICY")</f>
        <v>K5-LAW</v>
      </c>
      <c r="AJ135" s="72" t="str">
        <f>_xlfn.IFS(B135="","",AND(AI135="K5-LAW",AH135="นิติศาสตร์",L135="S2",U135="",AA135=""),Q135,AND(AI135="K5-LAW",AH135="นิติศาสตร์",L135="S1",U135="",AA135=""),EDATE(Q135,12),AND(AI135="K5-LAW",AH135="นิติศาสตร์",OR(L135="M2",L135="K4"),U135="",AA135=""),EDATE(Q135,12*2),AND(AI135="K5-LAW",AH135="นิติศาสตร์",OR(AA135="M2",AA135="K4"),AD135&gt;=2,OR(AC135&lt;W135,AC135&lt;Q135)),EDATE(AC135,12*2),AND(AI135="K5-LAW",AH135="นิติศาสตร์",AA135="S1",AD135&gt;=1,OR(AC135&lt;W135,AC135&lt;Q135)),EDATE(AC135,12),AND(AI135="K5-LAW",AH135="นิติศาสตร์",OR(U135="M2",U135="K4"),X135&gt;=2,W135&lt;Q135),EDATE(W135,12*2),AND(AI135="K5-LAW",AH135="นิติศาสตร์",U135="S1",X135&gt;=1,W135&lt;Q135),EDATE(W135,12),AND(AI135="K5-LAW",AH135="นิติศาสตร์",OR(U135="S2",U135="K5")),W135,AND(AI135="K5-LAW",AH135="นิติศาสตร์",OR(L135="M2",L135="K4"),R135&gt;=2),EDATE(Q135,12*2),AND(AI135="K5-LAW",AH135="นิติศาสตร์",L135="S1",R135&gt;=1),EDATE(Q135,12),AND(AI135="K5-LAW",AH135="นิติศาสตร์",OR(L135="S2",L135="K5")),Q135,AND(AI135="K5-POLICY",AH135&lt;&gt;"นิติศาสตร์",L135="S2",U135="",AA135=""),Q135,AND(AI135="K5-POLICY",AH135&lt;&gt;"นิติศาสตร์",L135="S1",U135="",AA135=""),EDATE(Q135,12),AND(AI135="K5-POLICY",AH135&lt;&gt;"นิติศาสตร์",OR(L135="M2",L135="K4"),U135="",AA135=""),EDATE(Q135,12*2),AND(AI135="K5-POLICY",AH135&lt;&gt;"นิติศาสตร์",OR(AA135="M2",AA135="K4"),AD135&gt;=2,OR(AC135&lt;W135,AC135&lt;Q135)),EDATE(AC135,12*2),AND(AI135="K5-POLICY",AH135&lt;&gt;"นิติศาสตร์",AA135="S1",AD135&gt;=1,OR(AC135&lt;W135,AC135&lt;Q135)),EDATE(AC135,12),AND(AI135="K5-POLICY",AH135&lt;&gt;"นิติศาสตร์",OR(U135="M2",U135="K4"),X135&gt;=2,W135&lt;Q135),EDATE(W135,12*2),AND(AI135="K5-POLICY",AH135&lt;&gt;"นิติศาสตร์",U135="S1",X135&gt;=1,W135&lt;Q135),EDATE(W135,12),AND(AI135="K5-POLICY",AH135&lt;&gt;"นิติศาสตร์",OR(U135="S2",U135="K5")),W135,AND(AI135="K5-POLICY",AH135&lt;&gt;"นิติศาสตร์",OR(L135="M2",L135="K4"),R135&gt;=2),EDATE(Q135,12*2),AND(AI135="K5-POLICY",AH135&lt;&gt;"นิติศาสตร์",L135="S1",R135&gt;=1),EDATE(Q135,12),AND(AI135="K5-POLICY",AH135&lt;&gt;"นิติศาสตร์",OR(L135="S2",L135="K5")),Q135,TRUE,"Check Data")</f>
        <v/>
      </c>
      <c r="AK135" s="75" t="str">
        <f t="shared" si="39"/>
        <v>Check Data</v>
      </c>
      <c r="AL135" s="76" t="str">
        <f t="shared" si="50"/>
        <v>Check Data</v>
      </c>
      <c r="AM135" s="50" t="str">
        <f t="shared" si="40"/>
        <v>Check Data</v>
      </c>
      <c r="AN135" s="49" t="str">
        <f>IF(B135="","",IF(L135="S1","S1",INDEX(#REF!,#REF!)))</f>
        <v/>
      </c>
      <c r="AO135" s="49" t="str">
        <f t="shared" si="41"/>
        <v>M2</v>
      </c>
      <c r="AP135" s="50" t="b">
        <f>L135=AN135</f>
        <v>0</v>
      </c>
      <c r="AQ135" s="50"/>
    </row>
    <row r="136" spans="1:43" ht="21.75">
      <c r="A136" s="49">
        <v>134</v>
      </c>
      <c r="B136" s="50"/>
      <c r="C136" s="50"/>
      <c r="D136" s="50" t="s">
        <v>34</v>
      </c>
      <c r="E136" s="50" t="e">
        <f>INDEX(#REF!,#REF!)</f>
        <v>#REF!</v>
      </c>
      <c r="F136" s="49" t="s">
        <v>202</v>
      </c>
      <c r="G136" s="49" t="str">
        <f t="shared" si="37"/>
        <v>22/10/2001</v>
      </c>
      <c r="H136" s="50">
        <f t="shared" si="47"/>
        <v>23</v>
      </c>
      <c r="I136" s="50">
        <f t="shared" si="48"/>
        <v>7</v>
      </c>
      <c r="J136" s="50">
        <f t="shared" si="49"/>
        <v>29</v>
      </c>
      <c r="K136" s="58"/>
      <c r="L136" s="49" t="s">
        <v>136</v>
      </c>
      <c r="M136" s="64"/>
      <c r="N136" s="49" t="s">
        <v>427</v>
      </c>
      <c r="O136" s="49">
        <v>2582</v>
      </c>
      <c r="P136" s="65" t="s">
        <v>203</v>
      </c>
      <c r="Q136" s="49" t="str">
        <f t="shared" si="38"/>
        <v>10/08/2022</v>
      </c>
      <c r="R136" s="68">
        <f>IF(Q136="",0,DATEDIF(Q136,$C$1,"Y"))</f>
        <v>2</v>
      </c>
      <c r="S136" s="68">
        <f>IF(Q136="",0,DATEDIF(Q136,$C$1,"YM"))</f>
        <v>10</v>
      </c>
      <c r="T136" s="68">
        <f>IF(Q136="",0,DATEDIF(Q136,$C$1,"MD"))</f>
        <v>10</v>
      </c>
      <c r="U136" s="65"/>
      <c r="V136" s="65"/>
      <c r="W136" s="49" t="str">
        <f t="shared" si="42"/>
        <v/>
      </c>
      <c r="X136" s="68">
        <f>IF(W136="",0,DATEDIF(W136,Q136,"Y"))</f>
        <v>0</v>
      </c>
      <c r="Y136" s="68">
        <f>IF(W136="",0,DATEDIF(W136,Q136,"YM"))</f>
        <v>0</v>
      </c>
      <c r="Z136" s="68">
        <f>IF(W136="",0,DATEDIF(W136,Q136,"MD"))</f>
        <v>0</v>
      </c>
      <c r="AA136" s="49"/>
      <c r="AB136" s="65"/>
      <c r="AC136" s="50" t="str">
        <f t="shared" si="43"/>
        <v/>
      </c>
      <c r="AD136" s="68">
        <f t="shared" si="44"/>
        <v>0</v>
      </c>
      <c r="AE136" s="68">
        <f t="shared" si="45"/>
        <v>0</v>
      </c>
      <c r="AF136" s="68">
        <f t="shared" si="46"/>
        <v>0</v>
      </c>
      <c r="AG136" s="50"/>
      <c r="AH136" s="108" t="s">
        <v>138</v>
      </c>
      <c r="AI136" s="49" t="str">
        <f>IF(AH136="นิติศาสตร์","K5-LAW","K5-POLICY")</f>
        <v>K5-LAW</v>
      </c>
      <c r="AJ136" s="72" t="str">
        <f>_xlfn.IFS(B136="","",AND(AI136="K5-LAW",AH136="นิติศาสตร์",L136="S2",U136="",AA136=""),Q136,AND(AI136="K5-LAW",AH136="นิติศาสตร์",L136="S1",U136="",AA136=""),EDATE(Q136,12),AND(AI136="K5-LAW",AH136="นิติศาสตร์",OR(L136="M2",L136="K4"),U136="",AA136=""),EDATE(Q136,12*2),AND(AI136="K5-LAW",AH136="นิติศาสตร์",OR(AA136="M2",AA136="K4"),AD136&gt;=2,OR(AC136&lt;W136,AC136&lt;Q136)),EDATE(AC136,12*2),AND(AI136="K5-LAW",AH136="นิติศาสตร์",AA136="S1",AD136&gt;=1,OR(AC136&lt;W136,AC136&lt;Q136)),EDATE(AC136,12),AND(AI136="K5-LAW",AH136="นิติศาสตร์",OR(U136="M2",U136="K4"),X136&gt;=2,W136&lt;Q136),EDATE(W136,12*2),AND(AI136="K5-LAW",AH136="นิติศาสตร์",U136="S1",X136&gt;=1,W136&lt;Q136),EDATE(W136,12),AND(AI136="K5-LAW",AH136="นิติศาสตร์",OR(U136="S2",U136="K5")),W136,AND(AI136="K5-LAW",AH136="นิติศาสตร์",OR(L136="M2",L136="K4"),R136&gt;=2),EDATE(Q136,12*2),AND(AI136="K5-LAW",AH136="นิติศาสตร์",L136="S1",R136&gt;=1),EDATE(Q136,12),AND(AI136="K5-LAW",AH136="นิติศาสตร์",OR(L136="S2",L136="K5")),Q136,AND(AI136="K5-POLICY",AH136&lt;&gt;"นิติศาสตร์",L136="S2",U136="",AA136=""),Q136,AND(AI136="K5-POLICY",AH136&lt;&gt;"นิติศาสตร์",L136="S1",U136="",AA136=""),EDATE(Q136,12),AND(AI136="K5-POLICY",AH136&lt;&gt;"นิติศาสตร์",OR(L136="M2",L136="K4"),U136="",AA136=""),EDATE(Q136,12*2),AND(AI136="K5-POLICY",AH136&lt;&gt;"นิติศาสตร์",OR(AA136="M2",AA136="K4"),AD136&gt;=2,OR(AC136&lt;W136,AC136&lt;Q136)),EDATE(AC136,12*2),AND(AI136="K5-POLICY",AH136&lt;&gt;"นิติศาสตร์",AA136="S1",AD136&gt;=1,OR(AC136&lt;W136,AC136&lt;Q136)),EDATE(AC136,12),AND(AI136="K5-POLICY",AH136&lt;&gt;"นิติศาสตร์",OR(U136="M2",U136="K4"),X136&gt;=2,W136&lt;Q136),EDATE(W136,12*2),AND(AI136="K5-POLICY",AH136&lt;&gt;"นิติศาสตร์",U136="S1",X136&gt;=1,W136&lt;Q136),EDATE(W136,12),AND(AI136="K5-POLICY",AH136&lt;&gt;"นิติศาสตร์",OR(U136="S2",U136="K5")),W136,AND(AI136="K5-POLICY",AH136&lt;&gt;"นิติศาสตร์",OR(L136="M2",L136="K4"),R136&gt;=2),EDATE(Q136,12*2),AND(AI136="K5-POLICY",AH136&lt;&gt;"นิติศาสตร์",L136="S1",R136&gt;=1),EDATE(Q136,12),AND(AI136="K5-POLICY",AH136&lt;&gt;"นิติศาสตร์",OR(L136="S2",L136="K5")),Q136,TRUE,"Check Data")</f>
        <v/>
      </c>
      <c r="AK136" s="75" t="str">
        <f t="shared" si="39"/>
        <v>Check Data</v>
      </c>
      <c r="AL136" s="76" t="str">
        <f t="shared" si="50"/>
        <v>Check Data</v>
      </c>
      <c r="AM136" s="50" t="str">
        <f t="shared" si="40"/>
        <v>Check Data</v>
      </c>
      <c r="AN136" s="49" t="str">
        <f>IF(B136="","",IF(L136="S1","S1",INDEX(#REF!,#REF!)))</f>
        <v/>
      </c>
      <c r="AO136" s="49" t="str">
        <f t="shared" si="41"/>
        <v>M2</v>
      </c>
      <c r="AP136" s="50" t="b">
        <f>L136=AN136</f>
        <v>0</v>
      </c>
      <c r="AQ136" s="50"/>
    </row>
    <row r="137" spans="1:43" ht="21.75">
      <c r="A137" s="49">
        <v>135</v>
      </c>
      <c r="B137" s="50"/>
      <c r="C137" s="50"/>
      <c r="D137" s="50" t="s">
        <v>139</v>
      </c>
      <c r="E137" s="50" t="e">
        <f>INDEX(#REF!,#REF!)</f>
        <v>#REF!</v>
      </c>
      <c r="F137" s="49" t="s">
        <v>223</v>
      </c>
      <c r="G137" s="49" t="str">
        <f t="shared" si="37"/>
        <v>15/04/1991</v>
      </c>
      <c r="H137" s="50">
        <f t="shared" si="47"/>
        <v>34</v>
      </c>
      <c r="I137" s="50">
        <f t="shared" si="48"/>
        <v>2</v>
      </c>
      <c r="J137" s="50">
        <f t="shared" si="49"/>
        <v>5</v>
      </c>
      <c r="K137" s="58"/>
      <c r="L137" s="49" t="s">
        <v>136</v>
      </c>
      <c r="M137" s="64"/>
      <c r="N137" s="49" t="s">
        <v>425</v>
      </c>
      <c r="O137" s="49">
        <v>2570</v>
      </c>
      <c r="P137" s="65" t="s">
        <v>220</v>
      </c>
      <c r="Q137" s="49" t="str">
        <f t="shared" si="38"/>
        <v>30/09/2022</v>
      </c>
      <c r="R137" s="68">
        <f>IF(Q137="",0,DATEDIF(Q137,$C$1,"Y"))</f>
        <v>2</v>
      </c>
      <c r="S137" s="68">
        <f>IF(Q137="",0,DATEDIF(Q137,$C$1,"YM"))</f>
        <v>8</v>
      </c>
      <c r="T137" s="68">
        <f>IF(Q137="",0,DATEDIF(Q137,$C$1,"MD"))</f>
        <v>21</v>
      </c>
      <c r="U137" s="65"/>
      <c r="V137" s="65"/>
      <c r="W137" s="49" t="str">
        <f t="shared" si="42"/>
        <v/>
      </c>
      <c r="X137" s="68">
        <f>IF(W137="",0,DATEDIF(W137,Q137,"Y"))</f>
        <v>0</v>
      </c>
      <c r="Y137" s="68">
        <f>IF(W137="",0,DATEDIF(W137,Q137,"YM"))</f>
        <v>0</v>
      </c>
      <c r="Z137" s="68">
        <f>IF(W137="",0,DATEDIF(W137,Q137,"MD"))</f>
        <v>0</v>
      </c>
      <c r="AA137" s="49"/>
      <c r="AB137" s="65"/>
      <c r="AC137" s="50" t="str">
        <f t="shared" si="43"/>
        <v/>
      </c>
      <c r="AD137" s="68">
        <f t="shared" si="44"/>
        <v>0</v>
      </c>
      <c r="AE137" s="68">
        <f t="shared" si="45"/>
        <v>0</v>
      </c>
      <c r="AF137" s="68">
        <f t="shared" si="46"/>
        <v>0</v>
      </c>
      <c r="AG137" s="50"/>
      <c r="AH137" s="108" t="s">
        <v>165</v>
      </c>
      <c r="AI137" s="49" t="str">
        <f>IF(AH137="นิติศาสตร์","K5-LAW","K5-POLICY")</f>
        <v>K5-POLICY</v>
      </c>
      <c r="AJ137" s="72" t="str">
        <f>_xlfn.IFS(B137="","",AND(AI137="K5-LAW",AH137="นิติศาสตร์",L137="S2",U137="",AA137=""),Q137,AND(AI137="K5-LAW",AH137="นิติศาสตร์",L137="S1",U137="",AA137=""),EDATE(Q137,12),AND(AI137="K5-LAW",AH137="นิติศาสตร์",OR(L137="M2",L137="K4"),U137="",AA137=""),EDATE(Q137,12*2),AND(AI137="K5-LAW",AH137="นิติศาสตร์",OR(AA137="M2",AA137="K4"),AD137&gt;=2,OR(AC137&lt;W137,AC137&lt;Q137)),EDATE(AC137,12*2),AND(AI137="K5-LAW",AH137="นิติศาสตร์",AA137="S1",AD137&gt;=1,OR(AC137&lt;W137,AC137&lt;Q137)),EDATE(AC137,12),AND(AI137="K5-LAW",AH137="นิติศาสตร์",OR(U137="M2",U137="K4"),X137&gt;=2,W137&lt;Q137),EDATE(W137,12*2),AND(AI137="K5-LAW",AH137="นิติศาสตร์",U137="S1",X137&gt;=1,W137&lt;Q137),EDATE(W137,12),AND(AI137="K5-LAW",AH137="นิติศาสตร์",OR(U137="S2",U137="K5")),W137,AND(AI137="K5-LAW",AH137="นิติศาสตร์",OR(L137="M2",L137="K4"),R137&gt;=2),EDATE(Q137,12*2),AND(AI137="K5-LAW",AH137="นิติศาสตร์",L137="S1",R137&gt;=1),EDATE(Q137,12),AND(AI137="K5-LAW",AH137="นิติศาสตร์",OR(L137="S2",L137="K5")),Q137,AND(AI137="K5-POLICY",AH137&lt;&gt;"นิติศาสตร์",L137="S2",U137="",AA137=""),Q137,AND(AI137="K5-POLICY",AH137&lt;&gt;"นิติศาสตร์",L137="S1",U137="",AA137=""),EDATE(Q137,12),AND(AI137="K5-POLICY",AH137&lt;&gt;"นิติศาสตร์",OR(L137="M2",L137="K4"),U137="",AA137=""),EDATE(Q137,12*2),AND(AI137="K5-POLICY",AH137&lt;&gt;"นิติศาสตร์",OR(AA137="M2",AA137="K4"),AD137&gt;=2,OR(AC137&lt;W137,AC137&lt;Q137)),EDATE(AC137,12*2),AND(AI137="K5-POLICY",AH137&lt;&gt;"นิติศาสตร์",AA137="S1",AD137&gt;=1,OR(AC137&lt;W137,AC137&lt;Q137)),EDATE(AC137,12),AND(AI137="K5-POLICY",AH137&lt;&gt;"นิติศาสตร์",OR(U137="M2",U137="K4"),X137&gt;=2,W137&lt;Q137),EDATE(W137,12*2),AND(AI137="K5-POLICY",AH137&lt;&gt;"นิติศาสตร์",U137="S1",X137&gt;=1,W137&lt;Q137),EDATE(W137,12),AND(AI137="K5-POLICY",AH137&lt;&gt;"นิติศาสตร์",OR(U137="S2",U137="K5")),W137,AND(AI137="K5-POLICY",AH137&lt;&gt;"นิติศาสตร์",OR(L137="M2",L137="K4"),R137&gt;=2),EDATE(Q137,12*2),AND(AI137="K5-POLICY",AH137&lt;&gt;"นิติศาสตร์",L137="S1",R137&gt;=1),EDATE(Q137,12),AND(AI137="K5-POLICY",AH137&lt;&gt;"นิติศาสตร์",OR(L137="S2",L137="K5")),Q137,TRUE,"Check Data")</f>
        <v/>
      </c>
      <c r="AK137" s="75" t="str">
        <f t="shared" si="39"/>
        <v>Check Data</v>
      </c>
      <c r="AL137" s="76" t="str">
        <f t="shared" si="50"/>
        <v>Check Data</v>
      </c>
      <c r="AM137" s="50" t="str">
        <f t="shared" si="40"/>
        <v>Check Data</v>
      </c>
      <c r="AN137" s="49" t="str">
        <f>IF(B137="","",IF(L137="S1","S1",INDEX(#REF!,#REF!)))</f>
        <v/>
      </c>
      <c r="AO137" s="49" t="str">
        <f t="shared" si="41"/>
        <v>M2</v>
      </c>
      <c r="AP137" s="50" t="b">
        <f>L137=AN137</f>
        <v>0</v>
      </c>
      <c r="AQ137" s="50"/>
    </row>
    <row r="138" spans="1:43" ht="21.75">
      <c r="A138" s="49">
        <v>136</v>
      </c>
      <c r="B138" s="50"/>
      <c r="C138" s="50"/>
      <c r="D138" s="50" t="s">
        <v>139</v>
      </c>
      <c r="E138" s="50" t="e">
        <f>INDEX(#REF!,#REF!)</f>
        <v>#REF!</v>
      </c>
      <c r="F138" s="49" t="s">
        <v>219</v>
      </c>
      <c r="G138" s="49" t="str">
        <f t="shared" ref="G138:G169" si="51">IF(F138="","",TEXT(EDATE(F138,-543*12),"dd/mm/yyyy"))</f>
        <v>01/11/1994</v>
      </c>
      <c r="H138" s="50">
        <f t="shared" si="47"/>
        <v>30</v>
      </c>
      <c r="I138" s="50">
        <f t="shared" si="48"/>
        <v>7</v>
      </c>
      <c r="J138" s="50">
        <f t="shared" si="49"/>
        <v>19</v>
      </c>
      <c r="K138" s="56"/>
      <c r="L138" s="49" t="s">
        <v>136</v>
      </c>
      <c r="M138" s="64"/>
      <c r="N138" s="49" t="s">
        <v>427</v>
      </c>
      <c r="O138" s="49">
        <v>2571</v>
      </c>
      <c r="P138" s="65" t="s">
        <v>220</v>
      </c>
      <c r="Q138" s="49" t="str">
        <f t="shared" ref="Q138:Q169" si="52">TEXT(EDATE(P138,-543*12),"dd/mm/yyyy")</f>
        <v>30/09/2022</v>
      </c>
      <c r="R138" s="68">
        <f>IF(Q138="",0,DATEDIF(Q138,$C$1,"Y"))</f>
        <v>2</v>
      </c>
      <c r="S138" s="68">
        <f>IF(Q138="",0,DATEDIF(Q138,$C$1,"YM"))</f>
        <v>8</v>
      </c>
      <c r="T138" s="68">
        <f>IF(Q138="",0,DATEDIF(Q138,$C$1,"MD"))</f>
        <v>21</v>
      </c>
      <c r="U138" s="65"/>
      <c r="V138" s="65"/>
      <c r="W138" s="49" t="str">
        <f t="shared" si="42"/>
        <v/>
      </c>
      <c r="X138" s="68">
        <f>IF(W138="",0,DATEDIF(W138,Q138,"Y"))</f>
        <v>0</v>
      </c>
      <c r="Y138" s="68">
        <f>IF(W138="",0,DATEDIF(W138,Q138,"YM"))</f>
        <v>0</v>
      </c>
      <c r="Z138" s="68">
        <f>IF(W138="",0,DATEDIF(W138,Q138,"MD"))</f>
        <v>0</v>
      </c>
      <c r="AA138" s="49"/>
      <c r="AB138" s="65"/>
      <c r="AC138" s="50" t="str">
        <f t="shared" si="43"/>
        <v/>
      </c>
      <c r="AD138" s="68">
        <f t="shared" si="44"/>
        <v>0</v>
      </c>
      <c r="AE138" s="68">
        <f t="shared" si="45"/>
        <v>0</v>
      </c>
      <c r="AF138" s="68">
        <f t="shared" si="46"/>
        <v>0</v>
      </c>
      <c r="AG138" s="50"/>
      <c r="AH138" s="108" t="s">
        <v>165</v>
      </c>
      <c r="AI138" s="49" t="str">
        <f>IF(AH138="นิติศาสตร์","K5-LAW","K5-POLICY")</f>
        <v>K5-POLICY</v>
      </c>
      <c r="AJ138" s="72" t="str">
        <f>_xlfn.IFS(B138="","",AND(AI138="K5-LAW",AH138="นิติศาสตร์",L138="S2",U138="",AA138=""),Q138,AND(AI138="K5-LAW",AH138="นิติศาสตร์",L138="S1",U138="",AA138=""),EDATE(Q138,12),AND(AI138="K5-LAW",AH138="นิติศาสตร์",OR(L138="M2",L138="K4"),U138="",AA138=""),EDATE(Q138,12*2),AND(AI138="K5-LAW",AH138="นิติศาสตร์",OR(AA138="M2",AA138="K4"),AD138&gt;=2,OR(AC138&lt;W138,AC138&lt;Q138)),EDATE(AC138,12*2),AND(AI138="K5-LAW",AH138="นิติศาสตร์",AA138="S1",AD138&gt;=1,OR(AC138&lt;W138,AC138&lt;Q138)),EDATE(AC138,12),AND(AI138="K5-LAW",AH138="นิติศาสตร์",OR(U138="M2",U138="K4"),X138&gt;=2,W138&lt;Q138),EDATE(W138,12*2),AND(AI138="K5-LAW",AH138="นิติศาสตร์",U138="S1",X138&gt;=1,W138&lt;Q138),EDATE(W138,12),AND(AI138="K5-LAW",AH138="นิติศาสตร์",OR(U138="S2",U138="K5")),W138,AND(AI138="K5-LAW",AH138="นิติศาสตร์",OR(L138="M2",L138="K4"),R138&gt;=2),EDATE(Q138,12*2),AND(AI138="K5-LAW",AH138="นิติศาสตร์",L138="S1",R138&gt;=1),EDATE(Q138,12),AND(AI138="K5-LAW",AH138="นิติศาสตร์",OR(L138="S2",L138="K5")),Q138,AND(AI138="K5-POLICY",AH138&lt;&gt;"นิติศาสตร์",L138="S2",U138="",AA138=""),Q138,AND(AI138="K5-POLICY",AH138&lt;&gt;"นิติศาสตร์",L138="S1",U138="",AA138=""),EDATE(Q138,12),AND(AI138="K5-POLICY",AH138&lt;&gt;"นิติศาสตร์",OR(L138="M2",L138="K4"),U138="",AA138=""),EDATE(Q138,12*2),AND(AI138="K5-POLICY",AH138&lt;&gt;"นิติศาสตร์",OR(AA138="M2",AA138="K4"),AD138&gt;=2,OR(AC138&lt;W138,AC138&lt;Q138)),EDATE(AC138,12*2),AND(AI138="K5-POLICY",AH138&lt;&gt;"นิติศาสตร์",AA138="S1",AD138&gt;=1,OR(AC138&lt;W138,AC138&lt;Q138)),EDATE(AC138,12),AND(AI138="K5-POLICY",AH138&lt;&gt;"นิติศาสตร์",OR(U138="M2",U138="K4"),X138&gt;=2,W138&lt;Q138),EDATE(W138,12*2),AND(AI138="K5-POLICY",AH138&lt;&gt;"นิติศาสตร์",U138="S1",X138&gt;=1,W138&lt;Q138),EDATE(W138,12),AND(AI138="K5-POLICY",AH138&lt;&gt;"นิติศาสตร์",OR(U138="S2",U138="K5")),W138,AND(AI138="K5-POLICY",AH138&lt;&gt;"นิติศาสตร์",OR(L138="M2",L138="K4"),R138&gt;=2),EDATE(Q138,12*2),AND(AI138="K5-POLICY",AH138&lt;&gt;"นิติศาสตร์",L138="S1",R138&gt;=1),EDATE(Q138,12),AND(AI138="K5-POLICY",AH138&lt;&gt;"นิติศาสตร์",OR(L138="S2",L138="K5")),Q138,TRUE,"Check Data")</f>
        <v/>
      </c>
      <c r="AK138" s="75" t="str">
        <f t="shared" ref="AK138:AK169" si="53">IFERROR(TEXT(EDATE(AJ138,543*12),"dd/mm/yyyy"),"Check Data")</f>
        <v>Check Data</v>
      </c>
      <c r="AL138" s="76" t="str">
        <f t="shared" si="50"/>
        <v>Check Data</v>
      </c>
      <c r="AM138" s="50" t="str">
        <f t="shared" ref="AM138:AM169" si="54">_xlfn.IFS(AL138="Check Data","Check Data",AL138&gt;30,"ยังไม่ถึงเกณฑ์",AL138&gt;0,"ใกล้ถึงเกณฑ์",AL138=0,"ถึงเกณฑ์",AL138&lt;0,"ถึงเกณฑ์นานแล้ว")</f>
        <v>Check Data</v>
      </c>
      <c r="AN138" s="49" t="str">
        <f>IF(B138="","",IF(L138="S1","S1",INDEX(#REF!,#REF!)))</f>
        <v/>
      </c>
      <c r="AO138" s="49" t="str">
        <f t="shared" ref="AO138:AO171" si="55">L138</f>
        <v>M2</v>
      </c>
      <c r="AP138" s="50" t="b">
        <f>L138=AN138</f>
        <v>0</v>
      </c>
      <c r="AQ138" s="50"/>
    </row>
    <row r="139" spans="1:43" ht="21.75">
      <c r="A139" s="49">
        <v>137</v>
      </c>
      <c r="B139" s="50"/>
      <c r="C139" s="50"/>
      <c r="D139" s="50" t="s">
        <v>143</v>
      </c>
      <c r="E139" s="50" t="e">
        <f>INDEX(#REF!,#REF!)</f>
        <v>#REF!</v>
      </c>
      <c r="F139" s="49" t="s">
        <v>296</v>
      </c>
      <c r="G139" s="49" t="str">
        <f t="shared" si="51"/>
        <v>02/10/1995</v>
      </c>
      <c r="H139" s="50">
        <f t="shared" si="47"/>
        <v>29</v>
      </c>
      <c r="I139" s="50">
        <f t="shared" si="48"/>
        <v>8</v>
      </c>
      <c r="J139" s="50">
        <f t="shared" si="49"/>
        <v>18</v>
      </c>
      <c r="K139" s="59"/>
      <c r="L139" s="49" t="s">
        <v>136</v>
      </c>
      <c r="M139" s="64"/>
      <c r="N139" s="49" t="s">
        <v>427</v>
      </c>
      <c r="O139" s="49">
        <v>2570</v>
      </c>
      <c r="P139" s="65" t="s">
        <v>220</v>
      </c>
      <c r="Q139" s="49" t="str">
        <f t="shared" si="52"/>
        <v>30/09/2022</v>
      </c>
      <c r="R139" s="68">
        <f>IF(Q139="",0,DATEDIF(Q139,$C$1,"Y"))</f>
        <v>2</v>
      </c>
      <c r="S139" s="68">
        <f>IF(Q139="",0,DATEDIF(Q139,$C$1,"YM"))</f>
        <v>8</v>
      </c>
      <c r="T139" s="68">
        <f>IF(Q139="",0,DATEDIF(Q139,$C$1,"MD"))</f>
        <v>21</v>
      </c>
      <c r="U139" s="65"/>
      <c r="V139" s="65"/>
      <c r="W139" s="49" t="str">
        <f t="shared" si="42"/>
        <v/>
      </c>
      <c r="X139" s="68">
        <f>IF(W139="",0,DATEDIF(W139,Q139,"Y"))</f>
        <v>0</v>
      </c>
      <c r="Y139" s="68">
        <f>IF(W139="",0,DATEDIF(W139,Q139,"YM"))</f>
        <v>0</v>
      </c>
      <c r="Z139" s="68">
        <f>IF(W139="",0,DATEDIF(W139,Q139,"MD"))</f>
        <v>0</v>
      </c>
      <c r="AA139" s="49"/>
      <c r="AB139" s="65"/>
      <c r="AC139" s="50" t="str">
        <f t="shared" si="43"/>
        <v/>
      </c>
      <c r="AD139" s="68">
        <f t="shared" si="44"/>
        <v>0</v>
      </c>
      <c r="AE139" s="68">
        <f t="shared" si="45"/>
        <v>0</v>
      </c>
      <c r="AF139" s="68">
        <f t="shared" si="46"/>
        <v>0</v>
      </c>
      <c r="AG139" s="50"/>
      <c r="AH139" s="108" t="s">
        <v>513</v>
      </c>
      <c r="AI139" s="49" t="str">
        <f>IF(AH139="นิติศาสตร์","K5-LAW","K5-POLICY")</f>
        <v>K5-POLICY</v>
      </c>
      <c r="AJ139" s="72" t="str">
        <f>_xlfn.IFS(B139="","",AND(AI139="K5-LAW",AH139="นิติศาสตร์",L139="S2",U139="",AA139=""),Q139,AND(AI139="K5-LAW",AH139="นิติศาสตร์",L139="S1",U139="",AA139=""),EDATE(Q139,12),AND(AI139="K5-LAW",AH139="นิติศาสตร์",OR(L139="M2",L139="K4"),U139="",AA139=""),EDATE(Q139,12*2),AND(AI139="K5-LAW",AH139="นิติศาสตร์",OR(AA139="M2",AA139="K4"),AD139&gt;=2,OR(AC139&lt;W139,AC139&lt;Q139)),EDATE(AC139,12*2),AND(AI139="K5-LAW",AH139="นิติศาสตร์",AA139="S1",AD139&gt;=1,OR(AC139&lt;W139,AC139&lt;Q139)),EDATE(AC139,12),AND(AI139="K5-LAW",AH139="นิติศาสตร์",OR(U139="M2",U139="K4"),X139&gt;=2,W139&lt;Q139),EDATE(W139,12*2),AND(AI139="K5-LAW",AH139="นิติศาสตร์",U139="S1",X139&gt;=1,W139&lt;Q139),EDATE(W139,12),AND(AI139="K5-LAW",AH139="นิติศาสตร์",OR(U139="S2",U139="K5")),W139,AND(AI139="K5-LAW",AH139="นิติศาสตร์",OR(L139="M2",L139="K4"),R139&gt;=2),EDATE(Q139,12*2),AND(AI139="K5-LAW",AH139="นิติศาสตร์",L139="S1",R139&gt;=1),EDATE(Q139,12),AND(AI139="K5-LAW",AH139="นิติศาสตร์",OR(L139="S2",L139="K5")),Q139,AND(AI139="K5-POLICY",AH139&lt;&gt;"นิติศาสตร์",L139="S2",U139="",AA139=""),Q139,AND(AI139="K5-POLICY",AH139&lt;&gt;"นิติศาสตร์",L139="S1",U139="",AA139=""),EDATE(Q139,12),AND(AI139="K5-POLICY",AH139&lt;&gt;"นิติศาสตร์",OR(L139="M2",L139="K4"),U139="",AA139=""),EDATE(Q139,12*2),AND(AI139="K5-POLICY",AH139&lt;&gt;"นิติศาสตร์",OR(AA139="M2",AA139="K4"),AD139&gt;=2,OR(AC139&lt;W139,AC139&lt;Q139)),EDATE(AC139,12*2),AND(AI139="K5-POLICY",AH139&lt;&gt;"นิติศาสตร์",AA139="S1",AD139&gt;=1,OR(AC139&lt;W139,AC139&lt;Q139)),EDATE(AC139,12),AND(AI139="K5-POLICY",AH139&lt;&gt;"นิติศาสตร์",OR(U139="M2",U139="K4"),X139&gt;=2,W139&lt;Q139),EDATE(W139,12*2),AND(AI139="K5-POLICY",AH139&lt;&gt;"นิติศาสตร์",U139="S1",X139&gt;=1,W139&lt;Q139),EDATE(W139,12),AND(AI139="K5-POLICY",AH139&lt;&gt;"นิติศาสตร์",OR(U139="S2",U139="K5")),W139,AND(AI139="K5-POLICY",AH139&lt;&gt;"นิติศาสตร์",OR(L139="M2",L139="K4"),R139&gt;=2),EDATE(Q139,12*2),AND(AI139="K5-POLICY",AH139&lt;&gt;"นิติศาสตร์",L139="S1",R139&gt;=1),EDATE(Q139,12),AND(AI139="K5-POLICY",AH139&lt;&gt;"นิติศาสตร์",OR(L139="S2",L139="K5")),Q139,TRUE,"Check Data")</f>
        <v/>
      </c>
      <c r="AK139" s="75" t="str">
        <f t="shared" si="53"/>
        <v>Check Data</v>
      </c>
      <c r="AL139" s="76" t="str">
        <f t="shared" si="50"/>
        <v>Check Data</v>
      </c>
      <c r="AM139" s="50" t="str">
        <f t="shared" si="54"/>
        <v>Check Data</v>
      </c>
      <c r="AN139" s="49" t="str">
        <f>IF(B139="","",IF(L139="S1","S1",INDEX(#REF!,#REF!)))</f>
        <v/>
      </c>
      <c r="AO139" s="49" t="str">
        <f t="shared" si="55"/>
        <v>M2</v>
      </c>
      <c r="AP139" s="50" t="b">
        <f>L139=AN139</f>
        <v>0</v>
      </c>
      <c r="AQ139" s="50"/>
    </row>
    <row r="140" spans="1:43" ht="21.75">
      <c r="A140" s="49">
        <v>138</v>
      </c>
      <c r="B140" s="50"/>
      <c r="C140" s="50"/>
      <c r="D140" s="50" t="s">
        <v>143</v>
      </c>
      <c r="E140" s="50" t="e">
        <f>INDEX(#REF!,#REF!)</f>
        <v>#REF!</v>
      </c>
      <c r="F140" s="49" t="s">
        <v>295</v>
      </c>
      <c r="G140" s="49" t="str">
        <f t="shared" si="51"/>
        <v>02/09/1996</v>
      </c>
      <c r="H140" s="50">
        <f t="shared" si="47"/>
        <v>28</v>
      </c>
      <c r="I140" s="50">
        <f t="shared" si="48"/>
        <v>9</v>
      </c>
      <c r="J140" s="50">
        <f t="shared" si="49"/>
        <v>18</v>
      </c>
      <c r="K140" s="59"/>
      <c r="L140" s="49" t="s">
        <v>136</v>
      </c>
      <c r="M140" s="64"/>
      <c r="N140" s="49" t="s">
        <v>426</v>
      </c>
      <c r="O140" s="49">
        <v>2576</v>
      </c>
      <c r="P140" s="65" t="s">
        <v>220</v>
      </c>
      <c r="Q140" s="49" t="str">
        <f t="shared" si="52"/>
        <v>30/09/2022</v>
      </c>
      <c r="R140" s="68">
        <f>IF(Q140="",0,DATEDIF(Q140,$C$1,"Y"))</f>
        <v>2</v>
      </c>
      <c r="S140" s="68">
        <f>IF(Q140="",0,DATEDIF(Q140,$C$1,"YM"))</f>
        <v>8</v>
      </c>
      <c r="T140" s="68">
        <f>IF(Q140="",0,DATEDIF(Q140,$C$1,"MD"))</f>
        <v>21</v>
      </c>
      <c r="U140" s="65"/>
      <c r="V140" s="65"/>
      <c r="W140" s="49" t="str">
        <f t="shared" ref="W140:W171" si="56">IF(V140="","",TEXT(EDATE(V140,-543*12),"dd/mm/yyyy"))</f>
        <v/>
      </c>
      <c r="X140" s="68">
        <f>IF(W140="",0,DATEDIF(W140,Q140,"Y"))</f>
        <v>0</v>
      </c>
      <c r="Y140" s="68">
        <f>IF(W140="",0,DATEDIF(W140,Q140,"YM"))</f>
        <v>0</v>
      </c>
      <c r="Z140" s="68">
        <f>IF(W140="",0,DATEDIF(W140,Q140,"MD"))</f>
        <v>0</v>
      </c>
      <c r="AA140" s="49"/>
      <c r="AB140" s="65"/>
      <c r="AC140" s="50" t="str">
        <f t="shared" ref="AC140:AC171" si="57">IF(AB140="","",TEXT(EDATE(AB140,-543*12),"dd/mm/yyyy"))</f>
        <v/>
      </c>
      <c r="AD140" s="68">
        <f t="shared" ref="AD140:AD171" si="58">IF(AC140="",0,DATEDIF(AC140,W140,"Y"))</f>
        <v>0</v>
      </c>
      <c r="AE140" s="68">
        <f t="shared" ref="AE140:AE171" si="59">IF(AC140="",0,DATEDIF(AC140,W140,"YM"))</f>
        <v>0</v>
      </c>
      <c r="AF140" s="68">
        <f t="shared" ref="AF140:AF171" si="60">IF(AC140="",0,DATEDIF(AC140,W140,"MD"))</f>
        <v>0</v>
      </c>
      <c r="AG140" s="50"/>
      <c r="AH140" s="108" t="s">
        <v>318</v>
      </c>
      <c r="AI140" s="49" t="str">
        <f>IF(AH140="นิติศาสตร์","K5-LAW","K5-POLICY")</f>
        <v>K5-POLICY</v>
      </c>
      <c r="AJ140" s="72" t="str">
        <f>_xlfn.IFS(B140="","",AND(AI140="K5-LAW",AH140="นิติศาสตร์",L140="S2",U140="",AA140=""),Q140,AND(AI140="K5-LAW",AH140="นิติศาสตร์",L140="S1",U140="",AA140=""),EDATE(Q140,12),AND(AI140="K5-LAW",AH140="นิติศาสตร์",OR(L140="M2",L140="K4"),U140="",AA140=""),EDATE(Q140,12*2),AND(AI140="K5-LAW",AH140="นิติศาสตร์",OR(AA140="M2",AA140="K4"),AD140&gt;=2,OR(AC140&lt;W140,AC140&lt;Q140)),EDATE(AC140,12*2),AND(AI140="K5-LAW",AH140="นิติศาสตร์",AA140="S1",AD140&gt;=1,OR(AC140&lt;W140,AC140&lt;Q140)),EDATE(AC140,12),AND(AI140="K5-LAW",AH140="นิติศาสตร์",OR(U140="M2",U140="K4"),X140&gt;=2,W140&lt;Q140),EDATE(W140,12*2),AND(AI140="K5-LAW",AH140="นิติศาสตร์",U140="S1",X140&gt;=1,W140&lt;Q140),EDATE(W140,12),AND(AI140="K5-LAW",AH140="นิติศาสตร์",OR(U140="S2",U140="K5")),W140,AND(AI140="K5-LAW",AH140="นิติศาสตร์",OR(L140="M2",L140="K4"),R140&gt;=2),EDATE(Q140,12*2),AND(AI140="K5-LAW",AH140="นิติศาสตร์",L140="S1",R140&gt;=1),EDATE(Q140,12),AND(AI140="K5-LAW",AH140="นิติศาสตร์",OR(L140="S2",L140="K5")),Q140,AND(AI140="K5-POLICY",AH140&lt;&gt;"นิติศาสตร์",L140="S2",U140="",AA140=""),Q140,AND(AI140="K5-POLICY",AH140&lt;&gt;"นิติศาสตร์",L140="S1",U140="",AA140=""),EDATE(Q140,12),AND(AI140="K5-POLICY",AH140&lt;&gt;"นิติศาสตร์",OR(L140="M2",L140="K4"),U140="",AA140=""),EDATE(Q140,12*2),AND(AI140="K5-POLICY",AH140&lt;&gt;"นิติศาสตร์",OR(AA140="M2",AA140="K4"),AD140&gt;=2,OR(AC140&lt;W140,AC140&lt;Q140)),EDATE(AC140,12*2),AND(AI140="K5-POLICY",AH140&lt;&gt;"นิติศาสตร์",AA140="S1",AD140&gt;=1,OR(AC140&lt;W140,AC140&lt;Q140)),EDATE(AC140,12),AND(AI140="K5-POLICY",AH140&lt;&gt;"นิติศาสตร์",OR(U140="M2",U140="K4"),X140&gt;=2,W140&lt;Q140),EDATE(W140,12*2),AND(AI140="K5-POLICY",AH140&lt;&gt;"นิติศาสตร์",U140="S1",X140&gt;=1,W140&lt;Q140),EDATE(W140,12),AND(AI140="K5-POLICY",AH140&lt;&gt;"นิติศาสตร์",OR(U140="S2",U140="K5")),W140,AND(AI140="K5-POLICY",AH140&lt;&gt;"นิติศาสตร์",OR(L140="M2",L140="K4"),R140&gt;=2),EDATE(Q140,12*2),AND(AI140="K5-POLICY",AH140&lt;&gt;"นิติศาสตร์",L140="S1",R140&gt;=1),EDATE(Q140,12),AND(AI140="K5-POLICY",AH140&lt;&gt;"นิติศาสตร์",OR(L140="S2",L140="K5")),Q140,TRUE,"Check Data")</f>
        <v/>
      </c>
      <c r="AK140" s="75" t="str">
        <f t="shared" si="53"/>
        <v>Check Data</v>
      </c>
      <c r="AL140" s="76" t="str">
        <f t="shared" si="50"/>
        <v>Check Data</v>
      </c>
      <c r="AM140" s="50" t="str">
        <f t="shared" si="54"/>
        <v>Check Data</v>
      </c>
      <c r="AN140" s="49" t="str">
        <f>IF(B140="","",IF(L140="S1","S1",INDEX(#REF!,#REF!)))</f>
        <v/>
      </c>
      <c r="AO140" s="49" t="str">
        <f t="shared" si="55"/>
        <v>M2</v>
      </c>
      <c r="AP140" s="50" t="b">
        <f>L140=AN140</f>
        <v>0</v>
      </c>
      <c r="AQ140" s="50"/>
    </row>
    <row r="141" spans="1:43" ht="21.75">
      <c r="A141" s="49">
        <v>139</v>
      </c>
      <c r="B141" s="50"/>
      <c r="C141" s="50"/>
      <c r="D141" s="50" t="s">
        <v>143</v>
      </c>
      <c r="E141" s="50" t="e">
        <f>INDEX(#REF!,#REF!)</f>
        <v>#REF!</v>
      </c>
      <c r="F141" s="49" t="s">
        <v>363</v>
      </c>
      <c r="G141" s="49" t="str">
        <f t="shared" si="51"/>
        <v>17/06/1988</v>
      </c>
      <c r="H141" s="50">
        <f t="shared" si="47"/>
        <v>37</v>
      </c>
      <c r="I141" s="50">
        <f t="shared" si="48"/>
        <v>0</v>
      </c>
      <c r="J141" s="50">
        <f t="shared" si="49"/>
        <v>3</v>
      </c>
      <c r="K141" s="59"/>
      <c r="L141" s="49" t="s">
        <v>136</v>
      </c>
      <c r="M141" s="64"/>
      <c r="N141" s="49" t="s">
        <v>427</v>
      </c>
      <c r="O141" s="49">
        <v>2571</v>
      </c>
      <c r="P141" s="65" t="s">
        <v>294</v>
      </c>
      <c r="Q141" s="49" t="str">
        <f t="shared" si="52"/>
        <v>18/05/2023</v>
      </c>
      <c r="R141" s="68">
        <f>IF(Q141="",0,DATEDIF(Q141,$C$1,"Y"))</f>
        <v>2</v>
      </c>
      <c r="S141" s="68">
        <f>IF(Q141="",0,DATEDIF(Q141,$C$1,"YM"))</f>
        <v>1</v>
      </c>
      <c r="T141" s="68">
        <f>IF(Q141="",0,DATEDIF(Q141,$C$1,"MD"))</f>
        <v>2</v>
      </c>
      <c r="U141" s="65"/>
      <c r="V141" s="65"/>
      <c r="W141" s="49" t="str">
        <f t="shared" si="56"/>
        <v/>
      </c>
      <c r="X141" s="68">
        <f>IF(W141="",0,DATEDIF(W141,Q141,"Y"))</f>
        <v>0</v>
      </c>
      <c r="Y141" s="68">
        <f>IF(W141="",0,DATEDIF(W141,Q141,"YM"))</f>
        <v>0</v>
      </c>
      <c r="Z141" s="68">
        <f>IF(W141="",0,DATEDIF(W141,Q141,"MD"))</f>
        <v>0</v>
      </c>
      <c r="AA141" s="49"/>
      <c r="AB141" s="65"/>
      <c r="AC141" s="50" t="str">
        <f t="shared" si="57"/>
        <v/>
      </c>
      <c r="AD141" s="68">
        <f t="shared" si="58"/>
        <v>0</v>
      </c>
      <c r="AE141" s="68">
        <f t="shared" si="59"/>
        <v>0</v>
      </c>
      <c r="AF141" s="68">
        <f t="shared" si="60"/>
        <v>0</v>
      </c>
      <c r="AG141" s="50"/>
      <c r="AH141" s="108" t="s">
        <v>167</v>
      </c>
      <c r="AI141" s="49" t="str">
        <f>IF(AH141="นิติศาสตร์","K5-LAW","K5-POLICY")</f>
        <v>K5-POLICY</v>
      </c>
      <c r="AJ141" s="72" t="str">
        <f>_xlfn.IFS(B141="","",AND(AI141="K5-LAW",AH141="นิติศาสตร์",L141="S2",U141="",AA141=""),Q141,AND(AI141="K5-LAW",AH141="นิติศาสตร์",L141="S1",U141="",AA141=""),EDATE(Q141,12),AND(AI141="K5-LAW",AH141="นิติศาสตร์",OR(L141="M2",L141="K4"),U141="",AA141=""),EDATE(Q141,12*2),AND(AI141="K5-LAW",AH141="นิติศาสตร์",OR(AA141="M2",AA141="K4"),AD141&gt;=2,OR(AC141&lt;W141,AC141&lt;Q141)),EDATE(AC141,12*2),AND(AI141="K5-LAW",AH141="นิติศาสตร์",AA141="S1",AD141&gt;=1,OR(AC141&lt;W141,AC141&lt;Q141)),EDATE(AC141,12),AND(AI141="K5-LAW",AH141="นิติศาสตร์",OR(U141="M2",U141="K4"),X141&gt;=2,W141&lt;Q141),EDATE(W141,12*2),AND(AI141="K5-LAW",AH141="นิติศาสตร์",U141="S1",X141&gt;=1,W141&lt;Q141),EDATE(W141,12),AND(AI141="K5-LAW",AH141="นิติศาสตร์",OR(U141="S2",U141="K5")),W141,AND(AI141="K5-LAW",AH141="นิติศาสตร์",OR(L141="M2",L141="K4"),R141&gt;=2),EDATE(Q141,12*2),AND(AI141="K5-LAW",AH141="นิติศาสตร์",L141="S1",R141&gt;=1),EDATE(Q141,12),AND(AI141="K5-LAW",AH141="นิติศาสตร์",OR(L141="S2",L141="K5")),Q141,AND(AI141="K5-POLICY",AH141&lt;&gt;"นิติศาสตร์",L141="S2",U141="",AA141=""),Q141,AND(AI141="K5-POLICY",AH141&lt;&gt;"นิติศาสตร์",L141="S1",U141="",AA141=""),EDATE(Q141,12),AND(AI141="K5-POLICY",AH141&lt;&gt;"นิติศาสตร์",OR(L141="M2",L141="K4"),U141="",AA141=""),EDATE(Q141,12*2),AND(AI141="K5-POLICY",AH141&lt;&gt;"นิติศาสตร์",OR(AA141="M2",AA141="K4"),AD141&gt;=2,OR(AC141&lt;W141,AC141&lt;Q141)),EDATE(AC141,12*2),AND(AI141="K5-POLICY",AH141&lt;&gt;"นิติศาสตร์",AA141="S1",AD141&gt;=1,OR(AC141&lt;W141,AC141&lt;Q141)),EDATE(AC141,12),AND(AI141="K5-POLICY",AH141&lt;&gt;"นิติศาสตร์",OR(U141="M2",U141="K4"),X141&gt;=2,W141&lt;Q141),EDATE(W141,12*2),AND(AI141="K5-POLICY",AH141&lt;&gt;"นิติศาสตร์",U141="S1",X141&gt;=1,W141&lt;Q141),EDATE(W141,12),AND(AI141="K5-POLICY",AH141&lt;&gt;"นิติศาสตร์",OR(U141="S2",U141="K5")),W141,AND(AI141="K5-POLICY",AH141&lt;&gt;"นิติศาสตร์",OR(L141="M2",L141="K4"),R141&gt;=2),EDATE(Q141,12*2),AND(AI141="K5-POLICY",AH141&lt;&gt;"นิติศาสตร์",L141="S1",R141&gt;=1),EDATE(Q141,12),AND(AI141="K5-POLICY",AH141&lt;&gt;"นิติศาสตร์",OR(L141="S2",L141="K5")),Q141,TRUE,"Check Data")</f>
        <v/>
      </c>
      <c r="AK141" s="75" t="str">
        <f t="shared" si="53"/>
        <v>Check Data</v>
      </c>
      <c r="AL141" s="76" t="str">
        <f t="shared" si="50"/>
        <v>Check Data</v>
      </c>
      <c r="AM141" s="50" t="str">
        <f t="shared" si="54"/>
        <v>Check Data</v>
      </c>
      <c r="AN141" s="49" t="str">
        <f>IF(B141="","",IF(L141="S1","S1",INDEX(#REF!,#REF!)))</f>
        <v/>
      </c>
      <c r="AO141" s="49" t="str">
        <f t="shared" si="55"/>
        <v>M2</v>
      </c>
      <c r="AP141" s="50" t="b">
        <f>L141=AN141</f>
        <v>0</v>
      </c>
      <c r="AQ141" s="50"/>
    </row>
    <row r="142" spans="1:43" ht="21.75">
      <c r="A142" s="49">
        <v>140</v>
      </c>
      <c r="B142" s="50"/>
      <c r="C142" s="50"/>
      <c r="D142" s="50" t="s">
        <v>143</v>
      </c>
      <c r="E142" s="50" t="e">
        <f>INDEX(#REF!,#REF!)</f>
        <v>#REF!</v>
      </c>
      <c r="F142" s="49" t="s">
        <v>190</v>
      </c>
      <c r="G142" s="49" t="str">
        <f t="shared" si="51"/>
        <v>16/03/1987</v>
      </c>
      <c r="H142" s="50">
        <f t="shared" si="47"/>
        <v>38</v>
      </c>
      <c r="I142" s="50">
        <f t="shared" si="48"/>
        <v>3</v>
      </c>
      <c r="J142" s="50">
        <f t="shared" si="49"/>
        <v>4</v>
      </c>
      <c r="K142" s="59"/>
      <c r="L142" s="49" t="s">
        <v>136</v>
      </c>
      <c r="M142" s="64"/>
      <c r="N142" s="49" t="s">
        <v>427</v>
      </c>
      <c r="O142" s="49">
        <v>2569</v>
      </c>
      <c r="P142" s="65" t="s">
        <v>294</v>
      </c>
      <c r="Q142" s="49" t="str">
        <f t="shared" si="52"/>
        <v>18/05/2023</v>
      </c>
      <c r="R142" s="68">
        <f>IF(Q142="",0,DATEDIF(Q142,$C$1,"Y"))</f>
        <v>2</v>
      </c>
      <c r="S142" s="68">
        <f>IF(Q142="",0,DATEDIF(Q142,$C$1,"YM"))</f>
        <v>1</v>
      </c>
      <c r="T142" s="68">
        <f>IF(Q142="",0,DATEDIF(Q142,$C$1,"MD"))</f>
        <v>2</v>
      </c>
      <c r="U142" s="65"/>
      <c r="V142" s="65"/>
      <c r="W142" s="49" t="str">
        <f t="shared" si="56"/>
        <v/>
      </c>
      <c r="X142" s="68">
        <f>IF(W142="",0,DATEDIF(W142,Q142,"Y"))</f>
        <v>0</v>
      </c>
      <c r="Y142" s="68">
        <f>IF(W142="",0,DATEDIF(W142,Q142,"YM"))</f>
        <v>0</v>
      </c>
      <c r="Z142" s="68">
        <f>IF(W142="",0,DATEDIF(W142,Q142,"MD"))</f>
        <v>0</v>
      </c>
      <c r="AA142" s="49"/>
      <c r="AB142" s="65"/>
      <c r="AC142" s="50" t="str">
        <f t="shared" si="57"/>
        <v/>
      </c>
      <c r="AD142" s="68">
        <f t="shared" si="58"/>
        <v>0</v>
      </c>
      <c r="AE142" s="68">
        <f t="shared" si="59"/>
        <v>0</v>
      </c>
      <c r="AF142" s="68">
        <f t="shared" si="60"/>
        <v>0</v>
      </c>
      <c r="AG142" s="50"/>
      <c r="AH142" s="108" t="s">
        <v>519</v>
      </c>
      <c r="AI142" s="49" t="str">
        <f>IF(AH142="นิติศาสตร์","K5-LAW","K5-POLICY")</f>
        <v>K5-POLICY</v>
      </c>
      <c r="AJ142" s="72" t="str">
        <f>_xlfn.IFS(B142="","",AND(AI142="K5-LAW",AH142="นิติศาสตร์",L142="S2",U142="",AA142=""),Q142,AND(AI142="K5-LAW",AH142="นิติศาสตร์",L142="S1",U142="",AA142=""),EDATE(Q142,12),AND(AI142="K5-LAW",AH142="นิติศาสตร์",OR(L142="M2",L142="K4"),U142="",AA142=""),EDATE(Q142,12*2),AND(AI142="K5-LAW",AH142="นิติศาสตร์",OR(AA142="M2",AA142="K4"),AD142&gt;=2,OR(AC142&lt;W142,AC142&lt;Q142)),EDATE(AC142,12*2),AND(AI142="K5-LAW",AH142="นิติศาสตร์",AA142="S1",AD142&gt;=1,OR(AC142&lt;W142,AC142&lt;Q142)),EDATE(AC142,12),AND(AI142="K5-LAW",AH142="นิติศาสตร์",OR(U142="M2",U142="K4"),X142&gt;=2,W142&lt;Q142),EDATE(W142,12*2),AND(AI142="K5-LAW",AH142="นิติศาสตร์",U142="S1",X142&gt;=1,W142&lt;Q142),EDATE(W142,12),AND(AI142="K5-LAW",AH142="นิติศาสตร์",OR(U142="S2",U142="K5")),W142,AND(AI142="K5-LAW",AH142="นิติศาสตร์",OR(L142="M2",L142="K4"),R142&gt;=2),EDATE(Q142,12*2),AND(AI142="K5-LAW",AH142="นิติศาสตร์",L142="S1",R142&gt;=1),EDATE(Q142,12),AND(AI142="K5-LAW",AH142="นิติศาสตร์",OR(L142="S2",L142="K5")),Q142,AND(AI142="K5-POLICY",AH142&lt;&gt;"นิติศาสตร์",L142="S2",U142="",AA142=""),Q142,AND(AI142="K5-POLICY",AH142&lt;&gt;"นิติศาสตร์",L142="S1",U142="",AA142=""),EDATE(Q142,12),AND(AI142="K5-POLICY",AH142&lt;&gt;"นิติศาสตร์",OR(L142="M2",L142="K4"),U142="",AA142=""),EDATE(Q142,12*2),AND(AI142="K5-POLICY",AH142&lt;&gt;"นิติศาสตร์",OR(AA142="M2",AA142="K4"),AD142&gt;=2,OR(AC142&lt;W142,AC142&lt;Q142)),EDATE(AC142,12*2),AND(AI142="K5-POLICY",AH142&lt;&gt;"นิติศาสตร์",AA142="S1",AD142&gt;=1,OR(AC142&lt;W142,AC142&lt;Q142)),EDATE(AC142,12),AND(AI142="K5-POLICY",AH142&lt;&gt;"นิติศาสตร์",OR(U142="M2",U142="K4"),X142&gt;=2,W142&lt;Q142),EDATE(W142,12*2),AND(AI142="K5-POLICY",AH142&lt;&gt;"นิติศาสตร์",U142="S1",X142&gt;=1,W142&lt;Q142),EDATE(W142,12),AND(AI142="K5-POLICY",AH142&lt;&gt;"นิติศาสตร์",OR(U142="S2",U142="K5")),W142,AND(AI142="K5-POLICY",AH142&lt;&gt;"นิติศาสตร์",OR(L142="M2",L142="K4"),R142&gt;=2),EDATE(Q142,12*2),AND(AI142="K5-POLICY",AH142&lt;&gt;"นิติศาสตร์",L142="S1",R142&gt;=1),EDATE(Q142,12),AND(AI142="K5-POLICY",AH142&lt;&gt;"นิติศาสตร์",OR(L142="S2",L142="K5")),Q142,TRUE,"Check Data")</f>
        <v/>
      </c>
      <c r="AK142" s="75" t="str">
        <f t="shared" si="53"/>
        <v>Check Data</v>
      </c>
      <c r="AL142" s="76" t="str">
        <f t="shared" si="50"/>
        <v>Check Data</v>
      </c>
      <c r="AM142" s="50" t="str">
        <f t="shared" si="54"/>
        <v>Check Data</v>
      </c>
      <c r="AN142" s="49" t="str">
        <f>IF(B142="","",IF(L142="S1","S1",INDEX(#REF!,#REF!)))</f>
        <v/>
      </c>
      <c r="AO142" s="49" t="str">
        <f t="shared" si="55"/>
        <v>M2</v>
      </c>
      <c r="AP142" s="50" t="b">
        <f>L142=AN142</f>
        <v>0</v>
      </c>
      <c r="AQ142" s="50"/>
    </row>
    <row r="143" spans="1:43" ht="21.75">
      <c r="A143" s="49">
        <v>141</v>
      </c>
      <c r="B143" s="50"/>
      <c r="C143" s="50"/>
      <c r="D143" s="50" t="s">
        <v>143</v>
      </c>
      <c r="E143" s="50" t="e">
        <f>INDEX(#REF!,#REF!)</f>
        <v>#REF!</v>
      </c>
      <c r="F143" s="49" t="s">
        <v>370</v>
      </c>
      <c r="G143" s="49" t="str">
        <f t="shared" si="51"/>
        <v>15/04/1988</v>
      </c>
      <c r="H143" s="50">
        <f t="shared" si="47"/>
        <v>37</v>
      </c>
      <c r="I143" s="50">
        <f t="shared" si="48"/>
        <v>2</v>
      </c>
      <c r="J143" s="50">
        <f t="shared" si="49"/>
        <v>5</v>
      </c>
      <c r="K143" s="59"/>
      <c r="L143" s="49" t="s">
        <v>136</v>
      </c>
      <c r="M143" s="64"/>
      <c r="N143" s="49" t="s">
        <v>427</v>
      </c>
      <c r="O143" s="49">
        <v>2569</v>
      </c>
      <c r="P143" s="65" t="s">
        <v>294</v>
      </c>
      <c r="Q143" s="49" t="str">
        <f t="shared" si="52"/>
        <v>18/05/2023</v>
      </c>
      <c r="R143" s="68">
        <f>IF(Q143="",0,DATEDIF(Q143,$C$1,"Y"))</f>
        <v>2</v>
      </c>
      <c r="S143" s="68">
        <f>IF(Q143="",0,DATEDIF(Q143,$C$1,"YM"))</f>
        <v>1</v>
      </c>
      <c r="T143" s="68">
        <f>IF(Q143="",0,DATEDIF(Q143,$C$1,"MD"))</f>
        <v>2</v>
      </c>
      <c r="U143" s="65"/>
      <c r="V143" s="65"/>
      <c r="W143" s="49" t="str">
        <f t="shared" si="56"/>
        <v/>
      </c>
      <c r="X143" s="68">
        <f>IF(W143="",0,DATEDIF(W143,Q143,"Y"))</f>
        <v>0</v>
      </c>
      <c r="Y143" s="68">
        <f>IF(W143="",0,DATEDIF(W143,Q143,"YM"))</f>
        <v>0</v>
      </c>
      <c r="Z143" s="68">
        <f>IF(W143="",0,DATEDIF(W143,Q143,"MD"))</f>
        <v>0</v>
      </c>
      <c r="AA143" s="49"/>
      <c r="AB143" s="65"/>
      <c r="AC143" s="50" t="str">
        <f t="shared" si="57"/>
        <v/>
      </c>
      <c r="AD143" s="68">
        <f t="shared" si="58"/>
        <v>0</v>
      </c>
      <c r="AE143" s="68">
        <f t="shared" si="59"/>
        <v>0</v>
      </c>
      <c r="AF143" s="68">
        <f t="shared" si="60"/>
        <v>0</v>
      </c>
      <c r="AG143" s="50"/>
      <c r="AH143" s="108" t="s">
        <v>482</v>
      </c>
      <c r="AI143" s="49" t="str">
        <f>IF(AH143="นิติศาสตร์","K5-LAW","K5-POLICY")</f>
        <v>K5-POLICY</v>
      </c>
      <c r="AJ143" s="72" t="str">
        <f>_xlfn.IFS(B143="","",AND(AI143="K5-LAW",AH143="นิติศาสตร์",L143="S2",U143="",AA143=""),Q143,AND(AI143="K5-LAW",AH143="นิติศาสตร์",L143="S1",U143="",AA143=""),EDATE(Q143,12),AND(AI143="K5-LAW",AH143="นิติศาสตร์",OR(L143="M2",L143="K4"),U143="",AA143=""),EDATE(Q143,12*2),AND(AI143="K5-LAW",AH143="นิติศาสตร์",OR(AA143="M2",AA143="K4"),AD143&gt;=2,OR(AC143&lt;W143,AC143&lt;Q143)),EDATE(AC143,12*2),AND(AI143="K5-LAW",AH143="นิติศาสตร์",AA143="S1",AD143&gt;=1,OR(AC143&lt;W143,AC143&lt;Q143)),EDATE(AC143,12),AND(AI143="K5-LAW",AH143="นิติศาสตร์",OR(U143="M2",U143="K4"),X143&gt;=2,W143&lt;Q143),EDATE(W143,12*2),AND(AI143="K5-LAW",AH143="นิติศาสตร์",U143="S1",X143&gt;=1,W143&lt;Q143),EDATE(W143,12),AND(AI143="K5-LAW",AH143="นิติศาสตร์",OR(U143="S2",U143="K5")),W143,AND(AI143="K5-LAW",AH143="นิติศาสตร์",OR(L143="M2",L143="K4"),R143&gt;=2),EDATE(Q143,12*2),AND(AI143="K5-LAW",AH143="นิติศาสตร์",L143="S1",R143&gt;=1),EDATE(Q143,12),AND(AI143="K5-LAW",AH143="นิติศาสตร์",OR(L143="S2",L143="K5")),Q143,AND(AI143="K5-POLICY",AH143&lt;&gt;"นิติศาสตร์",L143="S2",U143="",AA143=""),Q143,AND(AI143="K5-POLICY",AH143&lt;&gt;"นิติศาสตร์",L143="S1",U143="",AA143=""),EDATE(Q143,12),AND(AI143="K5-POLICY",AH143&lt;&gt;"นิติศาสตร์",OR(L143="M2",L143="K4"),U143="",AA143=""),EDATE(Q143,12*2),AND(AI143="K5-POLICY",AH143&lt;&gt;"นิติศาสตร์",OR(AA143="M2",AA143="K4"),AD143&gt;=2,OR(AC143&lt;W143,AC143&lt;Q143)),EDATE(AC143,12*2),AND(AI143="K5-POLICY",AH143&lt;&gt;"นิติศาสตร์",AA143="S1",AD143&gt;=1,OR(AC143&lt;W143,AC143&lt;Q143)),EDATE(AC143,12),AND(AI143="K5-POLICY",AH143&lt;&gt;"นิติศาสตร์",OR(U143="M2",U143="K4"),X143&gt;=2,W143&lt;Q143),EDATE(W143,12*2),AND(AI143="K5-POLICY",AH143&lt;&gt;"นิติศาสตร์",U143="S1",X143&gt;=1,W143&lt;Q143),EDATE(W143,12),AND(AI143="K5-POLICY",AH143&lt;&gt;"นิติศาสตร์",OR(U143="S2",U143="K5")),W143,AND(AI143="K5-POLICY",AH143&lt;&gt;"นิติศาสตร์",OR(L143="M2",L143="K4"),R143&gt;=2),EDATE(Q143,12*2),AND(AI143="K5-POLICY",AH143&lt;&gt;"นิติศาสตร์",L143="S1",R143&gt;=1),EDATE(Q143,12),AND(AI143="K5-POLICY",AH143&lt;&gt;"นิติศาสตร์",OR(L143="S2",L143="K5")),Q143,TRUE,"Check Data")</f>
        <v/>
      </c>
      <c r="AK143" s="75" t="str">
        <f t="shared" si="53"/>
        <v>Check Data</v>
      </c>
      <c r="AL143" s="76" t="str">
        <f t="shared" si="50"/>
        <v>Check Data</v>
      </c>
      <c r="AM143" s="50" t="str">
        <f t="shared" si="54"/>
        <v>Check Data</v>
      </c>
      <c r="AN143" s="49" t="str">
        <f>IF(B143="","",IF(L143="S1","S1",INDEX(#REF!,#REF!)))</f>
        <v/>
      </c>
      <c r="AO143" s="49" t="str">
        <f t="shared" si="55"/>
        <v>M2</v>
      </c>
      <c r="AP143" s="50" t="b">
        <f>L143=AN143</f>
        <v>0</v>
      </c>
      <c r="AQ143" s="50"/>
    </row>
    <row r="144" spans="1:43" ht="21.75">
      <c r="A144" s="49">
        <v>142</v>
      </c>
      <c r="B144" s="50"/>
      <c r="C144" s="50"/>
      <c r="D144" s="50" t="s">
        <v>143</v>
      </c>
      <c r="E144" s="50" t="e">
        <f>INDEX(#REF!,#REF!)</f>
        <v>#REF!</v>
      </c>
      <c r="F144" s="49" t="s">
        <v>361</v>
      </c>
      <c r="G144" s="49" t="str">
        <f t="shared" si="51"/>
        <v>10/10/1999</v>
      </c>
      <c r="H144" s="50">
        <f t="shared" si="47"/>
        <v>25</v>
      </c>
      <c r="I144" s="50">
        <f t="shared" si="48"/>
        <v>8</v>
      </c>
      <c r="J144" s="50">
        <f t="shared" si="49"/>
        <v>10</v>
      </c>
      <c r="K144" s="59"/>
      <c r="L144" s="49" t="s">
        <v>136</v>
      </c>
      <c r="M144" s="64"/>
      <c r="N144" s="49" t="s">
        <v>427</v>
      </c>
      <c r="O144" s="49">
        <v>2574</v>
      </c>
      <c r="P144" s="65" t="s">
        <v>294</v>
      </c>
      <c r="Q144" s="49" t="str">
        <f t="shared" si="52"/>
        <v>18/05/2023</v>
      </c>
      <c r="R144" s="68">
        <f>IF(Q144="",0,DATEDIF(Q144,$C$1,"Y"))</f>
        <v>2</v>
      </c>
      <c r="S144" s="68">
        <f>IF(Q144="",0,DATEDIF(Q144,$C$1,"YM"))</f>
        <v>1</v>
      </c>
      <c r="T144" s="68">
        <f>IF(Q144="",0,DATEDIF(Q144,$C$1,"MD"))</f>
        <v>2</v>
      </c>
      <c r="U144" s="65"/>
      <c r="V144" s="65"/>
      <c r="W144" s="49" t="str">
        <f t="shared" si="56"/>
        <v/>
      </c>
      <c r="X144" s="68">
        <f>IF(W144="",0,DATEDIF(W144,Q144,"Y"))</f>
        <v>0</v>
      </c>
      <c r="Y144" s="68">
        <f>IF(W144="",0,DATEDIF(W144,Q144,"YM"))</f>
        <v>0</v>
      </c>
      <c r="Z144" s="68">
        <f>IF(W144="",0,DATEDIF(W144,Q144,"MD"))</f>
        <v>0</v>
      </c>
      <c r="AA144" s="49"/>
      <c r="AB144" s="65"/>
      <c r="AC144" s="50" t="str">
        <f t="shared" si="57"/>
        <v/>
      </c>
      <c r="AD144" s="68">
        <f t="shared" si="58"/>
        <v>0</v>
      </c>
      <c r="AE144" s="68">
        <f t="shared" si="59"/>
        <v>0</v>
      </c>
      <c r="AF144" s="68">
        <f t="shared" si="60"/>
        <v>0</v>
      </c>
      <c r="AG144" s="50"/>
      <c r="AH144" s="108" t="s">
        <v>513</v>
      </c>
      <c r="AI144" s="49" t="str">
        <f>IF(AH144="นิติศาสตร์","K5-LAW","K5-POLICY")</f>
        <v>K5-POLICY</v>
      </c>
      <c r="AJ144" s="72" t="str">
        <f>_xlfn.IFS(B144="","",AND(AI144="K5-LAW",AH144="นิติศาสตร์",L144="S2",U144="",AA144=""),Q144,AND(AI144="K5-LAW",AH144="นิติศาสตร์",L144="S1",U144="",AA144=""),EDATE(Q144,12),AND(AI144="K5-LAW",AH144="นิติศาสตร์",OR(L144="M2",L144="K4"),U144="",AA144=""),EDATE(Q144,12*2),AND(AI144="K5-LAW",AH144="นิติศาสตร์",OR(AA144="M2",AA144="K4"),AD144&gt;=2,OR(AC144&lt;W144,AC144&lt;Q144)),EDATE(AC144,12*2),AND(AI144="K5-LAW",AH144="นิติศาสตร์",AA144="S1",AD144&gt;=1,OR(AC144&lt;W144,AC144&lt;Q144)),EDATE(AC144,12),AND(AI144="K5-LAW",AH144="นิติศาสตร์",OR(U144="M2",U144="K4"),X144&gt;=2,W144&lt;Q144),EDATE(W144,12*2),AND(AI144="K5-LAW",AH144="นิติศาสตร์",U144="S1",X144&gt;=1,W144&lt;Q144),EDATE(W144,12),AND(AI144="K5-LAW",AH144="นิติศาสตร์",OR(U144="S2",U144="K5")),W144,AND(AI144="K5-LAW",AH144="นิติศาสตร์",OR(L144="M2",L144="K4"),R144&gt;=2),EDATE(Q144,12*2),AND(AI144="K5-LAW",AH144="นิติศาสตร์",L144="S1",R144&gt;=1),EDATE(Q144,12),AND(AI144="K5-LAW",AH144="นิติศาสตร์",OR(L144="S2",L144="K5")),Q144,AND(AI144="K5-POLICY",AH144&lt;&gt;"นิติศาสตร์",L144="S2",U144="",AA144=""),Q144,AND(AI144="K5-POLICY",AH144&lt;&gt;"นิติศาสตร์",L144="S1",U144="",AA144=""),EDATE(Q144,12),AND(AI144="K5-POLICY",AH144&lt;&gt;"นิติศาสตร์",OR(L144="M2",L144="K4"),U144="",AA144=""),EDATE(Q144,12*2),AND(AI144="K5-POLICY",AH144&lt;&gt;"นิติศาสตร์",OR(AA144="M2",AA144="K4"),AD144&gt;=2,OR(AC144&lt;W144,AC144&lt;Q144)),EDATE(AC144,12*2),AND(AI144="K5-POLICY",AH144&lt;&gt;"นิติศาสตร์",AA144="S1",AD144&gt;=1,OR(AC144&lt;W144,AC144&lt;Q144)),EDATE(AC144,12),AND(AI144="K5-POLICY",AH144&lt;&gt;"นิติศาสตร์",OR(U144="M2",U144="K4"),X144&gt;=2,W144&lt;Q144),EDATE(W144,12*2),AND(AI144="K5-POLICY",AH144&lt;&gt;"นิติศาสตร์",U144="S1",X144&gt;=1,W144&lt;Q144),EDATE(W144,12),AND(AI144="K5-POLICY",AH144&lt;&gt;"นิติศาสตร์",OR(U144="S2",U144="K5")),W144,AND(AI144="K5-POLICY",AH144&lt;&gt;"นิติศาสตร์",OR(L144="M2",L144="K4"),R144&gt;=2),EDATE(Q144,12*2),AND(AI144="K5-POLICY",AH144&lt;&gt;"นิติศาสตร์",L144="S1",R144&gt;=1),EDATE(Q144,12),AND(AI144="K5-POLICY",AH144&lt;&gt;"นิติศาสตร์",OR(L144="S2",L144="K5")),Q144,TRUE,"Check Data")</f>
        <v/>
      </c>
      <c r="AK144" s="75" t="str">
        <f t="shared" si="53"/>
        <v>Check Data</v>
      </c>
      <c r="AL144" s="76" t="str">
        <f t="shared" si="50"/>
        <v>Check Data</v>
      </c>
      <c r="AM144" s="50" t="str">
        <f t="shared" si="54"/>
        <v>Check Data</v>
      </c>
      <c r="AN144" s="49" t="str">
        <f>IF(B144="","",IF(L144="S1","S1",INDEX(#REF!,#REF!)))</f>
        <v/>
      </c>
      <c r="AO144" s="49" t="str">
        <f t="shared" si="55"/>
        <v>M2</v>
      </c>
      <c r="AP144" s="50" t="b">
        <f>L144=AN144</f>
        <v>0</v>
      </c>
      <c r="AQ144" s="50"/>
    </row>
    <row r="145" spans="1:43" ht="21.75">
      <c r="A145" s="49">
        <v>143</v>
      </c>
      <c r="B145" s="50"/>
      <c r="C145" s="50"/>
      <c r="D145" s="50" t="s">
        <v>143</v>
      </c>
      <c r="E145" s="50" t="e">
        <f>INDEX(#REF!,#REF!)</f>
        <v>#REF!</v>
      </c>
      <c r="F145" s="49" t="s">
        <v>364</v>
      </c>
      <c r="G145" s="49" t="str">
        <f t="shared" si="51"/>
        <v>03/10/1994</v>
      </c>
      <c r="H145" s="50">
        <f t="shared" si="47"/>
        <v>30</v>
      </c>
      <c r="I145" s="50">
        <f t="shared" si="48"/>
        <v>8</v>
      </c>
      <c r="J145" s="50">
        <f t="shared" si="49"/>
        <v>17</v>
      </c>
      <c r="K145" s="59"/>
      <c r="L145" s="49" t="s">
        <v>136</v>
      </c>
      <c r="M145" s="64"/>
      <c r="N145" s="49" t="s">
        <v>427</v>
      </c>
      <c r="O145" s="49">
        <v>2576</v>
      </c>
      <c r="P145" s="65" t="s">
        <v>294</v>
      </c>
      <c r="Q145" s="49" t="str">
        <f t="shared" si="52"/>
        <v>18/05/2023</v>
      </c>
      <c r="R145" s="68">
        <f>IF(Q145="",0,DATEDIF(Q145,$C$1,"Y"))</f>
        <v>2</v>
      </c>
      <c r="S145" s="68">
        <f>IF(Q145="",0,DATEDIF(Q145,$C$1,"YM"))</f>
        <v>1</v>
      </c>
      <c r="T145" s="68">
        <f>IF(Q145="",0,DATEDIF(Q145,$C$1,"MD"))</f>
        <v>2</v>
      </c>
      <c r="U145" s="65"/>
      <c r="V145" s="65"/>
      <c r="W145" s="49" t="str">
        <f t="shared" si="56"/>
        <v/>
      </c>
      <c r="X145" s="68">
        <f>IF(W145="",0,DATEDIF(W145,Q145,"Y"))</f>
        <v>0</v>
      </c>
      <c r="Y145" s="68">
        <f>IF(W145="",0,DATEDIF(W145,Q145,"YM"))</f>
        <v>0</v>
      </c>
      <c r="Z145" s="68">
        <f>IF(W145="",0,DATEDIF(W145,Q145,"MD"))</f>
        <v>0</v>
      </c>
      <c r="AA145" s="49"/>
      <c r="AB145" s="65"/>
      <c r="AC145" s="50" t="str">
        <f t="shared" si="57"/>
        <v/>
      </c>
      <c r="AD145" s="68">
        <f t="shared" si="58"/>
        <v>0</v>
      </c>
      <c r="AE145" s="68">
        <f t="shared" si="59"/>
        <v>0</v>
      </c>
      <c r="AF145" s="68">
        <f t="shared" si="60"/>
        <v>0</v>
      </c>
      <c r="AG145" s="50"/>
      <c r="AH145" s="108" t="s">
        <v>482</v>
      </c>
      <c r="AI145" s="49" t="str">
        <f>IF(AH145="นิติศาสตร์","K5-LAW","K5-POLICY")</f>
        <v>K5-POLICY</v>
      </c>
      <c r="AJ145" s="72" t="str">
        <f>_xlfn.IFS(B145="","",AND(AI145="K5-LAW",AH145="นิติศาสตร์",L145="S2",U145="",AA145=""),Q145,AND(AI145="K5-LAW",AH145="นิติศาสตร์",L145="S1",U145="",AA145=""),EDATE(Q145,12),AND(AI145="K5-LAW",AH145="นิติศาสตร์",OR(L145="M2",L145="K4"),U145="",AA145=""),EDATE(Q145,12*2),AND(AI145="K5-LAW",AH145="นิติศาสตร์",OR(AA145="M2",AA145="K4"),AD145&gt;=2,OR(AC145&lt;W145,AC145&lt;Q145)),EDATE(AC145,12*2),AND(AI145="K5-LAW",AH145="นิติศาสตร์",AA145="S1",AD145&gt;=1,OR(AC145&lt;W145,AC145&lt;Q145)),EDATE(AC145,12),AND(AI145="K5-LAW",AH145="นิติศาสตร์",OR(U145="M2",U145="K4"),X145&gt;=2,W145&lt;Q145),EDATE(W145,12*2),AND(AI145="K5-LAW",AH145="นิติศาสตร์",U145="S1",X145&gt;=1,W145&lt;Q145),EDATE(W145,12),AND(AI145="K5-LAW",AH145="นิติศาสตร์",OR(U145="S2",U145="K5")),W145,AND(AI145="K5-LAW",AH145="นิติศาสตร์",OR(L145="M2",L145="K4"),R145&gt;=2),EDATE(Q145,12*2),AND(AI145="K5-LAW",AH145="นิติศาสตร์",L145="S1",R145&gt;=1),EDATE(Q145,12),AND(AI145="K5-LAW",AH145="นิติศาสตร์",OR(L145="S2",L145="K5")),Q145,AND(AI145="K5-POLICY",AH145&lt;&gt;"นิติศาสตร์",L145="S2",U145="",AA145=""),Q145,AND(AI145="K5-POLICY",AH145&lt;&gt;"นิติศาสตร์",L145="S1",U145="",AA145=""),EDATE(Q145,12),AND(AI145="K5-POLICY",AH145&lt;&gt;"นิติศาสตร์",OR(L145="M2",L145="K4"),U145="",AA145=""),EDATE(Q145,12*2),AND(AI145="K5-POLICY",AH145&lt;&gt;"นิติศาสตร์",OR(AA145="M2",AA145="K4"),AD145&gt;=2,OR(AC145&lt;W145,AC145&lt;Q145)),EDATE(AC145,12*2),AND(AI145="K5-POLICY",AH145&lt;&gt;"นิติศาสตร์",AA145="S1",AD145&gt;=1,OR(AC145&lt;W145,AC145&lt;Q145)),EDATE(AC145,12),AND(AI145="K5-POLICY",AH145&lt;&gt;"นิติศาสตร์",OR(U145="M2",U145="K4"),X145&gt;=2,W145&lt;Q145),EDATE(W145,12*2),AND(AI145="K5-POLICY",AH145&lt;&gt;"นิติศาสตร์",U145="S1",X145&gt;=1,W145&lt;Q145),EDATE(W145,12),AND(AI145="K5-POLICY",AH145&lt;&gt;"นิติศาสตร์",OR(U145="S2",U145="K5")),W145,AND(AI145="K5-POLICY",AH145&lt;&gt;"นิติศาสตร์",OR(L145="M2",L145="K4"),R145&gt;=2),EDATE(Q145,12*2),AND(AI145="K5-POLICY",AH145&lt;&gt;"นิติศาสตร์",L145="S1",R145&gt;=1),EDATE(Q145,12),AND(AI145="K5-POLICY",AH145&lt;&gt;"นิติศาสตร์",OR(L145="S2",L145="K5")),Q145,TRUE,"Check Data")</f>
        <v/>
      </c>
      <c r="AK145" s="75" t="str">
        <f t="shared" si="53"/>
        <v>Check Data</v>
      </c>
      <c r="AL145" s="76" t="str">
        <f t="shared" si="50"/>
        <v>Check Data</v>
      </c>
      <c r="AM145" s="50" t="str">
        <f t="shared" si="54"/>
        <v>Check Data</v>
      </c>
      <c r="AN145" s="49" t="str">
        <f>IF(B145="","",IF(L145="S1","S1",INDEX(#REF!,#REF!)))</f>
        <v/>
      </c>
      <c r="AO145" s="49" t="str">
        <f t="shared" si="55"/>
        <v>M2</v>
      </c>
      <c r="AP145" s="50" t="b">
        <f>L145=AN145</f>
        <v>0</v>
      </c>
      <c r="AQ145" s="50"/>
    </row>
    <row r="146" spans="1:43" ht="21.75">
      <c r="A146" s="49">
        <v>144</v>
      </c>
      <c r="B146" s="50"/>
      <c r="C146" s="50"/>
      <c r="D146" s="50" t="s">
        <v>143</v>
      </c>
      <c r="E146" s="50" t="e">
        <f>INDEX(#REF!,#REF!)</f>
        <v>#REF!</v>
      </c>
      <c r="F146" s="49" t="s">
        <v>352</v>
      </c>
      <c r="G146" s="49" t="str">
        <f t="shared" si="51"/>
        <v>01/07/1997</v>
      </c>
      <c r="H146" s="50">
        <f t="shared" si="47"/>
        <v>27</v>
      </c>
      <c r="I146" s="50">
        <f t="shared" si="48"/>
        <v>11</v>
      </c>
      <c r="J146" s="50">
        <f t="shared" si="49"/>
        <v>19</v>
      </c>
      <c r="K146" s="59"/>
      <c r="L146" s="49" t="s">
        <v>136</v>
      </c>
      <c r="M146" s="64"/>
      <c r="N146" s="49" t="s">
        <v>427</v>
      </c>
      <c r="O146" s="49">
        <v>2575</v>
      </c>
      <c r="P146" s="65" t="s">
        <v>294</v>
      </c>
      <c r="Q146" s="49" t="str">
        <f t="shared" si="52"/>
        <v>18/05/2023</v>
      </c>
      <c r="R146" s="68">
        <f>IF(Q146="",0,DATEDIF(Q146,$C$1,"Y"))</f>
        <v>2</v>
      </c>
      <c r="S146" s="68">
        <f>IF(Q146="",0,DATEDIF(Q146,$C$1,"YM"))</f>
        <v>1</v>
      </c>
      <c r="T146" s="68">
        <f>IF(Q146="",0,DATEDIF(Q146,$C$1,"MD"))</f>
        <v>2</v>
      </c>
      <c r="U146" s="65"/>
      <c r="V146" s="65"/>
      <c r="W146" s="49" t="str">
        <f t="shared" si="56"/>
        <v/>
      </c>
      <c r="X146" s="68">
        <f>IF(W146="",0,DATEDIF(W146,Q146,"Y"))</f>
        <v>0</v>
      </c>
      <c r="Y146" s="68">
        <f>IF(W146="",0,DATEDIF(W146,Q146,"YM"))</f>
        <v>0</v>
      </c>
      <c r="Z146" s="68">
        <f>IF(W146="",0,DATEDIF(W146,Q146,"MD"))</f>
        <v>0</v>
      </c>
      <c r="AA146" s="49"/>
      <c r="AB146" s="65"/>
      <c r="AC146" s="50" t="str">
        <f t="shared" si="57"/>
        <v/>
      </c>
      <c r="AD146" s="68">
        <f t="shared" si="58"/>
        <v>0</v>
      </c>
      <c r="AE146" s="68">
        <f t="shared" si="59"/>
        <v>0</v>
      </c>
      <c r="AF146" s="68">
        <f t="shared" si="60"/>
        <v>0</v>
      </c>
      <c r="AG146" s="50"/>
      <c r="AH146" s="108" t="s">
        <v>486</v>
      </c>
      <c r="AI146" s="49" t="str">
        <f>IF(AH146="นิติศาสตร์","K5-LAW","K5-POLICY")</f>
        <v>K5-POLICY</v>
      </c>
      <c r="AJ146" s="72" t="str">
        <f>_xlfn.IFS(B146="","",AND(AI146="K5-LAW",AH146="นิติศาสตร์",L146="S2",U146="",AA146=""),Q146,AND(AI146="K5-LAW",AH146="นิติศาสตร์",L146="S1",U146="",AA146=""),EDATE(Q146,12),AND(AI146="K5-LAW",AH146="นิติศาสตร์",OR(L146="M2",L146="K4"),U146="",AA146=""),EDATE(Q146,12*2),AND(AI146="K5-LAW",AH146="นิติศาสตร์",OR(AA146="M2",AA146="K4"),AD146&gt;=2,OR(AC146&lt;W146,AC146&lt;Q146)),EDATE(AC146,12*2),AND(AI146="K5-LAW",AH146="นิติศาสตร์",AA146="S1",AD146&gt;=1,OR(AC146&lt;W146,AC146&lt;Q146)),EDATE(AC146,12),AND(AI146="K5-LAW",AH146="นิติศาสตร์",OR(U146="M2",U146="K4"),X146&gt;=2,W146&lt;Q146),EDATE(W146,12*2),AND(AI146="K5-LAW",AH146="นิติศาสตร์",U146="S1",X146&gt;=1,W146&lt;Q146),EDATE(W146,12),AND(AI146="K5-LAW",AH146="นิติศาสตร์",OR(U146="S2",U146="K5")),W146,AND(AI146="K5-LAW",AH146="นิติศาสตร์",OR(L146="M2",L146="K4"),R146&gt;=2),EDATE(Q146,12*2),AND(AI146="K5-LAW",AH146="นิติศาสตร์",L146="S1",R146&gt;=1),EDATE(Q146,12),AND(AI146="K5-LAW",AH146="นิติศาสตร์",OR(L146="S2",L146="K5")),Q146,AND(AI146="K5-POLICY",AH146&lt;&gt;"นิติศาสตร์",L146="S2",U146="",AA146=""),Q146,AND(AI146="K5-POLICY",AH146&lt;&gt;"นิติศาสตร์",L146="S1",U146="",AA146=""),EDATE(Q146,12),AND(AI146="K5-POLICY",AH146&lt;&gt;"นิติศาสตร์",OR(L146="M2",L146="K4"),U146="",AA146=""),EDATE(Q146,12*2),AND(AI146="K5-POLICY",AH146&lt;&gt;"นิติศาสตร์",OR(AA146="M2",AA146="K4"),AD146&gt;=2,OR(AC146&lt;W146,AC146&lt;Q146)),EDATE(AC146,12*2),AND(AI146="K5-POLICY",AH146&lt;&gt;"นิติศาสตร์",AA146="S1",AD146&gt;=1,OR(AC146&lt;W146,AC146&lt;Q146)),EDATE(AC146,12),AND(AI146="K5-POLICY",AH146&lt;&gt;"นิติศาสตร์",OR(U146="M2",U146="K4"),X146&gt;=2,W146&lt;Q146),EDATE(W146,12*2),AND(AI146="K5-POLICY",AH146&lt;&gt;"นิติศาสตร์",U146="S1",X146&gt;=1,W146&lt;Q146),EDATE(W146,12),AND(AI146="K5-POLICY",AH146&lt;&gt;"นิติศาสตร์",OR(U146="S2",U146="K5")),W146,AND(AI146="K5-POLICY",AH146&lt;&gt;"นิติศาสตร์",OR(L146="M2",L146="K4"),R146&gt;=2),EDATE(Q146,12*2),AND(AI146="K5-POLICY",AH146&lt;&gt;"นิติศาสตร์",L146="S1",R146&gt;=1),EDATE(Q146,12),AND(AI146="K5-POLICY",AH146&lt;&gt;"นิติศาสตร์",OR(L146="S2",L146="K5")),Q146,TRUE,"Check Data")</f>
        <v/>
      </c>
      <c r="AK146" s="75" t="str">
        <f t="shared" si="53"/>
        <v>Check Data</v>
      </c>
      <c r="AL146" s="76" t="str">
        <f t="shared" si="50"/>
        <v>Check Data</v>
      </c>
      <c r="AM146" s="50" t="str">
        <f t="shared" si="54"/>
        <v>Check Data</v>
      </c>
      <c r="AN146" s="49" t="str">
        <f>IF(B146="","",IF(L146="S1","S1",INDEX(#REF!,#REF!)))</f>
        <v/>
      </c>
      <c r="AO146" s="49" t="str">
        <f t="shared" si="55"/>
        <v>M2</v>
      </c>
      <c r="AP146" s="50" t="b">
        <f>L146=AN146</f>
        <v>0</v>
      </c>
      <c r="AQ146" s="50"/>
    </row>
    <row r="147" spans="1:43" ht="21.75">
      <c r="A147" s="49">
        <v>145</v>
      </c>
      <c r="B147" s="50"/>
      <c r="C147" s="50"/>
      <c r="D147" s="50" t="s">
        <v>143</v>
      </c>
      <c r="E147" s="50" t="e">
        <f>INDEX(#REF!,#REF!)</f>
        <v>#REF!</v>
      </c>
      <c r="F147" s="49" t="s">
        <v>352</v>
      </c>
      <c r="G147" s="49" t="str">
        <f t="shared" si="51"/>
        <v>01/07/1997</v>
      </c>
      <c r="H147" s="50">
        <f t="shared" si="47"/>
        <v>27</v>
      </c>
      <c r="I147" s="50">
        <f t="shared" si="48"/>
        <v>11</v>
      </c>
      <c r="J147" s="50">
        <f t="shared" si="49"/>
        <v>19</v>
      </c>
      <c r="K147" s="59"/>
      <c r="L147" s="49" t="s">
        <v>136</v>
      </c>
      <c r="M147" s="64"/>
      <c r="N147" s="49" t="s">
        <v>427</v>
      </c>
      <c r="O147" s="49">
        <v>2576</v>
      </c>
      <c r="P147" s="65" t="s">
        <v>294</v>
      </c>
      <c r="Q147" s="49" t="str">
        <f t="shared" si="52"/>
        <v>18/05/2023</v>
      </c>
      <c r="R147" s="68">
        <f>IF(Q147="",0,DATEDIF(Q147,$C$1,"Y"))</f>
        <v>2</v>
      </c>
      <c r="S147" s="68">
        <f>IF(Q147="",0,DATEDIF(Q147,$C$1,"YM"))</f>
        <v>1</v>
      </c>
      <c r="T147" s="68">
        <f>IF(Q147="",0,DATEDIF(Q147,$C$1,"MD"))</f>
        <v>2</v>
      </c>
      <c r="U147" s="65"/>
      <c r="V147" s="65"/>
      <c r="W147" s="49" t="str">
        <f t="shared" si="56"/>
        <v/>
      </c>
      <c r="X147" s="68">
        <f>IF(W147="",0,DATEDIF(W147,Q147,"Y"))</f>
        <v>0</v>
      </c>
      <c r="Y147" s="68">
        <f>IF(W147="",0,DATEDIF(W147,Q147,"YM"))</f>
        <v>0</v>
      </c>
      <c r="Z147" s="68">
        <f>IF(W147="",0,DATEDIF(W147,Q147,"MD"))</f>
        <v>0</v>
      </c>
      <c r="AA147" s="49"/>
      <c r="AB147" s="65"/>
      <c r="AC147" s="50" t="str">
        <f t="shared" si="57"/>
        <v/>
      </c>
      <c r="AD147" s="68">
        <f t="shared" si="58"/>
        <v>0</v>
      </c>
      <c r="AE147" s="68">
        <f t="shared" si="59"/>
        <v>0</v>
      </c>
      <c r="AF147" s="68">
        <f t="shared" si="60"/>
        <v>0</v>
      </c>
      <c r="AG147" s="50"/>
      <c r="AH147" s="108" t="s">
        <v>520</v>
      </c>
      <c r="AI147" s="49" t="str">
        <f>IF(AH147="นิติศาสตร์","K5-LAW","K5-POLICY")</f>
        <v>K5-POLICY</v>
      </c>
      <c r="AJ147" s="72" t="str">
        <f>_xlfn.IFS(B147="","",AND(AI147="K5-LAW",AH147="นิติศาสตร์",L147="S2",U147="",AA147=""),Q147,AND(AI147="K5-LAW",AH147="นิติศาสตร์",L147="S1",U147="",AA147=""),EDATE(Q147,12),AND(AI147="K5-LAW",AH147="นิติศาสตร์",OR(L147="M2",L147="K4"),U147="",AA147=""),EDATE(Q147,12*2),AND(AI147="K5-LAW",AH147="นิติศาสตร์",OR(AA147="M2",AA147="K4"),AD147&gt;=2,OR(AC147&lt;W147,AC147&lt;Q147)),EDATE(AC147,12*2),AND(AI147="K5-LAW",AH147="นิติศาสตร์",AA147="S1",AD147&gt;=1,OR(AC147&lt;W147,AC147&lt;Q147)),EDATE(AC147,12),AND(AI147="K5-LAW",AH147="นิติศาสตร์",OR(U147="M2",U147="K4"),X147&gt;=2,W147&lt;Q147),EDATE(W147,12*2),AND(AI147="K5-LAW",AH147="นิติศาสตร์",U147="S1",X147&gt;=1,W147&lt;Q147),EDATE(W147,12),AND(AI147="K5-LAW",AH147="นิติศาสตร์",OR(U147="S2",U147="K5")),W147,AND(AI147="K5-LAW",AH147="นิติศาสตร์",OR(L147="M2",L147="K4"),R147&gt;=2),EDATE(Q147,12*2),AND(AI147="K5-LAW",AH147="นิติศาสตร์",L147="S1",R147&gt;=1),EDATE(Q147,12),AND(AI147="K5-LAW",AH147="นิติศาสตร์",OR(L147="S2",L147="K5")),Q147,AND(AI147="K5-POLICY",AH147&lt;&gt;"นิติศาสตร์",L147="S2",U147="",AA147=""),Q147,AND(AI147="K5-POLICY",AH147&lt;&gt;"นิติศาสตร์",L147="S1",U147="",AA147=""),EDATE(Q147,12),AND(AI147="K5-POLICY",AH147&lt;&gt;"นิติศาสตร์",OR(L147="M2",L147="K4"),U147="",AA147=""),EDATE(Q147,12*2),AND(AI147="K5-POLICY",AH147&lt;&gt;"นิติศาสตร์",OR(AA147="M2",AA147="K4"),AD147&gt;=2,OR(AC147&lt;W147,AC147&lt;Q147)),EDATE(AC147,12*2),AND(AI147="K5-POLICY",AH147&lt;&gt;"นิติศาสตร์",AA147="S1",AD147&gt;=1,OR(AC147&lt;W147,AC147&lt;Q147)),EDATE(AC147,12),AND(AI147="K5-POLICY",AH147&lt;&gt;"นิติศาสตร์",OR(U147="M2",U147="K4"),X147&gt;=2,W147&lt;Q147),EDATE(W147,12*2),AND(AI147="K5-POLICY",AH147&lt;&gt;"นิติศาสตร์",U147="S1",X147&gt;=1,W147&lt;Q147),EDATE(W147,12),AND(AI147="K5-POLICY",AH147&lt;&gt;"นิติศาสตร์",OR(U147="S2",U147="K5")),W147,AND(AI147="K5-POLICY",AH147&lt;&gt;"นิติศาสตร์",OR(L147="M2",L147="K4"),R147&gt;=2),EDATE(Q147,12*2),AND(AI147="K5-POLICY",AH147&lt;&gt;"นิติศาสตร์",L147="S1",R147&gt;=1),EDATE(Q147,12),AND(AI147="K5-POLICY",AH147&lt;&gt;"นิติศาสตร์",OR(L147="S2",L147="K5")),Q147,TRUE,"Check Data")</f>
        <v/>
      </c>
      <c r="AK147" s="75" t="str">
        <f t="shared" si="53"/>
        <v>Check Data</v>
      </c>
      <c r="AL147" s="76" t="str">
        <f t="shared" si="50"/>
        <v>Check Data</v>
      </c>
      <c r="AM147" s="50" t="str">
        <f t="shared" si="54"/>
        <v>Check Data</v>
      </c>
      <c r="AN147" s="49" t="str">
        <f>IF(B147="","",IF(L147="S1","S1",INDEX(#REF!,#REF!)))</f>
        <v/>
      </c>
      <c r="AO147" s="49" t="str">
        <f t="shared" si="55"/>
        <v>M2</v>
      </c>
      <c r="AP147" s="50" t="b">
        <f>L147=AN147</f>
        <v>0</v>
      </c>
      <c r="AQ147" s="50"/>
    </row>
    <row r="148" spans="1:43" ht="21.75">
      <c r="A148" s="49">
        <v>146</v>
      </c>
      <c r="B148" s="50"/>
      <c r="C148" s="50"/>
      <c r="D148" s="50" t="s">
        <v>143</v>
      </c>
      <c r="E148" s="50" t="e">
        <f>INDEX(#REF!,#REF!)</f>
        <v>#REF!</v>
      </c>
      <c r="F148" s="49" t="s">
        <v>312</v>
      </c>
      <c r="G148" s="49" t="str">
        <f t="shared" si="51"/>
        <v>04/05/2000</v>
      </c>
      <c r="H148" s="50">
        <f t="shared" si="47"/>
        <v>25</v>
      </c>
      <c r="I148" s="50">
        <f t="shared" si="48"/>
        <v>1</v>
      </c>
      <c r="J148" s="50">
        <f t="shared" si="49"/>
        <v>16</v>
      </c>
      <c r="K148" s="59"/>
      <c r="L148" s="49" t="s">
        <v>136</v>
      </c>
      <c r="M148" s="64"/>
      <c r="N148" s="49" t="s">
        <v>427</v>
      </c>
      <c r="O148" s="49">
        <v>2574</v>
      </c>
      <c r="P148" s="65" t="s">
        <v>294</v>
      </c>
      <c r="Q148" s="49" t="str">
        <f t="shared" si="52"/>
        <v>18/05/2023</v>
      </c>
      <c r="R148" s="68">
        <f>IF(Q148="",0,DATEDIF(Q148,$C$1,"Y"))</f>
        <v>2</v>
      </c>
      <c r="S148" s="68">
        <f>IF(Q148="",0,DATEDIF(Q148,$C$1,"YM"))</f>
        <v>1</v>
      </c>
      <c r="T148" s="68">
        <f>IF(Q148="",0,DATEDIF(Q148,$C$1,"MD"))</f>
        <v>2</v>
      </c>
      <c r="U148" s="65"/>
      <c r="V148" s="65"/>
      <c r="W148" s="49" t="str">
        <f t="shared" si="56"/>
        <v/>
      </c>
      <c r="X148" s="68">
        <f>IF(W148="",0,DATEDIF(W148,Q148,"Y"))</f>
        <v>0</v>
      </c>
      <c r="Y148" s="68">
        <f>IF(W148="",0,DATEDIF(W148,Q148,"YM"))</f>
        <v>0</v>
      </c>
      <c r="Z148" s="68">
        <f>IF(W148="",0,DATEDIF(W148,Q148,"MD"))</f>
        <v>0</v>
      </c>
      <c r="AA148" s="49"/>
      <c r="AB148" s="65"/>
      <c r="AC148" s="50" t="str">
        <f t="shared" si="57"/>
        <v/>
      </c>
      <c r="AD148" s="68">
        <f t="shared" si="58"/>
        <v>0</v>
      </c>
      <c r="AE148" s="68">
        <f t="shared" si="59"/>
        <v>0</v>
      </c>
      <c r="AF148" s="68">
        <f t="shared" si="60"/>
        <v>0</v>
      </c>
      <c r="AG148" s="50"/>
      <c r="AH148" s="108" t="s">
        <v>482</v>
      </c>
      <c r="AI148" s="49" t="str">
        <f>IF(AH148="นิติศาสตร์","K5-LAW","K5-POLICY")</f>
        <v>K5-POLICY</v>
      </c>
      <c r="AJ148" s="72" t="str">
        <f>_xlfn.IFS(B148="","",AND(AI148="K5-LAW",AH148="นิติศาสตร์",L148="S2",U148="",AA148=""),Q148,AND(AI148="K5-LAW",AH148="นิติศาสตร์",L148="S1",U148="",AA148=""),EDATE(Q148,12),AND(AI148="K5-LAW",AH148="นิติศาสตร์",OR(L148="M2",L148="K4"),U148="",AA148=""),EDATE(Q148,12*2),AND(AI148="K5-LAW",AH148="นิติศาสตร์",OR(AA148="M2",AA148="K4"),AD148&gt;=2,OR(AC148&lt;W148,AC148&lt;Q148)),EDATE(AC148,12*2),AND(AI148="K5-LAW",AH148="นิติศาสตร์",AA148="S1",AD148&gt;=1,OR(AC148&lt;W148,AC148&lt;Q148)),EDATE(AC148,12),AND(AI148="K5-LAW",AH148="นิติศาสตร์",OR(U148="M2",U148="K4"),X148&gt;=2,W148&lt;Q148),EDATE(W148,12*2),AND(AI148="K5-LAW",AH148="นิติศาสตร์",U148="S1",X148&gt;=1,W148&lt;Q148),EDATE(W148,12),AND(AI148="K5-LAW",AH148="นิติศาสตร์",OR(U148="S2",U148="K5")),W148,AND(AI148="K5-LAW",AH148="นิติศาสตร์",OR(L148="M2",L148="K4"),R148&gt;=2),EDATE(Q148,12*2),AND(AI148="K5-LAW",AH148="นิติศาสตร์",L148="S1",R148&gt;=1),EDATE(Q148,12),AND(AI148="K5-LAW",AH148="นิติศาสตร์",OR(L148="S2",L148="K5")),Q148,AND(AI148="K5-POLICY",AH148&lt;&gt;"นิติศาสตร์",L148="S2",U148="",AA148=""),Q148,AND(AI148="K5-POLICY",AH148&lt;&gt;"นิติศาสตร์",L148="S1",U148="",AA148=""),EDATE(Q148,12),AND(AI148="K5-POLICY",AH148&lt;&gt;"นิติศาสตร์",OR(L148="M2",L148="K4"),U148="",AA148=""),EDATE(Q148,12*2),AND(AI148="K5-POLICY",AH148&lt;&gt;"นิติศาสตร์",OR(AA148="M2",AA148="K4"),AD148&gt;=2,OR(AC148&lt;W148,AC148&lt;Q148)),EDATE(AC148,12*2),AND(AI148="K5-POLICY",AH148&lt;&gt;"นิติศาสตร์",AA148="S1",AD148&gt;=1,OR(AC148&lt;W148,AC148&lt;Q148)),EDATE(AC148,12),AND(AI148="K5-POLICY",AH148&lt;&gt;"นิติศาสตร์",OR(U148="M2",U148="K4"),X148&gt;=2,W148&lt;Q148),EDATE(W148,12*2),AND(AI148="K5-POLICY",AH148&lt;&gt;"นิติศาสตร์",U148="S1",X148&gt;=1,W148&lt;Q148),EDATE(W148,12),AND(AI148="K5-POLICY",AH148&lt;&gt;"นิติศาสตร์",OR(U148="S2",U148="K5")),W148,AND(AI148="K5-POLICY",AH148&lt;&gt;"นิติศาสตร์",OR(L148="M2",L148="K4"),R148&gt;=2),EDATE(Q148,12*2),AND(AI148="K5-POLICY",AH148&lt;&gt;"นิติศาสตร์",L148="S1",R148&gt;=1),EDATE(Q148,12),AND(AI148="K5-POLICY",AH148&lt;&gt;"นิติศาสตร์",OR(L148="S2",L148="K5")),Q148,TRUE,"Check Data")</f>
        <v/>
      </c>
      <c r="AK148" s="75" t="str">
        <f t="shared" si="53"/>
        <v>Check Data</v>
      </c>
      <c r="AL148" s="76" t="str">
        <f t="shared" si="50"/>
        <v>Check Data</v>
      </c>
      <c r="AM148" s="50" t="str">
        <f t="shared" si="54"/>
        <v>Check Data</v>
      </c>
      <c r="AN148" s="49" t="str">
        <f>IF(B148="","",IF(L148="S1","S1",INDEX(#REF!,#REF!)))</f>
        <v/>
      </c>
      <c r="AO148" s="49" t="str">
        <f t="shared" si="55"/>
        <v>M2</v>
      </c>
      <c r="AP148" s="50" t="b">
        <f>L148=AN148</f>
        <v>0</v>
      </c>
      <c r="AQ148" s="50"/>
    </row>
    <row r="149" spans="1:43" ht="21.75">
      <c r="A149" s="49">
        <v>147</v>
      </c>
      <c r="B149" s="50"/>
      <c r="C149" s="50"/>
      <c r="D149" s="50" t="s">
        <v>143</v>
      </c>
      <c r="E149" s="50" t="e">
        <f>INDEX(#REF!,#REF!)</f>
        <v>#REF!</v>
      </c>
      <c r="F149" s="49" t="s">
        <v>360</v>
      </c>
      <c r="G149" s="49" t="str">
        <f t="shared" si="51"/>
        <v>01/12/1998</v>
      </c>
      <c r="H149" s="50">
        <f t="shared" si="47"/>
        <v>26</v>
      </c>
      <c r="I149" s="50">
        <f t="shared" si="48"/>
        <v>6</v>
      </c>
      <c r="J149" s="50">
        <f t="shared" si="49"/>
        <v>19</v>
      </c>
      <c r="K149" s="59"/>
      <c r="L149" s="49" t="s">
        <v>136</v>
      </c>
      <c r="M149" s="64"/>
      <c r="N149" s="49" t="s">
        <v>427</v>
      </c>
      <c r="O149" s="49">
        <v>2572</v>
      </c>
      <c r="P149" s="65" t="s">
        <v>294</v>
      </c>
      <c r="Q149" s="49" t="str">
        <f t="shared" si="52"/>
        <v>18/05/2023</v>
      </c>
      <c r="R149" s="68">
        <f>IF(Q149="",0,DATEDIF(Q149,$C$1,"Y"))</f>
        <v>2</v>
      </c>
      <c r="S149" s="68">
        <f>IF(Q149="",0,DATEDIF(Q149,$C$1,"YM"))</f>
        <v>1</v>
      </c>
      <c r="T149" s="68">
        <f>IF(Q149="",0,DATEDIF(Q149,$C$1,"MD"))</f>
        <v>2</v>
      </c>
      <c r="U149" s="65"/>
      <c r="V149" s="65"/>
      <c r="W149" s="49" t="str">
        <f t="shared" si="56"/>
        <v/>
      </c>
      <c r="X149" s="68">
        <f>IF(W149="",0,DATEDIF(W149,Q149,"Y"))</f>
        <v>0</v>
      </c>
      <c r="Y149" s="68">
        <f>IF(W149="",0,DATEDIF(W149,Q149,"YM"))</f>
        <v>0</v>
      </c>
      <c r="Z149" s="68">
        <f>IF(W149="",0,DATEDIF(W149,Q149,"MD"))</f>
        <v>0</v>
      </c>
      <c r="AA149" s="49"/>
      <c r="AB149" s="65"/>
      <c r="AC149" s="50" t="str">
        <f t="shared" si="57"/>
        <v/>
      </c>
      <c r="AD149" s="68">
        <f t="shared" si="58"/>
        <v>0</v>
      </c>
      <c r="AE149" s="68">
        <f t="shared" si="59"/>
        <v>0</v>
      </c>
      <c r="AF149" s="68">
        <f t="shared" si="60"/>
        <v>0</v>
      </c>
      <c r="AG149" s="50"/>
      <c r="AH149" s="108" t="s">
        <v>521</v>
      </c>
      <c r="AI149" s="49" t="str">
        <f>IF(AH149="นิติศาสตร์","K5-LAW","K5-POLICY")</f>
        <v>K5-POLICY</v>
      </c>
      <c r="AJ149" s="72" t="str">
        <f>_xlfn.IFS(B149="","",AND(AI149="K5-LAW",AH149="นิติศาสตร์",L149="S2",U149="",AA149=""),Q149,AND(AI149="K5-LAW",AH149="นิติศาสตร์",L149="S1",U149="",AA149=""),EDATE(Q149,12),AND(AI149="K5-LAW",AH149="นิติศาสตร์",OR(L149="M2",L149="K4"),U149="",AA149=""),EDATE(Q149,12*2),AND(AI149="K5-LAW",AH149="นิติศาสตร์",OR(AA149="M2",AA149="K4"),AD149&gt;=2,OR(AC149&lt;W149,AC149&lt;Q149)),EDATE(AC149,12*2),AND(AI149="K5-LAW",AH149="นิติศาสตร์",AA149="S1",AD149&gt;=1,OR(AC149&lt;W149,AC149&lt;Q149)),EDATE(AC149,12),AND(AI149="K5-LAW",AH149="นิติศาสตร์",OR(U149="M2",U149="K4"),X149&gt;=2,W149&lt;Q149),EDATE(W149,12*2),AND(AI149="K5-LAW",AH149="นิติศาสตร์",U149="S1",X149&gt;=1,W149&lt;Q149),EDATE(W149,12),AND(AI149="K5-LAW",AH149="นิติศาสตร์",OR(U149="S2",U149="K5")),W149,AND(AI149="K5-LAW",AH149="นิติศาสตร์",OR(L149="M2",L149="K4"),R149&gt;=2),EDATE(Q149,12*2),AND(AI149="K5-LAW",AH149="นิติศาสตร์",L149="S1",R149&gt;=1),EDATE(Q149,12),AND(AI149="K5-LAW",AH149="นิติศาสตร์",OR(L149="S2",L149="K5")),Q149,AND(AI149="K5-POLICY",AH149&lt;&gt;"นิติศาสตร์",L149="S2",U149="",AA149=""),Q149,AND(AI149="K5-POLICY",AH149&lt;&gt;"นิติศาสตร์",L149="S1",U149="",AA149=""),EDATE(Q149,12),AND(AI149="K5-POLICY",AH149&lt;&gt;"นิติศาสตร์",OR(L149="M2",L149="K4"),U149="",AA149=""),EDATE(Q149,12*2),AND(AI149="K5-POLICY",AH149&lt;&gt;"นิติศาสตร์",OR(AA149="M2",AA149="K4"),AD149&gt;=2,OR(AC149&lt;W149,AC149&lt;Q149)),EDATE(AC149,12*2),AND(AI149="K5-POLICY",AH149&lt;&gt;"นิติศาสตร์",AA149="S1",AD149&gt;=1,OR(AC149&lt;W149,AC149&lt;Q149)),EDATE(AC149,12),AND(AI149="K5-POLICY",AH149&lt;&gt;"นิติศาสตร์",OR(U149="M2",U149="K4"),X149&gt;=2,W149&lt;Q149),EDATE(W149,12*2),AND(AI149="K5-POLICY",AH149&lt;&gt;"นิติศาสตร์",U149="S1",X149&gt;=1,W149&lt;Q149),EDATE(W149,12),AND(AI149="K5-POLICY",AH149&lt;&gt;"นิติศาสตร์",OR(U149="S2",U149="K5")),W149,AND(AI149="K5-POLICY",AH149&lt;&gt;"นิติศาสตร์",OR(L149="M2",L149="K4"),R149&gt;=2),EDATE(Q149,12*2),AND(AI149="K5-POLICY",AH149&lt;&gt;"นิติศาสตร์",L149="S1",R149&gt;=1),EDATE(Q149,12),AND(AI149="K5-POLICY",AH149&lt;&gt;"นิติศาสตร์",OR(L149="S2",L149="K5")),Q149,TRUE,"Check Data")</f>
        <v/>
      </c>
      <c r="AK149" s="75" t="str">
        <f t="shared" si="53"/>
        <v>Check Data</v>
      </c>
      <c r="AL149" s="76" t="str">
        <f t="shared" si="50"/>
        <v>Check Data</v>
      </c>
      <c r="AM149" s="50" t="str">
        <f t="shared" si="54"/>
        <v>Check Data</v>
      </c>
      <c r="AN149" s="49" t="str">
        <f>IF(B149="","",IF(L149="S1","S1",INDEX(#REF!,#REF!)))</f>
        <v/>
      </c>
      <c r="AO149" s="49" t="str">
        <f t="shared" si="55"/>
        <v>M2</v>
      </c>
      <c r="AP149" s="50" t="b">
        <f>L149=AN149</f>
        <v>0</v>
      </c>
      <c r="AQ149" s="50"/>
    </row>
    <row r="150" spans="1:43" ht="21.75">
      <c r="A150" s="49">
        <v>148</v>
      </c>
      <c r="B150" s="50"/>
      <c r="C150" s="50"/>
      <c r="D150" s="50" t="s">
        <v>143</v>
      </c>
      <c r="E150" s="50" t="e">
        <f>INDEX(#REF!,#REF!)</f>
        <v>#REF!</v>
      </c>
      <c r="F150" s="49" t="s">
        <v>353</v>
      </c>
      <c r="G150" s="49" t="str">
        <f t="shared" si="51"/>
        <v>28/07/2000</v>
      </c>
      <c r="H150" s="50">
        <f t="shared" si="47"/>
        <v>24</v>
      </c>
      <c r="I150" s="50">
        <f t="shared" si="48"/>
        <v>10</v>
      </c>
      <c r="J150" s="50">
        <f t="shared" si="49"/>
        <v>23</v>
      </c>
      <c r="K150" s="59"/>
      <c r="L150" s="49" t="s">
        <v>136</v>
      </c>
      <c r="M150" s="64"/>
      <c r="N150" s="49" t="s">
        <v>427</v>
      </c>
      <c r="O150" s="49">
        <v>2578</v>
      </c>
      <c r="P150" s="65" t="s">
        <v>294</v>
      </c>
      <c r="Q150" s="49" t="str">
        <f t="shared" si="52"/>
        <v>18/05/2023</v>
      </c>
      <c r="R150" s="68">
        <f>IF(Q150="",0,DATEDIF(Q150,$C$1,"Y"))</f>
        <v>2</v>
      </c>
      <c r="S150" s="68">
        <f>IF(Q150="",0,DATEDIF(Q150,$C$1,"YM"))</f>
        <v>1</v>
      </c>
      <c r="T150" s="68">
        <f>IF(Q150="",0,DATEDIF(Q150,$C$1,"MD"))</f>
        <v>2</v>
      </c>
      <c r="U150" s="65"/>
      <c r="V150" s="65"/>
      <c r="W150" s="49" t="str">
        <f t="shared" si="56"/>
        <v/>
      </c>
      <c r="X150" s="68">
        <f>IF(W150="",0,DATEDIF(W150,Q150,"Y"))</f>
        <v>0</v>
      </c>
      <c r="Y150" s="68">
        <f>IF(W150="",0,DATEDIF(W150,Q150,"YM"))</f>
        <v>0</v>
      </c>
      <c r="Z150" s="68">
        <f>IF(W150="",0,DATEDIF(W150,Q150,"MD"))</f>
        <v>0</v>
      </c>
      <c r="AA150" s="49"/>
      <c r="AB150" s="65"/>
      <c r="AC150" s="50" t="str">
        <f t="shared" si="57"/>
        <v/>
      </c>
      <c r="AD150" s="68">
        <f t="shared" si="58"/>
        <v>0</v>
      </c>
      <c r="AE150" s="68">
        <f t="shared" si="59"/>
        <v>0</v>
      </c>
      <c r="AF150" s="68">
        <f t="shared" si="60"/>
        <v>0</v>
      </c>
      <c r="AG150" s="50"/>
      <c r="AH150" s="108" t="s">
        <v>486</v>
      </c>
      <c r="AI150" s="49" t="str">
        <f>IF(AH150="นิติศาสตร์","K5-LAW","K5-POLICY")</f>
        <v>K5-POLICY</v>
      </c>
      <c r="AJ150" s="72" t="str">
        <f>_xlfn.IFS(B150="","",AND(AI150="K5-LAW",AH150="นิติศาสตร์",L150="S2",U150="",AA150=""),Q150,AND(AI150="K5-LAW",AH150="นิติศาสตร์",L150="S1",U150="",AA150=""),EDATE(Q150,12),AND(AI150="K5-LAW",AH150="นิติศาสตร์",OR(L150="M2",L150="K4"),U150="",AA150=""),EDATE(Q150,12*2),AND(AI150="K5-LAW",AH150="นิติศาสตร์",OR(AA150="M2",AA150="K4"),AD150&gt;=2,OR(AC150&lt;W150,AC150&lt;Q150)),EDATE(AC150,12*2),AND(AI150="K5-LAW",AH150="นิติศาสตร์",AA150="S1",AD150&gt;=1,OR(AC150&lt;W150,AC150&lt;Q150)),EDATE(AC150,12),AND(AI150="K5-LAW",AH150="นิติศาสตร์",OR(U150="M2",U150="K4"),X150&gt;=2,W150&lt;Q150),EDATE(W150,12*2),AND(AI150="K5-LAW",AH150="นิติศาสตร์",U150="S1",X150&gt;=1,W150&lt;Q150),EDATE(W150,12),AND(AI150="K5-LAW",AH150="นิติศาสตร์",OR(U150="S2",U150="K5")),W150,AND(AI150="K5-LAW",AH150="นิติศาสตร์",OR(L150="M2",L150="K4"),R150&gt;=2),EDATE(Q150,12*2),AND(AI150="K5-LAW",AH150="นิติศาสตร์",L150="S1",R150&gt;=1),EDATE(Q150,12),AND(AI150="K5-LAW",AH150="นิติศาสตร์",OR(L150="S2",L150="K5")),Q150,AND(AI150="K5-POLICY",AH150&lt;&gt;"นิติศาสตร์",L150="S2",U150="",AA150=""),Q150,AND(AI150="K5-POLICY",AH150&lt;&gt;"นิติศาสตร์",L150="S1",U150="",AA150=""),EDATE(Q150,12),AND(AI150="K5-POLICY",AH150&lt;&gt;"นิติศาสตร์",OR(L150="M2",L150="K4"),U150="",AA150=""),EDATE(Q150,12*2),AND(AI150="K5-POLICY",AH150&lt;&gt;"นิติศาสตร์",OR(AA150="M2",AA150="K4"),AD150&gt;=2,OR(AC150&lt;W150,AC150&lt;Q150)),EDATE(AC150,12*2),AND(AI150="K5-POLICY",AH150&lt;&gt;"นิติศาสตร์",AA150="S1",AD150&gt;=1,OR(AC150&lt;W150,AC150&lt;Q150)),EDATE(AC150,12),AND(AI150="K5-POLICY",AH150&lt;&gt;"นิติศาสตร์",OR(U150="M2",U150="K4"),X150&gt;=2,W150&lt;Q150),EDATE(W150,12*2),AND(AI150="K5-POLICY",AH150&lt;&gt;"นิติศาสตร์",U150="S1",X150&gt;=1,W150&lt;Q150),EDATE(W150,12),AND(AI150="K5-POLICY",AH150&lt;&gt;"นิติศาสตร์",OR(U150="S2",U150="K5")),W150,AND(AI150="K5-POLICY",AH150&lt;&gt;"นิติศาสตร์",OR(L150="M2",L150="K4"),R150&gt;=2),EDATE(Q150,12*2),AND(AI150="K5-POLICY",AH150&lt;&gt;"นิติศาสตร์",L150="S1",R150&gt;=1),EDATE(Q150,12),AND(AI150="K5-POLICY",AH150&lt;&gt;"นิติศาสตร์",OR(L150="S2",L150="K5")),Q150,TRUE,"Check Data")</f>
        <v/>
      </c>
      <c r="AK150" s="75" t="str">
        <f t="shared" si="53"/>
        <v>Check Data</v>
      </c>
      <c r="AL150" s="76" t="str">
        <f t="shared" si="50"/>
        <v>Check Data</v>
      </c>
      <c r="AM150" s="50" t="str">
        <f t="shared" si="54"/>
        <v>Check Data</v>
      </c>
      <c r="AN150" s="49" t="str">
        <f>IF(B150="","",IF(L150="S1","S1",INDEX(#REF!,#REF!)))</f>
        <v/>
      </c>
      <c r="AO150" s="49" t="str">
        <f t="shared" si="55"/>
        <v>M2</v>
      </c>
      <c r="AP150" s="50" t="b">
        <f>L150=AN150</f>
        <v>0</v>
      </c>
      <c r="AQ150" s="50"/>
    </row>
    <row r="151" spans="1:43" ht="21.75">
      <c r="A151" s="49">
        <v>149</v>
      </c>
      <c r="B151" s="50"/>
      <c r="C151" s="50"/>
      <c r="D151" s="50" t="s">
        <v>143</v>
      </c>
      <c r="E151" s="50" t="e">
        <f>INDEX(#REF!,#REF!)</f>
        <v>#REF!</v>
      </c>
      <c r="F151" s="49" t="s">
        <v>343</v>
      </c>
      <c r="G151" s="49" t="str">
        <f t="shared" si="51"/>
        <v>07/06/1996</v>
      </c>
      <c r="H151" s="50">
        <f t="shared" si="47"/>
        <v>29</v>
      </c>
      <c r="I151" s="50">
        <f t="shared" si="48"/>
        <v>0</v>
      </c>
      <c r="J151" s="50">
        <f t="shared" si="49"/>
        <v>13</v>
      </c>
      <c r="K151" s="59"/>
      <c r="L151" s="49" t="s">
        <v>136</v>
      </c>
      <c r="M151" s="64"/>
      <c r="N151" s="49" t="s">
        <v>427</v>
      </c>
      <c r="O151" s="49">
        <v>2576</v>
      </c>
      <c r="P151" s="65" t="s">
        <v>294</v>
      </c>
      <c r="Q151" s="49" t="str">
        <f t="shared" si="52"/>
        <v>18/05/2023</v>
      </c>
      <c r="R151" s="68">
        <f>IF(Q151="",0,DATEDIF(Q151,$C$1,"Y"))</f>
        <v>2</v>
      </c>
      <c r="S151" s="68">
        <f>IF(Q151="",0,DATEDIF(Q151,$C$1,"YM"))</f>
        <v>1</v>
      </c>
      <c r="T151" s="68">
        <f>IF(Q151="",0,DATEDIF(Q151,$C$1,"MD"))</f>
        <v>2</v>
      </c>
      <c r="U151" s="65"/>
      <c r="V151" s="65"/>
      <c r="W151" s="49" t="str">
        <f t="shared" si="56"/>
        <v/>
      </c>
      <c r="X151" s="68">
        <f>IF(W151="",0,DATEDIF(W151,Q151,"Y"))</f>
        <v>0</v>
      </c>
      <c r="Y151" s="68">
        <f>IF(W151="",0,DATEDIF(W151,Q151,"YM"))</f>
        <v>0</v>
      </c>
      <c r="Z151" s="68">
        <f>IF(W151="",0,DATEDIF(W151,Q151,"MD"))</f>
        <v>0</v>
      </c>
      <c r="AA151" s="49"/>
      <c r="AB151" s="65"/>
      <c r="AC151" s="50" t="str">
        <f t="shared" si="57"/>
        <v/>
      </c>
      <c r="AD151" s="68">
        <f t="shared" si="58"/>
        <v>0</v>
      </c>
      <c r="AE151" s="68">
        <f t="shared" si="59"/>
        <v>0</v>
      </c>
      <c r="AF151" s="68">
        <f t="shared" si="60"/>
        <v>0</v>
      </c>
      <c r="AG151" s="50"/>
      <c r="AH151" s="108" t="s">
        <v>512</v>
      </c>
      <c r="AI151" s="49" t="str">
        <f>IF(AH151="นิติศาสตร์","K5-LAW","K5-POLICY")</f>
        <v>K5-POLICY</v>
      </c>
      <c r="AJ151" s="72" t="str">
        <f>_xlfn.IFS(B151="","",AND(AI151="K5-LAW",AH151="นิติศาสตร์",L151="S2",U151="",AA151=""),Q151,AND(AI151="K5-LAW",AH151="นิติศาสตร์",L151="S1",U151="",AA151=""),EDATE(Q151,12),AND(AI151="K5-LAW",AH151="นิติศาสตร์",OR(L151="M2",L151="K4"),U151="",AA151=""),EDATE(Q151,12*2),AND(AI151="K5-LAW",AH151="นิติศาสตร์",OR(AA151="M2",AA151="K4"),AD151&gt;=2,OR(AC151&lt;W151,AC151&lt;Q151)),EDATE(AC151,12*2),AND(AI151="K5-LAW",AH151="นิติศาสตร์",AA151="S1",AD151&gt;=1,OR(AC151&lt;W151,AC151&lt;Q151)),EDATE(AC151,12),AND(AI151="K5-LAW",AH151="นิติศาสตร์",OR(U151="M2",U151="K4"),X151&gt;=2,W151&lt;Q151),EDATE(W151,12*2),AND(AI151="K5-LAW",AH151="นิติศาสตร์",U151="S1",X151&gt;=1,W151&lt;Q151),EDATE(W151,12),AND(AI151="K5-LAW",AH151="นิติศาสตร์",OR(U151="S2",U151="K5")),W151,AND(AI151="K5-LAW",AH151="นิติศาสตร์",OR(L151="M2",L151="K4"),R151&gt;=2),EDATE(Q151,12*2),AND(AI151="K5-LAW",AH151="นิติศาสตร์",L151="S1",R151&gt;=1),EDATE(Q151,12),AND(AI151="K5-LAW",AH151="นิติศาสตร์",OR(L151="S2",L151="K5")),Q151,AND(AI151="K5-POLICY",AH151&lt;&gt;"นิติศาสตร์",L151="S2",U151="",AA151=""),Q151,AND(AI151="K5-POLICY",AH151&lt;&gt;"นิติศาสตร์",L151="S1",U151="",AA151=""),EDATE(Q151,12),AND(AI151="K5-POLICY",AH151&lt;&gt;"นิติศาสตร์",OR(L151="M2",L151="K4"),U151="",AA151=""),EDATE(Q151,12*2),AND(AI151="K5-POLICY",AH151&lt;&gt;"นิติศาสตร์",OR(AA151="M2",AA151="K4"),AD151&gt;=2,OR(AC151&lt;W151,AC151&lt;Q151)),EDATE(AC151,12*2),AND(AI151="K5-POLICY",AH151&lt;&gt;"นิติศาสตร์",AA151="S1",AD151&gt;=1,OR(AC151&lt;W151,AC151&lt;Q151)),EDATE(AC151,12),AND(AI151="K5-POLICY",AH151&lt;&gt;"นิติศาสตร์",OR(U151="M2",U151="K4"),X151&gt;=2,W151&lt;Q151),EDATE(W151,12*2),AND(AI151="K5-POLICY",AH151&lt;&gt;"นิติศาสตร์",U151="S1",X151&gt;=1,W151&lt;Q151),EDATE(W151,12),AND(AI151="K5-POLICY",AH151&lt;&gt;"นิติศาสตร์",OR(U151="S2",U151="K5")),W151,AND(AI151="K5-POLICY",AH151&lt;&gt;"นิติศาสตร์",OR(L151="M2",L151="K4"),R151&gt;=2),EDATE(Q151,12*2),AND(AI151="K5-POLICY",AH151&lt;&gt;"นิติศาสตร์",L151="S1",R151&gt;=1),EDATE(Q151,12),AND(AI151="K5-POLICY",AH151&lt;&gt;"นิติศาสตร์",OR(L151="S2",L151="K5")),Q151,TRUE,"Check Data")</f>
        <v/>
      </c>
      <c r="AK151" s="75" t="str">
        <f t="shared" si="53"/>
        <v>Check Data</v>
      </c>
      <c r="AL151" s="76" t="str">
        <f t="shared" si="50"/>
        <v>Check Data</v>
      </c>
      <c r="AM151" s="50" t="str">
        <f t="shared" si="54"/>
        <v>Check Data</v>
      </c>
      <c r="AN151" s="49" t="str">
        <f>IF(B151="","",IF(L151="S1","S1",INDEX(#REF!,#REF!)))</f>
        <v/>
      </c>
      <c r="AO151" s="49" t="str">
        <f t="shared" si="55"/>
        <v>M2</v>
      </c>
      <c r="AP151" s="50" t="b">
        <f>L151=AN151</f>
        <v>0</v>
      </c>
      <c r="AQ151" s="50"/>
    </row>
    <row r="152" spans="1:43" ht="21.75">
      <c r="A152" s="49">
        <v>150</v>
      </c>
      <c r="B152" s="50"/>
      <c r="C152" s="50"/>
      <c r="D152" s="50" t="s">
        <v>143</v>
      </c>
      <c r="E152" s="50" t="e">
        <f>INDEX(#REF!,#REF!)</f>
        <v>#REF!</v>
      </c>
      <c r="F152" s="49" t="s">
        <v>312</v>
      </c>
      <c r="G152" s="49" t="str">
        <f t="shared" si="51"/>
        <v>04/05/2000</v>
      </c>
      <c r="H152" s="50">
        <f t="shared" si="47"/>
        <v>25</v>
      </c>
      <c r="I152" s="50">
        <f t="shared" si="48"/>
        <v>1</v>
      </c>
      <c r="J152" s="50">
        <f t="shared" si="49"/>
        <v>16</v>
      </c>
      <c r="K152" s="59"/>
      <c r="L152" s="49" t="s">
        <v>136</v>
      </c>
      <c r="M152" s="64"/>
      <c r="N152" s="49" t="s">
        <v>427</v>
      </c>
      <c r="O152" s="49">
        <v>2577</v>
      </c>
      <c r="P152" s="65" t="s">
        <v>294</v>
      </c>
      <c r="Q152" s="49" t="str">
        <f t="shared" si="52"/>
        <v>18/05/2023</v>
      </c>
      <c r="R152" s="68">
        <f>IF(Q152="",0,DATEDIF(Q152,$C$1,"Y"))</f>
        <v>2</v>
      </c>
      <c r="S152" s="68">
        <f>IF(Q152="",0,DATEDIF(Q152,$C$1,"YM"))</f>
        <v>1</v>
      </c>
      <c r="T152" s="68">
        <f>IF(Q152="",0,DATEDIF(Q152,$C$1,"MD"))</f>
        <v>2</v>
      </c>
      <c r="U152" s="65"/>
      <c r="V152" s="65"/>
      <c r="W152" s="49" t="str">
        <f t="shared" si="56"/>
        <v/>
      </c>
      <c r="X152" s="68">
        <f>IF(W152="",0,DATEDIF(W152,Q152,"Y"))</f>
        <v>0</v>
      </c>
      <c r="Y152" s="68">
        <f>IF(W152="",0,DATEDIF(W152,Q152,"YM"))</f>
        <v>0</v>
      </c>
      <c r="Z152" s="68">
        <f>IF(W152="",0,DATEDIF(W152,Q152,"MD"))</f>
        <v>0</v>
      </c>
      <c r="AA152" s="49"/>
      <c r="AB152" s="65"/>
      <c r="AC152" s="50" t="str">
        <f t="shared" si="57"/>
        <v/>
      </c>
      <c r="AD152" s="68">
        <f t="shared" si="58"/>
        <v>0</v>
      </c>
      <c r="AE152" s="68">
        <f t="shared" si="59"/>
        <v>0</v>
      </c>
      <c r="AF152" s="68">
        <f t="shared" si="60"/>
        <v>0</v>
      </c>
      <c r="AG152" s="50"/>
      <c r="AH152" s="108" t="s">
        <v>138</v>
      </c>
      <c r="AI152" s="49" t="str">
        <f>IF(AH152="นิติศาสตร์","K5-LAW","K5-POLICY")</f>
        <v>K5-LAW</v>
      </c>
      <c r="AJ152" s="72" t="str">
        <f>_xlfn.IFS(B152="","",AND(AI152="K5-LAW",AH152="นิติศาสตร์",L152="S2",U152="",AA152=""),Q152,AND(AI152="K5-LAW",AH152="นิติศาสตร์",L152="S1",U152="",AA152=""),EDATE(Q152,12),AND(AI152="K5-LAW",AH152="นิติศาสตร์",OR(L152="M2",L152="K4"),U152="",AA152=""),EDATE(Q152,12*2),AND(AI152="K5-LAW",AH152="นิติศาสตร์",OR(AA152="M2",AA152="K4"),AD152&gt;=2,OR(AC152&lt;W152,AC152&lt;Q152)),EDATE(AC152,12*2),AND(AI152="K5-LAW",AH152="นิติศาสตร์",AA152="S1",AD152&gt;=1,OR(AC152&lt;W152,AC152&lt;Q152)),EDATE(AC152,12),AND(AI152="K5-LAW",AH152="นิติศาสตร์",OR(U152="M2",U152="K4"),X152&gt;=2,W152&lt;Q152),EDATE(W152,12*2),AND(AI152="K5-LAW",AH152="นิติศาสตร์",U152="S1",X152&gt;=1,W152&lt;Q152),EDATE(W152,12),AND(AI152="K5-LAW",AH152="นิติศาสตร์",OR(U152="S2",U152="K5")),W152,AND(AI152="K5-LAW",AH152="นิติศาสตร์",OR(L152="M2",L152="K4"),R152&gt;=2),EDATE(Q152,12*2),AND(AI152="K5-LAW",AH152="นิติศาสตร์",L152="S1",R152&gt;=1),EDATE(Q152,12),AND(AI152="K5-LAW",AH152="นิติศาสตร์",OR(L152="S2",L152="K5")),Q152,AND(AI152="K5-POLICY",AH152&lt;&gt;"นิติศาสตร์",L152="S2",U152="",AA152=""),Q152,AND(AI152="K5-POLICY",AH152&lt;&gt;"นิติศาสตร์",L152="S1",U152="",AA152=""),EDATE(Q152,12),AND(AI152="K5-POLICY",AH152&lt;&gt;"นิติศาสตร์",OR(L152="M2",L152="K4"),U152="",AA152=""),EDATE(Q152,12*2),AND(AI152="K5-POLICY",AH152&lt;&gt;"นิติศาสตร์",OR(AA152="M2",AA152="K4"),AD152&gt;=2,OR(AC152&lt;W152,AC152&lt;Q152)),EDATE(AC152,12*2),AND(AI152="K5-POLICY",AH152&lt;&gt;"นิติศาสตร์",AA152="S1",AD152&gt;=1,OR(AC152&lt;W152,AC152&lt;Q152)),EDATE(AC152,12),AND(AI152="K5-POLICY",AH152&lt;&gt;"นิติศาสตร์",OR(U152="M2",U152="K4"),X152&gt;=2,W152&lt;Q152),EDATE(W152,12*2),AND(AI152="K5-POLICY",AH152&lt;&gt;"นิติศาสตร์",U152="S1",X152&gt;=1,W152&lt;Q152),EDATE(W152,12),AND(AI152="K5-POLICY",AH152&lt;&gt;"นิติศาสตร์",OR(U152="S2",U152="K5")),W152,AND(AI152="K5-POLICY",AH152&lt;&gt;"นิติศาสตร์",OR(L152="M2",L152="K4"),R152&gt;=2),EDATE(Q152,12*2),AND(AI152="K5-POLICY",AH152&lt;&gt;"นิติศาสตร์",L152="S1",R152&gt;=1),EDATE(Q152,12),AND(AI152="K5-POLICY",AH152&lt;&gt;"นิติศาสตร์",OR(L152="S2",L152="K5")),Q152,TRUE,"Check Data")</f>
        <v/>
      </c>
      <c r="AK152" s="75" t="str">
        <f t="shared" si="53"/>
        <v>Check Data</v>
      </c>
      <c r="AL152" s="76" t="str">
        <f t="shared" si="50"/>
        <v>Check Data</v>
      </c>
      <c r="AM152" s="50" t="str">
        <f t="shared" si="54"/>
        <v>Check Data</v>
      </c>
      <c r="AN152" s="49" t="str">
        <f>IF(B152="","",IF(L152="S1","S1",INDEX(#REF!,#REF!)))</f>
        <v/>
      </c>
      <c r="AO152" s="49" t="str">
        <f t="shared" si="55"/>
        <v>M2</v>
      </c>
      <c r="AP152" s="50" t="b">
        <f>L152=AN152</f>
        <v>0</v>
      </c>
      <c r="AQ152" s="50"/>
    </row>
    <row r="153" spans="1:43" ht="21.75">
      <c r="A153" s="49">
        <v>151</v>
      </c>
      <c r="B153" s="50"/>
      <c r="C153" s="50"/>
      <c r="D153" s="50" t="s">
        <v>143</v>
      </c>
      <c r="E153" s="50" t="e">
        <f>INDEX(#REF!,#REF!)</f>
        <v>#REF!</v>
      </c>
      <c r="F153" s="49" t="s">
        <v>353</v>
      </c>
      <c r="G153" s="49" t="str">
        <f t="shared" si="51"/>
        <v>28/07/2000</v>
      </c>
      <c r="H153" s="50">
        <f t="shared" si="47"/>
        <v>24</v>
      </c>
      <c r="I153" s="50">
        <f t="shared" si="48"/>
        <v>10</v>
      </c>
      <c r="J153" s="50">
        <f t="shared" si="49"/>
        <v>23</v>
      </c>
      <c r="K153" s="59"/>
      <c r="L153" s="49" t="s">
        <v>136</v>
      </c>
      <c r="M153" s="64"/>
      <c r="N153" s="49" t="s">
        <v>427</v>
      </c>
      <c r="O153" s="49">
        <v>2579</v>
      </c>
      <c r="P153" s="65" t="s">
        <v>294</v>
      </c>
      <c r="Q153" s="49" t="str">
        <f t="shared" si="52"/>
        <v>18/05/2023</v>
      </c>
      <c r="R153" s="68">
        <f>IF(Q153="",0,DATEDIF(Q153,$C$1,"Y"))</f>
        <v>2</v>
      </c>
      <c r="S153" s="68">
        <f>IF(Q153="",0,DATEDIF(Q153,$C$1,"YM"))</f>
        <v>1</v>
      </c>
      <c r="T153" s="68">
        <f>IF(Q153="",0,DATEDIF(Q153,$C$1,"MD"))</f>
        <v>2</v>
      </c>
      <c r="U153" s="65"/>
      <c r="V153" s="65"/>
      <c r="W153" s="49" t="str">
        <f t="shared" si="56"/>
        <v/>
      </c>
      <c r="X153" s="68">
        <f>IF(W153="",0,DATEDIF(W153,Q153,"Y"))</f>
        <v>0</v>
      </c>
      <c r="Y153" s="68">
        <f>IF(W153="",0,DATEDIF(W153,Q153,"YM"))</f>
        <v>0</v>
      </c>
      <c r="Z153" s="68">
        <f>IF(W153="",0,DATEDIF(W153,Q153,"MD"))</f>
        <v>0</v>
      </c>
      <c r="AA153" s="49"/>
      <c r="AB153" s="65"/>
      <c r="AC153" s="50" t="str">
        <f t="shared" si="57"/>
        <v/>
      </c>
      <c r="AD153" s="68">
        <f t="shared" si="58"/>
        <v>0</v>
      </c>
      <c r="AE153" s="68">
        <f t="shared" si="59"/>
        <v>0</v>
      </c>
      <c r="AF153" s="68">
        <f t="shared" si="60"/>
        <v>0</v>
      </c>
      <c r="AG153" s="50"/>
      <c r="AH153" s="108" t="s">
        <v>486</v>
      </c>
      <c r="AI153" s="49" t="str">
        <f>IF(AH153="นิติศาสตร์","K5-LAW","K5-POLICY")</f>
        <v>K5-POLICY</v>
      </c>
      <c r="AJ153" s="72" t="str">
        <f>_xlfn.IFS(B153="","",AND(AI153="K5-LAW",AH153="นิติศาสตร์",L153="S2",U153="",AA153=""),Q153,AND(AI153="K5-LAW",AH153="นิติศาสตร์",L153="S1",U153="",AA153=""),EDATE(Q153,12),AND(AI153="K5-LAW",AH153="นิติศาสตร์",OR(L153="M2",L153="K4"),U153="",AA153=""),EDATE(Q153,12*2),AND(AI153="K5-LAW",AH153="นิติศาสตร์",OR(AA153="M2",AA153="K4"),AD153&gt;=2,OR(AC153&lt;W153,AC153&lt;Q153)),EDATE(AC153,12*2),AND(AI153="K5-LAW",AH153="นิติศาสตร์",AA153="S1",AD153&gt;=1,OR(AC153&lt;W153,AC153&lt;Q153)),EDATE(AC153,12),AND(AI153="K5-LAW",AH153="นิติศาสตร์",OR(U153="M2",U153="K4"),X153&gt;=2,W153&lt;Q153),EDATE(W153,12*2),AND(AI153="K5-LAW",AH153="นิติศาสตร์",U153="S1",X153&gt;=1,W153&lt;Q153),EDATE(W153,12),AND(AI153="K5-LAW",AH153="นิติศาสตร์",OR(U153="S2",U153="K5")),W153,AND(AI153="K5-LAW",AH153="นิติศาสตร์",OR(L153="M2",L153="K4"),R153&gt;=2),EDATE(Q153,12*2),AND(AI153="K5-LAW",AH153="นิติศาสตร์",L153="S1",R153&gt;=1),EDATE(Q153,12),AND(AI153="K5-LAW",AH153="นิติศาสตร์",OR(L153="S2",L153="K5")),Q153,AND(AI153="K5-POLICY",AH153&lt;&gt;"นิติศาสตร์",L153="S2",U153="",AA153=""),Q153,AND(AI153="K5-POLICY",AH153&lt;&gt;"นิติศาสตร์",L153="S1",U153="",AA153=""),EDATE(Q153,12),AND(AI153="K5-POLICY",AH153&lt;&gt;"นิติศาสตร์",OR(L153="M2",L153="K4"),U153="",AA153=""),EDATE(Q153,12*2),AND(AI153="K5-POLICY",AH153&lt;&gt;"นิติศาสตร์",OR(AA153="M2",AA153="K4"),AD153&gt;=2,OR(AC153&lt;W153,AC153&lt;Q153)),EDATE(AC153,12*2),AND(AI153="K5-POLICY",AH153&lt;&gt;"นิติศาสตร์",AA153="S1",AD153&gt;=1,OR(AC153&lt;W153,AC153&lt;Q153)),EDATE(AC153,12),AND(AI153="K5-POLICY",AH153&lt;&gt;"นิติศาสตร์",OR(U153="M2",U153="K4"),X153&gt;=2,W153&lt;Q153),EDATE(W153,12*2),AND(AI153="K5-POLICY",AH153&lt;&gt;"นิติศาสตร์",U153="S1",X153&gt;=1,W153&lt;Q153),EDATE(W153,12),AND(AI153="K5-POLICY",AH153&lt;&gt;"นิติศาสตร์",OR(U153="S2",U153="K5")),W153,AND(AI153="K5-POLICY",AH153&lt;&gt;"นิติศาสตร์",OR(L153="M2",L153="K4"),R153&gt;=2),EDATE(Q153,12*2),AND(AI153="K5-POLICY",AH153&lt;&gt;"นิติศาสตร์",L153="S1",R153&gt;=1),EDATE(Q153,12),AND(AI153="K5-POLICY",AH153&lt;&gt;"นิติศาสตร์",OR(L153="S2",L153="K5")),Q153,TRUE,"Check Data")</f>
        <v/>
      </c>
      <c r="AK153" s="75" t="str">
        <f t="shared" si="53"/>
        <v>Check Data</v>
      </c>
      <c r="AL153" s="76" t="str">
        <f t="shared" si="50"/>
        <v>Check Data</v>
      </c>
      <c r="AM153" s="50" t="str">
        <f t="shared" si="54"/>
        <v>Check Data</v>
      </c>
      <c r="AN153" s="49" t="str">
        <f>IF(B153="","",IF(L153="S1","S1",INDEX(#REF!,#REF!)))</f>
        <v/>
      </c>
      <c r="AO153" s="49" t="str">
        <f t="shared" si="55"/>
        <v>M2</v>
      </c>
      <c r="AP153" s="50" t="b">
        <f>L153=AN153</f>
        <v>0</v>
      </c>
      <c r="AQ153" s="50"/>
    </row>
    <row r="154" spans="1:43" ht="21.75">
      <c r="A154" s="49">
        <v>152</v>
      </c>
      <c r="B154" s="50"/>
      <c r="C154" s="50"/>
      <c r="D154" s="50" t="s">
        <v>143</v>
      </c>
      <c r="E154" s="50" t="e">
        <f>INDEX(#REF!,#REF!)</f>
        <v>#REF!</v>
      </c>
      <c r="F154" s="49" t="s">
        <v>251</v>
      </c>
      <c r="G154" s="49" t="str">
        <f t="shared" si="51"/>
        <v>15/08/1997</v>
      </c>
      <c r="H154" s="50">
        <f t="shared" si="47"/>
        <v>27</v>
      </c>
      <c r="I154" s="50">
        <f t="shared" si="48"/>
        <v>10</v>
      </c>
      <c r="J154" s="50">
        <f t="shared" si="49"/>
        <v>5</v>
      </c>
      <c r="K154" s="59"/>
      <c r="L154" s="49" t="s">
        <v>136</v>
      </c>
      <c r="M154" s="64"/>
      <c r="N154" s="49" t="s">
        <v>426</v>
      </c>
      <c r="O154" s="49">
        <v>2573</v>
      </c>
      <c r="P154" s="65" t="s">
        <v>294</v>
      </c>
      <c r="Q154" s="49" t="str">
        <f t="shared" si="52"/>
        <v>18/05/2023</v>
      </c>
      <c r="R154" s="68">
        <f>IF(Q154="",0,DATEDIF(Q154,$C$1,"Y"))</f>
        <v>2</v>
      </c>
      <c r="S154" s="68">
        <f>IF(Q154="",0,DATEDIF(Q154,$C$1,"YM"))</f>
        <v>1</v>
      </c>
      <c r="T154" s="68">
        <f>IF(Q154="",0,DATEDIF(Q154,$C$1,"MD"))</f>
        <v>2</v>
      </c>
      <c r="U154" s="65"/>
      <c r="V154" s="65"/>
      <c r="W154" s="49" t="str">
        <f t="shared" si="56"/>
        <v/>
      </c>
      <c r="X154" s="68">
        <f>IF(W154="",0,DATEDIF(W154,Q154,"Y"))</f>
        <v>0</v>
      </c>
      <c r="Y154" s="68">
        <f>IF(W154="",0,DATEDIF(W154,Q154,"YM"))</f>
        <v>0</v>
      </c>
      <c r="Z154" s="68">
        <f>IF(W154="",0,DATEDIF(W154,Q154,"MD"))</f>
        <v>0</v>
      </c>
      <c r="AA154" s="49"/>
      <c r="AB154" s="65"/>
      <c r="AC154" s="50" t="str">
        <f t="shared" si="57"/>
        <v/>
      </c>
      <c r="AD154" s="68">
        <f t="shared" si="58"/>
        <v>0</v>
      </c>
      <c r="AE154" s="68">
        <f t="shared" si="59"/>
        <v>0</v>
      </c>
      <c r="AF154" s="68">
        <f t="shared" si="60"/>
        <v>0</v>
      </c>
      <c r="AG154" s="50"/>
      <c r="AH154" s="108" t="s">
        <v>163</v>
      </c>
      <c r="AI154" s="49" t="str">
        <f>IF(AH154="นิติศาสตร์","K5-LAW","K5-POLICY")</f>
        <v>K5-POLICY</v>
      </c>
      <c r="AJ154" s="72" t="str">
        <f>_xlfn.IFS(B154="","",AND(AI154="K5-LAW",AH154="นิติศาสตร์",L154="S2",U154="",AA154=""),Q154,AND(AI154="K5-LAW",AH154="นิติศาสตร์",L154="S1",U154="",AA154=""),EDATE(Q154,12),AND(AI154="K5-LAW",AH154="นิติศาสตร์",OR(L154="M2",L154="K4"),U154="",AA154=""),EDATE(Q154,12*2),AND(AI154="K5-LAW",AH154="นิติศาสตร์",OR(AA154="M2",AA154="K4"),AD154&gt;=2,OR(AC154&lt;W154,AC154&lt;Q154)),EDATE(AC154,12*2),AND(AI154="K5-LAW",AH154="นิติศาสตร์",AA154="S1",AD154&gt;=1,OR(AC154&lt;W154,AC154&lt;Q154)),EDATE(AC154,12),AND(AI154="K5-LAW",AH154="นิติศาสตร์",OR(U154="M2",U154="K4"),X154&gt;=2,W154&lt;Q154),EDATE(W154,12*2),AND(AI154="K5-LAW",AH154="นิติศาสตร์",U154="S1",X154&gt;=1,W154&lt;Q154),EDATE(W154,12),AND(AI154="K5-LAW",AH154="นิติศาสตร์",OR(U154="S2",U154="K5")),W154,AND(AI154="K5-LAW",AH154="นิติศาสตร์",OR(L154="M2",L154="K4"),R154&gt;=2),EDATE(Q154,12*2),AND(AI154="K5-LAW",AH154="นิติศาสตร์",L154="S1",R154&gt;=1),EDATE(Q154,12),AND(AI154="K5-LAW",AH154="นิติศาสตร์",OR(L154="S2",L154="K5")),Q154,AND(AI154="K5-POLICY",AH154&lt;&gt;"นิติศาสตร์",L154="S2",U154="",AA154=""),Q154,AND(AI154="K5-POLICY",AH154&lt;&gt;"นิติศาสตร์",L154="S1",U154="",AA154=""),EDATE(Q154,12),AND(AI154="K5-POLICY",AH154&lt;&gt;"นิติศาสตร์",OR(L154="M2",L154="K4"),U154="",AA154=""),EDATE(Q154,12*2),AND(AI154="K5-POLICY",AH154&lt;&gt;"นิติศาสตร์",OR(AA154="M2",AA154="K4"),AD154&gt;=2,OR(AC154&lt;W154,AC154&lt;Q154)),EDATE(AC154,12*2),AND(AI154="K5-POLICY",AH154&lt;&gt;"นิติศาสตร์",AA154="S1",AD154&gt;=1,OR(AC154&lt;W154,AC154&lt;Q154)),EDATE(AC154,12),AND(AI154="K5-POLICY",AH154&lt;&gt;"นิติศาสตร์",OR(U154="M2",U154="K4"),X154&gt;=2,W154&lt;Q154),EDATE(W154,12*2),AND(AI154="K5-POLICY",AH154&lt;&gt;"นิติศาสตร์",U154="S1",X154&gt;=1,W154&lt;Q154),EDATE(W154,12),AND(AI154="K5-POLICY",AH154&lt;&gt;"นิติศาสตร์",OR(U154="S2",U154="K5")),W154,AND(AI154="K5-POLICY",AH154&lt;&gt;"นิติศาสตร์",OR(L154="M2",L154="K4"),R154&gt;=2),EDATE(Q154,12*2),AND(AI154="K5-POLICY",AH154&lt;&gt;"นิติศาสตร์",L154="S1",R154&gt;=1),EDATE(Q154,12),AND(AI154="K5-POLICY",AH154&lt;&gt;"นิติศาสตร์",OR(L154="S2",L154="K5")),Q154,TRUE,"Check Data")</f>
        <v/>
      </c>
      <c r="AK154" s="75" t="str">
        <f t="shared" si="53"/>
        <v>Check Data</v>
      </c>
      <c r="AL154" s="76" t="str">
        <f t="shared" si="50"/>
        <v>Check Data</v>
      </c>
      <c r="AM154" s="50" t="str">
        <f t="shared" si="54"/>
        <v>Check Data</v>
      </c>
      <c r="AN154" s="49" t="str">
        <f>IF(B154="","",IF(L154="S1","S1",INDEX(#REF!,#REF!)))</f>
        <v/>
      </c>
      <c r="AO154" s="49" t="str">
        <f t="shared" si="55"/>
        <v>M2</v>
      </c>
      <c r="AP154" s="50" t="b">
        <f>L154=AN154</f>
        <v>0</v>
      </c>
      <c r="AQ154" s="50"/>
    </row>
    <row r="155" spans="1:43" ht="21.75">
      <c r="A155" s="49">
        <v>153</v>
      </c>
      <c r="B155" s="50"/>
      <c r="C155" s="50"/>
      <c r="D155" s="50" t="s">
        <v>143</v>
      </c>
      <c r="E155" s="50" t="e">
        <f>INDEX(#REF!,#REF!)</f>
        <v>#REF!</v>
      </c>
      <c r="F155" s="49" t="s">
        <v>293</v>
      </c>
      <c r="G155" s="49" t="str">
        <f t="shared" si="51"/>
        <v>01/11/2000</v>
      </c>
      <c r="H155" s="50">
        <f t="shared" si="47"/>
        <v>24</v>
      </c>
      <c r="I155" s="50">
        <f t="shared" si="48"/>
        <v>7</v>
      </c>
      <c r="J155" s="50">
        <f t="shared" si="49"/>
        <v>19</v>
      </c>
      <c r="K155" s="59"/>
      <c r="L155" s="49" t="s">
        <v>136</v>
      </c>
      <c r="M155" s="64"/>
      <c r="N155" s="49" t="s">
        <v>427</v>
      </c>
      <c r="O155" s="49">
        <v>2580</v>
      </c>
      <c r="P155" s="65" t="s">
        <v>294</v>
      </c>
      <c r="Q155" s="49" t="str">
        <f t="shared" si="52"/>
        <v>18/05/2023</v>
      </c>
      <c r="R155" s="68">
        <f>IF(Q155="",0,DATEDIF(Q155,$C$1,"Y"))</f>
        <v>2</v>
      </c>
      <c r="S155" s="68">
        <f>IF(Q155="",0,DATEDIF(Q155,$C$1,"YM"))</f>
        <v>1</v>
      </c>
      <c r="T155" s="68">
        <f>IF(Q155="",0,DATEDIF(Q155,$C$1,"MD"))</f>
        <v>2</v>
      </c>
      <c r="U155" s="65"/>
      <c r="V155" s="65"/>
      <c r="W155" s="49" t="str">
        <f t="shared" si="56"/>
        <v/>
      </c>
      <c r="X155" s="68">
        <f>IF(W155="",0,DATEDIF(W155,Q155,"Y"))</f>
        <v>0</v>
      </c>
      <c r="Y155" s="68">
        <f>IF(W155="",0,DATEDIF(W155,Q155,"YM"))</f>
        <v>0</v>
      </c>
      <c r="Z155" s="68">
        <f>IF(W155="",0,DATEDIF(W155,Q155,"MD"))</f>
        <v>0</v>
      </c>
      <c r="AA155" s="49"/>
      <c r="AB155" s="65"/>
      <c r="AC155" s="50" t="str">
        <f t="shared" si="57"/>
        <v/>
      </c>
      <c r="AD155" s="68">
        <f t="shared" si="58"/>
        <v>0</v>
      </c>
      <c r="AE155" s="68">
        <f t="shared" si="59"/>
        <v>0</v>
      </c>
      <c r="AF155" s="68">
        <f t="shared" si="60"/>
        <v>0</v>
      </c>
      <c r="AG155" s="50"/>
      <c r="AH155" s="108" t="s">
        <v>520</v>
      </c>
      <c r="AI155" s="49" t="str">
        <f>IF(AH155="นิติศาสตร์","K5-LAW","K5-POLICY")</f>
        <v>K5-POLICY</v>
      </c>
      <c r="AJ155" s="72" t="str">
        <f>_xlfn.IFS(B155="","",AND(AI155="K5-LAW",AH155="นิติศาสตร์",L155="S2",U155="",AA155=""),Q155,AND(AI155="K5-LAW",AH155="นิติศาสตร์",L155="S1",U155="",AA155=""),EDATE(Q155,12),AND(AI155="K5-LAW",AH155="นิติศาสตร์",OR(L155="M2",L155="K4"),U155="",AA155=""),EDATE(Q155,12*2),AND(AI155="K5-LAW",AH155="นิติศาสตร์",OR(AA155="M2",AA155="K4"),AD155&gt;=2,OR(AC155&lt;W155,AC155&lt;Q155)),EDATE(AC155,12*2),AND(AI155="K5-LAW",AH155="นิติศาสตร์",AA155="S1",AD155&gt;=1,OR(AC155&lt;W155,AC155&lt;Q155)),EDATE(AC155,12),AND(AI155="K5-LAW",AH155="นิติศาสตร์",OR(U155="M2",U155="K4"),X155&gt;=2,W155&lt;Q155),EDATE(W155,12*2),AND(AI155="K5-LAW",AH155="นิติศาสตร์",U155="S1",X155&gt;=1,W155&lt;Q155),EDATE(W155,12),AND(AI155="K5-LAW",AH155="นิติศาสตร์",OR(U155="S2",U155="K5")),W155,AND(AI155="K5-LAW",AH155="นิติศาสตร์",OR(L155="M2",L155="K4"),R155&gt;=2),EDATE(Q155,12*2),AND(AI155="K5-LAW",AH155="นิติศาสตร์",L155="S1",R155&gt;=1),EDATE(Q155,12),AND(AI155="K5-LAW",AH155="นิติศาสตร์",OR(L155="S2",L155="K5")),Q155,AND(AI155="K5-POLICY",AH155&lt;&gt;"นิติศาสตร์",L155="S2",U155="",AA155=""),Q155,AND(AI155="K5-POLICY",AH155&lt;&gt;"นิติศาสตร์",L155="S1",U155="",AA155=""),EDATE(Q155,12),AND(AI155="K5-POLICY",AH155&lt;&gt;"นิติศาสตร์",OR(L155="M2",L155="K4"),U155="",AA155=""),EDATE(Q155,12*2),AND(AI155="K5-POLICY",AH155&lt;&gt;"นิติศาสตร์",OR(AA155="M2",AA155="K4"),AD155&gt;=2,OR(AC155&lt;W155,AC155&lt;Q155)),EDATE(AC155,12*2),AND(AI155="K5-POLICY",AH155&lt;&gt;"นิติศาสตร์",AA155="S1",AD155&gt;=1,OR(AC155&lt;W155,AC155&lt;Q155)),EDATE(AC155,12),AND(AI155="K5-POLICY",AH155&lt;&gt;"นิติศาสตร์",OR(U155="M2",U155="K4"),X155&gt;=2,W155&lt;Q155),EDATE(W155,12*2),AND(AI155="K5-POLICY",AH155&lt;&gt;"นิติศาสตร์",U155="S1",X155&gt;=1,W155&lt;Q155),EDATE(W155,12),AND(AI155="K5-POLICY",AH155&lt;&gt;"นิติศาสตร์",OR(U155="S2",U155="K5")),W155,AND(AI155="K5-POLICY",AH155&lt;&gt;"นิติศาสตร์",OR(L155="M2",L155="K4"),R155&gt;=2),EDATE(Q155,12*2),AND(AI155="K5-POLICY",AH155&lt;&gt;"นิติศาสตร์",L155="S1",R155&gt;=1),EDATE(Q155,12),AND(AI155="K5-POLICY",AH155&lt;&gt;"นิติศาสตร์",OR(L155="S2",L155="K5")),Q155,TRUE,"Check Data")</f>
        <v/>
      </c>
      <c r="AK155" s="75" t="str">
        <f t="shared" si="53"/>
        <v>Check Data</v>
      </c>
      <c r="AL155" s="76" t="str">
        <f t="shared" si="50"/>
        <v>Check Data</v>
      </c>
      <c r="AM155" s="50" t="str">
        <f t="shared" si="54"/>
        <v>Check Data</v>
      </c>
      <c r="AN155" s="49" t="str">
        <f>IF(B155="","",IF(L155="S1","S1",INDEX(#REF!,#REF!)))</f>
        <v/>
      </c>
      <c r="AO155" s="49" t="str">
        <f t="shared" si="55"/>
        <v>M2</v>
      </c>
      <c r="AP155" s="50" t="b">
        <f>L155=AN155</f>
        <v>0</v>
      </c>
      <c r="AQ155" s="50"/>
    </row>
    <row r="156" spans="1:43" ht="21.75">
      <c r="A156" s="49">
        <v>154</v>
      </c>
      <c r="B156" s="50"/>
      <c r="C156" s="50"/>
      <c r="D156" s="50" t="s">
        <v>143</v>
      </c>
      <c r="E156" s="50" t="e">
        <f>INDEX(#REF!,#REF!)</f>
        <v>#REF!</v>
      </c>
      <c r="F156" s="49" t="s">
        <v>366</v>
      </c>
      <c r="G156" s="49" t="str">
        <f t="shared" si="51"/>
        <v>01/12/2004</v>
      </c>
      <c r="H156" s="50">
        <f t="shared" si="47"/>
        <v>20</v>
      </c>
      <c r="I156" s="50">
        <f t="shared" si="48"/>
        <v>6</v>
      </c>
      <c r="J156" s="50">
        <f t="shared" si="49"/>
        <v>19</v>
      </c>
      <c r="K156" s="59"/>
      <c r="L156" s="49" t="s">
        <v>136</v>
      </c>
      <c r="M156" s="64"/>
      <c r="N156" s="49" t="s">
        <v>427</v>
      </c>
      <c r="O156" s="49">
        <v>2580</v>
      </c>
      <c r="P156" s="65" t="s">
        <v>294</v>
      </c>
      <c r="Q156" s="49" t="str">
        <f t="shared" si="52"/>
        <v>18/05/2023</v>
      </c>
      <c r="R156" s="68">
        <f>IF(Q156="",0,DATEDIF(Q156,$C$1,"Y"))</f>
        <v>2</v>
      </c>
      <c r="S156" s="68">
        <f>IF(Q156="",0,DATEDIF(Q156,$C$1,"YM"))</f>
        <v>1</v>
      </c>
      <c r="T156" s="68">
        <f>IF(Q156="",0,DATEDIF(Q156,$C$1,"MD"))</f>
        <v>2</v>
      </c>
      <c r="U156" s="65"/>
      <c r="V156" s="65"/>
      <c r="W156" s="49" t="str">
        <f t="shared" si="56"/>
        <v/>
      </c>
      <c r="X156" s="68">
        <f>IF(W156="",0,DATEDIF(W156,Q156,"Y"))</f>
        <v>0</v>
      </c>
      <c r="Y156" s="68">
        <f>IF(W156="",0,DATEDIF(W156,Q156,"YM"))</f>
        <v>0</v>
      </c>
      <c r="Z156" s="68">
        <f>IF(W156="",0,DATEDIF(W156,Q156,"MD"))</f>
        <v>0</v>
      </c>
      <c r="AA156" s="49"/>
      <c r="AB156" s="65"/>
      <c r="AC156" s="50" t="str">
        <f t="shared" si="57"/>
        <v/>
      </c>
      <c r="AD156" s="68">
        <f t="shared" si="58"/>
        <v>0</v>
      </c>
      <c r="AE156" s="68">
        <f t="shared" si="59"/>
        <v>0</v>
      </c>
      <c r="AF156" s="68">
        <f t="shared" si="60"/>
        <v>0</v>
      </c>
      <c r="AG156" s="50"/>
      <c r="AH156" s="108" t="s">
        <v>512</v>
      </c>
      <c r="AI156" s="49" t="str">
        <f>IF(AH156="นิติศาสตร์","K5-LAW","K5-POLICY")</f>
        <v>K5-POLICY</v>
      </c>
      <c r="AJ156" s="72" t="str">
        <f>_xlfn.IFS(B156="","",AND(AI156="K5-LAW",AH156="นิติศาสตร์",L156="S2",U156="",AA156=""),Q156,AND(AI156="K5-LAW",AH156="นิติศาสตร์",L156="S1",U156="",AA156=""),EDATE(Q156,12),AND(AI156="K5-LAW",AH156="นิติศาสตร์",OR(L156="M2",L156="K4"),U156="",AA156=""),EDATE(Q156,12*2),AND(AI156="K5-LAW",AH156="นิติศาสตร์",OR(AA156="M2",AA156="K4"),AD156&gt;=2,OR(AC156&lt;W156,AC156&lt;Q156)),EDATE(AC156,12*2),AND(AI156="K5-LAW",AH156="นิติศาสตร์",AA156="S1",AD156&gt;=1,OR(AC156&lt;W156,AC156&lt;Q156)),EDATE(AC156,12),AND(AI156="K5-LAW",AH156="นิติศาสตร์",OR(U156="M2",U156="K4"),X156&gt;=2,W156&lt;Q156),EDATE(W156,12*2),AND(AI156="K5-LAW",AH156="นิติศาสตร์",U156="S1",X156&gt;=1,W156&lt;Q156),EDATE(W156,12),AND(AI156="K5-LAW",AH156="นิติศาสตร์",OR(U156="S2",U156="K5")),W156,AND(AI156="K5-LAW",AH156="นิติศาสตร์",OR(L156="M2",L156="K4"),R156&gt;=2),EDATE(Q156,12*2),AND(AI156="K5-LAW",AH156="นิติศาสตร์",L156="S1",R156&gt;=1),EDATE(Q156,12),AND(AI156="K5-LAW",AH156="นิติศาสตร์",OR(L156="S2",L156="K5")),Q156,AND(AI156="K5-POLICY",AH156&lt;&gt;"นิติศาสตร์",L156="S2",U156="",AA156=""),Q156,AND(AI156="K5-POLICY",AH156&lt;&gt;"นิติศาสตร์",L156="S1",U156="",AA156=""),EDATE(Q156,12),AND(AI156="K5-POLICY",AH156&lt;&gt;"นิติศาสตร์",OR(L156="M2",L156="K4"),U156="",AA156=""),EDATE(Q156,12*2),AND(AI156="K5-POLICY",AH156&lt;&gt;"นิติศาสตร์",OR(AA156="M2",AA156="K4"),AD156&gt;=2,OR(AC156&lt;W156,AC156&lt;Q156)),EDATE(AC156,12*2),AND(AI156="K5-POLICY",AH156&lt;&gt;"นิติศาสตร์",AA156="S1",AD156&gt;=1,OR(AC156&lt;W156,AC156&lt;Q156)),EDATE(AC156,12),AND(AI156="K5-POLICY",AH156&lt;&gt;"นิติศาสตร์",OR(U156="M2",U156="K4"),X156&gt;=2,W156&lt;Q156),EDATE(W156,12*2),AND(AI156="K5-POLICY",AH156&lt;&gt;"นิติศาสตร์",U156="S1",X156&gt;=1,W156&lt;Q156),EDATE(W156,12),AND(AI156="K5-POLICY",AH156&lt;&gt;"นิติศาสตร์",OR(U156="S2",U156="K5")),W156,AND(AI156="K5-POLICY",AH156&lt;&gt;"นิติศาสตร์",OR(L156="M2",L156="K4"),R156&gt;=2),EDATE(Q156,12*2),AND(AI156="K5-POLICY",AH156&lt;&gt;"นิติศาสตร์",L156="S1",R156&gt;=1),EDATE(Q156,12),AND(AI156="K5-POLICY",AH156&lt;&gt;"นิติศาสตร์",OR(L156="S2",L156="K5")),Q156,TRUE,"Check Data")</f>
        <v/>
      </c>
      <c r="AK156" s="75" t="str">
        <f t="shared" si="53"/>
        <v>Check Data</v>
      </c>
      <c r="AL156" s="76" t="str">
        <f t="shared" si="50"/>
        <v>Check Data</v>
      </c>
      <c r="AM156" s="50" t="str">
        <f t="shared" si="54"/>
        <v>Check Data</v>
      </c>
      <c r="AN156" s="49" t="str">
        <f>IF(B156="","",IF(L156="S1","S1",INDEX(#REF!,#REF!)))</f>
        <v/>
      </c>
      <c r="AO156" s="49" t="str">
        <f t="shared" si="55"/>
        <v>M2</v>
      </c>
      <c r="AP156" s="50" t="b">
        <f>L156=AN156</f>
        <v>0</v>
      </c>
      <c r="AQ156" s="50"/>
    </row>
    <row r="157" spans="1:43" ht="21.75">
      <c r="A157" s="49">
        <v>155</v>
      </c>
      <c r="B157" s="50"/>
      <c r="C157" s="50"/>
      <c r="D157" s="50" t="s">
        <v>143</v>
      </c>
      <c r="E157" s="50" t="e">
        <f>INDEX(#REF!,#REF!)</f>
        <v>#REF!</v>
      </c>
      <c r="F157" s="49" t="s">
        <v>344</v>
      </c>
      <c r="G157" s="49" t="str">
        <f t="shared" si="51"/>
        <v>15/08/2001</v>
      </c>
      <c r="H157" s="50">
        <f t="shared" si="47"/>
        <v>23</v>
      </c>
      <c r="I157" s="50">
        <f t="shared" si="48"/>
        <v>10</v>
      </c>
      <c r="J157" s="50">
        <f t="shared" si="49"/>
        <v>5</v>
      </c>
      <c r="K157" s="59"/>
      <c r="L157" s="49" t="s">
        <v>136</v>
      </c>
      <c r="M157" s="64"/>
      <c r="N157" s="49" t="s">
        <v>427</v>
      </c>
      <c r="O157" s="49">
        <v>2578</v>
      </c>
      <c r="P157" s="65" t="s">
        <v>294</v>
      </c>
      <c r="Q157" s="49" t="str">
        <f t="shared" si="52"/>
        <v>18/05/2023</v>
      </c>
      <c r="R157" s="68">
        <f>IF(Q157="",0,DATEDIF(Q157,$C$1,"Y"))</f>
        <v>2</v>
      </c>
      <c r="S157" s="68">
        <f>IF(Q157="",0,DATEDIF(Q157,$C$1,"YM"))</f>
        <v>1</v>
      </c>
      <c r="T157" s="68">
        <f>IF(Q157="",0,DATEDIF(Q157,$C$1,"MD"))</f>
        <v>2</v>
      </c>
      <c r="U157" s="65"/>
      <c r="V157" s="65"/>
      <c r="W157" s="49" t="str">
        <f t="shared" si="56"/>
        <v/>
      </c>
      <c r="X157" s="68">
        <f>IF(W157="",0,DATEDIF(W157,Q157,"Y"))</f>
        <v>0</v>
      </c>
      <c r="Y157" s="68">
        <f>IF(W157="",0,DATEDIF(W157,Q157,"YM"))</f>
        <v>0</v>
      </c>
      <c r="Z157" s="68">
        <f>IF(W157="",0,DATEDIF(W157,Q157,"MD"))</f>
        <v>0</v>
      </c>
      <c r="AA157" s="49"/>
      <c r="AB157" s="65"/>
      <c r="AC157" s="50" t="str">
        <f t="shared" si="57"/>
        <v/>
      </c>
      <c r="AD157" s="68">
        <f t="shared" si="58"/>
        <v>0</v>
      </c>
      <c r="AE157" s="68">
        <f t="shared" si="59"/>
        <v>0</v>
      </c>
      <c r="AF157" s="68">
        <f t="shared" si="60"/>
        <v>0</v>
      </c>
      <c r="AG157" s="50"/>
      <c r="AH157" s="108" t="s">
        <v>138</v>
      </c>
      <c r="AI157" s="49" t="str">
        <f>IF(AH157="นิติศาสตร์","K5-LAW","K5-POLICY")</f>
        <v>K5-LAW</v>
      </c>
      <c r="AJ157" s="72" t="str">
        <f>_xlfn.IFS(B157="","",AND(AI157="K5-LAW",AH157="นิติศาสตร์",L157="S2",U157="",AA157=""),Q157,AND(AI157="K5-LAW",AH157="นิติศาสตร์",L157="S1",U157="",AA157=""),EDATE(Q157,12),AND(AI157="K5-LAW",AH157="นิติศาสตร์",OR(L157="M2",L157="K4"),U157="",AA157=""),EDATE(Q157,12*2),AND(AI157="K5-LAW",AH157="นิติศาสตร์",OR(AA157="M2",AA157="K4"),AD157&gt;=2,OR(AC157&lt;W157,AC157&lt;Q157)),EDATE(AC157,12*2),AND(AI157="K5-LAW",AH157="นิติศาสตร์",AA157="S1",AD157&gt;=1,OR(AC157&lt;W157,AC157&lt;Q157)),EDATE(AC157,12),AND(AI157="K5-LAW",AH157="นิติศาสตร์",OR(U157="M2",U157="K4"),X157&gt;=2,W157&lt;Q157),EDATE(W157,12*2),AND(AI157="K5-LAW",AH157="นิติศาสตร์",U157="S1",X157&gt;=1,W157&lt;Q157),EDATE(W157,12),AND(AI157="K5-LAW",AH157="นิติศาสตร์",OR(U157="S2",U157="K5")),W157,AND(AI157="K5-LAW",AH157="นิติศาสตร์",OR(L157="M2",L157="K4"),R157&gt;=2),EDATE(Q157,12*2),AND(AI157="K5-LAW",AH157="นิติศาสตร์",L157="S1",R157&gt;=1),EDATE(Q157,12),AND(AI157="K5-LAW",AH157="นิติศาสตร์",OR(L157="S2",L157="K5")),Q157,AND(AI157="K5-POLICY",AH157&lt;&gt;"นิติศาสตร์",L157="S2",U157="",AA157=""),Q157,AND(AI157="K5-POLICY",AH157&lt;&gt;"นิติศาสตร์",L157="S1",U157="",AA157=""),EDATE(Q157,12),AND(AI157="K5-POLICY",AH157&lt;&gt;"นิติศาสตร์",OR(L157="M2",L157="K4"),U157="",AA157=""),EDATE(Q157,12*2),AND(AI157="K5-POLICY",AH157&lt;&gt;"นิติศาสตร์",OR(AA157="M2",AA157="K4"),AD157&gt;=2,OR(AC157&lt;W157,AC157&lt;Q157)),EDATE(AC157,12*2),AND(AI157="K5-POLICY",AH157&lt;&gt;"นิติศาสตร์",AA157="S1",AD157&gt;=1,OR(AC157&lt;W157,AC157&lt;Q157)),EDATE(AC157,12),AND(AI157="K5-POLICY",AH157&lt;&gt;"นิติศาสตร์",OR(U157="M2",U157="K4"),X157&gt;=2,W157&lt;Q157),EDATE(W157,12*2),AND(AI157="K5-POLICY",AH157&lt;&gt;"นิติศาสตร์",U157="S1",X157&gt;=1,W157&lt;Q157),EDATE(W157,12),AND(AI157="K5-POLICY",AH157&lt;&gt;"นิติศาสตร์",OR(U157="S2",U157="K5")),W157,AND(AI157="K5-POLICY",AH157&lt;&gt;"นิติศาสตร์",OR(L157="M2",L157="K4"),R157&gt;=2),EDATE(Q157,12*2),AND(AI157="K5-POLICY",AH157&lt;&gt;"นิติศาสตร์",L157="S1",R157&gt;=1),EDATE(Q157,12),AND(AI157="K5-POLICY",AH157&lt;&gt;"นิติศาสตร์",OR(L157="S2",L157="K5")),Q157,TRUE,"Check Data")</f>
        <v/>
      </c>
      <c r="AK157" s="75" t="str">
        <f t="shared" si="53"/>
        <v>Check Data</v>
      </c>
      <c r="AL157" s="76" t="str">
        <f t="shared" si="50"/>
        <v>Check Data</v>
      </c>
      <c r="AM157" s="50" t="str">
        <f t="shared" si="54"/>
        <v>Check Data</v>
      </c>
      <c r="AN157" s="49" t="str">
        <f>IF(B157="","",IF(L157="S1","S1",INDEX(#REF!,#REF!)))</f>
        <v/>
      </c>
      <c r="AO157" s="49" t="str">
        <f t="shared" si="55"/>
        <v>M2</v>
      </c>
      <c r="AP157" s="50" t="b">
        <f>L157=AN157</f>
        <v>0</v>
      </c>
      <c r="AQ157" s="50"/>
    </row>
    <row r="158" spans="1:43" ht="21.75">
      <c r="A158" s="49">
        <v>156</v>
      </c>
      <c r="B158" s="50"/>
      <c r="C158" s="50"/>
      <c r="D158" s="50" t="s">
        <v>143</v>
      </c>
      <c r="E158" s="50" t="e">
        <f>INDEX(#REF!,#REF!)</f>
        <v>#REF!</v>
      </c>
      <c r="F158" s="49" t="s">
        <v>369</v>
      </c>
      <c r="G158" s="49" t="str">
        <f t="shared" si="51"/>
        <v>07/04/1998</v>
      </c>
      <c r="H158" s="50">
        <f t="shared" si="47"/>
        <v>27</v>
      </c>
      <c r="I158" s="50">
        <f t="shared" si="48"/>
        <v>2</v>
      </c>
      <c r="J158" s="50">
        <f t="shared" si="49"/>
        <v>13</v>
      </c>
      <c r="K158" s="59"/>
      <c r="L158" s="49" t="s">
        <v>136</v>
      </c>
      <c r="M158" s="64"/>
      <c r="N158" s="49" t="s">
        <v>427</v>
      </c>
      <c r="O158" s="49">
        <v>2581</v>
      </c>
      <c r="P158" s="65" t="s">
        <v>294</v>
      </c>
      <c r="Q158" s="49" t="str">
        <f t="shared" si="52"/>
        <v>18/05/2023</v>
      </c>
      <c r="R158" s="68">
        <f>IF(Q158="",0,DATEDIF(Q158,$C$1,"Y"))</f>
        <v>2</v>
      </c>
      <c r="S158" s="68">
        <f>IF(Q158="",0,DATEDIF(Q158,$C$1,"YM"))</f>
        <v>1</v>
      </c>
      <c r="T158" s="68">
        <f>IF(Q158="",0,DATEDIF(Q158,$C$1,"MD"))</f>
        <v>2</v>
      </c>
      <c r="U158" s="65"/>
      <c r="V158" s="65"/>
      <c r="W158" s="49" t="str">
        <f t="shared" si="56"/>
        <v/>
      </c>
      <c r="X158" s="68">
        <f>IF(W158="",0,DATEDIF(W158,Q158,"Y"))</f>
        <v>0</v>
      </c>
      <c r="Y158" s="68">
        <f>IF(W158="",0,DATEDIF(W158,Q158,"YM"))</f>
        <v>0</v>
      </c>
      <c r="Z158" s="68">
        <f>IF(W158="",0,DATEDIF(W158,Q158,"MD"))</f>
        <v>0</v>
      </c>
      <c r="AA158" s="49"/>
      <c r="AB158" s="65"/>
      <c r="AC158" s="50" t="str">
        <f t="shared" si="57"/>
        <v/>
      </c>
      <c r="AD158" s="68">
        <f t="shared" si="58"/>
        <v>0</v>
      </c>
      <c r="AE158" s="68">
        <f t="shared" si="59"/>
        <v>0</v>
      </c>
      <c r="AF158" s="68">
        <f t="shared" si="60"/>
        <v>0</v>
      </c>
      <c r="AG158" s="50"/>
      <c r="AH158" s="108" t="s">
        <v>486</v>
      </c>
      <c r="AI158" s="49" t="str">
        <f>IF(AH158="นิติศาสตร์","K5-LAW","K5-POLICY")</f>
        <v>K5-POLICY</v>
      </c>
      <c r="AJ158" s="72" t="str">
        <f>_xlfn.IFS(B158="","",AND(AI158="K5-LAW",AH158="นิติศาสตร์",L158="S2",U158="",AA158=""),Q158,AND(AI158="K5-LAW",AH158="นิติศาสตร์",L158="S1",U158="",AA158=""),EDATE(Q158,12),AND(AI158="K5-LAW",AH158="นิติศาสตร์",OR(L158="M2",L158="K4"),U158="",AA158=""),EDATE(Q158,12*2),AND(AI158="K5-LAW",AH158="นิติศาสตร์",OR(AA158="M2",AA158="K4"),AD158&gt;=2,OR(AC158&lt;W158,AC158&lt;Q158)),EDATE(AC158,12*2),AND(AI158="K5-LAW",AH158="นิติศาสตร์",AA158="S1",AD158&gt;=1,OR(AC158&lt;W158,AC158&lt;Q158)),EDATE(AC158,12),AND(AI158="K5-LAW",AH158="นิติศาสตร์",OR(U158="M2",U158="K4"),X158&gt;=2,W158&lt;Q158),EDATE(W158,12*2),AND(AI158="K5-LAW",AH158="นิติศาสตร์",U158="S1",X158&gt;=1,W158&lt;Q158),EDATE(W158,12),AND(AI158="K5-LAW",AH158="นิติศาสตร์",OR(U158="S2",U158="K5")),W158,AND(AI158="K5-LAW",AH158="นิติศาสตร์",OR(L158="M2",L158="K4"),R158&gt;=2),EDATE(Q158,12*2),AND(AI158="K5-LAW",AH158="นิติศาสตร์",L158="S1",R158&gt;=1),EDATE(Q158,12),AND(AI158="K5-LAW",AH158="นิติศาสตร์",OR(L158="S2",L158="K5")),Q158,AND(AI158="K5-POLICY",AH158&lt;&gt;"นิติศาสตร์",L158="S2",U158="",AA158=""),Q158,AND(AI158="K5-POLICY",AH158&lt;&gt;"นิติศาสตร์",L158="S1",U158="",AA158=""),EDATE(Q158,12),AND(AI158="K5-POLICY",AH158&lt;&gt;"นิติศาสตร์",OR(L158="M2",L158="K4"),U158="",AA158=""),EDATE(Q158,12*2),AND(AI158="K5-POLICY",AH158&lt;&gt;"นิติศาสตร์",OR(AA158="M2",AA158="K4"),AD158&gt;=2,OR(AC158&lt;W158,AC158&lt;Q158)),EDATE(AC158,12*2),AND(AI158="K5-POLICY",AH158&lt;&gt;"นิติศาสตร์",AA158="S1",AD158&gt;=1,OR(AC158&lt;W158,AC158&lt;Q158)),EDATE(AC158,12),AND(AI158="K5-POLICY",AH158&lt;&gt;"นิติศาสตร์",OR(U158="M2",U158="K4"),X158&gt;=2,W158&lt;Q158),EDATE(W158,12*2),AND(AI158="K5-POLICY",AH158&lt;&gt;"นิติศาสตร์",U158="S1",X158&gt;=1,W158&lt;Q158),EDATE(W158,12),AND(AI158="K5-POLICY",AH158&lt;&gt;"นิติศาสตร์",OR(U158="S2",U158="K5")),W158,AND(AI158="K5-POLICY",AH158&lt;&gt;"นิติศาสตร์",OR(L158="M2",L158="K4"),R158&gt;=2),EDATE(Q158,12*2),AND(AI158="K5-POLICY",AH158&lt;&gt;"นิติศาสตร์",L158="S1",R158&gt;=1),EDATE(Q158,12),AND(AI158="K5-POLICY",AH158&lt;&gt;"นิติศาสตร์",OR(L158="S2",L158="K5")),Q158,TRUE,"Check Data")</f>
        <v/>
      </c>
      <c r="AK158" s="75" t="str">
        <f t="shared" si="53"/>
        <v>Check Data</v>
      </c>
      <c r="AL158" s="76" t="str">
        <f t="shared" si="50"/>
        <v>Check Data</v>
      </c>
      <c r="AM158" s="50" t="str">
        <f t="shared" si="54"/>
        <v>Check Data</v>
      </c>
      <c r="AN158" s="49" t="str">
        <f>IF(B158="","",IF(L158="S1","S1",INDEX(#REF!,#REF!)))</f>
        <v/>
      </c>
      <c r="AO158" s="49" t="str">
        <f t="shared" si="55"/>
        <v>M2</v>
      </c>
      <c r="AP158" s="50" t="b">
        <f>L158=AN158</f>
        <v>0</v>
      </c>
      <c r="AQ158" s="50"/>
    </row>
    <row r="159" spans="1:43" ht="21.75">
      <c r="A159" s="49">
        <v>157</v>
      </c>
      <c r="B159" s="50"/>
      <c r="C159" s="50"/>
      <c r="D159" s="50" t="s">
        <v>143</v>
      </c>
      <c r="E159" s="50" t="e">
        <f>INDEX(#REF!,#REF!)</f>
        <v>#REF!</v>
      </c>
      <c r="F159" s="49" t="s">
        <v>368</v>
      </c>
      <c r="G159" s="49" t="str">
        <f t="shared" si="51"/>
        <v>30/08/2002</v>
      </c>
      <c r="H159" s="50">
        <f t="shared" si="47"/>
        <v>22</v>
      </c>
      <c r="I159" s="50">
        <f t="shared" si="48"/>
        <v>9</v>
      </c>
      <c r="J159" s="50">
        <f t="shared" si="49"/>
        <v>21</v>
      </c>
      <c r="K159" s="59"/>
      <c r="L159" s="49" t="s">
        <v>136</v>
      </c>
      <c r="M159" s="64"/>
      <c r="N159" s="49" t="s">
        <v>427</v>
      </c>
      <c r="O159" s="49">
        <v>2577</v>
      </c>
      <c r="P159" s="65" t="s">
        <v>294</v>
      </c>
      <c r="Q159" s="49" t="str">
        <f t="shared" si="52"/>
        <v>18/05/2023</v>
      </c>
      <c r="R159" s="68">
        <f>IF(Q159="",0,DATEDIF(Q159,$C$1,"Y"))</f>
        <v>2</v>
      </c>
      <c r="S159" s="68">
        <f>IF(Q159="",0,DATEDIF(Q159,$C$1,"YM"))</f>
        <v>1</v>
      </c>
      <c r="T159" s="68">
        <f>IF(Q159="",0,DATEDIF(Q159,$C$1,"MD"))</f>
        <v>2</v>
      </c>
      <c r="U159" s="65"/>
      <c r="V159" s="65"/>
      <c r="W159" s="49" t="str">
        <f t="shared" si="56"/>
        <v/>
      </c>
      <c r="X159" s="68">
        <f>IF(W159="",0,DATEDIF(W159,Q159,"Y"))</f>
        <v>0</v>
      </c>
      <c r="Y159" s="68">
        <f>IF(W159="",0,DATEDIF(W159,Q159,"YM"))</f>
        <v>0</v>
      </c>
      <c r="Z159" s="68">
        <f>IF(W159="",0,DATEDIF(W159,Q159,"MD"))</f>
        <v>0</v>
      </c>
      <c r="AA159" s="49"/>
      <c r="AB159" s="65"/>
      <c r="AC159" s="50" t="str">
        <f t="shared" si="57"/>
        <v/>
      </c>
      <c r="AD159" s="68">
        <f t="shared" si="58"/>
        <v>0</v>
      </c>
      <c r="AE159" s="68">
        <f t="shared" si="59"/>
        <v>0</v>
      </c>
      <c r="AF159" s="68">
        <f t="shared" si="60"/>
        <v>0</v>
      </c>
      <c r="AG159" s="50"/>
      <c r="AH159" s="108" t="s">
        <v>138</v>
      </c>
      <c r="AI159" s="49" t="str">
        <f>IF(AH159="นิติศาสตร์","K5-LAW","K5-POLICY")</f>
        <v>K5-LAW</v>
      </c>
      <c r="AJ159" s="72" t="str">
        <f>_xlfn.IFS(B159="","",AND(AI159="K5-LAW",AH159="นิติศาสตร์",L159="S2",U159="",AA159=""),Q159,AND(AI159="K5-LAW",AH159="นิติศาสตร์",L159="S1",U159="",AA159=""),EDATE(Q159,12),AND(AI159="K5-LAW",AH159="นิติศาสตร์",OR(L159="M2",L159="K4"),U159="",AA159=""),EDATE(Q159,12*2),AND(AI159="K5-LAW",AH159="นิติศาสตร์",OR(AA159="M2",AA159="K4"),AD159&gt;=2,OR(AC159&lt;W159,AC159&lt;Q159)),EDATE(AC159,12*2),AND(AI159="K5-LAW",AH159="นิติศาสตร์",AA159="S1",AD159&gt;=1,OR(AC159&lt;W159,AC159&lt;Q159)),EDATE(AC159,12),AND(AI159="K5-LAW",AH159="นิติศาสตร์",OR(U159="M2",U159="K4"),X159&gt;=2,W159&lt;Q159),EDATE(W159,12*2),AND(AI159="K5-LAW",AH159="นิติศาสตร์",U159="S1",X159&gt;=1,W159&lt;Q159),EDATE(W159,12),AND(AI159="K5-LAW",AH159="นิติศาสตร์",OR(U159="S2",U159="K5")),W159,AND(AI159="K5-LAW",AH159="นิติศาสตร์",OR(L159="M2",L159="K4"),R159&gt;=2),EDATE(Q159,12*2),AND(AI159="K5-LAW",AH159="นิติศาสตร์",L159="S1",R159&gt;=1),EDATE(Q159,12),AND(AI159="K5-LAW",AH159="นิติศาสตร์",OR(L159="S2",L159="K5")),Q159,AND(AI159="K5-POLICY",AH159&lt;&gt;"นิติศาสตร์",L159="S2",U159="",AA159=""),Q159,AND(AI159="K5-POLICY",AH159&lt;&gt;"นิติศาสตร์",L159="S1",U159="",AA159=""),EDATE(Q159,12),AND(AI159="K5-POLICY",AH159&lt;&gt;"นิติศาสตร์",OR(L159="M2",L159="K4"),U159="",AA159=""),EDATE(Q159,12*2),AND(AI159="K5-POLICY",AH159&lt;&gt;"นิติศาสตร์",OR(AA159="M2",AA159="K4"),AD159&gt;=2,OR(AC159&lt;W159,AC159&lt;Q159)),EDATE(AC159,12*2),AND(AI159="K5-POLICY",AH159&lt;&gt;"นิติศาสตร์",AA159="S1",AD159&gt;=1,OR(AC159&lt;W159,AC159&lt;Q159)),EDATE(AC159,12),AND(AI159="K5-POLICY",AH159&lt;&gt;"นิติศาสตร์",OR(U159="M2",U159="K4"),X159&gt;=2,W159&lt;Q159),EDATE(W159,12*2),AND(AI159="K5-POLICY",AH159&lt;&gt;"นิติศาสตร์",U159="S1",X159&gt;=1,W159&lt;Q159),EDATE(W159,12),AND(AI159="K5-POLICY",AH159&lt;&gt;"นิติศาสตร์",OR(U159="S2",U159="K5")),W159,AND(AI159="K5-POLICY",AH159&lt;&gt;"นิติศาสตร์",OR(L159="M2",L159="K4"),R159&gt;=2),EDATE(Q159,12*2),AND(AI159="K5-POLICY",AH159&lt;&gt;"นิติศาสตร์",L159="S1",R159&gt;=1),EDATE(Q159,12),AND(AI159="K5-POLICY",AH159&lt;&gt;"นิติศาสตร์",OR(L159="S2",L159="K5")),Q159,TRUE,"Check Data")</f>
        <v/>
      </c>
      <c r="AK159" s="75" t="str">
        <f t="shared" si="53"/>
        <v>Check Data</v>
      </c>
      <c r="AL159" s="76" t="str">
        <f t="shared" si="50"/>
        <v>Check Data</v>
      </c>
      <c r="AM159" s="50" t="str">
        <f t="shared" si="54"/>
        <v>Check Data</v>
      </c>
      <c r="AN159" s="49" t="str">
        <f>IF(B159="","",IF(L159="S1","S1",INDEX(#REF!,#REF!)))</f>
        <v/>
      </c>
      <c r="AO159" s="49" t="str">
        <f t="shared" si="55"/>
        <v>M2</v>
      </c>
      <c r="AP159" s="50" t="b">
        <f>L159=AN159</f>
        <v>0</v>
      </c>
      <c r="AQ159" s="50"/>
    </row>
    <row r="160" spans="1:43" ht="21.75">
      <c r="A160" s="49">
        <v>158</v>
      </c>
      <c r="B160" s="50"/>
      <c r="C160" s="50"/>
      <c r="D160" s="50" t="s">
        <v>144</v>
      </c>
      <c r="E160" s="50" t="e">
        <f>INDEX(#REF!,#REF!)</f>
        <v>#REF!</v>
      </c>
      <c r="F160" s="49" t="s">
        <v>164</v>
      </c>
      <c r="G160" s="49" t="str">
        <f t="shared" si="51"/>
        <v>01/05/1990</v>
      </c>
      <c r="H160" s="50">
        <f t="shared" si="47"/>
        <v>35</v>
      </c>
      <c r="I160" s="50">
        <f t="shared" si="48"/>
        <v>1</v>
      </c>
      <c r="J160" s="50">
        <f t="shared" si="49"/>
        <v>19</v>
      </c>
      <c r="K160" s="59"/>
      <c r="L160" s="49" t="s">
        <v>136</v>
      </c>
      <c r="M160" s="64"/>
      <c r="N160" s="49" t="s">
        <v>425</v>
      </c>
      <c r="O160" s="49">
        <v>2573</v>
      </c>
      <c r="P160" s="65" t="s">
        <v>207</v>
      </c>
      <c r="Q160" s="49" t="str">
        <f t="shared" si="52"/>
        <v>09/06/2023</v>
      </c>
      <c r="R160" s="68">
        <f>IF(Q160="",0,DATEDIF(Q160,$C$1,"Y"))</f>
        <v>2</v>
      </c>
      <c r="S160" s="68">
        <f>IF(Q160="",0,DATEDIF(Q160,$C$1,"YM"))</f>
        <v>0</v>
      </c>
      <c r="T160" s="68">
        <f>IF(Q160="",0,DATEDIF(Q160,$C$1,"MD"))</f>
        <v>11</v>
      </c>
      <c r="U160" s="65" t="s">
        <v>137</v>
      </c>
      <c r="V160" s="65" t="s">
        <v>522</v>
      </c>
      <c r="W160" s="49" t="str">
        <f t="shared" si="56"/>
        <v>11/11/2015</v>
      </c>
      <c r="X160" s="68">
        <f>IF(W160="",0,DATEDIF(W160,Q160,"Y"))</f>
        <v>7</v>
      </c>
      <c r="Y160" s="68">
        <f>IF(W160="",0,DATEDIF(W160,Q160,"YM"))</f>
        <v>6</v>
      </c>
      <c r="Z160" s="68">
        <f>IF(W160="",0,DATEDIF(W160,Q160,"MD"))</f>
        <v>29</v>
      </c>
      <c r="AA160" s="49"/>
      <c r="AB160" s="65"/>
      <c r="AC160" s="50" t="str">
        <f t="shared" si="57"/>
        <v/>
      </c>
      <c r="AD160" s="68">
        <f t="shared" si="58"/>
        <v>0</v>
      </c>
      <c r="AE160" s="68">
        <f t="shared" si="59"/>
        <v>0</v>
      </c>
      <c r="AF160" s="68">
        <f t="shared" si="60"/>
        <v>0</v>
      </c>
      <c r="AG160" s="50"/>
      <c r="AH160" s="108" t="s">
        <v>163</v>
      </c>
      <c r="AI160" s="49" t="str">
        <f>IF(AH160="นิติศาสตร์","K5-LAW","K5-POLICY")</f>
        <v>K5-POLICY</v>
      </c>
      <c r="AJ160" s="72" t="str">
        <f>_xlfn.IFS(B160="","",AND(AI160="K5-LAW",AH160="นิติศาสตร์",L160="S2",U160="",AA160=""),Q160,AND(AI160="K5-LAW",AH160="นิติศาสตร์",L160="S1",U160="",AA160=""),EDATE(Q160,12),AND(AI160="K5-LAW",AH160="นิติศาสตร์",OR(L160="M2",L160="K4"),U160="",AA160=""),EDATE(Q160,12*2),AND(AI160="K5-LAW",AH160="นิติศาสตร์",OR(AA160="M2",AA160="K4"),AD160&gt;=2,OR(AC160&lt;W160,AC160&lt;Q160)),EDATE(AC160,12*2),AND(AI160="K5-LAW",AH160="นิติศาสตร์",AA160="S1",AD160&gt;=1,OR(AC160&lt;W160,AC160&lt;Q160)),EDATE(AC160,12),AND(AI160="K5-LAW",AH160="นิติศาสตร์",OR(U160="M2",U160="K4"),X160&gt;=2,W160&lt;Q160),EDATE(W160,12*2),AND(AI160="K5-LAW",AH160="นิติศาสตร์",U160="S1",X160&gt;=1,W160&lt;Q160),EDATE(W160,12),AND(AI160="K5-LAW",AH160="นิติศาสตร์",OR(U160="S2",U160="K5")),W160,AND(AI160="K5-LAW",AH160="นิติศาสตร์",OR(L160="M2",L160="K4"),R160&gt;=2),EDATE(Q160,12*2),AND(AI160="K5-LAW",AH160="นิติศาสตร์",L160="S1",R160&gt;=1),EDATE(Q160,12),AND(AI160="K5-LAW",AH160="นิติศาสตร์",OR(L160="S2",L160="K5")),Q160,AND(AI160="K5-POLICY",AH160&lt;&gt;"นิติศาสตร์",L160="S2",U160="",AA160=""),Q160,AND(AI160="K5-POLICY",AH160&lt;&gt;"นิติศาสตร์",L160="S1",U160="",AA160=""),EDATE(Q160,12),AND(AI160="K5-POLICY",AH160&lt;&gt;"นิติศาสตร์",OR(L160="M2",L160="K4"),U160="",AA160=""),EDATE(Q160,12*2),AND(AI160="K5-POLICY",AH160&lt;&gt;"นิติศาสตร์",OR(AA160="M2",AA160="K4"),AD160&gt;=2,OR(AC160&lt;W160,AC160&lt;Q160)),EDATE(AC160,12*2),AND(AI160="K5-POLICY",AH160&lt;&gt;"นิติศาสตร์",AA160="S1",AD160&gt;=1,OR(AC160&lt;W160,AC160&lt;Q160)),EDATE(AC160,12),AND(AI160="K5-POLICY",AH160&lt;&gt;"นิติศาสตร์",OR(U160="M2",U160="K4"),X160&gt;=2,W160&lt;Q160),EDATE(W160,12*2),AND(AI160="K5-POLICY",AH160&lt;&gt;"นิติศาสตร์",U160="S1",X160&gt;=1,W160&lt;Q160),EDATE(W160,12),AND(AI160="K5-POLICY",AH160&lt;&gt;"นิติศาสตร์",OR(U160="S2",U160="K5")),W160,AND(AI160="K5-POLICY",AH160&lt;&gt;"นิติศาสตร์",OR(L160="M2",L160="K4"),R160&gt;=2),EDATE(Q160,12*2),AND(AI160="K5-POLICY",AH160&lt;&gt;"นิติศาสตร์",L160="S1",R160&gt;=1),EDATE(Q160,12),AND(AI160="K5-POLICY",AH160&lt;&gt;"นิติศาสตร์",OR(L160="S2",L160="K5")),Q160,TRUE,"Check Data")</f>
        <v/>
      </c>
      <c r="AK160" s="75" t="str">
        <f t="shared" si="53"/>
        <v>Check Data</v>
      </c>
      <c r="AL160" s="76" t="str">
        <f t="shared" si="50"/>
        <v>Check Data</v>
      </c>
      <c r="AM160" s="50" t="str">
        <f t="shared" si="54"/>
        <v>Check Data</v>
      </c>
      <c r="AN160" s="49" t="str">
        <f>IF(B160="","",IF(L160="S1","S1",INDEX(#REF!,#REF!)))</f>
        <v/>
      </c>
      <c r="AO160" s="49" t="str">
        <f t="shared" si="55"/>
        <v>M2</v>
      </c>
      <c r="AP160" s="50" t="b">
        <f>L160=AN160</f>
        <v>0</v>
      </c>
      <c r="AQ160" s="50"/>
    </row>
    <row r="161" spans="1:43" ht="21.75">
      <c r="A161" s="49">
        <v>159</v>
      </c>
      <c r="B161" s="50"/>
      <c r="C161" s="50"/>
      <c r="D161" s="50" t="s">
        <v>144</v>
      </c>
      <c r="E161" s="50" t="e">
        <f>INDEX(#REF!,#REF!)</f>
        <v>#REF!</v>
      </c>
      <c r="F161" s="49" t="s">
        <v>381</v>
      </c>
      <c r="G161" s="49" t="str">
        <f t="shared" si="51"/>
        <v>01/04/1993</v>
      </c>
      <c r="H161" s="50">
        <f t="shared" si="47"/>
        <v>32</v>
      </c>
      <c r="I161" s="50">
        <f t="shared" si="48"/>
        <v>2</v>
      </c>
      <c r="J161" s="50">
        <f t="shared" si="49"/>
        <v>19</v>
      </c>
      <c r="K161" s="57"/>
      <c r="L161" s="49" t="s">
        <v>136</v>
      </c>
      <c r="M161" s="64"/>
      <c r="N161" s="49" t="s">
        <v>427</v>
      </c>
      <c r="O161" s="49">
        <v>2577</v>
      </c>
      <c r="P161" s="65" t="s">
        <v>207</v>
      </c>
      <c r="Q161" s="49" t="str">
        <f t="shared" si="52"/>
        <v>09/06/2023</v>
      </c>
      <c r="R161" s="68">
        <f>IF(Q161="",0,DATEDIF(Q161,$C$1,"Y"))</f>
        <v>2</v>
      </c>
      <c r="S161" s="68">
        <f>IF(Q161="",0,DATEDIF(Q161,$C$1,"YM"))</f>
        <v>0</v>
      </c>
      <c r="T161" s="68">
        <f>IF(Q161="",0,DATEDIF(Q161,$C$1,"MD"))</f>
        <v>11</v>
      </c>
      <c r="U161" s="65"/>
      <c r="V161" s="65"/>
      <c r="W161" s="49" t="str">
        <f t="shared" si="56"/>
        <v/>
      </c>
      <c r="X161" s="68">
        <f>IF(W161="",0,DATEDIF(W161,Q161,"Y"))</f>
        <v>0</v>
      </c>
      <c r="Y161" s="68">
        <f>IF(W161="",0,DATEDIF(W161,Q161,"YM"))</f>
        <v>0</v>
      </c>
      <c r="Z161" s="68">
        <f>IF(W161="",0,DATEDIF(W161,Q161,"MD"))</f>
        <v>0</v>
      </c>
      <c r="AA161" s="49"/>
      <c r="AB161" s="65"/>
      <c r="AC161" s="50" t="str">
        <f t="shared" si="57"/>
        <v/>
      </c>
      <c r="AD161" s="68">
        <f t="shared" si="58"/>
        <v>0</v>
      </c>
      <c r="AE161" s="68">
        <f t="shared" si="59"/>
        <v>0</v>
      </c>
      <c r="AF161" s="68">
        <f t="shared" si="60"/>
        <v>0</v>
      </c>
      <c r="AG161" s="50"/>
      <c r="AH161" s="108" t="s">
        <v>163</v>
      </c>
      <c r="AI161" s="49" t="str">
        <f>IF(AH161="นิติศาสตร์","K5-LAW","K5-POLICY")</f>
        <v>K5-POLICY</v>
      </c>
      <c r="AJ161" s="72" t="str">
        <f>_xlfn.IFS(B161="","",AND(AI161="K5-LAW",AH161="นิติศาสตร์",L161="S2",U161="",AA161=""),Q161,AND(AI161="K5-LAW",AH161="นิติศาสตร์",L161="S1",U161="",AA161=""),EDATE(Q161,12),AND(AI161="K5-LAW",AH161="นิติศาสตร์",OR(L161="M2",L161="K4"),U161="",AA161=""),EDATE(Q161,12*2),AND(AI161="K5-LAW",AH161="นิติศาสตร์",OR(AA161="M2",AA161="K4"),AD161&gt;=2,OR(AC161&lt;W161,AC161&lt;Q161)),EDATE(AC161,12*2),AND(AI161="K5-LAW",AH161="นิติศาสตร์",AA161="S1",AD161&gt;=1,OR(AC161&lt;W161,AC161&lt;Q161)),EDATE(AC161,12),AND(AI161="K5-LAW",AH161="นิติศาสตร์",OR(U161="M2",U161="K4"),X161&gt;=2,W161&lt;Q161),EDATE(W161,12*2),AND(AI161="K5-LAW",AH161="นิติศาสตร์",U161="S1",X161&gt;=1,W161&lt;Q161),EDATE(W161,12),AND(AI161="K5-LAW",AH161="นิติศาสตร์",OR(U161="S2",U161="K5")),W161,AND(AI161="K5-LAW",AH161="นิติศาสตร์",OR(L161="M2",L161="K4"),R161&gt;=2),EDATE(Q161,12*2),AND(AI161="K5-LAW",AH161="นิติศาสตร์",L161="S1",R161&gt;=1),EDATE(Q161,12),AND(AI161="K5-LAW",AH161="นิติศาสตร์",OR(L161="S2",L161="K5")),Q161,AND(AI161="K5-POLICY",AH161&lt;&gt;"นิติศาสตร์",L161="S2",U161="",AA161=""),Q161,AND(AI161="K5-POLICY",AH161&lt;&gt;"นิติศาสตร์",L161="S1",U161="",AA161=""),EDATE(Q161,12),AND(AI161="K5-POLICY",AH161&lt;&gt;"นิติศาสตร์",OR(L161="M2",L161="K4"),U161="",AA161=""),EDATE(Q161,12*2),AND(AI161="K5-POLICY",AH161&lt;&gt;"นิติศาสตร์",OR(AA161="M2",AA161="K4"),AD161&gt;=2,OR(AC161&lt;W161,AC161&lt;Q161)),EDATE(AC161,12*2),AND(AI161="K5-POLICY",AH161&lt;&gt;"นิติศาสตร์",AA161="S1",AD161&gt;=1,OR(AC161&lt;W161,AC161&lt;Q161)),EDATE(AC161,12),AND(AI161="K5-POLICY",AH161&lt;&gt;"นิติศาสตร์",OR(U161="M2",U161="K4"),X161&gt;=2,W161&lt;Q161),EDATE(W161,12*2),AND(AI161="K5-POLICY",AH161&lt;&gt;"นิติศาสตร์",U161="S1",X161&gt;=1,W161&lt;Q161),EDATE(W161,12),AND(AI161="K5-POLICY",AH161&lt;&gt;"นิติศาสตร์",OR(U161="S2",U161="K5")),W161,AND(AI161="K5-POLICY",AH161&lt;&gt;"นิติศาสตร์",OR(L161="M2",L161="K4"),R161&gt;=2),EDATE(Q161,12*2),AND(AI161="K5-POLICY",AH161&lt;&gt;"นิติศาสตร์",L161="S1",R161&gt;=1),EDATE(Q161,12),AND(AI161="K5-POLICY",AH161&lt;&gt;"นิติศาสตร์",OR(L161="S2",L161="K5")),Q161,TRUE,"Check Data")</f>
        <v/>
      </c>
      <c r="AK161" s="75" t="str">
        <f t="shared" si="53"/>
        <v>Check Data</v>
      </c>
      <c r="AL161" s="76" t="str">
        <f t="shared" si="50"/>
        <v>Check Data</v>
      </c>
      <c r="AM161" s="50" t="str">
        <f t="shared" si="54"/>
        <v>Check Data</v>
      </c>
      <c r="AN161" s="49" t="str">
        <f>IF(B161="","",IF(L161="S1","S1",INDEX(#REF!,#REF!)))</f>
        <v/>
      </c>
      <c r="AO161" s="49" t="str">
        <f t="shared" si="55"/>
        <v>M2</v>
      </c>
      <c r="AP161" s="50" t="b">
        <f>L161=AN161</f>
        <v>0</v>
      </c>
      <c r="AQ161" s="50"/>
    </row>
    <row r="162" spans="1:43" ht="21.75">
      <c r="A162" s="49">
        <v>160</v>
      </c>
      <c r="B162" s="50"/>
      <c r="C162" s="50"/>
      <c r="D162" s="50" t="s">
        <v>144</v>
      </c>
      <c r="E162" s="50" t="e">
        <f>INDEX(#REF!,#REF!)</f>
        <v>#REF!</v>
      </c>
      <c r="F162" s="49" t="s">
        <v>374</v>
      </c>
      <c r="G162" s="49" t="str">
        <f t="shared" si="51"/>
        <v>29/06/1998</v>
      </c>
      <c r="H162" s="50">
        <f t="shared" si="47"/>
        <v>26</v>
      </c>
      <c r="I162" s="50">
        <f t="shared" si="48"/>
        <v>11</v>
      </c>
      <c r="J162" s="50">
        <f t="shared" si="49"/>
        <v>22</v>
      </c>
      <c r="K162" s="57"/>
      <c r="L162" s="49" t="s">
        <v>136</v>
      </c>
      <c r="M162" s="64"/>
      <c r="N162" s="49" t="s">
        <v>426</v>
      </c>
      <c r="O162" s="49">
        <v>2574</v>
      </c>
      <c r="P162" s="65" t="s">
        <v>207</v>
      </c>
      <c r="Q162" s="49" t="str">
        <f t="shared" si="52"/>
        <v>09/06/2023</v>
      </c>
      <c r="R162" s="68">
        <f>IF(Q162="",0,DATEDIF(Q162,$C$1,"Y"))</f>
        <v>2</v>
      </c>
      <c r="S162" s="68">
        <f>IF(Q162="",0,DATEDIF(Q162,$C$1,"YM"))</f>
        <v>0</v>
      </c>
      <c r="T162" s="68">
        <f>IF(Q162="",0,DATEDIF(Q162,$C$1,"MD"))</f>
        <v>11</v>
      </c>
      <c r="U162" s="65"/>
      <c r="V162" s="65"/>
      <c r="W162" s="49" t="str">
        <f t="shared" si="56"/>
        <v/>
      </c>
      <c r="X162" s="68">
        <f>IF(W162="",0,DATEDIF(W162,Q162,"Y"))</f>
        <v>0</v>
      </c>
      <c r="Y162" s="68">
        <f>IF(W162="",0,DATEDIF(W162,Q162,"YM"))</f>
        <v>0</v>
      </c>
      <c r="Z162" s="68">
        <f>IF(W162="",0,DATEDIF(W162,Q162,"MD"))</f>
        <v>0</v>
      </c>
      <c r="AA162" s="49"/>
      <c r="AB162" s="65"/>
      <c r="AC162" s="50" t="str">
        <f t="shared" si="57"/>
        <v/>
      </c>
      <c r="AD162" s="68">
        <f t="shared" si="58"/>
        <v>0</v>
      </c>
      <c r="AE162" s="68">
        <f t="shared" si="59"/>
        <v>0</v>
      </c>
      <c r="AF162" s="68">
        <f t="shared" si="60"/>
        <v>0</v>
      </c>
      <c r="AG162" s="50"/>
      <c r="AH162" s="108" t="s">
        <v>138</v>
      </c>
      <c r="AI162" s="49" t="str">
        <f>IF(AH162="นิติศาสตร์","K5-LAW","K5-POLICY")</f>
        <v>K5-LAW</v>
      </c>
      <c r="AJ162" s="72" t="str">
        <f>_xlfn.IFS(B162="","",AND(AI162="K5-LAW",AH162="นิติศาสตร์",L162="S2",U162="",AA162=""),Q162,AND(AI162="K5-LAW",AH162="นิติศาสตร์",L162="S1",U162="",AA162=""),EDATE(Q162,12),AND(AI162="K5-LAW",AH162="นิติศาสตร์",OR(L162="M2",L162="K4"),U162="",AA162=""),EDATE(Q162,12*2),AND(AI162="K5-LAW",AH162="นิติศาสตร์",OR(AA162="M2",AA162="K4"),AD162&gt;=2,OR(AC162&lt;W162,AC162&lt;Q162)),EDATE(AC162,12*2),AND(AI162="K5-LAW",AH162="นิติศาสตร์",AA162="S1",AD162&gt;=1,OR(AC162&lt;W162,AC162&lt;Q162)),EDATE(AC162,12),AND(AI162="K5-LAW",AH162="นิติศาสตร์",OR(U162="M2",U162="K4"),X162&gt;=2,W162&lt;Q162),EDATE(W162,12*2),AND(AI162="K5-LAW",AH162="นิติศาสตร์",U162="S1",X162&gt;=1,W162&lt;Q162),EDATE(W162,12),AND(AI162="K5-LAW",AH162="นิติศาสตร์",OR(U162="S2",U162="K5")),W162,AND(AI162="K5-LAW",AH162="นิติศาสตร์",OR(L162="M2",L162="K4"),R162&gt;=2),EDATE(Q162,12*2),AND(AI162="K5-LAW",AH162="นิติศาสตร์",L162="S1",R162&gt;=1),EDATE(Q162,12),AND(AI162="K5-LAW",AH162="นิติศาสตร์",OR(L162="S2",L162="K5")),Q162,AND(AI162="K5-POLICY",AH162&lt;&gt;"นิติศาสตร์",L162="S2",U162="",AA162=""),Q162,AND(AI162="K5-POLICY",AH162&lt;&gt;"นิติศาสตร์",L162="S1",U162="",AA162=""),EDATE(Q162,12),AND(AI162="K5-POLICY",AH162&lt;&gt;"นิติศาสตร์",OR(L162="M2",L162="K4"),U162="",AA162=""),EDATE(Q162,12*2),AND(AI162="K5-POLICY",AH162&lt;&gt;"นิติศาสตร์",OR(AA162="M2",AA162="K4"),AD162&gt;=2,OR(AC162&lt;W162,AC162&lt;Q162)),EDATE(AC162,12*2),AND(AI162="K5-POLICY",AH162&lt;&gt;"นิติศาสตร์",AA162="S1",AD162&gt;=1,OR(AC162&lt;W162,AC162&lt;Q162)),EDATE(AC162,12),AND(AI162="K5-POLICY",AH162&lt;&gt;"นิติศาสตร์",OR(U162="M2",U162="K4"),X162&gt;=2,W162&lt;Q162),EDATE(W162,12*2),AND(AI162="K5-POLICY",AH162&lt;&gt;"นิติศาสตร์",U162="S1",X162&gt;=1,W162&lt;Q162),EDATE(W162,12),AND(AI162="K5-POLICY",AH162&lt;&gt;"นิติศาสตร์",OR(U162="S2",U162="K5")),W162,AND(AI162="K5-POLICY",AH162&lt;&gt;"นิติศาสตร์",OR(L162="M2",L162="K4"),R162&gt;=2),EDATE(Q162,12*2),AND(AI162="K5-POLICY",AH162&lt;&gt;"นิติศาสตร์",L162="S1",R162&gt;=1),EDATE(Q162,12),AND(AI162="K5-POLICY",AH162&lt;&gt;"นิติศาสตร์",OR(L162="S2",L162="K5")),Q162,TRUE,"Check Data")</f>
        <v/>
      </c>
      <c r="AK162" s="75" t="str">
        <f t="shared" si="53"/>
        <v>Check Data</v>
      </c>
      <c r="AL162" s="76" t="str">
        <f t="shared" si="50"/>
        <v>Check Data</v>
      </c>
      <c r="AM162" s="50" t="str">
        <f t="shared" si="54"/>
        <v>Check Data</v>
      </c>
      <c r="AN162" s="49" t="str">
        <f>IF(B162="","",IF(L162="S1","S1",INDEX(#REF!,#REF!)))</f>
        <v/>
      </c>
      <c r="AO162" s="49" t="str">
        <f t="shared" si="55"/>
        <v>M2</v>
      </c>
      <c r="AP162" s="50" t="b">
        <f>L162=AN162</f>
        <v>0</v>
      </c>
      <c r="AQ162" s="50"/>
    </row>
    <row r="163" spans="1:43" ht="21.75">
      <c r="A163" s="49">
        <v>161</v>
      </c>
      <c r="B163" s="50"/>
      <c r="C163" s="50"/>
      <c r="D163" s="50" t="s">
        <v>34</v>
      </c>
      <c r="E163" s="50" t="e">
        <f>INDEX(#REF!,#REF!)</f>
        <v>#REF!</v>
      </c>
      <c r="F163" s="49" t="s">
        <v>206</v>
      </c>
      <c r="G163" s="49" t="str">
        <f t="shared" si="51"/>
        <v>25/12/2001</v>
      </c>
      <c r="H163" s="50">
        <f t="shared" si="47"/>
        <v>23</v>
      </c>
      <c r="I163" s="50">
        <f t="shared" si="48"/>
        <v>5</v>
      </c>
      <c r="J163" s="50">
        <f t="shared" si="49"/>
        <v>26</v>
      </c>
      <c r="K163" s="78"/>
      <c r="L163" s="49" t="s">
        <v>136</v>
      </c>
      <c r="M163" s="64"/>
      <c r="N163" s="49" t="s">
        <v>426</v>
      </c>
      <c r="O163" s="49">
        <v>2577</v>
      </c>
      <c r="P163" s="65" t="s">
        <v>207</v>
      </c>
      <c r="Q163" s="49" t="str">
        <f t="shared" si="52"/>
        <v>09/06/2023</v>
      </c>
      <c r="R163" s="68">
        <f>IF(Q163="",0,DATEDIF(Q163,$C$1,"Y"))</f>
        <v>2</v>
      </c>
      <c r="S163" s="68">
        <f>IF(Q163="",0,DATEDIF(Q163,$C$1,"YM"))</f>
        <v>0</v>
      </c>
      <c r="T163" s="68">
        <f>IF(Q163="",0,DATEDIF(Q163,$C$1,"MD"))</f>
        <v>11</v>
      </c>
      <c r="U163" s="65"/>
      <c r="V163" s="65"/>
      <c r="W163" s="49" t="str">
        <f t="shared" si="56"/>
        <v/>
      </c>
      <c r="X163" s="68">
        <f>IF(W163="",0,DATEDIF(W163,Q163,"Y"))</f>
        <v>0</v>
      </c>
      <c r="Y163" s="68">
        <f>IF(W163="",0,DATEDIF(W163,Q163,"YM"))</f>
        <v>0</v>
      </c>
      <c r="Z163" s="68">
        <f>IF(W163="",0,DATEDIF(W163,Q163,"MD"))</f>
        <v>0</v>
      </c>
      <c r="AA163" s="49"/>
      <c r="AB163" s="65"/>
      <c r="AC163" s="50" t="str">
        <f t="shared" si="57"/>
        <v/>
      </c>
      <c r="AD163" s="68">
        <f t="shared" si="58"/>
        <v>0</v>
      </c>
      <c r="AE163" s="68">
        <f t="shared" si="59"/>
        <v>0</v>
      </c>
      <c r="AF163" s="68">
        <f t="shared" si="60"/>
        <v>0</v>
      </c>
      <c r="AG163" s="50"/>
      <c r="AH163" s="108" t="s">
        <v>173</v>
      </c>
      <c r="AI163" s="49" t="str">
        <f>IF(AH163="นิติศาสตร์","K5-LAW","K5-POLICY")</f>
        <v>K5-POLICY</v>
      </c>
      <c r="AJ163" s="72" t="str">
        <f>_xlfn.IFS(B163="","",AND(AI163="K5-LAW",AH163="นิติศาสตร์",L163="S2",U163="",AA163=""),Q163,AND(AI163="K5-LAW",AH163="นิติศาสตร์",L163="S1",U163="",AA163=""),EDATE(Q163,12),AND(AI163="K5-LAW",AH163="นิติศาสตร์",OR(L163="M2",L163="K4"),U163="",AA163=""),EDATE(Q163,12*2),AND(AI163="K5-LAW",AH163="นิติศาสตร์",OR(AA163="M2",AA163="K4"),AD163&gt;=2,OR(AC163&lt;W163,AC163&lt;Q163)),EDATE(AC163,12*2),AND(AI163="K5-LAW",AH163="นิติศาสตร์",AA163="S1",AD163&gt;=1,OR(AC163&lt;W163,AC163&lt;Q163)),EDATE(AC163,12),AND(AI163="K5-LAW",AH163="นิติศาสตร์",OR(U163="M2",U163="K4"),X163&gt;=2,W163&lt;Q163),EDATE(W163,12*2),AND(AI163="K5-LAW",AH163="นิติศาสตร์",U163="S1",X163&gt;=1,W163&lt;Q163),EDATE(W163,12),AND(AI163="K5-LAW",AH163="นิติศาสตร์",OR(U163="S2",U163="K5")),W163,AND(AI163="K5-LAW",AH163="นิติศาสตร์",OR(L163="M2",L163="K4"),R163&gt;=2),EDATE(Q163,12*2),AND(AI163="K5-LAW",AH163="นิติศาสตร์",L163="S1",R163&gt;=1),EDATE(Q163,12),AND(AI163="K5-LAW",AH163="นิติศาสตร์",OR(L163="S2",L163="K5")),Q163,AND(AI163="K5-POLICY",AH163&lt;&gt;"นิติศาสตร์",L163="S2",U163="",AA163=""),Q163,AND(AI163="K5-POLICY",AH163&lt;&gt;"นิติศาสตร์",L163="S1",U163="",AA163=""),EDATE(Q163,12),AND(AI163="K5-POLICY",AH163&lt;&gt;"นิติศาสตร์",OR(L163="M2",L163="K4"),U163="",AA163=""),EDATE(Q163,12*2),AND(AI163="K5-POLICY",AH163&lt;&gt;"นิติศาสตร์",OR(AA163="M2",AA163="K4"),AD163&gt;=2,OR(AC163&lt;W163,AC163&lt;Q163)),EDATE(AC163,12*2),AND(AI163="K5-POLICY",AH163&lt;&gt;"นิติศาสตร์",AA163="S1",AD163&gt;=1,OR(AC163&lt;W163,AC163&lt;Q163)),EDATE(AC163,12),AND(AI163="K5-POLICY",AH163&lt;&gt;"นิติศาสตร์",OR(U163="M2",U163="K4"),X163&gt;=2,W163&lt;Q163),EDATE(W163,12*2),AND(AI163="K5-POLICY",AH163&lt;&gt;"นิติศาสตร์",U163="S1",X163&gt;=1,W163&lt;Q163),EDATE(W163,12),AND(AI163="K5-POLICY",AH163&lt;&gt;"นิติศาสตร์",OR(U163="S2",U163="K5")),W163,AND(AI163="K5-POLICY",AH163&lt;&gt;"นิติศาสตร์",OR(L163="M2",L163="K4"),R163&gt;=2),EDATE(Q163,12*2),AND(AI163="K5-POLICY",AH163&lt;&gt;"นิติศาสตร์",L163="S1",R163&gt;=1),EDATE(Q163,12),AND(AI163="K5-POLICY",AH163&lt;&gt;"นิติศาสตร์",OR(L163="S2",L163="K5")),Q163,TRUE,"Check Data")</f>
        <v/>
      </c>
      <c r="AK163" s="75" t="str">
        <f t="shared" si="53"/>
        <v>Check Data</v>
      </c>
      <c r="AL163" s="76" t="str">
        <f t="shared" si="50"/>
        <v>Check Data</v>
      </c>
      <c r="AM163" s="50" t="str">
        <f t="shared" si="54"/>
        <v>Check Data</v>
      </c>
      <c r="AN163" s="49" t="str">
        <f>IF(B163="","",IF(L163="S1","S1",INDEX(#REF!,#REF!)))</f>
        <v/>
      </c>
      <c r="AO163" s="49" t="str">
        <f t="shared" si="55"/>
        <v>M2</v>
      </c>
      <c r="AP163" s="50" t="b">
        <f>L163=AN163</f>
        <v>0</v>
      </c>
      <c r="AQ163" s="50"/>
    </row>
    <row r="164" spans="1:43" ht="21.75">
      <c r="A164" s="49">
        <v>162</v>
      </c>
      <c r="B164" s="50"/>
      <c r="C164" s="50"/>
      <c r="D164" s="50" t="s">
        <v>143</v>
      </c>
      <c r="E164" s="50" t="e">
        <f>INDEX(#REF!,#REF!)</f>
        <v>#REF!</v>
      </c>
      <c r="F164" s="49" t="s">
        <v>298</v>
      </c>
      <c r="G164" s="49" t="str">
        <f t="shared" si="51"/>
        <v>18/10/2004</v>
      </c>
      <c r="H164" s="50">
        <f t="shared" si="47"/>
        <v>20</v>
      </c>
      <c r="I164" s="50">
        <f t="shared" si="48"/>
        <v>8</v>
      </c>
      <c r="J164" s="50">
        <f t="shared" si="49"/>
        <v>2</v>
      </c>
      <c r="K164" s="58"/>
      <c r="L164" s="49" t="s">
        <v>136</v>
      </c>
      <c r="M164" s="64"/>
      <c r="N164" s="49" t="s">
        <v>426</v>
      </c>
      <c r="O164" s="49">
        <v>2582</v>
      </c>
      <c r="P164" s="65" t="s">
        <v>207</v>
      </c>
      <c r="Q164" s="49" t="str">
        <f t="shared" si="52"/>
        <v>09/06/2023</v>
      </c>
      <c r="R164" s="68">
        <f>IF(Q164="",0,DATEDIF(Q164,$C$1,"Y"))</f>
        <v>2</v>
      </c>
      <c r="S164" s="68">
        <f>IF(Q164="",0,DATEDIF(Q164,$C$1,"YM"))</f>
        <v>0</v>
      </c>
      <c r="T164" s="68">
        <f>IF(Q164="",0,DATEDIF(Q164,$C$1,"MD"))</f>
        <v>11</v>
      </c>
      <c r="U164" s="65"/>
      <c r="V164" s="65"/>
      <c r="W164" s="49" t="str">
        <f t="shared" si="56"/>
        <v/>
      </c>
      <c r="X164" s="68">
        <f>IF(W164="",0,DATEDIF(W164,Q164,"Y"))</f>
        <v>0</v>
      </c>
      <c r="Y164" s="68">
        <f>IF(W164="",0,DATEDIF(W164,Q164,"YM"))</f>
        <v>0</v>
      </c>
      <c r="Z164" s="68">
        <f>IF(W164="",0,DATEDIF(W164,Q164,"MD"))</f>
        <v>0</v>
      </c>
      <c r="AA164" s="49"/>
      <c r="AB164" s="65"/>
      <c r="AC164" s="50" t="str">
        <f t="shared" si="57"/>
        <v/>
      </c>
      <c r="AD164" s="68">
        <f t="shared" si="58"/>
        <v>0</v>
      </c>
      <c r="AE164" s="68">
        <f t="shared" si="59"/>
        <v>0</v>
      </c>
      <c r="AF164" s="68">
        <f t="shared" si="60"/>
        <v>0</v>
      </c>
      <c r="AG164" s="50"/>
      <c r="AH164" s="108" t="s">
        <v>482</v>
      </c>
      <c r="AI164" s="49" t="str">
        <f>IF(AH164="นิติศาสตร์","K5-LAW","K5-POLICY")</f>
        <v>K5-POLICY</v>
      </c>
      <c r="AJ164" s="72" t="str">
        <f>_xlfn.IFS(B164="","",AND(AI164="K5-LAW",AH164="นิติศาสตร์",L164="S2",U164="",AA164=""),Q164,AND(AI164="K5-LAW",AH164="นิติศาสตร์",L164="S1",U164="",AA164=""),EDATE(Q164,12),AND(AI164="K5-LAW",AH164="นิติศาสตร์",OR(L164="M2",L164="K4"),U164="",AA164=""),EDATE(Q164,12*2),AND(AI164="K5-LAW",AH164="นิติศาสตร์",OR(AA164="M2",AA164="K4"),AD164&gt;=2,OR(AC164&lt;W164,AC164&lt;Q164)),EDATE(AC164,12*2),AND(AI164="K5-LAW",AH164="นิติศาสตร์",AA164="S1",AD164&gt;=1,OR(AC164&lt;W164,AC164&lt;Q164)),EDATE(AC164,12),AND(AI164="K5-LAW",AH164="นิติศาสตร์",OR(U164="M2",U164="K4"),X164&gt;=2,W164&lt;Q164),EDATE(W164,12*2),AND(AI164="K5-LAW",AH164="นิติศาสตร์",U164="S1",X164&gt;=1,W164&lt;Q164),EDATE(W164,12),AND(AI164="K5-LAW",AH164="นิติศาสตร์",OR(U164="S2",U164="K5")),W164,AND(AI164="K5-LAW",AH164="นิติศาสตร์",OR(L164="M2",L164="K4"),R164&gt;=2),EDATE(Q164,12*2),AND(AI164="K5-LAW",AH164="นิติศาสตร์",L164="S1",R164&gt;=1),EDATE(Q164,12),AND(AI164="K5-LAW",AH164="นิติศาสตร์",OR(L164="S2",L164="K5")),Q164,AND(AI164="K5-POLICY",AH164&lt;&gt;"นิติศาสตร์",L164="S2",U164="",AA164=""),Q164,AND(AI164="K5-POLICY",AH164&lt;&gt;"นิติศาสตร์",L164="S1",U164="",AA164=""),EDATE(Q164,12),AND(AI164="K5-POLICY",AH164&lt;&gt;"นิติศาสตร์",OR(L164="M2",L164="K4"),U164="",AA164=""),EDATE(Q164,12*2),AND(AI164="K5-POLICY",AH164&lt;&gt;"นิติศาสตร์",OR(AA164="M2",AA164="K4"),AD164&gt;=2,OR(AC164&lt;W164,AC164&lt;Q164)),EDATE(AC164,12*2),AND(AI164="K5-POLICY",AH164&lt;&gt;"นิติศาสตร์",AA164="S1",AD164&gt;=1,OR(AC164&lt;W164,AC164&lt;Q164)),EDATE(AC164,12),AND(AI164="K5-POLICY",AH164&lt;&gt;"นิติศาสตร์",OR(U164="M2",U164="K4"),X164&gt;=2,W164&lt;Q164),EDATE(W164,12*2),AND(AI164="K5-POLICY",AH164&lt;&gt;"นิติศาสตร์",U164="S1",X164&gt;=1,W164&lt;Q164),EDATE(W164,12),AND(AI164="K5-POLICY",AH164&lt;&gt;"นิติศาสตร์",OR(U164="S2",U164="K5")),W164,AND(AI164="K5-POLICY",AH164&lt;&gt;"นิติศาสตร์",OR(L164="M2",L164="K4"),R164&gt;=2),EDATE(Q164,12*2),AND(AI164="K5-POLICY",AH164&lt;&gt;"นิติศาสตร์",L164="S1",R164&gt;=1),EDATE(Q164,12),AND(AI164="K5-POLICY",AH164&lt;&gt;"นิติศาสตร์",OR(L164="S2",L164="K5")),Q164,TRUE,"Check Data")</f>
        <v/>
      </c>
      <c r="AK164" s="75" t="str">
        <f t="shared" si="53"/>
        <v>Check Data</v>
      </c>
      <c r="AL164" s="76" t="str">
        <f t="shared" si="50"/>
        <v>Check Data</v>
      </c>
      <c r="AM164" s="50" t="str">
        <f t="shared" si="54"/>
        <v>Check Data</v>
      </c>
      <c r="AN164" s="49" t="str">
        <f>IF(B164="","",IF(L164="S1","S1",INDEX(#REF!,#REF!)))</f>
        <v/>
      </c>
      <c r="AO164" s="49" t="str">
        <f t="shared" si="55"/>
        <v>M2</v>
      </c>
      <c r="AP164" s="50" t="b">
        <f>L164=AN164</f>
        <v>0</v>
      </c>
      <c r="AQ164" s="50"/>
    </row>
    <row r="165" spans="1:43" ht="21.75">
      <c r="A165" s="49">
        <v>163</v>
      </c>
      <c r="B165" s="50"/>
      <c r="C165" s="50"/>
      <c r="D165" s="50" t="s">
        <v>144</v>
      </c>
      <c r="E165" s="50" t="e">
        <f>INDEX(#REF!,#REF!)</f>
        <v>#REF!</v>
      </c>
      <c r="F165" s="49" t="s">
        <v>190</v>
      </c>
      <c r="G165" s="49" t="str">
        <f t="shared" si="51"/>
        <v>16/03/1987</v>
      </c>
      <c r="H165" s="50">
        <f t="shared" si="47"/>
        <v>38</v>
      </c>
      <c r="I165" s="50">
        <f t="shared" si="48"/>
        <v>3</v>
      </c>
      <c r="J165" s="50">
        <f t="shared" si="49"/>
        <v>4</v>
      </c>
      <c r="K165" s="50"/>
      <c r="L165" s="49" t="s">
        <v>136</v>
      </c>
      <c r="M165" s="64"/>
      <c r="N165" s="49"/>
      <c r="O165" s="49"/>
      <c r="P165" s="65" t="s">
        <v>207</v>
      </c>
      <c r="Q165" s="49" t="str">
        <f t="shared" si="52"/>
        <v>09/06/2023</v>
      </c>
      <c r="R165" s="68">
        <f>IF(Q165="",0,DATEDIF(Q165,$C$1,"Y"))</f>
        <v>2</v>
      </c>
      <c r="S165" s="68">
        <f>IF(Q165="",0,DATEDIF(Q165,$C$1,"YM"))</f>
        <v>0</v>
      </c>
      <c r="T165" s="68">
        <f>IF(Q165="",0,DATEDIF(Q165,$C$1,"MD"))</f>
        <v>11</v>
      </c>
      <c r="U165" s="65" t="s">
        <v>137</v>
      </c>
      <c r="V165" s="65" t="s">
        <v>276</v>
      </c>
      <c r="W165" s="49" t="str">
        <f t="shared" si="56"/>
        <v>03/12/2021</v>
      </c>
      <c r="X165" s="68">
        <f>IF(W165="",0,DATEDIF(W165,Q165,"Y"))</f>
        <v>1</v>
      </c>
      <c r="Y165" s="68">
        <f>IF(W165="",0,DATEDIF(W165,Q165,"YM"))</f>
        <v>6</v>
      </c>
      <c r="Z165" s="68">
        <f>IF(W165="",0,DATEDIF(W165,Q165,"MD"))</f>
        <v>6</v>
      </c>
      <c r="AA165" s="49"/>
      <c r="AB165" s="65"/>
      <c r="AC165" s="50" t="str">
        <f t="shared" si="57"/>
        <v/>
      </c>
      <c r="AD165" s="68">
        <f t="shared" si="58"/>
        <v>0</v>
      </c>
      <c r="AE165" s="68">
        <f t="shared" si="59"/>
        <v>0</v>
      </c>
      <c r="AF165" s="68">
        <f t="shared" si="60"/>
        <v>0</v>
      </c>
      <c r="AG165" s="50"/>
      <c r="AH165" s="108" t="s">
        <v>486</v>
      </c>
      <c r="AI165" s="49" t="str">
        <f>IF(AH165="นิติศาสตร์","K5-LAW","K5-POLICY")</f>
        <v>K5-POLICY</v>
      </c>
      <c r="AJ165" s="72" t="str">
        <f>_xlfn.IFS(B165="","",AND(AI165="K5-LAW",AH165="นิติศาสตร์",L165="S2",U165="",AA165=""),Q165,AND(AI165="K5-LAW",AH165="นิติศาสตร์",L165="S1",U165="",AA165=""),EDATE(Q165,12),AND(AI165="K5-LAW",AH165="นิติศาสตร์",OR(L165="M2",L165="K4"),U165="",AA165=""),EDATE(Q165,12*2),AND(AI165="K5-LAW",AH165="นิติศาสตร์",OR(AA165="M2",AA165="K4"),AD165&gt;=2,OR(AC165&lt;W165,AC165&lt;Q165)),EDATE(AC165,12*2),AND(AI165="K5-LAW",AH165="นิติศาสตร์",AA165="S1",AD165&gt;=1,OR(AC165&lt;W165,AC165&lt;Q165)),EDATE(AC165,12),AND(AI165="K5-LAW",AH165="นิติศาสตร์",OR(U165="M2",U165="K4"),X165&gt;=2,W165&lt;Q165),EDATE(W165,12*2),AND(AI165="K5-LAW",AH165="นิติศาสตร์",U165="S1",X165&gt;=1,W165&lt;Q165),EDATE(W165,12),AND(AI165="K5-LAW",AH165="นิติศาสตร์",OR(U165="S2",U165="K5")),W165,AND(AI165="K5-LAW",AH165="นิติศาสตร์",OR(L165="M2",L165="K4"),R165&gt;=2),EDATE(Q165,12*2),AND(AI165="K5-LAW",AH165="นิติศาสตร์",L165="S1",R165&gt;=1),EDATE(Q165,12),AND(AI165="K5-LAW",AH165="นิติศาสตร์",OR(L165="S2",L165="K5")),Q165,AND(AI165="K5-POLICY",AH165&lt;&gt;"นิติศาสตร์",L165="S2",U165="",AA165=""),Q165,AND(AI165="K5-POLICY",AH165&lt;&gt;"นิติศาสตร์",L165="S1",U165="",AA165=""),EDATE(Q165,12),AND(AI165="K5-POLICY",AH165&lt;&gt;"นิติศาสตร์",OR(L165="M2",L165="K4"),U165="",AA165=""),EDATE(Q165,12*2),AND(AI165="K5-POLICY",AH165&lt;&gt;"นิติศาสตร์",OR(AA165="M2",AA165="K4"),AD165&gt;=2,OR(AC165&lt;W165,AC165&lt;Q165)),EDATE(AC165,12*2),AND(AI165="K5-POLICY",AH165&lt;&gt;"นิติศาสตร์",AA165="S1",AD165&gt;=1,OR(AC165&lt;W165,AC165&lt;Q165)),EDATE(AC165,12),AND(AI165="K5-POLICY",AH165&lt;&gt;"นิติศาสตร์",OR(U165="M2",U165="K4"),X165&gt;=2,W165&lt;Q165),EDATE(W165,12*2),AND(AI165="K5-POLICY",AH165&lt;&gt;"นิติศาสตร์",U165="S1",X165&gt;=1,W165&lt;Q165),EDATE(W165,12),AND(AI165="K5-POLICY",AH165&lt;&gt;"นิติศาสตร์",OR(U165="S2",U165="K5")),W165,AND(AI165="K5-POLICY",AH165&lt;&gt;"นิติศาสตร์",OR(L165="M2",L165="K4"),R165&gt;=2),EDATE(Q165,12*2),AND(AI165="K5-POLICY",AH165&lt;&gt;"นิติศาสตร์",L165="S1",R165&gt;=1),EDATE(Q165,12),AND(AI165="K5-POLICY",AH165&lt;&gt;"นิติศาสตร์",OR(L165="S2",L165="K5")),Q165,TRUE,"Check Data")</f>
        <v/>
      </c>
      <c r="AK165" s="75" t="str">
        <f t="shared" si="53"/>
        <v>Check Data</v>
      </c>
      <c r="AL165" s="76" t="str">
        <f t="shared" si="50"/>
        <v>Check Data</v>
      </c>
      <c r="AM165" s="50" t="str">
        <f t="shared" si="54"/>
        <v>Check Data</v>
      </c>
      <c r="AN165" s="49" t="str">
        <f>IF(B165="","",IF(L165="S1","S1",INDEX(#REF!,#REF!)))</f>
        <v/>
      </c>
      <c r="AO165" s="49" t="str">
        <f t="shared" si="55"/>
        <v>M2</v>
      </c>
      <c r="AP165" s="50" t="b">
        <f>L165=AN165</f>
        <v>0</v>
      </c>
      <c r="AQ165" s="50"/>
    </row>
    <row r="166" spans="1:43" ht="21.75">
      <c r="A166" s="49">
        <v>164</v>
      </c>
      <c r="B166" s="50"/>
      <c r="C166" s="50"/>
      <c r="D166" s="50" t="s">
        <v>144</v>
      </c>
      <c r="E166" s="50" t="e">
        <f>INDEX(#REF!,#REF!)</f>
        <v>#REF!</v>
      </c>
      <c r="F166" s="49" t="s">
        <v>523</v>
      </c>
      <c r="G166" s="49" t="str">
        <f t="shared" si="51"/>
        <v>08/09/2000</v>
      </c>
      <c r="H166" s="50">
        <f t="shared" si="47"/>
        <v>24</v>
      </c>
      <c r="I166" s="50">
        <f t="shared" si="48"/>
        <v>9</v>
      </c>
      <c r="J166" s="50">
        <f t="shared" si="49"/>
        <v>12</v>
      </c>
      <c r="K166" s="57"/>
      <c r="L166" s="49" t="s">
        <v>136</v>
      </c>
      <c r="M166" s="64"/>
      <c r="N166" s="49" t="s">
        <v>426</v>
      </c>
      <c r="O166" s="49">
        <v>2580</v>
      </c>
      <c r="P166" s="65" t="s">
        <v>373</v>
      </c>
      <c r="Q166" s="49" t="str">
        <f t="shared" si="52"/>
        <v>21/07/2023</v>
      </c>
      <c r="R166" s="68">
        <f>IF(Q166="",0,DATEDIF(Q166,$C$1,"Y"))</f>
        <v>1</v>
      </c>
      <c r="S166" s="68">
        <f>IF(Q166="",0,DATEDIF(Q166,$C$1,"YM"))</f>
        <v>10</v>
      </c>
      <c r="T166" s="68">
        <f>IF(Q166="",0,DATEDIF(Q166,$C$1,"MD"))</f>
        <v>30</v>
      </c>
      <c r="U166" s="65"/>
      <c r="V166" s="65"/>
      <c r="W166" s="49" t="str">
        <f t="shared" si="56"/>
        <v/>
      </c>
      <c r="X166" s="68">
        <f>IF(W166="",0,DATEDIF(W166,Q166,"Y"))</f>
        <v>0</v>
      </c>
      <c r="Y166" s="68">
        <f>IF(W166="",0,DATEDIF(W166,Q166,"YM"))</f>
        <v>0</v>
      </c>
      <c r="Z166" s="68">
        <f>IF(W166="",0,DATEDIF(W166,Q166,"MD"))</f>
        <v>0</v>
      </c>
      <c r="AA166" s="49"/>
      <c r="AB166" s="65"/>
      <c r="AC166" s="50" t="str">
        <f t="shared" si="57"/>
        <v/>
      </c>
      <c r="AD166" s="68">
        <f t="shared" si="58"/>
        <v>0</v>
      </c>
      <c r="AE166" s="68">
        <f t="shared" si="59"/>
        <v>0</v>
      </c>
      <c r="AF166" s="68">
        <f t="shared" si="60"/>
        <v>0</v>
      </c>
      <c r="AG166" s="50"/>
      <c r="AH166" s="108" t="s">
        <v>138</v>
      </c>
      <c r="AI166" s="49" t="str">
        <f>IF(AH166="นิติศาสตร์","K5-LAW","K5-POLICY")</f>
        <v>K5-LAW</v>
      </c>
      <c r="AJ166" s="72" t="str">
        <f>_xlfn.IFS(B166="","",AND(AI166="K5-LAW",AH166="นิติศาสตร์",L166="S2",U166="",AA166=""),Q166,AND(AI166="K5-LAW",AH166="นิติศาสตร์",L166="S1",U166="",AA166=""),EDATE(Q166,12),AND(AI166="K5-LAW",AH166="นิติศาสตร์",OR(L166="M2",L166="K4"),U166="",AA166=""),EDATE(Q166,12*2),AND(AI166="K5-LAW",AH166="นิติศาสตร์",OR(AA166="M2",AA166="K4"),AD166&gt;=2,OR(AC166&lt;W166,AC166&lt;Q166)),EDATE(AC166,12*2),AND(AI166="K5-LAW",AH166="นิติศาสตร์",AA166="S1",AD166&gt;=1,OR(AC166&lt;W166,AC166&lt;Q166)),EDATE(AC166,12),AND(AI166="K5-LAW",AH166="นิติศาสตร์",OR(U166="M2",U166="K4"),X166&gt;=2,W166&lt;Q166),EDATE(W166,12*2),AND(AI166="K5-LAW",AH166="นิติศาสตร์",U166="S1",X166&gt;=1,W166&lt;Q166),EDATE(W166,12),AND(AI166="K5-LAW",AH166="นิติศาสตร์",OR(U166="S2",U166="K5")),W166,AND(AI166="K5-LAW",AH166="นิติศาสตร์",OR(L166="M2",L166="K4"),R166&gt;=2),EDATE(Q166,12*2),AND(AI166="K5-LAW",AH166="นิติศาสตร์",L166="S1",R166&gt;=1),EDATE(Q166,12),AND(AI166="K5-LAW",AH166="นิติศาสตร์",OR(L166="S2",L166="K5")),Q166,AND(AI166="K5-POLICY",AH166&lt;&gt;"นิติศาสตร์",L166="S2",U166="",AA166=""),Q166,AND(AI166="K5-POLICY",AH166&lt;&gt;"นิติศาสตร์",L166="S1",U166="",AA166=""),EDATE(Q166,12),AND(AI166="K5-POLICY",AH166&lt;&gt;"นิติศาสตร์",OR(L166="M2",L166="K4"),U166="",AA166=""),EDATE(Q166,12*2),AND(AI166="K5-POLICY",AH166&lt;&gt;"นิติศาสตร์",OR(AA166="M2",AA166="K4"),AD166&gt;=2,OR(AC166&lt;W166,AC166&lt;Q166)),EDATE(AC166,12*2),AND(AI166="K5-POLICY",AH166&lt;&gt;"นิติศาสตร์",AA166="S1",AD166&gt;=1,OR(AC166&lt;W166,AC166&lt;Q166)),EDATE(AC166,12),AND(AI166="K5-POLICY",AH166&lt;&gt;"นิติศาสตร์",OR(U166="M2",U166="K4"),X166&gt;=2,W166&lt;Q166),EDATE(W166,12*2),AND(AI166="K5-POLICY",AH166&lt;&gt;"นิติศาสตร์",U166="S1",X166&gt;=1,W166&lt;Q166),EDATE(W166,12),AND(AI166="K5-POLICY",AH166&lt;&gt;"นิติศาสตร์",OR(U166="S2",U166="K5")),W166,AND(AI166="K5-POLICY",AH166&lt;&gt;"นิติศาสตร์",OR(L166="M2",L166="K4"),R166&gt;=2),EDATE(Q166,12*2),AND(AI166="K5-POLICY",AH166&lt;&gt;"นิติศาสตร์",L166="S1",R166&gt;=1),EDATE(Q166,12),AND(AI166="K5-POLICY",AH166&lt;&gt;"นิติศาสตร์",OR(L166="S2",L166="K5")),Q166,TRUE,"Check Data")</f>
        <v/>
      </c>
      <c r="AK166" s="75" t="str">
        <f t="shared" si="53"/>
        <v>Check Data</v>
      </c>
      <c r="AL166" s="76" t="str">
        <f t="shared" si="50"/>
        <v>Check Data</v>
      </c>
      <c r="AM166" s="50" t="str">
        <f t="shared" si="54"/>
        <v>Check Data</v>
      </c>
      <c r="AN166" s="49" t="str">
        <f>IF(B166="","",IF(L166="S1","S1",INDEX(#REF!,#REF!)))</f>
        <v/>
      </c>
      <c r="AO166" s="49" t="str">
        <f t="shared" si="55"/>
        <v>M2</v>
      </c>
      <c r="AP166" s="50" t="b">
        <f>L166=AN166</f>
        <v>0</v>
      </c>
      <c r="AQ166" s="50"/>
    </row>
    <row r="167" spans="1:43" ht="21.75">
      <c r="A167" s="49">
        <v>165</v>
      </c>
      <c r="B167" s="50"/>
      <c r="C167" s="50"/>
      <c r="D167" s="50" t="s">
        <v>144</v>
      </c>
      <c r="E167" s="50" t="e">
        <f>INDEX(#REF!,#REF!)</f>
        <v>#REF!</v>
      </c>
      <c r="F167" s="49" t="s">
        <v>372</v>
      </c>
      <c r="G167" s="49" t="str">
        <f t="shared" si="51"/>
        <v>26/12/1991</v>
      </c>
      <c r="H167" s="50">
        <f t="shared" si="47"/>
        <v>33</v>
      </c>
      <c r="I167" s="50">
        <f t="shared" si="48"/>
        <v>5</v>
      </c>
      <c r="J167" s="50">
        <f t="shared" si="49"/>
        <v>25</v>
      </c>
      <c r="K167" s="57"/>
      <c r="L167" s="49" t="s">
        <v>136</v>
      </c>
      <c r="M167" s="64"/>
      <c r="N167" s="49" t="s">
        <v>426</v>
      </c>
      <c r="O167" s="49">
        <v>2577</v>
      </c>
      <c r="P167" s="65" t="s">
        <v>373</v>
      </c>
      <c r="Q167" s="49" t="str">
        <f t="shared" si="52"/>
        <v>21/07/2023</v>
      </c>
      <c r="R167" s="68">
        <f>IF(Q167="",0,DATEDIF(Q167,$C$1,"Y"))</f>
        <v>1</v>
      </c>
      <c r="S167" s="68">
        <f>IF(Q167="",0,DATEDIF(Q167,$C$1,"YM"))</f>
        <v>10</v>
      </c>
      <c r="T167" s="68">
        <f>IF(Q167="",0,DATEDIF(Q167,$C$1,"MD"))</f>
        <v>30</v>
      </c>
      <c r="U167" s="65"/>
      <c r="V167" s="65"/>
      <c r="W167" s="49" t="str">
        <f t="shared" si="56"/>
        <v/>
      </c>
      <c r="X167" s="68">
        <f>IF(W167="",0,DATEDIF(W167,Q167,"Y"))</f>
        <v>0</v>
      </c>
      <c r="Y167" s="68">
        <f>IF(W167="",0,DATEDIF(W167,Q167,"YM"))</f>
        <v>0</v>
      </c>
      <c r="Z167" s="68">
        <f>IF(W167="",0,DATEDIF(W167,Q167,"MD"))</f>
        <v>0</v>
      </c>
      <c r="AA167" s="49"/>
      <c r="AB167" s="65"/>
      <c r="AC167" s="50" t="str">
        <f t="shared" si="57"/>
        <v/>
      </c>
      <c r="AD167" s="68">
        <f t="shared" si="58"/>
        <v>0</v>
      </c>
      <c r="AE167" s="68">
        <f t="shared" si="59"/>
        <v>0</v>
      </c>
      <c r="AF167" s="68">
        <f t="shared" si="60"/>
        <v>0</v>
      </c>
      <c r="AG167" s="50"/>
      <c r="AH167" s="108" t="s">
        <v>163</v>
      </c>
      <c r="AI167" s="49" t="str">
        <f>IF(AH167="นิติศาสตร์","K5-LAW","K5-POLICY")</f>
        <v>K5-POLICY</v>
      </c>
      <c r="AJ167" s="72" t="str">
        <f>_xlfn.IFS(B167="","",AND(AI167="K5-LAW",AH167="นิติศาสตร์",L167="S2",U167="",AA167=""),Q167,AND(AI167="K5-LAW",AH167="นิติศาสตร์",L167="S1",U167="",AA167=""),EDATE(Q167,12),AND(AI167="K5-LAW",AH167="นิติศาสตร์",OR(L167="M2",L167="K4"),U167="",AA167=""),EDATE(Q167,12*2),AND(AI167="K5-LAW",AH167="นิติศาสตร์",OR(AA167="M2",AA167="K4"),AD167&gt;=2,OR(AC167&lt;W167,AC167&lt;Q167)),EDATE(AC167,12*2),AND(AI167="K5-LAW",AH167="นิติศาสตร์",AA167="S1",AD167&gt;=1,OR(AC167&lt;W167,AC167&lt;Q167)),EDATE(AC167,12),AND(AI167="K5-LAW",AH167="นิติศาสตร์",OR(U167="M2",U167="K4"),X167&gt;=2,W167&lt;Q167),EDATE(W167,12*2),AND(AI167="K5-LAW",AH167="นิติศาสตร์",U167="S1",X167&gt;=1,W167&lt;Q167),EDATE(W167,12),AND(AI167="K5-LAW",AH167="นิติศาสตร์",OR(U167="S2",U167="K5")),W167,AND(AI167="K5-LAW",AH167="นิติศาสตร์",OR(L167="M2",L167="K4"),R167&gt;=2),EDATE(Q167,12*2),AND(AI167="K5-LAW",AH167="นิติศาสตร์",L167="S1",R167&gt;=1),EDATE(Q167,12),AND(AI167="K5-LAW",AH167="นิติศาสตร์",OR(L167="S2",L167="K5")),Q167,AND(AI167="K5-POLICY",AH167&lt;&gt;"นิติศาสตร์",L167="S2",U167="",AA167=""),Q167,AND(AI167="K5-POLICY",AH167&lt;&gt;"นิติศาสตร์",L167="S1",U167="",AA167=""),EDATE(Q167,12),AND(AI167="K5-POLICY",AH167&lt;&gt;"นิติศาสตร์",OR(L167="M2",L167="K4"),U167="",AA167=""),EDATE(Q167,12*2),AND(AI167="K5-POLICY",AH167&lt;&gt;"นิติศาสตร์",OR(AA167="M2",AA167="K4"),AD167&gt;=2,OR(AC167&lt;W167,AC167&lt;Q167)),EDATE(AC167,12*2),AND(AI167="K5-POLICY",AH167&lt;&gt;"นิติศาสตร์",AA167="S1",AD167&gt;=1,OR(AC167&lt;W167,AC167&lt;Q167)),EDATE(AC167,12),AND(AI167="K5-POLICY",AH167&lt;&gt;"นิติศาสตร์",OR(U167="M2",U167="K4"),X167&gt;=2,W167&lt;Q167),EDATE(W167,12*2),AND(AI167="K5-POLICY",AH167&lt;&gt;"นิติศาสตร์",U167="S1",X167&gt;=1,W167&lt;Q167),EDATE(W167,12),AND(AI167="K5-POLICY",AH167&lt;&gt;"นิติศาสตร์",OR(U167="S2",U167="K5")),W167,AND(AI167="K5-POLICY",AH167&lt;&gt;"นิติศาสตร์",OR(L167="M2",L167="K4"),R167&gt;=2),EDATE(Q167,12*2),AND(AI167="K5-POLICY",AH167&lt;&gt;"นิติศาสตร์",L167="S1",R167&gt;=1),EDATE(Q167,12),AND(AI167="K5-POLICY",AH167&lt;&gt;"นิติศาสตร์",OR(L167="S2",L167="K5")),Q167,TRUE,"Check Data")</f>
        <v/>
      </c>
      <c r="AK167" s="75" t="str">
        <f t="shared" si="53"/>
        <v>Check Data</v>
      </c>
      <c r="AL167" s="76" t="str">
        <f t="shared" si="50"/>
        <v>Check Data</v>
      </c>
      <c r="AM167" s="50" t="str">
        <f t="shared" si="54"/>
        <v>Check Data</v>
      </c>
      <c r="AN167" s="49" t="str">
        <f>IF(B167="","",IF(L167="S1","S1",INDEX(#REF!,#REF!)))</f>
        <v/>
      </c>
      <c r="AO167" s="49" t="str">
        <f t="shared" si="55"/>
        <v>M2</v>
      </c>
      <c r="AP167" s="50" t="b">
        <f>L167=AN167</f>
        <v>0</v>
      </c>
      <c r="AQ167" s="50"/>
    </row>
    <row r="168" spans="1:43" ht="21.75">
      <c r="A168" s="49">
        <v>166</v>
      </c>
      <c r="B168" s="50"/>
      <c r="C168" s="50"/>
      <c r="D168" s="50" t="s">
        <v>34</v>
      </c>
      <c r="E168" s="50" t="e">
        <f>INDEX(#REF!,#REF!)</f>
        <v>#REF!</v>
      </c>
      <c r="F168" s="49" t="s">
        <v>453</v>
      </c>
      <c r="G168" s="49" t="str">
        <f t="shared" si="51"/>
        <v>01/09/2005</v>
      </c>
      <c r="H168" s="50">
        <f t="shared" si="47"/>
        <v>19</v>
      </c>
      <c r="I168" s="50">
        <f t="shared" si="48"/>
        <v>9</v>
      </c>
      <c r="J168" s="50">
        <f t="shared" si="49"/>
        <v>19</v>
      </c>
      <c r="K168" s="78"/>
      <c r="L168" s="49" t="s">
        <v>136</v>
      </c>
      <c r="M168" s="64"/>
      <c r="N168" s="49" t="s">
        <v>426</v>
      </c>
      <c r="O168" s="49">
        <v>2582</v>
      </c>
      <c r="P168" s="65" t="s">
        <v>431</v>
      </c>
      <c r="Q168" s="49" t="str">
        <f t="shared" si="52"/>
        <v>27/07/2023</v>
      </c>
      <c r="R168" s="68">
        <f>IF(Q168="",0,DATEDIF(Q168,$C$1,"Y"))</f>
        <v>1</v>
      </c>
      <c r="S168" s="68">
        <f>IF(Q168="",0,DATEDIF(Q168,$C$1,"YM"))</f>
        <v>10</v>
      </c>
      <c r="T168" s="68">
        <f>IF(Q168="",0,DATEDIF(Q168,$C$1,"MD"))</f>
        <v>24</v>
      </c>
      <c r="U168" s="65"/>
      <c r="V168" s="65"/>
      <c r="W168" s="49" t="str">
        <f t="shared" si="56"/>
        <v/>
      </c>
      <c r="X168" s="68">
        <f>IF(W168="",0,DATEDIF(W168,Q168,"Y"))</f>
        <v>0</v>
      </c>
      <c r="Y168" s="68">
        <f>IF(W168="",0,DATEDIF(W168,Q168,"YM"))</f>
        <v>0</v>
      </c>
      <c r="Z168" s="68">
        <f>IF(W168="",0,DATEDIF(W168,Q168,"MD"))</f>
        <v>0</v>
      </c>
      <c r="AA168" s="49"/>
      <c r="AB168" s="65"/>
      <c r="AC168" s="50" t="str">
        <f t="shared" si="57"/>
        <v/>
      </c>
      <c r="AD168" s="68">
        <f t="shared" si="58"/>
        <v>0</v>
      </c>
      <c r="AE168" s="68">
        <f t="shared" si="59"/>
        <v>0</v>
      </c>
      <c r="AF168" s="68">
        <f t="shared" si="60"/>
        <v>0</v>
      </c>
      <c r="AG168" s="50"/>
      <c r="AH168" s="108" t="s">
        <v>524</v>
      </c>
      <c r="AI168" s="49" t="str">
        <f>IF(AH168="นิติศาสตร์","K5-LAW","K5-POLICY")</f>
        <v>K5-POLICY</v>
      </c>
      <c r="AJ168" s="72" t="str">
        <f>_xlfn.IFS(B168="","",AND(AI168="K5-LAW",AH168="นิติศาสตร์",L168="S2",U168="",AA168=""),Q168,AND(AI168="K5-LAW",AH168="นิติศาสตร์",L168="S1",U168="",AA168=""),EDATE(Q168,12),AND(AI168="K5-LAW",AH168="นิติศาสตร์",OR(L168="M2",L168="K4"),U168="",AA168=""),EDATE(Q168,12*2),AND(AI168="K5-LAW",AH168="นิติศาสตร์",OR(AA168="M2",AA168="K4"),AD168&gt;=2,OR(AC168&lt;W168,AC168&lt;Q168)),EDATE(AC168,12*2),AND(AI168="K5-LAW",AH168="นิติศาสตร์",AA168="S1",AD168&gt;=1,OR(AC168&lt;W168,AC168&lt;Q168)),EDATE(AC168,12),AND(AI168="K5-LAW",AH168="นิติศาสตร์",OR(U168="M2",U168="K4"),X168&gt;=2,W168&lt;Q168),EDATE(W168,12*2),AND(AI168="K5-LAW",AH168="นิติศาสตร์",U168="S1",X168&gt;=1,W168&lt;Q168),EDATE(W168,12),AND(AI168="K5-LAW",AH168="นิติศาสตร์",OR(U168="S2",U168="K5")),W168,AND(AI168="K5-LAW",AH168="นิติศาสตร์",OR(L168="M2",L168="K4"),R168&gt;=2),EDATE(Q168,12*2),AND(AI168="K5-LAW",AH168="นิติศาสตร์",L168="S1",R168&gt;=1),EDATE(Q168,12),AND(AI168="K5-LAW",AH168="นิติศาสตร์",OR(L168="S2",L168="K5")),Q168,AND(AI168="K5-POLICY",AH168&lt;&gt;"นิติศาสตร์",L168="S2",U168="",AA168=""),Q168,AND(AI168="K5-POLICY",AH168&lt;&gt;"นิติศาสตร์",L168="S1",U168="",AA168=""),EDATE(Q168,12),AND(AI168="K5-POLICY",AH168&lt;&gt;"นิติศาสตร์",OR(L168="M2",L168="K4"),U168="",AA168=""),EDATE(Q168,12*2),AND(AI168="K5-POLICY",AH168&lt;&gt;"นิติศาสตร์",OR(AA168="M2",AA168="K4"),AD168&gt;=2,OR(AC168&lt;W168,AC168&lt;Q168)),EDATE(AC168,12*2),AND(AI168="K5-POLICY",AH168&lt;&gt;"นิติศาสตร์",AA168="S1",AD168&gt;=1,OR(AC168&lt;W168,AC168&lt;Q168)),EDATE(AC168,12),AND(AI168="K5-POLICY",AH168&lt;&gt;"นิติศาสตร์",OR(U168="M2",U168="K4"),X168&gt;=2,W168&lt;Q168),EDATE(W168,12*2),AND(AI168="K5-POLICY",AH168&lt;&gt;"นิติศาสตร์",U168="S1",X168&gt;=1,W168&lt;Q168),EDATE(W168,12),AND(AI168="K5-POLICY",AH168&lt;&gt;"นิติศาสตร์",OR(U168="S2",U168="K5")),W168,AND(AI168="K5-POLICY",AH168&lt;&gt;"นิติศาสตร์",OR(L168="M2",L168="K4"),R168&gt;=2),EDATE(Q168,12*2),AND(AI168="K5-POLICY",AH168&lt;&gt;"นิติศาสตร์",L168="S1",R168&gt;=1),EDATE(Q168,12),AND(AI168="K5-POLICY",AH168&lt;&gt;"นิติศาสตร์",OR(L168="S2",L168="K5")),Q168,TRUE,"Check Data")</f>
        <v/>
      </c>
      <c r="AK168" s="75" t="str">
        <f t="shared" si="53"/>
        <v>Check Data</v>
      </c>
      <c r="AL168" s="76" t="str">
        <f t="shared" si="50"/>
        <v>Check Data</v>
      </c>
      <c r="AM168" s="50" t="str">
        <f t="shared" si="54"/>
        <v>Check Data</v>
      </c>
      <c r="AN168" s="49" t="str">
        <f>IF(B168="","",IF(L168="S1","S1",INDEX(#REF!,#REF!)))</f>
        <v/>
      </c>
      <c r="AO168" s="49" t="str">
        <f t="shared" si="55"/>
        <v>M2</v>
      </c>
      <c r="AP168" s="50" t="b">
        <f>L168=AN168</f>
        <v>0</v>
      </c>
      <c r="AQ168" s="50"/>
    </row>
    <row r="169" spans="1:43" ht="21.75">
      <c r="A169" s="49">
        <v>167</v>
      </c>
      <c r="B169" s="50"/>
      <c r="C169" s="50"/>
      <c r="D169" s="50" t="s">
        <v>141</v>
      </c>
      <c r="E169" s="50" t="e">
        <f>INDEX(#REF!,#REF!)</f>
        <v>#REF!</v>
      </c>
      <c r="F169" s="49" t="s">
        <v>243</v>
      </c>
      <c r="G169" s="49" t="str">
        <f t="shared" si="51"/>
        <v>03/01/1995</v>
      </c>
      <c r="H169" s="50">
        <f t="shared" si="47"/>
        <v>30</v>
      </c>
      <c r="I169" s="50">
        <f t="shared" si="48"/>
        <v>5</v>
      </c>
      <c r="J169" s="50">
        <f t="shared" si="49"/>
        <v>17</v>
      </c>
      <c r="K169" s="60"/>
      <c r="L169" s="49" t="s">
        <v>136</v>
      </c>
      <c r="M169" s="64"/>
      <c r="N169" s="49" t="s">
        <v>427</v>
      </c>
      <c r="O169" s="49">
        <v>2573</v>
      </c>
      <c r="P169" s="65" t="s">
        <v>249</v>
      </c>
      <c r="Q169" s="49" t="str">
        <f t="shared" si="52"/>
        <v>25/09/2023</v>
      </c>
      <c r="R169" s="68">
        <f>IF(Q169="",0,DATEDIF(Q169,$C$1,"Y"))</f>
        <v>1</v>
      </c>
      <c r="S169" s="68">
        <f>IF(Q169="",0,DATEDIF(Q169,$C$1,"YM"))</f>
        <v>8</v>
      </c>
      <c r="T169" s="68">
        <f>IF(Q169="",0,DATEDIF(Q169,$C$1,"MD"))</f>
        <v>26</v>
      </c>
      <c r="U169" s="65"/>
      <c r="V169" s="65"/>
      <c r="W169" s="49" t="str">
        <f t="shared" si="56"/>
        <v/>
      </c>
      <c r="X169" s="68">
        <f>IF(W169="",0,DATEDIF(W169,Q169,"Y"))</f>
        <v>0</v>
      </c>
      <c r="Y169" s="68">
        <f>IF(W169="",0,DATEDIF(W169,Q169,"YM"))</f>
        <v>0</v>
      </c>
      <c r="Z169" s="68">
        <f>IF(W169="",0,DATEDIF(W169,Q169,"MD"))</f>
        <v>0</v>
      </c>
      <c r="AA169" s="49"/>
      <c r="AB169" s="65"/>
      <c r="AC169" s="50" t="str">
        <f t="shared" si="57"/>
        <v/>
      </c>
      <c r="AD169" s="68">
        <f t="shared" si="58"/>
        <v>0</v>
      </c>
      <c r="AE169" s="68">
        <f t="shared" si="59"/>
        <v>0</v>
      </c>
      <c r="AF169" s="68">
        <f t="shared" si="60"/>
        <v>0</v>
      </c>
      <c r="AG169" s="50"/>
      <c r="AH169" s="108" t="s">
        <v>138</v>
      </c>
      <c r="AI169" s="49" t="str">
        <f>IF(AH169="นิติศาสตร์","K5-LAW","K5-POLICY")</f>
        <v>K5-LAW</v>
      </c>
      <c r="AJ169" s="72" t="str">
        <f>_xlfn.IFS(B169="","",AND(AI169="K5-LAW",AH169="นิติศาสตร์",L169="S2",U169="",AA169=""),Q169,AND(AI169="K5-LAW",AH169="นิติศาสตร์",L169="S1",U169="",AA169=""),EDATE(Q169,12),AND(AI169="K5-LAW",AH169="นิติศาสตร์",OR(L169="M2",L169="K4"),U169="",AA169=""),EDATE(Q169,12*2),AND(AI169="K5-LAW",AH169="นิติศาสตร์",OR(AA169="M2",AA169="K4"),AD169&gt;=2,OR(AC169&lt;W169,AC169&lt;Q169)),EDATE(AC169,12*2),AND(AI169="K5-LAW",AH169="นิติศาสตร์",AA169="S1",AD169&gt;=1,OR(AC169&lt;W169,AC169&lt;Q169)),EDATE(AC169,12),AND(AI169="K5-LAW",AH169="นิติศาสตร์",OR(U169="M2",U169="K4"),X169&gt;=2,W169&lt;Q169),EDATE(W169,12*2),AND(AI169="K5-LAW",AH169="นิติศาสตร์",U169="S1",X169&gt;=1,W169&lt;Q169),EDATE(W169,12),AND(AI169="K5-LAW",AH169="นิติศาสตร์",OR(U169="S2",U169="K5")),W169,AND(AI169="K5-LAW",AH169="นิติศาสตร์",OR(L169="M2",L169="K4"),R169&gt;=2),EDATE(Q169,12*2),AND(AI169="K5-LAW",AH169="นิติศาสตร์",L169="S1",R169&gt;=1),EDATE(Q169,12),AND(AI169="K5-LAW",AH169="นิติศาสตร์",OR(L169="S2",L169="K5")),Q169,AND(AI169="K5-POLICY",AH169&lt;&gt;"นิติศาสตร์",L169="S2",U169="",AA169=""),Q169,AND(AI169="K5-POLICY",AH169&lt;&gt;"นิติศาสตร์",L169="S1",U169="",AA169=""),EDATE(Q169,12),AND(AI169="K5-POLICY",AH169&lt;&gt;"นิติศาสตร์",OR(L169="M2",L169="K4"),U169="",AA169=""),EDATE(Q169,12*2),AND(AI169="K5-POLICY",AH169&lt;&gt;"นิติศาสตร์",OR(AA169="M2",AA169="K4"),AD169&gt;=2,OR(AC169&lt;W169,AC169&lt;Q169)),EDATE(AC169,12*2),AND(AI169="K5-POLICY",AH169&lt;&gt;"นิติศาสตร์",AA169="S1",AD169&gt;=1,OR(AC169&lt;W169,AC169&lt;Q169)),EDATE(AC169,12),AND(AI169="K5-POLICY",AH169&lt;&gt;"นิติศาสตร์",OR(U169="M2",U169="K4"),X169&gt;=2,W169&lt;Q169),EDATE(W169,12*2),AND(AI169="K5-POLICY",AH169&lt;&gt;"นิติศาสตร์",U169="S1",X169&gt;=1,W169&lt;Q169),EDATE(W169,12),AND(AI169="K5-POLICY",AH169&lt;&gt;"นิติศาสตร์",OR(U169="S2",U169="K5")),W169,AND(AI169="K5-POLICY",AH169&lt;&gt;"นิติศาสตร์",OR(L169="M2",L169="K4"),R169&gt;=2),EDATE(Q169,12*2),AND(AI169="K5-POLICY",AH169&lt;&gt;"นิติศาสตร์",L169="S1",R169&gt;=1),EDATE(Q169,12),AND(AI169="K5-POLICY",AH169&lt;&gt;"นิติศาสตร์",OR(L169="S2",L169="K5")),Q169,TRUE,"Check Data")</f>
        <v/>
      </c>
      <c r="AK169" s="75" t="str">
        <f t="shared" si="53"/>
        <v>Check Data</v>
      </c>
      <c r="AL169" s="76" t="str">
        <f t="shared" si="50"/>
        <v>Check Data</v>
      </c>
      <c r="AM169" s="50" t="str">
        <f t="shared" si="54"/>
        <v>Check Data</v>
      </c>
      <c r="AN169" s="49" t="str">
        <f>IF(B169="","",IF(L169="S1","S1",INDEX(#REF!,#REF!)))</f>
        <v/>
      </c>
      <c r="AO169" s="49" t="str">
        <f t="shared" si="55"/>
        <v>M2</v>
      </c>
      <c r="AP169" s="50" t="b">
        <f>L169=AN169</f>
        <v>0</v>
      </c>
      <c r="AQ169" s="50"/>
    </row>
    <row r="170" spans="1:43" ht="21.75">
      <c r="A170" s="49">
        <v>168</v>
      </c>
      <c r="B170" s="50"/>
      <c r="C170" s="53"/>
      <c r="D170" s="50" t="s">
        <v>141</v>
      </c>
      <c r="E170" s="50" t="e">
        <f>INDEX(#REF!,#REF!)</f>
        <v>#REF!</v>
      </c>
      <c r="F170" s="49" t="s">
        <v>253</v>
      </c>
      <c r="G170" s="49" t="str">
        <f t="shared" ref="G170:G171" si="61">IF(F170="","",TEXT(EDATE(F170,-543*12),"dd/mm/yyyy"))</f>
        <v>26/01/1995</v>
      </c>
      <c r="H170" s="50">
        <f t="shared" si="47"/>
        <v>30</v>
      </c>
      <c r="I170" s="50">
        <f t="shared" si="48"/>
        <v>4</v>
      </c>
      <c r="J170" s="50">
        <f t="shared" si="49"/>
        <v>25</v>
      </c>
      <c r="K170" s="60"/>
      <c r="L170" s="49" t="s">
        <v>136</v>
      </c>
      <c r="M170" s="64"/>
      <c r="N170" s="49" t="s">
        <v>427</v>
      </c>
      <c r="O170" s="49">
        <v>2574</v>
      </c>
      <c r="P170" s="65" t="s">
        <v>249</v>
      </c>
      <c r="Q170" s="49" t="str">
        <f t="shared" ref="Q170:Q171" si="62">TEXT(EDATE(P170,-543*12),"dd/mm/yyyy")</f>
        <v>25/09/2023</v>
      </c>
      <c r="R170" s="68">
        <f>IF(Q170="",0,DATEDIF(Q170,$C$1,"Y"))</f>
        <v>1</v>
      </c>
      <c r="S170" s="68">
        <f>IF(Q170="",0,DATEDIF(Q170,$C$1,"YM"))</f>
        <v>8</v>
      </c>
      <c r="T170" s="68">
        <f>IF(Q170="",0,DATEDIF(Q170,$C$1,"MD"))</f>
        <v>26</v>
      </c>
      <c r="U170" s="65"/>
      <c r="V170" s="65"/>
      <c r="W170" s="49" t="str">
        <f t="shared" si="56"/>
        <v/>
      </c>
      <c r="X170" s="68">
        <f>IF(W170="",0,DATEDIF(W170,Q170,"Y"))</f>
        <v>0</v>
      </c>
      <c r="Y170" s="68">
        <f>IF(W170="",0,DATEDIF(W170,Q170,"YM"))</f>
        <v>0</v>
      </c>
      <c r="Z170" s="68">
        <f>IF(W170="",0,DATEDIF(W170,Q170,"MD"))</f>
        <v>0</v>
      </c>
      <c r="AA170" s="49"/>
      <c r="AB170" s="65"/>
      <c r="AC170" s="50" t="str">
        <f t="shared" si="57"/>
        <v/>
      </c>
      <c r="AD170" s="68">
        <f t="shared" si="58"/>
        <v>0</v>
      </c>
      <c r="AE170" s="68">
        <f t="shared" si="59"/>
        <v>0</v>
      </c>
      <c r="AF170" s="68">
        <f t="shared" si="60"/>
        <v>0</v>
      </c>
      <c r="AG170" s="50"/>
      <c r="AH170" s="108" t="s">
        <v>138</v>
      </c>
      <c r="AI170" s="49" t="str">
        <f>IF(AH170="นิติศาสตร์","K5-LAW","K5-POLICY")</f>
        <v>K5-LAW</v>
      </c>
      <c r="AJ170" s="72" t="str">
        <f>_xlfn.IFS(B170="","",AND(AI170="K5-LAW",AH170="นิติศาสตร์",L170="S2",U170="",AA170=""),Q170,AND(AI170="K5-LAW",AH170="นิติศาสตร์",L170="S1",U170="",AA170=""),EDATE(Q170,12),AND(AI170="K5-LAW",AH170="นิติศาสตร์",OR(L170="M2",L170="K4"),U170="",AA170=""),EDATE(Q170,12*2),AND(AI170="K5-LAW",AH170="นิติศาสตร์",OR(AA170="M2",AA170="K4"),AD170&gt;=2,OR(AC170&lt;W170,AC170&lt;Q170)),EDATE(AC170,12*2),AND(AI170="K5-LAW",AH170="นิติศาสตร์",AA170="S1",AD170&gt;=1,OR(AC170&lt;W170,AC170&lt;Q170)),EDATE(AC170,12),AND(AI170="K5-LAW",AH170="นิติศาสตร์",OR(U170="M2",U170="K4"),X170&gt;=2,W170&lt;Q170),EDATE(W170,12*2),AND(AI170="K5-LAW",AH170="นิติศาสตร์",U170="S1",X170&gt;=1,W170&lt;Q170),EDATE(W170,12),AND(AI170="K5-LAW",AH170="นิติศาสตร์",OR(U170="S2",U170="K5")),W170,AND(AI170="K5-LAW",AH170="นิติศาสตร์",OR(L170="M2",L170="K4"),R170&gt;=2),EDATE(Q170,12*2),AND(AI170="K5-LAW",AH170="นิติศาสตร์",L170="S1",R170&gt;=1),EDATE(Q170,12),AND(AI170="K5-LAW",AH170="นิติศาสตร์",OR(L170="S2",L170="K5")),Q170,AND(AI170="K5-POLICY",AH170&lt;&gt;"นิติศาสตร์",L170="S2",U170="",AA170=""),Q170,AND(AI170="K5-POLICY",AH170&lt;&gt;"นิติศาสตร์",L170="S1",U170="",AA170=""),EDATE(Q170,12),AND(AI170="K5-POLICY",AH170&lt;&gt;"นิติศาสตร์",OR(L170="M2",L170="K4"),U170="",AA170=""),EDATE(Q170,12*2),AND(AI170="K5-POLICY",AH170&lt;&gt;"นิติศาสตร์",OR(AA170="M2",AA170="K4"),AD170&gt;=2,OR(AC170&lt;W170,AC170&lt;Q170)),EDATE(AC170,12*2),AND(AI170="K5-POLICY",AH170&lt;&gt;"นิติศาสตร์",AA170="S1",AD170&gt;=1,OR(AC170&lt;W170,AC170&lt;Q170)),EDATE(AC170,12),AND(AI170="K5-POLICY",AH170&lt;&gt;"นิติศาสตร์",OR(U170="M2",U170="K4"),X170&gt;=2,W170&lt;Q170),EDATE(W170,12*2),AND(AI170="K5-POLICY",AH170&lt;&gt;"นิติศาสตร์",U170="S1",X170&gt;=1,W170&lt;Q170),EDATE(W170,12),AND(AI170="K5-POLICY",AH170&lt;&gt;"นิติศาสตร์",OR(U170="S2",U170="K5")),W170,AND(AI170="K5-POLICY",AH170&lt;&gt;"นิติศาสตร์",OR(L170="M2",L170="K4"),R170&gt;=2),EDATE(Q170,12*2),AND(AI170="K5-POLICY",AH170&lt;&gt;"นิติศาสตร์",L170="S1",R170&gt;=1),EDATE(Q170,12),AND(AI170="K5-POLICY",AH170&lt;&gt;"นิติศาสตร์",OR(L170="S2",L170="K5")),Q170,TRUE,"Check Data")</f>
        <v/>
      </c>
      <c r="AK170" s="75" t="str">
        <f t="shared" ref="AK170:AK201" si="63">IFERROR(TEXT(EDATE(AJ170,543*12),"dd/mm/yyyy"),"Check Data")</f>
        <v>Check Data</v>
      </c>
      <c r="AL170" s="76" t="str">
        <f t="shared" si="50"/>
        <v>Check Data</v>
      </c>
      <c r="AM170" s="50" t="str">
        <f t="shared" ref="AM170:AM201" si="64">_xlfn.IFS(AL170="Check Data","Check Data",AL170&gt;30,"ยังไม่ถึงเกณฑ์",AL170&gt;0,"ใกล้ถึงเกณฑ์",AL170=0,"ถึงเกณฑ์",AL170&lt;0,"ถึงเกณฑ์นานแล้ว")</f>
        <v>Check Data</v>
      </c>
      <c r="AN170" s="49" t="str">
        <f>IF(B170="","",IF(L170="S1","S1",INDEX(#REF!,#REF!)))</f>
        <v/>
      </c>
      <c r="AO170" s="49" t="str">
        <f t="shared" si="55"/>
        <v>M2</v>
      </c>
      <c r="AP170" s="50" t="b">
        <f>L170=AN170</f>
        <v>0</v>
      </c>
      <c r="AQ170" s="50"/>
    </row>
    <row r="171" spans="1:43" ht="21.75">
      <c r="A171" s="49">
        <v>169</v>
      </c>
      <c r="B171" s="50"/>
      <c r="C171" s="50"/>
      <c r="D171" s="50" t="s">
        <v>141</v>
      </c>
      <c r="E171" s="50" t="e">
        <f>INDEX(#REF!,#REF!)</f>
        <v>#REF!</v>
      </c>
      <c r="F171" s="49" t="s">
        <v>259</v>
      </c>
      <c r="G171" s="49" t="str">
        <f t="shared" si="61"/>
        <v>15/02/2001</v>
      </c>
      <c r="H171" s="50">
        <f t="shared" si="47"/>
        <v>24</v>
      </c>
      <c r="I171" s="50">
        <f t="shared" si="48"/>
        <v>4</v>
      </c>
      <c r="J171" s="50">
        <f t="shared" si="49"/>
        <v>5</v>
      </c>
      <c r="K171" s="60"/>
      <c r="L171" s="49" t="s">
        <v>136</v>
      </c>
      <c r="M171" s="64"/>
      <c r="N171" s="49" t="s">
        <v>426</v>
      </c>
      <c r="O171" s="49">
        <v>2577</v>
      </c>
      <c r="P171" s="65" t="s">
        <v>249</v>
      </c>
      <c r="Q171" s="49" t="str">
        <f t="shared" si="62"/>
        <v>25/09/2023</v>
      </c>
      <c r="R171" s="68">
        <f>IF(Q171="",0,DATEDIF(Q171,$C$1,"Y"))</f>
        <v>1</v>
      </c>
      <c r="S171" s="68">
        <f>IF(Q171="",0,DATEDIF(Q171,$C$1,"YM"))</f>
        <v>8</v>
      </c>
      <c r="T171" s="68">
        <f>IF(Q171="",0,DATEDIF(Q171,$C$1,"MD"))</f>
        <v>26</v>
      </c>
      <c r="U171" s="65"/>
      <c r="V171" s="65"/>
      <c r="W171" s="49" t="str">
        <f t="shared" si="56"/>
        <v/>
      </c>
      <c r="X171" s="68">
        <f>IF(W171="",0,DATEDIF(W171,Q171,"Y"))</f>
        <v>0</v>
      </c>
      <c r="Y171" s="68">
        <f>IF(W171="",0,DATEDIF(W171,Q171,"YM"))</f>
        <v>0</v>
      </c>
      <c r="Z171" s="68">
        <f>IF(W171="",0,DATEDIF(W171,Q171,"MD"))</f>
        <v>0</v>
      </c>
      <c r="AA171" s="49"/>
      <c r="AB171" s="65"/>
      <c r="AC171" s="50" t="str">
        <f t="shared" si="57"/>
        <v/>
      </c>
      <c r="AD171" s="68">
        <f t="shared" si="58"/>
        <v>0</v>
      </c>
      <c r="AE171" s="68">
        <f t="shared" si="59"/>
        <v>0</v>
      </c>
      <c r="AF171" s="68">
        <f t="shared" si="60"/>
        <v>0</v>
      </c>
      <c r="AG171" s="50"/>
      <c r="AH171" s="108" t="s">
        <v>138</v>
      </c>
      <c r="AI171" s="49" t="str">
        <f>IF(AH171="นิติศาสตร์","K5-LAW","K5-POLICY")</f>
        <v>K5-LAW</v>
      </c>
      <c r="AJ171" s="72" t="str">
        <f>_xlfn.IFS(B171="","",AND(AI171="K5-LAW",AH171="นิติศาสตร์",L171="S2",U171="",AA171=""),Q171,AND(AI171="K5-LAW",AH171="นิติศาสตร์",L171="S1",U171="",AA171=""),EDATE(Q171,12),AND(AI171="K5-LAW",AH171="นิติศาสตร์",OR(L171="M2",L171="K4"),U171="",AA171=""),EDATE(Q171,12*2),AND(AI171="K5-LAW",AH171="นิติศาสตร์",OR(AA171="M2",AA171="K4"),AD171&gt;=2,OR(AC171&lt;W171,AC171&lt;Q171)),EDATE(AC171,12*2),AND(AI171="K5-LAW",AH171="นิติศาสตร์",AA171="S1",AD171&gt;=1,OR(AC171&lt;W171,AC171&lt;Q171)),EDATE(AC171,12),AND(AI171="K5-LAW",AH171="นิติศาสตร์",OR(U171="M2",U171="K4"),X171&gt;=2,W171&lt;Q171),EDATE(W171,12*2),AND(AI171="K5-LAW",AH171="นิติศาสตร์",U171="S1",X171&gt;=1,W171&lt;Q171),EDATE(W171,12),AND(AI171="K5-LAW",AH171="นิติศาสตร์",OR(U171="S2",U171="K5")),W171,AND(AI171="K5-LAW",AH171="นิติศาสตร์",OR(L171="M2",L171="K4"),R171&gt;=2),EDATE(Q171,12*2),AND(AI171="K5-LAW",AH171="นิติศาสตร์",L171="S1",R171&gt;=1),EDATE(Q171,12),AND(AI171="K5-LAW",AH171="นิติศาสตร์",OR(L171="S2",L171="K5")),Q171,AND(AI171="K5-POLICY",AH171&lt;&gt;"นิติศาสตร์",L171="S2",U171="",AA171=""),Q171,AND(AI171="K5-POLICY",AH171&lt;&gt;"นิติศาสตร์",L171="S1",U171="",AA171=""),EDATE(Q171,12),AND(AI171="K5-POLICY",AH171&lt;&gt;"นิติศาสตร์",OR(L171="M2",L171="K4"),U171="",AA171=""),EDATE(Q171,12*2),AND(AI171="K5-POLICY",AH171&lt;&gt;"นิติศาสตร์",OR(AA171="M2",AA171="K4"),AD171&gt;=2,OR(AC171&lt;W171,AC171&lt;Q171)),EDATE(AC171,12*2),AND(AI171="K5-POLICY",AH171&lt;&gt;"นิติศาสตร์",AA171="S1",AD171&gt;=1,OR(AC171&lt;W171,AC171&lt;Q171)),EDATE(AC171,12),AND(AI171="K5-POLICY",AH171&lt;&gt;"นิติศาสตร์",OR(U171="M2",U171="K4"),X171&gt;=2,W171&lt;Q171),EDATE(W171,12*2),AND(AI171="K5-POLICY",AH171&lt;&gt;"นิติศาสตร์",U171="S1",X171&gt;=1,W171&lt;Q171),EDATE(W171,12),AND(AI171="K5-POLICY",AH171&lt;&gt;"นิติศาสตร์",OR(U171="S2",U171="K5")),W171,AND(AI171="K5-POLICY",AH171&lt;&gt;"นิติศาสตร์",OR(L171="M2",L171="K4"),R171&gt;=2),EDATE(Q171,12*2),AND(AI171="K5-POLICY",AH171&lt;&gt;"นิติศาสตร์",L171="S1",R171&gt;=1),EDATE(Q171,12),AND(AI171="K5-POLICY",AH171&lt;&gt;"นิติศาสตร์",OR(L171="S2",L171="K5")),Q171,TRUE,"Check Data")</f>
        <v/>
      </c>
      <c r="AK171" s="75" t="str">
        <f t="shared" si="63"/>
        <v>Check Data</v>
      </c>
      <c r="AL171" s="76" t="str">
        <f t="shared" si="50"/>
        <v>Check Data</v>
      </c>
      <c r="AM171" s="50" t="str">
        <f t="shared" si="64"/>
        <v>Check Data</v>
      </c>
      <c r="AN171" s="49" t="str">
        <f>IF(B171="","",IF(L171="S1","S1",INDEX(#REF!,#REF!)))</f>
        <v/>
      </c>
      <c r="AO171" s="49" t="str">
        <f t="shared" si="55"/>
        <v>M2</v>
      </c>
      <c r="AP171" s="50" t="b">
        <f>L171=AN171</f>
        <v>0</v>
      </c>
      <c r="AQ171" s="50"/>
    </row>
    <row r="172" spans="1:43" ht="21.75">
      <c r="A172" s="49">
        <v>170</v>
      </c>
      <c r="B172" s="50"/>
      <c r="C172" s="50"/>
      <c r="D172" s="50" t="s">
        <v>146</v>
      </c>
      <c r="E172" s="50" t="e">
        <f>INDEX(#REF!,#REF!)</f>
        <v>#REF!</v>
      </c>
      <c r="F172" s="49" t="s">
        <v>393</v>
      </c>
      <c r="G172" s="49" t="str">
        <f t="shared" ref="G172:G180" si="65">IF(F172="","",TEXT(EDATE(F172,-543*12),"dd/mm/yyyy"))</f>
        <v>09/07/2004</v>
      </c>
      <c r="H172" s="50">
        <f t="shared" si="47"/>
        <v>20</v>
      </c>
      <c r="I172" s="50">
        <f t="shared" si="48"/>
        <v>11</v>
      </c>
      <c r="J172" s="50">
        <f t="shared" si="49"/>
        <v>11</v>
      </c>
      <c r="K172" s="80"/>
      <c r="L172" s="49" t="s">
        <v>136</v>
      </c>
      <c r="M172" s="64"/>
      <c r="N172" s="49" t="s">
        <v>426</v>
      </c>
      <c r="O172" s="49">
        <v>2580</v>
      </c>
      <c r="P172" s="65" t="s">
        <v>394</v>
      </c>
      <c r="Q172" s="49" t="str">
        <f t="shared" ref="Q172:Q233" si="66">TEXT(EDATE(P172,-543*12),"dd/mm/yyyy")</f>
        <v>27/09/2023</v>
      </c>
      <c r="R172" s="68">
        <f>IF(Q172="",0,DATEDIF(Q172,$C$1,"Y"))</f>
        <v>1</v>
      </c>
      <c r="S172" s="68">
        <f>IF(Q172="",0,DATEDIF(Q172,$C$1,"YM"))</f>
        <v>8</v>
      </c>
      <c r="T172" s="68">
        <f>IF(Q172="",0,DATEDIF(Q172,$C$1,"MD"))</f>
        <v>24</v>
      </c>
      <c r="U172" s="65"/>
      <c r="V172" s="65"/>
      <c r="W172" s="49" t="str">
        <f t="shared" ref="W172:W195" si="67">IF(V172="","",TEXT(EDATE(V172,-543*12),"dd/mm/yyyy"))</f>
        <v/>
      </c>
      <c r="X172" s="68">
        <f>IF(W172="",0,DATEDIF(W172,Q172,"Y"))</f>
        <v>0</v>
      </c>
      <c r="Y172" s="68">
        <f>IF(W172="",0,DATEDIF(W172,Q172,"YM"))</f>
        <v>0</v>
      </c>
      <c r="Z172" s="68">
        <f>IF(W172="",0,DATEDIF(W172,Q172,"MD"))</f>
        <v>0</v>
      </c>
      <c r="AA172" s="49"/>
      <c r="AB172" s="65"/>
      <c r="AC172" s="50" t="str">
        <f t="shared" ref="AC172:AC195" si="68">IF(AB172="","",TEXT(EDATE(AB172,-543*12),"dd/mm/yyyy"))</f>
        <v/>
      </c>
      <c r="AD172" s="68">
        <f t="shared" ref="AD172:AD203" si="69">IF(AC172="",0,DATEDIF(AC172,W172,"Y"))</f>
        <v>0</v>
      </c>
      <c r="AE172" s="68">
        <f t="shared" ref="AE172:AE195" si="70">IF(AC172="",0,DATEDIF(AC172,W172,"YM"))</f>
        <v>0</v>
      </c>
      <c r="AF172" s="68">
        <f t="shared" ref="AF172:AF195" si="71">IF(AC172="",0,DATEDIF(AC172,W172,"MD"))</f>
        <v>0</v>
      </c>
      <c r="AG172" s="50"/>
      <c r="AH172" s="108" t="s">
        <v>175</v>
      </c>
      <c r="AI172" s="49" t="str">
        <f>IF(AH172="นิติศาสตร์","K5-LAW","K5-POLICY")</f>
        <v>K5-POLICY</v>
      </c>
      <c r="AJ172" s="72" t="str">
        <f>_xlfn.IFS(B172="","",AND(AI172="K5-LAW",AH172="นิติศาสตร์",L172="S2",U172="",AA172=""),Q172,AND(AI172="K5-LAW",AH172="นิติศาสตร์",L172="S1",U172="",AA172=""),EDATE(Q172,12),AND(AI172="K5-LAW",AH172="นิติศาสตร์",OR(L172="M2",L172="K4"),U172="",AA172=""),EDATE(Q172,12*2),AND(AI172="K5-LAW",AH172="นิติศาสตร์",OR(AA172="M2",AA172="K4"),AD172&gt;=2,OR(AC172&lt;W172,AC172&lt;Q172)),EDATE(AC172,12*2),AND(AI172="K5-LAW",AH172="นิติศาสตร์",AA172="S1",AD172&gt;=1,OR(AC172&lt;W172,AC172&lt;Q172)),EDATE(AC172,12),AND(AI172="K5-LAW",AH172="นิติศาสตร์",OR(U172="M2",U172="K4"),X172&gt;=2,W172&lt;Q172),EDATE(W172,12*2),AND(AI172="K5-LAW",AH172="นิติศาสตร์",U172="S1",X172&gt;=1,W172&lt;Q172),EDATE(W172,12),AND(AI172="K5-LAW",AH172="นิติศาสตร์",OR(U172="S2",U172="K5")),W172,AND(AI172="K5-LAW",AH172="นิติศาสตร์",OR(L172="M2",L172="K4"),R172&gt;=2),EDATE(Q172,12*2),AND(AI172="K5-LAW",AH172="นิติศาสตร์",L172="S1",R172&gt;=1),EDATE(Q172,12),AND(AI172="K5-LAW",AH172="นิติศาสตร์",OR(L172="S2",L172="K5")),Q172,AND(AI172="K5-POLICY",AH172&lt;&gt;"นิติศาสตร์",L172="S2",U172="",AA172=""),Q172,AND(AI172="K5-POLICY",AH172&lt;&gt;"นิติศาสตร์",L172="S1",U172="",AA172=""),EDATE(Q172,12),AND(AI172="K5-POLICY",AH172&lt;&gt;"นิติศาสตร์",OR(L172="M2",L172="K4"),U172="",AA172=""),EDATE(Q172,12*2),AND(AI172="K5-POLICY",AH172&lt;&gt;"นิติศาสตร์",OR(AA172="M2",AA172="K4"),AD172&gt;=2,OR(AC172&lt;W172,AC172&lt;Q172)),EDATE(AC172,12*2),AND(AI172="K5-POLICY",AH172&lt;&gt;"นิติศาสตร์",AA172="S1",AD172&gt;=1,OR(AC172&lt;W172,AC172&lt;Q172)),EDATE(AC172,12),AND(AI172="K5-POLICY",AH172&lt;&gt;"นิติศาสตร์",OR(U172="M2",U172="K4"),X172&gt;=2,W172&lt;Q172),EDATE(W172,12*2),AND(AI172="K5-POLICY",AH172&lt;&gt;"นิติศาสตร์",U172="S1",X172&gt;=1,W172&lt;Q172),EDATE(W172,12),AND(AI172="K5-POLICY",AH172&lt;&gt;"นิติศาสตร์",OR(U172="S2",U172="K5")),W172,AND(AI172="K5-POLICY",AH172&lt;&gt;"นิติศาสตร์",OR(L172="M2",L172="K4"),R172&gt;=2),EDATE(Q172,12*2),AND(AI172="K5-POLICY",AH172&lt;&gt;"นิติศาสตร์",L172="S1",R172&gt;=1),EDATE(Q172,12),AND(AI172="K5-POLICY",AH172&lt;&gt;"นิติศาสตร์",OR(L172="S2",L172="K5")),Q172,TRUE,"Check Data")</f>
        <v/>
      </c>
      <c r="AK172" s="75" t="str">
        <f t="shared" ref="AK172:AK233" si="72">IFERROR(TEXT(EDATE(AJ172,543*12),"dd/mm/yyyy"),"Check Data")</f>
        <v>Check Data</v>
      </c>
      <c r="AL172" s="76" t="str">
        <f t="shared" si="50"/>
        <v>Check Data</v>
      </c>
      <c r="AM172" s="50" t="str">
        <f t="shared" ref="AM172:AM233" si="73">_xlfn.IFS(AL172="Check Data","Check Data",AL172&gt;30,"ยังไม่ถึงเกณฑ์",AL172&gt;0,"ใกล้ถึงเกณฑ์",AL172=0,"ถึงเกณฑ์",AL172&lt;0,"ถึงเกณฑ์นานแล้ว")</f>
        <v>Check Data</v>
      </c>
      <c r="AN172" s="49" t="str">
        <f>IF(B172="","",IF(L172="S1","S1",INDEX(#REF!,#REF!)))</f>
        <v/>
      </c>
      <c r="AO172" s="49" t="str">
        <f>L172</f>
        <v>M2</v>
      </c>
      <c r="AP172" s="50" t="b">
        <f>L172=AN172</f>
        <v>0</v>
      </c>
      <c r="AQ172" s="50"/>
    </row>
    <row r="173" spans="1:43" ht="21.75">
      <c r="A173" s="49">
        <v>171</v>
      </c>
      <c r="B173" s="50"/>
      <c r="C173" s="50"/>
      <c r="D173" s="50" t="s">
        <v>140</v>
      </c>
      <c r="E173" s="50" t="e">
        <f>INDEX(#REF!,#REF!)</f>
        <v>#REF!</v>
      </c>
      <c r="F173" s="49" t="s">
        <v>461</v>
      </c>
      <c r="G173" s="49" t="str">
        <f t="shared" si="65"/>
        <v>25/03/1996</v>
      </c>
      <c r="H173" s="50">
        <f t="shared" si="47"/>
        <v>29</v>
      </c>
      <c r="I173" s="50">
        <f t="shared" si="48"/>
        <v>2</v>
      </c>
      <c r="J173" s="50">
        <f t="shared" si="49"/>
        <v>26</v>
      </c>
      <c r="K173" s="57"/>
      <c r="L173" s="49" t="s">
        <v>136</v>
      </c>
      <c r="M173" s="64"/>
      <c r="N173" s="49" t="s">
        <v>426</v>
      </c>
      <c r="O173" s="49">
        <v>2573</v>
      </c>
      <c r="P173" s="65" t="s">
        <v>460</v>
      </c>
      <c r="Q173" s="49" t="str">
        <f t="shared" si="66"/>
        <v>29/09/2023</v>
      </c>
      <c r="R173" s="68">
        <f>IF(Q173="",0,DATEDIF(Q173,$C$1,"Y"))</f>
        <v>1</v>
      </c>
      <c r="S173" s="68">
        <f>IF(Q173="",0,DATEDIF(Q173,$C$1,"YM"))</f>
        <v>8</v>
      </c>
      <c r="T173" s="68">
        <f>IF(Q173="",0,DATEDIF(Q173,$C$1,"MD"))</f>
        <v>22</v>
      </c>
      <c r="U173" s="65"/>
      <c r="V173" s="65"/>
      <c r="W173" s="49" t="str">
        <f t="shared" si="67"/>
        <v/>
      </c>
      <c r="X173" s="68">
        <f>IF(W173="",0,DATEDIF(W173,Q173,"Y"))</f>
        <v>0</v>
      </c>
      <c r="Y173" s="68">
        <f>IF(W173="",0,DATEDIF(W173,Q173,"YM"))</f>
        <v>0</v>
      </c>
      <c r="Z173" s="68">
        <f>IF(W173="",0,DATEDIF(W173,Q173,"MD"))</f>
        <v>0</v>
      </c>
      <c r="AA173" s="49"/>
      <c r="AB173" s="65"/>
      <c r="AC173" s="50" t="str">
        <f t="shared" si="68"/>
        <v/>
      </c>
      <c r="AD173" s="68">
        <f t="shared" si="69"/>
        <v>0</v>
      </c>
      <c r="AE173" s="68">
        <f t="shared" si="70"/>
        <v>0</v>
      </c>
      <c r="AF173" s="68">
        <f t="shared" si="71"/>
        <v>0</v>
      </c>
      <c r="AG173" s="50"/>
      <c r="AH173" s="108" t="s">
        <v>138</v>
      </c>
      <c r="AI173" s="49" t="str">
        <f>IF(AH173="นิติศาสตร์","K5-LAW","K5-POLICY")</f>
        <v>K5-LAW</v>
      </c>
      <c r="AJ173" s="72" t="str">
        <f>_xlfn.IFS(B173="","",AND(AI173="K5-LAW",AH173="นิติศาสตร์",L173="S2",U173="",AA173=""),Q173,AND(AI173="K5-LAW",AH173="นิติศาสตร์",L173="S1",U173="",AA173=""),EDATE(Q173,12),AND(AI173="K5-LAW",AH173="นิติศาสตร์",OR(L173="M2",L173="K4"),U173="",AA173=""),EDATE(Q173,12*2),AND(AI173="K5-LAW",AH173="นิติศาสตร์",OR(AA173="M2",AA173="K4"),AD173&gt;=2,OR(AC173&lt;W173,AC173&lt;Q173)),EDATE(AC173,12*2),AND(AI173="K5-LAW",AH173="นิติศาสตร์",AA173="S1",AD173&gt;=1,OR(AC173&lt;W173,AC173&lt;Q173)),EDATE(AC173,12),AND(AI173="K5-LAW",AH173="นิติศาสตร์",OR(U173="M2",U173="K4"),X173&gt;=2,W173&lt;Q173),EDATE(W173,12*2),AND(AI173="K5-LAW",AH173="นิติศาสตร์",U173="S1",X173&gt;=1,W173&lt;Q173),EDATE(W173,12),AND(AI173="K5-LAW",AH173="นิติศาสตร์",OR(U173="S2",U173="K5")),W173,AND(AI173="K5-LAW",AH173="นิติศาสตร์",OR(L173="M2",L173="K4"),R173&gt;=2),EDATE(Q173,12*2),AND(AI173="K5-LAW",AH173="นิติศาสตร์",L173="S1",R173&gt;=1),EDATE(Q173,12),AND(AI173="K5-LAW",AH173="นิติศาสตร์",OR(L173="S2",L173="K5")),Q173,AND(AI173="K5-POLICY",AH173&lt;&gt;"นิติศาสตร์",L173="S2",U173="",AA173=""),Q173,AND(AI173="K5-POLICY",AH173&lt;&gt;"นิติศาสตร์",L173="S1",U173="",AA173=""),EDATE(Q173,12),AND(AI173="K5-POLICY",AH173&lt;&gt;"นิติศาสตร์",OR(L173="M2",L173="K4"),U173="",AA173=""),EDATE(Q173,12*2),AND(AI173="K5-POLICY",AH173&lt;&gt;"นิติศาสตร์",OR(AA173="M2",AA173="K4"),AD173&gt;=2,OR(AC173&lt;W173,AC173&lt;Q173)),EDATE(AC173,12*2),AND(AI173="K5-POLICY",AH173&lt;&gt;"นิติศาสตร์",AA173="S1",AD173&gt;=1,OR(AC173&lt;W173,AC173&lt;Q173)),EDATE(AC173,12),AND(AI173="K5-POLICY",AH173&lt;&gt;"นิติศาสตร์",OR(U173="M2",U173="K4"),X173&gt;=2,W173&lt;Q173),EDATE(W173,12*2),AND(AI173="K5-POLICY",AH173&lt;&gt;"นิติศาสตร์",U173="S1",X173&gt;=1,W173&lt;Q173),EDATE(W173,12),AND(AI173="K5-POLICY",AH173&lt;&gt;"นิติศาสตร์",OR(U173="S2",U173="K5")),W173,AND(AI173="K5-POLICY",AH173&lt;&gt;"นิติศาสตร์",OR(L173="M2",L173="K4"),R173&gt;=2),EDATE(Q173,12*2),AND(AI173="K5-POLICY",AH173&lt;&gt;"นิติศาสตร์",L173="S1",R173&gt;=1),EDATE(Q173,12),AND(AI173="K5-POLICY",AH173&lt;&gt;"นิติศาสตร์",OR(L173="S2",L173="K5")),Q173,TRUE,"Check Data")</f>
        <v/>
      </c>
      <c r="AK173" s="75" t="str">
        <f t="shared" si="72"/>
        <v>Check Data</v>
      </c>
      <c r="AL173" s="76" t="str">
        <f t="shared" si="50"/>
        <v>Check Data</v>
      </c>
      <c r="AM173" s="50" t="str">
        <f t="shared" si="73"/>
        <v>Check Data</v>
      </c>
      <c r="AN173" s="49" t="str">
        <f>IF(B173="","",IF(L173="S1","S1",INDEX(#REF!,#REF!)))</f>
        <v/>
      </c>
      <c r="AO173" s="49" t="str">
        <f>L173</f>
        <v>M2</v>
      </c>
      <c r="AP173" s="50" t="b">
        <f>L173=AN173</f>
        <v>0</v>
      </c>
      <c r="AQ173" s="50"/>
    </row>
    <row r="174" spans="1:43" ht="21.75">
      <c r="A174" s="49">
        <v>172</v>
      </c>
      <c r="B174" s="50"/>
      <c r="C174" s="50"/>
      <c r="D174" s="50" t="s">
        <v>140</v>
      </c>
      <c r="E174" s="50" t="e">
        <f>INDEX(#REF!,#REF!)</f>
        <v>#REF!</v>
      </c>
      <c r="F174" s="49" t="s">
        <v>462</v>
      </c>
      <c r="G174" s="49" t="str">
        <f t="shared" si="65"/>
        <v>02/10/2006</v>
      </c>
      <c r="H174" s="50">
        <f t="shared" si="47"/>
        <v>18</v>
      </c>
      <c r="I174" s="50">
        <f t="shared" si="48"/>
        <v>8</v>
      </c>
      <c r="J174" s="50">
        <f t="shared" si="49"/>
        <v>18</v>
      </c>
      <c r="K174" s="57"/>
      <c r="L174" s="49" t="s">
        <v>136</v>
      </c>
      <c r="M174" s="64"/>
      <c r="N174" s="49" t="s">
        <v>426</v>
      </c>
      <c r="O174" s="49">
        <v>2582</v>
      </c>
      <c r="P174" s="65" t="s">
        <v>460</v>
      </c>
      <c r="Q174" s="49" t="str">
        <f t="shared" si="66"/>
        <v>29/09/2023</v>
      </c>
      <c r="R174" s="68">
        <f>IF(Q174="",0,DATEDIF(Q174,$C$1,"Y"))</f>
        <v>1</v>
      </c>
      <c r="S174" s="68">
        <f>IF(Q174="",0,DATEDIF(Q174,$C$1,"YM"))</f>
        <v>8</v>
      </c>
      <c r="T174" s="68">
        <f>IF(Q174="",0,DATEDIF(Q174,$C$1,"MD"))</f>
        <v>22</v>
      </c>
      <c r="U174" s="65"/>
      <c r="V174" s="65"/>
      <c r="W174" s="49" t="str">
        <f t="shared" si="67"/>
        <v/>
      </c>
      <c r="X174" s="68">
        <f>IF(W174="",0,DATEDIF(W174,Q174,"Y"))</f>
        <v>0</v>
      </c>
      <c r="Y174" s="68">
        <f>IF(W174="",0,DATEDIF(W174,Q174,"YM"))</f>
        <v>0</v>
      </c>
      <c r="Z174" s="68">
        <f>IF(W174="",0,DATEDIF(W174,Q174,"MD"))</f>
        <v>0</v>
      </c>
      <c r="AA174" s="49"/>
      <c r="AB174" s="65"/>
      <c r="AC174" s="50" t="str">
        <f t="shared" si="68"/>
        <v/>
      </c>
      <c r="AD174" s="68">
        <f t="shared" si="69"/>
        <v>0</v>
      </c>
      <c r="AE174" s="68">
        <f t="shared" si="70"/>
        <v>0</v>
      </c>
      <c r="AF174" s="68">
        <f t="shared" si="71"/>
        <v>0</v>
      </c>
      <c r="AG174" s="50"/>
      <c r="AH174" s="108" t="s">
        <v>138</v>
      </c>
      <c r="AI174" s="49" t="str">
        <f>IF(AH174="นิติศาสตร์","K5-LAW","K5-POLICY")</f>
        <v>K5-LAW</v>
      </c>
      <c r="AJ174" s="72" t="str">
        <f>_xlfn.IFS(B174="","",AND(AI174="K5-LAW",AH174="นิติศาสตร์",L174="S2",U174="",AA174=""),Q174,AND(AI174="K5-LAW",AH174="นิติศาสตร์",L174="S1",U174="",AA174=""),EDATE(Q174,12),AND(AI174="K5-LAW",AH174="นิติศาสตร์",OR(L174="M2",L174="K4"),U174="",AA174=""),EDATE(Q174,12*2),AND(AI174="K5-LAW",AH174="นิติศาสตร์",OR(AA174="M2",AA174="K4"),AD174&gt;=2,OR(AC174&lt;W174,AC174&lt;Q174)),EDATE(AC174,12*2),AND(AI174="K5-LAW",AH174="นิติศาสตร์",AA174="S1",AD174&gt;=1,OR(AC174&lt;W174,AC174&lt;Q174)),EDATE(AC174,12),AND(AI174="K5-LAW",AH174="นิติศาสตร์",OR(U174="M2",U174="K4"),X174&gt;=2,W174&lt;Q174),EDATE(W174,12*2),AND(AI174="K5-LAW",AH174="นิติศาสตร์",U174="S1",X174&gt;=1,W174&lt;Q174),EDATE(W174,12),AND(AI174="K5-LAW",AH174="นิติศาสตร์",OR(U174="S2",U174="K5")),W174,AND(AI174="K5-LAW",AH174="นิติศาสตร์",OR(L174="M2",L174="K4"),R174&gt;=2),EDATE(Q174,12*2),AND(AI174="K5-LAW",AH174="นิติศาสตร์",L174="S1",R174&gt;=1),EDATE(Q174,12),AND(AI174="K5-LAW",AH174="นิติศาสตร์",OR(L174="S2",L174="K5")),Q174,AND(AI174="K5-POLICY",AH174&lt;&gt;"นิติศาสตร์",L174="S2",U174="",AA174=""),Q174,AND(AI174="K5-POLICY",AH174&lt;&gt;"นิติศาสตร์",L174="S1",U174="",AA174=""),EDATE(Q174,12),AND(AI174="K5-POLICY",AH174&lt;&gt;"นิติศาสตร์",OR(L174="M2",L174="K4"),U174="",AA174=""),EDATE(Q174,12*2),AND(AI174="K5-POLICY",AH174&lt;&gt;"นิติศาสตร์",OR(AA174="M2",AA174="K4"),AD174&gt;=2,OR(AC174&lt;W174,AC174&lt;Q174)),EDATE(AC174,12*2),AND(AI174="K5-POLICY",AH174&lt;&gt;"นิติศาสตร์",AA174="S1",AD174&gt;=1,OR(AC174&lt;W174,AC174&lt;Q174)),EDATE(AC174,12),AND(AI174="K5-POLICY",AH174&lt;&gt;"นิติศาสตร์",OR(U174="M2",U174="K4"),X174&gt;=2,W174&lt;Q174),EDATE(W174,12*2),AND(AI174="K5-POLICY",AH174&lt;&gt;"นิติศาสตร์",U174="S1",X174&gt;=1,W174&lt;Q174),EDATE(W174,12),AND(AI174="K5-POLICY",AH174&lt;&gt;"นิติศาสตร์",OR(U174="S2",U174="K5")),W174,AND(AI174="K5-POLICY",AH174&lt;&gt;"นิติศาสตร์",OR(L174="M2",L174="K4"),R174&gt;=2),EDATE(Q174,12*2),AND(AI174="K5-POLICY",AH174&lt;&gt;"นิติศาสตร์",L174="S1",R174&gt;=1),EDATE(Q174,12),AND(AI174="K5-POLICY",AH174&lt;&gt;"นิติศาสตร์",OR(L174="S2",L174="K5")),Q174,TRUE,"Check Data")</f>
        <v/>
      </c>
      <c r="AK174" s="75" t="str">
        <f t="shared" si="72"/>
        <v>Check Data</v>
      </c>
      <c r="AL174" s="76" t="str">
        <f t="shared" si="50"/>
        <v>Check Data</v>
      </c>
      <c r="AM174" s="50" t="str">
        <f t="shared" si="73"/>
        <v>Check Data</v>
      </c>
      <c r="AN174" s="49" t="str">
        <f>IF(B174="","",IF(L174="S1","S1",INDEX(#REF!,#REF!)))</f>
        <v/>
      </c>
      <c r="AO174" s="49" t="str">
        <f>L174</f>
        <v>M2</v>
      </c>
      <c r="AP174" s="50" t="b">
        <f>L174=AN174</f>
        <v>0</v>
      </c>
      <c r="AQ174" s="50"/>
    </row>
    <row r="175" spans="1:43" ht="21.75">
      <c r="A175" s="49">
        <v>173</v>
      </c>
      <c r="B175" s="50"/>
      <c r="C175" s="50"/>
      <c r="D175" s="50" t="s">
        <v>139</v>
      </c>
      <c r="E175" s="50" t="e">
        <f>INDEX(#REF!,#REF!)</f>
        <v>#REF!</v>
      </c>
      <c r="F175" s="49" t="s">
        <v>208</v>
      </c>
      <c r="G175" s="49" t="str">
        <f t="shared" si="65"/>
        <v>01/02/1990</v>
      </c>
      <c r="H175" s="50">
        <f t="shared" si="47"/>
        <v>35</v>
      </c>
      <c r="I175" s="50">
        <f t="shared" si="48"/>
        <v>4</v>
      </c>
      <c r="J175" s="50">
        <f t="shared" si="49"/>
        <v>19</v>
      </c>
      <c r="K175" s="56"/>
      <c r="L175" s="49" t="s">
        <v>136</v>
      </c>
      <c r="M175" s="64"/>
      <c r="N175" s="49" t="s">
        <v>427</v>
      </c>
      <c r="O175" s="49">
        <v>2570</v>
      </c>
      <c r="P175" s="65" t="s">
        <v>227</v>
      </c>
      <c r="Q175" s="49" t="str">
        <f t="shared" si="66"/>
        <v>12/10/2023</v>
      </c>
      <c r="R175" s="68">
        <f>IF(Q175="",0,DATEDIF(Q175,$C$1,"Y"))</f>
        <v>1</v>
      </c>
      <c r="S175" s="68">
        <f>IF(Q175="",0,DATEDIF(Q175,$C$1,"YM"))</f>
        <v>8</v>
      </c>
      <c r="T175" s="68">
        <f>IF(Q175="",0,DATEDIF(Q175,$C$1,"MD"))</f>
        <v>8</v>
      </c>
      <c r="U175" s="65"/>
      <c r="V175" s="65"/>
      <c r="W175" s="49" t="str">
        <f t="shared" si="67"/>
        <v/>
      </c>
      <c r="X175" s="68">
        <f>IF(W175="",0,DATEDIF(W175,Q175,"Y"))</f>
        <v>0</v>
      </c>
      <c r="Y175" s="68">
        <f>IF(W175="",0,DATEDIF(W175,Q175,"YM"))</f>
        <v>0</v>
      </c>
      <c r="Z175" s="68">
        <f>IF(W175="",0,DATEDIF(W175,Q175,"MD"))</f>
        <v>0</v>
      </c>
      <c r="AA175" s="49"/>
      <c r="AB175" s="65"/>
      <c r="AC175" s="50" t="str">
        <f t="shared" si="68"/>
        <v/>
      </c>
      <c r="AD175" s="68">
        <f t="shared" si="69"/>
        <v>0</v>
      </c>
      <c r="AE175" s="68">
        <f t="shared" si="70"/>
        <v>0</v>
      </c>
      <c r="AF175" s="68">
        <f t="shared" si="71"/>
        <v>0</v>
      </c>
      <c r="AG175" s="50"/>
      <c r="AH175" s="108" t="s">
        <v>167</v>
      </c>
      <c r="AI175" s="49" t="str">
        <f>IF(AH175="นิติศาสตร์","K5-LAW","K5-POLICY")</f>
        <v>K5-POLICY</v>
      </c>
      <c r="AJ175" s="72" t="str">
        <f>_xlfn.IFS(B175="","",AND(AI175="K5-LAW",AH175="นิติศาสตร์",L175="S2",U175="",AA175=""),Q175,AND(AI175="K5-LAW",AH175="นิติศาสตร์",L175="S1",U175="",AA175=""),EDATE(Q175,12),AND(AI175="K5-LAW",AH175="นิติศาสตร์",OR(L175="M2",L175="K4"),U175="",AA175=""),EDATE(Q175,12*2),AND(AI175="K5-LAW",AH175="นิติศาสตร์",OR(AA175="M2",AA175="K4"),AD175&gt;=2,OR(AC175&lt;W175,AC175&lt;Q175)),EDATE(AC175,12*2),AND(AI175="K5-LAW",AH175="นิติศาสตร์",AA175="S1",AD175&gt;=1,OR(AC175&lt;W175,AC175&lt;Q175)),EDATE(AC175,12),AND(AI175="K5-LAW",AH175="นิติศาสตร์",OR(U175="M2",U175="K4"),X175&gt;=2,W175&lt;Q175),EDATE(W175,12*2),AND(AI175="K5-LAW",AH175="นิติศาสตร์",U175="S1",X175&gt;=1,W175&lt;Q175),EDATE(W175,12),AND(AI175="K5-LAW",AH175="นิติศาสตร์",OR(U175="S2",U175="K5")),W175,AND(AI175="K5-LAW",AH175="นิติศาสตร์",OR(L175="M2",L175="K4"),R175&gt;=2),EDATE(Q175,12*2),AND(AI175="K5-LAW",AH175="นิติศาสตร์",L175="S1",R175&gt;=1),EDATE(Q175,12),AND(AI175="K5-LAW",AH175="นิติศาสตร์",OR(L175="S2",L175="K5")),Q175,AND(AI175="K5-POLICY",AH175&lt;&gt;"นิติศาสตร์",L175="S2",U175="",AA175=""),Q175,AND(AI175="K5-POLICY",AH175&lt;&gt;"นิติศาสตร์",L175="S1",U175="",AA175=""),EDATE(Q175,12),AND(AI175="K5-POLICY",AH175&lt;&gt;"นิติศาสตร์",OR(L175="M2",L175="K4"),U175="",AA175=""),EDATE(Q175,12*2),AND(AI175="K5-POLICY",AH175&lt;&gt;"นิติศาสตร์",OR(AA175="M2",AA175="K4"),AD175&gt;=2,OR(AC175&lt;W175,AC175&lt;Q175)),EDATE(AC175,12*2),AND(AI175="K5-POLICY",AH175&lt;&gt;"นิติศาสตร์",AA175="S1",AD175&gt;=1,OR(AC175&lt;W175,AC175&lt;Q175)),EDATE(AC175,12),AND(AI175="K5-POLICY",AH175&lt;&gt;"นิติศาสตร์",OR(U175="M2",U175="K4"),X175&gt;=2,W175&lt;Q175),EDATE(W175,12*2),AND(AI175="K5-POLICY",AH175&lt;&gt;"นิติศาสตร์",U175="S1",X175&gt;=1,W175&lt;Q175),EDATE(W175,12),AND(AI175="K5-POLICY",AH175&lt;&gt;"นิติศาสตร์",OR(U175="S2",U175="K5")),W175,AND(AI175="K5-POLICY",AH175&lt;&gt;"นิติศาสตร์",OR(L175="M2",L175="K4"),R175&gt;=2),EDATE(Q175,12*2),AND(AI175="K5-POLICY",AH175&lt;&gt;"นิติศาสตร์",L175="S1",R175&gt;=1),EDATE(Q175,12),AND(AI175="K5-POLICY",AH175&lt;&gt;"นิติศาสตร์",OR(L175="S2",L175="K5")),Q175,TRUE,"Check Data")</f>
        <v/>
      </c>
      <c r="AK175" s="75" t="str">
        <f t="shared" si="72"/>
        <v>Check Data</v>
      </c>
      <c r="AL175" s="76" t="str">
        <f t="shared" si="50"/>
        <v>Check Data</v>
      </c>
      <c r="AM175" s="50" t="str">
        <f t="shared" si="73"/>
        <v>Check Data</v>
      </c>
      <c r="AN175" s="49" t="str">
        <f>IF(B175="","",IF(L175="S1","S1",INDEX(#REF!,#REF!)))</f>
        <v/>
      </c>
      <c r="AO175" s="49" t="str">
        <f>L175</f>
        <v>M2</v>
      </c>
      <c r="AP175" s="50" t="b">
        <f>L175=AN175</f>
        <v>0</v>
      </c>
      <c r="AQ175" s="50"/>
    </row>
    <row r="176" spans="1:43" ht="21.75">
      <c r="A176" s="49">
        <v>174</v>
      </c>
      <c r="B176" s="50"/>
      <c r="C176" s="50"/>
      <c r="D176" s="50" t="s">
        <v>139</v>
      </c>
      <c r="E176" s="50" t="e">
        <f>INDEX(#REF!,#REF!)</f>
        <v>#REF!</v>
      </c>
      <c r="F176" s="49" t="s">
        <v>164</v>
      </c>
      <c r="G176" s="49" t="str">
        <f t="shared" si="65"/>
        <v>01/05/1990</v>
      </c>
      <c r="H176" s="50">
        <f t="shared" si="47"/>
        <v>35</v>
      </c>
      <c r="I176" s="50">
        <f t="shared" si="48"/>
        <v>1</v>
      </c>
      <c r="J176" s="50">
        <f t="shared" si="49"/>
        <v>19</v>
      </c>
      <c r="K176" s="56"/>
      <c r="L176" s="49" t="s">
        <v>136</v>
      </c>
      <c r="M176" s="64"/>
      <c r="N176" s="49" t="s">
        <v>427</v>
      </c>
      <c r="O176" s="49">
        <v>2569</v>
      </c>
      <c r="P176" s="65" t="s">
        <v>227</v>
      </c>
      <c r="Q176" s="49" t="str">
        <f t="shared" si="66"/>
        <v>12/10/2023</v>
      </c>
      <c r="R176" s="68">
        <f>IF(Q176="",0,DATEDIF(Q176,$C$1,"Y"))</f>
        <v>1</v>
      </c>
      <c r="S176" s="68">
        <f>IF(Q176="",0,DATEDIF(Q176,$C$1,"YM"))</f>
        <v>8</v>
      </c>
      <c r="T176" s="68">
        <f>IF(Q176="",0,DATEDIF(Q176,$C$1,"MD"))</f>
        <v>8</v>
      </c>
      <c r="U176" s="65"/>
      <c r="V176" s="65"/>
      <c r="W176" s="49" t="str">
        <f t="shared" si="67"/>
        <v/>
      </c>
      <c r="X176" s="68">
        <f>IF(W176="",0,DATEDIF(W176,Q176,"Y"))</f>
        <v>0</v>
      </c>
      <c r="Y176" s="68">
        <f>IF(W176="",0,DATEDIF(W176,Q176,"YM"))</f>
        <v>0</v>
      </c>
      <c r="Z176" s="68">
        <f>IF(W176="",0,DATEDIF(W176,Q176,"MD"))</f>
        <v>0</v>
      </c>
      <c r="AA176" s="49"/>
      <c r="AB176" s="65"/>
      <c r="AC176" s="50" t="str">
        <f t="shared" si="68"/>
        <v/>
      </c>
      <c r="AD176" s="68">
        <f t="shared" si="69"/>
        <v>0</v>
      </c>
      <c r="AE176" s="68">
        <f t="shared" si="70"/>
        <v>0</v>
      </c>
      <c r="AF176" s="68">
        <f t="shared" si="71"/>
        <v>0</v>
      </c>
      <c r="AG176" s="50"/>
      <c r="AH176" s="108" t="s">
        <v>167</v>
      </c>
      <c r="AI176" s="49" t="str">
        <f>IF(AH176="นิติศาสตร์","K5-LAW","K5-POLICY")</f>
        <v>K5-POLICY</v>
      </c>
      <c r="AJ176" s="72" t="str">
        <f>_xlfn.IFS(B176="","",AND(AI176="K5-LAW",AH176="นิติศาสตร์",L176="S2",U176="",AA176=""),Q176,AND(AI176="K5-LAW",AH176="นิติศาสตร์",L176="S1",U176="",AA176=""),EDATE(Q176,12),AND(AI176="K5-LAW",AH176="นิติศาสตร์",OR(L176="M2",L176="K4"),U176="",AA176=""),EDATE(Q176,12*2),AND(AI176="K5-LAW",AH176="นิติศาสตร์",OR(AA176="M2",AA176="K4"),AD176&gt;=2,OR(AC176&lt;W176,AC176&lt;Q176)),EDATE(AC176,12*2),AND(AI176="K5-LAW",AH176="นิติศาสตร์",AA176="S1",AD176&gt;=1,OR(AC176&lt;W176,AC176&lt;Q176)),EDATE(AC176,12),AND(AI176="K5-LAW",AH176="นิติศาสตร์",OR(U176="M2",U176="K4"),X176&gt;=2,W176&lt;Q176),EDATE(W176,12*2),AND(AI176="K5-LAW",AH176="นิติศาสตร์",U176="S1",X176&gt;=1,W176&lt;Q176),EDATE(W176,12),AND(AI176="K5-LAW",AH176="นิติศาสตร์",OR(U176="S2",U176="K5")),W176,AND(AI176="K5-LAW",AH176="นิติศาสตร์",OR(L176="M2",L176="K4"),R176&gt;=2),EDATE(Q176,12*2),AND(AI176="K5-LAW",AH176="นิติศาสตร์",L176="S1",R176&gt;=1),EDATE(Q176,12),AND(AI176="K5-LAW",AH176="นิติศาสตร์",OR(L176="S2",L176="K5")),Q176,AND(AI176="K5-POLICY",AH176&lt;&gt;"นิติศาสตร์",L176="S2",U176="",AA176=""),Q176,AND(AI176="K5-POLICY",AH176&lt;&gt;"นิติศาสตร์",L176="S1",U176="",AA176=""),EDATE(Q176,12),AND(AI176="K5-POLICY",AH176&lt;&gt;"นิติศาสตร์",OR(L176="M2",L176="K4"),U176="",AA176=""),EDATE(Q176,12*2),AND(AI176="K5-POLICY",AH176&lt;&gt;"นิติศาสตร์",OR(AA176="M2",AA176="K4"),AD176&gt;=2,OR(AC176&lt;W176,AC176&lt;Q176)),EDATE(AC176,12*2),AND(AI176="K5-POLICY",AH176&lt;&gt;"นิติศาสตร์",AA176="S1",AD176&gt;=1,OR(AC176&lt;W176,AC176&lt;Q176)),EDATE(AC176,12),AND(AI176="K5-POLICY",AH176&lt;&gt;"นิติศาสตร์",OR(U176="M2",U176="K4"),X176&gt;=2,W176&lt;Q176),EDATE(W176,12*2),AND(AI176="K5-POLICY",AH176&lt;&gt;"นิติศาสตร์",U176="S1",X176&gt;=1,W176&lt;Q176),EDATE(W176,12),AND(AI176="K5-POLICY",AH176&lt;&gt;"นิติศาสตร์",OR(U176="S2",U176="K5")),W176,AND(AI176="K5-POLICY",AH176&lt;&gt;"นิติศาสตร์",OR(L176="M2",L176="K4"),R176&gt;=2),EDATE(Q176,12*2),AND(AI176="K5-POLICY",AH176&lt;&gt;"นิติศาสตร์",L176="S1",R176&gt;=1),EDATE(Q176,12),AND(AI176="K5-POLICY",AH176&lt;&gt;"นิติศาสตร์",OR(L176="S2",L176="K5")),Q176,TRUE,"Check Data")</f>
        <v/>
      </c>
      <c r="AK176" s="75" t="str">
        <f t="shared" si="72"/>
        <v>Check Data</v>
      </c>
      <c r="AL176" s="76" t="str">
        <f t="shared" si="50"/>
        <v>Check Data</v>
      </c>
      <c r="AM176" s="50" t="str">
        <f t="shared" si="73"/>
        <v>Check Data</v>
      </c>
      <c r="AN176" s="49" t="str">
        <f>IF(B176="","",IF(L176="S1","S1",INDEX(#REF!,#REF!)))</f>
        <v/>
      </c>
      <c r="AO176" s="49" t="str">
        <f>L176</f>
        <v>M2</v>
      </c>
      <c r="AP176" s="50" t="b">
        <f>L176=AN176</f>
        <v>0</v>
      </c>
      <c r="AQ176" s="50"/>
    </row>
    <row r="177" spans="1:43" ht="21.75">
      <c r="A177" s="49">
        <v>175</v>
      </c>
      <c r="B177" s="50"/>
      <c r="C177" s="50"/>
      <c r="D177" s="50" t="s">
        <v>139</v>
      </c>
      <c r="E177" s="50" t="e">
        <f>INDEX(#REF!,#REF!)</f>
        <v>#REF!</v>
      </c>
      <c r="F177" s="49" t="s">
        <v>232</v>
      </c>
      <c r="G177" s="49" t="str">
        <f t="shared" si="65"/>
        <v>02/12/1991</v>
      </c>
      <c r="H177" s="50">
        <f t="shared" si="47"/>
        <v>33</v>
      </c>
      <c r="I177" s="50">
        <f t="shared" si="48"/>
        <v>6</v>
      </c>
      <c r="J177" s="50">
        <f t="shared" si="49"/>
        <v>18</v>
      </c>
      <c r="K177" s="56"/>
      <c r="L177" s="49" t="s">
        <v>136</v>
      </c>
      <c r="M177" s="64"/>
      <c r="N177" s="49" t="s">
        <v>427</v>
      </c>
      <c r="O177" s="49">
        <v>2570</v>
      </c>
      <c r="P177" s="65" t="s">
        <v>227</v>
      </c>
      <c r="Q177" s="49" t="str">
        <f t="shared" si="66"/>
        <v>12/10/2023</v>
      </c>
      <c r="R177" s="68">
        <f>IF(Q177="",0,DATEDIF(Q177,$C$1,"Y"))</f>
        <v>1</v>
      </c>
      <c r="S177" s="68">
        <f>IF(Q177="",0,DATEDIF(Q177,$C$1,"YM"))</f>
        <v>8</v>
      </c>
      <c r="T177" s="68">
        <f>IF(Q177="",0,DATEDIF(Q177,$C$1,"MD"))</f>
        <v>8</v>
      </c>
      <c r="U177" s="65"/>
      <c r="V177" s="65"/>
      <c r="W177" s="49" t="str">
        <f t="shared" si="67"/>
        <v/>
      </c>
      <c r="X177" s="68">
        <f>IF(W177="",0,DATEDIF(W177,Q177,"Y"))</f>
        <v>0</v>
      </c>
      <c r="Y177" s="68">
        <f>IF(W177="",0,DATEDIF(W177,Q177,"YM"))</f>
        <v>0</v>
      </c>
      <c r="Z177" s="68">
        <f>IF(W177="",0,DATEDIF(W177,Q177,"MD"))</f>
        <v>0</v>
      </c>
      <c r="AA177" s="49"/>
      <c r="AB177" s="65"/>
      <c r="AC177" s="50" t="str">
        <f t="shared" si="68"/>
        <v/>
      </c>
      <c r="AD177" s="68">
        <f t="shared" si="69"/>
        <v>0</v>
      </c>
      <c r="AE177" s="68">
        <f t="shared" si="70"/>
        <v>0</v>
      </c>
      <c r="AF177" s="68">
        <f t="shared" si="71"/>
        <v>0</v>
      </c>
      <c r="AG177" s="50"/>
      <c r="AH177" s="108" t="s">
        <v>165</v>
      </c>
      <c r="AI177" s="49" t="str">
        <f>IF(AH177="นิติศาสตร์","K5-LAW","K5-POLICY")</f>
        <v>K5-POLICY</v>
      </c>
      <c r="AJ177" s="72" t="str">
        <f>_xlfn.IFS(B177="","",AND(AI177="K5-LAW",AH177="นิติศาสตร์",L177="S2",U177="",AA177=""),Q177,AND(AI177="K5-LAW",AH177="นิติศาสตร์",L177="S1",U177="",AA177=""),EDATE(Q177,12),AND(AI177="K5-LAW",AH177="นิติศาสตร์",OR(L177="M2",L177="K4"),U177="",AA177=""),EDATE(Q177,12*2),AND(AI177="K5-LAW",AH177="นิติศาสตร์",OR(AA177="M2",AA177="K4"),AD177&gt;=2,OR(AC177&lt;W177,AC177&lt;Q177)),EDATE(AC177,12*2),AND(AI177="K5-LAW",AH177="นิติศาสตร์",AA177="S1",AD177&gt;=1,OR(AC177&lt;W177,AC177&lt;Q177)),EDATE(AC177,12),AND(AI177="K5-LAW",AH177="นิติศาสตร์",OR(U177="M2",U177="K4"),X177&gt;=2,W177&lt;Q177),EDATE(W177,12*2),AND(AI177="K5-LAW",AH177="นิติศาสตร์",U177="S1",X177&gt;=1,W177&lt;Q177),EDATE(W177,12),AND(AI177="K5-LAW",AH177="นิติศาสตร์",OR(U177="S2",U177="K5")),W177,AND(AI177="K5-LAW",AH177="นิติศาสตร์",OR(L177="M2",L177="K4"),R177&gt;=2),EDATE(Q177,12*2),AND(AI177="K5-LAW",AH177="นิติศาสตร์",L177="S1",R177&gt;=1),EDATE(Q177,12),AND(AI177="K5-LAW",AH177="นิติศาสตร์",OR(L177="S2",L177="K5")),Q177,AND(AI177="K5-POLICY",AH177&lt;&gt;"นิติศาสตร์",L177="S2",U177="",AA177=""),Q177,AND(AI177="K5-POLICY",AH177&lt;&gt;"นิติศาสตร์",L177="S1",U177="",AA177=""),EDATE(Q177,12),AND(AI177="K5-POLICY",AH177&lt;&gt;"นิติศาสตร์",OR(L177="M2",L177="K4"),U177="",AA177=""),EDATE(Q177,12*2),AND(AI177="K5-POLICY",AH177&lt;&gt;"นิติศาสตร์",OR(AA177="M2",AA177="K4"),AD177&gt;=2,OR(AC177&lt;W177,AC177&lt;Q177)),EDATE(AC177,12*2),AND(AI177="K5-POLICY",AH177&lt;&gt;"นิติศาสตร์",AA177="S1",AD177&gt;=1,OR(AC177&lt;W177,AC177&lt;Q177)),EDATE(AC177,12),AND(AI177="K5-POLICY",AH177&lt;&gt;"นิติศาสตร์",OR(U177="M2",U177="K4"),X177&gt;=2,W177&lt;Q177),EDATE(W177,12*2),AND(AI177="K5-POLICY",AH177&lt;&gt;"นิติศาสตร์",U177="S1",X177&gt;=1,W177&lt;Q177),EDATE(W177,12),AND(AI177="K5-POLICY",AH177&lt;&gt;"นิติศาสตร์",OR(U177="S2",U177="K5")),W177,AND(AI177="K5-POLICY",AH177&lt;&gt;"นิติศาสตร์",OR(L177="M2",L177="K4"),R177&gt;=2),EDATE(Q177,12*2),AND(AI177="K5-POLICY",AH177&lt;&gt;"นิติศาสตร์",L177="S1",R177&gt;=1),EDATE(Q177,12),AND(AI177="K5-POLICY",AH177&lt;&gt;"นิติศาสตร์",OR(L177="S2",L177="K5")),Q177,TRUE,"Check Data")</f>
        <v/>
      </c>
      <c r="AK177" s="75" t="str">
        <f t="shared" si="72"/>
        <v>Check Data</v>
      </c>
      <c r="AL177" s="76" t="str">
        <f t="shared" si="50"/>
        <v>Check Data</v>
      </c>
      <c r="AM177" s="50" t="str">
        <f t="shared" si="73"/>
        <v>Check Data</v>
      </c>
      <c r="AN177" s="49" t="str">
        <f>IF(B177="","",IF(L177="S1","S1",INDEX(#REF!,#REF!)))</f>
        <v/>
      </c>
      <c r="AO177" s="49" t="str">
        <f>L177</f>
        <v>M2</v>
      </c>
      <c r="AP177" s="50" t="b">
        <f>L177=AN177</f>
        <v>0</v>
      </c>
      <c r="AQ177" s="50"/>
    </row>
    <row r="178" spans="1:43" ht="21.75">
      <c r="A178" s="49">
        <v>176</v>
      </c>
      <c r="B178" s="50"/>
      <c r="C178" s="50"/>
      <c r="D178" s="50" t="s">
        <v>139</v>
      </c>
      <c r="E178" s="50" t="e">
        <f>INDEX(#REF!,#REF!)</f>
        <v>#REF!</v>
      </c>
      <c r="F178" s="49" t="s">
        <v>226</v>
      </c>
      <c r="G178" s="49" t="str">
        <f t="shared" si="65"/>
        <v>11/11/1991</v>
      </c>
      <c r="H178" s="50">
        <f t="shared" si="47"/>
        <v>33</v>
      </c>
      <c r="I178" s="50">
        <f t="shared" si="48"/>
        <v>7</v>
      </c>
      <c r="J178" s="50">
        <f t="shared" si="49"/>
        <v>9</v>
      </c>
      <c r="K178" s="56"/>
      <c r="L178" s="49" t="s">
        <v>136</v>
      </c>
      <c r="M178" s="64"/>
      <c r="N178" s="49" t="s">
        <v>427</v>
      </c>
      <c r="O178" s="49">
        <v>2569</v>
      </c>
      <c r="P178" s="65" t="s">
        <v>227</v>
      </c>
      <c r="Q178" s="49" t="str">
        <f t="shared" si="66"/>
        <v>12/10/2023</v>
      </c>
      <c r="R178" s="68">
        <f>IF(Q178="",0,DATEDIF(Q178,$C$1,"Y"))</f>
        <v>1</v>
      </c>
      <c r="S178" s="68">
        <f>IF(Q178="",0,DATEDIF(Q178,$C$1,"YM"))</f>
        <v>8</v>
      </c>
      <c r="T178" s="68">
        <f>IF(Q178="",0,DATEDIF(Q178,$C$1,"MD"))</f>
        <v>8</v>
      </c>
      <c r="U178" s="65"/>
      <c r="V178" s="65"/>
      <c r="W178" s="49" t="str">
        <f t="shared" si="67"/>
        <v/>
      </c>
      <c r="X178" s="68">
        <f>IF(W178="",0,DATEDIF(W178,Q178,"Y"))</f>
        <v>0</v>
      </c>
      <c r="Y178" s="68">
        <f>IF(W178="",0,DATEDIF(W178,Q178,"YM"))</f>
        <v>0</v>
      </c>
      <c r="Z178" s="68">
        <f>IF(W178="",0,DATEDIF(W178,Q178,"MD"))</f>
        <v>0</v>
      </c>
      <c r="AA178" s="49"/>
      <c r="AB178" s="65"/>
      <c r="AC178" s="50" t="str">
        <f t="shared" si="68"/>
        <v/>
      </c>
      <c r="AD178" s="68">
        <f t="shared" si="69"/>
        <v>0</v>
      </c>
      <c r="AE178" s="68">
        <f t="shared" si="70"/>
        <v>0</v>
      </c>
      <c r="AF178" s="68">
        <f t="shared" si="71"/>
        <v>0</v>
      </c>
      <c r="AG178" s="50"/>
      <c r="AH178" s="108" t="s">
        <v>165</v>
      </c>
      <c r="AI178" s="49" t="str">
        <f>IF(AH178="นิติศาสตร์","K5-LAW","K5-POLICY")</f>
        <v>K5-POLICY</v>
      </c>
      <c r="AJ178" s="72" t="str">
        <f>_xlfn.IFS(B178="","",AND(AI178="K5-LAW",AH178="นิติศาสตร์",L178="S2",U178="",AA178=""),Q178,AND(AI178="K5-LAW",AH178="นิติศาสตร์",L178="S1",U178="",AA178=""),EDATE(Q178,12),AND(AI178="K5-LAW",AH178="นิติศาสตร์",OR(L178="M2",L178="K4"),U178="",AA178=""),EDATE(Q178,12*2),AND(AI178="K5-LAW",AH178="นิติศาสตร์",OR(AA178="M2",AA178="K4"),AD178&gt;=2,OR(AC178&lt;W178,AC178&lt;Q178)),EDATE(AC178,12*2),AND(AI178="K5-LAW",AH178="นิติศาสตร์",AA178="S1",AD178&gt;=1,OR(AC178&lt;W178,AC178&lt;Q178)),EDATE(AC178,12),AND(AI178="K5-LAW",AH178="นิติศาสตร์",OR(U178="M2",U178="K4"),X178&gt;=2,W178&lt;Q178),EDATE(W178,12*2),AND(AI178="K5-LAW",AH178="นิติศาสตร์",U178="S1",X178&gt;=1,W178&lt;Q178),EDATE(W178,12),AND(AI178="K5-LAW",AH178="นิติศาสตร์",OR(U178="S2",U178="K5")),W178,AND(AI178="K5-LAW",AH178="นิติศาสตร์",OR(L178="M2",L178="K4"),R178&gt;=2),EDATE(Q178,12*2),AND(AI178="K5-LAW",AH178="นิติศาสตร์",L178="S1",R178&gt;=1),EDATE(Q178,12),AND(AI178="K5-LAW",AH178="นิติศาสตร์",OR(L178="S2",L178="K5")),Q178,AND(AI178="K5-POLICY",AH178&lt;&gt;"นิติศาสตร์",L178="S2",U178="",AA178=""),Q178,AND(AI178="K5-POLICY",AH178&lt;&gt;"นิติศาสตร์",L178="S1",U178="",AA178=""),EDATE(Q178,12),AND(AI178="K5-POLICY",AH178&lt;&gt;"นิติศาสตร์",OR(L178="M2",L178="K4"),U178="",AA178=""),EDATE(Q178,12*2),AND(AI178="K5-POLICY",AH178&lt;&gt;"นิติศาสตร์",OR(AA178="M2",AA178="K4"),AD178&gt;=2,OR(AC178&lt;W178,AC178&lt;Q178)),EDATE(AC178,12*2),AND(AI178="K5-POLICY",AH178&lt;&gt;"นิติศาสตร์",AA178="S1",AD178&gt;=1,OR(AC178&lt;W178,AC178&lt;Q178)),EDATE(AC178,12),AND(AI178="K5-POLICY",AH178&lt;&gt;"นิติศาสตร์",OR(U178="M2",U178="K4"),X178&gt;=2,W178&lt;Q178),EDATE(W178,12*2),AND(AI178="K5-POLICY",AH178&lt;&gt;"นิติศาสตร์",U178="S1",X178&gt;=1,W178&lt;Q178),EDATE(W178,12),AND(AI178="K5-POLICY",AH178&lt;&gt;"นิติศาสตร์",OR(U178="S2",U178="K5")),W178,AND(AI178="K5-POLICY",AH178&lt;&gt;"นิติศาสตร์",OR(L178="M2",L178="K4"),R178&gt;=2),EDATE(Q178,12*2),AND(AI178="K5-POLICY",AH178&lt;&gt;"นิติศาสตร์",L178="S1",R178&gt;=1),EDATE(Q178,12),AND(AI178="K5-POLICY",AH178&lt;&gt;"นิติศาสตร์",OR(L178="S2",L178="K5")),Q178,TRUE,"Check Data")</f>
        <v/>
      </c>
      <c r="AK178" s="75" t="str">
        <f t="shared" si="72"/>
        <v>Check Data</v>
      </c>
      <c r="AL178" s="76" t="str">
        <f t="shared" si="50"/>
        <v>Check Data</v>
      </c>
      <c r="AM178" s="50" t="str">
        <f t="shared" si="73"/>
        <v>Check Data</v>
      </c>
      <c r="AN178" s="49" t="str">
        <f>IF(B178="","",IF(L178="S1","S1",INDEX(#REF!,#REF!)))</f>
        <v/>
      </c>
      <c r="AO178" s="49" t="str">
        <f>L178</f>
        <v>M2</v>
      </c>
      <c r="AP178" s="50" t="b">
        <f>L178=AN178</f>
        <v>0</v>
      </c>
      <c r="AQ178" s="50"/>
    </row>
    <row r="179" spans="1:43" ht="21.75">
      <c r="A179" s="49">
        <v>177</v>
      </c>
      <c r="B179" s="50"/>
      <c r="C179" s="50"/>
      <c r="D179" s="50" t="s">
        <v>139</v>
      </c>
      <c r="E179" s="50" t="e">
        <f>INDEX(#REF!,#REF!)</f>
        <v>#REF!</v>
      </c>
      <c r="F179" s="49" t="s">
        <v>231</v>
      </c>
      <c r="G179" s="49" t="str">
        <f t="shared" si="65"/>
        <v>15/05/1995</v>
      </c>
      <c r="H179" s="50">
        <f t="shared" si="47"/>
        <v>30</v>
      </c>
      <c r="I179" s="50">
        <f t="shared" si="48"/>
        <v>1</v>
      </c>
      <c r="J179" s="50">
        <f t="shared" si="49"/>
        <v>5</v>
      </c>
      <c r="K179" s="56"/>
      <c r="L179" s="49" t="s">
        <v>136</v>
      </c>
      <c r="M179" s="64"/>
      <c r="N179" s="49" t="s">
        <v>427</v>
      </c>
      <c r="O179" s="49">
        <v>2573</v>
      </c>
      <c r="P179" s="65" t="s">
        <v>227</v>
      </c>
      <c r="Q179" s="49" t="str">
        <f t="shared" si="66"/>
        <v>12/10/2023</v>
      </c>
      <c r="R179" s="68">
        <f>IF(Q179="",0,DATEDIF(Q179,$C$1,"Y"))</f>
        <v>1</v>
      </c>
      <c r="S179" s="68">
        <f>IF(Q179="",0,DATEDIF(Q179,$C$1,"YM"))</f>
        <v>8</v>
      </c>
      <c r="T179" s="68">
        <f>IF(Q179="",0,DATEDIF(Q179,$C$1,"MD"))</f>
        <v>8</v>
      </c>
      <c r="U179" s="65"/>
      <c r="V179" s="65"/>
      <c r="W179" s="49" t="str">
        <f t="shared" si="67"/>
        <v/>
      </c>
      <c r="X179" s="68">
        <f>IF(W179="",0,DATEDIF(W179,Q179,"Y"))</f>
        <v>0</v>
      </c>
      <c r="Y179" s="68">
        <f>IF(W179="",0,DATEDIF(W179,Q179,"YM"))</f>
        <v>0</v>
      </c>
      <c r="Z179" s="68">
        <f>IF(W179="",0,DATEDIF(W179,Q179,"MD"))</f>
        <v>0</v>
      </c>
      <c r="AA179" s="49"/>
      <c r="AB179" s="65"/>
      <c r="AC179" s="50" t="str">
        <f t="shared" si="68"/>
        <v/>
      </c>
      <c r="AD179" s="68">
        <f t="shared" si="69"/>
        <v>0</v>
      </c>
      <c r="AE179" s="68">
        <f t="shared" si="70"/>
        <v>0</v>
      </c>
      <c r="AF179" s="68">
        <f t="shared" si="71"/>
        <v>0</v>
      </c>
      <c r="AG179" s="50"/>
      <c r="AH179" s="108" t="s">
        <v>138</v>
      </c>
      <c r="AI179" s="49" t="str">
        <f>IF(AH179="นิติศาสตร์","K5-LAW","K5-POLICY")</f>
        <v>K5-LAW</v>
      </c>
      <c r="AJ179" s="72" t="str">
        <f>_xlfn.IFS(B179="","",AND(AI179="K5-LAW",AH179="นิติศาสตร์",L179="S2",U179="",AA179=""),Q179,AND(AI179="K5-LAW",AH179="นิติศาสตร์",L179="S1",U179="",AA179=""),EDATE(Q179,12),AND(AI179="K5-LAW",AH179="นิติศาสตร์",OR(L179="M2",L179="K4"),U179="",AA179=""),EDATE(Q179,12*2),AND(AI179="K5-LAW",AH179="นิติศาสตร์",OR(AA179="M2",AA179="K4"),AD179&gt;=2,OR(AC179&lt;W179,AC179&lt;Q179)),EDATE(AC179,12*2),AND(AI179="K5-LAW",AH179="นิติศาสตร์",AA179="S1",AD179&gt;=1,OR(AC179&lt;W179,AC179&lt;Q179)),EDATE(AC179,12),AND(AI179="K5-LAW",AH179="นิติศาสตร์",OR(U179="M2",U179="K4"),X179&gt;=2,W179&lt;Q179),EDATE(W179,12*2),AND(AI179="K5-LAW",AH179="นิติศาสตร์",U179="S1",X179&gt;=1,W179&lt;Q179),EDATE(W179,12),AND(AI179="K5-LAW",AH179="นิติศาสตร์",OR(U179="S2",U179="K5")),W179,AND(AI179="K5-LAW",AH179="นิติศาสตร์",OR(L179="M2",L179="K4"),R179&gt;=2),EDATE(Q179,12*2),AND(AI179="K5-LAW",AH179="นิติศาสตร์",L179="S1",R179&gt;=1),EDATE(Q179,12),AND(AI179="K5-LAW",AH179="นิติศาสตร์",OR(L179="S2",L179="K5")),Q179,AND(AI179="K5-POLICY",AH179&lt;&gt;"นิติศาสตร์",L179="S2",U179="",AA179=""),Q179,AND(AI179="K5-POLICY",AH179&lt;&gt;"นิติศาสตร์",L179="S1",U179="",AA179=""),EDATE(Q179,12),AND(AI179="K5-POLICY",AH179&lt;&gt;"นิติศาสตร์",OR(L179="M2",L179="K4"),U179="",AA179=""),EDATE(Q179,12*2),AND(AI179="K5-POLICY",AH179&lt;&gt;"นิติศาสตร์",OR(AA179="M2",AA179="K4"),AD179&gt;=2,OR(AC179&lt;W179,AC179&lt;Q179)),EDATE(AC179,12*2),AND(AI179="K5-POLICY",AH179&lt;&gt;"นิติศาสตร์",AA179="S1",AD179&gt;=1,OR(AC179&lt;W179,AC179&lt;Q179)),EDATE(AC179,12),AND(AI179="K5-POLICY",AH179&lt;&gt;"นิติศาสตร์",OR(U179="M2",U179="K4"),X179&gt;=2,W179&lt;Q179),EDATE(W179,12*2),AND(AI179="K5-POLICY",AH179&lt;&gt;"นิติศาสตร์",U179="S1",X179&gt;=1,W179&lt;Q179),EDATE(W179,12),AND(AI179="K5-POLICY",AH179&lt;&gt;"นิติศาสตร์",OR(U179="S2",U179="K5")),W179,AND(AI179="K5-POLICY",AH179&lt;&gt;"นิติศาสตร์",OR(L179="M2",L179="K4"),R179&gt;=2),EDATE(Q179,12*2),AND(AI179="K5-POLICY",AH179&lt;&gt;"นิติศาสตร์",L179="S1",R179&gt;=1),EDATE(Q179,12),AND(AI179="K5-POLICY",AH179&lt;&gt;"นิติศาสตร์",OR(L179="S2",L179="K5")),Q179,TRUE,"Check Data")</f>
        <v/>
      </c>
      <c r="AK179" s="75" t="str">
        <f t="shared" si="72"/>
        <v>Check Data</v>
      </c>
      <c r="AL179" s="76" t="str">
        <f t="shared" si="50"/>
        <v>Check Data</v>
      </c>
      <c r="AM179" s="50" t="str">
        <f t="shared" si="73"/>
        <v>Check Data</v>
      </c>
      <c r="AN179" s="49" t="str">
        <f>IF(B179="","",IF(L179="S1","S1",INDEX(#REF!,#REF!)))</f>
        <v/>
      </c>
      <c r="AO179" s="49" t="str">
        <f>L179</f>
        <v>M2</v>
      </c>
      <c r="AP179" s="50" t="b">
        <f>L179=AN179</f>
        <v>0</v>
      </c>
      <c r="AQ179" s="50"/>
    </row>
    <row r="180" spans="1:43" ht="21.75">
      <c r="A180" s="49">
        <v>178</v>
      </c>
      <c r="B180" s="50"/>
      <c r="C180" s="50"/>
      <c r="D180" s="50" t="s">
        <v>147</v>
      </c>
      <c r="E180" s="50" t="e">
        <f>INDEX(#REF!,#REF!)</f>
        <v>#REF!</v>
      </c>
      <c r="F180" s="49" t="s">
        <v>418</v>
      </c>
      <c r="G180" s="49" t="str">
        <f t="shared" si="65"/>
        <v>16/08/2004</v>
      </c>
      <c r="H180" s="50">
        <f t="shared" si="47"/>
        <v>20</v>
      </c>
      <c r="I180" s="50">
        <f t="shared" si="48"/>
        <v>10</v>
      </c>
      <c r="J180" s="50">
        <f t="shared" si="49"/>
        <v>4</v>
      </c>
      <c r="K180" s="81"/>
      <c r="L180" s="49" t="s">
        <v>136</v>
      </c>
      <c r="M180" s="64"/>
      <c r="N180" s="49" t="s">
        <v>426</v>
      </c>
      <c r="O180" s="49">
        <v>2582</v>
      </c>
      <c r="P180" s="65" t="s">
        <v>432</v>
      </c>
      <c r="Q180" s="49" t="str">
        <f t="shared" si="66"/>
        <v>07/11/2023</v>
      </c>
      <c r="R180" s="68">
        <f>IF(Q180="",0,DATEDIF(Q180,$C$1,"Y"))</f>
        <v>1</v>
      </c>
      <c r="S180" s="68">
        <f>IF(Q180="",0,DATEDIF(Q180,$C$1,"YM"))</f>
        <v>7</v>
      </c>
      <c r="T180" s="68">
        <f>IF(Q180="",0,DATEDIF(Q180,$C$1,"MD"))</f>
        <v>13</v>
      </c>
      <c r="U180" s="65"/>
      <c r="V180" s="65"/>
      <c r="W180" s="49" t="str">
        <f t="shared" si="67"/>
        <v/>
      </c>
      <c r="X180" s="68">
        <f>IF(W180="",0,DATEDIF(W180,Q180,"Y"))</f>
        <v>0</v>
      </c>
      <c r="Y180" s="68">
        <f>IF(W180="",0,DATEDIF(W180,Q180,"YM"))</f>
        <v>0</v>
      </c>
      <c r="Z180" s="68">
        <f>IF(W180="",0,DATEDIF(W180,Q180,"MD"))</f>
        <v>0</v>
      </c>
      <c r="AA180" s="49"/>
      <c r="AB180" s="65"/>
      <c r="AC180" s="50" t="str">
        <f t="shared" si="68"/>
        <v/>
      </c>
      <c r="AD180" s="68">
        <f t="shared" si="69"/>
        <v>0</v>
      </c>
      <c r="AE180" s="68">
        <f t="shared" si="70"/>
        <v>0</v>
      </c>
      <c r="AF180" s="68">
        <f t="shared" si="71"/>
        <v>0</v>
      </c>
      <c r="AG180" s="50"/>
      <c r="AH180" s="108" t="s">
        <v>486</v>
      </c>
      <c r="AI180" s="49" t="str">
        <f>IF(AH180="นิติศาสตร์","K5-LAW","K5-POLICY")</f>
        <v>K5-POLICY</v>
      </c>
      <c r="AJ180" s="72" t="str">
        <f>_xlfn.IFS(B180="","",AND(AI180="K5-LAW",AH180="นิติศาสตร์",L180="S2",U180="",AA180=""),Q180,AND(AI180="K5-LAW",AH180="นิติศาสตร์",L180="S1",U180="",AA180=""),EDATE(Q180,12),AND(AI180="K5-LAW",AH180="นิติศาสตร์",OR(L180="M2",L180="K4"),U180="",AA180=""),EDATE(Q180,12*2),AND(AI180="K5-LAW",AH180="นิติศาสตร์",OR(AA180="M2",AA180="K4"),AD180&gt;=2,OR(AC180&lt;W180,AC180&lt;Q180)),EDATE(AC180,12*2),AND(AI180="K5-LAW",AH180="นิติศาสตร์",AA180="S1",AD180&gt;=1,OR(AC180&lt;W180,AC180&lt;Q180)),EDATE(AC180,12),AND(AI180="K5-LAW",AH180="นิติศาสตร์",OR(U180="M2",U180="K4"),X180&gt;=2,W180&lt;Q180),EDATE(W180,12*2),AND(AI180="K5-LAW",AH180="นิติศาสตร์",U180="S1",X180&gt;=1,W180&lt;Q180),EDATE(W180,12),AND(AI180="K5-LAW",AH180="นิติศาสตร์",OR(U180="S2",U180="K5")),W180,AND(AI180="K5-LAW",AH180="นิติศาสตร์",OR(L180="M2",L180="K4"),R180&gt;=2),EDATE(Q180,12*2),AND(AI180="K5-LAW",AH180="นิติศาสตร์",L180="S1",R180&gt;=1),EDATE(Q180,12),AND(AI180="K5-LAW",AH180="นิติศาสตร์",OR(L180="S2",L180="K5")),Q180,AND(AI180="K5-POLICY",AH180&lt;&gt;"นิติศาสตร์",L180="S2",U180="",AA180=""),Q180,AND(AI180="K5-POLICY",AH180&lt;&gt;"นิติศาสตร์",L180="S1",U180="",AA180=""),EDATE(Q180,12),AND(AI180="K5-POLICY",AH180&lt;&gt;"นิติศาสตร์",OR(L180="M2",L180="K4"),U180="",AA180=""),EDATE(Q180,12*2),AND(AI180="K5-POLICY",AH180&lt;&gt;"นิติศาสตร์",OR(AA180="M2",AA180="K4"),AD180&gt;=2,OR(AC180&lt;W180,AC180&lt;Q180)),EDATE(AC180,12*2),AND(AI180="K5-POLICY",AH180&lt;&gt;"นิติศาสตร์",AA180="S1",AD180&gt;=1,OR(AC180&lt;W180,AC180&lt;Q180)),EDATE(AC180,12),AND(AI180="K5-POLICY",AH180&lt;&gt;"นิติศาสตร์",OR(U180="M2",U180="K4"),X180&gt;=2,W180&lt;Q180),EDATE(W180,12*2),AND(AI180="K5-POLICY",AH180&lt;&gt;"นิติศาสตร์",U180="S1",X180&gt;=1,W180&lt;Q180),EDATE(W180,12),AND(AI180="K5-POLICY",AH180&lt;&gt;"นิติศาสตร์",OR(U180="S2",U180="K5")),W180,AND(AI180="K5-POLICY",AH180&lt;&gt;"นิติศาสตร์",OR(L180="M2",L180="K4"),R180&gt;=2),EDATE(Q180,12*2),AND(AI180="K5-POLICY",AH180&lt;&gt;"นิติศาสตร์",L180="S1",R180&gt;=1),EDATE(Q180,12),AND(AI180="K5-POLICY",AH180&lt;&gt;"นิติศาสตร์",OR(L180="S2",L180="K5")),Q180,TRUE,"Check Data")</f>
        <v/>
      </c>
      <c r="AK180" s="75" t="str">
        <f t="shared" si="72"/>
        <v>Check Data</v>
      </c>
      <c r="AL180" s="76" t="str">
        <f t="shared" si="50"/>
        <v>Check Data</v>
      </c>
      <c r="AM180" s="50" t="str">
        <f t="shared" si="73"/>
        <v>Check Data</v>
      </c>
      <c r="AN180" s="49" t="str">
        <f>IF(B180="","",IF(L180="S1","S1",INDEX(#REF!,#REF!)))</f>
        <v/>
      </c>
      <c r="AO180" s="49" t="str">
        <f>L180</f>
        <v>M2</v>
      </c>
      <c r="AP180" s="50" t="b">
        <f>L180=AN180</f>
        <v>0</v>
      </c>
      <c r="AQ180" s="50"/>
    </row>
    <row r="181" spans="1:43" ht="21.75">
      <c r="A181" s="49">
        <v>179</v>
      </c>
      <c r="B181" s="50"/>
      <c r="C181" s="52"/>
      <c r="D181" s="79" t="s">
        <v>145</v>
      </c>
      <c r="E181" s="50" t="e">
        <f>INDEX(#REF!,#REF!)</f>
        <v>#REF!</v>
      </c>
      <c r="F181" s="79"/>
      <c r="G181" s="79"/>
      <c r="H181" s="50">
        <f t="shared" si="47"/>
        <v>0</v>
      </c>
      <c r="I181" s="50">
        <f t="shared" si="48"/>
        <v>0</v>
      </c>
      <c r="J181" s="50">
        <f t="shared" si="49"/>
        <v>0</v>
      </c>
      <c r="K181" s="79"/>
      <c r="L181" s="49" t="s">
        <v>136</v>
      </c>
      <c r="M181" s="79"/>
      <c r="N181" s="79"/>
      <c r="O181" s="79"/>
      <c r="P181" s="65" t="s">
        <v>438</v>
      </c>
      <c r="Q181" s="49" t="str">
        <f t="shared" si="66"/>
        <v>08/12/2023</v>
      </c>
      <c r="R181" s="68">
        <f>IF(Q181="",0,DATEDIF(Q181,$C$1,"Y"))</f>
        <v>1</v>
      </c>
      <c r="S181" s="68">
        <f>IF(Q181="",0,DATEDIF(Q181,$C$1,"YM"))</f>
        <v>6</v>
      </c>
      <c r="T181" s="68">
        <f>IF(Q181="",0,DATEDIF(Q181,$C$1,"MD"))</f>
        <v>12</v>
      </c>
      <c r="U181" s="65"/>
      <c r="V181" s="83"/>
      <c r="W181" s="49" t="str">
        <f t="shared" si="67"/>
        <v/>
      </c>
      <c r="X181" s="68">
        <f>IF(W181="",0,DATEDIF(W181,Q181,"Y"))</f>
        <v>0</v>
      </c>
      <c r="Y181" s="68">
        <f>IF(W181="",0,DATEDIF(W181,Q181,"YM"))</f>
        <v>0</v>
      </c>
      <c r="Z181" s="68">
        <f>IF(W181="",0,DATEDIF(W181,Q181,"MD"))</f>
        <v>0</v>
      </c>
      <c r="AA181" s="79"/>
      <c r="AB181" s="79"/>
      <c r="AC181" s="50" t="str">
        <f t="shared" si="68"/>
        <v/>
      </c>
      <c r="AD181" s="68">
        <f t="shared" si="69"/>
        <v>0</v>
      </c>
      <c r="AE181" s="68">
        <f t="shared" si="70"/>
        <v>0</v>
      </c>
      <c r="AF181" s="68">
        <f t="shared" si="71"/>
        <v>0</v>
      </c>
      <c r="AG181" s="79"/>
      <c r="AH181" s="109"/>
      <c r="AI181" s="49" t="str">
        <f>IF(AH181="นิติศาสตร์","K5-LAW","K5-POLICY")</f>
        <v>K5-POLICY</v>
      </c>
      <c r="AJ181" s="72" t="str">
        <f>_xlfn.IFS(B181="","",AND(AI181="K5-LAW",AH181="นิติศาสตร์",L181="S2",U181="",AA181=""),Q181,AND(AI181="K5-LAW",AH181="นิติศาสตร์",L181="S1",U181="",AA181=""),EDATE(Q181,12),AND(AI181="K5-LAW",AH181="นิติศาสตร์",OR(L181="M2",L181="K4"),U181="",AA181=""),EDATE(Q181,12*2),AND(AI181="K5-LAW",AH181="นิติศาสตร์",OR(AA181="M2",AA181="K4"),AD181&gt;=2,OR(AC181&lt;W181,AC181&lt;Q181)),EDATE(AC181,12*2),AND(AI181="K5-LAW",AH181="นิติศาสตร์",AA181="S1",AD181&gt;=1,OR(AC181&lt;W181,AC181&lt;Q181)),EDATE(AC181,12),AND(AI181="K5-LAW",AH181="นิติศาสตร์",OR(U181="M2",U181="K4"),X181&gt;=2,W181&lt;Q181),EDATE(W181,12*2),AND(AI181="K5-LAW",AH181="นิติศาสตร์",U181="S1",X181&gt;=1,W181&lt;Q181),EDATE(W181,12),AND(AI181="K5-LAW",AH181="นิติศาสตร์",OR(U181="S2",U181="K5")),W181,AND(AI181="K5-LAW",AH181="นิติศาสตร์",OR(L181="M2",L181="K4"),R181&gt;=2),EDATE(Q181,12*2),AND(AI181="K5-LAW",AH181="นิติศาสตร์",L181="S1",R181&gt;=1),EDATE(Q181,12),AND(AI181="K5-LAW",AH181="นิติศาสตร์",OR(L181="S2",L181="K5")),Q181,AND(AI181="K5-POLICY",AH181&lt;&gt;"นิติศาสตร์",L181="S2",U181="",AA181=""),Q181,AND(AI181="K5-POLICY",AH181&lt;&gt;"นิติศาสตร์",L181="S1",U181="",AA181=""),EDATE(Q181,12),AND(AI181="K5-POLICY",AH181&lt;&gt;"นิติศาสตร์",OR(L181="M2",L181="K4"),U181="",AA181=""),EDATE(Q181,12*2),AND(AI181="K5-POLICY",AH181&lt;&gt;"นิติศาสตร์",OR(AA181="M2",AA181="K4"),AD181&gt;=2,OR(AC181&lt;W181,AC181&lt;Q181)),EDATE(AC181,12*2),AND(AI181="K5-POLICY",AH181&lt;&gt;"นิติศาสตร์",AA181="S1",AD181&gt;=1,OR(AC181&lt;W181,AC181&lt;Q181)),EDATE(AC181,12),AND(AI181="K5-POLICY",AH181&lt;&gt;"นิติศาสตร์",OR(U181="M2",U181="K4"),X181&gt;=2,W181&lt;Q181),EDATE(W181,12*2),AND(AI181="K5-POLICY",AH181&lt;&gt;"นิติศาสตร์",U181="S1",X181&gt;=1,W181&lt;Q181),EDATE(W181,12),AND(AI181="K5-POLICY",AH181&lt;&gt;"นิติศาสตร์",OR(U181="S2",U181="K5")),W181,AND(AI181="K5-POLICY",AH181&lt;&gt;"นิติศาสตร์",OR(L181="M2",L181="K4"),R181&gt;=2),EDATE(Q181,12*2),AND(AI181="K5-POLICY",AH181&lt;&gt;"นิติศาสตร์",L181="S1",R181&gt;=1),EDATE(Q181,12),AND(AI181="K5-POLICY",AH181&lt;&gt;"นิติศาสตร์",OR(L181="S2",L181="K5")),Q181,TRUE,"Check Data")</f>
        <v/>
      </c>
      <c r="AK181" s="75" t="str">
        <f t="shared" si="72"/>
        <v>Check Data</v>
      </c>
      <c r="AL181" s="76" t="str">
        <f t="shared" si="50"/>
        <v>Check Data</v>
      </c>
      <c r="AM181" s="50" t="str">
        <f t="shared" si="73"/>
        <v>Check Data</v>
      </c>
      <c r="AN181" s="49" t="str">
        <f>IF(B181="","",IF(L181="S1","S1",INDEX(#REF!,#REF!)))</f>
        <v/>
      </c>
      <c r="AO181" s="49" t="str">
        <f>L181</f>
        <v>M2</v>
      </c>
      <c r="AP181" s="50" t="b">
        <f>L181=AN181</f>
        <v>0</v>
      </c>
      <c r="AQ181" s="50"/>
    </row>
    <row r="182" spans="1:43" ht="21.75">
      <c r="A182" s="49">
        <v>180</v>
      </c>
      <c r="B182" s="50"/>
      <c r="C182" s="50"/>
      <c r="D182" s="50" t="s">
        <v>142</v>
      </c>
      <c r="E182" s="50" t="e">
        <f>INDEX(#REF!,#REF!)</f>
        <v>#REF!</v>
      </c>
      <c r="F182" s="49" t="s">
        <v>279</v>
      </c>
      <c r="G182" s="49" t="str">
        <f t="shared" ref="G182:G196" si="74">IF(F182="","",TEXT(EDATE(F182,-543*12),"dd/mm/yyyy"))</f>
        <v>02/11/1987</v>
      </c>
      <c r="H182" s="50">
        <f t="shared" si="47"/>
        <v>37</v>
      </c>
      <c r="I182" s="50">
        <f t="shared" si="48"/>
        <v>7</v>
      </c>
      <c r="J182" s="50">
        <f t="shared" si="49"/>
        <v>18</v>
      </c>
      <c r="K182" s="58"/>
      <c r="L182" s="49" t="s">
        <v>136</v>
      </c>
      <c r="M182" s="64"/>
      <c r="N182" s="49" t="s">
        <v>427</v>
      </c>
      <c r="O182" s="49">
        <v>0</v>
      </c>
      <c r="P182" s="65" t="s">
        <v>257</v>
      </c>
      <c r="Q182" s="49" t="str">
        <f t="shared" si="66"/>
        <v>19/12/2023</v>
      </c>
      <c r="R182" s="68">
        <f>IF(Q182="",0,DATEDIF(Q182,$C$1,"Y"))</f>
        <v>1</v>
      </c>
      <c r="S182" s="68">
        <f>IF(Q182="",0,DATEDIF(Q182,$C$1,"YM"))</f>
        <v>6</v>
      </c>
      <c r="T182" s="68">
        <f>IF(Q182="",0,DATEDIF(Q182,$C$1,"MD"))</f>
        <v>1</v>
      </c>
      <c r="U182" s="65"/>
      <c r="V182" s="65"/>
      <c r="W182" s="49" t="str">
        <f t="shared" si="67"/>
        <v/>
      </c>
      <c r="X182" s="68">
        <f>IF(W182="",0,DATEDIF(W182,Q182,"Y"))</f>
        <v>0</v>
      </c>
      <c r="Y182" s="68">
        <f>IF(W182="",0,DATEDIF(W182,Q182,"YM"))</f>
        <v>0</v>
      </c>
      <c r="Z182" s="68">
        <f>IF(W182="",0,DATEDIF(W182,Q182,"MD"))</f>
        <v>0</v>
      </c>
      <c r="AA182" s="49"/>
      <c r="AB182" s="65"/>
      <c r="AC182" s="50" t="str">
        <f t="shared" si="68"/>
        <v/>
      </c>
      <c r="AD182" s="68">
        <f t="shared" si="69"/>
        <v>0</v>
      </c>
      <c r="AE182" s="68">
        <f t="shared" si="70"/>
        <v>0</v>
      </c>
      <c r="AF182" s="68">
        <f t="shared" si="71"/>
        <v>0</v>
      </c>
      <c r="AG182" s="50"/>
      <c r="AH182" s="108" t="s">
        <v>138</v>
      </c>
      <c r="AI182" s="49" t="str">
        <f>IF(AH182="นิติศาสตร์","K5-LAW","K5-POLICY")</f>
        <v>K5-LAW</v>
      </c>
      <c r="AJ182" s="72" t="str">
        <f>_xlfn.IFS(B182="","",AND(AI182="K5-LAW",AH182="นิติศาสตร์",L182="S2",U182="",AA182=""),Q182,AND(AI182="K5-LAW",AH182="นิติศาสตร์",L182="S1",U182="",AA182=""),EDATE(Q182,12),AND(AI182="K5-LAW",AH182="นิติศาสตร์",OR(L182="M2",L182="K4"),U182="",AA182=""),EDATE(Q182,12*2),AND(AI182="K5-LAW",AH182="นิติศาสตร์",OR(AA182="M2",AA182="K4"),AD182&gt;=2,OR(AC182&lt;W182,AC182&lt;Q182)),EDATE(AC182,12*2),AND(AI182="K5-LAW",AH182="นิติศาสตร์",AA182="S1",AD182&gt;=1,OR(AC182&lt;W182,AC182&lt;Q182)),EDATE(AC182,12),AND(AI182="K5-LAW",AH182="นิติศาสตร์",OR(U182="M2",U182="K4"),X182&gt;=2,W182&lt;Q182),EDATE(W182,12*2),AND(AI182="K5-LAW",AH182="นิติศาสตร์",U182="S1",X182&gt;=1,W182&lt;Q182),EDATE(W182,12),AND(AI182="K5-LAW",AH182="นิติศาสตร์",OR(U182="S2",U182="K5")),W182,AND(AI182="K5-LAW",AH182="นิติศาสตร์",OR(L182="M2",L182="K4"),R182&gt;=2),EDATE(Q182,12*2),AND(AI182="K5-LAW",AH182="นิติศาสตร์",L182="S1",R182&gt;=1),EDATE(Q182,12),AND(AI182="K5-LAW",AH182="นิติศาสตร์",OR(L182="S2",L182="K5")),Q182,AND(AI182="K5-POLICY",AH182&lt;&gt;"นิติศาสตร์",L182="S2",U182="",AA182=""),Q182,AND(AI182="K5-POLICY",AH182&lt;&gt;"นิติศาสตร์",L182="S1",U182="",AA182=""),EDATE(Q182,12),AND(AI182="K5-POLICY",AH182&lt;&gt;"นิติศาสตร์",OR(L182="M2",L182="K4"),U182="",AA182=""),EDATE(Q182,12*2),AND(AI182="K5-POLICY",AH182&lt;&gt;"นิติศาสตร์",OR(AA182="M2",AA182="K4"),AD182&gt;=2,OR(AC182&lt;W182,AC182&lt;Q182)),EDATE(AC182,12*2),AND(AI182="K5-POLICY",AH182&lt;&gt;"นิติศาสตร์",AA182="S1",AD182&gt;=1,OR(AC182&lt;W182,AC182&lt;Q182)),EDATE(AC182,12),AND(AI182="K5-POLICY",AH182&lt;&gt;"นิติศาสตร์",OR(U182="M2",U182="K4"),X182&gt;=2,W182&lt;Q182),EDATE(W182,12*2),AND(AI182="K5-POLICY",AH182&lt;&gt;"นิติศาสตร์",U182="S1",X182&gt;=1,W182&lt;Q182),EDATE(W182,12),AND(AI182="K5-POLICY",AH182&lt;&gt;"นิติศาสตร์",OR(U182="S2",U182="K5")),W182,AND(AI182="K5-POLICY",AH182&lt;&gt;"นิติศาสตร์",OR(L182="M2",L182="K4"),R182&gt;=2),EDATE(Q182,12*2),AND(AI182="K5-POLICY",AH182&lt;&gt;"นิติศาสตร์",L182="S1",R182&gt;=1),EDATE(Q182,12),AND(AI182="K5-POLICY",AH182&lt;&gt;"นิติศาสตร์",OR(L182="S2",L182="K5")),Q182,TRUE,"Check Data")</f>
        <v/>
      </c>
      <c r="AK182" s="75" t="str">
        <f t="shared" si="72"/>
        <v>Check Data</v>
      </c>
      <c r="AL182" s="76" t="str">
        <f t="shared" si="50"/>
        <v>Check Data</v>
      </c>
      <c r="AM182" s="50" t="str">
        <f t="shared" si="73"/>
        <v>Check Data</v>
      </c>
      <c r="AN182" s="49" t="str">
        <f>IF(B182="","",IF(L182="S1","S1",INDEX(#REF!,#REF!)))</f>
        <v/>
      </c>
      <c r="AO182" s="49" t="str">
        <f>L182</f>
        <v>M2</v>
      </c>
      <c r="AP182" s="50" t="b">
        <f>L182=AN182</f>
        <v>0</v>
      </c>
      <c r="AQ182" s="50"/>
    </row>
    <row r="183" spans="1:43" ht="21.75">
      <c r="A183" s="49">
        <v>181</v>
      </c>
      <c r="B183" s="50"/>
      <c r="C183" s="50"/>
      <c r="D183" s="50" t="s">
        <v>141</v>
      </c>
      <c r="E183" s="50" t="e">
        <f>INDEX(#REF!,#REF!)</f>
        <v>#REF!</v>
      </c>
      <c r="F183" s="49" t="s">
        <v>265</v>
      </c>
      <c r="G183" s="49" t="str">
        <f t="shared" si="74"/>
        <v>01/09/1993</v>
      </c>
      <c r="H183" s="50">
        <f t="shared" si="47"/>
        <v>31</v>
      </c>
      <c r="I183" s="50">
        <f t="shared" si="48"/>
        <v>9</v>
      </c>
      <c r="J183" s="50">
        <f t="shared" si="49"/>
        <v>19</v>
      </c>
      <c r="K183" s="60"/>
      <c r="L183" s="49" t="s">
        <v>136</v>
      </c>
      <c r="M183" s="64"/>
      <c r="N183" s="49" t="s">
        <v>427</v>
      </c>
      <c r="O183" s="49">
        <v>2569</v>
      </c>
      <c r="P183" s="65" t="s">
        <v>257</v>
      </c>
      <c r="Q183" s="49" t="str">
        <f t="shared" si="66"/>
        <v>19/12/2023</v>
      </c>
      <c r="R183" s="68">
        <f>IF(Q183="",0,DATEDIF(Q183,$C$1,"Y"))</f>
        <v>1</v>
      </c>
      <c r="S183" s="68">
        <f>IF(Q183="",0,DATEDIF(Q183,$C$1,"YM"))</f>
        <v>6</v>
      </c>
      <c r="T183" s="68">
        <f>IF(Q183="",0,DATEDIF(Q183,$C$1,"MD"))</f>
        <v>1</v>
      </c>
      <c r="U183" s="65"/>
      <c r="V183" s="65"/>
      <c r="W183" s="49" t="str">
        <f t="shared" si="67"/>
        <v/>
      </c>
      <c r="X183" s="68">
        <f>IF(W183="",0,DATEDIF(W183,Q183,"Y"))</f>
        <v>0</v>
      </c>
      <c r="Y183" s="68">
        <f>IF(W183="",0,DATEDIF(W183,Q183,"YM"))</f>
        <v>0</v>
      </c>
      <c r="Z183" s="68">
        <f>IF(W183="",0,DATEDIF(W183,Q183,"MD"))</f>
        <v>0</v>
      </c>
      <c r="AA183" s="49"/>
      <c r="AB183" s="65"/>
      <c r="AC183" s="50" t="str">
        <f t="shared" si="68"/>
        <v/>
      </c>
      <c r="AD183" s="68">
        <f t="shared" si="69"/>
        <v>0</v>
      </c>
      <c r="AE183" s="68">
        <f t="shared" si="70"/>
        <v>0</v>
      </c>
      <c r="AF183" s="68">
        <f t="shared" si="71"/>
        <v>0</v>
      </c>
      <c r="AG183" s="50"/>
      <c r="AH183" s="108" t="s">
        <v>138</v>
      </c>
      <c r="AI183" s="49" t="str">
        <f>IF(AH183="นิติศาสตร์","K5-LAW","K5-POLICY")</f>
        <v>K5-LAW</v>
      </c>
      <c r="AJ183" s="72" t="str">
        <f>_xlfn.IFS(B183="","",AND(AI183="K5-LAW",AH183="นิติศาสตร์",L183="S2",U183="",AA183=""),Q183,AND(AI183="K5-LAW",AH183="นิติศาสตร์",L183="S1",U183="",AA183=""),EDATE(Q183,12),AND(AI183="K5-LAW",AH183="นิติศาสตร์",OR(L183="M2",L183="K4"),U183="",AA183=""),EDATE(Q183,12*2),AND(AI183="K5-LAW",AH183="นิติศาสตร์",OR(AA183="M2",AA183="K4"),AD183&gt;=2,OR(AC183&lt;W183,AC183&lt;Q183)),EDATE(AC183,12*2),AND(AI183="K5-LAW",AH183="นิติศาสตร์",AA183="S1",AD183&gt;=1,OR(AC183&lt;W183,AC183&lt;Q183)),EDATE(AC183,12),AND(AI183="K5-LAW",AH183="นิติศาสตร์",OR(U183="M2",U183="K4"),X183&gt;=2,W183&lt;Q183),EDATE(W183,12*2),AND(AI183="K5-LAW",AH183="นิติศาสตร์",U183="S1",X183&gt;=1,W183&lt;Q183),EDATE(W183,12),AND(AI183="K5-LAW",AH183="นิติศาสตร์",OR(U183="S2",U183="K5")),W183,AND(AI183="K5-LAW",AH183="นิติศาสตร์",OR(L183="M2",L183="K4"),R183&gt;=2),EDATE(Q183,12*2),AND(AI183="K5-LAW",AH183="นิติศาสตร์",L183="S1",R183&gt;=1),EDATE(Q183,12),AND(AI183="K5-LAW",AH183="นิติศาสตร์",OR(L183="S2",L183="K5")),Q183,AND(AI183="K5-POLICY",AH183&lt;&gt;"นิติศาสตร์",L183="S2",U183="",AA183=""),Q183,AND(AI183="K5-POLICY",AH183&lt;&gt;"นิติศาสตร์",L183="S1",U183="",AA183=""),EDATE(Q183,12),AND(AI183="K5-POLICY",AH183&lt;&gt;"นิติศาสตร์",OR(L183="M2",L183="K4"),U183="",AA183=""),EDATE(Q183,12*2),AND(AI183="K5-POLICY",AH183&lt;&gt;"นิติศาสตร์",OR(AA183="M2",AA183="K4"),AD183&gt;=2,OR(AC183&lt;W183,AC183&lt;Q183)),EDATE(AC183,12*2),AND(AI183="K5-POLICY",AH183&lt;&gt;"นิติศาสตร์",AA183="S1",AD183&gt;=1,OR(AC183&lt;W183,AC183&lt;Q183)),EDATE(AC183,12),AND(AI183="K5-POLICY",AH183&lt;&gt;"นิติศาสตร์",OR(U183="M2",U183="K4"),X183&gt;=2,W183&lt;Q183),EDATE(W183,12*2),AND(AI183="K5-POLICY",AH183&lt;&gt;"นิติศาสตร์",U183="S1",X183&gt;=1,W183&lt;Q183),EDATE(W183,12),AND(AI183="K5-POLICY",AH183&lt;&gt;"นิติศาสตร์",OR(U183="S2",U183="K5")),W183,AND(AI183="K5-POLICY",AH183&lt;&gt;"นิติศาสตร์",OR(L183="M2",L183="K4"),R183&gt;=2),EDATE(Q183,12*2),AND(AI183="K5-POLICY",AH183&lt;&gt;"นิติศาสตร์",L183="S1",R183&gt;=1),EDATE(Q183,12),AND(AI183="K5-POLICY",AH183&lt;&gt;"นิติศาสตร์",OR(L183="S2",L183="K5")),Q183,TRUE,"Check Data")</f>
        <v/>
      </c>
      <c r="AK183" s="75" t="str">
        <f t="shared" si="72"/>
        <v>Check Data</v>
      </c>
      <c r="AL183" s="76" t="str">
        <f t="shared" si="50"/>
        <v>Check Data</v>
      </c>
      <c r="AM183" s="50" t="str">
        <f t="shared" si="73"/>
        <v>Check Data</v>
      </c>
      <c r="AN183" s="49" t="str">
        <f>IF(B183="","",IF(L183="S1","S1",INDEX(#REF!,#REF!)))</f>
        <v/>
      </c>
      <c r="AO183" s="49" t="str">
        <f>L183</f>
        <v>M2</v>
      </c>
      <c r="AP183" s="50" t="b">
        <f>L183=AN183</f>
        <v>0</v>
      </c>
      <c r="AQ183" s="50"/>
    </row>
    <row r="184" spans="1:43" ht="21.75">
      <c r="A184" s="49">
        <v>182</v>
      </c>
      <c r="B184" s="50"/>
      <c r="C184" s="50"/>
      <c r="D184" s="50" t="s">
        <v>141</v>
      </c>
      <c r="E184" s="50" t="e">
        <f>INDEX(#REF!,#REF!)</f>
        <v>#REF!</v>
      </c>
      <c r="F184" s="49" t="s">
        <v>256</v>
      </c>
      <c r="G184" s="49" t="str">
        <f t="shared" si="74"/>
        <v>01/02/1993</v>
      </c>
      <c r="H184" s="50">
        <f t="shared" si="47"/>
        <v>32</v>
      </c>
      <c r="I184" s="50">
        <f t="shared" si="48"/>
        <v>4</v>
      </c>
      <c r="J184" s="50">
        <f t="shared" si="49"/>
        <v>19</v>
      </c>
      <c r="K184" s="58"/>
      <c r="L184" s="49" t="s">
        <v>136</v>
      </c>
      <c r="M184" s="64"/>
      <c r="N184" s="49" t="s">
        <v>427</v>
      </c>
      <c r="O184" s="49">
        <v>2571</v>
      </c>
      <c r="P184" s="65" t="s">
        <v>257</v>
      </c>
      <c r="Q184" s="49" t="str">
        <f t="shared" si="66"/>
        <v>19/12/2023</v>
      </c>
      <c r="R184" s="68">
        <f>IF(Q184="",0,DATEDIF(Q184,$C$1,"Y"))</f>
        <v>1</v>
      </c>
      <c r="S184" s="68">
        <f>IF(Q184="",0,DATEDIF(Q184,$C$1,"YM"))</f>
        <v>6</v>
      </c>
      <c r="T184" s="68">
        <f>IF(Q184="",0,DATEDIF(Q184,$C$1,"MD"))</f>
        <v>1</v>
      </c>
      <c r="U184" s="65"/>
      <c r="V184" s="65"/>
      <c r="W184" s="49" t="str">
        <f t="shared" si="67"/>
        <v/>
      </c>
      <c r="X184" s="68">
        <f>IF(W184="",0,DATEDIF(W184,Q184,"Y"))</f>
        <v>0</v>
      </c>
      <c r="Y184" s="68">
        <f>IF(W184="",0,DATEDIF(W184,Q184,"YM"))</f>
        <v>0</v>
      </c>
      <c r="Z184" s="68">
        <f>IF(W184="",0,DATEDIF(W184,Q184,"MD"))</f>
        <v>0</v>
      </c>
      <c r="AA184" s="49"/>
      <c r="AB184" s="65"/>
      <c r="AC184" s="50" t="str">
        <f t="shared" si="68"/>
        <v/>
      </c>
      <c r="AD184" s="68">
        <f t="shared" si="69"/>
        <v>0</v>
      </c>
      <c r="AE184" s="68">
        <f t="shared" si="70"/>
        <v>0</v>
      </c>
      <c r="AF184" s="68">
        <f t="shared" si="71"/>
        <v>0</v>
      </c>
      <c r="AG184" s="50"/>
      <c r="AH184" s="108" t="s">
        <v>138</v>
      </c>
      <c r="AI184" s="49" t="str">
        <f>IF(AH184="นิติศาสตร์","K5-LAW","K5-POLICY")</f>
        <v>K5-LAW</v>
      </c>
      <c r="AJ184" s="72" t="str">
        <f>_xlfn.IFS(B184="","",AND(AI184="K5-LAW",AH184="นิติศาสตร์",L184="S2",U184="",AA184=""),Q184,AND(AI184="K5-LAW",AH184="นิติศาสตร์",L184="S1",U184="",AA184=""),EDATE(Q184,12),AND(AI184="K5-LAW",AH184="นิติศาสตร์",OR(L184="M2",L184="K4"),U184="",AA184=""),EDATE(Q184,12*2),AND(AI184="K5-LAW",AH184="นิติศาสตร์",OR(AA184="M2",AA184="K4"),AD184&gt;=2,OR(AC184&lt;W184,AC184&lt;Q184)),EDATE(AC184,12*2),AND(AI184="K5-LAW",AH184="นิติศาสตร์",AA184="S1",AD184&gt;=1,OR(AC184&lt;W184,AC184&lt;Q184)),EDATE(AC184,12),AND(AI184="K5-LAW",AH184="นิติศาสตร์",OR(U184="M2",U184="K4"),X184&gt;=2,W184&lt;Q184),EDATE(W184,12*2),AND(AI184="K5-LAW",AH184="นิติศาสตร์",U184="S1",X184&gt;=1,W184&lt;Q184),EDATE(W184,12),AND(AI184="K5-LAW",AH184="นิติศาสตร์",OR(U184="S2",U184="K5")),W184,AND(AI184="K5-LAW",AH184="นิติศาสตร์",OR(L184="M2",L184="K4"),R184&gt;=2),EDATE(Q184,12*2),AND(AI184="K5-LAW",AH184="นิติศาสตร์",L184="S1",R184&gt;=1),EDATE(Q184,12),AND(AI184="K5-LAW",AH184="นิติศาสตร์",OR(L184="S2",L184="K5")),Q184,AND(AI184="K5-POLICY",AH184&lt;&gt;"นิติศาสตร์",L184="S2",U184="",AA184=""),Q184,AND(AI184="K5-POLICY",AH184&lt;&gt;"นิติศาสตร์",L184="S1",U184="",AA184=""),EDATE(Q184,12),AND(AI184="K5-POLICY",AH184&lt;&gt;"นิติศาสตร์",OR(L184="M2",L184="K4"),U184="",AA184=""),EDATE(Q184,12*2),AND(AI184="K5-POLICY",AH184&lt;&gt;"นิติศาสตร์",OR(AA184="M2",AA184="K4"),AD184&gt;=2,OR(AC184&lt;W184,AC184&lt;Q184)),EDATE(AC184,12*2),AND(AI184="K5-POLICY",AH184&lt;&gt;"นิติศาสตร์",AA184="S1",AD184&gt;=1,OR(AC184&lt;W184,AC184&lt;Q184)),EDATE(AC184,12),AND(AI184="K5-POLICY",AH184&lt;&gt;"นิติศาสตร์",OR(U184="M2",U184="K4"),X184&gt;=2,W184&lt;Q184),EDATE(W184,12*2),AND(AI184="K5-POLICY",AH184&lt;&gt;"นิติศาสตร์",U184="S1",X184&gt;=1,W184&lt;Q184),EDATE(W184,12),AND(AI184="K5-POLICY",AH184&lt;&gt;"นิติศาสตร์",OR(U184="S2",U184="K5")),W184,AND(AI184="K5-POLICY",AH184&lt;&gt;"นิติศาสตร์",OR(L184="M2",L184="K4"),R184&gt;=2),EDATE(Q184,12*2),AND(AI184="K5-POLICY",AH184&lt;&gt;"นิติศาสตร์",L184="S1",R184&gt;=1),EDATE(Q184,12),AND(AI184="K5-POLICY",AH184&lt;&gt;"นิติศาสตร์",OR(L184="S2",L184="K5")),Q184,TRUE,"Check Data")</f>
        <v/>
      </c>
      <c r="AK184" s="75" t="str">
        <f t="shared" si="72"/>
        <v>Check Data</v>
      </c>
      <c r="AL184" s="76" t="str">
        <f t="shared" si="50"/>
        <v>Check Data</v>
      </c>
      <c r="AM184" s="50" t="str">
        <f t="shared" si="73"/>
        <v>Check Data</v>
      </c>
      <c r="AN184" s="49" t="str">
        <f>IF(B184="","",IF(L184="S1","S1",INDEX(#REF!,#REF!)))</f>
        <v/>
      </c>
      <c r="AO184" s="49" t="str">
        <f>L184</f>
        <v>M2</v>
      </c>
      <c r="AP184" s="50" t="b">
        <f>L184=AN184</f>
        <v>0</v>
      </c>
      <c r="AQ184" s="50"/>
    </row>
    <row r="185" spans="1:43" ht="21.75">
      <c r="A185" s="49">
        <v>183</v>
      </c>
      <c r="B185" s="50"/>
      <c r="C185" s="50"/>
      <c r="D185" s="50" t="s">
        <v>142</v>
      </c>
      <c r="E185" s="50" t="e">
        <f>INDEX(#REF!,#REF!)</f>
        <v>#REF!</v>
      </c>
      <c r="F185" s="49" t="s">
        <v>280</v>
      </c>
      <c r="G185" s="49" t="str">
        <f t="shared" si="74"/>
        <v>13/07/1990</v>
      </c>
      <c r="H185" s="50">
        <f t="shared" si="47"/>
        <v>34</v>
      </c>
      <c r="I185" s="50">
        <f t="shared" si="48"/>
        <v>11</v>
      </c>
      <c r="J185" s="50">
        <f t="shared" si="49"/>
        <v>7</v>
      </c>
      <c r="K185" s="58"/>
      <c r="L185" s="49" t="s">
        <v>136</v>
      </c>
      <c r="M185" s="64"/>
      <c r="N185" s="49">
        <v>0</v>
      </c>
      <c r="O185" s="49">
        <v>0</v>
      </c>
      <c r="P185" s="65" t="s">
        <v>257</v>
      </c>
      <c r="Q185" s="49" t="str">
        <f t="shared" si="66"/>
        <v>19/12/2023</v>
      </c>
      <c r="R185" s="68">
        <f>IF(Q185="",0,DATEDIF(Q185,$C$1,"Y"))</f>
        <v>1</v>
      </c>
      <c r="S185" s="68">
        <f>IF(Q185="",0,DATEDIF(Q185,$C$1,"YM"))</f>
        <v>6</v>
      </c>
      <c r="T185" s="68">
        <f>IF(Q185="",0,DATEDIF(Q185,$C$1,"MD"))</f>
        <v>1</v>
      </c>
      <c r="U185" s="65"/>
      <c r="V185" s="65"/>
      <c r="W185" s="49" t="str">
        <f t="shared" si="67"/>
        <v/>
      </c>
      <c r="X185" s="68">
        <f>IF(W185="",0,DATEDIF(W185,Q185,"Y"))</f>
        <v>0</v>
      </c>
      <c r="Y185" s="68">
        <f>IF(W185="",0,DATEDIF(W185,Q185,"YM"))</f>
        <v>0</v>
      </c>
      <c r="Z185" s="68">
        <f>IF(W185="",0,DATEDIF(W185,Q185,"MD"))</f>
        <v>0</v>
      </c>
      <c r="AA185" s="49"/>
      <c r="AB185" s="65"/>
      <c r="AC185" s="50" t="str">
        <f t="shared" si="68"/>
        <v/>
      </c>
      <c r="AD185" s="68">
        <f t="shared" si="69"/>
        <v>0</v>
      </c>
      <c r="AE185" s="68">
        <f t="shared" si="70"/>
        <v>0</v>
      </c>
      <c r="AF185" s="68">
        <f t="shared" si="71"/>
        <v>0</v>
      </c>
      <c r="AG185" s="50"/>
      <c r="AH185" s="108" t="s">
        <v>138</v>
      </c>
      <c r="AI185" s="49" t="str">
        <f>IF(AH185="นิติศาสตร์","K5-LAW","K5-POLICY")</f>
        <v>K5-LAW</v>
      </c>
      <c r="AJ185" s="72" t="str">
        <f>_xlfn.IFS(B185="","",AND(AI185="K5-LAW",AH185="นิติศาสตร์",L185="S2",U185="",AA185=""),Q185,AND(AI185="K5-LAW",AH185="นิติศาสตร์",L185="S1",U185="",AA185=""),EDATE(Q185,12),AND(AI185="K5-LAW",AH185="นิติศาสตร์",OR(L185="M2",L185="K4"),U185="",AA185=""),EDATE(Q185,12*2),AND(AI185="K5-LAW",AH185="นิติศาสตร์",OR(AA185="M2",AA185="K4"),AD185&gt;=2,OR(AC185&lt;W185,AC185&lt;Q185)),EDATE(AC185,12*2),AND(AI185="K5-LAW",AH185="นิติศาสตร์",AA185="S1",AD185&gt;=1,OR(AC185&lt;W185,AC185&lt;Q185)),EDATE(AC185,12),AND(AI185="K5-LAW",AH185="นิติศาสตร์",OR(U185="M2",U185="K4"),X185&gt;=2,W185&lt;Q185),EDATE(W185,12*2),AND(AI185="K5-LAW",AH185="นิติศาสตร์",U185="S1",X185&gt;=1,W185&lt;Q185),EDATE(W185,12),AND(AI185="K5-LAW",AH185="นิติศาสตร์",OR(U185="S2",U185="K5")),W185,AND(AI185="K5-LAW",AH185="นิติศาสตร์",OR(L185="M2",L185="K4"),R185&gt;=2),EDATE(Q185,12*2),AND(AI185="K5-LAW",AH185="นิติศาสตร์",L185="S1",R185&gt;=1),EDATE(Q185,12),AND(AI185="K5-LAW",AH185="นิติศาสตร์",OR(L185="S2",L185="K5")),Q185,AND(AI185="K5-POLICY",AH185&lt;&gt;"นิติศาสตร์",L185="S2",U185="",AA185=""),Q185,AND(AI185="K5-POLICY",AH185&lt;&gt;"นิติศาสตร์",L185="S1",U185="",AA185=""),EDATE(Q185,12),AND(AI185="K5-POLICY",AH185&lt;&gt;"นิติศาสตร์",OR(L185="M2",L185="K4"),U185="",AA185=""),EDATE(Q185,12*2),AND(AI185="K5-POLICY",AH185&lt;&gt;"นิติศาสตร์",OR(AA185="M2",AA185="K4"),AD185&gt;=2,OR(AC185&lt;W185,AC185&lt;Q185)),EDATE(AC185,12*2),AND(AI185="K5-POLICY",AH185&lt;&gt;"นิติศาสตร์",AA185="S1",AD185&gt;=1,OR(AC185&lt;W185,AC185&lt;Q185)),EDATE(AC185,12),AND(AI185="K5-POLICY",AH185&lt;&gt;"นิติศาสตร์",OR(U185="M2",U185="K4"),X185&gt;=2,W185&lt;Q185),EDATE(W185,12*2),AND(AI185="K5-POLICY",AH185&lt;&gt;"นิติศาสตร์",U185="S1",X185&gt;=1,W185&lt;Q185),EDATE(W185,12),AND(AI185="K5-POLICY",AH185&lt;&gt;"นิติศาสตร์",OR(U185="S2",U185="K5")),W185,AND(AI185="K5-POLICY",AH185&lt;&gt;"นิติศาสตร์",OR(L185="M2",L185="K4"),R185&gt;=2),EDATE(Q185,12*2),AND(AI185="K5-POLICY",AH185&lt;&gt;"นิติศาสตร์",L185="S1",R185&gt;=1),EDATE(Q185,12),AND(AI185="K5-POLICY",AH185&lt;&gt;"นิติศาสตร์",OR(L185="S2",L185="K5")),Q185,TRUE,"Check Data")</f>
        <v/>
      </c>
      <c r="AK185" s="75" t="str">
        <f t="shared" si="72"/>
        <v>Check Data</v>
      </c>
      <c r="AL185" s="76" t="str">
        <f t="shared" si="50"/>
        <v>Check Data</v>
      </c>
      <c r="AM185" s="50" t="str">
        <f t="shared" si="73"/>
        <v>Check Data</v>
      </c>
      <c r="AN185" s="49" t="str">
        <f>IF(B185="","",IF(L185="S1","S1",INDEX(#REF!,#REF!)))</f>
        <v/>
      </c>
      <c r="AO185" s="49" t="str">
        <f>L185</f>
        <v>M2</v>
      </c>
      <c r="AP185" s="50" t="b">
        <f>L185=AN185</f>
        <v>0</v>
      </c>
      <c r="AQ185" s="50"/>
    </row>
    <row r="186" spans="1:43" ht="21.75">
      <c r="A186" s="49">
        <v>184</v>
      </c>
      <c r="B186" s="50"/>
      <c r="C186" s="50"/>
      <c r="D186" s="50" t="s">
        <v>141</v>
      </c>
      <c r="E186" s="50" t="e">
        <f>INDEX(#REF!,#REF!)</f>
        <v>#REF!</v>
      </c>
      <c r="F186" s="49" t="s">
        <v>266</v>
      </c>
      <c r="G186" s="49" t="str">
        <f t="shared" si="74"/>
        <v>16/09/1993</v>
      </c>
      <c r="H186" s="50">
        <f t="shared" si="47"/>
        <v>31</v>
      </c>
      <c r="I186" s="50">
        <f t="shared" si="48"/>
        <v>9</v>
      </c>
      <c r="J186" s="50">
        <f t="shared" si="49"/>
        <v>4</v>
      </c>
      <c r="K186" s="60"/>
      <c r="L186" s="49" t="s">
        <v>136</v>
      </c>
      <c r="M186" s="64"/>
      <c r="N186" s="49" t="s">
        <v>426</v>
      </c>
      <c r="O186" s="49">
        <v>2570</v>
      </c>
      <c r="P186" s="65" t="s">
        <v>257</v>
      </c>
      <c r="Q186" s="49" t="str">
        <f t="shared" si="66"/>
        <v>19/12/2023</v>
      </c>
      <c r="R186" s="68">
        <f>IF(Q186="",0,DATEDIF(Q186,$C$1,"Y"))</f>
        <v>1</v>
      </c>
      <c r="S186" s="68">
        <f>IF(Q186="",0,DATEDIF(Q186,$C$1,"YM"))</f>
        <v>6</v>
      </c>
      <c r="T186" s="68">
        <f>IF(Q186="",0,DATEDIF(Q186,$C$1,"MD"))</f>
        <v>1</v>
      </c>
      <c r="U186" s="65"/>
      <c r="V186" s="65"/>
      <c r="W186" s="49" t="str">
        <f t="shared" si="67"/>
        <v/>
      </c>
      <c r="X186" s="68">
        <f>IF(W186="",0,DATEDIF(W186,Q186,"Y"))</f>
        <v>0</v>
      </c>
      <c r="Y186" s="68">
        <f>IF(W186="",0,DATEDIF(W186,Q186,"YM"))</f>
        <v>0</v>
      </c>
      <c r="Z186" s="68">
        <f>IF(W186="",0,DATEDIF(W186,Q186,"MD"))</f>
        <v>0</v>
      </c>
      <c r="AA186" s="49"/>
      <c r="AB186" s="65"/>
      <c r="AC186" s="50" t="str">
        <f t="shared" si="68"/>
        <v/>
      </c>
      <c r="AD186" s="68">
        <f t="shared" si="69"/>
        <v>0</v>
      </c>
      <c r="AE186" s="68">
        <f t="shared" si="70"/>
        <v>0</v>
      </c>
      <c r="AF186" s="68">
        <f t="shared" si="71"/>
        <v>0</v>
      </c>
      <c r="AG186" s="50"/>
      <c r="AH186" s="108" t="s">
        <v>138</v>
      </c>
      <c r="AI186" s="49" t="str">
        <f>IF(AH186="นิติศาสตร์","K5-LAW","K5-POLICY")</f>
        <v>K5-LAW</v>
      </c>
      <c r="AJ186" s="72" t="str">
        <f>_xlfn.IFS(B186="","",AND(AI186="K5-LAW",AH186="นิติศาสตร์",L186="S2",U186="",AA186=""),Q186,AND(AI186="K5-LAW",AH186="นิติศาสตร์",L186="S1",U186="",AA186=""),EDATE(Q186,12),AND(AI186="K5-LAW",AH186="นิติศาสตร์",OR(L186="M2",L186="K4"),U186="",AA186=""),EDATE(Q186,12*2),AND(AI186="K5-LAW",AH186="นิติศาสตร์",OR(AA186="M2",AA186="K4"),AD186&gt;=2,OR(AC186&lt;W186,AC186&lt;Q186)),EDATE(AC186,12*2),AND(AI186="K5-LAW",AH186="นิติศาสตร์",AA186="S1",AD186&gt;=1,OR(AC186&lt;W186,AC186&lt;Q186)),EDATE(AC186,12),AND(AI186="K5-LAW",AH186="นิติศาสตร์",OR(U186="M2",U186="K4"),X186&gt;=2,W186&lt;Q186),EDATE(W186,12*2),AND(AI186="K5-LAW",AH186="นิติศาสตร์",U186="S1",X186&gt;=1,W186&lt;Q186),EDATE(W186,12),AND(AI186="K5-LAW",AH186="นิติศาสตร์",OR(U186="S2",U186="K5")),W186,AND(AI186="K5-LAW",AH186="นิติศาสตร์",OR(L186="M2",L186="K4"),R186&gt;=2),EDATE(Q186,12*2),AND(AI186="K5-LAW",AH186="นิติศาสตร์",L186="S1",R186&gt;=1),EDATE(Q186,12),AND(AI186="K5-LAW",AH186="นิติศาสตร์",OR(L186="S2",L186="K5")),Q186,AND(AI186="K5-POLICY",AH186&lt;&gt;"นิติศาสตร์",L186="S2",U186="",AA186=""),Q186,AND(AI186="K5-POLICY",AH186&lt;&gt;"นิติศาสตร์",L186="S1",U186="",AA186=""),EDATE(Q186,12),AND(AI186="K5-POLICY",AH186&lt;&gt;"นิติศาสตร์",OR(L186="M2",L186="K4"),U186="",AA186=""),EDATE(Q186,12*2),AND(AI186="K5-POLICY",AH186&lt;&gt;"นิติศาสตร์",OR(AA186="M2",AA186="K4"),AD186&gt;=2,OR(AC186&lt;W186,AC186&lt;Q186)),EDATE(AC186,12*2),AND(AI186="K5-POLICY",AH186&lt;&gt;"นิติศาสตร์",AA186="S1",AD186&gt;=1,OR(AC186&lt;W186,AC186&lt;Q186)),EDATE(AC186,12),AND(AI186="K5-POLICY",AH186&lt;&gt;"นิติศาสตร์",OR(U186="M2",U186="K4"),X186&gt;=2,W186&lt;Q186),EDATE(W186,12*2),AND(AI186="K5-POLICY",AH186&lt;&gt;"นิติศาสตร์",U186="S1",X186&gt;=1,W186&lt;Q186),EDATE(W186,12),AND(AI186="K5-POLICY",AH186&lt;&gt;"นิติศาสตร์",OR(U186="S2",U186="K5")),W186,AND(AI186="K5-POLICY",AH186&lt;&gt;"นิติศาสตร์",OR(L186="M2",L186="K4"),R186&gt;=2),EDATE(Q186,12*2),AND(AI186="K5-POLICY",AH186&lt;&gt;"นิติศาสตร์",L186="S1",R186&gt;=1),EDATE(Q186,12),AND(AI186="K5-POLICY",AH186&lt;&gt;"นิติศาสตร์",OR(L186="S2",L186="K5")),Q186,TRUE,"Check Data")</f>
        <v/>
      </c>
      <c r="AK186" s="75" t="str">
        <f t="shared" si="72"/>
        <v>Check Data</v>
      </c>
      <c r="AL186" s="76" t="str">
        <f t="shared" si="50"/>
        <v>Check Data</v>
      </c>
      <c r="AM186" s="50" t="str">
        <f t="shared" si="73"/>
        <v>Check Data</v>
      </c>
      <c r="AN186" s="49" t="str">
        <f>IF(B186="","",IF(L186="S1","S1",INDEX(#REF!,#REF!)))</f>
        <v/>
      </c>
      <c r="AO186" s="49" t="str">
        <f>L186</f>
        <v>M2</v>
      </c>
      <c r="AP186" s="50" t="b">
        <f>L186=AN186</f>
        <v>0</v>
      </c>
      <c r="AQ186" s="50"/>
    </row>
    <row r="187" spans="1:43" ht="21.75">
      <c r="A187" s="49">
        <v>185</v>
      </c>
      <c r="B187" s="50"/>
      <c r="C187" s="50"/>
      <c r="D187" s="50" t="s">
        <v>142</v>
      </c>
      <c r="E187" s="50" t="e">
        <f>INDEX(#REF!,#REF!)</f>
        <v>#REF!</v>
      </c>
      <c r="F187" s="49" t="s">
        <v>277</v>
      </c>
      <c r="G187" s="49" t="str">
        <f t="shared" si="74"/>
        <v>15/09/1997</v>
      </c>
      <c r="H187" s="50">
        <f t="shared" si="47"/>
        <v>27</v>
      </c>
      <c r="I187" s="50">
        <f t="shared" si="48"/>
        <v>9</v>
      </c>
      <c r="J187" s="50">
        <f t="shared" si="49"/>
        <v>5</v>
      </c>
      <c r="K187" s="58"/>
      <c r="L187" s="49" t="s">
        <v>136</v>
      </c>
      <c r="M187" s="64"/>
      <c r="N187" s="49">
        <v>0</v>
      </c>
      <c r="O187" s="49">
        <v>0</v>
      </c>
      <c r="P187" s="65" t="s">
        <v>257</v>
      </c>
      <c r="Q187" s="49" t="str">
        <f t="shared" si="66"/>
        <v>19/12/2023</v>
      </c>
      <c r="R187" s="68">
        <f>IF(Q187="",0,DATEDIF(Q187,$C$1,"Y"))</f>
        <v>1</v>
      </c>
      <c r="S187" s="68">
        <f>IF(Q187="",0,DATEDIF(Q187,$C$1,"YM"))</f>
        <v>6</v>
      </c>
      <c r="T187" s="68">
        <f>IF(Q187="",0,DATEDIF(Q187,$C$1,"MD"))</f>
        <v>1</v>
      </c>
      <c r="U187" s="65"/>
      <c r="V187" s="65"/>
      <c r="W187" s="49" t="str">
        <f t="shared" si="67"/>
        <v/>
      </c>
      <c r="X187" s="68">
        <f>IF(W187="",0,DATEDIF(W187,Q187,"Y"))</f>
        <v>0</v>
      </c>
      <c r="Y187" s="68">
        <f>IF(W187="",0,DATEDIF(W187,Q187,"YM"))</f>
        <v>0</v>
      </c>
      <c r="Z187" s="68">
        <f>IF(W187="",0,DATEDIF(W187,Q187,"MD"))</f>
        <v>0</v>
      </c>
      <c r="AA187" s="49"/>
      <c r="AB187" s="65"/>
      <c r="AC187" s="50" t="str">
        <f t="shared" si="68"/>
        <v/>
      </c>
      <c r="AD187" s="68">
        <f t="shared" si="69"/>
        <v>0</v>
      </c>
      <c r="AE187" s="68">
        <f t="shared" si="70"/>
        <v>0</v>
      </c>
      <c r="AF187" s="68">
        <f t="shared" si="71"/>
        <v>0</v>
      </c>
      <c r="AG187" s="50"/>
      <c r="AH187" s="108" t="s">
        <v>138</v>
      </c>
      <c r="AI187" s="49" t="str">
        <f>IF(AH187="นิติศาสตร์","K5-LAW","K5-POLICY")</f>
        <v>K5-LAW</v>
      </c>
      <c r="AJ187" s="72" t="str">
        <f>_xlfn.IFS(B187="","",AND(AI187="K5-LAW",AH187="นิติศาสตร์",L187="S2",U187="",AA187=""),Q187,AND(AI187="K5-LAW",AH187="นิติศาสตร์",L187="S1",U187="",AA187=""),EDATE(Q187,12),AND(AI187="K5-LAW",AH187="นิติศาสตร์",OR(L187="M2",L187="K4"),U187="",AA187=""),EDATE(Q187,12*2),AND(AI187="K5-LAW",AH187="นิติศาสตร์",OR(AA187="M2",AA187="K4"),AD187&gt;=2,OR(AC187&lt;W187,AC187&lt;Q187)),EDATE(AC187,12*2),AND(AI187="K5-LAW",AH187="นิติศาสตร์",AA187="S1",AD187&gt;=1,OR(AC187&lt;W187,AC187&lt;Q187)),EDATE(AC187,12),AND(AI187="K5-LAW",AH187="นิติศาสตร์",OR(U187="M2",U187="K4"),X187&gt;=2,W187&lt;Q187),EDATE(W187,12*2),AND(AI187="K5-LAW",AH187="นิติศาสตร์",U187="S1",X187&gt;=1,W187&lt;Q187),EDATE(W187,12),AND(AI187="K5-LAW",AH187="นิติศาสตร์",OR(U187="S2",U187="K5")),W187,AND(AI187="K5-LAW",AH187="นิติศาสตร์",OR(L187="M2",L187="K4"),R187&gt;=2),EDATE(Q187,12*2),AND(AI187="K5-LAW",AH187="นิติศาสตร์",L187="S1",R187&gt;=1),EDATE(Q187,12),AND(AI187="K5-LAW",AH187="นิติศาสตร์",OR(L187="S2",L187="K5")),Q187,AND(AI187="K5-POLICY",AH187&lt;&gt;"นิติศาสตร์",L187="S2",U187="",AA187=""),Q187,AND(AI187="K5-POLICY",AH187&lt;&gt;"นิติศาสตร์",L187="S1",U187="",AA187=""),EDATE(Q187,12),AND(AI187="K5-POLICY",AH187&lt;&gt;"นิติศาสตร์",OR(L187="M2",L187="K4"),U187="",AA187=""),EDATE(Q187,12*2),AND(AI187="K5-POLICY",AH187&lt;&gt;"นิติศาสตร์",OR(AA187="M2",AA187="K4"),AD187&gt;=2,OR(AC187&lt;W187,AC187&lt;Q187)),EDATE(AC187,12*2),AND(AI187="K5-POLICY",AH187&lt;&gt;"นิติศาสตร์",AA187="S1",AD187&gt;=1,OR(AC187&lt;W187,AC187&lt;Q187)),EDATE(AC187,12),AND(AI187="K5-POLICY",AH187&lt;&gt;"นิติศาสตร์",OR(U187="M2",U187="K4"),X187&gt;=2,W187&lt;Q187),EDATE(W187,12*2),AND(AI187="K5-POLICY",AH187&lt;&gt;"นิติศาสตร์",U187="S1",X187&gt;=1,W187&lt;Q187),EDATE(W187,12),AND(AI187="K5-POLICY",AH187&lt;&gt;"นิติศาสตร์",OR(U187="S2",U187="K5")),W187,AND(AI187="K5-POLICY",AH187&lt;&gt;"นิติศาสตร์",OR(L187="M2",L187="K4"),R187&gt;=2),EDATE(Q187,12*2),AND(AI187="K5-POLICY",AH187&lt;&gt;"นิติศาสตร์",L187="S1",R187&gt;=1),EDATE(Q187,12),AND(AI187="K5-POLICY",AH187&lt;&gt;"นิติศาสตร์",OR(L187="S2",L187="K5")),Q187,TRUE,"Check Data")</f>
        <v/>
      </c>
      <c r="AK187" s="75" t="str">
        <f t="shared" si="72"/>
        <v>Check Data</v>
      </c>
      <c r="AL187" s="76" t="str">
        <f t="shared" si="50"/>
        <v>Check Data</v>
      </c>
      <c r="AM187" s="50" t="str">
        <f t="shared" si="73"/>
        <v>Check Data</v>
      </c>
      <c r="AN187" s="49" t="str">
        <f>IF(B187="","",IF(L187="S1","S1",INDEX(#REF!,#REF!)))</f>
        <v/>
      </c>
      <c r="AO187" s="49" t="str">
        <f>L187</f>
        <v>M2</v>
      </c>
      <c r="AP187" s="50" t="b">
        <f>L187=AN187</f>
        <v>0</v>
      </c>
      <c r="AQ187" s="50"/>
    </row>
    <row r="188" spans="1:43" ht="21.75">
      <c r="A188" s="49">
        <v>186</v>
      </c>
      <c r="B188" s="50"/>
      <c r="C188" s="50"/>
      <c r="D188" s="50" t="s">
        <v>141</v>
      </c>
      <c r="E188" s="50" t="e">
        <f>INDEX(#REF!,#REF!)</f>
        <v>#REF!</v>
      </c>
      <c r="F188" s="49" t="s">
        <v>250</v>
      </c>
      <c r="G188" s="49" t="str">
        <f t="shared" si="74"/>
        <v>01/08/1995</v>
      </c>
      <c r="H188" s="50">
        <f t="shared" si="47"/>
        <v>29</v>
      </c>
      <c r="I188" s="50">
        <f t="shared" si="48"/>
        <v>10</v>
      </c>
      <c r="J188" s="50">
        <f t="shared" si="49"/>
        <v>19</v>
      </c>
      <c r="K188" s="60"/>
      <c r="L188" s="49" t="s">
        <v>136</v>
      </c>
      <c r="M188" s="64"/>
      <c r="N188" s="49" t="s">
        <v>426</v>
      </c>
      <c r="O188" s="49">
        <v>2574</v>
      </c>
      <c r="P188" s="65" t="s">
        <v>257</v>
      </c>
      <c r="Q188" s="49" t="str">
        <f t="shared" si="66"/>
        <v>19/12/2023</v>
      </c>
      <c r="R188" s="68">
        <f>IF(Q188="",0,DATEDIF(Q188,$C$1,"Y"))</f>
        <v>1</v>
      </c>
      <c r="S188" s="68">
        <f>IF(Q188="",0,DATEDIF(Q188,$C$1,"YM"))</f>
        <v>6</v>
      </c>
      <c r="T188" s="68">
        <f>IF(Q188="",0,DATEDIF(Q188,$C$1,"MD"))</f>
        <v>1</v>
      </c>
      <c r="U188" s="65"/>
      <c r="V188" s="65"/>
      <c r="W188" s="49" t="str">
        <f t="shared" si="67"/>
        <v/>
      </c>
      <c r="X188" s="68">
        <f>IF(W188="",0,DATEDIF(W188,Q188,"Y"))</f>
        <v>0</v>
      </c>
      <c r="Y188" s="68">
        <f>IF(W188="",0,DATEDIF(W188,Q188,"YM"))</f>
        <v>0</v>
      </c>
      <c r="Z188" s="68">
        <f>IF(W188="",0,DATEDIF(W188,Q188,"MD"))</f>
        <v>0</v>
      </c>
      <c r="AA188" s="49"/>
      <c r="AB188" s="65"/>
      <c r="AC188" s="50" t="str">
        <f t="shared" si="68"/>
        <v/>
      </c>
      <c r="AD188" s="68">
        <f t="shared" si="69"/>
        <v>0</v>
      </c>
      <c r="AE188" s="68">
        <f t="shared" si="70"/>
        <v>0</v>
      </c>
      <c r="AF188" s="68">
        <f t="shared" si="71"/>
        <v>0</v>
      </c>
      <c r="AG188" s="50"/>
      <c r="AH188" s="108" t="s">
        <v>138</v>
      </c>
      <c r="AI188" s="49" t="str">
        <f>IF(AH188="นิติศาสตร์","K5-LAW","K5-POLICY")</f>
        <v>K5-LAW</v>
      </c>
      <c r="AJ188" s="72" t="str">
        <f>_xlfn.IFS(B188="","",AND(AI188="K5-LAW",AH188="นิติศาสตร์",L188="S2",U188="",AA188=""),Q188,AND(AI188="K5-LAW",AH188="นิติศาสตร์",L188="S1",U188="",AA188=""),EDATE(Q188,12),AND(AI188="K5-LAW",AH188="นิติศาสตร์",OR(L188="M2",L188="K4"),U188="",AA188=""),EDATE(Q188,12*2),AND(AI188="K5-LAW",AH188="นิติศาสตร์",OR(AA188="M2",AA188="K4"),AD188&gt;=2,OR(AC188&lt;W188,AC188&lt;Q188)),EDATE(AC188,12*2),AND(AI188="K5-LAW",AH188="นิติศาสตร์",AA188="S1",AD188&gt;=1,OR(AC188&lt;W188,AC188&lt;Q188)),EDATE(AC188,12),AND(AI188="K5-LAW",AH188="นิติศาสตร์",OR(U188="M2",U188="K4"),X188&gt;=2,W188&lt;Q188),EDATE(W188,12*2),AND(AI188="K5-LAW",AH188="นิติศาสตร์",U188="S1",X188&gt;=1,W188&lt;Q188),EDATE(W188,12),AND(AI188="K5-LAW",AH188="นิติศาสตร์",OR(U188="S2",U188="K5")),W188,AND(AI188="K5-LAW",AH188="นิติศาสตร์",OR(L188="M2",L188="K4"),R188&gt;=2),EDATE(Q188,12*2),AND(AI188="K5-LAW",AH188="นิติศาสตร์",L188="S1",R188&gt;=1),EDATE(Q188,12),AND(AI188="K5-LAW",AH188="นิติศาสตร์",OR(L188="S2",L188="K5")),Q188,AND(AI188="K5-POLICY",AH188&lt;&gt;"นิติศาสตร์",L188="S2",U188="",AA188=""),Q188,AND(AI188="K5-POLICY",AH188&lt;&gt;"นิติศาสตร์",L188="S1",U188="",AA188=""),EDATE(Q188,12),AND(AI188="K5-POLICY",AH188&lt;&gt;"นิติศาสตร์",OR(L188="M2",L188="K4"),U188="",AA188=""),EDATE(Q188,12*2),AND(AI188="K5-POLICY",AH188&lt;&gt;"นิติศาสตร์",OR(AA188="M2",AA188="K4"),AD188&gt;=2,OR(AC188&lt;W188,AC188&lt;Q188)),EDATE(AC188,12*2),AND(AI188="K5-POLICY",AH188&lt;&gt;"นิติศาสตร์",AA188="S1",AD188&gt;=1,OR(AC188&lt;W188,AC188&lt;Q188)),EDATE(AC188,12),AND(AI188="K5-POLICY",AH188&lt;&gt;"นิติศาสตร์",OR(U188="M2",U188="K4"),X188&gt;=2,W188&lt;Q188),EDATE(W188,12*2),AND(AI188="K5-POLICY",AH188&lt;&gt;"นิติศาสตร์",U188="S1",X188&gt;=1,W188&lt;Q188),EDATE(W188,12),AND(AI188="K5-POLICY",AH188&lt;&gt;"นิติศาสตร์",OR(U188="S2",U188="K5")),W188,AND(AI188="K5-POLICY",AH188&lt;&gt;"นิติศาสตร์",OR(L188="M2",L188="K4"),R188&gt;=2),EDATE(Q188,12*2),AND(AI188="K5-POLICY",AH188&lt;&gt;"นิติศาสตร์",L188="S1",R188&gt;=1),EDATE(Q188,12),AND(AI188="K5-POLICY",AH188&lt;&gt;"นิติศาสตร์",OR(L188="S2",L188="K5")),Q188,TRUE,"Check Data")</f>
        <v/>
      </c>
      <c r="AK188" s="75" t="str">
        <f t="shared" si="72"/>
        <v>Check Data</v>
      </c>
      <c r="AL188" s="76" t="str">
        <f t="shared" si="50"/>
        <v>Check Data</v>
      </c>
      <c r="AM188" s="50" t="str">
        <f t="shared" si="73"/>
        <v>Check Data</v>
      </c>
      <c r="AN188" s="49" t="str">
        <f>IF(B188="","",IF(L188="S1","S1",INDEX(#REF!,#REF!)))</f>
        <v/>
      </c>
      <c r="AO188" s="49" t="str">
        <f>L188</f>
        <v>M2</v>
      </c>
      <c r="AP188" s="50" t="b">
        <f>L188=AN188</f>
        <v>0</v>
      </c>
      <c r="AQ188" s="50"/>
    </row>
    <row r="189" spans="1:43" ht="21.75">
      <c r="A189" s="49">
        <v>187</v>
      </c>
      <c r="B189" s="50"/>
      <c r="C189" s="50"/>
      <c r="D189" s="50" t="s">
        <v>142</v>
      </c>
      <c r="E189" s="50" t="e">
        <f>INDEX(#REF!,#REF!)</f>
        <v>#REF!</v>
      </c>
      <c r="F189" s="49" t="s">
        <v>281</v>
      </c>
      <c r="G189" s="49" t="str">
        <f t="shared" si="74"/>
        <v>03/05/1999</v>
      </c>
      <c r="H189" s="50">
        <f t="shared" si="47"/>
        <v>26</v>
      </c>
      <c r="I189" s="50">
        <f t="shared" si="48"/>
        <v>1</v>
      </c>
      <c r="J189" s="50">
        <f t="shared" si="49"/>
        <v>17</v>
      </c>
      <c r="K189" s="58"/>
      <c r="L189" s="49" t="s">
        <v>136</v>
      </c>
      <c r="M189" s="64"/>
      <c r="N189" s="49">
        <v>0</v>
      </c>
      <c r="O189" s="49">
        <v>0</v>
      </c>
      <c r="P189" s="65" t="s">
        <v>257</v>
      </c>
      <c r="Q189" s="49" t="str">
        <f t="shared" si="66"/>
        <v>19/12/2023</v>
      </c>
      <c r="R189" s="68">
        <f>IF(Q189="",0,DATEDIF(Q189,$C$1,"Y"))</f>
        <v>1</v>
      </c>
      <c r="S189" s="68">
        <f>IF(Q189="",0,DATEDIF(Q189,$C$1,"YM"))</f>
        <v>6</v>
      </c>
      <c r="T189" s="68">
        <f>IF(Q189="",0,DATEDIF(Q189,$C$1,"MD"))</f>
        <v>1</v>
      </c>
      <c r="U189" s="65"/>
      <c r="V189" s="65"/>
      <c r="W189" s="49" t="str">
        <f t="shared" si="67"/>
        <v/>
      </c>
      <c r="X189" s="68">
        <f>IF(W189="",0,DATEDIF(W189,Q189,"Y"))</f>
        <v>0</v>
      </c>
      <c r="Y189" s="68">
        <f>IF(W189="",0,DATEDIF(W189,Q189,"YM"))</f>
        <v>0</v>
      </c>
      <c r="Z189" s="68">
        <f>IF(W189="",0,DATEDIF(W189,Q189,"MD"))</f>
        <v>0</v>
      </c>
      <c r="AA189" s="49"/>
      <c r="AB189" s="65"/>
      <c r="AC189" s="50" t="str">
        <f t="shared" si="68"/>
        <v/>
      </c>
      <c r="AD189" s="68">
        <f t="shared" si="69"/>
        <v>0</v>
      </c>
      <c r="AE189" s="68">
        <f t="shared" si="70"/>
        <v>0</v>
      </c>
      <c r="AF189" s="68">
        <f t="shared" si="71"/>
        <v>0</v>
      </c>
      <c r="AG189" s="50"/>
      <c r="AH189" s="108" t="s">
        <v>178</v>
      </c>
      <c r="AI189" s="49" t="str">
        <f>IF(AH189="นิติศาสตร์","K5-LAW","K5-POLICY")</f>
        <v>K5-POLICY</v>
      </c>
      <c r="AJ189" s="72" t="str">
        <f>_xlfn.IFS(B189="","",AND(AI189="K5-LAW",AH189="นิติศาสตร์",L189="S2",U189="",AA189=""),Q189,AND(AI189="K5-LAW",AH189="นิติศาสตร์",L189="S1",U189="",AA189=""),EDATE(Q189,12),AND(AI189="K5-LAW",AH189="นิติศาสตร์",OR(L189="M2",L189="K4"),U189="",AA189=""),EDATE(Q189,12*2),AND(AI189="K5-LAW",AH189="นิติศาสตร์",OR(AA189="M2",AA189="K4"),AD189&gt;=2,OR(AC189&lt;W189,AC189&lt;Q189)),EDATE(AC189,12*2),AND(AI189="K5-LAW",AH189="นิติศาสตร์",AA189="S1",AD189&gt;=1,OR(AC189&lt;W189,AC189&lt;Q189)),EDATE(AC189,12),AND(AI189="K5-LAW",AH189="นิติศาสตร์",OR(U189="M2",U189="K4"),X189&gt;=2,W189&lt;Q189),EDATE(W189,12*2),AND(AI189="K5-LAW",AH189="นิติศาสตร์",U189="S1",X189&gt;=1,W189&lt;Q189),EDATE(W189,12),AND(AI189="K5-LAW",AH189="นิติศาสตร์",OR(U189="S2",U189="K5")),W189,AND(AI189="K5-LAW",AH189="นิติศาสตร์",OR(L189="M2",L189="K4"),R189&gt;=2),EDATE(Q189,12*2),AND(AI189="K5-LAW",AH189="นิติศาสตร์",L189="S1",R189&gt;=1),EDATE(Q189,12),AND(AI189="K5-LAW",AH189="นิติศาสตร์",OR(L189="S2",L189="K5")),Q189,AND(AI189="K5-POLICY",AH189&lt;&gt;"นิติศาสตร์",L189="S2",U189="",AA189=""),Q189,AND(AI189="K5-POLICY",AH189&lt;&gt;"นิติศาสตร์",L189="S1",U189="",AA189=""),EDATE(Q189,12),AND(AI189="K5-POLICY",AH189&lt;&gt;"นิติศาสตร์",OR(L189="M2",L189="K4"),U189="",AA189=""),EDATE(Q189,12*2),AND(AI189="K5-POLICY",AH189&lt;&gt;"นิติศาสตร์",OR(AA189="M2",AA189="K4"),AD189&gt;=2,OR(AC189&lt;W189,AC189&lt;Q189)),EDATE(AC189,12*2),AND(AI189="K5-POLICY",AH189&lt;&gt;"นิติศาสตร์",AA189="S1",AD189&gt;=1,OR(AC189&lt;W189,AC189&lt;Q189)),EDATE(AC189,12),AND(AI189="K5-POLICY",AH189&lt;&gt;"นิติศาสตร์",OR(U189="M2",U189="K4"),X189&gt;=2,W189&lt;Q189),EDATE(W189,12*2),AND(AI189="K5-POLICY",AH189&lt;&gt;"นิติศาสตร์",U189="S1",X189&gt;=1,W189&lt;Q189),EDATE(W189,12),AND(AI189="K5-POLICY",AH189&lt;&gt;"นิติศาสตร์",OR(U189="S2",U189="K5")),W189,AND(AI189="K5-POLICY",AH189&lt;&gt;"นิติศาสตร์",OR(L189="M2",L189="K4"),R189&gt;=2),EDATE(Q189,12*2),AND(AI189="K5-POLICY",AH189&lt;&gt;"นิติศาสตร์",L189="S1",R189&gt;=1),EDATE(Q189,12),AND(AI189="K5-POLICY",AH189&lt;&gt;"นิติศาสตร์",OR(L189="S2",L189="K5")),Q189,TRUE,"Check Data")</f>
        <v/>
      </c>
      <c r="AK189" s="75" t="str">
        <f t="shared" si="72"/>
        <v>Check Data</v>
      </c>
      <c r="AL189" s="76" t="str">
        <f t="shared" si="50"/>
        <v>Check Data</v>
      </c>
      <c r="AM189" s="50" t="str">
        <f t="shared" si="73"/>
        <v>Check Data</v>
      </c>
      <c r="AN189" s="49" t="str">
        <f>IF(B189="","",IF(L189="S1","S1",INDEX(#REF!,#REF!)))</f>
        <v/>
      </c>
      <c r="AO189" s="49" t="str">
        <f>L189</f>
        <v>M2</v>
      </c>
      <c r="AP189" s="50" t="b">
        <f>L189=AN189</f>
        <v>0</v>
      </c>
      <c r="AQ189" s="50"/>
    </row>
    <row r="190" spans="1:43" ht="21.75">
      <c r="A190" s="49">
        <v>188</v>
      </c>
      <c r="B190" s="50"/>
      <c r="C190" s="50"/>
      <c r="D190" s="50" t="s">
        <v>141</v>
      </c>
      <c r="E190" s="50" t="e">
        <f>INDEX(#REF!,#REF!)</f>
        <v>#REF!</v>
      </c>
      <c r="F190" s="49" t="s">
        <v>262</v>
      </c>
      <c r="G190" s="49" t="str">
        <f t="shared" si="74"/>
        <v>11/04/1996</v>
      </c>
      <c r="H190" s="50">
        <f t="shared" si="47"/>
        <v>29</v>
      </c>
      <c r="I190" s="50">
        <f t="shared" si="48"/>
        <v>2</v>
      </c>
      <c r="J190" s="50">
        <f t="shared" si="49"/>
        <v>9</v>
      </c>
      <c r="K190" s="60"/>
      <c r="L190" s="49" t="s">
        <v>136</v>
      </c>
      <c r="M190" s="64"/>
      <c r="N190" s="49" t="s">
        <v>426</v>
      </c>
      <c r="O190" s="49">
        <v>2571</v>
      </c>
      <c r="P190" s="65" t="s">
        <v>257</v>
      </c>
      <c r="Q190" s="49" t="str">
        <f t="shared" si="66"/>
        <v>19/12/2023</v>
      </c>
      <c r="R190" s="68">
        <f>IF(Q190="",0,DATEDIF(Q190,$C$1,"Y"))</f>
        <v>1</v>
      </c>
      <c r="S190" s="68">
        <f>IF(Q190="",0,DATEDIF(Q190,$C$1,"YM"))</f>
        <v>6</v>
      </c>
      <c r="T190" s="68">
        <f>IF(Q190="",0,DATEDIF(Q190,$C$1,"MD"))</f>
        <v>1</v>
      </c>
      <c r="U190" s="65"/>
      <c r="V190" s="65"/>
      <c r="W190" s="49" t="str">
        <f t="shared" si="67"/>
        <v/>
      </c>
      <c r="X190" s="68">
        <f>IF(W190="",0,DATEDIF(W190,Q190,"Y"))</f>
        <v>0</v>
      </c>
      <c r="Y190" s="68">
        <f>IF(W190="",0,DATEDIF(W190,Q190,"YM"))</f>
        <v>0</v>
      </c>
      <c r="Z190" s="68">
        <f>IF(W190="",0,DATEDIF(W190,Q190,"MD"))</f>
        <v>0</v>
      </c>
      <c r="AA190" s="49"/>
      <c r="AB190" s="65"/>
      <c r="AC190" s="50" t="str">
        <f t="shared" si="68"/>
        <v/>
      </c>
      <c r="AD190" s="68">
        <f t="shared" si="69"/>
        <v>0</v>
      </c>
      <c r="AE190" s="68">
        <f t="shared" si="70"/>
        <v>0</v>
      </c>
      <c r="AF190" s="68">
        <f t="shared" si="71"/>
        <v>0</v>
      </c>
      <c r="AG190" s="50"/>
      <c r="AH190" s="108" t="s">
        <v>138</v>
      </c>
      <c r="AI190" s="49" t="str">
        <f>IF(AH190="นิติศาสตร์","K5-LAW","K5-POLICY")</f>
        <v>K5-LAW</v>
      </c>
      <c r="AJ190" s="72" t="str">
        <f>_xlfn.IFS(B190="","",AND(AI190="K5-LAW",AH190="นิติศาสตร์",L190="S2",U190="",AA190=""),Q190,AND(AI190="K5-LAW",AH190="นิติศาสตร์",L190="S1",U190="",AA190=""),EDATE(Q190,12),AND(AI190="K5-LAW",AH190="นิติศาสตร์",OR(L190="M2",L190="K4"),U190="",AA190=""),EDATE(Q190,12*2),AND(AI190="K5-LAW",AH190="นิติศาสตร์",OR(AA190="M2",AA190="K4"),AD190&gt;=2,OR(AC190&lt;W190,AC190&lt;Q190)),EDATE(AC190,12*2),AND(AI190="K5-LAW",AH190="นิติศาสตร์",AA190="S1",AD190&gt;=1,OR(AC190&lt;W190,AC190&lt;Q190)),EDATE(AC190,12),AND(AI190="K5-LAW",AH190="นิติศาสตร์",OR(U190="M2",U190="K4"),X190&gt;=2,W190&lt;Q190),EDATE(W190,12*2),AND(AI190="K5-LAW",AH190="นิติศาสตร์",U190="S1",X190&gt;=1,W190&lt;Q190),EDATE(W190,12),AND(AI190="K5-LAW",AH190="นิติศาสตร์",OR(U190="S2",U190="K5")),W190,AND(AI190="K5-LAW",AH190="นิติศาสตร์",OR(L190="M2",L190="K4"),R190&gt;=2),EDATE(Q190,12*2),AND(AI190="K5-LAW",AH190="นิติศาสตร์",L190="S1",R190&gt;=1),EDATE(Q190,12),AND(AI190="K5-LAW",AH190="นิติศาสตร์",OR(L190="S2",L190="K5")),Q190,AND(AI190="K5-POLICY",AH190&lt;&gt;"นิติศาสตร์",L190="S2",U190="",AA190=""),Q190,AND(AI190="K5-POLICY",AH190&lt;&gt;"นิติศาสตร์",L190="S1",U190="",AA190=""),EDATE(Q190,12),AND(AI190="K5-POLICY",AH190&lt;&gt;"นิติศาสตร์",OR(L190="M2",L190="K4"),U190="",AA190=""),EDATE(Q190,12*2),AND(AI190="K5-POLICY",AH190&lt;&gt;"นิติศาสตร์",OR(AA190="M2",AA190="K4"),AD190&gt;=2,OR(AC190&lt;W190,AC190&lt;Q190)),EDATE(AC190,12*2),AND(AI190="K5-POLICY",AH190&lt;&gt;"นิติศาสตร์",AA190="S1",AD190&gt;=1,OR(AC190&lt;W190,AC190&lt;Q190)),EDATE(AC190,12),AND(AI190="K5-POLICY",AH190&lt;&gt;"นิติศาสตร์",OR(U190="M2",U190="K4"),X190&gt;=2,W190&lt;Q190),EDATE(W190,12*2),AND(AI190="K5-POLICY",AH190&lt;&gt;"นิติศาสตร์",U190="S1",X190&gt;=1,W190&lt;Q190),EDATE(W190,12),AND(AI190="K5-POLICY",AH190&lt;&gt;"นิติศาสตร์",OR(U190="S2",U190="K5")),W190,AND(AI190="K5-POLICY",AH190&lt;&gt;"นิติศาสตร์",OR(L190="M2",L190="K4"),R190&gt;=2),EDATE(Q190,12*2),AND(AI190="K5-POLICY",AH190&lt;&gt;"นิติศาสตร์",L190="S1",R190&gt;=1),EDATE(Q190,12),AND(AI190="K5-POLICY",AH190&lt;&gt;"นิติศาสตร์",OR(L190="S2",L190="K5")),Q190,TRUE,"Check Data")</f>
        <v/>
      </c>
      <c r="AK190" s="75" t="str">
        <f t="shared" si="72"/>
        <v>Check Data</v>
      </c>
      <c r="AL190" s="76" t="str">
        <f t="shared" si="50"/>
        <v>Check Data</v>
      </c>
      <c r="AM190" s="50" t="str">
        <f t="shared" si="73"/>
        <v>Check Data</v>
      </c>
      <c r="AN190" s="49" t="str">
        <f>IF(B190="","",IF(L190="S1","S1",INDEX(#REF!,#REF!)))</f>
        <v/>
      </c>
      <c r="AO190" s="49" t="str">
        <f>L190</f>
        <v>M2</v>
      </c>
      <c r="AP190" s="50" t="b">
        <f>L190=AN190</f>
        <v>0</v>
      </c>
      <c r="AQ190" s="50"/>
    </row>
    <row r="191" spans="1:43" ht="21.75">
      <c r="A191" s="49">
        <v>189</v>
      </c>
      <c r="B191" s="50"/>
      <c r="C191" s="50"/>
      <c r="D191" s="50" t="s">
        <v>141</v>
      </c>
      <c r="E191" s="50" t="e">
        <f>INDEX(#REF!,#REF!)</f>
        <v>#REF!</v>
      </c>
      <c r="F191" s="49" t="s">
        <v>261</v>
      </c>
      <c r="G191" s="49" t="str">
        <f t="shared" si="74"/>
        <v>03/04/1996</v>
      </c>
      <c r="H191" s="50">
        <f t="shared" si="47"/>
        <v>29</v>
      </c>
      <c r="I191" s="50">
        <f t="shared" si="48"/>
        <v>2</v>
      </c>
      <c r="J191" s="50">
        <f t="shared" si="49"/>
        <v>17</v>
      </c>
      <c r="K191" s="60"/>
      <c r="L191" s="49" t="s">
        <v>136</v>
      </c>
      <c r="M191" s="64"/>
      <c r="N191" s="49" t="s">
        <v>426</v>
      </c>
      <c r="O191" s="49">
        <v>2574</v>
      </c>
      <c r="P191" s="65" t="s">
        <v>257</v>
      </c>
      <c r="Q191" s="49" t="str">
        <f t="shared" si="66"/>
        <v>19/12/2023</v>
      </c>
      <c r="R191" s="68">
        <f>IF(Q191="",0,DATEDIF(Q191,$C$1,"Y"))</f>
        <v>1</v>
      </c>
      <c r="S191" s="68">
        <f>IF(Q191="",0,DATEDIF(Q191,$C$1,"YM"))</f>
        <v>6</v>
      </c>
      <c r="T191" s="68">
        <f>IF(Q191="",0,DATEDIF(Q191,$C$1,"MD"))</f>
        <v>1</v>
      </c>
      <c r="U191" s="65"/>
      <c r="V191" s="65"/>
      <c r="W191" s="49" t="str">
        <f t="shared" si="67"/>
        <v/>
      </c>
      <c r="X191" s="68">
        <f>IF(W191="",0,DATEDIF(W191,Q191,"Y"))</f>
        <v>0</v>
      </c>
      <c r="Y191" s="68">
        <f>IF(W191="",0,DATEDIF(W191,Q191,"YM"))</f>
        <v>0</v>
      </c>
      <c r="Z191" s="68">
        <f>IF(W191="",0,DATEDIF(W191,Q191,"MD"))</f>
        <v>0</v>
      </c>
      <c r="AA191" s="49"/>
      <c r="AB191" s="65"/>
      <c r="AC191" s="50" t="str">
        <f t="shared" si="68"/>
        <v/>
      </c>
      <c r="AD191" s="68">
        <f t="shared" si="69"/>
        <v>0</v>
      </c>
      <c r="AE191" s="68">
        <f t="shared" si="70"/>
        <v>0</v>
      </c>
      <c r="AF191" s="68">
        <f t="shared" si="71"/>
        <v>0</v>
      </c>
      <c r="AG191" s="50"/>
      <c r="AH191" s="108" t="s">
        <v>138</v>
      </c>
      <c r="AI191" s="49" t="str">
        <f>IF(AH191="นิติศาสตร์","K5-LAW","K5-POLICY")</f>
        <v>K5-LAW</v>
      </c>
      <c r="AJ191" s="72" t="str">
        <f>_xlfn.IFS(B191="","",AND(AI191="K5-LAW",AH191="นิติศาสตร์",L191="S2",U191="",AA191=""),Q191,AND(AI191="K5-LAW",AH191="นิติศาสตร์",L191="S1",U191="",AA191=""),EDATE(Q191,12),AND(AI191="K5-LAW",AH191="นิติศาสตร์",OR(L191="M2",L191="K4"),U191="",AA191=""),EDATE(Q191,12*2),AND(AI191="K5-LAW",AH191="นิติศาสตร์",OR(AA191="M2",AA191="K4"),AD191&gt;=2,OR(AC191&lt;W191,AC191&lt;Q191)),EDATE(AC191,12*2),AND(AI191="K5-LAW",AH191="นิติศาสตร์",AA191="S1",AD191&gt;=1,OR(AC191&lt;W191,AC191&lt;Q191)),EDATE(AC191,12),AND(AI191="K5-LAW",AH191="นิติศาสตร์",OR(U191="M2",U191="K4"),X191&gt;=2,W191&lt;Q191),EDATE(W191,12*2),AND(AI191="K5-LAW",AH191="นิติศาสตร์",U191="S1",X191&gt;=1,W191&lt;Q191),EDATE(W191,12),AND(AI191="K5-LAW",AH191="นิติศาสตร์",OR(U191="S2",U191="K5")),W191,AND(AI191="K5-LAW",AH191="นิติศาสตร์",OR(L191="M2",L191="K4"),R191&gt;=2),EDATE(Q191,12*2),AND(AI191="K5-LAW",AH191="นิติศาสตร์",L191="S1",R191&gt;=1),EDATE(Q191,12),AND(AI191="K5-LAW",AH191="นิติศาสตร์",OR(L191="S2",L191="K5")),Q191,AND(AI191="K5-POLICY",AH191&lt;&gt;"นิติศาสตร์",L191="S2",U191="",AA191=""),Q191,AND(AI191="K5-POLICY",AH191&lt;&gt;"นิติศาสตร์",L191="S1",U191="",AA191=""),EDATE(Q191,12),AND(AI191="K5-POLICY",AH191&lt;&gt;"นิติศาสตร์",OR(L191="M2",L191="K4"),U191="",AA191=""),EDATE(Q191,12*2),AND(AI191="K5-POLICY",AH191&lt;&gt;"นิติศาสตร์",OR(AA191="M2",AA191="K4"),AD191&gt;=2,OR(AC191&lt;W191,AC191&lt;Q191)),EDATE(AC191,12*2),AND(AI191="K5-POLICY",AH191&lt;&gt;"นิติศาสตร์",AA191="S1",AD191&gt;=1,OR(AC191&lt;W191,AC191&lt;Q191)),EDATE(AC191,12),AND(AI191="K5-POLICY",AH191&lt;&gt;"นิติศาสตร์",OR(U191="M2",U191="K4"),X191&gt;=2,W191&lt;Q191),EDATE(W191,12*2),AND(AI191="K5-POLICY",AH191&lt;&gt;"นิติศาสตร์",U191="S1",X191&gt;=1,W191&lt;Q191),EDATE(W191,12),AND(AI191="K5-POLICY",AH191&lt;&gt;"นิติศาสตร์",OR(U191="S2",U191="K5")),W191,AND(AI191="K5-POLICY",AH191&lt;&gt;"นิติศาสตร์",OR(L191="M2",L191="K4"),R191&gt;=2),EDATE(Q191,12*2),AND(AI191="K5-POLICY",AH191&lt;&gt;"นิติศาสตร์",L191="S1",R191&gt;=1),EDATE(Q191,12),AND(AI191="K5-POLICY",AH191&lt;&gt;"นิติศาสตร์",OR(L191="S2",L191="K5")),Q191,TRUE,"Check Data")</f>
        <v/>
      </c>
      <c r="AK191" s="75" t="str">
        <f t="shared" si="72"/>
        <v>Check Data</v>
      </c>
      <c r="AL191" s="76" t="str">
        <f t="shared" si="50"/>
        <v>Check Data</v>
      </c>
      <c r="AM191" s="50" t="str">
        <f t="shared" si="73"/>
        <v>Check Data</v>
      </c>
      <c r="AN191" s="49" t="str">
        <f>IF(B191="","",IF(L191="S1","S1",INDEX(#REF!,#REF!)))</f>
        <v/>
      </c>
      <c r="AO191" s="49" t="str">
        <f>L191</f>
        <v>M2</v>
      </c>
      <c r="AP191" s="50" t="b">
        <f>L191=AN191</f>
        <v>0</v>
      </c>
      <c r="AQ191" s="50"/>
    </row>
    <row r="192" spans="1:43" ht="21.75">
      <c r="A192" s="49">
        <v>190</v>
      </c>
      <c r="B192" s="50"/>
      <c r="C192" s="50"/>
      <c r="D192" s="50" t="s">
        <v>141</v>
      </c>
      <c r="E192" s="50" t="e">
        <f>INDEX(#REF!,#REF!)</f>
        <v>#REF!</v>
      </c>
      <c r="F192" s="49" t="s">
        <v>263</v>
      </c>
      <c r="G192" s="49" t="str">
        <f t="shared" si="74"/>
        <v>01/02/1995</v>
      </c>
      <c r="H192" s="50">
        <f t="shared" si="47"/>
        <v>30</v>
      </c>
      <c r="I192" s="50">
        <f t="shared" si="48"/>
        <v>4</v>
      </c>
      <c r="J192" s="50">
        <f t="shared" si="49"/>
        <v>19</v>
      </c>
      <c r="K192" s="60"/>
      <c r="L192" s="49" t="s">
        <v>136</v>
      </c>
      <c r="M192" s="64"/>
      <c r="N192" s="49" t="s">
        <v>426</v>
      </c>
      <c r="O192" s="49">
        <v>2569</v>
      </c>
      <c r="P192" s="65" t="s">
        <v>257</v>
      </c>
      <c r="Q192" s="49" t="str">
        <f t="shared" si="66"/>
        <v>19/12/2023</v>
      </c>
      <c r="R192" s="68">
        <f>IF(Q192="",0,DATEDIF(Q192,$C$1,"Y"))</f>
        <v>1</v>
      </c>
      <c r="S192" s="68">
        <f>IF(Q192="",0,DATEDIF(Q192,$C$1,"YM"))</f>
        <v>6</v>
      </c>
      <c r="T192" s="68">
        <f>IF(Q192="",0,DATEDIF(Q192,$C$1,"MD"))</f>
        <v>1</v>
      </c>
      <c r="U192" s="65"/>
      <c r="V192" s="65"/>
      <c r="W192" s="49" t="str">
        <f t="shared" si="67"/>
        <v/>
      </c>
      <c r="X192" s="68">
        <f>IF(W192="",0,DATEDIF(W192,Q192,"Y"))</f>
        <v>0</v>
      </c>
      <c r="Y192" s="68">
        <f>IF(W192="",0,DATEDIF(W192,Q192,"YM"))</f>
        <v>0</v>
      </c>
      <c r="Z192" s="68">
        <f>IF(W192="",0,DATEDIF(W192,Q192,"MD"))</f>
        <v>0</v>
      </c>
      <c r="AA192" s="49"/>
      <c r="AB192" s="65"/>
      <c r="AC192" s="50" t="str">
        <f t="shared" si="68"/>
        <v/>
      </c>
      <c r="AD192" s="68">
        <f t="shared" si="69"/>
        <v>0</v>
      </c>
      <c r="AE192" s="68">
        <f t="shared" si="70"/>
        <v>0</v>
      </c>
      <c r="AF192" s="68">
        <f t="shared" si="71"/>
        <v>0</v>
      </c>
      <c r="AG192" s="50"/>
      <c r="AH192" s="108" t="s">
        <v>138</v>
      </c>
      <c r="AI192" s="49" t="str">
        <f>IF(AH192="นิติศาสตร์","K5-LAW","K5-POLICY")</f>
        <v>K5-LAW</v>
      </c>
      <c r="AJ192" s="72" t="str">
        <f>_xlfn.IFS(B192="","",AND(AI192="K5-LAW",AH192="นิติศาสตร์",L192="S2",U192="",AA192=""),Q192,AND(AI192="K5-LAW",AH192="นิติศาสตร์",L192="S1",U192="",AA192=""),EDATE(Q192,12),AND(AI192="K5-LAW",AH192="นิติศาสตร์",OR(L192="M2",L192="K4"),U192="",AA192=""),EDATE(Q192,12*2),AND(AI192="K5-LAW",AH192="นิติศาสตร์",OR(AA192="M2",AA192="K4"),AD192&gt;=2,OR(AC192&lt;W192,AC192&lt;Q192)),EDATE(AC192,12*2),AND(AI192="K5-LAW",AH192="นิติศาสตร์",AA192="S1",AD192&gt;=1,OR(AC192&lt;W192,AC192&lt;Q192)),EDATE(AC192,12),AND(AI192="K5-LAW",AH192="นิติศาสตร์",OR(U192="M2",U192="K4"),X192&gt;=2,W192&lt;Q192),EDATE(W192,12*2),AND(AI192="K5-LAW",AH192="นิติศาสตร์",U192="S1",X192&gt;=1,W192&lt;Q192),EDATE(W192,12),AND(AI192="K5-LAW",AH192="นิติศาสตร์",OR(U192="S2",U192="K5")),W192,AND(AI192="K5-LAW",AH192="นิติศาสตร์",OR(L192="M2",L192="K4"),R192&gt;=2),EDATE(Q192,12*2),AND(AI192="K5-LAW",AH192="นิติศาสตร์",L192="S1",R192&gt;=1),EDATE(Q192,12),AND(AI192="K5-LAW",AH192="นิติศาสตร์",OR(L192="S2",L192="K5")),Q192,AND(AI192="K5-POLICY",AH192&lt;&gt;"นิติศาสตร์",L192="S2",U192="",AA192=""),Q192,AND(AI192="K5-POLICY",AH192&lt;&gt;"นิติศาสตร์",L192="S1",U192="",AA192=""),EDATE(Q192,12),AND(AI192="K5-POLICY",AH192&lt;&gt;"นิติศาสตร์",OR(L192="M2",L192="K4"),U192="",AA192=""),EDATE(Q192,12*2),AND(AI192="K5-POLICY",AH192&lt;&gt;"นิติศาสตร์",OR(AA192="M2",AA192="K4"),AD192&gt;=2,OR(AC192&lt;W192,AC192&lt;Q192)),EDATE(AC192,12*2),AND(AI192="K5-POLICY",AH192&lt;&gt;"นิติศาสตร์",AA192="S1",AD192&gt;=1,OR(AC192&lt;W192,AC192&lt;Q192)),EDATE(AC192,12),AND(AI192="K5-POLICY",AH192&lt;&gt;"นิติศาสตร์",OR(U192="M2",U192="K4"),X192&gt;=2,W192&lt;Q192),EDATE(W192,12*2),AND(AI192="K5-POLICY",AH192&lt;&gt;"นิติศาสตร์",U192="S1",X192&gt;=1,W192&lt;Q192),EDATE(W192,12),AND(AI192="K5-POLICY",AH192&lt;&gt;"นิติศาสตร์",OR(U192="S2",U192="K5")),W192,AND(AI192="K5-POLICY",AH192&lt;&gt;"นิติศาสตร์",OR(L192="M2",L192="K4"),R192&gt;=2),EDATE(Q192,12*2),AND(AI192="K5-POLICY",AH192&lt;&gt;"นิติศาสตร์",L192="S1",R192&gt;=1),EDATE(Q192,12),AND(AI192="K5-POLICY",AH192&lt;&gt;"นิติศาสตร์",OR(L192="S2",L192="K5")),Q192,TRUE,"Check Data")</f>
        <v/>
      </c>
      <c r="AK192" s="75" t="str">
        <f t="shared" si="72"/>
        <v>Check Data</v>
      </c>
      <c r="AL192" s="76" t="str">
        <f t="shared" si="50"/>
        <v>Check Data</v>
      </c>
      <c r="AM192" s="50" t="str">
        <f t="shared" si="73"/>
        <v>Check Data</v>
      </c>
      <c r="AN192" s="49" t="str">
        <f>IF(B192="","",IF(L192="S1","S1",INDEX(#REF!,#REF!)))</f>
        <v/>
      </c>
      <c r="AO192" s="49" t="str">
        <f>L192</f>
        <v>M2</v>
      </c>
      <c r="AP192" s="50" t="b">
        <f>L192=AN192</f>
        <v>0</v>
      </c>
      <c r="AQ192" s="50"/>
    </row>
    <row r="193" spans="1:43" ht="21.75">
      <c r="A193" s="49">
        <v>191</v>
      </c>
      <c r="B193" s="50"/>
      <c r="C193" s="50"/>
      <c r="D193" s="50" t="s">
        <v>141</v>
      </c>
      <c r="E193" s="50" t="e">
        <f>INDEX(#REF!,#REF!)</f>
        <v>#REF!</v>
      </c>
      <c r="F193" s="49" t="s">
        <v>258</v>
      </c>
      <c r="G193" s="49" t="str">
        <f t="shared" si="74"/>
        <v>02/10/1989</v>
      </c>
      <c r="H193" s="50">
        <f t="shared" si="47"/>
        <v>35</v>
      </c>
      <c r="I193" s="50">
        <f t="shared" si="48"/>
        <v>8</v>
      </c>
      <c r="J193" s="50">
        <f t="shared" si="49"/>
        <v>18</v>
      </c>
      <c r="K193" s="60"/>
      <c r="L193" s="49" t="s">
        <v>136</v>
      </c>
      <c r="M193" s="64"/>
      <c r="N193" s="49" t="s">
        <v>426</v>
      </c>
      <c r="O193" s="49">
        <v>2572</v>
      </c>
      <c r="P193" s="65" t="s">
        <v>257</v>
      </c>
      <c r="Q193" s="49" t="str">
        <f t="shared" si="66"/>
        <v>19/12/2023</v>
      </c>
      <c r="R193" s="68">
        <f>IF(Q193="",0,DATEDIF(Q193,$C$1,"Y"))</f>
        <v>1</v>
      </c>
      <c r="S193" s="68">
        <f>IF(Q193="",0,DATEDIF(Q193,$C$1,"YM"))</f>
        <v>6</v>
      </c>
      <c r="T193" s="68">
        <f>IF(Q193="",0,DATEDIF(Q193,$C$1,"MD"))</f>
        <v>1</v>
      </c>
      <c r="U193" s="65"/>
      <c r="V193" s="65"/>
      <c r="W193" s="49" t="str">
        <f t="shared" si="67"/>
        <v/>
      </c>
      <c r="X193" s="68">
        <f>IF(W193="",0,DATEDIF(W193,Q193,"Y"))</f>
        <v>0</v>
      </c>
      <c r="Y193" s="68">
        <f>IF(W193="",0,DATEDIF(W193,Q193,"YM"))</f>
        <v>0</v>
      </c>
      <c r="Z193" s="68">
        <f>IF(W193="",0,DATEDIF(W193,Q193,"MD"))</f>
        <v>0</v>
      </c>
      <c r="AA193" s="49"/>
      <c r="AB193" s="65"/>
      <c r="AC193" s="50" t="str">
        <f t="shared" si="68"/>
        <v/>
      </c>
      <c r="AD193" s="68">
        <f t="shared" si="69"/>
        <v>0</v>
      </c>
      <c r="AE193" s="68">
        <f t="shared" si="70"/>
        <v>0</v>
      </c>
      <c r="AF193" s="68">
        <f t="shared" si="71"/>
        <v>0</v>
      </c>
      <c r="AG193" s="50"/>
      <c r="AH193" s="108" t="s">
        <v>138</v>
      </c>
      <c r="AI193" s="49" t="str">
        <f>IF(AH193="นิติศาสตร์","K5-LAW","K5-POLICY")</f>
        <v>K5-LAW</v>
      </c>
      <c r="AJ193" s="72" t="str">
        <f>_xlfn.IFS(B193="","",AND(AI193="K5-LAW",AH193="นิติศาสตร์",L193="S2",U193="",AA193=""),Q193,AND(AI193="K5-LAW",AH193="นิติศาสตร์",L193="S1",U193="",AA193=""),EDATE(Q193,12),AND(AI193="K5-LAW",AH193="นิติศาสตร์",OR(L193="M2",L193="K4"),U193="",AA193=""),EDATE(Q193,12*2),AND(AI193="K5-LAW",AH193="นิติศาสตร์",OR(AA193="M2",AA193="K4"),AD193&gt;=2,OR(AC193&lt;W193,AC193&lt;Q193)),EDATE(AC193,12*2),AND(AI193="K5-LAW",AH193="นิติศาสตร์",AA193="S1",AD193&gt;=1,OR(AC193&lt;W193,AC193&lt;Q193)),EDATE(AC193,12),AND(AI193="K5-LAW",AH193="นิติศาสตร์",OR(U193="M2",U193="K4"),X193&gt;=2,W193&lt;Q193),EDATE(W193,12*2),AND(AI193="K5-LAW",AH193="นิติศาสตร์",U193="S1",X193&gt;=1,W193&lt;Q193),EDATE(W193,12),AND(AI193="K5-LAW",AH193="นิติศาสตร์",OR(U193="S2",U193="K5")),W193,AND(AI193="K5-LAW",AH193="นิติศาสตร์",OR(L193="M2",L193="K4"),R193&gt;=2),EDATE(Q193,12*2),AND(AI193="K5-LAW",AH193="นิติศาสตร์",L193="S1",R193&gt;=1),EDATE(Q193,12),AND(AI193="K5-LAW",AH193="นิติศาสตร์",OR(L193="S2",L193="K5")),Q193,AND(AI193="K5-POLICY",AH193&lt;&gt;"นิติศาสตร์",L193="S2",U193="",AA193=""),Q193,AND(AI193="K5-POLICY",AH193&lt;&gt;"นิติศาสตร์",L193="S1",U193="",AA193=""),EDATE(Q193,12),AND(AI193="K5-POLICY",AH193&lt;&gt;"นิติศาสตร์",OR(L193="M2",L193="K4"),U193="",AA193=""),EDATE(Q193,12*2),AND(AI193="K5-POLICY",AH193&lt;&gt;"นิติศาสตร์",OR(AA193="M2",AA193="K4"),AD193&gt;=2,OR(AC193&lt;W193,AC193&lt;Q193)),EDATE(AC193,12*2),AND(AI193="K5-POLICY",AH193&lt;&gt;"นิติศาสตร์",AA193="S1",AD193&gt;=1,OR(AC193&lt;W193,AC193&lt;Q193)),EDATE(AC193,12),AND(AI193="K5-POLICY",AH193&lt;&gt;"นิติศาสตร์",OR(U193="M2",U193="K4"),X193&gt;=2,W193&lt;Q193),EDATE(W193,12*2),AND(AI193="K5-POLICY",AH193&lt;&gt;"นิติศาสตร์",U193="S1",X193&gt;=1,W193&lt;Q193),EDATE(W193,12),AND(AI193="K5-POLICY",AH193&lt;&gt;"นิติศาสตร์",OR(U193="S2",U193="K5")),W193,AND(AI193="K5-POLICY",AH193&lt;&gt;"นิติศาสตร์",OR(L193="M2",L193="K4"),R193&gt;=2),EDATE(Q193,12*2),AND(AI193="K5-POLICY",AH193&lt;&gt;"นิติศาสตร์",L193="S1",R193&gt;=1),EDATE(Q193,12),AND(AI193="K5-POLICY",AH193&lt;&gt;"นิติศาสตร์",OR(L193="S2",L193="K5")),Q193,TRUE,"Check Data")</f>
        <v/>
      </c>
      <c r="AK193" s="75" t="str">
        <f t="shared" si="72"/>
        <v>Check Data</v>
      </c>
      <c r="AL193" s="76" t="str">
        <f t="shared" si="50"/>
        <v>Check Data</v>
      </c>
      <c r="AM193" s="50" t="str">
        <f t="shared" si="73"/>
        <v>Check Data</v>
      </c>
      <c r="AN193" s="49" t="str">
        <f>IF(B193="","",IF(L193="S1","S1",INDEX(#REF!,#REF!)))</f>
        <v/>
      </c>
      <c r="AO193" s="49" t="str">
        <f>L193</f>
        <v>M2</v>
      </c>
      <c r="AP193" s="50" t="b">
        <f>L193=AN193</f>
        <v>0</v>
      </c>
      <c r="AQ193" s="50"/>
    </row>
    <row r="194" spans="1:43" ht="21.75">
      <c r="A194" s="49">
        <v>192</v>
      </c>
      <c r="B194" s="50"/>
      <c r="C194" s="50"/>
      <c r="D194" s="50" t="s">
        <v>142</v>
      </c>
      <c r="E194" s="50" t="e">
        <f>INDEX(#REF!,#REF!)</f>
        <v>#REF!</v>
      </c>
      <c r="F194" s="49" t="s">
        <v>274</v>
      </c>
      <c r="G194" s="49" t="str">
        <f t="shared" si="74"/>
        <v>10/09/2001</v>
      </c>
      <c r="H194" s="50">
        <f t="shared" si="47"/>
        <v>23</v>
      </c>
      <c r="I194" s="50">
        <f t="shared" si="48"/>
        <v>9</v>
      </c>
      <c r="J194" s="50">
        <f t="shared" si="49"/>
        <v>10</v>
      </c>
      <c r="K194" s="58"/>
      <c r="L194" s="49" t="s">
        <v>136</v>
      </c>
      <c r="M194" s="64"/>
      <c r="N194" s="49">
        <v>0</v>
      </c>
      <c r="O194" s="49">
        <v>0</v>
      </c>
      <c r="P194" s="65" t="s">
        <v>257</v>
      </c>
      <c r="Q194" s="49" t="str">
        <f t="shared" si="66"/>
        <v>19/12/2023</v>
      </c>
      <c r="R194" s="68">
        <f>IF(Q194="",0,DATEDIF(Q194,$C$1,"Y"))</f>
        <v>1</v>
      </c>
      <c r="S194" s="68">
        <f>IF(Q194="",0,DATEDIF(Q194,$C$1,"YM"))</f>
        <v>6</v>
      </c>
      <c r="T194" s="68">
        <f>IF(Q194="",0,DATEDIF(Q194,$C$1,"MD"))</f>
        <v>1</v>
      </c>
      <c r="U194" s="65"/>
      <c r="V194" s="65"/>
      <c r="W194" s="49" t="str">
        <f t="shared" si="67"/>
        <v/>
      </c>
      <c r="X194" s="68">
        <f>IF(W194="",0,DATEDIF(W194,Q194,"Y"))</f>
        <v>0</v>
      </c>
      <c r="Y194" s="68">
        <f>IF(W194="",0,DATEDIF(W194,Q194,"YM"))</f>
        <v>0</v>
      </c>
      <c r="Z194" s="68">
        <f>IF(W194="",0,DATEDIF(W194,Q194,"MD"))</f>
        <v>0</v>
      </c>
      <c r="AA194" s="49"/>
      <c r="AB194" s="65"/>
      <c r="AC194" s="50" t="str">
        <f t="shared" si="68"/>
        <v/>
      </c>
      <c r="AD194" s="68">
        <f t="shared" si="69"/>
        <v>0</v>
      </c>
      <c r="AE194" s="68">
        <f t="shared" si="70"/>
        <v>0</v>
      </c>
      <c r="AF194" s="68">
        <f t="shared" si="71"/>
        <v>0</v>
      </c>
      <c r="AG194" s="50"/>
      <c r="AH194" s="108" t="s">
        <v>138</v>
      </c>
      <c r="AI194" s="49" t="str">
        <f>IF(AH194="นิติศาสตร์","K5-LAW","K5-POLICY")</f>
        <v>K5-LAW</v>
      </c>
      <c r="AJ194" s="72" t="str">
        <f>_xlfn.IFS(B194="","",AND(AI194="K5-LAW",AH194="นิติศาสตร์",L194="S2",U194="",AA194=""),Q194,AND(AI194="K5-LAW",AH194="นิติศาสตร์",L194="S1",U194="",AA194=""),EDATE(Q194,12),AND(AI194="K5-LAW",AH194="นิติศาสตร์",OR(L194="M2",L194="K4"),U194="",AA194=""),EDATE(Q194,12*2),AND(AI194="K5-LAW",AH194="นิติศาสตร์",OR(AA194="M2",AA194="K4"),AD194&gt;=2,OR(AC194&lt;W194,AC194&lt;Q194)),EDATE(AC194,12*2),AND(AI194="K5-LAW",AH194="นิติศาสตร์",AA194="S1",AD194&gt;=1,OR(AC194&lt;W194,AC194&lt;Q194)),EDATE(AC194,12),AND(AI194="K5-LAW",AH194="นิติศาสตร์",OR(U194="M2",U194="K4"),X194&gt;=2,W194&lt;Q194),EDATE(W194,12*2),AND(AI194="K5-LAW",AH194="นิติศาสตร์",U194="S1",X194&gt;=1,W194&lt;Q194),EDATE(W194,12),AND(AI194="K5-LAW",AH194="นิติศาสตร์",OR(U194="S2",U194="K5")),W194,AND(AI194="K5-LAW",AH194="นิติศาสตร์",OR(L194="M2",L194="K4"),R194&gt;=2),EDATE(Q194,12*2),AND(AI194="K5-LAW",AH194="นิติศาสตร์",L194="S1",R194&gt;=1),EDATE(Q194,12),AND(AI194="K5-LAW",AH194="นิติศาสตร์",OR(L194="S2",L194="K5")),Q194,AND(AI194="K5-POLICY",AH194&lt;&gt;"นิติศาสตร์",L194="S2",U194="",AA194=""),Q194,AND(AI194="K5-POLICY",AH194&lt;&gt;"นิติศาสตร์",L194="S1",U194="",AA194=""),EDATE(Q194,12),AND(AI194="K5-POLICY",AH194&lt;&gt;"นิติศาสตร์",OR(L194="M2",L194="K4"),U194="",AA194=""),EDATE(Q194,12*2),AND(AI194="K5-POLICY",AH194&lt;&gt;"นิติศาสตร์",OR(AA194="M2",AA194="K4"),AD194&gt;=2,OR(AC194&lt;W194,AC194&lt;Q194)),EDATE(AC194,12*2),AND(AI194="K5-POLICY",AH194&lt;&gt;"นิติศาสตร์",AA194="S1",AD194&gt;=1,OR(AC194&lt;W194,AC194&lt;Q194)),EDATE(AC194,12),AND(AI194="K5-POLICY",AH194&lt;&gt;"นิติศาสตร์",OR(U194="M2",U194="K4"),X194&gt;=2,W194&lt;Q194),EDATE(W194,12*2),AND(AI194="K5-POLICY",AH194&lt;&gt;"นิติศาสตร์",U194="S1",X194&gt;=1,W194&lt;Q194),EDATE(W194,12),AND(AI194="K5-POLICY",AH194&lt;&gt;"นิติศาสตร์",OR(U194="S2",U194="K5")),W194,AND(AI194="K5-POLICY",AH194&lt;&gt;"นิติศาสตร์",OR(L194="M2",L194="K4"),R194&gt;=2),EDATE(Q194,12*2),AND(AI194="K5-POLICY",AH194&lt;&gt;"นิติศาสตร์",L194="S1",R194&gt;=1),EDATE(Q194,12),AND(AI194="K5-POLICY",AH194&lt;&gt;"นิติศาสตร์",OR(L194="S2",L194="K5")),Q194,TRUE,"Check Data")</f>
        <v/>
      </c>
      <c r="AK194" s="75" t="str">
        <f t="shared" si="72"/>
        <v>Check Data</v>
      </c>
      <c r="AL194" s="76" t="str">
        <f t="shared" si="50"/>
        <v>Check Data</v>
      </c>
      <c r="AM194" s="50" t="str">
        <f t="shared" si="73"/>
        <v>Check Data</v>
      </c>
      <c r="AN194" s="49" t="str">
        <f>IF(B194="","",IF(L194="S1","S1",INDEX(#REF!,#REF!)))</f>
        <v/>
      </c>
      <c r="AO194" s="49" t="str">
        <f>L194</f>
        <v>M2</v>
      </c>
      <c r="AP194" s="50" t="b">
        <f>L194=AN194</f>
        <v>0</v>
      </c>
      <c r="AQ194" s="50"/>
    </row>
    <row r="195" spans="1:43" ht="21.75">
      <c r="A195" s="49">
        <v>193</v>
      </c>
      <c r="B195" s="50"/>
      <c r="C195" s="50"/>
      <c r="D195" s="50" t="s">
        <v>141</v>
      </c>
      <c r="E195" s="50" t="e">
        <f>INDEX(#REF!,#REF!)</f>
        <v>#REF!</v>
      </c>
      <c r="F195" s="49" t="s">
        <v>267</v>
      </c>
      <c r="G195" s="49" t="str">
        <f t="shared" si="74"/>
        <v>18/09/2000</v>
      </c>
      <c r="H195" s="50">
        <f t="shared" ref="H195:H258" si="75">IF(G195="",0,DATEDIF(G195,$C$1,"Y"))</f>
        <v>24</v>
      </c>
      <c r="I195" s="50">
        <f t="shared" ref="I195:I258" si="76">IF(G195="",0,DATEDIF(G195,$C$1,"YM"))</f>
        <v>9</v>
      </c>
      <c r="J195" s="50">
        <f t="shared" ref="J195:J258" si="77">IF(G195="",0,DATEDIF(G195,$C$1,"MD"))</f>
        <v>2</v>
      </c>
      <c r="K195" s="60"/>
      <c r="L195" s="49" t="s">
        <v>136</v>
      </c>
      <c r="M195" s="64"/>
      <c r="N195" s="49" t="s">
        <v>426</v>
      </c>
      <c r="O195" s="49">
        <v>2577</v>
      </c>
      <c r="P195" s="65" t="s">
        <v>257</v>
      </c>
      <c r="Q195" s="49" t="str">
        <f t="shared" si="66"/>
        <v>19/12/2023</v>
      </c>
      <c r="R195" s="68">
        <f>IF(Q195="",0,DATEDIF(Q195,$C$1,"Y"))</f>
        <v>1</v>
      </c>
      <c r="S195" s="68">
        <f>IF(Q195="",0,DATEDIF(Q195,$C$1,"YM"))</f>
        <v>6</v>
      </c>
      <c r="T195" s="68">
        <f>IF(Q195="",0,DATEDIF(Q195,$C$1,"MD"))</f>
        <v>1</v>
      </c>
      <c r="U195" s="65"/>
      <c r="V195" s="65"/>
      <c r="W195" s="49" t="str">
        <f t="shared" si="67"/>
        <v/>
      </c>
      <c r="X195" s="68">
        <f>IF(W195="",0,DATEDIF(W195,Q195,"Y"))</f>
        <v>0</v>
      </c>
      <c r="Y195" s="68">
        <f>IF(W195="",0,DATEDIF(W195,Q195,"YM"))</f>
        <v>0</v>
      </c>
      <c r="Z195" s="68">
        <f>IF(W195="",0,DATEDIF(W195,Q195,"MD"))</f>
        <v>0</v>
      </c>
      <c r="AA195" s="49"/>
      <c r="AB195" s="65"/>
      <c r="AC195" s="50" t="str">
        <f t="shared" si="68"/>
        <v/>
      </c>
      <c r="AD195" s="68">
        <f t="shared" si="69"/>
        <v>0</v>
      </c>
      <c r="AE195" s="68">
        <f t="shared" si="70"/>
        <v>0</v>
      </c>
      <c r="AF195" s="68">
        <f t="shared" si="71"/>
        <v>0</v>
      </c>
      <c r="AG195" s="50"/>
      <c r="AH195" s="108" t="s">
        <v>138</v>
      </c>
      <c r="AI195" s="49" t="str">
        <f>IF(AH195="นิติศาสตร์","K5-LAW","K5-POLICY")</f>
        <v>K5-LAW</v>
      </c>
      <c r="AJ195" s="72" t="str">
        <f>_xlfn.IFS(B195="","",AND(AI195="K5-LAW",AH195="นิติศาสตร์",L195="S2",U195="",AA195=""),Q195,AND(AI195="K5-LAW",AH195="นิติศาสตร์",L195="S1",U195="",AA195=""),EDATE(Q195,12),AND(AI195="K5-LAW",AH195="นิติศาสตร์",OR(L195="M2",L195="K4"),U195="",AA195=""),EDATE(Q195,12*2),AND(AI195="K5-LAW",AH195="นิติศาสตร์",OR(AA195="M2",AA195="K4"),AD195&gt;=2,OR(AC195&lt;W195,AC195&lt;Q195)),EDATE(AC195,12*2),AND(AI195="K5-LAW",AH195="นิติศาสตร์",AA195="S1",AD195&gt;=1,OR(AC195&lt;W195,AC195&lt;Q195)),EDATE(AC195,12),AND(AI195="K5-LAW",AH195="นิติศาสตร์",OR(U195="M2",U195="K4"),X195&gt;=2,W195&lt;Q195),EDATE(W195,12*2),AND(AI195="K5-LAW",AH195="นิติศาสตร์",U195="S1",X195&gt;=1,W195&lt;Q195),EDATE(W195,12),AND(AI195="K5-LAW",AH195="นิติศาสตร์",OR(U195="S2",U195="K5")),W195,AND(AI195="K5-LAW",AH195="นิติศาสตร์",OR(L195="M2",L195="K4"),R195&gt;=2),EDATE(Q195,12*2),AND(AI195="K5-LAW",AH195="นิติศาสตร์",L195="S1",R195&gt;=1),EDATE(Q195,12),AND(AI195="K5-LAW",AH195="นิติศาสตร์",OR(L195="S2",L195="K5")),Q195,AND(AI195="K5-POLICY",AH195&lt;&gt;"นิติศาสตร์",L195="S2",U195="",AA195=""),Q195,AND(AI195="K5-POLICY",AH195&lt;&gt;"นิติศาสตร์",L195="S1",U195="",AA195=""),EDATE(Q195,12),AND(AI195="K5-POLICY",AH195&lt;&gt;"นิติศาสตร์",OR(L195="M2",L195="K4"),U195="",AA195=""),EDATE(Q195,12*2),AND(AI195="K5-POLICY",AH195&lt;&gt;"นิติศาสตร์",OR(AA195="M2",AA195="K4"),AD195&gt;=2,OR(AC195&lt;W195,AC195&lt;Q195)),EDATE(AC195,12*2),AND(AI195="K5-POLICY",AH195&lt;&gt;"นิติศาสตร์",AA195="S1",AD195&gt;=1,OR(AC195&lt;W195,AC195&lt;Q195)),EDATE(AC195,12),AND(AI195="K5-POLICY",AH195&lt;&gt;"นิติศาสตร์",OR(U195="M2",U195="K4"),X195&gt;=2,W195&lt;Q195),EDATE(W195,12*2),AND(AI195="K5-POLICY",AH195&lt;&gt;"นิติศาสตร์",U195="S1",X195&gt;=1,W195&lt;Q195),EDATE(W195,12),AND(AI195="K5-POLICY",AH195&lt;&gt;"นิติศาสตร์",OR(U195="S2",U195="K5")),W195,AND(AI195="K5-POLICY",AH195&lt;&gt;"นิติศาสตร์",OR(L195="M2",L195="K4"),R195&gt;=2),EDATE(Q195,12*2),AND(AI195="K5-POLICY",AH195&lt;&gt;"นิติศาสตร์",L195="S1",R195&gt;=1),EDATE(Q195,12),AND(AI195="K5-POLICY",AH195&lt;&gt;"นิติศาสตร์",OR(L195="S2",L195="K5")),Q195,TRUE,"Check Data")</f>
        <v/>
      </c>
      <c r="AK195" s="75" t="str">
        <f t="shared" si="72"/>
        <v>Check Data</v>
      </c>
      <c r="AL195" s="76" t="str">
        <f t="shared" ref="AL195:AL258" si="78">IFERROR(IF($C$1&gt;AJ195,AJ195-$C$1,DATEDIF($C$1,AJ195,"d")),"Check Data")</f>
        <v>Check Data</v>
      </c>
      <c r="AM195" s="50" t="str">
        <f t="shared" si="73"/>
        <v>Check Data</v>
      </c>
      <c r="AN195" s="49" t="str">
        <f>IF(B195="","",IF(L195="S1","S1",INDEX(#REF!,#REF!)))</f>
        <v/>
      </c>
      <c r="AO195" s="49" t="str">
        <f>L195</f>
        <v>M2</v>
      </c>
      <c r="AP195" s="50" t="b">
        <f>L195=AN195</f>
        <v>0</v>
      </c>
      <c r="AQ195" s="50"/>
    </row>
    <row r="196" spans="1:43" ht="21.75">
      <c r="A196" s="49">
        <v>194</v>
      </c>
      <c r="B196" s="50"/>
      <c r="C196" s="50"/>
      <c r="D196" s="50" t="s">
        <v>141</v>
      </c>
      <c r="E196" s="50" t="e">
        <f>INDEX(#REF!,#REF!)</f>
        <v>#REF!</v>
      </c>
      <c r="F196" s="49" t="s">
        <v>264</v>
      </c>
      <c r="G196" s="49" t="str">
        <f t="shared" si="74"/>
        <v>25/10/2000</v>
      </c>
      <c r="H196" s="50">
        <f t="shared" si="75"/>
        <v>24</v>
      </c>
      <c r="I196" s="50">
        <f t="shared" si="76"/>
        <v>7</v>
      </c>
      <c r="J196" s="50">
        <f t="shared" si="77"/>
        <v>26</v>
      </c>
      <c r="K196" s="60"/>
      <c r="L196" s="49" t="s">
        <v>136</v>
      </c>
      <c r="M196" s="64"/>
      <c r="N196" s="49" t="s">
        <v>426</v>
      </c>
      <c r="O196" s="49">
        <v>2578</v>
      </c>
      <c r="P196" s="65" t="s">
        <v>257</v>
      </c>
      <c r="Q196" s="49" t="str">
        <f t="shared" si="66"/>
        <v>19/12/2023</v>
      </c>
      <c r="R196" s="68">
        <f>IF(Q196="",0,DATEDIF(Q196,$C$1,"Y"))</f>
        <v>1</v>
      </c>
      <c r="S196" s="68">
        <f>IF(Q196="",0,DATEDIF(Q196,$C$1,"YM"))</f>
        <v>6</v>
      </c>
      <c r="T196" s="68">
        <f>IF(Q196="",0,DATEDIF(Q196,$C$1,"MD"))</f>
        <v>1</v>
      </c>
      <c r="U196" s="65"/>
      <c r="V196" s="65"/>
      <c r="W196" s="49" t="str">
        <f t="shared" ref="W196:W259" si="79">IF(V196="","",TEXT(EDATE(V196,-543*12),"dd/mm/yyyy"))</f>
        <v/>
      </c>
      <c r="X196" s="68">
        <f>IF(W196="",0,DATEDIF(W196,Q196,"Y"))</f>
        <v>0</v>
      </c>
      <c r="Y196" s="68">
        <f>IF(W196="",0,DATEDIF(W196,Q196,"YM"))</f>
        <v>0</v>
      </c>
      <c r="Z196" s="68">
        <f>IF(W196="",0,DATEDIF(W196,Q196,"MD"))</f>
        <v>0</v>
      </c>
      <c r="AA196" s="49"/>
      <c r="AB196" s="65"/>
      <c r="AC196" s="50" t="str">
        <f t="shared" ref="AC196:AC259" si="80">IF(AB196="","",TEXT(EDATE(AB196,-543*12),"dd/mm/yyyy"))</f>
        <v/>
      </c>
      <c r="AD196" s="68">
        <f t="shared" ref="AD196:AD259" si="81">IF(AC196="",0,DATEDIF(AC196,W196,"Y"))</f>
        <v>0</v>
      </c>
      <c r="AE196" s="68">
        <f t="shared" ref="AE196:AE259" si="82">IF(AC196="",0,DATEDIF(AC196,W196,"YM"))</f>
        <v>0</v>
      </c>
      <c r="AF196" s="68">
        <f t="shared" ref="AF196:AF259" si="83">IF(AC196="",0,DATEDIF(AC196,W196,"MD"))</f>
        <v>0</v>
      </c>
      <c r="AG196" s="50"/>
      <c r="AH196" s="108" t="s">
        <v>138</v>
      </c>
      <c r="AI196" s="49" t="str">
        <f>IF(AH196="นิติศาสตร์","K5-LAW","K5-POLICY")</f>
        <v>K5-LAW</v>
      </c>
      <c r="AJ196" s="72" t="str">
        <f>_xlfn.IFS(B196="","",AND(AI196="K5-LAW",AH196="นิติศาสตร์",L196="S2",U196="",AA196=""),Q196,AND(AI196="K5-LAW",AH196="นิติศาสตร์",L196="S1",U196="",AA196=""),EDATE(Q196,12),AND(AI196="K5-LAW",AH196="นิติศาสตร์",OR(L196="M2",L196="K4"),U196="",AA196=""),EDATE(Q196,12*2),AND(AI196="K5-LAW",AH196="นิติศาสตร์",OR(AA196="M2",AA196="K4"),AD196&gt;=2,OR(AC196&lt;W196,AC196&lt;Q196)),EDATE(AC196,12*2),AND(AI196="K5-LAW",AH196="นิติศาสตร์",AA196="S1",AD196&gt;=1,OR(AC196&lt;W196,AC196&lt;Q196)),EDATE(AC196,12),AND(AI196="K5-LAW",AH196="นิติศาสตร์",OR(U196="M2",U196="K4"),X196&gt;=2,W196&lt;Q196),EDATE(W196,12*2),AND(AI196="K5-LAW",AH196="นิติศาสตร์",U196="S1",X196&gt;=1,W196&lt;Q196),EDATE(W196,12),AND(AI196="K5-LAW",AH196="นิติศาสตร์",OR(U196="S2",U196="K5")),W196,AND(AI196="K5-LAW",AH196="นิติศาสตร์",OR(L196="M2",L196="K4"),R196&gt;=2),EDATE(Q196,12*2),AND(AI196="K5-LAW",AH196="นิติศาสตร์",L196="S1",R196&gt;=1),EDATE(Q196,12),AND(AI196="K5-LAW",AH196="นิติศาสตร์",OR(L196="S2",L196="K5")),Q196,AND(AI196="K5-POLICY",AH196&lt;&gt;"นิติศาสตร์",L196="S2",U196="",AA196=""),Q196,AND(AI196="K5-POLICY",AH196&lt;&gt;"นิติศาสตร์",L196="S1",U196="",AA196=""),EDATE(Q196,12),AND(AI196="K5-POLICY",AH196&lt;&gt;"นิติศาสตร์",OR(L196="M2",L196="K4"),U196="",AA196=""),EDATE(Q196,12*2),AND(AI196="K5-POLICY",AH196&lt;&gt;"นิติศาสตร์",OR(AA196="M2",AA196="K4"),AD196&gt;=2,OR(AC196&lt;W196,AC196&lt;Q196)),EDATE(AC196,12*2),AND(AI196="K5-POLICY",AH196&lt;&gt;"นิติศาสตร์",AA196="S1",AD196&gt;=1,OR(AC196&lt;W196,AC196&lt;Q196)),EDATE(AC196,12),AND(AI196="K5-POLICY",AH196&lt;&gt;"นิติศาสตร์",OR(U196="M2",U196="K4"),X196&gt;=2,W196&lt;Q196),EDATE(W196,12*2),AND(AI196="K5-POLICY",AH196&lt;&gt;"นิติศาสตร์",U196="S1",X196&gt;=1,W196&lt;Q196),EDATE(W196,12),AND(AI196="K5-POLICY",AH196&lt;&gt;"นิติศาสตร์",OR(U196="S2",U196="K5")),W196,AND(AI196="K5-POLICY",AH196&lt;&gt;"นิติศาสตร์",OR(L196="M2",L196="K4"),R196&gt;=2),EDATE(Q196,12*2),AND(AI196="K5-POLICY",AH196&lt;&gt;"นิติศาสตร์",L196="S1",R196&gt;=1),EDATE(Q196,12),AND(AI196="K5-POLICY",AH196&lt;&gt;"นิติศาสตร์",OR(L196="S2",L196="K5")),Q196,TRUE,"Check Data")</f>
        <v/>
      </c>
      <c r="AK196" s="75" t="str">
        <f t="shared" si="72"/>
        <v>Check Data</v>
      </c>
      <c r="AL196" s="76" t="str">
        <f t="shared" si="78"/>
        <v>Check Data</v>
      </c>
      <c r="AM196" s="50" t="str">
        <f t="shared" si="73"/>
        <v>Check Data</v>
      </c>
      <c r="AN196" s="49" t="str">
        <f>IF(B196="","",IF(L196="S1","S1",INDEX(#REF!,#REF!)))</f>
        <v/>
      </c>
      <c r="AO196" s="49" t="str">
        <f>L196</f>
        <v>M2</v>
      </c>
      <c r="AP196" s="50" t="b">
        <f>L196=AN196</f>
        <v>0</v>
      </c>
      <c r="AQ196" s="50"/>
    </row>
    <row r="197" spans="1:43" ht="21.75">
      <c r="A197" s="49">
        <v>195</v>
      </c>
      <c r="B197" s="50"/>
      <c r="C197" s="52"/>
      <c r="D197" s="50" t="s">
        <v>141</v>
      </c>
      <c r="E197" s="50" t="e">
        <f>INDEX(#REF!,#REF!)</f>
        <v>#REF!</v>
      </c>
      <c r="F197" s="79"/>
      <c r="G197" s="79"/>
      <c r="H197" s="50">
        <f t="shared" si="75"/>
        <v>0</v>
      </c>
      <c r="I197" s="50">
        <f t="shared" si="76"/>
        <v>0</v>
      </c>
      <c r="J197" s="50">
        <f t="shared" si="77"/>
        <v>0</v>
      </c>
      <c r="K197" s="79"/>
      <c r="L197" s="49" t="s">
        <v>136</v>
      </c>
      <c r="M197" s="79"/>
      <c r="N197" s="79"/>
      <c r="O197" s="79"/>
      <c r="P197" s="65" t="s">
        <v>257</v>
      </c>
      <c r="Q197" s="49" t="str">
        <f t="shared" si="66"/>
        <v>19/12/2023</v>
      </c>
      <c r="R197" s="68">
        <f>IF(Q197="",0,DATEDIF(Q197,$C$1,"Y"))</f>
        <v>1</v>
      </c>
      <c r="S197" s="68">
        <f>IF(Q197="",0,DATEDIF(Q197,$C$1,"YM"))</f>
        <v>6</v>
      </c>
      <c r="T197" s="68">
        <f>IF(Q197="",0,DATEDIF(Q197,$C$1,"MD"))</f>
        <v>1</v>
      </c>
      <c r="U197" s="65"/>
      <c r="V197" s="83"/>
      <c r="W197" s="49" t="str">
        <f t="shared" si="79"/>
        <v/>
      </c>
      <c r="X197" s="68">
        <f>IF(W197="",0,DATEDIF(W197,Q197,"Y"))</f>
        <v>0</v>
      </c>
      <c r="Y197" s="68">
        <f>IF(W197="",0,DATEDIF(W197,Q197,"YM"))</f>
        <v>0</v>
      </c>
      <c r="Z197" s="68">
        <f>IF(W197="",0,DATEDIF(W197,Q197,"MD"))</f>
        <v>0</v>
      </c>
      <c r="AA197" s="79"/>
      <c r="AB197" s="79"/>
      <c r="AC197" s="50" t="str">
        <f t="shared" si="80"/>
        <v/>
      </c>
      <c r="AD197" s="68">
        <f t="shared" si="81"/>
        <v>0</v>
      </c>
      <c r="AE197" s="68">
        <f t="shared" si="82"/>
        <v>0</v>
      </c>
      <c r="AF197" s="68">
        <f t="shared" si="83"/>
        <v>0</v>
      </c>
      <c r="AG197" s="79"/>
      <c r="AH197" s="108" t="s">
        <v>138</v>
      </c>
      <c r="AI197" s="49" t="str">
        <f>IF(AH197="นิติศาสตร์","K5-LAW","K5-POLICY")</f>
        <v>K5-LAW</v>
      </c>
      <c r="AJ197" s="72" t="str">
        <f>_xlfn.IFS(B197="","",AND(AI197="K5-LAW",AH197="นิติศาสตร์",L197="S2",U197="",AA197=""),Q197,AND(AI197="K5-LAW",AH197="นิติศาสตร์",L197="S1",U197="",AA197=""),EDATE(Q197,12),AND(AI197="K5-LAW",AH197="นิติศาสตร์",OR(L197="M2",L197="K4"),U197="",AA197=""),EDATE(Q197,12*2),AND(AI197="K5-LAW",AH197="นิติศาสตร์",OR(AA197="M2",AA197="K4"),AD197&gt;=2,OR(AC197&lt;W197,AC197&lt;Q197)),EDATE(AC197,12*2),AND(AI197="K5-LAW",AH197="นิติศาสตร์",AA197="S1",AD197&gt;=1,OR(AC197&lt;W197,AC197&lt;Q197)),EDATE(AC197,12),AND(AI197="K5-LAW",AH197="นิติศาสตร์",OR(U197="M2",U197="K4"),X197&gt;=2,W197&lt;Q197),EDATE(W197,12*2),AND(AI197="K5-LAW",AH197="นิติศาสตร์",U197="S1",X197&gt;=1,W197&lt;Q197),EDATE(W197,12),AND(AI197="K5-LAW",AH197="นิติศาสตร์",OR(U197="S2",U197="K5")),W197,AND(AI197="K5-LAW",AH197="นิติศาสตร์",OR(L197="M2",L197="K4"),R197&gt;=2),EDATE(Q197,12*2),AND(AI197="K5-LAW",AH197="นิติศาสตร์",L197="S1",R197&gt;=1),EDATE(Q197,12),AND(AI197="K5-LAW",AH197="นิติศาสตร์",OR(L197="S2",L197="K5")),Q197,AND(AI197="K5-POLICY",AH197&lt;&gt;"นิติศาสตร์",L197="S2",U197="",AA197=""),Q197,AND(AI197="K5-POLICY",AH197&lt;&gt;"นิติศาสตร์",L197="S1",U197="",AA197=""),EDATE(Q197,12),AND(AI197="K5-POLICY",AH197&lt;&gt;"นิติศาสตร์",OR(L197="M2",L197="K4"),U197="",AA197=""),EDATE(Q197,12*2),AND(AI197="K5-POLICY",AH197&lt;&gt;"นิติศาสตร์",OR(AA197="M2",AA197="K4"),AD197&gt;=2,OR(AC197&lt;W197,AC197&lt;Q197)),EDATE(AC197,12*2),AND(AI197="K5-POLICY",AH197&lt;&gt;"นิติศาสตร์",AA197="S1",AD197&gt;=1,OR(AC197&lt;W197,AC197&lt;Q197)),EDATE(AC197,12),AND(AI197="K5-POLICY",AH197&lt;&gt;"นิติศาสตร์",OR(U197="M2",U197="K4"),X197&gt;=2,W197&lt;Q197),EDATE(W197,12*2),AND(AI197="K5-POLICY",AH197&lt;&gt;"นิติศาสตร์",U197="S1",X197&gt;=1,W197&lt;Q197),EDATE(W197,12),AND(AI197="K5-POLICY",AH197&lt;&gt;"นิติศาสตร์",OR(U197="S2",U197="K5")),W197,AND(AI197="K5-POLICY",AH197&lt;&gt;"นิติศาสตร์",OR(L197="M2",L197="K4"),R197&gt;=2),EDATE(Q197,12*2),AND(AI197="K5-POLICY",AH197&lt;&gt;"นิติศาสตร์",L197="S1",R197&gt;=1),EDATE(Q197,12),AND(AI197="K5-POLICY",AH197&lt;&gt;"นิติศาสตร์",OR(L197="S2",L197="K5")),Q197,TRUE,"Check Data")</f>
        <v/>
      </c>
      <c r="AK197" s="75" t="str">
        <f t="shared" si="72"/>
        <v>Check Data</v>
      </c>
      <c r="AL197" s="76" t="str">
        <f t="shared" si="78"/>
        <v>Check Data</v>
      </c>
      <c r="AM197" s="50" t="str">
        <f t="shared" si="73"/>
        <v>Check Data</v>
      </c>
      <c r="AN197" s="49" t="str">
        <f>IF(B197="","",IF(L197="S1","S1",INDEX(#REF!,#REF!)))</f>
        <v/>
      </c>
      <c r="AO197" s="49" t="str">
        <f>L197</f>
        <v>M2</v>
      </c>
      <c r="AP197" s="50" t="b">
        <f>L197=AN197</f>
        <v>0</v>
      </c>
      <c r="AQ197" s="50"/>
    </row>
    <row r="198" spans="1:43" ht="21.75">
      <c r="A198" s="49">
        <v>196</v>
      </c>
      <c r="B198" s="50"/>
      <c r="C198" s="50"/>
      <c r="D198" s="50" t="s">
        <v>139</v>
      </c>
      <c r="E198" s="50" t="e">
        <f>INDEX(#REF!,#REF!)</f>
        <v>#REF!</v>
      </c>
      <c r="F198" s="49" t="s">
        <v>235</v>
      </c>
      <c r="G198" s="49" t="str">
        <f t="shared" ref="G198:G202" si="84">IF(F198="","",TEXT(EDATE(F198,-543*12),"dd/mm/yyyy"))</f>
        <v>02/09/1991</v>
      </c>
      <c r="H198" s="50">
        <f t="shared" si="75"/>
        <v>33</v>
      </c>
      <c r="I198" s="50">
        <f t="shared" si="76"/>
        <v>9</v>
      </c>
      <c r="J198" s="50">
        <f t="shared" si="77"/>
        <v>18</v>
      </c>
      <c r="K198" s="56"/>
      <c r="L198" s="49" t="s">
        <v>136</v>
      </c>
      <c r="M198" s="64"/>
      <c r="N198" s="49" t="s">
        <v>427</v>
      </c>
      <c r="O198" s="49">
        <v>2572</v>
      </c>
      <c r="P198" s="65" t="s">
        <v>216</v>
      </c>
      <c r="Q198" s="49" t="str">
        <f t="shared" si="66"/>
        <v>21/12/2023</v>
      </c>
      <c r="R198" s="68">
        <f>IF(Q198="",0,DATEDIF(Q198,$C$1,"Y"))</f>
        <v>1</v>
      </c>
      <c r="S198" s="68">
        <f>IF(Q198="",0,DATEDIF(Q198,$C$1,"YM"))</f>
        <v>5</v>
      </c>
      <c r="T198" s="68">
        <f>IF(Q198="",0,DATEDIF(Q198,$C$1,"MD"))</f>
        <v>30</v>
      </c>
      <c r="U198" s="65"/>
      <c r="V198" s="65"/>
      <c r="W198" s="49" t="str">
        <f t="shared" si="79"/>
        <v/>
      </c>
      <c r="X198" s="68">
        <f>IF(W198="",0,DATEDIF(W198,Q198,"Y"))</f>
        <v>0</v>
      </c>
      <c r="Y198" s="68">
        <f>IF(W198="",0,DATEDIF(W198,Q198,"YM"))</f>
        <v>0</v>
      </c>
      <c r="Z198" s="68">
        <f>IF(W198="",0,DATEDIF(W198,Q198,"MD"))</f>
        <v>0</v>
      </c>
      <c r="AA198" s="49"/>
      <c r="AB198" s="65"/>
      <c r="AC198" s="50" t="str">
        <f t="shared" si="80"/>
        <v/>
      </c>
      <c r="AD198" s="68">
        <f t="shared" si="81"/>
        <v>0</v>
      </c>
      <c r="AE198" s="68">
        <f t="shared" si="82"/>
        <v>0</v>
      </c>
      <c r="AF198" s="68">
        <f t="shared" si="83"/>
        <v>0</v>
      </c>
      <c r="AG198" s="50"/>
      <c r="AH198" s="108" t="s">
        <v>167</v>
      </c>
      <c r="AI198" s="49" t="str">
        <f>IF(AH198="นิติศาสตร์","K5-LAW","K5-POLICY")</f>
        <v>K5-POLICY</v>
      </c>
      <c r="AJ198" s="72" t="str">
        <f>_xlfn.IFS(B198="","",AND(AI198="K5-LAW",AH198="นิติศาสตร์",L198="S2",U198="",AA198=""),Q198,AND(AI198="K5-LAW",AH198="นิติศาสตร์",L198="S1",U198="",AA198=""),EDATE(Q198,12),AND(AI198="K5-LAW",AH198="นิติศาสตร์",OR(L198="M2",L198="K4"),U198="",AA198=""),EDATE(Q198,12*2),AND(AI198="K5-LAW",AH198="นิติศาสตร์",OR(AA198="M2",AA198="K4"),AD198&gt;=2,OR(AC198&lt;W198,AC198&lt;Q198)),EDATE(AC198,12*2),AND(AI198="K5-LAW",AH198="นิติศาสตร์",AA198="S1",AD198&gt;=1,OR(AC198&lt;W198,AC198&lt;Q198)),EDATE(AC198,12),AND(AI198="K5-LAW",AH198="นิติศาสตร์",OR(U198="M2",U198="K4"),X198&gt;=2,W198&lt;Q198),EDATE(W198,12*2),AND(AI198="K5-LAW",AH198="นิติศาสตร์",U198="S1",X198&gt;=1,W198&lt;Q198),EDATE(W198,12),AND(AI198="K5-LAW",AH198="นิติศาสตร์",OR(U198="S2",U198="K5")),W198,AND(AI198="K5-LAW",AH198="นิติศาสตร์",OR(L198="M2",L198="K4"),R198&gt;=2),EDATE(Q198,12*2),AND(AI198="K5-LAW",AH198="นิติศาสตร์",L198="S1",R198&gt;=1),EDATE(Q198,12),AND(AI198="K5-LAW",AH198="นิติศาสตร์",OR(L198="S2",L198="K5")),Q198,AND(AI198="K5-POLICY",AH198&lt;&gt;"นิติศาสตร์",L198="S2",U198="",AA198=""),Q198,AND(AI198="K5-POLICY",AH198&lt;&gt;"นิติศาสตร์",L198="S1",U198="",AA198=""),EDATE(Q198,12),AND(AI198="K5-POLICY",AH198&lt;&gt;"นิติศาสตร์",OR(L198="M2",L198="K4"),U198="",AA198=""),EDATE(Q198,12*2),AND(AI198="K5-POLICY",AH198&lt;&gt;"นิติศาสตร์",OR(AA198="M2",AA198="K4"),AD198&gt;=2,OR(AC198&lt;W198,AC198&lt;Q198)),EDATE(AC198,12*2),AND(AI198="K5-POLICY",AH198&lt;&gt;"นิติศาสตร์",AA198="S1",AD198&gt;=1,OR(AC198&lt;W198,AC198&lt;Q198)),EDATE(AC198,12),AND(AI198="K5-POLICY",AH198&lt;&gt;"นิติศาสตร์",OR(U198="M2",U198="K4"),X198&gt;=2,W198&lt;Q198),EDATE(W198,12*2),AND(AI198="K5-POLICY",AH198&lt;&gt;"นิติศาสตร์",U198="S1",X198&gt;=1,W198&lt;Q198),EDATE(W198,12),AND(AI198="K5-POLICY",AH198&lt;&gt;"นิติศาสตร์",OR(U198="S2",U198="K5")),W198,AND(AI198="K5-POLICY",AH198&lt;&gt;"นิติศาสตร์",OR(L198="M2",L198="K4"),R198&gt;=2),EDATE(Q198,12*2),AND(AI198="K5-POLICY",AH198&lt;&gt;"นิติศาสตร์",L198="S1",R198&gt;=1),EDATE(Q198,12),AND(AI198="K5-POLICY",AH198&lt;&gt;"นิติศาสตร์",OR(L198="S2",L198="K5")),Q198,TRUE,"Check Data")</f>
        <v/>
      </c>
      <c r="AK198" s="75" t="str">
        <f t="shared" si="72"/>
        <v>Check Data</v>
      </c>
      <c r="AL198" s="76" t="str">
        <f t="shared" si="78"/>
        <v>Check Data</v>
      </c>
      <c r="AM198" s="50" t="str">
        <f t="shared" si="73"/>
        <v>Check Data</v>
      </c>
      <c r="AN198" s="49" t="str">
        <f>IF(B198="","",IF(L198="S1","S1",INDEX(#REF!,#REF!)))</f>
        <v/>
      </c>
      <c r="AO198" s="49" t="str">
        <f>L198</f>
        <v>M2</v>
      </c>
      <c r="AP198" s="50" t="b">
        <f>L198=AN198</f>
        <v>0</v>
      </c>
      <c r="AQ198" s="50"/>
    </row>
    <row r="199" spans="1:43" ht="21.75">
      <c r="A199" s="49">
        <v>197</v>
      </c>
      <c r="B199" s="50"/>
      <c r="C199" s="50"/>
      <c r="D199" s="50" t="s">
        <v>139</v>
      </c>
      <c r="E199" s="50" t="e">
        <f>INDEX(#REF!,#REF!)</f>
        <v>#REF!</v>
      </c>
      <c r="F199" s="49" t="s">
        <v>234</v>
      </c>
      <c r="G199" s="49" t="str">
        <f t="shared" si="84"/>
        <v>15/06/1994</v>
      </c>
      <c r="H199" s="50">
        <f t="shared" si="75"/>
        <v>31</v>
      </c>
      <c r="I199" s="50">
        <f t="shared" si="76"/>
        <v>0</v>
      </c>
      <c r="J199" s="50">
        <f t="shared" si="77"/>
        <v>5</v>
      </c>
      <c r="K199" s="56"/>
      <c r="L199" s="49" t="s">
        <v>136</v>
      </c>
      <c r="M199" s="64"/>
      <c r="N199" s="49" t="s">
        <v>427</v>
      </c>
      <c r="O199" s="49">
        <v>2574</v>
      </c>
      <c r="P199" s="65" t="s">
        <v>216</v>
      </c>
      <c r="Q199" s="49" t="str">
        <f t="shared" si="66"/>
        <v>21/12/2023</v>
      </c>
      <c r="R199" s="68">
        <f>IF(Q199="",0,DATEDIF(Q199,$C$1,"Y"))</f>
        <v>1</v>
      </c>
      <c r="S199" s="68">
        <f>IF(Q199="",0,DATEDIF(Q199,$C$1,"YM"))</f>
        <v>5</v>
      </c>
      <c r="T199" s="68">
        <f>IF(Q199="",0,DATEDIF(Q199,$C$1,"MD"))</f>
        <v>30</v>
      </c>
      <c r="U199" s="65"/>
      <c r="V199" s="65"/>
      <c r="W199" s="49" t="str">
        <f t="shared" si="79"/>
        <v/>
      </c>
      <c r="X199" s="68">
        <f>IF(W199="",0,DATEDIF(W199,Q199,"Y"))</f>
        <v>0</v>
      </c>
      <c r="Y199" s="68">
        <f>IF(W199="",0,DATEDIF(W199,Q199,"YM"))</f>
        <v>0</v>
      </c>
      <c r="Z199" s="68">
        <f>IF(W199="",0,DATEDIF(W199,Q199,"MD"))</f>
        <v>0</v>
      </c>
      <c r="AA199" s="49"/>
      <c r="AB199" s="65"/>
      <c r="AC199" s="50" t="str">
        <f t="shared" si="80"/>
        <v/>
      </c>
      <c r="AD199" s="68">
        <f t="shared" si="81"/>
        <v>0</v>
      </c>
      <c r="AE199" s="68">
        <f t="shared" si="82"/>
        <v>0</v>
      </c>
      <c r="AF199" s="68">
        <f t="shared" si="83"/>
        <v>0</v>
      </c>
      <c r="AG199" s="50"/>
      <c r="AH199" s="108" t="s">
        <v>167</v>
      </c>
      <c r="AI199" s="49" t="str">
        <f>IF(AH199="นิติศาสตร์","K5-LAW","K5-POLICY")</f>
        <v>K5-POLICY</v>
      </c>
      <c r="AJ199" s="72" t="str">
        <f>_xlfn.IFS(B199="","",AND(AI199="K5-LAW",AH199="นิติศาสตร์",L199="S2",U199="",AA199=""),Q199,AND(AI199="K5-LAW",AH199="นิติศาสตร์",L199="S1",U199="",AA199=""),EDATE(Q199,12),AND(AI199="K5-LAW",AH199="นิติศาสตร์",OR(L199="M2",L199="K4"),U199="",AA199=""),EDATE(Q199,12*2),AND(AI199="K5-LAW",AH199="นิติศาสตร์",OR(AA199="M2",AA199="K4"),AD199&gt;=2,OR(AC199&lt;W199,AC199&lt;Q199)),EDATE(AC199,12*2),AND(AI199="K5-LAW",AH199="นิติศาสตร์",AA199="S1",AD199&gt;=1,OR(AC199&lt;W199,AC199&lt;Q199)),EDATE(AC199,12),AND(AI199="K5-LAW",AH199="นิติศาสตร์",OR(U199="M2",U199="K4"),X199&gt;=2,W199&lt;Q199),EDATE(W199,12*2),AND(AI199="K5-LAW",AH199="นิติศาสตร์",U199="S1",X199&gt;=1,W199&lt;Q199),EDATE(W199,12),AND(AI199="K5-LAW",AH199="นิติศาสตร์",OR(U199="S2",U199="K5")),W199,AND(AI199="K5-LAW",AH199="นิติศาสตร์",OR(L199="M2",L199="K4"),R199&gt;=2),EDATE(Q199,12*2),AND(AI199="K5-LAW",AH199="นิติศาสตร์",L199="S1",R199&gt;=1),EDATE(Q199,12),AND(AI199="K5-LAW",AH199="นิติศาสตร์",OR(L199="S2",L199="K5")),Q199,AND(AI199="K5-POLICY",AH199&lt;&gt;"นิติศาสตร์",L199="S2",U199="",AA199=""),Q199,AND(AI199="K5-POLICY",AH199&lt;&gt;"นิติศาสตร์",L199="S1",U199="",AA199=""),EDATE(Q199,12),AND(AI199="K5-POLICY",AH199&lt;&gt;"นิติศาสตร์",OR(L199="M2",L199="K4"),U199="",AA199=""),EDATE(Q199,12*2),AND(AI199="K5-POLICY",AH199&lt;&gt;"นิติศาสตร์",OR(AA199="M2",AA199="K4"),AD199&gt;=2,OR(AC199&lt;W199,AC199&lt;Q199)),EDATE(AC199,12*2),AND(AI199="K5-POLICY",AH199&lt;&gt;"นิติศาสตร์",AA199="S1",AD199&gt;=1,OR(AC199&lt;W199,AC199&lt;Q199)),EDATE(AC199,12),AND(AI199="K5-POLICY",AH199&lt;&gt;"นิติศาสตร์",OR(U199="M2",U199="K4"),X199&gt;=2,W199&lt;Q199),EDATE(W199,12*2),AND(AI199="K5-POLICY",AH199&lt;&gt;"นิติศาสตร์",U199="S1",X199&gt;=1,W199&lt;Q199),EDATE(W199,12),AND(AI199="K5-POLICY",AH199&lt;&gt;"นิติศาสตร์",OR(U199="S2",U199="K5")),W199,AND(AI199="K5-POLICY",AH199&lt;&gt;"นิติศาสตร์",OR(L199="M2",L199="K4"),R199&gt;=2),EDATE(Q199,12*2),AND(AI199="K5-POLICY",AH199&lt;&gt;"นิติศาสตร์",L199="S1",R199&gt;=1),EDATE(Q199,12),AND(AI199="K5-POLICY",AH199&lt;&gt;"นิติศาสตร์",OR(L199="S2",L199="K5")),Q199,TRUE,"Check Data")</f>
        <v/>
      </c>
      <c r="AK199" s="75" t="str">
        <f t="shared" si="72"/>
        <v>Check Data</v>
      </c>
      <c r="AL199" s="76" t="str">
        <f t="shared" si="78"/>
        <v>Check Data</v>
      </c>
      <c r="AM199" s="50" t="str">
        <f t="shared" si="73"/>
        <v>Check Data</v>
      </c>
      <c r="AN199" s="49" t="str">
        <f>IF(B199="","",IF(L199="S1","S1",INDEX(#REF!,#REF!)))</f>
        <v/>
      </c>
      <c r="AO199" s="49" t="str">
        <f>L199</f>
        <v>M2</v>
      </c>
      <c r="AP199" s="50" t="b">
        <f>L199=AN199</f>
        <v>0</v>
      </c>
      <c r="AQ199" s="50"/>
    </row>
    <row r="200" spans="1:43" ht="21.75">
      <c r="A200" s="49">
        <v>198</v>
      </c>
      <c r="B200" s="50"/>
      <c r="C200" s="50"/>
      <c r="D200" s="50" t="s">
        <v>139</v>
      </c>
      <c r="E200" s="50" t="e">
        <f>INDEX(#REF!,#REF!)</f>
        <v>#REF!</v>
      </c>
      <c r="F200" s="49" t="s">
        <v>215</v>
      </c>
      <c r="G200" s="49" t="str">
        <f t="shared" si="84"/>
        <v>04/08/1993</v>
      </c>
      <c r="H200" s="50">
        <f t="shared" si="75"/>
        <v>31</v>
      </c>
      <c r="I200" s="50">
        <f t="shared" si="76"/>
        <v>10</v>
      </c>
      <c r="J200" s="50">
        <f t="shared" si="77"/>
        <v>16</v>
      </c>
      <c r="K200" s="56"/>
      <c r="L200" s="49" t="s">
        <v>136</v>
      </c>
      <c r="M200" s="64"/>
      <c r="N200" s="49" t="s">
        <v>427</v>
      </c>
      <c r="O200" s="49">
        <v>2568</v>
      </c>
      <c r="P200" s="65" t="s">
        <v>216</v>
      </c>
      <c r="Q200" s="49" t="str">
        <f t="shared" si="66"/>
        <v>21/12/2023</v>
      </c>
      <c r="R200" s="68">
        <f>IF(Q200="",0,DATEDIF(Q200,$C$1,"Y"))</f>
        <v>1</v>
      </c>
      <c r="S200" s="68">
        <f>IF(Q200="",0,DATEDIF(Q200,$C$1,"YM"))</f>
        <v>5</v>
      </c>
      <c r="T200" s="68">
        <f>IF(Q200="",0,DATEDIF(Q200,$C$1,"MD"))</f>
        <v>30</v>
      </c>
      <c r="U200" s="65"/>
      <c r="V200" s="65"/>
      <c r="W200" s="49" t="str">
        <f t="shared" si="79"/>
        <v/>
      </c>
      <c r="X200" s="68">
        <f>IF(W200="",0,DATEDIF(W200,Q200,"Y"))</f>
        <v>0</v>
      </c>
      <c r="Y200" s="68">
        <f>IF(W200="",0,DATEDIF(W200,Q200,"YM"))</f>
        <v>0</v>
      </c>
      <c r="Z200" s="68">
        <f>IF(W200="",0,DATEDIF(W200,Q200,"MD"))</f>
        <v>0</v>
      </c>
      <c r="AA200" s="49"/>
      <c r="AB200" s="65"/>
      <c r="AC200" s="50" t="str">
        <f t="shared" si="80"/>
        <v/>
      </c>
      <c r="AD200" s="68">
        <f t="shared" si="81"/>
        <v>0</v>
      </c>
      <c r="AE200" s="68">
        <f t="shared" si="82"/>
        <v>0</v>
      </c>
      <c r="AF200" s="68">
        <f t="shared" si="83"/>
        <v>0</v>
      </c>
      <c r="AG200" s="50"/>
      <c r="AH200" s="108" t="s">
        <v>138</v>
      </c>
      <c r="AI200" s="49" t="str">
        <f>IF(AH200="นิติศาสตร์","K5-LAW","K5-POLICY")</f>
        <v>K5-LAW</v>
      </c>
      <c r="AJ200" s="72" t="str">
        <f>_xlfn.IFS(B200="","",AND(AI200="K5-LAW",AH200="นิติศาสตร์",L200="S2",U200="",AA200=""),Q200,AND(AI200="K5-LAW",AH200="นิติศาสตร์",L200="S1",U200="",AA200=""),EDATE(Q200,12),AND(AI200="K5-LAW",AH200="นิติศาสตร์",OR(L200="M2",L200="K4"),U200="",AA200=""),EDATE(Q200,12*2),AND(AI200="K5-LAW",AH200="นิติศาสตร์",OR(AA200="M2",AA200="K4"),AD200&gt;=2,OR(AC200&lt;W200,AC200&lt;Q200)),EDATE(AC200,12*2),AND(AI200="K5-LAW",AH200="นิติศาสตร์",AA200="S1",AD200&gt;=1,OR(AC200&lt;W200,AC200&lt;Q200)),EDATE(AC200,12),AND(AI200="K5-LAW",AH200="นิติศาสตร์",OR(U200="M2",U200="K4"),X200&gt;=2,W200&lt;Q200),EDATE(W200,12*2),AND(AI200="K5-LAW",AH200="นิติศาสตร์",U200="S1",X200&gt;=1,W200&lt;Q200),EDATE(W200,12),AND(AI200="K5-LAW",AH200="นิติศาสตร์",OR(U200="S2",U200="K5")),W200,AND(AI200="K5-LAW",AH200="นิติศาสตร์",OR(L200="M2",L200="K4"),R200&gt;=2),EDATE(Q200,12*2),AND(AI200="K5-LAW",AH200="นิติศาสตร์",L200="S1",R200&gt;=1),EDATE(Q200,12),AND(AI200="K5-LAW",AH200="นิติศาสตร์",OR(L200="S2",L200="K5")),Q200,AND(AI200="K5-POLICY",AH200&lt;&gt;"นิติศาสตร์",L200="S2",U200="",AA200=""),Q200,AND(AI200="K5-POLICY",AH200&lt;&gt;"นิติศาสตร์",L200="S1",U200="",AA200=""),EDATE(Q200,12),AND(AI200="K5-POLICY",AH200&lt;&gt;"นิติศาสตร์",OR(L200="M2",L200="K4"),U200="",AA200=""),EDATE(Q200,12*2),AND(AI200="K5-POLICY",AH200&lt;&gt;"นิติศาสตร์",OR(AA200="M2",AA200="K4"),AD200&gt;=2,OR(AC200&lt;W200,AC200&lt;Q200)),EDATE(AC200,12*2),AND(AI200="K5-POLICY",AH200&lt;&gt;"นิติศาสตร์",AA200="S1",AD200&gt;=1,OR(AC200&lt;W200,AC200&lt;Q200)),EDATE(AC200,12),AND(AI200="K5-POLICY",AH200&lt;&gt;"นิติศาสตร์",OR(U200="M2",U200="K4"),X200&gt;=2,W200&lt;Q200),EDATE(W200,12*2),AND(AI200="K5-POLICY",AH200&lt;&gt;"นิติศาสตร์",U200="S1",X200&gt;=1,W200&lt;Q200),EDATE(W200,12),AND(AI200="K5-POLICY",AH200&lt;&gt;"นิติศาสตร์",OR(U200="S2",U200="K5")),W200,AND(AI200="K5-POLICY",AH200&lt;&gt;"นิติศาสตร์",OR(L200="M2",L200="K4"),R200&gt;=2),EDATE(Q200,12*2),AND(AI200="K5-POLICY",AH200&lt;&gt;"นิติศาสตร์",L200="S1",R200&gt;=1),EDATE(Q200,12),AND(AI200="K5-POLICY",AH200&lt;&gt;"นิติศาสตร์",OR(L200="S2",L200="K5")),Q200,TRUE,"Check Data")</f>
        <v/>
      </c>
      <c r="AK200" s="75" t="str">
        <f t="shared" si="72"/>
        <v>Check Data</v>
      </c>
      <c r="AL200" s="76" t="str">
        <f t="shared" si="78"/>
        <v>Check Data</v>
      </c>
      <c r="AM200" s="50" t="str">
        <f t="shared" si="73"/>
        <v>Check Data</v>
      </c>
      <c r="AN200" s="49" t="str">
        <f>IF(B200="","",IF(L200="S1","S1",INDEX(#REF!,#REF!)))</f>
        <v/>
      </c>
      <c r="AO200" s="49" t="str">
        <f>L200</f>
        <v>M2</v>
      </c>
      <c r="AP200" s="50" t="b">
        <f>L200=AN200</f>
        <v>0</v>
      </c>
      <c r="AQ200" s="50"/>
    </row>
    <row r="201" spans="1:43" ht="21.75">
      <c r="A201" s="49">
        <v>199</v>
      </c>
      <c r="B201" s="50"/>
      <c r="C201" s="50"/>
      <c r="D201" s="50" t="s">
        <v>139</v>
      </c>
      <c r="E201" s="50" t="e">
        <f>INDEX(#REF!,#REF!)</f>
        <v>#REF!</v>
      </c>
      <c r="F201" s="49" t="s">
        <v>222</v>
      </c>
      <c r="G201" s="49" t="str">
        <f t="shared" si="84"/>
        <v>20/04/1989</v>
      </c>
      <c r="H201" s="50">
        <f t="shared" si="75"/>
        <v>36</v>
      </c>
      <c r="I201" s="50">
        <f t="shared" si="76"/>
        <v>2</v>
      </c>
      <c r="J201" s="50">
        <f t="shared" si="77"/>
        <v>0</v>
      </c>
      <c r="K201" s="56"/>
      <c r="L201" s="49" t="s">
        <v>136</v>
      </c>
      <c r="M201" s="64"/>
      <c r="N201" s="49" t="s">
        <v>426</v>
      </c>
      <c r="O201" s="49">
        <v>2571</v>
      </c>
      <c r="P201" s="65" t="s">
        <v>216</v>
      </c>
      <c r="Q201" s="49" t="str">
        <f t="shared" si="66"/>
        <v>21/12/2023</v>
      </c>
      <c r="R201" s="68">
        <f>IF(Q201="",0,DATEDIF(Q201,$C$1,"Y"))</f>
        <v>1</v>
      </c>
      <c r="S201" s="68">
        <f>IF(Q201="",0,DATEDIF(Q201,$C$1,"YM"))</f>
        <v>5</v>
      </c>
      <c r="T201" s="68">
        <f>IF(Q201="",0,DATEDIF(Q201,$C$1,"MD"))</f>
        <v>30</v>
      </c>
      <c r="U201" s="65"/>
      <c r="V201" s="65"/>
      <c r="W201" s="49" t="str">
        <f t="shared" si="79"/>
        <v/>
      </c>
      <c r="X201" s="68">
        <f>IF(W201="",0,DATEDIF(W201,Q201,"Y"))</f>
        <v>0</v>
      </c>
      <c r="Y201" s="68">
        <f>IF(W201="",0,DATEDIF(W201,Q201,"YM"))</f>
        <v>0</v>
      </c>
      <c r="Z201" s="68">
        <f>IF(W201="",0,DATEDIF(W201,Q201,"MD"))</f>
        <v>0</v>
      </c>
      <c r="AA201" s="49"/>
      <c r="AB201" s="65"/>
      <c r="AC201" s="50" t="str">
        <f t="shared" si="80"/>
        <v/>
      </c>
      <c r="AD201" s="68">
        <f t="shared" si="81"/>
        <v>0</v>
      </c>
      <c r="AE201" s="68">
        <f t="shared" si="82"/>
        <v>0</v>
      </c>
      <c r="AF201" s="68">
        <f t="shared" si="83"/>
        <v>0</v>
      </c>
      <c r="AG201" s="50"/>
      <c r="AH201" s="108" t="s">
        <v>138</v>
      </c>
      <c r="AI201" s="49" t="str">
        <f>IF(AH201="นิติศาสตร์","K5-LAW","K5-POLICY")</f>
        <v>K5-LAW</v>
      </c>
      <c r="AJ201" s="72" t="str">
        <f>_xlfn.IFS(B201="","",AND(AI201="K5-LAW",AH201="นิติศาสตร์",L201="S2",U201="",AA201=""),Q201,AND(AI201="K5-LAW",AH201="นิติศาสตร์",L201="S1",U201="",AA201=""),EDATE(Q201,12),AND(AI201="K5-LAW",AH201="นิติศาสตร์",OR(L201="M2",L201="K4"),U201="",AA201=""),EDATE(Q201,12*2),AND(AI201="K5-LAW",AH201="นิติศาสตร์",OR(AA201="M2",AA201="K4"),AD201&gt;=2,OR(AC201&lt;W201,AC201&lt;Q201)),EDATE(AC201,12*2),AND(AI201="K5-LAW",AH201="นิติศาสตร์",AA201="S1",AD201&gt;=1,OR(AC201&lt;W201,AC201&lt;Q201)),EDATE(AC201,12),AND(AI201="K5-LAW",AH201="นิติศาสตร์",OR(U201="M2",U201="K4"),X201&gt;=2,W201&lt;Q201),EDATE(W201,12*2),AND(AI201="K5-LAW",AH201="นิติศาสตร์",U201="S1",X201&gt;=1,W201&lt;Q201),EDATE(W201,12),AND(AI201="K5-LAW",AH201="นิติศาสตร์",OR(U201="S2",U201="K5")),W201,AND(AI201="K5-LAW",AH201="นิติศาสตร์",OR(L201="M2",L201="K4"),R201&gt;=2),EDATE(Q201,12*2),AND(AI201="K5-LAW",AH201="นิติศาสตร์",L201="S1",R201&gt;=1),EDATE(Q201,12),AND(AI201="K5-LAW",AH201="นิติศาสตร์",OR(L201="S2",L201="K5")),Q201,AND(AI201="K5-POLICY",AH201&lt;&gt;"นิติศาสตร์",L201="S2",U201="",AA201=""),Q201,AND(AI201="K5-POLICY",AH201&lt;&gt;"นิติศาสตร์",L201="S1",U201="",AA201=""),EDATE(Q201,12),AND(AI201="K5-POLICY",AH201&lt;&gt;"นิติศาสตร์",OR(L201="M2",L201="K4"),U201="",AA201=""),EDATE(Q201,12*2),AND(AI201="K5-POLICY",AH201&lt;&gt;"นิติศาสตร์",OR(AA201="M2",AA201="K4"),AD201&gt;=2,OR(AC201&lt;W201,AC201&lt;Q201)),EDATE(AC201,12*2),AND(AI201="K5-POLICY",AH201&lt;&gt;"นิติศาสตร์",AA201="S1",AD201&gt;=1,OR(AC201&lt;W201,AC201&lt;Q201)),EDATE(AC201,12),AND(AI201="K5-POLICY",AH201&lt;&gt;"นิติศาสตร์",OR(U201="M2",U201="K4"),X201&gt;=2,W201&lt;Q201),EDATE(W201,12*2),AND(AI201="K5-POLICY",AH201&lt;&gt;"นิติศาสตร์",U201="S1",X201&gt;=1,W201&lt;Q201),EDATE(W201,12),AND(AI201="K5-POLICY",AH201&lt;&gt;"นิติศาสตร์",OR(U201="S2",U201="K5")),W201,AND(AI201="K5-POLICY",AH201&lt;&gt;"นิติศาสตร์",OR(L201="M2",L201="K4"),R201&gt;=2),EDATE(Q201,12*2),AND(AI201="K5-POLICY",AH201&lt;&gt;"นิติศาสตร์",L201="S1",R201&gt;=1),EDATE(Q201,12),AND(AI201="K5-POLICY",AH201&lt;&gt;"นิติศาสตร์",OR(L201="S2",L201="K5")),Q201,TRUE,"Check Data")</f>
        <v/>
      </c>
      <c r="AK201" s="75" t="str">
        <f t="shared" si="72"/>
        <v>Check Data</v>
      </c>
      <c r="AL201" s="76" t="str">
        <f t="shared" si="78"/>
        <v>Check Data</v>
      </c>
      <c r="AM201" s="50" t="str">
        <f t="shared" si="73"/>
        <v>Check Data</v>
      </c>
      <c r="AN201" s="49" t="str">
        <f>IF(B201="","",IF(L201="S1","S1",INDEX(#REF!,#REF!)))</f>
        <v/>
      </c>
      <c r="AO201" s="49" t="str">
        <f>L201</f>
        <v>M2</v>
      </c>
      <c r="AP201" s="50" t="b">
        <f>L201=AN201</f>
        <v>0</v>
      </c>
      <c r="AQ201" s="50"/>
    </row>
    <row r="202" spans="1:43" ht="21.75">
      <c r="A202" s="49">
        <v>200</v>
      </c>
      <c r="B202" s="50"/>
      <c r="C202" s="50"/>
      <c r="D202" s="50" t="s">
        <v>139</v>
      </c>
      <c r="E202" s="50" t="e">
        <f>INDEX(#REF!,#REF!)</f>
        <v>#REF!</v>
      </c>
      <c r="F202" s="49" t="s">
        <v>231</v>
      </c>
      <c r="G202" s="49" t="str">
        <f t="shared" si="84"/>
        <v>15/05/1995</v>
      </c>
      <c r="H202" s="50">
        <f t="shared" si="75"/>
        <v>30</v>
      </c>
      <c r="I202" s="50">
        <f t="shared" si="76"/>
        <v>1</v>
      </c>
      <c r="J202" s="50">
        <f t="shared" si="77"/>
        <v>5</v>
      </c>
      <c r="K202" s="59"/>
      <c r="L202" s="49" t="s">
        <v>136</v>
      </c>
      <c r="M202" s="64"/>
      <c r="N202" s="49" t="s">
        <v>426</v>
      </c>
      <c r="O202" s="49">
        <v>2572</v>
      </c>
      <c r="P202" s="65" t="s">
        <v>216</v>
      </c>
      <c r="Q202" s="49" t="str">
        <f t="shared" si="66"/>
        <v>21/12/2023</v>
      </c>
      <c r="R202" s="68">
        <f>IF(Q202="",0,DATEDIF(Q202,$C$1,"Y"))</f>
        <v>1</v>
      </c>
      <c r="S202" s="68">
        <f>IF(Q202="",0,DATEDIF(Q202,$C$1,"YM"))</f>
        <v>5</v>
      </c>
      <c r="T202" s="68">
        <f>IF(Q202="",0,DATEDIF(Q202,$C$1,"MD"))</f>
        <v>30</v>
      </c>
      <c r="U202" s="65"/>
      <c r="V202" s="65"/>
      <c r="W202" s="49" t="str">
        <f t="shared" si="79"/>
        <v/>
      </c>
      <c r="X202" s="68">
        <f>IF(W202="",0,DATEDIF(W202,Q202,"Y"))</f>
        <v>0</v>
      </c>
      <c r="Y202" s="68">
        <f>IF(W202="",0,DATEDIF(W202,Q202,"YM"))</f>
        <v>0</v>
      </c>
      <c r="Z202" s="68">
        <f>IF(W202="",0,DATEDIF(W202,Q202,"MD"))</f>
        <v>0</v>
      </c>
      <c r="AA202" s="49"/>
      <c r="AB202" s="65"/>
      <c r="AC202" s="50" t="str">
        <f t="shared" si="80"/>
        <v/>
      </c>
      <c r="AD202" s="68">
        <f t="shared" si="81"/>
        <v>0</v>
      </c>
      <c r="AE202" s="68">
        <f t="shared" si="82"/>
        <v>0</v>
      </c>
      <c r="AF202" s="68">
        <f t="shared" si="83"/>
        <v>0</v>
      </c>
      <c r="AG202" s="50"/>
      <c r="AH202" s="108" t="s">
        <v>138</v>
      </c>
      <c r="AI202" s="49" t="str">
        <f>IF(AH202="นิติศาสตร์","K5-LAW","K5-POLICY")</f>
        <v>K5-LAW</v>
      </c>
      <c r="AJ202" s="72" t="str">
        <f>_xlfn.IFS(B202="","",AND(AI202="K5-LAW",AH202="นิติศาสตร์",L202="S2",U202="",AA202=""),Q202,AND(AI202="K5-LAW",AH202="นิติศาสตร์",L202="S1",U202="",AA202=""),EDATE(Q202,12),AND(AI202="K5-LAW",AH202="นิติศาสตร์",OR(L202="M2",L202="K4"),U202="",AA202=""),EDATE(Q202,12*2),AND(AI202="K5-LAW",AH202="นิติศาสตร์",OR(AA202="M2",AA202="K4"),AD202&gt;=2,OR(AC202&lt;W202,AC202&lt;Q202)),EDATE(AC202,12*2),AND(AI202="K5-LAW",AH202="นิติศาสตร์",AA202="S1",AD202&gt;=1,OR(AC202&lt;W202,AC202&lt;Q202)),EDATE(AC202,12),AND(AI202="K5-LAW",AH202="นิติศาสตร์",OR(U202="M2",U202="K4"),X202&gt;=2,W202&lt;Q202),EDATE(W202,12*2),AND(AI202="K5-LAW",AH202="นิติศาสตร์",U202="S1",X202&gt;=1,W202&lt;Q202),EDATE(W202,12),AND(AI202="K5-LAW",AH202="นิติศาสตร์",OR(U202="S2",U202="K5")),W202,AND(AI202="K5-LAW",AH202="นิติศาสตร์",OR(L202="M2",L202="K4"),R202&gt;=2),EDATE(Q202,12*2),AND(AI202="K5-LAW",AH202="นิติศาสตร์",L202="S1",R202&gt;=1),EDATE(Q202,12),AND(AI202="K5-LAW",AH202="นิติศาสตร์",OR(L202="S2",L202="K5")),Q202,AND(AI202="K5-POLICY",AH202&lt;&gt;"นิติศาสตร์",L202="S2",U202="",AA202=""),Q202,AND(AI202="K5-POLICY",AH202&lt;&gt;"นิติศาสตร์",L202="S1",U202="",AA202=""),EDATE(Q202,12),AND(AI202="K5-POLICY",AH202&lt;&gt;"นิติศาสตร์",OR(L202="M2",L202="K4"),U202="",AA202=""),EDATE(Q202,12*2),AND(AI202="K5-POLICY",AH202&lt;&gt;"นิติศาสตร์",OR(AA202="M2",AA202="K4"),AD202&gt;=2,OR(AC202&lt;W202,AC202&lt;Q202)),EDATE(AC202,12*2),AND(AI202="K5-POLICY",AH202&lt;&gt;"นิติศาสตร์",AA202="S1",AD202&gt;=1,OR(AC202&lt;W202,AC202&lt;Q202)),EDATE(AC202,12),AND(AI202="K5-POLICY",AH202&lt;&gt;"นิติศาสตร์",OR(U202="M2",U202="K4"),X202&gt;=2,W202&lt;Q202),EDATE(W202,12*2),AND(AI202="K5-POLICY",AH202&lt;&gt;"นิติศาสตร์",U202="S1",X202&gt;=1,W202&lt;Q202),EDATE(W202,12),AND(AI202="K5-POLICY",AH202&lt;&gt;"นิติศาสตร์",OR(U202="S2",U202="K5")),W202,AND(AI202="K5-POLICY",AH202&lt;&gt;"นิติศาสตร์",OR(L202="M2",L202="K4"),R202&gt;=2),EDATE(Q202,12*2),AND(AI202="K5-POLICY",AH202&lt;&gt;"นิติศาสตร์",L202="S1",R202&gt;=1),EDATE(Q202,12),AND(AI202="K5-POLICY",AH202&lt;&gt;"นิติศาสตร์",OR(L202="S2",L202="K5")),Q202,TRUE,"Check Data")</f>
        <v/>
      </c>
      <c r="AK202" s="75" t="str">
        <f t="shared" si="72"/>
        <v>Check Data</v>
      </c>
      <c r="AL202" s="76" t="str">
        <f t="shared" si="78"/>
        <v>Check Data</v>
      </c>
      <c r="AM202" s="50" t="str">
        <f t="shared" si="73"/>
        <v>Check Data</v>
      </c>
      <c r="AN202" s="49" t="str">
        <f>IF(B202="","",IF(L202="S1","S1",INDEX(#REF!,#REF!)))</f>
        <v/>
      </c>
      <c r="AO202" s="49" t="str">
        <f>L202</f>
        <v>M2</v>
      </c>
      <c r="AP202" s="50" t="b">
        <f>L202=AN202</f>
        <v>0</v>
      </c>
      <c r="AQ202" s="50"/>
    </row>
    <row r="203" spans="1:43" ht="21.75">
      <c r="A203" s="49">
        <v>201</v>
      </c>
      <c r="B203" s="50"/>
      <c r="C203" s="52"/>
      <c r="D203" s="50" t="s">
        <v>142</v>
      </c>
      <c r="E203" s="50" t="e">
        <f>INDEX(#REF!,#REF!)</f>
        <v>#REF!</v>
      </c>
      <c r="F203" s="79"/>
      <c r="G203" s="79"/>
      <c r="H203" s="50">
        <f t="shared" si="75"/>
        <v>0</v>
      </c>
      <c r="I203" s="50">
        <f t="shared" si="76"/>
        <v>0</v>
      </c>
      <c r="J203" s="50">
        <f t="shared" si="77"/>
        <v>0</v>
      </c>
      <c r="K203" s="79"/>
      <c r="L203" s="49" t="s">
        <v>136</v>
      </c>
      <c r="M203" s="79"/>
      <c r="N203" s="79"/>
      <c r="O203" s="79"/>
      <c r="P203" s="65" t="s">
        <v>433</v>
      </c>
      <c r="Q203" s="49" t="str">
        <f t="shared" si="66"/>
        <v>23/04/2024</v>
      </c>
      <c r="R203" s="68">
        <f>IF(Q203="",0,DATEDIF(Q203,$C$1,"Y"))</f>
        <v>1</v>
      </c>
      <c r="S203" s="68">
        <f>IF(Q203="",0,DATEDIF(Q203,$C$1,"YM"))</f>
        <v>1</v>
      </c>
      <c r="T203" s="68">
        <f>IF(Q203="",0,DATEDIF(Q203,$C$1,"MD"))</f>
        <v>28</v>
      </c>
      <c r="U203" s="65"/>
      <c r="V203" s="83"/>
      <c r="W203" s="49" t="str">
        <f t="shared" si="79"/>
        <v/>
      </c>
      <c r="X203" s="68">
        <f>IF(W203="",0,DATEDIF(W203,Q203,"Y"))</f>
        <v>0</v>
      </c>
      <c r="Y203" s="68">
        <f>IF(W203="",0,DATEDIF(W203,Q203,"YM"))</f>
        <v>0</v>
      </c>
      <c r="Z203" s="68">
        <f>IF(W203="",0,DATEDIF(W203,Q203,"MD"))</f>
        <v>0</v>
      </c>
      <c r="AA203" s="79"/>
      <c r="AB203" s="79"/>
      <c r="AC203" s="50" t="str">
        <f t="shared" si="80"/>
        <v/>
      </c>
      <c r="AD203" s="68">
        <f t="shared" si="81"/>
        <v>0</v>
      </c>
      <c r="AE203" s="68">
        <f t="shared" si="82"/>
        <v>0</v>
      </c>
      <c r="AF203" s="68">
        <f t="shared" si="83"/>
        <v>0</v>
      </c>
      <c r="AG203" s="79"/>
      <c r="AH203" s="108" t="s">
        <v>138</v>
      </c>
      <c r="AI203" s="49" t="str">
        <f>IF(AH203="นิติศาสตร์","K5-LAW","K5-POLICY")</f>
        <v>K5-LAW</v>
      </c>
      <c r="AJ203" s="72" t="str">
        <f>_xlfn.IFS(B203="","",AND(AI203="K5-LAW",AH203="นิติศาสตร์",L203="S2",U203="",AA203=""),Q203,AND(AI203="K5-LAW",AH203="นิติศาสตร์",L203="S1",U203="",AA203=""),EDATE(Q203,12),AND(AI203="K5-LAW",AH203="นิติศาสตร์",OR(L203="M2",L203="K4"),U203="",AA203=""),EDATE(Q203,12*2),AND(AI203="K5-LAW",AH203="นิติศาสตร์",OR(AA203="M2",AA203="K4"),AD203&gt;=2,OR(AC203&lt;W203,AC203&lt;Q203)),EDATE(AC203,12*2),AND(AI203="K5-LAW",AH203="นิติศาสตร์",AA203="S1",AD203&gt;=1,OR(AC203&lt;W203,AC203&lt;Q203)),EDATE(AC203,12),AND(AI203="K5-LAW",AH203="นิติศาสตร์",OR(U203="M2",U203="K4"),X203&gt;=2,W203&lt;Q203),EDATE(W203,12*2),AND(AI203="K5-LAW",AH203="นิติศาสตร์",U203="S1",X203&gt;=1,W203&lt;Q203),EDATE(W203,12),AND(AI203="K5-LAW",AH203="นิติศาสตร์",OR(U203="S2",U203="K5")),W203,AND(AI203="K5-LAW",AH203="นิติศาสตร์",OR(L203="M2",L203="K4"),R203&gt;=2),EDATE(Q203,12*2),AND(AI203="K5-LAW",AH203="นิติศาสตร์",L203="S1",R203&gt;=1),EDATE(Q203,12),AND(AI203="K5-LAW",AH203="นิติศาสตร์",OR(L203="S2",L203="K5")),Q203,AND(AI203="K5-POLICY",AH203&lt;&gt;"นิติศาสตร์",L203="S2",U203="",AA203=""),Q203,AND(AI203="K5-POLICY",AH203&lt;&gt;"นิติศาสตร์",L203="S1",U203="",AA203=""),EDATE(Q203,12),AND(AI203="K5-POLICY",AH203&lt;&gt;"นิติศาสตร์",OR(L203="M2",L203="K4"),U203="",AA203=""),EDATE(Q203,12*2),AND(AI203="K5-POLICY",AH203&lt;&gt;"นิติศาสตร์",OR(AA203="M2",AA203="K4"),AD203&gt;=2,OR(AC203&lt;W203,AC203&lt;Q203)),EDATE(AC203,12*2),AND(AI203="K5-POLICY",AH203&lt;&gt;"นิติศาสตร์",AA203="S1",AD203&gt;=1,OR(AC203&lt;W203,AC203&lt;Q203)),EDATE(AC203,12),AND(AI203="K5-POLICY",AH203&lt;&gt;"นิติศาสตร์",OR(U203="M2",U203="K4"),X203&gt;=2,W203&lt;Q203),EDATE(W203,12*2),AND(AI203="K5-POLICY",AH203&lt;&gt;"นิติศาสตร์",U203="S1",X203&gt;=1,W203&lt;Q203),EDATE(W203,12),AND(AI203="K5-POLICY",AH203&lt;&gt;"นิติศาสตร์",OR(U203="S2",U203="K5")),W203,AND(AI203="K5-POLICY",AH203&lt;&gt;"นิติศาสตร์",OR(L203="M2",L203="K4"),R203&gt;=2),EDATE(Q203,12*2),AND(AI203="K5-POLICY",AH203&lt;&gt;"นิติศาสตร์",L203="S1",R203&gt;=1),EDATE(Q203,12),AND(AI203="K5-POLICY",AH203&lt;&gt;"นิติศาสตร์",OR(L203="S2",L203="K5")),Q203,TRUE,"Check Data")</f>
        <v/>
      </c>
      <c r="AK203" s="75" t="str">
        <f t="shared" si="72"/>
        <v>Check Data</v>
      </c>
      <c r="AL203" s="76" t="str">
        <f t="shared" si="78"/>
        <v>Check Data</v>
      </c>
      <c r="AM203" s="50" t="str">
        <f t="shared" si="73"/>
        <v>Check Data</v>
      </c>
      <c r="AN203" s="49" t="str">
        <f>IF(B203="","",IF(L203="S1","S1",INDEX(#REF!,#REF!)))</f>
        <v/>
      </c>
      <c r="AO203" s="49" t="str">
        <f>L203</f>
        <v>M2</v>
      </c>
      <c r="AP203" s="50" t="b">
        <f>L203=AN203</f>
        <v>0</v>
      </c>
      <c r="AQ203" s="50"/>
    </row>
    <row r="204" spans="1:43" ht="21.75">
      <c r="A204" s="49">
        <v>202</v>
      </c>
      <c r="B204" s="50"/>
      <c r="C204" s="52"/>
      <c r="D204" s="50" t="s">
        <v>143</v>
      </c>
      <c r="E204" s="50" t="e">
        <f>INDEX(#REF!,#REF!)</f>
        <v>#REF!</v>
      </c>
      <c r="F204" s="79"/>
      <c r="G204" s="79"/>
      <c r="H204" s="50">
        <f t="shared" si="75"/>
        <v>0</v>
      </c>
      <c r="I204" s="50">
        <f t="shared" si="76"/>
        <v>0</v>
      </c>
      <c r="J204" s="50">
        <f t="shared" si="77"/>
        <v>0</v>
      </c>
      <c r="K204" s="79"/>
      <c r="L204" s="49" t="s">
        <v>136</v>
      </c>
      <c r="M204" s="79"/>
      <c r="N204" s="79"/>
      <c r="O204" s="79"/>
      <c r="P204" s="65" t="s">
        <v>433</v>
      </c>
      <c r="Q204" s="49" t="str">
        <f t="shared" si="66"/>
        <v>23/04/2024</v>
      </c>
      <c r="R204" s="68">
        <f>IF(Q204="",0,DATEDIF(Q204,$C$1,"Y"))</f>
        <v>1</v>
      </c>
      <c r="S204" s="68">
        <f>IF(Q204="",0,DATEDIF(Q204,$C$1,"YM"))</f>
        <v>1</v>
      </c>
      <c r="T204" s="68">
        <f>IF(Q204="",0,DATEDIF(Q204,$C$1,"MD"))</f>
        <v>28</v>
      </c>
      <c r="U204" s="65"/>
      <c r="V204" s="83"/>
      <c r="W204" s="49" t="str">
        <f t="shared" si="79"/>
        <v/>
      </c>
      <c r="X204" s="68">
        <f>IF(W204="",0,DATEDIF(W204,Q204,"Y"))</f>
        <v>0</v>
      </c>
      <c r="Y204" s="68">
        <f>IF(W204="",0,DATEDIF(W204,Q204,"YM"))</f>
        <v>0</v>
      </c>
      <c r="Z204" s="68">
        <f>IF(W204="",0,DATEDIF(W204,Q204,"MD"))</f>
        <v>0</v>
      </c>
      <c r="AA204" s="79"/>
      <c r="AB204" s="79"/>
      <c r="AC204" s="50" t="str">
        <f t="shared" si="80"/>
        <v/>
      </c>
      <c r="AD204" s="68">
        <f t="shared" si="81"/>
        <v>0</v>
      </c>
      <c r="AE204" s="68">
        <f t="shared" si="82"/>
        <v>0</v>
      </c>
      <c r="AF204" s="68">
        <f t="shared" si="83"/>
        <v>0</v>
      </c>
      <c r="AG204" s="79"/>
      <c r="AH204" s="108"/>
      <c r="AI204" s="49" t="str">
        <f>IF(AH204="นิติศาสตร์","K5-LAW","K5-POLICY")</f>
        <v>K5-POLICY</v>
      </c>
      <c r="AJ204" s="72" t="str">
        <f>_xlfn.IFS(B204="","",AND(AI204="K5-LAW",AH204="นิติศาสตร์",L204="S2",U204="",AA204=""),Q204,AND(AI204="K5-LAW",AH204="นิติศาสตร์",L204="S1",U204="",AA204=""),EDATE(Q204,12),AND(AI204="K5-LAW",AH204="นิติศาสตร์",OR(L204="M2",L204="K4"),U204="",AA204=""),EDATE(Q204,12*2),AND(AI204="K5-LAW",AH204="นิติศาสตร์",OR(AA204="M2",AA204="K4"),AD204&gt;=2,OR(AC204&lt;W204,AC204&lt;Q204)),EDATE(AC204,12*2),AND(AI204="K5-LAW",AH204="นิติศาสตร์",AA204="S1",AD204&gt;=1,OR(AC204&lt;W204,AC204&lt;Q204)),EDATE(AC204,12),AND(AI204="K5-LAW",AH204="นิติศาสตร์",OR(U204="M2",U204="K4"),X204&gt;=2,W204&lt;Q204),EDATE(W204,12*2),AND(AI204="K5-LAW",AH204="นิติศาสตร์",U204="S1",X204&gt;=1,W204&lt;Q204),EDATE(W204,12),AND(AI204="K5-LAW",AH204="นิติศาสตร์",OR(U204="S2",U204="K5")),W204,AND(AI204="K5-LAW",AH204="นิติศาสตร์",OR(L204="M2",L204="K4"),R204&gt;=2),EDATE(Q204,12*2),AND(AI204="K5-LAW",AH204="นิติศาสตร์",L204="S1",R204&gt;=1),EDATE(Q204,12),AND(AI204="K5-LAW",AH204="นิติศาสตร์",OR(L204="S2",L204="K5")),Q204,AND(AI204="K5-POLICY",AH204&lt;&gt;"นิติศาสตร์",L204="S2",U204="",AA204=""),Q204,AND(AI204="K5-POLICY",AH204&lt;&gt;"นิติศาสตร์",L204="S1",U204="",AA204=""),EDATE(Q204,12),AND(AI204="K5-POLICY",AH204&lt;&gt;"นิติศาสตร์",OR(L204="M2",L204="K4"),U204="",AA204=""),EDATE(Q204,12*2),AND(AI204="K5-POLICY",AH204&lt;&gt;"นิติศาสตร์",OR(AA204="M2",AA204="K4"),AD204&gt;=2,OR(AC204&lt;W204,AC204&lt;Q204)),EDATE(AC204,12*2),AND(AI204="K5-POLICY",AH204&lt;&gt;"นิติศาสตร์",AA204="S1",AD204&gt;=1,OR(AC204&lt;W204,AC204&lt;Q204)),EDATE(AC204,12),AND(AI204="K5-POLICY",AH204&lt;&gt;"นิติศาสตร์",OR(U204="M2",U204="K4"),X204&gt;=2,W204&lt;Q204),EDATE(W204,12*2),AND(AI204="K5-POLICY",AH204&lt;&gt;"นิติศาสตร์",U204="S1",X204&gt;=1,W204&lt;Q204),EDATE(W204,12),AND(AI204="K5-POLICY",AH204&lt;&gt;"นิติศาสตร์",OR(U204="S2",U204="K5")),W204,AND(AI204="K5-POLICY",AH204&lt;&gt;"นิติศาสตร์",OR(L204="M2",L204="K4"),R204&gt;=2),EDATE(Q204,12*2),AND(AI204="K5-POLICY",AH204&lt;&gt;"นิติศาสตร์",L204="S1",R204&gt;=1),EDATE(Q204,12),AND(AI204="K5-POLICY",AH204&lt;&gt;"นิติศาสตร์",OR(L204="S2",L204="K5")),Q204,TRUE,"Check Data")</f>
        <v/>
      </c>
      <c r="AK204" s="75" t="str">
        <f t="shared" si="72"/>
        <v>Check Data</v>
      </c>
      <c r="AL204" s="76" t="str">
        <f t="shared" si="78"/>
        <v>Check Data</v>
      </c>
      <c r="AM204" s="50" t="str">
        <f t="shared" si="73"/>
        <v>Check Data</v>
      </c>
      <c r="AN204" s="49" t="str">
        <f>IF(B204="","",IF(L204="S1","S1",INDEX(#REF!,#REF!)))</f>
        <v/>
      </c>
      <c r="AO204" s="49" t="str">
        <f>L204</f>
        <v>M2</v>
      </c>
      <c r="AP204" s="50" t="b">
        <f>L204=AN204</f>
        <v>0</v>
      </c>
      <c r="AQ204" s="50"/>
    </row>
    <row r="205" spans="1:43" ht="21.75">
      <c r="A205" s="49">
        <v>203</v>
      </c>
      <c r="B205" s="50"/>
      <c r="C205" s="52"/>
      <c r="D205" s="50" t="s">
        <v>143</v>
      </c>
      <c r="E205" s="50" t="e">
        <f>INDEX(#REF!,#REF!)</f>
        <v>#REF!</v>
      </c>
      <c r="F205" s="79"/>
      <c r="G205" s="79"/>
      <c r="H205" s="50">
        <f t="shared" si="75"/>
        <v>0</v>
      </c>
      <c r="I205" s="50">
        <f t="shared" si="76"/>
        <v>0</v>
      </c>
      <c r="J205" s="50">
        <f t="shared" si="77"/>
        <v>0</v>
      </c>
      <c r="K205" s="79"/>
      <c r="L205" s="49" t="s">
        <v>136</v>
      </c>
      <c r="M205" s="79"/>
      <c r="N205" s="79"/>
      <c r="O205" s="79"/>
      <c r="P205" s="65" t="s">
        <v>433</v>
      </c>
      <c r="Q205" s="49" t="str">
        <f t="shared" si="66"/>
        <v>23/04/2024</v>
      </c>
      <c r="R205" s="68">
        <f>IF(Q205="",0,DATEDIF(Q205,$C$1,"Y"))</f>
        <v>1</v>
      </c>
      <c r="S205" s="68">
        <f>IF(Q205="",0,DATEDIF(Q205,$C$1,"YM"))</f>
        <v>1</v>
      </c>
      <c r="T205" s="68">
        <f>IF(Q205="",0,DATEDIF(Q205,$C$1,"MD"))</f>
        <v>28</v>
      </c>
      <c r="U205" s="65"/>
      <c r="V205" s="83"/>
      <c r="W205" s="49" t="str">
        <f t="shared" si="79"/>
        <v/>
      </c>
      <c r="X205" s="68">
        <f>IF(W205="",0,DATEDIF(W205,Q205,"Y"))</f>
        <v>0</v>
      </c>
      <c r="Y205" s="68">
        <f>IF(W205="",0,DATEDIF(W205,Q205,"YM"))</f>
        <v>0</v>
      </c>
      <c r="Z205" s="68">
        <f>IF(W205="",0,DATEDIF(W205,Q205,"MD"))</f>
        <v>0</v>
      </c>
      <c r="AA205" s="79"/>
      <c r="AB205" s="79"/>
      <c r="AC205" s="50" t="str">
        <f t="shared" si="80"/>
        <v/>
      </c>
      <c r="AD205" s="68">
        <f t="shared" si="81"/>
        <v>0</v>
      </c>
      <c r="AE205" s="68">
        <f t="shared" si="82"/>
        <v>0</v>
      </c>
      <c r="AF205" s="68">
        <f t="shared" si="83"/>
        <v>0</v>
      </c>
      <c r="AG205" s="79"/>
      <c r="AH205" s="108"/>
      <c r="AI205" s="49" t="str">
        <f>IF(AH205="นิติศาสตร์","K5-LAW","K5-POLICY")</f>
        <v>K5-POLICY</v>
      </c>
      <c r="AJ205" s="72" t="str">
        <f>_xlfn.IFS(B205="","",AND(AI205="K5-LAW",AH205="นิติศาสตร์",L205="S2",U205="",AA205=""),Q205,AND(AI205="K5-LAW",AH205="นิติศาสตร์",L205="S1",U205="",AA205=""),EDATE(Q205,12),AND(AI205="K5-LAW",AH205="นิติศาสตร์",OR(L205="M2",L205="K4"),U205="",AA205=""),EDATE(Q205,12*2),AND(AI205="K5-LAW",AH205="นิติศาสตร์",OR(AA205="M2",AA205="K4"),AD205&gt;=2,OR(AC205&lt;W205,AC205&lt;Q205)),EDATE(AC205,12*2),AND(AI205="K5-LAW",AH205="นิติศาสตร์",AA205="S1",AD205&gt;=1,OR(AC205&lt;W205,AC205&lt;Q205)),EDATE(AC205,12),AND(AI205="K5-LAW",AH205="นิติศาสตร์",OR(U205="M2",U205="K4"),X205&gt;=2,W205&lt;Q205),EDATE(W205,12*2),AND(AI205="K5-LAW",AH205="นิติศาสตร์",U205="S1",X205&gt;=1,W205&lt;Q205),EDATE(W205,12),AND(AI205="K5-LAW",AH205="นิติศาสตร์",OR(U205="S2",U205="K5")),W205,AND(AI205="K5-LAW",AH205="นิติศาสตร์",OR(L205="M2",L205="K4"),R205&gt;=2),EDATE(Q205,12*2),AND(AI205="K5-LAW",AH205="นิติศาสตร์",L205="S1",R205&gt;=1),EDATE(Q205,12),AND(AI205="K5-LAW",AH205="นิติศาสตร์",OR(L205="S2",L205="K5")),Q205,AND(AI205="K5-POLICY",AH205&lt;&gt;"นิติศาสตร์",L205="S2",U205="",AA205=""),Q205,AND(AI205="K5-POLICY",AH205&lt;&gt;"นิติศาสตร์",L205="S1",U205="",AA205=""),EDATE(Q205,12),AND(AI205="K5-POLICY",AH205&lt;&gt;"นิติศาสตร์",OR(L205="M2",L205="K4"),U205="",AA205=""),EDATE(Q205,12*2),AND(AI205="K5-POLICY",AH205&lt;&gt;"นิติศาสตร์",OR(AA205="M2",AA205="K4"),AD205&gt;=2,OR(AC205&lt;W205,AC205&lt;Q205)),EDATE(AC205,12*2),AND(AI205="K5-POLICY",AH205&lt;&gt;"นิติศาสตร์",AA205="S1",AD205&gt;=1,OR(AC205&lt;W205,AC205&lt;Q205)),EDATE(AC205,12),AND(AI205="K5-POLICY",AH205&lt;&gt;"นิติศาสตร์",OR(U205="M2",U205="K4"),X205&gt;=2,W205&lt;Q205),EDATE(W205,12*2),AND(AI205="K5-POLICY",AH205&lt;&gt;"นิติศาสตร์",U205="S1",X205&gt;=1,W205&lt;Q205),EDATE(W205,12),AND(AI205="K5-POLICY",AH205&lt;&gt;"นิติศาสตร์",OR(U205="S2",U205="K5")),W205,AND(AI205="K5-POLICY",AH205&lt;&gt;"นิติศาสตร์",OR(L205="M2",L205="K4"),R205&gt;=2),EDATE(Q205,12*2),AND(AI205="K5-POLICY",AH205&lt;&gt;"นิติศาสตร์",L205="S1",R205&gt;=1),EDATE(Q205,12),AND(AI205="K5-POLICY",AH205&lt;&gt;"นิติศาสตร์",OR(L205="S2",L205="K5")),Q205,TRUE,"Check Data")</f>
        <v/>
      </c>
      <c r="AK205" s="75" t="str">
        <f t="shared" si="72"/>
        <v>Check Data</v>
      </c>
      <c r="AL205" s="76" t="str">
        <f t="shared" si="78"/>
        <v>Check Data</v>
      </c>
      <c r="AM205" s="50" t="str">
        <f t="shared" si="73"/>
        <v>Check Data</v>
      </c>
      <c r="AN205" s="49" t="str">
        <f>IF(B205="","",IF(L205="S1","S1",INDEX(#REF!,#REF!)))</f>
        <v/>
      </c>
      <c r="AO205" s="49" t="str">
        <f>L205</f>
        <v>M2</v>
      </c>
      <c r="AP205" s="50" t="b">
        <f>L205=AN205</f>
        <v>0</v>
      </c>
      <c r="AQ205" s="50"/>
    </row>
    <row r="206" spans="1:43" ht="21.75">
      <c r="A206" s="49">
        <v>204</v>
      </c>
      <c r="B206" s="50"/>
      <c r="C206" s="52"/>
      <c r="D206" s="50" t="s">
        <v>143</v>
      </c>
      <c r="E206" s="50" t="e">
        <f>INDEX(#REF!,#REF!)</f>
        <v>#REF!</v>
      </c>
      <c r="F206" s="79"/>
      <c r="G206" s="79"/>
      <c r="H206" s="50">
        <f t="shared" si="75"/>
        <v>0</v>
      </c>
      <c r="I206" s="50">
        <f t="shared" si="76"/>
        <v>0</v>
      </c>
      <c r="J206" s="50">
        <f t="shared" si="77"/>
        <v>0</v>
      </c>
      <c r="K206" s="79"/>
      <c r="L206" s="49" t="s">
        <v>136</v>
      </c>
      <c r="M206" s="79"/>
      <c r="N206" s="79"/>
      <c r="O206" s="79"/>
      <c r="P206" s="65" t="s">
        <v>433</v>
      </c>
      <c r="Q206" s="49" t="str">
        <f t="shared" si="66"/>
        <v>23/04/2024</v>
      </c>
      <c r="R206" s="68">
        <f>IF(Q206="",0,DATEDIF(Q206,$C$1,"Y"))</f>
        <v>1</v>
      </c>
      <c r="S206" s="68">
        <f>IF(Q206="",0,DATEDIF(Q206,$C$1,"YM"))</f>
        <v>1</v>
      </c>
      <c r="T206" s="68">
        <f>IF(Q206="",0,DATEDIF(Q206,$C$1,"MD"))</f>
        <v>28</v>
      </c>
      <c r="U206" s="65"/>
      <c r="V206" s="83"/>
      <c r="W206" s="49" t="str">
        <f t="shared" si="79"/>
        <v/>
      </c>
      <c r="X206" s="68">
        <f>IF(W206="",0,DATEDIF(W206,Q206,"Y"))</f>
        <v>0</v>
      </c>
      <c r="Y206" s="68">
        <f>IF(W206="",0,DATEDIF(W206,Q206,"YM"))</f>
        <v>0</v>
      </c>
      <c r="Z206" s="68">
        <f>IF(W206="",0,DATEDIF(W206,Q206,"MD"))</f>
        <v>0</v>
      </c>
      <c r="AA206" s="79"/>
      <c r="AB206" s="79"/>
      <c r="AC206" s="50" t="str">
        <f t="shared" si="80"/>
        <v/>
      </c>
      <c r="AD206" s="68">
        <f t="shared" si="81"/>
        <v>0</v>
      </c>
      <c r="AE206" s="68">
        <f t="shared" si="82"/>
        <v>0</v>
      </c>
      <c r="AF206" s="68">
        <f t="shared" si="83"/>
        <v>0</v>
      </c>
      <c r="AG206" s="79"/>
      <c r="AH206" s="108"/>
      <c r="AI206" s="49" t="str">
        <f>IF(AH206="นิติศาสตร์","K5-LAW","K5-POLICY")</f>
        <v>K5-POLICY</v>
      </c>
      <c r="AJ206" s="72" t="str">
        <f>_xlfn.IFS(B206="","",AND(AI206="K5-LAW",AH206="นิติศาสตร์",L206="S2",U206="",AA206=""),Q206,AND(AI206="K5-LAW",AH206="นิติศาสตร์",L206="S1",U206="",AA206=""),EDATE(Q206,12),AND(AI206="K5-LAW",AH206="นิติศาสตร์",OR(L206="M2",L206="K4"),U206="",AA206=""),EDATE(Q206,12*2),AND(AI206="K5-LAW",AH206="นิติศาสตร์",OR(AA206="M2",AA206="K4"),AD206&gt;=2,OR(AC206&lt;W206,AC206&lt;Q206)),EDATE(AC206,12*2),AND(AI206="K5-LAW",AH206="นิติศาสตร์",AA206="S1",AD206&gt;=1,OR(AC206&lt;W206,AC206&lt;Q206)),EDATE(AC206,12),AND(AI206="K5-LAW",AH206="นิติศาสตร์",OR(U206="M2",U206="K4"),X206&gt;=2,W206&lt;Q206),EDATE(W206,12*2),AND(AI206="K5-LAW",AH206="นิติศาสตร์",U206="S1",X206&gt;=1,W206&lt;Q206),EDATE(W206,12),AND(AI206="K5-LAW",AH206="นิติศาสตร์",OR(U206="S2",U206="K5")),W206,AND(AI206="K5-LAW",AH206="นิติศาสตร์",OR(L206="M2",L206="K4"),R206&gt;=2),EDATE(Q206,12*2),AND(AI206="K5-LAW",AH206="นิติศาสตร์",L206="S1",R206&gt;=1),EDATE(Q206,12),AND(AI206="K5-LAW",AH206="นิติศาสตร์",OR(L206="S2",L206="K5")),Q206,AND(AI206="K5-POLICY",AH206&lt;&gt;"นิติศาสตร์",L206="S2",U206="",AA206=""),Q206,AND(AI206="K5-POLICY",AH206&lt;&gt;"นิติศาสตร์",L206="S1",U206="",AA206=""),EDATE(Q206,12),AND(AI206="K5-POLICY",AH206&lt;&gt;"นิติศาสตร์",OR(L206="M2",L206="K4"),U206="",AA206=""),EDATE(Q206,12*2),AND(AI206="K5-POLICY",AH206&lt;&gt;"นิติศาสตร์",OR(AA206="M2",AA206="K4"),AD206&gt;=2,OR(AC206&lt;W206,AC206&lt;Q206)),EDATE(AC206,12*2),AND(AI206="K5-POLICY",AH206&lt;&gt;"นิติศาสตร์",AA206="S1",AD206&gt;=1,OR(AC206&lt;W206,AC206&lt;Q206)),EDATE(AC206,12),AND(AI206="K5-POLICY",AH206&lt;&gt;"นิติศาสตร์",OR(U206="M2",U206="K4"),X206&gt;=2,W206&lt;Q206),EDATE(W206,12*2),AND(AI206="K5-POLICY",AH206&lt;&gt;"นิติศาสตร์",U206="S1",X206&gt;=1,W206&lt;Q206),EDATE(W206,12),AND(AI206="K5-POLICY",AH206&lt;&gt;"นิติศาสตร์",OR(U206="S2",U206="K5")),W206,AND(AI206="K5-POLICY",AH206&lt;&gt;"นิติศาสตร์",OR(L206="M2",L206="K4"),R206&gt;=2),EDATE(Q206,12*2),AND(AI206="K5-POLICY",AH206&lt;&gt;"นิติศาสตร์",L206="S1",R206&gt;=1),EDATE(Q206,12),AND(AI206="K5-POLICY",AH206&lt;&gt;"นิติศาสตร์",OR(L206="S2",L206="K5")),Q206,TRUE,"Check Data")</f>
        <v/>
      </c>
      <c r="AK206" s="75" t="str">
        <f t="shared" si="72"/>
        <v>Check Data</v>
      </c>
      <c r="AL206" s="76" t="str">
        <f t="shared" si="78"/>
        <v>Check Data</v>
      </c>
      <c r="AM206" s="50" t="str">
        <f t="shared" si="73"/>
        <v>Check Data</v>
      </c>
      <c r="AN206" s="49" t="str">
        <f>IF(B206="","",IF(L206="S1","S1",INDEX(#REF!,#REF!)))</f>
        <v/>
      </c>
      <c r="AO206" s="49" t="str">
        <f>L206</f>
        <v>M2</v>
      </c>
      <c r="AP206" s="50" t="b">
        <f>L206=AN206</f>
        <v>0</v>
      </c>
      <c r="AQ206" s="50"/>
    </row>
    <row r="207" spans="1:43" ht="21.75">
      <c r="A207" s="49">
        <v>205</v>
      </c>
      <c r="B207" s="50"/>
      <c r="C207" s="52"/>
      <c r="D207" s="50" t="s">
        <v>143</v>
      </c>
      <c r="E207" s="50" t="e">
        <f>INDEX(#REF!,#REF!)</f>
        <v>#REF!</v>
      </c>
      <c r="F207" s="79"/>
      <c r="G207" s="79"/>
      <c r="H207" s="50">
        <f t="shared" si="75"/>
        <v>0</v>
      </c>
      <c r="I207" s="50">
        <f t="shared" si="76"/>
        <v>0</v>
      </c>
      <c r="J207" s="50">
        <f t="shared" si="77"/>
        <v>0</v>
      </c>
      <c r="K207" s="79"/>
      <c r="L207" s="49" t="s">
        <v>136</v>
      </c>
      <c r="M207" s="79"/>
      <c r="N207" s="79"/>
      <c r="O207" s="79"/>
      <c r="P207" s="65" t="s">
        <v>433</v>
      </c>
      <c r="Q207" s="49" t="str">
        <f t="shared" si="66"/>
        <v>23/04/2024</v>
      </c>
      <c r="R207" s="68">
        <f>IF(Q207="",0,DATEDIF(Q207,$C$1,"Y"))</f>
        <v>1</v>
      </c>
      <c r="S207" s="68">
        <f>IF(Q207="",0,DATEDIF(Q207,$C$1,"YM"))</f>
        <v>1</v>
      </c>
      <c r="T207" s="68">
        <f>IF(Q207="",0,DATEDIF(Q207,$C$1,"MD"))</f>
        <v>28</v>
      </c>
      <c r="U207" s="65"/>
      <c r="V207" s="83"/>
      <c r="W207" s="49" t="str">
        <f t="shared" si="79"/>
        <v/>
      </c>
      <c r="X207" s="68">
        <f>IF(W207="",0,DATEDIF(W207,Q207,"Y"))</f>
        <v>0</v>
      </c>
      <c r="Y207" s="68">
        <f>IF(W207="",0,DATEDIF(W207,Q207,"YM"))</f>
        <v>0</v>
      </c>
      <c r="Z207" s="68">
        <f>IF(W207="",0,DATEDIF(W207,Q207,"MD"))</f>
        <v>0</v>
      </c>
      <c r="AA207" s="79"/>
      <c r="AB207" s="79"/>
      <c r="AC207" s="50" t="str">
        <f t="shared" si="80"/>
        <v/>
      </c>
      <c r="AD207" s="68">
        <f t="shared" si="81"/>
        <v>0</v>
      </c>
      <c r="AE207" s="68">
        <f t="shared" si="82"/>
        <v>0</v>
      </c>
      <c r="AF207" s="68">
        <f t="shared" si="83"/>
        <v>0</v>
      </c>
      <c r="AG207" s="79"/>
      <c r="AH207" s="108"/>
      <c r="AI207" s="49" t="str">
        <f>IF(AH207="นิติศาสตร์","K5-LAW","K5-POLICY")</f>
        <v>K5-POLICY</v>
      </c>
      <c r="AJ207" s="72" t="str">
        <f>_xlfn.IFS(B207="","",AND(AI207="K5-LAW",AH207="นิติศาสตร์",L207="S2",U207="",AA207=""),Q207,AND(AI207="K5-LAW",AH207="นิติศาสตร์",L207="S1",U207="",AA207=""),EDATE(Q207,12),AND(AI207="K5-LAW",AH207="นิติศาสตร์",OR(L207="M2",L207="K4"),U207="",AA207=""),EDATE(Q207,12*2),AND(AI207="K5-LAW",AH207="นิติศาสตร์",OR(AA207="M2",AA207="K4"),AD207&gt;=2,OR(AC207&lt;W207,AC207&lt;Q207)),EDATE(AC207,12*2),AND(AI207="K5-LAW",AH207="นิติศาสตร์",AA207="S1",AD207&gt;=1,OR(AC207&lt;W207,AC207&lt;Q207)),EDATE(AC207,12),AND(AI207="K5-LAW",AH207="นิติศาสตร์",OR(U207="M2",U207="K4"),X207&gt;=2,W207&lt;Q207),EDATE(W207,12*2),AND(AI207="K5-LAW",AH207="นิติศาสตร์",U207="S1",X207&gt;=1,W207&lt;Q207),EDATE(W207,12),AND(AI207="K5-LAW",AH207="นิติศาสตร์",OR(U207="S2",U207="K5")),W207,AND(AI207="K5-LAW",AH207="นิติศาสตร์",OR(L207="M2",L207="K4"),R207&gt;=2),EDATE(Q207,12*2),AND(AI207="K5-LAW",AH207="นิติศาสตร์",L207="S1",R207&gt;=1),EDATE(Q207,12),AND(AI207="K5-LAW",AH207="นิติศาสตร์",OR(L207="S2",L207="K5")),Q207,AND(AI207="K5-POLICY",AH207&lt;&gt;"นิติศาสตร์",L207="S2",U207="",AA207=""),Q207,AND(AI207="K5-POLICY",AH207&lt;&gt;"นิติศาสตร์",L207="S1",U207="",AA207=""),EDATE(Q207,12),AND(AI207="K5-POLICY",AH207&lt;&gt;"นิติศาสตร์",OR(L207="M2",L207="K4"),U207="",AA207=""),EDATE(Q207,12*2),AND(AI207="K5-POLICY",AH207&lt;&gt;"นิติศาสตร์",OR(AA207="M2",AA207="K4"),AD207&gt;=2,OR(AC207&lt;W207,AC207&lt;Q207)),EDATE(AC207,12*2),AND(AI207="K5-POLICY",AH207&lt;&gt;"นิติศาสตร์",AA207="S1",AD207&gt;=1,OR(AC207&lt;W207,AC207&lt;Q207)),EDATE(AC207,12),AND(AI207="K5-POLICY",AH207&lt;&gt;"นิติศาสตร์",OR(U207="M2",U207="K4"),X207&gt;=2,W207&lt;Q207),EDATE(W207,12*2),AND(AI207="K5-POLICY",AH207&lt;&gt;"นิติศาสตร์",U207="S1",X207&gt;=1,W207&lt;Q207),EDATE(W207,12),AND(AI207="K5-POLICY",AH207&lt;&gt;"นิติศาสตร์",OR(U207="S2",U207="K5")),W207,AND(AI207="K5-POLICY",AH207&lt;&gt;"นิติศาสตร์",OR(L207="M2",L207="K4"),R207&gt;=2),EDATE(Q207,12*2),AND(AI207="K5-POLICY",AH207&lt;&gt;"นิติศาสตร์",L207="S1",R207&gt;=1),EDATE(Q207,12),AND(AI207="K5-POLICY",AH207&lt;&gt;"นิติศาสตร์",OR(L207="S2",L207="K5")),Q207,TRUE,"Check Data")</f>
        <v/>
      </c>
      <c r="AK207" s="75" t="str">
        <f t="shared" si="72"/>
        <v>Check Data</v>
      </c>
      <c r="AL207" s="76" t="str">
        <f t="shared" si="78"/>
        <v>Check Data</v>
      </c>
      <c r="AM207" s="50" t="str">
        <f t="shared" si="73"/>
        <v>Check Data</v>
      </c>
      <c r="AN207" s="49" t="str">
        <f>IF(B207="","",IF(L207="S1","S1",INDEX(#REF!,#REF!)))</f>
        <v/>
      </c>
      <c r="AO207" s="49" t="str">
        <f>L207</f>
        <v>M2</v>
      </c>
      <c r="AP207" s="50" t="b">
        <f>L207=AN207</f>
        <v>0</v>
      </c>
      <c r="AQ207" s="50"/>
    </row>
    <row r="208" spans="1:43" ht="21.75">
      <c r="A208" s="49">
        <v>206</v>
      </c>
      <c r="B208" s="50"/>
      <c r="C208" s="52"/>
      <c r="D208" s="50" t="s">
        <v>143</v>
      </c>
      <c r="E208" s="50" t="e">
        <f>INDEX(#REF!,#REF!)</f>
        <v>#REF!</v>
      </c>
      <c r="F208" s="79"/>
      <c r="G208" s="79"/>
      <c r="H208" s="50">
        <f t="shared" si="75"/>
        <v>0</v>
      </c>
      <c r="I208" s="50">
        <f t="shared" si="76"/>
        <v>0</v>
      </c>
      <c r="J208" s="50">
        <f t="shared" si="77"/>
        <v>0</v>
      </c>
      <c r="K208" s="79"/>
      <c r="L208" s="49" t="s">
        <v>136</v>
      </c>
      <c r="M208" s="79"/>
      <c r="N208" s="79"/>
      <c r="O208" s="79"/>
      <c r="P208" s="65" t="s">
        <v>433</v>
      </c>
      <c r="Q208" s="49" t="str">
        <f t="shared" si="66"/>
        <v>23/04/2024</v>
      </c>
      <c r="R208" s="68">
        <f>IF(Q208="",0,DATEDIF(Q208,$C$1,"Y"))</f>
        <v>1</v>
      </c>
      <c r="S208" s="68">
        <f>IF(Q208="",0,DATEDIF(Q208,$C$1,"YM"))</f>
        <v>1</v>
      </c>
      <c r="T208" s="68">
        <f>IF(Q208="",0,DATEDIF(Q208,$C$1,"MD"))</f>
        <v>28</v>
      </c>
      <c r="U208" s="65"/>
      <c r="V208" s="83"/>
      <c r="W208" s="49" t="str">
        <f t="shared" si="79"/>
        <v/>
      </c>
      <c r="X208" s="68">
        <f>IF(W208="",0,DATEDIF(W208,Q208,"Y"))</f>
        <v>0</v>
      </c>
      <c r="Y208" s="68">
        <f>IF(W208="",0,DATEDIF(W208,Q208,"YM"))</f>
        <v>0</v>
      </c>
      <c r="Z208" s="68">
        <f>IF(W208="",0,DATEDIF(W208,Q208,"MD"))</f>
        <v>0</v>
      </c>
      <c r="AA208" s="79"/>
      <c r="AB208" s="79"/>
      <c r="AC208" s="50" t="str">
        <f t="shared" si="80"/>
        <v/>
      </c>
      <c r="AD208" s="68">
        <f t="shared" si="81"/>
        <v>0</v>
      </c>
      <c r="AE208" s="68">
        <f t="shared" si="82"/>
        <v>0</v>
      </c>
      <c r="AF208" s="68">
        <f t="shared" si="83"/>
        <v>0</v>
      </c>
      <c r="AG208" s="79"/>
      <c r="AH208" s="108"/>
      <c r="AI208" s="49" t="str">
        <f>IF(AH208="นิติศาสตร์","K5-LAW","K5-POLICY")</f>
        <v>K5-POLICY</v>
      </c>
      <c r="AJ208" s="72" t="str">
        <f>_xlfn.IFS(B208="","",AND(AI208="K5-LAW",AH208="นิติศาสตร์",L208="S2",U208="",AA208=""),Q208,AND(AI208="K5-LAW",AH208="นิติศาสตร์",L208="S1",U208="",AA208=""),EDATE(Q208,12),AND(AI208="K5-LAW",AH208="นิติศาสตร์",OR(L208="M2",L208="K4"),U208="",AA208=""),EDATE(Q208,12*2),AND(AI208="K5-LAW",AH208="นิติศาสตร์",OR(AA208="M2",AA208="K4"),AD208&gt;=2,OR(AC208&lt;W208,AC208&lt;Q208)),EDATE(AC208,12*2),AND(AI208="K5-LAW",AH208="นิติศาสตร์",AA208="S1",AD208&gt;=1,OR(AC208&lt;W208,AC208&lt;Q208)),EDATE(AC208,12),AND(AI208="K5-LAW",AH208="นิติศาสตร์",OR(U208="M2",U208="K4"),X208&gt;=2,W208&lt;Q208),EDATE(W208,12*2),AND(AI208="K5-LAW",AH208="นิติศาสตร์",U208="S1",X208&gt;=1,W208&lt;Q208),EDATE(W208,12),AND(AI208="K5-LAW",AH208="นิติศาสตร์",OR(U208="S2",U208="K5")),W208,AND(AI208="K5-LAW",AH208="นิติศาสตร์",OR(L208="M2",L208="K4"),R208&gt;=2),EDATE(Q208,12*2),AND(AI208="K5-LAW",AH208="นิติศาสตร์",L208="S1",R208&gt;=1),EDATE(Q208,12),AND(AI208="K5-LAW",AH208="นิติศาสตร์",OR(L208="S2",L208="K5")),Q208,AND(AI208="K5-POLICY",AH208&lt;&gt;"นิติศาสตร์",L208="S2",U208="",AA208=""),Q208,AND(AI208="K5-POLICY",AH208&lt;&gt;"นิติศาสตร์",L208="S1",U208="",AA208=""),EDATE(Q208,12),AND(AI208="K5-POLICY",AH208&lt;&gt;"นิติศาสตร์",OR(L208="M2",L208="K4"),U208="",AA208=""),EDATE(Q208,12*2),AND(AI208="K5-POLICY",AH208&lt;&gt;"นิติศาสตร์",OR(AA208="M2",AA208="K4"),AD208&gt;=2,OR(AC208&lt;W208,AC208&lt;Q208)),EDATE(AC208,12*2),AND(AI208="K5-POLICY",AH208&lt;&gt;"นิติศาสตร์",AA208="S1",AD208&gt;=1,OR(AC208&lt;W208,AC208&lt;Q208)),EDATE(AC208,12),AND(AI208="K5-POLICY",AH208&lt;&gt;"นิติศาสตร์",OR(U208="M2",U208="K4"),X208&gt;=2,W208&lt;Q208),EDATE(W208,12*2),AND(AI208="K5-POLICY",AH208&lt;&gt;"นิติศาสตร์",U208="S1",X208&gt;=1,W208&lt;Q208),EDATE(W208,12),AND(AI208="K5-POLICY",AH208&lt;&gt;"นิติศาสตร์",OR(U208="S2",U208="K5")),W208,AND(AI208="K5-POLICY",AH208&lt;&gt;"นิติศาสตร์",OR(L208="M2",L208="K4"),R208&gt;=2),EDATE(Q208,12*2),AND(AI208="K5-POLICY",AH208&lt;&gt;"นิติศาสตร์",L208="S1",R208&gt;=1),EDATE(Q208,12),AND(AI208="K5-POLICY",AH208&lt;&gt;"นิติศาสตร์",OR(L208="S2",L208="K5")),Q208,TRUE,"Check Data")</f>
        <v/>
      </c>
      <c r="AK208" s="75" t="str">
        <f t="shared" si="72"/>
        <v>Check Data</v>
      </c>
      <c r="AL208" s="76" t="str">
        <f t="shared" si="78"/>
        <v>Check Data</v>
      </c>
      <c r="AM208" s="50" t="str">
        <f t="shared" si="73"/>
        <v>Check Data</v>
      </c>
      <c r="AN208" s="49" t="str">
        <f>IF(B208="","",IF(L208="S1","S1",INDEX(#REF!,#REF!)))</f>
        <v/>
      </c>
      <c r="AO208" s="49" t="str">
        <f>L208</f>
        <v>M2</v>
      </c>
      <c r="AP208" s="50" t="b">
        <f>L208=AN208</f>
        <v>0</v>
      </c>
      <c r="AQ208" s="50"/>
    </row>
    <row r="209" spans="1:43" ht="21.75">
      <c r="A209" s="49">
        <v>207</v>
      </c>
      <c r="B209" s="50"/>
      <c r="C209" s="52"/>
      <c r="D209" s="50" t="s">
        <v>143</v>
      </c>
      <c r="E209" s="50" t="e">
        <f>INDEX(#REF!,#REF!)</f>
        <v>#REF!</v>
      </c>
      <c r="F209" s="79"/>
      <c r="G209" s="79"/>
      <c r="H209" s="50">
        <f t="shared" si="75"/>
        <v>0</v>
      </c>
      <c r="I209" s="50">
        <f t="shared" si="76"/>
        <v>0</v>
      </c>
      <c r="J209" s="50">
        <f t="shared" si="77"/>
        <v>0</v>
      </c>
      <c r="K209" s="79"/>
      <c r="L209" s="49" t="s">
        <v>136</v>
      </c>
      <c r="M209" s="79"/>
      <c r="N209" s="79"/>
      <c r="O209" s="79"/>
      <c r="P209" s="65" t="s">
        <v>433</v>
      </c>
      <c r="Q209" s="49" t="str">
        <f t="shared" si="66"/>
        <v>23/04/2024</v>
      </c>
      <c r="R209" s="68">
        <f>IF(Q209="",0,DATEDIF(Q209,$C$1,"Y"))</f>
        <v>1</v>
      </c>
      <c r="S209" s="68">
        <f>IF(Q209="",0,DATEDIF(Q209,$C$1,"YM"))</f>
        <v>1</v>
      </c>
      <c r="T209" s="68">
        <f>IF(Q209="",0,DATEDIF(Q209,$C$1,"MD"))</f>
        <v>28</v>
      </c>
      <c r="U209" s="65"/>
      <c r="V209" s="83"/>
      <c r="W209" s="49" t="str">
        <f t="shared" si="79"/>
        <v/>
      </c>
      <c r="X209" s="68">
        <f>IF(W209="",0,DATEDIF(W209,Q209,"Y"))</f>
        <v>0</v>
      </c>
      <c r="Y209" s="68">
        <f>IF(W209="",0,DATEDIF(W209,Q209,"YM"))</f>
        <v>0</v>
      </c>
      <c r="Z209" s="68">
        <f>IF(W209="",0,DATEDIF(W209,Q209,"MD"))</f>
        <v>0</v>
      </c>
      <c r="AA209" s="79"/>
      <c r="AB209" s="79"/>
      <c r="AC209" s="50" t="str">
        <f t="shared" si="80"/>
        <v/>
      </c>
      <c r="AD209" s="68">
        <f t="shared" si="81"/>
        <v>0</v>
      </c>
      <c r="AE209" s="68">
        <f t="shared" si="82"/>
        <v>0</v>
      </c>
      <c r="AF209" s="68">
        <f t="shared" si="83"/>
        <v>0</v>
      </c>
      <c r="AG209" s="79"/>
      <c r="AH209" s="108"/>
      <c r="AI209" s="49" t="str">
        <f>IF(AH209="นิติศาสตร์","K5-LAW","K5-POLICY")</f>
        <v>K5-POLICY</v>
      </c>
      <c r="AJ209" s="72" t="str">
        <f>_xlfn.IFS(B209="","",AND(AI209="K5-LAW",AH209="นิติศาสตร์",L209="S2",U209="",AA209=""),Q209,AND(AI209="K5-LAW",AH209="นิติศาสตร์",L209="S1",U209="",AA209=""),EDATE(Q209,12),AND(AI209="K5-LAW",AH209="นิติศาสตร์",OR(L209="M2",L209="K4"),U209="",AA209=""),EDATE(Q209,12*2),AND(AI209="K5-LAW",AH209="นิติศาสตร์",OR(AA209="M2",AA209="K4"),AD209&gt;=2,OR(AC209&lt;W209,AC209&lt;Q209)),EDATE(AC209,12*2),AND(AI209="K5-LAW",AH209="นิติศาสตร์",AA209="S1",AD209&gt;=1,OR(AC209&lt;W209,AC209&lt;Q209)),EDATE(AC209,12),AND(AI209="K5-LAW",AH209="นิติศาสตร์",OR(U209="M2",U209="K4"),X209&gt;=2,W209&lt;Q209),EDATE(W209,12*2),AND(AI209="K5-LAW",AH209="นิติศาสตร์",U209="S1",X209&gt;=1,W209&lt;Q209),EDATE(W209,12),AND(AI209="K5-LAW",AH209="นิติศาสตร์",OR(U209="S2",U209="K5")),W209,AND(AI209="K5-LAW",AH209="นิติศาสตร์",OR(L209="M2",L209="K4"),R209&gt;=2),EDATE(Q209,12*2),AND(AI209="K5-LAW",AH209="นิติศาสตร์",L209="S1",R209&gt;=1),EDATE(Q209,12),AND(AI209="K5-LAW",AH209="นิติศาสตร์",OR(L209="S2",L209="K5")),Q209,AND(AI209="K5-POLICY",AH209&lt;&gt;"นิติศาสตร์",L209="S2",U209="",AA209=""),Q209,AND(AI209="K5-POLICY",AH209&lt;&gt;"นิติศาสตร์",L209="S1",U209="",AA209=""),EDATE(Q209,12),AND(AI209="K5-POLICY",AH209&lt;&gt;"นิติศาสตร์",OR(L209="M2",L209="K4"),U209="",AA209=""),EDATE(Q209,12*2),AND(AI209="K5-POLICY",AH209&lt;&gt;"นิติศาสตร์",OR(AA209="M2",AA209="K4"),AD209&gt;=2,OR(AC209&lt;W209,AC209&lt;Q209)),EDATE(AC209,12*2),AND(AI209="K5-POLICY",AH209&lt;&gt;"นิติศาสตร์",AA209="S1",AD209&gt;=1,OR(AC209&lt;W209,AC209&lt;Q209)),EDATE(AC209,12),AND(AI209="K5-POLICY",AH209&lt;&gt;"นิติศาสตร์",OR(U209="M2",U209="K4"),X209&gt;=2,W209&lt;Q209),EDATE(W209,12*2),AND(AI209="K5-POLICY",AH209&lt;&gt;"นิติศาสตร์",U209="S1",X209&gt;=1,W209&lt;Q209),EDATE(W209,12),AND(AI209="K5-POLICY",AH209&lt;&gt;"นิติศาสตร์",OR(U209="S2",U209="K5")),W209,AND(AI209="K5-POLICY",AH209&lt;&gt;"นิติศาสตร์",OR(L209="M2",L209="K4"),R209&gt;=2),EDATE(Q209,12*2),AND(AI209="K5-POLICY",AH209&lt;&gt;"นิติศาสตร์",L209="S1",R209&gt;=1),EDATE(Q209,12),AND(AI209="K5-POLICY",AH209&lt;&gt;"นิติศาสตร์",OR(L209="S2",L209="K5")),Q209,TRUE,"Check Data")</f>
        <v/>
      </c>
      <c r="AK209" s="75" t="str">
        <f t="shared" si="72"/>
        <v>Check Data</v>
      </c>
      <c r="AL209" s="76" t="str">
        <f t="shared" si="78"/>
        <v>Check Data</v>
      </c>
      <c r="AM209" s="50" t="str">
        <f t="shared" si="73"/>
        <v>Check Data</v>
      </c>
      <c r="AN209" s="49" t="str">
        <f>IF(B209="","",IF(L209="S1","S1",INDEX(#REF!,#REF!)))</f>
        <v/>
      </c>
      <c r="AO209" s="49" t="str">
        <f>L209</f>
        <v>M2</v>
      </c>
      <c r="AP209" s="50" t="b">
        <f>L209=AN209</f>
        <v>0</v>
      </c>
      <c r="AQ209" s="50"/>
    </row>
    <row r="210" spans="1:43" ht="21.75">
      <c r="A210" s="49">
        <v>208</v>
      </c>
      <c r="B210" s="50"/>
      <c r="C210" s="52"/>
      <c r="D210" s="50" t="s">
        <v>143</v>
      </c>
      <c r="E210" s="50" t="e">
        <f>INDEX(#REF!,#REF!)</f>
        <v>#REF!</v>
      </c>
      <c r="F210" s="79"/>
      <c r="G210" s="79"/>
      <c r="H210" s="50">
        <f t="shared" si="75"/>
        <v>0</v>
      </c>
      <c r="I210" s="50">
        <f t="shared" si="76"/>
        <v>0</v>
      </c>
      <c r="J210" s="50">
        <f t="shared" si="77"/>
        <v>0</v>
      </c>
      <c r="K210" s="79"/>
      <c r="L210" s="49" t="s">
        <v>136</v>
      </c>
      <c r="M210" s="79"/>
      <c r="N210" s="79"/>
      <c r="O210" s="79"/>
      <c r="P210" s="65" t="s">
        <v>433</v>
      </c>
      <c r="Q210" s="49" t="str">
        <f t="shared" si="66"/>
        <v>23/04/2024</v>
      </c>
      <c r="R210" s="68">
        <f>IF(Q210="",0,DATEDIF(Q210,$C$1,"Y"))</f>
        <v>1</v>
      </c>
      <c r="S210" s="68">
        <f>IF(Q210="",0,DATEDIF(Q210,$C$1,"YM"))</f>
        <v>1</v>
      </c>
      <c r="T210" s="68">
        <f>IF(Q210="",0,DATEDIF(Q210,$C$1,"MD"))</f>
        <v>28</v>
      </c>
      <c r="U210" s="65"/>
      <c r="V210" s="83"/>
      <c r="W210" s="49" t="str">
        <f t="shared" si="79"/>
        <v/>
      </c>
      <c r="X210" s="68">
        <f>IF(W210="",0,DATEDIF(W210,Q210,"Y"))</f>
        <v>0</v>
      </c>
      <c r="Y210" s="68">
        <f>IF(W210="",0,DATEDIF(W210,Q210,"YM"))</f>
        <v>0</v>
      </c>
      <c r="Z210" s="68">
        <f>IF(W210="",0,DATEDIF(W210,Q210,"MD"))</f>
        <v>0</v>
      </c>
      <c r="AA210" s="79"/>
      <c r="AB210" s="79"/>
      <c r="AC210" s="50" t="str">
        <f t="shared" si="80"/>
        <v/>
      </c>
      <c r="AD210" s="68">
        <f t="shared" si="81"/>
        <v>0</v>
      </c>
      <c r="AE210" s="68">
        <f t="shared" si="82"/>
        <v>0</v>
      </c>
      <c r="AF210" s="68">
        <f t="shared" si="83"/>
        <v>0</v>
      </c>
      <c r="AG210" s="79"/>
      <c r="AH210" s="108"/>
      <c r="AI210" s="49" t="str">
        <f>IF(AH210="นิติศาสตร์","K5-LAW","K5-POLICY")</f>
        <v>K5-POLICY</v>
      </c>
      <c r="AJ210" s="72" t="str">
        <f>_xlfn.IFS(B210="","",AND(AI210="K5-LAW",AH210="นิติศาสตร์",L210="S2",U210="",AA210=""),Q210,AND(AI210="K5-LAW",AH210="นิติศาสตร์",L210="S1",U210="",AA210=""),EDATE(Q210,12),AND(AI210="K5-LAW",AH210="นิติศาสตร์",OR(L210="M2",L210="K4"),U210="",AA210=""),EDATE(Q210,12*2),AND(AI210="K5-LAW",AH210="นิติศาสตร์",OR(AA210="M2",AA210="K4"),AD210&gt;=2,OR(AC210&lt;W210,AC210&lt;Q210)),EDATE(AC210,12*2),AND(AI210="K5-LAW",AH210="นิติศาสตร์",AA210="S1",AD210&gt;=1,OR(AC210&lt;W210,AC210&lt;Q210)),EDATE(AC210,12),AND(AI210="K5-LAW",AH210="นิติศาสตร์",OR(U210="M2",U210="K4"),X210&gt;=2,W210&lt;Q210),EDATE(W210,12*2),AND(AI210="K5-LAW",AH210="นิติศาสตร์",U210="S1",X210&gt;=1,W210&lt;Q210),EDATE(W210,12),AND(AI210="K5-LAW",AH210="นิติศาสตร์",OR(U210="S2",U210="K5")),W210,AND(AI210="K5-LAW",AH210="นิติศาสตร์",OR(L210="M2",L210="K4"),R210&gt;=2),EDATE(Q210,12*2),AND(AI210="K5-LAW",AH210="นิติศาสตร์",L210="S1",R210&gt;=1),EDATE(Q210,12),AND(AI210="K5-LAW",AH210="นิติศาสตร์",OR(L210="S2",L210="K5")),Q210,AND(AI210="K5-POLICY",AH210&lt;&gt;"นิติศาสตร์",L210="S2",U210="",AA210=""),Q210,AND(AI210="K5-POLICY",AH210&lt;&gt;"นิติศาสตร์",L210="S1",U210="",AA210=""),EDATE(Q210,12),AND(AI210="K5-POLICY",AH210&lt;&gt;"นิติศาสตร์",OR(L210="M2",L210="K4"),U210="",AA210=""),EDATE(Q210,12*2),AND(AI210="K5-POLICY",AH210&lt;&gt;"นิติศาสตร์",OR(AA210="M2",AA210="K4"),AD210&gt;=2,OR(AC210&lt;W210,AC210&lt;Q210)),EDATE(AC210,12*2),AND(AI210="K5-POLICY",AH210&lt;&gt;"นิติศาสตร์",AA210="S1",AD210&gt;=1,OR(AC210&lt;W210,AC210&lt;Q210)),EDATE(AC210,12),AND(AI210="K5-POLICY",AH210&lt;&gt;"นิติศาสตร์",OR(U210="M2",U210="K4"),X210&gt;=2,W210&lt;Q210),EDATE(W210,12*2),AND(AI210="K5-POLICY",AH210&lt;&gt;"นิติศาสตร์",U210="S1",X210&gt;=1,W210&lt;Q210),EDATE(W210,12),AND(AI210="K5-POLICY",AH210&lt;&gt;"นิติศาสตร์",OR(U210="S2",U210="K5")),W210,AND(AI210="K5-POLICY",AH210&lt;&gt;"นิติศาสตร์",OR(L210="M2",L210="K4"),R210&gt;=2),EDATE(Q210,12*2),AND(AI210="K5-POLICY",AH210&lt;&gt;"นิติศาสตร์",L210="S1",R210&gt;=1),EDATE(Q210,12),AND(AI210="K5-POLICY",AH210&lt;&gt;"นิติศาสตร์",OR(L210="S2",L210="K5")),Q210,TRUE,"Check Data")</f>
        <v/>
      </c>
      <c r="AK210" s="75" t="str">
        <f t="shared" si="72"/>
        <v>Check Data</v>
      </c>
      <c r="AL210" s="76" t="str">
        <f t="shared" si="78"/>
        <v>Check Data</v>
      </c>
      <c r="AM210" s="50" t="str">
        <f t="shared" si="73"/>
        <v>Check Data</v>
      </c>
      <c r="AN210" s="49" t="str">
        <f>IF(B210="","",IF(L210="S1","S1",INDEX(#REF!,#REF!)))</f>
        <v/>
      </c>
      <c r="AO210" s="49" t="str">
        <f>L210</f>
        <v>M2</v>
      </c>
      <c r="AP210" s="50" t="b">
        <f>L210=AN210</f>
        <v>0</v>
      </c>
      <c r="AQ210" s="50"/>
    </row>
    <row r="211" spans="1:43" ht="21.75">
      <c r="A211" s="49">
        <v>209</v>
      </c>
      <c r="B211" s="50"/>
      <c r="C211" s="52"/>
      <c r="D211" s="50" t="s">
        <v>143</v>
      </c>
      <c r="E211" s="50" t="e">
        <f>INDEX(#REF!,#REF!)</f>
        <v>#REF!</v>
      </c>
      <c r="F211" s="79"/>
      <c r="G211" s="79"/>
      <c r="H211" s="50">
        <f t="shared" si="75"/>
        <v>0</v>
      </c>
      <c r="I211" s="50">
        <f t="shared" si="76"/>
        <v>0</v>
      </c>
      <c r="J211" s="50">
        <f t="shared" si="77"/>
        <v>0</v>
      </c>
      <c r="K211" s="79"/>
      <c r="L211" s="49" t="s">
        <v>136</v>
      </c>
      <c r="M211" s="79"/>
      <c r="N211" s="79"/>
      <c r="O211" s="79"/>
      <c r="P211" s="65" t="s">
        <v>433</v>
      </c>
      <c r="Q211" s="49" t="str">
        <f t="shared" si="66"/>
        <v>23/04/2024</v>
      </c>
      <c r="R211" s="68">
        <f>IF(Q211="",0,DATEDIF(Q211,$C$1,"Y"))</f>
        <v>1</v>
      </c>
      <c r="S211" s="68">
        <f>IF(Q211="",0,DATEDIF(Q211,$C$1,"YM"))</f>
        <v>1</v>
      </c>
      <c r="T211" s="68">
        <f>IF(Q211="",0,DATEDIF(Q211,$C$1,"MD"))</f>
        <v>28</v>
      </c>
      <c r="U211" s="65"/>
      <c r="V211" s="83"/>
      <c r="W211" s="49" t="str">
        <f t="shared" si="79"/>
        <v/>
      </c>
      <c r="X211" s="68">
        <f>IF(W211="",0,DATEDIF(W211,Q211,"Y"))</f>
        <v>0</v>
      </c>
      <c r="Y211" s="68">
        <f>IF(W211="",0,DATEDIF(W211,Q211,"YM"))</f>
        <v>0</v>
      </c>
      <c r="Z211" s="68">
        <f>IF(W211="",0,DATEDIF(W211,Q211,"MD"))</f>
        <v>0</v>
      </c>
      <c r="AA211" s="79"/>
      <c r="AB211" s="79"/>
      <c r="AC211" s="50" t="str">
        <f t="shared" si="80"/>
        <v/>
      </c>
      <c r="AD211" s="68">
        <f t="shared" si="81"/>
        <v>0</v>
      </c>
      <c r="AE211" s="68">
        <f t="shared" si="82"/>
        <v>0</v>
      </c>
      <c r="AF211" s="68">
        <f t="shared" si="83"/>
        <v>0</v>
      </c>
      <c r="AG211" s="79"/>
      <c r="AH211" s="108"/>
      <c r="AI211" s="49" t="str">
        <f>IF(AH211="นิติศาสตร์","K5-LAW","K5-POLICY")</f>
        <v>K5-POLICY</v>
      </c>
      <c r="AJ211" s="72" t="str">
        <f>_xlfn.IFS(B211="","",AND(AI211="K5-LAW",AH211="นิติศาสตร์",L211="S2",U211="",AA211=""),Q211,AND(AI211="K5-LAW",AH211="นิติศาสตร์",L211="S1",U211="",AA211=""),EDATE(Q211,12),AND(AI211="K5-LAW",AH211="นิติศาสตร์",OR(L211="M2",L211="K4"),U211="",AA211=""),EDATE(Q211,12*2),AND(AI211="K5-LAW",AH211="นิติศาสตร์",OR(AA211="M2",AA211="K4"),AD211&gt;=2,OR(AC211&lt;W211,AC211&lt;Q211)),EDATE(AC211,12*2),AND(AI211="K5-LAW",AH211="นิติศาสตร์",AA211="S1",AD211&gt;=1,OR(AC211&lt;W211,AC211&lt;Q211)),EDATE(AC211,12),AND(AI211="K5-LAW",AH211="นิติศาสตร์",OR(U211="M2",U211="K4"),X211&gt;=2,W211&lt;Q211),EDATE(W211,12*2),AND(AI211="K5-LAW",AH211="นิติศาสตร์",U211="S1",X211&gt;=1,W211&lt;Q211),EDATE(W211,12),AND(AI211="K5-LAW",AH211="นิติศาสตร์",OR(U211="S2",U211="K5")),W211,AND(AI211="K5-LAW",AH211="นิติศาสตร์",OR(L211="M2",L211="K4"),R211&gt;=2),EDATE(Q211,12*2),AND(AI211="K5-LAW",AH211="นิติศาสตร์",L211="S1",R211&gt;=1),EDATE(Q211,12),AND(AI211="K5-LAW",AH211="นิติศาสตร์",OR(L211="S2",L211="K5")),Q211,AND(AI211="K5-POLICY",AH211&lt;&gt;"นิติศาสตร์",L211="S2",U211="",AA211=""),Q211,AND(AI211="K5-POLICY",AH211&lt;&gt;"นิติศาสตร์",L211="S1",U211="",AA211=""),EDATE(Q211,12),AND(AI211="K5-POLICY",AH211&lt;&gt;"นิติศาสตร์",OR(L211="M2",L211="K4"),U211="",AA211=""),EDATE(Q211,12*2),AND(AI211="K5-POLICY",AH211&lt;&gt;"นิติศาสตร์",OR(AA211="M2",AA211="K4"),AD211&gt;=2,OR(AC211&lt;W211,AC211&lt;Q211)),EDATE(AC211,12*2),AND(AI211="K5-POLICY",AH211&lt;&gt;"นิติศาสตร์",AA211="S1",AD211&gt;=1,OR(AC211&lt;W211,AC211&lt;Q211)),EDATE(AC211,12),AND(AI211="K5-POLICY",AH211&lt;&gt;"นิติศาสตร์",OR(U211="M2",U211="K4"),X211&gt;=2,W211&lt;Q211),EDATE(W211,12*2),AND(AI211="K5-POLICY",AH211&lt;&gt;"นิติศาสตร์",U211="S1",X211&gt;=1,W211&lt;Q211),EDATE(W211,12),AND(AI211="K5-POLICY",AH211&lt;&gt;"นิติศาสตร์",OR(U211="S2",U211="K5")),W211,AND(AI211="K5-POLICY",AH211&lt;&gt;"นิติศาสตร์",OR(L211="M2",L211="K4"),R211&gt;=2),EDATE(Q211,12*2),AND(AI211="K5-POLICY",AH211&lt;&gt;"นิติศาสตร์",L211="S1",R211&gt;=1),EDATE(Q211,12),AND(AI211="K5-POLICY",AH211&lt;&gt;"นิติศาสตร์",OR(L211="S2",L211="K5")),Q211,TRUE,"Check Data")</f>
        <v/>
      </c>
      <c r="AK211" s="75" t="str">
        <f t="shared" si="72"/>
        <v>Check Data</v>
      </c>
      <c r="AL211" s="76" t="str">
        <f t="shared" si="78"/>
        <v>Check Data</v>
      </c>
      <c r="AM211" s="50" t="str">
        <f t="shared" si="73"/>
        <v>Check Data</v>
      </c>
      <c r="AN211" s="49" t="str">
        <f>IF(B211="","",IF(L211="S1","S1",INDEX(#REF!,#REF!)))</f>
        <v/>
      </c>
      <c r="AO211" s="49" t="str">
        <f>L211</f>
        <v>M2</v>
      </c>
      <c r="AP211" s="50" t="b">
        <f>L211=AN211</f>
        <v>0</v>
      </c>
      <c r="AQ211" s="50"/>
    </row>
    <row r="212" spans="1:43" ht="21.75">
      <c r="A212" s="49">
        <v>210</v>
      </c>
      <c r="B212" s="50"/>
      <c r="C212" s="52"/>
      <c r="D212" s="50" t="s">
        <v>143</v>
      </c>
      <c r="E212" s="50" t="e">
        <f>INDEX(#REF!,#REF!)</f>
        <v>#REF!</v>
      </c>
      <c r="F212" s="79"/>
      <c r="G212" s="79"/>
      <c r="H212" s="50">
        <f t="shared" si="75"/>
        <v>0</v>
      </c>
      <c r="I212" s="50">
        <f t="shared" si="76"/>
        <v>0</v>
      </c>
      <c r="J212" s="50">
        <f t="shared" si="77"/>
        <v>0</v>
      </c>
      <c r="K212" s="79"/>
      <c r="L212" s="49" t="s">
        <v>136</v>
      </c>
      <c r="M212" s="79"/>
      <c r="N212" s="79"/>
      <c r="O212" s="79"/>
      <c r="P212" s="65" t="s">
        <v>433</v>
      </c>
      <c r="Q212" s="49" t="str">
        <f t="shared" si="66"/>
        <v>23/04/2024</v>
      </c>
      <c r="R212" s="68">
        <f>IF(Q212="",0,DATEDIF(Q212,$C$1,"Y"))</f>
        <v>1</v>
      </c>
      <c r="S212" s="68">
        <f>IF(Q212="",0,DATEDIF(Q212,$C$1,"YM"))</f>
        <v>1</v>
      </c>
      <c r="T212" s="68">
        <f>IF(Q212="",0,DATEDIF(Q212,$C$1,"MD"))</f>
        <v>28</v>
      </c>
      <c r="U212" s="65"/>
      <c r="V212" s="83"/>
      <c r="W212" s="49" t="str">
        <f t="shared" si="79"/>
        <v/>
      </c>
      <c r="X212" s="68">
        <f>IF(W212="",0,DATEDIF(W212,Q212,"Y"))</f>
        <v>0</v>
      </c>
      <c r="Y212" s="68">
        <f>IF(W212="",0,DATEDIF(W212,Q212,"YM"))</f>
        <v>0</v>
      </c>
      <c r="Z212" s="68">
        <f>IF(W212="",0,DATEDIF(W212,Q212,"MD"))</f>
        <v>0</v>
      </c>
      <c r="AA212" s="79"/>
      <c r="AB212" s="79"/>
      <c r="AC212" s="50" t="str">
        <f t="shared" si="80"/>
        <v/>
      </c>
      <c r="AD212" s="68">
        <f t="shared" si="81"/>
        <v>0</v>
      </c>
      <c r="AE212" s="68">
        <f t="shared" si="82"/>
        <v>0</v>
      </c>
      <c r="AF212" s="68">
        <f t="shared" si="83"/>
        <v>0</v>
      </c>
      <c r="AG212" s="79"/>
      <c r="AH212" s="108"/>
      <c r="AI212" s="49" t="str">
        <f>IF(AH212="นิติศาสตร์","K5-LAW","K5-POLICY")</f>
        <v>K5-POLICY</v>
      </c>
      <c r="AJ212" s="72" t="str">
        <f>_xlfn.IFS(B212="","",AND(AI212="K5-LAW",AH212="นิติศาสตร์",L212="S2",U212="",AA212=""),Q212,AND(AI212="K5-LAW",AH212="นิติศาสตร์",L212="S1",U212="",AA212=""),EDATE(Q212,12),AND(AI212="K5-LAW",AH212="นิติศาสตร์",OR(L212="M2",L212="K4"),U212="",AA212=""),EDATE(Q212,12*2),AND(AI212="K5-LAW",AH212="นิติศาสตร์",OR(AA212="M2",AA212="K4"),AD212&gt;=2,OR(AC212&lt;W212,AC212&lt;Q212)),EDATE(AC212,12*2),AND(AI212="K5-LAW",AH212="นิติศาสตร์",AA212="S1",AD212&gt;=1,OR(AC212&lt;W212,AC212&lt;Q212)),EDATE(AC212,12),AND(AI212="K5-LAW",AH212="นิติศาสตร์",OR(U212="M2",U212="K4"),X212&gt;=2,W212&lt;Q212),EDATE(W212,12*2),AND(AI212="K5-LAW",AH212="นิติศาสตร์",U212="S1",X212&gt;=1,W212&lt;Q212),EDATE(W212,12),AND(AI212="K5-LAW",AH212="นิติศาสตร์",OR(U212="S2",U212="K5")),W212,AND(AI212="K5-LAW",AH212="นิติศาสตร์",OR(L212="M2",L212="K4"),R212&gt;=2),EDATE(Q212,12*2),AND(AI212="K5-LAW",AH212="นิติศาสตร์",L212="S1",R212&gt;=1),EDATE(Q212,12),AND(AI212="K5-LAW",AH212="นิติศาสตร์",OR(L212="S2",L212="K5")),Q212,AND(AI212="K5-POLICY",AH212&lt;&gt;"นิติศาสตร์",L212="S2",U212="",AA212=""),Q212,AND(AI212="K5-POLICY",AH212&lt;&gt;"นิติศาสตร์",L212="S1",U212="",AA212=""),EDATE(Q212,12),AND(AI212="K5-POLICY",AH212&lt;&gt;"นิติศาสตร์",OR(L212="M2",L212="K4"),U212="",AA212=""),EDATE(Q212,12*2),AND(AI212="K5-POLICY",AH212&lt;&gt;"นิติศาสตร์",OR(AA212="M2",AA212="K4"),AD212&gt;=2,OR(AC212&lt;W212,AC212&lt;Q212)),EDATE(AC212,12*2),AND(AI212="K5-POLICY",AH212&lt;&gt;"นิติศาสตร์",AA212="S1",AD212&gt;=1,OR(AC212&lt;W212,AC212&lt;Q212)),EDATE(AC212,12),AND(AI212="K5-POLICY",AH212&lt;&gt;"นิติศาสตร์",OR(U212="M2",U212="K4"),X212&gt;=2,W212&lt;Q212),EDATE(W212,12*2),AND(AI212="K5-POLICY",AH212&lt;&gt;"นิติศาสตร์",U212="S1",X212&gt;=1,W212&lt;Q212),EDATE(W212,12),AND(AI212="K5-POLICY",AH212&lt;&gt;"นิติศาสตร์",OR(U212="S2",U212="K5")),W212,AND(AI212="K5-POLICY",AH212&lt;&gt;"นิติศาสตร์",OR(L212="M2",L212="K4"),R212&gt;=2),EDATE(Q212,12*2),AND(AI212="K5-POLICY",AH212&lt;&gt;"นิติศาสตร์",L212="S1",R212&gt;=1),EDATE(Q212,12),AND(AI212="K5-POLICY",AH212&lt;&gt;"นิติศาสตร์",OR(L212="S2",L212="K5")),Q212,TRUE,"Check Data")</f>
        <v/>
      </c>
      <c r="AK212" s="75" t="str">
        <f t="shared" si="72"/>
        <v>Check Data</v>
      </c>
      <c r="AL212" s="76" t="str">
        <f t="shared" si="78"/>
        <v>Check Data</v>
      </c>
      <c r="AM212" s="50" t="str">
        <f t="shared" si="73"/>
        <v>Check Data</v>
      </c>
      <c r="AN212" s="49" t="str">
        <f>IF(B212="","",IF(L212="S1","S1",INDEX(#REF!,#REF!)))</f>
        <v/>
      </c>
      <c r="AO212" s="49" t="str">
        <f>L212</f>
        <v>M2</v>
      </c>
      <c r="AP212" s="50" t="b">
        <f>L212=AN212</f>
        <v>0</v>
      </c>
      <c r="AQ212" s="50"/>
    </row>
    <row r="213" spans="1:43" ht="21.75">
      <c r="A213" s="49">
        <v>211</v>
      </c>
      <c r="B213" s="50"/>
      <c r="C213" s="52"/>
      <c r="D213" s="50" t="s">
        <v>143</v>
      </c>
      <c r="E213" s="50" t="e">
        <f>INDEX(#REF!,#REF!)</f>
        <v>#REF!</v>
      </c>
      <c r="F213" s="79"/>
      <c r="G213" s="79"/>
      <c r="H213" s="50">
        <f t="shared" si="75"/>
        <v>0</v>
      </c>
      <c r="I213" s="50">
        <f t="shared" si="76"/>
        <v>0</v>
      </c>
      <c r="J213" s="50">
        <f t="shared" si="77"/>
        <v>0</v>
      </c>
      <c r="K213" s="79"/>
      <c r="L213" s="49" t="s">
        <v>136</v>
      </c>
      <c r="M213" s="79"/>
      <c r="N213" s="79"/>
      <c r="O213" s="79"/>
      <c r="P213" s="65" t="s">
        <v>433</v>
      </c>
      <c r="Q213" s="49" t="str">
        <f t="shared" si="66"/>
        <v>23/04/2024</v>
      </c>
      <c r="R213" s="68">
        <f>IF(Q213="",0,DATEDIF(Q213,$C$1,"Y"))</f>
        <v>1</v>
      </c>
      <c r="S213" s="68">
        <f>IF(Q213="",0,DATEDIF(Q213,$C$1,"YM"))</f>
        <v>1</v>
      </c>
      <c r="T213" s="68">
        <f>IF(Q213="",0,DATEDIF(Q213,$C$1,"MD"))</f>
        <v>28</v>
      </c>
      <c r="U213" s="65"/>
      <c r="V213" s="83"/>
      <c r="W213" s="49" t="str">
        <f t="shared" si="79"/>
        <v/>
      </c>
      <c r="X213" s="68">
        <f>IF(W213="",0,DATEDIF(W213,Q213,"Y"))</f>
        <v>0</v>
      </c>
      <c r="Y213" s="68">
        <f>IF(W213="",0,DATEDIF(W213,Q213,"YM"))</f>
        <v>0</v>
      </c>
      <c r="Z213" s="68">
        <f>IF(W213="",0,DATEDIF(W213,Q213,"MD"))</f>
        <v>0</v>
      </c>
      <c r="AA213" s="79"/>
      <c r="AB213" s="79"/>
      <c r="AC213" s="50" t="str">
        <f t="shared" si="80"/>
        <v/>
      </c>
      <c r="AD213" s="68">
        <f t="shared" si="81"/>
        <v>0</v>
      </c>
      <c r="AE213" s="68">
        <f t="shared" si="82"/>
        <v>0</v>
      </c>
      <c r="AF213" s="68">
        <f t="shared" si="83"/>
        <v>0</v>
      </c>
      <c r="AG213" s="79"/>
      <c r="AH213" s="108"/>
      <c r="AI213" s="49" t="str">
        <f>IF(AH213="นิติศาสตร์","K5-LAW","K5-POLICY")</f>
        <v>K5-POLICY</v>
      </c>
      <c r="AJ213" s="72" t="str">
        <f>_xlfn.IFS(B213="","",AND(AI213="K5-LAW",AH213="นิติศาสตร์",L213="S2",U213="",AA213=""),Q213,AND(AI213="K5-LAW",AH213="นิติศาสตร์",L213="S1",U213="",AA213=""),EDATE(Q213,12),AND(AI213="K5-LAW",AH213="นิติศาสตร์",OR(L213="M2",L213="K4"),U213="",AA213=""),EDATE(Q213,12*2),AND(AI213="K5-LAW",AH213="นิติศาสตร์",OR(AA213="M2",AA213="K4"),AD213&gt;=2,OR(AC213&lt;W213,AC213&lt;Q213)),EDATE(AC213,12*2),AND(AI213="K5-LAW",AH213="นิติศาสตร์",AA213="S1",AD213&gt;=1,OR(AC213&lt;W213,AC213&lt;Q213)),EDATE(AC213,12),AND(AI213="K5-LAW",AH213="นิติศาสตร์",OR(U213="M2",U213="K4"),X213&gt;=2,W213&lt;Q213),EDATE(W213,12*2),AND(AI213="K5-LAW",AH213="นิติศาสตร์",U213="S1",X213&gt;=1,W213&lt;Q213),EDATE(W213,12),AND(AI213="K5-LAW",AH213="นิติศาสตร์",OR(U213="S2",U213="K5")),W213,AND(AI213="K5-LAW",AH213="นิติศาสตร์",OR(L213="M2",L213="K4"),R213&gt;=2),EDATE(Q213,12*2),AND(AI213="K5-LAW",AH213="นิติศาสตร์",L213="S1",R213&gt;=1),EDATE(Q213,12),AND(AI213="K5-LAW",AH213="นิติศาสตร์",OR(L213="S2",L213="K5")),Q213,AND(AI213="K5-POLICY",AH213&lt;&gt;"นิติศาสตร์",L213="S2",U213="",AA213=""),Q213,AND(AI213="K5-POLICY",AH213&lt;&gt;"นิติศาสตร์",L213="S1",U213="",AA213=""),EDATE(Q213,12),AND(AI213="K5-POLICY",AH213&lt;&gt;"นิติศาสตร์",OR(L213="M2",L213="K4"),U213="",AA213=""),EDATE(Q213,12*2),AND(AI213="K5-POLICY",AH213&lt;&gt;"นิติศาสตร์",OR(AA213="M2",AA213="K4"),AD213&gt;=2,OR(AC213&lt;W213,AC213&lt;Q213)),EDATE(AC213,12*2),AND(AI213="K5-POLICY",AH213&lt;&gt;"นิติศาสตร์",AA213="S1",AD213&gt;=1,OR(AC213&lt;W213,AC213&lt;Q213)),EDATE(AC213,12),AND(AI213="K5-POLICY",AH213&lt;&gt;"นิติศาสตร์",OR(U213="M2",U213="K4"),X213&gt;=2,W213&lt;Q213),EDATE(W213,12*2),AND(AI213="K5-POLICY",AH213&lt;&gt;"นิติศาสตร์",U213="S1",X213&gt;=1,W213&lt;Q213),EDATE(W213,12),AND(AI213="K5-POLICY",AH213&lt;&gt;"นิติศาสตร์",OR(U213="S2",U213="K5")),W213,AND(AI213="K5-POLICY",AH213&lt;&gt;"นิติศาสตร์",OR(L213="M2",L213="K4"),R213&gt;=2),EDATE(Q213,12*2),AND(AI213="K5-POLICY",AH213&lt;&gt;"นิติศาสตร์",L213="S1",R213&gt;=1),EDATE(Q213,12),AND(AI213="K5-POLICY",AH213&lt;&gt;"นิติศาสตร์",OR(L213="S2",L213="K5")),Q213,TRUE,"Check Data")</f>
        <v/>
      </c>
      <c r="AK213" s="75" t="str">
        <f t="shared" si="72"/>
        <v>Check Data</v>
      </c>
      <c r="AL213" s="76" t="str">
        <f t="shared" si="78"/>
        <v>Check Data</v>
      </c>
      <c r="AM213" s="50" t="str">
        <f t="shared" si="73"/>
        <v>Check Data</v>
      </c>
      <c r="AN213" s="49" t="str">
        <f>IF(B213="","",IF(L213="S1","S1",INDEX(#REF!,#REF!)))</f>
        <v/>
      </c>
      <c r="AO213" s="49" t="str">
        <f>L213</f>
        <v>M2</v>
      </c>
      <c r="AP213" s="50" t="b">
        <f>L213=AN213</f>
        <v>0</v>
      </c>
      <c r="AQ213" s="50"/>
    </row>
    <row r="214" spans="1:43" ht="21.75">
      <c r="A214" s="49">
        <v>212</v>
      </c>
      <c r="B214" s="50"/>
      <c r="C214" s="52"/>
      <c r="D214" s="50" t="s">
        <v>143</v>
      </c>
      <c r="E214" s="50" t="e">
        <f>INDEX(#REF!,#REF!)</f>
        <v>#REF!</v>
      </c>
      <c r="F214" s="79"/>
      <c r="G214" s="79"/>
      <c r="H214" s="50">
        <f t="shared" si="75"/>
        <v>0</v>
      </c>
      <c r="I214" s="50">
        <f t="shared" si="76"/>
        <v>0</v>
      </c>
      <c r="J214" s="50">
        <f t="shared" si="77"/>
        <v>0</v>
      </c>
      <c r="K214" s="79"/>
      <c r="L214" s="49" t="s">
        <v>136</v>
      </c>
      <c r="M214" s="79"/>
      <c r="N214" s="79"/>
      <c r="O214" s="79"/>
      <c r="P214" s="65" t="s">
        <v>433</v>
      </c>
      <c r="Q214" s="49" t="str">
        <f t="shared" si="66"/>
        <v>23/04/2024</v>
      </c>
      <c r="R214" s="68">
        <f>IF(Q214="",0,DATEDIF(Q214,$C$1,"Y"))</f>
        <v>1</v>
      </c>
      <c r="S214" s="68">
        <f>IF(Q214="",0,DATEDIF(Q214,$C$1,"YM"))</f>
        <v>1</v>
      </c>
      <c r="T214" s="68">
        <f>IF(Q214="",0,DATEDIF(Q214,$C$1,"MD"))</f>
        <v>28</v>
      </c>
      <c r="U214" s="65"/>
      <c r="V214" s="83"/>
      <c r="W214" s="49" t="str">
        <f t="shared" si="79"/>
        <v/>
      </c>
      <c r="X214" s="68">
        <f>IF(W214="",0,DATEDIF(W214,Q214,"Y"))</f>
        <v>0</v>
      </c>
      <c r="Y214" s="68">
        <f>IF(W214="",0,DATEDIF(W214,Q214,"YM"))</f>
        <v>0</v>
      </c>
      <c r="Z214" s="68">
        <f>IF(W214="",0,DATEDIF(W214,Q214,"MD"))</f>
        <v>0</v>
      </c>
      <c r="AA214" s="79"/>
      <c r="AB214" s="79"/>
      <c r="AC214" s="50" t="str">
        <f t="shared" si="80"/>
        <v/>
      </c>
      <c r="AD214" s="68">
        <f t="shared" si="81"/>
        <v>0</v>
      </c>
      <c r="AE214" s="68">
        <f t="shared" si="82"/>
        <v>0</v>
      </c>
      <c r="AF214" s="68">
        <f t="shared" si="83"/>
        <v>0</v>
      </c>
      <c r="AG214" s="79"/>
      <c r="AH214" s="108"/>
      <c r="AI214" s="49" t="str">
        <f>IF(AH214="นิติศาสตร์","K5-LAW","K5-POLICY")</f>
        <v>K5-POLICY</v>
      </c>
      <c r="AJ214" s="72" t="str">
        <f>_xlfn.IFS(B214="","",AND(AI214="K5-LAW",AH214="นิติศาสตร์",L214="S2",U214="",AA214=""),Q214,AND(AI214="K5-LAW",AH214="นิติศาสตร์",L214="S1",U214="",AA214=""),EDATE(Q214,12),AND(AI214="K5-LAW",AH214="นิติศาสตร์",OR(L214="M2",L214="K4"),U214="",AA214=""),EDATE(Q214,12*2),AND(AI214="K5-LAW",AH214="นิติศาสตร์",OR(AA214="M2",AA214="K4"),AD214&gt;=2,OR(AC214&lt;W214,AC214&lt;Q214)),EDATE(AC214,12*2),AND(AI214="K5-LAW",AH214="นิติศาสตร์",AA214="S1",AD214&gt;=1,OR(AC214&lt;W214,AC214&lt;Q214)),EDATE(AC214,12),AND(AI214="K5-LAW",AH214="นิติศาสตร์",OR(U214="M2",U214="K4"),X214&gt;=2,W214&lt;Q214),EDATE(W214,12*2),AND(AI214="K5-LAW",AH214="นิติศาสตร์",U214="S1",X214&gt;=1,W214&lt;Q214),EDATE(W214,12),AND(AI214="K5-LAW",AH214="นิติศาสตร์",OR(U214="S2",U214="K5")),W214,AND(AI214="K5-LAW",AH214="นิติศาสตร์",OR(L214="M2",L214="K4"),R214&gt;=2),EDATE(Q214,12*2),AND(AI214="K5-LAW",AH214="นิติศาสตร์",L214="S1",R214&gt;=1),EDATE(Q214,12),AND(AI214="K5-LAW",AH214="นิติศาสตร์",OR(L214="S2",L214="K5")),Q214,AND(AI214="K5-POLICY",AH214&lt;&gt;"นิติศาสตร์",L214="S2",U214="",AA214=""),Q214,AND(AI214="K5-POLICY",AH214&lt;&gt;"นิติศาสตร์",L214="S1",U214="",AA214=""),EDATE(Q214,12),AND(AI214="K5-POLICY",AH214&lt;&gt;"นิติศาสตร์",OR(L214="M2",L214="K4"),U214="",AA214=""),EDATE(Q214,12*2),AND(AI214="K5-POLICY",AH214&lt;&gt;"นิติศาสตร์",OR(AA214="M2",AA214="K4"),AD214&gt;=2,OR(AC214&lt;W214,AC214&lt;Q214)),EDATE(AC214,12*2),AND(AI214="K5-POLICY",AH214&lt;&gt;"นิติศาสตร์",AA214="S1",AD214&gt;=1,OR(AC214&lt;W214,AC214&lt;Q214)),EDATE(AC214,12),AND(AI214="K5-POLICY",AH214&lt;&gt;"นิติศาสตร์",OR(U214="M2",U214="K4"),X214&gt;=2,W214&lt;Q214),EDATE(W214,12*2),AND(AI214="K5-POLICY",AH214&lt;&gt;"นิติศาสตร์",U214="S1",X214&gt;=1,W214&lt;Q214),EDATE(W214,12),AND(AI214="K5-POLICY",AH214&lt;&gt;"นิติศาสตร์",OR(U214="S2",U214="K5")),W214,AND(AI214="K5-POLICY",AH214&lt;&gt;"นิติศาสตร์",OR(L214="M2",L214="K4"),R214&gt;=2),EDATE(Q214,12*2),AND(AI214="K5-POLICY",AH214&lt;&gt;"นิติศาสตร์",L214="S1",R214&gt;=1),EDATE(Q214,12),AND(AI214="K5-POLICY",AH214&lt;&gt;"นิติศาสตร์",OR(L214="S2",L214="K5")),Q214,TRUE,"Check Data")</f>
        <v/>
      </c>
      <c r="AK214" s="75" t="str">
        <f t="shared" si="72"/>
        <v>Check Data</v>
      </c>
      <c r="AL214" s="76" t="str">
        <f t="shared" si="78"/>
        <v>Check Data</v>
      </c>
      <c r="AM214" s="50" t="str">
        <f t="shared" si="73"/>
        <v>Check Data</v>
      </c>
      <c r="AN214" s="49" t="str">
        <f>IF(B214="","",IF(L214="S1","S1",INDEX(#REF!,#REF!)))</f>
        <v/>
      </c>
      <c r="AO214" s="49" t="str">
        <f>L214</f>
        <v>M2</v>
      </c>
      <c r="AP214" s="50" t="b">
        <f>L214=AN214</f>
        <v>0</v>
      </c>
      <c r="AQ214" s="50"/>
    </row>
    <row r="215" spans="1:43" ht="21.75">
      <c r="A215" s="49">
        <v>213</v>
      </c>
      <c r="B215" s="50"/>
      <c r="C215" s="52"/>
      <c r="D215" s="50" t="s">
        <v>143</v>
      </c>
      <c r="E215" s="50" t="e">
        <f>INDEX(#REF!,#REF!)</f>
        <v>#REF!</v>
      </c>
      <c r="F215" s="79"/>
      <c r="G215" s="79"/>
      <c r="H215" s="50">
        <f t="shared" si="75"/>
        <v>0</v>
      </c>
      <c r="I215" s="50">
        <f t="shared" si="76"/>
        <v>0</v>
      </c>
      <c r="J215" s="50">
        <f t="shared" si="77"/>
        <v>0</v>
      </c>
      <c r="K215" s="79"/>
      <c r="L215" s="49" t="s">
        <v>136</v>
      </c>
      <c r="M215" s="79"/>
      <c r="N215" s="79"/>
      <c r="O215" s="79"/>
      <c r="P215" s="65" t="s">
        <v>433</v>
      </c>
      <c r="Q215" s="49" t="str">
        <f t="shared" si="66"/>
        <v>23/04/2024</v>
      </c>
      <c r="R215" s="68">
        <f>IF(Q215="",0,DATEDIF(Q215,$C$1,"Y"))</f>
        <v>1</v>
      </c>
      <c r="S215" s="68">
        <f>IF(Q215="",0,DATEDIF(Q215,$C$1,"YM"))</f>
        <v>1</v>
      </c>
      <c r="T215" s="68">
        <f>IF(Q215="",0,DATEDIF(Q215,$C$1,"MD"))</f>
        <v>28</v>
      </c>
      <c r="U215" s="65"/>
      <c r="V215" s="83"/>
      <c r="W215" s="49" t="str">
        <f t="shared" si="79"/>
        <v/>
      </c>
      <c r="X215" s="68">
        <f>IF(W215="",0,DATEDIF(W215,Q215,"Y"))</f>
        <v>0</v>
      </c>
      <c r="Y215" s="68">
        <f>IF(W215="",0,DATEDIF(W215,Q215,"YM"))</f>
        <v>0</v>
      </c>
      <c r="Z215" s="68">
        <f>IF(W215="",0,DATEDIF(W215,Q215,"MD"))</f>
        <v>0</v>
      </c>
      <c r="AA215" s="79"/>
      <c r="AB215" s="79"/>
      <c r="AC215" s="50" t="str">
        <f t="shared" si="80"/>
        <v/>
      </c>
      <c r="AD215" s="68">
        <f t="shared" si="81"/>
        <v>0</v>
      </c>
      <c r="AE215" s="68">
        <f t="shared" si="82"/>
        <v>0</v>
      </c>
      <c r="AF215" s="68">
        <f t="shared" si="83"/>
        <v>0</v>
      </c>
      <c r="AG215" s="79"/>
      <c r="AH215" s="108"/>
      <c r="AI215" s="49" t="str">
        <f>IF(AH215="นิติศาสตร์","K5-LAW","K5-POLICY")</f>
        <v>K5-POLICY</v>
      </c>
      <c r="AJ215" s="72" t="str">
        <f>_xlfn.IFS(B215="","",AND(AI215="K5-LAW",AH215="นิติศาสตร์",L215="S2",U215="",AA215=""),Q215,AND(AI215="K5-LAW",AH215="นิติศาสตร์",L215="S1",U215="",AA215=""),EDATE(Q215,12),AND(AI215="K5-LAW",AH215="นิติศาสตร์",OR(L215="M2",L215="K4"),U215="",AA215=""),EDATE(Q215,12*2),AND(AI215="K5-LAW",AH215="นิติศาสตร์",OR(AA215="M2",AA215="K4"),AD215&gt;=2,OR(AC215&lt;W215,AC215&lt;Q215)),EDATE(AC215,12*2),AND(AI215="K5-LAW",AH215="นิติศาสตร์",AA215="S1",AD215&gt;=1,OR(AC215&lt;W215,AC215&lt;Q215)),EDATE(AC215,12),AND(AI215="K5-LAW",AH215="นิติศาสตร์",OR(U215="M2",U215="K4"),X215&gt;=2,W215&lt;Q215),EDATE(W215,12*2),AND(AI215="K5-LAW",AH215="นิติศาสตร์",U215="S1",X215&gt;=1,W215&lt;Q215),EDATE(W215,12),AND(AI215="K5-LAW",AH215="นิติศาสตร์",OR(U215="S2",U215="K5")),W215,AND(AI215="K5-LAW",AH215="นิติศาสตร์",OR(L215="M2",L215="K4"),R215&gt;=2),EDATE(Q215,12*2),AND(AI215="K5-LAW",AH215="นิติศาสตร์",L215="S1",R215&gt;=1),EDATE(Q215,12),AND(AI215="K5-LAW",AH215="นิติศาสตร์",OR(L215="S2",L215="K5")),Q215,AND(AI215="K5-POLICY",AH215&lt;&gt;"นิติศาสตร์",L215="S2",U215="",AA215=""),Q215,AND(AI215="K5-POLICY",AH215&lt;&gt;"นิติศาสตร์",L215="S1",U215="",AA215=""),EDATE(Q215,12),AND(AI215="K5-POLICY",AH215&lt;&gt;"นิติศาสตร์",OR(L215="M2",L215="K4"),U215="",AA215=""),EDATE(Q215,12*2),AND(AI215="K5-POLICY",AH215&lt;&gt;"นิติศาสตร์",OR(AA215="M2",AA215="K4"),AD215&gt;=2,OR(AC215&lt;W215,AC215&lt;Q215)),EDATE(AC215,12*2),AND(AI215="K5-POLICY",AH215&lt;&gt;"นิติศาสตร์",AA215="S1",AD215&gt;=1,OR(AC215&lt;W215,AC215&lt;Q215)),EDATE(AC215,12),AND(AI215="K5-POLICY",AH215&lt;&gt;"นิติศาสตร์",OR(U215="M2",U215="K4"),X215&gt;=2,W215&lt;Q215),EDATE(W215,12*2),AND(AI215="K5-POLICY",AH215&lt;&gt;"นิติศาสตร์",U215="S1",X215&gt;=1,W215&lt;Q215),EDATE(W215,12),AND(AI215="K5-POLICY",AH215&lt;&gt;"นิติศาสตร์",OR(U215="S2",U215="K5")),W215,AND(AI215="K5-POLICY",AH215&lt;&gt;"นิติศาสตร์",OR(L215="M2",L215="K4"),R215&gt;=2),EDATE(Q215,12*2),AND(AI215="K5-POLICY",AH215&lt;&gt;"นิติศาสตร์",L215="S1",R215&gt;=1),EDATE(Q215,12),AND(AI215="K5-POLICY",AH215&lt;&gt;"นิติศาสตร์",OR(L215="S2",L215="K5")),Q215,TRUE,"Check Data")</f>
        <v/>
      </c>
      <c r="AK215" s="75" t="str">
        <f t="shared" si="72"/>
        <v>Check Data</v>
      </c>
      <c r="AL215" s="76" t="str">
        <f t="shared" si="78"/>
        <v>Check Data</v>
      </c>
      <c r="AM215" s="50" t="str">
        <f t="shared" si="73"/>
        <v>Check Data</v>
      </c>
      <c r="AN215" s="49" t="str">
        <f>IF(B215="","",IF(L215="S1","S1",INDEX(#REF!,#REF!)))</f>
        <v/>
      </c>
      <c r="AO215" s="49" t="str">
        <f>L215</f>
        <v>M2</v>
      </c>
      <c r="AP215" s="50" t="b">
        <f>L215=AN215</f>
        <v>0</v>
      </c>
      <c r="AQ215" s="50"/>
    </row>
    <row r="216" spans="1:43" ht="21.75">
      <c r="A216" s="49">
        <v>214</v>
      </c>
      <c r="B216" s="50"/>
      <c r="C216" s="52"/>
      <c r="D216" s="50" t="s">
        <v>143</v>
      </c>
      <c r="E216" s="50" t="e">
        <f>INDEX(#REF!,#REF!)</f>
        <v>#REF!</v>
      </c>
      <c r="F216" s="79"/>
      <c r="G216" s="79"/>
      <c r="H216" s="50">
        <f t="shared" si="75"/>
        <v>0</v>
      </c>
      <c r="I216" s="50">
        <f t="shared" si="76"/>
        <v>0</v>
      </c>
      <c r="J216" s="50">
        <f t="shared" si="77"/>
        <v>0</v>
      </c>
      <c r="K216" s="79"/>
      <c r="L216" s="49" t="s">
        <v>136</v>
      </c>
      <c r="M216" s="79"/>
      <c r="N216" s="79"/>
      <c r="O216" s="79"/>
      <c r="P216" s="65" t="s">
        <v>433</v>
      </c>
      <c r="Q216" s="49" t="str">
        <f t="shared" si="66"/>
        <v>23/04/2024</v>
      </c>
      <c r="R216" s="68">
        <f>IF(Q216="",0,DATEDIF(Q216,$C$1,"Y"))</f>
        <v>1</v>
      </c>
      <c r="S216" s="68">
        <f>IF(Q216="",0,DATEDIF(Q216,$C$1,"YM"))</f>
        <v>1</v>
      </c>
      <c r="T216" s="68">
        <f>IF(Q216="",0,DATEDIF(Q216,$C$1,"MD"))</f>
        <v>28</v>
      </c>
      <c r="U216" s="65"/>
      <c r="V216" s="83"/>
      <c r="W216" s="49" t="str">
        <f t="shared" si="79"/>
        <v/>
      </c>
      <c r="X216" s="68">
        <f>IF(W216="",0,DATEDIF(W216,Q216,"Y"))</f>
        <v>0</v>
      </c>
      <c r="Y216" s="68">
        <f>IF(W216="",0,DATEDIF(W216,Q216,"YM"))</f>
        <v>0</v>
      </c>
      <c r="Z216" s="68">
        <f>IF(W216="",0,DATEDIF(W216,Q216,"MD"))</f>
        <v>0</v>
      </c>
      <c r="AA216" s="79"/>
      <c r="AB216" s="79"/>
      <c r="AC216" s="50" t="str">
        <f t="shared" si="80"/>
        <v/>
      </c>
      <c r="AD216" s="68">
        <f t="shared" si="81"/>
        <v>0</v>
      </c>
      <c r="AE216" s="68">
        <f t="shared" si="82"/>
        <v>0</v>
      </c>
      <c r="AF216" s="68">
        <f t="shared" si="83"/>
        <v>0</v>
      </c>
      <c r="AG216" s="79"/>
      <c r="AH216" s="108"/>
      <c r="AI216" s="49" t="str">
        <f>IF(AH216="นิติศาสตร์","K5-LAW","K5-POLICY")</f>
        <v>K5-POLICY</v>
      </c>
      <c r="AJ216" s="72" t="str">
        <f>_xlfn.IFS(B216="","",AND(AI216="K5-LAW",AH216="นิติศาสตร์",L216="S2",U216="",AA216=""),Q216,AND(AI216="K5-LAW",AH216="นิติศาสตร์",L216="S1",U216="",AA216=""),EDATE(Q216,12),AND(AI216="K5-LAW",AH216="นิติศาสตร์",OR(L216="M2",L216="K4"),U216="",AA216=""),EDATE(Q216,12*2),AND(AI216="K5-LAW",AH216="นิติศาสตร์",OR(AA216="M2",AA216="K4"),AD216&gt;=2,OR(AC216&lt;W216,AC216&lt;Q216)),EDATE(AC216,12*2),AND(AI216="K5-LAW",AH216="นิติศาสตร์",AA216="S1",AD216&gt;=1,OR(AC216&lt;W216,AC216&lt;Q216)),EDATE(AC216,12),AND(AI216="K5-LAW",AH216="นิติศาสตร์",OR(U216="M2",U216="K4"),X216&gt;=2,W216&lt;Q216),EDATE(W216,12*2),AND(AI216="K5-LAW",AH216="นิติศาสตร์",U216="S1",X216&gt;=1,W216&lt;Q216),EDATE(W216,12),AND(AI216="K5-LAW",AH216="นิติศาสตร์",OR(U216="S2",U216="K5")),W216,AND(AI216="K5-LAW",AH216="นิติศาสตร์",OR(L216="M2",L216="K4"),R216&gt;=2),EDATE(Q216,12*2),AND(AI216="K5-LAW",AH216="นิติศาสตร์",L216="S1",R216&gt;=1),EDATE(Q216,12),AND(AI216="K5-LAW",AH216="นิติศาสตร์",OR(L216="S2",L216="K5")),Q216,AND(AI216="K5-POLICY",AH216&lt;&gt;"นิติศาสตร์",L216="S2",U216="",AA216=""),Q216,AND(AI216="K5-POLICY",AH216&lt;&gt;"นิติศาสตร์",L216="S1",U216="",AA216=""),EDATE(Q216,12),AND(AI216="K5-POLICY",AH216&lt;&gt;"นิติศาสตร์",OR(L216="M2",L216="K4"),U216="",AA216=""),EDATE(Q216,12*2),AND(AI216="K5-POLICY",AH216&lt;&gt;"นิติศาสตร์",OR(AA216="M2",AA216="K4"),AD216&gt;=2,OR(AC216&lt;W216,AC216&lt;Q216)),EDATE(AC216,12*2),AND(AI216="K5-POLICY",AH216&lt;&gt;"นิติศาสตร์",AA216="S1",AD216&gt;=1,OR(AC216&lt;W216,AC216&lt;Q216)),EDATE(AC216,12),AND(AI216="K5-POLICY",AH216&lt;&gt;"นิติศาสตร์",OR(U216="M2",U216="K4"),X216&gt;=2,W216&lt;Q216),EDATE(W216,12*2),AND(AI216="K5-POLICY",AH216&lt;&gt;"นิติศาสตร์",U216="S1",X216&gt;=1,W216&lt;Q216),EDATE(W216,12),AND(AI216="K5-POLICY",AH216&lt;&gt;"นิติศาสตร์",OR(U216="S2",U216="K5")),W216,AND(AI216="K5-POLICY",AH216&lt;&gt;"นิติศาสตร์",OR(L216="M2",L216="K4"),R216&gt;=2),EDATE(Q216,12*2),AND(AI216="K5-POLICY",AH216&lt;&gt;"นิติศาสตร์",L216="S1",R216&gt;=1),EDATE(Q216,12),AND(AI216="K5-POLICY",AH216&lt;&gt;"นิติศาสตร์",OR(L216="S2",L216="K5")),Q216,TRUE,"Check Data")</f>
        <v/>
      </c>
      <c r="AK216" s="75" t="str">
        <f t="shared" si="72"/>
        <v>Check Data</v>
      </c>
      <c r="AL216" s="76" t="str">
        <f t="shared" si="78"/>
        <v>Check Data</v>
      </c>
      <c r="AM216" s="50" t="str">
        <f t="shared" si="73"/>
        <v>Check Data</v>
      </c>
      <c r="AN216" s="49" t="str">
        <f>IF(B216="","",IF(L216="S1","S1",INDEX(#REF!,#REF!)))</f>
        <v/>
      </c>
      <c r="AO216" s="49" t="str">
        <f>L216</f>
        <v>M2</v>
      </c>
      <c r="AP216" s="50" t="b">
        <f>L216=AN216</f>
        <v>0</v>
      </c>
      <c r="AQ216" s="50"/>
    </row>
    <row r="217" spans="1:43" ht="21.75">
      <c r="A217" s="49">
        <v>215</v>
      </c>
      <c r="B217" s="50"/>
      <c r="C217" s="52"/>
      <c r="D217" s="50" t="s">
        <v>143</v>
      </c>
      <c r="E217" s="50" t="e">
        <f>INDEX(#REF!,#REF!)</f>
        <v>#REF!</v>
      </c>
      <c r="F217" s="79"/>
      <c r="G217" s="79"/>
      <c r="H217" s="50">
        <f t="shared" si="75"/>
        <v>0</v>
      </c>
      <c r="I217" s="50">
        <f t="shared" si="76"/>
        <v>0</v>
      </c>
      <c r="J217" s="50">
        <f t="shared" si="77"/>
        <v>0</v>
      </c>
      <c r="K217" s="79"/>
      <c r="L217" s="49" t="s">
        <v>136</v>
      </c>
      <c r="M217" s="79"/>
      <c r="N217" s="79"/>
      <c r="O217" s="79"/>
      <c r="P217" s="65" t="s">
        <v>433</v>
      </c>
      <c r="Q217" s="49" t="str">
        <f t="shared" si="66"/>
        <v>23/04/2024</v>
      </c>
      <c r="R217" s="68">
        <f>IF(Q217="",0,DATEDIF(Q217,$C$1,"Y"))</f>
        <v>1</v>
      </c>
      <c r="S217" s="68">
        <f>IF(Q217="",0,DATEDIF(Q217,$C$1,"YM"))</f>
        <v>1</v>
      </c>
      <c r="T217" s="68">
        <f>IF(Q217="",0,DATEDIF(Q217,$C$1,"MD"))</f>
        <v>28</v>
      </c>
      <c r="U217" s="65"/>
      <c r="V217" s="83"/>
      <c r="W217" s="49" t="str">
        <f t="shared" si="79"/>
        <v/>
      </c>
      <c r="X217" s="68">
        <f>IF(W217="",0,DATEDIF(W217,Q217,"Y"))</f>
        <v>0</v>
      </c>
      <c r="Y217" s="68">
        <f>IF(W217="",0,DATEDIF(W217,Q217,"YM"))</f>
        <v>0</v>
      </c>
      <c r="Z217" s="68">
        <f>IF(W217="",0,DATEDIF(W217,Q217,"MD"))</f>
        <v>0</v>
      </c>
      <c r="AA217" s="79"/>
      <c r="AB217" s="79"/>
      <c r="AC217" s="50" t="str">
        <f t="shared" si="80"/>
        <v/>
      </c>
      <c r="AD217" s="68">
        <f t="shared" si="81"/>
        <v>0</v>
      </c>
      <c r="AE217" s="68">
        <f t="shared" si="82"/>
        <v>0</v>
      </c>
      <c r="AF217" s="68">
        <f t="shared" si="83"/>
        <v>0</v>
      </c>
      <c r="AG217" s="79"/>
      <c r="AH217" s="108"/>
      <c r="AI217" s="49" t="str">
        <f>IF(AH217="นิติศาสตร์","K5-LAW","K5-POLICY")</f>
        <v>K5-POLICY</v>
      </c>
      <c r="AJ217" s="72" t="str">
        <f>_xlfn.IFS(B217="","",AND(AI217="K5-LAW",AH217="นิติศาสตร์",L217="S2",U217="",AA217=""),Q217,AND(AI217="K5-LAW",AH217="นิติศาสตร์",L217="S1",U217="",AA217=""),EDATE(Q217,12),AND(AI217="K5-LAW",AH217="นิติศาสตร์",OR(L217="M2",L217="K4"),U217="",AA217=""),EDATE(Q217,12*2),AND(AI217="K5-LAW",AH217="นิติศาสตร์",OR(AA217="M2",AA217="K4"),AD217&gt;=2,OR(AC217&lt;W217,AC217&lt;Q217)),EDATE(AC217,12*2),AND(AI217="K5-LAW",AH217="นิติศาสตร์",AA217="S1",AD217&gt;=1,OR(AC217&lt;W217,AC217&lt;Q217)),EDATE(AC217,12),AND(AI217="K5-LAW",AH217="นิติศาสตร์",OR(U217="M2",U217="K4"),X217&gt;=2,W217&lt;Q217),EDATE(W217,12*2),AND(AI217="K5-LAW",AH217="นิติศาสตร์",U217="S1",X217&gt;=1,W217&lt;Q217),EDATE(W217,12),AND(AI217="K5-LAW",AH217="นิติศาสตร์",OR(U217="S2",U217="K5")),W217,AND(AI217="K5-LAW",AH217="นิติศาสตร์",OR(L217="M2",L217="K4"),R217&gt;=2),EDATE(Q217,12*2),AND(AI217="K5-LAW",AH217="นิติศาสตร์",L217="S1",R217&gt;=1),EDATE(Q217,12),AND(AI217="K5-LAW",AH217="นิติศาสตร์",OR(L217="S2",L217="K5")),Q217,AND(AI217="K5-POLICY",AH217&lt;&gt;"นิติศาสตร์",L217="S2",U217="",AA217=""),Q217,AND(AI217="K5-POLICY",AH217&lt;&gt;"นิติศาสตร์",L217="S1",U217="",AA217=""),EDATE(Q217,12),AND(AI217="K5-POLICY",AH217&lt;&gt;"นิติศาสตร์",OR(L217="M2",L217="K4"),U217="",AA217=""),EDATE(Q217,12*2),AND(AI217="K5-POLICY",AH217&lt;&gt;"นิติศาสตร์",OR(AA217="M2",AA217="K4"),AD217&gt;=2,OR(AC217&lt;W217,AC217&lt;Q217)),EDATE(AC217,12*2),AND(AI217="K5-POLICY",AH217&lt;&gt;"นิติศาสตร์",AA217="S1",AD217&gt;=1,OR(AC217&lt;W217,AC217&lt;Q217)),EDATE(AC217,12),AND(AI217="K5-POLICY",AH217&lt;&gt;"นิติศาสตร์",OR(U217="M2",U217="K4"),X217&gt;=2,W217&lt;Q217),EDATE(W217,12*2),AND(AI217="K5-POLICY",AH217&lt;&gt;"นิติศาสตร์",U217="S1",X217&gt;=1,W217&lt;Q217),EDATE(W217,12),AND(AI217="K5-POLICY",AH217&lt;&gt;"นิติศาสตร์",OR(U217="S2",U217="K5")),W217,AND(AI217="K5-POLICY",AH217&lt;&gt;"นิติศาสตร์",OR(L217="M2",L217="K4"),R217&gt;=2),EDATE(Q217,12*2),AND(AI217="K5-POLICY",AH217&lt;&gt;"นิติศาสตร์",L217="S1",R217&gt;=1),EDATE(Q217,12),AND(AI217="K5-POLICY",AH217&lt;&gt;"นิติศาสตร์",OR(L217="S2",L217="K5")),Q217,TRUE,"Check Data")</f>
        <v/>
      </c>
      <c r="AK217" s="75" t="str">
        <f t="shared" si="72"/>
        <v>Check Data</v>
      </c>
      <c r="AL217" s="76" t="str">
        <f t="shared" si="78"/>
        <v>Check Data</v>
      </c>
      <c r="AM217" s="50" t="str">
        <f t="shared" si="73"/>
        <v>Check Data</v>
      </c>
      <c r="AN217" s="49" t="str">
        <f>IF(B217="","",IF(L217="S1","S1",INDEX(#REF!,#REF!)))</f>
        <v/>
      </c>
      <c r="AO217" s="49" t="str">
        <f>L217</f>
        <v>M2</v>
      </c>
      <c r="AP217" s="50" t="b">
        <f>L217=AN217</f>
        <v>0</v>
      </c>
      <c r="AQ217" s="50"/>
    </row>
    <row r="218" spans="1:43" ht="21.75">
      <c r="A218" s="49">
        <v>216</v>
      </c>
      <c r="B218" s="50"/>
      <c r="C218" s="52"/>
      <c r="D218" s="50" t="s">
        <v>143</v>
      </c>
      <c r="E218" s="50" t="e">
        <f>INDEX(#REF!,#REF!)</f>
        <v>#REF!</v>
      </c>
      <c r="F218" s="79"/>
      <c r="G218" s="79"/>
      <c r="H218" s="50">
        <f t="shared" si="75"/>
        <v>0</v>
      </c>
      <c r="I218" s="50">
        <f t="shared" si="76"/>
        <v>0</v>
      </c>
      <c r="J218" s="50">
        <f t="shared" si="77"/>
        <v>0</v>
      </c>
      <c r="K218" s="79"/>
      <c r="L218" s="49" t="s">
        <v>136</v>
      </c>
      <c r="M218" s="79"/>
      <c r="N218" s="79"/>
      <c r="O218" s="79"/>
      <c r="P218" s="65" t="s">
        <v>433</v>
      </c>
      <c r="Q218" s="49" t="str">
        <f t="shared" si="66"/>
        <v>23/04/2024</v>
      </c>
      <c r="R218" s="68">
        <f>IF(Q218="",0,DATEDIF(Q218,$C$1,"Y"))</f>
        <v>1</v>
      </c>
      <c r="S218" s="68">
        <f>IF(Q218="",0,DATEDIF(Q218,$C$1,"YM"))</f>
        <v>1</v>
      </c>
      <c r="T218" s="68">
        <f>IF(Q218="",0,DATEDIF(Q218,$C$1,"MD"))</f>
        <v>28</v>
      </c>
      <c r="U218" s="65"/>
      <c r="V218" s="83"/>
      <c r="W218" s="49" t="str">
        <f t="shared" si="79"/>
        <v/>
      </c>
      <c r="X218" s="68">
        <f>IF(W218="",0,DATEDIF(W218,Q218,"Y"))</f>
        <v>0</v>
      </c>
      <c r="Y218" s="68">
        <f>IF(W218="",0,DATEDIF(W218,Q218,"YM"))</f>
        <v>0</v>
      </c>
      <c r="Z218" s="68">
        <f>IF(W218="",0,DATEDIF(W218,Q218,"MD"))</f>
        <v>0</v>
      </c>
      <c r="AA218" s="79"/>
      <c r="AB218" s="79"/>
      <c r="AC218" s="50" t="str">
        <f t="shared" si="80"/>
        <v/>
      </c>
      <c r="AD218" s="68">
        <f t="shared" si="81"/>
        <v>0</v>
      </c>
      <c r="AE218" s="68">
        <f t="shared" si="82"/>
        <v>0</v>
      </c>
      <c r="AF218" s="68">
        <f t="shared" si="83"/>
        <v>0</v>
      </c>
      <c r="AG218" s="79"/>
      <c r="AH218" s="108"/>
      <c r="AI218" s="49" t="str">
        <f>IF(AH218="นิติศาสตร์","K5-LAW","K5-POLICY")</f>
        <v>K5-POLICY</v>
      </c>
      <c r="AJ218" s="72" t="str">
        <f>_xlfn.IFS(B218="","",AND(AI218="K5-LAW",AH218="นิติศาสตร์",L218="S2",U218="",AA218=""),Q218,AND(AI218="K5-LAW",AH218="นิติศาสตร์",L218="S1",U218="",AA218=""),EDATE(Q218,12),AND(AI218="K5-LAW",AH218="นิติศาสตร์",OR(L218="M2",L218="K4"),U218="",AA218=""),EDATE(Q218,12*2),AND(AI218="K5-LAW",AH218="นิติศาสตร์",OR(AA218="M2",AA218="K4"),AD218&gt;=2,OR(AC218&lt;W218,AC218&lt;Q218)),EDATE(AC218,12*2),AND(AI218="K5-LAW",AH218="นิติศาสตร์",AA218="S1",AD218&gt;=1,OR(AC218&lt;W218,AC218&lt;Q218)),EDATE(AC218,12),AND(AI218="K5-LAW",AH218="นิติศาสตร์",OR(U218="M2",U218="K4"),X218&gt;=2,W218&lt;Q218),EDATE(W218,12*2),AND(AI218="K5-LAW",AH218="นิติศาสตร์",U218="S1",X218&gt;=1,W218&lt;Q218),EDATE(W218,12),AND(AI218="K5-LAW",AH218="นิติศาสตร์",OR(U218="S2",U218="K5")),W218,AND(AI218="K5-LAW",AH218="นิติศาสตร์",OR(L218="M2",L218="K4"),R218&gt;=2),EDATE(Q218,12*2),AND(AI218="K5-LAW",AH218="นิติศาสตร์",L218="S1",R218&gt;=1),EDATE(Q218,12),AND(AI218="K5-LAW",AH218="นิติศาสตร์",OR(L218="S2",L218="K5")),Q218,AND(AI218="K5-POLICY",AH218&lt;&gt;"นิติศาสตร์",L218="S2",U218="",AA218=""),Q218,AND(AI218="K5-POLICY",AH218&lt;&gt;"นิติศาสตร์",L218="S1",U218="",AA218=""),EDATE(Q218,12),AND(AI218="K5-POLICY",AH218&lt;&gt;"นิติศาสตร์",OR(L218="M2",L218="K4"),U218="",AA218=""),EDATE(Q218,12*2),AND(AI218="K5-POLICY",AH218&lt;&gt;"นิติศาสตร์",OR(AA218="M2",AA218="K4"),AD218&gt;=2,OR(AC218&lt;W218,AC218&lt;Q218)),EDATE(AC218,12*2),AND(AI218="K5-POLICY",AH218&lt;&gt;"นิติศาสตร์",AA218="S1",AD218&gt;=1,OR(AC218&lt;W218,AC218&lt;Q218)),EDATE(AC218,12),AND(AI218="K5-POLICY",AH218&lt;&gt;"นิติศาสตร์",OR(U218="M2",U218="K4"),X218&gt;=2,W218&lt;Q218),EDATE(W218,12*2),AND(AI218="K5-POLICY",AH218&lt;&gt;"นิติศาสตร์",U218="S1",X218&gt;=1,W218&lt;Q218),EDATE(W218,12),AND(AI218="K5-POLICY",AH218&lt;&gt;"นิติศาสตร์",OR(U218="S2",U218="K5")),W218,AND(AI218="K5-POLICY",AH218&lt;&gt;"นิติศาสตร์",OR(L218="M2",L218="K4"),R218&gt;=2),EDATE(Q218,12*2),AND(AI218="K5-POLICY",AH218&lt;&gt;"นิติศาสตร์",L218="S1",R218&gt;=1),EDATE(Q218,12),AND(AI218="K5-POLICY",AH218&lt;&gt;"นิติศาสตร์",OR(L218="S2",L218="K5")),Q218,TRUE,"Check Data")</f>
        <v/>
      </c>
      <c r="AK218" s="75" t="str">
        <f t="shared" si="72"/>
        <v>Check Data</v>
      </c>
      <c r="AL218" s="76" t="str">
        <f t="shared" si="78"/>
        <v>Check Data</v>
      </c>
      <c r="AM218" s="50" t="str">
        <f t="shared" si="73"/>
        <v>Check Data</v>
      </c>
      <c r="AN218" s="49" t="str">
        <f>IF(B218="","",IF(L218="S1","S1",INDEX(#REF!,#REF!)))</f>
        <v/>
      </c>
      <c r="AO218" s="49" t="str">
        <f>L218</f>
        <v>M2</v>
      </c>
      <c r="AP218" s="50" t="b">
        <f>L218=AN218</f>
        <v>0</v>
      </c>
      <c r="AQ218" s="50"/>
    </row>
    <row r="219" spans="1:43" ht="21.75">
      <c r="A219" s="49">
        <v>217</v>
      </c>
      <c r="B219" s="50"/>
      <c r="C219" s="52"/>
      <c r="D219" s="50" t="s">
        <v>143</v>
      </c>
      <c r="E219" s="50" t="e">
        <f>INDEX(#REF!,#REF!)</f>
        <v>#REF!</v>
      </c>
      <c r="F219" s="79"/>
      <c r="G219" s="79"/>
      <c r="H219" s="50">
        <f t="shared" si="75"/>
        <v>0</v>
      </c>
      <c r="I219" s="50">
        <f t="shared" si="76"/>
        <v>0</v>
      </c>
      <c r="J219" s="50">
        <f t="shared" si="77"/>
        <v>0</v>
      </c>
      <c r="K219" s="79"/>
      <c r="L219" s="49" t="s">
        <v>136</v>
      </c>
      <c r="M219" s="79"/>
      <c r="N219" s="79"/>
      <c r="O219" s="79"/>
      <c r="P219" s="65" t="s">
        <v>433</v>
      </c>
      <c r="Q219" s="49" t="str">
        <f t="shared" si="66"/>
        <v>23/04/2024</v>
      </c>
      <c r="R219" s="68">
        <f>IF(Q219="",0,DATEDIF(Q219,$C$1,"Y"))</f>
        <v>1</v>
      </c>
      <c r="S219" s="68">
        <f>IF(Q219="",0,DATEDIF(Q219,$C$1,"YM"))</f>
        <v>1</v>
      </c>
      <c r="T219" s="68">
        <f>IF(Q219="",0,DATEDIF(Q219,$C$1,"MD"))</f>
        <v>28</v>
      </c>
      <c r="U219" s="65"/>
      <c r="V219" s="83"/>
      <c r="W219" s="49" t="str">
        <f t="shared" si="79"/>
        <v/>
      </c>
      <c r="X219" s="68">
        <f>IF(W219="",0,DATEDIF(W219,Q219,"Y"))</f>
        <v>0</v>
      </c>
      <c r="Y219" s="68">
        <f>IF(W219="",0,DATEDIF(W219,Q219,"YM"))</f>
        <v>0</v>
      </c>
      <c r="Z219" s="68">
        <f>IF(W219="",0,DATEDIF(W219,Q219,"MD"))</f>
        <v>0</v>
      </c>
      <c r="AA219" s="79"/>
      <c r="AB219" s="79"/>
      <c r="AC219" s="50" t="str">
        <f t="shared" si="80"/>
        <v/>
      </c>
      <c r="AD219" s="68">
        <f t="shared" si="81"/>
        <v>0</v>
      </c>
      <c r="AE219" s="68">
        <f t="shared" si="82"/>
        <v>0</v>
      </c>
      <c r="AF219" s="68">
        <f t="shared" si="83"/>
        <v>0</v>
      </c>
      <c r="AG219" s="79"/>
      <c r="AH219" s="108"/>
      <c r="AI219" s="49" t="str">
        <f>IF(AH219="นิติศาสตร์","K5-LAW","K5-POLICY")</f>
        <v>K5-POLICY</v>
      </c>
      <c r="AJ219" s="72" t="str">
        <f>_xlfn.IFS(B219="","",AND(AI219="K5-LAW",AH219="นิติศาสตร์",L219="S2",U219="",AA219=""),Q219,AND(AI219="K5-LAW",AH219="นิติศาสตร์",L219="S1",U219="",AA219=""),EDATE(Q219,12),AND(AI219="K5-LAW",AH219="นิติศาสตร์",OR(L219="M2",L219="K4"),U219="",AA219=""),EDATE(Q219,12*2),AND(AI219="K5-LAW",AH219="นิติศาสตร์",OR(AA219="M2",AA219="K4"),AD219&gt;=2,OR(AC219&lt;W219,AC219&lt;Q219)),EDATE(AC219,12*2),AND(AI219="K5-LAW",AH219="นิติศาสตร์",AA219="S1",AD219&gt;=1,OR(AC219&lt;W219,AC219&lt;Q219)),EDATE(AC219,12),AND(AI219="K5-LAW",AH219="นิติศาสตร์",OR(U219="M2",U219="K4"),X219&gt;=2,W219&lt;Q219),EDATE(W219,12*2),AND(AI219="K5-LAW",AH219="นิติศาสตร์",U219="S1",X219&gt;=1,W219&lt;Q219),EDATE(W219,12),AND(AI219="K5-LAW",AH219="นิติศาสตร์",OR(U219="S2",U219="K5")),W219,AND(AI219="K5-LAW",AH219="นิติศาสตร์",OR(L219="M2",L219="K4"),R219&gt;=2),EDATE(Q219,12*2),AND(AI219="K5-LAW",AH219="นิติศาสตร์",L219="S1",R219&gt;=1),EDATE(Q219,12),AND(AI219="K5-LAW",AH219="นิติศาสตร์",OR(L219="S2",L219="K5")),Q219,AND(AI219="K5-POLICY",AH219&lt;&gt;"นิติศาสตร์",L219="S2",U219="",AA219=""),Q219,AND(AI219="K5-POLICY",AH219&lt;&gt;"นิติศาสตร์",L219="S1",U219="",AA219=""),EDATE(Q219,12),AND(AI219="K5-POLICY",AH219&lt;&gt;"นิติศาสตร์",OR(L219="M2",L219="K4"),U219="",AA219=""),EDATE(Q219,12*2),AND(AI219="K5-POLICY",AH219&lt;&gt;"นิติศาสตร์",OR(AA219="M2",AA219="K4"),AD219&gt;=2,OR(AC219&lt;W219,AC219&lt;Q219)),EDATE(AC219,12*2),AND(AI219="K5-POLICY",AH219&lt;&gt;"นิติศาสตร์",AA219="S1",AD219&gt;=1,OR(AC219&lt;W219,AC219&lt;Q219)),EDATE(AC219,12),AND(AI219="K5-POLICY",AH219&lt;&gt;"นิติศาสตร์",OR(U219="M2",U219="K4"),X219&gt;=2,W219&lt;Q219),EDATE(W219,12*2),AND(AI219="K5-POLICY",AH219&lt;&gt;"นิติศาสตร์",U219="S1",X219&gt;=1,W219&lt;Q219),EDATE(W219,12),AND(AI219="K5-POLICY",AH219&lt;&gt;"นิติศาสตร์",OR(U219="S2",U219="K5")),W219,AND(AI219="K5-POLICY",AH219&lt;&gt;"นิติศาสตร์",OR(L219="M2",L219="K4"),R219&gt;=2),EDATE(Q219,12*2),AND(AI219="K5-POLICY",AH219&lt;&gt;"นิติศาสตร์",L219="S1",R219&gt;=1),EDATE(Q219,12),AND(AI219="K5-POLICY",AH219&lt;&gt;"นิติศาสตร์",OR(L219="S2",L219="K5")),Q219,TRUE,"Check Data")</f>
        <v/>
      </c>
      <c r="AK219" s="75" t="str">
        <f t="shared" si="72"/>
        <v>Check Data</v>
      </c>
      <c r="AL219" s="76" t="str">
        <f t="shared" si="78"/>
        <v>Check Data</v>
      </c>
      <c r="AM219" s="50" t="str">
        <f t="shared" si="73"/>
        <v>Check Data</v>
      </c>
      <c r="AN219" s="49" t="str">
        <f>IF(B219="","",IF(L219="S1","S1",INDEX(#REF!,#REF!)))</f>
        <v/>
      </c>
      <c r="AO219" s="49" t="str">
        <f>L219</f>
        <v>M2</v>
      </c>
      <c r="AP219" s="50" t="b">
        <f>L219=AN219</f>
        <v>0</v>
      </c>
      <c r="AQ219" s="50"/>
    </row>
    <row r="220" spans="1:43" ht="21.75">
      <c r="A220" s="49">
        <v>218</v>
      </c>
      <c r="B220" s="50"/>
      <c r="C220" s="52"/>
      <c r="D220" s="50" t="s">
        <v>143</v>
      </c>
      <c r="E220" s="50" t="e">
        <f>INDEX(#REF!,#REF!)</f>
        <v>#REF!</v>
      </c>
      <c r="F220" s="79"/>
      <c r="G220" s="79"/>
      <c r="H220" s="50">
        <f t="shared" si="75"/>
        <v>0</v>
      </c>
      <c r="I220" s="50">
        <f t="shared" si="76"/>
        <v>0</v>
      </c>
      <c r="J220" s="50">
        <f t="shared" si="77"/>
        <v>0</v>
      </c>
      <c r="K220" s="79"/>
      <c r="L220" s="49" t="s">
        <v>136</v>
      </c>
      <c r="M220" s="79"/>
      <c r="N220" s="79"/>
      <c r="O220" s="79"/>
      <c r="P220" s="65" t="s">
        <v>433</v>
      </c>
      <c r="Q220" s="49" t="str">
        <f t="shared" si="66"/>
        <v>23/04/2024</v>
      </c>
      <c r="R220" s="68">
        <f>IF(Q220="",0,DATEDIF(Q220,$C$1,"Y"))</f>
        <v>1</v>
      </c>
      <c r="S220" s="68">
        <f>IF(Q220="",0,DATEDIF(Q220,$C$1,"YM"))</f>
        <v>1</v>
      </c>
      <c r="T220" s="68">
        <f>IF(Q220="",0,DATEDIF(Q220,$C$1,"MD"))</f>
        <v>28</v>
      </c>
      <c r="U220" s="65"/>
      <c r="V220" s="83"/>
      <c r="W220" s="49" t="str">
        <f t="shared" si="79"/>
        <v/>
      </c>
      <c r="X220" s="68">
        <f>IF(W220="",0,DATEDIF(W220,Q220,"Y"))</f>
        <v>0</v>
      </c>
      <c r="Y220" s="68">
        <f>IF(W220="",0,DATEDIF(W220,Q220,"YM"))</f>
        <v>0</v>
      </c>
      <c r="Z220" s="68">
        <f>IF(W220="",0,DATEDIF(W220,Q220,"MD"))</f>
        <v>0</v>
      </c>
      <c r="AA220" s="79"/>
      <c r="AB220" s="79"/>
      <c r="AC220" s="50" t="str">
        <f t="shared" si="80"/>
        <v/>
      </c>
      <c r="AD220" s="68">
        <f t="shared" si="81"/>
        <v>0</v>
      </c>
      <c r="AE220" s="68">
        <f t="shared" si="82"/>
        <v>0</v>
      </c>
      <c r="AF220" s="68">
        <f t="shared" si="83"/>
        <v>0</v>
      </c>
      <c r="AG220" s="79"/>
      <c r="AH220" s="108"/>
      <c r="AI220" s="49" t="str">
        <f>IF(AH220="นิติศาสตร์","K5-LAW","K5-POLICY")</f>
        <v>K5-POLICY</v>
      </c>
      <c r="AJ220" s="72" t="str">
        <f>_xlfn.IFS(B220="","",AND(AI220="K5-LAW",AH220="นิติศาสตร์",L220="S2",U220="",AA220=""),Q220,AND(AI220="K5-LAW",AH220="นิติศาสตร์",L220="S1",U220="",AA220=""),EDATE(Q220,12),AND(AI220="K5-LAW",AH220="นิติศาสตร์",OR(L220="M2",L220="K4"),U220="",AA220=""),EDATE(Q220,12*2),AND(AI220="K5-LAW",AH220="นิติศาสตร์",OR(AA220="M2",AA220="K4"),AD220&gt;=2,OR(AC220&lt;W220,AC220&lt;Q220)),EDATE(AC220,12*2),AND(AI220="K5-LAW",AH220="นิติศาสตร์",AA220="S1",AD220&gt;=1,OR(AC220&lt;W220,AC220&lt;Q220)),EDATE(AC220,12),AND(AI220="K5-LAW",AH220="นิติศาสตร์",OR(U220="M2",U220="K4"),X220&gt;=2,W220&lt;Q220),EDATE(W220,12*2),AND(AI220="K5-LAW",AH220="นิติศาสตร์",U220="S1",X220&gt;=1,W220&lt;Q220),EDATE(W220,12),AND(AI220="K5-LAW",AH220="นิติศาสตร์",OR(U220="S2",U220="K5")),W220,AND(AI220="K5-LAW",AH220="นิติศาสตร์",OR(L220="M2",L220="K4"),R220&gt;=2),EDATE(Q220,12*2),AND(AI220="K5-LAW",AH220="นิติศาสตร์",L220="S1",R220&gt;=1),EDATE(Q220,12),AND(AI220="K5-LAW",AH220="นิติศาสตร์",OR(L220="S2",L220="K5")),Q220,AND(AI220="K5-POLICY",AH220&lt;&gt;"นิติศาสตร์",L220="S2",U220="",AA220=""),Q220,AND(AI220="K5-POLICY",AH220&lt;&gt;"นิติศาสตร์",L220="S1",U220="",AA220=""),EDATE(Q220,12),AND(AI220="K5-POLICY",AH220&lt;&gt;"นิติศาสตร์",OR(L220="M2",L220="K4"),U220="",AA220=""),EDATE(Q220,12*2),AND(AI220="K5-POLICY",AH220&lt;&gt;"นิติศาสตร์",OR(AA220="M2",AA220="K4"),AD220&gt;=2,OR(AC220&lt;W220,AC220&lt;Q220)),EDATE(AC220,12*2),AND(AI220="K5-POLICY",AH220&lt;&gt;"นิติศาสตร์",AA220="S1",AD220&gt;=1,OR(AC220&lt;W220,AC220&lt;Q220)),EDATE(AC220,12),AND(AI220="K5-POLICY",AH220&lt;&gt;"นิติศาสตร์",OR(U220="M2",U220="K4"),X220&gt;=2,W220&lt;Q220),EDATE(W220,12*2),AND(AI220="K5-POLICY",AH220&lt;&gt;"นิติศาสตร์",U220="S1",X220&gt;=1,W220&lt;Q220),EDATE(W220,12),AND(AI220="K5-POLICY",AH220&lt;&gt;"นิติศาสตร์",OR(U220="S2",U220="K5")),W220,AND(AI220="K5-POLICY",AH220&lt;&gt;"นิติศาสตร์",OR(L220="M2",L220="K4"),R220&gt;=2),EDATE(Q220,12*2),AND(AI220="K5-POLICY",AH220&lt;&gt;"นิติศาสตร์",L220="S1",R220&gt;=1),EDATE(Q220,12),AND(AI220="K5-POLICY",AH220&lt;&gt;"นิติศาสตร์",OR(L220="S2",L220="K5")),Q220,TRUE,"Check Data")</f>
        <v/>
      </c>
      <c r="AK220" s="75" t="str">
        <f t="shared" si="72"/>
        <v>Check Data</v>
      </c>
      <c r="AL220" s="76" t="str">
        <f t="shared" si="78"/>
        <v>Check Data</v>
      </c>
      <c r="AM220" s="50" t="str">
        <f t="shared" si="73"/>
        <v>Check Data</v>
      </c>
      <c r="AN220" s="49" t="str">
        <f>IF(B220="","",IF(L220="S1","S1",INDEX(#REF!,#REF!)))</f>
        <v/>
      </c>
      <c r="AO220" s="49" t="str">
        <f>L220</f>
        <v>M2</v>
      </c>
      <c r="AP220" s="50" t="b">
        <f>L220=AN220</f>
        <v>0</v>
      </c>
      <c r="AQ220" s="50"/>
    </row>
    <row r="221" spans="1:43" ht="21.75">
      <c r="A221" s="49">
        <v>219</v>
      </c>
      <c r="B221" s="50"/>
      <c r="C221" s="52"/>
      <c r="D221" s="50" t="s">
        <v>143</v>
      </c>
      <c r="E221" s="50" t="e">
        <f>INDEX(#REF!,#REF!)</f>
        <v>#REF!</v>
      </c>
      <c r="F221" s="79"/>
      <c r="G221" s="79"/>
      <c r="H221" s="50">
        <f t="shared" si="75"/>
        <v>0</v>
      </c>
      <c r="I221" s="50">
        <f t="shared" si="76"/>
        <v>0</v>
      </c>
      <c r="J221" s="50">
        <f t="shared" si="77"/>
        <v>0</v>
      </c>
      <c r="K221" s="79"/>
      <c r="L221" s="49" t="s">
        <v>136</v>
      </c>
      <c r="M221" s="79"/>
      <c r="N221" s="79"/>
      <c r="O221" s="79"/>
      <c r="P221" s="65" t="s">
        <v>433</v>
      </c>
      <c r="Q221" s="49" t="str">
        <f t="shared" si="66"/>
        <v>23/04/2024</v>
      </c>
      <c r="R221" s="68">
        <f>IF(Q221="",0,DATEDIF(Q221,$C$1,"Y"))</f>
        <v>1</v>
      </c>
      <c r="S221" s="68">
        <f>IF(Q221="",0,DATEDIF(Q221,$C$1,"YM"))</f>
        <v>1</v>
      </c>
      <c r="T221" s="68">
        <f>IF(Q221="",0,DATEDIF(Q221,$C$1,"MD"))</f>
        <v>28</v>
      </c>
      <c r="U221" s="65"/>
      <c r="V221" s="83"/>
      <c r="W221" s="49" t="str">
        <f t="shared" si="79"/>
        <v/>
      </c>
      <c r="X221" s="68">
        <f>IF(W221="",0,DATEDIF(W221,Q221,"Y"))</f>
        <v>0</v>
      </c>
      <c r="Y221" s="68">
        <f>IF(W221="",0,DATEDIF(W221,Q221,"YM"))</f>
        <v>0</v>
      </c>
      <c r="Z221" s="68">
        <f>IF(W221="",0,DATEDIF(W221,Q221,"MD"))</f>
        <v>0</v>
      </c>
      <c r="AA221" s="79"/>
      <c r="AB221" s="79"/>
      <c r="AC221" s="50" t="str">
        <f t="shared" si="80"/>
        <v/>
      </c>
      <c r="AD221" s="68">
        <f t="shared" si="81"/>
        <v>0</v>
      </c>
      <c r="AE221" s="68">
        <f t="shared" si="82"/>
        <v>0</v>
      </c>
      <c r="AF221" s="68">
        <f t="shared" si="83"/>
        <v>0</v>
      </c>
      <c r="AG221" s="79"/>
      <c r="AH221" s="108"/>
      <c r="AI221" s="49" t="str">
        <f>IF(AH221="นิติศาสตร์","K5-LAW","K5-POLICY")</f>
        <v>K5-POLICY</v>
      </c>
      <c r="AJ221" s="72" t="str">
        <f>_xlfn.IFS(B221="","",AND(AI221="K5-LAW",AH221="นิติศาสตร์",L221="S2",U221="",AA221=""),Q221,AND(AI221="K5-LAW",AH221="นิติศาสตร์",L221="S1",U221="",AA221=""),EDATE(Q221,12),AND(AI221="K5-LAW",AH221="นิติศาสตร์",OR(L221="M2",L221="K4"),U221="",AA221=""),EDATE(Q221,12*2),AND(AI221="K5-LAW",AH221="นิติศาสตร์",OR(AA221="M2",AA221="K4"),AD221&gt;=2,OR(AC221&lt;W221,AC221&lt;Q221)),EDATE(AC221,12*2),AND(AI221="K5-LAW",AH221="นิติศาสตร์",AA221="S1",AD221&gt;=1,OR(AC221&lt;W221,AC221&lt;Q221)),EDATE(AC221,12),AND(AI221="K5-LAW",AH221="นิติศาสตร์",OR(U221="M2",U221="K4"),X221&gt;=2,W221&lt;Q221),EDATE(W221,12*2),AND(AI221="K5-LAW",AH221="นิติศาสตร์",U221="S1",X221&gt;=1,W221&lt;Q221),EDATE(W221,12),AND(AI221="K5-LAW",AH221="นิติศาสตร์",OR(U221="S2",U221="K5")),W221,AND(AI221="K5-LAW",AH221="นิติศาสตร์",OR(L221="M2",L221="K4"),R221&gt;=2),EDATE(Q221,12*2),AND(AI221="K5-LAW",AH221="นิติศาสตร์",L221="S1",R221&gt;=1),EDATE(Q221,12),AND(AI221="K5-LAW",AH221="นิติศาสตร์",OR(L221="S2",L221="K5")),Q221,AND(AI221="K5-POLICY",AH221&lt;&gt;"นิติศาสตร์",L221="S2",U221="",AA221=""),Q221,AND(AI221="K5-POLICY",AH221&lt;&gt;"นิติศาสตร์",L221="S1",U221="",AA221=""),EDATE(Q221,12),AND(AI221="K5-POLICY",AH221&lt;&gt;"นิติศาสตร์",OR(L221="M2",L221="K4"),U221="",AA221=""),EDATE(Q221,12*2),AND(AI221="K5-POLICY",AH221&lt;&gt;"นิติศาสตร์",OR(AA221="M2",AA221="K4"),AD221&gt;=2,OR(AC221&lt;W221,AC221&lt;Q221)),EDATE(AC221,12*2),AND(AI221="K5-POLICY",AH221&lt;&gt;"นิติศาสตร์",AA221="S1",AD221&gt;=1,OR(AC221&lt;W221,AC221&lt;Q221)),EDATE(AC221,12),AND(AI221="K5-POLICY",AH221&lt;&gt;"นิติศาสตร์",OR(U221="M2",U221="K4"),X221&gt;=2,W221&lt;Q221),EDATE(W221,12*2),AND(AI221="K5-POLICY",AH221&lt;&gt;"นิติศาสตร์",U221="S1",X221&gt;=1,W221&lt;Q221),EDATE(W221,12),AND(AI221="K5-POLICY",AH221&lt;&gt;"นิติศาสตร์",OR(U221="S2",U221="K5")),W221,AND(AI221="K5-POLICY",AH221&lt;&gt;"นิติศาสตร์",OR(L221="M2",L221="K4"),R221&gt;=2),EDATE(Q221,12*2),AND(AI221="K5-POLICY",AH221&lt;&gt;"นิติศาสตร์",L221="S1",R221&gt;=1),EDATE(Q221,12),AND(AI221="K5-POLICY",AH221&lt;&gt;"นิติศาสตร์",OR(L221="S2",L221="K5")),Q221,TRUE,"Check Data")</f>
        <v/>
      </c>
      <c r="AK221" s="75" t="str">
        <f t="shared" si="72"/>
        <v>Check Data</v>
      </c>
      <c r="AL221" s="76" t="str">
        <f t="shared" si="78"/>
        <v>Check Data</v>
      </c>
      <c r="AM221" s="50" t="str">
        <f t="shared" si="73"/>
        <v>Check Data</v>
      </c>
      <c r="AN221" s="49" t="str">
        <f>IF(B221="","",IF(L221="S1","S1",INDEX(#REF!,#REF!)))</f>
        <v/>
      </c>
      <c r="AO221" s="49" t="str">
        <f>L221</f>
        <v>M2</v>
      </c>
      <c r="AP221" s="50" t="b">
        <f>L221=AN221</f>
        <v>0</v>
      </c>
      <c r="AQ221" s="50"/>
    </row>
    <row r="222" spans="1:43" ht="21.75">
      <c r="A222" s="49">
        <v>220</v>
      </c>
      <c r="B222" s="50"/>
      <c r="C222" s="52"/>
      <c r="D222" s="50" t="s">
        <v>143</v>
      </c>
      <c r="E222" s="50" t="e">
        <f>INDEX(#REF!,#REF!)</f>
        <v>#REF!</v>
      </c>
      <c r="F222" s="79"/>
      <c r="G222" s="79"/>
      <c r="H222" s="50">
        <f t="shared" si="75"/>
        <v>0</v>
      </c>
      <c r="I222" s="50">
        <f t="shared" si="76"/>
        <v>0</v>
      </c>
      <c r="J222" s="50">
        <f t="shared" si="77"/>
        <v>0</v>
      </c>
      <c r="K222" s="79"/>
      <c r="L222" s="49" t="s">
        <v>136</v>
      </c>
      <c r="M222" s="79"/>
      <c r="N222" s="79"/>
      <c r="O222" s="79"/>
      <c r="P222" s="65" t="s">
        <v>433</v>
      </c>
      <c r="Q222" s="49" t="str">
        <f t="shared" si="66"/>
        <v>23/04/2024</v>
      </c>
      <c r="R222" s="68">
        <f>IF(Q222="",0,DATEDIF(Q222,$C$1,"Y"))</f>
        <v>1</v>
      </c>
      <c r="S222" s="68">
        <f>IF(Q222="",0,DATEDIF(Q222,$C$1,"YM"))</f>
        <v>1</v>
      </c>
      <c r="T222" s="68">
        <f>IF(Q222="",0,DATEDIF(Q222,$C$1,"MD"))</f>
        <v>28</v>
      </c>
      <c r="U222" s="65"/>
      <c r="V222" s="83"/>
      <c r="W222" s="49" t="str">
        <f t="shared" si="79"/>
        <v/>
      </c>
      <c r="X222" s="68">
        <f>IF(W222="",0,DATEDIF(W222,Q222,"Y"))</f>
        <v>0</v>
      </c>
      <c r="Y222" s="68">
        <f>IF(W222="",0,DATEDIF(W222,Q222,"YM"))</f>
        <v>0</v>
      </c>
      <c r="Z222" s="68">
        <f>IF(W222="",0,DATEDIF(W222,Q222,"MD"))</f>
        <v>0</v>
      </c>
      <c r="AA222" s="79"/>
      <c r="AB222" s="79"/>
      <c r="AC222" s="50" t="str">
        <f t="shared" si="80"/>
        <v/>
      </c>
      <c r="AD222" s="68">
        <f t="shared" si="81"/>
        <v>0</v>
      </c>
      <c r="AE222" s="68">
        <f t="shared" si="82"/>
        <v>0</v>
      </c>
      <c r="AF222" s="68">
        <f t="shared" si="83"/>
        <v>0</v>
      </c>
      <c r="AG222" s="79"/>
      <c r="AH222" s="108"/>
      <c r="AI222" s="49" t="str">
        <f>IF(AH222="นิติศาสตร์","K5-LAW","K5-POLICY")</f>
        <v>K5-POLICY</v>
      </c>
      <c r="AJ222" s="72" t="str">
        <f>_xlfn.IFS(B222="","",AND(AI222="K5-LAW",AH222="นิติศาสตร์",L222="S2",U222="",AA222=""),Q222,AND(AI222="K5-LAW",AH222="นิติศาสตร์",L222="S1",U222="",AA222=""),EDATE(Q222,12),AND(AI222="K5-LAW",AH222="นิติศาสตร์",OR(L222="M2",L222="K4"),U222="",AA222=""),EDATE(Q222,12*2),AND(AI222="K5-LAW",AH222="นิติศาสตร์",OR(AA222="M2",AA222="K4"),AD222&gt;=2,OR(AC222&lt;W222,AC222&lt;Q222)),EDATE(AC222,12*2),AND(AI222="K5-LAW",AH222="นิติศาสตร์",AA222="S1",AD222&gt;=1,OR(AC222&lt;W222,AC222&lt;Q222)),EDATE(AC222,12),AND(AI222="K5-LAW",AH222="นิติศาสตร์",OR(U222="M2",U222="K4"),X222&gt;=2,W222&lt;Q222),EDATE(W222,12*2),AND(AI222="K5-LAW",AH222="นิติศาสตร์",U222="S1",X222&gt;=1,W222&lt;Q222),EDATE(W222,12),AND(AI222="K5-LAW",AH222="นิติศาสตร์",OR(U222="S2",U222="K5")),W222,AND(AI222="K5-LAW",AH222="นิติศาสตร์",OR(L222="M2",L222="K4"),R222&gt;=2),EDATE(Q222,12*2),AND(AI222="K5-LAW",AH222="นิติศาสตร์",L222="S1",R222&gt;=1),EDATE(Q222,12),AND(AI222="K5-LAW",AH222="นิติศาสตร์",OR(L222="S2",L222="K5")),Q222,AND(AI222="K5-POLICY",AH222&lt;&gt;"นิติศาสตร์",L222="S2",U222="",AA222=""),Q222,AND(AI222="K5-POLICY",AH222&lt;&gt;"นิติศาสตร์",L222="S1",U222="",AA222=""),EDATE(Q222,12),AND(AI222="K5-POLICY",AH222&lt;&gt;"นิติศาสตร์",OR(L222="M2",L222="K4"),U222="",AA222=""),EDATE(Q222,12*2),AND(AI222="K5-POLICY",AH222&lt;&gt;"นิติศาสตร์",OR(AA222="M2",AA222="K4"),AD222&gt;=2,OR(AC222&lt;W222,AC222&lt;Q222)),EDATE(AC222,12*2),AND(AI222="K5-POLICY",AH222&lt;&gt;"นิติศาสตร์",AA222="S1",AD222&gt;=1,OR(AC222&lt;W222,AC222&lt;Q222)),EDATE(AC222,12),AND(AI222="K5-POLICY",AH222&lt;&gt;"นิติศาสตร์",OR(U222="M2",U222="K4"),X222&gt;=2,W222&lt;Q222),EDATE(W222,12*2),AND(AI222="K5-POLICY",AH222&lt;&gt;"นิติศาสตร์",U222="S1",X222&gt;=1,W222&lt;Q222),EDATE(W222,12),AND(AI222="K5-POLICY",AH222&lt;&gt;"นิติศาสตร์",OR(U222="S2",U222="K5")),W222,AND(AI222="K5-POLICY",AH222&lt;&gt;"นิติศาสตร์",OR(L222="M2",L222="K4"),R222&gt;=2),EDATE(Q222,12*2),AND(AI222="K5-POLICY",AH222&lt;&gt;"นิติศาสตร์",L222="S1",R222&gt;=1),EDATE(Q222,12),AND(AI222="K5-POLICY",AH222&lt;&gt;"นิติศาสตร์",OR(L222="S2",L222="K5")),Q222,TRUE,"Check Data")</f>
        <v/>
      </c>
      <c r="AK222" s="75" t="str">
        <f t="shared" si="72"/>
        <v>Check Data</v>
      </c>
      <c r="AL222" s="76" t="str">
        <f t="shared" si="78"/>
        <v>Check Data</v>
      </c>
      <c r="AM222" s="50" t="str">
        <f t="shared" si="73"/>
        <v>Check Data</v>
      </c>
      <c r="AN222" s="49" t="str">
        <f>IF(B222="","",IF(L222="S1","S1",INDEX(#REF!,#REF!)))</f>
        <v/>
      </c>
      <c r="AO222" s="49" t="str">
        <f>L222</f>
        <v>M2</v>
      </c>
      <c r="AP222" s="50" t="b">
        <f>L222=AN222</f>
        <v>0</v>
      </c>
      <c r="AQ222" s="50"/>
    </row>
    <row r="223" spans="1:43" ht="21.75">
      <c r="A223" s="49">
        <v>221</v>
      </c>
      <c r="B223" s="50"/>
      <c r="C223" s="52"/>
      <c r="D223" s="50" t="s">
        <v>143</v>
      </c>
      <c r="E223" s="50" t="e">
        <f>INDEX(#REF!,#REF!)</f>
        <v>#REF!</v>
      </c>
      <c r="F223" s="79"/>
      <c r="G223" s="79"/>
      <c r="H223" s="50">
        <f t="shared" si="75"/>
        <v>0</v>
      </c>
      <c r="I223" s="50">
        <f t="shared" si="76"/>
        <v>0</v>
      </c>
      <c r="J223" s="50">
        <f t="shared" si="77"/>
        <v>0</v>
      </c>
      <c r="K223" s="79"/>
      <c r="L223" s="49" t="s">
        <v>136</v>
      </c>
      <c r="M223" s="79"/>
      <c r="N223" s="79"/>
      <c r="O223" s="79"/>
      <c r="P223" s="65" t="s">
        <v>433</v>
      </c>
      <c r="Q223" s="49" t="str">
        <f t="shared" si="66"/>
        <v>23/04/2024</v>
      </c>
      <c r="R223" s="68">
        <f>IF(Q223="",0,DATEDIF(Q223,$C$1,"Y"))</f>
        <v>1</v>
      </c>
      <c r="S223" s="68">
        <f>IF(Q223="",0,DATEDIF(Q223,$C$1,"YM"))</f>
        <v>1</v>
      </c>
      <c r="T223" s="68">
        <f>IF(Q223="",0,DATEDIF(Q223,$C$1,"MD"))</f>
        <v>28</v>
      </c>
      <c r="U223" s="65"/>
      <c r="V223" s="83"/>
      <c r="W223" s="49" t="str">
        <f t="shared" si="79"/>
        <v/>
      </c>
      <c r="X223" s="68">
        <f>IF(W223="",0,DATEDIF(W223,Q223,"Y"))</f>
        <v>0</v>
      </c>
      <c r="Y223" s="68">
        <f>IF(W223="",0,DATEDIF(W223,Q223,"YM"))</f>
        <v>0</v>
      </c>
      <c r="Z223" s="68">
        <f>IF(W223="",0,DATEDIF(W223,Q223,"MD"))</f>
        <v>0</v>
      </c>
      <c r="AA223" s="79"/>
      <c r="AB223" s="79"/>
      <c r="AC223" s="50" t="str">
        <f t="shared" si="80"/>
        <v/>
      </c>
      <c r="AD223" s="68">
        <f t="shared" si="81"/>
        <v>0</v>
      </c>
      <c r="AE223" s="68">
        <f t="shared" si="82"/>
        <v>0</v>
      </c>
      <c r="AF223" s="68">
        <f t="shared" si="83"/>
        <v>0</v>
      </c>
      <c r="AG223" s="79"/>
      <c r="AH223" s="108"/>
      <c r="AI223" s="49" t="str">
        <f>IF(AH223="นิติศาสตร์","K5-LAW","K5-POLICY")</f>
        <v>K5-POLICY</v>
      </c>
      <c r="AJ223" s="72" t="str">
        <f>_xlfn.IFS(B223="","",AND(AI223="K5-LAW",AH223="นิติศาสตร์",L223="S2",U223="",AA223=""),Q223,AND(AI223="K5-LAW",AH223="นิติศาสตร์",L223="S1",U223="",AA223=""),EDATE(Q223,12),AND(AI223="K5-LAW",AH223="นิติศาสตร์",OR(L223="M2",L223="K4"),U223="",AA223=""),EDATE(Q223,12*2),AND(AI223="K5-LAW",AH223="นิติศาสตร์",OR(AA223="M2",AA223="K4"),AD223&gt;=2,OR(AC223&lt;W223,AC223&lt;Q223)),EDATE(AC223,12*2),AND(AI223="K5-LAW",AH223="นิติศาสตร์",AA223="S1",AD223&gt;=1,OR(AC223&lt;W223,AC223&lt;Q223)),EDATE(AC223,12),AND(AI223="K5-LAW",AH223="นิติศาสตร์",OR(U223="M2",U223="K4"),X223&gt;=2,W223&lt;Q223),EDATE(W223,12*2),AND(AI223="K5-LAW",AH223="นิติศาสตร์",U223="S1",X223&gt;=1,W223&lt;Q223),EDATE(W223,12),AND(AI223="K5-LAW",AH223="นิติศาสตร์",OR(U223="S2",U223="K5")),W223,AND(AI223="K5-LAW",AH223="นิติศาสตร์",OR(L223="M2",L223="K4"),R223&gt;=2),EDATE(Q223,12*2),AND(AI223="K5-LAW",AH223="นิติศาสตร์",L223="S1",R223&gt;=1),EDATE(Q223,12),AND(AI223="K5-LAW",AH223="นิติศาสตร์",OR(L223="S2",L223="K5")),Q223,AND(AI223="K5-POLICY",AH223&lt;&gt;"นิติศาสตร์",L223="S2",U223="",AA223=""),Q223,AND(AI223="K5-POLICY",AH223&lt;&gt;"นิติศาสตร์",L223="S1",U223="",AA223=""),EDATE(Q223,12),AND(AI223="K5-POLICY",AH223&lt;&gt;"นิติศาสตร์",OR(L223="M2",L223="K4"),U223="",AA223=""),EDATE(Q223,12*2),AND(AI223="K5-POLICY",AH223&lt;&gt;"นิติศาสตร์",OR(AA223="M2",AA223="K4"),AD223&gt;=2,OR(AC223&lt;W223,AC223&lt;Q223)),EDATE(AC223,12*2),AND(AI223="K5-POLICY",AH223&lt;&gt;"นิติศาสตร์",AA223="S1",AD223&gt;=1,OR(AC223&lt;W223,AC223&lt;Q223)),EDATE(AC223,12),AND(AI223="K5-POLICY",AH223&lt;&gt;"นิติศาสตร์",OR(U223="M2",U223="K4"),X223&gt;=2,W223&lt;Q223),EDATE(W223,12*2),AND(AI223="K5-POLICY",AH223&lt;&gt;"นิติศาสตร์",U223="S1",X223&gt;=1,W223&lt;Q223),EDATE(W223,12),AND(AI223="K5-POLICY",AH223&lt;&gt;"นิติศาสตร์",OR(U223="S2",U223="K5")),W223,AND(AI223="K5-POLICY",AH223&lt;&gt;"นิติศาสตร์",OR(L223="M2",L223="K4"),R223&gt;=2),EDATE(Q223,12*2),AND(AI223="K5-POLICY",AH223&lt;&gt;"นิติศาสตร์",L223="S1",R223&gt;=1),EDATE(Q223,12),AND(AI223="K5-POLICY",AH223&lt;&gt;"นิติศาสตร์",OR(L223="S2",L223="K5")),Q223,TRUE,"Check Data")</f>
        <v/>
      </c>
      <c r="AK223" s="75" t="str">
        <f t="shared" si="72"/>
        <v>Check Data</v>
      </c>
      <c r="AL223" s="76" t="str">
        <f t="shared" si="78"/>
        <v>Check Data</v>
      </c>
      <c r="AM223" s="50" t="str">
        <f t="shared" si="73"/>
        <v>Check Data</v>
      </c>
      <c r="AN223" s="49" t="str">
        <f>IF(B223="","",IF(L223="S1","S1",INDEX(#REF!,#REF!)))</f>
        <v/>
      </c>
      <c r="AO223" s="49" t="str">
        <f>L223</f>
        <v>M2</v>
      </c>
      <c r="AP223" s="50" t="b">
        <f>L223=AN223</f>
        <v>0</v>
      </c>
      <c r="AQ223" s="50"/>
    </row>
    <row r="224" spans="1:43" ht="21.75">
      <c r="A224" s="49">
        <v>222</v>
      </c>
      <c r="B224" s="50"/>
      <c r="C224" s="52"/>
      <c r="D224" s="50" t="s">
        <v>143</v>
      </c>
      <c r="E224" s="50" t="e">
        <f>INDEX(#REF!,#REF!)</f>
        <v>#REF!</v>
      </c>
      <c r="F224" s="79"/>
      <c r="G224" s="79"/>
      <c r="H224" s="50">
        <f t="shared" si="75"/>
        <v>0</v>
      </c>
      <c r="I224" s="50">
        <f t="shared" si="76"/>
        <v>0</v>
      </c>
      <c r="J224" s="50">
        <f t="shared" si="77"/>
        <v>0</v>
      </c>
      <c r="K224" s="79"/>
      <c r="L224" s="49" t="s">
        <v>136</v>
      </c>
      <c r="M224" s="79"/>
      <c r="N224" s="79"/>
      <c r="O224" s="79"/>
      <c r="P224" s="65" t="s">
        <v>433</v>
      </c>
      <c r="Q224" s="49" t="str">
        <f t="shared" si="66"/>
        <v>23/04/2024</v>
      </c>
      <c r="R224" s="68">
        <f>IF(Q224="",0,DATEDIF(Q224,$C$1,"Y"))</f>
        <v>1</v>
      </c>
      <c r="S224" s="68">
        <f>IF(Q224="",0,DATEDIF(Q224,$C$1,"YM"))</f>
        <v>1</v>
      </c>
      <c r="T224" s="68">
        <f>IF(Q224="",0,DATEDIF(Q224,$C$1,"MD"))</f>
        <v>28</v>
      </c>
      <c r="U224" s="65"/>
      <c r="V224" s="83"/>
      <c r="W224" s="49" t="str">
        <f t="shared" si="79"/>
        <v/>
      </c>
      <c r="X224" s="68">
        <f>IF(W224="",0,DATEDIF(W224,Q224,"Y"))</f>
        <v>0</v>
      </c>
      <c r="Y224" s="68">
        <f>IF(W224="",0,DATEDIF(W224,Q224,"YM"))</f>
        <v>0</v>
      </c>
      <c r="Z224" s="68">
        <f>IF(W224="",0,DATEDIF(W224,Q224,"MD"))</f>
        <v>0</v>
      </c>
      <c r="AA224" s="79"/>
      <c r="AB224" s="79"/>
      <c r="AC224" s="50" t="str">
        <f t="shared" si="80"/>
        <v/>
      </c>
      <c r="AD224" s="68">
        <f t="shared" si="81"/>
        <v>0</v>
      </c>
      <c r="AE224" s="68">
        <f t="shared" si="82"/>
        <v>0</v>
      </c>
      <c r="AF224" s="68">
        <f t="shared" si="83"/>
        <v>0</v>
      </c>
      <c r="AG224" s="79"/>
      <c r="AH224" s="108"/>
      <c r="AI224" s="49" t="str">
        <f>IF(AH224="นิติศาสตร์","K5-LAW","K5-POLICY")</f>
        <v>K5-POLICY</v>
      </c>
      <c r="AJ224" s="72" t="str">
        <f>_xlfn.IFS(B224="","",AND(AI224="K5-LAW",AH224="นิติศาสตร์",L224="S2",U224="",AA224=""),Q224,AND(AI224="K5-LAW",AH224="นิติศาสตร์",L224="S1",U224="",AA224=""),EDATE(Q224,12),AND(AI224="K5-LAW",AH224="นิติศาสตร์",OR(L224="M2",L224="K4"),U224="",AA224=""),EDATE(Q224,12*2),AND(AI224="K5-LAW",AH224="นิติศาสตร์",OR(AA224="M2",AA224="K4"),AD224&gt;=2,OR(AC224&lt;W224,AC224&lt;Q224)),EDATE(AC224,12*2),AND(AI224="K5-LAW",AH224="นิติศาสตร์",AA224="S1",AD224&gt;=1,OR(AC224&lt;W224,AC224&lt;Q224)),EDATE(AC224,12),AND(AI224="K5-LAW",AH224="นิติศาสตร์",OR(U224="M2",U224="K4"),X224&gt;=2,W224&lt;Q224),EDATE(W224,12*2),AND(AI224="K5-LAW",AH224="นิติศาสตร์",U224="S1",X224&gt;=1,W224&lt;Q224),EDATE(W224,12),AND(AI224="K5-LAW",AH224="นิติศาสตร์",OR(U224="S2",U224="K5")),W224,AND(AI224="K5-LAW",AH224="นิติศาสตร์",OR(L224="M2",L224="K4"),R224&gt;=2),EDATE(Q224,12*2),AND(AI224="K5-LAW",AH224="นิติศาสตร์",L224="S1",R224&gt;=1),EDATE(Q224,12),AND(AI224="K5-LAW",AH224="นิติศาสตร์",OR(L224="S2",L224="K5")),Q224,AND(AI224="K5-POLICY",AH224&lt;&gt;"นิติศาสตร์",L224="S2",U224="",AA224=""),Q224,AND(AI224="K5-POLICY",AH224&lt;&gt;"นิติศาสตร์",L224="S1",U224="",AA224=""),EDATE(Q224,12),AND(AI224="K5-POLICY",AH224&lt;&gt;"นิติศาสตร์",OR(L224="M2",L224="K4"),U224="",AA224=""),EDATE(Q224,12*2),AND(AI224="K5-POLICY",AH224&lt;&gt;"นิติศาสตร์",OR(AA224="M2",AA224="K4"),AD224&gt;=2,OR(AC224&lt;W224,AC224&lt;Q224)),EDATE(AC224,12*2),AND(AI224="K5-POLICY",AH224&lt;&gt;"นิติศาสตร์",AA224="S1",AD224&gt;=1,OR(AC224&lt;W224,AC224&lt;Q224)),EDATE(AC224,12),AND(AI224="K5-POLICY",AH224&lt;&gt;"นิติศาสตร์",OR(U224="M2",U224="K4"),X224&gt;=2,W224&lt;Q224),EDATE(W224,12*2),AND(AI224="K5-POLICY",AH224&lt;&gt;"นิติศาสตร์",U224="S1",X224&gt;=1,W224&lt;Q224),EDATE(W224,12),AND(AI224="K5-POLICY",AH224&lt;&gt;"นิติศาสตร์",OR(U224="S2",U224="K5")),W224,AND(AI224="K5-POLICY",AH224&lt;&gt;"นิติศาสตร์",OR(L224="M2",L224="K4"),R224&gt;=2),EDATE(Q224,12*2),AND(AI224="K5-POLICY",AH224&lt;&gt;"นิติศาสตร์",L224="S1",R224&gt;=1),EDATE(Q224,12),AND(AI224="K5-POLICY",AH224&lt;&gt;"นิติศาสตร์",OR(L224="S2",L224="K5")),Q224,TRUE,"Check Data")</f>
        <v/>
      </c>
      <c r="AK224" s="75" t="str">
        <f t="shared" si="72"/>
        <v>Check Data</v>
      </c>
      <c r="AL224" s="76" t="str">
        <f t="shared" si="78"/>
        <v>Check Data</v>
      </c>
      <c r="AM224" s="50" t="str">
        <f t="shared" si="73"/>
        <v>Check Data</v>
      </c>
      <c r="AN224" s="49" t="str">
        <f>IF(B224="","",IF(L224="S1","S1",INDEX(#REF!,#REF!)))</f>
        <v/>
      </c>
      <c r="AO224" s="49" t="str">
        <f>L224</f>
        <v>M2</v>
      </c>
      <c r="AP224" s="50" t="b">
        <f>L224=AN224</f>
        <v>0</v>
      </c>
      <c r="AQ224" s="50"/>
    </row>
    <row r="225" spans="1:43" ht="21.75">
      <c r="A225" s="49">
        <v>223</v>
      </c>
      <c r="B225" s="50"/>
      <c r="C225" s="52"/>
      <c r="D225" s="50" t="s">
        <v>141</v>
      </c>
      <c r="E225" s="50" t="e">
        <f>INDEX(#REF!,#REF!)</f>
        <v>#REF!</v>
      </c>
      <c r="F225" s="49"/>
      <c r="G225" s="49"/>
      <c r="H225" s="50">
        <f t="shared" si="75"/>
        <v>0</v>
      </c>
      <c r="I225" s="50">
        <f t="shared" si="76"/>
        <v>0</v>
      </c>
      <c r="J225" s="50">
        <f t="shared" si="77"/>
        <v>0</v>
      </c>
      <c r="K225" s="50"/>
      <c r="L225" s="49" t="s">
        <v>136</v>
      </c>
      <c r="M225" s="64"/>
      <c r="N225" s="49"/>
      <c r="O225" s="49"/>
      <c r="P225" s="65" t="s">
        <v>434</v>
      </c>
      <c r="Q225" s="49" t="str">
        <f t="shared" si="66"/>
        <v>02/07/2024</v>
      </c>
      <c r="R225" s="68">
        <f>IF(Q225="",0,DATEDIF(Q225,$C$1,"Y"))</f>
        <v>0</v>
      </c>
      <c r="S225" s="68">
        <f>IF(Q225="",0,DATEDIF(Q225,$C$1,"YM"))</f>
        <v>11</v>
      </c>
      <c r="T225" s="68">
        <f>IF(Q225="",0,DATEDIF(Q225,$C$1,"MD"))</f>
        <v>18</v>
      </c>
      <c r="U225" s="65"/>
      <c r="V225" s="65"/>
      <c r="W225" s="49" t="str">
        <f t="shared" si="79"/>
        <v/>
      </c>
      <c r="X225" s="68">
        <f>IF(W225="",0,DATEDIF(W225,Q225,"Y"))</f>
        <v>0</v>
      </c>
      <c r="Y225" s="68">
        <f>IF(W225="",0,DATEDIF(W225,Q225,"YM"))</f>
        <v>0</v>
      </c>
      <c r="Z225" s="68">
        <f>IF(W225="",0,DATEDIF(W225,Q225,"MD"))</f>
        <v>0</v>
      </c>
      <c r="AA225" s="49"/>
      <c r="AB225" s="65"/>
      <c r="AC225" s="50" t="str">
        <f t="shared" si="80"/>
        <v/>
      </c>
      <c r="AD225" s="68">
        <f t="shared" si="81"/>
        <v>0</v>
      </c>
      <c r="AE225" s="68">
        <f t="shared" si="82"/>
        <v>0</v>
      </c>
      <c r="AF225" s="68">
        <f t="shared" si="83"/>
        <v>0</v>
      </c>
      <c r="AG225" s="50"/>
      <c r="AH225" s="108" t="s">
        <v>138</v>
      </c>
      <c r="AI225" s="49" t="str">
        <f>IF(AH225="นิติศาสตร์","K5-LAW","K5-POLICY")</f>
        <v>K5-LAW</v>
      </c>
      <c r="AJ225" s="72" t="str">
        <f>_xlfn.IFS(B225="","",AND(AI225="K5-LAW",AH225="นิติศาสตร์",L225="S2",U225="",AA225=""),Q225,AND(AI225="K5-LAW",AH225="นิติศาสตร์",L225="S1",U225="",AA225=""),EDATE(Q225,12),AND(AI225="K5-LAW",AH225="นิติศาสตร์",OR(L225="M2",L225="K4"),U225="",AA225=""),EDATE(Q225,12*2),AND(AI225="K5-LAW",AH225="นิติศาสตร์",OR(AA225="M2",AA225="K4"),AD225&gt;=2,OR(AC225&lt;W225,AC225&lt;Q225)),EDATE(AC225,12*2),AND(AI225="K5-LAW",AH225="นิติศาสตร์",AA225="S1",AD225&gt;=1,OR(AC225&lt;W225,AC225&lt;Q225)),EDATE(AC225,12),AND(AI225="K5-LAW",AH225="นิติศาสตร์",OR(U225="M2",U225="K4"),X225&gt;=2,W225&lt;Q225),EDATE(W225,12*2),AND(AI225="K5-LAW",AH225="นิติศาสตร์",U225="S1",X225&gt;=1,W225&lt;Q225),EDATE(W225,12),AND(AI225="K5-LAW",AH225="นิติศาสตร์",OR(U225="S2",U225="K5")),W225,AND(AI225="K5-LAW",AH225="นิติศาสตร์",OR(L225="M2",L225="K4"),R225&gt;=2),EDATE(Q225,12*2),AND(AI225="K5-LAW",AH225="นิติศาสตร์",L225="S1",R225&gt;=1),EDATE(Q225,12),AND(AI225="K5-LAW",AH225="นิติศาสตร์",OR(L225="S2",L225="K5")),Q225,AND(AI225="K5-POLICY",AH225&lt;&gt;"นิติศาสตร์",L225="S2",U225="",AA225=""),Q225,AND(AI225="K5-POLICY",AH225&lt;&gt;"นิติศาสตร์",L225="S1",U225="",AA225=""),EDATE(Q225,12),AND(AI225="K5-POLICY",AH225&lt;&gt;"นิติศาสตร์",OR(L225="M2",L225="K4"),U225="",AA225=""),EDATE(Q225,12*2),AND(AI225="K5-POLICY",AH225&lt;&gt;"นิติศาสตร์",OR(AA225="M2",AA225="K4"),AD225&gt;=2,OR(AC225&lt;W225,AC225&lt;Q225)),EDATE(AC225,12*2),AND(AI225="K5-POLICY",AH225&lt;&gt;"นิติศาสตร์",AA225="S1",AD225&gt;=1,OR(AC225&lt;W225,AC225&lt;Q225)),EDATE(AC225,12),AND(AI225="K5-POLICY",AH225&lt;&gt;"นิติศาสตร์",OR(U225="M2",U225="K4"),X225&gt;=2,W225&lt;Q225),EDATE(W225,12*2),AND(AI225="K5-POLICY",AH225&lt;&gt;"นิติศาสตร์",U225="S1",X225&gt;=1,W225&lt;Q225),EDATE(W225,12),AND(AI225="K5-POLICY",AH225&lt;&gt;"นิติศาสตร์",OR(U225="S2",U225="K5")),W225,AND(AI225="K5-POLICY",AH225&lt;&gt;"นิติศาสตร์",OR(L225="M2",L225="K4"),R225&gt;=2),EDATE(Q225,12*2),AND(AI225="K5-POLICY",AH225&lt;&gt;"นิติศาสตร์",L225="S1",R225&gt;=1),EDATE(Q225,12),AND(AI225="K5-POLICY",AH225&lt;&gt;"นิติศาสตร์",OR(L225="S2",L225="K5")),Q225,TRUE,"Check Data")</f>
        <v/>
      </c>
      <c r="AK225" s="75" t="str">
        <f t="shared" si="72"/>
        <v>Check Data</v>
      </c>
      <c r="AL225" s="76" t="str">
        <f t="shared" si="78"/>
        <v>Check Data</v>
      </c>
      <c r="AM225" s="50" t="str">
        <f t="shared" si="73"/>
        <v>Check Data</v>
      </c>
      <c r="AN225" s="49" t="str">
        <f>IF(B225="","",IF(L225="S1","S1",INDEX(#REF!,#REF!)))</f>
        <v/>
      </c>
      <c r="AO225" s="49" t="str">
        <f>L225</f>
        <v>M2</v>
      </c>
      <c r="AP225" s="50" t="b">
        <f>L225=AN225</f>
        <v>0</v>
      </c>
      <c r="AQ225" s="50"/>
    </row>
    <row r="226" spans="1:43" ht="21.75">
      <c r="A226" s="49">
        <v>224</v>
      </c>
      <c r="B226" s="50"/>
      <c r="C226" s="52"/>
      <c r="D226" s="50" t="s">
        <v>141</v>
      </c>
      <c r="E226" s="50" t="e">
        <f>INDEX(#REF!,#REF!)</f>
        <v>#REF!</v>
      </c>
      <c r="F226" s="49"/>
      <c r="G226" s="49"/>
      <c r="H226" s="50">
        <f t="shared" si="75"/>
        <v>0</v>
      </c>
      <c r="I226" s="50">
        <f t="shared" si="76"/>
        <v>0</v>
      </c>
      <c r="J226" s="50">
        <f t="shared" si="77"/>
        <v>0</v>
      </c>
      <c r="K226" s="50"/>
      <c r="L226" s="49" t="s">
        <v>136</v>
      </c>
      <c r="M226" s="64"/>
      <c r="N226" s="49"/>
      <c r="O226" s="49"/>
      <c r="P226" s="65" t="s">
        <v>434</v>
      </c>
      <c r="Q226" s="49" t="str">
        <f t="shared" si="66"/>
        <v>02/07/2024</v>
      </c>
      <c r="R226" s="68">
        <f>IF(Q226="",0,DATEDIF(Q226,$C$1,"Y"))</f>
        <v>0</v>
      </c>
      <c r="S226" s="68">
        <f>IF(Q226="",0,DATEDIF(Q226,$C$1,"YM"))</f>
        <v>11</v>
      </c>
      <c r="T226" s="68">
        <f>IF(Q226="",0,DATEDIF(Q226,$C$1,"MD"))</f>
        <v>18</v>
      </c>
      <c r="U226" s="65"/>
      <c r="V226" s="65"/>
      <c r="W226" s="49" t="str">
        <f t="shared" si="79"/>
        <v/>
      </c>
      <c r="X226" s="68">
        <f>IF(W226="",0,DATEDIF(W226,Q226,"Y"))</f>
        <v>0</v>
      </c>
      <c r="Y226" s="68">
        <f>IF(W226="",0,DATEDIF(W226,Q226,"YM"))</f>
        <v>0</v>
      </c>
      <c r="Z226" s="68">
        <f>IF(W226="",0,DATEDIF(W226,Q226,"MD"))</f>
        <v>0</v>
      </c>
      <c r="AA226" s="49"/>
      <c r="AB226" s="65"/>
      <c r="AC226" s="50" t="str">
        <f t="shared" si="80"/>
        <v/>
      </c>
      <c r="AD226" s="68">
        <f t="shared" si="81"/>
        <v>0</v>
      </c>
      <c r="AE226" s="68">
        <f t="shared" si="82"/>
        <v>0</v>
      </c>
      <c r="AF226" s="68">
        <f t="shared" si="83"/>
        <v>0</v>
      </c>
      <c r="AG226" s="50"/>
      <c r="AH226" s="108" t="s">
        <v>138</v>
      </c>
      <c r="AI226" s="49" t="str">
        <f>IF(AH226="นิติศาสตร์","K5-LAW","K5-POLICY")</f>
        <v>K5-LAW</v>
      </c>
      <c r="AJ226" s="72" t="str">
        <f>_xlfn.IFS(B226="","",AND(AI226="K5-LAW",AH226="นิติศาสตร์",L226="S2",U226="",AA226=""),Q226,AND(AI226="K5-LAW",AH226="นิติศาสตร์",L226="S1",U226="",AA226=""),EDATE(Q226,12),AND(AI226="K5-LAW",AH226="นิติศาสตร์",OR(L226="M2",L226="K4"),U226="",AA226=""),EDATE(Q226,12*2),AND(AI226="K5-LAW",AH226="นิติศาสตร์",OR(AA226="M2",AA226="K4"),AD226&gt;=2,OR(AC226&lt;W226,AC226&lt;Q226)),EDATE(AC226,12*2),AND(AI226="K5-LAW",AH226="นิติศาสตร์",AA226="S1",AD226&gt;=1,OR(AC226&lt;W226,AC226&lt;Q226)),EDATE(AC226,12),AND(AI226="K5-LAW",AH226="นิติศาสตร์",OR(U226="M2",U226="K4"),X226&gt;=2,W226&lt;Q226),EDATE(W226,12*2),AND(AI226="K5-LAW",AH226="นิติศาสตร์",U226="S1",X226&gt;=1,W226&lt;Q226),EDATE(W226,12),AND(AI226="K5-LAW",AH226="นิติศาสตร์",OR(U226="S2",U226="K5")),W226,AND(AI226="K5-LAW",AH226="นิติศาสตร์",OR(L226="M2",L226="K4"),R226&gt;=2),EDATE(Q226,12*2),AND(AI226="K5-LAW",AH226="นิติศาสตร์",L226="S1",R226&gt;=1),EDATE(Q226,12),AND(AI226="K5-LAW",AH226="นิติศาสตร์",OR(L226="S2",L226="K5")),Q226,AND(AI226="K5-POLICY",AH226&lt;&gt;"นิติศาสตร์",L226="S2",U226="",AA226=""),Q226,AND(AI226="K5-POLICY",AH226&lt;&gt;"นิติศาสตร์",L226="S1",U226="",AA226=""),EDATE(Q226,12),AND(AI226="K5-POLICY",AH226&lt;&gt;"นิติศาสตร์",OR(L226="M2",L226="K4"),U226="",AA226=""),EDATE(Q226,12*2),AND(AI226="K5-POLICY",AH226&lt;&gt;"นิติศาสตร์",OR(AA226="M2",AA226="K4"),AD226&gt;=2,OR(AC226&lt;W226,AC226&lt;Q226)),EDATE(AC226,12*2),AND(AI226="K5-POLICY",AH226&lt;&gt;"นิติศาสตร์",AA226="S1",AD226&gt;=1,OR(AC226&lt;W226,AC226&lt;Q226)),EDATE(AC226,12),AND(AI226="K5-POLICY",AH226&lt;&gt;"นิติศาสตร์",OR(U226="M2",U226="K4"),X226&gt;=2,W226&lt;Q226),EDATE(W226,12*2),AND(AI226="K5-POLICY",AH226&lt;&gt;"นิติศาสตร์",U226="S1",X226&gt;=1,W226&lt;Q226),EDATE(W226,12),AND(AI226="K5-POLICY",AH226&lt;&gt;"นิติศาสตร์",OR(U226="S2",U226="K5")),W226,AND(AI226="K5-POLICY",AH226&lt;&gt;"นิติศาสตร์",OR(L226="M2",L226="K4"),R226&gt;=2),EDATE(Q226,12*2),AND(AI226="K5-POLICY",AH226&lt;&gt;"นิติศาสตร์",L226="S1",R226&gt;=1),EDATE(Q226,12),AND(AI226="K5-POLICY",AH226&lt;&gt;"นิติศาสตร์",OR(L226="S2",L226="K5")),Q226,TRUE,"Check Data")</f>
        <v/>
      </c>
      <c r="AK226" s="75" t="str">
        <f t="shared" si="72"/>
        <v>Check Data</v>
      </c>
      <c r="AL226" s="76" t="str">
        <f t="shared" si="78"/>
        <v>Check Data</v>
      </c>
      <c r="AM226" s="50" t="str">
        <f t="shared" si="73"/>
        <v>Check Data</v>
      </c>
      <c r="AN226" s="49" t="str">
        <f>IF(B226="","",IF(L226="S1","S1",INDEX(#REF!,#REF!)))</f>
        <v/>
      </c>
      <c r="AO226" s="49" t="str">
        <f>L226</f>
        <v>M2</v>
      </c>
      <c r="AP226" s="50" t="b">
        <f>L226=AN226</f>
        <v>0</v>
      </c>
      <c r="AQ226" s="50"/>
    </row>
    <row r="227" spans="1:43" ht="21.75">
      <c r="A227" s="49">
        <v>225</v>
      </c>
      <c r="B227" s="50"/>
      <c r="C227" s="52"/>
      <c r="D227" s="50" t="s">
        <v>141</v>
      </c>
      <c r="E227" s="50" t="e">
        <f>INDEX(#REF!,#REF!)</f>
        <v>#REF!</v>
      </c>
      <c r="F227" s="49"/>
      <c r="G227" s="49"/>
      <c r="H227" s="50">
        <f t="shared" si="75"/>
        <v>0</v>
      </c>
      <c r="I227" s="50">
        <f t="shared" si="76"/>
        <v>0</v>
      </c>
      <c r="J227" s="50">
        <f t="shared" si="77"/>
        <v>0</v>
      </c>
      <c r="K227" s="50"/>
      <c r="L227" s="49" t="s">
        <v>136</v>
      </c>
      <c r="M227" s="64"/>
      <c r="N227" s="49"/>
      <c r="O227" s="49"/>
      <c r="P227" s="65" t="s">
        <v>434</v>
      </c>
      <c r="Q227" s="49" t="str">
        <f t="shared" si="66"/>
        <v>02/07/2024</v>
      </c>
      <c r="R227" s="68">
        <f>IF(Q227="",0,DATEDIF(Q227,$C$1,"Y"))</f>
        <v>0</v>
      </c>
      <c r="S227" s="68">
        <f>IF(Q227="",0,DATEDIF(Q227,$C$1,"YM"))</f>
        <v>11</v>
      </c>
      <c r="T227" s="68">
        <f>IF(Q227="",0,DATEDIF(Q227,$C$1,"MD"))</f>
        <v>18</v>
      </c>
      <c r="U227" s="65"/>
      <c r="V227" s="65"/>
      <c r="W227" s="49" t="str">
        <f t="shared" si="79"/>
        <v/>
      </c>
      <c r="X227" s="68">
        <f>IF(W227="",0,DATEDIF(W227,Q227,"Y"))</f>
        <v>0</v>
      </c>
      <c r="Y227" s="68">
        <f>IF(W227="",0,DATEDIF(W227,Q227,"YM"))</f>
        <v>0</v>
      </c>
      <c r="Z227" s="68">
        <f>IF(W227="",0,DATEDIF(W227,Q227,"MD"))</f>
        <v>0</v>
      </c>
      <c r="AA227" s="49"/>
      <c r="AB227" s="65"/>
      <c r="AC227" s="50" t="str">
        <f t="shared" si="80"/>
        <v/>
      </c>
      <c r="AD227" s="68">
        <f t="shared" si="81"/>
        <v>0</v>
      </c>
      <c r="AE227" s="68">
        <f t="shared" si="82"/>
        <v>0</v>
      </c>
      <c r="AF227" s="68">
        <f t="shared" si="83"/>
        <v>0</v>
      </c>
      <c r="AG227" s="50"/>
      <c r="AH227" s="108" t="s">
        <v>138</v>
      </c>
      <c r="AI227" s="49" t="str">
        <f>IF(AH227="นิติศาสตร์","K5-LAW","K5-POLICY")</f>
        <v>K5-LAW</v>
      </c>
      <c r="AJ227" s="72" t="str">
        <f>_xlfn.IFS(B227="","",AND(AI227="K5-LAW",AH227="นิติศาสตร์",L227="S2",U227="",AA227=""),Q227,AND(AI227="K5-LAW",AH227="นิติศาสตร์",L227="S1",U227="",AA227=""),EDATE(Q227,12),AND(AI227="K5-LAW",AH227="นิติศาสตร์",OR(L227="M2",L227="K4"),U227="",AA227=""),EDATE(Q227,12*2),AND(AI227="K5-LAW",AH227="นิติศาสตร์",OR(AA227="M2",AA227="K4"),AD227&gt;=2,OR(AC227&lt;W227,AC227&lt;Q227)),EDATE(AC227,12*2),AND(AI227="K5-LAW",AH227="นิติศาสตร์",AA227="S1",AD227&gt;=1,OR(AC227&lt;W227,AC227&lt;Q227)),EDATE(AC227,12),AND(AI227="K5-LAW",AH227="นิติศาสตร์",OR(U227="M2",U227="K4"),X227&gt;=2,W227&lt;Q227),EDATE(W227,12*2),AND(AI227="K5-LAW",AH227="นิติศาสตร์",U227="S1",X227&gt;=1,W227&lt;Q227),EDATE(W227,12),AND(AI227="K5-LAW",AH227="นิติศาสตร์",OR(U227="S2",U227="K5")),W227,AND(AI227="K5-LAW",AH227="นิติศาสตร์",OR(L227="M2",L227="K4"),R227&gt;=2),EDATE(Q227,12*2),AND(AI227="K5-LAW",AH227="นิติศาสตร์",L227="S1",R227&gt;=1),EDATE(Q227,12),AND(AI227="K5-LAW",AH227="นิติศาสตร์",OR(L227="S2",L227="K5")),Q227,AND(AI227="K5-POLICY",AH227&lt;&gt;"นิติศาสตร์",L227="S2",U227="",AA227=""),Q227,AND(AI227="K5-POLICY",AH227&lt;&gt;"นิติศาสตร์",L227="S1",U227="",AA227=""),EDATE(Q227,12),AND(AI227="K5-POLICY",AH227&lt;&gt;"นิติศาสตร์",OR(L227="M2",L227="K4"),U227="",AA227=""),EDATE(Q227,12*2),AND(AI227="K5-POLICY",AH227&lt;&gt;"นิติศาสตร์",OR(AA227="M2",AA227="K4"),AD227&gt;=2,OR(AC227&lt;W227,AC227&lt;Q227)),EDATE(AC227,12*2),AND(AI227="K5-POLICY",AH227&lt;&gt;"นิติศาสตร์",AA227="S1",AD227&gt;=1,OR(AC227&lt;W227,AC227&lt;Q227)),EDATE(AC227,12),AND(AI227="K5-POLICY",AH227&lt;&gt;"นิติศาสตร์",OR(U227="M2",U227="K4"),X227&gt;=2,W227&lt;Q227),EDATE(W227,12*2),AND(AI227="K5-POLICY",AH227&lt;&gt;"นิติศาสตร์",U227="S1",X227&gt;=1,W227&lt;Q227),EDATE(W227,12),AND(AI227="K5-POLICY",AH227&lt;&gt;"นิติศาสตร์",OR(U227="S2",U227="K5")),W227,AND(AI227="K5-POLICY",AH227&lt;&gt;"นิติศาสตร์",OR(L227="M2",L227="K4"),R227&gt;=2),EDATE(Q227,12*2),AND(AI227="K5-POLICY",AH227&lt;&gt;"นิติศาสตร์",L227="S1",R227&gt;=1),EDATE(Q227,12),AND(AI227="K5-POLICY",AH227&lt;&gt;"นิติศาสตร์",OR(L227="S2",L227="K5")),Q227,TRUE,"Check Data")</f>
        <v/>
      </c>
      <c r="AK227" s="75" t="str">
        <f t="shared" si="72"/>
        <v>Check Data</v>
      </c>
      <c r="AL227" s="76" t="str">
        <f t="shared" si="78"/>
        <v>Check Data</v>
      </c>
      <c r="AM227" s="50" t="str">
        <f t="shared" si="73"/>
        <v>Check Data</v>
      </c>
      <c r="AN227" s="49" t="str">
        <f>IF(B227="","",IF(L227="S1","S1",INDEX(#REF!,#REF!)))</f>
        <v/>
      </c>
      <c r="AO227" s="49" t="str">
        <f>L227</f>
        <v>M2</v>
      </c>
      <c r="AP227" s="50" t="b">
        <f>L227=AN227</f>
        <v>0</v>
      </c>
      <c r="AQ227" s="50"/>
    </row>
    <row r="228" spans="1:43" ht="21.75">
      <c r="A228" s="49">
        <v>226</v>
      </c>
      <c r="B228" s="50"/>
      <c r="C228" s="52"/>
      <c r="D228" s="50" t="s">
        <v>141</v>
      </c>
      <c r="E228" s="50" t="e">
        <f>INDEX(#REF!,#REF!)</f>
        <v>#REF!</v>
      </c>
      <c r="F228" s="49"/>
      <c r="G228" s="49"/>
      <c r="H228" s="50">
        <f t="shared" si="75"/>
        <v>0</v>
      </c>
      <c r="I228" s="50">
        <f t="shared" si="76"/>
        <v>0</v>
      </c>
      <c r="J228" s="50">
        <f t="shared" si="77"/>
        <v>0</v>
      </c>
      <c r="K228" s="50"/>
      <c r="L228" s="49" t="s">
        <v>136</v>
      </c>
      <c r="M228" s="64"/>
      <c r="N228" s="49"/>
      <c r="O228" s="49"/>
      <c r="P228" s="65" t="s">
        <v>434</v>
      </c>
      <c r="Q228" s="49" t="str">
        <f t="shared" si="66"/>
        <v>02/07/2024</v>
      </c>
      <c r="R228" s="68">
        <f>IF(Q228="",0,DATEDIF(Q228,$C$1,"Y"))</f>
        <v>0</v>
      </c>
      <c r="S228" s="68">
        <f>IF(Q228="",0,DATEDIF(Q228,$C$1,"YM"))</f>
        <v>11</v>
      </c>
      <c r="T228" s="68">
        <f>IF(Q228="",0,DATEDIF(Q228,$C$1,"MD"))</f>
        <v>18</v>
      </c>
      <c r="U228" s="65"/>
      <c r="V228" s="65"/>
      <c r="W228" s="49" t="str">
        <f t="shared" si="79"/>
        <v/>
      </c>
      <c r="X228" s="68">
        <f>IF(W228="",0,DATEDIF(W228,Q228,"Y"))</f>
        <v>0</v>
      </c>
      <c r="Y228" s="68">
        <f>IF(W228="",0,DATEDIF(W228,Q228,"YM"))</f>
        <v>0</v>
      </c>
      <c r="Z228" s="68">
        <f>IF(W228="",0,DATEDIF(W228,Q228,"MD"))</f>
        <v>0</v>
      </c>
      <c r="AA228" s="49"/>
      <c r="AB228" s="65"/>
      <c r="AC228" s="50" t="str">
        <f t="shared" si="80"/>
        <v/>
      </c>
      <c r="AD228" s="68">
        <f t="shared" si="81"/>
        <v>0</v>
      </c>
      <c r="AE228" s="68">
        <f t="shared" si="82"/>
        <v>0</v>
      </c>
      <c r="AF228" s="68">
        <f t="shared" si="83"/>
        <v>0</v>
      </c>
      <c r="AG228" s="50"/>
      <c r="AH228" s="108" t="s">
        <v>138</v>
      </c>
      <c r="AI228" s="49" t="str">
        <f>IF(AH228="นิติศาสตร์","K5-LAW","K5-POLICY")</f>
        <v>K5-LAW</v>
      </c>
      <c r="AJ228" s="72" t="str">
        <f>_xlfn.IFS(B228="","",AND(AI228="K5-LAW",AH228="นิติศาสตร์",L228="S2",U228="",AA228=""),Q228,AND(AI228="K5-LAW",AH228="นิติศาสตร์",L228="S1",U228="",AA228=""),EDATE(Q228,12),AND(AI228="K5-LAW",AH228="นิติศาสตร์",OR(L228="M2",L228="K4"),U228="",AA228=""),EDATE(Q228,12*2),AND(AI228="K5-LAW",AH228="นิติศาสตร์",OR(AA228="M2",AA228="K4"),AD228&gt;=2,OR(AC228&lt;W228,AC228&lt;Q228)),EDATE(AC228,12*2),AND(AI228="K5-LAW",AH228="นิติศาสตร์",AA228="S1",AD228&gt;=1,OR(AC228&lt;W228,AC228&lt;Q228)),EDATE(AC228,12),AND(AI228="K5-LAW",AH228="นิติศาสตร์",OR(U228="M2",U228="K4"),X228&gt;=2,W228&lt;Q228),EDATE(W228,12*2),AND(AI228="K5-LAW",AH228="นิติศาสตร์",U228="S1",X228&gt;=1,W228&lt;Q228),EDATE(W228,12),AND(AI228="K5-LAW",AH228="นิติศาสตร์",OR(U228="S2",U228="K5")),W228,AND(AI228="K5-LAW",AH228="นิติศาสตร์",OR(L228="M2",L228="K4"),R228&gt;=2),EDATE(Q228,12*2),AND(AI228="K5-LAW",AH228="นิติศาสตร์",L228="S1",R228&gt;=1),EDATE(Q228,12),AND(AI228="K5-LAW",AH228="นิติศาสตร์",OR(L228="S2",L228="K5")),Q228,AND(AI228="K5-POLICY",AH228&lt;&gt;"นิติศาสตร์",L228="S2",U228="",AA228=""),Q228,AND(AI228="K5-POLICY",AH228&lt;&gt;"นิติศาสตร์",L228="S1",U228="",AA228=""),EDATE(Q228,12),AND(AI228="K5-POLICY",AH228&lt;&gt;"นิติศาสตร์",OR(L228="M2",L228="K4"),U228="",AA228=""),EDATE(Q228,12*2),AND(AI228="K5-POLICY",AH228&lt;&gt;"นิติศาสตร์",OR(AA228="M2",AA228="K4"),AD228&gt;=2,OR(AC228&lt;W228,AC228&lt;Q228)),EDATE(AC228,12*2),AND(AI228="K5-POLICY",AH228&lt;&gt;"นิติศาสตร์",AA228="S1",AD228&gt;=1,OR(AC228&lt;W228,AC228&lt;Q228)),EDATE(AC228,12),AND(AI228="K5-POLICY",AH228&lt;&gt;"นิติศาสตร์",OR(U228="M2",U228="K4"),X228&gt;=2,W228&lt;Q228),EDATE(W228,12*2),AND(AI228="K5-POLICY",AH228&lt;&gt;"นิติศาสตร์",U228="S1",X228&gt;=1,W228&lt;Q228),EDATE(W228,12),AND(AI228="K5-POLICY",AH228&lt;&gt;"นิติศาสตร์",OR(U228="S2",U228="K5")),W228,AND(AI228="K5-POLICY",AH228&lt;&gt;"นิติศาสตร์",OR(L228="M2",L228="K4"),R228&gt;=2),EDATE(Q228,12*2),AND(AI228="K5-POLICY",AH228&lt;&gt;"นิติศาสตร์",L228="S1",R228&gt;=1),EDATE(Q228,12),AND(AI228="K5-POLICY",AH228&lt;&gt;"นิติศาสตร์",OR(L228="S2",L228="K5")),Q228,TRUE,"Check Data")</f>
        <v/>
      </c>
      <c r="AK228" s="75" t="str">
        <f t="shared" si="72"/>
        <v>Check Data</v>
      </c>
      <c r="AL228" s="76" t="str">
        <f t="shared" si="78"/>
        <v>Check Data</v>
      </c>
      <c r="AM228" s="50" t="str">
        <f t="shared" si="73"/>
        <v>Check Data</v>
      </c>
      <c r="AN228" s="49" t="str">
        <f>IF(B228="","",IF(L228="S1","S1",INDEX(#REF!,#REF!)))</f>
        <v/>
      </c>
      <c r="AO228" s="49" t="str">
        <f>L228</f>
        <v>M2</v>
      </c>
      <c r="AP228" s="50" t="b">
        <f>L228=AN228</f>
        <v>0</v>
      </c>
      <c r="AQ228" s="50"/>
    </row>
    <row r="229" spans="1:43" ht="21.75">
      <c r="A229" s="49">
        <v>227</v>
      </c>
      <c r="B229" s="50"/>
      <c r="C229" s="52"/>
      <c r="D229" s="50" t="s">
        <v>141</v>
      </c>
      <c r="E229" s="50" t="e">
        <f>INDEX(#REF!,#REF!)</f>
        <v>#REF!</v>
      </c>
      <c r="F229" s="49"/>
      <c r="G229" s="49"/>
      <c r="H229" s="50">
        <f t="shared" si="75"/>
        <v>0</v>
      </c>
      <c r="I229" s="50">
        <f t="shared" si="76"/>
        <v>0</v>
      </c>
      <c r="J229" s="50">
        <f t="shared" si="77"/>
        <v>0</v>
      </c>
      <c r="K229" s="50"/>
      <c r="L229" s="49" t="s">
        <v>136</v>
      </c>
      <c r="M229" s="64"/>
      <c r="N229" s="49"/>
      <c r="O229" s="49"/>
      <c r="P229" s="65" t="s">
        <v>434</v>
      </c>
      <c r="Q229" s="49" t="str">
        <f t="shared" si="66"/>
        <v>02/07/2024</v>
      </c>
      <c r="R229" s="68">
        <f>IF(Q229="",0,DATEDIF(Q229,$C$1,"Y"))</f>
        <v>0</v>
      </c>
      <c r="S229" s="68">
        <f>IF(Q229="",0,DATEDIF(Q229,$C$1,"YM"))</f>
        <v>11</v>
      </c>
      <c r="T229" s="68">
        <f>IF(Q229="",0,DATEDIF(Q229,$C$1,"MD"))</f>
        <v>18</v>
      </c>
      <c r="U229" s="65"/>
      <c r="V229" s="65"/>
      <c r="W229" s="49" t="str">
        <f t="shared" si="79"/>
        <v/>
      </c>
      <c r="X229" s="68">
        <f>IF(W229="",0,DATEDIF(W229,Q229,"Y"))</f>
        <v>0</v>
      </c>
      <c r="Y229" s="68">
        <f>IF(W229="",0,DATEDIF(W229,Q229,"YM"))</f>
        <v>0</v>
      </c>
      <c r="Z229" s="68">
        <f>IF(W229="",0,DATEDIF(W229,Q229,"MD"))</f>
        <v>0</v>
      </c>
      <c r="AA229" s="49"/>
      <c r="AB229" s="65"/>
      <c r="AC229" s="50" t="str">
        <f t="shared" si="80"/>
        <v/>
      </c>
      <c r="AD229" s="68">
        <f t="shared" si="81"/>
        <v>0</v>
      </c>
      <c r="AE229" s="68">
        <f t="shared" si="82"/>
        <v>0</v>
      </c>
      <c r="AF229" s="68">
        <f t="shared" si="83"/>
        <v>0</v>
      </c>
      <c r="AG229" s="50"/>
      <c r="AH229" s="108" t="s">
        <v>138</v>
      </c>
      <c r="AI229" s="49" t="str">
        <f>IF(AH229="นิติศาสตร์","K5-LAW","K5-POLICY")</f>
        <v>K5-LAW</v>
      </c>
      <c r="AJ229" s="72" t="str">
        <f>_xlfn.IFS(B229="","",AND(AI229="K5-LAW",AH229="นิติศาสตร์",L229="S2",U229="",AA229=""),Q229,AND(AI229="K5-LAW",AH229="นิติศาสตร์",L229="S1",U229="",AA229=""),EDATE(Q229,12),AND(AI229="K5-LAW",AH229="นิติศาสตร์",OR(L229="M2",L229="K4"),U229="",AA229=""),EDATE(Q229,12*2),AND(AI229="K5-LAW",AH229="นิติศาสตร์",OR(AA229="M2",AA229="K4"),AD229&gt;=2,OR(AC229&lt;W229,AC229&lt;Q229)),EDATE(AC229,12*2),AND(AI229="K5-LAW",AH229="นิติศาสตร์",AA229="S1",AD229&gt;=1,OR(AC229&lt;W229,AC229&lt;Q229)),EDATE(AC229,12),AND(AI229="K5-LAW",AH229="นิติศาสตร์",OR(U229="M2",U229="K4"),X229&gt;=2,W229&lt;Q229),EDATE(W229,12*2),AND(AI229="K5-LAW",AH229="นิติศาสตร์",U229="S1",X229&gt;=1,W229&lt;Q229),EDATE(W229,12),AND(AI229="K5-LAW",AH229="นิติศาสตร์",OR(U229="S2",U229="K5")),W229,AND(AI229="K5-LAW",AH229="นิติศาสตร์",OR(L229="M2",L229="K4"),R229&gt;=2),EDATE(Q229,12*2),AND(AI229="K5-LAW",AH229="นิติศาสตร์",L229="S1",R229&gt;=1),EDATE(Q229,12),AND(AI229="K5-LAW",AH229="นิติศาสตร์",OR(L229="S2",L229="K5")),Q229,AND(AI229="K5-POLICY",AH229&lt;&gt;"นิติศาสตร์",L229="S2",U229="",AA229=""),Q229,AND(AI229="K5-POLICY",AH229&lt;&gt;"นิติศาสตร์",L229="S1",U229="",AA229=""),EDATE(Q229,12),AND(AI229="K5-POLICY",AH229&lt;&gt;"นิติศาสตร์",OR(L229="M2",L229="K4"),U229="",AA229=""),EDATE(Q229,12*2),AND(AI229="K5-POLICY",AH229&lt;&gt;"นิติศาสตร์",OR(AA229="M2",AA229="K4"),AD229&gt;=2,OR(AC229&lt;W229,AC229&lt;Q229)),EDATE(AC229,12*2),AND(AI229="K5-POLICY",AH229&lt;&gt;"นิติศาสตร์",AA229="S1",AD229&gt;=1,OR(AC229&lt;W229,AC229&lt;Q229)),EDATE(AC229,12),AND(AI229="K5-POLICY",AH229&lt;&gt;"นิติศาสตร์",OR(U229="M2",U229="K4"),X229&gt;=2,W229&lt;Q229),EDATE(W229,12*2),AND(AI229="K5-POLICY",AH229&lt;&gt;"นิติศาสตร์",U229="S1",X229&gt;=1,W229&lt;Q229),EDATE(W229,12),AND(AI229="K5-POLICY",AH229&lt;&gt;"นิติศาสตร์",OR(U229="S2",U229="K5")),W229,AND(AI229="K5-POLICY",AH229&lt;&gt;"นิติศาสตร์",OR(L229="M2",L229="K4"),R229&gt;=2),EDATE(Q229,12*2),AND(AI229="K5-POLICY",AH229&lt;&gt;"นิติศาสตร์",L229="S1",R229&gt;=1),EDATE(Q229,12),AND(AI229="K5-POLICY",AH229&lt;&gt;"นิติศาสตร์",OR(L229="S2",L229="K5")),Q229,TRUE,"Check Data")</f>
        <v/>
      </c>
      <c r="AK229" s="75" t="str">
        <f t="shared" si="72"/>
        <v>Check Data</v>
      </c>
      <c r="AL229" s="76" t="str">
        <f t="shared" si="78"/>
        <v>Check Data</v>
      </c>
      <c r="AM229" s="50" t="str">
        <f t="shared" si="73"/>
        <v>Check Data</v>
      </c>
      <c r="AN229" s="49" t="str">
        <f>IF(B229="","",IF(L229="S1","S1",INDEX(#REF!,#REF!)))</f>
        <v/>
      </c>
      <c r="AO229" s="49" t="str">
        <f>L229</f>
        <v>M2</v>
      </c>
      <c r="AP229" s="50" t="b">
        <f>L229=AN229</f>
        <v>0</v>
      </c>
      <c r="AQ229" s="50"/>
    </row>
    <row r="230" spans="1:43" ht="21.75">
      <c r="A230" s="49">
        <v>228</v>
      </c>
      <c r="B230" s="50"/>
      <c r="C230" s="52"/>
      <c r="D230" s="50" t="s">
        <v>141</v>
      </c>
      <c r="E230" s="50" t="e">
        <f>INDEX(#REF!,#REF!)</f>
        <v>#REF!</v>
      </c>
      <c r="F230" s="49"/>
      <c r="G230" s="49"/>
      <c r="H230" s="50">
        <f t="shared" si="75"/>
        <v>0</v>
      </c>
      <c r="I230" s="50">
        <f t="shared" si="76"/>
        <v>0</v>
      </c>
      <c r="J230" s="50">
        <f t="shared" si="77"/>
        <v>0</v>
      </c>
      <c r="K230" s="50"/>
      <c r="L230" s="49" t="s">
        <v>136</v>
      </c>
      <c r="M230" s="64"/>
      <c r="N230" s="49"/>
      <c r="O230" s="49"/>
      <c r="P230" s="65" t="s">
        <v>434</v>
      </c>
      <c r="Q230" s="49" t="str">
        <f t="shared" si="66"/>
        <v>02/07/2024</v>
      </c>
      <c r="R230" s="68">
        <f>IF(Q230="",0,DATEDIF(Q230,$C$1,"Y"))</f>
        <v>0</v>
      </c>
      <c r="S230" s="68">
        <f>IF(Q230="",0,DATEDIF(Q230,$C$1,"YM"))</f>
        <v>11</v>
      </c>
      <c r="T230" s="68">
        <f>IF(Q230="",0,DATEDIF(Q230,$C$1,"MD"))</f>
        <v>18</v>
      </c>
      <c r="U230" s="65"/>
      <c r="V230" s="65"/>
      <c r="W230" s="49" t="str">
        <f t="shared" si="79"/>
        <v/>
      </c>
      <c r="X230" s="68">
        <f>IF(W230="",0,DATEDIF(W230,Q230,"Y"))</f>
        <v>0</v>
      </c>
      <c r="Y230" s="68">
        <f>IF(W230="",0,DATEDIF(W230,Q230,"YM"))</f>
        <v>0</v>
      </c>
      <c r="Z230" s="68">
        <f>IF(W230="",0,DATEDIF(W230,Q230,"MD"))</f>
        <v>0</v>
      </c>
      <c r="AA230" s="49"/>
      <c r="AB230" s="65"/>
      <c r="AC230" s="50" t="str">
        <f t="shared" si="80"/>
        <v/>
      </c>
      <c r="AD230" s="68">
        <f t="shared" si="81"/>
        <v>0</v>
      </c>
      <c r="AE230" s="68">
        <f t="shared" si="82"/>
        <v>0</v>
      </c>
      <c r="AF230" s="68">
        <f t="shared" si="83"/>
        <v>0</v>
      </c>
      <c r="AG230" s="50"/>
      <c r="AH230" s="108" t="s">
        <v>138</v>
      </c>
      <c r="AI230" s="49" t="str">
        <f>IF(AH230="นิติศาสตร์","K5-LAW","K5-POLICY")</f>
        <v>K5-LAW</v>
      </c>
      <c r="AJ230" s="72" t="str">
        <f>_xlfn.IFS(B230="","",AND(AI230="K5-LAW",AH230="นิติศาสตร์",L230="S2",U230="",AA230=""),Q230,AND(AI230="K5-LAW",AH230="นิติศาสตร์",L230="S1",U230="",AA230=""),EDATE(Q230,12),AND(AI230="K5-LAW",AH230="นิติศาสตร์",OR(L230="M2",L230="K4"),U230="",AA230=""),EDATE(Q230,12*2),AND(AI230="K5-LAW",AH230="นิติศาสตร์",OR(AA230="M2",AA230="K4"),AD230&gt;=2,OR(AC230&lt;W230,AC230&lt;Q230)),EDATE(AC230,12*2),AND(AI230="K5-LAW",AH230="นิติศาสตร์",AA230="S1",AD230&gt;=1,OR(AC230&lt;W230,AC230&lt;Q230)),EDATE(AC230,12),AND(AI230="K5-LAW",AH230="นิติศาสตร์",OR(U230="M2",U230="K4"),X230&gt;=2,W230&lt;Q230),EDATE(W230,12*2),AND(AI230="K5-LAW",AH230="นิติศาสตร์",U230="S1",X230&gt;=1,W230&lt;Q230),EDATE(W230,12),AND(AI230="K5-LAW",AH230="นิติศาสตร์",OR(U230="S2",U230="K5")),W230,AND(AI230="K5-LAW",AH230="นิติศาสตร์",OR(L230="M2",L230="K4"),R230&gt;=2),EDATE(Q230,12*2),AND(AI230="K5-LAW",AH230="นิติศาสตร์",L230="S1",R230&gt;=1),EDATE(Q230,12),AND(AI230="K5-LAW",AH230="นิติศาสตร์",OR(L230="S2",L230="K5")),Q230,AND(AI230="K5-POLICY",AH230&lt;&gt;"นิติศาสตร์",L230="S2",U230="",AA230=""),Q230,AND(AI230="K5-POLICY",AH230&lt;&gt;"นิติศาสตร์",L230="S1",U230="",AA230=""),EDATE(Q230,12),AND(AI230="K5-POLICY",AH230&lt;&gt;"นิติศาสตร์",OR(L230="M2",L230="K4"),U230="",AA230=""),EDATE(Q230,12*2),AND(AI230="K5-POLICY",AH230&lt;&gt;"นิติศาสตร์",OR(AA230="M2",AA230="K4"),AD230&gt;=2,OR(AC230&lt;W230,AC230&lt;Q230)),EDATE(AC230,12*2),AND(AI230="K5-POLICY",AH230&lt;&gt;"นิติศาสตร์",AA230="S1",AD230&gt;=1,OR(AC230&lt;W230,AC230&lt;Q230)),EDATE(AC230,12),AND(AI230="K5-POLICY",AH230&lt;&gt;"นิติศาสตร์",OR(U230="M2",U230="K4"),X230&gt;=2,W230&lt;Q230),EDATE(W230,12*2),AND(AI230="K5-POLICY",AH230&lt;&gt;"นิติศาสตร์",U230="S1",X230&gt;=1,W230&lt;Q230),EDATE(W230,12),AND(AI230="K5-POLICY",AH230&lt;&gt;"นิติศาสตร์",OR(U230="S2",U230="K5")),W230,AND(AI230="K5-POLICY",AH230&lt;&gt;"นิติศาสตร์",OR(L230="M2",L230="K4"),R230&gt;=2),EDATE(Q230,12*2),AND(AI230="K5-POLICY",AH230&lt;&gt;"นิติศาสตร์",L230="S1",R230&gt;=1),EDATE(Q230,12),AND(AI230="K5-POLICY",AH230&lt;&gt;"นิติศาสตร์",OR(L230="S2",L230="K5")),Q230,TRUE,"Check Data")</f>
        <v/>
      </c>
      <c r="AK230" s="75" t="str">
        <f t="shared" si="72"/>
        <v>Check Data</v>
      </c>
      <c r="AL230" s="76" t="str">
        <f t="shared" si="78"/>
        <v>Check Data</v>
      </c>
      <c r="AM230" s="50" t="str">
        <f t="shared" si="73"/>
        <v>Check Data</v>
      </c>
      <c r="AN230" s="49" t="str">
        <f>IF(B230="","",IF(L230="S1","S1",INDEX(#REF!,#REF!)))</f>
        <v/>
      </c>
      <c r="AO230" s="49" t="str">
        <f>L230</f>
        <v>M2</v>
      </c>
      <c r="AP230" s="50" t="b">
        <f>L230=AN230</f>
        <v>0</v>
      </c>
      <c r="AQ230" s="50"/>
    </row>
    <row r="231" spans="1:43" ht="21.75">
      <c r="A231" s="49">
        <v>229</v>
      </c>
      <c r="B231" s="50"/>
      <c r="C231" s="52"/>
      <c r="D231" s="50" t="s">
        <v>141</v>
      </c>
      <c r="E231" s="50" t="e">
        <f>INDEX(#REF!,#REF!)</f>
        <v>#REF!</v>
      </c>
      <c r="F231" s="49"/>
      <c r="G231" s="49" t="str">
        <f t="shared" ref="G231:G237" si="85">IF(F231="","",TEXT(EDATE(F231,-543*12),"dd/mm/yyyy"))</f>
        <v/>
      </c>
      <c r="H231" s="50">
        <f t="shared" si="75"/>
        <v>0</v>
      </c>
      <c r="I231" s="50">
        <f t="shared" si="76"/>
        <v>0</v>
      </c>
      <c r="J231" s="50">
        <f t="shared" si="77"/>
        <v>0</v>
      </c>
      <c r="K231" s="50"/>
      <c r="L231" s="49" t="s">
        <v>136</v>
      </c>
      <c r="M231" s="64"/>
      <c r="N231" s="49"/>
      <c r="O231" s="49"/>
      <c r="P231" s="65" t="s">
        <v>434</v>
      </c>
      <c r="Q231" s="49" t="str">
        <f t="shared" si="66"/>
        <v>02/07/2024</v>
      </c>
      <c r="R231" s="68">
        <f>IF(Q231="",0,DATEDIF(Q231,$C$1,"Y"))</f>
        <v>0</v>
      </c>
      <c r="S231" s="68">
        <f>IF(Q231="",0,DATEDIF(Q231,$C$1,"YM"))</f>
        <v>11</v>
      </c>
      <c r="T231" s="68">
        <f>IF(Q231="",0,DATEDIF(Q231,$C$1,"MD"))</f>
        <v>18</v>
      </c>
      <c r="U231" s="65"/>
      <c r="V231" s="65"/>
      <c r="W231" s="49" t="str">
        <f t="shared" si="79"/>
        <v/>
      </c>
      <c r="X231" s="68">
        <f>IF(W231="",0,DATEDIF(W231,Q231,"Y"))</f>
        <v>0</v>
      </c>
      <c r="Y231" s="68">
        <f>IF(W231="",0,DATEDIF(W231,Q231,"YM"))</f>
        <v>0</v>
      </c>
      <c r="Z231" s="68">
        <f>IF(W231="",0,DATEDIF(W231,Q231,"MD"))</f>
        <v>0</v>
      </c>
      <c r="AA231" s="49"/>
      <c r="AB231" s="65"/>
      <c r="AC231" s="50" t="str">
        <f t="shared" si="80"/>
        <v/>
      </c>
      <c r="AD231" s="68">
        <f t="shared" si="81"/>
        <v>0</v>
      </c>
      <c r="AE231" s="68">
        <f t="shared" si="82"/>
        <v>0</v>
      </c>
      <c r="AF231" s="68">
        <f t="shared" si="83"/>
        <v>0</v>
      </c>
      <c r="AG231" s="50"/>
      <c r="AH231" s="108" t="s">
        <v>138</v>
      </c>
      <c r="AI231" s="49" t="str">
        <f>IF(AH231="นิติศาสตร์","K5-LAW","K5-POLICY")</f>
        <v>K5-LAW</v>
      </c>
      <c r="AJ231" s="72" t="str">
        <f>_xlfn.IFS(B231="","",AND(AI231="K5-LAW",AH231="นิติศาสตร์",L231="S2",U231="",AA231=""),Q231,AND(AI231="K5-LAW",AH231="นิติศาสตร์",L231="S1",U231="",AA231=""),EDATE(Q231,12),AND(AI231="K5-LAW",AH231="นิติศาสตร์",OR(L231="M2",L231="K4"),U231="",AA231=""),EDATE(Q231,12*2),AND(AI231="K5-LAW",AH231="นิติศาสตร์",OR(AA231="M2",AA231="K4"),AD231&gt;=2,OR(AC231&lt;W231,AC231&lt;Q231)),EDATE(AC231,12*2),AND(AI231="K5-LAW",AH231="นิติศาสตร์",AA231="S1",AD231&gt;=1,OR(AC231&lt;W231,AC231&lt;Q231)),EDATE(AC231,12),AND(AI231="K5-LAW",AH231="นิติศาสตร์",OR(U231="M2",U231="K4"),X231&gt;=2,W231&lt;Q231),EDATE(W231,12*2),AND(AI231="K5-LAW",AH231="นิติศาสตร์",U231="S1",X231&gt;=1,W231&lt;Q231),EDATE(W231,12),AND(AI231="K5-LAW",AH231="นิติศาสตร์",OR(U231="S2",U231="K5")),W231,AND(AI231="K5-LAW",AH231="นิติศาสตร์",OR(L231="M2",L231="K4"),R231&gt;=2),EDATE(Q231,12*2),AND(AI231="K5-LAW",AH231="นิติศาสตร์",L231="S1",R231&gt;=1),EDATE(Q231,12),AND(AI231="K5-LAW",AH231="นิติศาสตร์",OR(L231="S2",L231="K5")),Q231,AND(AI231="K5-POLICY",AH231&lt;&gt;"นิติศาสตร์",L231="S2",U231="",AA231=""),Q231,AND(AI231="K5-POLICY",AH231&lt;&gt;"นิติศาสตร์",L231="S1",U231="",AA231=""),EDATE(Q231,12),AND(AI231="K5-POLICY",AH231&lt;&gt;"นิติศาสตร์",OR(L231="M2",L231="K4"),U231="",AA231=""),EDATE(Q231,12*2),AND(AI231="K5-POLICY",AH231&lt;&gt;"นิติศาสตร์",OR(AA231="M2",AA231="K4"),AD231&gt;=2,OR(AC231&lt;W231,AC231&lt;Q231)),EDATE(AC231,12*2),AND(AI231="K5-POLICY",AH231&lt;&gt;"นิติศาสตร์",AA231="S1",AD231&gt;=1,OR(AC231&lt;W231,AC231&lt;Q231)),EDATE(AC231,12),AND(AI231="K5-POLICY",AH231&lt;&gt;"นิติศาสตร์",OR(U231="M2",U231="K4"),X231&gt;=2,W231&lt;Q231),EDATE(W231,12*2),AND(AI231="K5-POLICY",AH231&lt;&gt;"นิติศาสตร์",U231="S1",X231&gt;=1,W231&lt;Q231),EDATE(W231,12),AND(AI231="K5-POLICY",AH231&lt;&gt;"นิติศาสตร์",OR(U231="S2",U231="K5")),W231,AND(AI231="K5-POLICY",AH231&lt;&gt;"นิติศาสตร์",OR(L231="M2",L231="K4"),R231&gt;=2),EDATE(Q231,12*2),AND(AI231="K5-POLICY",AH231&lt;&gt;"นิติศาสตร์",L231="S1",R231&gt;=1),EDATE(Q231,12),AND(AI231="K5-POLICY",AH231&lt;&gt;"นิติศาสตร์",OR(L231="S2",L231="K5")),Q231,TRUE,"Check Data")</f>
        <v/>
      </c>
      <c r="AK231" s="75" t="str">
        <f t="shared" si="72"/>
        <v>Check Data</v>
      </c>
      <c r="AL231" s="76" t="str">
        <f t="shared" si="78"/>
        <v>Check Data</v>
      </c>
      <c r="AM231" s="50" t="str">
        <f t="shared" si="73"/>
        <v>Check Data</v>
      </c>
      <c r="AN231" s="49" t="str">
        <f>IF(B231="","",IF(L231="S1","S1",INDEX(#REF!,#REF!)))</f>
        <v/>
      </c>
      <c r="AO231" s="49" t="str">
        <f>L231</f>
        <v>M2</v>
      </c>
      <c r="AP231" s="50" t="b">
        <f>L231=AN231</f>
        <v>0</v>
      </c>
      <c r="AQ231" s="50"/>
    </row>
    <row r="232" spans="1:43" ht="21.75">
      <c r="A232" s="49">
        <v>230</v>
      </c>
      <c r="B232" s="50"/>
      <c r="C232" s="52"/>
      <c r="D232" s="50" t="s">
        <v>141</v>
      </c>
      <c r="E232" s="50" t="e">
        <f>INDEX(#REF!,#REF!)</f>
        <v>#REF!</v>
      </c>
      <c r="F232" s="49"/>
      <c r="G232" s="49" t="str">
        <f t="shared" si="85"/>
        <v/>
      </c>
      <c r="H232" s="50">
        <f t="shared" si="75"/>
        <v>0</v>
      </c>
      <c r="I232" s="50">
        <f t="shared" si="76"/>
        <v>0</v>
      </c>
      <c r="J232" s="50">
        <f t="shared" si="77"/>
        <v>0</v>
      </c>
      <c r="K232" s="50"/>
      <c r="L232" s="49" t="s">
        <v>136</v>
      </c>
      <c r="M232" s="64"/>
      <c r="N232" s="49"/>
      <c r="O232" s="49"/>
      <c r="P232" s="65" t="s">
        <v>434</v>
      </c>
      <c r="Q232" s="49" t="str">
        <f t="shared" si="66"/>
        <v>02/07/2024</v>
      </c>
      <c r="R232" s="68">
        <f>IF(Q232="",0,DATEDIF(Q232,$C$1,"Y"))</f>
        <v>0</v>
      </c>
      <c r="S232" s="68">
        <f>IF(Q232="",0,DATEDIF(Q232,$C$1,"YM"))</f>
        <v>11</v>
      </c>
      <c r="T232" s="68">
        <f>IF(Q232="",0,DATEDIF(Q232,$C$1,"MD"))</f>
        <v>18</v>
      </c>
      <c r="U232" s="65"/>
      <c r="V232" s="65"/>
      <c r="W232" s="49" t="str">
        <f t="shared" si="79"/>
        <v/>
      </c>
      <c r="X232" s="68">
        <f>IF(W232="",0,DATEDIF(W232,Q232,"Y"))</f>
        <v>0</v>
      </c>
      <c r="Y232" s="68">
        <f>IF(W232="",0,DATEDIF(W232,Q232,"YM"))</f>
        <v>0</v>
      </c>
      <c r="Z232" s="68">
        <f>IF(W232="",0,DATEDIF(W232,Q232,"MD"))</f>
        <v>0</v>
      </c>
      <c r="AA232" s="49"/>
      <c r="AB232" s="65"/>
      <c r="AC232" s="50" t="str">
        <f t="shared" si="80"/>
        <v/>
      </c>
      <c r="AD232" s="68">
        <f t="shared" si="81"/>
        <v>0</v>
      </c>
      <c r="AE232" s="68">
        <f t="shared" si="82"/>
        <v>0</v>
      </c>
      <c r="AF232" s="68">
        <f t="shared" si="83"/>
        <v>0</v>
      </c>
      <c r="AG232" s="50"/>
      <c r="AH232" s="108" t="s">
        <v>138</v>
      </c>
      <c r="AI232" s="49" t="str">
        <f>IF(AH232="นิติศาสตร์","K5-LAW","K5-POLICY")</f>
        <v>K5-LAW</v>
      </c>
      <c r="AJ232" s="72" t="str">
        <f>_xlfn.IFS(B232="","",AND(AI232="K5-LAW",AH232="นิติศาสตร์",L232="S2",U232="",AA232=""),Q232,AND(AI232="K5-LAW",AH232="นิติศาสตร์",L232="S1",U232="",AA232=""),EDATE(Q232,12),AND(AI232="K5-LAW",AH232="นิติศาสตร์",OR(L232="M2",L232="K4"),U232="",AA232=""),EDATE(Q232,12*2),AND(AI232="K5-LAW",AH232="นิติศาสตร์",OR(AA232="M2",AA232="K4"),AD232&gt;=2,OR(AC232&lt;W232,AC232&lt;Q232)),EDATE(AC232,12*2),AND(AI232="K5-LAW",AH232="นิติศาสตร์",AA232="S1",AD232&gt;=1,OR(AC232&lt;W232,AC232&lt;Q232)),EDATE(AC232,12),AND(AI232="K5-LAW",AH232="นิติศาสตร์",OR(U232="M2",U232="K4"),X232&gt;=2,W232&lt;Q232),EDATE(W232,12*2),AND(AI232="K5-LAW",AH232="นิติศาสตร์",U232="S1",X232&gt;=1,W232&lt;Q232),EDATE(W232,12),AND(AI232="K5-LAW",AH232="นิติศาสตร์",OR(U232="S2",U232="K5")),W232,AND(AI232="K5-LAW",AH232="นิติศาสตร์",OR(L232="M2",L232="K4"),R232&gt;=2),EDATE(Q232,12*2),AND(AI232="K5-LAW",AH232="นิติศาสตร์",L232="S1",R232&gt;=1),EDATE(Q232,12),AND(AI232="K5-LAW",AH232="นิติศาสตร์",OR(L232="S2",L232="K5")),Q232,AND(AI232="K5-POLICY",AH232&lt;&gt;"นิติศาสตร์",L232="S2",U232="",AA232=""),Q232,AND(AI232="K5-POLICY",AH232&lt;&gt;"นิติศาสตร์",L232="S1",U232="",AA232=""),EDATE(Q232,12),AND(AI232="K5-POLICY",AH232&lt;&gt;"นิติศาสตร์",OR(L232="M2",L232="K4"),U232="",AA232=""),EDATE(Q232,12*2),AND(AI232="K5-POLICY",AH232&lt;&gt;"นิติศาสตร์",OR(AA232="M2",AA232="K4"),AD232&gt;=2,OR(AC232&lt;W232,AC232&lt;Q232)),EDATE(AC232,12*2),AND(AI232="K5-POLICY",AH232&lt;&gt;"นิติศาสตร์",AA232="S1",AD232&gt;=1,OR(AC232&lt;W232,AC232&lt;Q232)),EDATE(AC232,12),AND(AI232="K5-POLICY",AH232&lt;&gt;"นิติศาสตร์",OR(U232="M2",U232="K4"),X232&gt;=2,W232&lt;Q232),EDATE(W232,12*2),AND(AI232="K5-POLICY",AH232&lt;&gt;"นิติศาสตร์",U232="S1",X232&gt;=1,W232&lt;Q232),EDATE(W232,12),AND(AI232="K5-POLICY",AH232&lt;&gt;"นิติศาสตร์",OR(U232="S2",U232="K5")),W232,AND(AI232="K5-POLICY",AH232&lt;&gt;"นิติศาสตร์",OR(L232="M2",L232="K4"),R232&gt;=2),EDATE(Q232,12*2),AND(AI232="K5-POLICY",AH232&lt;&gt;"นิติศาสตร์",L232="S1",R232&gt;=1),EDATE(Q232,12),AND(AI232="K5-POLICY",AH232&lt;&gt;"นิติศาสตร์",OR(L232="S2",L232="K5")),Q232,TRUE,"Check Data")</f>
        <v/>
      </c>
      <c r="AK232" s="75" t="str">
        <f t="shared" si="72"/>
        <v>Check Data</v>
      </c>
      <c r="AL232" s="76" t="str">
        <f t="shared" si="78"/>
        <v>Check Data</v>
      </c>
      <c r="AM232" s="50" t="str">
        <f t="shared" si="73"/>
        <v>Check Data</v>
      </c>
      <c r="AN232" s="49" t="str">
        <f>IF(B232="","",IF(L232="S1","S1",INDEX(#REF!,#REF!)))</f>
        <v/>
      </c>
      <c r="AO232" s="49" t="str">
        <f>L232</f>
        <v>M2</v>
      </c>
      <c r="AP232" s="50" t="b">
        <f>L232=AN232</f>
        <v>0</v>
      </c>
      <c r="AQ232" s="50"/>
    </row>
    <row r="233" spans="1:43" ht="21.75">
      <c r="A233" s="49">
        <v>231</v>
      </c>
      <c r="B233" s="50"/>
      <c r="C233" s="52"/>
      <c r="D233" s="50" t="s">
        <v>141</v>
      </c>
      <c r="E233" s="50" t="e">
        <f>INDEX(#REF!,#REF!)</f>
        <v>#REF!</v>
      </c>
      <c r="F233" s="49"/>
      <c r="G233" s="49" t="str">
        <f t="shared" si="85"/>
        <v/>
      </c>
      <c r="H233" s="50">
        <f t="shared" si="75"/>
        <v>0</v>
      </c>
      <c r="I233" s="50">
        <f t="shared" si="76"/>
        <v>0</v>
      </c>
      <c r="J233" s="50">
        <f t="shared" si="77"/>
        <v>0</v>
      </c>
      <c r="K233" s="50"/>
      <c r="L233" s="49" t="s">
        <v>136</v>
      </c>
      <c r="M233" s="64"/>
      <c r="N233" s="49"/>
      <c r="O233" s="49"/>
      <c r="P233" s="65" t="s">
        <v>434</v>
      </c>
      <c r="Q233" s="49" t="str">
        <f t="shared" si="66"/>
        <v>02/07/2024</v>
      </c>
      <c r="R233" s="68">
        <f>IF(Q233="",0,DATEDIF(Q233,$C$1,"Y"))</f>
        <v>0</v>
      </c>
      <c r="S233" s="68">
        <f>IF(Q233="",0,DATEDIF(Q233,$C$1,"YM"))</f>
        <v>11</v>
      </c>
      <c r="T233" s="68">
        <f>IF(Q233="",0,DATEDIF(Q233,$C$1,"MD"))</f>
        <v>18</v>
      </c>
      <c r="U233" s="65"/>
      <c r="V233" s="65"/>
      <c r="W233" s="49" t="str">
        <f t="shared" si="79"/>
        <v/>
      </c>
      <c r="X233" s="68">
        <f>IF(W233="",0,DATEDIF(W233,Q233,"Y"))</f>
        <v>0</v>
      </c>
      <c r="Y233" s="68">
        <f>IF(W233="",0,DATEDIF(W233,Q233,"YM"))</f>
        <v>0</v>
      </c>
      <c r="Z233" s="68">
        <f>IF(W233="",0,DATEDIF(W233,Q233,"MD"))</f>
        <v>0</v>
      </c>
      <c r="AA233" s="49"/>
      <c r="AB233" s="65"/>
      <c r="AC233" s="50" t="str">
        <f t="shared" si="80"/>
        <v/>
      </c>
      <c r="AD233" s="68">
        <f t="shared" si="81"/>
        <v>0</v>
      </c>
      <c r="AE233" s="68">
        <f t="shared" si="82"/>
        <v>0</v>
      </c>
      <c r="AF233" s="68">
        <f t="shared" si="83"/>
        <v>0</v>
      </c>
      <c r="AG233" s="50"/>
      <c r="AH233" s="108" t="s">
        <v>138</v>
      </c>
      <c r="AI233" s="49" t="str">
        <f>IF(AH233="นิติศาสตร์","K5-LAW","K5-POLICY")</f>
        <v>K5-LAW</v>
      </c>
      <c r="AJ233" s="72" t="str">
        <f>_xlfn.IFS(B233="","",AND(AI233="K5-LAW",AH233="นิติศาสตร์",L233="S2",U233="",AA233=""),Q233,AND(AI233="K5-LAW",AH233="นิติศาสตร์",L233="S1",U233="",AA233=""),EDATE(Q233,12),AND(AI233="K5-LAW",AH233="นิติศาสตร์",OR(L233="M2",L233="K4"),U233="",AA233=""),EDATE(Q233,12*2),AND(AI233="K5-LAW",AH233="นิติศาสตร์",OR(AA233="M2",AA233="K4"),AD233&gt;=2,OR(AC233&lt;W233,AC233&lt;Q233)),EDATE(AC233,12*2),AND(AI233="K5-LAW",AH233="นิติศาสตร์",AA233="S1",AD233&gt;=1,OR(AC233&lt;W233,AC233&lt;Q233)),EDATE(AC233,12),AND(AI233="K5-LAW",AH233="นิติศาสตร์",OR(U233="M2",U233="K4"),X233&gt;=2,W233&lt;Q233),EDATE(W233,12*2),AND(AI233="K5-LAW",AH233="นิติศาสตร์",U233="S1",X233&gt;=1,W233&lt;Q233),EDATE(W233,12),AND(AI233="K5-LAW",AH233="นิติศาสตร์",OR(U233="S2",U233="K5")),W233,AND(AI233="K5-LAW",AH233="นิติศาสตร์",OR(L233="M2",L233="K4"),R233&gt;=2),EDATE(Q233,12*2),AND(AI233="K5-LAW",AH233="นิติศาสตร์",L233="S1",R233&gt;=1),EDATE(Q233,12),AND(AI233="K5-LAW",AH233="นิติศาสตร์",OR(L233="S2",L233="K5")),Q233,AND(AI233="K5-POLICY",AH233&lt;&gt;"นิติศาสตร์",L233="S2",U233="",AA233=""),Q233,AND(AI233="K5-POLICY",AH233&lt;&gt;"นิติศาสตร์",L233="S1",U233="",AA233=""),EDATE(Q233,12),AND(AI233="K5-POLICY",AH233&lt;&gt;"นิติศาสตร์",OR(L233="M2",L233="K4"),U233="",AA233=""),EDATE(Q233,12*2),AND(AI233="K5-POLICY",AH233&lt;&gt;"นิติศาสตร์",OR(AA233="M2",AA233="K4"),AD233&gt;=2,OR(AC233&lt;W233,AC233&lt;Q233)),EDATE(AC233,12*2),AND(AI233="K5-POLICY",AH233&lt;&gt;"นิติศาสตร์",AA233="S1",AD233&gt;=1,OR(AC233&lt;W233,AC233&lt;Q233)),EDATE(AC233,12),AND(AI233="K5-POLICY",AH233&lt;&gt;"นิติศาสตร์",OR(U233="M2",U233="K4"),X233&gt;=2,W233&lt;Q233),EDATE(W233,12*2),AND(AI233="K5-POLICY",AH233&lt;&gt;"นิติศาสตร์",U233="S1",X233&gt;=1,W233&lt;Q233),EDATE(W233,12),AND(AI233="K5-POLICY",AH233&lt;&gt;"นิติศาสตร์",OR(U233="S2",U233="K5")),W233,AND(AI233="K5-POLICY",AH233&lt;&gt;"นิติศาสตร์",OR(L233="M2",L233="K4"),R233&gt;=2),EDATE(Q233,12*2),AND(AI233="K5-POLICY",AH233&lt;&gt;"นิติศาสตร์",L233="S1",R233&gt;=1),EDATE(Q233,12),AND(AI233="K5-POLICY",AH233&lt;&gt;"นิติศาสตร์",OR(L233="S2",L233="K5")),Q233,TRUE,"Check Data")</f>
        <v/>
      </c>
      <c r="AK233" s="75" t="str">
        <f t="shared" si="72"/>
        <v>Check Data</v>
      </c>
      <c r="AL233" s="76" t="str">
        <f t="shared" si="78"/>
        <v>Check Data</v>
      </c>
      <c r="AM233" s="50" t="str">
        <f t="shared" si="73"/>
        <v>Check Data</v>
      </c>
      <c r="AN233" s="49" t="str">
        <f>IF(B233="","",IF(L233="S1","S1",INDEX(#REF!,#REF!)))</f>
        <v/>
      </c>
      <c r="AO233" s="49" t="str">
        <f>L233</f>
        <v>M2</v>
      </c>
      <c r="AP233" s="50" t="b">
        <f>L233=AN233</f>
        <v>0</v>
      </c>
      <c r="AQ233" s="50"/>
    </row>
    <row r="234" spans="1:43" ht="21.75">
      <c r="A234" s="49">
        <v>232</v>
      </c>
      <c r="B234" s="50"/>
      <c r="C234" s="52"/>
      <c r="D234" s="50" t="s">
        <v>141</v>
      </c>
      <c r="E234" s="50" t="e">
        <f>INDEX(#REF!,#REF!)</f>
        <v>#REF!</v>
      </c>
      <c r="F234" s="49"/>
      <c r="G234" s="49" t="str">
        <f t="shared" si="85"/>
        <v/>
      </c>
      <c r="H234" s="50">
        <f t="shared" si="75"/>
        <v>0</v>
      </c>
      <c r="I234" s="50">
        <f t="shared" si="76"/>
        <v>0</v>
      </c>
      <c r="J234" s="50">
        <f t="shared" si="77"/>
        <v>0</v>
      </c>
      <c r="K234" s="50"/>
      <c r="L234" s="49" t="s">
        <v>136</v>
      </c>
      <c r="M234" s="64"/>
      <c r="N234" s="49"/>
      <c r="O234" s="49"/>
      <c r="P234" s="65" t="s">
        <v>434</v>
      </c>
      <c r="Q234" s="49" t="str">
        <f t="shared" ref="Q234:Q295" si="86">TEXT(EDATE(P234,-543*12),"dd/mm/yyyy")</f>
        <v>02/07/2024</v>
      </c>
      <c r="R234" s="68">
        <f>IF(Q234="",0,DATEDIF(Q234,$C$1,"Y"))</f>
        <v>0</v>
      </c>
      <c r="S234" s="68">
        <f>IF(Q234="",0,DATEDIF(Q234,$C$1,"YM"))</f>
        <v>11</v>
      </c>
      <c r="T234" s="68">
        <f>IF(Q234="",0,DATEDIF(Q234,$C$1,"MD"))</f>
        <v>18</v>
      </c>
      <c r="U234" s="65"/>
      <c r="V234" s="65"/>
      <c r="W234" s="49" t="str">
        <f t="shared" si="79"/>
        <v/>
      </c>
      <c r="X234" s="68">
        <f>IF(W234="",0,DATEDIF(W234,Q234,"Y"))</f>
        <v>0</v>
      </c>
      <c r="Y234" s="68">
        <f>IF(W234="",0,DATEDIF(W234,Q234,"YM"))</f>
        <v>0</v>
      </c>
      <c r="Z234" s="68">
        <f>IF(W234="",0,DATEDIF(W234,Q234,"MD"))</f>
        <v>0</v>
      </c>
      <c r="AA234" s="49"/>
      <c r="AB234" s="65"/>
      <c r="AC234" s="50" t="str">
        <f t="shared" si="80"/>
        <v/>
      </c>
      <c r="AD234" s="68">
        <f t="shared" si="81"/>
        <v>0</v>
      </c>
      <c r="AE234" s="68">
        <f t="shared" si="82"/>
        <v>0</v>
      </c>
      <c r="AF234" s="68">
        <f t="shared" si="83"/>
        <v>0</v>
      </c>
      <c r="AG234" s="50"/>
      <c r="AH234" s="108" t="s">
        <v>138</v>
      </c>
      <c r="AI234" s="49" t="str">
        <f>IF(AH234="นิติศาสตร์","K5-LAW","K5-POLICY")</f>
        <v>K5-LAW</v>
      </c>
      <c r="AJ234" s="72" t="str">
        <f>_xlfn.IFS(B234="","",AND(AI234="K5-LAW",AH234="นิติศาสตร์",L234="S2",U234="",AA234=""),Q234,AND(AI234="K5-LAW",AH234="นิติศาสตร์",L234="S1",U234="",AA234=""),EDATE(Q234,12),AND(AI234="K5-LAW",AH234="นิติศาสตร์",OR(L234="M2",L234="K4"),U234="",AA234=""),EDATE(Q234,12*2),AND(AI234="K5-LAW",AH234="นิติศาสตร์",OR(AA234="M2",AA234="K4"),AD234&gt;=2,OR(AC234&lt;W234,AC234&lt;Q234)),EDATE(AC234,12*2),AND(AI234="K5-LAW",AH234="นิติศาสตร์",AA234="S1",AD234&gt;=1,OR(AC234&lt;W234,AC234&lt;Q234)),EDATE(AC234,12),AND(AI234="K5-LAW",AH234="นิติศาสตร์",OR(U234="M2",U234="K4"),X234&gt;=2,W234&lt;Q234),EDATE(W234,12*2),AND(AI234="K5-LAW",AH234="นิติศาสตร์",U234="S1",X234&gt;=1,W234&lt;Q234),EDATE(W234,12),AND(AI234="K5-LAW",AH234="นิติศาสตร์",OR(U234="S2",U234="K5")),W234,AND(AI234="K5-LAW",AH234="นิติศาสตร์",OR(L234="M2",L234="K4"),R234&gt;=2),EDATE(Q234,12*2),AND(AI234="K5-LAW",AH234="นิติศาสตร์",L234="S1",R234&gt;=1),EDATE(Q234,12),AND(AI234="K5-LAW",AH234="นิติศาสตร์",OR(L234="S2",L234="K5")),Q234,AND(AI234="K5-POLICY",AH234&lt;&gt;"นิติศาสตร์",L234="S2",U234="",AA234=""),Q234,AND(AI234="K5-POLICY",AH234&lt;&gt;"นิติศาสตร์",L234="S1",U234="",AA234=""),EDATE(Q234,12),AND(AI234="K5-POLICY",AH234&lt;&gt;"นิติศาสตร์",OR(L234="M2",L234="K4"),U234="",AA234=""),EDATE(Q234,12*2),AND(AI234="K5-POLICY",AH234&lt;&gt;"นิติศาสตร์",OR(AA234="M2",AA234="K4"),AD234&gt;=2,OR(AC234&lt;W234,AC234&lt;Q234)),EDATE(AC234,12*2),AND(AI234="K5-POLICY",AH234&lt;&gt;"นิติศาสตร์",AA234="S1",AD234&gt;=1,OR(AC234&lt;W234,AC234&lt;Q234)),EDATE(AC234,12),AND(AI234="K5-POLICY",AH234&lt;&gt;"นิติศาสตร์",OR(U234="M2",U234="K4"),X234&gt;=2,W234&lt;Q234),EDATE(W234,12*2),AND(AI234="K5-POLICY",AH234&lt;&gt;"นิติศาสตร์",U234="S1",X234&gt;=1,W234&lt;Q234),EDATE(W234,12),AND(AI234="K5-POLICY",AH234&lt;&gt;"นิติศาสตร์",OR(U234="S2",U234="K5")),W234,AND(AI234="K5-POLICY",AH234&lt;&gt;"นิติศาสตร์",OR(L234="M2",L234="K4"),R234&gt;=2),EDATE(Q234,12*2),AND(AI234="K5-POLICY",AH234&lt;&gt;"นิติศาสตร์",L234="S1",R234&gt;=1),EDATE(Q234,12),AND(AI234="K5-POLICY",AH234&lt;&gt;"นิติศาสตร์",OR(L234="S2",L234="K5")),Q234,TRUE,"Check Data")</f>
        <v/>
      </c>
      <c r="AK234" s="75" t="str">
        <f t="shared" ref="AK234:AK295" si="87">IFERROR(TEXT(EDATE(AJ234,543*12),"dd/mm/yyyy"),"Check Data")</f>
        <v>Check Data</v>
      </c>
      <c r="AL234" s="76" t="str">
        <f t="shared" si="78"/>
        <v>Check Data</v>
      </c>
      <c r="AM234" s="50" t="str">
        <f t="shared" ref="AM234:AM295" si="88">_xlfn.IFS(AL234="Check Data","Check Data",AL234&gt;30,"ยังไม่ถึงเกณฑ์",AL234&gt;0,"ใกล้ถึงเกณฑ์",AL234=0,"ถึงเกณฑ์",AL234&lt;0,"ถึงเกณฑ์นานแล้ว")</f>
        <v>Check Data</v>
      </c>
      <c r="AN234" s="49" t="str">
        <f>IF(B234="","",IF(L234="S1","S1",INDEX(#REF!,#REF!)))</f>
        <v/>
      </c>
      <c r="AO234" s="49" t="str">
        <f>L234</f>
        <v>M2</v>
      </c>
      <c r="AP234" s="50" t="b">
        <f>L234=AN234</f>
        <v>0</v>
      </c>
      <c r="AQ234" s="50"/>
    </row>
    <row r="235" spans="1:43" ht="21.75">
      <c r="A235" s="49">
        <v>233</v>
      </c>
      <c r="B235" s="50"/>
      <c r="C235" s="52"/>
      <c r="D235" s="50" t="s">
        <v>141</v>
      </c>
      <c r="E235" s="50" t="e">
        <f>INDEX(#REF!,#REF!)</f>
        <v>#REF!</v>
      </c>
      <c r="F235" s="49"/>
      <c r="G235" s="49" t="str">
        <f t="shared" si="85"/>
        <v/>
      </c>
      <c r="H235" s="50">
        <f t="shared" si="75"/>
        <v>0</v>
      </c>
      <c r="I235" s="50">
        <f t="shared" si="76"/>
        <v>0</v>
      </c>
      <c r="J235" s="50">
        <f t="shared" si="77"/>
        <v>0</v>
      </c>
      <c r="K235" s="50"/>
      <c r="L235" s="49" t="s">
        <v>136</v>
      </c>
      <c r="M235" s="64"/>
      <c r="N235" s="49"/>
      <c r="O235" s="49"/>
      <c r="P235" s="65" t="s">
        <v>434</v>
      </c>
      <c r="Q235" s="49" t="str">
        <f t="shared" si="86"/>
        <v>02/07/2024</v>
      </c>
      <c r="R235" s="68">
        <f>IF(Q235="",0,DATEDIF(Q235,$C$1,"Y"))</f>
        <v>0</v>
      </c>
      <c r="S235" s="68">
        <f>IF(Q235="",0,DATEDIF(Q235,$C$1,"YM"))</f>
        <v>11</v>
      </c>
      <c r="T235" s="68">
        <f>IF(Q235="",0,DATEDIF(Q235,$C$1,"MD"))</f>
        <v>18</v>
      </c>
      <c r="U235" s="65"/>
      <c r="V235" s="65"/>
      <c r="W235" s="49" t="str">
        <f t="shared" si="79"/>
        <v/>
      </c>
      <c r="X235" s="68">
        <f>IF(W235="",0,DATEDIF(W235,Q235,"Y"))</f>
        <v>0</v>
      </c>
      <c r="Y235" s="68">
        <f>IF(W235="",0,DATEDIF(W235,Q235,"YM"))</f>
        <v>0</v>
      </c>
      <c r="Z235" s="68">
        <f>IF(W235="",0,DATEDIF(W235,Q235,"MD"))</f>
        <v>0</v>
      </c>
      <c r="AA235" s="49"/>
      <c r="AB235" s="65"/>
      <c r="AC235" s="50" t="str">
        <f t="shared" si="80"/>
        <v/>
      </c>
      <c r="AD235" s="68">
        <f t="shared" si="81"/>
        <v>0</v>
      </c>
      <c r="AE235" s="68">
        <f t="shared" si="82"/>
        <v>0</v>
      </c>
      <c r="AF235" s="68">
        <f t="shared" si="83"/>
        <v>0</v>
      </c>
      <c r="AG235" s="50"/>
      <c r="AH235" s="108" t="s">
        <v>138</v>
      </c>
      <c r="AI235" s="49" t="str">
        <f>IF(AH235="นิติศาสตร์","K5-LAW","K5-POLICY")</f>
        <v>K5-LAW</v>
      </c>
      <c r="AJ235" s="72" t="str">
        <f>_xlfn.IFS(B235="","",AND(AI235="K5-LAW",AH235="นิติศาสตร์",L235="S2",U235="",AA235=""),Q235,AND(AI235="K5-LAW",AH235="นิติศาสตร์",L235="S1",U235="",AA235=""),EDATE(Q235,12),AND(AI235="K5-LAW",AH235="นิติศาสตร์",OR(L235="M2",L235="K4"),U235="",AA235=""),EDATE(Q235,12*2),AND(AI235="K5-LAW",AH235="นิติศาสตร์",OR(AA235="M2",AA235="K4"),AD235&gt;=2,OR(AC235&lt;W235,AC235&lt;Q235)),EDATE(AC235,12*2),AND(AI235="K5-LAW",AH235="นิติศาสตร์",AA235="S1",AD235&gt;=1,OR(AC235&lt;W235,AC235&lt;Q235)),EDATE(AC235,12),AND(AI235="K5-LAW",AH235="นิติศาสตร์",OR(U235="M2",U235="K4"),X235&gt;=2,W235&lt;Q235),EDATE(W235,12*2),AND(AI235="K5-LAW",AH235="นิติศาสตร์",U235="S1",X235&gt;=1,W235&lt;Q235),EDATE(W235,12),AND(AI235="K5-LAW",AH235="นิติศาสตร์",OR(U235="S2",U235="K5")),W235,AND(AI235="K5-LAW",AH235="นิติศาสตร์",OR(L235="M2",L235="K4"),R235&gt;=2),EDATE(Q235,12*2),AND(AI235="K5-LAW",AH235="นิติศาสตร์",L235="S1",R235&gt;=1),EDATE(Q235,12),AND(AI235="K5-LAW",AH235="นิติศาสตร์",OR(L235="S2",L235="K5")),Q235,AND(AI235="K5-POLICY",AH235&lt;&gt;"นิติศาสตร์",L235="S2",U235="",AA235=""),Q235,AND(AI235="K5-POLICY",AH235&lt;&gt;"นิติศาสตร์",L235="S1",U235="",AA235=""),EDATE(Q235,12),AND(AI235="K5-POLICY",AH235&lt;&gt;"นิติศาสตร์",OR(L235="M2",L235="K4"),U235="",AA235=""),EDATE(Q235,12*2),AND(AI235="K5-POLICY",AH235&lt;&gt;"นิติศาสตร์",OR(AA235="M2",AA235="K4"),AD235&gt;=2,OR(AC235&lt;W235,AC235&lt;Q235)),EDATE(AC235,12*2),AND(AI235="K5-POLICY",AH235&lt;&gt;"นิติศาสตร์",AA235="S1",AD235&gt;=1,OR(AC235&lt;W235,AC235&lt;Q235)),EDATE(AC235,12),AND(AI235="K5-POLICY",AH235&lt;&gt;"นิติศาสตร์",OR(U235="M2",U235="K4"),X235&gt;=2,W235&lt;Q235),EDATE(W235,12*2),AND(AI235="K5-POLICY",AH235&lt;&gt;"นิติศาสตร์",U235="S1",X235&gt;=1,W235&lt;Q235),EDATE(W235,12),AND(AI235="K5-POLICY",AH235&lt;&gt;"นิติศาสตร์",OR(U235="S2",U235="K5")),W235,AND(AI235="K5-POLICY",AH235&lt;&gt;"นิติศาสตร์",OR(L235="M2",L235="K4"),R235&gt;=2),EDATE(Q235,12*2),AND(AI235="K5-POLICY",AH235&lt;&gt;"นิติศาสตร์",L235="S1",R235&gt;=1),EDATE(Q235,12),AND(AI235="K5-POLICY",AH235&lt;&gt;"นิติศาสตร์",OR(L235="S2",L235="K5")),Q235,TRUE,"Check Data")</f>
        <v/>
      </c>
      <c r="AK235" s="75" t="str">
        <f t="shared" si="87"/>
        <v>Check Data</v>
      </c>
      <c r="AL235" s="76" t="str">
        <f t="shared" si="78"/>
        <v>Check Data</v>
      </c>
      <c r="AM235" s="50" t="str">
        <f t="shared" si="88"/>
        <v>Check Data</v>
      </c>
      <c r="AN235" s="49" t="str">
        <f>IF(B235="","",IF(L235="S1","S1",INDEX(#REF!,#REF!)))</f>
        <v/>
      </c>
      <c r="AO235" s="49" t="str">
        <f>L235</f>
        <v>M2</v>
      </c>
      <c r="AP235" s="50" t="b">
        <f>L235=AN235</f>
        <v>0</v>
      </c>
      <c r="AQ235" s="50"/>
    </row>
    <row r="236" spans="1:43" ht="21.75">
      <c r="A236" s="49">
        <v>234</v>
      </c>
      <c r="B236" s="50"/>
      <c r="C236" s="52"/>
      <c r="D236" s="50" t="s">
        <v>141</v>
      </c>
      <c r="E236" s="50" t="e">
        <f>INDEX(#REF!,#REF!)</f>
        <v>#REF!</v>
      </c>
      <c r="F236" s="49"/>
      <c r="G236" s="49" t="str">
        <f t="shared" si="85"/>
        <v/>
      </c>
      <c r="H236" s="50">
        <f t="shared" si="75"/>
        <v>0</v>
      </c>
      <c r="I236" s="50">
        <f t="shared" si="76"/>
        <v>0</v>
      </c>
      <c r="J236" s="50">
        <f t="shared" si="77"/>
        <v>0</v>
      </c>
      <c r="K236" s="50"/>
      <c r="L236" s="49" t="s">
        <v>136</v>
      </c>
      <c r="M236" s="64"/>
      <c r="N236" s="49"/>
      <c r="O236" s="49"/>
      <c r="P236" s="65" t="s">
        <v>434</v>
      </c>
      <c r="Q236" s="49" t="str">
        <f t="shared" si="86"/>
        <v>02/07/2024</v>
      </c>
      <c r="R236" s="68">
        <f>IF(Q236="",0,DATEDIF(Q236,$C$1,"Y"))</f>
        <v>0</v>
      </c>
      <c r="S236" s="68">
        <f>IF(Q236="",0,DATEDIF(Q236,$C$1,"YM"))</f>
        <v>11</v>
      </c>
      <c r="T236" s="68">
        <f>IF(Q236="",0,DATEDIF(Q236,$C$1,"MD"))</f>
        <v>18</v>
      </c>
      <c r="U236" s="65"/>
      <c r="V236" s="65"/>
      <c r="W236" s="49" t="str">
        <f t="shared" si="79"/>
        <v/>
      </c>
      <c r="X236" s="68">
        <f>IF(W236="",0,DATEDIF(W236,Q236,"Y"))</f>
        <v>0</v>
      </c>
      <c r="Y236" s="68">
        <f>IF(W236="",0,DATEDIF(W236,Q236,"YM"))</f>
        <v>0</v>
      </c>
      <c r="Z236" s="68">
        <f>IF(W236="",0,DATEDIF(W236,Q236,"MD"))</f>
        <v>0</v>
      </c>
      <c r="AA236" s="49"/>
      <c r="AB236" s="65"/>
      <c r="AC236" s="50" t="str">
        <f t="shared" si="80"/>
        <v/>
      </c>
      <c r="AD236" s="68">
        <f t="shared" si="81"/>
        <v>0</v>
      </c>
      <c r="AE236" s="68">
        <f t="shared" si="82"/>
        <v>0</v>
      </c>
      <c r="AF236" s="68">
        <f t="shared" si="83"/>
        <v>0</v>
      </c>
      <c r="AG236" s="50"/>
      <c r="AH236" s="108" t="s">
        <v>138</v>
      </c>
      <c r="AI236" s="49" t="str">
        <f>IF(AH236="นิติศาสตร์","K5-LAW","K5-POLICY")</f>
        <v>K5-LAW</v>
      </c>
      <c r="AJ236" s="72" t="str">
        <f>_xlfn.IFS(B236="","",AND(AI236="K5-LAW",AH236="นิติศาสตร์",L236="S2",U236="",AA236=""),Q236,AND(AI236="K5-LAW",AH236="นิติศาสตร์",L236="S1",U236="",AA236=""),EDATE(Q236,12),AND(AI236="K5-LAW",AH236="นิติศาสตร์",OR(L236="M2",L236="K4"),U236="",AA236=""),EDATE(Q236,12*2),AND(AI236="K5-LAW",AH236="นิติศาสตร์",OR(AA236="M2",AA236="K4"),AD236&gt;=2,OR(AC236&lt;W236,AC236&lt;Q236)),EDATE(AC236,12*2),AND(AI236="K5-LAW",AH236="นิติศาสตร์",AA236="S1",AD236&gt;=1,OR(AC236&lt;W236,AC236&lt;Q236)),EDATE(AC236,12),AND(AI236="K5-LAW",AH236="นิติศาสตร์",OR(U236="M2",U236="K4"),X236&gt;=2,W236&lt;Q236),EDATE(W236,12*2),AND(AI236="K5-LAW",AH236="นิติศาสตร์",U236="S1",X236&gt;=1,W236&lt;Q236),EDATE(W236,12),AND(AI236="K5-LAW",AH236="นิติศาสตร์",OR(U236="S2",U236="K5")),W236,AND(AI236="K5-LAW",AH236="นิติศาสตร์",OR(L236="M2",L236="K4"),R236&gt;=2),EDATE(Q236,12*2),AND(AI236="K5-LAW",AH236="นิติศาสตร์",L236="S1",R236&gt;=1),EDATE(Q236,12),AND(AI236="K5-LAW",AH236="นิติศาสตร์",OR(L236="S2",L236="K5")),Q236,AND(AI236="K5-POLICY",AH236&lt;&gt;"นิติศาสตร์",L236="S2",U236="",AA236=""),Q236,AND(AI236="K5-POLICY",AH236&lt;&gt;"นิติศาสตร์",L236="S1",U236="",AA236=""),EDATE(Q236,12),AND(AI236="K5-POLICY",AH236&lt;&gt;"นิติศาสตร์",OR(L236="M2",L236="K4"),U236="",AA236=""),EDATE(Q236,12*2),AND(AI236="K5-POLICY",AH236&lt;&gt;"นิติศาสตร์",OR(AA236="M2",AA236="K4"),AD236&gt;=2,OR(AC236&lt;W236,AC236&lt;Q236)),EDATE(AC236,12*2),AND(AI236="K5-POLICY",AH236&lt;&gt;"นิติศาสตร์",AA236="S1",AD236&gt;=1,OR(AC236&lt;W236,AC236&lt;Q236)),EDATE(AC236,12),AND(AI236="K5-POLICY",AH236&lt;&gt;"นิติศาสตร์",OR(U236="M2",U236="K4"),X236&gt;=2,W236&lt;Q236),EDATE(W236,12*2),AND(AI236="K5-POLICY",AH236&lt;&gt;"นิติศาสตร์",U236="S1",X236&gt;=1,W236&lt;Q236),EDATE(W236,12),AND(AI236="K5-POLICY",AH236&lt;&gt;"นิติศาสตร์",OR(U236="S2",U236="K5")),W236,AND(AI236="K5-POLICY",AH236&lt;&gt;"นิติศาสตร์",OR(L236="M2",L236="K4"),R236&gt;=2),EDATE(Q236,12*2),AND(AI236="K5-POLICY",AH236&lt;&gt;"นิติศาสตร์",L236="S1",R236&gt;=1),EDATE(Q236,12),AND(AI236="K5-POLICY",AH236&lt;&gt;"นิติศาสตร์",OR(L236="S2",L236="K5")),Q236,TRUE,"Check Data")</f>
        <v/>
      </c>
      <c r="AK236" s="75" t="str">
        <f t="shared" si="87"/>
        <v>Check Data</v>
      </c>
      <c r="AL236" s="76" t="str">
        <f t="shared" si="78"/>
        <v>Check Data</v>
      </c>
      <c r="AM236" s="50" t="str">
        <f t="shared" si="88"/>
        <v>Check Data</v>
      </c>
      <c r="AN236" s="49" t="str">
        <f>IF(B236="","",IF(L236="S1","S1",INDEX(#REF!,#REF!)))</f>
        <v/>
      </c>
      <c r="AO236" s="49" t="str">
        <f>L236</f>
        <v>M2</v>
      </c>
      <c r="AP236" s="50" t="b">
        <f>L236=AN236</f>
        <v>0</v>
      </c>
      <c r="AQ236" s="50"/>
    </row>
    <row r="237" spans="1:43" ht="21.75">
      <c r="A237" s="49">
        <v>235</v>
      </c>
      <c r="B237" s="50"/>
      <c r="C237" s="52"/>
      <c r="D237" s="50" t="s">
        <v>141</v>
      </c>
      <c r="E237" s="50" t="e">
        <f>INDEX(#REF!,#REF!)</f>
        <v>#REF!</v>
      </c>
      <c r="F237" s="49"/>
      <c r="G237" s="49" t="str">
        <f t="shared" si="85"/>
        <v/>
      </c>
      <c r="H237" s="50">
        <f t="shared" si="75"/>
        <v>0</v>
      </c>
      <c r="I237" s="50">
        <f t="shared" si="76"/>
        <v>0</v>
      </c>
      <c r="J237" s="50">
        <f t="shared" si="77"/>
        <v>0</v>
      </c>
      <c r="K237" s="50"/>
      <c r="L237" s="49" t="s">
        <v>136</v>
      </c>
      <c r="M237" s="64"/>
      <c r="N237" s="49"/>
      <c r="O237" s="49"/>
      <c r="P237" s="65" t="s">
        <v>434</v>
      </c>
      <c r="Q237" s="49" t="str">
        <f t="shared" si="86"/>
        <v>02/07/2024</v>
      </c>
      <c r="R237" s="68">
        <f>IF(Q237="",0,DATEDIF(Q237,$C$1,"Y"))</f>
        <v>0</v>
      </c>
      <c r="S237" s="68">
        <f>IF(Q237="",0,DATEDIF(Q237,$C$1,"YM"))</f>
        <v>11</v>
      </c>
      <c r="T237" s="68">
        <f>IF(Q237="",0,DATEDIF(Q237,$C$1,"MD"))</f>
        <v>18</v>
      </c>
      <c r="U237" s="65"/>
      <c r="V237" s="65"/>
      <c r="W237" s="49" t="str">
        <f t="shared" si="79"/>
        <v/>
      </c>
      <c r="X237" s="68">
        <f>IF(W237="",0,DATEDIF(W237,Q237,"Y"))</f>
        <v>0</v>
      </c>
      <c r="Y237" s="68">
        <f>IF(W237="",0,DATEDIF(W237,Q237,"YM"))</f>
        <v>0</v>
      </c>
      <c r="Z237" s="68">
        <f>IF(W237="",0,DATEDIF(W237,Q237,"MD"))</f>
        <v>0</v>
      </c>
      <c r="AA237" s="65"/>
      <c r="AB237" s="65"/>
      <c r="AC237" s="50" t="str">
        <f t="shared" si="80"/>
        <v/>
      </c>
      <c r="AD237" s="68">
        <f t="shared" si="81"/>
        <v>0</v>
      </c>
      <c r="AE237" s="68">
        <f t="shared" si="82"/>
        <v>0</v>
      </c>
      <c r="AF237" s="68">
        <f t="shared" si="83"/>
        <v>0</v>
      </c>
      <c r="AG237" s="50"/>
      <c r="AH237" s="108" t="s">
        <v>138</v>
      </c>
      <c r="AI237" s="49" t="str">
        <f>IF(AH237="นิติศาสตร์","K5-LAW","K5-POLICY")</f>
        <v>K5-LAW</v>
      </c>
      <c r="AJ237" s="72" t="str">
        <f>_xlfn.IFS(B237="","",AND(AI237="K5-LAW",AH237="นิติศาสตร์",L237="S2",U237="",AA237=""),Q237,AND(AI237="K5-LAW",AH237="นิติศาสตร์",L237="S1",U237="",AA237=""),EDATE(Q237,12),AND(AI237="K5-LAW",AH237="นิติศาสตร์",OR(L237="M2",L237="K4"),U237="",AA237=""),EDATE(Q237,12*2),AND(AI237="K5-LAW",AH237="นิติศาสตร์",OR(AA237="M2",AA237="K4"),AD237&gt;=2,OR(AC237&lt;W237,AC237&lt;Q237)),EDATE(AC237,12*2),AND(AI237="K5-LAW",AH237="นิติศาสตร์",AA237="S1",AD237&gt;=1,OR(AC237&lt;W237,AC237&lt;Q237)),EDATE(AC237,12),AND(AI237="K5-LAW",AH237="นิติศาสตร์",OR(U237="M2",U237="K4"),X237&gt;=2,W237&lt;Q237),EDATE(W237,12*2),AND(AI237="K5-LAW",AH237="นิติศาสตร์",U237="S1",X237&gt;=1,W237&lt;Q237),EDATE(W237,12),AND(AI237="K5-LAW",AH237="นิติศาสตร์",OR(U237="S2",U237="K5")),W237,AND(AI237="K5-LAW",AH237="นิติศาสตร์",OR(L237="M2",L237="K4"),R237&gt;=2),EDATE(Q237,12*2),AND(AI237="K5-LAW",AH237="นิติศาสตร์",L237="S1",R237&gt;=1),EDATE(Q237,12),AND(AI237="K5-LAW",AH237="นิติศาสตร์",OR(L237="S2",L237="K5")),Q237,AND(AI237="K5-POLICY",AH237&lt;&gt;"นิติศาสตร์",L237="S2",U237="",AA237=""),Q237,AND(AI237="K5-POLICY",AH237&lt;&gt;"นิติศาสตร์",L237="S1",U237="",AA237=""),EDATE(Q237,12),AND(AI237="K5-POLICY",AH237&lt;&gt;"นิติศาสตร์",OR(L237="M2",L237="K4"),U237="",AA237=""),EDATE(Q237,12*2),AND(AI237="K5-POLICY",AH237&lt;&gt;"นิติศาสตร์",OR(AA237="M2",AA237="K4"),AD237&gt;=2,OR(AC237&lt;W237,AC237&lt;Q237)),EDATE(AC237,12*2),AND(AI237="K5-POLICY",AH237&lt;&gt;"นิติศาสตร์",AA237="S1",AD237&gt;=1,OR(AC237&lt;W237,AC237&lt;Q237)),EDATE(AC237,12),AND(AI237="K5-POLICY",AH237&lt;&gt;"นิติศาสตร์",OR(U237="M2",U237="K4"),X237&gt;=2,W237&lt;Q237),EDATE(W237,12*2),AND(AI237="K5-POLICY",AH237&lt;&gt;"นิติศาสตร์",U237="S1",X237&gt;=1,W237&lt;Q237),EDATE(W237,12),AND(AI237="K5-POLICY",AH237&lt;&gt;"นิติศาสตร์",OR(U237="S2",U237="K5")),W237,AND(AI237="K5-POLICY",AH237&lt;&gt;"นิติศาสตร์",OR(L237="M2",L237="K4"),R237&gt;=2),EDATE(Q237,12*2),AND(AI237="K5-POLICY",AH237&lt;&gt;"นิติศาสตร์",L237="S1",R237&gt;=1),EDATE(Q237,12),AND(AI237="K5-POLICY",AH237&lt;&gt;"นิติศาสตร์",OR(L237="S2",L237="K5")),Q237,TRUE,"Check Data")</f>
        <v/>
      </c>
      <c r="AK237" s="75" t="str">
        <f t="shared" si="87"/>
        <v>Check Data</v>
      </c>
      <c r="AL237" s="76" t="str">
        <f t="shared" si="78"/>
        <v>Check Data</v>
      </c>
      <c r="AM237" s="50" t="str">
        <f t="shared" si="88"/>
        <v>Check Data</v>
      </c>
      <c r="AN237" s="49" t="str">
        <f>IF(B237="","",IF(L237="S1","S1",INDEX(#REF!,#REF!)))</f>
        <v/>
      </c>
      <c r="AO237" s="49" t="str">
        <f>L237</f>
        <v>M2</v>
      </c>
      <c r="AP237" s="50" t="b">
        <f>L237=AN237</f>
        <v>0</v>
      </c>
      <c r="AQ237" s="50"/>
    </row>
    <row r="238" spans="1:43" ht="21.75">
      <c r="A238" s="49">
        <v>236</v>
      </c>
      <c r="B238" s="50"/>
      <c r="C238" s="52"/>
      <c r="D238" s="50" t="s">
        <v>141</v>
      </c>
      <c r="E238" s="50" t="e">
        <f>INDEX(#REF!,#REF!)</f>
        <v>#REF!</v>
      </c>
      <c r="F238" s="79"/>
      <c r="G238" s="79"/>
      <c r="H238" s="50">
        <f t="shared" si="75"/>
        <v>0</v>
      </c>
      <c r="I238" s="50">
        <f t="shared" si="76"/>
        <v>0</v>
      </c>
      <c r="J238" s="50">
        <f t="shared" si="77"/>
        <v>0</v>
      </c>
      <c r="K238" s="79"/>
      <c r="L238" s="49" t="s">
        <v>136</v>
      </c>
      <c r="M238" s="79"/>
      <c r="N238" s="79"/>
      <c r="O238" s="79"/>
      <c r="P238" s="65" t="s">
        <v>434</v>
      </c>
      <c r="Q238" s="49" t="str">
        <f t="shared" si="86"/>
        <v>02/07/2024</v>
      </c>
      <c r="R238" s="68">
        <f>IF(Q238="",0,DATEDIF(Q238,$C$1,"Y"))</f>
        <v>0</v>
      </c>
      <c r="S238" s="68">
        <f>IF(Q238="",0,DATEDIF(Q238,$C$1,"YM"))</f>
        <v>11</v>
      </c>
      <c r="T238" s="68">
        <f>IF(Q238="",0,DATEDIF(Q238,$C$1,"MD"))</f>
        <v>18</v>
      </c>
      <c r="U238" s="65"/>
      <c r="V238" s="83"/>
      <c r="W238" s="49" t="str">
        <f t="shared" si="79"/>
        <v/>
      </c>
      <c r="X238" s="68">
        <f>IF(W238="",0,DATEDIF(W238,Q238,"Y"))</f>
        <v>0</v>
      </c>
      <c r="Y238" s="68">
        <f>IF(W238="",0,DATEDIF(W238,Q238,"YM"))</f>
        <v>0</v>
      </c>
      <c r="Z238" s="68">
        <f>IF(W238="",0,DATEDIF(W238,Q238,"MD"))</f>
        <v>0</v>
      </c>
      <c r="AA238" s="79"/>
      <c r="AB238" s="79"/>
      <c r="AC238" s="50" t="str">
        <f t="shared" si="80"/>
        <v/>
      </c>
      <c r="AD238" s="68">
        <f t="shared" si="81"/>
        <v>0</v>
      </c>
      <c r="AE238" s="68">
        <f t="shared" si="82"/>
        <v>0</v>
      </c>
      <c r="AF238" s="68">
        <f t="shared" si="83"/>
        <v>0</v>
      </c>
      <c r="AG238" s="79"/>
      <c r="AH238" s="108" t="s">
        <v>138</v>
      </c>
      <c r="AI238" s="49" t="str">
        <f>IF(AH238="นิติศาสตร์","K5-LAW","K5-POLICY")</f>
        <v>K5-LAW</v>
      </c>
      <c r="AJ238" s="72" t="str">
        <f>_xlfn.IFS(B238="","",AND(AI238="K5-LAW",AH238="นิติศาสตร์",L238="S2",U238="",AA238=""),Q238,AND(AI238="K5-LAW",AH238="นิติศาสตร์",L238="S1",U238="",AA238=""),EDATE(Q238,12),AND(AI238="K5-LAW",AH238="นิติศาสตร์",OR(L238="M2",L238="K4"),U238="",AA238=""),EDATE(Q238,12*2),AND(AI238="K5-LAW",AH238="นิติศาสตร์",OR(AA238="M2",AA238="K4"),AD238&gt;=2,OR(AC238&lt;W238,AC238&lt;Q238)),EDATE(AC238,12*2),AND(AI238="K5-LAW",AH238="นิติศาสตร์",AA238="S1",AD238&gt;=1,OR(AC238&lt;W238,AC238&lt;Q238)),EDATE(AC238,12),AND(AI238="K5-LAW",AH238="นิติศาสตร์",OR(U238="M2",U238="K4"),X238&gt;=2,W238&lt;Q238),EDATE(W238,12*2),AND(AI238="K5-LAW",AH238="นิติศาสตร์",U238="S1",X238&gt;=1,W238&lt;Q238),EDATE(W238,12),AND(AI238="K5-LAW",AH238="นิติศาสตร์",OR(U238="S2",U238="K5")),W238,AND(AI238="K5-LAW",AH238="นิติศาสตร์",OR(L238="M2",L238="K4"),R238&gt;=2),EDATE(Q238,12*2),AND(AI238="K5-LAW",AH238="นิติศาสตร์",L238="S1",R238&gt;=1),EDATE(Q238,12),AND(AI238="K5-LAW",AH238="นิติศาสตร์",OR(L238="S2",L238="K5")),Q238,AND(AI238="K5-POLICY",AH238&lt;&gt;"นิติศาสตร์",L238="S2",U238="",AA238=""),Q238,AND(AI238="K5-POLICY",AH238&lt;&gt;"นิติศาสตร์",L238="S1",U238="",AA238=""),EDATE(Q238,12),AND(AI238="K5-POLICY",AH238&lt;&gt;"นิติศาสตร์",OR(L238="M2",L238="K4"),U238="",AA238=""),EDATE(Q238,12*2),AND(AI238="K5-POLICY",AH238&lt;&gt;"นิติศาสตร์",OR(AA238="M2",AA238="K4"),AD238&gt;=2,OR(AC238&lt;W238,AC238&lt;Q238)),EDATE(AC238,12*2),AND(AI238="K5-POLICY",AH238&lt;&gt;"นิติศาสตร์",AA238="S1",AD238&gt;=1,OR(AC238&lt;W238,AC238&lt;Q238)),EDATE(AC238,12),AND(AI238="K5-POLICY",AH238&lt;&gt;"นิติศาสตร์",OR(U238="M2",U238="K4"),X238&gt;=2,W238&lt;Q238),EDATE(W238,12*2),AND(AI238="K5-POLICY",AH238&lt;&gt;"นิติศาสตร์",U238="S1",X238&gt;=1,W238&lt;Q238),EDATE(W238,12),AND(AI238="K5-POLICY",AH238&lt;&gt;"นิติศาสตร์",OR(U238="S2",U238="K5")),W238,AND(AI238="K5-POLICY",AH238&lt;&gt;"นิติศาสตร์",OR(L238="M2",L238="K4"),R238&gt;=2),EDATE(Q238,12*2),AND(AI238="K5-POLICY",AH238&lt;&gt;"นิติศาสตร์",L238="S1",R238&gt;=1),EDATE(Q238,12),AND(AI238="K5-POLICY",AH238&lt;&gt;"นิติศาสตร์",OR(L238="S2",L238="K5")),Q238,TRUE,"Check Data")</f>
        <v/>
      </c>
      <c r="AK238" s="75" t="str">
        <f t="shared" si="87"/>
        <v>Check Data</v>
      </c>
      <c r="AL238" s="76" t="str">
        <f t="shared" si="78"/>
        <v>Check Data</v>
      </c>
      <c r="AM238" s="50" t="str">
        <f t="shared" si="88"/>
        <v>Check Data</v>
      </c>
      <c r="AN238" s="49" t="str">
        <f>IF(B238="","",IF(L238="S1","S1",INDEX(#REF!,#REF!)))</f>
        <v/>
      </c>
      <c r="AO238" s="49" t="str">
        <f>L238</f>
        <v>M2</v>
      </c>
      <c r="AP238" s="50" t="b">
        <f>L238=AN238</f>
        <v>0</v>
      </c>
      <c r="AQ238" s="50"/>
    </row>
    <row r="239" spans="1:43" ht="21.75">
      <c r="A239" s="49">
        <v>237</v>
      </c>
      <c r="B239" s="50"/>
      <c r="C239" s="52"/>
      <c r="D239" s="50" t="s">
        <v>141</v>
      </c>
      <c r="E239" s="50" t="e">
        <f>INDEX(#REF!,#REF!)</f>
        <v>#REF!</v>
      </c>
      <c r="F239" s="79"/>
      <c r="G239" s="79"/>
      <c r="H239" s="50">
        <f t="shared" si="75"/>
        <v>0</v>
      </c>
      <c r="I239" s="50">
        <f t="shared" si="76"/>
        <v>0</v>
      </c>
      <c r="J239" s="50">
        <f t="shared" si="77"/>
        <v>0</v>
      </c>
      <c r="K239" s="79"/>
      <c r="L239" s="49" t="s">
        <v>136</v>
      </c>
      <c r="M239" s="79"/>
      <c r="N239" s="79"/>
      <c r="O239" s="79"/>
      <c r="P239" s="65" t="s">
        <v>434</v>
      </c>
      <c r="Q239" s="49" t="str">
        <f t="shared" si="86"/>
        <v>02/07/2024</v>
      </c>
      <c r="R239" s="68">
        <f>IF(Q239="",0,DATEDIF(Q239,$C$1,"Y"))</f>
        <v>0</v>
      </c>
      <c r="S239" s="68">
        <f>IF(Q239="",0,DATEDIF(Q239,$C$1,"YM"))</f>
        <v>11</v>
      </c>
      <c r="T239" s="68">
        <f>IF(Q239="",0,DATEDIF(Q239,$C$1,"MD"))</f>
        <v>18</v>
      </c>
      <c r="U239" s="65"/>
      <c r="V239" s="83"/>
      <c r="W239" s="49" t="str">
        <f t="shared" si="79"/>
        <v/>
      </c>
      <c r="X239" s="68">
        <f>IF(W239="",0,DATEDIF(W239,Q239,"Y"))</f>
        <v>0</v>
      </c>
      <c r="Y239" s="68">
        <f>IF(W239="",0,DATEDIF(W239,Q239,"YM"))</f>
        <v>0</v>
      </c>
      <c r="Z239" s="68">
        <f>IF(W239="",0,DATEDIF(W239,Q239,"MD"))</f>
        <v>0</v>
      </c>
      <c r="AA239" s="79"/>
      <c r="AB239" s="79"/>
      <c r="AC239" s="50" t="str">
        <f t="shared" si="80"/>
        <v/>
      </c>
      <c r="AD239" s="68">
        <f t="shared" si="81"/>
        <v>0</v>
      </c>
      <c r="AE239" s="68">
        <f t="shared" si="82"/>
        <v>0</v>
      </c>
      <c r="AF239" s="68">
        <f t="shared" si="83"/>
        <v>0</v>
      </c>
      <c r="AG239" s="79"/>
      <c r="AH239" s="108" t="s">
        <v>138</v>
      </c>
      <c r="AI239" s="49" t="str">
        <f>IF(AH239="นิติศาสตร์","K5-LAW","K5-POLICY")</f>
        <v>K5-LAW</v>
      </c>
      <c r="AJ239" s="72" t="str">
        <f>_xlfn.IFS(B239="","",AND(AI239="K5-LAW",AH239="นิติศาสตร์",L239="S2",U239="",AA239=""),Q239,AND(AI239="K5-LAW",AH239="นิติศาสตร์",L239="S1",U239="",AA239=""),EDATE(Q239,12),AND(AI239="K5-LAW",AH239="นิติศาสตร์",OR(L239="M2",L239="K4"),U239="",AA239=""),EDATE(Q239,12*2),AND(AI239="K5-LAW",AH239="นิติศาสตร์",OR(AA239="M2",AA239="K4"),AD239&gt;=2,OR(AC239&lt;W239,AC239&lt;Q239)),EDATE(AC239,12*2),AND(AI239="K5-LAW",AH239="นิติศาสตร์",AA239="S1",AD239&gt;=1,OR(AC239&lt;W239,AC239&lt;Q239)),EDATE(AC239,12),AND(AI239="K5-LAW",AH239="นิติศาสตร์",OR(U239="M2",U239="K4"),X239&gt;=2,W239&lt;Q239),EDATE(W239,12*2),AND(AI239="K5-LAW",AH239="นิติศาสตร์",U239="S1",X239&gt;=1,W239&lt;Q239),EDATE(W239,12),AND(AI239="K5-LAW",AH239="นิติศาสตร์",OR(U239="S2",U239="K5")),W239,AND(AI239="K5-LAW",AH239="นิติศาสตร์",OR(L239="M2",L239="K4"),R239&gt;=2),EDATE(Q239,12*2),AND(AI239="K5-LAW",AH239="นิติศาสตร์",L239="S1",R239&gt;=1),EDATE(Q239,12),AND(AI239="K5-LAW",AH239="นิติศาสตร์",OR(L239="S2",L239="K5")),Q239,AND(AI239="K5-POLICY",AH239&lt;&gt;"นิติศาสตร์",L239="S2",U239="",AA239=""),Q239,AND(AI239="K5-POLICY",AH239&lt;&gt;"นิติศาสตร์",L239="S1",U239="",AA239=""),EDATE(Q239,12),AND(AI239="K5-POLICY",AH239&lt;&gt;"นิติศาสตร์",OR(L239="M2",L239="K4"),U239="",AA239=""),EDATE(Q239,12*2),AND(AI239="K5-POLICY",AH239&lt;&gt;"นิติศาสตร์",OR(AA239="M2",AA239="K4"),AD239&gt;=2,OR(AC239&lt;W239,AC239&lt;Q239)),EDATE(AC239,12*2),AND(AI239="K5-POLICY",AH239&lt;&gt;"นิติศาสตร์",AA239="S1",AD239&gt;=1,OR(AC239&lt;W239,AC239&lt;Q239)),EDATE(AC239,12),AND(AI239="K5-POLICY",AH239&lt;&gt;"นิติศาสตร์",OR(U239="M2",U239="K4"),X239&gt;=2,W239&lt;Q239),EDATE(W239,12*2),AND(AI239="K5-POLICY",AH239&lt;&gt;"นิติศาสตร์",U239="S1",X239&gt;=1,W239&lt;Q239),EDATE(W239,12),AND(AI239="K5-POLICY",AH239&lt;&gt;"นิติศาสตร์",OR(U239="S2",U239="K5")),W239,AND(AI239="K5-POLICY",AH239&lt;&gt;"นิติศาสตร์",OR(L239="M2",L239="K4"),R239&gt;=2),EDATE(Q239,12*2),AND(AI239="K5-POLICY",AH239&lt;&gt;"นิติศาสตร์",L239="S1",R239&gt;=1),EDATE(Q239,12),AND(AI239="K5-POLICY",AH239&lt;&gt;"นิติศาสตร์",OR(L239="S2",L239="K5")),Q239,TRUE,"Check Data")</f>
        <v/>
      </c>
      <c r="AK239" s="75" t="str">
        <f t="shared" si="87"/>
        <v>Check Data</v>
      </c>
      <c r="AL239" s="76" t="str">
        <f t="shared" si="78"/>
        <v>Check Data</v>
      </c>
      <c r="AM239" s="50" t="str">
        <f t="shared" si="88"/>
        <v>Check Data</v>
      </c>
      <c r="AN239" s="49" t="str">
        <f>IF(B239="","",IF(L239="S1","S1",INDEX(#REF!,#REF!)))</f>
        <v/>
      </c>
      <c r="AO239" s="49" t="str">
        <f>L239</f>
        <v>M2</v>
      </c>
      <c r="AP239" s="50" t="b">
        <f>L239=AN239</f>
        <v>0</v>
      </c>
      <c r="AQ239" s="50"/>
    </row>
    <row r="240" spans="1:43" ht="21.75">
      <c r="A240" s="49">
        <v>238</v>
      </c>
      <c r="B240" s="50"/>
      <c r="C240" s="52"/>
      <c r="D240" s="50" t="s">
        <v>141</v>
      </c>
      <c r="E240" s="50" t="e">
        <f>INDEX(#REF!,#REF!)</f>
        <v>#REF!</v>
      </c>
      <c r="F240" s="79"/>
      <c r="G240" s="79"/>
      <c r="H240" s="50">
        <f t="shared" si="75"/>
        <v>0</v>
      </c>
      <c r="I240" s="50">
        <f t="shared" si="76"/>
        <v>0</v>
      </c>
      <c r="J240" s="50">
        <f t="shared" si="77"/>
        <v>0</v>
      </c>
      <c r="K240" s="79"/>
      <c r="L240" s="49" t="s">
        <v>136</v>
      </c>
      <c r="M240" s="79"/>
      <c r="N240" s="79"/>
      <c r="O240" s="79"/>
      <c r="P240" s="65" t="s">
        <v>434</v>
      </c>
      <c r="Q240" s="49" t="str">
        <f t="shared" si="86"/>
        <v>02/07/2024</v>
      </c>
      <c r="R240" s="68">
        <f>IF(Q240="",0,DATEDIF(Q240,$C$1,"Y"))</f>
        <v>0</v>
      </c>
      <c r="S240" s="68">
        <f>IF(Q240="",0,DATEDIF(Q240,$C$1,"YM"))</f>
        <v>11</v>
      </c>
      <c r="T240" s="68">
        <f>IF(Q240="",0,DATEDIF(Q240,$C$1,"MD"))</f>
        <v>18</v>
      </c>
      <c r="U240" s="65"/>
      <c r="V240" s="83"/>
      <c r="W240" s="49" t="str">
        <f t="shared" si="79"/>
        <v/>
      </c>
      <c r="X240" s="68">
        <f>IF(W240="",0,DATEDIF(W240,Q240,"Y"))</f>
        <v>0</v>
      </c>
      <c r="Y240" s="68">
        <f>IF(W240="",0,DATEDIF(W240,Q240,"YM"))</f>
        <v>0</v>
      </c>
      <c r="Z240" s="68">
        <f>IF(W240="",0,DATEDIF(W240,Q240,"MD"))</f>
        <v>0</v>
      </c>
      <c r="AA240" s="79"/>
      <c r="AB240" s="79"/>
      <c r="AC240" s="50" t="str">
        <f t="shared" si="80"/>
        <v/>
      </c>
      <c r="AD240" s="68">
        <f t="shared" si="81"/>
        <v>0</v>
      </c>
      <c r="AE240" s="68">
        <f t="shared" si="82"/>
        <v>0</v>
      </c>
      <c r="AF240" s="68">
        <f t="shared" si="83"/>
        <v>0</v>
      </c>
      <c r="AG240" s="79"/>
      <c r="AH240" s="108" t="s">
        <v>138</v>
      </c>
      <c r="AI240" s="49" t="str">
        <f>IF(AH240="นิติศาสตร์","K5-LAW","K5-POLICY")</f>
        <v>K5-LAW</v>
      </c>
      <c r="AJ240" s="72" t="str">
        <f>_xlfn.IFS(B240="","",AND(AI240="K5-LAW",AH240="นิติศาสตร์",L240="S2",U240="",AA240=""),Q240,AND(AI240="K5-LAW",AH240="นิติศาสตร์",L240="S1",U240="",AA240=""),EDATE(Q240,12),AND(AI240="K5-LAW",AH240="นิติศาสตร์",OR(L240="M2",L240="K4"),U240="",AA240=""),EDATE(Q240,12*2),AND(AI240="K5-LAW",AH240="นิติศาสตร์",OR(AA240="M2",AA240="K4"),AD240&gt;=2,OR(AC240&lt;W240,AC240&lt;Q240)),EDATE(AC240,12*2),AND(AI240="K5-LAW",AH240="นิติศาสตร์",AA240="S1",AD240&gt;=1,OR(AC240&lt;W240,AC240&lt;Q240)),EDATE(AC240,12),AND(AI240="K5-LAW",AH240="นิติศาสตร์",OR(U240="M2",U240="K4"),X240&gt;=2,W240&lt;Q240),EDATE(W240,12*2),AND(AI240="K5-LAW",AH240="นิติศาสตร์",U240="S1",X240&gt;=1,W240&lt;Q240),EDATE(W240,12),AND(AI240="K5-LAW",AH240="นิติศาสตร์",OR(U240="S2",U240="K5")),W240,AND(AI240="K5-LAW",AH240="นิติศาสตร์",OR(L240="M2",L240="K4"),R240&gt;=2),EDATE(Q240,12*2),AND(AI240="K5-LAW",AH240="นิติศาสตร์",L240="S1",R240&gt;=1),EDATE(Q240,12),AND(AI240="K5-LAW",AH240="นิติศาสตร์",OR(L240="S2",L240="K5")),Q240,AND(AI240="K5-POLICY",AH240&lt;&gt;"นิติศาสตร์",L240="S2",U240="",AA240=""),Q240,AND(AI240="K5-POLICY",AH240&lt;&gt;"นิติศาสตร์",L240="S1",U240="",AA240=""),EDATE(Q240,12),AND(AI240="K5-POLICY",AH240&lt;&gt;"นิติศาสตร์",OR(L240="M2",L240="K4"),U240="",AA240=""),EDATE(Q240,12*2),AND(AI240="K5-POLICY",AH240&lt;&gt;"นิติศาสตร์",OR(AA240="M2",AA240="K4"),AD240&gt;=2,OR(AC240&lt;W240,AC240&lt;Q240)),EDATE(AC240,12*2),AND(AI240="K5-POLICY",AH240&lt;&gt;"นิติศาสตร์",AA240="S1",AD240&gt;=1,OR(AC240&lt;W240,AC240&lt;Q240)),EDATE(AC240,12),AND(AI240="K5-POLICY",AH240&lt;&gt;"นิติศาสตร์",OR(U240="M2",U240="K4"),X240&gt;=2,W240&lt;Q240),EDATE(W240,12*2),AND(AI240="K5-POLICY",AH240&lt;&gt;"นิติศาสตร์",U240="S1",X240&gt;=1,W240&lt;Q240),EDATE(W240,12),AND(AI240="K5-POLICY",AH240&lt;&gt;"นิติศาสตร์",OR(U240="S2",U240="K5")),W240,AND(AI240="K5-POLICY",AH240&lt;&gt;"นิติศาสตร์",OR(L240="M2",L240="K4"),R240&gt;=2),EDATE(Q240,12*2),AND(AI240="K5-POLICY",AH240&lt;&gt;"นิติศาสตร์",L240="S1",R240&gt;=1),EDATE(Q240,12),AND(AI240="K5-POLICY",AH240&lt;&gt;"นิติศาสตร์",OR(L240="S2",L240="K5")),Q240,TRUE,"Check Data")</f>
        <v/>
      </c>
      <c r="AK240" s="75" t="str">
        <f t="shared" si="87"/>
        <v>Check Data</v>
      </c>
      <c r="AL240" s="76" t="str">
        <f t="shared" si="78"/>
        <v>Check Data</v>
      </c>
      <c r="AM240" s="50" t="str">
        <f t="shared" si="88"/>
        <v>Check Data</v>
      </c>
      <c r="AN240" s="49" t="str">
        <f>IF(B240="","",IF(L240="S1","S1",INDEX(#REF!,#REF!)))</f>
        <v/>
      </c>
      <c r="AO240" s="49" t="str">
        <f>L240</f>
        <v>M2</v>
      </c>
      <c r="AP240" s="50" t="b">
        <f>L240=AN240</f>
        <v>0</v>
      </c>
      <c r="AQ240" s="50"/>
    </row>
    <row r="241" spans="1:43" ht="21.75">
      <c r="A241" s="49">
        <v>239</v>
      </c>
      <c r="B241" s="50"/>
      <c r="C241" s="52"/>
      <c r="D241" s="50" t="s">
        <v>141</v>
      </c>
      <c r="E241" s="50" t="e">
        <f>INDEX(#REF!,#REF!)</f>
        <v>#REF!</v>
      </c>
      <c r="F241" s="79"/>
      <c r="G241" s="79"/>
      <c r="H241" s="50">
        <f t="shared" si="75"/>
        <v>0</v>
      </c>
      <c r="I241" s="50">
        <f t="shared" si="76"/>
        <v>0</v>
      </c>
      <c r="J241" s="50">
        <f t="shared" si="77"/>
        <v>0</v>
      </c>
      <c r="K241" s="79"/>
      <c r="L241" s="49" t="s">
        <v>136</v>
      </c>
      <c r="M241" s="79"/>
      <c r="N241" s="79"/>
      <c r="O241" s="79"/>
      <c r="P241" s="65" t="s">
        <v>434</v>
      </c>
      <c r="Q241" s="49" t="str">
        <f t="shared" si="86"/>
        <v>02/07/2024</v>
      </c>
      <c r="R241" s="68">
        <f>IF(Q241="",0,DATEDIF(Q241,$C$1,"Y"))</f>
        <v>0</v>
      </c>
      <c r="S241" s="68">
        <f>IF(Q241="",0,DATEDIF(Q241,$C$1,"YM"))</f>
        <v>11</v>
      </c>
      <c r="T241" s="68">
        <f>IF(Q241="",0,DATEDIF(Q241,$C$1,"MD"))</f>
        <v>18</v>
      </c>
      <c r="U241" s="65"/>
      <c r="V241" s="83"/>
      <c r="W241" s="49" t="str">
        <f t="shared" si="79"/>
        <v/>
      </c>
      <c r="X241" s="68">
        <f>IF(W241="",0,DATEDIF(W241,Q241,"Y"))</f>
        <v>0</v>
      </c>
      <c r="Y241" s="68">
        <f>IF(W241="",0,DATEDIF(W241,Q241,"YM"))</f>
        <v>0</v>
      </c>
      <c r="Z241" s="68">
        <f>IF(W241="",0,DATEDIF(W241,Q241,"MD"))</f>
        <v>0</v>
      </c>
      <c r="AA241" s="79"/>
      <c r="AB241" s="79"/>
      <c r="AC241" s="50" t="str">
        <f t="shared" si="80"/>
        <v/>
      </c>
      <c r="AD241" s="68">
        <f t="shared" si="81"/>
        <v>0</v>
      </c>
      <c r="AE241" s="68">
        <f t="shared" si="82"/>
        <v>0</v>
      </c>
      <c r="AF241" s="68">
        <f t="shared" si="83"/>
        <v>0</v>
      </c>
      <c r="AG241" s="79"/>
      <c r="AH241" s="108" t="s">
        <v>138</v>
      </c>
      <c r="AI241" s="49" t="str">
        <f>IF(AH241="นิติศาสตร์","K5-LAW","K5-POLICY")</f>
        <v>K5-LAW</v>
      </c>
      <c r="AJ241" s="72" t="str">
        <f>_xlfn.IFS(B241="","",AND(AI241="K5-LAW",AH241="นิติศาสตร์",L241="S2",U241="",AA241=""),Q241,AND(AI241="K5-LAW",AH241="นิติศาสตร์",L241="S1",U241="",AA241=""),EDATE(Q241,12),AND(AI241="K5-LAW",AH241="นิติศาสตร์",OR(L241="M2",L241="K4"),U241="",AA241=""),EDATE(Q241,12*2),AND(AI241="K5-LAW",AH241="นิติศาสตร์",OR(AA241="M2",AA241="K4"),AD241&gt;=2,OR(AC241&lt;W241,AC241&lt;Q241)),EDATE(AC241,12*2),AND(AI241="K5-LAW",AH241="นิติศาสตร์",AA241="S1",AD241&gt;=1,OR(AC241&lt;W241,AC241&lt;Q241)),EDATE(AC241,12),AND(AI241="K5-LAW",AH241="นิติศาสตร์",OR(U241="M2",U241="K4"),X241&gt;=2,W241&lt;Q241),EDATE(W241,12*2),AND(AI241="K5-LAW",AH241="นิติศาสตร์",U241="S1",X241&gt;=1,W241&lt;Q241),EDATE(W241,12),AND(AI241="K5-LAW",AH241="นิติศาสตร์",OR(U241="S2",U241="K5")),W241,AND(AI241="K5-LAW",AH241="นิติศาสตร์",OR(L241="M2",L241="K4"),R241&gt;=2),EDATE(Q241,12*2),AND(AI241="K5-LAW",AH241="นิติศาสตร์",L241="S1",R241&gt;=1),EDATE(Q241,12),AND(AI241="K5-LAW",AH241="นิติศาสตร์",OR(L241="S2",L241="K5")),Q241,AND(AI241="K5-POLICY",AH241&lt;&gt;"นิติศาสตร์",L241="S2",U241="",AA241=""),Q241,AND(AI241="K5-POLICY",AH241&lt;&gt;"นิติศาสตร์",L241="S1",U241="",AA241=""),EDATE(Q241,12),AND(AI241="K5-POLICY",AH241&lt;&gt;"นิติศาสตร์",OR(L241="M2",L241="K4"),U241="",AA241=""),EDATE(Q241,12*2),AND(AI241="K5-POLICY",AH241&lt;&gt;"นิติศาสตร์",OR(AA241="M2",AA241="K4"),AD241&gt;=2,OR(AC241&lt;W241,AC241&lt;Q241)),EDATE(AC241,12*2),AND(AI241="K5-POLICY",AH241&lt;&gt;"นิติศาสตร์",AA241="S1",AD241&gt;=1,OR(AC241&lt;W241,AC241&lt;Q241)),EDATE(AC241,12),AND(AI241="K5-POLICY",AH241&lt;&gt;"นิติศาสตร์",OR(U241="M2",U241="K4"),X241&gt;=2,W241&lt;Q241),EDATE(W241,12*2),AND(AI241="K5-POLICY",AH241&lt;&gt;"นิติศาสตร์",U241="S1",X241&gt;=1,W241&lt;Q241),EDATE(W241,12),AND(AI241="K5-POLICY",AH241&lt;&gt;"นิติศาสตร์",OR(U241="S2",U241="K5")),W241,AND(AI241="K5-POLICY",AH241&lt;&gt;"นิติศาสตร์",OR(L241="M2",L241="K4"),R241&gt;=2),EDATE(Q241,12*2),AND(AI241="K5-POLICY",AH241&lt;&gt;"นิติศาสตร์",L241="S1",R241&gt;=1),EDATE(Q241,12),AND(AI241="K5-POLICY",AH241&lt;&gt;"นิติศาสตร์",OR(L241="S2",L241="K5")),Q241,TRUE,"Check Data")</f>
        <v/>
      </c>
      <c r="AK241" s="75" t="str">
        <f t="shared" si="87"/>
        <v>Check Data</v>
      </c>
      <c r="AL241" s="76" t="str">
        <f t="shared" si="78"/>
        <v>Check Data</v>
      </c>
      <c r="AM241" s="50" t="str">
        <f t="shared" si="88"/>
        <v>Check Data</v>
      </c>
      <c r="AN241" s="49" t="str">
        <f>IF(B241="","",IF(L241="S1","S1",INDEX(#REF!,#REF!)))</f>
        <v/>
      </c>
      <c r="AO241" s="49" t="str">
        <f>L241</f>
        <v>M2</v>
      </c>
      <c r="AP241" s="50" t="b">
        <f>L241=AN241</f>
        <v>0</v>
      </c>
      <c r="AQ241" s="50"/>
    </row>
    <row r="242" spans="1:43" ht="21.75">
      <c r="A242" s="49">
        <v>240</v>
      </c>
      <c r="B242" s="50"/>
      <c r="C242" s="52"/>
      <c r="D242" s="50" t="s">
        <v>141</v>
      </c>
      <c r="E242" s="50" t="e">
        <f>INDEX(#REF!,#REF!)</f>
        <v>#REF!</v>
      </c>
      <c r="F242" s="79"/>
      <c r="G242" s="79"/>
      <c r="H242" s="50">
        <f t="shared" si="75"/>
        <v>0</v>
      </c>
      <c r="I242" s="50">
        <f t="shared" si="76"/>
        <v>0</v>
      </c>
      <c r="J242" s="50">
        <f t="shared" si="77"/>
        <v>0</v>
      </c>
      <c r="K242" s="79"/>
      <c r="L242" s="49" t="s">
        <v>136</v>
      </c>
      <c r="M242" s="79"/>
      <c r="N242" s="79"/>
      <c r="O242" s="79"/>
      <c r="P242" s="65" t="s">
        <v>434</v>
      </c>
      <c r="Q242" s="49" t="str">
        <f t="shared" si="86"/>
        <v>02/07/2024</v>
      </c>
      <c r="R242" s="68">
        <f>IF(Q242="",0,DATEDIF(Q242,$C$1,"Y"))</f>
        <v>0</v>
      </c>
      <c r="S242" s="68">
        <f>IF(Q242="",0,DATEDIF(Q242,$C$1,"YM"))</f>
        <v>11</v>
      </c>
      <c r="T242" s="68">
        <f>IF(Q242="",0,DATEDIF(Q242,$C$1,"MD"))</f>
        <v>18</v>
      </c>
      <c r="U242" s="65"/>
      <c r="V242" s="83"/>
      <c r="W242" s="49" t="str">
        <f t="shared" si="79"/>
        <v/>
      </c>
      <c r="X242" s="68">
        <f>IF(W242="",0,DATEDIF(W242,Q242,"Y"))</f>
        <v>0</v>
      </c>
      <c r="Y242" s="68">
        <f>IF(W242="",0,DATEDIF(W242,Q242,"YM"))</f>
        <v>0</v>
      </c>
      <c r="Z242" s="68">
        <f>IF(W242="",0,DATEDIF(W242,Q242,"MD"))</f>
        <v>0</v>
      </c>
      <c r="AA242" s="79"/>
      <c r="AB242" s="79"/>
      <c r="AC242" s="50" t="str">
        <f t="shared" si="80"/>
        <v/>
      </c>
      <c r="AD242" s="68">
        <f t="shared" si="81"/>
        <v>0</v>
      </c>
      <c r="AE242" s="68">
        <f t="shared" si="82"/>
        <v>0</v>
      </c>
      <c r="AF242" s="68">
        <f t="shared" si="83"/>
        <v>0</v>
      </c>
      <c r="AG242" s="79"/>
      <c r="AH242" s="108" t="s">
        <v>138</v>
      </c>
      <c r="AI242" s="49" t="str">
        <f>IF(AH242="นิติศาสตร์","K5-LAW","K5-POLICY")</f>
        <v>K5-LAW</v>
      </c>
      <c r="AJ242" s="72" t="str">
        <f>_xlfn.IFS(B242="","",AND(AI242="K5-LAW",AH242="นิติศาสตร์",L242="S2",U242="",AA242=""),Q242,AND(AI242="K5-LAW",AH242="นิติศาสตร์",L242="S1",U242="",AA242=""),EDATE(Q242,12),AND(AI242="K5-LAW",AH242="นิติศาสตร์",OR(L242="M2",L242="K4"),U242="",AA242=""),EDATE(Q242,12*2),AND(AI242="K5-LAW",AH242="นิติศาสตร์",OR(AA242="M2",AA242="K4"),AD242&gt;=2,OR(AC242&lt;W242,AC242&lt;Q242)),EDATE(AC242,12*2),AND(AI242="K5-LAW",AH242="นิติศาสตร์",AA242="S1",AD242&gt;=1,OR(AC242&lt;W242,AC242&lt;Q242)),EDATE(AC242,12),AND(AI242="K5-LAW",AH242="นิติศาสตร์",OR(U242="M2",U242="K4"),X242&gt;=2,W242&lt;Q242),EDATE(W242,12*2),AND(AI242="K5-LAW",AH242="นิติศาสตร์",U242="S1",X242&gt;=1,W242&lt;Q242),EDATE(W242,12),AND(AI242="K5-LAW",AH242="นิติศาสตร์",OR(U242="S2",U242="K5")),W242,AND(AI242="K5-LAW",AH242="นิติศาสตร์",OR(L242="M2",L242="K4"),R242&gt;=2),EDATE(Q242,12*2),AND(AI242="K5-LAW",AH242="นิติศาสตร์",L242="S1",R242&gt;=1),EDATE(Q242,12),AND(AI242="K5-LAW",AH242="นิติศาสตร์",OR(L242="S2",L242="K5")),Q242,AND(AI242="K5-POLICY",AH242&lt;&gt;"นิติศาสตร์",L242="S2",U242="",AA242=""),Q242,AND(AI242="K5-POLICY",AH242&lt;&gt;"นิติศาสตร์",L242="S1",U242="",AA242=""),EDATE(Q242,12),AND(AI242="K5-POLICY",AH242&lt;&gt;"นิติศาสตร์",OR(L242="M2",L242="K4"),U242="",AA242=""),EDATE(Q242,12*2),AND(AI242="K5-POLICY",AH242&lt;&gt;"นิติศาสตร์",OR(AA242="M2",AA242="K4"),AD242&gt;=2,OR(AC242&lt;W242,AC242&lt;Q242)),EDATE(AC242,12*2),AND(AI242="K5-POLICY",AH242&lt;&gt;"นิติศาสตร์",AA242="S1",AD242&gt;=1,OR(AC242&lt;W242,AC242&lt;Q242)),EDATE(AC242,12),AND(AI242="K5-POLICY",AH242&lt;&gt;"นิติศาสตร์",OR(U242="M2",U242="K4"),X242&gt;=2,W242&lt;Q242),EDATE(W242,12*2),AND(AI242="K5-POLICY",AH242&lt;&gt;"นิติศาสตร์",U242="S1",X242&gt;=1,W242&lt;Q242),EDATE(W242,12),AND(AI242="K5-POLICY",AH242&lt;&gt;"นิติศาสตร์",OR(U242="S2",U242="K5")),W242,AND(AI242="K5-POLICY",AH242&lt;&gt;"นิติศาสตร์",OR(L242="M2",L242="K4"),R242&gt;=2),EDATE(Q242,12*2),AND(AI242="K5-POLICY",AH242&lt;&gt;"นิติศาสตร์",L242="S1",R242&gt;=1),EDATE(Q242,12),AND(AI242="K5-POLICY",AH242&lt;&gt;"นิติศาสตร์",OR(L242="S2",L242="K5")),Q242,TRUE,"Check Data")</f>
        <v/>
      </c>
      <c r="AK242" s="75" t="str">
        <f t="shared" si="87"/>
        <v>Check Data</v>
      </c>
      <c r="AL242" s="76" t="str">
        <f t="shared" si="78"/>
        <v>Check Data</v>
      </c>
      <c r="AM242" s="50" t="str">
        <f t="shared" si="88"/>
        <v>Check Data</v>
      </c>
      <c r="AN242" s="49" t="str">
        <f>IF(B242="","",IF(L242="S1","S1",INDEX(#REF!,#REF!)))</f>
        <v/>
      </c>
      <c r="AO242" s="49" t="str">
        <f>L242</f>
        <v>M2</v>
      </c>
      <c r="AP242" s="50" t="b">
        <f>L242=AN242</f>
        <v>0</v>
      </c>
      <c r="AQ242" s="50"/>
    </row>
    <row r="243" spans="1:43" ht="21.75">
      <c r="A243" s="49">
        <v>241</v>
      </c>
      <c r="B243" s="50"/>
      <c r="C243" s="50"/>
      <c r="D243" s="50" t="s">
        <v>139</v>
      </c>
      <c r="E243" s="50" t="e">
        <f>INDEX(#REF!,#REF!)</f>
        <v>#REF!</v>
      </c>
      <c r="F243" s="49"/>
      <c r="G243" s="49" t="str">
        <f>IF(F243="","",TEXT(EDATE(F243,-543*12),"dd/mm/yyyy"))</f>
        <v/>
      </c>
      <c r="H243" s="50">
        <f t="shared" si="75"/>
        <v>0</v>
      </c>
      <c r="I243" s="50">
        <f t="shared" si="76"/>
        <v>0</v>
      </c>
      <c r="J243" s="50">
        <f t="shared" si="77"/>
        <v>0</v>
      </c>
      <c r="K243" s="50"/>
      <c r="L243" s="49" t="s">
        <v>136</v>
      </c>
      <c r="M243" s="64"/>
      <c r="N243" s="49"/>
      <c r="O243" s="49"/>
      <c r="P243" s="86" t="s">
        <v>443</v>
      </c>
      <c r="Q243" s="49" t="str">
        <f t="shared" si="86"/>
        <v>25/07/2024</v>
      </c>
      <c r="R243" s="68">
        <f>IF(Q243="",0,DATEDIF(Q243,$C$1,"Y"))</f>
        <v>0</v>
      </c>
      <c r="S243" s="68">
        <f>IF(Q243="",0,DATEDIF(Q243,$C$1,"YM"))</f>
        <v>10</v>
      </c>
      <c r="T243" s="68">
        <f>IF(Q243="",0,DATEDIF(Q243,$C$1,"MD"))</f>
        <v>26</v>
      </c>
      <c r="U243" s="65"/>
      <c r="V243" s="65"/>
      <c r="W243" s="49" t="str">
        <f t="shared" si="79"/>
        <v/>
      </c>
      <c r="X243" s="68">
        <f>IF(W243="",0,DATEDIF(W243,Q243,"Y"))</f>
        <v>0</v>
      </c>
      <c r="Y243" s="68">
        <f>IF(W243="",0,DATEDIF(W243,Q243,"YM"))</f>
        <v>0</v>
      </c>
      <c r="Z243" s="68">
        <f>IF(W243="",0,DATEDIF(W243,Q243,"MD"))</f>
        <v>0</v>
      </c>
      <c r="AA243" s="49"/>
      <c r="AB243" s="65"/>
      <c r="AC243" s="50" t="str">
        <f t="shared" si="80"/>
        <v/>
      </c>
      <c r="AD243" s="68">
        <f t="shared" si="81"/>
        <v>0</v>
      </c>
      <c r="AE243" s="68">
        <f t="shared" si="82"/>
        <v>0</v>
      </c>
      <c r="AF243" s="68">
        <f t="shared" si="83"/>
        <v>0</v>
      </c>
      <c r="AG243" s="50"/>
      <c r="AH243" s="108"/>
      <c r="AI243" s="49" t="str">
        <f>IF(AH243="นิติศาสตร์","K5-LAW","K5-POLICY")</f>
        <v>K5-POLICY</v>
      </c>
      <c r="AJ243" s="72" t="str">
        <f>_xlfn.IFS(B243="","",AND(AI243="K5-LAW",AH243="นิติศาสตร์",L243="S2",U243="",AA243=""),Q243,AND(AI243="K5-LAW",AH243="นิติศาสตร์",L243="S1",U243="",AA243=""),EDATE(Q243,12),AND(AI243="K5-LAW",AH243="นิติศาสตร์",OR(L243="M2",L243="K4"),U243="",AA243=""),EDATE(Q243,12*2),AND(AI243="K5-LAW",AH243="นิติศาสตร์",OR(AA243="M2",AA243="K4"),AD243&gt;=2,OR(AC243&lt;W243,AC243&lt;Q243)),EDATE(AC243,12*2),AND(AI243="K5-LAW",AH243="นิติศาสตร์",AA243="S1",AD243&gt;=1,OR(AC243&lt;W243,AC243&lt;Q243)),EDATE(AC243,12),AND(AI243="K5-LAW",AH243="นิติศาสตร์",OR(U243="M2",U243="K4"),X243&gt;=2,W243&lt;Q243),EDATE(W243,12*2),AND(AI243="K5-LAW",AH243="นิติศาสตร์",U243="S1",X243&gt;=1,W243&lt;Q243),EDATE(W243,12),AND(AI243="K5-LAW",AH243="นิติศาสตร์",OR(U243="S2",U243="K5")),W243,AND(AI243="K5-LAW",AH243="นิติศาสตร์",OR(L243="M2",L243="K4"),R243&gt;=2),EDATE(Q243,12*2),AND(AI243="K5-LAW",AH243="นิติศาสตร์",L243="S1",R243&gt;=1),EDATE(Q243,12),AND(AI243="K5-LAW",AH243="นิติศาสตร์",OR(L243="S2",L243="K5")),Q243,AND(AI243="K5-POLICY",AH243&lt;&gt;"นิติศาสตร์",L243="S2",U243="",AA243=""),Q243,AND(AI243="K5-POLICY",AH243&lt;&gt;"นิติศาสตร์",L243="S1",U243="",AA243=""),EDATE(Q243,12),AND(AI243="K5-POLICY",AH243&lt;&gt;"นิติศาสตร์",OR(L243="M2",L243="K4"),U243="",AA243=""),EDATE(Q243,12*2),AND(AI243="K5-POLICY",AH243&lt;&gt;"นิติศาสตร์",OR(AA243="M2",AA243="K4"),AD243&gt;=2,OR(AC243&lt;W243,AC243&lt;Q243)),EDATE(AC243,12*2),AND(AI243="K5-POLICY",AH243&lt;&gt;"นิติศาสตร์",AA243="S1",AD243&gt;=1,OR(AC243&lt;W243,AC243&lt;Q243)),EDATE(AC243,12),AND(AI243="K5-POLICY",AH243&lt;&gt;"นิติศาสตร์",OR(U243="M2",U243="K4"),X243&gt;=2,W243&lt;Q243),EDATE(W243,12*2),AND(AI243="K5-POLICY",AH243&lt;&gt;"นิติศาสตร์",U243="S1",X243&gt;=1,W243&lt;Q243),EDATE(W243,12),AND(AI243="K5-POLICY",AH243&lt;&gt;"นิติศาสตร์",OR(U243="S2",U243="K5")),W243,AND(AI243="K5-POLICY",AH243&lt;&gt;"นิติศาสตร์",OR(L243="M2",L243="K4"),R243&gt;=2),EDATE(Q243,12*2),AND(AI243="K5-POLICY",AH243&lt;&gt;"นิติศาสตร์",L243="S1",R243&gt;=1),EDATE(Q243,12),AND(AI243="K5-POLICY",AH243&lt;&gt;"นิติศาสตร์",OR(L243="S2",L243="K5")),Q243,TRUE,"Check Data")</f>
        <v/>
      </c>
      <c r="AK243" s="75" t="str">
        <f t="shared" si="87"/>
        <v>Check Data</v>
      </c>
      <c r="AL243" s="76" t="str">
        <f t="shared" si="78"/>
        <v>Check Data</v>
      </c>
      <c r="AM243" s="50" t="str">
        <f t="shared" si="88"/>
        <v>Check Data</v>
      </c>
      <c r="AN243" s="49" t="str">
        <f>IF(B243="","",IF(L243="S1","S1",INDEX(#REF!,#REF!)))</f>
        <v/>
      </c>
      <c r="AO243" s="49" t="str">
        <f>L243</f>
        <v>M2</v>
      </c>
      <c r="AP243" s="50" t="b">
        <f>L243=AN243</f>
        <v>0</v>
      </c>
      <c r="AQ243" s="50"/>
    </row>
    <row r="244" spans="1:43" ht="21.75">
      <c r="A244" s="49">
        <v>242</v>
      </c>
      <c r="B244" s="50"/>
      <c r="C244" s="52"/>
      <c r="D244" s="50" t="s">
        <v>139</v>
      </c>
      <c r="E244" s="50" t="e">
        <f>INDEX(#REF!,#REF!)</f>
        <v>#REF!</v>
      </c>
      <c r="F244" s="49"/>
      <c r="G244" s="49"/>
      <c r="H244" s="50">
        <f t="shared" si="75"/>
        <v>0</v>
      </c>
      <c r="I244" s="50">
        <f t="shared" si="76"/>
        <v>0</v>
      </c>
      <c r="J244" s="50">
        <f t="shared" si="77"/>
        <v>0</v>
      </c>
      <c r="K244" s="50"/>
      <c r="L244" s="49" t="s">
        <v>136</v>
      </c>
      <c r="M244" s="64"/>
      <c r="N244" s="49"/>
      <c r="O244" s="49"/>
      <c r="P244" s="65" t="s">
        <v>459</v>
      </c>
      <c r="Q244" s="49" t="str">
        <f t="shared" si="86"/>
        <v>18/09/2024</v>
      </c>
      <c r="R244" s="68">
        <f>IF(Q244="",0,DATEDIF(Q244,$C$1,"Y"))</f>
        <v>0</v>
      </c>
      <c r="S244" s="68">
        <f>IF(Q244="",0,DATEDIF(Q244,$C$1,"YM"))</f>
        <v>9</v>
      </c>
      <c r="T244" s="68">
        <f>IF(Q244="",0,DATEDIF(Q244,$C$1,"MD"))</f>
        <v>2</v>
      </c>
      <c r="U244" s="65"/>
      <c r="V244" s="65"/>
      <c r="W244" s="49" t="str">
        <f t="shared" si="79"/>
        <v/>
      </c>
      <c r="X244" s="68">
        <f>IF(W244="",0,DATEDIF(W244,Q244,"Y"))</f>
        <v>0</v>
      </c>
      <c r="Y244" s="68">
        <f>IF(W244="",0,DATEDIF(W244,Q244,"YM"))</f>
        <v>0</v>
      </c>
      <c r="Z244" s="68">
        <f>IF(W244="",0,DATEDIF(W244,Q244,"MD"))</f>
        <v>0</v>
      </c>
      <c r="AA244" s="49"/>
      <c r="AB244" s="65"/>
      <c r="AC244" s="50" t="str">
        <f t="shared" si="80"/>
        <v/>
      </c>
      <c r="AD244" s="68">
        <f t="shared" si="81"/>
        <v>0</v>
      </c>
      <c r="AE244" s="68">
        <f t="shared" si="82"/>
        <v>0</v>
      </c>
      <c r="AF244" s="68">
        <f t="shared" si="83"/>
        <v>0</v>
      </c>
      <c r="AG244" s="50"/>
      <c r="AH244" s="108" t="s">
        <v>138</v>
      </c>
      <c r="AI244" s="49" t="str">
        <f>IF(AH244="นิติศาสตร์","K5-LAW","K5-POLICY")</f>
        <v>K5-LAW</v>
      </c>
      <c r="AJ244" s="72" t="str">
        <f>_xlfn.IFS(B244="","",AND(AI244="K5-LAW",AH244="นิติศาสตร์",L244="S2",U244="",AA244=""),Q244,AND(AI244="K5-LAW",AH244="นิติศาสตร์",L244="S1",U244="",AA244=""),EDATE(Q244,12),AND(AI244="K5-LAW",AH244="นิติศาสตร์",OR(L244="M2",L244="K4"),U244="",AA244=""),EDATE(Q244,12*2),AND(AI244="K5-LAW",AH244="นิติศาสตร์",OR(AA244="M2",AA244="K4"),AD244&gt;=2,OR(AC244&lt;W244,AC244&lt;Q244)),EDATE(AC244,12*2),AND(AI244="K5-LAW",AH244="นิติศาสตร์",AA244="S1",AD244&gt;=1,OR(AC244&lt;W244,AC244&lt;Q244)),EDATE(AC244,12),AND(AI244="K5-LAW",AH244="นิติศาสตร์",OR(U244="M2",U244="K4"),X244&gt;=2,W244&lt;Q244),EDATE(W244,12*2),AND(AI244="K5-LAW",AH244="นิติศาสตร์",U244="S1",X244&gt;=1,W244&lt;Q244),EDATE(W244,12),AND(AI244="K5-LAW",AH244="นิติศาสตร์",OR(U244="S2",U244="K5")),W244,AND(AI244="K5-LAW",AH244="นิติศาสตร์",OR(L244="M2",L244="K4"),R244&gt;=2),EDATE(Q244,12*2),AND(AI244="K5-LAW",AH244="นิติศาสตร์",L244="S1",R244&gt;=1),EDATE(Q244,12),AND(AI244="K5-LAW",AH244="นิติศาสตร์",OR(L244="S2",L244="K5")),Q244,AND(AI244="K5-POLICY",AH244&lt;&gt;"นิติศาสตร์",L244="S2",U244="",AA244=""),Q244,AND(AI244="K5-POLICY",AH244&lt;&gt;"นิติศาสตร์",L244="S1",U244="",AA244=""),EDATE(Q244,12),AND(AI244="K5-POLICY",AH244&lt;&gt;"นิติศาสตร์",OR(L244="M2",L244="K4"),U244="",AA244=""),EDATE(Q244,12*2),AND(AI244="K5-POLICY",AH244&lt;&gt;"นิติศาสตร์",OR(AA244="M2",AA244="K4"),AD244&gt;=2,OR(AC244&lt;W244,AC244&lt;Q244)),EDATE(AC244,12*2),AND(AI244="K5-POLICY",AH244&lt;&gt;"นิติศาสตร์",AA244="S1",AD244&gt;=1,OR(AC244&lt;W244,AC244&lt;Q244)),EDATE(AC244,12),AND(AI244="K5-POLICY",AH244&lt;&gt;"นิติศาสตร์",OR(U244="M2",U244="K4"),X244&gt;=2,W244&lt;Q244),EDATE(W244,12*2),AND(AI244="K5-POLICY",AH244&lt;&gt;"นิติศาสตร์",U244="S1",X244&gt;=1,W244&lt;Q244),EDATE(W244,12),AND(AI244="K5-POLICY",AH244&lt;&gt;"นิติศาสตร์",OR(U244="S2",U244="K5")),W244,AND(AI244="K5-POLICY",AH244&lt;&gt;"นิติศาสตร์",OR(L244="M2",L244="K4"),R244&gt;=2),EDATE(Q244,12*2),AND(AI244="K5-POLICY",AH244&lt;&gt;"นิติศาสตร์",L244="S1",R244&gt;=1),EDATE(Q244,12),AND(AI244="K5-POLICY",AH244&lt;&gt;"นิติศาสตร์",OR(L244="S2",L244="K5")),Q244,TRUE,"Check Data")</f>
        <v/>
      </c>
      <c r="AK244" s="75" t="str">
        <f t="shared" si="87"/>
        <v>Check Data</v>
      </c>
      <c r="AL244" s="76" t="str">
        <f t="shared" si="78"/>
        <v>Check Data</v>
      </c>
      <c r="AM244" s="50" t="str">
        <f t="shared" si="88"/>
        <v>Check Data</v>
      </c>
      <c r="AN244" s="49" t="str">
        <f>IF(B244="","",IF(L244="S1","S1",INDEX(#REF!,#REF!)))</f>
        <v/>
      </c>
      <c r="AO244" s="49" t="str">
        <f>L244</f>
        <v>M2</v>
      </c>
      <c r="AP244" s="50" t="b">
        <f>L244=AN244</f>
        <v>0</v>
      </c>
      <c r="AQ244" s="50"/>
    </row>
    <row r="245" spans="1:43" ht="21.75">
      <c r="A245" s="49">
        <v>243</v>
      </c>
      <c r="B245" s="50"/>
      <c r="C245" s="52"/>
      <c r="D245" s="50" t="s">
        <v>143</v>
      </c>
      <c r="E245" s="50" t="e">
        <f>INDEX(#REF!,#REF!)</f>
        <v>#REF!</v>
      </c>
      <c r="F245" s="79"/>
      <c r="G245" s="79"/>
      <c r="H245" s="50">
        <f t="shared" si="75"/>
        <v>0</v>
      </c>
      <c r="I245" s="50">
        <f t="shared" si="76"/>
        <v>0</v>
      </c>
      <c r="J245" s="50">
        <f t="shared" si="77"/>
        <v>0</v>
      </c>
      <c r="K245" s="79"/>
      <c r="L245" s="49" t="s">
        <v>136</v>
      </c>
      <c r="M245" s="79"/>
      <c r="N245" s="79"/>
      <c r="O245" s="79"/>
      <c r="P245" s="65" t="s">
        <v>464</v>
      </c>
      <c r="Q245" s="49" t="str">
        <f t="shared" si="86"/>
        <v>21/11/2024</v>
      </c>
      <c r="R245" s="68">
        <f>IF(Q245="",0,DATEDIF(Q245,$C$1,"Y"))</f>
        <v>0</v>
      </c>
      <c r="S245" s="68">
        <f>IF(Q245="",0,DATEDIF(Q245,$C$1,"YM"))</f>
        <v>6</v>
      </c>
      <c r="T245" s="68">
        <f>IF(Q245="",0,DATEDIF(Q245,$C$1,"MD"))</f>
        <v>30</v>
      </c>
      <c r="U245" s="65"/>
      <c r="V245" s="83"/>
      <c r="W245" s="49" t="str">
        <f t="shared" si="79"/>
        <v/>
      </c>
      <c r="X245" s="68">
        <f>IF(W245="",0,DATEDIF(W245,Q245,"Y"))</f>
        <v>0</v>
      </c>
      <c r="Y245" s="68">
        <f>IF(W245="",0,DATEDIF(W245,Q245,"YM"))</f>
        <v>0</v>
      </c>
      <c r="Z245" s="68">
        <f>IF(W245="",0,DATEDIF(W245,Q245,"MD"))</f>
        <v>0</v>
      </c>
      <c r="AA245" s="79"/>
      <c r="AB245" s="79"/>
      <c r="AC245" s="50" t="str">
        <f t="shared" si="80"/>
        <v/>
      </c>
      <c r="AD245" s="68">
        <f t="shared" si="81"/>
        <v>0</v>
      </c>
      <c r="AE245" s="68">
        <f t="shared" si="82"/>
        <v>0</v>
      </c>
      <c r="AF245" s="68">
        <f t="shared" si="83"/>
        <v>0</v>
      </c>
      <c r="AG245" s="79"/>
      <c r="AH245" s="108"/>
      <c r="AI245" s="49" t="str">
        <f>IF(AH245="นิติศาสตร์","K5-LAW","K5-POLICY")</f>
        <v>K5-POLICY</v>
      </c>
      <c r="AJ245" s="72" t="str">
        <f>_xlfn.IFS(B245="","",AND(AI245="K5-LAW",AH245="นิติศาสตร์",L245="S2",U245="",AA245=""),Q245,AND(AI245="K5-LAW",AH245="นิติศาสตร์",L245="S1",U245="",AA245=""),EDATE(Q245,12),AND(AI245="K5-LAW",AH245="นิติศาสตร์",OR(L245="M2",L245="K4"),U245="",AA245=""),EDATE(Q245,12*2),AND(AI245="K5-LAW",AH245="นิติศาสตร์",OR(AA245="M2",AA245="K4"),AD245&gt;=2,OR(AC245&lt;W245,AC245&lt;Q245)),EDATE(AC245,12*2),AND(AI245="K5-LAW",AH245="นิติศาสตร์",AA245="S1",AD245&gt;=1,OR(AC245&lt;W245,AC245&lt;Q245)),EDATE(AC245,12),AND(AI245="K5-LAW",AH245="นิติศาสตร์",OR(U245="M2",U245="K4"),X245&gt;=2,W245&lt;Q245),EDATE(W245,12*2),AND(AI245="K5-LAW",AH245="นิติศาสตร์",U245="S1",X245&gt;=1,W245&lt;Q245),EDATE(W245,12),AND(AI245="K5-LAW",AH245="นิติศาสตร์",OR(U245="S2",U245="K5")),W245,AND(AI245="K5-LAW",AH245="นิติศาสตร์",OR(L245="M2",L245="K4"),R245&gt;=2),EDATE(Q245,12*2),AND(AI245="K5-LAW",AH245="นิติศาสตร์",L245="S1",R245&gt;=1),EDATE(Q245,12),AND(AI245="K5-LAW",AH245="นิติศาสตร์",OR(L245="S2",L245="K5")),Q245,AND(AI245="K5-POLICY",AH245&lt;&gt;"นิติศาสตร์",L245="S2",U245="",AA245=""),Q245,AND(AI245="K5-POLICY",AH245&lt;&gt;"นิติศาสตร์",L245="S1",U245="",AA245=""),EDATE(Q245,12),AND(AI245="K5-POLICY",AH245&lt;&gt;"นิติศาสตร์",OR(L245="M2",L245="K4"),U245="",AA245=""),EDATE(Q245,12*2),AND(AI245="K5-POLICY",AH245&lt;&gt;"นิติศาสตร์",OR(AA245="M2",AA245="K4"),AD245&gt;=2,OR(AC245&lt;W245,AC245&lt;Q245)),EDATE(AC245,12*2),AND(AI245="K5-POLICY",AH245&lt;&gt;"นิติศาสตร์",AA245="S1",AD245&gt;=1,OR(AC245&lt;W245,AC245&lt;Q245)),EDATE(AC245,12),AND(AI245="K5-POLICY",AH245&lt;&gt;"นิติศาสตร์",OR(U245="M2",U245="K4"),X245&gt;=2,W245&lt;Q245),EDATE(W245,12*2),AND(AI245="K5-POLICY",AH245&lt;&gt;"นิติศาสตร์",U245="S1",X245&gt;=1,W245&lt;Q245),EDATE(W245,12),AND(AI245="K5-POLICY",AH245&lt;&gt;"นิติศาสตร์",OR(U245="S2",U245="K5")),W245,AND(AI245="K5-POLICY",AH245&lt;&gt;"นิติศาสตร์",OR(L245="M2",L245="K4"),R245&gt;=2),EDATE(Q245,12*2),AND(AI245="K5-POLICY",AH245&lt;&gt;"นิติศาสตร์",L245="S1",R245&gt;=1),EDATE(Q245,12),AND(AI245="K5-POLICY",AH245&lt;&gt;"นิติศาสตร์",OR(L245="S2",L245="K5")),Q245,TRUE,"Check Data")</f>
        <v/>
      </c>
      <c r="AK245" s="75" t="str">
        <f t="shared" si="87"/>
        <v>Check Data</v>
      </c>
      <c r="AL245" s="76" t="str">
        <f t="shared" si="78"/>
        <v>Check Data</v>
      </c>
      <c r="AM245" s="50" t="str">
        <f t="shared" si="88"/>
        <v>Check Data</v>
      </c>
      <c r="AN245" s="49" t="str">
        <f>IF(B245="","",IF(L245="S1","S1",INDEX(#REF!,#REF!)))</f>
        <v/>
      </c>
      <c r="AO245" s="49" t="str">
        <f>L245</f>
        <v>M2</v>
      </c>
      <c r="AP245" s="50" t="b">
        <f>L245=AN245</f>
        <v>0</v>
      </c>
      <c r="AQ245" s="50"/>
    </row>
    <row r="246" spans="1:43" ht="21.75">
      <c r="A246" s="49">
        <v>244</v>
      </c>
      <c r="B246" s="50"/>
      <c r="C246" s="52"/>
      <c r="D246" s="50" t="s">
        <v>143</v>
      </c>
      <c r="E246" s="50" t="e">
        <f>INDEX(#REF!,#REF!)</f>
        <v>#REF!</v>
      </c>
      <c r="F246" s="79"/>
      <c r="G246" s="79"/>
      <c r="H246" s="50">
        <f t="shared" si="75"/>
        <v>0</v>
      </c>
      <c r="I246" s="50">
        <f t="shared" si="76"/>
        <v>0</v>
      </c>
      <c r="J246" s="50">
        <f t="shared" si="77"/>
        <v>0</v>
      </c>
      <c r="K246" s="79"/>
      <c r="L246" s="49" t="s">
        <v>136</v>
      </c>
      <c r="M246" s="79"/>
      <c r="N246" s="79"/>
      <c r="O246" s="79"/>
      <c r="P246" s="65" t="s">
        <v>464</v>
      </c>
      <c r="Q246" s="49" t="str">
        <f t="shared" si="86"/>
        <v>21/11/2024</v>
      </c>
      <c r="R246" s="68">
        <f>IF(Q246="",0,DATEDIF(Q246,$C$1,"Y"))</f>
        <v>0</v>
      </c>
      <c r="S246" s="68">
        <f>IF(Q246="",0,DATEDIF(Q246,$C$1,"YM"))</f>
        <v>6</v>
      </c>
      <c r="T246" s="68">
        <f>IF(Q246="",0,DATEDIF(Q246,$C$1,"MD"))</f>
        <v>30</v>
      </c>
      <c r="U246" s="65"/>
      <c r="V246" s="83"/>
      <c r="W246" s="49" t="str">
        <f t="shared" si="79"/>
        <v/>
      </c>
      <c r="X246" s="68">
        <f>IF(W246="",0,DATEDIF(W246,Q246,"Y"))</f>
        <v>0</v>
      </c>
      <c r="Y246" s="68">
        <f>IF(W246="",0,DATEDIF(W246,Q246,"YM"))</f>
        <v>0</v>
      </c>
      <c r="Z246" s="68">
        <f>IF(W246="",0,DATEDIF(W246,Q246,"MD"))</f>
        <v>0</v>
      </c>
      <c r="AA246" s="79"/>
      <c r="AB246" s="79"/>
      <c r="AC246" s="50" t="str">
        <f t="shared" si="80"/>
        <v/>
      </c>
      <c r="AD246" s="68">
        <f t="shared" si="81"/>
        <v>0</v>
      </c>
      <c r="AE246" s="68">
        <f t="shared" si="82"/>
        <v>0</v>
      </c>
      <c r="AF246" s="68">
        <f t="shared" si="83"/>
        <v>0</v>
      </c>
      <c r="AG246" s="79"/>
      <c r="AH246" s="108"/>
      <c r="AI246" s="49" t="str">
        <f>IF(AH246="นิติศาสตร์","K5-LAW","K5-POLICY")</f>
        <v>K5-POLICY</v>
      </c>
      <c r="AJ246" s="72" t="str">
        <f>_xlfn.IFS(B246="","",AND(AI246="K5-LAW",AH246="นิติศาสตร์",L246="S2",U246="",AA246=""),Q246,AND(AI246="K5-LAW",AH246="นิติศาสตร์",L246="S1",U246="",AA246=""),EDATE(Q246,12),AND(AI246="K5-LAW",AH246="นิติศาสตร์",OR(L246="M2",L246="K4"),U246="",AA246=""),EDATE(Q246,12*2),AND(AI246="K5-LAW",AH246="นิติศาสตร์",OR(AA246="M2",AA246="K4"),AD246&gt;=2,OR(AC246&lt;W246,AC246&lt;Q246)),EDATE(AC246,12*2),AND(AI246="K5-LAW",AH246="นิติศาสตร์",AA246="S1",AD246&gt;=1,OR(AC246&lt;W246,AC246&lt;Q246)),EDATE(AC246,12),AND(AI246="K5-LAW",AH246="นิติศาสตร์",OR(U246="M2",U246="K4"),X246&gt;=2,W246&lt;Q246),EDATE(W246,12*2),AND(AI246="K5-LAW",AH246="นิติศาสตร์",U246="S1",X246&gt;=1,W246&lt;Q246),EDATE(W246,12),AND(AI246="K5-LAW",AH246="นิติศาสตร์",OR(U246="S2",U246="K5")),W246,AND(AI246="K5-LAW",AH246="นิติศาสตร์",OR(L246="M2",L246="K4"),R246&gt;=2),EDATE(Q246,12*2),AND(AI246="K5-LAW",AH246="นิติศาสตร์",L246="S1",R246&gt;=1),EDATE(Q246,12),AND(AI246="K5-LAW",AH246="นิติศาสตร์",OR(L246="S2",L246="K5")),Q246,AND(AI246="K5-POLICY",AH246&lt;&gt;"นิติศาสตร์",L246="S2",U246="",AA246=""),Q246,AND(AI246="K5-POLICY",AH246&lt;&gt;"นิติศาสตร์",L246="S1",U246="",AA246=""),EDATE(Q246,12),AND(AI246="K5-POLICY",AH246&lt;&gt;"นิติศาสตร์",OR(L246="M2",L246="K4"),U246="",AA246=""),EDATE(Q246,12*2),AND(AI246="K5-POLICY",AH246&lt;&gt;"นิติศาสตร์",OR(AA246="M2",AA246="K4"),AD246&gt;=2,OR(AC246&lt;W246,AC246&lt;Q246)),EDATE(AC246,12*2),AND(AI246="K5-POLICY",AH246&lt;&gt;"นิติศาสตร์",AA246="S1",AD246&gt;=1,OR(AC246&lt;W246,AC246&lt;Q246)),EDATE(AC246,12),AND(AI246="K5-POLICY",AH246&lt;&gt;"นิติศาสตร์",OR(U246="M2",U246="K4"),X246&gt;=2,W246&lt;Q246),EDATE(W246,12*2),AND(AI246="K5-POLICY",AH246&lt;&gt;"นิติศาสตร์",U246="S1",X246&gt;=1,W246&lt;Q246),EDATE(W246,12),AND(AI246="K5-POLICY",AH246&lt;&gt;"นิติศาสตร์",OR(U246="S2",U246="K5")),W246,AND(AI246="K5-POLICY",AH246&lt;&gt;"นิติศาสตร์",OR(L246="M2",L246="K4"),R246&gt;=2),EDATE(Q246,12*2),AND(AI246="K5-POLICY",AH246&lt;&gt;"นิติศาสตร์",L246="S1",R246&gt;=1),EDATE(Q246,12),AND(AI246="K5-POLICY",AH246&lt;&gt;"นิติศาสตร์",OR(L246="S2",L246="K5")),Q246,TRUE,"Check Data")</f>
        <v/>
      </c>
      <c r="AK246" s="75" t="str">
        <f t="shared" si="87"/>
        <v>Check Data</v>
      </c>
      <c r="AL246" s="76" t="str">
        <f t="shared" si="78"/>
        <v>Check Data</v>
      </c>
      <c r="AM246" s="50" t="str">
        <f t="shared" si="88"/>
        <v>Check Data</v>
      </c>
      <c r="AN246" s="49" t="str">
        <f>IF(B246="","",IF(L246="S1","S1",INDEX(#REF!,#REF!)))</f>
        <v/>
      </c>
      <c r="AO246" s="49" t="str">
        <f>L246</f>
        <v>M2</v>
      </c>
      <c r="AP246" s="50" t="b">
        <f>L246=AN246</f>
        <v>0</v>
      </c>
      <c r="AQ246" s="50"/>
    </row>
    <row r="247" spans="1:43" ht="21.75">
      <c r="A247" s="49">
        <v>245</v>
      </c>
      <c r="B247" s="50"/>
      <c r="C247" s="52"/>
      <c r="D247" s="50" t="s">
        <v>143</v>
      </c>
      <c r="E247" s="50" t="e">
        <f>INDEX(#REF!,#REF!)</f>
        <v>#REF!</v>
      </c>
      <c r="F247" s="79"/>
      <c r="G247" s="79"/>
      <c r="H247" s="50">
        <f t="shared" si="75"/>
        <v>0</v>
      </c>
      <c r="I247" s="50">
        <f t="shared" si="76"/>
        <v>0</v>
      </c>
      <c r="J247" s="50">
        <f t="shared" si="77"/>
        <v>0</v>
      </c>
      <c r="K247" s="79"/>
      <c r="L247" s="49" t="s">
        <v>136</v>
      </c>
      <c r="M247" s="79"/>
      <c r="N247" s="79"/>
      <c r="O247" s="79"/>
      <c r="P247" s="65" t="s">
        <v>464</v>
      </c>
      <c r="Q247" s="49" t="str">
        <f t="shared" si="86"/>
        <v>21/11/2024</v>
      </c>
      <c r="R247" s="68">
        <f>IF(Q247="",0,DATEDIF(Q247,$C$1,"Y"))</f>
        <v>0</v>
      </c>
      <c r="S247" s="68">
        <f>IF(Q247="",0,DATEDIF(Q247,$C$1,"YM"))</f>
        <v>6</v>
      </c>
      <c r="T247" s="68">
        <f>IF(Q247="",0,DATEDIF(Q247,$C$1,"MD"))</f>
        <v>30</v>
      </c>
      <c r="U247" s="65"/>
      <c r="V247" s="83"/>
      <c r="W247" s="49" t="str">
        <f t="shared" si="79"/>
        <v/>
      </c>
      <c r="X247" s="68">
        <f>IF(W247="",0,DATEDIF(W247,Q247,"Y"))</f>
        <v>0</v>
      </c>
      <c r="Y247" s="68">
        <f>IF(W247="",0,DATEDIF(W247,Q247,"YM"))</f>
        <v>0</v>
      </c>
      <c r="Z247" s="68">
        <f>IF(W247="",0,DATEDIF(W247,Q247,"MD"))</f>
        <v>0</v>
      </c>
      <c r="AA247" s="79"/>
      <c r="AB247" s="79"/>
      <c r="AC247" s="50" t="str">
        <f t="shared" si="80"/>
        <v/>
      </c>
      <c r="AD247" s="68">
        <f t="shared" si="81"/>
        <v>0</v>
      </c>
      <c r="AE247" s="68">
        <f t="shared" si="82"/>
        <v>0</v>
      </c>
      <c r="AF247" s="68">
        <f t="shared" si="83"/>
        <v>0</v>
      </c>
      <c r="AG247" s="79"/>
      <c r="AH247" s="108"/>
      <c r="AI247" s="49" t="str">
        <f>IF(AH247="นิติศาสตร์","K5-LAW","K5-POLICY")</f>
        <v>K5-POLICY</v>
      </c>
      <c r="AJ247" s="72" t="str">
        <f>_xlfn.IFS(B247="","",AND(AI247="K5-LAW",AH247="นิติศาสตร์",L247="S2",U247="",AA247=""),Q247,AND(AI247="K5-LAW",AH247="นิติศาสตร์",L247="S1",U247="",AA247=""),EDATE(Q247,12),AND(AI247="K5-LAW",AH247="นิติศาสตร์",OR(L247="M2",L247="K4"),U247="",AA247=""),EDATE(Q247,12*2),AND(AI247="K5-LAW",AH247="นิติศาสตร์",OR(AA247="M2",AA247="K4"),AD247&gt;=2,OR(AC247&lt;W247,AC247&lt;Q247)),EDATE(AC247,12*2),AND(AI247="K5-LAW",AH247="นิติศาสตร์",AA247="S1",AD247&gt;=1,OR(AC247&lt;W247,AC247&lt;Q247)),EDATE(AC247,12),AND(AI247="K5-LAW",AH247="นิติศาสตร์",OR(U247="M2",U247="K4"),X247&gt;=2,W247&lt;Q247),EDATE(W247,12*2),AND(AI247="K5-LAW",AH247="นิติศาสตร์",U247="S1",X247&gt;=1,W247&lt;Q247),EDATE(W247,12),AND(AI247="K5-LAW",AH247="นิติศาสตร์",OR(U247="S2",U247="K5")),W247,AND(AI247="K5-LAW",AH247="นิติศาสตร์",OR(L247="M2",L247="K4"),R247&gt;=2),EDATE(Q247,12*2),AND(AI247="K5-LAW",AH247="นิติศาสตร์",L247="S1",R247&gt;=1),EDATE(Q247,12),AND(AI247="K5-LAW",AH247="นิติศาสตร์",OR(L247="S2",L247="K5")),Q247,AND(AI247="K5-POLICY",AH247&lt;&gt;"นิติศาสตร์",L247="S2",U247="",AA247=""),Q247,AND(AI247="K5-POLICY",AH247&lt;&gt;"นิติศาสตร์",L247="S1",U247="",AA247=""),EDATE(Q247,12),AND(AI247="K5-POLICY",AH247&lt;&gt;"นิติศาสตร์",OR(L247="M2",L247="K4"),U247="",AA247=""),EDATE(Q247,12*2),AND(AI247="K5-POLICY",AH247&lt;&gt;"นิติศาสตร์",OR(AA247="M2",AA247="K4"),AD247&gt;=2,OR(AC247&lt;W247,AC247&lt;Q247)),EDATE(AC247,12*2),AND(AI247="K5-POLICY",AH247&lt;&gt;"นิติศาสตร์",AA247="S1",AD247&gt;=1,OR(AC247&lt;W247,AC247&lt;Q247)),EDATE(AC247,12),AND(AI247="K5-POLICY",AH247&lt;&gt;"นิติศาสตร์",OR(U247="M2",U247="K4"),X247&gt;=2,W247&lt;Q247),EDATE(W247,12*2),AND(AI247="K5-POLICY",AH247&lt;&gt;"นิติศาสตร์",U247="S1",X247&gt;=1,W247&lt;Q247),EDATE(W247,12),AND(AI247="K5-POLICY",AH247&lt;&gt;"นิติศาสตร์",OR(U247="S2",U247="K5")),W247,AND(AI247="K5-POLICY",AH247&lt;&gt;"นิติศาสตร์",OR(L247="M2",L247="K4"),R247&gt;=2),EDATE(Q247,12*2),AND(AI247="K5-POLICY",AH247&lt;&gt;"นิติศาสตร์",L247="S1",R247&gt;=1),EDATE(Q247,12),AND(AI247="K5-POLICY",AH247&lt;&gt;"นิติศาสตร์",OR(L247="S2",L247="K5")),Q247,TRUE,"Check Data")</f>
        <v/>
      </c>
      <c r="AK247" s="75" t="str">
        <f t="shared" si="87"/>
        <v>Check Data</v>
      </c>
      <c r="AL247" s="76" t="str">
        <f t="shared" si="78"/>
        <v>Check Data</v>
      </c>
      <c r="AM247" s="50" t="str">
        <f t="shared" si="88"/>
        <v>Check Data</v>
      </c>
      <c r="AN247" s="49" t="str">
        <f>IF(B247="","",IF(L247="S1","S1",INDEX(#REF!,#REF!)))</f>
        <v/>
      </c>
      <c r="AO247" s="49" t="str">
        <f>L247</f>
        <v>M2</v>
      </c>
      <c r="AP247" s="50" t="b">
        <f>L247=AN247</f>
        <v>0</v>
      </c>
      <c r="AQ247" s="50"/>
    </row>
    <row r="248" spans="1:43" ht="21.75">
      <c r="A248" s="49">
        <v>246</v>
      </c>
      <c r="B248" s="50"/>
      <c r="C248" s="52"/>
      <c r="D248" s="50" t="s">
        <v>143</v>
      </c>
      <c r="E248" s="50" t="e">
        <f>INDEX(#REF!,#REF!)</f>
        <v>#REF!</v>
      </c>
      <c r="F248" s="79"/>
      <c r="G248" s="79"/>
      <c r="H248" s="50">
        <f t="shared" si="75"/>
        <v>0</v>
      </c>
      <c r="I248" s="50">
        <f t="shared" si="76"/>
        <v>0</v>
      </c>
      <c r="J248" s="50">
        <f t="shared" si="77"/>
        <v>0</v>
      </c>
      <c r="K248" s="79"/>
      <c r="L248" s="49" t="s">
        <v>136</v>
      </c>
      <c r="M248" s="79"/>
      <c r="N248" s="79"/>
      <c r="O248" s="79"/>
      <c r="P248" s="65" t="s">
        <v>464</v>
      </c>
      <c r="Q248" s="49" t="str">
        <f t="shared" si="86"/>
        <v>21/11/2024</v>
      </c>
      <c r="R248" s="68">
        <f>IF(Q248="",0,DATEDIF(Q248,$C$1,"Y"))</f>
        <v>0</v>
      </c>
      <c r="S248" s="68">
        <f>IF(Q248="",0,DATEDIF(Q248,$C$1,"YM"))</f>
        <v>6</v>
      </c>
      <c r="T248" s="68">
        <f>IF(Q248="",0,DATEDIF(Q248,$C$1,"MD"))</f>
        <v>30</v>
      </c>
      <c r="U248" s="65"/>
      <c r="V248" s="83"/>
      <c r="W248" s="49" t="str">
        <f t="shared" si="79"/>
        <v/>
      </c>
      <c r="X248" s="68">
        <f>IF(W248="",0,DATEDIF(W248,Q248,"Y"))</f>
        <v>0</v>
      </c>
      <c r="Y248" s="68">
        <f>IF(W248="",0,DATEDIF(W248,Q248,"YM"))</f>
        <v>0</v>
      </c>
      <c r="Z248" s="68">
        <f>IF(W248="",0,DATEDIF(W248,Q248,"MD"))</f>
        <v>0</v>
      </c>
      <c r="AA248" s="79"/>
      <c r="AB248" s="79"/>
      <c r="AC248" s="50" t="str">
        <f t="shared" si="80"/>
        <v/>
      </c>
      <c r="AD248" s="68">
        <f t="shared" si="81"/>
        <v>0</v>
      </c>
      <c r="AE248" s="68">
        <f t="shared" si="82"/>
        <v>0</v>
      </c>
      <c r="AF248" s="68">
        <f t="shared" si="83"/>
        <v>0</v>
      </c>
      <c r="AG248" s="79"/>
      <c r="AH248" s="108" t="s">
        <v>138</v>
      </c>
      <c r="AI248" s="49" t="str">
        <f>IF(AH248="นิติศาสตร์","K5-LAW","K5-POLICY")</f>
        <v>K5-LAW</v>
      </c>
      <c r="AJ248" s="72" t="str">
        <f>_xlfn.IFS(B248="","",AND(AI248="K5-LAW",AH248="นิติศาสตร์",L248="S2",U248="",AA248=""),Q248,AND(AI248="K5-LAW",AH248="นิติศาสตร์",L248="S1",U248="",AA248=""),EDATE(Q248,12),AND(AI248="K5-LAW",AH248="นิติศาสตร์",OR(L248="M2",L248="K4"),U248="",AA248=""),EDATE(Q248,12*2),AND(AI248="K5-LAW",AH248="นิติศาสตร์",OR(AA248="M2",AA248="K4"),AD248&gt;=2,OR(AC248&lt;W248,AC248&lt;Q248)),EDATE(AC248,12*2),AND(AI248="K5-LAW",AH248="นิติศาสตร์",AA248="S1",AD248&gt;=1,OR(AC248&lt;W248,AC248&lt;Q248)),EDATE(AC248,12),AND(AI248="K5-LAW",AH248="นิติศาสตร์",OR(U248="M2",U248="K4"),X248&gt;=2,W248&lt;Q248),EDATE(W248,12*2),AND(AI248="K5-LAW",AH248="นิติศาสตร์",U248="S1",X248&gt;=1,W248&lt;Q248),EDATE(W248,12),AND(AI248="K5-LAW",AH248="นิติศาสตร์",OR(U248="S2",U248="K5")),W248,AND(AI248="K5-LAW",AH248="นิติศาสตร์",OR(L248="M2",L248="K4"),R248&gt;=2),EDATE(Q248,12*2),AND(AI248="K5-LAW",AH248="นิติศาสตร์",L248="S1",R248&gt;=1),EDATE(Q248,12),AND(AI248="K5-LAW",AH248="นิติศาสตร์",OR(L248="S2",L248="K5")),Q248,AND(AI248="K5-POLICY",AH248&lt;&gt;"นิติศาสตร์",L248="S2",U248="",AA248=""),Q248,AND(AI248="K5-POLICY",AH248&lt;&gt;"นิติศาสตร์",L248="S1",U248="",AA248=""),EDATE(Q248,12),AND(AI248="K5-POLICY",AH248&lt;&gt;"นิติศาสตร์",OR(L248="M2",L248="K4"),U248="",AA248=""),EDATE(Q248,12*2),AND(AI248="K5-POLICY",AH248&lt;&gt;"นิติศาสตร์",OR(AA248="M2",AA248="K4"),AD248&gt;=2,OR(AC248&lt;W248,AC248&lt;Q248)),EDATE(AC248,12*2),AND(AI248="K5-POLICY",AH248&lt;&gt;"นิติศาสตร์",AA248="S1",AD248&gt;=1,OR(AC248&lt;W248,AC248&lt;Q248)),EDATE(AC248,12),AND(AI248="K5-POLICY",AH248&lt;&gt;"นิติศาสตร์",OR(U248="M2",U248="K4"),X248&gt;=2,W248&lt;Q248),EDATE(W248,12*2),AND(AI248="K5-POLICY",AH248&lt;&gt;"นิติศาสตร์",U248="S1",X248&gt;=1,W248&lt;Q248),EDATE(W248,12),AND(AI248="K5-POLICY",AH248&lt;&gt;"นิติศาสตร์",OR(U248="S2",U248="K5")),W248,AND(AI248="K5-POLICY",AH248&lt;&gt;"นิติศาสตร์",OR(L248="M2",L248="K4"),R248&gt;=2),EDATE(Q248,12*2),AND(AI248="K5-POLICY",AH248&lt;&gt;"นิติศาสตร์",L248="S1",R248&gt;=1),EDATE(Q248,12),AND(AI248="K5-POLICY",AH248&lt;&gt;"นิติศาสตร์",OR(L248="S2",L248="K5")),Q248,TRUE,"Check Data")</f>
        <v/>
      </c>
      <c r="AK248" s="75" t="str">
        <f t="shared" si="87"/>
        <v>Check Data</v>
      </c>
      <c r="AL248" s="76" t="str">
        <f t="shared" si="78"/>
        <v>Check Data</v>
      </c>
      <c r="AM248" s="50" t="str">
        <f t="shared" si="88"/>
        <v>Check Data</v>
      </c>
      <c r="AN248" s="49" t="str">
        <f>IF(B248="","",IF(L248="S1","S1",INDEX(#REF!,#REF!)))</f>
        <v/>
      </c>
      <c r="AO248" s="49" t="str">
        <f>L248</f>
        <v>M2</v>
      </c>
      <c r="AP248" s="50" t="b">
        <f>L248=AN248</f>
        <v>0</v>
      </c>
      <c r="AQ248" s="50"/>
    </row>
    <row r="249" spans="1:43" ht="21.75">
      <c r="A249" s="49">
        <v>247</v>
      </c>
      <c r="B249" s="50"/>
      <c r="C249" s="52"/>
      <c r="D249" s="50" t="s">
        <v>143</v>
      </c>
      <c r="E249" s="50" t="e">
        <f>INDEX(#REF!,#REF!)</f>
        <v>#REF!</v>
      </c>
      <c r="F249" s="79"/>
      <c r="G249" s="79"/>
      <c r="H249" s="50">
        <f t="shared" si="75"/>
        <v>0</v>
      </c>
      <c r="I249" s="50">
        <f t="shared" si="76"/>
        <v>0</v>
      </c>
      <c r="J249" s="50">
        <f t="shared" si="77"/>
        <v>0</v>
      </c>
      <c r="K249" s="79"/>
      <c r="L249" s="49" t="s">
        <v>136</v>
      </c>
      <c r="M249" s="79"/>
      <c r="N249" s="79"/>
      <c r="O249" s="79"/>
      <c r="P249" s="65" t="s">
        <v>464</v>
      </c>
      <c r="Q249" s="49" t="str">
        <f t="shared" si="86"/>
        <v>21/11/2024</v>
      </c>
      <c r="R249" s="68">
        <f>IF(Q249="",0,DATEDIF(Q249,$C$1,"Y"))</f>
        <v>0</v>
      </c>
      <c r="S249" s="68">
        <f>IF(Q249="",0,DATEDIF(Q249,$C$1,"YM"))</f>
        <v>6</v>
      </c>
      <c r="T249" s="68">
        <f>IF(Q249="",0,DATEDIF(Q249,$C$1,"MD"))</f>
        <v>30</v>
      </c>
      <c r="U249" s="65"/>
      <c r="V249" s="83"/>
      <c r="W249" s="49" t="str">
        <f t="shared" si="79"/>
        <v/>
      </c>
      <c r="X249" s="68">
        <f>IF(W249="",0,DATEDIF(W249,Q249,"Y"))</f>
        <v>0</v>
      </c>
      <c r="Y249" s="68">
        <f>IF(W249="",0,DATEDIF(W249,Q249,"YM"))</f>
        <v>0</v>
      </c>
      <c r="Z249" s="68">
        <f>IF(W249="",0,DATEDIF(W249,Q249,"MD"))</f>
        <v>0</v>
      </c>
      <c r="AA249" s="79"/>
      <c r="AB249" s="79"/>
      <c r="AC249" s="50" t="str">
        <f t="shared" si="80"/>
        <v/>
      </c>
      <c r="AD249" s="68">
        <f t="shared" si="81"/>
        <v>0</v>
      </c>
      <c r="AE249" s="68">
        <f t="shared" si="82"/>
        <v>0</v>
      </c>
      <c r="AF249" s="68">
        <f t="shared" si="83"/>
        <v>0</v>
      </c>
      <c r="AG249" s="79"/>
      <c r="AH249" s="108"/>
      <c r="AI249" s="49" t="str">
        <f>IF(AH249="นิติศาสตร์","K5-LAW","K5-POLICY")</f>
        <v>K5-POLICY</v>
      </c>
      <c r="AJ249" s="72" t="str">
        <f>_xlfn.IFS(B249="","",AND(AI249="K5-LAW",AH249="นิติศาสตร์",L249="S2",U249="",AA249=""),Q249,AND(AI249="K5-LAW",AH249="นิติศาสตร์",L249="S1",U249="",AA249=""),EDATE(Q249,12),AND(AI249="K5-LAW",AH249="นิติศาสตร์",OR(L249="M2",L249="K4"),U249="",AA249=""),EDATE(Q249,12*2),AND(AI249="K5-LAW",AH249="นิติศาสตร์",OR(AA249="M2",AA249="K4"),AD249&gt;=2,OR(AC249&lt;W249,AC249&lt;Q249)),EDATE(AC249,12*2),AND(AI249="K5-LAW",AH249="นิติศาสตร์",AA249="S1",AD249&gt;=1,OR(AC249&lt;W249,AC249&lt;Q249)),EDATE(AC249,12),AND(AI249="K5-LAW",AH249="นิติศาสตร์",OR(U249="M2",U249="K4"),X249&gt;=2,W249&lt;Q249),EDATE(W249,12*2),AND(AI249="K5-LAW",AH249="นิติศาสตร์",U249="S1",X249&gt;=1,W249&lt;Q249),EDATE(W249,12),AND(AI249="K5-LAW",AH249="นิติศาสตร์",OR(U249="S2",U249="K5")),W249,AND(AI249="K5-LAW",AH249="นิติศาสตร์",OR(L249="M2",L249="K4"),R249&gt;=2),EDATE(Q249,12*2),AND(AI249="K5-LAW",AH249="นิติศาสตร์",L249="S1",R249&gt;=1),EDATE(Q249,12),AND(AI249="K5-LAW",AH249="นิติศาสตร์",OR(L249="S2",L249="K5")),Q249,AND(AI249="K5-POLICY",AH249&lt;&gt;"นิติศาสตร์",L249="S2",U249="",AA249=""),Q249,AND(AI249="K5-POLICY",AH249&lt;&gt;"นิติศาสตร์",L249="S1",U249="",AA249=""),EDATE(Q249,12),AND(AI249="K5-POLICY",AH249&lt;&gt;"นิติศาสตร์",OR(L249="M2",L249="K4"),U249="",AA249=""),EDATE(Q249,12*2),AND(AI249="K5-POLICY",AH249&lt;&gt;"นิติศาสตร์",OR(AA249="M2",AA249="K4"),AD249&gt;=2,OR(AC249&lt;W249,AC249&lt;Q249)),EDATE(AC249,12*2),AND(AI249="K5-POLICY",AH249&lt;&gt;"นิติศาสตร์",AA249="S1",AD249&gt;=1,OR(AC249&lt;W249,AC249&lt;Q249)),EDATE(AC249,12),AND(AI249="K5-POLICY",AH249&lt;&gt;"นิติศาสตร์",OR(U249="M2",U249="K4"),X249&gt;=2,W249&lt;Q249),EDATE(W249,12*2),AND(AI249="K5-POLICY",AH249&lt;&gt;"นิติศาสตร์",U249="S1",X249&gt;=1,W249&lt;Q249),EDATE(W249,12),AND(AI249="K5-POLICY",AH249&lt;&gt;"นิติศาสตร์",OR(U249="S2",U249="K5")),W249,AND(AI249="K5-POLICY",AH249&lt;&gt;"นิติศาสตร์",OR(L249="M2",L249="K4"),R249&gt;=2),EDATE(Q249,12*2),AND(AI249="K5-POLICY",AH249&lt;&gt;"นิติศาสตร์",L249="S1",R249&gt;=1),EDATE(Q249,12),AND(AI249="K5-POLICY",AH249&lt;&gt;"นิติศาสตร์",OR(L249="S2",L249="K5")),Q249,TRUE,"Check Data")</f>
        <v/>
      </c>
      <c r="AK249" s="75" t="str">
        <f t="shared" si="87"/>
        <v>Check Data</v>
      </c>
      <c r="AL249" s="76" t="str">
        <f t="shared" si="78"/>
        <v>Check Data</v>
      </c>
      <c r="AM249" s="50" t="str">
        <f t="shared" si="88"/>
        <v>Check Data</v>
      </c>
      <c r="AN249" s="49" t="str">
        <f>IF(B249="","",IF(L249="S1","S1",INDEX(#REF!,#REF!)))</f>
        <v/>
      </c>
      <c r="AO249" s="49" t="str">
        <f>L249</f>
        <v>M2</v>
      </c>
      <c r="AP249" s="50" t="b">
        <f>L249=AN249</f>
        <v>0</v>
      </c>
      <c r="AQ249" s="50"/>
    </row>
    <row r="250" spans="1:43" ht="21.75">
      <c r="A250" s="49">
        <v>248</v>
      </c>
      <c r="B250" s="50"/>
      <c r="C250" s="52"/>
      <c r="D250" s="50" t="s">
        <v>143</v>
      </c>
      <c r="E250" s="50" t="e">
        <f>INDEX(#REF!,#REF!)</f>
        <v>#REF!</v>
      </c>
      <c r="F250" s="79"/>
      <c r="G250" s="79"/>
      <c r="H250" s="50">
        <f t="shared" si="75"/>
        <v>0</v>
      </c>
      <c r="I250" s="50">
        <f t="shared" si="76"/>
        <v>0</v>
      </c>
      <c r="J250" s="50">
        <f t="shared" si="77"/>
        <v>0</v>
      </c>
      <c r="K250" s="79"/>
      <c r="L250" s="49" t="s">
        <v>136</v>
      </c>
      <c r="M250" s="79"/>
      <c r="N250" s="79"/>
      <c r="O250" s="79"/>
      <c r="P250" s="65" t="s">
        <v>464</v>
      </c>
      <c r="Q250" s="49" t="str">
        <f t="shared" si="86"/>
        <v>21/11/2024</v>
      </c>
      <c r="R250" s="68">
        <f>IF(Q250="",0,DATEDIF(Q250,$C$1,"Y"))</f>
        <v>0</v>
      </c>
      <c r="S250" s="68">
        <f>IF(Q250="",0,DATEDIF(Q250,$C$1,"YM"))</f>
        <v>6</v>
      </c>
      <c r="T250" s="68">
        <f>IF(Q250="",0,DATEDIF(Q250,$C$1,"MD"))</f>
        <v>30</v>
      </c>
      <c r="U250" s="65"/>
      <c r="V250" s="83"/>
      <c r="W250" s="49" t="str">
        <f t="shared" si="79"/>
        <v/>
      </c>
      <c r="X250" s="68">
        <f>IF(W250="",0,DATEDIF(W250,Q250,"Y"))</f>
        <v>0</v>
      </c>
      <c r="Y250" s="68">
        <f>IF(W250="",0,DATEDIF(W250,Q250,"YM"))</f>
        <v>0</v>
      </c>
      <c r="Z250" s="68">
        <f>IF(W250="",0,DATEDIF(W250,Q250,"MD"))</f>
        <v>0</v>
      </c>
      <c r="AA250" s="79"/>
      <c r="AB250" s="79"/>
      <c r="AC250" s="50" t="str">
        <f t="shared" si="80"/>
        <v/>
      </c>
      <c r="AD250" s="68">
        <f t="shared" si="81"/>
        <v>0</v>
      </c>
      <c r="AE250" s="68">
        <f t="shared" si="82"/>
        <v>0</v>
      </c>
      <c r="AF250" s="68">
        <f t="shared" si="83"/>
        <v>0</v>
      </c>
      <c r="AG250" s="79"/>
      <c r="AH250" s="108"/>
      <c r="AI250" s="49" t="str">
        <f>IF(AH250="นิติศาสตร์","K5-LAW","K5-POLICY")</f>
        <v>K5-POLICY</v>
      </c>
      <c r="AJ250" s="72" t="str">
        <f>_xlfn.IFS(B250="","",AND(AI250="K5-LAW",AH250="นิติศาสตร์",L250="S2",U250="",AA250=""),Q250,AND(AI250="K5-LAW",AH250="นิติศาสตร์",L250="S1",U250="",AA250=""),EDATE(Q250,12),AND(AI250="K5-LAW",AH250="นิติศาสตร์",OR(L250="M2",L250="K4"),U250="",AA250=""),EDATE(Q250,12*2),AND(AI250="K5-LAW",AH250="นิติศาสตร์",OR(AA250="M2",AA250="K4"),AD250&gt;=2,OR(AC250&lt;W250,AC250&lt;Q250)),EDATE(AC250,12*2),AND(AI250="K5-LAW",AH250="นิติศาสตร์",AA250="S1",AD250&gt;=1,OR(AC250&lt;W250,AC250&lt;Q250)),EDATE(AC250,12),AND(AI250="K5-LAW",AH250="นิติศาสตร์",OR(U250="M2",U250="K4"),X250&gt;=2,W250&lt;Q250),EDATE(W250,12*2),AND(AI250="K5-LAW",AH250="นิติศาสตร์",U250="S1",X250&gt;=1,W250&lt;Q250),EDATE(W250,12),AND(AI250="K5-LAW",AH250="นิติศาสตร์",OR(U250="S2",U250="K5")),W250,AND(AI250="K5-LAW",AH250="นิติศาสตร์",OR(L250="M2",L250="K4"),R250&gt;=2),EDATE(Q250,12*2),AND(AI250="K5-LAW",AH250="นิติศาสตร์",L250="S1",R250&gt;=1),EDATE(Q250,12),AND(AI250="K5-LAW",AH250="นิติศาสตร์",OR(L250="S2",L250="K5")),Q250,AND(AI250="K5-POLICY",AH250&lt;&gt;"นิติศาสตร์",L250="S2",U250="",AA250=""),Q250,AND(AI250="K5-POLICY",AH250&lt;&gt;"นิติศาสตร์",L250="S1",U250="",AA250=""),EDATE(Q250,12),AND(AI250="K5-POLICY",AH250&lt;&gt;"นิติศาสตร์",OR(L250="M2",L250="K4"),U250="",AA250=""),EDATE(Q250,12*2),AND(AI250="K5-POLICY",AH250&lt;&gt;"นิติศาสตร์",OR(AA250="M2",AA250="K4"),AD250&gt;=2,OR(AC250&lt;W250,AC250&lt;Q250)),EDATE(AC250,12*2),AND(AI250="K5-POLICY",AH250&lt;&gt;"นิติศาสตร์",AA250="S1",AD250&gt;=1,OR(AC250&lt;W250,AC250&lt;Q250)),EDATE(AC250,12),AND(AI250="K5-POLICY",AH250&lt;&gt;"นิติศาสตร์",OR(U250="M2",U250="K4"),X250&gt;=2,W250&lt;Q250),EDATE(W250,12*2),AND(AI250="K5-POLICY",AH250&lt;&gt;"นิติศาสตร์",U250="S1",X250&gt;=1,W250&lt;Q250),EDATE(W250,12),AND(AI250="K5-POLICY",AH250&lt;&gt;"นิติศาสตร์",OR(U250="S2",U250="K5")),W250,AND(AI250="K5-POLICY",AH250&lt;&gt;"นิติศาสตร์",OR(L250="M2",L250="K4"),R250&gt;=2),EDATE(Q250,12*2),AND(AI250="K5-POLICY",AH250&lt;&gt;"นิติศาสตร์",L250="S1",R250&gt;=1),EDATE(Q250,12),AND(AI250="K5-POLICY",AH250&lt;&gt;"นิติศาสตร์",OR(L250="S2",L250="K5")),Q250,TRUE,"Check Data")</f>
        <v/>
      </c>
      <c r="AK250" s="75" t="str">
        <f t="shared" si="87"/>
        <v>Check Data</v>
      </c>
      <c r="AL250" s="76" t="str">
        <f t="shared" si="78"/>
        <v>Check Data</v>
      </c>
      <c r="AM250" s="50" t="str">
        <f t="shared" si="88"/>
        <v>Check Data</v>
      </c>
      <c r="AN250" s="49" t="str">
        <f>IF(B250="","",IF(L250="S1","S1",INDEX(#REF!,#REF!)))</f>
        <v/>
      </c>
      <c r="AO250" s="49" t="str">
        <f>L250</f>
        <v>M2</v>
      </c>
      <c r="AP250" s="50" t="b">
        <f>L250=AN250</f>
        <v>0</v>
      </c>
      <c r="AQ250" s="50"/>
    </row>
    <row r="251" spans="1:43" ht="21.75">
      <c r="A251" s="49">
        <v>249</v>
      </c>
      <c r="B251" s="50"/>
      <c r="C251" s="52"/>
      <c r="D251" s="50" t="s">
        <v>143</v>
      </c>
      <c r="E251" s="50" t="e">
        <f>INDEX(#REF!,#REF!)</f>
        <v>#REF!</v>
      </c>
      <c r="F251" s="79"/>
      <c r="G251" s="79"/>
      <c r="H251" s="50">
        <f t="shared" si="75"/>
        <v>0</v>
      </c>
      <c r="I251" s="50">
        <f t="shared" si="76"/>
        <v>0</v>
      </c>
      <c r="J251" s="50">
        <f t="shared" si="77"/>
        <v>0</v>
      </c>
      <c r="K251" s="79"/>
      <c r="L251" s="49" t="s">
        <v>136</v>
      </c>
      <c r="M251" s="79"/>
      <c r="N251" s="79"/>
      <c r="O251" s="79"/>
      <c r="P251" s="65" t="s">
        <v>464</v>
      </c>
      <c r="Q251" s="49" t="str">
        <f t="shared" si="86"/>
        <v>21/11/2024</v>
      </c>
      <c r="R251" s="68">
        <f>IF(Q251="",0,DATEDIF(Q251,$C$1,"Y"))</f>
        <v>0</v>
      </c>
      <c r="S251" s="68">
        <f>IF(Q251="",0,DATEDIF(Q251,$C$1,"YM"))</f>
        <v>6</v>
      </c>
      <c r="T251" s="68">
        <f>IF(Q251="",0,DATEDIF(Q251,$C$1,"MD"))</f>
        <v>30</v>
      </c>
      <c r="U251" s="65"/>
      <c r="V251" s="83"/>
      <c r="W251" s="49" t="str">
        <f t="shared" si="79"/>
        <v/>
      </c>
      <c r="X251" s="68">
        <f>IF(W251="",0,DATEDIF(W251,Q251,"Y"))</f>
        <v>0</v>
      </c>
      <c r="Y251" s="68">
        <f>IF(W251="",0,DATEDIF(W251,Q251,"YM"))</f>
        <v>0</v>
      </c>
      <c r="Z251" s="68">
        <f>IF(W251="",0,DATEDIF(W251,Q251,"MD"))</f>
        <v>0</v>
      </c>
      <c r="AA251" s="79"/>
      <c r="AB251" s="79"/>
      <c r="AC251" s="50" t="str">
        <f t="shared" si="80"/>
        <v/>
      </c>
      <c r="AD251" s="68">
        <f t="shared" si="81"/>
        <v>0</v>
      </c>
      <c r="AE251" s="68">
        <f t="shared" si="82"/>
        <v>0</v>
      </c>
      <c r="AF251" s="68">
        <f t="shared" si="83"/>
        <v>0</v>
      </c>
      <c r="AG251" s="79"/>
      <c r="AH251" s="108"/>
      <c r="AI251" s="49" t="str">
        <f>IF(AH251="นิติศาสตร์","K5-LAW","K5-POLICY")</f>
        <v>K5-POLICY</v>
      </c>
      <c r="AJ251" s="72" t="str">
        <f>_xlfn.IFS(B251="","",AND(AI251="K5-LAW",AH251="นิติศาสตร์",L251="S2",U251="",AA251=""),Q251,AND(AI251="K5-LAW",AH251="นิติศาสตร์",L251="S1",U251="",AA251=""),EDATE(Q251,12),AND(AI251="K5-LAW",AH251="นิติศาสตร์",OR(L251="M2",L251="K4"),U251="",AA251=""),EDATE(Q251,12*2),AND(AI251="K5-LAW",AH251="นิติศาสตร์",OR(AA251="M2",AA251="K4"),AD251&gt;=2,OR(AC251&lt;W251,AC251&lt;Q251)),EDATE(AC251,12*2),AND(AI251="K5-LAW",AH251="นิติศาสตร์",AA251="S1",AD251&gt;=1,OR(AC251&lt;W251,AC251&lt;Q251)),EDATE(AC251,12),AND(AI251="K5-LAW",AH251="นิติศาสตร์",OR(U251="M2",U251="K4"),X251&gt;=2,W251&lt;Q251),EDATE(W251,12*2),AND(AI251="K5-LAW",AH251="นิติศาสตร์",U251="S1",X251&gt;=1,W251&lt;Q251),EDATE(W251,12),AND(AI251="K5-LAW",AH251="นิติศาสตร์",OR(U251="S2",U251="K5")),W251,AND(AI251="K5-LAW",AH251="นิติศาสตร์",OR(L251="M2",L251="K4"),R251&gt;=2),EDATE(Q251,12*2),AND(AI251="K5-LAW",AH251="นิติศาสตร์",L251="S1",R251&gt;=1),EDATE(Q251,12),AND(AI251="K5-LAW",AH251="นิติศาสตร์",OR(L251="S2",L251="K5")),Q251,AND(AI251="K5-POLICY",AH251&lt;&gt;"นิติศาสตร์",L251="S2",U251="",AA251=""),Q251,AND(AI251="K5-POLICY",AH251&lt;&gt;"นิติศาสตร์",L251="S1",U251="",AA251=""),EDATE(Q251,12),AND(AI251="K5-POLICY",AH251&lt;&gt;"นิติศาสตร์",OR(L251="M2",L251="K4"),U251="",AA251=""),EDATE(Q251,12*2),AND(AI251="K5-POLICY",AH251&lt;&gt;"นิติศาสตร์",OR(AA251="M2",AA251="K4"),AD251&gt;=2,OR(AC251&lt;W251,AC251&lt;Q251)),EDATE(AC251,12*2),AND(AI251="K5-POLICY",AH251&lt;&gt;"นิติศาสตร์",AA251="S1",AD251&gt;=1,OR(AC251&lt;W251,AC251&lt;Q251)),EDATE(AC251,12),AND(AI251="K5-POLICY",AH251&lt;&gt;"นิติศาสตร์",OR(U251="M2",U251="K4"),X251&gt;=2,W251&lt;Q251),EDATE(W251,12*2),AND(AI251="K5-POLICY",AH251&lt;&gt;"นิติศาสตร์",U251="S1",X251&gt;=1,W251&lt;Q251),EDATE(W251,12),AND(AI251="K5-POLICY",AH251&lt;&gt;"นิติศาสตร์",OR(U251="S2",U251="K5")),W251,AND(AI251="K5-POLICY",AH251&lt;&gt;"นิติศาสตร์",OR(L251="M2",L251="K4"),R251&gt;=2),EDATE(Q251,12*2),AND(AI251="K5-POLICY",AH251&lt;&gt;"นิติศาสตร์",L251="S1",R251&gt;=1),EDATE(Q251,12),AND(AI251="K5-POLICY",AH251&lt;&gt;"นิติศาสตร์",OR(L251="S2",L251="K5")),Q251,TRUE,"Check Data")</f>
        <v/>
      </c>
      <c r="AK251" s="75" t="str">
        <f t="shared" si="87"/>
        <v>Check Data</v>
      </c>
      <c r="AL251" s="76" t="str">
        <f t="shared" si="78"/>
        <v>Check Data</v>
      </c>
      <c r="AM251" s="50" t="str">
        <f t="shared" si="88"/>
        <v>Check Data</v>
      </c>
      <c r="AN251" s="49" t="str">
        <f>IF(B251="","",IF(L251="S1","S1",INDEX(#REF!,#REF!)))</f>
        <v/>
      </c>
      <c r="AO251" s="49" t="str">
        <f>L251</f>
        <v>M2</v>
      </c>
      <c r="AP251" s="50" t="b">
        <f>L251=AN251</f>
        <v>0</v>
      </c>
      <c r="AQ251" s="50"/>
    </row>
    <row r="252" spans="1:43" ht="21.75">
      <c r="A252" s="49">
        <v>250</v>
      </c>
      <c r="B252" s="50"/>
      <c r="C252" s="52"/>
      <c r="D252" s="50" t="s">
        <v>143</v>
      </c>
      <c r="E252" s="50" t="e">
        <f>INDEX(#REF!,#REF!)</f>
        <v>#REF!</v>
      </c>
      <c r="F252" s="79"/>
      <c r="G252" s="79"/>
      <c r="H252" s="50">
        <f t="shared" si="75"/>
        <v>0</v>
      </c>
      <c r="I252" s="50">
        <f t="shared" si="76"/>
        <v>0</v>
      </c>
      <c r="J252" s="50">
        <f t="shared" si="77"/>
        <v>0</v>
      </c>
      <c r="K252" s="79"/>
      <c r="L252" s="49" t="s">
        <v>136</v>
      </c>
      <c r="M252" s="79"/>
      <c r="N252" s="79"/>
      <c r="O252" s="79"/>
      <c r="P252" s="65" t="s">
        <v>464</v>
      </c>
      <c r="Q252" s="49" t="str">
        <f t="shared" si="86"/>
        <v>21/11/2024</v>
      </c>
      <c r="R252" s="68">
        <f>IF(Q252="",0,DATEDIF(Q252,$C$1,"Y"))</f>
        <v>0</v>
      </c>
      <c r="S252" s="68">
        <f>IF(Q252="",0,DATEDIF(Q252,$C$1,"YM"))</f>
        <v>6</v>
      </c>
      <c r="T252" s="68">
        <f>IF(Q252="",0,DATEDIF(Q252,$C$1,"MD"))</f>
        <v>30</v>
      </c>
      <c r="U252" s="65"/>
      <c r="V252" s="83"/>
      <c r="W252" s="49" t="str">
        <f t="shared" si="79"/>
        <v/>
      </c>
      <c r="X252" s="68">
        <f>IF(W252="",0,DATEDIF(W252,Q252,"Y"))</f>
        <v>0</v>
      </c>
      <c r="Y252" s="68">
        <f>IF(W252="",0,DATEDIF(W252,Q252,"YM"))</f>
        <v>0</v>
      </c>
      <c r="Z252" s="68">
        <f>IF(W252="",0,DATEDIF(W252,Q252,"MD"))</f>
        <v>0</v>
      </c>
      <c r="AA252" s="79"/>
      <c r="AB252" s="79"/>
      <c r="AC252" s="50" t="str">
        <f t="shared" si="80"/>
        <v/>
      </c>
      <c r="AD252" s="68">
        <f t="shared" si="81"/>
        <v>0</v>
      </c>
      <c r="AE252" s="68">
        <f t="shared" si="82"/>
        <v>0</v>
      </c>
      <c r="AF252" s="68">
        <f t="shared" si="83"/>
        <v>0</v>
      </c>
      <c r="AG252" s="79"/>
      <c r="AH252" s="108"/>
      <c r="AI252" s="49" t="str">
        <f>IF(AH252="นิติศาสตร์","K5-LAW","K5-POLICY")</f>
        <v>K5-POLICY</v>
      </c>
      <c r="AJ252" s="72" t="str">
        <f>_xlfn.IFS(B252="","",AND(AI252="K5-LAW",AH252="นิติศาสตร์",L252="S2",U252="",AA252=""),Q252,AND(AI252="K5-LAW",AH252="นิติศาสตร์",L252="S1",U252="",AA252=""),EDATE(Q252,12),AND(AI252="K5-LAW",AH252="นิติศาสตร์",OR(L252="M2",L252="K4"),U252="",AA252=""),EDATE(Q252,12*2),AND(AI252="K5-LAW",AH252="นิติศาสตร์",OR(AA252="M2",AA252="K4"),AD252&gt;=2,OR(AC252&lt;W252,AC252&lt;Q252)),EDATE(AC252,12*2),AND(AI252="K5-LAW",AH252="นิติศาสตร์",AA252="S1",AD252&gt;=1,OR(AC252&lt;W252,AC252&lt;Q252)),EDATE(AC252,12),AND(AI252="K5-LAW",AH252="นิติศาสตร์",OR(U252="M2",U252="K4"),X252&gt;=2,W252&lt;Q252),EDATE(W252,12*2),AND(AI252="K5-LAW",AH252="นิติศาสตร์",U252="S1",X252&gt;=1,W252&lt;Q252),EDATE(W252,12),AND(AI252="K5-LAW",AH252="นิติศาสตร์",OR(U252="S2",U252="K5")),W252,AND(AI252="K5-LAW",AH252="นิติศาสตร์",OR(L252="M2",L252="K4"),R252&gt;=2),EDATE(Q252,12*2),AND(AI252="K5-LAW",AH252="นิติศาสตร์",L252="S1",R252&gt;=1),EDATE(Q252,12),AND(AI252="K5-LAW",AH252="นิติศาสตร์",OR(L252="S2",L252="K5")),Q252,AND(AI252="K5-POLICY",AH252&lt;&gt;"นิติศาสตร์",L252="S2",U252="",AA252=""),Q252,AND(AI252="K5-POLICY",AH252&lt;&gt;"นิติศาสตร์",L252="S1",U252="",AA252=""),EDATE(Q252,12),AND(AI252="K5-POLICY",AH252&lt;&gt;"นิติศาสตร์",OR(L252="M2",L252="K4"),U252="",AA252=""),EDATE(Q252,12*2),AND(AI252="K5-POLICY",AH252&lt;&gt;"นิติศาสตร์",OR(AA252="M2",AA252="K4"),AD252&gt;=2,OR(AC252&lt;W252,AC252&lt;Q252)),EDATE(AC252,12*2),AND(AI252="K5-POLICY",AH252&lt;&gt;"นิติศาสตร์",AA252="S1",AD252&gt;=1,OR(AC252&lt;W252,AC252&lt;Q252)),EDATE(AC252,12),AND(AI252="K5-POLICY",AH252&lt;&gt;"นิติศาสตร์",OR(U252="M2",U252="K4"),X252&gt;=2,W252&lt;Q252),EDATE(W252,12*2),AND(AI252="K5-POLICY",AH252&lt;&gt;"นิติศาสตร์",U252="S1",X252&gt;=1,W252&lt;Q252),EDATE(W252,12),AND(AI252="K5-POLICY",AH252&lt;&gt;"นิติศาสตร์",OR(U252="S2",U252="K5")),W252,AND(AI252="K5-POLICY",AH252&lt;&gt;"นิติศาสตร์",OR(L252="M2",L252="K4"),R252&gt;=2),EDATE(Q252,12*2),AND(AI252="K5-POLICY",AH252&lt;&gt;"นิติศาสตร์",L252="S1",R252&gt;=1),EDATE(Q252,12),AND(AI252="K5-POLICY",AH252&lt;&gt;"นิติศาสตร์",OR(L252="S2",L252="K5")),Q252,TRUE,"Check Data")</f>
        <v/>
      </c>
      <c r="AK252" s="75" t="str">
        <f t="shared" si="87"/>
        <v>Check Data</v>
      </c>
      <c r="AL252" s="76" t="str">
        <f t="shared" si="78"/>
        <v>Check Data</v>
      </c>
      <c r="AM252" s="50" t="str">
        <f t="shared" si="88"/>
        <v>Check Data</v>
      </c>
      <c r="AN252" s="49" t="str">
        <f>IF(B252="","",IF(L252="S1","S1",INDEX(#REF!,#REF!)))</f>
        <v/>
      </c>
      <c r="AO252" s="49" t="str">
        <f>L252</f>
        <v>M2</v>
      </c>
      <c r="AP252" s="50" t="b">
        <f>L252=AN252</f>
        <v>0</v>
      </c>
      <c r="AQ252" s="50"/>
    </row>
    <row r="253" spans="1:43" ht="21.75">
      <c r="A253" s="49">
        <v>251</v>
      </c>
      <c r="B253" s="50"/>
      <c r="C253" s="52"/>
      <c r="D253" s="50" t="s">
        <v>143</v>
      </c>
      <c r="E253" s="50" t="e">
        <f>INDEX(#REF!,#REF!)</f>
        <v>#REF!</v>
      </c>
      <c r="F253" s="79"/>
      <c r="G253" s="79"/>
      <c r="H253" s="50">
        <f t="shared" si="75"/>
        <v>0</v>
      </c>
      <c r="I253" s="50">
        <f t="shared" si="76"/>
        <v>0</v>
      </c>
      <c r="J253" s="50">
        <f t="shared" si="77"/>
        <v>0</v>
      </c>
      <c r="K253" s="79"/>
      <c r="L253" s="49" t="s">
        <v>136</v>
      </c>
      <c r="M253" s="79"/>
      <c r="N253" s="79"/>
      <c r="O253" s="79"/>
      <c r="P253" s="65" t="s">
        <v>464</v>
      </c>
      <c r="Q253" s="49" t="str">
        <f t="shared" si="86"/>
        <v>21/11/2024</v>
      </c>
      <c r="R253" s="68">
        <f>IF(Q253="",0,DATEDIF(Q253,$C$1,"Y"))</f>
        <v>0</v>
      </c>
      <c r="S253" s="68">
        <f>IF(Q253="",0,DATEDIF(Q253,$C$1,"YM"))</f>
        <v>6</v>
      </c>
      <c r="T253" s="68">
        <f>IF(Q253="",0,DATEDIF(Q253,$C$1,"MD"))</f>
        <v>30</v>
      </c>
      <c r="U253" s="65"/>
      <c r="V253" s="83"/>
      <c r="W253" s="49" t="str">
        <f t="shared" si="79"/>
        <v/>
      </c>
      <c r="X253" s="68">
        <f>IF(W253="",0,DATEDIF(W253,Q253,"Y"))</f>
        <v>0</v>
      </c>
      <c r="Y253" s="68">
        <f>IF(W253="",0,DATEDIF(W253,Q253,"YM"))</f>
        <v>0</v>
      </c>
      <c r="Z253" s="68">
        <f>IF(W253="",0,DATEDIF(W253,Q253,"MD"))</f>
        <v>0</v>
      </c>
      <c r="AA253" s="79"/>
      <c r="AB253" s="79"/>
      <c r="AC253" s="50" t="str">
        <f t="shared" si="80"/>
        <v/>
      </c>
      <c r="AD253" s="68">
        <f t="shared" si="81"/>
        <v>0</v>
      </c>
      <c r="AE253" s="68">
        <f t="shared" si="82"/>
        <v>0</v>
      </c>
      <c r="AF253" s="68">
        <f t="shared" si="83"/>
        <v>0</v>
      </c>
      <c r="AG253" s="79"/>
      <c r="AH253" s="108"/>
      <c r="AI253" s="49" t="str">
        <f>IF(AH253="นิติศาสตร์","K5-LAW","K5-POLICY")</f>
        <v>K5-POLICY</v>
      </c>
      <c r="AJ253" s="72" t="str">
        <f>_xlfn.IFS(B253="","",AND(AI253="K5-LAW",AH253="นิติศาสตร์",L253="S2",U253="",AA253=""),Q253,AND(AI253="K5-LAW",AH253="นิติศาสตร์",L253="S1",U253="",AA253=""),EDATE(Q253,12),AND(AI253="K5-LAW",AH253="นิติศาสตร์",OR(L253="M2",L253="K4"),U253="",AA253=""),EDATE(Q253,12*2),AND(AI253="K5-LAW",AH253="นิติศาสตร์",OR(AA253="M2",AA253="K4"),AD253&gt;=2,OR(AC253&lt;W253,AC253&lt;Q253)),EDATE(AC253,12*2),AND(AI253="K5-LAW",AH253="นิติศาสตร์",AA253="S1",AD253&gt;=1,OR(AC253&lt;W253,AC253&lt;Q253)),EDATE(AC253,12),AND(AI253="K5-LAW",AH253="นิติศาสตร์",OR(U253="M2",U253="K4"),X253&gt;=2,W253&lt;Q253),EDATE(W253,12*2),AND(AI253="K5-LAW",AH253="นิติศาสตร์",U253="S1",X253&gt;=1,W253&lt;Q253),EDATE(W253,12),AND(AI253="K5-LAW",AH253="นิติศาสตร์",OR(U253="S2",U253="K5")),W253,AND(AI253="K5-LAW",AH253="นิติศาสตร์",OR(L253="M2",L253="K4"),R253&gt;=2),EDATE(Q253,12*2),AND(AI253="K5-LAW",AH253="นิติศาสตร์",L253="S1",R253&gt;=1),EDATE(Q253,12),AND(AI253="K5-LAW",AH253="นิติศาสตร์",OR(L253="S2",L253="K5")),Q253,AND(AI253="K5-POLICY",AH253&lt;&gt;"นิติศาสตร์",L253="S2",U253="",AA253=""),Q253,AND(AI253="K5-POLICY",AH253&lt;&gt;"นิติศาสตร์",L253="S1",U253="",AA253=""),EDATE(Q253,12),AND(AI253="K5-POLICY",AH253&lt;&gt;"นิติศาสตร์",OR(L253="M2",L253="K4"),U253="",AA253=""),EDATE(Q253,12*2),AND(AI253="K5-POLICY",AH253&lt;&gt;"นิติศาสตร์",OR(AA253="M2",AA253="K4"),AD253&gt;=2,OR(AC253&lt;W253,AC253&lt;Q253)),EDATE(AC253,12*2),AND(AI253="K5-POLICY",AH253&lt;&gt;"นิติศาสตร์",AA253="S1",AD253&gt;=1,OR(AC253&lt;W253,AC253&lt;Q253)),EDATE(AC253,12),AND(AI253="K5-POLICY",AH253&lt;&gt;"นิติศาสตร์",OR(U253="M2",U253="K4"),X253&gt;=2,W253&lt;Q253),EDATE(W253,12*2),AND(AI253="K5-POLICY",AH253&lt;&gt;"นิติศาสตร์",U253="S1",X253&gt;=1,W253&lt;Q253),EDATE(W253,12),AND(AI253="K5-POLICY",AH253&lt;&gt;"นิติศาสตร์",OR(U253="S2",U253="K5")),W253,AND(AI253="K5-POLICY",AH253&lt;&gt;"นิติศาสตร์",OR(L253="M2",L253="K4"),R253&gt;=2),EDATE(Q253,12*2),AND(AI253="K5-POLICY",AH253&lt;&gt;"นิติศาสตร์",L253="S1",R253&gt;=1),EDATE(Q253,12),AND(AI253="K5-POLICY",AH253&lt;&gt;"นิติศาสตร์",OR(L253="S2",L253="K5")),Q253,TRUE,"Check Data")</f>
        <v/>
      </c>
      <c r="AK253" s="75" t="str">
        <f t="shared" si="87"/>
        <v>Check Data</v>
      </c>
      <c r="AL253" s="76" t="str">
        <f t="shared" si="78"/>
        <v>Check Data</v>
      </c>
      <c r="AM253" s="50" t="str">
        <f t="shared" si="88"/>
        <v>Check Data</v>
      </c>
      <c r="AN253" s="49" t="str">
        <f>IF(B253="","",IF(L253="S1","S1",INDEX(#REF!,#REF!)))</f>
        <v/>
      </c>
      <c r="AO253" s="49" t="str">
        <f>L253</f>
        <v>M2</v>
      </c>
      <c r="AP253" s="50" t="b">
        <f>L253=AN253</f>
        <v>0</v>
      </c>
      <c r="AQ253" s="50"/>
    </row>
    <row r="254" spans="1:43" ht="21.75">
      <c r="A254" s="49">
        <v>252</v>
      </c>
      <c r="B254" s="50"/>
      <c r="C254" s="52"/>
      <c r="D254" s="50" t="s">
        <v>141</v>
      </c>
      <c r="E254" s="50" t="e">
        <f>INDEX(#REF!,#REF!)</f>
        <v>#REF!</v>
      </c>
      <c r="F254" s="49"/>
      <c r="G254" s="49"/>
      <c r="H254" s="50">
        <f t="shared" si="75"/>
        <v>0</v>
      </c>
      <c r="I254" s="50">
        <f t="shared" si="76"/>
        <v>0</v>
      </c>
      <c r="J254" s="50">
        <f t="shared" si="77"/>
        <v>0</v>
      </c>
      <c r="K254" s="50"/>
      <c r="L254" s="49" t="s">
        <v>136</v>
      </c>
      <c r="M254" s="64"/>
      <c r="N254" s="49"/>
      <c r="O254" s="49"/>
      <c r="P254" s="65" t="s">
        <v>442</v>
      </c>
      <c r="Q254" s="49" t="str">
        <f t="shared" si="86"/>
        <v>26/11/2024</v>
      </c>
      <c r="R254" s="68">
        <f>IF(Q254="",0,DATEDIF(Q254,$C$1,"Y"))</f>
        <v>0</v>
      </c>
      <c r="S254" s="68">
        <f>IF(Q254="",0,DATEDIF(Q254,$C$1,"YM"))</f>
        <v>6</v>
      </c>
      <c r="T254" s="68">
        <f>IF(Q254="",0,DATEDIF(Q254,$C$1,"MD"))</f>
        <v>25</v>
      </c>
      <c r="U254" s="65"/>
      <c r="V254" s="65"/>
      <c r="W254" s="49" t="str">
        <f t="shared" si="79"/>
        <v/>
      </c>
      <c r="X254" s="68">
        <f>IF(W254="",0,DATEDIF(W254,Q254,"Y"))</f>
        <v>0</v>
      </c>
      <c r="Y254" s="68">
        <f>IF(W254="",0,DATEDIF(W254,Q254,"YM"))</f>
        <v>0</v>
      </c>
      <c r="Z254" s="68">
        <f>IF(W254="",0,DATEDIF(W254,Q254,"MD"))</f>
        <v>0</v>
      </c>
      <c r="AA254" s="49"/>
      <c r="AB254" s="65"/>
      <c r="AC254" s="50" t="str">
        <f t="shared" si="80"/>
        <v/>
      </c>
      <c r="AD254" s="68">
        <f t="shared" si="81"/>
        <v>0</v>
      </c>
      <c r="AE254" s="68">
        <f t="shared" si="82"/>
        <v>0</v>
      </c>
      <c r="AF254" s="68">
        <f t="shared" si="83"/>
        <v>0</v>
      </c>
      <c r="AG254" s="50"/>
      <c r="AH254" s="108"/>
      <c r="AI254" s="49" t="str">
        <f>IF(AH254="นิติศาสตร์","K5-LAW","K5-POLICY")</f>
        <v>K5-POLICY</v>
      </c>
      <c r="AJ254" s="72" t="str">
        <f>_xlfn.IFS(B254="","",AND(AI254="K5-LAW",AH254="นิติศาสตร์",L254="S2",U254="",AA254=""),Q254,AND(AI254="K5-LAW",AH254="นิติศาสตร์",L254="S1",U254="",AA254=""),EDATE(Q254,12),AND(AI254="K5-LAW",AH254="นิติศาสตร์",OR(L254="M2",L254="K4"),U254="",AA254=""),EDATE(Q254,12*2),AND(AI254="K5-LAW",AH254="นิติศาสตร์",OR(AA254="M2",AA254="K4"),AD254&gt;=2,OR(AC254&lt;W254,AC254&lt;Q254)),EDATE(AC254,12*2),AND(AI254="K5-LAW",AH254="นิติศาสตร์",AA254="S1",AD254&gt;=1,OR(AC254&lt;W254,AC254&lt;Q254)),EDATE(AC254,12),AND(AI254="K5-LAW",AH254="นิติศาสตร์",OR(U254="M2",U254="K4"),X254&gt;=2,W254&lt;Q254),EDATE(W254,12*2),AND(AI254="K5-LAW",AH254="นิติศาสตร์",U254="S1",X254&gt;=1,W254&lt;Q254),EDATE(W254,12),AND(AI254="K5-LAW",AH254="นิติศาสตร์",OR(U254="S2",U254="K5")),W254,AND(AI254="K5-LAW",AH254="นิติศาสตร์",OR(L254="M2",L254="K4"),R254&gt;=2),EDATE(Q254,12*2),AND(AI254="K5-LAW",AH254="นิติศาสตร์",L254="S1",R254&gt;=1),EDATE(Q254,12),AND(AI254="K5-LAW",AH254="นิติศาสตร์",OR(L254="S2",L254="K5")),Q254,AND(AI254="K5-POLICY",AH254&lt;&gt;"นิติศาสตร์",L254="S2",U254="",AA254=""),Q254,AND(AI254="K5-POLICY",AH254&lt;&gt;"นิติศาสตร์",L254="S1",U254="",AA254=""),EDATE(Q254,12),AND(AI254="K5-POLICY",AH254&lt;&gt;"นิติศาสตร์",OR(L254="M2",L254="K4"),U254="",AA254=""),EDATE(Q254,12*2),AND(AI254="K5-POLICY",AH254&lt;&gt;"นิติศาสตร์",OR(AA254="M2",AA254="K4"),AD254&gt;=2,OR(AC254&lt;W254,AC254&lt;Q254)),EDATE(AC254,12*2),AND(AI254="K5-POLICY",AH254&lt;&gt;"นิติศาสตร์",AA254="S1",AD254&gt;=1,OR(AC254&lt;W254,AC254&lt;Q254)),EDATE(AC254,12),AND(AI254="K5-POLICY",AH254&lt;&gt;"นิติศาสตร์",OR(U254="M2",U254="K4"),X254&gt;=2,W254&lt;Q254),EDATE(W254,12*2),AND(AI254="K5-POLICY",AH254&lt;&gt;"นิติศาสตร์",U254="S1",X254&gt;=1,W254&lt;Q254),EDATE(W254,12),AND(AI254="K5-POLICY",AH254&lt;&gt;"นิติศาสตร์",OR(U254="S2",U254="K5")),W254,AND(AI254="K5-POLICY",AH254&lt;&gt;"นิติศาสตร์",OR(L254="M2",L254="K4"),R254&gt;=2),EDATE(Q254,12*2),AND(AI254="K5-POLICY",AH254&lt;&gt;"นิติศาสตร์",L254="S1",R254&gt;=1),EDATE(Q254,12),AND(AI254="K5-POLICY",AH254&lt;&gt;"นิติศาสตร์",OR(L254="S2",L254="K5")),Q254,TRUE,"Check Data")</f>
        <v/>
      </c>
      <c r="AK254" s="75" t="str">
        <f t="shared" si="87"/>
        <v>Check Data</v>
      </c>
      <c r="AL254" s="76" t="str">
        <f t="shared" si="78"/>
        <v>Check Data</v>
      </c>
      <c r="AM254" s="50" t="str">
        <f t="shared" si="88"/>
        <v>Check Data</v>
      </c>
      <c r="AN254" s="49" t="str">
        <f>IF(B254="","",IF(L254="S1","S1",INDEX(#REF!,#REF!)))</f>
        <v/>
      </c>
      <c r="AO254" s="49" t="str">
        <f>L254</f>
        <v>M2</v>
      </c>
      <c r="AP254" s="50" t="b">
        <f>L254=AN254</f>
        <v>0</v>
      </c>
      <c r="AQ254" s="50"/>
    </row>
    <row r="255" spans="1:43" ht="21.75">
      <c r="A255" s="49">
        <v>253</v>
      </c>
      <c r="B255" s="50"/>
      <c r="C255" s="52"/>
      <c r="D255" s="50" t="s">
        <v>141</v>
      </c>
      <c r="E255" s="50" t="e">
        <f>INDEX(#REF!,#REF!)</f>
        <v>#REF!</v>
      </c>
      <c r="F255" s="49"/>
      <c r="G255" s="49"/>
      <c r="H255" s="50">
        <f t="shared" si="75"/>
        <v>0</v>
      </c>
      <c r="I255" s="50">
        <f t="shared" si="76"/>
        <v>0</v>
      </c>
      <c r="J255" s="50">
        <f t="shared" si="77"/>
        <v>0</v>
      </c>
      <c r="K255" s="50"/>
      <c r="L255" s="49" t="s">
        <v>136</v>
      </c>
      <c r="M255" s="64"/>
      <c r="N255" s="49"/>
      <c r="O255" s="49"/>
      <c r="P255" s="65" t="s">
        <v>442</v>
      </c>
      <c r="Q255" s="49" t="str">
        <f t="shared" si="86"/>
        <v>26/11/2024</v>
      </c>
      <c r="R255" s="68">
        <f>IF(Q255="",0,DATEDIF(Q255,$C$1,"Y"))</f>
        <v>0</v>
      </c>
      <c r="S255" s="68">
        <f>IF(Q255="",0,DATEDIF(Q255,$C$1,"YM"))</f>
        <v>6</v>
      </c>
      <c r="T255" s="68">
        <f>IF(Q255="",0,DATEDIF(Q255,$C$1,"MD"))</f>
        <v>25</v>
      </c>
      <c r="U255" s="65"/>
      <c r="V255" s="65"/>
      <c r="W255" s="49" t="str">
        <f t="shared" si="79"/>
        <v/>
      </c>
      <c r="X255" s="68">
        <f>IF(W255="",0,DATEDIF(W255,Q255,"Y"))</f>
        <v>0</v>
      </c>
      <c r="Y255" s="68">
        <f>IF(W255="",0,DATEDIF(W255,Q255,"YM"))</f>
        <v>0</v>
      </c>
      <c r="Z255" s="68">
        <f>IF(W255="",0,DATEDIF(W255,Q255,"MD"))</f>
        <v>0</v>
      </c>
      <c r="AA255" s="49"/>
      <c r="AB255" s="65"/>
      <c r="AC255" s="50" t="str">
        <f t="shared" si="80"/>
        <v/>
      </c>
      <c r="AD255" s="68">
        <f t="shared" si="81"/>
        <v>0</v>
      </c>
      <c r="AE255" s="68">
        <f t="shared" si="82"/>
        <v>0</v>
      </c>
      <c r="AF255" s="68">
        <f t="shared" si="83"/>
        <v>0</v>
      </c>
      <c r="AG255" s="50"/>
      <c r="AH255" s="108"/>
      <c r="AI255" s="49" t="str">
        <f>IF(AH255="นิติศาสตร์","K5-LAW","K5-POLICY")</f>
        <v>K5-POLICY</v>
      </c>
      <c r="AJ255" s="72" t="str">
        <f>_xlfn.IFS(B255="","",AND(AI255="K5-LAW",AH255="นิติศาสตร์",L255="S2",U255="",AA255=""),Q255,AND(AI255="K5-LAW",AH255="นิติศาสตร์",L255="S1",U255="",AA255=""),EDATE(Q255,12),AND(AI255="K5-LAW",AH255="นิติศาสตร์",OR(L255="M2",L255="K4"),U255="",AA255=""),EDATE(Q255,12*2),AND(AI255="K5-LAW",AH255="นิติศาสตร์",OR(AA255="M2",AA255="K4"),AD255&gt;=2,OR(AC255&lt;W255,AC255&lt;Q255)),EDATE(AC255,12*2),AND(AI255="K5-LAW",AH255="นิติศาสตร์",AA255="S1",AD255&gt;=1,OR(AC255&lt;W255,AC255&lt;Q255)),EDATE(AC255,12),AND(AI255="K5-LAW",AH255="นิติศาสตร์",OR(U255="M2",U255="K4"),X255&gt;=2,W255&lt;Q255),EDATE(W255,12*2),AND(AI255="K5-LAW",AH255="นิติศาสตร์",U255="S1",X255&gt;=1,W255&lt;Q255),EDATE(W255,12),AND(AI255="K5-LAW",AH255="นิติศาสตร์",OR(U255="S2",U255="K5")),W255,AND(AI255="K5-LAW",AH255="นิติศาสตร์",OR(L255="M2",L255="K4"),R255&gt;=2),EDATE(Q255,12*2),AND(AI255="K5-LAW",AH255="นิติศาสตร์",L255="S1",R255&gt;=1),EDATE(Q255,12),AND(AI255="K5-LAW",AH255="นิติศาสตร์",OR(L255="S2",L255="K5")),Q255,AND(AI255="K5-POLICY",AH255&lt;&gt;"นิติศาสตร์",L255="S2",U255="",AA255=""),Q255,AND(AI255="K5-POLICY",AH255&lt;&gt;"นิติศาสตร์",L255="S1",U255="",AA255=""),EDATE(Q255,12),AND(AI255="K5-POLICY",AH255&lt;&gt;"นิติศาสตร์",OR(L255="M2",L255="K4"),U255="",AA255=""),EDATE(Q255,12*2),AND(AI255="K5-POLICY",AH255&lt;&gt;"นิติศาสตร์",OR(AA255="M2",AA255="K4"),AD255&gt;=2,OR(AC255&lt;W255,AC255&lt;Q255)),EDATE(AC255,12*2),AND(AI255="K5-POLICY",AH255&lt;&gt;"นิติศาสตร์",AA255="S1",AD255&gt;=1,OR(AC255&lt;W255,AC255&lt;Q255)),EDATE(AC255,12),AND(AI255="K5-POLICY",AH255&lt;&gt;"นิติศาสตร์",OR(U255="M2",U255="K4"),X255&gt;=2,W255&lt;Q255),EDATE(W255,12*2),AND(AI255="K5-POLICY",AH255&lt;&gt;"นิติศาสตร์",U255="S1",X255&gt;=1,W255&lt;Q255),EDATE(W255,12),AND(AI255="K5-POLICY",AH255&lt;&gt;"นิติศาสตร์",OR(U255="S2",U255="K5")),W255,AND(AI255="K5-POLICY",AH255&lt;&gt;"นิติศาสตร์",OR(L255="M2",L255="K4"),R255&gt;=2),EDATE(Q255,12*2),AND(AI255="K5-POLICY",AH255&lt;&gt;"นิติศาสตร์",L255="S1",R255&gt;=1),EDATE(Q255,12),AND(AI255="K5-POLICY",AH255&lt;&gt;"นิติศาสตร์",OR(L255="S2",L255="K5")),Q255,TRUE,"Check Data")</f>
        <v/>
      </c>
      <c r="AK255" s="75" t="str">
        <f t="shared" si="87"/>
        <v>Check Data</v>
      </c>
      <c r="AL255" s="76" t="str">
        <f t="shared" si="78"/>
        <v>Check Data</v>
      </c>
      <c r="AM255" s="50" t="str">
        <f t="shared" si="88"/>
        <v>Check Data</v>
      </c>
      <c r="AN255" s="49" t="str">
        <f>IF(B255="","",IF(L255="S1","S1",INDEX(#REF!,#REF!)))</f>
        <v/>
      </c>
      <c r="AO255" s="49" t="str">
        <f>L255</f>
        <v>M2</v>
      </c>
      <c r="AP255" s="50" t="b">
        <f>L255=AN255</f>
        <v>0</v>
      </c>
      <c r="AQ255" s="50"/>
    </row>
    <row r="256" spans="1:43" ht="21.75">
      <c r="A256" s="49">
        <v>254</v>
      </c>
      <c r="B256" s="50"/>
      <c r="C256" s="52"/>
      <c r="D256" s="50" t="s">
        <v>141</v>
      </c>
      <c r="E256" s="50" t="e">
        <f>INDEX(#REF!,#REF!)</f>
        <v>#REF!</v>
      </c>
      <c r="F256" s="49"/>
      <c r="G256" s="49"/>
      <c r="H256" s="50">
        <f t="shared" si="75"/>
        <v>0</v>
      </c>
      <c r="I256" s="50">
        <f t="shared" si="76"/>
        <v>0</v>
      </c>
      <c r="J256" s="50">
        <f t="shared" si="77"/>
        <v>0</v>
      </c>
      <c r="K256" s="50"/>
      <c r="L256" s="49" t="s">
        <v>136</v>
      </c>
      <c r="M256" s="64"/>
      <c r="N256" s="49"/>
      <c r="O256" s="49"/>
      <c r="P256" s="65" t="s">
        <v>442</v>
      </c>
      <c r="Q256" s="49" t="str">
        <f t="shared" si="86"/>
        <v>26/11/2024</v>
      </c>
      <c r="R256" s="68">
        <f>IF(Q256="",0,DATEDIF(Q256,$C$1,"Y"))</f>
        <v>0</v>
      </c>
      <c r="S256" s="68">
        <f>IF(Q256="",0,DATEDIF(Q256,$C$1,"YM"))</f>
        <v>6</v>
      </c>
      <c r="T256" s="68">
        <f>IF(Q256="",0,DATEDIF(Q256,$C$1,"MD"))</f>
        <v>25</v>
      </c>
      <c r="U256" s="65"/>
      <c r="V256" s="65"/>
      <c r="W256" s="49" t="str">
        <f t="shared" si="79"/>
        <v/>
      </c>
      <c r="X256" s="68">
        <f>IF(W256="",0,DATEDIF(W256,Q256,"Y"))</f>
        <v>0</v>
      </c>
      <c r="Y256" s="68">
        <f>IF(W256="",0,DATEDIF(W256,Q256,"YM"))</f>
        <v>0</v>
      </c>
      <c r="Z256" s="68">
        <f>IF(W256="",0,DATEDIF(W256,Q256,"MD"))</f>
        <v>0</v>
      </c>
      <c r="AA256" s="49"/>
      <c r="AB256" s="65"/>
      <c r="AC256" s="50" t="str">
        <f t="shared" si="80"/>
        <v/>
      </c>
      <c r="AD256" s="68">
        <f t="shared" si="81"/>
        <v>0</v>
      </c>
      <c r="AE256" s="68">
        <f t="shared" si="82"/>
        <v>0</v>
      </c>
      <c r="AF256" s="68">
        <f t="shared" si="83"/>
        <v>0</v>
      </c>
      <c r="AG256" s="50"/>
      <c r="AH256" s="108"/>
      <c r="AI256" s="49" t="str">
        <f>IF(AH256="นิติศาสตร์","K5-LAW","K5-POLICY")</f>
        <v>K5-POLICY</v>
      </c>
      <c r="AJ256" s="72" t="str">
        <f>_xlfn.IFS(B256="","",AND(AI256="K5-LAW",AH256="นิติศาสตร์",L256="S2",U256="",AA256=""),Q256,AND(AI256="K5-LAW",AH256="นิติศาสตร์",L256="S1",U256="",AA256=""),EDATE(Q256,12),AND(AI256="K5-LAW",AH256="นิติศาสตร์",OR(L256="M2",L256="K4"),U256="",AA256=""),EDATE(Q256,12*2),AND(AI256="K5-LAW",AH256="นิติศาสตร์",OR(AA256="M2",AA256="K4"),AD256&gt;=2,OR(AC256&lt;W256,AC256&lt;Q256)),EDATE(AC256,12*2),AND(AI256="K5-LAW",AH256="นิติศาสตร์",AA256="S1",AD256&gt;=1,OR(AC256&lt;W256,AC256&lt;Q256)),EDATE(AC256,12),AND(AI256="K5-LAW",AH256="นิติศาสตร์",OR(U256="M2",U256="K4"),X256&gt;=2,W256&lt;Q256),EDATE(W256,12*2),AND(AI256="K5-LAW",AH256="นิติศาสตร์",U256="S1",X256&gt;=1,W256&lt;Q256),EDATE(W256,12),AND(AI256="K5-LAW",AH256="นิติศาสตร์",OR(U256="S2",U256="K5")),W256,AND(AI256="K5-LAW",AH256="นิติศาสตร์",OR(L256="M2",L256="K4"),R256&gt;=2),EDATE(Q256,12*2),AND(AI256="K5-LAW",AH256="นิติศาสตร์",L256="S1",R256&gt;=1),EDATE(Q256,12),AND(AI256="K5-LAW",AH256="นิติศาสตร์",OR(L256="S2",L256="K5")),Q256,AND(AI256="K5-POLICY",AH256&lt;&gt;"นิติศาสตร์",L256="S2",U256="",AA256=""),Q256,AND(AI256="K5-POLICY",AH256&lt;&gt;"นิติศาสตร์",L256="S1",U256="",AA256=""),EDATE(Q256,12),AND(AI256="K5-POLICY",AH256&lt;&gt;"นิติศาสตร์",OR(L256="M2",L256="K4"),U256="",AA256=""),EDATE(Q256,12*2),AND(AI256="K5-POLICY",AH256&lt;&gt;"นิติศาสตร์",OR(AA256="M2",AA256="K4"),AD256&gt;=2,OR(AC256&lt;W256,AC256&lt;Q256)),EDATE(AC256,12*2),AND(AI256="K5-POLICY",AH256&lt;&gt;"นิติศาสตร์",AA256="S1",AD256&gt;=1,OR(AC256&lt;W256,AC256&lt;Q256)),EDATE(AC256,12),AND(AI256="K5-POLICY",AH256&lt;&gt;"นิติศาสตร์",OR(U256="M2",U256="K4"),X256&gt;=2,W256&lt;Q256),EDATE(W256,12*2),AND(AI256="K5-POLICY",AH256&lt;&gt;"นิติศาสตร์",U256="S1",X256&gt;=1,W256&lt;Q256),EDATE(W256,12),AND(AI256="K5-POLICY",AH256&lt;&gt;"นิติศาสตร์",OR(U256="S2",U256="K5")),W256,AND(AI256="K5-POLICY",AH256&lt;&gt;"นิติศาสตร์",OR(L256="M2",L256="K4"),R256&gt;=2),EDATE(Q256,12*2),AND(AI256="K5-POLICY",AH256&lt;&gt;"นิติศาสตร์",L256="S1",R256&gt;=1),EDATE(Q256,12),AND(AI256="K5-POLICY",AH256&lt;&gt;"นิติศาสตร์",OR(L256="S2",L256="K5")),Q256,TRUE,"Check Data")</f>
        <v/>
      </c>
      <c r="AK256" s="75" t="str">
        <f t="shared" si="87"/>
        <v>Check Data</v>
      </c>
      <c r="AL256" s="76" t="str">
        <f t="shared" si="78"/>
        <v>Check Data</v>
      </c>
      <c r="AM256" s="50" t="str">
        <f t="shared" si="88"/>
        <v>Check Data</v>
      </c>
      <c r="AN256" s="49" t="str">
        <f>IF(B256="","",IF(L256="S1","S1",INDEX(#REF!,#REF!)))</f>
        <v/>
      </c>
      <c r="AO256" s="49" t="str">
        <f>L256</f>
        <v>M2</v>
      </c>
      <c r="AP256" s="50" t="b">
        <f>L256=AN256</f>
        <v>0</v>
      </c>
      <c r="AQ256" s="50"/>
    </row>
    <row r="257" spans="1:43" ht="21.75">
      <c r="A257" s="49">
        <v>255</v>
      </c>
      <c r="B257" s="50"/>
      <c r="C257" s="52"/>
      <c r="D257" s="50" t="s">
        <v>141</v>
      </c>
      <c r="E257" s="50" t="e">
        <f>INDEX(#REF!,#REF!)</f>
        <v>#REF!</v>
      </c>
      <c r="F257" s="49"/>
      <c r="G257" s="49"/>
      <c r="H257" s="50">
        <f t="shared" si="75"/>
        <v>0</v>
      </c>
      <c r="I257" s="50">
        <f t="shared" si="76"/>
        <v>0</v>
      </c>
      <c r="J257" s="50">
        <f t="shared" si="77"/>
        <v>0</v>
      </c>
      <c r="K257" s="50"/>
      <c r="L257" s="49" t="s">
        <v>136</v>
      </c>
      <c r="M257" s="64"/>
      <c r="N257" s="49"/>
      <c r="O257" s="49"/>
      <c r="P257" s="65" t="s">
        <v>442</v>
      </c>
      <c r="Q257" s="49" t="str">
        <f t="shared" si="86"/>
        <v>26/11/2024</v>
      </c>
      <c r="R257" s="68">
        <f>IF(Q257="",0,DATEDIF(Q257,$C$1,"Y"))</f>
        <v>0</v>
      </c>
      <c r="S257" s="68">
        <f>IF(Q257="",0,DATEDIF(Q257,$C$1,"YM"))</f>
        <v>6</v>
      </c>
      <c r="T257" s="68">
        <f>IF(Q257="",0,DATEDIF(Q257,$C$1,"MD"))</f>
        <v>25</v>
      </c>
      <c r="U257" s="65"/>
      <c r="V257" s="65"/>
      <c r="W257" s="49" t="str">
        <f t="shared" si="79"/>
        <v/>
      </c>
      <c r="X257" s="68">
        <f>IF(W257="",0,DATEDIF(W257,Q257,"Y"))</f>
        <v>0</v>
      </c>
      <c r="Y257" s="68">
        <f>IF(W257="",0,DATEDIF(W257,Q257,"YM"))</f>
        <v>0</v>
      </c>
      <c r="Z257" s="68">
        <f>IF(W257="",0,DATEDIF(W257,Q257,"MD"))</f>
        <v>0</v>
      </c>
      <c r="AA257" s="49"/>
      <c r="AB257" s="65"/>
      <c r="AC257" s="50" t="str">
        <f t="shared" si="80"/>
        <v/>
      </c>
      <c r="AD257" s="68">
        <f t="shared" si="81"/>
        <v>0</v>
      </c>
      <c r="AE257" s="68">
        <f t="shared" si="82"/>
        <v>0</v>
      </c>
      <c r="AF257" s="68">
        <f t="shared" si="83"/>
        <v>0</v>
      </c>
      <c r="AG257" s="50"/>
      <c r="AH257" s="108"/>
      <c r="AI257" s="49" t="str">
        <f>IF(AH257="นิติศาสตร์","K5-LAW","K5-POLICY")</f>
        <v>K5-POLICY</v>
      </c>
      <c r="AJ257" s="72" t="str">
        <f>_xlfn.IFS(B257="","",AND(AI257="K5-LAW",AH257="นิติศาสตร์",L257="S2",U257="",AA257=""),Q257,AND(AI257="K5-LAW",AH257="นิติศาสตร์",L257="S1",U257="",AA257=""),EDATE(Q257,12),AND(AI257="K5-LAW",AH257="นิติศาสตร์",OR(L257="M2",L257="K4"),U257="",AA257=""),EDATE(Q257,12*2),AND(AI257="K5-LAW",AH257="นิติศาสตร์",OR(AA257="M2",AA257="K4"),AD257&gt;=2,OR(AC257&lt;W257,AC257&lt;Q257)),EDATE(AC257,12*2),AND(AI257="K5-LAW",AH257="นิติศาสตร์",AA257="S1",AD257&gt;=1,OR(AC257&lt;W257,AC257&lt;Q257)),EDATE(AC257,12),AND(AI257="K5-LAW",AH257="นิติศาสตร์",OR(U257="M2",U257="K4"),X257&gt;=2,W257&lt;Q257),EDATE(W257,12*2),AND(AI257="K5-LAW",AH257="นิติศาสตร์",U257="S1",X257&gt;=1,W257&lt;Q257),EDATE(W257,12),AND(AI257="K5-LAW",AH257="นิติศาสตร์",OR(U257="S2",U257="K5")),W257,AND(AI257="K5-LAW",AH257="นิติศาสตร์",OR(L257="M2",L257="K4"),R257&gt;=2),EDATE(Q257,12*2),AND(AI257="K5-LAW",AH257="นิติศาสตร์",L257="S1",R257&gt;=1),EDATE(Q257,12),AND(AI257="K5-LAW",AH257="นิติศาสตร์",OR(L257="S2",L257="K5")),Q257,AND(AI257="K5-POLICY",AH257&lt;&gt;"นิติศาสตร์",L257="S2",U257="",AA257=""),Q257,AND(AI257="K5-POLICY",AH257&lt;&gt;"นิติศาสตร์",L257="S1",U257="",AA257=""),EDATE(Q257,12),AND(AI257="K5-POLICY",AH257&lt;&gt;"นิติศาสตร์",OR(L257="M2",L257="K4"),U257="",AA257=""),EDATE(Q257,12*2),AND(AI257="K5-POLICY",AH257&lt;&gt;"นิติศาสตร์",OR(AA257="M2",AA257="K4"),AD257&gt;=2,OR(AC257&lt;W257,AC257&lt;Q257)),EDATE(AC257,12*2),AND(AI257="K5-POLICY",AH257&lt;&gt;"นิติศาสตร์",AA257="S1",AD257&gt;=1,OR(AC257&lt;W257,AC257&lt;Q257)),EDATE(AC257,12),AND(AI257="K5-POLICY",AH257&lt;&gt;"นิติศาสตร์",OR(U257="M2",U257="K4"),X257&gt;=2,W257&lt;Q257),EDATE(W257,12*2),AND(AI257="K5-POLICY",AH257&lt;&gt;"นิติศาสตร์",U257="S1",X257&gt;=1,W257&lt;Q257),EDATE(W257,12),AND(AI257="K5-POLICY",AH257&lt;&gt;"นิติศาสตร์",OR(U257="S2",U257="K5")),W257,AND(AI257="K5-POLICY",AH257&lt;&gt;"นิติศาสตร์",OR(L257="M2",L257="K4"),R257&gt;=2),EDATE(Q257,12*2),AND(AI257="K5-POLICY",AH257&lt;&gt;"นิติศาสตร์",L257="S1",R257&gt;=1),EDATE(Q257,12),AND(AI257="K5-POLICY",AH257&lt;&gt;"นิติศาสตร์",OR(L257="S2",L257="K5")),Q257,TRUE,"Check Data")</f>
        <v/>
      </c>
      <c r="AK257" s="75" t="str">
        <f t="shared" si="87"/>
        <v>Check Data</v>
      </c>
      <c r="AL257" s="76" t="str">
        <f t="shared" si="78"/>
        <v>Check Data</v>
      </c>
      <c r="AM257" s="50" t="str">
        <f t="shared" si="88"/>
        <v>Check Data</v>
      </c>
      <c r="AN257" s="49" t="str">
        <f>IF(B257="","",IF(L257="S1","S1",INDEX(#REF!,#REF!)))</f>
        <v/>
      </c>
      <c r="AO257" s="49" t="str">
        <f>L257</f>
        <v>M2</v>
      </c>
      <c r="AP257" s="50" t="b">
        <f>L257=AN257</f>
        <v>0</v>
      </c>
      <c r="AQ257" s="50"/>
    </row>
    <row r="258" spans="1:43" ht="21.75">
      <c r="A258" s="49">
        <v>256</v>
      </c>
      <c r="B258" s="50"/>
      <c r="C258" s="52"/>
      <c r="D258" s="50" t="s">
        <v>141</v>
      </c>
      <c r="E258" s="50" t="e">
        <f>INDEX(#REF!,#REF!)</f>
        <v>#REF!</v>
      </c>
      <c r="F258" s="49"/>
      <c r="G258" s="49"/>
      <c r="H258" s="50">
        <f t="shared" si="75"/>
        <v>0</v>
      </c>
      <c r="I258" s="50">
        <f t="shared" si="76"/>
        <v>0</v>
      </c>
      <c r="J258" s="50">
        <f t="shared" si="77"/>
        <v>0</v>
      </c>
      <c r="K258" s="50"/>
      <c r="L258" s="49" t="s">
        <v>136</v>
      </c>
      <c r="M258" s="64"/>
      <c r="N258" s="49"/>
      <c r="O258" s="49"/>
      <c r="P258" s="65" t="s">
        <v>442</v>
      </c>
      <c r="Q258" s="49" t="str">
        <f t="shared" si="86"/>
        <v>26/11/2024</v>
      </c>
      <c r="R258" s="68">
        <f>IF(Q258="",0,DATEDIF(Q258,$C$1,"Y"))</f>
        <v>0</v>
      </c>
      <c r="S258" s="68">
        <f>IF(Q258="",0,DATEDIF(Q258,$C$1,"YM"))</f>
        <v>6</v>
      </c>
      <c r="T258" s="68">
        <f>IF(Q258="",0,DATEDIF(Q258,$C$1,"MD"))</f>
        <v>25</v>
      </c>
      <c r="U258" s="65"/>
      <c r="V258" s="65"/>
      <c r="W258" s="49" t="str">
        <f t="shared" si="79"/>
        <v/>
      </c>
      <c r="X258" s="68">
        <f>IF(W258="",0,DATEDIF(W258,Q258,"Y"))</f>
        <v>0</v>
      </c>
      <c r="Y258" s="68">
        <f>IF(W258="",0,DATEDIF(W258,Q258,"YM"))</f>
        <v>0</v>
      </c>
      <c r="Z258" s="68">
        <f>IF(W258="",0,DATEDIF(W258,Q258,"MD"))</f>
        <v>0</v>
      </c>
      <c r="AA258" s="49"/>
      <c r="AB258" s="65"/>
      <c r="AC258" s="50" t="str">
        <f t="shared" si="80"/>
        <v/>
      </c>
      <c r="AD258" s="68">
        <f t="shared" si="81"/>
        <v>0</v>
      </c>
      <c r="AE258" s="68">
        <f t="shared" si="82"/>
        <v>0</v>
      </c>
      <c r="AF258" s="68">
        <f t="shared" si="83"/>
        <v>0</v>
      </c>
      <c r="AG258" s="50"/>
      <c r="AH258" s="108"/>
      <c r="AI258" s="49" t="str">
        <f>IF(AH258="นิติศาสตร์","K5-LAW","K5-POLICY")</f>
        <v>K5-POLICY</v>
      </c>
      <c r="AJ258" s="72" t="str">
        <f>_xlfn.IFS(B258="","",AND(AI258="K5-LAW",AH258="นิติศาสตร์",L258="S2",U258="",AA258=""),Q258,AND(AI258="K5-LAW",AH258="นิติศาสตร์",L258="S1",U258="",AA258=""),EDATE(Q258,12),AND(AI258="K5-LAW",AH258="นิติศาสตร์",OR(L258="M2",L258="K4"),U258="",AA258=""),EDATE(Q258,12*2),AND(AI258="K5-LAW",AH258="นิติศาสตร์",OR(AA258="M2",AA258="K4"),AD258&gt;=2,OR(AC258&lt;W258,AC258&lt;Q258)),EDATE(AC258,12*2),AND(AI258="K5-LAW",AH258="นิติศาสตร์",AA258="S1",AD258&gt;=1,OR(AC258&lt;W258,AC258&lt;Q258)),EDATE(AC258,12),AND(AI258="K5-LAW",AH258="นิติศาสตร์",OR(U258="M2",U258="K4"),X258&gt;=2,W258&lt;Q258),EDATE(W258,12*2),AND(AI258="K5-LAW",AH258="นิติศาสตร์",U258="S1",X258&gt;=1,W258&lt;Q258),EDATE(W258,12),AND(AI258="K5-LAW",AH258="นิติศาสตร์",OR(U258="S2",U258="K5")),W258,AND(AI258="K5-LAW",AH258="นิติศาสตร์",OR(L258="M2",L258="K4"),R258&gt;=2),EDATE(Q258,12*2),AND(AI258="K5-LAW",AH258="นิติศาสตร์",L258="S1",R258&gt;=1),EDATE(Q258,12),AND(AI258="K5-LAW",AH258="นิติศาสตร์",OR(L258="S2",L258="K5")),Q258,AND(AI258="K5-POLICY",AH258&lt;&gt;"นิติศาสตร์",L258="S2",U258="",AA258=""),Q258,AND(AI258="K5-POLICY",AH258&lt;&gt;"นิติศาสตร์",L258="S1",U258="",AA258=""),EDATE(Q258,12),AND(AI258="K5-POLICY",AH258&lt;&gt;"นิติศาสตร์",OR(L258="M2",L258="K4"),U258="",AA258=""),EDATE(Q258,12*2),AND(AI258="K5-POLICY",AH258&lt;&gt;"นิติศาสตร์",OR(AA258="M2",AA258="K4"),AD258&gt;=2,OR(AC258&lt;W258,AC258&lt;Q258)),EDATE(AC258,12*2),AND(AI258="K5-POLICY",AH258&lt;&gt;"นิติศาสตร์",AA258="S1",AD258&gt;=1,OR(AC258&lt;W258,AC258&lt;Q258)),EDATE(AC258,12),AND(AI258="K5-POLICY",AH258&lt;&gt;"นิติศาสตร์",OR(U258="M2",U258="K4"),X258&gt;=2,W258&lt;Q258),EDATE(W258,12*2),AND(AI258="K5-POLICY",AH258&lt;&gt;"นิติศาสตร์",U258="S1",X258&gt;=1,W258&lt;Q258),EDATE(W258,12),AND(AI258="K5-POLICY",AH258&lt;&gt;"นิติศาสตร์",OR(U258="S2",U258="K5")),W258,AND(AI258="K5-POLICY",AH258&lt;&gt;"นิติศาสตร์",OR(L258="M2",L258="K4"),R258&gt;=2),EDATE(Q258,12*2),AND(AI258="K5-POLICY",AH258&lt;&gt;"นิติศาสตร์",L258="S1",R258&gt;=1),EDATE(Q258,12),AND(AI258="K5-POLICY",AH258&lt;&gt;"นิติศาสตร์",OR(L258="S2",L258="K5")),Q258,TRUE,"Check Data")</f>
        <v/>
      </c>
      <c r="AK258" s="75" t="str">
        <f t="shared" si="87"/>
        <v>Check Data</v>
      </c>
      <c r="AL258" s="76" t="str">
        <f t="shared" si="78"/>
        <v>Check Data</v>
      </c>
      <c r="AM258" s="50" t="str">
        <f t="shared" si="88"/>
        <v>Check Data</v>
      </c>
      <c r="AN258" s="49" t="str">
        <f>IF(B258="","",IF(L258="S1","S1",INDEX(#REF!,#REF!)))</f>
        <v/>
      </c>
      <c r="AO258" s="49" t="str">
        <f>L258</f>
        <v>M2</v>
      </c>
      <c r="AP258" s="50" t="b">
        <f>L258=AN258</f>
        <v>0</v>
      </c>
      <c r="AQ258" s="50"/>
    </row>
    <row r="259" spans="1:43" ht="21.75">
      <c r="A259" s="49">
        <v>257</v>
      </c>
      <c r="B259" s="50"/>
      <c r="C259" s="52"/>
      <c r="D259" s="50" t="s">
        <v>141</v>
      </c>
      <c r="E259" s="50" t="e">
        <f>INDEX(#REF!,#REF!)</f>
        <v>#REF!</v>
      </c>
      <c r="F259" s="49"/>
      <c r="G259" s="49"/>
      <c r="H259" s="50">
        <f t="shared" ref="H259:H322" si="89">IF(G259="",0,DATEDIF(G259,$C$1,"Y"))</f>
        <v>0</v>
      </c>
      <c r="I259" s="50">
        <f t="shared" ref="I259:I322" si="90">IF(G259="",0,DATEDIF(G259,$C$1,"YM"))</f>
        <v>0</v>
      </c>
      <c r="J259" s="50">
        <f t="shared" ref="J259:J322" si="91">IF(G259="",0,DATEDIF(G259,$C$1,"MD"))</f>
        <v>0</v>
      </c>
      <c r="K259" s="50"/>
      <c r="L259" s="49" t="s">
        <v>136</v>
      </c>
      <c r="M259" s="64"/>
      <c r="N259" s="49"/>
      <c r="O259" s="49"/>
      <c r="P259" s="65" t="s">
        <v>442</v>
      </c>
      <c r="Q259" s="49" t="str">
        <f t="shared" si="86"/>
        <v>26/11/2024</v>
      </c>
      <c r="R259" s="68">
        <f>IF(Q259="",0,DATEDIF(Q259,$C$1,"Y"))</f>
        <v>0</v>
      </c>
      <c r="S259" s="68">
        <f>IF(Q259="",0,DATEDIF(Q259,$C$1,"YM"))</f>
        <v>6</v>
      </c>
      <c r="T259" s="68">
        <f>IF(Q259="",0,DATEDIF(Q259,$C$1,"MD"))</f>
        <v>25</v>
      </c>
      <c r="U259" s="65"/>
      <c r="V259" s="65"/>
      <c r="W259" s="49" t="str">
        <f t="shared" si="79"/>
        <v/>
      </c>
      <c r="X259" s="68">
        <f>IF(W259="",0,DATEDIF(W259,Q259,"Y"))</f>
        <v>0</v>
      </c>
      <c r="Y259" s="68">
        <f>IF(W259="",0,DATEDIF(W259,Q259,"YM"))</f>
        <v>0</v>
      </c>
      <c r="Z259" s="68">
        <f>IF(W259="",0,DATEDIF(W259,Q259,"MD"))</f>
        <v>0</v>
      </c>
      <c r="AA259" s="49"/>
      <c r="AB259" s="65"/>
      <c r="AC259" s="50" t="str">
        <f t="shared" si="80"/>
        <v/>
      </c>
      <c r="AD259" s="68">
        <f t="shared" si="81"/>
        <v>0</v>
      </c>
      <c r="AE259" s="68">
        <f t="shared" si="82"/>
        <v>0</v>
      </c>
      <c r="AF259" s="68">
        <f t="shared" si="83"/>
        <v>0</v>
      </c>
      <c r="AG259" s="50"/>
      <c r="AH259" s="108"/>
      <c r="AI259" s="49" t="str">
        <f>IF(AH259="นิติศาสตร์","K5-LAW","K5-POLICY")</f>
        <v>K5-POLICY</v>
      </c>
      <c r="AJ259" s="72" t="str">
        <f>_xlfn.IFS(B259="","",AND(AI259="K5-LAW",AH259="นิติศาสตร์",L259="S2",U259="",AA259=""),Q259,AND(AI259="K5-LAW",AH259="นิติศาสตร์",L259="S1",U259="",AA259=""),EDATE(Q259,12),AND(AI259="K5-LAW",AH259="นิติศาสตร์",OR(L259="M2",L259="K4"),U259="",AA259=""),EDATE(Q259,12*2),AND(AI259="K5-LAW",AH259="นิติศาสตร์",OR(AA259="M2",AA259="K4"),AD259&gt;=2,OR(AC259&lt;W259,AC259&lt;Q259)),EDATE(AC259,12*2),AND(AI259="K5-LAW",AH259="นิติศาสตร์",AA259="S1",AD259&gt;=1,OR(AC259&lt;W259,AC259&lt;Q259)),EDATE(AC259,12),AND(AI259="K5-LAW",AH259="นิติศาสตร์",OR(U259="M2",U259="K4"),X259&gt;=2,W259&lt;Q259),EDATE(W259,12*2),AND(AI259="K5-LAW",AH259="นิติศาสตร์",U259="S1",X259&gt;=1,W259&lt;Q259),EDATE(W259,12),AND(AI259="K5-LAW",AH259="นิติศาสตร์",OR(U259="S2",U259="K5")),W259,AND(AI259="K5-LAW",AH259="นิติศาสตร์",OR(L259="M2",L259="K4"),R259&gt;=2),EDATE(Q259,12*2),AND(AI259="K5-LAW",AH259="นิติศาสตร์",L259="S1",R259&gt;=1),EDATE(Q259,12),AND(AI259="K5-LAW",AH259="นิติศาสตร์",OR(L259="S2",L259="K5")),Q259,AND(AI259="K5-POLICY",AH259&lt;&gt;"นิติศาสตร์",L259="S2",U259="",AA259=""),Q259,AND(AI259="K5-POLICY",AH259&lt;&gt;"นิติศาสตร์",L259="S1",U259="",AA259=""),EDATE(Q259,12),AND(AI259="K5-POLICY",AH259&lt;&gt;"นิติศาสตร์",OR(L259="M2",L259="K4"),U259="",AA259=""),EDATE(Q259,12*2),AND(AI259="K5-POLICY",AH259&lt;&gt;"นิติศาสตร์",OR(AA259="M2",AA259="K4"),AD259&gt;=2,OR(AC259&lt;W259,AC259&lt;Q259)),EDATE(AC259,12*2),AND(AI259="K5-POLICY",AH259&lt;&gt;"นิติศาสตร์",AA259="S1",AD259&gt;=1,OR(AC259&lt;W259,AC259&lt;Q259)),EDATE(AC259,12),AND(AI259="K5-POLICY",AH259&lt;&gt;"นิติศาสตร์",OR(U259="M2",U259="K4"),X259&gt;=2,W259&lt;Q259),EDATE(W259,12*2),AND(AI259="K5-POLICY",AH259&lt;&gt;"นิติศาสตร์",U259="S1",X259&gt;=1,W259&lt;Q259),EDATE(W259,12),AND(AI259="K5-POLICY",AH259&lt;&gt;"นิติศาสตร์",OR(U259="S2",U259="K5")),W259,AND(AI259="K5-POLICY",AH259&lt;&gt;"นิติศาสตร์",OR(L259="M2",L259="K4"),R259&gt;=2),EDATE(Q259,12*2),AND(AI259="K5-POLICY",AH259&lt;&gt;"นิติศาสตร์",L259="S1",R259&gt;=1),EDATE(Q259,12),AND(AI259="K5-POLICY",AH259&lt;&gt;"นิติศาสตร์",OR(L259="S2",L259="K5")),Q259,TRUE,"Check Data")</f>
        <v/>
      </c>
      <c r="AK259" s="75" t="str">
        <f t="shared" si="87"/>
        <v>Check Data</v>
      </c>
      <c r="AL259" s="76" t="str">
        <f t="shared" ref="AL259:AL322" si="92">IFERROR(IF($C$1&gt;AJ259,AJ259-$C$1,DATEDIF($C$1,AJ259,"d")),"Check Data")</f>
        <v>Check Data</v>
      </c>
      <c r="AM259" s="50" t="str">
        <f t="shared" si="88"/>
        <v>Check Data</v>
      </c>
      <c r="AN259" s="49" t="str">
        <f>IF(B259="","",IF(L259="S1","S1",INDEX(#REF!,#REF!)))</f>
        <v/>
      </c>
      <c r="AO259" s="49" t="str">
        <f>L259</f>
        <v>M2</v>
      </c>
      <c r="AP259" s="50" t="b">
        <f>L259=AN259</f>
        <v>0</v>
      </c>
      <c r="AQ259" s="50"/>
    </row>
    <row r="260" spans="1:43" ht="21.75">
      <c r="A260" s="49">
        <v>258</v>
      </c>
      <c r="B260" s="50"/>
      <c r="C260" s="52"/>
      <c r="D260" s="50" t="s">
        <v>141</v>
      </c>
      <c r="E260" s="50" t="e">
        <f>INDEX(#REF!,#REF!)</f>
        <v>#REF!</v>
      </c>
      <c r="F260" s="49"/>
      <c r="G260" s="49"/>
      <c r="H260" s="50">
        <f t="shared" si="89"/>
        <v>0</v>
      </c>
      <c r="I260" s="50">
        <f t="shared" si="90"/>
        <v>0</v>
      </c>
      <c r="J260" s="50">
        <f t="shared" si="91"/>
        <v>0</v>
      </c>
      <c r="K260" s="50"/>
      <c r="L260" s="49" t="s">
        <v>136</v>
      </c>
      <c r="M260" s="64"/>
      <c r="N260" s="49"/>
      <c r="O260" s="49"/>
      <c r="P260" s="65" t="s">
        <v>442</v>
      </c>
      <c r="Q260" s="49" t="str">
        <f t="shared" si="86"/>
        <v>26/11/2024</v>
      </c>
      <c r="R260" s="68">
        <f>IF(Q260="",0,DATEDIF(Q260,$C$1,"Y"))</f>
        <v>0</v>
      </c>
      <c r="S260" s="68">
        <f>IF(Q260="",0,DATEDIF(Q260,$C$1,"YM"))</f>
        <v>6</v>
      </c>
      <c r="T260" s="68">
        <f>IF(Q260="",0,DATEDIF(Q260,$C$1,"MD"))</f>
        <v>25</v>
      </c>
      <c r="U260" s="65"/>
      <c r="V260" s="65"/>
      <c r="W260" s="49" t="str">
        <f t="shared" ref="W260:W295" si="93">IF(V260="","",TEXT(EDATE(V260,-543*12),"dd/mm/yyyy"))</f>
        <v/>
      </c>
      <c r="X260" s="68">
        <f>IF(W260="",0,DATEDIF(W260,Q260,"Y"))</f>
        <v>0</v>
      </c>
      <c r="Y260" s="68">
        <f>IF(W260="",0,DATEDIF(W260,Q260,"YM"))</f>
        <v>0</v>
      </c>
      <c r="Z260" s="68">
        <f>IF(W260="",0,DATEDIF(W260,Q260,"MD"))</f>
        <v>0</v>
      </c>
      <c r="AA260" s="49"/>
      <c r="AB260" s="65"/>
      <c r="AC260" s="50" t="str">
        <f t="shared" ref="AC260:AC295" si="94">IF(AB260="","",TEXT(EDATE(AB260,-543*12),"dd/mm/yyyy"))</f>
        <v/>
      </c>
      <c r="AD260" s="68">
        <f t="shared" ref="AD260:AD295" si="95">IF(AC260="",0,DATEDIF(AC260,W260,"Y"))</f>
        <v>0</v>
      </c>
      <c r="AE260" s="68">
        <f t="shared" ref="AE260:AE295" si="96">IF(AC260="",0,DATEDIF(AC260,W260,"YM"))</f>
        <v>0</v>
      </c>
      <c r="AF260" s="68">
        <f t="shared" ref="AF260:AF295" si="97">IF(AC260="",0,DATEDIF(AC260,W260,"MD"))</f>
        <v>0</v>
      </c>
      <c r="AG260" s="50"/>
      <c r="AH260" s="108"/>
      <c r="AI260" s="49" t="str">
        <f>IF(AH260="นิติศาสตร์","K5-LAW","K5-POLICY")</f>
        <v>K5-POLICY</v>
      </c>
      <c r="AJ260" s="72" t="str">
        <f>_xlfn.IFS(B260="","",AND(AI260="K5-LAW",AH260="นิติศาสตร์",L260="S2",U260="",AA260=""),Q260,AND(AI260="K5-LAW",AH260="นิติศาสตร์",L260="S1",U260="",AA260=""),EDATE(Q260,12),AND(AI260="K5-LAW",AH260="นิติศาสตร์",OR(L260="M2",L260="K4"),U260="",AA260=""),EDATE(Q260,12*2),AND(AI260="K5-LAW",AH260="นิติศาสตร์",OR(AA260="M2",AA260="K4"),AD260&gt;=2,OR(AC260&lt;W260,AC260&lt;Q260)),EDATE(AC260,12*2),AND(AI260="K5-LAW",AH260="นิติศาสตร์",AA260="S1",AD260&gt;=1,OR(AC260&lt;W260,AC260&lt;Q260)),EDATE(AC260,12),AND(AI260="K5-LAW",AH260="นิติศาสตร์",OR(U260="M2",U260="K4"),X260&gt;=2,W260&lt;Q260),EDATE(W260,12*2),AND(AI260="K5-LAW",AH260="นิติศาสตร์",U260="S1",X260&gt;=1,W260&lt;Q260),EDATE(W260,12),AND(AI260="K5-LAW",AH260="นิติศาสตร์",OR(U260="S2",U260="K5")),W260,AND(AI260="K5-LAW",AH260="นิติศาสตร์",OR(L260="M2",L260="K4"),R260&gt;=2),EDATE(Q260,12*2),AND(AI260="K5-LAW",AH260="นิติศาสตร์",L260="S1",R260&gt;=1),EDATE(Q260,12),AND(AI260="K5-LAW",AH260="นิติศาสตร์",OR(L260="S2",L260="K5")),Q260,AND(AI260="K5-POLICY",AH260&lt;&gt;"นิติศาสตร์",L260="S2",U260="",AA260=""),Q260,AND(AI260="K5-POLICY",AH260&lt;&gt;"นิติศาสตร์",L260="S1",U260="",AA260=""),EDATE(Q260,12),AND(AI260="K5-POLICY",AH260&lt;&gt;"นิติศาสตร์",OR(L260="M2",L260="K4"),U260="",AA260=""),EDATE(Q260,12*2),AND(AI260="K5-POLICY",AH260&lt;&gt;"นิติศาสตร์",OR(AA260="M2",AA260="K4"),AD260&gt;=2,OR(AC260&lt;W260,AC260&lt;Q260)),EDATE(AC260,12*2),AND(AI260="K5-POLICY",AH260&lt;&gt;"นิติศาสตร์",AA260="S1",AD260&gt;=1,OR(AC260&lt;W260,AC260&lt;Q260)),EDATE(AC260,12),AND(AI260="K5-POLICY",AH260&lt;&gt;"นิติศาสตร์",OR(U260="M2",U260="K4"),X260&gt;=2,W260&lt;Q260),EDATE(W260,12*2),AND(AI260="K5-POLICY",AH260&lt;&gt;"นิติศาสตร์",U260="S1",X260&gt;=1,W260&lt;Q260),EDATE(W260,12),AND(AI260="K5-POLICY",AH260&lt;&gt;"นิติศาสตร์",OR(U260="S2",U260="K5")),W260,AND(AI260="K5-POLICY",AH260&lt;&gt;"นิติศาสตร์",OR(L260="M2",L260="K4"),R260&gt;=2),EDATE(Q260,12*2),AND(AI260="K5-POLICY",AH260&lt;&gt;"นิติศาสตร์",L260="S1",R260&gt;=1),EDATE(Q260,12),AND(AI260="K5-POLICY",AH260&lt;&gt;"นิติศาสตร์",OR(L260="S2",L260="K5")),Q260,TRUE,"Check Data")</f>
        <v/>
      </c>
      <c r="AK260" s="75" t="str">
        <f t="shared" si="87"/>
        <v>Check Data</v>
      </c>
      <c r="AL260" s="76" t="str">
        <f t="shared" si="92"/>
        <v>Check Data</v>
      </c>
      <c r="AM260" s="50" t="str">
        <f t="shared" si="88"/>
        <v>Check Data</v>
      </c>
      <c r="AN260" s="49" t="str">
        <f>IF(B260="","",IF(L260="S1","S1",INDEX(#REF!,#REF!)))</f>
        <v/>
      </c>
      <c r="AO260" s="49" t="str">
        <f>L260</f>
        <v>M2</v>
      </c>
      <c r="AP260" s="50" t="b">
        <f>L260=AN260</f>
        <v>0</v>
      </c>
      <c r="AQ260" s="50"/>
    </row>
    <row r="261" spans="1:43" ht="21.75">
      <c r="A261" s="49">
        <v>259</v>
      </c>
      <c r="B261" s="50"/>
      <c r="C261" s="52"/>
      <c r="D261" s="50" t="s">
        <v>141</v>
      </c>
      <c r="E261" s="50" t="e">
        <f>INDEX(#REF!,#REF!)</f>
        <v>#REF!</v>
      </c>
      <c r="F261" s="49"/>
      <c r="G261" s="49"/>
      <c r="H261" s="50">
        <f t="shared" si="89"/>
        <v>0</v>
      </c>
      <c r="I261" s="50">
        <f t="shared" si="90"/>
        <v>0</v>
      </c>
      <c r="J261" s="50">
        <f t="shared" si="91"/>
        <v>0</v>
      </c>
      <c r="K261" s="50"/>
      <c r="L261" s="49" t="s">
        <v>136</v>
      </c>
      <c r="M261" s="64"/>
      <c r="N261" s="49"/>
      <c r="O261" s="49"/>
      <c r="P261" s="65" t="s">
        <v>442</v>
      </c>
      <c r="Q261" s="49" t="str">
        <f t="shared" si="86"/>
        <v>26/11/2024</v>
      </c>
      <c r="R261" s="68">
        <f>IF(Q261="",0,DATEDIF(Q261,$C$1,"Y"))</f>
        <v>0</v>
      </c>
      <c r="S261" s="68">
        <f>IF(Q261="",0,DATEDIF(Q261,$C$1,"YM"))</f>
        <v>6</v>
      </c>
      <c r="T261" s="68">
        <f>IF(Q261="",0,DATEDIF(Q261,$C$1,"MD"))</f>
        <v>25</v>
      </c>
      <c r="U261" s="65"/>
      <c r="V261" s="65"/>
      <c r="W261" s="49" t="str">
        <f t="shared" si="93"/>
        <v/>
      </c>
      <c r="X261" s="68">
        <f>IF(W261="",0,DATEDIF(W261,Q261,"Y"))</f>
        <v>0</v>
      </c>
      <c r="Y261" s="68">
        <f>IF(W261="",0,DATEDIF(W261,Q261,"YM"))</f>
        <v>0</v>
      </c>
      <c r="Z261" s="68">
        <f>IF(W261="",0,DATEDIF(W261,Q261,"MD"))</f>
        <v>0</v>
      </c>
      <c r="AA261" s="49"/>
      <c r="AB261" s="65"/>
      <c r="AC261" s="50" t="str">
        <f t="shared" si="94"/>
        <v/>
      </c>
      <c r="AD261" s="68">
        <f t="shared" si="95"/>
        <v>0</v>
      </c>
      <c r="AE261" s="68">
        <f t="shared" si="96"/>
        <v>0</v>
      </c>
      <c r="AF261" s="68">
        <f t="shared" si="97"/>
        <v>0</v>
      </c>
      <c r="AG261" s="50"/>
      <c r="AH261" s="108"/>
      <c r="AI261" s="49" t="str">
        <f>IF(AH261="นิติศาสตร์","K5-LAW","K5-POLICY")</f>
        <v>K5-POLICY</v>
      </c>
      <c r="AJ261" s="72" t="str">
        <f>_xlfn.IFS(B261="","",AND(AI261="K5-LAW",AH261="นิติศาสตร์",L261="S2",U261="",AA261=""),Q261,AND(AI261="K5-LAW",AH261="นิติศาสตร์",L261="S1",U261="",AA261=""),EDATE(Q261,12),AND(AI261="K5-LAW",AH261="นิติศาสตร์",OR(L261="M2",L261="K4"),U261="",AA261=""),EDATE(Q261,12*2),AND(AI261="K5-LAW",AH261="นิติศาสตร์",OR(AA261="M2",AA261="K4"),AD261&gt;=2,OR(AC261&lt;W261,AC261&lt;Q261)),EDATE(AC261,12*2),AND(AI261="K5-LAW",AH261="นิติศาสตร์",AA261="S1",AD261&gt;=1,OR(AC261&lt;W261,AC261&lt;Q261)),EDATE(AC261,12),AND(AI261="K5-LAW",AH261="นิติศาสตร์",OR(U261="M2",U261="K4"),X261&gt;=2,W261&lt;Q261),EDATE(W261,12*2),AND(AI261="K5-LAW",AH261="นิติศาสตร์",U261="S1",X261&gt;=1,W261&lt;Q261),EDATE(W261,12),AND(AI261="K5-LAW",AH261="นิติศาสตร์",OR(U261="S2",U261="K5")),W261,AND(AI261="K5-LAW",AH261="นิติศาสตร์",OR(L261="M2",L261="K4"),R261&gt;=2),EDATE(Q261,12*2),AND(AI261="K5-LAW",AH261="นิติศาสตร์",L261="S1",R261&gt;=1),EDATE(Q261,12),AND(AI261="K5-LAW",AH261="นิติศาสตร์",OR(L261="S2",L261="K5")),Q261,AND(AI261="K5-POLICY",AH261&lt;&gt;"นิติศาสตร์",L261="S2",U261="",AA261=""),Q261,AND(AI261="K5-POLICY",AH261&lt;&gt;"นิติศาสตร์",L261="S1",U261="",AA261=""),EDATE(Q261,12),AND(AI261="K5-POLICY",AH261&lt;&gt;"นิติศาสตร์",OR(L261="M2",L261="K4"),U261="",AA261=""),EDATE(Q261,12*2),AND(AI261="K5-POLICY",AH261&lt;&gt;"นิติศาสตร์",OR(AA261="M2",AA261="K4"),AD261&gt;=2,OR(AC261&lt;W261,AC261&lt;Q261)),EDATE(AC261,12*2),AND(AI261="K5-POLICY",AH261&lt;&gt;"นิติศาสตร์",AA261="S1",AD261&gt;=1,OR(AC261&lt;W261,AC261&lt;Q261)),EDATE(AC261,12),AND(AI261="K5-POLICY",AH261&lt;&gt;"นิติศาสตร์",OR(U261="M2",U261="K4"),X261&gt;=2,W261&lt;Q261),EDATE(W261,12*2),AND(AI261="K5-POLICY",AH261&lt;&gt;"นิติศาสตร์",U261="S1",X261&gt;=1,W261&lt;Q261),EDATE(W261,12),AND(AI261="K5-POLICY",AH261&lt;&gt;"นิติศาสตร์",OR(U261="S2",U261="K5")),W261,AND(AI261="K5-POLICY",AH261&lt;&gt;"นิติศาสตร์",OR(L261="M2",L261="K4"),R261&gt;=2),EDATE(Q261,12*2),AND(AI261="K5-POLICY",AH261&lt;&gt;"นิติศาสตร์",L261="S1",R261&gt;=1),EDATE(Q261,12),AND(AI261="K5-POLICY",AH261&lt;&gt;"นิติศาสตร์",OR(L261="S2",L261="K5")),Q261,TRUE,"Check Data")</f>
        <v/>
      </c>
      <c r="AK261" s="75" t="str">
        <f t="shared" si="87"/>
        <v>Check Data</v>
      </c>
      <c r="AL261" s="76" t="str">
        <f t="shared" si="92"/>
        <v>Check Data</v>
      </c>
      <c r="AM261" s="50" t="str">
        <f t="shared" si="88"/>
        <v>Check Data</v>
      </c>
      <c r="AN261" s="49" t="str">
        <f>IF(B261="","",IF(L261="S1","S1",INDEX(#REF!,#REF!)))</f>
        <v/>
      </c>
      <c r="AO261" s="49" t="str">
        <f>L261</f>
        <v>M2</v>
      </c>
      <c r="AP261" s="50" t="b">
        <f>L261=AN261</f>
        <v>0</v>
      </c>
      <c r="AQ261" s="50"/>
    </row>
    <row r="262" spans="1:43" ht="21.75">
      <c r="A262" s="49">
        <v>260</v>
      </c>
      <c r="B262" s="50"/>
      <c r="C262" s="52"/>
      <c r="D262" s="50" t="s">
        <v>141</v>
      </c>
      <c r="E262" s="50" t="e">
        <f>INDEX(#REF!,#REF!)</f>
        <v>#REF!</v>
      </c>
      <c r="F262" s="49"/>
      <c r="G262" s="49"/>
      <c r="H262" s="50">
        <f t="shared" si="89"/>
        <v>0</v>
      </c>
      <c r="I262" s="50">
        <f t="shared" si="90"/>
        <v>0</v>
      </c>
      <c r="J262" s="50">
        <f t="shared" si="91"/>
        <v>0</v>
      </c>
      <c r="K262" s="50"/>
      <c r="L262" s="49" t="s">
        <v>136</v>
      </c>
      <c r="M262" s="64"/>
      <c r="N262" s="49"/>
      <c r="O262" s="49"/>
      <c r="P262" s="65" t="s">
        <v>442</v>
      </c>
      <c r="Q262" s="49" t="str">
        <f t="shared" si="86"/>
        <v>26/11/2024</v>
      </c>
      <c r="R262" s="68">
        <f>IF(Q262="",0,DATEDIF(Q262,$C$1,"Y"))</f>
        <v>0</v>
      </c>
      <c r="S262" s="68">
        <f>IF(Q262="",0,DATEDIF(Q262,$C$1,"YM"))</f>
        <v>6</v>
      </c>
      <c r="T262" s="68">
        <f>IF(Q262="",0,DATEDIF(Q262,$C$1,"MD"))</f>
        <v>25</v>
      </c>
      <c r="U262" s="65"/>
      <c r="V262" s="65"/>
      <c r="W262" s="49" t="str">
        <f t="shared" si="93"/>
        <v/>
      </c>
      <c r="X262" s="68">
        <f>IF(W262="",0,DATEDIF(W262,Q262,"Y"))</f>
        <v>0</v>
      </c>
      <c r="Y262" s="68">
        <f>IF(W262="",0,DATEDIF(W262,Q262,"YM"))</f>
        <v>0</v>
      </c>
      <c r="Z262" s="68">
        <f>IF(W262="",0,DATEDIF(W262,Q262,"MD"))</f>
        <v>0</v>
      </c>
      <c r="AA262" s="49"/>
      <c r="AB262" s="65"/>
      <c r="AC262" s="50" t="str">
        <f t="shared" si="94"/>
        <v/>
      </c>
      <c r="AD262" s="68">
        <f t="shared" si="95"/>
        <v>0</v>
      </c>
      <c r="AE262" s="68">
        <f t="shared" si="96"/>
        <v>0</v>
      </c>
      <c r="AF262" s="68">
        <f t="shared" si="97"/>
        <v>0</v>
      </c>
      <c r="AG262" s="50"/>
      <c r="AH262" s="108"/>
      <c r="AI262" s="49" t="str">
        <f>IF(AH262="นิติศาสตร์","K5-LAW","K5-POLICY")</f>
        <v>K5-POLICY</v>
      </c>
      <c r="AJ262" s="72" t="str">
        <f>_xlfn.IFS(B262="","",AND(AI262="K5-LAW",AH262="นิติศาสตร์",L262="S2",U262="",AA262=""),Q262,AND(AI262="K5-LAW",AH262="นิติศาสตร์",L262="S1",U262="",AA262=""),EDATE(Q262,12),AND(AI262="K5-LAW",AH262="นิติศาสตร์",OR(L262="M2",L262="K4"),U262="",AA262=""),EDATE(Q262,12*2),AND(AI262="K5-LAW",AH262="นิติศาสตร์",OR(AA262="M2",AA262="K4"),AD262&gt;=2,OR(AC262&lt;W262,AC262&lt;Q262)),EDATE(AC262,12*2),AND(AI262="K5-LAW",AH262="นิติศาสตร์",AA262="S1",AD262&gt;=1,OR(AC262&lt;W262,AC262&lt;Q262)),EDATE(AC262,12),AND(AI262="K5-LAW",AH262="นิติศาสตร์",OR(U262="M2",U262="K4"),X262&gt;=2,W262&lt;Q262),EDATE(W262,12*2),AND(AI262="K5-LAW",AH262="นิติศาสตร์",U262="S1",X262&gt;=1,W262&lt;Q262),EDATE(W262,12),AND(AI262="K5-LAW",AH262="นิติศาสตร์",OR(U262="S2",U262="K5")),W262,AND(AI262="K5-LAW",AH262="นิติศาสตร์",OR(L262="M2",L262="K4"),R262&gt;=2),EDATE(Q262,12*2),AND(AI262="K5-LAW",AH262="นิติศาสตร์",L262="S1",R262&gt;=1),EDATE(Q262,12),AND(AI262="K5-LAW",AH262="นิติศาสตร์",OR(L262="S2",L262="K5")),Q262,AND(AI262="K5-POLICY",AH262&lt;&gt;"นิติศาสตร์",L262="S2",U262="",AA262=""),Q262,AND(AI262="K5-POLICY",AH262&lt;&gt;"นิติศาสตร์",L262="S1",U262="",AA262=""),EDATE(Q262,12),AND(AI262="K5-POLICY",AH262&lt;&gt;"นิติศาสตร์",OR(L262="M2",L262="K4"),U262="",AA262=""),EDATE(Q262,12*2),AND(AI262="K5-POLICY",AH262&lt;&gt;"นิติศาสตร์",OR(AA262="M2",AA262="K4"),AD262&gt;=2,OR(AC262&lt;W262,AC262&lt;Q262)),EDATE(AC262,12*2),AND(AI262="K5-POLICY",AH262&lt;&gt;"นิติศาสตร์",AA262="S1",AD262&gt;=1,OR(AC262&lt;W262,AC262&lt;Q262)),EDATE(AC262,12),AND(AI262="K5-POLICY",AH262&lt;&gt;"นิติศาสตร์",OR(U262="M2",U262="K4"),X262&gt;=2,W262&lt;Q262),EDATE(W262,12*2),AND(AI262="K5-POLICY",AH262&lt;&gt;"นิติศาสตร์",U262="S1",X262&gt;=1,W262&lt;Q262),EDATE(W262,12),AND(AI262="K5-POLICY",AH262&lt;&gt;"นิติศาสตร์",OR(U262="S2",U262="K5")),W262,AND(AI262="K5-POLICY",AH262&lt;&gt;"นิติศาสตร์",OR(L262="M2",L262="K4"),R262&gt;=2),EDATE(Q262,12*2),AND(AI262="K5-POLICY",AH262&lt;&gt;"นิติศาสตร์",L262="S1",R262&gt;=1),EDATE(Q262,12),AND(AI262="K5-POLICY",AH262&lt;&gt;"นิติศาสตร์",OR(L262="S2",L262="K5")),Q262,TRUE,"Check Data")</f>
        <v/>
      </c>
      <c r="AK262" s="75" t="str">
        <f t="shared" si="87"/>
        <v>Check Data</v>
      </c>
      <c r="AL262" s="76" t="str">
        <f t="shared" si="92"/>
        <v>Check Data</v>
      </c>
      <c r="AM262" s="50" t="str">
        <f t="shared" si="88"/>
        <v>Check Data</v>
      </c>
      <c r="AN262" s="49" t="str">
        <f>IF(B262="","",IF(L262="S1","S1",INDEX(#REF!,#REF!)))</f>
        <v/>
      </c>
      <c r="AO262" s="49" t="str">
        <f>L262</f>
        <v>M2</v>
      </c>
      <c r="AP262" s="50" t="b">
        <f>L262=AN262</f>
        <v>0</v>
      </c>
      <c r="AQ262" s="50"/>
    </row>
    <row r="263" spans="1:43" ht="21.75">
      <c r="A263" s="49">
        <v>261</v>
      </c>
      <c r="B263" s="50"/>
      <c r="C263" s="52"/>
      <c r="D263" s="50" t="s">
        <v>141</v>
      </c>
      <c r="E263" s="50" t="e">
        <f>INDEX(#REF!,#REF!)</f>
        <v>#REF!</v>
      </c>
      <c r="F263" s="49"/>
      <c r="G263" s="49"/>
      <c r="H263" s="50">
        <f t="shared" si="89"/>
        <v>0</v>
      </c>
      <c r="I263" s="50">
        <f t="shared" si="90"/>
        <v>0</v>
      </c>
      <c r="J263" s="50">
        <f t="shared" si="91"/>
        <v>0</v>
      </c>
      <c r="K263" s="50"/>
      <c r="L263" s="49" t="s">
        <v>136</v>
      </c>
      <c r="M263" s="64"/>
      <c r="N263" s="49"/>
      <c r="O263" s="49"/>
      <c r="P263" s="65" t="s">
        <v>442</v>
      </c>
      <c r="Q263" s="49" t="str">
        <f t="shared" si="86"/>
        <v>26/11/2024</v>
      </c>
      <c r="R263" s="68">
        <f>IF(Q263="",0,DATEDIF(Q263,$C$1,"Y"))</f>
        <v>0</v>
      </c>
      <c r="S263" s="68">
        <f>IF(Q263="",0,DATEDIF(Q263,$C$1,"YM"))</f>
        <v>6</v>
      </c>
      <c r="T263" s="68">
        <f>IF(Q263="",0,DATEDIF(Q263,$C$1,"MD"))</f>
        <v>25</v>
      </c>
      <c r="U263" s="65"/>
      <c r="V263" s="65"/>
      <c r="W263" s="49" t="str">
        <f t="shared" si="93"/>
        <v/>
      </c>
      <c r="X263" s="68">
        <f>IF(W263="",0,DATEDIF(W263,Q263,"Y"))</f>
        <v>0</v>
      </c>
      <c r="Y263" s="68">
        <f>IF(W263="",0,DATEDIF(W263,Q263,"YM"))</f>
        <v>0</v>
      </c>
      <c r="Z263" s="68">
        <f>IF(W263="",0,DATEDIF(W263,Q263,"MD"))</f>
        <v>0</v>
      </c>
      <c r="AA263" s="49"/>
      <c r="AB263" s="65"/>
      <c r="AC263" s="50" t="str">
        <f t="shared" si="94"/>
        <v/>
      </c>
      <c r="AD263" s="68">
        <f t="shared" si="95"/>
        <v>0</v>
      </c>
      <c r="AE263" s="68">
        <f t="shared" si="96"/>
        <v>0</v>
      </c>
      <c r="AF263" s="68">
        <f t="shared" si="97"/>
        <v>0</v>
      </c>
      <c r="AG263" s="50"/>
      <c r="AH263" s="108"/>
      <c r="AI263" s="49" t="str">
        <f>IF(AH263="นิติศาสตร์","K5-LAW","K5-POLICY")</f>
        <v>K5-POLICY</v>
      </c>
      <c r="AJ263" s="72" t="str">
        <f>_xlfn.IFS(B263="","",AND(AI263="K5-LAW",AH263="นิติศาสตร์",L263="S2",U263="",AA263=""),Q263,AND(AI263="K5-LAW",AH263="นิติศาสตร์",L263="S1",U263="",AA263=""),EDATE(Q263,12),AND(AI263="K5-LAW",AH263="นิติศาสตร์",OR(L263="M2",L263="K4"),U263="",AA263=""),EDATE(Q263,12*2),AND(AI263="K5-LAW",AH263="นิติศาสตร์",OR(AA263="M2",AA263="K4"),AD263&gt;=2,OR(AC263&lt;W263,AC263&lt;Q263)),EDATE(AC263,12*2),AND(AI263="K5-LAW",AH263="นิติศาสตร์",AA263="S1",AD263&gt;=1,OR(AC263&lt;W263,AC263&lt;Q263)),EDATE(AC263,12),AND(AI263="K5-LAW",AH263="นิติศาสตร์",OR(U263="M2",U263="K4"),X263&gt;=2,W263&lt;Q263),EDATE(W263,12*2),AND(AI263="K5-LAW",AH263="นิติศาสตร์",U263="S1",X263&gt;=1,W263&lt;Q263),EDATE(W263,12),AND(AI263="K5-LAW",AH263="นิติศาสตร์",OR(U263="S2",U263="K5")),W263,AND(AI263="K5-LAW",AH263="นิติศาสตร์",OR(L263="M2",L263="K4"),R263&gt;=2),EDATE(Q263,12*2),AND(AI263="K5-LAW",AH263="นิติศาสตร์",L263="S1",R263&gt;=1),EDATE(Q263,12),AND(AI263="K5-LAW",AH263="นิติศาสตร์",OR(L263="S2",L263="K5")),Q263,AND(AI263="K5-POLICY",AH263&lt;&gt;"นิติศาสตร์",L263="S2",U263="",AA263=""),Q263,AND(AI263="K5-POLICY",AH263&lt;&gt;"นิติศาสตร์",L263="S1",U263="",AA263=""),EDATE(Q263,12),AND(AI263="K5-POLICY",AH263&lt;&gt;"นิติศาสตร์",OR(L263="M2",L263="K4"),U263="",AA263=""),EDATE(Q263,12*2),AND(AI263="K5-POLICY",AH263&lt;&gt;"นิติศาสตร์",OR(AA263="M2",AA263="K4"),AD263&gt;=2,OR(AC263&lt;W263,AC263&lt;Q263)),EDATE(AC263,12*2),AND(AI263="K5-POLICY",AH263&lt;&gt;"นิติศาสตร์",AA263="S1",AD263&gt;=1,OR(AC263&lt;W263,AC263&lt;Q263)),EDATE(AC263,12),AND(AI263="K5-POLICY",AH263&lt;&gt;"นิติศาสตร์",OR(U263="M2",U263="K4"),X263&gt;=2,W263&lt;Q263),EDATE(W263,12*2),AND(AI263="K5-POLICY",AH263&lt;&gt;"นิติศาสตร์",U263="S1",X263&gt;=1,W263&lt;Q263),EDATE(W263,12),AND(AI263="K5-POLICY",AH263&lt;&gt;"นิติศาสตร์",OR(U263="S2",U263="K5")),W263,AND(AI263="K5-POLICY",AH263&lt;&gt;"นิติศาสตร์",OR(L263="M2",L263="K4"),R263&gt;=2),EDATE(Q263,12*2),AND(AI263="K5-POLICY",AH263&lt;&gt;"นิติศาสตร์",L263="S1",R263&gt;=1),EDATE(Q263,12),AND(AI263="K5-POLICY",AH263&lt;&gt;"นิติศาสตร์",OR(L263="S2",L263="K5")),Q263,TRUE,"Check Data")</f>
        <v/>
      </c>
      <c r="AK263" s="75" t="str">
        <f t="shared" si="87"/>
        <v>Check Data</v>
      </c>
      <c r="AL263" s="76" t="str">
        <f t="shared" si="92"/>
        <v>Check Data</v>
      </c>
      <c r="AM263" s="50" t="str">
        <f t="shared" si="88"/>
        <v>Check Data</v>
      </c>
      <c r="AN263" s="49" t="str">
        <f>IF(B263="","",IF(L263="S1","S1",INDEX(#REF!,#REF!)))</f>
        <v/>
      </c>
      <c r="AO263" s="49" t="str">
        <f>L263</f>
        <v>M2</v>
      </c>
      <c r="AP263" s="50" t="b">
        <f>L263=AN263</f>
        <v>0</v>
      </c>
      <c r="AQ263" s="50"/>
    </row>
    <row r="264" spans="1:43" ht="21.75">
      <c r="A264" s="49">
        <v>262</v>
      </c>
      <c r="B264" s="50"/>
      <c r="C264" s="52"/>
      <c r="D264" s="50" t="s">
        <v>141</v>
      </c>
      <c r="E264" s="50" t="e">
        <f>INDEX(#REF!,#REF!)</f>
        <v>#REF!</v>
      </c>
      <c r="F264" s="49"/>
      <c r="G264" s="49"/>
      <c r="H264" s="50">
        <f t="shared" si="89"/>
        <v>0</v>
      </c>
      <c r="I264" s="50">
        <f t="shared" si="90"/>
        <v>0</v>
      </c>
      <c r="J264" s="50">
        <f t="shared" si="91"/>
        <v>0</v>
      </c>
      <c r="K264" s="50"/>
      <c r="L264" s="49" t="s">
        <v>136</v>
      </c>
      <c r="M264" s="64"/>
      <c r="N264" s="49"/>
      <c r="O264" s="49"/>
      <c r="P264" s="65" t="s">
        <v>442</v>
      </c>
      <c r="Q264" s="49" t="str">
        <f t="shared" si="86"/>
        <v>26/11/2024</v>
      </c>
      <c r="R264" s="68">
        <f>IF(Q264="",0,DATEDIF(Q264,$C$1,"Y"))</f>
        <v>0</v>
      </c>
      <c r="S264" s="68">
        <f>IF(Q264="",0,DATEDIF(Q264,$C$1,"YM"))</f>
        <v>6</v>
      </c>
      <c r="T264" s="68">
        <f>IF(Q264="",0,DATEDIF(Q264,$C$1,"MD"))</f>
        <v>25</v>
      </c>
      <c r="U264" s="65"/>
      <c r="V264" s="65"/>
      <c r="W264" s="49" t="str">
        <f t="shared" si="93"/>
        <v/>
      </c>
      <c r="X264" s="68">
        <f>IF(W264="",0,DATEDIF(W264,Q264,"Y"))</f>
        <v>0</v>
      </c>
      <c r="Y264" s="68">
        <f>IF(W264="",0,DATEDIF(W264,Q264,"YM"))</f>
        <v>0</v>
      </c>
      <c r="Z264" s="68">
        <f>IF(W264="",0,DATEDIF(W264,Q264,"MD"))</f>
        <v>0</v>
      </c>
      <c r="AA264" s="49"/>
      <c r="AB264" s="65"/>
      <c r="AC264" s="50" t="str">
        <f t="shared" si="94"/>
        <v/>
      </c>
      <c r="AD264" s="68">
        <f t="shared" si="95"/>
        <v>0</v>
      </c>
      <c r="AE264" s="68">
        <f t="shared" si="96"/>
        <v>0</v>
      </c>
      <c r="AF264" s="68">
        <f t="shared" si="97"/>
        <v>0</v>
      </c>
      <c r="AG264" s="50"/>
      <c r="AH264" s="108"/>
      <c r="AI264" s="49" t="str">
        <f>IF(AH264="นิติศาสตร์","K5-LAW","K5-POLICY")</f>
        <v>K5-POLICY</v>
      </c>
      <c r="AJ264" s="72" t="str">
        <f>_xlfn.IFS(B264="","",AND(AI264="K5-LAW",AH264="นิติศาสตร์",L264="S2",U264="",AA264=""),Q264,AND(AI264="K5-LAW",AH264="นิติศาสตร์",L264="S1",U264="",AA264=""),EDATE(Q264,12),AND(AI264="K5-LAW",AH264="นิติศาสตร์",OR(L264="M2",L264="K4"),U264="",AA264=""),EDATE(Q264,12*2),AND(AI264="K5-LAW",AH264="นิติศาสตร์",OR(AA264="M2",AA264="K4"),AD264&gt;=2,OR(AC264&lt;W264,AC264&lt;Q264)),EDATE(AC264,12*2),AND(AI264="K5-LAW",AH264="นิติศาสตร์",AA264="S1",AD264&gt;=1,OR(AC264&lt;W264,AC264&lt;Q264)),EDATE(AC264,12),AND(AI264="K5-LAW",AH264="นิติศาสตร์",OR(U264="M2",U264="K4"),X264&gt;=2,W264&lt;Q264),EDATE(W264,12*2),AND(AI264="K5-LAW",AH264="นิติศาสตร์",U264="S1",X264&gt;=1,W264&lt;Q264),EDATE(W264,12),AND(AI264="K5-LAW",AH264="นิติศาสตร์",OR(U264="S2",U264="K5")),W264,AND(AI264="K5-LAW",AH264="นิติศาสตร์",OR(L264="M2",L264="K4"),R264&gt;=2),EDATE(Q264,12*2),AND(AI264="K5-LAW",AH264="นิติศาสตร์",L264="S1",R264&gt;=1),EDATE(Q264,12),AND(AI264="K5-LAW",AH264="นิติศาสตร์",OR(L264="S2",L264="K5")),Q264,AND(AI264="K5-POLICY",AH264&lt;&gt;"นิติศาสตร์",L264="S2",U264="",AA264=""),Q264,AND(AI264="K5-POLICY",AH264&lt;&gt;"นิติศาสตร์",L264="S1",U264="",AA264=""),EDATE(Q264,12),AND(AI264="K5-POLICY",AH264&lt;&gt;"นิติศาสตร์",OR(L264="M2",L264="K4"),U264="",AA264=""),EDATE(Q264,12*2),AND(AI264="K5-POLICY",AH264&lt;&gt;"นิติศาสตร์",OR(AA264="M2",AA264="K4"),AD264&gt;=2,OR(AC264&lt;W264,AC264&lt;Q264)),EDATE(AC264,12*2),AND(AI264="K5-POLICY",AH264&lt;&gt;"นิติศาสตร์",AA264="S1",AD264&gt;=1,OR(AC264&lt;W264,AC264&lt;Q264)),EDATE(AC264,12),AND(AI264="K5-POLICY",AH264&lt;&gt;"นิติศาสตร์",OR(U264="M2",U264="K4"),X264&gt;=2,W264&lt;Q264),EDATE(W264,12*2),AND(AI264="K5-POLICY",AH264&lt;&gt;"นิติศาสตร์",U264="S1",X264&gt;=1,W264&lt;Q264),EDATE(W264,12),AND(AI264="K5-POLICY",AH264&lt;&gt;"นิติศาสตร์",OR(U264="S2",U264="K5")),W264,AND(AI264="K5-POLICY",AH264&lt;&gt;"นิติศาสตร์",OR(L264="M2",L264="K4"),R264&gt;=2),EDATE(Q264,12*2),AND(AI264="K5-POLICY",AH264&lt;&gt;"นิติศาสตร์",L264="S1",R264&gt;=1),EDATE(Q264,12),AND(AI264="K5-POLICY",AH264&lt;&gt;"นิติศาสตร์",OR(L264="S2",L264="K5")),Q264,TRUE,"Check Data")</f>
        <v/>
      </c>
      <c r="AK264" s="75" t="str">
        <f t="shared" si="87"/>
        <v>Check Data</v>
      </c>
      <c r="AL264" s="76" t="str">
        <f t="shared" si="92"/>
        <v>Check Data</v>
      </c>
      <c r="AM264" s="50" t="str">
        <f t="shared" si="88"/>
        <v>Check Data</v>
      </c>
      <c r="AN264" s="49" t="str">
        <f>IF(B264="","",IF(L264="S1","S1",INDEX(#REF!,#REF!)))</f>
        <v/>
      </c>
      <c r="AO264" s="49" t="str">
        <f>L264</f>
        <v>M2</v>
      </c>
      <c r="AP264" s="50" t="b">
        <f>L264=AN264</f>
        <v>0</v>
      </c>
      <c r="AQ264" s="50"/>
    </row>
    <row r="265" spans="1:43" ht="21.75">
      <c r="A265" s="49">
        <v>263</v>
      </c>
      <c r="B265" s="50"/>
      <c r="C265" s="52"/>
      <c r="D265" s="50" t="s">
        <v>141</v>
      </c>
      <c r="E265" s="50" t="e">
        <f>INDEX(#REF!,#REF!)</f>
        <v>#REF!</v>
      </c>
      <c r="F265" s="49"/>
      <c r="G265" s="49"/>
      <c r="H265" s="50">
        <f t="shared" si="89"/>
        <v>0</v>
      </c>
      <c r="I265" s="50">
        <f t="shared" si="90"/>
        <v>0</v>
      </c>
      <c r="J265" s="50">
        <f t="shared" si="91"/>
        <v>0</v>
      </c>
      <c r="K265" s="50"/>
      <c r="L265" s="49" t="s">
        <v>136</v>
      </c>
      <c r="M265" s="64"/>
      <c r="N265" s="49"/>
      <c r="O265" s="49"/>
      <c r="P265" s="65" t="s">
        <v>442</v>
      </c>
      <c r="Q265" s="49" t="str">
        <f t="shared" si="86"/>
        <v>26/11/2024</v>
      </c>
      <c r="R265" s="68">
        <f>IF(Q265="",0,DATEDIF(Q265,$C$1,"Y"))</f>
        <v>0</v>
      </c>
      <c r="S265" s="68">
        <f>IF(Q265="",0,DATEDIF(Q265,$C$1,"YM"))</f>
        <v>6</v>
      </c>
      <c r="T265" s="68">
        <f>IF(Q265="",0,DATEDIF(Q265,$C$1,"MD"))</f>
        <v>25</v>
      </c>
      <c r="U265" s="65"/>
      <c r="V265" s="65"/>
      <c r="W265" s="49" t="str">
        <f t="shared" si="93"/>
        <v/>
      </c>
      <c r="X265" s="68">
        <f>IF(W265="",0,DATEDIF(W265,Q265,"Y"))</f>
        <v>0</v>
      </c>
      <c r="Y265" s="68">
        <f>IF(W265="",0,DATEDIF(W265,Q265,"YM"))</f>
        <v>0</v>
      </c>
      <c r="Z265" s="68">
        <f>IF(W265="",0,DATEDIF(W265,Q265,"MD"))</f>
        <v>0</v>
      </c>
      <c r="AA265" s="49"/>
      <c r="AB265" s="65"/>
      <c r="AC265" s="50" t="str">
        <f t="shared" si="94"/>
        <v/>
      </c>
      <c r="AD265" s="68">
        <f t="shared" si="95"/>
        <v>0</v>
      </c>
      <c r="AE265" s="68">
        <f t="shared" si="96"/>
        <v>0</v>
      </c>
      <c r="AF265" s="68">
        <f t="shared" si="97"/>
        <v>0</v>
      </c>
      <c r="AG265" s="50"/>
      <c r="AH265" s="108"/>
      <c r="AI265" s="49" t="str">
        <f>IF(AH265="นิติศาสตร์","K5-LAW","K5-POLICY")</f>
        <v>K5-POLICY</v>
      </c>
      <c r="AJ265" s="72" t="str">
        <f>_xlfn.IFS(B265="","",AND(AI265="K5-LAW",AH265="นิติศาสตร์",L265="S2",U265="",AA265=""),Q265,AND(AI265="K5-LAW",AH265="นิติศาสตร์",L265="S1",U265="",AA265=""),EDATE(Q265,12),AND(AI265="K5-LAW",AH265="นิติศาสตร์",OR(L265="M2",L265="K4"),U265="",AA265=""),EDATE(Q265,12*2),AND(AI265="K5-LAW",AH265="นิติศาสตร์",OR(AA265="M2",AA265="K4"),AD265&gt;=2,OR(AC265&lt;W265,AC265&lt;Q265)),EDATE(AC265,12*2),AND(AI265="K5-LAW",AH265="นิติศาสตร์",AA265="S1",AD265&gt;=1,OR(AC265&lt;W265,AC265&lt;Q265)),EDATE(AC265,12),AND(AI265="K5-LAW",AH265="นิติศาสตร์",OR(U265="M2",U265="K4"),X265&gt;=2,W265&lt;Q265),EDATE(W265,12*2),AND(AI265="K5-LAW",AH265="นิติศาสตร์",U265="S1",X265&gt;=1,W265&lt;Q265),EDATE(W265,12),AND(AI265="K5-LAW",AH265="นิติศาสตร์",OR(U265="S2",U265="K5")),W265,AND(AI265="K5-LAW",AH265="นิติศาสตร์",OR(L265="M2",L265="K4"),R265&gt;=2),EDATE(Q265,12*2),AND(AI265="K5-LAW",AH265="นิติศาสตร์",L265="S1",R265&gt;=1),EDATE(Q265,12),AND(AI265="K5-LAW",AH265="นิติศาสตร์",OR(L265="S2",L265="K5")),Q265,AND(AI265="K5-POLICY",AH265&lt;&gt;"นิติศาสตร์",L265="S2",U265="",AA265=""),Q265,AND(AI265="K5-POLICY",AH265&lt;&gt;"นิติศาสตร์",L265="S1",U265="",AA265=""),EDATE(Q265,12),AND(AI265="K5-POLICY",AH265&lt;&gt;"นิติศาสตร์",OR(L265="M2",L265="K4"),U265="",AA265=""),EDATE(Q265,12*2),AND(AI265="K5-POLICY",AH265&lt;&gt;"นิติศาสตร์",OR(AA265="M2",AA265="K4"),AD265&gt;=2,OR(AC265&lt;W265,AC265&lt;Q265)),EDATE(AC265,12*2),AND(AI265="K5-POLICY",AH265&lt;&gt;"นิติศาสตร์",AA265="S1",AD265&gt;=1,OR(AC265&lt;W265,AC265&lt;Q265)),EDATE(AC265,12),AND(AI265="K5-POLICY",AH265&lt;&gt;"นิติศาสตร์",OR(U265="M2",U265="K4"),X265&gt;=2,W265&lt;Q265),EDATE(W265,12*2),AND(AI265="K5-POLICY",AH265&lt;&gt;"นิติศาสตร์",U265="S1",X265&gt;=1,W265&lt;Q265),EDATE(W265,12),AND(AI265="K5-POLICY",AH265&lt;&gt;"นิติศาสตร์",OR(U265="S2",U265="K5")),W265,AND(AI265="K5-POLICY",AH265&lt;&gt;"นิติศาสตร์",OR(L265="M2",L265="K4"),R265&gt;=2),EDATE(Q265,12*2),AND(AI265="K5-POLICY",AH265&lt;&gt;"นิติศาสตร์",L265="S1",R265&gt;=1),EDATE(Q265,12),AND(AI265="K5-POLICY",AH265&lt;&gt;"นิติศาสตร์",OR(L265="S2",L265="K5")),Q265,TRUE,"Check Data")</f>
        <v/>
      </c>
      <c r="AK265" s="75" t="str">
        <f t="shared" si="87"/>
        <v>Check Data</v>
      </c>
      <c r="AL265" s="76" t="str">
        <f t="shared" si="92"/>
        <v>Check Data</v>
      </c>
      <c r="AM265" s="50" t="str">
        <f t="shared" si="88"/>
        <v>Check Data</v>
      </c>
      <c r="AN265" s="49" t="str">
        <f>IF(B265="","",IF(L265="S1","S1",INDEX(#REF!,#REF!)))</f>
        <v/>
      </c>
      <c r="AO265" s="49" t="str">
        <f>L265</f>
        <v>M2</v>
      </c>
      <c r="AP265" s="50" t="b">
        <f>L265=AN265</f>
        <v>0</v>
      </c>
      <c r="AQ265" s="50"/>
    </row>
    <row r="266" spans="1:43" ht="21.75">
      <c r="A266" s="49">
        <v>264</v>
      </c>
      <c r="B266" s="50"/>
      <c r="C266" s="52"/>
      <c r="D266" s="50" t="s">
        <v>141</v>
      </c>
      <c r="E266" s="50" t="e">
        <f>INDEX(#REF!,#REF!)</f>
        <v>#REF!</v>
      </c>
      <c r="F266" s="49"/>
      <c r="G266" s="49"/>
      <c r="H266" s="50">
        <f t="shared" si="89"/>
        <v>0</v>
      </c>
      <c r="I266" s="50">
        <f t="shared" si="90"/>
        <v>0</v>
      </c>
      <c r="J266" s="50">
        <f t="shared" si="91"/>
        <v>0</v>
      </c>
      <c r="K266" s="50"/>
      <c r="L266" s="49" t="s">
        <v>136</v>
      </c>
      <c r="M266" s="64"/>
      <c r="N266" s="49"/>
      <c r="O266" s="49"/>
      <c r="P266" s="65" t="s">
        <v>442</v>
      </c>
      <c r="Q266" s="49" t="str">
        <f t="shared" si="86"/>
        <v>26/11/2024</v>
      </c>
      <c r="R266" s="68">
        <f>IF(Q266="",0,DATEDIF(Q266,$C$1,"Y"))</f>
        <v>0</v>
      </c>
      <c r="S266" s="68">
        <f>IF(Q266="",0,DATEDIF(Q266,$C$1,"YM"))</f>
        <v>6</v>
      </c>
      <c r="T266" s="68">
        <f>IF(Q266="",0,DATEDIF(Q266,$C$1,"MD"))</f>
        <v>25</v>
      </c>
      <c r="U266" s="65"/>
      <c r="V266" s="65"/>
      <c r="W266" s="49" t="str">
        <f t="shared" si="93"/>
        <v/>
      </c>
      <c r="X266" s="68">
        <f>IF(W266="",0,DATEDIF(W266,Q266,"Y"))</f>
        <v>0</v>
      </c>
      <c r="Y266" s="68">
        <f>IF(W266="",0,DATEDIF(W266,Q266,"YM"))</f>
        <v>0</v>
      </c>
      <c r="Z266" s="68">
        <f>IF(W266="",0,DATEDIF(W266,Q266,"MD"))</f>
        <v>0</v>
      </c>
      <c r="AA266" s="49"/>
      <c r="AB266" s="65"/>
      <c r="AC266" s="50" t="str">
        <f t="shared" si="94"/>
        <v/>
      </c>
      <c r="AD266" s="68">
        <f t="shared" si="95"/>
        <v>0</v>
      </c>
      <c r="AE266" s="68">
        <f t="shared" si="96"/>
        <v>0</v>
      </c>
      <c r="AF266" s="68">
        <f t="shared" si="97"/>
        <v>0</v>
      </c>
      <c r="AG266" s="50"/>
      <c r="AH266" s="108"/>
      <c r="AI266" s="49" t="str">
        <f>IF(AH266="นิติศาสตร์","K5-LAW","K5-POLICY")</f>
        <v>K5-POLICY</v>
      </c>
      <c r="AJ266" s="72" t="str">
        <f>_xlfn.IFS(B266="","",AND(AI266="K5-LAW",AH266="นิติศาสตร์",L266="S2",U266="",AA266=""),Q266,AND(AI266="K5-LAW",AH266="นิติศาสตร์",L266="S1",U266="",AA266=""),EDATE(Q266,12),AND(AI266="K5-LAW",AH266="นิติศาสตร์",OR(L266="M2",L266="K4"),U266="",AA266=""),EDATE(Q266,12*2),AND(AI266="K5-LAW",AH266="นิติศาสตร์",OR(AA266="M2",AA266="K4"),AD266&gt;=2,OR(AC266&lt;W266,AC266&lt;Q266)),EDATE(AC266,12*2),AND(AI266="K5-LAW",AH266="นิติศาสตร์",AA266="S1",AD266&gt;=1,OR(AC266&lt;W266,AC266&lt;Q266)),EDATE(AC266,12),AND(AI266="K5-LAW",AH266="นิติศาสตร์",OR(U266="M2",U266="K4"),X266&gt;=2,W266&lt;Q266),EDATE(W266,12*2),AND(AI266="K5-LAW",AH266="นิติศาสตร์",U266="S1",X266&gt;=1,W266&lt;Q266),EDATE(W266,12),AND(AI266="K5-LAW",AH266="นิติศาสตร์",OR(U266="S2",U266="K5")),W266,AND(AI266="K5-LAW",AH266="นิติศาสตร์",OR(L266="M2",L266="K4"),R266&gt;=2),EDATE(Q266,12*2),AND(AI266="K5-LAW",AH266="นิติศาสตร์",L266="S1",R266&gt;=1),EDATE(Q266,12),AND(AI266="K5-LAW",AH266="นิติศาสตร์",OR(L266="S2",L266="K5")),Q266,AND(AI266="K5-POLICY",AH266&lt;&gt;"นิติศาสตร์",L266="S2",U266="",AA266=""),Q266,AND(AI266="K5-POLICY",AH266&lt;&gt;"นิติศาสตร์",L266="S1",U266="",AA266=""),EDATE(Q266,12),AND(AI266="K5-POLICY",AH266&lt;&gt;"นิติศาสตร์",OR(L266="M2",L266="K4"),U266="",AA266=""),EDATE(Q266,12*2),AND(AI266="K5-POLICY",AH266&lt;&gt;"นิติศาสตร์",OR(AA266="M2",AA266="K4"),AD266&gt;=2,OR(AC266&lt;W266,AC266&lt;Q266)),EDATE(AC266,12*2),AND(AI266="K5-POLICY",AH266&lt;&gt;"นิติศาสตร์",AA266="S1",AD266&gt;=1,OR(AC266&lt;W266,AC266&lt;Q266)),EDATE(AC266,12),AND(AI266="K5-POLICY",AH266&lt;&gt;"นิติศาสตร์",OR(U266="M2",U266="K4"),X266&gt;=2,W266&lt;Q266),EDATE(W266,12*2),AND(AI266="K5-POLICY",AH266&lt;&gt;"นิติศาสตร์",U266="S1",X266&gt;=1,W266&lt;Q266),EDATE(W266,12),AND(AI266="K5-POLICY",AH266&lt;&gt;"นิติศาสตร์",OR(U266="S2",U266="K5")),W266,AND(AI266="K5-POLICY",AH266&lt;&gt;"นิติศาสตร์",OR(L266="M2",L266="K4"),R266&gt;=2),EDATE(Q266,12*2),AND(AI266="K5-POLICY",AH266&lt;&gt;"นิติศาสตร์",L266="S1",R266&gt;=1),EDATE(Q266,12),AND(AI266="K5-POLICY",AH266&lt;&gt;"นิติศาสตร์",OR(L266="S2",L266="K5")),Q266,TRUE,"Check Data")</f>
        <v/>
      </c>
      <c r="AK266" s="75" t="str">
        <f t="shared" si="87"/>
        <v>Check Data</v>
      </c>
      <c r="AL266" s="76" t="str">
        <f t="shared" si="92"/>
        <v>Check Data</v>
      </c>
      <c r="AM266" s="50" t="str">
        <f t="shared" si="88"/>
        <v>Check Data</v>
      </c>
      <c r="AN266" s="49" t="str">
        <f>IF(B266="","",IF(L266="S1","S1",INDEX(#REF!,#REF!)))</f>
        <v/>
      </c>
      <c r="AO266" s="49" t="str">
        <f>L266</f>
        <v>M2</v>
      </c>
      <c r="AP266" s="50" t="b">
        <f>L266=AN266</f>
        <v>0</v>
      </c>
      <c r="AQ266" s="50"/>
    </row>
    <row r="267" spans="1:43" ht="21.75">
      <c r="A267" s="49">
        <v>265</v>
      </c>
      <c r="B267" s="50"/>
      <c r="C267" s="52"/>
      <c r="D267" s="50" t="s">
        <v>141</v>
      </c>
      <c r="E267" s="50" t="e">
        <f>INDEX(#REF!,#REF!)</f>
        <v>#REF!</v>
      </c>
      <c r="F267" s="49"/>
      <c r="G267" s="49"/>
      <c r="H267" s="50">
        <f t="shared" si="89"/>
        <v>0</v>
      </c>
      <c r="I267" s="50">
        <f t="shared" si="90"/>
        <v>0</v>
      </c>
      <c r="J267" s="50">
        <f t="shared" si="91"/>
        <v>0</v>
      </c>
      <c r="K267" s="50"/>
      <c r="L267" s="49" t="s">
        <v>136</v>
      </c>
      <c r="M267" s="64"/>
      <c r="N267" s="49"/>
      <c r="O267" s="49"/>
      <c r="P267" s="65" t="s">
        <v>442</v>
      </c>
      <c r="Q267" s="49" t="str">
        <f t="shared" si="86"/>
        <v>26/11/2024</v>
      </c>
      <c r="R267" s="68">
        <f>IF(Q267="",0,DATEDIF(Q267,$C$1,"Y"))</f>
        <v>0</v>
      </c>
      <c r="S267" s="68">
        <f>IF(Q267="",0,DATEDIF(Q267,$C$1,"YM"))</f>
        <v>6</v>
      </c>
      <c r="T267" s="68">
        <f>IF(Q267="",0,DATEDIF(Q267,$C$1,"MD"))</f>
        <v>25</v>
      </c>
      <c r="U267" s="65"/>
      <c r="V267" s="65"/>
      <c r="W267" s="49" t="str">
        <f t="shared" si="93"/>
        <v/>
      </c>
      <c r="X267" s="68">
        <f>IF(W267="",0,DATEDIF(W267,Q267,"Y"))</f>
        <v>0</v>
      </c>
      <c r="Y267" s="68">
        <f>IF(W267="",0,DATEDIF(W267,Q267,"YM"))</f>
        <v>0</v>
      </c>
      <c r="Z267" s="68">
        <f>IF(W267="",0,DATEDIF(W267,Q267,"MD"))</f>
        <v>0</v>
      </c>
      <c r="AA267" s="49"/>
      <c r="AB267" s="65"/>
      <c r="AC267" s="50" t="str">
        <f t="shared" si="94"/>
        <v/>
      </c>
      <c r="AD267" s="68">
        <f t="shared" si="95"/>
        <v>0</v>
      </c>
      <c r="AE267" s="68">
        <f t="shared" si="96"/>
        <v>0</v>
      </c>
      <c r="AF267" s="68">
        <f t="shared" si="97"/>
        <v>0</v>
      </c>
      <c r="AG267" s="50"/>
      <c r="AH267" s="108"/>
      <c r="AI267" s="49" t="str">
        <f>IF(AH267="นิติศาสตร์","K5-LAW","K5-POLICY")</f>
        <v>K5-POLICY</v>
      </c>
      <c r="AJ267" s="72" t="str">
        <f>_xlfn.IFS(B267="","",AND(AI267="K5-LAW",AH267="นิติศาสตร์",L267="S2",U267="",AA267=""),Q267,AND(AI267="K5-LAW",AH267="นิติศาสตร์",L267="S1",U267="",AA267=""),EDATE(Q267,12),AND(AI267="K5-LAW",AH267="นิติศาสตร์",OR(L267="M2",L267="K4"),U267="",AA267=""),EDATE(Q267,12*2),AND(AI267="K5-LAW",AH267="นิติศาสตร์",OR(AA267="M2",AA267="K4"),AD267&gt;=2,OR(AC267&lt;W267,AC267&lt;Q267)),EDATE(AC267,12*2),AND(AI267="K5-LAW",AH267="นิติศาสตร์",AA267="S1",AD267&gt;=1,OR(AC267&lt;W267,AC267&lt;Q267)),EDATE(AC267,12),AND(AI267="K5-LAW",AH267="นิติศาสตร์",OR(U267="M2",U267="K4"),X267&gt;=2,W267&lt;Q267),EDATE(W267,12*2),AND(AI267="K5-LAW",AH267="นิติศาสตร์",U267="S1",X267&gt;=1,W267&lt;Q267),EDATE(W267,12),AND(AI267="K5-LAW",AH267="นิติศาสตร์",OR(U267="S2",U267="K5")),W267,AND(AI267="K5-LAW",AH267="นิติศาสตร์",OR(L267="M2",L267="K4"),R267&gt;=2),EDATE(Q267,12*2),AND(AI267="K5-LAW",AH267="นิติศาสตร์",L267="S1",R267&gt;=1),EDATE(Q267,12),AND(AI267="K5-LAW",AH267="นิติศาสตร์",OR(L267="S2",L267="K5")),Q267,AND(AI267="K5-POLICY",AH267&lt;&gt;"นิติศาสตร์",L267="S2",U267="",AA267=""),Q267,AND(AI267="K5-POLICY",AH267&lt;&gt;"นิติศาสตร์",L267="S1",U267="",AA267=""),EDATE(Q267,12),AND(AI267="K5-POLICY",AH267&lt;&gt;"นิติศาสตร์",OR(L267="M2",L267="K4"),U267="",AA267=""),EDATE(Q267,12*2),AND(AI267="K5-POLICY",AH267&lt;&gt;"นิติศาสตร์",OR(AA267="M2",AA267="K4"),AD267&gt;=2,OR(AC267&lt;W267,AC267&lt;Q267)),EDATE(AC267,12*2),AND(AI267="K5-POLICY",AH267&lt;&gt;"นิติศาสตร์",AA267="S1",AD267&gt;=1,OR(AC267&lt;W267,AC267&lt;Q267)),EDATE(AC267,12),AND(AI267="K5-POLICY",AH267&lt;&gt;"นิติศาสตร์",OR(U267="M2",U267="K4"),X267&gt;=2,W267&lt;Q267),EDATE(W267,12*2),AND(AI267="K5-POLICY",AH267&lt;&gt;"นิติศาสตร์",U267="S1",X267&gt;=1,W267&lt;Q267),EDATE(W267,12),AND(AI267="K5-POLICY",AH267&lt;&gt;"นิติศาสตร์",OR(U267="S2",U267="K5")),W267,AND(AI267="K5-POLICY",AH267&lt;&gt;"นิติศาสตร์",OR(L267="M2",L267="K4"),R267&gt;=2),EDATE(Q267,12*2),AND(AI267="K5-POLICY",AH267&lt;&gt;"นิติศาสตร์",L267="S1",R267&gt;=1),EDATE(Q267,12),AND(AI267="K5-POLICY",AH267&lt;&gt;"นิติศาสตร์",OR(L267="S2",L267="K5")),Q267,TRUE,"Check Data")</f>
        <v/>
      </c>
      <c r="AK267" s="75" t="str">
        <f t="shared" si="87"/>
        <v>Check Data</v>
      </c>
      <c r="AL267" s="76" t="str">
        <f t="shared" si="92"/>
        <v>Check Data</v>
      </c>
      <c r="AM267" s="50" t="str">
        <f t="shared" si="88"/>
        <v>Check Data</v>
      </c>
      <c r="AN267" s="49" t="str">
        <f>IF(B267="","",IF(L267="S1","S1",INDEX(#REF!,#REF!)))</f>
        <v/>
      </c>
      <c r="AO267" s="49" t="str">
        <f>L267</f>
        <v>M2</v>
      </c>
      <c r="AP267" s="50" t="b">
        <f>L267=AN267</f>
        <v>0</v>
      </c>
      <c r="AQ267" s="50"/>
    </row>
    <row r="268" spans="1:43" ht="21.75">
      <c r="A268" s="49">
        <v>266</v>
      </c>
      <c r="B268" s="50"/>
      <c r="C268" s="52"/>
      <c r="D268" s="50" t="s">
        <v>141</v>
      </c>
      <c r="E268" s="50" t="e">
        <f>INDEX(#REF!,#REF!)</f>
        <v>#REF!</v>
      </c>
      <c r="F268" s="49"/>
      <c r="G268" s="49"/>
      <c r="H268" s="50">
        <f t="shared" si="89"/>
        <v>0</v>
      </c>
      <c r="I268" s="50">
        <f t="shared" si="90"/>
        <v>0</v>
      </c>
      <c r="J268" s="50">
        <f t="shared" si="91"/>
        <v>0</v>
      </c>
      <c r="K268" s="50"/>
      <c r="L268" s="49" t="s">
        <v>136</v>
      </c>
      <c r="M268" s="64"/>
      <c r="N268" s="49"/>
      <c r="O268" s="49"/>
      <c r="P268" s="65" t="s">
        <v>442</v>
      </c>
      <c r="Q268" s="49" t="str">
        <f t="shared" si="86"/>
        <v>26/11/2024</v>
      </c>
      <c r="R268" s="68">
        <f>IF(Q268="",0,DATEDIF(Q268,$C$1,"Y"))</f>
        <v>0</v>
      </c>
      <c r="S268" s="68">
        <f>IF(Q268="",0,DATEDIF(Q268,$C$1,"YM"))</f>
        <v>6</v>
      </c>
      <c r="T268" s="68">
        <f>IF(Q268="",0,DATEDIF(Q268,$C$1,"MD"))</f>
        <v>25</v>
      </c>
      <c r="U268" s="65"/>
      <c r="V268" s="65"/>
      <c r="W268" s="49" t="str">
        <f t="shared" si="93"/>
        <v/>
      </c>
      <c r="X268" s="68">
        <f>IF(W268="",0,DATEDIF(W268,Q268,"Y"))</f>
        <v>0</v>
      </c>
      <c r="Y268" s="68">
        <f>IF(W268="",0,DATEDIF(W268,Q268,"YM"))</f>
        <v>0</v>
      </c>
      <c r="Z268" s="68">
        <f>IF(W268="",0,DATEDIF(W268,Q268,"MD"))</f>
        <v>0</v>
      </c>
      <c r="AA268" s="49"/>
      <c r="AB268" s="65"/>
      <c r="AC268" s="50" t="str">
        <f t="shared" si="94"/>
        <v/>
      </c>
      <c r="AD268" s="68">
        <f t="shared" si="95"/>
        <v>0</v>
      </c>
      <c r="AE268" s="68">
        <f t="shared" si="96"/>
        <v>0</v>
      </c>
      <c r="AF268" s="68">
        <f t="shared" si="97"/>
        <v>0</v>
      </c>
      <c r="AG268" s="50"/>
      <c r="AH268" s="108"/>
      <c r="AI268" s="49" t="str">
        <f>IF(AH268="นิติศาสตร์","K5-LAW","K5-POLICY")</f>
        <v>K5-POLICY</v>
      </c>
      <c r="AJ268" s="72" t="str">
        <f>_xlfn.IFS(B268="","",AND(AI268="K5-LAW",AH268="นิติศาสตร์",L268="S2",U268="",AA268=""),Q268,AND(AI268="K5-LAW",AH268="นิติศาสตร์",L268="S1",U268="",AA268=""),EDATE(Q268,12),AND(AI268="K5-LAW",AH268="นิติศาสตร์",OR(L268="M2",L268="K4"),U268="",AA268=""),EDATE(Q268,12*2),AND(AI268="K5-LAW",AH268="นิติศาสตร์",OR(AA268="M2",AA268="K4"),AD268&gt;=2,OR(AC268&lt;W268,AC268&lt;Q268)),EDATE(AC268,12*2),AND(AI268="K5-LAW",AH268="นิติศาสตร์",AA268="S1",AD268&gt;=1,OR(AC268&lt;W268,AC268&lt;Q268)),EDATE(AC268,12),AND(AI268="K5-LAW",AH268="นิติศาสตร์",OR(U268="M2",U268="K4"),X268&gt;=2,W268&lt;Q268),EDATE(W268,12*2),AND(AI268="K5-LAW",AH268="นิติศาสตร์",U268="S1",X268&gt;=1,W268&lt;Q268),EDATE(W268,12),AND(AI268="K5-LAW",AH268="นิติศาสตร์",OR(U268="S2",U268="K5")),W268,AND(AI268="K5-LAW",AH268="นิติศาสตร์",OR(L268="M2",L268="K4"),R268&gt;=2),EDATE(Q268,12*2),AND(AI268="K5-LAW",AH268="นิติศาสตร์",L268="S1",R268&gt;=1),EDATE(Q268,12),AND(AI268="K5-LAW",AH268="นิติศาสตร์",OR(L268="S2",L268="K5")),Q268,AND(AI268="K5-POLICY",AH268&lt;&gt;"นิติศาสตร์",L268="S2",U268="",AA268=""),Q268,AND(AI268="K5-POLICY",AH268&lt;&gt;"นิติศาสตร์",L268="S1",U268="",AA268=""),EDATE(Q268,12),AND(AI268="K5-POLICY",AH268&lt;&gt;"นิติศาสตร์",OR(L268="M2",L268="K4"),U268="",AA268=""),EDATE(Q268,12*2),AND(AI268="K5-POLICY",AH268&lt;&gt;"นิติศาสตร์",OR(AA268="M2",AA268="K4"),AD268&gt;=2,OR(AC268&lt;W268,AC268&lt;Q268)),EDATE(AC268,12*2),AND(AI268="K5-POLICY",AH268&lt;&gt;"นิติศาสตร์",AA268="S1",AD268&gt;=1,OR(AC268&lt;W268,AC268&lt;Q268)),EDATE(AC268,12),AND(AI268="K5-POLICY",AH268&lt;&gt;"นิติศาสตร์",OR(U268="M2",U268="K4"),X268&gt;=2,W268&lt;Q268),EDATE(W268,12*2),AND(AI268="K5-POLICY",AH268&lt;&gt;"นิติศาสตร์",U268="S1",X268&gt;=1,W268&lt;Q268),EDATE(W268,12),AND(AI268="K5-POLICY",AH268&lt;&gt;"นิติศาสตร์",OR(U268="S2",U268="K5")),W268,AND(AI268="K5-POLICY",AH268&lt;&gt;"นิติศาสตร์",OR(L268="M2",L268="K4"),R268&gt;=2),EDATE(Q268,12*2),AND(AI268="K5-POLICY",AH268&lt;&gt;"นิติศาสตร์",L268="S1",R268&gt;=1),EDATE(Q268,12),AND(AI268="K5-POLICY",AH268&lt;&gt;"นิติศาสตร์",OR(L268="S2",L268="K5")),Q268,TRUE,"Check Data")</f>
        <v/>
      </c>
      <c r="AK268" s="75" t="str">
        <f t="shared" si="87"/>
        <v>Check Data</v>
      </c>
      <c r="AL268" s="76" t="str">
        <f t="shared" si="92"/>
        <v>Check Data</v>
      </c>
      <c r="AM268" s="50" t="str">
        <f t="shared" si="88"/>
        <v>Check Data</v>
      </c>
      <c r="AN268" s="49" t="str">
        <f>IF(B268="","",IF(L268="S1","S1",INDEX(#REF!,#REF!)))</f>
        <v/>
      </c>
      <c r="AO268" s="49" t="str">
        <f>L268</f>
        <v>M2</v>
      </c>
      <c r="AP268" s="50" t="b">
        <f>L268=AN268</f>
        <v>0</v>
      </c>
      <c r="AQ268" s="50"/>
    </row>
    <row r="269" spans="1:43" ht="21.75">
      <c r="A269" s="49">
        <v>267</v>
      </c>
      <c r="B269" s="50"/>
      <c r="C269" s="52"/>
      <c r="D269" s="50" t="s">
        <v>141</v>
      </c>
      <c r="E269" s="50" t="e">
        <f>INDEX(#REF!,#REF!)</f>
        <v>#REF!</v>
      </c>
      <c r="F269" s="49"/>
      <c r="G269" s="49"/>
      <c r="H269" s="50">
        <f t="shared" si="89"/>
        <v>0</v>
      </c>
      <c r="I269" s="50">
        <f t="shared" si="90"/>
        <v>0</v>
      </c>
      <c r="J269" s="50">
        <f t="shared" si="91"/>
        <v>0</v>
      </c>
      <c r="K269" s="50"/>
      <c r="L269" s="49" t="s">
        <v>136</v>
      </c>
      <c r="M269" s="64"/>
      <c r="N269" s="49"/>
      <c r="O269" s="49"/>
      <c r="P269" s="65" t="s">
        <v>442</v>
      </c>
      <c r="Q269" s="49" t="str">
        <f t="shared" si="86"/>
        <v>26/11/2024</v>
      </c>
      <c r="R269" s="68">
        <f>IF(Q269="",0,DATEDIF(Q269,$C$1,"Y"))</f>
        <v>0</v>
      </c>
      <c r="S269" s="68">
        <f>IF(Q269="",0,DATEDIF(Q269,$C$1,"YM"))</f>
        <v>6</v>
      </c>
      <c r="T269" s="68">
        <f>IF(Q269="",0,DATEDIF(Q269,$C$1,"MD"))</f>
        <v>25</v>
      </c>
      <c r="U269" s="65"/>
      <c r="V269" s="65"/>
      <c r="W269" s="49" t="str">
        <f t="shared" si="93"/>
        <v/>
      </c>
      <c r="X269" s="68">
        <f>IF(W269="",0,DATEDIF(W269,Q269,"Y"))</f>
        <v>0</v>
      </c>
      <c r="Y269" s="68">
        <f>IF(W269="",0,DATEDIF(W269,Q269,"YM"))</f>
        <v>0</v>
      </c>
      <c r="Z269" s="68">
        <f>IF(W269="",0,DATEDIF(W269,Q269,"MD"))</f>
        <v>0</v>
      </c>
      <c r="AA269" s="49"/>
      <c r="AB269" s="65"/>
      <c r="AC269" s="50" t="str">
        <f t="shared" si="94"/>
        <v/>
      </c>
      <c r="AD269" s="68">
        <f t="shared" si="95"/>
        <v>0</v>
      </c>
      <c r="AE269" s="68">
        <f t="shared" si="96"/>
        <v>0</v>
      </c>
      <c r="AF269" s="68">
        <f t="shared" si="97"/>
        <v>0</v>
      </c>
      <c r="AG269" s="50"/>
      <c r="AH269" s="108"/>
      <c r="AI269" s="49" t="str">
        <f>IF(AH269="นิติศาสตร์","K5-LAW","K5-POLICY")</f>
        <v>K5-POLICY</v>
      </c>
      <c r="AJ269" s="72" t="str">
        <f>_xlfn.IFS(B269="","",AND(AI269="K5-LAW",AH269="นิติศาสตร์",L269="S2",U269="",AA269=""),Q269,AND(AI269="K5-LAW",AH269="นิติศาสตร์",L269="S1",U269="",AA269=""),EDATE(Q269,12),AND(AI269="K5-LAW",AH269="นิติศาสตร์",OR(L269="M2",L269="K4"),U269="",AA269=""),EDATE(Q269,12*2),AND(AI269="K5-LAW",AH269="นิติศาสตร์",OR(AA269="M2",AA269="K4"),AD269&gt;=2,OR(AC269&lt;W269,AC269&lt;Q269)),EDATE(AC269,12*2),AND(AI269="K5-LAW",AH269="นิติศาสตร์",AA269="S1",AD269&gt;=1,OR(AC269&lt;W269,AC269&lt;Q269)),EDATE(AC269,12),AND(AI269="K5-LAW",AH269="นิติศาสตร์",OR(U269="M2",U269="K4"),X269&gt;=2,W269&lt;Q269),EDATE(W269,12*2),AND(AI269="K5-LAW",AH269="นิติศาสตร์",U269="S1",X269&gt;=1,W269&lt;Q269),EDATE(W269,12),AND(AI269="K5-LAW",AH269="นิติศาสตร์",OR(U269="S2",U269="K5")),W269,AND(AI269="K5-LAW",AH269="นิติศาสตร์",OR(L269="M2",L269="K4"),R269&gt;=2),EDATE(Q269,12*2),AND(AI269="K5-LAW",AH269="นิติศาสตร์",L269="S1",R269&gt;=1),EDATE(Q269,12),AND(AI269="K5-LAW",AH269="นิติศาสตร์",OR(L269="S2",L269="K5")),Q269,AND(AI269="K5-POLICY",AH269&lt;&gt;"นิติศาสตร์",L269="S2",U269="",AA269=""),Q269,AND(AI269="K5-POLICY",AH269&lt;&gt;"นิติศาสตร์",L269="S1",U269="",AA269=""),EDATE(Q269,12),AND(AI269="K5-POLICY",AH269&lt;&gt;"นิติศาสตร์",OR(L269="M2",L269="K4"),U269="",AA269=""),EDATE(Q269,12*2),AND(AI269="K5-POLICY",AH269&lt;&gt;"นิติศาสตร์",OR(AA269="M2",AA269="K4"),AD269&gt;=2,OR(AC269&lt;W269,AC269&lt;Q269)),EDATE(AC269,12*2),AND(AI269="K5-POLICY",AH269&lt;&gt;"นิติศาสตร์",AA269="S1",AD269&gt;=1,OR(AC269&lt;W269,AC269&lt;Q269)),EDATE(AC269,12),AND(AI269="K5-POLICY",AH269&lt;&gt;"นิติศาสตร์",OR(U269="M2",U269="K4"),X269&gt;=2,W269&lt;Q269),EDATE(W269,12*2),AND(AI269="K5-POLICY",AH269&lt;&gt;"นิติศาสตร์",U269="S1",X269&gt;=1,W269&lt;Q269),EDATE(W269,12),AND(AI269="K5-POLICY",AH269&lt;&gt;"นิติศาสตร์",OR(U269="S2",U269="K5")),W269,AND(AI269="K5-POLICY",AH269&lt;&gt;"นิติศาสตร์",OR(L269="M2",L269="K4"),R269&gt;=2),EDATE(Q269,12*2),AND(AI269="K5-POLICY",AH269&lt;&gt;"นิติศาสตร์",L269="S1",R269&gt;=1),EDATE(Q269,12),AND(AI269="K5-POLICY",AH269&lt;&gt;"นิติศาสตร์",OR(L269="S2",L269="K5")),Q269,TRUE,"Check Data")</f>
        <v/>
      </c>
      <c r="AK269" s="75" t="str">
        <f t="shared" si="87"/>
        <v>Check Data</v>
      </c>
      <c r="AL269" s="76" t="str">
        <f t="shared" si="92"/>
        <v>Check Data</v>
      </c>
      <c r="AM269" s="50" t="str">
        <f t="shared" si="88"/>
        <v>Check Data</v>
      </c>
      <c r="AN269" s="49" t="str">
        <f>IF(B269="","",IF(L269="S1","S1",INDEX(#REF!,#REF!)))</f>
        <v/>
      </c>
      <c r="AO269" s="49" t="str">
        <f>L269</f>
        <v>M2</v>
      </c>
      <c r="AP269" s="50" t="b">
        <f>L269=AN269</f>
        <v>0</v>
      </c>
      <c r="AQ269" s="50"/>
    </row>
    <row r="270" spans="1:43" ht="21.75">
      <c r="A270" s="49">
        <v>268</v>
      </c>
      <c r="B270" s="50"/>
      <c r="C270" s="52"/>
      <c r="D270" s="50" t="s">
        <v>141</v>
      </c>
      <c r="E270" s="50" t="e">
        <f>INDEX(#REF!,#REF!)</f>
        <v>#REF!</v>
      </c>
      <c r="F270" s="49"/>
      <c r="G270" s="49"/>
      <c r="H270" s="50">
        <f t="shared" si="89"/>
        <v>0</v>
      </c>
      <c r="I270" s="50">
        <f t="shared" si="90"/>
        <v>0</v>
      </c>
      <c r="J270" s="50">
        <f t="shared" si="91"/>
        <v>0</v>
      </c>
      <c r="K270" s="50"/>
      <c r="L270" s="49" t="s">
        <v>136</v>
      </c>
      <c r="M270" s="64"/>
      <c r="N270" s="49"/>
      <c r="O270" s="49"/>
      <c r="P270" s="65" t="s">
        <v>442</v>
      </c>
      <c r="Q270" s="49" t="str">
        <f t="shared" si="86"/>
        <v>26/11/2024</v>
      </c>
      <c r="R270" s="68">
        <f>IF(Q270="",0,DATEDIF(Q270,$C$1,"Y"))</f>
        <v>0</v>
      </c>
      <c r="S270" s="68">
        <f>IF(Q270="",0,DATEDIF(Q270,$C$1,"YM"))</f>
        <v>6</v>
      </c>
      <c r="T270" s="68">
        <f>IF(Q270="",0,DATEDIF(Q270,$C$1,"MD"))</f>
        <v>25</v>
      </c>
      <c r="U270" s="65"/>
      <c r="V270" s="65"/>
      <c r="W270" s="49" t="str">
        <f t="shared" si="93"/>
        <v/>
      </c>
      <c r="X270" s="68">
        <f>IF(W270="",0,DATEDIF(W270,Q270,"Y"))</f>
        <v>0</v>
      </c>
      <c r="Y270" s="68">
        <f>IF(W270="",0,DATEDIF(W270,Q270,"YM"))</f>
        <v>0</v>
      </c>
      <c r="Z270" s="68">
        <f>IF(W270="",0,DATEDIF(W270,Q270,"MD"))</f>
        <v>0</v>
      </c>
      <c r="AA270" s="49"/>
      <c r="AB270" s="65"/>
      <c r="AC270" s="50" t="str">
        <f t="shared" si="94"/>
        <v/>
      </c>
      <c r="AD270" s="68">
        <f t="shared" si="95"/>
        <v>0</v>
      </c>
      <c r="AE270" s="68">
        <f t="shared" si="96"/>
        <v>0</v>
      </c>
      <c r="AF270" s="68">
        <f t="shared" si="97"/>
        <v>0</v>
      </c>
      <c r="AG270" s="50"/>
      <c r="AH270" s="108"/>
      <c r="AI270" s="49" t="str">
        <f>IF(AH270="นิติศาสตร์","K5-LAW","K5-POLICY")</f>
        <v>K5-POLICY</v>
      </c>
      <c r="AJ270" s="72" t="str">
        <f>_xlfn.IFS(B270="","",AND(AI270="K5-LAW",AH270="นิติศาสตร์",L270="S2",U270="",AA270=""),Q270,AND(AI270="K5-LAW",AH270="นิติศาสตร์",L270="S1",U270="",AA270=""),EDATE(Q270,12),AND(AI270="K5-LAW",AH270="นิติศาสตร์",OR(L270="M2",L270="K4"),U270="",AA270=""),EDATE(Q270,12*2),AND(AI270="K5-LAW",AH270="นิติศาสตร์",OR(AA270="M2",AA270="K4"),AD270&gt;=2,OR(AC270&lt;W270,AC270&lt;Q270)),EDATE(AC270,12*2),AND(AI270="K5-LAW",AH270="นิติศาสตร์",AA270="S1",AD270&gt;=1,OR(AC270&lt;W270,AC270&lt;Q270)),EDATE(AC270,12),AND(AI270="K5-LAW",AH270="นิติศาสตร์",OR(U270="M2",U270="K4"),X270&gt;=2,W270&lt;Q270),EDATE(W270,12*2),AND(AI270="K5-LAW",AH270="นิติศาสตร์",U270="S1",X270&gt;=1,W270&lt;Q270),EDATE(W270,12),AND(AI270="K5-LAW",AH270="นิติศาสตร์",OR(U270="S2",U270="K5")),W270,AND(AI270="K5-LAW",AH270="นิติศาสตร์",OR(L270="M2",L270="K4"),R270&gt;=2),EDATE(Q270,12*2),AND(AI270="K5-LAW",AH270="นิติศาสตร์",L270="S1",R270&gt;=1),EDATE(Q270,12),AND(AI270="K5-LAW",AH270="นิติศาสตร์",OR(L270="S2",L270="K5")),Q270,AND(AI270="K5-POLICY",AH270&lt;&gt;"นิติศาสตร์",L270="S2",U270="",AA270=""),Q270,AND(AI270="K5-POLICY",AH270&lt;&gt;"นิติศาสตร์",L270="S1",U270="",AA270=""),EDATE(Q270,12),AND(AI270="K5-POLICY",AH270&lt;&gt;"นิติศาสตร์",OR(L270="M2",L270="K4"),U270="",AA270=""),EDATE(Q270,12*2),AND(AI270="K5-POLICY",AH270&lt;&gt;"นิติศาสตร์",OR(AA270="M2",AA270="K4"),AD270&gt;=2,OR(AC270&lt;W270,AC270&lt;Q270)),EDATE(AC270,12*2),AND(AI270="K5-POLICY",AH270&lt;&gt;"นิติศาสตร์",AA270="S1",AD270&gt;=1,OR(AC270&lt;W270,AC270&lt;Q270)),EDATE(AC270,12),AND(AI270="K5-POLICY",AH270&lt;&gt;"นิติศาสตร์",OR(U270="M2",U270="K4"),X270&gt;=2,W270&lt;Q270),EDATE(W270,12*2),AND(AI270="K5-POLICY",AH270&lt;&gt;"นิติศาสตร์",U270="S1",X270&gt;=1,W270&lt;Q270),EDATE(W270,12),AND(AI270="K5-POLICY",AH270&lt;&gt;"นิติศาสตร์",OR(U270="S2",U270="K5")),W270,AND(AI270="K5-POLICY",AH270&lt;&gt;"นิติศาสตร์",OR(L270="M2",L270="K4"),R270&gt;=2),EDATE(Q270,12*2),AND(AI270="K5-POLICY",AH270&lt;&gt;"นิติศาสตร์",L270="S1",R270&gt;=1),EDATE(Q270,12),AND(AI270="K5-POLICY",AH270&lt;&gt;"นิติศาสตร์",OR(L270="S2",L270="K5")),Q270,TRUE,"Check Data")</f>
        <v/>
      </c>
      <c r="AK270" s="75" t="str">
        <f t="shared" si="87"/>
        <v>Check Data</v>
      </c>
      <c r="AL270" s="76" t="str">
        <f t="shared" si="92"/>
        <v>Check Data</v>
      </c>
      <c r="AM270" s="50" t="str">
        <f t="shared" si="88"/>
        <v>Check Data</v>
      </c>
      <c r="AN270" s="49" t="str">
        <f>IF(B270="","",IF(L270="S1","S1",INDEX(#REF!,#REF!)))</f>
        <v/>
      </c>
      <c r="AO270" s="49" t="str">
        <f>L270</f>
        <v>M2</v>
      </c>
      <c r="AP270" s="50" t="b">
        <f>L270=AN270</f>
        <v>0</v>
      </c>
      <c r="AQ270" s="50"/>
    </row>
    <row r="271" spans="1:43" ht="21.75">
      <c r="A271" s="49">
        <v>269</v>
      </c>
      <c r="B271" s="50"/>
      <c r="C271" s="52"/>
      <c r="D271" s="50" t="s">
        <v>141</v>
      </c>
      <c r="E271" s="50" t="e">
        <f>INDEX(#REF!,#REF!)</f>
        <v>#REF!</v>
      </c>
      <c r="F271" s="49"/>
      <c r="G271" s="49"/>
      <c r="H271" s="50">
        <f t="shared" si="89"/>
        <v>0</v>
      </c>
      <c r="I271" s="50">
        <f t="shared" si="90"/>
        <v>0</v>
      </c>
      <c r="J271" s="50">
        <f t="shared" si="91"/>
        <v>0</v>
      </c>
      <c r="K271" s="50"/>
      <c r="L271" s="49" t="s">
        <v>136</v>
      </c>
      <c r="M271" s="64"/>
      <c r="N271" s="49"/>
      <c r="O271" s="49"/>
      <c r="P271" s="65" t="s">
        <v>442</v>
      </c>
      <c r="Q271" s="49" t="str">
        <f t="shared" si="86"/>
        <v>26/11/2024</v>
      </c>
      <c r="R271" s="68">
        <f>IF(Q271="",0,DATEDIF(Q271,$C$1,"Y"))</f>
        <v>0</v>
      </c>
      <c r="S271" s="68">
        <f>IF(Q271="",0,DATEDIF(Q271,$C$1,"YM"))</f>
        <v>6</v>
      </c>
      <c r="T271" s="68">
        <f>IF(Q271="",0,DATEDIF(Q271,$C$1,"MD"))</f>
        <v>25</v>
      </c>
      <c r="U271" s="65"/>
      <c r="V271" s="65"/>
      <c r="W271" s="49" t="str">
        <f t="shared" si="93"/>
        <v/>
      </c>
      <c r="X271" s="68">
        <f>IF(W271="",0,DATEDIF(W271,Q271,"Y"))</f>
        <v>0</v>
      </c>
      <c r="Y271" s="68">
        <f>IF(W271="",0,DATEDIF(W271,Q271,"YM"))</f>
        <v>0</v>
      </c>
      <c r="Z271" s="68">
        <f>IF(W271="",0,DATEDIF(W271,Q271,"MD"))</f>
        <v>0</v>
      </c>
      <c r="AA271" s="49"/>
      <c r="AB271" s="65"/>
      <c r="AC271" s="50" t="str">
        <f t="shared" si="94"/>
        <v/>
      </c>
      <c r="AD271" s="68">
        <f t="shared" si="95"/>
        <v>0</v>
      </c>
      <c r="AE271" s="68">
        <f t="shared" si="96"/>
        <v>0</v>
      </c>
      <c r="AF271" s="68">
        <f t="shared" si="97"/>
        <v>0</v>
      </c>
      <c r="AG271" s="50"/>
      <c r="AH271" s="108"/>
      <c r="AI271" s="49" t="str">
        <f>IF(AH271="นิติศาสตร์","K5-LAW","K5-POLICY")</f>
        <v>K5-POLICY</v>
      </c>
      <c r="AJ271" s="72" t="str">
        <f>_xlfn.IFS(B271="","",AND(AI271="K5-LAW",AH271="นิติศาสตร์",L271="S2",U271="",AA271=""),Q271,AND(AI271="K5-LAW",AH271="นิติศาสตร์",L271="S1",U271="",AA271=""),EDATE(Q271,12),AND(AI271="K5-LAW",AH271="นิติศาสตร์",OR(L271="M2",L271="K4"),U271="",AA271=""),EDATE(Q271,12*2),AND(AI271="K5-LAW",AH271="นิติศาสตร์",OR(AA271="M2",AA271="K4"),AD271&gt;=2,OR(AC271&lt;W271,AC271&lt;Q271)),EDATE(AC271,12*2),AND(AI271="K5-LAW",AH271="นิติศาสตร์",AA271="S1",AD271&gt;=1,OR(AC271&lt;W271,AC271&lt;Q271)),EDATE(AC271,12),AND(AI271="K5-LAW",AH271="นิติศาสตร์",OR(U271="M2",U271="K4"),X271&gt;=2,W271&lt;Q271),EDATE(W271,12*2),AND(AI271="K5-LAW",AH271="นิติศาสตร์",U271="S1",X271&gt;=1,W271&lt;Q271),EDATE(W271,12),AND(AI271="K5-LAW",AH271="นิติศาสตร์",OR(U271="S2",U271="K5")),W271,AND(AI271="K5-LAW",AH271="นิติศาสตร์",OR(L271="M2",L271="K4"),R271&gt;=2),EDATE(Q271,12*2),AND(AI271="K5-LAW",AH271="นิติศาสตร์",L271="S1",R271&gt;=1),EDATE(Q271,12),AND(AI271="K5-LAW",AH271="นิติศาสตร์",OR(L271="S2",L271="K5")),Q271,AND(AI271="K5-POLICY",AH271&lt;&gt;"นิติศาสตร์",L271="S2",U271="",AA271=""),Q271,AND(AI271="K5-POLICY",AH271&lt;&gt;"นิติศาสตร์",L271="S1",U271="",AA271=""),EDATE(Q271,12),AND(AI271="K5-POLICY",AH271&lt;&gt;"นิติศาสตร์",OR(L271="M2",L271="K4"),U271="",AA271=""),EDATE(Q271,12*2),AND(AI271="K5-POLICY",AH271&lt;&gt;"นิติศาสตร์",OR(AA271="M2",AA271="K4"),AD271&gt;=2,OR(AC271&lt;W271,AC271&lt;Q271)),EDATE(AC271,12*2),AND(AI271="K5-POLICY",AH271&lt;&gt;"นิติศาสตร์",AA271="S1",AD271&gt;=1,OR(AC271&lt;W271,AC271&lt;Q271)),EDATE(AC271,12),AND(AI271="K5-POLICY",AH271&lt;&gt;"นิติศาสตร์",OR(U271="M2",U271="K4"),X271&gt;=2,W271&lt;Q271),EDATE(W271,12*2),AND(AI271="K5-POLICY",AH271&lt;&gt;"นิติศาสตร์",U271="S1",X271&gt;=1,W271&lt;Q271),EDATE(W271,12),AND(AI271="K5-POLICY",AH271&lt;&gt;"นิติศาสตร์",OR(U271="S2",U271="K5")),W271,AND(AI271="K5-POLICY",AH271&lt;&gt;"นิติศาสตร์",OR(L271="M2",L271="K4"),R271&gt;=2),EDATE(Q271,12*2),AND(AI271="K5-POLICY",AH271&lt;&gt;"นิติศาสตร์",L271="S1",R271&gt;=1),EDATE(Q271,12),AND(AI271="K5-POLICY",AH271&lt;&gt;"นิติศาสตร์",OR(L271="S2",L271="K5")),Q271,TRUE,"Check Data")</f>
        <v/>
      </c>
      <c r="AK271" s="75" t="str">
        <f t="shared" si="87"/>
        <v>Check Data</v>
      </c>
      <c r="AL271" s="76" t="str">
        <f t="shared" si="92"/>
        <v>Check Data</v>
      </c>
      <c r="AM271" s="50" t="str">
        <f t="shared" si="88"/>
        <v>Check Data</v>
      </c>
      <c r="AN271" s="49" t="str">
        <f>IF(B271="","",IF(L271="S1","S1",INDEX(#REF!,#REF!)))</f>
        <v/>
      </c>
      <c r="AO271" s="49" t="str">
        <f>L271</f>
        <v>M2</v>
      </c>
      <c r="AP271" s="50" t="b">
        <f>L271=AN271</f>
        <v>0</v>
      </c>
      <c r="AQ271" s="50"/>
    </row>
    <row r="272" spans="1:43" ht="21.75">
      <c r="A272" s="49">
        <v>270</v>
      </c>
      <c r="B272" s="50"/>
      <c r="C272" s="52"/>
      <c r="D272" s="50" t="s">
        <v>141</v>
      </c>
      <c r="E272" s="50" t="e">
        <f>INDEX(#REF!,#REF!)</f>
        <v>#REF!</v>
      </c>
      <c r="F272" s="49"/>
      <c r="G272" s="49"/>
      <c r="H272" s="50">
        <f t="shared" si="89"/>
        <v>0</v>
      </c>
      <c r="I272" s="50">
        <f t="shared" si="90"/>
        <v>0</v>
      </c>
      <c r="J272" s="50">
        <f t="shared" si="91"/>
        <v>0</v>
      </c>
      <c r="K272" s="50"/>
      <c r="L272" s="49" t="s">
        <v>136</v>
      </c>
      <c r="M272" s="64"/>
      <c r="N272" s="49"/>
      <c r="O272" s="49"/>
      <c r="P272" s="65" t="s">
        <v>442</v>
      </c>
      <c r="Q272" s="49" t="str">
        <f t="shared" si="86"/>
        <v>26/11/2024</v>
      </c>
      <c r="R272" s="68">
        <f>IF(Q272="",0,DATEDIF(Q272,$C$1,"Y"))</f>
        <v>0</v>
      </c>
      <c r="S272" s="68">
        <f>IF(Q272="",0,DATEDIF(Q272,$C$1,"YM"))</f>
        <v>6</v>
      </c>
      <c r="T272" s="68">
        <f>IF(Q272="",0,DATEDIF(Q272,$C$1,"MD"))</f>
        <v>25</v>
      </c>
      <c r="U272" s="65"/>
      <c r="V272" s="65"/>
      <c r="W272" s="49" t="str">
        <f t="shared" si="93"/>
        <v/>
      </c>
      <c r="X272" s="68">
        <f>IF(W272="",0,DATEDIF(W272,Q272,"Y"))</f>
        <v>0</v>
      </c>
      <c r="Y272" s="68">
        <f>IF(W272="",0,DATEDIF(W272,Q272,"YM"))</f>
        <v>0</v>
      </c>
      <c r="Z272" s="68">
        <f>IF(W272="",0,DATEDIF(W272,Q272,"MD"))</f>
        <v>0</v>
      </c>
      <c r="AA272" s="49"/>
      <c r="AB272" s="65"/>
      <c r="AC272" s="50" t="str">
        <f t="shared" si="94"/>
        <v/>
      </c>
      <c r="AD272" s="68">
        <f t="shared" si="95"/>
        <v>0</v>
      </c>
      <c r="AE272" s="68">
        <f t="shared" si="96"/>
        <v>0</v>
      </c>
      <c r="AF272" s="68">
        <f t="shared" si="97"/>
        <v>0</v>
      </c>
      <c r="AG272" s="50"/>
      <c r="AH272" s="108"/>
      <c r="AI272" s="49" t="str">
        <f>IF(AH272="นิติศาสตร์","K5-LAW","K5-POLICY")</f>
        <v>K5-POLICY</v>
      </c>
      <c r="AJ272" s="72" t="str">
        <f>_xlfn.IFS(B272="","",AND(AI272="K5-LAW",AH272="นิติศาสตร์",L272="S2",U272="",AA272=""),Q272,AND(AI272="K5-LAW",AH272="นิติศาสตร์",L272="S1",U272="",AA272=""),EDATE(Q272,12),AND(AI272="K5-LAW",AH272="นิติศาสตร์",OR(L272="M2",L272="K4"),U272="",AA272=""),EDATE(Q272,12*2),AND(AI272="K5-LAW",AH272="นิติศาสตร์",OR(AA272="M2",AA272="K4"),AD272&gt;=2,OR(AC272&lt;W272,AC272&lt;Q272)),EDATE(AC272,12*2),AND(AI272="K5-LAW",AH272="นิติศาสตร์",AA272="S1",AD272&gt;=1,OR(AC272&lt;W272,AC272&lt;Q272)),EDATE(AC272,12),AND(AI272="K5-LAW",AH272="นิติศาสตร์",OR(U272="M2",U272="K4"),X272&gt;=2,W272&lt;Q272),EDATE(W272,12*2),AND(AI272="K5-LAW",AH272="นิติศาสตร์",U272="S1",X272&gt;=1,W272&lt;Q272),EDATE(W272,12),AND(AI272="K5-LAW",AH272="นิติศาสตร์",OR(U272="S2",U272="K5")),W272,AND(AI272="K5-LAW",AH272="นิติศาสตร์",OR(L272="M2",L272="K4"),R272&gt;=2),EDATE(Q272,12*2),AND(AI272="K5-LAW",AH272="นิติศาสตร์",L272="S1",R272&gt;=1),EDATE(Q272,12),AND(AI272="K5-LAW",AH272="นิติศาสตร์",OR(L272="S2",L272="K5")),Q272,AND(AI272="K5-POLICY",AH272&lt;&gt;"นิติศาสตร์",L272="S2",U272="",AA272=""),Q272,AND(AI272="K5-POLICY",AH272&lt;&gt;"นิติศาสตร์",L272="S1",U272="",AA272=""),EDATE(Q272,12),AND(AI272="K5-POLICY",AH272&lt;&gt;"นิติศาสตร์",OR(L272="M2",L272="K4"),U272="",AA272=""),EDATE(Q272,12*2),AND(AI272="K5-POLICY",AH272&lt;&gt;"นิติศาสตร์",OR(AA272="M2",AA272="K4"),AD272&gt;=2,OR(AC272&lt;W272,AC272&lt;Q272)),EDATE(AC272,12*2),AND(AI272="K5-POLICY",AH272&lt;&gt;"นิติศาสตร์",AA272="S1",AD272&gt;=1,OR(AC272&lt;W272,AC272&lt;Q272)),EDATE(AC272,12),AND(AI272="K5-POLICY",AH272&lt;&gt;"นิติศาสตร์",OR(U272="M2",U272="K4"),X272&gt;=2,W272&lt;Q272),EDATE(W272,12*2),AND(AI272="K5-POLICY",AH272&lt;&gt;"นิติศาสตร์",U272="S1",X272&gt;=1,W272&lt;Q272),EDATE(W272,12),AND(AI272="K5-POLICY",AH272&lt;&gt;"นิติศาสตร์",OR(U272="S2",U272="K5")),W272,AND(AI272="K5-POLICY",AH272&lt;&gt;"นิติศาสตร์",OR(L272="M2",L272="K4"),R272&gt;=2),EDATE(Q272,12*2),AND(AI272="K5-POLICY",AH272&lt;&gt;"นิติศาสตร์",L272="S1",R272&gt;=1),EDATE(Q272,12),AND(AI272="K5-POLICY",AH272&lt;&gt;"นิติศาสตร์",OR(L272="S2",L272="K5")),Q272,TRUE,"Check Data")</f>
        <v/>
      </c>
      <c r="AK272" s="75" t="str">
        <f t="shared" si="87"/>
        <v>Check Data</v>
      </c>
      <c r="AL272" s="76" t="str">
        <f t="shared" si="92"/>
        <v>Check Data</v>
      </c>
      <c r="AM272" s="50" t="str">
        <f t="shared" si="88"/>
        <v>Check Data</v>
      </c>
      <c r="AN272" s="49" t="str">
        <f>IF(B272="","",IF(L272="S1","S1",INDEX(#REF!,#REF!)))</f>
        <v/>
      </c>
      <c r="AO272" s="49" t="str">
        <f>L272</f>
        <v>M2</v>
      </c>
      <c r="AP272" s="50" t="b">
        <f>L272=AN272</f>
        <v>0</v>
      </c>
      <c r="AQ272" s="50"/>
    </row>
    <row r="273" spans="1:43" ht="21.75">
      <c r="A273" s="49">
        <v>271</v>
      </c>
      <c r="B273" s="50"/>
      <c r="C273" s="52"/>
      <c r="D273" s="50" t="s">
        <v>141</v>
      </c>
      <c r="E273" s="50" t="e">
        <f>INDEX(#REF!,#REF!)</f>
        <v>#REF!</v>
      </c>
      <c r="F273" s="49"/>
      <c r="G273" s="49"/>
      <c r="H273" s="50">
        <f t="shared" si="89"/>
        <v>0</v>
      </c>
      <c r="I273" s="50">
        <f t="shared" si="90"/>
        <v>0</v>
      </c>
      <c r="J273" s="50">
        <f t="shared" si="91"/>
        <v>0</v>
      </c>
      <c r="K273" s="50"/>
      <c r="L273" s="49" t="s">
        <v>136</v>
      </c>
      <c r="M273" s="64"/>
      <c r="N273" s="49"/>
      <c r="O273" s="49"/>
      <c r="P273" s="65" t="s">
        <v>442</v>
      </c>
      <c r="Q273" s="49" t="str">
        <f t="shared" si="86"/>
        <v>26/11/2024</v>
      </c>
      <c r="R273" s="68">
        <f>IF(Q273="",0,DATEDIF(Q273,$C$1,"Y"))</f>
        <v>0</v>
      </c>
      <c r="S273" s="68">
        <f>IF(Q273="",0,DATEDIF(Q273,$C$1,"YM"))</f>
        <v>6</v>
      </c>
      <c r="T273" s="68">
        <f>IF(Q273="",0,DATEDIF(Q273,$C$1,"MD"))</f>
        <v>25</v>
      </c>
      <c r="U273" s="65"/>
      <c r="V273" s="65"/>
      <c r="W273" s="49" t="str">
        <f t="shared" si="93"/>
        <v/>
      </c>
      <c r="X273" s="68">
        <f>IF(W273="",0,DATEDIF(W273,Q273,"Y"))</f>
        <v>0</v>
      </c>
      <c r="Y273" s="68">
        <f>IF(W273="",0,DATEDIF(W273,Q273,"YM"))</f>
        <v>0</v>
      </c>
      <c r="Z273" s="68">
        <f>IF(W273="",0,DATEDIF(W273,Q273,"MD"))</f>
        <v>0</v>
      </c>
      <c r="AA273" s="49"/>
      <c r="AB273" s="65"/>
      <c r="AC273" s="50" t="str">
        <f t="shared" si="94"/>
        <v/>
      </c>
      <c r="AD273" s="68">
        <f t="shared" si="95"/>
        <v>0</v>
      </c>
      <c r="AE273" s="68">
        <f t="shared" si="96"/>
        <v>0</v>
      </c>
      <c r="AF273" s="68">
        <f t="shared" si="97"/>
        <v>0</v>
      </c>
      <c r="AG273" s="50"/>
      <c r="AH273" s="108"/>
      <c r="AI273" s="49" t="str">
        <f>IF(AH273="นิติศาสตร์","K5-LAW","K5-POLICY")</f>
        <v>K5-POLICY</v>
      </c>
      <c r="AJ273" s="72" t="str">
        <f>_xlfn.IFS(B273="","",AND(AI273="K5-LAW",AH273="นิติศาสตร์",L273="S2",U273="",AA273=""),Q273,AND(AI273="K5-LAW",AH273="นิติศาสตร์",L273="S1",U273="",AA273=""),EDATE(Q273,12),AND(AI273="K5-LAW",AH273="นิติศาสตร์",OR(L273="M2",L273="K4"),U273="",AA273=""),EDATE(Q273,12*2),AND(AI273="K5-LAW",AH273="นิติศาสตร์",OR(AA273="M2",AA273="K4"),AD273&gt;=2,OR(AC273&lt;W273,AC273&lt;Q273)),EDATE(AC273,12*2),AND(AI273="K5-LAW",AH273="นิติศาสตร์",AA273="S1",AD273&gt;=1,OR(AC273&lt;W273,AC273&lt;Q273)),EDATE(AC273,12),AND(AI273="K5-LAW",AH273="นิติศาสตร์",OR(U273="M2",U273="K4"),X273&gt;=2,W273&lt;Q273),EDATE(W273,12*2),AND(AI273="K5-LAW",AH273="นิติศาสตร์",U273="S1",X273&gt;=1,W273&lt;Q273),EDATE(W273,12),AND(AI273="K5-LAW",AH273="นิติศาสตร์",OR(U273="S2",U273="K5")),W273,AND(AI273="K5-LAW",AH273="นิติศาสตร์",OR(L273="M2",L273="K4"),R273&gt;=2),EDATE(Q273,12*2),AND(AI273="K5-LAW",AH273="นิติศาสตร์",L273="S1",R273&gt;=1),EDATE(Q273,12),AND(AI273="K5-LAW",AH273="นิติศาสตร์",OR(L273="S2",L273="K5")),Q273,AND(AI273="K5-POLICY",AH273&lt;&gt;"นิติศาสตร์",L273="S2",U273="",AA273=""),Q273,AND(AI273="K5-POLICY",AH273&lt;&gt;"นิติศาสตร์",L273="S1",U273="",AA273=""),EDATE(Q273,12),AND(AI273="K5-POLICY",AH273&lt;&gt;"นิติศาสตร์",OR(L273="M2",L273="K4"),U273="",AA273=""),EDATE(Q273,12*2),AND(AI273="K5-POLICY",AH273&lt;&gt;"นิติศาสตร์",OR(AA273="M2",AA273="K4"),AD273&gt;=2,OR(AC273&lt;W273,AC273&lt;Q273)),EDATE(AC273,12*2),AND(AI273="K5-POLICY",AH273&lt;&gt;"นิติศาสตร์",AA273="S1",AD273&gt;=1,OR(AC273&lt;W273,AC273&lt;Q273)),EDATE(AC273,12),AND(AI273="K5-POLICY",AH273&lt;&gt;"นิติศาสตร์",OR(U273="M2",U273="K4"),X273&gt;=2,W273&lt;Q273),EDATE(W273,12*2),AND(AI273="K5-POLICY",AH273&lt;&gt;"นิติศาสตร์",U273="S1",X273&gt;=1,W273&lt;Q273),EDATE(W273,12),AND(AI273="K5-POLICY",AH273&lt;&gt;"นิติศาสตร์",OR(U273="S2",U273="K5")),W273,AND(AI273="K5-POLICY",AH273&lt;&gt;"นิติศาสตร์",OR(L273="M2",L273="K4"),R273&gt;=2),EDATE(Q273,12*2),AND(AI273="K5-POLICY",AH273&lt;&gt;"นิติศาสตร์",L273="S1",R273&gt;=1),EDATE(Q273,12),AND(AI273="K5-POLICY",AH273&lt;&gt;"นิติศาสตร์",OR(L273="S2",L273="K5")),Q273,TRUE,"Check Data")</f>
        <v/>
      </c>
      <c r="AK273" s="75" t="str">
        <f t="shared" si="87"/>
        <v>Check Data</v>
      </c>
      <c r="AL273" s="76" t="str">
        <f t="shared" si="92"/>
        <v>Check Data</v>
      </c>
      <c r="AM273" s="50" t="str">
        <f t="shared" si="88"/>
        <v>Check Data</v>
      </c>
      <c r="AN273" s="49" t="str">
        <f>IF(B273="","",IF(L273="S1","S1",INDEX(#REF!,#REF!)))</f>
        <v/>
      </c>
      <c r="AO273" s="49" t="str">
        <f>L273</f>
        <v>M2</v>
      </c>
      <c r="AP273" s="50" t="b">
        <f>L273=AN273</f>
        <v>0</v>
      </c>
      <c r="AQ273" s="50"/>
    </row>
    <row r="274" spans="1:43" ht="21.75">
      <c r="A274" s="49">
        <v>272</v>
      </c>
      <c r="B274" s="50"/>
      <c r="C274" s="52"/>
      <c r="D274" s="50" t="s">
        <v>141</v>
      </c>
      <c r="E274" s="50" t="e">
        <f>INDEX(#REF!,#REF!)</f>
        <v>#REF!</v>
      </c>
      <c r="F274" s="49"/>
      <c r="G274" s="49"/>
      <c r="H274" s="50">
        <f t="shared" si="89"/>
        <v>0</v>
      </c>
      <c r="I274" s="50">
        <f t="shared" si="90"/>
        <v>0</v>
      </c>
      <c r="J274" s="50">
        <f t="shared" si="91"/>
        <v>0</v>
      </c>
      <c r="K274" s="50"/>
      <c r="L274" s="49" t="s">
        <v>136</v>
      </c>
      <c r="M274" s="64"/>
      <c r="N274" s="49"/>
      <c r="O274" s="49"/>
      <c r="P274" s="65" t="s">
        <v>442</v>
      </c>
      <c r="Q274" s="49" t="str">
        <f t="shared" si="86"/>
        <v>26/11/2024</v>
      </c>
      <c r="R274" s="68">
        <f>IF(Q274="",0,DATEDIF(Q274,$C$1,"Y"))</f>
        <v>0</v>
      </c>
      <c r="S274" s="68">
        <f>IF(Q274="",0,DATEDIF(Q274,$C$1,"YM"))</f>
        <v>6</v>
      </c>
      <c r="T274" s="68">
        <f>IF(Q274="",0,DATEDIF(Q274,$C$1,"MD"))</f>
        <v>25</v>
      </c>
      <c r="U274" s="65"/>
      <c r="V274" s="65"/>
      <c r="W274" s="49" t="str">
        <f t="shared" si="93"/>
        <v/>
      </c>
      <c r="X274" s="68">
        <f>IF(W274="",0,DATEDIF(W274,Q274,"Y"))</f>
        <v>0</v>
      </c>
      <c r="Y274" s="68">
        <f>IF(W274="",0,DATEDIF(W274,Q274,"YM"))</f>
        <v>0</v>
      </c>
      <c r="Z274" s="68">
        <f>IF(W274="",0,DATEDIF(W274,Q274,"MD"))</f>
        <v>0</v>
      </c>
      <c r="AA274" s="49"/>
      <c r="AB274" s="65"/>
      <c r="AC274" s="50" t="str">
        <f t="shared" si="94"/>
        <v/>
      </c>
      <c r="AD274" s="68">
        <f t="shared" si="95"/>
        <v>0</v>
      </c>
      <c r="AE274" s="68">
        <f t="shared" si="96"/>
        <v>0</v>
      </c>
      <c r="AF274" s="68">
        <f t="shared" si="97"/>
        <v>0</v>
      </c>
      <c r="AG274" s="50"/>
      <c r="AH274" s="108"/>
      <c r="AI274" s="49" t="str">
        <f>IF(AH274="นิติศาสตร์","K5-LAW","K5-POLICY")</f>
        <v>K5-POLICY</v>
      </c>
      <c r="AJ274" s="72" t="str">
        <f>_xlfn.IFS(B274="","",AND(AI274="K5-LAW",AH274="นิติศาสตร์",L274="S2",U274="",AA274=""),Q274,AND(AI274="K5-LAW",AH274="นิติศาสตร์",L274="S1",U274="",AA274=""),EDATE(Q274,12),AND(AI274="K5-LAW",AH274="นิติศาสตร์",OR(L274="M2",L274="K4"),U274="",AA274=""),EDATE(Q274,12*2),AND(AI274="K5-LAW",AH274="นิติศาสตร์",OR(AA274="M2",AA274="K4"),AD274&gt;=2,OR(AC274&lt;W274,AC274&lt;Q274)),EDATE(AC274,12*2),AND(AI274="K5-LAW",AH274="นิติศาสตร์",AA274="S1",AD274&gt;=1,OR(AC274&lt;W274,AC274&lt;Q274)),EDATE(AC274,12),AND(AI274="K5-LAW",AH274="นิติศาสตร์",OR(U274="M2",U274="K4"),X274&gt;=2,W274&lt;Q274),EDATE(W274,12*2),AND(AI274="K5-LAW",AH274="นิติศาสตร์",U274="S1",X274&gt;=1,W274&lt;Q274),EDATE(W274,12),AND(AI274="K5-LAW",AH274="นิติศาสตร์",OR(U274="S2",U274="K5")),W274,AND(AI274="K5-LAW",AH274="นิติศาสตร์",OR(L274="M2",L274="K4"),R274&gt;=2),EDATE(Q274,12*2),AND(AI274="K5-LAW",AH274="นิติศาสตร์",L274="S1",R274&gt;=1),EDATE(Q274,12),AND(AI274="K5-LAW",AH274="นิติศาสตร์",OR(L274="S2",L274="K5")),Q274,AND(AI274="K5-POLICY",AH274&lt;&gt;"นิติศาสตร์",L274="S2",U274="",AA274=""),Q274,AND(AI274="K5-POLICY",AH274&lt;&gt;"นิติศาสตร์",L274="S1",U274="",AA274=""),EDATE(Q274,12),AND(AI274="K5-POLICY",AH274&lt;&gt;"นิติศาสตร์",OR(L274="M2",L274="K4"),U274="",AA274=""),EDATE(Q274,12*2),AND(AI274="K5-POLICY",AH274&lt;&gt;"นิติศาสตร์",OR(AA274="M2",AA274="K4"),AD274&gt;=2,OR(AC274&lt;W274,AC274&lt;Q274)),EDATE(AC274,12*2),AND(AI274="K5-POLICY",AH274&lt;&gt;"นิติศาสตร์",AA274="S1",AD274&gt;=1,OR(AC274&lt;W274,AC274&lt;Q274)),EDATE(AC274,12),AND(AI274="K5-POLICY",AH274&lt;&gt;"นิติศาสตร์",OR(U274="M2",U274="K4"),X274&gt;=2,W274&lt;Q274),EDATE(W274,12*2),AND(AI274="K5-POLICY",AH274&lt;&gt;"นิติศาสตร์",U274="S1",X274&gt;=1,W274&lt;Q274),EDATE(W274,12),AND(AI274="K5-POLICY",AH274&lt;&gt;"นิติศาสตร์",OR(U274="S2",U274="K5")),W274,AND(AI274="K5-POLICY",AH274&lt;&gt;"นิติศาสตร์",OR(L274="M2",L274="K4"),R274&gt;=2),EDATE(Q274,12*2),AND(AI274="K5-POLICY",AH274&lt;&gt;"นิติศาสตร์",L274="S1",R274&gt;=1),EDATE(Q274,12),AND(AI274="K5-POLICY",AH274&lt;&gt;"นิติศาสตร์",OR(L274="S2",L274="K5")),Q274,TRUE,"Check Data")</f>
        <v/>
      </c>
      <c r="AK274" s="75" t="str">
        <f t="shared" si="87"/>
        <v>Check Data</v>
      </c>
      <c r="AL274" s="76" t="str">
        <f t="shared" si="92"/>
        <v>Check Data</v>
      </c>
      <c r="AM274" s="50" t="str">
        <f t="shared" si="88"/>
        <v>Check Data</v>
      </c>
      <c r="AN274" s="49" t="str">
        <f>IF(B274="","",IF(L274="S1","S1",INDEX(#REF!,#REF!)))</f>
        <v/>
      </c>
      <c r="AO274" s="49" t="str">
        <f>L274</f>
        <v>M2</v>
      </c>
      <c r="AP274" s="50" t="b">
        <f>L274=AN274</f>
        <v>0</v>
      </c>
      <c r="AQ274" s="50"/>
    </row>
    <row r="275" spans="1:43" ht="21.75">
      <c r="A275" s="49">
        <v>273</v>
      </c>
      <c r="B275" s="50"/>
      <c r="C275" s="52"/>
      <c r="D275" s="50" t="s">
        <v>141</v>
      </c>
      <c r="E275" s="50" t="e">
        <f>INDEX(#REF!,#REF!)</f>
        <v>#REF!</v>
      </c>
      <c r="F275" s="49"/>
      <c r="G275" s="49"/>
      <c r="H275" s="50">
        <f t="shared" si="89"/>
        <v>0</v>
      </c>
      <c r="I275" s="50">
        <f t="shared" si="90"/>
        <v>0</v>
      </c>
      <c r="J275" s="50">
        <f t="shared" si="91"/>
        <v>0</v>
      </c>
      <c r="K275" s="50"/>
      <c r="L275" s="49" t="s">
        <v>136</v>
      </c>
      <c r="M275" s="64"/>
      <c r="N275" s="49"/>
      <c r="O275" s="49"/>
      <c r="P275" s="65" t="s">
        <v>442</v>
      </c>
      <c r="Q275" s="49" t="str">
        <f t="shared" si="86"/>
        <v>26/11/2024</v>
      </c>
      <c r="R275" s="68">
        <f>IF(Q275="",0,DATEDIF(Q275,$C$1,"Y"))</f>
        <v>0</v>
      </c>
      <c r="S275" s="68">
        <f>IF(Q275="",0,DATEDIF(Q275,$C$1,"YM"))</f>
        <v>6</v>
      </c>
      <c r="T275" s="68">
        <f>IF(Q275="",0,DATEDIF(Q275,$C$1,"MD"))</f>
        <v>25</v>
      </c>
      <c r="U275" s="65"/>
      <c r="V275" s="65"/>
      <c r="W275" s="49" t="str">
        <f t="shared" si="93"/>
        <v/>
      </c>
      <c r="X275" s="68">
        <f>IF(W275="",0,DATEDIF(W275,Q275,"Y"))</f>
        <v>0</v>
      </c>
      <c r="Y275" s="68">
        <f>IF(W275="",0,DATEDIF(W275,Q275,"YM"))</f>
        <v>0</v>
      </c>
      <c r="Z275" s="68">
        <f>IF(W275="",0,DATEDIF(W275,Q275,"MD"))</f>
        <v>0</v>
      </c>
      <c r="AA275" s="49"/>
      <c r="AB275" s="65"/>
      <c r="AC275" s="50" t="str">
        <f t="shared" si="94"/>
        <v/>
      </c>
      <c r="AD275" s="68">
        <f t="shared" si="95"/>
        <v>0</v>
      </c>
      <c r="AE275" s="68">
        <f t="shared" si="96"/>
        <v>0</v>
      </c>
      <c r="AF275" s="68">
        <f t="shared" si="97"/>
        <v>0</v>
      </c>
      <c r="AG275" s="50"/>
      <c r="AH275" s="108"/>
      <c r="AI275" s="49" t="str">
        <f>IF(AH275="นิติศาสตร์","K5-LAW","K5-POLICY")</f>
        <v>K5-POLICY</v>
      </c>
      <c r="AJ275" s="72" t="str">
        <f>_xlfn.IFS(B275="","",AND(AI275="K5-LAW",AH275="นิติศาสตร์",L275="S2",U275="",AA275=""),Q275,AND(AI275="K5-LAW",AH275="นิติศาสตร์",L275="S1",U275="",AA275=""),EDATE(Q275,12),AND(AI275="K5-LAW",AH275="นิติศาสตร์",OR(L275="M2",L275="K4"),U275="",AA275=""),EDATE(Q275,12*2),AND(AI275="K5-LAW",AH275="นิติศาสตร์",OR(AA275="M2",AA275="K4"),AD275&gt;=2,OR(AC275&lt;W275,AC275&lt;Q275)),EDATE(AC275,12*2),AND(AI275="K5-LAW",AH275="นิติศาสตร์",AA275="S1",AD275&gt;=1,OR(AC275&lt;W275,AC275&lt;Q275)),EDATE(AC275,12),AND(AI275="K5-LAW",AH275="นิติศาสตร์",OR(U275="M2",U275="K4"),X275&gt;=2,W275&lt;Q275),EDATE(W275,12*2),AND(AI275="K5-LAW",AH275="นิติศาสตร์",U275="S1",X275&gt;=1,W275&lt;Q275),EDATE(W275,12),AND(AI275="K5-LAW",AH275="นิติศาสตร์",OR(U275="S2",U275="K5")),W275,AND(AI275="K5-LAW",AH275="นิติศาสตร์",OR(L275="M2",L275="K4"),R275&gt;=2),EDATE(Q275,12*2),AND(AI275="K5-LAW",AH275="นิติศาสตร์",L275="S1",R275&gt;=1),EDATE(Q275,12),AND(AI275="K5-LAW",AH275="นิติศาสตร์",OR(L275="S2",L275="K5")),Q275,AND(AI275="K5-POLICY",AH275&lt;&gt;"นิติศาสตร์",L275="S2",U275="",AA275=""),Q275,AND(AI275="K5-POLICY",AH275&lt;&gt;"นิติศาสตร์",L275="S1",U275="",AA275=""),EDATE(Q275,12),AND(AI275="K5-POLICY",AH275&lt;&gt;"นิติศาสตร์",OR(L275="M2",L275="K4"),U275="",AA275=""),EDATE(Q275,12*2),AND(AI275="K5-POLICY",AH275&lt;&gt;"นิติศาสตร์",OR(AA275="M2",AA275="K4"),AD275&gt;=2,OR(AC275&lt;W275,AC275&lt;Q275)),EDATE(AC275,12*2),AND(AI275="K5-POLICY",AH275&lt;&gt;"นิติศาสตร์",AA275="S1",AD275&gt;=1,OR(AC275&lt;W275,AC275&lt;Q275)),EDATE(AC275,12),AND(AI275="K5-POLICY",AH275&lt;&gt;"นิติศาสตร์",OR(U275="M2",U275="K4"),X275&gt;=2,W275&lt;Q275),EDATE(W275,12*2),AND(AI275="K5-POLICY",AH275&lt;&gt;"นิติศาสตร์",U275="S1",X275&gt;=1,W275&lt;Q275),EDATE(W275,12),AND(AI275="K5-POLICY",AH275&lt;&gt;"นิติศาสตร์",OR(U275="S2",U275="K5")),W275,AND(AI275="K5-POLICY",AH275&lt;&gt;"นิติศาสตร์",OR(L275="M2",L275="K4"),R275&gt;=2),EDATE(Q275,12*2),AND(AI275="K5-POLICY",AH275&lt;&gt;"นิติศาสตร์",L275="S1",R275&gt;=1),EDATE(Q275,12),AND(AI275="K5-POLICY",AH275&lt;&gt;"นิติศาสตร์",OR(L275="S2",L275="K5")),Q275,TRUE,"Check Data")</f>
        <v/>
      </c>
      <c r="AK275" s="75" t="str">
        <f t="shared" si="87"/>
        <v>Check Data</v>
      </c>
      <c r="AL275" s="76" t="str">
        <f t="shared" si="92"/>
        <v>Check Data</v>
      </c>
      <c r="AM275" s="50" t="str">
        <f t="shared" si="88"/>
        <v>Check Data</v>
      </c>
      <c r="AN275" s="49" t="str">
        <f>IF(B275="","",IF(L275="S1","S1",INDEX(#REF!,#REF!)))</f>
        <v/>
      </c>
      <c r="AO275" s="49" t="str">
        <f>L275</f>
        <v>M2</v>
      </c>
      <c r="AP275" s="50" t="b">
        <f>L275=AN275</f>
        <v>0</v>
      </c>
      <c r="AQ275" s="50"/>
    </row>
    <row r="276" spans="1:43" ht="21.75">
      <c r="A276" s="49">
        <v>274</v>
      </c>
      <c r="B276" s="50"/>
      <c r="C276" s="52"/>
      <c r="D276" s="50" t="s">
        <v>141</v>
      </c>
      <c r="E276" s="50" t="e">
        <f>INDEX(#REF!,#REF!)</f>
        <v>#REF!</v>
      </c>
      <c r="F276" s="49"/>
      <c r="G276" s="49"/>
      <c r="H276" s="50">
        <f t="shared" si="89"/>
        <v>0</v>
      </c>
      <c r="I276" s="50">
        <f t="shared" si="90"/>
        <v>0</v>
      </c>
      <c r="J276" s="50">
        <f t="shared" si="91"/>
        <v>0</v>
      </c>
      <c r="K276" s="50"/>
      <c r="L276" s="49" t="s">
        <v>136</v>
      </c>
      <c r="M276" s="64"/>
      <c r="N276" s="49"/>
      <c r="O276" s="49"/>
      <c r="P276" s="65" t="s">
        <v>442</v>
      </c>
      <c r="Q276" s="49" t="str">
        <f t="shared" si="86"/>
        <v>26/11/2024</v>
      </c>
      <c r="R276" s="68">
        <f>IF(Q276="",0,DATEDIF(Q276,$C$1,"Y"))</f>
        <v>0</v>
      </c>
      <c r="S276" s="68">
        <f>IF(Q276="",0,DATEDIF(Q276,$C$1,"YM"))</f>
        <v>6</v>
      </c>
      <c r="T276" s="68">
        <f>IF(Q276="",0,DATEDIF(Q276,$C$1,"MD"))</f>
        <v>25</v>
      </c>
      <c r="U276" s="65"/>
      <c r="V276" s="65"/>
      <c r="W276" s="49" t="str">
        <f t="shared" si="93"/>
        <v/>
      </c>
      <c r="X276" s="68">
        <f>IF(W276="",0,DATEDIF(W276,Q276,"Y"))</f>
        <v>0</v>
      </c>
      <c r="Y276" s="68">
        <f>IF(W276="",0,DATEDIF(W276,Q276,"YM"))</f>
        <v>0</v>
      </c>
      <c r="Z276" s="68">
        <f>IF(W276="",0,DATEDIF(W276,Q276,"MD"))</f>
        <v>0</v>
      </c>
      <c r="AA276" s="49"/>
      <c r="AB276" s="65"/>
      <c r="AC276" s="50" t="str">
        <f t="shared" si="94"/>
        <v/>
      </c>
      <c r="AD276" s="68">
        <f t="shared" si="95"/>
        <v>0</v>
      </c>
      <c r="AE276" s="68">
        <f t="shared" si="96"/>
        <v>0</v>
      </c>
      <c r="AF276" s="68">
        <f t="shared" si="97"/>
        <v>0</v>
      </c>
      <c r="AG276" s="50"/>
      <c r="AH276" s="108"/>
      <c r="AI276" s="49" t="str">
        <f>IF(AH276="นิติศาสตร์","K5-LAW","K5-POLICY")</f>
        <v>K5-POLICY</v>
      </c>
      <c r="AJ276" s="72" t="str">
        <f>_xlfn.IFS(B276="","",AND(AI276="K5-LAW",AH276="นิติศาสตร์",L276="S2",U276="",AA276=""),Q276,AND(AI276="K5-LAW",AH276="นิติศาสตร์",L276="S1",U276="",AA276=""),EDATE(Q276,12),AND(AI276="K5-LAW",AH276="นิติศาสตร์",OR(L276="M2",L276="K4"),U276="",AA276=""),EDATE(Q276,12*2),AND(AI276="K5-LAW",AH276="นิติศาสตร์",OR(AA276="M2",AA276="K4"),AD276&gt;=2,OR(AC276&lt;W276,AC276&lt;Q276)),EDATE(AC276,12*2),AND(AI276="K5-LAW",AH276="นิติศาสตร์",AA276="S1",AD276&gt;=1,OR(AC276&lt;W276,AC276&lt;Q276)),EDATE(AC276,12),AND(AI276="K5-LAW",AH276="นิติศาสตร์",OR(U276="M2",U276="K4"),X276&gt;=2,W276&lt;Q276),EDATE(W276,12*2),AND(AI276="K5-LAW",AH276="นิติศาสตร์",U276="S1",X276&gt;=1,W276&lt;Q276),EDATE(W276,12),AND(AI276="K5-LAW",AH276="นิติศาสตร์",OR(U276="S2",U276="K5")),W276,AND(AI276="K5-LAW",AH276="นิติศาสตร์",OR(L276="M2",L276="K4"),R276&gt;=2),EDATE(Q276,12*2),AND(AI276="K5-LAW",AH276="นิติศาสตร์",L276="S1",R276&gt;=1),EDATE(Q276,12),AND(AI276="K5-LAW",AH276="นิติศาสตร์",OR(L276="S2",L276="K5")),Q276,AND(AI276="K5-POLICY",AH276&lt;&gt;"นิติศาสตร์",L276="S2",U276="",AA276=""),Q276,AND(AI276="K5-POLICY",AH276&lt;&gt;"นิติศาสตร์",L276="S1",U276="",AA276=""),EDATE(Q276,12),AND(AI276="K5-POLICY",AH276&lt;&gt;"นิติศาสตร์",OR(L276="M2",L276="K4"),U276="",AA276=""),EDATE(Q276,12*2),AND(AI276="K5-POLICY",AH276&lt;&gt;"นิติศาสตร์",OR(AA276="M2",AA276="K4"),AD276&gt;=2,OR(AC276&lt;W276,AC276&lt;Q276)),EDATE(AC276,12*2),AND(AI276="K5-POLICY",AH276&lt;&gt;"นิติศาสตร์",AA276="S1",AD276&gt;=1,OR(AC276&lt;W276,AC276&lt;Q276)),EDATE(AC276,12),AND(AI276="K5-POLICY",AH276&lt;&gt;"นิติศาสตร์",OR(U276="M2",U276="K4"),X276&gt;=2,W276&lt;Q276),EDATE(W276,12*2),AND(AI276="K5-POLICY",AH276&lt;&gt;"นิติศาสตร์",U276="S1",X276&gt;=1,W276&lt;Q276),EDATE(W276,12),AND(AI276="K5-POLICY",AH276&lt;&gt;"นิติศาสตร์",OR(U276="S2",U276="K5")),W276,AND(AI276="K5-POLICY",AH276&lt;&gt;"นิติศาสตร์",OR(L276="M2",L276="K4"),R276&gt;=2),EDATE(Q276,12*2),AND(AI276="K5-POLICY",AH276&lt;&gt;"นิติศาสตร์",L276="S1",R276&gt;=1),EDATE(Q276,12),AND(AI276="K5-POLICY",AH276&lt;&gt;"นิติศาสตร์",OR(L276="S2",L276="K5")),Q276,TRUE,"Check Data")</f>
        <v/>
      </c>
      <c r="AK276" s="75" t="str">
        <f t="shared" si="87"/>
        <v>Check Data</v>
      </c>
      <c r="AL276" s="76" t="str">
        <f t="shared" si="92"/>
        <v>Check Data</v>
      </c>
      <c r="AM276" s="50" t="str">
        <f t="shared" si="88"/>
        <v>Check Data</v>
      </c>
      <c r="AN276" s="49" t="str">
        <f>IF(B276="","",IF(L276="S1","S1",INDEX(#REF!,#REF!)))</f>
        <v/>
      </c>
      <c r="AO276" s="49" t="str">
        <f>L276</f>
        <v>M2</v>
      </c>
      <c r="AP276" s="50" t="b">
        <f>L276=AN276</f>
        <v>0</v>
      </c>
      <c r="AQ276" s="50"/>
    </row>
    <row r="277" spans="1:43" ht="21.75">
      <c r="A277" s="49">
        <v>275</v>
      </c>
      <c r="B277" s="50"/>
      <c r="C277" s="52"/>
      <c r="D277" s="50" t="s">
        <v>141</v>
      </c>
      <c r="E277" s="50" t="e">
        <f>INDEX(#REF!,#REF!)</f>
        <v>#REF!</v>
      </c>
      <c r="F277" s="49"/>
      <c r="G277" s="49"/>
      <c r="H277" s="50">
        <f t="shared" si="89"/>
        <v>0</v>
      </c>
      <c r="I277" s="50">
        <f t="shared" si="90"/>
        <v>0</v>
      </c>
      <c r="J277" s="50">
        <f t="shared" si="91"/>
        <v>0</v>
      </c>
      <c r="K277" s="50"/>
      <c r="L277" s="49" t="s">
        <v>136</v>
      </c>
      <c r="M277" s="64"/>
      <c r="N277" s="49"/>
      <c r="O277" s="49"/>
      <c r="P277" s="65" t="s">
        <v>442</v>
      </c>
      <c r="Q277" s="49" t="str">
        <f t="shared" si="86"/>
        <v>26/11/2024</v>
      </c>
      <c r="R277" s="68">
        <f>IF(Q277="",0,DATEDIF(Q277,$C$1,"Y"))</f>
        <v>0</v>
      </c>
      <c r="S277" s="68">
        <f>IF(Q277="",0,DATEDIF(Q277,$C$1,"YM"))</f>
        <v>6</v>
      </c>
      <c r="T277" s="68">
        <f>IF(Q277="",0,DATEDIF(Q277,$C$1,"MD"))</f>
        <v>25</v>
      </c>
      <c r="U277" s="65"/>
      <c r="V277" s="65"/>
      <c r="W277" s="49" t="str">
        <f t="shared" si="93"/>
        <v/>
      </c>
      <c r="X277" s="68">
        <f>IF(W277="",0,DATEDIF(W277,Q277,"Y"))</f>
        <v>0</v>
      </c>
      <c r="Y277" s="68">
        <f>IF(W277="",0,DATEDIF(W277,Q277,"YM"))</f>
        <v>0</v>
      </c>
      <c r="Z277" s="68">
        <f>IF(W277="",0,DATEDIF(W277,Q277,"MD"))</f>
        <v>0</v>
      </c>
      <c r="AA277" s="49"/>
      <c r="AB277" s="65"/>
      <c r="AC277" s="50" t="str">
        <f t="shared" si="94"/>
        <v/>
      </c>
      <c r="AD277" s="68">
        <f t="shared" si="95"/>
        <v>0</v>
      </c>
      <c r="AE277" s="68">
        <f t="shared" si="96"/>
        <v>0</v>
      </c>
      <c r="AF277" s="68">
        <f t="shared" si="97"/>
        <v>0</v>
      </c>
      <c r="AG277" s="50"/>
      <c r="AH277" s="108"/>
      <c r="AI277" s="49" t="str">
        <f>IF(AH277="นิติศาสตร์","K5-LAW","K5-POLICY")</f>
        <v>K5-POLICY</v>
      </c>
      <c r="AJ277" s="72" t="str">
        <f>_xlfn.IFS(B277="","",AND(AI277="K5-LAW",AH277="นิติศาสตร์",L277="S2",U277="",AA277=""),Q277,AND(AI277="K5-LAW",AH277="นิติศาสตร์",L277="S1",U277="",AA277=""),EDATE(Q277,12),AND(AI277="K5-LAW",AH277="นิติศาสตร์",OR(L277="M2",L277="K4"),U277="",AA277=""),EDATE(Q277,12*2),AND(AI277="K5-LAW",AH277="นิติศาสตร์",OR(AA277="M2",AA277="K4"),AD277&gt;=2,OR(AC277&lt;W277,AC277&lt;Q277)),EDATE(AC277,12*2),AND(AI277="K5-LAW",AH277="นิติศาสตร์",AA277="S1",AD277&gt;=1,OR(AC277&lt;W277,AC277&lt;Q277)),EDATE(AC277,12),AND(AI277="K5-LAW",AH277="นิติศาสตร์",OR(U277="M2",U277="K4"),X277&gt;=2,W277&lt;Q277),EDATE(W277,12*2),AND(AI277="K5-LAW",AH277="นิติศาสตร์",U277="S1",X277&gt;=1,W277&lt;Q277),EDATE(W277,12),AND(AI277="K5-LAW",AH277="นิติศาสตร์",OR(U277="S2",U277="K5")),W277,AND(AI277="K5-LAW",AH277="นิติศาสตร์",OR(L277="M2",L277="K4"),R277&gt;=2),EDATE(Q277,12*2),AND(AI277="K5-LAW",AH277="นิติศาสตร์",L277="S1",R277&gt;=1),EDATE(Q277,12),AND(AI277="K5-LAW",AH277="นิติศาสตร์",OR(L277="S2",L277="K5")),Q277,AND(AI277="K5-POLICY",AH277&lt;&gt;"นิติศาสตร์",L277="S2",U277="",AA277=""),Q277,AND(AI277="K5-POLICY",AH277&lt;&gt;"นิติศาสตร์",L277="S1",U277="",AA277=""),EDATE(Q277,12),AND(AI277="K5-POLICY",AH277&lt;&gt;"นิติศาสตร์",OR(L277="M2",L277="K4"),U277="",AA277=""),EDATE(Q277,12*2),AND(AI277="K5-POLICY",AH277&lt;&gt;"นิติศาสตร์",OR(AA277="M2",AA277="K4"),AD277&gt;=2,OR(AC277&lt;W277,AC277&lt;Q277)),EDATE(AC277,12*2),AND(AI277="K5-POLICY",AH277&lt;&gt;"นิติศาสตร์",AA277="S1",AD277&gt;=1,OR(AC277&lt;W277,AC277&lt;Q277)),EDATE(AC277,12),AND(AI277="K5-POLICY",AH277&lt;&gt;"นิติศาสตร์",OR(U277="M2",U277="K4"),X277&gt;=2,W277&lt;Q277),EDATE(W277,12*2),AND(AI277="K5-POLICY",AH277&lt;&gt;"นิติศาสตร์",U277="S1",X277&gt;=1,W277&lt;Q277),EDATE(W277,12),AND(AI277="K5-POLICY",AH277&lt;&gt;"นิติศาสตร์",OR(U277="S2",U277="K5")),W277,AND(AI277="K5-POLICY",AH277&lt;&gt;"นิติศาสตร์",OR(L277="M2",L277="K4"),R277&gt;=2),EDATE(Q277,12*2),AND(AI277="K5-POLICY",AH277&lt;&gt;"นิติศาสตร์",L277="S1",R277&gt;=1),EDATE(Q277,12),AND(AI277="K5-POLICY",AH277&lt;&gt;"นิติศาสตร์",OR(L277="S2",L277="K5")),Q277,TRUE,"Check Data")</f>
        <v/>
      </c>
      <c r="AK277" s="75" t="str">
        <f t="shared" si="87"/>
        <v>Check Data</v>
      </c>
      <c r="AL277" s="76" t="str">
        <f t="shared" si="92"/>
        <v>Check Data</v>
      </c>
      <c r="AM277" s="50" t="str">
        <f t="shared" si="88"/>
        <v>Check Data</v>
      </c>
      <c r="AN277" s="49" t="str">
        <f>IF(B277="","",IF(L277="S1","S1",INDEX(#REF!,#REF!)))</f>
        <v/>
      </c>
      <c r="AO277" s="49" t="str">
        <f>L277</f>
        <v>M2</v>
      </c>
      <c r="AP277" s="50" t="b">
        <f>L277=AN277</f>
        <v>0</v>
      </c>
      <c r="AQ277" s="50"/>
    </row>
    <row r="278" spans="1:43" ht="21.75">
      <c r="A278" s="49">
        <v>276</v>
      </c>
      <c r="B278" s="50"/>
      <c r="C278" s="52"/>
      <c r="D278" s="50" t="s">
        <v>141</v>
      </c>
      <c r="E278" s="50" t="e">
        <f>INDEX(#REF!,#REF!)</f>
        <v>#REF!</v>
      </c>
      <c r="F278" s="49"/>
      <c r="G278" s="49"/>
      <c r="H278" s="50">
        <f t="shared" si="89"/>
        <v>0</v>
      </c>
      <c r="I278" s="50">
        <f t="shared" si="90"/>
        <v>0</v>
      </c>
      <c r="J278" s="50">
        <f t="shared" si="91"/>
        <v>0</v>
      </c>
      <c r="K278" s="50"/>
      <c r="L278" s="49" t="s">
        <v>136</v>
      </c>
      <c r="M278" s="64"/>
      <c r="N278" s="49"/>
      <c r="O278" s="49"/>
      <c r="P278" s="65" t="s">
        <v>442</v>
      </c>
      <c r="Q278" s="49" t="str">
        <f t="shared" si="86"/>
        <v>26/11/2024</v>
      </c>
      <c r="R278" s="68">
        <f>IF(Q278="",0,DATEDIF(Q278,$C$1,"Y"))</f>
        <v>0</v>
      </c>
      <c r="S278" s="68">
        <f>IF(Q278="",0,DATEDIF(Q278,$C$1,"YM"))</f>
        <v>6</v>
      </c>
      <c r="T278" s="68">
        <f>IF(Q278="",0,DATEDIF(Q278,$C$1,"MD"))</f>
        <v>25</v>
      </c>
      <c r="U278" s="65"/>
      <c r="V278" s="65"/>
      <c r="W278" s="49" t="str">
        <f t="shared" si="93"/>
        <v/>
      </c>
      <c r="X278" s="68">
        <f>IF(W278="",0,DATEDIF(W278,Q278,"Y"))</f>
        <v>0</v>
      </c>
      <c r="Y278" s="68">
        <f>IF(W278="",0,DATEDIF(W278,Q278,"YM"))</f>
        <v>0</v>
      </c>
      <c r="Z278" s="68">
        <f>IF(W278="",0,DATEDIF(W278,Q278,"MD"))</f>
        <v>0</v>
      </c>
      <c r="AA278" s="49"/>
      <c r="AB278" s="65"/>
      <c r="AC278" s="50" t="str">
        <f t="shared" si="94"/>
        <v/>
      </c>
      <c r="AD278" s="68">
        <f t="shared" si="95"/>
        <v>0</v>
      </c>
      <c r="AE278" s="68">
        <f t="shared" si="96"/>
        <v>0</v>
      </c>
      <c r="AF278" s="68">
        <f t="shared" si="97"/>
        <v>0</v>
      </c>
      <c r="AG278" s="50"/>
      <c r="AH278" s="108"/>
      <c r="AI278" s="49" t="str">
        <f>IF(AH278="นิติศาสตร์","K5-LAW","K5-POLICY")</f>
        <v>K5-POLICY</v>
      </c>
      <c r="AJ278" s="72" t="str">
        <f>_xlfn.IFS(B278="","",AND(AI278="K5-LAW",AH278="นิติศาสตร์",L278="S2",U278="",AA278=""),Q278,AND(AI278="K5-LAW",AH278="นิติศาสตร์",L278="S1",U278="",AA278=""),EDATE(Q278,12),AND(AI278="K5-LAW",AH278="นิติศาสตร์",OR(L278="M2",L278="K4"),U278="",AA278=""),EDATE(Q278,12*2),AND(AI278="K5-LAW",AH278="นิติศาสตร์",OR(AA278="M2",AA278="K4"),AD278&gt;=2,OR(AC278&lt;W278,AC278&lt;Q278)),EDATE(AC278,12*2),AND(AI278="K5-LAW",AH278="นิติศาสตร์",AA278="S1",AD278&gt;=1,OR(AC278&lt;W278,AC278&lt;Q278)),EDATE(AC278,12),AND(AI278="K5-LAW",AH278="นิติศาสตร์",OR(U278="M2",U278="K4"),X278&gt;=2,W278&lt;Q278),EDATE(W278,12*2),AND(AI278="K5-LAW",AH278="นิติศาสตร์",U278="S1",X278&gt;=1,W278&lt;Q278),EDATE(W278,12),AND(AI278="K5-LAW",AH278="นิติศาสตร์",OR(U278="S2",U278="K5")),W278,AND(AI278="K5-LAW",AH278="นิติศาสตร์",OR(L278="M2",L278="K4"),R278&gt;=2),EDATE(Q278,12*2),AND(AI278="K5-LAW",AH278="นิติศาสตร์",L278="S1",R278&gt;=1),EDATE(Q278,12),AND(AI278="K5-LAW",AH278="นิติศาสตร์",OR(L278="S2",L278="K5")),Q278,AND(AI278="K5-POLICY",AH278&lt;&gt;"นิติศาสตร์",L278="S2",U278="",AA278=""),Q278,AND(AI278="K5-POLICY",AH278&lt;&gt;"นิติศาสตร์",L278="S1",U278="",AA278=""),EDATE(Q278,12),AND(AI278="K5-POLICY",AH278&lt;&gt;"นิติศาสตร์",OR(L278="M2",L278="K4"),U278="",AA278=""),EDATE(Q278,12*2),AND(AI278="K5-POLICY",AH278&lt;&gt;"นิติศาสตร์",OR(AA278="M2",AA278="K4"),AD278&gt;=2,OR(AC278&lt;W278,AC278&lt;Q278)),EDATE(AC278,12*2),AND(AI278="K5-POLICY",AH278&lt;&gt;"นิติศาสตร์",AA278="S1",AD278&gt;=1,OR(AC278&lt;W278,AC278&lt;Q278)),EDATE(AC278,12),AND(AI278="K5-POLICY",AH278&lt;&gt;"นิติศาสตร์",OR(U278="M2",U278="K4"),X278&gt;=2,W278&lt;Q278),EDATE(W278,12*2),AND(AI278="K5-POLICY",AH278&lt;&gt;"นิติศาสตร์",U278="S1",X278&gt;=1,W278&lt;Q278),EDATE(W278,12),AND(AI278="K5-POLICY",AH278&lt;&gt;"นิติศาสตร์",OR(U278="S2",U278="K5")),W278,AND(AI278="K5-POLICY",AH278&lt;&gt;"นิติศาสตร์",OR(L278="M2",L278="K4"),R278&gt;=2),EDATE(Q278,12*2),AND(AI278="K5-POLICY",AH278&lt;&gt;"นิติศาสตร์",L278="S1",R278&gt;=1),EDATE(Q278,12),AND(AI278="K5-POLICY",AH278&lt;&gt;"นิติศาสตร์",OR(L278="S2",L278="K5")),Q278,TRUE,"Check Data")</f>
        <v/>
      </c>
      <c r="AK278" s="75" t="str">
        <f t="shared" si="87"/>
        <v>Check Data</v>
      </c>
      <c r="AL278" s="76" t="str">
        <f t="shared" si="92"/>
        <v>Check Data</v>
      </c>
      <c r="AM278" s="50" t="str">
        <f t="shared" si="88"/>
        <v>Check Data</v>
      </c>
      <c r="AN278" s="49" t="str">
        <f>IF(B278="","",IF(L278="S1","S1",INDEX(#REF!,#REF!)))</f>
        <v/>
      </c>
      <c r="AO278" s="49" t="str">
        <f>L278</f>
        <v>M2</v>
      </c>
      <c r="AP278" s="50" t="b">
        <f>L278=AN278</f>
        <v>0</v>
      </c>
      <c r="AQ278" s="50"/>
    </row>
    <row r="279" spans="1:43" ht="21.75">
      <c r="A279" s="49">
        <v>277</v>
      </c>
      <c r="B279" s="50"/>
      <c r="C279" s="52"/>
      <c r="D279" s="50" t="s">
        <v>141</v>
      </c>
      <c r="E279" s="50" t="e">
        <f>INDEX(#REF!,#REF!)</f>
        <v>#REF!</v>
      </c>
      <c r="F279" s="49"/>
      <c r="G279" s="49"/>
      <c r="H279" s="50">
        <f t="shared" si="89"/>
        <v>0</v>
      </c>
      <c r="I279" s="50">
        <f t="shared" si="90"/>
        <v>0</v>
      </c>
      <c r="J279" s="50">
        <f t="shared" si="91"/>
        <v>0</v>
      </c>
      <c r="K279" s="50"/>
      <c r="L279" s="49" t="s">
        <v>136</v>
      </c>
      <c r="M279" s="64"/>
      <c r="N279" s="49"/>
      <c r="O279" s="49"/>
      <c r="P279" s="65" t="s">
        <v>442</v>
      </c>
      <c r="Q279" s="49" t="str">
        <f t="shared" si="86"/>
        <v>26/11/2024</v>
      </c>
      <c r="R279" s="68">
        <f>IF(Q279="",0,DATEDIF(Q279,$C$1,"Y"))</f>
        <v>0</v>
      </c>
      <c r="S279" s="68">
        <f>IF(Q279="",0,DATEDIF(Q279,$C$1,"YM"))</f>
        <v>6</v>
      </c>
      <c r="T279" s="68">
        <f>IF(Q279="",0,DATEDIF(Q279,$C$1,"MD"))</f>
        <v>25</v>
      </c>
      <c r="U279" s="65"/>
      <c r="V279" s="65"/>
      <c r="W279" s="49" t="str">
        <f t="shared" si="93"/>
        <v/>
      </c>
      <c r="X279" s="68">
        <f>IF(W279="",0,DATEDIF(W279,Q279,"Y"))</f>
        <v>0</v>
      </c>
      <c r="Y279" s="68">
        <f>IF(W279="",0,DATEDIF(W279,Q279,"YM"))</f>
        <v>0</v>
      </c>
      <c r="Z279" s="68">
        <f>IF(W279="",0,DATEDIF(W279,Q279,"MD"))</f>
        <v>0</v>
      </c>
      <c r="AA279" s="49"/>
      <c r="AB279" s="65"/>
      <c r="AC279" s="50" t="str">
        <f t="shared" si="94"/>
        <v/>
      </c>
      <c r="AD279" s="68">
        <f t="shared" si="95"/>
        <v>0</v>
      </c>
      <c r="AE279" s="68">
        <f t="shared" si="96"/>
        <v>0</v>
      </c>
      <c r="AF279" s="68">
        <f t="shared" si="97"/>
        <v>0</v>
      </c>
      <c r="AG279" s="50"/>
      <c r="AH279" s="108"/>
      <c r="AI279" s="49" t="str">
        <f>IF(AH279="นิติศาสตร์","K5-LAW","K5-POLICY")</f>
        <v>K5-POLICY</v>
      </c>
      <c r="AJ279" s="72" t="str">
        <f>_xlfn.IFS(B279="","",AND(AI279="K5-LAW",AH279="นิติศาสตร์",L279="S2",U279="",AA279=""),Q279,AND(AI279="K5-LAW",AH279="นิติศาสตร์",L279="S1",U279="",AA279=""),EDATE(Q279,12),AND(AI279="K5-LAW",AH279="นิติศาสตร์",OR(L279="M2",L279="K4"),U279="",AA279=""),EDATE(Q279,12*2),AND(AI279="K5-LAW",AH279="นิติศาสตร์",OR(AA279="M2",AA279="K4"),AD279&gt;=2,OR(AC279&lt;W279,AC279&lt;Q279)),EDATE(AC279,12*2),AND(AI279="K5-LAW",AH279="นิติศาสตร์",AA279="S1",AD279&gt;=1,OR(AC279&lt;W279,AC279&lt;Q279)),EDATE(AC279,12),AND(AI279="K5-LAW",AH279="นิติศาสตร์",OR(U279="M2",U279="K4"),X279&gt;=2,W279&lt;Q279),EDATE(W279,12*2),AND(AI279="K5-LAW",AH279="นิติศาสตร์",U279="S1",X279&gt;=1,W279&lt;Q279),EDATE(W279,12),AND(AI279="K5-LAW",AH279="นิติศาสตร์",OR(U279="S2",U279="K5")),W279,AND(AI279="K5-LAW",AH279="นิติศาสตร์",OR(L279="M2",L279="K4"),R279&gt;=2),EDATE(Q279,12*2),AND(AI279="K5-LAW",AH279="นิติศาสตร์",L279="S1",R279&gt;=1),EDATE(Q279,12),AND(AI279="K5-LAW",AH279="นิติศาสตร์",OR(L279="S2",L279="K5")),Q279,AND(AI279="K5-POLICY",AH279&lt;&gt;"นิติศาสตร์",L279="S2",U279="",AA279=""),Q279,AND(AI279="K5-POLICY",AH279&lt;&gt;"นิติศาสตร์",L279="S1",U279="",AA279=""),EDATE(Q279,12),AND(AI279="K5-POLICY",AH279&lt;&gt;"นิติศาสตร์",OR(L279="M2",L279="K4"),U279="",AA279=""),EDATE(Q279,12*2),AND(AI279="K5-POLICY",AH279&lt;&gt;"นิติศาสตร์",OR(AA279="M2",AA279="K4"),AD279&gt;=2,OR(AC279&lt;W279,AC279&lt;Q279)),EDATE(AC279,12*2),AND(AI279="K5-POLICY",AH279&lt;&gt;"นิติศาสตร์",AA279="S1",AD279&gt;=1,OR(AC279&lt;W279,AC279&lt;Q279)),EDATE(AC279,12),AND(AI279="K5-POLICY",AH279&lt;&gt;"นิติศาสตร์",OR(U279="M2",U279="K4"),X279&gt;=2,W279&lt;Q279),EDATE(W279,12*2),AND(AI279="K5-POLICY",AH279&lt;&gt;"นิติศาสตร์",U279="S1",X279&gt;=1,W279&lt;Q279),EDATE(W279,12),AND(AI279="K5-POLICY",AH279&lt;&gt;"นิติศาสตร์",OR(U279="S2",U279="K5")),W279,AND(AI279="K5-POLICY",AH279&lt;&gt;"นิติศาสตร์",OR(L279="M2",L279="K4"),R279&gt;=2),EDATE(Q279,12*2),AND(AI279="K5-POLICY",AH279&lt;&gt;"นิติศาสตร์",L279="S1",R279&gt;=1),EDATE(Q279,12),AND(AI279="K5-POLICY",AH279&lt;&gt;"นิติศาสตร์",OR(L279="S2",L279="K5")),Q279,TRUE,"Check Data")</f>
        <v/>
      </c>
      <c r="AK279" s="75" t="str">
        <f t="shared" si="87"/>
        <v>Check Data</v>
      </c>
      <c r="AL279" s="76" t="str">
        <f t="shared" si="92"/>
        <v>Check Data</v>
      </c>
      <c r="AM279" s="50" t="str">
        <f t="shared" si="88"/>
        <v>Check Data</v>
      </c>
      <c r="AN279" s="49" t="str">
        <f>IF(B279="","",IF(L279="S1","S1",INDEX(#REF!,#REF!)))</f>
        <v/>
      </c>
      <c r="AO279" s="49" t="str">
        <f>L279</f>
        <v>M2</v>
      </c>
      <c r="AP279" s="50" t="b">
        <f>L279=AN279</f>
        <v>0</v>
      </c>
      <c r="AQ279" s="50"/>
    </row>
    <row r="280" spans="1:43" ht="21.75">
      <c r="A280" s="49">
        <v>278</v>
      </c>
      <c r="B280" s="50"/>
      <c r="C280" s="52"/>
      <c r="D280" s="50" t="s">
        <v>142</v>
      </c>
      <c r="E280" s="50" t="e">
        <f>INDEX(#REF!,#REF!)</f>
        <v>#REF!</v>
      </c>
      <c r="F280" s="79"/>
      <c r="G280" s="79"/>
      <c r="H280" s="50">
        <f t="shared" si="89"/>
        <v>0</v>
      </c>
      <c r="I280" s="50">
        <f t="shared" si="90"/>
        <v>0</v>
      </c>
      <c r="J280" s="50">
        <f t="shared" si="91"/>
        <v>0</v>
      </c>
      <c r="K280" s="79"/>
      <c r="L280" s="49" t="s">
        <v>136</v>
      </c>
      <c r="M280" s="79"/>
      <c r="N280" s="79"/>
      <c r="O280" s="79"/>
      <c r="P280" s="65" t="s">
        <v>442</v>
      </c>
      <c r="Q280" s="49" t="str">
        <f t="shared" si="86"/>
        <v>26/11/2024</v>
      </c>
      <c r="R280" s="68">
        <f>IF(Q280="",0,DATEDIF(Q280,$C$1,"Y"))</f>
        <v>0</v>
      </c>
      <c r="S280" s="68">
        <f>IF(Q280="",0,DATEDIF(Q280,$C$1,"YM"))</f>
        <v>6</v>
      </c>
      <c r="T280" s="68">
        <f>IF(Q280="",0,DATEDIF(Q280,$C$1,"MD"))</f>
        <v>25</v>
      </c>
      <c r="U280" s="65"/>
      <c r="V280" s="83"/>
      <c r="W280" s="49" t="str">
        <f t="shared" si="93"/>
        <v/>
      </c>
      <c r="X280" s="68">
        <f>IF(W280="",0,DATEDIF(W280,Q280,"Y"))</f>
        <v>0</v>
      </c>
      <c r="Y280" s="68">
        <f>IF(W280="",0,DATEDIF(W280,Q280,"YM"))</f>
        <v>0</v>
      </c>
      <c r="Z280" s="68">
        <f>IF(W280="",0,DATEDIF(W280,Q280,"MD"))</f>
        <v>0</v>
      </c>
      <c r="AA280" s="79"/>
      <c r="AB280" s="79"/>
      <c r="AC280" s="50" t="str">
        <f t="shared" si="94"/>
        <v/>
      </c>
      <c r="AD280" s="68">
        <f t="shared" si="95"/>
        <v>0</v>
      </c>
      <c r="AE280" s="68">
        <f t="shared" si="96"/>
        <v>0</v>
      </c>
      <c r="AF280" s="68">
        <f t="shared" si="97"/>
        <v>0</v>
      </c>
      <c r="AG280" s="79"/>
      <c r="AH280" s="108"/>
      <c r="AI280" s="49" t="str">
        <f>IF(AH280="นิติศาสตร์","K5-LAW","K5-POLICY")</f>
        <v>K5-POLICY</v>
      </c>
      <c r="AJ280" s="72" t="str">
        <f>_xlfn.IFS(B280="","",AND(AI280="K5-LAW",AH280="นิติศาสตร์",L280="S2",U280="",AA280=""),Q280,AND(AI280="K5-LAW",AH280="นิติศาสตร์",L280="S1",U280="",AA280=""),EDATE(Q280,12),AND(AI280="K5-LAW",AH280="นิติศาสตร์",OR(L280="M2",L280="K4"),U280="",AA280=""),EDATE(Q280,12*2),AND(AI280="K5-LAW",AH280="นิติศาสตร์",OR(AA280="M2",AA280="K4"),AD280&gt;=2,OR(AC280&lt;W280,AC280&lt;Q280)),EDATE(AC280,12*2),AND(AI280="K5-LAW",AH280="นิติศาสตร์",AA280="S1",AD280&gt;=1,OR(AC280&lt;W280,AC280&lt;Q280)),EDATE(AC280,12),AND(AI280="K5-LAW",AH280="นิติศาสตร์",OR(U280="M2",U280="K4"),X280&gt;=2,W280&lt;Q280),EDATE(W280,12*2),AND(AI280="K5-LAW",AH280="นิติศาสตร์",U280="S1",X280&gt;=1,W280&lt;Q280),EDATE(W280,12),AND(AI280="K5-LAW",AH280="นิติศาสตร์",OR(U280="S2",U280="K5")),W280,AND(AI280="K5-LAW",AH280="นิติศาสตร์",OR(L280="M2",L280="K4"),R280&gt;=2),EDATE(Q280,12*2),AND(AI280="K5-LAW",AH280="นิติศาสตร์",L280="S1",R280&gt;=1),EDATE(Q280,12),AND(AI280="K5-LAW",AH280="นิติศาสตร์",OR(L280="S2",L280="K5")),Q280,AND(AI280="K5-POLICY",AH280&lt;&gt;"นิติศาสตร์",L280="S2",U280="",AA280=""),Q280,AND(AI280="K5-POLICY",AH280&lt;&gt;"นิติศาสตร์",L280="S1",U280="",AA280=""),EDATE(Q280,12),AND(AI280="K5-POLICY",AH280&lt;&gt;"นิติศาสตร์",OR(L280="M2",L280="K4"),U280="",AA280=""),EDATE(Q280,12*2),AND(AI280="K5-POLICY",AH280&lt;&gt;"นิติศาสตร์",OR(AA280="M2",AA280="K4"),AD280&gt;=2,OR(AC280&lt;W280,AC280&lt;Q280)),EDATE(AC280,12*2),AND(AI280="K5-POLICY",AH280&lt;&gt;"นิติศาสตร์",AA280="S1",AD280&gt;=1,OR(AC280&lt;W280,AC280&lt;Q280)),EDATE(AC280,12),AND(AI280="K5-POLICY",AH280&lt;&gt;"นิติศาสตร์",OR(U280="M2",U280="K4"),X280&gt;=2,W280&lt;Q280),EDATE(W280,12*2),AND(AI280="K5-POLICY",AH280&lt;&gt;"นิติศาสตร์",U280="S1",X280&gt;=1,W280&lt;Q280),EDATE(W280,12),AND(AI280="K5-POLICY",AH280&lt;&gt;"นิติศาสตร์",OR(U280="S2",U280="K5")),W280,AND(AI280="K5-POLICY",AH280&lt;&gt;"นิติศาสตร์",OR(L280="M2",L280="K4"),R280&gt;=2),EDATE(Q280,12*2),AND(AI280="K5-POLICY",AH280&lt;&gt;"นิติศาสตร์",L280="S1",R280&gt;=1),EDATE(Q280,12),AND(AI280="K5-POLICY",AH280&lt;&gt;"นิติศาสตร์",OR(L280="S2",L280="K5")),Q280,TRUE,"Check Data")</f>
        <v/>
      </c>
      <c r="AK280" s="75" t="str">
        <f t="shared" si="87"/>
        <v>Check Data</v>
      </c>
      <c r="AL280" s="76" t="str">
        <f t="shared" si="92"/>
        <v>Check Data</v>
      </c>
      <c r="AM280" s="50" t="str">
        <f t="shared" si="88"/>
        <v>Check Data</v>
      </c>
      <c r="AN280" s="49" t="str">
        <f>IF(B280="","",IF(L280="S1","S1",INDEX(#REF!,#REF!)))</f>
        <v/>
      </c>
      <c r="AO280" s="49" t="str">
        <f>L280</f>
        <v>M2</v>
      </c>
      <c r="AP280" s="50" t="b">
        <f>L280=AN280</f>
        <v>0</v>
      </c>
    </row>
    <row r="281" spans="1:43" ht="21.75">
      <c r="A281" s="49">
        <v>279</v>
      </c>
      <c r="B281" s="50"/>
      <c r="C281" s="52"/>
      <c r="D281" s="50" t="s">
        <v>142</v>
      </c>
      <c r="E281" s="50" t="e">
        <f>INDEX(#REF!,#REF!)</f>
        <v>#REF!</v>
      </c>
      <c r="F281" s="79"/>
      <c r="G281" s="79"/>
      <c r="H281" s="50">
        <f t="shared" si="89"/>
        <v>0</v>
      </c>
      <c r="I281" s="50">
        <f t="shared" si="90"/>
        <v>0</v>
      </c>
      <c r="J281" s="50">
        <f t="shared" si="91"/>
        <v>0</v>
      </c>
      <c r="K281" s="79"/>
      <c r="L281" s="49" t="s">
        <v>136</v>
      </c>
      <c r="M281" s="79"/>
      <c r="N281" s="79"/>
      <c r="O281" s="79"/>
      <c r="P281" s="65" t="s">
        <v>442</v>
      </c>
      <c r="Q281" s="49" t="str">
        <f t="shared" si="86"/>
        <v>26/11/2024</v>
      </c>
      <c r="R281" s="68">
        <f>IF(Q281="",0,DATEDIF(Q281,$C$1,"Y"))</f>
        <v>0</v>
      </c>
      <c r="S281" s="68">
        <f>IF(Q281="",0,DATEDIF(Q281,$C$1,"YM"))</f>
        <v>6</v>
      </c>
      <c r="T281" s="68">
        <f>IF(Q281="",0,DATEDIF(Q281,$C$1,"MD"))</f>
        <v>25</v>
      </c>
      <c r="U281" s="65"/>
      <c r="V281" s="83"/>
      <c r="W281" s="49" t="str">
        <f t="shared" si="93"/>
        <v/>
      </c>
      <c r="X281" s="68">
        <f>IF(W281="",0,DATEDIF(W281,Q281,"Y"))</f>
        <v>0</v>
      </c>
      <c r="Y281" s="68">
        <f>IF(W281="",0,DATEDIF(W281,Q281,"YM"))</f>
        <v>0</v>
      </c>
      <c r="Z281" s="68">
        <f>IF(W281="",0,DATEDIF(W281,Q281,"MD"))</f>
        <v>0</v>
      </c>
      <c r="AA281" s="79"/>
      <c r="AB281" s="79"/>
      <c r="AC281" s="50" t="str">
        <f t="shared" si="94"/>
        <v/>
      </c>
      <c r="AD281" s="68">
        <f t="shared" si="95"/>
        <v>0</v>
      </c>
      <c r="AE281" s="68">
        <f t="shared" si="96"/>
        <v>0</v>
      </c>
      <c r="AF281" s="68">
        <f t="shared" si="97"/>
        <v>0</v>
      </c>
      <c r="AG281" s="79"/>
      <c r="AH281" s="108"/>
      <c r="AI281" s="49" t="str">
        <f>IF(AH281="นิติศาสตร์","K5-LAW","K5-POLICY")</f>
        <v>K5-POLICY</v>
      </c>
      <c r="AJ281" s="72" t="str">
        <f>_xlfn.IFS(B281="","",AND(AI281="K5-LAW",AH281="นิติศาสตร์",L281="S2",U281="",AA281=""),Q281,AND(AI281="K5-LAW",AH281="นิติศาสตร์",L281="S1",U281="",AA281=""),EDATE(Q281,12),AND(AI281="K5-LAW",AH281="นิติศาสตร์",OR(L281="M2",L281="K4"),U281="",AA281=""),EDATE(Q281,12*2),AND(AI281="K5-LAW",AH281="นิติศาสตร์",OR(AA281="M2",AA281="K4"),AD281&gt;=2,OR(AC281&lt;W281,AC281&lt;Q281)),EDATE(AC281,12*2),AND(AI281="K5-LAW",AH281="นิติศาสตร์",AA281="S1",AD281&gt;=1,OR(AC281&lt;W281,AC281&lt;Q281)),EDATE(AC281,12),AND(AI281="K5-LAW",AH281="นิติศาสตร์",OR(U281="M2",U281="K4"),X281&gt;=2,W281&lt;Q281),EDATE(W281,12*2),AND(AI281="K5-LAW",AH281="นิติศาสตร์",U281="S1",X281&gt;=1,W281&lt;Q281),EDATE(W281,12),AND(AI281="K5-LAW",AH281="นิติศาสตร์",OR(U281="S2",U281="K5")),W281,AND(AI281="K5-LAW",AH281="นิติศาสตร์",OR(L281="M2",L281="K4"),R281&gt;=2),EDATE(Q281,12*2),AND(AI281="K5-LAW",AH281="นิติศาสตร์",L281="S1",R281&gt;=1),EDATE(Q281,12),AND(AI281="K5-LAW",AH281="นิติศาสตร์",OR(L281="S2",L281="K5")),Q281,AND(AI281="K5-POLICY",AH281&lt;&gt;"นิติศาสตร์",L281="S2",U281="",AA281=""),Q281,AND(AI281="K5-POLICY",AH281&lt;&gt;"นิติศาสตร์",L281="S1",U281="",AA281=""),EDATE(Q281,12),AND(AI281="K5-POLICY",AH281&lt;&gt;"นิติศาสตร์",OR(L281="M2",L281="K4"),U281="",AA281=""),EDATE(Q281,12*2),AND(AI281="K5-POLICY",AH281&lt;&gt;"นิติศาสตร์",OR(AA281="M2",AA281="K4"),AD281&gt;=2,OR(AC281&lt;W281,AC281&lt;Q281)),EDATE(AC281,12*2),AND(AI281="K5-POLICY",AH281&lt;&gt;"นิติศาสตร์",AA281="S1",AD281&gt;=1,OR(AC281&lt;W281,AC281&lt;Q281)),EDATE(AC281,12),AND(AI281="K5-POLICY",AH281&lt;&gt;"นิติศาสตร์",OR(U281="M2",U281="K4"),X281&gt;=2,W281&lt;Q281),EDATE(W281,12*2),AND(AI281="K5-POLICY",AH281&lt;&gt;"นิติศาสตร์",U281="S1",X281&gt;=1,W281&lt;Q281),EDATE(W281,12),AND(AI281="K5-POLICY",AH281&lt;&gt;"นิติศาสตร์",OR(U281="S2",U281="K5")),W281,AND(AI281="K5-POLICY",AH281&lt;&gt;"นิติศาสตร์",OR(L281="M2",L281="K4"),R281&gt;=2),EDATE(Q281,12*2),AND(AI281="K5-POLICY",AH281&lt;&gt;"นิติศาสตร์",L281="S1",R281&gt;=1),EDATE(Q281,12),AND(AI281="K5-POLICY",AH281&lt;&gt;"นิติศาสตร์",OR(L281="S2",L281="K5")),Q281,TRUE,"Check Data")</f>
        <v/>
      </c>
      <c r="AK281" s="75" t="str">
        <f t="shared" si="87"/>
        <v>Check Data</v>
      </c>
      <c r="AL281" s="76" t="str">
        <f t="shared" si="92"/>
        <v>Check Data</v>
      </c>
      <c r="AM281" s="50" t="str">
        <f t="shared" si="88"/>
        <v>Check Data</v>
      </c>
      <c r="AN281" s="49" t="str">
        <f>IF(B281="","",IF(L281="S1","S1",INDEX(#REF!,#REF!)))</f>
        <v/>
      </c>
      <c r="AO281" s="49" t="str">
        <f>L281</f>
        <v>M2</v>
      </c>
      <c r="AP281" s="50" t="b">
        <f>L281=AN281</f>
        <v>0</v>
      </c>
    </row>
    <row r="282" spans="1:43" ht="21.75">
      <c r="A282" s="49">
        <v>280</v>
      </c>
      <c r="B282" s="50"/>
      <c r="C282" s="52"/>
      <c r="D282" s="50" t="s">
        <v>142</v>
      </c>
      <c r="E282" s="50" t="e">
        <f>INDEX(#REF!,#REF!)</f>
        <v>#REF!</v>
      </c>
      <c r="F282" s="79"/>
      <c r="G282" s="79"/>
      <c r="H282" s="50">
        <f t="shared" si="89"/>
        <v>0</v>
      </c>
      <c r="I282" s="50">
        <f t="shared" si="90"/>
        <v>0</v>
      </c>
      <c r="J282" s="50">
        <f t="shared" si="91"/>
        <v>0</v>
      </c>
      <c r="K282" s="79"/>
      <c r="L282" s="49" t="s">
        <v>136</v>
      </c>
      <c r="M282" s="79"/>
      <c r="N282" s="79"/>
      <c r="O282" s="79"/>
      <c r="P282" s="65" t="s">
        <v>442</v>
      </c>
      <c r="Q282" s="49" t="str">
        <f t="shared" si="86"/>
        <v>26/11/2024</v>
      </c>
      <c r="R282" s="68">
        <f>IF(Q282="",0,DATEDIF(Q282,$C$1,"Y"))</f>
        <v>0</v>
      </c>
      <c r="S282" s="68">
        <f>IF(Q282="",0,DATEDIF(Q282,$C$1,"YM"))</f>
        <v>6</v>
      </c>
      <c r="T282" s="68">
        <f>IF(Q282="",0,DATEDIF(Q282,$C$1,"MD"))</f>
        <v>25</v>
      </c>
      <c r="U282" s="65"/>
      <c r="V282" s="83"/>
      <c r="W282" s="49" t="str">
        <f t="shared" si="93"/>
        <v/>
      </c>
      <c r="X282" s="68">
        <f>IF(W282="",0,DATEDIF(W282,Q282,"Y"))</f>
        <v>0</v>
      </c>
      <c r="Y282" s="68">
        <f>IF(W282="",0,DATEDIF(W282,Q282,"YM"))</f>
        <v>0</v>
      </c>
      <c r="Z282" s="68">
        <f>IF(W282="",0,DATEDIF(W282,Q282,"MD"))</f>
        <v>0</v>
      </c>
      <c r="AA282" s="79"/>
      <c r="AB282" s="79"/>
      <c r="AC282" s="50" t="str">
        <f t="shared" si="94"/>
        <v/>
      </c>
      <c r="AD282" s="68">
        <f t="shared" si="95"/>
        <v>0</v>
      </c>
      <c r="AE282" s="68">
        <f t="shared" si="96"/>
        <v>0</v>
      </c>
      <c r="AF282" s="68">
        <f t="shared" si="97"/>
        <v>0</v>
      </c>
      <c r="AG282" s="79"/>
      <c r="AH282" s="108"/>
      <c r="AI282" s="49" t="str">
        <f>IF(AH282="นิติศาสตร์","K5-LAW","K5-POLICY")</f>
        <v>K5-POLICY</v>
      </c>
      <c r="AJ282" s="72" t="str">
        <f>_xlfn.IFS(B282="","",AND(AI282="K5-LAW",AH282="นิติศาสตร์",L282="S2",U282="",AA282=""),Q282,AND(AI282="K5-LAW",AH282="นิติศาสตร์",L282="S1",U282="",AA282=""),EDATE(Q282,12),AND(AI282="K5-LAW",AH282="นิติศาสตร์",OR(L282="M2",L282="K4"),U282="",AA282=""),EDATE(Q282,12*2),AND(AI282="K5-LAW",AH282="นิติศาสตร์",OR(AA282="M2",AA282="K4"),AD282&gt;=2,OR(AC282&lt;W282,AC282&lt;Q282)),EDATE(AC282,12*2),AND(AI282="K5-LAW",AH282="นิติศาสตร์",AA282="S1",AD282&gt;=1,OR(AC282&lt;W282,AC282&lt;Q282)),EDATE(AC282,12),AND(AI282="K5-LAW",AH282="นิติศาสตร์",OR(U282="M2",U282="K4"),X282&gt;=2,W282&lt;Q282),EDATE(W282,12*2),AND(AI282="K5-LAW",AH282="นิติศาสตร์",U282="S1",X282&gt;=1,W282&lt;Q282),EDATE(W282,12),AND(AI282="K5-LAW",AH282="นิติศาสตร์",OR(U282="S2",U282="K5")),W282,AND(AI282="K5-LAW",AH282="นิติศาสตร์",OR(L282="M2",L282="K4"),R282&gt;=2),EDATE(Q282,12*2),AND(AI282="K5-LAW",AH282="นิติศาสตร์",L282="S1",R282&gt;=1),EDATE(Q282,12),AND(AI282="K5-LAW",AH282="นิติศาสตร์",OR(L282="S2",L282="K5")),Q282,AND(AI282="K5-POLICY",AH282&lt;&gt;"นิติศาสตร์",L282="S2",U282="",AA282=""),Q282,AND(AI282="K5-POLICY",AH282&lt;&gt;"นิติศาสตร์",L282="S1",U282="",AA282=""),EDATE(Q282,12),AND(AI282="K5-POLICY",AH282&lt;&gt;"นิติศาสตร์",OR(L282="M2",L282="K4"),U282="",AA282=""),EDATE(Q282,12*2),AND(AI282="K5-POLICY",AH282&lt;&gt;"นิติศาสตร์",OR(AA282="M2",AA282="K4"),AD282&gt;=2,OR(AC282&lt;W282,AC282&lt;Q282)),EDATE(AC282,12*2),AND(AI282="K5-POLICY",AH282&lt;&gt;"นิติศาสตร์",AA282="S1",AD282&gt;=1,OR(AC282&lt;W282,AC282&lt;Q282)),EDATE(AC282,12),AND(AI282="K5-POLICY",AH282&lt;&gt;"นิติศาสตร์",OR(U282="M2",U282="K4"),X282&gt;=2,W282&lt;Q282),EDATE(W282,12*2),AND(AI282="K5-POLICY",AH282&lt;&gt;"นิติศาสตร์",U282="S1",X282&gt;=1,W282&lt;Q282),EDATE(W282,12),AND(AI282="K5-POLICY",AH282&lt;&gt;"นิติศาสตร์",OR(U282="S2",U282="K5")),W282,AND(AI282="K5-POLICY",AH282&lt;&gt;"นิติศาสตร์",OR(L282="M2",L282="K4"),R282&gt;=2),EDATE(Q282,12*2),AND(AI282="K5-POLICY",AH282&lt;&gt;"นิติศาสตร์",L282="S1",R282&gt;=1),EDATE(Q282,12),AND(AI282="K5-POLICY",AH282&lt;&gt;"นิติศาสตร์",OR(L282="S2",L282="K5")),Q282,TRUE,"Check Data")</f>
        <v/>
      </c>
      <c r="AK282" s="75" t="str">
        <f t="shared" si="87"/>
        <v>Check Data</v>
      </c>
      <c r="AL282" s="76" t="str">
        <f t="shared" si="92"/>
        <v>Check Data</v>
      </c>
      <c r="AM282" s="50" t="str">
        <f t="shared" si="88"/>
        <v>Check Data</v>
      </c>
      <c r="AN282" s="49" t="str">
        <f>IF(B282="","",IF(L282="S1","S1",INDEX(#REF!,#REF!)))</f>
        <v/>
      </c>
      <c r="AO282" s="49" t="str">
        <f>L282</f>
        <v>M2</v>
      </c>
      <c r="AP282" s="50" t="b">
        <f>L282=AN282</f>
        <v>0</v>
      </c>
    </row>
    <row r="283" spans="1:43" ht="21.75">
      <c r="A283" s="49">
        <v>281</v>
      </c>
      <c r="B283" s="50"/>
      <c r="C283" s="52"/>
      <c r="D283" s="50" t="s">
        <v>145</v>
      </c>
      <c r="E283" s="50" t="e">
        <f>INDEX(#REF!,#REF!)</f>
        <v>#REF!</v>
      </c>
      <c r="F283" s="79"/>
      <c r="G283" s="79"/>
      <c r="H283" s="50">
        <f t="shared" si="89"/>
        <v>0</v>
      </c>
      <c r="I283" s="50">
        <f t="shared" si="90"/>
        <v>0</v>
      </c>
      <c r="J283" s="50">
        <f t="shared" si="91"/>
        <v>0</v>
      </c>
      <c r="K283" s="79"/>
      <c r="L283" s="49" t="s">
        <v>136</v>
      </c>
      <c r="M283" s="79"/>
      <c r="N283" s="79"/>
      <c r="O283" s="79"/>
      <c r="P283" s="65" t="s">
        <v>442</v>
      </c>
      <c r="Q283" s="49" t="str">
        <f t="shared" si="86"/>
        <v>26/11/2024</v>
      </c>
      <c r="R283" s="68">
        <f>IF(Q283="",0,DATEDIF(Q283,$C$1,"Y"))</f>
        <v>0</v>
      </c>
      <c r="S283" s="68">
        <f>IF(Q283="",0,DATEDIF(Q283,$C$1,"YM"))</f>
        <v>6</v>
      </c>
      <c r="T283" s="68">
        <f>IF(Q283="",0,DATEDIF(Q283,$C$1,"MD"))</f>
        <v>25</v>
      </c>
      <c r="U283" s="65"/>
      <c r="V283" s="83"/>
      <c r="W283" s="49" t="str">
        <f t="shared" si="93"/>
        <v/>
      </c>
      <c r="X283" s="68">
        <f>IF(W283="",0,DATEDIF(W283,Q283,"Y"))</f>
        <v>0</v>
      </c>
      <c r="Y283" s="68">
        <f>IF(W283="",0,DATEDIF(W283,Q283,"YM"))</f>
        <v>0</v>
      </c>
      <c r="Z283" s="68">
        <f>IF(W283="",0,DATEDIF(W283,Q283,"MD"))</f>
        <v>0</v>
      </c>
      <c r="AA283" s="79"/>
      <c r="AB283" s="79"/>
      <c r="AC283" s="50" t="str">
        <f t="shared" si="94"/>
        <v/>
      </c>
      <c r="AD283" s="68">
        <f t="shared" si="95"/>
        <v>0</v>
      </c>
      <c r="AE283" s="68">
        <f t="shared" si="96"/>
        <v>0</v>
      </c>
      <c r="AF283" s="68">
        <f t="shared" si="97"/>
        <v>0</v>
      </c>
      <c r="AG283" s="79"/>
      <c r="AH283" s="108"/>
      <c r="AI283" s="49" t="str">
        <f>IF(AH283="นิติศาสตร์","K5-LAW","K5-POLICY")</f>
        <v>K5-POLICY</v>
      </c>
      <c r="AJ283" s="72" t="str">
        <f>_xlfn.IFS(B283="","",AND(AI283="K5-LAW",AH283="นิติศาสตร์",L283="S2",U283="",AA283=""),Q283,AND(AI283="K5-LAW",AH283="นิติศาสตร์",L283="S1",U283="",AA283=""),EDATE(Q283,12),AND(AI283="K5-LAW",AH283="นิติศาสตร์",OR(L283="M2",L283="K4"),U283="",AA283=""),EDATE(Q283,12*2),AND(AI283="K5-LAW",AH283="นิติศาสตร์",OR(AA283="M2",AA283="K4"),AD283&gt;=2,OR(AC283&lt;W283,AC283&lt;Q283)),EDATE(AC283,12*2),AND(AI283="K5-LAW",AH283="นิติศาสตร์",AA283="S1",AD283&gt;=1,OR(AC283&lt;W283,AC283&lt;Q283)),EDATE(AC283,12),AND(AI283="K5-LAW",AH283="นิติศาสตร์",OR(U283="M2",U283="K4"),X283&gt;=2,W283&lt;Q283),EDATE(W283,12*2),AND(AI283="K5-LAW",AH283="นิติศาสตร์",U283="S1",X283&gt;=1,W283&lt;Q283),EDATE(W283,12),AND(AI283="K5-LAW",AH283="นิติศาสตร์",OR(U283="S2",U283="K5")),W283,AND(AI283="K5-LAW",AH283="นิติศาสตร์",OR(L283="M2",L283="K4"),R283&gt;=2),EDATE(Q283,12*2),AND(AI283="K5-LAW",AH283="นิติศาสตร์",L283="S1",R283&gt;=1),EDATE(Q283,12),AND(AI283="K5-LAW",AH283="นิติศาสตร์",OR(L283="S2",L283="K5")),Q283,AND(AI283="K5-POLICY",AH283&lt;&gt;"นิติศาสตร์",L283="S2",U283="",AA283=""),Q283,AND(AI283="K5-POLICY",AH283&lt;&gt;"นิติศาสตร์",L283="S1",U283="",AA283=""),EDATE(Q283,12),AND(AI283="K5-POLICY",AH283&lt;&gt;"นิติศาสตร์",OR(L283="M2",L283="K4"),U283="",AA283=""),EDATE(Q283,12*2),AND(AI283="K5-POLICY",AH283&lt;&gt;"นิติศาสตร์",OR(AA283="M2",AA283="K4"),AD283&gt;=2,OR(AC283&lt;W283,AC283&lt;Q283)),EDATE(AC283,12*2),AND(AI283="K5-POLICY",AH283&lt;&gt;"นิติศาสตร์",AA283="S1",AD283&gt;=1,OR(AC283&lt;W283,AC283&lt;Q283)),EDATE(AC283,12),AND(AI283="K5-POLICY",AH283&lt;&gt;"นิติศาสตร์",OR(U283="M2",U283="K4"),X283&gt;=2,W283&lt;Q283),EDATE(W283,12*2),AND(AI283="K5-POLICY",AH283&lt;&gt;"นิติศาสตร์",U283="S1",X283&gt;=1,W283&lt;Q283),EDATE(W283,12),AND(AI283="K5-POLICY",AH283&lt;&gt;"นิติศาสตร์",OR(U283="S2",U283="K5")),W283,AND(AI283="K5-POLICY",AH283&lt;&gt;"นิติศาสตร์",OR(L283="M2",L283="K4"),R283&gt;=2),EDATE(Q283,12*2),AND(AI283="K5-POLICY",AH283&lt;&gt;"นิติศาสตร์",L283="S1",R283&gt;=1),EDATE(Q283,12),AND(AI283="K5-POLICY",AH283&lt;&gt;"นิติศาสตร์",OR(L283="S2",L283="K5")),Q283,TRUE,"Check Data")</f>
        <v/>
      </c>
      <c r="AK283" s="75" t="str">
        <f t="shared" si="87"/>
        <v>Check Data</v>
      </c>
      <c r="AL283" s="76" t="str">
        <f t="shared" si="92"/>
        <v>Check Data</v>
      </c>
      <c r="AM283" s="50" t="str">
        <f t="shared" si="88"/>
        <v>Check Data</v>
      </c>
      <c r="AN283" s="49" t="str">
        <f>IF(B283="","",IF(L283="S1","S1",INDEX(#REF!,#REF!)))</f>
        <v/>
      </c>
      <c r="AO283" s="49" t="str">
        <f>L283</f>
        <v>M2</v>
      </c>
      <c r="AP283" s="50" t="b">
        <f>L283=AN283</f>
        <v>0</v>
      </c>
    </row>
    <row r="284" spans="1:43" ht="21.75">
      <c r="A284" s="49">
        <v>282</v>
      </c>
      <c r="B284" s="50"/>
      <c r="C284" s="52"/>
      <c r="D284" s="50" t="s">
        <v>139</v>
      </c>
      <c r="E284" s="50" t="e">
        <f>INDEX(#REF!,#REF!)</f>
        <v>#REF!</v>
      </c>
      <c r="F284" s="49"/>
      <c r="G284" s="49"/>
      <c r="H284" s="50">
        <f t="shared" si="89"/>
        <v>0</v>
      </c>
      <c r="I284" s="50">
        <f t="shared" si="90"/>
        <v>0</v>
      </c>
      <c r="J284" s="50">
        <f t="shared" si="91"/>
        <v>0</v>
      </c>
      <c r="K284" s="50"/>
      <c r="L284" s="49" t="s">
        <v>136</v>
      </c>
      <c r="M284" s="64"/>
      <c r="N284" s="49"/>
      <c r="O284" s="49"/>
      <c r="P284" s="65" t="s">
        <v>458</v>
      </c>
      <c r="Q284" s="49" t="str">
        <f t="shared" si="86"/>
        <v>31/03/2025</v>
      </c>
      <c r="R284" s="68">
        <f>IF(Q284="",0,DATEDIF(Q284,$C$1,"Y"))</f>
        <v>0</v>
      </c>
      <c r="S284" s="68">
        <f>IF(Q284="",0,DATEDIF(Q284,$C$1,"YM"))</f>
        <v>2</v>
      </c>
      <c r="T284" s="68">
        <f>IF(Q284="",0,DATEDIF(Q284,$C$1,"MD"))</f>
        <v>20</v>
      </c>
      <c r="U284" s="65"/>
      <c r="V284" s="65"/>
      <c r="W284" s="49" t="str">
        <f t="shared" si="93"/>
        <v/>
      </c>
      <c r="X284" s="68">
        <f>IF(W284="",0,DATEDIF(W284,Q284,"Y"))</f>
        <v>0</v>
      </c>
      <c r="Y284" s="68">
        <f>IF(W284="",0,DATEDIF(W284,Q284,"YM"))</f>
        <v>0</v>
      </c>
      <c r="Z284" s="68">
        <f>IF(W284="",0,DATEDIF(W284,Q284,"MD"))</f>
        <v>0</v>
      </c>
      <c r="AA284" s="49"/>
      <c r="AB284" s="65"/>
      <c r="AC284" s="50" t="str">
        <f t="shared" si="94"/>
        <v/>
      </c>
      <c r="AD284" s="68">
        <f t="shared" si="95"/>
        <v>0</v>
      </c>
      <c r="AE284" s="68">
        <f t="shared" si="96"/>
        <v>0</v>
      </c>
      <c r="AF284" s="68">
        <f t="shared" si="97"/>
        <v>0</v>
      </c>
      <c r="AG284" s="50"/>
      <c r="AH284" s="108"/>
      <c r="AI284" s="49" t="str">
        <f>IF(AH284="นิติศาสตร์","K5-LAW","K5-POLICY")</f>
        <v>K5-POLICY</v>
      </c>
      <c r="AJ284" s="72" t="str">
        <f>_xlfn.IFS(B284="","",AND(AI284="K5-LAW",AH284="นิติศาสตร์",L284="S2",U284="",AA284=""),Q284,AND(AI284="K5-LAW",AH284="นิติศาสตร์",L284="S1",U284="",AA284=""),EDATE(Q284,12),AND(AI284="K5-LAW",AH284="นิติศาสตร์",OR(L284="M2",L284="K4"),U284="",AA284=""),EDATE(Q284,12*2),AND(AI284="K5-LAW",AH284="นิติศาสตร์",OR(AA284="M2",AA284="K4"),AD284&gt;=2,OR(AC284&lt;W284,AC284&lt;Q284)),EDATE(AC284,12*2),AND(AI284="K5-LAW",AH284="นิติศาสตร์",AA284="S1",AD284&gt;=1,OR(AC284&lt;W284,AC284&lt;Q284)),EDATE(AC284,12),AND(AI284="K5-LAW",AH284="นิติศาสตร์",OR(U284="M2",U284="K4"),X284&gt;=2,W284&lt;Q284),EDATE(W284,12*2),AND(AI284="K5-LAW",AH284="นิติศาสตร์",U284="S1",X284&gt;=1,W284&lt;Q284),EDATE(W284,12),AND(AI284="K5-LAW",AH284="นิติศาสตร์",OR(U284="S2",U284="K5")),W284,AND(AI284="K5-LAW",AH284="นิติศาสตร์",OR(L284="M2",L284="K4"),R284&gt;=2),EDATE(Q284,12*2),AND(AI284="K5-LAW",AH284="นิติศาสตร์",L284="S1",R284&gt;=1),EDATE(Q284,12),AND(AI284="K5-LAW",AH284="นิติศาสตร์",OR(L284="S2",L284="K5")),Q284,AND(AI284="K5-POLICY",AH284&lt;&gt;"นิติศาสตร์",L284="S2",U284="",AA284=""),Q284,AND(AI284="K5-POLICY",AH284&lt;&gt;"นิติศาสตร์",L284="S1",U284="",AA284=""),EDATE(Q284,12),AND(AI284="K5-POLICY",AH284&lt;&gt;"นิติศาสตร์",OR(L284="M2",L284="K4"),U284="",AA284=""),EDATE(Q284,12*2),AND(AI284="K5-POLICY",AH284&lt;&gt;"นิติศาสตร์",OR(AA284="M2",AA284="K4"),AD284&gt;=2,OR(AC284&lt;W284,AC284&lt;Q284)),EDATE(AC284,12*2),AND(AI284="K5-POLICY",AH284&lt;&gt;"นิติศาสตร์",AA284="S1",AD284&gt;=1,OR(AC284&lt;W284,AC284&lt;Q284)),EDATE(AC284,12),AND(AI284="K5-POLICY",AH284&lt;&gt;"นิติศาสตร์",OR(U284="M2",U284="K4"),X284&gt;=2,W284&lt;Q284),EDATE(W284,12*2),AND(AI284="K5-POLICY",AH284&lt;&gt;"นิติศาสตร์",U284="S1",X284&gt;=1,W284&lt;Q284),EDATE(W284,12),AND(AI284="K5-POLICY",AH284&lt;&gt;"นิติศาสตร์",OR(U284="S2",U284="K5")),W284,AND(AI284="K5-POLICY",AH284&lt;&gt;"นิติศาสตร์",OR(L284="M2",L284="K4"),R284&gt;=2),EDATE(Q284,12*2),AND(AI284="K5-POLICY",AH284&lt;&gt;"นิติศาสตร์",L284="S1",R284&gt;=1),EDATE(Q284,12),AND(AI284="K5-POLICY",AH284&lt;&gt;"นิติศาสตร์",OR(L284="S2",L284="K5")),Q284,TRUE,"Check Data")</f>
        <v/>
      </c>
      <c r="AK284" s="75" t="str">
        <f t="shared" si="87"/>
        <v>Check Data</v>
      </c>
      <c r="AL284" s="76" t="str">
        <f t="shared" si="92"/>
        <v>Check Data</v>
      </c>
      <c r="AM284" s="50" t="str">
        <f t="shared" si="88"/>
        <v>Check Data</v>
      </c>
      <c r="AN284" s="49" t="str">
        <f>IF(B284="","",IF(L284="S1","S1",INDEX(#REF!,#REF!)))</f>
        <v/>
      </c>
      <c r="AO284" s="49" t="str">
        <f>L284</f>
        <v>M2</v>
      </c>
      <c r="AP284" s="50" t="b">
        <f>L284=AN284</f>
        <v>0</v>
      </c>
    </row>
    <row r="285" spans="1:43" ht="21.75">
      <c r="A285" s="49">
        <v>283</v>
      </c>
      <c r="B285" s="50"/>
      <c r="C285" s="52"/>
      <c r="D285" s="50" t="s">
        <v>139</v>
      </c>
      <c r="E285" s="50" t="e">
        <f>INDEX(#REF!,#REF!)</f>
        <v>#REF!</v>
      </c>
      <c r="F285" s="49"/>
      <c r="G285" s="49"/>
      <c r="H285" s="50">
        <f t="shared" si="89"/>
        <v>0</v>
      </c>
      <c r="I285" s="50">
        <f t="shared" si="90"/>
        <v>0</v>
      </c>
      <c r="J285" s="50">
        <f t="shared" si="91"/>
        <v>0</v>
      </c>
      <c r="K285" s="50"/>
      <c r="L285" s="49" t="s">
        <v>136</v>
      </c>
      <c r="M285" s="64"/>
      <c r="N285" s="49"/>
      <c r="O285" s="49"/>
      <c r="P285" s="65" t="s">
        <v>458</v>
      </c>
      <c r="Q285" s="49" t="str">
        <f t="shared" si="86"/>
        <v>31/03/2025</v>
      </c>
      <c r="R285" s="68">
        <f>IF(Q285="",0,DATEDIF(Q285,$C$1,"Y"))</f>
        <v>0</v>
      </c>
      <c r="S285" s="68">
        <f>IF(Q285="",0,DATEDIF(Q285,$C$1,"YM"))</f>
        <v>2</v>
      </c>
      <c r="T285" s="68">
        <f>IF(Q285="",0,DATEDIF(Q285,$C$1,"MD"))</f>
        <v>20</v>
      </c>
      <c r="U285" s="65"/>
      <c r="V285" s="65"/>
      <c r="W285" s="49" t="str">
        <f t="shared" si="93"/>
        <v/>
      </c>
      <c r="X285" s="68">
        <f>IF(W285="",0,DATEDIF(W285,Q285,"Y"))</f>
        <v>0</v>
      </c>
      <c r="Y285" s="68">
        <f>IF(W285="",0,DATEDIF(W285,Q285,"YM"))</f>
        <v>0</v>
      </c>
      <c r="Z285" s="68">
        <f>IF(W285="",0,DATEDIF(W285,Q285,"MD"))</f>
        <v>0</v>
      </c>
      <c r="AA285" s="49"/>
      <c r="AB285" s="65"/>
      <c r="AC285" s="50" t="str">
        <f t="shared" si="94"/>
        <v/>
      </c>
      <c r="AD285" s="68">
        <f t="shared" si="95"/>
        <v>0</v>
      </c>
      <c r="AE285" s="68">
        <f t="shared" si="96"/>
        <v>0</v>
      </c>
      <c r="AF285" s="68">
        <f t="shared" si="97"/>
        <v>0</v>
      </c>
      <c r="AG285" s="50"/>
      <c r="AH285" s="108"/>
      <c r="AI285" s="49" t="str">
        <f>IF(AH285="นิติศาสตร์","K5-LAW","K5-POLICY")</f>
        <v>K5-POLICY</v>
      </c>
      <c r="AJ285" s="72" t="str">
        <f>_xlfn.IFS(B285="","",AND(AI285="K5-LAW",AH285="นิติศาสตร์",L285="S2",U285="",AA285=""),Q285,AND(AI285="K5-LAW",AH285="นิติศาสตร์",L285="S1",U285="",AA285=""),EDATE(Q285,12),AND(AI285="K5-LAW",AH285="นิติศาสตร์",OR(L285="M2",L285="K4"),U285="",AA285=""),EDATE(Q285,12*2),AND(AI285="K5-LAW",AH285="นิติศาสตร์",OR(AA285="M2",AA285="K4"),AD285&gt;=2,OR(AC285&lt;W285,AC285&lt;Q285)),EDATE(AC285,12*2),AND(AI285="K5-LAW",AH285="นิติศาสตร์",AA285="S1",AD285&gt;=1,OR(AC285&lt;W285,AC285&lt;Q285)),EDATE(AC285,12),AND(AI285="K5-LAW",AH285="นิติศาสตร์",OR(U285="M2",U285="K4"),X285&gt;=2,W285&lt;Q285),EDATE(W285,12*2),AND(AI285="K5-LAW",AH285="นิติศาสตร์",U285="S1",X285&gt;=1,W285&lt;Q285),EDATE(W285,12),AND(AI285="K5-LAW",AH285="นิติศาสตร์",OR(U285="S2",U285="K5")),W285,AND(AI285="K5-LAW",AH285="นิติศาสตร์",OR(L285="M2",L285="K4"),R285&gt;=2),EDATE(Q285,12*2),AND(AI285="K5-LAW",AH285="นิติศาสตร์",L285="S1",R285&gt;=1),EDATE(Q285,12),AND(AI285="K5-LAW",AH285="นิติศาสตร์",OR(L285="S2",L285="K5")),Q285,AND(AI285="K5-POLICY",AH285&lt;&gt;"นิติศาสตร์",L285="S2",U285="",AA285=""),Q285,AND(AI285="K5-POLICY",AH285&lt;&gt;"นิติศาสตร์",L285="S1",U285="",AA285=""),EDATE(Q285,12),AND(AI285="K5-POLICY",AH285&lt;&gt;"นิติศาสตร์",OR(L285="M2",L285="K4"),U285="",AA285=""),EDATE(Q285,12*2),AND(AI285="K5-POLICY",AH285&lt;&gt;"นิติศาสตร์",OR(AA285="M2",AA285="K4"),AD285&gt;=2,OR(AC285&lt;W285,AC285&lt;Q285)),EDATE(AC285,12*2),AND(AI285="K5-POLICY",AH285&lt;&gt;"นิติศาสตร์",AA285="S1",AD285&gt;=1,OR(AC285&lt;W285,AC285&lt;Q285)),EDATE(AC285,12),AND(AI285="K5-POLICY",AH285&lt;&gt;"นิติศาสตร์",OR(U285="M2",U285="K4"),X285&gt;=2,W285&lt;Q285),EDATE(W285,12*2),AND(AI285="K5-POLICY",AH285&lt;&gt;"นิติศาสตร์",U285="S1",X285&gt;=1,W285&lt;Q285),EDATE(W285,12),AND(AI285="K5-POLICY",AH285&lt;&gt;"นิติศาสตร์",OR(U285="S2",U285="K5")),W285,AND(AI285="K5-POLICY",AH285&lt;&gt;"นิติศาสตร์",OR(L285="M2",L285="K4"),R285&gt;=2),EDATE(Q285,12*2),AND(AI285="K5-POLICY",AH285&lt;&gt;"นิติศาสตร์",L285="S1",R285&gt;=1),EDATE(Q285,12),AND(AI285="K5-POLICY",AH285&lt;&gt;"นิติศาสตร์",OR(L285="S2",L285="K5")),Q285,TRUE,"Check Data")</f>
        <v/>
      </c>
      <c r="AK285" s="75" t="str">
        <f t="shared" si="87"/>
        <v>Check Data</v>
      </c>
      <c r="AL285" s="76" t="str">
        <f t="shared" si="92"/>
        <v>Check Data</v>
      </c>
      <c r="AM285" s="50" t="str">
        <f t="shared" si="88"/>
        <v>Check Data</v>
      </c>
      <c r="AN285" s="49" t="str">
        <f>IF(B285="","",IF(L285="S1","S1",INDEX(#REF!,#REF!)))</f>
        <v/>
      </c>
      <c r="AO285" s="49" t="str">
        <f>L285</f>
        <v>M2</v>
      </c>
      <c r="AP285" s="50" t="b">
        <f>L285=AN285</f>
        <v>0</v>
      </c>
    </row>
    <row r="286" spans="1:43" ht="21.75">
      <c r="A286" s="49">
        <v>284</v>
      </c>
      <c r="B286" s="50"/>
      <c r="C286" s="52"/>
      <c r="D286" s="50" t="s">
        <v>139</v>
      </c>
      <c r="E286" s="50" t="e">
        <f>INDEX(#REF!,#REF!)</f>
        <v>#REF!</v>
      </c>
      <c r="F286" s="49"/>
      <c r="G286" s="49"/>
      <c r="H286" s="50">
        <f t="shared" si="89"/>
        <v>0</v>
      </c>
      <c r="I286" s="50">
        <f t="shared" si="90"/>
        <v>0</v>
      </c>
      <c r="J286" s="50">
        <f t="shared" si="91"/>
        <v>0</v>
      </c>
      <c r="K286" s="50"/>
      <c r="L286" s="49" t="s">
        <v>136</v>
      </c>
      <c r="M286" s="64"/>
      <c r="N286" s="49"/>
      <c r="O286" s="49"/>
      <c r="P286" s="65" t="s">
        <v>458</v>
      </c>
      <c r="Q286" s="49" t="str">
        <f t="shared" si="86"/>
        <v>31/03/2025</v>
      </c>
      <c r="R286" s="68">
        <f>IF(Q286="",0,DATEDIF(Q286,$C$1,"Y"))</f>
        <v>0</v>
      </c>
      <c r="S286" s="68">
        <f>IF(Q286="",0,DATEDIF(Q286,$C$1,"YM"))</f>
        <v>2</v>
      </c>
      <c r="T286" s="68">
        <f>IF(Q286="",0,DATEDIF(Q286,$C$1,"MD"))</f>
        <v>20</v>
      </c>
      <c r="U286" s="65"/>
      <c r="V286" s="65"/>
      <c r="W286" s="49" t="str">
        <f t="shared" si="93"/>
        <v/>
      </c>
      <c r="X286" s="68">
        <f>IF(W286="",0,DATEDIF(W286,Q286,"Y"))</f>
        <v>0</v>
      </c>
      <c r="Y286" s="68">
        <f>IF(W286="",0,DATEDIF(W286,Q286,"YM"))</f>
        <v>0</v>
      </c>
      <c r="Z286" s="68">
        <f>IF(W286="",0,DATEDIF(W286,Q286,"MD"))</f>
        <v>0</v>
      </c>
      <c r="AA286" s="49"/>
      <c r="AB286" s="65"/>
      <c r="AC286" s="50" t="str">
        <f t="shared" si="94"/>
        <v/>
      </c>
      <c r="AD286" s="68">
        <f t="shared" si="95"/>
        <v>0</v>
      </c>
      <c r="AE286" s="68">
        <f t="shared" si="96"/>
        <v>0</v>
      </c>
      <c r="AF286" s="68">
        <f t="shared" si="97"/>
        <v>0</v>
      </c>
      <c r="AG286" s="50"/>
      <c r="AH286" s="108"/>
      <c r="AI286" s="49" t="str">
        <f>IF(AH286="นิติศาสตร์","K5-LAW","K5-POLICY")</f>
        <v>K5-POLICY</v>
      </c>
      <c r="AJ286" s="72" t="str">
        <f>_xlfn.IFS(B286="","",AND(AI286="K5-LAW",AH286="นิติศาสตร์",L286="S2",U286="",AA286=""),Q286,AND(AI286="K5-LAW",AH286="นิติศาสตร์",L286="S1",U286="",AA286=""),EDATE(Q286,12),AND(AI286="K5-LAW",AH286="นิติศาสตร์",OR(L286="M2",L286="K4"),U286="",AA286=""),EDATE(Q286,12*2),AND(AI286="K5-LAW",AH286="นิติศาสตร์",OR(AA286="M2",AA286="K4"),AD286&gt;=2,OR(AC286&lt;W286,AC286&lt;Q286)),EDATE(AC286,12*2),AND(AI286="K5-LAW",AH286="นิติศาสตร์",AA286="S1",AD286&gt;=1,OR(AC286&lt;W286,AC286&lt;Q286)),EDATE(AC286,12),AND(AI286="K5-LAW",AH286="นิติศาสตร์",OR(U286="M2",U286="K4"),X286&gt;=2,W286&lt;Q286),EDATE(W286,12*2),AND(AI286="K5-LAW",AH286="นิติศาสตร์",U286="S1",X286&gt;=1,W286&lt;Q286),EDATE(W286,12),AND(AI286="K5-LAW",AH286="นิติศาสตร์",OR(U286="S2",U286="K5")),W286,AND(AI286="K5-LAW",AH286="นิติศาสตร์",OR(L286="M2",L286="K4"),R286&gt;=2),EDATE(Q286,12*2),AND(AI286="K5-LAW",AH286="นิติศาสตร์",L286="S1",R286&gt;=1),EDATE(Q286,12),AND(AI286="K5-LAW",AH286="นิติศาสตร์",OR(L286="S2",L286="K5")),Q286,AND(AI286="K5-POLICY",AH286&lt;&gt;"นิติศาสตร์",L286="S2",U286="",AA286=""),Q286,AND(AI286="K5-POLICY",AH286&lt;&gt;"นิติศาสตร์",L286="S1",U286="",AA286=""),EDATE(Q286,12),AND(AI286="K5-POLICY",AH286&lt;&gt;"นิติศาสตร์",OR(L286="M2",L286="K4"),U286="",AA286=""),EDATE(Q286,12*2),AND(AI286="K5-POLICY",AH286&lt;&gt;"นิติศาสตร์",OR(AA286="M2",AA286="K4"),AD286&gt;=2,OR(AC286&lt;W286,AC286&lt;Q286)),EDATE(AC286,12*2),AND(AI286="K5-POLICY",AH286&lt;&gt;"นิติศาสตร์",AA286="S1",AD286&gt;=1,OR(AC286&lt;W286,AC286&lt;Q286)),EDATE(AC286,12),AND(AI286="K5-POLICY",AH286&lt;&gt;"นิติศาสตร์",OR(U286="M2",U286="K4"),X286&gt;=2,W286&lt;Q286),EDATE(W286,12*2),AND(AI286="K5-POLICY",AH286&lt;&gt;"นิติศาสตร์",U286="S1",X286&gt;=1,W286&lt;Q286),EDATE(W286,12),AND(AI286="K5-POLICY",AH286&lt;&gt;"นิติศาสตร์",OR(U286="S2",U286="K5")),W286,AND(AI286="K5-POLICY",AH286&lt;&gt;"นิติศาสตร์",OR(L286="M2",L286="K4"),R286&gt;=2),EDATE(Q286,12*2),AND(AI286="K5-POLICY",AH286&lt;&gt;"นิติศาสตร์",L286="S1",R286&gt;=1),EDATE(Q286,12),AND(AI286="K5-POLICY",AH286&lt;&gt;"นิติศาสตร์",OR(L286="S2",L286="K5")),Q286,TRUE,"Check Data")</f>
        <v/>
      </c>
      <c r="AK286" s="75" t="str">
        <f t="shared" si="87"/>
        <v>Check Data</v>
      </c>
      <c r="AL286" s="76" t="str">
        <f t="shared" si="92"/>
        <v>Check Data</v>
      </c>
      <c r="AM286" s="50" t="str">
        <f t="shared" si="88"/>
        <v>Check Data</v>
      </c>
      <c r="AN286" s="49" t="str">
        <f>IF(B286="","",IF(L286="S1","S1",INDEX(#REF!,#REF!)))</f>
        <v/>
      </c>
      <c r="AO286" s="49" t="str">
        <f>L286</f>
        <v>M2</v>
      </c>
      <c r="AP286" s="50" t="b">
        <f>L286=AN286</f>
        <v>0</v>
      </c>
    </row>
    <row r="287" spans="1:43" ht="21.75">
      <c r="A287" s="49">
        <v>285</v>
      </c>
      <c r="B287" s="50"/>
      <c r="C287" s="52"/>
      <c r="D287" s="50" t="s">
        <v>139</v>
      </c>
      <c r="E287" s="50" t="e">
        <f>INDEX(#REF!,#REF!)</f>
        <v>#REF!</v>
      </c>
      <c r="F287" s="49"/>
      <c r="G287" s="49"/>
      <c r="H287" s="50">
        <f t="shared" si="89"/>
        <v>0</v>
      </c>
      <c r="I287" s="50">
        <f t="shared" si="90"/>
        <v>0</v>
      </c>
      <c r="J287" s="50">
        <f t="shared" si="91"/>
        <v>0</v>
      </c>
      <c r="K287" s="50"/>
      <c r="L287" s="49" t="s">
        <v>136</v>
      </c>
      <c r="M287" s="64"/>
      <c r="N287" s="49"/>
      <c r="O287" s="49"/>
      <c r="P287" s="65" t="s">
        <v>458</v>
      </c>
      <c r="Q287" s="49" t="str">
        <f t="shared" si="86"/>
        <v>31/03/2025</v>
      </c>
      <c r="R287" s="68">
        <f>IF(Q287="",0,DATEDIF(Q287,$C$1,"Y"))</f>
        <v>0</v>
      </c>
      <c r="S287" s="68">
        <f>IF(Q287="",0,DATEDIF(Q287,$C$1,"YM"))</f>
        <v>2</v>
      </c>
      <c r="T287" s="68">
        <f>IF(Q287="",0,DATEDIF(Q287,$C$1,"MD"))</f>
        <v>20</v>
      </c>
      <c r="U287" s="65"/>
      <c r="V287" s="65"/>
      <c r="W287" s="49" t="str">
        <f t="shared" si="93"/>
        <v/>
      </c>
      <c r="X287" s="68">
        <f>IF(W287="",0,DATEDIF(W287,Q287,"Y"))</f>
        <v>0</v>
      </c>
      <c r="Y287" s="68">
        <f>IF(W287="",0,DATEDIF(W287,Q287,"YM"))</f>
        <v>0</v>
      </c>
      <c r="Z287" s="68">
        <f>IF(W287="",0,DATEDIF(W287,Q287,"MD"))</f>
        <v>0</v>
      </c>
      <c r="AA287" s="49"/>
      <c r="AB287" s="65"/>
      <c r="AC287" s="50" t="str">
        <f t="shared" si="94"/>
        <v/>
      </c>
      <c r="AD287" s="68">
        <f t="shared" si="95"/>
        <v>0</v>
      </c>
      <c r="AE287" s="68">
        <f t="shared" si="96"/>
        <v>0</v>
      </c>
      <c r="AF287" s="68">
        <f t="shared" si="97"/>
        <v>0</v>
      </c>
      <c r="AG287" s="50"/>
      <c r="AH287" s="108"/>
      <c r="AI287" s="49" t="str">
        <f>IF(AH287="นิติศาสตร์","K5-LAW","K5-POLICY")</f>
        <v>K5-POLICY</v>
      </c>
      <c r="AJ287" s="72" t="str">
        <f>_xlfn.IFS(B287="","",AND(AI287="K5-LAW",AH287="นิติศาสตร์",L287="S2",U287="",AA287=""),Q287,AND(AI287="K5-LAW",AH287="นิติศาสตร์",L287="S1",U287="",AA287=""),EDATE(Q287,12),AND(AI287="K5-LAW",AH287="นิติศาสตร์",OR(L287="M2",L287="K4"),U287="",AA287=""),EDATE(Q287,12*2),AND(AI287="K5-LAW",AH287="นิติศาสตร์",OR(AA287="M2",AA287="K4"),AD287&gt;=2,OR(AC287&lt;W287,AC287&lt;Q287)),EDATE(AC287,12*2),AND(AI287="K5-LAW",AH287="นิติศาสตร์",AA287="S1",AD287&gt;=1,OR(AC287&lt;W287,AC287&lt;Q287)),EDATE(AC287,12),AND(AI287="K5-LAW",AH287="นิติศาสตร์",OR(U287="M2",U287="K4"),X287&gt;=2,W287&lt;Q287),EDATE(W287,12*2),AND(AI287="K5-LAW",AH287="นิติศาสตร์",U287="S1",X287&gt;=1,W287&lt;Q287),EDATE(W287,12),AND(AI287="K5-LAW",AH287="นิติศาสตร์",OR(U287="S2",U287="K5")),W287,AND(AI287="K5-LAW",AH287="นิติศาสตร์",OR(L287="M2",L287="K4"),R287&gt;=2),EDATE(Q287,12*2),AND(AI287="K5-LAW",AH287="นิติศาสตร์",L287="S1",R287&gt;=1),EDATE(Q287,12),AND(AI287="K5-LAW",AH287="นิติศาสตร์",OR(L287="S2",L287="K5")),Q287,AND(AI287="K5-POLICY",AH287&lt;&gt;"นิติศาสตร์",L287="S2",U287="",AA287=""),Q287,AND(AI287="K5-POLICY",AH287&lt;&gt;"นิติศาสตร์",L287="S1",U287="",AA287=""),EDATE(Q287,12),AND(AI287="K5-POLICY",AH287&lt;&gt;"นิติศาสตร์",OR(L287="M2",L287="K4"),U287="",AA287=""),EDATE(Q287,12*2),AND(AI287="K5-POLICY",AH287&lt;&gt;"นิติศาสตร์",OR(AA287="M2",AA287="K4"),AD287&gt;=2,OR(AC287&lt;W287,AC287&lt;Q287)),EDATE(AC287,12*2),AND(AI287="K5-POLICY",AH287&lt;&gt;"นิติศาสตร์",AA287="S1",AD287&gt;=1,OR(AC287&lt;W287,AC287&lt;Q287)),EDATE(AC287,12),AND(AI287="K5-POLICY",AH287&lt;&gt;"นิติศาสตร์",OR(U287="M2",U287="K4"),X287&gt;=2,W287&lt;Q287),EDATE(W287,12*2),AND(AI287="K5-POLICY",AH287&lt;&gt;"นิติศาสตร์",U287="S1",X287&gt;=1,W287&lt;Q287),EDATE(W287,12),AND(AI287="K5-POLICY",AH287&lt;&gt;"นิติศาสตร์",OR(U287="S2",U287="K5")),W287,AND(AI287="K5-POLICY",AH287&lt;&gt;"นิติศาสตร์",OR(L287="M2",L287="K4"),R287&gt;=2),EDATE(Q287,12*2),AND(AI287="K5-POLICY",AH287&lt;&gt;"นิติศาสตร์",L287="S1",R287&gt;=1),EDATE(Q287,12),AND(AI287="K5-POLICY",AH287&lt;&gt;"นิติศาสตร์",OR(L287="S2",L287="K5")),Q287,TRUE,"Check Data")</f>
        <v/>
      </c>
      <c r="AK287" s="75" t="str">
        <f t="shared" si="87"/>
        <v>Check Data</v>
      </c>
      <c r="AL287" s="76" t="str">
        <f t="shared" si="92"/>
        <v>Check Data</v>
      </c>
      <c r="AM287" s="50" t="str">
        <f t="shared" si="88"/>
        <v>Check Data</v>
      </c>
      <c r="AN287" s="49" t="str">
        <f>IF(B287="","",IF(L287="S1","S1",INDEX(#REF!,#REF!)))</f>
        <v/>
      </c>
      <c r="AO287" s="49" t="str">
        <f>L287</f>
        <v>M2</v>
      </c>
      <c r="AP287" s="50" t="b">
        <f>L287=AN287</f>
        <v>0</v>
      </c>
    </row>
    <row r="288" spans="1:43" ht="21.75">
      <c r="A288" s="49">
        <v>286</v>
      </c>
      <c r="B288" s="50"/>
      <c r="C288" s="52"/>
      <c r="D288" s="50" t="s">
        <v>139</v>
      </c>
      <c r="E288" s="50" t="e">
        <f>INDEX(#REF!,#REF!)</f>
        <v>#REF!</v>
      </c>
      <c r="F288" s="49"/>
      <c r="G288" s="49"/>
      <c r="H288" s="50">
        <f t="shared" si="89"/>
        <v>0</v>
      </c>
      <c r="I288" s="50">
        <f t="shared" si="90"/>
        <v>0</v>
      </c>
      <c r="J288" s="50">
        <f t="shared" si="91"/>
        <v>0</v>
      </c>
      <c r="K288" s="50"/>
      <c r="L288" s="49" t="s">
        <v>136</v>
      </c>
      <c r="M288" s="64"/>
      <c r="N288" s="49"/>
      <c r="O288" s="49"/>
      <c r="P288" s="65" t="s">
        <v>458</v>
      </c>
      <c r="Q288" s="49" t="str">
        <f t="shared" si="86"/>
        <v>31/03/2025</v>
      </c>
      <c r="R288" s="68">
        <f>IF(Q288="",0,DATEDIF(Q288,$C$1,"Y"))</f>
        <v>0</v>
      </c>
      <c r="S288" s="68">
        <f>IF(Q288="",0,DATEDIF(Q288,$C$1,"YM"))</f>
        <v>2</v>
      </c>
      <c r="T288" s="68">
        <f>IF(Q288="",0,DATEDIF(Q288,$C$1,"MD"))</f>
        <v>20</v>
      </c>
      <c r="U288" s="65"/>
      <c r="V288" s="65"/>
      <c r="W288" s="49" t="str">
        <f t="shared" si="93"/>
        <v/>
      </c>
      <c r="X288" s="68">
        <f>IF(W288="",0,DATEDIF(W288,Q288,"Y"))</f>
        <v>0</v>
      </c>
      <c r="Y288" s="68">
        <f>IF(W288="",0,DATEDIF(W288,Q288,"YM"))</f>
        <v>0</v>
      </c>
      <c r="Z288" s="68">
        <f>IF(W288="",0,DATEDIF(W288,Q288,"MD"))</f>
        <v>0</v>
      </c>
      <c r="AA288" s="49"/>
      <c r="AB288" s="65"/>
      <c r="AC288" s="50" t="str">
        <f t="shared" si="94"/>
        <v/>
      </c>
      <c r="AD288" s="68">
        <f t="shared" si="95"/>
        <v>0</v>
      </c>
      <c r="AE288" s="68">
        <f t="shared" si="96"/>
        <v>0</v>
      </c>
      <c r="AF288" s="68">
        <f t="shared" si="97"/>
        <v>0</v>
      </c>
      <c r="AG288" s="50"/>
      <c r="AH288" s="108"/>
      <c r="AI288" s="49" t="str">
        <f>IF(AH288="นิติศาสตร์","K5-LAW","K5-POLICY")</f>
        <v>K5-POLICY</v>
      </c>
      <c r="AJ288" s="72" t="str">
        <f>_xlfn.IFS(B288="","",AND(AI288="K5-LAW",AH288="นิติศาสตร์",L288="S2",U288="",AA288=""),Q288,AND(AI288="K5-LAW",AH288="นิติศาสตร์",L288="S1",U288="",AA288=""),EDATE(Q288,12),AND(AI288="K5-LAW",AH288="นิติศาสตร์",OR(L288="M2",L288="K4"),U288="",AA288=""),EDATE(Q288,12*2),AND(AI288="K5-LAW",AH288="นิติศาสตร์",OR(AA288="M2",AA288="K4"),AD288&gt;=2,OR(AC288&lt;W288,AC288&lt;Q288)),EDATE(AC288,12*2),AND(AI288="K5-LAW",AH288="นิติศาสตร์",AA288="S1",AD288&gt;=1,OR(AC288&lt;W288,AC288&lt;Q288)),EDATE(AC288,12),AND(AI288="K5-LAW",AH288="นิติศาสตร์",OR(U288="M2",U288="K4"),X288&gt;=2,W288&lt;Q288),EDATE(W288,12*2),AND(AI288="K5-LAW",AH288="นิติศาสตร์",U288="S1",X288&gt;=1,W288&lt;Q288),EDATE(W288,12),AND(AI288="K5-LAW",AH288="นิติศาสตร์",OR(U288="S2",U288="K5")),W288,AND(AI288="K5-LAW",AH288="นิติศาสตร์",OR(L288="M2",L288="K4"),R288&gt;=2),EDATE(Q288,12*2),AND(AI288="K5-LAW",AH288="นิติศาสตร์",L288="S1",R288&gt;=1),EDATE(Q288,12),AND(AI288="K5-LAW",AH288="นิติศาสตร์",OR(L288="S2",L288="K5")),Q288,AND(AI288="K5-POLICY",AH288&lt;&gt;"นิติศาสตร์",L288="S2",U288="",AA288=""),Q288,AND(AI288="K5-POLICY",AH288&lt;&gt;"นิติศาสตร์",L288="S1",U288="",AA288=""),EDATE(Q288,12),AND(AI288="K5-POLICY",AH288&lt;&gt;"นิติศาสตร์",OR(L288="M2",L288="K4"),U288="",AA288=""),EDATE(Q288,12*2),AND(AI288="K5-POLICY",AH288&lt;&gt;"นิติศาสตร์",OR(AA288="M2",AA288="K4"),AD288&gt;=2,OR(AC288&lt;W288,AC288&lt;Q288)),EDATE(AC288,12*2),AND(AI288="K5-POLICY",AH288&lt;&gt;"นิติศาสตร์",AA288="S1",AD288&gt;=1,OR(AC288&lt;W288,AC288&lt;Q288)),EDATE(AC288,12),AND(AI288="K5-POLICY",AH288&lt;&gt;"นิติศาสตร์",OR(U288="M2",U288="K4"),X288&gt;=2,W288&lt;Q288),EDATE(W288,12*2),AND(AI288="K5-POLICY",AH288&lt;&gt;"นิติศาสตร์",U288="S1",X288&gt;=1,W288&lt;Q288),EDATE(W288,12),AND(AI288="K5-POLICY",AH288&lt;&gt;"นิติศาสตร์",OR(U288="S2",U288="K5")),W288,AND(AI288="K5-POLICY",AH288&lt;&gt;"นิติศาสตร์",OR(L288="M2",L288="K4"),R288&gt;=2),EDATE(Q288,12*2),AND(AI288="K5-POLICY",AH288&lt;&gt;"นิติศาสตร์",L288="S1",R288&gt;=1),EDATE(Q288,12),AND(AI288="K5-POLICY",AH288&lt;&gt;"นิติศาสตร์",OR(L288="S2",L288="K5")),Q288,TRUE,"Check Data")</f>
        <v/>
      </c>
      <c r="AK288" s="75" t="str">
        <f t="shared" si="87"/>
        <v>Check Data</v>
      </c>
      <c r="AL288" s="76" t="str">
        <f t="shared" si="92"/>
        <v>Check Data</v>
      </c>
      <c r="AM288" s="50" t="str">
        <f t="shared" si="88"/>
        <v>Check Data</v>
      </c>
      <c r="AN288" s="49" t="str">
        <f>IF(B288="","",IF(L288="S1","S1",INDEX(#REF!,#REF!)))</f>
        <v/>
      </c>
      <c r="AO288" s="49" t="str">
        <f>L288</f>
        <v>M2</v>
      </c>
      <c r="AP288" s="50" t="b">
        <f>L288=AN288</f>
        <v>0</v>
      </c>
    </row>
    <row r="289" spans="1:42" ht="21.75">
      <c r="A289" s="49">
        <v>287</v>
      </c>
      <c r="B289" s="50"/>
      <c r="C289" s="52"/>
      <c r="D289" s="50" t="s">
        <v>139</v>
      </c>
      <c r="E289" s="50" t="e">
        <f>INDEX(#REF!,#REF!)</f>
        <v>#REF!</v>
      </c>
      <c r="F289" s="49"/>
      <c r="G289" s="49"/>
      <c r="H289" s="50">
        <f t="shared" si="89"/>
        <v>0</v>
      </c>
      <c r="I289" s="50">
        <f t="shared" si="90"/>
        <v>0</v>
      </c>
      <c r="J289" s="50">
        <f t="shared" si="91"/>
        <v>0</v>
      </c>
      <c r="K289" s="50"/>
      <c r="L289" s="49" t="s">
        <v>136</v>
      </c>
      <c r="M289" s="64"/>
      <c r="N289" s="49"/>
      <c r="O289" s="49"/>
      <c r="P289" s="65" t="s">
        <v>458</v>
      </c>
      <c r="Q289" s="49" t="str">
        <f t="shared" si="86"/>
        <v>31/03/2025</v>
      </c>
      <c r="R289" s="68">
        <f>IF(Q289="",0,DATEDIF(Q289,$C$1,"Y"))</f>
        <v>0</v>
      </c>
      <c r="S289" s="68">
        <f>IF(Q289="",0,DATEDIF(Q289,$C$1,"YM"))</f>
        <v>2</v>
      </c>
      <c r="T289" s="68">
        <f>IF(Q289="",0,DATEDIF(Q289,$C$1,"MD"))</f>
        <v>20</v>
      </c>
      <c r="U289" s="65"/>
      <c r="V289" s="65"/>
      <c r="W289" s="49" t="str">
        <f t="shared" si="93"/>
        <v/>
      </c>
      <c r="X289" s="68">
        <f>IF(W289="",0,DATEDIF(W289,Q289,"Y"))</f>
        <v>0</v>
      </c>
      <c r="Y289" s="68">
        <f>IF(W289="",0,DATEDIF(W289,Q289,"YM"))</f>
        <v>0</v>
      </c>
      <c r="Z289" s="68">
        <f>IF(W289="",0,DATEDIF(W289,Q289,"MD"))</f>
        <v>0</v>
      </c>
      <c r="AA289" s="49"/>
      <c r="AB289" s="65"/>
      <c r="AC289" s="50" t="str">
        <f t="shared" si="94"/>
        <v/>
      </c>
      <c r="AD289" s="68">
        <f t="shared" si="95"/>
        <v>0</v>
      </c>
      <c r="AE289" s="68">
        <f t="shared" si="96"/>
        <v>0</v>
      </c>
      <c r="AF289" s="68">
        <f t="shared" si="97"/>
        <v>0</v>
      </c>
      <c r="AG289" s="50"/>
      <c r="AH289" s="108"/>
      <c r="AI289" s="49" t="str">
        <f>IF(AH289="นิติศาสตร์","K5-LAW","K5-POLICY")</f>
        <v>K5-POLICY</v>
      </c>
      <c r="AJ289" s="72" t="str">
        <f>_xlfn.IFS(B289="","",AND(AI289="K5-LAW",AH289="นิติศาสตร์",L289="S2",U289="",AA289=""),Q289,AND(AI289="K5-LAW",AH289="นิติศาสตร์",L289="S1",U289="",AA289=""),EDATE(Q289,12),AND(AI289="K5-LAW",AH289="นิติศาสตร์",OR(L289="M2",L289="K4"),U289="",AA289=""),EDATE(Q289,12*2),AND(AI289="K5-LAW",AH289="นิติศาสตร์",OR(AA289="M2",AA289="K4"),AD289&gt;=2,OR(AC289&lt;W289,AC289&lt;Q289)),EDATE(AC289,12*2),AND(AI289="K5-LAW",AH289="นิติศาสตร์",AA289="S1",AD289&gt;=1,OR(AC289&lt;W289,AC289&lt;Q289)),EDATE(AC289,12),AND(AI289="K5-LAW",AH289="นิติศาสตร์",OR(U289="M2",U289="K4"),X289&gt;=2,W289&lt;Q289),EDATE(W289,12*2),AND(AI289="K5-LAW",AH289="นิติศาสตร์",U289="S1",X289&gt;=1,W289&lt;Q289),EDATE(W289,12),AND(AI289="K5-LAW",AH289="นิติศาสตร์",OR(U289="S2",U289="K5")),W289,AND(AI289="K5-LAW",AH289="นิติศาสตร์",OR(L289="M2",L289="K4"),R289&gt;=2),EDATE(Q289,12*2),AND(AI289="K5-LAW",AH289="นิติศาสตร์",L289="S1",R289&gt;=1),EDATE(Q289,12),AND(AI289="K5-LAW",AH289="นิติศาสตร์",OR(L289="S2",L289="K5")),Q289,AND(AI289="K5-POLICY",AH289&lt;&gt;"นิติศาสตร์",L289="S2",U289="",AA289=""),Q289,AND(AI289="K5-POLICY",AH289&lt;&gt;"นิติศาสตร์",L289="S1",U289="",AA289=""),EDATE(Q289,12),AND(AI289="K5-POLICY",AH289&lt;&gt;"นิติศาสตร์",OR(L289="M2",L289="K4"),U289="",AA289=""),EDATE(Q289,12*2),AND(AI289="K5-POLICY",AH289&lt;&gt;"นิติศาสตร์",OR(AA289="M2",AA289="K4"),AD289&gt;=2,OR(AC289&lt;W289,AC289&lt;Q289)),EDATE(AC289,12*2),AND(AI289="K5-POLICY",AH289&lt;&gt;"นิติศาสตร์",AA289="S1",AD289&gt;=1,OR(AC289&lt;W289,AC289&lt;Q289)),EDATE(AC289,12),AND(AI289="K5-POLICY",AH289&lt;&gt;"นิติศาสตร์",OR(U289="M2",U289="K4"),X289&gt;=2,W289&lt;Q289),EDATE(W289,12*2),AND(AI289="K5-POLICY",AH289&lt;&gt;"นิติศาสตร์",U289="S1",X289&gt;=1,W289&lt;Q289),EDATE(W289,12),AND(AI289="K5-POLICY",AH289&lt;&gt;"นิติศาสตร์",OR(U289="S2",U289="K5")),W289,AND(AI289="K5-POLICY",AH289&lt;&gt;"นิติศาสตร์",OR(L289="M2",L289="K4"),R289&gt;=2),EDATE(Q289,12*2),AND(AI289="K5-POLICY",AH289&lt;&gt;"นิติศาสตร์",L289="S1",R289&gt;=1),EDATE(Q289,12),AND(AI289="K5-POLICY",AH289&lt;&gt;"นิติศาสตร์",OR(L289="S2",L289="K5")),Q289,TRUE,"Check Data")</f>
        <v/>
      </c>
      <c r="AK289" s="75" t="str">
        <f t="shared" si="87"/>
        <v>Check Data</v>
      </c>
      <c r="AL289" s="76" t="str">
        <f t="shared" si="92"/>
        <v>Check Data</v>
      </c>
      <c r="AM289" s="50" t="str">
        <f t="shared" si="88"/>
        <v>Check Data</v>
      </c>
      <c r="AN289" s="49" t="str">
        <f>IF(B289="","",IF(L289="S1","S1",INDEX(#REF!,#REF!)))</f>
        <v/>
      </c>
      <c r="AO289" s="49" t="str">
        <f>L289</f>
        <v>M2</v>
      </c>
      <c r="AP289" s="50" t="b">
        <f>L289=AN289</f>
        <v>0</v>
      </c>
    </row>
    <row r="290" spans="1:42" ht="21.75">
      <c r="A290" s="49">
        <v>288</v>
      </c>
      <c r="B290" s="50"/>
      <c r="C290" s="52"/>
      <c r="D290" s="50" t="s">
        <v>139</v>
      </c>
      <c r="E290" s="50" t="e">
        <f>INDEX(#REF!,#REF!)</f>
        <v>#REF!</v>
      </c>
      <c r="F290" s="49"/>
      <c r="G290" s="49"/>
      <c r="H290" s="50">
        <f t="shared" si="89"/>
        <v>0</v>
      </c>
      <c r="I290" s="50">
        <f t="shared" si="90"/>
        <v>0</v>
      </c>
      <c r="J290" s="50">
        <f t="shared" si="91"/>
        <v>0</v>
      </c>
      <c r="K290" s="50"/>
      <c r="L290" s="49" t="s">
        <v>136</v>
      </c>
      <c r="M290" s="64"/>
      <c r="N290" s="49"/>
      <c r="O290" s="49"/>
      <c r="P290" s="65" t="s">
        <v>458</v>
      </c>
      <c r="Q290" s="49" t="str">
        <f t="shared" si="86"/>
        <v>31/03/2025</v>
      </c>
      <c r="R290" s="68">
        <f>IF(Q290="",0,DATEDIF(Q290,$C$1,"Y"))</f>
        <v>0</v>
      </c>
      <c r="S290" s="68">
        <f>IF(Q290="",0,DATEDIF(Q290,$C$1,"YM"))</f>
        <v>2</v>
      </c>
      <c r="T290" s="68">
        <f>IF(Q290="",0,DATEDIF(Q290,$C$1,"MD"))</f>
        <v>20</v>
      </c>
      <c r="U290" s="65"/>
      <c r="V290" s="65"/>
      <c r="W290" s="49" t="str">
        <f t="shared" si="93"/>
        <v/>
      </c>
      <c r="X290" s="68">
        <f>IF(W290="",0,DATEDIF(W290,Q290,"Y"))</f>
        <v>0</v>
      </c>
      <c r="Y290" s="68">
        <f>IF(W290="",0,DATEDIF(W290,Q290,"YM"))</f>
        <v>0</v>
      </c>
      <c r="Z290" s="68">
        <f>IF(W290="",0,DATEDIF(W290,Q290,"MD"))</f>
        <v>0</v>
      </c>
      <c r="AA290" s="49"/>
      <c r="AB290" s="65"/>
      <c r="AC290" s="50" t="str">
        <f t="shared" si="94"/>
        <v/>
      </c>
      <c r="AD290" s="68">
        <f t="shared" si="95"/>
        <v>0</v>
      </c>
      <c r="AE290" s="68">
        <f t="shared" si="96"/>
        <v>0</v>
      </c>
      <c r="AF290" s="68">
        <f t="shared" si="97"/>
        <v>0</v>
      </c>
      <c r="AG290" s="50"/>
      <c r="AH290" s="108"/>
      <c r="AI290" s="49" t="str">
        <f>IF(AH290="นิติศาสตร์","K5-LAW","K5-POLICY")</f>
        <v>K5-POLICY</v>
      </c>
      <c r="AJ290" s="72" t="str">
        <f>_xlfn.IFS(B290="","",AND(AI290="K5-LAW",AH290="นิติศาสตร์",L290="S2",U290="",AA290=""),Q290,AND(AI290="K5-LAW",AH290="นิติศาสตร์",L290="S1",U290="",AA290=""),EDATE(Q290,12),AND(AI290="K5-LAW",AH290="นิติศาสตร์",OR(L290="M2",L290="K4"),U290="",AA290=""),EDATE(Q290,12*2),AND(AI290="K5-LAW",AH290="นิติศาสตร์",OR(AA290="M2",AA290="K4"),AD290&gt;=2,OR(AC290&lt;W290,AC290&lt;Q290)),EDATE(AC290,12*2),AND(AI290="K5-LAW",AH290="นิติศาสตร์",AA290="S1",AD290&gt;=1,OR(AC290&lt;W290,AC290&lt;Q290)),EDATE(AC290,12),AND(AI290="K5-LAW",AH290="นิติศาสตร์",OR(U290="M2",U290="K4"),X290&gt;=2,W290&lt;Q290),EDATE(W290,12*2),AND(AI290="K5-LAW",AH290="นิติศาสตร์",U290="S1",X290&gt;=1,W290&lt;Q290),EDATE(W290,12),AND(AI290="K5-LAW",AH290="นิติศาสตร์",OR(U290="S2",U290="K5")),W290,AND(AI290="K5-LAW",AH290="นิติศาสตร์",OR(L290="M2",L290="K4"),R290&gt;=2),EDATE(Q290,12*2),AND(AI290="K5-LAW",AH290="นิติศาสตร์",L290="S1",R290&gt;=1),EDATE(Q290,12),AND(AI290="K5-LAW",AH290="นิติศาสตร์",OR(L290="S2",L290="K5")),Q290,AND(AI290="K5-POLICY",AH290&lt;&gt;"นิติศาสตร์",L290="S2",U290="",AA290=""),Q290,AND(AI290="K5-POLICY",AH290&lt;&gt;"นิติศาสตร์",L290="S1",U290="",AA290=""),EDATE(Q290,12),AND(AI290="K5-POLICY",AH290&lt;&gt;"นิติศาสตร์",OR(L290="M2",L290="K4"),U290="",AA290=""),EDATE(Q290,12*2),AND(AI290="K5-POLICY",AH290&lt;&gt;"นิติศาสตร์",OR(AA290="M2",AA290="K4"),AD290&gt;=2,OR(AC290&lt;W290,AC290&lt;Q290)),EDATE(AC290,12*2),AND(AI290="K5-POLICY",AH290&lt;&gt;"นิติศาสตร์",AA290="S1",AD290&gt;=1,OR(AC290&lt;W290,AC290&lt;Q290)),EDATE(AC290,12),AND(AI290="K5-POLICY",AH290&lt;&gt;"นิติศาสตร์",OR(U290="M2",U290="K4"),X290&gt;=2,W290&lt;Q290),EDATE(W290,12*2),AND(AI290="K5-POLICY",AH290&lt;&gt;"นิติศาสตร์",U290="S1",X290&gt;=1,W290&lt;Q290),EDATE(W290,12),AND(AI290="K5-POLICY",AH290&lt;&gt;"นิติศาสตร์",OR(U290="S2",U290="K5")),W290,AND(AI290="K5-POLICY",AH290&lt;&gt;"นิติศาสตร์",OR(L290="M2",L290="K4"),R290&gt;=2),EDATE(Q290,12*2),AND(AI290="K5-POLICY",AH290&lt;&gt;"นิติศาสตร์",L290="S1",R290&gt;=1),EDATE(Q290,12),AND(AI290="K5-POLICY",AH290&lt;&gt;"นิติศาสตร์",OR(L290="S2",L290="K5")),Q290,TRUE,"Check Data")</f>
        <v/>
      </c>
      <c r="AK290" s="75" t="str">
        <f t="shared" si="87"/>
        <v>Check Data</v>
      </c>
      <c r="AL290" s="76" t="str">
        <f t="shared" si="92"/>
        <v>Check Data</v>
      </c>
      <c r="AM290" s="50" t="str">
        <f t="shared" si="88"/>
        <v>Check Data</v>
      </c>
      <c r="AN290" s="49" t="str">
        <f>IF(B290="","",IF(L290="S1","S1",INDEX(#REF!,#REF!)))</f>
        <v/>
      </c>
      <c r="AO290" s="49" t="str">
        <f>L290</f>
        <v>M2</v>
      </c>
      <c r="AP290" s="50" t="b">
        <f>L290=AN290</f>
        <v>0</v>
      </c>
    </row>
    <row r="291" spans="1:42" ht="21.75">
      <c r="A291" s="49">
        <v>289</v>
      </c>
      <c r="B291" s="50"/>
      <c r="C291" s="52"/>
      <c r="D291" s="50" t="s">
        <v>140</v>
      </c>
      <c r="E291" s="50" t="e">
        <f>INDEX(#REF!,#REF!)</f>
        <v>#REF!</v>
      </c>
      <c r="F291" s="49"/>
      <c r="G291" s="49"/>
      <c r="H291" s="50">
        <f t="shared" si="89"/>
        <v>0</v>
      </c>
      <c r="I291" s="50">
        <f t="shared" si="90"/>
        <v>0</v>
      </c>
      <c r="J291" s="50">
        <f t="shared" si="91"/>
        <v>0</v>
      </c>
      <c r="K291" s="50"/>
      <c r="L291" s="49" t="s">
        <v>136</v>
      </c>
      <c r="M291" s="64"/>
      <c r="N291" s="49"/>
      <c r="O291" s="49"/>
      <c r="P291" s="65" t="s">
        <v>458</v>
      </c>
      <c r="Q291" s="49" t="str">
        <f t="shared" si="86"/>
        <v>31/03/2025</v>
      </c>
      <c r="R291" s="68">
        <f>IF(Q291="",0,DATEDIF(Q291,$C$1,"Y"))</f>
        <v>0</v>
      </c>
      <c r="S291" s="68">
        <f>IF(Q291="",0,DATEDIF(Q291,$C$1,"YM"))</f>
        <v>2</v>
      </c>
      <c r="T291" s="68">
        <f>IF(Q291="",0,DATEDIF(Q291,$C$1,"MD"))</f>
        <v>20</v>
      </c>
      <c r="U291" s="65"/>
      <c r="V291" s="65"/>
      <c r="W291" s="49" t="str">
        <f t="shared" si="93"/>
        <v/>
      </c>
      <c r="X291" s="68">
        <f>IF(W291="",0,DATEDIF(W291,Q291,"Y"))</f>
        <v>0</v>
      </c>
      <c r="Y291" s="68">
        <f>IF(W291="",0,DATEDIF(W291,Q291,"YM"))</f>
        <v>0</v>
      </c>
      <c r="Z291" s="68">
        <f>IF(W291="",0,DATEDIF(W291,Q291,"MD"))</f>
        <v>0</v>
      </c>
      <c r="AA291" s="49"/>
      <c r="AB291" s="65"/>
      <c r="AC291" s="50" t="str">
        <f t="shared" si="94"/>
        <v/>
      </c>
      <c r="AD291" s="68">
        <f t="shared" si="95"/>
        <v>0</v>
      </c>
      <c r="AE291" s="68">
        <f t="shared" si="96"/>
        <v>0</v>
      </c>
      <c r="AF291" s="68">
        <f t="shared" si="97"/>
        <v>0</v>
      </c>
      <c r="AG291" s="50"/>
      <c r="AH291" s="108"/>
      <c r="AI291" s="49" t="str">
        <f>IF(AH291="นิติศาสตร์","K5-LAW","K5-POLICY")</f>
        <v>K5-POLICY</v>
      </c>
      <c r="AJ291" s="72" t="str">
        <f>_xlfn.IFS(B291="","",AND(AI291="K5-LAW",AH291="นิติศาสตร์",L291="S2",U291="",AA291=""),Q291,AND(AI291="K5-LAW",AH291="นิติศาสตร์",L291="S1",U291="",AA291=""),EDATE(Q291,12),AND(AI291="K5-LAW",AH291="นิติศาสตร์",OR(L291="M2",L291="K4"),U291="",AA291=""),EDATE(Q291,12*2),AND(AI291="K5-LAW",AH291="นิติศาสตร์",OR(AA291="M2",AA291="K4"),AD291&gt;=2,OR(AC291&lt;W291,AC291&lt;Q291)),EDATE(AC291,12*2),AND(AI291="K5-LAW",AH291="นิติศาสตร์",AA291="S1",AD291&gt;=1,OR(AC291&lt;W291,AC291&lt;Q291)),EDATE(AC291,12),AND(AI291="K5-LAW",AH291="นิติศาสตร์",OR(U291="M2",U291="K4"),X291&gt;=2,W291&lt;Q291),EDATE(W291,12*2),AND(AI291="K5-LAW",AH291="นิติศาสตร์",U291="S1",X291&gt;=1,W291&lt;Q291),EDATE(W291,12),AND(AI291="K5-LAW",AH291="นิติศาสตร์",OR(U291="S2",U291="K5")),W291,AND(AI291="K5-LAW",AH291="นิติศาสตร์",OR(L291="M2",L291="K4"),R291&gt;=2),EDATE(Q291,12*2),AND(AI291="K5-LAW",AH291="นิติศาสตร์",L291="S1",R291&gt;=1),EDATE(Q291,12),AND(AI291="K5-LAW",AH291="นิติศาสตร์",OR(L291="S2",L291="K5")),Q291,AND(AI291="K5-POLICY",AH291&lt;&gt;"นิติศาสตร์",L291="S2",U291="",AA291=""),Q291,AND(AI291="K5-POLICY",AH291&lt;&gt;"นิติศาสตร์",L291="S1",U291="",AA291=""),EDATE(Q291,12),AND(AI291="K5-POLICY",AH291&lt;&gt;"นิติศาสตร์",OR(L291="M2",L291="K4"),U291="",AA291=""),EDATE(Q291,12*2),AND(AI291="K5-POLICY",AH291&lt;&gt;"นิติศาสตร์",OR(AA291="M2",AA291="K4"),AD291&gt;=2,OR(AC291&lt;W291,AC291&lt;Q291)),EDATE(AC291,12*2),AND(AI291="K5-POLICY",AH291&lt;&gt;"นิติศาสตร์",AA291="S1",AD291&gt;=1,OR(AC291&lt;W291,AC291&lt;Q291)),EDATE(AC291,12),AND(AI291="K5-POLICY",AH291&lt;&gt;"นิติศาสตร์",OR(U291="M2",U291="K4"),X291&gt;=2,W291&lt;Q291),EDATE(W291,12*2),AND(AI291="K5-POLICY",AH291&lt;&gt;"นิติศาสตร์",U291="S1",X291&gt;=1,W291&lt;Q291),EDATE(W291,12),AND(AI291="K5-POLICY",AH291&lt;&gt;"นิติศาสตร์",OR(U291="S2",U291="K5")),W291,AND(AI291="K5-POLICY",AH291&lt;&gt;"นิติศาสตร์",OR(L291="M2",L291="K4"),R291&gt;=2),EDATE(Q291,12*2),AND(AI291="K5-POLICY",AH291&lt;&gt;"นิติศาสตร์",L291="S1",R291&gt;=1),EDATE(Q291,12),AND(AI291="K5-POLICY",AH291&lt;&gt;"นิติศาสตร์",OR(L291="S2",L291="K5")),Q291,TRUE,"Check Data")</f>
        <v/>
      </c>
      <c r="AK291" s="75" t="str">
        <f t="shared" si="87"/>
        <v>Check Data</v>
      </c>
      <c r="AL291" s="76" t="str">
        <f t="shared" si="92"/>
        <v>Check Data</v>
      </c>
      <c r="AM291" s="50" t="str">
        <f t="shared" si="88"/>
        <v>Check Data</v>
      </c>
      <c r="AN291" s="49" t="str">
        <f>IF(B291="","",IF(L291="S1","S1",INDEX(#REF!,#REF!)))</f>
        <v/>
      </c>
      <c r="AO291" s="49" t="str">
        <f>L291</f>
        <v>M2</v>
      </c>
      <c r="AP291" s="50" t="b">
        <f>L291=AN291</f>
        <v>0</v>
      </c>
    </row>
    <row r="292" spans="1:42" ht="21.75">
      <c r="A292" s="49">
        <v>290</v>
      </c>
      <c r="B292" s="50"/>
      <c r="C292" s="50"/>
      <c r="D292" s="50" t="s">
        <v>144</v>
      </c>
      <c r="E292" s="50" t="e">
        <f>INDEX(#REF!,#REF!)</f>
        <v>#REF!</v>
      </c>
      <c r="F292" s="49" t="s">
        <v>208</v>
      </c>
      <c r="G292" s="49" t="str">
        <f>IF(F292="","",TEXT(EDATE(F292,-543*12),"dd/mm/yyyy"))</f>
        <v>01/02/1990</v>
      </c>
      <c r="H292" s="50">
        <f t="shared" si="89"/>
        <v>35</v>
      </c>
      <c r="I292" s="50">
        <f t="shared" si="90"/>
        <v>4</v>
      </c>
      <c r="J292" s="50">
        <f t="shared" si="91"/>
        <v>19</v>
      </c>
      <c r="K292" s="50"/>
      <c r="L292" s="49" t="s">
        <v>137</v>
      </c>
      <c r="M292" s="64"/>
      <c r="N292" s="49"/>
      <c r="O292" s="49"/>
      <c r="P292" s="65" t="s">
        <v>413</v>
      </c>
      <c r="Q292" s="49" t="str">
        <f t="shared" si="86"/>
        <v>31/03/2015</v>
      </c>
      <c r="R292" s="68">
        <f>IF(Q292="",0,DATEDIF(Q292,$C$1,"Y"))</f>
        <v>10</v>
      </c>
      <c r="S292" s="68">
        <f>IF(Q292="",0,DATEDIF(Q292,$C$1,"YM"))</f>
        <v>2</v>
      </c>
      <c r="T292" s="68">
        <f>IF(Q292="",0,DATEDIF(Q292,$C$1,"MD"))</f>
        <v>20</v>
      </c>
      <c r="U292" s="65"/>
      <c r="V292" s="65"/>
      <c r="W292" s="49" t="str">
        <f t="shared" si="93"/>
        <v/>
      </c>
      <c r="X292" s="68">
        <f>IF(W292="",0,DATEDIF(W292,Q292,"Y"))</f>
        <v>0</v>
      </c>
      <c r="Y292" s="68">
        <f>IF(W292="",0,DATEDIF(W292,Q292,"YM"))</f>
        <v>0</v>
      </c>
      <c r="Z292" s="68">
        <f>IF(W292="",0,DATEDIF(W292,Q292,"MD"))</f>
        <v>0</v>
      </c>
      <c r="AA292" s="49"/>
      <c r="AB292" s="65"/>
      <c r="AC292" s="50" t="str">
        <f t="shared" si="94"/>
        <v/>
      </c>
      <c r="AD292" s="68">
        <f t="shared" si="95"/>
        <v>0</v>
      </c>
      <c r="AE292" s="68">
        <f t="shared" si="96"/>
        <v>0</v>
      </c>
      <c r="AF292" s="68">
        <f t="shared" si="97"/>
        <v>0</v>
      </c>
      <c r="AG292" s="50"/>
      <c r="AH292" s="108" t="s">
        <v>138</v>
      </c>
      <c r="AI292" s="49" t="str">
        <f>IF(AH292="นิติศาสตร์","K5-LAW","K5-POLICY")</f>
        <v>K5-LAW</v>
      </c>
      <c r="AJ292" s="72" t="str">
        <f>_xlfn.IFS(B292="","",AND(AI292="K5-LAW",AH292="นิติศาสตร์",L292="S2",U292="",AA292=""),Q292,AND(AI292="K5-LAW",AH292="นิติศาสตร์",L292="S1",U292="",AA292=""),EDATE(Q292,12),AND(AI292="K5-LAW",AH292="นิติศาสตร์",OR(L292="M2",L292="K4"),U292="",AA292=""),EDATE(Q292,12*2),AND(AI292="K5-LAW",AH292="นิติศาสตร์",OR(AA292="M2",AA292="K4"),AD292&gt;=2,OR(AC292&lt;W292,AC292&lt;Q292)),EDATE(AC292,12*2),AND(AI292="K5-LAW",AH292="นิติศาสตร์",AA292="S1",AD292&gt;=1,OR(AC292&lt;W292,AC292&lt;Q292)),EDATE(AC292,12),AND(AI292="K5-LAW",AH292="นิติศาสตร์",OR(U292="M2",U292="K4"),X292&gt;=2,W292&lt;Q292),EDATE(W292,12*2),AND(AI292="K5-LAW",AH292="นิติศาสตร์",U292="S1",X292&gt;=1,W292&lt;Q292),EDATE(W292,12),AND(AI292="K5-LAW",AH292="นิติศาสตร์",OR(U292="S2",U292="K5")),W292,AND(AI292="K5-LAW",AH292="นิติศาสตร์",OR(L292="M2",L292="K4"),R292&gt;=2),EDATE(Q292,12*2),AND(AI292="K5-LAW",AH292="นิติศาสตร์",L292="S1",R292&gt;=1),EDATE(Q292,12),AND(AI292="K5-LAW",AH292="นิติศาสตร์",OR(L292="S2",L292="K5")),Q292,AND(AI292="K5-POLICY",AH292&lt;&gt;"นิติศาสตร์",L292="S2",U292="",AA292=""),Q292,AND(AI292="K5-POLICY",AH292&lt;&gt;"นิติศาสตร์",L292="S1",U292="",AA292=""),EDATE(Q292,12),AND(AI292="K5-POLICY",AH292&lt;&gt;"นิติศาสตร์",OR(L292="M2",L292="K4"),U292="",AA292=""),EDATE(Q292,12*2),AND(AI292="K5-POLICY",AH292&lt;&gt;"นิติศาสตร์",OR(AA292="M2",AA292="K4"),AD292&gt;=2,OR(AC292&lt;W292,AC292&lt;Q292)),EDATE(AC292,12*2),AND(AI292="K5-POLICY",AH292&lt;&gt;"นิติศาสตร์",AA292="S1",AD292&gt;=1,OR(AC292&lt;W292,AC292&lt;Q292)),EDATE(AC292,12),AND(AI292="K5-POLICY",AH292&lt;&gt;"นิติศาสตร์",OR(U292="M2",U292="K4"),X292&gt;=2,W292&lt;Q292),EDATE(W292,12*2),AND(AI292="K5-POLICY",AH292&lt;&gt;"นิติศาสตร์",U292="S1",X292&gt;=1,W292&lt;Q292),EDATE(W292,12),AND(AI292="K5-POLICY",AH292&lt;&gt;"นิติศาสตร์",OR(U292="S2",U292="K5")),W292,AND(AI292="K5-POLICY",AH292&lt;&gt;"นิติศาสตร์",OR(L292="M2",L292="K4"),R292&gt;=2),EDATE(Q292,12*2),AND(AI292="K5-POLICY",AH292&lt;&gt;"นิติศาสตร์",L292="S1",R292&gt;=1),EDATE(Q292,12),AND(AI292="K5-POLICY",AH292&lt;&gt;"นิติศาสตร์",OR(L292="S2",L292="K5")),Q292,TRUE,"Check Data")</f>
        <v/>
      </c>
      <c r="AK292" s="75" t="str">
        <f t="shared" si="87"/>
        <v>Check Data</v>
      </c>
      <c r="AL292" s="76" t="str">
        <f t="shared" si="92"/>
        <v>Check Data</v>
      </c>
      <c r="AM292" s="50" t="str">
        <f t="shared" si="88"/>
        <v>Check Data</v>
      </c>
      <c r="AN292" s="49" t="str">
        <f>IF(B292="","",IF(L292="S1","S1",INDEX(#REF!,#REF!)))</f>
        <v/>
      </c>
      <c r="AO292" s="49" t="str">
        <f>L292</f>
        <v>K4</v>
      </c>
      <c r="AP292" s="50" t="b">
        <f>L292=AN292</f>
        <v>0</v>
      </c>
    </row>
    <row r="293" spans="1:42" ht="21.75">
      <c r="A293" s="49">
        <v>291</v>
      </c>
      <c r="B293" s="50"/>
      <c r="C293" s="50"/>
      <c r="D293" s="50" t="s">
        <v>144</v>
      </c>
      <c r="E293" s="50" t="e">
        <f>INDEX(#REF!,#REF!)</f>
        <v>#REF!</v>
      </c>
      <c r="F293" s="49" t="s">
        <v>382</v>
      </c>
      <c r="G293" s="49" t="str">
        <f>IF(F293="","",TEXT(EDATE(F293,-543*12),"dd/mm/yyyy"))</f>
        <v>01/05/1989</v>
      </c>
      <c r="H293" s="50">
        <f t="shared" si="89"/>
        <v>36</v>
      </c>
      <c r="I293" s="50">
        <f t="shared" si="90"/>
        <v>1</v>
      </c>
      <c r="J293" s="50">
        <f t="shared" si="91"/>
        <v>19</v>
      </c>
      <c r="K293" s="50"/>
      <c r="L293" s="49" t="s">
        <v>137</v>
      </c>
      <c r="M293" s="64"/>
      <c r="N293" s="49"/>
      <c r="O293" s="49"/>
      <c r="P293" s="65" t="s">
        <v>408</v>
      </c>
      <c r="Q293" s="49" t="str">
        <f t="shared" si="86"/>
        <v>23/11/2016</v>
      </c>
      <c r="R293" s="68">
        <f>IF(Q293="",0,DATEDIF(Q293,$C$1,"Y"))</f>
        <v>8</v>
      </c>
      <c r="S293" s="68">
        <f>IF(Q293="",0,DATEDIF(Q293,$C$1,"YM"))</f>
        <v>6</v>
      </c>
      <c r="T293" s="68">
        <f>IF(Q293="",0,DATEDIF(Q293,$C$1,"MD"))</f>
        <v>28</v>
      </c>
      <c r="U293" s="65"/>
      <c r="V293" s="65"/>
      <c r="W293" s="49" t="str">
        <f t="shared" si="93"/>
        <v/>
      </c>
      <c r="X293" s="68">
        <f>IF(W293="",0,DATEDIF(W293,Q293,"Y"))</f>
        <v>0</v>
      </c>
      <c r="Y293" s="68">
        <f>IF(W293="",0,DATEDIF(W293,Q293,"YM"))</f>
        <v>0</v>
      </c>
      <c r="Z293" s="68">
        <f>IF(W293="",0,DATEDIF(W293,Q293,"MD"))</f>
        <v>0</v>
      </c>
      <c r="AA293" s="49"/>
      <c r="AB293" s="65"/>
      <c r="AC293" s="50" t="str">
        <f t="shared" si="94"/>
        <v/>
      </c>
      <c r="AD293" s="68">
        <f t="shared" si="95"/>
        <v>0</v>
      </c>
      <c r="AE293" s="68">
        <f t="shared" si="96"/>
        <v>0</v>
      </c>
      <c r="AF293" s="68">
        <f t="shared" si="97"/>
        <v>0</v>
      </c>
      <c r="AG293" s="50"/>
      <c r="AH293" s="108" t="s">
        <v>138</v>
      </c>
      <c r="AI293" s="49" t="str">
        <f>IF(AH293="นิติศาสตร์","K5-LAW","K5-POLICY")</f>
        <v>K5-LAW</v>
      </c>
      <c r="AJ293" s="72" t="str">
        <f>_xlfn.IFS(B293="","",AND(AI293="K5-LAW",AH293="นิติศาสตร์",L293="S2",U293="",AA293=""),Q293,AND(AI293="K5-LAW",AH293="นิติศาสตร์",L293="S1",U293="",AA293=""),EDATE(Q293,12),AND(AI293="K5-LAW",AH293="นิติศาสตร์",OR(L293="M2",L293="K4"),U293="",AA293=""),EDATE(Q293,12*2),AND(AI293="K5-LAW",AH293="นิติศาสตร์",OR(AA293="M2",AA293="K4"),AD293&gt;=2,OR(AC293&lt;W293,AC293&lt;Q293)),EDATE(AC293,12*2),AND(AI293="K5-LAW",AH293="นิติศาสตร์",AA293="S1",AD293&gt;=1,OR(AC293&lt;W293,AC293&lt;Q293)),EDATE(AC293,12),AND(AI293="K5-LAW",AH293="นิติศาสตร์",OR(U293="M2",U293="K4"),X293&gt;=2,W293&lt;Q293),EDATE(W293,12*2),AND(AI293="K5-LAW",AH293="นิติศาสตร์",U293="S1",X293&gt;=1,W293&lt;Q293),EDATE(W293,12),AND(AI293="K5-LAW",AH293="นิติศาสตร์",OR(U293="S2",U293="K5")),W293,AND(AI293="K5-LAW",AH293="นิติศาสตร์",OR(L293="M2",L293="K4"),R293&gt;=2),EDATE(Q293,12*2),AND(AI293="K5-LAW",AH293="นิติศาสตร์",L293="S1",R293&gt;=1),EDATE(Q293,12),AND(AI293="K5-LAW",AH293="นิติศาสตร์",OR(L293="S2",L293="K5")),Q293,AND(AI293="K5-POLICY",AH293&lt;&gt;"นิติศาสตร์",L293="S2",U293="",AA293=""),Q293,AND(AI293="K5-POLICY",AH293&lt;&gt;"นิติศาสตร์",L293="S1",U293="",AA293=""),EDATE(Q293,12),AND(AI293="K5-POLICY",AH293&lt;&gt;"นิติศาสตร์",OR(L293="M2",L293="K4"),U293="",AA293=""),EDATE(Q293,12*2),AND(AI293="K5-POLICY",AH293&lt;&gt;"นิติศาสตร์",OR(AA293="M2",AA293="K4"),AD293&gt;=2,OR(AC293&lt;W293,AC293&lt;Q293)),EDATE(AC293,12*2),AND(AI293="K5-POLICY",AH293&lt;&gt;"นิติศาสตร์",AA293="S1",AD293&gt;=1,OR(AC293&lt;W293,AC293&lt;Q293)),EDATE(AC293,12),AND(AI293="K5-POLICY",AH293&lt;&gt;"นิติศาสตร์",OR(U293="M2",U293="K4"),X293&gt;=2,W293&lt;Q293),EDATE(W293,12*2),AND(AI293="K5-POLICY",AH293&lt;&gt;"นิติศาสตร์",U293="S1",X293&gt;=1,W293&lt;Q293),EDATE(W293,12),AND(AI293="K5-POLICY",AH293&lt;&gt;"นิติศาสตร์",OR(U293="S2",U293="K5")),W293,AND(AI293="K5-POLICY",AH293&lt;&gt;"นิติศาสตร์",OR(L293="M2",L293="K4"),R293&gt;=2),EDATE(Q293,12*2),AND(AI293="K5-POLICY",AH293&lt;&gt;"นิติศาสตร์",L293="S1",R293&gt;=1),EDATE(Q293,12),AND(AI293="K5-POLICY",AH293&lt;&gt;"นิติศาสตร์",OR(L293="S2",L293="K5")),Q293,TRUE,"Check Data")</f>
        <v/>
      </c>
      <c r="AK293" s="75" t="str">
        <f t="shared" si="87"/>
        <v>Check Data</v>
      </c>
      <c r="AL293" s="76" t="str">
        <f t="shared" si="92"/>
        <v>Check Data</v>
      </c>
      <c r="AM293" s="50" t="str">
        <f t="shared" si="88"/>
        <v>Check Data</v>
      </c>
      <c r="AN293" s="49" t="str">
        <f>IF(B293="","",IF(L293="S1","S1",INDEX(#REF!,#REF!)))</f>
        <v/>
      </c>
      <c r="AO293" s="49" t="str">
        <f>L293</f>
        <v>K4</v>
      </c>
      <c r="AP293" s="50" t="b">
        <f>L293=AN293</f>
        <v>0</v>
      </c>
    </row>
    <row r="294" spans="1:42" ht="21.75">
      <c r="A294" s="49">
        <v>292</v>
      </c>
      <c r="B294" s="50"/>
      <c r="C294" s="50"/>
      <c r="D294" s="50" t="s">
        <v>144</v>
      </c>
      <c r="E294" s="50" t="e">
        <f>INDEX(#REF!,#REF!)</f>
        <v>#REF!</v>
      </c>
      <c r="F294" s="49" t="s">
        <v>328</v>
      </c>
      <c r="G294" s="49" t="str">
        <f>IF(F294="","",TEXT(EDATE(F294,-543*12),"dd/mm/yyyy"))</f>
        <v>03/06/1991</v>
      </c>
      <c r="H294" s="50">
        <f t="shared" si="89"/>
        <v>34</v>
      </c>
      <c r="I294" s="50">
        <f t="shared" si="90"/>
        <v>0</v>
      </c>
      <c r="J294" s="50">
        <f t="shared" si="91"/>
        <v>17</v>
      </c>
      <c r="K294" s="50"/>
      <c r="L294" s="49" t="s">
        <v>137</v>
      </c>
      <c r="M294" s="64"/>
      <c r="N294" s="49"/>
      <c r="O294" s="49"/>
      <c r="P294" s="65" t="s">
        <v>415</v>
      </c>
      <c r="Q294" s="49" t="str">
        <f t="shared" si="86"/>
        <v>30/01/2018</v>
      </c>
      <c r="R294" s="68">
        <f>IF(Q294="",0,DATEDIF(Q294,$C$1,"Y"))</f>
        <v>7</v>
      </c>
      <c r="S294" s="68">
        <f>IF(Q294="",0,DATEDIF(Q294,$C$1,"YM"))</f>
        <v>4</v>
      </c>
      <c r="T294" s="68">
        <f>IF(Q294="",0,DATEDIF(Q294,$C$1,"MD"))</f>
        <v>21</v>
      </c>
      <c r="U294" s="65"/>
      <c r="V294" s="65"/>
      <c r="W294" s="49" t="str">
        <f t="shared" si="93"/>
        <v/>
      </c>
      <c r="X294" s="68">
        <f>IF(W294="",0,DATEDIF(W294,Q294,"Y"))</f>
        <v>0</v>
      </c>
      <c r="Y294" s="68">
        <f>IF(W294="",0,DATEDIF(W294,Q294,"YM"))</f>
        <v>0</v>
      </c>
      <c r="Z294" s="68">
        <f>IF(W294="",0,DATEDIF(W294,Q294,"MD"))</f>
        <v>0</v>
      </c>
      <c r="AA294" s="49"/>
      <c r="AB294" s="65"/>
      <c r="AC294" s="50" t="str">
        <f t="shared" si="94"/>
        <v/>
      </c>
      <c r="AD294" s="68">
        <f t="shared" si="95"/>
        <v>0</v>
      </c>
      <c r="AE294" s="68">
        <f t="shared" si="96"/>
        <v>0</v>
      </c>
      <c r="AF294" s="68">
        <f t="shared" si="97"/>
        <v>0</v>
      </c>
      <c r="AG294" s="50"/>
      <c r="AH294" s="108" t="s">
        <v>138</v>
      </c>
      <c r="AI294" s="49" t="str">
        <f>IF(AH294="นิติศาสตร์","K5-LAW","K5-POLICY")</f>
        <v>K5-LAW</v>
      </c>
      <c r="AJ294" s="72" t="str">
        <f>_xlfn.IFS(B294="","",AND(AI294="K5-LAW",AH294="นิติศาสตร์",L294="S2",U294="",AA294=""),Q294,AND(AI294="K5-LAW",AH294="นิติศาสตร์",L294="S1",U294="",AA294=""),EDATE(Q294,12),AND(AI294="K5-LAW",AH294="นิติศาสตร์",OR(L294="M2",L294="K4"),U294="",AA294=""),EDATE(Q294,12*2),AND(AI294="K5-LAW",AH294="นิติศาสตร์",OR(AA294="M2",AA294="K4"),AD294&gt;=2,OR(AC294&lt;W294,AC294&lt;Q294)),EDATE(AC294,12*2),AND(AI294="K5-LAW",AH294="นิติศาสตร์",AA294="S1",AD294&gt;=1,OR(AC294&lt;W294,AC294&lt;Q294)),EDATE(AC294,12),AND(AI294="K5-LAW",AH294="นิติศาสตร์",OR(U294="M2",U294="K4"),X294&gt;=2,W294&lt;Q294),EDATE(W294,12*2),AND(AI294="K5-LAW",AH294="นิติศาสตร์",U294="S1",X294&gt;=1,W294&lt;Q294),EDATE(W294,12),AND(AI294="K5-LAW",AH294="นิติศาสตร์",OR(U294="S2",U294="K5")),W294,AND(AI294="K5-LAW",AH294="นิติศาสตร์",OR(L294="M2",L294="K4"),R294&gt;=2),EDATE(Q294,12*2),AND(AI294="K5-LAW",AH294="นิติศาสตร์",L294="S1",R294&gt;=1),EDATE(Q294,12),AND(AI294="K5-LAW",AH294="นิติศาสตร์",OR(L294="S2",L294="K5")),Q294,AND(AI294="K5-POLICY",AH294&lt;&gt;"นิติศาสตร์",L294="S2",U294="",AA294=""),Q294,AND(AI294="K5-POLICY",AH294&lt;&gt;"นิติศาสตร์",L294="S1",U294="",AA294=""),EDATE(Q294,12),AND(AI294="K5-POLICY",AH294&lt;&gt;"นิติศาสตร์",OR(L294="M2",L294="K4"),U294="",AA294=""),EDATE(Q294,12*2),AND(AI294="K5-POLICY",AH294&lt;&gt;"นิติศาสตร์",OR(AA294="M2",AA294="K4"),AD294&gt;=2,OR(AC294&lt;W294,AC294&lt;Q294)),EDATE(AC294,12*2),AND(AI294="K5-POLICY",AH294&lt;&gt;"นิติศาสตร์",AA294="S1",AD294&gt;=1,OR(AC294&lt;W294,AC294&lt;Q294)),EDATE(AC294,12),AND(AI294="K5-POLICY",AH294&lt;&gt;"นิติศาสตร์",OR(U294="M2",U294="K4"),X294&gt;=2,W294&lt;Q294),EDATE(W294,12*2),AND(AI294="K5-POLICY",AH294&lt;&gt;"นิติศาสตร์",U294="S1",X294&gt;=1,W294&lt;Q294),EDATE(W294,12),AND(AI294="K5-POLICY",AH294&lt;&gt;"นิติศาสตร์",OR(U294="S2",U294="K5")),W294,AND(AI294="K5-POLICY",AH294&lt;&gt;"นิติศาสตร์",OR(L294="M2",L294="K4"),R294&gt;=2),EDATE(Q294,12*2),AND(AI294="K5-POLICY",AH294&lt;&gt;"นิติศาสตร์",L294="S1",R294&gt;=1),EDATE(Q294,12),AND(AI294="K5-POLICY",AH294&lt;&gt;"นิติศาสตร์",OR(L294="S2",L294="K5")),Q294,TRUE,"Check Data")</f>
        <v/>
      </c>
      <c r="AK294" s="75" t="str">
        <f t="shared" si="87"/>
        <v>Check Data</v>
      </c>
      <c r="AL294" s="76" t="str">
        <f t="shared" si="92"/>
        <v>Check Data</v>
      </c>
      <c r="AM294" s="50" t="str">
        <f t="shared" si="88"/>
        <v>Check Data</v>
      </c>
      <c r="AN294" s="49" t="str">
        <f>IF(B294="","",IF(L294="S1","S1",INDEX(#REF!,#REF!)))</f>
        <v/>
      </c>
      <c r="AO294" s="49" t="str">
        <f>L294</f>
        <v>K4</v>
      </c>
      <c r="AP294" s="50" t="b">
        <f>L294=AN294</f>
        <v>0</v>
      </c>
    </row>
    <row r="295" spans="1:42" ht="21.75">
      <c r="A295" s="49">
        <v>293</v>
      </c>
      <c r="B295" s="50"/>
      <c r="C295" s="50"/>
      <c r="D295" s="50" t="s">
        <v>144</v>
      </c>
      <c r="E295" s="50" t="e">
        <f>INDEX(#REF!,#REF!)</f>
        <v>#REF!</v>
      </c>
      <c r="F295" s="49" t="s">
        <v>208</v>
      </c>
      <c r="G295" s="49" t="str">
        <f>IF(F295="","",TEXT(EDATE(F295,-543*12),"dd/mm/yyyy"))</f>
        <v>01/02/1990</v>
      </c>
      <c r="H295" s="50">
        <f t="shared" si="89"/>
        <v>35</v>
      </c>
      <c r="I295" s="50">
        <f t="shared" si="90"/>
        <v>4</v>
      </c>
      <c r="J295" s="50">
        <f t="shared" si="91"/>
        <v>19</v>
      </c>
      <c r="K295" s="50"/>
      <c r="L295" s="49" t="s">
        <v>137</v>
      </c>
      <c r="M295" s="64"/>
      <c r="N295" s="49"/>
      <c r="O295" s="49"/>
      <c r="P295" s="65" t="s">
        <v>417</v>
      </c>
      <c r="Q295" s="49" t="str">
        <f t="shared" si="86"/>
        <v>15/02/2018</v>
      </c>
      <c r="R295" s="68">
        <f>IF(Q295="",0,DATEDIF(Q295,$C$1,"Y"))</f>
        <v>7</v>
      </c>
      <c r="S295" s="68">
        <f>IF(Q295="",0,DATEDIF(Q295,$C$1,"YM"))</f>
        <v>4</v>
      </c>
      <c r="T295" s="68">
        <f>IF(Q295="",0,DATEDIF(Q295,$C$1,"MD"))</f>
        <v>5</v>
      </c>
      <c r="U295" s="65"/>
      <c r="V295" s="65"/>
      <c r="W295" s="49" t="str">
        <f t="shared" si="93"/>
        <v/>
      </c>
      <c r="X295" s="68">
        <f>IF(W295="",0,DATEDIF(W295,Q295,"Y"))</f>
        <v>0</v>
      </c>
      <c r="Y295" s="68">
        <f>IF(W295="",0,DATEDIF(W295,Q295,"YM"))</f>
        <v>0</v>
      </c>
      <c r="Z295" s="68">
        <f>IF(W295="",0,DATEDIF(W295,Q295,"MD"))</f>
        <v>0</v>
      </c>
      <c r="AA295" s="49"/>
      <c r="AB295" s="65"/>
      <c r="AC295" s="50" t="str">
        <f t="shared" si="94"/>
        <v/>
      </c>
      <c r="AD295" s="68">
        <f t="shared" si="95"/>
        <v>0</v>
      </c>
      <c r="AE295" s="68">
        <f t="shared" si="96"/>
        <v>0</v>
      </c>
      <c r="AF295" s="68">
        <f t="shared" si="97"/>
        <v>0</v>
      </c>
      <c r="AG295" s="50"/>
      <c r="AH295" s="108" t="s">
        <v>509</v>
      </c>
      <c r="AI295" s="49" t="str">
        <f>IF(AH295="นิติศาสตร์","K5-LAW","K5-POLICY")</f>
        <v>K5-POLICY</v>
      </c>
      <c r="AJ295" s="72" t="str">
        <f>_xlfn.IFS(B295="","",AND(AI295="K5-LAW",AH295="นิติศาสตร์",L295="S2",U295="",AA295=""),Q295,AND(AI295="K5-LAW",AH295="นิติศาสตร์",L295="S1",U295="",AA295=""),EDATE(Q295,12),AND(AI295="K5-LAW",AH295="นิติศาสตร์",OR(L295="M2",L295="K4"),U295="",AA295=""),EDATE(Q295,12*2),AND(AI295="K5-LAW",AH295="นิติศาสตร์",OR(AA295="M2",AA295="K4"),AD295&gt;=2,OR(AC295&lt;W295,AC295&lt;Q295)),EDATE(AC295,12*2),AND(AI295="K5-LAW",AH295="นิติศาสตร์",AA295="S1",AD295&gt;=1,OR(AC295&lt;W295,AC295&lt;Q295)),EDATE(AC295,12),AND(AI295="K5-LAW",AH295="นิติศาสตร์",OR(U295="M2",U295="K4"),X295&gt;=2,W295&lt;Q295),EDATE(W295,12*2),AND(AI295="K5-LAW",AH295="นิติศาสตร์",U295="S1",X295&gt;=1,W295&lt;Q295),EDATE(W295,12),AND(AI295="K5-LAW",AH295="นิติศาสตร์",OR(U295="S2",U295="K5")),W295,AND(AI295="K5-LAW",AH295="นิติศาสตร์",OR(L295="M2",L295="K4"),R295&gt;=2),EDATE(Q295,12*2),AND(AI295="K5-LAW",AH295="นิติศาสตร์",L295="S1",R295&gt;=1),EDATE(Q295,12),AND(AI295="K5-LAW",AH295="นิติศาสตร์",OR(L295="S2",L295="K5")),Q295,AND(AI295="K5-POLICY",AH295&lt;&gt;"นิติศาสตร์",L295="S2",U295="",AA295=""),Q295,AND(AI295="K5-POLICY",AH295&lt;&gt;"นิติศาสตร์",L295="S1",U295="",AA295=""),EDATE(Q295,12),AND(AI295="K5-POLICY",AH295&lt;&gt;"นิติศาสตร์",OR(L295="M2",L295="K4"),U295="",AA295=""),EDATE(Q295,12*2),AND(AI295="K5-POLICY",AH295&lt;&gt;"นิติศาสตร์",OR(AA295="M2",AA295="K4"),AD295&gt;=2,OR(AC295&lt;W295,AC295&lt;Q295)),EDATE(AC295,12*2),AND(AI295="K5-POLICY",AH295&lt;&gt;"นิติศาสตร์",AA295="S1",AD295&gt;=1,OR(AC295&lt;W295,AC295&lt;Q295)),EDATE(AC295,12),AND(AI295="K5-POLICY",AH295&lt;&gt;"นิติศาสตร์",OR(U295="M2",U295="K4"),X295&gt;=2,W295&lt;Q295),EDATE(W295,12*2),AND(AI295="K5-POLICY",AH295&lt;&gt;"นิติศาสตร์",U295="S1",X295&gt;=1,W295&lt;Q295),EDATE(W295,12),AND(AI295="K5-POLICY",AH295&lt;&gt;"นิติศาสตร์",OR(U295="S2",U295="K5")),W295,AND(AI295="K5-POLICY",AH295&lt;&gt;"นิติศาสตร์",OR(L295="M2",L295="K4"),R295&gt;=2),EDATE(Q295,12*2),AND(AI295="K5-POLICY",AH295&lt;&gt;"นิติศาสตร์",L295="S1",R295&gt;=1),EDATE(Q295,12),AND(AI295="K5-POLICY",AH295&lt;&gt;"นิติศาสตร์",OR(L295="S2",L295="K5")),Q295,TRUE,"Check Data")</f>
        <v/>
      </c>
      <c r="AK295" s="75" t="str">
        <f t="shared" si="87"/>
        <v>Check Data</v>
      </c>
      <c r="AL295" s="76" t="str">
        <f t="shared" si="92"/>
        <v>Check Data</v>
      </c>
      <c r="AM295" s="50" t="str">
        <f t="shared" si="88"/>
        <v>Check Data</v>
      </c>
      <c r="AN295" s="49" t="str">
        <f>IF(B295="","",IF(L295="S1","S1",INDEX(#REF!,#REF!)))</f>
        <v/>
      </c>
      <c r="AO295" s="49" t="str">
        <f>L295</f>
        <v>K4</v>
      </c>
      <c r="AP295" s="50" t="b">
        <f>L295=AN295</f>
        <v>0</v>
      </c>
    </row>
    <row r="296" spans="1:42" ht="21.75">
      <c r="A296" s="49">
        <v>294</v>
      </c>
      <c r="B296" s="50"/>
      <c r="C296" s="52"/>
      <c r="D296" s="50" t="s">
        <v>34</v>
      </c>
      <c r="E296" s="50" t="e">
        <f>INDEX(#REF!,#REF!)</f>
        <v>#REF!</v>
      </c>
      <c r="F296" s="49"/>
      <c r="G296" s="49"/>
      <c r="H296" s="50">
        <f t="shared" si="89"/>
        <v>0</v>
      </c>
      <c r="I296" s="50">
        <f t="shared" si="90"/>
        <v>0</v>
      </c>
      <c r="J296" s="50">
        <f t="shared" si="91"/>
        <v>0</v>
      </c>
      <c r="K296" s="50"/>
      <c r="L296" s="49" t="s">
        <v>137</v>
      </c>
      <c r="M296" s="64"/>
      <c r="N296" s="49"/>
      <c r="O296" s="49"/>
      <c r="P296" s="65" t="s">
        <v>452</v>
      </c>
      <c r="Q296" s="49" t="str">
        <f t="shared" ref="Q296:Q333" si="98">TEXT(EDATE(P296,-543*12),"dd/mm/yyyy")</f>
        <v>25/02/2025</v>
      </c>
      <c r="R296" s="68">
        <f>IF(Q296="",0,DATEDIF(Q296,$C$1,"Y"))</f>
        <v>0</v>
      </c>
      <c r="S296" s="68">
        <f>IF(Q296="",0,DATEDIF(Q296,$C$1,"YM"))</f>
        <v>3</v>
      </c>
      <c r="T296" s="68">
        <f>IF(Q296="",0,DATEDIF(Q296,$C$1,"MD"))</f>
        <v>26</v>
      </c>
      <c r="U296" s="65" t="s">
        <v>136</v>
      </c>
      <c r="V296" s="65" t="s">
        <v>531</v>
      </c>
      <c r="W296" s="49" t="str">
        <f t="shared" ref="W296:W333" si="99">IF(V296="","",TEXT(EDATE(V296,-543*12),"dd/mm/yyyy"))</f>
        <v>25/02/2021</v>
      </c>
      <c r="X296" s="68">
        <f>IF(W296="",0,DATEDIF(W296,Q296,"Y"))</f>
        <v>4</v>
      </c>
      <c r="Y296" s="68">
        <f>IF(W296="",0,DATEDIF(W296,Q296,"YM"))</f>
        <v>0</v>
      </c>
      <c r="Z296" s="68">
        <f>IF(W296="",0,DATEDIF(W296,Q296,"MD"))</f>
        <v>0</v>
      </c>
      <c r="AA296" s="49" t="s">
        <v>136</v>
      </c>
      <c r="AB296" s="65" t="s">
        <v>532</v>
      </c>
      <c r="AC296" s="50" t="str">
        <f t="shared" ref="AC296:AC333" si="100">IF(AB296="","",TEXT(EDATE(AB296,-543*12),"dd/mm/yyyy"))</f>
        <v>01/07/2018</v>
      </c>
      <c r="AD296" s="68">
        <f t="shared" ref="AD296:AD333" si="101">IF(AC296="",0,DATEDIF(AC296,W296,"Y"))</f>
        <v>2</v>
      </c>
      <c r="AE296" s="68">
        <f t="shared" ref="AE296:AE333" si="102">IF(AC296="",0,DATEDIF(AC296,W296,"YM"))</f>
        <v>7</v>
      </c>
      <c r="AF296" s="68">
        <f t="shared" ref="AF296:AF333" si="103">IF(AC296="",0,DATEDIF(AC296,W296,"MD"))</f>
        <v>24</v>
      </c>
      <c r="AG296" s="50"/>
      <c r="AH296" s="108" t="s">
        <v>138</v>
      </c>
      <c r="AI296" s="49" t="str">
        <f>IF(AH296="นิติศาสตร์","K5-LAW","K5-POLICY")</f>
        <v>K5-LAW</v>
      </c>
      <c r="AJ296" s="72" t="str">
        <f>_xlfn.IFS(B296="","",AND(AI296="K5-LAW",AH296="นิติศาสตร์",L296="S2",U296="",AA296=""),Q296,AND(AI296="K5-LAW",AH296="นิติศาสตร์",L296="S1",U296="",AA296=""),EDATE(Q296,12),AND(AI296="K5-LAW",AH296="นิติศาสตร์",OR(L296="M2",L296="K4"),U296="",AA296=""),EDATE(Q296,12*2),AND(AI296="K5-LAW",AH296="นิติศาสตร์",OR(AA296="M2",AA296="K4"),AD296&gt;=2,OR(AC296&lt;W296,AC296&lt;Q296)),EDATE(AC296,12*2),AND(AI296="K5-LAW",AH296="นิติศาสตร์",AA296="S1",AD296&gt;=1,OR(AC296&lt;W296,AC296&lt;Q296)),EDATE(AC296,12),AND(AI296="K5-LAW",AH296="นิติศาสตร์",OR(U296="M2",U296="K4"),X296&gt;=2,W296&lt;Q296),EDATE(W296,12*2),AND(AI296="K5-LAW",AH296="นิติศาสตร์",U296="S1",X296&gt;=1,W296&lt;Q296),EDATE(W296,12),AND(AI296="K5-LAW",AH296="นิติศาสตร์",OR(U296="S2",U296="K5")),W296,AND(AI296="K5-LAW",AH296="นิติศาสตร์",OR(L296="M2",L296="K4"),R296&gt;=2),EDATE(Q296,12*2),AND(AI296="K5-LAW",AH296="นิติศาสตร์",L296="S1",R296&gt;=1),EDATE(Q296,12),AND(AI296="K5-LAW",AH296="นิติศาสตร์",OR(L296="S2",L296="K5")),Q296,AND(AI296="K5-POLICY",AH296&lt;&gt;"นิติศาสตร์",L296="S2",U296="",AA296=""),Q296,AND(AI296="K5-POLICY",AH296&lt;&gt;"นิติศาสตร์",L296="S1",U296="",AA296=""),EDATE(Q296,12),AND(AI296="K5-POLICY",AH296&lt;&gt;"นิติศาสตร์",OR(L296="M2",L296="K4"),U296="",AA296=""),EDATE(Q296,12*2),AND(AI296="K5-POLICY",AH296&lt;&gt;"นิติศาสตร์",OR(AA296="M2",AA296="K4"),AD296&gt;=2,OR(AC296&lt;W296,AC296&lt;Q296)),EDATE(AC296,12*2),AND(AI296="K5-POLICY",AH296&lt;&gt;"นิติศาสตร์",AA296="S1",AD296&gt;=1,OR(AC296&lt;W296,AC296&lt;Q296)),EDATE(AC296,12),AND(AI296="K5-POLICY",AH296&lt;&gt;"นิติศาสตร์",OR(U296="M2",U296="K4"),X296&gt;=2,W296&lt;Q296),EDATE(W296,12*2),AND(AI296="K5-POLICY",AH296&lt;&gt;"นิติศาสตร์",U296="S1",X296&gt;=1,W296&lt;Q296),EDATE(W296,12),AND(AI296="K5-POLICY",AH296&lt;&gt;"นิติศาสตร์",OR(U296="S2",U296="K5")),W296,AND(AI296="K5-POLICY",AH296&lt;&gt;"นิติศาสตร์",OR(L296="M2",L296="K4"),R296&gt;=2),EDATE(Q296,12*2),AND(AI296="K5-POLICY",AH296&lt;&gt;"นิติศาสตร์",L296="S1",R296&gt;=1),EDATE(Q296,12),AND(AI296="K5-POLICY",AH296&lt;&gt;"นิติศาสตร์",OR(L296="S2",L296="K5")),Q296,TRUE,"Check Data")</f>
        <v/>
      </c>
      <c r="AK296" s="75" t="str">
        <f t="shared" ref="AK296:AK333" si="104">IFERROR(TEXT(EDATE(AJ296,543*12),"dd/mm/yyyy"),"Check Data")</f>
        <v>Check Data</v>
      </c>
      <c r="AL296" s="76" t="str">
        <f t="shared" si="92"/>
        <v>Check Data</v>
      </c>
      <c r="AM296" s="50" t="str">
        <f t="shared" ref="AM296:AM333" si="105">_xlfn.IFS(AL296="Check Data","Check Data",AL296&gt;30,"ยังไม่ถึงเกณฑ์",AL296&gt;0,"ใกล้ถึงเกณฑ์",AL296=0,"ถึงเกณฑ์",AL296&lt;0,"ถึงเกณฑ์นานแล้ว")</f>
        <v>Check Data</v>
      </c>
      <c r="AN296" s="49" t="str">
        <f>IF(B296="","",IF(L296="S1","S1",INDEX(#REF!,#REF!)))</f>
        <v/>
      </c>
      <c r="AO296" s="49" t="str">
        <f t="shared" ref="AO296:AO333" si="106">L296</f>
        <v>K4</v>
      </c>
      <c r="AP296" s="50" t="b">
        <f>L296=AN296</f>
        <v>0</v>
      </c>
    </row>
    <row r="297" spans="1:42" ht="21.75">
      <c r="A297" s="49">
        <v>295</v>
      </c>
      <c r="B297" s="50"/>
      <c r="C297" s="50"/>
      <c r="D297" s="50" t="s">
        <v>141</v>
      </c>
      <c r="E297" s="50" t="e">
        <f>INDEX(#REF!,#REF!)</f>
        <v>#REF!</v>
      </c>
      <c r="F297" s="49" t="s">
        <v>253</v>
      </c>
      <c r="G297" s="49" t="str">
        <f t="shared" ref="G297:G314" si="107">IF(F297="","",TEXT(EDATE(F297,-543*12),"dd/mm/yyyy"))</f>
        <v>26/01/1995</v>
      </c>
      <c r="H297" s="50">
        <f t="shared" si="89"/>
        <v>30</v>
      </c>
      <c r="I297" s="50">
        <f t="shared" si="90"/>
        <v>4</v>
      </c>
      <c r="J297" s="50">
        <f t="shared" si="91"/>
        <v>25</v>
      </c>
      <c r="K297" s="50"/>
      <c r="L297" s="49" t="s">
        <v>137</v>
      </c>
      <c r="M297" s="64"/>
      <c r="N297" s="49"/>
      <c r="O297" s="49"/>
      <c r="P297" s="65" t="s">
        <v>404</v>
      </c>
      <c r="Q297" s="49" t="str">
        <f t="shared" si="98"/>
        <v>17/04/2019</v>
      </c>
      <c r="R297" s="68">
        <f>IF(Q297="",0,DATEDIF(Q297,$C$1,"Y"))</f>
        <v>6</v>
      </c>
      <c r="S297" s="68">
        <f>IF(Q297="",0,DATEDIF(Q297,$C$1,"YM"))</f>
        <v>2</v>
      </c>
      <c r="T297" s="68">
        <f>IF(Q297="",0,DATEDIF(Q297,$C$1,"MD"))</f>
        <v>3</v>
      </c>
      <c r="U297" s="65"/>
      <c r="V297" s="65"/>
      <c r="W297" s="49" t="str">
        <f t="shared" si="99"/>
        <v/>
      </c>
      <c r="X297" s="68">
        <f>IF(W297="",0,DATEDIF(W297,Q297,"Y"))</f>
        <v>0</v>
      </c>
      <c r="Y297" s="68">
        <f>IF(W297="",0,DATEDIF(W297,Q297,"YM"))</f>
        <v>0</v>
      </c>
      <c r="Z297" s="68">
        <f>IF(W297="",0,DATEDIF(W297,Q297,"MD"))</f>
        <v>0</v>
      </c>
      <c r="AA297" s="49"/>
      <c r="AB297" s="65"/>
      <c r="AC297" s="50" t="str">
        <f t="shared" si="100"/>
        <v/>
      </c>
      <c r="AD297" s="68">
        <f t="shared" si="101"/>
        <v>0</v>
      </c>
      <c r="AE297" s="68">
        <f t="shared" si="102"/>
        <v>0</v>
      </c>
      <c r="AF297" s="68">
        <f t="shared" si="103"/>
        <v>0</v>
      </c>
      <c r="AG297" s="50"/>
      <c r="AH297" s="108" t="s">
        <v>182</v>
      </c>
      <c r="AI297" s="49" t="str">
        <f>IF(AH297="นิติศาสตร์","K5-LAW","K5-POLICY")</f>
        <v>K5-POLICY</v>
      </c>
      <c r="AJ297" s="72" t="str">
        <f>_xlfn.IFS(B297="","",AND(AI297="K5-LAW",AH297="นิติศาสตร์",L297="S2",U297="",AA297=""),Q297,AND(AI297="K5-LAW",AH297="นิติศาสตร์",L297="S1",U297="",AA297=""),EDATE(Q297,12),AND(AI297="K5-LAW",AH297="นิติศาสตร์",OR(L297="M2",L297="K4"),U297="",AA297=""),EDATE(Q297,12*2),AND(AI297="K5-LAW",AH297="นิติศาสตร์",OR(AA297="M2",AA297="K4"),AD297&gt;=2,OR(AC297&lt;W297,AC297&lt;Q297)),EDATE(AC297,12*2),AND(AI297="K5-LAW",AH297="นิติศาสตร์",AA297="S1",AD297&gt;=1,OR(AC297&lt;W297,AC297&lt;Q297)),EDATE(AC297,12),AND(AI297="K5-LAW",AH297="นิติศาสตร์",OR(U297="M2",U297="K4"),X297&gt;=2,W297&lt;Q297),EDATE(W297,12*2),AND(AI297="K5-LAW",AH297="นิติศาสตร์",U297="S1",X297&gt;=1,W297&lt;Q297),EDATE(W297,12),AND(AI297="K5-LAW",AH297="นิติศาสตร์",OR(U297="S2",U297="K5")),W297,AND(AI297="K5-LAW",AH297="นิติศาสตร์",OR(L297="M2",L297="K4"),R297&gt;=2),EDATE(Q297,12*2),AND(AI297="K5-LAW",AH297="นิติศาสตร์",L297="S1",R297&gt;=1),EDATE(Q297,12),AND(AI297="K5-LAW",AH297="นิติศาสตร์",OR(L297="S2",L297="K5")),Q297,AND(AI297="K5-POLICY",AH297&lt;&gt;"นิติศาสตร์",L297="S2",U297="",AA297=""),Q297,AND(AI297="K5-POLICY",AH297&lt;&gt;"นิติศาสตร์",L297="S1",U297="",AA297=""),EDATE(Q297,12),AND(AI297="K5-POLICY",AH297&lt;&gt;"นิติศาสตร์",OR(L297="M2",L297="K4"),U297="",AA297=""),EDATE(Q297,12*2),AND(AI297="K5-POLICY",AH297&lt;&gt;"นิติศาสตร์",OR(AA297="M2",AA297="K4"),AD297&gt;=2,OR(AC297&lt;W297,AC297&lt;Q297)),EDATE(AC297,12*2),AND(AI297="K5-POLICY",AH297&lt;&gt;"นิติศาสตร์",AA297="S1",AD297&gt;=1,OR(AC297&lt;W297,AC297&lt;Q297)),EDATE(AC297,12),AND(AI297="K5-POLICY",AH297&lt;&gt;"นิติศาสตร์",OR(U297="M2",U297="K4"),X297&gt;=2,W297&lt;Q297),EDATE(W297,12*2),AND(AI297="K5-POLICY",AH297&lt;&gt;"นิติศาสตร์",U297="S1",X297&gt;=1,W297&lt;Q297),EDATE(W297,12),AND(AI297="K5-POLICY",AH297&lt;&gt;"นิติศาสตร์",OR(U297="S2",U297="K5")),W297,AND(AI297="K5-POLICY",AH297&lt;&gt;"นิติศาสตร์",OR(L297="M2",L297="K4"),R297&gt;=2),EDATE(Q297,12*2),AND(AI297="K5-POLICY",AH297&lt;&gt;"นิติศาสตร์",L297="S1",R297&gt;=1),EDATE(Q297,12),AND(AI297="K5-POLICY",AH297&lt;&gt;"นิติศาสตร์",OR(L297="S2",L297="K5")),Q297,TRUE,"Check Data")</f>
        <v/>
      </c>
      <c r="AK297" s="75" t="str">
        <f t="shared" si="104"/>
        <v>Check Data</v>
      </c>
      <c r="AL297" s="76" t="str">
        <f t="shared" si="92"/>
        <v>Check Data</v>
      </c>
      <c r="AM297" s="50" t="str">
        <f t="shared" si="105"/>
        <v>Check Data</v>
      </c>
      <c r="AN297" s="49" t="str">
        <f>IF(B297="","",IF(L297="S1","S1",INDEX(#REF!,#REF!)))</f>
        <v/>
      </c>
      <c r="AO297" s="49" t="str">
        <f t="shared" si="106"/>
        <v>K4</v>
      </c>
      <c r="AP297" s="50" t="b">
        <f>L297=AN297</f>
        <v>0</v>
      </c>
    </row>
    <row r="298" spans="1:42" ht="21.75">
      <c r="A298" s="49">
        <v>296</v>
      </c>
      <c r="B298" s="50"/>
      <c r="C298" s="50"/>
      <c r="D298" s="50" t="s">
        <v>145</v>
      </c>
      <c r="E298" s="50" t="e">
        <f>INDEX(#REF!,#REF!)</f>
        <v>#REF!</v>
      </c>
      <c r="F298" s="49" t="s">
        <v>307</v>
      </c>
      <c r="G298" s="49" t="str">
        <f t="shared" si="107"/>
        <v>05/03/1992</v>
      </c>
      <c r="H298" s="50">
        <f t="shared" si="89"/>
        <v>33</v>
      </c>
      <c r="I298" s="50">
        <f t="shared" si="90"/>
        <v>3</v>
      </c>
      <c r="J298" s="50">
        <f t="shared" si="91"/>
        <v>15</v>
      </c>
      <c r="K298" s="50"/>
      <c r="L298" s="49" t="s">
        <v>137</v>
      </c>
      <c r="M298" s="64"/>
      <c r="N298" s="49"/>
      <c r="O298" s="49"/>
      <c r="P298" s="65" t="s">
        <v>468</v>
      </c>
      <c r="Q298" s="49" t="str">
        <f t="shared" si="98"/>
        <v>17/05/2019</v>
      </c>
      <c r="R298" s="68">
        <f>IF(Q298="",0,DATEDIF(Q298,$C$1,"Y"))</f>
        <v>6</v>
      </c>
      <c r="S298" s="68">
        <f>IF(Q298="",0,DATEDIF(Q298,$C$1,"YM"))</f>
        <v>1</v>
      </c>
      <c r="T298" s="68">
        <f>IF(Q298="",0,DATEDIF(Q298,$C$1,"MD"))</f>
        <v>3</v>
      </c>
      <c r="U298" s="65" t="s">
        <v>137</v>
      </c>
      <c r="V298" s="65" t="s">
        <v>468</v>
      </c>
      <c r="W298" s="49" t="str">
        <f t="shared" si="99"/>
        <v>17/05/2019</v>
      </c>
      <c r="X298" s="68">
        <f>IF(W298="",0,DATEDIF(W298,Q298,"Y"))</f>
        <v>0</v>
      </c>
      <c r="Y298" s="68">
        <f>IF(W298="",0,DATEDIF(W298,Q298,"YM"))</f>
        <v>0</v>
      </c>
      <c r="Z298" s="68">
        <f>IF(W298="",0,DATEDIF(W298,Q298,"MD"))</f>
        <v>0</v>
      </c>
      <c r="AA298" s="49"/>
      <c r="AB298" s="65"/>
      <c r="AC298" s="50" t="str">
        <f t="shared" si="100"/>
        <v/>
      </c>
      <c r="AD298" s="68">
        <f t="shared" si="101"/>
        <v>0</v>
      </c>
      <c r="AE298" s="68">
        <f t="shared" si="102"/>
        <v>0</v>
      </c>
      <c r="AF298" s="68">
        <f t="shared" si="103"/>
        <v>0</v>
      </c>
      <c r="AG298" s="50"/>
      <c r="AH298" s="108" t="s">
        <v>520</v>
      </c>
      <c r="AI298" s="49" t="str">
        <f>IF(AH298="นิติศาสตร์","K5-LAW","K5-POLICY")</f>
        <v>K5-POLICY</v>
      </c>
      <c r="AJ298" s="72" t="str">
        <f>_xlfn.IFS(B298="","",AND(AI298="K5-LAW",AH298="นิติศาสตร์",L298="S2",U298="",AA298=""),Q298,AND(AI298="K5-LAW",AH298="นิติศาสตร์",L298="S1",U298="",AA298=""),EDATE(Q298,12),AND(AI298="K5-LAW",AH298="นิติศาสตร์",OR(L298="M2",L298="K4"),U298="",AA298=""),EDATE(Q298,12*2),AND(AI298="K5-LAW",AH298="นิติศาสตร์",OR(AA298="M2",AA298="K4"),AD298&gt;=2,OR(AC298&lt;W298,AC298&lt;Q298)),EDATE(AC298,12*2),AND(AI298="K5-LAW",AH298="นิติศาสตร์",AA298="S1",AD298&gt;=1,OR(AC298&lt;W298,AC298&lt;Q298)),EDATE(AC298,12),AND(AI298="K5-LAW",AH298="นิติศาสตร์",OR(U298="M2",U298="K4"),X298&gt;=2,W298&lt;Q298),EDATE(W298,12*2),AND(AI298="K5-LAW",AH298="นิติศาสตร์",U298="S1",X298&gt;=1,W298&lt;Q298),EDATE(W298,12),AND(AI298="K5-LAW",AH298="นิติศาสตร์",OR(U298="S2",U298="K5")),W298,AND(AI298="K5-LAW",AH298="นิติศาสตร์",OR(L298="M2",L298="K4"),R298&gt;=2),EDATE(Q298,12*2),AND(AI298="K5-LAW",AH298="นิติศาสตร์",L298="S1",R298&gt;=1),EDATE(Q298,12),AND(AI298="K5-LAW",AH298="นิติศาสตร์",OR(L298="S2",L298="K5")),Q298,AND(AI298="K5-POLICY",AH298&lt;&gt;"นิติศาสตร์",L298="S2",U298="",AA298=""),Q298,AND(AI298="K5-POLICY",AH298&lt;&gt;"นิติศาสตร์",L298="S1",U298="",AA298=""),EDATE(Q298,12),AND(AI298="K5-POLICY",AH298&lt;&gt;"นิติศาสตร์",OR(L298="M2",L298="K4"),U298="",AA298=""),EDATE(Q298,12*2),AND(AI298="K5-POLICY",AH298&lt;&gt;"นิติศาสตร์",OR(AA298="M2",AA298="K4"),AD298&gt;=2,OR(AC298&lt;W298,AC298&lt;Q298)),EDATE(AC298,12*2),AND(AI298="K5-POLICY",AH298&lt;&gt;"นิติศาสตร์",AA298="S1",AD298&gt;=1,OR(AC298&lt;W298,AC298&lt;Q298)),EDATE(AC298,12),AND(AI298="K5-POLICY",AH298&lt;&gt;"นิติศาสตร์",OR(U298="M2",U298="K4"),X298&gt;=2,W298&lt;Q298),EDATE(W298,12*2),AND(AI298="K5-POLICY",AH298&lt;&gt;"นิติศาสตร์",U298="S1",X298&gt;=1,W298&lt;Q298),EDATE(W298,12),AND(AI298="K5-POLICY",AH298&lt;&gt;"นิติศาสตร์",OR(U298="S2",U298="K5")),W298,AND(AI298="K5-POLICY",AH298&lt;&gt;"นิติศาสตร์",OR(L298="M2",L298="K4"),R298&gt;=2),EDATE(Q298,12*2),AND(AI298="K5-POLICY",AH298&lt;&gt;"นิติศาสตร์",L298="S1",R298&gt;=1),EDATE(Q298,12),AND(AI298="K5-POLICY",AH298&lt;&gt;"นิติศาสตร์",OR(L298="S2",L298="K5")),Q298,TRUE,"Check Data")</f>
        <v/>
      </c>
      <c r="AK298" s="75" t="str">
        <f t="shared" si="104"/>
        <v>Check Data</v>
      </c>
      <c r="AL298" s="76" t="str">
        <f t="shared" si="92"/>
        <v>Check Data</v>
      </c>
      <c r="AM298" s="50" t="str">
        <f t="shared" si="105"/>
        <v>Check Data</v>
      </c>
      <c r="AN298" s="49" t="str">
        <f>IF(B298="","",IF(L298="S1","S1",INDEX(#REF!,#REF!)))</f>
        <v/>
      </c>
      <c r="AO298" s="49" t="str">
        <f t="shared" si="106"/>
        <v>K4</v>
      </c>
      <c r="AP298" s="50" t="b">
        <f>L298=AN298</f>
        <v>0</v>
      </c>
    </row>
    <row r="299" spans="1:42" ht="21.75">
      <c r="A299" s="49">
        <v>297</v>
      </c>
      <c r="B299" s="50"/>
      <c r="C299" s="50"/>
      <c r="D299" s="50" t="s">
        <v>144</v>
      </c>
      <c r="E299" s="50" t="e">
        <f>INDEX(#REF!,#REF!)</f>
        <v>#REF!</v>
      </c>
      <c r="F299" s="49" t="s">
        <v>333</v>
      </c>
      <c r="G299" s="49" t="str">
        <f t="shared" si="107"/>
        <v>29/01/1990</v>
      </c>
      <c r="H299" s="50">
        <f t="shared" si="89"/>
        <v>35</v>
      </c>
      <c r="I299" s="50">
        <f t="shared" si="90"/>
        <v>4</v>
      </c>
      <c r="J299" s="50">
        <f t="shared" si="91"/>
        <v>22</v>
      </c>
      <c r="K299" s="50"/>
      <c r="L299" s="49" t="s">
        <v>137</v>
      </c>
      <c r="M299" s="64"/>
      <c r="N299" s="49"/>
      <c r="O299" s="49"/>
      <c r="P299" s="65" t="s">
        <v>411</v>
      </c>
      <c r="Q299" s="49" t="str">
        <f t="shared" si="98"/>
        <v>24/12/2019</v>
      </c>
      <c r="R299" s="68">
        <f>IF(Q299="",0,DATEDIF(Q299,$C$1,"Y"))</f>
        <v>5</v>
      </c>
      <c r="S299" s="68">
        <f>IF(Q299="",0,DATEDIF(Q299,$C$1,"YM"))</f>
        <v>5</v>
      </c>
      <c r="T299" s="68">
        <f>IF(Q299="",0,DATEDIF(Q299,$C$1,"MD"))</f>
        <v>27</v>
      </c>
      <c r="U299" s="65"/>
      <c r="V299" s="65"/>
      <c r="W299" s="49" t="str">
        <f t="shared" si="99"/>
        <v/>
      </c>
      <c r="X299" s="68">
        <f>IF(W299="",0,DATEDIF(W299,Q299,"Y"))</f>
        <v>0</v>
      </c>
      <c r="Y299" s="68">
        <f>IF(W299="",0,DATEDIF(W299,Q299,"YM"))</f>
        <v>0</v>
      </c>
      <c r="Z299" s="68">
        <f>IF(W299="",0,DATEDIF(W299,Q299,"MD"))</f>
        <v>0</v>
      </c>
      <c r="AA299" s="49"/>
      <c r="AB299" s="65"/>
      <c r="AC299" s="50" t="str">
        <f t="shared" si="100"/>
        <v/>
      </c>
      <c r="AD299" s="68">
        <f t="shared" si="101"/>
        <v>0</v>
      </c>
      <c r="AE299" s="68">
        <f t="shared" si="102"/>
        <v>0</v>
      </c>
      <c r="AF299" s="68">
        <f t="shared" si="103"/>
        <v>0</v>
      </c>
      <c r="AG299" s="50"/>
      <c r="AH299" s="108" t="s">
        <v>138</v>
      </c>
      <c r="AI299" s="49" t="str">
        <f>IF(AH299="นิติศาสตร์","K5-LAW","K5-POLICY")</f>
        <v>K5-LAW</v>
      </c>
      <c r="AJ299" s="72" t="str">
        <f>_xlfn.IFS(B299="","",AND(AI299="K5-LAW",AH299="นิติศาสตร์",L299="S2",U299="",AA299=""),Q299,AND(AI299="K5-LAW",AH299="นิติศาสตร์",L299="S1",U299="",AA299=""),EDATE(Q299,12),AND(AI299="K5-LAW",AH299="นิติศาสตร์",OR(L299="M2",L299="K4"),U299="",AA299=""),EDATE(Q299,12*2),AND(AI299="K5-LAW",AH299="นิติศาสตร์",OR(AA299="M2",AA299="K4"),AD299&gt;=2,OR(AC299&lt;W299,AC299&lt;Q299)),EDATE(AC299,12*2),AND(AI299="K5-LAW",AH299="นิติศาสตร์",AA299="S1",AD299&gt;=1,OR(AC299&lt;W299,AC299&lt;Q299)),EDATE(AC299,12),AND(AI299="K5-LAW",AH299="นิติศาสตร์",OR(U299="M2",U299="K4"),X299&gt;=2,W299&lt;Q299),EDATE(W299,12*2),AND(AI299="K5-LAW",AH299="นิติศาสตร์",U299="S1",X299&gt;=1,W299&lt;Q299),EDATE(W299,12),AND(AI299="K5-LAW",AH299="นิติศาสตร์",OR(U299="S2",U299="K5")),W299,AND(AI299="K5-LAW",AH299="นิติศาสตร์",OR(L299="M2",L299="K4"),R299&gt;=2),EDATE(Q299,12*2),AND(AI299="K5-LAW",AH299="นิติศาสตร์",L299="S1",R299&gt;=1),EDATE(Q299,12),AND(AI299="K5-LAW",AH299="นิติศาสตร์",OR(L299="S2",L299="K5")),Q299,AND(AI299="K5-POLICY",AH299&lt;&gt;"นิติศาสตร์",L299="S2",U299="",AA299=""),Q299,AND(AI299="K5-POLICY",AH299&lt;&gt;"นิติศาสตร์",L299="S1",U299="",AA299=""),EDATE(Q299,12),AND(AI299="K5-POLICY",AH299&lt;&gt;"นิติศาสตร์",OR(L299="M2",L299="K4"),U299="",AA299=""),EDATE(Q299,12*2),AND(AI299="K5-POLICY",AH299&lt;&gt;"นิติศาสตร์",OR(AA299="M2",AA299="K4"),AD299&gt;=2,OR(AC299&lt;W299,AC299&lt;Q299)),EDATE(AC299,12*2),AND(AI299="K5-POLICY",AH299&lt;&gt;"นิติศาสตร์",AA299="S1",AD299&gt;=1,OR(AC299&lt;W299,AC299&lt;Q299)),EDATE(AC299,12),AND(AI299="K5-POLICY",AH299&lt;&gt;"นิติศาสตร์",OR(U299="M2",U299="K4"),X299&gt;=2,W299&lt;Q299),EDATE(W299,12*2),AND(AI299="K5-POLICY",AH299&lt;&gt;"นิติศาสตร์",U299="S1",X299&gt;=1,W299&lt;Q299),EDATE(W299,12),AND(AI299="K5-POLICY",AH299&lt;&gt;"นิติศาสตร์",OR(U299="S2",U299="K5")),W299,AND(AI299="K5-POLICY",AH299&lt;&gt;"นิติศาสตร์",OR(L299="M2",L299="K4"),R299&gt;=2),EDATE(Q299,12*2),AND(AI299="K5-POLICY",AH299&lt;&gt;"นิติศาสตร์",L299="S1",R299&gt;=1),EDATE(Q299,12),AND(AI299="K5-POLICY",AH299&lt;&gt;"นิติศาสตร์",OR(L299="S2",L299="K5")),Q299,TRUE,"Check Data")</f>
        <v/>
      </c>
      <c r="AK299" s="75" t="str">
        <f t="shared" si="104"/>
        <v>Check Data</v>
      </c>
      <c r="AL299" s="76" t="str">
        <f t="shared" si="92"/>
        <v>Check Data</v>
      </c>
      <c r="AM299" s="50" t="str">
        <f t="shared" si="105"/>
        <v>Check Data</v>
      </c>
      <c r="AN299" s="49" t="str">
        <f>IF(B299="","",IF(L299="S1","S1",INDEX(#REF!,#REF!)))</f>
        <v/>
      </c>
      <c r="AO299" s="49" t="str">
        <f t="shared" si="106"/>
        <v>K4</v>
      </c>
      <c r="AP299" s="50" t="b">
        <f>L299=AN299</f>
        <v>0</v>
      </c>
    </row>
    <row r="300" spans="1:42" ht="21.75">
      <c r="A300" s="49">
        <v>298</v>
      </c>
      <c r="B300" s="50"/>
      <c r="C300" s="50"/>
      <c r="D300" s="50" t="s">
        <v>34</v>
      </c>
      <c r="E300" s="50" t="e">
        <f>INDEX(#REF!,#REF!)</f>
        <v>#REF!</v>
      </c>
      <c r="F300" s="49" t="s">
        <v>398</v>
      </c>
      <c r="G300" s="49" t="str">
        <f t="shared" si="107"/>
        <v>31/08/2001</v>
      </c>
      <c r="H300" s="50">
        <f t="shared" si="89"/>
        <v>23</v>
      </c>
      <c r="I300" s="50">
        <f t="shared" si="90"/>
        <v>9</v>
      </c>
      <c r="J300" s="50">
        <f t="shared" si="91"/>
        <v>20</v>
      </c>
      <c r="K300" s="50" t="s">
        <v>444</v>
      </c>
      <c r="L300" s="49" t="s">
        <v>137</v>
      </c>
      <c r="M300" s="64"/>
      <c r="N300" s="49" t="s">
        <v>427</v>
      </c>
      <c r="O300" s="49" t="s">
        <v>526</v>
      </c>
      <c r="P300" s="65" t="s">
        <v>454</v>
      </c>
      <c r="Q300" s="49" t="str">
        <f t="shared" si="98"/>
        <v>13/01/2020</v>
      </c>
      <c r="R300" s="68">
        <f>IF(Q300="",0,DATEDIF(Q300,$C$1,"Y"))</f>
        <v>5</v>
      </c>
      <c r="S300" s="68">
        <f>IF(Q300="",0,DATEDIF(Q300,$C$1,"YM"))</f>
        <v>5</v>
      </c>
      <c r="T300" s="68">
        <f>IF(Q300="",0,DATEDIF(Q300,$C$1,"MD"))</f>
        <v>7</v>
      </c>
      <c r="U300" s="65"/>
      <c r="V300" s="65"/>
      <c r="W300" s="49" t="str">
        <f t="shared" si="99"/>
        <v/>
      </c>
      <c r="X300" s="68">
        <f>IF(W300="",0,DATEDIF(W300,Q300,"Y"))</f>
        <v>0</v>
      </c>
      <c r="Y300" s="68">
        <f>IF(W300="",0,DATEDIF(W300,Q300,"YM"))</f>
        <v>0</v>
      </c>
      <c r="Z300" s="68">
        <f>IF(W300="",0,DATEDIF(W300,Q300,"MD"))</f>
        <v>0</v>
      </c>
      <c r="AA300" s="69"/>
      <c r="AB300" s="65"/>
      <c r="AC300" s="50" t="str">
        <f t="shared" si="100"/>
        <v/>
      </c>
      <c r="AD300" s="68">
        <f t="shared" si="101"/>
        <v>0</v>
      </c>
      <c r="AE300" s="68">
        <f t="shared" si="102"/>
        <v>0</v>
      </c>
      <c r="AF300" s="68">
        <f t="shared" si="103"/>
        <v>0</v>
      </c>
      <c r="AG300" s="50" t="s">
        <v>78</v>
      </c>
      <c r="AH300" s="108" t="s">
        <v>486</v>
      </c>
      <c r="AI300" s="49" t="str">
        <f>IF(AH300="นิติศาสตร์","K5-LAW","K5-POLICY")</f>
        <v>K5-POLICY</v>
      </c>
      <c r="AJ300" s="72" t="str">
        <f>_xlfn.IFS(B300="","",AND(AI300="K5-LAW",AH300="นิติศาสตร์",L300="S2",U300="",AA300=""),Q300,AND(AI300="K5-LAW",AH300="นิติศาสตร์",L300="S1",U300="",AA300=""),EDATE(Q300,12),AND(AI300="K5-LAW",AH300="นิติศาสตร์",OR(L300="M2",L300="K4"),U300="",AA300=""),EDATE(Q300,12*2),AND(AI300="K5-LAW",AH300="นิติศาสตร์",OR(AA300="M2",AA300="K4"),AD300&gt;=2,OR(AC300&lt;W300,AC300&lt;Q300)),EDATE(AC300,12*2),AND(AI300="K5-LAW",AH300="นิติศาสตร์",AA300="S1",AD300&gt;=1,OR(AC300&lt;W300,AC300&lt;Q300)),EDATE(AC300,12),AND(AI300="K5-LAW",AH300="นิติศาสตร์",OR(U300="M2",U300="K4"),X300&gt;=2,W300&lt;Q300),EDATE(W300,12*2),AND(AI300="K5-LAW",AH300="นิติศาสตร์",U300="S1",X300&gt;=1,W300&lt;Q300),EDATE(W300,12),AND(AI300="K5-LAW",AH300="นิติศาสตร์",OR(U300="S2",U300="K5")),W300,AND(AI300="K5-LAW",AH300="นิติศาสตร์",OR(L300="M2",L300="K4"),R300&gt;=2),EDATE(Q300,12*2),AND(AI300="K5-LAW",AH300="นิติศาสตร์",L300="S1",R300&gt;=1),EDATE(Q300,12),AND(AI300="K5-LAW",AH300="นิติศาสตร์",OR(L300="S2",L300="K5")),Q300,AND(AI300="K5-POLICY",AH300&lt;&gt;"นิติศาสตร์",L300="S2",U300="",AA300=""),Q300,AND(AI300="K5-POLICY",AH300&lt;&gt;"นิติศาสตร์",L300="S1",U300="",AA300=""),EDATE(Q300,12),AND(AI300="K5-POLICY",AH300&lt;&gt;"นิติศาสตร์",OR(L300="M2",L300="K4"),U300="",AA300=""),EDATE(Q300,12*2),AND(AI300="K5-POLICY",AH300&lt;&gt;"นิติศาสตร์",OR(AA300="M2",AA300="K4"),AD300&gt;=2,OR(AC300&lt;W300,AC300&lt;Q300)),EDATE(AC300,12*2),AND(AI300="K5-POLICY",AH300&lt;&gt;"นิติศาสตร์",AA300="S1",AD300&gt;=1,OR(AC300&lt;W300,AC300&lt;Q300)),EDATE(AC300,12),AND(AI300="K5-POLICY",AH300&lt;&gt;"นิติศาสตร์",OR(U300="M2",U300="K4"),X300&gt;=2,W300&lt;Q300),EDATE(W300,12*2),AND(AI300="K5-POLICY",AH300&lt;&gt;"นิติศาสตร์",U300="S1",X300&gt;=1,W300&lt;Q300),EDATE(W300,12),AND(AI300="K5-POLICY",AH300&lt;&gt;"นิติศาสตร์",OR(U300="S2",U300="K5")),W300,AND(AI300="K5-POLICY",AH300&lt;&gt;"นิติศาสตร์",OR(L300="M2",L300="K4"),R300&gt;=2),EDATE(Q300,12*2),AND(AI300="K5-POLICY",AH300&lt;&gt;"นิติศาสตร์",L300="S1",R300&gt;=1),EDATE(Q300,12),AND(AI300="K5-POLICY",AH300&lt;&gt;"นิติศาสตร์",OR(L300="S2",L300="K5")),Q300,TRUE,"Check Data")</f>
        <v/>
      </c>
      <c r="AK300" s="75" t="str">
        <f t="shared" si="104"/>
        <v>Check Data</v>
      </c>
      <c r="AL300" s="76" t="str">
        <f t="shared" si="92"/>
        <v>Check Data</v>
      </c>
      <c r="AM300" s="50" t="str">
        <f t="shared" si="105"/>
        <v>Check Data</v>
      </c>
      <c r="AN300" s="49" t="str">
        <f>IF(B300="","",IF(L300="S1","S1",INDEX(#REF!,#REF!)))</f>
        <v/>
      </c>
      <c r="AO300" s="49" t="str">
        <f t="shared" si="106"/>
        <v>K4</v>
      </c>
      <c r="AP300" s="50" t="b">
        <f>L300=AN300</f>
        <v>0</v>
      </c>
    </row>
    <row r="301" spans="1:42" ht="21.75">
      <c r="A301" s="49">
        <v>299</v>
      </c>
      <c r="B301" s="129"/>
      <c r="C301" s="50"/>
      <c r="D301" s="50" t="s">
        <v>144</v>
      </c>
      <c r="E301" s="50" t="e">
        <f>INDEX(#REF!,#REF!)</f>
        <v>#REF!</v>
      </c>
      <c r="F301" s="49" t="s">
        <v>326</v>
      </c>
      <c r="G301" s="49" t="str">
        <f t="shared" si="107"/>
        <v>27/02/1984</v>
      </c>
      <c r="H301" s="50">
        <f t="shared" si="89"/>
        <v>41</v>
      </c>
      <c r="I301" s="50">
        <f t="shared" si="90"/>
        <v>3</v>
      </c>
      <c r="J301" s="50">
        <f t="shared" si="91"/>
        <v>24</v>
      </c>
      <c r="K301" s="50"/>
      <c r="L301" s="49" t="s">
        <v>137</v>
      </c>
      <c r="M301" s="64"/>
      <c r="N301" s="49"/>
      <c r="O301" s="49"/>
      <c r="P301" s="65" t="s">
        <v>416</v>
      </c>
      <c r="Q301" s="49" t="str">
        <f t="shared" si="98"/>
        <v>27/02/2020</v>
      </c>
      <c r="R301" s="68">
        <f>IF(Q301="",0,DATEDIF(Q301,$C$1,"Y"))</f>
        <v>5</v>
      </c>
      <c r="S301" s="68">
        <f>IF(Q301="",0,DATEDIF(Q301,$C$1,"YM"))</f>
        <v>3</v>
      </c>
      <c r="T301" s="68">
        <f>IF(Q301="",0,DATEDIF(Q301,$C$1,"MD"))</f>
        <v>24</v>
      </c>
      <c r="U301" s="65"/>
      <c r="V301" s="65"/>
      <c r="W301" s="49" t="str">
        <f t="shared" si="99"/>
        <v/>
      </c>
      <c r="X301" s="68">
        <f>IF(W301="",0,DATEDIF(W301,Q301,"Y"))</f>
        <v>0</v>
      </c>
      <c r="Y301" s="68">
        <f>IF(W301="",0,DATEDIF(W301,Q301,"YM"))</f>
        <v>0</v>
      </c>
      <c r="Z301" s="68">
        <f>IF(W301="",0,DATEDIF(W301,Q301,"MD"))</f>
        <v>0</v>
      </c>
      <c r="AA301" s="49"/>
      <c r="AB301" s="65"/>
      <c r="AC301" s="50" t="str">
        <f t="shared" si="100"/>
        <v/>
      </c>
      <c r="AD301" s="68">
        <f t="shared" si="101"/>
        <v>0</v>
      </c>
      <c r="AE301" s="68">
        <f t="shared" si="102"/>
        <v>0</v>
      </c>
      <c r="AF301" s="68">
        <f t="shared" si="103"/>
        <v>0</v>
      </c>
      <c r="AG301" s="50"/>
      <c r="AH301" s="108" t="s">
        <v>138</v>
      </c>
      <c r="AI301" s="49" t="str">
        <f>IF(AH301="นิติศาสตร์","K5-LAW","K5-POLICY")</f>
        <v>K5-LAW</v>
      </c>
      <c r="AJ301" s="72" t="str">
        <f>_xlfn.IFS(B301="","",AND(AI301="K5-LAW",AH301="นิติศาสตร์",L301="S2",U301="",AA301=""),Q301,AND(AI301="K5-LAW",AH301="นิติศาสตร์",L301="S1",U301="",AA301=""),EDATE(Q301,12),AND(AI301="K5-LAW",AH301="นิติศาสตร์",OR(L301="M2",L301="K4"),U301="",AA301=""),EDATE(Q301,12*2),AND(AI301="K5-LAW",AH301="นิติศาสตร์",OR(AA301="M2",AA301="K4"),AD301&gt;=2,OR(AC301&lt;W301,AC301&lt;Q301)),EDATE(AC301,12*2),AND(AI301="K5-LAW",AH301="นิติศาสตร์",AA301="S1",AD301&gt;=1,OR(AC301&lt;W301,AC301&lt;Q301)),EDATE(AC301,12),AND(AI301="K5-LAW",AH301="นิติศาสตร์",OR(U301="M2",U301="K4"),X301&gt;=2,W301&lt;Q301),EDATE(W301,12*2),AND(AI301="K5-LAW",AH301="นิติศาสตร์",U301="S1",X301&gt;=1,W301&lt;Q301),EDATE(W301,12),AND(AI301="K5-LAW",AH301="นิติศาสตร์",OR(U301="S2",U301="K5")),W301,AND(AI301="K5-LAW",AH301="นิติศาสตร์",OR(L301="M2",L301="K4"),R301&gt;=2),EDATE(Q301,12*2),AND(AI301="K5-LAW",AH301="นิติศาสตร์",L301="S1",R301&gt;=1),EDATE(Q301,12),AND(AI301="K5-LAW",AH301="นิติศาสตร์",OR(L301="S2",L301="K5")),Q301,AND(AI301="K5-POLICY",AH301&lt;&gt;"นิติศาสตร์",L301="S2",U301="",AA301=""),Q301,AND(AI301="K5-POLICY",AH301&lt;&gt;"นิติศาสตร์",L301="S1",U301="",AA301=""),EDATE(Q301,12),AND(AI301="K5-POLICY",AH301&lt;&gt;"นิติศาสตร์",OR(L301="M2",L301="K4"),U301="",AA301=""),EDATE(Q301,12*2),AND(AI301="K5-POLICY",AH301&lt;&gt;"นิติศาสตร์",OR(AA301="M2",AA301="K4"),AD301&gt;=2,OR(AC301&lt;W301,AC301&lt;Q301)),EDATE(AC301,12*2),AND(AI301="K5-POLICY",AH301&lt;&gt;"นิติศาสตร์",AA301="S1",AD301&gt;=1,OR(AC301&lt;W301,AC301&lt;Q301)),EDATE(AC301,12),AND(AI301="K5-POLICY",AH301&lt;&gt;"นิติศาสตร์",OR(U301="M2",U301="K4"),X301&gt;=2,W301&lt;Q301),EDATE(W301,12*2),AND(AI301="K5-POLICY",AH301&lt;&gt;"นิติศาสตร์",U301="S1",X301&gt;=1,W301&lt;Q301),EDATE(W301,12),AND(AI301="K5-POLICY",AH301&lt;&gt;"นิติศาสตร์",OR(U301="S2",U301="K5")),W301,AND(AI301="K5-POLICY",AH301&lt;&gt;"นิติศาสตร์",OR(L301="M2",L301="K4"),R301&gt;=2),EDATE(Q301,12*2),AND(AI301="K5-POLICY",AH301&lt;&gt;"นิติศาสตร์",L301="S1",R301&gt;=1),EDATE(Q301,12),AND(AI301="K5-POLICY",AH301&lt;&gt;"นิติศาสตร์",OR(L301="S2",L301="K5")),Q301,TRUE,"Check Data")</f>
        <v/>
      </c>
      <c r="AK301" s="75" t="str">
        <f t="shared" si="104"/>
        <v>Check Data</v>
      </c>
      <c r="AL301" s="76" t="str">
        <f t="shared" si="92"/>
        <v>Check Data</v>
      </c>
      <c r="AM301" s="50" t="str">
        <f t="shared" si="105"/>
        <v>Check Data</v>
      </c>
      <c r="AN301" s="49" t="str">
        <f>IF(B301="","",IF(L301="S1","S1",INDEX(#REF!,#REF!)))</f>
        <v/>
      </c>
      <c r="AO301" s="49" t="str">
        <f t="shared" si="106"/>
        <v>K4</v>
      </c>
      <c r="AP301" s="50" t="b">
        <f>L301=AN301</f>
        <v>0</v>
      </c>
    </row>
    <row r="302" spans="1:42" ht="21.75">
      <c r="A302" s="49">
        <v>300</v>
      </c>
      <c r="B302" s="50"/>
      <c r="C302" s="50"/>
      <c r="D302" s="50" t="s">
        <v>146</v>
      </c>
      <c r="E302" s="50" t="e">
        <f>INDEX(#REF!,#REF!)</f>
        <v>#REF!</v>
      </c>
      <c r="F302" s="49" t="s">
        <v>230</v>
      </c>
      <c r="G302" s="49" t="str">
        <f t="shared" si="107"/>
        <v>03/11/1997</v>
      </c>
      <c r="H302" s="50">
        <f t="shared" si="89"/>
        <v>27</v>
      </c>
      <c r="I302" s="50">
        <f t="shared" si="90"/>
        <v>7</v>
      </c>
      <c r="J302" s="50">
        <f t="shared" si="91"/>
        <v>17</v>
      </c>
      <c r="K302" s="50"/>
      <c r="L302" s="49" t="s">
        <v>137</v>
      </c>
      <c r="M302" s="64"/>
      <c r="N302" s="49"/>
      <c r="O302" s="49"/>
      <c r="P302" s="65" t="s">
        <v>422</v>
      </c>
      <c r="Q302" s="49" t="str">
        <f t="shared" si="98"/>
        <v>04/03/2020</v>
      </c>
      <c r="R302" s="68">
        <f>IF(Q302="",0,DATEDIF(Q302,$C$1,"Y"))</f>
        <v>5</v>
      </c>
      <c r="S302" s="68">
        <f>IF(Q302="",0,DATEDIF(Q302,$C$1,"YM"))</f>
        <v>3</v>
      </c>
      <c r="T302" s="68">
        <f>IF(Q302="",0,DATEDIF(Q302,$C$1,"MD"))</f>
        <v>16</v>
      </c>
      <c r="U302" s="65"/>
      <c r="V302" s="65"/>
      <c r="W302" s="49" t="str">
        <f t="shared" si="99"/>
        <v/>
      </c>
      <c r="X302" s="68">
        <f>IF(W302="",0,DATEDIF(W302,Q302,"Y"))</f>
        <v>0</v>
      </c>
      <c r="Y302" s="68">
        <f>IF(W302="",0,DATEDIF(W302,Q302,"YM"))</f>
        <v>0</v>
      </c>
      <c r="Z302" s="68">
        <f>IF(W302="",0,DATEDIF(W302,Q302,"MD"))</f>
        <v>0</v>
      </c>
      <c r="AA302" s="49"/>
      <c r="AB302" s="65"/>
      <c r="AC302" s="50" t="str">
        <f t="shared" si="100"/>
        <v/>
      </c>
      <c r="AD302" s="68">
        <f t="shared" si="101"/>
        <v>0</v>
      </c>
      <c r="AE302" s="68">
        <f t="shared" si="102"/>
        <v>0</v>
      </c>
      <c r="AF302" s="68">
        <f t="shared" si="103"/>
        <v>0</v>
      </c>
      <c r="AG302" s="50"/>
      <c r="AH302" s="108" t="s">
        <v>175</v>
      </c>
      <c r="AI302" s="49" t="str">
        <f>IF(AH302="นิติศาสตร์","K5-LAW","K5-POLICY")</f>
        <v>K5-POLICY</v>
      </c>
      <c r="AJ302" s="72" t="str">
        <f>_xlfn.IFS(B302="","",AND(AI302="K5-LAW",AH302="นิติศาสตร์",L302="S2",U302="",AA302=""),Q302,AND(AI302="K5-LAW",AH302="นิติศาสตร์",L302="S1",U302="",AA302=""),EDATE(Q302,12),AND(AI302="K5-LAW",AH302="นิติศาสตร์",OR(L302="M2",L302="K4"),U302="",AA302=""),EDATE(Q302,12*2),AND(AI302="K5-LAW",AH302="นิติศาสตร์",OR(AA302="M2",AA302="K4"),AD302&gt;=2,OR(AC302&lt;W302,AC302&lt;Q302)),EDATE(AC302,12*2),AND(AI302="K5-LAW",AH302="นิติศาสตร์",AA302="S1",AD302&gt;=1,OR(AC302&lt;W302,AC302&lt;Q302)),EDATE(AC302,12),AND(AI302="K5-LAW",AH302="นิติศาสตร์",OR(U302="M2",U302="K4"),X302&gt;=2,W302&lt;Q302),EDATE(W302,12*2),AND(AI302="K5-LAW",AH302="นิติศาสตร์",U302="S1",X302&gt;=1,W302&lt;Q302),EDATE(W302,12),AND(AI302="K5-LAW",AH302="นิติศาสตร์",OR(U302="S2",U302="K5")),W302,AND(AI302="K5-LAW",AH302="นิติศาสตร์",OR(L302="M2",L302="K4"),R302&gt;=2),EDATE(Q302,12*2),AND(AI302="K5-LAW",AH302="นิติศาสตร์",L302="S1",R302&gt;=1),EDATE(Q302,12),AND(AI302="K5-LAW",AH302="นิติศาสตร์",OR(L302="S2",L302="K5")),Q302,AND(AI302="K5-POLICY",AH302&lt;&gt;"นิติศาสตร์",L302="S2",U302="",AA302=""),Q302,AND(AI302="K5-POLICY",AH302&lt;&gt;"นิติศาสตร์",L302="S1",U302="",AA302=""),EDATE(Q302,12),AND(AI302="K5-POLICY",AH302&lt;&gt;"นิติศาสตร์",OR(L302="M2",L302="K4"),U302="",AA302=""),EDATE(Q302,12*2),AND(AI302="K5-POLICY",AH302&lt;&gt;"นิติศาสตร์",OR(AA302="M2",AA302="K4"),AD302&gt;=2,OR(AC302&lt;W302,AC302&lt;Q302)),EDATE(AC302,12*2),AND(AI302="K5-POLICY",AH302&lt;&gt;"นิติศาสตร์",AA302="S1",AD302&gt;=1,OR(AC302&lt;W302,AC302&lt;Q302)),EDATE(AC302,12),AND(AI302="K5-POLICY",AH302&lt;&gt;"นิติศาสตร์",OR(U302="M2",U302="K4"),X302&gt;=2,W302&lt;Q302),EDATE(W302,12*2),AND(AI302="K5-POLICY",AH302&lt;&gt;"นิติศาสตร์",U302="S1",X302&gt;=1,W302&lt;Q302),EDATE(W302,12),AND(AI302="K5-POLICY",AH302&lt;&gt;"นิติศาสตร์",OR(U302="S2",U302="K5")),W302,AND(AI302="K5-POLICY",AH302&lt;&gt;"นิติศาสตร์",OR(L302="M2",L302="K4"),R302&gt;=2),EDATE(Q302,12*2),AND(AI302="K5-POLICY",AH302&lt;&gt;"นิติศาสตร์",L302="S1",R302&gt;=1),EDATE(Q302,12),AND(AI302="K5-POLICY",AH302&lt;&gt;"นิติศาสตร์",OR(L302="S2",L302="K5")),Q302,TRUE,"Check Data")</f>
        <v/>
      </c>
      <c r="AK302" s="75" t="str">
        <f t="shared" si="104"/>
        <v>Check Data</v>
      </c>
      <c r="AL302" s="76" t="str">
        <f t="shared" si="92"/>
        <v>Check Data</v>
      </c>
      <c r="AM302" s="50" t="str">
        <f t="shared" si="105"/>
        <v>Check Data</v>
      </c>
      <c r="AN302" s="49" t="str">
        <f>IF(B302="","",IF(L302="S1","S1",INDEX(#REF!,#REF!)))</f>
        <v/>
      </c>
      <c r="AO302" s="49" t="str">
        <f t="shared" si="106"/>
        <v>K4</v>
      </c>
      <c r="AP302" s="50" t="b">
        <f>L302=AN302</f>
        <v>0</v>
      </c>
    </row>
    <row r="303" spans="1:42" ht="21.75">
      <c r="A303" s="49">
        <v>301</v>
      </c>
      <c r="B303" s="50"/>
      <c r="C303" s="50"/>
      <c r="D303" s="50" t="s">
        <v>144</v>
      </c>
      <c r="E303" s="50" t="e">
        <f>INDEX(#REF!,#REF!)</f>
        <v>#REF!</v>
      </c>
      <c r="F303" s="49" t="s">
        <v>271</v>
      </c>
      <c r="G303" s="49" t="str">
        <f t="shared" si="107"/>
        <v>10/05/1999</v>
      </c>
      <c r="H303" s="50">
        <f t="shared" si="89"/>
        <v>26</v>
      </c>
      <c r="I303" s="50">
        <f t="shared" si="90"/>
        <v>1</v>
      </c>
      <c r="J303" s="50">
        <f t="shared" si="91"/>
        <v>10</v>
      </c>
      <c r="K303" s="50"/>
      <c r="L303" s="49" t="s">
        <v>137</v>
      </c>
      <c r="M303" s="64"/>
      <c r="N303" s="49"/>
      <c r="O303" s="49"/>
      <c r="P303" s="65" t="s">
        <v>414</v>
      </c>
      <c r="Q303" s="49" t="str">
        <f t="shared" si="98"/>
        <v>10/03/2020</v>
      </c>
      <c r="R303" s="68">
        <f>IF(Q303="",0,DATEDIF(Q303,$C$1,"Y"))</f>
        <v>5</v>
      </c>
      <c r="S303" s="68">
        <f>IF(Q303="",0,DATEDIF(Q303,$C$1,"YM"))</f>
        <v>3</v>
      </c>
      <c r="T303" s="68">
        <f>IF(Q303="",0,DATEDIF(Q303,$C$1,"MD"))</f>
        <v>10</v>
      </c>
      <c r="U303" s="65"/>
      <c r="V303" s="65"/>
      <c r="W303" s="49" t="str">
        <f t="shared" si="99"/>
        <v/>
      </c>
      <c r="X303" s="68">
        <f>IF(W303="",0,DATEDIF(W303,Q303,"Y"))</f>
        <v>0</v>
      </c>
      <c r="Y303" s="68">
        <f>IF(W303="",0,DATEDIF(W303,Q303,"YM"))</f>
        <v>0</v>
      </c>
      <c r="Z303" s="68">
        <f>IF(W303="",0,DATEDIF(W303,Q303,"MD"))</f>
        <v>0</v>
      </c>
      <c r="AA303" s="49"/>
      <c r="AB303" s="65"/>
      <c r="AC303" s="50" t="str">
        <f t="shared" si="100"/>
        <v/>
      </c>
      <c r="AD303" s="68">
        <f t="shared" si="101"/>
        <v>0</v>
      </c>
      <c r="AE303" s="68">
        <f t="shared" si="102"/>
        <v>0</v>
      </c>
      <c r="AF303" s="68">
        <f t="shared" si="103"/>
        <v>0</v>
      </c>
      <c r="AG303" s="50"/>
      <c r="AH303" s="108" t="s">
        <v>509</v>
      </c>
      <c r="AI303" s="49" t="str">
        <f>IF(AH303="นิติศาสตร์","K5-LAW","K5-POLICY")</f>
        <v>K5-POLICY</v>
      </c>
      <c r="AJ303" s="72" t="str">
        <f>_xlfn.IFS(B303="","",AND(AI303="K5-LAW",AH303="นิติศาสตร์",L303="S2",U303="",AA303=""),Q303,AND(AI303="K5-LAW",AH303="นิติศาสตร์",L303="S1",U303="",AA303=""),EDATE(Q303,12),AND(AI303="K5-LAW",AH303="นิติศาสตร์",OR(L303="M2",L303="K4"),U303="",AA303=""),EDATE(Q303,12*2),AND(AI303="K5-LAW",AH303="นิติศาสตร์",OR(AA303="M2",AA303="K4"),AD303&gt;=2,OR(AC303&lt;W303,AC303&lt;Q303)),EDATE(AC303,12*2),AND(AI303="K5-LAW",AH303="นิติศาสตร์",AA303="S1",AD303&gt;=1,OR(AC303&lt;W303,AC303&lt;Q303)),EDATE(AC303,12),AND(AI303="K5-LAW",AH303="นิติศาสตร์",OR(U303="M2",U303="K4"),X303&gt;=2,W303&lt;Q303),EDATE(W303,12*2),AND(AI303="K5-LAW",AH303="นิติศาสตร์",U303="S1",X303&gt;=1,W303&lt;Q303),EDATE(W303,12),AND(AI303="K5-LAW",AH303="นิติศาสตร์",OR(U303="S2",U303="K5")),W303,AND(AI303="K5-LAW",AH303="นิติศาสตร์",OR(L303="M2",L303="K4"),R303&gt;=2),EDATE(Q303,12*2),AND(AI303="K5-LAW",AH303="นิติศาสตร์",L303="S1",R303&gt;=1),EDATE(Q303,12),AND(AI303="K5-LAW",AH303="นิติศาสตร์",OR(L303="S2",L303="K5")),Q303,AND(AI303="K5-POLICY",AH303&lt;&gt;"นิติศาสตร์",L303="S2",U303="",AA303=""),Q303,AND(AI303="K5-POLICY",AH303&lt;&gt;"นิติศาสตร์",L303="S1",U303="",AA303=""),EDATE(Q303,12),AND(AI303="K5-POLICY",AH303&lt;&gt;"นิติศาสตร์",OR(L303="M2",L303="K4"),U303="",AA303=""),EDATE(Q303,12*2),AND(AI303="K5-POLICY",AH303&lt;&gt;"นิติศาสตร์",OR(AA303="M2",AA303="K4"),AD303&gt;=2,OR(AC303&lt;W303,AC303&lt;Q303)),EDATE(AC303,12*2),AND(AI303="K5-POLICY",AH303&lt;&gt;"นิติศาสตร์",AA303="S1",AD303&gt;=1,OR(AC303&lt;W303,AC303&lt;Q303)),EDATE(AC303,12),AND(AI303="K5-POLICY",AH303&lt;&gt;"นิติศาสตร์",OR(U303="M2",U303="K4"),X303&gt;=2,W303&lt;Q303),EDATE(W303,12*2),AND(AI303="K5-POLICY",AH303&lt;&gt;"นิติศาสตร์",U303="S1",X303&gt;=1,W303&lt;Q303),EDATE(W303,12),AND(AI303="K5-POLICY",AH303&lt;&gt;"นิติศาสตร์",OR(U303="S2",U303="K5")),W303,AND(AI303="K5-POLICY",AH303&lt;&gt;"นิติศาสตร์",OR(L303="M2",L303="K4"),R303&gt;=2),EDATE(Q303,12*2),AND(AI303="K5-POLICY",AH303&lt;&gt;"นิติศาสตร์",L303="S1",R303&gt;=1),EDATE(Q303,12),AND(AI303="K5-POLICY",AH303&lt;&gt;"นิติศาสตร์",OR(L303="S2",L303="K5")),Q303,TRUE,"Check Data")</f>
        <v/>
      </c>
      <c r="AK303" s="75" t="str">
        <f t="shared" si="104"/>
        <v>Check Data</v>
      </c>
      <c r="AL303" s="76" t="str">
        <f t="shared" si="92"/>
        <v>Check Data</v>
      </c>
      <c r="AM303" s="50" t="str">
        <f t="shared" si="105"/>
        <v>Check Data</v>
      </c>
      <c r="AN303" s="49" t="str">
        <f>IF(B303="","",IF(L303="S1","S1",INDEX(#REF!,#REF!)))</f>
        <v/>
      </c>
      <c r="AO303" s="49" t="str">
        <f t="shared" si="106"/>
        <v>K4</v>
      </c>
      <c r="AP303" s="50" t="b">
        <f>L303=AN303</f>
        <v>0</v>
      </c>
    </row>
    <row r="304" spans="1:42" ht="21.75">
      <c r="A304" s="49">
        <v>302</v>
      </c>
      <c r="B304" s="50"/>
      <c r="C304" s="50"/>
      <c r="D304" s="50" t="s">
        <v>144</v>
      </c>
      <c r="E304" s="50" t="e">
        <f>INDEX(#REF!,#REF!)</f>
        <v>#REF!</v>
      </c>
      <c r="F304" s="49" t="s">
        <v>239</v>
      </c>
      <c r="G304" s="49" t="str">
        <f t="shared" si="107"/>
        <v>01/05/1985</v>
      </c>
      <c r="H304" s="50">
        <f t="shared" si="89"/>
        <v>40</v>
      </c>
      <c r="I304" s="50">
        <f t="shared" si="90"/>
        <v>1</v>
      </c>
      <c r="J304" s="50">
        <f t="shared" si="91"/>
        <v>19</v>
      </c>
      <c r="K304" s="50"/>
      <c r="L304" s="49" t="s">
        <v>137</v>
      </c>
      <c r="M304" s="64"/>
      <c r="N304" s="49"/>
      <c r="O304" s="49"/>
      <c r="P304" s="65" t="s">
        <v>409</v>
      </c>
      <c r="Q304" s="49" t="str">
        <f t="shared" si="98"/>
        <v>12/03/2020</v>
      </c>
      <c r="R304" s="68">
        <f>IF(Q304="",0,DATEDIF(Q304,$C$1,"Y"))</f>
        <v>5</v>
      </c>
      <c r="S304" s="68">
        <f>IF(Q304="",0,DATEDIF(Q304,$C$1,"YM"))</f>
        <v>3</v>
      </c>
      <c r="T304" s="68">
        <f>IF(Q304="",0,DATEDIF(Q304,$C$1,"MD"))</f>
        <v>8</v>
      </c>
      <c r="U304" s="65"/>
      <c r="V304" s="65"/>
      <c r="W304" s="49" t="str">
        <f t="shared" si="99"/>
        <v/>
      </c>
      <c r="X304" s="68">
        <f>IF(W304="",0,DATEDIF(W304,Q304,"Y"))</f>
        <v>0</v>
      </c>
      <c r="Y304" s="68">
        <f>IF(W304="",0,DATEDIF(W304,Q304,"YM"))</f>
        <v>0</v>
      </c>
      <c r="Z304" s="68">
        <f>IF(W304="",0,DATEDIF(W304,Q304,"MD"))</f>
        <v>0</v>
      </c>
      <c r="AA304" s="49"/>
      <c r="AB304" s="65"/>
      <c r="AC304" s="50" t="str">
        <f t="shared" si="100"/>
        <v/>
      </c>
      <c r="AD304" s="68">
        <f t="shared" si="101"/>
        <v>0</v>
      </c>
      <c r="AE304" s="68">
        <f t="shared" si="102"/>
        <v>0</v>
      </c>
      <c r="AF304" s="68">
        <f t="shared" si="103"/>
        <v>0</v>
      </c>
      <c r="AG304" s="50"/>
      <c r="AH304" s="108" t="s">
        <v>527</v>
      </c>
      <c r="AI304" s="49" t="str">
        <f>IF(AH304="นิติศาสตร์","K5-LAW","K5-POLICY")</f>
        <v>K5-POLICY</v>
      </c>
      <c r="AJ304" s="72" t="str">
        <f>_xlfn.IFS(B304="","",AND(AI304="K5-LAW",AH304="นิติศาสตร์",L304="S2",U304="",AA304=""),Q304,AND(AI304="K5-LAW",AH304="นิติศาสตร์",L304="S1",U304="",AA304=""),EDATE(Q304,12),AND(AI304="K5-LAW",AH304="นิติศาสตร์",OR(L304="M2",L304="K4"),U304="",AA304=""),EDATE(Q304,12*2),AND(AI304="K5-LAW",AH304="นิติศาสตร์",OR(AA304="M2",AA304="K4"),AD304&gt;=2,OR(AC304&lt;W304,AC304&lt;Q304)),EDATE(AC304,12*2),AND(AI304="K5-LAW",AH304="นิติศาสตร์",AA304="S1",AD304&gt;=1,OR(AC304&lt;W304,AC304&lt;Q304)),EDATE(AC304,12),AND(AI304="K5-LAW",AH304="นิติศาสตร์",OR(U304="M2",U304="K4"),X304&gt;=2,W304&lt;Q304),EDATE(W304,12*2),AND(AI304="K5-LAW",AH304="นิติศาสตร์",U304="S1",X304&gt;=1,W304&lt;Q304),EDATE(W304,12),AND(AI304="K5-LAW",AH304="นิติศาสตร์",OR(U304="S2",U304="K5")),W304,AND(AI304="K5-LAW",AH304="นิติศาสตร์",OR(L304="M2",L304="K4"),R304&gt;=2),EDATE(Q304,12*2),AND(AI304="K5-LAW",AH304="นิติศาสตร์",L304="S1",R304&gt;=1),EDATE(Q304,12),AND(AI304="K5-LAW",AH304="นิติศาสตร์",OR(L304="S2",L304="K5")),Q304,AND(AI304="K5-POLICY",AH304&lt;&gt;"นิติศาสตร์",L304="S2",U304="",AA304=""),Q304,AND(AI304="K5-POLICY",AH304&lt;&gt;"นิติศาสตร์",L304="S1",U304="",AA304=""),EDATE(Q304,12),AND(AI304="K5-POLICY",AH304&lt;&gt;"นิติศาสตร์",OR(L304="M2",L304="K4"),U304="",AA304=""),EDATE(Q304,12*2),AND(AI304="K5-POLICY",AH304&lt;&gt;"นิติศาสตร์",OR(AA304="M2",AA304="K4"),AD304&gt;=2,OR(AC304&lt;W304,AC304&lt;Q304)),EDATE(AC304,12*2),AND(AI304="K5-POLICY",AH304&lt;&gt;"นิติศาสตร์",AA304="S1",AD304&gt;=1,OR(AC304&lt;W304,AC304&lt;Q304)),EDATE(AC304,12),AND(AI304="K5-POLICY",AH304&lt;&gt;"นิติศาสตร์",OR(U304="M2",U304="K4"),X304&gt;=2,W304&lt;Q304),EDATE(W304,12*2),AND(AI304="K5-POLICY",AH304&lt;&gt;"นิติศาสตร์",U304="S1",X304&gt;=1,W304&lt;Q304),EDATE(W304,12),AND(AI304="K5-POLICY",AH304&lt;&gt;"นิติศาสตร์",OR(U304="S2",U304="K5")),W304,AND(AI304="K5-POLICY",AH304&lt;&gt;"นิติศาสตร์",OR(L304="M2",L304="K4"),R304&gt;=2),EDATE(Q304,12*2),AND(AI304="K5-POLICY",AH304&lt;&gt;"นิติศาสตร์",L304="S1",R304&gt;=1),EDATE(Q304,12),AND(AI304="K5-POLICY",AH304&lt;&gt;"นิติศาสตร์",OR(L304="S2",L304="K5")),Q304,TRUE,"Check Data")</f>
        <v/>
      </c>
      <c r="AK304" s="75" t="str">
        <f t="shared" si="104"/>
        <v>Check Data</v>
      </c>
      <c r="AL304" s="76" t="str">
        <f t="shared" si="92"/>
        <v>Check Data</v>
      </c>
      <c r="AM304" s="50" t="str">
        <f t="shared" si="105"/>
        <v>Check Data</v>
      </c>
      <c r="AN304" s="49" t="str">
        <f>IF(B304="","",IF(L304="S1","S1",INDEX(#REF!,#REF!)))</f>
        <v/>
      </c>
      <c r="AO304" s="49" t="str">
        <f t="shared" si="106"/>
        <v>K4</v>
      </c>
      <c r="AP304" s="50" t="b">
        <f>L304=AN304</f>
        <v>0</v>
      </c>
    </row>
    <row r="305" spans="1:42" ht="21.75">
      <c r="A305" s="49">
        <v>303</v>
      </c>
      <c r="B305" s="50"/>
      <c r="C305" s="50"/>
      <c r="D305" s="50" t="s">
        <v>34</v>
      </c>
      <c r="E305" s="50" t="e">
        <f>INDEX(#REF!,#REF!)</f>
        <v>#REF!</v>
      </c>
      <c r="F305" s="49" t="s">
        <v>400</v>
      </c>
      <c r="G305" s="49" t="str">
        <f t="shared" si="107"/>
        <v>17/05/2001</v>
      </c>
      <c r="H305" s="50">
        <f t="shared" si="89"/>
        <v>24</v>
      </c>
      <c r="I305" s="50">
        <f t="shared" si="90"/>
        <v>1</v>
      </c>
      <c r="J305" s="50">
        <f t="shared" si="91"/>
        <v>3</v>
      </c>
      <c r="K305" s="50" t="s">
        <v>399</v>
      </c>
      <c r="L305" s="49" t="s">
        <v>137</v>
      </c>
      <c r="M305" s="64"/>
      <c r="N305" s="49" t="s">
        <v>427</v>
      </c>
      <c r="O305" s="49">
        <v>2577</v>
      </c>
      <c r="P305" s="65" t="s">
        <v>401</v>
      </c>
      <c r="Q305" s="49" t="str">
        <f t="shared" si="98"/>
        <v>20/03/2020</v>
      </c>
      <c r="R305" s="68">
        <f>IF(Q305="",0,DATEDIF(Q305,$C$1,"Y"))</f>
        <v>5</v>
      </c>
      <c r="S305" s="68">
        <f>IF(Q305="",0,DATEDIF(Q305,$C$1,"YM"))</f>
        <v>3</v>
      </c>
      <c r="T305" s="68">
        <f>IF(Q305="",0,DATEDIF(Q305,$C$1,"MD"))</f>
        <v>0</v>
      </c>
      <c r="U305" s="65"/>
      <c r="V305" s="65"/>
      <c r="W305" s="49" t="str">
        <f t="shared" si="99"/>
        <v/>
      </c>
      <c r="X305" s="68">
        <f>IF(W305="",0,DATEDIF(W305,Q305,"Y"))</f>
        <v>0</v>
      </c>
      <c r="Y305" s="68">
        <f>IF(W305="",0,DATEDIF(W305,Q305,"YM"))</f>
        <v>0</v>
      </c>
      <c r="Z305" s="68">
        <f>IF(W305="",0,DATEDIF(W305,Q305,"MD"))</f>
        <v>0</v>
      </c>
      <c r="AA305" s="69"/>
      <c r="AB305" s="65"/>
      <c r="AC305" s="50" t="str">
        <f t="shared" si="100"/>
        <v/>
      </c>
      <c r="AD305" s="68">
        <f t="shared" si="101"/>
        <v>0</v>
      </c>
      <c r="AE305" s="68">
        <f t="shared" si="102"/>
        <v>0</v>
      </c>
      <c r="AF305" s="68">
        <f t="shared" si="103"/>
        <v>0</v>
      </c>
      <c r="AG305" s="50" t="s">
        <v>80</v>
      </c>
      <c r="AH305" s="108" t="s">
        <v>512</v>
      </c>
      <c r="AI305" s="49" t="str">
        <f>IF(AH305="นิติศาสตร์","K5-LAW","K5-POLICY")</f>
        <v>K5-POLICY</v>
      </c>
      <c r="AJ305" s="72" t="str">
        <f>_xlfn.IFS(B305="","",AND(AI305="K5-LAW",AH305="นิติศาสตร์",L305="S2",U305="",AA305=""),Q305,AND(AI305="K5-LAW",AH305="นิติศาสตร์",L305="S1",U305="",AA305=""),EDATE(Q305,12),AND(AI305="K5-LAW",AH305="นิติศาสตร์",OR(L305="M2",L305="K4"),U305="",AA305=""),EDATE(Q305,12*2),AND(AI305="K5-LAW",AH305="นิติศาสตร์",OR(AA305="M2",AA305="K4"),AD305&gt;=2,OR(AC305&lt;W305,AC305&lt;Q305)),EDATE(AC305,12*2),AND(AI305="K5-LAW",AH305="นิติศาสตร์",AA305="S1",AD305&gt;=1,OR(AC305&lt;W305,AC305&lt;Q305)),EDATE(AC305,12),AND(AI305="K5-LAW",AH305="นิติศาสตร์",OR(U305="M2",U305="K4"),X305&gt;=2,W305&lt;Q305),EDATE(W305,12*2),AND(AI305="K5-LAW",AH305="นิติศาสตร์",U305="S1",X305&gt;=1,W305&lt;Q305),EDATE(W305,12),AND(AI305="K5-LAW",AH305="นิติศาสตร์",OR(U305="S2",U305="K5")),W305,AND(AI305="K5-LAW",AH305="นิติศาสตร์",OR(L305="M2",L305="K4"),R305&gt;=2),EDATE(Q305,12*2),AND(AI305="K5-LAW",AH305="นิติศาสตร์",L305="S1",R305&gt;=1),EDATE(Q305,12),AND(AI305="K5-LAW",AH305="นิติศาสตร์",OR(L305="S2",L305="K5")),Q305,AND(AI305="K5-POLICY",AH305&lt;&gt;"นิติศาสตร์",L305="S2",U305="",AA305=""),Q305,AND(AI305="K5-POLICY",AH305&lt;&gt;"นิติศาสตร์",L305="S1",U305="",AA305=""),EDATE(Q305,12),AND(AI305="K5-POLICY",AH305&lt;&gt;"นิติศาสตร์",OR(L305="M2",L305="K4"),U305="",AA305=""),EDATE(Q305,12*2),AND(AI305="K5-POLICY",AH305&lt;&gt;"นิติศาสตร์",OR(AA305="M2",AA305="K4"),AD305&gt;=2,OR(AC305&lt;W305,AC305&lt;Q305)),EDATE(AC305,12*2),AND(AI305="K5-POLICY",AH305&lt;&gt;"นิติศาสตร์",AA305="S1",AD305&gt;=1,OR(AC305&lt;W305,AC305&lt;Q305)),EDATE(AC305,12),AND(AI305="K5-POLICY",AH305&lt;&gt;"นิติศาสตร์",OR(U305="M2",U305="K4"),X305&gt;=2,W305&lt;Q305),EDATE(W305,12*2),AND(AI305="K5-POLICY",AH305&lt;&gt;"นิติศาสตร์",U305="S1",X305&gt;=1,W305&lt;Q305),EDATE(W305,12),AND(AI305="K5-POLICY",AH305&lt;&gt;"นิติศาสตร์",OR(U305="S2",U305="K5")),W305,AND(AI305="K5-POLICY",AH305&lt;&gt;"นิติศาสตร์",OR(L305="M2",L305="K4"),R305&gt;=2),EDATE(Q305,12*2),AND(AI305="K5-POLICY",AH305&lt;&gt;"นิติศาสตร์",L305="S1",R305&gt;=1),EDATE(Q305,12),AND(AI305="K5-POLICY",AH305&lt;&gt;"นิติศาสตร์",OR(L305="S2",L305="K5")),Q305,TRUE,"Check Data")</f>
        <v/>
      </c>
      <c r="AK305" s="75" t="str">
        <f t="shared" si="104"/>
        <v>Check Data</v>
      </c>
      <c r="AL305" s="76" t="str">
        <f t="shared" si="92"/>
        <v>Check Data</v>
      </c>
      <c r="AM305" s="50" t="str">
        <f t="shared" si="105"/>
        <v>Check Data</v>
      </c>
      <c r="AN305" s="49" t="str">
        <f>IF(B305="","",IF(L305="S1","S1",INDEX(#REF!,#REF!)))</f>
        <v/>
      </c>
      <c r="AO305" s="49" t="str">
        <f t="shared" si="106"/>
        <v>K4</v>
      </c>
      <c r="AP305" s="50" t="b">
        <f>L305=AN305</f>
        <v>0</v>
      </c>
    </row>
    <row r="306" spans="1:42" ht="21.75">
      <c r="A306" s="49">
        <v>304</v>
      </c>
      <c r="B306" s="50"/>
      <c r="C306" s="50"/>
      <c r="D306" s="50" t="s">
        <v>144</v>
      </c>
      <c r="E306" s="50" t="e">
        <f>INDEX(#REF!,#REF!)</f>
        <v>#REF!</v>
      </c>
      <c r="F306" s="49" t="s">
        <v>286</v>
      </c>
      <c r="G306" s="49" t="str">
        <f t="shared" si="107"/>
        <v>22/11/1999</v>
      </c>
      <c r="H306" s="50">
        <f t="shared" si="89"/>
        <v>25</v>
      </c>
      <c r="I306" s="50">
        <f t="shared" si="90"/>
        <v>6</v>
      </c>
      <c r="J306" s="50">
        <f t="shared" si="91"/>
        <v>29</v>
      </c>
      <c r="K306" s="50"/>
      <c r="L306" s="49" t="s">
        <v>137</v>
      </c>
      <c r="M306" s="64"/>
      <c r="N306" s="49"/>
      <c r="O306" s="49"/>
      <c r="P306" s="65" t="s">
        <v>412</v>
      </c>
      <c r="Q306" s="49" t="str">
        <f t="shared" si="98"/>
        <v>22/05/2020</v>
      </c>
      <c r="R306" s="68">
        <f>IF(Q306="",0,DATEDIF(Q306,$C$1,"Y"))</f>
        <v>5</v>
      </c>
      <c r="S306" s="68">
        <f>IF(Q306="",0,DATEDIF(Q306,$C$1,"YM"))</f>
        <v>0</v>
      </c>
      <c r="T306" s="68">
        <f>IF(Q306="",0,DATEDIF(Q306,$C$1,"MD"))</f>
        <v>29</v>
      </c>
      <c r="U306" s="65"/>
      <c r="V306" s="65"/>
      <c r="W306" s="49" t="str">
        <f t="shared" si="99"/>
        <v/>
      </c>
      <c r="X306" s="68">
        <f>IF(W306="",0,DATEDIF(W306,Q306,"Y"))</f>
        <v>0</v>
      </c>
      <c r="Y306" s="68">
        <f>IF(W306="",0,DATEDIF(W306,Q306,"YM"))</f>
        <v>0</v>
      </c>
      <c r="Z306" s="68">
        <f>IF(W306="",0,DATEDIF(W306,Q306,"MD"))</f>
        <v>0</v>
      </c>
      <c r="AA306" s="49"/>
      <c r="AB306" s="65"/>
      <c r="AC306" s="50" t="str">
        <f t="shared" si="100"/>
        <v/>
      </c>
      <c r="AD306" s="68">
        <f t="shared" si="101"/>
        <v>0</v>
      </c>
      <c r="AE306" s="68">
        <f t="shared" si="102"/>
        <v>0</v>
      </c>
      <c r="AF306" s="68">
        <f t="shared" si="103"/>
        <v>0</v>
      </c>
      <c r="AG306" s="50"/>
      <c r="AH306" s="108" t="s">
        <v>528</v>
      </c>
      <c r="AI306" s="49" t="str">
        <f>IF(AH306="นิติศาสตร์","K5-LAW","K5-POLICY")</f>
        <v>K5-POLICY</v>
      </c>
      <c r="AJ306" s="72" t="str">
        <f>_xlfn.IFS(B306="","",AND(AI306="K5-LAW",AH306="นิติศาสตร์",L306="S2",U306="",AA306=""),Q306,AND(AI306="K5-LAW",AH306="นิติศาสตร์",L306="S1",U306="",AA306=""),EDATE(Q306,12),AND(AI306="K5-LAW",AH306="นิติศาสตร์",OR(L306="M2",L306="K4"),U306="",AA306=""),EDATE(Q306,12*2),AND(AI306="K5-LAW",AH306="นิติศาสตร์",OR(AA306="M2",AA306="K4"),AD306&gt;=2,OR(AC306&lt;W306,AC306&lt;Q306)),EDATE(AC306,12*2),AND(AI306="K5-LAW",AH306="นิติศาสตร์",AA306="S1",AD306&gt;=1,OR(AC306&lt;W306,AC306&lt;Q306)),EDATE(AC306,12),AND(AI306="K5-LAW",AH306="นิติศาสตร์",OR(U306="M2",U306="K4"),X306&gt;=2,W306&lt;Q306),EDATE(W306,12*2),AND(AI306="K5-LAW",AH306="นิติศาสตร์",U306="S1",X306&gt;=1,W306&lt;Q306),EDATE(W306,12),AND(AI306="K5-LAW",AH306="นิติศาสตร์",OR(U306="S2",U306="K5")),W306,AND(AI306="K5-LAW",AH306="นิติศาสตร์",OR(L306="M2",L306="K4"),R306&gt;=2),EDATE(Q306,12*2),AND(AI306="K5-LAW",AH306="นิติศาสตร์",L306="S1",R306&gt;=1),EDATE(Q306,12),AND(AI306="K5-LAW",AH306="นิติศาสตร์",OR(L306="S2",L306="K5")),Q306,AND(AI306="K5-POLICY",AH306&lt;&gt;"นิติศาสตร์",L306="S2",U306="",AA306=""),Q306,AND(AI306="K5-POLICY",AH306&lt;&gt;"นิติศาสตร์",L306="S1",U306="",AA306=""),EDATE(Q306,12),AND(AI306="K5-POLICY",AH306&lt;&gt;"นิติศาสตร์",OR(L306="M2",L306="K4"),U306="",AA306=""),EDATE(Q306,12*2),AND(AI306="K5-POLICY",AH306&lt;&gt;"นิติศาสตร์",OR(AA306="M2",AA306="K4"),AD306&gt;=2,OR(AC306&lt;W306,AC306&lt;Q306)),EDATE(AC306,12*2),AND(AI306="K5-POLICY",AH306&lt;&gt;"นิติศาสตร์",AA306="S1",AD306&gt;=1,OR(AC306&lt;W306,AC306&lt;Q306)),EDATE(AC306,12),AND(AI306="K5-POLICY",AH306&lt;&gt;"นิติศาสตร์",OR(U306="M2",U306="K4"),X306&gt;=2,W306&lt;Q306),EDATE(W306,12*2),AND(AI306="K5-POLICY",AH306&lt;&gt;"นิติศาสตร์",U306="S1",X306&gt;=1,W306&lt;Q306),EDATE(W306,12),AND(AI306="K5-POLICY",AH306&lt;&gt;"นิติศาสตร์",OR(U306="S2",U306="K5")),W306,AND(AI306="K5-POLICY",AH306&lt;&gt;"นิติศาสตร์",OR(L306="M2",L306="K4"),R306&gt;=2),EDATE(Q306,12*2),AND(AI306="K5-POLICY",AH306&lt;&gt;"นิติศาสตร์",L306="S1",R306&gt;=1),EDATE(Q306,12),AND(AI306="K5-POLICY",AH306&lt;&gt;"นิติศาสตร์",OR(L306="S2",L306="K5")),Q306,TRUE,"Check Data")</f>
        <v/>
      </c>
      <c r="AK306" s="75" t="str">
        <f t="shared" si="104"/>
        <v>Check Data</v>
      </c>
      <c r="AL306" s="76" t="str">
        <f t="shared" si="92"/>
        <v>Check Data</v>
      </c>
      <c r="AM306" s="50" t="str">
        <f t="shared" si="105"/>
        <v>Check Data</v>
      </c>
      <c r="AN306" s="49" t="str">
        <f>IF(B306="","",IF(L306="S1","S1",INDEX(#REF!,#REF!)))</f>
        <v/>
      </c>
      <c r="AO306" s="49" t="str">
        <f t="shared" si="106"/>
        <v>K4</v>
      </c>
      <c r="AP306" s="50" t="b">
        <f>L306=AN306</f>
        <v>0</v>
      </c>
    </row>
    <row r="307" spans="1:42" ht="21.75">
      <c r="A307" s="49">
        <v>305</v>
      </c>
      <c r="B307" s="50"/>
      <c r="C307" s="50"/>
      <c r="D307" s="50" t="s">
        <v>143</v>
      </c>
      <c r="E307" s="50" t="e">
        <f>INDEX(#REF!,#REF!)</f>
        <v>#REF!</v>
      </c>
      <c r="F307" s="49" t="s">
        <v>164</v>
      </c>
      <c r="G307" s="49" t="str">
        <f t="shared" si="107"/>
        <v>01/05/1990</v>
      </c>
      <c r="H307" s="50">
        <f t="shared" si="89"/>
        <v>35</v>
      </c>
      <c r="I307" s="50">
        <f t="shared" si="90"/>
        <v>1</v>
      </c>
      <c r="J307" s="50">
        <f t="shared" si="91"/>
        <v>19</v>
      </c>
      <c r="K307" s="50"/>
      <c r="L307" s="49" t="s">
        <v>137</v>
      </c>
      <c r="M307" s="64"/>
      <c r="N307" s="49"/>
      <c r="O307" s="49"/>
      <c r="P307" s="65" t="s">
        <v>407</v>
      </c>
      <c r="Q307" s="49" t="str">
        <f t="shared" si="98"/>
        <v>22/06/2020</v>
      </c>
      <c r="R307" s="68">
        <f>IF(Q307="",0,DATEDIF(Q307,$C$1,"Y"))</f>
        <v>4</v>
      </c>
      <c r="S307" s="68">
        <f>IF(Q307="",0,DATEDIF(Q307,$C$1,"YM"))</f>
        <v>11</v>
      </c>
      <c r="T307" s="68">
        <f>IF(Q307="",0,DATEDIF(Q307,$C$1,"MD"))</f>
        <v>29</v>
      </c>
      <c r="U307" s="65"/>
      <c r="V307" s="65"/>
      <c r="W307" s="49" t="str">
        <f t="shared" si="99"/>
        <v/>
      </c>
      <c r="X307" s="68">
        <f>IF(W307="",0,DATEDIF(W307,Q307,"Y"))</f>
        <v>0</v>
      </c>
      <c r="Y307" s="68">
        <f>IF(W307="",0,DATEDIF(W307,Q307,"YM"))</f>
        <v>0</v>
      </c>
      <c r="Z307" s="68">
        <f>IF(W307="",0,DATEDIF(W307,Q307,"MD"))</f>
        <v>0</v>
      </c>
      <c r="AA307" s="49"/>
      <c r="AB307" s="65"/>
      <c r="AC307" s="50" t="str">
        <f t="shared" si="100"/>
        <v/>
      </c>
      <c r="AD307" s="68">
        <f t="shared" si="101"/>
        <v>0</v>
      </c>
      <c r="AE307" s="68">
        <f t="shared" si="102"/>
        <v>0</v>
      </c>
      <c r="AF307" s="68">
        <f t="shared" si="103"/>
        <v>0</v>
      </c>
      <c r="AG307" s="50"/>
      <c r="AH307" s="108" t="s">
        <v>529</v>
      </c>
      <c r="AI307" s="49" t="str">
        <f>IF(AH307="นิติศาสตร์","K5-LAW","K5-POLICY")</f>
        <v>K5-POLICY</v>
      </c>
      <c r="AJ307" s="72" t="str">
        <f>_xlfn.IFS(B307="","",AND(AI307="K5-LAW",AH307="นิติศาสตร์",L307="S2",U307="",AA307=""),Q307,AND(AI307="K5-LAW",AH307="นิติศาสตร์",L307="S1",U307="",AA307=""),EDATE(Q307,12),AND(AI307="K5-LAW",AH307="นิติศาสตร์",OR(L307="M2",L307="K4"),U307="",AA307=""),EDATE(Q307,12*2),AND(AI307="K5-LAW",AH307="นิติศาสตร์",OR(AA307="M2",AA307="K4"),AD307&gt;=2,OR(AC307&lt;W307,AC307&lt;Q307)),EDATE(AC307,12*2),AND(AI307="K5-LAW",AH307="นิติศาสตร์",AA307="S1",AD307&gt;=1,OR(AC307&lt;W307,AC307&lt;Q307)),EDATE(AC307,12),AND(AI307="K5-LAW",AH307="นิติศาสตร์",OR(U307="M2",U307="K4"),X307&gt;=2,W307&lt;Q307),EDATE(W307,12*2),AND(AI307="K5-LAW",AH307="นิติศาสตร์",U307="S1",X307&gt;=1,W307&lt;Q307),EDATE(W307,12),AND(AI307="K5-LAW",AH307="นิติศาสตร์",OR(U307="S2",U307="K5")),W307,AND(AI307="K5-LAW",AH307="นิติศาสตร์",OR(L307="M2",L307="K4"),R307&gt;=2),EDATE(Q307,12*2),AND(AI307="K5-LAW",AH307="นิติศาสตร์",L307="S1",R307&gt;=1),EDATE(Q307,12),AND(AI307="K5-LAW",AH307="นิติศาสตร์",OR(L307="S2",L307="K5")),Q307,AND(AI307="K5-POLICY",AH307&lt;&gt;"นิติศาสตร์",L307="S2",U307="",AA307=""),Q307,AND(AI307="K5-POLICY",AH307&lt;&gt;"นิติศาสตร์",L307="S1",U307="",AA307=""),EDATE(Q307,12),AND(AI307="K5-POLICY",AH307&lt;&gt;"นิติศาสตร์",OR(L307="M2",L307="K4"),U307="",AA307=""),EDATE(Q307,12*2),AND(AI307="K5-POLICY",AH307&lt;&gt;"นิติศาสตร์",OR(AA307="M2",AA307="K4"),AD307&gt;=2,OR(AC307&lt;W307,AC307&lt;Q307)),EDATE(AC307,12*2),AND(AI307="K5-POLICY",AH307&lt;&gt;"นิติศาสตร์",AA307="S1",AD307&gt;=1,OR(AC307&lt;W307,AC307&lt;Q307)),EDATE(AC307,12),AND(AI307="K5-POLICY",AH307&lt;&gt;"นิติศาสตร์",OR(U307="M2",U307="K4"),X307&gt;=2,W307&lt;Q307),EDATE(W307,12*2),AND(AI307="K5-POLICY",AH307&lt;&gt;"นิติศาสตร์",U307="S1",X307&gt;=1,W307&lt;Q307),EDATE(W307,12),AND(AI307="K5-POLICY",AH307&lt;&gt;"นิติศาสตร์",OR(U307="S2",U307="K5")),W307,AND(AI307="K5-POLICY",AH307&lt;&gt;"นิติศาสตร์",OR(L307="M2",L307="K4"),R307&gt;=2),EDATE(Q307,12*2),AND(AI307="K5-POLICY",AH307&lt;&gt;"นิติศาสตร์",L307="S1",R307&gt;=1),EDATE(Q307,12),AND(AI307="K5-POLICY",AH307&lt;&gt;"นิติศาสตร์",OR(L307="S2",L307="K5")),Q307,TRUE,"Check Data")</f>
        <v/>
      </c>
      <c r="AK307" s="75" t="str">
        <f t="shared" si="104"/>
        <v>Check Data</v>
      </c>
      <c r="AL307" s="76" t="str">
        <f t="shared" si="92"/>
        <v>Check Data</v>
      </c>
      <c r="AM307" s="50" t="str">
        <f t="shared" si="105"/>
        <v>Check Data</v>
      </c>
      <c r="AN307" s="49" t="str">
        <f>IF(B307="","",IF(L307="S1","S1",INDEX(#REF!,#REF!)))</f>
        <v/>
      </c>
      <c r="AO307" s="49" t="str">
        <f t="shared" si="106"/>
        <v>K4</v>
      </c>
      <c r="AP307" s="50" t="b">
        <f>L307=AN307</f>
        <v>0</v>
      </c>
    </row>
    <row r="308" spans="1:42" ht="21.75">
      <c r="A308" s="49">
        <v>306</v>
      </c>
      <c r="B308" s="50"/>
      <c r="C308" s="50"/>
      <c r="D308" s="50" t="s">
        <v>144</v>
      </c>
      <c r="E308" s="50" t="e">
        <f>INDEX(#REF!,#REF!)</f>
        <v>#REF!</v>
      </c>
      <c r="F308" s="49" t="s">
        <v>262</v>
      </c>
      <c r="G308" s="49" t="str">
        <f t="shared" si="107"/>
        <v>11/04/1996</v>
      </c>
      <c r="H308" s="50">
        <f t="shared" si="89"/>
        <v>29</v>
      </c>
      <c r="I308" s="50">
        <f t="shared" si="90"/>
        <v>2</v>
      </c>
      <c r="J308" s="50">
        <f t="shared" si="91"/>
        <v>9</v>
      </c>
      <c r="K308" s="50"/>
      <c r="L308" s="49" t="s">
        <v>137</v>
      </c>
      <c r="M308" s="64"/>
      <c r="N308" s="49"/>
      <c r="O308" s="49"/>
      <c r="P308" s="65" t="s">
        <v>445</v>
      </c>
      <c r="Q308" s="49" t="str">
        <f t="shared" si="98"/>
        <v>24/09/2020</v>
      </c>
      <c r="R308" s="68">
        <f>IF(Q308="",0,DATEDIF(Q308,$C$1,"Y"))</f>
        <v>4</v>
      </c>
      <c r="S308" s="68">
        <f>IF(Q308="",0,DATEDIF(Q308,$C$1,"YM"))</f>
        <v>8</v>
      </c>
      <c r="T308" s="68">
        <f>IF(Q308="",0,DATEDIF(Q308,$C$1,"MD"))</f>
        <v>27</v>
      </c>
      <c r="U308" s="65"/>
      <c r="V308" s="65"/>
      <c r="W308" s="49" t="str">
        <f t="shared" si="99"/>
        <v/>
      </c>
      <c r="X308" s="68">
        <f>IF(W308="",0,DATEDIF(W308,Q308,"Y"))</f>
        <v>0</v>
      </c>
      <c r="Y308" s="68">
        <f>IF(W308="",0,DATEDIF(W308,Q308,"YM"))</f>
        <v>0</v>
      </c>
      <c r="Z308" s="68">
        <f>IF(W308="",0,DATEDIF(W308,Q308,"MD"))</f>
        <v>0</v>
      </c>
      <c r="AA308" s="49"/>
      <c r="AB308" s="65"/>
      <c r="AC308" s="50" t="str">
        <f t="shared" si="100"/>
        <v/>
      </c>
      <c r="AD308" s="68">
        <f t="shared" si="101"/>
        <v>0</v>
      </c>
      <c r="AE308" s="68">
        <f t="shared" si="102"/>
        <v>0</v>
      </c>
      <c r="AF308" s="68">
        <f t="shared" si="103"/>
        <v>0</v>
      </c>
      <c r="AG308" s="50"/>
      <c r="AH308" s="108" t="s">
        <v>163</v>
      </c>
      <c r="AI308" s="49" t="str">
        <f>IF(AH308="นิติศาสตร์","K5-LAW","K5-POLICY")</f>
        <v>K5-POLICY</v>
      </c>
      <c r="AJ308" s="72" t="str">
        <f>_xlfn.IFS(B308="","",AND(AI308="K5-LAW",AH308="นิติศาสตร์",L308="S2",U308="",AA308=""),Q308,AND(AI308="K5-LAW",AH308="นิติศาสตร์",L308="S1",U308="",AA308=""),EDATE(Q308,12),AND(AI308="K5-LAW",AH308="นิติศาสตร์",OR(L308="M2",L308="K4"),U308="",AA308=""),EDATE(Q308,12*2),AND(AI308="K5-LAW",AH308="นิติศาสตร์",OR(AA308="M2",AA308="K4"),AD308&gt;=2,OR(AC308&lt;W308,AC308&lt;Q308)),EDATE(AC308,12*2),AND(AI308="K5-LAW",AH308="นิติศาสตร์",AA308="S1",AD308&gt;=1,OR(AC308&lt;W308,AC308&lt;Q308)),EDATE(AC308,12),AND(AI308="K5-LAW",AH308="นิติศาสตร์",OR(U308="M2",U308="K4"),X308&gt;=2,W308&lt;Q308),EDATE(W308,12*2),AND(AI308="K5-LAW",AH308="นิติศาสตร์",U308="S1",X308&gt;=1,W308&lt;Q308),EDATE(W308,12),AND(AI308="K5-LAW",AH308="นิติศาสตร์",OR(U308="S2",U308="K5")),W308,AND(AI308="K5-LAW",AH308="นิติศาสตร์",OR(L308="M2",L308="K4"),R308&gt;=2),EDATE(Q308,12*2),AND(AI308="K5-LAW",AH308="นิติศาสตร์",L308="S1",R308&gt;=1),EDATE(Q308,12),AND(AI308="K5-LAW",AH308="นิติศาสตร์",OR(L308="S2",L308="K5")),Q308,AND(AI308="K5-POLICY",AH308&lt;&gt;"นิติศาสตร์",L308="S2",U308="",AA308=""),Q308,AND(AI308="K5-POLICY",AH308&lt;&gt;"นิติศาสตร์",L308="S1",U308="",AA308=""),EDATE(Q308,12),AND(AI308="K5-POLICY",AH308&lt;&gt;"นิติศาสตร์",OR(L308="M2",L308="K4"),U308="",AA308=""),EDATE(Q308,12*2),AND(AI308="K5-POLICY",AH308&lt;&gt;"นิติศาสตร์",OR(AA308="M2",AA308="K4"),AD308&gt;=2,OR(AC308&lt;W308,AC308&lt;Q308)),EDATE(AC308,12*2),AND(AI308="K5-POLICY",AH308&lt;&gt;"นิติศาสตร์",AA308="S1",AD308&gt;=1,OR(AC308&lt;W308,AC308&lt;Q308)),EDATE(AC308,12),AND(AI308="K5-POLICY",AH308&lt;&gt;"นิติศาสตร์",OR(U308="M2",U308="K4"),X308&gt;=2,W308&lt;Q308),EDATE(W308,12*2),AND(AI308="K5-POLICY",AH308&lt;&gt;"นิติศาสตร์",U308="S1",X308&gt;=1,W308&lt;Q308),EDATE(W308,12),AND(AI308="K5-POLICY",AH308&lt;&gt;"นิติศาสตร์",OR(U308="S2",U308="K5")),W308,AND(AI308="K5-POLICY",AH308&lt;&gt;"นิติศาสตร์",OR(L308="M2",L308="K4"),R308&gt;=2),EDATE(Q308,12*2),AND(AI308="K5-POLICY",AH308&lt;&gt;"นิติศาสตร์",L308="S1",R308&gt;=1),EDATE(Q308,12),AND(AI308="K5-POLICY",AH308&lt;&gt;"นิติศาสตร์",OR(L308="S2",L308="K5")),Q308,TRUE,"Check Data")</f>
        <v/>
      </c>
      <c r="AK308" s="75" t="str">
        <f t="shared" si="104"/>
        <v>Check Data</v>
      </c>
      <c r="AL308" s="76" t="str">
        <f t="shared" si="92"/>
        <v>Check Data</v>
      </c>
      <c r="AM308" s="50" t="str">
        <f t="shared" si="105"/>
        <v>Check Data</v>
      </c>
      <c r="AN308" s="49" t="str">
        <f>IF(B308="","",IF(L308="S1","S1",INDEX(#REF!,#REF!)))</f>
        <v/>
      </c>
      <c r="AO308" s="49" t="str">
        <f t="shared" si="106"/>
        <v>K4</v>
      </c>
      <c r="AP308" s="50" t="b">
        <f>L308=AN308</f>
        <v>0</v>
      </c>
    </row>
    <row r="309" spans="1:42" ht="21.75">
      <c r="A309" s="49">
        <v>307</v>
      </c>
      <c r="B309" s="50"/>
      <c r="C309" s="50"/>
      <c r="D309" s="50" t="s">
        <v>146</v>
      </c>
      <c r="E309" s="50" t="e">
        <f>INDEX(#REF!,#REF!)</f>
        <v>#REF!</v>
      </c>
      <c r="F309" s="49" t="s">
        <v>317</v>
      </c>
      <c r="G309" s="49" t="str">
        <f t="shared" si="107"/>
        <v>01/05/1998</v>
      </c>
      <c r="H309" s="50">
        <f t="shared" si="89"/>
        <v>27</v>
      </c>
      <c r="I309" s="50">
        <f t="shared" si="90"/>
        <v>1</v>
      </c>
      <c r="J309" s="50">
        <f t="shared" si="91"/>
        <v>19</v>
      </c>
      <c r="K309" s="50"/>
      <c r="L309" s="49" t="s">
        <v>137</v>
      </c>
      <c r="M309" s="64"/>
      <c r="N309" s="49"/>
      <c r="O309" s="49"/>
      <c r="P309" s="65" t="s">
        <v>421</v>
      </c>
      <c r="Q309" s="49" t="str">
        <f t="shared" si="98"/>
        <v>02/06/2021</v>
      </c>
      <c r="R309" s="68">
        <f>IF(Q309="",0,DATEDIF(Q309,$C$1,"Y"))</f>
        <v>4</v>
      </c>
      <c r="S309" s="68">
        <f>IF(Q309="",0,DATEDIF(Q309,$C$1,"YM"))</f>
        <v>0</v>
      </c>
      <c r="T309" s="68">
        <f>IF(Q309="",0,DATEDIF(Q309,$C$1,"MD"))</f>
        <v>18</v>
      </c>
      <c r="U309" s="65"/>
      <c r="V309" s="65"/>
      <c r="W309" s="49" t="str">
        <f t="shared" si="99"/>
        <v/>
      </c>
      <c r="X309" s="68">
        <f>IF(W309="",0,DATEDIF(W309,Q309,"Y"))</f>
        <v>0</v>
      </c>
      <c r="Y309" s="68">
        <f>IF(W309="",0,DATEDIF(W309,Q309,"YM"))</f>
        <v>0</v>
      </c>
      <c r="Z309" s="68">
        <f>IF(W309="",0,DATEDIF(W309,Q309,"MD"))</f>
        <v>0</v>
      </c>
      <c r="AA309" s="49"/>
      <c r="AB309" s="65"/>
      <c r="AC309" s="50" t="str">
        <f t="shared" si="100"/>
        <v/>
      </c>
      <c r="AD309" s="68">
        <f t="shared" si="101"/>
        <v>0</v>
      </c>
      <c r="AE309" s="68">
        <f t="shared" si="102"/>
        <v>0</v>
      </c>
      <c r="AF309" s="68">
        <f t="shared" si="103"/>
        <v>0</v>
      </c>
      <c r="AG309" s="50"/>
      <c r="AH309" s="108" t="s">
        <v>520</v>
      </c>
      <c r="AI309" s="49" t="str">
        <f>IF(AH309="นิติศาสตร์","K5-LAW","K5-POLICY")</f>
        <v>K5-POLICY</v>
      </c>
      <c r="AJ309" s="72" t="str">
        <f>_xlfn.IFS(B309="","",AND(AI309="K5-LAW",AH309="นิติศาสตร์",L309="S2",U309="",AA309=""),Q309,AND(AI309="K5-LAW",AH309="นิติศาสตร์",L309="S1",U309="",AA309=""),EDATE(Q309,12),AND(AI309="K5-LAW",AH309="นิติศาสตร์",OR(L309="M2",L309="K4"),U309="",AA309=""),EDATE(Q309,12*2),AND(AI309="K5-LAW",AH309="นิติศาสตร์",OR(AA309="M2",AA309="K4"),AD309&gt;=2,OR(AC309&lt;W309,AC309&lt;Q309)),EDATE(AC309,12*2),AND(AI309="K5-LAW",AH309="นิติศาสตร์",AA309="S1",AD309&gt;=1,OR(AC309&lt;W309,AC309&lt;Q309)),EDATE(AC309,12),AND(AI309="K5-LAW",AH309="นิติศาสตร์",OR(U309="M2",U309="K4"),X309&gt;=2,W309&lt;Q309),EDATE(W309,12*2),AND(AI309="K5-LAW",AH309="นิติศาสตร์",U309="S1",X309&gt;=1,W309&lt;Q309),EDATE(W309,12),AND(AI309="K5-LAW",AH309="นิติศาสตร์",OR(U309="S2",U309="K5")),W309,AND(AI309="K5-LAW",AH309="นิติศาสตร์",OR(L309="M2",L309="K4"),R309&gt;=2),EDATE(Q309,12*2),AND(AI309="K5-LAW",AH309="นิติศาสตร์",L309="S1",R309&gt;=1),EDATE(Q309,12),AND(AI309="K5-LAW",AH309="นิติศาสตร์",OR(L309="S2",L309="K5")),Q309,AND(AI309="K5-POLICY",AH309&lt;&gt;"นิติศาสตร์",L309="S2",U309="",AA309=""),Q309,AND(AI309="K5-POLICY",AH309&lt;&gt;"นิติศาสตร์",L309="S1",U309="",AA309=""),EDATE(Q309,12),AND(AI309="K5-POLICY",AH309&lt;&gt;"นิติศาสตร์",OR(L309="M2",L309="K4"),U309="",AA309=""),EDATE(Q309,12*2),AND(AI309="K5-POLICY",AH309&lt;&gt;"นิติศาสตร์",OR(AA309="M2",AA309="K4"),AD309&gt;=2,OR(AC309&lt;W309,AC309&lt;Q309)),EDATE(AC309,12*2),AND(AI309="K5-POLICY",AH309&lt;&gt;"นิติศาสตร์",AA309="S1",AD309&gt;=1,OR(AC309&lt;W309,AC309&lt;Q309)),EDATE(AC309,12),AND(AI309="K5-POLICY",AH309&lt;&gt;"นิติศาสตร์",OR(U309="M2",U309="K4"),X309&gt;=2,W309&lt;Q309),EDATE(W309,12*2),AND(AI309="K5-POLICY",AH309&lt;&gt;"นิติศาสตร์",U309="S1",X309&gt;=1,W309&lt;Q309),EDATE(W309,12),AND(AI309="K5-POLICY",AH309&lt;&gt;"นิติศาสตร์",OR(U309="S2",U309="K5")),W309,AND(AI309="K5-POLICY",AH309&lt;&gt;"นิติศาสตร์",OR(L309="M2",L309="K4"),R309&gt;=2),EDATE(Q309,12*2),AND(AI309="K5-POLICY",AH309&lt;&gt;"นิติศาสตร์",L309="S1",R309&gt;=1),EDATE(Q309,12),AND(AI309="K5-POLICY",AH309&lt;&gt;"นิติศาสตร์",OR(L309="S2",L309="K5")),Q309,TRUE,"Check Data")</f>
        <v/>
      </c>
      <c r="AK309" s="75" t="str">
        <f t="shared" si="104"/>
        <v>Check Data</v>
      </c>
      <c r="AL309" s="76" t="str">
        <f t="shared" si="92"/>
        <v>Check Data</v>
      </c>
      <c r="AM309" s="50" t="str">
        <f t="shared" si="105"/>
        <v>Check Data</v>
      </c>
      <c r="AN309" s="49" t="str">
        <f>IF(B309="","",IF(L309="S1","S1",INDEX(#REF!,#REF!)))</f>
        <v/>
      </c>
      <c r="AO309" s="49" t="str">
        <f t="shared" si="106"/>
        <v>K4</v>
      </c>
      <c r="AP309" s="50" t="b">
        <f>L309=AN309</f>
        <v>0</v>
      </c>
    </row>
    <row r="310" spans="1:42" ht="21.75">
      <c r="A310" s="49">
        <v>308</v>
      </c>
      <c r="B310" s="50"/>
      <c r="C310" s="50"/>
      <c r="D310" s="50" t="s">
        <v>141</v>
      </c>
      <c r="E310" s="50" t="e">
        <f>INDEX(#REF!,#REF!)</f>
        <v>#REF!</v>
      </c>
      <c r="F310" s="49" t="s">
        <v>268</v>
      </c>
      <c r="G310" s="49" t="str">
        <f t="shared" si="107"/>
        <v>21/12/1987</v>
      </c>
      <c r="H310" s="50">
        <f t="shared" si="89"/>
        <v>37</v>
      </c>
      <c r="I310" s="50">
        <f t="shared" si="90"/>
        <v>5</v>
      </c>
      <c r="J310" s="50">
        <f t="shared" si="91"/>
        <v>30</v>
      </c>
      <c r="K310" s="50"/>
      <c r="L310" s="49" t="s">
        <v>137</v>
      </c>
      <c r="M310" s="64"/>
      <c r="N310" s="49"/>
      <c r="O310" s="49"/>
      <c r="P310" s="65" t="s">
        <v>403</v>
      </c>
      <c r="Q310" s="49" t="str">
        <f t="shared" si="98"/>
        <v>27/09/2021</v>
      </c>
      <c r="R310" s="68">
        <f>IF(Q310="",0,DATEDIF(Q310,$C$1,"Y"))</f>
        <v>3</v>
      </c>
      <c r="S310" s="68">
        <f>IF(Q310="",0,DATEDIF(Q310,$C$1,"YM"))</f>
        <v>8</v>
      </c>
      <c r="T310" s="68">
        <f>IF(Q310="",0,DATEDIF(Q310,$C$1,"MD"))</f>
        <v>24</v>
      </c>
      <c r="U310" s="65"/>
      <c r="V310" s="65"/>
      <c r="W310" s="49" t="str">
        <f t="shared" si="99"/>
        <v/>
      </c>
      <c r="X310" s="68">
        <f>IF(W310="",0,DATEDIF(W310,Q310,"Y"))</f>
        <v>0</v>
      </c>
      <c r="Y310" s="68">
        <f>IF(W310="",0,DATEDIF(W310,Q310,"YM"))</f>
        <v>0</v>
      </c>
      <c r="Z310" s="68">
        <f>IF(W310="",0,DATEDIF(W310,Q310,"MD"))</f>
        <v>0</v>
      </c>
      <c r="AA310" s="49"/>
      <c r="AB310" s="65"/>
      <c r="AC310" s="50" t="str">
        <f t="shared" si="100"/>
        <v/>
      </c>
      <c r="AD310" s="68">
        <f t="shared" si="101"/>
        <v>0</v>
      </c>
      <c r="AE310" s="68">
        <f t="shared" si="102"/>
        <v>0</v>
      </c>
      <c r="AF310" s="68">
        <f t="shared" si="103"/>
        <v>0</v>
      </c>
      <c r="AG310" s="50"/>
      <c r="AH310" s="108" t="s">
        <v>138</v>
      </c>
      <c r="AI310" s="49" t="str">
        <f>IF(AH310="นิติศาสตร์","K5-LAW","K5-POLICY")</f>
        <v>K5-LAW</v>
      </c>
      <c r="AJ310" s="72" t="str">
        <f>_xlfn.IFS(B310="","",AND(AI310="K5-LAW",AH310="นิติศาสตร์",L310="S2",U310="",AA310=""),Q310,AND(AI310="K5-LAW",AH310="นิติศาสตร์",L310="S1",U310="",AA310=""),EDATE(Q310,12),AND(AI310="K5-LAW",AH310="นิติศาสตร์",OR(L310="M2",L310="K4"),U310="",AA310=""),EDATE(Q310,12*2),AND(AI310="K5-LAW",AH310="นิติศาสตร์",OR(AA310="M2",AA310="K4"),AD310&gt;=2,OR(AC310&lt;W310,AC310&lt;Q310)),EDATE(AC310,12*2),AND(AI310="K5-LAW",AH310="นิติศาสตร์",AA310="S1",AD310&gt;=1,OR(AC310&lt;W310,AC310&lt;Q310)),EDATE(AC310,12),AND(AI310="K5-LAW",AH310="นิติศาสตร์",OR(U310="M2",U310="K4"),X310&gt;=2,W310&lt;Q310),EDATE(W310,12*2),AND(AI310="K5-LAW",AH310="นิติศาสตร์",U310="S1",X310&gt;=1,W310&lt;Q310),EDATE(W310,12),AND(AI310="K5-LAW",AH310="นิติศาสตร์",OR(U310="S2",U310="K5")),W310,AND(AI310="K5-LAW",AH310="นิติศาสตร์",OR(L310="M2",L310="K4"),R310&gt;=2),EDATE(Q310,12*2),AND(AI310="K5-LAW",AH310="นิติศาสตร์",L310="S1",R310&gt;=1),EDATE(Q310,12),AND(AI310="K5-LAW",AH310="นิติศาสตร์",OR(L310="S2",L310="K5")),Q310,AND(AI310="K5-POLICY",AH310&lt;&gt;"นิติศาสตร์",L310="S2",U310="",AA310=""),Q310,AND(AI310="K5-POLICY",AH310&lt;&gt;"นิติศาสตร์",L310="S1",U310="",AA310=""),EDATE(Q310,12),AND(AI310="K5-POLICY",AH310&lt;&gt;"นิติศาสตร์",OR(L310="M2",L310="K4"),U310="",AA310=""),EDATE(Q310,12*2),AND(AI310="K5-POLICY",AH310&lt;&gt;"นิติศาสตร์",OR(AA310="M2",AA310="K4"),AD310&gt;=2,OR(AC310&lt;W310,AC310&lt;Q310)),EDATE(AC310,12*2),AND(AI310="K5-POLICY",AH310&lt;&gt;"นิติศาสตร์",AA310="S1",AD310&gt;=1,OR(AC310&lt;W310,AC310&lt;Q310)),EDATE(AC310,12),AND(AI310="K5-POLICY",AH310&lt;&gt;"นิติศาสตร์",OR(U310="M2",U310="K4"),X310&gt;=2,W310&lt;Q310),EDATE(W310,12*2),AND(AI310="K5-POLICY",AH310&lt;&gt;"นิติศาสตร์",U310="S1",X310&gt;=1,W310&lt;Q310),EDATE(W310,12),AND(AI310="K5-POLICY",AH310&lt;&gt;"นิติศาสตร์",OR(U310="S2",U310="K5")),W310,AND(AI310="K5-POLICY",AH310&lt;&gt;"นิติศาสตร์",OR(L310="M2",L310="K4"),R310&gt;=2),EDATE(Q310,12*2),AND(AI310="K5-POLICY",AH310&lt;&gt;"นิติศาสตร์",L310="S1",R310&gt;=1),EDATE(Q310,12),AND(AI310="K5-POLICY",AH310&lt;&gt;"นิติศาสตร์",OR(L310="S2",L310="K5")),Q310,TRUE,"Check Data")</f>
        <v/>
      </c>
      <c r="AK310" s="75" t="str">
        <f t="shared" si="104"/>
        <v>Check Data</v>
      </c>
      <c r="AL310" s="76" t="str">
        <f t="shared" si="92"/>
        <v>Check Data</v>
      </c>
      <c r="AM310" s="50" t="str">
        <f t="shared" si="105"/>
        <v>Check Data</v>
      </c>
      <c r="AN310" s="49" t="str">
        <f>IF(B310="","",IF(L310="S1","S1",INDEX(#REF!,#REF!)))</f>
        <v/>
      </c>
      <c r="AO310" s="49" t="str">
        <f t="shared" si="106"/>
        <v>K4</v>
      </c>
      <c r="AP310" s="50" t="b">
        <f>L310=AN310</f>
        <v>0</v>
      </c>
    </row>
    <row r="311" spans="1:42" ht="21.75">
      <c r="A311" s="49">
        <v>309</v>
      </c>
      <c r="B311" s="50"/>
      <c r="C311" s="50"/>
      <c r="D311" s="50" t="s">
        <v>144</v>
      </c>
      <c r="E311" s="50" t="e">
        <f>INDEX(#REF!,#REF!)</f>
        <v>#REF!</v>
      </c>
      <c r="F311" s="49" t="s">
        <v>362</v>
      </c>
      <c r="G311" s="49" t="str">
        <f t="shared" si="107"/>
        <v>30/01/1987</v>
      </c>
      <c r="H311" s="50">
        <f t="shared" si="89"/>
        <v>38</v>
      </c>
      <c r="I311" s="50">
        <f t="shared" si="90"/>
        <v>4</v>
      </c>
      <c r="J311" s="50">
        <f t="shared" si="91"/>
        <v>21</v>
      </c>
      <c r="K311" s="50"/>
      <c r="L311" s="49" t="s">
        <v>137</v>
      </c>
      <c r="M311" s="64"/>
      <c r="N311" s="49"/>
      <c r="O311" s="49"/>
      <c r="P311" s="65" t="s">
        <v>466</v>
      </c>
      <c r="Q311" s="49" t="str">
        <f t="shared" si="98"/>
        <v>05/11/2021</v>
      </c>
      <c r="R311" s="68">
        <f>IF(Q311="",0,DATEDIF(Q311,$C$1,"Y"))</f>
        <v>3</v>
      </c>
      <c r="S311" s="68">
        <f>IF(Q311="",0,DATEDIF(Q311,$C$1,"YM"))</f>
        <v>7</v>
      </c>
      <c r="T311" s="68">
        <f>IF(Q311="",0,DATEDIF(Q311,$C$1,"MD"))</f>
        <v>15</v>
      </c>
      <c r="U311" s="65"/>
      <c r="V311" s="65"/>
      <c r="W311" s="49" t="str">
        <f t="shared" si="99"/>
        <v/>
      </c>
      <c r="X311" s="68">
        <f>IF(W311="",0,DATEDIF(W311,Q311,"Y"))</f>
        <v>0</v>
      </c>
      <c r="Y311" s="68">
        <f>IF(W311="",0,DATEDIF(W311,Q311,"YM"))</f>
        <v>0</v>
      </c>
      <c r="Z311" s="68">
        <f>IF(W311="",0,DATEDIF(W311,Q311,"MD"))</f>
        <v>0</v>
      </c>
      <c r="AA311" s="49"/>
      <c r="AB311" s="65"/>
      <c r="AC311" s="50" t="str">
        <f t="shared" si="100"/>
        <v/>
      </c>
      <c r="AD311" s="68">
        <f t="shared" si="101"/>
        <v>0</v>
      </c>
      <c r="AE311" s="68">
        <f t="shared" si="102"/>
        <v>0</v>
      </c>
      <c r="AF311" s="68">
        <f t="shared" si="103"/>
        <v>0</v>
      </c>
      <c r="AG311" s="50"/>
      <c r="AH311" s="108" t="s">
        <v>138</v>
      </c>
      <c r="AI311" s="49" t="str">
        <f>IF(AH311="นิติศาสตร์","K5-LAW","K5-POLICY")</f>
        <v>K5-LAW</v>
      </c>
      <c r="AJ311" s="72" t="str">
        <f>_xlfn.IFS(B311="","",AND(AI311="K5-LAW",AH311="นิติศาสตร์",L311="S2",U311="",AA311=""),Q311,AND(AI311="K5-LAW",AH311="นิติศาสตร์",L311="S1",U311="",AA311=""),EDATE(Q311,12),AND(AI311="K5-LAW",AH311="นิติศาสตร์",OR(L311="M2",L311="K4"),U311="",AA311=""),EDATE(Q311,12*2),AND(AI311="K5-LAW",AH311="นิติศาสตร์",OR(AA311="M2",AA311="K4"),AD311&gt;=2,OR(AC311&lt;W311,AC311&lt;Q311)),EDATE(AC311,12*2),AND(AI311="K5-LAW",AH311="นิติศาสตร์",AA311="S1",AD311&gt;=1,OR(AC311&lt;W311,AC311&lt;Q311)),EDATE(AC311,12),AND(AI311="K5-LAW",AH311="นิติศาสตร์",OR(U311="M2",U311="K4"),X311&gt;=2,W311&lt;Q311),EDATE(W311,12*2),AND(AI311="K5-LAW",AH311="นิติศาสตร์",U311="S1",X311&gt;=1,W311&lt;Q311),EDATE(W311,12),AND(AI311="K5-LAW",AH311="นิติศาสตร์",OR(U311="S2",U311="K5")),W311,AND(AI311="K5-LAW",AH311="นิติศาสตร์",OR(L311="M2",L311="K4"),R311&gt;=2),EDATE(Q311,12*2),AND(AI311="K5-LAW",AH311="นิติศาสตร์",L311="S1",R311&gt;=1),EDATE(Q311,12),AND(AI311="K5-LAW",AH311="นิติศาสตร์",OR(L311="S2",L311="K5")),Q311,AND(AI311="K5-POLICY",AH311&lt;&gt;"นิติศาสตร์",L311="S2",U311="",AA311=""),Q311,AND(AI311="K5-POLICY",AH311&lt;&gt;"นิติศาสตร์",L311="S1",U311="",AA311=""),EDATE(Q311,12),AND(AI311="K5-POLICY",AH311&lt;&gt;"นิติศาสตร์",OR(L311="M2",L311="K4"),U311="",AA311=""),EDATE(Q311,12*2),AND(AI311="K5-POLICY",AH311&lt;&gt;"นิติศาสตร์",OR(AA311="M2",AA311="K4"),AD311&gt;=2,OR(AC311&lt;W311,AC311&lt;Q311)),EDATE(AC311,12*2),AND(AI311="K5-POLICY",AH311&lt;&gt;"นิติศาสตร์",AA311="S1",AD311&gt;=1,OR(AC311&lt;W311,AC311&lt;Q311)),EDATE(AC311,12),AND(AI311="K5-POLICY",AH311&lt;&gt;"นิติศาสตร์",OR(U311="M2",U311="K4"),X311&gt;=2,W311&lt;Q311),EDATE(W311,12*2),AND(AI311="K5-POLICY",AH311&lt;&gt;"นิติศาสตร์",U311="S1",X311&gt;=1,W311&lt;Q311),EDATE(W311,12),AND(AI311="K5-POLICY",AH311&lt;&gt;"นิติศาสตร์",OR(U311="S2",U311="K5")),W311,AND(AI311="K5-POLICY",AH311&lt;&gt;"นิติศาสตร์",OR(L311="M2",L311="K4"),R311&gt;=2),EDATE(Q311,12*2),AND(AI311="K5-POLICY",AH311&lt;&gt;"นิติศาสตร์",L311="S1",R311&gt;=1),EDATE(Q311,12),AND(AI311="K5-POLICY",AH311&lt;&gt;"นิติศาสตร์",OR(L311="S2",L311="K5")),Q311,TRUE,"Check Data")</f>
        <v/>
      </c>
      <c r="AK311" s="75" t="str">
        <f t="shared" si="104"/>
        <v>Check Data</v>
      </c>
      <c r="AL311" s="76" t="str">
        <f t="shared" si="92"/>
        <v>Check Data</v>
      </c>
      <c r="AM311" s="50" t="str">
        <f t="shared" si="105"/>
        <v>Check Data</v>
      </c>
      <c r="AN311" s="49" t="str">
        <f>IF(B311="","",IF(L311="S1","S1",INDEX(#REF!,#REF!)))</f>
        <v/>
      </c>
      <c r="AO311" s="49" t="str">
        <f t="shared" si="106"/>
        <v>K4</v>
      </c>
      <c r="AP311" s="50" t="b">
        <f>L311=AN311</f>
        <v>0</v>
      </c>
    </row>
    <row r="312" spans="1:42" ht="21.75">
      <c r="A312" s="49">
        <v>310</v>
      </c>
      <c r="B312" s="50"/>
      <c r="C312" s="50"/>
      <c r="D312" s="50" t="s">
        <v>142</v>
      </c>
      <c r="E312" s="50" t="e">
        <f>INDEX(#REF!,#REF!)</f>
        <v>#REF!</v>
      </c>
      <c r="F312" s="49" t="s">
        <v>375</v>
      </c>
      <c r="G312" s="49" t="str">
        <f t="shared" si="107"/>
        <v>06/05/1986</v>
      </c>
      <c r="H312" s="50">
        <f t="shared" si="89"/>
        <v>39</v>
      </c>
      <c r="I312" s="50">
        <f t="shared" si="90"/>
        <v>1</v>
      </c>
      <c r="J312" s="50">
        <f t="shared" si="91"/>
        <v>14</v>
      </c>
      <c r="K312" s="50"/>
      <c r="L312" s="49" t="s">
        <v>137</v>
      </c>
      <c r="M312" s="64"/>
      <c r="N312" s="49"/>
      <c r="O312" s="49"/>
      <c r="P312" s="65" t="s">
        <v>405</v>
      </c>
      <c r="Q312" s="49" t="str">
        <f t="shared" si="98"/>
        <v>18/01/2022</v>
      </c>
      <c r="R312" s="68">
        <f>IF(Q312="",0,DATEDIF(Q312,$C$1,"Y"))</f>
        <v>3</v>
      </c>
      <c r="S312" s="68">
        <f>IF(Q312="",0,DATEDIF(Q312,$C$1,"YM"))</f>
        <v>5</v>
      </c>
      <c r="T312" s="68">
        <f>IF(Q312="",0,DATEDIF(Q312,$C$1,"MD"))</f>
        <v>2</v>
      </c>
      <c r="U312" s="65"/>
      <c r="V312" s="65"/>
      <c r="W312" s="49" t="str">
        <f t="shared" si="99"/>
        <v/>
      </c>
      <c r="X312" s="68">
        <f>IF(W312="",0,DATEDIF(W312,Q312,"Y"))</f>
        <v>0</v>
      </c>
      <c r="Y312" s="68">
        <f>IF(W312="",0,DATEDIF(W312,Q312,"YM"))</f>
        <v>0</v>
      </c>
      <c r="Z312" s="68">
        <f>IF(W312="",0,DATEDIF(W312,Q312,"MD"))</f>
        <v>0</v>
      </c>
      <c r="AA312" s="49"/>
      <c r="AB312" s="65"/>
      <c r="AC312" s="50" t="str">
        <f t="shared" si="100"/>
        <v/>
      </c>
      <c r="AD312" s="68">
        <f t="shared" si="101"/>
        <v>0</v>
      </c>
      <c r="AE312" s="68">
        <f t="shared" si="102"/>
        <v>0</v>
      </c>
      <c r="AF312" s="68">
        <f t="shared" si="103"/>
        <v>0</v>
      </c>
      <c r="AG312" s="50"/>
      <c r="AH312" s="108" t="s">
        <v>530</v>
      </c>
      <c r="AI312" s="49" t="str">
        <f>IF(AH312="นิติศาสตร์","K5-LAW","K5-POLICY")</f>
        <v>K5-POLICY</v>
      </c>
      <c r="AJ312" s="72" t="str">
        <f>_xlfn.IFS(B312="","",AND(AI312="K5-LAW",AH312="นิติศาสตร์",L312="S2",U312="",AA312=""),Q312,AND(AI312="K5-LAW",AH312="นิติศาสตร์",L312="S1",U312="",AA312=""),EDATE(Q312,12),AND(AI312="K5-LAW",AH312="นิติศาสตร์",OR(L312="M2",L312="K4"),U312="",AA312=""),EDATE(Q312,12*2),AND(AI312="K5-LAW",AH312="นิติศาสตร์",OR(AA312="M2",AA312="K4"),AD312&gt;=2,OR(AC312&lt;W312,AC312&lt;Q312)),EDATE(AC312,12*2),AND(AI312="K5-LAW",AH312="นิติศาสตร์",AA312="S1",AD312&gt;=1,OR(AC312&lt;W312,AC312&lt;Q312)),EDATE(AC312,12),AND(AI312="K5-LAW",AH312="นิติศาสตร์",OR(U312="M2",U312="K4"),X312&gt;=2,W312&lt;Q312),EDATE(W312,12*2),AND(AI312="K5-LAW",AH312="นิติศาสตร์",U312="S1",X312&gt;=1,W312&lt;Q312),EDATE(W312,12),AND(AI312="K5-LAW",AH312="นิติศาสตร์",OR(U312="S2",U312="K5")),W312,AND(AI312="K5-LAW",AH312="นิติศาสตร์",OR(L312="M2",L312="K4"),R312&gt;=2),EDATE(Q312,12*2),AND(AI312="K5-LAW",AH312="นิติศาสตร์",L312="S1",R312&gt;=1),EDATE(Q312,12),AND(AI312="K5-LAW",AH312="นิติศาสตร์",OR(L312="S2",L312="K5")),Q312,AND(AI312="K5-POLICY",AH312&lt;&gt;"นิติศาสตร์",L312="S2",U312="",AA312=""),Q312,AND(AI312="K5-POLICY",AH312&lt;&gt;"นิติศาสตร์",L312="S1",U312="",AA312=""),EDATE(Q312,12),AND(AI312="K5-POLICY",AH312&lt;&gt;"นิติศาสตร์",OR(L312="M2",L312="K4"),U312="",AA312=""),EDATE(Q312,12*2),AND(AI312="K5-POLICY",AH312&lt;&gt;"นิติศาสตร์",OR(AA312="M2",AA312="K4"),AD312&gt;=2,OR(AC312&lt;W312,AC312&lt;Q312)),EDATE(AC312,12*2),AND(AI312="K5-POLICY",AH312&lt;&gt;"นิติศาสตร์",AA312="S1",AD312&gt;=1,OR(AC312&lt;W312,AC312&lt;Q312)),EDATE(AC312,12),AND(AI312="K5-POLICY",AH312&lt;&gt;"นิติศาสตร์",OR(U312="M2",U312="K4"),X312&gt;=2,W312&lt;Q312),EDATE(W312,12*2),AND(AI312="K5-POLICY",AH312&lt;&gt;"นิติศาสตร์",U312="S1",X312&gt;=1,W312&lt;Q312),EDATE(W312,12),AND(AI312="K5-POLICY",AH312&lt;&gt;"นิติศาสตร์",OR(U312="S2",U312="K5")),W312,AND(AI312="K5-POLICY",AH312&lt;&gt;"นิติศาสตร์",OR(L312="M2",L312="K4"),R312&gt;=2),EDATE(Q312,12*2),AND(AI312="K5-POLICY",AH312&lt;&gt;"นิติศาสตร์",L312="S1",R312&gt;=1),EDATE(Q312,12),AND(AI312="K5-POLICY",AH312&lt;&gt;"นิติศาสตร์",OR(L312="S2",L312="K5")),Q312,TRUE,"Check Data")</f>
        <v/>
      </c>
      <c r="AK312" s="75" t="str">
        <f t="shared" si="104"/>
        <v>Check Data</v>
      </c>
      <c r="AL312" s="76" t="str">
        <f t="shared" si="92"/>
        <v>Check Data</v>
      </c>
      <c r="AM312" s="50" t="str">
        <f t="shared" si="105"/>
        <v>Check Data</v>
      </c>
      <c r="AN312" s="49" t="str">
        <f>IF(B312="","",IF(L312="S1","S1",INDEX(#REF!,#REF!)))</f>
        <v/>
      </c>
      <c r="AO312" s="49" t="str">
        <f t="shared" si="106"/>
        <v>K4</v>
      </c>
      <c r="AP312" s="50" t="b">
        <f>L312=AN312</f>
        <v>0</v>
      </c>
    </row>
    <row r="313" spans="1:42" ht="21.75">
      <c r="A313" s="49">
        <v>311</v>
      </c>
      <c r="B313" s="50"/>
      <c r="C313" s="50"/>
      <c r="D313" s="50" t="s">
        <v>142</v>
      </c>
      <c r="E313" s="50" t="e">
        <f>INDEX(#REF!,#REF!)</f>
        <v>#REF!</v>
      </c>
      <c r="F313" s="49" t="s">
        <v>210</v>
      </c>
      <c r="G313" s="49" t="str">
        <f t="shared" si="107"/>
        <v>27/01/1986</v>
      </c>
      <c r="H313" s="50">
        <f t="shared" si="89"/>
        <v>39</v>
      </c>
      <c r="I313" s="50">
        <f t="shared" si="90"/>
        <v>4</v>
      </c>
      <c r="J313" s="50">
        <f t="shared" si="91"/>
        <v>24</v>
      </c>
      <c r="K313" s="50"/>
      <c r="L313" s="49" t="s">
        <v>137</v>
      </c>
      <c r="M313" s="64"/>
      <c r="N313" s="49"/>
      <c r="O313" s="49"/>
      <c r="P313" s="65" t="s">
        <v>405</v>
      </c>
      <c r="Q313" s="49" t="str">
        <f t="shared" si="98"/>
        <v>18/01/2022</v>
      </c>
      <c r="R313" s="68">
        <f>IF(Q313="",0,DATEDIF(Q313,$C$1,"Y"))</f>
        <v>3</v>
      </c>
      <c r="S313" s="68">
        <f>IF(Q313="",0,DATEDIF(Q313,$C$1,"YM"))</f>
        <v>5</v>
      </c>
      <c r="T313" s="68">
        <f>IF(Q313="",0,DATEDIF(Q313,$C$1,"MD"))</f>
        <v>2</v>
      </c>
      <c r="U313" s="65"/>
      <c r="V313" s="65"/>
      <c r="W313" s="49" t="str">
        <f t="shared" si="99"/>
        <v/>
      </c>
      <c r="X313" s="68">
        <f>IF(W313="",0,DATEDIF(W313,Q313,"Y"))</f>
        <v>0</v>
      </c>
      <c r="Y313" s="68">
        <f>IF(W313="",0,DATEDIF(W313,Q313,"YM"))</f>
        <v>0</v>
      </c>
      <c r="Z313" s="68">
        <f>IF(W313="",0,DATEDIF(W313,Q313,"MD"))</f>
        <v>0</v>
      </c>
      <c r="AA313" s="49"/>
      <c r="AB313" s="65"/>
      <c r="AC313" s="50" t="str">
        <f t="shared" si="100"/>
        <v/>
      </c>
      <c r="AD313" s="68">
        <f t="shared" si="101"/>
        <v>0</v>
      </c>
      <c r="AE313" s="68">
        <f t="shared" si="102"/>
        <v>0</v>
      </c>
      <c r="AF313" s="68">
        <f t="shared" si="103"/>
        <v>0</v>
      </c>
      <c r="AG313" s="50"/>
      <c r="AH313" s="108" t="s">
        <v>138</v>
      </c>
      <c r="AI313" s="49" t="str">
        <f>IF(AH313="นิติศาสตร์","K5-LAW","K5-POLICY")</f>
        <v>K5-LAW</v>
      </c>
      <c r="AJ313" s="72" t="str">
        <f>_xlfn.IFS(B313="","",AND(AI313="K5-LAW",AH313="นิติศาสตร์",L313="S2",U313="",AA313=""),Q313,AND(AI313="K5-LAW",AH313="นิติศาสตร์",L313="S1",U313="",AA313=""),EDATE(Q313,12),AND(AI313="K5-LAW",AH313="นิติศาสตร์",OR(L313="M2",L313="K4"),U313="",AA313=""),EDATE(Q313,12*2),AND(AI313="K5-LAW",AH313="นิติศาสตร์",OR(AA313="M2",AA313="K4"),AD313&gt;=2,OR(AC313&lt;W313,AC313&lt;Q313)),EDATE(AC313,12*2),AND(AI313="K5-LAW",AH313="นิติศาสตร์",AA313="S1",AD313&gt;=1,OR(AC313&lt;W313,AC313&lt;Q313)),EDATE(AC313,12),AND(AI313="K5-LAW",AH313="นิติศาสตร์",OR(U313="M2",U313="K4"),X313&gt;=2,W313&lt;Q313),EDATE(W313,12*2),AND(AI313="K5-LAW",AH313="นิติศาสตร์",U313="S1",X313&gt;=1,W313&lt;Q313),EDATE(W313,12),AND(AI313="K5-LAW",AH313="นิติศาสตร์",OR(U313="S2",U313="K5")),W313,AND(AI313="K5-LAW",AH313="นิติศาสตร์",OR(L313="M2",L313="K4"),R313&gt;=2),EDATE(Q313,12*2),AND(AI313="K5-LAW",AH313="นิติศาสตร์",L313="S1",R313&gt;=1),EDATE(Q313,12),AND(AI313="K5-LAW",AH313="นิติศาสตร์",OR(L313="S2",L313="K5")),Q313,AND(AI313="K5-POLICY",AH313&lt;&gt;"นิติศาสตร์",L313="S2",U313="",AA313=""),Q313,AND(AI313="K5-POLICY",AH313&lt;&gt;"นิติศาสตร์",L313="S1",U313="",AA313=""),EDATE(Q313,12),AND(AI313="K5-POLICY",AH313&lt;&gt;"นิติศาสตร์",OR(L313="M2",L313="K4"),U313="",AA313=""),EDATE(Q313,12*2),AND(AI313="K5-POLICY",AH313&lt;&gt;"นิติศาสตร์",OR(AA313="M2",AA313="K4"),AD313&gt;=2,OR(AC313&lt;W313,AC313&lt;Q313)),EDATE(AC313,12*2),AND(AI313="K5-POLICY",AH313&lt;&gt;"นิติศาสตร์",AA313="S1",AD313&gt;=1,OR(AC313&lt;W313,AC313&lt;Q313)),EDATE(AC313,12),AND(AI313="K5-POLICY",AH313&lt;&gt;"นิติศาสตร์",OR(U313="M2",U313="K4"),X313&gt;=2,W313&lt;Q313),EDATE(W313,12*2),AND(AI313="K5-POLICY",AH313&lt;&gt;"นิติศาสตร์",U313="S1",X313&gt;=1,W313&lt;Q313),EDATE(W313,12),AND(AI313="K5-POLICY",AH313&lt;&gt;"นิติศาสตร์",OR(U313="S2",U313="K5")),W313,AND(AI313="K5-POLICY",AH313&lt;&gt;"นิติศาสตร์",OR(L313="M2",L313="K4"),R313&gt;=2),EDATE(Q313,12*2),AND(AI313="K5-POLICY",AH313&lt;&gt;"นิติศาสตร์",L313="S1",R313&gt;=1),EDATE(Q313,12),AND(AI313="K5-POLICY",AH313&lt;&gt;"นิติศาสตร์",OR(L313="S2",L313="K5")),Q313,TRUE,"Check Data")</f>
        <v/>
      </c>
      <c r="AK313" s="75" t="str">
        <f t="shared" si="104"/>
        <v>Check Data</v>
      </c>
      <c r="AL313" s="76" t="str">
        <f t="shared" si="92"/>
        <v>Check Data</v>
      </c>
      <c r="AM313" s="50" t="str">
        <f t="shared" si="105"/>
        <v>Check Data</v>
      </c>
      <c r="AN313" s="49" t="str">
        <f>IF(B313="","",IF(L313="S1","S1",INDEX(#REF!,#REF!)))</f>
        <v/>
      </c>
      <c r="AO313" s="49" t="str">
        <f t="shared" si="106"/>
        <v>K4</v>
      </c>
      <c r="AP313" s="50" t="b">
        <f>L313=AN313</f>
        <v>0</v>
      </c>
    </row>
    <row r="314" spans="1:42" ht="21.75">
      <c r="A314" s="49">
        <v>312</v>
      </c>
      <c r="B314" s="50"/>
      <c r="C314" s="50"/>
      <c r="D314" s="50" t="s">
        <v>143</v>
      </c>
      <c r="E314" s="50" t="e">
        <f>INDEX(#REF!,#REF!)</f>
        <v>#REF!</v>
      </c>
      <c r="F314" s="49" t="s">
        <v>208</v>
      </c>
      <c r="G314" s="49" t="str">
        <f t="shared" si="107"/>
        <v>01/02/1990</v>
      </c>
      <c r="H314" s="50">
        <f t="shared" si="89"/>
        <v>35</v>
      </c>
      <c r="I314" s="50">
        <f t="shared" si="90"/>
        <v>4</v>
      </c>
      <c r="J314" s="50">
        <f t="shared" si="91"/>
        <v>19</v>
      </c>
      <c r="K314" s="50"/>
      <c r="L314" s="49" t="s">
        <v>137</v>
      </c>
      <c r="M314" s="64"/>
      <c r="N314" s="49"/>
      <c r="O314" s="49"/>
      <c r="P314" s="65" t="s">
        <v>406</v>
      </c>
      <c r="Q314" s="49" t="str">
        <f t="shared" si="98"/>
        <v>19/05/2022</v>
      </c>
      <c r="R314" s="68">
        <f>IF(Q314="",0,DATEDIF(Q314,$C$1,"Y"))</f>
        <v>3</v>
      </c>
      <c r="S314" s="68">
        <f>IF(Q314="",0,DATEDIF(Q314,$C$1,"YM"))</f>
        <v>1</v>
      </c>
      <c r="T314" s="68">
        <f>IF(Q314="",0,DATEDIF(Q314,$C$1,"MD"))</f>
        <v>1</v>
      </c>
      <c r="U314" s="65"/>
      <c r="V314" s="65"/>
      <c r="W314" s="49" t="str">
        <f t="shared" si="99"/>
        <v/>
      </c>
      <c r="X314" s="68">
        <f>IF(W314="",0,DATEDIF(W314,Q314,"Y"))</f>
        <v>0</v>
      </c>
      <c r="Y314" s="68">
        <f>IF(W314="",0,DATEDIF(W314,Q314,"YM"))</f>
        <v>0</v>
      </c>
      <c r="Z314" s="68">
        <f>IF(W314="",0,DATEDIF(W314,Q314,"MD"))</f>
        <v>0</v>
      </c>
      <c r="AA314" s="49"/>
      <c r="AB314" s="65"/>
      <c r="AC314" s="50" t="str">
        <f t="shared" si="100"/>
        <v/>
      </c>
      <c r="AD314" s="68">
        <f t="shared" si="101"/>
        <v>0</v>
      </c>
      <c r="AE314" s="68">
        <f t="shared" si="102"/>
        <v>0</v>
      </c>
      <c r="AF314" s="68">
        <f t="shared" si="103"/>
        <v>0</v>
      </c>
      <c r="AG314" s="50"/>
      <c r="AH314" s="108" t="s">
        <v>138</v>
      </c>
      <c r="AI314" s="49" t="str">
        <f>IF(AH314="นิติศาสตร์","K5-LAW","K5-POLICY")</f>
        <v>K5-LAW</v>
      </c>
      <c r="AJ314" s="72" t="str">
        <f>_xlfn.IFS(B314="","",AND(AI314="K5-LAW",AH314="นิติศาสตร์",L314="S2",U314="",AA314=""),Q314,AND(AI314="K5-LAW",AH314="นิติศาสตร์",L314="S1",U314="",AA314=""),EDATE(Q314,12),AND(AI314="K5-LAW",AH314="นิติศาสตร์",OR(L314="M2",L314="K4"),U314="",AA314=""),EDATE(Q314,12*2),AND(AI314="K5-LAW",AH314="นิติศาสตร์",OR(AA314="M2",AA314="K4"),AD314&gt;=2,OR(AC314&lt;W314,AC314&lt;Q314)),EDATE(AC314,12*2),AND(AI314="K5-LAW",AH314="นิติศาสตร์",AA314="S1",AD314&gt;=1,OR(AC314&lt;W314,AC314&lt;Q314)),EDATE(AC314,12),AND(AI314="K5-LAW",AH314="นิติศาสตร์",OR(U314="M2",U314="K4"),X314&gt;=2,W314&lt;Q314),EDATE(W314,12*2),AND(AI314="K5-LAW",AH314="นิติศาสตร์",U314="S1",X314&gt;=1,W314&lt;Q314),EDATE(W314,12),AND(AI314="K5-LAW",AH314="นิติศาสตร์",OR(U314="S2",U314="K5")),W314,AND(AI314="K5-LAW",AH314="นิติศาสตร์",OR(L314="M2",L314="K4"),R314&gt;=2),EDATE(Q314,12*2),AND(AI314="K5-LAW",AH314="นิติศาสตร์",L314="S1",R314&gt;=1),EDATE(Q314,12),AND(AI314="K5-LAW",AH314="นิติศาสตร์",OR(L314="S2",L314="K5")),Q314,AND(AI314="K5-POLICY",AH314&lt;&gt;"นิติศาสตร์",L314="S2",U314="",AA314=""),Q314,AND(AI314="K5-POLICY",AH314&lt;&gt;"นิติศาสตร์",L314="S1",U314="",AA314=""),EDATE(Q314,12),AND(AI314="K5-POLICY",AH314&lt;&gt;"นิติศาสตร์",OR(L314="M2",L314="K4"),U314="",AA314=""),EDATE(Q314,12*2),AND(AI314="K5-POLICY",AH314&lt;&gt;"นิติศาสตร์",OR(AA314="M2",AA314="K4"),AD314&gt;=2,OR(AC314&lt;W314,AC314&lt;Q314)),EDATE(AC314,12*2),AND(AI314="K5-POLICY",AH314&lt;&gt;"นิติศาสตร์",AA314="S1",AD314&gt;=1,OR(AC314&lt;W314,AC314&lt;Q314)),EDATE(AC314,12),AND(AI314="K5-POLICY",AH314&lt;&gt;"นิติศาสตร์",OR(U314="M2",U314="K4"),X314&gt;=2,W314&lt;Q314),EDATE(W314,12*2),AND(AI314="K5-POLICY",AH314&lt;&gt;"นิติศาสตร์",U314="S1",X314&gt;=1,W314&lt;Q314),EDATE(W314,12),AND(AI314="K5-POLICY",AH314&lt;&gt;"นิติศาสตร์",OR(U314="S2",U314="K5")),W314,AND(AI314="K5-POLICY",AH314&lt;&gt;"นิติศาสตร์",OR(L314="M2",L314="K4"),R314&gt;=2),EDATE(Q314,12*2),AND(AI314="K5-POLICY",AH314&lt;&gt;"นิติศาสตร์",L314="S1",R314&gt;=1),EDATE(Q314,12),AND(AI314="K5-POLICY",AH314&lt;&gt;"นิติศาสตร์",OR(L314="S2",L314="K5")),Q314,TRUE,"Check Data")</f>
        <v/>
      </c>
      <c r="AK314" s="75" t="str">
        <f t="shared" si="104"/>
        <v>Check Data</v>
      </c>
      <c r="AL314" s="76" t="str">
        <f t="shared" si="92"/>
        <v>Check Data</v>
      </c>
      <c r="AM314" s="50" t="str">
        <f t="shared" si="105"/>
        <v>Check Data</v>
      </c>
      <c r="AN314" s="49" t="str">
        <f>IF(B314="","",IF(L314="S1","S1",INDEX(#REF!,#REF!)))</f>
        <v/>
      </c>
      <c r="AO314" s="49" t="str">
        <f t="shared" si="106"/>
        <v>K4</v>
      </c>
      <c r="AP314" s="50" t="b">
        <f>L314=AN314</f>
        <v>0</v>
      </c>
    </row>
    <row r="315" spans="1:42" ht="21.75">
      <c r="A315" s="49">
        <v>313</v>
      </c>
      <c r="B315" s="50"/>
      <c r="C315" s="52"/>
      <c r="D315" s="50" t="s">
        <v>146</v>
      </c>
      <c r="E315" s="50" t="e">
        <f>INDEX(#REF!,#REF!)</f>
        <v>#REF!</v>
      </c>
      <c r="F315" s="79"/>
      <c r="G315" s="79"/>
      <c r="H315" s="50">
        <f t="shared" si="89"/>
        <v>0</v>
      </c>
      <c r="I315" s="50">
        <f t="shared" si="90"/>
        <v>0</v>
      </c>
      <c r="J315" s="50">
        <f t="shared" si="91"/>
        <v>0</v>
      </c>
      <c r="K315" s="79"/>
      <c r="L315" s="49" t="s">
        <v>137</v>
      </c>
      <c r="M315" s="79"/>
      <c r="N315" s="79"/>
      <c r="O315" s="79"/>
      <c r="P315" s="65" t="s">
        <v>419</v>
      </c>
      <c r="Q315" s="49" t="str">
        <f t="shared" si="98"/>
        <v>09/03/2023</v>
      </c>
      <c r="R315" s="68">
        <f>IF(Q315="",0,DATEDIF(Q315,$C$1,"Y"))</f>
        <v>2</v>
      </c>
      <c r="S315" s="68">
        <f>IF(Q315="",0,DATEDIF(Q315,$C$1,"YM"))</f>
        <v>3</v>
      </c>
      <c r="T315" s="68">
        <f>IF(Q315="",0,DATEDIF(Q315,$C$1,"MD"))</f>
        <v>11</v>
      </c>
      <c r="U315" s="65"/>
      <c r="V315" s="83"/>
      <c r="W315" s="49" t="str">
        <f t="shared" si="99"/>
        <v/>
      </c>
      <c r="X315" s="68">
        <f>IF(W315="",0,DATEDIF(W315,Q315,"Y"))</f>
        <v>0</v>
      </c>
      <c r="Y315" s="68">
        <f>IF(W315="",0,DATEDIF(W315,Q315,"YM"))</f>
        <v>0</v>
      </c>
      <c r="Z315" s="68">
        <f>IF(W315="",0,DATEDIF(W315,Q315,"MD"))</f>
        <v>0</v>
      </c>
      <c r="AA315" s="79"/>
      <c r="AB315" s="79"/>
      <c r="AC315" s="50" t="str">
        <f t="shared" si="100"/>
        <v/>
      </c>
      <c r="AD315" s="68">
        <f t="shared" si="101"/>
        <v>0</v>
      </c>
      <c r="AE315" s="68">
        <f t="shared" si="102"/>
        <v>0</v>
      </c>
      <c r="AF315" s="68">
        <f t="shared" si="103"/>
        <v>0</v>
      </c>
      <c r="AG315" s="79"/>
      <c r="AH315" s="108"/>
      <c r="AI315" s="49" t="str">
        <f>IF(AH315="นิติศาสตร์","K5-LAW","K5-POLICY")</f>
        <v>K5-POLICY</v>
      </c>
      <c r="AJ315" s="72" t="str">
        <f>_xlfn.IFS(B315="","",AND(AI315="K5-LAW",AH315="นิติศาสตร์",L315="S2",U315="",AA315=""),Q315,AND(AI315="K5-LAW",AH315="นิติศาสตร์",L315="S1",U315="",AA315=""),EDATE(Q315,12),AND(AI315="K5-LAW",AH315="นิติศาสตร์",OR(L315="M2",L315="K4"),U315="",AA315=""),EDATE(Q315,12*2),AND(AI315="K5-LAW",AH315="นิติศาสตร์",OR(AA315="M2",AA315="K4"),AD315&gt;=2,OR(AC315&lt;W315,AC315&lt;Q315)),EDATE(AC315,12*2),AND(AI315="K5-LAW",AH315="นิติศาสตร์",AA315="S1",AD315&gt;=1,OR(AC315&lt;W315,AC315&lt;Q315)),EDATE(AC315,12),AND(AI315="K5-LAW",AH315="นิติศาสตร์",OR(U315="M2",U315="K4"),X315&gt;=2,W315&lt;Q315),EDATE(W315,12*2),AND(AI315="K5-LAW",AH315="นิติศาสตร์",U315="S1",X315&gt;=1,W315&lt;Q315),EDATE(W315,12),AND(AI315="K5-LAW",AH315="นิติศาสตร์",OR(U315="S2",U315="K5")),W315,AND(AI315="K5-LAW",AH315="นิติศาสตร์",OR(L315="M2",L315="K4"),R315&gt;=2),EDATE(Q315,12*2),AND(AI315="K5-LAW",AH315="นิติศาสตร์",L315="S1",R315&gt;=1),EDATE(Q315,12),AND(AI315="K5-LAW",AH315="นิติศาสตร์",OR(L315="S2",L315="K5")),Q315,AND(AI315="K5-POLICY",AH315&lt;&gt;"นิติศาสตร์",L315="S2",U315="",AA315=""),Q315,AND(AI315="K5-POLICY",AH315&lt;&gt;"นิติศาสตร์",L315="S1",U315="",AA315=""),EDATE(Q315,12),AND(AI315="K5-POLICY",AH315&lt;&gt;"นิติศาสตร์",OR(L315="M2",L315="K4"),U315="",AA315=""),EDATE(Q315,12*2),AND(AI315="K5-POLICY",AH315&lt;&gt;"นิติศาสตร์",OR(AA315="M2",AA315="K4"),AD315&gt;=2,OR(AC315&lt;W315,AC315&lt;Q315)),EDATE(AC315,12*2),AND(AI315="K5-POLICY",AH315&lt;&gt;"นิติศาสตร์",AA315="S1",AD315&gt;=1,OR(AC315&lt;W315,AC315&lt;Q315)),EDATE(AC315,12),AND(AI315="K5-POLICY",AH315&lt;&gt;"นิติศาสตร์",OR(U315="M2",U315="K4"),X315&gt;=2,W315&lt;Q315),EDATE(W315,12*2),AND(AI315="K5-POLICY",AH315&lt;&gt;"นิติศาสตร์",U315="S1",X315&gt;=1,W315&lt;Q315),EDATE(W315,12),AND(AI315="K5-POLICY",AH315&lt;&gt;"นิติศาสตร์",OR(U315="S2",U315="K5")),W315,AND(AI315="K5-POLICY",AH315&lt;&gt;"นิติศาสตร์",OR(L315="M2",L315="K4"),R315&gt;=2),EDATE(Q315,12*2),AND(AI315="K5-POLICY",AH315&lt;&gt;"นิติศาสตร์",L315="S1",R315&gt;=1),EDATE(Q315,12),AND(AI315="K5-POLICY",AH315&lt;&gt;"นิติศาสตร์",OR(L315="S2",L315="K5")),Q315,TRUE,"Check Data")</f>
        <v/>
      </c>
      <c r="AK315" s="75" t="str">
        <f t="shared" si="104"/>
        <v>Check Data</v>
      </c>
      <c r="AL315" s="76" t="str">
        <f t="shared" si="92"/>
        <v>Check Data</v>
      </c>
      <c r="AM315" s="50" t="str">
        <f t="shared" si="105"/>
        <v>Check Data</v>
      </c>
      <c r="AN315" s="49" t="str">
        <f>IF(B315="","",IF(L315="S1","S1",INDEX(#REF!,#REF!)))</f>
        <v/>
      </c>
      <c r="AO315" s="49" t="str">
        <f t="shared" si="106"/>
        <v>K4</v>
      </c>
      <c r="AP315" s="50" t="b">
        <f>L315=AN315</f>
        <v>0</v>
      </c>
    </row>
    <row r="316" spans="1:42" ht="21.75">
      <c r="A316" s="49">
        <v>314</v>
      </c>
      <c r="B316" s="50"/>
      <c r="C316" s="52"/>
      <c r="D316" s="50" t="s">
        <v>146</v>
      </c>
      <c r="E316" s="50" t="e">
        <f>INDEX(#REF!,#REF!)</f>
        <v>#REF!</v>
      </c>
      <c r="F316" s="79"/>
      <c r="G316" s="79"/>
      <c r="H316" s="50">
        <f t="shared" si="89"/>
        <v>0</v>
      </c>
      <c r="I316" s="50">
        <f t="shared" si="90"/>
        <v>0</v>
      </c>
      <c r="J316" s="50">
        <f t="shared" si="91"/>
        <v>0</v>
      </c>
      <c r="K316" s="79"/>
      <c r="L316" s="49" t="s">
        <v>137</v>
      </c>
      <c r="M316" s="79"/>
      <c r="N316" s="79"/>
      <c r="O316" s="79"/>
      <c r="P316" s="65" t="s">
        <v>419</v>
      </c>
      <c r="Q316" s="49" t="str">
        <f t="shared" si="98"/>
        <v>09/03/2023</v>
      </c>
      <c r="R316" s="68">
        <f>IF(Q316="",0,DATEDIF(Q316,$C$1,"Y"))</f>
        <v>2</v>
      </c>
      <c r="S316" s="68">
        <f>IF(Q316="",0,DATEDIF(Q316,$C$1,"YM"))</f>
        <v>3</v>
      </c>
      <c r="T316" s="68">
        <f>IF(Q316="",0,DATEDIF(Q316,$C$1,"MD"))</f>
        <v>11</v>
      </c>
      <c r="U316" s="65"/>
      <c r="V316" s="83"/>
      <c r="W316" s="49" t="str">
        <f t="shared" si="99"/>
        <v/>
      </c>
      <c r="X316" s="68">
        <f>IF(W316="",0,DATEDIF(W316,Q316,"Y"))</f>
        <v>0</v>
      </c>
      <c r="Y316" s="68">
        <f>IF(W316="",0,DATEDIF(W316,Q316,"YM"))</f>
        <v>0</v>
      </c>
      <c r="Z316" s="68">
        <f>IF(W316="",0,DATEDIF(W316,Q316,"MD"))</f>
        <v>0</v>
      </c>
      <c r="AA316" s="79"/>
      <c r="AB316" s="79"/>
      <c r="AC316" s="50" t="str">
        <f t="shared" si="100"/>
        <v/>
      </c>
      <c r="AD316" s="68">
        <f t="shared" si="101"/>
        <v>0</v>
      </c>
      <c r="AE316" s="68">
        <f t="shared" si="102"/>
        <v>0</v>
      </c>
      <c r="AF316" s="68">
        <f t="shared" si="103"/>
        <v>0</v>
      </c>
      <c r="AG316" s="79"/>
      <c r="AH316" s="108"/>
      <c r="AI316" s="49" t="str">
        <f>IF(AH316="นิติศาสตร์","K5-LAW","K5-POLICY")</f>
        <v>K5-POLICY</v>
      </c>
      <c r="AJ316" s="72" t="str">
        <f>_xlfn.IFS(B316="","",AND(AI316="K5-LAW",AH316="นิติศาสตร์",L316="S2",U316="",AA316=""),Q316,AND(AI316="K5-LAW",AH316="นิติศาสตร์",L316="S1",U316="",AA316=""),EDATE(Q316,12),AND(AI316="K5-LAW",AH316="นิติศาสตร์",OR(L316="M2",L316="K4"),U316="",AA316=""),EDATE(Q316,12*2),AND(AI316="K5-LAW",AH316="นิติศาสตร์",OR(AA316="M2",AA316="K4"),AD316&gt;=2,OR(AC316&lt;W316,AC316&lt;Q316)),EDATE(AC316,12*2),AND(AI316="K5-LAW",AH316="นิติศาสตร์",AA316="S1",AD316&gt;=1,OR(AC316&lt;W316,AC316&lt;Q316)),EDATE(AC316,12),AND(AI316="K5-LAW",AH316="นิติศาสตร์",OR(U316="M2",U316="K4"),X316&gt;=2,W316&lt;Q316),EDATE(W316,12*2),AND(AI316="K5-LAW",AH316="นิติศาสตร์",U316="S1",X316&gt;=1,W316&lt;Q316),EDATE(W316,12),AND(AI316="K5-LAW",AH316="นิติศาสตร์",OR(U316="S2",U316="K5")),W316,AND(AI316="K5-LAW",AH316="นิติศาสตร์",OR(L316="M2",L316="K4"),R316&gt;=2),EDATE(Q316,12*2),AND(AI316="K5-LAW",AH316="นิติศาสตร์",L316="S1",R316&gt;=1),EDATE(Q316,12),AND(AI316="K5-LAW",AH316="นิติศาสตร์",OR(L316="S2",L316="K5")),Q316,AND(AI316="K5-POLICY",AH316&lt;&gt;"นิติศาสตร์",L316="S2",U316="",AA316=""),Q316,AND(AI316="K5-POLICY",AH316&lt;&gt;"นิติศาสตร์",L316="S1",U316="",AA316=""),EDATE(Q316,12),AND(AI316="K5-POLICY",AH316&lt;&gt;"นิติศาสตร์",OR(L316="M2",L316="K4"),U316="",AA316=""),EDATE(Q316,12*2),AND(AI316="K5-POLICY",AH316&lt;&gt;"นิติศาสตร์",OR(AA316="M2",AA316="K4"),AD316&gt;=2,OR(AC316&lt;W316,AC316&lt;Q316)),EDATE(AC316,12*2),AND(AI316="K5-POLICY",AH316&lt;&gt;"นิติศาสตร์",AA316="S1",AD316&gt;=1,OR(AC316&lt;W316,AC316&lt;Q316)),EDATE(AC316,12),AND(AI316="K5-POLICY",AH316&lt;&gt;"นิติศาสตร์",OR(U316="M2",U316="K4"),X316&gt;=2,W316&lt;Q316),EDATE(W316,12*2),AND(AI316="K5-POLICY",AH316&lt;&gt;"นิติศาสตร์",U316="S1",X316&gt;=1,W316&lt;Q316),EDATE(W316,12),AND(AI316="K5-POLICY",AH316&lt;&gt;"นิติศาสตร์",OR(U316="S2",U316="K5")),W316,AND(AI316="K5-POLICY",AH316&lt;&gt;"นิติศาสตร์",OR(L316="M2",L316="K4"),R316&gt;=2),EDATE(Q316,12*2),AND(AI316="K5-POLICY",AH316&lt;&gt;"นิติศาสตร์",L316="S1",R316&gt;=1),EDATE(Q316,12),AND(AI316="K5-POLICY",AH316&lt;&gt;"นิติศาสตร์",OR(L316="S2",L316="K5")),Q316,TRUE,"Check Data")</f>
        <v/>
      </c>
      <c r="AK316" s="75" t="str">
        <f t="shared" si="104"/>
        <v>Check Data</v>
      </c>
      <c r="AL316" s="76" t="str">
        <f t="shared" si="92"/>
        <v>Check Data</v>
      </c>
      <c r="AM316" s="50" t="str">
        <f t="shared" si="105"/>
        <v>Check Data</v>
      </c>
      <c r="AN316" s="49" t="str">
        <f>IF(B316="","",IF(L316="S1","S1",INDEX(#REF!,#REF!)))</f>
        <v/>
      </c>
      <c r="AO316" s="49" t="str">
        <f t="shared" si="106"/>
        <v>K4</v>
      </c>
      <c r="AP316" s="50" t="b">
        <f>L316=AN316</f>
        <v>0</v>
      </c>
    </row>
    <row r="317" spans="1:42" ht="21.75">
      <c r="A317" s="49">
        <v>315</v>
      </c>
      <c r="B317" s="50"/>
      <c r="C317" s="52"/>
      <c r="D317" s="50" t="s">
        <v>144</v>
      </c>
      <c r="E317" s="50" t="e">
        <f>INDEX(#REF!,#REF!)</f>
        <v>#REF!</v>
      </c>
      <c r="F317" s="79"/>
      <c r="G317" s="79"/>
      <c r="H317" s="50">
        <f t="shared" si="89"/>
        <v>0</v>
      </c>
      <c r="I317" s="50">
        <f t="shared" si="90"/>
        <v>0</v>
      </c>
      <c r="J317" s="50">
        <f t="shared" si="91"/>
        <v>0</v>
      </c>
      <c r="K317" s="79"/>
      <c r="L317" s="49" t="s">
        <v>137</v>
      </c>
      <c r="M317" s="79"/>
      <c r="N317" s="79"/>
      <c r="O317" s="79"/>
      <c r="P317" s="65" t="s">
        <v>410</v>
      </c>
      <c r="Q317" s="49" t="str">
        <f t="shared" si="98"/>
        <v>14/07/2023</v>
      </c>
      <c r="R317" s="68">
        <f>IF(Q317="",0,DATEDIF(Q317,$C$1,"Y"))</f>
        <v>1</v>
      </c>
      <c r="S317" s="68">
        <f>IF(Q317="",0,DATEDIF(Q317,$C$1,"YM"))</f>
        <v>11</v>
      </c>
      <c r="T317" s="68">
        <f>IF(Q317="",0,DATEDIF(Q317,$C$1,"MD"))</f>
        <v>6</v>
      </c>
      <c r="U317" s="65"/>
      <c r="V317" s="83"/>
      <c r="W317" s="49" t="str">
        <f t="shared" si="99"/>
        <v/>
      </c>
      <c r="X317" s="68">
        <f>IF(W317="",0,DATEDIF(W317,Q317,"Y"))</f>
        <v>0</v>
      </c>
      <c r="Y317" s="68">
        <f>IF(W317="",0,DATEDIF(W317,Q317,"YM"))</f>
        <v>0</v>
      </c>
      <c r="Z317" s="68">
        <f>IF(W317="",0,DATEDIF(W317,Q317,"MD"))</f>
        <v>0</v>
      </c>
      <c r="AA317" s="79"/>
      <c r="AB317" s="79"/>
      <c r="AC317" s="50" t="str">
        <f t="shared" si="100"/>
        <v/>
      </c>
      <c r="AD317" s="68">
        <f t="shared" si="101"/>
        <v>0</v>
      </c>
      <c r="AE317" s="68">
        <f t="shared" si="102"/>
        <v>0</v>
      </c>
      <c r="AF317" s="68">
        <f t="shared" si="103"/>
        <v>0</v>
      </c>
      <c r="AG317" s="79"/>
      <c r="AH317" s="108" t="s">
        <v>138</v>
      </c>
      <c r="AI317" s="49" t="str">
        <f>IF(AH317="นิติศาสตร์","K5-LAW","K5-POLICY")</f>
        <v>K5-LAW</v>
      </c>
      <c r="AJ317" s="72" t="str">
        <f>_xlfn.IFS(B317="","",AND(AI317="K5-LAW",AH317="นิติศาสตร์",L317="S2",U317="",AA317=""),Q317,AND(AI317="K5-LAW",AH317="นิติศาสตร์",L317="S1",U317="",AA317=""),EDATE(Q317,12),AND(AI317="K5-LAW",AH317="นิติศาสตร์",OR(L317="M2",L317="K4"),U317="",AA317=""),EDATE(Q317,12*2),AND(AI317="K5-LAW",AH317="นิติศาสตร์",OR(AA317="M2",AA317="K4"),AD317&gt;=2,OR(AC317&lt;W317,AC317&lt;Q317)),EDATE(AC317,12*2),AND(AI317="K5-LAW",AH317="นิติศาสตร์",AA317="S1",AD317&gt;=1,OR(AC317&lt;W317,AC317&lt;Q317)),EDATE(AC317,12),AND(AI317="K5-LAW",AH317="นิติศาสตร์",OR(U317="M2",U317="K4"),X317&gt;=2,W317&lt;Q317),EDATE(W317,12*2),AND(AI317="K5-LAW",AH317="นิติศาสตร์",U317="S1",X317&gt;=1,W317&lt;Q317),EDATE(W317,12),AND(AI317="K5-LAW",AH317="นิติศาสตร์",OR(U317="S2",U317="K5")),W317,AND(AI317="K5-LAW",AH317="นิติศาสตร์",OR(L317="M2",L317="K4"),R317&gt;=2),EDATE(Q317,12*2),AND(AI317="K5-LAW",AH317="นิติศาสตร์",L317="S1",R317&gt;=1),EDATE(Q317,12),AND(AI317="K5-LAW",AH317="นิติศาสตร์",OR(L317="S2",L317="K5")),Q317,AND(AI317="K5-POLICY",AH317&lt;&gt;"นิติศาสตร์",L317="S2",U317="",AA317=""),Q317,AND(AI317="K5-POLICY",AH317&lt;&gt;"นิติศาสตร์",L317="S1",U317="",AA317=""),EDATE(Q317,12),AND(AI317="K5-POLICY",AH317&lt;&gt;"นิติศาสตร์",OR(L317="M2",L317="K4"),U317="",AA317=""),EDATE(Q317,12*2),AND(AI317="K5-POLICY",AH317&lt;&gt;"นิติศาสตร์",OR(AA317="M2",AA317="K4"),AD317&gt;=2,OR(AC317&lt;W317,AC317&lt;Q317)),EDATE(AC317,12*2),AND(AI317="K5-POLICY",AH317&lt;&gt;"นิติศาสตร์",AA317="S1",AD317&gt;=1,OR(AC317&lt;W317,AC317&lt;Q317)),EDATE(AC317,12),AND(AI317="K5-POLICY",AH317&lt;&gt;"นิติศาสตร์",OR(U317="M2",U317="K4"),X317&gt;=2,W317&lt;Q317),EDATE(W317,12*2),AND(AI317="K5-POLICY",AH317&lt;&gt;"นิติศาสตร์",U317="S1",X317&gt;=1,W317&lt;Q317),EDATE(W317,12),AND(AI317="K5-POLICY",AH317&lt;&gt;"นิติศาสตร์",OR(U317="S2",U317="K5")),W317,AND(AI317="K5-POLICY",AH317&lt;&gt;"นิติศาสตร์",OR(L317="M2",L317="K4"),R317&gt;=2),EDATE(Q317,12*2),AND(AI317="K5-POLICY",AH317&lt;&gt;"นิติศาสตร์",L317="S1",R317&gt;=1),EDATE(Q317,12),AND(AI317="K5-POLICY",AH317&lt;&gt;"นิติศาสตร์",OR(L317="S2",L317="K5")),Q317,TRUE,"Check Data")</f>
        <v/>
      </c>
      <c r="AK317" s="75" t="str">
        <f t="shared" si="104"/>
        <v>Check Data</v>
      </c>
      <c r="AL317" s="76" t="str">
        <f t="shared" si="92"/>
        <v>Check Data</v>
      </c>
      <c r="AM317" s="50" t="str">
        <f t="shared" si="105"/>
        <v>Check Data</v>
      </c>
      <c r="AN317" s="49" t="str">
        <f>IF(B317="","",IF(L317="S1","S1",INDEX(#REF!,#REF!)))</f>
        <v/>
      </c>
      <c r="AO317" s="49" t="str">
        <f t="shared" si="106"/>
        <v>K4</v>
      </c>
      <c r="AP317" s="50" t="b">
        <f>L317=AN317</f>
        <v>0</v>
      </c>
    </row>
    <row r="318" spans="1:42" ht="21.75">
      <c r="A318" s="49">
        <v>316</v>
      </c>
      <c r="B318" s="50"/>
      <c r="C318" s="52"/>
      <c r="D318" s="50" t="s">
        <v>143</v>
      </c>
      <c r="E318" s="50" t="e">
        <f>INDEX(#REF!,#REF!)</f>
        <v>#REF!</v>
      </c>
      <c r="F318" s="79"/>
      <c r="G318" s="79"/>
      <c r="H318" s="50">
        <f t="shared" si="89"/>
        <v>0</v>
      </c>
      <c r="I318" s="50">
        <f t="shared" si="90"/>
        <v>0</v>
      </c>
      <c r="J318" s="50">
        <f t="shared" si="91"/>
        <v>0</v>
      </c>
      <c r="K318" s="79"/>
      <c r="L318" s="49" t="s">
        <v>137</v>
      </c>
      <c r="M318" s="79"/>
      <c r="N318" s="79"/>
      <c r="O318" s="79"/>
      <c r="P318" s="65" t="s">
        <v>446</v>
      </c>
      <c r="Q318" s="49" t="str">
        <f t="shared" si="98"/>
        <v>20/07/2023</v>
      </c>
      <c r="R318" s="68">
        <f>IF(Q318="",0,DATEDIF(Q318,$C$1,"Y"))</f>
        <v>1</v>
      </c>
      <c r="S318" s="68">
        <f>IF(Q318="",0,DATEDIF(Q318,$C$1,"YM"))</f>
        <v>11</v>
      </c>
      <c r="T318" s="68">
        <f>IF(Q318="",0,DATEDIF(Q318,$C$1,"MD"))</f>
        <v>0</v>
      </c>
      <c r="U318" s="65"/>
      <c r="V318" s="83"/>
      <c r="W318" s="49" t="str">
        <f t="shared" si="99"/>
        <v/>
      </c>
      <c r="X318" s="68">
        <f>IF(W318="",0,DATEDIF(W318,Q318,"Y"))</f>
        <v>0</v>
      </c>
      <c r="Y318" s="68">
        <f>IF(W318="",0,DATEDIF(W318,Q318,"YM"))</f>
        <v>0</v>
      </c>
      <c r="Z318" s="68">
        <f>IF(W318="",0,DATEDIF(W318,Q318,"MD"))</f>
        <v>0</v>
      </c>
      <c r="AA318" s="79"/>
      <c r="AB318" s="79"/>
      <c r="AC318" s="50" t="str">
        <f t="shared" si="100"/>
        <v/>
      </c>
      <c r="AD318" s="68">
        <f t="shared" si="101"/>
        <v>0</v>
      </c>
      <c r="AE318" s="68">
        <f t="shared" si="102"/>
        <v>0</v>
      </c>
      <c r="AF318" s="68">
        <f t="shared" si="103"/>
        <v>0</v>
      </c>
      <c r="AG318" s="79"/>
      <c r="AH318" s="108" t="s">
        <v>138</v>
      </c>
      <c r="AI318" s="49" t="str">
        <f>IF(AH318="นิติศาสตร์","K5-LAW","K5-POLICY")</f>
        <v>K5-LAW</v>
      </c>
      <c r="AJ318" s="72" t="str">
        <f>_xlfn.IFS(B318="","",AND(AI318="K5-LAW",AH318="นิติศาสตร์",L318="S2",U318="",AA318=""),Q318,AND(AI318="K5-LAW",AH318="นิติศาสตร์",L318="S1",U318="",AA318=""),EDATE(Q318,12),AND(AI318="K5-LAW",AH318="นิติศาสตร์",OR(L318="M2",L318="K4"),U318="",AA318=""),EDATE(Q318,12*2),AND(AI318="K5-LAW",AH318="นิติศาสตร์",OR(AA318="M2",AA318="K4"),AD318&gt;=2,OR(AC318&lt;W318,AC318&lt;Q318)),EDATE(AC318,12*2),AND(AI318="K5-LAW",AH318="นิติศาสตร์",AA318="S1",AD318&gt;=1,OR(AC318&lt;W318,AC318&lt;Q318)),EDATE(AC318,12),AND(AI318="K5-LAW",AH318="นิติศาสตร์",OR(U318="M2",U318="K4"),X318&gt;=2,W318&lt;Q318),EDATE(W318,12*2),AND(AI318="K5-LAW",AH318="นิติศาสตร์",U318="S1",X318&gt;=1,W318&lt;Q318),EDATE(W318,12),AND(AI318="K5-LAW",AH318="นิติศาสตร์",OR(U318="S2",U318="K5")),W318,AND(AI318="K5-LAW",AH318="นิติศาสตร์",OR(L318="M2",L318="K4"),R318&gt;=2),EDATE(Q318,12*2),AND(AI318="K5-LAW",AH318="นิติศาสตร์",L318="S1",R318&gt;=1),EDATE(Q318,12),AND(AI318="K5-LAW",AH318="นิติศาสตร์",OR(L318="S2",L318="K5")),Q318,AND(AI318="K5-POLICY",AH318&lt;&gt;"นิติศาสตร์",L318="S2",U318="",AA318=""),Q318,AND(AI318="K5-POLICY",AH318&lt;&gt;"นิติศาสตร์",L318="S1",U318="",AA318=""),EDATE(Q318,12),AND(AI318="K5-POLICY",AH318&lt;&gt;"นิติศาสตร์",OR(L318="M2",L318="K4"),U318="",AA318=""),EDATE(Q318,12*2),AND(AI318="K5-POLICY",AH318&lt;&gt;"นิติศาสตร์",OR(AA318="M2",AA318="K4"),AD318&gt;=2,OR(AC318&lt;W318,AC318&lt;Q318)),EDATE(AC318,12*2),AND(AI318="K5-POLICY",AH318&lt;&gt;"นิติศาสตร์",AA318="S1",AD318&gt;=1,OR(AC318&lt;W318,AC318&lt;Q318)),EDATE(AC318,12),AND(AI318="K5-POLICY",AH318&lt;&gt;"นิติศาสตร์",OR(U318="M2",U318="K4"),X318&gt;=2,W318&lt;Q318),EDATE(W318,12*2),AND(AI318="K5-POLICY",AH318&lt;&gt;"นิติศาสตร์",U318="S1",X318&gt;=1,W318&lt;Q318),EDATE(W318,12),AND(AI318="K5-POLICY",AH318&lt;&gt;"นิติศาสตร์",OR(U318="S2",U318="K5")),W318,AND(AI318="K5-POLICY",AH318&lt;&gt;"นิติศาสตร์",OR(L318="M2",L318="K4"),R318&gt;=2),EDATE(Q318,12*2),AND(AI318="K5-POLICY",AH318&lt;&gt;"นิติศาสตร์",L318="S1",R318&gt;=1),EDATE(Q318,12),AND(AI318="K5-POLICY",AH318&lt;&gt;"นิติศาสตร์",OR(L318="S2",L318="K5")),Q318,TRUE,"Check Data")</f>
        <v/>
      </c>
      <c r="AK318" s="75" t="str">
        <f t="shared" si="104"/>
        <v>Check Data</v>
      </c>
      <c r="AL318" s="76" t="str">
        <f t="shared" si="92"/>
        <v>Check Data</v>
      </c>
      <c r="AM318" s="50" t="str">
        <f t="shared" si="105"/>
        <v>Check Data</v>
      </c>
      <c r="AN318" s="49" t="str">
        <f>IF(B318="","",IF(L318="S1","S1",INDEX(#REF!,#REF!)))</f>
        <v/>
      </c>
      <c r="AO318" s="49" t="str">
        <f t="shared" si="106"/>
        <v>K4</v>
      </c>
      <c r="AP318" s="50" t="b">
        <f>L318=AN318</f>
        <v>0</v>
      </c>
    </row>
    <row r="319" spans="1:42" ht="21.75">
      <c r="A319" s="49">
        <v>317</v>
      </c>
      <c r="B319" s="50"/>
      <c r="C319" s="52"/>
      <c r="D319" s="50" t="s">
        <v>144</v>
      </c>
      <c r="E319" s="50" t="e">
        <f>INDEX(#REF!,#REF!)</f>
        <v>#REF!</v>
      </c>
      <c r="F319" s="79"/>
      <c r="G319" s="79"/>
      <c r="H319" s="50">
        <f t="shared" si="89"/>
        <v>0</v>
      </c>
      <c r="I319" s="50">
        <f t="shared" si="90"/>
        <v>0</v>
      </c>
      <c r="J319" s="50">
        <f t="shared" si="91"/>
        <v>0</v>
      </c>
      <c r="K319" s="79"/>
      <c r="L319" s="49" t="s">
        <v>137</v>
      </c>
      <c r="M319" s="79"/>
      <c r="N319" s="79"/>
      <c r="O319" s="79"/>
      <c r="P319" s="65" t="s">
        <v>436</v>
      </c>
      <c r="Q319" s="49" t="str">
        <f t="shared" si="98"/>
        <v>21/09/2023</v>
      </c>
      <c r="R319" s="68">
        <f>IF(Q319="",0,DATEDIF(Q319,$C$1,"Y"))</f>
        <v>1</v>
      </c>
      <c r="S319" s="68">
        <f>IF(Q319="",0,DATEDIF(Q319,$C$1,"YM"))</f>
        <v>8</v>
      </c>
      <c r="T319" s="68">
        <f>IF(Q319="",0,DATEDIF(Q319,$C$1,"MD"))</f>
        <v>30</v>
      </c>
      <c r="U319" s="65"/>
      <c r="V319" s="83"/>
      <c r="W319" s="49" t="str">
        <f t="shared" si="99"/>
        <v/>
      </c>
      <c r="X319" s="68">
        <f>IF(W319="",0,DATEDIF(W319,Q319,"Y"))</f>
        <v>0</v>
      </c>
      <c r="Y319" s="68">
        <f>IF(W319="",0,DATEDIF(W319,Q319,"YM"))</f>
        <v>0</v>
      </c>
      <c r="Z319" s="68">
        <f>IF(W319="",0,DATEDIF(W319,Q319,"MD"))</f>
        <v>0</v>
      </c>
      <c r="AA319" s="79"/>
      <c r="AB319" s="79"/>
      <c r="AC319" s="50" t="str">
        <f t="shared" si="100"/>
        <v/>
      </c>
      <c r="AD319" s="68">
        <f t="shared" si="101"/>
        <v>0</v>
      </c>
      <c r="AE319" s="68">
        <f t="shared" si="102"/>
        <v>0</v>
      </c>
      <c r="AF319" s="68">
        <f t="shared" si="103"/>
        <v>0</v>
      </c>
      <c r="AG319" s="79"/>
      <c r="AH319" s="108" t="s">
        <v>138</v>
      </c>
      <c r="AI319" s="49" t="str">
        <f>IF(AH319="นิติศาสตร์","K5-LAW","K5-POLICY")</f>
        <v>K5-LAW</v>
      </c>
      <c r="AJ319" s="72" t="str">
        <f>_xlfn.IFS(B319="","",AND(AI319="K5-LAW",AH319="นิติศาสตร์",L319="S2",U319="",AA319=""),Q319,AND(AI319="K5-LAW",AH319="นิติศาสตร์",L319="S1",U319="",AA319=""),EDATE(Q319,12),AND(AI319="K5-LAW",AH319="นิติศาสตร์",OR(L319="M2",L319="K4"),U319="",AA319=""),EDATE(Q319,12*2),AND(AI319="K5-LAW",AH319="นิติศาสตร์",OR(AA319="M2",AA319="K4"),AD319&gt;=2,OR(AC319&lt;W319,AC319&lt;Q319)),EDATE(AC319,12*2),AND(AI319="K5-LAW",AH319="นิติศาสตร์",AA319="S1",AD319&gt;=1,OR(AC319&lt;W319,AC319&lt;Q319)),EDATE(AC319,12),AND(AI319="K5-LAW",AH319="นิติศาสตร์",OR(U319="M2",U319="K4"),X319&gt;=2,W319&lt;Q319),EDATE(W319,12*2),AND(AI319="K5-LAW",AH319="นิติศาสตร์",U319="S1",X319&gt;=1,W319&lt;Q319),EDATE(W319,12),AND(AI319="K5-LAW",AH319="นิติศาสตร์",OR(U319="S2",U319="K5")),W319,AND(AI319="K5-LAW",AH319="นิติศาสตร์",OR(L319="M2",L319="K4"),R319&gt;=2),EDATE(Q319,12*2),AND(AI319="K5-LAW",AH319="นิติศาสตร์",L319="S1",R319&gt;=1),EDATE(Q319,12),AND(AI319="K5-LAW",AH319="นิติศาสตร์",OR(L319="S2",L319="K5")),Q319,AND(AI319="K5-POLICY",AH319&lt;&gt;"นิติศาสตร์",L319="S2",U319="",AA319=""),Q319,AND(AI319="K5-POLICY",AH319&lt;&gt;"นิติศาสตร์",L319="S1",U319="",AA319=""),EDATE(Q319,12),AND(AI319="K5-POLICY",AH319&lt;&gt;"นิติศาสตร์",OR(L319="M2",L319="K4"),U319="",AA319=""),EDATE(Q319,12*2),AND(AI319="K5-POLICY",AH319&lt;&gt;"นิติศาสตร์",OR(AA319="M2",AA319="K4"),AD319&gt;=2,OR(AC319&lt;W319,AC319&lt;Q319)),EDATE(AC319,12*2),AND(AI319="K5-POLICY",AH319&lt;&gt;"นิติศาสตร์",AA319="S1",AD319&gt;=1,OR(AC319&lt;W319,AC319&lt;Q319)),EDATE(AC319,12),AND(AI319="K5-POLICY",AH319&lt;&gt;"นิติศาสตร์",OR(U319="M2",U319="K4"),X319&gt;=2,W319&lt;Q319),EDATE(W319,12*2),AND(AI319="K5-POLICY",AH319&lt;&gt;"นิติศาสตร์",U319="S1",X319&gt;=1,W319&lt;Q319),EDATE(W319,12),AND(AI319="K5-POLICY",AH319&lt;&gt;"นิติศาสตร์",OR(U319="S2",U319="K5")),W319,AND(AI319="K5-POLICY",AH319&lt;&gt;"นิติศาสตร์",OR(L319="M2",L319="K4"),R319&gt;=2),EDATE(Q319,12*2),AND(AI319="K5-POLICY",AH319&lt;&gt;"นิติศาสตร์",L319="S1",R319&gt;=1),EDATE(Q319,12),AND(AI319="K5-POLICY",AH319&lt;&gt;"นิติศาสตร์",OR(L319="S2",L319="K5")),Q319,TRUE,"Check Data")</f>
        <v/>
      </c>
      <c r="AK319" s="75" t="str">
        <f t="shared" si="104"/>
        <v>Check Data</v>
      </c>
      <c r="AL319" s="76" t="str">
        <f t="shared" si="92"/>
        <v>Check Data</v>
      </c>
      <c r="AM319" s="50" t="str">
        <f t="shared" si="105"/>
        <v>Check Data</v>
      </c>
      <c r="AN319" s="49" t="str">
        <f>IF(B319="","",IF(L319="S1","S1",INDEX(#REF!,#REF!)))</f>
        <v/>
      </c>
      <c r="AO319" s="49" t="str">
        <f t="shared" si="106"/>
        <v>K4</v>
      </c>
      <c r="AP319" s="50" t="b">
        <f>L319=AN319</f>
        <v>0</v>
      </c>
    </row>
    <row r="320" spans="1:42" ht="21.75">
      <c r="A320" s="49">
        <v>318</v>
      </c>
      <c r="B320" s="50"/>
      <c r="C320" s="52"/>
      <c r="D320" s="50" t="s">
        <v>144</v>
      </c>
      <c r="E320" s="50" t="e">
        <f>INDEX(#REF!,#REF!)</f>
        <v>#REF!</v>
      </c>
      <c r="F320" s="79"/>
      <c r="G320" s="79"/>
      <c r="H320" s="50">
        <f t="shared" si="89"/>
        <v>0</v>
      </c>
      <c r="I320" s="50">
        <f t="shared" si="90"/>
        <v>0</v>
      </c>
      <c r="J320" s="50">
        <f t="shared" si="91"/>
        <v>0</v>
      </c>
      <c r="K320" s="79"/>
      <c r="L320" s="49" t="s">
        <v>137</v>
      </c>
      <c r="M320" s="79"/>
      <c r="N320" s="79"/>
      <c r="O320" s="79"/>
      <c r="P320" s="65" t="s">
        <v>436</v>
      </c>
      <c r="Q320" s="49" t="str">
        <f t="shared" si="98"/>
        <v>21/09/2023</v>
      </c>
      <c r="R320" s="68">
        <f>IF(Q320="",0,DATEDIF(Q320,$C$1,"Y"))</f>
        <v>1</v>
      </c>
      <c r="S320" s="68">
        <f>IF(Q320="",0,DATEDIF(Q320,$C$1,"YM"))</f>
        <v>8</v>
      </c>
      <c r="T320" s="68">
        <f>IF(Q320="",0,DATEDIF(Q320,$C$1,"MD"))</f>
        <v>30</v>
      </c>
      <c r="U320" s="65"/>
      <c r="V320" s="83"/>
      <c r="W320" s="49" t="str">
        <f t="shared" si="99"/>
        <v/>
      </c>
      <c r="X320" s="68">
        <f>IF(W320="",0,DATEDIF(W320,Q320,"Y"))</f>
        <v>0</v>
      </c>
      <c r="Y320" s="68">
        <f>IF(W320="",0,DATEDIF(W320,Q320,"YM"))</f>
        <v>0</v>
      </c>
      <c r="Z320" s="68">
        <f>IF(W320="",0,DATEDIF(W320,Q320,"MD"))</f>
        <v>0</v>
      </c>
      <c r="AA320" s="79"/>
      <c r="AB320" s="79"/>
      <c r="AC320" s="50" t="str">
        <f t="shared" si="100"/>
        <v/>
      </c>
      <c r="AD320" s="68">
        <f t="shared" si="101"/>
        <v>0</v>
      </c>
      <c r="AE320" s="68">
        <f t="shared" si="102"/>
        <v>0</v>
      </c>
      <c r="AF320" s="68">
        <f t="shared" si="103"/>
        <v>0</v>
      </c>
      <c r="AG320" s="79"/>
      <c r="AH320" s="108"/>
      <c r="AI320" s="49" t="str">
        <f>IF(AH320="นิติศาสตร์","K5-LAW","K5-POLICY")</f>
        <v>K5-POLICY</v>
      </c>
      <c r="AJ320" s="72" t="str">
        <f>_xlfn.IFS(B320="","",AND(AI320="K5-LAW",AH320="นิติศาสตร์",L320="S2",U320="",AA320=""),Q320,AND(AI320="K5-LAW",AH320="นิติศาสตร์",L320="S1",U320="",AA320=""),EDATE(Q320,12),AND(AI320="K5-LAW",AH320="นิติศาสตร์",OR(L320="M2",L320="K4"),U320="",AA320=""),EDATE(Q320,12*2),AND(AI320="K5-LAW",AH320="นิติศาสตร์",OR(AA320="M2",AA320="K4"),AD320&gt;=2,OR(AC320&lt;W320,AC320&lt;Q320)),EDATE(AC320,12*2),AND(AI320="K5-LAW",AH320="นิติศาสตร์",AA320="S1",AD320&gt;=1,OR(AC320&lt;W320,AC320&lt;Q320)),EDATE(AC320,12),AND(AI320="K5-LAW",AH320="นิติศาสตร์",OR(U320="M2",U320="K4"),X320&gt;=2,W320&lt;Q320),EDATE(W320,12*2),AND(AI320="K5-LAW",AH320="นิติศาสตร์",U320="S1",X320&gt;=1,W320&lt;Q320),EDATE(W320,12),AND(AI320="K5-LAW",AH320="นิติศาสตร์",OR(U320="S2",U320="K5")),W320,AND(AI320="K5-LAW",AH320="นิติศาสตร์",OR(L320="M2",L320="K4"),R320&gt;=2),EDATE(Q320,12*2),AND(AI320="K5-LAW",AH320="นิติศาสตร์",L320="S1",R320&gt;=1),EDATE(Q320,12),AND(AI320="K5-LAW",AH320="นิติศาสตร์",OR(L320="S2",L320="K5")),Q320,AND(AI320="K5-POLICY",AH320&lt;&gt;"นิติศาสตร์",L320="S2",U320="",AA320=""),Q320,AND(AI320="K5-POLICY",AH320&lt;&gt;"นิติศาสตร์",L320="S1",U320="",AA320=""),EDATE(Q320,12),AND(AI320="K5-POLICY",AH320&lt;&gt;"นิติศาสตร์",OR(L320="M2",L320="K4"),U320="",AA320=""),EDATE(Q320,12*2),AND(AI320="K5-POLICY",AH320&lt;&gt;"นิติศาสตร์",OR(AA320="M2",AA320="K4"),AD320&gt;=2,OR(AC320&lt;W320,AC320&lt;Q320)),EDATE(AC320,12*2),AND(AI320="K5-POLICY",AH320&lt;&gt;"นิติศาสตร์",AA320="S1",AD320&gt;=1,OR(AC320&lt;W320,AC320&lt;Q320)),EDATE(AC320,12),AND(AI320="K5-POLICY",AH320&lt;&gt;"นิติศาสตร์",OR(U320="M2",U320="K4"),X320&gt;=2,W320&lt;Q320),EDATE(W320,12*2),AND(AI320="K5-POLICY",AH320&lt;&gt;"นิติศาสตร์",U320="S1",X320&gt;=1,W320&lt;Q320),EDATE(W320,12),AND(AI320="K5-POLICY",AH320&lt;&gt;"นิติศาสตร์",OR(U320="S2",U320="K5")),W320,AND(AI320="K5-POLICY",AH320&lt;&gt;"นิติศาสตร์",OR(L320="M2",L320="K4"),R320&gt;=2),EDATE(Q320,12*2),AND(AI320="K5-POLICY",AH320&lt;&gt;"นิติศาสตร์",L320="S1",R320&gt;=1),EDATE(Q320,12),AND(AI320="K5-POLICY",AH320&lt;&gt;"นิติศาสตร์",OR(L320="S2",L320="K5")),Q320,TRUE,"Check Data")</f>
        <v/>
      </c>
      <c r="AK320" s="75" t="str">
        <f t="shared" si="104"/>
        <v>Check Data</v>
      </c>
      <c r="AL320" s="76" t="str">
        <f t="shared" si="92"/>
        <v>Check Data</v>
      </c>
      <c r="AM320" s="50" t="str">
        <f t="shared" si="105"/>
        <v>Check Data</v>
      </c>
      <c r="AN320" s="49" t="str">
        <f>IF(B320="","",IF(L320="S1","S1",INDEX(#REF!,#REF!)))</f>
        <v/>
      </c>
      <c r="AO320" s="49" t="str">
        <f t="shared" si="106"/>
        <v>K4</v>
      </c>
      <c r="AP320" s="50" t="b">
        <f>L320=AN320</f>
        <v>0</v>
      </c>
    </row>
    <row r="321" spans="1:42" ht="21.75">
      <c r="A321" s="49">
        <v>319</v>
      </c>
      <c r="B321" s="50"/>
      <c r="C321" s="52"/>
      <c r="D321" s="50" t="s">
        <v>144</v>
      </c>
      <c r="E321" s="50" t="e">
        <f>INDEX(#REF!,#REF!)</f>
        <v>#REF!</v>
      </c>
      <c r="F321" s="79"/>
      <c r="G321" s="79"/>
      <c r="H321" s="50">
        <f t="shared" si="89"/>
        <v>0</v>
      </c>
      <c r="I321" s="50">
        <f t="shared" si="90"/>
        <v>0</v>
      </c>
      <c r="J321" s="50">
        <f t="shared" si="91"/>
        <v>0</v>
      </c>
      <c r="K321" s="79"/>
      <c r="L321" s="49" t="s">
        <v>137</v>
      </c>
      <c r="M321" s="79"/>
      <c r="N321" s="79"/>
      <c r="O321" s="79"/>
      <c r="P321" s="65" t="s">
        <v>437</v>
      </c>
      <c r="Q321" s="49" t="str">
        <f t="shared" si="98"/>
        <v>02/10/2023</v>
      </c>
      <c r="R321" s="68">
        <f>IF(Q321="",0,DATEDIF(Q321,$C$1,"Y"))</f>
        <v>1</v>
      </c>
      <c r="S321" s="68">
        <f>IF(Q321="",0,DATEDIF(Q321,$C$1,"YM"))</f>
        <v>8</v>
      </c>
      <c r="T321" s="68">
        <f>IF(Q321="",0,DATEDIF(Q321,$C$1,"MD"))</f>
        <v>18</v>
      </c>
      <c r="U321" s="65"/>
      <c r="V321" s="83"/>
      <c r="W321" s="49" t="str">
        <f t="shared" si="99"/>
        <v/>
      </c>
      <c r="X321" s="68">
        <f>IF(W321="",0,DATEDIF(W321,Q321,"Y"))</f>
        <v>0</v>
      </c>
      <c r="Y321" s="68">
        <f>IF(W321="",0,DATEDIF(W321,Q321,"YM"))</f>
        <v>0</v>
      </c>
      <c r="Z321" s="68">
        <f>IF(W321="",0,DATEDIF(W321,Q321,"MD"))</f>
        <v>0</v>
      </c>
      <c r="AA321" s="79"/>
      <c r="AB321" s="79"/>
      <c r="AC321" s="50" t="str">
        <f t="shared" si="100"/>
        <v/>
      </c>
      <c r="AD321" s="68">
        <f t="shared" si="101"/>
        <v>0</v>
      </c>
      <c r="AE321" s="68">
        <f t="shared" si="102"/>
        <v>0</v>
      </c>
      <c r="AF321" s="68">
        <f t="shared" si="103"/>
        <v>0</v>
      </c>
      <c r="AG321" s="79"/>
      <c r="AH321" s="108"/>
      <c r="AI321" s="49" t="str">
        <f>IF(AH321="นิติศาสตร์","K5-LAW","K5-POLICY")</f>
        <v>K5-POLICY</v>
      </c>
      <c r="AJ321" s="72" t="str">
        <f>_xlfn.IFS(B321="","",AND(AI321="K5-LAW",AH321="นิติศาสตร์",L321="S2",U321="",AA321=""),Q321,AND(AI321="K5-LAW",AH321="นิติศาสตร์",L321="S1",U321="",AA321=""),EDATE(Q321,12),AND(AI321="K5-LAW",AH321="นิติศาสตร์",OR(L321="M2",L321="K4"),U321="",AA321=""),EDATE(Q321,12*2),AND(AI321="K5-LAW",AH321="นิติศาสตร์",OR(AA321="M2",AA321="K4"),AD321&gt;=2,OR(AC321&lt;W321,AC321&lt;Q321)),EDATE(AC321,12*2),AND(AI321="K5-LAW",AH321="นิติศาสตร์",AA321="S1",AD321&gt;=1,OR(AC321&lt;W321,AC321&lt;Q321)),EDATE(AC321,12),AND(AI321="K5-LAW",AH321="นิติศาสตร์",OR(U321="M2",U321="K4"),X321&gt;=2,W321&lt;Q321),EDATE(W321,12*2),AND(AI321="K5-LAW",AH321="นิติศาสตร์",U321="S1",X321&gt;=1,W321&lt;Q321),EDATE(W321,12),AND(AI321="K5-LAW",AH321="นิติศาสตร์",OR(U321="S2",U321="K5")),W321,AND(AI321="K5-LAW",AH321="นิติศาสตร์",OR(L321="M2",L321="K4"),R321&gt;=2),EDATE(Q321,12*2),AND(AI321="K5-LAW",AH321="นิติศาสตร์",L321="S1",R321&gt;=1),EDATE(Q321,12),AND(AI321="K5-LAW",AH321="นิติศาสตร์",OR(L321="S2",L321="K5")),Q321,AND(AI321="K5-POLICY",AH321&lt;&gt;"นิติศาสตร์",L321="S2",U321="",AA321=""),Q321,AND(AI321="K5-POLICY",AH321&lt;&gt;"นิติศาสตร์",L321="S1",U321="",AA321=""),EDATE(Q321,12),AND(AI321="K5-POLICY",AH321&lt;&gt;"นิติศาสตร์",OR(L321="M2",L321="K4"),U321="",AA321=""),EDATE(Q321,12*2),AND(AI321="K5-POLICY",AH321&lt;&gt;"นิติศาสตร์",OR(AA321="M2",AA321="K4"),AD321&gt;=2,OR(AC321&lt;W321,AC321&lt;Q321)),EDATE(AC321,12*2),AND(AI321="K5-POLICY",AH321&lt;&gt;"นิติศาสตร์",AA321="S1",AD321&gt;=1,OR(AC321&lt;W321,AC321&lt;Q321)),EDATE(AC321,12),AND(AI321="K5-POLICY",AH321&lt;&gt;"นิติศาสตร์",OR(U321="M2",U321="K4"),X321&gt;=2,W321&lt;Q321),EDATE(W321,12*2),AND(AI321="K5-POLICY",AH321&lt;&gt;"นิติศาสตร์",U321="S1",X321&gt;=1,W321&lt;Q321),EDATE(W321,12),AND(AI321="K5-POLICY",AH321&lt;&gt;"นิติศาสตร์",OR(U321="S2",U321="K5")),W321,AND(AI321="K5-POLICY",AH321&lt;&gt;"นิติศาสตร์",OR(L321="M2",L321="K4"),R321&gt;=2),EDATE(Q321,12*2),AND(AI321="K5-POLICY",AH321&lt;&gt;"นิติศาสตร์",L321="S1",R321&gt;=1),EDATE(Q321,12),AND(AI321="K5-POLICY",AH321&lt;&gt;"นิติศาสตร์",OR(L321="S2",L321="K5")),Q321,TRUE,"Check Data")</f>
        <v/>
      </c>
      <c r="AK321" s="75" t="str">
        <f t="shared" si="104"/>
        <v>Check Data</v>
      </c>
      <c r="AL321" s="76" t="str">
        <f t="shared" si="92"/>
        <v>Check Data</v>
      </c>
      <c r="AM321" s="50" t="str">
        <f t="shared" si="105"/>
        <v>Check Data</v>
      </c>
      <c r="AN321" s="49" t="str">
        <f>IF(B321="","",IF(L321="S1","S1",INDEX(#REF!,#REF!)))</f>
        <v/>
      </c>
      <c r="AO321" s="49" t="str">
        <f t="shared" si="106"/>
        <v>K4</v>
      </c>
      <c r="AP321" s="50" t="b">
        <f>L321=AN321</f>
        <v>0</v>
      </c>
    </row>
    <row r="322" spans="1:42" ht="21.75">
      <c r="A322" s="49">
        <v>320</v>
      </c>
      <c r="B322" s="50"/>
      <c r="C322" s="52"/>
      <c r="D322" s="50" t="s">
        <v>144</v>
      </c>
      <c r="E322" s="50" t="e">
        <f>INDEX(#REF!,#REF!)</f>
        <v>#REF!</v>
      </c>
      <c r="F322" s="79"/>
      <c r="G322" s="79"/>
      <c r="H322" s="50">
        <f t="shared" si="89"/>
        <v>0</v>
      </c>
      <c r="I322" s="50">
        <f t="shared" si="90"/>
        <v>0</v>
      </c>
      <c r="J322" s="50">
        <f t="shared" si="91"/>
        <v>0</v>
      </c>
      <c r="K322" s="79"/>
      <c r="L322" s="49" t="s">
        <v>137</v>
      </c>
      <c r="M322" s="79"/>
      <c r="N322" s="79"/>
      <c r="O322" s="79"/>
      <c r="P322" s="65" t="s">
        <v>439</v>
      </c>
      <c r="Q322" s="49" t="str">
        <f t="shared" si="98"/>
        <v>30/01/2024</v>
      </c>
      <c r="R322" s="68">
        <f>IF(Q322="",0,DATEDIF(Q322,$C$1,"Y"))</f>
        <v>1</v>
      </c>
      <c r="S322" s="68">
        <f>IF(Q322="",0,DATEDIF(Q322,$C$1,"YM"))</f>
        <v>4</v>
      </c>
      <c r="T322" s="68">
        <f>IF(Q322="",0,DATEDIF(Q322,$C$1,"MD"))</f>
        <v>21</v>
      </c>
      <c r="U322" s="65"/>
      <c r="V322" s="83"/>
      <c r="W322" s="49" t="str">
        <f t="shared" si="99"/>
        <v/>
      </c>
      <c r="X322" s="68">
        <f>IF(W322="",0,DATEDIF(W322,Q322,"Y"))</f>
        <v>0</v>
      </c>
      <c r="Y322" s="68">
        <f>IF(W322="",0,DATEDIF(W322,Q322,"YM"))</f>
        <v>0</v>
      </c>
      <c r="Z322" s="68">
        <f>IF(W322="",0,DATEDIF(W322,Q322,"MD"))</f>
        <v>0</v>
      </c>
      <c r="AA322" s="79"/>
      <c r="AB322" s="79"/>
      <c r="AC322" s="50" t="str">
        <f t="shared" si="100"/>
        <v/>
      </c>
      <c r="AD322" s="68">
        <f t="shared" si="101"/>
        <v>0</v>
      </c>
      <c r="AE322" s="68">
        <f t="shared" si="102"/>
        <v>0</v>
      </c>
      <c r="AF322" s="68">
        <f t="shared" si="103"/>
        <v>0</v>
      </c>
      <c r="AG322" s="79"/>
      <c r="AH322" s="108"/>
      <c r="AI322" s="49" t="str">
        <f>IF(AH322="นิติศาสตร์","K5-LAW","K5-POLICY")</f>
        <v>K5-POLICY</v>
      </c>
      <c r="AJ322" s="72" t="str">
        <f>_xlfn.IFS(B322="","",AND(AI322="K5-LAW",AH322="นิติศาสตร์",L322="S2",U322="",AA322=""),Q322,AND(AI322="K5-LAW",AH322="นิติศาสตร์",L322="S1",U322="",AA322=""),EDATE(Q322,12),AND(AI322="K5-LAW",AH322="นิติศาสตร์",OR(L322="M2",L322="K4"),U322="",AA322=""),EDATE(Q322,12*2),AND(AI322="K5-LAW",AH322="นิติศาสตร์",OR(AA322="M2",AA322="K4"),AD322&gt;=2,OR(AC322&lt;W322,AC322&lt;Q322)),EDATE(AC322,12*2),AND(AI322="K5-LAW",AH322="นิติศาสตร์",AA322="S1",AD322&gt;=1,OR(AC322&lt;W322,AC322&lt;Q322)),EDATE(AC322,12),AND(AI322="K5-LAW",AH322="นิติศาสตร์",OR(U322="M2",U322="K4"),X322&gt;=2,W322&lt;Q322),EDATE(W322,12*2),AND(AI322="K5-LAW",AH322="นิติศาสตร์",U322="S1",X322&gt;=1,W322&lt;Q322),EDATE(W322,12),AND(AI322="K5-LAW",AH322="นิติศาสตร์",OR(U322="S2",U322="K5")),W322,AND(AI322="K5-LAW",AH322="นิติศาสตร์",OR(L322="M2",L322="K4"),R322&gt;=2),EDATE(Q322,12*2),AND(AI322="K5-LAW",AH322="นิติศาสตร์",L322="S1",R322&gt;=1),EDATE(Q322,12),AND(AI322="K5-LAW",AH322="นิติศาสตร์",OR(L322="S2",L322="K5")),Q322,AND(AI322="K5-POLICY",AH322&lt;&gt;"นิติศาสตร์",L322="S2",U322="",AA322=""),Q322,AND(AI322="K5-POLICY",AH322&lt;&gt;"นิติศาสตร์",L322="S1",U322="",AA322=""),EDATE(Q322,12),AND(AI322="K5-POLICY",AH322&lt;&gt;"นิติศาสตร์",OR(L322="M2",L322="K4"),U322="",AA322=""),EDATE(Q322,12*2),AND(AI322="K5-POLICY",AH322&lt;&gt;"นิติศาสตร์",OR(AA322="M2",AA322="K4"),AD322&gt;=2,OR(AC322&lt;W322,AC322&lt;Q322)),EDATE(AC322,12*2),AND(AI322="K5-POLICY",AH322&lt;&gt;"นิติศาสตร์",AA322="S1",AD322&gt;=1,OR(AC322&lt;W322,AC322&lt;Q322)),EDATE(AC322,12),AND(AI322="K5-POLICY",AH322&lt;&gt;"นิติศาสตร์",OR(U322="M2",U322="K4"),X322&gt;=2,W322&lt;Q322),EDATE(W322,12*2),AND(AI322="K5-POLICY",AH322&lt;&gt;"นิติศาสตร์",U322="S1",X322&gt;=1,W322&lt;Q322),EDATE(W322,12),AND(AI322="K5-POLICY",AH322&lt;&gt;"นิติศาสตร์",OR(U322="S2",U322="K5")),W322,AND(AI322="K5-POLICY",AH322&lt;&gt;"นิติศาสตร์",OR(L322="M2",L322="K4"),R322&gt;=2),EDATE(Q322,12*2),AND(AI322="K5-POLICY",AH322&lt;&gt;"นิติศาสตร์",L322="S1",R322&gt;=1),EDATE(Q322,12),AND(AI322="K5-POLICY",AH322&lt;&gt;"นิติศาสตร์",OR(L322="S2",L322="K5")),Q322,TRUE,"Check Data")</f>
        <v/>
      </c>
      <c r="AK322" s="75" t="str">
        <f t="shared" si="104"/>
        <v>Check Data</v>
      </c>
      <c r="AL322" s="76" t="str">
        <f t="shared" si="92"/>
        <v>Check Data</v>
      </c>
      <c r="AM322" s="50" t="str">
        <f t="shared" si="105"/>
        <v>Check Data</v>
      </c>
      <c r="AN322" s="49" t="str">
        <f>IF(B322="","",IF(L322="S1","S1",INDEX(#REF!,#REF!)))</f>
        <v/>
      </c>
      <c r="AO322" s="49" t="str">
        <f t="shared" si="106"/>
        <v>K4</v>
      </c>
      <c r="AP322" s="50" t="b">
        <f>L322=AN322</f>
        <v>0</v>
      </c>
    </row>
    <row r="323" spans="1:42" ht="21.75">
      <c r="A323" s="49">
        <v>321</v>
      </c>
      <c r="B323" s="50"/>
      <c r="C323" s="52"/>
      <c r="D323" s="50" t="s">
        <v>144</v>
      </c>
      <c r="E323" s="50" t="e">
        <f>INDEX(#REF!,#REF!)</f>
        <v>#REF!</v>
      </c>
      <c r="F323" s="79"/>
      <c r="G323" s="79"/>
      <c r="H323" s="50">
        <f t="shared" ref="H323:H333" si="108">IF(G323="",0,DATEDIF(G323,$C$1,"Y"))</f>
        <v>0</v>
      </c>
      <c r="I323" s="50">
        <f t="shared" ref="I323:I333" si="109">IF(G323="",0,DATEDIF(G323,$C$1,"YM"))</f>
        <v>0</v>
      </c>
      <c r="J323" s="50">
        <f t="shared" ref="J323:J333" si="110">IF(G323="",0,DATEDIF(G323,$C$1,"MD"))</f>
        <v>0</v>
      </c>
      <c r="K323" s="79"/>
      <c r="L323" s="49" t="s">
        <v>137</v>
      </c>
      <c r="M323" s="79"/>
      <c r="N323" s="79"/>
      <c r="O323" s="79"/>
      <c r="P323" s="65" t="s">
        <v>447</v>
      </c>
      <c r="Q323" s="49" t="str">
        <f t="shared" si="98"/>
        <v>16/05/2024</v>
      </c>
      <c r="R323" s="68">
        <f>IF(Q323="",0,DATEDIF(Q323,$C$1,"Y"))</f>
        <v>1</v>
      </c>
      <c r="S323" s="68">
        <f>IF(Q323="",0,DATEDIF(Q323,$C$1,"YM"))</f>
        <v>1</v>
      </c>
      <c r="T323" s="68">
        <f>IF(Q323="",0,DATEDIF(Q323,$C$1,"MD"))</f>
        <v>4</v>
      </c>
      <c r="U323" s="65"/>
      <c r="V323" s="83"/>
      <c r="W323" s="49" t="str">
        <f t="shared" si="99"/>
        <v/>
      </c>
      <c r="X323" s="68">
        <f>IF(W323="",0,DATEDIF(W323,Q323,"Y"))</f>
        <v>0</v>
      </c>
      <c r="Y323" s="68">
        <f>IF(W323="",0,DATEDIF(W323,Q323,"YM"))</f>
        <v>0</v>
      </c>
      <c r="Z323" s="68">
        <f>IF(W323="",0,DATEDIF(W323,Q323,"MD"))</f>
        <v>0</v>
      </c>
      <c r="AA323" s="79"/>
      <c r="AB323" s="79"/>
      <c r="AC323" s="50" t="str">
        <f t="shared" si="100"/>
        <v/>
      </c>
      <c r="AD323" s="68">
        <f t="shared" si="101"/>
        <v>0</v>
      </c>
      <c r="AE323" s="68">
        <f t="shared" si="102"/>
        <v>0</v>
      </c>
      <c r="AF323" s="68">
        <f t="shared" si="103"/>
        <v>0</v>
      </c>
      <c r="AG323" s="79"/>
      <c r="AH323" s="108"/>
      <c r="AI323" s="49" t="str">
        <f>IF(AH323="นิติศาสตร์","K5-LAW","K5-POLICY")</f>
        <v>K5-POLICY</v>
      </c>
      <c r="AJ323" s="72" t="str">
        <f>_xlfn.IFS(B323="","",AND(AI323="K5-LAW",AH323="นิติศาสตร์",L323="S2",U323="",AA323=""),Q323,AND(AI323="K5-LAW",AH323="นิติศาสตร์",L323="S1",U323="",AA323=""),EDATE(Q323,12),AND(AI323="K5-LAW",AH323="นิติศาสตร์",OR(L323="M2",L323="K4"),U323="",AA323=""),EDATE(Q323,12*2),AND(AI323="K5-LAW",AH323="นิติศาสตร์",OR(AA323="M2",AA323="K4"),AD323&gt;=2,OR(AC323&lt;W323,AC323&lt;Q323)),EDATE(AC323,12*2),AND(AI323="K5-LAW",AH323="นิติศาสตร์",AA323="S1",AD323&gt;=1,OR(AC323&lt;W323,AC323&lt;Q323)),EDATE(AC323,12),AND(AI323="K5-LAW",AH323="นิติศาสตร์",OR(U323="M2",U323="K4"),X323&gt;=2,W323&lt;Q323),EDATE(W323,12*2),AND(AI323="K5-LAW",AH323="นิติศาสตร์",U323="S1",X323&gt;=1,W323&lt;Q323),EDATE(W323,12),AND(AI323="K5-LAW",AH323="นิติศาสตร์",OR(U323="S2",U323="K5")),W323,AND(AI323="K5-LAW",AH323="นิติศาสตร์",OR(L323="M2",L323="K4"),R323&gt;=2),EDATE(Q323,12*2),AND(AI323="K5-LAW",AH323="นิติศาสตร์",L323="S1",R323&gt;=1),EDATE(Q323,12),AND(AI323="K5-LAW",AH323="นิติศาสตร์",OR(L323="S2",L323="K5")),Q323,AND(AI323="K5-POLICY",AH323&lt;&gt;"นิติศาสตร์",L323="S2",U323="",AA323=""),Q323,AND(AI323="K5-POLICY",AH323&lt;&gt;"นิติศาสตร์",L323="S1",U323="",AA323=""),EDATE(Q323,12),AND(AI323="K5-POLICY",AH323&lt;&gt;"นิติศาสตร์",OR(L323="M2",L323="K4"),U323="",AA323=""),EDATE(Q323,12*2),AND(AI323="K5-POLICY",AH323&lt;&gt;"นิติศาสตร์",OR(AA323="M2",AA323="K4"),AD323&gt;=2,OR(AC323&lt;W323,AC323&lt;Q323)),EDATE(AC323,12*2),AND(AI323="K5-POLICY",AH323&lt;&gt;"นิติศาสตร์",AA323="S1",AD323&gt;=1,OR(AC323&lt;W323,AC323&lt;Q323)),EDATE(AC323,12),AND(AI323="K5-POLICY",AH323&lt;&gt;"นิติศาสตร์",OR(U323="M2",U323="K4"),X323&gt;=2,W323&lt;Q323),EDATE(W323,12*2),AND(AI323="K5-POLICY",AH323&lt;&gt;"นิติศาสตร์",U323="S1",X323&gt;=1,W323&lt;Q323),EDATE(W323,12),AND(AI323="K5-POLICY",AH323&lt;&gt;"นิติศาสตร์",OR(U323="S2",U323="K5")),W323,AND(AI323="K5-POLICY",AH323&lt;&gt;"นิติศาสตร์",OR(L323="M2",L323="K4"),R323&gt;=2),EDATE(Q323,12*2),AND(AI323="K5-POLICY",AH323&lt;&gt;"นิติศาสตร์",L323="S1",R323&gt;=1),EDATE(Q323,12),AND(AI323="K5-POLICY",AH323&lt;&gt;"นิติศาสตร์",OR(L323="S2",L323="K5")),Q323,TRUE,"Check Data")</f>
        <v/>
      </c>
      <c r="AK323" s="75" t="str">
        <f t="shared" si="104"/>
        <v>Check Data</v>
      </c>
      <c r="AL323" s="76" t="str">
        <f t="shared" ref="AL323:AL333" si="111">IFERROR(IF($C$1&gt;AJ323,AJ323-$C$1,DATEDIF($C$1,AJ323,"d")),"Check Data")</f>
        <v>Check Data</v>
      </c>
      <c r="AM323" s="50" t="str">
        <f t="shared" si="105"/>
        <v>Check Data</v>
      </c>
      <c r="AN323" s="49" t="str">
        <f>IF(B323="","",IF(L323="S1","S1",INDEX(#REF!,#REF!)))</f>
        <v/>
      </c>
      <c r="AO323" s="49" t="str">
        <f t="shared" si="106"/>
        <v>K4</v>
      </c>
      <c r="AP323" s="50" t="b">
        <f>L323=AN323</f>
        <v>0</v>
      </c>
    </row>
    <row r="324" spans="1:42" ht="21.75">
      <c r="A324" s="49">
        <v>322</v>
      </c>
      <c r="B324" s="50"/>
      <c r="C324" s="52"/>
      <c r="D324" s="50" t="s">
        <v>139</v>
      </c>
      <c r="E324" s="50" t="e">
        <f>INDEX(#REF!,#REF!)</f>
        <v>#REF!</v>
      </c>
      <c r="F324" s="49"/>
      <c r="G324" s="49"/>
      <c r="H324" s="50">
        <f t="shared" si="108"/>
        <v>0</v>
      </c>
      <c r="I324" s="50">
        <f t="shared" si="109"/>
        <v>0</v>
      </c>
      <c r="J324" s="50">
        <f t="shared" si="110"/>
        <v>0</v>
      </c>
      <c r="K324" s="50"/>
      <c r="L324" s="49" t="s">
        <v>137</v>
      </c>
      <c r="M324" s="64"/>
      <c r="N324" s="49"/>
      <c r="O324" s="49"/>
      <c r="P324" s="65" t="s">
        <v>455</v>
      </c>
      <c r="Q324" s="49" t="str">
        <f t="shared" si="98"/>
        <v>04/07/2024</v>
      </c>
      <c r="R324" s="68">
        <f>IF(Q324="",0,DATEDIF(Q324,$C$1,"Y"))</f>
        <v>0</v>
      </c>
      <c r="S324" s="68">
        <f>IF(Q324="",0,DATEDIF(Q324,$C$1,"YM"))</f>
        <v>11</v>
      </c>
      <c r="T324" s="68">
        <f>IF(Q324="",0,DATEDIF(Q324,$C$1,"MD"))</f>
        <v>16</v>
      </c>
      <c r="U324" s="65"/>
      <c r="V324" s="65"/>
      <c r="W324" s="49" t="str">
        <f t="shared" si="99"/>
        <v/>
      </c>
      <c r="X324" s="68">
        <f>IF(W324="",0,DATEDIF(W324,Q324,"Y"))</f>
        <v>0</v>
      </c>
      <c r="Y324" s="68">
        <f>IF(W324="",0,DATEDIF(W324,Q324,"YM"))</f>
        <v>0</v>
      </c>
      <c r="Z324" s="68">
        <f>IF(W324="",0,DATEDIF(W324,Q324,"MD"))</f>
        <v>0</v>
      </c>
      <c r="AA324" s="49"/>
      <c r="AB324" s="65"/>
      <c r="AC324" s="50" t="str">
        <f t="shared" si="100"/>
        <v/>
      </c>
      <c r="AD324" s="68">
        <f t="shared" si="101"/>
        <v>0</v>
      </c>
      <c r="AE324" s="68">
        <f t="shared" si="102"/>
        <v>0</v>
      </c>
      <c r="AF324" s="68">
        <f t="shared" si="103"/>
        <v>0</v>
      </c>
      <c r="AG324" s="50"/>
      <c r="AH324" s="108"/>
      <c r="AI324" s="49" t="str">
        <f>IF(AH324="นิติศาสตร์","K5-LAW","K5-POLICY")</f>
        <v>K5-POLICY</v>
      </c>
      <c r="AJ324" s="72" t="str">
        <f>_xlfn.IFS(B324="","",AND(AI324="K5-LAW",AH324="นิติศาสตร์",L324="S2",U324="",AA324=""),Q324,AND(AI324="K5-LAW",AH324="นิติศาสตร์",L324="S1",U324="",AA324=""),EDATE(Q324,12),AND(AI324="K5-LAW",AH324="นิติศาสตร์",OR(L324="M2",L324="K4"),U324="",AA324=""),EDATE(Q324,12*2),AND(AI324="K5-LAW",AH324="นิติศาสตร์",OR(AA324="M2",AA324="K4"),AD324&gt;=2,OR(AC324&lt;W324,AC324&lt;Q324)),EDATE(AC324,12*2),AND(AI324="K5-LAW",AH324="นิติศาสตร์",AA324="S1",AD324&gt;=1,OR(AC324&lt;W324,AC324&lt;Q324)),EDATE(AC324,12),AND(AI324="K5-LAW",AH324="นิติศาสตร์",OR(U324="M2",U324="K4"),X324&gt;=2,W324&lt;Q324),EDATE(W324,12*2),AND(AI324="K5-LAW",AH324="นิติศาสตร์",U324="S1",X324&gt;=1,W324&lt;Q324),EDATE(W324,12),AND(AI324="K5-LAW",AH324="นิติศาสตร์",OR(U324="S2",U324="K5")),W324,AND(AI324="K5-LAW",AH324="นิติศาสตร์",OR(L324="M2",L324="K4"),R324&gt;=2),EDATE(Q324,12*2),AND(AI324="K5-LAW",AH324="นิติศาสตร์",L324="S1",R324&gt;=1),EDATE(Q324,12),AND(AI324="K5-LAW",AH324="นิติศาสตร์",OR(L324="S2",L324="K5")),Q324,AND(AI324="K5-POLICY",AH324&lt;&gt;"นิติศาสตร์",L324="S2",U324="",AA324=""),Q324,AND(AI324="K5-POLICY",AH324&lt;&gt;"นิติศาสตร์",L324="S1",U324="",AA324=""),EDATE(Q324,12),AND(AI324="K5-POLICY",AH324&lt;&gt;"นิติศาสตร์",OR(L324="M2",L324="K4"),U324="",AA324=""),EDATE(Q324,12*2),AND(AI324="K5-POLICY",AH324&lt;&gt;"นิติศาสตร์",OR(AA324="M2",AA324="K4"),AD324&gt;=2,OR(AC324&lt;W324,AC324&lt;Q324)),EDATE(AC324,12*2),AND(AI324="K5-POLICY",AH324&lt;&gt;"นิติศาสตร์",AA324="S1",AD324&gt;=1,OR(AC324&lt;W324,AC324&lt;Q324)),EDATE(AC324,12),AND(AI324="K5-POLICY",AH324&lt;&gt;"นิติศาสตร์",OR(U324="M2",U324="K4"),X324&gt;=2,W324&lt;Q324),EDATE(W324,12*2),AND(AI324="K5-POLICY",AH324&lt;&gt;"นิติศาสตร์",U324="S1",X324&gt;=1,W324&lt;Q324),EDATE(W324,12),AND(AI324="K5-POLICY",AH324&lt;&gt;"นิติศาสตร์",OR(U324="S2",U324="K5")),W324,AND(AI324="K5-POLICY",AH324&lt;&gt;"นิติศาสตร์",OR(L324="M2",L324="K4"),R324&gt;=2),EDATE(Q324,12*2),AND(AI324="K5-POLICY",AH324&lt;&gt;"นิติศาสตร์",L324="S1",R324&gt;=1),EDATE(Q324,12),AND(AI324="K5-POLICY",AH324&lt;&gt;"นิติศาสตร์",OR(L324="S2",L324="K5")),Q324,TRUE,"Check Data")</f>
        <v/>
      </c>
      <c r="AK324" s="75" t="str">
        <f t="shared" si="104"/>
        <v>Check Data</v>
      </c>
      <c r="AL324" s="76" t="str">
        <f t="shared" si="111"/>
        <v>Check Data</v>
      </c>
      <c r="AM324" s="50" t="str">
        <f t="shared" si="105"/>
        <v>Check Data</v>
      </c>
      <c r="AN324" s="49" t="str">
        <f>IF(B324="","",IF(L324="S1","S1",INDEX(#REF!,#REF!)))</f>
        <v/>
      </c>
      <c r="AO324" s="49" t="str">
        <f t="shared" si="106"/>
        <v>K4</v>
      </c>
      <c r="AP324" s="50" t="b">
        <f>L324=AN324</f>
        <v>0</v>
      </c>
    </row>
    <row r="325" spans="1:42" ht="21.75">
      <c r="A325" s="49">
        <v>323</v>
      </c>
      <c r="B325" s="50"/>
      <c r="C325" s="52"/>
      <c r="D325" s="50" t="s">
        <v>139</v>
      </c>
      <c r="E325" s="50" t="e">
        <f>INDEX(#REF!,#REF!)</f>
        <v>#REF!</v>
      </c>
      <c r="F325" s="49"/>
      <c r="G325" s="49"/>
      <c r="H325" s="50">
        <f t="shared" si="108"/>
        <v>0</v>
      </c>
      <c r="I325" s="50">
        <f t="shared" si="109"/>
        <v>0</v>
      </c>
      <c r="J325" s="50">
        <f t="shared" si="110"/>
        <v>0</v>
      </c>
      <c r="K325" s="50"/>
      <c r="L325" s="49" t="s">
        <v>137</v>
      </c>
      <c r="M325" s="64"/>
      <c r="N325" s="49"/>
      <c r="O325" s="49"/>
      <c r="P325" s="65" t="s">
        <v>456</v>
      </c>
      <c r="Q325" s="49" t="str">
        <f t="shared" si="98"/>
        <v>11/07/2024</v>
      </c>
      <c r="R325" s="68">
        <f>IF(Q325="",0,DATEDIF(Q325,$C$1,"Y"))</f>
        <v>0</v>
      </c>
      <c r="S325" s="68">
        <f>IF(Q325="",0,DATEDIF(Q325,$C$1,"YM"))</f>
        <v>11</v>
      </c>
      <c r="T325" s="68">
        <f>IF(Q325="",0,DATEDIF(Q325,$C$1,"MD"))</f>
        <v>9</v>
      </c>
      <c r="U325" s="65"/>
      <c r="V325" s="65"/>
      <c r="W325" s="49" t="str">
        <f t="shared" si="99"/>
        <v/>
      </c>
      <c r="X325" s="68">
        <f>IF(W325="",0,DATEDIF(W325,Q325,"Y"))</f>
        <v>0</v>
      </c>
      <c r="Y325" s="68">
        <f>IF(W325="",0,DATEDIF(W325,Q325,"YM"))</f>
        <v>0</v>
      </c>
      <c r="Z325" s="68">
        <f>IF(W325="",0,DATEDIF(W325,Q325,"MD"))</f>
        <v>0</v>
      </c>
      <c r="AA325" s="49"/>
      <c r="AB325" s="65"/>
      <c r="AC325" s="50" t="str">
        <f t="shared" si="100"/>
        <v/>
      </c>
      <c r="AD325" s="68">
        <f t="shared" si="101"/>
        <v>0</v>
      </c>
      <c r="AE325" s="68">
        <f t="shared" si="102"/>
        <v>0</v>
      </c>
      <c r="AF325" s="68">
        <f t="shared" si="103"/>
        <v>0</v>
      </c>
      <c r="AG325" s="50"/>
      <c r="AH325" s="108"/>
      <c r="AI325" s="49" t="str">
        <f>IF(AH325="นิติศาสตร์","K5-LAW","K5-POLICY")</f>
        <v>K5-POLICY</v>
      </c>
      <c r="AJ325" s="72" t="str">
        <f>_xlfn.IFS(B325="","",AND(AI325="K5-LAW",AH325="นิติศาสตร์",L325="S2",U325="",AA325=""),Q325,AND(AI325="K5-LAW",AH325="นิติศาสตร์",L325="S1",U325="",AA325=""),EDATE(Q325,12),AND(AI325="K5-LAW",AH325="นิติศาสตร์",OR(L325="M2",L325="K4"),U325="",AA325=""),EDATE(Q325,12*2),AND(AI325="K5-LAW",AH325="นิติศาสตร์",OR(AA325="M2",AA325="K4"),AD325&gt;=2,OR(AC325&lt;W325,AC325&lt;Q325)),EDATE(AC325,12*2),AND(AI325="K5-LAW",AH325="นิติศาสตร์",AA325="S1",AD325&gt;=1,OR(AC325&lt;W325,AC325&lt;Q325)),EDATE(AC325,12),AND(AI325="K5-LAW",AH325="นิติศาสตร์",OR(U325="M2",U325="K4"),X325&gt;=2,W325&lt;Q325),EDATE(W325,12*2),AND(AI325="K5-LAW",AH325="นิติศาสตร์",U325="S1",X325&gt;=1,W325&lt;Q325),EDATE(W325,12),AND(AI325="K5-LAW",AH325="นิติศาสตร์",OR(U325="S2",U325="K5")),W325,AND(AI325="K5-LAW",AH325="นิติศาสตร์",OR(L325="M2",L325="K4"),R325&gt;=2),EDATE(Q325,12*2),AND(AI325="K5-LAW",AH325="นิติศาสตร์",L325="S1",R325&gt;=1),EDATE(Q325,12),AND(AI325="K5-LAW",AH325="นิติศาสตร์",OR(L325="S2",L325="K5")),Q325,AND(AI325="K5-POLICY",AH325&lt;&gt;"นิติศาสตร์",L325="S2",U325="",AA325=""),Q325,AND(AI325="K5-POLICY",AH325&lt;&gt;"นิติศาสตร์",L325="S1",U325="",AA325=""),EDATE(Q325,12),AND(AI325="K5-POLICY",AH325&lt;&gt;"นิติศาสตร์",OR(L325="M2",L325="K4"),U325="",AA325=""),EDATE(Q325,12*2),AND(AI325="K5-POLICY",AH325&lt;&gt;"นิติศาสตร์",OR(AA325="M2",AA325="K4"),AD325&gt;=2,OR(AC325&lt;W325,AC325&lt;Q325)),EDATE(AC325,12*2),AND(AI325="K5-POLICY",AH325&lt;&gt;"นิติศาสตร์",AA325="S1",AD325&gt;=1,OR(AC325&lt;W325,AC325&lt;Q325)),EDATE(AC325,12),AND(AI325="K5-POLICY",AH325&lt;&gt;"นิติศาสตร์",OR(U325="M2",U325="K4"),X325&gt;=2,W325&lt;Q325),EDATE(W325,12*2),AND(AI325="K5-POLICY",AH325&lt;&gt;"นิติศาสตร์",U325="S1",X325&gt;=1,W325&lt;Q325),EDATE(W325,12),AND(AI325="K5-POLICY",AH325&lt;&gt;"นิติศาสตร์",OR(U325="S2",U325="K5")),W325,AND(AI325="K5-POLICY",AH325&lt;&gt;"นิติศาสตร์",OR(L325="M2",L325="K4"),R325&gt;=2),EDATE(Q325,12*2),AND(AI325="K5-POLICY",AH325&lt;&gt;"นิติศาสตร์",L325="S1",R325&gt;=1),EDATE(Q325,12),AND(AI325="K5-POLICY",AH325&lt;&gt;"นิติศาสตร์",OR(L325="S2",L325="K5")),Q325,TRUE,"Check Data")</f>
        <v/>
      </c>
      <c r="AK325" s="75" t="str">
        <f t="shared" si="104"/>
        <v>Check Data</v>
      </c>
      <c r="AL325" s="76" t="str">
        <f t="shared" si="111"/>
        <v>Check Data</v>
      </c>
      <c r="AM325" s="50" t="str">
        <f t="shared" si="105"/>
        <v>Check Data</v>
      </c>
      <c r="AN325" s="49" t="str">
        <f>IF(B325="","",IF(L325="S1","S1",INDEX(#REF!,#REF!)))</f>
        <v/>
      </c>
      <c r="AO325" s="49" t="str">
        <f t="shared" si="106"/>
        <v>K4</v>
      </c>
      <c r="AP325" s="50" t="b">
        <f>L325=AN325</f>
        <v>0</v>
      </c>
    </row>
    <row r="326" spans="1:42" ht="21.75">
      <c r="A326" s="49">
        <v>324</v>
      </c>
      <c r="B326" s="50"/>
      <c r="C326" s="52"/>
      <c r="D326" s="50" t="s">
        <v>141</v>
      </c>
      <c r="E326" s="50" t="e">
        <f>INDEX(#REF!,#REF!)</f>
        <v>#REF!</v>
      </c>
      <c r="F326" s="49"/>
      <c r="G326" s="49"/>
      <c r="H326" s="50">
        <f t="shared" si="108"/>
        <v>0</v>
      </c>
      <c r="I326" s="50">
        <f t="shared" si="109"/>
        <v>0</v>
      </c>
      <c r="J326" s="50">
        <f t="shared" si="110"/>
        <v>0</v>
      </c>
      <c r="K326" s="50"/>
      <c r="L326" s="49" t="s">
        <v>137</v>
      </c>
      <c r="M326" s="64"/>
      <c r="N326" s="49"/>
      <c r="O326" s="49"/>
      <c r="P326" s="65" t="s">
        <v>448</v>
      </c>
      <c r="Q326" s="49" t="str">
        <f t="shared" si="98"/>
        <v>17/07/2024</v>
      </c>
      <c r="R326" s="68">
        <f>IF(Q326="",0,DATEDIF(Q326,$C$1,"Y"))</f>
        <v>0</v>
      </c>
      <c r="S326" s="68">
        <f>IF(Q326="",0,DATEDIF(Q326,$C$1,"YM"))</f>
        <v>11</v>
      </c>
      <c r="T326" s="68">
        <f>IF(Q326="",0,DATEDIF(Q326,$C$1,"MD"))</f>
        <v>3</v>
      </c>
      <c r="U326" s="65"/>
      <c r="V326" s="65"/>
      <c r="W326" s="49" t="str">
        <f t="shared" si="99"/>
        <v/>
      </c>
      <c r="X326" s="68">
        <f>IF(W326="",0,DATEDIF(W326,Q326,"Y"))</f>
        <v>0</v>
      </c>
      <c r="Y326" s="68">
        <f>IF(W326="",0,DATEDIF(W326,Q326,"YM"))</f>
        <v>0</v>
      </c>
      <c r="Z326" s="68">
        <f>IF(W326="",0,DATEDIF(W326,Q326,"MD"))</f>
        <v>0</v>
      </c>
      <c r="AA326" s="49"/>
      <c r="AB326" s="65"/>
      <c r="AC326" s="50" t="str">
        <f t="shared" si="100"/>
        <v/>
      </c>
      <c r="AD326" s="68">
        <f t="shared" si="101"/>
        <v>0</v>
      </c>
      <c r="AE326" s="68">
        <f t="shared" si="102"/>
        <v>0</v>
      </c>
      <c r="AF326" s="68">
        <f t="shared" si="103"/>
        <v>0</v>
      </c>
      <c r="AG326" s="50"/>
      <c r="AH326" s="108" t="s">
        <v>138</v>
      </c>
      <c r="AI326" s="49" t="str">
        <f>IF(AH326="นิติศาสตร์","K5-LAW","K5-POLICY")</f>
        <v>K5-LAW</v>
      </c>
      <c r="AJ326" s="72" t="str">
        <f>_xlfn.IFS(B326="","",AND(AI326="K5-LAW",AH326="นิติศาสตร์",L326="S2",U326="",AA326=""),Q326,AND(AI326="K5-LAW",AH326="นิติศาสตร์",L326="S1",U326="",AA326=""),EDATE(Q326,12),AND(AI326="K5-LAW",AH326="นิติศาสตร์",OR(L326="M2",L326="K4"),U326="",AA326=""),EDATE(Q326,12*2),AND(AI326="K5-LAW",AH326="นิติศาสตร์",OR(AA326="M2",AA326="K4"),AD326&gt;=2,OR(AC326&lt;W326,AC326&lt;Q326)),EDATE(AC326,12*2),AND(AI326="K5-LAW",AH326="นิติศาสตร์",AA326="S1",AD326&gt;=1,OR(AC326&lt;W326,AC326&lt;Q326)),EDATE(AC326,12),AND(AI326="K5-LAW",AH326="นิติศาสตร์",OR(U326="M2",U326="K4"),X326&gt;=2,W326&lt;Q326),EDATE(W326,12*2),AND(AI326="K5-LAW",AH326="นิติศาสตร์",U326="S1",X326&gt;=1,W326&lt;Q326),EDATE(W326,12),AND(AI326="K5-LAW",AH326="นิติศาสตร์",OR(U326="S2",U326="K5")),W326,AND(AI326="K5-LAW",AH326="นิติศาสตร์",OR(L326="M2",L326="K4"),R326&gt;=2),EDATE(Q326,12*2),AND(AI326="K5-LAW",AH326="นิติศาสตร์",L326="S1",R326&gt;=1),EDATE(Q326,12),AND(AI326="K5-LAW",AH326="นิติศาสตร์",OR(L326="S2",L326="K5")),Q326,AND(AI326="K5-POLICY",AH326&lt;&gt;"นิติศาสตร์",L326="S2",U326="",AA326=""),Q326,AND(AI326="K5-POLICY",AH326&lt;&gt;"นิติศาสตร์",L326="S1",U326="",AA326=""),EDATE(Q326,12),AND(AI326="K5-POLICY",AH326&lt;&gt;"นิติศาสตร์",OR(L326="M2",L326="K4"),U326="",AA326=""),EDATE(Q326,12*2),AND(AI326="K5-POLICY",AH326&lt;&gt;"นิติศาสตร์",OR(AA326="M2",AA326="K4"),AD326&gt;=2,OR(AC326&lt;W326,AC326&lt;Q326)),EDATE(AC326,12*2),AND(AI326="K5-POLICY",AH326&lt;&gt;"นิติศาสตร์",AA326="S1",AD326&gt;=1,OR(AC326&lt;W326,AC326&lt;Q326)),EDATE(AC326,12),AND(AI326="K5-POLICY",AH326&lt;&gt;"นิติศาสตร์",OR(U326="M2",U326="K4"),X326&gt;=2,W326&lt;Q326),EDATE(W326,12*2),AND(AI326="K5-POLICY",AH326&lt;&gt;"นิติศาสตร์",U326="S1",X326&gt;=1,W326&lt;Q326),EDATE(W326,12),AND(AI326="K5-POLICY",AH326&lt;&gt;"นิติศาสตร์",OR(U326="S2",U326="K5")),W326,AND(AI326="K5-POLICY",AH326&lt;&gt;"นิติศาสตร์",OR(L326="M2",L326="K4"),R326&gt;=2),EDATE(Q326,12*2),AND(AI326="K5-POLICY",AH326&lt;&gt;"นิติศาสตร์",L326="S1",R326&gt;=1),EDATE(Q326,12),AND(AI326="K5-POLICY",AH326&lt;&gt;"นิติศาสตร์",OR(L326="S2",L326="K5")),Q326,TRUE,"Check Data")</f>
        <v/>
      </c>
      <c r="AK326" s="75" t="str">
        <f t="shared" si="104"/>
        <v>Check Data</v>
      </c>
      <c r="AL326" s="76" t="str">
        <f t="shared" si="111"/>
        <v>Check Data</v>
      </c>
      <c r="AM326" s="50" t="str">
        <f t="shared" si="105"/>
        <v>Check Data</v>
      </c>
      <c r="AN326" s="49" t="str">
        <f>IF(B326="","",IF(L326="S1","S1",INDEX(#REF!,#REF!)))</f>
        <v/>
      </c>
      <c r="AO326" s="49" t="str">
        <f t="shared" si="106"/>
        <v>K4</v>
      </c>
      <c r="AP326" s="50" t="b">
        <f>L326=AN326</f>
        <v>0</v>
      </c>
    </row>
    <row r="327" spans="1:42" ht="21.75">
      <c r="A327" s="49">
        <v>325</v>
      </c>
      <c r="B327" s="50"/>
      <c r="C327" s="52"/>
      <c r="D327" s="50" t="s">
        <v>144</v>
      </c>
      <c r="E327" s="50" t="e">
        <f>INDEX(#REF!,#REF!)</f>
        <v>#REF!</v>
      </c>
      <c r="F327" s="79"/>
      <c r="G327" s="79"/>
      <c r="H327" s="50">
        <f t="shared" si="108"/>
        <v>0</v>
      </c>
      <c r="I327" s="50">
        <f t="shared" si="109"/>
        <v>0</v>
      </c>
      <c r="J327" s="50">
        <f t="shared" si="110"/>
        <v>0</v>
      </c>
      <c r="K327" s="79"/>
      <c r="L327" s="49" t="s">
        <v>137</v>
      </c>
      <c r="M327" s="79"/>
      <c r="N327" s="79"/>
      <c r="O327" s="79"/>
      <c r="P327" s="65" t="s">
        <v>448</v>
      </c>
      <c r="Q327" s="49" t="str">
        <f t="shared" si="98"/>
        <v>17/07/2024</v>
      </c>
      <c r="R327" s="68">
        <f>IF(Q327="",0,DATEDIF(Q327,$C$1,"Y"))</f>
        <v>0</v>
      </c>
      <c r="S327" s="68">
        <f>IF(Q327="",0,DATEDIF(Q327,$C$1,"YM"))</f>
        <v>11</v>
      </c>
      <c r="T327" s="68">
        <f>IF(Q327="",0,DATEDIF(Q327,$C$1,"MD"))</f>
        <v>3</v>
      </c>
      <c r="U327" s="65"/>
      <c r="V327" s="83"/>
      <c r="W327" s="49" t="str">
        <f t="shared" si="99"/>
        <v/>
      </c>
      <c r="X327" s="68">
        <f>IF(W327="",0,DATEDIF(W327,Q327,"Y"))</f>
        <v>0</v>
      </c>
      <c r="Y327" s="68">
        <f>IF(W327="",0,DATEDIF(W327,Q327,"YM"))</f>
        <v>0</v>
      </c>
      <c r="Z327" s="68">
        <f>IF(W327="",0,DATEDIF(W327,Q327,"MD"))</f>
        <v>0</v>
      </c>
      <c r="AA327" s="79"/>
      <c r="AB327" s="79"/>
      <c r="AC327" s="50" t="str">
        <f t="shared" si="100"/>
        <v/>
      </c>
      <c r="AD327" s="68">
        <f t="shared" si="101"/>
        <v>0</v>
      </c>
      <c r="AE327" s="68">
        <f t="shared" si="102"/>
        <v>0</v>
      </c>
      <c r="AF327" s="68">
        <f t="shared" si="103"/>
        <v>0</v>
      </c>
      <c r="AG327" s="79"/>
      <c r="AH327" s="108"/>
      <c r="AI327" s="49" t="str">
        <f>IF(AH327="นิติศาสตร์","K5-LAW","K5-POLICY")</f>
        <v>K5-POLICY</v>
      </c>
      <c r="AJ327" s="72" t="str">
        <f>_xlfn.IFS(B327="","",AND(AI327="K5-LAW",AH327="นิติศาสตร์",L327="S2",U327="",AA327=""),Q327,AND(AI327="K5-LAW",AH327="นิติศาสตร์",L327="S1",U327="",AA327=""),EDATE(Q327,12),AND(AI327="K5-LAW",AH327="นิติศาสตร์",OR(L327="M2",L327="K4"),U327="",AA327=""),EDATE(Q327,12*2),AND(AI327="K5-LAW",AH327="นิติศาสตร์",OR(AA327="M2",AA327="K4"),AD327&gt;=2,OR(AC327&lt;W327,AC327&lt;Q327)),EDATE(AC327,12*2),AND(AI327="K5-LAW",AH327="นิติศาสตร์",AA327="S1",AD327&gt;=1,OR(AC327&lt;W327,AC327&lt;Q327)),EDATE(AC327,12),AND(AI327="K5-LAW",AH327="นิติศาสตร์",OR(U327="M2",U327="K4"),X327&gt;=2,W327&lt;Q327),EDATE(W327,12*2),AND(AI327="K5-LAW",AH327="นิติศาสตร์",U327="S1",X327&gt;=1,W327&lt;Q327),EDATE(W327,12),AND(AI327="K5-LAW",AH327="นิติศาสตร์",OR(U327="S2",U327="K5")),W327,AND(AI327="K5-LAW",AH327="นิติศาสตร์",OR(L327="M2",L327="K4"),R327&gt;=2),EDATE(Q327,12*2),AND(AI327="K5-LAW",AH327="นิติศาสตร์",L327="S1",R327&gt;=1),EDATE(Q327,12),AND(AI327="K5-LAW",AH327="นิติศาสตร์",OR(L327="S2",L327="K5")),Q327,AND(AI327="K5-POLICY",AH327&lt;&gt;"นิติศาสตร์",L327="S2",U327="",AA327=""),Q327,AND(AI327="K5-POLICY",AH327&lt;&gt;"นิติศาสตร์",L327="S1",U327="",AA327=""),EDATE(Q327,12),AND(AI327="K5-POLICY",AH327&lt;&gt;"นิติศาสตร์",OR(L327="M2",L327="K4"),U327="",AA327=""),EDATE(Q327,12*2),AND(AI327="K5-POLICY",AH327&lt;&gt;"นิติศาสตร์",OR(AA327="M2",AA327="K4"),AD327&gt;=2,OR(AC327&lt;W327,AC327&lt;Q327)),EDATE(AC327,12*2),AND(AI327="K5-POLICY",AH327&lt;&gt;"นิติศาสตร์",AA327="S1",AD327&gt;=1,OR(AC327&lt;W327,AC327&lt;Q327)),EDATE(AC327,12),AND(AI327="K5-POLICY",AH327&lt;&gt;"นิติศาสตร์",OR(U327="M2",U327="K4"),X327&gt;=2,W327&lt;Q327),EDATE(W327,12*2),AND(AI327="K5-POLICY",AH327&lt;&gt;"นิติศาสตร์",U327="S1",X327&gt;=1,W327&lt;Q327),EDATE(W327,12),AND(AI327="K5-POLICY",AH327&lt;&gt;"นิติศาสตร์",OR(U327="S2",U327="K5")),W327,AND(AI327="K5-POLICY",AH327&lt;&gt;"นิติศาสตร์",OR(L327="M2",L327="K4"),R327&gt;=2),EDATE(Q327,12*2),AND(AI327="K5-POLICY",AH327&lt;&gt;"นิติศาสตร์",L327="S1",R327&gt;=1),EDATE(Q327,12),AND(AI327="K5-POLICY",AH327&lt;&gt;"นิติศาสตร์",OR(L327="S2",L327="K5")),Q327,TRUE,"Check Data")</f>
        <v/>
      </c>
      <c r="AK327" s="75" t="str">
        <f t="shared" si="104"/>
        <v>Check Data</v>
      </c>
      <c r="AL327" s="76" t="str">
        <f t="shared" si="111"/>
        <v>Check Data</v>
      </c>
      <c r="AM327" s="50" t="str">
        <f t="shared" si="105"/>
        <v>Check Data</v>
      </c>
      <c r="AN327" s="49" t="str">
        <f>IF(B327="","",IF(L327="S1","S1",INDEX(#REF!,#REF!)))</f>
        <v/>
      </c>
      <c r="AO327" s="49" t="str">
        <f t="shared" si="106"/>
        <v>K4</v>
      </c>
      <c r="AP327" s="50" t="b">
        <f>L327=AN327</f>
        <v>0</v>
      </c>
    </row>
    <row r="328" spans="1:42" ht="21.75">
      <c r="A328" s="49">
        <v>326</v>
      </c>
      <c r="B328" s="50"/>
      <c r="C328" s="52"/>
      <c r="D328" s="50" t="s">
        <v>141</v>
      </c>
      <c r="E328" s="50" t="e">
        <f>INDEX(#REF!,#REF!)</f>
        <v>#REF!</v>
      </c>
      <c r="F328" s="49"/>
      <c r="G328" s="49"/>
      <c r="H328" s="50">
        <f t="shared" si="108"/>
        <v>0</v>
      </c>
      <c r="I328" s="50">
        <f t="shared" si="109"/>
        <v>0</v>
      </c>
      <c r="J328" s="50">
        <f t="shared" si="110"/>
        <v>0</v>
      </c>
      <c r="K328" s="50"/>
      <c r="L328" s="49" t="s">
        <v>137</v>
      </c>
      <c r="M328" s="64"/>
      <c r="N328" s="49"/>
      <c r="O328" s="49"/>
      <c r="P328" s="65" t="s">
        <v>449</v>
      </c>
      <c r="Q328" s="49" t="str">
        <f t="shared" si="98"/>
        <v>19/07/2024</v>
      </c>
      <c r="R328" s="68">
        <f>IF(Q328="",0,DATEDIF(Q328,$C$1,"Y"))</f>
        <v>0</v>
      </c>
      <c r="S328" s="68">
        <f>IF(Q328="",0,DATEDIF(Q328,$C$1,"YM"))</f>
        <v>11</v>
      </c>
      <c r="T328" s="68">
        <f>IF(Q328="",0,DATEDIF(Q328,$C$1,"MD"))</f>
        <v>1</v>
      </c>
      <c r="U328" s="65"/>
      <c r="V328" s="65"/>
      <c r="W328" s="49" t="str">
        <f t="shared" si="99"/>
        <v/>
      </c>
      <c r="X328" s="68">
        <f>IF(W328="",0,DATEDIF(W328,Q328,"Y"))</f>
        <v>0</v>
      </c>
      <c r="Y328" s="68">
        <f>IF(W328="",0,DATEDIF(W328,Q328,"YM"))</f>
        <v>0</v>
      </c>
      <c r="Z328" s="68">
        <f>IF(W328="",0,DATEDIF(W328,Q328,"MD"))</f>
        <v>0</v>
      </c>
      <c r="AA328" s="49"/>
      <c r="AB328" s="65"/>
      <c r="AC328" s="50" t="str">
        <f t="shared" si="100"/>
        <v/>
      </c>
      <c r="AD328" s="68">
        <f t="shared" si="101"/>
        <v>0</v>
      </c>
      <c r="AE328" s="68">
        <f t="shared" si="102"/>
        <v>0</v>
      </c>
      <c r="AF328" s="68">
        <f t="shared" si="103"/>
        <v>0</v>
      </c>
      <c r="AG328" s="50"/>
      <c r="AH328" s="108"/>
      <c r="AI328" s="49" t="str">
        <f>IF(AH328="นิติศาสตร์","K5-LAW","K5-POLICY")</f>
        <v>K5-POLICY</v>
      </c>
      <c r="AJ328" s="72" t="str">
        <f>_xlfn.IFS(B328="","",AND(AI328="K5-LAW",AH328="นิติศาสตร์",L328="S2",U328="",AA328=""),Q328,AND(AI328="K5-LAW",AH328="นิติศาสตร์",L328="S1",U328="",AA328=""),EDATE(Q328,12),AND(AI328="K5-LAW",AH328="นิติศาสตร์",OR(L328="M2",L328="K4"),U328="",AA328=""),EDATE(Q328,12*2),AND(AI328="K5-LAW",AH328="นิติศาสตร์",OR(AA328="M2",AA328="K4"),AD328&gt;=2,OR(AC328&lt;W328,AC328&lt;Q328)),EDATE(AC328,12*2),AND(AI328="K5-LAW",AH328="นิติศาสตร์",AA328="S1",AD328&gt;=1,OR(AC328&lt;W328,AC328&lt;Q328)),EDATE(AC328,12),AND(AI328="K5-LAW",AH328="นิติศาสตร์",OR(U328="M2",U328="K4"),X328&gt;=2,W328&lt;Q328),EDATE(W328,12*2),AND(AI328="K5-LAW",AH328="นิติศาสตร์",U328="S1",X328&gt;=1,W328&lt;Q328),EDATE(W328,12),AND(AI328="K5-LAW",AH328="นิติศาสตร์",OR(U328="S2",U328="K5")),W328,AND(AI328="K5-LAW",AH328="นิติศาสตร์",OR(L328="M2",L328="K4"),R328&gt;=2),EDATE(Q328,12*2),AND(AI328="K5-LAW",AH328="นิติศาสตร์",L328="S1",R328&gt;=1),EDATE(Q328,12),AND(AI328="K5-LAW",AH328="นิติศาสตร์",OR(L328="S2",L328="K5")),Q328,AND(AI328="K5-POLICY",AH328&lt;&gt;"นิติศาสตร์",L328="S2",U328="",AA328=""),Q328,AND(AI328="K5-POLICY",AH328&lt;&gt;"นิติศาสตร์",L328="S1",U328="",AA328=""),EDATE(Q328,12),AND(AI328="K5-POLICY",AH328&lt;&gt;"นิติศาสตร์",OR(L328="M2",L328="K4"),U328="",AA328=""),EDATE(Q328,12*2),AND(AI328="K5-POLICY",AH328&lt;&gt;"นิติศาสตร์",OR(AA328="M2",AA328="K4"),AD328&gt;=2,OR(AC328&lt;W328,AC328&lt;Q328)),EDATE(AC328,12*2),AND(AI328="K5-POLICY",AH328&lt;&gt;"นิติศาสตร์",AA328="S1",AD328&gt;=1,OR(AC328&lt;W328,AC328&lt;Q328)),EDATE(AC328,12),AND(AI328="K5-POLICY",AH328&lt;&gt;"นิติศาสตร์",OR(U328="M2",U328="K4"),X328&gt;=2,W328&lt;Q328),EDATE(W328,12*2),AND(AI328="K5-POLICY",AH328&lt;&gt;"นิติศาสตร์",U328="S1",X328&gt;=1,W328&lt;Q328),EDATE(W328,12),AND(AI328="K5-POLICY",AH328&lt;&gt;"นิติศาสตร์",OR(U328="S2",U328="K5")),W328,AND(AI328="K5-POLICY",AH328&lt;&gt;"นิติศาสตร์",OR(L328="M2",L328="K4"),R328&gt;=2),EDATE(Q328,12*2),AND(AI328="K5-POLICY",AH328&lt;&gt;"นิติศาสตร์",L328="S1",R328&gt;=1),EDATE(Q328,12),AND(AI328="K5-POLICY",AH328&lt;&gt;"นิติศาสตร์",OR(L328="S2",L328="K5")),Q328,TRUE,"Check Data")</f>
        <v/>
      </c>
      <c r="AK328" s="75" t="str">
        <f t="shared" si="104"/>
        <v>Check Data</v>
      </c>
      <c r="AL328" s="76" t="str">
        <f t="shared" si="111"/>
        <v>Check Data</v>
      </c>
      <c r="AM328" s="50" t="str">
        <f t="shared" si="105"/>
        <v>Check Data</v>
      </c>
      <c r="AN328" s="49" t="str">
        <f>IF(B328="","",IF(L328="S1","S1",INDEX(#REF!,#REF!)))</f>
        <v/>
      </c>
      <c r="AO328" s="49" t="str">
        <f t="shared" si="106"/>
        <v>K4</v>
      </c>
      <c r="AP328" s="50" t="b">
        <f>L328=AN328</f>
        <v>0</v>
      </c>
    </row>
    <row r="329" spans="1:42" ht="21.75">
      <c r="A329" s="49">
        <v>327</v>
      </c>
      <c r="B329" s="50"/>
      <c r="C329" s="52"/>
      <c r="D329" s="50" t="s">
        <v>143</v>
      </c>
      <c r="E329" s="50" t="e">
        <f>INDEX(#REF!,#REF!)</f>
        <v>#REF!</v>
      </c>
      <c r="F329" s="79"/>
      <c r="G329" s="79"/>
      <c r="H329" s="50">
        <f t="shared" si="108"/>
        <v>0</v>
      </c>
      <c r="I329" s="50">
        <f t="shared" si="109"/>
        <v>0</v>
      </c>
      <c r="J329" s="50">
        <f t="shared" si="110"/>
        <v>0</v>
      </c>
      <c r="K329" s="79"/>
      <c r="L329" s="49" t="s">
        <v>137</v>
      </c>
      <c r="M329" s="79"/>
      <c r="N329" s="79"/>
      <c r="O329" s="79"/>
      <c r="P329" s="65" t="s">
        <v>465</v>
      </c>
      <c r="Q329" s="49" t="str">
        <f t="shared" si="98"/>
        <v>24/07/2024</v>
      </c>
      <c r="R329" s="68">
        <f>IF(Q329="",0,DATEDIF(Q329,$C$1,"Y"))</f>
        <v>0</v>
      </c>
      <c r="S329" s="68">
        <f>IF(Q329="",0,DATEDIF(Q329,$C$1,"YM"))</f>
        <v>10</v>
      </c>
      <c r="T329" s="68">
        <f>IF(Q329="",0,DATEDIF(Q329,$C$1,"MD"))</f>
        <v>27</v>
      </c>
      <c r="U329" s="65"/>
      <c r="V329" s="83"/>
      <c r="W329" s="49" t="str">
        <f t="shared" si="99"/>
        <v/>
      </c>
      <c r="X329" s="68">
        <f>IF(W329="",0,DATEDIF(W329,Q329,"Y"))</f>
        <v>0</v>
      </c>
      <c r="Y329" s="68">
        <f>IF(W329="",0,DATEDIF(W329,Q329,"YM"))</f>
        <v>0</v>
      </c>
      <c r="Z329" s="68">
        <f>IF(W329="",0,DATEDIF(W329,Q329,"MD"))</f>
        <v>0</v>
      </c>
      <c r="AA329" s="79"/>
      <c r="AB329" s="79"/>
      <c r="AC329" s="50" t="str">
        <f t="shared" si="100"/>
        <v/>
      </c>
      <c r="AD329" s="68">
        <f t="shared" si="101"/>
        <v>0</v>
      </c>
      <c r="AE329" s="68">
        <f t="shared" si="102"/>
        <v>0</v>
      </c>
      <c r="AF329" s="68">
        <f t="shared" si="103"/>
        <v>0</v>
      </c>
      <c r="AG329" s="79"/>
      <c r="AH329" s="108"/>
      <c r="AI329" s="49" t="str">
        <f>IF(AH329="นิติศาสตร์","K5-LAW","K5-POLICY")</f>
        <v>K5-POLICY</v>
      </c>
      <c r="AJ329" s="72" t="str">
        <f>_xlfn.IFS(B329="","",AND(AI329="K5-LAW",AH329="นิติศาสตร์",L329="S2",U329="",AA329=""),Q329,AND(AI329="K5-LAW",AH329="นิติศาสตร์",L329="S1",U329="",AA329=""),EDATE(Q329,12),AND(AI329="K5-LAW",AH329="นิติศาสตร์",OR(L329="M2",L329="K4"),U329="",AA329=""),EDATE(Q329,12*2),AND(AI329="K5-LAW",AH329="นิติศาสตร์",OR(AA329="M2",AA329="K4"),AD329&gt;=2,OR(AC329&lt;W329,AC329&lt;Q329)),EDATE(AC329,12*2),AND(AI329="K5-LAW",AH329="นิติศาสตร์",AA329="S1",AD329&gt;=1,OR(AC329&lt;W329,AC329&lt;Q329)),EDATE(AC329,12),AND(AI329="K5-LAW",AH329="นิติศาสตร์",OR(U329="M2",U329="K4"),X329&gt;=2,W329&lt;Q329),EDATE(W329,12*2),AND(AI329="K5-LAW",AH329="นิติศาสตร์",U329="S1",X329&gt;=1,W329&lt;Q329),EDATE(W329,12),AND(AI329="K5-LAW",AH329="นิติศาสตร์",OR(U329="S2",U329="K5")),W329,AND(AI329="K5-LAW",AH329="นิติศาสตร์",OR(L329="M2",L329="K4"),R329&gt;=2),EDATE(Q329,12*2),AND(AI329="K5-LAW",AH329="นิติศาสตร์",L329="S1",R329&gt;=1),EDATE(Q329,12),AND(AI329="K5-LAW",AH329="นิติศาสตร์",OR(L329="S2",L329="K5")),Q329,AND(AI329="K5-POLICY",AH329&lt;&gt;"นิติศาสตร์",L329="S2",U329="",AA329=""),Q329,AND(AI329="K5-POLICY",AH329&lt;&gt;"นิติศาสตร์",L329="S1",U329="",AA329=""),EDATE(Q329,12),AND(AI329="K5-POLICY",AH329&lt;&gt;"นิติศาสตร์",OR(L329="M2",L329="K4"),U329="",AA329=""),EDATE(Q329,12*2),AND(AI329="K5-POLICY",AH329&lt;&gt;"นิติศาสตร์",OR(AA329="M2",AA329="K4"),AD329&gt;=2,OR(AC329&lt;W329,AC329&lt;Q329)),EDATE(AC329,12*2),AND(AI329="K5-POLICY",AH329&lt;&gt;"นิติศาสตร์",AA329="S1",AD329&gt;=1,OR(AC329&lt;W329,AC329&lt;Q329)),EDATE(AC329,12),AND(AI329="K5-POLICY",AH329&lt;&gt;"นิติศาสตร์",OR(U329="M2",U329="K4"),X329&gt;=2,W329&lt;Q329),EDATE(W329,12*2),AND(AI329="K5-POLICY",AH329&lt;&gt;"นิติศาสตร์",U329="S1",X329&gt;=1,W329&lt;Q329),EDATE(W329,12),AND(AI329="K5-POLICY",AH329&lt;&gt;"นิติศาสตร์",OR(U329="S2",U329="K5")),W329,AND(AI329="K5-POLICY",AH329&lt;&gt;"นิติศาสตร์",OR(L329="M2",L329="K4"),R329&gt;=2),EDATE(Q329,12*2),AND(AI329="K5-POLICY",AH329&lt;&gt;"นิติศาสตร์",L329="S1",R329&gt;=1),EDATE(Q329,12),AND(AI329="K5-POLICY",AH329&lt;&gt;"นิติศาสตร์",OR(L329="S2",L329="K5")),Q329,TRUE,"Check Data")</f>
        <v/>
      </c>
      <c r="AK329" s="75" t="str">
        <f t="shared" si="104"/>
        <v>Check Data</v>
      </c>
      <c r="AL329" s="76" t="str">
        <f t="shared" si="111"/>
        <v>Check Data</v>
      </c>
      <c r="AM329" s="50" t="str">
        <f t="shared" si="105"/>
        <v>Check Data</v>
      </c>
      <c r="AN329" s="49" t="str">
        <f>IF(B329="","",IF(L329="S1","S1",INDEX(#REF!,#REF!)))</f>
        <v/>
      </c>
      <c r="AO329" s="49" t="str">
        <f t="shared" si="106"/>
        <v>K4</v>
      </c>
      <c r="AP329" s="50" t="b">
        <f>L329=AN329</f>
        <v>0</v>
      </c>
    </row>
    <row r="330" spans="1:42" ht="21.75">
      <c r="A330" s="49">
        <v>328</v>
      </c>
      <c r="B330" s="50"/>
      <c r="C330" s="52"/>
      <c r="D330" s="50" t="s">
        <v>139</v>
      </c>
      <c r="E330" s="50" t="e">
        <f>INDEX(#REF!,#REF!)</f>
        <v>#REF!</v>
      </c>
      <c r="F330" s="49"/>
      <c r="G330" s="49"/>
      <c r="H330" s="50">
        <f t="shared" si="108"/>
        <v>0</v>
      </c>
      <c r="I330" s="50">
        <f t="shared" si="109"/>
        <v>0</v>
      </c>
      <c r="J330" s="50">
        <f t="shared" si="110"/>
        <v>0</v>
      </c>
      <c r="K330" s="50"/>
      <c r="L330" s="49" t="s">
        <v>137</v>
      </c>
      <c r="M330" s="64"/>
      <c r="N330" s="49"/>
      <c r="O330" s="49"/>
      <c r="P330" s="65" t="s">
        <v>457</v>
      </c>
      <c r="Q330" s="49" t="str">
        <f t="shared" si="98"/>
        <v>01/08/2024</v>
      </c>
      <c r="R330" s="68">
        <f>IF(Q330="",0,DATEDIF(Q330,$C$1,"Y"))</f>
        <v>0</v>
      </c>
      <c r="S330" s="68">
        <f>IF(Q330="",0,DATEDIF(Q330,$C$1,"YM"))</f>
        <v>10</v>
      </c>
      <c r="T330" s="68">
        <f>IF(Q330="",0,DATEDIF(Q330,$C$1,"MD"))</f>
        <v>19</v>
      </c>
      <c r="U330" s="65"/>
      <c r="V330" s="65"/>
      <c r="W330" s="49" t="str">
        <f t="shared" si="99"/>
        <v/>
      </c>
      <c r="X330" s="68">
        <f>IF(W330="",0,DATEDIF(W330,Q330,"Y"))</f>
        <v>0</v>
      </c>
      <c r="Y330" s="68">
        <f>IF(W330="",0,DATEDIF(W330,Q330,"YM"))</f>
        <v>0</v>
      </c>
      <c r="Z330" s="68">
        <f>IF(W330="",0,DATEDIF(W330,Q330,"MD"))</f>
        <v>0</v>
      </c>
      <c r="AA330" s="49"/>
      <c r="AB330" s="65"/>
      <c r="AC330" s="50" t="str">
        <f t="shared" si="100"/>
        <v/>
      </c>
      <c r="AD330" s="68">
        <f t="shared" si="101"/>
        <v>0</v>
      </c>
      <c r="AE330" s="68">
        <f t="shared" si="102"/>
        <v>0</v>
      </c>
      <c r="AF330" s="68">
        <f t="shared" si="103"/>
        <v>0</v>
      </c>
      <c r="AG330" s="50"/>
      <c r="AH330" s="108"/>
      <c r="AI330" s="49" t="str">
        <f>IF(AH330="นิติศาสตร์","K5-LAW","K5-POLICY")</f>
        <v>K5-POLICY</v>
      </c>
      <c r="AJ330" s="72" t="str">
        <f>_xlfn.IFS(B330="","",AND(AI330="K5-LAW",AH330="นิติศาสตร์",L330="S2",U330="",AA330=""),Q330,AND(AI330="K5-LAW",AH330="นิติศาสตร์",L330="S1",U330="",AA330=""),EDATE(Q330,12),AND(AI330="K5-LAW",AH330="นิติศาสตร์",OR(L330="M2",L330="K4"),U330="",AA330=""),EDATE(Q330,12*2),AND(AI330="K5-LAW",AH330="นิติศาสตร์",OR(AA330="M2",AA330="K4"),AD330&gt;=2,OR(AC330&lt;W330,AC330&lt;Q330)),EDATE(AC330,12*2),AND(AI330="K5-LAW",AH330="นิติศาสตร์",AA330="S1",AD330&gt;=1,OR(AC330&lt;W330,AC330&lt;Q330)),EDATE(AC330,12),AND(AI330="K5-LAW",AH330="นิติศาสตร์",OR(U330="M2",U330="K4"),X330&gt;=2,W330&lt;Q330),EDATE(W330,12*2),AND(AI330="K5-LAW",AH330="นิติศาสตร์",U330="S1",X330&gt;=1,W330&lt;Q330),EDATE(W330,12),AND(AI330="K5-LAW",AH330="นิติศาสตร์",OR(U330="S2",U330="K5")),W330,AND(AI330="K5-LAW",AH330="นิติศาสตร์",OR(L330="M2",L330="K4"),R330&gt;=2),EDATE(Q330,12*2),AND(AI330="K5-LAW",AH330="นิติศาสตร์",L330="S1",R330&gt;=1),EDATE(Q330,12),AND(AI330="K5-LAW",AH330="นิติศาสตร์",OR(L330="S2",L330="K5")),Q330,AND(AI330="K5-POLICY",AH330&lt;&gt;"นิติศาสตร์",L330="S2",U330="",AA330=""),Q330,AND(AI330="K5-POLICY",AH330&lt;&gt;"นิติศาสตร์",L330="S1",U330="",AA330=""),EDATE(Q330,12),AND(AI330="K5-POLICY",AH330&lt;&gt;"นิติศาสตร์",OR(L330="M2",L330="K4"),U330="",AA330=""),EDATE(Q330,12*2),AND(AI330="K5-POLICY",AH330&lt;&gt;"นิติศาสตร์",OR(AA330="M2",AA330="K4"),AD330&gt;=2,OR(AC330&lt;W330,AC330&lt;Q330)),EDATE(AC330,12*2),AND(AI330="K5-POLICY",AH330&lt;&gt;"นิติศาสตร์",AA330="S1",AD330&gt;=1,OR(AC330&lt;W330,AC330&lt;Q330)),EDATE(AC330,12),AND(AI330="K5-POLICY",AH330&lt;&gt;"นิติศาสตร์",OR(U330="M2",U330="K4"),X330&gt;=2,W330&lt;Q330),EDATE(W330,12*2),AND(AI330="K5-POLICY",AH330&lt;&gt;"นิติศาสตร์",U330="S1",X330&gt;=1,W330&lt;Q330),EDATE(W330,12),AND(AI330="K5-POLICY",AH330&lt;&gt;"นิติศาสตร์",OR(U330="S2",U330="K5")),W330,AND(AI330="K5-POLICY",AH330&lt;&gt;"นิติศาสตร์",OR(L330="M2",L330="K4"),R330&gt;=2),EDATE(Q330,12*2),AND(AI330="K5-POLICY",AH330&lt;&gt;"นิติศาสตร์",L330="S1",R330&gt;=1),EDATE(Q330,12),AND(AI330="K5-POLICY",AH330&lt;&gt;"นิติศาสตร์",OR(L330="S2",L330="K5")),Q330,TRUE,"Check Data")</f>
        <v/>
      </c>
      <c r="AK330" s="75" t="str">
        <f t="shared" si="104"/>
        <v>Check Data</v>
      </c>
      <c r="AL330" s="76" t="str">
        <f t="shared" si="111"/>
        <v>Check Data</v>
      </c>
      <c r="AM330" s="50" t="str">
        <f t="shared" si="105"/>
        <v>Check Data</v>
      </c>
      <c r="AN330" s="49" t="str">
        <f>IF(B330="","",IF(L330="S1","S1",INDEX(#REF!,#REF!)))</f>
        <v/>
      </c>
      <c r="AO330" s="49" t="str">
        <f t="shared" si="106"/>
        <v>K4</v>
      </c>
      <c r="AP330" s="50" t="b">
        <f>L330=AN330</f>
        <v>0</v>
      </c>
    </row>
    <row r="331" spans="1:42" ht="21.75">
      <c r="A331" s="49">
        <v>329</v>
      </c>
      <c r="B331" s="50"/>
      <c r="C331" s="52"/>
      <c r="D331" s="50" t="s">
        <v>144</v>
      </c>
      <c r="E331" s="50" t="e">
        <f>INDEX(#REF!,#REF!)</f>
        <v>#REF!</v>
      </c>
      <c r="F331" s="79"/>
      <c r="G331" s="79"/>
      <c r="H331" s="50">
        <f t="shared" si="108"/>
        <v>0</v>
      </c>
      <c r="I331" s="50">
        <f t="shared" si="109"/>
        <v>0</v>
      </c>
      <c r="J331" s="50">
        <f t="shared" si="110"/>
        <v>0</v>
      </c>
      <c r="K331" s="79"/>
      <c r="L331" s="49" t="s">
        <v>137</v>
      </c>
      <c r="M331" s="79"/>
      <c r="N331" s="79"/>
      <c r="O331" s="79"/>
      <c r="P331" s="65" t="s">
        <v>450</v>
      </c>
      <c r="Q331" s="49" t="str">
        <f t="shared" si="98"/>
        <v>09/08/2024</v>
      </c>
      <c r="R331" s="68">
        <f>IF(Q331="",0,DATEDIF(Q331,$C$1,"Y"))</f>
        <v>0</v>
      </c>
      <c r="S331" s="68">
        <f>IF(Q331="",0,DATEDIF(Q331,$C$1,"YM"))</f>
        <v>10</v>
      </c>
      <c r="T331" s="68">
        <f>IF(Q331="",0,DATEDIF(Q331,$C$1,"MD"))</f>
        <v>11</v>
      </c>
      <c r="U331" s="65"/>
      <c r="V331" s="83"/>
      <c r="W331" s="49" t="str">
        <f t="shared" si="99"/>
        <v/>
      </c>
      <c r="X331" s="68">
        <f>IF(W331="",0,DATEDIF(W331,Q331,"Y"))</f>
        <v>0</v>
      </c>
      <c r="Y331" s="68">
        <f>IF(W331="",0,DATEDIF(W331,Q331,"YM"))</f>
        <v>0</v>
      </c>
      <c r="Z331" s="68">
        <f>IF(W331="",0,DATEDIF(W331,Q331,"MD"))</f>
        <v>0</v>
      </c>
      <c r="AA331" s="79"/>
      <c r="AB331" s="79"/>
      <c r="AC331" s="50" t="str">
        <f t="shared" si="100"/>
        <v/>
      </c>
      <c r="AD331" s="68">
        <f t="shared" si="101"/>
        <v>0</v>
      </c>
      <c r="AE331" s="68">
        <f t="shared" si="102"/>
        <v>0</v>
      </c>
      <c r="AF331" s="68">
        <f t="shared" si="103"/>
        <v>0</v>
      </c>
      <c r="AG331" s="79"/>
      <c r="AH331" s="108"/>
      <c r="AI331" s="49" t="str">
        <f>IF(AH331="นิติศาสตร์","K5-LAW","K5-POLICY")</f>
        <v>K5-POLICY</v>
      </c>
      <c r="AJ331" s="72" t="str">
        <f>_xlfn.IFS(B331="","",AND(AI331="K5-LAW",AH331="นิติศาสตร์",L331="S2",U331="",AA331=""),Q331,AND(AI331="K5-LAW",AH331="นิติศาสตร์",L331="S1",U331="",AA331=""),EDATE(Q331,12),AND(AI331="K5-LAW",AH331="นิติศาสตร์",OR(L331="M2",L331="K4"),U331="",AA331=""),EDATE(Q331,12*2),AND(AI331="K5-LAW",AH331="นิติศาสตร์",OR(AA331="M2",AA331="K4"),AD331&gt;=2,OR(AC331&lt;W331,AC331&lt;Q331)),EDATE(AC331,12*2),AND(AI331="K5-LAW",AH331="นิติศาสตร์",AA331="S1",AD331&gt;=1,OR(AC331&lt;W331,AC331&lt;Q331)),EDATE(AC331,12),AND(AI331="K5-LAW",AH331="นิติศาสตร์",OR(U331="M2",U331="K4"),X331&gt;=2,W331&lt;Q331),EDATE(W331,12*2),AND(AI331="K5-LAW",AH331="นิติศาสตร์",U331="S1",X331&gt;=1,W331&lt;Q331),EDATE(W331,12),AND(AI331="K5-LAW",AH331="นิติศาสตร์",OR(U331="S2",U331="K5")),W331,AND(AI331="K5-LAW",AH331="นิติศาสตร์",OR(L331="M2",L331="K4"),R331&gt;=2),EDATE(Q331,12*2),AND(AI331="K5-LAW",AH331="นิติศาสตร์",L331="S1",R331&gt;=1),EDATE(Q331,12),AND(AI331="K5-LAW",AH331="นิติศาสตร์",OR(L331="S2",L331="K5")),Q331,AND(AI331="K5-POLICY",AH331&lt;&gt;"นิติศาสตร์",L331="S2",U331="",AA331=""),Q331,AND(AI331="K5-POLICY",AH331&lt;&gt;"นิติศาสตร์",L331="S1",U331="",AA331=""),EDATE(Q331,12),AND(AI331="K5-POLICY",AH331&lt;&gt;"นิติศาสตร์",OR(L331="M2",L331="K4"),U331="",AA331=""),EDATE(Q331,12*2),AND(AI331="K5-POLICY",AH331&lt;&gt;"นิติศาสตร์",OR(AA331="M2",AA331="K4"),AD331&gt;=2,OR(AC331&lt;W331,AC331&lt;Q331)),EDATE(AC331,12*2),AND(AI331="K5-POLICY",AH331&lt;&gt;"นิติศาสตร์",AA331="S1",AD331&gt;=1,OR(AC331&lt;W331,AC331&lt;Q331)),EDATE(AC331,12),AND(AI331="K5-POLICY",AH331&lt;&gt;"นิติศาสตร์",OR(U331="M2",U331="K4"),X331&gt;=2,W331&lt;Q331),EDATE(W331,12*2),AND(AI331="K5-POLICY",AH331&lt;&gt;"นิติศาสตร์",U331="S1",X331&gt;=1,W331&lt;Q331),EDATE(W331,12),AND(AI331="K5-POLICY",AH331&lt;&gt;"นิติศาสตร์",OR(U331="S2",U331="K5")),W331,AND(AI331="K5-POLICY",AH331&lt;&gt;"นิติศาสตร์",OR(L331="M2",L331="K4"),R331&gt;=2),EDATE(Q331,12*2),AND(AI331="K5-POLICY",AH331&lt;&gt;"นิติศาสตร์",L331="S1",R331&gt;=1),EDATE(Q331,12),AND(AI331="K5-POLICY",AH331&lt;&gt;"นิติศาสตร์",OR(L331="S2",L331="K5")),Q331,TRUE,"Check Data")</f>
        <v/>
      </c>
      <c r="AK331" s="75" t="str">
        <f t="shared" si="104"/>
        <v>Check Data</v>
      </c>
      <c r="AL331" s="76" t="str">
        <f t="shared" si="111"/>
        <v>Check Data</v>
      </c>
      <c r="AM331" s="50" t="str">
        <f t="shared" si="105"/>
        <v>Check Data</v>
      </c>
      <c r="AN331" s="49" t="str">
        <f>IF(B331="","",IF(L331="S1","S1",INDEX(#REF!,#REF!)))</f>
        <v/>
      </c>
      <c r="AO331" s="49" t="str">
        <f t="shared" si="106"/>
        <v>K4</v>
      </c>
      <c r="AP331" s="50" t="b">
        <f>L331=AN331</f>
        <v>0</v>
      </c>
    </row>
    <row r="332" spans="1:42" ht="21.75">
      <c r="A332" s="49">
        <v>330</v>
      </c>
      <c r="B332" s="50"/>
      <c r="C332" s="52"/>
      <c r="D332" s="50" t="s">
        <v>140</v>
      </c>
      <c r="E332" s="50" t="e">
        <f>INDEX(#REF!,#REF!)</f>
        <v>#REF!</v>
      </c>
      <c r="F332" s="49"/>
      <c r="G332" s="49"/>
      <c r="H332" s="50">
        <f t="shared" si="108"/>
        <v>0</v>
      </c>
      <c r="I332" s="50">
        <f t="shared" si="109"/>
        <v>0</v>
      </c>
      <c r="J332" s="50">
        <f t="shared" si="110"/>
        <v>0</v>
      </c>
      <c r="K332" s="50"/>
      <c r="L332" s="49" t="s">
        <v>137</v>
      </c>
      <c r="M332" s="64"/>
      <c r="N332" s="49"/>
      <c r="O332" s="49"/>
      <c r="P332" s="65" t="s">
        <v>463</v>
      </c>
      <c r="Q332" s="49" t="str">
        <f t="shared" si="98"/>
        <v>14/08/2024</v>
      </c>
      <c r="R332" s="68">
        <f>IF(Q332="",0,DATEDIF(Q332,$C$1,"Y"))</f>
        <v>0</v>
      </c>
      <c r="S332" s="68">
        <f>IF(Q332="",0,DATEDIF(Q332,$C$1,"YM"))</f>
        <v>10</v>
      </c>
      <c r="T332" s="68">
        <f>IF(Q332="",0,DATEDIF(Q332,$C$1,"MD"))</f>
        <v>6</v>
      </c>
      <c r="U332" s="65"/>
      <c r="V332" s="65"/>
      <c r="W332" s="49" t="str">
        <f t="shared" si="99"/>
        <v/>
      </c>
      <c r="X332" s="68">
        <f>IF(W332="",0,DATEDIF(W332,Q332,"Y"))</f>
        <v>0</v>
      </c>
      <c r="Y332" s="68">
        <f>IF(W332="",0,DATEDIF(W332,Q332,"YM"))</f>
        <v>0</v>
      </c>
      <c r="Z332" s="68">
        <f>IF(W332="",0,DATEDIF(W332,Q332,"MD"))</f>
        <v>0</v>
      </c>
      <c r="AA332" s="49"/>
      <c r="AB332" s="65"/>
      <c r="AC332" s="50" t="str">
        <f t="shared" si="100"/>
        <v/>
      </c>
      <c r="AD332" s="68">
        <f t="shared" si="101"/>
        <v>0</v>
      </c>
      <c r="AE332" s="68">
        <f t="shared" si="102"/>
        <v>0</v>
      </c>
      <c r="AF332" s="68">
        <f t="shared" si="103"/>
        <v>0</v>
      </c>
      <c r="AG332" s="50"/>
      <c r="AH332" s="108" t="s">
        <v>138</v>
      </c>
      <c r="AI332" s="49" t="str">
        <f>IF(AH332="นิติศาสตร์","K5-LAW","K5-POLICY")</f>
        <v>K5-LAW</v>
      </c>
      <c r="AJ332" s="72" t="str">
        <f>_xlfn.IFS(B332="","",AND(AI332="K5-LAW",AH332="นิติศาสตร์",L332="S2",U332="",AA332=""),Q332,AND(AI332="K5-LAW",AH332="นิติศาสตร์",L332="S1",U332="",AA332=""),EDATE(Q332,12),AND(AI332="K5-LAW",AH332="นิติศาสตร์",OR(L332="M2",L332="K4"),U332="",AA332=""),EDATE(Q332,12*2),AND(AI332="K5-LAW",AH332="นิติศาสตร์",OR(AA332="M2",AA332="K4"),AD332&gt;=2,OR(AC332&lt;W332,AC332&lt;Q332)),EDATE(AC332,12*2),AND(AI332="K5-LAW",AH332="นิติศาสตร์",AA332="S1",AD332&gt;=1,OR(AC332&lt;W332,AC332&lt;Q332)),EDATE(AC332,12),AND(AI332="K5-LAW",AH332="นิติศาสตร์",OR(U332="M2",U332="K4"),X332&gt;=2,W332&lt;Q332),EDATE(W332,12*2),AND(AI332="K5-LAW",AH332="นิติศาสตร์",U332="S1",X332&gt;=1,W332&lt;Q332),EDATE(W332,12),AND(AI332="K5-LAW",AH332="นิติศาสตร์",OR(U332="S2",U332="K5")),W332,AND(AI332="K5-LAW",AH332="นิติศาสตร์",OR(L332="M2",L332="K4"),R332&gt;=2),EDATE(Q332,12*2),AND(AI332="K5-LAW",AH332="นิติศาสตร์",L332="S1",R332&gt;=1),EDATE(Q332,12),AND(AI332="K5-LAW",AH332="นิติศาสตร์",OR(L332="S2",L332="K5")),Q332,AND(AI332="K5-POLICY",AH332&lt;&gt;"นิติศาสตร์",L332="S2",U332="",AA332=""),Q332,AND(AI332="K5-POLICY",AH332&lt;&gt;"นิติศาสตร์",L332="S1",U332="",AA332=""),EDATE(Q332,12),AND(AI332="K5-POLICY",AH332&lt;&gt;"นิติศาสตร์",OR(L332="M2",L332="K4"),U332="",AA332=""),EDATE(Q332,12*2),AND(AI332="K5-POLICY",AH332&lt;&gt;"นิติศาสตร์",OR(AA332="M2",AA332="K4"),AD332&gt;=2,OR(AC332&lt;W332,AC332&lt;Q332)),EDATE(AC332,12*2),AND(AI332="K5-POLICY",AH332&lt;&gt;"นิติศาสตร์",AA332="S1",AD332&gt;=1,OR(AC332&lt;W332,AC332&lt;Q332)),EDATE(AC332,12),AND(AI332="K5-POLICY",AH332&lt;&gt;"นิติศาสตร์",OR(U332="M2",U332="K4"),X332&gt;=2,W332&lt;Q332),EDATE(W332,12*2),AND(AI332="K5-POLICY",AH332&lt;&gt;"นิติศาสตร์",U332="S1",X332&gt;=1,W332&lt;Q332),EDATE(W332,12),AND(AI332="K5-POLICY",AH332&lt;&gt;"นิติศาสตร์",OR(U332="S2",U332="K5")),W332,AND(AI332="K5-POLICY",AH332&lt;&gt;"นิติศาสตร์",OR(L332="M2",L332="K4"),R332&gt;=2),EDATE(Q332,12*2),AND(AI332="K5-POLICY",AH332&lt;&gt;"นิติศาสตร์",L332="S1",R332&gt;=1),EDATE(Q332,12),AND(AI332="K5-POLICY",AH332&lt;&gt;"นิติศาสตร์",OR(L332="S2",L332="K5")),Q332,TRUE,"Check Data")</f>
        <v/>
      </c>
      <c r="AK332" s="75" t="str">
        <f t="shared" si="104"/>
        <v>Check Data</v>
      </c>
      <c r="AL332" s="76" t="str">
        <f t="shared" si="111"/>
        <v>Check Data</v>
      </c>
      <c r="AM332" s="50" t="str">
        <f t="shared" si="105"/>
        <v>Check Data</v>
      </c>
      <c r="AN332" s="49" t="str">
        <f>IF(B332="","",IF(L332="S1","S1",INDEX(#REF!,#REF!)))</f>
        <v/>
      </c>
      <c r="AO332" s="49" t="str">
        <f t="shared" si="106"/>
        <v>K4</v>
      </c>
      <c r="AP332" s="50" t="b">
        <f>L332=AN332</f>
        <v>0</v>
      </c>
    </row>
    <row r="333" spans="1:42" ht="21.75">
      <c r="A333" s="49">
        <v>331</v>
      </c>
      <c r="B333" s="50"/>
      <c r="C333" s="52"/>
      <c r="D333" s="50" t="s">
        <v>141</v>
      </c>
      <c r="E333" s="50" t="e">
        <f>INDEX(#REF!,#REF!)</f>
        <v>#REF!</v>
      </c>
      <c r="F333" s="49"/>
      <c r="G333" s="49"/>
      <c r="H333" s="50">
        <f t="shared" si="108"/>
        <v>0</v>
      </c>
      <c r="I333" s="50">
        <f t="shared" si="109"/>
        <v>0</v>
      </c>
      <c r="J333" s="50">
        <f t="shared" si="110"/>
        <v>0</v>
      </c>
      <c r="K333" s="50"/>
      <c r="L333" s="49" t="s">
        <v>137</v>
      </c>
      <c r="M333" s="64"/>
      <c r="N333" s="49"/>
      <c r="O333" s="49"/>
      <c r="P333" s="65" t="s">
        <v>451</v>
      </c>
      <c r="Q333" s="49" t="str">
        <f t="shared" si="98"/>
        <v>18/10/2024</v>
      </c>
      <c r="R333" s="68">
        <f>IF(Q333="",0,DATEDIF(Q333,$C$1,"Y"))</f>
        <v>0</v>
      </c>
      <c r="S333" s="68">
        <f>IF(Q333="",0,DATEDIF(Q333,$C$1,"YM"))</f>
        <v>8</v>
      </c>
      <c r="T333" s="68">
        <f>IF(Q333="",0,DATEDIF(Q333,$C$1,"MD"))</f>
        <v>2</v>
      </c>
      <c r="U333" s="65"/>
      <c r="V333" s="65"/>
      <c r="W333" s="49" t="str">
        <f t="shared" si="99"/>
        <v/>
      </c>
      <c r="X333" s="68">
        <f>IF(W333="",0,DATEDIF(W333,Q333,"Y"))</f>
        <v>0</v>
      </c>
      <c r="Y333" s="68">
        <f>IF(W333="",0,DATEDIF(W333,Q333,"YM"))</f>
        <v>0</v>
      </c>
      <c r="Z333" s="68">
        <f>IF(W333="",0,DATEDIF(W333,Q333,"MD"))</f>
        <v>0</v>
      </c>
      <c r="AA333" s="49"/>
      <c r="AB333" s="65"/>
      <c r="AC333" s="50" t="str">
        <f t="shared" si="100"/>
        <v/>
      </c>
      <c r="AD333" s="68">
        <f t="shared" si="101"/>
        <v>0</v>
      </c>
      <c r="AE333" s="68">
        <f t="shared" si="102"/>
        <v>0</v>
      </c>
      <c r="AF333" s="68">
        <f t="shared" si="103"/>
        <v>0</v>
      </c>
      <c r="AG333" s="50"/>
      <c r="AH333" s="108"/>
      <c r="AI333" s="49" t="str">
        <f>IF(AH333="นิติศาสตร์","K5-LAW","K5-POLICY")</f>
        <v>K5-POLICY</v>
      </c>
      <c r="AJ333" s="72" t="str">
        <f>_xlfn.IFS(B333="","",AND(AI333="K5-LAW",AH333="นิติศาสตร์",L333="S2",U333="",AA333=""),Q333,AND(AI333="K5-LAW",AH333="นิติศาสตร์",L333="S1",U333="",AA333=""),EDATE(Q333,12),AND(AI333="K5-LAW",AH333="นิติศาสตร์",OR(L333="M2",L333="K4"),U333="",AA333=""),EDATE(Q333,12*2),AND(AI333="K5-LAW",AH333="นิติศาสตร์",OR(AA333="M2",AA333="K4"),AD333&gt;=2,OR(AC333&lt;W333,AC333&lt;Q333)),EDATE(AC333,12*2),AND(AI333="K5-LAW",AH333="นิติศาสตร์",AA333="S1",AD333&gt;=1,OR(AC333&lt;W333,AC333&lt;Q333)),EDATE(AC333,12),AND(AI333="K5-LAW",AH333="นิติศาสตร์",OR(U333="M2",U333="K4"),X333&gt;=2,W333&lt;Q333),EDATE(W333,12*2),AND(AI333="K5-LAW",AH333="นิติศาสตร์",U333="S1",X333&gt;=1,W333&lt;Q333),EDATE(W333,12),AND(AI333="K5-LAW",AH333="นิติศาสตร์",OR(U333="S2",U333="K5")),W333,AND(AI333="K5-LAW",AH333="นิติศาสตร์",OR(L333="M2",L333="K4"),R333&gt;=2),EDATE(Q333,12*2),AND(AI333="K5-LAW",AH333="นิติศาสตร์",L333="S1",R333&gt;=1),EDATE(Q333,12),AND(AI333="K5-LAW",AH333="นิติศาสตร์",OR(L333="S2",L333="K5")),Q333,AND(AI333="K5-POLICY",AH333&lt;&gt;"นิติศาสตร์",L333="S2",U333="",AA333=""),Q333,AND(AI333="K5-POLICY",AH333&lt;&gt;"นิติศาสตร์",L333="S1",U333="",AA333=""),EDATE(Q333,12),AND(AI333="K5-POLICY",AH333&lt;&gt;"นิติศาสตร์",OR(L333="M2",L333="K4"),U333="",AA333=""),EDATE(Q333,12*2),AND(AI333="K5-POLICY",AH333&lt;&gt;"นิติศาสตร์",OR(AA333="M2",AA333="K4"),AD333&gt;=2,OR(AC333&lt;W333,AC333&lt;Q333)),EDATE(AC333,12*2),AND(AI333="K5-POLICY",AH333&lt;&gt;"นิติศาสตร์",AA333="S1",AD333&gt;=1,OR(AC333&lt;W333,AC333&lt;Q333)),EDATE(AC333,12),AND(AI333="K5-POLICY",AH333&lt;&gt;"นิติศาสตร์",OR(U333="M2",U333="K4"),X333&gt;=2,W333&lt;Q333),EDATE(W333,12*2),AND(AI333="K5-POLICY",AH333&lt;&gt;"นิติศาสตร์",U333="S1",X333&gt;=1,W333&lt;Q333),EDATE(W333,12),AND(AI333="K5-POLICY",AH333&lt;&gt;"นิติศาสตร์",OR(U333="S2",U333="K5")),W333,AND(AI333="K5-POLICY",AH333&lt;&gt;"นิติศาสตร์",OR(L333="M2",L333="K4"),R333&gt;=2),EDATE(Q333,12*2),AND(AI333="K5-POLICY",AH333&lt;&gt;"นิติศาสตร์",L333="S1",R333&gt;=1),EDATE(Q333,12),AND(AI333="K5-POLICY",AH333&lt;&gt;"นิติศาสตร์",OR(L333="S2",L333="K5")),Q333,TRUE,"Check Data")</f>
        <v/>
      </c>
      <c r="AK333" s="75" t="str">
        <f t="shared" si="104"/>
        <v>Check Data</v>
      </c>
      <c r="AL333" s="76" t="str">
        <f t="shared" si="111"/>
        <v>Check Data</v>
      </c>
      <c r="AM333" s="50" t="str">
        <f t="shared" si="105"/>
        <v>Check Data</v>
      </c>
      <c r="AN333" s="49" t="str">
        <f>IF(B333="","",IF(L333="S1","S1",INDEX(#REF!,#REF!)))</f>
        <v/>
      </c>
      <c r="AO333" s="49" t="str">
        <f t="shared" si="106"/>
        <v>K4</v>
      </c>
      <c r="AP333" s="50" t="b">
        <f>L333=AN333</f>
        <v>0</v>
      </c>
    </row>
    <row r="335" spans="1:42" ht="21.75">
      <c r="C335" s="95" t="s">
        <v>534</v>
      </c>
    </row>
    <row r="336" spans="1:42" ht="21.75">
      <c r="C336" s="95" t="s">
        <v>533</v>
      </c>
    </row>
  </sheetData>
  <autoFilter ref="A2:AQ333" xr:uid="{00000000-0009-0000-0000-000015000000}"/>
  <sortState xmlns:xlrd2="http://schemas.microsoft.com/office/spreadsheetml/2017/richdata2" ref="C3:AP333">
    <sortCondition descending="1" ref="L3:L333"/>
    <sortCondition ref="AL3:AL333"/>
    <sortCondition descending="1" ref="R3:R333"/>
    <sortCondition descending="1" ref="S3:S333"/>
    <sortCondition descending="1" ref="T3:T333"/>
  </sortState>
  <printOptions horizontalCentered="1"/>
  <pageMargins left="0.30694444444444402" right="0.30694444444444402" top="0.55486111111111103" bottom="0.55486111111111103" header="0" footer="0.29861111111111099"/>
  <pageSetup paperSize="9" scale="62" fitToHeight="0" orientation="landscape"/>
  <headerFooter>
    <oddFooter>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Q30"/>
  <sheetViews>
    <sheetView workbookViewId="0">
      <pane xSplit="3" ySplit="2" topLeftCell="AM21" activePane="bottomRight" state="frozen"/>
      <selection pane="topRight"/>
      <selection pane="bottomLeft"/>
      <selection pane="bottomRight" activeCell="AI1" sqref="AI1:AJ1048576"/>
    </sheetView>
  </sheetViews>
  <sheetFormatPr defaultColWidth="9" defaultRowHeight="21.75"/>
  <cols>
    <col min="1" max="1" width="9" style="95"/>
    <col min="2" max="2" width="17.625" customWidth="1"/>
    <col min="3" max="3" width="24.625" style="95" customWidth="1"/>
    <col min="4" max="4" width="28" style="95" customWidth="1"/>
    <col min="5" max="5" width="16.5" style="95" customWidth="1"/>
    <col min="6" max="6" width="16.125" customWidth="1"/>
    <col min="7" max="7" width="6.625" style="95" customWidth="1"/>
    <col min="8" max="9" width="9" customWidth="1"/>
    <col min="10" max="10" width="41.25" customWidth="1"/>
    <col min="11" max="11" width="9.625" style="95" customWidth="1"/>
    <col min="12" max="12" width="9.625" customWidth="1"/>
    <col min="13" max="13" width="9" customWidth="1"/>
    <col min="14" max="14" width="21.75" customWidth="1"/>
    <col min="15" max="15" width="13.75" style="95" customWidth="1"/>
    <col min="16" max="16" width="28.5" customWidth="1"/>
    <col min="17" max="17" width="6" style="95" customWidth="1"/>
    <col min="18" max="18" width="6.125" style="95" customWidth="1"/>
    <col min="19" max="19" width="9" customWidth="1"/>
    <col min="20" max="20" width="14.375" customWidth="1"/>
    <col min="21" max="21" width="12.875" style="97" customWidth="1"/>
    <col min="22" max="22" width="13" style="97" customWidth="1"/>
    <col min="23" max="23" width="43.125" customWidth="1"/>
    <col min="24" max="24" width="4.875" style="95" customWidth="1"/>
    <col min="25" max="25" width="6.875" style="95" customWidth="1"/>
    <col min="26" max="26" width="9" customWidth="1"/>
    <col min="27" max="27" width="33.625" customWidth="1"/>
    <col min="28" max="29" width="43.25" customWidth="1"/>
    <col min="30" max="32" width="9" customWidth="1"/>
    <col min="33" max="33" width="17.875" customWidth="1"/>
    <col min="34" max="34" width="12.375" style="95" customWidth="1"/>
    <col min="35" max="35" width="12.75" style="95" customWidth="1"/>
    <col min="36" max="36" width="36.25" customWidth="1"/>
    <col min="37" max="37" width="17.625" style="95" customWidth="1"/>
    <col min="38" max="38" width="20" style="95" customWidth="1"/>
    <col min="39" max="39" width="16.375" style="95" customWidth="1"/>
    <col min="40" max="41" width="24.375" style="95" customWidth="1"/>
    <col min="42" max="42" width="16.375" style="95" customWidth="1"/>
    <col min="43" max="16384" width="9" style="95"/>
  </cols>
  <sheetData>
    <row r="1" spans="1:43">
      <c r="B1" s="44" t="s">
        <v>50</v>
      </c>
      <c r="C1" s="46">
        <v>45828</v>
      </c>
      <c r="D1" s="46"/>
      <c r="E1" s="45"/>
      <c r="F1" s="55"/>
      <c r="J1" s="45" t="s">
        <v>0</v>
      </c>
      <c r="K1" s="62">
        <v>232387</v>
      </c>
      <c r="L1" s="62">
        <f>IF(AND(LEFT(K1,2)="29",MID(K1,4,1)="2"),LEFT(K1,2)&amp;"/"&amp;MID(K1,4,1)&amp;"/"&amp;RIGHT(K1,4)-543,EDATE(K1,-543*12))</f>
        <v>34060</v>
      </c>
      <c r="M1" s="62"/>
      <c r="N1" s="62"/>
      <c r="O1" s="63"/>
      <c r="P1" s="45"/>
      <c r="Q1" s="66"/>
      <c r="R1" s="66"/>
      <c r="S1" s="66"/>
      <c r="T1" s="66"/>
      <c r="U1" s="67"/>
      <c r="V1" s="67"/>
      <c r="X1" s="66"/>
      <c r="Y1" s="66"/>
      <c r="Z1" s="66"/>
      <c r="AA1" s="67"/>
      <c r="AB1" s="67"/>
      <c r="AD1" s="66"/>
      <c r="AE1" s="66"/>
      <c r="AF1" s="66"/>
      <c r="AI1" s="55"/>
      <c r="AJ1" s="70"/>
      <c r="AK1" s="84"/>
      <c r="AL1" s="73"/>
    </row>
    <row r="2" spans="1:43" s="96" customFormat="1" ht="65.25">
      <c r="A2" s="98" t="s">
        <v>51</v>
      </c>
      <c r="B2" s="48" t="s">
        <v>52</v>
      </c>
      <c r="C2" s="98" t="s">
        <v>53</v>
      </c>
      <c r="D2" s="98" t="s">
        <v>23</v>
      </c>
      <c r="E2" s="98" t="s">
        <v>469</v>
      </c>
      <c r="F2" s="47" t="s">
        <v>470</v>
      </c>
      <c r="G2" s="99" t="s">
        <v>4</v>
      </c>
      <c r="H2" s="48" t="s">
        <v>5</v>
      </c>
      <c r="I2" s="48" t="s">
        <v>6</v>
      </c>
      <c r="J2" s="47" t="s">
        <v>55</v>
      </c>
      <c r="K2" s="98" t="s">
        <v>56</v>
      </c>
      <c r="L2" s="47" t="s">
        <v>151</v>
      </c>
      <c r="M2" s="47" t="s">
        <v>152</v>
      </c>
      <c r="N2" s="47" t="s">
        <v>150</v>
      </c>
      <c r="O2" s="99" t="s">
        <v>471</v>
      </c>
      <c r="P2" s="47" t="s">
        <v>472</v>
      </c>
      <c r="Q2" s="99" t="s">
        <v>4</v>
      </c>
      <c r="R2" s="99" t="s">
        <v>5</v>
      </c>
      <c r="S2" s="48" t="s">
        <v>6</v>
      </c>
      <c r="T2" s="48"/>
      <c r="U2" s="99" t="s">
        <v>132</v>
      </c>
      <c r="V2" s="99" t="s">
        <v>535</v>
      </c>
      <c r="W2" s="47" t="s">
        <v>474</v>
      </c>
      <c r="X2" s="99" t="s">
        <v>4</v>
      </c>
      <c r="Y2" s="99" t="s">
        <v>5</v>
      </c>
      <c r="Z2" s="48" t="s">
        <v>6</v>
      </c>
      <c r="AA2" s="48" t="s">
        <v>133</v>
      </c>
      <c r="AB2" s="48" t="s">
        <v>475</v>
      </c>
      <c r="AC2" s="47" t="s">
        <v>476</v>
      </c>
      <c r="AD2" s="48" t="s">
        <v>4</v>
      </c>
      <c r="AE2" s="48" t="s">
        <v>5</v>
      </c>
      <c r="AF2" s="48" t="s">
        <v>6</v>
      </c>
      <c r="AG2" s="47" t="s">
        <v>61</v>
      </c>
      <c r="AH2" s="98" t="s">
        <v>134</v>
      </c>
      <c r="AI2" s="98" t="s">
        <v>62</v>
      </c>
      <c r="AJ2" s="71" t="s">
        <v>477</v>
      </c>
      <c r="AK2" s="100" t="s">
        <v>478</v>
      </c>
      <c r="AL2" s="101" t="s">
        <v>69</v>
      </c>
      <c r="AM2" s="98" t="s">
        <v>70</v>
      </c>
      <c r="AN2" s="98" t="s">
        <v>479</v>
      </c>
      <c r="AO2" s="98" t="s">
        <v>480</v>
      </c>
      <c r="AP2" s="98" t="s">
        <v>441</v>
      </c>
      <c r="AQ2" s="98" t="s">
        <v>440</v>
      </c>
    </row>
    <row r="3" spans="1:43" customFormat="1">
      <c r="A3" s="49">
        <v>1</v>
      </c>
      <c r="B3" s="50"/>
      <c r="C3" s="50"/>
      <c r="D3" s="50" t="s">
        <v>145</v>
      </c>
      <c r="E3" s="49" t="s">
        <v>171</v>
      </c>
      <c r="F3" s="49" t="str">
        <f t="shared" ref="F3:F27" si="0">IF(E3="","",TEXT(EDATE(E3,-543*12),"dd/mm/yyyy"))</f>
        <v>12/05/1984</v>
      </c>
      <c r="G3" s="50">
        <f t="shared" ref="G3:G27" si="1">IF(F3="",0,DATEDIF(F3,$C$1,"Y"))</f>
        <v>41</v>
      </c>
      <c r="H3" s="50">
        <f t="shared" ref="H3:H27" si="2">IF(F3="",0,DATEDIF(F3,$C$1,"YM"))</f>
        <v>1</v>
      </c>
      <c r="I3" s="50">
        <f t="shared" ref="I3:I27" si="3">IF(F3="",0,DATEDIF(F3,$C$1,"MD"))</f>
        <v>8</v>
      </c>
      <c r="J3" s="50" t="s">
        <v>160</v>
      </c>
      <c r="K3" s="49" t="s">
        <v>135</v>
      </c>
      <c r="L3" s="64"/>
      <c r="M3" s="49"/>
      <c r="N3" s="49">
        <v>2569</v>
      </c>
      <c r="O3" s="65" t="s">
        <v>481</v>
      </c>
      <c r="P3" s="49" t="str">
        <f t="shared" ref="P3:P27" si="4">TEXT(EDATE(O3,-543*12),"dd/mm/yyyy")</f>
        <v>20/12/2019</v>
      </c>
      <c r="Q3" s="68">
        <f t="shared" ref="Q3:Q27" si="5">IF(P3="",0,DATEDIF(P3,$C$1,"Y"))</f>
        <v>5</v>
      </c>
      <c r="R3" s="68">
        <f t="shared" ref="R3:R27" si="6">IF(P3="",0,DATEDIF(P3,$C$1,"YM"))</f>
        <v>6</v>
      </c>
      <c r="S3" s="68">
        <f t="shared" ref="S3:S27" si="7">IF(P3="",0,DATEDIF(P3,$C$1,"MD"))</f>
        <v>0</v>
      </c>
      <c r="T3" s="68"/>
      <c r="U3" s="65"/>
      <c r="V3" s="65"/>
      <c r="W3" s="49" t="str">
        <f t="shared" ref="W3:W27" si="8">IF(V3="","",TEXT(EDATE(V3,-543*12),"dd/mm/yyyy"))</f>
        <v/>
      </c>
      <c r="X3" s="68">
        <f>IF(W3="",0,DATEDIF(W3,P3,"Y"))</f>
        <v>0</v>
      </c>
      <c r="Y3" s="68">
        <f>IF(W3="",0,DATEDIF(W3,P3,"YM"))</f>
        <v>0</v>
      </c>
      <c r="Z3" s="68">
        <f>IF(W3="",0,DATEDIF(W3,P3,"MD"))</f>
        <v>0</v>
      </c>
      <c r="AA3" s="49"/>
      <c r="AB3" s="65"/>
      <c r="AC3" s="50" t="str">
        <f t="shared" ref="AC3:AC27" si="9">IF(AB3="","",TEXT(EDATE(AB3,-543*12),"dd/mm/yyyy"))</f>
        <v/>
      </c>
      <c r="AD3" s="68">
        <f t="shared" ref="AD3:AD27" si="10">IF(AC3="",0,DATEDIF(AC3,W3,"Y"))</f>
        <v>0</v>
      </c>
      <c r="AE3" s="68">
        <f t="shared" ref="AE3:AE27" si="11">IF(AC3="",0,DATEDIF(AC3,W3,"YM"))</f>
        <v>0</v>
      </c>
      <c r="AF3" s="68">
        <f t="shared" ref="AF3:AF27" si="12">IF(AC3="",0,DATEDIF(AC3,W3,"MD"))</f>
        <v>0</v>
      </c>
      <c r="AG3" s="50"/>
      <c r="AH3" s="50" t="s">
        <v>163</v>
      </c>
      <c r="AI3" s="49" t="str">
        <f>IF(AH3="นิติศาสตร์","K5-LAW","K5-POLICY")</f>
        <v>K5-POLICY</v>
      </c>
      <c r="AJ3" s="72" t="str">
        <f>_xlfn.IFS(B3="","",AND(AI3="K5-LAW",AH3="นิติศาสตร์",K3="S2",U3="",AA3=""),P3,AND(AI3="K5-LAW",AH3="นิติศาสตร์",K3="S1",U3="",AA3=""),EDATE(P3,12),AND(AI3="K5-LAW",AH3="นิติศาสตร์",OR(K3="M2",K3="K4"),U3="",AA3=""),EDATE(P3,12*2),AND(AI3="K5-LAW",AH3="นิติศาสตร์",OR(AA3="M2",AA3="K4"),AD3&gt;=2,OR(AC3&lt;W3,AC3&lt;P3)),EDATE(AC3,12*2),AND(AI3="K5-LAW",AH3="นิติศาสตร์",AA3="S1",AD3&gt;=1,OR(AC3&lt;W3,AC3&lt;P3)),EDATE(AC3,12),AND(AI3="K5-LAW",AH3="นิติศาสตร์",OR(U3="M2",U3="K4"),X3&gt;=2,W3&lt;P3),EDATE(W3,12*2),AND(AI3="K5-LAW",AH3="นิติศาสตร์",U3="S1",X3&gt;=1,W3&lt;P3),EDATE(W3,12),AND(AI3="K5-LAW",AH3="นิติศาสตร์",OR(U3="S2",U3="K5")),W3,AND(AI3="K5-LAW",AH3="นิติศาสตร์",OR(K3="M2",K3="K4"),Q3&gt;=2),EDATE(P3,12*2),AND(AI3="K5-LAW",AH3="นิติศาสตร์",K3="S1",Q3&gt;=1),EDATE(P3,12),AND(AI3="K5-LAW",AH3="นิติศาสตร์",OR(K3="S2",K3="K5")),P3,AND(AI3="K5-POLICY",AH3&lt;&gt;"นิติศาสตร์",K3="S2",U3="",AA3=""),P3,AND(AI3="K5-POLICY",AH3&lt;&gt;"นิติศาสตร์",K3="S1",U3="",AA3=""),EDATE(P3,12),AND(AI3="K5-POLICY",AH3&lt;&gt;"นิติศาสตร์",OR(K3="M2",K3="K4"),U3="",AA3=""),EDATE(P3,12*2),AND(AI3="K5-POLICY",AH3&lt;&gt;"นิติศาสตร์",OR(AA3="M2",AA3="K4"),AD3&gt;=2,OR(AC3&lt;W3,AC3&lt;P3)),EDATE(AC3,12*2),AND(AI3="K5-POLICY",AH3&lt;&gt;"นิติศาสตร์",AA3="S1",AD3&gt;=1,OR(AC3&lt;W3,AC3&lt;P3)),EDATE(AC3,12),AND(AI3="K5-POLICY",AH3&lt;&gt;"นิติศาสตร์",OR(U3="M2",U3="K4"),X3&gt;=2,W3&lt;P3),EDATE(W3,12*2),AND(AI3="K5-POLICY",AH3&lt;&gt;"นิติศาสตร์",U3="S1",X3&gt;=1,W3&lt;P3),EDATE(W3,12),AND(AI3="K5-POLICY",AH3&lt;&gt;"นิติศาสตร์",OR(U3="S2",U3="K5")),W3,AND(AI3="K5-POLICY",AH3&lt;&gt;"นิติศาสตร์",OR(K3="M2",K3="K4"),Q3&gt;=2),EDATE(P3,12*2),AND(AI3="K5-POLICY",AH3&lt;&gt;"นิติศาสตร์",K3="S1",Q3&gt;=1),EDATE(P3,12),AND(AI3="K5-POLICY",AH3&lt;&gt;"นิติศาสตร์",OR(K3="S2",K3="K5")),P3,TRUE,"Check Data")</f>
        <v/>
      </c>
      <c r="AK3" s="75" t="str">
        <f t="shared" ref="AK3:AK27" si="13">IFERROR(TEXT(EDATE(AJ3,543*12),"dd/mm/yyyy"),"Check Data")</f>
        <v>Check Data</v>
      </c>
      <c r="AL3" s="76" t="str">
        <f t="shared" ref="AL3:AL27" si="14">IFERROR(IF($C$1&gt;AJ3,AJ3-$C$1,DATEDIF($C$1,AJ3,"d")),"Check Data")</f>
        <v>Check Data</v>
      </c>
      <c r="AM3" s="50" t="str">
        <f t="shared" ref="AM3:AM27" si="15">_xlfn.IFS(AL3="Check Data","Check Data",AL3&gt;30,"ยังไม่ถึงเกณฑ์",AL3&gt;0,"ใกล้ถึงเกณฑ์",AL3=0,"ถึงเกณฑ์",AL3&lt;0,"ถึงเกณฑ์นานแล้ว")</f>
        <v>Check Data</v>
      </c>
      <c r="AN3" s="49" t="str">
        <f>IF(B3="","",IF(K3="S1","S1",INDEX(#REF!,#REF!)))</f>
        <v/>
      </c>
      <c r="AO3" s="49" t="str">
        <f>K3</f>
        <v>S1</v>
      </c>
      <c r="AP3" s="50" t="b">
        <f>K3=AN3</f>
        <v>0</v>
      </c>
      <c r="AQ3" s="77"/>
    </row>
    <row r="4" spans="1:43" customFormat="1">
      <c r="A4" s="49">
        <v>2</v>
      </c>
      <c r="B4" s="50"/>
      <c r="C4" s="50"/>
      <c r="D4" s="50" t="s">
        <v>139</v>
      </c>
      <c r="E4" s="49" t="s">
        <v>194</v>
      </c>
      <c r="F4" s="49" t="str">
        <f t="shared" si="0"/>
        <v>06/03/1997</v>
      </c>
      <c r="G4" s="50">
        <f t="shared" si="1"/>
        <v>28</v>
      </c>
      <c r="H4" s="50">
        <f t="shared" si="2"/>
        <v>3</v>
      </c>
      <c r="I4" s="50">
        <f t="shared" si="3"/>
        <v>14</v>
      </c>
      <c r="J4" s="50" t="s">
        <v>154</v>
      </c>
      <c r="K4" s="49" t="s">
        <v>135</v>
      </c>
      <c r="L4" s="64"/>
      <c r="M4" s="49"/>
      <c r="N4" s="49">
        <v>2574</v>
      </c>
      <c r="O4" s="65" t="s">
        <v>195</v>
      </c>
      <c r="P4" s="49" t="str">
        <f t="shared" si="4"/>
        <v>24/02/2020</v>
      </c>
      <c r="Q4" s="68">
        <f t="shared" si="5"/>
        <v>5</v>
      </c>
      <c r="R4" s="68">
        <f t="shared" si="6"/>
        <v>3</v>
      </c>
      <c r="S4" s="68">
        <f t="shared" si="7"/>
        <v>27</v>
      </c>
      <c r="T4" s="68"/>
      <c r="U4" s="65"/>
      <c r="V4" s="65"/>
      <c r="W4" s="49" t="str">
        <f t="shared" si="8"/>
        <v/>
      </c>
      <c r="X4" s="68">
        <f>IF(W4="",0,DATEDIF(W4,P4,"Y"))</f>
        <v>0</v>
      </c>
      <c r="Y4" s="68">
        <f>IF(W4="",0,DATEDIF(W4,P4,"YM"))</f>
        <v>0</v>
      </c>
      <c r="Z4" s="68">
        <f>IF(W4="",0,DATEDIF(W4,P4,"MD"))</f>
        <v>0</v>
      </c>
      <c r="AA4" s="49"/>
      <c r="AB4" s="65"/>
      <c r="AC4" s="50" t="str">
        <f t="shared" si="9"/>
        <v/>
      </c>
      <c r="AD4" s="68">
        <f t="shared" si="10"/>
        <v>0</v>
      </c>
      <c r="AE4" s="68">
        <f t="shared" si="11"/>
        <v>0</v>
      </c>
      <c r="AF4" s="68">
        <f t="shared" si="12"/>
        <v>0</v>
      </c>
      <c r="AG4" s="50"/>
      <c r="AH4" s="50" t="s">
        <v>482</v>
      </c>
      <c r="AI4" s="49" t="str">
        <f>IF(AH4="นิติศาสตร์","K5-LAW","K5-POLICY")</f>
        <v>K5-POLICY</v>
      </c>
      <c r="AJ4" s="72" t="str">
        <f>_xlfn.IFS(B4="","",AND(AI4="K5-LAW",AH4="นิติศาสตร์",K4="S2",U4="",AA4=""),P4,AND(AI4="K5-LAW",AH4="นิติศาสตร์",K4="S1",U4="",AA4=""),EDATE(P4,12),AND(AI4="K5-LAW",AH4="นิติศาสตร์",OR(K4="M2",K4="K4"),U4="",AA4=""),EDATE(P4,12*2),AND(AI4="K5-LAW",AH4="นิติศาสตร์",OR(AA4="M2",AA4="K4"),AD4&gt;=2,OR(AC4&lt;W4,AC4&lt;P4)),EDATE(AC4,12*2),AND(AI4="K5-LAW",AH4="นิติศาสตร์",AA4="S1",AD4&gt;=1,OR(AC4&lt;W4,AC4&lt;P4)),EDATE(AC4,12),AND(AI4="K5-LAW",AH4="นิติศาสตร์",OR(U4="M2",U4="K4"),X4&gt;=2,W4&lt;P4),EDATE(W4,12*2),AND(AI4="K5-LAW",AH4="นิติศาสตร์",U4="S1",X4&gt;=1,W4&lt;P4),EDATE(W4,12),AND(AI4="K5-LAW",AH4="นิติศาสตร์",OR(U4="S2",U4="K5")),W4,AND(AI4="K5-LAW",AH4="นิติศาสตร์",OR(K4="M2",K4="K4"),Q4&gt;=2),EDATE(P4,12*2),AND(AI4="K5-LAW",AH4="นิติศาสตร์",K4="S1",Q4&gt;=1),EDATE(P4,12),AND(AI4="K5-LAW",AH4="นิติศาสตร์",OR(K4="S2",K4="K5")),P4,AND(AI4="K5-POLICY",AH4&lt;&gt;"นิติศาสตร์",K4="S2",U4="",AA4=""),P4,AND(AI4="K5-POLICY",AH4&lt;&gt;"นิติศาสตร์",K4="S1",U4="",AA4=""),EDATE(P4,12),AND(AI4="K5-POLICY",AH4&lt;&gt;"นิติศาสตร์",OR(K4="M2",K4="K4"),U4="",AA4=""),EDATE(P4,12*2),AND(AI4="K5-POLICY",AH4&lt;&gt;"นิติศาสตร์",OR(AA4="M2",AA4="K4"),AD4&gt;=2,OR(AC4&lt;W4,AC4&lt;P4)),EDATE(AC4,12*2),AND(AI4="K5-POLICY",AH4&lt;&gt;"นิติศาสตร์",AA4="S1",AD4&gt;=1,OR(AC4&lt;W4,AC4&lt;P4)),EDATE(AC4,12),AND(AI4="K5-POLICY",AH4&lt;&gt;"นิติศาสตร์",OR(U4="M2",U4="K4"),X4&gt;=2,W4&lt;P4),EDATE(W4,12*2),AND(AI4="K5-POLICY",AH4&lt;&gt;"นิติศาสตร์",U4="S1",X4&gt;=1,W4&lt;P4),EDATE(W4,12),AND(AI4="K5-POLICY",AH4&lt;&gt;"นิติศาสตร์",OR(U4="S2",U4="K5")),W4,AND(AI4="K5-POLICY",AH4&lt;&gt;"นิติศาสตร์",OR(K4="M2",K4="K4"),Q4&gt;=2),EDATE(P4,12*2),AND(AI4="K5-POLICY",AH4&lt;&gt;"นิติศาสตร์",K4="S1",Q4&gt;=1),EDATE(P4,12),AND(AI4="K5-POLICY",AH4&lt;&gt;"นิติศาสตร์",OR(K4="S2",K4="K5")),P4,TRUE,"Check Data")</f>
        <v/>
      </c>
      <c r="AK4" s="75" t="str">
        <f t="shared" si="13"/>
        <v>Check Data</v>
      </c>
      <c r="AL4" s="76" t="str">
        <f t="shared" si="14"/>
        <v>Check Data</v>
      </c>
      <c r="AM4" s="50" t="str">
        <f t="shared" si="15"/>
        <v>Check Data</v>
      </c>
      <c r="AN4" s="49" t="str">
        <f>IF(B4="","",IF(K4="S1","S1",INDEX(#REF!,#REF!)))</f>
        <v/>
      </c>
      <c r="AO4" s="49" t="str">
        <f>K4</f>
        <v>S1</v>
      </c>
      <c r="AP4" s="50" t="b">
        <f>K4=AN4</f>
        <v>0</v>
      </c>
      <c r="AQ4" s="77"/>
    </row>
    <row r="5" spans="1:43" customFormat="1">
      <c r="A5" s="49">
        <v>3</v>
      </c>
      <c r="B5" s="50"/>
      <c r="C5" s="50"/>
      <c r="D5" s="50" t="s">
        <v>146</v>
      </c>
      <c r="E5" s="49" t="s">
        <v>483</v>
      </c>
      <c r="F5" s="49" t="str">
        <f t="shared" si="0"/>
        <v>01/04/1994</v>
      </c>
      <c r="G5" s="50">
        <f t="shared" si="1"/>
        <v>31</v>
      </c>
      <c r="H5" s="50">
        <f t="shared" si="2"/>
        <v>2</v>
      </c>
      <c r="I5" s="50">
        <f t="shared" si="3"/>
        <v>19</v>
      </c>
      <c r="J5" s="50" t="s">
        <v>161</v>
      </c>
      <c r="K5" s="49" t="s">
        <v>135</v>
      </c>
      <c r="L5" s="64"/>
      <c r="M5" s="49" t="s">
        <v>423</v>
      </c>
      <c r="N5" s="49">
        <v>2575</v>
      </c>
      <c r="O5" s="65" t="s">
        <v>198</v>
      </c>
      <c r="P5" s="49" t="str">
        <f t="shared" si="4"/>
        <v>22/09/2020</v>
      </c>
      <c r="Q5" s="68">
        <f t="shared" si="5"/>
        <v>4</v>
      </c>
      <c r="R5" s="68">
        <f t="shared" si="6"/>
        <v>8</v>
      </c>
      <c r="S5" s="68">
        <f t="shared" si="7"/>
        <v>29</v>
      </c>
      <c r="T5" s="68"/>
      <c r="U5" s="65"/>
      <c r="V5" s="65"/>
      <c r="W5" s="49" t="str">
        <f t="shared" si="8"/>
        <v/>
      </c>
      <c r="X5" s="68">
        <f>IF(W5="",0,DATEDIF(W5,P5,"Y"))</f>
        <v>0</v>
      </c>
      <c r="Y5" s="68">
        <f>IF(W5="",0,DATEDIF(W5,P5,"YM"))</f>
        <v>0</v>
      </c>
      <c r="Z5" s="68">
        <f>IF(W5="",0,DATEDIF(W5,P5,"MD"))</f>
        <v>0</v>
      </c>
      <c r="AA5" s="49"/>
      <c r="AB5" s="65"/>
      <c r="AC5" s="50" t="str">
        <f t="shared" si="9"/>
        <v/>
      </c>
      <c r="AD5" s="68">
        <f t="shared" si="10"/>
        <v>0</v>
      </c>
      <c r="AE5" s="68">
        <f t="shared" si="11"/>
        <v>0</v>
      </c>
      <c r="AF5" s="68">
        <f t="shared" si="12"/>
        <v>0</v>
      </c>
      <c r="AG5" s="50"/>
      <c r="AH5" s="50" t="s">
        <v>175</v>
      </c>
      <c r="AI5" s="49" t="str">
        <f>IF(AH5="นิติศาสตร์","K5-LAW","K5-POLICY")</f>
        <v>K5-POLICY</v>
      </c>
      <c r="AJ5" s="72" t="str">
        <f>_xlfn.IFS(B5="","",AND(AI5="K5-LAW",AH5="นิติศาสตร์",K5="S2",U5="",AA5=""),P5,AND(AI5="K5-LAW",AH5="นิติศาสตร์",K5="S1",U5="",AA5=""),EDATE(P5,12),AND(AI5="K5-LAW",AH5="นิติศาสตร์",OR(K5="M2",K5="K4"),U5="",AA5=""),EDATE(P5,12*2),AND(AI5="K5-LAW",AH5="นิติศาสตร์",OR(AA5="M2",AA5="K4"),AD5&gt;=2,OR(AC5&lt;W5,AC5&lt;P5)),EDATE(AC5,12*2),AND(AI5="K5-LAW",AH5="นิติศาสตร์",AA5="S1",AD5&gt;=1,OR(AC5&lt;W5,AC5&lt;P5)),EDATE(AC5,12),AND(AI5="K5-LAW",AH5="นิติศาสตร์",OR(U5="M2",U5="K4"),X5&gt;=2,W5&lt;P5),EDATE(W5,12*2),AND(AI5="K5-LAW",AH5="นิติศาสตร์",U5="S1",X5&gt;=1,W5&lt;P5),EDATE(W5,12),AND(AI5="K5-LAW",AH5="นิติศาสตร์",OR(U5="S2",U5="K5")),W5,AND(AI5="K5-LAW",AH5="นิติศาสตร์",OR(K5="M2",K5="K4"),Q5&gt;=2),EDATE(P5,12*2),AND(AI5="K5-LAW",AH5="นิติศาสตร์",K5="S1",Q5&gt;=1),EDATE(P5,12),AND(AI5="K5-LAW",AH5="นิติศาสตร์",OR(K5="S2",K5="K5")),P5,AND(AI5="K5-POLICY",AH5&lt;&gt;"นิติศาสตร์",K5="S2",U5="",AA5=""),P5,AND(AI5="K5-POLICY",AH5&lt;&gt;"นิติศาสตร์",K5="S1",U5="",AA5=""),EDATE(P5,12),AND(AI5="K5-POLICY",AH5&lt;&gt;"นิติศาสตร์",OR(K5="M2",K5="K4"),U5="",AA5=""),EDATE(P5,12*2),AND(AI5="K5-POLICY",AH5&lt;&gt;"นิติศาสตร์",OR(AA5="M2",AA5="K4"),AD5&gt;=2,OR(AC5&lt;W5,AC5&lt;P5)),EDATE(AC5,12*2),AND(AI5="K5-POLICY",AH5&lt;&gt;"นิติศาสตร์",AA5="S1",AD5&gt;=1,OR(AC5&lt;W5,AC5&lt;P5)),EDATE(AC5,12),AND(AI5="K5-POLICY",AH5&lt;&gt;"นิติศาสตร์",OR(U5="M2",U5="K4"),X5&gt;=2,W5&lt;P5),EDATE(W5,12*2),AND(AI5="K5-POLICY",AH5&lt;&gt;"นิติศาสตร์",U5="S1",X5&gt;=1,W5&lt;P5),EDATE(W5,12),AND(AI5="K5-POLICY",AH5&lt;&gt;"นิติศาสตร์",OR(U5="S2",U5="K5")),W5,AND(AI5="K5-POLICY",AH5&lt;&gt;"นิติศาสตร์",OR(K5="M2",K5="K4"),Q5&gt;=2),EDATE(P5,12*2),AND(AI5="K5-POLICY",AH5&lt;&gt;"นิติศาสตร์",K5="S1",Q5&gt;=1),EDATE(P5,12),AND(AI5="K5-POLICY",AH5&lt;&gt;"นิติศาสตร์",OR(K5="S2",K5="K5")),P5,TRUE,"Check Data")</f>
        <v/>
      </c>
      <c r="AK5" s="75" t="str">
        <f t="shared" si="13"/>
        <v>Check Data</v>
      </c>
      <c r="AL5" s="76" t="str">
        <f t="shared" si="14"/>
        <v>Check Data</v>
      </c>
      <c r="AM5" s="50" t="str">
        <f t="shared" si="15"/>
        <v>Check Data</v>
      </c>
      <c r="AN5" s="49" t="str">
        <f>IF(B5="","",IF(K5="S1","S1",INDEX(#REF!,#REF!)))</f>
        <v/>
      </c>
      <c r="AO5" s="49" t="str">
        <f>K5</f>
        <v>S1</v>
      </c>
      <c r="AP5" s="50" t="b">
        <f>K5=AN5</f>
        <v>0</v>
      </c>
      <c r="AQ5" s="77"/>
    </row>
    <row r="6" spans="1:43" customFormat="1">
      <c r="A6" s="49">
        <v>4</v>
      </c>
      <c r="B6" s="50"/>
      <c r="C6" s="50"/>
      <c r="D6" s="50" t="s">
        <v>143</v>
      </c>
      <c r="E6" s="49" t="s">
        <v>199</v>
      </c>
      <c r="F6" s="49" t="str">
        <f t="shared" si="0"/>
        <v>08/05/1983</v>
      </c>
      <c r="G6" s="50">
        <f t="shared" si="1"/>
        <v>42</v>
      </c>
      <c r="H6" s="50">
        <f t="shared" si="2"/>
        <v>1</v>
      </c>
      <c r="I6" s="50">
        <f t="shared" si="3"/>
        <v>12</v>
      </c>
      <c r="J6" s="50" t="s">
        <v>158</v>
      </c>
      <c r="K6" s="49" t="s">
        <v>135</v>
      </c>
      <c r="L6" s="64"/>
      <c r="M6" s="49"/>
      <c r="N6" s="49">
        <v>2568</v>
      </c>
      <c r="O6" s="65" t="s">
        <v>200</v>
      </c>
      <c r="P6" s="49" t="str">
        <f t="shared" si="4"/>
        <v>09/03/2021</v>
      </c>
      <c r="Q6" s="68">
        <f t="shared" si="5"/>
        <v>4</v>
      </c>
      <c r="R6" s="68">
        <f t="shared" si="6"/>
        <v>3</v>
      </c>
      <c r="S6" s="68">
        <f t="shared" si="7"/>
        <v>11</v>
      </c>
      <c r="T6" s="68"/>
      <c r="U6" s="65"/>
      <c r="V6" s="65"/>
      <c r="W6" s="49" t="str">
        <f t="shared" si="8"/>
        <v/>
      </c>
      <c r="X6" s="68">
        <f>IF(W6="",0,DATEDIF(W6,P6,"Y"))</f>
        <v>0</v>
      </c>
      <c r="Y6" s="68">
        <f>IF(W6="",0,DATEDIF(W6,P6,"YM"))</f>
        <v>0</v>
      </c>
      <c r="Z6" s="68">
        <f>IF(W6="",0,DATEDIF(W6,P6,"MD"))</f>
        <v>0</v>
      </c>
      <c r="AA6" s="49"/>
      <c r="AB6" s="65"/>
      <c r="AC6" s="50" t="str">
        <f t="shared" si="9"/>
        <v/>
      </c>
      <c r="AD6" s="68">
        <f t="shared" si="10"/>
        <v>0</v>
      </c>
      <c r="AE6" s="68">
        <f t="shared" si="11"/>
        <v>0</v>
      </c>
      <c r="AF6" s="68">
        <f t="shared" si="12"/>
        <v>0</v>
      </c>
      <c r="AG6" s="50"/>
      <c r="AH6" s="50" t="s">
        <v>484</v>
      </c>
      <c r="AI6" s="49" t="str">
        <f>IF(AH6="นิติศาสตร์","K5-LAW","K5-POLICY")</f>
        <v>K5-POLICY</v>
      </c>
      <c r="AJ6" s="72" t="str">
        <f>_xlfn.IFS(B6="","",AND(AI6="K5-LAW",AH6="นิติศาสตร์",K6="S2",U6="",AA6=""),P6,AND(AI6="K5-LAW",AH6="นิติศาสตร์",K6="S1",U6="",AA6=""),EDATE(P6,12),AND(AI6="K5-LAW",AH6="นิติศาสตร์",OR(K6="M2",K6="K4"),U6="",AA6=""),EDATE(P6,12*2),AND(AI6="K5-LAW",AH6="นิติศาสตร์",OR(AA6="M2",AA6="K4"),AD6&gt;=2,OR(AC6&lt;W6,AC6&lt;P6)),EDATE(AC6,12*2),AND(AI6="K5-LAW",AH6="นิติศาสตร์",AA6="S1",AD6&gt;=1,OR(AC6&lt;W6,AC6&lt;P6)),EDATE(AC6,12),AND(AI6="K5-LAW",AH6="นิติศาสตร์",OR(U6="M2",U6="K4"),X6&gt;=2,W6&lt;P6),EDATE(W6,12*2),AND(AI6="K5-LAW",AH6="นิติศาสตร์",U6="S1",X6&gt;=1,W6&lt;P6),EDATE(W6,12),AND(AI6="K5-LAW",AH6="นิติศาสตร์",OR(U6="S2",U6="K5")),W6,AND(AI6="K5-LAW",AH6="นิติศาสตร์",OR(K6="M2",K6="K4"),Q6&gt;=2),EDATE(P6,12*2),AND(AI6="K5-LAW",AH6="นิติศาสตร์",K6="S1",Q6&gt;=1),EDATE(P6,12),AND(AI6="K5-LAW",AH6="นิติศาสตร์",OR(K6="S2",K6="K5")),P6,AND(AI6="K5-POLICY",AH6&lt;&gt;"นิติศาสตร์",K6="S2",U6="",AA6=""),P6,AND(AI6="K5-POLICY",AH6&lt;&gt;"นิติศาสตร์",K6="S1",U6="",AA6=""),EDATE(P6,12),AND(AI6="K5-POLICY",AH6&lt;&gt;"นิติศาสตร์",OR(K6="M2",K6="K4"),U6="",AA6=""),EDATE(P6,12*2),AND(AI6="K5-POLICY",AH6&lt;&gt;"นิติศาสตร์",OR(AA6="M2",AA6="K4"),AD6&gt;=2,OR(AC6&lt;W6,AC6&lt;P6)),EDATE(AC6,12*2),AND(AI6="K5-POLICY",AH6&lt;&gt;"นิติศาสตร์",AA6="S1",AD6&gt;=1,OR(AC6&lt;W6,AC6&lt;P6)),EDATE(AC6,12),AND(AI6="K5-POLICY",AH6&lt;&gt;"นิติศาสตร์",OR(U6="M2",U6="K4"),X6&gt;=2,W6&lt;P6),EDATE(W6,12*2),AND(AI6="K5-POLICY",AH6&lt;&gt;"นิติศาสตร์",U6="S1",X6&gt;=1,W6&lt;P6),EDATE(W6,12),AND(AI6="K5-POLICY",AH6&lt;&gt;"นิติศาสตร์",OR(U6="S2",U6="K5")),W6,AND(AI6="K5-POLICY",AH6&lt;&gt;"นิติศาสตร์",OR(K6="M2",K6="K4"),Q6&gt;=2),EDATE(P6,12*2),AND(AI6="K5-POLICY",AH6&lt;&gt;"นิติศาสตร์",K6="S1",Q6&gt;=1),EDATE(P6,12),AND(AI6="K5-POLICY",AH6&lt;&gt;"นิติศาสตร์",OR(K6="S2",K6="K5")),P6,TRUE,"Check Data")</f>
        <v/>
      </c>
      <c r="AK6" s="75" t="str">
        <f t="shared" si="13"/>
        <v>Check Data</v>
      </c>
      <c r="AL6" s="76" t="str">
        <f t="shared" si="14"/>
        <v>Check Data</v>
      </c>
      <c r="AM6" s="50" t="str">
        <f t="shared" si="15"/>
        <v>Check Data</v>
      </c>
      <c r="AN6" s="49" t="str">
        <f>IF(B6="","",IF(K6="S1","S1",INDEX(#REF!,#REF!)))</f>
        <v/>
      </c>
      <c r="AO6" s="49" t="str">
        <f>K6</f>
        <v>S1</v>
      </c>
      <c r="AP6" s="50" t="b">
        <f>K6=AN6</f>
        <v>0</v>
      </c>
      <c r="AQ6" s="77"/>
    </row>
    <row r="7" spans="1:43">
      <c r="A7" s="49">
        <v>5</v>
      </c>
      <c r="B7" s="50"/>
      <c r="C7" s="50"/>
      <c r="D7" s="50" t="s">
        <v>142</v>
      </c>
      <c r="E7" s="49" t="s">
        <v>180</v>
      </c>
      <c r="F7" s="49" t="str">
        <f t="shared" si="0"/>
        <v>10/11/1995</v>
      </c>
      <c r="G7" s="50">
        <f t="shared" si="1"/>
        <v>29</v>
      </c>
      <c r="H7" s="50">
        <f t="shared" si="2"/>
        <v>7</v>
      </c>
      <c r="I7" s="50">
        <f t="shared" si="3"/>
        <v>10</v>
      </c>
      <c r="J7" s="50" t="s">
        <v>485</v>
      </c>
      <c r="K7" s="49" t="s">
        <v>135</v>
      </c>
      <c r="L7" s="64"/>
      <c r="M7" s="49"/>
      <c r="N7" s="49">
        <v>2572</v>
      </c>
      <c r="O7" s="65" t="s">
        <v>181</v>
      </c>
      <c r="P7" s="49" t="str">
        <f t="shared" si="4"/>
        <v>17/11/2021</v>
      </c>
      <c r="Q7" s="68">
        <f t="shared" si="5"/>
        <v>3</v>
      </c>
      <c r="R7" s="68">
        <f t="shared" si="6"/>
        <v>7</v>
      </c>
      <c r="S7" s="68">
        <f t="shared" si="7"/>
        <v>3</v>
      </c>
      <c r="T7" s="68"/>
      <c r="U7" s="65"/>
      <c r="V7" s="65"/>
      <c r="W7" s="49" t="str">
        <f t="shared" si="8"/>
        <v/>
      </c>
      <c r="X7" s="68">
        <f>IF(W7="",0,DATEDIF(W7,P7,"Y"))</f>
        <v>0</v>
      </c>
      <c r="Y7" s="68">
        <f>IF(W7="",0,DATEDIF(W7,P7,"YM"))</f>
        <v>0</v>
      </c>
      <c r="Z7" s="68">
        <f>IF(W7="",0,DATEDIF(W7,P7,"MD"))</f>
        <v>0</v>
      </c>
      <c r="AA7" s="69"/>
      <c r="AB7" s="65"/>
      <c r="AC7" s="50" t="str">
        <f t="shared" si="9"/>
        <v/>
      </c>
      <c r="AD7" s="68">
        <f t="shared" si="10"/>
        <v>0</v>
      </c>
      <c r="AE7" s="68">
        <f t="shared" si="11"/>
        <v>0</v>
      </c>
      <c r="AF7" s="68">
        <f t="shared" si="12"/>
        <v>0</v>
      </c>
      <c r="AG7" s="50"/>
      <c r="AH7" s="50" t="s">
        <v>138</v>
      </c>
      <c r="AI7" s="49" t="str">
        <f>IF(AH7="นิติศาสตร์","K5-LAW","K5-POLICY")</f>
        <v>K5-LAW</v>
      </c>
      <c r="AJ7" s="72" t="str">
        <f>_xlfn.IFS(B7="","",AND(AI7="K5-LAW",AH7="นิติศาสตร์",K7="S2",U7="",AA7=""),P7,AND(AI7="K5-LAW",AH7="นิติศาสตร์",K7="S1",U7="",AA7=""),EDATE(P7,12),AND(AI7="K5-LAW",AH7="นิติศาสตร์",OR(K7="M2",K7="K4"),U7="",AA7=""),EDATE(P7,12*2),AND(AI7="K5-LAW",AH7="นิติศาสตร์",OR(AA7="M2",AA7="K4"),AD7&gt;=2,OR(AC7&lt;W7,AC7&lt;P7)),EDATE(AC7,12*2),AND(AI7="K5-LAW",AH7="นิติศาสตร์",AA7="S1",AD7&gt;=1,OR(AC7&lt;W7,AC7&lt;P7)),EDATE(AC7,12),AND(AI7="K5-LAW",AH7="นิติศาสตร์",OR(U7="M2",U7="K4"),X7&gt;=2,W7&lt;P7),EDATE(W7,12*2),AND(AI7="K5-LAW",AH7="นิติศาสตร์",U7="S1",X7&gt;=1,W7&lt;P7),EDATE(W7,12),AND(AI7="K5-LAW",AH7="นิติศาสตร์",OR(U7="S2",U7="K5")),W7,AND(AI7="K5-LAW",AH7="นิติศาสตร์",OR(K7="M2",K7="K4"),Q7&gt;=2),EDATE(P7,12*2),AND(AI7="K5-LAW",AH7="นิติศาสตร์",K7="S1",Q7&gt;=1),EDATE(P7,12),AND(AI7="K5-LAW",AH7="นิติศาสตร์",OR(K7="S2",K7="K5")),P7,AND(AI7="K5-POLICY",AH7&lt;&gt;"นิติศาสตร์",K7="S2",U7="",AA7=""),P7,AND(AI7="K5-POLICY",AH7&lt;&gt;"นิติศาสตร์",K7="S1",U7="",AA7=""),EDATE(P7,12),AND(AI7="K5-POLICY",AH7&lt;&gt;"นิติศาสตร์",OR(K7="M2",K7="K4"),U7="",AA7=""),EDATE(P7,12*2),AND(AI7="K5-POLICY",AH7&lt;&gt;"นิติศาสตร์",OR(AA7="M2",AA7="K4"),AD7&gt;=2,OR(AC7&lt;W7,AC7&lt;P7)),EDATE(AC7,12*2),AND(AI7="K5-POLICY",AH7&lt;&gt;"นิติศาสตร์",AA7="S1",AD7&gt;=1,OR(AC7&lt;W7,AC7&lt;P7)),EDATE(AC7,12),AND(AI7="K5-POLICY",AH7&lt;&gt;"นิติศาสตร์",OR(U7="M2",U7="K4"),X7&gt;=2,W7&lt;P7),EDATE(W7,12*2),AND(AI7="K5-POLICY",AH7&lt;&gt;"นิติศาสตร์",U7="S1",X7&gt;=1,W7&lt;P7),EDATE(W7,12),AND(AI7="K5-POLICY",AH7&lt;&gt;"นิติศาสตร์",OR(U7="S2",U7="K5")),W7,AND(AI7="K5-POLICY",AH7&lt;&gt;"นิติศาสตร์",OR(K7="M2",K7="K4"),Q7&gt;=2),EDATE(P7,12*2),AND(AI7="K5-POLICY",AH7&lt;&gt;"นิติศาสตร์",K7="S1",Q7&gt;=1),EDATE(P7,12),AND(AI7="K5-POLICY",AH7&lt;&gt;"นิติศาสตร์",OR(K7="S2",K7="K5")),P7,TRUE,"Check Data")</f>
        <v/>
      </c>
      <c r="AK7" s="75" t="str">
        <f t="shared" si="13"/>
        <v>Check Data</v>
      </c>
      <c r="AL7" s="76" t="str">
        <f t="shared" si="14"/>
        <v>Check Data</v>
      </c>
      <c r="AM7" s="50" t="str">
        <f t="shared" si="15"/>
        <v>Check Data</v>
      </c>
      <c r="AN7" s="49" t="str">
        <f>IF(B7="","",IF(K7="S1","S1",INDEX(#REF!,#REF!)))</f>
        <v/>
      </c>
      <c r="AO7" s="49" t="str">
        <f>K7</f>
        <v>S1</v>
      </c>
      <c r="AP7" s="50" t="b">
        <f>K7=AN7</f>
        <v>0</v>
      </c>
      <c r="AQ7" s="50"/>
    </row>
    <row r="8" spans="1:43" customFormat="1">
      <c r="A8" s="49">
        <v>6</v>
      </c>
      <c r="B8" s="50"/>
      <c r="C8" s="50"/>
      <c r="D8" s="50" t="s">
        <v>142</v>
      </c>
      <c r="E8" s="49" t="s">
        <v>188</v>
      </c>
      <c r="F8" s="49" t="str">
        <f t="shared" si="0"/>
        <v>23/12/1991</v>
      </c>
      <c r="G8" s="50">
        <f t="shared" si="1"/>
        <v>33</v>
      </c>
      <c r="H8" s="50">
        <f t="shared" si="2"/>
        <v>5</v>
      </c>
      <c r="I8" s="50">
        <f t="shared" si="3"/>
        <v>28</v>
      </c>
      <c r="J8" s="50" t="s">
        <v>157</v>
      </c>
      <c r="K8" s="49" t="s">
        <v>135</v>
      </c>
      <c r="L8" s="64"/>
      <c r="M8" s="49" t="s">
        <v>425</v>
      </c>
      <c r="N8" s="49">
        <v>2572</v>
      </c>
      <c r="O8" s="65" t="s">
        <v>181</v>
      </c>
      <c r="P8" s="49" t="str">
        <f t="shared" si="4"/>
        <v>17/11/2021</v>
      </c>
      <c r="Q8" s="68">
        <f t="shared" si="5"/>
        <v>3</v>
      </c>
      <c r="R8" s="68">
        <f t="shared" si="6"/>
        <v>7</v>
      </c>
      <c r="S8" s="68">
        <f t="shared" si="7"/>
        <v>3</v>
      </c>
      <c r="T8" s="68"/>
      <c r="U8" s="65"/>
      <c r="V8" s="65"/>
      <c r="W8" s="49" t="str">
        <f t="shared" si="8"/>
        <v/>
      </c>
      <c r="X8" s="68">
        <f>IF(W8="",0,DATEDIF(W8,P8,"Y"))</f>
        <v>0</v>
      </c>
      <c r="Y8" s="68">
        <f>IF(W8="",0,DATEDIF(W8,P8,"YM"))</f>
        <v>0</v>
      </c>
      <c r="Z8" s="68">
        <f>IF(W8="",0,DATEDIF(W8,P8,"MD"))</f>
        <v>0</v>
      </c>
      <c r="AA8" s="49"/>
      <c r="AB8" s="65"/>
      <c r="AC8" s="50" t="str">
        <f t="shared" si="9"/>
        <v/>
      </c>
      <c r="AD8" s="68">
        <f t="shared" si="10"/>
        <v>0</v>
      </c>
      <c r="AE8" s="68">
        <f t="shared" si="11"/>
        <v>0</v>
      </c>
      <c r="AF8" s="68">
        <f t="shared" si="12"/>
        <v>0</v>
      </c>
      <c r="AG8" s="50"/>
      <c r="AH8" s="50" t="s">
        <v>486</v>
      </c>
      <c r="AI8" s="49" t="str">
        <f>IF(AH8="นิติศาสตร์","K5-LAW","K5-POLICY")</f>
        <v>K5-POLICY</v>
      </c>
      <c r="AJ8" s="72" t="str">
        <f>_xlfn.IFS(B8="","",AND(AI8="K5-LAW",AH8="นิติศาสตร์",K8="S2",U8="",AA8=""),P8,AND(AI8="K5-LAW",AH8="นิติศาสตร์",K8="S1",U8="",AA8=""),EDATE(P8,12),AND(AI8="K5-LAW",AH8="นิติศาสตร์",OR(K8="M2",K8="K4"),U8="",AA8=""),EDATE(P8,12*2),AND(AI8="K5-LAW",AH8="นิติศาสตร์",OR(AA8="M2",AA8="K4"),AD8&gt;=2,OR(AC8&lt;W8,AC8&lt;P8)),EDATE(AC8,12*2),AND(AI8="K5-LAW",AH8="นิติศาสตร์",AA8="S1",AD8&gt;=1,OR(AC8&lt;W8,AC8&lt;P8)),EDATE(AC8,12),AND(AI8="K5-LAW",AH8="นิติศาสตร์",OR(U8="M2",U8="K4"),X8&gt;=2,W8&lt;P8),EDATE(W8,12*2),AND(AI8="K5-LAW",AH8="นิติศาสตร์",U8="S1",X8&gt;=1,W8&lt;P8),EDATE(W8,12),AND(AI8="K5-LAW",AH8="นิติศาสตร์",OR(U8="S2",U8="K5")),W8,AND(AI8="K5-LAW",AH8="นิติศาสตร์",OR(K8="M2",K8="K4"),Q8&gt;=2),EDATE(P8,12*2),AND(AI8="K5-LAW",AH8="นิติศาสตร์",K8="S1",Q8&gt;=1),EDATE(P8,12),AND(AI8="K5-LAW",AH8="นิติศาสตร์",OR(K8="S2",K8="K5")),P8,AND(AI8="K5-POLICY",AH8&lt;&gt;"นิติศาสตร์",K8="S2",U8="",AA8=""),P8,AND(AI8="K5-POLICY",AH8&lt;&gt;"นิติศาสตร์",K8="S1",U8="",AA8=""),EDATE(P8,12),AND(AI8="K5-POLICY",AH8&lt;&gt;"นิติศาสตร์",OR(K8="M2",K8="K4"),U8="",AA8=""),EDATE(P8,12*2),AND(AI8="K5-POLICY",AH8&lt;&gt;"นิติศาสตร์",OR(AA8="M2",AA8="K4"),AD8&gt;=2,OR(AC8&lt;W8,AC8&lt;P8)),EDATE(AC8,12*2),AND(AI8="K5-POLICY",AH8&lt;&gt;"นิติศาสตร์",AA8="S1",AD8&gt;=1,OR(AC8&lt;W8,AC8&lt;P8)),EDATE(AC8,12),AND(AI8="K5-POLICY",AH8&lt;&gt;"นิติศาสตร์",OR(U8="M2",U8="K4"),X8&gt;=2,W8&lt;P8),EDATE(W8,12*2),AND(AI8="K5-POLICY",AH8&lt;&gt;"นิติศาสตร์",U8="S1",X8&gt;=1,W8&lt;P8),EDATE(W8,12),AND(AI8="K5-POLICY",AH8&lt;&gt;"นิติศาสตร์",OR(U8="S2",U8="K5")),W8,AND(AI8="K5-POLICY",AH8&lt;&gt;"นิติศาสตร์",OR(K8="M2",K8="K4"),Q8&gt;=2),EDATE(P8,12*2),AND(AI8="K5-POLICY",AH8&lt;&gt;"นิติศาสตร์",K8="S1",Q8&gt;=1),EDATE(P8,12),AND(AI8="K5-POLICY",AH8&lt;&gt;"นิติศาสตร์",OR(K8="S2",K8="K5")),P8,TRUE,"Check Data")</f>
        <v/>
      </c>
      <c r="AK8" s="75" t="str">
        <f t="shared" si="13"/>
        <v>Check Data</v>
      </c>
      <c r="AL8" s="76" t="str">
        <f t="shared" si="14"/>
        <v>Check Data</v>
      </c>
      <c r="AM8" s="50" t="str">
        <f t="shared" si="15"/>
        <v>Check Data</v>
      </c>
      <c r="AN8" s="49" t="str">
        <f>IF(B8="","",IF(K8="S1","S1",INDEX(#REF!,#REF!)))</f>
        <v/>
      </c>
      <c r="AO8" s="49" t="str">
        <f>K8</f>
        <v>S1</v>
      </c>
      <c r="AP8" s="50" t="b">
        <f>K8=AN8</f>
        <v>0</v>
      </c>
      <c r="AQ8" s="50"/>
    </row>
    <row r="9" spans="1:43" customFormat="1">
      <c r="A9" s="49">
        <v>7</v>
      </c>
      <c r="B9" s="50"/>
      <c r="C9" s="50"/>
      <c r="D9" s="50" t="s">
        <v>143</v>
      </c>
      <c r="E9" s="49" t="s">
        <v>189</v>
      </c>
      <c r="F9" s="49" t="str">
        <f t="shared" si="0"/>
        <v>30/11/1993</v>
      </c>
      <c r="G9" s="50">
        <f t="shared" si="1"/>
        <v>31</v>
      </c>
      <c r="H9" s="50">
        <f t="shared" si="2"/>
        <v>6</v>
      </c>
      <c r="I9" s="50">
        <f t="shared" si="3"/>
        <v>21</v>
      </c>
      <c r="J9" s="50" t="s">
        <v>158</v>
      </c>
      <c r="K9" s="49" t="s">
        <v>135</v>
      </c>
      <c r="L9" s="64"/>
      <c r="M9" s="49" t="s">
        <v>425</v>
      </c>
      <c r="N9" s="49">
        <v>2574</v>
      </c>
      <c r="O9" s="65" t="s">
        <v>487</v>
      </c>
      <c r="P9" s="49" t="str">
        <f t="shared" si="4"/>
        <v>21/01/2022</v>
      </c>
      <c r="Q9" s="68">
        <f t="shared" si="5"/>
        <v>3</v>
      </c>
      <c r="R9" s="68">
        <f t="shared" si="6"/>
        <v>4</v>
      </c>
      <c r="S9" s="68">
        <f t="shared" si="7"/>
        <v>30</v>
      </c>
      <c r="T9" s="68"/>
      <c r="U9" s="65"/>
      <c r="V9" s="65"/>
      <c r="W9" s="49" t="str">
        <f t="shared" si="8"/>
        <v/>
      </c>
      <c r="X9" s="68">
        <f>IF(W9="",0,DATEDIF(W9,P9,"Y"))</f>
        <v>0</v>
      </c>
      <c r="Y9" s="68">
        <f>IF(W9="",0,DATEDIF(W9,P9,"YM"))</f>
        <v>0</v>
      </c>
      <c r="Z9" s="68">
        <f>IF(W9="",0,DATEDIF(W9,P9,"MD"))</f>
        <v>0</v>
      </c>
      <c r="AA9" s="49"/>
      <c r="AB9" s="65"/>
      <c r="AC9" s="50" t="str">
        <f t="shared" si="9"/>
        <v/>
      </c>
      <c r="AD9" s="68">
        <f t="shared" si="10"/>
        <v>0</v>
      </c>
      <c r="AE9" s="68">
        <f t="shared" si="11"/>
        <v>0</v>
      </c>
      <c r="AF9" s="68">
        <f t="shared" si="12"/>
        <v>0</v>
      </c>
      <c r="AG9" s="50"/>
      <c r="AH9" s="50" t="s">
        <v>488</v>
      </c>
      <c r="AI9" s="49" t="str">
        <f>IF(AH9="นิติศาสตร์","K5-LAW","K5-POLICY")</f>
        <v>K5-POLICY</v>
      </c>
      <c r="AJ9" s="72" t="str">
        <f>_xlfn.IFS(B9="","",AND(AI9="K5-LAW",AH9="นิติศาสตร์",K9="S2",U9="",AA9=""),P9,AND(AI9="K5-LAW",AH9="นิติศาสตร์",K9="S1",U9="",AA9=""),EDATE(P9,12),AND(AI9="K5-LAW",AH9="นิติศาสตร์",OR(K9="M2",K9="K4"),U9="",AA9=""),EDATE(P9,12*2),AND(AI9="K5-LAW",AH9="นิติศาสตร์",OR(AA9="M2",AA9="K4"),AD9&gt;=2,OR(AC9&lt;W9,AC9&lt;P9)),EDATE(AC9,12*2),AND(AI9="K5-LAW",AH9="นิติศาสตร์",AA9="S1",AD9&gt;=1,OR(AC9&lt;W9,AC9&lt;P9)),EDATE(AC9,12),AND(AI9="K5-LAW",AH9="นิติศาสตร์",OR(U9="M2",U9="K4"),X9&gt;=2,W9&lt;P9),EDATE(W9,12*2),AND(AI9="K5-LAW",AH9="นิติศาสตร์",U9="S1",X9&gt;=1,W9&lt;P9),EDATE(W9,12),AND(AI9="K5-LAW",AH9="นิติศาสตร์",OR(U9="S2",U9="K5")),W9,AND(AI9="K5-LAW",AH9="นิติศาสตร์",OR(K9="M2",K9="K4"),Q9&gt;=2),EDATE(P9,12*2),AND(AI9="K5-LAW",AH9="นิติศาสตร์",K9="S1",Q9&gt;=1),EDATE(P9,12),AND(AI9="K5-LAW",AH9="นิติศาสตร์",OR(K9="S2",K9="K5")),P9,AND(AI9="K5-POLICY",AH9&lt;&gt;"นิติศาสตร์",K9="S2",U9="",AA9=""),P9,AND(AI9="K5-POLICY",AH9&lt;&gt;"นิติศาสตร์",K9="S1",U9="",AA9=""),EDATE(P9,12),AND(AI9="K5-POLICY",AH9&lt;&gt;"นิติศาสตร์",OR(K9="M2",K9="K4"),U9="",AA9=""),EDATE(P9,12*2),AND(AI9="K5-POLICY",AH9&lt;&gt;"นิติศาสตร์",OR(AA9="M2",AA9="K4"),AD9&gt;=2,OR(AC9&lt;W9,AC9&lt;P9)),EDATE(AC9,12*2),AND(AI9="K5-POLICY",AH9&lt;&gt;"นิติศาสตร์",AA9="S1",AD9&gt;=1,OR(AC9&lt;W9,AC9&lt;P9)),EDATE(AC9,12),AND(AI9="K5-POLICY",AH9&lt;&gt;"นิติศาสตร์",OR(U9="M2",U9="K4"),X9&gt;=2,W9&lt;P9),EDATE(W9,12*2),AND(AI9="K5-POLICY",AH9&lt;&gt;"นิติศาสตร์",U9="S1",X9&gt;=1,W9&lt;P9),EDATE(W9,12),AND(AI9="K5-POLICY",AH9&lt;&gt;"นิติศาสตร์",OR(U9="S2",U9="K5")),W9,AND(AI9="K5-POLICY",AH9&lt;&gt;"นิติศาสตร์",OR(K9="M2",K9="K4"),Q9&gt;=2),EDATE(P9,12*2),AND(AI9="K5-POLICY",AH9&lt;&gt;"นิติศาสตร์",K9="S1",Q9&gt;=1),EDATE(P9,12),AND(AI9="K5-POLICY",AH9&lt;&gt;"นิติศาสตร์",OR(K9="S2",K9="K5")),P9,TRUE,"Check Data")</f>
        <v/>
      </c>
      <c r="AK9" s="75" t="str">
        <f t="shared" si="13"/>
        <v>Check Data</v>
      </c>
      <c r="AL9" s="76" t="str">
        <f t="shared" si="14"/>
        <v>Check Data</v>
      </c>
      <c r="AM9" s="50" t="str">
        <f t="shared" si="15"/>
        <v>Check Data</v>
      </c>
      <c r="AN9" s="49" t="str">
        <f>IF(B9="","",IF(K9="S1","S1",INDEX(#REF!,#REF!)))</f>
        <v/>
      </c>
      <c r="AO9" s="49" t="str">
        <f>K9</f>
        <v>S1</v>
      </c>
      <c r="AP9" s="50" t="b">
        <f>K9=AN9</f>
        <v>0</v>
      </c>
      <c r="AQ9" s="50"/>
    </row>
    <row r="10" spans="1:43" customFormat="1">
      <c r="A10" s="49">
        <v>8</v>
      </c>
      <c r="B10" s="50"/>
      <c r="C10" s="50"/>
      <c r="D10" s="50" t="s">
        <v>140</v>
      </c>
      <c r="E10" s="49" t="s">
        <v>185</v>
      </c>
      <c r="F10" s="49" t="str">
        <f t="shared" si="0"/>
        <v>06/01/2003</v>
      </c>
      <c r="G10" s="50">
        <f t="shared" si="1"/>
        <v>22</v>
      </c>
      <c r="H10" s="50">
        <f t="shared" si="2"/>
        <v>5</v>
      </c>
      <c r="I10" s="50">
        <f t="shared" si="3"/>
        <v>14</v>
      </c>
      <c r="J10" s="50" t="s">
        <v>155</v>
      </c>
      <c r="K10" s="49" t="s">
        <v>135</v>
      </c>
      <c r="L10" s="64"/>
      <c r="M10" s="49"/>
      <c r="N10" s="49">
        <v>2578</v>
      </c>
      <c r="O10" s="65" t="s">
        <v>186</v>
      </c>
      <c r="P10" s="49" t="str">
        <f t="shared" si="4"/>
        <v>26/01/2022</v>
      </c>
      <c r="Q10" s="68">
        <f t="shared" si="5"/>
        <v>3</v>
      </c>
      <c r="R10" s="68">
        <f t="shared" si="6"/>
        <v>4</v>
      </c>
      <c r="S10" s="68">
        <f t="shared" si="7"/>
        <v>25</v>
      </c>
      <c r="T10" s="68"/>
      <c r="U10" s="65"/>
      <c r="V10" s="65"/>
      <c r="W10" s="49" t="str">
        <f t="shared" si="8"/>
        <v/>
      </c>
      <c r="X10" s="68">
        <f>IF(W10="",0,DATEDIF(W10,P10,"Y"))</f>
        <v>0</v>
      </c>
      <c r="Y10" s="68">
        <f>IF(W10="",0,DATEDIF(W10,P10,"YM"))</f>
        <v>0</v>
      </c>
      <c r="Z10" s="68">
        <f>IF(W10="",0,DATEDIF(W10,P10,"MD"))</f>
        <v>0</v>
      </c>
      <c r="AA10" s="49"/>
      <c r="AB10" s="65"/>
      <c r="AC10" s="50" t="str">
        <f t="shared" si="9"/>
        <v/>
      </c>
      <c r="AD10" s="68">
        <f t="shared" si="10"/>
        <v>0</v>
      </c>
      <c r="AE10" s="68">
        <f t="shared" si="11"/>
        <v>0</v>
      </c>
      <c r="AF10" s="68">
        <f t="shared" si="12"/>
        <v>0</v>
      </c>
      <c r="AG10" s="50"/>
      <c r="AH10" s="50" t="s">
        <v>196</v>
      </c>
      <c r="AI10" s="49" t="str">
        <f>IF(AH10="นิติศาสตร์","K5-LAW","K5-POLICY")</f>
        <v>K5-POLICY</v>
      </c>
      <c r="AJ10" s="72" t="str">
        <f>_xlfn.IFS(B10="","",AND(AI10="K5-LAW",AH10="นิติศาสตร์",K10="S2",U10="",AA10=""),P10,AND(AI10="K5-LAW",AH10="นิติศาสตร์",K10="S1",U10="",AA10=""),EDATE(P10,12),AND(AI10="K5-LAW",AH10="นิติศาสตร์",OR(K10="M2",K10="K4"),U10="",AA10=""),EDATE(P10,12*2),AND(AI10="K5-LAW",AH10="นิติศาสตร์",OR(AA10="M2",AA10="K4"),AD10&gt;=2,OR(AC10&lt;W10,AC10&lt;P10)),EDATE(AC10,12*2),AND(AI10="K5-LAW",AH10="นิติศาสตร์",AA10="S1",AD10&gt;=1,OR(AC10&lt;W10,AC10&lt;P10)),EDATE(AC10,12),AND(AI10="K5-LAW",AH10="นิติศาสตร์",OR(U10="M2",U10="K4"),X10&gt;=2,W10&lt;P10),EDATE(W10,12*2),AND(AI10="K5-LAW",AH10="นิติศาสตร์",U10="S1",X10&gt;=1,W10&lt;P10),EDATE(W10,12),AND(AI10="K5-LAW",AH10="นิติศาสตร์",OR(U10="S2",U10="K5")),W10,AND(AI10="K5-LAW",AH10="นิติศาสตร์",OR(K10="M2",K10="K4"),Q10&gt;=2),EDATE(P10,12*2),AND(AI10="K5-LAW",AH10="นิติศาสตร์",K10="S1",Q10&gt;=1),EDATE(P10,12),AND(AI10="K5-LAW",AH10="นิติศาสตร์",OR(K10="S2",K10="K5")),P10,AND(AI10="K5-POLICY",AH10&lt;&gt;"นิติศาสตร์",K10="S2",U10="",AA10=""),P10,AND(AI10="K5-POLICY",AH10&lt;&gt;"นิติศาสตร์",K10="S1",U10="",AA10=""),EDATE(P10,12),AND(AI10="K5-POLICY",AH10&lt;&gt;"นิติศาสตร์",OR(K10="M2",K10="K4"),U10="",AA10=""),EDATE(P10,12*2),AND(AI10="K5-POLICY",AH10&lt;&gt;"นิติศาสตร์",OR(AA10="M2",AA10="K4"),AD10&gt;=2,OR(AC10&lt;W10,AC10&lt;P10)),EDATE(AC10,12*2),AND(AI10="K5-POLICY",AH10&lt;&gt;"นิติศาสตร์",AA10="S1",AD10&gt;=1,OR(AC10&lt;W10,AC10&lt;P10)),EDATE(AC10,12),AND(AI10="K5-POLICY",AH10&lt;&gt;"นิติศาสตร์",OR(U10="M2",U10="K4"),X10&gt;=2,W10&lt;P10),EDATE(W10,12*2),AND(AI10="K5-POLICY",AH10&lt;&gt;"นิติศาสตร์",U10="S1",X10&gt;=1,W10&lt;P10),EDATE(W10,12),AND(AI10="K5-POLICY",AH10&lt;&gt;"นิติศาสตร์",OR(U10="S2",U10="K5")),W10,AND(AI10="K5-POLICY",AH10&lt;&gt;"นิติศาสตร์",OR(K10="M2",K10="K4"),Q10&gt;=2),EDATE(P10,12*2),AND(AI10="K5-POLICY",AH10&lt;&gt;"นิติศาสตร์",K10="S1",Q10&gt;=1),EDATE(P10,12),AND(AI10="K5-POLICY",AH10&lt;&gt;"นิติศาสตร์",OR(K10="S2",K10="K5")),P10,TRUE,"Check Data")</f>
        <v/>
      </c>
      <c r="AK10" s="75" t="str">
        <f t="shared" si="13"/>
        <v>Check Data</v>
      </c>
      <c r="AL10" s="76" t="str">
        <f t="shared" si="14"/>
        <v>Check Data</v>
      </c>
      <c r="AM10" s="50" t="str">
        <f t="shared" si="15"/>
        <v>Check Data</v>
      </c>
      <c r="AN10" s="49" t="str">
        <f>IF(B10="","",IF(K10="S1","S1",INDEX(#REF!,#REF!)))</f>
        <v/>
      </c>
      <c r="AO10" s="49" t="str">
        <f>K10</f>
        <v>S1</v>
      </c>
      <c r="AP10" s="50" t="b">
        <f>K10=AN10</f>
        <v>0</v>
      </c>
      <c r="AQ10" s="50"/>
    </row>
    <row r="11" spans="1:43" customFormat="1">
      <c r="A11" s="49">
        <v>9</v>
      </c>
      <c r="B11" s="50"/>
      <c r="C11" s="50"/>
      <c r="D11" s="50" t="s">
        <v>146</v>
      </c>
      <c r="E11" s="49" t="s">
        <v>191</v>
      </c>
      <c r="F11" s="49" t="str">
        <f t="shared" si="0"/>
        <v>02/04/1990</v>
      </c>
      <c r="G11" s="50">
        <f t="shared" si="1"/>
        <v>35</v>
      </c>
      <c r="H11" s="50">
        <f t="shared" si="2"/>
        <v>2</v>
      </c>
      <c r="I11" s="50">
        <f t="shared" si="3"/>
        <v>18</v>
      </c>
      <c r="J11" s="50" t="s">
        <v>161</v>
      </c>
      <c r="K11" s="49" t="s">
        <v>135</v>
      </c>
      <c r="L11" s="64"/>
      <c r="M11" s="49"/>
      <c r="N11" s="49">
        <v>2569</v>
      </c>
      <c r="O11" s="65" t="s">
        <v>192</v>
      </c>
      <c r="P11" s="49" t="str">
        <f t="shared" si="4"/>
        <v>29/11/2022</v>
      </c>
      <c r="Q11" s="68">
        <f t="shared" si="5"/>
        <v>2</v>
      </c>
      <c r="R11" s="68">
        <f t="shared" si="6"/>
        <v>6</v>
      </c>
      <c r="S11" s="68">
        <f t="shared" si="7"/>
        <v>22</v>
      </c>
      <c r="T11" s="68"/>
      <c r="U11" s="65"/>
      <c r="V11" s="65"/>
      <c r="W11" s="49" t="str">
        <f t="shared" si="8"/>
        <v/>
      </c>
      <c r="X11" s="68">
        <f>IF(W11="",0,DATEDIF(W11,P11,"Y"))</f>
        <v>0</v>
      </c>
      <c r="Y11" s="68">
        <f>IF(W11="",0,DATEDIF(W11,P11,"YM"))</f>
        <v>0</v>
      </c>
      <c r="Z11" s="68">
        <f>IF(W11="",0,DATEDIF(W11,P11,"MD"))</f>
        <v>0</v>
      </c>
      <c r="AA11" s="49"/>
      <c r="AB11" s="65"/>
      <c r="AC11" s="50" t="str">
        <f t="shared" si="9"/>
        <v/>
      </c>
      <c r="AD11" s="68">
        <f t="shared" si="10"/>
        <v>0</v>
      </c>
      <c r="AE11" s="68">
        <f t="shared" si="11"/>
        <v>0</v>
      </c>
      <c r="AF11" s="68">
        <f t="shared" si="12"/>
        <v>0</v>
      </c>
      <c r="AG11" s="50"/>
      <c r="AH11" s="50" t="s">
        <v>193</v>
      </c>
      <c r="AI11" s="49" t="str">
        <f>IF(AH11="นิติศาสตร์","K5-LAW","K5-POLICY")</f>
        <v>K5-POLICY</v>
      </c>
      <c r="AJ11" s="72" t="str">
        <f>_xlfn.IFS(B11="","",AND(AI11="K5-LAW",AH11="นิติศาสตร์",K11="S2",U11="",AA11=""),P11,AND(AI11="K5-LAW",AH11="นิติศาสตร์",K11="S1",U11="",AA11=""),EDATE(P11,12),AND(AI11="K5-LAW",AH11="นิติศาสตร์",OR(K11="M2",K11="K4"),U11="",AA11=""),EDATE(P11,12*2),AND(AI11="K5-LAW",AH11="นิติศาสตร์",OR(AA11="M2",AA11="K4"),AD11&gt;=2,OR(AC11&lt;W11,AC11&lt;P11)),EDATE(AC11,12*2),AND(AI11="K5-LAW",AH11="นิติศาสตร์",AA11="S1",AD11&gt;=1,OR(AC11&lt;W11,AC11&lt;P11)),EDATE(AC11,12),AND(AI11="K5-LAW",AH11="นิติศาสตร์",OR(U11="M2",U11="K4"),X11&gt;=2,W11&lt;P11),EDATE(W11,12*2),AND(AI11="K5-LAW",AH11="นิติศาสตร์",U11="S1",X11&gt;=1,W11&lt;P11),EDATE(W11,12),AND(AI11="K5-LAW",AH11="นิติศาสตร์",OR(U11="S2",U11="K5")),W11,AND(AI11="K5-LAW",AH11="นิติศาสตร์",OR(K11="M2",K11="K4"),Q11&gt;=2),EDATE(P11,12*2),AND(AI11="K5-LAW",AH11="นิติศาสตร์",K11="S1",Q11&gt;=1),EDATE(P11,12),AND(AI11="K5-LAW",AH11="นิติศาสตร์",OR(K11="S2",K11="K5")),P11,AND(AI11="K5-POLICY",AH11&lt;&gt;"นิติศาสตร์",K11="S2",U11="",AA11=""),P11,AND(AI11="K5-POLICY",AH11&lt;&gt;"นิติศาสตร์",K11="S1",U11="",AA11=""),EDATE(P11,12),AND(AI11="K5-POLICY",AH11&lt;&gt;"นิติศาสตร์",OR(K11="M2",K11="K4"),U11="",AA11=""),EDATE(P11,12*2),AND(AI11="K5-POLICY",AH11&lt;&gt;"นิติศาสตร์",OR(AA11="M2",AA11="K4"),AD11&gt;=2,OR(AC11&lt;W11,AC11&lt;P11)),EDATE(AC11,12*2),AND(AI11="K5-POLICY",AH11&lt;&gt;"นิติศาสตร์",AA11="S1",AD11&gt;=1,OR(AC11&lt;W11,AC11&lt;P11)),EDATE(AC11,12),AND(AI11="K5-POLICY",AH11&lt;&gt;"นิติศาสตร์",OR(U11="M2",U11="K4"),X11&gt;=2,W11&lt;P11),EDATE(W11,12*2),AND(AI11="K5-POLICY",AH11&lt;&gt;"นิติศาสตร์",U11="S1",X11&gt;=1,W11&lt;P11),EDATE(W11,12),AND(AI11="K5-POLICY",AH11&lt;&gt;"นิติศาสตร์",OR(U11="S2",U11="K5")),W11,AND(AI11="K5-POLICY",AH11&lt;&gt;"นิติศาสตร์",OR(K11="M2",K11="K4"),Q11&gt;=2),EDATE(P11,12*2),AND(AI11="K5-POLICY",AH11&lt;&gt;"นิติศาสตร์",K11="S1",Q11&gt;=1),EDATE(P11,12),AND(AI11="K5-POLICY",AH11&lt;&gt;"นิติศาสตร์",OR(K11="S2",K11="K5")),P11,TRUE,"Check Data")</f>
        <v/>
      </c>
      <c r="AK11" s="75" t="str">
        <f t="shared" si="13"/>
        <v>Check Data</v>
      </c>
      <c r="AL11" s="76" t="str">
        <f t="shared" si="14"/>
        <v>Check Data</v>
      </c>
      <c r="AM11" s="50" t="str">
        <f t="shared" si="15"/>
        <v>Check Data</v>
      </c>
      <c r="AN11" s="49" t="str">
        <f>IF(B11="","",IF(K11="S1","S1",INDEX(#REF!,#REF!)))</f>
        <v/>
      </c>
      <c r="AO11" s="49" t="str">
        <f>K11</f>
        <v>S1</v>
      </c>
      <c r="AP11" s="50" t="b">
        <f>K11=AN11</f>
        <v>0</v>
      </c>
      <c r="AQ11" s="50"/>
    </row>
    <row r="12" spans="1:43">
      <c r="A12" s="49">
        <v>10</v>
      </c>
      <c r="B12" s="50"/>
      <c r="C12" s="50"/>
      <c r="D12" s="50" t="s">
        <v>144</v>
      </c>
      <c r="E12" s="49" t="s">
        <v>197</v>
      </c>
      <c r="F12" s="49" t="str">
        <f t="shared" si="0"/>
        <v>01/05/1991</v>
      </c>
      <c r="G12" s="50">
        <f t="shared" si="1"/>
        <v>34</v>
      </c>
      <c r="H12" s="50">
        <f t="shared" si="2"/>
        <v>1</v>
      </c>
      <c r="I12" s="50">
        <f t="shared" si="3"/>
        <v>19</v>
      </c>
      <c r="J12" s="50" t="s">
        <v>159</v>
      </c>
      <c r="K12" s="49" t="s">
        <v>135</v>
      </c>
      <c r="L12" s="64"/>
      <c r="M12" s="49" t="s">
        <v>425</v>
      </c>
      <c r="N12" s="49">
        <v>2574</v>
      </c>
      <c r="O12" s="65" t="s">
        <v>179</v>
      </c>
      <c r="P12" s="49" t="str">
        <f t="shared" si="4"/>
        <v>20/01/2023</v>
      </c>
      <c r="Q12" s="68">
        <f t="shared" si="5"/>
        <v>2</v>
      </c>
      <c r="R12" s="68">
        <f t="shared" si="6"/>
        <v>5</v>
      </c>
      <c r="S12" s="68">
        <f t="shared" si="7"/>
        <v>0</v>
      </c>
      <c r="T12" s="68"/>
      <c r="U12" s="65"/>
      <c r="V12" s="65"/>
      <c r="W12" s="49" t="str">
        <f t="shared" si="8"/>
        <v/>
      </c>
      <c r="X12" s="68">
        <f>IF(W12="",0,DATEDIF(W12,P12,"Y"))</f>
        <v>0</v>
      </c>
      <c r="Y12" s="68">
        <f>IF(W12="",0,DATEDIF(W12,P12,"YM"))</f>
        <v>0</v>
      </c>
      <c r="Z12" s="68">
        <f>IF(W12="",0,DATEDIF(W12,P12,"MD"))</f>
        <v>0</v>
      </c>
      <c r="AA12" s="49"/>
      <c r="AB12" s="65"/>
      <c r="AC12" s="50" t="str">
        <f t="shared" si="9"/>
        <v/>
      </c>
      <c r="AD12" s="68">
        <f t="shared" si="10"/>
        <v>0</v>
      </c>
      <c r="AE12" s="68">
        <f t="shared" si="11"/>
        <v>0</v>
      </c>
      <c r="AF12" s="68">
        <f t="shared" si="12"/>
        <v>0</v>
      </c>
      <c r="AG12" s="50"/>
      <c r="AH12" s="50" t="s">
        <v>138</v>
      </c>
      <c r="AI12" s="49" t="str">
        <f>IF(AH12="นิติศาสตร์","K5-LAW","K5-POLICY")</f>
        <v>K5-LAW</v>
      </c>
      <c r="AJ12" s="72" t="str">
        <f>_xlfn.IFS(B12="","",AND(AI12="K5-LAW",AH12="นิติศาสตร์",K12="S2",U12="",AA12=""),P12,AND(AI12="K5-LAW",AH12="นิติศาสตร์",K12="S1",U12="",AA12=""),EDATE(P12,12),AND(AI12="K5-LAW",AH12="นิติศาสตร์",OR(K12="M2",K12="K4"),U12="",AA12=""),EDATE(P12,12*2),AND(AI12="K5-LAW",AH12="นิติศาสตร์",OR(AA12="M2",AA12="K4"),AD12&gt;=2,OR(AC12&lt;W12,AC12&lt;P12)),EDATE(AC12,12*2),AND(AI12="K5-LAW",AH12="นิติศาสตร์",AA12="S1",AD12&gt;=1,OR(AC12&lt;W12,AC12&lt;P12)),EDATE(AC12,12),AND(AI12="K5-LAW",AH12="นิติศาสตร์",OR(U12="M2",U12="K4"),X12&gt;=2,W12&lt;P12),EDATE(W12,12*2),AND(AI12="K5-LAW",AH12="นิติศาสตร์",U12="S1",X12&gt;=1,W12&lt;P12),EDATE(W12,12),AND(AI12="K5-LAW",AH12="นิติศาสตร์",OR(U12="S2",U12="K5")),W12,AND(AI12="K5-LAW",AH12="นิติศาสตร์",OR(K12="M2",K12="K4"),Q12&gt;=2),EDATE(P12,12*2),AND(AI12="K5-LAW",AH12="นิติศาสตร์",K12="S1",Q12&gt;=1),EDATE(P12,12),AND(AI12="K5-LAW",AH12="นิติศาสตร์",OR(K12="S2",K12="K5")),P12,AND(AI12="K5-POLICY",AH12&lt;&gt;"นิติศาสตร์",K12="S2",U12="",AA12=""),P12,AND(AI12="K5-POLICY",AH12&lt;&gt;"นิติศาสตร์",K12="S1",U12="",AA12=""),EDATE(P12,12),AND(AI12="K5-POLICY",AH12&lt;&gt;"นิติศาสตร์",OR(K12="M2",K12="K4"),U12="",AA12=""),EDATE(P12,12*2),AND(AI12="K5-POLICY",AH12&lt;&gt;"นิติศาสตร์",OR(AA12="M2",AA12="K4"),AD12&gt;=2,OR(AC12&lt;W12,AC12&lt;P12)),EDATE(AC12,12*2),AND(AI12="K5-POLICY",AH12&lt;&gt;"นิติศาสตร์",AA12="S1",AD12&gt;=1,OR(AC12&lt;W12,AC12&lt;P12)),EDATE(AC12,12),AND(AI12="K5-POLICY",AH12&lt;&gt;"นิติศาสตร์",OR(U12="M2",U12="K4"),X12&gt;=2,W12&lt;P12),EDATE(W12,12*2),AND(AI12="K5-POLICY",AH12&lt;&gt;"นิติศาสตร์",U12="S1",X12&gt;=1,W12&lt;P12),EDATE(W12,12),AND(AI12="K5-POLICY",AH12&lt;&gt;"นิติศาสตร์",OR(U12="S2",U12="K5")),W12,AND(AI12="K5-POLICY",AH12&lt;&gt;"นิติศาสตร์",OR(K12="M2",K12="K4"),Q12&gt;=2),EDATE(P12,12*2),AND(AI12="K5-POLICY",AH12&lt;&gt;"นิติศาสตร์",K12="S1",Q12&gt;=1),EDATE(P12,12),AND(AI12="K5-POLICY",AH12&lt;&gt;"นิติศาสตร์",OR(K12="S2",K12="K5")),P12,TRUE,"Check Data")</f>
        <v/>
      </c>
      <c r="AK12" s="75" t="str">
        <f t="shared" si="13"/>
        <v>Check Data</v>
      </c>
      <c r="AL12" s="76" t="str">
        <f t="shared" si="14"/>
        <v>Check Data</v>
      </c>
      <c r="AM12" s="50" t="str">
        <f t="shared" si="15"/>
        <v>Check Data</v>
      </c>
      <c r="AN12" s="49" t="str">
        <f>IF(B12="","",IF(K12="S1","S1",INDEX(#REF!,#REF!)))</f>
        <v/>
      </c>
      <c r="AO12" s="49" t="str">
        <f>K12</f>
        <v>S1</v>
      </c>
      <c r="AP12" s="50" t="b">
        <f>K12=AN12</f>
        <v>0</v>
      </c>
      <c r="AQ12" s="50"/>
    </row>
    <row r="13" spans="1:43">
      <c r="A13" s="49">
        <v>11</v>
      </c>
      <c r="B13" s="50"/>
      <c r="C13" s="50"/>
      <c r="D13" s="50" t="s">
        <v>139</v>
      </c>
      <c r="E13" s="49" t="s">
        <v>164</v>
      </c>
      <c r="F13" s="49" t="str">
        <f t="shared" si="0"/>
        <v>01/05/1990</v>
      </c>
      <c r="G13" s="50">
        <f t="shared" si="1"/>
        <v>35</v>
      </c>
      <c r="H13" s="50">
        <f t="shared" si="2"/>
        <v>1</v>
      </c>
      <c r="I13" s="50">
        <f t="shared" si="3"/>
        <v>19</v>
      </c>
      <c r="J13" s="50" t="s">
        <v>154</v>
      </c>
      <c r="K13" s="49" t="s">
        <v>135</v>
      </c>
      <c r="L13" s="64"/>
      <c r="M13" s="49" t="s">
        <v>425</v>
      </c>
      <c r="N13" s="49">
        <v>2572</v>
      </c>
      <c r="O13" s="65" t="s">
        <v>179</v>
      </c>
      <c r="P13" s="49" t="str">
        <f t="shared" si="4"/>
        <v>20/01/2023</v>
      </c>
      <c r="Q13" s="68">
        <f t="shared" si="5"/>
        <v>2</v>
      </c>
      <c r="R13" s="68">
        <f t="shared" si="6"/>
        <v>5</v>
      </c>
      <c r="S13" s="68">
        <f t="shared" si="7"/>
        <v>0</v>
      </c>
      <c r="T13" s="68"/>
      <c r="U13" s="65"/>
      <c r="V13" s="65"/>
      <c r="W13" s="49" t="str">
        <f t="shared" si="8"/>
        <v/>
      </c>
      <c r="X13" s="68">
        <f>IF(W13="",0,DATEDIF(W13,P13,"Y"))</f>
        <v>0</v>
      </c>
      <c r="Y13" s="68">
        <f>IF(W13="",0,DATEDIF(W13,P13,"YM"))</f>
        <v>0</v>
      </c>
      <c r="Z13" s="68">
        <f>IF(W13="",0,DATEDIF(W13,P13,"MD"))</f>
        <v>0</v>
      </c>
      <c r="AA13" s="69"/>
      <c r="AB13" s="65"/>
      <c r="AC13" s="50" t="str">
        <f t="shared" si="9"/>
        <v/>
      </c>
      <c r="AD13" s="68">
        <f t="shared" si="10"/>
        <v>0</v>
      </c>
      <c r="AE13" s="68">
        <f t="shared" si="11"/>
        <v>0</v>
      </c>
      <c r="AF13" s="68">
        <f t="shared" si="12"/>
        <v>0</v>
      </c>
      <c r="AG13" s="50"/>
      <c r="AH13" s="50" t="s">
        <v>138</v>
      </c>
      <c r="AI13" s="49" t="str">
        <f>IF(AH13="นิติศาสตร์","K5-LAW","K5-POLICY")</f>
        <v>K5-LAW</v>
      </c>
      <c r="AJ13" s="72" t="str">
        <f>_xlfn.IFS(B13="","",AND(AI13="K5-LAW",AH13="นิติศาสตร์",K13="S2",U13="",AA13=""),P13,AND(AI13="K5-LAW",AH13="นิติศาสตร์",K13="S1",U13="",AA13=""),EDATE(P13,12),AND(AI13="K5-LAW",AH13="นิติศาสตร์",OR(K13="M2",K13="K4"),U13="",AA13=""),EDATE(P13,12*2),AND(AI13="K5-LAW",AH13="นิติศาสตร์",OR(AA13="M2",AA13="K4"),AD13&gt;=2,OR(AC13&lt;W13,AC13&lt;P13)),EDATE(AC13,12*2),AND(AI13="K5-LAW",AH13="นิติศาสตร์",AA13="S1",AD13&gt;=1,OR(AC13&lt;W13,AC13&lt;P13)),EDATE(AC13,12),AND(AI13="K5-LAW",AH13="นิติศาสตร์",OR(U13="M2",U13="K4"),X13&gt;=2,W13&lt;P13),EDATE(W13,12*2),AND(AI13="K5-LAW",AH13="นิติศาสตร์",U13="S1",X13&gt;=1,W13&lt;P13),EDATE(W13,12),AND(AI13="K5-LAW",AH13="นิติศาสตร์",OR(U13="S2",U13="K5")),W13,AND(AI13="K5-LAW",AH13="นิติศาสตร์",OR(K13="M2",K13="K4"),Q13&gt;=2),EDATE(P13,12*2),AND(AI13="K5-LAW",AH13="นิติศาสตร์",K13="S1",Q13&gt;=1),EDATE(P13,12),AND(AI13="K5-LAW",AH13="นิติศาสตร์",OR(K13="S2",K13="K5")),P13,AND(AI13="K5-POLICY",AH13&lt;&gt;"นิติศาสตร์",K13="S2",U13="",AA13=""),P13,AND(AI13="K5-POLICY",AH13&lt;&gt;"นิติศาสตร์",K13="S1",U13="",AA13=""),EDATE(P13,12),AND(AI13="K5-POLICY",AH13&lt;&gt;"นิติศาสตร์",OR(K13="M2",K13="K4"),U13="",AA13=""),EDATE(P13,12*2),AND(AI13="K5-POLICY",AH13&lt;&gt;"นิติศาสตร์",OR(AA13="M2",AA13="K4"),AD13&gt;=2,OR(AC13&lt;W13,AC13&lt;P13)),EDATE(AC13,12*2),AND(AI13="K5-POLICY",AH13&lt;&gt;"นิติศาสตร์",AA13="S1",AD13&gt;=1,OR(AC13&lt;W13,AC13&lt;P13)),EDATE(AC13,12),AND(AI13="K5-POLICY",AH13&lt;&gt;"นิติศาสตร์",OR(U13="M2",U13="K4"),X13&gt;=2,W13&lt;P13),EDATE(W13,12*2),AND(AI13="K5-POLICY",AH13&lt;&gt;"นิติศาสตร์",U13="S1",X13&gt;=1,W13&lt;P13),EDATE(W13,12),AND(AI13="K5-POLICY",AH13&lt;&gt;"นิติศาสตร์",OR(U13="S2",U13="K5")),W13,AND(AI13="K5-POLICY",AH13&lt;&gt;"นิติศาสตร์",OR(K13="M2",K13="K4"),Q13&gt;=2),EDATE(P13,12*2),AND(AI13="K5-POLICY",AH13&lt;&gt;"นิติศาสตร์",K13="S1",Q13&gt;=1),EDATE(P13,12),AND(AI13="K5-POLICY",AH13&lt;&gt;"นิติศาสตร์",OR(K13="S2",K13="K5")),P13,TRUE,"Check Data")</f>
        <v/>
      </c>
      <c r="AK13" s="75" t="str">
        <f t="shared" si="13"/>
        <v>Check Data</v>
      </c>
      <c r="AL13" s="76" t="str">
        <f t="shared" si="14"/>
        <v>Check Data</v>
      </c>
      <c r="AM13" s="50" t="str">
        <f t="shared" si="15"/>
        <v>Check Data</v>
      </c>
      <c r="AN13" s="49" t="str">
        <f>IF(B13="","",IF(K13="S1","S1",INDEX(#REF!,#REF!)))</f>
        <v/>
      </c>
      <c r="AO13" s="49" t="str">
        <f>K13</f>
        <v>S1</v>
      </c>
      <c r="AP13" s="50" t="b">
        <f>K13=AN13</f>
        <v>0</v>
      </c>
      <c r="AQ13" s="50"/>
    </row>
    <row r="14" spans="1:43">
      <c r="A14" s="49">
        <v>12</v>
      </c>
      <c r="B14" s="50"/>
      <c r="C14" s="50"/>
      <c r="D14" s="50" t="s">
        <v>141</v>
      </c>
      <c r="E14" s="49" t="s">
        <v>183</v>
      </c>
      <c r="F14" s="49" t="str">
        <f t="shared" si="0"/>
        <v>10/08/1992</v>
      </c>
      <c r="G14" s="50">
        <f t="shared" si="1"/>
        <v>32</v>
      </c>
      <c r="H14" s="50">
        <f t="shared" si="2"/>
        <v>10</v>
      </c>
      <c r="I14" s="50">
        <f t="shared" si="3"/>
        <v>10</v>
      </c>
      <c r="J14" s="50" t="s">
        <v>156</v>
      </c>
      <c r="K14" s="49" t="s">
        <v>135</v>
      </c>
      <c r="L14" s="64"/>
      <c r="M14" s="49" t="s">
        <v>425</v>
      </c>
      <c r="N14" s="49" t="s">
        <v>489</v>
      </c>
      <c r="O14" s="65" t="s">
        <v>184</v>
      </c>
      <c r="P14" s="49" t="str">
        <f t="shared" si="4"/>
        <v>24/07/2023</v>
      </c>
      <c r="Q14" s="68">
        <f t="shared" si="5"/>
        <v>1</v>
      </c>
      <c r="R14" s="68">
        <f t="shared" si="6"/>
        <v>10</v>
      </c>
      <c r="S14" s="68">
        <f t="shared" si="7"/>
        <v>27</v>
      </c>
      <c r="T14" s="69" t="s">
        <v>490</v>
      </c>
      <c r="U14" s="65" t="s">
        <v>136</v>
      </c>
      <c r="V14" s="65" t="s">
        <v>168</v>
      </c>
      <c r="W14" s="49" t="str">
        <f t="shared" si="8"/>
        <v>01/10/2017</v>
      </c>
      <c r="X14" s="68">
        <f>IF(W14="",0,DATEDIF(W14,P14,"Y"))</f>
        <v>5</v>
      </c>
      <c r="Y14" s="68">
        <f>IF(W14="",0,DATEDIF(W14,P14,"YM"))</f>
        <v>9</v>
      </c>
      <c r="Z14" s="68">
        <f>IF(W14="",0,DATEDIF(W14,P14,"MD"))</f>
        <v>23</v>
      </c>
      <c r="AA14" s="49"/>
      <c r="AB14" s="65"/>
      <c r="AC14" s="50" t="str">
        <f t="shared" si="9"/>
        <v/>
      </c>
      <c r="AD14" s="68">
        <f t="shared" si="10"/>
        <v>0</v>
      </c>
      <c r="AE14" s="68">
        <f t="shared" si="11"/>
        <v>0</v>
      </c>
      <c r="AF14" s="68">
        <f t="shared" si="12"/>
        <v>0</v>
      </c>
      <c r="AG14" s="50"/>
      <c r="AH14" s="50" t="s">
        <v>138</v>
      </c>
      <c r="AI14" s="49" t="str">
        <f>IF(AH14="นิติศาสตร์","K5-LAW","K5-POLICY")</f>
        <v>K5-LAW</v>
      </c>
      <c r="AJ14" s="72" t="str">
        <f>_xlfn.IFS(B14="","",AND(AI14="K5-LAW",AH14="นิติศาสตร์",K14="S2",U14="",AA14=""),P14,AND(AI14="K5-LAW",AH14="นิติศาสตร์",K14="S1",U14="",AA14=""),EDATE(P14,12),AND(AI14="K5-LAW",AH14="นิติศาสตร์",OR(K14="M2",K14="K4"),U14="",AA14=""),EDATE(P14,12*2),AND(AI14="K5-LAW",AH14="นิติศาสตร์",OR(AA14="M2",AA14="K4"),AD14&gt;=2,OR(AC14&lt;W14,AC14&lt;P14)),EDATE(AC14,12*2),AND(AI14="K5-LAW",AH14="นิติศาสตร์",AA14="S1",AD14&gt;=1,OR(AC14&lt;W14,AC14&lt;P14)),EDATE(AC14,12),AND(AI14="K5-LAW",AH14="นิติศาสตร์",OR(U14="M2",U14="K4"),X14&gt;=2,W14&lt;P14),EDATE(W14,12*2),AND(AI14="K5-LAW",AH14="นิติศาสตร์",U14="S1",X14&gt;=1,W14&lt;P14),EDATE(W14,12),AND(AI14="K5-LAW",AH14="นิติศาสตร์",OR(U14="S2",U14="K5")),W14,AND(AI14="K5-LAW",AH14="นิติศาสตร์",OR(K14="M2",K14="K4"),Q14&gt;=2),EDATE(P14,12*2),AND(AI14="K5-LAW",AH14="นิติศาสตร์",K14="S1",Q14&gt;=1),EDATE(P14,12),AND(AI14="K5-LAW",AH14="นิติศาสตร์",OR(K14="S2",K14="K5")),P14,AND(AI14="K5-POLICY",AH14&lt;&gt;"นิติศาสตร์",K14="S2",U14="",AA14=""),P14,AND(AI14="K5-POLICY",AH14&lt;&gt;"นิติศาสตร์",K14="S1",U14="",AA14=""),EDATE(P14,12),AND(AI14="K5-POLICY",AH14&lt;&gt;"นิติศาสตร์",OR(K14="M2",K14="K4"),U14="",AA14=""),EDATE(P14,12*2),AND(AI14="K5-POLICY",AH14&lt;&gt;"นิติศาสตร์",OR(AA14="M2",AA14="K4"),AD14&gt;=2,OR(AC14&lt;W14,AC14&lt;P14)),EDATE(AC14,12*2),AND(AI14="K5-POLICY",AH14&lt;&gt;"นิติศาสตร์",AA14="S1",AD14&gt;=1,OR(AC14&lt;W14,AC14&lt;P14)),EDATE(AC14,12),AND(AI14="K5-POLICY",AH14&lt;&gt;"นิติศาสตร์",OR(U14="M2",U14="K4"),X14&gt;=2,W14&lt;P14),EDATE(W14,12*2),AND(AI14="K5-POLICY",AH14&lt;&gt;"นิติศาสตร์",U14="S1",X14&gt;=1,W14&lt;P14),EDATE(W14,12),AND(AI14="K5-POLICY",AH14&lt;&gt;"นิติศาสตร์",OR(U14="S2",U14="K5")),W14,AND(AI14="K5-POLICY",AH14&lt;&gt;"นิติศาสตร์",OR(K14="M2",K14="K4"),Q14&gt;=2),EDATE(P14,12*2),AND(AI14="K5-POLICY",AH14&lt;&gt;"นิติศาสตร์",K14="S1",Q14&gt;=1),EDATE(P14,12),AND(AI14="K5-POLICY",AH14&lt;&gt;"นิติศาสตร์",OR(K14="S2",K14="K5")),P14,TRUE,"Check Data")</f>
        <v/>
      </c>
      <c r="AK14" s="75" t="str">
        <f t="shared" si="13"/>
        <v>Check Data</v>
      </c>
      <c r="AL14" s="76" t="str">
        <f t="shared" si="14"/>
        <v>Check Data</v>
      </c>
      <c r="AM14" s="50" t="str">
        <f t="shared" si="15"/>
        <v>Check Data</v>
      </c>
      <c r="AN14" s="49" t="str">
        <f>IF(B14="","",IF(K14="S1","S1",INDEX(#REF!,#REF!)))</f>
        <v/>
      </c>
      <c r="AO14" s="49" t="str">
        <f>K14</f>
        <v>S1</v>
      </c>
      <c r="AP14" s="50" t="b">
        <f>K14=AN14</f>
        <v>0</v>
      </c>
      <c r="AQ14" s="50"/>
    </row>
    <row r="15" spans="1:43">
      <c r="A15" s="49">
        <v>13</v>
      </c>
      <c r="B15" s="50"/>
      <c r="C15" s="50"/>
      <c r="D15" s="50" t="s">
        <v>34</v>
      </c>
      <c r="E15" s="49" t="s">
        <v>396</v>
      </c>
      <c r="F15" s="49" t="str">
        <f t="shared" si="0"/>
        <v>29/01/1996</v>
      </c>
      <c r="G15" s="50">
        <f t="shared" si="1"/>
        <v>29</v>
      </c>
      <c r="H15" s="50">
        <f t="shared" si="2"/>
        <v>4</v>
      </c>
      <c r="I15" s="50">
        <f t="shared" si="3"/>
        <v>22</v>
      </c>
      <c r="J15" s="50" t="s">
        <v>153</v>
      </c>
      <c r="K15" s="49" t="s">
        <v>135</v>
      </c>
      <c r="L15" s="64"/>
      <c r="M15" s="49" t="s">
        <v>427</v>
      </c>
      <c r="N15" s="49" t="s">
        <v>491</v>
      </c>
      <c r="O15" s="65" t="s">
        <v>184</v>
      </c>
      <c r="P15" s="49" t="str">
        <f t="shared" si="4"/>
        <v>24/07/2023</v>
      </c>
      <c r="Q15" s="68">
        <f t="shared" si="5"/>
        <v>1</v>
      </c>
      <c r="R15" s="68">
        <f t="shared" si="6"/>
        <v>10</v>
      </c>
      <c r="S15" s="68">
        <f t="shared" si="7"/>
        <v>27</v>
      </c>
      <c r="T15" s="69" t="s">
        <v>492</v>
      </c>
      <c r="U15" s="65" t="s">
        <v>136</v>
      </c>
      <c r="V15" s="65" t="s">
        <v>207</v>
      </c>
      <c r="W15" s="49" t="str">
        <f t="shared" si="8"/>
        <v>09/06/2023</v>
      </c>
      <c r="X15" s="68">
        <f>IF(W15="",0,DATEDIF(W15,P15,"Y"))</f>
        <v>0</v>
      </c>
      <c r="Y15" s="68">
        <f>IF(W15="",0,DATEDIF(W15,P15,"YM"))</f>
        <v>1</v>
      </c>
      <c r="Z15" s="68">
        <f>IF(W15="",0,DATEDIF(W15,P15,"MD"))</f>
        <v>15</v>
      </c>
      <c r="AA15" s="69" t="s">
        <v>137</v>
      </c>
      <c r="AB15" s="65" t="s">
        <v>397</v>
      </c>
      <c r="AC15" s="50" t="str">
        <f t="shared" si="9"/>
        <v>18/02/2019</v>
      </c>
      <c r="AD15" s="68">
        <f t="shared" si="10"/>
        <v>4</v>
      </c>
      <c r="AE15" s="68">
        <f t="shared" si="11"/>
        <v>3</v>
      </c>
      <c r="AF15" s="68">
        <f t="shared" si="12"/>
        <v>22</v>
      </c>
      <c r="AG15" s="50"/>
      <c r="AH15" s="50" t="s">
        <v>138</v>
      </c>
      <c r="AI15" s="49" t="str">
        <f>IF(AH15="นิติศาสตร์","K5-LAW","K5-POLICY")</f>
        <v>K5-LAW</v>
      </c>
      <c r="AJ15" s="72" t="str">
        <f>_xlfn.IFS(B15="","",AND(AI15="K5-LAW",AH15="นิติศาสตร์",K15="S2",U15="",AA15=""),P15,AND(AI15="K5-LAW",AH15="นิติศาสตร์",K15="S1",U15="",AA15=""),EDATE(P15,12),AND(AI15="K5-LAW",AH15="นิติศาสตร์",OR(K15="M2",K15="K4"),U15="",AA15=""),EDATE(P15,12*2),AND(AI15="K5-LAW",AH15="นิติศาสตร์",OR(AA15="M2",AA15="K4"),AD15&gt;=2,OR(AC15&lt;W15,AC15&lt;P15)),EDATE(AC15,12*2),AND(AI15="K5-LAW",AH15="นิติศาสตร์",AA15="S1",AD15&gt;=1,OR(AC15&lt;W15,AC15&lt;P15)),EDATE(AC15,12),AND(AI15="K5-LAW",AH15="นิติศาสตร์",OR(U15="M2",U15="K4"),X15&gt;=2,W15&lt;P15),EDATE(W15,12*2),AND(AI15="K5-LAW",AH15="นิติศาสตร์",U15="S1",X15&gt;=1,W15&lt;P15),EDATE(W15,12),AND(AI15="K5-LAW",AH15="นิติศาสตร์",OR(U15="S2",U15="K5")),W15,AND(AI15="K5-LAW",AH15="นิติศาสตร์",OR(K15="M2",K15="K4"),Q15&gt;=2),EDATE(P15,12*2),AND(AI15="K5-LAW",AH15="นิติศาสตร์",K15="S1",Q15&gt;=1),EDATE(P15,12),AND(AI15="K5-LAW",AH15="นิติศาสตร์",OR(K15="S2",K15="K5")),P15,AND(AI15="K5-POLICY",AH15&lt;&gt;"นิติศาสตร์",K15="S2",U15="",AA15=""),P15,AND(AI15="K5-POLICY",AH15&lt;&gt;"นิติศาสตร์",K15="S1",U15="",AA15=""),EDATE(P15,12),AND(AI15="K5-POLICY",AH15&lt;&gt;"นิติศาสตร์",OR(K15="M2",K15="K4"),U15="",AA15=""),EDATE(P15,12*2),AND(AI15="K5-POLICY",AH15&lt;&gt;"นิติศาสตร์",OR(AA15="M2",AA15="K4"),AD15&gt;=2,OR(AC15&lt;W15,AC15&lt;P15)),EDATE(AC15,12*2),AND(AI15="K5-POLICY",AH15&lt;&gt;"นิติศาสตร์",AA15="S1",AD15&gt;=1,OR(AC15&lt;W15,AC15&lt;P15)),EDATE(AC15,12),AND(AI15="K5-POLICY",AH15&lt;&gt;"นิติศาสตร์",OR(U15="M2",U15="K4"),X15&gt;=2,W15&lt;P15),EDATE(W15,12*2),AND(AI15="K5-POLICY",AH15&lt;&gt;"นิติศาสตร์",U15="S1",X15&gt;=1,W15&lt;P15),EDATE(W15,12),AND(AI15="K5-POLICY",AH15&lt;&gt;"นิติศาสตร์",OR(U15="S2",U15="K5")),W15,AND(AI15="K5-POLICY",AH15&lt;&gt;"นิติศาสตร์",OR(K15="M2",K15="K4"),Q15&gt;=2),EDATE(P15,12*2),AND(AI15="K5-POLICY",AH15&lt;&gt;"นิติศาสตร์",K15="S1",Q15&gt;=1),EDATE(P15,12),AND(AI15="K5-POLICY",AH15&lt;&gt;"นิติศาสตร์",OR(K15="S2",K15="K5")),P15,TRUE,"Check Data")</f>
        <v/>
      </c>
      <c r="AK15" s="75" t="str">
        <f t="shared" si="13"/>
        <v>Check Data</v>
      </c>
      <c r="AL15" s="76" t="str">
        <f t="shared" si="14"/>
        <v>Check Data</v>
      </c>
      <c r="AM15" s="50" t="str">
        <f t="shared" si="15"/>
        <v>Check Data</v>
      </c>
      <c r="AN15" s="49" t="str">
        <f>IF(B15="","",IF(K15="S1","S1",INDEX(#REF!,#REF!)))</f>
        <v/>
      </c>
      <c r="AO15" s="49" t="str">
        <f>K15</f>
        <v>S1</v>
      </c>
      <c r="AP15" s="50" t="b">
        <f>K15=AN15</f>
        <v>0</v>
      </c>
      <c r="AQ15" s="50"/>
    </row>
    <row r="16" spans="1:43">
      <c r="A16" s="49">
        <v>14</v>
      </c>
      <c r="B16" s="50"/>
      <c r="C16" s="50"/>
      <c r="D16" s="50" t="s">
        <v>34</v>
      </c>
      <c r="E16" s="49" t="s">
        <v>204</v>
      </c>
      <c r="F16" s="49" t="str">
        <f t="shared" si="0"/>
        <v>23/12/1997</v>
      </c>
      <c r="G16" s="50">
        <f t="shared" si="1"/>
        <v>27</v>
      </c>
      <c r="H16" s="50">
        <f t="shared" si="2"/>
        <v>5</v>
      </c>
      <c r="I16" s="50">
        <f t="shared" si="3"/>
        <v>28</v>
      </c>
      <c r="J16" s="50" t="s">
        <v>153</v>
      </c>
      <c r="K16" s="49" t="s">
        <v>135</v>
      </c>
      <c r="L16" s="64"/>
      <c r="M16" s="49" t="s">
        <v>425</v>
      </c>
      <c r="N16" s="49" t="s">
        <v>493</v>
      </c>
      <c r="O16" s="65" t="s">
        <v>184</v>
      </c>
      <c r="P16" s="49" t="str">
        <f t="shared" si="4"/>
        <v>24/07/2023</v>
      </c>
      <c r="Q16" s="68">
        <f t="shared" si="5"/>
        <v>1</v>
      </c>
      <c r="R16" s="68">
        <f t="shared" si="6"/>
        <v>10</v>
      </c>
      <c r="S16" s="68">
        <f t="shared" si="7"/>
        <v>27</v>
      </c>
      <c r="T16" s="69" t="s">
        <v>494</v>
      </c>
      <c r="U16" s="65" t="s">
        <v>136</v>
      </c>
      <c r="V16" s="65" t="s">
        <v>205</v>
      </c>
      <c r="W16" s="49" t="str">
        <f t="shared" si="8"/>
        <v>26/10/2016</v>
      </c>
      <c r="X16" s="68">
        <f>IF(W16="",0,DATEDIF(W16,P16,"Y"))</f>
        <v>6</v>
      </c>
      <c r="Y16" s="68">
        <f>IF(W16="",0,DATEDIF(W16,P16,"YM"))</f>
        <v>8</v>
      </c>
      <c r="Z16" s="68">
        <f>IF(W16="",0,DATEDIF(W16,P16,"MD"))</f>
        <v>28</v>
      </c>
      <c r="AA16" s="69" t="s">
        <v>88</v>
      </c>
      <c r="AB16" s="65" t="s">
        <v>495</v>
      </c>
      <c r="AC16" s="50" t="str">
        <f t="shared" si="9"/>
        <v>12/11/2010</v>
      </c>
      <c r="AD16" s="68">
        <f t="shared" si="10"/>
        <v>5</v>
      </c>
      <c r="AE16" s="68">
        <f t="shared" si="11"/>
        <v>11</v>
      </c>
      <c r="AF16" s="68">
        <f t="shared" si="12"/>
        <v>14</v>
      </c>
      <c r="AG16" s="50"/>
      <c r="AH16" s="50" t="s">
        <v>138</v>
      </c>
      <c r="AI16" s="49" t="str">
        <f>IF(AH16="นิติศาสตร์","K5-LAW","K5-POLICY")</f>
        <v>K5-LAW</v>
      </c>
      <c r="AJ16" s="72" t="str">
        <f>_xlfn.IFS(B16="","",AND(AI16="K5-LAW",AH16="นิติศาสตร์",K16="S2",U16="",AA16=""),P16,AND(AI16="K5-LAW",AH16="นิติศาสตร์",K16="S1",U16="",AA16=""),EDATE(P16,12),AND(AI16="K5-LAW",AH16="นิติศาสตร์",OR(K16="M2",K16="K4"),U16="",AA16=""),EDATE(P16,12*2),AND(AI16="K5-LAW",AH16="นิติศาสตร์",OR(AA16="M2",AA16="K4"),AD16&gt;=2,OR(AC16&lt;W16,AC16&lt;P16)),EDATE(AC16,12*2),AND(AI16="K5-LAW",AH16="นิติศาสตร์",AA16="S1",AD16&gt;=1,OR(AC16&lt;W16,AC16&lt;P16)),EDATE(AC16,12),AND(AI16="K5-LAW",AH16="นิติศาสตร์",OR(U16="M2",U16="K4"),X16&gt;=2,W16&lt;P16),EDATE(W16,12*2),AND(AI16="K5-LAW",AH16="นิติศาสตร์",U16="S1",X16&gt;=1,W16&lt;P16),EDATE(W16,12),AND(AI16="K5-LAW",AH16="นิติศาสตร์",OR(U16="S2",U16="K5")),W16,AND(AI16="K5-LAW",AH16="นิติศาสตร์",OR(K16="M2",K16="K4"),Q16&gt;=2),EDATE(P16,12*2),AND(AI16="K5-LAW",AH16="นิติศาสตร์",K16="S1",Q16&gt;=1),EDATE(P16,12),AND(AI16="K5-LAW",AH16="นิติศาสตร์",OR(K16="S2",K16="K5")),P16,AND(AI16="K5-POLICY",AH16&lt;&gt;"นิติศาสตร์",K16="S2",U16="",AA16=""),P16,AND(AI16="K5-POLICY",AH16&lt;&gt;"นิติศาสตร์",K16="S1",U16="",AA16=""),EDATE(P16,12),AND(AI16="K5-POLICY",AH16&lt;&gt;"นิติศาสตร์",OR(K16="M2",K16="K4"),U16="",AA16=""),EDATE(P16,12*2),AND(AI16="K5-POLICY",AH16&lt;&gt;"นิติศาสตร์",OR(AA16="M2",AA16="K4"),AD16&gt;=2,OR(AC16&lt;W16,AC16&lt;P16)),EDATE(AC16,12*2),AND(AI16="K5-POLICY",AH16&lt;&gt;"นิติศาสตร์",AA16="S1",AD16&gt;=1,OR(AC16&lt;W16,AC16&lt;P16)),EDATE(AC16,12),AND(AI16="K5-POLICY",AH16&lt;&gt;"นิติศาสตร์",OR(U16="M2",U16="K4"),X16&gt;=2,W16&lt;P16),EDATE(W16,12*2),AND(AI16="K5-POLICY",AH16&lt;&gt;"นิติศาสตร์",U16="S1",X16&gt;=1,W16&lt;P16),EDATE(W16,12),AND(AI16="K5-POLICY",AH16&lt;&gt;"นิติศาสตร์",OR(U16="S2",U16="K5")),W16,AND(AI16="K5-POLICY",AH16&lt;&gt;"นิติศาสตร์",OR(K16="M2",K16="K4"),Q16&gt;=2),EDATE(P16,12*2),AND(AI16="K5-POLICY",AH16&lt;&gt;"นิติศาสตร์",K16="S1",Q16&gt;=1),EDATE(P16,12),AND(AI16="K5-POLICY",AH16&lt;&gt;"นิติศาสตร์",OR(K16="S2",K16="K5")),P16,TRUE,"Check Data")</f>
        <v/>
      </c>
      <c r="AK16" s="75" t="str">
        <f t="shared" si="13"/>
        <v>Check Data</v>
      </c>
      <c r="AL16" s="76" t="str">
        <f t="shared" si="14"/>
        <v>Check Data</v>
      </c>
      <c r="AM16" s="50" t="str">
        <f t="shared" si="15"/>
        <v>Check Data</v>
      </c>
      <c r="AN16" s="49" t="str">
        <f>IF(B16="","",IF(K16="S1","S1",INDEX(#REF!,#REF!)))</f>
        <v/>
      </c>
      <c r="AO16" s="49" t="str">
        <f>K16</f>
        <v>S1</v>
      </c>
      <c r="AP16" s="50" t="b">
        <f>K16=AN16</f>
        <v>0</v>
      </c>
      <c r="AQ16" s="50"/>
    </row>
    <row r="17" spans="1:43">
      <c r="A17" s="49">
        <v>15</v>
      </c>
      <c r="B17" s="50"/>
      <c r="C17" s="50"/>
      <c r="D17" s="50" t="s">
        <v>142</v>
      </c>
      <c r="E17" s="49" t="s">
        <v>424</v>
      </c>
      <c r="F17" s="49" t="str">
        <f t="shared" si="0"/>
        <v>26/10/1995</v>
      </c>
      <c r="G17" s="50">
        <f t="shared" si="1"/>
        <v>29</v>
      </c>
      <c r="H17" s="50">
        <f t="shared" si="2"/>
        <v>7</v>
      </c>
      <c r="I17" s="50">
        <f t="shared" si="3"/>
        <v>25</v>
      </c>
      <c r="J17" s="50" t="s">
        <v>157</v>
      </c>
      <c r="K17" s="49" t="s">
        <v>135</v>
      </c>
      <c r="L17" s="64"/>
      <c r="M17" s="49"/>
      <c r="N17" s="49">
        <v>2571</v>
      </c>
      <c r="O17" s="65" t="s">
        <v>496</v>
      </c>
      <c r="P17" s="49" t="str">
        <f t="shared" si="4"/>
        <v>26/07/2024</v>
      </c>
      <c r="Q17" s="68">
        <f t="shared" si="5"/>
        <v>0</v>
      </c>
      <c r="R17" s="68">
        <f t="shared" si="6"/>
        <v>10</v>
      </c>
      <c r="S17" s="68">
        <f t="shared" si="7"/>
        <v>25</v>
      </c>
      <c r="T17" s="49" t="s">
        <v>497</v>
      </c>
      <c r="U17" s="65" t="s">
        <v>136</v>
      </c>
      <c r="V17" s="65" t="s">
        <v>270</v>
      </c>
      <c r="W17" s="49" t="str">
        <f t="shared" si="8"/>
        <v>15/08/2012</v>
      </c>
      <c r="X17" s="68">
        <f>IF(W17="",0,DATEDIF(W17,P17,"Y"))</f>
        <v>11</v>
      </c>
      <c r="Y17" s="68">
        <f>IF(W17="",0,DATEDIF(W17,P17,"YM"))</f>
        <v>11</v>
      </c>
      <c r="Z17" s="68">
        <f>IF(W17="",0,DATEDIF(W17,P17,"MD"))</f>
        <v>11</v>
      </c>
      <c r="AA17" s="49"/>
      <c r="AB17" s="65"/>
      <c r="AC17" s="50" t="str">
        <f t="shared" si="9"/>
        <v/>
      </c>
      <c r="AD17" s="68">
        <f t="shared" si="10"/>
        <v>0</v>
      </c>
      <c r="AE17" s="68">
        <f t="shared" si="11"/>
        <v>0</v>
      </c>
      <c r="AF17" s="68">
        <f t="shared" si="12"/>
        <v>0</v>
      </c>
      <c r="AG17" s="50"/>
      <c r="AH17" s="50" t="s">
        <v>138</v>
      </c>
      <c r="AI17" s="49" t="str">
        <f>IF(AH17="นิติศาสตร์","K5-LAW","K5-POLICY")</f>
        <v>K5-LAW</v>
      </c>
      <c r="AJ17" s="72" t="str">
        <f>_xlfn.IFS(B17="","",AND(AI17="K5-LAW",AH17="นิติศาสตร์",K17="S2",U17="",AA17=""),P17,AND(AI17="K5-LAW",AH17="นิติศาสตร์",K17="S1",U17="",AA17=""),EDATE(P17,12),AND(AI17="K5-LAW",AH17="นิติศาสตร์",OR(K17="M2",K17="K4"),U17="",AA17=""),EDATE(P17,12*2),AND(AI17="K5-LAW",AH17="นิติศาสตร์",OR(AA17="M2",AA17="K4"),AD17&gt;=2,OR(AC17&lt;W17,AC17&lt;P17)),EDATE(AC17,12*2),AND(AI17="K5-LAW",AH17="นิติศาสตร์",AA17="S1",AD17&gt;=1,OR(AC17&lt;W17,AC17&lt;P17)),EDATE(AC17,12),AND(AI17="K5-LAW",AH17="นิติศาสตร์",OR(U17="M2",U17="K4"),X17&gt;=2,W17&lt;P17),EDATE(W17,12*2),AND(AI17="K5-LAW",AH17="นิติศาสตร์",U17="S1",X17&gt;=1,W17&lt;P17),EDATE(W17,12),AND(AI17="K5-LAW",AH17="นิติศาสตร์",OR(U17="S2",U17="K5")),W17,AND(AI17="K5-LAW",AH17="นิติศาสตร์",OR(K17="M2",K17="K4"),Q17&gt;=2),EDATE(P17,12*2),AND(AI17="K5-LAW",AH17="นิติศาสตร์",K17="S1",Q17&gt;=1),EDATE(P17,12),AND(AI17="K5-LAW",AH17="นิติศาสตร์",OR(K17="S2",K17="K5")),P17,AND(AI17="K5-POLICY",AH17&lt;&gt;"นิติศาสตร์",K17="S2",U17="",AA17=""),P17,AND(AI17="K5-POLICY",AH17&lt;&gt;"นิติศาสตร์",K17="S1",U17="",AA17=""),EDATE(P17,12),AND(AI17="K5-POLICY",AH17&lt;&gt;"นิติศาสตร์",OR(K17="M2",K17="K4"),U17="",AA17=""),EDATE(P17,12*2),AND(AI17="K5-POLICY",AH17&lt;&gt;"นิติศาสตร์",OR(AA17="M2",AA17="K4"),AD17&gt;=2,OR(AC17&lt;W17,AC17&lt;P17)),EDATE(AC17,12*2),AND(AI17="K5-POLICY",AH17&lt;&gt;"นิติศาสตร์",AA17="S1",AD17&gt;=1,OR(AC17&lt;W17,AC17&lt;P17)),EDATE(AC17,12),AND(AI17="K5-POLICY",AH17&lt;&gt;"นิติศาสตร์",OR(U17="M2",U17="K4"),X17&gt;=2,W17&lt;P17),EDATE(W17,12*2),AND(AI17="K5-POLICY",AH17&lt;&gt;"นิติศาสตร์",U17="S1",X17&gt;=1,W17&lt;P17),EDATE(W17,12),AND(AI17="K5-POLICY",AH17&lt;&gt;"นิติศาสตร์",OR(U17="S2",U17="K5")),W17,AND(AI17="K5-POLICY",AH17&lt;&gt;"นิติศาสตร์",OR(K17="M2",K17="K4"),Q17&gt;=2),EDATE(P17,12*2),AND(AI17="K5-POLICY",AH17&lt;&gt;"นิติศาสตร์",K17="S1",Q17&gt;=1),EDATE(P17,12),AND(AI17="K5-POLICY",AH17&lt;&gt;"นิติศาสตร์",OR(K17="S2",K17="K5")),P17,TRUE,"Check Data")</f>
        <v/>
      </c>
      <c r="AK17" s="75" t="str">
        <f t="shared" si="13"/>
        <v>Check Data</v>
      </c>
      <c r="AL17" s="76" t="str">
        <f t="shared" si="14"/>
        <v>Check Data</v>
      </c>
      <c r="AM17" s="50" t="str">
        <f t="shared" si="15"/>
        <v>Check Data</v>
      </c>
      <c r="AN17" s="49" t="str">
        <f>IF(B17="","",IF(K17="S1","S1",INDEX(#REF!,#REF!)))</f>
        <v/>
      </c>
      <c r="AO17" s="49" t="str">
        <f>K17</f>
        <v>S1</v>
      </c>
      <c r="AP17" s="50" t="b">
        <f>K17=AN17</f>
        <v>0</v>
      </c>
      <c r="AQ17" s="50"/>
    </row>
    <row r="18" spans="1:43">
      <c r="A18" s="49">
        <v>16</v>
      </c>
      <c r="B18" s="50"/>
      <c r="C18" s="50"/>
      <c r="D18" s="50" t="s">
        <v>141</v>
      </c>
      <c r="E18" s="49" t="s">
        <v>176</v>
      </c>
      <c r="F18" s="49" t="str">
        <f t="shared" si="0"/>
        <v>01/03/1990</v>
      </c>
      <c r="G18" s="50">
        <f t="shared" si="1"/>
        <v>35</v>
      </c>
      <c r="H18" s="50">
        <f t="shared" si="2"/>
        <v>3</v>
      </c>
      <c r="I18" s="50">
        <f t="shared" si="3"/>
        <v>19</v>
      </c>
      <c r="J18" s="50" t="s">
        <v>156</v>
      </c>
      <c r="K18" s="49" t="s">
        <v>135</v>
      </c>
      <c r="L18" s="64"/>
      <c r="M18" s="49"/>
      <c r="N18" s="49">
        <v>2569</v>
      </c>
      <c r="O18" s="65" t="s">
        <v>496</v>
      </c>
      <c r="P18" s="49" t="str">
        <f t="shared" si="4"/>
        <v>26/07/2024</v>
      </c>
      <c r="Q18" s="68">
        <f t="shared" si="5"/>
        <v>0</v>
      </c>
      <c r="R18" s="68">
        <f t="shared" si="6"/>
        <v>10</v>
      </c>
      <c r="S18" s="68">
        <f t="shared" si="7"/>
        <v>25</v>
      </c>
      <c r="T18" s="49" t="s">
        <v>498</v>
      </c>
      <c r="U18" s="65" t="s">
        <v>136</v>
      </c>
      <c r="V18" s="65" t="s">
        <v>242</v>
      </c>
      <c r="W18" s="49" t="str">
        <f t="shared" si="8"/>
        <v>20/04/2018</v>
      </c>
      <c r="X18" s="68">
        <f>IF(W18="",0,DATEDIF(W18,P18,"Y"))</f>
        <v>6</v>
      </c>
      <c r="Y18" s="68">
        <f>IF(W18="",0,DATEDIF(W18,P18,"YM"))</f>
        <v>3</v>
      </c>
      <c r="Z18" s="68">
        <f>IF(W18="",0,DATEDIF(W18,P18,"MD"))</f>
        <v>6</v>
      </c>
      <c r="AA18" s="49"/>
      <c r="AB18" s="65"/>
      <c r="AC18" s="50" t="str">
        <f t="shared" si="9"/>
        <v/>
      </c>
      <c r="AD18" s="68">
        <f t="shared" si="10"/>
        <v>0</v>
      </c>
      <c r="AE18" s="68">
        <f t="shared" si="11"/>
        <v>0</v>
      </c>
      <c r="AF18" s="68">
        <f t="shared" si="12"/>
        <v>0</v>
      </c>
      <c r="AG18" s="50"/>
      <c r="AH18" s="50" t="s">
        <v>138</v>
      </c>
      <c r="AI18" s="49" t="str">
        <f>IF(AH18="นิติศาสตร์","K5-LAW","K5-POLICY")</f>
        <v>K5-LAW</v>
      </c>
      <c r="AJ18" s="72" t="str">
        <f>_xlfn.IFS(B18="","",AND(AI18="K5-LAW",AH18="นิติศาสตร์",K18="S2",U18="",AA18=""),P18,AND(AI18="K5-LAW",AH18="นิติศาสตร์",K18="S1",U18="",AA18=""),EDATE(P18,12),AND(AI18="K5-LAW",AH18="นิติศาสตร์",OR(K18="M2",K18="K4"),U18="",AA18=""),EDATE(P18,12*2),AND(AI18="K5-LAW",AH18="นิติศาสตร์",OR(AA18="M2",AA18="K4"),AD18&gt;=2,OR(AC18&lt;W18,AC18&lt;P18)),EDATE(AC18,12*2),AND(AI18="K5-LAW",AH18="นิติศาสตร์",AA18="S1",AD18&gt;=1,OR(AC18&lt;W18,AC18&lt;P18)),EDATE(AC18,12),AND(AI18="K5-LAW",AH18="นิติศาสตร์",OR(U18="M2",U18="K4"),X18&gt;=2,W18&lt;P18),EDATE(W18,12*2),AND(AI18="K5-LAW",AH18="นิติศาสตร์",U18="S1",X18&gt;=1,W18&lt;P18),EDATE(W18,12),AND(AI18="K5-LAW",AH18="นิติศาสตร์",OR(U18="S2",U18="K5")),W18,AND(AI18="K5-LAW",AH18="นิติศาสตร์",OR(K18="M2",K18="K4"),Q18&gt;=2),EDATE(P18,12*2),AND(AI18="K5-LAW",AH18="นิติศาสตร์",K18="S1",Q18&gt;=1),EDATE(P18,12),AND(AI18="K5-LAW",AH18="นิติศาสตร์",OR(K18="S2",K18="K5")),P18,AND(AI18="K5-POLICY",AH18&lt;&gt;"นิติศาสตร์",K18="S2",U18="",AA18=""),P18,AND(AI18="K5-POLICY",AH18&lt;&gt;"นิติศาสตร์",K18="S1",U18="",AA18=""),EDATE(P18,12),AND(AI18="K5-POLICY",AH18&lt;&gt;"นิติศาสตร์",OR(K18="M2",K18="K4"),U18="",AA18=""),EDATE(P18,12*2),AND(AI18="K5-POLICY",AH18&lt;&gt;"นิติศาสตร์",OR(AA18="M2",AA18="K4"),AD18&gt;=2,OR(AC18&lt;W18,AC18&lt;P18)),EDATE(AC18,12*2),AND(AI18="K5-POLICY",AH18&lt;&gt;"นิติศาสตร์",AA18="S1",AD18&gt;=1,OR(AC18&lt;W18,AC18&lt;P18)),EDATE(AC18,12),AND(AI18="K5-POLICY",AH18&lt;&gt;"นิติศาสตร์",OR(U18="M2",U18="K4"),X18&gt;=2,W18&lt;P18),EDATE(W18,12*2),AND(AI18="K5-POLICY",AH18&lt;&gt;"นิติศาสตร์",U18="S1",X18&gt;=1,W18&lt;P18),EDATE(W18,12),AND(AI18="K5-POLICY",AH18&lt;&gt;"นิติศาสตร์",OR(U18="S2",U18="K5")),W18,AND(AI18="K5-POLICY",AH18&lt;&gt;"นิติศาสตร์",OR(K18="M2",K18="K4"),Q18&gt;=2),EDATE(P18,12*2),AND(AI18="K5-POLICY",AH18&lt;&gt;"นิติศาสตร์",K18="S1",Q18&gt;=1),EDATE(P18,12),AND(AI18="K5-POLICY",AH18&lt;&gt;"นิติศาสตร์",OR(K18="S2",K18="K5")),P18,TRUE,"Check Data")</f>
        <v/>
      </c>
      <c r="AK18" s="75" t="str">
        <f t="shared" si="13"/>
        <v>Check Data</v>
      </c>
      <c r="AL18" s="76" t="str">
        <f t="shared" si="14"/>
        <v>Check Data</v>
      </c>
      <c r="AM18" s="50" t="str">
        <f t="shared" si="15"/>
        <v>Check Data</v>
      </c>
      <c r="AN18" s="49" t="str">
        <f>IF(B18="","",IF(K18="S1","S1",INDEX(#REF!,#REF!)))</f>
        <v/>
      </c>
      <c r="AO18" s="49" t="str">
        <f>K18</f>
        <v>S1</v>
      </c>
      <c r="AP18" s="50" t="b">
        <f>K18=AN18</f>
        <v>0</v>
      </c>
      <c r="AQ18" s="50"/>
    </row>
    <row r="19" spans="1:43">
      <c r="A19" s="49">
        <v>17</v>
      </c>
      <c r="B19" s="50"/>
      <c r="C19" s="50"/>
      <c r="D19" s="50" t="s">
        <v>141</v>
      </c>
      <c r="E19" s="49" t="s">
        <v>208</v>
      </c>
      <c r="F19" s="49" t="str">
        <f t="shared" si="0"/>
        <v>01/02/1990</v>
      </c>
      <c r="G19" s="50">
        <f t="shared" si="1"/>
        <v>35</v>
      </c>
      <c r="H19" s="50">
        <f t="shared" si="2"/>
        <v>4</v>
      </c>
      <c r="I19" s="50">
        <f t="shared" si="3"/>
        <v>19</v>
      </c>
      <c r="J19" s="50" t="s">
        <v>156</v>
      </c>
      <c r="K19" s="49" t="s">
        <v>135</v>
      </c>
      <c r="L19" s="64"/>
      <c r="M19" s="49"/>
      <c r="N19" s="49">
        <v>2569</v>
      </c>
      <c r="O19" s="65" t="s">
        <v>496</v>
      </c>
      <c r="P19" s="49" t="str">
        <f t="shared" si="4"/>
        <v>26/07/2024</v>
      </c>
      <c r="Q19" s="68">
        <f t="shared" si="5"/>
        <v>0</v>
      </c>
      <c r="R19" s="68">
        <f t="shared" si="6"/>
        <v>10</v>
      </c>
      <c r="S19" s="68">
        <f t="shared" si="7"/>
        <v>25</v>
      </c>
      <c r="T19" s="49" t="s">
        <v>498</v>
      </c>
      <c r="U19" s="65" t="s">
        <v>136</v>
      </c>
      <c r="V19" s="65" t="s">
        <v>242</v>
      </c>
      <c r="W19" s="49" t="str">
        <f t="shared" si="8"/>
        <v>20/04/2018</v>
      </c>
      <c r="X19" s="68">
        <f>IF(W19="",0,DATEDIF(W19,P19,"Y"))</f>
        <v>6</v>
      </c>
      <c r="Y19" s="68">
        <f>IF(W19="",0,DATEDIF(W19,P19,"YM"))</f>
        <v>3</v>
      </c>
      <c r="Z19" s="68">
        <f>IF(W19="",0,DATEDIF(W19,P19,"MD"))</f>
        <v>6</v>
      </c>
      <c r="AA19" s="49"/>
      <c r="AB19" s="65"/>
      <c r="AC19" s="50" t="str">
        <f t="shared" si="9"/>
        <v/>
      </c>
      <c r="AD19" s="68">
        <f t="shared" si="10"/>
        <v>0</v>
      </c>
      <c r="AE19" s="68">
        <f t="shared" si="11"/>
        <v>0</v>
      </c>
      <c r="AF19" s="68">
        <f t="shared" si="12"/>
        <v>0</v>
      </c>
      <c r="AG19" s="50"/>
      <c r="AH19" s="50" t="s">
        <v>138</v>
      </c>
      <c r="AI19" s="49" t="str">
        <f>IF(AH19="นิติศาสตร์","K5-LAW","K5-POLICY")</f>
        <v>K5-LAW</v>
      </c>
      <c r="AJ19" s="72" t="str">
        <f>_xlfn.IFS(B19="","",AND(AI19="K5-LAW",AH19="นิติศาสตร์",K19="S2",U19="",AA19=""),P19,AND(AI19="K5-LAW",AH19="นิติศาสตร์",K19="S1",U19="",AA19=""),EDATE(P19,12),AND(AI19="K5-LAW",AH19="นิติศาสตร์",OR(K19="M2",K19="K4"),U19="",AA19=""),EDATE(P19,12*2),AND(AI19="K5-LAW",AH19="นิติศาสตร์",OR(AA19="M2",AA19="K4"),AD19&gt;=2,OR(AC19&lt;W19,AC19&lt;P19)),EDATE(AC19,12*2),AND(AI19="K5-LAW",AH19="นิติศาสตร์",AA19="S1",AD19&gt;=1,OR(AC19&lt;W19,AC19&lt;P19)),EDATE(AC19,12),AND(AI19="K5-LAW",AH19="นิติศาสตร์",OR(U19="M2",U19="K4"),X19&gt;=2,W19&lt;P19),EDATE(W19,12*2),AND(AI19="K5-LAW",AH19="นิติศาสตร์",U19="S1",X19&gt;=1,W19&lt;P19),EDATE(W19,12),AND(AI19="K5-LAW",AH19="นิติศาสตร์",OR(U19="S2",U19="K5")),W19,AND(AI19="K5-LAW",AH19="นิติศาสตร์",OR(K19="M2",K19="K4"),Q19&gt;=2),EDATE(P19,12*2),AND(AI19="K5-LAW",AH19="นิติศาสตร์",K19="S1",Q19&gt;=1),EDATE(P19,12),AND(AI19="K5-LAW",AH19="นิติศาสตร์",OR(K19="S2",K19="K5")),P19,AND(AI19="K5-POLICY",AH19&lt;&gt;"นิติศาสตร์",K19="S2",U19="",AA19=""),P19,AND(AI19="K5-POLICY",AH19&lt;&gt;"นิติศาสตร์",K19="S1",U19="",AA19=""),EDATE(P19,12),AND(AI19="K5-POLICY",AH19&lt;&gt;"นิติศาสตร์",OR(K19="M2",K19="K4"),U19="",AA19=""),EDATE(P19,12*2),AND(AI19="K5-POLICY",AH19&lt;&gt;"นิติศาสตร์",OR(AA19="M2",AA19="K4"),AD19&gt;=2,OR(AC19&lt;W19,AC19&lt;P19)),EDATE(AC19,12*2),AND(AI19="K5-POLICY",AH19&lt;&gt;"นิติศาสตร์",AA19="S1",AD19&gt;=1,OR(AC19&lt;W19,AC19&lt;P19)),EDATE(AC19,12),AND(AI19="K5-POLICY",AH19&lt;&gt;"นิติศาสตร์",OR(U19="M2",U19="K4"),X19&gt;=2,W19&lt;P19),EDATE(W19,12*2),AND(AI19="K5-POLICY",AH19&lt;&gt;"นิติศาสตร์",U19="S1",X19&gt;=1,W19&lt;P19),EDATE(W19,12),AND(AI19="K5-POLICY",AH19&lt;&gt;"นิติศาสตร์",OR(U19="S2",U19="K5")),W19,AND(AI19="K5-POLICY",AH19&lt;&gt;"นิติศาสตร์",OR(K19="M2",K19="K4"),Q19&gt;=2),EDATE(P19,12*2),AND(AI19="K5-POLICY",AH19&lt;&gt;"นิติศาสตร์",K19="S1",Q19&gt;=1),EDATE(P19,12),AND(AI19="K5-POLICY",AH19&lt;&gt;"นิติศาสตร์",OR(K19="S2",K19="K5")),P19,TRUE,"Check Data")</f>
        <v/>
      </c>
      <c r="AK19" s="75" t="str">
        <f t="shared" si="13"/>
        <v>Check Data</v>
      </c>
      <c r="AL19" s="76" t="str">
        <f t="shared" si="14"/>
        <v>Check Data</v>
      </c>
      <c r="AM19" s="50" t="str">
        <f t="shared" si="15"/>
        <v>Check Data</v>
      </c>
      <c r="AN19" s="49" t="str">
        <f>IF(B19="","",IF(K19="S1","S1",INDEX(#REF!,#REF!)))</f>
        <v/>
      </c>
      <c r="AO19" s="49" t="str">
        <f>K19</f>
        <v>S1</v>
      </c>
      <c r="AP19" s="50" t="b">
        <f>K19=AN19</f>
        <v>0</v>
      </c>
      <c r="AQ19" s="50"/>
    </row>
    <row r="20" spans="1:43" customFormat="1">
      <c r="A20" s="49">
        <v>18</v>
      </c>
      <c r="B20" s="50"/>
      <c r="C20" s="50"/>
      <c r="D20" s="50" t="s">
        <v>139</v>
      </c>
      <c r="E20" s="49" t="s">
        <v>217</v>
      </c>
      <c r="F20" s="49" t="str">
        <f t="shared" si="0"/>
        <v>02/01/1990</v>
      </c>
      <c r="G20" s="50">
        <f t="shared" si="1"/>
        <v>35</v>
      </c>
      <c r="H20" s="50">
        <f t="shared" si="2"/>
        <v>5</v>
      </c>
      <c r="I20" s="50">
        <f t="shared" si="3"/>
        <v>18</v>
      </c>
      <c r="J20" s="50" t="s">
        <v>154</v>
      </c>
      <c r="K20" s="49" t="s">
        <v>135</v>
      </c>
      <c r="L20" s="64"/>
      <c r="M20" s="49"/>
      <c r="N20" s="49">
        <v>2571</v>
      </c>
      <c r="O20" s="65" t="s">
        <v>496</v>
      </c>
      <c r="P20" s="49" t="str">
        <f t="shared" si="4"/>
        <v>26/07/2024</v>
      </c>
      <c r="Q20" s="68">
        <f t="shared" si="5"/>
        <v>0</v>
      </c>
      <c r="R20" s="68">
        <f t="shared" si="6"/>
        <v>10</v>
      </c>
      <c r="S20" s="68">
        <f t="shared" si="7"/>
        <v>25</v>
      </c>
      <c r="T20" s="49" t="s">
        <v>499</v>
      </c>
      <c r="U20" s="65" t="s">
        <v>136</v>
      </c>
      <c r="V20" s="65" t="s">
        <v>177</v>
      </c>
      <c r="W20" s="49" t="str">
        <f t="shared" si="8"/>
        <v>01/10/2019</v>
      </c>
      <c r="X20" s="68">
        <f>IF(W20="",0,DATEDIF(W20,P20,"Y"))</f>
        <v>4</v>
      </c>
      <c r="Y20" s="68">
        <f>IF(W20="",0,DATEDIF(W20,P20,"YM"))</f>
        <v>9</v>
      </c>
      <c r="Z20" s="68">
        <f>IF(W20="",0,DATEDIF(W20,P20,"MD"))</f>
        <v>25</v>
      </c>
      <c r="AA20" s="49"/>
      <c r="AB20" s="65"/>
      <c r="AC20" s="50" t="str">
        <f t="shared" si="9"/>
        <v/>
      </c>
      <c r="AD20" s="68">
        <f t="shared" si="10"/>
        <v>0</v>
      </c>
      <c r="AE20" s="68">
        <f t="shared" si="11"/>
        <v>0</v>
      </c>
      <c r="AF20" s="68">
        <f t="shared" si="12"/>
        <v>0</v>
      </c>
      <c r="AG20" s="50"/>
      <c r="AH20" s="50" t="s">
        <v>218</v>
      </c>
      <c r="AI20" s="49" t="str">
        <f>IF(AH20="นิติศาสตร์","K5-LAW","K5-POLICY")</f>
        <v>K5-POLICY</v>
      </c>
      <c r="AJ20" s="72" t="str">
        <f>_xlfn.IFS(B20="","",AND(AI20="K5-LAW",AH20="นิติศาสตร์",K20="S2",U20="",AA20=""),P20,AND(AI20="K5-LAW",AH20="นิติศาสตร์",K20="S1",U20="",AA20=""),EDATE(P20,12),AND(AI20="K5-LAW",AH20="นิติศาสตร์",OR(K20="M2",K20="K4"),U20="",AA20=""),EDATE(P20,12*2),AND(AI20="K5-LAW",AH20="นิติศาสตร์",OR(AA20="M2",AA20="K4"),AD20&gt;=2,OR(AC20&lt;W20,AC20&lt;P20)),EDATE(AC20,12*2),AND(AI20="K5-LAW",AH20="นิติศาสตร์",AA20="S1",AD20&gt;=1,OR(AC20&lt;W20,AC20&lt;P20)),EDATE(AC20,12),AND(AI20="K5-LAW",AH20="นิติศาสตร์",OR(U20="M2",U20="K4"),X20&gt;=2,W20&lt;P20),EDATE(W20,12*2),AND(AI20="K5-LAW",AH20="นิติศาสตร์",U20="S1",X20&gt;=1,W20&lt;P20),EDATE(W20,12),AND(AI20="K5-LAW",AH20="นิติศาสตร์",OR(U20="S2",U20="K5")),W20,AND(AI20="K5-LAW",AH20="นิติศาสตร์",OR(K20="M2",K20="K4"),Q20&gt;=2),EDATE(P20,12*2),AND(AI20="K5-LAW",AH20="นิติศาสตร์",K20="S1",Q20&gt;=1),EDATE(P20,12),AND(AI20="K5-LAW",AH20="นิติศาสตร์",OR(K20="S2",K20="K5")),P20,AND(AI20="K5-POLICY",AH20&lt;&gt;"นิติศาสตร์",K20="S2",U20="",AA20=""),P20,AND(AI20="K5-POLICY",AH20&lt;&gt;"นิติศาสตร์",K20="S1",U20="",AA20=""),EDATE(P20,12),AND(AI20="K5-POLICY",AH20&lt;&gt;"นิติศาสตร์",OR(K20="M2",K20="K4"),U20="",AA20=""),EDATE(P20,12*2),AND(AI20="K5-POLICY",AH20&lt;&gt;"นิติศาสตร์",OR(AA20="M2",AA20="K4"),AD20&gt;=2,OR(AC20&lt;W20,AC20&lt;P20)),EDATE(AC20,12*2),AND(AI20="K5-POLICY",AH20&lt;&gt;"นิติศาสตร์",AA20="S1",AD20&gt;=1,OR(AC20&lt;W20,AC20&lt;P20)),EDATE(AC20,12),AND(AI20="K5-POLICY",AH20&lt;&gt;"นิติศาสตร์",OR(U20="M2",U20="K4"),X20&gt;=2,W20&lt;P20),EDATE(W20,12*2),AND(AI20="K5-POLICY",AH20&lt;&gt;"นิติศาสตร์",U20="S1",X20&gt;=1,W20&lt;P20),EDATE(W20,12),AND(AI20="K5-POLICY",AH20&lt;&gt;"นิติศาสตร์",OR(U20="S2",U20="K5")),W20,AND(AI20="K5-POLICY",AH20&lt;&gt;"นิติศาสตร์",OR(K20="M2",K20="K4"),Q20&gt;=2),EDATE(P20,12*2),AND(AI20="K5-POLICY",AH20&lt;&gt;"นิติศาสตร์",K20="S1",Q20&gt;=1),EDATE(P20,12),AND(AI20="K5-POLICY",AH20&lt;&gt;"นิติศาสตร์",OR(K20="S2",K20="K5")),P20,TRUE,"Check Data")</f>
        <v/>
      </c>
      <c r="AK20" s="75" t="str">
        <f t="shared" si="13"/>
        <v>Check Data</v>
      </c>
      <c r="AL20" s="76" t="str">
        <f t="shared" si="14"/>
        <v>Check Data</v>
      </c>
      <c r="AM20" s="50" t="str">
        <f t="shared" si="15"/>
        <v>Check Data</v>
      </c>
      <c r="AN20" s="49" t="str">
        <f>IF(B20="","",IF(K20="S1","S1",INDEX(#REF!,#REF!)))</f>
        <v/>
      </c>
      <c r="AO20" s="49" t="str">
        <f>K20</f>
        <v>S1</v>
      </c>
      <c r="AP20" s="50" t="b">
        <f>K20=AN20</f>
        <v>0</v>
      </c>
      <c r="AQ20" s="50"/>
    </row>
    <row r="21" spans="1:43">
      <c r="A21" s="49">
        <v>19</v>
      </c>
      <c r="B21" s="50"/>
      <c r="C21" s="50"/>
      <c r="D21" s="50" t="s">
        <v>140</v>
      </c>
      <c r="E21" s="49" t="s">
        <v>176</v>
      </c>
      <c r="F21" s="49" t="str">
        <f t="shared" si="0"/>
        <v>01/03/1990</v>
      </c>
      <c r="G21" s="50">
        <f t="shared" si="1"/>
        <v>35</v>
      </c>
      <c r="H21" s="50">
        <f t="shared" si="2"/>
        <v>3</v>
      </c>
      <c r="I21" s="50">
        <f t="shared" si="3"/>
        <v>19</v>
      </c>
      <c r="J21" s="50" t="s">
        <v>155</v>
      </c>
      <c r="K21" s="49" t="s">
        <v>135</v>
      </c>
      <c r="L21" s="64"/>
      <c r="M21" s="49"/>
      <c r="N21" s="49">
        <v>2577</v>
      </c>
      <c r="O21" s="65" t="s">
        <v>496</v>
      </c>
      <c r="P21" s="49" t="str">
        <f t="shared" si="4"/>
        <v>26/07/2024</v>
      </c>
      <c r="Q21" s="68">
        <f t="shared" si="5"/>
        <v>0</v>
      </c>
      <c r="R21" s="68">
        <f t="shared" si="6"/>
        <v>10</v>
      </c>
      <c r="S21" s="68">
        <f t="shared" si="7"/>
        <v>25</v>
      </c>
      <c r="T21" s="49" t="s">
        <v>500</v>
      </c>
      <c r="U21" s="65" t="s">
        <v>137</v>
      </c>
      <c r="V21" s="65" t="s">
        <v>402</v>
      </c>
      <c r="W21" s="49" t="str">
        <f t="shared" si="8"/>
        <v>15/05/2020</v>
      </c>
      <c r="X21" s="68">
        <f>IF(W21="",0,DATEDIF(W21,P21,"Y"))</f>
        <v>4</v>
      </c>
      <c r="Y21" s="68">
        <f>IF(W21="",0,DATEDIF(W21,P21,"YM"))</f>
        <v>2</v>
      </c>
      <c r="Z21" s="68">
        <f>IF(W21="",0,DATEDIF(W21,P21,"MD"))</f>
        <v>11</v>
      </c>
      <c r="AA21" s="69"/>
      <c r="AB21" s="65"/>
      <c r="AC21" s="50" t="str">
        <f t="shared" si="9"/>
        <v/>
      </c>
      <c r="AD21" s="68">
        <f t="shared" si="10"/>
        <v>0</v>
      </c>
      <c r="AE21" s="68">
        <f t="shared" si="11"/>
        <v>0</v>
      </c>
      <c r="AF21" s="68">
        <f t="shared" si="12"/>
        <v>0</v>
      </c>
      <c r="AG21" s="50"/>
      <c r="AH21" s="50" t="s">
        <v>138</v>
      </c>
      <c r="AI21" s="49" t="str">
        <f>IF(AH21="นิติศาสตร์","K5-LAW","K5-POLICY")</f>
        <v>K5-LAW</v>
      </c>
      <c r="AJ21" s="72" t="str">
        <f>_xlfn.IFS(B21="","",AND(AI21="K5-LAW",AH21="นิติศาสตร์",K21="S2",U21="",AA21=""),P21,AND(AI21="K5-LAW",AH21="นิติศาสตร์",K21="S1",U21="",AA21=""),EDATE(P21,12),AND(AI21="K5-LAW",AH21="นิติศาสตร์",OR(K21="M2",K21="K4"),U21="",AA21=""),EDATE(P21,12*2),AND(AI21="K5-LAW",AH21="นิติศาสตร์",OR(AA21="M2",AA21="K4"),AD21&gt;=2,OR(AC21&lt;W21,AC21&lt;P21)),EDATE(AC21,12*2),AND(AI21="K5-LAW",AH21="นิติศาสตร์",AA21="S1",AD21&gt;=1,OR(AC21&lt;W21,AC21&lt;P21)),EDATE(AC21,12),AND(AI21="K5-LAW",AH21="นิติศาสตร์",OR(U21="M2",U21="K4"),X21&gt;=2,W21&lt;P21),EDATE(W21,12*2),AND(AI21="K5-LAW",AH21="นิติศาสตร์",U21="S1",X21&gt;=1,W21&lt;P21),EDATE(W21,12),AND(AI21="K5-LAW",AH21="นิติศาสตร์",OR(U21="S2",U21="K5")),W21,AND(AI21="K5-LAW",AH21="นิติศาสตร์",OR(K21="M2",K21="K4"),Q21&gt;=2),EDATE(P21,12*2),AND(AI21="K5-LAW",AH21="นิติศาสตร์",K21="S1",Q21&gt;=1),EDATE(P21,12),AND(AI21="K5-LAW",AH21="นิติศาสตร์",OR(K21="S2",K21="K5")),P21,AND(AI21="K5-POLICY",AH21&lt;&gt;"นิติศาสตร์",K21="S2",U21="",AA21=""),P21,AND(AI21="K5-POLICY",AH21&lt;&gt;"นิติศาสตร์",K21="S1",U21="",AA21=""),EDATE(P21,12),AND(AI21="K5-POLICY",AH21&lt;&gt;"นิติศาสตร์",OR(K21="M2",K21="K4"),U21="",AA21=""),EDATE(P21,12*2),AND(AI21="K5-POLICY",AH21&lt;&gt;"นิติศาสตร์",OR(AA21="M2",AA21="K4"),AD21&gt;=2,OR(AC21&lt;W21,AC21&lt;P21)),EDATE(AC21,12*2),AND(AI21="K5-POLICY",AH21&lt;&gt;"นิติศาสตร์",AA21="S1",AD21&gt;=1,OR(AC21&lt;W21,AC21&lt;P21)),EDATE(AC21,12),AND(AI21="K5-POLICY",AH21&lt;&gt;"นิติศาสตร์",OR(U21="M2",U21="K4"),X21&gt;=2,W21&lt;P21),EDATE(W21,12*2),AND(AI21="K5-POLICY",AH21&lt;&gt;"นิติศาสตร์",U21="S1",X21&gt;=1,W21&lt;P21),EDATE(W21,12),AND(AI21="K5-POLICY",AH21&lt;&gt;"นิติศาสตร์",OR(U21="S2",U21="K5")),W21,AND(AI21="K5-POLICY",AH21&lt;&gt;"นิติศาสตร์",OR(K21="M2",K21="K4"),Q21&gt;=2),EDATE(P21,12*2),AND(AI21="K5-POLICY",AH21&lt;&gt;"นิติศาสตร์",K21="S1",Q21&gt;=1),EDATE(P21,12),AND(AI21="K5-POLICY",AH21&lt;&gt;"นิติศาสตร์",OR(K21="S2",K21="K5")),P21,TRUE,"Check Data")</f>
        <v/>
      </c>
      <c r="AK21" s="75" t="str">
        <f t="shared" si="13"/>
        <v>Check Data</v>
      </c>
      <c r="AL21" s="76" t="str">
        <f t="shared" si="14"/>
        <v>Check Data</v>
      </c>
      <c r="AM21" s="50" t="str">
        <f t="shared" si="15"/>
        <v>Check Data</v>
      </c>
      <c r="AN21" s="49" t="str">
        <f>IF(B21="","",IF(K21="S1","S1",INDEX(#REF!,#REF!)))</f>
        <v/>
      </c>
      <c r="AO21" s="49" t="str">
        <f>K21</f>
        <v>S1</v>
      </c>
      <c r="AP21" s="50" t="b">
        <f>K21=AN21</f>
        <v>0</v>
      </c>
      <c r="AQ21" s="50"/>
    </row>
    <row r="22" spans="1:43" customFormat="1">
      <c r="A22" s="49">
        <v>20</v>
      </c>
      <c r="B22" s="50"/>
      <c r="C22" s="50"/>
      <c r="D22" s="50" t="s">
        <v>144</v>
      </c>
      <c r="E22" s="49" t="s">
        <v>501</v>
      </c>
      <c r="F22" s="49" t="str">
        <f t="shared" si="0"/>
        <v>11/12/1986</v>
      </c>
      <c r="G22" s="50">
        <f t="shared" si="1"/>
        <v>38</v>
      </c>
      <c r="H22" s="50">
        <f t="shared" si="2"/>
        <v>6</v>
      </c>
      <c r="I22" s="50">
        <f t="shared" si="3"/>
        <v>9</v>
      </c>
      <c r="J22" s="50" t="s">
        <v>159</v>
      </c>
      <c r="K22" s="49" t="s">
        <v>135</v>
      </c>
      <c r="L22" s="64"/>
      <c r="M22" s="49"/>
      <c r="N22" s="49">
        <v>2572</v>
      </c>
      <c r="O22" s="65" t="s">
        <v>502</v>
      </c>
      <c r="P22" s="49" t="str">
        <f t="shared" si="4"/>
        <v>30/01/2025</v>
      </c>
      <c r="Q22" s="68">
        <f t="shared" si="5"/>
        <v>0</v>
      </c>
      <c r="R22" s="68">
        <f t="shared" si="6"/>
        <v>4</v>
      </c>
      <c r="S22" s="68">
        <f t="shared" si="7"/>
        <v>21</v>
      </c>
      <c r="T22" s="49" t="s">
        <v>503</v>
      </c>
      <c r="U22" s="65" t="s">
        <v>136</v>
      </c>
      <c r="V22" s="65" t="s">
        <v>378</v>
      </c>
      <c r="W22" s="49" t="str">
        <f t="shared" si="8"/>
        <v>25/09/2012</v>
      </c>
      <c r="X22" s="68">
        <f>IF(W22="",0,DATEDIF(W22,P22,"Y"))</f>
        <v>12</v>
      </c>
      <c r="Y22" s="68">
        <f>IF(W22="",0,DATEDIF(W22,P22,"YM"))</f>
        <v>4</v>
      </c>
      <c r="Z22" s="68">
        <f>IF(W22="",0,DATEDIF(W22,P22,"MD"))</f>
        <v>5</v>
      </c>
      <c r="AA22" s="49"/>
      <c r="AB22" s="65"/>
      <c r="AC22" s="50" t="str">
        <f t="shared" si="9"/>
        <v/>
      </c>
      <c r="AD22" s="68">
        <f t="shared" si="10"/>
        <v>0</v>
      </c>
      <c r="AE22" s="68">
        <f t="shared" si="11"/>
        <v>0</v>
      </c>
      <c r="AF22" s="68">
        <f t="shared" si="12"/>
        <v>0</v>
      </c>
      <c r="AG22" s="50"/>
      <c r="AH22" s="50" t="s">
        <v>163</v>
      </c>
      <c r="AI22" s="49" t="str">
        <f>IF(AH22="นิติศาสตร์","K5-LAW","K5-POLICY")</f>
        <v>K5-POLICY</v>
      </c>
      <c r="AJ22" s="72" t="str">
        <f>_xlfn.IFS(B22="","",AND(AI22="K5-LAW",AH22="นิติศาสตร์",K22="S2",U22="",AA22=""),P22,AND(AI22="K5-LAW",AH22="นิติศาสตร์",K22="S1",U22="",AA22=""),EDATE(P22,12),AND(AI22="K5-LAW",AH22="นิติศาสตร์",OR(K22="M2",K22="K4"),U22="",AA22=""),EDATE(P22,12*2),AND(AI22="K5-LAW",AH22="นิติศาสตร์",OR(AA22="M2",AA22="K4"),AD22&gt;=2,OR(AC22&lt;W22,AC22&lt;P22)),EDATE(AC22,12*2),AND(AI22="K5-LAW",AH22="นิติศาสตร์",AA22="S1",AD22&gt;=1,OR(AC22&lt;W22,AC22&lt;P22)),EDATE(AC22,12),AND(AI22="K5-LAW",AH22="นิติศาสตร์",OR(U22="M2",U22="K4"),X22&gt;=2,W22&lt;P22),EDATE(W22,12*2),AND(AI22="K5-LAW",AH22="นิติศาสตร์",U22="S1",X22&gt;=1,W22&lt;P22),EDATE(W22,12),AND(AI22="K5-LAW",AH22="นิติศาสตร์",OR(U22="S2",U22="K5")),W22,AND(AI22="K5-LAW",AH22="นิติศาสตร์",OR(K22="M2",K22="K4"),Q22&gt;=2),EDATE(P22,12*2),AND(AI22="K5-LAW",AH22="นิติศาสตร์",K22="S1",Q22&gt;=1),EDATE(P22,12),AND(AI22="K5-LAW",AH22="นิติศาสตร์",OR(K22="S2",K22="K5")),P22,AND(AI22="K5-POLICY",AH22&lt;&gt;"นิติศาสตร์",K22="S2",U22="",AA22=""),P22,AND(AI22="K5-POLICY",AH22&lt;&gt;"นิติศาสตร์",K22="S1",U22="",AA22=""),EDATE(P22,12),AND(AI22="K5-POLICY",AH22&lt;&gt;"นิติศาสตร์",OR(K22="M2",K22="K4"),U22="",AA22=""),EDATE(P22,12*2),AND(AI22="K5-POLICY",AH22&lt;&gt;"นิติศาสตร์",OR(AA22="M2",AA22="K4"),AD22&gt;=2,OR(AC22&lt;W22,AC22&lt;P22)),EDATE(AC22,12*2),AND(AI22="K5-POLICY",AH22&lt;&gt;"นิติศาสตร์",AA22="S1",AD22&gt;=1,OR(AC22&lt;W22,AC22&lt;P22)),EDATE(AC22,12),AND(AI22="K5-POLICY",AH22&lt;&gt;"นิติศาสตร์",OR(U22="M2",U22="K4"),X22&gt;=2,W22&lt;P22),EDATE(W22,12*2),AND(AI22="K5-POLICY",AH22&lt;&gt;"นิติศาสตร์",U22="S1",X22&gt;=1,W22&lt;P22),EDATE(W22,12),AND(AI22="K5-POLICY",AH22&lt;&gt;"นิติศาสตร์",OR(U22="S2",U22="K5")),W22,AND(AI22="K5-POLICY",AH22&lt;&gt;"นิติศาสตร์",OR(K22="M2",K22="K4"),Q22&gt;=2),EDATE(P22,12*2),AND(AI22="K5-POLICY",AH22&lt;&gt;"นิติศาสตร์",K22="S1",Q22&gt;=1),EDATE(P22,12),AND(AI22="K5-POLICY",AH22&lt;&gt;"นิติศาสตร์",OR(K22="S2",K22="K5")),P22,TRUE,"Check Data")</f>
        <v/>
      </c>
      <c r="AK22" s="75" t="str">
        <f t="shared" si="13"/>
        <v>Check Data</v>
      </c>
      <c r="AL22" s="76" t="str">
        <f t="shared" si="14"/>
        <v>Check Data</v>
      </c>
      <c r="AM22" s="50" t="str">
        <f t="shared" si="15"/>
        <v>Check Data</v>
      </c>
      <c r="AN22" s="49" t="str">
        <f>IF(B22="","",IF(K22="S1","S1",INDEX(#REF!,#REF!)))</f>
        <v/>
      </c>
      <c r="AO22" s="49" t="str">
        <f>K22</f>
        <v>S1</v>
      </c>
      <c r="AP22" s="50" t="b">
        <f>K22=AN22</f>
        <v>0</v>
      </c>
      <c r="AQ22" s="50"/>
    </row>
    <row r="23" spans="1:43" customFormat="1">
      <c r="A23" s="49">
        <v>21</v>
      </c>
      <c r="B23" s="50"/>
      <c r="C23" s="50"/>
      <c r="D23" s="50" t="s">
        <v>144</v>
      </c>
      <c r="E23" s="49" t="s">
        <v>197</v>
      </c>
      <c r="F23" s="49" t="str">
        <f t="shared" si="0"/>
        <v>01/05/1991</v>
      </c>
      <c r="G23" s="50">
        <f t="shared" si="1"/>
        <v>34</v>
      </c>
      <c r="H23" s="50">
        <f t="shared" si="2"/>
        <v>1</v>
      </c>
      <c r="I23" s="50">
        <f t="shared" si="3"/>
        <v>19</v>
      </c>
      <c r="J23" s="50" t="s">
        <v>159</v>
      </c>
      <c r="K23" s="49" t="s">
        <v>135</v>
      </c>
      <c r="L23" s="64"/>
      <c r="M23" s="49"/>
      <c r="N23" s="49">
        <v>2574</v>
      </c>
      <c r="O23" s="65" t="s">
        <v>502</v>
      </c>
      <c r="P23" s="49" t="str">
        <f t="shared" si="4"/>
        <v>30/01/2025</v>
      </c>
      <c r="Q23" s="68">
        <f t="shared" si="5"/>
        <v>0</v>
      </c>
      <c r="R23" s="68">
        <f t="shared" si="6"/>
        <v>4</v>
      </c>
      <c r="S23" s="68">
        <f t="shared" si="7"/>
        <v>21</v>
      </c>
      <c r="T23" s="49" t="s">
        <v>504</v>
      </c>
      <c r="U23" s="65" t="s">
        <v>136</v>
      </c>
      <c r="V23" s="65" t="s">
        <v>389</v>
      </c>
      <c r="W23" s="49" t="str">
        <f t="shared" si="8"/>
        <v>02/05/2016</v>
      </c>
      <c r="X23" s="68">
        <f>IF(W23="",0,DATEDIF(W23,P23,"Y"))</f>
        <v>8</v>
      </c>
      <c r="Y23" s="68">
        <f>IF(W23="",0,DATEDIF(W23,P23,"YM"))</f>
        <v>8</v>
      </c>
      <c r="Z23" s="68">
        <f>IF(W23="",0,DATEDIF(W23,P23,"MD"))</f>
        <v>28</v>
      </c>
      <c r="AA23" s="49"/>
      <c r="AB23" s="65"/>
      <c r="AC23" s="50" t="str">
        <f t="shared" si="9"/>
        <v/>
      </c>
      <c r="AD23" s="68">
        <f t="shared" si="10"/>
        <v>0</v>
      </c>
      <c r="AE23" s="68">
        <f t="shared" si="11"/>
        <v>0</v>
      </c>
      <c r="AF23" s="68">
        <f t="shared" si="12"/>
        <v>0</v>
      </c>
      <c r="AG23" s="50"/>
      <c r="AH23" s="50" t="s">
        <v>221</v>
      </c>
      <c r="AI23" s="49" t="str">
        <f>IF(AH23="นิติศาสตร์","K5-LAW","K5-POLICY")</f>
        <v>K5-POLICY</v>
      </c>
      <c r="AJ23" s="72" t="str">
        <f>_xlfn.IFS(B23="","",AND(AI23="K5-LAW",AH23="นิติศาสตร์",K23="S2",U23="",AA23=""),P23,AND(AI23="K5-LAW",AH23="นิติศาสตร์",K23="S1",U23="",AA23=""),EDATE(P23,12),AND(AI23="K5-LAW",AH23="นิติศาสตร์",OR(K23="M2",K23="K4"),U23="",AA23=""),EDATE(P23,12*2),AND(AI23="K5-LAW",AH23="นิติศาสตร์",OR(AA23="M2",AA23="K4"),AD23&gt;=2,OR(AC23&lt;W23,AC23&lt;P23)),EDATE(AC23,12*2),AND(AI23="K5-LAW",AH23="นิติศาสตร์",AA23="S1",AD23&gt;=1,OR(AC23&lt;W23,AC23&lt;P23)),EDATE(AC23,12),AND(AI23="K5-LAW",AH23="นิติศาสตร์",OR(U23="M2",U23="K4"),X23&gt;=2,W23&lt;P23),EDATE(W23,12*2),AND(AI23="K5-LAW",AH23="นิติศาสตร์",U23="S1",X23&gt;=1,W23&lt;P23),EDATE(W23,12),AND(AI23="K5-LAW",AH23="นิติศาสตร์",OR(U23="S2",U23="K5")),W23,AND(AI23="K5-LAW",AH23="นิติศาสตร์",OR(K23="M2",K23="K4"),Q23&gt;=2),EDATE(P23,12*2),AND(AI23="K5-LAW",AH23="นิติศาสตร์",K23="S1",Q23&gt;=1),EDATE(P23,12),AND(AI23="K5-LAW",AH23="นิติศาสตร์",OR(K23="S2",K23="K5")),P23,AND(AI23="K5-POLICY",AH23&lt;&gt;"นิติศาสตร์",K23="S2",U23="",AA23=""),P23,AND(AI23="K5-POLICY",AH23&lt;&gt;"นิติศาสตร์",K23="S1",U23="",AA23=""),EDATE(P23,12),AND(AI23="K5-POLICY",AH23&lt;&gt;"นิติศาสตร์",OR(K23="M2",K23="K4"),U23="",AA23=""),EDATE(P23,12*2),AND(AI23="K5-POLICY",AH23&lt;&gt;"นิติศาสตร์",OR(AA23="M2",AA23="K4"),AD23&gt;=2,OR(AC23&lt;W23,AC23&lt;P23)),EDATE(AC23,12*2),AND(AI23="K5-POLICY",AH23&lt;&gt;"นิติศาสตร์",AA23="S1",AD23&gt;=1,OR(AC23&lt;W23,AC23&lt;P23)),EDATE(AC23,12),AND(AI23="K5-POLICY",AH23&lt;&gt;"นิติศาสตร์",OR(U23="M2",U23="K4"),X23&gt;=2,W23&lt;P23),EDATE(W23,12*2),AND(AI23="K5-POLICY",AH23&lt;&gt;"นิติศาสตร์",U23="S1",X23&gt;=1,W23&lt;P23),EDATE(W23,12),AND(AI23="K5-POLICY",AH23&lt;&gt;"นิติศาสตร์",OR(U23="S2",U23="K5")),W23,AND(AI23="K5-POLICY",AH23&lt;&gt;"นิติศาสตร์",OR(K23="M2",K23="K4"),Q23&gt;=2),EDATE(P23,12*2),AND(AI23="K5-POLICY",AH23&lt;&gt;"นิติศาสตร์",K23="S1",Q23&gt;=1),EDATE(P23,12),AND(AI23="K5-POLICY",AH23&lt;&gt;"นิติศาสตร์",OR(K23="S2",K23="K5")),P23,TRUE,"Check Data")</f>
        <v/>
      </c>
      <c r="AK23" s="75" t="str">
        <f t="shared" si="13"/>
        <v>Check Data</v>
      </c>
      <c r="AL23" s="76" t="str">
        <f t="shared" si="14"/>
        <v>Check Data</v>
      </c>
      <c r="AM23" s="50" t="str">
        <f t="shared" si="15"/>
        <v>Check Data</v>
      </c>
      <c r="AN23" s="49" t="str">
        <f>IF(B23="","",IF(K23="S1","S1",INDEX(#REF!,#REF!)))</f>
        <v/>
      </c>
      <c r="AO23" s="49" t="str">
        <f>K23</f>
        <v>S1</v>
      </c>
      <c r="AP23" s="50" t="b">
        <f>K23=AN23</f>
        <v>0</v>
      </c>
      <c r="AQ23" s="50"/>
    </row>
    <row r="24" spans="1:43" customFormat="1">
      <c r="A24" s="49">
        <v>22</v>
      </c>
      <c r="B24" s="50"/>
      <c r="C24" s="50"/>
      <c r="D24" s="50" t="s">
        <v>143</v>
      </c>
      <c r="E24" s="49" t="s">
        <v>190</v>
      </c>
      <c r="F24" s="49" t="str">
        <f t="shared" si="0"/>
        <v>16/03/1987</v>
      </c>
      <c r="G24" s="50">
        <f t="shared" si="1"/>
        <v>38</v>
      </c>
      <c r="H24" s="50">
        <f t="shared" si="2"/>
        <v>3</v>
      </c>
      <c r="I24" s="50">
        <f t="shared" si="3"/>
        <v>4</v>
      </c>
      <c r="J24" s="50" t="s">
        <v>158</v>
      </c>
      <c r="K24" s="49" t="s">
        <v>135</v>
      </c>
      <c r="L24" s="64"/>
      <c r="M24" s="49"/>
      <c r="N24" s="49">
        <v>2570</v>
      </c>
      <c r="O24" s="65" t="s">
        <v>502</v>
      </c>
      <c r="P24" s="49" t="str">
        <f t="shared" si="4"/>
        <v>30/01/2025</v>
      </c>
      <c r="Q24" s="68">
        <f t="shared" si="5"/>
        <v>0</v>
      </c>
      <c r="R24" s="68">
        <f t="shared" si="6"/>
        <v>4</v>
      </c>
      <c r="S24" s="68">
        <f t="shared" si="7"/>
        <v>21</v>
      </c>
      <c r="T24" s="49" t="s">
        <v>505</v>
      </c>
      <c r="U24" s="65" t="s">
        <v>136</v>
      </c>
      <c r="V24" s="65" t="s">
        <v>313</v>
      </c>
      <c r="W24" s="49" t="str">
        <f t="shared" si="8"/>
        <v>10/04/2017</v>
      </c>
      <c r="X24" s="68">
        <f>IF(W24="",0,DATEDIF(W24,P24,"Y"))</f>
        <v>7</v>
      </c>
      <c r="Y24" s="68">
        <f>IF(W24="",0,DATEDIF(W24,P24,"YM"))</f>
        <v>9</v>
      </c>
      <c r="Z24" s="68">
        <f>IF(W24="",0,DATEDIF(W24,P24,"MD"))</f>
        <v>20</v>
      </c>
      <c r="AA24" s="49"/>
      <c r="AB24" s="65"/>
      <c r="AC24" s="50" t="str">
        <f t="shared" si="9"/>
        <v/>
      </c>
      <c r="AD24" s="68">
        <f t="shared" si="10"/>
        <v>0</v>
      </c>
      <c r="AE24" s="68">
        <f t="shared" si="11"/>
        <v>0</v>
      </c>
      <c r="AF24" s="68">
        <f t="shared" si="12"/>
        <v>0</v>
      </c>
      <c r="AG24" s="50"/>
      <c r="AH24" s="50" t="s">
        <v>172</v>
      </c>
      <c r="AI24" s="49" t="str">
        <f>IF(AH24="นิติศาสตร์","K5-LAW","K5-POLICY")</f>
        <v>K5-POLICY</v>
      </c>
      <c r="AJ24" s="72" t="str">
        <f>_xlfn.IFS(B24="","",AND(AI24="K5-LAW",AH24="นิติศาสตร์",K24="S2",U24="",AA24=""),P24,AND(AI24="K5-LAW",AH24="นิติศาสตร์",K24="S1",U24="",AA24=""),EDATE(P24,12),AND(AI24="K5-LAW",AH24="นิติศาสตร์",OR(K24="M2",K24="K4"),U24="",AA24=""),EDATE(P24,12*2),AND(AI24="K5-LAW",AH24="นิติศาสตร์",OR(AA24="M2",AA24="K4"),AD24&gt;=2,OR(AC24&lt;W24,AC24&lt;P24)),EDATE(AC24,12*2),AND(AI24="K5-LAW",AH24="นิติศาสตร์",AA24="S1",AD24&gt;=1,OR(AC24&lt;W24,AC24&lt;P24)),EDATE(AC24,12),AND(AI24="K5-LAW",AH24="นิติศาสตร์",OR(U24="M2",U24="K4"),X24&gt;=2,W24&lt;P24),EDATE(W24,12*2),AND(AI24="K5-LAW",AH24="นิติศาสตร์",U24="S1",X24&gt;=1,W24&lt;P24),EDATE(W24,12),AND(AI24="K5-LAW",AH24="นิติศาสตร์",OR(U24="S2",U24="K5")),W24,AND(AI24="K5-LAW",AH24="นิติศาสตร์",OR(K24="M2",K24="K4"),Q24&gt;=2),EDATE(P24,12*2),AND(AI24="K5-LAW",AH24="นิติศาสตร์",K24="S1",Q24&gt;=1),EDATE(P24,12),AND(AI24="K5-LAW",AH24="นิติศาสตร์",OR(K24="S2",K24="K5")),P24,AND(AI24="K5-POLICY",AH24&lt;&gt;"นิติศาสตร์",K24="S2",U24="",AA24=""),P24,AND(AI24="K5-POLICY",AH24&lt;&gt;"นิติศาสตร์",K24="S1",U24="",AA24=""),EDATE(P24,12),AND(AI24="K5-POLICY",AH24&lt;&gt;"นิติศาสตร์",OR(K24="M2",K24="K4"),U24="",AA24=""),EDATE(P24,12*2),AND(AI24="K5-POLICY",AH24&lt;&gt;"นิติศาสตร์",OR(AA24="M2",AA24="K4"),AD24&gt;=2,OR(AC24&lt;W24,AC24&lt;P24)),EDATE(AC24,12*2),AND(AI24="K5-POLICY",AH24&lt;&gt;"นิติศาสตร์",AA24="S1",AD24&gt;=1,OR(AC24&lt;W24,AC24&lt;P24)),EDATE(AC24,12),AND(AI24="K5-POLICY",AH24&lt;&gt;"นิติศาสตร์",OR(U24="M2",U24="K4"),X24&gt;=2,W24&lt;P24),EDATE(W24,12*2),AND(AI24="K5-POLICY",AH24&lt;&gt;"นิติศาสตร์",U24="S1",X24&gt;=1,W24&lt;P24),EDATE(W24,12),AND(AI24="K5-POLICY",AH24&lt;&gt;"นิติศาสตร์",OR(U24="S2",U24="K5")),W24,AND(AI24="K5-POLICY",AH24&lt;&gt;"นิติศาสตร์",OR(K24="M2",K24="K4"),Q24&gt;=2),EDATE(P24,12*2),AND(AI24="K5-POLICY",AH24&lt;&gt;"นิติศาสตร์",K24="S1",Q24&gt;=1),EDATE(P24,12),AND(AI24="K5-POLICY",AH24&lt;&gt;"นิติศาสตร์",OR(K24="S2",K24="K5")),P24,TRUE,"Check Data")</f>
        <v/>
      </c>
      <c r="AK24" s="75" t="str">
        <f t="shared" si="13"/>
        <v>Check Data</v>
      </c>
      <c r="AL24" s="76" t="str">
        <f t="shared" si="14"/>
        <v>Check Data</v>
      </c>
      <c r="AM24" s="50" t="str">
        <f t="shared" si="15"/>
        <v>Check Data</v>
      </c>
      <c r="AN24" s="49" t="str">
        <f>IF(B24="","",IF(K24="S1","S1",INDEX(#REF!,#REF!)))</f>
        <v/>
      </c>
      <c r="AO24" s="49" t="str">
        <f>K24</f>
        <v>S1</v>
      </c>
      <c r="AP24" s="50" t="b">
        <f>K24=AN24</f>
        <v>0</v>
      </c>
      <c r="AQ24" s="50"/>
    </row>
    <row r="25" spans="1:43" customFormat="1">
      <c r="A25" s="49">
        <v>23</v>
      </c>
      <c r="B25" s="50"/>
      <c r="C25" s="50"/>
      <c r="D25" s="50" t="s">
        <v>143</v>
      </c>
      <c r="E25" s="49" t="s">
        <v>230</v>
      </c>
      <c r="F25" s="49" t="str">
        <f t="shared" si="0"/>
        <v>03/11/1997</v>
      </c>
      <c r="G25" s="50">
        <f t="shared" si="1"/>
        <v>27</v>
      </c>
      <c r="H25" s="50">
        <f t="shared" si="2"/>
        <v>7</v>
      </c>
      <c r="I25" s="50">
        <f t="shared" si="3"/>
        <v>17</v>
      </c>
      <c r="J25" s="50" t="s">
        <v>158</v>
      </c>
      <c r="K25" s="49" t="s">
        <v>135</v>
      </c>
      <c r="L25" s="64"/>
      <c r="M25" s="49"/>
      <c r="N25" s="49">
        <v>2571</v>
      </c>
      <c r="O25" s="65" t="s">
        <v>502</v>
      </c>
      <c r="P25" s="49" t="str">
        <f t="shared" si="4"/>
        <v>30/01/2025</v>
      </c>
      <c r="Q25" s="68">
        <f t="shared" si="5"/>
        <v>0</v>
      </c>
      <c r="R25" s="68">
        <f t="shared" si="6"/>
        <v>4</v>
      </c>
      <c r="S25" s="68">
        <f t="shared" si="7"/>
        <v>21</v>
      </c>
      <c r="T25" s="49" t="s">
        <v>506</v>
      </c>
      <c r="U25" s="65" t="s">
        <v>136</v>
      </c>
      <c r="V25" s="65" t="s">
        <v>308</v>
      </c>
      <c r="W25" s="49" t="str">
        <f t="shared" si="8"/>
        <v>16/01/2018</v>
      </c>
      <c r="X25" s="68">
        <f>IF(W25="",0,DATEDIF(W25,P25,"Y"))</f>
        <v>7</v>
      </c>
      <c r="Y25" s="68">
        <f>IF(W25="",0,DATEDIF(W25,P25,"YM"))</f>
        <v>0</v>
      </c>
      <c r="Z25" s="68">
        <f>IF(W25="",0,DATEDIF(W25,P25,"MD"))</f>
        <v>14</v>
      </c>
      <c r="AA25" s="49"/>
      <c r="AB25" s="65"/>
      <c r="AC25" s="50" t="str">
        <f t="shared" si="9"/>
        <v/>
      </c>
      <c r="AD25" s="68">
        <f t="shared" si="10"/>
        <v>0</v>
      </c>
      <c r="AE25" s="68">
        <f t="shared" si="11"/>
        <v>0</v>
      </c>
      <c r="AF25" s="68">
        <f t="shared" si="12"/>
        <v>0</v>
      </c>
      <c r="AG25" s="50"/>
      <c r="AH25" s="50" t="s">
        <v>167</v>
      </c>
      <c r="AI25" s="49" t="str">
        <f>IF(AH25="นิติศาสตร์","K5-LAW","K5-POLICY")</f>
        <v>K5-POLICY</v>
      </c>
      <c r="AJ25" s="72" t="str">
        <f>_xlfn.IFS(B25="","",AND(AI25="K5-LAW",AH25="นิติศาสตร์",K25="S2",U25="",AA25=""),P25,AND(AI25="K5-LAW",AH25="นิติศาสตร์",K25="S1",U25="",AA25=""),EDATE(P25,12),AND(AI25="K5-LAW",AH25="นิติศาสตร์",OR(K25="M2",K25="K4"),U25="",AA25=""),EDATE(P25,12*2),AND(AI25="K5-LAW",AH25="นิติศาสตร์",OR(AA25="M2",AA25="K4"),AD25&gt;=2,OR(AC25&lt;W25,AC25&lt;P25)),EDATE(AC25,12*2),AND(AI25="K5-LAW",AH25="นิติศาสตร์",AA25="S1",AD25&gt;=1,OR(AC25&lt;W25,AC25&lt;P25)),EDATE(AC25,12),AND(AI25="K5-LAW",AH25="นิติศาสตร์",OR(U25="M2",U25="K4"),X25&gt;=2,W25&lt;P25),EDATE(W25,12*2),AND(AI25="K5-LAW",AH25="นิติศาสตร์",U25="S1",X25&gt;=1,W25&lt;P25),EDATE(W25,12),AND(AI25="K5-LAW",AH25="นิติศาสตร์",OR(U25="S2",U25="K5")),W25,AND(AI25="K5-LAW",AH25="นิติศาสตร์",OR(K25="M2",K25="K4"),Q25&gt;=2),EDATE(P25,12*2),AND(AI25="K5-LAW",AH25="นิติศาสตร์",K25="S1",Q25&gt;=1),EDATE(P25,12),AND(AI25="K5-LAW",AH25="นิติศาสตร์",OR(K25="S2",K25="K5")),P25,AND(AI25="K5-POLICY",AH25&lt;&gt;"นิติศาสตร์",K25="S2",U25="",AA25=""),P25,AND(AI25="K5-POLICY",AH25&lt;&gt;"นิติศาสตร์",K25="S1",U25="",AA25=""),EDATE(P25,12),AND(AI25="K5-POLICY",AH25&lt;&gt;"นิติศาสตร์",OR(K25="M2",K25="K4"),U25="",AA25=""),EDATE(P25,12*2),AND(AI25="K5-POLICY",AH25&lt;&gt;"นิติศาสตร์",OR(AA25="M2",AA25="K4"),AD25&gt;=2,OR(AC25&lt;W25,AC25&lt;P25)),EDATE(AC25,12*2),AND(AI25="K5-POLICY",AH25&lt;&gt;"นิติศาสตร์",AA25="S1",AD25&gt;=1,OR(AC25&lt;W25,AC25&lt;P25)),EDATE(AC25,12),AND(AI25="K5-POLICY",AH25&lt;&gt;"นิติศาสตร์",OR(U25="M2",U25="K4"),X25&gt;=2,W25&lt;P25),EDATE(W25,12*2),AND(AI25="K5-POLICY",AH25&lt;&gt;"นิติศาสตร์",U25="S1",X25&gt;=1,W25&lt;P25),EDATE(W25,12),AND(AI25="K5-POLICY",AH25&lt;&gt;"นิติศาสตร์",OR(U25="S2",U25="K5")),W25,AND(AI25="K5-POLICY",AH25&lt;&gt;"นิติศาสตร์",OR(K25="M2",K25="K4"),Q25&gt;=2),EDATE(P25,12*2),AND(AI25="K5-POLICY",AH25&lt;&gt;"นิติศาสตร์",K25="S1",Q25&gt;=1),EDATE(P25,12),AND(AI25="K5-POLICY",AH25&lt;&gt;"นิติศาสตร์",OR(K25="S2",K25="K5")),P25,TRUE,"Check Data")</f>
        <v/>
      </c>
      <c r="AK25" s="75" t="str">
        <f t="shared" si="13"/>
        <v>Check Data</v>
      </c>
      <c r="AL25" s="76" t="str">
        <f t="shared" si="14"/>
        <v>Check Data</v>
      </c>
      <c r="AM25" s="50" t="str">
        <f t="shared" si="15"/>
        <v>Check Data</v>
      </c>
      <c r="AN25" s="49" t="str">
        <f>IF(B25="","",IF(K25="S1","S1",INDEX(#REF!,#REF!)))</f>
        <v/>
      </c>
      <c r="AO25" s="49" t="str">
        <f>K25</f>
        <v>S1</v>
      </c>
      <c r="AP25" s="50" t="b">
        <f>K25=AN25</f>
        <v>0</v>
      </c>
      <c r="AQ25" s="50"/>
    </row>
    <row r="26" spans="1:43">
      <c r="A26" s="49">
        <v>24</v>
      </c>
      <c r="B26" s="50"/>
      <c r="C26" s="50"/>
      <c r="D26" s="50" t="s">
        <v>144</v>
      </c>
      <c r="E26" s="49" t="s">
        <v>256</v>
      </c>
      <c r="F26" s="49" t="str">
        <f t="shared" si="0"/>
        <v>01/02/1993</v>
      </c>
      <c r="G26" s="50">
        <f t="shared" si="1"/>
        <v>32</v>
      </c>
      <c r="H26" s="50">
        <f t="shared" si="2"/>
        <v>4</v>
      </c>
      <c r="I26" s="50">
        <f t="shared" si="3"/>
        <v>19</v>
      </c>
      <c r="J26" s="50" t="s">
        <v>159</v>
      </c>
      <c r="K26" s="49" t="s">
        <v>135</v>
      </c>
      <c r="L26" s="64"/>
      <c r="M26" s="49"/>
      <c r="N26" s="49">
        <v>2574</v>
      </c>
      <c r="O26" s="65" t="s">
        <v>502</v>
      </c>
      <c r="P26" s="49" t="str">
        <f t="shared" si="4"/>
        <v>30/01/2025</v>
      </c>
      <c r="Q26" s="68">
        <f t="shared" si="5"/>
        <v>0</v>
      </c>
      <c r="R26" s="68">
        <f t="shared" si="6"/>
        <v>4</v>
      </c>
      <c r="S26" s="68">
        <f t="shared" si="7"/>
        <v>21</v>
      </c>
      <c r="T26" s="49" t="s">
        <v>507</v>
      </c>
      <c r="U26" s="65" t="s">
        <v>136</v>
      </c>
      <c r="V26" s="65" t="s">
        <v>278</v>
      </c>
      <c r="W26" s="49" t="str">
        <f t="shared" si="8"/>
        <v>15/10/2020</v>
      </c>
      <c r="X26" s="68">
        <f>IF(W26="",0,DATEDIF(W26,P26,"Y"))</f>
        <v>4</v>
      </c>
      <c r="Y26" s="68">
        <f>IF(W26="",0,DATEDIF(W26,P26,"YM"))</f>
        <v>3</v>
      </c>
      <c r="Z26" s="68">
        <f>IF(W26="",0,DATEDIF(W26,P26,"MD"))</f>
        <v>15</v>
      </c>
      <c r="AA26" s="49"/>
      <c r="AB26" s="65"/>
      <c r="AC26" s="50" t="str">
        <f t="shared" si="9"/>
        <v/>
      </c>
      <c r="AD26" s="68">
        <f t="shared" si="10"/>
        <v>0</v>
      </c>
      <c r="AE26" s="68">
        <f t="shared" si="11"/>
        <v>0</v>
      </c>
      <c r="AF26" s="68">
        <f t="shared" si="12"/>
        <v>0</v>
      </c>
      <c r="AG26" s="50"/>
      <c r="AH26" s="50" t="s">
        <v>138</v>
      </c>
      <c r="AI26" s="49" t="str">
        <f>IF(AH26="นิติศาสตร์","K5-LAW","K5-POLICY")</f>
        <v>K5-LAW</v>
      </c>
      <c r="AJ26" s="72" t="str">
        <f>_xlfn.IFS(B26="","",AND(AI26="K5-LAW",AH26="นิติศาสตร์",K26="S2",U26="",AA26=""),P26,AND(AI26="K5-LAW",AH26="นิติศาสตร์",K26="S1",U26="",AA26=""),EDATE(P26,12),AND(AI26="K5-LAW",AH26="นิติศาสตร์",OR(K26="M2",K26="K4"),U26="",AA26=""),EDATE(P26,12*2),AND(AI26="K5-LAW",AH26="นิติศาสตร์",OR(AA26="M2",AA26="K4"),AD26&gt;=2,OR(AC26&lt;W26,AC26&lt;P26)),EDATE(AC26,12*2),AND(AI26="K5-LAW",AH26="นิติศาสตร์",AA26="S1",AD26&gt;=1,OR(AC26&lt;W26,AC26&lt;P26)),EDATE(AC26,12),AND(AI26="K5-LAW",AH26="นิติศาสตร์",OR(U26="M2",U26="K4"),X26&gt;=2,W26&lt;P26),EDATE(W26,12*2),AND(AI26="K5-LAW",AH26="นิติศาสตร์",U26="S1",X26&gt;=1,W26&lt;P26),EDATE(W26,12),AND(AI26="K5-LAW",AH26="นิติศาสตร์",OR(U26="S2",U26="K5")),W26,AND(AI26="K5-LAW",AH26="นิติศาสตร์",OR(K26="M2",K26="K4"),Q26&gt;=2),EDATE(P26,12*2),AND(AI26="K5-LAW",AH26="นิติศาสตร์",K26="S1",Q26&gt;=1),EDATE(P26,12),AND(AI26="K5-LAW",AH26="นิติศาสตร์",OR(K26="S2",K26="K5")),P26,AND(AI26="K5-POLICY",AH26&lt;&gt;"นิติศาสตร์",K26="S2",U26="",AA26=""),P26,AND(AI26="K5-POLICY",AH26&lt;&gt;"นิติศาสตร์",K26="S1",U26="",AA26=""),EDATE(P26,12),AND(AI26="K5-POLICY",AH26&lt;&gt;"นิติศาสตร์",OR(K26="M2",K26="K4"),U26="",AA26=""),EDATE(P26,12*2),AND(AI26="K5-POLICY",AH26&lt;&gt;"นิติศาสตร์",OR(AA26="M2",AA26="K4"),AD26&gt;=2,OR(AC26&lt;W26,AC26&lt;P26)),EDATE(AC26,12*2),AND(AI26="K5-POLICY",AH26&lt;&gt;"นิติศาสตร์",AA26="S1",AD26&gt;=1,OR(AC26&lt;W26,AC26&lt;P26)),EDATE(AC26,12),AND(AI26="K5-POLICY",AH26&lt;&gt;"นิติศาสตร์",OR(U26="M2",U26="K4"),X26&gt;=2,W26&lt;P26),EDATE(W26,12*2),AND(AI26="K5-POLICY",AH26&lt;&gt;"นิติศาสตร์",U26="S1",X26&gt;=1,W26&lt;P26),EDATE(W26,12),AND(AI26="K5-POLICY",AH26&lt;&gt;"นิติศาสตร์",OR(U26="S2",U26="K5")),W26,AND(AI26="K5-POLICY",AH26&lt;&gt;"นิติศาสตร์",OR(K26="M2",K26="K4"),Q26&gt;=2),EDATE(P26,12*2),AND(AI26="K5-POLICY",AH26&lt;&gt;"นิติศาสตร์",K26="S1",Q26&gt;=1),EDATE(P26,12),AND(AI26="K5-POLICY",AH26&lt;&gt;"นิติศาสตร์",OR(K26="S2",K26="K5")),P26,TRUE,"Check Data")</f>
        <v/>
      </c>
      <c r="AK26" s="75" t="str">
        <f t="shared" si="13"/>
        <v>Check Data</v>
      </c>
      <c r="AL26" s="76" t="str">
        <f t="shared" si="14"/>
        <v>Check Data</v>
      </c>
      <c r="AM26" s="50" t="str">
        <f t="shared" si="15"/>
        <v>Check Data</v>
      </c>
      <c r="AN26" s="49" t="str">
        <f>IF(B26="","",IF(K26="S1","S1",INDEX(#REF!,#REF!)))</f>
        <v/>
      </c>
      <c r="AO26" s="49" t="str">
        <f>K26</f>
        <v>S1</v>
      </c>
      <c r="AP26" s="50" t="b">
        <f>K26=AN26</f>
        <v>0</v>
      </c>
      <c r="AQ26" s="50"/>
    </row>
    <row r="27" spans="1:43" customFormat="1">
      <c r="A27" s="49">
        <v>25</v>
      </c>
      <c r="B27" s="50"/>
      <c r="C27" s="50"/>
      <c r="D27" s="50" t="s">
        <v>145</v>
      </c>
      <c r="E27" s="49" t="s">
        <v>390</v>
      </c>
      <c r="F27" s="49" t="str">
        <f t="shared" si="0"/>
        <v>18/09/1995</v>
      </c>
      <c r="G27" s="50">
        <f t="shared" si="1"/>
        <v>29</v>
      </c>
      <c r="H27" s="50">
        <f t="shared" si="2"/>
        <v>9</v>
      </c>
      <c r="I27" s="50">
        <f t="shared" si="3"/>
        <v>2</v>
      </c>
      <c r="J27" s="50" t="s">
        <v>160</v>
      </c>
      <c r="K27" s="49" t="s">
        <v>135</v>
      </c>
      <c r="L27" s="64"/>
      <c r="M27" s="49"/>
      <c r="N27" s="49">
        <v>2571</v>
      </c>
      <c r="O27" s="65" t="s">
        <v>502</v>
      </c>
      <c r="P27" s="49" t="str">
        <f t="shared" si="4"/>
        <v>30/01/2025</v>
      </c>
      <c r="Q27" s="68">
        <f t="shared" si="5"/>
        <v>0</v>
      </c>
      <c r="R27" s="68">
        <f t="shared" si="6"/>
        <v>4</v>
      </c>
      <c r="S27" s="68">
        <f t="shared" si="7"/>
        <v>21</v>
      </c>
      <c r="T27" s="49" t="s">
        <v>508</v>
      </c>
      <c r="U27" s="65" t="s">
        <v>136</v>
      </c>
      <c r="V27" s="65" t="s">
        <v>391</v>
      </c>
      <c r="W27" s="49" t="str">
        <f t="shared" si="8"/>
        <v>18/10/2021</v>
      </c>
      <c r="X27" s="68">
        <f>IF(W27="",0,DATEDIF(W27,P27,"Y"))</f>
        <v>3</v>
      </c>
      <c r="Y27" s="68">
        <f>IF(W27="",0,DATEDIF(W27,P27,"YM"))</f>
        <v>3</v>
      </c>
      <c r="Z27" s="68">
        <f>IF(W27="",0,DATEDIF(W27,P27,"MD"))</f>
        <v>12</v>
      </c>
      <c r="AA27" s="49"/>
      <c r="AB27" s="65"/>
      <c r="AC27" s="50" t="str">
        <f t="shared" si="9"/>
        <v/>
      </c>
      <c r="AD27" s="68">
        <f t="shared" si="10"/>
        <v>0</v>
      </c>
      <c r="AE27" s="68">
        <f t="shared" si="11"/>
        <v>0</v>
      </c>
      <c r="AF27" s="68">
        <f t="shared" si="12"/>
        <v>0</v>
      </c>
      <c r="AG27" s="50"/>
      <c r="AH27" s="50" t="s">
        <v>172</v>
      </c>
      <c r="AI27" s="49" t="str">
        <f>IF(AH27="นิติศาสตร์","K5-LAW","K5-POLICY")</f>
        <v>K5-POLICY</v>
      </c>
      <c r="AJ27" s="72" t="str">
        <f>_xlfn.IFS(B27="","",AND(AI27="K5-LAW",AH27="นิติศาสตร์",K27="S2",U27="",AA27=""),P27,AND(AI27="K5-LAW",AH27="นิติศาสตร์",K27="S1",U27="",AA27=""),EDATE(P27,12),AND(AI27="K5-LAW",AH27="นิติศาสตร์",OR(K27="M2",K27="K4"),U27="",AA27=""),EDATE(P27,12*2),AND(AI27="K5-LAW",AH27="นิติศาสตร์",OR(AA27="M2",AA27="K4"),AD27&gt;=2,OR(AC27&lt;W27,AC27&lt;P27)),EDATE(AC27,12*2),AND(AI27="K5-LAW",AH27="นิติศาสตร์",AA27="S1",AD27&gt;=1,OR(AC27&lt;W27,AC27&lt;P27)),EDATE(AC27,12),AND(AI27="K5-LAW",AH27="นิติศาสตร์",OR(U27="M2",U27="K4"),X27&gt;=2,W27&lt;P27),EDATE(W27,12*2),AND(AI27="K5-LAW",AH27="นิติศาสตร์",U27="S1",X27&gt;=1,W27&lt;P27),EDATE(W27,12),AND(AI27="K5-LAW",AH27="นิติศาสตร์",OR(U27="S2",U27="K5")),W27,AND(AI27="K5-LAW",AH27="นิติศาสตร์",OR(K27="M2",K27="K4"),Q27&gt;=2),EDATE(P27,12*2),AND(AI27="K5-LAW",AH27="นิติศาสตร์",K27="S1",Q27&gt;=1),EDATE(P27,12),AND(AI27="K5-LAW",AH27="นิติศาสตร์",OR(K27="S2",K27="K5")),P27,AND(AI27="K5-POLICY",AH27&lt;&gt;"นิติศาสตร์",K27="S2",U27="",AA27=""),P27,AND(AI27="K5-POLICY",AH27&lt;&gt;"นิติศาสตร์",K27="S1",U27="",AA27=""),EDATE(P27,12),AND(AI27="K5-POLICY",AH27&lt;&gt;"นิติศาสตร์",OR(K27="M2",K27="K4"),U27="",AA27=""),EDATE(P27,12*2),AND(AI27="K5-POLICY",AH27&lt;&gt;"นิติศาสตร์",OR(AA27="M2",AA27="K4"),AD27&gt;=2,OR(AC27&lt;W27,AC27&lt;P27)),EDATE(AC27,12*2),AND(AI27="K5-POLICY",AH27&lt;&gt;"นิติศาสตร์",AA27="S1",AD27&gt;=1,OR(AC27&lt;W27,AC27&lt;P27)),EDATE(AC27,12),AND(AI27="K5-POLICY",AH27&lt;&gt;"นิติศาสตร์",OR(U27="M2",U27="K4"),X27&gt;=2,W27&lt;P27),EDATE(W27,12*2),AND(AI27="K5-POLICY",AH27&lt;&gt;"นิติศาสตร์",U27="S1",X27&gt;=1,W27&lt;P27),EDATE(W27,12),AND(AI27="K5-POLICY",AH27&lt;&gt;"นิติศาสตร์",OR(U27="S2",U27="K5")),W27,AND(AI27="K5-POLICY",AH27&lt;&gt;"นิติศาสตร์",OR(K27="M2",K27="K4"),Q27&gt;=2),EDATE(P27,12*2),AND(AI27="K5-POLICY",AH27&lt;&gt;"นิติศาสตร์",K27="S1",Q27&gt;=1),EDATE(P27,12),AND(AI27="K5-POLICY",AH27&lt;&gt;"นิติศาสตร์",OR(K27="S2",K27="K5")),P27,TRUE,"Check Data")</f>
        <v/>
      </c>
      <c r="AK27" s="75" t="str">
        <f t="shared" si="13"/>
        <v>Check Data</v>
      </c>
      <c r="AL27" s="76" t="str">
        <f t="shared" si="14"/>
        <v>Check Data</v>
      </c>
      <c r="AM27" s="50" t="str">
        <f t="shared" si="15"/>
        <v>Check Data</v>
      </c>
      <c r="AN27" s="49" t="str">
        <f>IF(B27="","",IF(K27="S1","S1",INDEX(#REF!,#REF!)))</f>
        <v/>
      </c>
      <c r="AO27" s="49" t="str">
        <f>K27</f>
        <v>S1</v>
      </c>
      <c r="AP27" s="50" t="b">
        <f>K27=AN27</f>
        <v>0</v>
      </c>
      <c r="AQ27" s="50"/>
    </row>
    <row r="28" spans="1:43" customFormat="1">
      <c r="A28" s="85"/>
      <c r="B28" s="84"/>
      <c r="C28" s="84"/>
      <c r="D28" s="84"/>
      <c r="E28" s="85"/>
      <c r="F28" s="85"/>
      <c r="G28" s="84"/>
      <c r="H28" s="84"/>
      <c r="I28" s="84"/>
      <c r="J28" s="84"/>
      <c r="K28" s="85"/>
      <c r="L28" s="87"/>
      <c r="M28" s="85"/>
      <c r="N28" s="85"/>
      <c r="O28" s="89"/>
      <c r="P28" s="85"/>
      <c r="Q28" s="88"/>
      <c r="R28" s="88"/>
      <c r="S28" s="88"/>
      <c r="T28" s="85"/>
      <c r="U28" s="89"/>
      <c r="V28" s="89"/>
      <c r="W28" s="85"/>
      <c r="X28" s="88"/>
      <c r="Y28" s="88"/>
      <c r="Z28" s="88"/>
      <c r="AA28" s="85"/>
      <c r="AB28" s="89"/>
      <c r="AC28" s="84"/>
      <c r="AD28" s="88"/>
      <c r="AE28" s="88"/>
      <c r="AF28" s="88"/>
      <c r="AG28" s="84"/>
      <c r="AH28" s="84"/>
      <c r="AI28" s="85"/>
      <c r="AJ28" s="102"/>
      <c r="AK28" s="103"/>
      <c r="AL28" s="104"/>
      <c r="AM28" s="84"/>
      <c r="AN28" s="85"/>
      <c r="AO28" s="85"/>
      <c r="AP28" s="84"/>
      <c r="AQ28" s="84"/>
    </row>
    <row r="29" spans="1:43">
      <c r="C29" s="95" t="s">
        <v>534</v>
      </c>
    </row>
    <row r="30" spans="1:43">
      <c r="C30" s="95" t="s">
        <v>533</v>
      </c>
    </row>
  </sheetData>
  <autoFilter ref="A2:AQ27" xr:uid="{00000000-0009-0000-0000-000016000000}"/>
  <printOptions horizontalCentered="1"/>
  <pageMargins left="0.30694444444444402" right="0.30694444444444402" top="0.75138888888888899" bottom="0.75138888888888899" header="0.29861111111111099" footer="0.29861111111111099"/>
  <pageSetup paperSize="9" scale="70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P29"/>
  <sheetViews>
    <sheetView workbookViewId="0">
      <pane xSplit="3" ySplit="2" topLeftCell="AM19" activePane="bottomRight" state="frozen"/>
      <selection pane="topRight"/>
      <selection pane="bottomLeft"/>
      <selection pane="bottomRight" activeCell="AH1" sqref="AH1:AI1048576"/>
    </sheetView>
  </sheetViews>
  <sheetFormatPr defaultColWidth="9" defaultRowHeight="21.75"/>
  <cols>
    <col min="1" max="1" width="9" style="95"/>
    <col min="2" max="2" width="17.625" customWidth="1"/>
    <col min="3" max="3" width="24.625" style="95" customWidth="1"/>
    <col min="4" max="4" width="28" style="95" customWidth="1"/>
    <col min="5" max="5" width="16.5" style="95" customWidth="1"/>
    <col min="6" max="6" width="16.125" customWidth="1"/>
    <col min="7" max="7" width="6.625" style="95" customWidth="1"/>
    <col min="8" max="9" width="9" customWidth="1"/>
    <col min="10" max="10" width="41.25" customWidth="1"/>
    <col min="11" max="11" width="9.625" style="95" customWidth="1"/>
    <col min="12" max="12" width="9.625" customWidth="1"/>
    <col min="13" max="13" width="9" customWidth="1"/>
    <col min="14" max="14" width="21.75" customWidth="1"/>
    <col min="15" max="15" width="13.75" style="95" customWidth="1"/>
    <col min="16" max="16" width="28.5" customWidth="1"/>
    <col min="17" max="17" width="6" style="95" customWidth="1"/>
    <col min="18" max="18" width="6.125" style="95" customWidth="1"/>
    <col min="19" max="19" width="9" customWidth="1"/>
    <col min="20" max="20" width="12.875" style="97" customWidth="1"/>
    <col min="21" max="21" width="13" style="97" customWidth="1"/>
    <col min="22" max="22" width="43.125" customWidth="1"/>
    <col min="23" max="23" width="4.875" style="95" customWidth="1"/>
    <col min="24" max="24" width="6.875" style="95" customWidth="1"/>
    <col min="25" max="25" width="9" customWidth="1"/>
    <col min="26" max="26" width="33.625" customWidth="1"/>
    <col min="27" max="28" width="43.25" customWidth="1"/>
    <col min="29" max="31" width="9" customWidth="1"/>
    <col min="32" max="32" width="17.875" customWidth="1"/>
    <col min="33" max="33" width="12.375" style="95" customWidth="1"/>
    <col min="34" max="34" width="12.75" style="95" customWidth="1"/>
    <col min="35" max="35" width="36.25" customWidth="1"/>
    <col min="36" max="36" width="17.625" style="95" customWidth="1"/>
    <col min="37" max="37" width="20" style="95" customWidth="1"/>
    <col min="38" max="38" width="16.375" style="95" customWidth="1"/>
    <col min="39" max="40" width="24.375" style="95" customWidth="1"/>
    <col min="41" max="41" width="16.375" style="95" customWidth="1"/>
    <col min="42" max="16384" width="9" style="95"/>
  </cols>
  <sheetData>
    <row r="1" spans="1:42">
      <c r="B1" s="44" t="s">
        <v>50</v>
      </c>
      <c r="C1" s="46">
        <v>45828</v>
      </c>
      <c r="D1" s="46"/>
      <c r="E1" s="45"/>
      <c r="F1" s="55"/>
      <c r="J1" s="45" t="s">
        <v>0</v>
      </c>
      <c r="K1" s="62">
        <v>232387</v>
      </c>
      <c r="L1" s="62">
        <f>IF(AND(LEFT(K1,2)="29",MID(K1,4,1)="2"),LEFT(K1,2)&amp;"/"&amp;MID(K1,4,1)&amp;"/"&amp;RIGHT(K1,4)-543,EDATE(K1,-543*12))</f>
        <v>34060</v>
      </c>
      <c r="M1" s="62"/>
      <c r="N1" s="62"/>
      <c r="O1" s="63"/>
      <c r="P1" s="45"/>
      <c r="Q1" s="66"/>
      <c r="R1" s="66"/>
      <c r="S1" s="66"/>
      <c r="T1" s="67"/>
      <c r="U1" s="67"/>
      <c r="W1" s="66"/>
      <c r="X1" s="66"/>
      <c r="Y1" s="66"/>
      <c r="Z1" s="67"/>
      <c r="AA1" s="67"/>
      <c r="AC1" s="66"/>
      <c r="AD1" s="66"/>
      <c r="AE1" s="66"/>
      <c r="AH1" s="55"/>
      <c r="AI1" s="70"/>
      <c r="AJ1" s="84"/>
      <c r="AK1" s="73"/>
    </row>
    <row r="2" spans="1:42" s="96" customFormat="1" ht="65.25">
      <c r="A2" s="98" t="s">
        <v>51</v>
      </c>
      <c r="B2" s="48" t="s">
        <v>52</v>
      </c>
      <c r="C2" s="98" t="s">
        <v>53</v>
      </c>
      <c r="D2" s="98" t="s">
        <v>23</v>
      </c>
      <c r="E2" s="98" t="s">
        <v>469</v>
      </c>
      <c r="F2" s="47" t="s">
        <v>470</v>
      </c>
      <c r="G2" s="99" t="s">
        <v>4</v>
      </c>
      <c r="H2" s="48" t="s">
        <v>5</v>
      </c>
      <c r="I2" s="48" t="s">
        <v>6</v>
      </c>
      <c r="J2" s="47" t="s">
        <v>55</v>
      </c>
      <c r="K2" s="98" t="s">
        <v>56</v>
      </c>
      <c r="L2" s="47" t="s">
        <v>151</v>
      </c>
      <c r="M2" s="47" t="s">
        <v>152</v>
      </c>
      <c r="N2" s="47" t="s">
        <v>150</v>
      </c>
      <c r="O2" s="99" t="s">
        <v>471</v>
      </c>
      <c r="P2" s="47" t="s">
        <v>472</v>
      </c>
      <c r="Q2" s="99" t="s">
        <v>4</v>
      </c>
      <c r="R2" s="99" t="s">
        <v>5</v>
      </c>
      <c r="S2" s="48" t="s">
        <v>6</v>
      </c>
      <c r="T2" s="99" t="s">
        <v>132</v>
      </c>
      <c r="U2" s="99" t="s">
        <v>535</v>
      </c>
      <c r="V2" s="47" t="s">
        <v>474</v>
      </c>
      <c r="W2" s="99" t="s">
        <v>4</v>
      </c>
      <c r="X2" s="99" t="s">
        <v>5</v>
      </c>
      <c r="Y2" s="48" t="s">
        <v>6</v>
      </c>
      <c r="Z2" s="48" t="s">
        <v>133</v>
      </c>
      <c r="AA2" s="48" t="s">
        <v>475</v>
      </c>
      <c r="AB2" s="47" t="s">
        <v>476</v>
      </c>
      <c r="AC2" s="48" t="s">
        <v>4</v>
      </c>
      <c r="AD2" s="48" t="s">
        <v>5</v>
      </c>
      <c r="AE2" s="48" t="s">
        <v>6</v>
      </c>
      <c r="AF2" s="47" t="s">
        <v>61</v>
      </c>
      <c r="AG2" s="98" t="s">
        <v>134</v>
      </c>
      <c r="AH2" s="98" t="s">
        <v>62</v>
      </c>
      <c r="AI2" s="71" t="s">
        <v>477</v>
      </c>
      <c r="AJ2" s="100" t="s">
        <v>478</v>
      </c>
      <c r="AK2" s="101" t="s">
        <v>69</v>
      </c>
      <c r="AL2" s="98" t="s">
        <v>70</v>
      </c>
      <c r="AM2" s="98" t="s">
        <v>479</v>
      </c>
      <c r="AN2" s="98" t="s">
        <v>480</v>
      </c>
      <c r="AO2" s="98" t="s">
        <v>441</v>
      </c>
      <c r="AP2" s="98" t="s">
        <v>440</v>
      </c>
    </row>
    <row r="3" spans="1:42" customFormat="1">
      <c r="A3" s="49">
        <v>1</v>
      </c>
      <c r="B3" s="50"/>
      <c r="C3" s="51"/>
      <c r="D3" s="50" t="s">
        <v>145</v>
      </c>
      <c r="E3" s="49" t="s">
        <v>171</v>
      </c>
      <c r="F3" s="49" t="str">
        <f t="shared" ref="F3:F27" si="0">IF(E3="","",TEXT(EDATE(E3,-543*12),"dd/mm/yyyy"))</f>
        <v>12/05/1984</v>
      </c>
      <c r="G3" s="50">
        <f t="shared" ref="G3:G27" si="1">IF(F3="",0,DATEDIF(F3,$C$1,"Y"))</f>
        <v>41</v>
      </c>
      <c r="H3" s="50">
        <f t="shared" ref="H3:H27" si="2">IF(F3="",0,DATEDIF(F3,$C$1,"YM"))</f>
        <v>1</v>
      </c>
      <c r="I3" s="50">
        <f t="shared" ref="I3:I27" si="3">IF(F3="",0,DATEDIF(F3,$C$1,"MD"))</f>
        <v>8</v>
      </c>
      <c r="J3" s="50" t="s">
        <v>160</v>
      </c>
      <c r="K3" s="49" t="s">
        <v>135</v>
      </c>
      <c r="L3" s="64"/>
      <c r="M3" s="49"/>
      <c r="N3" s="49">
        <v>2569</v>
      </c>
      <c r="O3" s="65" t="s">
        <v>481</v>
      </c>
      <c r="P3" s="49" t="str">
        <f t="shared" ref="P3:P27" si="4">TEXT(EDATE(O3,-543*12),"dd/mm/yyyy")</f>
        <v>20/12/2019</v>
      </c>
      <c r="Q3" s="68">
        <f t="shared" ref="Q3:Q27" si="5">IF(P3="",0,DATEDIF(P3,$C$1,"Y"))</f>
        <v>5</v>
      </c>
      <c r="R3" s="68">
        <f t="shared" ref="R3:R27" si="6">IF(P3="",0,DATEDIF(P3,$C$1,"YM"))</f>
        <v>6</v>
      </c>
      <c r="S3" s="68">
        <f t="shared" ref="S3:S27" si="7">IF(P3="",0,DATEDIF(P3,$C$1,"MD"))</f>
        <v>0</v>
      </c>
      <c r="T3" s="65"/>
      <c r="U3" s="65"/>
      <c r="V3" s="49" t="str">
        <f t="shared" ref="V3:V27" si="8">IF(U3="","",TEXT(EDATE(U3,-543*12),"dd/mm/yyyy"))</f>
        <v/>
      </c>
      <c r="W3" s="68">
        <f>IF(V3="",0,DATEDIF(V3,P3,"Y"))</f>
        <v>0</v>
      </c>
      <c r="X3" s="68">
        <f>IF(V3="",0,DATEDIF(V3,P3,"YM"))</f>
        <v>0</v>
      </c>
      <c r="Y3" s="68">
        <f>IF(V3="",0,DATEDIF(V3,P3,"MD"))</f>
        <v>0</v>
      </c>
      <c r="Z3" s="49"/>
      <c r="AA3" s="65"/>
      <c r="AB3" s="50" t="str">
        <f t="shared" ref="AB3:AB27" si="9">IF(AA3="","",TEXT(EDATE(AA3,-543*12),"dd/mm/yyyy"))</f>
        <v/>
      </c>
      <c r="AC3" s="68">
        <f t="shared" ref="AC3:AC27" si="10">IF(AB3="",0,DATEDIF(AB3,V3,"Y"))</f>
        <v>0</v>
      </c>
      <c r="AD3" s="68">
        <f t="shared" ref="AD3:AD27" si="11">IF(AB3="",0,DATEDIF(AB3,V3,"YM"))</f>
        <v>0</v>
      </c>
      <c r="AE3" s="68">
        <f t="shared" ref="AE3:AE27" si="12">IF(AB3="",0,DATEDIF(AB3,V3,"MD"))</f>
        <v>0</v>
      </c>
      <c r="AF3" s="50"/>
      <c r="AG3" s="50" t="s">
        <v>163</v>
      </c>
      <c r="AH3" s="49" t="str">
        <f>IF(AG3="นิติศาสตร์","K5-LAW","K5-POLICY")</f>
        <v>K5-POLICY</v>
      </c>
      <c r="AI3" s="72" t="str">
        <f>_xlfn.IFS(B3="","",AND(AH3="K5-LAW",AG3="นิติศาสตร์",K3="S2",T3="",Z3=""),P3,AND(AH3="K5-LAW",AG3="นิติศาสตร์",K3="S1",T3="",Z3=""),EDATE(P3,12),AND(AH3="K5-LAW",AG3="นิติศาสตร์",OR(K3="M2",K3="K4"),T3="",Z3=""),EDATE(P3,12*2),AND(AH3="K5-LAW",AG3="นิติศาสตร์",OR(Z3="M2",Z3="K4"),AC3&gt;=2,OR(AB3&lt;V3,AB3&lt;P3)),EDATE(AB3,12*2),AND(AH3="K5-LAW",AG3="นิติศาสตร์",Z3="S1",AC3&gt;=1,OR(AB3&lt;V3,AB3&lt;P3)),EDATE(AB3,12),AND(AH3="K5-LAW",AG3="นิติศาสตร์",OR(T3="M2",T3="K4"),W3&gt;=2,V3&lt;P3),EDATE(V3,12*2),AND(AH3="K5-LAW",AG3="นิติศาสตร์",T3="S1",W3&gt;=1,V3&lt;P3),EDATE(V3,12),AND(AH3="K5-LAW",AG3="นิติศาสตร์",OR(T3="S2",T3="K5")),V3,AND(AH3="K5-LAW",AG3="นิติศาสตร์",OR(K3="M2",K3="K4"),Q3&gt;=2),EDATE(P3,12*2),AND(AH3="K5-LAW",AG3="นิติศาสตร์",K3="S1",Q3&gt;=1),EDATE(P3,12),AND(AH3="K5-LAW",AG3="นิติศาสตร์",OR(K3="S2",K3="K5")),P3,AND(AH3="K5-POLICY",AG3&lt;&gt;"นิติศาสตร์",K3="S2",T3="",Z3=""),P3,AND(AH3="K5-POLICY",AG3&lt;&gt;"นิติศาสตร์",K3="S1",T3="",Z3=""),EDATE(P3,12),AND(AH3="K5-POLICY",AG3&lt;&gt;"นิติศาสตร์",OR(K3="M2",K3="K4"),T3="",Z3=""),EDATE(P3,12*2),AND(AH3="K5-POLICY",AG3&lt;&gt;"นิติศาสตร์",OR(Z3="M2",Z3="K4"),AC3&gt;=2,OR(AB3&lt;V3,AB3&lt;P3)),EDATE(AB3,12*2),AND(AH3="K5-POLICY",AG3&lt;&gt;"นิติศาสตร์",Z3="S1",AC3&gt;=1,OR(AB3&lt;V3,AB3&lt;P3)),EDATE(AB3,12),AND(AH3="K5-POLICY",AG3&lt;&gt;"นิติศาสตร์",OR(T3="M2",T3="K4"),W3&gt;=2,V3&lt;P3),EDATE(V3,12*2),AND(AH3="K5-POLICY",AG3&lt;&gt;"นิติศาสตร์",T3="S1",W3&gt;=1,V3&lt;P3),EDATE(V3,12),AND(AH3="K5-POLICY",AG3&lt;&gt;"นิติศาสตร์",OR(T3="S2",T3="K5")),V3,AND(AH3="K5-POLICY",AG3&lt;&gt;"นิติศาสตร์",OR(K3="M2",K3="K4"),Q3&gt;=2),EDATE(P3,12*2),AND(AH3="K5-POLICY",AG3&lt;&gt;"นิติศาสตร์",K3="S1",Q3&gt;=1),EDATE(P3,12),AND(AH3="K5-POLICY",AG3&lt;&gt;"นิติศาสตร์",OR(K3="S2",K3="K5")),P3,TRUE,"Check Data")</f>
        <v/>
      </c>
      <c r="AJ3" s="75" t="str">
        <f t="shared" ref="AJ3:AJ27" si="13">IFERROR(TEXT(EDATE(AI3,543*12),"dd/mm/yyyy"),"Check Data")</f>
        <v>Check Data</v>
      </c>
      <c r="AK3" s="76" t="str">
        <f t="shared" ref="AK3:AK27" si="14">IFERROR(IF($C$1&gt;AI3,AI3-$C$1,DATEDIF($C$1,AI3,"d")),"Check Data")</f>
        <v>Check Data</v>
      </c>
      <c r="AL3" s="50" t="str">
        <f t="shared" ref="AL3:AL27" si="15">_xlfn.IFS(AK3="Check Data","Check Data",AK3&gt;30,"ยังไม่ถึงเกณฑ์",AK3&gt;0,"ใกล้ถึงเกณฑ์",AK3=0,"ถึงเกณฑ์",AK3&lt;0,"ถึงเกณฑ์นานแล้ว")</f>
        <v>Check Data</v>
      </c>
      <c r="AM3" s="49" t="str">
        <f>IF(B3="","",IF(K3="S1","S1",INDEX(#REF!,#REF!)))</f>
        <v/>
      </c>
      <c r="AN3" s="49" t="str">
        <f>K3</f>
        <v>S1</v>
      </c>
      <c r="AO3" s="50" t="b">
        <f>K3=AM3</f>
        <v>0</v>
      </c>
      <c r="AP3" s="77"/>
    </row>
    <row r="4" spans="1:42" customFormat="1">
      <c r="A4" s="49">
        <v>2</v>
      </c>
      <c r="B4" s="50"/>
      <c r="C4" s="51"/>
      <c r="D4" s="50" t="s">
        <v>139</v>
      </c>
      <c r="E4" s="49" t="s">
        <v>194</v>
      </c>
      <c r="F4" s="49" t="str">
        <f t="shared" si="0"/>
        <v>06/03/1997</v>
      </c>
      <c r="G4" s="50">
        <f t="shared" si="1"/>
        <v>28</v>
      </c>
      <c r="H4" s="50">
        <f t="shared" si="2"/>
        <v>3</v>
      </c>
      <c r="I4" s="50">
        <f t="shared" si="3"/>
        <v>14</v>
      </c>
      <c r="J4" s="50" t="s">
        <v>154</v>
      </c>
      <c r="K4" s="49" t="s">
        <v>135</v>
      </c>
      <c r="L4" s="64"/>
      <c r="M4" s="49"/>
      <c r="N4" s="49">
        <v>2574</v>
      </c>
      <c r="O4" s="65" t="s">
        <v>195</v>
      </c>
      <c r="P4" s="49" t="str">
        <f t="shared" si="4"/>
        <v>24/02/2020</v>
      </c>
      <c r="Q4" s="68">
        <f t="shared" si="5"/>
        <v>5</v>
      </c>
      <c r="R4" s="68">
        <f t="shared" si="6"/>
        <v>3</v>
      </c>
      <c r="S4" s="68">
        <f t="shared" si="7"/>
        <v>27</v>
      </c>
      <c r="T4" s="65"/>
      <c r="U4" s="65"/>
      <c r="V4" s="49" t="str">
        <f t="shared" si="8"/>
        <v/>
      </c>
      <c r="W4" s="68">
        <f>IF(V4="",0,DATEDIF(V4,P4,"Y"))</f>
        <v>0</v>
      </c>
      <c r="X4" s="68">
        <f>IF(V4="",0,DATEDIF(V4,P4,"YM"))</f>
        <v>0</v>
      </c>
      <c r="Y4" s="68">
        <f>IF(V4="",0,DATEDIF(V4,P4,"MD"))</f>
        <v>0</v>
      </c>
      <c r="Z4" s="49"/>
      <c r="AA4" s="65"/>
      <c r="AB4" s="50" t="str">
        <f t="shared" si="9"/>
        <v/>
      </c>
      <c r="AC4" s="68">
        <f t="shared" si="10"/>
        <v>0</v>
      </c>
      <c r="AD4" s="68">
        <f t="shared" si="11"/>
        <v>0</v>
      </c>
      <c r="AE4" s="68">
        <f t="shared" si="12"/>
        <v>0</v>
      </c>
      <c r="AF4" s="50"/>
      <c r="AG4" s="50" t="s">
        <v>482</v>
      </c>
      <c r="AH4" s="49" t="str">
        <f>IF(AG4="นิติศาสตร์","K5-LAW","K5-POLICY")</f>
        <v>K5-POLICY</v>
      </c>
      <c r="AI4" s="72" t="str">
        <f>_xlfn.IFS(B4="","",AND(AH4="K5-LAW",AG4="นิติศาสตร์",K4="S2",T4="",Z4=""),P4,AND(AH4="K5-LAW",AG4="นิติศาสตร์",K4="S1",T4="",Z4=""),EDATE(P4,12),AND(AH4="K5-LAW",AG4="นิติศาสตร์",OR(K4="M2",K4="K4"),T4="",Z4=""),EDATE(P4,12*2),AND(AH4="K5-LAW",AG4="นิติศาสตร์",OR(Z4="M2",Z4="K4"),AC4&gt;=2,OR(AB4&lt;V4,AB4&lt;P4)),EDATE(AB4,12*2),AND(AH4="K5-LAW",AG4="นิติศาสตร์",Z4="S1",AC4&gt;=1,OR(AB4&lt;V4,AB4&lt;P4)),EDATE(AB4,12),AND(AH4="K5-LAW",AG4="นิติศาสตร์",OR(T4="M2",T4="K4"),W4&gt;=2,V4&lt;P4),EDATE(V4,12*2),AND(AH4="K5-LAW",AG4="นิติศาสตร์",T4="S1",W4&gt;=1,V4&lt;P4),EDATE(V4,12),AND(AH4="K5-LAW",AG4="นิติศาสตร์",OR(T4="S2",T4="K5")),V4,AND(AH4="K5-LAW",AG4="นิติศาสตร์",OR(K4="M2",K4="K4"),Q4&gt;=2),EDATE(P4,12*2),AND(AH4="K5-LAW",AG4="นิติศาสตร์",K4="S1",Q4&gt;=1),EDATE(P4,12),AND(AH4="K5-LAW",AG4="นิติศาสตร์",OR(K4="S2",K4="K5")),P4,AND(AH4="K5-POLICY",AG4&lt;&gt;"นิติศาสตร์",K4="S2",T4="",Z4=""),P4,AND(AH4="K5-POLICY",AG4&lt;&gt;"นิติศาสตร์",K4="S1",T4="",Z4=""),EDATE(P4,12),AND(AH4="K5-POLICY",AG4&lt;&gt;"นิติศาสตร์",OR(K4="M2",K4="K4"),T4="",Z4=""),EDATE(P4,12*2),AND(AH4="K5-POLICY",AG4&lt;&gt;"นิติศาสตร์",OR(Z4="M2",Z4="K4"),AC4&gt;=2,OR(AB4&lt;V4,AB4&lt;P4)),EDATE(AB4,12*2),AND(AH4="K5-POLICY",AG4&lt;&gt;"นิติศาสตร์",Z4="S1",AC4&gt;=1,OR(AB4&lt;V4,AB4&lt;P4)),EDATE(AB4,12),AND(AH4="K5-POLICY",AG4&lt;&gt;"นิติศาสตร์",OR(T4="M2",T4="K4"),W4&gt;=2,V4&lt;P4),EDATE(V4,12*2),AND(AH4="K5-POLICY",AG4&lt;&gt;"นิติศาสตร์",T4="S1",W4&gt;=1,V4&lt;P4),EDATE(V4,12),AND(AH4="K5-POLICY",AG4&lt;&gt;"นิติศาสตร์",OR(T4="S2",T4="K5")),V4,AND(AH4="K5-POLICY",AG4&lt;&gt;"นิติศาสตร์",OR(K4="M2",K4="K4"),Q4&gt;=2),EDATE(P4,12*2),AND(AH4="K5-POLICY",AG4&lt;&gt;"นิติศาสตร์",K4="S1",Q4&gt;=1),EDATE(P4,12),AND(AH4="K5-POLICY",AG4&lt;&gt;"นิติศาสตร์",OR(K4="S2",K4="K5")),P4,TRUE,"Check Data")</f>
        <v/>
      </c>
      <c r="AJ4" s="75" t="str">
        <f t="shared" si="13"/>
        <v>Check Data</v>
      </c>
      <c r="AK4" s="76" t="str">
        <f t="shared" si="14"/>
        <v>Check Data</v>
      </c>
      <c r="AL4" s="50" t="str">
        <f t="shared" si="15"/>
        <v>Check Data</v>
      </c>
      <c r="AM4" s="49" t="str">
        <f>IF(B4="","",IF(K4="S1","S1",INDEX(#REF!,#REF!)))</f>
        <v/>
      </c>
      <c r="AN4" s="49" t="str">
        <f>K4</f>
        <v>S1</v>
      </c>
      <c r="AO4" s="50" t="b">
        <f>K4=AM4</f>
        <v>0</v>
      </c>
      <c r="AP4" s="77"/>
    </row>
    <row r="5" spans="1:42" customFormat="1">
      <c r="A5" s="49">
        <v>3</v>
      </c>
      <c r="B5" s="50"/>
      <c r="C5" s="51"/>
      <c r="D5" s="50" t="s">
        <v>146</v>
      </c>
      <c r="E5" s="49" t="s">
        <v>483</v>
      </c>
      <c r="F5" s="49" t="str">
        <f t="shared" si="0"/>
        <v>01/04/1994</v>
      </c>
      <c r="G5" s="50">
        <f t="shared" si="1"/>
        <v>31</v>
      </c>
      <c r="H5" s="50">
        <f t="shared" si="2"/>
        <v>2</v>
      </c>
      <c r="I5" s="50">
        <f t="shared" si="3"/>
        <v>19</v>
      </c>
      <c r="J5" s="50" t="s">
        <v>161</v>
      </c>
      <c r="K5" s="49" t="s">
        <v>135</v>
      </c>
      <c r="L5" s="64"/>
      <c r="M5" s="49" t="s">
        <v>423</v>
      </c>
      <c r="N5" s="49">
        <v>2575</v>
      </c>
      <c r="O5" s="65" t="s">
        <v>198</v>
      </c>
      <c r="P5" s="49" t="str">
        <f t="shared" si="4"/>
        <v>22/09/2020</v>
      </c>
      <c r="Q5" s="68">
        <f t="shared" si="5"/>
        <v>4</v>
      </c>
      <c r="R5" s="68">
        <f t="shared" si="6"/>
        <v>8</v>
      </c>
      <c r="S5" s="68">
        <f t="shared" si="7"/>
        <v>29</v>
      </c>
      <c r="T5" s="65"/>
      <c r="U5" s="65"/>
      <c r="V5" s="49" t="str">
        <f t="shared" si="8"/>
        <v/>
      </c>
      <c r="W5" s="68">
        <f>IF(V5="",0,DATEDIF(V5,P5,"Y"))</f>
        <v>0</v>
      </c>
      <c r="X5" s="68">
        <f>IF(V5="",0,DATEDIF(V5,P5,"YM"))</f>
        <v>0</v>
      </c>
      <c r="Y5" s="68">
        <f>IF(V5="",0,DATEDIF(V5,P5,"MD"))</f>
        <v>0</v>
      </c>
      <c r="Z5" s="49"/>
      <c r="AA5" s="65"/>
      <c r="AB5" s="50" t="str">
        <f t="shared" si="9"/>
        <v/>
      </c>
      <c r="AC5" s="68">
        <f t="shared" si="10"/>
        <v>0</v>
      </c>
      <c r="AD5" s="68">
        <f t="shared" si="11"/>
        <v>0</v>
      </c>
      <c r="AE5" s="68">
        <f t="shared" si="12"/>
        <v>0</v>
      </c>
      <c r="AF5" s="50"/>
      <c r="AG5" s="50" t="s">
        <v>175</v>
      </c>
      <c r="AH5" s="49" t="str">
        <f>IF(AG5="นิติศาสตร์","K5-LAW","K5-POLICY")</f>
        <v>K5-POLICY</v>
      </c>
      <c r="AI5" s="72" t="str">
        <f>_xlfn.IFS(B5="","",AND(AH5="K5-LAW",AG5="นิติศาสตร์",K5="S2",T5="",Z5=""),P5,AND(AH5="K5-LAW",AG5="นิติศาสตร์",K5="S1",T5="",Z5=""),EDATE(P5,12),AND(AH5="K5-LAW",AG5="นิติศาสตร์",OR(K5="M2",K5="K4"),T5="",Z5=""),EDATE(P5,12*2),AND(AH5="K5-LAW",AG5="นิติศาสตร์",OR(Z5="M2",Z5="K4"),AC5&gt;=2,OR(AB5&lt;V5,AB5&lt;P5)),EDATE(AB5,12*2),AND(AH5="K5-LAW",AG5="นิติศาสตร์",Z5="S1",AC5&gt;=1,OR(AB5&lt;V5,AB5&lt;P5)),EDATE(AB5,12),AND(AH5="K5-LAW",AG5="นิติศาสตร์",OR(T5="M2",T5="K4"),W5&gt;=2,V5&lt;P5),EDATE(V5,12*2),AND(AH5="K5-LAW",AG5="นิติศาสตร์",T5="S1",W5&gt;=1,V5&lt;P5),EDATE(V5,12),AND(AH5="K5-LAW",AG5="นิติศาสตร์",OR(T5="S2",T5="K5")),V5,AND(AH5="K5-LAW",AG5="นิติศาสตร์",OR(K5="M2",K5="K4"),Q5&gt;=2),EDATE(P5,12*2),AND(AH5="K5-LAW",AG5="นิติศาสตร์",K5="S1",Q5&gt;=1),EDATE(P5,12),AND(AH5="K5-LAW",AG5="นิติศาสตร์",OR(K5="S2",K5="K5")),P5,AND(AH5="K5-POLICY",AG5&lt;&gt;"นิติศาสตร์",K5="S2",T5="",Z5=""),P5,AND(AH5="K5-POLICY",AG5&lt;&gt;"นิติศาสตร์",K5="S1",T5="",Z5=""),EDATE(P5,12),AND(AH5="K5-POLICY",AG5&lt;&gt;"นิติศาสตร์",OR(K5="M2",K5="K4"),T5="",Z5=""),EDATE(P5,12*2),AND(AH5="K5-POLICY",AG5&lt;&gt;"นิติศาสตร์",OR(Z5="M2",Z5="K4"),AC5&gt;=2,OR(AB5&lt;V5,AB5&lt;P5)),EDATE(AB5,12*2),AND(AH5="K5-POLICY",AG5&lt;&gt;"นิติศาสตร์",Z5="S1",AC5&gt;=1,OR(AB5&lt;V5,AB5&lt;P5)),EDATE(AB5,12),AND(AH5="K5-POLICY",AG5&lt;&gt;"นิติศาสตร์",OR(T5="M2",T5="K4"),W5&gt;=2,V5&lt;P5),EDATE(V5,12*2),AND(AH5="K5-POLICY",AG5&lt;&gt;"นิติศาสตร์",T5="S1",W5&gt;=1,V5&lt;P5),EDATE(V5,12),AND(AH5="K5-POLICY",AG5&lt;&gt;"นิติศาสตร์",OR(T5="S2",T5="K5")),V5,AND(AH5="K5-POLICY",AG5&lt;&gt;"นิติศาสตร์",OR(K5="M2",K5="K4"),Q5&gt;=2),EDATE(P5,12*2),AND(AH5="K5-POLICY",AG5&lt;&gt;"นิติศาสตร์",K5="S1",Q5&gt;=1),EDATE(P5,12),AND(AH5="K5-POLICY",AG5&lt;&gt;"นิติศาสตร์",OR(K5="S2",K5="K5")),P5,TRUE,"Check Data")</f>
        <v/>
      </c>
      <c r="AJ5" s="75" t="str">
        <f t="shared" si="13"/>
        <v>Check Data</v>
      </c>
      <c r="AK5" s="76" t="str">
        <f t="shared" si="14"/>
        <v>Check Data</v>
      </c>
      <c r="AL5" s="50" t="str">
        <f t="shared" si="15"/>
        <v>Check Data</v>
      </c>
      <c r="AM5" s="49" t="str">
        <f>IF(B5="","",IF(K5="S1","S1",INDEX(#REF!,#REF!)))</f>
        <v/>
      </c>
      <c r="AN5" s="49" t="str">
        <f>K5</f>
        <v>S1</v>
      </c>
      <c r="AO5" s="50" t="b">
        <f>K5=AM5</f>
        <v>0</v>
      </c>
      <c r="AP5" s="77"/>
    </row>
    <row r="6" spans="1:42" customFormat="1">
      <c r="A6" s="49">
        <v>4</v>
      </c>
      <c r="B6" s="50"/>
      <c r="C6" s="51"/>
      <c r="D6" s="50" t="s">
        <v>143</v>
      </c>
      <c r="E6" s="49" t="s">
        <v>199</v>
      </c>
      <c r="F6" s="49" t="str">
        <f t="shared" si="0"/>
        <v>08/05/1983</v>
      </c>
      <c r="G6" s="50">
        <f t="shared" si="1"/>
        <v>42</v>
      </c>
      <c r="H6" s="50">
        <f t="shared" si="2"/>
        <v>1</v>
      </c>
      <c r="I6" s="50">
        <f t="shared" si="3"/>
        <v>12</v>
      </c>
      <c r="J6" s="50" t="s">
        <v>158</v>
      </c>
      <c r="K6" s="49" t="s">
        <v>135</v>
      </c>
      <c r="L6" s="64"/>
      <c r="M6" s="49"/>
      <c r="N6" s="49">
        <v>2568</v>
      </c>
      <c r="O6" s="65" t="s">
        <v>200</v>
      </c>
      <c r="P6" s="49" t="str">
        <f t="shared" si="4"/>
        <v>09/03/2021</v>
      </c>
      <c r="Q6" s="68">
        <f t="shared" si="5"/>
        <v>4</v>
      </c>
      <c r="R6" s="68">
        <f t="shared" si="6"/>
        <v>3</v>
      </c>
      <c r="S6" s="68">
        <f t="shared" si="7"/>
        <v>11</v>
      </c>
      <c r="T6" s="65"/>
      <c r="U6" s="65"/>
      <c r="V6" s="49" t="str">
        <f t="shared" si="8"/>
        <v/>
      </c>
      <c r="W6" s="68">
        <f>IF(V6="",0,DATEDIF(V6,P6,"Y"))</f>
        <v>0</v>
      </c>
      <c r="X6" s="68">
        <f>IF(V6="",0,DATEDIF(V6,P6,"YM"))</f>
        <v>0</v>
      </c>
      <c r="Y6" s="68">
        <f>IF(V6="",0,DATEDIF(V6,P6,"MD"))</f>
        <v>0</v>
      </c>
      <c r="Z6" s="49"/>
      <c r="AA6" s="65"/>
      <c r="AB6" s="50" t="str">
        <f t="shared" si="9"/>
        <v/>
      </c>
      <c r="AC6" s="68">
        <f t="shared" si="10"/>
        <v>0</v>
      </c>
      <c r="AD6" s="68">
        <f t="shared" si="11"/>
        <v>0</v>
      </c>
      <c r="AE6" s="68">
        <f t="shared" si="12"/>
        <v>0</v>
      </c>
      <c r="AF6" s="50"/>
      <c r="AG6" s="50" t="s">
        <v>484</v>
      </c>
      <c r="AH6" s="49" t="str">
        <f>IF(AG6="นิติศาสตร์","K5-LAW","K5-POLICY")</f>
        <v>K5-POLICY</v>
      </c>
      <c r="AI6" s="72" t="str">
        <f>_xlfn.IFS(B6="","",AND(AH6="K5-LAW",AG6="นิติศาสตร์",K6="S2",T6="",Z6=""),P6,AND(AH6="K5-LAW",AG6="นิติศาสตร์",K6="S1",T6="",Z6=""),EDATE(P6,12),AND(AH6="K5-LAW",AG6="นิติศาสตร์",OR(K6="M2",K6="K4"),T6="",Z6=""),EDATE(P6,12*2),AND(AH6="K5-LAW",AG6="นิติศาสตร์",OR(Z6="M2",Z6="K4"),AC6&gt;=2,OR(AB6&lt;V6,AB6&lt;P6)),EDATE(AB6,12*2),AND(AH6="K5-LAW",AG6="นิติศาสตร์",Z6="S1",AC6&gt;=1,OR(AB6&lt;V6,AB6&lt;P6)),EDATE(AB6,12),AND(AH6="K5-LAW",AG6="นิติศาสตร์",OR(T6="M2",T6="K4"),W6&gt;=2,V6&lt;P6),EDATE(V6,12*2),AND(AH6="K5-LAW",AG6="นิติศาสตร์",T6="S1",W6&gt;=1,V6&lt;P6),EDATE(V6,12),AND(AH6="K5-LAW",AG6="นิติศาสตร์",OR(T6="S2",T6="K5")),V6,AND(AH6="K5-LAW",AG6="นิติศาสตร์",OR(K6="M2",K6="K4"),Q6&gt;=2),EDATE(P6,12*2),AND(AH6="K5-LAW",AG6="นิติศาสตร์",K6="S1",Q6&gt;=1),EDATE(P6,12),AND(AH6="K5-LAW",AG6="นิติศาสตร์",OR(K6="S2",K6="K5")),P6,AND(AH6="K5-POLICY",AG6&lt;&gt;"นิติศาสตร์",K6="S2",T6="",Z6=""),P6,AND(AH6="K5-POLICY",AG6&lt;&gt;"นิติศาสตร์",K6="S1",T6="",Z6=""),EDATE(P6,12),AND(AH6="K5-POLICY",AG6&lt;&gt;"นิติศาสตร์",OR(K6="M2",K6="K4"),T6="",Z6=""),EDATE(P6,12*2),AND(AH6="K5-POLICY",AG6&lt;&gt;"นิติศาสตร์",OR(Z6="M2",Z6="K4"),AC6&gt;=2,OR(AB6&lt;V6,AB6&lt;P6)),EDATE(AB6,12*2),AND(AH6="K5-POLICY",AG6&lt;&gt;"นิติศาสตร์",Z6="S1",AC6&gt;=1,OR(AB6&lt;V6,AB6&lt;P6)),EDATE(AB6,12),AND(AH6="K5-POLICY",AG6&lt;&gt;"นิติศาสตร์",OR(T6="M2",T6="K4"),W6&gt;=2,V6&lt;P6),EDATE(V6,12*2),AND(AH6="K5-POLICY",AG6&lt;&gt;"นิติศาสตร์",T6="S1",W6&gt;=1,V6&lt;P6),EDATE(V6,12),AND(AH6="K5-POLICY",AG6&lt;&gt;"นิติศาสตร์",OR(T6="S2",T6="K5")),V6,AND(AH6="K5-POLICY",AG6&lt;&gt;"นิติศาสตร์",OR(K6="M2",K6="K4"),Q6&gt;=2),EDATE(P6,12*2),AND(AH6="K5-POLICY",AG6&lt;&gt;"นิติศาสตร์",K6="S1",Q6&gt;=1),EDATE(P6,12),AND(AH6="K5-POLICY",AG6&lt;&gt;"นิติศาสตร์",OR(K6="S2",K6="K5")),P6,TRUE,"Check Data")</f>
        <v/>
      </c>
      <c r="AJ6" s="75" t="str">
        <f t="shared" si="13"/>
        <v>Check Data</v>
      </c>
      <c r="AK6" s="76" t="str">
        <f t="shared" si="14"/>
        <v>Check Data</v>
      </c>
      <c r="AL6" s="50" t="str">
        <f t="shared" si="15"/>
        <v>Check Data</v>
      </c>
      <c r="AM6" s="49" t="str">
        <f>IF(B6="","",IF(K6="S1","S1",INDEX(#REF!,#REF!)))</f>
        <v/>
      </c>
      <c r="AN6" s="49" t="str">
        <f>K6</f>
        <v>S1</v>
      </c>
      <c r="AO6" s="50" t="b">
        <f>K6=AM6</f>
        <v>0</v>
      </c>
      <c r="AP6" s="77"/>
    </row>
    <row r="7" spans="1:42">
      <c r="A7" s="49">
        <v>1</v>
      </c>
      <c r="B7" s="50"/>
      <c r="C7" s="50"/>
      <c r="D7" s="50" t="s">
        <v>142</v>
      </c>
      <c r="E7" s="49" t="s">
        <v>180</v>
      </c>
      <c r="F7" s="49" t="str">
        <f t="shared" si="0"/>
        <v>10/11/1995</v>
      </c>
      <c r="G7" s="50">
        <f t="shared" si="1"/>
        <v>29</v>
      </c>
      <c r="H7" s="50">
        <f t="shared" si="2"/>
        <v>7</v>
      </c>
      <c r="I7" s="50">
        <f t="shared" si="3"/>
        <v>10</v>
      </c>
      <c r="J7" s="50" t="s">
        <v>485</v>
      </c>
      <c r="K7" s="49" t="s">
        <v>135</v>
      </c>
      <c r="L7" s="64"/>
      <c r="M7" s="49"/>
      <c r="N7" s="49">
        <v>2572</v>
      </c>
      <c r="O7" s="65" t="s">
        <v>181</v>
      </c>
      <c r="P7" s="49" t="str">
        <f t="shared" si="4"/>
        <v>17/11/2021</v>
      </c>
      <c r="Q7" s="68">
        <f t="shared" si="5"/>
        <v>3</v>
      </c>
      <c r="R7" s="68">
        <f t="shared" si="6"/>
        <v>7</v>
      </c>
      <c r="S7" s="68">
        <f t="shared" si="7"/>
        <v>3</v>
      </c>
      <c r="T7" s="65"/>
      <c r="U7" s="65"/>
      <c r="V7" s="49" t="str">
        <f t="shared" si="8"/>
        <v/>
      </c>
      <c r="W7" s="68">
        <f>IF(V7="",0,DATEDIF(V7,P7,"Y"))</f>
        <v>0</v>
      </c>
      <c r="X7" s="68">
        <f>IF(V7="",0,DATEDIF(V7,P7,"YM"))</f>
        <v>0</v>
      </c>
      <c r="Y7" s="68">
        <f>IF(V7="",0,DATEDIF(V7,P7,"MD"))</f>
        <v>0</v>
      </c>
      <c r="Z7" s="69"/>
      <c r="AA7" s="65"/>
      <c r="AB7" s="50" t="str">
        <f t="shared" si="9"/>
        <v/>
      </c>
      <c r="AC7" s="68">
        <f t="shared" si="10"/>
        <v>0</v>
      </c>
      <c r="AD7" s="68">
        <f t="shared" si="11"/>
        <v>0</v>
      </c>
      <c r="AE7" s="68">
        <f t="shared" si="12"/>
        <v>0</v>
      </c>
      <c r="AF7" s="50"/>
      <c r="AG7" s="50" t="s">
        <v>138</v>
      </c>
      <c r="AH7" s="49" t="str">
        <f>IF(AG7="นิติศาสตร์","K5-LAW","K5-POLICY")</f>
        <v>K5-LAW</v>
      </c>
      <c r="AI7" s="72" t="str">
        <f>_xlfn.IFS(B7="","",AND(AH7="K5-LAW",AG7="นิติศาสตร์",K7="S2",T7="",Z7=""),P7,AND(AH7="K5-LAW",AG7="นิติศาสตร์",K7="S1",T7="",Z7=""),EDATE(P7,12),AND(AH7="K5-LAW",AG7="นิติศาสตร์",OR(K7="M2",K7="K4"),T7="",Z7=""),EDATE(P7,12*2),AND(AH7="K5-LAW",AG7="นิติศาสตร์",OR(Z7="M2",Z7="K4"),AC7&gt;=2,OR(AB7&lt;V7,AB7&lt;P7)),EDATE(AB7,12*2),AND(AH7="K5-LAW",AG7="นิติศาสตร์",Z7="S1",AC7&gt;=1,OR(AB7&lt;V7,AB7&lt;P7)),EDATE(AB7,12),AND(AH7="K5-LAW",AG7="นิติศาสตร์",OR(T7="M2",T7="K4"),W7&gt;=2,V7&lt;P7),EDATE(V7,12*2),AND(AH7="K5-LAW",AG7="นิติศาสตร์",T7="S1",W7&gt;=1,V7&lt;P7),EDATE(V7,12),AND(AH7="K5-LAW",AG7="นิติศาสตร์",OR(T7="S2",T7="K5")),V7,AND(AH7="K5-LAW",AG7="นิติศาสตร์",OR(K7="M2",K7="K4"),Q7&gt;=2),EDATE(P7,12*2),AND(AH7="K5-LAW",AG7="นิติศาสตร์",K7="S1",Q7&gt;=1),EDATE(P7,12),AND(AH7="K5-LAW",AG7="นิติศาสตร์",OR(K7="S2",K7="K5")),P7,AND(AH7="K5-POLICY",AG7&lt;&gt;"นิติศาสตร์",K7="S2",T7="",Z7=""),P7,AND(AH7="K5-POLICY",AG7&lt;&gt;"นิติศาสตร์",K7="S1",T7="",Z7=""),EDATE(P7,12),AND(AH7="K5-POLICY",AG7&lt;&gt;"นิติศาสตร์",OR(K7="M2",K7="K4"),T7="",Z7=""),EDATE(P7,12*2),AND(AH7="K5-POLICY",AG7&lt;&gt;"นิติศาสตร์",OR(Z7="M2",Z7="K4"),AC7&gt;=2,OR(AB7&lt;V7,AB7&lt;P7)),EDATE(AB7,12*2),AND(AH7="K5-POLICY",AG7&lt;&gt;"นิติศาสตร์",Z7="S1",AC7&gt;=1,OR(AB7&lt;V7,AB7&lt;P7)),EDATE(AB7,12),AND(AH7="K5-POLICY",AG7&lt;&gt;"นิติศาสตร์",OR(T7="M2",T7="K4"),W7&gt;=2,V7&lt;P7),EDATE(V7,12*2),AND(AH7="K5-POLICY",AG7&lt;&gt;"นิติศาสตร์",T7="S1",W7&gt;=1,V7&lt;P7),EDATE(V7,12),AND(AH7="K5-POLICY",AG7&lt;&gt;"นิติศาสตร์",OR(T7="S2",T7="K5")),V7,AND(AH7="K5-POLICY",AG7&lt;&gt;"นิติศาสตร์",OR(K7="M2",K7="K4"),Q7&gt;=2),EDATE(P7,12*2),AND(AH7="K5-POLICY",AG7&lt;&gt;"นิติศาสตร์",K7="S1",Q7&gt;=1),EDATE(P7,12),AND(AH7="K5-POLICY",AG7&lt;&gt;"นิติศาสตร์",OR(K7="S2",K7="K5")),P7,TRUE,"Check Data")</f>
        <v/>
      </c>
      <c r="AJ7" s="75" t="str">
        <f t="shared" si="13"/>
        <v>Check Data</v>
      </c>
      <c r="AK7" s="76" t="str">
        <f t="shared" si="14"/>
        <v>Check Data</v>
      </c>
      <c r="AL7" s="50" t="str">
        <f t="shared" si="15"/>
        <v>Check Data</v>
      </c>
      <c r="AM7" s="49" t="str">
        <f>IF(B7="","",IF(K7="S1","S1",INDEX(#REF!,#REF!)))</f>
        <v/>
      </c>
      <c r="AN7" s="49" t="str">
        <f>K7</f>
        <v>S1</v>
      </c>
      <c r="AO7" s="50" t="b">
        <f>K7=AM7</f>
        <v>0</v>
      </c>
      <c r="AP7" s="50"/>
    </row>
    <row r="8" spans="1:42" customFormat="1">
      <c r="A8" s="49">
        <v>6</v>
      </c>
      <c r="B8" s="50"/>
      <c r="C8" s="51"/>
      <c r="D8" s="50" t="s">
        <v>142</v>
      </c>
      <c r="E8" s="49" t="s">
        <v>188</v>
      </c>
      <c r="F8" s="49" t="str">
        <f t="shared" si="0"/>
        <v>23/12/1991</v>
      </c>
      <c r="G8" s="50">
        <f t="shared" si="1"/>
        <v>33</v>
      </c>
      <c r="H8" s="50">
        <f t="shared" si="2"/>
        <v>5</v>
      </c>
      <c r="I8" s="50">
        <f t="shared" si="3"/>
        <v>28</v>
      </c>
      <c r="J8" s="50" t="s">
        <v>157</v>
      </c>
      <c r="K8" s="49" t="s">
        <v>135</v>
      </c>
      <c r="L8" s="64"/>
      <c r="M8" s="49" t="s">
        <v>425</v>
      </c>
      <c r="N8" s="49">
        <v>2572</v>
      </c>
      <c r="O8" s="65" t="s">
        <v>181</v>
      </c>
      <c r="P8" s="49" t="str">
        <f t="shared" si="4"/>
        <v>17/11/2021</v>
      </c>
      <c r="Q8" s="68">
        <f t="shared" si="5"/>
        <v>3</v>
      </c>
      <c r="R8" s="68">
        <f t="shared" si="6"/>
        <v>7</v>
      </c>
      <c r="S8" s="68">
        <f t="shared" si="7"/>
        <v>3</v>
      </c>
      <c r="T8" s="65"/>
      <c r="U8" s="65"/>
      <c r="V8" s="49" t="str">
        <f t="shared" si="8"/>
        <v/>
      </c>
      <c r="W8" s="68">
        <f>IF(V8="",0,DATEDIF(V8,P8,"Y"))</f>
        <v>0</v>
      </c>
      <c r="X8" s="68">
        <f>IF(V8="",0,DATEDIF(V8,P8,"YM"))</f>
        <v>0</v>
      </c>
      <c r="Y8" s="68">
        <f>IF(V8="",0,DATEDIF(V8,P8,"MD"))</f>
        <v>0</v>
      </c>
      <c r="Z8" s="49"/>
      <c r="AA8" s="65"/>
      <c r="AB8" s="50" t="str">
        <f t="shared" si="9"/>
        <v/>
      </c>
      <c r="AC8" s="68">
        <f t="shared" si="10"/>
        <v>0</v>
      </c>
      <c r="AD8" s="68">
        <f t="shared" si="11"/>
        <v>0</v>
      </c>
      <c r="AE8" s="68">
        <f t="shared" si="12"/>
        <v>0</v>
      </c>
      <c r="AF8" s="50"/>
      <c r="AG8" s="50" t="s">
        <v>486</v>
      </c>
      <c r="AH8" s="49" t="str">
        <f>IF(AG8="นิติศาสตร์","K5-LAW","K5-POLICY")</f>
        <v>K5-POLICY</v>
      </c>
      <c r="AI8" s="72" t="str">
        <f>_xlfn.IFS(B8="","",AND(AH8="K5-LAW",AG8="นิติศาสตร์",K8="S2",T8="",Z8=""),P8,AND(AH8="K5-LAW",AG8="นิติศาสตร์",K8="S1",T8="",Z8=""),EDATE(P8,12),AND(AH8="K5-LAW",AG8="นิติศาสตร์",OR(K8="M2",K8="K4"),T8="",Z8=""),EDATE(P8,12*2),AND(AH8="K5-LAW",AG8="นิติศาสตร์",OR(Z8="M2",Z8="K4"),AC8&gt;=2,OR(AB8&lt;V8,AB8&lt;P8)),EDATE(AB8,12*2),AND(AH8="K5-LAW",AG8="นิติศาสตร์",Z8="S1",AC8&gt;=1,OR(AB8&lt;V8,AB8&lt;P8)),EDATE(AB8,12),AND(AH8="K5-LAW",AG8="นิติศาสตร์",OR(T8="M2",T8="K4"),W8&gt;=2,V8&lt;P8),EDATE(V8,12*2),AND(AH8="K5-LAW",AG8="นิติศาสตร์",T8="S1",W8&gt;=1,V8&lt;P8),EDATE(V8,12),AND(AH8="K5-LAW",AG8="นิติศาสตร์",OR(T8="S2",T8="K5")),V8,AND(AH8="K5-LAW",AG8="นิติศาสตร์",OR(K8="M2",K8="K4"),Q8&gt;=2),EDATE(P8,12*2),AND(AH8="K5-LAW",AG8="นิติศาสตร์",K8="S1",Q8&gt;=1),EDATE(P8,12),AND(AH8="K5-LAW",AG8="นิติศาสตร์",OR(K8="S2",K8="K5")),P8,AND(AH8="K5-POLICY",AG8&lt;&gt;"นิติศาสตร์",K8="S2",T8="",Z8=""),P8,AND(AH8="K5-POLICY",AG8&lt;&gt;"นิติศาสตร์",K8="S1",T8="",Z8=""),EDATE(P8,12),AND(AH8="K5-POLICY",AG8&lt;&gt;"นิติศาสตร์",OR(K8="M2",K8="K4"),T8="",Z8=""),EDATE(P8,12*2),AND(AH8="K5-POLICY",AG8&lt;&gt;"นิติศาสตร์",OR(Z8="M2",Z8="K4"),AC8&gt;=2,OR(AB8&lt;V8,AB8&lt;P8)),EDATE(AB8,12*2),AND(AH8="K5-POLICY",AG8&lt;&gt;"นิติศาสตร์",Z8="S1",AC8&gt;=1,OR(AB8&lt;V8,AB8&lt;P8)),EDATE(AB8,12),AND(AH8="K5-POLICY",AG8&lt;&gt;"นิติศาสตร์",OR(T8="M2",T8="K4"),W8&gt;=2,V8&lt;P8),EDATE(V8,12*2),AND(AH8="K5-POLICY",AG8&lt;&gt;"นิติศาสตร์",T8="S1",W8&gt;=1,V8&lt;P8),EDATE(V8,12),AND(AH8="K5-POLICY",AG8&lt;&gt;"นิติศาสตร์",OR(T8="S2",T8="K5")),V8,AND(AH8="K5-POLICY",AG8&lt;&gt;"นิติศาสตร์",OR(K8="M2",K8="K4"),Q8&gt;=2),EDATE(P8,12*2),AND(AH8="K5-POLICY",AG8&lt;&gt;"นิติศาสตร์",K8="S1",Q8&gt;=1),EDATE(P8,12),AND(AH8="K5-POLICY",AG8&lt;&gt;"นิติศาสตร์",OR(K8="S2",K8="K5")),P8,TRUE,"Check Data")</f>
        <v/>
      </c>
      <c r="AJ8" s="75" t="str">
        <f t="shared" si="13"/>
        <v>Check Data</v>
      </c>
      <c r="AK8" s="76" t="str">
        <f t="shared" si="14"/>
        <v>Check Data</v>
      </c>
      <c r="AL8" s="50" t="str">
        <f t="shared" si="15"/>
        <v>Check Data</v>
      </c>
      <c r="AM8" s="49" t="str">
        <f>IF(B8="","",IF(K8="S1","S1",INDEX(#REF!,#REF!)))</f>
        <v/>
      </c>
      <c r="AN8" s="49" t="str">
        <f>K8</f>
        <v>S1</v>
      </c>
      <c r="AO8" s="50" t="b">
        <f>K8=AM8</f>
        <v>0</v>
      </c>
      <c r="AP8" s="50"/>
    </row>
    <row r="9" spans="1:42" customFormat="1">
      <c r="A9" s="49">
        <v>7</v>
      </c>
      <c r="B9" s="50"/>
      <c r="C9" s="51"/>
      <c r="D9" s="50" t="s">
        <v>143</v>
      </c>
      <c r="E9" s="49" t="s">
        <v>189</v>
      </c>
      <c r="F9" s="49" t="str">
        <f t="shared" si="0"/>
        <v>30/11/1993</v>
      </c>
      <c r="G9" s="50">
        <f t="shared" si="1"/>
        <v>31</v>
      </c>
      <c r="H9" s="50">
        <f t="shared" si="2"/>
        <v>6</v>
      </c>
      <c r="I9" s="50">
        <f t="shared" si="3"/>
        <v>21</v>
      </c>
      <c r="J9" s="50" t="s">
        <v>158</v>
      </c>
      <c r="K9" s="49" t="s">
        <v>135</v>
      </c>
      <c r="L9" s="64"/>
      <c r="M9" s="49" t="s">
        <v>425</v>
      </c>
      <c r="N9" s="49">
        <v>2574</v>
      </c>
      <c r="O9" s="65" t="s">
        <v>487</v>
      </c>
      <c r="P9" s="49" t="str">
        <f t="shared" si="4"/>
        <v>21/01/2022</v>
      </c>
      <c r="Q9" s="68">
        <f t="shared" si="5"/>
        <v>3</v>
      </c>
      <c r="R9" s="68">
        <f t="shared" si="6"/>
        <v>4</v>
      </c>
      <c r="S9" s="68">
        <f t="shared" si="7"/>
        <v>30</v>
      </c>
      <c r="T9" s="65"/>
      <c r="U9" s="65"/>
      <c r="V9" s="49" t="str">
        <f t="shared" si="8"/>
        <v/>
      </c>
      <c r="W9" s="68">
        <f>IF(V9="",0,DATEDIF(V9,P9,"Y"))</f>
        <v>0</v>
      </c>
      <c r="X9" s="68">
        <f>IF(V9="",0,DATEDIF(V9,P9,"YM"))</f>
        <v>0</v>
      </c>
      <c r="Y9" s="68">
        <f>IF(V9="",0,DATEDIF(V9,P9,"MD"))</f>
        <v>0</v>
      </c>
      <c r="Z9" s="49"/>
      <c r="AA9" s="65"/>
      <c r="AB9" s="50" t="str">
        <f t="shared" si="9"/>
        <v/>
      </c>
      <c r="AC9" s="68">
        <f t="shared" si="10"/>
        <v>0</v>
      </c>
      <c r="AD9" s="68">
        <f t="shared" si="11"/>
        <v>0</v>
      </c>
      <c r="AE9" s="68">
        <f t="shared" si="12"/>
        <v>0</v>
      </c>
      <c r="AF9" s="50"/>
      <c r="AG9" s="50" t="s">
        <v>488</v>
      </c>
      <c r="AH9" s="49" t="str">
        <f>IF(AG9="นิติศาสตร์","K5-LAW","K5-POLICY")</f>
        <v>K5-POLICY</v>
      </c>
      <c r="AI9" s="72" t="str">
        <f>_xlfn.IFS(B9="","",AND(AH9="K5-LAW",AG9="นิติศาสตร์",K9="S2",T9="",Z9=""),P9,AND(AH9="K5-LAW",AG9="นิติศาสตร์",K9="S1",T9="",Z9=""),EDATE(P9,12),AND(AH9="K5-LAW",AG9="นิติศาสตร์",OR(K9="M2",K9="K4"),T9="",Z9=""),EDATE(P9,12*2),AND(AH9="K5-LAW",AG9="นิติศาสตร์",OR(Z9="M2",Z9="K4"),AC9&gt;=2,OR(AB9&lt;V9,AB9&lt;P9)),EDATE(AB9,12*2),AND(AH9="K5-LAW",AG9="นิติศาสตร์",Z9="S1",AC9&gt;=1,OR(AB9&lt;V9,AB9&lt;P9)),EDATE(AB9,12),AND(AH9="K5-LAW",AG9="นิติศาสตร์",OR(T9="M2",T9="K4"),W9&gt;=2,V9&lt;P9),EDATE(V9,12*2),AND(AH9="K5-LAW",AG9="นิติศาสตร์",T9="S1",W9&gt;=1,V9&lt;P9),EDATE(V9,12),AND(AH9="K5-LAW",AG9="นิติศาสตร์",OR(T9="S2",T9="K5")),V9,AND(AH9="K5-LAW",AG9="นิติศาสตร์",OR(K9="M2",K9="K4"),Q9&gt;=2),EDATE(P9,12*2),AND(AH9="K5-LAW",AG9="นิติศาสตร์",K9="S1",Q9&gt;=1),EDATE(P9,12),AND(AH9="K5-LAW",AG9="นิติศาสตร์",OR(K9="S2",K9="K5")),P9,AND(AH9="K5-POLICY",AG9&lt;&gt;"นิติศาสตร์",K9="S2",T9="",Z9=""),P9,AND(AH9="K5-POLICY",AG9&lt;&gt;"นิติศาสตร์",K9="S1",T9="",Z9=""),EDATE(P9,12),AND(AH9="K5-POLICY",AG9&lt;&gt;"นิติศาสตร์",OR(K9="M2",K9="K4"),T9="",Z9=""),EDATE(P9,12*2),AND(AH9="K5-POLICY",AG9&lt;&gt;"นิติศาสตร์",OR(Z9="M2",Z9="K4"),AC9&gt;=2,OR(AB9&lt;V9,AB9&lt;P9)),EDATE(AB9,12*2),AND(AH9="K5-POLICY",AG9&lt;&gt;"นิติศาสตร์",Z9="S1",AC9&gt;=1,OR(AB9&lt;V9,AB9&lt;P9)),EDATE(AB9,12),AND(AH9="K5-POLICY",AG9&lt;&gt;"นิติศาสตร์",OR(T9="M2",T9="K4"),W9&gt;=2,V9&lt;P9),EDATE(V9,12*2),AND(AH9="K5-POLICY",AG9&lt;&gt;"นิติศาสตร์",T9="S1",W9&gt;=1,V9&lt;P9),EDATE(V9,12),AND(AH9="K5-POLICY",AG9&lt;&gt;"นิติศาสตร์",OR(T9="S2",T9="K5")),V9,AND(AH9="K5-POLICY",AG9&lt;&gt;"นิติศาสตร์",OR(K9="M2",K9="K4"),Q9&gt;=2),EDATE(P9,12*2),AND(AH9="K5-POLICY",AG9&lt;&gt;"นิติศาสตร์",K9="S1",Q9&gt;=1),EDATE(P9,12),AND(AH9="K5-POLICY",AG9&lt;&gt;"นิติศาสตร์",OR(K9="S2",K9="K5")),P9,TRUE,"Check Data")</f>
        <v/>
      </c>
      <c r="AJ9" s="75" t="str">
        <f t="shared" si="13"/>
        <v>Check Data</v>
      </c>
      <c r="AK9" s="76" t="str">
        <f t="shared" si="14"/>
        <v>Check Data</v>
      </c>
      <c r="AL9" s="50" t="str">
        <f t="shared" si="15"/>
        <v>Check Data</v>
      </c>
      <c r="AM9" s="49" t="str">
        <f>IF(B9="","",IF(K9="S1","S1",INDEX(#REF!,#REF!)))</f>
        <v/>
      </c>
      <c r="AN9" s="49" t="str">
        <f>K9</f>
        <v>S1</v>
      </c>
      <c r="AO9" s="50" t="b">
        <f>K9=AM9</f>
        <v>0</v>
      </c>
      <c r="AP9" s="50"/>
    </row>
    <row r="10" spans="1:42" customFormat="1">
      <c r="A10" s="49">
        <v>8</v>
      </c>
      <c r="B10" s="50"/>
      <c r="C10" s="51"/>
      <c r="D10" s="50" t="s">
        <v>140</v>
      </c>
      <c r="E10" s="49" t="s">
        <v>185</v>
      </c>
      <c r="F10" s="49" t="str">
        <f t="shared" si="0"/>
        <v>06/01/2003</v>
      </c>
      <c r="G10" s="50">
        <f t="shared" si="1"/>
        <v>22</v>
      </c>
      <c r="H10" s="50">
        <f t="shared" si="2"/>
        <v>5</v>
      </c>
      <c r="I10" s="50">
        <f t="shared" si="3"/>
        <v>14</v>
      </c>
      <c r="J10" s="50" t="s">
        <v>155</v>
      </c>
      <c r="K10" s="49" t="s">
        <v>135</v>
      </c>
      <c r="L10" s="64"/>
      <c r="M10" s="49"/>
      <c r="N10" s="49">
        <v>2578</v>
      </c>
      <c r="O10" s="65" t="s">
        <v>186</v>
      </c>
      <c r="P10" s="49" t="str">
        <f t="shared" si="4"/>
        <v>26/01/2022</v>
      </c>
      <c r="Q10" s="68">
        <f t="shared" si="5"/>
        <v>3</v>
      </c>
      <c r="R10" s="68">
        <f t="shared" si="6"/>
        <v>4</v>
      </c>
      <c r="S10" s="68">
        <f t="shared" si="7"/>
        <v>25</v>
      </c>
      <c r="T10" s="65"/>
      <c r="U10" s="65"/>
      <c r="V10" s="49" t="str">
        <f t="shared" si="8"/>
        <v/>
      </c>
      <c r="W10" s="68">
        <f>IF(V10="",0,DATEDIF(V10,P10,"Y"))</f>
        <v>0</v>
      </c>
      <c r="X10" s="68">
        <f>IF(V10="",0,DATEDIF(V10,P10,"YM"))</f>
        <v>0</v>
      </c>
      <c r="Y10" s="68">
        <f>IF(V10="",0,DATEDIF(V10,P10,"MD"))</f>
        <v>0</v>
      </c>
      <c r="Z10" s="49"/>
      <c r="AA10" s="65"/>
      <c r="AB10" s="50" t="str">
        <f t="shared" si="9"/>
        <v/>
      </c>
      <c r="AC10" s="68">
        <f t="shared" si="10"/>
        <v>0</v>
      </c>
      <c r="AD10" s="68">
        <f t="shared" si="11"/>
        <v>0</v>
      </c>
      <c r="AE10" s="68">
        <f t="shared" si="12"/>
        <v>0</v>
      </c>
      <c r="AF10" s="50"/>
      <c r="AG10" s="50" t="s">
        <v>196</v>
      </c>
      <c r="AH10" s="49" t="str">
        <f>IF(AG10="นิติศาสตร์","K5-LAW","K5-POLICY")</f>
        <v>K5-POLICY</v>
      </c>
      <c r="AI10" s="72" t="str">
        <f>_xlfn.IFS(B10="","",AND(AH10="K5-LAW",AG10="นิติศาสตร์",K10="S2",T10="",Z10=""),P10,AND(AH10="K5-LAW",AG10="นิติศาสตร์",K10="S1",T10="",Z10=""),EDATE(P10,12),AND(AH10="K5-LAW",AG10="นิติศาสตร์",OR(K10="M2",K10="K4"),T10="",Z10=""),EDATE(P10,12*2),AND(AH10="K5-LAW",AG10="นิติศาสตร์",OR(Z10="M2",Z10="K4"),AC10&gt;=2,OR(AB10&lt;V10,AB10&lt;P10)),EDATE(AB10,12*2),AND(AH10="K5-LAW",AG10="นิติศาสตร์",Z10="S1",AC10&gt;=1,OR(AB10&lt;V10,AB10&lt;P10)),EDATE(AB10,12),AND(AH10="K5-LAW",AG10="นิติศาสตร์",OR(T10="M2",T10="K4"),W10&gt;=2,V10&lt;P10),EDATE(V10,12*2),AND(AH10="K5-LAW",AG10="นิติศาสตร์",T10="S1",W10&gt;=1,V10&lt;P10),EDATE(V10,12),AND(AH10="K5-LAW",AG10="นิติศาสตร์",OR(T10="S2",T10="K5")),V10,AND(AH10="K5-LAW",AG10="นิติศาสตร์",OR(K10="M2",K10="K4"),Q10&gt;=2),EDATE(P10,12*2),AND(AH10="K5-LAW",AG10="นิติศาสตร์",K10="S1",Q10&gt;=1),EDATE(P10,12),AND(AH10="K5-LAW",AG10="นิติศาสตร์",OR(K10="S2",K10="K5")),P10,AND(AH10="K5-POLICY",AG10&lt;&gt;"นิติศาสตร์",K10="S2",T10="",Z10=""),P10,AND(AH10="K5-POLICY",AG10&lt;&gt;"นิติศาสตร์",K10="S1",T10="",Z10=""),EDATE(P10,12),AND(AH10="K5-POLICY",AG10&lt;&gt;"นิติศาสตร์",OR(K10="M2",K10="K4"),T10="",Z10=""),EDATE(P10,12*2),AND(AH10="K5-POLICY",AG10&lt;&gt;"นิติศาสตร์",OR(Z10="M2",Z10="K4"),AC10&gt;=2,OR(AB10&lt;V10,AB10&lt;P10)),EDATE(AB10,12*2),AND(AH10="K5-POLICY",AG10&lt;&gt;"นิติศาสตร์",Z10="S1",AC10&gt;=1,OR(AB10&lt;V10,AB10&lt;P10)),EDATE(AB10,12),AND(AH10="K5-POLICY",AG10&lt;&gt;"นิติศาสตร์",OR(T10="M2",T10="K4"),W10&gt;=2,V10&lt;P10),EDATE(V10,12*2),AND(AH10="K5-POLICY",AG10&lt;&gt;"นิติศาสตร์",T10="S1",W10&gt;=1,V10&lt;P10),EDATE(V10,12),AND(AH10="K5-POLICY",AG10&lt;&gt;"นิติศาสตร์",OR(T10="S2",T10="K5")),V10,AND(AH10="K5-POLICY",AG10&lt;&gt;"นิติศาสตร์",OR(K10="M2",K10="K4"),Q10&gt;=2),EDATE(P10,12*2),AND(AH10="K5-POLICY",AG10&lt;&gt;"นิติศาสตร์",K10="S1",Q10&gt;=1),EDATE(P10,12),AND(AH10="K5-POLICY",AG10&lt;&gt;"นิติศาสตร์",OR(K10="S2",K10="K5")),P10,TRUE,"Check Data")</f>
        <v/>
      </c>
      <c r="AJ10" s="75" t="str">
        <f t="shared" si="13"/>
        <v>Check Data</v>
      </c>
      <c r="AK10" s="76" t="str">
        <f t="shared" si="14"/>
        <v>Check Data</v>
      </c>
      <c r="AL10" s="50" t="str">
        <f t="shared" si="15"/>
        <v>Check Data</v>
      </c>
      <c r="AM10" s="49" t="str">
        <f>IF(B10="","",IF(K10="S1","S1",INDEX(#REF!,#REF!)))</f>
        <v/>
      </c>
      <c r="AN10" s="49" t="str">
        <f>K10</f>
        <v>S1</v>
      </c>
      <c r="AO10" s="50" t="b">
        <f>K10=AM10</f>
        <v>0</v>
      </c>
      <c r="AP10" s="50"/>
    </row>
    <row r="11" spans="1:42" customFormat="1">
      <c r="A11" s="49">
        <v>9</v>
      </c>
      <c r="B11" s="50"/>
      <c r="C11" s="51"/>
      <c r="D11" s="50" t="s">
        <v>146</v>
      </c>
      <c r="E11" s="49" t="s">
        <v>191</v>
      </c>
      <c r="F11" s="49" t="str">
        <f t="shared" si="0"/>
        <v>02/04/1990</v>
      </c>
      <c r="G11" s="50">
        <f t="shared" si="1"/>
        <v>35</v>
      </c>
      <c r="H11" s="50">
        <f t="shared" si="2"/>
        <v>2</v>
      </c>
      <c r="I11" s="50">
        <f t="shared" si="3"/>
        <v>18</v>
      </c>
      <c r="J11" s="50" t="s">
        <v>161</v>
      </c>
      <c r="K11" s="49" t="s">
        <v>135</v>
      </c>
      <c r="L11" s="64"/>
      <c r="M11" s="49"/>
      <c r="N11" s="49">
        <v>2569</v>
      </c>
      <c r="O11" s="65" t="s">
        <v>192</v>
      </c>
      <c r="P11" s="49" t="str">
        <f t="shared" si="4"/>
        <v>29/11/2022</v>
      </c>
      <c r="Q11" s="68">
        <f t="shared" si="5"/>
        <v>2</v>
      </c>
      <c r="R11" s="68">
        <f t="shared" si="6"/>
        <v>6</v>
      </c>
      <c r="S11" s="68">
        <f t="shared" si="7"/>
        <v>22</v>
      </c>
      <c r="T11" s="65"/>
      <c r="U11" s="65"/>
      <c r="V11" s="49" t="str">
        <f t="shared" si="8"/>
        <v/>
      </c>
      <c r="W11" s="68">
        <f>IF(V11="",0,DATEDIF(V11,P11,"Y"))</f>
        <v>0</v>
      </c>
      <c r="X11" s="68">
        <f>IF(V11="",0,DATEDIF(V11,P11,"YM"))</f>
        <v>0</v>
      </c>
      <c r="Y11" s="68">
        <f>IF(V11="",0,DATEDIF(V11,P11,"MD"))</f>
        <v>0</v>
      </c>
      <c r="Z11" s="49"/>
      <c r="AA11" s="65"/>
      <c r="AB11" s="50" t="str">
        <f t="shared" si="9"/>
        <v/>
      </c>
      <c r="AC11" s="68">
        <f t="shared" si="10"/>
        <v>0</v>
      </c>
      <c r="AD11" s="68">
        <f t="shared" si="11"/>
        <v>0</v>
      </c>
      <c r="AE11" s="68">
        <f t="shared" si="12"/>
        <v>0</v>
      </c>
      <c r="AF11" s="50"/>
      <c r="AG11" s="50" t="s">
        <v>193</v>
      </c>
      <c r="AH11" s="49" t="str">
        <f>IF(AG11="นิติศาสตร์","K5-LAW","K5-POLICY")</f>
        <v>K5-POLICY</v>
      </c>
      <c r="AI11" s="72" t="str">
        <f>_xlfn.IFS(B11="","",AND(AH11="K5-LAW",AG11="นิติศาสตร์",K11="S2",T11="",Z11=""),P11,AND(AH11="K5-LAW",AG11="นิติศาสตร์",K11="S1",T11="",Z11=""),EDATE(P11,12),AND(AH11="K5-LAW",AG11="นิติศาสตร์",OR(K11="M2",K11="K4"),T11="",Z11=""),EDATE(P11,12*2),AND(AH11="K5-LAW",AG11="นิติศาสตร์",OR(Z11="M2",Z11="K4"),AC11&gt;=2,OR(AB11&lt;V11,AB11&lt;P11)),EDATE(AB11,12*2),AND(AH11="K5-LAW",AG11="นิติศาสตร์",Z11="S1",AC11&gt;=1,OR(AB11&lt;V11,AB11&lt;P11)),EDATE(AB11,12),AND(AH11="K5-LAW",AG11="นิติศาสตร์",OR(T11="M2",T11="K4"),W11&gt;=2,V11&lt;P11),EDATE(V11,12*2),AND(AH11="K5-LAW",AG11="นิติศาสตร์",T11="S1",W11&gt;=1,V11&lt;P11),EDATE(V11,12),AND(AH11="K5-LAW",AG11="นิติศาสตร์",OR(T11="S2",T11="K5")),V11,AND(AH11="K5-LAW",AG11="นิติศาสตร์",OR(K11="M2",K11="K4"),Q11&gt;=2),EDATE(P11,12*2),AND(AH11="K5-LAW",AG11="นิติศาสตร์",K11="S1",Q11&gt;=1),EDATE(P11,12),AND(AH11="K5-LAW",AG11="นิติศาสตร์",OR(K11="S2",K11="K5")),P11,AND(AH11="K5-POLICY",AG11&lt;&gt;"นิติศาสตร์",K11="S2",T11="",Z11=""),P11,AND(AH11="K5-POLICY",AG11&lt;&gt;"นิติศาสตร์",K11="S1",T11="",Z11=""),EDATE(P11,12),AND(AH11="K5-POLICY",AG11&lt;&gt;"นิติศาสตร์",OR(K11="M2",K11="K4"),T11="",Z11=""),EDATE(P11,12*2),AND(AH11="K5-POLICY",AG11&lt;&gt;"นิติศาสตร์",OR(Z11="M2",Z11="K4"),AC11&gt;=2,OR(AB11&lt;V11,AB11&lt;P11)),EDATE(AB11,12*2),AND(AH11="K5-POLICY",AG11&lt;&gt;"นิติศาสตร์",Z11="S1",AC11&gt;=1,OR(AB11&lt;V11,AB11&lt;P11)),EDATE(AB11,12),AND(AH11="K5-POLICY",AG11&lt;&gt;"นิติศาสตร์",OR(T11="M2",T11="K4"),W11&gt;=2,V11&lt;P11),EDATE(V11,12*2),AND(AH11="K5-POLICY",AG11&lt;&gt;"นิติศาสตร์",T11="S1",W11&gt;=1,V11&lt;P11),EDATE(V11,12),AND(AH11="K5-POLICY",AG11&lt;&gt;"นิติศาสตร์",OR(T11="S2",T11="K5")),V11,AND(AH11="K5-POLICY",AG11&lt;&gt;"นิติศาสตร์",OR(K11="M2",K11="K4"),Q11&gt;=2),EDATE(P11,12*2),AND(AH11="K5-POLICY",AG11&lt;&gt;"นิติศาสตร์",K11="S1",Q11&gt;=1),EDATE(P11,12),AND(AH11="K5-POLICY",AG11&lt;&gt;"นิติศาสตร์",OR(K11="S2",K11="K5")),P11,TRUE,"Check Data")</f>
        <v/>
      </c>
      <c r="AJ11" s="75" t="str">
        <f t="shared" si="13"/>
        <v>Check Data</v>
      </c>
      <c r="AK11" s="76" t="str">
        <f t="shared" si="14"/>
        <v>Check Data</v>
      </c>
      <c r="AL11" s="50" t="str">
        <f t="shared" si="15"/>
        <v>Check Data</v>
      </c>
      <c r="AM11" s="49" t="str">
        <f>IF(B11="","",IF(K11="S1","S1",INDEX(#REF!,#REF!)))</f>
        <v/>
      </c>
      <c r="AN11" s="49" t="str">
        <f>K11</f>
        <v>S1</v>
      </c>
      <c r="AO11" s="50" t="b">
        <f>K11=AM11</f>
        <v>0</v>
      </c>
      <c r="AP11" s="50"/>
    </row>
    <row r="12" spans="1:42">
      <c r="A12" s="49">
        <v>2</v>
      </c>
      <c r="B12" s="50"/>
      <c r="C12" s="50"/>
      <c r="D12" s="50" t="s">
        <v>144</v>
      </c>
      <c r="E12" s="49" t="s">
        <v>197</v>
      </c>
      <c r="F12" s="49" t="str">
        <f t="shared" si="0"/>
        <v>01/05/1991</v>
      </c>
      <c r="G12" s="50">
        <f t="shared" si="1"/>
        <v>34</v>
      </c>
      <c r="H12" s="50">
        <f t="shared" si="2"/>
        <v>1</v>
      </c>
      <c r="I12" s="50">
        <f t="shared" si="3"/>
        <v>19</v>
      </c>
      <c r="J12" s="50" t="s">
        <v>159</v>
      </c>
      <c r="K12" s="49" t="s">
        <v>135</v>
      </c>
      <c r="L12" s="64"/>
      <c r="M12" s="49" t="s">
        <v>425</v>
      </c>
      <c r="N12" s="49">
        <v>2574</v>
      </c>
      <c r="O12" s="65" t="s">
        <v>179</v>
      </c>
      <c r="P12" s="49" t="str">
        <f t="shared" si="4"/>
        <v>20/01/2023</v>
      </c>
      <c r="Q12" s="68">
        <f t="shared" si="5"/>
        <v>2</v>
      </c>
      <c r="R12" s="68">
        <f t="shared" si="6"/>
        <v>5</v>
      </c>
      <c r="S12" s="68">
        <f t="shared" si="7"/>
        <v>0</v>
      </c>
      <c r="T12" s="65"/>
      <c r="U12" s="65"/>
      <c r="V12" s="49" t="str">
        <f t="shared" si="8"/>
        <v/>
      </c>
      <c r="W12" s="68">
        <f>IF(V12="",0,DATEDIF(V12,P12,"Y"))</f>
        <v>0</v>
      </c>
      <c r="X12" s="68">
        <f>IF(V12="",0,DATEDIF(V12,P12,"YM"))</f>
        <v>0</v>
      </c>
      <c r="Y12" s="68">
        <f>IF(V12="",0,DATEDIF(V12,P12,"MD"))</f>
        <v>0</v>
      </c>
      <c r="Z12" s="49"/>
      <c r="AA12" s="65"/>
      <c r="AB12" s="50" t="str">
        <f t="shared" si="9"/>
        <v/>
      </c>
      <c r="AC12" s="68">
        <f t="shared" si="10"/>
        <v>0</v>
      </c>
      <c r="AD12" s="68">
        <f t="shared" si="11"/>
        <v>0</v>
      </c>
      <c r="AE12" s="68">
        <f t="shared" si="12"/>
        <v>0</v>
      </c>
      <c r="AF12" s="50"/>
      <c r="AG12" s="50" t="s">
        <v>138</v>
      </c>
      <c r="AH12" s="49" t="str">
        <f>IF(AG12="นิติศาสตร์","K5-LAW","K5-POLICY")</f>
        <v>K5-LAW</v>
      </c>
      <c r="AI12" s="72" t="str">
        <f>_xlfn.IFS(B12="","",AND(AH12="K5-LAW",AG12="นิติศาสตร์",K12="S2",T12="",Z12=""),P12,AND(AH12="K5-LAW",AG12="นิติศาสตร์",K12="S1",T12="",Z12=""),EDATE(P12,12),AND(AH12="K5-LAW",AG12="นิติศาสตร์",OR(K12="M2",K12="K4"),T12="",Z12=""),EDATE(P12,12*2),AND(AH12="K5-LAW",AG12="นิติศาสตร์",OR(Z12="M2",Z12="K4"),AC12&gt;=2,OR(AB12&lt;V12,AB12&lt;P12)),EDATE(AB12,12*2),AND(AH12="K5-LAW",AG12="นิติศาสตร์",Z12="S1",AC12&gt;=1,OR(AB12&lt;V12,AB12&lt;P12)),EDATE(AB12,12),AND(AH12="K5-LAW",AG12="นิติศาสตร์",OR(T12="M2",T12="K4"),W12&gt;=2,V12&lt;P12),EDATE(V12,12*2),AND(AH12="K5-LAW",AG12="นิติศาสตร์",T12="S1",W12&gt;=1,V12&lt;P12),EDATE(V12,12),AND(AH12="K5-LAW",AG12="นิติศาสตร์",OR(T12="S2",T12="K5")),V12,AND(AH12="K5-LAW",AG12="นิติศาสตร์",OR(K12="M2",K12="K4"),Q12&gt;=2),EDATE(P12,12*2),AND(AH12="K5-LAW",AG12="นิติศาสตร์",K12="S1",Q12&gt;=1),EDATE(P12,12),AND(AH12="K5-LAW",AG12="นิติศาสตร์",OR(K12="S2",K12="K5")),P12,AND(AH12="K5-POLICY",AG12&lt;&gt;"นิติศาสตร์",K12="S2",T12="",Z12=""),P12,AND(AH12="K5-POLICY",AG12&lt;&gt;"นิติศาสตร์",K12="S1",T12="",Z12=""),EDATE(P12,12),AND(AH12="K5-POLICY",AG12&lt;&gt;"นิติศาสตร์",OR(K12="M2",K12="K4"),T12="",Z12=""),EDATE(P12,12*2),AND(AH12="K5-POLICY",AG12&lt;&gt;"นิติศาสตร์",OR(Z12="M2",Z12="K4"),AC12&gt;=2,OR(AB12&lt;V12,AB12&lt;P12)),EDATE(AB12,12*2),AND(AH12="K5-POLICY",AG12&lt;&gt;"นิติศาสตร์",Z12="S1",AC12&gt;=1,OR(AB12&lt;V12,AB12&lt;P12)),EDATE(AB12,12),AND(AH12="K5-POLICY",AG12&lt;&gt;"นิติศาสตร์",OR(T12="M2",T12="K4"),W12&gt;=2,V12&lt;P12),EDATE(V12,12*2),AND(AH12="K5-POLICY",AG12&lt;&gt;"นิติศาสตร์",T12="S1",W12&gt;=1,V12&lt;P12),EDATE(V12,12),AND(AH12="K5-POLICY",AG12&lt;&gt;"นิติศาสตร์",OR(T12="S2",T12="K5")),V12,AND(AH12="K5-POLICY",AG12&lt;&gt;"นิติศาสตร์",OR(K12="M2",K12="K4"),Q12&gt;=2),EDATE(P12,12*2),AND(AH12="K5-POLICY",AG12&lt;&gt;"นิติศาสตร์",K12="S1",Q12&gt;=1),EDATE(P12,12),AND(AH12="K5-POLICY",AG12&lt;&gt;"นิติศาสตร์",OR(K12="S2",K12="K5")),P12,TRUE,"Check Data")</f>
        <v/>
      </c>
      <c r="AJ12" s="75" t="str">
        <f t="shared" si="13"/>
        <v>Check Data</v>
      </c>
      <c r="AK12" s="76" t="str">
        <f t="shared" si="14"/>
        <v>Check Data</v>
      </c>
      <c r="AL12" s="50" t="str">
        <f t="shared" si="15"/>
        <v>Check Data</v>
      </c>
      <c r="AM12" s="49" t="str">
        <f>IF(B12="","",IF(K12="S1","S1",INDEX(#REF!,#REF!)))</f>
        <v/>
      </c>
      <c r="AN12" s="49" t="str">
        <f>K12</f>
        <v>S1</v>
      </c>
      <c r="AO12" s="50" t="b">
        <f>K12=AM12</f>
        <v>0</v>
      </c>
      <c r="AP12" s="50"/>
    </row>
    <row r="13" spans="1:42">
      <c r="A13" s="49">
        <v>3</v>
      </c>
      <c r="B13" s="50"/>
      <c r="C13" s="50"/>
      <c r="D13" s="50" t="s">
        <v>139</v>
      </c>
      <c r="E13" s="49" t="s">
        <v>164</v>
      </c>
      <c r="F13" s="49" t="str">
        <f t="shared" si="0"/>
        <v>01/05/1990</v>
      </c>
      <c r="G13" s="50">
        <f t="shared" si="1"/>
        <v>35</v>
      </c>
      <c r="H13" s="50">
        <f t="shared" si="2"/>
        <v>1</v>
      </c>
      <c r="I13" s="50">
        <f t="shared" si="3"/>
        <v>19</v>
      </c>
      <c r="J13" s="50" t="s">
        <v>154</v>
      </c>
      <c r="K13" s="49" t="s">
        <v>135</v>
      </c>
      <c r="L13" s="64"/>
      <c r="M13" s="49" t="s">
        <v>425</v>
      </c>
      <c r="N13" s="49">
        <v>2572</v>
      </c>
      <c r="O13" s="65" t="s">
        <v>179</v>
      </c>
      <c r="P13" s="49" t="str">
        <f t="shared" si="4"/>
        <v>20/01/2023</v>
      </c>
      <c r="Q13" s="68">
        <f t="shared" si="5"/>
        <v>2</v>
      </c>
      <c r="R13" s="68">
        <f t="shared" si="6"/>
        <v>5</v>
      </c>
      <c r="S13" s="68">
        <f t="shared" si="7"/>
        <v>0</v>
      </c>
      <c r="T13" s="65"/>
      <c r="U13" s="65"/>
      <c r="V13" s="49" t="str">
        <f t="shared" si="8"/>
        <v/>
      </c>
      <c r="W13" s="68">
        <f>IF(V13="",0,DATEDIF(V13,P13,"Y"))</f>
        <v>0</v>
      </c>
      <c r="X13" s="68">
        <f>IF(V13="",0,DATEDIF(V13,P13,"YM"))</f>
        <v>0</v>
      </c>
      <c r="Y13" s="68">
        <f>IF(V13="",0,DATEDIF(V13,P13,"MD"))</f>
        <v>0</v>
      </c>
      <c r="Z13" s="69"/>
      <c r="AA13" s="65"/>
      <c r="AB13" s="50" t="str">
        <f t="shared" si="9"/>
        <v/>
      </c>
      <c r="AC13" s="68">
        <f t="shared" si="10"/>
        <v>0</v>
      </c>
      <c r="AD13" s="68">
        <f t="shared" si="11"/>
        <v>0</v>
      </c>
      <c r="AE13" s="68">
        <f t="shared" si="12"/>
        <v>0</v>
      </c>
      <c r="AF13" s="50"/>
      <c r="AG13" s="50" t="s">
        <v>138</v>
      </c>
      <c r="AH13" s="49" t="str">
        <f>IF(AG13="นิติศาสตร์","K5-LAW","K5-POLICY")</f>
        <v>K5-LAW</v>
      </c>
      <c r="AI13" s="72" t="str">
        <f>_xlfn.IFS(B13="","",AND(AH13="K5-LAW",AG13="นิติศาสตร์",K13="S2",T13="",Z13=""),P13,AND(AH13="K5-LAW",AG13="นิติศาสตร์",K13="S1",T13="",Z13=""),EDATE(P13,12),AND(AH13="K5-LAW",AG13="นิติศาสตร์",OR(K13="M2",K13="K4"),T13="",Z13=""),EDATE(P13,12*2),AND(AH13="K5-LAW",AG13="นิติศาสตร์",OR(Z13="M2",Z13="K4"),AC13&gt;=2,OR(AB13&lt;V13,AB13&lt;P13)),EDATE(AB13,12*2),AND(AH13="K5-LAW",AG13="นิติศาสตร์",Z13="S1",AC13&gt;=1,OR(AB13&lt;V13,AB13&lt;P13)),EDATE(AB13,12),AND(AH13="K5-LAW",AG13="นิติศาสตร์",OR(T13="M2",T13="K4"),W13&gt;=2,V13&lt;P13),EDATE(V13,12*2),AND(AH13="K5-LAW",AG13="นิติศาสตร์",T13="S1",W13&gt;=1,V13&lt;P13),EDATE(V13,12),AND(AH13="K5-LAW",AG13="นิติศาสตร์",OR(T13="S2",T13="K5")),V13,AND(AH13="K5-LAW",AG13="นิติศาสตร์",OR(K13="M2",K13="K4"),Q13&gt;=2),EDATE(P13,12*2),AND(AH13="K5-LAW",AG13="นิติศาสตร์",K13="S1",Q13&gt;=1),EDATE(P13,12),AND(AH13="K5-LAW",AG13="นิติศาสตร์",OR(K13="S2",K13="K5")),P13,AND(AH13="K5-POLICY",AG13&lt;&gt;"นิติศาสตร์",K13="S2",T13="",Z13=""),P13,AND(AH13="K5-POLICY",AG13&lt;&gt;"นิติศาสตร์",K13="S1",T13="",Z13=""),EDATE(P13,12),AND(AH13="K5-POLICY",AG13&lt;&gt;"นิติศาสตร์",OR(K13="M2",K13="K4"),T13="",Z13=""),EDATE(P13,12*2),AND(AH13="K5-POLICY",AG13&lt;&gt;"นิติศาสตร์",OR(Z13="M2",Z13="K4"),AC13&gt;=2,OR(AB13&lt;V13,AB13&lt;P13)),EDATE(AB13,12*2),AND(AH13="K5-POLICY",AG13&lt;&gt;"นิติศาสตร์",Z13="S1",AC13&gt;=1,OR(AB13&lt;V13,AB13&lt;P13)),EDATE(AB13,12),AND(AH13="K5-POLICY",AG13&lt;&gt;"นิติศาสตร์",OR(T13="M2",T13="K4"),W13&gt;=2,V13&lt;P13),EDATE(V13,12*2),AND(AH13="K5-POLICY",AG13&lt;&gt;"นิติศาสตร์",T13="S1",W13&gt;=1,V13&lt;P13),EDATE(V13,12),AND(AH13="K5-POLICY",AG13&lt;&gt;"นิติศาสตร์",OR(T13="S2",T13="K5")),V13,AND(AH13="K5-POLICY",AG13&lt;&gt;"นิติศาสตร์",OR(K13="M2",K13="K4"),Q13&gt;=2),EDATE(P13,12*2),AND(AH13="K5-POLICY",AG13&lt;&gt;"นิติศาสตร์",K13="S1",Q13&gt;=1),EDATE(P13,12),AND(AH13="K5-POLICY",AG13&lt;&gt;"นิติศาสตร์",OR(K13="S2",K13="K5")),P13,TRUE,"Check Data")</f>
        <v/>
      </c>
      <c r="AJ13" s="75" t="str">
        <f t="shared" si="13"/>
        <v>Check Data</v>
      </c>
      <c r="AK13" s="76" t="str">
        <f t="shared" si="14"/>
        <v>Check Data</v>
      </c>
      <c r="AL13" s="50" t="str">
        <f t="shared" si="15"/>
        <v>Check Data</v>
      </c>
      <c r="AM13" s="49" t="str">
        <f>IF(B13="","",IF(K13="S1","S1",INDEX(#REF!,#REF!)))</f>
        <v/>
      </c>
      <c r="AN13" s="49" t="str">
        <f>K13</f>
        <v>S1</v>
      </c>
      <c r="AO13" s="50" t="b">
        <f>K13=AM13</f>
        <v>0</v>
      </c>
      <c r="AP13" s="50"/>
    </row>
    <row r="14" spans="1:42">
      <c r="A14" s="49">
        <v>4</v>
      </c>
      <c r="B14" s="50"/>
      <c r="C14" s="50"/>
      <c r="D14" s="50" t="s">
        <v>141</v>
      </c>
      <c r="E14" s="49" t="s">
        <v>183</v>
      </c>
      <c r="F14" s="49" t="str">
        <f t="shared" si="0"/>
        <v>10/08/1992</v>
      </c>
      <c r="G14" s="50">
        <f t="shared" si="1"/>
        <v>32</v>
      </c>
      <c r="H14" s="50">
        <f t="shared" si="2"/>
        <v>10</v>
      </c>
      <c r="I14" s="50">
        <f t="shared" si="3"/>
        <v>10</v>
      </c>
      <c r="J14" s="50" t="s">
        <v>156</v>
      </c>
      <c r="K14" s="49" t="s">
        <v>135</v>
      </c>
      <c r="L14" s="64"/>
      <c r="M14" s="49" t="s">
        <v>425</v>
      </c>
      <c r="N14" s="49" t="s">
        <v>489</v>
      </c>
      <c r="O14" s="65" t="s">
        <v>184</v>
      </c>
      <c r="P14" s="49" t="str">
        <f t="shared" si="4"/>
        <v>24/07/2023</v>
      </c>
      <c r="Q14" s="68">
        <f t="shared" si="5"/>
        <v>1</v>
      </c>
      <c r="R14" s="68">
        <f t="shared" si="6"/>
        <v>10</v>
      </c>
      <c r="S14" s="68">
        <f t="shared" si="7"/>
        <v>27</v>
      </c>
      <c r="T14" s="65" t="s">
        <v>136</v>
      </c>
      <c r="U14" s="65" t="s">
        <v>168</v>
      </c>
      <c r="V14" s="49" t="str">
        <f t="shared" si="8"/>
        <v>01/10/2017</v>
      </c>
      <c r="W14" s="68">
        <f>IF(V14="",0,DATEDIF(V14,P14,"Y"))</f>
        <v>5</v>
      </c>
      <c r="X14" s="68">
        <f>IF(V14="",0,DATEDIF(V14,P14,"YM"))</f>
        <v>9</v>
      </c>
      <c r="Y14" s="68">
        <f>IF(V14="",0,DATEDIF(V14,P14,"MD"))</f>
        <v>23</v>
      </c>
      <c r="Z14" s="49"/>
      <c r="AA14" s="65"/>
      <c r="AB14" s="50" t="str">
        <f t="shared" si="9"/>
        <v/>
      </c>
      <c r="AC14" s="68">
        <f t="shared" si="10"/>
        <v>0</v>
      </c>
      <c r="AD14" s="68">
        <f t="shared" si="11"/>
        <v>0</v>
      </c>
      <c r="AE14" s="68">
        <f t="shared" si="12"/>
        <v>0</v>
      </c>
      <c r="AF14" s="50"/>
      <c r="AG14" s="50" t="s">
        <v>138</v>
      </c>
      <c r="AH14" s="49" t="str">
        <f>IF(AG14="นิติศาสตร์","K5-LAW","K5-POLICY")</f>
        <v>K5-LAW</v>
      </c>
      <c r="AI14" s="72" t="str">
        <f>_xlfn.IFS(B14="","",AND(AH14="K5-LAW",AG14="นิติศาสตร์",K14="S2",T14="",Z14=""),P14,AND(AH14="K5-LAW",AG14="นิติศาสตร์",K14="S1",T14="",Z14=""),EDATE(P14,12),AND(AH14="K5-LAW",AG14="นิติศาสตร์",OR(K14="M2",K14="K4"),T14="",Z14=""),EDATE(P14,12*2),AND(AH14="K5-LAW",AG14="นิติศาสตร์",OR(Z14="M2",Z14="K4"),AC14&gt;=2,OR(AB14&lt;V14,AB14&lt;P14)),EDATE(AB14,12*2),AND(AH14="K5-LAW",AG14="นิติศาสตร์",Z14="S1",AC14&gt;=1,OR(AB14&lt;V14,AB14&lt;P14)),EDATE(AB14,12),AND(AH14="K5-LAW",AG14="นิติศาสตร์",OR(T14="M2",T14="K4"),W14&gt;=2,V14&lt;P14),EDATE(V14,12*2),AND(AH14="K5-LAW",AG14="นิติศาสตร์",T14="S1",W14&gt;=1,V14&lt;P14),EDATE(V14,12),AND(AH14="K5-LAW",AG14="นิติศาสตร์",OR(T14="S2",T14="K5")),V14,AND(AH14="K5-LAW",AG14="นิติศาสตร์",OR(K14="M2",K14="K4"),Q14&gt;=2),EDATE(P14,12*2),AND(AH14="K5-LAW",AG14="นิติศาสตร์",K14="S1",Q14&gt;=1),EDATE(P14,12),AND(AH14="K5-LAW",AG14="นิติศาสตร์",OR(K14="S2",K14="K5")),P14,AND(AH14="K5-POLICY",AG14&lt;&gt;"นิติศาสตร์",K14="S2",T14="",Z14=""),P14,AND(AH14="K5-POLICY",AG14&lt;&gt;"นิติศาสตร์",K14="S1",T14="",Z14=""),EDATE(P14,12),AND(AH14="K5-POLICY",AG14&lt;&gt;"นิติศาสตร์",OR(K14="M2",K14="K4"),T14="",Z14=""),EDATE(P14,12*2),AND(AH14="K5-POLICY",AG14&lt;&gt;"นิติศาสตร์",OR(Z14="M2",Z14="K4"),AC14&gt;=2,OR(AB14&lt;V14,AB14&lt;P14)),EDATE(AB14,12*2),AND(AH14="K5-POLICY",AG14&lt;&gt;"นิติศาสตร์",Z14="S1",AC14&gt;=1,OR(AB14&lt;V14,AB14&lt;P14)),EDATE(AB14,12),AND(AH14="K5-POLICY",AG14&lt;&gt;"นิติศาสตร์",OR(T14="M2",T14="K4"),W14&gt;=2,V14&lt;P14),EDATE(V14,12*2),AND(AH14="K5-POLICY",AG14&lt;&gt;"นิติศาสตร์",T14="S1",W14&gt;=1,V14&lt;P14),EDATE(V14,12),AND(AH14="K5-POLICY",AG14&lt;&gt;"นิติศาสตร์",OR(T14="S2",T14="K5")),V14,AND(AH14="K5-POLICY",AG14&lt;&gt;"นิติศาสตร์",OR(K14="M2",K14="K4"),Q14&gt;=2),EDATE(P14,12*2),AND(AH14="K5-POLICY",AG14&lt;&gt;"นิติศาสตร์",K14="S1",Q14&gt;=1),EDATE(P14,12),AND(AH14="K5-POLICY",AG14&lt;&gt;"นิติศาสตร์",OR(K14="S2",K14="K5")),P14,TRUE,"Check Data")</f>
        <v/>
      </c>
      <c r="AJ14" s="75" t="str">
        <f t="shared" si="13"/>
        <v>Check Data</v>
      </c>
      <c r="AK14" s="76" t="str">
        <f t="shared" si="14"/>
        <v>Check Data</v>
      </c>
      <c r="AL14" s="50" t="str">
        <f t="shared" si="15"/>
        <v>Check Data</v>
      </c>
      <c r="AM14" s="49" t="str">
        <f>IF(B14="","",IF(K14="S1","S1",INDEX(#REF!,#REF!)))</f>
        <v/>
      </c>
      <c r="AN14" s="49" t="str">
        <f>K14</f>
        <v>S1</v>
      </c>
      <c r="AO14" s="50" t="b">
        <f>K14=AM14</f>
        <v>0</v>
      </c>
      <c r="AP14" s="50"/>
    </row>
    <row r="15" spans="1:42">
      <c r="A15" s="49">
        <v>5</v>
      </c>
      <c r="B15" s="50"/>
      <c r="C15" s="50"/>
      <c r="D15" s="50" t="s">
        <v>34</v>
      </c>
      <c r="E15" s="49" t="s">
        <v>396</v>
      </c>
      <c r="F15" s="49" t="str">
        <f t="shared" si="0"/>
        <v>29/01/1996</v>
      </c>
      <c r="G15" s="50">
        <f t="shared" si="1"/>
        <v>29</v>
      </c>
      <c r="H15" s="50">
        <f t="shared" si="2"/>
        <v>4</v>
      </c>
      <c r="I15" s="50">
        <f t="shared" si="3"/>
        <v>22</v>
      </c>
      <c r="J15" s="50" t="s">
        <v>153</v>
      </c>
      <c r="K15" s="49" t="s">
        <v>135</v>
      </c>
      <c r="L15" s="64"/>
      <c r="M15" s="49" t="s">
        <v>427</v>
      </c>
      <c r="N15" s="49" t="s">
        <v>491</v>
      </c>
      <c r="O15" s="65" t="s">
        <v>184</v>
      </c>
      <c r="P15" s="49" t="str">
        <f t="shared" si="4"/>
        <v>24/07/2023</v>
      </c>
      <c r="Q15" s="68">
        <f t="shared" si="5"/>
        <v>1</v>
      </c>
      <c r="R15" s="68">
        <f t="shared" si="6"/>
        <v>10</v>
      </c>
      <c r="S15" s="68">
        <f t="shared" si="7"/>
        <v>27</v>
      </c>
      <c r="T15" s="65" t="s">
        <v>136</v>
      </c>
      <c r="U15" s="65" t="s">
        <v>207</v>
      </c>
      <c r="V15" s="49" t="str">
        <f t="shared" si="8"/>
        <v>09/06/2023</v>
      </c>
      <c r="W15" s="68">
        <f>IF(V15="",0,DATEDIF(V15,P15,"Y"))</f>
        <v>0</v>
      </c>
      <c r="X15" s="68">
        <f>IF(V15="",0,DATEDIF(V15,P15,"YM"))</f>
        <v>1</v>
      </c>
      <c r="Y15" s="68">
        <f>IF(V15="",0,DATEDIF(V15,P15,"MD"))</f>
        <v>15</v>
      </c>
      <c r="Z15" s="69" t="s">
        <v>137</v>
      </c>
      <c r="AA15" s="65" t="s">
        <v>397</v>
      </c>
      <c r="AB15" s="50" t="str">
        <f t="shared" si="9"/>
        <v>18/02/2019</v>
      </c>
      <c r="AC15" s="68">
        <f t="shared" si="10"/>
        <v>4</v>
      </c>
      <c r="AD15" s="68">
        <f t="shared" si="11"/>
        <v>3</v>
      </c>
      <c r="AE15" s="68">
        <f t="shared" si="12"/>
        <v>22</v>
      </c>
      <c r="AF15" s="50"/>
      <c r="AG15" s="50" t="s">
        <v>138</v>
      </c>
      <c r="AH15" s="49" t="str">
        <f>IF(AG15="นิติศาสตร์","K5-LAW","K5-POLICY")</f>
        <v>K5-LAW</v>
      </c>
      <c r="AI15" s="72" t="str">
        <f>_xlfn.IFS(B15="","",AND(AH15="K5-LAW",AG15="นิติศาสตร์",K15="S2",T15="",Z15=""),P15,AND(AH15="K5-LAW",AG15="นิติศาสตร์",K15="S1",T15="",Z15=""),EDATE(P15,12),AND(AH15="K5-LAW",AG15="นิติศาสตร์",OR(K15="M2",K15="K4"),T15="",Z15=""),EDATE(P15,12*2),AND(AH15="K5-LAW",AG15="นิติศาสตร์",OR(Z15="M2",Z15="K4"),AC15&gt;=2,OR(AB15&lt;V15,AB15&lt;P15)),EDATE(AB15,12*2),AND(AH15="K5-LAW",AG15="นิติศาสตร์",Z15="S1",AC15&gt;=1,OR(AB15&lt;V15,AB15&lt;P15)),EDATE(AB15,12),AND(AH15="K5-LAW",AG15="นิติศาสตร์",OR(T15="M2",T15="K4"),W15&gt;=2,V15&lt;P15),EDATE(V15,12*2),AND(AH15="K5-LAW",AG15="นิติศาสตร์",T15="S1",W15&gt;=1,V15&lt;P15),EDATE(V15,12),AND(AH15="K5-LAW",AG15="นิติศาสตร์",OR(T15="S2",T15="K5")),V15,AND(AH15="K5-LAW",AG15="นิติศาสตร์",OR(K15="M2",K15="K4"),Q15&gt;=2),EDATE(P15,12*2),AND(AH15="K5-LAW",AG15="นิติศาสตร์",K15="S1",Q15&gt;=1),EDATE(P15,12),AND(AH15="K5-LAW",AG15="นิติศาสตร์",OR(K15="S2",K15="K5")),P15,AND(AH15="K5-POLICY",AG15&lt;&gt;"นิติศาสตร์",K15="S2",T15="",Z15=""),P15,AND(AH15="K5-POLICY",AG15&lt;&gt;"นิติศาสตร์",K15="S1",T15="",Z15=""),EDATE(P15,12),AND(AH15="K5-POLICY",AG15&lt;&gt;"นิติศาสตร์",OR(K15="M2",K15="K4"),T15="",Z15=""),EDATE(P15,12*2),AND(AH15="K5-POLICY",AG15&lt;&gt;"นิติศาสตร์",OR(Z15="M2",Z15="K4"),AC15&gt;=2,OR(AB15&lt;V15,AB15&lt;P15)),EDATE(AB15,12*2),AND(AH15="K5-POLICY",AG15&lt;&gt;"นิติศาสตร์",Z15="S1",AC15&gt;=1,OR(AB15&lt;V15,AB15&lt;P15)),EDATE(AB15,12),AND(AH15="K5-POLICY",AG15&lt;&gt;"นิติศาสตร์",OR(T15="M2",T15="K4"),W15&gt;=2,V15&lt;P15),EDATE(V15,12*2),AND(AH15="K5-POLICY",AG15&lt;&gt;"นิติศาสตร์",T15="S1",W15&gt;=1,V15&lt;P15),EDATE(V15,12),AND(AH15="K5-POLICY",AG15&lt;&gt;"นิติศาสตร์",OR(T15="S2",T15="K5")),V15,AND(AH15="K5-POLICY",AG15&lt;&gt;"นิติศาสตร์",OR(K15="M2",K15="K4"),Q15&gt;=2),EDATE(P15,12*2),AND(AH15="K5-POLICY",AG15&lt;&gt;"นิติศาสตร์",K15="S1",Q15&gt;=1),EDATE(P15,12),AND(AH15="K5-POLICY",AG15&lt;&gt;"นิติศาสตร์",OR(K15="S2",K15="K5")),P15,TRUE,"Check Data")</f>
        <v/>
      </c>
      <c r="AJ15" s="75" t="str">
        <f t="shared" si="13"/>
        <v>Check Data</v>
      </c>
      <c r="AK15" s="76" t="str">
        <f t="shared" si="14"/>
        <v>Check Data</v>
      </c>
      <c r="AL15" s="50" t="str">
        <f t="shared" si="15"/>
        <v>Check Data</v>
      </c>
      <c r="AM15" s="49" t="str">
        <f>IF(B15="","",IF(K15="S1","S1",INDEX(#REF!,#REF!)))</f>
        <v/>
      </c>
      <c r="AN15" s="49" t="str">
        <f>K15</f>
        <v>S1</v>
      </c>
      <c r="AO15" s="50" t="b">
        <f>K15=AM15</f>
        <v>0</v>
      </c>
      <c r="AP15" s="50"/>
    </row>
    <row r="16" spans="1:42">
      <c r="A16" s="49">
        <v>6</v>
      </c>
      <c r="B16" s="50"/>
      <c r="C16" s="50"/>
      <c r="D16" s="50" t="s">
        <v>34</v>
      </c>
      <c r="E16" s="49" t="s">
        <v>204</v>
      </c>
      <c r="F16" s="49" t="str">
        <f t="shared" si="0"/>
        <v>23/12/1997</v>
      </c>
      <c r="G16" s="50">
        <f t="shared" si="1"/>
        <v>27</v>
      </c>
      <c r="H16" s="50">
        <f t="shared" si="2"/>
        <v>5</v>
      </c>
      <c r="I16" s="50">
        <f t="shared" si="3"/>
        <v>28</v>
      </c>
      <c r="J16" s="50" t="s">
        <v>153</v>
      </c>
      <c r="K16" s="49" t="s">
        <v>135</v>
      </c>
      <c r="L16" s="64"/>
      <c r="M16" s="49" t="s">
        <v>425</v>
      </c>
      <c r="N16" s="49" t="s">
        <v>493</v>
      </c>
      <c r="O16" s="65" t="s">
        <v>184</v>
      </c>
      <c r="P16" s="49" t="str">
        <f t="shared" si="4"/>
        <v>24/07/2023</v>
      </c>
      <c r="Q16" s="68">
        <f t="shared" si="5"/>
        <v>1</v>
      </c>
      <c r="R16" s="68">
        <f t="shared" si="6"/>
        <v>10</v>
      </c>
      <c r="S16" s="68">
        <f t="shared" si="7"/>
        <v>27</v>
      </c>
      <c r="T16" s="65" t="s">
        <v>136</v>
      </c>
      <c r="U16" s="65" t="s">
        <v>205</v>
      </c>
      <c r="V16" s="49" t="str">
        <f t="shared" si="8"/>
        <v>26/10/2016</v>
      </c>
      <c r="W16" s="68">
        <f>IF(V16="",0,DATEDIF(V16,P16,"Y"))</f>
        <v>6</v>
      </c>
      <c r="X16" s="68">
        <f>IF(V16="",0,DATEDIF(V16,P16,"YM"))</f>
        <v>8</v>
      </c>
      <c r="Y16" s="68">
        <f>IF(V16="",0,DATEDIF(V16,P16,"MD"))</f>
        <v>28</v>
      </c>
      <c r="Z16" s="69" t="s">
        <v>88</v>
      </c>
      <c r="AA16" s="65" t="s">
        <v>495</v>
      </c>
      <c r="AB16" s="50" t="str">
        <f t="shared" si="9"/>
        <v>12/11/2010</v>
      </c>
      <c r="AC16" s="68">
        <f t="shared" si="10"/>
        <v>5</v>
      </c>
      <c r="AD16" s="68">
        <f t="shared" si="11"/>
        <v>11</v>
      </c>
      <c r="AE16" s="68">
        <f t="shared" si="12"/>
        <v>14</v>
      </c>
      <c r="AF16" s="50"/>
      <c r="AG16" s="50" t="s">
        <v>138</v>
      </c>
      <c r="AH16" s="49" t="str">
        <f>IF(AG16="นิติศาสตร์","K5-LAW","K5-POLICY")</f>
        <v>K5-LAW</v>
      </c>
      <c r="AI16" s="72" t="str">
        <f>_xlfn.IFS(B16="","",AND(AH16="K5-LAW",AG16="นิติศาสตร์",K16="S2",T16="",Z16=""),P16,AND(AH16="K5-LAW",AG16="นิติศาสตร์",K16="S1",T16="",Z16=""),EDATE(P16,12),AND(AH16="K5-LAW",AG16="นิติศาสตร์",OR(K16="M2",K16="K4"),T16="",Z16=""),EDATE(P16,12*2),AND(AH16="K5-LAW",AG16="นิติศาสตร์",OR(Z16="M2",Z16="K4"),AC16&gt;=2,OR(AB16&lt;V16,AB16&lt;P16)),EDATE(AB16,12*2),AND(AH16="K5-LAW",AG16="นิติศาสตร์",Z16="S1",AC16&gt;=1,OR(AB16&lt;V16,AB16&lt;P16)),EDATE(AB16,12),AND(AH16="K5-LAW",AG16="นิติศาสตร์",OR(T16="M2",T16="K4"),W16&gt;=2,V16&lt;P16),EDATE(V16,12*2),AND(AH16="K5-LAW",AG16="นิติศาสตร์",T16="S1",W16&gt;=1,V16&lt;P16),EDATE(V16,12),AND(AH16="K5-LAW",AG16="นิติศาสตร์",OR(T16="S2",T16="K5")),V16,AND(AH16="K5-LAW",AG16="นิติศาสตร์",OR(K16="M2",K16="K4"),Q16&gt;=2),EDATE(P16,12*2),AND(AH16="K5-LAW",AG16="นิติศาสตร์",K16="S1",Q16&gt;=1),EDATE(P16,12),AND(AH16="K5-LAW",AG16="นิติศาสตร์",OR(K16="S2",K16="K5")),P16,AND(AH16="K5-POLICY",AG16&lt;&gt;"นิติศาสตร์",K16="S2",T16="",Z16=""),P16,AND(AH16="K5-POLICY",AG16&lt;&gt;"นิติศาสตร์",K16="S1",T16="",Z16=""),EDATE(P16,12),AND(AH16="K5-POLICY",AG16&lt;&gt;"นิติศาสตร์",OR(K16="M2",K16="K4"),T16="",Z16=""),EDATE(P16,12*2),AND(AH16="K5-POLICY",AG16&lt;&gt;"นิติศาสตร์",OR(Z16="M2",Z16="K4"),AC16&gt;=2,OR(AB16&lt;V16,AB16&lt;P16)),EDATE(AB16,12*2),AND(AH16="K5-POLICY",AG16&lt;&gt;"นิติศาสตร์",Z16="S1",AC16&gt;=1,OR(AB16&lt;V16,AB16&lt;P16)),EDATE(AB16,12),AND(AH16="K5-POLICY",AG16&lt;&gt;"นิติศาสตร์",OR(T16="M2",T16="K4"),W16&gt;=2,V16&lt;P16),EDATE(V16,12*2),AND(AH16="K5-POLICY",AG16&lt;&gt;"นิติศาสตร์",T16="S1",W16&gt;=1,V16&lt;P16),EDATE(V16,12),AND(AH16="K5-POLICY",AG16&lt;&gt;"นิติศาสตร์",OR(T16="S2",T16="K5")),V16,AND(AH16="K5-POLICY",AG16&lt;&gt;"นิติศาสตร์",OR(K16="M2",K16="K4"),Q16&gt;=2),EDATE(P16,12*2),AND(AH16="K5-POLICY",AG16&lt;&gt;"นิติศาสตร์",K16="S1",Q16&gt;=1),EDATE(P16,12),AND(AH16="K5-POLICY",AG16&lt;&gt;"นิติศาสตร์",OR(K16="S2",K16="K5")),P16,TRUE,"Check Data")</f>
        <v/>
      </c>
      <c r="AJ16" s="75" t="str">
        <f t="shared" si="13"/>
        <v>Check Data</v>
      </c>
      <c r="AK16" s="76" t="str">
        <f t="shared" si="14"/>
        <v>Check Data</v>
      </c>
      <c r="AL16" s="50" t="str">
        <f t="shared" si="15"/>
        <v>Check Data</v>
      </c>
      <c r="AM16" s="49" t="str">
        <f>IF(B16="","",IF(K16="S1","S1",INDEX(#REF!,#REF!)))</f>
        <v/>
      </c>
      <c r="AN16" s="49" t="str">
        <f>K16</f>
        <v>S1</v>
      </c>
      <c r="AO16" s="50" t="b">
        <f>K16=AM16</f>
        <v>0</v>
      </c>
      <c r="AP16" s="50"/>
    </row>
    <row r="17" spans="1:42">
      <c r="A17" s="49">
        <v>7</v>
      </c>
      <c r="B17" s="50"/>
      <c r="C17" s="50"/>
      <c r="D17" s="50" t="s">
        <v>142</v>
      </c>
      <c r="E17" s="49" t="s">
        <v>424</v>
      </c>
      <c r="F17" s="49" t="str">
        <f t="shared" si="0"/>
        <v>26/10/1995</v>
      </c>
      <c r="G17" s="50">
        <f t="shared" si="1"/>
        <v>29</v>
      </c>
      <c r="H17" s="50">
        <f t="shared" si="2"/>
        <v>7</v>
      </c>
      <c r="I17" s="50">
        <f t="shared" si="3"/>
        <v>25</v>
      </c>
      <c r="J17" s="50" t="s">
        <v>157</v>
      </c>
      <c r="K17" s="49" t="s">
        <v>135</v>
      </c>
      <c r="L17" s="64"/>
      <c r="M17" s="49"/>
      <c r="N17" s="49">
        <v>2571</v>
      </c>
      <c r="O17" s="65" t="s">
        <v>496</v>
      </c>
      <c r="P17" s="49" t="str">
        <f t="shared" si="4"/>
        <v>26/07/2024</v>
      </c>
      <c r="Q17" s="68">
        <f t="shared" si="5"/>
        <v>0</v>
      </c>
      <c r="R17" s="68">
        <f t="shared" si="6"/>
        <v>10</v>
      </c>
      <c r="S17" s="68">
        <f t="shared" si="7"/>
        <v>25</v>
      </c>
      <c r="T17" s="65" t="s">
        <v>136</v>
      </c>
      <c r="U17" s="65" t="s">
        <v>270</v>
      </c>
      <c r="V17" s="49" t="str">
        <f t="shared" si="8"/>
        <v>15/08/2012</v>
      </c>
      <c r="W17" s="68">
        <f>IF(V17="",0,DATEDIF(V17,P17,"Y"))</f>
        <v>11</v>
      </c>
      <c r="X17" s="68">
        <f>IF(V17="",0,DATEDIF(V17,P17,"YM"))</f>
        <v>11</v>
      </c>
      <c r="Y17" s="68">
        <f>IF(V17="",0,DATEDIF(V17,P17,"MD"))</f>
        <v>11</v>
      </c>
      <c r="Z17" s="49"/>
      <c r="AA17" s="65"/>
      <c r="AB17" s="50" t="str">
        <f t="shared" si="9"/>
        <v/>
      </c>
      <c r="AC17" s="68">
        <f t="shared" si="10"/>
        <v>0</v>
      </c>
      <c r="AD17" s="68">
        <f t="shared" si="11"/>
        <v>0</v>
      </c>
      <c r="AE17" s="68">
        <f t="shared" si="12"/>
        <v>0</v>
      </c>
      <c r="AF17" s="50"/>
      <c r="AG17" s="50" t="s">
        <v>138</v>
      </c>
      <c r="AH17" s="49" t="str">
        <f>IF(AG17="นิติศาสตร์","K5-LAW","K5-POLICY")</f>
        <v>K5-LAW</v>
      </c>
      <c r="AI17" s="72" t="str">
        <f>_xlfn.IFS(B17="","",AND(AH17="K5-LAW",AG17="นิติศาสตร์",K17="S2",T17="",Z17=""),P17,AND(AH17="K5-LAW",AG17="นิติศาสตร์",K17="S1",T17="",Z17=""),EDATE(P17,12),AND(AH17="K5-LAW",AG17="นิติศาสตร์",OR(K17="M2",K17="K4"),T17="",Z17=""),EDATE(P17,12*2),AND(AH17="K5-LAW",AG17="นิติศาสตร์",OR(Z17="M2",Z17="K4"),AC17&gt;=2,OR(AB17&lt;V17,AB17&lt;P17)),EDATE(AB17,12*2),AND(AH17="K5-LAW",AG17="นิติศาสตร์",Z17="S1",AC17&gt;=1,OR(AB17&lt;V17,AB17&lt;P17)),EDATE(AB17,12),AND(AH17="K5-LAW",AG17="นิติศาสตร์",OR(T17="M2",T17="K4"),W17&gt;=2,V17&lt;P17),EDATE(V17,12*2),AND(AH17="K5-LAW",AG17="นิติศาสตร์",T17="S1",W17&gt;=1,V17&lt;P17),EDATE(V17,12),AND(AH17="K5-LAW",AG17="นิติศาสตร์",OR(T17="S2",T17="K5")),V17,AND(AH17="K5-LAW",AG17="นิติศาสตร์",OR(K17="M2",K17="K4"),Q17&gt;=2),EDATE(P17,12*2),AND(AH17="K5-LAW",AG17="นิติศาสตร์",K17="S1",Q17&gt;=1),EDATE(P17,12),AND(AH17="K5-LAW",AG17="นิติศาสตร์",OR(K17="S2",K17="K5")),P17,AND(AH17="K5-POLICY",AG17&lt;&gt;"นิติศาสตร์",K17="S2",T17="",Z17=""),P17,AND(AH17="K5-POLICY",AG17&lt;&gt;"นิติศาสตร์",K17="S1",T17="",Z17=""),EDATE(P17,12),AND(AH17="K5-POLICY",AG17&lt;&gt;"นิติศาสตร์",OR(K17="M2",K17="K4"),T17="",Z17=""),EDATE(P17,12*2),AND(AH17="K5-POLICY",AG17&lt;&gt;"นิติศาสตร์",OR(Z17="M2",Z17="K4"),AC17&gt;=2,OR(AB17&lt;V17,AB17&lt;P17)),EDATE(AB17,12*2),AND(AH17="K5-POLICY",AG17&lt;&gt;"นิติศาสตร์",Z17="S1",AC17&gt;=1,OR(AB17&lt;V17,AB17&lt;P17)),EDATE(AB17,12),AND(AH17="K5-POLICY",AG17&lt;&gt;"นิติศาสตร์",OR(T17="M2",T17="K4"),W17&gt;=2,V17&lt;P17),EDATE(V17,12*2),AND(AH17="K5-POLICY",AG17&lt;&gt;"นิติศาสตร์",T17="S1",W17&gt;=1,V17&lt;P17),EDATE(V17,12),AND(AH17="K5-POLICY",AG17&lt;&gt;"นิติศาสตร์",OR(T17="S2",T17="K5")),V17,AND(AH17="K5-POLICY",AG17&lt;&gt;"นิติศาสตร์",OR(K17="M2",K17="K4"),Q17&gt;=2),EDATE(P17,12*2),AND(AH17="K5-POLICY",AG17&lt;&gt;"นิติศาสตร์",K17="S1",Q17&gt;=1),EDATE(P17,12),AND(AH17="K5-POLICY",AG17&lt;&gt;"นิติศาสตร์",OR(K17="S2",K17="K5")),P17,TRUE,"Check Data")</f>
        <v/>
      </c>
      <c r="AJ17" s="75" t="str">
        <f t="shared" si="13"/>
        <v>Check Data</v>
      </c>
      <c r="AK17" s="76" t="str">
        <f t="shared" si="14"/>
        <v>Check Data</v>
      </c>
      <c r="AL17" s="50" t="str">
        <f t="shared" si="15"/>
        <v>Check Data</v>
      </c>
      <c r="AM17" s="49" t="str">
        <f>IF(B17="","",IF(K17="S1","S1",INDEX(#REF!,#REF!)))</f>
        <v/>
      </c>
      <c r="AN17" s="49" t="str">
        <f>K17</f>
        <v>S1</v>
      </c>
      <c r="AO17" s="50" t="b">
        <f>K17=AM17</f>
        <v>0</v>
      </c>
      <c r="AP17" s="50"/>
    </row>
    <row r="18" spans="1:42">
      <c r="A18" s="49">
        <v>8</v>
      </c>
      <c r="B18" s="50"/>
      <c r="C18" s="50"/>
      <c r="D18" s="50" t="s">
        <v>141</v>
      </c>
      <c r="E18" s="49" t="s">
        <v>176</v>
      </c>
      <c r="F18" s="49" t="str">
        <f t="shared" si="0"/>
        <v>01/03/1990</v>
      </c>
      <c r="G18" s="50">
        <f t="shared" si="1"/>
        <v>35</v>
      </c>
      <c r="H18" s="50">
        <f t="shared" si="2"/>
        <v>3</v>
      </c>
      <c r="I18" s="50">
        <f t="shared" si="3"/>
        <v>19</v>
      </c>
      <c r="J18" s="50" t="s">
        <v>156</v>
      </c>
      <c r="K18" s="49" t="s">
        <v>135</v>
      </c>
      <c r="L18" s="64"/>
      <c r="M18" s="49"/>
      <c r="N18" s="49">
        <v>2569</v>
      </c>
      <c r="O18" s="65" t="s">
        <v>496</v>
      </c>
      <c r="P18" s="49" t="str">
        <f t="shared" si="4"/>
        <v>26/07/2024</v>
      </c>
      <c r="Q18" s="68">
        <f t="shared" si="5"/>
        <v>0</v>
      </c>
      <c r="R18" s="68">
        <f t="shared" si="6"/>
        <v>10</v>
      </c>
      <c r="S18" s="68">
        <f t="shared" si="7"/>
        <v>25</v>
      </c>
      <c r="T18" s="65" t="s">
        <v>136</v>
      </c>
      <c r="U18" s="65" t="s">
        <v>242</v>
      </c>
      <c r="V18" s="49" t="str">
        <f t="shared" si="8"/>
        <v>20/04/2018</v>
      </c>
      <c r="W18" s="68">
        <f>IF(V18="",0,DATEDIF(V18,P18,"Y"))</f>
        <v>6</v>
      </c>
      <c r="X18" s="68">
        <f>IF(V18="",0,DATEDIF(V18,P18,"YM"))</f>
        <v>3</v>
      </c>
      <c r="Y18" s="68">
        <f>IF(V18="",0,DATEDIF(V18,P18,"MD"))</f>
        <v>6</v>
      </c>
      <c r="Z18" s="49"/>
      <c r="AA18" s="65"/>
      <c r="AB18" s="50" t="str">
        <f t="shared" si="9"/>
        <v/>
      </c>
      <c r="AC18" s="68">
        <f t="shared" si="10"/>
        <v>0</v>
      </c>
      <c r="AD18" s="68">
        <f t="shared" si="11"/>
        <v>0</v>
      </c>
      <c r="AE18" s="68">
        <f t="shared" si="12"/>
        <v>0</v>
      </c>
      <c r="AF18" s="50"/>
      <c r="AG18" s="50" t="s">
        <v>138</v>
      </c>
      <c r="AH18" s="49" t="str">
        <f>IF(AG18="นิติศาสตร์","K5-LAW","K5-POLICY")</f>
        <v>K5-LAW</v>
      </c>
      <c r="AI18" s="72" t="str">
        <f>_xlfn.IFS(B18="","",AND(AH18="K5-LAW",AG18="นิติศาสตร์",K18="S2",T18="",Z18=""),P18,AND(AH18="K5-LAW",AG18="นิติศาสตร์",K18="S1",T18="",Z18=""),EDATE(P18,12),AND(AH18="K5-LAW",AG18="นิติศาสตร์",OR(K18="M2",K18="K4"),T18="",Z18=""),EDATE(P18,12*2),AND(AH18="K5-LAW",AG18="นิติศาสตร์",OR(Z18="M2",Z18="K4"),AC18&gt;=2,OR(AB18&lt;V18,AB18&lt;P18)),EDATE(AB18,12*2),AND(AH18="K5-LAW",AG18="นิติศาสตร์",Z18="S1",AC18&gt;=1,OR(AB18&lt;V18,AB18&lt;P18)),EDATE(AB18,12),AND(AH18="K5-LAW",AG18="นิติศาสตร์",OR(T18="M2",T18="K4"),W18&gt;=2,V18&lt;P18),EDATE(V18,12*2),AND(AH18="K5-LAW",AG18="นิติศาสตร์",T18="S1",W18&gt;=1,V18&lt;P18),EDATE(V18,12),AND(AH18="K5-LAW",AG18="นิติศาสตร์",OR(T18="S2",T18="K5")),V18,AND(AH18="K5-LAW",AG18="นิติศาสตร์",OR(K18="M2",K18="K4"),Q18&gt;=2),EDATE(P18,12*2),AND(AH18="K5-LAW",AG18="นิติศาสตร์",K18="S1",Q18&gt;=1),EDATE(P18,12),AND(AH18="K5-LAW",AG18="นิติศาสตร์",OR(K18="S2",K18="K5")),P18,AND(AH18="K5-POLICY",AG18&lt;&gt;"นิติศาสตร์",K18="S2",T18="",Z18=""),P18,AND(AH18="K5-POLICY",AG18&lt;&gt;"นิติศาสตร์",K18="S1",T18="",Z18=""),EDATE(P18,12),AND(AH18="K5-POLICY",AG18&lt;&gt;"นิติศาสตร์",OR(K18="M2",K18="K4"),T18="",Z18=""),EDATE(P18,12*2),AND(AH18="K5-POLICY",AG18&lt;&gt;"นิติศาสตร์",OR(Z18="M2",Z18="K4"),AC18&gt;=2,OR(AB18&lt;V18,AB18&lt;P18)),EDATE(AB18,12*2),AND(AH18="K5-POLICY",AG18&lt;&gt;"นิติศาสตร์",Z18="S1",AC18&gt;=1,OR(AB18&lt;V18,AB18&lt;P18)),EDATE(AB18,12),AND(AH18="K5-POLICY",AG18&lt;&gt;"นิติศาสตร์",OR(T18="M2",T18="K4"),W18&gt;=2,V18&lt;P18),EDATE(V18,12*2),AND(AH18="K5-POLICY",AG18&lt;&gt;"นิติศาสตร์",T18="S1",W18&gt;=1,V18&lt;P18),EDATE(V18,12),AND(AH18="K5-POLICY",AG18&lt;&gt;"นิติศาสตร์",OR(T18="S2",T18="K5")),V18,AND(AH18="K5-POLICY",AG18&lt;&gt;"นิติศาสตร์",OR(K18="M2",K18="K4"),Q18&gt;=2),EDATE(P18,12*2),AND(AH18="K5-POLICY",AG18&lt;&gt;"นิติศาสตร์",K18="S1",Q18&gt;=1),EDATE(P18,12),AND(AH18="K5-POLICY",AG18&lt;&gt;"นิติศาสตร์",OR(K18="S2",K18="K5")),P18,TRUE,"Check Data")</f>
        <v/>
      </c>
      <c r="AJ18" s="75" t="str">
        <f t="shared" si="13"/>
        <v>Check Data</v>
      </c>
      <c r="AK18" s="76" t="str">
        <f t="shared" si="14"/>
        <v>Check Data</v>
      </c>
      <c r="AL18" s="50" t="str">
        <f t="shared" si="15"/>
        <v>Check Data</v>
      </c>
      <c r="AM18" s="49" t="str">
        <f>IF(B18="","",IF(K18="S1","S1",INDEX(#REF!,#REF!)))</f>
        <v/>
      </c>
      <c r="AN18" s="49" t="str">
        <f>K18</f>
        <v>S1</v>
      </c>
      <c r="AO18" s="50" t="b">
        <f>K18=AM18</f>
        <v>0</v>
      </c>
      <c r="AP18" s="50"/>
    </row>
    <row r="19" spans="1:42">
      <c r="A19" s="49">
        <v>9</v>
      </c>
      <c r="B19" s="50"/>
      <c r="C19" s="50"/>
      <c r="D19" s="50" t="s">
        <v>141</v>
      </c>
      <c r="E19" s="49" t="s">
        <v>208</v>
      </c>
      <c r="F19" s="49" t="str">
        <f t="shared" si="0"/>
        <v>01/02/1990</v>
      </c>
      <c r="G19" s="50">
        <f t="shared" si="1"/>
        <v>35</v>
      </c>
      <c r="H19" s="50">
        <f t="shared" si="2"/>
        <v>4</v>
      </c>
      <c r="I19" s="50">
        <f t="shared" si="3"/>
        <v>19</v>
      </c>
      <c r="J19" s="50" t="s">
        <v>156</v>
      </c>
      <c r="K19" s="49" t="s">
        <v>135</v>
      </c>
      <c r="L19" s="64"/>
      <c r="M19" s="49"/>
      <c r="N19" s="49">
        <v>2569</v>
      </c>
      <c r="O19" s="65" t="s">
        <v>496</v>
      </c>
      <c r="P19" s="49" t="str">
        <f t="shared" si="4"/>
        <v>26/07/2024</v>
      </c>
      <c r="Q19" s="68">
        <f t="shared" si="5"/>
        <v>0</v>
      </c>
      <c r="R19" s="68">
        <f t="shared" si="6"/>
        <v>10</v>
      </c>
      <c r="S19" s="68">
        <f t="shared" si="7"/>
        <v>25</v>
      </c>
      <c r="T19" s="65" t="s">
        <v>136</v>
      </c>
      <c r="U19" s="65" t="s">
        <v>242</v>
      </c>
      <c r="V19" s="49" t="str">
        <f t="shared" si="8"/>
        <v>20/04/2018</v>
      </c>
      <c r="W19" s="68">
        <f>IF(V19="",0,DATEDIF(V19,P19,"Y"))</f>
        <v>6</v>
      </c>
      <c r="X19" s="68">
        <f>IF(V19="",0,DATEDIF(V19,P19,"YM"))</f>
        <v>3</v>
      </c>
      <c r="Y19" s="68">
        <f>IF(V19="",0,DATEDIF(V19,P19,"MD"))</f>
        <v>6</v>
      </c>
      <c r="Z19" s="49"/>
      <c r="AA19" s="65"/>
      <c r="AB19" s="50" t="str">
        <f t="shared" si="9"/>
        <v/>
      </c>
      <c r="AC19" s="68">
        <f t="shared" si="10"/>
        <v>0</v>
      </c>
      <c r="AD19" s="68">
        <f t="shared" si="11"/>
        <v>0</v>
      </c>
      <c r="AE19" s="68">
        <f t="shared" si="12"/>
        <v>0</v>
      </c>
      <c r="AF19" s="50"/>
      <c r="AG19" s="50" t="s">
        <v>138</v>
      </c>
      <c r="AH19" s="49" t="str">
        <f>IF(AG19="นิติศาสตร์","K5-LAW","K5-POLICY")</f>
        <v>K5-LAW</v>
      </c>
      <c r="AI19" s="72" t="str">
        <f>_xlfn.IFS(B19="","",AND(AH19="K5-LAW",AG19="นิติศาสตร์",K19="S2",T19="",Z19=""),P19,AND(AH19="K5-LAW",AG19="นิติศาสตร์",K19="S1",T19="",Z19=""),EDATE(P19,12),AND(AH19="K5-LAW",AG19="นิติศาสตร์",OR(K19="M2",K19="K4"),T19="",Z19=""),EDATE(P19,12*2),AND(AH19="K5-LAW",AG19="นิติศาสตร์",OR(Z19="M2",Z19="K4"),AC19&gt;=2,OR(AB19&lt;V19,AB19&lt;P19)),EDATE(AB19,12*2),AND(AH19="K5-LAW",AG19="นิติศาสตร์",Z19="S1",AC19&gt;=1,OR(AB19&lt;V19,AB19&lt;P19)),EDATE(AB19,12),AND(AH19="K5-LAW",AG19="นิติศาสตร์",OR(T19="M2",T19="K4"),W19&gt;=2,V19&lt;P19),EDATE(V19,12*2),AND(AH19="K5-LAW",AG19="นิติศาสตร์",T19="S1",W19&gt;=1,V19&lt;P19),EDATE(V19,12),AND(AH19="K5-LAW",AG19="นิติศาสตร์",OR(T19="S2",T19="K5")),V19,AND(AH19="K5-LAW",AG19="นิติศาสตร์",OR(K19="M2",K19="K4"),Q19&gt;=2),EDATE(P19,12*2),AND(AH19="K5-LAW",AG19="นิติศาสตร์",K19="S1",Q19&gt;=1),EDATE(P19,12),AND(AH19="K5-LAW",AG19="นิติศาสตร์",OR(K19="S2",K19="K5")),P19,AND(AH19="K5-POLICY",AG19&lt;&gt;"นิติศาสตร์",K19="S2",T19="",Z19=""),P19,AND(AH19="K5-POLICY",AG19&lt;&gt;"นิติศาสตร์",K19="S1",T19="",Z19=""),EDATE(P19,12),AND(AH19="K5-POLICY",AG19&lt;&gt;"นิติศาสตร์",OR(K19="M2",K19="K4"),T19="",Z19=""),EDATE(P19,12*2),AND(AH19="K5-POLICY",AG19&lt;&gt;"นิติศาสตร์",OR(Z19="M2",Z19="K4"),AC19&gt;=2,OR(AB19&lt;V19,AB19&lt;P19)),EDATE(AB19,12*2),AND(AH19="K5-POLICY",AG19&lt;&gt;"นิติศาสตร์",Z19="S1",AC19&gt;=1,OR(AB19&lt;V19,AB19&lt;P19)),EDATE(AB19,12),AND(AH19="K5-POLICY",AG19&lt;&gt;"นิติศาสตร์",OR(T19="M2",T19="K4"),W19&gt;=2,V19&lt;P19),EDATE(V19,12*2),AND(AH19="K5-POLICY",AG19&lt;&gt;"นิติศาสตร์",T19="S1",W19&gt;=1,V19&lt;P19),EDATE(V19,12),AND(AH19="K5-POLICY",AG19&lt;&gt;"นิติศาสตร์",OR(T19="S2",T19="K5")),V19,AND(AH19="K5-POLICY",AG19&lt;&gt;"นิติศาสตร์",OR(K19="M2",K19="K4"),Q19&gt;=2),EDATE(P19,12*2),AND(AH19="K5-POLICY",AG19&lt;&gt;"นิติศาสตร์",K19="S1",Q19&gt;=1),EDATE(P19,12),AND(AH19="K5-POLICY",AG19&lt;&gt;"นิติศาสตร์",OR(K19="S2",K19="K5")),P19,TRUE,"Check Data")</f>
        <v/>
      </c>
      <c r="AJ19" s="75" t="str">
        <f t="shared" si="13"/>
        <v>Check Data</v>
      </c>
      <c r="AK19" s="76" t="str">
        <f t="shared" si="14"/>
        <v>Check Data</v>
      </c>
      <c r="AL19" s="50" t="str">
        <f t="shared" si="15"/>
        <v>Check Data</v>
      </c>
      <c r="AM19" s="49" t="str">
        <f>IF(B19="","",IF(K19="S1","S1",INDEX(#REF!,#REF!)))</f>
        <v/>
      </c>
      <c r="AN19" s="49" t="str">
        <f>K19</f>
        <v>S1</v>
      </c>
      <c r="AO19" s="50" t="b">
        <f>K19=AM19</f>
        <v>0</v>
      </c>
      <c r="AP19" s="50"/>
    </row>
    <row r="20" spans="1:42" customFormat="1">
      <c r="A20" s="49">
        <v>18</v>
      </c>
      <c r="B20" s="50"/>
      <c r="C20" s="50"/>
      <c r="D20" s="50" t="s">
        <v>139</v>
      </c>
      <c r="E20" s="49" t="s">
        <v>217</v>
      </c>
      <c r="F20" s="49" t="str">
        <f t="shared" si="0"/>
        <v>02/01/1990</v>
      </c>
      <c r="G20" s="50">
        <f t="shared" si="1"/>
        <v>35</v>
      </c>
      <c r="H20" s="50">
        <f t="shared" si="2"/>
        <v>5</v>
      </c>
      <c r="I20" s="50">
        <f t="shared" si="3"/>
        <v>18</v>
      </c>
      <c r="J20" s="50" t="s">
        <v>154</v>
      </c>
      <c r="K20" s="49" t="s">
        <v>135</v>
      </c>
      <c r="L20" s="64"/>
      <c r="M20" s="49"/>
      <c r="N20" s="49">
        <v>2571</v>
      </c>
      <c r="O20" s="65" t="s">
        <v>496</v>
      </c>
      <c r="P20" s="49" t="str">
        <f t="shared" si="4"/>
        <v>26/07/2024</v>
      </c>
      <c r="Q20" s="68">
        <f t="shared" si="5"/>
        <v>0</v>
      </c>
      <c r="R20" s="68">
        <f t="shared" si="6"/>
        <v>10</v>
      </c>
      <c r="S20" s="68">
        <f t="shared" si="7"/>
        <v>25</v>
      </c>
      <c r="T20" s="65" t="s">
        <v>136</v>
      </c>
      <c r="U20" s="65" t="s">
        <v>177</v>
      </c>
      <c r="V20" s="49" t="str">
        <f t="shared" si="8"/>
        <v>01/10/2019</v>
      </c>
      <c r="W20" s="68">
        <f>IF(V20="",0,DATEDIF(V20,P20,"Y"))</f>
        <v>4</v>
      </c>
      <c r="X20" s="68">
        <f>IF(V20="",0,DATEDIF(V20,P20,"YM"))</f>
        <v>9</v>
      </c>
      <c r="Y20" s="68">
        <f>IF(V20="",0,DATEDIF(V20,P20,"MD"))</f>
        <v>25</v>
      </c>
      <c r="Z20" s="49"/>
      <c r="AA20" s="65"/>
      <c r="AB20" s="50" t="str">
        <f t="shared" si="9"/>
        <v/>
      </c>
      <c r="AC20" s="68">
        <f t="shared" si="10"/>
        <v>0</v>
      </c>
      <c r="AD20" s="68">
        <f t="shared" si="11"/>
        <v>0</v>
      </c>
      <c r="AE20" s="68">
        <f t="shared" si="12"/>
        <v>0</v>
      </c>
      <c r="AF20" s="50"/>
      <c r="AG20" s="50" t="s">
        <v>218</v>
      </c>
      <c r="AH20" s="49" t="str">
        <f>IF(AG20="นิติศาสตร์","K5-LAW","K5-POLICY")</f>
        <v>K5-POLICY</v>
      </c>
      <c r="AI20" s="72" t="str">
        <f>_xlfn.IFS(B20="","",AND(AH20="K5-LAW",AG20="นิติศาสตร์",K20="S2",T20="",Z20=""),P20,AND(AH20="K5-LAW",AG20="นิติศาสตร์",K20="S1",T20="",Z20=""),EDATE(P20,12),AND(AH20="K5-LAW",AG20="นิติศาสตร์",OR(K20="M2",K20="K4"),T20="",Z20=""),EDATE(P20,12*2),AND(AH20="K5-LAW",AG20="นิติศาสตร์",OR(Z20="M2",Z20="K4"),AC20&gt;=2,OR(AB20&lt;V20,AB20&lt;P20)),EDATE(AB20,12*2),AND(AH20="K5-LAW",AG20="นิติศาสตร์",Z20="S1",AC20&gt;=1,OR(AB20&lt;V20,AB20&lt;P20)),EDATE(AB20,12),AND(AH20="K5-LAW",AG20="นิติศาสตร์",OR(T20="M2",T20="K4"),W20&gt;=2,V20&lt;P20),EDATE(V20,12*2),AND(AH20="K5-LAW",AG20="นิติศาสตร์",T20="S1",W20&gt;=1,V20&lt;P20),EDATE(V20,12),AND(AH20="K5-LAW",AG20="นิติศาสตร์",OR(T20="S2",T20="K5")),V20,AND(AH20="K5-LAW",AG20="นิติศาสตร์",OR(K20="M2",K20="K4"),Q20&gt;=2),EDATE(P20,12*2),AND(AH20="K5-LAW",AG20="นิติศาสตร์",K20="S1",Q20&gt;=1),EDATE(P20,12),AND(AH20="K5-LAW",AG20="นิติศาสตร์",OR(K20="S2",K20="K5")),P20,AND(AH20="K5-POLICY",AG20&lt;&gt;"นิติศาสตร์",K20="S2",T20="",Z20=""),P20,AND(AH20="K5-POLICY",AG20&lt;&gt;"นิติศาสตร์",K20="S1",T20="",Z20=""),EDATE(P20,12),AND(AH20="K5-POLICY",AG20&lt;&gt;"นิติศาสตร์",OR(K20="M2",K20="K4"),T20="",Z20=""),EDATE(P20,12*2),AND(AH20="K5-POLICY",AG20&lt;&gt;"นิติศาสตร์",OR(Z20="M2",Z20="K4"),AC20&gt;=2,OR(AB20&lt;V20,AB20&lt;P20)),EDATE(AB20,12*2),AND(AH20="K5-POLICY",AG20&lt;&gt;"นิติศาสตร์",Z20="S1",AC20&gt;=1,OR(AB20&lt;V20,AB20&lt;P20)),EDATE(AB20,12),AND(AH20="K5-POLICY",AG20&lt;&gt;"นิติศาสตร์",OR(T20="M2",T20="K4"),W20&gt;=2,V20&lt;P20),EDATE(V20,12*2),AND(AH20="K5-POLICY",AG20&lt;&gt;"นิติศาสตร์",T20="S1",W20&gt;=1,V20&lt;P20),EDATE(V20,12),AND(AH20="K5-POLICY",AG20&lt;&gt;"นิติศาสตร์",OR(T20="S2",T20="K5")),V20,AND(AH20="K5-POLICY",AG20&lt;&gt;"นิติศาสตร์",OR(K20="M2",K20="K4"),Q20&gt;=2),EDATE(P20,12*2),AND(AH20="K5-POLICY",AG20&lt;&gt;"นิติศาสตร์",K20="S1",Q20&gt;=1),EDATE(P20,12),AND(AH20="K5-POLICY",AG20&lt;&gt;"นิติศาสตร์",OR(K20="S2",K20="K5")),P20,TRUE,"Check Data")</f>
        <v/>
      </c>
      <c r="AJ20" s="75" t="str">
        <f t="shared" si="13"/>
        <v>Check Data</v>
      </c>
      <c r="AK20" s="76" t="str">
        <f t="shared" si="14"/>
        <v>Check Data</v>
      </c>
      <c r="AL20" s="50" t="str">
        <f t="shared" si="15"/>
        <v>Check Data</v>
      </c>
      <c r="AM20" s="49" t="str">
        <f>IF(B20="","",IF(K20="S1","S1",INDEX(#REF!,#REF!)))</f>
        <v/>
      </c>
      <c r="AN20" s="49" t="str">
        <f>K20</f>
        <v>S1</v>
      </c>
      <c r="AO20" s="50" t="b">
        <f>K20=AM20</f>
        <v>0</v>
      </c>
      <c r="AP20" s="50"/>
    </row>
    <row r="21" spans="1:42">
      <c r="A21" s="49">
        <v>10</v>
      </c>
      <c r="B21" s="50"/>
      <c r="C21" s="50"/>
      <c r="D21" s="50" t="s">
        <v>140</v>
      </c>
      <c r="E21" s="49" t="s">
        <v>176</v>
      </c>
      <c r="F21" s="49" t="str">
        <f t="shared" si="0"/>
        <v>01/03/1990</v>
      </c>
      <c r="G21" s="50">
        <f t="shared" si="1"/>
        <v>35</v>
      </c>
      <c r="H21" s="50">
        <f t="shared" si="2"/>
        <v>3</v>
      </c>
      <c r="I21" s="50">
        <f t="shared" si="3"/>
        <v>19</v>
      </c>
      <c r="J21" s="50" t="s">
        <v>155</v>
      </c>
      <c r="K21" s="49" t="s">
        <v>135</v>
      </c>
      <c r="L21" s="64"/>
      <c r="M21" s="49"/>
      <c r="N21" s="49">
        <v>2577</v>
      </c>
      <c r="O21" s="65" t="s">
        <v>496</v>
      </c>
      <c r="P21" s="49" t="str">
        <f t="shared" si="4"/>
        <v>26/07/2024</v>
      </c>
      <c r="Q21" s="68">
        <f t="shared" si="5"/>
        <v>0</v>
      </c>
      <c r="R21" s="68">
        <f t="shared" si="6"/>
        <v>10</v>
      </c>
      <c r="S21" s="68">
        <f t="shared" si="7"/>
        <v>25</v>
      </c>
      <c r="T21" s="65" t="s">
        <v>137</v>
      </c>
      <c r="U21" s="65" t="s">
        <v>402</v>
      </c>
      <c r="V21" s="49" t="str">
        <f t="shared" si="8"/>
        <v>15/05/2020</v>
      </c>
      <c r="W21" s="68">
        <f>IF(V21="",0,DATEDIF(V21,P21,"Y"))</f>
        <v>4</v>
      </c>
      <c r="X21" s="68">
        <f>IF(V21="",0,DATEDIF(V21,P21,"YM"))</f>
        <v>2</v>
      </c>
      <c r="Y21" s="68">
        <f>IF(V21="",0,DATEDIF(V21,P21,"MD"))</f>
        <v>11</v>
      </c>
      <c r="Z21" s="69"/>
      <c r="AA21" s="65"/>
      <c r="AB21" s="50" t="str">
        <f t="shared" si="9"/>
        <v/>
      </c>
      <c r="AC21" s="68">
        <f t="shared" si="10"/>
        <v>0</v>
      </c>
      <c r="AD21" s="68">
        <f t="shared" si="11"/>
        <v>0</v>
      </c>
      <c r="AE21" s="68">
        <f t="shared" si="12"/>
        <v>0</v>
      </c>
      <c r="AF21" s="50"/>
      <c r="AG21" s="50" t="s">
        <v>138</v>
      </c>
      <c r="AH21" s="49" t="str">
        <f>IF(AG21="นิติศาสตร์","K5-LAW","K5-POLICY")</f>
        <v>K5-LAW</v>
      </c>
      <c r="AI21" s="72" t="str">
        <f>_xlfn.IFS(B21="","",AND(AH21="K5-LAW",AG21="นิติศาสตร์",K21="S2",T21="",Z21=""),P21,AND(AH21="K5-LAW",AG21="นิติศาสตร์",K21="S1",T21="",Z21=""),EDATE(P21,12),AND(AH21="K5-LAW",AG21="นิติศาสตร์",OR(K21="M2",K21="K4"),T21="",Z21=""),EDATE(P21,12*2),AND(AH21="K5-LAW",AG21="นิติศาสตร์",OR(Z21="M2",Z21="K4"),AC21&gt;=2,OR(AB21&lt;V21,AB21&lt;P21)),EDATE(AB21,12*2),AND(AH21="K5-LAW",AG21="นิติศาสตร์",Z21="S1",AC21&gt;=1,OR(AB21&lt;V21,AB21&lt;P21)),EDATE(AB21,12),AND(AH21="K5-LAW",AG21="นิติศาสตร์",OR(T21="M2",T21="K4"),W21&gt;=2,V21&lt;P21),EDATE(V21,12*2),AND(AH21="K5-LAW",AG21="นิติศาสตร์",T21="S1",W21&gt;=1,V21&lt;P21),EDATE(V21,12),AND(AH21="K5-LAW",AG21="นิติศาสตร์",OR(T21="S2",T21="K5")),V21,AND(AH21="K5-LAW",AG21="นิติศาสตร์",OR(K21="M2",K21="K4"),Q21&gt;=2),EDATE(P21,12*2),AND(AH21="K5-LAW",AG21="นิติศาสตร์",K21="S1",Q21&gt;=1),EDATE(P21,12),AND(AH21="K5-LAW",AG21="นิติศาสตร์",OR(K21="S2",K21="K5")),P21,AND(AH21="K5-POLICY",AG21&lt;&gt;"นิติศาสตร์",K21="S2",T21="",Z21=""),P21,AND(AH21="K5-POLICY",AG21&lt;&gt;"นิติศาสตร์",K21="S1",T21="",Z21=""),EDATE(P21,12),AND(AH21="K5-POLICY",AG21&lt;&gt;"นิติศาสตร์",OR(K21="M2",K21="K4"),T21="",Z21=""),EDATE(P21,12*2),AND(AH21="K5-POLICY",AG21&lt;&gt;"นิติศาสตร์",OR(Z21="M2",Z21="K4"),AC21&gt;=2,OR(AB21&lt;V21,AB21&lt;P21)),EDATE(AB21,12*2),AND(AH21="K5-POLICY",AG21&lt;&gt;"นิติศาสตร์",Z21="S1",AC21&gt;=1,OR(AB21&lt;V21,AB21&lt;P21)),EDATE(AB21,12),AND(AH21="K5-POLICY",AG21&lt;&gt;"นิติศาสตร์",OR(T21="M2",T21="K4"),W21&gt;=2,V21&lt;P21),EDATE(V21,12*2),AND(AH21="K5-POLICY",AG21&lt;&gt;"นิติศาสตร์",T21="S1",W21&gt;=1,V21&lt;P21),EDATE(V21,12),AND(AH21="K5-POLICY",AG21&lt;&gt;"นิติศาสตร์",OR(T21="S2",T21="K5")),V21,AND(AH21="K5-POLICY",AG21&lt;&gt;"นิติศาสตร์",OR(K21="M2",K21="K4"),Q21&gt;=2),EDATE(P21,12*2),AND(AH21="K5-POLICY",AG21&lt;&gt;"นิติศาสตร์",K21="S1",Q21&gt;=1),EDATE(P21,12),AND(AH21="K5-POLICY",AG21&lt;&gt;"นิติศาสตร์",OR(K21="S2",K21="K5")),P21,TRUE,"Check Data")</f>
        <v/>
      </c>
      <c r="AJ21" s="75" t="str">
        <f t="shared" si="13"/>
        <v>Check Data</v>
      </c>
      <c r="AK21" s="76" t="str">
        <f t="shared" si="14"/>
        <v>Check Data</v>
      </c>
      <c r="AL21" s="50" t="str">
        <f t="shared" si="15"/>
        <v>Check Data</v>
      </c>
      <c r="AM21" s="49" t="str">
        <f>IF(B21="","",IF(K21="S1","S1",INDEX(#REF!,#REF!)))</f>
        <v/>
      </c>
      <c r="AN21" s="49" t="str">
        <f>K21</f>
        <v>S1</v>
      </c>
      <c r="AO21" s="50" t="b">
        <f>K21=AM21</f>
        <v>0</v>
      </c>
      <c r="AP21" s="50"/>
    </row>
    <row r="22" spans="1:42" customFormat="1">
      <c r="A22" s="49">
        <v>20</v>
      </c>
      <c r="B22" s="50"/>
      <c r="C22" s="50"/>
      <c r="D22" s="50" t="s">
        <v>144</v>
      </c>
      <c r="E22" s="49" t="s">
        <v>501</v>
      </c>
      <c r="F22" s="49" t="str">
        <f t="shared" si="0"/>
        <v>11/12/1986</v>
      </c>
      <c r="G22" s="50">
        <f t="shared" si="1"/>
        <v>38</v>
      </c>
      <c r="H22" s="50">
        <f t="shared" si="2"/>
        <v>6</v>
      </c>
      <c r="I22" s="50">
        <f t="shared" si="3"/>
        <v>9</v>
      </c>
      <c r="J22" s="50" t="s">
        <v>159</v>
      </c>
      <c r="K22" s="49" t="s">
        <v>135</v>
      </c>
      <c r="L22" s="64"/>
      <c r="M22" s="49"/>
      <c r="N22" s="49">
        <v>2572</v>
      </c>
      <c r="O22" s="65" t="s">
        <v>502</v>
      </c>
      <c r="P22" s="49" t="str">
        <f t="shared" si="4"/>
        <v>30/01/2025</v>
      </c>
      <c r="Q22" s="68">
        <f t="shared" si="5"/>
        <v>0</v>
      </c>
      <c r="R22" s="68">
        <f t="shared" si="6"/>
        <v>4</v>
      </c>
      <c r="S22" s="68">
        <f t="shared" si="7"/>
        <v>21</v>
      </c>
      <c r="T22" s="65" t="s">
        <v>136</v>
      </c>
      <c r="U22" s="65" t="s">
        <v>378</v>
      </c>
      <c r="V22" s="49" t="str">
        <f t="shared" si="8"/>
        <v>25/09/2012</v>
      </c>
      <c r="W22" s="68">
        <f>IF(V22="",0,DATEDIF(V22,P22,"Y"))</f>
        <v>12</v>
      </c>
      <c r="X22" s="68">
        <f>IF(V22="",0,DATEDIF(V22,P22,"YM"))</f>
        <v>4</v>
      </c>
      <c r="Y22" s="68">
        <f>IF(V22="",0,DATEDIF(V22,P22,"MD"))</f>
        <v>5</v>
      </c>
      <c r="Z22" s="49"/>
      <c r="AA22" s="65"/>
      <c r="AB22" s="50" t="str">
        <f t="shared" si="9"/>
        <v/>
      </c>
      <c r="AC22" s="68">
        <f t="shared" si="10"/>
        <v>0</v>
      </c>
      <c r="AD22" s="68">
        <f t="shared" si="11"/>
        <v>0</v>
      </c>
      <c r="AE22" s="68">
        <f t="shared" si="12"/>
        <v>0</v>
      </c>
      <c r="AF22" s="50"/>
      <c r="AG22" s="50" t="s">
        <v>163</v>
      </c>
      <c r="AH22" s="49" t="str">
        <f>IF(AG22="นิติศาสตร์","K5-LAW","K5-POLICY")</f>
        <v>K5-POLICY</v>
      </c>
      <c r="AI22" s="72" t="str">
        <f>_xlfn.IFS(B22="","",AND(AH22="K5-LAW",AG22="นิติศาสตร์",K22="S2",T22="",Z22=""),P22,AND(AH22="K5-LAW",AG22="นิติศาสตร์",K22="S1",T22="",Z22=""),EDATE(P22,12),AND(AH22="K5-LAW",AG22="นิติศาสตร์",OR(K22="M2",K22="K4"),T22="",Z22=""),EDATE(P22,12*2),AND(AH22="K5-LAW",AG22="นิติศาสตร์",OR(Z22="M2",Z22="K4"),AC22&gt;=2,OR(AB22&lt;V22,AB22&lt;P22)),EDATE(AB22,12*2),AND(AH22="K5-LAW",AG22="นิติศาสตร์",Z22="S1",AC22&gt;=1,OR(AB22&lt;V22,AB22&lt;P22)),EDATE(AB22,12),AND(AH22="K5-LAW",AG22="นิติศาสตร์",OR(T22="M2",T22="K4"),W22&gt;=2,V22&lt;P22),EDATE(V22,12*2),AND(AH22="K5-LAW",AG22="นิติศาสตร์",T22="S1",W22&gt;=1,V22&lt;P22),EDATE(V22,12),AND(AH22="K5-LAW",AG22="นิติศาสตร์",OR(T22="S2",T22="K5")),V22,AND(AH22="K5-LAW",AG22="นิติศาสตร์",OR(K22="M2",K22="K4"),Q22&gt;=2),EDATE(P22,12*2),AND(AH22="K5-LAW",AG22="นิติศาสตร์",K22="S1",Q22&gt;=1),EDATE(P22,12),AND(AH22="K5-LAW",AG22="นิติศาสตร์",OR(K22="S2",K22="K5")),P22,AND(AH22="K5-POLICY",AG22&lt;&gt;"นิติศาสตร์",K22="S2",T22="",Z22=""),P22,AND(AH22="K5-POLICY",AG22&lt;&gt;"นิติศาสตร์",K22="S1",T22="",Z22=""),EDATE(P22,12),AND(AH22="K5-POLICY",AG22&lt;&gt;"นิติศาสตร์",OR(K22="M2",K22="K4"),T22="",Z22=""),EDATE(P22,12*2),AND(AH22="K5-POLICY",AG22&lt;&gt;"นิติศาสตร์",OR(Z22="M2",Z22="K4"),AC22&gt;=2,OR(AB22&lt;V22,AB22&lt;P22)),EDATE(AB22,12*2),AND(AH22="K5-POLICY",AG22&lt;&gt;"นิติศาสตร์",Z22="S1",AC22&gt;=1,OR(AB22&lt;V22,AB22&lt;P22)),EDATE(AB22,12),AND(AH22="K5-POLICY",AG22&lt;&gt;"นิติศาสตร์",OR(T22="M2",T22="K4"),W22&gt;=2,V22&lt;P22),EDATE(V22,12*2),AND(AH22="K5-POLICY",AG22&lt;&gt;"นิติศาสตร์",T22="S1",W22&gt;=1,V22&lt;P22),EDATE(V22,12),AND(AH22="K5-POLICY",AG22&lt;&gt;"นิติศาสตร์",OR(T22="S2",T22="K5")),V22,AND(AH22="K5-POLICY",AG22&lt;&gt;"นิติศาสตร์",OR(K22="M2",K22="K4"),Q22&gt;=2),EDATE(P22,12*2),AND(AH22="K5-POLICY",AG22&lt;&gt;"นิติศาสตร์",K22="S1",Q22&gt;=1),EDATE(P22,12),AND(AH22="K5-POLICY",AG22&lt;&gt;"นิติศาสตร์",OR(K22="S2",K22="K5")),P22,TRUE,"Check Data")</f>
        <v/>
      </c>
      <c r="AJ22" s="75" t="str">
        <f t="shared" si="13"/>
        <v>Check Data</v>
      </c>
      <c r="AK22" s="76" t="str">
        <f t="shared" si="14"/>
        <v>Check Data</v>
      </c>
      <c r="AL22" s="50" t="str">
        <f t="shared" si="15"/>
        <v>Check Data</v>
      </c>
      <c r="AM22" s="49" t="str">
        <f>IF(B22="","",IF(K22="S1","S1",INDEX(#REF!,#REF!)))</f>
        <v/>
      </c>
      <c r="AN22" s="49" t="str">
        <f>K22</f>
        <v>S1</v>
      </c>
      <c r="AO22" s="50" t="b">
        <f>K22=AM22</f>
        <v>0</v>
      </c>
      <c r="AP22" s="50"/>
    </row>
    <row r="23" spans="1:42" customFormat="1">
      <c r="A23" s="49">
        <v>21</v>
      </c>
      <c r="B23" s="50"/>
      <c r="C23" s="50"/>
      <c r="D23" s="50" t="s">
        <v>144</v>
      </c>
      <c r="E23" s="49" t="s">
        <v>197</v>
      </c>
      <c r="F23" s="49" t="str">
        <f t="shared" si="0"/>
        <v>01/05/1991</v>
      </c>
      <c r="G23" s="50">
        <f t="shared" si="1"/>
        <v>34</v>
      </c>
      <c r="H23" s="50">
        <f t="shared" si="2"/>
        <v>1</v>
      </c>
      <c r="I23" s="50">
        <f t="shared" si="3"/>
        <v>19</v>
      </c>
      <c r="J23" s="50" t="s">
        <v>159</v>
      </c>
      <c r="K23" s="49" t="s">
        <v>135</v>
      </c>
      <c r="L23" s="64"/>
      <c r="M23" s="49"/>
      <c r="N23" s="49">
        <v>2574</v>
      </c>
      <c r="O23" s="65" t="s">
        <v>502</v>
      </c>
      <c r="P23" s="49" t="str">
        <f t="shared" si="4"/>
        <v>30/01/2025</v>
      </c>
      <c r="Q23" s="68">
        <f t="shared" si="5"/>
        <v>0</v>
      </c>
      <c r="R23" s="68">
        <f t="shared" si="6"/>
        <v>4</v>
      </c>
      <c r="S23" s="68">
        <f t="shared" si="7"/>
        <v>21</v>
      </c>
      <c r="T23" s="65" t="s">
        <v>136</v>
      </c>
      <c r="U23" s="65" t="s">
        <v>389</v>
      </c>
      <c r="V23" s="49" t="str">
        <f t="shared" si="8"/>
        <v>02/05/2016</v>
      </c>
      <c r="W23" s="68">
        <f>IF(V23="",0,DATEDIF(V23,P23,"Y"))</f>
        <v>8</v>
      </c>
      <c r="X23" s="68">
        <f>IF(V23="",0,DATEDIF(V23,P23,"YM"))</f>
        <v>8</v>
      </c>
      <c r="Y23" s="68">
        <f>IF(V23="",0,DATEDIF(V23,P23,"MD"))</f>
        <v>28</v>
      </c>
      <c r="Z23" s="49"/>
      <c r="AA23" s="65"/>
      <c r="AB23" s="50" t="str">
        <f t="shared" si="9"/>
        <v/>
      </c>
      <c r="AC23" s="68">
        <f t="shared" si="10"/>
        <v>0</v>
      </c>
      <c r="AD23" s="68">
        <f t="shared" si="11"/>
        <v>0</v>
      </c>
      <c r="AE23" s="68">
        <f t="shared" si="12"/>
        <v>0</v>
      </c>
      <c r="AF23" s="50"/>
      <c r="AG23" s="50" t="s">
        <v>221</v>
      </c>
      <c r="AH23" s="49" t="str">
        <f>IF(AG23="นิติศาสตร์","K5-LAW","K5-POLICY")</f>
        <v>K5-POLICY</v>
      </c>
      <c r="AI23" s="72" t="str">
        <f>_xlfn.IFS(B23="","",AND(AH23="K5-LAW",AG23="นิติศาสตร์",K23="S2",T23="",Z23=""),P23,AND(AH23="K5-LAW",AG23="นิติศาสตร์",K23="S1",T23="",Z23=""),EDATE(P23,12),AND(AH23="K5-LAW",AG23="นิติศาสตร์",OR(K23="M2",K23="K4"),T23="",Z23=""),EDATE(P23,12*2),AND(AH23="K5-LAW",AG23="นิติศาสตร์",OR(Z23="M2",Z23="K4"),AC23&gt;=2,OR(AB23&lt;V23,AB23&lt;P23)),EDATE(AB23,12*2),AND(AH23="K5-LAW",AG23="นิติศาสตร์",Z23="S1",AC23&gt;=1,OR(AB23&lt;V23,AB23&lt;P23)),EDATE(AB23,12),AND(AH23="K5-LAW",AG23="นิติศาสตร์",OR(T23="M2",T23="K4"),W23&gt;=2,V23&lt;P23),EDATE(V23,12*2),AND(AH23="K5-LAW",AG23="นิติศาสตร์",T23="S1",W23&gt;=1,V23&lt;P23),EDATE(V23,12),AND(AH23="K5-LAW",AG23="นิติศาสตร์",OR(T23="S2",T23="K5")),V23,AND(AH23="K5-LAW",AG23="นิติศาสตร์",OR(K23="M2",K23="K4"),Q23&gt;=2),EDATE(P23,12*2),AND(AH23="K5-LAW",AG23="นิติศาสตร์",K23="S1",Q23&gt;=1),EDATE(P23,12),AND(AH23="K5-LAW",AG23="นิติศาสตร์",OR(K23="S2",K23="K5")),P23,AND(AH23="K5-POLICY",AG23&lt;&gt;"นิติศาสตร์",K23="S2",T23="",Z23=""),P23,AND(AH23="K5-POLICY",AG23&lt;&gt;"นิติศาสตร์",K23="S1",T23="",Z23=""),EDATE(P23,12),AND(AH23="K5-POLICY",AG23&lt;&gt;"นิติศาสตร์",OR(K23="M2",K23="K4"),T23="",Z23=""),EDATE(P23,12*2),AND(AH23="K5-POLICY",AG23&lt;&gt;"นิติศาสตร์",OR(Z23="M2",Z23="K4"),AC23&gt;=2,OR(AB23&lt;V23,AB23&lt;P23)),EDATE(AB23,12*2),AND(AH23="K5-POLICY",AG23&lt;&gt;"นิติศาสตร์",Z23="S1",AC23&gt;=1,OR(AB23&lt;V23,AB23&lt;P23)),EDATE(AB23,12),AND(AH23="K5-POLICY",AG23&lt;&gt;"นิติศาสตร์",OR(T23="M2",T23="K4"),W23&gt;=2,V23&lt;P23),EDATE(V23,12*2),AND(AH23="K5-POLICY",AG23&lt;&gt;"นิติศาสตร์",T23="S1",W23&gt;=1,V23&lt;P23),EDATE(V23,12),AND(AH23="K5-POLICY",AG23&lt;&gt;"นิติศาสตร์",OR(T23="S2",T23="K5")),V23,AND(AH23="K5-POLICY",AG23&lt;&gt;"นิติศาสตร์",OR(K23="M2",K23="K4"),Q23&gt;=2),EDATE(P23,12*2),AND(AH23="K5-POLICY",AG23&lt;&gt;"นิติศาสตร์",K23="S1",Q23&gt;=1),EDATE(P23,12),AND(AH23="K5-POLICY",AG23&lt;&gt;"นิติศาสตร์",OR(K23="S2",K23="K5")),P23,TRUE,"Check Data")</f>
        <v/>
      </c>
      <c r="AJ23" s="75" t="str">
        <f t="shared" si="13"/>
        <v>Check Data</v>
      </c>
      <c r="AK23" s="76" t="str">
        <f t="shared" si="14"/>
        <v>Check Data</v>
      </c>
      <c r="AL23" s="50" t="str">
        <f t="shared" si="15"/>
        <v>Check Data</v>
      </c>
      <c r="AM23" s="49" t="str">
        <f>IF(B23="","",IF(K23="S1","S1",INDEX(#REF!,#REF!)))</f>
        <v/>
      </c>
      <c r="AN23" s="49" t="str">
        <f>K23</f>
        <v>S1</v>
      </c>
      <c r="AO23" s="50" t="b">
        <f>K23=AM23</f>
        <v>0</v>
      </c>
      <c r="AP23" s="50"/>
    </row>
    <row r="24" spans="1:42" customFormat="1">
      <c r="A24" s="49">
        <v>22</v>
      </c>
      <c r="B24" s="50"/>
      <c r="C24" s="50"/>
      <c r="D24" s="50" t="s">
        <v>143</v>
      </c>
      <c r="E24" s="49" t="s">
        <v>190</v>
      </c>
      <c r="F24" s="49" t="str">
        <f t="shared" si="0"/>
        <v>16/03/1987</v>
      </c>
      <c r="G24" s="50">
        <f t="shared" si="1"/>
        <v>38</v>
      </c>
      <c r="H24" s="50">
        <f t="shared" si="2"/>
        <v>3</v>
      </c>
      <c r="I24" s="50">
        <f t="shared" si="3"/>
        <v>4</v>
      </c>
      <c r="J24" s="50" t="s">
        <v>158</v>
      </c>
      <c r="K24" s="49" t="s">
        <v>135</v>
      </c>
      <c r="L24" s="64"/>
      <c r="M24" s="49"/>
      <c r="N24" s="49">
        <v>2570</v>
      </c>
      <c r="O24" s="65" t="s">
        <v>502</v>
      </c>
      <c r="P24" s="49" t="str">
        <f t="shared" si="4"/>
        <v>30/01/2025</v>
      </c>
      <c r="Q24" s="68">
        <f t="shared" si="5"/>
        <v>0</v>
      </c>
      <c r="R24" s="68">
        <f t="shared" si="6"/>
        <v>4</v>
      </c>
      <c r="S24" s="68">
        <f t="shared" si="7"/>
        <v>21</v>
      </c>
      <c r="T24" s="65" t="s">
        <v>136</v>
      </c>
      <c r="U24" s="65" t="s">
        <v>313</v>
      </c>
      <c r="V24" s="49" t="str">
        <f t="shared" si="8"/>
        <v>10/04/2017</v>
      </c>
      <c r="W24" s="68">
        <f>IF(V24="",0,DATEDIF(V24,P24,"Y"))</f>
        <v>7</v>
      </c>
      <c r="X24" s="68">
        <f>IF(V24="",0,DATEDIF(V24,P24,"YM"))</f>
        <v>9</v>
      </c>
      <c r="Y24" s="68">
        <f>IF(V24="",0,DATEDIF(V24,P24,"MD"))</f>
        <v>20</v>
      </c>
      <c r="Z24" s="49"/>
      <c r="AA24" s="65"/>
      <c r="AB24" s="50" t="str">
        <f t="shared" si="9"/>
        <v/>
      </c>
      <c r="AC24" s="68">
        <f t="shared" si="10"/>
        <v>0</v>
      </c>
      <c r="AD24" s="68">
        <f t="shared" si="11"/>
        <v>0</v>
      </c>
      <c r="AE24" s="68">
        <f t="shared" si="12"/>
        <v>0</v>
      </c>
      <c r="AF24" s="50"/>
      <c r="AG24" s="50" t="s">
        <v>172</v>
      </c>
      <c r="AH24" s="49" t="str">
        <f>IF(AG24="นิติศาสตร์","K5-LAW","K5-POLICY")</f>
        <v>K5-POLICY</v>
      </c>
      <c r="AI24" s="72" t="str">
        <f>_xlfn.IFS(B24="","",AND(AH24="K5-LAW",AG24="นิติศาสตร์",K24="S2",T24="",Z24=""),P24,AND(AH24="K5-LAW",AG24="นิติศาสตร์",K24="S1",T24="",Z24=""),EDATE(P24,12),AND(AH24="K5-LAW",AG24="นิติศาสตร์",OR(K24="M2",K24="K4"),T24="",Z24=""),EDATE(P24,12*2),AND(AH24="K5-LAW",AG24="นิติศาสตร์",OR(Z24="M2",Z24="K4"),AC24&gt;=2,OR(AB24&lt;V24,AB24&lt;P24)),EDATE(AB24,12*2),AND(AH24="K5-LAW",AG24="นิติศาสตร์",Z24="S1",AC24&gt;=1,OR(AB24&lt;V24,AB24&lt;P24)),EDATE(AB24,12),AND(AH24="K5-LAW",AG24="นิติศาสตร์",OR(T24="M2",T24="K4"),W24&gt;=2,V24&lt;P24),EDATE(V24,12*2),AND(AH24="K5-LAW",AG24="นิติศาสตร์",T24="S1",W24&gt;=1,V24&lt;P24),EDATE(V24,12),AND(AH24="K5-LAW",AG24="นิติศาสตร์",OR(T24="S2",T24="K5")),V24,AND(AH24="K5-LAW",AG24="นิติศาสตร์",OR(K24="M2",K24="K4"),Q24&gt;=2),EDATE(P24,12*2),AND(AH24="K5-LAW",AG24="นิติศาสตร์",K24="S1",Q24&gt;=1),EDATE(P24,12),AND(AH24="K5-LAW",AG24="นิติศาสตร์",OR(K24="S2",K24="K5")),P24,AND(AH24="K5-POLICY",AG24&lt;&gt;"นิติศาสตร์",K24="S2",T24="",Z24=""),P24,AND(AH24="K5-POLICY",AG24&lt;&gt;"นิติศาสตร์",K24="S1",T24="",Z24=""),EDATE(P24,12),AND(AH24="K5-POLICY",AG24&lt;&gt;"นิติศาสตร์",OR(K24="M2",K24="K4"),T24="",Z24=""),EDATE(P24,12*2),AND(AH24="K5-POLICY",AG24&lt;&gt;"นิติศาสตร์",OR(Z24="M2",Z24="K4"),AC24&gt;=2,OR(AB24&lt;V24,AB24&lt;P24)),EDATE(AB24,12*2),AND(AH24="K5-POLICY",AG24&lt;&gt;"นิติศาสตร์",Z24="S1",AC24&gt;=1,OR(AB24&lt;V24,AB24&lt;P24)),EDATE(AB24,12),AND(AH24="K5-POLICY",AG24&lt;&gt;"นิติศาสตร์",OR(T24="M2",T24="K4"),W24&gt;=2,V24&lt;P24),EDATE(V24,12*2),AND(AH24="K5-POLICY",AG24&lt;&gt;"นิติศาสตร์",T24="S1",W24&gt;=1,V24&lt;P24),EDATE(V24,12),AND(AH24="K5-POLICY",AG24&lt;&gt;"นิติศาสตร์",OR(T24="S2",T24="K5")),V24,AND(AH24="K5-POLICY",AG24&lt;&gt;"นิติศาสตร์",OR(K24="M2",K24="K4"),Q24&gt;=2),EDATE(P24,12*2),AND(AH24="K5-POLICY",AG24&lt;&gt;"นิติศาสตร์",K24="S1",Q24&gt;=1),EDATE(P24,12),AND(AH24="K5-POLICY",AG24&lt;&gt;"นิติศาสตร์",OR(K24="S2",K24="K5")),P24,TRUE,"Check Data")</f>
        <v/>
      </c>
      <c r="AJ24" s="75" t="str">
        <f t="shared" si="13"/>
        <v>Check Data</v>
      </c>
      <c r="AK24" s="76" t="str">
        <f t="shared" si="14"/>
        <v>Check Data</v>
      </c>
      <c r="AL24" s="50" t="str">
        <f t="shared" si="15"/>
        <v>Check Data</v>
      </c>
      <c r="AM24" s="49" t="str">
        <f>IF(B24="","",IF(K24="S1","S1",INDEX(#REF!,#REF!)))</f>
        <v/>
      </c>
      <c r="AN24" s="49" t="str">
        <f>K24</f>
        <v>S1</v>
      </c>
      <c r="AO24" s="50" t="b">
        <f>K24=AM24</f>
        <v>0</v>
      </c>
      <c r="AP24" s="50"/>
    </row>
    <row r="25" spans="1:42" customFormat="1">
      <c r="A25" s="49">
        <v>23</v>
      </c>
      <c r="B25" s="50"/>
      <c r="C25" s="50"/>
      <c r="D25" s="50" t="s">
        <v>143</v>
      </c>
      <c r="E25" s="49" t="s">
        <v>230</v>
      </c>
      <c r="F25" s="49" t="str">
        <f t="shared" si="0"/>
        <v>03/11/1997</v>
      </c>
      <c r="G25" s="50">
        <f t="shared" si="1"/>
        <v>27</v>
      </c>
      <c r="H25" s="50">
        <f t="shared" si="2"/>
        <v>7</v>
      </c>
      <c r="I25" s="50">
        <f t="shared" si="3"/>
        <v>17</v>
      </c>
      <c r="J25" s="50" t="s">
        <v>158</v>
      </c>
      <c r="K25" s="49" t="s">
        <v>135</v>
      </c>
      <c r="L25" s="64"/>
      <c r="M25" s="49"/>
      <c r="N25" s="49">
        <v>2571</v>
      </c>
      <c r="O25" s="65" t="s">
        <v>502</v>
      </c>
      <c r="P25" s="49" t="str">
        <f t="shared" si="4"/>
        <v>30/01/2025</v>
      </c>
      <c r="Q25" s="68">
        <f t="shared" si="5"/>
        <v>0</v>
      </c>
      <c r="R25" s="68">
        <f t="shared" si="6"/>
        <v>4</v>
      </c>
      <c r="S25" s="68">
        <f t="shared" si="7"/>
        <v>21</v>
      </c>
      <c r="T25" s="65" t="s">
        <v>136</v>
      </c>
      <c r="U25" s="65" t="s">
        <v>308</v>
      </c>
      <c r="V25" s="49" t="str">
        <f t="shared" si="8"/>
        <v>16/01/2018</v>
      </c>
      <c r="W25" s="68">
        <f>IF(V25="",0,DATEDIF(V25,P25,"Y"))</f>
        <v>7</v>
      </c>
      <c r="X25" s="68">
        <f>IF(V25="",0,DATEDIF(V25,P25,"YM"))</f>
        <v>0</v>
      </c>
      <c r="Y25" s="68">
        <f>IF(V25="",0,DATEDIF(V25,P25,"MD"))</f>
        <v>14</v>
      </c>
      <c r="Z25" s="49"/>
      <c r="AA25" s="65"/>
      <c r="AB25" s="50" t="str">
        <f t="shared" si="9"/>
        <v/>
      </c>
      <c r="AC25" s="68">
        <f t="shared" si="10"/>
        <v>0</v>
      </c>
      <c r="AD25" s="68">
        <f t="shared" si="11"/>
        <v>0</v>
      </c>
      <c r="AE25" s="68">
        <f t="shared" si="12"/>
        <v>0</v>
      </c>
      <c r="AF25" s="50"/>
      <c r="AG25" s="50" t="s">
        <v>167</v>
      </c>
      <c r="AH25" s="49" t="str">
        <f>IF(AG25="นิติศาสตร์","K5-LAW","K5-POLICY")</f>
        <v>K5-POLICY</v>
      </c>
      <c r="AI25" s="72" t="str">
        <f>_xlfn.IFS(B25="","",AND(AH25="K5-LAW",AG25="นิติศาสตร์",K25="S2",T25="",Z25=""),P25,AND(AH25="K5-LAW",AG25="นิติศาสตร์",K25="S1",T25="",Z25=""),EDATE(P25,12),AND(AH25="K5-LAW",AG25="นิติศาสตร์",OR(K25="M2",K25="K4"),T25="",Z25=""),EDATE(P25,12*2),AND(AH25="K5-LAW",AG25="นิติศาสตร์",OR(Z25="M2",Z25="K4"),AC25&gt;=2,OR(AB25&lt;V25,AB25&lt;P25)),EDATE(AB25,12*2),AND(AH25="K5-LAW",AG25="นิติศาสตร์",Z25="S1",AC25&gt;=1,OR(AB25&lt;V25,AB25&lt;P25)),EDATE(AB25,12),AND(AH25="K5-LAW",AG25="นิติศาสตร์",OR(T25="M2",T25="K4"),W25&gt;=2,V25&lt;P25),EDATE(V25,12*2),AND(AH25="K5-LAW",AG25="นิติศาสตร์",T25="S1",W25&gt;=1,V25&lt;P25),EDATE(V25,12),AND(AH25="K5-LAW",AG25="นิติศาสตร์",OR(T25="S2",T25="K5")),V25,AND(AH25="K5-LAW",AG25="นิติศาสตร์",OR(K25="M2",K25="K4"),Q25&gt;=2),EDATE(P25,12*2),AND(AH25="K5-LAW",AG25="นิติศาสตร์",K25="S1",Q25&gt;=1),EDATE(P25,12),AND(AH25="K5-LAW",AG25="นิติศาสตร์",OR(K25="S2",K25="K5")),P25,AND(AH25="K5-POLICY",AG25&lt;&gt;"นิติศาสตร์",K25="S2",T25="",Z25=""),P25,AND(AH25="K5-POLICY",AG25&lt;&gt;"นิติศาสตร์",K25="S1",T25="",Z25=""),EDATE(P25,12),AND(AH25="K5-POLICY",AG25&lt;&gt;"นิติศาสตร์",OR(K25="M2",K25="K4"),T25="",Z25=""),EDATE(P25,12*2),AND(AH25="K5-POLICY",AG25&lt;&gt;"นิติศาสตร์",OR(Z25="M2",Z25="K4"),AC25&gt;=2,OR(AB25&lt;V25,AB25&lt;P25)),EDATE(AB25,12*2),AND(AH25="K5-POLICY",AG25&lt;&gt;"นิติศาสตร์",Z25="S1",AC25&gt;=1,OR(AB25&lt;V25,AB25&lt;P25)),EDATE(AB25,12),AND(AH25="K5-POLICY",AG25&lt;&gt;"นิติศาสตร์",OR(T25="M2",T25="K4"),W25&gt;=2,V25&lt;P25),EDATE(V25,12*2),AND(AH25="K5-POLICY",AG25&lt;&gt;"นิติศาสตร์",T25="S1",W25&gt;=1,V25&lt;P25),EDATE(V25,12),AND(AH25="K5-POLICY",AG25&lt;&gt;"นิติศาสตร์",OR(T25="S2",T25="K5")),V25,AND(AH25="K5-POLICY",AG25&lt;&gt;"นิติศาสตร์",OR(K25="M2",K25="K4"),Q25&gt;=2),EDATE(P25,12*2),AND(AH25="K5-POLICY",AG25&lt;&gt;"นิติศาสตร์",K25="S1",Q25&gt;=1),EDATE(P25,12),AND(AH25="K5-POLICY",AG25&lt;&gt;"นิติศาสตร์",OR(K25="S2",K25="K5")),P25,TRUE,"Check Data")</f>
        <v/>
      </c>
      <c r="AJ25" s="75" t="str">
        <f t="shared" si="13"/>
        <v>Check Data</v>
      </c>
      <c r="AK25" s="76" t="str">
        <f t="shared" si="14"/>
        <v>Check Data</v>
      </c>
      <c r="AL25" s="50" t="str">
        <f t="shared" si="15"/>
        <v>Check Data</v>
      </c>
      <c r="AM25" s="49" t="str">
        <f>IF(B25="","",IF(K25="S1","S1",INDEX(#REF!,#REF!)))</f>
        <v/>
      </c>
      <c r="AN25" s="49" t="str">
        <f>K25</f>
        <v>S1</v>
      </c>
      <c r="AO25" s="50" t="b">
        <f>K25=AM25</f>
        <v>0</v>
      </c>
      <c r="AP25" s="50"/>
    </row>
    <row r="26" spans="1:42">
      <c r="A26" s="49">
        <v>11</v>
      </c>
      <c r="B26" s="50"/>
      <c r="C26" s="50"/>
      <c r="D26" s="50" t="s">
        <v>144</v>
      </c>
      <c r="E26" s="49" t="s">
        <v>256</v>
      </c>
      <c r="F26" s="49" t="str">
        <f t="shared" si="0"/>
        <v>01/02/1993</v>
      </c>
      <c r="G26" s="50">
        <f t="shared" si="1"/>
        <v>32</v>
      </c>
      <c r="H26" s="50">
        <f t="shared" si="2"/>
        <v>4</v>
      </c>
      <c r="I26" s="50">
        <f t="shared" si="3"/>
        <v>19</v>
      </c>
      <c r="J26" s="50" t="s">
        <v>159</v>
      </c>
      <c r="K26" s="49" t="s">
        <v>135</v>
      </c>
      <c r="L26" s="64"/>
      <c r="M26" s="49"/>
      <c r="N26" s="49">
        <v>2574</v>
      </c>
      <c r="O26" s="65" t="s">
        <v>502</v>
      </c>
      <c r="P26" s="49" t="str">
        <f t="shared" si="4"/>
        <v>30/01/2025</v>
      </c>
      <c r="Q26" s="68">
        <f t="shared" si="5"/>
        <v>0</v>
      </c>
      <c r="R26" s="68">
        <f t="shared" si="6"/>
        <v>4</v>
      </c>
      <c r="S26" s="68">
        <f t="shared" si="7"/>
        <v>21</v>
      </c>
      <c r="T26" s="65" t="s">
        <v>136</v>
      </c>
      <c r="U26" s="65" t="s">
        <v>278</v>
      </c>
      <c r="V26" s="49" t="str">
        <f t="shared" si="8"/>
        <v>15/10/2020</v>
      </c>
      <c r="W26" s="68">
        <f>IF(V26="",0,DATEDIF(V26,P26,"Y"))</f>
        <v>4</v>
      </c>
      <c r="X26" s="68">
        <f>IF(V26="",0,DATEDIF(V26,P26,"YM"))</f>
        <v>3</v>
      </c>
      <c r="Y26" s="68">
        <f>IF(V26="",0,DATEDIF(V26,P26,"MD"))</f>
        <v>15</v>
      </c>
      <c r="Z26" s="49"/>
      <c r="AA26" s="65"/>
      <c r="AB26" s="50" t="str">
        <f t="shared" si="9"/>
        <v/>
      </c>
      <c r="AC26" s="68">
        <f t="shared" si="10"/>
        <v>0</v>
      </c>
      <c r="AD26" s="68">
        <f t="shared" si="11"/>
        <v>0</v>
      </c>
      <c r="AE26" s="68">
        <f t="shared" si="12"/>
        <v>0</v>
      </c>
      <c r="AF26" s="50"/>
      <c r="AG26" s="50" t="s">
        <v>138</v>
      </c>
      <c r="AH26" s="49" t="str">
        <f>IF(AG26="นิติศาสตร์","K5-LAW","K5-POLICY")</f>
        <v>K5-LAW</v>
      </c>
      <c r="AI26" s="72" t="str">
        <f>_xlfn.IFS(B26="","",AND(AH26="K5-LAW",AG26="นิติศาสตร์",K26="S2",T26="",Z26=""),P26,AND(AH26="K5-LAW",AG26="นิติศาสตร์",K26="S1",T26="",Z26=""),EDATE(P26,12),AND(AH26="K5-LAW",AG26="นิติศาสตร์",OR(K26="M2",K26="K4"),T26="",Z26=""),EDATE(P26,12*2),AND(AH26="K5-LAW",AG26="นิติศาสตร์",OR(Z26="M2",Z26="K4"),AC26&gt;=2,OR(AB26&lt;V26,AB26&lt;P26)),EDATE(AB26,12*2),AND(AH26="K5-LAW",AG26="นิติศาสตร์",Z26="S1",AC26&gt;=1,OR(AB26&lt;V26,AB26&lt;P26)),EDATE(AB26,12),AND(AH26="K5-LAW",AG26="นิติศาสตร์",OR(T26="M2",T26="K4"),W26&gt;=2,V26&lt;P26),EDATE(V26,12*2),AND(AH26="K5-LAW",AG26="นิติศาสตร์",T26="S1",W26&gt;=1,V26&lt;P26),EDATE(V26,12),AND(AH26="K5-LAW",AG26="นิติศาสตร์",OR(T26="S2",T26="K5")),V26,AND(AH26="K5-LAW",AG26="นิติศาสตร์",OR(K26="M2",K26="K4"),Q26&gt;=2),EDATE(P26,12*2),AND(AH26="K5-LAW",AG26="นิติศาสตร์",K26="S1",Q26&gt;=1),EDATE(P26,12),AND(AH26="K5-LAW",AG26="นิติศาสตร์",OR(K26="S2",K26="K5")),P26,AND(AH26="K5-POLICY",AG26&lt;&gt;"นิติศาสตร์",K26="S2",T26="",Z26=""),P26,AND(AH26="K5-POLICY",AG26&lt;&gt;"นิติศาสตร์",K26="S1",T26="",Z26=""),EDATE(P26,12),AND(AH26="K5-POLICY",AG26&lt;&gt;"นิติศาสตร์",OR(K26="M2",K26="K4"),T26="",Z26=""),EDATE(P26,12*2),AND(AH26="K5-POLICY",AG26&lt;&gt;"นิติศาสตร์",OR(Z26="M2",Z26="K4"),AC26&gt;=2,OR(AB26&lt;V26,AB26&lt;P26)),EDATE(AB26,12*2),AND(AH26="K5-POLICY",AG26&lt;&gt;"นิติศาสตร์",Z26="S1",AC26&gt;=1,OR(AB26&lt;V26,AB26&lt;P26)),EDATE(AB26,12),AND(AH26="K5-POLICY",AG26&lt;&gt;"นิติศาสตร์",OR(T26="M2",T26="K4"),W26&gt;=2,V26&lt;P26),EDATE(V26,12*2),AND(AH26="K5-POLICY",AG26&lt;&gt;"นิติศาสตร์",T26="S1",W26&gt;=1,V26&lt;P26),EDATE(V26,12),AND(AH26="K5-POLICY",AG26&lt;&gt;"นิติศาสตร์",OR(T26="S2",T26="K5")),V26,AND(AH26="K5-POLICY",AG26&lt;&gt;"นิติศาสตร์",OR(K26="M2",K26="K4"),Q26&gt;=2),EDATE(P26,12*2),AND(AH26="K5-POLICY",AG26&lt;&gt;"นิติศาสตร์",K26="S1",Q26&gt;=1),EDATE(P26,12),AND(AH26="K5-POLICY",AG26&lt;&gt;"นิติศาสตร์",OR(K26="S2",K26="K5")),P26,TRUE,"Check Data")</f>
        <v/>
      </c>
      <c r="AJ26" s="75" t="str">
        <f t="shared" si="13"/>
        <v>Check Data</v>
      </c>
      <c r="AK26" s="76" t="str">
        <f t="shared" si="14"/>
        <v>Check Data</v>
      </c>
      <c r="AL26" s="50" t="str">
        <f t="shared" si="15"/>
        <v>Check Data</v>
      </c>
      <c r="AM26" s="49" t="str">
        <f>IF(B26="","",IF(K26="S1","S1",INDEX(#REF!,#REF!)))</f>
        <v/>
      </c>
      <c r="AN26" s="49" t="str">
        <f>K26</f>
        <v>S1</v>
      </c>
      <c r="AO26" s="50" t="b">
        <f>K26=AM26</f>
        <v>0</v>
      </c>
      <c r="AP26" s="50"/>
    </row>
    <row r="27" spans="1:42" customFormat="1">
      <c r="A27" s="49">
        <v>25</v>
      </c>
      <c r="B27" s="50"/>
      <c r="C27" s="50"/>
      <c r="D27" s="50" t="s">
        <v>145</v>
      </c>
      <c r="E27" s="49" t="s">
        <v>390</v>
      </c>
      <c r="F27" s="49" t="str">
        <f t="shared" si="0"/>
        <v>18/09/1995</v>
      </c>
      <c r="G27" s="50">
        <f t="shared" si="1"/>
        <v>29</v>
      </c>
      <c r="H27" s="50">
        <f t="shared" si="2"/>
        <v>9</v>
      </c>
      <c r="I27" s="50">
        <f t="shared" si="3"/>
        <v>2</v>
      </c>
      <c r="J27" s="50" t="s">
        <v>160</v>
      </c>
      <c r="K27" s="49" t="s">
        <v>135</v>
      </c>
      <c r="L27" s="64"/>
      <c r="M27" s="49"/>
      <c r="N27" s="49">
        <v>2571</v>
      </c>
      <c r="O27" s="65" t="s">
        <v>502</v>
      </c>
      <c r="P27" s="49" t="str">
        <f t="shared" si="4"/>
        <v>30/01/2025</v>
      </c>
      <c r="Q27" s="68">
        <f t="shared" si="5"/>
        <v>0</v>
      </c>
      <c r="R27" s="68">
        <f t="shared" si="6"/>
        <v>4</v>
      </c>
      <c r="S27" s="68">
        <f t="shared" si="7"/>
        <v>21</v>
      </c>
      <c r="T27" s="65" t="s">
        <v>136</v>
      </c>
      <c r="U27" s="65" t="s">
        <v>391</v>
      </c>
      <c r="V27" s="49" t="str">
        <f t="shared" si="8"/>
        <v>18/10/2021</v>
      </c>
      <c r="W27" s="68">
        <f>IF(V27="",0,DATEDIF(V27,P27,"Y"))</f>
        <v>3</v>
      </c>
      <c r="X27" s="68">
        <f>IF(V27="",0,DATEDIF(V27,P27,"YM"))</f>
        <v>3</v>
      </c>
      <c r="Y27" s="68">
        <f>IF(V27="",0,DATEDIF(V27,P27,"MD"))</f>
        <v>12</v>
      </c>
      <c r="Z27" s="49"/>
      <c r="AA27" s="65"/>
      <c r="AB27" s="50" t="str">
        <f t="shared" si="9"/>
        <v/>
      </c>
      <c r="AC27" s="68">
        <f t="shared" si="10"/>
        <v>0</v>
      </c>
      <c r="AD27" s="68">
        <f t="shared" si="11"/>
        <v>0</v>
      </c>
      <c r="AE27" s="68">
        <f t="shared" si="12"/>
        <v>0</v>
      </c>
      <c r="AF27" s="50"/>
      <c r="AG27" s="50" t="s">
        <v>172</v>
      </c>
      <c r="AH27" s="49" t="str">
        <f>IF(AG27="นิติศาสตร์","K5-LAW","K5-POLICY")</f>
        <v>K5-POLICY</v>
      </c>
      <c r="AI27" s="72" t="str">
        <f>_xlfn.IFS(B27="","",AND(AH27="K5-LAW",AG27="นิติศาสตร์",K27="S2",T27="",Z27=""),P27,AND(AH27="K5-LAW",AG27="นิติศาสตร์",K27="S1",T27="",Z27=""),EDATE(P27,12),AND(AH27="K5-LAW",AG27="นิติศาสตร์",OR(K27="M2",K27="K4"),T27="",Z27=""),EDATE(P27,12*2),AND(AH27="K5-LAW",AG27="นิติศาสตร์",OR(Z27="M2",Z27="K4"),AC27&gt;=2,OR(AB27&lt;V27,AB27&lt;P27)),EDATE(AB27,12*2),AND(AH27="K5-LAW",AG27="นิติศาสตร์",Z27="S1",AC27&gt;=1,OR(AB27&lt;V27,AB27&lt;P27)),EDATE(AB27,12),AND(AH27="K5-LAW",AG27="นิติศาสตร์",OR(T27="M2",T27="K4"),W27&gt;=2,V27&lt;P27),EDATE(V27,12*2),AND(AH27="K5-LAW",AG27="นิติศาสตร์",T27="S1",W27&gt;=1,V27&lt;P27),EDATE(V27,12),AND(AH27="K5-LAW",AG27="นิติศาสตร์",OR(T27="S2",T27="K5")),V27,AND(AH27="K5-LAW",AG27="นิติศาสตร์",OR(K27="M2",K27="K4"),Q27&gt;=2),EDATE(P27,12*2),AND(AH27="K5-LAW",AG27="นิติศาสตร์",K27="S1",Q27&gt;=1),EDATE(P27,12),AND(AH27="K5-LAW",AG27="นิติศาสตร์",OR(K27="S2",K27="K5")),P27,AND(AH27="K5-POLICY",AG27&lt;&gt;"นิติศาสตร์",K27="S2",T27="",Z27=""),P27,AND(AH27="K5-POLICY",AG27&lt;&gt;"นิติศาสตร์",K27="S1",T27="",Z27=""),EDATE(P27,12),AND(AH27="K5-POLICY",AG27&lt;&gt;"นิติศาสตร์",OR(K27="M2",K27="K4"),T27="",Z27=""),EDATE(P27,12*2),AND(AH27="K5-POLICY",AG27&lt;&gt;"นิติศาสตร์",OR(Z27="M2",Z27="K4"),AC27&gt;=2,OR(AB27&lt;V27,AB27&lt;P27)),EDATE(AB27,12*2),AND(AH27="K5-POLICY",AG27&lt;&gt;"นิติศาสตร์",Z27="S1",AC27&gt;=1,OR(AB27&lt;V27,AB27&lt;P27)),EDATE(AB27,12),AND(AH27="K5-POLICY",AG27&lt;&gt;"นิติศาสตร์",OR(T27="M2",T27="K4"),W27&gt;=2,V27&lt;P27),EDATE(V27,12*2),AND(AH27="K5-POLICY",AG27&lt;&gt;"นิติศาสตร์",T27="S1",W27&gt;=1,V27&lt;P27),EDATE(V27,12),AND(AH27="K5-POLICY",AG27&lt;&gt;"นิติศาสตร์",OR(T27="S2",T27="K5")),V27,AND(AH27="K5-POLICY",AG27&lt;&gt;"นิติศาสตร์",OR(K27="M2",K27="K4"),Q27&gt;=2),EDATE(P27,12*2),AND(AH27="K5-POLICY",AG27&lt;&gt;"นิติศาสตร์",K27="S1",Q27&gt;=1),EDATE(P27,12),AND(AH27="K5-POLICY",AG27&lt;&gt;"นิติศาสตร์",OR(K27="S2",K27="K5")),P27,TRUE,"Check Data")</f>
        <v/>
      </c>
      <c r="AJ27" s="75" t="str">
        <f t="shared" si="13"/>
        <v>Check Data</v>
      </c>
      <c r="AK27" s="76" t="str">
        <f t="shared" si="14"/>
        <v>Check Data</v>
      </c>
      <c r="AL27" s="50" t="str">
        <f t="shared" si="15"/>
        <v>Check Data</v>
      </c>
      <c r="AM27" s="49" t="str">
        <f>IF(B27="","",IF(K27="S1","S1",INDEX(#REF!,#REF!)))</f>
        <v/>
      </c>
      <c r="AN27" s="49" t="str">
        <f>K27</f>
        <v>S1</v>
      </c>
      <c r="AO27" s="50" t="b">
        <f>K27=AM27</f>
        <v>0</v>
      </c>
      <c r="AP27" s="50"/>
    </row>
    <row r="29" spans="1:42">
      <c r="C29" s="95" t="s">
        <v>533</v>
      </c>
    </row>
  </sheetData>
  <autoFilter ref="A2:AP27" xr:uid="{00000000-0009-0000-0000-000017000000}"/>
  <printOptions horizontalCentered="1"/>
  <pageMargins left="0.30694444444444402" right="0.30694444444444402" top="0.75138888888888899" bottom="0.75138888888888899" header="0.29861111111111099" footer="0.29861111111111099"/>
  <pageSetup paperSize="9" scale="70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P358"/>
  <sheetViews>
    <sheetView workbookViewId="0">
      <pane xSplit="3" ySplit="2" topLeftCell="AM346" activePane="bottomRight" state="frozen"/>
      <selection pane="topRight"/>
      <selection pane="bottomLeft"/>
      <selection pane="bottomRight" activeCell="AH1" sqref="AH1:AI1048576"/>
    </sheetView>
  </sheetViews>
  <sheetFormatPr defaultColWidth="9" defaultRowHeight="14.25"/>
  <cols>
    <col min="2" max="2" width="17.625" customWidth="1"/>
    <col min="3" max="3" width="38.25" customWidth="1"/>
    <col min="4" max="4" width="45.5" customWidth="1"/>
    <col min="5" max="5" width="16.5" customWidth="1"/>
    <col min="6" max="6" width="16.125" customWidth="1"/>
    <col min="10" max="10" width="41.25" customWidth="1"/>
    <col min="11" max="11" width="22.875" customWidth="1"/>
    <col min="14" max="14" width="21.75" customWidth="1"/>
    <col min="15" max="15" width="28.75" customWidth="1"/>
    <col min="16" max="16" width="28.5" customWidth="1"/>
    <col min="20" max="20" width="30.125" style="43" customWidth="1"/>
    <col min="21" max="21" width="43.125" style="43" customWidth="1"/>
    <col min="22" max="22" width="43.125" customWidth="1"/>
    <col min="26" max="26" width="33.625" customWidth="1"/>
    <col min="27" max="28" width="43.25" customWidth="1"/>
    <col min="32" max="32" width="17.875" customWidth="1"/>
    <col min="33" max="33" width="47.25" customWidth="1"/>
    <col min="34" max="34" width="17.25" customWidth="1"/>
    <col min="35" max="35" width="36.25" customWidth="1"/>
    <col min="36" max="36" width="36.625" customWidth="1"/>
    <col min="37" max="37" width="20" customWidth="1"/>
    <col min="38" max="38" width="16.375" customWidth="1"/>
    <col min="39" max="40" width="24.375" customWidth="1"/>
    <col min="41" max="41" width="16.375" customWidth="1"/>
  </cols>
  <sheetData>
    <row r="1" spans="1:42" ht="21.75">
      <c r="B1" s="44" t="s">
        <v>50</v>
      </c>
      <c r="C1" s="46">
        <v>45828</v>
      </c>
      <c r="D1" s="46"/>
      <c r="E1" s="45"/>
      <c r="F1" s="55"/>
      <c r="J1" s="45" t="s">
        <v>0</v>
      </c>
      <c r="K1" s="62">
        <v>232387</v>
      </c>
      <c r="L1" s="62">
        <f>IF(AND(LEFT(K1,2)="29",MID(K1,4,1)="2"),LEFT(K1,2)&amp;"/"&amp;MID(K1,4,1)&amp;"/"&amp;RIGHT(K1,4)-543,EDATE(K1,-543*12))</f>
        <v>34060</v>
      </c>
      <c r="M1" s="62"/>
      <c r="N1" s="62"/>
      <c r="O1" s="63"/>
      <c r="P1" s="45"/>
      <c r="Q1" s="66"/>
      <c r="R1" s="66"/>
      <c r="S1" s="66"/>
      <c r="T1" s="67"/>
      <c r="U1" s="67"/>
      <c r="W1" s="66"/>
      <c r="X1" s="66"/>
      <c r="Y1" s="66"/>
      <c r="Z1" s="67"/>
      <c r="AA1" s="67"/>
      <c r="AC1" s="66"/>
      <c r="AD1" s="66"/>
      <c r="AE1" s="66"/>
      <c r="AH1" s="55"/>
      <c r="AI1" s="70"/>
      <c r="AJ1" s="70"/>
      <c r="AK1" s="73"/>
    </row>
    <row r="2" spans="1:42" ht="21.75">
      <c r="A2" s="47" t="s">
        <v>51</v>
      </c>
      <c r="B2" s="48" t="s">
        <v>52</v>
      </c>
      <c r="C2" s="47" t="s">
        <v>53</v>
      </c>
      <c r="D2" s="47" t="s">
        <v>23</v>
      </c>
      <c r="E2" s="47" t="s">
        <v>469</v>
      </c>
      <c r="F2" s="47" t="s">
        <v>470</v>
      </c>
      <c r="G2" s="48" t="s">
        <v>4</v>
      </c>
      <c r="H2" s="48" t="s">
        <v>5</v>
      </c>
      <c r="I2" s="48" t="s">
        <v>6</v>
      </c>
      <c r="J2" s="47" t="s">
        <v>55</v>
      </c>
      <c r="K2" s="47" t="s">
        <v>56</v>
      </c>
      <c r="L2" s="47" t="s">
        <v>151</v>
      </c>
      <c r="M2" s="47" t="s">
        <v>152</v>
      </c>
      <c r="N2" s="47" t="s">
        <v>150</v>
      </c>
      <c r="O2" s="48" t="s">
        <v>471</v>
      </c>
      <c r="P2" s="47" t="s">
        <v>472</v>
      </c>
      <c r="Q2" s="48" t="s">
        <v>4</v>
      </c>
      <c r="R2" s="48" t="s">
        <v>5</v>
      </c>
      <c r="S2" s="48" t="s">
        <v>6</v>
      </c>
      <c r="T2" s="48" t="s">
        <v>132</v>
      </c>
      <c r="U2" s="48" t="s">
        <v>473</v>
      </c>
      <c r="V2" s="47" t="s">
        <v>474</v>
      </c>
      <c r="W2" s="48" t="s">
        <v>4</v>
      </c>
      <c r="X2" s="48" t="s">
        <v>5</v>
      </c>
      <c r="Y2" s="48" t="s">
        <v>6</v>
      </c>
      <c r="Z2" s="48" t="s">
        <v>133</v>
      </c>
      <c r="AA2" s="48" t="s">
        <v>475</v>
      </c>
      <c r="AB2" s="47" t="s">
        <v>476</v>
      </c>
      <c r="AC2" s="48" t="s">
        <v>4</v>
      </c>
      <c r="AD2" s="48" t="s">
        <v>5</v>
      </c>
      <c r="AE2" s="48" t="s">
        <v>6</v>
      </c>
      <c r="AF2" s="47" t="s">
        <v>61</v>
      </c>
      <c r="AG2" s="47" t="s">
        <v>134</v>
      </c>
      <c r="AH2" s="47" t="s">
        <v>62</v>
      </c>
      <c r="AI2" s="71" t="s">
        <v>477</v>
      </c>
      <c r="AJ2" s="71" t="s">
        <v>478</v>
      </c>
      <c r="AK2" s="74" t="s">
        <v>69</v>
      </c>
      <c r="AL2" s="47" t="s">
        <v>70</v>
      </c>
      <c r="AM2" s="47" t="s">
        <v>479</v>
      </c>
      <c r="AN2" s="47" t="s">
        <v>480</v>
      </c>
      <c r="AO2" s="47" t="s">
        <v>441</v>
      </c>
      <c r="AP2" s="47" t="s">
        <v>440</v>
      </c>
    </row>
    <row r="3" spans="1:42" ht="21.75">
      <c r="A3" s="49">
        <v>1</v>
      </c>
      <c r="B3" s="50"/>
      <c r="C3" s="51"/>
      <c r="D3" s="50" t="s">
        <v>145</v>
      </c>
      <c r="E3" s="49" t="s">
        <v>171</v>
      </c>
      <c r="F3" s="49" t="str">
        <f t="shared" ref="F3:F66" si="0">IF(E3="","",TEXT(EDATE(E3,-543*12),"dd/mm/yyyy"))</f>
        <v>12/05/1984</v>
      </c>
      <c r="G3" s="50">
        <f t="shared" ref="G3:G66" si="1">IF(F3="",0,DATEDIF(F3,$C$1,"Y"))</f>
        <v>41</v>
      </c>
      <c r="H3" s="50">
        <f t="shared" ref="H3:H66" si="2">IF(F3="",0,DATEDIF(F3,$C$1,"YM"))</f>
        <v>1</v>
      </c>
      <c r="I3" s="50">
        <f t="shared" ref="I3:I66" si="3">IF(F3="",0,DATEDIF(F3,$C$1,"MD"))</f>
        <v>8</v>
      </c>
      <c r="J3" s="50" t="s">
        <v>160</v>
      </c>
      <c r="K3" s="49" t="s">
        <v>135</v>
      </c>
      <c r="L3" s="64"/>
      <c r="M3" s="49"/>
      <c r="N3" s="49">
        <v>2569</v>
      </c>
      <c r="O3" s="65" t="s">
        <v>481</v>
      </c>
      <c r="P3" s="49" t="str">
        <f t="shared" ref="P3:P66" si="4">TEXT(EDATE(O3,-543*12),"dd/mm/yyyy")</f>
        <v>20/12/2019</v>
      </c>
      <c r="Q3" s="68">
        <f t="shared" ref="Q3:Q66" si="5">IF(P3="",0,DATEDIF(P3,$C$1,"Y"))</f>
        <v>5</v>
      </c>
      <c r="R3" s="68">
        <f t="shared" ref="R3:R66" si="6">IF(P3="",0,DATEDIF(P3,$C$1,"YM"))</f>
        <v>6</v>
      </c>
      <c r="S3" s="68">
        <f t="shared" ref="S3:S66" si="7">IF(P3="",0,DATEDIF(P3,$C$1,"MD"))</f>
        <v>0</v>
      </c>
      <c r="T3" s="65"/>
      <c r="U3" s="65"/>
      <c r="V3" s="49" t="str">
        <f t="shared" ref="V3:V66" si="8">IF(U3="","",TEXT(EDATE(U3,-543*12),"dd/mm/yyyy"))</f>
        <v/>
      </c>
      <c r="W3" s="68">
        <f>IF(V3="",0,DATEDIF(V3,P3,"Y"))</f>
        <v>0</v>
      </c>
      <c r="X3" s="68">
        <f>IF(V3="",0,DATEDIF(V3,P3,"YM"))</f>
        <v>0</v>
      </c>
      <c r="Y3" s="68">
        <f>IF(V3="",0,DATEDIF(V3,P3,"MD"))</f>
        <v>0</v>
      </c>
      <c r="Z3" s="49"/>
      <c r="AA3" s="65"/>
      <c r="AB3" s="50" t="str">
        <f t="shared" ref="AB3:AB66" si="9">IF(AA3="","",TEXT(EDATE(AA3,-543*12),"dd/mm/yyyy"))</f>
        <v/>
      </c>
      <c r="AC3" s="68">
        <f t="shared" ref="AC3:AC66" si="10">IF(AB3="",0,DATEDIF(AB3,V3,"Y"))</f>
        <v>0</v>
      </c>
      <c r="AD3" s="68">
        <f t="shared" ref="AD3:AD66" si="11">IF(AB3="",0,DATEDIF(AB3,V3,"YM"))</f>
        <v>0</v>
      </c>
      <c r="AE3" s="68">
        <f t="shared" ref="AE3:AE66" si="12">IF(AB3="",0,DATEDIF(AB3,V3,"MD"))</f>
        <v>0</v>
      </c>
      <c r="AF3" s="50"/>
      <c r="AG3" s="50" t="s">
        <v>163</v>
      </c>
      <c r="AH3" s="49" t="str">
        <f>IF(AG3="นิติศาสตร์","K5-LAW","K5-POLICY")</f>
        <v>K5-POLICY</v>
      </c>
      <c r="AI3" s="72" t="str">
        <f>_xlfn.IFS(B3="","",AND(AH3="K5-LAW",AG3="นิติศาสตร์",K3="S2",T3="",Z3=""),P3,AND(AH3="K5-LAW",AG3="นิติศาสตร์",K3="S1",T3="",Z3=""),EDATE(P3,12),AND(AH3="K5-LAW",AG3="นิติศาสตร์",OR(K3="M2",K3="K4"),T3="",Z3=""),EDATE(P3,12*2),AND(AH3="K5-LAW",AG3="นิติศาสตร์",OR(Z3="M2",Z3="K4"),AC3&gt;=2,OR(AB3&lt;V3,AB3&lt;P3)),EDATE(AB3,12*2),AND(AH3="K5-LAW",AG3="นิติศาสตร์",Z3="S1",AC3&gt;=1,OR(AB3&lt;V3,AB3&lt;P3)),EDATE(AB3,12),AND(AH3="K5-LAW",AG3="นิติศาสตร์",OR(T3="M2",T3="K4"),W3&gt;=2,V3&lt;P3),EDATE(V3,12*2),AND(AH3="K5-LAW",AG3="นิติศาสตร์",T3="S1",W3&gt;=1,V3&lt;P3),EDATE(V3,12),AND(AH3="K5-LAW",AG3="นิติศาสตร์",OR(T3="S2",T3="K5")),V3,AND(AH3="K5-LAW",AG3="นิติศาสตร์",OR(K3="M2",K3="K4"),Q3&gt;=2),EDATE(P3,12*2),AND(AH3="K5-LAW",AG3="นิติศาสตร์",K3="S1",Q3&gt;=1),EDATE(P3,12),AND(AH3="K5-LAW",AG3="นิติศาสตร์",OR(K3="S2",K3="K5")),P3,AND(AH3="K5-POLICY",AG3&lt;&gt;"นิติศาสตร์",K3="S2",T3="",Z3=""),P3,AND(AH3="K5-POLICY",AG3&lt;&gt;"นิติศาสตร์",K3="S1",T3="",Z3=""),EDATE(P3,12),AND(AH3="K5-POLICY",AG3&lt;&gt;"นิติศาสตร์",OR(K3="M2",K3="K4"),T3="",Z3=""),EDATE(P3,12*2),AND(AH3="K5-POLICY",AG3&lt;&gt;"นิติศาสตร์",OR(Z3="M2",Z3="K4"),AC3&gt;=2,OR(AB3&lt;V3,AB3&lt;P3)),EDATE(AB3,12*2),AND(AH3="K5-POLICY",AG3&lt;&gt;"นิติศาสตร์",Z3="S1",AC3&gt;=1,OR(AB3&lt;V3,AB3&lt;P3)),EDATE(AB3,12),AND(AH3="K5-POLICY",AG3&lt;&gt;"นิติศาสตร์",OR(T3="M2",T3="K4"),W3&gt;=2,V3&lt;P3),EDATE(V3,12*2),AND(AH3="K5-POLICY",AG3&lt;&gt;"นิติศาสตร์",T3="S1",W3&gt;=1,V3&lt;P3),EDATE(V3,12),AND(AH3="K5-POLICY",AG3&lt;&gt;"นิติศาสตร์",OR(T3="S2",T3="K5")),V3,AND(AH3="K5-POLICY",AG3&lt;&gt;"นิติศาสตร์",OR(K3="M2",K3="K4"),Q3&gt;=2),EDATE(P3,12*2),AND(AH3="K5-POLICY",AG3&lt;&gt;"นิติศาสตร์",K3="S1",Q3&gt;=1),EDATE(P3,12),AND(AH3="K5-POLICY",AG3&lt;&gt;"นิติศาสตร์",OR(K3="S2",K3="K5")),P3,TRUE,"Check Data")</f>
        <v/>
      </c>
      <c r="AJ3" s="75" t="str">
        <f t="shared" ref="AJ3:AJ66" si="13">IFERROR(TEXT(EDATE(AI3,543*12),"dd/mm/yyyy"),"Check Data")</f>
        <v>Check Data</v>
      </c>
      <c r="AK3" s="76" t="str">
        <f t="shared" ref="AK3:AK66" si="14">IFERROR(IF($C$1&gt;AI3,AI3-$C$1,DATEDIF($C$1,AI3,"d")),"Check Data")</f>
        <v>Check Data</v>
      </c>
      <c r="AL3" s="50" t="str">
        <f t="shared" ref="AL3:AL66" si="15">_xlfn.IFS(AK3="Check Data","Check Data",AK3&gt;30,"ยังไม่ถึงเกณฑ์",AK3&gt;0,"ใกล้ถึงเกณฑ์",AK3=0,"ถึงเกณฑ์",AK3&lt;0,"ถึงเกณฑ์นานแล้ว")</f>
        <v>Check Data</v>
      </c>
      <c r="AM3" s="49" t="str">
        <f>IF(B3="","",IF(K3="S1","S1",INDEX(#REF!,#REF!)))</f>
        <v/>
      </c>
      <c r="AN3" s="49" t="str">
        <f>K3</f>
        <v>S1</v>
      </c>
      <c r="AO3" s="50" t="b">
        <f>K3=AM3</f>
        <v>0</v>
      </c>
      <c r="AP3" s="77"/>
    </row>
    <row r="4" spans="1:42" ht="21.75">
      <c r="A4" s="49">
        <v>2</v>
      </c>
      <c r="B4" s="50"/>
      <c r="C4" s="51"/>
      <c r="D4" s="50" t="s">
        <v>139</v>
      </c>
      <c r="E4" s="49" t="s">
        <v>194</v>
      </c>
      <c r="F4" s="49" t="str">
        <f t="shared" si="0"/>
        <v>06/03/1997</v>
      </c>
      <c r="G4" s="50">
        <f t="shared" si="1"/>
        <v>28</v>
      </c>
      <c r="H4" s="50">
        <f t="shared" si="2"/>
        <v>3</v>
      </c>
      <c r="I4" s="50">
        <f t="shared" si="3"/>
        <v>14</v>
      </c>
      <c r="J4" s="50" t="s">
        <v>154</v>
      </c>
      <c r="K4" s="49" t="s">
        <v>135</v>
      </c>
      <c r="L4" s="64"/>
      <c r="M4" s="49"/>
      <c r="N4" s="49">
        <v>2574</v>
      </c>
      <c r="O4" s="65" t="s">
        <v>195</v>
      </c>
      <c r="P4" s="49" t="str">
        <f t="shared" si="4"/>
        <v>24/02/2020</v>
      </c>
      <c r="Q4" s="68">
        <f t="shared" si="5"/>
        <v>5</v>
      </c>
      <c r="R4" s="68">
        <f t="shared" si="6"/>
        <v>3</v>
      </c>
      <c r="S4" s="68">
        <f t="shared" si="7"/>
        <v>27</v>
      </c>
      <c r="T4" s="65"/>
      <c r="U4" s="65"/>
      <c r="V4" s="49" t="str">
        <f t="shared" si="8"/>
        <v/>
      </c>
      <c r="W4" s="68">
        <f>IF(V4="",0,DATEDIF(V4,P4,"Y"))</f>
        <v>0</v>
      </c>
      <c r="X4" s="68">
        <f>IF(V4="",0,DATEDIF(V4,P4,"YM"))</f>
        <v>0</v>
      </c>
      <c r="Y4" s="68">
        <f>IF(V4="",0,DATEDIF(V4,P4,"MD"))</f>
        <v>0</v>
      </c>
      <c r="Z4" s="49"/>
      <c r="AA4" s="65"/>
      <c r="AB4" s="50" t="str">
        <f t="shared" si="9"/>
        <v/>
      </c>
      <c r="AC4" s="68">
        <f t="shared" si="10"/>
        <v>0</v>
      </c>
      <c r="AD4" s="68">
        <f t="shared" si="11"/>
        <v>0</v>
      </c>
      <c r="AE4" s="68">
        <f t="shared" si="12"/>
        <v>0</v>
      </c>
      <c r="AF4" s="50"/>
      <c r="AG4" s="50" t="s">
        <v>482</v>
      </c>
      <c r="AH4" s="49" t="str">
        <f>IF(AG4="นิติศาสตร์","K5-LAW","K5-POLICY")</f>
        <v>K5-POLICY</v>
      </c>
      <c r="AI4" s="72" t="str">
        <f>_xlfn.IFS(B4="","",AND(AH4="K5-LAW",AG4="นิติศาสตร์",K4="S2",T4="",Z4=""),P4,AND(AH4="K5-LAW",AG4="นิติศาสตร์",K4="S1",T4="",Z4=""),EDATE(P4,12),AND(AH4="K5-LAW",AG4="นิติศาสตร์",OR(K4="M2",K4="K4"),T4="",Z4=""),EDATE(P4,12*2),AND(AH4="K5-LAW",AG4="นิติศาสตร์",OR(Z4="M2",Z4="K4"),AC4&gt;=2,OR(AB4&lt;V4,AB4&lt;P4)),EDATE(AB4,12*2),AND(AH4="K5-LAW",AG4="นิติศาสตร์",Z4="S1",AC4&gt;=1,OR(AB4&lt;V4,AB4&lt;P4)),EDATE(AB4,12),AND(AH4="K5-LAW",AG4="นิติศาสตร์",OR(T4="M2",T4="K4"),W4&gt;=2,V4&lt;P4),EDATE(V4,12*2),AND(AH4="K5-LAW",AG4="นิติศาสตร์",T4="S1",W4&gt;=1,V4&lt;P4),EDATE(V4,12),AND(AH4="K5-LAW",AG4="นิติศาสตร์",OR(T4="S2",T4="K5")),V4,AND(AH4="K5-LAW",AG4="นิติศาสตร์",OR(K4="M2",K4="K4"),Q4&gt;=2),EDATE(P4,12*2),AND(AH4="K5-LAW",AG4="นิติศาสตร์",K4="S1",Q4&gt;=1),EDATE(P4,12),AND(AH4="K5-LAW",AG4="นิติศาสตร์",OR(K4="S2",K4="K5")),P4,AND(AH4="K5-POLICY",AG4&lt;&gt;"นิติศาสตร์",K4="S2",T4="",Z4=""),P4,AND(AH4="K5-POLICY",AG4&lt;&gt;"นิติศาสตร์",K4="S1",T4="",Z4=""),EDATE(P4,12),AND(AH4="K5-POLICY",AG4&lt;&gt;"นิติศาสตร์",OR(K4="M2",K4="K4"),T4="",Z4=""),EDATE(P4,12*2),AND(AH4="K5-POLICY",AG4&lt;&gt;"นิติศาสตร์",OR(Z4="M2",Z4="K4"),AC4&gt;=2,OR(AB4&lt;V4,AB4&lt;P4)),EDATE(AB4,12*2),AND(AH4="K5-POLICY",AG4&lt;&gt;"นิติศาสตร์",Z4="S1",AC4&gt;=1,OR(AB4&lt;V4,AB4&lt;P4)),EDATE(AB4,12),AND(AH4="K5-POLICY",AG4&lt;&gt;"นิติศาสตร์",OR(T4="M2",T4="K4"),W4&gt;=2,V4&lt;P4),EDATE(V4,12*2),AND(AH4="K5-POLICY",AG4&lt;&gt;"นิติศาสตร์",T4="S1",W4&gt;=1,V4&lt;P4),EDATE(V4,12),AND(AH4="K5-POLICY",AG4&lt;&gt;"นิติศาสตร์",OR(T4="S2",T4="K5")),V4,AND(AH4="K5-POLICY",AG4&lt;&gt;"นิติศาสตร์",OR(K4="M2",K4="K4"),Q4&gt;=2),EDATE(P4,12*2),AND(AH4="K5-POLICY",AG4&lt;&gt;"นิติศาสตร์",K4="S1",Q4&gt;=1),EDATE(P4,12),AND(AH4="K5-POLICY",AG4&lt;&gt;"นิติศาสตร์",OR(K4="S2",K4="K5")),P4,TRUE,"Check Data")</f>
        <v/>
      </c>
      <c r="AJ4" s="75" t="str">
        <f t="shared" si="13"/>
        <v>Check Data</v>
      </c>
      <c r="AK4" s="76" t="str">
        <f t="shared" si="14"/>
        <v>Check Data</v>
      </c>
      <c r="AL4" s="50" t="str">
        <f t="shared" si="15"/>
        <v>Check Data</v>
      </c>
      <c r="AM4" s="49" t="str">
        <f>IF(B4="","",IF(K4="S1","S1",INDEX(#REF!,#REF!)))</f>
        <v/>
      </c>
      <c r="AN4" s="49" t="str">
        <f>K4</f>
        <v>S1</v>
      </c>
      <c r="AO4" s="50" t="b">
        <f>K4=AM4</f>
        <v>0</v>
      </c>
      <c r="AP4" s="77"/>
    </row>
    <row r="5" spans="1:42" ht="21.75">
      <c r="A5" s="49">
        <v>3</v>
      </c>
      <c r="B5" s="50"/>
      <c r="C5" s="51"/>
      <c r="D5" s="50" t="s">
        <v>146</v>
      </c>
      <c r="E5" s="49" t="s">
        <v>483</v>
      </c>
      <c r="F5" s="49" t="str">
        <f t="shared" si="0"/>
        <v>01/04/1994</v>
      </c>
      <c r="G5" s="50">
        <f t="shared" si="1"/>
        <v>31</v>
      </c>
      <c r="H5" s="50">
        <f t="shared" si="2"/>
        <v>2</v>
      </c>
      <c r="I5" s="50">
        <f t="shared" si="3"/>
        <v>19</v>
      </c>
      <c r="J5" s="50" t="s">
        <v>161</v>
      </c>
      <c r="K5" s="49" t="s">
        <v>135</v>
      </c>
      <c r="L5" s="64"/>
      <c r="M5" s="49" t="s">
        <v>423</v>
      </c>
      <c r="N5" s="49">
        <v>2575</v>
      </c>
      <c r="O5" s="65" t="s">
        <v>198</v>
      </c>
      <c r="P5" s="49" t="str">
        <f t="shared" si="4"/>
        <v>22/09/2020</v>
      </c>
      <c r="Q5" s="68">
        <f t="shared" si="5"/>
        <v>4</v>
      </c>
      <c r="R5" s="68">
        <f t="shared" si="6"/>
        <v>8</v>
      </c>
      <c r="S5" s="68">
        <f t="shared" si="7"/>
        <v>29</v>
      </c>
      <c r="T5" s="65"/>
      <c r="U5" s="65"/>
      <c r="V5" s="49" t="str">
        <f t="shared" si="8"/>
        <v/>
      </c>
      <c r="W5" s="68">
        <f>IF(V5="",0,DATEDIF(V5,P5,"Y"))</f>
        <v>0</v>
      </c>
      <c r="X5" s="68">
        <f>IF(V5="",0,DATEDIF(V5,P5,"YM"))</f>
        <v>0</v>
      </c>
      <c r="Y5" s="68">
        <f>IF(V5="",0,DATEDIF(V5,P5,"MD"))</f>
        <v>0</v>
      </c>
      <c r="Z5" s="49"/>
      <c r="AA5" s="65"/>
      <c r="AB5" s="50" t="str">
        <f t="shared" si="9"/>
        <v/>
      </c>
      <c r="AC5" s="68">
        <f t="shared" si="10"/>
        <v>0</v>
      </c>
      <c r="AD5" s="68">
        <f t="shared" si="11"/>
        <v>0</v>
      </c>
      <c r="AE5" s="68">
        <f t="shared" si="12"/>
        <v>0</v>
      </c>
      <c r="AF5" s="50"/>
      <c r="AG5" s="50" t="s">
        <v>175</v>
      </c>
      <c r="AH5" s="49" t="str">
        <f>IF(AG5="นิติศาสตร์","K5-LAW","K5-POLICY")</f>
        <v>K5-POLICY</v>
      </c>
      <c r="AI5" s="72" t="str">
        <f>_xlfn.IFS(B5="","",AND(AH5="K5-LAW",AG5="นิติศาสตร์",K5="S2",T5="",Z5=""),P5,AND(AH5="K5-LAW",AG5="นิติศาสตร์",K5="S1",T5="",Z5=""),EDATE(P5,12),AND(AH5="K5-LAW",AG5="นิติศาสตร์",OR(K5="M2",K5="K4"),T5="",Z5=""),EDATE(P5,12*2),AND(AH5="K5-LAW",AG5="นิติศาสตร์",OR(Z5="M2",Z5="K4"),AC5&gt;=2,OR(AB5&lt;V5,AB5&lt;P5)),EDATE(AB5,12*2),AND(AH5="K5-LAW",AG5="นิติศาสตร์",Z5="S1",AC5&gt;=1,OR(AB5&lt;V5,AB5&lt;P5)),EDATE(AB5,12),AND(AH5="K5-LAW",AG5="นิติศาสตร์",OR(T5="M2",T5="K4"),W5&gt;=2,V5&lt;P5),EDATE(V5,12*2),AND(AH5="K5-LAW",AG5="นิติศาสตร์",T5="S1",W5&gt;=1,V5&lt;P5),EDATE(V5,12),AND(AH5="K5-LAW",AG5="นิติศาสตร์",OR(T5="S2",T5="K5")),V5,AND(AH5="K5-LAW",AG5="นิติศาสตร์",OR(K5="M2",K5="K4"),Q5&gt;=2),EDATE(P5,12*2),AND(AH5="K5-LAW",AG5="นิติศาสตร์",K5="S1",Q5&gt;=1),EDATE(P5,12),AND(AH5="K5-LAW",AG5="นิติศาสตร์",OR(K5="S2",K5="K5")),P5,AND(AH5="K5-POLICY",AG5&lt;&gt;"นิติศาสตร์",K5="S2",T5="",Z5=""),P5,AND(AH5="K5-POLICY",AG5&lt;&gt;"นิติศาสตร์",K5="S1",T5="",Z5=""),EDATE(P5,12),AND(AH5="K5-POLICY",AG5&lt;&gt;"นิติศาสตร์",OR(K5="M2",K5="K4"),T5="",Z5=""),EDATE(P5,12*2),AND(AH5="K5-POLICY",AG5&lt;&gt;"นิติศาสตร์",OR(Z5="M2",Z5="K4"),AC5&gt;=2,OR(AB5&lt;V5,AB5&lt;P5)),EDATE(AB5,12*2),AND(AH5="K5-POLICY",AG5&lt;&gt;"นิติศาสตร์",Z5="S1",AC5&gt;=1,OR(AB5&lt;V5,AB5&lt;P5)),EDATE(AB5,12),AND(AH5="K5-POLICY",AG5&lt;&gt;"นิติศาสตร์",OR(T5="M2",T5="K4"),W5&gt;=2,V5&lt;P5),EDATE(V5,12*2),AND(AH5="K5-POLICY",AG5&lt;&gt;"นิติศาสตร์",T5="S1",W5&gt;=1,V5&lt;P5),EDATE(V5,12),AND(AH5="K5-POLICY",AG5&lt;&gt;"นิติศาสตร์",OR(T5="S2",T5="K5")),V5,AND(AH5="K5-POLICY",AG5&lt;&gt;"นิติศาสตร์",OR(K5="M2",K5="K4"),Q5&gt;=2),EDATE(P5,12*2),AND(AH5="K5-POLICY",AG5&lt;&gt;"นิติศาสตร์",K5="S1",Q5&gt;=1),EDATE(P5,12),AND(AH5="K5-POLICY",AG5&lt;&gt;"นิติศาสตร์",OR(K5="S2",K5="K5")),P5,TRUE,"Check Data")</f>
        <v/>
      </c>
      <c r="AJ5" s="75" t="str">
        <f t="shared" si="13"/>
        <v>Check Data</v>
      </c>
      <c r="AK5" s="76" t="str">
        <f t="shared" si="14"/>
        <v>Check Data</v>
      </c>
      <c r="AL5" s="50" t="str">
        <f t="shared" si="15"/>
        <v>Check Data</v>
      </c>
      <c r="AM5" s="49" t="str">
        <f>IF(B5="","",IF(K5="S1","S1",INDEX(#REF!,#REF!)))</f>
        <v/>
      </c>
      <c r="AN5" s="49" t="str">
        <f>K5</f>
        <v>S1</v>
      </c>
      <c r="AO5" s="50" t="b">
        <f>K5=AM5</f>
        <v>0</v>
      </c>
      <c r="AP5" s="77"/>
    </row>
    <row r="6" spans="1:42" ht="21.75">
      <c r="A6" s="49">
        <v>4</v>
      </c>
      <c r="B6" s="50"/>
      <c r="C6" s="51"/>
      <c r="D6" s="50" t="s">
        <v>143</v>
      </c>
      <c r="E6" s="49" t="s">
        <v>199</v>
      </c>
      <c r="F6" s="49" t="str">
        <f t="shared" si="0"/>
        <v>08/05/1983</v>
      </c>
      <c r="G6" s="50">
        <f t="shared" si="1"/>
        <v>42</v>
      </c>
      <c r="H6" s="50">
        <f t="shared" si="2"/>
        <v>1</v>
      </c>
      <c r="I6" s="50">
        <f t="shared" si="3"/>
        <v>12</v>
      </c>
      <c r="J6" s="50" t="s">
        <v>158</v>
      </c>
      <c r="K6" s="49" t="s">
        <v>135</v>
      </c>
      <c r="L6" s="64"/>
      <c r="M6" s="49"/>
      <c r="N6" s="49">
        <v>2568</v>
      </c>
      <c r="O6" s="65" t="s">
        <v>200</v>
      </c>
      <c r="P6" s="49" t="str">
        <f t="shared" si="4"/>
        <v>09/03/2021</v>
      </c>
      <c r="Q6" s="68">
        <f t="shared" si="5"/>
        <v>4</v>
      </c>
      <c r="R6" s="68">
        <f t="shared" si="6"/>
        <v>3</v>
      </c>
      <c r="S6" s="68">
        <f t="shared" si="7"/>
        <v>11</v>
      </c>
      <c r="T6" s="65"/>
      <c r="U6" s="65"/>
      <c r="V6" s="49" t="str">
        <f t="shared" si="8"/>
        <v/>
      </c>
      <c r="W6" s="68">
        <f>IF(V6="",0,DATEDIF(V6,P6,"Y"))</f>
        <v>0</v>
      </c>
      <c r="X6" s="68">
        <f>IF(V6="",0,DATEDIF(V6,P6,"YM"))</f>
        <v>0</v>
      </c>
      <c r="Y6" s="68">
        <f>IF(V6="",0,DATEDIF(V6,P6,"MD"))</f>
        <v>0</v>
      </c>
      <c r="Z6" s="49"/>
      <c r="AA6" s="65"/>
      <c r="AB6" s="50" t="str">
        <f t="shared" si="9"/>
        <v/>
      </c>
      <c r="AC6" s="68">
        <f t="shared" si="10"/>
        <v>0</v>
      </c>
      <c r="AD6" s="68">
        <f t="shared" si="11"/>
        <v>0</v>
      </c>
      <c r="AE6" s="68">
        <f t="shared" si="12"/>
        <v>0</v>
      </c>
      <c r="AF6" s="50"/>
      <c r="AG6" s="50" t="s">
        <v>484</v>
      </c>
      <c r="AH6" s="49" t="str">
        <f>IF(AG6="นิติศาสตร์","K5-LAW","K5-POLICY")</f>
        <v>K5-POLICY</v>
      </c>
      <c r="AI6" s="72" t="str">
        <f>_xlfn.IFS(B6="","",AND(AH6="K5-LAW",AG6="นิติศาสตร์",K6="S2",T6="",Z6=""),P6,AND(AH6="K5-LAW",AG6="นิติศาสตร์",K6="S1",T6="",Z6=""),EDATE(P6,12),AND(AH6="K5-LAW",AG6="นิติศาสตร์",OR(K6="M2",K6="K4"),T6="",Z6=""),EDATE(P6,12*2),AND(AH6="K5-LAW",AG6="นิติศาสตร์",OR(Z6="M2",Z6="K4"),AC6&gt;=2,OR(AB6&lt;V6,AB6&lt;P6)),EDATE(AB6,12*2),AND(AH6="K5-LAW",AG6="นิติศาสตร์",Z6="S1",AC6&gt;=1,OR(AB6&lt;V6,AB6&lt;P6)),EDATE(AB6,12),AND(AH6="K5-LAW",AG6="นิติศาสตร์",OR(T6="M2",T6="K4"),W6&gt;=2,V6&lt;P6),EDATE(V6,12*2),AND(AH6="K5-LAW",AG6="นิติศาสตร์",T6="S1",W6&gt;=1,V6&lt;P6),EDATE(V6,12),AND(AH6="K5-LAW",AG6="นิติศาสตร์",OR(T6="S2",T6="K5")),V6,AND(AH6="K5-LAW",AG6="นิติศาสตร์",OR(K6="M2",K6="K4"),Q6&gt;=2),EDATE(P6,12*2),AND(AH6="K5-LAW",AG6="นิติศาสตร์",K6="S1",Q6&gt;=1),EDATE(P6,12),AND(AH6="K5-LAW",AG6="นิติศาสตร์",OR(K6="S2",K6="K5")),P6,AND(AH6="K5-POLICY",AG6&lt;&gt;"นิติศาสตร์",K6="S2",T6="",Z6=""),P6,AND(AH6="K5-POLICY",AG6&lt;&gt;"นิติศาสตร์",K6="S1",T6="",Z6=""),EDATE(P6,12),AND(AH6="K5-POLICY",AG6&lt;&gt;"นิติศาสตร์",OR(K6="M2",K6="K4"),T6="",Z6=""),EDATE(P6,12*2),AND(AH6="K5-POLICY",AG6&lt;&gt;"นิติศาสตร์",OR(Z6="M2",Z6="K4"),AC6&gt;=2,OR(AB6&lt;V6,AB6&lt;P6)),EDATE(AB6,12*2),AND(AH6="K5-POLICY",AG6&lt;&gt;"นิติศาสตร์",Z6="S1",AC6&gt;=1,OR(AB6&lt;V6,AB6&lt;P6)),EDATE(AB6,12),AND(AH6="K5-POLICY",AG6&lt;&gt;"นิติศาสตร์",OR(T6="M2",T6="K4"),W6&gt;=2,V6&lt;P6),EDATE(V6,12*2),AND(AH6="K5-POLICY",AG6&lt;&gt;"นิติศาสตร์",T6="S1",W6&gt;=1,V6&lt;P6),EDATE(V6,12),AND(AH6="K5-POLICY",AG6&lt;&gt;"นิติศาสตร์",OR(T6="S2",T6="K5")),V6,AND(AH6="K5-POLICY",AG6&lt;&gt;"นิติศาสตร์",OR(K6="M2",K6="K4"),Q6&gt;=2),EDATE(P6,12*2),AND(AH6="K5-POLICY",AG6&lt;&gt;"นิติศาสตร์",K6="S1",Q6&gt;=1),EDATE(P6,12),AND(AH6="K5-POLICY",AG6&lt;&gt;"นิติศาสตร์",OR(K6="S2",K6="K5")),P6,TRUE,"Check Data")</f>
        <v/>
      </c>
      <c r="AJ6" s="75" t="str">
        <f t="shared" si="13"/>
        <v>Check Data</v>
      </c>
      <c r="AK6" s="76" t="str">
        <f t="shared" si="14"/>
        <v>Check Data</v>
      </c>
      <c r="AL6" s="50" t="str">
        <f t="shared" si="15"/>
        <v>Check Data</v>
      </c>
      <c r="AM6" s="49" t="str">
        <f>IF(B6="","",IF(K6="S1","S1",INDEX(#REF!,#REF!)))</f>
        <v/>
      </c>
      <c r="AN6" s="49" t="str">
        <f>K6</f>
        <v>S1</v>
      </c>
      <c r="AO6" s="50" t="b">
        <f>K6=AM6</f>
        <v>0</v>
      </c>
      <c r="AP6" s="77"/>
    </row>
    <row r="7" spans="1:42" ht="21.75">
      <c r="A7" s="49">
        <v>5</v>
      </c>
      <c r="B7" s="50"/>
      <c r="C7" s="51"/>
      <c r="D7" s="50" t="s">
        <v>142</v>
      </c>
      <c r="E7" s="49" t="s">
        <v>180</v>
      </c>
      <c r="F7" s="49" t="str">
        <f t="shared" si="0"/>
        <v>10/11/1995</v>
      </c>
      <c r="G7" s="50">
        <f t="shared" si="1"/>
        <v>29</v>
      </c>
      <c r="H7" s="50">
        <f t="shared" si="2"/>
        <v>7</v>
      </c>
      <c r="I7" s="50">
        <f t="shared" si="3"/>
        <v>10</v>
      </c>
      <c r="J7" s="50" t="s">
        <v>485</v>
      </c>
      <c r="K7" s="49" t="s">
        <v>135</v>
      </c>
      <c r="L7" s="64"/>
      <c r="M7" s="49"/>
      <c r="N7" s="49">
        <v>2572</v>
      </c>
      <c r="O7" s="65" t="s">
        <v>181</v>
      </c>
      <c r="P7" s="49" t="str">
        <f t="shared" si="4"/>
        <v>17/11/2021</v>
      </c>
      <c r="Q7" s="68">
        <f t="shared" si="5"/>
        <v>3</v>
      </c>
      <c r="R7" s="68">
        <f t="shared" si="6"/>
        <v>7</v>
      </c>
      <c r="S7" s="68">
        <f t="shared" si="7"/>
        <v>3</v>
      </c>
      <c r="T7" s="65"/>
      <c r="U7" s="65"/>
      <c r="V7" s="49" t="str">
        <f t="shared" si="8"/>
        <v/>
      </c>
      <c r="W7" s="68">
        <f>IF(V7="",0,DATEDIF(V7,P7,"Y"))</f>
        <v>0</v>
      </c>
      <c r="X7" s="68">
        <f>IF(V7="",0,DATEDIF(V7,P7,"YM"))</f>
        <v>0</v>
      </c>
      <c r="Y7" s="68">
        <f>IF(V7="",0,DATEDIF(V7,P7,"MD"))</f>
        <v>0</v>
      </c>
      <c r="Z7" s="69"/>
      <c r="AA7" s="65"/>
      <c r="AB7" s="50" t="str">
        <f t="shared" si="9"/>
        <v/>
      </c>
      <c r="AC7" s="68">
        <f t="shared" si="10"/>
        <v>0</v>
      </c>
      <c r="AD7" s="68">
        <f t="shared" si="11"/>
        <v>0</v>
      </c>
      <c r="AE7" s="68">
        <f t="shared" si="12"/>
        <v>0</v>
      </c>
      <c r="AF7" s="50"/>
      <c r="AG7" s="50" t="s">
        <v>138</v>
      </c>
      <c r="AH7" s="49" t="str">
        <f>IF(AG7="นิติศาสตร์","K5-LAW","K5-POLICY")</f>
        <v>K5-LAW</v>
      </c>
      <c r="AI7" s="72" t="str">
        <f>_xlfn.IFS(B7="","",AND(AH7="K5-LAW",AG7="นิติศาสตร์",K7="S2",T7="",Z7=""),P7,AND(AH7="K5-LAW",AG7="นิติศาสตร์",K7="S1",T7="",Z7=""),EDATE(P7,12),AND(AH7="K5-LAW",AG7="นิติศาสตร์",OR(K7="M2",K7="K4"),T7="",Z7=""),EDATE(P7,12*2),AND(AH7="K5-LAW",AG7="นิติศาสตร์",OR(Z7="M2",Z7="K4"),AC7&gt;=2,OR(AB7&lt;V7,AB7&lt;P7)),EDATE(AB7,12*2),AND(AH7="K5-LAW",AG7="นิติศาสตร์",Z7="S1",AC7&gt;=1,OR(AB7&lt;V7,AB7&lt;P7)),EDATE(AB7,12),AND(AH7="K5-LAW",AG7="นิติศาสตร์",OR(T7="M2",T7="K4"),W7&gt;=2,V7&lt;P7),EDATE(V7,12*2),AND(AH7="K5-LAW",AG7="นิติศาสตร์",T7="S1",W7&gt;=1,V7&lt;P7),EDATE(V7,12),AND(AH7="K5-LAW",AG7="นิติศาสตร์",OR(T7="S2",T7="K5")),V7,AND(AH7="K5-LAW",AG7="นิติศาสตร์",OR(K7="M2",K7="K4"),Q7&gt;=2),EDATE(P7,12*2),AND(AH7="K5-LAW",AG7="นิติศาสตร์",K7="S1",Q7&gt;=1),EDATE(P7,12),AND(AH7="K5-LAW",AG7="นิติศาสตร์",OR(K7="S2",K7="K5")),P7,AND(AH7="K5-POLICY",AG7&lt;&gt;"นิติศาสตร์",K7="S2",T7="",Z7=""),P7,AND(AH7="K5-POLICY",AG7&lt;&gt;"นิติศาสตร์",K7="S1",T7="",Z7=""),EDATE(P7,12),AND(AH7="K5-POLICY",AG7&lt;&gt;"นิติศาสตร์",OR(K7="M2",K7="K4"),T7="",Z7=""),EDATE(P7,12*2),AND(AH7="K5-POLICY",AG7&lt;&gt;"นิติศาสตร์",OR(Z7="M2",Z7="K4"),AC7&gt;=2,OR(AB7&lt;V7,AB7&lt;P7)),EDATE(AB7,12*2),AND(AH7="K5-POLICY",AG7&lt;&gt;"นิติศาสตร์",Z7="S1",AC7&gt;=1,OR(AB7&lt;V7,AB7&lt;P7)),EDATE(AB7,12),AND(AH7="K5-POLICY",AG7&lt;&gt;"นิติศาสตร์",OR(T7="M2",T7="K4"),W7&gt;=2,V7&lt;P7),EDATE(V7,12*2),AND(AH7="K5-POLICY",AG7&lt;&gt;"นิติศาสตร์",T7="S1",W7&gt;=1,V7&lt;P7),EDATE(V7,12),AND(AH7="K5-POLICY",AG7&lt;&gt;"นิติศาสตร์",OR(T7="S2",T7="K5")),V7,AND(AH7="K5-POLICY",AG7&lt;&gt;"นิติศาสตร์",OR(K7="M2",K7="K4"),Q7&gt;=2),EDATE(P7,12*2),AND(AH7="K5-POLICY",AG7&lt;&gt;"นิติศาสตร์",K7="S1",Q7&gt;=1),EDATE(P7,12),AND(AH7="K5-POLICY",AG7&lt;&gt;"นิติศาสตร์",OR(K7="S2",K7="K5")),P7,TRUE,"Check Data")</f>
        <v/>
      </c>
      <c r="AJ7" s="75" t="str">
        <f t="shared" si="13"/>
        <v>Check Data</v>
      </c>
      <c r="AK7" s="76" t="str">
        <f t="shared" si="14"/>
        <v>Check Data</v>
      </c>
      <c r="AL7" s="50" t="str">
        <f t="shared" si="15"/>
        <v>Check Data</v>
      </c>
      <c r="AM7" s="49" t="str">
        <f>IF(B7="","",IF(K7="S1","S1",INDEX(#REF!,#REF!)))</f>
        <v/>
      </c>
      <c r="AN7" s="49" t="str">
        <f>K7</f>
        <v>S1</v>
      </c>
      <c r="AO7" s="50" t="b">
        <f>K7=AM7</f>
        <v>0</v>
      </c>
      <c r="AP7" s="50"/>
    </row>
    <row r="8" spans="1:42" ht="21.75">
      <c r="A8" s="49">
        <v>6</v>
      </c>
      <c r="B8" s="50"/>
      <c r="C8" s="51"/>
      <c r="D8" s="50" t="s">
        <v>142</v>
      </c>
      <c r="E8" s="49" t="s">
        <v>188</v>
      </c>
      <c r="F8" s="49" t="str">
        <f t="shared" si="0"/>
        <v>23/12/1991</v>
      </c>
      <c r="G8" s="50">
        <f t="shared" si="1"/>
        <v>33</v>
      </c>
      <c r="H8" s="50">
        <f t="shared" si="2"/>
        <v>5</v>
      </c>
      <c r="I8" s="50">
        <f t="shared" si="3"/>
        <v>28</v>
      </c>
      <c r="J8" s="50" t="s">
        <v>157</v>
      </c>
      <c r="K8" s="49" t="s">
        <v>135</v>
      </c>
      <c r="L8" s="64"/>
      <c r="M8" s="49" t="s">
        <v>425</v>
      </c>
      <c r="N8" s="49">
        <v>2572</v>
      </c>
      <c r="O8" s="65" t="s">
        <v>181</v>
      </c>
      <c r="P8" s="49" t="str">
        <f t="shared" si="4"/>
        <v>17/11/2021</v>
      </c>
      <c r="Q8" s="68">
        <f t="shared" si="5"/>
        <v>3</v>
      </c>
      <c r="R8" s="68">
        <f t="shared" si="6"/>
        <v>7</v>
      </c>
      <c r="S8" s="68">
        <f t="shared" si="7"/>
        <v>3</v>
      </c>
      <c r="T8" s="65"/>
      <c r="U8" s="65"/>
      <c r="V8" s="49" t="str">
        <f t="shared" si="8"/>
        <v/>
      </c>
      <c r="W8" s="68">
        <f>IF(V8="",0,DATEDIF(V8,P8,"Y"))</f>
        <v>0</v>
      </c>
      <c r="X8" s="68">
        <f>IF(V8="",0,DATEDIF(V8,P8,"YM"))</f>
        <v>0</v>
      </c>
      <c r="Y8" s="68">
        <f>IF(V8="",0,DATEDIF(V8,P8,"MD"))</f>
        <v>0</v>
      </c>
      <c r="Z8" s="49"/>
      <c r="AA8" s="65"/>
      <c r="AB8" s="50" t="str">
        <f t="shared" si="9"/>
        <v/>
      </c>
      <c r="AC8" s="68">
        <f t="shared" si="10"/>
        <v>0</v>
      </c>
      <c r="AD8" s="68">
        <f t="shared" si="11"/>
        <v>0</v>
      </c>
      <c r="AE8" s="68">
        <f t="shared" si="12"/>
        <v>0</v>
      </c>
      <c r="AF8" s="50"/>
      <c r="AG8" s="50" t="s">
        <v>486</v>
      </c>
      <c r="AH8" s="49" t="str">
        <f>IF(AG8="นิติศาสตร์","K5-LAW","K5-POLICY")</f>
        <v>K5-POLICY</v>
      </c>
      <c r="AI8" s="72" t="str">
        <f>_xlfn.IFS(B8="","",AND(AH8="K5-LAW",AG8="นิติศาสตร์",K8="S2",T8="",Z8=""),P8,AND(AH8="K5-LAW",AG8="นิติศาสตร์",K8="S1",T8="",Z8=""),EDATE(P8,12),AND(AH8="K5-LAW",AG8="นิติศาสตร์",OR(K8="M2",K8="K4"),T8="",Z8=""),EDATE(P8,12*2),AND(AH8="K5-LAW",AG8="นิติศาสตร์",OR(Z8="M2",Z8="K4"),AC8&gt;=2,OR(AB8&lt;V8,AB8&lt;P8)),EDATE(AB8,12*2),AND(AH8="K5-LAW",AG8="นิติศาสตร์",Z8="S1",AC8&gt;=1,OR(AB8&lt;V8,AB8&lt;P8)),EDATE(AB8,12),AND(AH8="K5-LAW",AG8="นิติศาสตร์",OR(T8="M2",T8="K4"),W8&gt;=2,V8&lt;P8),EDATE(V8,12*2),AND(AH8="K5-LAW",AG8="นิติศาสตร์",T8="S1",W8&gt;=1,V8&lt;P8),EDATE(V8,12),AND(AH8="K5-LAW",AG8="นิติศาสตร์",OR(T8="S2",T8="K5")),V8,AND(AH8="K5-LAW",AG8="นิติศาสตร์",OR(K8="M2",K8="K4"),Q8&gt;=2),EDATE(P8,12*2),AND(AH8="K5-LAW",AG8="นิติศาสตร์",K8="S1",Q8&gt;=1),EDATE(P8,12),AND(AH8="K5-LAW",AG8="นิติศาสตร์",OR(K8="S2",K8="K5")),P8,AND(AH8="K5-POLICY",AG8&lt;&gt;"นิติศาสตร์",K8="S2",T8="",Z8=""),P8,AND(AH8="K5-POLICY",AG8&lt;&gt;"นิติศาสตร์",K8="S1",T8="",Z8=""),EDATE(P8,12),AND(AH8="K5-POLICY",AG8&lt;&gt;"นิติศาสตร์",OR(K8="M2",K8="K4"),T8="",Z8=""),EDATE(P8,12*2),AND(AH8="K5-POLICY",AG8&lt;&gt;"นิติศาสตร์",OR(Z8="M2",Z8="K4"),AC8&gt;=2,OR(AB8&lt;V8,AB8&lt;P8)),EDATE(AB8,12*2),AND(AH8="K5-POLICY",AG8&lt;&gt;"นิติศาสตร์",Z8="S1",AC8&gt;=1,OR(AB8&lt;V8,AB8&lt;P8)),EDATE(AB8,12),AND(AH8="K5-POLICY",AG8&lt;&gt;"นิติศาสตร์",OR(T8="M2",T8="K4"),W8&gt;=2,V8&lt;P8),EDATE(V8,12*2),AND(AH8="K5-POLICY",AG8&lt;&gt;"นิติศาสตร์",T8="S1",W8&gt;=1,V8&lt;P8),EDATE(V8,12),AND(AH8="K5-POLICY",AG8&lt;&gt;"นิติศาสตร์",OR(T8="S2",T8="K5")),V8,AND(AH8="K5-POLICY",AG8&lt;&gt;"นิติศาสตร์",OR(K8="M2",K8="K4"),Q8&gt;=2),EDATE(P8,12*2),AND(AH8="K5-POLICY",AG8&lt;&gt;"นิติศาสตร์",K8="S1",Q8&gt;=1),EDATE(P8,12),AND(AH8="K5-POLICY",AG8&lt;&gt;"นิติศาสตร์",OR(K8="S2",K8="K5")),P8,TRUE,"Check Data")</f>
        <v/>
      </c>
      <c r="AJ8" s="75" t="str">
        <f t="shared" si="13"/>
        <v>Check Data</v>
      </c>
      <c r="AK8" s="76" t="str">
        <f t="shared" si="14"/>
        <v>Check Data</v>
      </c>
      <c r="AL8" s="50" t="str">
        <f t="shared" si="15"/>
        <v>Check Data</v>
      </c>
      <c r="AM8" s="49" t="str">
        <f>IF(B8="","",IF(K8="S1","S1",INDEX(#REF!,#REF!)))</f>
        <v/>
      </c>
      <c r="AN8" s="49" t="str">
        <f>K8</f>
        <v>S1</v>
      </c>
      <c r="AO8" s="50" t="b">
        <f>K8=AM8</f>
        <v>0</v>
      </c>
      <c r="AP8" s="50"/>
    </row>
    <row r="9" spans="1:42" ht="21.75">
      <c r="A9" s="49">
        <v>7</v>
      </c>
      <c r="B9" s="50"/>
      <c r="C9" s="51"/>
      <c r="D9" s="50" t="s">
        <v>143</v>
      </c>
      <c r="E9" s="49" t="s">
        <v>189</v>
      </c>
      <c r="F9" s="49" t="str">
        <f t="shared" si="0"/>
        <v>30/11/1993</v>
      </c>
      <c r="G9" s="50">
        <f t="shared" si="1"/>
        <v>31</v>
      </c>
      <c r="H9" s="50">
        <f t="shared" si="2"/>
        <v>6</v>
      </c>
      <c r="I9" s="50">
        <f t="shared" si="3"/>
        <v>21</v>
      </c>
      <c r="J9" s="50" t="s">
        <v>158</v>
      </c>
      <c r="K9" s="49" t="s">
        <v>135</v>
      </c>
      <c r="L9" s="64"/>
      <c r="M9" s="49" t="s">
        <v>425</v>
      </c>
      <c r="N9" s="49">
        <v>2574</v>
      </c>
      <c r="O9" s="65" t="s">
        <v>487</v>
      </c>
      <c r="P9" s="49" t="str">
        <f t="shared" si="4"/>
        <v>21/01/2022</v>
      </c>
      <c r="Q9" s="68">
        <f t="shared" si="5"/>
        <v>3</v>
      </c>
      <c r="R9" s="68">
        <f t="shared" si="6"/>
        <v>4</v>
      </c>
      <c r="S9" s="68">
        <f t="shared" si="7"/>
        <v>30</v>
      </c>
      <c r="T9" s="65"/>
      <c r="U9" s="65"/>
      <c r="V9" s="49" t="str">
        <f t="shared" si="8"/>
        <v/>
      </c>
      <c r="W9" s="68">
        <f>IF(V9="",0,DATEDIF(V9,P9,"Y"))</f>
        <v>0</v>
      </c>
      <c r="X9" s="68">
        <f>IF(V9="",0,DATEDIF(V9,P9,"YM"))</f>
        <v>0</v>
      </c>
      <c r="Y9" s="68">
        <f>IF(V9="",0,DATEDIF(V9,P9,"MD"))</f>
        <v>0</v>
      </c>
      <c r="Z9" s="49"/>
      <c r="AA9" s="65"/>
      <c r="AB9" s="50" t="str">
        <f t="shared" si="9"/>
        <v/>
      </c>
      <c r="AC9" s="68">
        <f t="shared" si="10"/>
        <v>0</v>
      </c>
      <c r="AD9" s="68">
        <f t="shared" si="11"/>
        <v>0</v>
      </c>
      <c r="AE9" s="68">
        <f t="shared" si="12"/>
        <v>0</v>
      </c>
      <c r="AF9" s="50"/>
      <c r="AG9" s="50" t="s">
        <v>488</v>
      </c>
      <c r="AH9" s="49" t="str">
        <f>IF(AG9="นิติศาสตร์","K5-LAW","K5-POLICY")</f>
        <v>K5-POLICY</v>
      </c>
      <c r="AI9" s="72" t="str">
        <f>_xlfn.IFS(B9="","",AND(AH9="K5-LAW",AG9="นิติศาสตร์",K9="S2",T9="",Z9=""),P9,AND(AH9="K5-LAW",AG9="นิติศาสตร์",K9="S1",T9="",Z9=""),EDATE(P9,12),AND(AH9="K5-LAW",AG9="นิติศาสตร์",OR(K9="M2",K9="K4"),T9="",Z9=""),EDATE(P9,12*2),AND(AH9="K5-LAW",AG9="นิติศาสตร์",OR(Z9="M2",Z9="K4"),AC9&gt;=2,OR(AB9&lt;V9,AB9&lt;P9)),EDATE(AB9,12*2),AND(AH9="K5-LAW",AG9="นิติศาสตร์",Z9="S1",AC9&gt;=1,OR(AB9&lt;V9,AB9&lt;P9)),EDATE(AB9,12),AND(AH9="K5-LAW",AG9="นิติศาสตร์",OR(T9="M2",T9="K4"),W9&gt;=2,V9&lt;P9),EDATE(V9,12*2),AND(AH9="K5-LAW",AG9="นิติศาสตร์",T9="S1",W9&gt;=1,V9&lt;P9),EDATE(V9,12),AND(AH9="K5-LAW",AG9="นิติศาสตร์",OR(T9="S2",T9="K5")),V9,AND(AH9="K5-LAW",AG9="นิติศาสตร์",OR(K9="M2",K9="K4"),Q9&gt;=2),EDATE(P9,12*2),AND(AH9="K5-LAW",AG9="นิติศาสตร์",K9="S1",Q9&gt;=1),EDATE(P9,12),AND(AH9="K5-LAW",AG9="นิติศาสตร์",OR(K9="S2",K9="K5")),P9,AND(AH9="K5-POLICY",AG9&lt;&gt;"นิติศาสตร์",K9="S2",T9="",Z9=""),P9,AND(AH9="K5-POLICY",AG9&lt;&gt;"นิติศาสตร์",K9="S1",T9="",Z9=""),EDATE(P9,12),AND(AH9="K5-POLICY",AG9&lt;&gt;"นิติศาสตร์",OR(K9="M2",K9="K4"),T9="",Z9=""),EDATE(P9,12*2),AND(AH9="K5-POLICY",AG9&lt;&gt;"นิติศาสตร์",OR(Z9="M2",Z9="K4"),AC9&gt;=2,OR(AB9&lt;V9,AB9&lt;P9)),EDATE(AB9,12*2),AND(AH9="K5-POLICY",AG9&lt;&gt;"นิติศาสตร์",Z9="S1",AC9&gt;=1,OR(AB9&lt;V9,AB9&lt;P9)),EDATE(AB9,12),AND(AH9="K5-POLICY",AG9&lt;&gt;"นิติศาสตร์",OR(T9="M2",T9="K4"),W9&gt;=2,V9&lt;P9),EDATE(V9,12*2),AND(AH9="K5-POLICY",AG9&lt;&gt;"นิติศาสตร์",T9="S1",W9&gt;=1,V9&lt;P9),EDATE(V9,12),AND(AH9="K5-POLICY",AG9&lt;&gt;"นิติศาสตร์",OR(T9="S2",T9="K5")),V9,AND(AH9="K5-POLICY",AG9&lt;&gt;"นิติศาสตร์",OR(K9="M2",K9="K4"),Q9&gt;=2),EDATE(P9,12*2),AND(AH9="K5-POLICY",AG9&lt;&gt;"นิติศาสตร์",K9="S1",Q9&gt;=1),EDATE(P9,12),AND(AH9="K5-POLICY",AG9&lt;&gt;"นิติศาสตร์",OR(K9="S2",K9="K5")),P9,TRUE,"Check Data")</f>
        <v/>
      </c>
      <c r="AJ9" s="75" t="str">
        <f t="shared" si="13"/>
        <v>Check Data</v>
      </c>
      <c r="AK9" s="76" t="str">
        <f t="shared" si="14"/>
        <v>Check Data</v>
      </c>
      <c r="AL9" s="50" t="str">
        <f t="shared" si="15"/>
        <v>Check Data</v>
      </c>
      <c r="AM9" s="49" t="str">
        <f>IF(B9="","",IF(K9="S1","S1",INDEX(#REF!,#REF!)))</f>
        <v/>
      </c>
      <c r="AN9" s="49" t="str">
        <f>K9</f>
        <v>S1</v>
      </c>
      <c r="AO9" s="50" t="b">
        <f>K9=AM9</f>
        <v>0</v>
      </c>
      <c r="AP9" s="50"/>
    </row>
    <row r="10" spans="1:42" ht="21.75">
      <c r="A10" s="49">
        <v>8</v>
      </c>
      <c r="B10" s="50"/>
      <c r="C10" s="51"/>
      <c r="D10" s="50" t="s">
        <v>140</v>
      </c>
      <c r="E10" s="49" t="s">
        <v>185</v>
      </c>
      <c r="F10" s="49" t="str">
        <f t="shared" si="0"/>
        <v>06/01/2003</v>
      </c>
      <c r="G10" s="50">
        <f t="shared" si="1"/>
        <v>22</v>
      </c>
      <c r="H10" s="50">
        <f t="shared" si="2"/>
        <v>5</v>
      </c>
      <c r="I10" s="50">
        <f t="shared" si="3"/>
        <v>14</v>
      </c>
      <c r="J10" s="50" t="s">
        <v>155</v>
      </c>
      <c r="K10" s="49" t="s">
        <v>135</v>
      </c>
      <c r="L10" s="64"/>
      <c r="M10" s="49"/>
      <c r="N10" s="49">
        <v>2578</v>
      </c>
      <c r="O10" s="65" t="s">
        <v>186</v>
      </c>
      <c r="P10" s="49" t="str">
        <f t="shared" si="4"/>
        <v>26/01/2022</v>
      </c>
      <c r="Q10" s="68">
        <f t="shared" si="5"/>
        <v>3</v>
      </c>
      <c r="R10" s="68">
        <f t="shared" si="6"/>
        <v>4</v>
      </c>
      <c r="S10" s="68">
        <f t="shared" si="7"/>
        <v>25</v>
      </c>
      <c r="T10" s="65"/>
      <c r="U10" s="65"/>
      <c r="V10" s="49" t="str">
        <f t="shared" si="8"/>
        <v/>
      </c>
      <c r="W10" s="68">
        <f>IF(V10="",0,DATEDIF(V10,P10,"Y"))</f>
        <v>0</v>
      </c>
      <c r="X10" s="68">
        <f>IF(V10="",0,DATEDIF(V10,P10,"YM"))</f>
        <v>0</v>
      </c>
      <c r="Y10" s="68">
        <f>IF(V10="",0,DATEDIF(V10,P10,"MD"))</f>
        <v>0</v>
      </c>
      <c r="Z10" s="49"/>
      <c r="AA10" s="65"/>
      <c r="AB10" s="50" t="str">
        <f t="shared" si="9"/>
        <v/>
      </c>
      <c r="AC10" s="68">
        <f t="shared" si="10"/>
        <v>0</v>
      </c>
      <c r="AD10" s="68">
        <f t="shared" si="11"/>
        <v>0</v>
      </c>
      <c r="AE10" s="68">
        <f t="shared" si="12"/>
        <v>0</v>
      </c>
      <c r="AF10" s="50"/>
      <c r="AG10" s="50" t="s">
        <v>196</v>
      </c>
      <c r="AH10" s="49" t="str">
        <f>IF(AG10="นิติศาสตร์","K5-LAW","K5-POLICY")</f>
        <v>K5-POLICY</v>
      </c>
      <c r="AI10" s="72" t="str">
        <f>_xlfn.IFS(B10="","",AND(AH10="K5-LAW",AG10="นิติศาสตร์",K10="S2",T10="",Z10=""),P10,AND(AH10="K5-LAW",AG10="นิติศาสตร์",K10="S1",T10="",Z10=""),EDATE(P10,12),AND(AH10="K5-LAW",AG10="นิติศาสตร์",OR(K10="M2",K10="K4"),T10="",Z10=""),EDATE(P10,12*2),AND(AH10="K5-LAW",AG10="นิติศาสตร์",OR(Z10="M2",Z10="K4"),AC10&gt;=2,OR(AB10&lt;V10,AB10&lt;P10)),EDATE(AB10,12*2),AND(AH10="K5-LAW",AG10="นิติศาสตร์",Z10="S1",AC10&gt;=1,OR(AB10&lt;V10,AB10&lt;P10)),EDATE(AB10,12),AND(AH10="K5-LAW",AG10="นิติศาสตร์",OR(T10="M2",T10="K4"),W10&gt;=2,V10&lt;P10),EDATE(V10,12*2),AND(AH10="K5-LAW",AG10="นิติศาสตร์",T10="S1",W10&gt;=1,V10&lt;P10),EDATE(V10,12),AND(AH10="K5-LAW",AG10="นิติศาสตร์",OR(T10="S2",T10="K5")),V10,AND(AH10="K5-LAW",AG10="นิติศาสตร์",OR(K10="M2",K10="K4"),Q10&gt;=2),EDATE(P10,12*2),AND(AH10="K5-LAW",AG10="นิติศาสตร์",K10="S1",Q10&gt;=1),EDATE(P10,12),AND(AH10="K5-LAW",AG10="นิติศาสตร์",OR(K10="S2",K10="K5")),P10,AND(AH10="K5-POLICY",AG10&lt;&gt;"นิติศาสตร์",K10="S2",T10="",Z10=""),P10,AND(AH10="K5-POLICY",AG10&lt;&gt;"นิติศาสตร์",K10="S1",T10="",Z10=""),EDATE(P10,12),AND(AH10="K5-POLICY",AG10&lt;&gt;"นิติศาสตร์",OR(K10="M2",K10="K4"),T10="",Z10=""),EDATE(P10,12*2),AND(AH10="K5-POLICY",AG10&lt;&gt;"นิติศาสตร์",OR(Z10="M2",Z10="K4"),AC10&gt;=2,OR(AB10&lt;V10,AB10&lt;P10)),EDATE(AB10,12*2),AND(AH10="K5-POLICY",AG10&lt;&gt;"นิติศาสตร์",Z10="S1",AC10&gt;=1,OR(AB10&lt;V10,AB10&lt;P10)),EDATE(AB10,12),AND(AH10="K5-POLICY",AG10&lt;&gt;"นิติศาสตร์",OR(T10="M2",T10="K4"),W10&gt;=2,V10&lt;P10),EDATE(V10,12*2),AND(AH10="K5-POLICY",AG10&lt;&gt;"นิติศาสตร์",T10="S1",W10&gt;=1,V10&lt;P10),EDATE(V10,12),AND(AH10="K5-POLICY",AG10&lt;&gt;"นิติศาสตร์",OR(T10="S2",T10="K5")),V10,AND(AH10="K5-POLICY",AG10&lt;&gt;"นิติศาสตร์",OR(K10="M2",K10="K4"),Q10&gt;=2),EDATE(P10,12*2),AND(AH10="K5-POLICY",AG10&lt;&gt;"นิติศาสตร์",K10="S1",Q10&gt;=1),EDATE(P10,12),AND(AH10="K5-POLICY",AG10&lt;&gt;"นิติศาสตร์",OR(K10="S2",K10="K5")),P10,TRUE,"Check Data")</f>
        <v/>
      </c>
      <c r="AJ10" s="75" t="str">
        <f t="shared" si="13"/>
        <v>Check Data</v>
      </c>
      <c r="AK10" s="76" t="str">
        <f t="shared" si="14"/>
        <v>Check Data</v>
      </c>
      <c r="AL10" s="50" t="str">
        <f t="shared" si="15"/>
        <v>Check Data</v>
      </c>
      <c r="AM10" s="49" t="str">
        <f>IF(B10="","",IF(K10="S1","S1",INDEX(#REF!,#REF!)))</f>
        <v/>
      </c>
      <c r="AN10" s="49" t="str">
        <f>K10</f>
        <v>S1</v>
      </c>
      <c r="AO10" s="50" t="b">
        <f>K10=AM10</f>
        <v>0</v>
      </c>
      <c r="AP10" s="50"/>
    </row>
    <row r="11" spans="1:42" ht="21.75">
      <c r="A11" s="49">
        <v>9</v>
      </c>
      <c r="B11" s="50"/>
      <c r="C11" s="51"/>
      <c r="D11" s="50" t="s">
        <v>146</v>
      </c>
      <c r="E11" s="49" t="s">
        <v>191</v>
      </c>
      <c r="F11" s="49" t="str">
        <f t="shared" si="0"/>
        <v>02/04/1990</v>
      </c>
      <c r="G11" s="50">
        <f t="shared" si="1"/>
        <v>35</v>
      </c>
      <c r="H11" s="50">
        <f t="shared" si="2"/>
        <v>2</v>
      </c>
      <c r="I11" s="50">
        <f t="shared" si="3"/>
        <v>18</v>
      </c>
      <c r="J11" s="50" t="s">
        <v>161</v>
      </c>
      <c r="K11" s="49" t="s">
        <v>135</v>
      </c>
      <c r="L11" s="64"/>
      <c r="M11" s="49"/>
      <c r="N11" s="49">
        <v>2569</v>
      </c>
      <c r="O11" s="65" t="s">
        <v>192</v>
      </c>
      <c r="P11" s="49" t="str">
        <f t="shared" si="4"/>
        <v>29/11/2022</v>
      </c>
      <c r="Q11" s="68">
        <f t="shared" si="5"/>
        <v>2</v>
      </c>
      <c r="R11" s="68">
        <f t="shared" si="6"/>
        <v>6</v>
      </c>
      <c r="S11" s="68">
        <f t="shared" si="7"/>
        <v>22</v>
      </c>
      <c r="T11" s="65"/>
      <c r="U11" s="65"/>
      <c r="V11" s="49" t="str">
        <f t="shared" si="8"/>
        <v/>
      </c>
      <c r="W11" s="68">
        <f>IF(V11="",0,DATEDIF(V11,P11,"Y"))</f>
        <v>0</v>
      </c>
      <c r="X11" s="68">
        <f>IF(V11="",0,DATEDIF(V11,P11,"YM"))</f>
        <v>0</v>
      </c>
      <c r="Y11" s="68">
        <f>IF(V11="",0,DATEDIF(V11,P11,"MD"))</f>
        <v>0</v>
      </c>
      <c r="Z11" s="49"/>
      <c r="AA11" s="65"/>
      <c r="AB11" s="50" t="str">
        <f t="shared" si="9"/>
        <v/>
      </c>
      <c r="AC11" s="68">
        <f t="shared" si="10"/>
        <v>0</v>
      </c>
      <c r="AD11" s="68">
        <f t="shared" si="11"/>
        <v>0</v>
      </c>
      <c r="AE11" s="68">
        <f t="shared" si="12"/>
        <v>0</v>
      </c>
      <c r="AF11" s="50"/>
      <c r="AG11" s="50" t="s">
        <v>193</v>
      </c>
      <c r="AH11" s="49" t="str">
        <f>IF(AG11="นิติศาสตร์","K5-LAW","K5-POLICY")</f>
        <v>K5-POLICY</v>
      </c>
      <c r="AI11" s="72" t="str">
        <f>_xlfn.IFS(B11="","",AND(AH11="K5-LAW",AG11="นิติศาสตร์",K11="S2",T11="",Z11=""),P11,AND(AH11="K5-LAW",AG11="นิติศาสตร์",K11="S1",T11="",Z11=""),EDATE(P11,12),AND(AH11="K5-LAW",AG11="นิติศาสตร์",OR(K11="M2",K11="K4"),T11="",Z11=""),EDATE(P11,12*2),AND(AH11="K5-LAW",AG11="นิติศาสตร์",OR(Z11="M2",Z11="K4"),AC11&gt;=2,OR(AB11&lt;V11,AB11&lt;P11)),EDATE(AB11,12*2),AND(AH11="K5-LAW",AG11="นิติศาสตร์",Z11="S1",AC11&gt;=1,OR(AB11&lt;V11,AB11&lt;P11)),EDATE(AB11,12),AND(AH11="K5-LAW",AG11="นิติศาสตร์",OR(T11="M2",T11="K4"),W11&gt;=2,V11&lt;P11),EDATE(V11,12*2),AND(AH11="K5-LAW",AG11="นิติศาสตร์",T11="S1",W11&gt;=1,V11&lt;P11),EDATE(V11,12),AND(AH11="K5-LAW",AG11="นิติศาสตร์",OR(T11="S2",T11="K5")),V11,AND(AH11="K5-LAW",AG11="นิติศาสตร์",OR(K11="M2",K11="K4"),Q11&gt;=2),EDATE(P11,12*2),AND(AH11="K5-LAW",AG11="นิติศาสตร์",K11="S1",Q11&gt;=1),EDATE(P11,12),AND(AH11="K5-LAW",AG11="นิติศาสตร์",OR(K11="S2",K11="K5")),P11,AND(AH11="K5-POLICY",AG11&lt;&gt;"นิติศาสตร์",K11="S2",T11="",Z11=""),P11,AND(AH11="K5-POLICY",AG11&lt;&gt;"นิติศาสตร์",K11="S1",T11="",Z11=""),EDATE(P11,12),AND(AH11="K5-POLICY",AG11&lt;&gt;"นิติศาสตร์",OR(K11="M2",K11="K4"),T11="",Z11=""),EDATE(P11,12*2),AND(AH11="K5-POLICY",AG11&lt;&gt;"นิติศาสตร์",OR(Z11="M2",Z11="K4"),AC11&gt;=2,OR(AB11&lt;V11,AB11&lt;P11)),EDATE(AB11,12*2),AND(AH11="K5-POLICY",AG11&lt;&gt;"นิติศาสตร์",Z11="S1",AC11&gt;=1,OR(AB11&lt;V11,AB11&lt;P11)),EDATE(AB11,12),AND(AH11="K5-POLICY",AG11&lt;&gt;"นิติศาสตร์",OR(T11="M2",T11="K4"),W11&gt;=2,V11&lt;P11),EDATE(V11,12*2),AND(AH11="K5-POLICY",AG11&lt;&gt;"นิติศาสตร์",T11="S1",W11&gt;=1,V11&lt;P11),EDATE(V11,12),AND(AH11="K5-POLICY",AG11&lt;&gt;"นิติศาสตร์",OR(T11="S2",T11="K5")),V11,AND(AH11="K5-POLICY",AG11&lt;&gt;"นิติศาสตร์",OR(K11="M2",K11="K4"),Q11&gt;=2),EDATE(P11,12*2),AND(AH11="K5-POLICY",AG11&lt;&gt;"นิติศาสตร์",K11="S1",Q11&gt;=1),EDATE(P11,12),AND(AH11="K5-POLICY",AG11&lt;&gt;"นิติศาสตร์",OR(K11="S2",K11="K5")),P11,TRUE,"Check Data")</f>
        <v/>
      </c>
      <c r="AJ11" s="75" t="str">
        <f t="shared" si="13"/>
        <v>Check Data</v>
      </c>
      <c r="AK11" s="76" t="str">
        <f t="shared" si="14"/>
        <v>Check Data</v>
      </c>
      <c r="AL11" s="50" t="str">
        <f t="shared" si="15"/>
        <v>Check Data</v>
      </c>
      <c r="AM11" s="49" t="str">
        <f>IF(B11="","",IF(K11="S1","S1",INDEX(#REF!,#REF!)))</f>
        <v/>
      </c>
      <c r="AN11" s="49" t="str">
        <f>K11</f>
        <v>S1</v>
      </c>
      <c r="AO11" s="50" t="b">
        <f>K11=AM11</f>
        <v>0</v>
      </c>
      <c r="AP11" s="50"/>
    </row>
    <row r="12" spans="1:42" ht="21.75">
      <c r="A12" s="49">
        <v>10</v>
      </c>
      <c r="B12" s="50"/>
      <c r="C12" s="51"/>
      <c r="D12" s="50" t="s">
        <v>144</v>
      </c>
      <c r="E12" s="49" t="s">
        <v>197</v>
      </c>
      <c r="F12" s="49" t="str">
        <f t="shared" si="0"/>
        <v>01/05/1991</v>
      </c>
      <c r="G12" s="50">
        <f t="shared" si="1"/>
        <v>34</v>
      </c>
      <c r="H12" s="50">
        <f t="shared" si="2"/>
        <v>1</v>
      </c>
      <c r="I12" s="50">
        <f t="shared" si="3"/>
        <v>19</v>
      </c>
      <c r="J12" s="50" t="s">
        <v>159</v>
      </c>
      <c r="K12" s="49" t="s">
        <v>135</v>
      </c>
      <c r="L12" s="64"/>
      <c r="M12" s="49" t="s">
        <v>425</v>
      </c>
      <c r="N12" s="49">
        <v>2574</v>
      </c>
      <c r="O12" s="65" t="s">
        <v>179</v>
      </c>
      <c r="P12" s="49" t="str">
        <f t="shared" si="4"/>
        <v>20/01/2023</v>
      </c>
      <c r="Q12" s="68">
        <f t="shared" si="5"/>
        <v>2</v>
      </c>
      <c r="R12" s="68">
        <f t="shared" si="6"/>
        <v>5</v>
      </c>
      <c r="S12" s="68">
        <f t="shared" si="7"/>
        <v>0</v>
      </c>
      <c r="T12" s="65"/>
      <c r="U12" s="65"/>
      <c r="V12" s="49" t="str">
        <f t="shared" si="8"/>
        <v/>
      </c>
      <c r="W12" s="68">
        <f>IF(V12="",0,DATEDIF(V12,P12,"Y"))</f>
        <v>0</v>
      </c>
      <c r="X12" s="68">
        <f>IF(V12="",0,DATEDIF(V12,P12,"YM"))</f>
        <v>0</v>
      </c>
      <c r="Y12" s="68">
        <f>IF(V12="",0,DATEDIF(V12,P12,"MD"))</f>
        <v>0</v>
      </c>
      <c r="Z12" s="49"/>
      <c r="AA12" s="65"/>
      <c r="AB12" s="50" t="str">
        <f t="shared" si="9"/>
        <v/>
      </c>
      <c r="AC12" s="68">
        <f t="shared" si="10"/>
        <v>0</v>
      </c>
      <c r="AD12" s="68">
        <f t="shared" si="11"/>
        <v>0</v>
      </c>
      <c r="AE12" s="68">
        <f t="shared" si="12"/>
        <v>0</v>
      </c>
      <c r="AF12" s="50"/>
      <c r="AG12" s="50" t="s">
        <v>138</v>
      </c>
      <c r="AH12" s="49" t="str">
        <f>IF(AG12="นิติศาสตร์","K5-LAW","K5-POLICY")</f>
        <v>K5-LAW</v>
      </c>
      <c r="AI12" s="72" t="str">
        <f>_xlfn.IFS(B12="","",AND(AH12="K5-LAW",AG12="นิติศาสตร์",K12="S2",T12="",Z12=""),P12,AND(AH12="K5-LAW",AG12="นิติศาสตร์",K12="S1",T12="",Z12=""),EDATE(P12,12),AND(AH12="K5-LAW",AG12="นิติศาสตร์",OR(K12="M2",K12="K4"),T12="",Z12=""),EDATE(P12,12*2),AND(AH12="K5-LAW",AG12="นิติศาสตร์",OR(Z12="M2",Z12="K4"),AC12&gt;=2,OR(AB12&lt;V12,AB12&lt;P12)),EDATE(AB12,12*2),AND(AH12="K5-LAW",AG12="นิติศาสตร์",Z12="S1",AC12&gt;=1,OR(AB12&lt;V12,AB12&lt;P12)),EDATE(AB12,12),AND(AH12="K5-LAW",AG12="นิติศาสตร์",OR(T12="M2",T12="K4"),W12&gt;=2,V12&lt;P12),EDATE(V12,12*2),AND(AH12="K5-LAW",AG12="นิติศาสตร์",T12="S1",W12&gt;=1,V12&lt;P12),EDATE(V12,12),AND(AH12="K5-LAW",AG12="นิติศาสตร์",OR(T12="S2",T12="K5")),V12,AND(AH12="K5-LAW",AG12="นิติศาสตร์",OR(K12="M2",K12="K4"),Q12&gt;=2),EDATE(P12,12*2),AND(AH12="K5-LAW",AG12="นิติศาสตร์",K12="S1",Q12&gt;=1),EDATE(P12,12),AND(AH12="K5-LAW",AG12="นิติศาสตร์",OR(K12="S2",K12="K5")),P12,AND(AH12="K5-POLICY",AG12&lt;&gt;"นิติศาสตร์",K12="S2",T12="",Z12=""),P12,AND(AH12="K5-POLICY",AG12&lt;&gt;"นิติศาสตร์",K12="S1",T12="",Z12=""),EDATE(P12,12),AND(AH12="K5-POLICY",AG12&lt;&gt;"นิติศาสตร์",OR(K12="M2",K12="K4"),T12="",Z12=""),EDATE(P12,12*2),AND(AH12="K5-POLICY",AG12&lt;&gt;"นิติศาสตร์",OR(Z12="M2",Z12="K4"),AC12&gt;=2,OR(AB12&lt;V12,AB12&lt;P12)),EDATE(AB12,12*2),AND(AH12="K5-POLICY",AG12&lt;&gt;"นิติศาสตร์",Z12="S1",AC12&gt;=1,OR(AB12&lt;V12,AB12&lt;P12)),EDATE(AB12,12),AND(AH12="K5-POLICY",AG12&lt;&gt;"นิติศาสตร์",OR(T12="M2",T12="K4"),W12&gt;=2,V12&lt;P12),EDATE(V12,12*2),AND(AH12="K5-POLICY",AG12&lt;&gt;"นิติศาสตร์",T12="S1",W12&gt;=1,V12&lt;P12),EDATE(V12,12),AND(AH12="K5-POLICY",AG12&lt;&gt;"นิติศาสตร์",OR(T12="S2",T12="K5")),V12,AND(AH12="K5-POLICY",AG12&lt;&gt;"นิติศาสตร์",OR(K12="M2",K12="K4"),Q12&gt;=2),EDATE(P12,12*2),AND(AH12="K5-POLICY",AG12&lt;&gt;"นิติศาสตร์",K12="S1",Q12&gt;=1),EDATE(P12,12),AND(AH12="K5-POLICY",AG12&lt;&gt;"นิติศาสตร์",OR(K12="S2",K12="K5")),P12,TRUE,"Check Data")</f>
        <v/>
      </c>
      <c r="AJ12" s="75" t="str">
        <f t="shared" si="13"/>
        <v>Check Data</v>
      </c>
      <c r="AK12" s="76" t="str">
        <f t="shared" si="14"/>
        <v>Check Data</v>
      </c>
      <c r="AL12" s="50" t="str">
        <f t="shared" si="15"/>
        <v>Check Data</v>
      </c>
      <c r="AM12" s="49" t="str">
        <f>IF(B12="","",IF(K12="S1","S1",INDEX(#REF!,#REF!)))</f>
        <v/>
      </c>
      <c r="AN12" s="49" t="str">
        <f>K12</f>
        <v>S1</v>
      </c>
      <c r="AO12" s="50" t="b">
        <f>K12=AM12</f>
        <v>0</v>
      </c>
      <c r="AP12" s="50"/>
    </row>
    <row r="13" spans="1:42" ht="21.75">
      <c r="A13" s="49">
        <v>11</v>
      </c>
      <c r="B13" s="50"/>
      <c r="C13" s="51"/>
      <c r="D13" s="50" t="s">
        <v>139</v>
      </c>
      <c r="E13" s="49" t="s">
        <v>164</v>
      </c>
      <c r="F13" s="49" t="str">
        <f t="shared" si="0"/>
        <v>01/05/1990</v>
      </c>
      <c r="G13" s="50">
        <f t="shared" si="1"/>
        <v>35</v>
      </c>
      <c r="H13" s="50">
        <f t="shared" si="2"/>
        <v>1</v>
      </c>
      <c r="I13" s="50">
        <f t="shared" si="3"/>
        <v>19</v>
      </c>
      <c r="J13" s="50" t="s">
        <v>154</v>
      </c>
      <c r="K13" s="49" t="s">
        <v>135</v>
      </c>
      <c r="L13" s="64"/>
      <c r="M13" s="49" t="s">
        <v>425</v>
      </c>
      <c r="N13" s="49">
        <v>2572</v>
      </c>
      <c r="O13" s="65" t="s">
        <v>179</v>
      </c>
      <c r="P13" s="49" t="str">
        <f t="shared" si="4"/>
        <v>20/01/2023</v>
      </c>
      <c r="Q13" s="68">
        <f t="shared" si="5"/>
        <v>2</v>
      </c>
      <c r="R13" s="68">
        <f t="shared" si="6"/>
        <v>5</v>
      </c>
      <c r="S13" s="68">
        <f t="shared" si="7"/>
        <v>0</v>
      </c>
      <c r="T13" s="65"/>
      <c r="U13" s="65"/>
      <c r="V13" s="49" t="str">
        <f t="shared" si="8"/>
        <v/>
      </c>
      <c r="W13" s="68">
        <f>IF(V13="",0,DATEDIF(V13,P13,"Y"))</f>
        <v>0</v>
      </c>
      <c r="X13" s="68">
        <f>IF(V13="",0,DATEDIF(V13,P13,"YM"))</f>
        <v>0</v>
      </c>
      <c r="Y13" s="68">
        <f>IF(V13="",0,DATEDIF(V13,P13,"MD"))</f>
        <v>0</v>
      </c>
      <c r="Z13" s="69"/>
      <c r="AA13" s="65"/>
      <c r="AB13" s="50" t="str">
        <f t="shared" si="9"/>
        <v/>
      </c>
      <c r="AC13" s="68">
        <f t="shared" si="10"/>
        <v>0</v>
      </c>
      <c r="AD13" s="68">
        <f t="shared" si="11"/>
        <v>0</v>
      </c>
      <c r="AE13" s="68">
        <f t="shared" si="12"/>
        <v>0</v>
      </c>
      <c r="AF13" s="50"/>
      <c r="AG13" s="50" t="s">
        <v>138</v>
      </c>
      <c r="AH13" s="49" t="str">
        <f>IF(AG13="นิติศาสตร์","K5-LAW","K5-POLICY")</f>
        <v>K5-LAW</v>
      </c>
      <c r="AI13" s="72" t="str">
        <f>_xlfn.IFS(B13="","",AND(AH13="K5-LAW",AG13="นิติศาสตร์",K13="S2",T13="",Z13=""),P13,AND(AH13="K5-LAW",AG13="นิติศาสตร์",K13="S1",T13="",Z13=""),EDATE(P13,12),AND(AH13="K5-LAW",AG13="นิติศาสตร์",OR(K13="M2",K13="K4"),T13="",Z13=""),EDATE(P13,12*2),AND(AH13="K5-LAW",AG13="นิติศาสตร์",OR(Z13="M2",Z13="K4"),AC13&gt;=2,OR(AB13&lt;V13,AB13&lt;P13)),EDATE(AB13,12*2),AND(AH13="K5-LAW",AG13="นิติศาสตร์",Z13="S1",AC13&gt;=1,OR(AB13&lt;V13,AB13&lt;P13)),EDATE(AB13,12),AND(AH13="K5-LAW",AG13="นิติศาสตร์",OR(T13="M2",T13="K4"),W13&gt;=2,V13&lt;P13),EDATE(V13,12*2),AND(AH13="K5-LAW",AG13="นิติศาสตร์",T13="S1",W13&gt;=1,V13&lt;P13),EDATE(V13,12),AND(AH13="K5-LAW",AG13="นิติศาสตร์",OR(T13="S2",T13="K5")),V13,AND(AH13="K5-LAW",AG13="นิติศาสตร์",OR(K13="M2",K13="K4"),Q13&gt;=2),EDATE(P13,12*2),AND(AH13="K5-LAW",AG13="นิติศาสตร์",K13="S1",Q13&gt;=1),EDATE(P13,12),AND(AH13="K5-LAW",AG13="นิติศาสตร์",OR(K13="S2",K13="K5")),P13,AND(AH13="K5-POLICY",AG13&lt;&gt;"นิติศาสตร์",K13="S2",T13="",Z13=""),P13,AND(AH13="K5-POLICY",AG13&lt;&gt;"นิติศาสตร์",K13="S1",T13="",Z13=""),EDATE(P13,12),AND(AH13="K5-POLICY",AG13&lt;&gt;"นิติศาสตร์",OR(K13="M2",K13="K4"),T13="",Z13=""),EDATE(P13,12*2),AND(AH13="K5-POLICY",AG13&lt;&gt;"นิติศาสตร์",OR(Z13="M2",Z13="K4"),AC13&gt;=2,OR(AB13&lt;V13,AB13&lt;P13)),EDATE(AB13,12*2),AND(AH13="K5-POLICY",AG13&lt;&gt;"นิติศาสตร์",Z13="S1",AC13&gt;=1,OR(AB13&lt;V13,AB13&lt;P13)),EDATE(AB13,12),AND(AH13="K5-POLICY",AG13&lt;&gt;"นิติศาสตร์",OR(T13="M2",T13="K4"),W13&gt;=2,V13&lt;P13),EDATE(V13,12*2),AND(AH13="K5-POLICY",AG13&lt;&gt;"นิติศาสตร์",T13="S1",W13&gt;=1,V13&lt;P13),EDATE(V13,12),AND(AH13="K5-POLICY",AG13&lt;&gt;"นิติศาสตร์",OR(T13="S2",T13="K5")),V13,AND(AH13="K5-POLICY",AG13&lt;&gt;"นิติศาสตร์",OR(K13="M2",K13="K4"),Q13&gt;=2),EDATE(P13,12*2),AND(AH13="K5-POLICY",AG13&lt;&gt;"นิติศาสตร์",K13="S1",Q13&gt;=1),EDATE(P13,12),AND(AH13="K5-POLICY",AG13&lt;&gt;"นิติศาสตร์",OR(K13="S2",K13="K5")),P13,TRUE,"Check Data")</f>
        <v/>
      </c>
      <c r="AJ13" s="75" t="str">
        <f t="shared" si="13"/>
        <v>Check Data</v>
      </c>
      <c r="AK13" s="76" t="str">
        <f t="shared" si="14"/>
        <v>Check Data</v>
      </c>
      <c r="AL13" s="50" t="str">
        <f t="shared" si="15"/>
        <v>Check Data</v>
      </c>
      <c r="AM13" s="49" t="str">
        <f>IF(B13="","",IF(K13="S1","S1",INDEX(#REF!,#REF!)))</f>
        <v/>
      </c>
      <c r="AN13" s="49" t="str">
        <f>K13</f>
        <v>S1</v>
      </c>
      <c r="AO13" s="50" t="b">
        <f>K13=AM13</f>
        <v>0</v>
      </c>
      <c r="AP13" s="50"/>
    </row>
    <row r="14" spans="1:42" ht="21.75">
      <c r="A14" s="49">
        <v>12</v>
      </c>
      <c r="B14" s="50"/>
      <c r="C14" s="51"/>
      <c r="D14" s="50" t="s">
        <v>141</v>
      </c>
      <c r="E14" s="49" t="s">
        <v>183</v>
      </c>
      <c r="F14" s="49" t="str">
        <f t="shared" si="0"/>
        <v>10/08/1992</v>
      </c>
      <c r="G14" s="50">
        <f t="shared" si="1"/>
        <v>32</v>
      </c>
      <c r="H14" s="50">
        <f t="shared" si="2"/>
        <v>10</v>
      </c>
      <c r="I14" s="50">
        <f t="shared" si="3"/>
        <v>10</v>
      </c>
      <c r="J14" s="50" t="s">
        <v>156</v>
      </c>
      <c r="K14" s="49" t="s">
        <v>135</v>
      </c>
      <c r="L14" s="64"/>
      <c r="M14" s="49" t="s">
        <v>425</v>
      </c>
      <c r="N14" s="49" t="s">
        <v>489</v>
      </c>
      <c r="O14" s="65" t="s">
        <v>184</v>
      </c>
      <c r="P14" s="49" t="str">
        <f t="shared" si="4"/>
        <v>24/07/2023</v>
      </c>
      <c r="Q14" s="68">
        <f t="shared" si="5"/>
        <v>1</v>
      </c>
      <c r="R14" s="68">
        <f t="shared" si="6"/>
        <v>10</v>
      </c>
      <c r="S14" s="68">
        <f t="shared" si="7"/>
        <v>27</v>
      </c>
      <c r="T14" s="65" t="s">
        <v>136</v>
      </c>
      <c r="U14" s="65" t="s">
        <v>168</v>
      </c>
      <c r="V14" s="49" t="str">
        <f t="shared" si="8"/>
        <v>01/10/2017</v>
      </c>
      <c r="W14" s="68">
        <f>IF(V14="",0,DATEDIF(V14,P14,"Y"))</f>
        <v>5</v>
      </c>
      <c r="X14" s="68">
        <f>IF(V14="",0,DATEDIF(V14,P14,"YM"))</f>
        <v>9</v>
      </c>
      <c r="Y14" s="68">
        <f>IF(V14="",0,DATEDIF(V14,P14,"MD"))</f>
        <v>23</v>
      </c>
      <c r="Z14" s="49"/>
      <c r="AA14" s="65"/>
      <c r="AB14" s="50" t="str">
        <f t="shared" si="9"/>
        <v/>
      </c>
      <c r="AC14" s="68">
        <f t="shared" si="10"/>
        <v>0</v>
      </c>
      <c r="AD14" s="68">
        <f t="shared" si="11"/>
        <v>0</v>
      </c>
      <c r="AE14" s="68">
        <f t="shared" si="12"/>
        <v>0</v>
      </c>
      <c r="AF14" s="50"/>
      <c r="AG14" s="50" t="s">
        <v>138</v>
      </c>
      <c r="AH14" s="49" t="str">
        <f>IF(AG14="นิติศาสตร์","K5-LAW","K5-POLICY")</f>
        <v>K5-LAW</v>
      </c>
      <c r="AI14" s="72" t="str">
        <f>_xlfn.IFS(B14="","",AND(AH14="K5-LAW",AG14="นิติศาสตร์",K14="S2",T14="",Z14=""),P14,AND(AH14="K5-LAW",AG14="นิติศาสตร์",K14="S1",T14="",Z14=""),EDATE(P14,12),AND(AH14="K5-LAW",AG14="นิติศาสตร์",OR(K14="M2",K14="K4"),T14="",Z14=""),EDATE(P14,12*2),AND(AH14="K5-LAW",AG14="นิติศาสตร์",OR(Z14="M2",Z14="K4"),AC14&gt;=2,OR(AB14&lt;V14,AB14&lt;P14)),EDATE(AB14,12*2),AND(AH14="K5-LAW",AG14="นิติศาสตร์",Z14="S1",AC14&gt;=1,OR(AB14&lt;V14,AB14&lt;P14)),EDATE(AB14,12),AND(AH14="K5-LAW",AG14="นิติศาสตร์",OR(T14="M2",T14="K4"),W14&gt;=2,V14&lt;P14),EDATE(V14,12*2),AND(AH14="K5-LAW",AG14="นิติศาสตร์",T14="S1",W14&gt;=1,V14&lt;P14),EDATE(V14,12),AND(AH14="K5-LAW",AG14="นิติศาสตร์",OR(T14="S2",T14="K5")),V14,AND(AH14="K5-LAW",AG14="นิติศาสตร์",OR(K14="M2",K14="K4"),Q14&gt;=2),EDATE(P14,12*2),AND(AH14="K5-LAW",AG14="นิติศาสตร์",K14="S1",Q14&gt;=1),EDATE(P14,12),AND(AH14="K5-LAW",AG14="นิติศาสตร์",OR(K14="S2",K14="K5")),P14,AND(AH14="K5-POLICY",AG14&lt;&gt;"นิติศาสตร์",K14="S2",T14="",Z14=""),P14,AND(AH14="K5-POLICY",AG14&lt;&gt;"นิติศาสตร์",K14="S1",T14="",Z14=""),EDATE(P14,12),AND(AH14="K5-POLICY",AG14&lt;&gt;"นิติศาสตร์",OR(K14="M2",K14="K4"),T14="",Z14=""),EDATE(P14,12*2),AND(AH14="K5-POLICY",AG14&lt;&gt;"นิติศาสตร์",OR(Z14="M2",Z14="K4"),AC14&gt;=2,OR(AB14&lt;V14,AB14&lt;P14)),EDATE(AB14,12*2),AND(AH14="K5-POLICY",AG14&lt;&gt;"นิติศาสตร์",Z14="S1",AC14&gt;=1,OR(AB14&lt;V14,AB14&lt;P14)),EDATE(AB14,12),AND(AH14="K5-POLICY",AG14&lt;&gt;"นิติศาสตร์",OR(T14="M2",T14="K4"),W14&gt;=2,V14&lt;P14),EDATE(V14,12*2),AND(AH14="K5-POLICY",AG14&lt;&gt;"นิติศาสตร์",T14="S1",W14&gt;=1,V14&lt;P14),EDATE(V14,12),AND(AH14="K5-POLICY",AG14&lt;&gt;"นิติศาสตร์",OR(T14="S2",T14="K5")),V14,AND(AH14="K5-POLICY",AG14&lt;&gt;"นิติศาสตร์",OR(K14="M2",K14="K4"),Q14&gt;=2),EDATE(P14,12*2),AND(AH14="K5-POLICY",AG14&lt;&gt;"นิติศาสตร์",K14="S1",Q14&gt;=1),EDATE(P14,12),AND(AH14="K5-POLICY",AG14&lt;&gt;"นิติศาสตร์",OR(K14="S2",K14="K5")),P14,TRUE,"Check Data")</f>
        <v/>
      </c>
      <c r="AJ14" s="75" t="str">
        <f t="shared" si="13"/>
        <v>Check Data</v>
      </c>
      <c r="AK14" s="76" t="str">
        <f t="shared" si="14"/>
        <v>Check Data</v>
      </c>
      <c r="AL14" s="50" t="str">
        <f t="shared" si="15"/>
        <v>Check Data</v>
      </c>
      <c r="AM14" s="49" t="str">
        <f>IF(B14="","",IF(K14="S1","S1",INDEX(#REF!,#REF!)))</f>
        <v/>
      </c>
      <c r="AN14" s="49" t="str">
        <f>K14</f>
        <v>S1</v>
      </c>
      <c r="AO14" s="50" t="b">
        <f>K14=AM14</f>
        <v>0</v>
      </c>
      <c r="AP14" s="50"/>
    </row>
    <row r="15" spans="1:42" ht="21.75">
      <c r="A15" s="49">
        <v>13</v>
      </c>
      <c r="B15" s="50"/>
      <c r="C15" s="51"/>
      <c r="D15" s="50" t="s">
        <v>34</v>
      </c>
      <c r="E15" s="49" t="s">
        <v>396</v>
      </c>
      <c r="F15" s="49" t="str">
        <f t="shared" si="0"/>
        <v>29/01/1996</v>
      </c>
      <c r="G15" s="50">
        <f t="shared" si="1"/>
        <v>29</v>
      </c>
      <c r="H15" s="50">
        <f t="shared" si="2"/>
        <v>4</v>
      </c>
      <c r="I15" s="50">
        <f t="shared" si="3"/>
        <v>22</v>
      </c>
      <c r="J15" s="50" t="s">
        <v>153</v>
      </c>
      <c r="K15" s="49" t="s">
        <v>135</v>
      </c>
      <c r="L15" s="64"/>
      <c r="M15" s="49" t="s">
        <v>427</v>
      </c>
      <c r="N15" s="49" t="s">
        <v>491</v>
      </c>
      <c r="O15" s="65" t="s">
        <v>184</v>
      </c>
      <c r="P15" s="49" t="str">
        <f t="shared" si="4"/>
        <v>24/07/2023</v>
      </c>
      <c r="Q15" s="68">
        <f t="shared" si="5"/>
        <v>1</v>
      </c>
      <c r="R15" s="68">
        <f t="shared" si="6"/>
        <v>10</v>
      </c>
      <c r="S15" s="68">
        <f t="shared" si="7"/>
        <v>27</v>
      </c>
      <c r="T15" s="65" t="s">
        <v>136</v>
      </c>
      <c r="U15" s="65" t="s">
        <v>207</v>
      </c>
      <c r="V15" s="49" t="str">
        <f t="shared" si="8"/>
        <v>09/06/2023</v>
      </c>
      <c r="W15" s="68">
        <f>IF(V15="",0,DATEDIF(V15,P15,"Y"))</f>
        <v>0</v>
      </c>
      <c r="X15" s="68">
        <f>IF(V15="",0,DATEDIF(V15,P15,"YM"))</f>
        <v>1</v>
      </c>
      <c r="Y15" s="68">
        <f>IF(V15="",0,DATEDIF(V15,P15,"MD"))</f>
        <v>15</v>
      </c>
      <c r="Z15" s="69" t="s">
        <v>137</v>
      </c>
      <c r="AA15" s="65" t="s">
        <v>397</v>
      </c>
      <c r="AB15" s="50" t="str">
        <f t="shared" si="9"/>
        <v>18/02/2019</v>
      </c>
      <c r="AC15" s="68">
        <f t="shared" si="10"/>
        <v>4</v>
      </c>
      <c r="AD15" s="68">
        <f t="shared" si="11"/>
        <v>3</v>
      </c>
      <c r="AE15" s="68">
        <f t="shared" si="12"/>
        <v>22</v>
      </c>
      <c r="AF15" s="50"/>
      <c r="AG15" s="50" t="s">
        <v>138</v>
      </c>
      <c r="AH15" s="49" t="str">
        <f>IF(AG15="นิติศาสตร์","K5-LAW","K5-POLICY")</f>
        <v>K5-LAW</v>
      </c>
      <c r="AI15" s="72" t="str">
        <f>_xlfn.IFS(B15="","",AND(AH15="K5-LAW",AG15="นิติศาสตร์",K15="S2",T15="",Z15=""),P15,AND(AH15="K5-LAW",AG15="นิติศาสตร์",K15="S1",T15="",Z15=""),EDATE(P15,12),AND(AH15="K5-LAW",AG15="นิติศาสตร์",OR(K15="M2",K15="K4"),T15="",Z15=""),EDATE(P15,12*2),AND(AH15="K5-LAW",AG15="นิติศาสตร์",OR(Z15="M2",Z15="K4"),AC15&gt;=2,OR(AB15&lt;V15,AB15&lt;P15)),EDATE(AB15,12*2),AND(AH15="K5-LAW",AG15="นิติศาสตร์",Z15="S1",AC15&gt;=1,OR(AB15&lt;V15,AB15&lt;P15)),EDATE(AB15,12),AND(AH15="K5-LAW",AG15="นิติศาสตร์",OR(T15="M2",T15="K4"),W15&gt;=2,V15&lt;P15),EDATE(V15,12*2),AND(AH15="K5-LAW",AG15="นิติศาสตร์",T15="S1",W15&gt;=1,V15&lt;P15),EDATE(V15,12),AND(AH15="K5-LAW",AG15="นิติศาสตร์",OR(T15="S2",T15="K5")),V15,AND(AH15="K5-LAW",AG15="นิติศาสตร์",OR(K15="M2",K15="K4"),Q15&gt;=2),EDATE(P15,12*2),AND(AH15="K5-LAW",AG15="นิติศาสตร์",K15="S1",Q15&gt;=1),EDATE(P15,12),AND(AH15="K5-LAW",AG15="นิติศาสตร์",OR(K15="S2",K15="K5")),P15,AND(AH15="K5-POLICY",AG15&lt;&gt;"นิติศาสตร์",K15="S2",T15="",Z15=""),P15,AND(AH15="K5-POLICY",AG15&lt;&gt;"นิติศาสตร์",K15="S1",T15="",Z15=""),EDATE(P15,12),AND(AH15="K5-POLICY",AG15&lt;&gt;"นิติศาสตร์",OR(K15="M2",K15="K4"),T15="",Z15=""),EDATE(P15,12*2),AND(AH15="K5-POLICY",AG15&lt;&gt;"นิติศาสตร์",OR(Z15="M2",Z15="K4"),AC15&gt;=2,OR(AB15&lt;V15,AB15&lt;P15)),EDATE(AB15,12*2),AND(AH15="K5-POLICY",AG15&lt;&gt;"นิติศาสตร์",Z15="S1",AC15&gt;=1,OR(AB15&lt;V15,AB15&lt;P15)),EDATE(AB15,12),AND(AH15="K5-POLICY",AG15&lt;&gt;"นิติศาสตร์",OR(T15="M2",T15="K4"),W15&gt;=2,V15&lt;P15),EDATE(V15,12*2),AND(AH15="K5-POLICY",AG15&lt;&gt;"นิติศาสตร์",T15="S1",W15&gt;=1,V15&lt;P15),EDATE(V15,12),AND(AH15="K5-POLICY",AG15&lt;&gt;"นิติศาสตร์",OR(T15="S2",T15="K5")),V15,AND(AH15="K5-POLICY",AG15&lt;&gt;"นิติศาสตร์",OR(K15="M2",K15="K4"),Q15&gt;=2),EDATE(P15,12*2),AND(AH15="K5-POLICY",AG15&lt;&gt;"นิติศาสตร์",K15="S1",Q15&gt;=1),EDATE(P15,12),AND(AH15="K5-POLICY",AG15&lt;&gt;"นิติศาสตร์",OR(K15="S2",K15="K5")),P15,TRUE,"Check Data")</f>
        <v/>
      </c>
      <c r="AJ15" s="75" t="str">
        <f t="shared" si="13"/>
        <v>Check Data</v>
      </c>
      <c r="AK15" s="76" t="str">
        <f t="shared" si="14"/>
        <v>Check Data</v>
      </c>
      <c r="AL15" s="50" t="str">
        <f t="shared" si="15"/>
        <v>Check Data</v>
      </c>
      <c r="AM15" s="49" t="str">
        <f>IF(B15="","",IF(K15="S1","S1",INDEX(#REF!,#REF!)))</f>
        <v/>
      </c>
      <c r="AN15" s="49" t="str">
        <f>K15</f>
        <v>S1</v>
      </c>
      <c r="AO15" s="50" t="b">
        <f>K15=AM15</f>
        <v>0</v>
      </c>
      <c r="AP15" s="50"/>
    </row>
    <row r="16" spans="1:42" ht="21.75">
      <c r="A16" s="49">
        <v>14</v>
      </c>
      <c r="B16" s="50"/>
      <c r="C16" s="51"/>
      <c r="D16" s="50" t="s">
        <v>34</v>
      </c>
      <c r="E16" s="49" t="s">
        <v>204</v>
      </c>
      <c r="F16" s="49" t="str">
        <f t="shared" si="0"/>
        <v>23/12/1997</v>
      </c>
      <c r="G16" s="50">
        <f t="shared" si="1"/>
        <v>27</v>
      </c>
      <c r="H16" s="50">
        <f t="shared" si="2"/>
        <v>5</v>
      </c>
      <c r="I16" s="50">
        <f t="shared" si="3"/>
        <v>28</v>
      </c>
      <c r="J16" s="50" t="s">
        <v>153</v>
      </c>
      <c r="K16" s="49" t="s">
        <v>135</v>
      </c>
      <c r="L16" s="64"/>
      <c r="M16" s="49" t="s">
        <v>425</v>
      </c>
      <c r="N16" s="49" t="s">
        <v>493</v>
      </c>
      <c r="O16" s="65" t="s">
        <v>184</v>
      </c>
      <c r="P16" s="49" t="str">
        <f t="shared" si="4"/>
        <v>24/07/2023</v>
      </c>
      <c r="Q16" s="68">
        <f t="shared" si="5"/>
        <v>1</v>
      </c>
      <c r="R16" s="68">
        <f t="shared" si="6"/>
        <v>10</v>
      </c>
      <c r="S16" s="68">
        <f t="shared" si="7"/>
        <v>27</v>
      </c>
      <c r="T16" s="65" t="s">
        <v>136</v>
      </c>
      <c r="U16" s="65" t="s">
        <v>205</v>
      </c>
      <c r="V16" s="49" t="str">
        <f t="shared" si="8"/>
        <v>26/10/2016</v>
      </c>
      <c r="W16" s="68">
        <f>IF(V16="",0,DATEDIF(V16,P16,"Y"))</f>
        <v>6</v>
      </c>
      <c r="X16" s="68">
        <f>IF(V16="",0,DATEDIF(V16,P16,"YM"))</f>
        <v>8</v>
      </c>
      <c r="Y16" s="68">
        <f>IF(V16="",0,DATEDIF(V16,P16,"MD"))</f>
        <v>28</v>
      </c>
      <c r="Z16" s="69" t="s">
        <v>88</v>
      </c>
      <c r="AA16" s="65" t="s">
        <v>495</v>
      </c>
      <c r="AB16" s="50" t="str">
        <f t="shared" si="9"/>
        <v>12/11/2010</v>
      </c>
      <c r="AC16" s="68">
        <f t="shared" si="10"/>
        <v>5</v>
      </c>
      <c r="AD16" s="68">
        <f t="shared" si="11"/>
        <v>11</v>
      </c>
      <c r="AE16" s="68">
        <f t="shared" si="12"/>
        <v>14</v>
      </c>
      <c r="AF16" s="50"/>
      <c r="AG16" s="50" t="s">
        <v>138</v>
      </c>
      <c r="AH16" s="49" t="str">
        <f>IF(AG16="นิติศาสตร์","K5-LAW","K5-POLICY")</f>
        <v>K5-LAW</v>
      </c>
      <c r="AI16" s="72" t="str">
        <f>_xlfn.IFS(B16="","",AND(AH16="K5-LAW",AG16="นิติศาสตร์",K16="S2",T16="",Z16=""),P16,AND(AH16="K5-LAW",AG16="นิติศาสตร์",K16="S1",T16="",Z16=""),EDATE(P16,12),AND(AH16="K5-LAW",AG16="นิติศาสตร์",OR(K16="M2",K16="K4"),T16="",Z16=""),EDATE(P16,12*2),AND(AH16="K5-LAW",AG16="นิติศาสตร์",OR(Z16="M2",Z16="K4"),AC16&gt;=2,OR(AB16&lt;V16,AB16&lt;P16)),EDATE(AB16,12*2),AND(AH16="K5-LAW",AG16="นิติศาสตร์",Z16="S1",AC16&gt;=1,OR(AB16&lt;V16,AB16&lt;P16)),EDATE(AB16,12),AND(AH16="K5-LAW",AG16="นิติศาสตร์",OR(T16="M2",T16="K4"),W16&gt;=2,V16&lt;P16),EDATE(V16,12*2),AND(AH16="K5-LAW",AG16="นิติศาสตร์",T16="S1",W16&gt;=1,V16&lt;P16),EDATE(V16,12),AND(AH16="K5-LAW",AG16="นิติศาสตร์",OR(T16="S2",T16="K5")),V16,AND(AH16="K5-LAW",AG16="นิติศาสตร์",OR(K16="M2",K16="K4"),Q16&gt;=2),EDATE(P16,12*2),AND(AH16="K5-LAW",AG16="นิติศาสตร์",K16="S1",Q16&gt;=1),EDATE(P16,12),AND(AH16="K5-LAW",AG16="นิติศาสตร์",OR(K16="S2",K16="K5")),P16,AND(AH16="K5-POLICY",AG16&lt;&gt;"นิติศาสตร์",K16="S2",T16="",Z16=""),P16,AND(AH16="K5-POLICY",AG16&lt;&gt;"นิติศาสตร์",K16="S1",T16="",Z16=""),EDATE(P16,12),AND(AH16="K5-POLICY",AG16&lt;&gt;"นิติศาสตร์",OR(K16="M2",K16="K4"),T16="",Z16=""),EDATE(P16,12*2),AND(AH16="K5-POLICY",AG16&lt;&gt;"นิติศาสตร์",OR(Z16="M2",Z16="K4"),AC16&gt;=2,OR(AB16&lt;V16,AB16&lt;P16)),EDATE(AB16,12*2),AND(AH16="K5-POLICY",AG16&lt;&gt;"นิติศาสตร์",Z16="S1",AC16&gt;=1,OR(AB16&lt;V16,AB16&lt;P16)),EDATE(AB16,12),AND(AH16="K5-POLICY",AG16&lt;&gt;"นิติศาสตร์",OR(T16="M2",T16="K4"),W16&gt;=2,V16&lt;P16),EDATE(V16,12*2),AND(AH16="K5-POLICY",AG16&lt;&gt;"นิติศาสตร์",T16="S1",W16&gt;=1,V16&lt;P16),EDATE(V16,12),AND(AH16="K5-POLICY",AG16&lt;&gt;"นิติศาสตร์",OR(T16="S2",T16="K5")),V16,AND(AH16="K5-POLICY",AG16&lt;&gt;"นิติศาสตร์",OR(K16="M2",K16="K4"),Q16&gt;=2),EDATE(P16,12*2),AND(AH16="K5-POLICY",AG16&lt;&gt;"นิติศาสตร์",K16="S1",Q16&gt;=1),EDATE(P16,12),AND(AH16="K5-POLICY",AG16&lt;&gt;"นิติศาสตร์",OR(K16="S2",K16="K5")),P16,TRUE,"Check Data")</f>
        <v/>
      </c>
      <c r="AJ16" s="75" t="str">
        <f t="shared" si="13"/>
        <v>Check Data</v>
      </c>
      <c r="AK16" s="76" t="str">
        <f t="shared" si="14"/>
        <v>Check Data</v>
      </c>
      <c r="AL16" s="50" t="str">
        <f t="shared" si="15"/>
        <v>Check Data</v>
      </c>
      <c r="AM16" s="49" t="str">
        <f>IF(B16="","",IF(K16="S1","S1",INDEX(#REF!,#REF!)))</f>
        <v/>
      </c>
      <c r="AN16" s="49" t="str">
        <f>K16</f>
        <v>S1</v>
      </c>
      <c r="AO16" s="50" t="b">
        <f>K16=AM16</f>
        <v>0</v>
      </c>
      <c r="AP16" s="50"/>
    </row>
    <row r="17" spans="1:42" ht="21.75">
      <c r="A17" s="49">
        <v>15</v>
      </c>
      <c r="B17" s="50"/>
      <c r="C17" s="50"/>
      <c r="D17" s="50" t="s">
        <v>142</v>
      </c>
      <c r="E17" s="49" t="s">
        <v>424</v>
      </c>
      <c r="F17" s="49" t="str">
        <f t="shared" si="0"/>
        <v>26/10/1995</v>
      </c>
      <c r="G17" s="50">
        <f t="shared" si="1"/>
        <v>29</v>
      </c>
      <c r="H17" s="50">
        <f t="shared" si="2"/>
        <v>7</v>
      </c>
      <c r="I17" s="50">
        <f t="shared" si="3"/>
        <v>25</v>
      </c>
      <c r="J17" s="50" t="s">
        <v>157</v>
      </c>
      <c r="K17" s="49" t="s">
        <v>135</v>
      </c>
      <c r="L17" s="64"/>
      <c r="M17" s="49"/>
      <c r="N17" s="49">
        <v>2571</v>
      </c>
      <c r="O17" s="65" t="s">
        <v>496</v>
      </c>
      <c r="P17" s="49" t="str">
        <f t="shared" si="4"/>
        <v>26/07/2024</v>
      </c>
      <c r="Q17" s="68">
        <f t="shared" si="5"/>
        <v>0</v>
      </c>
      <c r="R17" s="68">
        <f t="shared" si="6"/>
        <v>10</v>
      </c>
      <c r="S17" s="68">
        <f t="shared" si="7"/>
        <v>25</v>
      </c>
      <c r="T17" s="65" t="s">
        <v>136</v>
      </c>
      <c r="U17" s="65" t="s">
        <v>270</v>
      </c>
      <c r="V17" s="49" t="str">
        <f t="shared" si="8"/>
        <v>15/08/2012</v>
      </c>
      <c r="W17" s="68">
        <f>IF(V17="",0,DATEDIF(V17,P17,"Y"))</f>
        <v>11</v>
      </c>
      <c r="X17" s="68">
        <f>IF(V17="",0,DATEDIF(V17,P17,"YM"))</f>
        <v>11</v>
      </c>
      <c r="Y17" s="68">
        <f>IF(V17="",0,DATEDIF(V17,P17,"MD"))</f>
        <v>11</v>
      </c>
      <c r="Z17" s="49"/>
      <c r="AA17" s="65"/>
      <c r="AB17" s="50" t="str">
        <f t="shared" si="9"/>
        <v/>
      </c>
      <c r="AC17" s="68">
        <f t="shared" si="10"/>
        <v>0</v>
      </c>
      <c r="AD17" s="68">
        <f t="shared" si="11"/>
        <v>0</v>
      </c>
      <c r="AE17" s="68">
        <f t="shared" si="12"/>
        <v>0</v>
      </c>
      <c r="AF17" s="50"/>
      <c r="AG17" s="50" t="s">
        <v>138</v>
      </c>
      <c r="AH17" s="49" t="str">
        <f>IF(AG17="นิติศาสตร์","K5-LAW","K5-POLICY")</f>
        <v>K5-LAW</v>
      </c>
      <c r="AI17" s="72" t="str">
        <f>_xlfn.IFS(B17="","",AND(AH17="K5-LAW",AG17="นิติศาสตร์",K17="S2",T17="",Z17=""),P17,AND(AH17="K5-LAW",AG17="นิติศาสตร์",K17="S1",T17="",Z17=""),EDATE(P17,12),AND(AH17="K5-LAW",AG17="นิติศาสตร์",OR(K17="M2",K17="K4"),T17="",Z17=""),EDATE(P17,12*2),AND(AH17="K5-LAW",AG17="นิติศาสตร์",OR(Z17="M2",Z17="K4"),AC17&gt;=2,OR(AB17&lt;V17,AB17&lt;P17)),EDATE(AB17,12*2),AND(AH17="K5-LAW",AG17="นิติศาสตร์",Z17="S1",AC17&gt;=1,OR(AB17&lt;V17,AB17&lt;P17)),EDATE(AB17,12),AND(AH17="K5-LAW",AG17="นิติศาสตร์",OR(T17="M2",T17="K4"),W17&gt;=2,V17&lt;P17),EDATE(V17,12*2),AND(AH17="K5-LAW",AG17="นิติศาสตร์",T17="S1",W17&gt;=1,V17&lt;P17),EDATE(V17,12),AND(AH17="K5-LAW",AG17="นิติศาสตร์",OR(T17="S2",T17="K5")),V17,AND(AH17="K5-LAW",AG17="นิติศาสตร์",OR(K17="M2",K17="K4"),Q17&gt;=2),EDATE(P17,12*2),AND(AH17="K5-LAW",AG17="นิติศาสตร์",K17="S1",Q17&gt;=1),EDATE(P17,12),AND(AH17="K5-LAW",AG17="นิติศาสตร์",OR(K17="S2",K17="K5")),P17,AND(AH17="K5-POLICY",AG17&lt;&gt;"นิติศาสตร์",K17="S2",T17="",Z17=""),P17,AND(AH17="K5-POLICY",AG17&lt;&gt;"นิติศาสตร์",K17="S1",T17="",Z17=""),EDATE(P17,12),AND(AH17="K5-POLICY",AG17&lt;&gt;"นิติศาสตร์",OR(K17="M2",K17="K4"),T17="",Z17=""),EDATE(P17,12*2),AND(AH17="K5-POLICY",AG17&lt;&gt;"นิติศาสตร์",OR(Z17="M2",Z17="K4"),AC17&gt;=2,OR(AB17&lt;V17,AB17&lt;P17)),EDATE(AB17,12*2),AND(AH17="K5-POLICY",AG17&lt;&gt;"นิติศาสตร์",Z17="S1",AC17&gt;=1,OR(AB17&lt;V17,AB17&lt;P17)),EDATE(AB17,12),AND(AH17="K5-POLICY",AG17&lt;&gt;"นิติศาสตร์",OR(T17="M2",T17="K4"),W17&gt;=2,V17&lt;P17),EDATE(V17,12*2),AND(AH17="K5-POLICY",AG17&lt;&gt;"นิติศาสตร์",T17="S1",W17&gt;=1,V17&lt;P17),EDATE(V17,12),AND(AH17="K5-POLICY",AG17&lt;&gt;"นิติศาสตร์",OR(T17="S2",T17="K5")),V17,AND(AH17="K5-POLICY",AG17&lt;&gt;"นิติศาสตร์",OR(K17="M2",K17="K4"),Q17&gt;=2),EDATE(P17,12*2),AND(AH17="K5-POLICY",AG17&lt;&gt;"นิติศาสตร์",K17="S1",Q17&gt;=1),EDATE(P17,12),AND(AH17="K5-POLICY",AG17&lt;&gt;"นิติศาสตร์",OR(K17="S2",K17="K5")),P17,TRUE,"Check Data")</f>
        <v/>
      </c>
      <c r="AJ17" s="75" t="str">
        <f t="shared" si="13"/>
        <v>Check Data</v>
      </c>
      <c r="AK17" s="76" t="str">
        <f t="shared" si="14"/>
        <v>Check Data</v>
      </c>
      <c r="AL17" s="50" t="str">
        <f t="shared" si="15"/>
        <v>Check Data</v>
      </c>
      <c r="AM17" s="49" t="str">
        <f>IF(B17="","",IF(K17="S1","S1",INDEX(#REF!,#REF!)))</f>
        <v/>
      </c>
      <c r="AN17" s="49" t="str">
        <f>K17</f>
        <v>S1</v>
      </c>
      <c r="AO17" s="50" t="b">
        <f>K17=AM17</f>
        <v>0</v>
      </c>
      <c r="AP17" s="50"/>
    </row>
    <row r="18" spans="1:42" ht="21.75">
      <c r="A18" s="49">
        <v>16</v>
      </c>
      <c r="B18" s="50"/>
      <c r="C18" s="50"/>
      <c r="D18" s="50" t="s">
        <v>141</v>
      </c>
      <c r="E18" s="49" t="s">
        <v>176</v>
      </c>
      <c r="F18" s="49" t="str">
        <f t="shared" si="0"/>
        <v>01/03/1990</v>
      </c>
      <c r="G18" s="50">
        <f t="shared" si="1"/>
        <v>35</v>
      </c>
      <c r="H18" s="50">
        <f t="shared" si="2"/>
        <v>3</v>
      </c>
      <c r="I18" s="50">
        <f t="shared" si="3"/>
        <v>19</v>
      </c>
      <c r="J18" s="50" t="s">
        <v>156</v>
      </c>
      <c r="K18" s="49" t="s">
        <v>135</v>
      </c>
      <c r="L18" s="64"/>
      <c r="M18" s="49"/>
      <c r="N18" s="49">
        <v>2569</v>
      </c>
      <c r="O18" s="65" t="s">
        <v>496</v>
      </c>
      <c r="P18" s="49" t="str">
        <f t="shared" si="4"/>
        <v>26/07/2024</v>
      </c>
      <c r="Q18" s="68">
        <f t="shared" si="5"/>
        <v>0</v>
      </c>
      <c r="R18" s="68">
        <f t="shared" si="6"/>
        <v>10</v>
      </c>
      <c r="S18" s="68">
        <f t="shared" si="7"/>
        <v>25</v>
      </c>
      <c r="T18" s="65" t="s">
        <v>136</v>
      </c>
      <c r="U18" s="65" t="s">
        <v>242</v>
      </c>
      <c r="V18" s="49" t="str">
        <f t="shared" si="8"/>
        <v>20/04/2018</v>
      </c>
      <c r="W18" s="68">
        <f>IF(V18="",0,DATEDIF(V18,P18,"Y"))</f>
        <v>6</v>
      </c>
      <c r="X18" s="68">
        <f>IF(V18="",0,DATEDIF(V18,P18,"YM"))</f>
        <v>3</v>
      </c>
      <c r="Y18" s="68">
        <f>IF(V18="",0,DATEDIF(V18,P18,"MD"))</f>
        <v>6</v>
      </c>
      <c r="Z18" s="49"/>
      <c r="AA18" s="65"/>
      <c r="AB18" s="50" t="str">
        <f t="shared" si="9"/>
        <v/>
      </c>
      <c r="AC18" s="68">
        <f t="shared" si="10"/>
        <v>0</v>
      </c>
      <c r="AD18" s="68">
        <f t="shared" si="11"/>
        <v>0</v>
      </c>
      <c r="AE18" s="68">
        <f t="shared" si="12"/>
        <v>0</v>
      </c>
      <c r="AF18" s="50"/>
      <c r="AG18" s="50" t="s">
        <v>138</v>
      </c>
      <c r="AH18" s="49" t="str">
        <f>IF(AG18="นิติศาสตร์","K5-LAW","K5-POLICY")</f>
        <v>K5-LAW</v>
      </c>
      <c r="AI18" s="72" t="str">
        <f>_xlfn.IFS(B18="","",AND(AH18="K5-LAW",AG18="นิติศาสตร์",K18="S2",T18="",Z18=""),P18,AND(AH18="K5-LAW",AG18="นิติศาสตร์",K18="S1",T18="",Z18=""),EDATE(P18,12),AND(AH18="K5-LAW",AG18="นิติศาสตร์",OR(K18="M2",K18="K4"),T18="",Z18=""),EDATE(P18,12*2),AND(AH18="K5-LAW",AG18="นิติศาสตร์",OR(Z18="M2",Z18="K4"),AC18&gt;=2,OR(AB18&lt;V18,AB18&lt;P18)),EDATE(AB18,12*2),AND(AH18="K5-LAW",AG18="นิติศาสตร์",Z18="S1",AC18&gt;=1,OR(AB18&lt;V18,AB18&lt;P18)),EDATE(AB18,12),AND(AH18="K5-LAW",AG18="นิติศาสตร์",OR(T18="M2",T18="K4"),W18&gt;=2,V18&lt;P18),EDATE(V18,12*2),AND(AH18="K5-LAW",AG18="นิติศาสตร์",T18="S1",W18&gt;=1,V18&lt;P18),EDATE(V18,12),AND(AH18="K5-LAW",AG18="นิติศาสตร์",OR(T18="S2",T18="K5")),V18,AND(AH18="K5-LAW",AG18="นิติศาสตร์",OR(K18="M2",K18="K4"),Q18&gt;=2),EDATE(P18,12*2),AND(AH18="K5-LAW",AG18="นิติศาสตร์",K18="S1",Q18&gt;=1),EDATE(P18,12),AND(AH18="K5-LAW",AG18="นิติศาสตร์",OR(K18="S2",K18="K5")),P18,AND(AH18="K5-POLICY",AG18&lt;&gt;"นิติศาสตร์",K18="S2",T18="",Z18=""),P18,AND(AH18="K5-POLICY",AG18&lt;&gt;"นิติศาสตร์",K18="S1",T18="",Z18=""),EDATE(P18,12),AND(AH18="K5-POLICY",AG18&lt;&gt;"นิติศาสตร์",OR(K18="M2",K18="K4"),T18="",Z18=""),EDATE(P18,12*2),AND(AH18="K5-POLICY",AG18&lt;&gt;"นิติศาสตร์",OR(Z18="M2",Z18="K4"),AC18&gt;=2,OR(AB18&lt;V18,AB18&lt;P18)),EDATE(AB18,12*2),AND(AH18="K5-POLICY",AG18&lt;&gt;"นิติศาสตร์",Z18="S1",AC18&gt;=1,OR(AB18&lt;V18,AB18&lt;P18)),EDATE(AB18,12),AND(AH18="K5-POLICY",AG18&lt;&gt;"นิติศาสตร์",OR(T18="M2",T18="K4"),W18&gt;=2,V18&lt;P18),EDATE(V18,12*2),AND(AH18="K5-POLICY",AG18&lt;&gt;"นิติศาสตร์",T18="S1",W18&gt;=1,V18&lt;P18),EDATE(V18,12),AND(AH18="K5-POLICY",AG18&lt;&gt;"นิติศาสตร์",OR(T18="S2",T18="K5")),V18,AND(AH18="K5-POLICY",AG18&lt;&gt;"นิติศาสตร์",OR(K18="M2",K18="K4"),Q18&gt;=2),EDATE(P18,12*2),AND(AH18="K5-POLICY",AG18&lt;&gt;"นิติศาสตร์",K18="S1",Q18&gt;=1),EDATE(P18,12),AND(AH18="K5-POLICY",AG18&lt;&gt;"นิติศาสตร์",OR(K18="S2",K18="K5")),P18,TRUE,"Check Data")</f>
        <v/>
      </c>
      <c r="AJ18" s="75" t="str">
        <f t="shared" si="13"/>
        <v>Check Data</v>
      </c>
      <c r="AK18" s="76" t="str">
        <f t="shared" si="14"/>
        <v>Check Data</v>
      </c>
      <c r="AL18" s="50" t="str">
        <f t="shared" si="15"/>
        <v>Check Data</v>
      </c>
      <c r="AM18" s="49" t="str">
        <f>IF(B18="","",IF(K18="S1","S1",INDEX(#REF!,#REF!)))</f>
        <v/>
      </c>
      <c r="AN18" s="49" t="str">
        <f>K18</f>
        <v>S1</v>
      </c>
      <c r="AO18" s="50" t="b">
        <f>K18=AM18</f>
        <v>0</v>
      </c>
      <c r="AP18" s="50"/>
    </row>
    <row r="19" spans="1:42" ht="21.75">
      <c r="A19" s="49">
        <v>17</v>
      </c>
      <c r="B19" s="50"/>
      <c r="C19" s="50"/>
      <c r="D19" s="50" t="s">
        <v>141</v>
      </c>
      <c r="E19" s="49" t="s">
        <v>208</v>
      </c>
      <c r="F19" s="49" t="str">
        <f t="shared" si="0"/>
        <v>01/02/1990</v>
      </c>
      <c r="G19" s="50">
        <f t="shared" si="1"/>
        <v>35</v>
      </c>
      <c r="H19" s="50">
        <f t="shared" si="2"/>
        <v>4</v>
      </c>
      <c r="I19" s="50">
        <f t="shared" si="3"/>
        <v>19</v>
      </c>
      <c r="J19" s="50" t="s">
        <v>156</v>
      </c>
      <c r="K19" s="49" t="s">
        <v>135</v>
      </c>
      <c r="L19" s="64"/>
      <c r="M19" s="49"/>
      <c r="N19" s="49">
        <v>2569</v>
      </c>
      <c r="O19" s="65" t="s">
        <v>496</v>
      </c>
      <c r="P19" s="49" t="str">
        <f t="shared" si="4"/>
        <v>26/07/2024</v>
      </c>
      <c r="Q19" s="68">
        <f t="shared" si="5"/>
        <v>0</v>
      </c>
      <c r="R19" s="68">
        <f t="shared" si="6"/>
        <v>10</v>
      </c>
      <c r="S19" s="68">
        <f t="shared" si="7"/>
        <v>25</v>
      </c>
      <c r="T19" s="65" t="s">
        <v>136</v>
      </c>
      <c r="U19" s="65" t="s">
        <v>242</v>
      </c>
      <c r="V19" s="49" t="str">
        <f t="shared" si="8"/>
        <v>20/04/2018</v>
      </c>
      <c r="W19" s="68">
        <f>IF(V19="",0,DATEDIF(V19,P19,"Y"))</f>
        <v>6</v>
      </c>
      <c r="X19" s="68">
        <f>IF(V19="",0,DATEDIF(V19,P19,"YM"))</f>
        <v>3</v>
      </c>
      <c r="Y19" s="68">
        <f>IF(V19="",0,DATEDIF(V19,P19,"MD"))</f>
        <v>6</v>
      </c>
      <c r="Z19" s="49"/>
      <c r="AA19" s="65"/>
      <c r="AB19" s="50" t="str">
        <f t="shared" si="9"/>
        <v/>
      </c>
      <c r="AC19" s="68">
        <f t="shared" si="10"/>
        <v>0</v>
      </c>
      <c r="AD19" s="68">
        <f t="shared" si="11"/>
        <v>0</v>
      </c>
      <c r="AE19" s="68">
        <f t="shared" si="12"/>
        <v>0</v>
      </c>
      <c r="AF19" s="50"/>
      <c r="AG19" s="50" t="s">
        <v>138</v>
      </c>
      <c r="AH19" s="49" t="str">
        <f>IF(AG19="นิติศาสตร์","K5-LAW","K5-POLICY")</f>
        <v>K5-LAW</v>
      </c>
      <c r="AI19" s="72" t="str">
        <f>_xlfn.IFS(B19="","",AND(AH19="K5-LAW",AG19="นิติศาสตร์",K19="S2",T19="",Z19=""),P19,AND(AH19="K5-LAW",AG19="นิติศาสตร์",K19="S1",T19="",Z19=""),EDATE(P19,12),AND(AH19="K5-LAW",AG19="นิติศาสตร์",OR(K19="M2",K19="K4"),T19="",Z19=""),EDATE(P19,12*2),AND(AH19="K5-LAW",AG19="นิติศาสตร์",OR(Z19="M2",Z19="K4"),AC19&gt;=2,OR(AB19&lt;V19,AB19&lt;P19)),EDATE(AB19,12*2),AND(AH19="K5-LAW",AG19="นิติศาสตร์",Z19="S1",AC19&gt;=1,OR(AB19&lt;V19,AB19&lt;P19)),EDATE(AB19,12),AND(AH19="K5-LAW",AG19="นิติศาสตร์",OR(T19="M2",T19="K4"),W19&gt;=2,V19&lt;P19),EDATE(V19,12*2),AND(AH19="K5-LAW",AG19="นิติศาสตร์",T19="S1",W19&gt;=1,V19&lt;P19),EDATE(V19,12),AND(AH19="K5-LAW",AG19="นิติศาสตร์",OR(T19="S2",T19="K5")),V19,AND(AH19="K5-LAW",AG19="นิติศาสตร์",OR(K19="M2",K19="K4"),Q19&gt;=2),EDATE(P19,12*2),AND(AH19="K5-LAW",AG19="นิติศาสตร์",K19="S1",Q19&gt;=1),EDATE(P19,12),AND(AH19="K5-LAW",AG19="นิติศาสตร์",OR(K19="S2",K19="K5")),P19,AND(AH19="K5-POLICY",AG19&lt;&gt;"นิติศาสตร์",K19="S2",T19="",Z19=""),P19,AND(AH19="K5-POLICY",AG19&lt;&gt;"นิติศาสตร์",K19="S1",T19="",Z19=""),EDATE(P19,12),AND(AH19="K5-POLICY",AG19&lt;&gt;"นิติศาสตร์",OR(K19="M2",K19="K4"),T19="",Z19=""),EDATE(P19,12*2),AND(AH19="K5-POLICY",AG19&lt;&gt;"นิติศาสตร์",OR(Z19="M2",Z19="K4"),AC19&gt;=2,OR(AB19&lt;V19,AB19&lt;P19)),EDATE(AB19,12*2),AND(AH19="K5-POLICY",AG19&lt;&gt;"นิติศาสตร์",Z19="S1",AC19&gt;=1,OR(AB19&lt;V19,AB19&lt;P19)),EDATE(AB19,12),AND(AH19="K5-POLICY",AG19&lt;&gt;"นิติศาสตร์",OR(T19="M2",T19="K4"),W19&gt;=2,V19&lt;P19),EDATE(V19,12*2),AND(AH19="K5-POLICY",AG19&lt;&gt;"นิติศาสตร์",T19="S1",W19&gt;=1,V19&lt;P19),EDATE(V19,12),AND(AH19="K5-POLICY",AG19&lt;&gt;"นิติศาสตร์",OR(T19="S2",T19="K5")),V19,AND(AH19="K5-POLICY",AG19&lt;&gt;"นิติศาสตร์",OR(K19="M2",K19="K4"),Q19&gt;=2),EDATE(P19,12*2),AND(AH19="K5-POLICY",AG19&lt;&gt;"นิติศาสตร์",K19="S1",Q19&gt;=1),EDATE(P19,12),AND(AH19="K5-POLICY",AG19&lt;&gt;"นิติศาสตร์",OR(K19="S2",K19="K5")),P19,TRUE,"Check Data")</f>
        <v/>
      </c>
      <c r="AJ19" s="75" t="str">
        <f t="shared" si="13"/>
        <v>Check Data</v>
      </c>
      <c r="AK19" s="76" t="str">
        <f t="shared" si="14"/>
        <v>Check Data</v>
      </c>
      <c r="AL19" s="50" t="str">
        <f t="shared" si="15"/>
        <v>Check Data</v>
      </c>
      <c r="AM19" s="49" t="str">
        <f>IF(B19="","",IF(K19="S1","S1",INDEX(#REF!,#REF!)))</f>
        <v/>
      </c>
      <c r="AN19" s="49" t="str">
        <f>K19</f>
        <v>S1</v>
      </c>
      <c r="AO19" s="50" t="b">
        <f>K19=AM19</f>
        <v>0</v>
      </c>
      <c r="AP19" s="50"/>
    </row>
    <row r="20" spans="1:42" ht="21.75">
      <c r="A20" s="49">
        <v>18</v>
      </c>
      <c r="B20" s="50"/>
      <c r="C20" s="50"/>
      <c r="D20" s="50" t="s">
        <v>139</v>
      </c>
      <c r="E20" s="49" t="s">
        <v>217</v>
      </c>
      <c r="F20" s="49" t="str">
        <f t="shared" si="0"/>
        <v>02/01/1990</v>
      </c>
      <c r="G20" s="50">
        <f t="shared" si="1"/>
        <v>35</v>
      </c>
      <c r="H20" s="50">
        <f t="shared" si="2"/>
        <v>5</v>
      </c>
      <c r="I20" s="50">
        <f t="shared" si="3"/>
        <v>18</v>
      </c>
      <c r="J20" s="50" t="s">
        <v>154</v>
      </c>
      <c r="K20" s="49" t="s">
        <v>135</v>
      </c>
      <c r="L20" s="64"/>
      <c r="M20" s="49"/>
      <c r="N20" s="49">
        <v>2571</v>
      </c>
      <c r="O20" s="65" t="s">
        <v>496</v>
      </c>
      <c r="P20" s="49" t="str">
        <f t="shared" si="4"/>
        <v>26/07/2024</v>
      </c>
      <c r="Q20" s="68">
        <f t="shared" si="5"/>
        <v>0</v>
      </c>
      <c r="R20" s="68">
        <f t="shared" si="6"/>
        <v>10</v>
      </c>
      <c r="S20" s="68">
        <f t="shared" si="7"/>
        <v>25</v>
      </c>
      <c r="T20" s="65" t="s">
        <v>136</v>
      </c>
      <c r="U20" s="65" t="s">
        <v>177</v>
      </c>
      <c r="V20" s="49" t="str">
        <f t="shared" si="8"/>
        <v>01/10/2019</v>
      </c>
      <c r="W20" s="68">
        <f>IF(V20="",0,DATEDIF(V20,P20,"Y"))</f>
        <v>4</v>
      </c>
      <c r="X20" s="68">
        <f>IF(V20="",0,DATEDIF(V20,P20,"YM"))</f>
        <v>9</v>
      </c>
      <c r="Y20" s="68">
        <f>IF(V20="",0,DATEDIF(V20,P20,"MD"))</f>
        <v>25</v>
      </c>
      <c r="Z20" s="49"/>
      <c r="AA20" s="65"/>
      <c r="AB20" s="50" t="str">
        <f t="shared" si="9"/>
        <v/>
      </c>
      <c r="AC20" s="68">
        <f t="shared" si="10"/>
        <v>0</v>
      </c>
      <c r="AD20" s="68">
        <f t="shared" si="11"/>
        <v>0</v>
      </c>
      <c r="AE20" s="68">
        <f t="shared" si="12"/>
        <v>0</v>
      </c>
      <c r="AF20" s="50"/>
      <c r="AG20" s="50" t="s">
        <v>218</v>
      </c>
      <c r="AH20" s="49" t="str">
        <f>IF(AG20="นิติศาสตร์","K5-LAW","K5-POLICY")</f>
        <v>K5-POLICY</v>
      </c>
      <c r="AI20" s="72" t="str">
        <f>_xlfn.IFS(B20="","",AND(AH20="K5-LAW",AG20="นิติศาสตร์",K20="S2",T20="",Z20=""),P20,AND(AH20="K5-LAW",AG20="นิติศาสตร์",K20="S1",T20="",Z20=""),EDATE(P20,12),AND(AH20="K5-LAW",AG20="นิติศาสตร์",OR(K20="M2",K20="K4"),T20="",Z20=""),EDATE(P20,12*2),AND(AH20="K5-LAW",AG20="นิติศาสตร์",OR(Z20="M2",Z20="K4"),AC20&gt;=2,OR(AB20&lt;V20,AB20&lt;P20)),EDATE(AB20,12*2),AND(AH20="K5-LAW",AG20="นิติศาสตร์",Z20="S1",AC20&gt;=1,OR(AB20&lt;V20,AB20&lt;P20)),EDATE(AB20,12),AND(AH20="K5-LAW",AG20="นิติศาสตร์",OR(T20="M2",T20="K4"),W20&gt;=2,V20&lt;P20),EDATE(V20,12*2),AND(AH20="K5-LAW",AG20="นิติศาสตร์",T20="S1",W20&gt;=1,V20&lt;P20),EDATE(V20,12),AND(AH20="K5-LAW",AG20="นิติศาสตร์",OR(T20="S2",T20="K5")),V20,AND(AH20="K5-LAW",AG20="นิติศาสตร์",OR(K20="M2",K20="K4"),Q20&gt;=2),EDATE(P20,12*2),AND(AH20="K5-LAW",AG20="นิติศาสตร์",K20="S1",Q20&gt;=1),EDATE(P20,12),AND(AH20="K5-LAW",AG20="นิติศาสตร์",OR(K20="S2",K20="K5")),P20,AND(AH20="K5-POLICY",AG20&lt;&gt;"นิติศาสตร์",K20="S2",T20="",Z20=""),P20,AND(AH20="K5-POLICY",AG20&lt;&gt;"นิติศาสตร์",K20="S1",T20="",Z20=""),EDATE(P20,12),AND(AH20="K5-POLICY",AG20&lt;&gt;"นิติศาสตร์",OR(K20="M2",K20="K4"),T20="",Z20=""),EDATE(P20,12*2),AND(AH20="K5-POLICY",AG20&lt;&gt;"นิติศาสตร์",OR(Z20="M2",Z20="K4"),AC20&gt;=2,OR(AB20&lt;V20,AB20&lt;P20)),EDATE(AB20,12*2),AND(AH20="K5-POLICY",AG20&lt;&gt;"นิติศาสตร์",Z20="S1",AC20&gt;=1,OR(AB20&lt;V20,AB20&lt;P20)),EDATE(AB20,12),AND(AH20="K5-POLICY",AG20&lt;&gt;"นิติศาสตร์",OR(T20="M2",T20="K4"),W20&gt;=2,V20&lt;P20),EDATE(V20,12*2),AND(AH20="K5-POLICY",AG20&lt;&gt;"นิติศาสตร์",T20="S1",W20&gt;=1,V20&lt;P20),EDATE(V20,12),AND(AH20="K5-POLICY",AG20&lt;&gt;"นิติศาสตร์",OR(T20="S2",T20="K5")),V20,AND(AH20="K5-POLICY",AG20&lt;&gt;"นิติศาสตร์",OR(K20="M2",K20="K4"),Q20&gt;=2),EDATE(P20,12*2),AND(AH20="K5-POLICY",AG20&lt;&gt;"นิติศาสตร์",K20="S1",Q20&gt;=1),EDATE(P20,12),AND(AH20="K5-POLICY",AG20&lt;&gt;"นิติศาสตร์",OR(K20="S2",K20="K5")),P20,TRUE,"Check Data")</f>
        <v/>
      </c>
      <c r="AJ20" s="75" t="str">
        <f t="shared" si="13"/>
        <v>Check Data</v>
      </c>
      <c r="AK20" s="76" t="str">
        <f t="shared" si="14"/>
        <v>Check Data</v>
      </c>
      <c r="AL20" s="50" t="str">
        <f t="shared" si="15"/>
        <v>Check Data</v>
      </c>
      <c r="AM20" s="49" t="str">
        <f>IF(B20="","",IF(K20="S1","S1",INDEX(#REF!,#REF!)))</f>
        <v/>
      </c>
      <c r="AN20" s="49" t="str">
        <f>K20</f>
        <v>S1</v>
      </c>
      <c r="AO20" s="50" t="b">
        <f>K20=AM20</f>
        <v>0</v>
      </c>
      <c r="AP20" s="50"/>
    </row>
    <row r="21" spans="1:42" ht="21.75">
      <c r="A21" s="49">
        <v>19</v>
      </c>
      <c r="B21" s="50"/>
      <c r="C21" s="50"/>
      <c r="D21" s="50" t="s">
        <v>140</v>
      </c>
      <c r="E21" s="49" t="s">
        <v>176</v>
      </c>
      <c r="F21" s="49" t="str">
        <f t="shared" si="0"/>
        <v>01/03/1990</v>
      </c>
      <c r="G21" s="50">
        <f t="shared" si="1"/>
        <v>35</v>
      </c>
      <c r="H21" s="50">
        <f t="shared" si="2"/>
        <v>3</v>
      </c>
      <c r="I21" s="50">
        <f t="shared" si="3"/>
        <v>19</v>
      </c>
      <c r="J21" s="50" t="s">
        <v>155</v>
      </c>
      <c r="K21" s="49" t="s">
        <v>135</v>
      </c>
      <c r="L21" s="64"/>
      <c r="M21" s="49"/>
      <c r="N21" s="49">
        <v>2577</v>
      </c>
      <c r="O21" s="65" t="s">
        <v>496</v>
      </c>
      <c r="P21" s="49" t="str">
        <f t="shared" si="4"/>
        <v>26/07/2024</v>
      </c>
      <c r="Q21" s="68">
        <f t="shared" si="5"/>
        <v>0</v>
      </c>
      <c r="R21" s="68">
        <f t="shared" si="6"/>
        <v>10</v>
      </c>
      <c r="S21" s="68">
        <f t="shared" si="7"/>
        <v>25</v>
      </c>
      <c r="T21" s="65" t="s">
        <v>137</v>
      </c>
      <c r="U21" s="65" t="s">
        <v>402</v>
      </c>
      <c r="V21" s="49" t="str">
        <f t="shared" si="8"/>
        <v>15/05/2020</v>
      </c>
      <c r="W21" s="68">
        <f>IF(V21="",0,DATEDIF(V21,P21,"Y"))</f>
        <v>4</v>
      </c>
      <c r="X21" s="68">
        <f>IF(V21="",0,DATEDIF(V21,P21,"YM"))</f>
        <v>2</v>
      </c>
      <c r="Y21" s="68">
        <f>IF(V21="",0,DATEDIF(V21,P21,"MD"))</f>
        <v>11</v>
      </c>
      <c r="Z21" s="69"/>
      <c r="AA21" s="65"/>
      <c r="AB21" s="50" t="str">
        <f t="shared" si="9"/>
        <v/>
      </c>
      <c r="AC21" s="68">
        <f t="shared" si="10"/>
        <v>0</v>
      </c>
      <c r="AD21" s="68">
        <f t="shared" si="11"/>
        <v>0</v>
      </c>
      <c r="AE21" s="68">
        <f t="shared" si="12"/>
        <v>0</v>
      </c>
      <c r="AF21" s="50"/>
      <c r="AG21" s="50" t="s">
        <v>138</v>
      </c>
      <c r="AH21" s="49" t="str">
        <f>IF(AG21="นิติศาสตร์","K5-LAW","K5-POLICY")</f>
        <v>K5-LAW</v>
      </c>
      <c r="AI21" s="72" t="str">
        <f>_xlfn.IFS(B21="","",AND(AH21="K5-LAW",AG21="นิติศาสตร์",K21="S2",T21="",Z21=""),P21,AND(AH21="K5-LAW",AG21="นิติศาสตร์",K21="S1",T21="",Z21=""),EDATE(P21,12),AND(AH21="K5-LAW",AG21="นิติศาสตร์",OR(K21="M2",K21="K4"),T21="",Z21=""),EDATE(P21,12*2),AND(AH21="K5-LAW",AG21="นิติศาสตร์",OR(Z21="M2",Z21="K4"),AC21&gt;=2,OR(AB21&lt;V21,AB21&lt;P21)),EDATE(AB21,12*2),AND(AH21="K5-LAW",AG21="นิติศาสตร์",Z21="S1",AC21&gt;=1,OR(AB21&lt;V21,AB21&lt;P21)),EDATE(AB21,12),AND(AH21="K5-LAW",AG21="นิติศาสตร์",OR(T21="M2",T21="K4"),W21&gt;=2,V21&lt;P21),EDATE(V21,12*2),AND(AH21="K5-LAW",AG21="นิติศาสตร์",T21="S1",W21&gt;=1,V21&lt;P21),EDATE(V21,12),AND(AH21="K5-LAW",AG21="นิติศาสตร์",OR(T21="S2",T21="K5")),V21,AND(AH21="K5-LAW",AG21="นิติศาสตร์",OR(K21="M2",K21="K4"),Q21&gt;=2),EDATE(P21,12*2),AND(AH21="K5-LAW",AG21="นิติศาสตร์",K21="S1",Q21&gt;=1),EDATE(P21,12),AND(AH21="K5-LAW",AG21="นิติศาสตร์",OR(K21="S2",K21="K5")),P21,AND(AH21="K5-POLICY",AG21&lt;&gt;"นิติศาสตร์",K21="S2",T21="",Z21=""),P21,AND(AH21="K5-POLICY",AG21&lt;&gt;"นิติศาสตร์",K21="S1",T21="",Z21=""),EDATE(P21,12),AND(AH21="K5-POLICY",AG21&lt;&gt;"นิติศาสตร์",OR(K21="M2",K21="K4"),T21="",Z21=""),EDATE(P21,12*2),AND(AH21="K5-POLICY",AG21&lt;&gt;"นิติศาสตร์",OR(Z21="M2",Z21="K4"),AC21&gt;=2,OR(AB21&lt;V21,AB21&lt;P21)),EDATE(AB21,12*2),AND(AH21="K5-POLICY",AG21&lt;&gt;"นิติศาสตร์",Z21="S1",AC21&gt;=1,OR(AB21&lt;V21,AB21&lt;P21)),EDATE(AB21,12),AND(AH21="K5-POLICY",AG21&lt;&gt;"นิติศาสตร์",OR(T21="M2",T21="K4"),W21&gt;=2,V21&lt;P21),EDATE(V21,12*2),AND(AH21="K5-POLICY",AG21&lt;&gt;"นิติศาสตร์",T21="S1",W21&gt;=1,V21&lt;P21),EDATE(V21,12),AND(AH21="K5-POLICY",AG21&lt;&gt;"นิติศาสตร์",OR(T21="S2",T21="K5")),V21,AND(AH21="K5-POLICY",AG21&lt;&gt;"นิติศาสตร์",OR(K21="M2",K21="K4"),Q21&gt;=2),EDATE(P21,12*2),AND(AH21="K5-POLICY",AG21&lt;&gt;"นิติศาสตร์",K21="S1",Q21&gt;=1),EDATE(P21,12),AND(AH21="K5-POLICY",AG21&lt;&gt;"นิติศาสตร์",OR(K21="S2",K21="K5")),P21,TRUE,"Check Data")</f>
        <v/>
      </c>
      <c r="AJ21" s="75" t="str">
        <f t="shared" si="13"/>
        <v>Check Data</v>
      </c>
      <c r="AK21" s="76" t="str">
        <f t="shared" si="14"/>
        <v>Check Data</v>
      </c>
      <c r="AL21" s="50" t="str">
        <f t="shared" si="15"/>
        <v>Check Data</v>
      </c>
      <c r="AM21" s="49" t="str">
        <f>IF(B21="","",IF(K21="S1","S1",INDEX(#REF!,#REF!)))</f>
        <v/>
      </c>
      <c r="AN21" s="49" t="str">
        <f>K21</f>
        <v>S1</v>
      </c>
      <c r="AO21" s="50" t="b">
        <f>K21=AM21</f>
        <v>0</v>
      </c>
      <c r="AP21" s="50"/>
    </row>
    <row r="22" spans="1:42" ht="21.75">
      <c r="A22" s="49">
        <v>20</v>
      </c>
      <c r="B22" s="50"/>
      <c r="C22" s="50"/>
      <c r="D22" s="50" t="s">
        <v>144</v>
      </c>
      <c r="E22" s="49" t="s">
        <v>501</v>
      </c>
      <c r="F22" s="49" t="str">
        <f t="shared" si="0"/>
        <v>11/12/1986</v>
      </c>
      <c r="G22" s="50">
        <f t="shared" si="1"/>
        <v>38</v>
      </c>
      <c r="H22" s="50">
        <f t="shared" si="2"/>
        <v>6</v>
      </c>
      <c r="I22" s="50">
        <f t="shared" si="3"/>
        <v>9</v>
      </c>
      <c r="J22" s="50" t="s">
        <v>159</v>
      </c>
      <c r="K22" s="49" t="s">
        <v>135</v>
      </c>
      <c r="L22" s="64"/>
      <c r="M22" s="49"/>
      <c r="N22" s="49">
        <v>2572</v>
      </c>
      <c r="O22" s="65" t="s">
        <v>502</v>
      </c>
      <c r="P22" s="49" t="str">
        <f t="shared" si="4"/>
        <v>30/01/2025</v>
      </c>
      <c r="Q22" s="68">
        <f t="shared" si="5"/>
        <v>0</v>
      </c>
      <c r="R22" s="68">
        <f t="shared" si="6"/>
        <v>4</v>
      </c>
      <c r="S22" s="68">
        <f t="shared" si="7"/>
        <v>21</v>
      </c>
      <c r="T22" s="65" t="s">
        <v>136</v>
      </c>
      <c r="U22" s="65" t="s">
        <v>378</v>
      </c>
      <c r="V22" s="49" t="str">
        <f t="shared" si="8"/>
        <v>25/09/2012</v>
      </c>
      <c r="W22" s="68">
        <f>IF(V22="",0,DATEDIF(V22,P22,"Y"))</f>
        <v>12</v>
      </c>
      <c r="X22" s="68">
        <f>IF(V22="",0,DATEDIF(V22,P22,"YM"))</f>
        <v>4</v>
      </c>
      <c r="Y22" s="68">
        <f>IF(V22="",0,DATEDIF(V22,P22,"MD"))</f>
        <v>5</v>
      </c>
      <c r="Z22" s="49"/>
      <c r="AA22" s="65"/>
      <c r="AB22" s="50" t="str">
        <f t="shared" si="9"/>
        <v/>
      </c>
      <c r="AC22" s="68">
        <f t="shared" si="10"/>
        <v>0</v>
      </c>
      <c r="AD22" s="68">
        <f t="shared" si="11"/>
        <v>0</v>
      </c>
      <c r="AE22" s="68">
        <f t="shared" si="12"/>
        <v>0</v>
      </c>
      <c r="AF22" s="50"/>
      <c r="AG22" s="50" t="s">
        <v>163</v>
      </c>
      <c r="AH22" s="49" t="str">
        <f>IF(AG22="นิติศาสตร์","K5-LAW","K5-POLICY")</f>
        <v>K5-POLICY</v>
      </c>
      <c r="AI22" s="72" t="str">
        <f>_xlfn.IFS(B22="","",AND(AH22="K5-LAW",AG22="นิติศาสตร์",K22="S2",T22="",Z22=""),P22,AND(AH22="K5-LAW",AG22="นิติศาสตร์",K22="S1",T22="",Z22=""),EDATE(P22,12),AND(AH22="K5-LAW",AG22="นิติศาสตร์",OR(K22="M2",K22="K4"),T22="",Z22=""),EDATE(P22,12*2),AND(AH22="K5-LAW",AG22="นิติศาสตร์",OR(Z22="M2",Z22="K4"),AC22&gt;=2,OR(AB22&lt;V22,AB22&lt;P22)),EDATE(AB22,12*2),AND(AH22="K5-LAW",AG22="นิติศาสตร์",Z22="S1",AC22&gt;=1,OR(AB22&lt;V22,AB22&lt;P22)),EDATE(AB22,12),AND(AH22="K5-LAW",AG22="นิติศาสตร์",OR(T22="M2",T22="K4"),W22&gt;=2,V22&lt;P22),EDATE(V22,12*2),AND(AH22="K5-LAW",AG22="นิติศาสตร์",T22="S1",W22&gt;=1,V22&lt;P22),EDATE(V22,12),AND(AH22="K5-LAW",AG22="นิติศาสตร์",OR(T22="S2",T22="K5")),V22,AND(AH22="K5-LAW",AG22="นิติศาสตร์",OR(K22="M2",K22="K4"),Q22&gt;=2),EDATE(P22,12*2),AND(AH22="K5-LAW",AG22="นิติศาสตร์",K22="S1",Q22&gt;=1),EDATE(P22,12),AND(AH22="K5-LAW",AG22="นิติศาสตร์",OR(K22="S2",K22="K5")),P22,AND(AH22="K5-POLICY",AG22&lt;&gt;"นิติศาสตร์",K22="S2",T22="",Z22=""),P22,AND(AH22="K5-POLICY",AG22&lt;&gt;"นิติศาสตร์",K22="S1",T22="",Z22=""),EDATE(P22,12),AND(AH22="K5-POLICY",AG22&lt;&gt;"นิติศาสตร์",OR(K22="M2",K22="K4"),T22="",Z22=""),EDATE(P22,12*2),AND(AH22="K5-POLICY",AG22&lt;&gt;"นิติศาสตร์",OR(Z22="M2",Z22="K4"),AC22&gt;=2,OR(AB22&lt;V22,AB22&lt;P22)),EDATE(AB22,12*2),AND(AH22="K5-POLICY",AG22&lt;&gt;"นิติศาสตร์",Z22="S1",AC22&gt;=1,OR(AB22&lt;V22,AB22&lt;P22)),EDATE(AB22,12),AND(AH22="K5-POLICY",AG22&lt;&gt;"นิติศาสตร์",OR(T22="M2",T22="K4"),W22&gt;=2,V22&lt;P22),EDATE(V22,12*2),AND(AH22="K5-POLICY",AG22&lt;&gt;"นิติศาสตร์",T22="S1",W22&gt;=1,V22&lt;P22),EDATE(V22,12),AND(AH22="K5-POLICY",AG22&lt;&gt;"นิติศาสตร์",OR(T22="S2",T22="K5")),V22,AND(AH22="K5-POLICY",AG22&lt;&gt;"นิติศาสตร์",OR(K22="M2",K22="K4"),Q22&gt;=2),EDATE(P22,12*2),AND(AH22="K5-POLICY",AG22&lt;&gt;"นิติศาสตร์",K22="S1",Q22&gt;=1),EDATE(P22,12),AND(AH22="K5-POLICY",AG22&lt;&gt;"นิติศาสตร์",OR(K22="S2",K22="K5")),P22,TRUE,"Check Data")</f>
        <v/>
      </c>
      <c r="AJ22" s="75" t="str">
        <f t="shared" si="13"/>
        <v>Check Data</v>
      </c>
      <c r="AK22" s="76" t="str">
        <f t="shared" si="14"/>
        <v>Check Data</v>
      </c>
      <c r="AL22" s="50" t="str">
        <f t="shared" si="15"/>
        <v>Check Data</v>
      </c>
      <c r="AM22" s="49" t="str">
        <f>IF(B22="","",IF(K22="S1","S1",INDEX(#REF!,#REF!)))</f>
        <v/>
      </c>
      <c r="AN22" s="49" t="str">
        <f>K22</f>
        <v>S1</v>
      </c>
      <c r="AO22" s="50" t="b">
        <f>K22=AM22</f>
        <v>0</v>
      </c>
      <c r="AP22" s="50"/>
    </row>
    <row r="23" spans="1:42" ht="21.75">
      <c r="A23" s="49">
        <v>21</v>
      </c>
      <c r="B23" s="50"/>
      <c r="C23" s="50"/>
      <c r="D23" s="50" t="s">
        <v>144</v>
      </c>
      <c r="E23" s="49" t="s">
        <v>197</v>
      </c>
      <c r="F23" s="49" t="str">
        <f t="shared" si="0"/>
        <v>01/05/1991</v>
      </c>
      <c r="G23" s="50">
        <f t="shared" si="1"/>
        <v>34</v>
      </c>
      <c r="H23" s="50">
        <f t="shared" si="2"/>
        <v>1</v>
      </c>
      <c r="I23" s="50">
        <f t="shared" si="3"/>
        <v>19</v>
      </c>
      <c r="J23" s="50" t="s">
        <v>159</v>
      </c>
      <c r="K23" s="49" t="s">
        <v>135</v>
      </c>
      <c r="L23" s="64"/>
      <c r="M23" s="49"/>
      <c r="N23" s="49">
        <v>2574</v>
      </c>
      <c r="O23" s="65" t="s">
        <v>502</v>
      </c>
      <c r="P23" s="49" t="str">
        <f t="shared" si="4"/>
        <v>30/01/2025</v>
      </c>
      <c r="Q23" s="68">
        <f t="shared" si="5"/>
        <v>0</v>
      </c>
      <c r="R23" s="68">
        <f t="shared" si="6"/>
        <v>4</v>
      </c>
      <c r="S23" s="68">
        <f t="shared" si="7"/>
        <v>21</v>
      </c>
      <c r="T23" s="65" t="s">
        <v>136</v>
      </c>
      <c r="U23" s="65" t="s">
        <v>389</v>
      </c>
      <c r="V23" s="49" t="str">
        <f t="shared" si="8"/>
        <v>02/05/2016</v>
      </c>
      <c r="W23" s="68">
        <f>IF(V23="",0,DATEDIF(V23,P23,"Y"))</f>
        <v>8</v>
      </c>
      <c r="X23" s="68">
        <f>IF(V23="",0,DATEDIF(V23,P23,"YM"))</f>
        <v>8</v>
      </c>
      <c r="Y23" s="68">
        <f>IF(V23="",0,DATEDIF(V23,P23,"MD"))</f>
        <v>28</v>
      </c>
      <c r="Z23" s="49"/>
      <c r="AA23" s="65"/>
      <c r="AB23" s="50" t="str">
        <f t="shared" si="9"/>
        <v/>
      </c>
      <c r="AC23" s="68">
        <f t="shared" si="10"/>
        <v>0</v>
      </c>
      <c r="AD23" s="68">
        <f t="shared" si="11"/>
        <v>0</v>
      </c>
      <c r="AE23" s="68">
        <f t="shared" si="12"/>
        <v>0</v>
      </c>
      <c r="AF23" s="50"/>
      <c r="AG23" s="50" t="s">
        <v>221</v>
      </c>
      <c r="AH23" s="49" t="str">
        <f>IF(AG23="นิติศาสตร์","K5-LAW","K5-POLICY")</f>
        <v>K5-POLICY</v>
      </c>
      <c r="AI23" s="72" t="str">
        <f>_xlfn.IFS(B23="","",AND(AH23="K5-LAW",AG23="นิติศาสตร์",K23="S2",T23="",Z23=""),P23,AND(AH23="K5-LAW",AG23="นิติศาสตร์",K23="S1",T23="",Z23=""),EDATE(P23,12),AND(AH23="K5-LAW",AG23="นิติศาสตร์",OR(K23="M2",K23="K4"),T23="",Z23=""),EDATE(P23,12*2),AND(AH23="K5-LAW",AG23="นิติศาสตร์",OR(Z23="M2",Z23="K4"),AC23&gt;=2,OR(AB23&lt;V23,AB23&lt;P23)),EDATE(AB23,12*2),AND(AH23="K5-LAW",AG23="นิติศาสตร์",Z23="S1",AC23&gt;=1,OR(AB23&lt;V23,AB23&lt;P23)),EDATE(AB23,12),AND(AH23="K5-LAW",AG23="นิติศาสตร์",OR(T23="M2",T23="K4"),W23&gt;=2,V23&lt;P23),EDATE(V23,12*2),AND(AH23="K5-LAW",AG23="นิติศาสตร์",T23="S1",W23&gt;=1,V23&lt;P23),EDATE(V23,12),AND(AH23="K5-LAW",AG23="นิติศาสตร์",OR(T23="S2",T23="K5")),V23,AND(AH23="K5-LAW",AG23="นิติศาสตร์",OR(K23="M2",K23="K4"),Q23&gt;=2),EDATE(P23,12*2),AND(AH23="K5-LAW",AG23="นิติศาสตร์",K23="S1",Q23&gt;=1),EDATE(P23,12),AND(AH23="K5-LAW",AG23="นิติศาสตร์",OR(K23="S2",K23="K5")),P23,AND(AH23="K5-POLICY",AG23&lt;&gt;"นิติศาสตร์",K23="S2",T23="",Z23=""),P23,AND(AH23="K5-POLICY",AG23&lt;&gt;"นิติศาสตร์",K23="S1",T23="",Z23=""),EDATE(P23,12),AND(AH23="K5-POLICY",AG23&lt;&gt;"นิติศาสตร์",OR(K23="M2",K23="K4"),T23="",Z23=""),EDATE(P23,12*2),AND(AH23="K5-POLICY",AG23&lt;&gt;"นิติศาสตร์",OR(Z23="M2",Z23="K4"),AC23&gt;=2,OR(AB23&lt;V23,AB23&lt;P23)),EDATE(AB23,12*2),AND(AH23="K5-POLICY",AG23&lt;&gt;"นิติศาสตร์",Z23="S1",AC23&gt;=1,OR(AB23&lt;V23,AB23&lt;P23)),EDATE(AB23,12),AND(AH23="K5-POLICY",AG23&lt;&gt;"นิติศาสตร์",OR(T23="M2",T23="K4"),W23&gt;=2,V23&lt;P23),EDATE(V23,12*2),AND(AH23="K5-POLICY",AG23&lt;&gt;"นิติศาสตร์",T23="S1",W23&gt;=1,V23&lt;P23),EDATE(V23,12),AND(AH23="K5-POLICY",AG23&lt;&gt;"นิติศาสตร์",OR(T23="S2",T23="K5")),V23,AND(AH23="K5-POLICY",AG23&lt;&gt;"นิติศาสตร์",OR(K23="M2",K23="K4"),Q23&gt;=2),EDATE(P23,12*2),AND(AH23="K5-POLICY",AG23&lt;&gt;"นิติศาสตร์",K23="S1",Q23&gt;=1),EDATE(P23,12),AND(AH23="K5-POLICY",AG23&lt;&gt;"นิติศาสตร์",OR(K23="S2",K23="K5")),P23,TRUE,"Check Data")</f>
        <v/>
      </c>
      <c r="AJ23" s="75" t="str">
        <f t="shared" si="13"/>
        <v>Check Data</v>
      </c>
      <c r="AK23" s="76" t="str">
        <f t="shared" si="14"/>
        <v>Check Data</v>
      </c>
      <c r="AL23" s="50" t="str">
        <f t="shared" si="15"/>
        <v>Check Data</v>
      </c>
      <c r="AM23" s="49" t="str">
        <f>IF(B23="","",IF(K23="S1","S1",INDEX(#REF!,#REF!)))</f>
        <v/>
      </c>
      <c r="AN23" s="49" t="str">
        <f>K23</f>
        <v>S1</v>
      </c>
      <c r="AO23" s="50" t="b">
        <f>K23=AM23</f>
        <v>0</v>
      </c>
      <c r="AP23" s="50"/>
    </row>
    <row r="24" spans="1:42" ht="21.75">
      <c r="A24" s="49">
        <v>22</v>
      </c>
      <c r="B24" s="50"/>
      <c r="C24" s="50"/>
      <c r="D24" s="50" t="s">
        <v>143</v>
      </c>
      <c r="E24" s="49" t="s">
        <v>190</v>
      </c>
      <c r="F24" s="49" t="str">
        <f t="shared" si="0"/>
        <v>16/03/1987</v>
      </c>
      <c r="G24" s="50">
        <f t="shared" si="1"/>
        <v>38</v>
      </c>
      <c r="H24" s="50">
        <f t="shared" si="2"/>
        <v>3</v>
      </c>
      <c r="I24" s="50">
        <f t="shared" si="3"/>
        <v>4</v>
      </c>
      <c r="J24" s="50" t="s">
        <v>158</v>
      </c>
      <c r="K24" s="49" t="s">
        <v>135</v>
      </c>
      <c r="L24" s="64"/>
      <c r="M24" s="49"/>
      <c r="N24" s="49">
        <v>2570</v>
      </c>
      <c r="O24" s="65" t="s">
        <v>502</v>
      </c>
      <c r="P24" s="49" t="str">
        <f t="shared" si="4"/>
        <v>30/01/2025</v>
      </c>
      <c r="Q24" s="68">
        <f t="shared" si="5"/>
        <v>0</v>
      </c>
      <c r="R24" s="68">
        <f t="shared" si="6"/>
        <v>4</v>
      </c>
      <c r="S24" s="68">
        <f t="shared" si="7"/>
        <v>21</v>
      </c>
      <c r="T24" s="65" t="s">
        <v>136</v>
      </c>
      <c r="U24" s="65" t="s">
        <v>313</v>
      </c>
      <c r="V24" s="49" t="str">
        <f t="shared" si="8"/>
        <v>10/04/2017</v>
      </c>
      <c r="W24" s="68">
        <f>IF(V24="",0,DATEDIF(V24,P24,"Y"))</f>
        <v>7</v>
      </c>
      <c r="X24" s="68">
        <f>IF(V24="",0,DATEDIF(V24,P24,"YM"))</f>
        <v>9</v>
      </c>
      <c r="Y24" s="68">
        <f>IF(V24="",0,DATEDIF(V24,P24,"MD"))</f>
        <v>20</v>
      </c>
      <c r="Z24" s="49"/>
      <c r="AA24" s="65"/>
      <c r="AB24" s="50" t="str">
        <f t="shared" si="9"/>
        <v/>
      </c>
      <c r="AC24" s="68">
        <f t="shared" si="10"/>
        <v>0</v>
      </c>
      <c r="AD24" s="68">
        <f t="shared" si="11"/>
        <v>0</v>
      </c>
      <c r="AE24" s="68">
        <f t="shared" si="12"/>
        <v>0</v>
      </c>
      <c r="AF24" s="50"/>
      <c r="AG24" s="50" t="s">
        <v>172</v>
      </c>
      <c r="AH24" s="49" t="str">
        <f>IF(AG24="นิติศาสตร์","K5-LAW","K5-POLICY")</f>
        <v>K5-POLICY</v>
      </c>
      <c r="AI24" s="72" t="str">
        <f>_xlfn.IFS(B24="","",AND(AH24="K5-LAW",AG24="นิติศาสตร์",K24="S2",T24="",Z24=""),P24,AND(AH24="K5-LAW",AG24="นิติศาสตร์",K24="S1",T24="",Z24=""),EDATE(P24,12),AND(AH24="K5-LAW",AG24="นิติศาสตร์",OR(K24="M2",K24="K4"),T24="",Z24=""),EDATE(P24,12*2),AND(AH24="K5-LAW",AG24="นิติศาสตร์",OR(Z24="M2",Z24="K4"),AC24&gt;=2,OR(AB24&lt;V24,AB24&lt;P24)),EDATE(AB24,12*2),AND(AH24="K5-LAW",AG24="นิติศาสตร์",Z24="S1",AC24&gt;=1,OR(AB24&lt;V24,AB24&lt;P24)),EDATE(AB24,12),AND(AH24="K5-LAW",AG24="นิติศาสตร์",OR(T24="M2",T24="K4"),W24&gt;=2,V24&lt;P24),EDATE(V24,12*2),AND(AH24="K5-LAW",AG24="นิติศาสตร์",T24="S1",W24&gt;=1,V24&lt;P24),EDATE(V24,12),AND(AH24="K5-LAW",AG24="นิติศาสตร์",OR(T24="S2",T24="K5")),V24,AND(AH24="K5-LAW",AG24="นิติศาสตร์",OR(K24="M2",K24="K4"),Q24&gt;=2),EDATE(P24,12*2),AND(AH24="K5-LAW",AG24="นิติศาสตร์",K24="S1",Q24&gt;=1),EDATE(P24,12),AND(AH24="K5-LAW",AG24="นิติศาสตร์",OR(K24="S2",K24="K5")),P24,AND(AH24="K5-POLICY",AG24&lt;&gt;"นิติศาสตร์",K24="S2",T24="",Z24=""),P24,AND(AH24="K5-POLICY",AG24&lt;&gt;"นิติศาสตร์",K24="S1",T24="",Z24=""),EDATE(P24,12),AND(AH24="K5-POLICY",AG24&lt;&gt;"นิติศาสตร์",OR(K24="M2",K24="K4"),T24="",Z24=""),EDATE(P24,12*2),AND(AH24="K5-POLICY",AG24&lt;&gt;"นิติศาสตร์",OR(Z24="M2",Z24="K4"),AC24&gt;=2,OR(AB24&lt;V24,AB24&lt;P24)),EDATE(AB24,12*2),AND(AH24="K5-POLICY",AG24&lt;&gt;"นิติศาสตร์",Z24="S1",AC24&gt;=1,OR(AB24&lt;V24,AB24&lt;P24)),EDATE(AB24,12),AND(AH24="K5-POLICY",AG24&lt;&gt;"นิติศาสตร์",OR(T24="M2",T24="K4"),W24&gt;=2,V24&lt;P24),EDATE(V24,12*2),AND(AH24="K5-POLICY",AG24&lt;&gt;"นิติศาสตร์",T24="S1",W24&gt;=1,V24&lt;P24),EDATE(V24,12),AND(AH24="K5-POLICY",AG24&lt;&gt;"นิติศาสตร์",OR(T24="S2",T24="K5")),V24,AND(AH24="K5-POLICY",AG24&lt;&gt;"นิติศาสตร์",OR(K24="M2",K24="K4"),Q24&gt;=2),EDATE(P24,12*2),AND(AH24="K5-POLICY",AG24&lt;&gt;"นิติศาสตร์",K24="S1",Q24&gt;=1),EDATE(P24,12),AND(AH24="K5-POLICY",AG24&lt;&gt;"นิติศาสตร์",OR(K24="S2",K24="K5")),P24,TRUE,"Check Data")</f>
        <v/>
      </c>
      <c r="AJ24" s="75" t="str">
        <f t="shared" si="13"/>
        <v>Check Data</v>
      </c>
      <c r="AK24" s="76" t="str">
        <f t="shared" si="14"/>
        <v>Check Data</v>
      </c>
      <c r="AL24" s="50" t="str">
        <f t="shared" si="15"/>
        <v>Check Data</v>
      </c>
      <c r="AM24" s="49" t="str">
        <f>IF(B24="","",IF(K24="S1","S1",INDEX(#REF!,#REF!)))</f>
        <v/>
      </c>
      <c r="AN24" s="49" t="str">
        <f>K24</f>
        <v>S1</v>
      </c>
      <c r="AO24" s="50" t="b">
        <f>K24=AM24</f>
        <v>0</v>
      </c>
      <c r="AP24" s="50"/>
    </row>
    <row r="25" spans="1:42" ht="21.75">
      <c r="A25" s="49">
        <v>23</v>
      </c>
      <c r="B25" s="50"/>
      <c r="C25" s="50"/>
      <c r="D25" s="50" t="s">
        <v>143</v>
      </c>
      <c r="E25" s="49" t="s">
        <v>230</v>
      </c>
      <c r="F25" s="49" t="str">
        <f t="shared" si="0"/>
        <v>03/11/1997</v>
      </c>
      <c r="G25" s="50">
        <f t="shared" si="1"/>
        <v>27</v>
      </c>
      <c r="H25" s="50">
        <f t="shared" si="2"/>
        <v>7</v>
      </c>
      <c r="I25" s="50">
        <f t="shared" si="3"/>
        <v>17</v>
      </c>
      <c r="J25" s="50" t="s">
        <v>158</v>
      </c>
      <c r="K25" s="49" t="s">
        <v>135</v>
      </c>
      <c r="L25" s="64"/>
      <c r="M25" s="49"/>
      <c r="N25" s="49">
        <v>2571</v>
      </c>
      <c r="O25" s="65" t="s">
        <v>502</v>
      </c>
      <c r="P25" s="49" t="str">
        <f t="shared" si="4"/>
        <v>30/01/2025</v>
      </c>
      <c r="Q25" s="68">
        <f t="shared" si="5"/>
        <v>0</v>
      </c>
      <c r="R25" s="68">
        <f t="shared" si="6"/>
        <v>4</v>
      </c>
      <c r="S25" s="68">
        <f t="shared" si="7"/>
        <v>21</v>
      </c>
      <c r="T25" s="65" t="s">
        <v>136</v>
      </c>
      <c r="U25" s="65" t="s">
        <v>308</v>
      </c>
      <c r="V25" s="49" t="str">
        <f t="shared" si="8"/>
        <v>16/01/2018</v>
      </c>
      <c r="W25" s="68">
        <f>IF(V25="",0,DATEDIF(V25,P25,"Y"))</f>
        <v>7</v>
      </c>
      <c r="X25" s="68">
        <f>IF(V25="",0,DATEDIF(V25,P25,"YM"))</f>
        <v>0</v>
      </c>
      <c r="Y25" s="68">
        <f>IF(V25="",0,DATEDIF(V25,P25,"MD"))</f>
        <v>14</v>
      </c>
      <c r="Z25" s="49"/>
      <c r="AA25" s="65"/>
      <c r="AB25" s="50" t="str">
        <f t="shared" si="9"/>
        <v/>
      </c>
      <c r="AC25" s="68">
        <f t="shared" si="10"/>
        <v>0</v>
      </c>
      <c r="AD25" s="68">
        <f t="shared" si="11"/>
        <v>0</v>
      </c>
      <c r="AE25" s="68">
        <f t="shared" si="12"/>
        <v>0</v>
      </c>
      <c r="AF25" s="50"/>
      <c r="AG25" s="50" t="s">
        <v>167</v>
      </c>
      <c r="AH25" s="49" t="str">
        <f>IF(AG25="นิติศาสตร์","K5-LAW","K5-POLICY")</f>
        <v>K5-POLICY</v>
      </c>
      <c r="AI25" s="72" t="str">
        <f>_xlfn.IFS(B25="","",AND(AH25="K5-LAW",AG25="นิติศาสตร์",K25="S2",T25="",Z25=""),P25,AND(AH25="K5-LAW",AG25="นิติศาสตร์",K25="S1",T25="",Z25=""),EDATE(P25,12),AND(AH25="K5-LAW",AG25="นิติศาสตร์",OR(K25="M2",K25="K4"),T25="",Z25=""),EDATE(P25,12*2),AND(AH25="K5-LAW",AG25="นิติศาสตร์",OR(Z25="M2",Z25="K4"),AC25&gt;=2,OR(AB25&lt;V25,AB25&lt;P25)),EDATE(AB25,12*2),AND(AH25="K5-LAW",AG25="นิติศาสตร์",Z25="S1",AC25&gt;=1,OR(AB25&lt;V25,AB25&lt;P25)),EDATE(AB25,12),AND(AH25="K5-LAW",AG25="นิติศาสตร์",OR(T25="M2",T25="K4"),W25&gt;=2,V25&lt;P25),EDATE(V25,12*2),AND(AH25="K5-LAW",AG25="นิติศาสตร์",T25="S1",W25&gt;=1,V25&lt;P25),EDATE(V25,12),AND(AH25="K5-LAW",AG25="นิติศาสตร์",OR(T25="S2",T25="K5")),V25,AND(AH25="K5-LAW",AG25="นิติศาสตร์",OR(K25="M2",K25="K4"),Q25&gt;=2),EDATE(P25,12*2),AND(AH25="K5-LAW",AG25="นิติศาสตร์",K25="S1",Q25&gt;=1),EDATE(P25,12),AND(AH25="K5-LAW",AG25="นิติศาสตร์",OR(K25="S2",K25="K5")),P25,AND(AH25="K5-POLICY",AG25&lt;&gt;"นิติศาสตร์",K25="S2",T25="",Z25=""),P25,AND(AH25="K5-POLICY",AG25&lt;&gt;"นิติศาสตร์",K25="S1",T25="",Z25=""),EDATE(P25,12),AND(AH25="K5-POLICY",AG25&lt;&gt;"นิติศาสตร์",OR(K25="M2",K25="K4"),T25="",Z25=""),EDATE(P25,12*2),AND(AH25="K5-POLICY",AG25&lt;&gt;"นิติศาสตร์",OR(Z25="M2",Z25="K4"),AC25&gt;=2,OR(AB25&lt;V25,AB25&lt;P25)),EDATE(AB25,12*2),AND(AH25="K5-POLICY",AG25&lt;&gt;"นิติศาสตร์",Z25="S1",AC25&gt;=1,OR(AB25&lt;V25,AB25&lt;P25)),EDATE(AB25,12),AND(AH25="K5-POLICY",AG25&lt;&gt;"นิติศาสตร์",OR(T25="M2",T25="K4"),W25&gt;=2,V25&lt;P25),EDATE(V25,12*2),AND(AH25="K5-POLICY",AG25&lt;&gt;"นิติศาสตร์",T25="S1",W25&gt;=1,V25&lt;P25),EDATE(V25,12),AND(AH25="K5-POLICY",AG25&lt;&gt;"นิติศาสตร์",OR(T25="S2",T25="K5")),V25,AND(AH25="K5-POLICY",AG25&lt;&gt;"นิติศาสตร์",OR(K25="M2",K25="K4"),Q25&gt;=2),EDATE(P25,12*2),AND(AH25="K5-POLICY",AG25&lt;&gt;"นิติศาสตร์",K25="S1",Q25&gt;=1),EDATE(P25,12),AND(AH25="K5-POLICY",AG25&lt;&gt;"นิติศาสตร์",OR(K25="S2",K25="K5")),P25,TRUE,"Check Data")</f>
        <v/>
      </c>
      <c r="AJ25" s="75" t="str">
        <f t="shared" si="13"/>
        <v>Check Data</v>
      </c>
      <c r="AK25" s="76" t="str">
        <f t="shared" si="14"/>
        <v>Check Data</v>
      </c>
      <c r="AL25" s="50" t="str">
        <f t="shared" si="15"/>
        <v>Check Data</v>
      </c>
      <c r="AM25" s="49" t="str">
        <f>IF(B25="","",IF(K25="S1","S1",INDEX(#REF!,#REF!)))</f>
        <v/>
      </c>
      <c r="AN25" s="49" t="str">
        <f>K25</f>
        <v>S1</v>
      </c>
      <c r="AO25" s="50" t="b">
        <f>K25=AM25</f>
        <v>0</v>
      </c>
      <c r="AP25" s="50"/>
    </row>
    <row r="26" spans="1:42" ht="21.75">
      <c r="A26" s="49">
        <v>24</v>
      </c>
      <c r="B26" s="50"/>
      <c r="C26" s="50"/>
      <c r="D26" s="50" t="s">
        <v>144</v>
      </c>
      <c r="E26" s="49" t="s">
        <v>256</v>
      </c>
      <c r="F26" s="49" t="str">
        <f t="shared" si="0"/>
        <v>01/02/1993</v>
      </c>
      <c r="G26" s="50">
        <f t="shared" si="1"/>
        <v>32</v>
      </c>
      <c r="H26" s="50">
        <f t="shared" si="2"/>
        <v>4</v>
      </c>
      <c r="I26" s="50">
        <f t="shared" si="3"/>
        <v>19</v>
      </c>
      <c r="J26" s="50" t="s">
        <v>159</v>
      </c>
      <c r="K26" s="49" t="s">
        <v>135</v>
      </c>
      <c r="L26" s="64"/>
      <c r="M26" s="49"/>
      <c r="N26" s="49">
        <v>2574</v>
      </c>
      <c r="O26" s="65" t="s">
        <v>502</v>
      </c>
      <c r="P26" s="49" t="str">
        <f t="shared" si="4"/>
        <v>30/01/2025</v>
      </c>
      <c r="Q26" s="68">
        <f t="shared" si="5"/>
        <v>0</v>
      </c>
      <c r="R26" s="68">
        <f t="shared" si="6"/>
        <v>4</v>
      </c>
      <c r="S26" s="68">
        <f t="shared" si="7"/>
        <v>21</v>
      </c>
      <c r="T26" s="65" t="s">
        <v>136</v>
      </c>
      <c r="U26" s="65" t="s">
        <v>278</v>
      </c>
      <c r="V26" s="49" t="str">
        <f t="shared" si="8"/>
        <v>15/10/2020</v>
      </c>
      <c r="W26" s="68">
        <f>IF(V26="",0,DATEDIF(V26,P26,"Y"))</f>
        <v>4</v>
      </c>
      <c r="X26" s="68">
        <f>IF(V26="",0,DATEDIF(V26,P26,"YM"))</f>
        <v>3</v>
      </c>
      <c r="Y26" s="68">
        <f>IF(V26="",0,DATEDIF(V26,P26,"MD"))</f>
        <v>15</v>
      </c>
      <c r="Z26" s="49"/>
      <c r="AA26" s="65"/>
      <c r="AB26" s="50" t="str">
        <f t="shared" si="9"/>
        <v/>
      </c>
      <c r="AC26" s="68">
        <f t="shared" si="10"/>
        <v>0</v>
      </c>
      <c r="AD26" s="68">
        <f t="shared" si="11"/>
        <v>0</v>
      </c>
      <c r="AE26" s="68">
        <f t="shared" si="12"/>
        <v>0</v>
      </c>
      <c r="AF26" s="50"/>
      <c r="AG26" s="50" t="s">
        <v>138</v>
      </c>
      <c r="AH26" s="49" t="str">
        <f>IF(AG26="นิติศาสตร์","K5-LAW","K5-POLICY")</f>
        <v>K5-LAW</v>
      </c>
      <c r="AI26" s="72" t="str">
        <f>_xlfn.IFS(B26="","",AND(AH26="K5-LAW",AG26="นิติศาสตร์",K26="S2",T26="",Z26=""),P26,AND(AH26="K5-LAW",AG26="นิติศาสตร์",K26="S1",T26="",Z26=""),EDATE(P26,12),AND(AH26="K5-LAW",AG26="นิติศาสตร์",OR(K26="M2",K26="K4"),T26="",Z26=""),EDATE(P26,12*2),AND(AH26="K5-LAW",AG26="นิติศาสตร์",OR(Z26="M2",Z26="K4"),AC26&gt;=2,OR(AB26&lt;V26,AB26&lt;P26)),EDATE(AB26,12*2),AND(AH26="K5-LAW",AG26="นิติศาสตร์",Z26="S1",AC26&gt;=1,OR(AB26&lt;V26,AB26&lt;P26)),EDATE(AB26,12),AND(AH26="K5-LAW",AG26="นิติศาสตร์",OR(T26="M2",T26="K4"),W26&gt;=2,V26&lt;P26),EDATE(V26,12*2),AND(AH26="K5-LAW",AG26="นิติศาสตร์",T26="S1",W26&gt;=1,V26&lt;P26),EDATE(V26,12),AND(AH26="K5-LAW",AG26="นิติศาสตร์",OR(T26="S2",T26="K5")),V26,AND(AH26="K5-LAW",AG26="นิติศาสตร์",OR(K26="M2",K26="K4"),Q26&gt;=2),EDATE(P26,12*2),AND(AH26="K5-LAW",AG26="นิติศาสตร์",K26="S1",Q26&gt;=1),EDATE(P26,12),AND(AH26="K5-LAW",AG26="นิติศาสตร์",OR(K26="S2",K26="K5")),P26,AND(AH26="K5-POLICY",AG26&lt;&gt;"นิติศาสตร์",K26="S2",T26="",Z26=""),P26,AND(AH26="K5-POLICY",AG26&lt;&gt;"นิติศาสตร์",K26="S1",T26="",Z26=""),EDATE(P26,12),AND(AH26="K5-POLICY",AG26&lt;&gt;"นิติศาสตร์",OR(K26="M2",K26="K4"),T26="",Z26=""),EDATE(P26,12*2),AND(AH26="K5-POLICY",AG26&lt;&gt;"นิติศาสตร์",OR(Z26="M2",Z26="K4"),AC26&gt;=2,OR(AB26&lt;V26,AB26&lt;P26)),EDATE(AB26,12*2),AND(AH26="K5-POLICY",AG26&lt;&gt;"นิติศาสตร์",Z26="S1",AC26&gt;=1,OR(AB26&lt;V26,AB26&lt;P26)),EDATE(AB26,12),AND(AH26="K5-POLICY",AG26&lt;&gt;"นิติศาสตร์",OR(T26="M2",T26="K4"),W26&gt;=2,V26&lt;P26),EDATE(V26,12*2),AND(AH26="K5-POLICY",AG26&lt;&gt;"นิติศาสตร์",T26="S1",W26&gt;=1,V26&lt;P26),EDATE(V26,12),AND(AH26="K5-POLICY",AG26&lt;&gt;"นิติศาสตร์",OR(T26="S2",T26="K5")),V26,AND(AH26="K5-POLICY",AG26&lt;&gt;"นิติศาสตร์",OR(K26="M2",K26="K4"),Q26&gt;=2),EDATE(P26,12*2),AND(AH26="K5-POLICY",AG26&lt;&gt;"นิติศาสตร์",K26="S1",Q26&gt;=1),EDATE(P26,12),AND(AH26="K5-POLICY",AG26&lt;&gt;"นิติศาสตร์",OR(K26="S2",K26="K5")),P26,TRUE,"Check Data")</f>
        <v/>
      </c>
      <c r="AJ26" s="75" t="str">
        <f t="shared" si="13"/>
        <v>Check Data</v>
      </c>
      <c r="AK26" s="76" t="str">
        <f t="shared" si="14"/>
        <v>Check Data</v>
      </c>
      <c r="AL26" s="50" t="str">
        <f t="shared" si="15"/>
        <v>Check Data</v>
      </c>
      <c r="AM26" s="49" t="str">
        <f>IF(B26="","",IF(K26="S1","S1",INDEX(#REF!,#REF!)))</f>
        <v/>
      </c>
      <c r="AN26" s="49" t="str">
        <f>K26</f>
        <v>S1</v>
      </c>
      <c r="AO26" s="50" t="b">
        <f>K26=AM26</f>
        <v>0</v>
      </c>
      <c r="AP26" s="50"/>
    </row>
    <row r="27" spans="1:42" ht="21.75">
      <c r="A27" s="49">
        <v>25</v>
      </c>
      <c r="B27" s="50"/>
      <c r="C27" s="50"/>
      <c r="D27" s="50" t="s">
        <v>145</v>
      </c>
      <c r="E27" s="49" t="s">
        <v>390</v>
      </c>
      <c r="F27" s="49" t="str">
        <f t="shared" si="0"/>
        <v>18/09/1995</v>
      </c>
      <c r="G27" s="50">
        <f t="shared" si="1"/>
        <v>29</v>
      </c>
      <c r="H27" s="50">
        <f t="shared" si="2"/>
        <v>9</v>
      </c>
      <c r="I27" s="50">
        <f t="shared" si="3"/>
        <v>2</v>
      </c>
      <c r="J27" s="50" t="s">
        <v>160</v>
      </c>
      <c r="K27" s="49" t="s">
        <v>135</v>
      </c>
      <c r="L27" s="64"/>
      <c r="M27" s="49"/>
      <c r="N27" s="49">
        <v>2571</v>
      </c>
      <c r="O27" s="65" t="s">
        <v>502</v>
      </c>
      <c r="P27" s="49" t="str">
        <f t="shared" si="4"/>
        <v>30/01/2025</v>
      </c>
      <c r="Q27" s="68">
        <f t="shared" si="5"/>
        <v>0</v>
      </c>
      <c r="R27" s="68">
        <f t="shared" si="6"/>
        <v>4</v>
      </c>
      <c r="S27" s="68">
        <f t="shared" si="7"/>
        <v>21</v>
      </c>
      <c r="T27" s="65" t="s">
        <v>136</v>
      </c>
      <c r="U27" s="65" t="s">
        <v>391</v>
      </c>
      <c r="V27" s="49" t="str">
        <f t="shared" si="8"/>
        <v>18/10/2021</v>
      </c>
      <c r="W27" s="68">
        <f>IF(V27="",0,DATEDIF(V27,P27,"Y"))</f>
        <v>3</v>
      </c>
      <c r="X27" s="68">
        <f>IF(V27="",0,DATEDIF(V27,P27,"YM"))</f>
        <v>3</v>
      </c>
      <c r="Y27" s="68">
        <f>IF(V27="",0,DATEDIF(V27,P27,"MD"))</f>
        <v>12</v>
      </c>
      <c r="Z27" s="49"/>
      <c r="AA27" s="65"/>
      <c r="AB27" s="50" t="str">
        <f t="shared" si="9"/>
        <v/>
      </c>
      <c r="AC27" s="68">
        <f t="shared" si="10"/>
        <v>0</v>
      </c>
      <c r="AD27" s="68">
        <f t="shared" si="11"/>
        <v>0</v>
      </c>
      <c r="AE27" s="68">
        <f t="shared" si="12"/>
        <v>0</v>
      </c>
      <c r="AF27" s="50"/>
      <c r="AG27" s="50" t="s">
        <v>172</v>
      </c>
      <c r="AH27" s="49" t="str">
        <f>IF(AG27="นิติศาสตร์","K5-LAW","K5-POLICY")</f>
        <v>K5-POLICY</v>
      </c>
      <c r="AI27" s="72" t="str">
        <f>_xlfn.IFS(B27="","",AND(AH27="K5-LAW",AG27="นิติศาสตร์",K27="S2",T27="",Z27=""),P27,AND(AH27="K5-LAW",AG27="นิติศาสตร์",K27="S1",T27="",Z27=""),EDATE(P27,12),AND(AH27="K5-LAW",AG27="นิติศาสตร์",OR(K27="M2",K27="K4"),T27="",Z27=""),EDATE(P27,12*2),AND(AH27="K5-LAW",AG27="นิติศาสตร์",OR(Z27="M2",Z27="K4"),AC27&gt;=2,OR(AB27&lt;V27,AB27&lt;P27)),EDATE(AB27,12*2),AND(AH27="K5-LAW",AG27="นิติศาสตร์",Z27="S1",AC27&gt;=1,OR(AB27&lt;V27,AB27&lt;P27)),EDATE(AB27,12),AND(AH27="K5-LAW",AG27="นิติศาสตร์",OR(T27="M2",T27="K4"),W27&gt;=2,V27&lt;P27),EDATE(V27,12*2),AND(AH27="K5-LAW",AG27="นิติศาสตร์",T27="S1",W27&gt;=1,V27&lt;P27),EDATE(V27,12),AND(AH27="K5-LAW",AG27="นิติศาสตร์",OR(T27="S2",T27="K5")),V27,AND(AH27="K5-LAW",AG27="นิติศาสตร์",OR(K27="M2",K27="K4"),Q27&gt;=2),EDATE(P27,12*2),AND(AH27="K5-LAW",AG27="นิติศาสตร์",K27="S1",Q27&gt;=1),EDATE(P27,12),AND(AH27="K5-LAW",AG27="นิติศาสตร์",OR(K27="S2",K27="K5")),P27,AND(AH27="K5-POLICY",AG27&lt;&gt;"นิติศาสตร์",K27="S2",T27="",Z27=""),P27,AND(AH27="K5-POLICY",AG27&lt;&gt;"นิติศาสตร์",K27="S1",T27="",Z27=""),EDATE(P27,12),AND(AH27="K5-POLICY",AG27&lt;&gt;"นิติศาสตร์",OR(K27="M2",K27="K4"),T27="",Z27=""),EDATE(P27,12*2),AND(AH27="K5-POLICY",AG27&lt;&gt;"นิติศาสตร์",OR(Z27="M2",Z27="K4"),AC27&gt;=2,OR(AB27&lt;V27,AB27&lt;P27)),EDATE(AB27,12*2),AND(AH27="K5-POLICY",AG27&lt;&gt;"นิติศาสตร์",Z27="S1",AC27&gt;=1,OR(AB27&lt;V27,AB27&lt;P27)),EDATE(AB27,12),AND(AH27="K5-POLICY",AG27&lt;&gt;"นิติศาสตร์",OR(T27="M2",T27="K4"),W27&gt;=2,V27&lt;P27),EDATE(V27,12*2),AND(AH27="K5-POLICY",AG27&lt;&gt;"นิติศาสตร์",T27="S1",W27&gt;=1,V27&lt;P27),EDATE(V27,12),AND(AH27="K5-POLICY",AG27&lt;&gt;"นิติศาสตร์",OR(T27="S2",T27="K5")),V27,AND(AH27="K5-POLICY",AG27&lt;&gt;"นิติศาสตร์",OR(K27="M2",K27="K4"),Q27&gt;=2),EDATE(P27,12*2),AND(AH27="K5-POLICY",AG27&lt;&gt;"นิติศาสตร์",K27="S1",Q27&gt;=1),EDATE(P27,12),AND(AH27="K5-POLICY",AG27&lt;&gt;"นิติศาสตร์",OR(K27="S2",K27="K5")),P27,TRUE,"Check Data")</f>
        <v/>
      </c>
      <c r="AJ27" s="75" t="str">
        <f t="shared" si="13"/>
        <v>Check Data</v>
      </c>
      <c r="AK27" s="76" t="str">
        <f t="shared" si="14"/>
        <v>Check Data</v>
      </c>
      <c r="AL27" s="50" t="str">
        <f t="shared" si="15"/>
        <v>Check Data</v>
      </c>
      <c r="AM27" s="49" t="str">
        <f>IF(B27="","",IF(K27="S1","S1",INDEX(#REF!,#REF!)))</f>
        <v/>
      </c>
      <c r="AN27" s="49" t="str">
        <f>K27</f>
        <v>S1</v>
      </c>
      <c r="AO27" s="50" t="b">
        <f>K27=AM27</f>
        <v>0</v>
      </c>
      <c r="AP27" s="50"/>
    </row>
    <row r="28" spans="1:42" ht="21.75">
      <c r="A28" s="49">
        <v>26</v>
      </c>
      <c r="B28" s="50"/>
      <c r="C28" s="50"/>
      <c r="D28" s="50" t="s">
        <v>139</v>
      </c>
      <c r="E28" s="49" t="s">
        <v>208</v>
      </c>
      <c r="F28" s="49" t="str">
        <f t="shared" si="0"/>
        <v>01/02/1990</v>
      </c>
      <c r="G28" s="50">
        <f t="shared" si="1"/>
        <v>35</v>
      </c>
      <c r="H28" s="50">
        <f t="shared" si="2"/>
        <v>4</v>
      </c>
      <c r="I28" s="50">
        <f t="shared" si="3"/>
        <v>19</v>
      </c>
      <c r="J28" s="56"/>
      <c r="K28" s="49" t="s">
        <v>136</v>
      </c>
      <c r="L28" s="64"/>
      <c r="M28" s="49" t="s">
        <v>425</v>
      </c>
      <c r="N28" s="49">
        <v>2568</v>
      </c>
      <c r="O28" s="65" t="s">
        <v>211</v>
      </c>
      <c r="P28" s="49" t="str">
        <f t="shared" si="4"/>
        <v>01/05/2014</v>
      </c>
      <c r="Q28" s="68">
        <f t="shared" si="5"/>
        <v>11</v>
      </c>
      <c r="R28" s="68">
        <f t="shared" si="6"/>
        <v>1</v>
      </c>
      <c r="S28" s="68">
        <f t="shared" si="7"/>
        <v>19</v>
      </c>
      <c r="T28" s="65"/>
      <c r="U28" s="65"/>
      <c r="V28" s="49" t="str">
        <f t="shared" si="8"/>
        <v/>
      </c>
      <c r="W28" s="68">
        <f>IF(V28="",0,DATEDIF(V28,P28,"Y"))</f>
        <v>0</v>
      </c>
      <c r="X28" s="68">
        <f>IF(V28="",0,DATEDIF(V28,P28,"YM"))</f>
        <v>0</v>
      </c>
      <c r="Y28" s="68">
        <f>IF(V28="",0,DATEDIF(V28,P28,"MD"))</f>
        <v>0</v>
      </c>
      <c r="Z28" s="49"/>
      <c r="AA28" s="65"/>
      <c r="AB28" s="50" t="str">
        <f t="shared" si="9"/>
        <v/>
      </c>
      <c r="AC28" s="68">
        <f t="shared" si="10"/>
        <v>0</v>
      </c>
      <c r="AD28" s="68">
        <f t="shared" si="11"/>
        <v>0</v>
      </c>
      <c r="AE28" s="68">
        <f t="shared" si="12"/>
        <v>0</v>
      </c>
      <c r="AF28" s="50"/>
      <c r="AG28" s="50" t="s">
        <v>165</v>
      </c>
      <c r="AH28" s="49" t="str">
        <f>IF(AG28="นิติศาสตร์","K5-LAW","K5-POLICY")</f>
        <v>K5-POLICY</v>
      </c>
      <c r="AI28" s="72" t="str">
        <f>_xlfn.IFS(B28="","",AND(AH28="K5-LAW",AG28="นิติศาสตร์",K28="S2",T28="",Z28=""),P28,AND(AH28="K5-LAW",AG28="นิติศาสตร์",K28="S1",T28="",Z28=""),EDATE(P28,12),AND(AH28="K5-LAW",AG28="นิติศาสตร์",OR(K28="M2",K28="K4"),T28="",Z28=""),EDATE(P28,12*2),AND(AH28="K5-LAW",AG28="นิติศาสตร์",OR(Z28="M2",Z28="K4"),AC28&gt;=2,OR(AB28&lt;V28,AB28&lt;P28)),EDATE(AB28,12*2),AND(AH28="K5-LAW",AG28="นิติศาสตร์",Z28="S1",AC28&gt;=1,OR(AB28&lt;V28,AB28&lt;P28)),EDATE(AB28,12),AND(AH28="K5-LAW",AG28="นิติศาสตร์",OR(T28="M2",T28="K4"),W28&gt;=2,V28&lt;P28),EDATE(V28,12*2),AND(AH28="K5-LAW",AG28="นิติศาสตร์",T28="S1",W28&gt;=1,V28&lt;P28),EDATE(V28,12),AND(AH28="K5-LAW",AG28="นิติศาสตร์",OR(T28="S2",T28="K5")),V28,AND(AH28="K5-LAW",AG28="นิติศาสตร์",OR(K28="M2",K28="K4"),Q28&gt;=2),EDATE(P28,12*2),AND(AH28="K5-LAW",AG28="นิติศาสตร์",K28="S1",Q28&gt;=1),EDATE(P28,12),AND(AH28="K5-LAW",AG28="นิติศาสตร์",OR(K28="S2",K28="K5")),P28,AND(AH28="K5-POLICY",AG28&lt;&gt;"นิติศาสตร์",K28="S2",T28="",Z28=""),P28,AND(AH28="K5-POLICY",AG28&lt;&gt;"นิติศาสตร์",K28="S1",T28="",Z28=""),EDATE(P28,12),AND(AH28="K5-POLICY",AG28&lt;&gt;"นิติศาสตร์",OR(K28="M2",K28="K4"),T28="",Z28=""),EDATE(P28,12*2),AND(AH28="K5-POLICY",AG28&lt;&gt;"นิติศาสตร์",OR(Z28="M2",Z28="K4"),AC28&gt;=2,OR(AB28&lt;V28,AB28&lt;P28)),EDATE(AB28,12*2),AND(AH28="K5-POLICY",AG28&lt;&gt;"นิติศาสตร์",Z28="S1",AC28&gt;=1,OR(AB28&lt;V28,AB28&lt;P28)),EDATE(AB28,12),AND(AH28="K5-POLICY",AG28&lt;&gt;"นิติศาสตร์",OR(T28="M2",T28="K4"),W28&gt;=2,V28&lt;P28),EDATE(V28,12*2),AND(AH28="K5-POLICY",AG28&lt;&gt;"นิติศาสตร์",T28="S1",W28&gt;=1,V28&lt;P28),EDATE(V28,12),AND(AH28="K5-POLICY",AG28&lt;&gt;"นิติศาสตร์",OR(T28="S2",T28="K5")),V28,AND(AH28="K5-POLICY",AG28&lt;&gt;"นิติศาสตร์",OR(K28="M2",K28="K4"),Q28&gt;=2),EDATE(P28,12*2),AND(AH28="K5-POLICY",AG28&lt;&gt;"นิติศาสตร์",K28="S1",Q28&gt;=1),EDATE(P28,12),AND(AH28="K5-POLICY",AG28&lt;&gt;"นิติศาสตร์",OR(K28="S2",K28="K5")),P28,TRUE,"Check Data")</f>
        <v/>
      </c>
      <c r="AJ28" s="75" t="str">
        <f t="shared" si="13"/>
        <v>Check Data</v>
      </c>
      <c r="AK28" s="76" t="str">
        <f t="shared" si="14"/>
        <v>Check Data</v>
      </c>
      <c r="AL28" s="50" t="str">
        <f t="shared" si="15"/>
        <v>Check Data</v>
      </c>
      <c r="AM28" s="49" t="str">
        <f>IF(B28="","",IF(K28="S1","S1",INDEX(#REF!,#REF!)))</f>
        <v/>
      </c>
      <c r="AN28" s="49" t="str">
        <f>K28</f>
        <v>M2</v>
      </c>
      <c r="AO28" s="50" t="b">
        <f>K28=AM28</f>
        <v>0</v>
      </c>
      <c r="AP28" s="50"/>
    </row>
    <row r="29" spans="1:42" ht="21.75">
      <c r="A29" s="49">
        <v>27</v>
      </c>
      <c r="B29" s="50"/>
      <c r="C29" s="50"/>
      <c r="D29" s="50" t="s">
        <v>139</v>
      </c>
      <c r="E29" s="49" t="s">
        <v>164</v>
      </c>
      <c r="F29" s="49" t="str">
        <f t="shared" si="0"/>
        <v>01/05/1990</v>
      </c>
      <c r="G29" s="50">
        <f t="shared" si="1"/>
        <v>35</v>
      </c>
      <c r="H29" s="50">
        <f t="shared" si="2"/>
        <v>1</v>
      </c>
      <c r="I29" s="50">
        <f t="shared" si="3"/>
        <v>19</v>
      </c>
      <c r="J29" s="56"/>
      <c r="K29" s="49" t="s">
        <v>136</v>
      </c>
      <c r="L29" s="64"/>
      <c r="M29" s="49" t="s">
        <v>425</v>
      </c>
      <c r="N29" s="49">
        <v>2570</v>
      </c>
      <c r="O29" s="65" t="s">
        <v>211</v>
      </c>
      <c r="P29" s="49" t="str">
        <f t="shared" si="4"/>
        <v>01/05/2014</v>
      </c>
      <c r="Q29" s="68">
        <f t="shared" si="5"/>
        <v>11</v>
      </c>
      <c r="R29" s="68">
        <f t="shared" si="6"/>
        <v>1</v>
      </c>
      <c r="S29" s="68">
        <f t="shared" si="7"/>
        <v>19</v>
      </c>
      <c r="T29" s="65"/>
      <c r="U29" s="65"/>
      <c r="V29" s="49" t="str">
        <f t="shared" si="8"/>
        <v/>
      </c>
      <c r="W29" s="68">
        <f>IF(V29="",0,DATEDIF(V29,P29,"Y"))</f>
        <v>0</v>
      </c>
      <c r="X29" s="68">
        <f>IF(V29="",0,DATEDIF(V29,P29,"YM"))</f>
        <v>0</v>
      </c>
      <c r="Y29" s="68">
        <f>IF(V29="",0,DATEDIF(V29,P29,"MD"))</f>
        <v>0</v>
      </c>
      <c r="Z29" s="49"/>
      <c r="AA29" s="65"/>
      <c r="AB29" s="50" t="str">
        <f t="shared" si="9"/>
        <v/>
      </c>
      <c r="AC29" s="68">
        <f t="shared" si="10"/>
        <v>0</v>
      </c>
      <c r="AD29" s="68">
        <f t="shared" si="11"/>
        <v>0</v>
      </c>
      <c r="AE29" s="68">
        <f t="shared" si="12"/>
        <v>0</v>
      </c>
      <c r="AF29" s="50"/>
      <c r="AG29" s="50" t="s">
        <v>167</v>
      </c>
      <c r="AH29" s="49" t="str">
        <f>IF(AG29="นิติศาสตร์","K5-LAW","K5-POLICY")</f>
        <v>K5-POLICY</v>
      </c>
      <c r="AI29" s="72" t="str">
        <f>_xlfn.IFS(B29="","",AND(AH29="K5-LAW",AG29="นิติศาสตร์",K29="S2",T29="",Z29=""),P29,AND(AH29="K5-LAW",AG29="นิติศาสตร์",K29="S1",T29="",Z29=""),EDATE(P29,12),AND(AH29="K5-LAW",AG29="นิติศาสตร์",OR(K29="M2",K29="K4"),T29="",Z29=""),EDATE(P29,12*2),AND(AH29="K5-LAW",AG29="นิติศาสตร์",OR(Z29="M2",Z29="K4"),AC29&gt;=2,OR(AB29&lt;V29,AB29&lt;P29)),EDATE(AB29,12*2),AND(AH29="K5-LAW",AG29="นิติศาสตร์",Z29="S1",AC29&gt;=1,OR(AB29&lt;V29,AB29&lt;P29)),EDATE(AB29,12),AND(AH29="K5-LAW",AG29="นิติศาสตร์",OR(T29="M2",T29="K4"),W29&gt;=2,V29&lt;P29),EDATE(V29,12*2),AND(AH29="K5-LAW",AG29="นิติศาสตร์",T29="S1",W29&gt;=1,V29&lt;P29),EDATE(V29,12),AND(AH29="K5-LAW",AG29="นิติศาสตร์",OR(T29="S2",T29="K5")),V29,AND(AH29="K5-LAW",AG29="นิติศาสตร์",OR(K29="M2",K29="K4"),Q29&gt;=2),EDATE(P29,12*2),AND(AH29="K5-LAW",AG29="นิติศาสตร์",K29="S1",Q29&gt;=1),EDATE(P29,12),AND(AH29="K5-LAW",AG29="นิติศาสตร์",OR(K29="S2",K29="K5")),P29,AND(AH29="K5-POLICY",AG29&lt;&gt;"นิติศาสตร์",K29="S2",T29="",Z29=""),P29,AND(AH29="K5-POLICY",AG29&lt;&gt;"นิติศาสตร์",K29="S1",T29="",Z29=""),EDATE(P29,12),AND(AH29="K5-POLICY",AG29&lt;&gt;"นิติศาสตร์",OR(K29="M2",K29="K4"),T29="",Z29=""),EDATE(P29,12*2),AND(AH29="K5-POLICY",AG29&lt;&gt;"นิติศาสตร์",OR(Z29="M2",Z29="K4"),AC29&gt;=2,OR(AB29&lt;V29,AB29&lt;P29)),EDATE(AB29,12*2),AND(AH29="K5-POLICY",AG29&lt;&gt;"นิติศาสตร์",Z29="S1",AC29&gt;=1,OR(AB29&lt;V29,AB29&lt;P29)),EDATE(AB29,12),AND(AH29="K5-POLICY",AG29&lt;&gt;"นิติศาสตร์",OR(T29="M2",T29="K4"),W29&gt;=2,V29&lt;P29),EDATE(V29,12*2),AND(AH29="K5-POLICY",AG29&lt;&gt;"นิติศาสตร์",T29="S1",W29&gt;=1,V29&lt;P29),EDATE(V29,12),AND(AH29="K5-POLICY",AG29&lt;&gt;"นิติศาสตร์",OR(T29="S2",T29="K5")),V29,AND(AH29="K5-POLICY",AG29&lt;&gt;"นิติศาสตร์",OR(K29="M2",K29="K4"),Q29&gt;=2),EDATE(P29,12*2),AND(AH29="K5-POLICY",AG29&lt;&gt;"นิติศาสตร์",K29="S1",Q29&gt;=1),EDATE(P29,12),AND(AH29="K5-POLICY",AG29&lt;&gt;"นิติศาสตร์",OR(K29="S2",K29="K5")),P29,TRUE,"Check Data")</f>
        <v/>
      </c>
      <c r="AJ29" s="75" t="str">
        <f t="shared" si="13"/>
        <v>Check Data</v>
      </c>
      <c r="AK29" s="76" t="str">
        <f t="shared" si="14"/>
        <v>Check Data</v>
      </c>
      <c r="AL29" s="50" t="str">
        <f t="shared" si="15"/>
        <v>Check Data</v>
      </c>
      <c r="AM29" s="49" t="str">
        <f>IF(B29="","",IF(K29="S1","S1",INDEX(#REF!,#REF!)))</f>
        <v/>
      </c>
      <c r="AN29" s="49" t="str">
        <f>K29</f>
        <v>M2</v>
      </c>
      <c r="AO29" s="50" t="b">
        <f>K29=AM29</f>
        <v>0</v>
      </c>
      <c r="AP29" s="50"/>
    </row>
    <row r="30" spans="1:42" ht="21.75">
      <c r="A30" s="49">
        <v>28</v>
      </c>
      <c r="B30" s="50"/>
      <c r="C30" s="50"/>
      <c r="D30" s="50" t="s">
        <v>144</v>
      </c>
      <c r="E30" s="49" t="s">
        <v>382</v>
      </c>
      <c r="F30" s="49" t="str">
        <f t="shared" si="0"/>
        <v>01/05/1989</v>
      </c>
      <c r="G30" s="50">
        <f t="shared" si="1"/>
        <v>36</v>
      </c>
      <c r="H30" s="50">
        <f t="shared" si="2"/>
        <v>1</v>
      </c>
      <c r="I30" s="50">
        <f t="shared" si="3"/>
        <v>19</v>
      </c>
      <c r="J30" s="57"/>
      <c r="K30" s="49" t="s">
        <v>136</v>
      </c>
      <c r="L30" s="64"/>
      <c r="M30" s="49" t="s">
        <v>425</v>
      </c>
      <c r="N30" s="49">
        <v>2572</v>
      </c>
      <c r="O30" s="65" t="s">
        <v>388</v>
      </c>
      <c r="P30" s="49" t="str">
        <f t="shared" si="4"/>
        <v>16/07/2015</v>
      </c>
      <c r="Q30" s="68">
        <f t="shared" si="5"/>
        <v>9</v>
      </c>
      <c r="R30" s="68">
        <f t="shared" si="6"/>
        <v>11</v>
      </c>
      <c r="S30" s="68">
        <f t="shared" si="7"/>
        <v>4</v>
      </c>
      <c r="T30" s="65"/>
      <c r="U30" s="65"/>
      <c r="V30" s="49" t="str">
        <f t="shared" si="8"/>
        <v/>
      </c>
      <c r="W30" s="68">
        <f>IF(V30="",0,DATEDIF(V30,P30,"Y"))</f>
        <v>0</v>
      </c>
      <c r="X30" s="68">
        <f>IF(V30="",0,DATEDIF(V30,P30,"YM"))</f>
        <v>0</v>
      </c>
      <c r="Y30" s="68">
        <f>IF(V30="",0,DATEDIF(V30,P30,"MD"))</f>
        <v>0</v>
      </c>
      <c r="Z30" s="49"/>
      <c r="AA30" s="65"/>
      <c r="AB30" s="50" t="str">
        <f t="shared" si="9"/>
        <v/>
      </c>
      <c r="AC30" s="68">
        <f t="shared" si="10"/>
        <v>0</v>
      </c>
      <c r="AD30" s="68">
        <f t="shared" si="11"/>
        <v>0</v>
      </c>
      <c r="AE30" s="68">
        <f t="shared" si="12"/>
        <v>0</v>
      </c>
      <c r="AF30" s="50"/>
      <c r="AG30" s="50" t="s">
        <v>509</v>
      </c>
      <c r="AH30" s="49" t="str">
        <f>IF(AG30="นิติศาสตร์","K5-LAW","K5-POLICY")</f>
        <v>K5-POLICY</v>
      </c>
      <c r="AI30" s="72" t="str">
        <f>_xlfn.IFS(B30="","",AND(AH30="K5-LAW",AG30="นิติศาสตร์",K30="S2",T30="",Z30=""),P30,AND(AH30="K5-LAW",AG30="นิติศาสตร์",K30="S1",T30="",Z30=""),EDATE(P30,12),AND(AH30="K5-LAW",AG30="นิติศาสตร์",OR(K30="M2",K30="K4"),T30="",Z30=""),EDATE(P30,12*2),AND(AH30="K5-LAW",AG30="นิติศาสตร์",OR(Z30="M2",Z30="K4"),AC30&gt;=2,OR(AB30&lt;V30,AB30&lt;P30)),EDATE(AB30,12*2),AND(AH30="K5-LAW",AG30="นิติศาสตร์",Z30="S1",AC30&gt;=1,OR(AB30&lt;V30,AB30&lt;P30)),EDATE(AB30,12),AND(AH30="K5-LAW",AG30="นิติศาสตร์",OR(T30="M2",T30="K4"),W30&gt;=2,V30&lt;P30),EDATE(V30,12*2),AND(AH30="K5-LAW",AG30="นิติศาสตร์",T30="S1",W30&gt;=1,V30&lt;P30),EDATE(V30,12),AND(AH30="K5-LAW",AG30="นิติศาสตร์",OR(T30="S2",T30="K5")),V30,AND(AH30="K5-LAW",AG30="นิติศาสตร์",OR(K30="M2",K30="K4"),Q30&gt;=2),EDATE(P30,12*2),AND(AH30="K5-LAW",AG30="นิติศาสตร์",K30="S1",Q30&gt;=1),EDATE(P30,12),AND(AH30="K5-LAW",AG30="นิติศาสตร์",OR(K30="S2",K30="K5")),P30,AND(AH30="K5-POLICY",AG30&lt;&gt;"นิติศาสตร์",K30="S2",T30="",Z30=""),P30,AND(AH30="K5-POLICY",AG30&lt;&gt;"นิติศาสตร์",K30="S1",T30="",Z30=""),EDATE(P30,12),AND(AH30="K5-POLICY",AG30&lt;&gt;"นิติศาสตร์",OR(K30="M2",K30="K4"),T30="",Z30=""),EDATE(P30,12*2),AND(AH30="K5-POLICY",AG30&lt;&gt;"นิติศาสตร์",OR(Z30="M2",Z30="K4"),AC30&gt;=2,OR(AB30&lt;V30,AB30&lt;P30)),EDATE(AB30,12*2),AND(AH30="K5-POLICY",AG30&lt;&gt;"นิติศาสตร์",Z30="S1",AC30&gt;=1,OR(AB30&lt;V30,AB30&lt;P30)),EDATE(AB30,12),AND(AH30="K5-POLICY",AG30&lt;&gt;"นิติศาสตร์",OR(T30="M2",T30="K4"),W30&gt;=2,V30&lt;P30),EDATE(V30,12*2),AND(AH30="K5-POLICY",AG30&lt;&gt;"นิติศาสตร์",T30="S1",W30&gt;=1,V30&lt;P30),EDATE(V30,12),AND(AH30="K5-POLICY",AG30&lt;&gt;"นิติศาสตร์",OR(T30="S2",T30="K5")),V30,AND(AH30="K5-POLICY",AG30&lt;&gt;"นิติศาสตร์",OR(K30="M2",K30="K4"),Q30&gt;=2),EDATE(P30,12*2),AND(AH30="K5-POLICY",AG30&lt;&gt;"นิติศาสตร์",K30="S1",Q30&gt;=1),EDATE(P30,12),AND(AH30="K5-POLICY",AG30&lt;&gt;"นิติศาสตร์",OR(K30="S2",K30="K5")),P30,TRUE,"Check Data")</f>
        <v/>
      </c>
      <c r="AJ30" s="75" t="str">
        <f t="shared" si="13"/>
        <v>Check Data</v>
      </c>
      <c r="AK30" s="76" t="str">
        <f t="shared" si="14"/>
        <v>Check Data</v>
      </c>
      <c r="AL30" s="50" t="str">
        <f t="shared" si="15"/>
        <v>Check Data</v>
      </c>
      <c r="AM30" s="49" t="str">
        <f>IF(B30="","",IF(K30="S1","S1",INDEX(#REF!,#REF!)))</f>
        <v/>
      </c>
      <c r="AN30" s="49" t="str">
        <f>K30</f>
        <v>M2</v>
      </c>
      <c r="AO30" s="50" t="b">
        <f>K30=AM30</f>
        <v>0</v>
      </c>
      <c r="AP30" s="50"/>
    </row>
    <row r="31" spans="1:42" ht="21.75">
      <c r="A31" s="49">
        <v>29</v>
      </c>
      <c r="B31" s="50"/>
      <c r="C31" s="50"/>
      <c r="D31" s="50" t="s">
        <v>142</v>
      </c>
      <c r="E31" s="49" t="s">
        <v>283</v>
      </c>
      <c r="F31" s="49" t="str">
        <f t="shared" si="0"/>
        <v>01/04/1998</v>
      </c>
      <c r="G31" s="50">
        <f t="shared" si="1"/>
        <v>27</v>
      </c>
      <c r="H31" s="50">
        <f t="shared" si="2"/>
        <v>2</v>
      </c>
      <c r="I31" s="50">
        <f t="shared" si="3"/>
        <v>19</v>
      </c>
      <c r="J31" s="58"/>
      <c r="K31" s="49" t="s">
        <v>136</v>
      </c>
      <c r="L31" s="64"/>
      <c r="M31" s="49" t="s">
        <v>425</v>
      </c>
      <c r="N31" s="49">
        <v>2575</v>
      </c>
      <c r="O31" s="65" t="s">
        <v>284</v>
      </c>
      <c r="P31" s="49" t="str">
        <f t="shared" si="4"/>
        <v>21/04/2016</v>
      </c>
      <c r="Q31" s="68">
        <f t="shared" si="5"/>
        <v>9</v>
      </c>
      <c r="R31" s="68">
        <f t="shared" si="6"/>
        <v>1</v>
      </c>
      <c r="S31" s="68">
        <f t="shared" si="7"/>
        <v>30</v>
      </c>
      <c r="T31" s="65"/>
      <c r="U31" s="65"/>
      <c r="V31" s="49" t="str">
        <f t="shared" si="8"/>
        <v/>
      </c>
      <c r="W31" s="68">
        <f>IF(V31="",0,DATEDIF(V31,P31,"Y"))</f>
        <v>0</v>
      </c>
      <c r="X31" s="68">
        <f>IF(V31="",0,DATEDIF(V31,P31,"YM"))</f>
        <v>0</v>
      </c>
      <c r="Y31" s="68">
        <f>IF(V31="",0,DATEDIF(V31,P31,"MD"))</f>
        <v>0</v>
      </c>
      <c r="Z31" s="49"/>
      <c r="AA31" s="65"/>
      <c r="AB31" s="50" t="str">
        <f t="shared" si="9"/>
        <v/>
      </c>
      <c r="AC31" s="68">
        <f t="shared" si="10"/>
        <v>0</v>
      </c>
      <c r="AD31" s="68">
        <f t="shared" si="11"/>
        <v>0</v>
      </c>
      <c r="AE31" s="68">
        <f t="shared" si="12"/>
        <v>0</v>
      </c>
      <c r="AF31" s="50"/>
      <c r="AG31" s="50" t="s">
        <v>138</v>
      </c>
      <c r="AH31" s="49" t="str">
        <f>IF(AG31="นิติศาสตร์","K5-LAW","K5-POLICY")</f>
        <v>K5-LAW</v>
      </c>
      <c r="AI31" s="72" t="str">
        <f>_xlfn.IFS(B31="","",AND(AH31="K5-LAW",AG31="นิติศาสตร์",K31="S2",T31="",Z31=""),P31,AND(AH31="K5-LAW",AG31="นิติศาสตร์",K31="S1",T31="",Z31=""),EDATE(P31,12),AND(AH31="K5-LAW",AG31="นิติศาสตร์",OR(K31="M2",K31="K4"),T31="",Z31=""),EDATE(P31,12*2),AND(AH31="K5-LAW",AG31="นิติศาสตร์",OR(Z31="M2",Z31="K4"),AC31&gt;=2,OR(AB31&lt;V31,AB31&lt;P31)),EDATE(AB31,12*2),AND(AH31="K5-LAW",AG31="นิติศาสตร์",Z31="S1",AC31&gt;=1,OR(AB31&lt;V31,AB31&lt;P31)),EDATE(AB31,12),AND(AH31="K5-LAW",AG31="นิติศาสตร์",OR(T31="M2",T31="K4"),W31&gt;=2,V31&lt;P31),EDATE(V31,12*2),AND(AH31="K5-LAW",AG31="นิติศาสตร์",T31="S1",W31&gt;=1,V31&lt;P31),EDATE(V31,12),AND(AH31="K5-LAW",AG31="นิติศาสตร์",OR(T31="S2",T31="K5")),V31,AND(AH31="K5-LAW",AG31="นิติศาสตร์",OR(K31="M2",K31="K4"),Q31&gt;=2),EDATE(P31,12*2),AND(AH31="K5-LAW",AG31="นิติศาสตร์",K31="S1",Q31&gt;=1),EDATE(P31,12),AND(AH31="K5-LAW",AG31="นิติศาสตร์",OR(K31="S2",K31="K5")),P31,AND(AH31="K5-POLICY",AG31&lt;&gt;"นิติศาสตร์",K31="S2",T31="",Z31=""),P31,AND(AH31="K5-POLICY",AG31&lt;&gt;"นิติศาสตร์",K31="S1",T31="",Z31=""),EDATE(P31,12),AND(AH31="K5-POLICY",AG31&lt;&gt;"นิติศาสตร์",OR(K31="M2",K31="K4"),T31="",Z31=""),EDATE(P31,12*2),AND(AH31="K5-POLICY",AG31&lt;&gt;"นิติศาสตร์",OR(Z31="M2",Z31="K4"),AC31&gt;=2,OR(AB31&lt;V31,AB31&lt;P31)),EDATE(AB31,12*2),AND(AH31="K5-POLICY",AG31&lt;&gt;"นิติศาสตร์",Z31="S1",AC31&gt;=1,OR(AB31&lt;V31,AB31&lt;P31)),EDATE(AB31,12),AND(AH31="K5-POLICY",AG31&lt;&gt;"นิติศาสตร์",OR(T31="M2",T31="K4"),W31&gt;=2,V31&lt;P31),EDATE(V31,12*2),AND(AH31="K5-POLICY",AG31&lt;&gt;"นิติศาสตร์",T31="S1",W31&gt;=1,V31&lt;P31),EDATE(V31,12),AND(AH31="K5-POLICY",AG31&lt;&gt;"นิติศาสตร์",OR(T31="S2",T31="K5")),V31,AND(AH31="K5-POLICY",AG31&lt;&gt;"นิติศาสตร์",OR(K31="M2",K31="K4"),Q31&gt;=2),EDATE(P31,12*2),AND(AH31="K5-POLICY",AG31&lt;&gt;"นิติศาสตร์",K31="S1",Q31&gt;=1),EDATE(P31,12),AND(AH31="K5-POLICY",AG31&lt;&gt;"นิติศาสตร์",OR(K31="S2",K31="K5")),P31,TRUE,"Check Data")</f>
        <v/>
      </c>
      <c r="AJ31" s="75" t="str">
        <f t="shared" si="13"/>
        <v>Check Data</v>
      </c>
      <c r="AK31" s="76" t="str">
        <f t="shared" si="14"/>
        <v>Check Data</v>
      </c>
      <c r="AL31" s="50" t="str">
        <f t="shared" si="15"/>
        <v>Check Data</v>
      </c>
      <c r="AM31" s="49" t="str">
        <f>IF(B31="","",IF(K31="S1","S1",INDEX(#REF!,#REF!)))</f>
        <v/>
      </c>
      <c r="AN31" s="49" t="str">
        <f>K31</f>
        <v>M2</v>
      </c>
      <c r="AO31" s="50" t="b">
        <f>K31=AM31</f>
        <v>0</v>
      </c>
      <c r="AP31" s="50"/>
    </row>
    <row r="32" spans="1:42" ht="21.75">
      <c r="A32" s="49">
        <v>30</v>
      </c>
      <c r="B32" s="50"/>
      <c r="C32" s="50"/>
      <c r="D32" s="50" t="s">
        <v>142</v>
      </c>
      <c r="E32" s="49" t="s">
        <v>262</v>
      </c>
      <c r="F32" s="49" t="str">
        <f t="shared" si="0"/>
        <v>11/04/1996</v>
      </c>
      <c r="G32" s="50">
        <f t="shared" si="1"/>
        <v>29</v>
      </c>
      <c r="H32" s="50">
        <f t="shared" si="2"/>
        <v>2</v>
      </c>
      <c r="I32" s="50">
        <f t="shared" si="3"/>
        <v>9</v>
      </c>
      <c r="J32" s="58"/>
      <c r="K32" s="49" t="s">
        <v>136</v>
      </c>
      <c r="L32" s="64"/>
      <c r="M32" s="49" t="s">
        <v>425</v>
      </c>
      <c r="N32" s="49">
        <v>2573</v>
      </c>
      <c r="O32" s="65" t="s">
        <v>205</v>
      </c>
      <c r="P32" s="49" t="str">
        <f t="shared" si="4"/>
        <v>26/10/2016</v>
      </c>
      <c r="Q32" s="68">
        <f t="shared" si="5"/>
        <v>8</v>
      </c>
      <c r="R32" s="68">
        <f t="shared" si="6"/>
        <v>7</v>
      </c>
      <c r="S32" s="68">
        <f t="shared" si="7"/>
        <v>25</v>
      </c>
      <c r="T32" s="65"/>
      <c r="U32" s="65"/>
      <c r="V32" s="49" t="str">
        <f t="shared" si="8"/>
        <v/>
      </c>
      <c r="W32" s="68">
        <f>IF(V32="",0,DATEDIF(V32,P32,"Y"))</f>
        <v>0</v>
      </c>
      <c r="X32" s="68">
        <f>IF(V32="",0,DATEDIF(V32,P32,"YM"))</f>
        <v>0</v>
      </c>
      <c r="Y32" s="68">
        <f>IF(V32="",0,DATEDIF(V32,P32,"MD"))</f>
        <v>0</v>
      </c>
      <c r="Z32" s="49"/>
      <c r="AA32" s="65"/>
      <c r="AB32" s="50" t="str">
        <f t="shared" si="9"/>
        <v/>
      </c>
      <c r="AC32" s="68">
        <f t="shared" si="10"/>
        <v>0</v>
      </c>
      <c r="AD32" s="68">
        <f t="shared" si="11"/>
        <v>0</v>
      </c>
      <c r="AE32" s="68">
        <f t="shared" si="12"/>
        <v>0</v>
      </c>
      <c r="AF32" s="50"/>
      <c r="AG32" s="50" t="s">
        <v>138</v>
      </c>
      <c r="AH32" s="49" t="str">
        <f>IF(AG32="นิติศาสตร์","K5-LAW","K5-POLICY")</f>
        <v>K5-LAW</v>
      </c>
      <c r="AI32" s="72" t="str">
        <f>_xlfn.IFS(B32="","",AND(AH32="K5-LAW",AG32="นิติศาสตร์",K32="S2",T32="",Z32=""),P32,AND(AH32="K5-LAW",AG32="นิติศาสตร์",K32="S1",T32="",Z32=""),EDATE(P32,12),AND(AH32="K5-LAW",AG32="นิติศาสตร์",OR(K32="M2",K32="K4"),T32="",Z32=""),EDATE(P32,12*2),AND(AH32="K5-LAW",AG32="นิติศาสตร์",OR(Z32="M2",Z32="K4"),AC32&gt;=2,OR(AB32&lt;V32,AB32&lt;P32)),EDATE(AB32,12*2),AND(AH32="K5-LAW",AG32="นิติศาสตร์",Z32="S1",AC32&gt;=1,OR(AB32&lt;V32,AB32&lt;P32)),EDATE(AB32,12),AND(AH32="K5-LAW",AG32="นิติศาสตร์",OR(T32="M2",T32="K4"),W32&gt;=2,V32&lt;P32),EDATE(V32,12*2),AND(AH32="K5-LAW",AG32="นิติศาสตร์",T32="S1",W32&gt;=1,V32&lt;P32),EDATE(V32,12),AND(AH32="K5-LAW",AG32="นิติศาสตร์",OR(T32="S2",T32="K5")),V32,AND(AH32="K5-LAW",AG32="นิติศาสตร์",OR(K32="M2",K32="K4"),Q32&gt;=2),EDATE(P32,12*2),AND(AH32="K5-LAW",AG32="นิติศาสตร์",K32="S1",Q32&gt;=1),EDATE(P32,12),AND(AH32="K5-LAW",AG32="นิติศาสตร์",OR(K32="S2",K32="K5")),P32,AND(AH32="K5-POLICY",AG32&lt;&gt;"นิติศาสตร์",K32="S2",T32="",Z32=""),P32,AND(AH32="K5-POLICY",AG32&lt;&gt;"นิติศาสตร์",K32="S1",T32="",Z32=""),EDATE(P32,12),AND(AH32="K5-POLICY",AG32&lt;&gt;"นิติศาสตร์",OR(K32="M2",K32="K4"),T32="",Z32=""),EDATE(P32,12*2),AND(AH32="K5-POLICY",AG32&lt;&gt;"นิติศาสตร์",OR(Z32="M2",Z32="K4"),AC32&gt;=2,OR(AB32&lt;V32,AB32&lt;P32)),EDATE(AB32,12*2),AND(AH32="K5-POLICY",AG32&lt;&gt;"นิติศาสตร์",Z32="S1",AC32&gt;=1,OR(AB32&lt;V32,AB32&lt;P32)),EDATE(AB32,12),AND(AH32="K5-POLICY",AG32&lt;&gt;"นิติศาสตร์",OR(T32="M2",T32="K4"),W32&gt;=2,V32&lt;P32),EDATE(V32,12*2),AND(AH32="K5-POLICY",AG32&lt;&gt;"นิติศาสตร์",T32="S1",W32&gt;=1,V32&lt;P32),EDATE(V32,12),AND(AH32="K5-POLICY",AG32&lt;&gt;"นิติศาสตร์",OR(T32="S2",T32="K5")),V32,AND(AH32="K5-POLICY",AG32&lt;&gt;"นิติศาสตร์",OR(K32="M2",K32="K4"),Q32&gt;=2),EDATE(P32,12*2),AND(AH32="K5-POLICY",AG32&lt;&gt;"นิติศาสตร์",K32="S1",Q32&gt;=1),EDATE(P32,12),AND(AH32="K5-POLICY",AG32&lt;&gt;"นิติศาสตร์",OR(K32="S2",K32="K5")),P32,TRUE,"Check Data")</f>
        <v/>
      </c>
      <c r="AJ32" s="75" t="str">
        <f t="shared" si="13"/>
        <v>Check Data</v>
      </c>
      <c r="AK32" s="76" t="str">
        <f t="shared" si="14"/>
        <v>Check Data</v>
      </c>
      <c r="AL32" s="50" t="str">
        <f t="shared" si="15"/>
        <v>Check Data</v>
      </c>
      <c r="AM32" s="49" t="str">
        <f>IF(B32="","",IF(K32="S1","S1",INDEX(#REF!,#REF!)))</f>
        <v/>
      </c>
      <c r="AN32" s="49" t="str">
        <f>K32</f>
        <v>M2</v>
      </c>
      <c r="AO32" s="50" t="b">
        <f>K32=AM32</f>
        <v>0</v>
      </c>
      <c r="AP32" s="50"/>
    </row>
    <row r="33" spans="1:42" ht="21.75">
      <c r="A33" s="49">
        <v>31</v>
      </c>
      <c r="B33" s="50"/>
      <c r="C33" s="50"/>
      <c r="D33" s="50" t="s">
        <v>139</v>
      </c>
      <c r="E33" s="49" t="s">
        <v>208</v>
      </c>
      <c r="F33" s="49" t="str">
        <f t="shared" si="0"/>
        <v>01/02/1990</v>
      </c>
      <c r="G33" s="50">
        <f t="shared" si="1"/>
        <v>35</v>
      </c>
      <c r="H33" s="50">
        <f t="shared" si="2"/>
        <v>4</v>
      </c>
      <c r="I33" s="50">
        <f t="shared" si="3"/>
        <v>19</v>
      </c>
      <c r="J33" s="56"/>
      <c r="K33" s="49" t="s">
        <v>136</v>
      </c>
      <c r="L33" s="64"/>
      <c r="M33" s="49" t="s">
        <v>425</v>
      </c>
      <c r="N33" s="49">
        <v>2569</v>
      </c>
      <c r="O33" s="65" t="s">
        <v>209</v>
      </c>
      <c r="P33" s="49" t="str">
        <f t="shared" si="4"/>
        <v>19/12/2016</v>
      </c>
      <c r="Q33" s="68">
        <f t="shared" si="5"/>
        <v>8</v>
      </c>
      <c r="R33" s="68">
        <f t="shared" si="6"/>
        <v>6</v>
      </c>
      <c r="S33" s="68">
        <f t="shared" si="7"/>
        <v>1</v>
      </c>
      <c r="T33" s="65"/>
      <c r="U33" s="65"/>
      <c r="V33" s="49" t="str">
        <f t="shared" si="8"/>
        <v/>
      </c>
      <c r="W33" s="68">
        <f>IF(V33="",0,DATEDIF(V33,P33,"Y"))</f>
        <v>0</v>
      </c>
      <c r="X33" s="68">
        <f>IF(V33="",0,DATEDIF(V33,P33,"YM"))</f>
        <v>0</v>
      </c>
      <c r="Y33" s="68">
        <f>IF(V33="",0,DATEDIF(V33,P33,"MD"))</f>
        <v>0</v>
      </c>
      <c r="Z33" s="49"/>
      <c r="AA33" s="65"/>
      <c r="AB33" s="50" t="str">
        <f t="shared" si="9"/>
        <v/>
      </c>
      <c r="AC33" s="68">
        <f t="shared" si="10"/>
        <v>0</v>
      </c>
      <c r="AD33" s="68">
        <f t="shared" si="11"/>
        <v>0</v>
      </c>
      <c r="AE33" s="68">
        <f t="shared" si="12"/>
        <v>0</v>
      </c>
      <c r="AF33" s="50"/>
      <c r="AG33" s="50" t="s">
        <v>165</v>
      </c>
      <c r="AH33" s="49" t="str">
        <f>IF(AG33="นิติศาสตร์","K5-LAW","K5-POLICY")</f>
        <v>K5-POLICY</v>
      </c>
      <c r="AI33" s="72" t="str">
        <f>_xlfn.IFS(B33="","",AND(AH33="K5-LAW",AG33="นิติศาสตร์",K33="S2",T33="",Z33=""),P33,AND(AH33="K5-LAW",AG33="นิติศาสตร์",K33="S1",T33="",Z33=""),EDATE(P33,12),AND(AH33="K5-LAW",AG33="นิติศาสตร์",OR(K33="M2",K33="K4"),T33="",Z33=""),EDATE(P33,12*2),AND(AH33="K5-LAW",AG33="นิติศาสตร์",OR(Z33="M2",Z33="K4"),AC33&gt;=2,OR(AB33&lt;V33,AB33&lt;P33)),EDATE(AB33,12*2),AND(AH33="K5-LAW",AG33="นิติศาสตร์",Z33="S1",AC33&gt;=1,OR(AB33&lt;V33,AB33&lt;P33)),EDATE(AB33,12),AND(AH33="K5-LAW",AG33="นิติศาสตร์",OR(T33="M2",T33="K4"),W33&gt;=2,V33&lt;P33),EDATE(V33,12*2),AND(AH33="K5-LAW",AG33="นิติศาสตร์",T33="S1",W33&gt;=1,V33&lt;P33),EDATE(V33,12),AND(AH33="K5-LAW",AG33="นิติศาสตร์",OR(T33="S2",T33="K5")),V33,AND(AH33="K5-LAW",AG33="นิติศาสตร์",OR(K33="M2",K33="K4"),Q33&gt;=2),EDATE(P33,12*2),AND(AH33="K5-LAW",AG33="นิติศาสตร์",K33="S1",Q33&gt;=1),EDATE(P33,12),AND(AH33="K5-LAW",AG33="นิติศาสตร์",OR(K33="S2",K33="K5")),P33,AND(AH33="K5-POLICY",AG33&lt;&gt;"นิติศาสตร์",K33="S2",T33="",Z33=""),P33,AND(AH33="K5-POLICY",AG33&lt;&gt;"นิติศาสตร์",K33="S1",T33="",Z33=""),EDATE(P33,12),AND(AH33="K5-POLICY",AG33&lt;&gt;"นิติศาสตร์",OR(K33="M2",K33="K4"),T33="",Z33=""),EDATE(P33,12*2),AND(AH33="K5-POLICY",AG33&lt;&gt;"นิติศาสตร์",OR(Z33="M2",Z33="K4"),AC33&gt;=2,OR(AB33&lt;V33,AB33&lt;P33)),EDATE(AB33,12*2),AND(AH33="K5-POLICY",AG33&lt;&gt;"นิติศาสตร์",Z33="S1",AC33&gt;=1,OR(AB33&lt;V33,AB33&lt;P33)),EDATE(AB33,12),AND(AH33="K5-POLICY",AG33&lt;&gt;"นิติศาสตร์",OR(T33="M2",T33="K4"),W33&gt;=2,V33&lt;P33),EDATE(V33,12*2),AND(AH33="K5-POLICY",AG33&lt;&gt;"นิติศาสตร์",T33="S1",W33&gt;=1,V33&lt;P33),EDATE(V33,12),AND(AH33="K5-POLICY",AG33&lt;&gt;"นิติศาสตร์",OR(T33="S2",T33="K5")),V33,AND(AH33="K5-POLICY",AG33&lt;&gt;"นิติศาสตร์",OR(K33="M2",K33="K4"),Q33&gt;=2),EDATE(P33,12*2),AND(AH33="K5-POLICY",AG33&lt;&gt;"นิติศาสตร์",K33="S1",Q33&gt;=1),EDATE(P33,12),AND(AH33="K5-POLICY",AG33&lt;&gt;"นิติศาสตร์",OR(K33="S2",K33="K5")),P33,TRUE,"Check Data")</f>
        <v/>
      </c>
      <c r="AJ33" s="75" t="str">
        <f t="shared" si="13"/>
        <v>Check Data</v>
      </c>
      <c r="AK33" s="76" t="str">
        <f t="shared" si="14"/>
        <v>Check Data</v>
      </c>
      <c r="AL33" s="50" t="str">
        <f t="shared" si="15"/>
        <v>Check Data</v>
      </c>
      <c r="AM33" s="49" t="str">
        <f>IF(B33="","",IF(K33="S1","S1",INDEX(#REF!,#REF!)))</f>
        <v/>
      </c>
      <c r="AN33" s="49" t="str">
        <f>K33</f>
        <v>M2</v>
      </c>
      <c r="AO33" s="50" t="b">
        <f>K33=AM33</f>
        <v>0</v>
      </c>
      <c r="AP33" s="50"/>
    </row>
    <row r="34" spans="1:42" ht="21.75">
      <c r="A34" s="49">
        <v>32</v>
      </c>
      <c r="B34" s="50"/>
      <c r="C34" s="50"/>
      <c r="D34" s="50" t="s">
        <v>139</v>
      </c>
      <c r="E34" s="49" t="s">
        <v>164</v>
      </c>
      <c r="F34" s="49" t="str">
        <f t="shared" si="0"/>
        <v>01/05/1990</v>
      </c>
      <c r="G34" s="50">
        <f t="shared" si="1"/>
        <v>35</v>
      </c>
      <c r="H34" s="50">
        <f t="shared" si="2"/>
        <v>1</v>
      </c>
      <c r="I34" s="50">
        <f t="shared" si="3"/>
        <v>19</v>
      </c>
      <c r="J34" s="56"/>
      <c r="K34" s="49" t="s">
        <v>136</v>
      </c>
      <c r="L34" s="64"/>
      <c r="M34" s="49" t="s">
        <v>425</v>
      </c>
      <c r="N34" s="49">
        <v>2570</v>
      </c>
      <c r="O34" s="65" t="s">
        <v>209</v>
      </c>
      <c r="P34" s="49" t="str">
        <f t="shared" si="4"/>
        <v>19/12/2016</v>
      </c>
      <c r="Q34" s="68">
        <f t="shared" si="5"/>
        <v>8</v>
      </c>
      <c r="R34" s="68">
        <f t="shared" si="6"/>
        <v>6</v>
      </c>
      <c r="S34" s="68">
        <f t="shared" si="7"/>
        <v>1</v>
      </c>
      <c r="T34" s="65"/>
      <c r="U34" s="65"/>
      <c r="V34" s="49" t="str">
        <f t="shared" si="8"/>
        <v/>
      </c>
      <c r="W34" s="68">
        <f>IF(V34="",0,DATEDIF(V34,P34,"Y"))</f>
        <v>0</v>
      </c>
      <c r="X34" s="68">
        <f>IF(V34="",0,DATEDIF(V34,P34,"YM"))</f>
        <v>0</v>
      </c>
      <c r="Y34" s="68">
        <f>IF(V34="",0,DATEDIF(V34,P34,"MD"))</f>
        <v>0</v>
      </c>
      <c r="Z34" s="49"/>
      <c r="AA34" s="65"/>
      <c r="AB34" s="50" t="str">
        <f t="shared" si="9"/>
        <v/>
      </c>
      <c r="AC34" s="68">
        <f t="shared" si="10"/>
        <v>0</v>
      </c>
      <c r="AD34" s="68">
        <f t="shared" si="11"/>
        <v>0</v>
      </c>
      <c r="AE34" s="68">
        <f t="shared" si="12"/>
        <v>0</v>
      </c>
      <c r="AF34" s="50"/>
      <c r="AG34" s="50" t="s">
        <v>178</v>
      </c>
      <c r="AH34" s="49" t="str">
        <f>IF(AG34="นิติศาสตร์","K5-LAW","K5-POLICY")</f>
        <v>K5-POLICY</v>
      </c>
      <c r="AI34" s="72" t="str">
        <f>_xlfn.IFS(B34="","",AND(AH34="K5-LAW",AG34="นิติศาสตร์",K34="S2",T34="",Z34=""),P34,AND(AH34="K5-LAW",AG34="นิติศาสตร์",K34="S1",T34="",Z34=""),EDATE(P34,12),AND(AH34="K5-LAW",AG34="นิติศาสตร์",OR(K34="M2",K34="K4"),T34="",Z34=""),EDATE(P34,12*2),AND(AH34="K5-LAW",AG34="นิติศาสตร์",OR(Z34="M2",Z34="K4"),AC34&gt;=2,OR(AB34&lt;V34,AB34&lt;P34)),EDATE(AB34,12*2),AND(AH34="K5-LAW",AG34="นิติศาสตร์",Z34="S1",AC34&gt;=1,OR(AB34&lt;V34,AB34&lt;P34)),EDATE(AB34,12),AND(AH34="K5-LAW",AG34="นิติศาสตร์",OR(T34="M2",T34="K4"),W34&gt;=2,V34&lt;P34),EDATE(V34,12*2),AND(AH34="K5-LAW",AG34="นิติศาสตร์",T34="S1",W34&gt;=1,V34&lt;P34),EDATE(V34,12),AND(AH34="K5-LAW",AG34="นิติศาสตร์",OR(T34="S2",T34="K5")),V34,AND(AH34="K5-LAW",AG34="นิติศาสตร์",OR(K34="M2",K34="K4"),Q34&gt;=2),EDATE(P34,12*2),AND(AH34="K5-LAW",AG34="นิติศาสตร์",K34="S1",Q34&gt;=1),EDATE(P34,12),AND(AH34="K5-LAW",AG34="นิติศาสตร์",OR(K34="S2",K34="K5")),P34,AND(AH34="K5-POLICY",AG34&lt;&gt;"นิติศาสตร์",K34="S2",T34="",Z34=""),P34,AND(AH34="K5-POLICY",AG34&lt;&gt;"นิติศาสตร์",K34="S1",T34="",Z34=""),EDATE(P34,12),AND(AH34="K5-POLICY",AG34&lt;&gt;"นิติศาสตร์",OR(K34="M2",K34="K4"),T34="",Z34=""),EDATE(P34,12*2),AND(AH34="K5-POLICY",AG34&lt;&gt;"นิติศาสตร์",OR(Z34="M2",Z34="K4"),AC34&gt;=2,OR(AB34&lt;V34,AB34&lt;P34)),EDATE(AB34,12*2),AND(AH34="K5-POLICY",AG34&lt;&gt;"นิติศาสตร์",Z34="S1",AC34&gt;=1,OR(AB34&lt;V34,AB34&lt;P34)),EDATE(AB34,12),AND(AH34="K5-POLICY",AG34&lt;&gt;"นิติศาสตร์",OR(T34="M2",T34="K4"),W34&gt;=2,V34&lt;P34),EDATE(V34,12*2),AND(AH34="K5-POLICY",AG34&lt;&gt;"นิติศาสตร์",T34="S1",W34&gt;=1,V34&lt;P34),EDATE(V34,12),AND(AH34="K5-POLICY",AG34&lt;&gt;"นิติศาสตร์",OR(T34="S2",T34="K5")),V34,AND(AH34="K5-POLICY",AG34&lt;&gt;"นิติศาสตร์",OR(K34="M2",K34="K4"),Q34&gt;=2),EDATE(P34,12*2),AND(AH34="K5-POLICY",AG34&lt;&gt;"นิติศาสตร์",K34="S1",Q34&gt;=1),EDATE(P34,12),AND(AH34="K5-POLICY",AG34&lt;&gt;"นิติศาสตร์",OR(K34="S2",K34="K5")),P34,TRUE,"Check Data")</f>
        <v/>
      </c>
      <c r="AJ34" s="75" t="str">
        <f t="shared" si="13"/>
        <v>Check Data</v>
      </c>
      <c r="AK34" s="76" t="str">
        <f t="shared" si="14"/>
        <v>Check Data</v>
      </c>
      <c r="AL34" s="50" t="str">
        <f t="shared" si="15"/>
        <v>Check Data</v>
      </c>
      <c r="AM34" s="49" t="str">
        <f>IF(B34="","",IF(K34="S1","S1",INDEX(#REF!,#REF!)))</f>
        <v/>
      </c>
      <c r="AN34" s="49" t="str">
        <f>K34</f>
        <v>M2</v>
      </c>
      <c r="AO34" s="50" t="b">
        <f>K34=AM34</f>
        <v>0</v>
      </c>
      <c r="AP34" s="50"/>
    </row>
    <row r="35" spans="1:42" ht="21.75">
      <c r="A35" s="49">
        <v>33</v>
      </c>
      <c r="B35" s="50"/>
      <c r="C35" s="50"/>
      <c r="D35" s="50" t="s">
        <v>142</v>
      </c>
      <c r="E35" s="49" t="s">
        <v>271</v>
      </c>
      <c r="F35" s="49" t="str">
        <f t="shared" si="0"/>
        <v>10/05/1999</v>
      </c>
      <c r="G35" s="50">
        <f t="shared" si="1"/>
        <v>26</v>
      </c>
      <c r="H35" s="50">
        <f t="shared" si="2"/>
        <v>1</v>
      </c>
      <c r="I35" s="50">
        <f t="shared" si="3"/>
        <v>10</v>
      </c>
      <c r="J35" s="58"/>
      <c r="K35" s="49" t="s">
        <v>136</v>
      </c>
      <c r="L35" s="64"/>
      <c r="M35" s="49" t="s">
        <v>425</v>
      </c>
      <c r="N35" s="49">
        <v>2573</v>
      </c>
      <c r="O35" s="65" t="s">
        <v>272</v>
      </c>
      <c r="P35" s="49" t="str">
        <f t="shared" si="4"/>
        <v>03/07/2017</v>
      </c>
      <c r="Q35" s="68">
        <f t="shared" si="5"/>
        <v>7</v>
      </c>
      <c r="R35" s="68">
        <f t="shared" si="6"/>
        <v>11</v>
      </c>
      <c r="S35" s="68">
        <f t="shared" si="7"/>
        <v>17</v>
      </c>
      <c r="T35" s="65"/>
      <c r="U35" s="65"/>
      <c r="V35" s="49" t="str">
        <f t="shared" si="8"/>
        <v/>
      </c>
      <c r="W35" s="68">
        <f>IF(V35="",0,DATEDIF(V35,P35,"Y"))</f>
        <v>0</v>
      </c>
      <c r="X35" s="68">
        <f>IF(V35="",0,DATEDIF(V35,P35,"YM"))</f>
        <v>0</v>
      </c>
      <c r="Y35" s="68">
        <f>IF(V35="",0,DATEDIF(V35,P35,"MD"))</f>
        <v>0</v>
      </c>
      <c r="Z35" s="49"/>
      <c r="AA35" s="65"/>
      <c r="AB35" s="50" t="str">
        <f t="shared" si="9"/>
        <v/>
      </c>
      <c r="AC35" s="68">
        <f t="shared" si="10"/>
        <v>0</v>
      </c>
      <c r="AD35" s="68">
        <f t="shared" si="11"/>
        <v>0</v>
      </c>
      <c r="AE35" s="68">
        <f t="shared" si="12"/>
        <v>0</v>
      </c>
      <c r="AF35" s="50"/>
      <c r="AG35" s="50" t="s">
        <v>510</v>
      </c>
      <c r="AH35" s="49" t="str">
        <f>IF(AG35="นิติศาสตร์","K5-LAW","K5-POLICY")</f>
        <v>K5-POLICY</v>
      </c>
      <c r="AI35" s="72" t="str">
        <f>_xlfn.IFS(B35="","",AND(AH35="K5-LAW",AG35="นิติศาสตร์",K35="S2",T35="",Z35=""),P35,AND(AH35="K5-LAW",AG35="นิติศาสตร์",K35="S1",T35="",Z35=""),EDATE(P35,12),AND(AH35="K5-LAW",AG35="นิติศาสตร์",OR(K35="M2",K35="K4"),T35="",Z35=""),EDATE(P35,12*2),AND(AH35="K5-LAW",AG35="นิติศาสตร์",OR(Z35="M2",Z35="K4"),AC35&gt;=2,OR(AB35&lt;V35,AB35&lt;P35)),EDATE(AB35,12*2),AND(AH35="K5-LAW",AG35="นิติศาสตร์",Z35="S1",AC35&gt;=1,OR(AB35&lt;V35,AB35&lt;P35)),EDATE(AB35,12),AND(AH35="K5-LAW",AG35="นิติศาสตร์",OR(T35="M2",T35="K4"),W35&gt;=2,V35&lt;P35),EDATE(V35,12*2),AND(AH35="K5-LAW",AG35="นิติศาสตร์",T35="S1",W35&gt;=1,V35&lt;P35),EDATE(V35,12),AND(AH35="K5-LAW",AG35="นิติศาสตร์",OR(T35="S2",T35="K5")),V35,AND(AH35="K5-LAW",AG35="นิติศาสตร์",OR(K35="M2",K35="K4"),Q35&gt;=2),EDATE(P35,12*2),AND(AH35="K5-LAW",AG35="นิติศาสตร์",K35="S1",Q35&gt;=1),EDATE(P35,12),AND(AH35="K5-LAW",AG35="นิติศาสตร์",OR(K35="S2",K35="K5")),P35,AND(AH35="K5-POLICY",AG35&lt;&gt;"นิติศาสตร์",K35="S2",T35="",Z35=""),P35,AND(AH35="K5-POLICY",AG35&lt;&gt;"นิติศาสตร์",K35="S1",T35="",Z35=""),EDATE(P35,12),AND(AH35="K5-POLICY",AG35&lt;&gt;"นิติศาสตร์",OR(K35="M2",K35="K4"),T35="",Z35=""),EDATE(P35,12*2),AND(AH35="K5-POLICY",AG35&lt;&gt;"นิติศาสตร์",OR(Z35="M2",Z35="K4"),AC35&gt;=2,OR(AB35&lt;V35,AB35&lt;P35)),EDATE(AB35,12*2),AND(AH35="K5-POLICY",AG35&lt;&gt;"นิติศาสตร์",Z35="S1",AC35&gt;=1,OR(AB35&lt;V35,AB35&lt;P35)),EDATE(AB35,12),AND(AH35="K5-POLICY",AG35&lt;&gt;"นิติศาสตร์",OR(T35="M2",T35="K4"),W35&gt;=2,V35&lt;P35),EDATE(V35,12*2),AND(AH35="K5-POLICY",AG35&lt;&gt;"นิติศาสตร์",T35="S1",W35&gt;=1,V35&lt;P35),EDATE(V35,12),AND(AH35="K5-POLICY",AG35&lt;&gt;"นิติศาสตร์",OR(T35="S2",T35="K5")),V35,AND(AH35="K5-POLICY",AG35&lt;&gt;"นิติศาสตร์",OR(K35="M2",K35="K4"),Q35&gt;=2),EDATE(P35,12*2),AND(AH35="K5-POLICY",AG35&lt;&gt;"นิติศาสตร์",K35="S1",Q35&gt;=1),EDATE(P35,12),AND(AH35="K5-POLICY",AG35&lt;&gt;"นิติศาสตร์",OR(K35="S2",K35="K5")),P35,TRUE,"Check Data")</f>
        <v/>
      </c>
      <c r="AJ35" s="75" t="str">
        <f t="shared" si="13"/>
        <v>Check Data</v>
      </c>
      <c r="AK35" s="76" t="str">
        <f t="shared" si="14"/>
        <v>Check Data</v>
      </c>
      <c r="AL35" s="50" t="str">
        <f t="shared" si="15"/>
        <v>Check Data</v>
      </c>
      <c r="AM35" s="49" t="str">
        <f>IF(B35="","",IF(K35="S1","S1",INDEX(#REF!,#REF!)))</f>
        <v/>
      </c>
      <c r="AN35" s="49" t="str">
        <f>K35</f>
        <v>M2</v>
      </c>
      <c r="AO35" s="50" t="b">
        <f>K35=AM35</f>
        <v>0</v>
      </c>
      <c r="AP35" s="50"/>
    </row>
    <row r="36" spans="1:42" ht="21.75">
      <c r="A36" s="49">
        <v>34</v>
      </c>
      <c r="B36" s="50"/>
      <c r="C36" s="50"/>
      <c r="D36" s="50" t="s">
        <v>143</v>
      </c>
      <c r="E36" s="49" t="s">
        <v>328</v>
      </c>
      <c r="F36" s="49" t="str">
        <f t="shared" si="0"/>
        <v>03/06/1991</v>
      </c>
      <c r="G36" s="50">
        <f t="shared" si="1"/>
        <v>34</v>
      </c>
      <c r="H36" s="50">
        <f t="shared" si="2"/>
        <v>0</v>
      </c>
      <c r="I36" s="50">
        <f t="shared" si="3"/>
        <v>17</v>
      </c>
      <c r="J36" s="59"/>
      <c r="K36" s="49" t="s">
        <v>136</v>
      </c>
      <c r="L36" s="64"/>
      <c r="M36" s="49" t="s">
        <v>425</v>
      </c>
      <c r="N36" s="49">
        <v>2569</v>
      </c>
      <c r="O36" s="65" t="s">
        <v>435</v>
      </c>
      <c r="P36" s="49" t="str">
        <f t="shared" si="4"/>
        <v>11/09/2017</v>
      </c>
      <c r="Q36" s="68">
        <f t="shared" si="5"/>
        <v>7</v>
      </c>
      <c r="R36" s="68">
        <f t="shared" si="6"/>
        <v>9</v>
      </c>
      <c r="S36" s="68">
        <f t="shared" si="7"/>
        <v>9</v>
      </c>
      <c r="T36" s="65"/>
      <c r="U36" s="65"/>
      <c r="V36" s="49" t="str">
        <f t="shared" si="8"/>
        <v/>
      </c>
      <c r="W36" s="68">
        <f>IF(V36="",0,DATEDIF(V36,P36,"Y"))</f>
        <v>0</v>
      </c>
      <c r="X36" s="68">
        <f>IF(V36="",0,DATEDIF(V36,P36,"YM"))</f>
        <v>0</v>
      </c>
      <c r="Y36" s="68">
        <f>IF(V36="",0,DATEDIF(V36,P36,"MD"))</f>
        <v>0</v>
      </c>
      <c r="Z36" s="49"/>
      <c r="AA36" s="65"/>
      <c r="AB36" s="50" t="str">
        <f t="shared" si="9"/>
        <v/>
      </c>
      <c r="AC36" s="68">
        <f t="shared" si="10"/>
        <v>0</v>
      </c>
      <c r="AD36" s="68">
        <f t="shared" si="11"/>
        <v>0</v>
      </c>
      <c r="AE36" s="68">
        <f t="shared" si="12"/>
        <v>0</v>
      </c>
      <c r="AF36" s="50"/>
      <c r="AG36" s="50" t="s">
        <v>329</v>
      </c>
      <c r="AH36" s="49" t="str">
        <f>IF(AG36="นิติศาสตร์","K5-LAW","K5-POLICY")</f>
        <v>K5-POLICY</v>
      </c>
      <c r="AI36" s="72" t="str">
        <f>_xlfn.IFS(B36="","",AND(AH36="K5-LAW",AG36="นิติศาสตร์",K36="S2",T36="",Z36=""),P36,AND(AH36="K5-LAW",AG36="นิติศาสตร์",K36="S1",T36="",Z36=""),EDATE(P36,12),AND(AH36="K5-LAW",AG36="นิติศาสตร์",OR(K36="M2",K36="K4"),T36="",Z36=""),EDATE(P36,12*2),AND(AH36="K5-LAW",AG36="นิติศาสตร์",OR(Z36="M2",Z36="K4"),AC36&gt;=2,OR(AB36&lt;V36,AB36&lt;P36)),EDATE(AB36,12*2),AND(AH36="K5-LAW",AG36="นิติศาสตร์",Z36="S1",AC36&gt;=1,OR(AB36&lt;V36,AB36&lt;P36)),EDATE(AB36,12),AND(AH36="K5-LAW",AG36="นิติศาสตร์",OR(T36="M2",T36="K4"),W36&gt;=2,V36&lt;P36),EDATE(V36,12*2),AND(AH36="K5-LAW",AG36="นิติศาสตร์",T36="S1",W36&gt;=1,V36&lt;P36),EDATE(V36,12),AND(AH36="K5-LAW",AG36="นิติศาสตร์",OR(T36="S2",T36="K5")),V36,AND(AH36="K5-LAW",AG36="นิติศาสตร์",OR(K36="M2",K36="K4"),Q36&gt;=2),EDATE(P36,12*2),AND(AH36="K5-LAW",AG36="นิติศาสตร์",K36="S1",Q36&gt;=1),EDATE(P36,12),AND(AH36="K5-LAW",AG36="นิติศาสตร์",OR(K36="S2",K36="K5")),P36,AND(AH36="K5-POLICY",AG36&lt;&gt;"นิติศาสตร์",K36="S2",T36="",Z36=""),P36,AND(AH36="K5-POLICY",AG36&lt;&gt;"นิติศาสตร์",K36="S1",T36="",Z36=""),EDATE(P36,12),AND(AH36="K5-POLICY",AG36&lt;&gt;"นิติศาสตร์",OR(K36="M2",K36="K4"),T36="",Z36=""),EDATE(P36,12*2),AND(AH36="K5-POLICY",AG36&lt;&gt;"นิติศาสตร์",OR(Z36="M2",Z36="K4"),AC36&gt;=2,OR(AB36&lt;V36,AB36&lt;P36)),EDATE(AB36,12*2),AND(AH36="K5-POLICY",AG36&lt;&gt;"นิติศาสตร์",Z36="S1",AC36&gt;=1,OR(AB36&lt;V36,AB36&lt;P36)),EDATE(AB36,12),AND(AH36="K5-POLICY",AG36&lt;&gt;"นิติศาสตร์",OR(T36="M2",T36="K4"),W36&gt;=2,V36&lt;P36),EDATE(V36,12*2),AND(AH36="K5-POLICY",AG36&lt;&gt;"นิติศาสตร์",T36="S1",W36&gt;=1,V36&lt;P36),EDATE(V36,12),AND(AH36="K5-POLICY",AG36&lt;&gt;"นิติศาสตร์",OR(T36="S2",T36="K5")),V36,AND(AH36="K5-POLICY",AG36&lt;&gt;"นิติศาสตร์",OR(K36="M2",K36="K4"),Q36&gt;=2),EDATE(P36,12*2),AND(AH36="K5-POLICY",AG36&lt;&gt;"นิติศาสตร์",K36="S1",Q36&gt;=1),EDATE(P36,12),AND(AH36="K5-POLICY",AG36&lt;&gt;"นิติศาสตร์",OR(K36="S2",K36="K5")),P36,TRUE,"Check Data")</f>
        <v/>
      </c>
      <c r="AJ36" s="75" t="str">
        <f t="shared" si="13"/>
        <v>Check Data</v>
      </c>
      <c r="AK36" s="76" t="str">
        <f t="shared" si="14"/>
        <v>Check Data</v>
      </c>
      <c r="AL36" s="50" t="str">
        <f t="shared" si="15"/>
        <v>Check Data</v>
      </c>
      <c r="AM36" s="49" t="str">
        <f>IF(B36="","",IF(K36="S1","S1",INDEX(#REF!,#REF!)))</f>
        <v/>
      </c>
      <c r="AN36" s="49" t="str">
        <f>K36</f>
        <v>M2</v>
      </c>
      <c r="AO36" s="50" t="b">
        <f>K36=AM36</f>
        <v>0</v>
      </c>
      <c r="AP36" s="50"/>
    </row>
    <row r="37" spans="1:42" ht="21.75">
      <c r="A37" s="49">
        <v>35</v>
      </c>
      <c r="B37" s="50"/>
      <c r="C37" s="50"/>
      <c r="D37" s="50" t="s">
        <v>143</v>
      </c>
      <c r="E37" s="49" t="s">
        <v>208</v>
      </c>
      <c r="F37" s="49" t="str">
        <f t="shared" si="0"/>
        <v>01/02/1990</v>
      </c>
      <c r="G37" s="50">
        <f t="shared" si="1"/>
        <v>35</v>
      </c>
      <c r="H37" s="50">
        <f t="shared" si="2"/>
        <v>4</v>
      </c>
      <c r="I37" s="50">
        <f t="shared" si="3"/>
        <v>19</v>
      </c>
      <c r="J37" s="59"/>
      <c r="K37" s="49" t="s">
        <v>136</v>
      </c>
      <c r="L37" s="64"/>
      <c r="M37" s="49" t="s">
        <v>425</v>
      </c>
      <c r="N37" s="49">
        <v>2569</v>
      </c>
      <c r="O37" s="65" t="s">
        <v>308</v>
      </c>
      <c r="P37" s="49" t="str">
        <f t="shared" si="4"/>
        <v>16/01/2018</v>
      </c>
      <c r="Q37" s="68">
        <f t="shared" si="5"/>
        <v>7</v>
      </c>
      <c r="R37" s="68">
        <f t="shared" si="6"/>
        <v>5</v>
      </c>
      <c r="S37" s="68">
        <f t="shared" si="7"/>
        <v>4</v>
      </c>
      <c r="T37" s="65"/>
      <c r="U37" s="65"/>
      <c r="V37" s="49" t="str">
        <f t="shared" si="8"/>
        <v/>
      </c>
      <c r="W37" s="68">
        <f>IF(V37="",0,DATEDIF(V37,P37,"Y"))</f>
        <v>0</v>
      </c>
      <c r="X37" s="68">
        <f>IF(V37="",0,DATEDIF(V37,P37,"YM"))</f>
        <v>0</v>
      </c>
      <c r="Y37" s="68">
        <f>IF(V37="",0,DATEDIF(V37,P37,"MD"))</f>
        <v>0</v>
      </c>
      <c r="Z37" s="49"/>
      <c r="AA37" s="65"/>
      <c r="AB37" s="50" t="str">
        <f t="shared" si="9"/>
        <v/>
      </c>
      <c r="AC37" s="68">
        <f t="shared" si="10"/>
        <v>0</v>
      </c>
      <c r="AD37" s="68">
        <f t="shared" si="11"/>
        <v>0</v>
      </c>
      <c r="AE37" s="68">
        <f t="shared" si="12"/>
        <v>0</v>
      </c>
      <c r="AF37" s="50"/>
      <c r="AG37" s="50" t="s">
        <v>269</v>
      </c>
      <c r="AH37" s="49" t="str">
        <f>IF(AG37="นิติศาสตร์","K5-LAW","K5-POLICY")</f>
        <v>K5-POLICY</v>
      </c>
      <c r="AI37" s="72" t="str">
        <f>_xlfn.IFS(B37="","",AND(AH37="K5-LAW",AG37="นิติศาสตร์",K37="S2",T37="",Z37=""),P37,AND(AH37="K5-LAW",AG37="นิติศาสตร์",K37="S1",T37="",Z37=""),EDATE(P37,12),AND(AH37="K5-LAW",AG37="นิติศาสตร์",OR(K37="M2",K37="K4"),T37="",Z37=""),EDATE(P37,12*2),AND(AH37="K5-LAW",AG37="นิติศาสตร์",OR(Z37="M2",Z37="K4"),AC37&gt;=2,OR(AB37&lt;V37,AB37&lt;P37)),EDATE(AB37,12*2),AND(AH37="K5-LAW",AG37="นิติศาสตร์",Z37="S1",AC37&gt;=1,OR(AB37&lt;V37,AB37&lt;P37)),EDATE(AB37,12),AND(AH37="K5-LAW",AG37="นิติศาสตร์",OR(T37="M2",T37="K4"),W37&gt;=2,V37&lt;P37),EDATE(V37,12*2),AND(AH37="K5-LAW",AG37="นิติศาสตร์",T37="S1",W37&gt;=1,V37&lt;P37),EDATE(V37,12),AND(AH37="K5-LAW",AG37="นิติศาสตร์",OR(T37="S2",T37="K5")),V37,AND(AH37="K5-LAW",AG37="นิติศาสตร์",OR(K37="M2",K37="K4"),Q37&gt;=2),EDATE(P37,12*2),AND(AH37="K5-LAW",AG37="นิติศาสตร์",K37="S1",Q37&gt;=1),EDATE(P37,12),AND(AH37="K5-LAW",AG37="นิติศาสตร์",OR(K37="S2",K37="K5")),P37,AND(AH37="K5-POLICY",AG37&lt;&gt;"นิติศาสตร์",K37="S2",T37="",Z37=""),P37,AND(AH37="K5-POLICY",AG37&lt;&gt;"นิติศาสตร์",K37="S1",T37="",Z37=""),EDATE(P37,12),AND(AH37="K5-POLICY",AG37&lt;&gt;"นิติศาสตร์",OR(K37="M2",K37="K4"),T37="",Z37=""),EDATE(P37,12*2),AND(AH37="K5-POLICY",AG37&lt;&gt;"นิติศาสตร์",OR(Z37="M2",Z37="K4"),AC37&gt;=2,OR(AB37&lt;V37,AB37&lt;P37)),EDATE(AB37,12*2),AND(AH37="K5-POLICY",AG37&lt;&gt;"นิติศาสตร์",Z37="S1",AC37&gt;=1,OR(AB37&lt;V37,AB37&lt;P37)),EDATE(AB37,12),AND(AH37="K5-POLICY",AG37&lt;&gt;"นิติศาสตร์",OR(T37="M2",T37="K4"),W37&gt;=2,V37&lt;P37),EDATE(V37,12*2),AND(AH37="K5-POLICY",AG37&lt;&gt;"นิติศาสตร์",T37="S1",W37&gt;=1,V37&lt;P37),EDATE(V37,12),AND(AH37="K5-POLICY",AG37&lt;&gt;"นิติศาสตร์",OR(T37="S2",T37="K5")),V37,AND(AH37="K5-POLICY",AG37&lt;&gt;"นิติศาสตร์",OR(K37="M2",K37="K4"),Q37&gt;=2),EDATE(P37,12*2),AND(AH37="K5-POLICY",AG37&lt;&gt;"นิติศาสตร์",K37="S1",Q37&gt;=1),EDATE(P37,12),AND(AH37="K5-POLICY",AG37&lt;&gt;"นิติศาสตร์",OR(K37="S2",K37="K5")),P37,TRUE,"Check Data")</f>
        <v/>
      </c>
      <c r="AJ37" s="75" t="str">
        <f t="shared" si="13"/>
        <v>Check Data</v>
      </c>
      <c r="AK37" s="76" t="str">
        <f t="shared" si="14"/>
        <v>Check Data</v>
      </c>
      <c r="AL37" s="50" t="str">
        <f t="shared" si="15"/>
        <v>Check Data</v>
      </c>
      <c r="AM37" s="49" t="str">
        <f>IF(B37="","",IF(K37="S1","S1",INDEX(#REF!,#REF!)))</f>
        <v/>
      </c>
      <c r="AN37" s="49" t="str">
        <f>K37</f>
        <v>M2</v>
      </c>
      <c r="AO37" s="50" t="b">
        <f>K37=AM37</f>
        <v>0</v>
      </c>
      <c r="AP37" s="50"/>
    </row>
    <row r="38" spans="1:42" ht="21.75">
      <c r="A38" s="49">
        <v>36</v>
      </c>
      <c r="B38" s="50"/>
      <c r="C38" s="50"/>
      <c r="D38" s="50" t="s">
        <v>141</v>
      </c>
      <c r="E38" s="49" t="s">
        <v>243</v>
      </c>
      <c r="F38" s="49" t="str">
        <f t="shared" si="0"/>
        <v>03/01/1995</v>
      </c>
      <c r="G38" s="50">
        <f t="shared" si="1"/>
        <v>30</v>
      </c>
      <c r="H38" s="50">
        <f t="shared" si="2"/>
        <v>5</v>
      </c>
      <c r="I38" s="50">
        <f t="shared" si="3"/>
        <v>17</v>
      </c>
      <c r="J38" s="60"/>
      <c r="K38" s="49" t="s">
        <v>136</v>
      </c>
      <c r="L38" s="64"/>
      <c r="M38" s="49" t="s">
        <v>425</v>
      </c>
      <c r="N38" s="49">
        <v>2573</v>
      </c>
      <c r="O38" s="65" t="s">
        <v>242</v>
      </c>
      <c r="P38" s="49" t="str">
        <f t="shared" si="4"/>
        <v>20/04/2018</v>
      </c>
      <c r="Q38" s="68">
        <f t="shared" si="5"/>
        <v>7</v>
      </c>
      <c r="R38" s="68">
        <f t="shared" si="6"/>
        <v>2</v>
      </c>
      <c r="S38" s="68">
        <f t="shared" si="7"/>
        <v>0</v>
      </c>
      <c r="T38" s="65"/>
      <c r="U38" s="65"/>
      <c r="V38" s="49" t="str">
        <f t="shared" si="8"/>
        <v/>
      </c>
      <c r="W38" s="68">
        <f>IF(V38="",0,DATEDIF(V38,P38,"Y"))</f>
        <v>0</v>
      </c>
      <c r="X38" s="68">
        <f>IF(V38="",0,DATEDIF(V38,P38,"YM"))</f>
        <v>0</v>
      </c>
      <c r="Y38" s="68">
        <f>IF(V38="",0,DATEDIF(V38,P38,"MD"))</f>
        <v>0</v>
      </c>
      <c r="Z38" s="49"/>
      <c r="AA38" s="65"/>
      <c r="AB38" s="50" t="str">
        <f t="shared" si="9"/>
        <v/>
      </c>
      <c r="AC38" s="68">
        <f t="shared" si="10"/>
        <v>0</v>
      </c>
      <c r="AD38" s="68">
        <f t="shared" si="11"/>
        <v>0</v>
      </c>
      <c r="AE38" s="68">
        <f t="shared" si="12"/>
        <v>0</v>
      </c>
      <c r="AF38" s="50"/>
      <c r="AG38" s="50" t="s">
        <v>138</v>
      </c>
      <c r="AH38" s="49" t="str">
        <f>IF(AG38="นิติศาสตร์","K5-LAW","K5-POLICY")</f>
        <v>K5-LAW</v>
      </c>
      <c r="AI38" s="72" t="str">
        <f>_xlfn.IFS(B38="","",AND(AH38="K5-LAW",AG38="นิติศาสตร์",K38="S2",T38="",Z38=""),P38,AND(AH38="K5-LAW",AG38="นิติศาสตร์",K38="S1",T38="",Z38=""),EDATE(P38,12),AND(AH38="K5-LAW",AG38="นิติศาสตร์",OR(K38="M2",K38="K4"),T38="",Z38=""),EDATE(P38,12*2),AND(AH38="K5-LAW",AG38="นิติศาสตร์",OR(Z38="M2",Z38="K4"),AC38&gt;=2,OR(AB38&lt;V38,AB38&lt;P38)),EDATE(AB38,12*2),AND(AH38="K5-LAW",AG38="นิติศาสตร์",Z38="S1",AC38&gt;=1,OR(AB38&lt;V38,AB38&lt;P38)),EDATE(AB38,12),AND(AH38="K5-LAW",AG38="นิติศาสตร์",OR(T38="M2",T38="K4"),W38&gt;=2,V38&lt;P38),EDATE(V38,12*2),AND(AH38="K5-LAW",AG38="นิติศาสตร์",T38="S1",W38&gt;=1,V38&lt;P38),EDATE(V38,12),AND(AH38="K5-LAW",AG38="นิติศาสตร์",OR(T38="S2",T38="K5")),V38,AND(AH38="K5-LAW",AG38="นิติศาสตร์",OR(K38="M2",K38="K4"),Q38&gt;=2),EDATE(P38,12*2),AND(AH38="K5-LAW",AG38="นิติศาสตร์",K38="S1",Q38&gt;=1),EDATE(P38,12),AND(AH38="K5-LAW",AG38="นิติศาสตร์",OR(K38="S2",K38="K5")),P38,AND(AH38="K5-POLICY",AG38&lt;&gt;"นิติศาสตร์",K38="S2",T38="",Z38=""),P38,AND(AH38="K5-POLICY",AG38&lt;&gt;"นิติศาสตร์",K38="S1",T38="",Z38=""),EDATE(P38,12),AND(AH38="K5-POLICY",AG38&lt;&gt;"นิติศาสตร์",OR(K38="M2",K38="K4"),T38="",Z38=""),EDATE(P38,12*2),AND(AH38="K5-POLICY",AG38&lt;&gt;"นิติศาสตร์",OR(Z38="M2",Z38="K4"),AC38&gt;=2,OR(AB38&lt;V38,AB38&lt;P38)),EDATE(AB38,12*2),AND(AH38="K5-POLICY",AG38&lt;&gt;"นิติศาสตร์",Z38="S1",AC38&gt;=1,OR(AB38&lt;V38,AB38&lt;P38)),EDATE(AB38,12),AND(AH38="K5-POLICY",AG38&lt;&gt;"นิติศาสตร์",OR(T38="M2",T38="K4"),W38&gt;=2,V38&lt;P38),EDATE(V38,12*2),AND(AH38="K5-POLICY",AG38&lt;&gt;"นิติศาสตร์",T38="S1",W38&gt;=1,V38&lt;P38),EDATE(V38,12),AND(AH38="K5-POLICY",AG38&lt;&gt;"นิติศาสตร์",OR(T38="S2",T38="K5")),V38,AND(AH38="K5-POLICY",AG38&lt;&gt;"นิติศาสตร์",OR(K38="M2",K38="K4"),Q38&gt;=2),EDATE(P38,12*2),AND(AH38="K5-POLICY",AG38&lt;&gt;"นิติศาสตร์",K38="S1",Q38&gt;=1),EDATE(P38,12),AND(AH38="K5-POLICY",AG38&lt;&gt;"นิติศาสตร์",OR(K38="S2",K38="K5")),P38,TRUE,"Check Data")</f>
        <v/>
      </c>
      <c r="AJ38" s="75" t="str">
        <f t="shared" si="13"/>
        <v>Check Data</v>
      </c>
      <c r="AK38" s="76" t="str">
        <f t="shared" si="14"/>
        <v>Check Data</v>
      </c>
      <c r="AL38" s="50" t="str">
        <f t="shared" si="15"/>
        <v>Check Data</v>
      </c>
      <c r="AM38" s="49" t="str">
        <f>IF(B38="","",IF(K38="S1","S1",INDEX(#REF!,#REF!)))</f>
        <v/>
      </c>
      <c r="AN38" s="49" t="str">
        <f>K38</f>
        <v>M2</v>
      </c>
      <c r="AO38" s="50" t="b">
        <f>K38=AM38</f>
        <v>0</v>
      </c>
      <c r="AP38" s="50"/>
    </row>
    <row r="39" spans="1:42" ht="21.75">
      <c r="A39" s="49">
        <v>37</v>
      </c>
      <c r="B39" s="50"/>
      <c r="C39" s="50"/>
      <c r="D39" s="50" t="s">
        <v>139</v>
      </c>
      <c r="E39" s="49" t="s">
        <v>208</v>
      </c>
      <c r="F39" s="49" t="str">
        <f t="shared" si="0"/>
        <v>01/02/1990</v>
      </c>
      <c r="G39" s="50">
        <f t="shared" si="1"/>
        <v>35</v>
      </c>
      <c r="H39" s="50">
        <f t="shared" si="2"/>
        <v>4</v>
      </c>
      <c r="I39" s="50">
        <f t="shared" si="3"/>
        <v>19</v>
      </c>
      <c r="J39" s="56"/>
      <c r="K39" s="49" t="s">
        <v>136</v>
      </c>
      <c r="L39" s="64"/>
      <c r="M39" s="49" t="s">
        <v>425</v>
      </c>
      <c r="N39" s="49">
        <v>2569</v>
      </c>
      <c r="O39" s="65" t="s">
        <v>212</v>
      </c>
      <c r="P39" s="49" t="str">
        <f t="shared" si="4"/>
        <v>18/06/2018</v>
      </c>
      <c r="Q39" s="68">
        <f t="shared" si="5"/>
        <v>7</v>
      </c>
      <c r="R39" s="68">
        <f t="shared" si="6"/>
        <v>0</v>
      </c>
      <c r="S39" s="68">
        <f t="shared" si="7"/>
        <v>2</v>
      </c>
      <c r="T39" s="65"/>
      <c r="U39" s="65"/>
      <c r="V39" s="49" t="str">
        <f t="shared" si="8"/>
        <v/>
      </c>
      <c r="W39" s="68">
        <f>IF(V39="",0,DATEDIF(V39,P39,"Y"))</f>
        <v>0</v>
      </c>
      <c r="X39" s="68">
        <f>IF(V39="",0,DATEDIF(V39,P39,"YM"))</f>
        <v>0</v>
      </c>
      <c r="Y39" s="68">
        <f>IF(V39="",0,DATEDIF(V39,P39,"MD"))</f>
        <v>0</v>
      </c>
      <c r="Z39" s="49"/>
      <c r="AA39" s="65"/>
      <c r="AB39" s="50" t="str">
        <f t="shared" si="9"/>
        <v/>
      </c>
      <c r="AC39" s="68">
        <f t="shared" si="10"/>
        <v>0</v>
      </c>
      <c r="AD39" s="68">
        <f t="shared" si="11"/>
        <v>0</v>
      </c>
      <c r="AE39" s="68">
        <f t="shared" si="12"/>
        <v>0</v>
      </c>
      <c r="AF39" s="50"/>
      <c r="AG39" s="50" t="s">
        <v>167</v>
      </c>
      <c r="AH39" s="49" t="str">
        <f>IF(AG39="นิติศาสตร์","K5-LAW","K5-POLICY")</f>
        <v>K5-POLICY</v>
      </c>
      <c r="AI39" s="72" t="str">
        <f>_xlfn.IFS(B39="","",AND(AH39="K5-LAW",AG39="นิติศาสตร์",K39="S2",T39="",Z39=""),P39,AND(AH39="K5-LAW",AG39="นิติศาสตร์",K39="S1",T39="",Z39=""),EDATE(P39,12),AND(AH39="K5-LAW",AG39="นิติศาสตร์",OR(K39="M2",K39="K4"),T39="",Z39=""),EDATE(P39,12*2),AND(AH39="K5-LAW",AG39="นิติศาสตร์",OR(Z39="M2",Z39="K4"),AC39&gt;=2,OR(AB39&lt;V39,AB39&lt;P39)),EDATE(AB39,12*2),AND(AH39="K5-LAW",AG39="นิติศาสตร์",Z39="S1",AC39&gt;=1,OR(AB39&lt;V39,AB39&lt;P39)),EDATE(AB39,12),AND(AH39="K5-LAW",AG39="นิติศาสตร์",OR(T39="M2",T39="K4"),W39&gt;=2,V39&lt;P39),EDATE(V39,12*2),AND(AH39="K5-LAW",AG39="นิติศาสตร์",T39="S1",W39&gt;=1,V39&lt;P39),EDATE(V39,12),AND(AH39="K5-LAW",AG39="นิติศาสตร์",OR(T39="S2",T39="K5")),V39,AND(AH39="K5-LAW",AG39="นิติศาสตร์",OR(K39="M2",K39="K4"),Q39&gt;=2),EDATE(P39,12*2),AND(AH39="K5-LAW",AG39="นิติศาสตร์",K39="S1",Q39&gt;=1),EDATE(P39,12),AND(AH39="K5-LAW",AG39="นิติศาสตร์",OR(K39="S2",K39="K5")),P39,AND(AH39="K5-POLICY",AG39&lt;&gt;"นิติศาสตร์",K39="S2",T39="",Z39=""),P39,AND(AH39="K5-POLICY",AG39&lt;&gt;"นิติศาสตร์",K39="S1",T39="",Z39=""),EDATE(P39,12),AND(AH39="K5-POLICY",AG39&lt;&gt;"นิติศาสตร์",OR(K39="M2",K39="K4"),T39="",Z39=""),EDATE(P39,12*2),AND(AH39="K5-POLICY",AG39&lt;&gt;"นิติศาสตร์",OR(Z39="M2",Z39="K4"),AC39&gt;=2,OR(AB39&lt;V39,AB39&lt;P39)),EDATE(AB39,12*2),AND(AH39="K5-POLICY",AG39&lt;&gt;"นิติศาสตร์",Z39="S1",AC39&gt;=1,OR(AB39&lt;V39,AB39&lt;P39)),EDATE(AB39,12),AND(AH39="K5-POLICY",AG39&lt;&gt;"นิติศาสตร์",OR(T39="M2",T39="K4"),W39&gt;=2,V39&lt;P39),EDATE(V39,12*2),AND(AH39="K5-POLICY",AG39&lt;&gt;"นิติศาสตร์",T39="S1",W39&gt;=1,V39&lt;P39),EDATE(V39,12),AND(AH39="K5-POLICY",AG39&lt;&gt;"นิติศาสตร์",OR(T39="S2",T39="K5")),V39,AND(AH39="K5-POLICY",AG39&lt;&gt;"นิติศาสตร์",OR(K39="M2",K39="K4"),Q39&gt;=2),EDATE(P39,12*2),AND(AH39="K5-POLICY",AG39&lt;&gt;"นิติศาสตร์",K39="S1",Q39&gt;=1),EDATE(P39,12),AND(AH39="K5-POLICY",AG39&lt;&gt;"นิติศาสตร์",OR(K39="S2",K39="K5")),P39,TRUE,"Check Data")</f>
        <v/>
      </c>
      <c r="AJ39" s="75" t="str">
        <f t="shared" si="13"/>
        <v>Check Data</v>
      </c>
      <c r="AK39" s="76" t="str">
        <f t="shared" si="14"/>
        <v>Check Data</v>
      </c>
      <c r="AL39" s="50" t="str">
        <f t="shared" si="15"/>
        <v>Check Data</v>
      </c>
      <c r="AM39" s="49" t="str">
        <f>IF(B39="","",IF(K39="S1","S1",INDEX(#REF!,#REF!)))</f>
        <v/>
      </c>
      <c r="AN39" s="49" t="str">
        <f>K39</f>
        <v>M2</v>
      </c>
      <c r="AO39" s="50" t="b">
        <f>K39=AM39</f>
        <v>0</v>
      </c>
      <c r="AP39" s="50"/>
    </row>
    <row r="40" spans="1:42" ht="21.75">
      <c r="A40" s="49">
        <v>38</v>
      </c>
      <c r="B40" s="50"/>
      <c r="C40" s="50"/>
      <c r="D40" s="50" t="s">
        <v>141</v>
      </c>
      <c r="E40" s="49" t="s">
        <v>244</v>
      </c>
      <c r="F40" s="49" t="str">
        <f t="shared" si="0"/>
        <v>02/01/1992</v>
      </c>
      <c r="G40" s="50">
        <f t="shared" si="1"/>
        <v>33</v>
      </c>
      <c r="H40" s="50">
        <f t="shared" si="2"/>
        <v>5</v>
      </c>
      <c r="I40" s="50">
        <f t="shared" si="3"/>
        <v>18</v>
      </c>
      <c r="J40" s="60"/>
      <c r="K40" s="49" t="s">
        <v>136</v>
      </c>
      <c r="L40" s="64"/>
      <c r="M40" s="49" t="s">
        <v>425</v>
      </c>
      <c r="N40" s="49">
        <v>2570</v>
      </c>
      <c r="O40" s="65" t="s">
        <v>245</v>
      </c>
      <c r="P40" s="49" t="str">
        <f t="shared" si="4"/>
        <v>19/07/2018</v>
      </c>
      <c r="Q40" s="68">
        <f t="shared" si="5"/>
        <v>6</v>
      </c>
      <c r="R40" s="68">
        <f t="shared" si="6"/>
        <v>11</v>
      </c>
      <c r="S40" s="68">
        <f t="shared" si="7"/>
        <v>1</v>
      </c>
      <c r="T40" s="65"/>
      <c r="U40" s="65"/>
      <c r="V40" s="49" t="str">
        <f t="shared" si="8"/>
        <v/>
      </c>
      <c r="W40" s="68">
        <f>IF(V40="",0,DATEDIF(V40,P40,"Y"))</f>
        <v>0</v>
      </c>
      <c r="X40" s="68">
        <f>IF(V40="",0,DATEDIF(V40,P40,"YM"))</f>
        <v>0</v>
      </c>
      <c r="Y40" s="68">
        <f>IF(V40="",0,DATEDIF(V40,P40,"MD"))</f>
        <v>0</v>
      </c>
      <c r="Z40" s="49"/>
      <c r="AA40" s="65"/>
      <c r="AB40" s="50" t="str">
        <f t="shared" si="9"/>
        <v/>
      </c>
      <c r="AC40" s="68">
        <f t="shared" si="10"/>
        <v>0</v>
      </c>
      <c r="AD40" s="68">
        <f t="shared" si="11"/>
        <v>0</v>
      </c>
      <c r="AE40" s="68">
        <f t="shared" si="12"/>
        <v>0</v>
      </c>
      <c r="AF40" s="50"/>
      <c r="AG40" s="50" t="s">
        <v>138</v>
      </c>
      <c r="AH40" s="49" t="str">
        <f>IF(AG40="นิติศาสตร์","K5-LAW","K5-POLICY")</f>
        <v>K5-LAW</v>
      </c>
      <c r="AI40" s="72" t="str">
        <f>_xlfn.IFS(B40="","",AND(AH40="K5-LAW",AG40="นิติศาสตร์",K40="S2",T40="",Z40=""),P40,AND(AH40="K5-LAW",AG40="นิติศาสตร์",K40="S1",T40="",Z40=""),EDATE(P40,12),AND(AH40="K5-LAW",AG40="นิติศาสตร์",OR(K40="M2",K40="K4"),T40="",Z40=""),EDATE(P40,12*2),AND(AH40="K5-LAW",AG40="นิติศาสตร์",OR(Z40="M2",Z40="K4"),AC40&gt;=2,OR(AB40&lt;V40,AB40&lt;P40)),EDATE(AB40,12*2),AND(AH40="K5-LAW",AG40="นิติศาสตร์",Z40="S1",AC40&gt;=1,OR(AB40&lt;V40,AB40&lt;P40)),EDATE(AB40,12),AND(AH40="K5-LAW",AG40="นิติศาสตร์",OR(T40="M2",T40="K4"),W40&gt;=2,V40&lt;P40),EDATE(V40,12*2),AND(AH40="K5-LAW",AG40="นิติศาสตร์",T40="S1",W40&gt;=1,V40&lt;P40),EDATE(V40,12),AND(AH40="K5-LAW",AG40="นิติศาสตร์",OR(T40="S2",T40="K5")),V40,AND(AH40="K5-LAW",AG40="นิติศาสตร์",OR(K40="M2",K40="K4"),Q40&gt;=2),EDATE(P40,12*2),AND(AH40="K5-LAW",AG40="นิติศาสตร์",K40="S1",Q40&gt;=1),EDATE(P40,12),AND(AH40="K5-LAW",AG40="นิติศาสตร์",OR(K40="S2",K40="K5")),P40,AND(AH40="K5-POLICY",AG40&lt;&gt;"นิติศาสตร์",K40="S2",T40="",Z40=""),P40,AND(AH40="K5-POLICY",AG40&lt;&gt;"นิติศาสตร์",K40="S1",T40="",Z40=""),EDATE(P40,12),AND(AH40="K5-POLICY",AG40&lt;&gt;"นิติศาสตร์",OR(K40="M2",K40="K4"),T40="",Z40=""),EDATE(P40,12*2),AND(AH40="K5-POLICY",AG40&lt;&gt;"นิติศาสตร์",OR(Z40="M2",Z40="K4"),AC40&gt;=2,OR(AB40&lt;V40,AB40&lt;P40)),EDATE(AB40,12*2),AND(AH40="K5-POLICY",AG40&lt;&gt;"นิติศาสตร์",Z40="S1",AC40&gt;=1,OR(AB40&lt;V40,AB40&lt;P40)),EDATE(AB40,12),AND(AH40="K5-POLICY",AG40&lt;&gt;"นิติศาสตร์",OR(T40="M2",T40="K4"),W40&gt;=2,V40&lt;P40),EDATE(V40,12*2),AND(AH40="K5-POLICY",AG40&lt;&gt;"นิติศาสตร์",T40="S1",W40&gt;=1,V40&lt;P40),EDATE(V40,12),AND(AH40="K5-POLICY",AG40&lt;&gt;"นิติศาสตร์",OR(T40="S2",T40="K5")),V40,AND(AH40="K5-POLICY",AG40&lt;&gt;"นิติศาสตร์",OR(K40="M2",K40="K4"),Q40&gt;=2),EDATE(P40,12*2),AND(AH40="K5-POLICY",AG40&lt;&gt;"นิติศาสตร์",K40="S1",Q40&gt;=1),EDATE(P40,12),AND(AH40="K5-POLICY",AG40&lt;&gt;"นิติศาสตร์",OR(K40="S2",K40="K5")),P40,TRUE,"Check Data")</f>
        <v/>
      </c>
      <c r="AJ40" s="75" t="str">
        <f t="shared" si="13"/>
        <v>Check Data</v>
      </c>
      <c r="AK40" s="76" t="str">
        <f t="shared" si="14"/>
        <v>Check Data</v>
      </c>
      <c r="AL40" s="50" t="str">
        <f t="shared" si="15"/>
        <v>Check Data</v>
      </c>
      <c r="AM40" s="49" t="str">
        <f>IF(B40="","",IF(K40="S1","S1",INDEX(#REF!,#REF!)))</f>
        <v/>
      </c>
      <c r="AN40" s="49" t="str">
        <f>K40</f>
        <v>M2</v>
      </c>
      <c r="AO40" s="50" t="b">
        <f>K40=AM40</f>
        <v>0</v>
      </c>
      <c r="AP40" s="50"/>
    </row>
    <row r="41" spans="1:42" ht="21.75">
      <c r="A41" s="49">
        <v>39</v>
      </c>
      <c r="B41" s="50"/>
      <c r="C41" s="53"/>
      <c r="D41" s="50" t="s">
        <v>141</v>
      </c>
      <c r="E41" s="49" t="s">
        <v>246</v>
      </c>
      <c r="F41" s="49" t="str">
        <f t="shared" si="0"/>
        <v>13/06/1994</v>
      </c>
      <c r="G41" s="50">
        <f t="shared" si="1"/>
        <v>31</v>
      </c>
      <c r="H41" s="50">
        <f t="shared" si="2"/>
        <v>0</v>
      </c>
      <c r="I41" s="50">
        <f t="shared" si="3"/>
        <v>7</v>
      </c>
      <c r="J41" s="60"/>
      <c r="K41" s="49" t="s">
        <v>136</v>
      </c>
      <c r="L41" s="64"/>
      <c r="M41" s="49" t="s">
        <v>425</v>
      </c>
      <c r="N41" s="49">
        <v>2569</v>
      </c>
      <c r="O41" s="65" t="s">
        <v>247</v>
      </c>
      <c r="P41" s="49" t="str">
        <f t="shared" si="4"/>
        <v>12/11/2018</v>
      </c>
      <c r="Q41" s="68">
        <f t="shared" si="5"/>
        <v>6</v>
      </c>
      <c r="R41" s="68">
        <f t="shared" si="6"/>
        <v>7</v>
      </c>
      <c r="S41" s="68">
        <f t="shared" si="7"/>
        <v>8</v>
      </c>
      <c r="T41" s="65"/>
      <c r="U41" s="65"/>
      <c r="V41" s="49" t="str">
        <f t="shared" si="8"/>
        <v/>
      </c>
      <c r="W41" s="68">
        <f>IF(V41="",0,DATEDIF(V41,P41,"Y"))</f>
        <v>0</v>
      </c>
      <c r="X41" s="68">
        <f>IF(V41="",0,DATEDIF(V41,P41,"YM"))</f>
        <v>0</v>
      </c>
      <c r="Y41" s="68">
        <f>IF(V41="",0,DATEDIF(V41,P41,"MD"))</f>
        <v>0</v>
      </c>
      <c r="Z41" s="49"/>
      <c r="AA41" s="65"/>
      <c r="AB41" s="50" t="str">
        <f t="shared" si="9"/>
        <v/>
      </c>
      <c r="AC41" s="68">
        <f t="shared" si="10"/>
        <v>0</v>
      </c>
      <c r="AD41" s="68">
        <f t="shared" si="11"/>
        <v>0</v>
      </c>
      <c r="AE41" s="68">
        <f t="shared" si="12"/>
        <v>0</v>
      </c>
      <c r="AF41" s="50"/>
      <c r="AG41" s="50" t="s">
        <v>138</v>
      </c>
      <c r="AH41" s="49" t="str">
        <f>IF(AG41="นิติศาสตร์","K5-LAW","K5-POLICY")</f>
        <v>K5-LAW</v>
      </c>
      <c r="AI41" s="72" t="str">
        <f>_xlfn.IFS(B41="","",AND(AH41="K5-LAW",AG41="นิติศาสตร์",K41="S2",T41="",Z41=""),P41,AND(AH41="K5-LAW",AG41="นิติศาสตร์",K41="S1",T41="",Z41=""),EDATE(P41,12),AND(AH41="K5-LAW",AG41="นิติศาสตร์",OR(K41="M2",K41="K4"),T41="",Z41=""),EDATE(P41,12*2),AND(AH41="K5-LAW",AG41="นิติศาสตร์",OR(Z41="M2",Z41="K4"),AC41&gt;=2,OR(AB41&lt;V41,AB41&lt;P41)),EDATE(AB41,12*2),AND(AH41="K5-LAW",AG41="นิติศาสตร์",Z41="S1",AC41&gt;=1,OR(AB41&lt;V41,AB41&lt;P41)),EDATE(AB41,12),AND(AH41="K5-LAW",AG41="นิติศาสตร์",OR(T41="M2",T41="K4"),W41&gt;=2,V41&lt;P41),EDATE(V41,12*2),AND(AH41="K5-LAW",AG41="นิติศาสตร์",T41="S1",W41&gt;=1,V41&lt;P41),EDATE(V41,12),AND(AH41="K5-LAW",AG41="นิติศาสตร์",OR(T41="S2",T41="K5")),V41,AND(AH41="K5-LAW",AG41="นิติศาสตร์",OR(K41="M2",K41="K4"),Q41&gt;=2),EDATE(P41,12*2),AND(AH41="K5-LAW",AG41="นิติศาสตร์",K41="S1",Q41&gt;=1),EDATE(P41,12),AND(AH41="K5-LAW",AG41="นิติศาสตร์",OR(K41="S2",K41="K5")),P41,AND(AH41="K5-POLICY",AG41&lt;&gt;"นิติศาสตร์",K41="S2",T41="",Z41=""),P41,AND(AH41="K5-POLICY",AG41&lt;&gt;"นิติศาสตร์",K41="S1",T41="",Z41=""),EDATE(P41,12),AND(AH41="K5-POLICY",AG41&lt;&gt;"นิติศาสตร์",OR(K41="M2",K41="K4"),T41="",Z41=""),EDATE(P41,12*2),AND(AH41="K5-POLICY",AG41&lt;&gt;"นิติศาสตร์",OR(Z41="M2",Z41="K4"),AC41&gt;=2,OR(AB41&lt;V41,AB41&lt;P41)),EDATE(AB41,12*2),AND(AH41="K5-POLICY",AG41&lt;&gt;"นิติศาสตร์",Z41="S1",AC41&gt;=1,OR(AB41&lt;V41,AB41&lt;P41)),EDATE(AB41,12),AND(AH41="K5-POLICY",AG41&lt;&gt;"นิติศาสตร์",OR(T41="M2",T41="K4"),W41&gt;=2,V41&lt;P41),EDATE(V41,12*2),AND(AH41="K5-POLICY",AG41&lt;&gt;"นิติศาสตร์",T41="S1",W41&gt;=1,V41&lt;P41),EDATE(V41,12),AND(AH41="K5-POLICY",AG41&lt;&gt;"นิติศาสตร์",OR(T41="S2",T41="K5")),V41,AND(AH41="K5-POLICY",AG41&lt;&gt;"นิติศาสตร์",OR(K41="M2",K41="K4"),Q41&gt;=2),EDATE(P41,12*2),AND(AH41="K5-POLICY",AG41&lt;&gt;"นิติศาสตร์",K41="S1",Q41&gt;=1),EDATE(P41,12),AND(AH41="K5-POLICY",AG41&lt;&gt;"นิติศาสตร์",OR(K41="S2",K41="K5")),P41,TRUE,"Check Data")</f>
        <v/>
      </c>
      <c r="AJ41" s="75" t="str">
        <f t="shared" si="13"/>
        <v>Check Data</v>
      </c>
      <c r="AK41" s="76" t="str">
        <f t="shared" si="14"/>
        <v>Check Data</v>
      </c>
      <c r="AL41" s="50" t="str">
        <f t="shared" si="15"/>
        <v>Check Data</v>
      </c>
      <c r="AM41" s="49" t="str">
        <f>IF(B41="","",IF(K41="S1","S1",INDEX(#REF!,#REF!)))</f>
        <v/>
      </c>
      <c r="AN41" s="49" t="str">
        <f>K41</f>
        <v>M2</v>
      </c>
      <c r="AO41" s="50" t="b">
        <f>K41=AM41</f>
        <v>0</v>
      </c>
      <c r="AP41" s="50"/>
    </row>
    <row r="42" spans="1:42" ht="21.75">
      <c r="A42" s="49">
        <v>40</v>
      </c>
      <c r="B42" s="50"/>
      <c r="C42" s="50"/>
      <c r="D42" s="50" t="s">
        <v>139</v>
      </c>
      <c r="E42" s="49" t="s">
        <v>236</v>
      </c>
      <c r="F42" s="49" t="str">
        <f t="shared" si="0"/>
        <v>09/04/1990</v>
      </c>
      <c r="G42" s="50">
        <f t="shared" si="1"/>
        <v>35</v>
      </c>
      <c r="H42" s="50">
        <f t="shared" si="2"/>
        <v>2</v>
      </c>
      <c r="I42" s="50">
        <f t="shared" si="3"/>
        <v>11</v>
      </c>
      <c r="J42" s="56"/>
      <c r="K42" s="49" t="s">
        <v>136</v>
      </c>
      <c r="L42" s="64"/>
      <c r="M42" s="49" t="s">
        <v>427</v>
      </c>
      <c r="N42" s="49">
        <v>2569</v>
      </c>
      <c r="O42" s="65" t="s">
        <v>237</v>
      </c>
      <c r="P42" s="49" t="str">
        <f t="shared" si="4"/>
        <v>27/11/2018</v>
      </c>
      <c r="Q42" s="68">
        <f t="shared" si="5"/>
        <v>6</v>
      </c>
      <c r="R42" s="68">
        <f t="shared" si="6"/>
        <v>6</v>
      </c>
      <c r="S42" s="68">
        <f t="shared" si="7"/>
        <v>24</v>
      </c>
      <c r="T42" s="65"/>
      <c r="U42" s="65"/>
      <c r="V42" s="49" t="str">
        <f t="shared" si="8"/>
        <v/>
      </c>
      <c r="W42" s="68">
        <f>IF(V42="",0,DATEDIF(V42,P42,"Y"))</f>
        <v>0</v>
      </c>
      <c r="X42" s="68">
        <f>IF(V42="",0,DATEDIF(V42,P42,"YM"))</f>
        <v>0</v>
      </c>
      <c r="Y42" s="68">
        <f>IF(V42="",0,DATEDIF(V42,P42,"MD"))</f>
        <v>0</v>
      </c>
      <c r="Z42" s="49"/>
      <c r="AA42" s="65"/>
      <c r="AB42" s="50" t="str">
        <f t="shared" si="9"/>
        <v/>
      </c>
      <c r="AC42" s="68">
        <f t="shared" si="10"/>
        <v>0</v>
      </c>
      <c r="AD42" s="68">
        <f t="shared" si="11"/>
        <v>0</v>
      </c>
      <c r="AE42" s="68">
        <f t="shared" si="12"/>
        <v>0</v>
      </c>
      <c r="AF42" s="50"/>
      <c r="AG42" s="50" t="s">
        <v>138</v>
      </c>
      <c r="AH42" s="49" t="str">
        <f>IF(AG42="นิติศาสตร์","K5-LAW","K5-POLICY")</f>
        <v>K5-LAW</v>
      </c>
      <c r="AI42" s="72" t="str">
        <f>_xlfn.IFS(B42="","",AND(AH42="K5-LAW",AG42="นิติศาสตร์",K42="S2",T42="",Z42=""),P42,AND(AH42="K5-LAW",AG42="นิติศาสตร์",K42="S1",T42="",Z42=""),EDATE(P42,12),AND(AH42="K5-LAW",AG42="นิติศาสตร์",OR(K42="M2",K42="K4"),T42="",Z42=""),EDATE(P42,12*2),AND(AH42="K5-LAW",AG42="นิติศาสตร์",OR(Z42="M2",Z42="K4"),AC42&gt;=2,OR(AB42&lt;V42,AB42&lt;P42)),EDATE(AB42,12*2),AND(AH42="K5-LAW",AG42="นิติศาสตร์",Z42="S1",AC42&gt;=1,OR(AB42&lt;V42,AB42&lt;P42)),EDATE(AB42,12),AND(AH42="K5-LAW",AG42="นิติศาสตร์",OR(T42="M2",T42="K4"),W42&gt;=2,V42&lt;P42),EDATE(V42,12*2),AND(AH42="K5-LAW",AG42="นิติศาสตร์",T42="S1",W42&gt;=1,V42&lt;P42),EDATE(V42,12),AND(AH42="K5-LAW",AG42="นิติศาสตร์",OR(T42="S2",T42="K5")),V42,AND(AH42="K5-LAW",AG42="นิติศาสตร์",OR(K42="M2",K42="K4"),Q42&gt;=2),EDATE(P42,12*2),AND(AH42="K5-LAW",AG42="นิติศาสตร์",K42="S1",Q42&gt;=1),EDATE(P42,12),AND(AH42="K5-LAW",AG42="นิติศาสตร์",OR(K42="S2",K42="K5")),P42,AND(AH42="K5-POLICY",AG42&lt;&gt;"นิติศาสตร์",K42="S2",T42="",Z42=""),P42,AND(AH42="K5-POLICY",AG42&lt;&gt;"นิติศาสตร์",K42="S1",T42="",Z42=""),EDATE(P42,12),AND(AH42="K5-POLICY",AG42&lt;&gt;"นิติศาสตร์",OR(K42="M2",K42="K4"),T42="",Z42=""),EDATE(P42,12*2),AND(AH42="K5-POLICY",AG42&lt;&gt;"นิติศาสตร์",OR(Z42="M2",Z42="K4"),AC42&gt;=2,OR(AB42&lt;V42,AB42&lt;P42)),EDATE(AB42,12*2),AND(AH42="K5-POLICY",AG42&lt;&gt;"นิติศาสตร์",Z42="S1",AC42&gt;=1,OR(AB42&lt;V42,AB42&lt;P42)),EDATE(AB42,12),AND(AH42="K5-POLICY",AG42&lt;&gt;"นิติศาสตร์",OR(T42="M2",T42="K4"),W42&gt;=2,V42&lt;P42),EDATE(V42,12*2),AND(AH42="K5-POLICY",AG42&lt;&gt;"นิติศาสตร์",T42="S1",W42&gt;=1,V42&lt;P42),EDATE(V42,12),AND(AH42="K5-POLICY",AG42&lt;&gt;"นิติศาสตร์",OR(T42="S2",T42="K5")),V42,AND(AH42="K5-POLICY",AG42&lt;&gt;"นิติศาสตร์",OR(K42="M2",K42="K4"),Q42&gt;=2),EDATE(P42,12*2),AND(AH42="K5-POLICY",AG42&lt;&gt;"นิติศาสตร์",K42="S1",Q42&gt;=1),EDATE(P42,12),AND(AH42="K5-POLICY",AG42&lt;&gt;"นิติศาสตร์",OR(K42="S2",K42="K5")),P42,TRUE,"Check Data")</f>
        <v/>
      </c>
      <c r="AJ42" s="75" t="str">
        <f t="shared" si="13"/>
        <v>Check Data</v>
      </c>
      <c r="AK42" s="76" t="str">
        <f t="shared" si="14"/>
        <v>Check Data</v>
      </c>
      <c r="AL42" s="50" t="str">
        <f t="shared" si="15"/>
        <v>Check Data</v>
      </c>
      <c r="AM42" s="49" t="str">
        <f>IF(B42="","",IF(K42="S1","S1",INDEX(#REF!,#REF!)))</f>
        <v/>
      </c>
      <c r="AN42" s="49" t="str">
        <f>K42</f>
        <v>M2</v>
      </c>
      <c r="AO42" s="50" t="b">
        <f>K42=AM42</f>
        <v>0</v>
      </c>
      <c r="AP42" s="50"/>
    </row>
    <row r="43" spans="1:42" ht="21.75">
      <c r="A43" s="49">
        <v>41</v>
      </c>
      <c r="B43" s="50"/>
      <c r="C43" s="54"/>
      <c r="D43" s="50" t="s">
        <v>511</v>
      </c>
      <c r="E43" s="49" t="s">
        <v>187</v>
      </c>
      <c r="F43" s="49" t="str">
        <f t="shared" si="0"/>
        <v>01/08/1990</v>
      </c>
      <c r="G43" s="50">
        <f t="shared" si="1"/>
        <v>34</v>
      </c>
      <c r="H43" s="50">
        <f t="shared" si="2"/>
        <v>10</v>
      </c>
      <c r="I43" s="50">
        <f t="shared" si="3"/>
        <v>19</v>
      </c>
      <c r="J43" s="56"/>
      <c r="K43" s="49" t="s">
        <v>136</v>
      </c>
      <c r="L43" s="64"/>
      <c r="M43" s="49" t="s">
        <v>427</v>
      </c>
      <c r="N43" s="49">
        <v>2568</v>
      </c>
      <c r="O43" s="65" t="s">
        <v>237</v>
      </c>
      <c r="P43" s="49" t="str">
        <f t="shared" si="4"/>
        <v>27/11/2018</v>
      </c>
      <c r="Q43" s="68">
        <f t="shared" si="5"/>
        <v>6</v>
      </c>
      <c r="R43" s="68">
        <f t="shared" si="6"/>
        <v>6</v>
      </c>
      <c r="S43" s="68">
        <f t="shared" si="7"/>
        <v>24</v>
      </c>
      <c r="T43" s="65"/>
      <c r="U43" s="65"/>
      <c r="V43" s="49" t="str">
        <f t="shared" si="8"/>
        <v/>
      </c>
      <c r="W43" s="68">
        <f>IF(V43="",0,DATEDIF(V43,P43,"Y"))</f>
        <v>0</v>
      </c>
      <c r="X43" s="68">
        <f>IF(V43="",0,DATEDIF(V43,P43,"YM"))</f>
        <v>0</v>
      </c>
      <c r="Y43" s="68">
        <f>IF(V43="",0,DATEDIF(V43,P43,"MD"))</f>
        <v>0</v>
      </c>
      <c r="Z43" s="49"/>
      <c r="AA43" s="65"/>
      <c r="AB43" s="50" t="str">
        <f t="shared" si="9"/>
        <v/>
      </c>
      <c r="AC43" s="68">
        <f t="shared" si="10"/>
        <v>0</v>
      </c>
      <c r="AD43" s="68">
        <f t="shared" si="11"/>
        <v>0</v>
      </c>
      <c r="AE43" s="68">
        <f t="shared" si="12"/>
        <v>0</v>
      </c>
      <c r="AF43" s="50"/>
      <c r="AG43" s="50" t="s">
        <v>165</v>
      </c>
      <c r="AH43" s="49" t="str">
        <f>IF(AG43="นิติศาสตร์","K5-LAW","K5-POLICY")</f>
        <v>K5-POLICY</v>
      </c>
      <c r="AI43" s="72" t="str">
        <f>_xlfn.IFS(B43="","",AND(AH43="K5-LAW",AG43="นิติศาสตร์",K43="S2",T43="",Z43=""),P43,AND(AH43="K5-LAW",AG43="นิติศาสตร์",K43="S1",T43="",Z43=""),EDATE(P43,12),AND(AH43="K5-LAW",AG43="นิติศาสตร์",OR(K43="M2",K43="K4"),T43="",Z43=""),EDATE(P43,12*2),AND(AH43="K5-LAW",AG43="นิติศาสตร์",OR(Z43="M2",Z43="K4"),AC43&gt;=2,OR(AB43&lt;V43,AB43&lt;P43)),EDATE(AB43,12*2),AND(AH43="K5-LAW",AG43="นิติศาสตร์",Z43="S1",AC43&gt;=1,OR(AB43&lt;V43,AB43&lt;P43)),EDATE(AB43,12),AND(AH43="K5-LAW",AG43="นิติศาสตร์",OR(T43="M2",T43="K4"),W43&gt;=2,V43&lt;P43),EDATE(V43,12*2),AND(AH43="K5-LAW",AG43="นิติศาสตร์",T43="S1",W43&gt;=1,V43&lt;P43),EDATE(V43,12),AND(AH43="K5-LAW",AG43="นิติศาสตร์",OR(T43="S2",T43="K5")),V43,AND(AH43="K5-LAW",AG43="นิติศาสตร์",OR(K43="M2",K43="K4"),Q43&gt;=2),EDATE(P43,12*2),AND(AH43="K5-LAW",AG43="นิติศาสตร์",K43="S1",Q43&gt;=1),EDATE(P43,12),AND(AH43="K5-LAW",AG43="นิติศาสตร์",OR(K43="S2",K43="K5")),P43,AND(AH43="K5-POLICY",AG43&lt;&gt;"นิติศาสตร์",K43="S2",T43="",Z43=""),P43,AND(AH43="K5-POLICY",AG43&lt;&gt;"นิติศาสตร์",K43="S1",T43="",Z43=""),EDATE(P43,12),AND(AH43="K5-POLICY",AG43&lt;&gt;"นิติศาสตร์",OR(K43="M2",K43="K4"),T43="",Z43=""),EDATE(P43,12*2),AND(AH43="K5-POLICY",AG43&lt;&gt;"นิติศาสตร์",OR(Z43="M2",Z43="K4"),AC43&gt;=2,OR(AB43&lt;V43,AB43&lt;P43)),EDATE(AB43,12*2),AND(AH43="K5-POLICY",AG43&lt;&gt;"นิติศาสตร์",Z43="S1",AC43&gt;=1,OR(AB43&lt;V43,AB43&lt;P43)),EDATE(AB43,12),AND(AH43="K5-POLICY",AG43&lt;&gt;"นิติศาสตร์",OR(T43="M2",T43="K4"),W43&gt;=2,V43&lt;P43),EDATE(V43,12*2),AND(AH43="K5-POLICY",AG43&lt;&gt;"นิติศาสตร์",T43="S1",W43&gt;=1,V43&lt;P43),EDATE(V43,12),AND(AH43="K5-POLICY",AG43&lt;&gt;"นิติศาสตร์",OR(T43="S2",T43="K5")),V43,AND(AH43="K5-POLICY",AG43&lt;&gt;"นิติศาสตร์",OR(K43="M2",K43="K4"),Q43&gt;=2),EDATE(P43,12*2),AND(AH43="K5-POLICY",AG43&lt;&gt;"นิติศาสตร์",K43="S1",Q43&gt;=1),EDATE(P43,12),AND(AH43="K5-POLICY",AG43&lt;&gt;"นิติศาสตร์",OR(K43="S2",K43="K5")),P43,TRUE,"Check Data")</f>
        <v/>
      </c>
      <c r="AJ43" s="75" t="str">
        <f t="shared" si="13"/>
        <v>Check Data</v>
      </c>
      <c r="AK43" s="76" t="str">
        <f t="shared" si="14"/>
        <v>Check Data</v>
      </c>
      <c r="AL43" s="50" t="str">
        <f t="shared" si="15"/>
        <v>Check Data</v>
      </c>
      <c r="AM43" s="49" t="str">
        <f>IF(B43="","",IF(K43="S1","S1",INDEX(#REF!,#REF!)))</f>
        <v/>
      </c>
      <c r="AN43" s="49" t="str">
        <f>K43</f>
        <v>M2</v>
      </c>
      <c r="AO43" s="50" t="b">
        <f>K43=AM43</f>
        <v>0</v>
      </c>
      <c r="AP43" s="50"/>
    </row>
    <row r="44" spans="1:42" ht="21.75">
      <c r="A44" s="49">
        <v>42</v>
      </c>
      <c r="B44" s="50"/>
      <c r="C44" s="50"/>
      <c r="D44" s="50" t="s">
        <v>143</v>
      </c>
      <c r="E44" s="49" t="s">
        <v>331</v>
      </c>
      <c r="F44" s="49" t="str">
        <f t="shared" si="0"/>
        <v>01/04/1986</v>
      </c>
      <c r="G44" s="50">
        <f t="shared" si="1"/>
        <v>39</v>
      </c>
      <c r="H44" s="50">
        <f t="shared" si="2"/>
        <v>2</v>
      </c>
      <c r="I44" s="50">
        <f t="shared" si="3"/>
        <v>19</v>
      </c>
      <c r="J44" s="59"/>
      <c r="K44" s="49" t="s">
        <v>136</v>
      </c>
      <c r="L44" s="64"/>
      <c r="M44" s="49" t="s">
        <v>425</v>
      </c>
      <c r="N44" s="49">
        <v>2569</v>
      </c>
      <c r="O44" s="65" t="s">
        <v>301</v>
      </c>
      <c r="P44" s="49" t="str">
        <f t="shared" si="4"/>
        <v>29/11/2018</v>
      </c>
      <c r="Q44" s="68">
        <f t="shared" si="5"/>
        <v>6</v>
      </c>
      <c r="R44" s="68">
        <f t="shared" si="6"/>
        <v>6</v>
      </c>
      <c r="S44" s="68">
        <f t="shared" si="7"/>
        <v>22</v>
      </c>
      <c r="T44" s="65"/>
      <c r="U44" s="65"/>
      <c r="V44" s="49" t="str">
        <f t="shared" si="8"/>
        <v/>
      </c>
      <c r="W44" s="68">
        <f>IF(V44="",0,DATEDIF(V44,P44,"Y"))</f>
        <v>0</v>
      </c>
      <c r="X44" s="68">
        <f>IF(V44="",0,DATEDIF(V44,P44,"YM"))</f>
        <v>0</v>
      </c>
      <c r="Y44" s="68">
        <f>IF(V44="",0,DATEDIF(V44,P44,"MD"))</f>
        <v>0</v>
      </c>
      <c r="Z44" s="49"/>
      <c r="AA44" s="65"/>
      <c r="AB44" s="50" t="str">
        <f t="shared" si="9"/>
        <v/>
      </c>
      <c r="AC44" s="68">
        <f t="shared" si="10"/>
        <v>0</v>
      </c>
      <c r="AD44" s="68">
        <f t="shared" si="11"/>
        <v>0</v>
      </c>
      <c r="AE44" s="68">
        <f t="shared" si="12"/>
        <v>0</v>
      </c>
      <c r="AF44" s="50"/>
      <c r="AG44" s="50" t="s">
        <v>285</v>
      </c>
      <c r="AH44" s="49" t="str">
        <f>IF(AG44="นิติศาสตร์","K5-LAW","K5-POLICY")</f>
        <v>K5-POLICY</v>
      </c>
      <c r="AI44" s="72" t="str">
        <f>_xlfn.IFS(B44="","",AND(AH44="K5-LAW",AG44="นิติศาสตร์",K44="S2",T44="",Z44=""),P44,AND(AH44="K5-LAW",AG44="นิติศาสตร์",K44="S1",T44="",Z44=""),EDATE(P44,12),AND(AH44="K5-LAW",AG44="นิติศาสตร์",OR(K44="M2",K44="K4"),T44="",Z44=""),EDATE(P44,12*2),AND(AH44="K5-LAW",AG44="นิติศาสตร์",OR(Z44="M2",Z44="K4"),AC44&gt;=2,OR(AB44&lt;V44,AB44&lt;P44)),EDATE(AB44,12*2),AND(AH44="K5-LAW",AG44="นิติศาสตร์",Z44="S1",AC44&gt;=1,OR(AB44&lt;V44,AB44&lt;P44)),EDATE(AB44,12),AND(AH44="K5-LAW",AG44="นิติศาสตร์",OR(T44="M2",T44="K4"),W44&gt;=2,V44&lt;P44),EDATE(V44,12*2),AND(AH44="K5-LAW",AG44="นิติศาสตร์",T44="S1",W44&gt;=1,V44&lt;P44),EDATE(V44,12),AND(AH44="K5-LAW",AG44="นิติศาสตร์",OR(T44="S2",T44="K5")),V44,AND(AH44="K5-LAW",AG44="นิติศาสตร์",OR(K44="M2",K44="K4"),Q44&gt;=2),EDATE(P44,12*2),AND(AH44="K5-LAW",AG44="นิติศาสตร์",K44="S1",Q44&gt;=1),EDATE(P44,12),AND(AH44="K5-LAW",AG44="นิติศาสตร์",OR(K44="S2",K44="K5")),P44,AND(AH44="K5-POLICY",AG44&lt;&gt;"นิติศาสตร์",K44="S2",T44="",Z44=""),P44,AND(AH44="K5-POLICY",AG44&lt;&gt;"นิติศาสตร์",K44="S1",T44="",Z44=""),EDATE(P44,12),AND(AH44="K5-POLICY",AG44&lt;&gt;"นิติศาสตร์",OR(K44="M2",K44="K4"),T44="",Z44=""),EDATE(P44,12*2),AND(AH44="K5-POLICY",AG44&lt;&gt;"นิติศาสตร์",OR(Z44="M2",Z44="K4"),AC44&gt;=2,OR(AB44&lt;V44,AB44&lt;P44)),EDATE(AB44,12*2),AND(AH44="K5-POLICY",AG44&lt;&gt;"นิติศาสตร์",Z44="S1",AC44&gt;=1,OR(AB44&lt;V44,AB44&lt;P44)),EDATE(AB44,12),AND(AH44="K5-POLICY",AG44&lt;&gt;"นิติศาสตร์",OR(T44="M2",T44="K4"),W44&gt;=2,V44&lt;P44),EDATE(V44,12*2),AND(AH44="K5-POLICY",AG44&lt;&gt;"นิติศาสตร์",T44="S1",W44&gt;=1,V44&lt;P44),EDATE(V44,12),AND(AH44="K5-POLICY",AG44&lt;&gt;"นิติศาสตร์",OR(T44="S2",T44="K5")),V44,AND(AH44="K5-POLICY",AG44&lt;&gt;"นิติศาสตร์",OR(K44="M2",K44="K4"),Q44&gt;=2),EDATE(P44,12*2),AND(AH44="K5-POLICY",AG44&lt;&gt;"นิติศาสตร์",K44="S1",Q44&gt;=1),EDATE(P44,12),AND(AH44="K5-POLICY",AG44&lt;&gt;"นิติศาสตร์",OR(K44="S2",K44="K5")),P44,TRUE,"Check Data")</f>
        <v/>
      </c>
      <c r="AJ44" s="75" t="str">
        <f t="shared" si="13"/>
        <v>Check Data</v>
      </c>
      <c r="AK44" s="76" t="str">
        <f t="shared" si="14"/>
        <v>Check Data</v>
      </c>
      <c r="AL44" s="50" t="str">
        <f t="shared" si="15"/>
        <v>Check Data</v>
      </c>
      <c r="AM44" s="49" t="str">
        <f>IF(B44="","",IF(K44="S1","S1",INDEX(#REF!,#REF!)))</f>
        <v/>
      </c>
      <c r="AN44" s="49" t="str">
        <f>K44</f>
        <v>M2</v>
      </c>
      <c r="AO44" s="50" t="b">
        <f>K44=AM44</f>
        <v>0</v>
      </c>
      <c r="AP44" s="50"/>
    </row>
    <row r="45" spans="1:42" ht="21.75">
      <c r="A45" s="49">
        <v>43</v>
      </c>
      <c r="B45" s="50"/>
      <c r="C45" s="50"/>
      <c r="D45" s="50" t="s">
        <v>143</v>
      </c>
      <c r="E45" s="49" t="s">
        <v>316</v>
      </c>
      <c r="F45" s="49" t="str">
        <f t="shared" si="0"/>
        <v>15/06/1987</v>
      </c>
      <c r="G45" s="50">
        <f t="shared" si="1"/>
        <v>38</v>
      </c>
      <c r="H45" s="50">
        <f t="shared" si="2"/>
        <v>0</v>
      </c>
      <c r="I45" s="50">
        <f t="shared" si="3"/>
        <v>5</v>
      </c>
      <c r="J45" s="58"/>
      <c r="K45" s="49" t="s">
        <v>136</v>
      </c>
      <c r="L45" s="64"/>
      <c r="M45" s="49" t="s">
        <v>425</v>
      </c>
      <c r="N45" s="49">
        <v>2569</v>
      </c>
      <c r="O45" s="65" t="s">
        <v>301</v>
      </c>
      <c r="P45" s="49" t="str">
        <f t="shared" si="4"/>
        <v>29/11/2018</v>
      </c>
      <c r="Q45" s="68">
        <f t="shared" si="5"/>
        <v>6</v>
      </c>
      <c r="R45" s="68">
        <f t="shared" si="6"/>
        <v>6</v>
      </c>
      <c r="S45" s="68">
        <f t="shared" si="7"/>
        <v>22</v>
      </c>
      <c r="T45" s="65"/>
      <c r="U45" s="65"/>
      <c r="V45" s="49" t="str">
        <f t="shared" si="8"/>
        <v/>
      </c>
      <c r="W45" s="68">
        <f>IF(V45="",0,DATEDIF(V45,P45,"Y"))</f>
        <v>0</v>
      </c>
      <c r="X45" s="68">
        <f>IF(V45="",0,DATEDIF(V45,P45,"YM"))</f>
        <v>0</v>
      </c>
      <c r="Y45" s="68">
        <f>IF(V45="",0,DATEDIF(V45,P45,"MD"))</f>
        <v>0</v>
      </c>
      <c r="Z45" s="49"/>
      <c r="AA45" s="65"/>
      <c r="AB45" s="50" t="str">
        <f t="shared" si="9"/>
        <v/>
      </c>
      <c r="AC45" s="68">
        <f t="shared" si="10"/>
        <v>0</v>
      </c>
      <c r="AD45" s="68">
        <f t="shared" si="11"/>
        <v>0</v>
      </c>
      <c r="AE45" s="68">
        <f t="shared" si="12"/>
        <v>0</v>
      </c>
      <c r="AF45" s="50"/>
      <c r="AG45" s="50" t="s">
        <v>167</v>
      </c>
      <c r="AH45" s="49" t="str">
        <f>IF(AG45="นิติศาสตร์","K5-LAW","K5-POLICY")</f>
        <v>K5-POLICY</v>
      </c>
      <c r="AI45" s="72" t="str">
        <f>_xlfn.IFS(B45="","",AND(AH45="K5-LAW",AG45="นิติศาสตร์",K45="S2",T45="",Z45=""),P45,AND(AH45="K5-LAW",AG45="นิติศาสตร์",K45="S1",T45="",Z45=""),EDATE(P45,12),AND(AH45="K5-LAW",AG45="นิติศาสตร์",OR(K45="M2",K45="K4"),T45="",Z45=""),EDATE(P45,12*2),AND(AH45="K5-LAW",AG45="นิติศาสตร์",OR(Z45="M2",Z45="K4"),AC45&gt;=2,OR(AB45&lt;V45,AB45&lt;P45)),EDATE(AB45,12*2),AND(AH45="K5-LAW",AG45="นิติศาสตร์",Z45="S1",AC45&gt;=1,OR(AB45&lt;V45,AB45&lt;P45)),EDATE(AB45,12),AND(AH45="K5-LAW",AG45="นิติศาสตร์",OR(T45="M2",T45="K4"),W45&gt;=2,V45&lt;P45),EDATE(V45,12*2),AND(AH45="K5-LAW",AG45="นิติศาสตร์",T45="S1",W45&gt;=1,V45&lt;P45),EDATE(V45,12),AND(AH45="K5-LAW",AG45="นิติศาสตร์",OR(T45="S2",T45="K5")),V45,AND(AH45="K5-LAW",AG45="นิติศาสตร์",OR(K45="M2",K45="K4"),Q45&gt;=2),EDATE(P45,12*2),AND(AH45="K5-LAW",AG45="นิติศาสตร์",K45="S1",Q45&gt;=1),EDATE(P45,12),AND(AH45="K5-LAW",AG45="นิติศาสตร์",OR(K45="S2",K45="K5")),P45,AND(AH45="K5-POLICY",AG45&lt;&gt;"นิติศาสตร์",K45="S2",T45="",Z45=""),P45,AND(AH45="K5-POLICY",AG45&lt;&gt;"นิติศาสตร์",K45="S1",T45="",Z45=""),EDATE(P45,12),AND(AH45="K5-POLICY",AG45&lt;&gt;"นิติศาสตร์",OR(K45="M2",K45="K4"),T45="",Z45=""),EDATE(P45,12*2),AND(AH45="K5-POLICY",AG45&lt;&gt;"นิติศาสตร์",OR(Z45="M2",Z45="K4"),AC45&gt;=2,OR(AB45&lt;V45,AB45&lt;P45)),EDATE(AB45,12*2),AND(AH45="K5-POLICY",AG45&lt;&gt;"นิติศาสตร์",Z45="S1",AC45&gt;=1,OR(AB45&lt;V45,AB45&lt;P45)),EDATE(AB45,12),AND(AH45="K5-POLICY",AG45&lt;&gt;"นิติศาสตร์",OR(T45="M2",T45="K4"),W45&gt;=2,V45&lt;P45),EDATE(V45,12*2),AND(AH45="K5-POLICY",AG45&lt;&gt;"นิติศาสตร์",T45="S1",W45&gt;=1,V45&lt;P45),EDATE(V45,12),AND(AH45="K5-POLICY",AG45&lt;&gt;"นิติศาสตร์",OR(T45="S2",T45="K5")),V45,AND(AH45="K5-POLICY",AG45&lt;&gt;"นิติศาสตร์",OR(K45="M2",K45="K4"),Q45&gt;=2),EDATE(P45,12*2),AND(AH45="K5-POLICY",AG45&lt;&gt;"นิติศาสตร์",K45="S1",Q45&gt;=1),EDATE(P45,12),AND(AH45="K5-POLICY",AG45&lt;&gt;"นิติศาสตร์",OR(K45="S2",K45="K5")),P45,TRUE,"Check Data")</f>
        <v/>
      </c>
      <c r="AJ45" s="75" t="str">
        <f t="shared" si="13"/>
        <v>Check Data</v>
      </c>
      <c r="AK45" s="76" t="str">
        <f t="shared" si="14"/>
        <v>Check Data</v>
      </c>
      <c r="AL45" s="50" t="str">
        <f t="shared" si="15"/>
        <v>Check Data</v>
      </c>
      <c r="AM45" s="49" t="str">
        <f>IF(B45="","",IF(K45="S1","S1",INDEX(#REF!,#REF!)))</f>
        <v/>
      </c>
      <c r="AN45" s="49" t="str">
        <f>K45</f>
        <v>M2</v>
      </c>
      <c r="AO45" s="50" t="b">
        <f>K45=AM45</f>
        <v>0</v>
      </c>
      <c r="AP45" s="50"/>
    </row>
    <row r="46" spans="1:42" ht="21.75">
      <c r="A46" s="49">
        <v>44</v>
      </c>
      <c r="B46" s="50"/>
      <c r="C46" s="50"/>
      <c r="D46" s="50" t="s">
        <v>143</v>
      </c>
      <c r="E46" s="49" t="s">
        <v>327</v>
      </c>
      <c r="F46" s="49" t="str">
        <f t="shared" si="0"/>
        <v>21/06/1988</v>
      </c>
      <c r="G46" s="50">
        <f t="shared" si="1"/>
        <v>36</v>
      </c>
      <c r="H46" s="50">
        <f t="shared" si="2"/>
        <v>11</v>
      </c>
      <c r="I46" s="50">
        <f t="shared" si="3"/>
        <v>30</v>
      </c>
      <c r="J46" s="59"/>
      <c r="K46" s="49" t="s">
        <v>136</v>
      </c>
      <c r="L46" s="64"/>
      <c r="M46" s="49" t="s">
        <v>425</v>
      </c>
      <c r="N46" s="49">
        <v>2570</v>
      </c>
      <c r="O46" s="65" t="s">
        <v>301</v>
      </c>
      <c r="P46" s="49" t="str">
        <f t="shared" si="4"/>
        <v>29/11/2018</v>
      </c>
      <c r="Q46" s="68">
        <f t="shared" si="5"/>
        <v>6</v>
      </c>
      <c r="R46" s="68">
        <f t="shared" si="6"/>
        <v>6</v>
      </c>
      <c r="S46" s="68">
        <f t="shared" si="7"/>
        <v>22</v>
      </c>
      <c r="T46" s="65"/>
      <c r="U46" s="65"/>
      <c r="V46" s="49" t="str">
        <f t="shared" si="8"/>
        <v/>
      </c>
      <c r="W46" s="68">
        <f>IF(V46="",0,DATEDIF(V46,P46,"Y"))</f>
        <v>0</v>
      </c>
      <c r="X46" s="68">
        <f>IF(V46="",0,DATEDIF(V46,P46,"YM"))</f>
        <v>0</v>
      </c>
      <c r="Y46" s="68">
        <f>IF(V46="",0,DATEDIF(V46,P46,"MD"))</f>
        <v>0</v>
      </c>
      <c r="Z46" s="49"/>
      <c r="AA46" s="65"/>
      <c r="AB46" s="50" t="str">
        <f t="shared" si="9"/>
        <v/>
      </c>
      <c r="AC46" s="68">
        <f t="shared" si="10"/>
        <v>0</v>
      </c>
      <c r="AD46" s="68">
        <f t="shared" si="11"/>
        <v>0</v>
      </c>
      <c r="AE46" s="68">
        <f t="shared" si="12"/>
        <v>0</v>
      </c>
      <c r="AF46" s="50"/>
      <c r="AG46" s="50" t="s">
        <v>138</v>
      </c>
      <c r="AH46" s="49" t="str">
        <f>IF(AG46="นิติศาสตร์","K5-LAW","K5-POLICY")</f>
        <v>K5-LAW</v>
      </c>
      <c r="AI46" s="72" t="str">
        <f>_xlfn.IFS(B46="","",AND(AH46="K5-LAW",AG46="นิติศาสตร์",K46="S2",T46="",Z46=""),P46,AND(AH46="K5-LAW",AG46="นิติศาสตร์",K46="S1",T46="",Z46=""),EDATE(P46,12),AND(AH46="K5-LAW",AG46="นิติศาสตร์",OR(K46="M2",K46="K4"),T46="",Z46=""),EDATE(P46,12*2),AND(AH46="K5-LAW",AG46="นิติศาสตร์",OR(Z46="M2",Z46="K4"),AC46&gt;=2,OR(AB46&lt;V46,AB46&lt;P46)),EDATE(AB46,12*2),AND(AH46="K5-LAW",AG46="นิติศาสตร์",Z46="S1",AC46&gt;=1,OR(AB46&lt;V46,AB46&lt;P46)),EDATE(AB46,12),AND(AH46="K5-LAW",AG46="นิติศาสตร์",OR(T46="M2",T46="K4"),W46&gt;=2,V46&lt;P46),EDATE(V46,12*2),AND(AH46="K5-LAW",AG46="นิติศาสตร์",T46="S1",W46&gt;=1,V46&lt;P46),EDATE(V46,12),AND(AH46="K5-LAW",AG46="นิติศาสตร์",OR(T46="S2",T46="K5")),V46,AND(AH46="K5-LAW",AG46="นิติศาสตร์",OR(K46="M2",K46="K4"),Q46&gt;=2),EDATE(P46,12*2),AND(AH46="K5-LAW",AG46="นิติศาสตร์",K46="S1",Q46&gt;=1),EDATE(P46,12),AND(AH46="K5-LAW",AG46="นิติศาสตร์",OR(K46="S2",K46="K5")),P46,AND(AH46="K5-POLICY",AG46&lt;&gt;"นิติศาสตร์",K46="S2",T46="",Z46=""),P46,AND(AH46="K5-POLICY",AG46&lt;&gt;"นิติศาสตร์",K46="S1",T46="",Z46=""),EDATE(P46,12),AND(AH46="K5-POLICY",AG46&lt;&gt;"นิติศาสตร์",OR(K46="M2",K46="K4"),T46="",Z46=""),EDATE(P46,12*2),AND(AH46="K5-POLICY",AG46&lt;&gt;"นิติศาสตร์",OR(Z46="M2",Z46="K4"),AC46&gt;=2,OR(AB46&lt;V46,AB46&lt;P46)),EDATE(AB46,12*2),AND(AH46="K5-POLICY",AG46&lt;&gt;"นิติศาสตร์",Z46="S1",AC46&gt;=1,OR(AB46&lt;V46,AB46&lt;P46)),EDATE(AB46,12),AND(AH46="K5-POLICY",AG46&lt;&gt;"นิติศาสตร์",OR(T46="M2",T46="K4"),W46&gt;=2,V46&lt;P46),EDATE(V46,12*2),AND(AH46="K5-POLICY",AG46&lt;&gt;"นิติศาสตร์",T46="S1",W46&gt;=1,V46&lt;P46),EDATE(V46,12),AND(AH46="K5-POLICY",AG46&lt;&gt;"นิติศาสตร์",OR(T46="S2",T46="K5")),V46,AND(AH46="K5-POLICY",AG46&lt;&gt;"นิติศาสตร์",OR(K46="M2",K46="K4"),Q46&gt;=2),EDATE(P46,12*2),AND(AH46="K5-POLICY",AG46&lt;&gt;"นิติศาสตร์",K46="S1",Q46&gt;=1),EDATE(P46,12),AND(AH46="K5-POLICY",AG46&lt;&gt;"นิติศาสตร์",OR(K46="S2",K46="K5")),P46,TRUE,"Check Data")</f>
        <v/>
      </c>
      <c r="AJ46" s="75" t="str">
        <f t="shared" si="13"/>
        <v>Check Data</v>
      </c>
      <c r="AK46" s="76" t="str">
        <f t="shared" si="14"/>
        <v>Check Data</v>
      </c>
      <c r="AL46" s="50" t="str">
        <f t="shared" si="15"/>
        <v>Check Data</v>
      </c>
      <c r="AM46" s="49" t="str">
        <f>IF(B46="","",IF(K46="S1","S1",INDEX(#REF!,#REF!)))</f>
        <v/>
      </c>
      <c r="AN46" s="49" t="str">
        <f>K46</f>
        <v>M2</v>
      </c>
      <c r="AO46" s="50" t="b">
        <f>K46=AM46</f>
        <v>0</v>
      </c>
      <c r="AP46" s="50"/>
    </row>
    <row r="47" spans="1:42" ht="21.75">
      <c r="A47" s="49">
        <v>45</v>
      </c>
      <c r="B47" s="50"/>
      <c r="C47" s="50"/>
      <c r="D47" s="50" t="s">
        <v>143</v>
      </c>
      <c r="E47" s="49" t="s">
        <v>246</v>
      </c>
      <c r="F47" s="49" t="str">
        <f t="shared" si="0"/>
        <v>13/06/1994</v>
      </c>
      <c r="G47" s="50">
        <f t="shared" si="1"/>
        <v>31</v>
      </c>
      <c r="H47" s="50">
        <f t="shared" si="2"/>
        <v>0</v>
      </c>
      <c r="I47" s="50">
        <f t="shared" si="3"/>
        <v>7</v>
      </c>
      <c r="J47" s="59"/>
      <c r="K47" s="49" t="s">
        <v>136</v>
      </c>
      <c r="L47" s="64"/>
      <c r="M47" s="49" t="s">
        <v>425</v>
      </c>
      <c r="N47" s="49">
        <v>2569</v>
      </c>
      <c r="O47" s="65" t="s">
        <v>301</v>
      </c>
      <c r="P47" s="49" t="str">
        <f t="shared" si="4"/>
        <v>29/11/2018</v>
      </c>
      <c r="Q47" s="68">
        <f t="shared" si="5"/>
        <v>6</v>
      </c>
      <c r="R47" s="68">
        <f t="shared" si="6"/>
        <v>6</v>
      </c>
      <c r="S47" s="68">
        <f t="shared" si="7"/>
        <v>22</v>
      </c>
      <c r="T47" s="65"/>
      <c r="U47" s="65"/>
      <c r="V47" s="49" t="str">
        <f t="shared" si="8"/>
        <v/>
      </c>
      <c r="W47" s="68">
        <f>IF(V47="",0,DATEDIF(V47,P47,"Y"))</f>
        <v>0</v>
      </c>
      <c r="X47" s="68">
        <f>IF(V47="",0,DATEDIF(V47,P47,"YM"))</f>
        <v>0</v>
      </c>
      <c r="Y47" s="68">
        <f>IF(V47="",0,DATEDIF(V47,P47,"MD"))</f>
        <v>0</v>
      </c>
      <c r="Z47" s="49"/>
      <c r="AA47" s="65"/>
      <c r="AB47" s="50" t="str">
        <f t="shared" si="9"/>
        <v/>
      </c>
      <c r="AC47" s="68">
        <f t="shared" si="10"/>
        <v>0</v>
      </c>
      <c r="AD47" s="68">
        <f t="shared" si="11"/>
        <v>0</v>
      </c>
      <c r="AE47" s="68">
        <f t="shared" si="12"/>
        <v>0</v>
      </c>
      <c r="AF47" s="50"/>
      <c r="AG47" s="50" t="s">
        <v>138</v>
      </c>
      <c r="AH47" s="49" t="str">
        <f>IF(AG47="นิติศาสตร์","K5-LAW","K5-POLICY")</f>
        <v>K5-LAW</v>
      </c>
      <c r="AI47" s="72" t="str">
        <f>_xlfn.IFS(B47="","",AND(AH47="K5-LAW",AG47="นิติศาสตร์",K47="S2",T47="",Z47=""),P47,AND(AH47="K5-LAW",AG47="นิติศาสตร์",K47="S1",T47="",Z47=""),EDATE(P47,12),AND(AH47="K5-LAW",AG47="นิติศาสตร์",OR(K47="M2",K47="K4"),T47="",Z47=""),EDATE(P47,12*2),AND(AH47="K5-LAW",AG47="นิติศาสตร์",OR(Z47="M2",Z47="K4"),AC47&gt;=2,OR(AB47&lt;V47,AB47&lt;P47)),EDATE(AB47,12*2),AND(AH47="K5-LAW",AG47="นิติศาสตร์",Z47="S1",AC47&gt;=1,OR(AB47&lt;V47,AB47&lt;P47)),EDATE(AB47,12),AND(AH47="K5-LAW",AG47="นิติศาสตร์",OR(T47="M2",T47="K4"),W47&gt;=2,V47&lt;P47),EDATE(V47,12*2),AND(AH47="K5-LAW",AG47="นิติศาสตร์",T47="S1",W47&gt;=1,V47&lt;P47),EDATE(V47,12),AND(AH47="K5-LAW",AG47="นิติศาสตร์",OR(T47="S2",T47="K5")),V47,AND(AH47="K5-LAW",AG47="นิติศาสตร์",OR(K47="M2",K47="K4"),Q47&gt;=2),EDATE(P47,12*2),AND(AH47="K5-LAW",AG47="นิติศาสตร์",K47="S1",Q47&gt;=1),EDATE(P47,12),AND(AH47="K5-LAW",AG47="นิติศาสตร์",OR(K47="S2",K47="K5")),P47,AND(AH47="K5-POLICY",AG47&lt;&gt;"นิติศาสตร์",K47="S2",T47="",Z47=""),P47,AND(AH47="K5-POLICY",AG47&lt;&gt;"นิติศาสตร์",K47="S1",T47="",Z47=""),EDATE(P47,12),AND(AH47="K5-POLICY",AG47&lt;&gt;"นิติศาสตร์",OR(K47="M2",K47="K4"),T47="",Z47=""),EDATE(P47,12*2),AND(AH47="K5-POLICY",AG47&lt;&gt;"นิติศาสตร์",OR(Z47="M2",Z47="K4"),AC47&gt;=2,OR(AB47&lt;V47,AB47&lt;P47)),EDATE(AB47,12*2),AND(AH47="K5-POLICY",AG47&lt;&gt;"นิติศาสตร์",Z47="S1",AC47&gt;=1,OR(AB47&lt;V47,AB47&lt;P47)),EDATE(AB47,12),AND(AH47="K5-POLICY",AG47&lt;&gt;"นิติศาสตร์",OR(T47="M2",T47="K4"),W47&gt;=2,V47&lt;P47),EDATE(V47,12*2),AND(AH47="K5-POLICY",AG47&lt;&gt;"นิติศาสตร์",T47="S1",W47&gt;=1,V47&lt;P47),EDATE(V47,12),AND(AH47="K5-POLICY",AG47&lt;&gt;"นิติศาสตร์",OR(T47="S2",T47="K5")),V47,AND(AH47="K5-POLICY",AG47&lt;&gt;"นิติศาสตร์",OR(K47="M2",K47="K4"),Q47&gt;=2),EDATE(P47,12*2),AND(AH47="K5-POLICY",AG47&lt;&gt;"นิติศาสตร์",K47="S1",Q47&gt;=1),EDATE(P47,12),AND(AH47="K5-POLICY",AG47&lt;&gt;"นิติศาสตร์",OR(K47="S2",K47="K5")),P47,TRUE,"Check Data")</f>
        <v/>
      </c>
      <c r="AJ47" s="75" t="str">
        <f t="shared" si="13"/>
        <v>Check Data</v>
      </c>
      <c r="AK47" s="76" t="str">
        <f t="shared" si="14"/>
        <v>Check Data</v>
      </c>
      <c r="AL47" s="50" t="str">
        <f t="shared" si="15"/>
        <v>Check Data</v>
      </c>
      <c r="AM47" s="49" t="str">
        <f>IF(B47="","",IF(K47="S1","S1",INDEX(#REF!,#REF!)))</f>
        <v/>
      </c>
      <c r="AN47" s="49" t="str">
        <f>K47</f>
        <v>M2</v>
      </c>
      <c r="AO47" s="50" t="b">
        <f>K47=AM47</f>
        <v>0</v>
      </c>
      <c r="AP47" s="50"/>
    </row>
    <row r="48" spans="1:42" ht="21.75">
      <c r="A48" s="49">
        <v>46</v>
      </c>
      <c r="B48" s="50"/>
      <c r="C48" s="50"/>
      <c r="D48" s="50" t="s">
        <v>143</v>
      </c>
      <c r="E48" s="49" t="s">
        <v>312</v>
      </c>
      <c r="F48" s="49" t="str">
        <f t="shared" si="0"/>
        <v>04/05/2000</v>
      </c>
      <c r="G48" s="50">
        <f t="shared" si="1"/>
        <v>25</v>
      </c>
      <c r="H48" s="50">
        <f t="shared" si="2"/>
        <v>1</v>
      </c>
      <c r="I48" s="50">
        <f t="shared" si="3"/>
        <v>16</v>
      </c>
      <c r="J48" s="59"/>
      <c r="K48" s="49" t="s">
        <v>136</v>
      </c>
      <c r="L48" s="64"/>
      <c r="M48" s="49" t="s">
        <v>425</v>
      </c>
      <c r="N48" s="49">
        <v>2574</v>
      </c>
      <c r="O48" s="65" t="s">
        <v>301</v>
      </c>
      <c r="P48" s="49" t="str">
        <f t="shared" si="4"/>
        <v>29/11/2018</v>
      </c>
      <c r="Q48" s="68">
        <f t="shared" si="5"/>
        <v>6</v>
      </c>
      <c r="R48" s="68">
        <f t="shared" si="6"/>
        <v>6</v>
      </c>
      <c r="S48" s="68">
        <f t="shared" si="7"/>
        <v>22</v>
      </c>
      <c r="T48" s="65"/>
      <c r="U48" s="65"/>
      <c r="V48" s="49" t="str">
        <f t="shared" si="8"/>
        <v/>
      </c>
      <c r="W48" s="68">
        <f>IF(V48="",0,DATEDIF(V48,P48,"Y"))</f>
        <v>0</v>
      </c>
      <c r="X48" s="68">
        <f>IF(V48="",0,DATEDIF(V48,P48,"YM"))</f>
        <v>0</v>
      </c>
      <c r="Y48" s="68">
        <f>IF(V48="",0,DATEDIF(V48,P48,"MD"))</f>
        <v>0</v>
      </c>
      <c r="Z48" s="49"/>
      <c r="AA48" s="65"/>
      <c r="AB48" s="50" t="str">
        <f t="shared" si="9"/>
        <v/>
      </c>
      <c r="AC48" s="68">
        <f t="shared" si="10"/>
        <v>0</v>
      </c>
      <c r="AD48" s="68">
        <f t="shared" si="11"/>
        <v>0</v>
      </c>
      <c r="AE48" s="68">
        <f t="shared" si="12"/>
        <v>0</v>
      </c>
      <c r="AF48" s="50"/>
      <c r="AG48" s="50" t="s">
        <v>166</v>
      </c>
      <c r="AH48" s="49" t="str">
        <f>IF(AG48="นิติศาสตร์","K5-LAW","K5-POLICY")</f>
        <v>K5-POLICY</v>
      </c>
      <c r="AI48" s="72" t="str">
        <f>_xlfn.IFS(B48="","",AND(AH48="K5-LAW",AG48="นิติศาสตร์",K48="S2",T48="",Z48=""),P48,AND(AH48="K5-LAW",AG48="นิติศาสตร์",K48="S1",T48="",Z48=""),EDATE(P48,12),AND(AH48="K5-LAW",AG48="นิติศาสตร์",OR(K48="M2",K48="K4"),T48="",Z48=""),EDATE(P48,12*2),AND(AH48="K5-LAW",AG48="นิติศาสตร์",OR(Z48="M2",Z48="K4"),AC48&gt;=2,OR(AB48&lt;V48,AB48&lt;P48)),EDATE(AB48,12*2),AND(AH48="K5-LAW",AG48="นิติศาสตร์",Z48="S1",AC48&gt;=1,OR(AB48&lt;V48,AB48&lt;P48)),EDATE(AB48,12),AND(AH48="K5-LAW",AG48="นิติศาสตร์",OR(T48="M2",T48="K4"),W48&gt;=2,V48&lt;P48),EDATE(V48,12*2),AND(AH48="K5-LAW",AG48="นิติศาสตร์",T48="S1",W48&gt;=1,V48&lt;P48),EDATE(V48,12),AND(AH48="K5-LAW",AG48="นิติศาสตร์",OR(T48="S2",T48="K5")),V48,AND(AH48="K5-LAW",AG48="นิติศาสตร์",OR(K48="M2",K48="K4"),Q48&gt;=2),EDATE(P48,12*2),AND(AH48="K5-LAW",AG48="นิติศาสตร์",K48="S1",Q48&gt;=1),EDATE(P48,12),AND(AH48="K5-LAW",AG48="นิติศาสตร์",OR(K48="S2",K48="K5")),P48,AND(AH48="K5-POLICY",AG48&lt;&gt;"นิติศาสตร์",K48="S2",T48="",Z48=""),P48,AND(AH48="K5-POLICY",AG48&lt;&gt;"นิติศาสตร์",K48="S1",T48="",Z48=""),EDATE(P48,12),AND(AH48="K5-POLICY",AG48&lt;&gt;"นิติศาสตร์",OR(K48="M2",K48="K4"),T48="",Z48=""),EDATE(P48,12*2),AND(AH48="K5-POLICY",AG48&lt;&gt;"นิติศาสตร์",OR(Z48="M2",Z48="K4"),AC48&gt;=2,OR(AB48&lt;V48,AB48&lt;P48)),EDATE(AB48,12*2),AND(AH48="K5-POLICY",AG48&lt;&gt;"นิติศาสตร์",Z48="S1",AC48&gt;=1,OR(AB48&lt;V48,AB48&lt;P48)),EDATE(AB48,12),AND(AH48="K5-POLICY",AG48&lt;&gt;"นิติศาสตร์",OR(T48="M2",T48="K4"),W48&gt;=2,V48&lt;P48),EDATE(V48,12*2),AND(AH48="K5-POLICY",AG48&lt;&gt;"นิติศาสตร์",T48="S1",W48&gt;=1,V48&lt;P48),EDATE(V48,12),AND(AH48="K5-POLICY",AG48&lt;&gt;"นิติศาสตร์",OR(T48="S2",T48="K5")),V48,AND(AH48="K5-POLICY",AG48&lt;&gt;"นิติศาสตร์",OR(K48="M2",K48="K4"),Q48&gt;=2),EDATE(P48,12*2),AND(AH48="K5-POLICY",AG48&lt;&gt;"นิติศาสตร์",K48="S1",Q48&gt;=1),EDATE(P48,12),AND(AH48="K5-POLICY",AG48&lt;&gt;"นิติศาสตร์",OR(K48="S2",K48="K5")),P48,TRUE,"Check Data")</f>
        <v/>
      </c>
      <c r="AJ48" s="75" t="str">
        <f t="shared" si="13"/>
        <v>Check Data</v>
      </c>
      <c r="AK48" s="76" t="str">
        <f t="shared" si="14"/>
        <v>Check Data</v>
      </c>
      <c r="AL48" s="50" t="str">
        <f t="shared" si="15"/>
        <v>Check Data</v>
      </c>
      <c r="AM48" s="49" t="str">
        <f>IF(B48="","",IF(K48="S1","S1",INDEX(#REF!,#REF!)))</f>
        <v/>
      </c>
      <c r="AN48" s="49" t="str">
        <f>K48</f>
        <v>M2</v>
      </c>
      <c r="AO48" s="50" t="b">
        <f>K48=AM48</f>
        <v>0</v>
      </c>
      <c r="AP48" s="50"/>
    </row>
    <row r="49" spans="1:42" ht="21.75">
      <c r="A49" s="49">
        <v>47</v>
      </c>
      <c r="B49" s="50"/>
      <c r="C49" s="50"/>
      <c r="D49" s="50" t="s">
        <v>140</v>
      </c>
      <c r="E49" s="49" t="s">
        <v>240</v>
      </c>
      <c r="F49" s="49" t="str">
        <f t="shared" si="0"/>
        <v>16/06/1997</v>
      </c>
      <c r="G49" s="50">
        <f t="shared" si="1"/>
        <v>28</v>
      </c>
      <c r="H49" s="50">
        <f t="shared" si="2"/>
        <v>0</v>
      </c>
      <c r="I49" s="50">
        <f t="shared" si="3"/>
        <v>4</v>
      </c>
      <c r="J49" s="57"/>
      <c r="K49" s="49" t="s">
        <v>136</v>
      </c>
      <c r="L49" s="64"/>
      <c r="M49" s="49" t="s">
        <v>425</v>
      </c>
      <c r="N49" s="49">
        <v>2580</v>
      </c>
      <c r="O49" s="65" t="s">
        <v>241</v>
      </c>
      <c r="P49" s="49" t="str">
        <f t="shared" si="4"/>
        <v>08/01/2019</v>
      </c>
      <c r="Q49" s="68">
        <f t="shared" si="5"/>
        <v>6</v>
      </c>
      <c r="R49" s="68">
        <f t="shared" si="6"/>
        <v>5</v>
      </c>
      <c r="S49" s="68">
        <f t="shared" si="7"/>
        <v>12</v>
      </c>
      <c r="T49" s="65"/>
      <c r="U49" s="65"/>
      <c r="V49" s="49" t="str">
        <f t="shared" si="8"/>
        <v/>
      </c>
      <c r="W49" s="68">
        <f>IF(V49="",0,DATEDIF(V49,P49,"Y"))</f>
        <v>0</v>
      </c>
      <c r="X49" s="68">
        <f>IF(V49="",0,DATEDIF(V49,P49,"YM"))</f>
        <v>0</v>
      </c>
      <c r="Y49" s="68">
        <f>IF(V49="",0,DATEDIF(V49,P49,"MD"))</f>
        <v>0</v>
      </c>
      <c r="Z49" s="49"/>
      <c r="AA49" s="65"/>
      <c r="AB49" s="50" t="str">
        <f t="shared" si="9"/>
        <v/>
      </c>
      <c r="AC49" s="68">
        <f t="shared" si="10"/>
        <v>0</v>
      </c>
      <c r="AD49" s="68">
        <f t="shared" si="11"/>
        <v>0</v>
      </c>
      <c r="AE49" s="68">
        <f t="shared" si="12"/>
        <v>0</v>
      </c>
      <c r="AF49" s="50"/>
      <c r="AG49" s="50" t="s">
        <v>172</v>
      </c>
      <c r="AH49" s="49" t="str">
        <f>IF(AG49="นิติศาสตร์","K5-LAW","K5-POLICY")</f>
        <v>K5-POLICY</v>
      </c>
      <c r="AI49" s="72" t="str">
        <f>_xlfn.IFS(B49="","",AND(AH49="K5-LAW",AG49="นิติศาสตร์",K49="S2",T49="",Z49=""),P49,AND(AH49="K5-LAW",AG49="นิติศาสตร์",K49="S1",T49="",Z49=""),EDATE(P49,12),AND(AH49="K5-LAW",AG49="นิติศาสตร์",OR(K49="M2",K49="K4"),T49="",Z49=""),EDATE(P49,12*2),AND(AH49="K5-LAW",AG49="นิติศาสตร์",OR(Z49="M2",Z49="K4"),AC49&gt;=2,OR(AB49&lt;V49,AB49&lt;P49)),EDATE(AB49,12*2),AND(AH49="K5-LAW",AG49="นิติศาสตร์",Z49="S1",AC49&gt;=1,OR(AB49&lt;V49,AB49&lt;P49)),EDATE(AB49,12),AND(AH49="K5-LAW",AG49="นิติศาสตร์",OR(T49="M2",T49="K4"),W49&gt;=2,V49&lt;P49),EDATE(V49,12*2),AND(AH49="K5-LAW",AG49="นิติศาสตร์",T49="S1",W49&gt;=1,V49&lt;P49),EDATE(V49,12),AND(AH49="K5-LAW",AG49="นิติศาสตร์",OR(T49="S2",T49="K5")),V49,AND(AH49="K5-LAW",AG49="นิติศาสตร์",OR(K49="M2",K49="K4"),Q49&gt;=2),EDATE(P49,12*2),AND(AH49="K5-LAW",AG49="นิติศาสตร์",K49="S1",Q49&gt;=1),EDATE(P49,12),AND(AH49="K5-LAW",AG49="นิติศาสตร์",OR(K49="S2",K49="K5")),P49,AND(AH49="K5-POLICY",AG49&lt;&gt;"นิติศาสตร์",K49="S2",T49="",Z49=""),P49,AND(AH49="K5-POLICY",AG49&lt;&gt;"นิติศาสตร์",K49="S1",T49="",Z49=""),EDATE(P49,12),AND(AH49="K5-POLICY",AG49&lt;&gt;"นิติศาสตร์",OR(K49="M2",K49="K4"),T49="",Z49=""),EDATE(P49,12*2),AND(AH49="K5-POLICY",AG49&lt;&gt;"นิติศาสตร์",OR(Z49="M2",Z49="K4"),AC49&gt;=2,OR(AB49&lt;V49,AB49&lt;P49)),EDATE(AB49,12*2),AND(AH49="K5-POLICY",AG49&lt;&gt;"นิติศาสตร์",Z49="S1",AC49&gt;=1,OR(AB49&lt;V49,AB49&lt;P49)),EDATE(AB49,12),AND(AH49="K5-POLICY",AG49&lt;&gt;"นิติศาสตร์",OR(T49="M2",T49="K4"),W49&gt;=2,V49&lt;P49),EDATE(V49,12*2),AND(AH49="K5-POLICY",AG49&lt;&gt;"นิติศาสตร์",T49="S1",W49&gt;=1,V49&lt;P49),EDATE(V49,12),AND(AH49="K5-POLICY",AG49&lt;&gt;"นิติศาสตร์",OR(T49="S2",T49="K5")),V49,AND(AH49="K5-POLICY",AG49&lt;&gt;"นิติศาสตร์",OR(K49="M2",K49="K4"),Q49&gt;=2),EDATE(P49,12*2),AND(AH49="K5-POLICY",AG49&lt;&gt;"นิติศาสตร์",K49="S1",Q49&gt;=1),EDATE(P49,12),AND(AH49="K5-POLICY",AG49&lt;&gt;"นิติศาสตร์",OR(K49="S2",K49="K5")),P49,TRUE,"Check Data")</f>
        <v/>
      </c>
      <c r="AJ49" s="75" t="str">
        <f t="shared" si="13"/>
        <v>Check Data</v>
      </c>
      <c r="AK49" s="76" t="str">
        <f t="shared" si="14"/>
        <v>Check Data</v>
      </c>
      <c r="AL49" s="50" t="str">
        <f t="shared" si="15"/>
        <v>Check Data</v>
      </c>
      <c r="AM49" s="49" t="str">
        <f>IF(B49="","",IF(K49="S1","S1",INDEX(#REF!,#REF!)))</f>
        <v/>
      </c>
      <c r="AN49" s="49" t="str">
        <f>K49</f>
        <v>M2</v>
      </c>
      <c r="AO49" s="50" t="b">
        <f>K49=AM49</f>
        <v>0</v>
      </c>
      <c r="AP49" s="50"/>
    </row>
    <row r="50" spans="1:42" ht="21.75">
      <c r="A50" s="49">
        <v>48</v>
      </c>
      <c r="B50" s="50"/>
      <c r="C50" s="50"/>
      <c r="D50" s="50" t="s">
        <v>141</v>
      </c>
      <c r="E50" s="49" t="s">
        <v>260</v>
      </c>
      <c r="F50" s="49" t="str">
        <f t="shared" si="0"/>
        <v>04/03/1996</v>
      </c>
      <c r="G50" s="50">
        <f t="shared" si="1"/>
        <v>29</v>
      </c>
      <c r="H50" s="50">
        <f t="shared" si="2"/>
        <v>3</v>
      </c>
      <c r="I50" s="50">
        <f t="shared" si="3"/>
        <v>16</v>
      </c>
      <c r="J50" s="60"/>
      <c r="K50" s="49" t="s">
        <v>136</v>
      </c>
      <c r="L50" s="64"/>
      <c r="M50" s="49" t="s">
        <v>425</v>
      </c>
      <c r="N50" s="49">
        <v>2571</v>
      </c>
      <c r="O50" s="65" t="s">
        <v>248</v>
      </c>
      <c r="P50" s="49" t="str">
        <f t="shared" si="4"/>
        <v>03/04/2019</v>
      </c>
      <c r="Q50" s="68">
        <f t="shared" si="5"/>
        <v>6</v>
      </c>
      <c r="R50" s="68">
        <f t="shared" si="6"/>
        <v>2</v>
      </c>
      <c r="S50" s="68">
        <f t="shared" si="7"/>
        <v>17</v>
      </c>
      <c r="T50" s="65"/>
      <c r="U50" s="65"/>
      <c r="V50" s="49" t="str">
        <f t="shared" si="8"/>
        <v/>
      </c>
      <c r="W50" s="68">
        <f>IF(V50="",0,DATEDIF(V50,P50,"Y"))</f>
        <v>0</v>
      </c>
      <c r="X50" s="68">
        <f>IF(V50="",0,DATEDIF(V50,P50,"YM"))</f>
        <v>0</v>
      </c>
      <c r="Y50" s="68">
        <f>IF(V50="",0,DATEDIF(V50,P50,"MD"))</f>
        <v>0</v>
      </c>
      <c r="Z50" s="49"/>
      <c r="AA50" s="65"/>
      <c r="AB50" s="50" t="str">
        <f t="shared" si="9"/>
        <v/>
      </c>
      <c r="AC50" s="68">
        <f t="shared" si="10"/>
        <v>0</v>
      </c>
      <c r="AD50" s="68">
        <f t="shared" si="11"/>
        <v>0</v>
      </c>
      <c r="AE50" s="68">
        <f t="shared" si="12"/>
        <v>0</v>
      </c>
      <c r="AF50" s="50"/>
      <c r="AG50" s="50" t="s">
        <v>138</v>
      </c>
      <c r="AH50" s="49" t="str">
        <f>IF(AG50="นิติศาสตร์","K5-LAW","K5-POLICY")</f>
        <v>K5-LAW</v>
      </c>
      <c r="AI50" s="72" t="str">
        <f>_xlfn.IFS(B50="","",AND(AH50="K5-LAW",AG50="นิติศาสตร์",K50="S2",T50="",Z50=""),P50,AND(AH50="K5-LAW",AG50="นิติศาสตร์",K50="S1",T50="",Z50=""),EDATE(P50,12),AND(AH50="K5-LAW",AG50="นิติศาสตร์",OR(K50="M2",K50="K4"),T50="",Z50=""),EDATE(P50,12*2),AND(AH50="K5-LAW",AG50="นิติศาสตร์",OR(Z50="M2",Z50="K4"),AC50&gt;=2,OR(AB50&lt;V50,AB50&lt;P50)),EDATE(AB50,12*2),AND(AH50="K5-LAW",AG50="นิติศาสตร์",Z50="S1",AC50&gt;=1,OR(AB50&lt;V50,AB50&lt;P50)),EDATE(AB50,12),AND(AH50="K5-LAW",AG50="นิติศาสตร์",OR(T50="M2",T50="K4"),W50&gt;=2,V50&lt;P50),EDATE(V50,12*2),AND(AH50="K5-LAW",AG50="นิติศาสตร์",T50="S1",W50&gt;=1,V50&lt;P50),EDATE(V50,12),AND(AH50="K5-LAW",AG50="นิติศาสตร์",OR(T50="S2",T50="K5")),V50,AND(AH50="K5-LAW",AG50="นิติศาสตร์",OR(K50="M2",K50="K4"),Q50&gt;=2),EDATE(P50,12*2),AND(AH50="K5-LAW",AG50="นิติศาสตร์",K50="S1",Q50&gt;=1),EDATE(P50,12),AND(AH50="K5-LAW",AG50="นิติศาสตร์",OR(K50="S2",K50="K5")),P50,AND(AH50="K5-POLICY",AG50&lt;&gt;"นิติศาสตร์",K50="S2",T50="",Z50=""),P50,AND(AH50="K5-POLICY",AG50&lt;&gt;"นิติศาสตร์",K50="S1",T50="",Z50=""),EDATE(P50,12),AND(AH50="K5-POLICY",AG50&lt;&gt;"นิติศาสตร์",OR(K50="M2",K50="K4"),T50="",Z50=""),EDATE(P50,12*2),AND(AH50="K5-POLICY",AG50&lt;&gt;"นิติศาสตร์",OR(Z50="M2",Z50="K4"),AC50&gt;=2,OR(AB50&lt;V50,AB50&lt;P50)),EDATE(AB50,12*2),AND(AH50="K5-POLICY",AG50&lt;&gt;"นิติศาสตร์",Z50="S1",AC50&gt;=1,OR(AB50&lt;V50,AB50&lt;P50)),EDATE(AB50,12),AND(AH50="K5-POLICY",AG50&lt;&gt;"นิติศาสตร์",OR(T50="M2",T50="K4"),W50&gt;=2,V50&lt;P50),EDATE(V50,12*2),AND(AH50="K5-POLICY",AG50&lt;&gt;"นิติศาสตร์",T50="S1",W50&gt;=1,V50&lt;P50),EDATE(V50,12),AND(AH50="K5-POLICY",AG50&lt;&gt;"นิติศาสตร์",OR(T50="S2",T50="K5")),V50,AND(AH50="K5-POLICY",AG50&lt;&gt;"นิติศาสตร์",OR(K50="M2",K50="K4"),Q50&gt;=2),EDATE(P50,12*2),AND(AH50="K5-POLICY",AG50&lt;&gt;"นิติศาสตร์",K50="S1",Q50&gt;=1),EDATE(P50,12),AND(AH50="K5-POLICY",AG50&lt;&gt;"นิติศาสตร์",OR(K50="S2",K50="K5")),P50,TRUE,"Check Data")</f>
        <v/>
      </c>
      <c r="AJ50" s="75" t="str">
        <f t="shared" si="13"/>
        <v>Check Data</v>
      </c>
      <c r="AK50" s="76" t="str">
        <f t="shared" si="14"/>
        <v>Check Data</v>
      </c>
      <c r="AL50" s="50" t="str">
        <f t="shared" si="15"/>
        <v>Check Data</v>
      </c>
      <c r="AM50" s="49" t="str">
        <f>IF(B50="","",IF(K50="S1","S1",INDEX(#REF!,#REF!)))</f>
        <v/>
      </c>
      <c r="AN50" s="49" t="str">
        <f>K50</f>
        <v>M2</v>
      </c>
      <c r="AO50" s="50" t="b">
        <f>K50=AM50</f>
        <v>0</v>
      </c>
      <c r="AP50" s="50"/>
    </row>
    <row r="51" spans="1:42" ht="21.75">
      <c r="A51" s="49">
        <v>49</v>
      </c>
      <c r="B51" s="50"/>
      <c r="C51" s="50"/>
      <c r="D51" s="50" t="s">
        <v>145</v>
      </c>
      <c r="E51" s="49" t="s">
        <v>392</v>
      </c>
      <c r="F51" s="49" t="str">
        <f t="shared" si="0"/>
        <v>07/08/2006</v>
      </c>
      <c r="G51" s="50">
        <f t="shared" si="1"/>
        <v>18</v>
      </c>
      <c r="H51" s="50">
        <f t="shared" si="2"/>
        <v>10</v>
      </c>
      <c r="I51" s="50">
        <f t="shared" si="3"/>
        <v>13</v>
      </c>
      <c r="J51" s="61"/>
      <c r="K51" s="49" t="s">
        <v>136</v>
      </c>
      <c r="L51" s="64"/>
      <c r="M51" s="49" t="s">
        <v>427</v>
      </c>
      <c r="N51" s="49">
        <v>2575</v>
      </c>
      <c r="O51" s="65" t="s">
        <v>467</v>
      </c>
      <c r="P51" s="49" t="str">
        <f t="shared" si="4"/>
        <v>02/05/2019</v>
      </c>
      <c r="Q51" s="68">
        <f t="shared" si="5"/>
        <v>6</v>
      </c>
      <c r="R51" s="68">
        <f t="shared" si="6"/>
        <v>1</v>
      </c>
      <c r="S51" s="68">
        <f t="shared" si="7"/>
        <v>18</v>
      </c>
      <c r="T51" s="65"/>
      <c r="U51" s="65"/>
      <c r="V51" s="49" t="str">
        <f t="shared" si="8"/>
        <v/>
      </c>
      <c r="W51" s="68">
        <f>IF(V51="",0,DATEDIF(V51,P51,"Y"))</f>
        <v>0</v>
      </c>
      <c r="X51" s="68">
        <f>IF(V51="",0,DATEDIF(V51,P51,"YM"))</f>
        <v>0</v>
      </c>
      <c r="Y51" s="68">
        <f>IF(V51="",0,DATEDIF(V51,P51,"MD"))</f>
        <v>0</v>
      </c>
      <c r="Z51" s="49"/>
      <c r="AA51" s="65"/>
      <c r="AB51" s="50" t="str">
        <f t="shared" si="9"/>
        <v/>
      </c>
      <c r="AC51" s="68">
        <f t="shared" si="10"/>
        <v>0</v>
      </c>
      <c r="AD51" s="68">
        <f t="shared" si="11"/>
        <v>0</v>
      </c>
      <c r="AE51" s="68">
        <f t="shared" si="12"/>
        <v>0</v>
      </c>
      <c r="AF51" s="50"/>
      <c r="AG51" s="50" t="s">
        <v>165</v>
      </c>
      <c r="AH51" s="49" t="str">
        <f>IF(AG51="นิติศาสตร์","K5-LAW","K5-POLICY")</f>
        <v>K5-POLICY</v>
      </c>
      <c r="AI51" s="72" t="str">
        <f>_xlfn.IFS(B51="","",AND(AH51="K5-LAW",AG51="นิติศาสตร์",K51="S2",T51="",Z51=""),P51,AND(AH51="K5-LAW",AG51="นิติศาสตร์",K51="S1",T51="",Z51=""),EDATE(P51,12),AND(AH51="K5-LAW",AG51="นิติศาสตร์",OR(K51="M2",K51="K4"),T51="",Z51=""),EDATE(P51,12*2),AND(AH51="K5-LAW",AG51="นิติศาสตร์",OR(Z51="M2",Z51="K4"),AC51&gt;=2,OR(AB51&lt;V51,AB51&lt;P51)),EDATE(AB51,12*2),AND(AH51="K5-LAW",AG51="นิติศาสตร์",Z51="S1",AC51&gt;=1,OR(AB51&lt;V51,AB51&lt;P51)),EDATE(AB51,12),AND(AH51="K5-LAW",AG51="นิติศาสตร์",OR(T51="M2",T51="K4"),W51&gt;=2,V51&lt;P51),EDATE(V51,12*2),AND(AH51="K5-LAW",AG51="นิติศาสตร์",T51="S1",W51&gt;=1,V51&lt;P51),EDATE(V51,12),AND(AH51="K5-LAW",AG51="นิติศาสตร์",OR(T51="S2",T51="K5")),V51,AND(AH51="K5-LAW",AG51="นิติศาสตร์",OR(K51="M2",K51="K4"),Q51&gt;=2),EDATE(P51,12*2),AND(AH51="K5-LAW",AG51="นิติศาสตร์",K51="S1",Q51&gt;=1),EDATE(P51,12),AND(AH51="K5-LAW",AG51="นิติศาสตร์",OR(K51="S2",K51="K5")),P51,AND(AH51="K5-POLICY",AG51&lt;&gt;"นิติศาสตร์",K51="S2",T51="",Z51=""),P51,AND(AH51="K5-POLICY",AG51&lt;&gt;"นิติศาสตร์",K51="S1",T51="",Z51=""),EDATE(P51,12),AND(AH51="K5-POLICY",AG51&lt;&gt;"นิติศาสตร์",OR(K51="M2",K51="K4"),T51="",Z51=""),EDATE(P51,12*2),AND(AH51="K5-POLICY",AG51&lt;&gt;"นิติศาสตร์",OR(Z51="M2",Z51="K4"),AC51&gt;=2,OR(AB51&lt;V51,AB51&lt;P51)),EDATE(AB51,12*2),AND(AH51="K5-POLICY",AG51&lt;&gt;"นิติศาสตร์",Z51="S1",AC51&gt;=1,OR(AB51&lt;V51,AB51&lt;P51)),EDATE(AB51,12),AND(AH51="K5-POLICY",AG51&lt;&gt;"นิติศาสตร์",OR(T51="M2",T51="K4"),W51&gt;=2,V51&lt;P51),EDATE(V51,12*2),AND(AH51="K5-POLICY",AG51&lt;&gt;"นิติศาสตร์",T51="S1",W51&gt;=1,V51&lt;P51),EDATE(V51,12),AND(AH51="K5-POLICY",AG51&lt;&gt;"นิติศาสตร์",OR(T51="S2",T51="K5")),V51,AND(AH51="K5-POLICY",AG51&lt;&gt;"นิติศาสตร์",OR(K51="M2",K51="K4"),Q51&gt;=2),EDATE(P51,12*2),AND(AH51="K5-POLICY",AG51&lt;&gt;"นิติศาสตร์",K51="S1",Q51&gt;=1),EDATE(P51,12),AND(AH51="K5-POLICY",AG51&lt;&gt;"นิติศาสตร์",OR(K51="S2",K51="K5")),P51,TRUE,"Check Data")</f>
        <v/>
      </c>
      <c r="AJ51" s="75" t="str">
        <f t="shared" si="13"/>
        <v>Check Data</v>
      </c>
      <c r="AK51" s="76" t="str">
        <f t="shared" si="14"/>
        <v>Check Data</v>
      </c>
      <c r="AL51" s="50" t="str">
        <f t="shared" si="15"/>
        <v>Check Data</v>
      </c>
      <c r="AM51" s="49" t="str">
        <f>IF(B51="","",IF(K51="S1","S1",INDEX(#REF!,#REF!)))</f>
        <v/>
      </c>
      <c r="AN51" s="49" t="str">
        <f>K51</f>
        <v>M2</v>
      </c>
      <c r="AO51" s="50" t="b">
        <f>K51=AM51</f>
        <v>0</v>
      </c>
      <c r="AP51" s="50"/>
    </row>
    <row r="52" spans="1:42" ht="21.75">
      <c r="A52" s="49">
        <v>50</v>
      </c>
      <c r="B52" s="50"/>
      <c r="C52" s="50"/>
      <c r="D52" s="50" t="s">
        <v>139</v>
      </c>
      <c r="E52" s="49" t="s">
        <v>233</v>
      </c>
      <c r="F52" s="49" t="str">
        <f t="shared" si="0"/>
        <v>08/08/1988</v>
      </c>
      <c r="G52" s="50">
        <f t="shared" si="1"/>
        <v>36</v>
      </c>
      <c r="H52" s="50">
        <f t="shared" si="2"/>
        <v>10</v>
      </c>
      <c r="I52" s="50">
        <f t="shared" si="3"/>
        <v>12</v>
      </c>
      <c r="J52" s="56"/>
      <c r="K52" s="49" t="s">
        <v>136</v>
      </c>
      <c r="L52" s="64"/>
      <c r="M52" s="49" t="s">
        <v>425</v>
      </c>
      <c r="N52" s="49">
        <v>2568</v>
      </c>
      <c r="O52" s="65" t="s">
        <v>213</v>
      </c>
      <c r="P52" s="49" t="str">
        <f t="shared" si="4"/>
        <v>07/05/2019</v>
      </c>
      <c r="Q52" s="68">
        <f t="shared" si="5"/>
        <v>6</v>
      </c>
      <c r="R52" s="68">
        <f t="shared" si="6"/>
        <v>1</v>
      </c>
      <c r="S52" s="68">
        <f t="shared" si="7"/>
        <v>13</v>
      </c>
      <c r="T52" s="65"/>
      <c r="U52" s="65"/>
      <c r="V52" s="49" t="str">
        <f t="shared" si="8"/>
        <v/>
      </c>
      <c r="W52" s="68">
        <f>IF(V52="",0,DATEDIF(V52,P52,"Y"))</f>
        <v>0</v>
      </c>
      <c r="X52" s="68">
        <f>IF(V52="",0,DATEDIF(V52,P52,"YM"))</f>
        <v>0</v>
      </c>
      <c r="Y52" s="68">
        <f>IF(V52="",0,DATEDIF(V52,P52,"MD"))</f>
        <v>0</v>
      </c>
      <c r="Z52" s="49"/>
      <c r="AA52" s="65"/>
      <c r="AB52" s="50" t="str">
        <f t="shared" si="9"/>
        <v/>
      </c>
      <c r="AC52" s="68">
        <f t="shared" si="10"/>
        <v>0</v>
      </c>
      <c r="AD52" s="68">
        <f t="shared" si="11"/>
        <v>0</v>
      </c>
      <c r="AE52" s="68">
        <f t="shared" si="12"/>
        <v>0</v>
      </c>
      <c r="AF52" s="50"/>
      <c r="AG52" s="50" t="s">
        <v>167</v>
      </c>
      <c r="AH52" s="49" t="str">
        <f>IF(AG52="นิติศาสตร์","K5-LAW","K5-POLICY")</f>
        <v>K5-POLICY</v>
      </c>
      <c r="AI52" s="72" t="str">
        <f>_xlfn.IFS(B52="","",AND(AH52="K5-LAW",AG52="นิติศาสตร์",K52="S2",T52="",Z52=""),P52,AND(AH52="K5-LAW",AG52="นิติศาสตร์",K52="S1",T52="",Z52=""),EDATE(P52,12),AND(AH52="K5-LAW",AG52="นิติศาสตร์",OR(K52="M2",K52="K4"),T52="",Z52=""),EDATE(P52,12*2),AND(AH52="K5-LAW",AG52="นิติศาสตร์",OR(Z52="M2",Z52="K4"),AC52&gt;=2,OR(AB52&lt;V52,AB52&lt;P52)),EDATE(AB52,12*2),AND(AH52="K5-LAW",AG52="นิติศาสตร์",Z52="S1",AC52&gt;=1,OR(AB52&lt;V52,AB52&lt;P52)),EDATE(AB52,12),AND(AH52="K5-LAW",AG52="นิติศาสตร์",OR(T52="M2",T52="K4"),W52&gt;=2,V52&lt;P52),EDATE(V52,12*2),AND(AH52="K5-LAW",AG52="นิติศาสตร์",T52="S1",W52&gt;=1,V52&lt;P52),EDATE(V52,12),AND(AH52="K5-LAW",AG52="นิติศาสตร์",OR(T52="S2",T52="K5")),V52,AND(AH52="K5-LAW",AG52="นิติศาสตร์",OR(K52="M2",K52="K4"),Q52&gt;=2),EDATE(P52,12*2),AND(AH52="K5-LAW",AG52="นิติศาสตร์",K52="S1",Q52&gt;=1),EDATE(P52,12),AND(AH52="K5-LAW",AG52="นิติศาสตร์",OR(K52="S2",K52="K5")),P52,AND(AH52="K5-POLICY",AG52&lt;&gt;"นิติศาสตร์",K52="S2",T52="",Z52=""),P52,AND(AH52="K5-POLICY",AG52&lt;&gt;"นิติศาสตร์",K52="S1",T52="",Z52=""),EDATE(P52,12),AND(AH52="K5-POLICY",AG52&lt;&gt;"นิติศาสตร์",OR(K52="M2",K52="K4"),T52="",Z52=""),EDATE(P52,12*2),AND(AH52="K5-POLICY",AG52&lt;&gt;"นิติศาสตร์",OR(Z52="M2",Z52="K4"),AC52&gt;=2,OR(AB52&lt;V52,AB52&lt;P52)),EDATE(AB52,12*2),AND(AH52="K5-POLICY",AG52&lt;&gt;"นิติศาสตร์",Z52="S1",AC52&gt;=1,OR(AB52&lt;V52,AB52&lt;P52)),EDATE(AB52,12),AND(AH52="K5-POLICY",AG52&lt;&gt;"นิติศาสตร์",OR(T52="M2",T52="K4"),W52&gt;=2,V52&lt;P52),EDATE(V52,12*2),AND(AH52="K5-POLICY",AG52&lt;&gt;"นิติศาสตร์",T52="S1",W52&gt;=1,V52&lt;P52),EDATE(V52,12),AND(AH52="K5-POLICY",AG52&lt;&gt;"นิติศาสตร์",OR(T52="S2",T52="K5")),V52,AND(AH52="K5-POLICY",AG52&lt;&gt;"นิติศาสตร์",OR(K52="M2",K52="K4"),Q52&gt;=2),EDATE(P52,12*2),AND(AH52="K5-POLICY",AG52&lt;&gt;"นิติศาสตร์",K52="S1",Q52&gt;=1),EDATE(P52,12),AND(AH52="K5-POLICY",AG52&lt;&gt;"นิติศาสตร์",OR(K52="S2",K52="K5")),P52,TRUE,"Check Data")</f>
        <v/>
      </c>
      <c r="AJ52" s="75" t="str">
        <f t="shared" si="13"/>
        <v>Check Data</v>
      </c>
      <c r="AK52" s="76" t="str">
        <f t="shared" si="14"/>
        <v>Check Data</v>
      </c>
      <c r="AL52" s="50" t="str">
        <f t="shared" si="15"/>
        <v>Check Data</v>
      </c>
      <c r="AM52" s="49" t="str">
        <f>IF(B52="","",IF(K52="S1","S1",INDEX(#REF!,#REF!)))</f>
        <v/>
      </c>
      <c r="AN52" s="49" t="str">
        <f>K52</f>
        <v>M2</v>
      </c>
      <c r="AO52" s="50" t="b">
        <f>K52=AM52</f>
        <v>0</v>
      </c>
      <c r="AP52" s="50"/>
    </row>
    <row r="53" spans="1:42" ht="21.75">
      <c r="A53" s="49">
        <v>51</v>
      </c>
      <c r="B53" s="50"/>
      <c r="C53" s="50"/>
      <c r="D53" s="50" t="s">
        <v>139</v>
      </c>
      <c r="E53" s="49" t="s">
        <v>164</v>
      </c>
      <c r="F53" s="49" t="str">
        <f t="shared" si="0"/>
        <v>01/05/1990</v>
      </c>
      <c r="G53" s="50">
        <f t="shared" si="1"/>
        <v>35</v>
      </c>
      <c r="H53" s="50">
        <f t="shared" si="2"/>
        <v>1</v>
      </c>
      <c r="I53" s="50">
        <f t="shared" si="3"/>
        <v>19</v>
      </c>
      <c r="J53" s="56"/>
      <c r="K53" s="49" t="s">
        <v>136</v>
      </c>
      <c r="L53" s="64"/>
      <c r="M53" s="49" t="s">
        <v>425</v>
      </c>
      <c r="N53" s="49">
        <v>2568</v>
      </c>
      <c r="O53" s="65" t="s">
        <v>213</v>
      </c>
      <c r="P53" s="49" t="str">
        <f t="shared" si="4"/>
        <v>07/05/2019</v>
      </c>
      <c r="Q53" s="68">
        <f t="shared" si="5"/>
        <v>6</v>
      </c>
      <c r="R53" s="68">
        <f t="shared" si="6"/>
        <v>1</v>
      </c>
      <c r="S53" s="68">
        <f t="shared" si="7"/>
        <v>13</v>
      </c>
      <c r="T53" s="65"/>
      <c r="U53" s="65"/>
      <c r="V53" s="49" t="str">
        <f t="shared" si="8"/>
        <v/>
      </c>
      <c r="W53" s="68">
        <f>IF(V53="",0,DATEDIF(V53,P53,"Y"))</f>
        <v>0</v>
      </c>
      <c r="X53" s="68">
        <f>IF(V53="",0,DATEDIF(V53,P53,"YM"))</f>
        <v>0</v>
      </c>
      <c r="Y53" s="68">
        <f>IF(V53="",0,DATEDIF(V53,P53,"MD"))</f>
        <v>0</v>
      </c>
      <c r="Z53" s="49"/>
      <c r="AA53" s="65"/>
      <c r="AB53" s="50" t="str">
        <f t="shared" si="9"/>
        <v/>
      </c>
      <c r="AC53" s="68">
        <f t="shared" si="10"/>
        <v>0</v>
      </c>
      <c r="AD53" s="68">
        <f t="shared" si="11"/>
        <v>0</v>
      </c>
      <c r="AE53" s="68">
        <f t="shared" si="12"/>
        <v>0</v>
      </c>
      <c r="AF53" s="50"/>
      <c r="AG53" s="50" t="s">
        <v>167</v>
      </c>
      <c r="AH53" s="49" t="str">
        <f>IF(AG53="นิติศาสตร์","K5-LAW","K5-POLICY")</f>
        <v>K5-POLICY</v>
      </c>
      <c r="AI53" s="72" t="str">
        <f>_xlfn.IFS(B53="","",AND(AH53="K5-LAW",AG53="นิติศาสตร์",K53="S2",T53="",Z53=""),P53,AND(AH53="K5-LAW",AG53="นิติศาสตร์",K53="S1",T53="",Z53=""),EDATE(P53,12),AND(AH53="K5-LAW",AG53="นิติศาสตร์",OR(K53="M2",K53="K4"),T53="",Z53=""),EDATE(P53,12*2),AND(AH53="K5-LAW",AG53="นิติศาสตร์",OR(Z53="M2",Z53="K4"),AC53&gt;=2,OR(AB53&lt;V53,AB53&lt;P53)),EDATE(AB53,12*2),AND(AH53="K5-LAW",AG53="นิติศาสตร์",Z53="S1",AC53&gt;=1,OR(AB53&lt;V53,AB53&lt;P53)),EDATE(AB53,12),AND(AH53="K5-LAW",AG53="นิติศาสตร์",OR(T53="M2",T53="K4"),W53&gt;=2,V53&lt;P53),EDATE(V53,12*2),AND(AH53="K5-LAW",AG53="นิติศาสตร์",T53="S1",W53&gt;=1,V53&lt;P53),EDATE(V53,12),AND(AH53="K5-LAW",AG53="นิติศาสตร์",OR(T53="S2",T53="K5")),V53,AND(AH53="K5-LAW",AG53="นิติศาสตร์",OR(K53="M2",K53="K4"),Q53&gt;=2),EDATE(P53,12*2),AND(AH53="K5-LAW",AG53="นิติศาสตร์",K53="S1",Q53&gt;=1),EDATE(P53,12),AND(AH53="K5-LAW",AG53="นิติศาสตร์",OR(K53="S2",K53="K5")),P53,AND(AH53="K5-POLICY",AG53&lt;&gt;"นิติศาสตร์",K53="S2",T53="",Z53=""),P53,AND(AH53="K5-POLICY",AG53&lt;&gt;"นิติศาสตร์",K53="S1",T53="",Z53=""),EDATE(P53,12),AND(AH53="K5-POLICY",AG53&lt;&gt;"นิติศาสตร์",OR(K53="M2",K53="K4"),T53="",Z53=""),EDATE(P53,12*2),AND(AH53="K5-POLICY",AG53&lt;&gt;"นิติศาสตร์",OR(Z53="M2",Z53="K4"),AC53&gt;=2,OR(AB53&lt;V53,AB53&lt;P53)),EDATE(AB53,12*2),AND(AH53="K5-POLICY",AG53&lt;&gt;"นิติศาสตร์",Z53="S1",AC53&gt;=1,OR(AB53&lt;V53,AB53&lt;P53)),EDATE(AB53,12),AND(AH53="K5-POLICY",AG53&lt;&gt;"นิติศาสตร์",OR(T53="M2",T53="K4"),W53&gt;=2,V53&lt;P53),EDATE(V53,12*2),AND(AH53="K5-POLICY",AG53&lt;&gt;"นิติศาสตร์",T53="S1",W53&gt;=1,V53&lt;P53),EDATE(V53,12),AND(AH53="K5-POLICY",AG53&lt;&gt;"นิติศาสตร์",OR(T53="S2",T53="K5")),V53,AND(AH53="K5-POLICY",AG53&lt;&gt;"นิติศาสตร์",OR(K53="M2",K53="K4"),Q53&gt;=2),EDATE(P53,12*2),AND(AH53="K5-POLICY",AG53&lt;&gt;"นิติศาสตร์",K53="S1",Q53&gt;=1),EDATE(P53,12),AND(AH53="K5-POLICY",AG53&lt;&gt;"นิติศาสตร์",OR(K53="S2",K53="K5")),P53,TRUE,"Check Data")</f>
        <v/>
      </c>
      <c r="AJ53" s="75" t="str">
        <f t="shared" si="13"/>
        <v>Check Data</v>
      </c>
      <c r="AK53" s="76" t="str">
        <f t="shared" si="14"/>
        <v>Check Data</v>
      </c>
      <c r="AL53" s="50" t="str">
        <f t="shared" si="15"/>
        <v>Check Data</v>
      </c>
      <c r="AM53" s="49" t="str">
        <f>IF(B53="","",IF(K53="S1","S1",INDEX(#REF!,#REF!)))</f>
        <v/>
      </c>
      <c r="AN53" s="49" t="str">
        <f>K53</f>
        <v>M2</v>
      </c>
      <c r="AO53" s="50" t="b">
        <f>K53=AM53</f>
        <v>0</v>
      </c>
      <c r="AP53" s="50"/>
    </row>
    <row r="54" spans="1:42" ht="21.75">
      <c r="A54" s="49">
        <v>52</v>
      </c>
      <c r="B54" s="50"/>
      <c r="C54" s="50"/>
      <c r="D54" s="50" t="s">
        <v>140</v>
      </c>
      <c r="E54" s="49" t="s">
        <v>239</v>
      </c>
      <c r="F54" s="49" t="str">
        <f t="shared" si="0"/>
        <v>01/05/1985</v>
      </c>
      <c r="G54" s="50">
        <f t="shared" si="1"/>
        <v>40</v>
      </c>
      <c r="H54" s="50">
        <f t="shared" si="2"/>
        <v>1</v>
      </c>
      <c r="I54" s="50">
        <f t="shared" si="3"/>
        <v>19</v>
      </c>
      <c r="J54" s="57"/>
      <c r="K54" s="49" t="s">
        <v>136</v>
      </c>
      <c r="L54" s="64"/>
      <c r="M54" s="49" t="s">
        <v>425</v>
      </c>
      <c r="N54" s="49">
        <v>2568</v>
      </c>
      <c r="O54" s="65" t="s">
        <v>213</v>
      </c>
      <c r="P54" s="49" t="str">
        <f t="shared" si="4"/>
        <v>07/05/2019</v>
      </c>
      <c r="Q54" s="68">
        <f t="shared" si="5"/>
        <v>6</v>
      </c>
      <c r="R54" s="68">
        <f t="shared" si="6"/>
        <v>1</v>
      </c>
      <c r="S54" s="68">
        <f t="shared" si="7"/>
        <v>13</v>
      </c>
      <c r="T54" s="65"/>
      <c r="U54" s="65"/>
      <c r="V54" s="49" t="str">
        <f t="shared" si="8"/>
        <v/>
      </c>
      <c r="W54" s="68">
        <f>IF(V54="",0,DATEDIF(V54,P54,"Y"))</f>
        <v>0</v>
      </c>
      <c r="X54" s="68">
        <f>IF(V54="",0,DATEDIF(V54,P54,"YM"))</f>
        <v>0</v>
      </c>
      <c r="Y54" s="68">
        <f>IF(V54="",0,DATEDIF(V54,P54,"MD"))</f>
        <v>0</v>
      </c>
      <c r="Z54" s="49"/>
      <c r="AA54" s="65"/>
      <c r="AB54" s="50" t="str">
        <f t="shared" si="9"/>
        <v/>
      </c>
      <c r="AC54" s="68">
        <f t="shared" si="10"/>
        <v>0</v>
      </c>
      <c r="AD54" s="68">
        <f t="shared" si="11"/>
        <v>0</v>
      </c>
      <c r="AE54" s="68">
        <f t="shared" si="12"/>
        <v>0</v>
      </c>
      <c r="AF54" s="50"/>
      <c r="AG54" s="50" t="s">
        <v>138</v>
      </c>
      <c r="AH54" s="49" t="str">
        <f>IF(AG54="นิติศาสตร์","K5-LAW","K5-POLICY")</f>
        <v>K5-LAW</v>
      </c>
      <c r="AI54" s="72" t="str">
        <f>_xlfn.IFS(B54="","",AND(AH54="K5-LAW",AG54="นิติศาสตร์",K54="S2",T54="",Z54=""),P54,AND(AH54="K5-LAW",AG54="นิติศาสตร์",K54="S1",T54="",Z54=""),EDATE(P54,12),AND(AH54="K5-LAW",AG54="นิติศาสตร์",OR(K54="M2",K54="K4"),T54="",Z54=""),EDATE(P54,12*2),AND(AH54="K5-LAW",AG54="นิติศาสตร์",OR(Z54="M2",Z54="K4"),AC54&gt;=2,OR(AB54&lt;V54,AB54&lt;P54)),EDATE(AB54,12*2),AND(AH54="K5-LAW",AG54="นิติศาสตร์",Z54="S1",AC54&gt;=1,OR(AB54&lt;V54,AB54&lt;P54)),EDATE(AB54,12),AND(AH54="K5-LAW",AG54="นิติศาสตร์",OR(T54="M2",T54="K4"),W54&gt;=2,V54&lt;P54),EDATE(V54,12*2),AND(AH54="K5-LAW",AG54="นิติศาสตร์",T54="S1",W54&gt;=1,V54&lt;P54),EDATE(V54,12),AND(AH54="K5-LAW",AG54="นิติศาสตร์",OR(T54="S2",T54="K5")),V54,AND(AH54="K5-LAW",AG54="นิติศาสตร์",OR(K54="M2",K54="K4"),Q54&gt;=2),EDATE(P54,12*2),AND(AH54="K5-LAW",AG54="นิติศาสตร์",K54="S1",Q54&gt;=1),EDATE(P54,12),AND(AH54="K5-LAW",AG54="นิติศาสตร์",OR(K54="S2",K54="K5")),P54,AND(AH54="K5-POLICY",AG54&lt;&gt;"นิติศาสตร์",K54="S2",T54="",Z54=""),P54,AND(AH54="K5-POLICY",AG54&lt;&gt;"นิติศาสตร์",K54="S1",T54="",Z54=""),EDATE(P54,12),AND(AH54="K5-POLICY",AG54&lt;&gt;"นิติศาสตร์",OR(K54="M2",K54="K4"),T54="",Z54=""),EDATE(P54,12*2),AND(AH54="K5-POLICY",AG54&lt;&gt;"นิติศาสตร์",OR(Z54="M2",Z54="K4"),AC54&gt;=2,OR(AB54&lt;V54,AB54&lt;P54)),EDATE(AB54,12*2),AND(AH54="K5-POLICY",AG54&lt;&gt;"นิติศาสตร์",Z54="S1",AC54&gt;=1,OR(AB54&lt;V54,AB54&lt;P54)),EDATE(AB54,12),AND(AH54="K5-POLICY",AG54&lt;&gt;"นิติศาสตร์",OR(T54="M2",T54="K4"),W54&gt;=2,V54&lt;P54),EDATE(V54,12*2),AND(AH54="K5-POLICY",AG54&lt;&gt;"นิติศาสตร์",T54="S1",W54&gt;=1,V54&lt;P54),EDATE(V54,12),AND(AH54="K5-POLICY",AG54&lt;&gt;"นิติศาสตร์",OR(T54="S2",T54="K5")),V54,AND(AH54="K5-POLICY",AG54&lt;&gt;"นิติศาสตร์",OR(K54="M2",K54="K4"),Q54&gt;=2),EDATE(P54,12*2),AND(AH54="K5-POLICY",AG54&lt;&gt;"นิติศาสตร์",K54="S1",Q54&gt;=1),EDATE(P54,12),AND(AH54="K5-POLICY",AG54&lt;&gt;"นิติศาสตร์",OR(K54="S2",K54="K5")),P54,TRUE,"Check Data")</f>
        <v/>
      </c>
      <c r="AJ54" s="75" t="str">
        <f t="shared" si="13"/>
        <v>Check Data</v>
      </c>
      <c r="AK54" s="76" t="str">
        <f t="shared" si="14"/>
        <v>Check Data</v>
      </c>
      <c r="AL54" s="50" t="str">
        <f t="shared" si="15"/>
        <v>Check Data</v>
      </c>
      <c r="AM54" s="49" t="str">
        <f>IF(B54="","",IF(K54="S1","S1",INDEX(#REF!,#REF!)))</f>
        <v/>
      </c>
      <c r="AN54" s="49" t="str">
        <f>K54</f>
        <v>M2</v>
      </c>
      <c r="AO54" s="50" t="b">
        <f>K54=AM54</f>
        <v>0</v>
      </c>
      <c r="AP54" s="50"/>
    </row>
    <row r="55" spans="1:42" ht="21.75">
      <c r="A55" s="49">
        <v>53</v>
      </c>
      <c r="B55" s="50"/>
      <c r="C55" s="50"/>
      <c r="D55" s="50" t="s">
        <v>144</v>
      </c>
      <c r="E55" s="49" t="s">
        <v>386</v>
      </c>
      <c r="F55" s="49" t="str">
        <f t="shared" si="0"/>
        <v>07/02/1994</v>
      </c>
      <c r="G55" s="50">
        <f t="shared" si="1"/>
        <v>31</v>
      </c>
      <c r="H55" s="50">
        <f t="shared" si="2"/>
        <v>4</v>
      </c>
      <c r="I55" s="50">
        <f t="shared" si="3"/>
        <v>13</v>
      </c>
      <c r="J55" s="57"/>
      <c r="K55" s="49" t="s">
        <v>136</v>
      </c>
      <c r="L55" s="64"/>
      <c r="M55" s="49" t="s">
        <v>425</v>
      </c>
      <c r="N55" s="49">
        <v>2568</v>
      </c>
      <c r="O55" s="65" t="s">
        <v>387</v>
      </c>
      <c r="P55" s="49" t="str">
        <f t="shared" si="4"/>
        <v>01/07/2019</v>
      </c>
      <c r="Q55" s="68">
        <f t="shared" si="5"/>
        <v>5</v>
      </c>
      <c r="R55" s="68">
        <f t="shared" si="6"/>
        <v>11</v>
      </c>
      <c r="S55" s="68">
        <f t="shared" si="7"/>
        <v>19</v>
      </c>
      <c r="T55" s="65"/>
      <c r="U55" s="65"/>
      <c r="V55" s="49" t="str">
        <f t="shared" si="8"/>
        <v/>
      </c>
      <c r="W55" s="68">
        <f>IF(V55="",0,DATEDIF(V55,P55,"Y"))</f>
        <v>0</v>
      </c>
      <c r="X55" s="68">
        <f>IF(V55="",0,DATEDIF(V55,P55,"YM"))</f>
        <v>0</v>
      </c>
      <c r="Y55" s="68">
        <f>IF(V55="",0,DATEDIF(V55,P55,"MD"))</f>
        <v>0</v>
      </c>
      <c r="Z55" s="49"/>
      <c r="AA55" s="65"/>
      <c r="AB55" s="50" t="str">
        <f t="shared" si="9"/>
        <v/>
      </c>
      <c r="AC55" s="68">
        <f t="shared" si="10"/>
        <v>0</v>
      </c>
      <c r="AD55" s="68">
        <f t="shared" si="11"/>
        <v>0</v>
      </c>
      <c r="AE55" s="68">
        <f t="shared" si="12"/>
        <v>0</v>
      </c>
      <c r="AF55" s="50"/>
      <c r="AG55" s="50" t="s">
        <v>138</v>
      </c>
      <c r="AH55" s="49" t="str">
        <f>IF(AG55="นิติศาสตร์","K5-LAW","K5-POLICY")</f>
        <v>K5-LAW</v>
      </c>
      <c r="AI55" s="72" t="str">
        <f>_xlfn.IFS(B55="","",AND(AH55="K5-LAW",AG55="นิติศาสตร์",K55="S2",T55="",Z55=""),P55,AND(AH55="K5-LAW",AG55="นิติศาสตร์",K55="S1",T55="",Z55=""),EDATE(P55,12),AND(AH55="K5-LAW",AG55="นิติศาสตร์",OR(K55="M2",K55="K4"),T55="",Z55=""),EDATE(P55,12*2),AND(AH55="K5-LAW",AG55="นิติศาสตร์",OR(Z55="M2",Z55="K4"),AC55&gt;=2,OR(AB55&lt;V55,AB55&lt;P55)),EDATE(AB55,12*2),AND(AH55="K5-LAW",AG55="นิติศาสตร์",Z55="S1",AC55&gt;=1,OR(AB55&lt;V55,AB55&lt;P55)),EDATE(AB55,12),AND(AH55="K5-LAW",AG55="นิติศาสตร์",OR(T55="M2",T55="K4"),W55&gt;=2,V55&lt;P55),EDATE(V55,12*2),AND(AH55="K5-LAW",AG55="นิติศาสตร์",T55="S1",W55&gt;=1,V55&lt;P55),EDATE(V55,12),AND(AH55="K5-LAW",AG55="นิติศาสตร์",OR(T55="S2",T55="K5")),V55,AND(AH55="K5-LAW",AG55="นิติศาสตร์",OR(K55="M2",K55="K4"),Q55&gt;=2),EDATE(P55,12*2),AND(AH55="K5-LAW",AG55="นิติศาสตร์",K55="S1",Q55&gt;=1),EDATE(P55,12),AND(AH55="K5-LAW",AG55="นิติศาสตร์",OR(K55="S2",K55="K5")),P55,AND(AH55="K5-POLICY",AG55&lt;&gt;"นิติศาสตร์",K55="S2",T55="",Z55=""),P55,AND(AH55="K5-POLICY",AG55&lt;&gt;"นิติศาสตร์",K55="S1",T55="",Z55=""),EDATE(P55,12),AND(AH55="K5-POLICY",AG55&lt;&gt;"นิติศาสตร์",OR(K55="M2",K55="K4"),T55="",Z55=""),EDATE(P55,12*2),AND(AH55="K5-POLICY",AG55&lt;&gt;"นิติศาสตร์",OR(Z55="M2",Z55="K4"),AC55&gt;=2,OR(AB55&lt;V55,AB55&lt;P55)),EDATE(AB55,12*2),AND(AH55="K5-POLICY",AG55&lt;&gt;"นิติศาสตร์",Z55="S1",AC55&gt;=1,OR(AB55&lt;V55,AB55&lt;P55)),EDATE(AB55,12),AND(AH55="K5-POLICY",AG55&lt;&gt;"นิติศาสตร์",OR(T55="M2",T55="K4"),W55&gt;=2,V55&lt;P55),EDATE(V55,12*2),AND(AH55="K5-POLICY",AG55&lt;&gt;"นิติศาสตร์",T55="S1",W55&gt;=1,V55&lt;P55),EDATE(V55,12),AND(AH55="K5-POLICY",AG55&lt;&gt;"นิติศาสตร์",OR(T55="S2",T55="K5")),V55,AND(AH55="K5-POLICY",AG55&lt;&gt;"นิติศาสตร์",OR(K55="M2",K55="K4"),Q55&gt;=2),EDATE(P55,12*2),AND(AH55="K5-POLICY",AG55&lt;&gt;"นิติศาสตร์",K55="S1",Q55&gt;=1),EDATE(P55,12),AND(AH55="K5-POLICY",AG55&lt;&gt;"นิติศาสตร์",OR(K55="S2",K55="K5")),P55,TRUE,"Check Data")</f>
        <v/>
      </c>
      <c r="AJ55" s="75" t="str">
        <f t="shared" si="13"/>
        <v>Check Data</v>
      </c>
      <c r="AK55" s="76" t="str">
        <f t="shared" si="14"/>
        <v>Check Data</v>
      </c>
      <c r="AL55" s="50" t="str">
        <f t="shared" si="15"/>
        <v>Check Data</v>
      </c>
      <c r="AM55" s="49" t="str">
        <f>IF(B55="","",IF(K55="S1","S1",INDEX(#REF!,#REF!)))</f>
        <v/>
      </c>
      <c r="AN55" s="49" t="str">
        <f>K55</f>
        <v>M2</v>
      </c>
      <c r="AO55" s="50" t="b">
        <f>K55=AM55</f>
        <v>0</v>
      </c>
      <c r="AP55" s="50"/>
    </row>
    <row r="56" spans="1:42" ht="21.75">
      <c r="A56" s="49">
        <v>54</v>
      </c>
      <c r="B56" s="50"/>
      <c r="C56" s="50"/>
      <c r="D56" s="50" t="s">
        <v>139</v>
      </c>
      <c r="E56" s="49" t="s">
        <v>187</v>
      </c>
      <c r="F56" s="49" t="str">
        <f t="shared" si="0"/>
        <v>01/08/1990</v>
      </c>
      <c r="G56" s="50">
        <f t="shared" si="1"/>
        <v>34</v>
      </c>
      <c r="H56" s="50">
        <f t="shared" si="2"/>
        <v>10</v>
      </c>
      <c r="I56" s="50">
        <f t="shared" si="3"/>
        <v>19</v>
      </c>
      <c r="J56" s="56"/>
      <c r="K56" s="49" t="s">
        <v>136</v>
      </c>
      <c r="L56" s="64"/>
      <c r="M56" s="49" t="s">
        <v>425</v>
      </c>
      <c r="N56" s="49">
        <v>2571</v>
      </c>
      <c r="O56" s="65" t="s">
        <v>228</v>
      </c>
      <c r="P56" s="49" t="str">
        <f t="shared" si="4"/>
        <v>04/12/2019</v>
      </c>
      <c r="Q56" s="68">
        <f t="shared" si="5"/>
        <v>5</v>
      </c>
      <c r="R56" s="68">
        <f t="shared" si="6"/>
        <v>6</v>
      </c>
      <c r="S56" s="68">
        <f t="shared" si="7"/>
        <v>16</v>
      </c>
      <c r="T56" s="65"/>
      <c r="U56" s="65"/>
      <c r="V56" s="49" t="str">
        <f t="shared" si="8"/>
        <v/>
      </c>
      <c r="W56" s="68">
        <f>IF(V56="",0,DATEDIF(V56,P56,"Y"))</f>
        <v>0</v>
      </c>
      <c r="X56" s="68">
        <f>IF(V56="",0,DATEDIF(V56,P56,"YM"))</f>
        <v>0</v>
      </c>
      <c r="Y56" s="68">
        <f>IF(V56="",0,DATEDIF(V56,P56,"MD"))</f>
        <v>0</v>
      </c>
      <c r="Z56" s="49"/>
      <c r="AA56" s="65"/>
      <c r="AB56" s="50" t="str">
        <f t="shared" si="9"/>
        <v/>
      </c>
      <c r="AC56" s="68">
        <f t="shared" si="10"/>
        <v>0</v>
      </c>
      <c r="AD56" s="68">
        <f t="shared" si="11"/>
        <v>0</v>
      </c>
      <c r="AE56" s="68">
        <f t="shared" si="12"/>
        <v>0</v>
      </c>
      <c r="AF56" s="50"/>
      <c r="AG56" s="50" t="s">
        <v>165</v>
      </c>
      <c r="AH56" s="49" t="str">
        <f>IF(AG56="นิติศาสตร์","K5-LAW","K5-POLICY")</f>
        <v>K5-POLICY</v>
      </c>
      <c r="AI56" s="72" t="str">
        <f>_xlfn.IFS(B56="","",AND(AH56="K5-LAW",AG56="นิติศาสตร์",K56="S2",T56="",Z56=""),P56,AND(AH56="K5-LAW",AG56="นิติศาสตร์",K56="S1",T56="",Z56=""),EDATE(P56,12),AND(AH56="K5-LAW",AG56="นิติศาสตร์",OR(K56="M2",K56="K4"),T56="",Z56=""),EDATE(P56,12*2),AND(AH56="K5-LAW",AG56="นิติศาสตร์",OR(Z56="M2",Z56="K4"),AC56&gt;=2,OR(AB56&lt;V56,AB56&lt;P56)),EDATE(AB56,12*2),AND(AH56="K5-LAW",AG56="นิติศาสตร์",Z56="S1",AC56&gt;=1,OR(AB56&lt;V56,AB56&lt;P56)),EDATE(AB56,12),AND(AH56="K5-LAW",AG56="นิติศาสตร์",OR(T56="M2",T56="K4"),W56&gt;=2,V56&lt;P56),EDATE(V56,12*2),AND(AH56="K5-LAW",AG56="นิติศาสตร์",T56="S1",W56&gt;=1,V56&lt;P56),EDATE(V56,12),AND(AH56="K5-LAW",AG56="นิติศาสตร์",OR(T56="S2",T56="K5")),V56,AND(AH56="K5-LAW",AG56="นิติศาสตร์",OR(K56="M2",K56="K4"),Q56&gt;=2),EDATE(P56,12*2),AND(AH56="K5-LAW",AG56="นิติศาสตร์",K56="S1",Q56&gt;=1),EDATE(P56,12),AND(AH56="K5-LAW",AG56="นิติศาสตร์",OR(K56="S2",K56="K5")),P56,AND(AH56="K5-POLICY",AG56&lt;&gt;"นิติศาสตร์",K56="S2",T56="",Z56=""),P56,AND(AH56="K5-POLICY",AG56&lt;&gt;"นิติศาสตร์",K56="S1",T56="",Z56=""),EDATE(P56,12),AND(AH56="K5-POLICY",AG56&lt;&gt;"นิติศาสตร์",OR(K56="M2",K56="K4"),T56="",Z56=""),EDATE(P56,12*2),AND(AH56="K5-POLICY",AG56&lt;&gt;"นิติศาสตร์",OR(Z56="M2",Z56="K4"),AC56&gt;=2,OR(AB56&lt;V56,AB56&lt;P56)),EDATE(AB56,12*2),AND(AH56="K5-POLICY",AG56&lt;&gt;"นิติศาสตร์",Z56="S1",AC56&gt;=1,OR(AB56&lt;V56,AB56&lt;P56)),EDATE(AB56,12),AND(AH56="K5-POLICY",AG56&lt;&gt;"นิติศาสตร์",OR(T56="M2",T56="K4"),W56&gt;=2,V56&lt;P56),EDATE(V56,12*2),AND(AH56="K5-POLICY",AG56&lt;&gt;"นิติศาสตร์",T56="S1",W56&gt;=1,V56&lt;P56),EDATE(V56,12),AND(AH56="K5-POLICY",AG56&lt;&gt;"นิติศาสตร์",OR(T56="S2",T56="K5")),V56,AND(AH56="K5-POLICY",AG56&lt;&gt;"นิติศาสตร์",OR(K56="M2",K56="K4"),Q56&gt;=2),EDATE(P56,12*2),AND(AH56="K5-POLICY",AG56&lt;&gt;"นิติศาสตร์",K56="S1",Q56&gt;=1),EDATE(P56,12),AND(AH56="K5-POLICY",AG56&lt;&gt;"นิติศาสตร์",OR(K56="S2",K56="K5")),P56,TRUE,"Check Data")</f>
        <v/>
      </c>
      <c r="AJ56" s="75" t="str">
        <f t="shared" si="13"/>
        <v>Check Data</v>
      </c>
      <c r="AK56" s="76" t="str">
        <f t="shared" si="14"/>
        <v>Check Data</v>
      </c>
      <c r="AL56" s="50" t="str">
        <f t="shared" si="15"/>
        <v>Check Data</v>
      </c>
      <c r="AM56" s="49" t="str">
        <f>IF(B56="","",IF(K56="S1","S1",INDEX(#REF!,#REF!)))</f>
        <v/>
      </c>
      <c r="AN56" s="49" t="str">
        <f>K56</f>
        <v>M2</v>
      </c>
      <c r="AO56" s="50" t="b">
        <f>K56=AM56</f>
        <v>0</v>
      </c>
      <c r="AP56" s="50"/>
    </row>
    <row r="57" spans="1:42" ht="21.75">
      <c r="A57" s="49">
        <v>55</v>
      </c>
      <c r="B57" s="50"/>
      <c r="C57" s="50"/>
      <c r="D57" s="50" t="s">
        <v>139</v>
      </c>
      <c r="E57" s="49" t="s">
        <v>229</v>
      </c>
      <c r="F57" s="49" t="str">
        <f t="shared" si="0"/>
        <v>04/10/1993</v>
      </c>
      <c r="G57" s="50">
        <f t="shared" si="1"/>
        <v>31</v>
      </c>
      <c r="H57" s="50">
        <f t="shared" si="2"/>
        <v>8</v>
      </c>
      <c r="I57" s="50">
        <f t="shared" si="3"/>
        <v>16</v>
      </c>
      <c r="J57" s="56"/>
      <c r="K57" s="49" t="s">
        <v>136</v>
      </c>
      <c r="L57" s="64"/>
      <c r="M57" s="49" t="s">
        <v>425</v>
      </c>
      <c r="N57" s="49">
        <v>2569</v>
      </c>
      <c r="O57" s="65" t="s">
        <v>228</v>
      </c>
      <c r="P57" s="49" t="str">
        <f t="shared" si="4"/>
        <v>04/12/2019</v>
      </c>
      <c r="Q57" s="68">
        <f t="shared" si="5"/>
        <v>5</v>
      </c>
      <c r="R57" s="68">
        <f t="shared" si="6"/>
        <v>6</v>
      </c>
      <c r="S57" s="68">
        <f t="shared" si="7"/>
        <v>16</v>
      </c>
      <c r="T57" s="65"/>
      <c r="U57" s="65"/>
      <c r="V57" s="49" t="str">
        <f t="shared" si="8"/>
        <v/>
      </c>
      <c r="W57" s="68">
        <f>IF(V57="",0,DATEDIF(V57,P57,"Y"))</f>
        <v>0</v>
      </c>
      <c r="X57" s="68">
        <f>IF(V57="",0,DATEDIF(V57,P57,"YM"))</f>
        <v>0</v>
      </c>
      <c r="Y57" s="68">
        <f>IF(V57="",0,DATEDIF(V57,P57,"MD"))</f>
        <v>0</v>
      </c>
      <c r="Z57" s="49"/>
      <c r="AA57" s="65"/>
      <c r="AB57" s="50" t="str">
        <f t="shared" si="9"/>
        <v/>
      </c>
      <c r="AC57" s="68">
        <f t="shared" si="10"/>
        <v>0</v>
      </c>
      <c r="AD57" s="68">
        <f t="shared" si="11"/>
        <v>0</v>
      </c>
      <c r="AE57" s="68">
        <f t="shared" si="12"/>
        <v>0</v>
      </c>
      <c r="AF57" s="50"/>
      <c r="AG57" s="50" t="s">
        <v>138</v>
      </c>
      <c r="AH57" s="49" t="str">
        <f>IF(AG57="นิติศาสตร์","K5-LAW","K5-POLICY")</f>
        <v>K5-LAW</v>
      </c>
      <c r="AI57" s="72" t="str">
        <f>_xlfn.IFS(B57="","",AND(AH57="K5-LAW",AG57="นิติศาสตร์",K57="S2",T57="",Z57=""),P57,AND(AH57="K5-LAW",AG57="นิติศาสตร์",K57="S1",T57="",Z57=""),EDATE(P57,12),AND(AH57="K5-LAW",AG57="นิติศาสตร์",OR(K57="M2",K57="K4"),T57="",Z57=""),EDATE(P57,12*2),AND(AH57="K5-LAW",AG57="นิติศาสตร์",OR(Z57="M2",Z57="K4"),AC57&gt;=2,OR(AB57&lt;V57,AB57&lt;P57)),EDATE(AB57,12*2),AND(AH57="K5-LAW",AG57="นิติศาสตร์",Z57="S1",AC57&gt;=1,OR(AB57&lt;V57,AB57&lt;P57)),EDATE(AB57,12),AND(AH57="K5-LAW",AG57="นิติศาสตร์",OR(T57="M2",T57="K4"),W57&gt;=2,V57&lt;P57),EDATE(V57,12*2),AND(AH57="K5-LAW",AG57="นิติศาสตร์",T57="S1",W57&gt;=1,V57&lt;P57),EDATE(V57,12),AND(AH57="K5-LAW",AG57="นิติศาสตร์",OR(T57="S2",T57="K5")),V57,AND(AH57="K5-LAW",AG57="นิติศาสตร์",OR(K57="M2",K57="K4"),Q57&gt;=2),EDATE(P57,12*2),AND(AH57="K5-LAW",AG57="นิติศาสตร์",K57="S1",Q57&gt;=1),EDATE(P57,12),AND(AH57="K5-LAW",AG57="นิติศาสตร์",OR(K57="S2",K57="K5")),P57,AND(AH57="K5-POLICY",AG57&lt;&gt;"นิติศาสตร์",K57="S2",T57="",Z57=""),P57,AND(AH57="K5-POLICY",AG57&lt;&gt;"นิติศาสตร์",K57="S1",T57="",Z57=""),EDATE(P57,12),AND(AH57="K5-POLICY",AG57&lt;&gt;"นิติศาสตร์",OR(K57="M2",K57="K4"),T57="",Z57=""),EDATE(P57,12*2),AND(AH57="K5-POLICY",AG57&lt;&gt;"นิติศาสตร์",OR(Z57="M2",Z57="K4"),AC57&gt;=2,OR(AB57&lt;V57,AB57&lt;P57)),EDATE(AB57,12*2),AND(AH57="K5-POLICY",AG57&lt;&gt;"นิติศาสตร์",Z57="S1",AC57&gt;=1,OR(AB57&lt;V57,AB57&lt;P57)),EDATE(AB57,12),AND(AH57="K5-POLICY",AG57&lt;&gt;"นิติศาสตร์",OR(T57="M2",T57="K4"),W57&gt;=2,V57&lt;P57),EDATE(V57,12*2),AND(AH57="K5-POLICY",AG57&lt;&gt;"นิติศาสตร์",T57="S1",W57&gt;=1,V57&lt;P57),EDATE(V57,12),AND(AH57="K5-POLICY",AG57&lt;&gt;"นิติศาสตร์",OR(T57="S2",T57="K5")),V57,AND(AH57="K5-POLICY",AG57&lt;&gt;"นิติศาสตร์",OR(K57="M2",K57="K4"),Q57&gt;=2),EDATE(P57,12*2),AND(AH57="K5-POLICY",AG57&lt;&gt;"นิติศาสตร์",K57="S1",Q57&gt;=1),EDATE(P57,12),AND(AH57="K5-POLICY",AG57&lt;&gt;"นิติศาสตร์",OR(K57="S2",K57="K5")),P57,TRUE,"Check Data")</f>
        <v/>
      </c>
      <c r="AJ57" s="75" t="str">
        <f t="shared" si="13"/>
        <v>Check Data</v>
      </c>
      <c r="AK57" s="76" t="str">
        <f t="shared" si="14"/>
        <v>Check Data</v>
      </c>
      <c r="AL57" s="50" t="str">
        <f t="shared" si="15"/>
        <v>Check Data</v>
      </c>
      <c r="AM57" s="49" t="str">
        <f>IF(B57="","",IF(K57="S1","S1",INDEX(#REF!,#REF!)))</f>
        <v/>
      </c>
      <c r="AN57" s="49" t="str">
        <f>K57</f>
        <v>M2</v>
      </c>
      <c r="AO57" s="50" t="b">
        <f>K57=AM57</f>
        <v>0</v>
      </c>
      <c r="AP57" s="50"/>
    </row>
    <row r="58" spans="1:42" ht="21.75">
      <c r="A58" s="49">
        <v>56</v>
      </c>
      <c r="B58" s="50"/>
      <c r="C58" s="50"/>
      <c r="D58" s="50" t="s">
        <v>141</v>
      </c>
      <c r="E58" s="49" t="s">
        <v>255</v>
      </c>
      <c r="F58" s="49" t="str">
        <f t="shared" si="0"/>
        <v>20/03/1985</v>
      </c>
      <c r="G58" s="50">
        <f t="shared" si="1"/>
        <v>40</v>
      </c>
      <c r="H58" s="50">
        <f t="shared" si="2"/>
        <v>3</v>
      </c>
      <c r="I58" s="50">
        <f t="shared" si="3"/>
        <v>0</v>
      </c>
      <c r="J58" s="60"/>
      <c r="K58" s="49" t="s">
        <v>136</v>
      </c>
      <c r="L58" s="64"/>
      <c r="M58" s="49" t="s">
        <v>425</v>
      </c>
      <c r="N58" s="49">
        <v>2569</v>
      </c>
      <c r="O58" s="65" t="s">
        <v>228</v>
      </c>
      <c r="P58" s="49" t="str">
        <f t="shared" si="4"/>
        <v>04/12/2019</v>
      </c>
      <c r="Q58" s="68">
        <f t="shared" si="5"/>
        <v>5</v>
      </c>
      <c r="R58" s="68">
        <f t="shared" si="6"/>
        <v>6</v>
      </c>
      <c r="S58" s="68">
        <f t="shared" si="7"/>
        <v>16</v>
      </c>
      <c r="T58" s="65"/>
      <c r="U58" s="65"/>
      <c r="V58" s="49" t="str">
        <f t="shared" si="8"/>
        <v/>
      </c>
      <c r="W58" s="68">
        <f>IF(V58="",0,DATEDIF(V58,P58,"Y"))</f>
        <v>0</v>
      </c>
      <c r="X58" s="68">
        <f>IF(V58="",0,DATEDIF(V58,P58,"YM"))</f>
        <v>0</v>
      </c>
      <c r="Y58" s="68">
        <f>IF(V58="",0,DATEDIF(V58,P58,"MD"))</f>
        <v>0</v>
      </c>
      <c r="Z58" s="49"/>
      <c r="AA58" s="65"/>
      <c r="AB58" s="50" t="str">
        <f t="shared" si="9"/>
        <v/>
      </c>
      <c r="AC58" s="68">
        <f t="shared" si="10"/>
        <v>0</v>
      </c>
      <c r="AD58" s="68">
        <f t="shared" si="11"/>
        <v>0</v>
      </c>
      <c r="AE58" s="68">
        <f t="shared" si="12"/>
        <v>0</v>
      </c>
      <c r="AF58" s="50"/>
      <c r="AG58" s="50" t="s">
        <v>138</v>
      </c>
      <c r="AH58" s="49" t="str">
        <f>IF(AG58="นิติศาสตร์","K5-LAW","K5-POLICY")</f>
        <v>K5-LAW</v>
      </c>
      <c r="AI58" s="72" t="str">
        <f>_xlfn.IFS(B58="","",AND(AH58="K5-LAW",AG58="นิติศาสตร์",K58="S2",T58="",Z58=""),P58,AND(AH58="K5-LAW",AG58="นิติศาสตร์",K58="S1",T58="",Z58=""),EDATE(P58,12),AND(AH58="K5-LAW",AG58="นิติศาสตร์",OR(K58="M2",K58="K4"),T58="",Z58=""),EDATE(P58,12*2),AND(AH58="K5-LAW",AG58="นิติศาสตร์",OR(Z58="M2",Z58="K4"),AC58&gt;=2,OR(AB58&lt;V58,AB58&lt;P58)),EDATE(AB58,12*2),AND(AH58="K5-LAW",AG58="นิติศาสตร์",Z58="S1",AC58&gt;=1,OR(AB58&lt;V58,AB58&lt;P58)),EDATE(AB58,12),AND(AH58="K5-LAW",AG58="นิติศาสตร์",OR(T58="M2",T58="K4"),W58&gt;=2,V58&lt;P58),EDATE(V58,12*2),AND(AH58="K5-LAW",AG58="นิติศาสตร์",T58="S1",W58&gt;=1,V58&lt;P58),EDATE(V58,12),AND(AH58="K5-LAW",AG58="นิติศาสตร์",OR(T58="S2",T58="K5")),V58,AND(AH58="K5-LAW",AG58="นิติศาสตร์",OR(K58="M2",K58="K4"),Q58&gt;=2),EDATE(P58,12*2),AND(AH58="K5-LAW",AG58="นิติศาสตร์",K58="S1",Q58&gt;=1),EDATE(P58,12),AND(AH58="K5-LAW",AG58="นิติศาสตร์",OR(K58="S2",K58="K5")),P58,AND(AH58="K5-POLICY",AG58&lt;&gt;"นิติศาสตร์",K58="S2",T58="",Z58=""),P58,AND(AH58="K5-POLICY",AG58&lt;&gt;"นิติศาสตร์",K58="S1",T58="",Z58=""),EDATE(P58,12),AND(AH58="K5-POLICY",AG58&lt;&gt;"นิติศาสตร์",OR(K58="M2",K58="K4"),T58="",Z58=""),EDATE(P58,12*2),AND(AH58="K5-POLICY",AG58&lt;&gt;"นิติศาสตร์",OR(Z58="M2",Z58="K4"),AC58&gt;=2,OR(AB58&lt;V58,AB58&lt;P58)),EDATE(AB58,12*2),AND(AH58="K5-POLICY",AG58&lt;&gt;"นิติศาสตร์",Z58="S1",AC58&gt;=1,OR(AB58&lt;V58,AB58&lt;P58)),EDATE(AB58,12),AND(AH58="K5-POLICY",AG58&lt;&gt;"นิติศาสตร์",OR(T58="M2",T58="K4"),W58&gt;=2,V58&lt;P58),EDATE(V58,12*2),AND(AH58="K5-POLICY",AG58&lt;&gt;"นิติศาสตร์",T58="S1",W58&gt;=1,V58&lt;P58),EDATE(V58,12),AND(AH58="K5-POLICY",AG58&lt;&gt;"นิติศาสตร์",OR(T58="S2",T58="K5")),V58,AND(AH58="K5-POLICY",AG58&lt;&gt;"นิติศาสตร์",OR(K58="M2",K58="K4"),Q58&gt;=2),EDATE(P58,12*2),AND(AH58="K5-POLICY",AG58&lt;&gt;"นิติศาสตร์",K58="S1",Q58&gt;=1),EDATE(P58,12),AND(AH58="K5-POLICY",AG58&lt;&gt;"นิติศาสตร์",OR(K58="S2",K58="K5")),P58,TRUE,"Check Data")</f>
        <v/>
      </c>
      <c r="AJ58" s="75" t="str">
        <f t="shared" si="13"/>
        <v>Check Data</v>
      </c>
      <c r="AK58" s="76" t="str">
        <f t="shared" si="14"/>
        <v>Check Data</v>
      </c>
      <c r="AL58" s="50" t="str">
        <f t="shared" si="15"/>
        <v>Check Data</v>
      </c>
      <c r="AM58" s="49" t="str">
        <f>IF(B58="","",IF(K58="S1","S1",INDEX(#REF!,#REF!)))</f>
        <v/>
      </c>
      <c r="AN58" s="49" t="str">
        <f>K58</f>
        <v>M2</v>
      </c>
      <c r="AO58" s="50" t="b">
        <f>K58=AM58</f>
        <v>0</v>
      </c>
      <c r="AP58" s="50"/>
    </row>
    <row r="59" spans="1:42" ht="21.75">
      <c r="A59" s="49">
        <v>57</v>
      </c>
      <c r="B59" s="50"/>
      <c r="C59" s="50"/>
      <c r="D59" s="50" t="s">
        <v>141</v>
      </c>
      <c r="E59" s="49" t="s">
        <v>176</v>
      </c>
      <c r="F59" s="49" t="str">
        <f t="shared" si="0"/>
        <v>01/03/1990</v>
      </c>
      <c r="G59" s="50">
        <f t="shared" si="1"/>
        <v>35</v>
      </c>
      <c r="H59" s="50">
        <f t="shared" si="2"/>
        <v>3</v>
      </c>
      <c r="I59" s="50">
        <f t="shared" si="3"/>
        <v>19</v>
      </c>
      <c r="J59" s="60"/>
      <c r="K59" s="49" t="s">
        <v>136</v>
      </c>
      <c r="L59" s="64"/>
      <c r="M59" s="49" t="s">
        <v>425</v>
      </c>
      <c r="N59" s="49">
        <v>2568</v>
      </c>
      <c r="O59" s="65" t="s">
        <v>228</v>
      </c>
      <c r="P59" s="49" t="str">
        <f t="shared" si="4"/>
        <v>04/12/2019</v>
      </c>
      <c r="Q59" s="68">
        <f t="shared" si="5"/>
        <v>5</v>
      </c>
      <c r="R59" s="68">
        <f t="shared" si="6"/>
        <v>6</v>
      </c>
      <c r="S59" s="68">
        <f t="shared" si="7"/>
        <v>16</v>
      </c>
      <c r="T59" s="65"/>
      <c r="U59" s="65"/>
      <c r="V59" s="49" t="str">
        <f t="shared" si="8"/>
        <v/>
      </c>
      <c r="W59" s="68">
        <f>IF(V59="",0,DATEDIF(V59,P59,"Y"))</f>
        <v>0</v>
      </c>
      <c r="X59" s="68">
        <f>IF(V59="",0,DATEDIF(V59,P59,"YM"))</f>
        <v>0</v>
      </c>
      <c r="Y59" s="68">
        <f>IF(V59="",0,DATEDIF(V59,P59,"MD"))</f>
        <v>0</v>
      </c>
      <c r="Z59" s="49"/>
      <c r="AA59" s="65"/>
      <c r="AB59" s="50" t="str">
        <f t="shared" si="9"/>
        <v/>
      </c>
      <c r="AC59" s="68">
        <f t="shared" si="10"/>
        <v>0</v>
      </c>
      <c r="AD59" s="68">
        <f t="shared" si="11"/>
        <v>0</v>
      </c>
      <c r="AE59" s="68">
        <f t="shared" si="12"/>
        <v>0</v>
      </c>
      <c r="AF59" s="50"/>
      <c r="AG59" s="50" t="s">
        <v>138</v>
      </c>
      <c r="AH59" s="49" t="str">
        <f>IF(AG59="นิติศาสตร์","K5-LAW","K5-POLICY")</f>
        <v>K5-LAW</v>
      </c>
      <c r="AI59" s="72" t="str">
        <f>_xlfn.IFS(B59="","",AND(AH59="K5-LAW",AG59="นิติศาสตร์",K59="S2",T59="",Z59=""),P59,AND(AH59="K5-LAW",AG59="นิติศาสตร์",K59="S1",T59="",Z59=""),EDATE(P59,12),AND(AH59="K5-LAW",AG59="นิติศาสตร์",OR(K59="M2",K59="K4"),T59="",Z59=""),EDATE(P59,12*2),AND(AH59="K5-LAW",AG59="นิติศาสตร์",OR(Z59="M2",Z59="K4"),AC59&gt;=2,OR(AB59&lt;V59,AB59&lt;P59)),EDATE(AB59,12*2),AND(AH59="K5-LAW",AG59="นิติศาสตร์",Z59="S1",AC59&gt;=1,OR(AB59&lt;V59,AB59&lt;P59)),EDATE(AB59,12),AND(AH59="K5-LAW",AG59="นิติศาสตร์",OR(T59="M2",T59="K4"),W59&gt;=2,V59&lt;P59),EDATE(V59,12*2),AND(AH59="K5-LAW",AG59="นิติศาสตร์",T59="S1",W59&gt;=1,V59&lt;P59),EDATE(V59,12),AND(AH59="K5-LAW",AG59="นิติศาสตร์",OR(T59="S2",T59="K5")),V59,AND(AH59="K5-LAW",AG59="นิติศาสตร์",OR(K59="M2",K59="K4"),Q59&gt;=2),EDATE(P59,12*2),AND(AH59="K5-LAW",AG59="นิติศาสตร์",K59="S1",Q59&gt;=1),EDATE(P59,12),AND(AH59="K5-LAW",AG59="นิติศาสตร์",OR(K59="S2",K59="K5")),P59,AND(AH59="K5-POLICY",AG59&lt;&gt;"นิติศาสตร์",K59="S2",T59="",Z59=""),P59,AND(AH59="K5-POLICY",AG59&lt;&gt;"นิติศาสตร์",K59="S1",T59="",Z59=""),EDATE(P59,12),AND(AH59="K5-POLICY",AG59&lt;&gt;"นิติศาสตร์",OR(K59="M2",K59="K4"),T59="",Z59=""),EDATE(P59,12*2),AND(AH59="K5-POLICY",AG59&lt;&gt;"นิติศาสตร์",OR(Z59="M2",Z59="K4"),AC59&gt;=2,OR(AB59&lt;V59,AB59&lt;P59)),EDATE(AB59,12*2),AND(AH59="K5-POLICY",AG59&lt;&gt;"นิติศาสตร์",Z59="S1",AC59&gt;=1,OR(AB59&lt;V59,AB59&lt;P59)),EDATE(AB59,12),AND(AH59="K5-POLICY",AG59&lt;&gt;"นิติศาสตร์",OR(T59="M2",T59="K4"),W59&gt;=2,V59&lt;P59),EDATE(V59,12*2),AND(AH59="K5-POLICY",AG59&lt;&gt;"นิติศาสตร์",T59="S1",W59&gt;=1,V59&lt;P59),EDATE(V59,12),AND(AH59="K5-POLICY",AG59&lt;&gt;"นิติศาสตร์",OR(T59="S2",T59="K5")),V59,AND(AH59="K5-POLICY",AG59&lt;&gt;"นิติศาสตร์",OR(K59="M2",K59="K4"),Q59&gt;=2),EDATE(P59,12*2),AND(AH59="K5-POLICY",AG59&lt;&gt;"นิติศาสตร์",K59="S1",Q59&gt;=1),EDATE(P59,12),AND(AH59="K5-POLICY",AG59&lt;&gt;"นิติศาสตร์",OR(K59="S2",K59="K5")),P59,TRUE,"Check Data")</f>
        <v/>
      </c>
      <c r="AJ59" s="75" t="str">
        <f t="shared" si="13"/>
        <v>Check Data</v>
      </c>
      <c r="AK59" s="76" t="str">
        <f t="shared" si="14"/>
        <v>Check Data</v>
      </c>
      <c r="AL59" s="50" t="str">
        <f t="shared" si="15"/>
        <v>Check Data</v>
      </c>
      <c r="AM59" s="49" t="str">
        <f>IF(B59="","",IF(K59="S1","S1",INDEX(#REF!,#REF!)))</f>
        <v/>
      </c>
      <c r="AN59" s="49" t="str">
        <f>K59</f>
        <v>M2</v>
      </c>
      <c r="AO59" s="50" t="b">
        <f>K59=AM59</f>
        <v>0</v>
      </c>
      <c r="AP59" s="50"/>
    </row>
    <row r="60" spans="1:42" ht="21.75">
      <c r="A60" s="49">
        <v>58</v>
      </c>
      <c r="B60" s="50"/>
      <c r="C60" s="50"/>
      <c r="D60" s="50" t="s">
        <v>142</v>
      </c>
      <c r="E60" s="49" t="s">
        <v>239</v>
      </c>
      <c r="F60" s="49" t="str">
        <f t="shared" si="0"/>
        <v>01/05/1985</v>
      </c>
      <c r="G60" s="50">
        <f t="shared" si="1"/>
        <v>40</v>
      </c>
      <c r="H60" s="50">
        <f t="shared" si="2"/>
        <v>1</v>
      </c>
      <c r="I60" s="50">
        <f t="shared" si="3"/>
        <v>19</v>
      </c>
      <c r="J60" s="58"/>
      <c r="K60" s="49" t="s">
        <v>136</v>
      </c>
      <c r="L60" s="64"/>
      <c r="M60" s="49" t="s">
        <v>425</v>
      </c>
      <c r="N60" s="49">
        <v>2569</v>
      </c>
      <c r="O60" s="65" t="s">
        <v>228</v>
      </c>
      <c r="P60" s="49" t="str">
        <f t="shared" si="4"/>
        <v>04/12/2019</v>
      </c>
      <c r="Q60" s="68">
        <f t="shared" si="5"/>
        <v>5</v>
      </c>
      <c r="R60" s="68">
        <f t="shared" si="6"/>
        <v>6</v>
      </c>
      <c r="S60" s="68">
        <f t="shared" si="7"/>
        <v>16</v>
      </c>
      <c r="T60" s="65"/>
      <c r="U60" s="65"/>
      <c r="V60" s="49" t="str">
        <f t="shared" si="8"/>
        <v/>
      </c>
      <c r="W60" s="68">
        <f>IF(V60="",0,DATEDIF(V60,P60,"Y"))</f>
        <v>0</v>
      </c>
      <c r="X60" s="68">
        <f>IF(V60="",0,DATEDIF(V60,P60,"YM"))</f>
        <v>0</v>
      </c>
      <c r="Y60" s="68">
        <f>IF(V60="",0,DATEDIF(V60,P60,"MD"))</f>
        <v>0</v>
      </c>
      <c r="Z60" s="49"/>
      <c r="AA60" s="65"/>
      <c r="AB60" s="50" t="str">
        <f t="shared" si="9"/>
        <v/>
      </c>
      <c r="AC60" s="68">
        <f t="shared" si="10"/>
        <v>0</v>
      </c>
      <c r="AD60" s="68">
        <f t="shared" si="11"/>
        <v>0</v>
      </c>
      <c r="AE60" s="68">
        <f t="shared" si="12"/>
        <v>0</v>
      </c>
      <c r="AF60" s="50"/>
      <c r="AG60" s="50" t="s">
        <v>138</v>
      </c>
      <c r="AH60" s="49" t="str">
        <f>IF(AG60="นิติศาสตร์","K5-LAW","K5-POLICY")</f>
        <v>K5-LAW</v>
      </c>
      <c r="AI60" s="72" t="str">
        <f>_xlfn.IFS(B60="","",AND(AH60="K5-LAW",AG60="นิติศาสตร์",K60="S2",T60="",Z60=""),P60,AND(AH60="K5-LAW",AG60="นิติศาสตร์",K60="S1",T60="",Z60=""),EDATE(P60,12),AND(AH60="K5-LAW",AG60="นิติศาสตร์",OR(K60="M2",K60="K4"),T60="",Z60=""),EDATE(P60,12*2),AND(AH60="K5-LAW",AG60="นิติศาสตร์",OR(Z60="M2",Z60="K4"),AC60&gt;=2,OR(AB60&lt;V60,AB60&lt;P60)),EDATE(AB60,12*2),AND(AH60="K5-LAW",AG60="นิติศาสตร์",Z60="S1",AC60&gt;=1,OR(AB60&lt;V60,AB60&lt;P60)),EDATE(AB60,12),AND(AH60="K5-LAW",AG60="นิติศาสตร์",OR(T60="M2",T60="K4"),W60&gt;=2,V60&lt;P60),EDATE(V60,12*2),AND(AH60="K5-LAW",AG60="นิติศาสตร์",T60="S1",W60&gt;=1,V60&lt;P60),EDATE(V60,12),AND(AH60="K5-LAW",AG60="นิติศาสตร์",OR(T60="S2",T60="K5")),V60,AND(AH60="K5-LAW",AG60="นิติศาสตร์",OR(K60="M2",K60="K4"),Q60&gt;=2),EDATE(P60,12*2),AND(AH60="K5-LAW",AG60="นิติศาสตร์",K60="S1",Q60&gt;=1),EDATE(P60,12),AND(AH60="K5-LAW",AG60="นิติศาสตร์",OR(K60="S2",K60="K5")),P60,AND(AH60="K5-POLICY",AG60&lt;&gt;"นิติศาสตร์",K60="S2",T60="",Z60=""),P60,AND(AH60="K5-POLICY",AG60&lt;&gt;"นิติศาสตร์",K60="S1",T60="",Z60=""),EDATE(P60,12),AND(AH60="K5-POLICY",AG60&lt;&gt;"นิติศาสตร์",OR(K60="M2",K60="K4"),T60="",Z60=""),EDATE(P60,12*2),AND(AH60="K5-POLICY",AG60&lt;&gt;"นิติศาสตร์",OR(Z60="M2",Z60="K4"),AC60&gt;=2,OR(AB60&lt;V60,AB60&lt;P60)),EDATE(AB60,12*2),AND(AH60="K5-POLICY",AG60&lt;&gt;"นิติศาสตร์",Z60="S1",AC60&gt;=1,OR(AB60&lt;V60,AB60&lt;P60)),EDATE(AB60,12),AND(AH60="K5-POLICY",AG60&lt;&gt;"นิติศาสตร์",OR(T60="M2",T60="K4"),W60&gt;=2,V60&lt;P60),EDATE(V60,12*2),AND(AH60="K5-POLICY",AG60&lt;&gt;"นิติศาสตร์",T60="S1",W60&gt;=1,V60&lt;P60),EDATE(V60,12),AND(AH60="K5-POLICY",AG60&lt;&gt;"นิติศาสตร์",OR(T60="S2",T60="K5")),V60,AND(AH60="K5-POLICY",AG60&lt;&gt;"นิติศาสตร์",OR(K60="M2",K60="K4"),Q60&gt;=2),EDATE(P60,12*2),AND(AH60="K5-POLICY",AG60&lt;&gt;"นิติศาสตร์",K60="S1",Q60&gt;=1),EDATE(P60,12),AND(AH60="K5-POLICY",AG60&lt;&gt;"นิติศาสตร์",OR(K60="S2",K60="K5")),P60,TRUE,"Check Data")</f>
        <v/>
      </c>
      <c r="AJ60" s="75" t="str">
        <f t="shared" si="13"/>
        <v>Check Data</v>
      </c>
      <c r="AK60" s="76" t="str">
        <f t="shared" si="14"/>
        <v>Check Data</v>
      </c>
      <c r="AL60" s="50" t="str">
        <f t="shared" si="15"/>
        <v>Check Data</v>
      </c>
      <c r="AM60" s="49" t="str">
        <f>IF(B60="","",IF(K60="S1","S1",INDEX(#REF!,#REF!)))</f>
        <v/>
      </c>
      <c r="AN60" s="49" t="str">
        <f>K60</f>
        <v>M2</v>
      </c>
      <c r="AO60" s="50" t="b">
        <f>K60=AM60</f>
        <v>0</v>
      </c>
      <c r="AP60" s="50"/>
    </row>
    <row r="61" spans="1:42" ht="21.75">
      <c r="A61" s="49">
        <v>59</v>
      </c>
      <c r="B61" s="50"/>
      <c r="C61" s="50"/>
      <c r="D61" s="50" t="s">
        <v>142</v>
      </c>
      <c r="E61" s="49" t="s">
        <v>262</v>
      </c>
      <c r="F61" s="49" t="str">
        <f t="shared" si="0"/>
        <v>11/04/1996</v>
      </c>
      <c r="G61" s="50">
        <f t="shared" si="1"/>
        <v>29</v>
      </c>
      <c r="H61" s="50">
        <f t="shared" si="2"/>
        <v>2</v>
      </c>
      <c r="I61" s="50">
        <f t="shared" si="3"/>
        <v>9</v>
      </c>
      <c r="J61" s="58"/>
      <c r="K61" s="49" t="s">
        <v>136</v>
      </c>
      <c r="L61" s="64"/>
      <c r="M61" s="49" t="s">
        <v>425</v>
      </c>
      <c r="N61" s="49">
        <v>2571</v>
      </c>
      <c r="O61" s="65" t="s">
        <v>228</v>
      </c>
      <c r="P61" s="49" t="str">
        <f t="shared" si="4"/>
        <v>04/12/2019</v>
      </c>
      <c r="Q61" s="68">
        <f t="shared" si="5"/>
        <v>5</v>
      </c>
      <c r="R61" s="68">
        <f t="shared" si="6"/>
        <v>6</v>
      </c>
      <c r="S61" s="68">
        <f t="shared" si="7"/>
        <v>16</v>
      </c>
      <c r="T61" s="65"/>
      <c r="U61" s="65"/>
      <c r="V61" s="49" t="str">
        <f t="shared" si="8"/>
        <v/>
      </c>
      <c r="W61" s="68">
        <f>IF(V61="",0,DATEDIF(V61,P61,"Y"))</f>
        <v>0</v>
      </c>
      <c r="X61" s="68">
        <f>IF(V61="",0,DATEDIF(V61,P61,"YM"))</f>
        <v>0</v>
      </c>
      <c r="Y61" s="68">
        <f>IF(V61="",0,DATEDIF(V61,P61,"MD"))</f>
        <v>0</v>
      </c>
      <c r="Z61" s="49"/>
      <c r="AA61" s="65"/>
      <c r="AB61" s="50" t="str">
        <f t="shared" si="9"/>
        <v/>
      </c>
      <c r="AC61" s="68">
        <f t="shared" si="10"/>
        <v>0</v>
      </c>
      <c r="AD61" s="68">
        <f t="shared" si="11"/>
        <v>0</v>
      </c>
      <c r="AE61" s="68">
        <f t="shared" si="12"/>
        <v>0</v>
      </c>
      <c r="AF61" s="50"/>
      <c r="AG61" s="50" t="s">
        <v>138</v>
      </c>
      <c r="AH61" s="49" t="str">
        <f>IF(AG61="นิติศาสตร์","K5-LAW","K5-POLICY")</f>
        <v>K5-LAW</v>
      </c>
      <c r="AI61" s="72" t="str">
        <f>_xlfn.IFS(B61="","",AND(AH61="K5-LAW",AG61="นิติศาสตร์",K61="S2",T61="",Z61=""),P61,AND(AH61="K5-LAW",AG61="นิติศาสตร์",K61="S1",T61="",Z61=""),EDATE(P61,12),AND(AH61="K5-LAW",AG61="นิติศาสตร์",OR(K61="M2",K61="K4"),T61="",Z61=""),EDATE(P61,12*2),AND(AH61="K5-LAW",AG61="นิติศาสตร์",OR(Z61="M2",Z61="K4"),AC61&gt;=2,OR(AB61&lt;V61,AB61&lt;P61)),EDATE(AB61,12*2),AND(AH61="K5-LAW",AG61="นิติศาสตร์",Z61="S1",AC61&gt;=1,OR(AB61&lt;V61,AB61&lt;P61)),EDATE(AB61,12),AND(AH61="K5-LAW",AG61="นิติศาสตร์",OR(T61="M2",T61="K4"),W61&gt;=2,V61&lt;P61),EDATE(V61,12*2),AND(AH61="K5-LAW",AG61="นิติศาสตร์",T61="S1",W61&gt;=1,V61&lt;P61),EDATE(V61,12),AND(AH61="K5-LAW",AG61="นิติศาสตร์",OR(T61="S2",T61="K5")),V61,AND(AH61="K5-LAW",AG61="นิติศาสตร์",OR(K61="M2",K61="K4"),Q61&gt;=2),EDATE(P61,12*2),AND(AH61="K5-LAW",AG61="นิติศาสตร์",K61="S1",Q61&gt;=1),EDATE(P61,12),AND(AH61="K5-LAW",AG61="นิติศาสตร์",OR(K61="S2",K61="K5")),P61,AND(AH61="K5-POLICY",AG61&lt;&gt;"นิติศาสตร์",K61="S2",T61="",Z61=""),P61,AND(AH61="K5-POLICY",AG61&lt;&gt;"นิติศาสตร์",K61="S1",T61="",Z61=""),EDATE(P61,12),AND(AH61="K5-POLICY",AG61&lt;&gt;"นิติศาสตร์",OR(K61="M2",K61="K4"),T61="",Z61=""),EDATE(P61,12*2),AND(AH61="K5-POLICY",AG61&lt;&gt;"นิติศาสตร์",OR(Z61="M2",Z61="K4"),AC61&gt;=2,OR(AB61&lt;V61,AB61&lt;P61)),EDATE(AB61,12*2),AND(AH61="K5-POLICY",AG61&lt;&gt;"นิติศาสตร์",Z61="S1",AC61&gt;=1,OR(AB61&lt;V61,AB61&lt;P61)),EDATE(AB61,12),AND(AH61="K5-POLICY",AG61&lt;&gt;"นิติศาสตร์",OR(T61="M2",T61="K4"),W61&gt;=2,V61&lt;P61),EDATE(V61,12*2),AND(AH61="K5-POLICY",AG61&lt;&gt;"นิติศาสตร์",T61="S1",W61&gt;=1,V61&lt;P61),EDATE(V61,12),AND(AH61="K5-POLICY",AG61&lt;&gt;"นิติศาสตร์",OR(T61="S2",T61="K5")),V61,AND(AH61="K5-POLICY",AG61&lt;&gt;"นิติศาสตร์",OR(K61="M2",K61="K4"),Q61&gt;=2),EDATE(P61,12*2),AND(AH61="K5-POLICY",AG61&lt;&gt;"นิติศาสตร์",K61="S1",Q61&gt;=1),EDATE(P61,12),AND(AH61="K5-POLICY",AG61&lt;&gt;"นิติศาสตร์",OR(K61="S2",K61="K5")),P61,TRUE,"Check Data")</f>
        <v/>
      </c>
      <c r="AJ61" s="75" t="str">
        <f t="shared" si="13"/>
        <v>Check Data</v>
      </c>
      <c r="AK61" s="76" t="str">
        <f t="shared" si="14"/>
        <v>Check Data</v>
      </c>
      <c r="AL61" s="50" t="str">
        <f t="shared" si="15"/>
        <v>Check Data</v>
      </c>
      <c r="AM61" s="49" t="str">
        <f>IF(B61="","",IF(K61="S1","S1",INDEX(#REF!,#REF!)))</f>
        <v/>
      </c>
      <c r="AN61" s="49" t="str">
        <f>K61</f>
        <v>M2</v>
      </c>
      <c r="AO61" s="50" t="b">
        <f>K61=AM61</f>
        <v>0</v>
      </c>
      <c r="AP61" s="50"/>
    </row>
    <row r="62" spans="1:42" ht="21.75">
      <c r="A62" s="49">
        <v>60</v>
      </c>
      <c r="B62" s="50"/>
      <c r="C62" s="50"/>
      <c r="D62" s="50" t="s">
        <v>142</v>
      </c>
      <c r="E62" s="49" t="s">
        <v>262</v>
      </c>
      <c r="F62" s="49" t="str">
        <f t="shared" si="0"/>
        <v>11/04/1996</v>
      </c>
      <c r="G62" s="50">
        <f t="shared" si="1"/>
        <v>29</v>
      </c>
      <c r="H62" s="50">
        <f t="shared" si="2"/>
        <v>2</v>
      </c>
      <c r="I62" s="50">
        <f t="shared" si="3"/>
        <v>9</v>
      </c>
      <c r="J62" s="58"/>
      <c r="K62" s="49" t="s">
        <v>136</v>
      </c>
      <c r="L62" s="64"/>
      <c r="M62" s="49" t="s">
        <v>425</v>
      </c>
      <c r="N62" s="49">
        <v>2570</v>
      </c>
      <c r="O62" s="65" t="s">
        <v>228</v>
      </c>
      <c r="P62" s="49" t="str">
        <f t="shared" si="4"/>
        <v>04/12/2019</v>
      </c>
      <c r="Q62" s="68">
        <f t="shared" si="5"/>
        <v>5</v>
      </c>
      <c r="R62" s="68">
        <f t="shared" si="6"/>
        <v>6</v>
      </c>
      <c r="S62" s="68">
        <f t="shared" si="7"/>
        <v>16</v>
      </c>
      <c r="T62" s="65"/>
      <c r="U62" s="65"/>
      <c r="V62" s="49" t="str">
        <f t="shared" si="8"/>
        <v/>
      </c>
      <c r="W62" s="68">
        <f>IF(V62="",0,DATEDIF(V62,P62,"Y"))</f>
        <v>0</v>
      </c>
      <c r="X62" s="68">
        <f>IF(V62="",0,DATEDIF(V62,P62,"YM"))</f>
        <v>0</v>
      </c>
      <c r="Y62" s="68">
        <f>IF(V62="",0,DATEDIF(V62,P62,"MD"))</f>
        <v>0</v>
      </c>
      <c r="Z62" s="49"/>
      <c r="AA62" s="65"/>
      <c r="AB62" s="50" t="str">
        <f t="shared" si="9"/>
        <v/>
      </c>
      <c r="AC62" s="68">
        <f t="shared" si="10"/>
        <v>0</v>
      </c>
      <c r="AD62" s="68">
        <f t="shared" si="11"/>
        <v>0</v>
      </c>
      <c r="AE62" s="68">
        <f t="shared" si="12"/>
        <v>0</v>
      </c>
      <c r="AF62" s="50"/>
      <c r="AG62" s="50" t="s">
        <v>138</v>
      </c>
      <c r="AH62" s="49" t="str">
        <f>IF(AG62="นิติศาสตร์","K5-LAW","K5-POLICY")</f>
        <v>K5-LAW</v>
      </c>
      <c r="AI62" s="72" t="str">
        <f>_xlfn.IFS(B62="","",AND(AH62="K5-LAW",AG62="นิติศาสตร์",K62="S2",T62="",Z62=""),P62,AND(AH62="K5-LAW",AG62="นิติศาสตร์",K62="S1",T62="",Z62=""),EDATE(P62,12),AND(AH62="K5-LAW",AG62="นิติศาสตร์",OR(K62="M2",K62="K4"),T62="",Z62=""),EDATE(P62,12*2),AND(AH62="K5-LAW",AG62="นิติศาสตร์",OR(Z62="M2",Z62="K4"),AC62&gt;=2,OR(AB62&lt;V62,AB62&lt;P62)),EDATE(AB62,12*2),AND(AH62="K5-LAW",AG62="นิติศาสตร์",Z62="S1",AC62&gt;=1,OR(AB62&lt;V62,AB62&lt;P62)),EDATE(AB62,12),AND(AH62="K5-LAW",AG62="นิติศาสตร์",OR(T62="M2",T62="K4"),W62&gt;=2,V62&lt;P62),EDATE(V62,12*2),AND(AH62="K5-LAW",AG62="นิติศาสตร์",T62="S1",W62&gt;=1,V62&lt;P62),EDATE(V62,12),AND(AH62="K5-LAW",AG62="นิติศาสตร์",OR(T62="S2",T62="K5")),V62,AND(AH62="K5-LAW",AG62="นิติศาสตร์",OR(K62="M2",K62="K4"),Q62&gt;=2),EDATE(P62,12*2),AND(AH62="K5-LAW",AG62="นิติศาสตร์",K62="S1",Q62&gt;=1),EDATE(P62,12),AND(AH62="K5-LAW",AG62="นิติศาสตร์",OR(K62="S2",K62="K5")),P62,AND(AH62="K5-POLICY",AG62&lt;&gt;"นิติศาสตร์",K62="S2",T62="",Z62=""),P62,AND(AH62="K5-POLICY",AG62&lt;&gt;"นิติศาสตร์",K62="S1",T62="",Z62=""),EDATE(P62,12),AND(AH62="K5-POLICY",AG62&lt;&gt;"นิติศาสตร์",OR(K62="M2",K62="K4"),T62="",Z62=""),EDATE(P62,12*2),AND(AH62="K5-POLICY",AG62&lt;&gt;"นิติศาสตร์",OR(Z62="M2",Z62="K4"),AC62&gt;=2,OR(AB62&lt;V62,AB62&lt;P62)),EDATE(AB62,12*2),AND(AH62="K5-POLICY",AG62&lt;&gt;"นิติศาสตร์",Z62="S1",AC62&gt;=1,OR(AB62&lt;V62,AB62&lt;P62)),EDATE(AB62,12),AND(AH62="K5-POLICY",AG62&lt;&gt;"นิติศาสตร์",OR(T62="M2",T62="K4"),W62&gt;=2,V62&lt;P62),EDATE(V62,12*2),AND(AH62="K5-POLICY",AG62&lt;&gt;"นิติศาสตร์",T62="S1",W62&gt;=1,V62&lt;P62),EDATE(V62,12),AND(AH62="K5-POLICY",AG62&lt;&gt;"นิติศาสตร์",OR(T62="S2",T62="K5")),V62,AND(AH62="K5-POLICY",AG62&lt;&gt;"นิติศาสตร์",OR(K62="M2",K62="K4"),Q62&gt;=2),EDATE(P62,12*2),AND(AH62="K5-POLICY",AG62&lt;&gt;"นิติศาสตร์",K62="S1",Q62&gt;=1),EDATE(P62,12),AND(AH62="K5-POLICY",AG62&lt;&gt;"นิติศาสตร์",OR(K62="S2",K62="K5")),P62,TRUE,"Check Data")</f>
        <v/>
      </c>
      <c r="AJ62" s="75" t="str">
        <f t="shared" si="13"/>
        <v>Check Data</v>
      </c>
      <c r="AK62" s="76" t="str">
        <f t="shared" si="14"/>
        <v>Check Data</v>
      </c>
      <c r="AL62" s="50" t="str">
        <f t="shared" si="15"/>
        <v>Check Data</v>
      </c>
      <c r="AM62" s="49" t="str">
        <f>IF(B62="","",IF(K62="S1","S1",INDEX(#REF!,#REF!)))</f>
        <v/>
      </c>
      <c r="AN62" s="49" t="str">
        <f>K62</f>
        <v>M2</v>
      </c>
      <c r="AO62" s="50" t="b">
        <f>K62=AM62</f>
        <v>0</v>
      </c>
      <c r="AP62" s="50"/>
    </row>
    <row r="63" spans="1:42" ht="21.75">
      <c r="A63" s="49">
        <v>61</v>
      </c>
      <c r="B63" s="50"/>
      <c r="C63" s="50"/>
      <c r="D63" s="50" t="s">
        <v>142</v>
      </c>
      <c r="E63" s="49" t="s">
        <v>251</v>
      </c>
      <c r="F63" s="49" t="str">
        <f t="shared" si="0"/>
        <v>15/08/1997</v>
      </c>
      <c r="G63" s="50">
        <f t="shared" si="1"/>
        <v>27</v>
      </c>
      <c r="H63" s="50">
        <f t="shared" si="2"/>
        <v>10</v>
      </c>
      <c r="I63" s="50">
        <f t="shared" si="3"/>
        <v>5</v>
      </c>
      <c r="J63" s="58"/>
      <c r="K63" s="49" t="s">
        <v>136</v>
      </c>
      <c r="L63" s="64"/>
      <c r="M63" s="49" t="s">
        <v>425</v>
      </c>
      <c r="N63" s="49">
        <v>2571</v>
      </c>
      <c r="O63" s="65" t="s">
        <v>228</v>
      </c>
      <c r="P63" s="49" t="str">
        <f t="shared" si="4"/>
        <v>04/12/2019</v>
      </c>
      <c r="Q63" s="68">
        <f t="shared" si="5"/>
        <v>5</v>
      </c>
      <c r="R63" s="68">
        <f t="shared" si="6"/>
        <v>6</v>
      </c>
      <c r="S63" s="68">
        <f t="shared" si="7"/>
        <v>16</v>
      </c>
      <c r="T63" s="65"/>
      <c r="U63" s="65"/>
      <c r="V63" s="49" t="str">
        <f t="shared" si="8"/>
        <v/>
      </c>
      <c r="W63" s="68">
        <f>IF(V63="",0,DATEDIF(V63,P63,"Y"))</f>
        <v>0</v>
      </c>
      <c r="X63" s="68">
        <f>IF(V63="",0,DATEDIF(V63,P63,"YM"))</f>
        <v>0</v>
      </c>
      <c r="Y63" s="68">
        <f>IF(V63="",0,DATEDIF(V63,P63,"MD"))</f>
        <v>0</v>
      </c>
      <c r="Z63" s="49"/>
      <c r="AA63" s="65"/>
      <c r="AB63" s="50" t="str">
        <f t="shared" si="9"/>
        <v/>
      </c>
      <c r="AC63" s="68">
        <f t="shared" si="10"/>
        <v>0</v>
      </c>
      <c r="AD63" s="68">
        <f t="shared" si="11"/>
        <v>0</v>
      </c>
      <c r="AE63" s="68">
        <f t="shared" si="12"/>
        <v>0</v>
      </c>
      <c r="AF63" s="50"/>
      <c r="AG63" s="50" t="s">
        <v>138</v>
      </c>
      <c r="AH63" s="49" t="str">
        <f>IF(AG63="นิติศาสตร์","K5-LAW","K5-POLICY")</f>
        <v>K5-LAW</v>
      </c>
      <c r="AI63" s="72" t="str">
        <f>_xlfn.IFS(B63="","",AND(AH63="K5-LAW",AG63="นิติศาสตร์",K63="S2",T63="",Z63=""),P63,AND(AH63="K5-LAW",AG63="นิติศาสตร์",K63="S1",T63="",Z63=""),EDATE(P63,12),AND(AH63="K5-LAW",AG63="นิติศาสตร์",OR(K63="M2",K63="K4"),T63="",Z63=""),EDATE(P63,12*2),AND(AH63="K5-LAW",AG63="นิติศาสตร์",OR(Z63="M2",Z63="K4"),AC63&gt;=2,OR(AB63&lt;V63,AB63&lt;P63)),EDATE(AB63,12*2),AND(AH63="K5-LAW",AG63="นิติศาสตร์",Z63="S1",AC63&gt;=1,OR(AB63&lt;V63,AB63&lt;P63)),EDATE(AB63,12),AND(AH63="K5-LAW",AG63="นิติศาสตร์",OR(T63="M2",T63="K4"),W63&gt;=2,V63&lt;P63),EDATE(V63,12*2),AND(AH63="K5-LAW",AG63="นิติศาสตร์",T63="S1",W63&gt;=1,V63&lt;P63),EDATE(V63,12),AND(AH63="K5-LAW",AG63="นิติศาสตร์",OR(T63="S2",T63="K5")),V63,AND(AH63="K5-LAW",AG63="นิติศาสตร์",OR(K63="M2",K63="K4"),Q63&gt;=2),EDATE(P63,12*2),AND(AH63="K5-LAW",AG63="นิติศาสตร์",K63="S1",Q63&gt;=1),EDATE(P63,12),AND(AH63="K5-LAW",AG63="นิติศาสตร์",OR(K63="S2",K63="K5")),P63,AND(AH63="K5-POLICY",AG63&lt;&gt;"นิติศาสตร์",K63="S2",T63="",Z63=""),P63,AND(AH63="K5-POLICY",AG63&lt;&gt;"นิติศาสตร์",K63="S1",T63="",Z63=""),EDATE(P63,12),AND(AH63="K5-POLICY",AG63&lt;&gt;"นิติศาสตร์",OR(K63="M2",K63="K4"),T63="",Z63=""),EDATE(P63,12*2),AND(AH63="K5-POLICY",AG63&lt;&gt;"นิติศาสตร์",OR(Z63="M2",Z63="K4"),AC63&gt;=2,OR(AB63&lt;V63,AB63&lt;P63)),EDATE(AB63,12*2),AND(AH63="K5-POLICY",AG63&lt;&gt;"นิติศาสตร์",Z63="S1",AC63&gt;=1,OR(AB63&lt;V63,AB63&lt;P63)),EDATE(AB63,12),AND(AH63="K5-POLICY",AG63&lt;&gt;"นิติศาสตร์",OR(T63="M2",T63="K4"),W63&gt;=2,V63&lt;P63),EDATE(V63,12*2),AND(AH63="K5-POLICY",AG63&lt;&gt;"นิติศาสตร์",T63="S1",W63&gt;=1,V63&lt;P63),EDATE(V63,12),AND(AH63="K5-POLICY",AG63&lt;&gt;"นิติศาสตร์",OR(T63="S2",T63="K5")),V63,AND(AH63="K5-POLICY",AG63&lt;&gt;"นิติศาสตร์",OR(K63="M2",K63="K4"),Q63&gt;=2),EDATE(P63,12*2),AND(AH63="K5-POLICY",AG63&lt;&gt;"นิติศาสตร์",K63="S1",Q63&gt;=1),EDATE(P63,12),AND(AH63="K5-POLICY",AG63&lt;&gt;"นิติศาสตร์",OR(K63="S2",K63="K5")),P63,TRUE,"Check Data")</f>
        <v/>
      </c>
      <c r="AJ63" s="75" t="str">
        <f t="shared" si="13"/>
        <v>Check Data</v>
      </c>
      <c r="AK63" s="76" t="str">
        <f t="shared" si="14"/>
        <v>Check Data</v>
      </c>
      <c r="AL63" s="50" t="str">
        <f t="shared" si="15"/>
        <v>Check Data</v>
      </c>
      <c r="AM63" s="49" t="str">
        <f>IF(B63="","",IF(K63="S1","S1",INDEX(#REF!,#REF!)))</f>
        <v/>
      </c>
      <c r="AN63" s="49" t="str">
        <f>K63</f>
        <v>M2</v>
      </c>
      <c r="AO63" s="50" t="b">
        <f>K63=AM63</f>
        <v>0</v>
      </c>
      <c r="AP63" s="50"/>
    </row>
    <row r="64" spans="1:42" ht="21.75">
      <c r="A64" s="49">
        <v>62</v>
      </c>
      <c r="B64" s="50"/>
      <c r="C64" s="50"/>
      <c r="D64" s="50" t="s">
        <v>143</v>
      </c>
      <c r="E64" s="49" t="s">
        <v>305</v>
      </c>
      <c r="F64" s="49" t="str">
        <f t="shared" si="0"/>
        <v>01/04/1989</v>
      </c>
      <c r="G64" s="50">
        <f t="shared" si="1"/>
        <v>36</v>
      </c>
      <c r="H64" s="50">
        <f t="shared" si="2"/>
        <v>2</v>
      </c>
      <c r="I64" s="50">
        <f t="shared" si="3"/>
        <v>19</v>
      </c>
      <c r="J64" s="59"/>
      <c r="K64" s="49" t="s">
        <v>136</v>
      </c>
      <c r="L64" s="64"/>
      <c r="M64" s="49" t="s">
        <v>425</v>
      </c>
      <c r="N64" s="49">
        <v>2570</v>
      </c>
      <c r="O64" s="65" t="s">
        <v>306</v>
      </c>
      <c r="P64" s="49" t="str">
        <f t="shared" si="4"/>
        <v>19/12/2019</v>
      </c>
      <c r="Q64" s="68">
        <f t="shared" si="5"/>
        <v>5</v>
      </c>
      <c r="R64" s="68">
        <f t="shared" si="6"/>
        <v>6</v>
      </c>
      <c r="S64" s="68">
        <f t="shared" si="7"/>
        <v>1</v>
      </c>
      <c r="T64" s="65"/>
      <c r="U64" s="65"/>
      <c r="V64" s="49" t="str">
        <f t="shared" si="8"/>
        <v/>
      </c>
      <c r="W64" s="68">
        <f>IF(V64="",0,DATEDIF(V64,P64,"Y"))</f>
        <v>0</v>
      </c>
      <c r="X64" s="68">
        <f>IF(V64="",0,DATEDIF(V64,P64,"YM"))</f>
        <v>0</v>
      </c>
      <c r="Y64" s="68">
        <f>IF(V64="",0,DATEDIF(V64,P64,"MD"))</f>
        <v>0</v>
      </c>
      <c r="Z64" s="49"/>
      <c r="AA64" s="65"/>
      <c r="AB64" s="50" t="str">
        <f t="shared" si="9"/>
        <v/>
      </c>
      <c r="AC64" s="68">
        <f t="shared" si="10"/>
        <v>0</v>
      </c>
      <c r="AD64" s="68">
        <f t="shared" si="11"/>
        <v>0</v>
      </c>
      <c r="AE64" s="68">
        <f t="shared" si="12"/>
        <v>0</v>
      </c>
      <c r="AF64" s="50"/>
      <c r="AG64" s="50" t="s">
        <v>178</v>
      </c>
      <c r="AH64" s="49" t="str">
        <f>IF(AG64="นิติศาสตร์","K5-LAW","K5-POLICY")</f>
        <v>K5-POLICY</v>
      </c>
      <c r="AI64" s="72" t="str">
        <f>_xlfn.IFS(B64="","",AND(AH64="K5-LAW",AG64="นิติศาสตร์",K64="S2",T64="",Z64=""),P64,AND(AH64="K5-LAW",AG64="นิติศาสตร์",K64="S1",T64="",Z64=""),EDATE(P64,12),AND(AH64="K5-LAW",AG64="นิติศาสตร์",OR(K64="M2",K64="K4"),T64="",Z64=""),EDATE(P64,12*2),AND(AH64="K5-LAW",AG64="นิติศาสตร์",OR(Z64="M2",Z64="K4"),AC64&gt;=2,OR(AB64&lt;V64,AB64&lt;P64)),EDATE(AB64,12*2),AND(AH64="K5-LAW",AG64="นิติศาสตร์",Z64="S1",AC64&gt;=1,OR(AB64&lt;V64,AB64&lt;P64)),EDATE(AB64,12),AND(AH64="K5-LAW",AG64="นิติศาสตร์",OR(T64="M2",T64="K4"),W64&gt;=2,V64&lt;P64),EDATE(V64,12*2),AND(AH64="K5-LAW",AG64="นิติศาสตร์",T64="S1",W64&gt;=1,V64&lt;P64),EDATE(V64,12),AND(AH64="K5-LAW",AG64="นิติศาสตร์",OR(T64="S2",T64="K5")),V64,AND(AH64="K5-LAW",AG64="นิติศาสตร์",OR(K64="M2",K64="K4"),Q64&gt;=2),EDATE(P64,12*2),AND(AH64="K5-LAW",AG64="นิติศาสตร์",K64="S1",Q64&gt;=1),EDATE(P64,12),AND(AH64="K5-LAW",AG64="นิติศาสตร์",OR(K64="S2",K64="K5")),P64,AND(AH64="K5-POLICY",AG64&lt;&gt;"นิติศาสตร์",K64="S2",T64="",Z64=""),P64,AND(AH64="K5-POLICY",AG64&lt;&gt;"นิติศาสตร์",K64="S1",T64="",Z64=""),EDATE(P64,12),AND(AH64="K5-POLICY",AG64&lt;&gt;"นิติศาสตร์",OR(K64="M2",K64="K4"),T64="",Z64=""),EDATE(P64,12*2),AND(AH64="K5-POLICY",AG64&lt;&gt;"นิติศาสตร์",OR(Z64="M2",Z64="K4"),AC64&gt;=2,OR(AB64&lt;V64,AB64&lt;P64)),EDATE(AB64,12*2),AND(AH64="K5-POLICY",AG64&lt;&gt;"นิติศาสตร์",Z64="S1",AC64&gt;=1,OR(AB64&lt;V64,AB64&lt;P64)),EDATE(AB64,12),AND(AH64="K5-POLICY",AG64&lt;&gt;"นิติศาสตร์",OR(T64="M2",T64="K4"),W64&gt;=2,V64&lt;P64),EDATE(V64,12*2),AND(AH64="K5-POLICY",AG64&lt;&gt;"นิติศาสตร์",T64="S1",W64&gt;=1,V64&lt;P64),EDATE(V64,12),AND(AH64="K5-POLICY",AG64&lt;&gt;"นิติศาสตร์",OR(T64="S2",T64="K5")),V64,AND(AH64="K5-POLICY",AG64&lt;&gt;"นิติศาสตร์",OR(K64="M2",K64="K4"),Q64&gt;=2),EDATE(P64,12*2),AND(AH64="K5-POLICY",AG64&lt;&gt;"นิติศาสตร์",K64="S1",Q64&gt;=1),EDATE(P64,12),AND(AH64="K5-POLICY",AG64&lt;&gt;"นิติศาสตร์",OR(K64="S2",K64="K5")),P64,TRUE,"Check Data")</f>
        <v/>
      </c>
      <c r="AJ64" s="75" t="str">
        <f t="shared" si="13"/>
        <v>Check Data</v>
      </c>
      <c r="AK64" s="76" t="str">
        <f t="shared" si="14"/>
        <v>Check Data</v>
      </c>
      <c r="AL64" s="50" t="str">
        <f t="shared" si="15"/>
        <v>Check Data</v>
      </c>
      <c r="AM64" s="49" t="str">
        <f>IF(B64="","",IF(K64="S1","S1",INDEX(#REF!,#REF!)))</f>
        <v/>
      </c>
      <c r="AN64" s="49" t="str">
        <f>K64</f>
        <v>M2</v>
      </c>
      <c r="AO64" s="50" t="b">
        <f>K64=AM64</f>
        <v>0</v>
      </c>
      <c r="AP64" s="50"/>
    </row>
    <row r="65" spans="1:42" ht="21.75">
      <c r="A65" s="49">
        <v>63</v>
      </c>
      <c r="B65" s="50"/>
      <c r="C65" s="50"/>
      <c r="D65" s="50" t="s">
        <v>143</v>
      </c>
      <c r="E65" s="49" t="s">
        <v>307</v>
      </c>
      <c r="F65" s="49" t="str">
        <f t="shared" si="0"/>
        <v>05/03/1992</v>
      </c>
      <c r="G65" s="50">
        <f t="shared" si="1"/>
        <v>33</v>
      </c>
      <c r="H65" s="50">
        <f t="shared" si="2"/>
        <v>3</v>
      </c>
      <c r="I65" s="50">
        <f t="shared" si="3"/>
        <v>15</v>
      </c>
      <c r="J65" s="59"/>
      <c r="K65" s="49" t="s">
        <v>136</v>
      </c>
      <c r="L65" s="64"/>
      <c r="M65" s="49" t="s">
        <v>425</v>
      </c>
      <c r="N65" s="49">
        <v>2568</v>
      </c>
      <c r="O65" s="65" t="s">
        <v>306</v>
      </c>
      <c r="P65" s="49" t="str">
        <f t="shared" si="4"/>
        <v>19/12/2019</v>
      </c>
      <c r="Q65" s="68">
        <f t="shared" si="5"/>
        <v>5</v>
      </c>
      <c r="R65" s="68">
        <f t="shared" si="6"/>
        <v>6</v>
      </c>
      <c r="S65" s="68">
        <f t="shared" si="7"/>
        <v>1</v>
      </c>
      <c r="T65" s="65"/>
      <c r="U65" s="65"/>
      <c r="V65" s="49" t="str">
        <f t="shared" si="8"/>
        <v/>
      </c>
      <c r="W65" s="68">
        <f>IF(V65="",0,DATEDIF(V65,P65,"Y"))</f>
        <v>0</v>
      </c>
      <c r="X65" s="68">
        <f>IF(V65="",0,DATEDIF(V65,P65,"YM"))</f>
        <v>0</v>
      </c>
      <c r="Y65" s="68">
        <f>IF(V65="",0,DATEDIF(V65,P65,"MD"))</f>
        <v>0</v>
      </c>
      <c r="Z65" s="49"/>
      <c r="AA65" s="65"/>
      <c r="AB65" s="50" t="str">
        <f t="shared" si="9"/>
        <v/>
      </c>
      <c r="AC65" s="68">
        <f t="shared" si="10"/>
        <v>0</v>
      </c>
      <c r="AD65" s="68">
        <f t="shared" si="11"/>
        <v>0</v>
      </c>
      <c r="AE65" s="68">
        <f t="shared" si="12"/>
        <v>0</v>
      </c>
      <c r="AF65" s="50"/>
      <c r="AG65" s="50" t="s">
        <v>167</v>
      </c>
      <c r="AH65" s="49" t="str">
        <f>IF(AG65="นิติศาสตร์","K5-LAW","K5-POLICY")</f>
        <v>K5-POLICY</v>
      </c>
      <c r="AI65" s="72" t="str">
        <f>_xlfn.IFS(B65="","",AND(AH65="K5-LAW",AG65="นิติศาสตร์",K65="S2",T65="",Z65=""),P65,AND(AH65="K5-LAW",AG65="นิติศาสตร์",K65="S1",T65="",Z65=""),EDATE(P65,12),AND(AH65="K5-LAW",AG65="นิติศาสตร์",OR(K65="M2",K65="K4"),T65="",Z65=""),EDATE(P65,12*2),AND(AH65="K5-LAW",AG65="นิติศาสตร์",OR(Z65="M2",Z65="K4"),AC65&gt;=2,OR(AB65&lt;V65,AB65&lt;P65)),EDATE(AB65,12*2),AND(AH65="K5-LAW",AG65="นิติศาสตร์",Z65="S1",AC65&gt;=1,OR(AB65&lt;V65,AB65&lt;P65)),EDATE(AB65,12),AND(AH65="K5-LAW",AG65="นิติศาสตร์",OR(T65="M2",T65="K4"),W65&gt;=2,V65&lt;P65),EDATE(V65,12*2),AND(AH65="K5-LAW",AG65="นิติศาสตร์",T65="S1",W65&gt;=1,V65&lt;P65),EDATE(V65,12),AND(AH65="K5-LAW",AG65="นิติศาสตร์",OR(T65="S2",T65="K5")),V65,AND(AH65="K5-LAW",AG65="นิติศาสตร์",OR(K65="M2",K65="K4"),Q65&gt;=2),EDATE(P65,12*2),AND(AH65="K5-LAW",AG65="นิติศาสตร์",K65="S1",Q65&gt;=1),EDATE(P65,12),AND(AH65="K5-LAW",AG65="นิติศาสตร์",OR(K65="S2",K65="K5")),P65,AND(AH65="K5-POLICY",AG65&lt;&gt;"นิติศาสตร์",K65="S2",T65="",Z65=""),P65,AND(AH65="K5-POLICY",AG65&lt;&gt;"นิติศาสตร์",K65="S1",T65="",Z65=""),EDATE(P65,12),AND(AH65="K5-POLICY",AG65&lt;&gt;"นิติศาสตร์",OR(K65="M2",K65="K4"),T65="",Z65=""),EDATE(P65,12*2),AND(AH65="K5-POLICY",AG65&lt;&gt;"นิติศาสตร์",OR(Z65="M2",Z65="K4"),AC65&gt;=2,OR(AB65&lt;V65,AB65&lt;P65)),EDATE(AB65,12*2),AND(AH65="K5-POLICY",AG65&lt;&gt;"นิติศาสตร์",Z65="S1",AC65&gt;=1,OR(AB65&lt;V65,AB65&lt;P65)),EDATE(AB65,12),AND(AH65="K5-POLICY",AG65&lt;&gt;"นิติศาสตร์",OR(T65="M2",T65="K4"),W65&gt;=2,V65&lt;P65),EDATE(V65,12*2),AND(AH65="K5-POLICY",AG65&lt;&gt;"นิติศาสตร์",T65="S1",W65&gt;=1,V65&lt;P65),EDATE(V65,12),AND(AH65="K5-POLICY",AG65&lt;&gt;"นิติศาสตร์",OR(T65="S2",T65="K5")),V65,AND(AH65="K5-POLICY",AG65&lt;&gt;"นิติศาสตร์",OR(K65="M2",K65="K4"),Q65&gt;=2),EDATE(P65,12*2),AND(AH65="K5-POLICY",AG65&lt;&gt;"นิติศาสตร์",K65="S1",Q65&gt;=1),EDATE(P65,12),AND(AH65="K5-POLICY",AG65&lt;&gt;"นิติศาสตร์",OR(K65="S2",K65="K5")),P65,TRUE,"Check Data")</f>
        <v/>
      </c>
      <c r="AJ65" s="75" t="str">
        <f t="shared" si="13"/>
        <v>Check Data</v>
      </c>
      <c r="AK65" s="76" t="str">
        <f t="shared" si="14"/>
        <v>Check Data</v>
      </c>
      <c r="AL65" s="50" t="str">
        <f t="shared" si="15"/>
        <v>Check Data</v>
      </c>
      <c r="AM65" s="49" t="str">
        <f>IF(B65="","",IF(K65="S1","S1",INDEX(#REF!,#REF!)))</f>
        <v/>
      </c>
      <c r="AN65" s="49" t="str">
        <f>K65</f>
        <v>M2</v>
      </c>
      <c r="AO65" s="50" t="b">
        <f>K65=AM65</f>
        <v>0</v>
      </c>
      <c r="AP65" s="50"/>
    </row>
    <row r="66" spans="1:42" ht="21.75">
      <c r="A66" s="49">
        <v>64</v>
      </c>
      <c r="B66" s="50"/>
      <c r="C66" s="50"/>
      <c r="D66" s="50" t="s">
        <v>143</v>
      </c>
      <c r="E66" s="49" t="s">
        <v>307</v>
      </c>
      <c r="F66" s="49" t="str">
        <f t="shared" si="0"/>
        <v>05/03/1992</v>
      </c>
      <c r="G66" s="50">
        <f t="shared" si="1"/>
        <v>33</v>
      </c>
      <c r="H66" s="50">
        <f t="shared" si="2"/>
        <v>3</v>
      </c>
      <c r="I66" s="50">
        <f t="shared" si="3"/>
        <v>15</v>
      </c>
      <c r="J66" s="59"/>
      <c r="K66" s="49" t="s">
        <v>136</v>
      </c>
      <c r="L66" s="64"/>
      <c r="M66" s="49" t="s">
        <v>425</v>
      </c>
      <c r="N66" s="49">
        <v>2570</v>
      </c>
      <c r="O66" s="65" t="s">
        <v>306</v>
      </c>
      <c r="P66" s="49" t="str">
        <f t="shared" si="4"/>
        <v>19/12/2019</v>
      </c>
      <c r="Q66" s="68">
        <f t="shared" si="5"/>
        <v>5</v>
      </c>
      <c r="R66" s="68">
        <f t="shared" si="6"/>
        <v>6</v>
      </c>
      <c r="S66" s="68">
        <f t="shared" si="7"/>
        <v>1</v>
      </c>
      <c r="T66" s="65"/>
      <c r="U66" s="65"/>
      <c r="V66" s="49" t="str">
        <f t="shared" si="8"/>
        <v/>
      </c>
      <c r="W66" s="68">
        <f>IF(V66="",0,DATEDIF(V66,P66,"Y"))</f>
        <v>0</v>
      </c>
      <c r="X66" s="68">
        <f>IF(V66="",0,DATEDIF(V66,P66,"YM"))</f>
        <v>0</v>
      </c>
      <c r="Y66" s="68">
        <f>IF(V66="",0,DATEDIF(V66,P66,"MD"))</f>
        <v>0</v>
      </c>
      <c r="Z66" s="49"/>
      <c r="AA66" s="65"/>
      <c r="AB66" s="50" t="str">
        <f t="shared" si="9"/>
        <v/>
      </c>
      <c r="AC66" s="68">
        <f t="shared" si="10"/>
        <v>0</v>
      </c>
      <c r="AD66" s="68">
        <f t="shared" si="11"/>
        <v>0</v>
      </c>
      <c r="AE66" s="68">
        <f t="shared" si="12"/>
        <v>0</v>
      </c>
      <c r="AF66" s="50"/>
      <c r="AG66" s="50" t="s">
        <v>285</v>
      </c>
      <c r="AH66" s="49" t="str">
        <f>IF(AG66="นิติศาสตร์","K5-LAW","K5-POLICY")</f>
        <v>K5-POLICY</v>
      </c>
      <c r="AI66" s="72" t="str">
        <f>_xlfn.IFS(B66="","",AND(AH66="K5-LAW",AG66="นิติศาสตร์",K66="S2",T66="",Z66=""),P66,AND(AH66="K5-LAW",AG66="นิติศาสตร์",K66="S1",T66="",Z66=""),EDATE(P66,12),AND(AH66="K5-LAW",AG66="นิติศาสตร์",OR(K66="M2",K66="K4"),T66="",Z66=""),EDATE(P66,12*2),AND(AH66="K5-LAW",AG66="นิติศาสตร์",OR(Z66="M2",Z66="K4"),AC66&gt;=2,OR(AB66&lt;V66,AB66&lt;P66)),EDATE(AB66,12*2),AND(AH66="K5-LAW",AG66="นิติศาสตร์",Z66="S1",AC66&gt;=1,OR(AB66&lt;V66,AB66&lt;P66)),EDATE(AB66,12),AND(AH66="K5-LAW",AG66="นิติศาสตร์",OR(T66="M2",T66="K4"),W66&gt;=2,V66&lt;P66),EDATE(V66,12*2),AND(AH66="K5-LAW",AG66="นิติศาสตร์",T66="S1",W66&gt;=1,V66&lt;P66),EDATE(V66,12),AND(AH66="K5-LAW",AG66="นิติศาสตร์",OR(T66="S2",T66="K5")),V66,AND(AH66="K5-LAW",AG66="นิติศาสตร์",OR(K66="M2",K66="K4"),Q66&gt;=2),EDATE(P66,12*2),AND(AH66="K5-LAW",AG66="นิติศาสตร์",K66="S1",Q66&gt;=1),EDATE(P66,12),AND(AH66="K5-LAW",AG66="นิติศาสตร์",OR(K66="S2",K66="K5")),P66,AND(AH66="K5-POLICY",AG66&lt;&gt;"นิติศาสตร์",K66="S2",T66="",Z66=""),P66,AND(AH66="K5-POLICY",AG66&lt;&gt;"นิติศาสตร์",K66="S1",T66="",Z66=""),EDATE(P66,12),AND(AH66="K5-POLICY",AG66&lt;&gt;"นิติศาสตร์",OR(K66="M2",K66="K4"),T66="",Z66=""),EDATE(P66,12*2),AND(AH66="K5-POLICY",AG66&lt;&gt;"นิติศาสตร์",OR(Z66="M2",Z66="K4"),AC66&gt;=2,OR(AB66&lt;V66,AB66&lt;P66)),EDATE(AB66,12*2),AND(AH66="K5-POLICY",AG66&lt;&gt;"นิติศาสตร์",Z66="S1",AC66&gt;=1,OR(AB66&lt;V66,AB66&lt;P66)),EDATE(AB66,12),AND(AH66="K5-POLICY",AG66&lt;&gt;"นิติศาสตร์",OR(T66="M2",T66="K4"),W66&gt;=2,V66&lt;P66),EDATE(V66,12*2),AND(AH66="K5-POLICY",AG66&lt;&gt;"นิติศาสตร์",T66="S1",W66&gt;=1,V66&lt;P66),EDATE(V66,12),AND(AH66="K5-POLICY",AG66&lt;&gt;"นิติศาสตร์",OR(T66="S2",T66="K5")),V66,AND(AH66="K5-POLICY",AG66&lt;&gt;"นิติศาสตร์",OR(K66="M2",K66="K4"),Q66&gt;=2),EDATE(P66,12*2),AND(AH66="K5-POLICY",AG66&lt;&gt;"นิติศาสตร์",K66="S1",Q66&gt;=1),EDATE(P66,12),AND(AH66="K5-POLICY",AG66&lt;&gt;"นิติศาสตร์",OR(K66="S2",K66="K5")),P66,TRUE,"Check Data")</f>
        <v/>
      </c>
      <c r="AJ66" s="75" t="str">
        <f t="shared" si="13"/>
        <v>Check Data</v>
      </c>
      <c r="AK66" s="76" t="str">
        <f t="shared" si="14"/>
        <v>Check Data</v>
      </c>
      <c r="AL66" s="50" t="str">
        <f t="shared" si="15"/>
        <v>Check Data</v>
      </c>
      <c r="AM66" s="49" t="str">
        <f>IF(B66="","",IF(K66="S1","S1",INDEX(#REF!,#REF!)))</f>
        <v/>
      </c>
      <c r="AN66" s="49" t="str">
        <f>K66</f>
        <v>M2</v>
      </c>
      <c r="AO66" s="50" t="b">
        <f>K66=AM66</f>
        <v>0</v>
      </c>
      <c r="AP66" s="50"/>
    </row>
    <row r="67" spans="1:42" ht="21.75">
      <c r="A67" s="49">
        <v>65</v>
      </c>
      <c r="B67" s="50"/>
      <c r="C67" s="50"/>
      <c r="D67" s="50" t="s">
        <v>143</v>
      </c>
      <c r="E67" s="49" t="s">
        <v>348</v>
      </c>
      <c r="F67" s="49" t="str">
        <f t="shared" ref="F67:F130" si="16">IF(E67="","",TEXT(EDATE(E67,-543*12),"dd/mm/yyyy"))</f>
        <v>09/10/1995</v>
      </c>
      <c r="G67" s="50">
        <f t="shared" ref="G67:G130" si="17">IF(F67="",0,DATEDIF(F67,$C$1,"Y"))</f>
        <v>29</v>
      </c>
      <c r="H67" s="50">
        <f t="shared" ref="H67:H130" si="18">IF(F67="",0,DATEDIF(F67,$C$1,"YM"))</f>
        <v>8</v>
      </c>
      <c r="I67" s="50">
        <f t="shared" ref="I67:I130" si="19">IF(F67="",0,DATEDIF(F67,$C$1,"MD"))</f>
        <v>11</v>
      </c>
      <c r="J67" s="59"/>
      <c r="K67" s="49" t="s">
        <v>136</v>
      </c>
      <c r="L67" s="64"/>
      <c r="M67" s="49" t="s">
        <v>425</v>
      </c>
      <c r="N67" s="49">
        <v>2569</v>
      </c>
      <c r="O67" s="65" t="s">
        <v>306</v>
      </c>
      <c r="P67" s="49" t="str">
        <f t="shared" ref="P67:P130" si="20">TEXT(EDATE(O67,-543*12),"dd/mm/yyyy")</f>
        <v>19/12/2019</v>
      </c>
      <c r="Q67" s="68">
        <f t="shared" ref="Q67:Q130" si="21">IF(P67="",0,DATEDIF(P67,$C$1,"Y"))</f>
        <v>5</v>
      </c>
      <c r="R67" s="68">
        <f t="shared" ref="R67:R130" si="22">IF(P67="",0,DATEDIF(P67,$C$1,"YM"))</f>
        <v>6</v>
      </c>
      <c r="S67" s="68">
        <f t="shared" ref="S67:S130" si="23">IF(P67="",0,DATEDIF(P67,$C$1,"MD"))</f>
        <v>1</v>
      </c>
      <c r="T67" s="65"/>
      <c r="U67" s="65"/>
      <c r="V67" s="49" t="str">
        <f t="shared" ref="V67:V130" si="24">IF(U67="","",TEXT(EDATE(U67,-543*12),"dd/mm/yyyy"))</f>
        <v/>
      </c>
      <c r="W67" s="68">
        <f>IF(V67="",0,DATEDIF(V67,P67,"Y"))</f>
        <v>0</v>
      </c>
      <c r="X67" s="68">
        <f>IF(V67="",0,DATEDIF(V67,P67,"YM"))</f>
        <v>0</v>
      </c>
      <c r="Y67" s="68">
        <f>IF(V67="",0,DATEDIF(V67,P67,"MD"))</f>
        <v>0</v>
      </c>
      <c r="Z67" s="49"/>
      <c r="AA67" s="65"/>
      <c r="AB67" s="50" t="str">
        <f t="shared" ref="AB67:AB130" si="25">IF(AA67="","",TEXT(EDATE(AA67,-543*12),"dd/mm/yyyy"))</f>
        <v/>
      </c>
      <c r="AC67" s="68">
        <f t="shared" ref="AC67:AC130" si="26">IF(AB67="",0,DATEDIF(AB67,V67,"Y"))</f>
        <v>0</v>
      </c>
      <c r="AD67" s="68">
        <f t="shared" ref="AD67:AD130" si="27">IF(AB67="",0,DATEDIF(AB67,V67,"YM"))</f>
        <v>0</v>
      </c>
      <c r="AE67" s="68">
        <f t="shared" ref="AE67:AE130" si="28">IF(AB67="",0,DATEDIF(AB67,V67,"MD"))</f>
        <v>0</v>
      </c>
      <c r="AF67" s="50"/>
      <c r="AG67" s="50" t="s">
        <v>138</v>
      </c>
      <c r="AH67" s="49" t="str">
        <f>IF(AG67="นิติศาสตร์","K5-LAW","K5-POLICY")</f>
        <v>K5-LAW</v>
      </c>
      <c r="AI67" s="72" t="str">
        <f>_xlfn.IFS(B67="","",AND(AH67="K5-LAW",AG67="นิติศาสตร์",K67="S2",T67="",Z67=""),P67,AND(AH67="K5-LAW",AG67="นิติศาสตร์",K67="S1",T67="",Z67=""),EDATE(P67,12),AND(AH67="K5-LAW",AG67="นิติศาสตร์",OR(K67="M2",K67="K4"),T67="",Z67=""),EDATE(P67,12*2),AND(AH67="K5-LAW",AG67="นิติศาสตร์",OR(Z67="M2",Z67="K4"),AC67&gt;=2,OR(AB67&lt;V67,AB67&lt;P67)),EDATE(AB67,12*2),AND(AH67="K5-LAW",AG67="นิติศาสตร์",Z67="S1",AC67&gt;=1,OR(AB67&lt;V67,AB67&lt;P67)),EDATE(AB67,12),AND(AH67="K5-LAW",AG67="นิติศาสตร์",OR(T67="M2",T67="K4"),W67&gt;=2,V67&lt;P67),EDATE(V67,12*2),AND(AH67="K5-LAW",AG67="นิติศาสตร์",T67="S1",W67&gt;=1,V67&lt;P67),EDATE(V67,12),AND(AH67="K5-LAW",AG67="นิติศาสตร์",OR(T67="S2",T67="K5")),V67,AND(AH67="K5-LAW",AG67="นิติศาสตร์",OR(K67="M2",K67="K4"),Q67&gt;=2),EDATE(P67,12*2),AND(AH67="K5-LAW",AG67="นิติศาสตร์",K67="S1",Q67&gt;=1),EDATE(P67,12),AND(AH67="K5-LAW",AG67="นิติศาสตร์",OR(K67="S2",K67="K5")),P67,AND(AH67="K5-POLICY",AG67&lt;&gt;"นิติศาสตร์",K67="S2",T67="",Z67=""),P67,AND(AH67="K5-POLICY",AG67&lt;&gt;"นิติศาสตร์",K67="S1",T67="",Z67=""),EDATE(P67,12),AND(AH67="K5-POLICY",AG67&lt;&gt;"นิติศาสตร์",OR(K67="M2",K67="K4"),T67="",Z67=""),EDATE(P67,12*2),AND(AH67="K5-POLICY",AG67&lt;&gt;"นิติศาสตร์",OR(Z67="M2",Z67="K4"),AC67&gt;=2,OR(AB67&lt;V67,AB67&lt;P67)),EDATE(AB67,12*2),AND(AH67="K5-POLICY",AG67&lt;&gt;"นิติศาสตร์",Z67="S1",AC67&gt;=1,OR(AB67&lt;V67,AB67&lt;P67)),EDATE(AB67,12),AND(AH67="K5-POLICY",AG67&lt;&gt;"นิติศาสตร์",OR(T67="M2",T67="K4"),W67&gt;=2,V67&lt;P67),EDATE(V67,12*2),AND(AH67="K5-POLICY",AG67&lt;&gt;"นิติศาสตร์",T67="S1",W67&gt;=1,V67&lt;P67),EDATE(V67,12),AND(AH67="K5-POLICY",AG67&lt;&gt;"นิติศาสตร์",OR(T67="S2",T67="K5")),V67,AND(AH67="K5-POLICY",AG67&lt;&gt;"นิติศาสตร์",OR(K67="M2",K67="K4"),Q67&gt;=2),EDATE(P67,12*2),AND(AH67="K5-POLICY",AG67&lt;&gt;"นิติศาสตร์",K67="S1",Q67&gt;=1),EDATE(P67,12),AND(AH67="K5-POLICY",AG67&lt;&gt;"นิติศาสตร์",OR(K67="S2",K67="K5")),P67,TRUE,"Check Data")</f>
        <v/>
      </c>
      <c r="AJ67" s="75" t="str">
        <f t="shared" ref="AJ67:AJ130" si="29">IFERROR(TEXT(EDATE(AI67,543*12),"dd/mm/yyyy"),"Check Data")</f>
        <v>Check Data</v>
      </c>
      <c r="AK67" s="76" t="str">
        <f t="shared" ref="AK67:AK130" si="30">IFERROR(IF($C$1&gt;AI67,AI67-$C$1,DATEDIF($C$1,AI67,"d")),"Check Data")</f>
        <v>Check Data</v>
      </c>
      <c r="AL67" s="50" t="str">
        <f t="shared" ref="AL67:AL130" si="31">_xlfn.IFS(AK67="Check Data","Check Data",AK67&gt;30,"ยังไม่ถึงเกณฑ์",AK67&gt;0,"ใกล้ถึงเกณฑ์",AK67=0,"ถึงเกณฑ์",AK67&lt;0,"ถึงเกณฑ์นานแล้ว")</f>
        <v>Check Data</v>
      </c>
      <c r="AM67" s="49" t="str">
        <f>IF(B67="","",IF(K67="S1","S1",INDEX(#REF!,#REF!)))</f>
        <v/>
      </c>
      <c r="AN67" s="49" t="str">
        <f>K67</f>
        <v>M2</v>
      </c>
      <c r="AO67" s="50" t="b">
        <f>K67=AM67</f>
        <v>0</v>
      </c>
      <c r="AP67" s="50"/>
    </row>
    <row r="68" spans="1:42" ht="21.75">
      <c r="A68" s="49">
        <v>66</v>
      </c>
      <c r="B68" s="50"/>
      <c r="C68" s="50"/>
      <c r="D68" s="50" t="s">
        <v>144</v>
      </c>
      <c r="E68" s="49" t="s">
        <v>379</v>
      </c>
      <c r="F68" s="49" t="str">
        <f t="shared" si="16"/>
        <v>10/07/1987</v>
      </c>
      <c r="G68" s="50">
        <f t="shared" si="17"/>
        <v>37</v>
      </c>
      <c r="H68" s="50">
        <f t="shared" si="18"/>
        <v>11</v>
      </c>
      <c r="I68" s="50">
        <f t="shared" si="19"/>
        <v>10</v>
      </c>
      <c r="J68" s="57"/>
      <c r="K68" s="49" t="s">
        <v>136</v>
      </c>
      <c r="L68" s="64"/>
      <c r="M68" s="49" t="s">
        <v>425</v>
      </c>
      <c r="N68" s="49">
        <v>2572</v>
      </c>
      <c r="O68" s="65" t="s">
        <v>380</v>
      </c>
      <c r="P68" s="49" t="str">
        <f t="shared" si="20"/>
        <v>21/01/2020</v>
      </c>
      <c r="Q68" s="68">
        <f t="shared" si="21"/>
        <v>5</v>
      </c>
      <c r="R68" s="68">
        <f t="shared" si="22"/>
        <v>4</v>
      </c>
      <c r="S68" s="68">
        <f t="shared" si="23"/>
        <v>30</v>
      </c>
      <c r="T68" s="65"/>
      <c r="U68" s="65"/>
      <c r="V68" s="49" t="str">
        <f t="shared" si="24"/>
        <v/>
      </c>
      <c r="W68" s="68">
        <f>IF(V68="",0,DATEDIF(V68,P68,"Y"))</f>
        <v>0</v>
      </c>
      <c r="X68" s="68">
        <f>IF(V68="",0,DATEDIF(V68,P68,"YM"))</f>
        <v>0</v>
      </c>
      <c r="Y68" s="68">
        <f>IF(V68="",0,DATEDIF(V68,P68,"MD"))</f>
        <v>0</v>
      </c>
      <c r="Z68" s="49"/>
      <c r="AA68" s="65"/>
      <c r="AB68" s="50" t="str">
        <f t="shared" si="25"/>
        <v/>
      </c>
      <c r="AC68" s="68">
        <f t="shared" si="26"/>
        <v>0</v>
      </c>
      <c r="AD68" s="68">
        <f t="shared" si="27"/>
        <v>0</v>
      </c>
      <c r="AE68" s="68">
        <f t="shared" si="28"/>
        <v>0</v>
      </c>
      <c r="AF68" s="50"/>
      <c r="AG68" s="50" t="s">
        <v>138</v>
      </c>
      <c r="AH68" s="49" t="str">
        <f>IF(AG68="นิติศาสตร์","K5-LAW","K5-POLICY")</f>
        <v>K5-LAW</v>
      </c>
      <c r="AI68" s="72" t="str">
        <f>_xlfn.IFS(B68="","",AND(AH68="K5-LAW",AG68="นิติศาสตร์",K68="S2",T68="",Z68=""),P68,AND(AH68="K5-LAW",AG68="นิติศาสตร์",K68="S1",T68="",Z68=""),EDATE(P68,12),AND(AH68="K5-LAW",AG68="นิติศาสตร์",OR(K68="M2",K68="K4"),T68="",Z68=""),EDATE(P68,12*2),AND(AH68="K5-LAW",AG68="นิติศาสตร์",OR(Z68="M2",Z68="K4"),AC68&gt;=2,OR(AB68&lt;V68,AB68&lt;P68)),EDATE(AB68,12*2),AND(AH68="K5-LAW",AG68="นิติศาสตร์",Z68="S1",AC68&gt;=1,OR(AB68&lt;V68,AB68&lt;P68)),EDATE(AB68,12),AND(AH68="K5-LAW",AG68="นิติศาสตร์",OR(T68="M2",T68="K4"),W68&gt;=2,V68&lt;P68),EDATE(V68,12*2),AND(AH68="K5-LAW",AG68="นิติศาสตร์",T68="S1",W68&gt;=1,V68&lt;P68),EDATE(V68,12),AND(AH68="K5-LAW",AG68="นิติศาสตร์",OR(T68="S2",T68="K5")),V68,AND(AH68="K5-LAW",AG68="นิติศาสตร์",OR(K68="M2",K68="K4"),Q68&gt;=2),EDATE(P68,12*2),AND(AH68="K5-LAW",AG68="นิติศาสตร์",K68="S1",Q68&gt;=1),EDATE(P68,12),AND(AH68="K5-LAW",AG68="นิติศาสตร์",OR(K68="S2",K68="K5")),P68,AND(AH68="K5-POLICY",AG68&lt;&gt;"นิติศาสตร์",K68="S2",T68="",Z68=""),P68,AND(AH68="K5-POLICY",AG68&lt;&gt;"นิติศาสตร์",K68="S1",T68="",Z68=""),EDATE(P68,12),AND(AH68="K5-POLICY",AG68&lt;&gt;"นิติศาสตร์",OR(K68="M2",K68="K4"),T68="",Z68=""),EDATE(P68,12*2),AND(AH68="K5-POLICY",AG68&lt;&gt;"นิติศาสตร์",OR(Z68="M2",Z68="K4"),AC68&gt;=2,OR(AB68&lt;V68,AB68&lt;P68)),EDATE(AB68,12*2),AND(AH68="K5-POLICY",AG68&lt;&gt;"นิติศาสตร์",Z68="S1",AC68&gt;=1,OR(AB68&lt;V68,AB68&lt;P68)),EDATE(AB68,12),AND(AH68="K5-POLICY",AG68&lt;&gt;"นิติศาสตร์",OR(T68="M2",T68="K4"),W68&gt;=2,V68&lt;P68),EDATE(V68,12*2),AND(AH68="K5-POLICY",AG68&lt;&gt;"นิติศาสตร์",T68="S1",W68&gt;=1,V68&lt;P68),EDATE(V68,12),AND(AH68="K5-POLICY",AG68&lt;&gt;"นิติศาสตร์",OR(T68="S2",T68="K5")),V68,AND(AH68="K5-POLICY",AG68&lt;&gt;"นิติศาสตร์",OR(K68="M2",K68="K4"),Q68&gt;=2),EDATE(P68,12*2),AND(AH68="K5-POLICY",AG68&lt;&gt;"นิติศาสตร์",K68="S1",Q68&gt;=1),EDATE(P68,12),AND(AH68="K5-POLICY",AG68&lt;&gt;"นิติศาสตร์",OR(K68="S2",K68="K5")),P68,TRUE,"Check Data")</f>
        <v/>
      </c>
      <c r="AJ68" s="75" t="str">
        <f t="shared" si="29"/>
        <v>Check Data</v>
      </c>
      <c r="AK68" s="76" t="str">
        <f t="shared" si="30"/>
        <v>Check Data</v>
      </c>
      <c r="AL68" s="50" t="str">
        <f t="shared" si="31"/>
        <v>Check Data</v>
      </c>
      <c r="AM68" s="49" t="str">
        <f>IF(B68="","",IF(K68="S1","S1",INDEX(#REF!,#REF!)))</f>
        <v/>
      </c>
      <c r="AN68" s="49" t="str">
        <f>K68</f>
        <v>M2</v>
      </c>
      <c r="AO68" s="50" t="b">
        <f>K68=AM68</f>
        <v>0</v>
      </c>
      <c r="AP68" s="50"/>
    </row>
    <row r="69" spans="1:42" ht="21.75">
      <c r="A69" s="49">
        <v>67</v>
      </c>
      <c r="B69" s="50"/>
      <c r="C69" s="50"/>
      <c r="D69" s="50" t="s">
        <v>143</v>
      </c>
      <c r="E69" s="49" t="s">
        <v>335</v>
      </c>
      <c r="F69" s="49" t="str">
        <f t="shared" si="16"/>
        <v>01/01/1999</v>
      </c>
      <c r="G69" s="50">
        <f t="shared" si="17"/>
        <v>26</v>
      </c>
      <c r="H69" s="50">
        <f t="shared" si="18"/>
        <v>5</v>
      </c>
      <c r="I69" s="50">
        <f t="shared" si="19"/>
        <v>19</v>
      </c>
      <c r="J69" s="59"/>
      <c r="K69" s="49" t="s">
        <v>136</v>
      </c>
      <c r="L69" s="64"/>
      <c r="M69" s="49" t="s">
        <v>427</v>
      </c>
      <c r="N69" s="49">
        <v>2579</v>
      </c>
      <c r="O69" s="65" t="s">
        <v>336</v>
      </c>
      <c r="P69" s="49" t="str">
        <f t="shared" si="20"/>
        <v>05/05/2020</v>
      </c>
      <c r="Q69" s="68">
        <f t="shared" si="21"/>
        <v>5</v>
      </c>
      <c r="R69" s="68">
        <f t="shared" si="22"/>
        <v>1</v>
      </c>
      <c r="S69" s="68">
        <f t="shared" si="23"/>
        <v>15</v>
      </c>
      <c r="T69" s="65"/>
      <c r="U69" s="65"/>
      <c r="V69" s="49" t="str">
        <f t="shared" si="24"/>
        <v/>
      </c>
      <c r="W69" s="68">
        <f>IF(V69="",0,DATEDIF(V69,P69,"Y"))</f>
        <v>0</v>
      </c>
      <c r="X69" s="68">
        <f>IF(V69="",0,DATEDIF(V69,P69,"YM"))</f>
        <v>0</v>
      </c>
      <c r="Y69" s="68">
        <f>IF(V69="",0,DATEDIF(V69,P69,"MD"))</f>
        <v>0</v>
      </c>
      <c r="Z69" s="49"/>
      <c r="AA69" s="65"/>
      <c r="AB69" s="50" t="str">
        <f t="shared" si="25"/>
        <v/>
      </c>
      <c r="AC69" s="68">
        <f t="shared" si="26"/>
        <v>0</v>
      </c>
      <c r="AD69" s="68">
        <f t="shared" si="27"/>
        <v>0</v>
      </c>
      <c r="AE69" s="68">
        <f t="shared" si="28"/>
        <v>0</v>
      </c>
      <c r="AF69" s="50"/>
      <c r="AG69" s="50" t="s">
        <v>337</v>
      </c>
      <c r="AH69" s="49" t="str">
        <f>IF(AG69="นิติศาสตร์","K5-LAW","K5-POLICY")</f>
        <v>K5-POLICY</v>
      </c>
      <c r="AI69" s="72" t="str">
        <f>_xlfn.IFS(B69="","",AND(AH69="K5-LAW",AG69="นิติศาสตร์",K69="S2",T69="",Z69=""),P69,AND(AH69="K5-LAW",AG69="นิติศาสตร์",K69="S1",T69="",Z69=""),EDATE(P69,12),AND(AH69="K5-LAW",AG69="นิติศาสตร์",OR(K69="M2",K69="K4"),T69="",Z69=""),EDATE(P69,12*2),AND(AH69="K5-LAW",AG69="นิติศาสตร์",OR(Z69="M2",Z69="K4"),AC69&gt;=2,OR(AB69&lt;V69,AB69&lt;P69)),EDATE(AB69,12*2),AND(AH69="K5-LAW",AG69="นิติศาสตร์",Z69="S1",AC69&gt;=1,OR(AB69&lt;V69,AB69&lt;P69)),EDATE(AB69,12),AND(AH69="K5-LAW",AG69="นิติศาสตร์",OR(T69="M2",T69="K4"),W69&gt;=2,V69&lt;P69),EDATE(V69,12*2),AND(AH69="K5-LAW",AG69="นิติศาสตร์",T69="S1",W69&gt;=1,V69&lt;P69),EDATE(V69,12),AND(AH69="K5-LAW",AG69="นิติศาสตร์",OR(T69="S2",T69="K5")),V69,AND(AH69="K5-LAW",AG69="นิติศาสตร์",OR(K69="M2",K69="K4"),Q69&gt;=2),EDATE(P69,12*2),AND(AH69="K5-LAW",AG69="นิติศาสตร์",K69="S1",Q69&gt;=1),EDATE(P69,12),AND(AH69="K5-LAW",AG69="นิติศาสตร์",OR(K69="S2",K69="K5")),P69,AND(AH69="K5-POLICY",AG69&lt;&gt;"นิติศาสตร์",K69="S2",T69="",Z69=""),P69,AND(AH69="K5-POLICY",AG69&lt;&gt;"นิติศาสตร์",K69="S1",T69="",Z69=""),EDATE(P69,12),AND(AH69="K5-POLICY",AG69&lt;&gt;"นิติศาสตร์",OR(K69="M2",K69="K4"),T69="",Z69=""),EDATE(P69,12*2),AND(AH69="K5-POLICY",AG69&lt;&gt;"นิติศาสตร์",OR(Z69="M2",Z69="K4"),AC69&gt;=2,OR(AB69&lt;V69,AB69&lt;P69)),EDATE(AB69,12*2),AND(AH69="K5-POLICY",AG69&lt;&gt;"นิติศาสตร์",Z69="S1",AC69&gt;=1,OR(AB69&lt;V69,AB69&lt;P69)),EDATE(AB69,12),AND(AH69="K5-POLICY",AG69&lt;&gt;"นิติศาสตร์",OR(T69="M2",T69="K4"),W69&gt;=2,V69&lt;P69),EDATE(V69,12*2),AND(AH69="K5-POLICY",AG69&lt;&gt;"นิติศาสตร์",T69="S1",W69&gt;=1,V69&lt;P69),EDATE(V69,12),AND(AH69="K5-POLICY",AG69&lt;&gt;"นิติศาสตร์",OR(T69="S2",T69="K5")),V69,AND(AH69="K5-POLICY",AG69&lt;&gt;"นิติศาสตร์",OR(K69="M2",K69="K4"),Q69&gt;=2),EDATE(P69,12*2),AND(AH69="K5-POLICY",AG69&lt;&gt;"นิติศาสตร์",K69="S1",Q69&gt;=1),EDATE(P69,12),AND(AH69="K5-POLICY",AG69&lt;&gt;"นิติศาสตร์",OR(K69="S2",K69="K5")),P69,TRUE,"Check Data")</f>
        <v/>
      </c>
      <c r="AJ69" s="75" t="str">
        <f t="shared" si="29"/>
        <v>Check Data</v>
      </c>
      <c r="AK69" s="76" t="str">
        <f t="shared" si="30"/>
        <v>Check Data</v>
      </c>
      <c r="AL69" s="50" t="str">
        <f t="shared" si="31"/>
        <v>Check Data</v>
      </c>
      <c r="AM69" s="49" t="str">
        <f>IF(B69="","",IF(K69="S1","S1",INDEX(#REF!,#REF!)))</f>
        <v/>
      </c>
      <c r="AN69" s="49" t="str">
        <f>K69</f>
        <v>M2</v>
      </c>
      <c r="AO69" s="50" t="b">
        <f>K69=AM69</f>
        <v>0</v>
      </c>
      <c r="AP69" s="50"/>
    </row>
    <row r="70" spans="1:42" ht="21.75">
      <c r="A70" s="49">
        <v>68</v>
      </c>
      <c r="B70" s="50"/>
      <c r="C70" s="50"/>
      <c r="D70" s="50" t="s">
        <v>144</v>
      </c>
      <c r="E70" s="49" t="s">
        <v>384</v>
      </c>
      <c r="F70" s="49" t="str">
        <f t="shared" si="16"/>
        <v>01/06/1994</v>
      </c>
      <c r="G70" s="50">
        <f t="shared" si="17"/>
        <v>31</v>
      </c>
      <c r="H70" s="50">
        <f t="shared" si="18"/>
        <v>0</v>
      </c>
      <c r="I70" s="50">
        <f t="shared" si="19"/>
        <v>19</v>
      </c>
      <c r="J70" s="57"/>
      <c r="K70" s="49" t="s">
        <v>136</v>
      </c>
      <c r="L70" s="64"/>
      <c r="M70" s="49" t="s">
        <v>425</v>
      </c>
      <c r="N70" s="49">
        <v>2569</v>
      </c>
      <c r="O70" s="65" t="s">
        <v>385</v>
      </c>
      <c r="P70" s="49" t="str">
        <f t="shared" si="20"/>
        <v>29/09/2020</v>
      </c>
      <c r="Q70" s="68">
        <f t="shared" si="21"/>
        <v>4</v>
      </c>
      <c r="R70" s="68">
        <f t="shared" si="22"/>
        <v>8</v>
      </c>
      <c r="S70" s="68">
        <f t="shared" si="23"/>
        <v>22</v>
      </c>
      <c r="T70" s="65"/>
      <c r="U70" s="65"/>
      <c r="V70" s="49" t="str">
        <f t="shared" si="24"/>
        <v/>
      </c>
      <c r="W70" s="68">
        <f>IF(V70="",0,DATEDIF(V70,P70,"Y"))</f>
        <v>0</v>
      </c>
      <c r="X70" s="68">
        <f>IF(V70="",0,DATEDIF(V70,P70,"YM"))</f>
        <v>0</v>
      </c>
      <c r="Y70" s="68">
        <f>IF(V70="",0,DATEDIF(V70,P70,"MD"))</f>
        <v>0</v>
      </c>
      <c r="Z70" s="49"/>
      <c r="AA70" s="65"/>
      <c r="AB70" s="50" t="str">
        <f t="shared" si="25"/>
        <v/>
      </c>
      <c r="AC70" s="68">
        <f t="shared" si="26"/>
        <v>0</v>
      </c>
      <c r="AD70" s="68">
        <f t="shared" si="27"/>
        <v>0</v>
      </c>
      <c r="AE70" s="68">
        <f t="shared" si="28"/>
        <v>0</v>
      </c>
      <c r="AF70" s="50"/>
      <c r="AG70" s="50" t="s">
        <v>138</v>
      </c>
      <c r="AH70" s="49" t="str">
        <f>IF(AG70="นิติศาสตร์","K5-LAW","K5-POLICY")</f>
        <v>K5-LAW</v>
      </c>
      <c r="AI70" s="72" t="str">
        <f>_xlfn.IFS(B70="","",AND(AH70="K5-LAW",AG70="นิติศาสตร์",K70="S2",T70="",Z70=""),P70,AND(AH70="K5-LAW",AG70="นิติศาสตร์",K70="S1",T70="",Z70=""),EDATE(P70,12),AND(AH70="K5-LAW",AG70="นิติศาสตร์",OR(K70="M2",K70="K4"),T70="",Z70=""),EDATE(P70,12*2),AND(AH70="K5-LAW",AG70="นิติศาสตร์",OR(Z70="M2",Z70="K4"),AC70&gt;=2,OR(AB70&lt;V70,AB70&lt;P70)),EDATE(AB70,12*2),AND(AH70="K5-LAW",AG70="นิติศาสตร์",Z70="S1",AC70&gt;=1,OR(AB70&lt;V70,AB70&lt;P70)),EDATE(AB70,12),AND(AH70="K5-LAW",AG70="นิติศาสตร์",OR(T70="M2",T70="K4"),W70&gt;=2,V70&lt;P70),EDATE(V70,12*2),AND(AH70="K5-LAW",AG70="นิติศาสตร์",T70="S1",W70&gt;=1,V70&lt;P70),EDATE(V70,12),AND(AH70="K5-LAW",AG70="นิติศาสตร์",OR(T70="S2",T70="K5")),V70,AND(AH70="K5-LAW",AG70="นิติศาสตร์",OR(K70="M2",K70="K4"),Q70&gt;=2),EDATE(P70,12*2),AND(AH70="K5-LAW",AG70="นิติศาสตร์",K70="S1",Q70&gt;=1),EDATE(P70,12),AND(AH70="K5-LAW",AG70="นิติศาสตร์",OR(K70="S2",K70="K5")),P70,AND(AH70="K5-POLICY",AG70&lt;&gt;"นิติศาสตร์",K70="S2",T70="",Z70=""),P70,AND(AH70="K5-POLICY",AG70&lt;&gt;"นิติศาสตร์",K70="S1",T70="",Z70=""),EDATE(P70,12),AND(AH70="K5-POLICY",AG70&lt;&gt;"นิติศาสตร์",OR(K70="M2",K70="K4"),T70="",Z70=""),EDATE(P70,12*2),AND(AH70="K5-POLICY",AG70&lt;&gt;"นิติศาสตร์",OR(Z70="M2",Z70="K4"),AC70&gt;=2,OR(AB70&lt;V70,AB70&lt;P70)),EDATE(AB70,12*2),AND(AH70="K5-POLICY",AG70&lt;&gt;"นิติศาสตร์",Z70="S1",AC70&gt;=1,OR(AB70&lt;V70,AB70&lt;P70)),EDATE(AB70,12),AND(AH70="K5-POLICY",AG70&lt;&gt;"นิติศาสตร์",OR(T70="M2",T70="K4"),W70&gt;=2,V70&lt;P70),EDATE(V70,12*2),AND(AH70="K5-POLICY",AG70&lt;&gt;"นิติศาสตร์",T70="S1",W70&gt;=1,V70&lt;P70),EDATE(V70,12),AND(AH70="K5-POLICY",AG70&lt;&gt;"นิติศาสตร์",OR(T70="S2",T70="K5")),V70,AND(AH70="K5-POLICY",AG70&lt;&gt;"นิติศาสตร์",OR(K70="M2",K70="K4"),Q70&gt;=2),EDATE(P70,12*2),AND(AH70="K5-POLICY",AG70&lt;&gt;"นิติศาสตร์",K70="S1",Q70&gt;=1),EDATE(P70,12),AND(AH70="K5-POLICY",AG70&lt;&gt;"นิติศาสตร์",OR(K70="S2",K70="K5")),P70,TRUE,"Check Data")</f>
        <v/>
      </c>
      <c r="AJ70" s="75" t="str">
        <f t="shared" si="29"/>
        <v>Check Data</v>
      </c>
      <c r="AK70" s="76" t="str">
        <f t="shared" si="30"/>
        <v>Check Data</v>
      </c>
      <c r="AL70" s="50" t="str">
        <f t="shared" si="31"/>
        <v>Check Data</v>
      </c>
      <c r="AM70" s="49" t="str">
        <f>IF(B70="","",IF(K70="S1","S1",INDEX(#REF!,#REF!)))</f>
        <v/>
      </c>
      <c r="AN70" s="49" t="str">
        <f>K70</f>
        <v>M2</v>
      </c>
      <c r="AO70" s="50" t="b">
        <f>K70=AM70</f>
        <v>0</v>
      </c>
      <c r="AP70" s="50"/>
    </row>
    <row r="71" spans="1:42" ht="21.75">
      <c r="A71" s="49">
        <v>69</v>
      </c>
      <c r="B71" s="50"/>
      <c r="C71" s="50"/>
      <c r="D71" s="50" t="s">
        <v>141</v>
      </c>
      <c r="E71" s="49" t="s">
        <v>254</v>
      </c>
      <c r="F71" s="49" t="str">
        <f t="shared" si="16"/>
        <v>13/08/1991</v>
      </c>
      <c r="G71" s="50">
        <f t="shared" si="17"/>
        <v>33</v>
      </c>
      <c r="H71" s="50">
        <f t="shared" si="18"/>
        <v>10</v>
      </c>
      <c r="I71" s="50">
        <f t="shared" si="19"/>
        <v>7</v>
      </c>
      <c r="J71" s="60"/>
      <c r="K71" s="49" t="s">
        <v>136</v>
      </c>
      <c r="L71" s="64"/>
      <c r="M71" s="49" t="s">
        <v>427</v>
      </c>
      <c r="N71" s="49">
        <v>2568</v>
      </c>
      <c r="O71" s="65" t="s">
        <v>252</v>
      </c>
      <c r="P71" s="49" t="str">
        <f t="shared" si="20"/>
        <v>01/10/2020</v>
      </c>
      <c r="Q71" s="68">
        <f t="shared" si="21"/>
        <v>4</v>
      </c>
      <c r="R71" s="68">
        <f t="shared" si="22"/>
        <v>8</v>
      </c>
      <c r="S71" s="68">
        <f t="shared" si="23"/>
        <v>19</v>
      </c>
      <c r="T71" s="65"/>
      <c r="U71" s="65"/>
      <c r="V71" s="49" t="str">
        <f t="shared" si="24"/>
        <v/>
      </c>
      <c r="W71" s="68">
        <f>IF(V71="",0,DATEDIF(V71,P71,"Y"))</f>
        <v>0</v>
      </c>
      <c r="X71" s="68">
        <f>IF(V71="",0,DATEDIF(V71,P71,"YM"))</f>
        <v>0</v>
      </c>
      <c r="Y71" s="68">
        <f>IF(V71="",0,DATEDIF(V71,P71,"MD"))</f>
        <v>0</v>
      </c>
      <c r="Z71" s="49"/>
      <c r="AA71" s="65"/>
      <c r="AB71" s="50" t="str">
        <f t="shared" si="25"/>
        <v/>
      </c>
      <c r="AC71" s="68">
        <f t="shared" si="26"/>
        <v>0</v>
      </c>
      <c r="AD71" s="68">
        <f t="shared" si="27"/>
        <v>0</v>
      </c>
      <c r="AE71" s="68">
        <f t="shared" si="28"/>
        <v>0</v>
      </c>
      <c r="AF71" s="50"/>
      <c r="AG71" s="50" t="s">
        <v>138</v>
      </c>
      <c r="AH71" s="49" t="str">
        <f>IF(AG71="นิติศาสตร์","K5-LAW","K5-POLICY")</f>
        <v>K5-LAW</v>
      </c>
      <c r="AI71" s="72" t="str">
        <f>_xlfn.IFS(B71="","",AND(AH71="K5-LAW",AG71="นิติศาสตร์",K71="S2",T71="",Z71=""),P71,AND(AH71="K5-LAW",AG71="นิติศาสตร์",K71="S1",T71="",Z71=""),EDATE(P71,12),AND(AH71="K5-LAW",AG71="นิติศาสตร์",OR(K71="M2",K71="K4"),T71="",Z71=""),EDATE(P71,12*2),AND(AH71="K5-LAW",AG71="นิติศาสตร์",OR(Z71="M2",Z71="K4"),AC71&gt;=2,OR(AB71&lt;V71,AB71&lt;P71)),EDATE(AB71,12*2),AND(AH71="K5-LAW",AG71="นิติศาสตร์",Z71="S1",AC71&gt;=1,OR(AB71&lt;V71,AB71&lt;P71)),EDATE(AB71,12),AND(AH71="K5-LAW",AG71="นิติศาสตร์",OR(T71="M2",T71="K4"),W71&gt;=2,V71&lt;P71),EDATE(V71,12*2),AND(AH71="K5-LAW",AG71="นิติศาสตร์",T71="S1",W71&gt;=1,V71&lt;P71),EDATE(V71,12),AND(AH71="K5-LAW",AG71="นิติศาสตร์",OR(T71="S2",T71="K5")),V71,AND(AH71="K5-LAW",AG71="นิติศาสตร์",OR(K71="M2",K71="K4"),Q71&gt;=2),EDATE(P71,12*2),AND(AH71="K5-LAW",AG71="นิติศาสตร์",K71="S1",Q71&gt;=1),EDATE(P71,12),AND(AH71="K5-LAW",AG71="นิติศาสตร์",OR(K71="S2",K71="K5")),P71,AND(AH71="K5-POLICY",AG71&lt;&gt;"นิติศาสตร์",K71="S2",T71="",Z71=""),P71,AND(AH71="K5-POLICY",AG71&lt;&gt;"นิติศาสตร์",K71="S1",T71="",Z71=""),EDATE(P71,12),AND(AH71="K5-POLICY",AG71&lt;&gt;"นิติศาสตร์",OR(K71="M2",K71="K4"),T71="",Z71=""),EDATE(P71,12*2),AND(AH71="K5-POLICY",AG71&lt;&gt;"นิติศาสตร์",OR(Z71="M2",Z71="K4"),AC71&gt;=2,OR(AB71&lt;V71,AB71&lt;P71)),EDATE(AB71,12*2),AND(AH71="K5-POLICY",AG71&lt;&gt;"นิติศาสตร์",Z71="S1",AC71&gt;=1,OR(AB71&lt;V71,AB71&lt;P71)),EDATE(AB71,12),AND(AH71="K5-POLICY",AG71&lt;&gt;"นิติศาสตร์",OR(T71="M2",T71="K4"),W71&gt;=2,V71&lt;P71),EDATE(V71,12*2),AND(AH71="K5-POLICY",AG71&lt;&gt;"นิติศาสตร์",T71="S1",W71&gt;=1,V71&lt;P71),EDATE(V71,12),AND(AH71="K5-POLICY",AG71&lt;&gt;"นิติศาสตร์",OR(T71="S2",T71="K5")),V71,AND(AH71="K5-POLICY",AG71&lt;&gt;"นิติศาสตร์",OR(K71="M2",K71="K4"),Q71&gt;=2),EDATE(P71,12*2),AND(AH71="K5-POLICY",AG71&lt;&gt;"นิติศาสตร์",K71="S1",Q71&gt;=1),EDATE(P71,12),AND(AH71="K5-POLICY",AG71&lt;&gt;"นิติศาสตร์",OR(K71="S2",K71="K5")),P71,TRUE,"Check Data")</f>
        <v/>
      </c>
      <c r="AJ71" s="75" t="str">
        <f t="shared" si="29"/>
        <v>Check Data</v>
      </c>
      <c r="AK71" s="76" t="str">
        <f t="shared" si="30"/>
        <v>Check Data</v>
      </c>
      <c r="AL71" s="50" t="str">
        <f t="shared" si="31"/>
        <v>Check Data</v>
      </c>
      <c r="AM71" s="49" t="str">
        <f>IF(B71="","",IF(K71="S1","S1",INDEX(#REF!,#REF!)))</f>
        <v/>
      </c>
      <c r="AN71" s="49" t="str">
        <f>K71</f>
        <v>M2</v>
      </c>
      <c r="AO71" s="50" t="b">
        <f>K71=AM71</f>
        <v>0</v>
      </c>
      <c r="AP71" s="50"/>
    </row>
    <row r="72" spans="1:42" ht="21.75">
      <c r="A72" s="49">
        <v>70</v>
      </c>
      <c r="B72" s="50"/>
      <c r="C72" s="50"/>
      <c r="D72" s="50" t="s">
        <v>141</v>
      </c>
      <c r="E72" s="49" t="s">
        <v>251</v>
      </c>
      <c r="F72" s="49" t="str">
        <f t="shared" si="16"/>
        <v>15/08/1997</v>
      </c>
      <c r="G72" s="50">
        <f t="shared" si="17"/>
        <v>27</v>
      </c>
      <c r="H72" s="50">
        <f t="shared" si="18"/>
        <v>10</v>
      </c>
      <c r="I72" s="50">
        <f t="shared" si="19"/>
        <v>5</v>
      </c>
      <c r="J72" s="60"/>
      <c r="K72" s="49" t="s">
        <v>136</v>
      </c>
      <c r="L72" s="64"/>
      <c r="M72" s="49" t="s">
        <v>425</v>
      </c>
      <c r="N72" s="49">
        <v>2575</v>
      </c>
      <c r="O72" s="65" t="s">
        <v>252</v>
      </c>
      <c r="P72" s="49" t="str">
        <f t="shared" si="20"/>
        <v>01/10/2020</v>
      </c>
      <c r="Q72" s="68">
        <f t="shared" si="21"/>
        <v>4</v>
      </c>
      <c r="R72" s="68">
        <f t="shared" si="22"/>
        <v>8</v>
      </c>
      <c r="S72" s="68">
        <f t="shared" si="23"/>
        <v>19</v>
      </c>
      <c r="T72" s="65"/>
      <c r="U72" s="65"/>
      <c r="V72" s="49" t="str">
        <f t="shared" si="24"/>
        <v/>
      </c>
      <c r="W72" s="68">
        <f>IF(V72="",0,DATEDIF(V72,P72,"Y"))</f>
        <v>0</v>
      </c>
      <c r="X72" s="68">
        <f>IF(V72="",0,DATEDIF(V72,P72,"YM"))</f>
        <v>0</v>
      </c>
      <c r="Y72" s="68">
        <f>IF(V72="",0,DATEDIF(V72,P72,"MD"))</f>
        <v>0</v>
      </c>
      <c r="Z72" s="49"/>
      <c r="AA72" s="65"/>
      <c r="AB72" s="50" t="str">
        <f t="shared" si="25"/>
        <v/>
      </c>
      <c r="AC72" s="68">
        <f t="shared" si="26"/>
        <v>0</v>
      </c>
      <c r="AD72" s="68">
        <f t="shared" si="27"/>
        <v>0</v>
      </c>
      <c r="AE72" s="68">
        <f t="shared" si="28"/>
        <v>0</v>
      </c>
      <c r="AF72" s="50"/>
      <c r="AG72" s="50" t="s">
        <v>138</v>
      </c>
      <c r="AH72" s="49" t="str">
        <f>IF(AG72="นิติศาสตร์","K5-LAW","K5-POLICY")</f>
        <v>K5-LAW</v>
      </c>
      <c r="AI72" s="72" t="str">
        <f>_xlfn.IFS(B72="","",AND(AH72="K5-LAW",AG72="นิติศาสตร์",K72="S2",T72="",Z72=""),P72,AND(AH72="K5-LAW",AG72="นิติศาสตร์",K72="S1",T72="",Z72=""),EDATE(P72,12),AND(AH72="K5-LAW",AG72="นิติศาสตร์",OR(K72="M2",K72="K4"),T72="",Z72=""),EDATE(P72,12*2),AND(AH72="K5-LAW",AG72="นิติศาสตร์",OR(Z72="M2",Z72="K4"),AC72&gt;=2,OR(AB72&lt;V72,AB72&lt;P72)),EDATE(AB72,12*2),AND(AH72="K5-LAW",AG72="นิติศาสตร์",Z72="S1",AC72&gt;=1,OR(AB72&lt;V72,AB72&lt;P72)),EDATE(AB72,12),AND(AH72="K5-LAW",AG72="นิติศาสตร์",OR(T72="M2",T72="K4"),W72&gt;=2,V72&lt;P72),EDATE(V72,12*2),AND(AH72="K5-LAW",AG72="นิติศาสตร์",T72="S1",W72&gt;=1,V72&lt;P72),EDATE(V72,12),AND(AH72="K5-LAW",AG72="นิติศาสตร์",OR(T72="S2",T72="K5")),V72,AND(AH72="K5-LAW",AG72="นิติศาสตร์",OR(K72="M2",K72="K4"),Q72&gt;=2),EDATE(P72,12*2),AND(AH72="K5-LAW",AG72="นิติศาสตร์",K72="S1",Q72&gt;=1),EDATE(P72,12),AND(AH72="K5-LAW",AG72="นิติศาสตร์",OR(K72="S2",K72="K5")),P72,AND(AH72="K5-POLICY",AG72&lt;&gt;"นิติศาสตร์",K72="S2",T72="",Z72=""),P72,AND(AH72="K5-POLICY",AG72&lt;&gt;"นิติศาสตร์",K72="S1",T72="",Z72=""),EDATE(P72,12),AND(AH72="K5-POLICY",AG72&lt;&gt;"นิติศาสตร์",OR(K72="M2",K72="K4"),T72="",Z72=""),EDATE(P72,12*2),AND(AH72="K5-POLICY",AG72&lt;&gt;"นิติศาสตร์",OR(Z72="M2",Z72="K4"),AC72&gt;=2,OR(AB72&lt;V72,AB72&lt;P72)),EDATE(AB72,12*2),AND(AH72="K5-POLICY",AG72&lt;&gt;"นิติศาสตร์",Z72="S1",AC72&gt;=1,OR(AB72&lt;V72,AB72&lt;P72)),EDATE(AB72,12),AND(AH72="K5-POLICY",AG72&lt;&gt;"นิติศาสตร์",OR(T72="M2",T72="K4"),W72&gt;=2,V72&lt;P72),EDATE(V72,12*2),AND(AH72="K5-POLICY",AG72&lt;&gt;"นิติศาสตร์",T72="S1",W72&gt;=1,V72&lt;P72),EDATE(V72,12),AND(AH72="K5-POLICY",AG72&lt;&gt;"นิติศาสตร์",OR(T72="S2",T72="K5")),V72,AND(AH72="K5-POLICY",AG72&lt;&gt;"นิติศาสตร์",OR(K72="M2",K72="K4"),Q72&gt;=2),EDATE(P72,12*2),AND(AH72="K5-POLICY",AG72&lt;&gt;"นิติศาสตร์",K72="S1",Q72&gt;=1),EDATE(P72,12),AND(AH72="K5-POLICY",AG72&lt;&gt;"นิติศาสตร์",OR(K72="S2",K72="K5")),P72,TRUE,"Check Data")</f>
        <v/>
      </c>
      <c r="AJ72" s="75" t="str">
        <f t="shared" si="29"/>
        <v>Check Data</v>
      </c>
      <c r="AK72" s="76" t="str">
        <f t="shared" si="30"/>
        <v>Check Data</v>
      </c>
      <c r="AL72" s="50" t="str">
        <f t="shared" si="31"/>
        <v>Check Data</v>
      </c>
      <c r="AM72" s="49" t="str">
        <f>IF(B72="","",IF(K72="S1","S1",INDEX(#REF!,#REF!)))</f>
        <v/>
      </c>
      <c r="AN72" s="49" t="str">
        <f>K72</f>
        <v>M2</v>
      </c>
      <c r="AO72" s="50" t="b">
        <f>K72=AM72</f>
        <v>0</v>
      </c>
      <c r="AP72" s="50"/>
    </row>
    <row r="73" spans="1:42" ht="21.75">
      <c r="A73" s="49">
        <v>71</v>
      </c>
      <c r="B73" s="50"/>
      <c r="C73" s="50"/>
      <c r="D73" s="50" t="s">
        <v>142</v>
      </c>
      <c r="E73" s="49" t="s">
        <v>428</v>
      </c>
      <c r="F73" s="49" t="str">
        <f t="shared" si="16"/>
        <v>13/12/1990</v>
      </c>
      <c r="G73" s="50">
        <f t="shared" si="17"/>
        <v>34</v>
      </c>
      <c r="H73" s="50">
        <f t="shared" si="18"/>
        <v>6</v>
      </c>
      <c r="I73" s="50">
        <f t="shared" si="19"/>
        <v>7</v>
      </c>
      <c r="J73" s="58"/>
      <c r="K73" s="49" t="s">
        <v>136</v>
      </c>
      <c r="L73" s="64"/>
      <c r="M73" s="49" t="s">
        <v>425</v>
      </c>
      <c r="N73" s="49">
        <v>2569</v>
      </c>
      <c r="O73" s="65" t="s">
        <v>278</v>
      </c>
      <c r="P73" s="49" t="str">
        <f t="shared" si="20"/>
        <v>15/10/2020</v>
      </c>
      <c r="Q73" s="68">
        <f t="shared" si="21"/>
        <v>4</v>
      </c>
      <c r="R73" s="68">
        <f t="shared" si="22"/>
        <v>8</v>
      </c>
      <c r="S73" s="68">
        <f t="shared" si="23"/>
        <v>5</v>
      </c>
      <c r="T73" s="65"/>
      <c r="U73" s="65"/>
      <c r="V73" s="49" t="str">
        <f t="shared" si="24"/>
        <v/>
      </c>
      <c r="W73" s="68">
        <f>IF(V73="",0,DATEDIF(V73,P73,"Y"))</f>
        <v>0</v>
      </c>
      <c r="X73" s="68">
        <f>IF(V73="",0,DATEDIF(V73,P73,"YM"))</f>
        <v>0</v>
      </c>
      <c r="Y73" s="68">
        <f>IF(V73="",0,DATEDIF(V73,P73,"MD"))</f>
        <v>0</v>
      </c>
      <c r="Z73" s="49"/>
      <c r="AA73" s="65"/>
      <c r="AB73" s="50" t="str">
        <f t="shared" si="25"/>
        <v/>
      </c>
      <c r="AC73" s="68">
        <f t="shared" si="26"/>
        <v>0</v>
      </c>
      <c r="AD73" s="68">
        <f t="shared" si="27"/>
        <v>0</v>
      </c>
      <c r="AE73" s="68">
        <f t="shared" si="28"/>
        <v>0</v>
      </c>
      <c r="AF73" s="50"/>
      <c r="AG73" s="50" t="s">
        <v>165</v>
      </c>
      <c r="AH73" s="49" t="str">
        <f>IF(AG73="นิติศาสตร์","K5-LAW","K5-POLICY")</f>
        <v>K5-POLICY</v>
      </c>
      <c r="AI73" s="72" t="str">
        <f>_xlfn.IFS(B73="","",AND(AH73="K5-LAW",AG73="นิติศาสตร์",K73="S2",T73="",Z73=""),P73,AND(AH73="K5-LAW",AG73="นิติศาสตร์",K73="S1",T73="",Z73=""),EDATE(P73,12),AND(AH73="K5-LAW",AG73="นิติศาสตร์",OR(K73="M2",K73="K4"),T73="",Z73=""),EDATE(P73,12*2),AND(AH73="K5-LAW",AG73="นิติศาสตร์",OR(Z73="M2",Z73="K4"),AC73&gt;=2,OR(AB73&lt;V73,AB73&lt;P73)),EDATE(AB73,12*2),AND(AH73="K5-LAW",AG73="นิติศาสตร์",Z73="S1",AC73&gt;=1,OR(AB73&lt;V73,AB73&lt;P73)),EDATE(AB73,12),AND(AH73="K5-LAW",AG73="นิติศาสตร์",OR(T73="M2",T73="K4"),W73&gt;=2,V73&lt;P73),EDATE(V73,12*2),AND(AH73="K5-LAW",AG73="นิติศาสตร์",T73="S1",W73&gt;=1,V73&lt;P73),EDATE(V73,12),AND(AH73="K5-LAW",AG73="นิติศาสตร์",OR(T73="S2",T73="K5")),V73,AND(AH73="K5-LAW",AG73="นิติศาสตร์",OR(K73="M2",K73="K4"),Q73&gt;=2),EDATE(P73,12*2),AND(AH73="K5-LAW",AG73="นิติศาสตร์",K73="S1",Q73&gt;=1),EDATE(P73,12),AND(AH73="K5-LAW",AG73="นิติศาสตร์",OR(K73="S2",K73="K5")),P73,AND(AH73="K5-POLICY",AG73&lt;&gt;"นิติศาสตร์",K73="S2",T73="",Z73=""),P73,AND(AH73="K5-POLICY",AG73&lt;&gt;"นิติศาสตร์",K73="S1",T73="",Z73=""),EDATE(P73,12),AND(AH73="K5-POLICY",AG73&lt;&gt;"นิติศาสตร์",OR(K73="M2",K73="K4"),T73="",Z73=""),EDATE(P73,12*2),AND(AH73="K5-POLICY",AG73&lt;&gt;"นิติศาสตร์",OR(Z73="M2",Z73="K4"),AC73&gt;=2,OR(AB73&lt;V73,AB73&lt;P73)),EDATE(AB73,12*2),AND(AH73="K5-POLICY",AG73&lt;&gt;"นิติศาสตร์",Z73="S1",AC73&gt;=1,OR(AB73&lt;V73,AB73&lt;P73)),EDATE(AB73,12),AND(AH73="K5-POLICY",AG73&lt;&gt;"นิติศาสตร์",OR(T73="M2",T73="K4"),W73&gt;=2,V73&lt;P73),EDATE(V73,12*2),AND(AH73="K5-POLICY",AG73&lt;&gt;"นิติศาสตร์",T73="S1",W73&gt;=1,V73&lt;P73),EDATE(V73,12),AND(AH73="K5-POLICY",AG73&lt;&gt;"นิติศาสตร์",OR(T73="S2",T73="K5")),V73,AND(AH73="K5-POLICY",AG73&lt;&gt;"นิติศาสตร์",OR(K73="M2",K73="K4"),Q73&gt;=2),EDATE(P73,12*2),AND(AH73="K5-POLICY",AG73&lt;&gt;"นิติศาสตร์",K73="S1",Q73&gt;=1),EDATE(P73,12),AND(AH73="K5-POLICY",AG73&lt;&gt;"นิติศาสตร์",OR(K73="S2",K73="K5")),P73,TRUE,"Check Data")</f>
        <v/>
      </c>
      <c r="AJ73" s="75" t="str">
        <f t="shared" si="29"/>
        <v>Check Data</v>
      </c>
      <c r="AK73" s="76" t="str">
        <f t="shared" si="30"/>
        <v>Check Data</v>
      </c>
      <c r="AL73" s="50" t="str">
        <f t="shared" si="31"/>
        <v>Check Data</v>
      </c>
      <c r="AM73" s="49" t="str">
        <f>IF(B73="","",IF(K73="S1","S1",INDEX(#REF!,#REF!)))</f>
        <v/>
      </c>
      <c r="AN73" s="49" t="str">
        <f>K73</f>
        <v>M2</v>
      </c>
      <c r="AO73" s="50" t="b">
        <f>K73=AM73</f>
        <v>0</v>
      </c>
      <c r="AP73" s="50"/>
    </row>
    <row r="74" spans="1:42" ht="21.75">
      <c r="A74" s="49">
        <v>72</v>
      </c>
      <c r="B74" s="50"/>
      <c r="C74" s="50"/>
      <c r="D74" s="50" t="s">
        <v>143</v>
      </c>
      <c r="E74" s="49" t="s">
        <v>307</v>
      </c>
      <c r="F74" s="49" t="str">
        <f t="shared" si="16"/>
        <v>05/03/1992</v>
      </c>
      <c r="G74" s="50">
        <f t="shared" si="17"/>
        <v>33</v>
      </c>
      <c r="H74" s="50">
        <f t="shared" si="18"/>
        <v>3</v>
      </c>
      <c r="I74" s="50">
        <f t="shared" si="19"/>
        <v>15</v>
      </c>
      <c r="J74" s="59"/>
      <c r="K74" s="49" t="s">
        <v>136</v>
      </c>
      <c r="L74" s="64"/>
      <c r="M74" s="49" t="s">
        <v>425</v>
      </c>
      <c r="N74" s="49">
        <v>2569</v>
      </c>
      <c r="O74" s="65" t="s">
        <v>287</v>
      </c>
      <c r="P74" s="49" t="str">
        <f t="shared" si="20"/>
        <v>29/10/2020</v>
      </c>
      <c r="Q74" s="68">
        <f t="shared" si="21"/>
        <v>4</v>
      </c>
      <c r="R74" s="68">
        <f t="shared" si="22"/>
        <v>7</v>
      </c>
      <c r="S74" s="68">
        <f t="shared" si="23"/>
        <v>22</v>
      </c>
      <c r="T74" s="65"/>
      <c r="U74" s="65"/>
      <c r="V74" s="49" t="str">
        <f t="shared" si="24"/>
        <v/>
      </c>
      <c r="W74" s="68">
        <f>IF(V74="",0,DATEDIF(V74,P74,"Y"))</f>
        <v>0</v>
      </c>
      <c r="X74" s="68">
        <f>IF(V74="",0,DATEDIF(V74,P74,"YM"))</f>
        <v>0</v>
      </c>
      <c r="Y74" s="68">
        <f>IF(V74="",0,DATEDIF(V74,P74,"MD"))</f>
        <v>0</v>
      </c>
      <c r="Z74" s="49"/>
      <c r="AA74" s="65"/>
      <c r="AB74" s="50" t="str">
        <f t="shared" si="25"/>
        <v/>
      </c>
      <c r="AC74" s="68">
        <f t="shared" si="26"/>
        <v>0</v>
      </c>
      <c r="AD74" s="68">
        <f t="shared" si="27"/>
        <v>0</v>
      </c>
      <c r="AE74" s="68">
        <f t="shared" si="28"/>
        <v>0</v>
      </c>
      <c r="AF74" s="50"/>
      <c r="AG74" s="50" t="s">
        <v>486</v>
      </c>
      <c r="AH74" s="49" t="str">
        <f>IF(AG74="นิติศาสตร์","K5-LAW","K5-POLICY")</f>
        <v>K5-POLICY</v>
      </c>
      <c r="AI74" s="72" t="str">
        <f>_xlfn.IFS(B74="","",AND(AH74="K5-LAW",AG74="นิติศาสตร์",K74="S2",T74="",Z74=""),P74,AND(AH74="K5-LAW",AG74="นิติศาสตร์",K74="S1",T74="",Z74=""),EDATE(P74,12),AND(AH74="K5-LAW",AG74="นิติศาสตร์",OR(K74="M2",K74="K4"),T74="",Z74=""),EDATE(P74,12*2),AND(AH74="K5-LAW",AG74="นิติศาสตร์",OR(Z74="M2",Z74="K4"),AC74&gt;=2,OR(AB74&lt;V74,AB74&lt;P74)),EDATE(AB74,12*2),AND(AH74="K5-LAW",AG74="นิติศาสตร์",Z74="S1",AC74&gt;=1,OR(AB74&lt;V74,AB74&lt;P74)),EDATE(AB74,12),AND(AH74="K5-LAW",AG74="นิติศาสตร์",OR(T74="M2",T74="K4"),W74&gt;=2,V74&lt;P74),EDATE(V74,12*2),AND(AH74="K5-LAW",AG74="นิติศาสตร์",T74="S1",W74&gt;=1,V74&lt;P74),EDATE(V74,12),AND(AH74="K5-LAW",AG74="นิติศาสตร์",OR(T74="S2",T74="K5")),V74,AND(AH74="K5-LAW",AG74="นิติศาสตร์",OR(K74="M2",K74="K4"),Q74&gt;=2),EDATE(P74,12*2),AND(AH74="K5-LAW",AG74="นิติศาสตร์",K74="S1",Q74&gt;=1),EDATE(P74,12),AND(AH74="K5-LAW",AG74="นิติศาสตร์",OR(K74="S2",K74="K5")),P74,AND(AH74="K5-POLICY",AG74&lt;&gt;"นิติศาสตร์",K74="S2",T74="",Z74=""),P74,AND(AH74="K5-POLICY",AG74&lt;&gt;"นิติศาสตร์",K74="S1",T74="",Z74=""),EDATE(P74,12),AND(AH74="K5-POLICY",AG74&lt;&gt;"นิติศาสตร์",OR(K74="M2",K74="K4"),T74="",Z74=""),EDATE(P74,12*2),AND(AH74="K5-POLICY",AG74&lt;&gt;"นิติศาสตร์",OR(Z74="M2",Z74="K4"),AC74&gt;=2,OR(AB74&lt;V74,AB74&lt;P74)),EDATE(AB74,12*2),AND(AH74="K5-POLICY",AG74&lt;&gt;"นิติศาสตร์",Z74="S1",AC74&gt;=1,OR(AB74&lt;V74,AB74&lt;P74)),EDATE(AB74,12),AND(AH74="K5-POLICY",AG74&lt;&gt;"นิติศาสตร์",OR(T74="M2",T74="K4"),W74&gt;=2,V74&lt;P74),EDATE(V74,12*2),AND(AH74="K5-POLICY",AG74&lt;&gt;"นิติศาสตร์",T74="S1",W74&gt;=1,V74&lt;P74),EDATE(V74,12),AND(AH74="K5-POLICY",AG74&lt;&gt;"นิติศาสตร์",OR(T74="S2",T74="K5")),V74,AND(AH74="K5-POLICY",AG74&lt;&gt;"นิติศาสตร์",OR(K74="M2",K74="K4"),Q74&gt;=2),EDATE(P74,12*2),AND(AH74="K5-POLICY",AG74&lt;&gt;"นิติศาสตร์",K74="S1",Q74&gt;=1),EDATE(P74,12),AND(AH74="K5-POLICY",AG74&lt;&gt;"นิติศาสตร์",OR(K74="S2",K74="K5")),P74,TRUE,"Check Data")</f>
        <v/>
      </c>
      <c r="AJ74" s="75" t="str">
        <f t="shared" si="29"/>
        <v>Check Data</v>
      </c>
      <c r="AK74" s="76" t="str">
        <f t="shared" si="30"/>
        <v>Check Data</v>
      </c>
      <c r="AL74" s="50" t="str">
        <f t="shared" si="31"/>
        <v>Check Data</v>
      </c>
      <c r="AM74" s="49" t="str">
        <f>IF(B74="","",IF(K74="S1","S1",INDEX(#REF!,#REF!)))</f>
        <v/>
      </c>
      <c r="AN74" s="49" t="str">
        <f>K74</f>
        <v>M2</v>
      </c>
      <c r="AO74" s="50" t="b">
        <f>K74=AM74</f>
        <v>0</v>
      </c>
      <c r="AP74" s="50"/>
    </row>
    <row r="75" spans="1:42" ht="21.75">
      <c r="A75" s="49">
        <v>73</v>
      </c>
      <c r="B75" s="50"/>
      <c r="C75" s="50"/>
      <c r="D75" s="50" t="s">
        <v>143</v>
      </c>
      <c r="E75" s="49" t="s">
        <v>359</v>
      </c>
      <c r="F75" s="49" t="str">
        <f t="shared" si="16"/>
        <v>06/01/1992</v>
      </c>
      <c r="G75" s="50">
        <f t="shared" si="17"/>
        <v>33</v>
      </c>
      <c r="H75" s="50">
        <f t="shared" si="18"/>
        <v>5</v>
      </c>
      <c r="I75" s="50">
        <f t="shared" si="19"/>
        <v>14</v>
      </c>
      <c r="J75" s="58"/>
      <c r="K75" s="49" t="s">
        <v>136</v>
      </c>
      <c r="L75" s="64"/>
      <c r="M75" s="49" t="s">
        <v>427</v>
      </c>
      <c r="N75" s="49">
        <v>2571</v>
      </c>
      <c r="O75" s="65" t="s">
        <v>287</v>
      </c>
      <c r="P75" s="49" t="str">
        <f t="shared" si="20"/>
        <v>29/10/2020</v>
      </c>
      <c r="Q75" s="68">
        <f t="shared" si="21"/>
        <v>4</v>
      </c>
      <c r="R75" s="68">
        <f t="shared" si="22"/>
        <v>7</v>
      </c>
      <c r="S75" s="68">
        <f t="shared" si="23"/>
        <v>22</v>
      </c>
      <c r="T75" s="65"/>
      <c r="U75" s="65"/>
      <c r="V75" s="49" t="str">
        <f t="shared" si="24"/>
        <v/>
      </c>
      <c r="W75" s="68">
        <f>IF(V75="",0,DATEDIF(V75,P75,"Y"))</f>
        <v>0</v>
      </c>
      <c r="X75" s="68">
        <f>IF(V75="",0,DATEDIF(V75,P75,"YM"))</f>
        <v>0</v>
      </c>
      <c r="Y75" s="68">
        <f>IF(V75="",0,DATEDIF(V75,P75,"MD"))</f>
        <v>0</v>
      </c>
      <c r="Z75" s="49"/>
      <c r="AA75" s="65"/>
      <c r="AB75" s="50" t="str">
        <f t="shared" si="25"/>
        <v/>
      </c>
      <c r="AC75" s="68">
        <f t="shared" si="26"/>
        <v>0</v>
      </c>
      <c r="AD75" s="68">
        <f t="shared" si="27"/>
        <v>0</v>
      </c>
      <c r="AE75" s="68">
        <f t="shared" si="28"/>
        <v>0</v>
      </c>
      <c r="AF75" s="50"/>
      <c r="AG75" s="50" t="s">
        <v>172</v>
      </c>
      <c r="AH75" s="49" t="str">
        <f>IF(AG75="นิติศาสตร์","K5-LAW","K5-POLICY")</f>
        <v>K5-POLICY</v>
      </c>
      <c r="AI75" s="72" t="str">
        <f>_xlfn.IFS(B75="","",AND(AH75="K5-LAW",AG75="นิติศาสตร์",K75="S2",T75="",Z75=""),P75,AND(AH75="K5-LAW",AG75="นิติศาสตร์",K75="S1",T75="",Z75=""),EDATE(P75,12),AND(AH75="K5-LAW",AG75="นิติศาสตร์",OR(K75="M2",K75="K4"),T75="",Z75=""),EDATE(P75,12*2),AND(AH75="K5-LAW",AG75="นิติศาสตร์",OR(Z75="M2",Z75="K4"),AC75&gt;=2,OR(AB75&lt;V75,AB75&lt;P75)),EDATE(AB75,12*2),AND(AH75="K5-LAW",AG75="นิติศาสตร์",Z75="S1",AC75&gt;=1,OR(AB75&lt;V75,AB75&lt;P75)),EDATE(AB75,12),AND(AH75="K5-LAW",AG75="นิติศาสตร์",OR(T75="M2",T75="K4"),W75&gt;=2,V75&lt;P75),EDATE(V75,12*2),AND(AH75="K5-LAW",AG75="นิติศาสตร์",T75="S1",W75&gt;=1,V75&lt;P75),EDATE(V75,12),AND(AH75="K5-LAW",AG75="นิติศาสตร์",OR(T75="S2",T75="K5")),V75,AND(AH75="K5-LAW",AG75="นิติศาสตร์",OR(K75="M2",K75="K4"),Q75&gt;=2),EDATE(P75,12*2),AND(AH75="K5-LAW",AG75="นิติศาสตร์",K75="S1",Q75&gt;=1),EDATE(P75,12),AND(AH75="K5-LAW",AG75="นิติศาสตร์",OR(K75="S2",K75="K5")),P75,AND(AH75="K5-POLICY",AG75&lt;&gt;"นิติศาสตร์",K75="S2",T75="",Z75=""),P75,AND(AH75="K5-POLICY",AG75&lt;&gt;"นิติศาสตร์",K75="S1",T75="",Z75=""),EDATE(P75,12),AND(AH75="K5-POLICY",AG75&lt;&gt;"นิติศาสตร์",OR(K75="M2",K75="K4"),T75="",Z75=""),EDATE(P75,12*2),AND(AH75="K5-POLICY",AG75&lt;&gt;"นิติศาสตร์",OR(Z75="M2",Z75="K4"),AC75&gt;=2,OR(AB75&lt;V75,AB75&lt;P75)),EDATE(AB75,12*2),AND(AH75="K5-POLICY",AG75&lt;&gt;"นิติศาสตร์",Z75="S1",AC75&gt;=1,OR(AB75&lt;V75,AB75&lt;P75)),EDATE(AB75,12),AND(AH75="K5-POLICY",AG75&lt;&gt;"นิติศาสตร์",OR(T75="M2",T75="K4"),W75&gt;=2,V75&lt;P75),EDATE(V75,12*2),AND(AH75="K5-POLICY",AG75&lt;&gt;"นิติศาสตร์",T75="S1",W75&gt;=1,V75&lt;P75),EDATE(V75,12),AND(AH75="K5-POLICY",AG75&lt;&gt;"นิติศาสตร์",OR(T75="S2",T75="K5")),V75,AND(AH75="K5-POLICY",AG75&lt;&gt;"นิติศาสตร์",OR(K75="M2",K75="K4"),Q75&gt;=2),EDATE(P75,12*2),AND(AH75="K5-POLICY",AG75&lt;&gt;"นิติศาสตร์",K75="S1",Q75&gt;=1),EDATE(P75,12),AND(AH75="K5-POLICY",AG75&lt;&gt;"นิติศาสตร์",OR(K75="S2",K75="K5")),P75,TRUE,"Check Data")</f>
        <v/>
      </c>
      <c r="AJ75" s="75" t="str">
        <f t="shared" si="29"/>
        <v>Check Data</v>
      </c>
      <c r="AK75" s="76" t="str">
        <f t="shared" si="30"/>
        <v>Check Data</v>
      </c>
      <c r="AL75" s="50" t="str">
        <f t="shared" si="31"/>
        <v>Check Data</v>
      </c>
      <c r="AM75" s="49" t="str">
        <f>IF(B75="","",IF(K75="S1","S1",INDEX(#REF!,#REF!)))</f>
        <v/>
      </c>
      <c r="AN75" s="49" t="str">
        <f>K75</f>
        <v>M2</v>
      </c>
      <c r="AO75" s="50" t="b">
        <f>K75=AM75</f>
        <v>0</v>
      </c>
      <c r="AP75" s="50"/>
    </row>
    <row r="76" spans="1:42" ht="21.75">
      <c r="A76" s="49">
        <v>74</v>
      </c>
      <c r="B76" s="50"/>
      <c r="C76" s="50"/>
      <c r="D76" s="50" t="s">
        <v>143</v>
      </c>
      <c r="E76" s="49" t="s">
        <v>300</v>
      </c>
      <c r="F76" s="49" t="str">
        <f t="shared" si="16"/>
        <v>22/11/1993</v>
      </c>
      <c r="G76" s="50">
        <f t="shared" si="17"/>
        <v>31</v>
      </c>
      <c r="H76" s="50">
        <f t="shared" si="18"/>
        <v>6</v>
      </c>
      <c r="I76" s="50">
        <f t="shared" si="19"/>
        <v>29</v>
      </c>
      <c r="J76" s="59"/>
      <c r="K76" s="49" t="s">
        <v>136</v>
      </c>
      <c r="L76" s="64"/>
      <c r="M76" s="49" t="s">
        <v>425</v>
      </c>
      <c r="N76" s="49">
        <v>2568</v>
      </c>
      <c r="O76" s="65" t="s">
        <v>287</v>
      </c>
      <c r="P76" s="49" t="str">
        <f t="shared" si="20"/>
        <v>29/10/2020</v>
      </c>
      <c r="Q76" s="68">
        <f t="shared" si="21"/>
        <v>4</v>
      </c>
      <c r="R76" s="68">
        <f t="shared" si="22"/>
        <v>7</v>
      </c>
      <c r="S76" s="68">
        <f t="shared" si="23"/>
        <v>22</v>
      </c>
      <c r="T76" s="65"/>
      <c r="U76" s="65"/>
      <c r="V76" s="49" t="str">
        <f t="shared" si="24"/>
        <v/>
      </c>
      <c r="W76" s="68">
        <f>IF(V76="",0,DATEDIF(V76,P76,"Y"))</f>
        <v>0</v>
      </c>
      <c r="X76" s="68">
        <f>IF(V76="",0,DATEDIF(V76,P76,"YM"))</f>
        <v>0</v>
      </c>
      <c r="Y76" s="68">
        <f>IF(V76="",0,DATEDIF(V76,P76,"MD"))</f>
        <v>0</v>
      </c>
      <c r="Z76" s="49"/>
      <c r="AA76" s="65"/>
      <c r="AB76" s="50" t="str">
        <f t="shared" si="25"/>
        <v/>
      </c>
      <c r="AC76" s="68">
        <f t="shared" si="26"/>
        <v>0</v>
      </c>
      <c r="AD76" s="68">
        <f t="shared" si="27"/>
        <v>0</v>
      </c>
      <c r="AE76" s="68">
        <f t="shared" si="28"/>
        <v>0</v>
      </c>
      <c r="AF76" s="50"/>
      <c r="AG76" s="50" t="s">
        <v>486</v>
      </c>
      <c r="AH76" s="49" t="str">
        <f>IF(AG76="นิติศาสตร์","K5-LAW","K5-POLICY")</f>
        <v>K5-POLICY</v>
      </c>
      <c r="AI76" s="72" t="str">
        <f>_xlfn.IFS(B76="","",AND(AH76="K5-LAW",AG76="นิติศาสตร์",K76="S2",T76="",Z76=""),P76,AND(AH76="K5-LAW",AG76="นิติศาสตร์",K76="S1",T76="",Z76=""),EDATE(P76,12),AND(AH76="K5-LAW",AG76="นิติศาสตร์",OR(K76="M2",K76="K4"),T76="",Z76=""),EDATE(P76,12*2),AND(AH76="K5-LAW",AG76="นิติศาสตร์",OR(Z76="M2",Z76="K4"),AC76&gt;=2,OR(AB76&lt;V76,AB76&lt;P76)),EDATE(AB76,12*2),AND(AH76="K5-LAW",AG76="นิติศาสตร์",Z76="S1",AC76&gt;=1,OR(AB76&lt;V76,AB76&lt;P76)),EDATE(AB76,12),AND(AH76="K5-LAW",AG76="นิติศาสตร์",OR(T76="M2",T76="K4"),W76&gt;=2,V76&lt;P76),EDATE(V76,12*2),AND(AH76="K5-LAW",AG76="นิติศาสตร์",T76="S1",W76&gt;=1,V76&lt;P76),EDATE(V76,12),AND(AH76="K5-LAW",AG76="นิติศาสตร์",OR(T76="S2",T76="K5")),V76,AND(AH76="K5-LAW",AG76="นิติศาสตร์",OR(K76="M2",K76="K4"),Q76&gt;=2),EDATE(P76,12*2),AND(AH76="K5-LAW",AG76="นิติศาสตร์",K76="S1",Q76&gt;=1),EDATE(P76,12),AND(AH76="K5-LAW",AG76="นิติศาสตร์",OR(K76="S2",K76="K5")),P76,AND(AH76="K5-POLICY",AG76&lt;&gt;"นิติศาสตร์",K76="S2",T76="",Z76=""),P76,AND(AH76="K5-POLICY",AG76&lt;&gt;"นิติศาสตร์",K76="S1",T76="",Z76=""),EDATE(P76,12),AND(AH76="K5-POLICY",AG76&lt;&gt;"นิติศาสตร์",OR(K76="M2",K76="K4"),T76="",Z76=""),EDATE(P76,12*2),AND(AH76="K5-POLICY",AG76&lt;&gt;"นิติศาสตร์",OR(Z76="M2",Z76="K4"),AC76&gt;=2,OR(AB76&lt;V76,AB76&lt;P76)),EDATE(AB76,12*2),AND(AH76="K5-POLICY",AG76&lt;&gt;"นิติศาสตร์",Z76="S1",AC76&gt;=1,OR(AB76&lt;V76,AB76&lt;P76)),EDATE(AB76,12),AND(AH76="K5-POLICY",AG76&lt;&gt;"นิติศาสตร์",OR(T76="M2",T76="K4"),W76&gt;=2,V76&lt;P76),EDATE(V76,12*2),AND(AH76="K5-POLICY",AG76&lt;&gt;"นิติศาสตร์",T76="S1",W76&gt;=1,V76&lt;P76),EDATE(V76,12),AND(AH76="K5-POLICY",AG76&lt;&gt;"นิติศาสตร์",OR(T76="S2",T76="K5")),V76,AND(AH76="K5-POLICY",AG76&lt;&gt;"นิติศาสตร์",OR(K76="M2",K76="K4"),Q76&gt;=2),EDATE(P76,12*2),AND(AH76="K5-POLICY",AG76&lt;&gt;"นิติศาสตร์",K76="S1",Q76&gt;=1),EDATE(P76,12),AND(AH76="K5-POLICY",AG76&lt;&gt;"นิติศาสตร์",OR(K76="S2",K76="K5")),P76,TRUE,"Check Data")</f>
        <v/>
      </c>
      <c r="AJ76" s="75" t="str">
        <f t="shared" si="29"/>
        <v>Check Data</v>
      </c>
      <c r="AK76" s="76" t="str">
        <f t="shared" si="30"/>
        <v>Check Data</v>
      </c>
      <c r="AL76" s="50" t="str">
        <f t="shared" si="31"/>
        <v>Check Data</v>
      </c>
      <c r="AM76" s="49" t="str">
        <f>IF(B76="","",IF(K76="S1","S1",INDEX(#REF!,#REF!)))</f>
        <v/>
      </c>
      <c r="AN76" s="49" t="str">
        <f>K76</f>
        <v>M2</v>
      </c>
      <c r="AO76" s="50" t="b">
        <f>K76=AM76</f>
        <v>0</v>
      </c>
      <c r="AP76" s="50"/>
    </row>
    <row r="77" spans="1:42" ht="21.75">
      <c r="A77" s="49">
        <v>75</v>
      </c>
      <c r="B77" s="50"/>
      <c r="C77" s="50"/>
      <c r="D77" s="50" t="s">
        <v>143</v>
      </c>
      <c r="E77" s="49" t="s">
        <v>358</v>
      </c>
      <c r="F77" s="49" t="str">
        <f t="shared" si="16"/>
        <v>16/01/1991</v>
      </c>
      <c r="G77" s="50">
        <f t="shared" si="17"/>
        <v>34</v>
      </c>
      <c r="H77" s="50">
        <f t="shared" si="18"/>
        <v>5</v>
      </c>
      <c r="I77" s="50">
        <f t="shared" si="19"/>
        <v>4</v>
      </c>
      <c r="J77" s="59"/>
      <c r="K77" s="49" t="s">
        <v>136</v>
      </c>
      <c r="L77" s="64"/>
      <c r="M77" s="49" t="s">
        <v>425</v>
      </c>
      <c r="N77" s="49">
        <v>2569</v>
      </c>
      <c r="O77" s="65" t="s">
        <v>287</v>
      </c>
      <c r="P77" s="49" t="str">
        <f t="shared" si="20"/>
        <v>29/10/2020</v>
      </c>
      <c r="Q77" s="68">
        <f t="shared" si="21"/>
        <v>4</v>
      </c>
      <c r="R77" s="68">
        <f t="shared" si="22"/>
        <v>7</v>
      </c>
      <c r="S77" s="68">
        <f t="shared" si="23"/>
        <v>22</v>
      </c>
      <c r="T77" s="65"/>
      <c r="U77" s="65"/>
      <c r="V77" s="49" t="str">
        <f t="shared" si="24"/>
        <v/>
      </c>
      <c r="W77" s="68">
        <f>IF(V77="",0,DATEDIF(V77,P77,"Y"))</f>
        <v>0</v>
      </c>
      <c r="X77" s="68">
        <f>IF(V77="",0,DATEDIF(V77,P77,"YM"))</f>
        <v>0</v>
      </c>
      <c r="Y77" s="68">
        <f>IF(V77="",0,DATEDIF(V77,P77,"MD"))</f>
        <v>0</v>
      </c>
      <c r="Z77" s="49"/>
      <c r="AA77" s="65"/>
      <c r="AB77" s="50" t="str">
        <f t="shared" si="25"/>
        <v/>
      </c>
      <c r="AC77" s="68">
        <f t="shared" si="26"/>
        <v>0</v>
      </c>
      <c r="AD77" s="68">
        <f t="shared" si="27"/>
        <v>0</v>
      </c>
      <c r="AE77" s="68">
        <f t="shared" si="28"/>
        <v>0</v>
      </c>
      <c r="AF77" s="50"/>
      <c r="AG77" s="50" t="s">
        <v>167</v>
      </c>
      <c r="AH77" s="49" t="str">
        <f>IF(AG77="นิติศาสตร์","K5-LAW","K5-POLICY")</f>
        <v>K5-POLICY</v>
      </c>
      <c r="AI77" s="72" t="str">
        <f>_xlfn.IFS(B77="","",AND(AH77="K5-LAW",AG77="นิติศาสตร์",K77="S2",T77="",Z77=""),P77,AND(AH77="K5-LAW",AG77="นิติศาสตร์",K77="S1",T77="",Z77=""),EDATE(P77,12),AND(AH77="K5-LAW",AG77="นิติศาสตร์",OR(K77="M2",K77="K4"),T77="",Z77=""),EDATE(P77,12*2),AND(AH77="K5-LAW",AG77="นิติศาสตร์",OR(Z77="M2",Z77="K4"),AC77&gt;=2,OR(AB77&lt;V77,AB77&lt;P77)),EDATE(AB77,12*2),AND(AH77="K5-LAW",AG77="นิติศาสตร์",Z77="S1",AC77&gt;=1,OR(AB77&lt;V77,AB77&lt;P77)),EDATE(AB77,12),AND(AH77="K5-LAW",AG77="นิติศาสตร์",OR(T77="M2",T77="K4"),W77&gt;=2,V77&lt;P77),EDATE(V77,12*2),AND(AH77="K5-LAW",AG77="นิติศาสตร์",T77="S1",W77&gt;=1,V77&lt;P77),EDATE(V77,12),AND(AH77="K5-LAW",AG77="นิติศาสตร์",OR(T77="S2",T77="K5")),V77,AND(AH77="K5-LAW",AG77="นิติศาสตร์",OR(K77="M2",K77="K4"),Q77&gt;=2),EDATE(P77,12*2),AND(AH77="K5-LAW",AG77="นิติศาสตร์",K77="S1",Q77&gt;=1),EDATE(P77,12),AND(AH77="K5-LAW",AG77="นิติศาสตร์",OR(K77="S2",K77="K5")),P77,AND(AH77="K5-POLICY",AG77&lt;&gt;"นิติศาสตร์",K77="S2",T77="",Z77=""),P77,AND(AH77="K5-POLICY",AG77&lt;&gt;"นิติศาสตร์",K77="S1",T77="",Z77=""),EDATE(P77,12),AND(AH77="K5-POLICY",AG77&lt;&gt;"นิติศาสตร์",OR(K77="M2",K77="K4"),T77="",Z77=""),EDATE(P77,12*2),AND(AH77="K5-POLICY",AG77&lt;&gt;"นิติศาสตร์",OR(Z77="M2",Z77="K4"),AC77&gt;=2,OR(AB77&lt;V77,AB77&lt;P77)),EDATE(AB77,12*2),AND(AH77="K5-POLICY",AG77&lt;&gt;"นิติศาสตร์",Z77="S1",AC77&gt;=1,OR(AB77&lt;V77,AB77&lt;P77)),EDATE(AB77,12),AND(AH77="K5-POLICY",AG77&lt;&gt;"นิติศาสตร์",OR(T77="M2",T77="K4"),W77&gt;=2,V77&lt;P77),EDATE(V77,12*2),AND(AH77="K5-POLICY",AG77&lt;&gt;"นิติศาสตร์",T77="S1",W77&gt;=1,V77&lt;P77),EDATE(V77,12),AND(AH77="K5-POLICY",AG77&lt;&gt;"นิติศาสตร์",OR(T77="S2",T77="K5")),V77,AND(AH77="K5-POLICY",AG77&lt;&gt;"นิติศาสตร์",OR(K77="M2",K77="K4"),Q77&gt;=2),EDATE(P77,12*2),AND(AH77="K5-POLICY",AG77&lt;&gt;"นิติศาสตร์",K77="S1",Q77&gt;=1),EDATE(P77,12),AND(AH77="K5-POLICY",AG77&lt;&gt;"นิติศาสตร์",OR(K77="S2",K77="K5")),P77,TRUE,"Check Data")</f>
        <v/>
      </c>
      <c r="AJ77" s="75" t="str">
        <f t="shared" si="29"/>
        <v>Check Data</v>
      </c>
      <c r="AK77" s="76" t="str">
        <f t="shared" si="30"/>
        <v>Check Data</v>
      </c>
      <c r="AL77" s="50" t="str">
        <f t="shared" si="31"/>
        <v>Check Data</v>
      </c>
      <c r="AM77" s="49" t="str">
        <f>IF(B77="","",IF(K77="S1","S1",INDEX(#REF!,#REF!)))</f>
        <v/>
      </c>
      <c r="AN77" s="49" t="str">
        <f>K77</f>
        <v>M2</v>
      </c>
      <c r="AO77" s="50" t="b">
        <f>K77=AM77</f>
        <v>0</v>
      </c>
      <c r="AP77" s="50"/>
    </row>
    <row r="78" spans="1:42" ht="21.75">
      <c r="A78" s="49">
        <v>76</v>
      </c>
      <c r="B78" s="50"/>
      <c r="C78" s="50"/>
      <c r="D78" s="50" t="s">
        <v>143</v>
      </c>
      <c r="E78" s="49" t="s">
        <v>170</v>
      </c>
      <c r="F78" s="49" t="str">
        <f t="shared" si="16"/>
        <v>15/03/1991</v>
      </c>
      <c r="G78" s="50">
        <f t="shared" si="17"/>
        <v>34</v>
      </c>
      <c r="H78" s="50">
        <f t="shared" si="18"/>
        <v>3</v>
      </c>
      <c r="I78" s="50">
        <f t="shared" si="19"/>
        <v>5</v>
      </c>
      <c r="J78" s="59"/>
      <c r="K78" s="49" t="s">
        <v>136</v>
      </c>
      <c r="L78" s="64"/>
      <c r="M78" s="49" t="s">
        <v>427</v>
      </c>
      <c r="N78" s="49">
        <v>2571</v>
      </c>
      <c r="O78" s="65" t="s">
        <v>287</v>
      </c>
      <c r="P78" s="49" t="str">
        <f t="shared" si="20"/>
        <v>29/10/2020</v>
      </c>
      <c r="Q78" s="68">
        <f t="shared" si="21"/>
        <v>4</v>
      </c>
      <c r="R78" s="68">
        <f t="shared" si="22"/>
        <v>7</v>
      </c>
      <c r="S78" s="68">
        <f t="shared" si="23"/>
        <v>22</v>
      </c>
      <c r="T78" s="65"/>
      <c r="U78" s="65"/>
      <c r="V78" s="49" t="str">
        <f t="shared" si="24"/>
        <v/>
      </c>
      <c r="W78" s="68">
        <f>IF(V78="",0,DATEDIF(V78,P78,"Y"))</f>
        <v>0</v>
      </c>
      <c r="X78" s="68">
        <f>IF(V78="",0,DATEDIF(V78,P78,"YM"))</f>
        <v>0</v>
      </c>
      <c r="Y78" s="68">
        <f>IF(V78="",0,DATEDIF(V78,P78,"MD"))</f>
        <v>0</v>
      </c>
      <c r="Z78" s="49"/>
      <c r="AA78" s="65"/>
      <c r="AB78" s="50" t="str">
        <f t="shared" si="25"/>
        <v/>
      </c>
      <c r="AC78" s="68">
        <f t="shared" si="26"/>
        <v>0</v>
      </c>
      <c r="AD78" s="68">
        <f t="shared" si="27"/>
        <v>0</v>
      </c>
      <c r="AE78" s="68">
        <f t="shared" si="28"/>
        <v>0</v>
      </c>
      <c r="AF78" s="50"/>
      <c r="AG78" s="50" t="s">
        <v>512</v>
      </c>
      <c r="AH78" s="49" t="str">
        <f>IF(AG78="นิติศาสตร์","K5-LAW","K5-POLICY")</f>
        <v>K5-POLICY</v>
      </c>
      <c r="AI78" s="72" t="str">
        <f>_xlfn.IFS(B78="","",AND(AH78="K5-LAW",AG78="นิติศาสตร์",K78="S2",T78="",Z78=""),P78,AND(AH78="K5-LAW",AG78="นิติศาสตร์",K78="S1",T78="",Z78=""),EDATE(P78,12),AND(AH78="K5-LAW",AG78="นิติศาสตร์",OR(K78="M2",K78="K4"),T78="",Z78=""),EDATE(P78,12*2),AND(AH78="K5-LAW",AG78="นิติศาสตร์",OR(Z78="M2",Z78="K4"),AC78&gt;=2,OR(AB78&lt;V78,AB78&lt;P78)),EDATE(AB78,12*2),AND(AH78="K5-LAW",AG78="นิติศาสตร์",Z78="S1",AC78&gt;=1,OR(AB78&lt;V78,AB78&lt;P78)),EDATE(AB78,12),AND(AH78="K5-LAW",AG78="นิติศาสตร์",OR(T78="M2",T78="K4"),W78&gt;=2,V78&lt;P78),EDATE(V78,12*2),AND(AH78="K5-LAW",AG78="นิติศาสตร์",T78="S1",W78&gt;=1,V78&lt;P78),EDATE(V78,12),AND(AH78="K5-LAW",AG78="นิติศาสตร์",OR(T78="S2",T78="K5")),V78,AND(AH78="K5-LAW",AG78="นิติศาสตร์",OR(K78="M2",K78="K4"),Q78&gt;=2),EDATE(P78,12*2),AND(AH78="K5-LAW",AG78="นิติศาสตร์",K78="S1",Q78&gt;=1),EDATE(P78,12),AND(AH78="K5-LAW",AG78="นิติศาสตร์",OR(K78="S2",K78="K5")),P78,AND(AH78="K5-POLICY",AG78&lt;&gt;"นิติศาสตร์",K78="S2",T78="",Z78=""),P78,AND(AH78="K5-POLICY",AG78&lt;&gt;"นิติศาสตร์",K78="S1",T78="",Z78=""),EDATE(P78,12),AND(AH78="K5-POLICY",AG78&lt;&gt;"นิติศาสตร์",OR(K78="M2",K78="K4"),T78="",Z78=""),EDATE(P78,12*2),AND(AH78="K5-POLICY",AG78&lt;&gt;"นิติศาสตร์",OR(Z78="M2",Z78="K4"),AC78&gt;=2,OR(AB78&lt;V78,AB78&lt;P78)),EDATE(AB78,12*2),AND(AH78="K5-POLICY",AG78&lt;&gt;"นิติศาสตร์",Z78="S1",AC78&gt;=1,OR(AB78&lt;V78,AB78&lt;P78)),EDATE(AB78,12),AND(AH78="K5-POLICY",AG78&lt;&gt;"นิติศาสตร์",OR(T78="M2",T78="K4"),W78&gt;=2,V78&lt;P78),EDATE(V78,12*2),AND(AH78="K5-POLICY",AG78&lt;&gt;"นิติศาสตร์",T78="S1",W78&gt;=1,V78&lt;P78),EDATE(V78,12),AND(AH78="K5-POLICY",AG78&lt;&gt;"นิติศาสตร์",OR(T78="S2",T78="K5")),V78,AND(AH78="K5-POLICY",AG78&lt;&gt;"นิติศาสตร์",OR(K78="M2",K78="K4"),Q78&gt;=2),EDATE(P78,12*2),AND(AH78="K5-POLICY",AG78&lt;&gt;"นิติศาสตร์",K78="S1",Q78&gt;=1),EDATE(P78,12),AND(AH78="K5-POLICY",AG78&lt;&gt;"นิติศาสตร์",OR(K78="S2",K78="K5")),P78,TRUE,"Check Data")</f>
        <v/>
      </c>
      <c r="AJ78" s="75" t="str">
        <f t="shared" si="29"/>
        <v>Check Data</v>
      </c>
      <c r="AK78" s="76" t="str">
        <f t="shared" si="30"/>
        <v>Check Data</v>
      </c>
      <c r="AL78" s="50" t="str">
        <f t="shared" si="31"/>
        <v>Check Data</v>
      </c>
      <c r="AM78" s="49" t="str">
        <f>IF(B78="","",IF(K78="S1","S1",INDEX(#REF!,#REF!)))</f>
        <v/>
      </c>
      <c r="AN78" s="49" t="str">
        <f>K78</f>
        <v>M2</v>
      </c>
      <c r="AO78" s="50" t="b">
        <f>K78=AM78</f>
        <v>0</v>
      </c>
      <c r="AP78" s="50"/>
    </row>
    <row r="79" spans="1:42" ht="21.75">
      <c r="A79" s="49">
        <v>77</v>
      </c>
      <c r="B79" s="50"/>
      <c r="C79" s="50"/>
      <c r="D79" s="50" t="s">
        <v>143</v>
      </c>
      <c r="E79" s="49" t="s">
        <v>307</v>
      </c>
      <c r="F79" s="49" t="str">
        <f t="shared" si="16"/>
        <v>05/03/1992</v>
      </c>
      <c r="G79" s="50">
        <f t="shared" si="17"/>
        <v>33</v>
      </c>
      <c r="H79" s="50">
        <f t="shared" si="18"/>
        <v>3</v>
      </c>
      <c r="I79" s="50">
        <f t="shared" si="19"/>
        <v>15</v>
      </c>
      <c r="J79" s="59"/>
      <c r="K79" s="49" t="s">
        <v>136</v>
      </c>
      <c r="L79" s="64"/>
      <c r="M79" s="49" t="s">
        <v>427</v>
      </c>
      <c r="N79" s="49">
        <v>2569</v>
      </c>
      <c r="O79" s="65" t="s">
        <v>287</v>
      </c>
      <c r="P79" s="49" t="str">
        <f t="shared" si="20"/>
        <v>29/10/2020</v>
      </c>
      <c r="Q79" s="68">
        <f t="shared" si="21"/>
        <v>4</v>
      </c>
      <c r="R79" s="68">
        <f t="shared" si="22"/>
        <v>7</v>
      </c>
      <c r="S79" s="68">
        <f t="shared" si="23"/>
        <v>22</v>
      </c>
      <c r="T79" s="65"/>
      <c r="U79" s="65"/>
      <c r="V79" s="49" t="str">
        <f t="shared" si="24"/>
        <v/>
      </c>
      <c r="W79" s="68">
        <f>IF(V79="",0,DATEDIF(V79,P79,"Y"))</f>
        <v>0</v>
      </c>
      <c r="X79" s="68">
        <f>IF(V79="",0,DATEDIF(V79,P79,"YM"))</f>
        <v>0</v>
      </c>
      <c r="Y79" s="68">
        <f>IF(V79="",0,DATEDIF(V79,P79,"MD"))</f>
        <v>0</v>
      </c>
      <c r="Z79" s="49"/>
      <c r="AA79" s="65"/>
      <c r="AB79" s="50" t="str">
        <f t="shared" si="25"/>
        <v/>
      </c>
      <c r="AC79" s="68">
        <f t="shared" si="26"/>
        <v>0</v>
      </c>
      <c r="AD79" s="68">
        <f t="shared" si="27"/>
        <v>0</v>
      </c>
      <c r="AE79" s="68">
        <f t="shared" si="28"/>
        <v>0</v>
      </c>
      <c r="AF79" s="50"/>
      <c r="AG79" s="50" t="s">
        <v>371</v>
      </c>
      <c r="AH79" s="49" t="str">
        <f>IF(AG79="นิติศาสตร์","K5-LAW","K5-POLICY")</f>
        <v>K5-POLICY</v>
      </c>
      <c r="AI79" s="72" t="str">
        <f>_xlfn.IFS(B79="","",AND(AH79="K5-LAW",AG79="นิติศาสตร์",K79="S2",T79="",Z79=""),P79,AND(AH79="K5-LAW",AG79="นิติศาสตร์",K79="S1",T79="",Z79=""),EDATE(P79,12),AND(AH79="K5-LAW",AG79="นิติศาสตร์",OR(K79="M2",K79="K4"),T79="",Z79=""),EDATE(P79,12*2),AND(AH79="K5-LAW",AG79="นิติศาสตร์",OR(Z79="M2",Z79="K4"),AC79&gt;=2,OR(AB79&lt;V79,AB79&lt;P79)),EDATE(AB79,12*2),AND(AH79="K5-LAW",AG79="นิติศาสตร์",Z79="S1",AC79&gt;=1,OR(AB79&lt;V79,AB79&lt;P79)),EDATE(AB79,12),AND(AH79="K5-LAW",AG79="นิติศาสตร์",OR(T79="M2",T79="K4"),W79&gt;=2,V79&lt;P79),EDATE(V79,12*2),AND(AH79="K5-LAW",AG79="นิติศาสตร์",T79="S1",W79&gt;=1,V79&lt;P79),EDATE(V79,12),AND(AH79="K5-LAW",AG79="นิติศาสตร์",OR(T79="S2",T79="K5")),V79,AND(AH79="K5-LAW",AG79="นิติศาสตร์",OR(K79="M2",K79="K4"),Q79&gt;=2),EDATE(P79,12*2),AND(AH79="K5-LAW",AG79="นิติศาสตร์",K79="S1",Q79&gt;=1),EDATE(P79,12),AND(AH79="K5-LAW",AG79="นิติศาสตร์",OR(K79="S2",K79="K5")),P79,AND(AH79="K5-POLICY",AG79&lt;&gt;"นิติศาสตร์",K79="S2",T79="",Z79=""),P79,AND(AH79="K5-POLICY",AG79&lt;&gt;"นิติศาสตร์",K79="S1",T79="",Z79=""),EDATE(P79,12),AND(AH79="K5-POLICY",AG79&lt;&gt;"นิติศาสตร์",OR(K79="M2",K79="K4"),T79="",Z79=""),EDATE(P79,12*2),AND(AH79="K5-POLICY",AG79&lt;&gt;"นิติศาสตร์",OR(Z79="M2",Z79="K4"),AC79&gt;=2,OR(AB79&lt;V79,AB79&lt;P79)),EDATE(AB79,12*2),AND(AH79="K5-POLICY",AG79&lt;&gt;"นิติศาสตร์",Z79="S1",AC79&gt;=1,OR(AB79&lt;V79,AB79&lt;P79)),EDATE(AB79,12),AND(AH79="K5-POLICY",AG79&lt;&gt;"นิติศาสตร์",OR(T79="M2",T79="K4"),W79&gt;=2,V79&lt;P79),EDATE(V79,12*2),AND(AH79="K5-POLICY",AG79&lt;&gt;"นิติศาสตร์",T79="S1",W79&gt;=1,V79&lt;P79),EDATE(V79,12),AND(AH79="K5-POLICY",AG79&lt;&gt;"นิติศาสตร์",OR(T79="S2",T79="K5")),V79,AND(AH79="K5-POLICY",AG79&lt;&gt;"นิติศาสตร์",OR(K79="M2",K79="K4"),Q79&gt;=2),EDATE(P79,12*2),AND(AH79="K5-POLICY",AG79&lt;&gt;"นิติศาสตร์",K79="S1",Q79&gt;=1),EDATE(P79,12),AND(AH79="K5-POLICY",AG79&lt;&gt;"นิติศาสตร์",OR(K79="S2",K79="K5")),P79,TRUE,"Check Data")</f>
        <v/>
      </c>
      <c r="AJ79" s="75" t="str">
        <f t="shared" si="29"/>
        <v>Check Data</v>
      </c>
      <c r="AK79" s="76" t="str">
        <f t="shared" si="30"/>
        <v>Check Data</v>
      </c>
      <c r="AL79" s="50" t="str">
        <f t="shared" si="31"/>
        <v>Check Data</v>
      </c>
      <c r="AM79" s="49" t="str">
        <f>IF(B79="","",IF(K79="S1","S1",INDEX(#REF!,#REF!)))</f>
        <v/>
      </c>
      <c r="AN79" s="49" t="str">
        <f>K79</f>
        <v>M2</v>
      </c>
      <c r="AO79" s="50" t="b">
        <f>K79=AM79</f>
        <v>0</v>
      </c>
      <c r="AP79" s="50"/>
    </row>
    <row r="80" spans="1:42" ht="21.75">
      <c r="A80" s="49">
        <v>78</v>
      </c>
      <c r="B80" s="50"/>
      <c r="C80" s="50"/>
      <c r="D80" s="50" t="s">
        <v>143</v>
      </c>
      <c r="E80" s="49" t="s">
        <v>322</v>
      </c>
      <c r="F80" s="49" t="str">
        <f t="shared" si="16"/>
        <v>30/07/1992</v>
      </c>
      <c r="G80" s="50">
        <f t="shared" si="17"/>
        <v>32</v>
      </c>
      <c r="H80" s="50">
        <f t="shared" si="18"/>
        <v>10</v>
      </c>
      <c r="I80" s="50">
        <f t="shared" si="19"/>
        <v>21</v>
      </c>
      <c r="J80" s="59"/>
      <c r="K80" s="49" t="s">
        <v>136</v>
      </c>
      <c r="L80" s="64"/>
      <c r="M80" s="49" t="s">
        <v>427</v>
      </c>
      <c r="N80" s="49">
        <v>2570</v>
      </c>
      <c r="O80" s="65" t="s">
        <v>287</v>
      </c>
      <c r="P80" s="49" t="str">
        <f t="shared" si="20"/>
        <v>29/10/2020</v>
      </c>
      <c r="Q80" s="68">
        <f t="shared" si="21"/>
        <v>4</v>
      </c>
      <c r="R80" s="68">
        <f t="shared" si="22"/>
        <v>7</v>
      </c>
      <c r="S80" s="68">
        <f t="shared" si="23"/>
        <v>22</v>
      </c>
      <c r="T80" s="65"/>
      <c r="U80" s="65"/>
      <c r="V80" s="49" t="str">
        <f t="shared" si="24"/>
        <v/>
      </c>
      <c r="W80" s="68">
        <f>IF(V80="",0,DATEDIF(V80,P80,"Y"))</f>
        <v>0</v>
      </c>
      <c r="X80" s="68">
        <f>IF(V80="",0,DATEDIF(V80,P80,"YM"))</f>
        <v>0</v>
      </c>
      <c r="Y80" s="68">
        <f>IF(V80="",0,DATEDIF(V80,P80,"MD"))</f>
        <v>0</v>
      </c>
      <c r="Z80" s="49"/>
      <c r="AA80" s="65"/>
      <c r="AB80" s="50" t="str">
        <f t="shared" si="25"/>
        <v/>
      </c>
      <c r="AC80" s="68">
        <f t="shared" si="26"/>
        <v>0</v>
      </c>
      <c r="AD80" s="68">
        <f t="shared" si="27"/>
        <v>0</v>
      </c>
      <c r="AE80" s="68">
        <f t="shared" si="28"/>
        <v>0</v>
      </c>
      <c r="AF80" s="50"/>
      <c r="AG80" s="50" t="s">
        <v>138</v>
      </c>
      <c r="AH80" s="49" t="str">
        <f>IF(AG80="นิติศาสตร์","K5-LAW","K5-POLICY")</f>
        <v>K5-LAW</v>
      </c>
      <c r="AI80" s="72" t="str">
        <f>_xlfn.IFS(B80="","",AND(AH80="K5-LAW",AG80="นิติศาสตร์",K80="S2",T80="",Z80=""),P80,AND(AH80="K5-LAW",AG80="นิติศาสตร์",K80="S1",T80="",Z80=""),EDATE(P80,12),AND(AH80="K5-LAW",AG80="นิติศาสตร์",OR(K80="M2",K80="K4"),T80="",Z80=""),EDATE(P80,12*2),AND(AH80="K5-LAW",AG80="นิติศาสตร์",OR(Z80="M2",Z80="K4"),AC80&gt;=2,OR(AB80&lt;V80,AB80&lt;P80)),EDATE(AB80,12*2),AND(AH80="K5-LAW",AG80="นิติศาสตร์",Z80="S1",AC80&gt;=1,OR(AB80&lt;V80,AB80&lt;P80)),EDATE(AB80,12),AND(AH80="K5-LAW",AG80="นิติศาสตร์",OR(T80="M2",T80="K4"),W80&gt;=2,V80&lt;P80),EDATE(V80,12*2),AND(AH80="K5-LAW",AG80="นิติศาสตร์",T80="S1",W80&gt;=1,V80&lt;P80),EDATE(V80,12),AND(AH80="K5-LAW",AG80="นิติศาสตร์",OR(T80="S2",T80="K5")),V80,AND(AH80="K5-LAW",AG80="นิติศาสตร์",OR(K80="M2",K80="K4"),Q80&gt;=2),EDATE(P80,12*2),AND(AH80="K5-LAW",AG80="นิติศาสตร์",K80="S1",Q80&gt;=1),EDATE(P80,12),AND(AH80="K5-LAW",AG80="นิติศาสตร์",OR(K80="S2",K80="K5")),P80,AND(AH80="K5-POLICY",AG80&lt;&gt;"นิติศาสตร์",K80="S2",T80="",Z80=""),P80,AND(AH80="K5-POLICY",AG80&lt;&gt;"นิติศาสตร์",K80="S1",T80="",Z80=""),EDATE(P80,12),AND(AH80="K5-POLICY",AG80&lt;&gt;"นิติศาสตร์",OR(K80="M2",K80="K4"),T80="",Z80=""),EDATE(P80,12*2),AND(AH80="K5-POLICY",AG80&lt;&gt;"นิติศาสตร์",OR(Z80="M2",Z80="K4"),AC80&gt;=2,OR(AB80&lt;V80,AB80&lt;P80)),EDATE(AB80,12*2),AND(AH80="K5-POLICY",AG80&lt;&gt;"นิติศาสตร์",Z80="S1",AC80&gt;=1,OR(AB80&lt;V80,AB80&lt;P80)),EDATE(AB80,12),AND(AH80="K5-POLICY",AG80&lt;&gt;"นิติศาสตร์",OR(T80="M2",T80="K4"),W80&gt;=2,V80&lt;P80),EDATE(V80,12*2),AND(AH80="K5-POLICY",AG80&lt;&gt;"นิติศาสตร์",T80="S1",W80&gt;=1,V80&lt;P80),EDATE(V80,12),AND(AH80="K5-POLICY",AG80&lt;&gt;"นิติศาสตร์",OR(T80="S2",T80="K5")),V80,AND(AH80="K5-POLICY",AG80&lt;&gt;"นิติศาสตร์",OR(K80="M2",K80="K4"),Q80&gt;=2),EDATE(P80,12*2),AND(AH80="K5-POLICY",AG80&lt;&gt;"นิติศาสตร์",K80="S1",Q80&gt;=1),EDATE(P80,12),AND(AH80="K5-POLICY",AG80&lt;&gt;"นิติศาสตร์",OR(K80="S2",K80="K5")),P80,TRUE,"Check Data")</f>
        <v/>
      </c>
      <c r="AJ80" s="75" t="str">
        <f t="shared" si="29"/>
        <v>Check Data</v>
      </c>
      <c r="AK80" s="76" t="str">
        <f t="shared" si="30"/>
        <v>Check Data</v>
      </c>
      <c r="AL80" s="50" t="str">
        <f t="shared" si="31"/>
        <v>Check Data</v>
      </c>
      <c r="AM80" s="49" t="str">
        <f>IF(B80="","",IF(K80="S1","S1",INDEX(#REF!,#REF!)))</f>
        <v/>
      </c>
      <c r="AN80" s="49" t="str">
        <f>K80</f>
        <v>M2</v>
      </c>
      <c r="AO80" s="50" t="b">
        <f>K80=AM80</f>
        <v>0</v>
      </c>
      <c r="AP80" s="50"/>
    </row>
    <row r="81" spans="1:42" ht="21.75">
      <c r="A81" s="49">
        <v>79</v>
      </c>
      <c r="B81" s="50"/>
      <c r="C81" s="50"/>
      <c r="D81" s="50" t="s">
        <v>143</v>
      </c>
      <c r="E81" s="49" t="s">
        <v>357</v>
      </c>
      <c r="F81" s="49" t="str">
        <f t="shared" si="16"/>
        <v>21/05/1990</v>
      </c>
      <c r="G81" s="50">
        <f t="shared" si="17"/>
        <v>35</v>
      </c>
      <c r="H81" s="50">
        <f t="shared" si="18"/>
        <v>0</v>
      </c>
      <c r="I81" s="50">
        <f t="shared" si="19"/>
        <v>30</v>
      </c>
      <c r="J81" s="59"/>
      <c r="K81" s="49" t="s">
        <v>136</v>
      </c>
      <c r="L81" s="64"/>
      <c r="M81" s="49" t="s">
        <v>427</v>
      </c>
      <c r="N81" s="49">
        <v>2569</v>
      </c>
      <c r="O81" s="65" t="s">
        <v>287</v>
      </c>
      <c r="P81" s="49" t="str">
        <f t="shared" si="20"/>
        <v>29/10/2020</v>
      </c>
      <c r="Q81" s="68">
        <f t="shared" si="21"/>
        <v>4</v>
      </c>
      <c r="R81" s="68">
        <f t="shared" si="22"/>
        <v>7</v>
      </c>
      <c r="S81" s="68">
        <f t="shared" si="23"/>
        <v>22</v>
      </c>
      <c r="T81" s="65"/>
      <c r="U81" s="65"/>
      <c r="V81" s="49" t="str">
        <f t="shared" si="24"/>
        <v/>
      </c>
      <c r="W81" s="68">
        <f>IF(V81="",0,DATEDIF(V81,P81,"Y"))</f>
        <v>0</v>
      </c>
      <c r="X81" s="68">
        <f>IF(V81="",0,DATEDIF(V81,P81,"YM"))</f>
        <v>0</v>
      </c>
      <c r="Y81" s="68">
        <f>IF(V81="",0,DATEDIF(V81,P81,"MD"))</f>
        <v>0</v>
      </c>
      <c r="Z81" s="49"/>
      <c r="AA81" s="65"/>
      <c r="AB81" s="50" t="str">
        <f t="shared" si="25"/>
        <v/>
      </c>
      <c r="AC81" s="68">
        <f t="shared" si="26"/>
        <v>0</v>
      </c>
      <c r="AD81" s="68">
        <f t="shared" si="27"/>
        <v>0</v>
      </c>
      <c r="AE81" s="68">
        <f t="shared" si="28"/>
        <v>0</v>
      </c>
      <c r="AF81" s="50"/>
      <c r="AG81" s="50" t="s">
        <v>332</v>
      </c>
      <c r="AH81" s="49" t="str">
        <f>IF(AG81="นิติศาสตร์","K5-LAW","K5-POLICY")</f>
        <v>K5-POLICY</v>
      </c>
      <c r="AI81" s="72" t="str">
        <f>_xlfn.IFS(B81="","",AND(AH81="K5-LAW",AG81="นิติศาสตร์",K81="S2",T81="",Z81=""),P81,AND(AH81="K5-LAW",AG81="นิติศาสตร์",K81="S1",T81="",Z81=""),EDATE(P81,12),AND(AH81="K5-LAW",AG81="นิติศาสตร์",OR(K81="M2",K81="K4"),T81="",Z81=""),EDATE(P81,12*2),AND(AH81="K5-LAW",AG81="นิติศาสตร์",OR(Z81="M2",Z81="K4"),AC81&gt;=2,OR(AB81&lt;V81,AB81&lt;P81)),EDATE(AB81,12*2),AND(AH81="K5-LAW",AG81="นิติศาสตร์",Z81="S1",AC81&gt;=1,OR(AB81&lt;V81,AB81&lt;P81)),EDATE(AB81,12),AND(AH81="K5-LAW",AG81="นิติศาสตร์",OR(T81="M2",T81="K4"),W81&gt;=2,V81&lt;P81),EDATE(V81,12*2),AND(AH81="K5-LAW",AG81="นิติศาสตร์",T81="S1",W81&gt;=1,V81&lt;P81),EDATE(V81,12),AND(AH81="K5-LAW",AG81="นิติศาสตร์",OR(T81="S2",T81="K5")),V81,AND(AH81="K5-LAW",AG81="นิติศาสตร์",OR(K81="M2",K81="K4"),Q81&gt;=2),EDATE(P81,12*2),AND(AH81="K5-LAW",AG81="นิติศาสตร์",K81="S1",Q81&gt;=1),EDATE(P81,12),AND(AH81="K5-LAW",AG81="นิติศาสตร์",OR(K81="S2",K81="K5")),P81,AND(AH81="K5-POLICY",AG81&lt;&gt;"นิติศาสตร์",K81="S2",T81="",Z81=""),P81,AND(AH81="K5-POLICY",AG81&lt;&gt;"นิติศาสตร์",K81="S1",T81="",Z81=""),EDATE(P81,12),AND(AH81="K5-POLICY",AG81&lt;&gt;"นิติศาสตร์",OR(K81="M2",K81="K4"),T81="",Z81=""),EDATE(P81,12*2),AND(AH81="K5-POLICY",AG81&lt;&gt;"นิติศาสตร์",OR(Z81="M2",Z81="K4"),AC81&gt;=2,OR(AB81&lt;V81,AB81&lt;P81)),EDATE(AB81,12*2),AND(AH81="K5-POLICY",AG81&lt;&gt;"นิติศาสตร์",Z81="S1",AC81&gt;=1,OR(AB81&lt;V81,AB81&lt;P81)),EDATE(AB81,12),AND(AH81="K5-POLICY",AG81&lt;&gt;"นิติศาสตร์",OR(T81="M2",T81="K4"),W81&gt;=2,V81&lt;P81),EDATE(V81,12*2),AND(AH81="K5-POLICY",AG81&lt;&gt;"นิติศาสตร์",T81="S1",W81&gt;=1,V81&lt;P81),EDATE(V81,12),AND(AH81="K5-POLICY",AG81&lt;&gt;"นิติศาสตร์",OR(T81="S2",T81="K5")),V81,AND(AH81="K5-POLICY",AG81&lt;&gt;"นิติศาสตร์",OR(K81="M2",K81="K4"),Q81&gt;=2),EDATE(P81,12*2),AND(AH81="K5-POLICY",AG81&lt;&gt;"นิติศาสตร์",K81="S1",Q81&gt;=1),EDATE(P81,12),AND(AH81="K5-POLICY",AG81&lt;&gt;"นิติศาสตร์",OR(K81="S2",K81="K5")),P81,TRUE,"Check Data")</f>
        <v/>
      </c>
      <c r="AJ81" s="75" t="str">
        <f t="shared" si="29"/>
        <v>Check Data</v>
      </c>
      <c r="AK81" s="76" t="str">
        <f t="shared" si="30"/>
        <v>Check Data</v>
      </c>
      <c r="AL81" s="50" t="str">
        <f t="shared" si="31"/>
        <v>Check Data</v>
      </c>
      <c r="AM81" s="49" t="str">
        <f>IF(B81="","",IF(K81="S1","S1",INDEX(#REF!,#REF!)))</f>
        <v/>
      </c>
      <c r="AN81" s="49" t="str">
        <f>K81</f>
        <v>M2</v>
      </c>
      <c r="AO81" s="50" t="b">
        <f>K81=AM81</f>
        <v>0</v>
      </c>
      <c r="AP81" s="50"/>
    </row>
    <row r="82" spans="1:42" ht="21.75">
      <c r="A82" s="49">
        <v>80</v>
      </c>
      <c r="B82" s="50"/>
      <c r="C82" s="50"/>
      <c r="D82" s="50" t="s">
        <v>143</v>
      </c>
      <c r="E82" s="49" t="s">
        <v>346</v>
      </c>
      <c r="F82" s="49" t="str">
        <f t="shared" si="16"/>
        <v>28/04/1986</v>
      </c>
      <c r="G82" s="50">
        <f t="shared" si="17"/>
        <v>39</v>
      </c>
      <c r="H82" s="50">
        <f t="shared" si="18"/>
        <v>1</v>
      </c>
      <c r="I82" s="50">
        <f t="shared" si="19"/>
        <v>23</v>
      </c>
      <c r="J82" s="59"/>
      <c r="K82" s="49" t="s">
        <v>136</v>
      </c>
      <c r="L82" s="64"/>
      <c r="M82" s="49" t="s">
        <v>427</v>
      </c>
      <c r="N82" s="49">
        <v>2570</v>
      </c>
      <c r="O82" s="65" t="s">
        <v>287</v>
      </c>
      <c r="P82" s="49" t="str">
        <f t="shared" si="20"/>
        <v>29/10/2020</v>
      </c>
      <c r="Q82" s="68">
        <f t="shared" si="21"/>
        <v>4</v>
      </c>
      <c r="R82" s="68">
        <f t="shared" si="22"/>
        <v>7</v>
      </c>
      <c r="S82" s="68">
        <f t="shared" si="23"/>
        <v>22</v>
      </c>
      <c r="T82" s="65"/>
      <c r="U82" s="65"/>
      <c r="V82" s="49" t="str">
        <f t="shared" si="24"/>
        <v/>
      </c>
      <c r="W82" s="68">
        <f>IF(V82="",0,DATEDIF(V82,P82,"Y"))</f>
        <v>0</v>
      </c>
      <c r="X82" s="68">
        <f>IF(V82="",0,DATEDIF(V82,P82,"YM"))</f>
        <v>0</v>
      </c>
      <c r="Y82" s="68">
        <f>IF(V82="",0,DATEDIF(V82,P82,"MD"))</f>
        <v>0</v>
      </c>
      <c r="Z82" s="49"/>
      <c r="AA82" s="65"/>
      <c r="AB82" s="50" t="str">
        <f t="shared" si="25"/>
        <v/>
      </c>
      <c r="AC82" s="68">
        <f t="shared" si="26"/>
        <v>0</v>
      </c>
      <c r="AD82" s="68">
        <f t="shared" si="27"/>
        <v>0</v>
      </c>
      <c r="AE82" s="68">
        <f t="shared" si="28"/>
        <v>0</v>
      </c>
      <c r="AF82" s="50"/>
      <c r="AG82" s="50" t="s">
        <v>509</v>
      </c>
      <c r="AH82" s="49" t="str">
        <f>IF(AG82="นิติศาสตร์","K5-LAW","K5-POLICY")</f>
        <v>K5-POLICY</v>
      </c>
      <c r="AI82" s="72" t="str">
        <f>_xlfn.IFS(B82="","",AND(AH82="K5-LAW",AG82="นิติศาสตร์",K82="S2",T82="",Z82=""),P82,AND(AH82="K5-LAW",AG82="นิติศาสตร์",K82="S1",T82="",Z82=""),EDATE(P82,12),AND(AH82="K5-LAW",AG82="นิติศาสตร์",OR(K82="M2",K82="K4"),T82="",Z82=""),EDATE(P82,12*2),AND(AH82="K5-LAW",AG82="นิติศาสตร์",OR(Z82="M2",Z82="K4"),AC82&gt;=2,OR(AB82&lt;V82,AB82&lt;P82)),EDATE(AB82,12*2),AND(AH82="K5-LAW",AG82="นิติศาสตร์",Z82="S1",AC82&gt;=1,OR(AB82&lt;V82,AB82&lt;P82)),EDATE(AB82,12),AND(AH82="K5-LAW",AG82="นิติศาสตร์",OR(T82="M2",T82="K4"),W82&gt;=2,V82&lt;P82),EDATE(V82,12*2),AND(AH82="K5-LAW",AG82="นิติศาสตร์",T82="S1",W82&gt;=1,V82&lt;P82),EDATE(V82,12),AND(AH82="K5-LAW",AG82="นิติศาสตร์",OR(T82="S2",T82="K5")),V82,AND(AH82="K5-LAW",AG82="นิติศาสตร์",OR(K82="M2",K82="K4"),Q82&gt;=2),EDATE(P82,12*2),AND(AH82="K5-LAW",AG82="นิติศาสตร์",K82="S1",Q82&gt;=1),EDATE(P82,12),AND(AH82="K5-LAW",AG82="นิติศาสตร์",OR(K82="S2",K82="K5")),P82,AND(AH82="K5-POLICY",AG82&lt;&gt;"นิติศาสตร์",K82="S2",T82="",Z82=""),P82,AND(AH82="K5-POLICY",AG82&lt;&gt;"นิติศาสตร์",K82="S1",T82="",Z82=""),EDATE(P82,12),AND(AH82="K5-POLICY",AG82&lt;&gt;"นิติศาสตร์",OR(K82="M2",K82="K4"),T82="",Z82=""),EDATE(P82,12*2),AND(AH82="K5-POLICY",AG82&lt;&gt;"นิติศาสตร์",OR(Z82="M2",Z82="K4"),AC82&gt;=2,OR(AB82&lt;V82,AB82&lt;P82)),EDATE(AB82,12*2),AND(AH82="K5-POLICY",AG82&lt;&gt;"นิติศาสตร์",Z82="S1",AC82&gt;=1,OR(AB82&lt;V82,AB82&lt;P82)),EDATE(AB82,12),AND(AH82="K5-POLICY",AG82&lt;&gt;"นิติศาสตร์",OR(T82="M2",T82="K4"),W82&gt;=2,V82&lt;P82),EDATE(V82,12*2),AND(AH82="K5-POLICY",AG82&lt;&gt;"นิติศาสตร์",T82="S1",W82&gt;=1,V82&lt;P82),EDATE(V82,12),AND(AH82="K5-POLICY",AG82&lt;&gt;"นิติศาสตร์",OR(T82="S2",T82="K5")),V82,AND(AH82="K5-POLICY",AG82&lt;&gt;"นิติศาสตร์",OR(K82="M2",K82="K4"),Q82&gt;=2),EDATE(P82,12*2),AND(AH82="K5-POLICY",AG82&lt;&gt;"นิติศาสตร์",K82="S1",Q82&gt;=1),EDATE(P82,12),AND(AH82="K5-POLICY",AG82&lt;&gt;"นิติศาสตร์",OR(K82="S2",K82="K5")),P82,TRUE,"Check Data")</f>
        <v/>
      </c>
      <c r="AJ82" s="75" t="str">
        <f t="shared" si="29"/>
        <v>Check Data</v>
      </c>
      <c r="AK82" s="76" t="str">
        <f t="shared" si="30"/>
        <v>Check Data</v>
      </c>
      <c r="AL82" s="50" t="str">
        <f t="shared" si="31"/>
        <v>Check Data</v>
      </c>
      <c r="AM82" s="49" t="str">
        <f>IF(B82="","",IF(K82="S1","S1",INDEX(#REF!,#REF!)))</f>
        <v/>
      </c>
      <c r="AN82" s="49" t="str">
        <f>K82</f>
        <v>M2</v>
      </c>
      <c r="AO82" s="50" t="b">
        <f>K82=AM82</f>
        <v>0</v>
      </c>
      <c r="AP82" s="50"/>
    </row>
    <row r="83" spans="1:42" ht="21.75">
      <c r="A83" s="49">
        <v>81</v>
      </c>
      <c r="B83" s="50"/>
      <c r="C83" s="50"/>
      <c r="D83" s="50" t="s">
        <v>143</v>
      </c>
      <c r="E83" s="49" t="s">
        <v>321</v>
      </c>
      <c r="F83" s="49" t="str">
        <f t="shared" si="16"/>
        <v>16/08/1990</v>
      </c>
      <c r="G83" s="50">
        <f t="shared" si="17"/>
        <v>34</v>
      </c>
      <c r="H83" s="50">
        <f t="shared" si="18"/>
        <v>10</v>
      </c>
      <c r="I83" s="50">
        <f t="shared" si="19"/>
        <v>4</v>
      </c>
      <c r="J83" s="59"/>
      <c r="K83" s="49" t="s">
        <v>136</v>
      </c>
      <c r="L83" s="64"/>
      <c r="M83" s="49" t="s">
        <v>427</v>
      </c>
      <c r="N83" s="49">
        <v>2568</v>
      </c>
      <c r="O83" s="65" t="s">
        <v>287</v>
      </c>
      <c r="P83" s="49" t="str">
        <f t="shared" si="20"/>
        <v>29/10/2020</v>
      </c>
      <c r="Q83" s="68">
        <f t="shared" si="21"/>
        <v>4</v>
      </c>
      <c r="R83" s="68">
        <f t="shared" si="22"/>
        <v>7</v>
      </c>
      <c r="S83" s="68">
        <f t="shared" si="23"/>
        <v>22</v>
      </c>
      <c r="T83" s="65"/>
      <c r="U83" s="65"/>
      <c r="V83" s="49" t="str">
        <f t="shared" si="24"/>
        <v/>
      </c>
      <c r="W83" s="68">
        <f>IF(V83="",0,DATEDIF(V83,P83,"Y"))</f>
        <v>0</v>
      </c>
      <c r="X83" s="68">
        <f>IF(V83="",0,DATEDIF(V83,P83,"YM"))</f>
        <v>0</v>
      </c>
      <c r="Y83" s="68">
        <f>IF(V83="",0,DATEDIF(V83,P83,"MD"))</f>
        <v>0</v>
      </c>
      <c r="Z83" s="49"/>
      <c r="AA83" s="65"/>
      <c r="AB83" s="50" t="str">
        <f t="shared" si="25"/>
        <v/>
      </c>
      <c r="AC83" s="68">
        <f t="shared" si="26"/>
        <v>0</v>
      </c>
      <c r="AD83" s="68">
        <f t="shared" si="27"/>
        <v>0</v>
      </c>
      <c r="AE83" s="68">
        <f t="shared" si="28"/>
        <v>0</v>
      </c>
      <c r="AF83" s="50"/>
      <c r="AG83" s="50" t="s">
        <v>172</v>
      </c>
      <c r="AH83" s="49" t="str">
        <f>IF(AG83="นิติศาสตร์","K5-LAW","K5-POLICY")</f>
        <v>K5-POLICY</v>
      </c>
      <c r="AI83" s="72" t="str">
        <f>_xlfn.IFS(B83="","",AND(AH83="K5-LAW",AG83="นิติศาสตร์",K83="S2",T83="",Z83=""),P83,AND(AH83="K5-LAW",AG83="นิติศาสตร์",K83="S1",T83="",Z83=""),EDATE(P83,12),AND(AH83="K5-LAW",AG83="นิติศาสตร์",OR(K83="M2",K83="K4"),T83="",Z83=""),EDATE(P83,12*2),AND(AH83="K5-LAW",AG83="นิติศาสตร์",OR(Z83="M2",Z83="K4"),AC83&gt;=2,OR(AB83&lt;V83,AB83&lt;P83)),EDATE(AB83,12*2),AND(AH83="K5-LAW",AG83="นิติศาสตร์",Z83="S1",AC83&gt;=1,OR(AB83&lt;V83,AB83&lt;P83)),EDATE(AB83,12),AND(AH83="K5-LAW",AG83="นิติศาสตร์",OR(T83="M2",T83="K4"),W83&gt;=2,V83&lt;P83),EDATE(V83,12*2),AND(AH83="K5-LAW",AG83="นิติศาสตร์",T83="S1",W83&gt;=1,V83&lt;P83),EDATE(V83,12),AND(AH83="K5-LAW",AG83="นิติศาสตร์",OR(T83="S2",T83="K5")),V83,AND(AH83="K5-LAW",AG83="นิติศาสตร์",OR(K83="M2",K83="K4"),Q83&gt;=2),EDATE(P83,12*2),AND(AH83="K5-LAW",AG83="นิติศาสตร์",K83="S1",Q83&gt;=1),EDATE(P83,12),AND(AH83="K5-LAW",AG83="นิติศาสตร์",OR(K83="S2",K83="K5")),P83,AND(AH83="K5-POLICY",AG83&lt;&gt;"นิติศาสตร์",K83="S2",T83="",Z83=""),P83,AND(AH83="K5-POLICY",AG83&lt;&gt;"นิติศาสตร์",K83="S1",T83="",Z83=""),EDATE(P83,12),AND(AH83="K5-POLICY",AG83&lt;&gt;"นิติศาสตร์",OR(K83="M2",K83="K4"),T83="",Z83=""),EDATE(P83,12*2),AND(AH83="K5-POLICY",AG83&lt;&gt;"นิติศาสตร์",OR(Z83="M2",Z83="K4"),AC83&gt;=2,OR(AB83&lt;V83,AB83&lt;P83)),EDATE(AB83,12*2),AND(AH83="K5-POLICY",AG83&lt;&gt;"นิติศาสตร์",Z83="S1",AC83&gt;=1,OR(AB83&lt;V83,AB83&lt;P83)),EDATE(AB83,12),AND(AH83="K5-POLICY",AG83&lt;&gt;"นิติศาสตร์",OR(T83="M2",T83="K4"),W83&gt;=2,V83&lt;P83),EDATE(V83,12*2),AND(AH83="K5-POLICY",AG83&lt;&gt;"นิติศาสตร์",T83="S1",W83&gt;=1,V83&lt;P83),EDATE(V83,12),AND(AH83="K5-POLICY",AG83&lt;&gt;"นิติศาสตร์",OR(T83="S2",T83="K5")),V83,AND(AH83="K5-POLICY",AG83&lt;&gt;"นิติศาสตร์",OR(K83="M2",K83="K4"),Q83&gt;=2),EDATE(P83,12*2),AND(AH83="K5-POLICY",AG83&lt;&gt;"นิติศาสตร์",K83="S1",Q83&gt;=1),EDATE(P83,12),AND(AH83="K5-POLICY",AG83&lt;&gt;"นิติศาสตร์",OR(K83="S2",K83="K5")),P83,TRUE,"Check Data")</f>
        <v/>
      </c>
      <c r="AJ83" s="75" t="str">
        <f t="shared" si="29"/>
        <v>Check Data</v>
      </c>
      <c r="AK83" s="76" t="str">
        <f t="shared" si="30"/>
        <v>Check Data</v>
      </c>
      <c r="AL83" s="50" t="str">
        <f t="shared" si="31"/>
        <v>Check Data</v>
      </c>
      <c r="AM83" s="49" t="str">
        <f>IF(B83="","",IF(K83="S1","S1",INDEX(#REF!,#REF!)))</f>
        <v/>
      </c>
      <c r="AN83" s="49" t="str">
        <f>K83</f>
        <v>M2</v>
      </c>
      <c r="AO83" s="50" t="b">
        <f>K83=AM83</f>
        <v>0</v>
      </c>
      <c r="AP83" s="50"/>
    </row>
    <row r="84" spans="1:42" ht="21.75">
      <c r="A84" s="49">
        <v>82</v>
      </c>
      <c r="B84" s="50"/>
      <c r="C84" s="50"/>
      <c r="D84" s="50" t="s">
        <v>143</v>
      </c>
      <c r="E84" s="49" t="s">
        <v>323</v>
      </c>
      <c r="F84" s="49" t="str">
        <f t="shared" si="16"/>
        <v>15/05/1984</v>
      </c>
      <c r="G84" s="50">
        <f t="shared" si="17"/>
        <v>41</v>
      </c>
      <c r="H84" s="50">
        <f t="shared" si="18"/>
        <v>1</v>
      </c>
      <c r="I84" s="50">
        <f t="shared" si="19"/>
        <v>5</v>
      </c>
      <c r="J84" s="59"/>
      <c r="K84" s="49" t="s">
        <v>136</v>
      </c>
      <c r="L84" s="64"/>
      <c r="M84" s="49" t="s">
        <v>427</v>
      </c>
      <c r="N84" s="49">
        <v>2568</v>
      </c>
      <c r="O84" s="65" t="s">
        <v>287</v>
      </c>
      <c r="P84" s="49" t="str">
        <f t="shared" si="20"/>
        <v>29/10/2020</v>
      </c>
      <c r="Q84" s="68">
        <f t="shared" si="21"/>
        <v>4</v>
      </c>
      <c r="R84" s="68">
        <f t="shared" si="22"/>
        <v>7</v>
      </c>
      <c r="S84" s="68">
        <f t="shared" si="23"/>
        <v>22</v>
      </c>
      <c r="T84" s="65"/>
      <c r="U84" s="65"/>
      <c r="V84" s="49" t="str">
        <f t="shared" si="24"/>
        <v/>
      </c>
      <c r="W84" s="68">
        <f>IF(V84="",0,DATEDIF(V84,P84,"Y"))</f>
        <v>0</v>
      </c>
      <c r="X84" s="68">
        <f>IF(V84="",0,DATEDIF(V84,P84,"YM"))</f>
        <v>0</v>
      </c>
      <c r="Y84" s="68">
        <f>IF(V84="",0,DATEDIF(V84,P84,"MD"))</f>
        <v>0</v>
      </c>
      <c r="Z84" s="49"/>
      <c r="AA84" s="65"/>
      <c r="AB84" s="50" t="str">
        <f t="shared" si="25"/>
        <v/>
      </c>
      <c r="AC84" s="68">
        <f t="shared" si="26"/>
        <v>0</v>
      </c>
      <c r="AD84" s="68">
        <f t="shared" si="27"/>
        <v>0</v>
      </c>
      <c r="AE84" s="68">
        <f t="shared" si="28"/>
        <v>0</v>
      </c>
      <c r="AF84" s="50"/>
      <c r="AG84" s="50" t="s">
        <v>513</v>
      </c>
      <c r="AH84" s="49" t="str">
        <f>IF(AG84="นิติศาสตร์","K5-LAW","K5-POLICY")</f>
        <v>K5-POLICY</v>
      </c>
      <c r="AI84" s="72" t="str">
        <f>_xlfn.IFS(B84="","",AND(AH84="K5-LAW",AG84="นิติศาสตร์",K84="S2",T84="",Z84=""),P84,AND(AH84="K5-LAW",AG84="นิติศาสตร์",K84="S1",T84="",Z84=""),EDATE(P84,12),AND(AH84="K5-LAW",AG84="นิติศาสตร์",OR(K84="M2",K84="K4"),T84="",Z84=""),EDATE(P84,12*2),AND(AH84="K5-LAW",AG84="นิติศาสตร์",OR(Z84="M2",Z84="K4"),AC84&gt;=2,OR(AB84&lt;V84,AB84&lt;P84)),EDATE(AB84,12*2),AND(AH84="K5-LAW",AG84="นิติศาสตร์",Z84="S1",AC84&gt;=1,OR(AB84&lt;V84,AB84&lt;P84)),EDATE(AB84,12),AND(AH84="K5-LAW",AG84="นิติศาสตร์",OR(T84="M2",T84="K4"),W84&gt;=2,V84&lt;P84),EDATE(V84,12*2),AND(AH84="K5-LAW",AG84="นิติศาสตร์",T84="S1",W84&gt;=1,V84&lt;P84),EDATE(V84,12),AND(AH84="K5-LAW",AG84="นิติศาสตร์",OR(T84="S2",T84="K5")),V84,AND(AH84="K5-LAW",AG84="นิติศาสตร์",OR(K84="M2",K84="K4"),Q84&gt;=2),EDATE(P84,12*2),AND(AH84="K5-LAW",AG84="นิติศาสตร์",K84="S1",Q84&gt;=1),EDATE(P84,12),AND(AH84="K5-LAW",AG84="นิติศาสตร์",OR(K84="S2",K84="K5")),P84,AND(AH84="K5-POLICY",AG84&lt;&gt;"นิติศาสตร์",K84="S2",T84="",Z84=""),P84,AND(AH84="K5-POLICY",AG84&lt;&gt;"นิติศาสตร์",K84="S1",T84="",Z84=""),EDATE(P84,12),AND(AH84="K5-POLICY",AG84&lt;&gt;"นิติศาสตร์",OR(K84="M2",K84="K4"),T84="",Z84=""),EDATE(P84,12*2),AND(AH84="K5-POLICY",AG84&lt;&gt;"นิติศาสตร์",OR(Z84="M2",Z84="K4"),AC84&gt;=2,OR(AB84&lt;V84,AB84&lt;P84)),EDATE(AB84,12*2),AND(AH84="K5-POLICY",AG84&lt;&gt;"นิติศาสตร์",Z84="S1",AC84&gt;=1,OR(AB84&lt;V84,AB84&lt;P84)),EDATE(AB84,12),AND(AH84="K5-POLICY",AG84&lt;&gt;"นิติศาสตร์",OR(T84="M2",T84="K4"),W84&gt;=2,V84&lt;P84),EDATE(V84,12*2),AND(AH84="K5-POLICY",AG84&lt;&gt;"นิติศาสตร์",T84="S1",W84&gt;=1,V84&lt;P84),EDATE(V84,12),AND(AH84="K5-POLICY",AG84&lt;&gt;"นิติศาสตร์",OR(T84="S2",T84="K5")),V84,AND(AH84="K5-POLICY",AG84&lt;&gt;"นิติศาสตร์",OR(K84="M2",K84="K4"),Q84&gt;=2),EDATE(P84,12*2),AND(AH84="K5-POLICY",AG84&lt;&gt;"นิติศาสตร์",K84="S1",Q84&gt;=1),EDATE(P84,12),AND(AH84="K5-POLICY",AG84&lt;&gt;"นิติศาสตร์",OR(K84="S2",K84="K5")),P84,TRUE,"Check Data")</f>
        <v/>
      </c>
      <c r="AJ84" s="75" t="str">
        <f t="shared" si="29"/>
        <v>Check Data</v>
      </c>
      <c r="AK84" s="76" t="str">
        <f t="shared" si="30"/>
        <v>Check Data</v>
      </c>
      <c r="AL84" s="50" t="str">
        <f t="shared" si="31"/>
        <v>Check Data</v>
      </c>
      <c r="AM84" s="49" t="str">
        <f>IF(B84="","",IF(K84="S1","S1",INDEX(#REF!,#REF!)))</f>
        <v/>
      </c>
      <c r="AN84" s="49" t="str">
        <f>K84</f>
        <v>M2</v>
      </c>
      <c r="AO84" s="50" t="b">
        <f>K84=AM84</f>
        <v>0</v>
      </c>
      <c r="AP84" s="50"/>
    </row>
    <row r="85" spans="1:42" ht="21.75">
      <c r="A85" s="49">
        <v>83</v>
      </c>
      <c r="B85" s="50"/>
      <c r="C85" s="50"/>
      <c r="D85" s="50" t="s">
        <v>143</v>
      </c>
      <c r="E85" s="49" t="s">
        <v>222</v>
      </c>
      <c r="F85" s="49" t="str">
        <f t="shared" si="16"/>
        <v>20/04/1989</v>
      </c>
      <c r="G85" s="50">
        <f t="shared" si="17"/>
        <v>36</v>
      </c>
      <c r="H85" s="50">
        <f t="shared" si="18"/>
        <v>2</v>
      </c>
      <c r="I85" s="50">
        <f t="shared" si="19"/>
        <v>0</v>
      </c>
      <c r="J85" s="59"/>
      <c r="K85" s="49" t="s">
        <v>136</v>
      </c>
      <c r="L85" s="64"/>
      <c r="M85" s="49" t="s">
        <v>427</v>
      </c>
      <c r="N85" s="49">
        <v>2570</v>
      </c>
      <c r="O85" s="65" t="s">
        <v>287</v>
      </c>
      <c r="P85" s="49" t="str">
        <f t="shared" si="20"/>
        <v>29/10/2020</v>
      </c>
      <c r="Q85" s="68">
        <f t="shared" si="21"/>
        <v>4</v>
      </c>
      <c r="R85" s="68">
        <f t="shared" si="22"/>
        <v>7</v>
      </c>
      <c r="S85" s="68">
        <f t="shared" si="23"/>
        <v>22</v>
      </c>
      <c r="T85" s="65"/>
      <c r="U85" s="65"/>
      <c r="V85" s="49" t="str">
        <f t="shared" si="24"/>
        <v/>
      </c>
      <c r="W85" s="68">
        <f>IF(V85="",0,DATEDIF(V85,P85,"Y"))</f>
        <v>0</v>
      </c>
      <c r="X85" s="68">
        <f>IF(V85="",0,DATEDIF(V85,P85,"YM"))</f>
        <v>0</v>
      </c>
      <c r="Y85" s="68">
        <f>IF(V85="",0,DATEDIF(V85,P85,"MD"))</f>
        <v>0</v>
      </c>
      <c r="Z85" s="49"/>
      <c r="AA85" s="65"/>
      <c r="AB85" s="50" t="str">
        <f t="shared" si="25"/>
        <v/>
      </c>
      <c r="AC85" s="68">
        <f t="shared" si="26"/>
        <v>0</v>
      </c>
      <c r="AD85" s="68">
        <f t="shared" si="27"/>
        <v>0</v>
      </c>
      <c r="AE85" s="68">
        <f t="shared" si="28"/>
        <v>0</v>
      </c>
      <c r="AF85" s="50"/>
      <c r="AG85" s="50" t="s">
        <v>163</v>
      </c>
      <c r="AH85" s="49" t="str">
        <f>IF(AG85="นิติศาสตร์","K5-LAW","K5-POLICY")</f>
        <v>K5-POLICY</v>
      </c>
      <c r="AI85" s="72" t="str">
        <f>_xlfn.IFS(B85="","",AND(AH85="K5-LAW",AG85="นิติศาสตร์",K85="S2",T85="",Z85=""),P85,AND(AH85="K5-LAW",AG85="นิติศาสตร์",K85="S1",T85="",Z85=""),EDATE(P85,12),AND(AH85="K5-LAW",AG85="นิติศาสตร์",OR(K85="M2",K85="K4"),T85="",Z85=""),EDATE(P85,12*2),AND(AH85="K5-LAW",AG85="นิติศาสตร์",OR(Z85="M2",Z85="K4"),AC85&gt;=2,OR(AB85&lt;V85,AB85&lt;P85)),EDATE(AB85,12*2),AND(AH85="K5-LAW",AG85="นิติศาสตร์",Z85="S1",AC85&gt;=1,OR(AB85&lt;V85,AB85&lt;P85)),EDATE(AB85,12),AND(AH85="K5-LAW",AG85="นิติศาสตร์",OR(T85="M2",T85="K4"),W85&gt;=2,V85&lt;P85),EDATE(V85,12*2),AND(AH85="K5-LAW",AG85="นิติศาสตร์",T85="S1",W85&gt;=1,V85&lt;P85),EDATE(V85,12),AND(AH85="K5-LAW",AG85="นิติศาสตร์",OR(T85="S2",T85="K5")),V85,AND(AH85="K5-LAW",AG85="นิติศาสตร์",OR(K85="M2",K85="K4"),Q85&gt;=2),EDATE(P85,12*2),AND(AH85="K5-LAW",AG85="นิติศาสตร์",K85="S1",Q85&gt;=1),EDATE(P85,12),AND(AH85="K5-LAW",AG85="นิติศาสตร์",OR(K85="S2",K85="K5")),P85,AND(AH85="K5-POLICY",AG85&lt;&gt;"นิติศาสตร์",K85="S2",T85="",Z85=""),P85,AND(AH85="K5-POLICY",AG85&lt;&gt;"นิติศาสตร์",K85="S1",T85="",Z85=""),EDATE(P85,12),AND(AH85="K5-POLICY",AG85&lt;&gt;"นิติศาสตร์",OR(K85="M2",K85="K4"),T85="",Z85=""),EDATE(P85,12*2),AND(AH85="K5-POLICY",AG85&lt;&gt;"นิติศาสตร์",OR(Z85="M2",Z85="K4"),AC85&gt;=2,OR(AB85&lt;V85,AB85&lt;P85)),EDATE(AB85,12*2),AND(AH85="K5-POLICY",AG85&lt;&gt;"นิติศาสตร์",Z85="S1",AC85&gt;=1,OR(AB85&lt;V85,AB85&lt;P85)),EDATE(AB85,12),AND(AH85="K5-POLICY",AG85&lt;&gt;"นิติศาสตร์",OR(T85="M2",T85="K4"),W85&gt;=2,V85&lt;P85),EDATE(V85,12*2),AND(AH85="K5-POLICY",AG85&lt;&gt;"นิติศาสตร์",T85="S1",W85&gt;=1,V85&lt;P85),EDATE(V85,12),AND(AH85="K5-POLICY",AG85&lt;&gt;"นิติศาสตร์",OR(T85="S2",T85="K5")),V85,AND(AH85="K5-POLICY",AG85&lt;&gt;"นิติศาสตร์",OR(K85="M2",K85="K4"),Q85&gt;=2),EDATE(P85,12*2),AND(AH85="K5-POLICY",AG85&lt;&gt;"นิติศาสตร์",K85="S1",Q85&gt;=1),EDATE(P85,12),AND(AH85="K5-POLICY",AG85&lt;&gt;"นิติศาสตร์",OR(K85="S2",K85="K5")),P85,TRUE,"Check Data")</f>
        <v/>
      </c>
      <c r="AJ85" s="75" t="str">
        <f t="shared" si="29"/>
        <v>Check Data</v>
      </c>
      <c r="AK85" s="76" t="str">
        <f t="shared" si="30"/>
        <v>Check Data</v>
      </c>
      <c r="AL85" s="50" t="str">
        <f t="shared" si="31"/>
        <v>Check Data</v>
      </c>
      <c r="AM85" s="49" t="str">
        <f>IF(B85="","",IF(K85="S1","S1",INDEX(#REF!,#REF!)))</f>
        <v/>
      </c>
      <c r="AN85" s="49" t="str">
        <f>K85</f>
        <v>M2</v>
      </c>
      <c r="AO85" s="50" t="b">
        <f>K85=AM85</f>
        <v>0</v>
      </c>
      <c r="AP85" s="50"/>
    </row>
    <row r="86" spans="1:42" ht="21.75">
      <c r="A86" s="49">
        <v>84</v>
      </c>
      <c r="B86" s="50"/>
      <c r="C86" s="50"/>
      <c r="D86" s="50" t="s">
        <v>143</v>
      </c>
      <c r="E86" s="49" t="s">
        <v>327</v>
      </c>
      <c r="F86" s="49" t="str">
        <f t="shared" si="16"/>
        <v>21/06/1988</v>
      </c>
      <c r="G86" s="50">
        <f t="shared" si="17"/>
        <v>36</v>
      </c>
      <c r="H86" s="50">
        <f t="shared" si="18"/>
        <v>11</v>
      </c>
      <c r="I86" s="50">
        <f t="shared" si="19"/>
        <v>30</v>
      </c>
      <c r="J86" s="58"/>
      <c r="K86" s="49" t="s">
        <v>136</v>
      </c>
      <c r="L86" s="64"/>
      <c r="M86" s="49" t="s">
        <v>427</v>
      </c>
      <c r="N86" s="49">
        <v>2570</v>
      </c>
      <c r="O86" s="65" t="s">
        <v>287</v>
      </c>
      <c r="P86" s="49" t="str">
        <f t="shared" si="20"/>
        <v>29/10/2020</v>
      </c>
      <c r="Q86" s="68">
        <f t="shared" si="21"/>
        <v>4</v>
      </c>
      <c r="R86" s="68">
        <f t="shared" si="22"/>
        <v>7</v>
      </c>
      <c r="S86" s="68">
        <f t="shared" si="23"/>
        <v>22</v>
      </c>
      <c r="T86" s="65"/>
      <c r="U86" s="65"/>
      <c r="V86" s="49" t="str">
        <f t="shared" si="24"/>
        <v/>
      </c>
      <c r="W86" s="68">
        <f>IF(V86="",0,DATEDIF(V86,P86,"Y"))</f>
        <v>0</v>
      </c>
      <c r="X86" s="68">
        <f>IF(V86="",0,DATEDIF(V86,P86,"YM"))</f>
        <v>0</v>
      </c>
      <c r="Y86" s="68">
        <f>IF(V86="",0,DATEDIF(V86,P86,"MD"))</f>
        <v>0</v>
      </c>
      <c r="Z86" s="49"/>
      <c r="AA86" s="65"/>
      <c r="AB86" s="50" t="str">
        <f t="shared" si="25"/>
        <v/>
      </c>
      <c r="AC86" s="68">
        <f t="shared" si="26"/>
        <v>0</v>
      </c>
      <c r="AD86" s="68">
        <f t="shared" si="27"/>
        <v>0</v>
      </c>
      <c r="AE86" s="68">
        <f t="shared" si="28"/>
        <v>0</v>
      </c>
      <c r="AF86" s="50"/>
      <c r="AG86" s="50" t="s">
        <v>178</v>
      </c>
      <c r="AH86" s="49" t="str">
        <f>IF(AG86="นิติศาสตร์","K5-LAW","K5-POLICY")</f>
        <v>K5-POLICY</v>
      </c>
      <c r="AI86" s="72" t="str">
        <f>_xlfn.IFS(B86="","",AND(AH86="K5-LAW",AG86="นิติศาสตร์",K86="S2",T86="",Z86=""),P86,AND(AH86="K5-LAW",AG86="นิติศาสตร์",K86="S1",T86="",Z86=""),EDATE(P86,12),AND(AH86="K5-LAW",AG86="นิติศาสตร์",OR(K86="M2",K86="K4"),T86="",Z86=""),EDATE(P86,12*2),AND(AH86="K5-LAW",AG86="นิติศาสตร์",OR(Z86="M2",Z86="K4"),AC86&gt;=2,OR(AB86&lt;V86,AB86&lt;P86)),EDATE(AB86,12*2),AND(AH86="K5-LAW",AG86="นิติศาสตร์",Z86="S1",AC86&gt;=1,OR(AB86&lt;V86,AB86&lt;P86)),EDATE(AB86,12),AND(AH86="K5-LAW",AG86="นิติศาสตร์",OR(T86="M2",T86="K4"),W86&gt;=2,V86&lt;P86),EDATE(V86,12*2),AND(AH86="K5-LAW",AG86="นิติศาสตร์",T86="S1",W86&gt;=1,V86&lt;P86),EDATE(V86,12),AND(AH86="K5-LAW",AG86="นิติศาสตร์",OR(T86="S2",T86="K5")),V86,AND(AH86="K5-LAW",AG86="นิติศาสตร์",OR(K86="M2",K86="K4"),Q86&gt;=2),EDATE(P86,12*2),AND(AH86="K5-LAW",AG86="นิติศาสตร์",K86="S1",Q86&gt;=1),EDATE(P86,12),AND(AH86="K5-LAW",AG86="นิติศาสตร์",OR(K86="S2",K86="K5")),P86,AND(AH86="K5-POLICY",AG86&lt;&gt;"นิติศาสตร์",K86="S2",T86="",Z86=""),P86,AND(AH86="K5-POLICY",AG86&lt;&gt;"นิติศาสตร์",K86="S1",T86="",Z86=""),EDATE(P86,12),AND(AH86="K5-POLICY",AG86&lt;&gt;"นิติศาสตร์",OR(K86="M2",K86="K4"),T86="",Z86=""),EDATE(P86,12*2),AND(AH86="K5-POLICY",AG86&lt;&gt;"นิติศาสตร์",OR(Z86="M2",Z86="K4"),AC86&gt;=2,OR(AB86&lt;V86,AB86&lt;P86)),EDATE(AB86,12*2),AND(AH86="K5-POLICY",AG86&lt;&gt;"นิติศาสตร์",Z86="S1",AC86&gt;=1,OR(AB86&lt;V86,AB86&lt;P86)),EDATE(AB86,12),AND(AH86="K5-POLICY",AG86&lt;&gt;"นิติศาสตร์",OR(T86="M2",T86="K4"),W86&gt;=2,V86&lt;P86),EDATE(V86,12*2),AND(AH86="K5-POLICY",AG86&lt;&gt;"นิติศาสตร์",T86="S1",W86&gt;=1,V86&lt;P86),EDATE(V86,12),AND(AH86="K5-POLICY",AG86&lt;&gt;"นิติศาสตร์",OR(T86="S2",T86="K5")),V86,AND(AH86="K5-POLICY",AG86&lt;&gt;"นิติศาสตร์",OR(K86="M2",K86="K4"),Q86&gt;=2),EDATE(P86,12*2),AND(AH86="K5-POLICY",AG86&lt;&gt;"นิติศาสตร์",K86="S1",Q86&gt;=1),EDATE(P86,12),AND(AH86="K5-POLICY",AG86&lt;&gt;"นิติศาสตร์",OR(K86="S2",K86="K5")),P86,TRUE,"Check Data")</f>
        <v/>
      </c>
      <c r="AJ86" s="75" t="str">
        <f t="shared" si="29"/>
        <v>Check Data</v>
      </c>
      <c r="AK86" s="76" t="str">
        <f t="shared" si="30"/>
        <v>Check Data</v>
      </c>
      <c r="AL86" s="50" t="str">
        <f t="shared" si="31"/>
        <v>Check Data</v>
      </c>
      <c r="AM86" s="49" t="str">
        <f>IF(B86="","",IF(K86="S1","S1",INDEX(#REF!,#REF!)))</f>
        <v/>
      </c>
      <c r="AN86" s="49" t="str">
        <f>K86</f>
        <v>M2</v>
      </c>
      <c r="AO86" s="50" t="b">
        <f>K86=AM86</f>
        <v>0</v>
      </c>
      <c r="AP86" s="50"/>
    </row>
    <row r="87" spans="1:42" ht="21.75">
      <c r="A87" s="49">
        <v>85</v>
      </c>
      <c r="B87" s="50"/>
      <c r="C87" s="50"/>
      <c r="D87" s="50" t="s">
        <v>143</v>
      </c>
      <c r="E87" s="49" t="s">
        <v>347</v>
      </c>
      <c r="F87" s="49" t="str">
        <f t="shared" si="16"/>
        <v>16/11/1992</v>
      </c>
      <c r="G87" s="50">
        <f t="shared" si="17"/>
        <v>32</v>
      </c>
      <c r="H87" s="50">
        <f t="shared" si="18"/>
        <v>7</v>
      </c>
      <c r="I87" s="50">
        <f t="shared" si="19"/>
        <v>4</v>
      </c>
      <c r="J87" s="59"/>
      <c r="K87" s="49" t="s">
        <v>136</v>
      </c>
      <c r="L87" s="64"/>
      <c r="M87" s="49" t="s">
        <v>427</v>
      </c>
      <c r="N87" s="49">
        <v>2568</v>
      </c>
      <c r="O87" s="65" t="s">
        <v>287</v>
      </c>
      <c r="P87" s="49" t="str">
        <f t="shared" si="20"/>
        <v>29/10/2020</v>
      </c>
      <c r="Q87" s="68">
        <f t="shared" si="21"/>
        <v>4</v>
      </c>
      <c r="R87" s="68">
        <f t="shared" si="22"/>
        <v>7</v>
      </c>
      <c r="S87" s="68">
        <f t="shared" si="23"/>
        <v>22</v>
      </c>
      <c r="T87" s="65"/>
      <c r="U87" s="65"/>
      <c r="V87" s="49" t="str">
        <f t="shared" si="24"/>
        <v/>
      </c>
      <c r="W87" s="68">
        <f>IF(V87="",0,DATEDIF(V87,P87,"Y"))</f>
        <v>0</v>
      </c>
      <c r="X87" s="68">
        <f>IF(V87="",0,DATEDIF(V87,P87,"YM"))</f>
        <v>0</v>
      </c>
      <c r="Y87" s="68">
        <f>IF(V87="",0,DATEDIF(V87,P87,"MD"))</f>
        <v>0</v>
      </c>
      <c r="Z87" s="49"/>
      <c r="AA87" s="65"/>
      <c r="AB87" s="50" t="str">
        <f t="shared" si="25"/>
        <v/>
      </c>
      <c r="AC87" s="68">
        <f t="shared" si="26"/>
        <v>0</v>
      </c>
      <c r="AD87" s="68">
        <f t="shared" si="27"/>
        <v>0</v>
      </c>
      <c r="AE87" s="68">
        <f t="shared" si="28"/>
        <v>0</v>
      </c>
      <c r="AF87" s="50"/>
      <c r="AG87" s="50" t="s">
        <v>514</v>
      </c>
      <c r="AH87" s="49" t="str">
        <f>IF(AG87="นิติศาสตร์","K5-LAW","K5-POLICY")</f>
        <v>K5-POLICY</v>
      </c>
      <c r="AI87" s="72" t="str">
        <f>_xlfn.IFS(B87="","",AND(AH87="K5-LAW",AG87="นิติศาสตร์",K87="S2",T87="",Z87=""),P87,AND(AH87="K5-LAW",AG87="นิติศาสตร์",K87="S1",T87="",Z87=""),EDATE(P87,12),AND(AH87="K5-LAW",AG87="นิติศาสตร์",OR(K87="M2",K87="K4"),T87="",Z87=""),EDATE(P87,12*2),AND(AH87="K5-LAW",AG87="นิติศาสตร์",OR(Z87="M2",Z87="K4"),AC87&gt;=2,OR(AB87&lt;V87,AB87&lt;P87)),EDATE(AB87,12*2),AND(AH87="K5-LAW",AG87="นิติศาสตร์",Z87="S1",AC87&gt;=1,OR(AB87&lt;V87,AB87&lt;P87)),EDATE(AB87,12),AND(AH87="K5-LAW",AG87="นิติศาสตร์",OR(T87="M2",T87="K4"),W87&gt;=2,V87&lt;P87),EDATE(V87,12*2),AND(AH87="K5-LAW",AG87="นิติศาสตร์",T87="S1",W87&gt;=1,V87&lt;P87),EDATE(V87,12),AND(AH87="K5-LAW",AG87="นิติศาสตร์",OR(T87="S2",T87="K5")),V87,AND(AH87="K5-LAW",AG87="นิติศาสตร์",OR(K87="M2",K87="K4"),Q87&gt;=2),EDATE(P87,12*2),AND(AH87="K5-LAW",AG87="นิติศาสตร์",K87="S1",Q87&gt;=1),EDATE(P87,12),AND(AH87="K5-LAW",AG87="นิติศาสตร์",OR(K87="S2",K87="K5")),P87,AND(AH87="K5-POLICY",AG87&lt;&gt;"นิติศาสตร์",K87="S2",T87="",Z87=""),P87,AND(AH87="K5-POLICY",AG87&lt;&gt;"นิติศาสตร์",K87="S1",T87="",Z87=""),EDATE(P87,12),AND(AH87="K5-POLICY",AG87&lt;&gt;"นิติศาสตร์",OR(K87="M2",K87="K4"),T87="",Z87=""),EDATE(P87,12*2),AND(AH87="K5-POLICY",AG87&lt;&gt;"นิติศาสตร์",OR(Z87="M2",Z87="K4"),AC87&gt;=2,OR(AB87&lt;V87,AB87&lt;P87)),EDATE(AB87,12*2),AND(AH87="K5-POLICY",AG87&lt;&gt;"นิติศาสตร์",Z87="S1",AC87&gt;=1,OR(AB87&lt;V87,AB87&lt;P87)),EDATE(AB87,12),AND(AH87="K5-POLICY",AG87&lt;&gt;"นิติศาสตร์",OR(T87="M2",T87="K4"),W87&gt;=2,V87&lt;P87),EDATE(V87,12*2),AND(AH87="K5-POLICY",AG87&lt;&gt;"นิติศาสตร์",T87="S1",W87&gt;=1,V87&lt;P87),EDATE(V87,12),AND(AH87="K5-POLICY",AG87&lt;&gt;"นิติศาสตร์",OR(T87="S2",T87="K5")),V87,AND(AH87="K5-POLICY",AG87&lt;&gt;"นิติศาสตร์",OR(K87="M2",K87="K4"),Q87&gt;=2),EDATE(P87,12*2),AND(AH87="K5-POLICY",AG87&lt;&gt;"นิติศาสตร์",K87="S1",Q87&gt;=1),EDATE(P87,12),AND(AH87="K5-POLICY",AG87&lt;&gt;"นิติศาสตร์",OR(K87="S2",K87="K5")),P87,TRUE,"Check Data")</f>
        <v/>
      </c>
      <c r="AJ87" s="75" t="str">
        <f t="shared" si="29"/>
        <v>Check Data</v>
      </c>
      <c r="AK87" s="76" t="str">
        <f t="shared" si="30"/>
        <v>Check Data</v>
      </c>
      <c r="AL87" s="50" t="str">
        <f t="shared" si="31"/>
        <v>Check Data</v>
      </c>
      <c r="AM87" s="49" t="str">
        <f>IF(B87="","",IF(K87="S1","S1",INDEX(#REF!,#REF!)))</f>
        <v/>
      </c>
      <c r="AN87" s="49" t="str">
        <f>K87</f>
        <v>M2</v>
      </c>
      <c r="AO87" s="50" t="b">
        <f>K87=AM87</f>
        <v>0</v>
      </c>
      <c r="AP87" s="50"/>
    </row>
    <row r="88" spans="1:42" ht="21.75">
      <c r="A88" s="49">
        <v>86</v>
      </c>
      <c r="B88" s="50"/>
      <c r="C88" s="50"/>
      <c r="D88" s="50" t="s">
        <v>143</v>
      </c>
      <c r="E88" s="49" t="s">
        <v>327</v>
      </c>
      <c r="F88" s="49" t="str">
        <f t="shared" si="16"/>
        <v>21/06/1988</v>
      </c>
      <c r="G88" s="50">
        <f t="shared" si="17"/>
        <v>36</v>
      </c>
      <c r="H88" s="50">
        <f t="shared" si="18"/>
        <v>11</v>
      </c>
      <c r="I88" s="50">
        <f t="shared" si="19"/>
        <v>30</v>
      </c>
      <c r="J88" s="59"/>
      <c r="K88" s="49" t="s">
        <v>136</v>
      </c>
      <c r="L88" s="64"/>
      <c r="M88" s="49" t="s">
        <v>427</v>
      </c>
      <c r="N88" s="49">
        <v>2569</v>
      </c>
      <c r="O88" s="65" t="s">
        <v>287</v>
      </c>
      <c r="P88" s="49" t="str">
        <f t="shared" si="20"/>
        <v>29/10/2020</v>
      </c>
      <c r="Q88" s="68">
        <f t="shared" si="21"/>
        <v>4</v>
      </c>
      <c r="R88" s="68">
        <f t="shared" si="22"/>
        <v>7</v>
      </c>
      <c r="S88" s="68">
        <f t="shared" si="23"/>
        <v>22</v>
      </c>
      <c r="T88" s="65"/>
      <c r="U88" s="65"/>
      <c r="V88" s="49" t="str">
        <f t="shared" si="24"/>
        <v/>
      </c>
      <c r="W88" s="68">
        <f>IF(V88="",0,DATEDIF(V88,P88,"Y"))</f>
        <v>0</v>
      </c>
      <c r="X88" s="68">
        <f>IF(V88="",0,DATEDIF(V88,P88,"YM"))</f>
        <v>0</v>
      </c>
      <c r="Y88" s="68">
        <f>IF(V88="",0,DATEDIF(V88,P88,"MD"))</f>
        <v>0</v>
      </c>
      <c r="Z88" s="49"/>
      <c r="AA88" s="65"/>
      <c r="AB88" s="50" t="str">
        <f t="shared" si="25"/>
        <v/>
      </c>
      <c r="AC88" s="68">
        <f t="shared" si="26"/>
        <v>0</v>
      </c>
      <c r="AD88" s="68">
        <f t="shared" si="27"/>
        <v>0</v>
      </c>
      <c r="AE88" s="68">
        <f t="shared" si="28"/>
        <v>0</v>
      </c>
      <c r="AF88" s="50"/>
      <c r="AG88" s="50" t="s">
        <v>513</v>
      </c>
      <c r="AH88" s="49" t="str">
        <f>IF(AG88="นิติศาสตร์","K5-LAW","K5-POLICY")</f>
        <v>K5-POLICY</v>
      </c>
      <c r="AI88" s="72" t="str">
        <f>_xlfn.IFS(B88="","",AND(AH88="K5-LAW",AG88="นิติศาสตร์",K88="S2",T88="",Z88=""),P88,AND(AH88="K5-LAW",AG88="นิติศาสตร์",K88="S1",T88="",Z88=""),EDATE(P88,12),AND(AH88="K5-LAW",AG88="นิติศาสตร์",OR(K88="M2",K88="K4"),T88="",Z88=""),EDATE(P88,12*2),AND(AH88="K5-LAW",AG88="นิติศาสตร์",OR(Z88="M2",Z88="K4"),AC88&gt;=2,OR(AB88&lt;V88,AB88&lt;P88)),EDATE(AB88,12*2),AND(AH88="K5-LAW",AG88="นิติศาสตร์",Z88="S1",AC88&gt;=1,OR(AB88&lt;V88,AB88&lt;P88)),EDATE(AB88,12),AND(AH88="K5-LAW",AG88="นิติศาสตร์",OR(T88="M2",T88="K4"),W88&gt;=2,V88&lt;P88),EDATE(V88,12*2),AND(AH88="K5-LAW",AG88="นิติศาสตร์",T88="S1",W88&gt;=1,V88&lt;P88),EDATE(V88,12),AND(AH88="K5-LAW",AG88="นิติศาสตร์",OR(T88="S2",T88="K5")),V88,AND(AH88="K5-LAW",AG88="นิติศาสตร์",OR(K88="M2",K88="K4"),Q88&gt;=2),EDATE(P88,12*2),AND(AH88="K5-LAW",AG88="นิติศาสตร์",K88="S1",Q88&gt;=1),EDATE(P88,12),AND(AH88="K5-LAW",AG88="นิติศาสตร์",OR(K88="S2",K88="K5")),P88,AND(AH88="K5-POLICY",AG88&lt;&gt;"นิติศาสตร์",K88="S2",T88="",Z88=""),P88,AND(AH88="K5-POLICY",AG88&lt;&gt;"นิติศาสตร์",K88="S1",T88="",Z88=""),EDATE(P88,12),AND(AH88="K5-POLICY",AG88&lt;&gt;"นิติศาสตร์",OR(K88="M2",K88="K4"),T88="",Z88=""),EDATE(P88,12*2),AND(AH88="K5-POLICY",AG88&lt;&gt;"นิติศาสตร์",OR(Z88="M2",Z88="K4"),AC88&gt;=2,OR(AB88&lt;V88,AB88&lt;P88)),EDATE(AB88,12*2),AND(AH88="K5-POLICY",AG88&lt;&gt;"นิติศาสตร์",Z88="S1",AC88&gt;=1,OR(AB88&lt;V88,AB88&lt;P88)),EDATE(AB88,12),AND(AH88="K5-POLICY",AG88&lt;&gt;"นิติศาสตร์",OR(T88="M2",T88="K4"),W88&gt;=2,V88&lt;P88),EDATE(V88,12*2),AND(AH88="K5-POLICY",AG88&lt;&gt;"นิติศาสตร์",T88="S1",W88&gt;=1,V88&lt;P88),EDATE(V88,12),AND(AH88="K5-POLICY",AG88&lt;&gt;"นิติศาสตร์",OR(T88="S2",T88="K5")),V88,AND(AH88="K5-POLICY",AG88&lt;&gt;"นิติศาสตร์",OR(K88="M2",K88="K4"),Q88&gt;=2),EDATE(P88,12*2),AND(AH88="K5-POLICY",AG88&lt;&gt;"นิติศาสตร์",K88="S1",Q88&gt;=1),EDATE(P88,12),AND(AH88="K5-POLICY",AG88&lt;&gt;"นิติศาสตร์",OR(K88="S2",K88="K5")),P88,TRUE,"Check Data")</f>
        <v/>
      </c>
      <c r="AJ88" s="75" t="str">
        <f t="shared" si="29"/>
        <v>Check Data</v>
      </c>
      <c r="AK88" s="76" t="str">
        <f t="shared" si="30"/>
        <v>Check Data</v>
      </c>
      <c r="AL88" s="50" t="str">
        <f t="shared" si="31"/>
        <v>Check Data</v>
      </c>
      <c r="AM88" s="49" t="str">
        <f>IF(B88="","",IF(K88="S1","S1",INDEX(#REF!,#REF!)))</f>
        <v/>
      </c>
      <c r="AN88" s="49" t="str">
        <f>K88</f>
        <v>M2</v>
      </c>
      <c r="AO88" s="50" t="b">
        <f>K88=AM88</f>
        <v>0</v>
      </c>
      <c r="AP88" s="50"/>
    </row>
    <row r="89" spans="1:42" ht="21.75">
      <c r="A89" s="49">
        <v>87</v>
      </c>
      <c r="B89" s="50"/>
      <c r="C89" s="50"/>
      <c r="D89" s="50" t="s">
        <v>143</v>
      </c>
      <c r="E89" s="49" t="s">
        <v>349</v>
      </c>
      <c r="F89" s="49" t="str">
        <f t="shared" si="16"/>
        <v>24/10/1991</v>
      </c>
      <c r="G89" s="50">
        <f t="shared" si="17"/>
        <v>33</v>
      </c>
      <c r="H89" s="50">
        <f t="shared" si="18"/>
        <v>7</v>
      </c>
      <c r="I89" s="50">
        <f t="shared" si="19"/>
        <v>27</v>
      </c>
      <c r="J89" s="59"/>
      <c r="K89" s="49" t="s">
        <v>136</v>
      </c>
      <c r="L89" s="64"/>
      <c r="M89" s="49" t="s">
        <v>427</v>
      </c>
      <c r="N89" s="49">
        <v>2572</v>
      </c>
      <c r="O89" s="65" t="s">
        <v>287</v>
      </c>
      <c r="P89" s="49" t="str">
        <f t="shared" si="20"/>
        <v>29/10/2020</v>
      </c>
      <c r="Q89" s="68">
        <f t="shared" si="21"/>
        <v>4</v>
      </c>
      <c r="R89" s="68">
        <f t="shared" si="22"/>
        <v>7</v>
      </c>
      <c r="S89" s="68">
        <f t="shared" si="23"/>
        <v>22</v>
      </c>
      <c r="T89" s="65"/>
      <c r="U89" s="65"/>
      <c r="V89" s="49" t="str">
        <f t="shared" si="24"/>
        <v/>
      </c>
      <c r="W89" s="68">
        <f>IF(V89="",0,DATEDIF(V89,P89,"Y"))</f>
        <v>0</v>
      </c>
      <c r="X89" s="68">
        <f>IF(V89="",0,DATEDIF(V89,P89,"YM"))</f>
        <v>0</v>
      </c>
      <c r="Y89" s="68">
        <f>IF(V89="",0,DATEDIF(V89,P89,"MD"))</f>
        <v>0</v>
      </c>
      <c r="Z89" s="49"/>
      <c r="AA89" s="65"/>
      <c r="AB89" s="50" t="str">
        <f t="shared" si="25"/>
        <v/>
      </c>
      <c r="AC89" s="68">
        <f t="shared" si="26"/>
        <v>0</v>
      </c>
      <c r="AD89" s="68">
        <f t="shared" si="27"/>
        <v>0</v>
      </c>
      <c r="AE89" s="68">
        <f t="shared" si="28"/>
        <v>0</v>
      </c>
      <c r="AF89" s="50"/>
      <c r="AG89" s="50" t="s">
        <v>178</v>
      </c>
      <c r="AH89" s="49" t="str">
        <f>IF(AG89="นิติศาสตร์","K5-LAW","K5-POLICY")</f>
        <v>K5-POLICY</v>
      </c>
      <c r="AI89" s="72" t="str">
        <f>_xlfn.IFS(B89="","",AND(AH89="K5-LAW",AG89="นิติศาสตร์",K89="S2",T89="",Z89=""),P89,AND(AH89="K5-LAW",AG89="นิติศาสตร์",K89="S1",T89="",Z89=""),EDATE(P89,12),AND(AH89="K5-LAW",AG89="นิติศาสตร์",OR(K89="M2",K89="K4"),T89="",Z89=""),EDATE(P89,12*2),AND(AH89="K5-LAW",AG89="นิติศาสตร์",OR(Z89="M2",Z89="K4"),AC89&gt;=2,OR(AB89&lt;V89,AB89&lt;P89)),EDATE(AB89,12*2),AND(AH89="K5-LAW",AG89="นิติศาสตร์",Z89="S1",AC89&gt;=1,OR(AB89&lt;V89,AB89&lt;P89)),EDATE(AB89,12),AND(AH89="K5-LAW",AG89="นิติศาสตร์",OR(T89="M2",T89="K4"),W89&gt;=2,V89&lt;P89),EDATE(V89,12*2),AND(AH89="K5-LAW",AG89="นิติศาสตร์",T89="S1",W89&gt;=1,V89&lt;P89),EDATE(V89,12),AND(AH89="K5-LAW",AG89="นิติศาสตร์",OR(T89="S2",T89="K5")),V89,AND(AH89="K5-LAW",AG89="นิติศาสตร์",OR(K89="M2",K89="K4"),Q89&gt;=2),EDATE(P89,12*2),AND(AH89="K5-LAW",AG89="นิติศาสตร์",K89="S1",Q89&gt;=1),EDATE(P89,12),AND(AH89="K5-LAW",AG89="นิติศาสตร์",OR(K89="S2",K89="K5")),P89,AND(AH89="K5-POLICY",AG89&lt;&gt;"นิติศาสตร์",K89="S2",T89="",Z89=""),P89,AND(AH89="K5-POLICY",AG89&lt;&gt;"นิติศาสตร์",K89="S1",T89="",Z89=""),EDATE(P89,12),AND(AH89="K5-POLICY",AG89&lt;&gt;"นิติศาสตร์",OR(K89="M2",K89="K4"),T89="",Z89=""),EDATE(P89,12*2),AND(AH89="K5-POLICY",AG89&lt;&gt;"นิติศาสตร์",OR(Z89="M2",Z89="K4"),AC89&gt;=2,OR(AB89&lt;V89,AB89&lt;P89)),EDATE(AB89,12*2),AND(AH89="K5-POLICY",AG89&lt;&gt;"นิติศาสตร์",Z89="S1",AC89&gt;=1,OR(AB89&lt;V89,AB89&lt;P89)),EDATE(AB89,12),AND(AH89="K5-POLICY",AG89&lt;&gt;"นิติศาสตร์",OR(T89="M2",T89="K4"),W89&gt;=2,V89&lt;P89),EDATE(V89,12*2),AND(AH89="K5-POLICY",AG89&lt;&gt;"นิติศาสตร์",T89="S1",W89&gt;=1,V89&lt;P89),EDATE(V89,12),AND(AH89="K5-POLICY",AG89&lt;&gt;"นิติศาสตร์",OR(T89="S2",T89="K5")),V89,AND(AH89="K5-POLICY",AG89&lt;&gt;"นิติศาสตร์",OR(K89="M2",K89="K4"),Q89&gt;=2),EDATE(P89,12*2),AND(AH89="K5-POLICY",AG89&lt;&gt;"นิติศาสตร์",K89="S1",Q89&gt;=1),EDATE(P89,12),AND(AH89="K5-POLICY",AG89&lt;&gt;"นิติศาสตร์",OR(K89="S2",K89="K5")),P89,TRUE,"Check Data")</f>
        <v/>
      </c>
      <c r="AJ89" s="75" t="str">
        <f t="shared" si="29"/>
        <v>Check Data</v>
      </c>
      <c r="AK89" s="76" t="str">
        <f t="shared" si="30"/>
        <v>Check Data</v>
      </c>
      <c r="AL89" s="50" t="str">
        <f t="shared" si="31"/>
        <v>Check Data</v>
      </c>
      <c r="AM89" s="49" t="str">
        <f>IF(B89="","",IF(K89="S1","S1",INDEX(#REF!,#REF!)))</f>
        <v/>
      </c>
      <c r="AN89" s="49" t="str">
        <f>K89</f>
        <v>M2</v>
      </c>
      <c r="AO89" s="50" t="b">
        <f>K89=AM89</f>
        <v>0</v>
      </c>
      <c r="AP89" s="50"/>
    </row>
    <row r="90" spans="1:42" ht="21.75">
      <c r="A90" s="49">
        <v>88</v>
      </c>
      <c r="B90" s="50"/>
      <c r="C90" s="50"/>
      <c r="D90" s="50" t="s">
        <v>143</v>
      </c>
      <c r="E90" s="49" t="s">
        <v>354</v>
      </c>
      <c r="F90" s="49" t="str">
        <f t="shared" si="16"/>
        <v>06/03/1996</v>
      </c>
      <c r="G90" s="50">
        <f t="shared" si="17"/>
        <v>29</v>
      </c>
      <c r="H90" s="50">
        <f t="shared" si="18"/>
        <v>3</v>
      </c>
      <c r="I90" s="50">
        <f t="shared" si="19"/>
        <v>14</v>
      </c>
      <c r="J90" s="59"/>
      <c r="K90" s="49" t="s">
        <v>136</v>
      </c>
      <c r="L90" s="64"/>
      <c r="M90" s="49" t="s">
        <v>427</v>
      </c>
      <c r="N90" s="49">
        <v>2573</v>
      </c>
      <c r="O90" s="65" t="s">
        <v>287</v>
      </c>
      <c r="P90" s="49" t="str">
        <f t="shared" si="20"/>
        <v>29/10/2020</v>
      </c>
      <c r="Q90" s="68">
        <f t="shared" si="21"/>
        <v>4</v>
      </c>
      <c r="R90" s="68">
        <f t="shared" si="22"/>
        <v>7</v>
      </c>
      <c r="S90" s="68">
        <f t="shared" si="23"/>
        <v>22</v>
      </c>
      <c r="T90" s="65"/>
      <c r="U90" s="65"/>
      <c r="V90" s="49" t="str">
        <f t="shared" si="24"/>
        <v/>
      </c>
      <c r="W90" s="68">
        <f>IF(V90="",0,DATEDIF(V90,P90,"Y"))</f>
        <v>0</v>
      </c>
      <c r="X90" s="68">
        <f>IF(V90="",0,DATEDIF(V90,P90,"YM"))</f>
        <v>0</v>
      </c>
      <c r="Y90" s="68">
        <f>IF(V90="",0,DATEDIF(V90,P90,"MD"))</f>
        <v>0</v>
      </c>
      <c r="Z90" s="49"/>
      <c r="AA90" s="65"/>
      <c r="AB90" s="50" t="str">
        <f t="shared" si="25"/>
        <v/>
      </c>
      <c r="AC90" s="68">
        <f t="shared" si="26"/>
        <v>0</v>
      </c>
      <c r="AD90" s="68">
        <f t="shared" si="27"/>
        <v>0</v>
      </c>
      <c r="AE90" s="68">
        <f t="shared" si="28"/>
        <v>0</v>
      </c>
      <c r="AF90" s="50"/>
      <c r="AG90" s="50" t="s">
        <v>486</v>
      </c>
      <c r="AH90" s="49" t="str">
        <f>IF(AG90="นิติศาสตร์","K5-LAW","K5-POLICY")</f>
        <v>K5-POLICY</v>
      </c>
      <c r="AI90" s="72" t="str">
        <f>_xlfn.IFS(B90="","",AND(AH90="K5-LAW",AG90="นิติศาสตร์",K90="S2",T90="",Z90=""),P90,AND(AH90="K5-LAW",AG90="นิติศาสตร์",K90="S1",T90="",Z90=""),EDATE(P90,12),AND(AH90="K5-LAW",AG90="นิติศาสตร์",OR(K90="M2",K90="K4"),T90="",Z90=""),EDATE(P90,12*2),AND(AH90="K5-LAW",AG90="นิติศาสตร์",OR(Z90="M2",Z90="K4"),AC90&gt;=2,OR(AB90&lt;V90,AB90&lt;P90)),EDATE(AB90,12*2),AND(AH90="K5-LAW",AG90="นิติศาสตร์",Z90="S1",AC90&gt;=1,OR(AB90&lt;V90,AB90&lt;P90)),EDATE(AB90,12),AND(AH90="K5-LAW",AG90="นิติศาสตร์",OR(T90="M2",T90="K4"),W90&gt;=2,V90&lt;P90),EDATE(V90,12*2),AND(AH90="K5-LAW",AG90="นิติศาสตร์",T90="S1",W90&gt;=1,V90&lt;P90),EDATE(V90,12),AND(AH90="K5-LAW",AG90="นิติศาสตร์",OR(T90="S2",T90="K5")),V90,AND(AH90="K5-LAW",AG90="นิติศาสตร์",OR(K90="M2",K90="K4"),Q90&gt;=2),EDATE(P90,12*2),AND(AH90="K5-LAW",AG90="นิติศาสตร์",K90="S1",Q90&gt;=1),EDATE(P90,12),AND(AH90="K5-LAW",AG90="นิติศาสตร์",OR(K90="S2",K90="K5")),P90,AND(AH90="K5-POLICY",AG90&lt;&gt;"นิติศาสตร์",K90="S2",T90="",Z90=""),P90,AND(AH90="K5-POLICY",AG90&lt;&gt;"นิติศาสตร์",K90="S1",T90="",Z90=""),EDATE(P90,12),AND(AH90="K5-POLICY",AG90&lt;&gt;"นิติศาสตร์",OR(K90="M2",K90="K4"),T90="",Z90=""),EDATE(P90,12*2),AND(AH90="K5-POLICY",AG90&lt;&gt;"นิติศาสตร์",OR(Z90="M2",Z90="K4"),AC90&gt;=2,OR(AB90&lt;V90,AB90&lt;P90)),EDATE(AB90,12*2),AND(AH90="K5-POLICY",AG90&lt;&gt;"นิติศาสตร์",Z90="S1",AC90&gt;=1,OR(AB90&lt;V90,AB90&lt;P90)),EDATE(AB90,12),AND(AH90="K5-POLICY",AG90&lt;&gt;"นิติศาสตร์",OR(T90="M2",T90="K4"),W90&gt;=2,V90&lt;P90),EDATE(V90,12*2),AND(AH90="K5-POLICY",AG90&lt;&gt;"นิติศาสตร์",T90="S1",W90&gt;=1,V90&lt;P90),EDATE(V90,12),AND(AH90="K5-POLICY",AG90&lt;&gt;"นิติศาสตร์",OR(T90="S2",T90="K5")),V90,AND(AH90="K5-POLICY",AG90&lt;&gt;"นิติศาสตร์",OR(K90="M2",K90="K4"),Q90&gt;=2),EDATE(P90,12*2),AND(AH90="K5-POLICY",AG90&lt;&gt;"นิติศาสตร์",K90="S1",Q90&gt;=1),EDATE(P90,12),AND(AH90="K5-POLICY",AG90&lt;&gt;"นิติศาสตร์",OR(K90="S2",K90="K5")),P90,TRUE,"Check Data")</f>
        <v/>
      </c>
      <c r="AJ90" s="75" t="str">
        <f t="shared" si="29"/>
        <v>Check Data</v>
      </c>
      <c r="AK90" s="76" t="str">
        <f t="shared" si="30"/>
        <v>Check Data</v>
      </c>
      <c r="AL90" s="50" t="str">
        <f t="shared" si="31"/>
        <v>Check Data</v>
      </c>
      <c r="AM90" s="49" t="str">
        <f>IF(B90="","",IF(K90="S1","S1",INDEX(#REF!,#REF!)))</f>
        <v/>
      </c>
      <c r="AN90" s="49" t="str">
        <f>K90</f>
        <v>M2</v>
      </c>
      <c r="AO90" s="50" t="b">
        <f>K90=AM90</f>
        <v>0</v>
      </c>
      <c r="AP90" s="50"/>
    </row>
    <row r="91" spans="1:42" ht="21.75">
      <c r="A91" s="49">
        <v>89</v>
      </c>
      <c r="B91" s="50"/>
      <c r="C91" s="50"/>
      <c r="D91" s="50" t="s">
        <v>143</v>
      </c>
      <c r="E91" s="49" t="s">
        <v>296</v>
      </c>
      <c r="F91" s="49" t="str">
        <f t="shared" si="16"/>
        <v>02/10/1995</v>
      </c>
      <c r="G91" s="50">
        <f t="shared" si="17"/>
        <v>29</v>
      </c>
      <c r="H91" s="50">
        <f t="shared" si="18"/>
        <v>8</v>
      </c>
      <c r="I91" s="50">
        <f t="shared" si="19"/>
        <v>18</v>
      </c>
      <c r="J91" s="59"/>
      <c r="K91" s="49" t="s">
        <v>136</v>
      </c>
      <c r="L91" s="64"/>
      <c r="M91" s="49" t="s">
        <v>427</v>
      </c>
      <c r="N91" s="49">
        <v>2570</v>
      </c>
      <c r="O91" s="65" t="s">
        <v>287</v>
      </c>
      <c r="P91" s="49" t="str">
        <f t="shared" si="20"/>
        <v>29/10/2020</v>
      </c>
      <c r="Q91" s="68">
        <f t="shared" si="21"/>
        <v>4</v>
      </c>
      <c r="R91" s="68">
        <f t="shared" si="22"/>
        <v>7</v>
      </c>
      <c r="S91" s="68">
        <f t="shared" si="23"/>
        <v>22</v>
      </c>
      <c r="T91" s="65"/>
      <c r="U91" s="65"/>
      <c r="V91" s="49" t="str">
        <f t="shared" si="24"/>
        <v/>
      </c>
      <c r="W91" s="68">
        <f>IF(V91="",0,DATEDIF(V91,P91,"Y"))</f>
        <v>0</v>
      </c>
      <c r="X91" s="68">
        <f>IF(V91="",0,DATEDIF(V91,P91,"YM"))</f>
        <v>0</v>
      </c>
      <c r="Y91" s="68">
        <f>IF(V91="",0,DATEDIF(V91,P91,"MD"))</f>
        <v>0</v>
      </c>
      <c r="Z91" s="49"/>
      <c r="AA91" s="65"/>
      <c r="AB91" s="50" t="str">
        <f t="shared" si="25"/>
        <v/>
      </c>
      <c r="AC91" s="68">
        <f t="shared" si="26"/>
        <v>0</v>
      </c>
      <c r="AD91" s="68">
        <f t="shared" si="27"/>
        <v>0</v>
      </c>
      <c r="AE91" s="68">
        <f t="shared" si="28"/>
        <v>0</v>
      </c>
      <c r="AF91" s="50"/>
      <c r="AG91" s="50" t="s">
        <v>515</v>
      </c>
      <c r="AH91" s="49" t="str">
        <f>IF(AG91="นิติศาสตร์","K5-LAW","K5-POLICY")</f>
        <v>K5-POLICY</v>
      </c>
      <c r="AI91" s="72" t="str">
        <f>_xlfn.IFS(B91="","",AND(AH91="K5-LAW",AG91="นิติศาสตร์",K91="S2",T91="",Z91=""),P91,AND(AH91="K5-LAW",AG91="นิติศาสตร์",K91="S1",T91="",Z91=""),EDATE(P91,12),AND(AH91="K5-LAW",AG91="นิติศาสตร์",OR(K91="M2",K91="K4"),T91="",Z91=""),EDATE(P91,12*2),AND(AH91="K5-LAW",AG91="นิติศาสตร์",OR(Z91="M2",Z91="K4"),AC91&gt;=2,OR(AB91&lt;V91,AB91&lt;P91)),EDATE(AB91,12*2),AND(AH91="K5-LAW",AG91="นิติศาสตร์",Z91="S1",AC91&gt;=1,OR(AB91&lt;V91,AB91&lt;P91)),EDATE(AB91,12),AND(AH91="K5-LAW",AG91="นิติศาสตร์",OR(T91="M2",T91="K4"),W91&gt;=2,V91&lt;P91),EDATE(V91,12*2),AND(AH91="K5-LAW",AG91="นิติศาสตร์",T91="S1",W91&gt;=1,V91&lt;P91),EDATE(V91,12),AND(AH91="K5-LAW",AG91="นิติศาสตร์",OR(T91="S2",T91="K5")),V91,AND(AH91="K5-LAW",AG91="นิติศาสตร์",OR(K91="M2",K91="K4"),Q91&gt;=2),EDATE(P91,12*2),AND(AH91="K5-LAW",AG91="นิติศาสตร์",K91="S1",Q91&gt;=1),EDATE(P91,12),AND(AH91="K5-LAW",AG91="นิติศาสตร์",OR(K91="S2",K91="K5")),P91,AND(AH91="K5-POLICY",AG91&lt;&gt;"นิติศาสตร์",K91="S2",T91="",Z91=""),P91,AND(AH91="K5-POLICY",AG91&lt;&gt;"นิติศาสตร์",K91="S1",T91="",Z91=""),EDATE(P91,12),AND(AH91="K5-POLICY",AG91&lt;&gt;"นิติศาสตร์",OR(K91="M2",K91="K4"),T91="",Z91=""),EDATE(P91,12*2),AND(AH91="K5-POLICY",AG91&lt;&gt;"นิติศาสตร์",OR(Z91="M2",Z91="K4"),AC91&gt;=2,OR(AB91&lt;V91,AB91&lt;P91)),EDATE(AB91,12*2),AND(AH91="K5-POLICY",AG91&lt;&gt;"นิติศาสตร์",Z91="S1",AC91&gt;=1,OR(AB91&lt;V91,AB91&lt;P91)),EDATE(AB91,12),AND(AH91="K5-POLICY",AG91&lt;&gt;"นิติศาสตร์",OR(T91="M2",T91="K4"),W91&gt;=2,V91&lt;P91),EDATE(V91,12*2),AND(AH91="K5-POLICY",AG91&lt;&gt;"นิติศาสตร์",T91="S1",W91&gt;=1,V91&lt;P91),EDATE(V91,12),AND(AH91="K5-POLICY",AG91&lt;&gt;"นิติศาสตร์",OR(T91="S2",T91="K5")),V91,AND(AH91="K5-POLICY",AG91&lt;&gt;"นิติศาสตร์",OR(K91="M2",K91="K4"),Q91&gt;=2),EDATE(P91,12*2),AND(AH91="K5-POLICY",AG91&lt;&gt;"นิติศาสตร์",K91="S1",Q91&gt;=1),EDATE(P91,12),AND(AH91="K5-POLICY",AG91&lt;&gt;"นิติศาสตร์",OR(K91="S2",K91="K5")),P91,TRUE,"Check Data")</f>
        <v/>
      </c>
      <c r="AJ91" s="75" t="str">
        <f t="shared" si="29"/>
        <v>Check Data</v>
      </c>
      <c r="AK91" s="76" t="str">
        <f t="shared" si="30"/>
        <v>Check Data</v>
      </c>
      <c r="AL91" s="50" t="str">
        <f t="shared" si="31"/>
        <v>Check Data</v>
      </c>
      <c r="AM91" s="49" t="str">
        <f>IF(B91="","",IF(K91="S1","S1",INDEX(#REF!,#REF!)))</f>
        <v/>
      </c>
      <c r="AN91" s="49" t="str">
        <f>K91</f>
        <v>M2</v>
      </c>
      <c r="AO91" s="50" t="b">
        <f>K91=AM91</f>
        <v>0</v>
      </c>
      <c r="AP91" s="50"/>
    </row>
    <row r="92" spans="1:42" ht="21.75">
      <c r="A92" s="49">
        <v>90</v>
      </c>
      <c r="B92" s="50"/>
      <c r="C92" s="50"/>
      <c r="D92" s="50" t="s">
        <v>143</v>
      </c>
      <c r="E92" s="49" t="s">
        <v>230</v>
      </c>
      <c r="F92" s="49" t="str">
        <f t="shared" si="16"/>
        <v>03/11/1997</v>
      </c>
      <c r="G92" s="50">
        <f t="shared" si="17"/>
        <v>27</v>
      </c>
      <c r="H92" s="50">
        <f t="shared" si="18"/>
        <v>7</v>
      </c>
      <c r="I92" s="50">
        <f t="shared" si="19"/>
        <v>17</v>
      </c>
      <c r="J92" s="59"/>
      <c r="K92" s="49" t="s">
        <v>136</v>
      </c>
      <c r="L92" s="64"/>
      <c r="M92" s="49" t="s">
        <v>427</v>
      </c>
      <c r="N92" s="49">
        <v>2576</v>
      </c>
      <c r="O92" s="65" t="s">
        <v>287</v>
      </c>
      <c r="P92" s="49" t="str">
        <f t="shared" si="20"/>
        <v>29/10/2020</v>
      </c>
      <c r="Q92" s="68">
        <f t="shared" si="21"/>
        <v>4</v>
      </c>
      <c r="R92" s="68">
        <f t="shared" si="22"/>
        <v>7</v>
      </c>
      <c r="S92" s="68">
        <f t="shared" si="23"/>
        <v>22</v>
      </c>
      <c r="T92" s="65"/>
      <c r="U92" s="65"/>
      <c r="V92" s="49" t="str">
        <f t="shared" si="24"/>
        <v/>
      </c>
      <c r="W92" s="68">
        <f>IF(V92="",0,DATEDIF(V92,P92,"Y"))</f>
        <v>0</v>
      </c>
      <c r="X92" s="68">
        <f>IF(V92="",0,DATEDIF(V92,P92,"YM"))</f>
        <v>0</v>
      </c>
      <c r="Y92" s="68">
        <f>IF(V92="",0,DATEDIF(V92,P92,"MD"))</f>
        <v>0</v>
      </c>
      <c r="Z92" s="49"/>
      <c r="AA92" s="65"/>
      <c r="AB92" s="50" t="str">
        <f t="shared" si="25"/>
        <v/>
      </c>
      <c r="AC92" s="68">
        <f t="shared" si="26"/>
        <v>0</v>
      </c>
      <c r="AD92" s="68">
        <f t="shared" si="27"/>
        <v>0</v>
      </c>
      <c r="AE92" s="68">
        <f t="shared" si="28"/>
        <v>0</v>
      </c>
      <c r="AF92" s="50"/>
      <c r="AG92" s="50" t="s">
        <v>138</v>
      </c>
      <c r="AH92" s="49" t="str">
        <f>IF(AG92="นิติศาสตร์","K5-LAW","K5-POLICY")</f>
        <v>K5-LAW</v>
      </c>
      <c r="AI92" s="72" t="str">
        <f>_xlfn.IFS(B92="","",AND(AH92="K5-LAW",AG92="นิติศาสตร์",K92="S2",T92="",Z92=""),P92,AND(AH92="K5-LAW",AG92="นิติศาสตร์",K92="S1",T92="",Z92=""),EDATE(P92,12),AND(AH92="K5-LAW",AG92="นิติศาสตร์",OR(K92="M2",K92="K4"),T92="",Z92=""),EDATE(P92,12*2),AND(AH92="K5-LAW",AG92="นิติศาสตร์",OR(Z92="M2",Z92="K4"),AC92&gt;=2,OR(AB92&lt;V92,AB92&lt;P92)),EDATE(AB92,12*2),AND(AH92="K5-LAW",AG92="นิติศาสตร์",Z92="S1",AC92&gt;=1,OR(AB92&lt;V92,AB92&lt;P92)),EDATE(AB92,12),AND(AH92="K5-LAW",AG92="นิติศาสตร์",OR(T92="M2",T92="K4"),W92&gt;=2,V92&lt;P92),EDATE(V92,12*2),AND(AH92="K5-LAW",AG92="นิติศาสตร์",T92="S1",W92&gt;=1,V92&lt;P92),EDATE(V92,12),AND(AH92="K5-LAW",AG92="นิติศาสตร์",OR(T92="S2",T92="K5")),V92,AND(AH92="K5-LAW",AG92="นิติศาสตร์",OR(K92="M2",K92="K4"),Q92&gt;=2),EDATE(P92,12*2),AND(AH92="K5-LAW",AG92="นิติศาสตร์",K92="S1",Q92&gt;=1),EDATE(P92,12),AND(AH92="K5-LAW",AG92="นิติศาสตร์",OR(K92="S2",K92="K5")),P92,AND(AH92="K5-POLICY",AG92&lt;&gt;"นิติศาสตร์",K92="S2",T92="",Z92=""),P92,AND(AH92="K5-POLICY",AG92&lt;&gt;"นิติศาสตร์",K92="S1",T92="",Z92=""),EDATE(P92,12),AND(AH92="K5-POLICY",AG92&lt;&gt;"นิติศาสตร์",OR(K92="M2",K92="K4"),T92="",Z92=""),EDATE(P92,12*2),AND(AH92="K5-POLICY",AG92&lt;&gt;"นิติศาสตร์",OR(Z92="M2",Z92="K4"),AC92&gt;=2,OR(AB92&lt;V92,AB92&lt;P92)),EDATE(AB92,12*2),AND(AH92="K5-POLICY",AG92&lt;&gt;"นิติศาสตร์",Z92="S1",AC92&gt;=1,OR(AB92&lt;V92,AB92&lt;P92)),EDATE(AB92,12),AND(AH92="K5-POLICY",AG92&lt;&gt;"นิติศาสตร์",OR(T92="M2",T92="K4"),W92&gt;=2,V92&lt;P92),EDATE(V92,12*2),AND(AH92="K5-POLICY",AG92&lt;&gt;"นิติศาสตร์",T92="S1",W92&gt;=1,V92&lt;P92),EDATE(V92,12),AND(AH92="K5-POLICY",AG92&lt;&gt;"นิติศาสตร์",OR(T92="S2",T92="K5")),V92,AND(AH92="K5-POLICY",AG92&lt;&gt;"นิติศาสตร์",OR(K92="M2",K92="K4"),Q92&gt;=2),EDATE(P92,12*2),AND(AH92="K5-POLICY",AG92&lt;&gt;"นิติศาสตร์",K92="S1",Q92&gt;=1),EDATE(P92,12),AND(AH92="K5-POLICY",AG92&lt;&gt;"นิติศาสตร์",OR(K92="S2",K92="K5")),P92,TRUE,"Check Data")</f>
        <v/>
      </c>
      <c r="AJ92" s="75" t="str">
        <f t="shared" si="29"/>
        <v>Check Data</v>
      </c>
      <c r="AK92" s="76" t="str">
        <f t="shared" si="30"/>
        <v>Check Data</v>
      </c>
      <c r="AL92" s="50" t="str">
        <f t="shared" si="31"/>
        <v>Check Data</v>
      </c>
      <c r="AM92" s="49" t="str">
        <f>IF(B92="","",IF(K92="S1","S1",INDEX(#REF!,#REF!)))</f>
        <v/>
      </c>
      <c r="AN92" s="49" t="str">
        <f>K92</f>
        <v>M2</v>
      </c>
      <c r="AO92" s="50" t="b">
        <f>K92=AM92</f>
        <v>0</v>
      </c>
      <c r="AP92" s="50"/>
    </row>
    <row r="93" spans="1:42" ht="21.75">
      <c r="A93" s="49">
        <v>91</v>
      </c>
      <c r="B93" s="50"/>
      <c r="C93" s="50"/>
      <c r="D93" s="50" t="s">
        <v>143</v>
      </c>
      <c r="E93" s="49" t="s">
        <v>334</v>
      </c>
      <c r="F93" s="49" t="str">
        <f t="shared" si="16"/>
        <v>23/08/1996</v>
      </c>
      <c r="G93" s="50">
        <f t="shared" si="17"/>
        <v>28</v>
      </c>
      <c r="H93" s="50">
        <f t="shared" si="18"/>
        <v>9</v>
      </c>
      <c r="I93" s="50">
        <f t="shared" si="19"/>
        <v>28</v>
      </c>
      <c r="J93" s="59"/>
      <c r="K93" s="49" t="s">
        <v>136</v>
      </c>
      <c r="L93" s="64"/>
      <c r="M93" s="49" t="s">
        <v>427</v>
      </c>
      <c r="N93" s="49">
        <v>2576</v>
      </c>
      <c r="O93" s="65" t="s">
        <v>287</v>
      </c>
      <c r="P93" s="49" t="str">
        <f t="shared" si="20"/>
        <v>29/10/2020</v>
      </c>
      <c r="Q93" s="68">
        <f t="shared" si="21"/>
        <v>4</v>
      </c>
      <c r="R93" s="68">
        <f t="shared" si="22"/>
        <v>7</v>
      </c>
      <c r="S93" s="68">
        <f t="shared" si="23"/>
        <v>22</v>
      </c>
      <c r="T93" s="65"/>
      <c r="U93" s="65"/>
      <c r="V93" s="49" t="str">
        <f t="shared" si="24"/>
        <v/>
      </c>
      <c r="W93" s="68">
        <f>IF(V93="",0,DATEDIF(V93,P93,"Y"))</f>
        <v>0</v>
      </c>
      <c r="X93" s="68">
        <f>IF(V93="",0,DATEDIF(V93,P93,"YM"))</f>
        <v>0</v>
      </c>
      <c r="Y93" s="68">
        <f>IF(V93="",0,DATEDIF(V93,P93,"MD"))</f>
        <v>0</v>
      </c>
      <c r="Z93" s="49"/>
      <c r="AA93" s="65"/>
      <c r="AB93" s="50" t="str">
        <f t="shared" si="25"/>
        <v/>
      </c>
      <c r="AC93" s="68">
        <f t="shared" si="26"/>
        <v>0</v>
      </c>
      <c r="AD93" s="68">
        <f t="shared" si="27"/>
        <v>0</v>
      </c>
      <c r="AE93" s="68">
        <f t="shared" si="28"/>
        <v>0</v>
      </c>
      <c r="AF93" s="50"/>
      <c r="AG93" s="50" t="s">
        <v>513</v>
      </c>
      <c r="AH93" s="49" t="str">
        <f>IF(AG93="นิติศาสตร์","K5-LAW","K5-POLICY")</f>
        <v>K5-POLICY</v>
      </c>
      <c r="AI93" s="72" t="str">
        <f>_xlfn.IFS(B93="","",AND(AH93="K5-LAW",AG93="นิติศาสตร์",K93="S2",T93="",Z93=""),P93,AND(AH93="K5-LAW",AG93="นิติศาสตร์",K93="S1",T93="",Z93=""),EDATE(P93,12),AND(AH93="K5-LAW",AG93="นิติศาสตร์",OR(K93="M2",K93="K4"),T93="",Z93=""),EDATE(P93,12*2),AND(AH93="K5-LAW",AG93="นิติศาสตร์",OR(Z93="M2",Z93="K4"),AC93&gt;=2,OR(AB93&lt;V93,AB93&lt;P93)),EDATE(AB93,12*2),AND(AH93="K5-LAW",AG93="นิติศาสตร์",Z93="S1",AC93&gt;=1,OR(AB93&lt;V93,AB93&lt;P93)),EDATE(AB93,12),AND(AH93="K5-LAW",AG93="นิติศาสตร์",OR(T93="M2",T93="K4"),W93&gt;=2,V93&lt;P93),EDATE(V93,12*2),AND(AH93="K5-LAW",AG93="นิติศาสตร์",T93="S1",W93&gt;=1,V93&lt;P93),EDATE(V93,12),AND(AH93="K5-LAW",AG93="นิติศาสตร์",OR(T93="S2",T93="K5")),V93,AND(AH93="K5-LAW",AG93="นิติศาสตร์",OR(K93="M2",K93="K4"),Q93&gt;=2),EDATE(P93,12*2),AND(AH93="K5-LAW",AG93="นิติศาสตร์",K93="S1",Q93&gt;=1),EDATE(P93,12),AND(AH93="K5-LAW",AG93="นิติศาสตร์",OR(K93="S2",K93="K5")),P93,AND(AH93="K5-POLICY",AG93&lt;&gt;"นิติศาสตร์",K93="S2",T93="",Z93=""),P93,AND(AH93="K5-POLICY",AG93&lt;&gt;"นิติศาสตร์",K93="S1",T93="",Z93=""),EDATE(P93,12),AND(AH93="K5-POLICY",AG93&lt;&gt;"นิติศาสตร์",OR(K93="M2",K93="K4"),T93="",Z93=""),EDATE(P93,12*2),AND(AH93="K5-POLICY",AG93&lt;&gt;"นิติศาสตร์",OR(Z93="M2",Z93="K4"),AC93&gt;=2,OR(AB93&lt;V93,AB93&lt;P93)),EDATE(AB93,12*2),AND(AH93="K5-POLICY",AG93&lt;&gt;"นิติศาสตร์",Z93="S1",AC93&gt;=1,OR(AB93&lt;V93,AB93&lt;P93)),EDATE(AB93,12),AND(AH93="K5-POLICY",AG93&lt;&gt;"นิติศาสตร์",OR(T93="M2",T93="K4"),W93&gt;=2,V93&lt;P93),EDATE(V93,12*2),AND(AH93="K5-POLICY",AG93&lt;&gt;"นิติศาสตร์",T93="S1",W93&gt;=1,V93&lt;P93),EDATE(V93,12),AND(AH93="K5-POLICY",AG93&lt;&gt;"นิติศาสตร์",OR(T93="S2",T93="K5")),V93,AND(AH93="K5-POLICY",AG93&lt;&gt;"นิติศาสตร์",OR(K93="M2",K93="K4"),Q93&gt;=2),EDATE(P93,12*2),AND(AH93="K5-POLICY",AG93&lt;&gt;"นิติศาสตร์",K93="S1",Q93&gt;=1),EDATE(P93,12),AND(AH93="K5-POLICY",AG93&lt;&gt;"นิติศาสตร์",OR(K93="S2",K93="K5")),P93,TRUE,"Check Data")</f>
        <v/>
      </c>
      <c r="AJ93" s="75" t="str">
        <f t="shared" si="29"/>
        <v>Check Data</v>
      </c>
      <c r="AK93" s="76" t="str">
        <f t="shared" si="30"/>
        <v>Check Data</v>
      </c>
      <c r="AL93" s="50" t="str">
        <f t="shared" si="31"/>
        <v>Check Data</v>
      </c>
      <c r="AM93" s="49" t="str">
        <f>IF(B93="","",IF(K93="S1","S1",INDEX(#REF!,#REF!)))</f>
        <v/>
      </c>
      <c r="AN93" s="49" t="str">
        <f>K93</f>
        <v>M2</v>
      </c>
      <c r="AO93" s="50" t="b">
        <f>K93=AM93</f>
        <v>0</v>
      </c>
      <c r="AP93" s="50"/>
    </row>
    <row r="94" spans="1:42" ht="21.75">
      <c r="A94" s="49">
        <v>92</v>
      </c>
      <c r="B94" s="50"/>
      <c r="C94" s="50"/>
      <c r="D94" s="50" t="s">
        <v>143</v>
      </c>
      <c r="E94" s="49" t="s">
        <v>302</v>
      </c>
      <c r="F94" s="49" t="str">
        <f t="shared" si="16"/>
        <v>27/12/1989</v>
      </c>
      <c r="G94" s="50">
        <f t="shared" si="17"/>
        <v>35</v>
      </c>
      <c r="H94" s="50">
        <f t="shared" si="18"/>
        <v>5</v>
      </c>
      <c r="I94" s="50">
        <f t="shared" si="19"/>
        <v>24</v>
      </c>
      <c r="J94" s="59"/>
      <c r="K94" s="49" t="s">
        <v>136</v>
      </c>
      <c r="L94" s="64"/>
      <c r="M94" s="49" t="s">
        <v>427</v>
      </c>
      <c r="N94" s="49">
        <v>2571</v>
      </c>
      <c r="O94" s="65" t="s">
        <v>287</v>
      </c>
      <c r="P94" s="49" t="str">
        <f t="shared" si="20"/>
        <v>29/10/2020</v>
      </c>
      <c r="Q94" s="68">
        <f t="shared" si="21"/>
        <v>4</v>
      </c>
      <c r="R94" s="68">
        <f t="shared" si="22"/>
        <v>7</v>
      </c>
      <c r="S94" s="68">
        <f t="shared" si="23"/>
        <v>22</v>
      </c>
      <c r="T94" s="65"/>
      <c r="U94" s="65"/>
      <c r="V94" s="49" t="str">
        <f t="shared" si="24"/>
        <v/>
      </c>
      <c r="W94" s="68">
        <f>IF(V94="",0,DATEDIF(V94,P94,"Y"))</f>
        <v>0</v>
      </c>
      <c r="X94" s="68">
        <f>IF(V94="",0,DATEDIF(V94,P94,"YM"))</f>
        <v>0</v>
      </c>
      <c r="Y94" s="68">
        <f>IF(V94="",0,DATEDIF(V94,P94,"MD"))</f>
        <v>0</v>
      </c>
      <c r="Z94" s="49"/>
      <c r="AA94" s="65"/>
      <c r="AB94" s="50" t="str">
        <f t="shared" si="25"/>
        <v/>
      </c>
      <c r="AC94" s="68">
        <f t="shared" si="26"/>
        <v>0</v>
      </c>
      <c r="AD94" s="68">
        <f t="shared" si="27"/>
        <v>0</v>
      </c>
      <c r="AE94" s="68">
        <f t="shared" si="28"/>
        <v>0</v>
      </c>
      <c r="AF94" s="50"/>
      <c r="AG94" s="50" t="s">
        <v>167</v>
      </c>
      <c r="AH94" s="49" t="str">
        <f>IF(AG94="นิติศาสตร์","K5-LAW","K5-POLICY")</f>
        <v>K5-POLICY</v>
      </c>
      <c r="AI94" s="72" t="str">
        <f>_xlfn.IFS(B94="","",AND(AH94="K5-LAW",AG94="นิติศาสตร์",K94="S2",T94="",Z94=""),P94,AND(AH94="K5-LAW",AG94="นิติศาสตร์",K94="S1",T94="",Z94=""),EDATE(P94,12),AND(AH94="K5-LAW",AG94="นิติศาสตร์",OR(K94="M2",K94="K4"),T94="",Z94=""),EDATE(P94,12*2),AND(AH94="K5-LAW",AG94="นิติศาสตร์",OR(Z94="M2",Z94="K4"),AC94&gt;=2,OR(AB94&lt;V94,AB94&lt;P94)),EDATE(AB94,12*2),AND(AH94="K5-LAW",AG94="นิติศาสตร์",Z94="S1",AC94&gt;=1,OR(AB94&lt;V94,AB94&lt;P94)),EDATE(AB94,12),AND(AH94="K5-LAW",AG94="นิติศาสตร์",OR(T94="M2",T94="K4"),W94&gt;=2,V94&lt;P94),EDATE(V94,12*2),AND(AH94="K5-LAW",AG94="นิติศาสตร์",T94="S1",W94&gt;=1,V94&lt;P94),EDATE(V94,12),AND(AH94="K5-LAW",AG94="นิติศาสตร์",OR(T94="S2",T94="K5")),V94,AND(AH94="K5-LAW",AG94="นิติศาสตร์",OR(K94="M2",K94="K4"),Q94&gt;=2),EDATE(P94,12*2),AND(AH94="K5-LAW",AG94="นิติศาสตร์",K94="S1",Q94&gt;=1),EDATE(P94,12),AND(AH94="K5-LAW",AG94="นิติศาสตร์",OR(K94="S2",K94="K5")),P94,AND(AH94="K5-POLICY",AG94&lt;&gt;"นิติศาสตร์",K94="S2",T94="",Z94=""),P94,AND(AH94="K5-POLICY",AG94&lt;&gt;"นิติศาสตร์",K94="S1",T94="",Z94=""),EDATE(P94,12),AND(AH94="K5-POLICY",AG94&lt;&gt;"นิติศาสตร์",OR(K94="M2",K94="K4"),T94="",Z94=""),EDATE(P94,12*2),AND(AH94="K5-POLICY",AG94&lt;&gt;"นิติศาสตร์",OR(Z94="M2",Z94="K4"),AC94&gt;=2,OR(AB94&lt;V94,AB94&lt;P94)),EDATE(AB94,12*2),AND(AH94="K5-POLICY",AG94&lt;&gt;"นิติศาสตร์",Z94="S1",AC94&gt;=1,OR(AB94&lt;V94,AB94&lt;P94)),EDATE(AB94,12),AND(AH94="K5-POLICY",AG94&lt;&gt;"นิติศาสตร์",OR(T94="M2",T94="K4"),W94&gt;=2,V94&lt;P94),EDATE(V94,12*2),AND(AH94="K5-POLICY",AG94&lt;&gt;"นิติศาสตร์",T94="S1",W94&gt;=1,V94&lt;P94),EDATE(V94,12),AND(AH94="K5-POLICY",AG94&lt;&gt;"นิติศาสตร์",OR(T94="S2",T94="K5")),V94,AND(AH94="K5-POLICY",AG94&lt;&gt;"นิติศาสตร์",OR(K94="M2",K94="K4"),Q94&gt;=2),EDATE(P94,12*2),AND(AH94="K5-POLICY",AG94&lt;&gt;"นิติศาสตร์",K94="S1",Q94&gt;=1),EDATE(P94,12),AND(AH94="K5-POLICY",AG94&lt;&gt;"นิติศาสตร์",OR(K94="S2",K94="K5")),P94,TRUE,"Check Data")</f>
        <v/>
      </c>
      <c r="AJ94" s="75" t="str">
        <f t="shared" si="29"/>
        <v>Check Data</v>
      </c>
      <c r="AK94" s="76" t="str">
        <f t="shared" si="30"/>
        <v>Check Data</v>
      </c>
      <c r="AL94" s="50" t="str">
        <f t="shared" si="31"/>
        <v>Check Data</v>
      </c>
      <c r="AM94" s="49" t="str">
        <f>IF(B94="","",IF(K94="S1","S1",INDEX(#REF!,#REF!)))</f>
        <v/>
      </c>
      <c r="AN94" s="49" t="str">
        <f>K94</f>
        <v>M2</v>
      </c>
      <c r="AO94" s="50" t="b">
        <f>K94=AM94</f>
        <v>0</v>
      </c>
      <c r="AP94" s="50"/>
    </row>
    <row r="95" spans="1:42" ht="21.75">
      <c r="A95" s="49">
        <v>93</v>
      </c>
      <c r="B95" s="50"/>
      <c r="C95" s="50"/>
      <c r="D95" s="50" t="s">
        <v>143</v>
      </c>
      <c r="E95" s="49" t="s">
        <v>324</v>
      </c>
      <c r="F95" s="49" t="str">
        <f t="shared" si="16"/>
        <v>01/09/1999</v>
      </c>
      <c r="G95" s="50">
        <f t="shared" si="17"/>
        <v>25</v>
      </c>
      <c r="H95" s="50">
        <f t="shared" si="18"/>
        <v>9</v>
      </c>
      <c r="I95" s="50">
        <f t="shared" si="19"/>
        <v>19</v>
      </c>
      <c r="J95" s="59"/>
      <c r="K95" s="49" t="s">
        <v>136</v>
      </c>
      <c r="L95" s="64"/>
      <c r="M95" s="49" t="s">
        <v>427</v>
      </c>
      <c r="N95" s="49">
        <v>2575</v>
      </c>
      <c r="O95" s="65" t="s">
        <v>287</v>
      </c>
      <c r="P95" s="49" t="str">
        <f t="shared" si="20"/>
        <v>29/10/2020</v>
      </c>
      <c r="Q95" s="68">
        <f t="shared" si="21"/>
        <v>4</v>
      </c>
      <c r="R95" s="68">
        <f t="shared" si="22"/>
        <v>7</v>
      </c>
      <c r="S95" s="68">
        <f t="shared" si="23"/>
        <v>22</v>
      </c>
      <c r="T95" s="65"/>
      <c r="U95" s="65"/>
      <c r="V95" s="49" t="str">
        <f t="shared" si="24"/>
        <v/>
      </c>
      <c r="W95" s="68">
        <f>IF(V95="",0,DATEDIF(V95,P95,"Y"))</f>
        <v>0</v>
      </c>
      <c r="X95" s="68">
        <f>IF(V95="",0,DATEDIF(V95,P95,"YM"))</f>
        <v>0</v>
      </c>
      <c r="Y95" s="68">
        <f>IF(V95="",0,DATEDIF(V95,P95,"MD"))</f>
        <v>0</v>
      </c>
      <c r="Z95" s="49"/>
      <c r="AA95" s="65"/>
      <c r="AB95" s="50" t="str">
        <f t="shared" si="25"/>
        <v/>
      </c>
      <c r="AC95" s="68">
        <f t="shared" si="26"/>
        <v>0</v>
      </c>
      <c r="AD95" s="68">
        <f t="shared" si="27"/>
        <v>0</v>
      </c>
      <c r="AE95" s="68">
        <f t="shared" si="28"/>
        <v>0</v>
      </c>
      <c r="AF95" s="50"/>
      <c r="AG95" s="50" t="s">
        <v>512</v>
      </c>
      <c r="AH95" s="49" t="str">
        <f>IF(AG95="นิติศาสตร์","K5-LAW","K5-POLICY")</f>
        <v>K5-POLICY</v>
      </c>
      <c r="AI95" s="72" t="str">
        <f>_xlfn.IFS(B95="","",AND(AH95="K5-LAW",AG95="นิติศาสตร์",K95="S2",T95="",Z95=""),P95,AND(AH95="K5-LAW",AG95="นิติศาสตร์",K95="S1",T95="",Z95=""),EDATE(P95,12),AND(AH95="K5-LAW",AG95="นิติศาสตร์",OR(K95="M2",K95="K4"),T95="",Z95=""),EDATE(P95,12*2),AND(AH95="K5-LAW",AG95="นิติศาสตร์",OR(Z95="M2",Z95="K4"),AC95&gt;=2,OR(AB95&lt;V95,AB95&lt;P95)),EDATE(AB95,12*2),AND(AH95="K5-LAW",AG95="นิติศาสตร์",Z95="S1",AC95&gt;=1,OR(AB95&lt;V95,AB95&lt;P95)),EDATE(AB95,12),AND(AH95="K5-LAW",AG95="นิติศาสตร์",OR(T95="M2",T95="K4"),W95&gt;=2,V95&lt;P95),EDATE(V95,12*2),AND(AH95="K5-LAW",AG95="นิติศาสตร์",T95="S1",W95&gt;=1,V95&lt;P95),EDATE(V95,12),AND(AH95="K5-LAW",AG95="นิติศาสตร์",OR(T95="S2",T95="K5")),V95,AND(AH95="K5-LAW",AG95="นิติศาสตร์",OR(K95="M2",K95="K4"),Q95&gt;=2),EDATE(P95,12*2),AND(AH95="K5-LAW",AG95="นิติศาสตร์",K95="S1",Q95&gt;=1),EDATE(P95,12),AND(AH95="K5-LAW",AG95="นิติศาสตร์",OR(K95="S2",K95="K5")),P95,AND(AH95="K5-POLICY",AG95&lt;&gt;"นิติศาสตร์",K95="S2",T95="",Z95=""),P95,AND(AH95="K5-POLICY",AG95&lt;&gt;"นิติศาสตร์",K95="S1",T95="",Z95=""),EDATE(P95,12),AND(AH95="K5-POLICY",AG95&lt;&gt;"นิติศาสตร์",OR(K95="M2",K95="K4"),T95="",Z95=""),EDATE(P95,12*2),AND(AH95="K5-POLICY",AG95&lt;&gt;"นิติศาสตร์",OR(Z95="M2",Z95="K4"),AC95&gt;=2,OR(AB95&lt;V95,AB95&lt;P95)),EDATE(AB95,12*2),AND(AH95="K5-POLICY",AG95&lt;&gt;"นิติศาสตร์",Z95="S1",AC95&gt;=1,OR(AB95&lt;V95,AB95&lt;P95)),EDATE(AB95,12),AND(AH95="K5-POLICY",AG95&lt;&gt;"นิติศาสตร์",OR(T95="M2",T95="K4"),W95&gt;=2,V95&lt;P95),EDATE(V95,12*2),AND(AH95="K5-POLICY",AG95&lt;&gt;"นิติศาสตร์",T95="S1",W95&gt;=1,V95&lt;P95),EDATE(V95,12),AND(AH95="K5-POLICY",AG95&lt;&gt;"นิติศาสตร์",OR(T95="S2",T95="K5")),V95,AND(AH95="K5-POLICY",AG95&lt;&gt;"นิติศาสตร์",OR(K95="M2",K95="K4"),Q95&gt;=2),EDATE(P95,12*2),AND(AH95="K5-POLICY",AG95&lt;&gt;"นิติศาสตร์",K95="S1",Q95&gt;=1),EDATE(P95,12),AND(AH95="K5-POLICY",AG95&lt;&gt;"นิติศาสตร์",OR(K95="S2",K95="K5")),P95,TRUE,"Check Data")</f>
        <v/>
      </c>
      <c r="AJ95" s="75" t="str">
        <f t="shared" si="29"/>
        <v>Check Data</v>
      </c>
      <c r="AK95" s="76" t="str">
        <f t="shared" si="30"/>
        <v>Check Data</v>
      </c>
      <c r="AL95" s="50" t="str">
        <f t="shared" si="31"/>
        <v>Check Data</v>
      </c>
      <c r="AM95" s="49" t="str">
        <f>IF(B95="","",IF(K95="S1","S1",INDEX(#REF!,#REF!)))</f>
        <v/>
      </c>
      <c r="AN95" s="49" t="str">
        <f>K95</f>
        <v>M2</v>
      </c>
      <c r="AO95" s="50" t="b">
        <f>K95=AM95</f>
        <v>0</v>
      </c>
      <c r="AP95" s="50"/>
    </row>
    <row r="96" spans="1:42" ht="21.75">
      <c r="A96" s="49">
        <v>94</v>
      </c>
      <c r="B96" s="50"/>
      <c r="C96" s="50"/>
      <c r="D96" s="50" t="s">
        <v>143</v>
      </c>
      <c r="E96" s="49" t="s">
        <v>288</v>
      </c>
      <c r="F96" s="49" t="str">
        <f t="shared" si="16"/>
        <v>13/01/1997</v>
      </c>
      <c r="G96" s="50">
        <f t="shared" si="17"/>
        <v>28</v>
      </c>
      <c r="H96" s="50">
        <f t="shared" si="18"/>
        <v>5</v>
      </c>
      <c r="I96" s="50">
        <f t="shared" si="19"/>
        <v>7</v>
      </c>
      <c r="J96" s="59"/>
      <c r="K96" s="49" t="s">
        <v>136</v>
      </c>
      <c r="L96" s="64"/>
      <c r="M96" s="49" t="s">
        <v>427</v>
      </c>
      <c r="N96" s="49">
        <v>2571</v>
      </c>
      <c r="O96" s="65" t="s">
        <v>287</v>
      </c>
      <c r="P96" s="49" t="str">
        <f t="shared" si="20"/>
        <v>29/10/2020</v>
      </c>
      <c r="Q96" s="68">
        <f t="shared" si="21"/>
        <v>4</v>
      </c>
      <c r="R96" s="68">
        <f t="shared" si="22"/>
        <v>7</v>
      </c>
      <c r="S96" s="68">
        <f t="shared" si="23"/>
        <v>22</v>
      </c>
      <c r="T96" s="65"/>
      <c r="U96" s="65"/>
      <c r="V96" s="49" t="str">
        <f t="shared" si="24"/>
        <v/>
      </c>
      <c r="W96" s="68">
        <f>IF(V96="",0,DATEDIF(V96,P96,"Y"))</f>
        <v>0</v>
      </c>
      <c r="X96" s="68">
        <f>IF(V96="",0,DATEDIF(V96,P96,"YM"))</f>
        <v>0</v>
      </c>
      <c r="Y96" s="68">
        <f>IF(V96="",0,DATEDIF(V96,P96,"MD"))</f>
        <v>0</v>
      </c>
      <c r="Z96" s="49"/>
      <c r="AA96" s="65"/>
      <c r="AB96" s="50" t="str">
        <f t="shared" si="25"/>
        <v/>
      </c>
      <c r="AC96" s="68">
        <f t="shared" si="26"/>
        <v>0</v>
      </c>
      <c r="AD96" s="68">
        <f t="shared" si="27"/>
        <v>0</v>
      </c>
      <c r="AE96" s="68">
        <f t="shared" si="28"/>
        <v>0</v>
      </c>
      <c r="AF96" s="50"/>
      <c r="AG96" s="50" t="s">
        <v>512</v>
      </c>
      <c r="AH96" s="49" t="str">
        <f>IF(AG96="นิติศาสตร์","K5-LAW","K5-POLICY")</f>
        <v>K5-POLICY</v>
      </c>
      <c r="AI96" s="72" t="str">
        <f>_xlfn.IFS(B96="","",AND(AH96="K5-LAW",AG96="นิติศาสตร์",K96="S2",T96="",Z96=""),P96,AND(AH96="K5-LAW",AG96="นิติศาสตร์",K96="S1",T96="",Z96=""),EDATE(P96,12),AND(AH96="K5-LAW",AG96="นิติศาสตร์",OR(K96="M2",K96="K4"),T96="",Z96=""),EDATE(P96,12*2),AND(AH96="K5-LAW",AG96="นิติศาสตร์",OR(Z96="M2",Z96="K4"),AC96&gt;=2,OR(AB96&lt;V96,AB96&lt;P96)),EDATE(AB96,12*2),AND(AH96="K5-LAW",AG96="นิติศาสตร์",Z96="S1",AC96&gt;=1,OR(AB96&lt;V96,AB96&lt;P96)),EDATE(AB96,12),AND(AH96="K5-LAW",AG96="นิติศาสตร์",OR(T96="M2",T96="K4"),W96&gt;=2,V96&lt;P96),EDATE(V96,12*2),AND(AH96="K5-LAW",AG96="นิติศาสตร์",T96="S1",W96&gt;=1,V96&lt;P96),EDATE(V96,12),AND(AH96="K5-LAW",AG96="นิติศาสตร์",OR(T96="S2",T96="K5")),V96,AND(AH96="K5-LAW",AG96="นิติศาสตร์",OR(K96="M2",K96="K4"),Q96&gt;=2),EDATE(P96,12*2),AND(AH96="K5-LAW",AG96="นิติศาสตร์",K96="S1",Q96&gt;=1),EDATE(P96,12),AND(AH96="K5-LAW",AG96="นิติศาสตร์",OR(K96="S2",K96="K5")),P96,AND(AH96="K5-POLICY",AG96&lt;&gt;"นิติศาสตร์",K96="S2",T96="",Z96=""),P96,AND(AH96="K5-POLICY",AG96&lt;&gt;"นิติศาสตร์",K96="S1",T96="",Z96=""),EDATE(P96,12),AND(AH96="K5-POLICY",AG96&lt;&gt;"นิติศาสตร์",OR(K96="M2",K96="K4"),T96="",Z96=""),EDATE(P96,12*2),AND(AH96="K5-POLICY",AG96&lt;&gt;"นิติศาสตร์",OR(Z96="M2",Z96="K4"),AC96&gt;=2,OR(AB96&lt;V96,AB96&lt;P96)),EDATE(AB96,12*2),AND(AH96="K5-POLICY",AG96&lt;&gt;"นิติศาสตร์",Z96="S1",AC96&gt;=1,OR(AB96&lt;V96,AB96&lt;P96)),EDATE(AB96,12),AND(AH96="K5-POLICY",AG96&lt;&gt;"นิติศาสตร์",OR(T96="M2",T96="K4"),W96&gt;=2,V96&lt;P96),EDATE(V96,12*2),AND(AH96="K5-POLICY",AG96&lt;&gt;"นิติศาสตร์",T96="S1",W96&gt;=1,V96&lt;P96),EDATE(V96,12),AND(AH96="K5-POLICY",AG96&lt;&gt;"นิติศาสตร์",OR(T96="S2",T96="K5")),V96,AND(AH96="K5-POLICY",AG96&lt;&gt;"นิติศาสตร์",OR(K96="M2",K96="K4"),Q96&gt;=2),EDATE(P96,12*2),AND(AH96="K5-POLICY",AG96&lt;&gt;"นิติศาสตร์",K96="S1",Q96&gt;=1),EDATE(P96,12),AND(AH96="K5-POLICY",AG96&lt;&gt;"นิติศาสตร์",OR(K96="S2",K96="K5")),P96,TRUE,"Check Data")</f>
        <v/>
      </c>
      <c r="AJ96" s="75" t="str">
        <f t="shared" si="29"/>
        <v>Check Data</v>
      </c>
      <c r="AK96" s="76" t="str">
        <f t="shared" si="30"/>
        <v>Check Data</v>
      </c>
      <c r="AL96" s="50" t="str">
        <f t="shared" si="31"/>
        <v>Check Data</v>
      </c>
      <c r="AM96" s="49" t="str">
        <f>IF(B96="","",IF(K96="S1","S1",INDEX(#REF!,#REF!)))</f>
        <v/>
      </c>
      <c r="AN96" s="49" t="str">
        <f>K96</f>
        <v>M2</v>
      </c>
      <c r="AO96" s="50" t="b">
        <f>K96=AM96</f>
        <v>0</v>
      </c>
      <c r="AP96" s="50"/>
    </row>
    <row r="97" spans="1:42" ht="21.75">
      <c r="A97" s="49">
        <v>95</v>
      </c>
      <c r="B97" s="50"/>
      <c r="C97" s="50"/>
      <c r="D97" s="50" t="s">
        <v>143</v>
      </c>
      <c r="E97" s="49" t="s">
        <v>309</v>
      </c>
      <c r="F97" s="49" t="str">
        <f t="shared" si="16"/>
        <v>01/06/1995</v>
      </c>
      <c r="G97" s="50">
        <f t="shared" si="17"/>
        <v>30</v>
      </c>
      <c r="H97" s="50">
        <f t="shared" si="18"/>
        <v>0</v>
      </c>
      <c r="I97" s="50">
        <f t="shared" si="19"/>
        <v>19</v>
      </c>
      <c r="J97" s="59"/>
      <c r="K97" s="49" t="s">
        <v>136</v>
      </c>
      <c r="L97" s="64"/>
      <c r="M97" s="49" t="s">
        <v>427</v>
      </c>
      <c r="N97" s="49">
        <v>2575</v>
      </c>
      <c r="O97" s="65" t="s">
        <v>287</v>
      </c>
      <c r="P97" s="49" t="str">
        <f t="shared" si="20"/>
        <v>29/10/2020</v>
      </c>
      <c r="Q97" s="68">
        <f t="shared" si="21"/>
        <v>4</v>
      </c>
      <c r="R97" s="68">
        <f t="shared" si="22"/>
        <v>7</v>
      </c>
      <c r="S97" s="68">
        <f t="shared" si="23"/>
        <v>22</v>
      </c>
      <c r="T97" s="65"/>
      <c r="U97" s="65"/>
      <c r="V97" s="49" t="str">
        <f t="shared" si="24"/>
        <v/>
      </c>
      <c r="W97" s="68">
        <f>IF(V97="",0,DATEDIF(V97,P97,"Y"))</f>
        <v>0</v>
      </c>
      <c r="X97" s="68">
        <f>IF(V97="",0,DATEDIF(V97,P97,"YM"))</f>
        <v>0</v>
      </c>
      <c r="Y97" s="68">
        <f>IF(V97="",0,DATEDIF(V97,P97,"MD"))</f>
        <v>0</v>
      </c>
      <c r="Z97" s="49"/>
      <c r="AA97" s="65"/>
      <c r="AB97" s="50" t="str">
        <f t="shared" si="25"/>
        <v/>
      </c>
      <c r="AC97" s="68">
        <f t="shared" si="26"/>
        <v>0</v>
      </c>
      <c r="AD97" s="68">
        <f t="shared" si="27"/>
        <v>0</v>
      </c>
      <c r="AE97" s="68">
        <f t="shared" si="28"/>
        <v>0</v>
      </c>
      <c r="AF97" s="50"/>
      <c r="AG97" s="50" t="s">
        <v>172</v>
      </c>
      <c r="AH97" s="49" t="str">
        <f>IF(AG97="นิติศาสตร์","K5-LAW","K5-POLICY")</f>
        <v>K5-POLICY</v>
      </c>
      <c r="AI97" s="72" t="str">
        <f>_xlfn.IFS(B97="","",AND(AH97="K5-LAW",AG97="นิติศาสตร์",K97="S2",T97="",Z97=""),P97,AND(AH97="K5-LAW",AG97="นิติศาสตร์",K97="S1",T97="",Z97=""),EDATE(P97,12),AND(AH97="K5-LAW",AG97="นิติศาสตร์",OR(K97="M2",K97="K4"),T97="",Z97=""),EDATE(P97,12*2),AND(AH97="K5-LAW",AG97="นิติศาสตร์",OR(Z97="M2",Z97="K4"),AC97&gt;=2,OR(AB97&lt;V97,AB97&lt;P97)),EDATE(AB97,12*2),AND(AH97="K5-LAW",AG97="นิติศาสตร์",Z97="S1",AC97&gt;=1,OR(AB97&lt;V97,AB97&lt;P97)),EDATE(AB97,12),AND(AH97="K5-LAW",AG97="นิติศาสตร์",OR(T97="M2",T97="K4"),W97&gt;=2,V97&lt;P97),EDATE(V97,12*2),AND(AH97="K5-LAW",AG97="นิติศาสตร์",T97="S1",W97&gt;=1,V97&lt;P97),EDATE(V97,12),AND(AH97="K5-LAW",AG97="นิติศาสตร์",OR(T97="S2",T97="K5")),V97,AND(AH97="K5-LAW",AG97="นิติศาสตร์",OR(K97="M2",K97="K4"),Q97&gt;=2),EDATE(P97,12*2),AND(AH97="K5-LAW",AG97="นิติศาสตร์",K97="S1",Q97&gt;=1),EDATE(P97,12),AND(AH97="K5-LAW",AG97="นิติศาสตร์",OR(K97="S2",K97="K5")),P97,AND(AH97="K5-POLICY",AG97&lt;&gt;"นิติศาสตร์",K97="S2",T97="",Z97=""),P97,AND(AH97="K5-POLICY",AG97&lt;&gt;"นิติศาสตร์",K97="S1",T97="",Z97=""),EDATE(P97,12),AND(AH97="K5-POLICY",AG97&lt;&gt;"นิติศาสตร์",OR(K97="M2",K97="K4"),T97="",Z97=""),EDATE(P97,12*2),AND(AH97="K5-POLICY",AG97&lt;&gt;"นิติศาสตร์",OR(Z97="M2",Z97="K4"),AC97&gt;=2,OR(AB97&lt;V97,AB97&lt;P97)),EDATE(AB97,12*2),AND(AH97="K5-POLICY",AG97&lt;&gt;"นิติศาสตร์",Z97="S1",AC97&gt;=1,OR(AB97&lt;V97,AB97&lt;P97)),EDATE(AB97,12),AND(AH97="K5-POLICY",AG97&lt;&gt;"นิติศาสตร์",OR(T97="M2",T97="K4"),W97&gt;=2,V97&lt;P97),EDATE(V97,12*2),AND(AH97="K5-POLICY",AG97&lt;&gt;"นิติศาสตร์",T97="S1",W97&gt;=1,V97&lt;P97),EDATE(V97,12),AND(AH97="K5-POLICY",AG97&lt;&gt;"นิติศาสตร์",OR(T97="S2",T97="K5")),V97,AND(AH97="K5-POLICY",AG97&lt;&gt;"นิติศาสตร์",OR(K97="M2",K97="K4"),Q97&gt;=2),EDATE(P97,12*2),AND(AH97="K5-POLICY",AG97&lt;&gt;"นิติศาสตร์",K97="S1",Q97&gt;=1),EDATE(P97,12),AND(AH97="K5-POLICY",AG97&lt;&gt;"นิติศาสตร์",OR(K97="S2",K97="K5")),P97,TRUE,"Check Data")</f>
        <v/>
      </c>
      <c r="AJ97" s="75" t="str">
        <f t="shared" si="29"/>
        <v>Check Data</v>
      </c>
      <c r="AK97" s="76" t="str">
        <f t="shared" si="30"/>
        <v>Check Data</v>
      </c>
      <c r="AL97" s="50" t="str">
        <f t="shared" si="31"/>
        <v>Check Data</v>
      </c>
      <c r="AM97" s="49" t="str">
        <f>IF(B97="","",IF(K97="S1","S1",INDEX(#REF!,#REF!)))</f>
        <v/>
      </c>
      <c r="AN97" s="49" t="str">
        <f>K97</f>
        <v>M2</v>
      </c>
      <c r="AO97" s="50" t="b">
        <f>K97=AM97</f>
        <v>0</v>
      </c>
      <c r="AP97" s="50"/>
    </row>
    <row r="98" spans="1:42" ht="21.75">
      <c r="A98" s="49">
        <v>96</v>
      </c>
      <c r="B98" s="50"/>
      <c r="C98" s="50"/>
      <c r="D98" s="50" t="s">
        <v>143</v>
      </c>
      <c r="E98" s="49" t="s">
        <v>312</v>
      </c>
      <c r="F98" s="49" t="str">
        <f t="shared" si="16"/>
        <v>04/05/2000</v>
      </c>
      <c r="G98" s="50">
        <f t="shared" si="17"/>
        <v>25</v>
      </c>
      <c r="H98" s="50">
        <f t="shared" si="18"/>
        <v>1</v>
      </c>
      <c r="I98" s="50">
        <f t="shared" si="19"/>
        <v>16</v>
      </c>
      <c r="J98" s="59"/>
      <c r="K98" s="49" t="s">
        <v>136</v>
      </c>
      <c r="L98" s="64"/>
      <c r="M98" s="49" t="s">
        <v>427</v>
      </c>
      <c r="N98" s="49">
        <v>2581</v>
      </c>
      <c r="O98" s="65" t="s">
        <v>287</v>
      </c>
      <c r="P98" s="49" t="str">
        <f t="shared" si="20"/>
        <v>29/10/2020</v>
      </c>
      <c r="Q98" s="68">
        <f t="shared" si="21"/>
        <v>4</v>
      </c>
      <c r="R98" s="68">
        <f t="shared" si="22"/>
        <v>7</v>
      </c>
      <c r="S98" s="68">
        <f t="shared" si="23"/>
        <v>22</v>
      </c>
      <c r="T98" s="65"/>
      <c r="U98" s="65"/>
      <c r="V98" s="49" t="str">
        <f t="shared" si="24"/>
        <v/>
      </c>
      <c r="W98" s="68">
        <f>IF(V98="",0,DATEDIF(V98,P98,"Y"))</f>
        <v>0</v>
      </c>
      <c r="X98" s="68">
        <f>IF(V98="",0,DATEDIF(V98,P98,"YM"))</f>
        <v>0</v>
      </c>
      <c r="Y98" s="68">
        <f>IF(V98="",0,DATEDIF(V98,P98,"MD"))</f>
        <v>0</v>
      </c>
      <c r="Z98" s="49"/>
      <c r="AA98" s="65"/>
      <c r="AB98" s="50" t="str">
        <f t="shared" si="25"/>
        <v/>
      </c>
      <c r="AC98" s="68">
        <f t="shared" si="26"/>
        <v>0</v>
      </c>
      <c r="AD98" s="68">
        <f t="shared" si="27"/>
        <v>0</v>
      </c>
      <c r="AE98" s="68">
        <f t="shared" si="28"/>
        <v>0</v>
      </c>
      <c r="AF98" s="50"/>
      <c r="AG98" s="50" t="s">
        <v>138</v>
      </c>
      <c r="AH98" s="49" t="str">
        <f>IF(AG98="นิติศาสตร์","K5-LAW","K5-POLICY")</f>
        <v>K5-LAW</v>
      </c>
      <c r="AI98" s="72" t="str">
        <f>_xlfn.IFS(B98="","",AND(AH98="K5-LAW",AG98="นิติศาสตร์",K98="S2",T98="",Z98=""),P98,AND(AH98="K5-LAW",AG98="นิติศาสตร์",K98="S1",T98="",Z98=""),EDATE(P98,12),AND(AH98="K5-LAW",AG98="นิติศาสตร์",OR(K98="M2",K98="K4"),T98="",Z98=""),EDATE(P98,12*2),AND(AH98="K5-LAW",AG98="นิติศาสตร์",OR(Z98="M2",Z98="K4"),AC98&gt;=2,OR(AB98&lt;V98,AB98&lt;P98)),EDATE(AB98,12*2),AND(AH98="K5-LAW",AG98="นิติศาสตร์",Z98="S1",AC98&gt;=1,OR(AB98&lt;V98,AB98&lt;P98)),EDATE(AB98,12),AND(AH98="K5-LAW",AG98="นิติศาสตร์",OR(T98="M2",T98="K4"),W98&gt;=2,V98&lt;P98),EDATE(V98,12*2),AND(AH98="K5-LAW",AG98="นิติศาสตร์",T98="S1",W98&gt;=1,V98&lt;P98),EDATE(V98,12),AND(AH98="K5-LAW",AG98="นิติศาสตร์",OR(T98="S2",T98="K5")),V98,AND(AH98="K5-LAW",AG98="นิติศาสตร์",OR(K98="M2",K98="K4"),Q98&gt;=2),EDATE(P98,12*2),AND(AH98="K5-LAW",AG98="นิติศาสตร์",K98="S1",Q98&gt;=1),EDATE(P98,12),AND(AH98="K5-LAW",AG98="นิติศาสตร์",OR(K98="S2",K98="K5")),P98,AND(AH98="K5-POLICY",AG98&lt;&gt;"นิติศาสตร์",K98="S2",T98="",Z98=""),P98,AND(AH98="K5-POLICY",AG98&lt;&gt;"นิติศาสตร์",K98="S1",T98="",Z98=""),EDATE(P98,12),AND(AH98="K5-POLICY",AG98&lt;&gt;"นิติศาสตร์",OR(K98="M2",K98="K4"),T98="",Z98=""),EDATE(P98,12*2),AND(AH98="K5-POLICY",AG98&lt;&gt;"นิติศาสตร์",OR(Z98="M2",Z98="K4"),AC98&gt;=2,OR(AB98&lt;V98,AB98&lt;P98)),EDATE(AB98,12*2),AND(AH98="K5-POLICY",AG98&lt;&gt;"นิติศาสตร์",Z98="S1",AC98&gt;=1,OR(AB98&lt;V98,AB98&lt;P98)),EDATE(AB98,12),AND(AH98="K5-POLICY",AG98&lt;&gt;"นิติศาสตร์",OR(T98="M2",T98="K4"),W98&gt;=2,V98&lt;P98),EDATE(V98,12*2),AND(AH98="K5-POLICY",AG98&lt;&gt;"นิติศาสตร์",T98="S1",W98&gt;=1,V98&lt;P98),EDATE(V98,12),AND(AH98="K5-POLICY",AG98&lt;&gt;"นิติศาสตร์",OR(T98="S2",T98="K5")),V98,AND(AH98="K5-POLICY",AG98&lt;&gt;"นิติศาสตร์",OR(K98="M2",K98="K4"),Q98&gt;=2),EDATE(P98,12*2),AND(AH98="K5-POLICY",AG98&lt;&gt;"นิติศาสตร์",K98="S1",Q98&gt;=1),EDATE(P98,12),AND(AH98="K5-POLICY",AG98&lt;&gt;"นิติศาสตร์",OR(K98="S2",K98="K5")),P98,TRUE,"Check Data")</f>
        <v/>
      </c>
      <c r="AJ98" s="75" t="str">
        <f t="shared" si="29"/>
        <v>Check Data</v>
      </c>
      <c r="AK98" s="76" t="str">
        <f t="shared" si="30"/>
        <v>Check Data</v>
      </c>
      <c r="AL98" s="50" t="str">
        <f t="shared" si="31"/>
        <v>Check Data</v>
      </c>
      <c r="AM98" s="49" t="str">
        <f>IF(B98="","",IF(K98="S1","S1",INDEX(#REF!,#REF!)))</f>
        <v/>
      </c>
      <c r="AN98" s="49" t="str">
        <f>K98</f>
        <v>M2</v>
      </c>
      <c r="AO98" s="50" t="b">
        <f>K98=AM98</f>
        <v>0</v>
      </c>
      <c r="AP98" s="50"/>
    </row>
    <row r="99" spans="1:42" ht="21.75">
      <c r="A99" s="49">
        <v>97</v>
      </c>
      <c r="B99" s="50"/>
      <c r="C99" s="50"/>
      <c r="D99" s="50" t="s">
        <v>143</v>
      </c>
      <c r="E99" s="49" t="s">
        <v>345</v>
      </c>
      <c r="F99" s="49" t="str">
        <f t="shared" si="16"/>
        <v>29/04/1990</v>
      </c>
      <c r="G99" s="50">
        <f t="shared" si="17"/>
        <v>35</v>
      </c>
      <c r="H99" s="50">
        <f t="shared" si="18"/>
        <v>1</v>
      </c>
      <c r="I99" s="50">
        <f t="shared" si="19"/>
        <v>22</v>
      </c>
      <c r="J99" s="59"/>
      <c r="K99" s="49" t="s">
        <v>136</v>
      </c>
      <c r="L99" s="64"/>
      <c r="M99" s="49" t="s">
        <v>427</v>
      </c>
      <c r="N99" s="49">
        <v>2574</v>
      </c>
      <c r="O99" s="65" t="s">
        <v>287</v>
      </c>
      <c r="P99" s="49" t="str">
        <f t="shared" si="20"/>
        <v>29/10/2020</v>
      </c>
      <c r="Q99" s="68">
        <f t="shared" si="21"/>
        <v>4</v>
      </c>
      <c r="R99" s="68">
        <f t="shared" si="22"/>
        <v>7</v>
      </c>
      <c r="S99" s="68">
        <f t="shared" si="23"/>
        <v>22</v>
      </c>
      <c r="T99" s="65"/>
      <c r="U99" s="65"/>
      <c r="V99" s="49" t="str">
        <f t="shared" si="24"/>
        <v/>
      </c>
      <c r="W99" s="68">
        <f>IF(V99="",0,DATEDIF(V99,P99,"Y"))</f>
        <v>0</v>
      </c>
      <c r="X99" s="68">
        <f>IF(V99="",0,DATEDIF(V99,P99,"YM"))</f>
        <v>0</v>
      </c>
      <c r="Y99" s="68">
        <f>IF(V99="",0,DATEDIF(V99,P99,"MD"))</f>
        <v>0</v>
      </c>
      <c r="Z99" s="49"/>
      <c r="AA99" s="65"/>
      <c r="AB99" s="50" t="str">
        <f t="shared" si="25"/>
        <v/>
      </c>
      <c r="AC99" s="68">
        <f t="shared" si="26"/>
        <v>0</v>
      </c>
      <c r="AD99" s="68">
        <f t="shared" si="27"/>
        <v>0</v>
      </c>
      <c r="AE99" s="68">
        <f t="shared" si="28"/>
        <v>0</v>
      </c>
      <c r="AF99" s="50"/>
      <c r="AG99" s="50" t="s">
        <v>172</v>
      </c>
      <c r="AH99" s="49" t="str">
        <f>IF(AG99="นิติศาสตร์","K5-LAW","K5-POLICY")</f>
        <v>K5-POLICY</v>
      </c>
      <c r="AI99" s="72" t="str">
        <f>_xlfn.IFS(B99="","",AND(AH99="K5-LAW",AG99="นิติศาสตร์",K99="S2",T99="",Z99=""),P99,AND(AH99="K5-LAW",AG99="นิติศาสตร์",K99="S1",T99="",Z99=""),EDATE(P99,12),AND(AH99="K5-LAW",AG99="นิติศาสตร์",OR(K99="M2",K99="K4"),T99="",Z99=""),EDATE(P99,12*2),AND(AH99="K5-LAW",AG99="นิติศาสตร์",OR(Z99="M2",Z99="K4"),AC99&gt;=2,OR(AB99&lt;V99,AB99&lt;P99)),EDATE(AB99,12*2),AND(AH99="K5-LAW",AG99="นิติศาสตร์",Z99="S1",AC99&gt;=1,OR(AB99&lt;V99,AB99&lt;P99)),EDATE(AB99,12),AND(AH99="K5-LAW",AG99="นิติศาสตร์",OR(T99="M2",T99="K4"),W99&gt;=2,V99&lt;P99),EDATE(V99,12*2),AND(AH99="K5-LAW",AG99="นิติศาสตร์",T99="S1",W99&gt;=1,V99&lt;P99),EDATE(V99,12),AND(AH99="K5-LAW",AG99="นิติศาสตร์",OR(T99="S2",T99="K5")),V99,AND(AH99="K5-LAW",AG99="นิติศาสตร์",OR(K99="M2",K99="K4"),Q99&gt;=2),EDATE(P99,12*2),AND(AH99="K5-LAW",AG99="นิติศาสตร์",K99="S1",Q99&gt;=1),EDATE(P99,12),AND(AH99="K5-LAW",AG99="นิติศาสตร์",OR(K99="S2",K99="K5")),P99,AND(AH99="K5-POLICY",AG99&lt;&gt;"นิติศาสตร์",K99="S2",T99="",Z99=""),P99,AND(AH99="K5-POLICY",AG99&lt;&gt;"นิติศาสตร์",K99="S1",T99="",Z99=""),EDATE(P99,12),AND(AH99="K5-POLICY",AG99&lt;&gt;"นิติศาสตร์",OR(K99="M2",K99="K4"),T99="",Z99=""),EDATE(P99,12*2),AND(AH99="K5-POLICY",AG99&lt;&gt;"นิติศาสตร์",OR(Z99="M2",Z99="K4"),AC99&gt;=2,OR(AB99&lt;V99,AB99&lt;P99)),EDATE(AB99,12*2),AND(AH99="K5-POLICY",AG99&lt;&gt;"นิติศาสตร์",Z99="S1",AC99&gt;=1,OR(AB99&lt;V99,AB99&lt;P99)),EDATE(AB99,12),AND(AH99="K5-POLICY",AG99&lt;&gt;"นิติศาสตร์",OR(T99="M2",T99="K4"),W99&gt;=2,V99&lt;P99),EDATE(V99,12*2),AND(AH99="K5-POLICY",AG99&lt;&gt;"นิติศาสตร์",T99="S1",W99&gt;=1,V99&lt;P99),EDATE(V99,12),AND(AH99="K5-POLICY",AG99&lt;&gt;"นิติศาสตร์",OR(T99="S2",T99="K5")),V99,AND(AH99="K5-POLICY",AG99&lt;&gt;"นิติศาสตร์",OR(K99="M2",K99="K4"),Q99&gt;=2),EDATE(P99,12*2),AND(AH99="K5-POLICY",AG99&lt;&gt;"นิติศาสตร์",K99="S1",Q99&gt;=1),EDATE(P99,12),AND(AH99="K5-POLICY",AG99&lt;&gt;"นิติศาสตร์",OR(K99="S2",K99="K5")),P99,TRUE,"Check Data")</f>
        <v/>
      </c>
      <c r="AJ99" s="75" t="str">
        <f t="shared" si="29"/>
        <v>Check Data</v>
      </c>
      <c r="AK99" s="76" t="str">
        <f t="shared" si="30"/>
        <v>Check Data</v>
      </c>
      <c r="AL99" s="50" t="str">
        <f t="shared" si="31"/>
        <v>Check Data</v>
      </c>
      <c r="AM99" s="49" t="str">
        <f>IF(B99="","",IF(K99="S1","S1",INDEX(#REF!,#REF!)))</f>
        <v/>
      </c>
      <c r="AN99" s="49" t="str">
        <f>K99</f>
        <v>M2</v>
      </c>
      <c r="AO99" s="50" t="b">
        <f>K99=AM99</f>
        <v>0</v>
      </c>
      <c r="AP99" s="50"/>
    </row>
    <row r="100" spans="1:42" ht="21.75">
      <c r="A100" s="49">
        <v>98</v>
      </c>
      <c r="B100" s="50"/>
      <c r="C100" s="50"/>
      <c r="D100" s="50" t="s">
        <v>143</v>
      </c>
      <c r="E100" s="49" t="s">
        <v>343</v>
      </c>
      <c r="F100" s="49" t="str">
        <f t="shared" si="16"/>
        <v>07/06/1996</v>
      </c>
      <c r="G100" s="50">
        <f t="shared" si="17"/>
        <v>29</v>
      </c>
      <c r="H100" s="50">
        <f t="shared" si="18"/>
        <v>0</v>
      </c>
      <c r="I100" s="50">
        <f t="shared" si="19"/>
        <v>13</v>
      </c>
      <c r="J100" s="58"/>
      <c r="K100" s="49" t="s">
        <v>136</v>
      </c>
      <c r="L100" s="64"/>
      <c r="M100" s="49" t="s">
        <v>427</v>
      </c>
      <c r="N100" s="49">
        <v>2572</v>
      </c>
      <c r="O100" s="65" t="s">
        <v>287</v>
      </c>
      <c r="P100" s="49" t="str">
        <f t="shared" si="20"/>
        <v>29/10/2020</v>
      </c>
      <c r="Q100" s="68">
        <f t="shared" si="21"/>
        <v>4</v>
      </c>
      <c r="R100" s="68">
        <f t="shared" si="22"/>
        <v>7</v>
      </c>
      <c r="S100" s="68">
        <f t="shared" si="23"/>
        <v>22</v>
      </c>
      <c r="T100" s="65"/>
      <c r="U100" s="65"/>
      <c r="V100" s="49" t="str">
        <f t="shared" si="24"/>
        <v/>
      </c>
      <c r="W100" s="68">
        <f>IF(V100="",0,DATEDIF(V100,P100,"Y"))</f>
        <v>0</v>
      </c>
      <c r="X100" s="68">
        <f>IF(V100="",0,DATEDIF(V100,P100,"YM"))</f>
        <v>0</v>
      </c>
      <c r="Y100" s="68">
        <f>IF(V100="",0,DATEDIF(V100,P100,"MD"))</f>
        <v>0</v>
      </c>
      <c r="Z100" s="49"/>
      <c r="AA100" s="65"/>
      <c r="AB100" s="50" t="str">
        <f t="shared" si="25"/>
        <v/>
      </c>
      <c r="AC100" s="68">
        <f t="shared" si="26"/>
        <v>0</v>
      </c>
      <c r="AD100" s="68">
        <f t="shared" si="27"/>
        <v>0</v>
      </c>
      <c r="AE100" s="68">
        <f t="shared" si="28"/>
        <v>0</v>
      </c>
      <c r="AF100" s="50"/>
      <c r="AG100" s="50" t="s">
        <v>486</v>
      </c>
      <c r="AH100" s="49" t="str">
        <f>IF(AG100="นิติศาสตร์","K5-LAW","K5-POLICY")</f>
        <v>K5-POLICY</v>
      </c>
      <c r="AI100" s="72" t="str">
        <f>_xlfn.IFS(B100="","",AND(AH100="K5-LAW",AG100="นิติศาสตร์",K100="S2",T100="",Z100=""),P100,AND(AH100="K5-LAW",AG100="นิติศาสตร์",K100="S1",T100="",Z100=""),EDATE(P100,12),AND(AH100="K5-LAW",AG100="นิติศาสตร์",OR(K100="M2",K100="K4"),T100="",Z100=""),EDATE(P100,12*2),AND(AH100="K5-LAW",AG100="นิติศาสตร์",OR(Z100="M2",Z100="K4"),AC100&gt;=2,OR(AB100&lt;V100,AB100&lt;P100)),EDATE(AB100,12*2),AND(AH100="K5-LAW",AG100="นิติศาสตร์",Z100="S1",AC100&gt;=1,OR(AB100&lt;V100,AB100&lt;P100)),EDATE(AB100,12),AND(AH100="K5-LAW",AG100="นิติศาสตร์",OR(T100="M2",T100="K4"),W100&gt;=2,V100&lt;P100),EDATE(V100,12*2),AND(AH100="K5-LAW",AG100="นิติศาสตร์",T100="S1",W100&gt;=1,V100&lt;P100),EDATE(V100,12),AND(AH100="K5-LAW",AG100="นิติศาสตร์",OR(T100="S2",T100="K5")),V100,AND(AH100="K5-LAW",AG100="นิติศาสตร์",OR(K100="M2",K100="K4"),Q100&gt;=2),EDATE(P100,12*2),AND(AH100="K5-LAW",AG100="นิติศาสตร์",K100="S1",Q100&gt;=1),EDATE(P100,12),AND(AH100="K5-LAW",AG100="นิติศาสตร์",OR(K100="S2",K100="K5")),P100,AND(AH100="K5-POLICY",AG100&lt;&gt;"นิติศาสตร์",K100="S2",T100="",Z100=""),P100,AND(AH100="K5-POLICY",AG100&lt;&gt;"นิติศาสตร์",K100="S1",T100="",Z100=""),EDATE(P100,12),AND(AH100="K5-POLICY",AG100&lt;&gt;"นิติศาสตร์",OR(K100="M2",K100="K4"),T100="",Z100=""),EDATE(P100,12*2),AND(AH100="K5-POLICY",AG100&lt;&gt;"นิติศาสตร์",OR(Z100="M2",Z100="K4"),AC100&gt;=2,OR(AB100&lt;V100,AB100&lt;P100)),EDATE(AB100,12*2),AND(AH100="K5-POLICY",AG100&lt;&gt;"นิติศาสตร์",Z100="S1",AC100&gt;=1,OR(AB100&lt;V100,AB100&lt;P100)),EDATE(AB100,12),AND(AH100="K5-POLICY",AG100&lt;&gt;"นิติศาสตร์",OR(T100="M2",T100="K4"),W100&gt;=2,V100&lt;P100),EDATE(V100,12*2),AND(AH100="K5-POLICY",AG100&lt;&gt;"นิติศาสตร์",T100="S1",W100&gt;=1,V100&lt;P100),EDATE(V100,12),AND(AH100="K5-POLICY",AG100&lt;&gt;"นิติศาสตร์",OR(T100="S2",T100="K5")),V100,AND(AH100="K5-POLICY",AG100&lt;&gt;"นิติศาสตร์",OR(K100="M2",K100="K4"),Q100&gt;=2),EDATE(P100,12*2),AND(AH100="K5-POLICY",AG100&lt;&gt;"นิติศาสตร์",K100="S1",Q100&gt;=1),EDATE(P100,12),AND(AH100="K5-POLICY",AG100&lt;&gt;"นิติศาสตร์",OR(K100="S2",K100="K5")),P100,TRUE,"Check Data")</f>
        <v/>
      </c>
      <c r="AJ100" s="75" t="str">
        <f t="shared" si="29"/>
        <v>Check Data</v>
      </c>
      <c r="AK100" s="76" t="str">
        <f t="shared" si="30"/>
        <v>Check Data</v>
      </c>
      <c r="AL100" s="50" t="str">
        <f t="shared" si="31"/>
        <v>Check Data</v>
      </c>
      <c r="AM100" s="49" t="str">
        <f>IF(B100="","",IF(K100="S1","S1",INDEX(#REF!,#REF!)))</f>
        <v/>
      </c>
      <c r="AN100" s="49" t="str">
        <f>K100</f>
        <v>M2</v>
      </c>
      <c r="AO100" s="50" t="b">
        <f>K100=AM100</f>
        <v>0</v>
      </c>
      <c r="AP100" s="50"/>
    </row>
    <row r="101" spans="1:42" ht="21.75">
      <c r="A101" s="49">
        <v>99</v>
      </c>
      <c r="B101" s="50"/>
      <c r="C101" s="50"/>
      <c r="D101" s="50" t="s">
        <v>143</v>
      </c>
      <c r="E101" s="49" t="s">
        <v>320</v>
      </c>
      <c r="F101" s="49" t="str">
        <f t="shared" si="16"/>
        <v>03/12/2001</v>
      </c>
      <c r="G101" s="50">
        <f t="shared" si="17"/>
        <v>23</v>
      </c>
      <c r="H101" s="50">
        <f t="shared" si="18"/>
        <v>6</v>
      </c>
      <c r="I101" s="50">
        <f t="shared" si="19"/>
        <v>17</v>
      </c>
      <c r="J101" s="58"/>
      <c r="K101" s="49" t="s">
        <v>136</v>
      </c>
      <c r="L101" s="64"/>
      <c r="M101" s="49" t="s">
        <v>427</v>
      </c>
      <c r="N101" s="49">
        <v>2574</v>
      </c>
      <c r="O101" s="65" t="s">
        <v>287</v>
      </c>
      <c r="P101" s="49" t="str">
        <f t="shared" si="20"/>
        <v>29/10/2020</v>
      </c>
      <c r="Q101" s="68">
        <f t="shared" si="21"/>
        <v>4</v>
      </c>
      <c r="R101" s="68">
        <f t="shared" si="22"/>
        <v>7</v>
      </c>
      <c r="S101" s="68">
        <f t="shared" si="23"/>
        <v>22</v>
      </c>
      <c r="T101" s="65"/>
      <c r="U101" s="65"/>
      <c r="V101" s="49" t="str">
        <f t="shared" si="24"/>
        <v/>
      </c>
      <c r="W101" s="68">
        <f>IF(V101="",0,DATEDIF(V101,P101,"Y"))</f>
        <v>0</v>
      </c>
      <c r="X101" s="68">
        <f>IF(V101="",0,DATEDIF(V101,P101,"YM"))</f>
        <v>0</v>
      </c>
      <c r="Y101" s="68">
        <f>IF(V101="",0,DATEDIF(V101,P101,"MD"))</f>
        <v>0</v>
      </c>
      <c r="Z101" s="49"/>
      <c r="AA101" s="65"/>
      <c r="AB101" s="50" t="str">
        <f t="shared" si="25"/>
        <v/>
      </c>
      <c r="AC101" s="68">
        <f t="shared" si="26"/>
        <v>0</v>
      </c>
      <c r="AD101" s="68">
        <f t="shared" si="27"/>
        <v>0</v>
      </c>
      <c r="AE101" s="68">
        <f t="shared" si="28"/>
        <v>0</v>
      </c>
      <c r="AF101" s="50"/>
      <c r="AG101" s="50" t="s">
        <v>138</v>
      </c>
      <c r="AH101" s="49" t="str">
        <f>IF(AG101="นิติศาสตร์","K5-LAW","K5-POLICY")</f>
        <v>K5-LAW</v>
      </c>
      <c r="AI101" s="72" t="str">
        <f>_xlfn.IFS(B101="","",AND(AH101="K5-LAW",AG101="นิติศาสตร์",K101="S2",T101="",Z101=""),P101,AND(AH101="K5-LAW",AG101="นิติศาสตร์",K101="S1",T101="",Z101=""),EDATE(P101,12),AND(AH101="K5-LAW",AG101="นิติศาสตร์",OR(K101="M2",K101="K4"),T101="",Z101=""),EDATE(P101,12*2),AND(AH101="K5-LAW",AG101="นิติศาสตร์",OR(Z101="M2",Z101="K4"),AC101&gt;=2,OR(AB101&lt;V101,AB101&lt;P101)),EDATE(AB101,12*2),AND(AH101="K5-LAW",AG101="นิติศาสตร์",Z101="S1",AC101&gt;=1,OR(AB101&lt;V101,AB101&lt;P101)),EDATE(AB101,12),AND(AH101="K5-LAW",AG101="นิติศาสตร์",OR(T101="M2",T101="K4"),W101&gt;=2,V101&lt;P101),EDATE(V101,12*2),AND(AH101="K5-LAW",AG101="นิติศาสตร์",T101="S1",W101&gt;=1,V101&lt;P101),EDATE(V101,12),AND(AH101="K5-LAW",AG101="นิติศาสตร์",OR(T101="S2",T101="K5")),V101,AND(AH101="K5-LAW",AG101="นิติศาสตร์",OR(K101="M2",K101="K4"),Q101&gt;=2),EDATE(P101,12*2),AND(AH101="K5-LAW",AG101="นิติศาสตร์",K101="S1",Q101&gt;=1),EDATE(P101,12),AND(AH101="K5-LAW",AG101="นิติศาสตร์",OR(K101="S2",K101="K5")),P101,AND(AH101="K5-POLICY",AG101&lt;&gt;"นิติศาสตร์",K101="S2",T101="",Z101=""),P101,AND(AH101="K5-POLICY",AG101&lt;&gt;"นิติศาสตร์",K101="S1",T101="",Z101=""),EDATE(P101,12),AND(AH101="K5-POLICY",AG101&lt;&gt;"นิติศาสตร์",OR(K101="M2",K101="K4"),T101="",Z101=""),EDATE(P101,12*2),AND(AH101="K5-POLICY",AG101&lt;&gt;"นิติศาสตร์",OR(Z101="M2",Z101="K4"),AC101&gt;=2,OR(AB101&lt;V101,AB101&lt;P101)),EDATE(AB101,12*2),AND(AH101="K5-POLICY",AG101&lt;&gt;"นิติศาสตร์",Z101="S1",AC101&gt;=1,OR(AB101&lt;V101,AB101&lt;P101)),EDATE(AB101,12),AND(AH101="K5-POLICY",AG101&lt;&gt;"นิติศาสตร์",OR(T101="M2",T101="K4"),W101&gt;=2,V101&lt;P101),EDATE(V101,12*2),AND(AH101="K5-POLICY",AG101&lt;&gt;"นิติศาสตร์",T101="S1",W101&gt;=1,V101&lt;P101),EDATE(V101,12),AND(AH101="K5-POLICY",AG101&lt;&gt;"นิติศาสตร์",OR(T101="S2",T101="K5")),V101,AND(AH101="K5-POLICY",AG101&lt;&gt;"นิติศาสตร์",OR(K101="M2",K101="K4"),Q101&gt;=2),EDATE(P101,12*2),AND(AH101="K5-POLICY",AG101&lt;&gt;"นิติศาสตร์",K101="S1",Q101&gt;=1),EDATE(P101,12),AND(AH101="K5-POLICY",AG101&lt;&gt;"นิติศาสตร์",OR(K101="S2",K101="K5")),P101,TRUE,"Check Data")</f>
        <v/>
      </c>
      <c r="AJ101" s="75" t="str">
        <f t="shared" si="29"/>
        <v>Check Data</v>
      </c>
      <c r="AK101" s="76" t="str">
        <f t="shared" si="30"/>
        <v>Check Data</v>
      </c>
      <c r="AL101" s="50" t="str">
        <f t="shared" si="31"/>
        <v>Check Data</v>
      </c>
      <c r="AM101" s="49" t="str">
        <f>IF(B101="","",IF(K101="S1","S1",INDEX(#REF!,#REF!)))</f>
        <v/>
      </c>
      <c r="AN101" s="49" t="str">
        <f>K101</f>
        <v>M2</v>
      </c>
      <c r="AO101" s="50" t="b">
        <f>K101=AM101</f>
        <v>0</v>
      </c>
      <c r="AP101" s="50"/>
    </row>
    <row r="102" spans="1:42" ht="21.75">
      <c r="A102" s="49">
        <v>100</v>
      </c>
      <c r="B102" s="50"/>
      <c r="C102" s="50"/>
      <c r="D102" s="50" t="s">
        <v>143</v>
      </c>
      <c r="E102" s="49" t="s">
        <v>312</v>
      </c>
      <c r="F102" s="49" t="str">
        <f t="shared" si="16"/>
        <v>04/05/2000</v>
      </c>
      <c r="G102" s="50">
        <f t="shared" si="17"/>
        <v>25</v>
      </c>
      <c r="H102" s="50">
        <f t="shared" si="18"/>
        <v>1</v>
      </c>
      <c r="I102" s="50">
        <f t="shared" si="19"/>
        <v>16</v>
      </c>
      <c r="J102" s="59"/>
      <c r="K102" s="49" t="s">
        <v>136</v>
      </c>
      <c r="L102" s="64"/>
      <c r="M102" s="49" t="s">
        <v>427</v>
      </c>
      <c r="N102" s="49">
        <v>2576</v>
      </c>
      <c r="O102" s="65" t="s">
        <v>287</v>
      </c>
      <c r="P102" s="49" t="str">
        <f t="shared" si="20"/>
        <v>29/10/2020</v>
      </c>
      <c r="Q102" s="68">
        <f t="shared" si="21"/>
        <v>4</v>
      </c>
      <c r="R102" s="68">
        <f t="shared" si="22"/>
        <v>7</v>
      </c>
      <c r="S102" s="68">
        <f t="shared" si="23"/>
        <v>22</v>
      </c>
      <c r="T102" s="65"/>
      <c r="U102" s="65"/>
      <c r="V102" s="49" t="str">
        <f t="shared" si="24"/>
        <v/>
      </c>
      <c r="W102" s="68">
        <f>IF(V102="",0,DATEDIF(V102,P102,"Y"))</f>
        <v>0</v>
      </c>
      <c r="X102" s="68">
        <f>IF(V102="",0,DATEDIF(V102,P102,"YM"))</f>
        <v>0</v>
      </c>
      <c r="Y102" s="68">
        <f>IF(V102="",0,DATEDIF(V102,P102,"MD"))</f>
        <v>0</v>
      </c>
      <c r="Z102" s="49"/>
      <c r="AA102" s="65"/>
      <c r="AB102" s="50" t="str">
        <f t="shared" si="25"/>
        <v/>
      </c>
      <c r="AC102" s="68">
        <f t="shared" si="26"/>
        <v>0</v>
      </c>
      <c r="AD102" s="68">
        <f t="shared" si="27"/>
        <v>0</v>
      </c>
      <c r="AE102" s="68">
        <f t="shared" si="28"/>
        <v>0</v>
      </c>
      <c r="AF102" s="50"/>
      <c r="AG102" s="50" t="s">
        <v>486</v>
      </c>
      <c r="AH102" s="49" t="str">
        <f>IF(AG102="นิติศาสตร์","K5-LAW","K5-POLICY")</f>
        <v>K5-POLICY</v>
      </c>
      <c r="AI102" s="72" t="str">
        <f>_xlfn.IFS(B102="","",AND(AH102="K5-LAW",AG102="นิติศาสตร์",K102="S2",T102="",Z102=""),P102,AND(AH102="K5-LAW",AG102="นิติศาสตร์",K102="S1",T102="",Z102=""),EDATE(P102,12),AND(AH102="K5-LAW",AG102="นิติศาสตร์",OR(K102="M2",K102="K4"),T102="",Z102=""),EDATE(P102,12*2),AND(AH102="K5-LAW",AG102="นิติศาสตร์",OR(Z102="M2",Z102="K4"),AC102&gt;=2,OR(AB102&lt;V102,AB102&lt;P102)),EDATE(AB102,12*2),AND(AH102="K5-LAW",AG102="นิติศาสตร์",Z102="S1",AC102&gt;=1,OR(AB102&lt;V102,AB102&lt;P102)),EDATE(AB102,12),AND(AH102="K5-LAW",AG102="นิติศาสตร์",OR(T102="M2",T102="K4"),W102&gt;=2,V102&lt;P102),EDATE(V102,12*2),AND(AH102="K5-LAW",AG102="นิติศาสตร์",T102="S1",W102&gt;=1,V102&lt;P102),EDATE(V102,12),AND(AH102="K5-LAW",AG102="นิติศาสตร์",OR(T102="S2",T102="K5")),V102,AND(AH102="K5-LAW",AG102="นิติศาสตร์",OR(K102="M2",K102="K4"),Q102&gt;=2),EDATE(P102,12*2),AND(AH102="K5-LAW",AG102="นิติศาสตร์",K102="S1",Q102&gt;=1),EDATE(P102,12),AND(AH102="K5-LAW",AG102="นิติศาสตร์",OR(K102="S2",K102="K5")),P102,AND(AH102="K5-POLICY",AG102&lt;&gt;"นิติศาสตร์",K102="S2",T102="",Z102=""),P102,AND(AH102="K5-POLICY",AG102&lt;&gt;"นิติศาสตร์",K102="S1",T102="",Z102=""),EDATE(P102,12),AND(AH102="K5-POLICY",AG102&lt;&gt;"นิติศาสตร์",OR(K102="M2",K102="K4"),T102="",Z102=""),EDATE(P102,12*2),AND(AH102="K5-POLICY",AG102&lt;&gt;"นิติศาสตร์",OR(Z102="M2",Z102="K4"),AC102&gt;=2,OR(AB102&lt;V102,AB102&lt;P102)),EDATE(AB102,12*2),AND(AH102="K5-POLICY",AG102&lt;&gt;"นิติศาสตร์",Z102="S1",AC102&gt;=1,OR(AB102&lt;V102,AB102&lt;P102)),EDATE(AB102,12),AND(AH102="K5-POLICY",AG102&lt;&gt;"นิติศาสตร์",OR(T102="M2",T102="K4"),W102&gt;=2,V102&lt;P102),EDATE(V102,12*2),AND(AH102="K5-POLICY",AG102&lt;&gt;"นิติศาสตร์",T102="S1",W102&gt;=1,V102&lt;P102),EDATE(V102,12),AND(AH102="K5-POLICY",AG102&lt;&gt;"นิติศาสตร์",OR(T102="S2",T102="K5")),V102,AND(AH102="K5-POLICY",AG102&lt;&gt;"นิติศาสตร์",OR(K102="M2",K102="K4"),Q102&gt;=2),EDATE(P102,12*2),AND(AH102="K5-POLICY",AG102&lt;&gt;"นิติศาสตร์",K102="S1",Q102&gt;=1),EDATE(P102,12),AND(AH102="K5-POLICY",AG102&lt;&gt;"นิติศาสตร์",OR(K102="S2",K102="K5")),P102,TRUE,"Check Data")</f>
        <v/>
      </c>
      <c r="AJ102" s="75" t="str">
        <f t="shared" si="29"/>
        <v>Check Data</v>
      </c>
      <c r="AK102" s="76" t="str">
        <f t="shared" si="30"/>
        <v>Check Data</v>
      </c>
      <c r="AL102" s="50" t="str">
        <f t="shared" si="31"/>
        <v>Check Data</v>
      </c>
      <c r="AM102" s="49" t="str">
        <f>IF(B102="","",IF(K102="S1","S1",INDEX(#REF!,#REF!)))</f>
        <v/>
      </c>
      <c r="AN102" s="49" t="str">
        <f>K102</f>
        <v>M2</v>
      </c>
      <c r="AO102" s="50" t="b">
        <f>K102=AM102</f>
        <v>0</v>
      </c>
      <c r="AP102" s="50"/>
    </row>
    <row r="103" spans="1:42" ht="21.75">
      <c r="A103" s="49">
        <v>101</v>
      </c>
      <c r="B103" s="50"/>
      <c r="C103" s="50"/>
      <c r="D103" s="50" t="s">
        <v>143</v>
      </c>
      <c r="E103" s="49" t="s">
        <v>290</v>
      </c>
      <c r="F103" s="49" t="str">
        <f t="shared" si="16"/>
        <v>02/06/2000</v>
      </c>
      <c r="G103" s="50">
        <f t="shared" si="17"/>
        <v>25</v>
      </c>
      <c r="H103" s="50">
        <f t="shared" si="18"/>
        <v>0</v>
      </c>
      <c r="I103" s="50">
        <f t="shared" si="19"/>
        <v>18</v>
      </c>
      <c r="J103" s="59"/>
      <c r="K103" s="49" t="s">
        <v>136</v>
      </c>
      <c r="L103" s="64"/>
      <c r="M103" s="49" t="s">
        <v>427</v>
      </c>
      <c r="N103" s="49">
        <v>2577</v>
      </c>
      <c r="O103" s="65" t="s">
        <v>287</v>
      </c>
      <c r="P103" s="49" t="str">
        <f t="shared" si="20"/>
        <v>29/10/2020</v>
      </c>
      <c r="Q103" s="68">
        <f t="shared" si="21"/>
        <v>4</v>
      </c>
      <c r="R103" s="68">
        <f t="shared" si="22"/>
        <v>7</v>
      </c>
      <c r="S103" s="68">
        <f t="shared" si="23"/>
        <v>22</v>
      </c>
      <c r="T103" s="65"/>
      <c r="U103" s="65"/>
      <c r="V103" s="49" t="str">
        <f t="shared" si="24"/>
        <v/>
      </c>
      <c r="W103" s="68">
        <f>IF(V103="",0,DATEDIF(V103,P103,"Y"))</f>
        <v>0</v>
      </c>
      <c r="X103" s="68">
        <f>IF(V103="",0,DATEDIF(V103,P103,"YM"))</f>
        <v>0</v>
      </c>
      <c r="Y103" s="68">
        <f>IF(V103="",0,DATEDIF(V103,P103,"MD"))</f>
        <v>0</v>
      </c>
      <c r="Z103" s="49"/>
      <c r="AA103" s="65"/>
      <c r="AB103" s="50" t="str">
        <f t="shared" si="25"/>
        <v/>
      </c>
      <c r="AC103" s="68">
        <f t="shared" si="26"/>
        <v>0</v>
      </c>
      <c r="AD103" s="68">
        <f t="shared" si="27"/>
        <v>0</v>
      </c>
      <c r="AE103" s="68">
        <f t="shared" si="28"/>
        <v>0</v>
      </c>
      <c r="AF103" s="50"/>
      <c r="AG103" s="50" t="s">
        <v>486</v>
      </c>
      <c r="AH103" s="49" t="str">
        <f>IF(AG103="นิติศาสตร์","K5-LAW","K5-POLICY")</f>
        <v>K5-POLICY</v>
      </c>
      <c r="AI103" s="72" t="str">
        <f>_xlfn.IFS(B103="","",AND(AH103="K5-LAW",AG103="นิติศาสตร์",K103="S2",T103="",Z103=""),P103,AND(AH103="K5-LAW",AG103="นิติศาสตร์",K103="S1",T103="",Z103=""),EDATE(P103,12),AND(AH103="K5-LAW",AG103="นิติศาสตร์",OR(K103="M2",K103="K4"),T103="",Z103=""),EDATE(P103,12*2),AND(AH103="K5-LAW",AG103="นิติศาสตร์",OR(Z103="M2",Z103="K4"),AC103&gt;=2,OR(AB103&lt;V103,AB103&lt;P103)),EDATE(AB103,12*2),AND(AH103="K5-LAW",AG103="นิติศาสตร์",Z103="S1",AC103&gt;=1,OR(AB103&lt;V103,AB103&lt;P103)),EDATE(AB103,12),AND(AH103="K5-LAW",AG103="นิติศาสตร์",OR(T103="M2",T103="K4"),W103&gt;=2,V103&lt;P103),EDATE(V103,12*2),AND(AH103="K5-LAW",AG103="นิติศาสตร์",T103="S1",W103&gt;=1,V103&lt;P103),EDATE(V103,12),AND(AH103="K5-LAW",AG103="นิติศาสตร์",OR(T103="S2",T103="K5")),V103,AND(AH103="K5-LAW",AG103="นิติศาสตร์",OR(K103="M2",K103="K4"),Q103&gt;=2),EDATE(P103,12*2),AND(AH103="K5-LAW",AG103="นิติศาสตร์",K103="S1",Q103&gt;=1),EDATE(P103,12),AND(AH103="K5-LAW",AG103="นิติศาสตร์",OR(K103="S2",K103="K5")),P103,AND(AH103="K5-POLICY",AG103&lt;&gt;"นิติศาสตร์",K103="S2",T103="",Z103=""),P103,AND(AH103="K5-POLICY",AG103&lt;&gt;"นิติศาสตร์",K103="S1",T103="",Z103=""),EDATE(P103,12),AND(AH103="K5-POLICY",AG103&lt;&gt;"นิติศาสตร์",OR(K103="M2",K103="K4"),T103="",Z103=""),EDATE(P103,12*2),AND(AH103="K5-POLICY",AG103&lt;&gt;"นิติศาสตร์",OR(Z103="M2",Z103="K4"),AC103&gt;=2,OR(AB103&lt;V103,AB103&lt;P103)),EDATE(AB103,12*2),AND(AH103="K5-POLICY",AG103&lt;&gt;"นิติศาสตร์",Z103="S1",AC103&gt;=1,OR(AB103&lt;V103,AB103&lt;P103)),EDATE(AB103,12),AND(AH103="K5-POLICY",AG103&lt;&gt;"นิติศาสตร์",OR(T103="M2",T103="K4"),W103&gt;=2,V103&lt;P103),EDATE(V103,12*2),AND(AH103="K5-POLICY",AG103&lt;&gt;"นิติศาสตร์",T103="S1",W103&gt;=1,V103&lt;P103),EDATE(V103,12),AND(AH103="K5-POLICY",AG103&lt;&gt;"นิติศาสตร์",OR(T103="S2",T103="K5")),V103,AND(AH103="K5-POLICY",AG103&lt;&gt;"นิติศาสตร์",OR(K103="M2",K103="K4"),Q103&gt;=2),EDATE(P103,12*2),AND(AH103="K5-POLICY",AG103&lt;&gt;"นิติศาสตร์",K103="S1",Q103&gt;=1),EDATE(P103,12),AND(AH103="K5-POLICY",AG103&lt;&gt;"นิติศาสตร์",OR(K103="S2",K103="K5")),P103,TRUE,"Check Data")</f>
        <v/>
      </c>
      <c r="AJ103" s="75" t="str">
        <f t="shared" si="29"/>
        <v>Check Data</v>
      </c>
      <c r="AK103" s="76" t="str">
        <f t="shared" si="30"/>
        <v>Check Data</v>
      </c>
      <c r="AL103" s="50" t="str">
        <f t="shared" si="31"/>
        <v>Check Data</v>
      </c>
      <c r="AM103" s="49" t="str">
        <f>IF(B103="","",IF(K103="S1","S1",INDEX(#REF!,#REF!)))</f>
        <v/>
      </c>
      <c r="AN103" s="49" t="str">
        <f>K103</f>
        <v>M2</v>
      </c>
      <c r="AO103" s="50" t="b">
        <f>K103=AM103</f>
        <v>0</v>
      </c>
      <c r="AP103" s="50"/>
    </row>
    <row r="104" spans="1:42" ht="21.75">
      <c r="A104" s="49">
        <v>102</v>
      </c>
      <c r="B104" s="50"/>
      <c r="C104" s="50"/>
      <c r="D104" s="50" t="s">
        <v>143</v>
      </c>
      <c r="E104" s="49" t="s">
        <v>340</v>
      </c>
      <c r="F104" s="49" t="str">
        <f t="shared" si="16"/>
        <v>06/11/2000</v>
      </c>
      <c r="G104" s="50">
        <f t="shared" si="17"/>
        <v>24</v>
      </c>
      <c r="H104" s="50">
        <f t="shared" si="18"/>
        <v>7</v>
      </c>
      <c r="I104" s="50">
        <f t="shared" si="19"/>
        <v>14</v>
      </c>
      <c r="J104" s="59"/>
      <c r="K104" s="49" t="s">
        <v>136</v>
      </c>
      <c r="L104" s="64"/>
      <c r="M104" s="49" t="s">
        <v>427</v>
      </c>
      <c r="N104" s="49">
        <v>2575</v>
      </c>
      <c r="O104" s="65" t="s">
        <v>287</v>
      </c>
      <c r="P104" s="49" t="str">
        <f t="shared" si="20"/>
        <v>29/10/2020</v>
      </c>
      <c r="Q104" s="68">
        <f t="shared" si="21"/>
        <v>4</v>
      </c>
      <c r="R104" s="68">
        <f t="shared" si="22"/>
        <v>7</v>
      </c>
      <c r="S104" s="68">
        <f t="shared" si="23"/>
        <v>22</v>
      </c>
      <c r="T104" s="65"/>
      <c r="U104" s="65"/>
      <c r="V104" s="49" t="str">
        <f t="shared" si="24"/>
        <v/>
      </c>
      <c r="W104" s="68">
        <f>IF(V104="",0,DATEDIF(V104,P104,"Y"))</f>
        <v>0</v>
      </c>
      <c r="X104" s="68">
        <f>IF(V104="",0,DATEDIF(V104,P104,"YM"))</f>
        <v>0</v>
      </c>
      <c r="Y104" s="68">
        <f>IF(V104="",0,DATEDIF(V104,P104,"MD"))</f>
        <v>0</v>
      </c>
      <c r="Z104" s="49"/>
      <c r="AA104" s="65"/>
      <c r="AB104" s="50" t="str">
        <f t="shared" si="25"/>
        <v/>
      </c>
      <c r="AC104" s="68">
        <f t="shared" si="26"/>
        <v>0</v>
      </c>
      <c r="AD104" s="68">
        <f t="shared" si="27"/>
        <v>0</v>
      </c>
      <c r="AE104" s="68">
        <f t="shared" si="28"/>
        <v>0</v>
      </c>
      <c r="AF104" s="50"/>
      <c r="AG104" s="50" t="s">
        <v>138</v>
      </c>
      <c r="AH104" s="49" t="str">
        <f>IF(AG104="นิติศาสตร์","K5-LAW","K5-POLICY")</f>
        <v>K5-LAW</v>
      </c>
      <c r="AI104" s="72" t="str">
        <f>_xlfn.IFS(B104="","",AND(AH104="K5-LAW",AG104="นิติศาสตร์",K104="S2",T104="",Z104=""),P104,AND(AH104="K5-LAW",AG104="นิติศาสตร์",K104="S1",T104="",Z104=""),EDATE(P104,12),AND(AH104="K5-LAW",AG104="นิติศาสตร์",OR(K104="M2",K104="K4"),T104="",Z104=""),EDATE(P104,12*2),AND(AH104="K5-LAW",AG104="นิติศาสตร์",OR(Z104="M2",Z104="K4"),AC104&gt;=2,OR(AB104&lt;V104,AB104&lt;P104)),EDATE(AB104,12*2),AND(AH104="K5-LAW",AG104="นิติศาสตร์",Z104="S1",AC104&gt;=1,OR(AB104&lt;V104,AB104&lt;P104)),EDATE(AB104,12),AND(AH104="K5-LAW",AG104="นิติศาสตร์",OR(T104="M2",T104="K4"),W104&gt;=2,V104&lt;P104),EDATE(V104,12*2),AND(AH104="K5-LAW",AG104="นิติศาสตร์",T104="S1",W104&gt;=1,V104&lt;P104),EDATE(V104,12),AND(AH104="K5-LAW",AG104="นิติศาสตร์",OR(T104="S2",T104="K5")),V104,AND(AH104="K5-LAW",AG104="นิติศาสตร์",OR(K104="M2",K104="K4"),Q104&gt;=2),EDATE(P104,12*2),AND(AH104="K5-LAW",AG104="นิติศาสตร์",K104="S1",Q104&gt;=1),EDATE(P104,12),AND(AH104="K5-LAW",AG104="นิติศาสตร์",OR(K104="S2",K104="K5")),P104,AND(AH104="K5-POLICY",AG104&lt;&gt;"นิติศาสตร์",K104="S2",T104="",Z104=""),P104,AND(AH104="K5-POLICY",AG104&lt;&gt;"นิติศาสตร์",K104="S1",T104="",Z104=""),EDATE(P104,12),AND(AH104="K5-POLICY",AG104&lt;&gt;"นิติศาสตร์",OR(K104="M2",K104="K4"),T104="",Z104=""),EDATE(P104,12*2),AND(AH104="K5-POLICY",AG104&lt;&gt;"นิติศาสตร์",OR(Z104="M2",Z104="K4"),AC104&gt;=2,OR(AB104&lt;V104,AB104&lt;P104)),EDATE(AB104,12*2),AND(AH104="K5-POLICY",AG104&lt;&gt;"นิติศาสตร์",Z104="S1",AC104&gt;=1,OR(AB104&lt;V104,AB104&lt;P104)),EDATE(AB104,12),AND(AH104="K5-POLICY",AG104&lt;&gt;"นิติศาสตร์",OR(T104="M2",T104="K4"),W104&gt;=2,V104&lt;P104),EDATE(V104,12*2),AND(AH104="K5-POLICY",AG104&lt;&gt;"นิติศาสตร์",T104="S1",W104&gt;=1,V104&lt;P104),EDATE(V104,12),AND(AH104="K5-POLICY",AG104&lt;&gt;"นิติศาสตร์",OR(T104="S2",T104="K5")),V104,AND(AH104="K5-POLICY",AG104&lt;&gt;"นิติศาสตร์",OR(K104="M2",K104="K4"),Q104&gt;=2),EDATE(P104,12*2),AND(AH104="K5-POLICY",AG104&lt;&gt;"นิติศาสตร์",K104="S1",Q104&gt;=1),EDATE(P104,12),AND(AH104="K5-POLICY",AG104&lt;&gt;"นิติศาสตร์",OR(K104="S2",K104="K5")),P104,TRUE,"Check Data")</f>
        <v/>
      </c>
      <c r="AJ104" s="75" t="str">
        <f t="shared" si="29"/>
        <v>Check Data</v>
      </c>
      <c r="AK104" s="76" t="str">
        <f t="shared" si="30"/>
        <v>Check Data</v>
      </c>
      <c r="AL104" s="50" t="str">
        <f t="shared" si="31"/>
        <v>Check Data</v>
      </c>
      <c r="AM104" s="49" t="str">
        <f>IF(B104="","",IF(K104="S1","S1",INDEX(#REF!,#REF!)))</f>
        <v/>
      </c>
      <c r="AN104" s="49" t="str">
        <f>K104</f>
        <v>M2</v>
      </c>
      <c r="AO104" s="50" t="b">
        <f>K104=AM104</f>
        <v>0</v>
      </c>
      <c r="AP104" s="50"/>
    </row>
    <row r="105" spans="1:42" ht="21.75">
      <c r="A105" s="49">
        <v>103</v>
      </c>
      <c r="B105" s="50"/>
      <c r="C105" s="50"/>
      <c r="D105" s="50" t="s">
        <v>143</v>
      </c>
      <c r="E105" s="49" t="s">
        <v>353</v>
      </c>
      <c r="F105" s="49" t="str">
        <f t="shared" si="16"/>
        <v>28/07/2000</v>
      </c>
      <c r="G105" s="50">
        <f t="shared" si="17"/>
        <v>24</v>
      </c>
      <c r="H105" s="50">
        <f t="shared" si="18"/>
        <v>10</v>
      </c>
      <c r="I105" s="50">
        <f t="shared" si="19"/>
        <v>23</v>
      </c>
      <c r="J105" s="59"/>
      <c r="K105" s="49" t="s">
        <v>136</v>
      </c>
      <c r="L105" s="64"/>
      <c r="M105" s="49" t="s">
        <v>427</v>
      </c>
      <c r="N105" s="49">
        <v>2578</v>
      </c>
      <c r="O105" s="65" t="s">
        <v>287</v>
      </c>
      <c r="P105" s="49" t="str">
        <f t="shared" si="20"/>
        <v>29/10/2020</v>
      </c>
      <c r="Q105" s="68">
        <f t="shared" si="21"/>
        <v>4</v>
      </c>
      <c r="R105" s="68">
        <f t="shared" si="22"/>
        <v>7</v>
      </c>
      <c r="S105" s="68">
        <f t="shared" si="23"/>
        <v>22</v>
      </c>
      <c r="T105" s="65"/>
      <c r="U105" s="65"/>
      <c r="V105" s="49" t="str">
        <f t="shared" si="24"/>
        <v/>
      </c>
      <c r="W105" s="68">
        <f>IF(V105="",0,DATEDIF(V105,P105,"Y"))</f>
        <v>0</v>
      </c>
      <c r="X105" s="68">
        <f>IF(V105="",0,DATEDIF(V105,P105,"YM"))</f>
        <v>0</v>
      </c>
      <c r="Y105" s="68">
        <f>IF(V105="",0,DATEDIF(V105,P105,"MD"))</f>
        <v>0</v>
      </c>
      <c r="Z105" s="49"/>
      <c r="AA105" s="65"/>
      <c r="AB105" s="50" t="str">
        <f t="shared" si="25"/>
        <v/>
      </c>
      <c r="AC105" s="68">
        <f t="shared" si="26"/>
        <v>0</v>
      </c>
      <c r="AD105" s="68">
        <f t="shared" si="27"/>
        <v>0</v>
      </c>
      <c r="AE105" s="68">
        <f t="shared" si="28"/>
        <v>0</v>
      </c>
      <c r="AF105" s="50"/>
      <c r="AG105" s="50" t="s">
        <v>138</v>
      </c>
      <c r="AH105" s="49" t="str">
        <f>IF(AG105="นิติศาสตร์","K5-LAW","K5-POLICY")</f>
        <v>K5-LAW</v>
      </c>
      <c r="AI105" s="72" t="str">
        <f>_xlfn.IFS(B105="","",AND(AH105="K5-LAW",AG105="นิติศาสตร์",K105="S2",T105="",Z105=""),P105,AND(AH105="K5-LAW",AG105="นิติศาสตร์",K105="S1",T105="",Z105=""),EDATE(P105,12),AND(AH105="K5-LAW",AG105="นิติศาสตร์",OR(K105="M2",K105="K4"),T105="",Z105=""),EDATE(P105,12*2),AND(AH105="K5-LAW",AG105="นิติศาสตร์",OR(Z105="M2",Z105="K4"),AC105&gt;=2,OR(AB105&lt;V105,AB105&lt;P105)),EDATE(AB105,12*2),AND(AH105="K5-LAW",AG105="นิติศาสตร์",Z105="S1",AC105&gt;=1,OR(AB105&lt;V105,AB105&lt;P105)),EDATE(AB105,12),AND(AH105="K5-LAW",AG105="นิติศาสตร์",OR(T105="M2",T105="K4"),W105&gt;=2,V105&lt;P105),EDATE(V105,12*2),AND(AH105="K5-LAW",AG105="นิติศาสตร์",T105="S1",W105&gt;=1,V105&lt;P105),EDATE(V105,12),AND(AH105="K5-LAW",AG105="นิติศาสตร์",OR(T105="S2",T105="K5")),V105,AND(AH105="K5-LAW",AG105="นิติศาสตร์",OR(K105="M2",K105="K4"),Q105&gt;=2),EDATE(P105,12*2),AND(AH105="K5-LAW",AG105="นิติศาสตร์",K105="S1",Q105&gt;=1),EDATE(P105,12),AND(AH105="K5-LAW",AG105="นิติศาสตร์",OR(K105="S2",K105="K5")),P105,AND(AH105="K5-POLICY",AG105&lt;&gt;"นิติศาสตร์",K105="S2",T105="",Z105=""),P105,AND(AH105="K5-POLICY",AG105&lt;&gt;"นิติศาสตร์",K105="S1",T105="",Z105=""),EDATE(P105,12),AND(AH105="K5-POLICY",AG105&lt;&gt;"นิติศาสตร์",OR(K105="M2",K105="K4"),T105="",Z105=""),EDATE(P105,12*2),AND(AH105="K5-POLICY",AG105&lt;&gt;"นิติศาสตร์",OR(Z105="M2",Z105="K4"),AC105&gt;=2,OR(AB105&lt;V105,AB105&lt;P105)),EDATE(AB105,12*2),AND(AH105="K5-POLICY",AG105&lt;&gt;"นิติศาสตร์",Z105="S1",AC105&gt;=1,OR(AB105&lt;V105,AB105&lt;P105)),EDATE(AB105,12),AND(AH105="K5-POLICY",AG105&lt;&gt;"นิติศาสตร์",OR(T105="M2",T105="K4"),W105&gt;=2,V105&lt;P105),EDATE(V105,12*2),AND(AH105="K5-POLICY",AG105&lt;&gt;"นิติศาสตร์",T105="S1",W105&gt;=1,V105&lt;P105),EDATE(V105,12),AND(AH105="K5-POLICY",AG105&lt;&gt;"นิติศาสตร์",OR(T105="S2",T105="K5")),V105,AND(AH105="K5-POLICY",AG105&lt;&gt;"นิติศาสตร์",OR(K105="M2",K105="K4"),Q105&gt;=2),EDATE(P105,12*2),AND(AH105="K5-POLICY",AG105&lt;&gt;"นิติศาสตร์",K105="S1",Q105&gt;=1),EDATE(P105,12),AND(AH105="K5-POLICY",AG105&lt;&gt;"นิติศาสตร์",OR(K105="S2",K105="K5")),P105,TRUE,"Check Data")</f>
        <v/>
      </c>
      <c r="AJ105" s="75" t="str">
        <f t="shared" si="29"/>
        <v>Check Data</v>
      </c>
      <c r="AK105" s="76" t="str">
        <f t="shared" si="30"/>
        <v>Check Data</v>
      </c>
      <c r="AL105" s="50" t="str">
        <f t="shared" si="31"/>
        <v>Check Data</v>
      </c>
      <c r="AM105" s="49" t="str">
        <f>IF(B105="","",IF(K105="S1","S1",INDEX(#REF!,#REF!)))</f>
        <v/>
      </c>
      <c r="AN105" s="49" t="str">
        <f>K105</f>
        <v>M2</v>
      </c>
      <c r="AO105" s="50" t="b">
        <f>K105=AM105</f>
        <v>0</v>
      </c>
      <c r="AP105" s="50"/>
    </row>
    <row r="106" spans="1:42" ht="21.75">
      <c r="A106" s="49">
        <v>104</v>
      </c>
      <c r="B106" s="50"/>
      <c r="C106" s="50"/>
      <c r="D106" s="50" t="s">
        <v>143</v>
      </c>
      <c r="E106" s="49" t="s">
        <v>304</v>
      </c>
      <c r="F106" s="49" t="str">
        <f t="shared" si="16"/>
        <v>01/02/2000</v>
      </c>
      <c r="G106" s="50">
        <f t="shared" si="17"/>
        <v>25</v>
      </c>
      <c r="H106" s="50">
        <f t="shared" si="18"/>
        <v>4</v>
      </c>
      <c r="I106" s="50">
        <f t="shared" si="19"/>
        <v>19</v>
      </c>
      <c r="J106" s="59"/>
      <c r="K106" s="49" t="s">
        <v>136</v>
      </c>
      <c r="L106" s="64"/>
      <c r="M106" s="49" t="s">
        <v>427</v>
      </c>
      <c r="N106" s="49">
        <v>2577</v>
      </c>
      <c r="O106" s="65" t="s">
        <v>287</v>
      </c>
      <c r="P106" s="49" t="str">
        <f t="shared" si="20"/>
        <v>29/10/2020</v>
      </c>
      <c r="Q106" s="68">
        <f t="shared" si="21"/>
        <v>4</v>
      </c>
      <c r="R106" s="68">
        <f t="shared" si="22"/>
        <v>7</v>
      </c>
      <c r="S106" s="68">
        <f t="shared" si="23"/>
        <v>22</v>
      </c>
      <c r="T106" s="65"/>
      <c r="U106" s="65"/>
      <c r="V106" s="49" t="str">
        <f t="shared" si="24"/>
        <v/>
      </c>
      <c r="W106" s="68">
        <f>IF(V106="",0,DATEDIF(V106,P106,"Y"))</f>
        <v>0</v>
      </c>
      <c r="X106" s="68">
        <f>IF(V106="",0,DATEDIF(V106,P106,"YM"))</f>
        <v>0</v>
      </c>
      <c r="Y106" s="68">
        <f>IF(V106="",0,DATEDIF(V106,P106,"MD"))</f>
        <v>0</v>
      </c>
      <c r="Z106" s="49"/>
      <c r="AA106" s="65"/>
      <c r="AB106" s="50" t="str">
        <f t="shared" si="25"/>
        <v/>
      </c>
      <c r="AC106" s="68">
        <f t="shared" si="26"/>
        <v>0</v>
      </c>
      <c r="AD106" s="68">
        <f t="shared" si="27"/>
        <v>0</v>
      </c>
      <c r="AE106" s="68">
        <f t="shared" si="28"/>
        <v>0</v>
      </c>
      <c r="AF106" s="50"/>
      <c r="AG106" s="50" t="s">
        <v>482</v>
      </c>
      <c r="AH106" s="49" t="str">
        <f>IF(AG106="นิติศาสตร์","K5-LAW","K5-POLICY")</f>
        <v>K5-POLICY</v>
      </c>
      <c r="AI106" s="72" t="str">
        <f>_xlfn.IFS(B106="","",AND(AH106="K5-LAW",AG106="นิติศาสตร์",K106="S2",T106="",Z106=""),P106,AND(AH106="K5-LAW",AG106="นิติศาสตร์",K106="S1",T106="",Z106=""),EDATE(P106,12),AND(AH106="K5-LAW",AG106="นิติศาสตร์",OR(K106="M2",K106="K4"),T106="",Z106=""),EDATE(P106,12*2),AND(AH106="K5-LAW",AG106="นิติศาสตร์",OR(Z106="M2",Z106="K4"),AC106&gt;=2,OR(AB106&lt;V106,AB106&lt;P106)),EDATE(AB106,12*2),AND(AH106="K5-LAW",AG106="นิติศาสตร์",Z106="S1",AC106&gt;=1,OR(AB106&lt;V106,AB106&lt;P106)),EDATE(AB106,12),AND(AH106="K5-LAW",AG106="นิติศาสตร์",OR(T106="M2",T106="K4"),W106&gt;=2,V106&lt;P106),EDATE(V106,12*2),AND(AH106="K5-LAW",AG106="นิติศาสตร์",T106="S1",W106&gt;=1,V106&lt;P106),EDATE(V106,12),AND(AH106="K5-LAW",AG106="นิติศาสตร์",OR(T106="S2",T106="K5")),V106,AND(AH106="K5-LAW",AG106="นิติศาสตร์",OR(K106="M2",K106="K4"),Q106&gt;=2),EDATE(P106,12*2),AND(AH106="K5-LAW",AG106="นิติศาสตร์",K106="S1",Q106&gt;=1),EDATE(P106,12),AND(AH106="K5-LAW",AG106="นิติศาสตร์",OR(K106="S2",K106="K5")),P106,AND(AH106="K5-POLICY",AG106&lt;&gt;"นิติศาสตร์",K106="S2",T106="",Z106=""),P106,AND(AH106="K5-POLICY",AG106&lt;&gt;"นิติศาสตร์",K106="S1",T106="",Z106=""),EDATE(P106,12),AND(AH106="K5-POLICY",AG106&lt;&gt;"นิติศาสตร์",OR(K106="M2",K106="K4"),T106="",Z106=""),EDATE(P106,12*2),AND(AH106="K5-POLICY",AG106&lt;&gt;"นิติศาสตร์",OR(Z106="M2",Z106="K4"),AC106&gt;=2,OR(AB106&lt;V106,AB106&lt;P106)),EDATE(AB106,12*2),AND(AH106="K5-POLICY",AG106&lt;&gt;"นิติศาสตร์",Z106="S1",AC106&gt;=1,OR(AB106&lt;V106,AB106&lt;P106)),EDATE(AB106,12),AND(AH106="K5-POLICY",AG106&lt;&gt;"นิติศาสตร์",OR(T106="M2",T106="K4"),W106&gt;=2,V106&lt;P106),EDATE(V106,12*2),AND(AH106="K5-POLICY",AG106&lt;&gt;"นิติศาสตร์",T106="S1",W106&gt;=1,V106&lt;P106),EDATE(V106,12),AND(AH106="K5-POLICY",AG106&lt;&gt;"นิติศาสตร์",OR(T106="S2",T106="K5")),V106,AND(AH106="K5-POLICY",AG106&lt;&gt;"นิติศาสตร์",OR(K106="M2",K106="K4"),Q106&gt;=2),EDATE(P106,12*2),AND(AH106="K5-POLICY",AG106&lt;&gt;"นิติศาสตร์",K106="S1",Q106&gt;=1),EDATE(P106,12),AND(AH106="K5-POLICY",AG106&lt;&gt;"นิติศาสตร์",OR(K106="S2",K106="K5")),P106,TRUE,"Check Data")</f>
        <v/>
      </c>
      <c r="AJ106" s="75" t="str">
        <f t="shared" si="29"/>
        <v>Check Data</v>
      </c>
      <c r="AK106" s="76" t="str">
        <f t="shared" si="30"/>
        <v>Check Data</v>
      </c>
      <c r="AL106" s="50" t="str">
        <f t="shared" si="31"/>
        <v>Check Data</v>
      </c>
      <c r="AM106" s="49" t="str">
        <f>IF(B106="","",IF(K106="S1","S1",INDEX(#REF!,#REF!)))</f>
        <v/>
      </c>
      <c r="AN106" s="49" t="str">
        <f>K106</f>
        <v>M2</v>
      </c>
      <c r="AO106" s="50" t="b">
        <f>K106=AM106</f>
        <v>0</v>
      </c>
      <c r="AP106" s="50"/>
    </row>
    <row r="107" spans="1:42" ht="21.75">
      <c r="A107" s="49">
        <v>105</v>
      </c>
      <c r="B107" s="50"/>
      <c r="C107" s="50"/>
      <c r="D107" s="50" t="s">
        <v>143</v>
      </c>
      <c r="E107" s="49" t="s">
        <v>281</v>
      </c>
      <c r="F107" s="49" t="str">
        <f t="shared" si="16"/>
        <v>03/05/1999</v>
      </c>
      <c r="G107" s="50">
        <f t="shared" si="17"/>
        <v>26</v>
      </c>
      <c r="H107" s="50">
        <f t="shared" si="18"/>
        <v>1</v>
      </c>
      <c r="I107" s="50">
        <f t="shared" si="19"/>
        <v>17</v>
      </c>
      <c r="J107" s="59"/>
      <c r="K107" s="49" t="s">
        <v>136</v>
      </c>
      <c r="L107" s="64"/>
      <c r="M107" s="49" t="s">
        <v>427</v>
      </c>
      <c r="N107" s="49">
        <v>2576</v>
      </c>
      <c r="O107" s="65" t="s">
        <v>287</v>
      </c>
      <c r="P107" s="49" t="str">
        <f t="shared" si="20"/>
        <v>29/10/2020</v>
      </c>
      <c r="Q107" s="68">
        <f t="shared" si="21"/>
        <v>4</v>
      </c>
      <c r="R107" s="68">
        <f t="shared" si="22"/>
        <v>7</v>
      </c>
      <c r="S107" s="68">
        <f t="shared" si="23"/>
        <v>22</v>
      </c>
      <c r="T107" s="65"/>
      <c r="U107" s="65"/>
      <c r="V107" s="49" t="str">
        <f t="shared" si="24"/>
        <v/>
      </c>
      <c r="W107" s="68">
        <f>IF(V107="",0,DATEDIF(V107,P107,"Y"))</f>
        <v>0</v>
      </c>
      <c r="X107" s="68">
        <f>IF(V107="",0,DATEDIF(V107,P107,"YM"))</f>
        <v>0</v>
      </c>
      <c r="Y107" s="68">
        <f>IF(V107="",0,DATEDIF(V107,P107,"MD"))</f>
        <v>0</v>
      </c>
      <c r="Z107" s="49"/>
      <c r="AA107" s="65"/>
      <c r="AB107" s="50" t="str">
        <f t="shared" si="25"/>
        <v/>
      </c>
      <c r="AC107" s="68">
        <f t="shared" si="26"/>
        <v>0</v>
      </c>
      <c r="AD107" s="68">
        <f t="shared" si="27"/>
        <v>0</v>
      </c>
      <c r="AE107" s="68">
        <f t="shared" si="28"/>
        <v>0</v>
      </c>
      <c r="AF107" s="50"/>
      <c r="AG107" s="50" t="s">
        <v>516</v>
      </c>
      <c r="AH107" s="49" t="str">
        <f>IF(AG107="นิติศาสตร์","K5-LAW","K5-POLICY")</f>
        <v>K5-POLICY</v>
      </c>
      <c r="AI107" s="72" t="str">
        <f>_xlfn.IFS(B107="","",AND(AH107="K5-LAW",AG107="นิติศาสตร์",K107="S2",T107="",Z107=""),P107,AND(AH107="K5-LAW",AG107="นิติศาสตร์",K107="S1",T107="",Z107=""),EDATE(P107,12),AND(AH107="K5-LAW",AG107="นิติศาสตร์",OR(K107="M2",K107="K4"),T107="",Z107=""),EDATE(P107,12*2),AND(AH107="K5-LAW",AG107="นิติศาสตร์",OR(Z107="M2",Z107="K4"),AC107&gt;=2,OR(AB107&lt;V107,AB107&lt;P107)),EDATE(AB107,12*2),AND(AH107="K5-LAW",AG107="นิติศาสตร์",Z107="S1",AC107&gt;=1,OR(AB107&lt;V107,AB107&lt;P107)),EDATE(AB107,12),AND(AH107="K5-LAW",AG107="นิติศาสตร์",OR(T107="M2",T107="K4"),W107&gt;=2,V107&lt;P107),EDATE(V107,12*2),AND(AH107="K5-LAW",AG107="นิติศาสตร์",T107="S1",W107&gt;=1,V107&lt;P107),EDATE(V107,12),AND(AH107="K5-LAW",AG107="นิติศาสตร์",OR(T107="S2",T107="K5")),V107,AND(AH107="K5-LAW",AG107="นิติศาสตร์",OR(K107="M2",K107="K4"),Q107&gt;=2),EDATE(P107,12*2),AND(AH107="K5-LAW",AG107="นิติศาสตร์",K107="S1",Q107&gt;=1),EDATE(P107,12),AND(AH107="K5-LAW",AG107="นิติศาสตร์",OR(K107="S2",K107="K5")),P107,AND(AH107="K5-POLICY",AG107&lt;&gt;"นิติศาสตร์",K107="S2",T107="",Z107=""),P107,AND(AH107="K5-POLICY",AG107&lt;&gt;"นิติศาสตร์",K107="S1",T107="",Z107=""),EDATE(P107,12),AND(AH107="K5-POLICY",AG107&lt;&gt;"นิติศาสตร์",OR(K107="M2",K107="K4"),T107="",Z107=""),EDATE(P107,12*2),AND(AH107="K5-POLICY",AG107&lt;&gt;"นิติศาสตร์",OR(Z107="M2",Z107="K4"),AC107&gt;=2,OR(AB107&lt;V107,AB107&lt;P107)),EDATE(AB107,12*2),AND(AH107="K5-POLICY",AG107&lt;&gt;"นิติศาสตร์",Z107="S1",AC107&gt;=1,OR(AB107&lt;V107,AB107&lt;P107)),EDATE(AB107,12),AND(AH107="K5-POLICY",AG107&lt;&gt;"นิติศาสตร์",OR(T107="M2",T107="K4"),W107&gt;=2,V107&lt;P107),EDATE(V107,12*2),AND(AH107="K5-POLICY",AG107&lt;&gt;"นิติศาสตร์",T107="S1",W107&gt;=1,V107&lt;P107),EDATE(V107,12),AND(AH107="K5-POLICY",AG107&lt;&gt;"นิติศาสตร์",OR(T107="S2",T107="K5")),V107,AND(AH107="K5-POLICY",AG107&lt;&gt;"นิติศาสตร์",OR(K107="M2",K107="K4"),Q107&gt;=2),EDATE(P107,12*2),AND(AH107="K5-POLICY",AG107&lt;&gt;"นิติศาสตร์",K107="S1",Q107&gt;=1),EDATE(P107,12),AND(AH107="K5-POLICY",AG107&lt;&gt;"นิติศาสตร์",OR(K107="S2",K107="K5")),P107,TRUE,"Check Data")</f>
        <v/>
      </c>
      <c r="AJ107" s="75" t="str">
        <f t="shared" si="29"/>
        <v>Check Data</v>
      </c>
      <c r="AK107" s="76" t="str">
        <f t="shared" si="30"/>
        <v>Check Data</v>
      </c>
      <c r="AL107" s="50" t="str">
        <f t="shared" si="31"/>
        <v>Check Data</v>
      </c>
      <c r="AM107" s="49" t="str">
        <f>IF(B107="","",IF(K107="S1","S1",INDEX(#REF!,#REF!)))</f>
        <v/>
      </c>
      <c r="AN107" s="49" t="str">
        <f>K107</f>
        <v>M2</v>
      </c>
      <c r="AO107" s="50" t="b">
        <f>K107=AM107</f>
        <v>0</v>
      </c>
      <c r="AP107" s="50"/>
    </row>
    <row r="108" spans="1:42" ht="21.75">
      <c r="A108" s="49">
        <v>106</v>
      </c>
      <c r="B108" s="50"/>
      <c r="C108" s="50"/>
      <c r="D108" s="50" t="s">
        <v>143</v>
      </c>
      <c r="E108" s="49" t="s">
        <v>334</v>
      </c>
      <c r="F108" s="49" t="str">
        <f t="shared" si="16"/>
        <v>23/08/1996</v>
      </c>
      <c r="G108" s="50">
        <f t="shared" si="17"/>
        <v>28</v>
      </c>
      <c r="H108" s="50">
        <f t="shared" si="18"/>
        <v>9</v>
      </c>
      <c r="I108" s="50">
        <f t="shared" si="19"/>
        <v>28</v>
      </c>
      <c r="J108" s="59"/>
      <c r="K108" s="49" t="s">
        <v>136</v>
      </c>
      <c r="L108" s="64"/>
      <c r="M108" s="49" t="s">
        <v>427</v>
      </c>
      <c r="N108" s="49">
        <v>2575</v>
      </c>
      <c r="O108" s="65" t="s">
        <v>287</v>
      </c>
      <c r="P108" s="49" t="str">
        <f t="shared" si="20"/>
        <v>29/10/2020</v>
      </c>
      <c r="Q108" s="68">
        <f t="shared" si="21"/>
        <v>4</v>
      </c>
      <c r="R108" s="68">
        <f t="shared" si="22"/>
        <v>7</v>
      </c>
      <c r="S108" s="68">
        <f t="shared" si="23"/>
        <v>22</v>
      </c>
      <c r="T108" s="65"/>
      <c r="U108" s="65"/>
      <c r="V108" s="49" t="str">
        <f t="shared" si="24"/>
        <v/>
      </c>
      <c r="W108" s="68">
        <f>IF(V108="",0,DATEDIF(V108,P108,"Y"))</f>
        <v>0</v>
      </c>
      <c r="X108" s="68">
        <f>IF(V108="",0,DATEDIF(V108,P108,"YM"))</f>
        <v>0</v>
      </c>
      <c r="Y108" s="68">
        <f>IF(V108="",0,DATEDIF(V108,P108,"MD"))</f>
        <v>0</v>
      </c>
      <c r="Z108" s="49"/>
      <c r="AA108" s="65"/>
      <c r="AB108" s="50" t="str">
        <f t="shared" si="25"/>
        <v/>
      </c>
      <c r="AC108" s="68">
        <f t="shared" si="26"/>
        <v>0</v>
      </c>
      <c r="AD108" s="68">
        <f t="shared" si="27"/>
        <v>0</v>
      </c>
      <c r="AE108" s="68">
        <f t="shared" si="28"/>
        <v>0</v>
      </c>
      <c r="AF108" s="50"/>
      <c r="AG108" s="50" t="s">
        <v>512</v>
      </c>
      <c r="AH108" s="49" t="str">
        <f>IF(AG108="นิติศาสตร์","K5-LAW","K5-POLICY")</f>
        <v>K5-POLICY</v>
      </c>
      <c r="AI108" s="72" t="str">
        <f>_xlfn.IFS(B108="","",AND(AH108="K5-LAW",AG108="นิติศาสตร์",K108="S2",T108="",Z108=""),P108,AND(AH108="K5-LAW",AG108="นิติศาสตร์",K108="S1",T108="",Z108=""),EDATE(P108,12),AND(AH108="K5-LAW",AG108="นิติศาสตร์",OR(K108="M2",K108="K4"),T108="",Z108=""),EDATE(P108,12*2),AND(AH108="K5-LAW",AG108="นิติศาสตร์",OR(Z108="M2",Z108="K4"),AC108&gt;=2,OR(AB108&lt;V108,AB108&lt;P108)),EDATE(AB108,12*2),AND(AH108="K5-LAW",AG108="นิติศาสตร์",Z108="S1",AC108&gt;=1,OR(AB108&lt;V108,AB108&lt;P108)),EDATE(AB108,12),AND(AH108="K5-LAW",AG108="นิติศาสตร์",OR(T108="M2",T108="K4"),W108&gt;=2,V108&lt;P108),EDATE(V108,12*2),AND(AH108="K5-LAW",AG108="นิติศาสตร์",T108="S1",W108&gt;=1,V108&lt;P108),EDATE(V108,12),AND(AH108="K5-LAW",AG108="นิติศาสตร์",OR(T108="S2",T108="K5")),V108,AND(AH108="K5-LAW",AG108="นิติศาสตร์",OR(K108="M2",K108="K4"),Q108&gt;=2),EDATE(P108,12*2),AND(AH108="K5-LAW",AG108="นิติศาสตร์",K108="S1",Q108&gt;=1),EDATE(P108,12),AND(AH108="K5-LAW",AG108="นิติศาสตร์",OR(K108="S2",K108="K5")),P108,AND(AH108="K5-POLICY",AG108&lt;&gt;"นิติศาสตร์",K108="S2",T108="",Z108=""),P108,AND(AH108="K5-POLICY",AG108&lt;&gt;"นิติศาสตร์",K108="S1",T108="",Z108=""),EDATE(P108,12),AND(AH108="K5-POLICY",AG108&lt;&gt;"นิติศาสตร์",OR(K108="M2",K108="K4"),T108="",Z108=""),EDATE(P108,12*2),AND(AH108="K5-POLICY",AG108&lt;&gt;"นิติศาสตร์",OR(Z108="M2",Z108="K4"),AC108&gt;=2,OR(AB108&lt;V108,AB108&lt;P108)),EDATE(AB108,12*2),AND(AH108="K5-POLICY",AG108&lt;&gt;"นิติศาสตร์",Z108="S1",AC108&gt;=1,OR(AB108&lt;V108,AB108&lt;P108)),EDATE(AB108,12),AND(AH108="K5-POLICY",AG108&lt;&gt;"นิติศาสตร์",OR(T108="M2",T108="K4"),W108&gt;=2,V108&lt;P108),EDATE(V108,12*2),AND(AH108="K5-POLICY",AG108&lt;&gt;"นิติศาสตร์",T108="S1",W108&gt;=1,V108&lt;P108),EDATE(V108,12),AND(AH108="K5-POLICY",AG108&lt;&gt;"นิติศาสตร์",OR(T108="S2",T108="K5")),V108,AND(AH108="K5-POLICY",AG108&lt;&gt;"นิติศาสตร์",OR(K108="M2",K108="K4"),Q108&gt;=2),EDATE(P108,12*2),AND(AH108="K5-POLICY",AG108&lt;&gt;"นิติศาสตร์",K108="S1",Q108&gt;=1),EDATE(P108,12),AND(AH108="K5-POLICY",AG108&lt;&gt;"นิติศาสตร์",OR(K108="S2",K108="K5")),P108,TRUE,"Check Data")</f>
        <v/>
      </c>
      <c r="AJ108" s="75" t="str">
        <f t="shared" si="29"/>
        <v>Check Data</v>
      </c>
      <c r="AK108" s="76" t="str">
        <f t="shared" si="30"/>
        <v>Check Data</v>
      </c>
      <c r="AL108" s="50" t="str">
        <f t="shared" si="31"/>
        <v>Check Data</v>
      </c>
      <c r="AM108" s="49" t="str">
        <f>IF(B108="","",IF(K108="S1","S1",INDEX(#REF!,#REF!)))</f>
        <v/>
      </c>
      <c r="AN108" s="49" t="str">
        <f>K108</f>
        <v>M2</v>
      </c>
      <c r="AO108" s="50" t="b">
        <f>K108=AM108</f>
        <v>0</v>
      </c>
      <c r="AP108" s="50"/>
    </row>
    <row r="109" spans="1:42" ht="21.75">
      <c r="A109" s="49">
        <v>107</v>
      </c>
      <c r="B109" s="50"/>
      <c r="C109" s="50"/>
      <c r="D109" s="50" t="s">
        <v>143</v>
      </c>
      <c r="E109" s="49" t="s">
        <v>341</v>
      </c>
      <c r="F109" s="49" t="str">
        <f t="shared" si="16"/>
        <v>29/10/2001</v>
      </c>
      <c r="G109" s="50">
        <f t="shared" si="17"/>
        <v>23</v>
      </c>
      <c r="H109" s="50">
        <f t="shared" si="18"/>
        <v>7</v>
      </c>
      <c r="I109" s="50">
        <f t="shared" si="19"/>
        <v>22</v>
      </c>
      <c r="J109" s="59"/>
      <c r="K109" s="49" t="s">
        <v>136</v>
      </c>
      <c r="L109" s="64"/>
      <c r="M109" s="49" t="s">
        <v>426</v>
      </c>
      <c r="N109" s="49">
        <v>2575</v>
      </c>
      <c r="O109" s="65" t="s">
        <v>287</v>
      </c>
      <c r="P109" s="49" t="str">
        <f t="shared" si="20"/>
        <v>29/10/2020</v>
      </c>
      <c r="Q109" s="68">
        <f t="shared" si="21"/>
        <v>4</v>
      </c>
      <c r="R109" s="68">
        <f t="shared" si="22"/>
        <v>7</v>
      </c>
      <c r="S109" s="68">
        <f t="shared" si="23"/>
        <v>22</v>
      </c>
      <c r="T109" s="65"/>
      <c r="U109" s="65"/>
      <c r="V109" s="49" t="str">
        <f t="shared" si="24"/>
        <v/>
      </c>
      <c r="W109" s="68">
        <f>IF(V109="",0,DATEDIF(V109,P109,"Y"))</f>
        <v>0</v>
      </c>
      <c r="X109" s="68">
        <f>IF(V109="",0,DATEDIF(V109,P109,"YM"))</f>
        <v>0</v>
      </c>
      <c r="Y109" s="68">
        <f>IF(V109="",0,DATEDIF(V109,P109,"MD"))</f>
        <v>0</v>
      </c>
      <c r="Z109" s="49"/>
      <c r="AA109" s="65"/>
      <c r="AB109" s="50" t="str">
        <f t="shared" si="25"/>
        <v/>
      </c>
      <c r="AC109" s="68">
        <f t="shared" si="26"/>
        <v>0</v>
      </c>
      <c r="AD109" s="68">
        <f t="shared" si="27"/>
        <v>0</v>
      </c>
      <c r="AE109" s="68">
        <f t="shared" si="28"/>
        <v>0</v>
      </c>
      <c r="AF109" s="50"/>
      <c r="AG109" s="50" t="s">
        <v>486</v>
      </c>
      <c r="AH109" s="49" t="str">
        <f>IF(AG109="นิติศาสตร์","K5-LAW","K5-POLICY")</f>
        <v>K5-POLICY</v>
      </c>
      <c r="AI109" s="72" t="str">
        <f>_xlfn.IFS(B109="","",AND(AH109="K5-LAW",AG109="นิติศาสตร์",K109="S2",T109="",Z109=""),P109,AND(AH109="K5-LAW",AG109="นิติศาสตร์",K109="S1",T109="",Z109=""),EDATE(P109,12),AND(AH109="K5-LAW",AG109="นิติศาสตร์",OR(K109="M2",K109="K4"),T109="",Z109=""),EDATE(P109,12*2),AND(AH109="K5-LAW",AG109="นิติศาสตร์",OR(Z109="M2",Z109="K4"),AC109&gt;=2,OR(AB109&lt;V109,AB109&lt;P109)),EDATE(AB109,12*2),AND(AH109="K5-LAW",AG109="นิติศาสตร์",Z109="S1",AC109&gt;=1,OR(AB109&lt;V109,AB109&lt;P109)),EDATE(AB109,12),AND(AH109="K5-LAW",AG109="นิติศาสตร์",OR(T109="M2",T109="K4"),W109&gt;=2,V109&lt;P109),EDATE(V109,12*2),AND(AH109="K5-LAW",AG109="นิติศาสตร์",T109="S1",W109&gt;=1,V109&lt;P109),EDATE(V109,12),AND(AH109="K5-LAW",AG109="นิติศาสตร์",OR(T109="S2",T109="K5")),V109,AND(AH109="K5-LAW",AG109="นิติศาสตร์",OR(K109="M2",K109="K4"),Q109&gt;=2),EDATE(P109,12*2),AND(AH109="K5-LAW",AG109="นิติศาสตร์",K109="S1",Q109&gt;=1),EDATE(P109,12),AND(AH109="K5-LAW",AG109="นิติศาสตร์",OR(K109="S2",K109="K5")),P109,AND(AH109="K5-POLICY",AG109&lt;&gt;"นิติศาสตร์",K109="S2",T109="",Z109=""),P109,AND(AH109="K5-POLICY",AG109&lt;&gt;"นิติศาสตร์",K109="S1",T109="",Z109=""),EDATE(P109,12),AND(AH109="K5-POLICY",AG109&lt;&gt;"นิติศาสตร์",OR(K109="M2",K109="K4"),T109="",Z109=""),EDATE(P109,12*2),AND(AH109="K5-POLICY",AG109&lt;&gt;"นิติศาสตร์",OR(Z109="M2",Z109="K4"),AC109&gt;=2,OR(AB109&lt;V109,AB109&lt;P109)),EDATE(AB109,12*2),AND(AH109="K5-POLICY",AG109&lt;&gt;"นิติศาสตร์",Z109="S1",AC109&gt;=1,OR(AB109&lt;V109,AB109&lt;P109)),EDATE(AB109,12),AND(AH109="K5-POLICY",AG109&lt;&gt;"นิติศาสตร์",OR(T109="M2",T109="K4"),W109&gt;=2,V109&lt;P109),EDATE(V109,12*2),AND(AH109="K5-POLICY",AG109&lt;&gt;"นิติศาสตร์",T109="S1",W109&gt;=1,V109&lt;P109),EDATE(V109,12),AND(AH109="K5-POLICY",AG109&lt;&gt;"นิติศาสตร์",OR(T109="S2",T109="K5")),V109,AND(AH109="K5-POLICY",AG109&lt;&gt;"นิติศาสตร์",OR(K109="M2",K109="K4"),Q109&gt;=2),EDATE(P109,12*2),AND(AH109="K5-POLICY",AG109&lt;&gt;"นิติศาสตร์",K109="S1",Q109&gt;=1),EDATE(P109,12),AND(AH109="K5-POLICY",AG109&lt;&gt;"นิติศาสตร์",OR(K109="S2",K109="K5")),P109,TRUE,"Check Data")</f>
        <v/>
      </c>
      <c r="AJ109" s="75" t="str">
        <f t="shared" si="29"/>
        <v>Check Data</v>
      </c>
      <c r="AK109" s="76" t="str">
        <f t="shared" si="30"/>
        <v>Check Data</v>
      </c>
      <c r="AL109" s="50" t="str">
        <f t="shared" si="31"/>
        <v>Check Data</v>
      </c>
      <c r="AM109" s="49" t="str">
        <f>IF(B109="","",IF(K109="S1","S1",INDEX(#REF!,#REF!)))</f>
        <v/>
      </c>
      <c r="AN109" s="49" t="str">
        <f>K109</f>
        <v>M2</v>
      </c>
      <c r="AO109" s="50" t="b">
        <f>K109=AM109</f>
        <v>0</v>
      </c>
      <c r="AP109" s="50"/>
    </row>
    <row r="110" spans="1:42" ht="21.75">
      <c r="A110" s="49">
        <v>108</v>
      </c>
      <c r="B110" s="50"/>
      <c r="C110" s="50"/>
      <c r="D110" s="50" t="s">
        <v>143</v>
      </c>
      <c r="E110" s="49" t="s">
        <v>355</v>
      </c>
      <c r="F110" s="49" t="str">
        <f t="shared" si="16"/>
        <v>30/04/1993</v>
      </c>
      <c r="G110" s="50">
        <f t="shared" si="17"/>
        <v>32</v>
      </c>
      <c r="H110" s="50">
        <f t="shared" si="18"/>
        <v>1</v>
      </c>
      <c r="I110" s="50">
        <f t="shared" si="19"/>
        <v>21</v>
      </c>
      <c r="J110" s="59"/>
      <c r="K110" s="49" t="s">
        <v>136</v>
      </c>
      <c r="L110" s="64"/>
      <c r="M110" s="49" t="s">
        <v>427</v>
      </c>
      <c r="N110" s="49">
        <v>2575</v>
      </c>
      <c r="O110" s="65" t="s">
        <v>287</v>
      </c>
      <c r="P110" s="49" t="str">
        <f t="shared" si="20"/>
        <v>29/10/2020</v>
      </c>
      <c r="Q110" s="68">
        <f t="shared" si="21"/>
        <v>4</v>
      </c>
      <c r="R110" s="68">
        <f t="shared" si="22"/>
        <v>7</v>
      </c>
      <c r="S110" s="68">
        <f t="shared" si="23"/>
        <v>22</v>
      </c>
      <c r="T110" s="65"/>
      <c r="U110" s="65"/>
      <c r="V110" s="49" t="str">
        <f t="shared" si="24"/>
        <v/>
      </c>
      <c r="W110" s="68">
        <f>IF(V110="",0,DATEDIF(V110,P110,"Y"))</f>
        <v>0</v>
      </c>
      <c r="X110" s="68">
        <f>IF(V110="",0,DATEDIF(V110,P110,"YM"))</f>
        <v>0</v>
      </c>
      <c r="Y110" s="68">
        <f>IF(V110="",0,DATEDIF(V110,P110,"MD"))</f>
        <v>0</v>
      </c>
      <c r="Z110" s="49"/>
      <c r="AA110" s="65"/>
      <c r="AB110" s="50" t="str">
        <f t="shared" si="25"/>
        <v/>
      </c>
      <c r="AC110" s="68">
        <f t="shared" si="26"/>
        <v>0</v>
      </c>
      <c r="AD110" s="68">
        <f t="shared" si="27"/>
        <v>0</v>
      </c>
      <c r="AE110" s="68">
        <f t="shared" si="28"/>
        <v>0</v>
      </c>
      <c r="AF110" s="50"/>
      <c r="AG110" s="50" t="s">
        <v>484</v>
      </c>
      <c r="AH110" s="49" t="str">
        <f>IF(AG110="นิติศาสตร์","K5-LAW","K5-POLICY")</f>
        <v>K5-POLICY</v>
      </c>
      <c r="AI110" s="72" t="str">
        <f>_xlfn.IFS(B110="","",AND(AH110="K5-LAW",AG110="นิติศาสตร์",K110="S2",T110="",Z110=""),P110,AND(AH110="K5-LAW",AG110="นิติศาสตร์",K110="S1",T110="",Z110=""),EDATE(P110,12),AND(AH110="K5-LAW",AG110="นิติศาสตร์",OR(K110="M2",K110="K4"),T110="",Z110=""),EDATE(P110,12*2),AND(AH110="K5-LAW",AG110="นิติศาสตร์",OR(Z110="M2",Z110="K4"),AC110&gt;=2,OR(AB110&lt;V110,AB110&lt;P110)),EDATE(AB110,12*2),AND(AH110="K5-LAW",AG110="นิติศาสตร์",Z110="S1",AC110&gt;=1,OR(AB110&lt;V110,AB110&lt;P110)),EDATE(AB110,12),AND(AH110="K5-LAW",AG110="นิติศาสตร์",OR(T110="M2",T110="K4"),W110&gt;=2,V110&lt;P110),EDATE(V110,12*2),AND(AH110="K5-LAW",AG110="นิติศาสตร์",T110="S1",W110&gt;=1,V110&lt;P110),EDATE(V110,12),AND(AH110="K5-LAW",AG110="นิติศาสตร์",OR(T110="S2",T110="K5")),V110,AND(AH110="K5-LAW",AG110="นิติศาสตร์",OR(K110="M2",K110="K4"),Q110&gt;=2),EDATE(P110,12*2),AND(AH110="K5-LAW",AG110="นิติศาสตร์",K110="S1",Q110&gt;=1),EDATE(P110,12),AND(AH110="K5-LAW",AG110="นิติศาสตร์",OR(K110="S2",K110="K5")),P110,AND(AH110="K5-POLICY",AG110&lt;&gt;"นิติศาสตร์",K110="S2",T110="",Z110=""),P110,AND(AH110="K5-POLICY",AG110&lt;&gt;"นิติศาสตร์",K110="S1",T110="",Z110=""),EDATE(P110,12),AND(AH110="K5-POLICY",AG110&lt;&gt;"นิติศาสตร์",OR(K110="M2",K110="K4"),T110="",Z110=""),EDATE(P110,12*2),AND(AH110="K5-POLICY",AG110&lt;&gt;"นิติศาสตร์",OR(Z110="M2",Z110="K4"),AC110&gt;=2,OR(AB110&lt;V110,AB110&lt;P110)),EDATE(AB110,12*2),AND(AH110="K5-POLICY",AG110&lt;&gt;"นิติศาสตร์",Z110="S1",AC110&gt;=1,OR(AB110&lt;V110,AB110&lt;P110)),EDATE(AB110,12),AND(AH110="K5-POLICY",AG110&lt;&gt;"นิติศาสตร์",OR(T110="M2",T110="K4"),W110&gt;=2,V110&lt;P110),EDATE(V110,12*2),AND(AH110="K5-POLICY",AG110&lt;&gt;"นิติศาสตร์",T110="S1",W110&gt;=1,V110&lt;P110),EDATE(V110,12),AND(AH110="K5-POLICY",AG110&lt;&gt;"นิติศาสตร์",OR(T110="S2",T110="K5")),V110,AND(AH110="K5-POLICY",AG110&lt;&gt;"นิติศาสตร์",OR(K110="M2",K110="K4"),Q110&gt;=2),EDATE(P110,12*2),AND(AH110="K5-POLICY",AG110&lt;&gt;"นิติศาสตร์",K110="S1",Q110&gt;=1),EDATE(P110,12),AND(AH110="K5-POLICY",AG110&lt;&gt;"นิติศาสตร์",OR(K110="S2",K110="K5")),P110,TRUE,"Check Data")</f>
        <v/>
      </c>
      <c r="AJ110" s="75" t="str">
        <f t="shared" si="29"/>
        <v>Check Data</v>
      </c>
      <c r="AK110" s="76" t="str">
        <f t="shared" si="30"/>
        <v>Check Data</v>
      </c>
      <c r="AL110" s="50" t="str">
        <f t="shared" si="31"/>
        <v>Check Data</v>
      </c>
      <c r="AM110" s="49" t="str">
        <f>IF(B110="","",IF(K110="S1","S1",INDEX(#REF!,#REF!)))</f>
        <v/>
      </c>
      <c r="AN110" s="49" t="str">
        <f>K110</f>
        <v>M2</v>
      </c>
      <c r="AO110" s="50" t="b">
        <f>K110=AM110</f>
        <v>0</v>
      </c>
      <c r="AP110" s="50"/>
    </row>
    <row r="111" spans="1:42" ht="21.75">
      <c r="A111" s="49">
        <v>109</v>
      </c>
      <c r="B111" s="50"/>
      <c r="C111" s="50"/>
      <c r="D111" s="50" t="s">
        <v>143</v>
      </c>
      <c r="E111" s="49" t="s">
        <v>312</v>
      </c>
      <c r="F111" s="49" t="str">
        <f t="shared" si="16"/>
        <v>04/05/2000</v>
      </c>
      <c r="G111" s="50">
        <f t="shared" si="17"/>
        <v>25</v>
      </c>
      <c r="H111" s="50">
        <f t="shared" si="18"/>
        <v>1</v>
      </c>
      <c r="I111" s="50">
        <f t="shared" si="19"/>
        <v>16</v>
      </c>
      <c r="J111" s="59"/>
      <c r="K111" s="49" t="s">
        <v>136</v>
      </c>
      <c r="L111" s="64"/>
      <c r="M111" s="49" t="s">
        <v>427</v>
      </c>
      <c r="N111" s="49">
        <v>2572</v>
      </c>
      <c r="O111" s="65" t="s">
        <v>287</v>
      </c>
      <c r="P111" s="49" t="str">
        <f t="shared" si="20"/>
        <v>29/10/2020</v>
      </c>
      <c r="Q111" s="68">
        <f t="shared" si="21"/>
        <v>4</v>
      </c>
      <c r="R111" s="68">
        <f t="shared" si="22"/>
        <v>7</v>
      </c>
      <c r="S111" s="68">
        <f t="shared" si="23"/>
        <v>22</v>
      </c>
      <c r="T111" s="65"/>
      <c r="U111" s="65"/>
      <c r="V111" s="49" t="str">
        <f t="shared" si="24"/>
        <v/>
      </c>
      <c r="W111" s="68">
        <f>IF(V111="",0,DATEDIF(V111,P111,"Y"))</f>
        <v>0</v>
      </c>
      <c r="X111" s="68">
        <f>IF(V111="",0,DATEDIF(V111,P111,"YM"))</f>
        <v>0</v>
      </c>
      <c r="Y111" s="68">
        <f>IF(V111="",0,DATEDIF(V111,P111,"MD"))</f>
        <v>0</v>
      </c>
      <c r="Z111" s="49"/>
      <c r="AA111" s="65"/>
      <c r="AB111" s="50" t="str">
        <f t="shared" si="25"/>
        <v/>
      </c>
      <c r="AC111" s="68">
        <f t="shared" si="26"/>
        <v>0</v>
      </c>
      <c r="AD111" s="68">
        <f t="shared" si="27"/>
        <v>0</v>
      </c>
      <c r="AE111" s="68">
        <f t="shared" si="28"/>
        <v>0</v>
      </c>
      <c r="AF111" s="50"/>
      <c r="AG111" s="50" t="s">
        <v>163</v>
      </c>
      <c r="AH111" s="49" t="str">
        <f>IF(AG111="นิติศาสตร์","K5-LAW","K5-POLICY")</f>
        <v>K5-POLICY</v>
      </c>
      <c r="AI111" s="72" t="str">
        <f>_xlfn.IFS(B111="","",AND(AH111="K5-LAW",AG111="นิติศาสตร์",K111="S2",T111="",Z111=""),P111,AND(AH111="K5-LAW",AG111="นิติศาสตร์",K111="S1",T111="",Z111=""),EDATE(P111,12),AND(AH111="K5-LAW",AG111="นิติศาสตร์",OR(K111="M2",K111="K4"),T111="",Z111=""),EDATE(P111,12*2),AND(AH111="K5-LAW",AG111="นิติศาสตร์",OR(Z111="M2",Z111="K4"),AC111&gt;=2,OR(AB111&lt;V111,AB111&lt;P111)),EDATE(AB111,12*2),AND(AH111="K5-LAW",AG111="นิติศาสตร์",Z111="S1",AC111&gt;=1,OR(AB111&lt;V111,AB111&lt;P111)),EDATE(AB111,12),AND(AH111="K5-LAW",AG111="นิติศาสตร์",OR(T111="M2",T111="K4"),W111&gt;=2,V111&lt;P111),EDATE(V111,12*2),AND(AH111="K5-LAW",AG111="นิติศาสตร์",T111="S1",W111&gt;=1,V111&lt;P111),EDATE(V111,12),AND(AH111="K5-LAW",AG111="นิติศาสตร์",OR(T111="S2",T111="K5")),V111,AND(AH111="K5-LAW",AG111="นิติศาสตร์",OR(K111="M2",K111="K4"),Q111&gt;=2),EDATE(P111,12*2),AND(AH111="K5-LAW",AG111="นิติศาสตร์",K111="S1",Q111&gt;=1),EDATE(P111,12),AND(AH111="K5-LAW",AG111="นิติศาสตร์",OR(K111="S2",K111="K5")),P111,AND(AH111="K5-POLICY",AG111&lt;&gt;"นิติศาสตร์",K111="S2",T111="",Z111=""),P111,AND(AH111="K5-POLICY",AG111&lt;&gt;"นิติศาสตร์",K111="S1",T111="",Z111=""),EDATE(P111,12),AND(AH111="K5-POLICY",AG111&lt;&gt;"นิติศาสตร์",OR(K111="M2",K111="K4"),T111="",Z111=""),EDATE(P111,12*2),AND(AH111="K5-POLICY",AG111&lt;&gt;"นิติศาสตร์",OR(Z111="M2",Z111="K4"),AC111&gt;=2,OR(AB111&lt;V111,AB111&lt;P111)),EDATE(AB111,12*2),AND(AH111="K5-POLICY",AG111&lt;&gt;"นิติศาสตร์",Z111="S1",AC111&gt;=1,OR(AB111&lt;V111,AB111&lt;P111)),EDATE(AB111,12),AND(AH111="K5-POLICY",AG111&lt;&gt;"นิติศาสตร์",OR(T111="M2",T111="K4"),W111&gt;=2,V111&lt;P111),EDATE(V111,12*2),AND(AH111="K5-POLICY",AG111&lt;&gt;"นิติศาสตร์",T111="S1",W111&gt;=1,V111&lt;P111),EDATE(V111,12),AND(AH111="K5-POLICY",AG111&lt;&gt;"นิติศาสตร์",OR(T111="S2",T111="K5")),V111,AND(AH111="K5-POLICY",AG111&lt;&gt;"นิติศาสตร์",OR(K111="M2",K111="K4"),Q111&gt;=2),EDATE(P111,12*2),AND(AH111="K5-POLICY",AG111&lt;&gt;"นิติศาสตร์",K111="S1",Q111&gt;=1),EDATE(P111,12),AND(AH111="K5-POLICY",AG111&lt;&gt;"นิติศาสตร์",OR(K111="S2",K111="K5")),P111,TRUE,"Check Data")</f>
        <v/>
      </c>
      <c r="AJ111" s="75" t="str">
        <f t="shared" si="29"/>
        <v>Check Data</v>
      </c>
      <c r="AK111" s="76" t="str">
        <f t="shared" si="30"/>
        <v>Check Data</v>
      </c>
      <c r="AL111" s="50" t="str">
        <f t="shared" si="31"/>
        <v>Check Data</v>
      </c>
      <c r="AM111" s="49" t="str">
        <f>IF(B111="","",IF(K111="S1","S1",INDEX(#REF!,#REF!)))</f>
        <v/>
      </c>
      <c r="AN111" s="49" t="str">
        <f>K111</f>
        <v>M2</v>
      </c>
      <c r="AO111" s="50" t="b">
        <f>K111=AM111</f>
        <v>0</v>
      </c>
      <c r="AP111" s="50"/>
    </row>
    <row r="112" spans="1:42" ht="21.75">
      <c r="A112" s="49">
        <v>110</v>
      </c>
      <c r="B112" s="50"/>
      <c r="C112" s="50"/>
      <c r="D112" s="50" t="s">
        <v>143</v>
      </c>
      <c r="E112" s="49" t="s">
        <v>289</v>
      </c>
      <c r="F112" s="49" t="str">
        <f t="shared" si="16"/>
        <v>01/07/1993</v>
      </c>
      <c r="G112" s="50">
        <f t="shared" si="17"/>
        <v>31</v>
      </c>
      <c r="H112" s="50">
        <f t="shared" si="18"/>
        <v>11</v>
      </c>
      <c r="I112" s="50">
        <f t="shared" si="19"/>
        <v>19</v>
      </c>
      <c r="J112" s="59"/>
      <c r="K112" s="49" t="s">
        <v>136</v>
      </c>
      <c r="L112" s="64"/>
      <c r="M112" s="49" t="s">
        <v>427</v>
      </c>
      <c r="N112" s="49">
        <v>2571</v>
      </c>
      <c r="O112" s="65" t="s">
        <v>287</v>
      </c>
      <c r="P112" s="49" t="str">
        <f t="shared" si="20"/>
        <v>29/10/2020</v>
      </c>
      <c r="Q112" s="68">
        <f t="shared" si="21"/>
        <v>4</v>
      </c>
      <c r="R112" s="68">
        <f t="shared" si="22"/>
        <v>7</v>
      </c>
      <c r="S112" s="68">
        <f t="shared" si="23"/>
        <v>22</v>
      </c>
      <c r="T112" s="65"/>
      <c r="U112" s="65"/>
      <c r="V112" s="49" t="str">
        <f t="shared" si="24"/>
        <v/>
      </c>
      <c r="W112" s="68">
        <f>IF(V112="",0,DATEDIF(V112,P112,"Y"))</f>
        <v>0</v>
      </c>
      <c r="X112" s="68">
        <f>IF(V112="",0,DATEDIF(V112,P112,"YM"))</f>
        <v>0</v>
      </c>
      <c r="Y112" s="68">
        <f>IF(V112="",0,DATEDIF(V112,P112,"MD"))</f>
        <v>0</v>
      </c>
      <c r="Z112" s="49"/>
      <c r="AA112" s="65"/>
      <c r="AB112" s="50" t="str">
        <f t="shared" si="25"/>
        <v/>
      </c>
      <c r="AC112" s="68">
        <f t="shared" si="26"/>
        <v>0</v>
      </c>
      <c r="AD112" s="68">
        <f t="shared" si="27"/>
        <v>0</v>
      </c>
      <c r="AE112" s="68">
        <f t="shared" si="28"/>
        <v>0</v>
      </c>
      <c r="AF112" s="50"/>
      <c r="AG112" s="50" t="s">
        <v>196</v>
      </c>
      <c r="AH112" s="49" t="str">
        <f>IF(AG112="นิติศาสตร์","K5-LAW","K5-POLICY")</f>
        <v>K5-POLICY</v>
      </c>
      <c r="AI112" s="72" t="str">
        <f>_xlfn.IFS(B112="","",AND(AH112="K5-LAW",AG112="นิติศาสตร์",K112="S2",T112="",Z112=""),P112,AND(AH112="K5-LAW",AG112="นิติศาสตร์",K112="S1",T112="",Z112=""),EDATE(P112,12),AND(AH112="K5-LAW",AG112="นิติศาสตร์",OR(K112="M2",K112="K4"),T112="",Z112=""),EDATE(P112,12*2),AND(AH112="K5-LAW",AG112="นิติศาสตร์",OR(Z112="M2",Z112="K4"),AC112&gt;=2,OR(AB112&lt;V112,AB112&lt;P112)),EDATE(AB112,12*2),AND(AH112="K5-LAW",AG112="นิติศาสตร์",Z112="S1",AC112&gt;=1,OR(AB112&lt;V112,AB112&lt;P112)),EDATE(AB112,12),AND(AH112="K5-LAW",AG112="นิติศาสตร์",OR(T112="M2",T112="K4"),W112&gt;=2,V112&lt;P112),EDATE(V112,12*2),AND(AH112="K5-LAW",AG112="นิติศาสตร์",T112="S1",W112&gt;=1,V112&lt;P112),EDATE(V112,12),AND(AH112="K5-LAW",AG112="นิติศาสตร์",OR(T112="S2",T112="K5")),V112,AND(AH112="K5-LAW",AG112="นิติศาสตร์",OR(K112="M2",K112="K4"),Q112&gt;=2),EDATE(P112,12*2),AND(AH112="K5-LAW",AG112="นิติศาสตร์",K112="S1",Q112&gt;=1),EDATE(P112,12),AND(AH112="K5-LAW",AG112="นิติศาสตร์",OR(K112="S2",K112="K5")),P112,AND(AH112="K5-POLICY",AG112&lt;&gt;"นิติศาสตร์",K112="S2",T112="",Z112=""),P112,AND(AH112="K5-POLICY",AG112&lt;&gt;"นิติศาสตร์",K112="S1",T112="",Z112=""),EDATE(P112,12),AND(AH112="K5-POLICY",AG112&lt;&gt;"นิติศาสตร์",OR(K112="M2",K112="K4"),T112="",Z112=""),EDATE(P112,12*2),AND(AH112="K5-POLICY",AG112&lt;&gt;"นิติศาสตร์",OR(Z112="M2",Z112="K4"),AC112&gt;=2,OR(AB112&lt;V112,AB112&lt;P112)),EDATE(AB112,12*2),AND(AH112="K5-POLICY",AG112&lt;&gt;"นิติศาสตร์",Z112="S1",AC112&gt;=1,OR(AB112&lt;V112,AB112&lt;P112)),EDATE(AB112,12),AND(AH112="K5-POLICY",AG112&lt;&gt;"นิติศาสตร์",OR(T112="M2",T112="K4"),W112&gt;=2,V112&lt;P112),EDATE(V112,12*2),AND(AH112="K5-POLICY",AG112&lt;&gt;"นิติศาสตร์",T112="S1",W112&gt;=1,V112&lt;P112),EDATE(V112,12),AND(AH112="K5-POLICY",AG112&lt;&gt;"นิติศาสตร์",OR(T112="S2",T112="K5")),V112,AND(AH112="K5-POLICY",AG112&lt;&gt;"นิติศาสตร์",OR(K112="M2",K112="K4"),Q112&gt;=2),EDATE(P112,12*2),AND(AH112="K5-POLICY",AG112&lt;&gt;"นิติศาสตร์",K112="S1",Q112&gt;=1),EDATE(P112,12),AND(AH112="K5-POLICY",AG112&lt;&gt;"นิติศาสตร์",OR(K112="S2",K112="K5")),P112,TRUE,"Check Data")</f>
        <v/>
      </c>
      <c r="AJ112" s="75" t="str">
        <f t="shared" si="29"/>
        <v>Check Data</v>
      </c>
      <c r="AK112" s="76" t="str">
        <f t="shared" si="30"/>
        <v>Check Data</v>
      </c>
      <c r="AL112" s="50" t="str">
        <f t="shared" si="31"/>
        <v>Check Data</v>
      </c>
      <c r="AM112" s="49" t="str">
        <f>IF(B112="","",IF(K112="S1","S1",INDEX(#REF!,#REF!)))</f>
        <v/>
      </c>
      <c r="AN112" s="49" t="str">
        <f>K112</f>
        <v>M2</v>
      </c>
      <c r="AO112" s="50" t="b">
        <f>K112=AM112</f>
        <v>0</v>
      </c>
      <c r="AP112" s="50"/>
    </row>
    <row r="113" spans="1:42" ht="21.75">
      <c r="A113" s="49">
        <v>111</v>
      </c>
      <c r="B113" s="50"/>
      <c r="C113" s="50"/>
      <c r="D113" s="50" t="s">
        <v>143</v>
      </c>
      <c r="E113" s="49" t="s">
        <v>319</v>
      </c>
      <c r="F113" s="49" t="str">
        <f t="shared" si="16"/>
        <v>01/08/2002</v>
      </c>
      <c r="G113" s="50">
        <f t="shared" si="17"/>
        <v>22</v>
      </c>
      <c r="H113" s="50">
        <f t="shared" si="18"/>
        <v>10</v>
      </c>
      <c r="I113" s="50">
        <f t="shared" si="19"/>
        <v>19</v>
      </c>
      <c r="J113" s="59"/>
      <c r="K113" s="49" t="s">
        <v>136</v>
      </c>
      <c r="L113" s="64"/>
      <c r="M113" s="49" t="s">
        <v>427</v>
      </c>
      <c r="N113" s="49">
        <v>2575</v>
      </c>
      <c r="O113" s="65" t="s">
        <v>287</v>
      </c>
      <c r="P113" s="49" t="str">
        <f t="shared" si="20"/>
        <v>29/10/2020</v>
      </c>
      <c r="Q113" s="68">
        <f t="shared" si="21"/>
        <v>4</v>
      </c>
      <c r="R113" s="68">
        <f t="shared" si="22"/>
        <v>7</v>
      </c>
      <c r="S113" s="68">
        <f t="shared" si="23"/>
        <v>22</v>
      </c>
      <c r="T113" s="65"/>
      <c r="U113" s="65"/>
      <c r="V113" s="49" t="str">
        <f t="shared" si="24"/>
        <v/>
      </c>
      <c r="W113" s="68">
        <f>IF(V113="",0,DATEDIF(V113,P113,"Y"))</f>
        <v>0</v>
      </c>
      <c r="X113" s="68">
        <f>IF(V113="",0,DATEDIF(V113,P113,"YM"))</f>
        <v>0</v>
      </c>
      <c r="Y113" s="68">
        <f>IF(V113="",0,DATEDIF(V113,P113,"MD"))</f>
        <v>0</v>
      </c>
      <c r="Z113" s="49"/>
      <c r="AA113" s="65"/>
      <c r="AB113" s="50" t="str">
        <f t="shared" si="25"/>
        <v/>
      </c>
      <c r="AC113" s="68">
        <f t="shared" si="26"/>
        <v>0</v>
      </c>
      <c r="AD113" s="68">
        <f t="shared" si="27"/>
        <v>0</v>
      </c>
      <c r="AE113" s="68">
        <f t="shared" si="28"/>
        <v>0</v>
      </c>
      <c r="AF113" s="50"/>
      <c r="AG113" s="50" t="s">
        <v>517</v>
      </c>
      <c r="AH113" s="49" t="str">
        <f>IF(AG113="นิติศาสตร์","K5-LAW","K5-POLICY")</f>
        <v>K5-POLICY</v>
      </c>
      <c r="AI113" s="72" t="str">
        <f>_xlfn.IFS(B113="","",AND(AH113="K5-LAW",AG113="นิติศาสตร์",K113="S2",T113="",Z113=""),P113,AND(AH113="K5-LAW",AG113="นิติศาสตร์",K113="S1",T113="",Z113=""),EDATE(P113,12),AND(AH113="K5-LAW",AG113="นิติศาสตร์",OR(K113="M2",K113="K4"),T113="",Z113=""),EDATE(P113,12*2),AND(AH113="K5-LAW",AG113="นิติศาสตร์",OR(Z113="M2",Z113="K4"),AC113&gt;=2,OR(AB113&lt;V113,AB113&lt;P113)),EDATE(AB113,12*2),AND(AH113="K5-LAW",AG113="นิติศาสตร์",Z113="S1",AC113&gt;=1,OR(AB113&lt;V113,AB113&lt;P113)),EDATE(AB113,12),AND(AH113="K5-LAW",AG113="นิติศาสตร์",OR(T113="M2",T113="K4"),W113&gt;=2,V113&lt;P113),EDATE(V113,12*2),AND(AH113="K5-LAW",AG113="นิติศาสตร์",T113="S1",W113&gt;=1,V113&lt;P113),EDATE(V113,12),AND(AH113="K5-LAW",AG113="นิติศาสตร์",OR(T113="S2",T113="K5")),V113,AND(AH113="K5-LAW",AG113="นิติศาสตร์",OR(K113="M2",K113="K4"),Q113&gt;=2),EDATE(P113,12*2),AND(AH113="K5-LAW",AG113="นิติศาสตร์",K113="S1",Q113&gt;=1),EDATE(P113,12),AND(AH113="K5-LAW",AG113="นิติศาสตร์",OR(K113="S2",K113="K5")),P113,AND(AH113="K5-POLICY",AG113&lt;&gt;"นิติศาสตร์",K113="S2",T113="",Z113=""),P113,AND(AH113="K5-POLICY",AG113&lt;&gt;"นิติศาสตร์",K113="S1",T113="",Z113=""),EDATE(P113,12),AND(AH113="K5-POLICY",AG113&lt;&gt;"นิติศาสตร์",OR(K113="M2",K113="K4"),T113="",Z113=""),EDATE(P113,12*2),AND(AH113="K5-POLICY",AG113&lt;&gt;"นิติศาสตร์",OR(Z113="M2",Z113="K4"),AC113&gt;=2,OR(AB113&lt;V113,AB113&lt;P113)),EDATE(AB113,12*2),AND(AH113="K5-POLICY",AG113&lt;&gt;"นิติศาสตร์",Z113="S1",AC113&gt;=1,OR(AB113&lt;V113,AB113&lt;P113)),EDATE(AB113,12),AND(AH113="K5-POLICY",AG113&lt;&gt;"นิติศาสตร์",OR(T113="M2",T113="K4"),W113&gt;=2,V113&lt;P113),EDATE(V113,12*2),AND(AH113="K5-POLICY",AG113&lt;&gt;"นิติศาสตร์",T113="S1",W113&gt;=1,V113&lt;P113),EDATE(V113,12),AND(AH113="K5-POLICY",AG113&lt;&gt;"นิติศาสตร์",OR(T113="S2",T113="K5")),V113,AND(AH113="K5-POLICY",AG113&lt;&gt;"นิติศาสตร์",OR(K113="M2",K113="K4"),Q113&gt;=2),EDATE(P113,12*2),AND(AH113="K5-POLICY",AG113&lt;&gt;"นิติศาสตร์",K113="S1",Q113&gt;=1),EDATE(P113,12),AND(AH113="K5-POLICY",AG113&lt;&gt;"นิติศาสตร์",OR(K113="S2",K113="K5")),P113,TRUE,"Check Data")</f>
        <v/>
      </c>
      <c r="AJ113" s="75" t="str">
        <f t="shared" si="29"/>
        <v>Check Data</v>
      </c>
      <c r="AK113" s="76" t="str">
        <f t="shared" si="30"/>
        <v>Check Data</v>
      </c>
      <c r="AL113" s="50" t="str">
        <f t="shared" si="31"/>
        <v>Check Data</v>
      </c>
      <c r="AM113" s="49" t="str">
        <f>IF(B113="","",IF(K113="S1","S1",INDEX(#REF!,#REF!)))</f>
        <v/>
      </c>
      <c r="AN113" s="49" t="str">
        <f>K113</f>
        <v>M2</v>
      </c>
      <c r="AO113" s="50" t="b">
        <f>K113=AM113</f>
        <v>0</v>
      </c>
      <c r="AP113" s="50"/>
    </row>
    <row r="114" spans="1:42" ht="21.75">
      <c r="A114" s="49">
        <v>112</v>
      </c>
      <c r="B114" s="50"/>
      <c r="C114" s="50"/>
      <c r="D114" s="50" t="s">
        <v>139</v>
      </c>
      <c r="E114" s="49" t="s">
        <v>208</v>
      </c>
      <c r="F114" s="49" t="str">
        <f t="shared" si="16"/>
        <v>01/02/1990</v>
      </c>
      <c r="G114" s="50">
        <f t="shared" si="17"/>
        <v>35</v>
      </c>
      <c r="H114" s="50">
        <f t="shared" si="18"/>
        <v>4</v>
      </c>
      <c r="I114" s="50">
        <f t="shared" si="19"/>
        <v>19</v>
      </c>
      <c r="J114" s="56"/>
      <c r="K114" s="49" t="s">
        <v>136</v>
      </c>
      <c r="L114" s="64"/>
      <c r="M114" s="49" t="s">
        <v>425</v>
      </c>
      <c r="N114" s="49">
        <v>2571</v>
      </c>
      <c r="O114" s="65" t="s">
        <v>225</v>
      </c>
      <c r="P114" s="49" t="str">
        <f t="shared" si="20"/>
        <v>30/11/2020</v>
      </c>
      <c r="Q114" s="68">
        <f t="shared" si="21"/>
        <v>4</v>
      </c>
      <c r="R114" s="68">
        <f t="shared" si="22"/>
        <v>6</v>
      </c>
      <c r="S114" s="68">
        <f t="shared" si="23"/>
        <v>21</v>
      </c>
      <c r="T114" s="65"/>
      <c r="U114" s="65"/>
      <c r="V114" s="49" t="str">
        <f t="shared" si="24"/>
        <v/>
      </c>
      <c r="W114" s="68">
        <f>IF(V114="",0,DATEDIF(V114,P114,"Y"))</f>
        <v>0</v>
      </c>
      <c r="X114" s="68">
        <f>IF(V114="",0,DATEDIF(V114,P114,"YM"))</f>
        <v>0</v>
      </c>
      <c r="Y114" s="68">
        <f>IF(V114="",0,DATEDIF(V114,P114,"MD"))</f>
        <v>0</v>
      </c>
      <c r="Z114" s="49"/>
      <c r="AA114" s="65"/>
      <c r="AB114" s="50" t="str">
        <f t="shared" si="25"/>
        <v/>
      </c>
      <c r="AC114" s="68">
        <f t="shared" si="26"/>
        <v>0</v>
      </c>
      <c r="AD114" s="68">
        <f t="shared" si="27"/>
        <v>0</v>
      </c>
      <c r="AE114" s="68">
        <f t="shared" si="28"/>
        <v>0</v>
      </c>
      <c r="AF114" s="50"/>
      <c r="AG114" s="50" t="s">
        <v>167</v>
      </c>
      <c r="AH114" s="49" t="str">
        <f>IF(AG114="นิติศาสตร์","K5-LAW","K5-POLICY")</f>
        <v>K5-POLICY</v>
      </c>
      <c r="AI114" s="72" t="str">
        <f>_xlfn.IFS(B114="","",AND(AH114="K5-LAW",AG114="นิติศาสตร์",K114="S2",T114="",Z114=""),P114,AND(AH114="K5-LAW",AG114="นิติศาสตร์",K114="S1",T114="",Z114=""),EDATE(P114,12),AND(AH114="K5-LAW",AG114="นิติศาสตร์",OR(K114="M2",K114="K4"),T114="",Z114=""),EDATE(P114,12*2),AND(AH114="K5-LAW",AG114="นิติศาสตร์",OR(Z114="M2",Z114="K4"),AC114&gt;=2,OR(AB114&lt;V114,AB114&lt;P114)),EDATE(AB114,12*2),AND(AH114="K5-LAW",AG114="นิติศาสตร์",Z114="S1",AC114&gt;=1,OR(AB114&lt;V114,AB114&lt;P114)),EDATE(AB114,12),AND(AH114="K5-LAW",AG114="นิติศาสตร์",OR(T114="M2",T114="K4"),W114&gt;=2,V114&lt;P114),EDATE(V114,12*2),AND(AH114="K5-LAW",AG114="นิติศาสตร์",T114="S1",W114&gt;=1,V114&lt;P114),EDATE(V114,12),AND(AH114="K5-LAW",AG114="นิติศาสตร์",OR(T114="S2",T114="K5")),V114,AND(AH114="K5-LAW",AG114="นิติศาสตร์",OR(K114="M2",K114="K4"),Q114&gt;=2),EDATE(P114,12*2),AND(AH114="K5-LAW",AG114="นิติศาสตร์",K114="S1",Q114&gt;=1),EDATE(P114,12),AND(AH114="K5-LAW",AG114="นิติศาสตร์",OR(K114="S2",K114="K5")),P114,AND(AH114="K5-POLICY",AG114&lt;&gt;"นิติศาสตร์",K114="S2",T114="",Z114=""),P114,AND(AH114="K5-POLICY",AG114&lt;&gt;"นิติศาสตร์",K114="S1",T114="",Z114=""),EDATE(P114,12),AND(AH114="K5-POLICY",AG114&lt;&gt;"นิติศาสตร์",OR(K114="M2",K114="K4"),T114="",Z114=""),EDATE(P114,12*2),AND(AH114="K5-POLICY",AG114&lt;&gt;"นิติศาสตร์",OR(Z114="M2",Z114="K4"),AC114&gt;=2,OR(AB114&lt;V114,AB114&lt;P114)),EDATE(AB114,12*2),AND(AH114="K5-POLICY",AG114&lt;&gt;"นิติศาสตร์",Z114="S1",AC114&gt;=1,OR(AB114&lt;V114,AB114&lt;P114)),EDATE(AB114,12),AND(AH114="K5-POLICY",AG114&lt;&gt;"นิติศาสตร์",OR(T114="M2",T114="K4"),W114&gt;=2,V114&lt;P114),EDATE(V114,12*2),AND(AH114="K5-POLICY",AG114&lt;&gt;"นิติศาสตร์",T114="S1",W114&gt;=1,V114&lt;P114),EDATE(V114,12),AND(AH114="K5-POLICY",AG114&lt;&gt;"นิติศาสตร์",OR(T114="S2",T114="K5")),V114,AND(AH114="K5-POLICY",AG114&lt;&gt;"นิติศาสตร์",OR(K114="M2",K114="K4"),Q114&gt;=2),EDATE(P114,12*2),AND(AH114="K5-POLICY",AG114&lt;&gt;"นิติศาสตร์",K114="S1",Q114&gt;=1),EDATE(P114,12),AND(AH114="K5-POLICY",AG114&lt;&gt;"นิติศาสตร์",OR(K114="S2",K114="K5")),P114,TRUE,"Check Data")</f>
        <v/>
      </c>
      <c r="AJ114" s="75" t="str">
        <f t="shared" si="29"/>
        <v>Check Data</v>
      </c>
      <c r="AK114" s="76" t="str">
        <f t="shared" si="30"/>
        <v>Check Data</v>
      </c>
      <c r="AL114" s="50" t="str">
        <f t="shared" si="31"/>
        <v>Check Data</v>
      </c>
      <c r="AM114" s="49" t="str">
        <f>IF(B114="","",IF(K114="S1","S1",INDEX(#REF!,#REF!)))</f>
        <v/>
      </c>
      <c r="AN114" s="49" t="str">
        <f>K114</f>
        <v>M2</v>
      </c>
      <c r="AO114" s="50" t="b">
        <f>K114=AM114</f>
        <v>0</v>
      </c>
      <c r="AP114" s="50"/>
    </row>
    <row r="115" spans="1:42" ht="21.75">
      <c r="A115" s="49">
        <v>113</v>
      </c>
      <c r="B115" s="50"/>
      <c r="C115" s="50"/>
      <c r="D115" s="50" t="s">
        <v>139</v>
      </c>
      <c r="E115" s="49" t="s">
        <v>176</v>
      </c>
      <c r="F115" s="49" t="str">
        <f t="shared" si="16"/>
        <v>01/03/1990</v>
      </c>
      <c r="G115" s="50">
        <f t="shared" si="17"/>
        <v>35</v>
      </c>
      <c r="H115" s="50">
        <f t="shared" si="18"/>
        <v>3</v>
      </c>
      <c r="I115" s="50">
        <f t="shared" si="19"/>
        <v>19</v>
      </c>
      <c r="J115" s="58"/>
      <c r="K115" s="49" t="s">
        <v>136</v>
      </c>
      <c r="L115" s="64"/>
      <c r="M115" s="49" t="s">
        <v>427</v>
      </c>
      <c r="N115" s="49">
        <v>2569</v>
      </c>
      <c r="O115" s="65" t="s">
        <v>225</v>
      </c>
      <c r="P115" s="49" t="str">
        <f t="shared" si="20"/>
        <v>30/11/2020</v>
      </c>
      <c r="Q115" s="68">
        <f t="shared" si="21"/>
        <v>4</v>
      </c>
      <c r="R115" s="68">
        <f t="shared" si="22"/>
        <v>6</v>
      </c>
      <c r="S115" s="68">
        <f t="shared" si="23"/>
        <v>21</v>
      </c>
      <c r="T115" s="65"/>
      <c r="U115" s="65"/>
      <c r="V115" s="49" t="str">
        <f t="shared" si="24"/>
        <v/>
      </c>
      <c r="W115" s="68">
        <f>IF(V115="",0,DATEDIF(V115,P115,"Y"))</f>
        <v>0</v>
      </c>
      <c r="X115" s="68">
        <f>IF(V115="",0,DATEDIF(V115,P115,"YM"))</f>
        <v>0</v>
      </c>
      <c r="Y115" s="68">
        <f>IF(V115="",0,DATEDIF(V115,P115,"MD"))</f>
        <v>0</v>
      </c>
      <c r="Z115" s="49"/>
      <c r="AA115" s="65"/>
      <c r="AB115" s="50" t="str">
        <f t="shared" si="25"/>
        <v/>
      </c>
      <c r="AC115" s="68">
        <f t="shared" si="26"/>
        <v>0</v>
      </c>
      <c r="AD115" s="68">
        <f t="shared" si="27"/>
        <v>0</v>
      </c>
      <c r="AE115" s="68">
        <f t="shared" si="28"/>
        <v>0</v>
      </c>
      <c r="AF115" s="50"/>
      <c r="AG115" s="50" t="s">
        <v>138</v>
      </c>
      <c r="AH115" s="49" t="str">
        <f>IF(AG115="นิติศาสตร์","K5-LAW","K5-POLICY")</f>
        <v>K5-LAW</v>
      </c>
      <c r="AI115" s="72" t="str">
        <f>_xlfn.IFS(B115="","",AND(AH115="K5-LAW",AG115="นิติศาสตร์",K115="S2",T115="",Z115=""),P115,AND(AH115="K5-LAW",AG115="นิติศาสตร์",K115="S1",T115="",Z115=""),EDATE(P115,12),AND(AH115="K5-LAW",AG115="นิติศาสตร์",OR(K115="M2",K115="K4"),T115="",Z115=""),EDATE(P115,12*2),AND(AH115="K5-LAW",AG115="นิติศาสตร์",OR(Z115="M2",Z115="K4"),AC115&gt;=2,OR(AB115&lt;V115,AB115&lt;P115)),EDATE(AB115,12*2),AND(AH115="K5-LAW",AG115="นิติศาสตร์",Z115="S1",AC115&gt;=1,OR(AB115&lt;V115,AB115&lt;P115)),EDATE(AB115,12),AND(AH115="K5-LAW",AG115="นิติศาสตร์",OR(T115="M2",T115="K4"),W115&gt;=2,V115&lt;P115),EDATE(V115,12*2),AND(AH115="K5-LAW",AG115="นิติศาสตร์",T115="S1",W115&gt;=1,V115&lt;P115),EDATE(V115,12),AND(AH115="K5-LAW",AG115="นิติศาสตร์",OR(T115="S2",T115="K5")),V115,AND(AH115="K5-LAW",AG115="นิติศาสตร์",OR(K115="M2",K115="K4"),Q115&gt;=2),EDATE(P115,12*2),AND(AH115="K5-LAW",AG115="นิติศาสตร์",K115="S1",Q115&gt;=1),EDATE(P115,12),AND(AH115="K5-LAW",AG115="นิติศาสตร์",OR(K115="S2",K115="K5")),P115,AND(AH115="K5-POLICY",AG115&lt;&gt;"นิติศาสตร์",K115="S2",T115="",Z115=""),P115,AND(AH115="K5-POLICY",AG115&lt;&gt;"นิติศาสตร์",K115="S1",T115="",Z115=""),EDATE(P115,12),AND(AH115="K5-POLICY",AG115&lt;&gt;"นิติศาสตร์",OR(K115="M2",K115="K4"),T115="",Z115=""),EDATE(P115,12*2),AND(AH115="K5-POLICY",AG115&lt;&gt;"นิติศาสตร์",OR(Z115="M2",Z115="K4"),AC115&gt;=2,OR(AB115&lt;V115,AB115&lt;P115)),EDATE(AB115,12*2),AND(AH115="K5-POLICY",AG115&lt;&gt;"นิติศาสตร์",Z115="S1",AC115&gt;=1,OR(AB115&lt;V115,AB115&lt;P115)),EDATE(AB115,12),AND(AH115="K5-POLICY",AG115&lt;&gt;"นิติศาสตร์",OR(T115="M2",T115="K4"),W115&gt;=2,V115&lt;P115),EDATE(V115,12*2),AND(AH115="K5-POLICY",AG115&lt;&gt;"นิติศาสตร์",T115="S1",W115&gt;=1,V115&lt;P115),EDATE(V115,12),AND(AH115="K5-POLICY",AG115&lt;&gt;"นิติศาสตร์",OR(T115="S2",T115="K5")),V115,AND(AH115="K5-POLICY",AG115&lt;&gt;"นิติศาสตร์",OR(K115="M2",K115="K4"),Q115&gt;=2),EDATE(P115,12*2),AND(AH115="K5-POLICY",AG115&lt;&gt;"นิติศาสตร์",K115="S1",Q115&gt;=1),EDATE(P115,12),AND(AH115="K5-POLICY",AG115&lt;&gt;"นิติศาสตร์",OR(K115="S2",K115="K5")),P115,TRUE,"Check Data")</f>
        <v/>
      </c>
      <c r="AJ115" s="75" t="str">
        <f t="shared" si="29"/>
        <v>Check Data</v>
      </c>
      <c r="AK115" s="76" t="str">
        <f t="shared" si="30"/>
        <v>Check Data</v>
      </c>
      <c r="AL115" s="50" t="str">
        <f t="shared" si="31"/>
        <v>Check Data</v>
      </c>
      <c r="AM115" s="49" t="str">
        <f>IF(B115="","",IF(K115="S1","S1",INDEX(#REF!,#REF!)))</f>
        <v/>
      </c>
      <c r="AN115" s="49" t="str">
        <f>K115</f>
        <v>M2</v>
      </c>
      <c r="AO115" s="50" t="b">
        <f>K115=AM115</f>
        <v>0</v>
      </c>
      <c r="AP115" s="50"/>
    </row>
    <row r="116" spans="1:42" ht="21.75">
      <c r="A116" s="49">
        <v>114</v>
      </c>
      <c r="B116" s="50"/>
      <c r="C116" s="50"/>
      <c r="D116" s="50" t="s">
        <v>139</v>
      </c>
      <c r="E116" s="49" t="s">
        <v>231</v>
      </c>
      <c r="F116" s="49" t="str">
        <f t="shared" si="16"/>
        <v>15/05/1995</v>
      </c>
      <c r="G116" s="50">
        <f t="shared" si="17"/>
        <v>30</v>
      </c>
      <c r="H116" s="50">
        <f t="shared" si="18"/>
        <v>1</v>
      </c>
      <c r="I116" s="50">
        <f t="shared" si="19"/>
        <v>5</v>
      </c>
      <c r="J116" s="58"/>
      <c r="K116" s="49" t="s">
        <v>136</v>
      </c>
      <c r="L116" s="64"/>
      <c r="M116" s="49" t="s">
        <v>427</v>
      </c>
      <c r="N116" s="49">
        <v>2574</v>
      </c>
      <c r="O116" s="65" t="s">
        <v>225</v>
      </c>
      <c r="P116" s="49" t="str">
        <f t="shared" si="20"/>
        <v>30/11/2020</v>
      </c>
      <c r="Q116" s="68">
        <f t="shared" si="21"/>
        <v>4</v>
      </c>
      <c r="R116" s="68">
        <f t="shared" si="22"/>
        <v>6</v>
      </c>
      <c r="S116" s="68">
        <f t="shared" si="23"/>
        <v>21</v>
      </c>
      <c r="T116" s="65"/>
      <c r="U116" s="65"/>
      <c r="V116" s="49" t="str">
        <f t="shared" si="24"/>
        <v/>
      </c>
      <c r="W116" s="68">
        <f>IF(V116="",0,DATEDIF(V116,P116,"Y"))</f>
        <v>0</v>
      </c>
      <c r="X116" s="68">
        <f>IF(V116="",0,DATEDIF(V116,P116,"YM"))</f>
        <v>0</v>
      </c>
      <c r="Y116" s="68">
        <f>IF(V116="",0,DATEDIF(V116,P116,"MD"))</f>
        <v>0</v>
      </c>
      <c r="Z116" s="49"/>
      <c r="AA116" s="65"/>
      <c r="AB116" s="50" t="str">
        <f t="shared" si="25"/>
        <v/>
      </c>
      <c r="AC116" s="68">
        <f t="shared" si="26"/>
        <v>0</v>
      </c>
      <c r="AD116" s="68">
        <f t="shared" si="27"/>
        <v>0</v>
      </c>
      <c r="AE116" s="68">
        <f t="shared" si="28"/>
        <v>0</v>
      </c>
      <c r="AF116" s="50"/>
      <c r="AG116" s="50" t="s">
        <v>163</v>
      </c>
      <c r="AH116" s="49" t="str">
        <f>IF(AG116="นิติศาสตร์","K5-LAW","K5-POLICY")</f>
        <v>K5-POLICY</v>
      </c>
      <c r="AI116" s="72" t="str">
        <f>_xlfn.IFS(B116="","",AND(AH116="K5-LAW",AG116="นิติศาสตร์",K116="S2",T116="",Z116=""),P116,AND(AH116="K5-LAW",AG116="นิติศาสตร์",K116="S1",T116="",Z116=""),EDATE(P116,12),AND(AH116="K5-LAW",AG116="นิติศาสตร์",OR(K116="M2",K116="K4"),T116="",Z116=""),EDATE(P116,12*2),AND(AH116="K5-LAW",AG116="นิติศาสตร์",OR(Z116="M2",Z116="K4"),AC116&gt;=2,OR(AB116&lt;V116,AB116&lt;P116)),EDATE(AB116,12*2),AND(AH116="K5-LAW",AG116="นิติศาสตร์",Z116="S1",AC116&gt;=1,OR(AB116&lt;V116,AB116&lt;P116)),EDATE(AB116,12),AND(AH116="K5-LAW",AG116="นิติศาสตร์",OR(T116="M2",T116="K4"),W116&gt;=2,V116&lt;P116),EDATE(V116,12*2),AND(AH116="K5-LAW",AG116="นิติศาสตร์",T116="S1",W116&gt;=1,V116&lt;P116),EDATE(V116,12),AND(AH116="K5-LAW",AG116="นิติศาสตร์",OR(T116="S2",T116="K5")),V116,AND(AH116="K5-LAW",AG116="นิติศาสตร์",OR(K116="M2",K116="K4"),Q116&gt;=2),EDATE(P116,12*2),AND(AH116="K5-LAW",AG116="นิติศาสตร์",K116="S1",Q116&gt;=1),EDATE(P116,12),AND(AH116="K5-LAW",AG116="นิติศาสตร์",OR(K116="S2",K116="K5")),P116,AND(AH116="K5-POLICY",AG116&lt;&gt;"นิติศาสตร์",K116="S2",T116="",Z116=""),P116,AND(AH116="K5-POLICY",AG116&lt;&gt;"นิติศาสตร์",K116="S1",T116="",Z116=""),EDATE(P116,12),AND(AH116="K5-POLICY",AG116&lt;&gt;"นิติศาสตร์",OR(K116="M2",K116="K4"),T116="",Z116=""),EDATE(P116,12*2),AND(AH116="K5-POLICY",AG116&lt;&gt;"นิติศาสตร์",OR(Z116="M2",Z116="K4"),AC116&gt;=2,OR(AB116&lt;V116,AB116&lt;P116)),EDATE(AB116,12*2),AND(AH116="K5-POLICY",AG116&lt;&gt;"นิติศาสตร์",Z116="S1",AC116&gt;=1,OR(AB116&lt;V116,AB116&lt;P116)),EDATE(AB116,12),AND(AH116="K5-POLICY",AG116&lt;&gt;"นิติศาสตร์",OR(T116="M2",T116="K4"),W116&gt;=2,V116&lt;P116),EDATE(V116,12*2),AND(AH116="K5-POLICY",AG116&lt;&gt;"นิติศาสตร์",T116="S1",W116&gt;=1,V116&lt;P116),EDATE(V116,12),AND(AH116="K5-POLICY",AG116&lt;&gt;"นิติศาสตร์",OR(T116="S2",T116="K5")),V116,AND(AH116="K5-POLICY",AG116&lt;&gt;"นิติศาสตร์",OR(K116="M2",K116="K4"),Q116&gt;=2),EDATE(P116,12*2),AND(AH116="K5-POLICY",AG116&lt;&gt;"นิติศาสตร์",K116="S1",Q116&gt;=1),EDATE(P116,12),AND(AH116="K5-POLICY",AG116&lt;&gt;"นิติศาสตร์",OR(K116="S2",K116="K5")),P116,TRUE,"Check Data")</f>
        <v/>
      </c>
      <c r="AJ116" s="75" t="str">
        <f t="shared" si="29"/>
        <v>Check Data</v>
      </c>
      <c r="AK116" s="76" t="str">
        <f t="shared" si="30"/>
        <v>Check Data</v>
      </c>
      <c r="AL116" s="50" t="str">
        <f t="shared" si="31"/>
        <v>Check Data</v>
      </c>
      <c r="AM116" s="49" t="str">
        <f>IF(B116="","",IF(K116="S1","S1",INDEX(#REF!,#REF!)))</f>
        <v/>
      </c>
      <c r="AN116" s="49" t="str">
        <f>K116</f>
        <v>M2</v>
      </c>
      <c r="AO116" s="50" t="b">
        <f>K116=AM116</f>
        <v>0</v>
      </c>
      <c r="AP116" s="50"/>
    </row>
    <row r="117" spans="1:42" ht="21.75">
      <c r="A117" s="49">
        <v>115</v>
      </c>
      <c r="B117" s="50"/>
      <c r="C117" s="50"/>
      <c r="D117" s="50" t="s">
        <v>139</v>
      </c>
      <c r="E117" s="49" t="s">
        <v>224</v>
      </c>
      <c r="F117" s="49" t="str">
        <f t="shared" si="16"/>
        <v>23/04/1997</v>
      </c>
      <c r="G117" s="50">
        <f t="shared" si="17"/>
        <v>28</v>
      </c>
      <c r="H117" s="50">
        <f t="shared" si="18"/>
        <v>1</v>
      </c>
      <c r="I117" s="50">
        <f t="shared" si="19"/>
        <v>28</v>
      </c>
      <c r="J117" s="56"/>
      <c r="K117" s="49" t="s">
        <v>136</v>
      </c>
      <c r="L117" s="64"/>
      <c r="M117" s="49" t="s">
        <v>427</v>
      </c>
      <c r="N117" s="49">
        <v>2573</v>
      </c>
      <c r="O117" s="65" t="s">
        <v>225</v>
      </c>
      <c r="P117" s="49" t="str">
        <f t="shared" si="20"/>
        <v>30/11/2020</v>
      </c>
      <c r="Q117" s="68">
        <f t="shared" si="21"/>
        <v>4</v>
      </c>
      <c r="R117" s="68">
        <f t="shared" si="22"/>
        <v>6</v>
      </c>
      <c r="S117" s="68">
        <f t="shared" si="23"/>
        <v>21</v>
      </c>
      <c r="T117" s="65"/>
      <c r="U117" s="65"/>
      <c r="V117" s="49" t="str">
        <f t="shared" si="24"/>
        <v/>
      </c>
      <c r="W117" s="68">
        <f>IF(V117="",0,DATEDIF(V117,P117,"Y"))</f>
        <v>0</v>
      </c>
      <c r="X117" s="68">
        <f>IF(V117="",0,DATEDIF(V117,P117,"YM"))</f>
        <v>0</v>
      </c>
      <c r="Y117" s="68">
        <f>IF(V117="",0,DATEDIF(V117,P117,"MD"))</f>
        <v>0</v>
      </c>
      <c r="Z117" s="49"/>
      <c r="AA117" s="65"/>
      <c r="AB117" s="50" t="str">
        <f t="shared" si="25"/>
        <v/>
      </c>
      <c r="AC117" s="68">
        <f t="shared" si="26"/>
        <v>0</v>
      </c>
      <c r="AD117" s="68">
        <f t="shared" si="27"/>
        <v>0</v>
      </c>
      <c r="AE117" s="68">
        <f t="shared" si="28"/>
        <v>0</v>
      </c>
      <c r="AF117" s="50"/>
      <c r="AG117" s="50" t="s">
        <v>167</v>
      </c>
      <c r="AH117" s="49" t="str">
        <f>IF(AG117="นิติศาสตร์","K5-LAW","K5-POLICY")</f>
        <v>K5-POLICY</v>
      </c>
      <c r="AI117" s="72" t="str">
        <f>_xlfn.IFS(B117="","",AND(AH117="K5-LAW",AG117="นิติศาสตร์",K117="S2",T117="",Z117=""),P117,AND(AH117="K5-LAW",AG117="นิติศาสตร์",K117="S1",T117="",Z117=""),EDATE(P117,12),AND(AH117="K5-LAW",AG117="นิติศาสตร์",OR(K117="M2",K117="K4"),T117="",Z117=""),EDATE(P117,12*2),AND(AH117="K5-LAW",AG117="นิติศาสตร์",OR(Z117="M2",Z117="K4"),AC117&gt;=2,OR(AB117&lt;V117,AB117&lt;P117)),EDATE(AB117,12*2),AND(AH117="K5-LAW",AG117="นิติศาสตร์",Z117="S1",AC117&gt;=1,OR(AB117&lt;V117,AB117&lt;P117)),EDATE(AB117,12),AND(AH117="K5-LAW",AG117="นิติศาสตร์",OR(T117="M2",T117="K4"),W117&gt;=2,V117&lt;P117),EDATE(V117,12*2),AND(AH117="K5-LAW",AG117="นิติศาสตร์",T117="S1",W117&gt;=1,V117&lt;P117),EDATE(V117,12),AND(AH117="K5-LAW",AG117="นิติศาสตร์",OR(T117="S2",T117="K5")),V117,AND(AH117="K5-LAW",AG117="นิติศาสตร์",OR(K117="M2",K117="K4"),Q117&gt;=2),EDATE(P117,12*2),AND(AH117="K5-LAW",AG117="นิติศาสตร์",K117="S1",Q117&gt;=1),EDATE(P117,12),AND(AH117="K5-LAW",AG117="นิติศาสตร์",OR(K117="S2",K117="K5")),P117,AND(AH117="K5-POLICY",AG117&lt;&gt;"นิติศาสตร์",K117="S2",T117="",Z117=""),P117,AND(AH117="K5-POLICY",AG117&lt;&gt;"นิติศาสตร์",K117="S1",T117="",Z117=""),EDATE(P117,12),AND(AH117="K5-POLICY",AG117&lt;&gt;"นิติศาสตร์",OR(K117="M2",K117="K4"),T117="",Z117=""),EDATE(P117,12*2),AND(AH117="K5-POLICY",AG117&lt;&gt;"นิติศาสตร์",OR(Z117="M2",Z117="K4"),AC117&gt;=2,OR(AB117&lt;V117,AB117&lt;P117)),EDATE(AB117,12*2),AND(AH117="K5-POLICY",AG117&lt;&gt;"นิติศาสตร์",Z117="S1",AC117&gt;=1,OR(AB117&lt;V117,AB117&lt;P117)),EDATE(AB117,12),AND(AH117="K5-POLICY",AG117&lt;&gt;"นิติศาสตร์",OR(T117="M2",T117="K4"),W117&gt;=2,V117&lt;P117),EDATE(V117,12*2),AND(AH117="K5-POLICY",AG117&lt;&gt;"นิติศาสตร์",T117="S1",W117&gt;=1,V117&lt;P117),EDATE(V117,12),AND(AH117="K5-POLICY",AG117&lt;&gt;"นิติศาสตร์",OR(T117="S2",T117="K5")),V117,AND(AH117="K5-POLICY",AG117&lt;&gt;"นิติศาสตร์",OR(K117="M2",K117="K4"),Q117&gt;=2),EDATE(P117,12*2),AND(AH117="K5-POLICY",AG117&lt;&gt;"นิติศาสตร์",K117="S1",Q117&gt;=1),EDATE(P117,12),AND(AH117="K5-POLICY",AG117&lt;&gt;"นิติศาสตร์",OR(K117="S2",K117="K5")),P117,TRUE,"Check Data")</f>
        <v/>
      </c>
      <c r="AJ117" s="75" t="str">
        <f t="shared" si="29"/>
        <v>Check Data</v>
      </c>
      <c r="AK117" s="76" t="str">
        <f t="shared" si="30"/>
        <v>Check Data</v>
      </c>
      <c r="AL117" s="50" t="str">
        <f t="shared" si="31"/>
        <v>Check Data</v>
      </c>
      <c r="AM117" s="49" t="str">
        <f>IF(B117="","",IF(K117="S1","S1",INDEX(#REF!,#REF!)))</f>
        <v/>
      </c>
      <c r="AN117" s="49" t="str">
        <f>K117</f>
        <v>M2</v>
      </c>
      <c r="AO117" s="50" t="b">
        <f>K117=AM117</f>
        <v>0</v>
      </c>
      <c r="AP117" s="50"/>
    </row>
    <row r="118" spans="1:42" ht="21.75">
      <c r="A118" s="49">
        <v>116</v>
      </c>
      <c r="B118" s="50"/>
      <c r="C118" s="50"/>
      <c r="D118" s="50" t="s">
        <v>146</v>
      </c>
      <c r="E118" s="49" t="s">
        <v>395</v>
      </c>
      <c r="F118" s="49" t="str">
        <f t="shared" si="16"/>
        <v>01/07/2003</v>
      </c>
      <c r="G118" s="50">
        <f t="shared" si="17"/>
        <v>21</v>
      </c>
      <c r="H118" s="50">
        <f t="shared" si="18"/>
        <v>11</v>
      </c>
      <c r="I118" s="50">
        <f t="shared" si="19"/>
        <v>19</v>
      </c>
      <c r="J118" s="57"/>
      <c r="K118" s="49" t="s">
        <v>136</v>
      </c>
      <c r="L118" s="64"/>
      <c r="M118" s="49" t="s">
        <v>427</v>
      </c>
      <c r="N118" s="49">
        <v>2578</v>
      </c>
      <c r="O118" s="65" t="s">
        <v>225</v>
      </c>
      <c r="P118" s="49" t="str">
        <f t="shared" si="20"/>
        <v>30/11/2020</v>
      </c>
      <c r="Q118" s="68">
        <f t="shared" si="21"/>
        <v>4</v>
      </c>
      <c r="R118" s="68">
        <f t="shared" si="22"/>
        <v>6</v>
      </c>
      <c r="S118" s="68">
        <f t="shared" si="23"/>
        <v>21</v>
      </c>
      <c r="T118" s="65"/>
      <c r="U118" s="65"/>
      <c r="V118" s="49" t="str">
        <f t="shared" si="24"/>
        <v/>
      </c>
      <c r="W118" s="68">
        <f>IF(V118="",0,DATEDIF(V118,P118,"Y"))</f>
        <v>0</v>
      </c>
      <c r="X118" s="68">
        <f>IF(V118="",0,DATEDIF(V118,P118,"YM"))</f>
        <v>0</v>
      </c>
      <c r="Y118" s="68">
        <f>IF(V118="",0,DATEDIF(V118,P118,"MD"))</f>
        <v>0</v>
      </c>
      <c r="Z118" s="49"/>
      <c r="AA118" s="65"/>
      <c r="AB118" s="50" t="str">
        <f t="shared" si="25"/>
        <v/>
      </c>
      <c r="AC118" s="68">
        <f t="shared" si="26"/>
        <v>0</v>
      </c>
      <c r="AD118" s="68">
        <f t="shared" si="27"/>
        <v>0</v>
      </c>
      <c r="AE118" s="68">
        <f t="shared" si="28"/>
        <v>0</v>
      </c>
      <c r="AF118" s="50"/>
      <c r="AG118" s="50" t="s">
        <v>175</v>
      </c>
      <c r="AH118" s="49" t="str">
        <f>IF(AG118="นิติศาสตร์","K5-LAW","K5-POLICY")</f>
        <v>K5-POLICY</v>
      </c>
      <c r="AI118" s="72" t="str">
        <f>_xlfn.IFS(B118="","",AND(AH118="K5-LAW",AG118="นิติศาสตร์",K118="S2",T118="",Z118=""),P118,AND(AH118="K5-LAW",AG118="นิติศาสตร์",K118="S1",T118="",Z118=""),EDATE(P118,12),AND(AH118="K5-LAW",AG118="นิติศาสตร์",OR(K118="M2",K118="K4"),T118="",Z118=""),EDATE(P118,12*2),AND(AH118="K5-LAW",AG118="นิติศาสตร์",OR(Z118="M2",Z118="K4"),AC118&gt;=2,OR(AB118&lt;V118,AB118&lt;P118)),EDATE(AB118,12*2),AND(AH118="K5-LAW",AG118="นิติศาสตร์",Z118="S1",AC118&gt;=1,OR(AB118&lt;V118,AB118&lt;P118)),EDATE(AB118,12),AND(AH118="K5-LAW",AG118="นิติศาสตร์",OR(T118="M2",T118="K4"),W118&gt;=2,V118&lt;P118),EDATE(V118,12*2),AND(AH118="K5-LAW",AG118="นิติศาสตร์",T118="S1",W118&gt;=1,V118&lt;P118),EDATE(V118,12),AND(AH118="K5-LAW",AG118="นิติศาสตร์",OR(T118="S2",T118="K5")),V118,AND(AH118="K5-LAW",AG118="นิติศาสตร์",OR(K118="M2",K118="K4"),Q118&gt;=2),EDATE(P118,12*2),AND(AH118="K5-LAW",AG118="นิติศาสตร์",K118="S1",Q118&gt;=1),EDATE(P118,12),AND(AH118="K5-LAW",AG118="นิติศาสตร์",OR(K118="S2",K118="K5")),P118,AND(AH118="K5-POLICY",AG118&lt;&gt;"นิติศาสตร์",K118="S2",T118="",Z118=""),P118,AND(AH118="K5-POLICY",AG118&lt;&gt;"นิติศาสตร์",K118="S1",T118="",Z118=""),EDATE(P118,12),AND(AH118="K5-POLICY",AG118&lt;&gt;"นิติศาสตร์",OR(K118="M2",K118="K4"),T118="",Z118=""),EDATE(P118,12*2),AND(AH118="K5-POLICY",AG118&lt;&gt;"นิติศาสตร์",OR(Z118="M2",Z118="K4"),AC118&gt;=2,OR(AB118&lt;V118,AB118&lt;P118)),EDATE(AB118,12*2),AND(AH118="K5-POLICY",AG118&lt;&gt;"นิติศาสตร์",Z118="S1",AC118&gt;=1,OR(AB118&lt;V118,AB118&lt;P118)),EDATE(AB118,12),AND(AH118="K5-POLICY",AG118&lt;&gt;"นิติศาสตร์",OR(T118="M2",T118="K4"),W118&gt;=2,V118&lt;P118),EDATE(V118,12*2),AND(AH118="K5-POLICY",AG118&lt;&gt;"นิติศาสตร์",T118="S1",W118&gt;=1,V118&lt;P118),EDATE(V118,12),AND(AH118="K5-POLICY",AG118&lt;&gt;"นิติศาสตร์",OR(T118="S2",T118="K5")),V118,AND(AH118="K5-POLICY",AG118&lt;&gt;"นิติศาสตร์",OR(K118="M2",K118="K4"),Q118&gt;=2),EDATE(P118,12*2),AND(AH118="K5-POLICY",AG118&lt;&gt;"นิติศาสตร์",K118="S1",Q118&gt;=1),EDATE(P118,12),AND(AH118="K5-POLICY",AG118&lt;&gt;"นิติศาสตร์",OR(K118="S2",K118="K5")),P118,TRUE,"Check Data")</f>
        <v/>
      </c>
      <c r="AJ118" s="75" t="str">
        <f t="shared" si="29"/>
        <v>Check Data</v>
      </c>
      <c r="AK118" s="76" t="str">
        <f t="shared" si="30"/>
        <v>Check Data</v>
      </c>
      <c r="AL118" s="50" t="str">
        <f t="shared" si="31"/>
        <v>Check Data</v>
      </c>
      <c r="AM118" s="49" t="str">
        <f>IF(B118="","",IF(K118="S1","S1",INDEX(#REF!,#REF!)))</f>
        <v/>
      </c>
      <c r="AN118" s="49" t="str">
        <f>K118</f>
        <v>M2</v>
      </c>
      <c r="AO118" s="50" t="b">
        <f>K118=AM118</f>
        <v>0</v>
      </c>
      <c r="AP118" s="50"/>
    </row>
    <row r="119" spans="1:42" ht="21.75">
      <c r="A119" s="49">
        <v>117</v>
      </c>
      <c r="B119" s="50"/>
      <c r="C119" s="53"/>
      <c r="D119" s="50" t="s">
        <v>142</v>
      </c>
      <c r="E119" s="49" t="s">
        <v>273</v>
      </c>
      <c r="F119" s="49" t="str">
        <f t="shared" si="16"/>
        <v>28/04/1985</v>
      </c>
      <c r="G119" s="50">
        <f t="shared" si="17"/>
        <v>40</v>
      </c>
      <c r="H119" s="50">
        <f t="shared" si="18"/>
        <v>1</v>
      </c>
      <c r="I119" s="50">
        <f t="shared" si="19"/>
        <v>23</v>
      </c>
      <c r="J119" s="58"/>
      <c r="K119" s="49" t="s">
        <v>136</v>
      </c>
      <c r="L119" s="64"/>
      <c r="M119" s="49" t="s">
        <v>427</v>
      </c>
      <c r="N119" s="49">
        <v>2569</v>
      </c>
      <c r="O119" s="65" t="s">
        <v>225</v>
      </c>
      <c r="P119" s="49" t="str">
        <f t="shared" si="20"/>
        <v>30/11/2020</v>
      </c>
      <c r="Q119" s="68">
        <f t="shared" si="21"/>
        <v>4</v>
      </c>
      <c r="R119" s="68">
        <f t="shared" si="22"/>
        <v>6</v>
      </c>
      <c r="S119" s="68">
        <f t="shared" si="23"/>
        <v>21</v>
      </c>
      <c r="T119" s="65"/>
      <c r="U119" s="65"/>
      <c r="V119" s="49" t="str">
        <f t="shared" si="24"/>
        <v/>
      </c>
      <c r="W119" s="68">
        <f>IF(V119="",0,DATEDIF(V119,P119,"Y"))</f>
        <v>0</v>
      </c>
      <c r="X119" s="68">
        <f>IF(V119="",0,DATEDIF(V119,P119,"YM"))</f>
        <v>0</v>
      </c>
      <c r="Y119" s="68">
        <f>IF(V119="",0,DATEDIF(V119,P119,"MD"))</f>
        <v>0</v>
      </c>
      <c r="Z119" s="49"/>
      <c r="AA119" s="65"/>
      <c r="AB119" s="50" t="str">
        <f t="shared" si="25"/>
        <v/>
      </c>
      <c r="AC119" s="68">
        <f t="shared" si="26"/>
        <v>0</v>
      </c>
      <c r="AD119" s="68">
        <f t="shared" si="27"/>
        <v>0</v>
      </c>
      <c r="AE119" s="68">
        <f t="shared" si="28"/>
        <v>0</v>
      </c>
      <c r="AF119" s="50"/>
      <c r="AG119" s="50" t="s">
        <v>178</v>
      </c>
      <c r="AH119" s="49" t="str">
        <f>IF(AG119="นิติศาสตร์","K5-LAW","K5-POLICY")</f>
        <v>K5-POLICY</v>
      </c>
      <c r="AI119" s="72" t="str">
        <f>_xlfn.IFS(B119="","",AND(AH119="K5-LAW",AG119="นิติศาสตร์",K119="S2",T119="",Z119=""),P119,AND(AH119="K5-LAW",AG119="นิติศาสตร์",K119="S1",T119="",Z119=""),EDATE(P119,12),AND(AH119="K5-LAW",AG119="นิติศาสตร์",OR(K119="M2",K119="K4"),T119="",Z119=""),EDATE(P119,12*2),AND(AH119="K5-LAW",AG119="นิติศาสตร์",OR(Z119="M2",Z119="K4"),AC119&gt;=2,OR(AB119&lt;V119,AB119&lt;P119)),EDATE(AB119,12*2),AND(AH119="K5-LAW",AG119="นิติศาสตร์",Z119="S1",AC119&gt;=1,OR(AB119&lt;V119,AB119&lt;P119)),EDATE(AB119,12),AND(AH119="K5-LAW",AG119="นิติศาสตร์",OR(T119="M2",T119="K4"),W119&gt;=2,V119&lt;P119),EDATE(V119,12*2),AND(AH119="K5-LAW",AG119="นิติศาสตร์",T119="S1",W119&gt;=1,V119&lt;P119),EDATE(V119,12),AND(AH119="K5-LAW",AG119="นิติศาสตร์",OR(T119="S2",T119="K5")),V119,AND(AH119="K5-LAW",AG119="นิติศาสตร์",OR(K119="M2",K119="K4"),Q119&gt;=2),EDATE(P119,12*2),AND(AH119="K5-LAW",AG119="นิติศาสตร์",K119="S1",Q119&gt;=1),EDATE(P119,12),AND(AH119="K5-LAW",AG119="นิติศาสตร์",OR(K119="S2",K119="K5")),P119,AND(AH119="K5-POLICY",AG119&lt;&gt;"นิติศาสตร์",K119="S2",T119="",Z119=""),P119,AND(AH119="K5-POLICY",AG119&lt;&gt;"นิติศาสตร์",K119="S1",T119="",Z119=""),EDATE(P119,12),AND(AH119="K5-POLICY",AG119&lt;&gt;"นิติศาสตร์",OR(K119="M2",K119="K4"),T119="",Z119=""),EDATE(P119,12*2),AND(AH119="K5-POLICY",AG119&lt;&gt;"นิติศาสตร์",OR(Z119="M2",Z119="K4"),AC119&gt;=2,OR(AB119&lt;V119,AB119&lt;P119)),EDATE(AB119,12*2),AND(AH119="K5-POLICY",AG119&lt;&gt;"นิติศาสตร์",Z119="S1",AC119&gt;=1,OR(AB119&lt;V119,AB119&lt;P119)),EDATE(AB119,12),AND(AH119="K5-POLICY",AG119&lt;&gt;"นิติศาสตร์",OR(T119="M2",T119="K4"),W119&gt;=2,V119&lt;P119),EDATE(V119,12*2),AND(AH119="K5-POLICY",AG119&lt;&gt;"นิติศาสตร์",T119="S1",W119&gt;=1,V119&lt;P119),EDATE(V119,12),AND(AH119="K5-POLICY",AG119&lt;&gt;"นิติศาสตร์",OR(T119="S2",T119="K5")),V119,AND(AH119="K5-POLICY",AG119&lt;&gt;"นิติศาสตร์",OR(K119="M2",K119="K4"),Q119&gt;=2),EDATE(P119,12*2),AND(AH119="K5-POLICY",AG119&lt;&gt;"นิติศาสตร์",K119="S1",Q119&gt;=1),EDATE(P119,12),AND(AH119="K5-POLICY",AG119&lt;&gt;"นิติศาสตร์",OR(K119="S2",K119="K5")),P119,TRUE,"Check Data")</f>
        <v/>
      </c>
      <c r="AJ119" s="75" t="str">
        <f t="shared" si="29"/>
        <v>Check Data</v>
      </c>
      <c r="AK119" s="76" t="str">
        <f t="shared" si="30"/>
        <v>Check Data</v>
      </c>
      <c r="AL119" s="50" t="str">
        <f t="shared" si="31"/>
        <v>Check Data</v>
      </c>
      <c r="AM119" s="49" t="str">
        <f>IF(B119="","",IF(K119="S1","S1",INDEX(#REF!,#REF!)))</f>
        <v/>
      </c>
      <c r="AN119" s="49" t="str">
        <f>K119</f>
        <v>M2</v>
      </c>
      <c r="AO119" s="50" t="b">
        <f>K119=AM119</f>
        <v>0</v>
      </c>
      <c r="AP119" s="50"/>
    </row>
    <row r="120" spans="1:42" ht="21.75">
      <c r="A120" s="49">
        <v>118</v>
      </c>
      <c r="B120" s="50"/>
      <c r="C120" s="50"/>
      <c r="D120" s="50" t="s">
        <v>142</v>
      </c>
      <c r="E120" s="49" t="s">
        <v>282</v>
      </c>
      <c r="F120" s="49" t="str">
        <f t="shared" si="16"/>
        <v>12/12/2000</v>
      </c>
      <c r="G120" s="50">
        <f t="shared" si="17"/>
        <v>24</v>
      </c>
      <c r="H120" s="50">
        <f t="shared" si="18"/>
        <v>6</v>
      </c>
      <c r="I120" s="50">
        <f t="shared" si="19"/>
        <v>8</v>
      </c>
      <c r="J120" s="58"/>
      <c r="K120" s="49" t="s">
        <v>136</v>
      </c>
      <c r="L120" s="64"/>
      <c r="M120" s="49" t="s">
        <v>427</v>
      </c>
      <c r="N120" s="49">
        <v>2581</v>
      </c>
      <c r="O120" s="65" t="s">
        <v>225</v>
      </c>
      <c r="P120" s="49" t="str">
        <f t="shared" si="20"/>
        <v>30/11/2020</v>
      </c>
      <c r="Q120" s="68">
        <f t="shared" si="21"/>
        <v>4</v>
      </c>
      <c r="R120" s="68">
        <f t="shared" si="22"/>
        <v>6</v>
      </c>
      <c r="S120" s="68">
        <f t="shared" si="23"/>
        <v>21</v>
      </c>
      <c r="T120" s="65"/>
      <c r="U120" s="65"/>
      <c r="V120" s="49" t="str">
        <f t="shared" si="24"/>
        <v/>
      </c>
      <c r="W120" s="68">
        <f>IF(V120="",0,DATEDIF(V120,P120,"Y"))</f>
        <v>0</v>
      </c>
      <c r="X120" s="68">
        <f>IF(V120="",0,DATEDIF(V120,P120,"YM"))</f>
        <v>0</v>
      </c>
      <c r="Y120" s="68">
        <f>IF(V120="",0,DATEDIF(V120,P120,"MD"))</f>
        <v>0</v>
      </c>
      <c r="Z120" s="49"/>
      <c r="AA120" s="65"/>
      <c r="AB120" s="50" t="str">
        <f t="shared" si="25"/>
        <v/>
      </c>
      <c r="AC120" s="68">
        <f t="shared" si="26"/>
        <v>0</v>
      </c>
      <c r="AD120" s="68">
        <f t="shared" si="27"/>
        <v>0</v>
      </c>
      <c r="AE120" s="68">
        <f t="shared" si="28"/>
        <v>0</v>
      </c>
      <c r="AF120" s="50"/>
      <c r="AG120" s="50" t="s">
        <v>138</v>
      </c>
      <c r="AH120" s="49" t="str">
        <f>IF(AG120="นิติศาสตร์","K5-LAW","K5-POLICY")</f>
        <v>K5-LAW</v>
      </c>
      <c r="AI120" s="72" t="str">
        <f>_xlfn.IFS(B120="","",AND(AH120="K5-LAW",AG120="นิติศาสตร์",K120="S2",T120="",Z120=""),P120,AND(AH120="K5-LAW",AG120="นิติศาสตร์",K120="S1",T120="",Z120=""),EDATE(P120,12),AND(AH120="K5-LAW",AG120="นิติศาสตร์",OR(K120="M2",K120="K4"),T120="",Z120=""),EDATE(P120,12*2),AND(AH120="K5-LAW",AG120="นิติศาสตร์",OR(Z120="M2",Z120="K4"),AC120&gt;=2,OR(AB120&lt;V120,AB120&lt;P120)),EDATE(AB120,12*2),AND(AH120="K5-LAW",AG120="นิติศาสตร์",Z120="S1",AC120&gt;=1,OR(AB120&lt;V120,AB120&lt;P120)),EDATE(AB120,12),AND(AH120="K5-LAW",AG120="นิติศาสตร์",OR(T120="M2",T120="K4"),W120&gt;=2,V120&lt;P120),EDATE(V120,12*2),AND(AH120="K5-LAW",AG120="นิติศาสตร์",T120="S1",W120&gt;=1,V120&lt;P120),EDATE(V120,12),AND(AH120="K5-LAW",AG120="นิติศาสตร์",OR(T120="S2",T120="K5")),V120,AND(AH120="K5-LAW",AG120="นิติศาสตร์",OR(K120="M2",K120="K4"),Q120&gt;=2),EDATE(P120,12*2),AND(AH120="K5-LAW",AG120="นิติศาสตร์",K120="S1",Q120&gt;=1),EDATE(P120,12),AND(AH120="K5-LAW",AG120="นิติศาสตร์",OR(K120="S2",K120="K5")),P120,AND(AH120="K5-POLICY",AG120&lt;&gt;"นิติศาสตร์",K120="S2",T120="",Z120=""),P120,AND(AH120="K5-POLICY",AG120&lt;&gt;"นิติศาสตร์",K120="S1",T120="",Z120=""),EDATE(P120,12),AND(AH120="K5-POLICY",AG120&lt;&gt;"นิติศาสตร์",OR(K120="M2",K120="K4"),T120="",Z120=""),EDATE(P120,12*2),AND(AH120="K5-POLICY",AG120&lt;&gt;"นิติศาสตร์",OR(Z120="M2",Z120="K4"),AC120&gt;=2,OR(AB120&lt;V120,AB120&lt;P120)),EDATE(AB120,12*2),AND(AH120="K5-POLICY",AG120&lt;&gt;"นิติศาสตร์",Z120="S1",AC120&gt;=1,OR(AB120&lt;V120,AB120&lt;P120)),EDATE(AB120,12),AND(AH120="K5-POLICY",AG120&lt;&gt;"นิติศาสตร์",OR(T120="M2",T120="K4"),W120&gt;=2,V120&lt;P120),EDATE(V120,12*2),AND(AH120="K5-POLICY",AG120&lt;&gt;"นิติศาสตร์",T120="S1",W120&gt;=1,V120&lt;P120),EDATE(V120,12),AND(AH120="K5-POLICY",AG120&lt;&gt;"นิติศาสตร์",OR(T120="S2",T120="K5")),V120,AND(AH120="K5-POLICY",AG120&lt;&gt;"นิติศาสตร์",OR(K120="M2",K120="K4"),Q120&gt;=2),EDATE(P120,12*2),AND(AH120="K5-POLICY",AG120&lt;&gt;"นิติศาสตร์",K120="S1",Q120&gt;=1),EDATE(P120,12),AND(AH120="K5-POLICY",AG120&lt;&gt;"นิติศาสตร์",OR(K120="S2",K120="K5")),P120,TRUE,"Check Data")</f>
        <v/>
      </c>
      <c r="AJ120" s="75" t="str">
        <f t="shared" si="29"/>
        <v>Check Data</v>
      </c>
      <c r="AK120" s="76" t="str">
        <f t="shared" si="30"/>
        <v>Check Data</v>
      </c>
      <c r="AL120" s="50" t="str">
        <f t="shared" si="31"/>
        <v>Check Data</v>
      </c>
      <c r="AM120" s="49" t="str">
        <f>IF(B120="","",IF(K120="S1","S1",INDEX(#REF!,#REF!)))</f>
        <v/>
      </c>
      <c r="AN120" s="49" t="str">
        <f>K120</f>
        <v>M2</v>
      </c>
      <c r="AO120" s="50" t="b">
        <f>K120=AM120</f>
        <v>0</v>
      </c>
      <c r="AP120" s="50"/>
    </row>
    <row r="121" spans="1:42" ht="21.75">
      <c r="A121" s="49">
        <v>119</v>
      </c>
      <c r="B121" s="50"/>
      <c r="C121" s="50"/>
      <c r="D121" s="50" t="s">
        <v>144</v>
      </c>
      <c r="E121" s="49" t="s">
        <v>375</v>
      </c>
      <c r="F121" s="49" t="str">
        <f t="shared" si="16"/>
        <v>06/05/1986</v>
      </c>
      <c r="G121" s="50">
        <f t="shared" si="17"/>
        <v>39</v>
      </c>
      <c r="H121" s="50">
        <f t="shared" si="18"/>
        <v>1</v>
      </c>
      <c r="I121" s="50">
        <f t="shared" si="19"/>
        <v>14</v>
      </c>
      <c r="J121" s="57"/>
      <c r="K121" s="49" t="s">
        <v>136</v>
      </c>
      <c r="L121" s="64"/>
      <c r="M121" s="49" t="s">
        <v>425</v>
      </c>
      <c r="N121" s="49">
        <v>2570</v>
      </c>
      <c r="O121" s="65" t="s">
        <v>376</v>
      </c>
      <c r="P121" s="49" t="str">
        <f t="shared" si="20"/>
        <v>10/03/2021</v>
      </c>
      <c r="Q121" s="68">
        <f t="shared" si="21"/>
        <v>4</v>
      </c>
      <c r="R121" s="68">
        <f t="shared" si="22"/>
        <v>3</v>
      </c>
      <c r="S121" s="68">
        <f t="shared" si="23"/>
        <v>10</v>
      </c>
      <c r="T121" s="65"/>
      <c r="U121" s="65"/>
      <c r="V121" s="49" t="str">
        <f t="shared" si="24"/>
        <v/>
      </c>
      <c r="W121" s="68">
        <f>IF(V121="",0,DATEDIF(V121,P121,"Y"))</f>
        <v>0</v>
      </c>
      <c r="X121" s="68">
        <f>IF(V121="",0,DATEDIF(V121,P121,"YM"))</f>
        <v>0</v>
      </c>
      <c r="Y121" s="68">
        <f>IF(V121="",0,DATEDIF(V121,P121,"MD"))</f>
        <v>0</v>
      </c>
      <c r="Z121" s="49"/>
      <c r="AA121" s="65"/>
      <c r="AB121" s="50" t="str">
        <f t="shared" si="25"/>
        <v/>
      </c>
      <c r="AC121" s="68">
        <f t="shared" si="26"/>
        <v>0</v>
      </c>
      <c r="AD121" s="68">
        <f t="shared" si="27"/>
        <v>0</v>
      </c>
      <c r="AE121" s="68">
        <f t="shared" si="28"/>
        <v>0</v>
      </c>
      <c r="AF121" s="50"/>
      <c r="AG121" s="50" t="s">
        <v>138</v>
      </c>
      <c r="AH121" s="49" t="str">
        <f>IF(AG121="นิติศาสตร์","K5-LAW","K5-POLICY")</f>
        <v>K5-LAW</v>
      </c>
      <c r="AI121" s="72" t="str">
        <f>_xlfn.IFS(B121="","",AND(AH121="K5-LAW",AG121="นิติศาสตร์",K121="S2",T121="",Z121=""),P121,AND(AH121="K5-LAW",AG121="นิติศาสตร์",K121="S1",T121="",Z121=""),EDATE(P121,12),AND(AH121="K5-LAW",AG121="นิติศาสตร์",OR(K121="M2",K121="K4"),T121="",Z121=""),EDATE(P121,12*2),AND(AH121="K5-LAW",AG121="นิติศาสตร์",OR(Z121="M2",Z121="K4"),AC121&gt;=2,OR(AB121&lt;V121,AB121&lt;P121)),EDATE(AB121,12*2),AND(AH121="K5-LAW",AG121="นิติศาสตร์",Z121="S1",AC121&gt;=1,OR(AB121&lt;V121,AB121&lt;P121)),EDATE(AB121,12),AND(AH121="K5-LAW",AG121="นิติศาสตร์",OR(T121="M2",T121="K4"),W121&gt;=2,V121&lt;P121),EDATE(V121,12*2),AND(AH121="K5-LAW",AG121="นิติศาสตร์",T121="S1",W121&gt;=1,V121&lt;P121),EDATE(V121,12),AND(AH121="K5-LAW",AG121="นิติศาสตร์",OR(T121="S2",T121="K5")),V121,AND(AH121="K5-LAW",AG121="นิติศาสตร์",OR(K121="M2",K121="K4"),Q121&gt;=2),EDATE(P121,12*2),AND(AH121="K5-LAW",AG121="นิติศาสตร์",K121="S1",Q121&gt;=1),EDATE(P121,12),AND(AH121="K5-LAW",AG121="นิติศาสตร์",OR(K121="S2",K121="K5")),P121,AND(AH121="K5-POLICY",AG121&lt;&gt;"นิติศาสตร์",K121="S2",T121="",Z121=""),P121,AND(AH121="K5-POLICY",AG121&lt;&gt;"นิติศาสตร์",K121="S1",T121="",Z121=""),EDATE(P121,12),AND(AH121="K5-POLICY",AG121&lt;&gt;"นิติศาสตร์",OR(K121="M2",K121="K4"),T121="",Z121=""),EDATE(P121,12*2),AND(AH121="K5-POLICY",AG121&lt;&gt;"นิติศาสตร์",OR(Z121="M2",Z121="K4"),AC121&gt;=2,OR(AB121&lt;V121,AB121&lt;P121)),EDATE(AB121,12*2),AND(AH121="K5-POLICY",AG121&lt;&gt;"นิติศาสตร์",Z121="S1",AC121&gt;=1,OR(AB121&lt;V121,AB121&lt;P121)),EDATE(AB121,12),AND(AH121="K5-POLICY",AG121&lt;&gt;"นิติศาสตร์",OR(T121="M2",T121="K4"),W121&gt;=2,V121&lt;P121),EDATE(V121,12*2),AND(AH121="K5-POLICY",AG121&lt;&gt;"นิติศาสตร์",T121="S1",W121&gt;=1,V121&lt;P121),EDATE(V121,12),AND(AH121="K5-POLICY",AG121&lt;&gt;"นิติศาสตร์",OR(T121="S2",T121="K5")),V121,AND(AH121="K5-POLICY",AG121&lt;&gt;"นิติศาสตร์",OR(K121="M2",K121="K4"),Q121&gt;=2),EDATE(P121,12*2),AND(AH121="K5-POLICY",AG121&lt;&gt;"นิติศาสตร์",K121="S1",Q121&gt;=1),EDATE(P121,12),AND(AH121="K5-POLICY",AG121&lt;&gt;"นิติศาสตร์",OR(K121="S2",K121="K5")),P121,TRUE,"Check Data")</f>
        <v/>
      </c>
      <c r="AJ121" s="75" t="str">
        <f t="shared" si="29"/>
        <v>Check Data</v>
      </c>
      <c r="AK121" s="76" t="str">
        <f t="shared" si="30"/>
        <v>Check Data</v>
      </c>
      <c r="AL121" s="50" t="str">
        <f t="shared" si="31"/>
        <v>Check Data</v>
      </c>
      <c r="AM121" s="49" t="str">
        <f>IF(B121="","",IF(K121="S1","S1",INDEX(#REF!,#REF!)))</f>
        <v/>
      </c>
      <c r="AN121" s="49" t="str">
        <f>K121</f>
        <v>M2</v>
      </c>
      <c r="AO121" s="50" t="b">
        <f>K121=AM121</f>
        <v>0</v>
      </c>
      <c r="AP121" s="50"/>
    </row>
    <row r="122" spans="1:42" ht="21.75">
      <c r="A122" s="49">
        <v>120</v>
      </c>
      <c r="B122" s="50"/>
      <c r="C122" s="50"/>
      <c r="D122" s="50" t="s">
        <v>143</v>
      </c>
      <c r="E122" s="49" t="s">
        <v>309</v>
      </c>
      <c r="F122" s="49" t="str">
        <f t="shared" si="16"/>
        <v>01/06/1995</v>
      </c>
      <c r="G122" s="50">
        <f t="shared" si="17"/>
        <v>30</v>
      </c>
      <c r="H122" s="50">
        <f t="shared" si="18"/>
        <v>0</v>
      </c>
      <c r="I122" s="50">
        <f t="shared" si="19"/>
        <v>19</v>
      </c>
      <c r="J122" s="59"/>
      <c r="K122" s="49" t="s">
        <v>136</v>
      </c>
      <c r="L122" s="64"/>
      <c r="M122" s="49" t="s">
        <v>427</v>
      </c>
      <c r="N122" s="49">
        <v>2573</v>
      </c>
      <c r="O122" s="65" t="s">
        <v>310</v>
      </c>
      <c r="P122" s="49" t="str">
        <f t="shared" si="20"/>
        <v>07/05/2021</v>
      </c>
      <c r="Q122" s="68">
        <f t="shared" si="21"/>
        <v>4</v>
      </c>
      <c r="R122" s="68">
        <f t="shared" si="22"/>
        <v>1</v>
      </c>
      <c r="S122" s="68">
        <f t="shared" si="23"/>
        <v>13</v>
      </c>
      <c r="T122" s="65"/>
      <c r="U122" s="65"/>
      <c r="V122" s="49" t="str">
        <f t="shared" si="24"/>
        <v/>
      </c>
      <c r="W122" s="68">
        <f>IF(V122="",0,DATEDIF(V122,P122,"Y"))</f>
        <v>0</v>
      </c>
      <c r="X122" s="68">
        <f>IF(V122="",0,DATEDIF(V122,P122,"YM"))</f>
        <v>0</v>
      </c>
      <c r="Y122" s="68">
        <f>IF(V122="",0,DATEDIF(V122,P122,"MD"))</f>
        <v>0</v>
      </c>
      <c r="Z122" s="49"/>
      <c r="AA122" s="65"/>
      <c r="AB122" s="50" t="str">
        <f t="shared" si="25"/>
        <v/>
      </c>
      <c r="AC122" s="68">
        <f t="shared" si="26"/>
        <v>0</v>
      </c>
      <c r="AD122" s="68">
        <f t="shared" si="27"/>
        <v>0</v>
      </c>
      <c r="AE122" s="68">
        <f t="shared" si="28"/>
        <v>0</v>
      </c>
      <c r="AF122" s="50"/>
      <c r="AG122" s="50" t="s">
        <v>518</v>
      </c>
      <c r="AH122" s="49" t="str">
        <f>IF(AG122="นิติศาสตร์","K5-LAW","K5-POLICY")</f>
        <v>K5-POLICY</v>
      </c>
      <c r="AI122" s="72" t="str">
        <f>_xlfn.IFS(B122="","",AND(AH122="K5-LAW",AG122="นิติศาสตร์",K122="S2",T122="",Z122=""),P122,AND(AH122="K5-LAW",AG122="นิติศาสตร์",K122="S1",T122="",Z122=""),EDATE(P122,12),AND(AH122="K5-LAW",AG122="นิติศาสตร์",OR(K122="M2",K122="K4"),T122="",Z122=""),EDATE(P122,12*2),AND(AH122="K5-LAW",AG122="นิติศาสตร์",OR(Z122="M2",Z122="K4"),AC122&gt;=2,OR(AB122&lt;V122,AB122&lt;P122)),EDATE(AB122,12*2),AND(AH122="K5-LAW",AG122="นิติศาสตร์",Z122="S1",AC122&gt;=1,OR(AB122&lt;V122,AB122&lt;P122)),EDATE(AB122,12),AND(AH122="K5-LAW",AG122="นิติศาสตร์",OR(T122="M2",T122="K4"),W122&gt;=2,V122&lt;P122),EDATE(V122,12*2),AND(AH122="K5-LAW",AG122="นิติศาสตร์",T122="S1",W122&gt;=1,V122&lt;P122),EDATE(V122,12),AND(AH122="K5-LAW",AG122="นิติศาสตร์",OR(T122="S2",T122="K5")),V122,AND(AH122="K5-LAW",AG122="นิติศาสตร์",OR(K122="M2",K122="K4"),Q122&gt;=2),EDATE(P122,12*2),AND(AH122="K5-LAW",AG122="นิติศาสตร์",K122="S1",Q122&gt;=1),EDATE(P122,12),AND(AH122="K5-LAW",AG122="นิติศาสตร์",OR(K122="S2",K122="K5")),P122,AND(AH122="K5-POLICY",AG122&lt;&gt;"นิติศาสตร์",K122="S2",T122="",Z122=""),P122,AND(AH122="K5-POLICY",AG122&lt;&gt;"นิติศาสตร์",K122="S1",T122="",Z122=""),EDATE(P122,12),AND(AH122="K5-POLICY",AG122&lt;&gt;"นิติศาสตร์",OR(K122="M2",K122="K4"),T122="",Z122=""),EDATE(P122,12*2),AND(AH122="K5-POLICY",AG122&lt;&gt;"นิติศาสตร์",OR(Z122="M2",Z122="K4"),AC122&gt;=2,OR(AB122&lt;V122,AB122&lt;P122)),EDATE(AB122,12*2),AND(AH122="K5-POLICY",AG122&lt;&gt;"นิติศาสตร์",Z122="S1",AC122&gt;=1,OR(AB122&lt;V122,AB122&lt;P122)),EDATE(AB122,12),AND(AH122="K5-POLICY",AG122&lt;&gt;"นิติศาสตร์",OR(T122="M2",T122="K4"),W122&gt;=2,V122&lt;P122),EDATE(V122,12*2),AND(AH122="K5-POLICY",AG122&lt;&gt;"นิติศาสตร์",T122="S1",W122&gt;=1,V122&lt;P122),EDATE(V122,12),AND(AH122="K5-POLICY",AG122&lt;&gt;"นิติศาสตร์",OR(T122="S2",T122="K5")),V122,AND(AH122="K5-POLICY",AG122&lt;&gt;"นิติศาสตร์",OR(K122="M2",K122="K4"),Q122&gt;=2),EDATE(P122,12*2),AND(AH122="K5-POLICY",AG122&lt;&gt;"นิติศาสตร์",K122="S1",Q122&gt;=1),EDATE(P122,12),AND(AH122="K5-POLICY",AG122&lt;&gt;"นิติศาสตร์",OR(K122="S2",K122="K5")),P122,TRUE,"Check Data")</f>
        <v/>
      </c>
      <c r="AJ122" s="75" t="str">
        <f t="shared" si="29"/>
        <v>Check Data</v>
      </c>
      <c r="AK122" s="76" t="str">
        <f t="shared" si="30"/>
        <v>Check Data</v>
      </c>
      <c r="AL122" s="50" t="str">
        <f t="shared" si="31"/>
        <v>Check Data</v>
      </c>
      <c r="AM122" s="49" t="str">
        <f>IF(B122="","",IF(K122="S1","S1",INDEX(#REF!,#REF!)))</f>
        <v/>
      </c>
      <c r="AN122" s="49" t="str">
        <f>K122</f>
        <v>M2</v>
      </c>
      <c r="AO122" s="50" t="b">
        <f>K122=AM122</f>
        <v>0</v>
      </c>
      <c r="AP122" s="50"/>
    </row>
    <row r="123" spans="1:42" ht="21.75">
      <c r="A123" s="49">
        <v>121</v>
      </c>
      <c r="B123" s="50"/>
      <c r="C123" s="50"/>
      <c r="D123" s="50" t="s">
        <v>143</v>
      </c>
      <c r="E123" s="49" t="s">
        <v>311</v>
      </c>
      <c r="F123" s="49" t="str">
        <f t="shared" si="16"/>
        <v>26/04/1987</v>
      </c>
      <c r="G123" s="50">
        <f t="shared" si="17"/>
        <v>38</v>
      </c>
      <c r="H123" s="50">
        <f t="shared" si="18"/>
        <v>1</v>
      </c>
      <c r="I123" s="50">
        <f t="shared" si="19"/>
        <v>25</v>
      </c>
      <c r="J123" s="59"/>
      <c r="K123" s="49" t="s">
        <v>136</v>
      </c>
      <c r="L123" s="64"/>
      <c r="M123" s="49" t="s">
        <v>427</v>
      </c>
      <c r="N123" s="49">
        <v>2573</v>
      </c>
      <c r="O123" s="65" t="s">
        <v>310</v>
      </c>
      <c r="P123" s="49" t="str">
        <f t="shared" si="20"/>
        <v>07/05/2021</v>
      </c>
      <c r="Q123" s="68">
        <f t="shared" si="21"/>
        <v>4</v>
      </c>
      <c r="R123" s="68">
        <f t="shared" si="22"/>
        <v>1</v>
      </c>
      <c r="S123" s="68">
        <f t="shared" si="23"/>
        <v>13</v>
      </c>
      <c r="T123" s="65"/>
      <c r="U123" s="65"/>
      <c r="V123" s="49" t="str">
        <f t="shared" si="24"/>
        <v/>
      </c>
      <c r="W123" s="68">
        <f>IF(V123="",0,DATEDIF(V123,P123,"Y"))</f>
        <v>0</v>
      </c>
      <c r="X123" s="68">
        <f>IF(V123="",0,DATEDIF(V123,P123,"YM"))</f>
        <v>0</v>
      </c>
      <c r="Y123" s="68">
        <f>IF(V123="",0,DATEDIF(V123,P123,"MD"))</f>
        <v>0</v>
      </c>
      <c r="Z123" s="49"/>
      <c r="AA123" s="65"/>
      <c r="AB123" s="50" t="str">
        <f t="shared" si="25"/>
        <v/>
      </c>
      <c r="AC123" s="68">
        <f t="shared" si="26"/>
        <v>0</v>
      </c>
      <c r="AD123" s="68">
        <f t="shared" si="27"/>
        <v>0</v>
      </c>
      <c r="AE123" s="68">
        <f t="shared" si="28"/>
        <v>0</v>
      </c>
      <c r="AF123" s="50"/>
      <c r="AG123" s="50" t="s">
        <v>484</v>
      </c>
      <c r="AH123" s="49" t="str">
        <f>IF(AG123="นิติศาสตร์","K5-LAW","K5-POLICY")</f>
        <v>K5-POLICY</v>
      </c>
      <c r="AI123" s="72" t="str">
        <f>_xlfn.IFS(B123="","",AND(AH123="K5-LAW",AG123="นิติศาสตร์",K123="S2",T123="",Z123=""),P123,AND(AH123="K5-LAW",AG123="นิติศาสตร์",K123="S1",T123="",Z123=""),EDATE(P123,12),AND(AH123="K5-LAW",AG123="นิติศาสตร์",OR(K123="M2",K123="K4"),T123="",Z123=""),EDATE(P123,12*2),AND(AH123="K5-LAW",AG123="นิติศาสตร์",OR(Z123="M2",Z123="K4"),AC123&gt;=2,OR(AB123&lt;V123,AB123&lt;P123)),EDATE(AB123,12*2),AND(AH123="K5-LAW",AG123="นิติศาสตร์",Z123="S1",AC123&gt;=1,OR(AB123&lt;V123,AB123&lt;P123)),EDATE(AB123,12),AND(AH123="K5-LAW",AG123="นิติศาสตร์",OR(T123="M2",T123="K4"),W123&gt;=2,V123&lt;P123),EDATE(V123,12*2),AND(AH123="K5-LAW",AG123="นิติศาสตร์",T123="S1",W123&gt;=1,V123&lt;P123),EDATE(V123,12),AND(AH123="K5-LAW",AG123="นิติศาสตร์",OR(T123="S2",T123="K5")),V123,AND(AH123="K5-LAW",AG123="นิติศาสตร์",OR(K123="M2",K123="K4"),Q123&gt;=2),EDATE(P123,12*2),AND(AH123="K5-LAW",AG123="นิติศาสตร์",K123="S1",Q123&gt;=1),EDATE(P123,12),AND(AH123="K5-LAW",AG123="นิติศาสตร์",OR(K123="S2",K123="K5")),P123,AND(AH123="K5-POLICY",AG123&lt;&gt;"นิติศาสตร์",K123="S2",T123="",Z123=""),P123,AND(AH123="K5-POLICY",AG123&lt;&gt;"นิติศาสตร์",K123="S1",T123="",Z123=""),EDATE(P123,12),AND(AH123="K5-POLICY",AG123&lt;&gt;"นิติศาสตร์",OR(K123="M2",K123="K4"),T123="",Z123=""),EDATE(P123,12*2),AND(AH123="K5-POLICY",AG123&lt;&gt;"นิติศาสตร์",OR(Z123="M2",Z123="K4"),AC123&gt;=2,OR(AB123&lt;V123,AB123&lt;P123)),EDATE(AB123,12*2),AND(AH123="K5-POLICY",AG123&lt;&gt;"นิติศาสตร์",Z123="S1",AC123&gt;=1,OR(AB123&lt;V123,AB123&lt;P123)),EDATE(AB123,12),AND(AH123="K5-POLICY",AG123&lt;&gt;"นิติศาสตร์",OR(T123="M2",T123="K4"),W123&gt;=2,V123&lt;P123),EDATE(V123,12*2),AND(AH123="K5-POLICY",AG123&lt;&gt;"นิติศาสตร์",T123="S1",W123&gt;=1,V123&lt;P123),EDATE(V123,12),AND(AH123="K5-POLICY",AG123&lt;&gt;"นิติศาสตร์",OR(T123="S2",T123="K5")),V123,AND(AH123="K5-POLICY",AG123&lt;&gt;"นิติศาสตร์",OR(K123="M2",K123="K4"),Q123&gt;=2),EDATE(P123,12*2),AND(AH123="K5-POLICY",AG123&lt;&gt;"นิติศาสตร์",K123="S1",Q123&gt;=1),EDATE(P123,12),AND(AH123="K5-POLICY",AG123&lt;&gt;"นิติศาสตร์",OR(K123="S2",K123="K5")),P123,TRUE,"Check Data")</f>
        <v/>
      </c>
      <c r="AJ123" s="75" t="str">
        <f t="shared" si="29"/>
        <v>Check Data</v>
      </c>
      <c r="AK123" s="76" t="str">
        <f t="shared" si="30"/>
        <v>Check Data</v>
      </c>
      <c r="AL123" s="50" t="str">
        <f t="shared" si="31"/>
        <v>Check Data</v>
      </c>
      <c r="AM123" s="49" t="str">
        <f>IF(B123="","",IF(K123="S1","S1",INDEX(#REF!,#REF!)))</f>
        <v/>
      </c>
      <c r="AN123" s="49" t="str">
        <f>K123</f>
        <v>M2</v>
      </c>
      <c r="AO123" s="50" t="b">
        <f>K123=AM123</f>
        <v>0</v>
      </c>
      <c r="AP123" s="50"/>
    </row>
    <row r="124" spans="1:42" ht="21.75">
      <c r="A124" s="49">
        <v>122</v>
      </c>
      <c r="B124" s="50"/>
      <c r="C124" s="50"/>
      <c r="D124" s="50" t="s">
        <v>34</v>
      </c>
      <c r="E124" s="49" t="s">
        <v>430</v>
      </c>
      <c r="F124" s="49" t="str">
        <f t="shared" si="16"/>
        <v>15/11/1999</v>
      </c>
      <c r="G124" s="50">
        <f t="shared" si="17"/>
        <v>25</v>
      </c>
      <c r="H124" s="50">
        <f t="shared" si="18"/>
        <v>7</v>
      </c>
      <c r="I124" s="50">
        <f t="shared" si="19"/>
        <v>5</v>
      </c>
      <c r="J124" s="78"/>
      <c r="K124" s="49" t="s">
        <v>136</v>
      </c>
      <c r="L124" s="64"/>
      <c r="M124" s="49" t="s">
        <v>427</v>
      </c>
      <c r="N124" s="49">
        <v>2579</v>
      </c>
      <c r="O124" s="65" t="s">
        <v>429</v>
      </c>
      <c r="P124" s="49" t="str">
        <f t="shared" si="20"/>
        <v>10/06/2021</v>
      </c>
      <c r="Q124" s="68">
        <f t="shared" si="21"/>
        <v>4</v>
      </c>
      <c r="R124" s="68">
        <f t="shared" si="22"/>
        <v>0</v>
      </c>
      <c r="S124" s="68">
        <f t="shared" si="23"/>
        <v>10</v>
      </c>
      <c r="T124" s="65"/>
      <c r="U124" s="65"/>
      <c r="V124" s="49" t="str">
        <f t="shared" si="24"/>
        <v/>
      </c>
      <c r="W124" s="68">
        <f>IF(V124="",0,DATEDIF(V124,P124,"Y"))</f>
        <v>0</v>
      </c>
      <c r="X124" s="68">
        <f>IF(V124="",0,DATEDIF(V124,P124,"YM"))</f>
        <v>0</v>
      </c>
      <c r="Y124" s="68">
        <f>IF(V124="",0,DATEDIF(V124,P124,"MD"))</f>
        <v>0</v>
      </c>
      <c r="Z124" s="49"/>
      <c r="AA124" s="65"/>
      <c r="AB124" s="50" t="str">
        <f t="shared" si="25"/>
        <v/>
      </c>
      <c r="AC124" s="68">
        <f t="shared" si="26"/>
        <v>0</v>
      </c>
      <c r="AD124" s="68">
        <f t="shared" si="27"/>
        <v>0</v>
      </c>
      <c r="AE124" s="68">
        <f t="shared" si="28"/>
        <v>0</v>
      </c>
      <c r="AF124" s="50"/>
      <c r="AG124" s="50" t="s">
        <v>517</v>
      </c>
      <c r="AH124" s="49" t="str">
        <f>IF(AG124="นิติศาสตร์","K5-LAW","K5-POLICY")</f>
        <v>K5-POLICY</v>
      </c>
      <c r="AI124" s="72" t="str">
        <f>_xlfn.IFS(B124="","",AND(AH124="K5-LAW",AG124="นิติศาสตร์",K124="S2",T124="",Z124=""),P124,AND(AH124="K5-LAW",AG124="นิติศาสตร์",K124="S1",T124="",Z124=""),EDATE(P124,12),AND(AH124="K5-LAW",AG124="นิติศาสตร์",OR(K124="M2",K124="K4"),T124="",Z124=""),EDATE(P124,12*2),AND(AH124="K5-LAW",AG124="นิติศาสตร์",OR(Z124="M2",Z124="K4"),AC124&gt;=2,OR(AB124&lt;V124,AB124&lt;P124)),EDATE(AB124,12*2),AND(AH124="K5-LAW",AG124="นิติศาสตร์",Z124="S1",AC124&gt;=1,OR(AB124&lt;V124,AB124&lt;P124)),EDATE(AB124,12),AND(AH124="K5-LAW",AG124="นิติศาสตร์",OR(T124="M2",T124="K4"),W124&gt;=2,V124&lt;P124),EDATE(V124,12*2),AND(AH124="K5-LAW",AG124="นิติศาสตร์",T124="S1",W124&gt;=1,V124&lt;P124),EDATE(V124,12),AND(AH124="K5-LAW",AG124="นิติศาสตร์",OR(T124="S2",T124="K5")),V124,AND(AH124="K5-LAW",AG124="นิติศาสตร์",OR(K124="M2",K124="K4"),Q124&gt;=2),EDATE(P124,12*2),AND(AH124="K5-LAW",AG124="นิติศาสตร์",K124="S1",Q124&gt;=1),EDATE(P124,12),AND(AH124="K5-LAW",AG124="นิติศาสตร์",OR(K124="S2",K124="K5")),P124,AND(AH124="K5-POLICY",AG124&lt;&gt;"นิติศาสตร์",K124="S2",T124="",Z124=""),P124,AND(AH124="K5-POLICY",AG124&lt;&gt;"นิติศาสตร์",K124="S1",T124="",Z124=""),EDATE(P124,12),AND(AH124="K5-POLICY",AG124&lt;&gt;"นิติศาสตร์",OR(K124="M2",K124="K4"),T124="",Z124=""),EDATE(P124,12*2),AND(AH124="K5-POLICY",AG124&lt;&gt;"นิติศาสตร์",OR(Z124="M2",Z124="K4"),AC124&gt;=2,OR(AB124&lt;V124,AB124&lt;P124)),EDATE(AB124,12*2),AND(AH124="K5-POLICY",AG124&lt;&gt;"นิติศาสตร์",Z124="S1",AC124&gt;=1,OR(AB124&lt;V124,AB124&lt;P124)),EDATE(AB124,12),AND(AH124="K5-POLICY",AG124&lt;&gt;"นิติศาสตร์",OR(T124="M2",T124="K4"),W124&gt;=2,V124&lt;P124),EDATE(V124,12*2),AND(AH124="K5-POLICY",AG124&lt;&gt;"นิติศาสตร์",T124="S1",W124&gt;=1,V124&lt;P124),EDATE(V124,12),AND(AH124="K5-POLICY",AG124&lt;&gt;"นิติศาสตร์",OR(T124="S2",T124="K5")),V124,AND(AH124="K5-POLICY",AG124&lt;&gt;"นิติศาสตร์",OR(K124="M2",K124="K4"),Q124&gt;=2),EDATE(P124,12*2),AND(AH124="K5-POLICY",AG124&lt;&gt;"นิติศาสตร์",K124="S1",Q124&gt;=1),EDATE(P124,12),AND(AH124="K5-POLICY",AG124&lt;&gt;"นิติศาสตร์",OR(K124="S2",K124="K5")),P124,TRUE,"Check Data")</f>
        <v/>
      </c>
      <c r="AJ124" s="75" t="str">
        <f t="shared" si="29"/>
        <v>Check Data</v>
      </c>
      <c r="AK124" s="76" t="str">
        <f t="shared" si="30"/>
        <v>Check Data</v>
      </c>
      <c r="AL124" s="50" t="str">
        <f t="shared" si="31"/>
        <v>Check Data</v>
      </c>
      <c r="AM124" s="49" t="str">
        <f>IF(B124="","",IF(K124="S1","S1",INDEX(#REF!,#REF!)))</f>
        <v/>
      </c>
      <c r="AN124" s="49" t="str">
        <f>K124</f>
        <v>M2</v>
      </c>
      <c r="AO124" s="50" t="b">
        <f>K124=AM124</f>
        <v>0</v>
      </c>
      <c r="AP124" s="50"/>
    </row>
    <row r="125" spans="1:42" ht="21.75">
      <c r="A125" s="49">
        <v>123</v>
      </c>
      <c r="B125" s="50"/>
      <c r="C125" s="50"/>
      <c r="D125" s="50" t="s">
        <v>143</v>
      </c>
      <c r="E125" s="49" t="s">
        <v>314</v>
      </c>
      <c r="F125" s="49" t="str">
        <f t="shared" si="16"/>
        <v>04/12/1989</v>
      </c>
      <c r="G125" s="50">
        <f t="shared" si="17"/>
        <v>35</v>
      </c>
      <c r="H125" s="50">
        <f t="shared" si="18"/>
        <v>6</v>
      </c>
      <c r="I125" s="50">
        <f t="shared" si="19"/>
        <v>16</v>
      </c>
      <c r="J125" s="59"/>
      <c r="K125" s="49" t="s">
        <v>136</v>
      </c>
      <c r="L125" s="64"/>
      <c r="M125" s="49" t="s">
        <v>425</v>
      </c>
      <c r="N125" s="49">
        <v>2568</v>
      </c>
      <c r="O125" s="65" t="s">
        <v>315</v>
      </c>
      <c r="P125" s="49" t="str">
        <f t="shared" si="20"/>
        <v>23/07/2021</v>
      </c>
      <c r="Q125" s="68">
        <f t="shared" si="21"/>
        <v>3</v>
      </c>
      <c r="R125" s="68">
        <f t="shared" si="22"/>
        <v>10</v>
      </c>
      <c r="S125" s="68">
        <f t="shared" si="23"/>
        <v>28</v>
      </c>
      <c r="T125" s="65"/>
      <c r="U125" s="65"/>
      <c r="V125" s="49" t="str">
        <f t="shared" si="24"/>
        <v/>
      </c>
      <c r="W125" s="68">
        <f>IF(V125="",0,DATEDIF(V125,P125,"Y"))</f>
        <v>0</v>
      </c>
      <c r="X125" s="68">
        <f>IF(V125="",0,DATEDIF(V125,P125,"YM"))</f>
        <v>0</v>
      </c>
      <c r="Y125" s="68">
        <f>IF(V125="",0,DATEDIF(V125,P125,"MD"))</f>
        <v>0</v>
      </c>
      <c r="Z125" s="49"/>
      <c r="AA125" s="65"/>
      <c r="AB125" s="50" t="str">
        <f t="shared" si="25"/>
        <v/>
      </c>
      <c r="AC125" s="68">
        <f t="shared" si="26"/>
        <v>0</v>
      </c>
      <c r="AD125" s="68">
        <f t="shared" si="27"/>
        <v>0</v>
      </c>
      <c r="AE125" s="68">
        <f t="shared" si="28"/>
        <v>0</v>
      </c>
      <c r="AF125" s="50"/>
      <c r="AG125" s="50" t="s">
        <v>172</v>
      </c>
      <c r="AH125" s="49" t="str">
        <f>IF(AG125="นิติศาสตร์","K5-LAW","K5-POLICY")</f>
        <v>K5-POLICY</v>
      </c>
      <c r="AI125" s="72" t="str">
        <f>_xlfn.IFS(B125="","",AND(AH125="K5-LAW",AG125="นิติศาสตร์",K125="S2",T125="",Z125=""),P125,AND(AH125="K5-LAW",AG125="นิติศาสตร์",K125="S1",T125="",Z125=""),EDATE(P125,12),AND(AH125="K5-LAW",AG125="นิติศาสตร์",OR(K125="M2",K125="K4"),T125="",Z125=""),EDATE(P125,12*2),AND(AH125="K5-LAW",AG125="นิติศาสตร์",OR(Z125="M2",Z125="K4"),AC125&gt;=2,OR(AB125&lt;V125,AB125&lt;P125)),EDATE(AB125,12*2),AND(AH125="K5-LAW",AG125="นิติศาสตร์",Z125="S1",AC125&gt;=1,OR(AB125&lt;V125,AB125&lt;P125)),EDATE(AB125,12),AND(AH125="K5-LAW",AG125="นิติศาสตร์",OR(T125="M2",T125="K4"),W125&gt;=2,V125&lt;P125),EDATE(V125,12*2),AND(AH125="K5-LAW",AG125="นิติศาสตร์",T125="S1",W125&gt;=1,V125&lt;P125),EDATE(V125,12),AND(AH125="K5-LAW",AG125="นิติศาสตร์",OR(T125="S2",T125="K5")),V125,AND(AH125="K5-LAW",AG125="นิติศาสตร์",OR(K125="M2",K125="K4"),Q125&gt;=2),EDATE(P125,12*2),AND(AH125="K5-LAW",AG125="นิติศาสตร์",K125="S1",Q125&gt;=1),EDATE(P125,12),AND(AH125="K5-LAW",AG125="นิติศาสตร์",OR(K125="S2",K125="K5")),P125,AND(AH125="K5-POLICY",AG125&lt;&gt;"นิติศาสตร์",K125="S2",T125="",Z125=""),P125,AND(AH125="K5-POLICY",AG125&lt;&gt;"นิติศาสตร์",K125="S1",T125="",Z125=""),EDATE(P125,12),AND(AH125="K5-POLICY",AG125&lt;&gt;"นิติศาสตร์",OR(K125="M2",K125="K4"),T125="",Z125=""),EDATE(P125,12*2),AND(AH125="K5-POLICY",AG125&lt;&gt;"นิติศาสตร์",OR(Z125="M2",Z125="K4"),AC125&gt;=2,OR(AB125&lt;V125,AB125&lt;P125)),EDATE(AB125,12*2),AND(AH125="K5-POLICY",AG125&lt;&gt;"นิติศาสตร์",Z125="S1",AC125&gt;=1,OR(AB125&lt;V125,AB125&lt;P125)),EDATE(AB125,12),AND(AH125="K5-POLICY",AG125&lt;&gt;"นิติศาสตร์",OR(T125="M2",T125="K4"),W125&gt;=2,V125&lt;P125),EDATE(V125,12*2),AND(AH125="K5-POLICY",AG125&lt;&gt;"นิติศาสตร์",T125="S1",W125&gt;=1,V125&lt;P125),EDATE(V125,12),AND(AH125="K5-POLICY",AG125&lt;&gt;"นิติศาสตร์",OR(T125="S2",T125="K5")),V125,AND(AH125="K5-POLICY",AG125&lt;&gt;"นิติศาสตร์",OR(K125="M2",K125="K4"),Q125&gt;=2),EDATE(P125,12*2),AND(AH125="K5-POLICY",AG125&lt;&gt;"นิติศาสตร์",K125="S1",Q125&gt;=1),EDATE(P125,12),AND(AH125="K5-POLICY",AG125&lt;&gt;"นิติศาสตร์",OR(K125="S2",K125="K5")),P125,TRUE,"Check Data")</f>
        <v/>
      </c>
      <c r="AJ125" s="75" t="str">
        <f t="shared" si="29"/>
        <v>Check Data</v>
      </c>
      <c r="AK125" s="76" t="str">
        <f t="shared" si="30"/>
        <v>Check Data</v>
      </c>
      <c r="AL125" s="50" t="str">
        <f t="shared" si="31"/>
        <v>Check Data</v>
      </c>
      <c r="AM125" s="49" t="str">
        <f>IF(B125="","",IF(K125="S1","S1",INDEX(#REF!,#REF!)))</f>
        <v/>
      </c>
      <c r="AN125" s="49" t="str">
        <f>K125</f>
        <v>M2</v>
      </c>
      <c r="AO125" s="50" t="b">
        <f>K125=AM125</f>
        <v>0</v>
      </c>
      <c r="AP125" s="50"/>
    </row>
    <row r="126" spans="1:42" ht="21.75">
      <c r="A126" s="49">
        <v>124</v>
      </c>
      <c r="B126" s="50"/>
      <c r="C126" s="50"/>
      <c r="D126" s="50" t="s">
        <v>141</v>
      </c>
      <c r="E126" s="49" t="s">
        <v>250</v>
      </c>
      <c r="F126" s="49" t="str">
        <f t="shared" si="16"/>
        <v>01/08/1995</v>
      </c>
      <c r="G126" s="50">
        <f t="shared" si="17"/>
        <v>29</v>
      </c>
      <c r="H126" s="50">
        <f t="shared" si="18"/>
        <v>10</v>
      </c>
      <c r="I126" s="50">
        <f t="shared" si="19"/>
        <v>19</v>
      </c>
      <c r="J126" s="60"/>
      <c r="K126" s="49" t="s">
        <v>136</v>
      </c>
      <c r="L126" s="64"/>
      <c r="M126" s="49" t="s">
        <v>427</v>
      </c>
      <c r="N126" s="49">
        <v>2571</v>
      </c>
      <c r="O126" s="65" t="s">
        <v>201</v>
      </c>
      <c r="P126" s="49" t="str">
        <f t="shared" si="20"/>
        <v>01/10/2021</v>
      </c>
      <c r="Q126" s="68">
        <f t="shared" si="21"/>
        <v>3</v>
      </c>
      <c r="R126" s="68">
        <f t="shared" si="22"/>
        <v>8</v>
      </c>
      <c r="S126" s="68">
        <f t="shared" si="23"/>
        <v>19</v>
      </c>
      <c r="T126" s="65"/>
      <c r="U126" s="65"/>
      <c r="V126" s="49" t="str">
        <f t="shared" si="24"/>
        <v/>
      </c>
      <c r="W126" s="68">
        <f>IF(V126="",0,DATEDIF(V126,P126,"Y"))</f>
        <v>0</v>
      </c>
      <c r="X126" s="68">
        <f>IF(V126="",0,DATEDIF(V126,P126,"YM"))</f>
        <v>0</v>
      </c>
      <c r="Y126" s="68">
        <f>IF(V126="",0,DATEDIF(V126,P126,"MD"))</f>
        <v>0</v>
      </c>
      <c r="Z126" s="49"/>
      <c r="AA126" s="65"/>
      <c r="AB126" s="50" t="str">
        <f t="shared" si="25"/>
        <v/>
      </c>
      <c r="AC126" s="68">
        <f t="shared" si="26"/>
        <v>0</v>
      </c>
      <c r="AD126" s="68">
        <f t="shared" si="27"/>
        <v>0</v>
      </c>
      <c r="AE126" s="68">
        <f t="shared" si="28"/>
        <v>0</v>
      </c>
      <c r="AF126" s="50"/>
      <c r="AG126" s="50" t="s">
        <v>138</v>
      </c>
      <c r="AH126" s="49" t="str">
        <f>IF(AG126="นิติศาสตร์","K5-LAW","K5-POLICY")</f>
        <v>K5-LAW</v>
      </c>
      <c r="AI126" s="72" t="str">
        <f>_xlfn.IFS(B126="","",AND(AH126="K5-LAW",AG126="นิติศาสตร์",K126="S2",T126="",Z126=""),P126,AND(AH126="K5-LAW",AG126="นิติศาสตร์",K126="S1",T126="",Z126=""),EDATE(P126,12),AND(AH126="K5-LAW",AG126="นิติศาสตร์",OR(K126="M2",K126="K4"),T126="",Z126=""),EDATE(P126,12*2),AND(AH126="K5-LAW",AG126="นิติศาสตร์",OR(Z126="M2",Z126="K4"),AC126&gt;=2,OR(AB126&lt;V126,AB126&lt;P126)),EDATE(AB126,12*2),AND(AH126="K5-LAW",AG126="นิติศาสตร์",Z126="S1",AC126&gt;=1,OR(AB126&lt;V126,AB126&lt;P126)),EDATE(AB126,12),AND(AH126="K5-LAW",AG126="นิติศาสตร์",OR(T126="M2",T126="K4"),W126&gt;=2,V126&lt;P126),EDATE(V126,12*2),AND(AH126="K5-LAW",AG126="นิติศาสตร์",T126="S1",W126&gt;=1,V126&lt;P126),EDATE(V126,12),AND(AH126="K5-LAW",AG126="นิติศาสตร์",OR(T126="S2",T126="K5")),V126,AND(AH126="K5-LAW",AG126="นิติศาสตร์",OR(K126="M2",K126="K4"),Q126&gt;=2),EDATE(P126,12*2),AND(AH126="K5-LAW",AG126="นิติศาสตร์",K126="S1",Q126&gt;=1),EDATE(P126,12),AND(AH126="K5-LAW",AG126="นิติศาสตร์",OR(K126="S2",K126="K5")),P126,AND(AH126="K5-POLICY",AG126&lt;&gt;"นิติศาสตร์",K126="S2",T126="",Z126=""),P126,AND(AH126="K5-POLICY",AG126&lt;&gt;"นิติศาสตร์",K126="S1",T126="",Z126=""),EDATE(P126,12),AND(AH126="K5-POLICY",AG126&lt;&gt;"นิติศาสตร์",OR(K126="M2",K126="K4"),T126="",Z126=""),EDATE(P126,12*2),AND(AH126="K5-POLICY",AG126&lt;&gt;"นิติศาสตร์",OR(Z126="M2",Z126="K4"),AC126&gt;=2,OR(AB126&lt;V126,AB126&lt;P126)),EDATE(AB126,12*2),AND(AH126="K5-POLICY",AG126&lt;&gt;"นิติศาสตร์",Z126="S1",AC126&gt;=1,OR(AB126&lt;V126,AB126&lt;P126)),EDATE(AB126,12),AND(AH126="K5-POLICY",AG126&lt;&gt;"นิติศาสตร์",OR(T126="M2",T126="K4"),W126&gt;=2,V126&lt;P126),EDATE(V126,12*2),AND(AH126="K5-POLICY",AG126&lt;&gt;"นิติศาสตร์",T126="S1",W126&gt;=1,V126&lt;P126),EDATE(V126,12),AND(AH126="K5-POLICY",AG126&lt;&gt;"นิติศาสตร์",OR(T126="S2",T126="K5")),V126,AND(AH126="K5-POLICY",AG126&lt;&gt;"นิติศาสตร์",OR(K126="M2",K126="K4"),Q126&gt;=2),EDATE(P126,12*2),AND(AH126="K5-POLICY",AG126&lt;&gt;"นิติศาสตร์",K126="S1",Q126&gt;=1),EDATE(P126,12),AND(AH126="K5-POLICY",AG126&lt;&gt;"นิติศาสตร์",OR(K126="S2",K126="K5")),P126,TRUE,"Check Data")</f>
        <v/>
      </c>
      <c r="AJ126" s="75" t="str">
        <f t="shared" si="29"/>
        <v>Check Data</v>
      </c>
      <c r="AK126" s="76" t="str">
        <f t="shared" si="30"/>
        <v>Check Data</v>
      </c>
      <c r="AL126" s="50" t="str">
        <f t="shared" si="31"/>
        <v>Check Data</v>
      </c>
      <c r="AM126" s="49" t="str">
        <f>IF(B126="","",IF(K126="S1","S1",INDEX(#REF!,#REF!)))</f>
        <v/>
      </c>
      <c r="AN126" s="49" t="str">
        <f>K126</f>
        <v>M2</v>
      </c>
      <c r="AO126" s="50" t="b">
        <f>K126=AM126</f>
        <v>0</v>
      </c>
      <c r="AP126" s="50"/>
    </row>
    <row r="127" spans="1:42" ht="21.75">
      <c r="A127" s="49">
        <v>125</v>
      </c>
      <c r="B127" s="50"/>
      <c r="C127" s="50"/>
      <c r="D127" s="50" t="s">
        <v>34</v>
      </c>
      <c r="E127" s="49" t="s">
        <v>309</v>
      </c>
      <c r="F127" s="49" t="str">
        <f t="shared" si="16"/>
        <v>01/06/1995</v>
      </c>
      <c r="G127" s="50">
        <f t="shared" si="17"/>
        <v>30</v>
      </c>
      <c r="H127" s="50">
        <f t="shared" si="18"/>
        <v>0</v>
      </c>
      <c r="I127" s="50">
        <f t="shared" si="19"/>
        <v>19</v>
      </c>
      <c r="J127" s="78"/>
      <c r="K127" s="49" t="s">
        <v>136</v>
      </c>
      <c r="L127" s="64"/>
      <c r="M127" s="49" t="s">
        <v>427</v>
      </c>
      <c r="N127" s="49">
        <v>2575</v>
      </c>
      <c r="O127" s="65" t="s">
        <v>391</v>
      </c>
      <c r="P127" s="49" t="str">
        <f t="shared" si="20"/>
        <v>18/10/2021</v>
      </c>
      <c r="Q127" s="68">
        <f t="shared" si="21"/>
        <v>3</v>
      </c>
      <c r="R127" s="68">
        <f t="shared" si="22"/>
        <v>8</v>
      </c>
      <c r="S127" s="68">
        <f t="shared" si="23"/>
        <v>2</v>
      </c>
      <c r="T127" s="65"/>
      <c r="U127" s="65"/>
      <c r="V127" s="49" t="str">
        <f t="shared" si="24"/>
        <v/>
      </c>
      <c r="W127" s="68">
        <f>IF(V127="",0,DATEDIF(V127,P127,"Y"))</f>
        <v>0</v>
      </c>
      <c r="X127" s="68">
        <f>IF(V127="",0,DATEDIF(V127,P127,"YM"))</f>
        <v>0</v>
      </c>
      <c r="Y127" s="68">
        <f>IF(V127="",0,DATEDIF(V127,P127,"MD"))</f>
        <v>0</v>
      </c>
      <c r="Z127" s="49"/>
      <c r="AA127" s="65"/>
      <c r="AB127" s="50" t="str">
        <f t="shared" si="25"/>
        <v/>
      </c>
      <c r="AC127" s="68">
        <f t="shared" si="26"/>
        <v>0</v>
      </c>
      <c r="AD127" s="68">
        <f t="shared" si="27"/>
        <v>0</v>
      </c>
      <c r="AE127" s="68">
        <f t="shared" si="28"/>
        <v>0</v>
      </c>
      <c r="AF127" s="50"/>
      <c r="AG127" s="50" t="s">
        <v>167</v>
      </c>
      <c r="AH127" s="49" t="str">
        <f>IF(AG127="นิติศาสตร์","K5-LAW","K5-POLICY")</f>
        <v>K5-POLICY</v>
      </c>
      <c r="AI127" s="72" t="str">
        <f>_xlfn.IFS(B127="","",AND(AH127="K5-LAW",AG127="นิติศาสตร์",K127="S2",T127="",Z127=""),P127,AND(AH127="K5-LAW",AG127="นิติศาสตร์",K127="S1",T127="",Z127=""),EDATE(P127,12),AND(AH127="K5-LAW",AG127="นิติศาสตร์",OR(K127="M2",K127="K4"),T127="",Z127=""),EDATE(P127,12*2),AND(AH127="K5-LAW",AG127="นิติศาสตร์",OR(Z127="M2",Z127="K4"),AC127&gt;=2,OR(AB127&lt;V127,AB127&lt;P127)),EDATE(AB127,12*2),AND(AH127="K5-LAW",AG127="นิติศาสตร์",Z127="S1",AC127&gt;=1,OR(AB127&lt;V127,AB127&lt;P127)),EDATE(AB127,12),AND(AH127="K5-LAW",AG127="นิติศาสตร์",OR(T127="M2",T127="K4"),W127&gt;=2,V127&lt;P127),EDATE(V127,12*2),AND(AH127="K5-LAW",AG127="นิติศาสตร์",T127="S1",W127&gt;=1,V127&lt;P127),EDATE(V127,12),AND(AH127="K5-LAW",AG127="นิติศาสตร์",OR(T127="S2",T127="K5")),V127,AND(AH127="K5-LAW",AG127="นิติศาสตร์",OR(K127="M2",K127="K4"),Q127&gt;=2),EDATE(P127,12*2),AND(AH127="K5-LAW",AG127="นิติศาสตร์",K127="S1",Q127&gt;=1),EDATE(P127,12),AND(AH127="K5-LAW",AG127="นิติศาสตร์",OR(K127="S2",K127="K5")),P127,AND(AH127="K5-POLICY",AG127&lt;&gt;"นิติศาสตร์",K127="S2",T127="",Z127=""),P127,AND(AH127="K5-POLICY",AG127&lt;&gt;"นิติศาสตร์",K127="S1",T127="",Z127=""),EDATE(P127,12),AND(AH127="K5-POLICY",AG127&lt;&gt;"นิติศาสตร์",OR(K127="M2",K127="K4"),T127="",Z127=""),EDATE(P127,12*2),AND(AH127="K5-POLICY",AG127&lt;&gt;"นิติศาสตร์",OR(Z127="M2",Z127="K4"),AC127&gt;=2,OR(AB127&lt;V127,AB127&lt;P127)),EDATE(AB127,12*2),AND(AH127="K5-POLICY",AG127&lt;&gt;"นิติศาสตร์",Z127="S1",AC127&gt;=1,OR(AB127&lt;V127,AB127&lt;P127)),EDATE(AB127,12),AND(AH127="K5-POLICY",AG127&lt;&gt;"นิติศาสตร์",OR(T127="M2",T127="K4"),W127&gt;=2,V127&lt;P127),EDATE(V127,12*2),AND(AH127="K5-POLICY",AG127&lt;&gt;"นิติศาสตร์",T127="S1",W127&gt;=1,V127&lt;P127),EDATE(V127,12),AND(AH127="K5-POLICY",AG127&lt;&gt;"นิติศาสตร์",OR(T127="S2",T127="K5")),V127,AND(AH127="K5-POLICY",AG127&lt;&gt;"นิติศาสตร์",OR(K127="M2",K127="K4"),Q127&gt;=2),EDATE(P127,12*2),AND(AH127="K5-POLICY",AG127&lt;&gt;"นิติศาสตร์",K127="S1",Q127&gt;=1),EDATE(P127,12),AND(AH127="K5-POLICY",AG127&lt;&gt;"นิติศาสตร์",OR(K127="S2",K127="K5")),P127,TRUE,"Check Data")</f>
        <v/>
      </c>
      <c r="AJ127" s="75" t="str">
        <f t="shared" si="29"/>
        <v>Check Data</v>
      </c>
      <c r="AK127" s="76" t="str">
        <f t="shared" si="30"/>
        <v>Check Data</v>
      </c>
      <c r="AL127" s="50" t="str">
        <f t="shared" si="31"/>
        <v>Check Data</v>
      </c>
      <c r="AM127" s="49" t="str">
        <f>IF(B127="","",IF(K127="S1","S1",INDEX(#REF!,#REF!)))</f>
        <v/>
      </c>
      <c r="AN127" s="49" t="str">
        <f>K127</f>
        <v>M2</v>
      </c>
      <c r="AO127" s="50" t="b">
        <f>K127=AM127</f>
        <v>0</v>
      </c>
      <c r="AP127" s="50"/>
    </row>
    <row r="128" spans="1:42" ht="21.75">
      <c r="A128" s="49">
        <v>126</v>
      </c>
      <c r="B128" s="50"/>
      <c r="C128" s="50"/>
      <c r="D128" s="50" t="s">
        <v>143</v>
      </c>
      <c r="E128" s="49" t="s">
        <v>325</v>
      </c>
      <c r="F128" s="49" t="str">
        <f t="shared" si="16"/>
        <v>10/10/1988</v>
      </c>
      <c r="G128" s="50">
        <f t="shared" si="17"/>
        <v>36</v>
      </c>
      <c r="H128" s="50">
        <f t="shared" si="18"/>
        <v>8</v>
      </c>
      <c r="I128" s="50">
        <f t="shared" si="19"/>
        <v>10</v>
      </c>
      <c r="J128" s="59"/>
      <c r="K128" s="49" t="s">
        <v>136</v>
      </c>
      <c r="L128" s="64"/>
      <c r="M128" s="49" t="s">
        <v>427</v>
      </c>
      <c r="N128" s="49">
        <v>2568</v>
      </c>
      <c r="O128" s="65" t="s">
        <v>291</v>
      </c>
      <c r="P128" s="49" t="str">
        <f t="shared" si="20"/>
        <v>01/11/2021</v>
      </c>
      <c r="Q128" s="68">
        <f t="shared" si="21"/>
        <v>3</v>
      </c>
      <c r="R128" s="68">
        <f t="shared" si="22"/>
        <v>7</v>
      </c>
      <c r="S128" s="68">
        <f t="shared" si="23"/>
        <v>19</v>
      </c>
      <c r="T128" s="65"/>
      <c r="U128" s="65"/>
      <c r="V128" s="49" t="str">
        <f t="shared" si="24"/>
        <v/>
      </c>
      <c r="W128" s="68">
        <f>IF(V128="",0,DATEDIF(V128,P128,"Y"))</f>
        <v>0</v>
      </c>
      <c r="X128" s="68">
        <f>IF(V128="",0,DATEDIF(V128,P128,"YM"))</f>
        <v>0</v>
      </c>
      <c r="Y128" s="68">
        <f>IF(V128="",0,DATEDIF(V128,P128,"MD"))</f>
        <v>0</v>
      </c>
      <c r="Z128" s="49"/>
      <c r="AA128" s="65"/>
      <c r="AB128" s="50" t="str">
        <f t="shared" si="25"/>
        <v/>
      </c>
      <c r="AC128" s="68">
        <f t="shared" si="26"/>
        <v>0</v>
      </c>
      <c r="AD128" s="68">
        <f t="shared" si="27"/>
        <v>0</v>
      </c>
      <c r="AE128" s="68">
        <f t="shared" si="28"/>
        <v>0</v>
      </c>
      <c r="AF128" s="50"/>
      <c r="AG128" s="50" t="s">
        <v>486</v>
      </c>
      <c r="AH128" s="49" t="str">
        <f>IF(AG128="นิติศาสตร์","K5-LAW","K5-POLICY")</f>
        <v>K5-POLICY</v>
      </c>
      <c r="AI128" s="72" t="str">
        <f>_xlfn.IFS(B128="","",AND(AH128="K5-LAW",AG128="นิติศาสตร์",K128="S2",T128="",Z128=""),P128,AND(AH128="K5-LAW",AG128="นิติศาสตร์",K128="S1",T128="",Z128=""),EDATE(P128,12),AND(AH128="K5-LAW",AG128="นิติศาสตร์",OR(K128="M2",K128="K4"),T128="",Z128=""),EDATE(P128,12*2),AND(AH128="K5-LAW",AG128="นิติศาสตร์",OR(Z128="M2",Z128="K4"),AC128&gt;=2,OR(AB128&lt;V128,AB128&lt;P128)),EDATE(AB128,12*2),AND(AH128="K5-LAW",AG128="นิติศาสตร์",Z128="S1",AC128&gt;=1,OR(AB128&lt;V128,AB128&lt;P128)),EDATE(AB128,12),AND(AH128="K5-LAW",AG128="นิติศาสตร์",OR(T128="M2",T128="K4"),W128&gt;=2,V128&lt;P128),EDATE(V128,12*2),AND(AH128="K5-LAW",AG128="นิติศาสตร์",T128="S1",W128&gt;=1,V128&lt;P128),EDATE(V128,12),AND(AH128="K5-LAW",AG128="นิติศาสตร์",OR(T128="S2",T128="K5")),V128,AND(AH128="K5-LAW",AG128="นิติศาสตร์",OR(K128="M2",K128="K4"),Q128&gt;=2),EDATE(P128,12*2),AND(AH128="K5-LAW",AG128="นิติศาสตร์",K128="S1",Q128&gt;=1),EDATE(P128,12),AND(AH128="K5-LAW",AG128="นิติศาสตร์",OR(K128="S2",K128="K5")),P128,AND(AH128="K5-POLICY",AG128&lt;&gt;"นิติศาสตร์",K128="S2",T128="",Z128=""),P128,AND(AH128="K5-POLICY",AG128&lt;&gt;"นิติศาสตร์",K128="S1",T128="",Z128=""),EDATE(P128,12),AND(AH128="K5-POLICY",AG128&lt;&gt;"นิติศาสตร์",OR(K128="M2",K128="K4"),T128="",Z128=""),EDATE(P128,12*2),AND(AH128="K5-POLICY",AG128&lt;&gt;"นิติศาสตร์",OR(Z128="M2",Z128="K4"),AC128&gt;=2,OR(AB128&lt;V128,AB128&lt;P128)),EDATE(AB128,12*2),AND(AH128="K5-POLICY",AG128&lt;&gt;"นิติศาสตร์",Z128="S1",AC128&gt;=1,OR(AB128&lt;V128,AB128&lt;P128)),EDATE(AB128,12),AND(AH128="K5-POLICY",AG128&lt;&gt;"นิติศาสตร์",OR(T128="M2",T128="K4"),W128&gt;=2,V128&lt;P128),EDATE(V128,12*2),AND(AH128="K5-POLICY",AG128&lt;&gt;"นิติศาสตร์",T128="S1",W128&gt;=1,V128&lt;P128),EDATE(V128,12),AND(AH128="K5-POLICY",AG128&lt;&gt;"นิติศาสตร์",OR(T128="S2",T128="K5")),V128,AND(AH128="K5-POLICY",AG128&lt;&gt;"นิติศาสตร์",OR(K128="M2",K128="K4"),Q128&gt;=2),EDATE(P128,12*2),AND(AH128="K5-POLICY",AG128&lt;&gt;"นิติศาสตร์",K128="S1",Q128&gt;=1),EDATE(P128,12),AND(AH128="K5-POLICY",AG128&lt;&gt;"นิติศาสตร์",OR(K128="S2",K128="K5")),P128,TRUE,"Check Data")</f>
        <v/>
      </c>
      <c r="AJ128" s="75" t="str">
        <f t="shared" si="29"/>
        <v>Check Data</v>
      </c>
      <c r="AK128" s="76" t="str">
        <f t="shared" si="30"/>
        <v>Check Data</v>
      </c>
      <c r="AL128" s="50" t="str">
        <f t="shared" si="31"/>
        <v>Check Data</v>
      </c>
      <c r="AM128" s="49" t="str">
        <f>IF(B128="","",IF(K128="S1","S1",INDEX(#REF!,#REF!)))</f>
        <v/>
      </c>
      <c r="AN128" s="49" t="str">
        <f>K128</f>
        <v>M2</v>
      </c>
      <c r="AO128" s="50" t="b">
        <f>K128=AM128</f>
        <v>0</v>
      </c>
      <c r="AP128" s="50"/>
    </row>
    <row r="129" spans="1:42" ht="21.75">
      <c r="A129" s="49">
        <v>127</v>
      </c>
      <c r="B129" s="50"/>
      <c r="C129" s="50"/>
      <c r="D129" s="50" t="s">
        <v>143</v>
      </c>
      <c r="E129" s="49" t="s">
        <v>350</v>
      </c>
      <c r="F129" s="49" t="str">
        <f t="shared" si="16"/>
        <v>03/05/1993</v>
      </c>
      <c r="G129" s="50">
        <f t="shared" si="17"/>
        <v>32</v>
      </c>
      <c r="H129" s="50">
        <f t="shared" si="18"/>
        <v>1</v>
      </c>
      <c r="I129" s="50">
        <f t="shared" si="19"/>
        <v>17</v>
      </c>
      <c r="J129" s="58"/>
      <c r="K129" s="49" t="s">
        <v>136</v>
      </c>
      <c r="L129" s="64"/>
      <c r="M129" s="49" t="s">
        <v>426</v>
      </c>
      <c r="N129" s="49">
        <v>2569</v>
      </c>
      <c r="O129" s="65" t="s">
        <v>291</v>
      </c>
      <c r="P129" s="49" t="str">
        <f t="shared" si="20"/>
        <v>01/11/2021</v>
      </c>
      <c r="Q129" s="68">
        <f t="shared" si="21"/>
        <v>3</v>
      </c>
      <c r="R129" s="68">
        <f t="shared" si="22"/>
        <v>7</v>
      </c>
      <c r="S129" s="68">
        <f t="shared" si="23"/>
        <v>19</v>
      </c>
      <c r="T129" s="65"/>
      <c r="U129" s="65"/>
      <c r="V129" s="49" t="str">
        <f t="shared" si="24"/>
        <v/>
      </c>
      <c r="W129" s="68">
        <f>IF(V129="",0,DATEDIF(V129,P129,"Y"))</f>
        <v>0</v>
      </c>
      <c r="X129" s="68">
        <f>IF(V129="",0,DATEDIF(V129,P129,"YM"))</f>
        <v>0</v>
      </c>
      <c r="Y129" s="68">
        <f>IF(V129="",0,DATEDIF(V129,P129,"MD"))</f>
        <v>0</v>
      </c>
      <c r="Z129" s="49"/>
      <c r="AA129" s="65"/>
      <c r="AB129" s="50" t="str">
        <f t="shared" si="25"/>
        <v/>
      </c>
      <c r="AC129" s="68">
        <f t="shared" si="26"/>
        <v>0</v>
      </c>
      <c r="AD129" s="68">
        <f t="shared" si="27"/>
        <v>0</v>
      </c>
      <c r="AE129" s="68">
        <f t="shared" si="28"/>
        <v>0</v>
      </c>
      <c r="AF129" s="50"/>
      <c r="AG129" s="50" t="s">
        <v>138</v>
      </c>
      <c r="AH129" s="49" t="str">
        <f>IF(AG129="นิติศาสตร์","K5-LAW","K5-POLICY")</f>
        <v>K5-LAW</v>
      </c>
      <c r="AI129" s="72" t="str">
        <f>_xlfn.IFS(B129="","",AND(AH129="K5-LAW",AG129="นิติศาสตร์",K129="S2",T129="",Z129=""),P129,AND(AH129="K5-LAW",AG129="นิติศาสตร์",K129="S1",T129="",Z129=""),EDATE(P129,12),AND(AH129="K5-LAW",AG129="นิติศาสตร์",OR(K129="M2",K129="K4"),T129="",Z129=""),EDATE(P129,12*2),AND(AH129="K5-LAW",AG129="นิติศาสตร์",OR(Z129="M2",Z129="K4"),AC129&gt;=2,OR(AB129&lt;V129,AB129&lt;P129)),EDATE(AB129,12*2),AND(AH129="K5-LAW",AG129="นิติศาสตร์",Z129="S1",AC129&gt;=1,OR(AB129&lt;V129,AB129&lt;P129)),EDATE(AB129,12),AND(AH129="K5-LAW",AG129="นิติศาสตร์",OR(T129="M2",T129="K4"),W129&gt;=2,V129&lt;P129),EDATE(V129,12*2),AND(AH129="K5-LAW",AG129="นิติศาสตร์",T129="S1",W129&gt;=1,V129&lt;P129),EDATE(V129,12),AND(AH129="K5-LAW",AG129="นิติศาสตร์",OR(T129="S2",T129="K5")),V129,AND(AH129="K5-LAW",AG129="นิติศาสตร์",OR(K129="M2",K129="K4"),Q129&gt;=2),EDATE(P129,12*2),AND(AH129="K5-LAW",AG129="นิติศาสตร์",K129="S1",Q129&gt;=1),EDATE(P129,12),AND(AH129="K5-LAW",AG129="นิติศาสตร์",OR(K129="S2",K129="K5")),P129,AND(AH129="K5-POLICY",AG129&lt;&gt;"นิติศาสตร์",K129="S2",T129="",Z129=""),P129,AND(AH129="K5-POLICY",AG129&lt;&gt;"นิติศาสตร์",K129="S1",T129="",Z129=""),EDATE(P129,12),AND(AH129="K5-POLICY",AG129&lt;&gt;"นิติศาสตร์",OR(K129="M2",K129="K4"),T129="",Z129=""),EDATE(P129,12*2),AND(AH129="K5-POLICY",AG129&lt;&gt;"นิติศาสตร์",OR(Z129="M2",Z129="K4"),AC129&gt;=2,OR(AB129&lt;V129,AB129&lt;P129)),EDATE(AB129,12*2),AND(AH129="K5-POLICY",AG129&lt;&gt;"นิติศาสตร์",Z129="S1",AC129&gt;=1,OR(AB129&lt;V129,AB129&lt;P129)),EDATE(AB129,12),AND(AH129="K5-POLICY",AG129&lt;&gt;"นิติศาสตร์",OR(T129="M2",T129="K4"),W129&gt;=2,V129&lt;P129),EDATE(V129,12*2),AND(AH129="K5-POLICY",AG129&lt;&gt;"นิติศาสตร์",T129="S1",W129&gt;=1,V129&lt;P129),EDATE(V129,12),AND(AH129="K5-POLICY",AG129&lt;&gt;"นิติศาสตร์",OR(T129="S2",T129="K5")),V129,AND(AH129="K5-POLICY",AG129&lt;&gt;"นิติศาสตร์",OR(K129="M2",K129="K4"),Q129&gt;=2),EDATE(P129,12*2),AND(AH129="K5-POLICY",AG129&lt;&gt;"นิติศาสตร์",K129="S1",Q129&gt;=1),EDATE(P129,12),AND(AH129="K5-POLICY",AG129&lt;&gt;"นิติศาสตร์",OR(K129="S2",K129="K5")),P129,TRUE,"Check Data")</f>
        <v/>
      </c>
      <c r="AJ129" s="75" t="str">
        <f t="shared" si="29"/>
        <v>Check Data</v>
      </c>
      <c r="AK129" s="76" t="str">
        <f t="shared" si="30"/>
        <v>Check Data</v>
      </c>
      <c r="AL129" s="50" t="str">
        <f t="shared" si="31"/>
        <v>Check Data</v>
      </c>
      <c r="AM129" s="49" t="str">
        <f>IF(B129="","",IF(K129="S1","S1",INDEX(#REF!,#REF!)))</f>
        <v/>
      </c>
      <c r="AN129" s="49" t="str">
        <f>K129</f>
        <v>M2</v>
      </c>
      <c r="AO129" s="50" t="b">
        <f>K129=AM129</f>
        <v>0</v>
      </c>
      <c r="AP129" s="50"/>
    </row>
    <row r="130" spans="1:42" ht="21.75">
      <c r="A130" s="49">
        <v>128</v>
      </c>
      <c r="B130" s="50"/>
      <c r="C130" s="50"/>
      <c r="D130" s="50" t="s">
        <v>143</v>
      </c>
      <c r="E130" s="49" t="s">
        <v>322</v>
      </c>
      <c r="F130" s="49" t="str">
        <f t="shared" si="16"/>
        <v>30/07/1992</v>
      </c>
      <c r="G130" s="50">
        <f t="shared" si="17"/>
        <v>32</v>
      </c>
      <c r="H130" s="50">
        <f t="shared" si="18"/>
        <v>10</v>
      </c>
      <c r="I130" s="50">
        <f t="shared" si="19"/>
        <v>21</v>
      </c>
      <c r="J130" s="59"/>
      <c r="K130" s="49" t="s">
        <v>136</v>
      </c>
      <c r="L130" s="64"/>
      <c r="M130" s="49" t="s">
        <v>426</v>
      </c>
      <c r="N130" s="49">
        <v>2569</v>
      </c>
      <c r="O130" s="65" t="s">
        <v>291</v>
      </c>
      <c r="P130" s="49" t="str">
        <f t="shared" si="20"/>
        <v>01/11/2021</v>
      </c>
      <c r="Q130" s="68">
        <f t="shared" si="21"/>
        <v>3</v>
      </c>
      <c r="R130" s="68">
        <f t="shared" si="22"/>
        <v>7</v>
      </c>
      <c r="S130" s="68">
        <f t="shared" si="23"/>
        <v>19</v>
      </c>
      <c r="T130" s="65"/>
      <c r="U130" s="65"/>
      <c r="V130" s="49" t="str">
        <f t="shared" si="24"/>
        <v/>
      </c>
      <c r="W130" s="68">
        <f>IF(V130="",0,DATEDIF(V130,P130,"Y"))</f>
        <v>0</v>
      </c>
      <c r="X130" s="68">
        <f>IF(V130="",0,DATEDIF(V130,P130,"YM"))</f>
        <v>0</v>
      </c>
      <c r="Y130" s="68">
        <f>IF(V130="",0,DATEDIF(V130,P130,"MD"))</f>
        <v>0</v>
      </c>
      <c r="Z130" s="49"/>
      <c r="AA130" s="65"/>
      <c r="AB130" s="50" t="str">
        <f t="shared" si="25"/>
        <v/>
      </c>
      <c r="AC130" s="68">
        <f t="shared" si="26"/>
        <v>0</v>
      </c>
      <c r="AD130" s="68">
        <f t="shared" si="27"/>
        <v>0</v>
      </c>
      <c r="AE130" s="68">
        <f t="shared" si="28"/>
        <v>0</v>
      </c>
      <c r="AF130" s="50"/>
      <c r="AG130" s="50" t="s">
        <v>138</v>
      </c>
      <c r="AH130" s="49" t="str">
        <f>IF(AG130="นิติศาสตร์","K5-LAW","K5-POLICY")</f>
        <v>K5-LAW</v>
      </c>
      <c r="AI130" s="72" t="str">
        <f>_xlfn.IFS(B130="","",AND(AH130="K5-LAW",AG130="นิติศาสตร์",K130="S2",T130="",Z130=""),P130,AND(AH130="K5-LAW",AG130="นิติศาสตร์",K130="S1",T130="",Z130=""),EDATE(P130,12),AND(AH130="K5-LAW",AG130="นิติศาสตร์",OR(K130="M2",K130="K4"),T130="",Z130=""),EDATE(P130,12*2),AND(AH130="K5-LAW",AG130="นิติศาสตร์",OR(Z130="M2",Z130="K4"),AC130&gt;=2,OR(AB130&lt;V130,AB130&lt;P130)),EDATE(AB130,12*2),AND(AH130="K5-LAW",AG130="นิติศาสตร์",Z130="S1",AC130&gt;=1,OR(AB130&lt;V130,AB130&lt;P130)),EDATE(AB130,12),AND(AH130="K5-LAW",AG130="นิติศาสตร์",OR(T130="M2",T130="K4"),W130&gt;=2,V130&lt;P130),EDATE(V130,12*2),AND(AH130="K5-LAW",AG130="นิติศาสตร์",T130="S1",W130&gt;=1,V130&lt;P130),EDATE(V130,12),AND(AH130="K5-LAW",AG130="นิติศาสตร์",OR(T130="S2",T130="K5")),V130,AND(AH130="K5-LAW",AG130="นิติศาสตร์",OR(K130="M2",K130="K4"),Q130&gt;=2),EDATE(P130,12*2),AND(AH130="K5-LAW",AG130="นิติศาสตร์",K130="S1",Q130&gt;=1),EDATE(P130,12),AND(AH130="K5-LAW",AG130="นิติศาสตร์",OR(K130="S2",K130="K5")),P130,AND(AH130="K5-POLICY",AG130&lt;&gt;"นิติศาสตร์",K130="S2",T130="",Z130=""),P130,AND(AH130="K5-POLICY",AG130&lt;&gt;"นิติศาสตร์",K130="S1",T130="",Z130=""),EDATE(P130,12),AND(AH130="K5-POLICY",AG130&lt;&gt;"นิติศาสตร์",OR(K130="M2",K130="K4"),T130="",Z130=""),EDATE(P130,12*2),AND(AH130="K5-POLICY",AG130&lt;&gt;"นิติศาสตร์",OR(Z130="M2",Z130="K4"),AC130&gt;=2,OR(AB130&lt;V130,AB130&lt;P130)),EDATE(AB130,12*2),AND(AH130="K5-POLICY",AG130&lt;&gt;"นิติศาสตร์",Z130="S1",AC130&gt;=1,OR(AB130&lt;V130,AB130&lt;P130)),EDATE(AB130,12),AND(AH130="K5-POLICY",AG130&lt;&gt;"นิติศาสตร์",OR(T130="M2",T130="K4"),W130&gt;=2,V130&lt;P130),EDATE(V130,12*2),AND(AH130="K5-POLICY",AG130&lt;&gt;"นิติศาสตร์",T130="S1",W130&gt;=1,V130&lt;P130),EDATE(V130,12),AND(AH130="K5-POLICY",AG130&lt;&gt;"นิติศาสตร์",OR(T130="S2",T130="K5")),V130,AND(AH130="K5-POLICY",AG130&lt;&gt;"นิติศาสตร์",OR(K130="M2",K130="K4"),Q130&gt;=2),EDATE(P130,12*2),AND(AH130="K5-POLICY",AG130&lt;&gt;"นิติศาสตร์",K130="S1",Q130&gt;=1),EDATE(P130,12),AND(AH130="K5-POLICY",AG130&lt;&gt;"นิติศาสตร์",OR(K130="S2",K130="K5")),P130,TRUE,"Check Data")</f>
        <v/>
      </c>
      <c r="AJ130" s="75" t="str">
        <f t="shared" si="29"/>
        <v>Check Data</v>
      </c>
      <c r="AK130" s="76" t="str">
        <f t="shared" si="30"/>
        <v>Check Data</v>
      </c>
      <c r="AL130" s="50" t="str">
        <f t="shared" si="31"/>
        <v>Check Data</v>
      </c>
      <c r="AM130" s="49" t="str">
        <f>IF(B130="","",IF(K130="S1","S1",INDEX(#REF!,#REF!)))</f>
        <v/>
      </c>
      <c r="AN130" s="49" t="str">
        <f>K130</f>
        <v>M2</v>
      </c>
      <c r="AO130" s="50" t="b">
        <f>K130=AM130</f>
        <v>0</v>
      </c>
      <c r="AP130" s="50"/>
    </row>
    <row r="131" spans="1:42" ht="21.75">
      <c r="A131" s="49">
        <v>129</v>
      </c>
      <c r="B131" s="50"/>
      <c r="C131" s="50"/>
      <c r="D131" s="50" t="s">
        <v>143</v>
      </c>
      <c r="E131" s="49" t="s">
        <v>297</v>
      </c>
      <c r="F131" s="49" t="str">
        <f t="shared" ref="F131:F194" si="32">IF(E131="","",TEXT(EDATE(E131,-543*12),"dd/mm/yyyy"))</f>
        <v>22/12/1997</v>
      </c>
      <c r="G131" s="50">
        <f t="shared" ref="G131:G194" si="33">IF(F131="",0,DATEDIF(F131,$C$1,"Y"))</f>
        <v>27</v>
      </c>
      <c r="H131" s="50">
        <f t="shared" ref="H131:H194" si="34">IF(F131="",0,DATEDIF(F131,$C$1,"YM"))</f>
        <v>5</v>
      </c>
      <c r="I131" s="50">
        <f t="shared" ref="I131:I194" si="35">IF(F131="",0,DATEDIF(F131,$C$1,"MD"))</f>
        <v>29</v>
      </c>
      <c r="J131" s="59"/>
      <c r="K131" s="49" t="s">
        <v>136</v>
      </c>
      <c r="L131" s="64"/>
      <c r="M131" s="49" t="s">
        <v>427</v>
      </c>
      <c r="N131" s="49">
        <v>2573</v>
      </c>
      <c r="O131" s="65" t="s">
        <v>291</v>
      </c>
      <c r="P131" s="49" t="str">
        <f t="shared" ref="P131:P194" si="36">TEXT(EDATE(O131,-543*12),"dd/mm/yyyy")</f>
        <v>01/11/2021</v>
      </c>
      <c r="Q131" s="68">
        <f t="shared" ref="Q131:Q194" si="37">IF(P131="",0,DATEDIF(P131,$C$1,"Y"))</f>
        <v>3</v>
      </c>
      <c r="R131" s="68">
        <f t="shared" ref="R131:R194" si="38">IF(P131="",0,DATEDIF(P131,$C$1,"YM"))</f>
        <v>7</v>
      </c>
      <c r="S131" s="68">
        <f t="shared" ref="S131:S194" si="39">IF(P131="",0,DATEDIF(P131,$C$1,"MD"))</f>
        <v>19</v>
      </c>
      <c r="T131" s="65"/>
      <c r="U131" s="65"/>
      <c r="V131" s="49" t="str">
        <f t="shared" ref="V131:V194" si="40">IF(U131="","",TEXT(EDATE(U131,-543*12),"dd/mm/yyyy"))</f>
        <v/>
      </c>
      <c r="W131" s="68">
        <f>IF(V131="",0,DATEDIF(V131,P131,"Y"))</f>
        <v>0</v>
      </c>
      <c r="X131" s="68">
        <f>IF(V131="",0,DATEDIF(V131,P131,"YM"))</f>
        <v>0</v>
      </c>
      <c r="Y131" s="68">
        <f>IF(V131="",0,DATEDIF(V131,P131,"MD"))</f>
        <v>0</v>
      </c>
      <c r="Z131" s="49"/>
      <c r="AA131" s="65"/>
      <c r="AB131" s="50" t="str">
        <f t="shared" ref="AB131:AB194" si="41">IF(AA131="","",TEXT(EDATE(AA131,-543*12),"dd/mm/yyyy"))</f>
        <v/>
      </c>
      <c r="AC131" s="68">
        <f t="shared" ref="AC131:AC194" si="42">IF(AB131="",0,DATEDIF(AB131,V131,"Y"))</f>
        <v>0</v>
      </c>
      <c r="AD131" s="68">
        <f t="shared" ref="AD131:AD194" si="43">IF(AB131="",0,DATEDIF(AB131,V131,"YM"))</f>
        <v>0</v>
      </c>
      <c r="AE131" s="68">
        <f t="shared" ref="AE131:AE194" si="44">IF(AB131="",0,DATEDIF(AB131,V131,"MD"))</f>
        <v>0</v>
      </c>
      <c r="AF131" s="50"/>
      <c r="AG131" s="50" t="s">
        <v>169</v>
      </c>
      <c r="AH131" s="49" t="str">
        <f>IF(AG131="นิติศาสตร์","K5-LAW","K5-POLICY")</f>
        <v>K5-POLICY</v>
      </c>
      <c r="AI131" s="72" t="str">
        <f>_xlfn.IFS(B131="","",AND(AH131="K5-LAW",AG131="นิติศาสตร์",K131="S2",T131="",Z131=""),P131,AND(AH131="K5-LAW",AG131="นิติศาสตร์",K131="S1",T131="",Z131=""),EDATE(P131,12),AND(AH131="K5-LAW",AG131="นิติศาสตร์",OR(K131="M2",K131="K4"),T131="",Z131=""),EDATE(P131,12*2),AND(AH131="K5-LAW",AG131="นิติศาสตร์",OR(Z131="M2",Z131="K4"),AC131&gt;=2,OR(AB131&lt;V131,AB131&lt;P131)),EDATE(AB131,12*2),AND(AH131="K5-LAW",AG131="นิติศาสตร์",Z131="S1",AC131&gt;=1,OR(AB131&lt;V131,AB131&lt;P131)),EDATE(AB131,12),AND(AH131="K5-LAW",AG131="นิติศาสตร์",OR(T131="M2",T131="K4"),W131&gt;=2,V131&lt;P131),EDATE(V131,12*2),AND(AH131="K5-LAW",AG131="นิติศาสตร์",T131="S1",W131&gt;=1,V131&lt;P131),EDATE(V131,12),AND(AH131="K5-LAW",AG131="นิติศาสตร์",OR(T131="S2",T131="K5")),V131,AND(AH131="K5-LAW",AG131="นิติศาสตร์",OR(K131="M2",K131="K4"),Q131&gt;=2),EDATE(P131,12*2),AND(AH131="K5-LAW",AG131="นิติศาสตร์",K131="S1",Q131&gt;=1),EDATE(P131,12),AND(AH131="K5-LAW",AG131="นิติศาสตร์",OR(K131="S2",K131="K5")),P131,AND(AH131="K5-POLICY",AG131&lt;&gt;"นิติศาสตร์",K131="S2",T131="",Z131=""),P131,AND(AH131="K5-POLICY",AG131&lt;&gt;"นิติศาสตร์",K131="S1",T131="",Z131=""),EDATE(P131,12),AND(AH131="K5-POLICY",AG131&lt;&gt;"นิติศาสตร์",OR(K131="M2",K131="K4"),T131="",Z131=""),EDATE(P131,12*2),AND(AH131="K5-POLICY",AG131&lt;&gt;"นิติศาสตร์",OR(Z131="M2",Z131="K4"),AC131&gt;=2,OR(AB131&lt;V131,AB131&lt;P131)),EDATE(AB131,12*2),AND(AH131="K5-POLICY",AG131&lt;&gt;"นิติศาสตร์",Z131="S1",AC131&gt;=1,OR(AB131&lt;V131,AB131&lt;P131)),EDATE(AB131,12),AND(AH131="K5-POLICY",AG131&lt;&gt;"นิติศาสตร์",OR(T131="M2",T131="K4"),W131&gt;=2,V131&lt;P131),EDATE(V131,12*2),AND(AH131="K5-POLICY",AG131&lt;&gt;"นิติศาสตร์",T131="S1",W131&gt;=1,V131&lt;P131),EDATE(V131,12),AND(AH131="K5-POLICY",AG131&lt;&gt;"นิติศาสตร์",OR(T131="S2",T131="K5")),V131,AND(AH131="K5-POLICY",AG131&lt;&gt;"นิติศาสตร์",OR(K131="M2",K131="K4"),Q131&gt;=2),EDATE(P131,12*2),AND(AH131="K5-POLICY",AG131&lt;&gt;"นิติศาสตร์",K131="S1",Q131&gt;=1),EDATE(P131,12),AND(AH131="K5-POLICY",AG131&lt;&gt;"นิติศาสตร์",OR(K131="S2",K131="K5")),P131,TRUE,"Check Data")</f>
        <v/>
      </c>
      <c r="AJ131" s="75" t="str">
        <f t="shared" ref="AJ131:AJ194" si="45">IFERROR(TEXT(EDATE(AI131,543*12),"dd/mm/yyyy"),"Check Data")</f>
        <v>Check Data</v>
      </c>
      <c r="AK131" s="76" t="str">
        <f t="shared" ref="AK131:AK194" si="46">IFERROR(IF($C$1&gt;AI131,AI131-$C$1,DATEDIF($C$1,AI131,"d")),"Check Data")</f>
        <v>Check Data</v>
      </c>
      <c r="AL131" s="50" t="str">
        <f t="shared" ref="AL131:AL194" si="47">_xlfn.IFS(AK131="Check Data","Check Data",AK131&gt;30,"ยังไม่ถึงเกณฑ์",AK131&gt;0,"ใกล้ถึงเกณฑ์",AK131=0,"ถึงเกณฑ์",AK131&lt;0,"ถึงเกณฑ์นานแล้ว")</f>
        <v>Check Data</v>
      </c>
      <c r="AM131" s="49" t="str">
        <f>IF(B131="","",IF(K131="S1","S1",INDEX(#REF!,#REF!)))</f>
        <v/>
      </c>
      <c r="AN131" s="49" t="str">
        <f>K131</f>
        <v>M2</v>
      </c>
      <c r="AO131" s="50" t="b">
        <f>K131=AM131</f>
        <v>0</v>
      </c>
      <c r="AP131" s="50"/>
    </row>
    <row r="132" spans="1:42" ht="21.75">
      <c r="A132" s="49">
        <v>130</v>
      </c>
      <c r="B132" s="50"/>
      <c r="C132" s="50"/>
      <c r="D132" s="50" t="s">
        <v>143</v>
      </c>
      <c r="E132" s="49" t="s">
        <v>342</v>
      </c>
      <c r="F132" s="49" t="str">
        <f t="shared" si="32"/>
        <v>11/07/1996</v>
      </c>
      <c r="G132" s="50">
        <f t="shared" si="33"/>
        <v>28</v>
      </c>
      <c r="H132" s="50">
        <f t="shared" si="34"/>
        <v>11</v>
      </c>
      <c r="I132" s="50">
        <f t="shared" si="35"/>
        <v>9</v>
      </c>
      <c r="J132" s="59"/>
      <c r="K132" s="49" t="s">
        <v>136</v>
      </c>
      <c r="L132" s="64"/>
      <c r="M132" s="49" t="s">
        <v>427</v>
      </c>
      <c r="N132" s="49">
        <v>2576</v>
      </c>
      <c r="O132" s="65" t="s">
        <v>291</v>
      </c>
      <c r="P132" s="49" t="str">
        <f t="shared" si="36"/>
        <v>01/11/2021</v>
      </c>
      <c r="Q132" s="68">
        <f t="shared" si="37"/>
        <v>3</v>
      </c>
      <c r="R132" s="68">
        <f t="shared" si="38"/>
        <v>7</v>
      </c>
      <c r="S132" s="68">
        <f t="shared" si="39"/>
        <v>19</v>
      </c>
      <c r="T132" s="65"/>
      <c r="U132" s="65"/>
      <c r="V132" s="49" t="str">
        <f t="shared" si="40"/>
        <v/>
      </c>
      <c r="W132" s="68">
        <f>IF(V132="",0,DATEDIF(V132,P132,"Y"))</f>
        <v>0</v>
      </c>
      <c r="X132" s="68">
        <f>IF(V132="",0,DATEDIF(V132,P132,"YM"))</f>
        <v>0</v>
      </c>
      <c r="Y132" s="68">
        <f>IF(V132="",0,DATEDIF(V132,P132,"MD"))</f>
        <v>0</v>
      </c>
      <c r="Z132" s="49"/>
      <c r="AA132" s="65"/>
      <c r="AB132" s="50" t="str">
        <f t="shared" si="41"/>
        <v/>
      </c>
      <c r="AC132" s="68">
        <f t="shared" si="42"/>
        <v>0</v>
      </c>
      <c r="AD132" s="68">
        <f t="shared" si="43"/>
        <v>0</v>
      </c>
      <c r="AE132" s="68">
        <f t="shared" si="44"/>
        <v>0</v>
      </c>
      <c r="AF132" s="50"/>
      <c r="AG132" s="50" t="s">
        <v>518</v>
      </c>
      <c r="AH132" s="49" t="str">
        <f>IF(AG132="นิติศาสตร์","K5-LAW","K5-POLICY")</f>
        <v>K5-POLICY</v>
      </c>
      <c r="AI132" s="72" t="str">
        <f>_xlfn.IFS(B132="","",AND(AH132="K5-LAW",AG132="นิติศาสตร์",K132="S2",T132="",Z132=""),P132,AND(AH132="K5-LAW",AG132="นิติศาสตร์",K132="S1",T132="",Z132=""),EDATE(P132,12),AND(AH132="K5-LAW",AG132="นิติศาสตร์",OR(K132="M2",K132="K4"),T132="",Z132=""),EDATE(P132,12*2),AND(AH132="K5-LAW",AG132="นิติศาสตร์",OR(Z132="M2",Z132="K4"),AC132&gt;=2,OR(AB132&lt;V132,AB132&lt;P132)),EDATE(AB132,12*2),AND(AH132="K5-LAW",AG132="นิติศาสตร์",Z132="S1",AC132&gt;=1,OR(AB132&lt;V132,AB132&lt;P132)),EDATE(AB132,12),AND(AH132="K5-LAW",AG132="นิติศาสตร์",OR(T132="M2",T132="K4"),W132&gt;=2,V132&lt;P132),EDATE(V132,12*2),AND(AH132="K5-LAW",AG132="นิติศาสตร์",T132="S1",W132&gt;=1,V132&lt;P132),EDATE(V132,12),AND(AH132="K5-LAW",AG132="นิติศาสตร์",OR(T132="S2",T132="K5")),V132,AND(AH132="K5-LAW",AG132="นิติศาสตร์",OR(K132="M2",K132="K4"),Q132&gt;=2),EDATE(P132,12*2),AND(AH132="K5-LAW",AG132="นิติศาสตร์",K132="S1",Q132&gt;=1),EDATE(P132,12),AND(AH132="K5-LAW",AG132="นิติศาสตร์",OR(K132="S2",K132="K5")),P132,AND(AH132="K5-POLICY",AG132&lt;&gt;"นิติศาสตร์",K132="S2",T132="",Z132=""),P132,AND(AH132="K5-POLICY",AG132&lt;&gt;"นิติศาสตร์",K132="S1",T132="",Z132=""),EDATE(P132,12),AND(AH132="K5-POLICY",AG132&lt;&gt;"นิติศาสตร์",OR(K132="M2",K132="K4"),T132="",Z132=""),EDATE(P132,12*2),AND(AH132="K5-POLICY",AG132&lt;&gt;"นิติศาสตร์",OR(Z132="M2",Z132="K4"),AC132&gt;=2,OR(AB132&lt;V132,AB132&lt;P132)),EDATE(AB132,12*2),AND(AH132="K5-POLICY",AG132&lt;&gt;"นิติศาสตร์",Z132="S1",AC132&gt;=1,OR(AB132&lt;V132,AB132&lt;P132)),EDATE(AB132,12),AND(AH132="K5-POLICY",AG132&lt;&gt;"นิติศาสตร์",OR(T132="M2",T132="K4"),W132&gt;=2,V132&lt;P132),EDATE(V132,12*2),AND(AH132="K5-POLICY",AG132&lt;&gt;"นิติศาสตร์",T132="S1",W132&gt;=1,V132&lt;P132),EDATE(V132,12),AND(AH132="K5-POLICY",AG132&lt;&gt;"นิติศาสตร์",OR(T132="S2",T132="K5")),V132,AND(AH132="K5-POLICY",AG132&lt;&gt;"นิติศาสตร์",OR(K132="M2",K132="K4"),Q132&gt;=2),EDATE(P132,12*2),AND(AH132="K5-POLICY",AG132&lt;&gt;"นิติศาสตร์",K132="S1",Q132&gt;=1),EDATE(P132,12),AND(AH132="K5-POLICY",AG132&lt;&gt;"นิติศาสตร์",OR(K132="S2",K132="K5")),P132,TRUE,"Check Data")</f>
        <v/>
      </c>
      <c r="AJ132" s="75" t="str">
        <f t="shared" si="45"/>
        <v>Check Data</v>
      </c>
      <c r="AK132" s="76" t="str">
        <f t="shared" si="46"/>
        <v>Check Data</v>
      </c>
      <c r="AL132" s="50" t="str">
        <f t="shared" si="47"/>
        <v>Check Data</v>
      </c>
      <c r="AM132" s="49" t="str">
        <f>IF(B132="","",IF(K132="S1","S1",INDEX(#REF!,#REF!)))</f>
        <v/>
      </c>
      <c r="AN132" s="49" t="str">
        <f>K132</f>
        <v>M2</v>
      </c>
      <c r="AO132" s="50" t="b">
        <f>K132=AM132</f>
        <v>0</v>
      </c>
      <c r="AP132" s="50"/>
    </row>
    <row r="133" spans="1:42" ht="21.75">
      <c r="A133" s="49">
        <v>131</v>
      </c>
      <c r="B133" s="50"/>
      <c r="C133" s="50"/>
      <c r="D133" s="50" t="s">
        <v>143</v>
      </c>
      <c r="E133" s="49" t="s">
        <v>164</v>
      </c>
      <c r="F133" s="49" t="str">
        <f t="shared" si="32"/>
        <v>01/05/1990</v>
      </c>
      <c r="G133" s="50">
        <f t="shared" si="33"/>
        <v>35</v>
      </c>
      <c r="H133" s="50">
        <f t="shared" si="34"/>
        <v>1</v>
      </c>
      <c r="I133" s="50">
        <f t="shared" si="35"/>
        <v>19</v>
      </c>
      <c r="J133" s="59"/>
      <c r="K133" s="49" t="s">
        <v>136</v>
      </c>
      <c r="L133" s="64"/>
      <c r="M133" s="49" t="s">
        <v>427</v>
      </c>
      <c r="N133" s="49">
        <v>2575</v>
      </c>
      <c r="O133" s="65" t="s">
        <v>291</v>
      </c>
      <c r="P133" s="49" t="str">
        <f t="shared" si="36"/>
        <v>01/11/2021</v>
      </c>
      <c r="Q133" s="68">
        <f t="shared" si="37"/>
        <v>3</v>
      </c>
      <c r="R133" s="68">
        <f t="shared" si="38"/>
        <v>7</v>
      </c>
      <c r="S133" s="68">
        <f t="shared" si="39"/>
        <v>19</v>
      </c>
      <c r="T133" s="65"/>
      <c r="U133" s="65"/>
      <c r="V133" s="49" t="str">
        <f t="shared" si="40"/>
        <v/>
      </c>
      <c r="W133" s="68">
        <f>IF(V133="",0,DATEDIF(V133,P133,"Y"))</f>
        <v>0</v>
      </c>
      <c r="X133" s="68">
        <f>IF(V133="",0,DATEDIF(V133,P133,"YM"))</f>
        <v>0</v>
      </c>
      <c r="Y133" s="68">
        <f>IF(V133="",0,DATEDIF(V133,P133,"MD"))</f>
        <v>0</v>
      </c>
      <c r="Z133" s="49"/>
      <c r="AA133" s="65"/>
      <c r="AB133" s="50" t="str">
        <f t="shared" si="41"/>
        <v/>
      </c>
      <c r="AC133" s="68">
        <f t="shared" si="42"/>
        <v>0</v>
      </c>
      <c r="AD133" s="68">
        <f t="shared" si="43"/>
        <v>0</v>
      </c>
      <c r="AE133" s="68">
        <f t="shared" si="44"/>
        <v>0</v>
      </c>
      <c r="AF133" s="50"/>
      <c r="AG133" s="50" t="s">
        <v>163</v>
      </c>
      <c r="AH133" s="49" t="str">
        <f>IF(AG133="นิติศาสตร์","K5-LAW","K5-POLICY")</f>
        <v>K5-POLICY</v>
      </c>
      <c r="AI133" s="72" t="str">
        <f>_xlfn.IFS(B133="","",AND(AH133="K5-LAW",AG133="นิติศาสตร์",K133="S2",T133="",Z133=""),P133,AND(AH133="K5-LAW",AG133="นิติศาสตร์",K133="S1",T133="",Z133=""),EDATE(P133,12),AND(AH133="K5-LAW",AG133="นิติศาสตร์",OR(K133="M2",K133="K4"),T133="",Z133=""),EDATE(P133,12*2),AND(AH133="K5-LAW",AG133="นิติศาสตร์",OR(Z133="M2",Z133="K4"),AC133&gt;=2,OR(AB133&lt;V133,AB133&lt;P133)),EDATE(AB133,12*2),AND(AH133="K5-LAW",AG133="นิติศาสตร์",Z133="S1",AC133&gt;=1,OR(AB133&lt;V133,AB133&lt;P133)),EDATE(AB133,12),AND(AH133="K5-LAW",AG133="นิติศาสตร์",OR(T133="M2",T133="K4"),W133&gt;=2,V133&lt;P133),EDATE(V133,12*2),AND(AH133="K5-LAW",AG133="นิติศาสตร์",T133="S1",W133&gt;=1,V133&lt;P133),EDATE(V133,12),AND(AH133="K5-LAW",AG133="นิติศาสตร์",OR(T133="S2",T133="K5")),V133,AND(AH133="K5-LAW",AG133="นิติศาสตร์",OR(K133="M2",K133="K4"),Q133&gt;=2),EDATE(P133,12*2),AND(AH133="K5-LAW",AG133="นิติศาสตร์",K133="S1",Q133&gt;=1),EDATE(P133,12),AND(AH133="K5-LAW",AG133="นิติศาสตร์",OR(K133="S2",K133="K5")),P133,AND(AH133="K5-POLICY",AG133&lt;&gt;"นิติศาสตร์",K133="S2",T133="",Z133=""),P133,AND(AH133="K5-POLICY",AG133&lt;&gt;"นิติศาสตร์",K133="S1",T133="",Z133=""),EDATE(P133,12),AND(AH133="K5-POLICY",AG133&lt;&gt;"นิติศาสตร์",OR(K133="M2",K133="K4"),T133="",Z133=""),EDATE(P133,12*2),AND(AH133="K5-POLICY",AG133&lt;&gt;"นิติศาสตร์",OR(Z133="M2",Z133="K4"),AC133&gt;=2,OR(AB133&lt;V133,AB133&lt;P133)),EDATE(AB133,12*2),AND(AH133="K5-POLICY",AG133&lt;&gt;"นิติศาสตร์",Z133="S1",AC133&gt;=1,OR(AB133&lt;V133,AB133&lt;P133)),EDATE(AB133,12),AND(AH133="K5-POLICY",AG133&lt;&gt;"นิติศาสตร์",OR(T133="M2",T133="K4"),W133&gt;=2,V133&lt;P133),EDATE(V133,12*2),AND(AH133="K5-POLICY",AG133&lt;&gt;"นิติศาสตร์",T133="S1",W133&gt;=1,V133&lt;P133),EDATE(V133,12),AND(AH133="K5-POLICY",AG133&lt;&gt;"นิติศาสตร์",OR(T133="S2",T133="K5")),V133,AND(AH133="K5-POLICY",AG133&lt;&gt;"นิติศาสตร์",OR(K133="M2",K133="K4"),Q133&gt;=2),EDATE(P133,12*2),AND(AH133="K5-POLICY",AG133&lt;&gt;"นิติศาสตร์",K133="S1",Q133&gt;=1),EDATE(P133,12),AND(AH133="K5-POLICY",AG133&lt;&gt;"นิติศาสตร์",OR(K133="S2",K133="K5")),P133,TRUE,"Check Data")</f>
        <v/>
      </c>
      <c r="AJ133" s="75" t="str">
        <f t="shared" si="45"/>
        <v>Check Data</v>
      </c>
      <c r="AK133" s="76" t="str">
        <f t="shared" si="46"/>
        <v>Check Data</v>
      </c>
      <c r="AL133" s="50" t="str">
        <f t="shared" si="47"/>
        <v>Check Data</v>
      </c>
      <c r="AM133" s="49" t="str">
        <f>IF(B133="","",IF(K133="S1","S1",INDEX(#REF!,#REF!)))</f>
        <v/>
      </c>
      <c r="AN133" s="49" t="str">
        <f>K133</f>
        <v>M2</v>
      </c>
      <c r="AO133" s="50" t="b">
        <f>K133=AM133</f>
        <v>0</v>
      </c>
      <c r="AP133" s="50"/>
    </row>
    <row r="134" spans="1:42" ht="21.75">
      <c r="A134" s="49">
        <v>132</v>
      </c>
      <c r="B134" s="50"/>
      <c r="C134" s="50"/>
      <c r="D134" s="50" t="s">
        <v>143</v>
      </c>
      <c r="E134" s="49" t="s">
        <v>299</v>
      </c>
      <c r="F134" s="49" t="str">
        <f t="shared" si="32"/>
        <v>01/09/2000</v>
      </c>
      <c r="G134" s="50">
        <f t="shared" si="33"/>
        <v>24</v>
      </c>
      <c r="H134" s="50">
        <f t="shared" si="34"/>
        <v>9</v>
      </c>
      <c r="I134" s="50">
        <f t="shared" si="35"/>
        <v>19</v>
      </c>
      <c r="J134" s="59"/>
      <c r="K134" s="49" t="s">
        <v>136</v>
      </c>
      <c r="L134" s="64"/>
      <c r="M134" s="49" t="s">
        <v>427</v>
      </c>
      <c r="N134" s="49">
        <v>2575</v>
      </c>
      <c r="O134" s="65" t="s">
        <v>291</v>
      </c>
      <c r="P134" s="49" t="str">
        <f t="shared" si="36"/>
        <v>01/11/2021</v>
      </c>
      <c r="Q134" s="68">
        <f t="shared" si="37"/>
        <v>3</v>
      </c>
      <c r="R134" s="68">
        <f t="shared" si="38"/>
        <v>7</v>
      </c>
      <c r="S134" s="68">
        <f t="shared" si="39"/>
        <v>19</v>
      </c>
      <c r="T134" s="65"/>
      <c r="U134" s="65"/>
      <c r="V134" s="49" t="str">
        <f t="shared" si="40"/>
        <v/>
      </c>
      <c r="W134" s="68">
        <f>IF(V134="",0,DATEDIF(V134,P134,"Y"))</f>
        <v>0</v>
      </c>
      <c r="X134" s="68">
        <f>IF(V134="",0,DATEDIF(V134,P134,"YM"))</f>
        <v>0</v>
      </c>
      <c r="Y134" s="68">
        <f>IF(V134="",0,DATEDIF(V134,P134,"MD"))</f>
        <v>0</v>
      </c>
      <c r="Z134" s="49"/>
      <c r="AA134" s="65"/>
      <c r="AB134" s="50" t="str">
        <f t="shared" si="41"/>
        <v/>
      </c>
      <c r="AC134" s="68">
        <f t="shared" si="42"/>
        <v>0</v>
      </c>
      <c r="AD134" s="68">
        <f t="shared" si="43"/>
        <v>0</v>
      </c>
      <c r="AE134" s="68">
        <f t="shared" si="44"/>
        <v>0</v>
      </c>
      <c r="AF134" s="50"/>
      <c r="AG134" s="50" t="s">
        <v>512</v>
      </c>
      <c r="AH134" s="49" t="str">
        <f>IF(AG134="นิติศาสตร์","K5-LAW","K5-POLICY")</f>
        <v>K5-POLICY</v>
      </c>
      <c r="AI134" s="72" t="str">
        <f>_xlfn.IFS(B134="","",AND(AH134="K5-LAW",AG134="นิติศาสตร์",K134="S2",T134="",Z134=""),P134,AND(AH134="K5-LAW",AG134="นิติศาสตร์",K134="S1",T134="",Z134=""),EDATE(P134,12),AND(AH134="K5-LAW",AG134="นิติศาสตร์",OR(K134="M2",K134="K4"),T134="",Z134=""),EDATE(P134,12*2),AND(AH134="K5-LAW",AG134="นิติศาสตร์",OR(Z134="M2",Z134="K4"),AC134&gt;=2,OR(AB134&lt;V134,AB134&lt;P134)),EDATE(AB134,12*2),AND(AH134="K5-LAW",AG134="นิติศาสตร์",Z134="S1",AC134&gt;=1,OR(AB134&lt;V134,AB134&lt;P134)),EDATE(AB134,12),AND(AH134="K5-LAW",AG134="นิติศาสตร์",OR(T134="M2",T134="K4"),W134&gt;=2,V134&lt;P134),EDATE(V134,12*2),AND(AH134="K5-LAW",AG134="นิติศาสตร์",T134="S1",W134&gt;=1,V134&lt;P134),EDATE(V134,12),AND(AH134="K5-LAW",AG134="นิติศาสตร์",OR(T134="S2",T134="K5")),V134,AND(AH134="K5-LAW",AG134="นิติศาสตร์",OR(K134="M2",K134="K4"),Q134&gt;=2),EDATE(P134,12*2),AND(AH134="K5-LAW",AG134="นิติศาสตร์",K134="S1",Q134&gt;=1),EDATE(P134,12),AND(AH134="K5-LAW",AG134="นิติศาสตร์",OR(K134="S2",K134="K5")),P134,AND(AH134="K5-POLICY",AG134&lt;&gt;"นิติศาสตร์",K134="S2",T134="",Z134=""),P134,AND(AH134="K5-POLICY",AG134&lt;&gt;"นิติศาสตร์",K134="S1",T134="",Z134=""),EDATE(P134,12),AND(AH134="K5-POLICY",AG134&lt;&gt;"นิติศาสตร์",OR(K134="M2",K134="K4"),T134="",Z134=""),EDATE(P134,12*2),AND(AH134="K5-POLICY",AG134&lt;&gt;"นิติศาสตร์",OR(Z134="M2",Z134="K4"),AC134&gt;=2,OR(AB134&lt;V134,AB134&lt;P134)),EDATE(AB134,12*2),AND(AH134="K5-POLICY",AG134&lt;&gt;"นิติศาสตร์",Z134="S1",AC134&gt;=1,OR(AB134&lt;V134,AB134&lt;P134)),EDATE(AB134,12),AND(AH134="K5-POLICY",AG134&lt;&gt;"นิติศาสตร์",OR(T134="M2",T134="K4"),W134&gt;=2,V134&lt;P134),EDATE(V134,12*2),AND(AH134="K5-POLICY",AG134&lt;&gt;"นิติศาสตร์",T134="S1",W134&gt;=1,V134&lt;P134),EDATE(V134,12),AND(AH134="K5-POLICY",AG134&lt;&gt;"นิติศาสตร์",OR(T134="S2",T134="K5")),V134,AND(AH134="K5-POLICY",AG134&lt;&gt;"นิติศาสตร์",OR(K134="M2",K134="K4"),Q134&gt;=2),EDATE(P134,12*2),AND(AH134="K5-POLICY",AG134&lt;&gt;"นิติศาสตร์",K134="S1",Q134&gt;=1),EDATE(P134,12),AND(AH134="K5-POLICY",AG134&lt;&gt;"นิติศาสตร์",OR(K134="S2",K134="K5")),P134,TRUE,"Check Data")</f>
        <v/>
      </c>
      <c r="AJ134" s="75" t="str">
        <f t="shared" si="45"/>
        <v>Check Data</v>
      </c>
      <c r="AK134" s="76" t="str">
        <f t="shared" si="46"/>
        <v>Check Data</v>
      </c>
      <c r="AL134" s="50" t="str">
        <f t="shared" si="47"/>
        <v>Check Data</v>
      </c>
      <c r="AM134" s="49" t="str">
        <f>IF(B134="","",IF(K134="S1","S1",INDEX(#REF!,#REF!)))</f>
        <v/>
      </c>
      <c r="AN134" s="49" t="str">
        <f>K134</f>
        <v>M2</v>
      </c>
      <c r="AO134" s="50" t="b">
        <f>K134=AM134</f>
        <v>0</v>
      </c>
      <c r="AP134" s="50"/>
    </row>
    <row r="135" spans="1:42" ht="21.75">
      <c r="A135" s="49">
        <v>133</v>
      </c>
      <c r="B135" s="50"/>
      <c r="C135" s="50"/>
      <c r="D135" s="50" t="s">
        <v>143</v>
      </c>
      <c r="E135" s="49" t="s">
        <v>292</v>
      </c>
      <c r="F135" s="49" t="str">
        <f t="shared" si="32"/>
        <v>01/09/1998</v>
      </c>
      <c r="G135" s="50">
        <f t="shared" si="33"/>
        <v>26</v>
      </c>
      <c r="H135" s="50">
        <f t="shared" si="34"/>
        <v>9</v>
      </c>
      <c r="I135" s="50">
        <f t="shared" si="35"/>
        <v>19</v>
      </c>
      <c r="J135" s="59"/>
      <c r="K135" s="49" t="s">
        <v>136</v>
      </c>
      <c r="L135" s="64"/>
      <c r="M135" s="49" t="s">
        <v>427</v>
      </c>
      <c r="N135" s="49">
        <v>2578</v>
      </c>
      <c r="O135" s="65" t="s">
        <v>291</v>
      </c>
      <c r="P135" s="49" t="str">
        <f t="shared" si="36"/>
        <v>01/11/2021</v>
      </c>
      <c r="Q135" s="68">
        <f t="shared" si="37"/>
        <v>3</v>
      </c>
      <c r="R135" s="68">
        <f t="shared" si="38"/>
        <v>7</v>
      </c>
      <c r="S135" s="68">
        <f t="shared" si="39"/>
        <v>19</v>
      </c>
      <c r="T135" s="65"/>
      <c r="U135" s="65"/>
      <c r="V135" s="49" t="str">
        <f t="shared" si="40"/>
        <v/>
      </c>
      <c r="W135" s="68">
        <f>IF(V135="",0,DATEDIF(V135,P135,"Y"))</f>
        <v>0</v>
      </c>
      <c r="X135" s="68">
        <f>IF(V135="",0,DATEDIF(V135,P135,"YM"))</f>
        <v>0</v>
      </c>
      <c r="Y135" s="68">
        <f>IF(V135="",0,DATEDIF(V135,P135,"MD"))</f>
        <v>0</v>
      </c>
      <c r="Z135" s="49"/>
      <c r="AA135" s="65"/>
      <c r="AB135" s="50" t="str">
        <f t="shared" si="41"/>
        <v/>
      </c>
      <c r="AC135" s="68">
        <f t="shared" si="42"/>
        <v>0</v>
      </c>
      <c r="AD135" s="68">
        <f t="shared" si="43"/>
        <v>0</v>
      </c>
      <c r="AE135" s="68">
        <f t="shared" si="44"/>
        <v>0</v>
      </c>
      <c r="AF135" s="50"/>
      <c r="AG135" s="50" t="s">
        <v>516</v>
      </c>
      <c r="AH135" s="49" t="str">
        <f>IF(AG135="นิติศาสตร์","K5-LAW","K5-POLICY")</f>
        <v>K5-POLICY</v>
      </c>
      <c r="AI135" s="72" t="str">
        <f>_xlfn.IFS(B135="","",AND(AH135="K5-LAW",AG135="นิติศาสตร์",K135="S2",T135="",Z135=""),P135,AND(AH135="K5-LAW",AG135="นิติศาสตร์",K135="S1",T135="",Z135=""),EDATE(P135,12),AND(AH135="K5-LAW",AG135="นิติศาสตร์",OR(K135="M2",K135="K4"),T135="",Z135=""),EDATE(P135,12*2),AND(AH135="K5-LAW",AG135="นิติศาสตร์",OR(Z135="M2",Z135="K4"),AC135&gt;=2,OR(AB135&lt;V135,AB135&lt;P135)),EDATE(AB135,12*2),AND(AH135="K5-LAW",AG135="นิติศาสตร์",Z135="S1",AC135&gt;=1,OR(AB135&lt;V135,AB135&lt;P135)),EDATE(AB135,12),AND(AH135="K5-LAW",AG135="นิติศาสตร์",OR(T135="M2",T135="K4"),W135&gt;=2,V135&lt;P135),EDATE(V135,12*2),AND(AH135="K5-LAW",AG135="นิติศาสตร์",T135="S1",W135&gt;=1,V135&lt;P135),EDATE(V135,12),AND(AH135="K5-LAW",AG135="นิติศาสตร์",OR(T135="S2",T135="K5")),V135,AND(AH135="K5-LAW",AG135="นิติศาสตร์",OR(K135="M2",K135="K4"),Q135&gt;=2),EDATE(P135,12*2),AND(AH135="K5-LAW",AG135="นิติศาสตร์",K135="S1",Q135&gt;=1),EDATE(P135,12),AND(AH135="K5-LAW",AG135="นิติศาสตร์",OR(K135="S2",K135="K5")),P135,AND(AH135="K5-POLICY",AG135&lt;&gt;"นิติศาสตร์",K135="S2",T135="",Z135=""),P135,AND(AH135="K5-POLICY",AG135&lt;&gt;"นิติศาสตร์",K135="S1",T135="",Z135=""),EDATE(P135,12),AND(AH135="K5-POLICY",AG135&lt;&gt;"นิติศาสตร์",OR(K135="M2",K135="K4"),T135="",Z135=""),EDATE(P135,12*2),AND(AH135="K5-POLICY",AG135&lt;&gt;"นิติศาสตร์",OR(Z135="M2",Z135="K4"),AC135&gt;=2,OR(AB135&lt;V135,AB135&lt;P135)),EDATE(AB135,12*2),AND(AH135="K5-POLICY",AG135&lt;&gt;"นิติศาสตร์",Z135="S1",AC135&gt;=1,OR(AB135&lt;V135,AB135&lt;P135)),EDATE(AB135,12),AND(AH135="K5-POLICY",AG135&lt;&gt;"นิติศาสตร์",OR(T135="M2",T135="K4"),W135&gt;=2,V135&lt;P135),EDATE(V135,12*2),AND(AH135="K5-POLICY",AG135&lt;&gt;"นิติศาสตร์",T135="S1",W135&gt;=1,V135&lt;P135),EDATE(V135,12),AND(AH135="K5-POLICY",AG135&lt;&gt;"นิติศาสตร์",OR(T135="S2",T135="K5")),V135,AND(AH135="K5-POLICY",AG135&lt;&gt;"นิติศาสตร์",OR(K135="M2",K135="K4"),Q135&gt;=2),EDATE(P135,12*2),AND(AH135="K5-POLICY",AG135&lt;&gt;"นิติศาสตร์",K135="S1",Q135&gt;=1),EDATE(P135,12),AND(AH135="K5-POLICY",AG135&lt;&gt;"นิติศาสตร์",OR(K135="S2",K135="K5")),P135,TRUE,"Check Data")</f>
        <v/>
      </c>
      <c r="AJ135" s="75" t="str">
        <f t="shared" si="45"/>
        <v>Check Data</v>
      </c>
      <c r="AK135" s="76" t="str">
        <f t="shared" si="46"/>
        <v>Check Data</v>
      </c>
      <c r="AL135" s="50" t="str">
        <f t="shared" si="47"/>
        <v>Check Data</v>
      </c>
      <c r="AM135" s="49" t="str">
        <f>IF(B135="","",IF(K135="S1","S1",INDEX(#REF!,#REF!)))</f>
        <v/>
      </c>
      <c r="AN135" s="49" t="str">
        <f>K135</f>
        <v>M2</v>
      </c>
      <c r="AO135" s="50" t="b">
        <f>K135=AM135</f>
        <v>0</v>
      </c>
      <c r="AP135" s="50"/>
    </row>
    <row r="136" spans="1:42" ht="21.75">
      <c r="A136" s="49">
        <v>134</v>
      </c>
      <c r="B136" s="50"/>
      <c r="C136" s="50"/>
      <c r="D136" s="50" t="s">
        <v>143</v>
      </c>
      <c r="E136" s="49" t="s">
        <v>330</v>
      </c>
      <c r="F136" s="49" t="str">
        <f t="shared" si="32"/>
        <v>15/06/1988</v>
      </c>
      <c r="G136" s="50">
        <f t="shared" si="33"/>
        <v>37</v>
      </c>
      <c r="H136" s="50">
        <f t="shared" si="34"/>
        <v>0</v>
      </c>
      <c r="I136" s="50">
        <f t="shared" si="35"/>
        <v>5</v>
      </c>
      <c r="J136" s="59"/>
      <c r="K136" s="49" t="s">
        <v>136</v>
      </c>
      <c r="L136" s="64"/>
      <c r="M136" s="49" t="s">
        <v>427</v>
      </c>
      <c r="N136" s="49">
        <v>2571</v>
      </c>
      <c r="O136" s="65" t="s">
        <v>291</v>
      </c>
      <c r="P136" s="49" t="str">
        <f t="shared" si="36"/>
        <v>01/11/2021</v>
      </c>
      <c r="Q136" s="68">
        <f t="shared" si="37"/>
        <v>3</v>
      </c>
      <c r="R136" s="68">
        <f t="shared" si="38"/>
        <v>7</v>
      </c>
      <c r="S136" s="68">
        <f t="shared" si="39"/>
        <v>19</v>
      </c>
      <c r="T136" s="65"/>
      <c r="U136" s="65"/>
      <c r="V136" s="49" t="str">
        <f t="shared" si="40"/>
        <v/>
      </c>
      <c r="W136" s="68">
        <f>IF(V136="",0,DATEDIF(V136,P136,"Y"))</f>
        <v>0</v>
      </c>
      <c r="X136" s="68">
        <f>IF(V136="",0,DATEDIF(V136,P136,"YM"))</f>
        <v>0</v>
      </c>
      <c r="Y136" s="68">
        <f>IF(V136="",0,DATEDIF(V136,P136,"MD"))</f>
        <v>0</v>
      </c>
      <c r="Z136" s="49"/>
      <c r="AA136" s="65"/>
      <c r="AB136" s="50" t="str">
        <f t="shared" si="41"/>
        <v/>
      </c>
      <c r="AC136" s="68">
        <f t="shared" si="42"/>
        <v>0</v>
      </c>
      <c r="AD136" s="68">
        <f t="shared" si="43"/>
        <v>0</v>
      </c>
      <c r="AE136" s="68">
        <f t="shared" si="44"/>
        <v>0</v>
      </c>
      <c r="AF136" s="50"/>
      <c r="AG136" s="50" t="s">
        <v>138</v>
      </c>
      <c r="AH136" s="49" t="str">
        <f>IF(AG136="นิติศาสตร์","K5-LAW","K5-POLICY")</f>
        <v>K5-LAW</v>
      </c>
      <c r="AI136" s="72" t="str">
        <f>_xlfn.IFS(B136="","",AND(AH136="K5-LAW",AG136="นิติศาสตร์",K136="S2",T136="",Z136=""),P136,AND(AH136="K5-LAW",AG136="นิติศาสตร์",K136="S1",T136="",Z136=""),EDATE(P136,12),AND(AH136="K5-LAW",AG136="นิติศาสตร์",OR(K136="M2",K136="K4"),T136="",Z136=""),EDATE(P136,12*2),AND(AH136="K5-LAW",AG136="นิติศาสตร์",OR(Z136="M2",Z136="K4"),AC136&gt;=2,OR(AB136&lt;V136,AB136&lt;P136)),EDATE(AB136,12*2),AND(AH136="K5-LAW",AG136="นิติศาสตร์",Z136="S1",AC136&gt;=1,OR(AB136&lt;V136,AB136&lt;P136)),EDATE(AB136,12),AND(AH136="K5-LAW",AG136="นิติศาสตร์",OR(T136="M2",T136="K4"),W136&gt;=2,V136&lt;P136),EDATE(V136,12*2),AND(AH136="K5-LAW",AG136="นิติศาสตร์",T136="S1",W136&gt;=1,V136&lt;P136),EDATE(V136,12),AND(AH136="K5-LAW",AG136="นิติศาสตร์",OR(T136="S2",T136="K5")),V136,AND(AH136="K5-LAW",AG136="นิติศาสตร์",OR(K136="M2",K136="K4"),Q136&gt;=2),EDATE(P136,12*2),AND(AH136="K5-LAW",AG136="นิติศาสตร์",K136="S1",Q136&gt;=1),EDATE(P136,12),AND(AH136="K5-LAW",AG136="นิติศาสตร์",OR(K136="S2",K136="K5")),P136,AND(AH136="K5-POLICY",AG136&lt;&gt;"นิติศาสตร์",K136="S2",T136="",Z136=""),P136,AND(AH136="K5-POLICY",AG136&lt;&gt;"นิติศาสตร์",K136="S1",T136="",Z136=""),EDATE(P136,12),AND(AH136="K5-POLICY",AG136&lt;&gt;"นิติศาสตร์",OR(K136="M2",K136="K4"),T136="",Z136=""),EDATE(P136,12*2),AND(AH136="K5-POLICY",AG136&lt;&gt;"นิติศาสตร์",OR(Z136="M2",Z136="K4"),AC136&gt;=2,OR(AB136&lt;V136,AB136&lt;P136)),EDATE(AB136,12*2),AND(AH136="K5-POLICY",AG136&lt;&gt;"นิติศาสตร์",Z136="S1",AC136&gt;=1,OR(AB136&lt;V136,AB136&lt;P136)),EDATE(AB136,12),AND(AH136="K5-POLICY",AG136&lt;&gt;"นิติศาสตร์",OR(T136="M2",T136="K4"),W136&gt;=2,V136&lt;P136),EDATE(V136,12*2),AND(AH136="K5-POLICY",AG136&lt;&gt;"นิติศาสตร์",T136="S1",W136&gt;=1,V136&lt;P136),EDATE(V136,12),AND(AH136="K5-POLICY",AG136&lt;&gt;"นิติศาสตร์",OR(T136="S2",T136="K5")),V136,AND(AH136="K5-POLICY",AG136&lt;&gt;"นิติศาสตร์",OR(K136="M2",K136="K4"),Q136&gt;=2),EDATE(P136,12*2),AND(AH136="K5-POLICY",AG136&lt;&gt;"นิติศาสตร์",K136="S1",Q136&gt;=1),EDATE(P136,12),AND(AH136="K5-POLICY",AG136&lt;&gt;"นิติศาสตร์",OR(K136="S2",K136="K5")),P136,TRUE,"Check Data")</f>
        <v/>
      </c>
      <c r="AJ136" s="75" t="str">
        <f t="shared" si="45"/>
        <v>Check Data</v>
      </c>
      <c r="AK136" s="76" t="str">
        <f t="shared" si="46"/>
        <v>Check Data</v>
      </c>
      <c r="AL136" s="50" t="str">
        <f t="shared" si="47"/>
        <v>Check Data</v>
      </c>
      <c r="AM136" s="49" t="str">
        <f>IF(B136="","",IF(K136="S1","S1",INDEX(#REF!,#REF!)))</f>
        <v/>
      </c>
      <c r="AN136" s="49" t="str">
        <f>K136</f>
        <v>M2</v>
      </c>
      <c r="AO136" s="50" t="b">
        <f>K136=AM136</f>
        <v>0</v>
      </c>
      <c r="AP136" s="50"/>
    </row>
    <row r="137" spans="1:42" ht="21.75">
      <c r="A137" s="49">
        <v>135</v>
      </c>
      <c r="B137" s="50"/>
      <c r="C137" s="50"/>
      <c r="D137" s="50" t="s">
        <v>143</v>
      </c>
      <c r="E137" s="49" t="s">
        <v>351</v>
      </c>
      <c r="F137" s="49" t="str">
        <f t="shared" si="32"/>
        <v>15/01/1998</v>
      </c>
      <c r="G137" s="50">
        <f t="shared" si="33"/>
        <v>27</v>
      </c>
      <c r="H137" s="50">
        <f t="shared" si="34"/>
        <v>5</v>
      </c>
      <c r="I137" s="50">
        <f t="shared" si="35"/>
        <v>5</v>
      </c>
      <c r="J137" s="59"/>
      <c r="K137" s="49" t="s">
        <v>136</v>
      </c>
      <c r="L137" s="64"/>
      <c r="M137" s="49" t="s">
        <v>427</v>
      </c>
      <c r="N137" s="49">
        <v>2576</v>
      </c>
      <c r="O137" s="65" t="s">
        <v>291</v>
      </c>
      <c r="P137" s="49" t="str">
        <f t="shared" si="36"/>
        <v>01/11/2021</v>
      </c>
      <c r="Q137" s="68">
        <f t="shared" si="37"/>
        <v>3</v>
      </c>
      <c r="R137" s="68">
        <f t="shared" si="38"/>
        <v>7</v>
      </c>
      <c r="S137" s="68">
        <f t="shared" si="39"/>
        <v>19</v>
      </c>
      <c r="T137" s="65"/>
      <c r="U137" s="65"/>
      <c r="V137" s="49" t="str">
        <f t="shared" si="40"/>
        <v/>
      </c>
      <c r="W137" s="68">
        <f>IF(V137="",0,DATEDIF(V137,P137,"Y"))</f>
        <v>0</v>
      </c>
      <c r="X137" s="68">
        <f>IF(V137="",0,DATEDIF(V137,P137,"YM"))</f>
        <v>0</v>
      </c>
      <c r="Y137" s="68">
        <f>IF(V137="",0,DATEDIF(V137,P137,"MD"))</f>
        <v>0</v>
      </c>
      <c r="Z137" s="49"/>
      <c r="AA137" s="65"/>
      <c r="AB137" s="50" t="str">
        <f t="shared" si="41"/>
        <v/>
      </c>
      <c r="AC137" s="68">
        <f t="shared" si="42"/>
        <v>0</v>
      </c>
      <c r="AD137" s="68">
        <f t="shared" si="43"/>
        <v>0</v>
      </c>
      <c r="AE137" s="68">
        <f t="shared" si="44"/>
        <v>0</v>
      </c>
      <c r="AF137" s="50"/>
      <c r="AG137" s="50" t="s">
        <v>482</v>
      </c>
      <c r="AH137" s="49" t="str">
        <f>IF(AG137="นิติศาสตร์","K5-LAW","K5-POLICY")</f>
        <v>K5-POLICY</v>
      </c>
      <c r="AI137" s="72" t="str">
        <f>_xlfn.IFS(B137="","",AND(AH137="K5-LAW",AG137="นิติศาสตร์",K137="S2",T137="",Z137=""),P137,AND(AH137="K5-LAW",AG137="นิติศาสตร์",K137="S1",T137="",Z137=""),EDATE(P137,12),AND(AH137="K5-LAW",AG137="นิติศาสตร์",OR(K137="M2",K137="K4"),T137="",Z137=""),EDATE(P137,12*2),AND(AH137="K5-LAW",AG137="นิติศาสตร์",OR(Z137="M2",Z137="K4"),AC137&gt;=2,OR(AB137&lt;V137,AB137&lt;P137)),EDATE(AB137,12*2),AND(AH137="K5-LAW",AG137="นิติศาสตร์",Z137="S1",AC137&gt;=1,OR(AB137&lt;V137,AB137&lt;P137)),EDATE(AB137,12),AND(AH137="K5-LAW",AG137="นิติศาสตร์",OR(T137="M2",T137="K4"),W137&gt;=2,V137&lt;P137),EDATE(V137,12*2),AND(AH137="K5-LAW",AG137="นิติศาสตร์",T137="S1",W137&gt;=1,V137&lt;P137),EDATE(V137,12),AND(AH137="K5-LAW",AG137="นิติศาสตร์",OR(T137="S2",T137="K5")),V137,AND(AH137="K5-LAW",AG137="นิติศาสตร์",OR(K137="M2",K137="K4"),Q137&gt;=2),EDATE(P137,12*2),AND(AH137="K5-LAW",AG137="นิติศาสตร์",K137="S1",Q137&gt;=1),EDATE(P137,12),AND(AH137="K5-LAW",AG137="นิติศาสตร์",OR(K137="S2",K137="K5")),P137,AND(AH137="K5-POLICY",AG137&lt;&gt;"นิติศาสตร์",K137="S2",T137="",Z137=""),P137,AND(AH137="K5-POLICY",AG137&lt;&gt;"นิติศาสตร์",K137="S1",T137="",Z137=""),EDATE(P137,12),AND(AH137="K5-POLICY",AG137&lt;&gt;"นิติศาสตร์",OR(K137="M2",K137="K4"),T137="",Z137=""),EDATE(P137,12*2),AND(AH137="K5-POLICY",AG137&lt;&gt;"นิติศาสตร์",OR(Z137="M2",Z137="K4"),AC137&gt;=2,OR(AB137&lt;V137,AB137&lt;P137)),EDATE(AB137,12*2),AND(AH137="K5-POLICY",AG137&lt;&gt;"นิติศาสตร์",Z137="S1",AC137&gt;=1,OR(AB137&lt;V137,AB137&lt;P137)),EDATE(AB137,12),AND(AH137="K5-POLICY",AG137&lt;&gt;"นิติศาสตร์",OR(T137="M2",T137="K4"),W137&gt;=2,V137&lt;P137),EDATE(V137,12*2),AND(AH137="K5-POLICY",AG137&lt;&gt;"นิติศาสตร์",T137="S1",W137&gt;=1,V137&lt;P137),EDATE(V137,12),AND(AH137="K5-POLICY",AG137&lt;&gt;"นิติศาสตร์",OR(T137="S2",T137="K5")),V137,AND(AH137="K5-POLICY",AG137&lt;&gt;"นิติศาสตร์",OR(K137="M2",K137="K4"),Q137&gt;=2),EDATE(P137,12*2),AND(AH137="K5-POLICY",AG137&lt;&gt;"นิติศาสตร์",K137="S1",Q137&gt;=1),EDATE(P137,12),AND(AH137="K5-POLICY",AG137&lt;&gt;"นิติศาสตร์",OR(K137="S2",K137="K5")),P137,TRUE,"Check Data")</f>
        <v/>
      </c>
      <c r="AJ137" s="75" t="str">
        <f t="shared" si="45"/>
        <v>Check Data</v>
      </c>
      <c r="AK137" s="76" t="str">
        <f t="shared" si="46"/>
        <v>Check Data</v>
      </c>
      <c r="AL137" s="50" t="str">
        <f t="shared" si="47"/>
        <v>Check Data</v>
      </c>
      <c r="AM137" s="49" t="str">
        <f>IF(B137="","",IF(K137="S1","S1",INDEX(#REF!,#REF!)))</f>
        <v/>
      </c>
      <c r="AN137" s="49" t="str">
        <f>K137</f>
        <v>M2</v>
      </c>
      <c r="AO137" s="50" t="b">
        <f>K137=AM137</f>
        <v>0</v>
      </c>
      <c r="AP137" s="50"/>
    </row>
    <row r="138" spans="1:42" ht="21.75">
      <c r="A138" s="49">
        <v>136</v>
      </c>
      <c r="B138" s="50"/>
      <c r="C138" s="50"/>
      <c r="D138" s="50" t="s">
        <v>143</v>
      </c>
      <c r="E138" s="49" t="s">
        <v>293</v>
      </c>
      <c r="F138" s="49" t="str">
        <f t="shared" si="32"/>
        <v>01/11/2000</v>
      </c>
      <c r="G138" s="50">
        <f t="shared" si="33"/>
        <v>24</v>
      </c>
      <c r="H138" s="50">
        <f t="shared" si="34"/>
        <v>7</v>
      </c>
      <c r="I138" s="50">
        <f t="shared" si="35"/>
        <v>19</v>
      </c>
      <c r="J138" s="59"/>
      <c r="K138" s="49" t="s">
        <v>136</v>
      </c>
      <c r="L138" s="64"/>
      <c r="M138" s="49" t="s">
        <v>426</v>
      </c>
      <c r="N138" s="49">
        <v>2581</v>
      </c>
      <c r="O138" s="65" t="s">
        <v>291</v>
      </c>
      <c r="P138" s="49" t="str">
        <f t="shared" si="36"/>
        <v>01/11/2021</v>
      </c>
      <c r="Q138" s="68">
        <f t="shared" si="37"/>
        <v>3</v>
      </c>
      <c r="R138" s="68">
        <f t="shared" si="38"/>
        <v>7</v>
      </c>
      <c r="S138" s="68">
        <f t="shared" si="39"/>
        <v>19</v>
      </c>
      <c r="T138" s="65"/>
      <c r="U138" s="65"/>
      <c r="V138" s="49" t="str">
        <f t="shared" si="40"/>
        <v/>
      </c>
      <c r="W138" s="68">
        <f>IF(V138="",0,DATEDIF(V138,P138,"Y"))</f>
        <v>0</v>
      </c>
      <c r="X138" s="68">
        <f>IF(V138="",0,DATEDIF(V138,P138,"YM"))</f>
        <v>0</v>
      </c>
      <c r="Y138" s="68">
        <f>IF(V138="",0,DATEDIF(V138,P138,"MD"))</f>
        <v>0</v>
      </c>
      <c r="Z138" s="49"/>
      <c r="AA138" s="65"/>
      <c r="AB138" s="50" t="str">
        <f t="shared" si="41"/>
        <v/>
      </c>
      <c r="AC138" s="68">
        <f t="shared" si="42"/>
        <v>0</v>
      </c>
      <c r="AD138" s="68">
        <f t="shared" si="43"/>
        <v>0</v>
      </c>
      <c r="AE138" s="68">
        <f t="shared" si="44"/>
        <v>0</v>
      </c>
      <c r="AF138" s="50"/>
      <c r="AG138" s="50" t="s">
        <v>518</v>
      </c>
      <c r="AH138" s="49" t="str">
        <f>IF(AG138="นิติศาสตร์","K5-LAW","K5-POLICY")</f>
        <v>K5-POLICY</v>
      </c>
      <c r="AI138" s="72" t="str">
        <f>_xlfn.IFS(B138="","",AND(AH138="K5-LAW",AG138="นิติศาสตร์",K138="S2",T138="",Z138=""),P138,AND(AH138="K5-LAW",AG138="นิติศาสตร์",K138="S1",T138="",Z138=""),EDATE(P138,12),AND(AH138="K5-LAW",AG138="นิติศาสตร์",OR(K138="M2",K138="K4"),T138="",Z138=""),EDATE(P138,12*2),AND(AH138="K5-LAW",AG138="นิติศาสตร์",OR(Z138="M2",Z138="K4"),AC138&gt;=2,OR(AB138&lt;V138,AB138&lt;P138)),EDATE(AB138,12*2),AND(AH138="K5-LAW",AG138="นิติศาสตร์",Z138="S1",AC138&gt;=1,OR(AB138&lt;V138,AB138&lt;P138)),EDATE(AB138,12),AND(AH138="K5-LAW",AG138="นิติศาสตร์",OR(T138="M2",T138="K4"),W138&gt;=2,V138&lt;P138),EDATE(V138,12*2),AND(AH138="K5-LAW",AG138="นิติศาสตร์",T138="S1",W138&gt;=1,V138&lt;P138),EDATE(V138,12),AND(AH138="K5-LAW",AG138="นิติศาสตร์",OR(T138="S2",T138="K5")),V138,AND(AH138="K5-LAW",AG138="นิติศาสตร์",OR(K138="M2",K138="K4"),Q138&gt;=2),EDATE(P138,12*2),AND(AH138="K5-LAW",AG138="นิติศาสตร์",K138="S1",Q138&gt;=1),EDATE(P138,12),AND(AH138="K5-LAW",AG138="นิติศาสตร์",OR(K138="S2",K138="K5")),P138,AND(AH138="K5-POLICY",AG138&lt;&gt;"นิติศาสตร์",K138="S2",T138="",Z138=""),P138,AND(AH138="K5-POLICY",AG138&lt;&gt;"นิติศาสตร์",K138="S1",T138="",Z138=""),EDATE(P138,12),AND(AH138="K5-POLICY",AG138&lt;&gt;"นิติศาสตร์",OR(K138="M2",K138="K4"),T138="",Z138=""),EDATE(P138,12*2),AND(AH138="K5-POLICY",AG138&lt;&gt;"นิติศาสตร์",OR(Z138="M2",Z138="K4"),AC138&gt;=2,OR(AB138&lt;V138,AB138&lt;P138)),EDATE(AB138,12*2),AND(AH138="K5-POLICY",AG138&lt;&gt;"นิติศาสตร์",Z138="S1",AC138&gt;=1,OR(AB138&lt;V138,AB138&lt;P138)),EDATE(AB138,12),AND(AH138="K5-POLICY",AG138&lt;&gt;"นิติศาสตร์",OR(T138="M2",T138="K4"),W138&gt;=2,V138&lt;P138),EDATE(V138,12*2),AND(AH138="K5-POLICY",AG138&lt;&gt;"นิติศาสตร์",T138="S1",W138&gt;=1,V138&lt;P138),EDATE(V138,12),AND(AH138="K5-POLICY",AG138&lt;&gt;"นิติศาสตร์",OR(T138="S2",T138="K5")),V138,AND(AH138="K5-POLICY",AG138&lt;&gt;"นิติศาสตร์",OR(K138="M2",K138="K4"),Q138&gt;=2),EDATE(P138,12*2),AND(AH138="K5-POLICY",AG138&lt;&gt;"นิติศาสตร์",K138="S1",Q138&gt;=1),EDATE(P138,12),AND(AH138="K5-POLICY",AG138&lt;&gt;"นิติศาสตร์",OR(K138="S2",K138="K5")),P138,TRUE,"Check Data")</f>
        <v/>
      </c>
      <c r="AJ138" s="75" t="str">
        <f t="shared" si="45"/>
        <v>Check Data</v>
      </c>
      <c r="AK138" s="76" t="str">
        <f t="shared" si="46"/>
        <v>Check Data</v>
      </c>
      <c r="AL138" s="50" t="str">
        <f t="shared" si="47"/>
        <v>Check Data</v>
      </c>
      <c r="AM138" s="49" t="str">
        <f>IF(B138="","",IF(K138="S1","S1",INDEX(#REF!,#REF!)))</f>
        <v/>
      </c>
      <c r="AN138" s="49" t="str">
        <f>K138</f>
        <v>M2</v>
      </c>
      <c r="AO138" s="50" t="b">
        <f>K138=AM138</f>
        <v>0</v>
      </c>
      <c r="AP138" s="50"/>
    </row>
    <row r="139" spans="1:42" ht="21.75">
      <c r="A139" s="49">
        <v>137</v>
      </c>
      <c r="B139" s="50"/>
      <c r="C139" s="50"/>
      <c r="D139" s="50" t="s">
        <v>143</v>
      </c>
      <c r="E139" s="49" t="s">
        <v>303</v>
      </c>
      <c r="F139" s="49" t="str">
        <f t="shared" si="32"/>
        <v>15/07/2005</v>
      </c>
      <c r="G139" s="50">
        <f t="shared" si="33"/>
        <v>19</v>
      </c>
      <c r="H139" s="50">
        <f t="shared" si="34"/>
        <v>11</v>
      </c>
      <c r="I139" s="50">
        <f t="shared" si="35"/>
        <v>5</v>
      </c>
      <c r="J139" s="59"/>
      <c r="K139" s="49" t="s">
        <v>136</v>
      </c>
      <c r="L139" s="64"/>
      <c r="M139" s="49" t="s">
        <v>427</v>
      </c>
      <c r="N139" s="49">
        <v>2584</v>
      </c>
      <c r="O139" s="65" t="s">
        <v>291</v>
      </c>
      <c r="P139" s="49" t="str">
        <f t="shared" si="36"/>
        <v>01/11/2021</v>
      </c>
      <c r="Q139" s="68">
        <f t="shared" si="37"/>
        <v>3</v>
      </c>
      <c r="R139" s="68">
        <f t="shared" si="38"/>
        <v>7</v>
      </c>
      <c r="S139" s="68">
        <f t="shared" si="39"/>
        <v>19</v>
      </c>
      <c r="T139" s="65"/>
      <c r="U139" s="65"/>
      <c r="V139" s="49" t="str">
        <f t="shared" si="40"/>
        <v/>
      </c>
      <c r="W139" s="68">
        <f>IF(V139="",0,DATEDIF(V139,P139,"Y"))</f>
        <v>0</v>
      </c>
      <c r="X139" s="68">
        <f>IF(V139="",0,DATEDIF(V139,P139,"YM"))</f>
        <v>0</v>
      </c>
      <c r="Y139" s="68">
        <f>IF(V139="",0,DATEDIF(V139,P139,"MD"))</f>
        <v>0</v>
      </c>
      <c r="Z139" s="49"/>
      <c r="AA139" s="65"/>
      <c r="AB139" s="50" t="str">
        <f t="shared" si="41"/>
        <v/>
      </c>
      <c r="AC139" s="68">
        <f t="shared" si="42"/>
        <v>0</v>
      </c>
      <c r="AD139" s="68">
        <f t="shared" si="43"/>
        <v>0</v>
      </c>
      <c r="AE139" s="68">
        <f t="shared" si="44"/>
        <v>0</v>
      </c>
      <c r="AF139" s="50"/>
      <c r="AG139" s="50" t="s">
        <v>175</v>
      </c>
      <c r="AH139" s="49" t="str">
        <f>IF(AG139="นิติศาสตร์","K5-LAW","K5-POLICY")</f>
        <v>K5-POLICY</v>
      </c>
      <c r="AI139" s="72" t="str">
        <f>_xlfn.IFS(B139="","",AND(AH139="K5-LAW",AG139="นิติศาสตร์",K139="S2",T139="",Z139=""),P139,AND(AH139="K5-LAW",AG139="นิติศาสตร์",K139="S1",T139="",Z139=""),EDATE(P139,12),AND(AH139="K5-LAW",AG139="นิติศาสตร์",OR(K139="M2",K139="K4"),T139="",Z139=""),EDATE(P139,12*2),AND(AH139="K5-LAW",AG139="นิติศาสตร์",OR(Z139="M2",Z139="K4"),AC139&gt;=2,OR(AB139&lt;V139,AB139&lt;P139)),EDATE(AB139,12*2),AND(AH139="K5-LAW",AG139="นิติศาสตร์",Z139="S1",AC139&gt;=1,OR(AB139&lt;V139,AB139&lt;P139)),EDATE(AB139,12),AND(AH139="K5-LAW",AG139="นิติศาสตร์",OR(T139="M2",T139="K4"),W139&gt;=2,V139&lt;P139),EDATE(V139,12*2),AND(AH139="K5-LAW",AG139="นิติศาสตร์",T139="S1",W139&gt;=1,V139&lt;P139),EDATE(V139,12),AND(AH139="K5-LAW",AG139="นิติศาสตร์",OR(T139="S2",T139="K5")),V139,AND(AH139="K5-LAW",AG139="นิติศาสตร์",OR(K139="M2",K139="K4"),Q139&gt;=2),EDATE(P139,12*2),AND(AH139="K5-LAW",AG139="นิติศาสตร์",K139="S1",Q139&gt;=1),EDATE(P139,12),AND(AH139="K5-LAW",AG139="นิติศาสตร์",OR(K139="S2",K139="K5")),P139,AND(AH139="K5-POLICY",AG139&lt;&gt;"นิติศาสตร์",K139="S2",T139="",Z139=""),P139,AND(AH139="K5-POLICY",AG139&lt;&gt;"นิติศาสตร์",K139="S1",T139="",Z139=""),EDATE(P139,12),AND(AH139="K5-POLICY",AG139&lt;&gt;"นิติศาสตร์",OR(K139="M2",K139="K4"),T139="",Z139=""),EDATE(P139,12*2),AND(AH139="K5-POLICY",AG139&lt;&gt;"นิติศาสตร์",OR(Z139="M2",Z139="K4"),AC139&gt;=2,OR(AB139&lt;V139,AB139&lt;P139)),EDATE(AB139,12*2),AND(AH139="K5-POLICY",AG139&lt;&gt;"นิติศาสตร์",Z139="S1",AC139&gt;=1,OR(AB139&lt;V139,AB139&lt;P139)),EDATE(AB139,12),AND(AH139="K5-POLICY",AG139&lt;&gt;"นิติศาสตร์",OR(T139="M2",T139="K4"),W139&gt;=2,V139&lt;P139),EDATE(V139,12*2),AND(AH139="K5-POLICY",AG139&lt;&gt;"นิติศาสตร์",T139="S1",W139&gt;=1,V139&lt;P139),EDATE(V139,12),AND(AH139="K5-POLICY",AG139&lt;&gt;"นิติศาสตร์",OR(T139="S2",T139="K5")),V139,AND(AH139="K5-POLICY",AG139&lt;&gt;"นิติศาสตร์",OR(K139="M2",K139="K4"),Q139&gt;=2),EDATE(P139,12*2),AND(AH139="K5-POLICY",AG139&lt;&gt;"นิติศาสตร์",K139="S1",Q139&gt;=1),EDATE(P139,12),AND(AH139="K5-POLICY",AG139&lt;&gt;"นิติศาสตร์",OR(K139="S2",K139="K5")),P139,TRUE,"Check Data")</f>
        <v/>
      </c>
      <c r="AJ139" s="75" t="str">
        <f t="shared" si="45"/>
        <v>Check Data</v>
      </c>
      <c r="AK139" s="76" t="str">
        <f t="shared" si="46"/>
        <v>Check Data</v>
      </c>
      <c r="AL139" s="50" t="str">
        <f t="shared" si="47"/>
        <v>Check Data</v>
      </c>
      <c r="AM139" s="49" t="str">
        <f>IF(B139="","",IF(K139="S1","S1",INDEX(#REF!,#REF!)))</f>
        <v/>
      </c>
      <c r="AN139" s="49" t="str">
        <f>K139</f>
        <v>M2</v>
      </c>
      <c r="AO139" s="50" t="b">
        <f>K139=AM139</f>
        <v>0</v>
      </c>
      <c r="AP139" s="50"/>
    </row>
    <row r="140" spans="1:42" ht="21.75">
      <c r="A140" s="49">
        <v>138</v>
      </c>
      <c r="B140" s="50"/>
      <c r="C140" s="50"/>
      <c r="D140" s="50" t="s">
        <v>143</v>
      </c>
      <c r="E140" s="49" t="s">
        <v>352</v>
      </c>
      <c r="F140" s="49" t="str">
        <f t="shared" si="32"/>
        <v>01/07/1997</v>
      </c>
      <c r="G140" s="50">
        <f t="shared" si="33"/>
        <v>27</v>
      </c>
      <c r="H140" s="50">
        <f t="shared" si="34"/>
        <v>11</v>
      </c>
      <c r="I140" s="50">
        <f t="shared" si="35"/>
        <v>19</v>
      </c>
      <c r="J140" s="59"/>
      <c r="K140" s="49" t="s">
        <v>136</v>
      </c>
      <c r="L140" s="64"/>
      <c r="M140" s="49" t="s">
        <v>427</v>
      </c>
      <c r="N140" s="49">
        <v>2577</v>
      </c>
      <c r="O140" s="65" t="s">
        <v>291</v>
      </c>
      <c r="P140" s="49" t="str">
        <f t="shared" si="36"/>
        <v>01/11/2021</v>
      </c>
      <c r="Q140" s="68">
        <f t="shared" si="37"/>
        <v>3</v>
      </c>
      <c r="R140" s="68">
        <f t="shared" si="38"/>
        <v>7</v>
      </c>
      <c r="S140" s="68">
        <f t="shared" si="39"/>
        <v>19</v>
      </c>
      <c r="T140" s="65"/>
      <c r="U140" s="65"/>
      <c r="V140" s="49" t="str">
        <f t="shared" si="40"/>
        <v/>
      </c>
      <c r="W140" s="68">
        <f>IF(V140="",0,DATEDIF(V140,P140,"Y"))</f>
        <v>0</v>
      </c>
      <c r="X140" s="68">
        <f>IF(V140="",0,DATEDIF(V140,P140,"YM"))</f>
        <v>0</v>
      </c>
      <c r="Y140" s="68">
        <f>IF(V140="",0,DATEDIF(V140,P140,"MD"))</f>
        <v>0</v>
      </c>
      <c r="Z140" s="49"/>
      <c r="AA140" s="65"/>
      <c r="AB140" s="50" t="str">
        <f t="shared" si="41"/>
        <v/>
      </c>
      <c r="AC140" s="68">
        <f t="shared" si="42"/>
        <v>0</v>
      </c>
      <c r="AD140" s="68">
        <f t="shared" si="43"/>
        <v>0</v>
      </c>
      <c r="AE140" s="68">
        <f t="shared" si="44"/>
        <v>0</v>
      </c>
      <c r="AF140" s="50"/>
      <c r="AG140" s="50" t="s">
        <v>486</v>
      </c>
      <c r="AH140" s="49" t="str">
        <f>IF(AG140="นิติศาสตร์","K5-LAW","K5-POLICY")</f>
        <v>K5-POLICY</v>
      </c>
      <c r="AI140" s="72" t="str">
        <f>_xlfn.IFS(B140="","",AND(AH140="K5-LAW",AG140="นิติศาสตร์",K140="S2",T140="",Z140=""),P140,AND(AH140="K5-LAW",AG140="นิติศาสตร์",K140="S1",T140="",Z140=""),EDATE(P140,12),AND(AH140="K5-LAW",AG140="นิติศาสตร์",OR(K140="M2",K140="K4"),T140="",Z140=""),EDATE(P140,12*2),AND(AH140="K5-LAW",AG140="นิติศาสตร์",OR(Z140="M2",Z140="K4"),AC140&gt;=2,OR(AB140&lt;V140,AB140&lt;P140)),EDATE(AB140,12*2),AND(AH140="K5-LAW",AG140="นิติศาสตร์",Z140="S1",AC140&gt;=1,OR(AB140&lt;V140,AB140&lt;P140)),EDATE(AB140,12),AND(AH140="K5-LAW",AG140="นิติศาสตร์",OR(T140="M2",T140="K4"),W140&gt;=2,V140&lt;P140),EDATE(V140,12*2),AND(AH140="K5-LAW",AG140="นิติศาสตร์",T140="S1",W140&gt;=1,V140&lt;P140),EDATE(V140,12),AND(AH140="K5-LAW",AG140="นิติศาสตร์",OR(T140="S2",T140="K5")),V140,AND(AH140="K5-LAW",AG140="นิติศาสตร์",OR(K140="M2",K140="K4"),Q140&gt;=2),EDATE(P140,12*2),AND(AH140="K5-LAW",AG140="นิติศาสตร์",K140="S1",Q140&gt;=1),EDATE(P140,12),AND(AH140="K5-LAW",AG140="นิติศาสตร์",OR(K140="S2",K140="K5")),P140,AND(AH140="K5-POLICY",AG140&lt;&gt;"นิติศาสตร์",K140="S2",T140="",Z140=""),P140,AND(AH140="K5-POLICY",AG140&lt;&gt;"นิติศาสตร์",K140="S1",T140="",Z140=""),EDATE(P140,12),AND(AH140="K5-POLICY",AG140&lt;&gt;"นิติศาสตร์",OR(K140="M2",K140="K4"),T140="",Z140=""),EDATE(P140,12*2),AND(AH140="K5-POLICY",AG140&lt;&gt;"นิติศาสตร์",OR(Z140="M2",Z140="K4"),AC140&gt;=2,OR(AB140&lt;V140,AB140&lt;P140)),EDATE(AB140,12*2),AND(AH140="K5-POLICY",AG140&lt;&gt;"นิติศาสตร์",Z140="S1",AC140&gt;=1,OR(AB140&lt;V140,AB140&lt;P140)),EDATE(AB140,12),AND(AH140="K5-POLICY",AG140&lt;&gt;"นิติศาสตร์",OR(T140="M2",T140="K4"),W140&gt;=2,V140&lt;P140),EDATE(V140,12*2),AND(AH140="K5-POLICY",AG140&lt;&gt;"นิติศาสตร์",T140="S1",W140&gt;=1,V140&lt;P140),EDATE(V140,12),AND(AH140="K5-POLICY",AG140&lt;&gt;"นิติศาสตร์",OR(T140="S2",T140="K5")),V140,AND(AH140="K5-POLICY",AG140&lt;&gt;"นิติศาสตร์",OR(K140="M2",K140="K4"),Q140&gt;=2),EDATE(P140,12*2),AND(AH140="K5-POLICY",AG140&lt;&gt;"นิติศาสตร์",K140="S1",Q140&gt;=1),EDATE(P140,12),AND(AH140="K5-POLICY",AG140&lt;&gt;"นิติศาสตร์",OR(K140="S2",K140="K5")),P140,TRUE,"Check Data")</f>
        <v/>
      </c>
      <c r="AJ140" s="75" t="str">
        <f t="shared" si="45"/>
        <v>Check Data</v>
      </c>
      <c r="AK140" s="76" t="str">
        <f t="shared" si="46"/>
        <v>Check Data</v>
      </c>
      <c r="AL140" s="50" t="str">
        <f t="shared" si="47"/>
        <v>Check Data</v>
      </c>
      <c r="AM140" s="49" t="str">
        <f>IF(B140="","",IF(K140="S1","S1",INDEX(#REF!,#REF!)))</f>
        <v/>
      </c>
      <c r="AN140" s="49" t="str">
        <f>K140</f>
        <v>M2</v>
      </c>
      <c r="AO140" s="50" t="b">
        <f>K140=AM140</f>
        <v>0</v>
      </c>
      <c r="AP140" s="50"/>
    </row>
    <row r="141" spans="1:42" ht="21.75">
      <c r="A141" s="49">
        <v>139</v>
      </c>
      <c r="B141" s="50"/>
      <c r="C141" s="50"/>
      <c r="D141" s="50" t="s">
        <v>143</v>
      </c>
      <c r="E141" s="49" t="s">
        <v>367</v>
      </c>
      <c r="F141" s="49" t="str">
        <f t="shared" si="32"/>
        <v>02/04/2001</v>
      </c>
      <c r="G141" s="50">
        <f t="shared" si="33"/>
        <v>24</v>
      </c>
      <c r="H141" s="50">
        <f t="shared" si="34"/>
        <v>2</v>
      </c>
      <c r="I141" s="50">
        <f t="shared" si="35"/>
        <v>18</v>
      </c>
      <c r="J141" s="59"/>
      <c r="K141" s="49" t="s">
        <v>136</v>
      </c>
      <c r="L141" s="64"/>
      <c r="M141" s="49" t="s">
        <v>427</v>
      </c>
      <c r="N141" s="49">
        <v>2578</v>
      </c>
      <c r="O141" s="65" t="s">
        <v>291</v>
      </c>
      <c r="P141" s="49" t="str">
        <f t="shared" si="36"/>
        <v>01/11/2021</v>
      </c>
      <c r="Q141" s="68">
        <f t="shared" si="37"/>
        <v>3</v>
      </c>
      <c r="R141" s="68">
        <f t="shared" si="38"/>
        <v>7</v>
      </c>
      <c r="S141" s="68">
        <f t="shared" si="39"/>
        <v>19</v>
      </c>
      <c r="T141" s="65"/>
      <c r="U141" s="65"/>
      <c r="V141" s="49" t="str">
        <f t="shared" si="40"/>
        <v/>
      </c>
      <c r="W141" s="68">
        <f>IF(V141="",0,DATEDIF(V141,P141,"Y"))</f>
        <v>0</v>
      </c>
      <c r="X141" s="68">
        <f>IF(V141="",0,DATEDIF(V141,P141,"YM"))</f>
        <v>0</v>
      </c>
      <c r="Y141" s="68">
        <f>IF(V141="",0,DATEDIF(V141,P141,"MD"))</f>
        <v>0</v>
      </c>
      <c r="Z141" s="49"/>
      <c r="AA141" s="65"/>
      <c r="AB141" s="50" t="str">
        <f t="shared" si="41"/>
        <v/>
      </c>
      <c r="AC141" s="68">
        <f t="shared" si="42"/>
        <v>0</v>
      </c>
      <c r="AD141" s="68">
        <f t="shared" si="43"/>
        <v>0</v>
      </c>
      <c r="AE141" s="68">
        <f t="shared" si="44"/>
        <v>0</v>
      </c>
      <c r="AF141" s="50"/>
      <c r="AG141" s="50" t="s">
        <v>486</v>
      </c>
      <c r="AH141" s="49" t="str">
        <f>IF(AG141="นิติศาสตร์","K5-LAW","K5-POLICY")</f>
        <v>K5-POLICY</v>
      </c>
      <c r="AI141" s="72" t="str">
        <f>_xlfn.IFS(B141="","",AND(AH141="K5-LAW",AG141="นิติศาสตร์",K141="S2",T141="",Z141=""),P141,AND(AH141="K5-LAW",AG141="นิติศาสตร์",K141="S1",T141="",Z141=""),EDATE(P141,12),AND(AH141="K5-LAW",AG141="นิติศาสตร์",OR(K141="M2",K141="K4"),T141="",Z141=""),EDATE(P141,12*2),AND(AH141="K5-LAW",AG141="นิติศาสตร์",OR(Z141="M2",Z141="K4"),AC141&gt;=2,OR(AB141&lt;V141,AB141&lt;P141)),EDATE(AB141,12*2),AND(AH141="K5-LAW",AG141="นิติศาสตร์",Z141="S1",AC141&gt;=1,OR(AB141&lt;V141,AB141&lt;P141)),EDATE(AB141,12),AND(AH141="K5-LAW",AG141="นิติศาสตร์",OR(T141="M2",T141="K4"),W141&gt;=2,V141&lt;P141),EDATE(V141,12*2),AND(AH141="K5-LAW",AG141="นิติศาสตร์",T141="S1",W141&gt;=1,V141&lt;P141),EDATE(V141,12),AND(AH141="K5-LAW",AG141="นิติศาสตร์",OR(T141="S2",T141="K5")),V141,AND(AH141="K5-LAW",AG141="นิติศาสตร์",OR(K141="M2",K141="K4"),Q141&gt;=2),EDATE(P141,12*2),AND(AH141="K5-LAW",AG141="นิติศาสตร์",K141="S1",Q141&gt;=1),EDATE(P141,12),AND(AH141="K5-LAW",AG141="นิติศาสตร์",OR(K141="S2",K141="K5")),P141,AND(AH141="K5-POLICY",AG141&lt;&gt;"นิติศาสตร์",K141="S2",T141="",Z141=""),P141,AND(AH141="K5-POLICY",AG141&lt;&gt;"นิติศาสตร์",K141="S1",T141="",Z141=""),EDATE(P141,12),AND(AH141="K5-POLICY",AG141&lt;&gt;"นิติศาสตร์",OR(K141="M2",K141="K4"),T141="",Z141=""),EDATE(P141,12*2),AND(AH141="K5-POLICY",AG141&lt;&gt;"นิติศาสตร์",OR(Z141="M2",Z141="K4"),AC141&gt;=2,OR(AB141&lt;V141,AB141&lt;P141)),EDATE(AB141,12*2),AND(AH141="K5-POLICY",AG141&lt;&gt;"นิติศาสตร์",Z141="S1",AC141&gt;=1,OR(AB141&lt;V141,AB141&lt;P141)),EDATE(AB141,12),AND(AH141="K5-POLICY",AG141&lt;&gt;"นิติศาสตร์",OR(T141="M2",T141="K4"),W141&gt;=2,V141&lt;P141),EDATE(V141,12*2),AND(AH141="K5-POLICY",AG141&lt;&gt;"นิติศาสตร์",T141="S1",W141&gt;=1,V141&lt;P141),EDATE(V141,12),AND(AH141="K5-POLICY",AG141&lt;&gt;"นิติศาสตร์",OR(T141="S2",T141="K5")),V141,AND(AH141="K5-POLICY",AG141&lt;&gt;"นิติศาสตร์",OR(K141="M2",K141="K4"),Q141&gt;=2),EDATE(P141,12*2),AND(AH141="K5-POLICY",AG141&lt;&gt;"นิติศาสตร์",K141="S1",Q141&gt;=1),EDATE(P141,12),AND(AH141="K5-POLICY",AG141&lt;&gt;"นิติศาสตร์",OR(K141="S2",K141="K5")),P141,TRUE,"Check Data")</f>
        <v/>
      </c>
      <c r="AJ141" s="75" t="str">
        <f t="shared" si="45"/>
        <v>Check Data</v>
      </c>
      <c r="AK141" s="76" t="str">
        <f t="shared" si="46"/>
        <v>Check Data</v>
      </c>
      <c r="AL141" s="50" t="str">
        <f t="shared" si="47"/>
        <v>Check Data</v>
      </c>
      <c r="AM141" s="49" t="str">
        <f>IF(B141="","",IF(K141="S1","S1",INDEX(#REF!,#REF!)))</f>
        <v/>
      </c>
      <c r="AN141" s="49" t="str">
        <f>K141</f>
        <v>M2</v>
      </c>
      <c r="AO141" s="50" t="b">
        <f>K141=AM141</f>
        <v>0</v>
      </c>
      <c r="AP141" s="50"/>
    </row>
    <row r="142" spans="1:42" ht="21.75">
      <c r="A142" s="49">
        <v>140</v>
      </c>
      <c r="B142" s="50"/>
      <c r="C142" s="50"/>
      <c r="D142" s="50" t="s">
        <v>143</v>
      </c>
      <c r="E142" s="49" t="s">
        <v>340</v>
      </c>
      <c r="F142" s="49" t="str">
        <f t="shared" si="32"/>
        <v>06/11/2000</v>
      </c>
      <c r="G142" s="50">
        <f t="shared" si="33"/>
        <v>24</v>
      </c>
      <c r="H142" s="50">
        <f t="shared" si="34"/>
        <v>7</v>
      </c>
      <c r="I142" s="50">
        <f t="shared" si="35"/>
        <v>14</v>
      </c>
      <c r="J142" s="59"/>
      <c r="K142" s="49" t="s">
        <v>136</v>
      </c>
      <c r="L142" s="64"/>
      <c r="M142" s="49" t="s">
        <v>427</v>
      </c>
      <c r="N142" s="49">
        <v>2575</v>
      </c>
      <c r="O142" s="65" t="s">
        <v>291</v>
      </c>
      <c r="P142" s="49" t="str">
        <f t="shared" si="36"/>
        <v>01/11/2021</v>
      </c>
      <c r="Q142" s="68">
        <f t="shared" si="37"/>
        <v>3</v>
      </c>
      <c r="R142" s="68">
        <f t="shared" si="38"/>
        <v>7</v>
      </c>
      <c r="S142" s="68">
        <f t="shared" si="39"/>
        <v>19</v>
      </c>
      <c r="T142" s="65"/>
      <c r="U142" s="65"/>
      <c r="V142" s="49" t="str">
        <f t="shared" si="40"/>
        <v/>
      </c>
      <c r="W142" s="68">
        <f>IF(V142="",0,DATEDIF(V142,P142,"Y"))</f>
        <v>0</v>
      </c>
      <c r="X142" s="68">
        <f>IF(V142="",0,DATEDIF(V142,P142,"YM"))</f>
        <v>0</v>
      </c>
      <c r="Y142" s="68">
        <f>IF(V142="",0,DATEDIF(V142,P142,"MD"))</f>
        <v>0</v>
      </c>
      <c r="Z142" s="49"/>
      <c r="AA142" s="65"/>
      <c r="AB142" s="50" t="str">
        <f t="shared" si="41"/>
        <v/>
      </c>
      <c r="AC142" s="68">
        <f t="shared" si="42"/>
        <v>0</v>
      </c>
      <c r="AD142" s="68">
        <f t="shared" si="43"/>
        <v>0</v>
      </c>
      <c r="AE142" s="68">
        <f t="shared" si="44"/>
        <v>0</v>
      </c>
      <c r="AF142" s="50"/>
      <c r="AG142" s="50" t="s">
        <v>163</v>
      </c>
      <c r="AH142" s="49" t="str">
        <f>IF(AG142="นิติศาสตร์","K5-LAW","K5-POLICY")</f>
        <v>K5-POLICY</v>
      </c>
      <c r="AI142" s="72" t="str">
        <f>_xlfn.IFS(B142="","",AND(AH142="K5-LAW",AG142="นิติศาสตร์",K142="S2",T142="",Z142=""),P142,AND(AH142="K5-LAW",AG142="นิติศาสตร์",K142="S1",T142="",Z142=""),EDATE(P142,12),AND(AH142="K5-LAW",AG142="นิติศาสตร์",OR(K142="M2",K142="K4"),T142="",Z142=""),EDATE(P142,12*2),AND(AH142="K5-LAW",AG142="นิติศาสตร์",OR(Z142="M2",Z142="K4"),AC142&gt;=2,OR(AB142&lt;V142,AB142&lt;P142)),EDATE(AB142,12*2),AND(AH142="K5-LAW",AG142="นิติศาสตร์",Z142="S1",AC142&gt;=1,OR(AB142&lt;V142,AB142&lt;P142)),EDATE(AB142,12),AND(AH142="K5-LAW",AG142="นิติศาสตร์",OR(T142="M2",T142="K4"),W142&gt;=2,V142&lt;P142),EDATE(V142,12*2),AND(AH142="K5-LAW",AG142="นิติศาสตร์",T142="S1",W142&gt;=1,V142&lt;P142),EDATE(V142,12),AND(AH142="K5-LAW",AG142="นิติศาสตร์",OR(T142="S2",T142="K5")),V142,AND(AH142="K5-LAW",AG142="นิติศาสตร์",OR(K142="M2",K142="K4"),Q142&gt;=2),EDATE(P142,12*2),AND(AH142="K5-LAW",AG142="นิติศาสตร์",K142="S1",Q142&gt;=1),EDATE(P142,12),AND(AH142="K5-LAW",AG142="นิติศาสตร์",OR(K142="S2",K142="K5")),P142,AND(AH142="K5-POLICY",AG142&lt;&gt;"นิติศาสตร์",K142="S2",T142="",Z142=""),P142,AND(AH142="K5-POLICY",AG142&lt;&gt;"นิติศาสตร์",K142="S1",T142="",Z142=""),EDATE(P142,12),AND(AH142="K5-POLICY",AG142&lt;&gt;"นิติศาสตร์",OR(K142="M2",K142="K4"),T142="",Z142=""),EDATE(P142,12*2),AND(AH142="K5-POLICY",AG142&lt;&gt;"นิติศาสตร์",OR(Z142="M2",Z142="K4"),AC142&gt;=2,OR(AB142&lt;V142,AB142&lt;P142)),EDATE(AB142,12*2),AND(AH142="K5-POLICY",AG142&lt;&gt;"นิติศาสตร์",Z142="S1",AC142&gt;=1,OR(AB142&lt;V142,AB142&lt;P142)),EDATE(AB142,12),AND(AH142="K5-POLICY",AG142&lt;&gt;"นิติศาสตร์",OR(T142="M2",T142="K4"),W142&gt;=2,V142&lt;P142),EDATE(V142,12*2),AND(AH142="K5-POLICY",AG142&lt;&gt;"นิติศาสตร์",T142="S1",W142&gt;=1,V142&lt;P142),EDATE(V142,12),AND(AH142="K5-POLICY",AG142&lt;&gt;"นิติศาสตร์",OR(T142="S2",T142="K5")),V142,AND(AH142="K5-POLICY",AG142&lt;&gt;"นิติศาสตร์",OR(K142="M2",K142="K4"),Q142&gt;=2),EDATE(P142,12*2),AND(AH142="K5-POLICY",AG142&lt;&gt;"นิติศาสตร์",K142="S1",Q142&gt;=1),EDATE(P142,12),AND(AH142="K5-POLICY",AG142&lt;&gt;"นิติศาสตร์",OR(K142="S2",K142="K5")),P142,TRUE,"Check Data")</f>
        <v/>
      </c>
      <c r="AJ142" s="75" t="str">
        <f t="shared" si="45"/>
        <v>Check Data</v>
      </c>
      <c r="AK142" s="76" t="str">
        <f t="shared" si="46"/>
        <v>Check Data</v>
      </c>
      <c r="AL142" s="50" t="str">
        <f t="shared" si="47"/>
        <v>Check Data</v>
      </c>
      <c r="AM142" s="49" t="str">
        <f>IF(B142="","",IF(K142="S1","S1",INDEX(#REF!,#REF!)))</f>
        <v/>
      </c>
      <c r="AN142" s="49" t="str">
        <f>K142</f>
        <v>M2</v>
      </c>
      <c r="AO142" s="50" t="b">
        <f>K142=AM142</f>
        <v>0</v>
      </c>
      <c r="AP142" s="50"/>
    </row>
    <row r="143" spans="1:42" ht="21.75">
      <c r="A143" s="49">
        <v>141</v>
      </c>
      <c r="B143" s="50"/>
      <c r="C143" s="50"/>
      <c r="D143" s="50" t="s">
        <v>143</v>
      </c>
      <c r="E143" s="49" t="s">
        <v>344</v>
      </c>
      <c r="F143" s="49" t="str">
        <f t="shared" si="32"/>
        <v>15/08/2001</v>
      </c>
      <c r="G143" s="50">
        <f t="shared" si="33"/>
        <v>23</v>
      </c>
      <c r="H143" s="50">
        <f t="shared" si="34"/>
        <v>10</v>
      </c>
      <c r="I143" s="50">
        <f t="shared" si="35"/>
        <v>5</v>
      </c>
      <c r="J143" s="59"/>
      <c r="K143" s="49" t="s">
        <v>136</v>
      </c>
      <c r="L143" s="64"/>
      <c r="M143" s="49" t="s">
        <v>427</v>
      </c>
      <c r="N143" s="49">
        <v>2581</v>
      </c>
      <c r="O143" s="65" t="s">
        <v>291</v>
      </c>
      <c r="P143" s="49" t="str">
        <f t="shared" si="36"/>
        <v>01/11/2021</v>
      </c>
      <c r="Q143" s="68">
        <f t="shared" si="37"/>
        <v>3</v>
      </c>
      <c r="R143" s="68">
        <f t="shared" si="38"/>
        <v>7</v>
      </c>
      <c r="S143" s="68">
        <f t="shared" si="39"/>
        <v>19</v>
      </c>
      <c r="T143" s="65"/>
      <c r="U143" s="65"/>
      <c r="V143" s="49" t="str">
        <f t="shared" si="40"/>
        <v/>
      </c>
      <c r="W143" s="68">
        <f>IF(V143="",0,DATEDIF(V143,P143,"Y"))</f>
        <v>0</v>
      </c>
      <c r="X143" s="68">
        <f>IF(V143="",0,DATEDIF(V143,P143,"YM"))</f>
        <v>0</v>
      </c>
      <c r="Y143" s="68">
        <f>IF(V143="",0,DATEDIF(V143,P143,"MD"))</f>
        <v>0</v>
      </c>
      <c r="Z143" s="49"/>
      <c r="AA143" s="65"/>
      <c r="AB143" s="50" t="str">
        <f t="shared" si="41"/>
        <v/>
      </c>
      <c r="AC143" s="68">
        <f t="shared" si="42"/>
        <v>0</v>
      </c>
      <c r="AD143" s="68">
        <f t="shared" si="43"/>
        <v>0</v>
      </c>
      <c r="AE143" s="68">
        <f t="shared" si="44"/>
        <v>0</v>
      </c>
      <c r="AF143" s="50"/>
      <c r="AG143" s="50" t="s">
        <v>484</v>
      </c>
      <c r="AH143" s="49" t="str">
        <f>IF(AG143="นิติศาสตร์","K5-LAW","K5-POLICY")</f>
        <v>K5-POLICY</v>
      </c>
      <c r="AI143" s="72" t="str">
        <f>_xlfn.IFS(B143="","",AND(AH143="K5-LAW",AG143="นิติศาสตร์",K143="S2",T143="",Z143=""),P143,AND(AH143="K5-LAW",AG143="นิติศาสตร์",K143="S1",T143="",Z143=""),EDATE(P143,12),AND(AH143="K5-LAW",AG143="นิติศาสตร์",OR(K143="M2",K143="K4"),T143="",Z143=""),EDATE(P143,12*2),AND(AH143="K5-LAW",AG143="นิติศาสตร์",OR(Z143="M2",Z143="K4"),AC143&gt;=2,OR(AB143&lt;V143,AB143&lt;P143)),EDATE(AB143,12*2),AND(AH143="K5-LAW",AG143="นิติศาสตร์",Z143="S1",AC143&gt;=1,OR(AB143&lt;V143,AB143&lt;P143)),EDATE(AB143,12),AND(AH143="K5-LAW",AG143="นิติศาสตร์",OR(T143="M2",T143="K4"),W143&gt;=2,V143&lt;P143),EDATE(V143,12*2),AND(AH143="K5-LAW",AG143="นิติศาสตร์",T143="S1",W143&gt;=1,V143&lt;P143),EDATE(V143,12),AND(AH143="K5-LAW",AG143="นิติศาสตร์",OR(T143="S2",T143="K5")),V143,AND(AH143="K5-LAW",AG143="นิติศาสตร์",OR(K143="M2",K143="K4"),Q143&gt;=2),EDATE(P143,12*2),AND(AH143="K5-LAW",AG143="นิติศาสตร์",K143="S1",Q143&gt;=1),EDATE(P143,12),AND(AH143="K5-LAW",AG143="นิติศาสตร์",OR(K143="S2",K143="K5")),P143,AND(AH143="K5-POLICY",AG143&lt;&gt;"นิติศาสตร์",K143="S2",T143="",Z143=""),P143,AND(AH143="K5-POLICY",AG143&lt;&gt;"นิติศาสตร์",K143="S1",T143="",Z143=""),EDATE(P143,12),AND(AH143="K5-POLICY",AG143&lt;&gt;"นิติศาสตร์",OR(K143="M2",K143="K4"),T143="",Z143=""),EDATE(P143,12*2),AND(AH143="K5-POLICY",AG143&lt;&gt;"นิติศาสตร์",OR(Z143="M2",Z143="K4"),AC143&gt;=2,OR(AB143&lt;V143,AB143&lt;P143)),EDATE(AB143,12*2),AND(AH143="K5-POLICY",AG143&lt;&gt;"นิติศาสตร์",Z143="S1",AC143&gt;=1,OR(AB143&lt;V143,AB143&lt;P143)),EDATE(AB143,12),AND(AH143="K5-POLICY",AG143&lt;&gt;"นิติศาสตร์",OR(T143="M2",T143="K4"),W143&gt;=2,V143&lt;P143),EDATE(V143,12*2),AND(AH143="K5-POLICY",AG143&lt;&gt;"นิติศาสตร์",T143="S1",W143&gt;=1,V143&lt;P143),EDATE(V143,12),AND(AH143="K5-POLICY",AG143&lt;&gt;"นิติศาสตร์",OR(T143="S2",T143="K5")),V143,AND(AH143="K5-POLICY",AG143&lt;&gt;"นิติศาสตร์",OR(K143="M2",K143="K4"),Q143&gt;=2),EDATE(P143,12*2),AND(AH143="K5-POLICY",AG143&lt;&gt;"นิติศาสตร์",K143="S1",Q143&gt;=1),EDATE(P143,12),AND(AH143="K5-POLICY",AG143&lt;&gt;"นิติศาสตร์",OR(K143="S2",K143="K5")),P143,TRUE,"Check Data")</f>
        <v/>
      </c>
      <c r="AJ143" s="75" t="str">
        <f t="shared" si="45"/>
        <v>Check Data</v>
      </c>
      <c r="AK143" s="76" t="str">
        <f t="shared" si="46"/>
        <v>Check Data</v>
      </c>
      <c r="AL143" s="50" t="str">
        <f t="shared" si="47"/>
        <v>Check Data</v>
      </c>
      <c r="AM143" s="49" t="str">
        <f>IF(B143="","",IF(K143="S1","S1",INDEX(#REF!,#REF!)))</f>
        <v/>
      </c>
      <c r="AN143" s="49" t="str">
        <f>K143</f>
        <v>M2</v>
      </c>
      <c r="AO143" s="50" t="b">
        <f>K143=AM143</f>
        <v>0</v>
      </c>
      <c r="AP143" s="50"/>
    </row>
    <row r="144" spans="1:42" ht="21.75">
      <c r="A144" s="49">
        <v>142</v>
      </c>
      <c r="B144" s="50"/>
      <c r="C144" s="50"/>
      <c r="D144" s="50" t="s">
        <v>143</v>
      </c>
      <c r="E144" s="49" t="s">
        <v>365</v>
      </c>
      <c r="F144" s="49" t="str">
        <f t="shared" si="32"/>
        <v>26/08/2002</v>
      </c>
      <c r="G144" s="50">
        <f t="shared" si="33"/>
        <v>22</v>
      </c>
      <c r="H144" s="50">
        <f t="shared" si="34"/>
        <v>9</v>
      </c>
      <c r="I144" s="50">
        <f t="shared" si="35"/>
        <v>25</v>
      </c>
      <c r="J144" s="59"/>
      <c r="K144" s="49" t="s">
        <v>136</v>
      </c>
      <c r="L144" s="64"/>
      <c r="M144" s="49" t="s">
        <v>427</v>
      </c>
      <c r="N144" s="49">
        <v>2582</v>
      </c>
      <c r="O144" s="65" t="s">
        <v>291</v>
      </c>
      <c r="P144" s="49" t="str">
        <f t="shared" si="36"/>
        <v>01/11/2021</v>
      </c>
      <c r="Q144" s="68">
        <f t="shared" si="37"/>
        <v>3</v>
      </c>
      <c r="R144" s="68">
        <f t="shared" si="38"/>
        <v>7</v>
      </c>
      <c r="S144" s="68">
        <f t="shared" si="39"/>
        <v>19</v>
      </c>
      <c r="T144" s="65"/>
      <c r="U144" s="65"/>
      <c r="V144" s="49" t="str">
        <f t="shared" si="40"/>
        <v/>
      </c>
      <c r="W144" s="68">
        <f>IF(V144="",0,DATEDIF(V144,P144,"Y"))</f>
        <v>0</v>
      </c>
      <c r="X144" s="68">
        <f>IF(V144="",0,DATEDIF(V144,P144,"YM"))</f>
        <v>0</v>
      </c>
      <c r="Y144" s="68">
        <f>IF(V144="",0,DATEDIF(V144,P144,"MD"))</f>
        <v>0</v>
      </c>
      <c r="Z144" s="49"/>
      <c r="AA144" s="65"/>
      <c r="AB144" s="50" t="str">
        <f t="shared" si="41"/>
        <v/>
      </c>
      <c r="AC144" s="68">
        <f t="shared" si="42"/>
        <v>0</v>
      </c>
      <c r="AD144" s="68">
        <f t="shared" si="43"/>
        <v>0</v>
      </c>
      <c r="AE144" s="68">
        <f t="shared" si="44"/>
        <v>0</v>
      </c>
      <c r="AF144" s="50"/>
      <c r="AG144" s="50" t="s">
        <v>517</v>
      </c>
      <c r="AH144" s="49" t="str">
        <f>IF(AG144="นิติศาสตร์","K5-LAW","K5-POLICY")</f>
        <v>K5-POLICY</v>
      </c>
      <c r="AI144" s="72" t="str">
        <f>_xlfn.IFS(B144="","",AND(AH144="K5-LAW",AG144="นิติศาสตร์",K144="S2",T144="",Z144=""),P144,AND(AH144="K5-LAW",AG144="นิติศาสตร์",K144="S1",T144="",Z144=""),EDATE(P144,12),AND(AH144="K5-LAW",AG144="นิติศาสตร์",OR(K144="M2",K144="K4"),T144="",Z144=""),EDATE(P144,12*2),AND(AH144="K5-LAW",AG144="นิติศาสตร์",OR(Z144="M2",Z144="K4"),AC144&gt;=2,OR(AB144&lt;V144,AB144&lt;P144)),EDATE(AB144,12*2),AND(AH144="K5-LAW",AG144="นิติศาสตร์",Z144="S1",AC144&gt;=1,OR(AB144&lt;V144,AB144&lt;P144)),EDATE(AB144,12),AND(AH144="K5-LAW",AG144="นิติศาสตร์",OR(T144="M2",T144="K4"),W144&gt;=2,V144&lt;P144),EDATE(V144,12*2),AND(AH144="K5-LAW",AG144="นิติศาสตร์",T144="S1",W144&gt;=1,V144&lt;P144),EDATE(V144,12),AND(AH144="K5-LAW",AG144="นิติศาสตร์",OR(T144="S2",T144="K5")),V144,AND(AH144="K5-LAW",AG144="นิติศาสตร์",OR(K144="M2",K144="K4"),Q144&gt;=2),EDATE(P144,12*2),AND(AH144="K5-LAW",AG144="นิติศาสตร์",K144="S1",Q144&gt;=1),EDATE(P144,12),AND(AH144="K5-LAW",AG144="นิติศาสตร์",OR(K144="S2",K144="K5")),P144,AND(AH144="K5-POLICY",AG144&lt;&gt;"นิติศาสตร์",K144="S2",T144="",Z144=""),P144,AND(AH144="K5-POLICY",AG144&lt;&gt;"นิติศาสตร์",K144="S1",T144="",Z144=""),EDATE(P144,12),AND(AH144="K5-POLICY",AG144&lt;&gt;"นิติศาสตร์",OR(K144="M2",K144="K4"),T144="",Z144=""),EDATE(P144,12*2),AND(AH144="K5-POLICY",AG144&lt;&gt;"นิติศาสตร์",OR(Z144="M2",Z144="K4"),AC144&gt;=2,OR(AB144&lt;V144,AB144&lt;P144)),EDATE(AB144,12*2),AND(AH144="K5-POLICY",AG144&lt;&gt;"นิติศาสตร์",Z144="S1",AC144&gt;=1,OR(AB144&lt;V144,AB144&lt;P144)),EDATE(AB144,12),AND(AH144="K5-POLICY",AG144&lt;&gt;"นิติศาสตร์",OR(T144="M2",T144="K4"),W144&gt;=2,V144&lt;P144),EDATE(V144,12*2),AND(AH144="K5-POLICY",AG144&lt;&gt;"นิติศาสตร์",T144="S1",W144&gt;=1,V144&lt;P144),EDATE(V144,12),AND(AH144="K5-POLICY",AG144&lt;&gt;"นิติศาสตร์",OR(T144="S2",T144="K5")),V144,AND(AH144="K5-POLICY",AG144&lt;&gt;"นิติศาสตร์",OR(K144="M2",K144="K4"),Q144&gt;=2),EDATE(P144,12*2),AND(AH144="K5-POLICY",AG144&lt;&gt;"นิติศาสตร์",K144="S1",Q144&gt;=1),EDATE(P144,12),AND(AH144="K5-POLICY",AG144&lt;&gt;"นิติศาสตร์",OR(K144="S2",K144="K5")),P144,TRUE,"Check Data")</f>
        <v/>
      </c>
      <c r="AJ144" s="75" t="str">
        <f t="shared" si="45"/>
        <v>Check Data</v>
      </c>
      <c r="AK144" s="76" t="str">
        <f t="shared" si="46"/>
        <v>Check Data</v>
      </c>
      <c r="AL144" s="50" t="str">
        <f t="shared" si="47"/>
        <v>Check Data</v>
      </c>
      <c r="AM144" s="49" t="str">
        <f>IF(B144="","",IF(K144="S1","S1",INDEX(#REF!,#REF!)))</f>
        <v/>
      </c>
      <c r="AN144" s="49" t="str">
        <f>K144</f>
        <v>M2</v>
      </c>
      <c r="AO144" s="50" t="b">
        <f>K144=AM144</f>
        <v>0</v>
      </c>
      <c r="AP144" s="50"/>
    </row>
    <row r="145" spans="1:42" ht="21.75">
      <c r="A145" s="49">
        <v>143</v>
      </c>
      <c r="B145" s="50"/>
      <c r="C145" s="50"/>
      <c r="D145" s="50" t="s">
        <v>143</v>
      </c>
      <c r="E145" s="49" t="s">
        <v>355</v>
      </c>
      <c r="F145" s="49" t="str">
        <f t="shared" si="32"/>
        <v>30/04/1993</v>
      </c>
      <c r="G145" s="50">
        <f t="shared" si="33"/>
        <v>32</v>
      </c>
      <c r="H145" s="50">
        <f t="shared" si="34"/>
        <v>1</v>
      </c>
      <c r="I145" s="50">
        <f t="shared" si="35"/>
        <v>21</v>
      </c>
      <c r="J145" s="58"/>
      <c r="K145" s="49" t="s">
        <v>136</v>
      </c>
      <c r="L145" s="64"/>
      <c r="M145" s="49" t="s">
        <v>427</v>
      </c>
      <c r="N145" s="49">
        <v>2569</v>
      </c>
      <c r="O145" s="65" t="s">
        <v>291</v>
      </c>
      <c r="P145" s="49" t="str">
        <f t="shared" si="36"/>
        <v>01/11/2021</v>
      </c>
      <c r="Q145" s="68">
        <f t="shared" si="37"/>
        <v>3</v>
      </c>
      <c r="R145" s="68">
        <f t="shared" si="38"/>
        <v>7</v>
      </c>
      <c r="S145" s="68">
        <f t="shared" si="39"/>
        <v>19</v>
      </c>
      <c r="T145" s="65"/>
      <c r="U145" s="65"/>
      <c r="V145" s="49" t="str">
        <f t="shared" si="40"/>
        <v/>
      </c>
      <c r="W145" s="68">
        <f>IF(V145="",0,DATEDIF(V145,P145,"Y"))</f>
        <v>0</v>
      </c>
      <c r="X145" s="68">
        <f>IF(V145="",0,DATEDIF(V145,P145,"YM"))</f>
        <v>0</v>
      </c>
      <c r="Y145" s="68">
        <f>IF(V145="",0,DATEDIF(V145,P145,"MD"))</f>
        <v>0</v>
      </c>
      <c r="Z145" s="49"/>
      <c r="AA145" s="65"/>
      <c r="AB145" s="50" t="str">
        <f t="shared" si="41"/>
        <v/>
      </c>
      <c r="AC145" s="68">
        <f t="shared" si="42"/>
        <v>0</v>
      </c>
      <c r="AD145" s="68">
        <f t="shared" si="43"/>
        <v>0</v>
      </c>
      <c r="AE145" s="68">
        <f t="shared" si="44"/>
        <v>0</v>
      </c>
      <c r="AF145" s="50"/>
      <c r="AG145" s="50" t="s">
        <v>167</v>
      </c>
      <c r="AH145" s="49" t="str">
        <f>IF(AG145="นิติศาสตร์","K5-LAW","K5-POLICY")</f>
        <v>K5-POLICY</v>
      </c>
      <c r="AI145" s="72" t="str">
        <f>_xlfn.IFS(B145="","",AND(AH145="K5-LAW",AG145="นิติศาสตร์",K145="S2",T145="",Z145=""),P145,AND(AH145="K5-LAW",AG145="นิติศาสตร์",K145="S1",T145="",Z145=""),EDATE(P145,12),AND(AH145="K5-LAW",AG145="นิติศาสตร์",OR(K145="M2",K145="K4"),T145="",Z145=""),EDATE(P145,12*2),AND(AH145="K5-LAW",AG145="นิติศาสตร์",OR(Z145="M2",Z145="K4"),AC145&gt;=2,OR(AB145&lt;V145,AB145&lt;P145)),EDATE(AB145,12*2),AND(AH145="K5-LAW",AG145="นิติศาสตร์",Z145="S1",AC145&gt;=1,OR(AB145&lt;V145,AB145&lt;P145)),EDATE(AB145,12),AND(AH145="K5-LAW",AG145="นิติศาสตร์",OR(T145="M2",T145="K4"),W145&gt;=2,V145&lt;P145),EDATE(V145,12*2),AND(AH145="K5-LAW",AG145="นิติศาสตร์",T145="S1",W145&gt;=1,V145&lt;P145),EDATE(V145,12),AND(AH145="K5-LAW",AG145="นิติศาสตร์",OR(T145="S2",T145="K5")),V145,AND(AH145="K5-LAW",AG145="นิติศาสตร์",OR(K145="M2",K145="K4"),Q145&gt;=2),EDATE(P145,12*2),AND(AH145="K5-LAW",AG145="นิติศาสตร์",K145="S1",Q145&gt;=1),EDATE(P145,12),AND(AH145="K5-LAW",AG145="นิติศาสตร์",OR(K145="S2",K145="K5")),P145,AND(AH145="K5-POLICY",AG145&lt;&gt;"นิติศาสตร์",K145="S2",T145="",Z145=""),P145,AND(AH145="K5-POLICY",AG145&lt;&gt;"นิติศาสตร์",K145="S1",T145="",Z145=""),EDATE(P145,12),AND(AH145="K5-POLICY",AG145&lt;&gt;"นิติศาสตร์",OR(K145="M2",K145="K4"),T145="",Z145=""),EDATE(P145,12*2),AND(AH145="K5-POLICY",AG145&lt;&gt;"นิติศาสตร์",OR(Z145="M2",Z145="K4"),AC145&gt;=2,OR(AB145&lt;V145,AB145&lt;P145)),EDATE(AB145,12*2),AND(AH145="K5-POLICY",AG145&lt;&gt;"นิติศาสตร์",Z145="S1",AC145&gt;=1,OR(AB145&lt;V145,AB145&lt;P145)),EDATE(AB145,12),AND(AH145="K5-POLICY",AG145&lt;&gt;"นิติศาสตร์",OR(T145="M2",T145="K4"),W145&gt;=2,V145&lt;P145),EDATE(V145,12*2),AND(AH145="K5-POLICY",AG145&lt;&gt;"นิติศาสตร์",T145="S1",W145&gt;=1,V145&lt;P145),EDATE(V145,12),AND(AH145="K5-POLICY",AG145&lt;&gt;"นิติศาสตร์",OR(T145="S2",T145="K5")),V145,AND(AH145="K5-POLICY",AG145&lt;&gt;"นิติศาสตร์",OR(K145="M2",K145="K4"),Q145&gt;=2),EDATE(P145,12*2),AND(AH145="K5-POLICY",AG145&lt;&gt;"นิติศาสตร์",K145="S1",Q145&gt;=1),EDATE(P145,12),AND(AH145="K5-POLICY",AG145&lt;&gt;"นิติศาสตร์",OR(K145="S2",K145="K5")),P145,TRUE,"Check Data")</f>
        <v/>
      </c>
      <c r="AJ145" s="75" t="str">
        <f t="shared" si="45"/>
        <v>Check Data</v>
      </c>
      <c r="AK145" s="76" t="str">
        <f t="shared" si="46"/>
        <v>Check Data</v>
      </c>
      <c r="AL145" s="50" t="str">
        <f t="shared" si="47"/>
        <v>Check Data</v>
      </c>
      <c r="AM145" s="49" t="str">
        <f>IF(B145="","",IF(K145="S1","S1",INDEX(#REF!,#REF!)))</f>
        <v/>
      </c>
      <c r="AN145" s="49" t="str">
        <f>K145</f>
        <v>M2</v>
      </c>
      <c r="AO145" s="50" t="b">
        <f>K145=AM145</f>
        <v>0</v>
      </c>
      <c r="AP145" s="50"/>
    </row>
    <row r="146" spans="1:42" ht="21.75">
      <c r="A146" s="49">
        <v>144</v>
      </c>
      <c r="B146" s="50"/>
      <c r="C146" s="50"/>
      <c r="D146" s="50" t="s">
        <v>143</v>
      </c>
      <c r="E146" s="49" t="s">
        <v>342</v>
      </c>
      <c r="F146" s="49" t="str">
        <f t="shared" si="32"/>
        <v>11/07/1996</v>
      </c>
      <c r="G146" s="50">
        <f t="shared" si="33"/>
        <v>28</v>
      </c>
      <c r="H146" s="50">
        <f t="shared" si="34"/>
        <v>11</v>
      </c>
      <c r="I146" s="50">
        <f t="shared" si="35"/>
        <v>9</v>
      </c>
      <c r="J146" s="58"/>
      <c r="K146" s="49" t="s">
        <v>136</v>
      </c>
      <c r="L146" s="64"/>
      <c r="M146" s="49" t="s">
        <v>427</v>
      </c>
      <c r="N146" s="49">
        <v>2573</v>
      </c>
      <c r="O146" s="65" t="s">
        <v>291</v>
      </c>
      <c r="P146" s="49" t="str">
        <f t="shared" si="36"/>
        <v>01/11/2021</v>
      </c>
      <c r="Q146" s="68">
        <f t="shared" si="37"/>
        <v>3</v>
      </c>
      <c r="R146" s="68">
        <f t="shared" si="38"/>
        <v>7</v>
      </c>
      <c r="S146" s="68">
        <f t="shared" si="39"/>
        <v>19</v>
      </c>
      <c r="T146" s="65"/>
      <c r="U146" s="65"/>
      <c r="V146" s="49" t="str">
        <f t="shared" si="40"/>
        <v/>
      </c>
      <c r="W146" s="68">
        <f>IF(V146="",0,DATEDIF(V146,P146,"Y"))</f>
        <v>0</v>
      </c>
      <c r="X146" s="68">
        <f>IF(V146="",0,DATEDIF(V146,P146,"YM"))</f>
        <v>0</v>
      </c>
      <c r="Y146" s="68">
        <f>IF(V146="",0,DATEDIF(V146,P146,"MD"))</f>
        <v>0</v>
      </c>
      <c r="Z146" s="49"/>
      <c r="AA146" s="65"/>
      <c r="AB146" s="50" t="str">
        <f t="shared" si="41"/>
        <v/>
      </c>
      <c r="AC146" s="68">
        <f t="shared" si="42"/>
        <v>0</v>
      </c>
      <c r="AD146" s="68">
        <f t="shared" si="43"/>
        <v>0</v>
      </c>
      <c r="AE146" s="68">
        <f t="shared" si="44"/>
        <v>0</v>
      </c>
      <c r="AF146" s="50"/>
      <c r="AG146" s="50" t="s">
        <v>486</v>
      </c>
      <c r="AH146" s="49" t="str">
        <f>IF(AG146="นิติศาสตร์","K5-LAW","K5-POLICY")</f>
        <v>K5-POLICY</v>
      </c>
      <c r="AI146" s="72" t="str">
        <f>_xlfn.IFS(B146="","",AND(AH146="K5-LAW",AG146="นิติศาสตร์",K146="S2",T146="",Z146=""),P146,AND(AH146="K5-LAW",AG146="นิติศาสตร์",K146="S1",T146="",Z146=""),EDATE(P146,12),AND(AH146="K5-LAW",AG146="นิติศาสตร์",OR(K146="M2",K146="K4"),T146="",Z146=""),EDATE(P146,12*2),AND(AH146="K5-LAW",AG146="นิติศาสตร์",OR(Z146="M2",Z146="K4"),AC146&gt;=2,OR(AB146&lt;V146,AB146&lt;P146)),EDATE(AB146,12*2),AND(AH146="K5-LAW",AG146="นิติศาสตร์",Z146="S1",AC146&gt;=1,OR(AB146&lt;V146,AB146&lt;P146)),EDATE(AB146,12),AND(AH146="K5-LAW",AG146="นิติศาสตร์",OR(T146="M2",T146="K4"),W146&gt;=2,V146&lt;P146),EDATE(V146,12*2),AND(AH146="K5-LAW",AG146="นิติศาสตร์",T146="S1",W146&gt;=1,V146&lt;P146),EDATE(V146,12),AND(AH146="K5-LAW",AG146="นิติศาสตร์",OR(T146="S2",T146="K5")),V146,AND(AH146="K5-LAW",AG146="นิติศาสตร์",OR(K146="M2",K146="K4"),Q146&gt;=2),EDATE(P146,12*2),AND(AH146="K5-LAW",AG146="นิติศาสตร์",K146="S1",Q146&gt;=1),EDATE(P146,12),AND(AH146="K5-LAW",AG146="นิติศาสตร์",OR(K146="S2",K146="K5")),P146,AND(AH146="K5-POLICY",AG146&lt;&gt;"นิติศาสตร์",K146="S2",T146="",Z146=""),P146,AND(AH146="K5-POLICY",AG146&lt;&gt;"นิติศาสตร์",K146="S1",T146="",Z146=""),EDATE(P146,12),AND(AH146="K5-POLICY",AG146&lt;&gt;"นิติศาสตร์",OR(K146="M2",K146="K4"),T146="",Z146=""),EDATE(P146,12*2),AND(AH146="K5-POLICY",AG146&lt;&gt;"นิติศาสตร์",OR(Z146="M2",Z146="K4"),AC146&gt;=2,OR(AB146&lt;V146,AB146&lt;P146)),EDATE(AB146,12*2),AND(AH146="K5-POLICY",AG146&lt;&gt;"นิติศาสตร์",Z146="S1",AC146&gt;=1,OR(AB146&lt;V146,AB146&lt;P146)),EDATE(AB146,12),AND(AH146="K5-POLICY",AG146&lt;&gt;"นิติศาสตร์",OR(T146="M2",T146="K4"),W146&gt;=2,V146&lt;P146),EDATE(V146,12*2),AND(AH146="K5-POLICY",AG146&lt;&gt;"นิติศาสตร์",T146="S1",W146&gt;=1,V146&lt;P146),EDATE(V146,12),AND(AH146="K5-POLICY",AG146&lt;&gt;"นิติศาสตร์",OR(T146="S2",T146="K5")),V146,AND(AH146="K5-POLICY",AG146&lt;&gt;"นิติศาสตร์",OR(K146="M2",K146="K4"),Q146&gt;=2),EDATE(P146,12*2),AND(AH146="K5-POLICY",AG146&lt;&gt;"นิติศาสตร์",K146="S1",Q146&gt;=1),EDATE(P146,12),AND(AH146="K5-POLICY",AG146&lt;&gt;"นิติศาสตร์",OR(K146="S2",K146="K5")),P146,TRUE,"Check Data")</f>
        <v/>
      </c>
      <c r="AJ146" s="75" t="str">
        <f t="shared" si="45"/>
        <v>Check Data</v>
      </c>
      <c r="AK146" s="76" t="str">
        <f t="shared" si="46"/>
        <v>Check Data</v>
      </c>
      <c r="AL146" s="50" t="str">
        <f t="shared" si="47"/>
        <v>Check Data</v>
      </c>
      <c r="AM146" s="49" t="str">
        <f>IF(B146="","",IF(K146="S1","S1",INDEX(#REF!,#REF!)))</f>
        <v/>
      </c>
      <c r="AN146" s="49" t="str">
        <f>K146</f>
        <v>M2</v>
      </c>
      <c r="AO146" s="50" t="b">
        <f>K146=AM146</f>
        <v>0</v>
      </c>
      <c r="AP146" s="50"/>
    </row>
    <row r="147" spans="1:42" ht="21.75">
      <c r="A147" s="49">
        <v>145</v>
      </c>
      <c r="B147" s="50"/>
      <c r="C147" s="50"/>
      <c r="D147" s="50" t="s">
        <v>140</v>
      </c>
      <c r="E147" s="49" t="s">
        <v>162</v>
      </c>
      <c r="F147" s="49" t="str">
        <f t="shared" si="32"/>
        <v>03/04/1989</v>
      </c>
      <c r="G147" s="50">
        <f t="shared" si="33"/>
        <v>36</v>
      </c>
      <c r="H147" s="50">
        <f t="shared" si="34"/>
        <v>2</v>
      </c>
      <c r="I147" s="50">
        <f t="shared" si="35"/>
        <v>17</v>
      </c>
      <c r="J147" s="57"/>
      <c r="K147" s="49" t="s">
        <v>136</v>
      </c>
      <c r="L147" s="64"/>
      <c r="M147" s="49" t="s">
        <v>425</v>
      </c>
      <c r="N147" s="49">
        <v>2570</v>
      </c>
      <c r="O147" s="65" t="s">
        <v>238</v>
      </c>
      <c r="P147" s="49" t="str">
        <f t="shared" si="36"/>
        <v>19/11/2021</v>
      </c>
      <c r="Q147" s="68">
        <f t="shared" si="37"/>
        <v>3</v>
      </c>
      <c r="R147" s="68">
        <f t="shared" si="38"/>
        <v>7</v>
      </c>
      <c r="S147" s="68">
        <f t="shared" si="39"/>
        <v>1</v>
      </c>
      <c r="T147" s="65"/>
      <c r="U147" s="65"/>
      <c r="V147" s="49" t="str">
        <f t="shared" si="40"/>
        <v/>
      </c>
      <c r="W147" s="68">
        <f>IF(V147="",0,DATEDIF(V147,P147,"Y"))</f>
        <v>0</v>
      </c>
      <c r="X147" s="68">
        <f>IF(V147="",0,DATEDIF(V147,P147,"YM"))</f>
        <v>0</v>
      </c>
      <c r="Y147" s="68">
        <f>IF(V147="",0,DATEDIF(V147,P147,"MD"))</f>
        <v>0</v>
      </c>
      <c r="Z147" s="49"/>
      <c r="AA147" s="65"/>
      <c r="AB147" s="50" t="str">
        <f t="shared" si="41"/>
        <v/>
      </c>
      <c r="AC147" s="68">
        <f t="shared" si="42"/>
        <v>0</v>
      </c>
      <c r="AD147" s="68">
        <f t="shared" si="43"/>
        <v>0</v>
      </c>
      <c r="AE147" s="68">
        <f t="shared" si="44"/>
        <v>0</v>
      </c>
      <c r="AF147" s="50"/>
      <c r="AG147" s="50" t="s">
        <v>138</v>
      </c>
      <c r="AH147" s="49" t="str">
        <f>IF(AG147="นิติศาสตร์","K5-LAW","K5-POLICY")</f>
        <v>K5-LAW</v>
      </c>
      <c r="AI147" s="72" t="str">
        <f>_xlfn.IFS(B147="","",AND(AH147="K5-LAW",AG147="นิติศาสตร์",K147="S2",T147="",Z147=""),P147,AND(AH147="K5-LAW",AG147="นิติศาสตร์",K147="S1",T147="",Z147=""),EDATE(P147,12),AND(AH147="K5-LAW",AG147="นิติศาสตร์",OR(K147="M2",K147="K4"),T147="",Z147=""),EDATE(P147,12*2),AND(AH147="K5-LAW",AG147="นิติศาสตร์",OR(Z147="M2",Z147="K4"),AC147&gt;=2,OR(AB147&lt;V147,AB147&lt;P147)),EDATE(AB147,12*2),AND(AH147="K5-LAW",AG147="นิติศาสตร์",Z147="S1",AC147&gt;=1,OR(AB147&lt;V147,AB147&lt;P147)),EDATE(AB147,12),AND(AH147="K5-LAW",AG147="นิติศาสตร์",OR(T147="M2",T147="K4"),W147&gt;=2,V147&lt;P147),EDATE(V147,12*2),AND(AH147="K5-LAW",AG147="นิติศาสตร์",T147="S1",W147&gt;=1,V147&lt;P147),EDATE(V147,12),AND(AH147="K5-LAW",AG147="นิติศาสตร์",OR(T147="S2",T147="K5")),V147,AND(AH147="K5-LAW",AG147="นิติศาสตร์",OR(K147="M2",K147="K4"),Q147&gt;=2),EDATE(P147,12*2),AND(AH147="K5-LAW",AG147="นิติศาสตร์",K147="S1",Q147&gt;=1),EDATE(P147,12),AND(AH147="K5-LAW",AG147="นิติศาสตร์",OR(K147="S2",K147="K5")),P147,AND(AH147="K5-POLICY",AG147&lt;&gt;"นิติศาสตร์",K147="S2",T147="",Z147=""),P147,AND(AH147="K5-POLICY",AG147&lt;&gt;"นิติศาสตร์",K147="S1",T147="",Z147=""),EDATE(P147,12),AND(AH147="K5-POLICY",AG147&lt;&gt;"นิติศาสตร์",OR(K147="M2",K147="K4"),T147="",Z147=""),EDATE(P147,12*2),AND(AH147="K5-POLICY",AG147&lt;&gt;"นิติศาสตร์",OR(Z147="M2",Z147="K4"),AC147&gt;=2,OR(AB147&lt;V147,AB147&lt;P147)),EDATE(AB147,12*2),AND(AH147="K5-POLICY",AG147&lt;&gt;"นิติศาสตร์",Z147="S1",AC147&gt;=1,OR(AB147&lt;V147,AB147&lt;P147)),EDATE(AB147,12),AND(AH147="K5-POLICY",AG147&lt;&gt;"นิติศาสตร์",OR(T147="M2",T147="K4"),W147&gt;=2,V147&lt;P147),EDATE(V147,12*2),AND(AH147="K5-POLICY",AG147&lt;&gt;"นิติศาสตร์",T147="S1",W147&gt;=1,V147&lt;P147),EDATE(V147,12),AND(AH147="K5-POLICY",AG147&lt;&gt;"นิติศาสตร์",OR(T147="S2",T147="K5")),V147,AND(AH147="K5-POLICY",AG147&lt;&gt;"นิติศาสตร์",OR(K147="M2",K147="K4"),Q147&gt;=2),EDATE(P147,12*2),AND(AH147="K5-POLICY",AG147&lt;&gt;"นิติศาสตร์",K147="S1",Q147&gt;=1),EDATE(P147,12),AND(AH147="K5-POLICY",AG147&lt;&gt;"นิติศาสตร์",OR(K147="S2",K147="K5")),P147,TRUE,"Check Data")</f>
        <v/>
      </c>
      <c r="AJ147" s="75" t="str">
        <f t="shared" si="45"/>
        <v>Check Data</v>
      </c>
      <c r="AK147" s="76" t="str">
        <f t="shared" si="46"/>
        <v>Check Data</v>
      </c>
      <c r="AL147" s="50" t="str">
        <f t="shared" si="47"/>
        <v>Check Data</v>
      </c>
      <c r="AM147" s="49" t="str">
        <f>IF(B147="","",IF(K147="S1","S1",INDEX(#REF!,#REF!)))</f>
        <v/>
      </c>
      <c r="AN147" s="49" t="str">
        <f>K147</f>
        <v>M2</v>
      </c>
      <c r="AO147" s="50" t="b">
        <f>K147=AM147</f>
        <v>0</v>
      </c>
      <c r="AP147" s="50"/>
    </row>
    <row r="148" spans="1:42" ht="21.75">
      <c r="A148" s="49">
        <v>146</v>
      </c>
      <c r="B148" s="50"/>
      <c r="C148" s="50"/>
      <c r="D148" s="50" t="s">
        <v>144</v>
      </c>
      <c r="E148" s="49" t="s">
        <v>174</v>
      </c>
      <c r="F148" s="49" t="str">
        <f t="shared" si="32"/>
        <v>01/04/1992</v>
      </c>
      <c r="G148" s="50">
        <f t="shared" si="33"/>
        <v>33</v>
      </c>
      <c r="H148" s="50">
        <f t="shared" si="34"/>
        <v>2</v>
      </c>
      <c r="I148" s="50">
        <f t="shared" si="35"/>
        <v>19</v>
      </c>
      <c r="J148" s="57"/>
      <c r="K148" s="49" t="s">
        <v>136</v>
      </c>
      <c r="L148" s="64"/>
      <c r="M148" s="49" t="s">
        <v>427</v>
      </c>
      <c r="N148" s="49">
        <v>2577</v>
      </c>
      <c r="O148" s="65" t="s">
        <v>238</v>
      </c>
      <c r="P148" s="49" t="str">
        <f t="shared" si="36"/>
        <v>19/11/2021</v>
      </c>
      <c r="Q148" s="68">
        <f t="shared" si="37"/>
        <v>3</v>
      </c>
      <c r="R148" s="68">
        <f t="shared" si="38"/>
        <v>7</v>
      </c>
      <c r="S148" s="68">
        <f t="shared" si="39"/>
        <v>1</v>
      </c>
      <c r="T148" s="65"/>
      <c r="U148" s="65"/>
      <c r="V148" s="49" t="str">
        <f t="shared" si="40"/>
        <v/>
      </c>
      <c r="W148" s="68">
        <f>IF(V148="",0,DATEDIF(V148,P148,"Y"))</f>
        <v>0</v>
      </c>
      <c r="X148" s="68">
        <f>IF(V148="",0,DATEDIF(V148,P148,"YM"))</f>
        <v>0</v>
      </c>
      <c r="Y148" s="68">
        <f>IF(V148="",0,DATEDIF(V148,P148,"MD"))</f>
        <v>0</v>
      </c>
      <c r="Z148" s="49"/>
      <c r="AA148" s="65"/>
      <c r="AB148" s="50" t="str">
        <f t="shared" si="41"/>
        <v/>
      </c>
      <c r="AC148" s="68">
        <f t="shared" si="42"/>
        <v>0</v>
      </c>
      <c r="AD148" s="68">
        <f t="shared" si="43"/>
        <v>0</v>
      </c>
      <c r="AE148" s="68">
        <f t="shared" si="44"/>
        <v>0</v>
      </c>
      <c r="AF148" s="50"/>
      <c r="AG148" s="50" t="s">
        <v>163</v>
      </c>
      <c r="AH148" s="49" t="str">
        <f>IF(AG148="นิติศาสตร์","K5-LAW","K5-POLICY")</f>
        <v>K5-POLICY</v>
      </c>
      <c r="AI148" s="72" t="str">
        <f>_xlfn.IFS(B148="","",AND(AH148="K5-LAW",AG148="นิติศาสตร์",K148="S2",T148="",Z148=""),P148,AND(AH148="K5-LAW",AG148="นิติศาสตร์",K148="S1",T148="",Z148=""),EDATE(P148,12),AND(AH148="K5-LAW",AG148="นิติศาสตร์",OR(K148="M2",K148="K4"),T148="",Z148=""),EDATE(P148,12*2),AND(AH148="K5-LAW",AG148="นิติศาสตร์",OR(Z148="M2",Z148="K4"),AC148&gt;=2,OR(AB148&lt;V148,AB148&lt;P148)),EDATE(AB148,12*2),AND(AH148="K5-LAW",AG148="นิติศาสตร์",Z148="S1",AC148&gt;=1,OR(AB148&lt;V148,AB148&lt;P148)),EDATE(AB148,12),AND(AH148="K5-LAW",AG148="นิติศาสตร์",OR(T148="M2",T148="K4"),W148&gt;=2,V148&lt;P148),EDATE(V148,12*2),AND(AH148="K5-LAW",AG148="นิติศาสตร์",T148="S1",W148&gt;=1,V148&lt;P148),EDATE(V148,12),AND(AH148="K5-LAW",AG148="นิติศาสตร์",OR(T148="S2",T148="K5")),V148,AND(AH148="K5-LAW",AG148="นิติศาสตร์",OR(K148="M2",K148="K4"),Q148&gt;=2),EDATE(P148,12*2),AND(AH148="K5-LAW",AG148="นิติศาสตร์",K148="S1",Q148&gt;=1),EDATE(P148,12),AND(AH148="K5-LAW",AG148="นิติศาสตร์",OR(K148="S2",K148="K5")),P148,AND(AH148="K5-POLICY",AG148&lt;&gt;"นิติศาสตร์",K148="S2",T148="",Z148=""),P148,AND(AH148="K5-POLICY",AG148&lt;&gt;"นิติศาสตร์",K148="S1",T148="",Z148=""),EDATE(P148,12),AND(AH148="K5-POLICY",AG148&lt;&gt;"นิติศาสตร์",OR(K148="M2",K148="K4"),T148="",Z148=""),EDATE(P148,12*2),AND(AH148="K5-POLICY",AG148&lt;&gt;"นิติศาสตร์",OR(Z148="M2",Z148="K4"),AC148&gt;=2,OR(AB148&lt;V148,AB148&lt;P148)),EDATE(AB148,12*2),AND(AH148="K5-POLICY",AG148&lt;&gt;"นิติศาสตร์",Z148="S1",AC148&gt;=1,OR(AB148&lt;V148,AB148&lt;P148)),EDATE(AB148,12),AND(AH148="K5-POLICY",AG148&lt;&gt;"นิติศาสตร์",OR(T148="M2",T148="K4"),W148&gt;=2,V148&lt;P148),EDATE(V148,12*2),AND(AH148="K5-POLICY",AG148&lt;&gt;"นิติศาสตร์",T148="S1",W148&gt;=1,V148&lt;P148),EDATE(V148,12),AND(AH148="K5-POLICY",AG148&lt;&gt;"นิติศาสตร์",OR(T148="S2",T148="K5")),V148,AND(AH148="K5-POLICY",AG148&lt;&gt;"นิติศาสตร์",OR(K148="M2",K148="K4"),Q148&gt;=2),EDATE(P148,12*2),AND(AH148="K5-POLICY",AG148&lt;&gt;"นิติศาสตร์",K148="S1",Q148&gt;=1),EDATE(P148,12),AND(AH148="K5-POLICY",AG148&lt;&gt;"นิติศาสตร์",OR(K148="S2",K148="K5")),P148,TRUE,"Check Data")</f>
        <v/>
      </c>
      <c r="AJ148" s="75" t="str">
        <f t="shared" si="45"/>
        <v>Check Data</v>
      </c>
      <c r="AK148" s="76" t="str">
        <f t="shared" si="46"/>
        <v>Check Data</v>
      </c>
      <c r="AL148" s="50" t="str">
        <f t="shared" si="47"/>
        <v>Check Data</v>
      </c>
      <c r="AM148" s="49" t="str">
        <f>IF(B148="","",IF(K148="S1","S1",INDEX(#REF!,#REF!)))</f>
        <v/>
      </c>
      <c r="AN148" s="49" t="str">
        <f>K148</f>
        <v>M2</v>
      </c>
      <c r="AO148" s="50" t="b">
        <f>K148=AM148</f>
        <v>0</v>
      </c>
      <c r="AP148" s="50"/>
    </row>
    <row r="149" spans="1:42" ht="21.75">
      <c r="A149" s="49">
        <v>147</v>
      </c>
      <c r="B149" s="50"/>
      <c r="C149" s="50"/>
      <c r="D149" s="50" t="s">
        <v>142</v>
      </c>
      <c r="E149" s="49" t="s">
        <v>275</v>
      </c>
      <c r="F149" s="49" t="str">
        <f t="shared" si="32"/>
        <v>21/06/1993</v>
      </c>
      <c r="G149" s="50">
        <f t="shared" si="33"/>
        <v>31</v>
      </c>
      <c r="H149" s="50">
        <f t="shared" si="34"/>
        <v>11</v>
      </c>
      <c r="I149" s="50">
        <f t="shared" si="35"/>
        <v>30</v>
      </c>
      <c r="J149" s="58"/>
      <c r="K149" s="49" t="s">
        <v>136</v>
      </c>
      <c r="L149" s="64"/>
      <c r="M149" s="49" t="s">
        <v>427</v>
      </c>
      <c r="N149" s="49">
        <v>2569</v>
      </c>
      <c r="O149" s="65" t="s">
        <v>276</v>
      </c>
      <c r="P149" s="49" t="str">
        <f t="shared" si="36"/>
        <v>03/12/2021</v>
      </c>
      <c r="Q149" s="68">
        <f t="shared" si="37"/>
        <v>3</v>
      </c>
      <c r="R149" s="68">
        <f t="shared" si="38"/>
        <v>6</v>
      </c>
      <c r="S149" s="68">
        <f t="shared" si="39"/>
        <v>17</v>
      </c>
      <c r="T149" s="65"/>
      <c r="U149" s="65"/>
      <c r="V149" s="49" t="str">
        <f t="shared" si="40"/>
        <v/>
      </c>
      <c r="W149" s="68">
        <f>IF(V149="",0,DATEDIF(V149,P149,"Y"))</f>
        <v>0</v>
      </c>
      <c r="X149" s="68">
        <f>IF(V149="",0,DATEDIF(V149,P149,"YM"))</f>
        <v>0</v>
      </c>
      <c r="Y149" s="68">
        <f>IF(V149="",0,DATEDIF(V149,P149,"MD"))</f>
        <v>0</v>
      </c>
      <c r="Z149" s="49"/>
      <c r="AA149" s="65"/>
      <c r="AB149" s="50" t="str">
        <f t="shared" si="41"/>
        <v/>
      </c>
      <c r="AC149" s="68">
        <f t="shared" si="42"/>
        <v>0</v>
      </c>
      <c r="AD149" s="68">
        <f t="shared" si="43"/>
        <v>0</v>
      </c>
      <c r="AE149" s="68">
        <f t="shared" si="44"/>
        <v>0</v>
      </c>
      <c r="AF149" s="50"/>
      <c r="AG149" s="50" t="s">
        <v>138</v>
      </c>
      <c r="AH149" s="49" t="str">
        <f>IF(AG149="นิติศาสตร์","K5-LAW","K5-POLICY")</f>
        <v>K5-LAW</v>
      </c>
      <c r="AI149" s="72" t="str">
        <f>_xlfn.IFS(B149="","",AND(AH149="K5-LAW",AG149="นิติศาสตร์",K149="S2",T149="",Z149=""),P149,AND(AH149="K5-LAW",AG149="นิติศาสตร์",K149="S1",T149="",Z149=""),EDATE(P149,12),AND(AH149="K5-LAW",AG149="นิติศาสตร์",OR(K149="M2",K149="K4"),T149="",Z149=""),EDATE(P149,12*2),AND(AH149="K5-LAW",AG149="นิติศาสตร์",OR(Z149="M2",Z149="K4"),AC149&gt;=2,OR(AB149&lt;V149,AB149&lt;P149)),EDATE(AB149,12*2),AND(AH149="K5-LAW",AG149="นิติศาสตร์",Z149="S1",AC149&gt;=1,OR(AB149&lt;V149,AB149&lt;P149)),EDATE(AB149,12),AND(AH149="K5-LAW",AG149="นิติศาสตร์",OR(T149="M2",T149="K4"),W149&gt;=2,V149&lt;P149),EDATE(V149,12*2),AND(AH149="K5-LAW",AG149="นิติศาสตร์",T149="S1",W149&gt;=1,V149&lt;P149),EDATE(V149,12),AND(AH149="K5-LAW",AG149="นิติศาสตร์",OR(T149="S2",T149="K5")),V149,AND(AH149="K5-LAW",AG149="นิติศาสตร์",OR(K149="M2",K149="K4"),Q149&gt;=2),EDATE(P149,12*2),AND(AH149="K5-LAW",AG149="นิติศาสตร์",K149="S1",Q149&gt;=1),EDATE(P149,12),AND(AH149="K5-LAW",AG149="นิติศาสตร์",OR(K149="S2",K149="K5")),P149,AND(AH149="K5-POLICY",AG149&lt;&gt;"นิติศาสตร์",K149="S2",T149="",Z149=""),P149,AND(AH149="K5-POLICY",AG149&lt;&gt;"นิติศาสตร์",K149="S1",T149="",Z149=""),EDATE(P149,12),AND(AH149="K5-POLICY",AG149&lt;&gt;"นิติศาสตร์",OR(K149="M2",K149="K4"),T149="",Z149=""),EDATE(P149,12*2),AND(AH149="K5-POLICY",AG149&lt;&gt;"นิติศาสตร์",OR(Z149="M2",Z149="K4"),AC149&gt;=2,OR(AB149&lt;V149,AB149&lt;P149)),EDATE(AB149,12*2),AND(AH149="K5-POLICY",AG149&lt;&gt;"นิติศาสตร์",Z149="S1",AC149&gt;=1,OR(AB149&lt;V149,AB149&lt;P149)),EDATE(AB149,12),AND(AH149="K5-POLICY",AG149&lt;&gt;"นิติศาสตร์",OR(T149="M2",T149="K4"),W149&gt;=2,V149&lt;P149),EDATE(V149,12*2),AND(AH149="K5-POLICY",AG149&lt;&gt;"นิติศาสตร์",T149="S1",W149&gt;=1,V149&lt;P149),EDATE(V149,12),AND(AH149="K5-POLICY",AG149&lt;&gt;"นิติศาสตร์",OR(T149="S2",T149="K5")),V149,AND(AH149="K5-POLICY",AG149&lt;&gt;"นิติศาสตร์",OR(K149="M2",K149="K4"),Q149&gt;=2),EDATE(P149,12*2),AND(AH149="K5-POLICY",AG149&lt;&gt;"นิติศาสตร์",K149="S1",Q149&gt;=1),EDATE(P149,12),AND(AH149="K5-POLICY",AG149&lt;&gt;"นิติศาสตร์",OR(K149="S2",K149="K5")),P149,TRUE,"Check Data")</f>
        <v/>
      </c>
      <c r="AJ149" s="75" t="str">
        <f t="shared" si="45"/>
        <v>Check Data</v>
      </c>
      <c r="AK149" s="76" t="str">
        <f t="shared" si="46"/>
        <v>Check Data</v>
      </c>
      <c r="AL149" s="50" t="str">
        <f t="shared" si="47"/>
        <v>Check Data</v>
      </c>
      <c r="AM149" s="49" t="str">
        <f>IF(B149="","",IF(K149="S1","S1",INDEX(#REF!,#REF!)))</f>
        <v/>
      </c>
      <c r="AN149" s="49" t="str">
        <f>K149</f>
        <v>M2</v>
      </c>
      <c r="AO149" s="50" t="b">
        <f>K149=AM149</f>
        <v>0</v>
      </c>
      <c r="AP149" s="50"/>
    </row>
    <row r="150" spans="1:42" ht="21.75">
      <c r="A150" s="49">
        <v>148</v>
      </c>
      <c r="B150" s="50"/>
      <c r="C150" s="50"/>
      <c r="D150" s="50" t="s">
        <v>142</v>
      </c>
      <c r="E150" s="49" t="s">
        <v>277</v>
      </c>
      <c r="F150" s="49" t="str">
        <f t="shared" si="32"/>
        <v>15/09/1997</v>
      </c>
      <c r="G150" s="50">
        <f t="shared" si="33"/>
        <v>27</v>
      </c>
      <c r="H150" s="50">
        <f t="shared" si="34"/>
        <v>9</v>
      </c>
      <c r="I150" s="50">
        <f t="shared" si="35"/>
        <v>5</v>
      </c>
      <c r="J150" s="58"/>
      <c r="K150" s="49" t="s">
        <v>136</v>
      </c>
      <c r="L150" s="64"/>
      <c r="M150" s="49" t="s">
        <v>427</v>
      </c>
      <c r="N150" s="49">
        <v>2573</v>
      </c>
      <c r="O150" s="65" t="s">
        <v>276</v>
      </c>
      <c r="P150" s="49" t="str">
        <f t="shared" si="36"/>
        <v>03/12/2021</v>
      </c>
      <c r="Q150" s="68">
        <f t="shared" si="37"/>
        <v>3</v>
      </c>
      <c r="R150" s="68">
        <f t="shared" si="38"/>
        <v>6</v>
      </c>
      <c r="S150" s="68">
        <f t="shared" si="39"/>
        <v>17</v>
      </c>
      <c r="T150" s="65"/>
      <c r="U150" s="65"/>
      <c r="V150" s="49" t="str">
        <f t="shared" si="40"/>
        <v/>
      </c>
      <c r="W150" s="68">
        <f>IF(V150="",0,DATEDIF(V150,P150,"Y"))</f>
        <v>0</v>
      </c>
      <c r="X150" s="68">
        <f>IF(V150="",0,DATEDIF(V150,P150,"YM"))</f>
        <v>0</v>
      </c>
      <c r="Y150" s="68">
        <f>IF(V150="",0,DATEDIF(V150,P150,"MD"))</f>
        <v>0</v>
      </c>
      <c r="Z150" s="49"/>
      <c r="AA150" s="65"/>
      <c r="AB150" s="50" t="str">
        <f t="shared" si="41"/>
        <v/>
      </c>
      <c r="AC150" s="68">
        <f t="shared" si="42"/>
        <v>0</v>
      </c>
      <c r="AD150" s="68">
        <f t="shared" si="43"/>
        <v>0</v>
      </c>
      <c r="AE150" s="68">
        <f t="shared" si="44"/>
        <v>0</v>
      </c>
      <c r="AF150" s="50"/>
      <c r="AG150" s="50" t="s">
        <v>138</v>
      </c>
      <c r="AH150" s="49" t="str">
        <f>IF(AG150="นิติศาสตร์","K5-LAW","K5-POLICY")</f>
        <v>K5-LAW</v>
      </c>
      <c r="AI150" s="72" t="str">
        <f>_xlfn.IFS(B150="","",AND(AH150="K5-LAW",AG150="นิติศาสตร์",K150="S2",T150="",Z150=""),P150,AND(AH150="K5-LAW",AG150="นิติศาสตร์",K150="S1",T150="",Z150=""),EDATE(P150,12),AND(AH150="K5-LAW",AG150="นิติศาสตร์",OR(K150="M2",K150="K4"),T150="",Z150=""),EDATE(P150,12*2),AND(AH150="K5-LAW",AG150="นิติศาสตร์",OR(Z150="M2",Z150="K4"),AC150&gt;=2,OR(AB150&lt;V150,AB150&lt;P150)),EDATE(AB150,12*2),AND(AH150="K5-LAW",AG150="นิติศาสตร์",Z150="S1",AC150&gt;=1,OR(AB150&lt;V150,AB150&lt;P150)),EDATE(AB150,12),AND(AH150="K5-LAW",AG150="นิติศาสตร์",OR(T150="M2",T150="K4"),W150&gt;=2,V150&lt;P150),EDATE(V150,12*2),AND(AH150="K5-LAW",AG150="นิติศาสตร์",T150="S1",W150&gt;=1,V150&lt;P150),EDATE(V150,12),AND(AH150="K5-LAW",AG150="นิติศาสตร์",OR(T150="S2",T150="K5")),V150,AND(AH150="K5-LAW",AG150="นิติศาสตร์",OR(K150="M2",K150="K4"),Q150&gt;=2),EDATE(P150,12*2),AND(AH150="K5-LAW",AG150="นิติศาสตร์",K150="S1",Q150&gt;=1),EDATE(P150,12),AND(AH150="K5-LAW",AG150="นิติศาสตร์",OR(K150="S2",K150="K5")),P150,AND(AH150="K5-POLICY",AG150&lt;&gt;"นิติศาสตร์",K150="S2",T150="",Z150=""),P150,AND(AH150="K5-POLICY",AG150&lt;&gt;"นิติศาสตร์",K150="S1",T150="",Z150=""),EDATE(P150,12),AND(AH150="K5-POLICY",AG150&lt;&gt;"นิติศาสตร์",OR(K150="M2",K150="K4"),T150="",Z150=""),EDATE(P150,12*2),AND(AH150="K5-POLICY",AG150&lt;&gt;"นิติศาสตร์",OR(Z150="M2",Z150="K4"),AC150&gt;=2,OR(AB150&lt;V150,AB150&lt;P150)),EDATE(AB150,12*2),AND(AH150="K5-POLICY",AG150&lt;&gt;"นิติศาสตร์",Z150="S1",AC150&gt;=1,OR(AB150&lt;V150,AB150&lt;P150)),EDATE(AB150,12),AND(AH150="K5-POLICY",AG150&lt;&gt;"นิติศาสตร์",OR(T150="M2",T150="K4"),W150&gt;=2,V150&lt;P150),EDATE(V150,12*2),AND(AH150="K5-POLICY",AG150&lt;&gt;"นิติศาสตร์",T150="S1",W150&gt;=1,V150&lt;P150),EDATE(V150,12),AND(AH150="K5-POLICY",AG150&lt;&gt;"นิติศาสตร์",OR(T150="S2",T150="K5")),V150,AND(AH150="K5-POLICY",AG150&lt;&gt;"นิติศาสตร์",OR(K150="M2",K150="K4"),Q150&gt;=2),EDATE(P150,12*2),AND(AH150="K5-POLICY",AG150&lt;&gt;"นิติศาสตร์",K150="S1",Q150&gt;=1),EDATE(P150,12),AND(AH150="K5-POLICY",AG150&lt;&gt;"นิติศาสตร์",OR(K150="S2",K150="K5")),P150,TRUE,"Check Data")</f>
        <v/>
      </c>
      <c r="AJ150" s="75" t="str">
        <f t="shared" si="45"/>
        <v>Check Data</v>
      </c>
      <c r="AK150" s="76" t="str">
        <f t="shared" si="46"/>
        <v>Check Data</v>
      </c>
      <c r="AL150" s="50" t="str">
        <f t="shared" si="47"/>
        <v>Check Data</v>
      </c>
      <c r="AM150" s="49" t="str">
        <f>IF(B150="","",IF(K150="S1","S1",INDEX(#REF!,#REF!)))</f>
        <v/>
      </c>
      <c r="AN150" s="49" t="str">
        <f>K150</f>
        <v>M2</v>
      </c>
      <c r="AO150" s="50" t="b">
        <f>K150=AM150</f>
        <v>0</v>
      </c>
      <c r="AP150" s="50"/>
    </row>
    <row r="151" spans="1:42" ht="21.75">
      <c r="A151" s="49">
        <v>149</v>
      </c>
      <c r="B151" s="50"/>
      <c r="C151" s="50"/>
      <c r="D151" s="50" t="s">
        <v>142</v>
      </c>
      <c r="E151" s="49" t="s">
        <v>277</v>
      </c>
      <c r="F151" s="49" t="str">
        <f t="shared" si="32"/>
        <v>15/09/1997</v>
      </c>
      <c r="G151" s="50">
        <f t="shared" si="33"/>
        <v>27</v>
      </c>
      <c r="H151" s="50">
        <f t="shared" si="34"/>
        <v>9</v>
      </c>
      <c r="I151" s="50">
        <f t="shared" si="35"/>
        <v>5</v>
      </c>
      <c r="J151" s="58"/>
      <c r="K151" s="49" t="s">
        <v>136</v>
      </c>
      <c r="L151" s="64"/>
      <c r="M151" s="49" t="s">
        <v>427</v>
      </c>
      <c r="N151" s="49">
        <v>2573</v>
      </c>
      <c r="O151" s="65" t="s">
        <v>276</v>
      </c>
      <c r="P151" s="49" t="str">
        <f t="shared" si="36"/>
        <v>03/12/2021</v>
      </c>
      <c r="Q151" s="68">
        <f t="shared" si="37"/>
        <v>3</v>
      </c>
      <c r="R151" s="68">
        <f t="shared" si="38"/>
        <v>6</v>
      </c>
      <c r="S151" s="68">
        <f t="shared" si="39"/>
        <v>17</v>
      </c>
      <c r="T151" s="65"/>
      <c r="U151" s="65"/>
      <c r="V151" s="49" t="str">
        <f t="shared" si="40"/>
        <v/>
      </c>
      <c r="W151" s="68">
        <f>IF(V151="",0,DATEDIF(V151,P151,"Y"))</f>
        <v>0</v>
      </c>
      <c r="X151" s="68">
        <f>IF(V151="",0,DATEDIF(V151,P151,"YM"))</f>
        <v>0</v>
      </c>
      <c r="Y151" s="68">
        <f>IF(V151="",0,DATEDIF(V151,P151,"MD"))</f>
        <v>0</v>
      </c>
      <c r="Z151" s="49"/>
      <c r="AA151" s="65"/>
      <c r="AB151" s="50" t="str">
        <f t="shared" si="41"/>
        <v/>
      </c>
      <c r="AC151" s="68">
        <f t="shared" si="42"/>
        <v>0</v>
      </c>
      <c r="AD151" s="68">
        <f t="shared" si="43"/>
        <v>0</v>
      </c>
      <c r="AE151" s="68">
        <f t="shared" si="44"/>
        <v>0</v>
      </c>
      <c r="AF151" s="50"/>
      <c r="AG151" s="50" t="s">
        <v>178</v>
      </c>
      <c r="AH151" s="49" t="str">
        <f>IF(AG151="นิติศาสตร์","K5-LAW","K5-POLICY")</f>
        <v>K5-POLICY</v>
      </c>
      <c r="AI151" s="72" t="str">
        <f>_xlfn.IFS(B151="","",AND(AH151="K5-LAW",AG151="นิติศาสตร์",K151="S2",T151="",Z151=""),P151,AND(AH151="K5-LAW",AG151="นิติศาสตร์",K151="S1",T151="",Z151=""),EDATE(P151,12),AND(AH151="K5-LAW",AG151="นิติศาสตร์",OR(K151="M2",K151="K4"),T151="",Z151=""),EDATE(P151,12*2),AND(AH151="K5-LAW",AG151="นิติศาสตร์",OR(Z151="M2",Z151="K4"),AC151&gt;=2,OR(AB151&lt;V151,AB151&lt;P151)),EDATE(AB151,12*2),AND(AH151="K5-LAW",AG151="นิติศาสตร์",Z151="S1",AC151&gt;=1,OR(AB151&lt;V151,AB151&lt;P151)),EDATE(AB151,12),AND(AH151="K5-LAW",AG151="นิติศาสตร์",OR(T151="M2",T151="K4"),W151&gt;=2,V151&lt;P151),EDATE(V151,12*2),AND(AH151="K5-LAW",AG151="นิติศาสตร์",T151="S1",W151&gt;=1,V151&lt;P151),EDATE(V151,12),AND(AH151="K5-LAW",AG151="นิติศาสตร์",OR(T151="S2",T151="K5")),V151,AND(AH151="K5-LAW",AG151="นิติศาสตร์",OR(K151="M2",K151="K4"),Q151&gt;=2),EDATE(P151,12*2),AND(AH151="K5-LAW",AG151="นิติศาสตร์",K151="S1",Q151&gt;=1),EDATE(P151,12),AND(AH151="K5-LAW",AG151="นิติศาสตร์",OR(K151="S2",K151="K5")),P151,AND(AH151="K5-POLICY",AG151&lt;&gt;"นิติศาสตร์",K151="S2",T151="",Z151=""),P151,AND(AH151="K5-POLICY",AG151&lt;&gt;"นิติศาสตร์",K151="S1",T151="",Z151=""),EDATE(P151,12),AND(AH151="K5-POLICY",AG151&lt;&gt;"นิติศาสตร์",OR(K151="M2",K151="K4"),T151="",Z151=""),EDATE(P151,12*2),AND(AH151="K5-POLICY",AG151&lt;&gt;"นิติศาสตร์",OR(Z151="M2",Z151="K4"),AC151&gt;=2,OR(AB151&lt;V151,AB151&lt;P151)),EDATE(AB151,12*2),AND(AH151="K5-POLICY",AG151&lt;&gt;"นิติศาสตร์",Z151="S1",AC151&gt;=1,OR(AB151&lt;V151,AB151&lt;P151)),EDATE(AB151,12),AND(AH151="K5-POLICY",AG151&lt;&gt;"นิติศาสตร์",OR(T151="M2",T151="K4"),W151&gt;=2,V151&lt;P151),EDATE(V151,12*2),AND(AH151="K5-POLICY",AG151&lt;&gt;"นิติศาสตร์",T151="S1",W151&gt;=1,V151&lt;P151),EDATE(V151,12),AND(AH151="K5-POLICY",AG151&lt;&gt;"นิติศาสตร์",OR(T151="S2",T151="K5")),V151,AND(AH151="K5-POLICY",AG151&lt;&gt;"นิติศาสตร์",OR(K151="M2",K151="K4"),Q151&gt;=2),EDATE(P151,12*2),AND(AH151="K5-POLICY",AG151&lt;&gt;"นิติศาสตร์",K151="S1",Q151&gt;=1),EDATE(P151,12),AND(AH151="K5-POLICY",AG151&lt;&gt;"นิติศาสตร์",OR(K151="S2",K151="K5")),P151,TRUE,"Check Data")</f>
        <v/>
      </c>
      <c r="AJ151" s="75" t="str">
        <f t="shared" si="45"/>
        <v>Check Data</v>
      </c>
      <c r="AK151" s="76" t="str">
        <f t="shared" si="46"/>
        <v>Check Data</v>
      </c>
      <c r="AL151" s="50" t="str">
        <f t="shared" si="47"/>
        <v>Check Data</v>
      </c>
      <c r="AM151" s="49" t="str">
        <f>IF(B151="","",IF(K151="S1","S1",INDEX(#REF!,#REF!)))</f>
        <v/>
      </c>
      <c r="AN151" s="49" t="str">
        <f>K151</f>
        <v>M2</v>
      </c>
      <c r="AO151" s="50" t="b">
        <f>K151=AM151</f>
        <v>0</v>
      </c>
      <c r="AP151" s="50"/>
    </row>
    <row r="152" spans="1:42" ht="21.75">
      <c r="A152" s="49">
        <v>150</v>
      </c>
      <c r="B152" s="50"/>
      <c r="C152" s="50"/>
      <c r="D152" s="50" t="s">
        <v>142</v>
      </c>
      <c r="E152" s="49" t="s">
        <v>251</v>
      </c>
      <c r="F152" s="49" t="str">
        <f t="shared" si="32"/>
        <v>15/08/1997</v>
      </c>
      <c r="G152" s="50">
        <f t="shared" si="33"/>
        <v>27</v>
      </c>
      <c r="H152" s="50">
        <f t="shared" si="34"/>
        <v>10</v>
      </c>
      <c r="I152" s="50">
        <f t="shared" si="35"/>
        <v>5</v>
      </c>
      <c r="J152" s="58"/>
      <c r="K152" s="49" t="s">
        <v>136</v>
      </c>
      <c r="L152" s="64"/>
      <c r="M152" s="49" t="s">
        <v>427</v>
      </c>
      <c r="N152" s="49">
        <v>2572</v>
      </c>
      <c r="O152" s="65" t="s">
        <v>276</v>
      </c>
      <c r="P152" s="49" t="str">
        <f t="shared" si="36"/>
        <v>03/12/2021</v>
      </c>
      <c r="Q152" s="68">
        <f t="shared" si="37"/>
        <v>3</v>
      </c>
      <c r="R152" s="68">
        <f t="shared" si="38"/>
        <v>6</v>
      </c>
      <c r="S152" s="68">
        <f t="shared" si="39"/>
        <v>17</v>
      </c>
      <c r="T152" s="65"/>
      <c r="U152" s="65"/>
      <c r="V152" s="49" t="str">
        <f t="shared" si="40"/>
        <v/>
      </c>
      <c r="W152" s="68">
        <f>IF(V152="",0,DATEDIF(V152,P152,"Y"))</f>
        <v>0</v>
      </c>
      <c r="X152" s="68">
        <f>IF(V152="",0,DATEDIF(V152,P152,"YM"))</f>
        <v>0</v>
      </c>
      <c r="Y152" s="68">
        <f>IF(V152="",0,DATEDIF(V152,P152,"MD"))</f>
        <v>0</v>
      </c>
      <c r="Z152" s="49"/>
      <c r="AA152" s="65"/>
      <c r="AB152" s="50" t="str">
        <f t="shared" si="41"/>
        <v/>
      </c>
      <c r="AC152" s="68">
        <f t="shared" si="42"/>
        <v>0</v>
      </c>
      <c r="AD152" s="68">
        <f t="shared" si="43"/>
        <v>0</v>
      </c>
      <c r="AE152" s="68">
        <f t="shared" si="44"/>
        <v>0</v>
      </c>
      <c r="AF152" s="50"/>
      <c r="AG152" s="50" t="s">
        <v>172</v>
      </c>
      <c r="AH152" s="49" t="str">
        <f>IF(AG152="นิติศาสตร์","K5-LAW","K5-POLICY")</f>
        <v>K5-POLICY</v>
      </c>
      <c r="AI152" s="72" t="str">
        <f>_xlfn.IFS(B152="","",AND(AH152="K5-LAW",AG152="นิติศาสตร์",K152="S2",T152="",Z152=""),P152,AND(AH152="K5-LAW",AG152="นิติศาสตร์",K152="S1",T152="",Z152=""),EDATE(P152,12),AND(AH152="K5-LAW",AG152="นิติศาสตร์",OR(K152="M2",K152="K4"),T152="",Z152=""),EDATE(P152,12*2),AND(AH152="K5-LAW",AG152="นิติศาสตร์",OR(Z152="M2",Z152="K4"),AC152&gt;=2,OR(AB152&lt;V152,AB152&lt;P152)),EDATE(AB152,12*2),AND(AH152="K5-LAW",AG152="นิติศาสตร์",Z152="S1",AC152&gt;=1,OR(AB152&lt;V152,AB152&lt;P152)),EDATE(AB152,12),AND(AH152="K5-LAW",AG152="นิติศาสตร์",OR(T152="M2",T152="K4"),W152&gt;=2,V152&lt;P152),EDATE(V152,12*2),AND(AH152="K5-LAW",AG152="นิติศาสตร์",T152="S1",W152&gt;=1,V152&lt;P152),EDATE(V152,12),AND(AH152="K5-LAW",AG152="นิติศาสตร์",OR(T152="S2",T152="K5")),V152,AND(AH152="K5-LAW",AG152="นิติศาสตร์",OR(K152="M2",K152="K4"),Q152&gt;=2),EDATE(P152,12*2),AND(AH152="K5-LAW",AG152="นิติศาสตร์",K152="S1",Q152&gt;=1),EDATE(P152,12),AND(AH152="K5-LAW",AG152="นิติศาสตร์",OR(K152="S2",K152="K5")),P152,AND(AH152="K5-POLICY",AG152&lt;&gt;"นิติศาสตร์",K152="S2",T152="",Z152=""),P152,AND(AH152="K5-POLICY",AG152&lt;&gt;"นิติศาสตร์",K152="S1",T152="",Z152=""),EDATE(P152,12),AND(AH152="K5-POLICY",AG152&lt;&gt;"นิติศาสตร์",OR(K152="M2",K152="K4"),T152="",Z152=""),EDATE(P152,12*2),AND(AH152="K5-POLICY",AG152&lt;&gt;"นิติศาสตร์",OR(Z152="M2",Z152="K4"),AC152&gt;=2,OR(AB152&lt;V152,AB152&lt;P152)),EDATE(AB152,12*2),AND(AH152="K5-POLICY",AG152&lt;&gt;"นิติศาสตร์",Z152="S1",AC152&gt;=1,OR(AB152&lt;V152,AB152&lt;P152)),EDATE(AB152,12),AND(AH152="K5-POLICY",AG152&lt;&gt;"นิติศาสตร์",OR(T152="M2",T152="K4"),W152&gt;=2,V152&lt;P152),EDATE(V152,12*2),AND(AH152="K5-POLICY",AG152&lt;&gt;"นิติศาสตร์",T152="S1",W152&gt;=1,V152&lt;P152),EDATE(V152,12),AND(AH152="K5-POLICY",AG152&lt;&gt;"นิติศาสตร์",OR(T152="S2",T152="K5")),V152,AND(AH152="K5-POLICY",AG152&lt;&gt;"นิติศาสตร์",OR(K152="M2",K152="K4"),Q152&gt;=2),EDATE(P152,12*2),AND(AH152="K5-POLICY",AG152&lt;&gt;"นิติศาสตร์",K152="S1",Q152&gt;=1),EDATE(P152,12),AND(AH152="K5-POLICY",AG152&lt;&gt;"นิติศาสตร์",OR(K152="S2",K152="K5")),P152,TRUE,"Check Data")</f>
        <v/>
      </c>
      <c r="AJ152" s="75" t="str">
        <f t="shared" si="45"/>
        <v>Check Data</v>
      </c>
      <c r="AK152" s="76" t="str">
        <f t="shared" si="46"/>
        <v>Check Data</v>
      </c>
      <c r="AL152" s="50" t="str">
        <f t="shared" si="47"/>
        <v>Check Data</v>
      </c>
      <c r="AM152" s="49" t="str">
        <f>IF(B152="","",IF(K152="S1","S1",INDEX(#REF!,#REF!)))</f>
        <v/>
      </c>
      <c r="AN152" s="49" t="str">
        <f>K152</f>
        <v>M2</v>
      </c>
      <c r="AO152" s="50" t="b">
        <f>K152=AM152</f>
        <v>0</v>
      </c>
      <c r="AP152" s="50"/>
    </row>
    <row r="153" spans="1:42" ht="21.75">
      <c r="A153" s="49">
        <v>151</v>
      </c>
      <c r="B153" s="50"/>
      <c r="C153" s="50"/>
      <c r="D153" s="50" t="s">
        <v>144</v>
      </c>
      <c r="E153" s="49" t="s">
        <v>382</v>
      </c>
      <c r="F153" s="49" t="str">
        <f t="shared" si="32"/>
        <v>01/05/1989</v>
      </c>
      <c r="G153" s="50">
        <f t="shared" si="33"/>
        <v>36</v>
      </c>
      <c r="H153" s="50">
        <f t="shared" si="34"/>
        <v>1</v>
      </c>
      <c r="I153" s="50">
        <f t="shared" si="35"/>
        <v>19</v>
      </c>
      <c r="J153" s="59"/>
      <c r="K153" s="49" t="s">
        <v>136</v>
      </c>
      <c r="L153" s="64"/>
      <c r="M153" s="49" t="s">
        <v>425</v>
      </c>
      <c r="N153" s="49">
        <v>2573</v>
      </c>
      <c r="O153" s="65" t="s">
        <v>383</v>
      </c>
      <c r="P153" s="49" t="str">
        <f t="shared" si="36"/>
        <v>17/12/2021</v>
      </c>
      <c r="Q153" s="68">
        <f t="shared" si="37"/>
        <v>3</v>
      </c>
      <c r="R153" s="68">
        <f t="shared" si="38"/>
        <v>6</v>
      </c>
      <c r="S153" s="68">
        <f t="shared" si="39"/>
        <v>3</v>
      </c>
      <c r="T153" s="65"/>
      <c r="U153" s="65"/>
      <c r="V153" s="49" t="str">
        <f t="shared" si="40"/>
        <v/>
      </c>
      <c r="W153" s="68">
        <f>IF(V153="",0,DATEDIF(V153,P153,"Y"))</f>
        <v>0</v>
      </c>
      <c r="X153" s="68">
        <f>IF(V153="",0,DATEDIF(V153,P153,"YM"))</f>
        <v>0</v>
      </c>
      <c r="Y153" s="68">
        <f>IF(V153="",0,DATEDIF(V153,P153,"MD"))</f>
        <v>0</v>
      </c>
      <c r="Z153" s="49"/>
      <c r="AA153" s="65"/>
      <c r="AB153" s="50" t="str">
        <f t="shared" si="41"/>
        <v/>
      </c>
      <c r="AC153" s="68">
        <f t="shared" si="42"/>
        <v>0</v>
      </c>
      <c r="AD153" s="68">
        <f t="shared" si="43"/>
        <v>0</v>
      </c>
      <c r="AE153" s="68">
        <f t="shared" si="44"/>
        <v>0</v>
      </c>
      <c r="AF153" s="50"/>
      <c r="AG153" s="50" t="s">
        <v>172</v>
      </c>
      <c r="AH153" s="49" t="str">
        <f>IF(AG153="นิติศาสตร์","K5-LAW","K5-POLICY")</f>
        <v>K5-POLICY</v>
      </c>
      <c r="AI153" s="72" t="str">
        <f>_xlfn.IFS(B153="","",AND(AH153="K5-LAW",AG153="นิติศาสตร์",K153="S2",T153="",Z153=""),P153,AND(AH153="K5-LAW",AG153="นิติศาสตร์",K153="S1",T153="",Z153=""),EDATE(P153,12),AND(AH153="K5-LAW",AG153="นิติศาสตร์",OR(K153="M2",K153="K4"),T153="",Z153=""),EDATE(P153,12*2),AND(AH153="K5-LAW",AG153="นิติศาสตร์",OR(Z153="M2",Z153="K4"),AC153&gt;=2,OR(AB153&lt;V153,AB153&lt;P153)),EDATE(AB153,12*2),AND(AH153="K5-LAW",AG153="นิติศาสตร์",Z153="S1",AC153&gt;=1,OR(AB153&lt;V153,AB153&lt;P153)),EDATE(AB153,12),AND(AH153="K5-LAW",AG153="นิติศาสตร์",OR(T153="M2",T153="K4"),W153&gt;=2,V153&lt;P153),EDATE(V153,12*2),AND(AH153="K5-LAW",AG153="นิติศาสตร์",T153="S1",W153&gt;=1,V153&lt;P153),EDATE(V153,12),AND(AH153="K5-LAW",AG153="นิติศาสตร์",OR(T153="S2",T153="K5")),V153,AND(AH153="K5-LAW",AG153="นิติศาสตร์",OR(K153="M2",K153="K4"),Q153&gt;=2),EDATE(P153,12*2),AND(AH153="K5-LAW",AG153="นิติศาสตร์",K153="S1",Q153&gt;=1),EDATE(P153,12),AND(AH153="K5-LAW",AG153="นิติศาสตร์",OR(K153="S2",K153="K5")),P153,AND(AH153="K5-POLICY",AG153&lt;&gt;"นิติศาสตร์",K153="S2",T153="",Z153=""),P153,AND(AH153="K5-POLICY",AG153&lt;&gt;"นิติศาสตร์",K153="S1",T153="",Z153=""),EDATE(P153,12),AND(AH153="K5-POLICY",AG153&lt;&gt;"นิติศาสตร์",OR(K153="M2",K153="K4"),T153="",Z153=""),EDATE(P153,12*2),AND(AH153="K5-POLICY",AG153&lt;&gt;"นิติศาสตร์",OR(Z153="M2",Z153="K4"),AC153&gt;=2,OR(AB153&lt;V153,AB153&lt;P153)),EDATE(AB153,12*2),AND(AH153="K5-POLICY",AG153&lt;&gt;"นิติศาสตร์",Z153="S1",AC153&gt;=1,OR(AB153&lt;V153,AB153&lt;P153)),EDATE(AB153,12),AND(AH153="K5-POLICY",AG153&lt;&gt;"นิติศาสตร์",OR(T153="M2",T153="K4"),W153&gt;=2,V153&lt;P153),EDATE(V153,12*2),AND(AH153="K5-POLICY",AG153&lt;&gt;"นิติศาสตร์",T153="S1",W153&gt;=1,V153&lt;P153),EDATE(V153,12),AND(AH153="K5-POLICY",AG153&lt;&gt;"นิติศาสตร์",OR(T153="S2",T153="K5")),V153,AND(AH153="K5-POLICY",AG153&lt;&gt;"นิติศาสตร์",OR(K153="M2",K153="K4"),Q153&gt;=2),EDATE(P153,12*2),AND(AH153="K5-POLICY",AG153&lt;&gt;"นิติศาสตร์",K153="S1",Q153&gt;=1),EDATE(P153,12),AND(AH153="K5-POLICY",AG153&lt;&gt;"นิติศาสตร์",OR(K153="S2",K153="K5")),P153,TRUE,"Check Data")</f>
        <v/>
      </c>
      <c r="AJ153" s="75" t="str">
        <f t="shared" si="45"/>
        <v>Check Data</v>
      </c>
      <c r="AK153" s="76" t="str">
        <f t="shared" si="46"/>
        <v>Check Data</v>
      </c>
      <c r="AL153" s="50" t="str">
        <f t="shared" si="47"/>
        <v>Check Data</v>
      </c>
      <c r="AM153" s="49" t="str">
        <f>IF(B153="","",IF(K153="S1","S1",INDEX(#REF!,#REF!)))</f>
        <v/>
      </c>
      <c r="AN153" s="49" t="str">
        <f>K153</f>
        <v>M2</v>
      </c>
      <c r="AO153" s="50" t="b">
        <f>K153=AM153</f>
        <v>0</v>
      </c>
      <c r="AP153" s="50"/>
    </row>
    <row r="154" spans="1:42" ht="21.75">
      <c r="A154" s="49">
        <v>152</v>
      </c>
      <c r="B154" s="50"/>
      <c r="C154" s="50"/>
      <c r="D154" s="50" t="s">
        <v>144</v>
      </c>
      <c r="E154" s="49" t="s">
        <v>377</v>
      </c>
      <c r="F154" s="49" t="str">
        <f t="shared" si="32"/>
        <v>01/10/1993</v>
      </c>
      <c r="G154" s="50">
        <f t="shared" si="33"/>
        <v>31</v>
      </c>
      <c r="H154" s="50">
        <f t="shared" si="34"/>
        <v>8</v>
      </c>
      <c r="I154" s="50">
        <f t="shared" si="35"/>
        <v>19</v>
      </c>
      <c r="J154" s="57"/>
      <c r="K154" s="49" t="s">
        <v>136</v>
      </c>
      <c r="L154" s="64"/>
      <c r="M154" s="49" t="s">
        <v>427</v>
      </c>
      <c r="N154" s="49">
        <v>2568</v>
      </c>
      <c r="O154" s="65" t="s">
        <v>383</v>
      </c>
      <c r="P154" s="49" t="str">
        <f t="shared" si="36"/>
        <v>17/12/2021</v>
      </c>
      <c r="Q154" s="68">
        <f t="shared" si="37"/>
        <v>3</v>
      </c>
      <c r="R154" s="68">
        <f t="shared" si="38"/>
        <v>6</v>
      </c>
      <c r="S154" s="68">
        <f t="shared" si="39"/>
        <v>3</v>
      </c>
      <c r="T154" s="65"/>
      <c r="U154" s="65"/>
      <c r="V154" s="49" t="str">
        <f t="shared" si="40"/>
        <v/>
      </c>
      <c r="W154" s="68">
        <f>IF(V154="",0,DATEDIF(V154,P154,"Y"))</f>
        <v>0</v>
      </c>
      <c r="X154" s="68">
        <f>IF(V154="",0,DATEDIF(V154,P154,"YM"))</f>
        <v>0</v>
      </c>
      <c r="Y154" s="68">
        <f>IF(V154="",0,DATEDIF(V154,P154,"MD"))</f>
        <v>0</v>
      </c>
      <c r="Z154" s="49"/>
      <c r="AA154" s="65"/>
      <c r="AB154" s="50" t="str">
        <f t="shared" si="41"/>
        <v/>
      </c>
      <c r="AC154" s="68">
        <f t="shared" si="42"/>
        <v>0</v>
      </c>
      <c r="AD154" s="68">
        <f t="shared" si="43"/>
        <v>0</v>
      </c>
      <c r="AE154" s="68">
        <f t="shared" si="44"/>
        <v>0</v>
      </c>
      <c r="AF154" s="50"/>
      <c r="AG154" s="50" t="s">
        <v>138</v>
      </c>
      <c r="AH154" s="49" t="str">
        <f>IF(AG154="นิติศาสตร์","K5-LAW","K5-POLICY")</f>
        <v>K5-LAW</v>
      </c>
      <c r="AI154" s="72" t="str">
        <f>_xlfn.IFS(B154="","",AND(AH154="K5-LAW",AG154="นิติศาสตร์",K154="S2",T154="",Z154=""),P154,AND(AH154="K5-LAW",AG154="นิติศาสตร์",K154="S1",T154="",Z154=""),EDATE(P154,12),AND(AH154="K5-LAW",AG154="นิติศาสตร์",OR(K154="M2",K154="K4"),T154="",Z154=""),EDATE(P154,12*2),AND(AH154="K5-LAW",AG154="นิติศาสตร์",OR(Z154="M2",Z154="K4"),AC154&gt;=2,OR(AB154&lt;V154,AB154&lt;P154)),EDATE(AB154,12*2),AND(AH154="K5-LAW",AG154="นิติศาสตร์",Z154="S1",AC154&gt;=1,OR(AB154&lt;V154,AB154&lt;P154)),EDATE(AB154,12),AND(AH154="K5-LAW",AG154="นิติศาสตร์",OR(T154="M2",T154="K4"),W154&gt;=2,V154&lt;P154),EDATE(V154,12*2),AND(AH154="K5-LAW",AG154="นิติศาสตร์",T154="S1",W154&gt;=1,V154&lt;P154),EDATE(V154,12),AND(AH154="K5-LAW",AG154="นิติศาสตร์",OR(T154="S2",T154="K5")),V154,AND(AH154="K5-LAW",AG154="นิติศาสตร์",OR(K154="M2",K154="K4"),Q154&gt;=2),EDATE(P154,12*2),AND(AH154="K5-LAW",AG154="นิติศาสตร์",K154="S1",Q154&gt;=1),EDATE(P154,12),AND(AH154="K5-LAW",AG154="นิติศาสตร์",OR(K154="S2",K154="K5")),P154,AND(AH154="K5-POLICY",AG154&lt;&gt;"นิติศาสตร์",K154="S2",T154="",Z154=""),P154,AND(AH154="K5-POLICY",AG154&lt;&gt;"นิติศาสตร์",K154="S1",T154="",Z154=""),EDATE(P154,12),AND(AH154="K5-POLICY",AG154&lt;&gt;"นิติศาสตร์",OR(K154="M2",K154="K4"),T154="",Z154=""),EDATE(P154,12*2),AND(AH154="K5-POLICY",AG154&lt;&gt;"นิติศาสตร์",OR(Z154="M2",Z154="K4"),AC154&gt;=2,OR(AB154&lt;V154,AB154&lt;P154)),EDATE(AB154,12*2),AND(AH154="K5-POLICY",AG154&lt;&gt;"นิติศาสตร์",Z154="S1",AC154&gt;=1,OR(AB154&lt;V154,AB154&lt;P154)),EDATE(AB154,12),AND(AH154="K5-POLICY",AG154&lt;&gt;"นิติศาสตร์",OR(T154="M2",T154="K4"),W154&gt;=2,V154&lt;P154),EDATE(V154,12*2),AND(AH154="K5-POLICY",AG154&lt;&gt;"นิติศาสตร์",T154="S1",W154&gt;=1,V154&lt;P154),EDATE(V154,12),AND(AH154="K5-POLICY",AG154&lt;&gt;"นิติศาสตร์",OR(T154="S2",T154="K5")),V154,AND(AH154="K5-POLICY",AG154&lt;&gt;"นิติศาสตร์",OR(K154="M2",K154="K4"),Q154&gt;=2),EDATE(P154,12*2),AND(AH154="K5-POLICY",AG154&lt;&gt;"นิติศาสตร์",K154="S1",Q154&gt;=1),EDATE(P154,12),AND(AH154="K5-POLICY",AG154&lt;&gt;"นิติศาสตร์",OR(K154="S2",K154="K5")),P154,TRUE,"Check Data")</f>
        <v/>
      </c>
      <c r="AJ154" s="75" t="str">
        <f t="shared" si="45"/>
        <v>Check Data</v>
      </c>
      <c r="AK154" s="76" t="str">
        <f t="shared" si="46"/>
        <v>Check Data</v>
      </c>
      <c r="AL154" s="50" t="str">
        <f t="shared" si="47"/>
        <v>Check Data</v>
      </c>
      <c r="AM154" s="49" t="str">
        <f>IF(B154="","",IF(K154="S1","S1",INDEX(#REF!,#REF!)))</f>
        <v/>
      </c>
      <c r="AN154" s="49" t="str">
        <f>K154</f>
        <v>M2</v>
      </c>
      <c r="AO154" s="50" t="b">
        <f>K154=AM154</f>
        <v>0</v>
      </c>
      <c r="AP154" s="50"/>
    </row>
    <row r="155" spans="1:42" ht="21.75">
      <c r="A155" s="49">
        <v>153</v>
      </c>
      <c r="B155" s="50"/>
      <c r="C155" s="50"/>
      <c r="D155" s="50" t="s">
        <v>139</v>
      </c>
      <c r="E155" s="49" t="s">
        <v>187</v>
      </c>
      <c r="F155" s="49" t="str">
        <f t="shared" si="32"/>
        <v>01/08/1990</v>
      </c>
      <c r="G155" s="50">
        <f t="shared" si="33"/>
        <v>34</v>
      </c>
      <c r="H155" s="50">
        <f t="shared" si="34"/>
        <v>10</v>
      </c>
      <c r="I155" s="50">
        <f t="shared" si="35"/>
        <v>19</v>
      </c>
      <c r="J155" s="56"/>
      <c r="K155" s="49" t="s">
        <v>136</v>
      </c>
      <c r="L155" s="64"/>
      <c r="M155" s="49" t="s">
        <v>425</v>
      </c>
      <c r="N155" s="49">
        <v>2569</v>
      </c>
      <c r="O155" s="65" t="s">
        <v>214</v>
      </c>
      <c r="P155" s="49" t="str">
        <f t="shared" si="36"/>
        <v>06/01/2022</v>
      </c>
      <c r="Q155" s="68">
        <f t="shared" si="37"/>
        <v>3</v>
      </c>
      <c r="R155" s="68">
        <f t="shared" si="38"/>
        <v>5</v>
      </c>
      <c r="S155" s="68">
        <f t="shared" si="39"/>
        <v>14</v>
      </c>
      <c r="T155" s="65"/>
      <c r="U155" s="65"/>
      <c r="V155" s="49" t="str">
        <f t="shared" si="40"/>
        <v/>
      </c>
      <c r="W155" s="68">
        <f>IF(V155="",0,DATEDIF(V155,P155,"Y"))</f>
        <v>0</v>
      </c>
      <c r="X155" s="68">
        <f>IF(V155="",0,DATEDIF(V155,P155,"YM"))</f>
        <v>0</v>
      </c>
      <c r="Y155" s="68">
        <f>IF(V155="",0,DATEDIF(V155,P155,"MD"))</f>
        <v>0</v>
      </c>
      <c r="Z155" s="49"/>
      <c r="AA155" s="65"/>
      <c r="AB155" s="50" t="str">
        <f t="shared" si="41"/>
        <v/>
      </c>
      <c r="AC155" s="68">
        <f t="shared" si="42"/>
        <v>0</v>
      </c>
      <c r="AD155" s="68">
        <f t="shared" si="43"/>
        <v>0</v>
      </c>
      <c r="AE155" s="68">
        <f t="shared" si="44"/>
        <v>0</v>
      </c>
      <c r="AF155" s="50"/>
      <c r="AG155" s="50" t="s">
        <v>167</v>
      </c>
      <c r="AH155" s="49" t="str">
        <f>IF(AG155="นิติศาสตร์","K5-LAW","K5-POLICY")</f>
        <v>K5-POLICY</v>
      </c>
      <c r="AI155" s="72" t="str">
        <f>_xlfn.IFS(B155="","",AND(AH155="K5-LAW",AG155="นิติศาสตร์",K155="S2",T155="",Z155=""),P155,AND(AH155="K5-LAW",AG155="นิติศาสตร์",K155="S1",T155="",Z155=""),EDATE(P155,12),AND(AH155="K5-LAW",AG155="นิติศาสตร์",OR(K155="M2",K155="K4"),T155="",Z155=""),EDATE(P155,12*2),AND(AH155="K5-LAW",AG155="นิติศาสตร์",OR(Z155="M2",Z155="K4"),AC155&gt;=2,OR(AB155&lt;V155,AB155&lt;P155)),EDATE(AB155,12*2),AND(AH155="K5-LAW",AG155="นิติศาสตร์",Z155="S1",AC155&gt;=1,OR(AB155&lt;V155,AB155&lt;P155)),EDATE(AB155,12),AND(AH155="K5-LAW",AG155="นิติศาสตร์",OR(T155="M2",T155="K4"),W155&gt;=2,V155&lt;P155),EDATE(V155,12*2),AND(AH155="K5-LAW",AG155="นิติศาสตร์",T155="S1",W155&gt;=1,V155&lt;P155),EDATE(V155,12),AND(AH155="K5-LAW",AG155="นิติศาสตร์",OR(T155="S2",T155="K5")),V155,AND(AH155="K5-LAW",AG155="นิติศาสตร์",OR(K155="M2",K155="K4"),Q155&gt;=2),EDATE(P155,12*2),AND(AH155="K5-LAW",AG155="นิติศาสตร์",K155="S1",Q155&gt;=1),EDATE(P155,12),AND(AH155="K5-LAW",AG155="นิติศาสตร์",OR(K155="S2",K155="K5")),P155,AND(AH155="K5-POLICY",AG155&lt;&gt;"นิติศาสตร์",K155="S2",T155="",Z155=""),P155,AND(AH155="K5-POLICY",AG155&lt;&gt;"นิติศาสตร์",K155="S1",T155="",Z155=""),EDATE(P155,12),AND(AH155="K5-POLICY",AG155&lt;&gt;"นิติศาสตร์",OR(K155="M2",K155="K4"),T155="",Z155=""),EDATE(P155,12*2),AND(AH155="K5-POLICY",AG155&lt;&gt;"นิติศาสตร์",OR(Z155="M2",Z155="K4"),AC155&gt;=2,OR(AB155&lt;V155,AB155&lt;P155)),EDATE(AB155,12*2),AND(AH155="K5-POLICY",AG155&lt;&gt;"นิติศาสตร์",Z155="S1",AC155&gt;=1,OR(AB155&lt;V155,AB155&lt;P155)),EDATE(AB155,12),AND(AH155="K5-POLICY",AG155&lt;&gt;"นิติศาสตร์",OR(T155="M2",T155="K4"),W155&gt;=2,V155&lt;P155),EDATE(V155,12*2),AND(AH155="K5-POLICY",AG155&lt;&gt;"นิติศาสตร์",T155="S1",W155&gt;=1,V155&lt;P155),EDATE(V155,12),AND(AH155="K5-POLICY",AG155&lt;&gt;"นิติศาสตร์",OR(T155="S2",T155="K5")),V155,AND(AH155="K5-POLICY",AG155&lt;&gt;"นิติศาสตร์",OR(K155="M2",K155="K4"),Q155&gt;=2),EDATE(P155,12*2),AND(AH155="K5-POLICY",AG155&lt;&gt;"นิติศาสตร์",K155="S1",Q155&gt;=1),EDATE(P155,12),AND(AH155="K5-POLICY",AG155&lt;&gt;"นิติศาสตร์",OR(K155="S2",K155="K5")),P155,TRUE,"Check Data")</f>
        <v/>
      </c>
      <c r="AJ155" s="75" t="str">
        <f t="shared" si="45"/>
        <v>Check Data</v>
      </c>
      <c r="AK155" s="76" t="str">
        <f t="shared" si="46"/>
        <v>Check Data</v>
      </c>
      <c r="AL155" s="50" t="str">
        <f t="shared" si="47"/>
        <v>Check Data</v>
      </c>
      <c r="AM155" s="49" t="str">
        <f>IF(B155="","",IF(K155="S1","S1",INDEX(#REF!,#REF!)))</f>
        <v/>
      </c>
      <c r="AN155" s="49" t="str">
        <f>K155</f>
        <v>M2</v>
      </c>
      <c r="AO155" s="50" t="b">
        <f>K155=AM155</f>
        <v>0</v>
      </c>
      <c r="AP155" s="50"/>
    </row>
    <row r="156" spans="1:42" ht="21.75">
      <c r="A156" s="49">
        <v>154</v>
      </c>
      <c r="B156" s="50"/>
      <c r="C156" s="50"/>
      <c r="D156" s="50" t="s">
        <v>139</v>
      </c>
      <c r="E156" s="49" t="s">
        <v>208</v>
      </c>
      <c r="F156" s="49" t="str">
        <f t="shared" si="32"/>
        <v>01/02/1990</v>
      </c>
      <c r="G156" s="50">
        <f t="shared" si="33"/>
        <v>35</v>
      </c>
      <c r="H156" s="50">
        <f t="shared" si="34"/>
        <v>4</v>
      </c>
      <c r="I156" s="50">
        <f t="shared" si="35"/>
        <v>19</v>
      </c>
      <c r="J156" s="56"/>
      <c r="K156" s="49" t="s">
        <v>136</v>
      </c>
      <c r="L156" s="64"/>
      <c r="M156" s="49" t="s">
        <v>427</v>
      </c>
      <c r="N156" s="49">
        <v>2571</v>
      </c>
      <c r="O156" s="65" t="s">
        <v>214</v>
      </c>
      <c r="P156" s="49" t="str">
        <f t="shared" si="36"/>
        <v>06/01/2022</v>
      </c>
      <c r="Q156" s="68">
        <f t="shared" si="37"/>
        <v>3</v>
      </c>
      <c r="R156" s="68">
        <f t="shared" si="38"/>
        <v>5</v>
      </c>
      <c r="S156" s="68">
        <f t="shared" si="39"/>
        <v>14</v>
      </c>
      <c r="T156" s="65"/>
      <c r="U156" s="65"/>
      <c r="V156" s="49" t="str">
        <f t="shared" si="40"/>
        <v/>
      </c>
      <c r="W156" s="68">
        <f>IF(V156="",0,DATEDIF(V156,P156,"Y"))</f>
        <v>0</v>
      </c>
      <c r="X156" s="68">
        <f>IF(V156="",0,DATEDIF(V156,P156,"YM"))</f>
        <v>0</v>
      </c>
      <c r="Y156" s="68">
        <f>IF(V156="",0,DATEDIF(V156,P156,"MD"))</f>
        <v>0</v>
      </c>
      <c r="Z156" s="49"/>
      <c r="AA156" s="65"/>
      <c r="AB156" s="50" t="str">
        <f t="shared" si="41"/>
        <v/>
      </c>
      <c r="AC156" s="68">
        <f t="shared" si="42"/>
        <v>0</v>
      </c>
      <c r="AD156" s="68">
        <f t="shared" si="43"/>
        <v>0</v>
      </c>
      <c r="AE156" s="68">
        <f t="shared" si="44"/>
        <v>0</v>
      </c>
      <c r="AF156" s="50"/>
      <c r="AG156" s="50" t="s">
        <v>169</v>
      </c>
      <c r="AH156" s="49" t="str">
        <f>IF(AG156="นิติศาสตร์","K5-LAW","K5-POLICY")</f>
        <v>K5-POLICY</v>
      </c>
      <c r="AI156" s="72" t="str">
        <f>_xlfn.IFS(B156="","",AND(AH156="K5-LAW",AG156="นิติศาสตร์",K156="S2",T156="",Z156=""),P156,AND(AH156="K5-LAW",AG156="นิติศาสตร์",K156="S1",T156="",Z156=""),EDATE(P156,12),AND(AH156="K5-LAW",AG156="นิติศาสตร์",OR(K156="M2",K156="K4"),T156="",Z156=""),EDATE(P156,12*2),AND(AH156="K5-LAW",AG156="นิติศาสตร์",OR(Z156="M2",Z156="K4"),AC156&gt;=2,OR(AB156&lt;V156,AB156&lt;P156)),EDATE(AB156,12*2),AND(AH156="K5-LAW",AG156="นิติศาสตร์",Z156="S1",AC156&gt;=1,OR(AB156&lt;V156,AB156&lt;P156)),EDATE(AB156,12),AND(AH156="K5-LAW",AG156="นิติศาสตร์",OR(T156="M2",T156="K4"),W156&gt;=2,V156&lt;P156),EDATE(V156,12*2),AND(AH156="K5-LAW",AG156="นิติศาสตร์",T156="S1",W156&gt;=1,V156&lt;P156),EDATE(V156,12),AND(AH156="K5-LAW",AG156="นิติศาสตร์",OR(T156="S2",T156="K5")),V156,AND(AH156="K5-LAW",AG156="นิติศาสตร์",OR(K156="M2",K156="K4"),Q156&gt;=2),EDATE(P156,12*2),AND(AH156="K5-LAW",AG156="นิติศาสตร์",K156="S1",Q156&gt;=1),EDATE(P156,12),AND(AH156="K5-LAW",AG156="นิติศาสตร์",OR(K156="S2",K156="K5")),P156,AND(AH156="K5-POLICY",AG156&lt;&gt;"นิติศาสตร์",K156="S2",T156="",Z156=""),P156,AND(AH156="K5-POLICY",AG156&lt;&gt;"นิติศาสตร์",K156="S1",T156="",Z156=""),EDATE(P156,12),AND(AH156="K5-POLICY",AG156&lt;&gt;"นิติศาสตร์",OR(K156="M2",K156="K4"),T156="",Z156=""),EDATE(P156,12*2),AND(AH156="K5-POLICY",AG156&lt;&gt;"นิติศาสตร์",OR(Z156="M2",Z156="K4"),AC156&gt;=2,OR(AB156&lt;V156,AB156&lt;P156)),EDATE(AB156,12*2),AND(AH156="K5-POLICY",AG156&lt;&gt;"นิติศาสตร์",Z156="S1",AC156&gt;=1,OR(AB156&lt;V156,AB156&lt;P156)),EDATE(AB156,12),AND(AH156="K5-POLICY",AG156&lt;&gt;"นิติศาสตร์",OR(T156="M2",T156="K4"),W156&gt;=2,V156&lt;P156),EDATE(V156,12*2),AND(AH156="K5-POLICY",AG156&lt;&gt;"นิติศาสตร์",T156="S1",W156&gt;=1,V156&lt;P156),EDATE(V156,12),AND(AH156="K5-POLICY",AG156&lt;&gt;"นิติศาสตร์",OR(T156="S2",T156="K5")),V156,AND(AH156="K5-POLICY",AG156&lt;&gt;"นิติศาสตร์",OR(K156="M2",K156="K4"),Q156&gt;=2),EDATE(P156,12*2),AND(AH156="K5-POLICY",AG156&lt;&gt;"นิติศาสตร์",K156="S1",Q156&gt;=1),EDATE(P156,12),AND(AH156="K5-POLICY",AG156&lt;&gt;"นิติศาสตร์",OR(K156="S2",K156="K5")),P156,TRUE,"Check Data")</f>
        <v/>
      </c>
      <c r="AJ156" s="75" t="str">
        <f t="shared" si="45"/>
        <v>Check Data</v>
      </c>
      <c r="AK156" s="76" t="str">
        <f t="shared" si="46"/>
        <v>Check Data</v>
      </c>
      <c r="AL156" s="50" t="str">
        <f t="shared" si="47"/>
        <v>Check Data</v>
      </c>
      <c r="AM156" s="49" t="str">
        <f>IF(B156="","",IF(K156="S1","S1",INDEX(#REF!,#REF!)))</f>
        <v/>
      </c>
      <c r="AN156" s="49" t="str">
        <f>K156</f>
        <v>M2</v>
      </c>
      <c r="AO156" s="50" t="b">
        <f>K156=AM156</f>
        <v>0</v>
      </c>
      <c r="AP156" s="50"/>
    </row>
    <row r="157" spans="1:42" ht="21.75">
      <c r="A157" s="49">
        <v>155</v>
      </c>
      <c r="B157" s="50"/>
      <c r="C157" s="50"/>
      <c r="D157" s="50" t="s">
        <v>139</v>
      </c>
      <c r="E157" s="49" t="s">
        <v>230</v>
      </c>
      <c r="F157" s="49" t="str">
        <f t="shared" si="32"/>
        <v>03/11/1997</v>
      </c>
      <c r="G157" s="50">
        <f t="shared" si="33"/>
        <v>27</v>
      </c>
      <c r="H157" s="50">
        <f t="shared" si="34"/>
        <v>7</v>
      </c>
      <c r="I157" s="50">
        <f t="shared" si="35"/>
        <v>17</v>
      </c>
      <c r="J157" s="56"/>
      <c r="K157" s="49" t="s">
        <v>136</v>
      </c>
      <c r="L157" s="64"/>
      <c r="M157" s="49" t="s">
        <v>427</v>
      </c>
      <c r="N157" s="49">
        <v>2576</v>
      </c>
      <c r="O157" s="65" t="s">
        <v>214</v>
      </c>
      <c r="P157" s="49" t="str">
        <f t="shared" si="36"/>
        <v>06/01/2022</v>
      </c>
      <c r="Q157" s="68">
        <f t="shared" si="37"/>
        <v>3</v>
      </c>
      <c r="R157" s="68">
        <f t="shared" si="38"/>
        <v>5</v>
      </c>
      <c r="S157" s="68">
        <f t="shared" si="39"/>
        <v>14</v>
      </c>
      <c r="T157" s="65"/>
      <c r="U157" s="65"/>
      <c r="V157" s="49" t="str">
        <f t="shared" si="40"/>
        <v/>
      </c>
      <c r="W157" s="68">
        <f>IF(V157="",0,DATEDIF(V157,P157,"Y"))</f>
        <v>0</v>
      </c>
      <c r="X157" s="68">
        <f>IF(V157="",0,DATEDIF(V157,P157,"YM"))</f>
        <v>0</v>
      </c>
      <c r="Y157" s="68">
        <f>IF(V157="",0,DATEDIF(V157,P157,"MD"))</f>
        <v>0</v>
      </c>
      <c r="Z157" s="49"/>
      <c r="AA157" s="65"/>
      <c r="AB157" s="50" t="str">
        <f t="shared" si="41"/>
        <v/>
      </c>
      <c r="AC157" s="68">
        <f t="shared" si="42"/>
        <v>0</v>
      </c>
      <c r="AD157" s="68">
        <f t="shared" si="43"/>
        <v>0</v>
      </c>
      <c r="AE157" s="68">
        <f t="shared" si="44"/>
        <v>0</v>
      </c>
      <c r="AF157" s="50"/>
      <c r="AG157" s="50" t="s">
        <v>172</v>
      </c>
      <c r="AH157" s="49" t="str">
        <f>IF(AG157="นิติศาสตร์","K5-LAW","K5-POLICY")</f>
        <v>K5-POLICY</v>
      </c>
      <c r="AI157" s="72" t="str">
        <f>_xlfn.IFS(B157="","",AND(AH157="K5-LAW",AG157="นิติศาสตร์",K157="S2",T157="",Z157=""),P157,AND(AH157="K5-LAW",AG157="นิติศาสตร์",K157="S1",T157="",Z157=""),EDATE(P157,12),AND(AH157="K5-LAW",AG157="นิติศาสตร์",OR(K157="M2",K157="K4"),T157="",Z157=""),EDATE(P157,12*2),AND(AH157="K5-LAW",AG157="นิติศาสตร์",OR(Z157="M2",Z157="K4"),AC157&gt;=2,OR(AB157&lt;V157,AB157&lt;P157)),EDATE(AB157,12*2),AND(AH157="K5-LAW",AG157="นิติศาสตร์",Z157="S1",AC157&gt;=1,OR(AB157&lt;V157,AB157&lt;P157)),EDATE(AB157,12),AND(AH157="K5-LAW",AG157="นิติศาสตร์",OR(T157="M2",T157="K4"),W157&gt;=2,V157&lt;P157),EDATE(V157,12*2),AND(AH157="K5-LAW",AG157="นิติศาสตร์",T157="S1",W157&gt;=1,V157&lt;P157),EDATE(V157,12),AND(AH157="K5-LAW",AG157="นิติศาสตร์",OR(T157="S2",T157="K5")),V157,AND(AH157="K5-LAW",AG157="นิติศาสตร์",OR(K157="M2",K157="K4"),Q157&gt;=2),EDATE(P157,12*2),AND(AH157="K5-LAW",AG157="นิติศาสตร์",K157="S1",Q157&gt;=1),EDATE(P157,12),AND(AH157="K5-LAW",AG157="นิติศาสตร์",OR(K157="S2",K157="K5")),P157,AND(AH157="K5-POLICY",AG157&lt;&gt;"นิติศาสตร์",K157="S2",T157="",Z157=""),P157,AND(AH157="K5-POLICY",AG157&lt;&gt;"นิติศาสตร์",K157="S1",T157="",Z157=""),EDATE(P157,12),AND(AH157="K5-POLICY",AG157&lt;&gt;"นิติศาสตร์",OR(K157="M2",K157="K4"),T157="",Z157=""),EDATE(P157,12*2),AND(AH157="K5-POLICY",AG157&lt;&gt;"นิติศาสตร์",OR(Z157="M2",Z157="K4"),AC157&gt;=2,OR(AB157&lt;V157,AB157&lt;P157)),EDATE(AB157,12*2),AND(AH157="K5-POLICY",AG157&lt;&gt;"นิติศาสตร์",Z157="S1",AC157&gt;=1,OR(AB157&lt;V157,AB157&lt;P157)),EDATE(AB157,12),AND(AH157="K5-POLICY",AG157&lt;&gt;"นิติศาสตร์",OR(T157="M2",T157="K4"),W157&gt;=2,V157&lt;P157),EDATE(V157,12*2),AND(AH157="K5-POLICY",AG157&lt;&gt;"นิติศาสตร์",T157="S1",W157&gt;=1,V157&lt;P157),EDATE(V157,12),AND(AH157="K5-POLICY",AG157&lt;&gt;"นิติศาสตร์",OR(T157="S2",T157="K5")),V157,AND(AH157="K5-POLICY",AG157&lt;&gt;"นิติศาสตร์",OR(K157="M2",K157="K4"),Q157&gt;=2),EDATE(P157,12*2),AND(AH157="K5-POLICY",AG157&lt;&gt;"นิติศาสตร์",K157="S1",Q157&gt;=1),EDATE(P157,12),AND(AH157="K5-POLICY",AG157&lt;&gt;"นิติศาสตร์",OR(K157="S2",K157="K5")),P157,TRUE,"Check Data")</f>
        <v/>
      </c>
      <c r="AJ157" s="75" t="str">
        <f t="shared" si="45"/>
        <v>Check Data</v>
      </c>
      <c r="AK157" s="76" t="str">
        <f t="shared" si="46"/>
        <v>Check Data</v>
      </c>
      <c r="AL157" s="50" t="str">
        <f t="shared" si="47"/>
        <v>Check Data</v>
      </c>
      <c r="AM157" s="49" t="str">
        <f>IF(B157="","",IF(K157="S1","S1",INDEX(#REF!,#REF!)))</f>
        <v/>
      </c>
      <c r="AN157" s="49" t="str">
        <f>K157</f>
        <v>M2</v>
      </c>
      <c r="AO157" s="50" t="b">
        <f>K157=AM157</f>
        <v>0</v>
      </c>
      <c r="AP157" s="50"/>
    </row>
    <row r="158" spans="1:42" ht="21.75">
      <c r="A158" s="49">
        <v>156</v>
      </c>
      <c r="B158" s="50"/>
      <c r="C158" s="50"/>
      <c r="D158" s="50" t="s">
        <v>143</v>
      </c>
      <c r="E158" s="49" t="s">
        <v>356</v>
      </c>
      <c r="F158" s="49" t="str">
        <f t="shared" si="32"/>
        <v>15/05/1992</v>
      </c>
      <c r="G158" s="50">
        <f t="shared" si="33"/>
        <v>33</v>
      </c>
      <c r="H158" s="50">
        <f t="shared" si="34"/>
        <v>1</v>
      </c>
      <c r="I158" s="50">
        <f t="shared" si="35"/>
        <v>5</v>
      </c>
      <c r="J158" s="59"/>
      <c r="K158" s="49" t="s">
        <v>136</v>
      </c>
      <c r="L158" s="64"/>
      <c r="M158" s="49" t="s">
        <v>427</v>
      </c>
      <c r="N158" s="49">
        <v>2575</v>
      </c>
      <c r="O158" s="65" t="s">
        <v>214</v>
      </c>
      <c r="P158" s="49" t="str">
        <f t="shared" si="36"/>
        <v>06/01/2022</v>
      </c>
      <c r="Q158" s="68">
        <f t="shared" si="37"/>
        <v>3</v>
      </c>
      <c r="R158" s="68">
        <f t="shared" si="38"/>
        <v>5</v>
      </c>
      <c r="S158" s="68">
        <f t="shared" si="39"/>
        <v>14</v>
      </c>
      <c r="T158" s="65"/>
      <c r="U158" s="65"/>
      <c r="V158" s="49" t="str">
        <f t="shared" si="40"/>
        <v/>
      </c>
      <c r="W158" s="68">
        <f>IF(V158="",0,DATEDIF(V158,P158,"Y"))</f>
        <v>0</v>
      </c>
      <c r="X158" s="68">
        <f>IF(V158="",0,DATEDIF(V158,P158,"YM"))</f>
        <v>0</v>
      </c>
      <c r="Y158" s="68">
        <f>IF(V158="",0,DATEDIF(V158,P158,"MD"))</f>
        <v>0</v>
      </c>
      <c r="Z158" s="49"/>
      <c r="AA158" s="65"/>
      <c r="AB158" s="50" t="str">
        <f t="shared" si="41"/>
        <v/>
      </c>
      <c r="AC158" s="68">
        <f t="shared" si="42"/>
        <v>0</v>
      </c>
      <c r="AD158" s="68">
        <f t="shared" si="43"/>
        <v>0</v>
      </c>
      <c r="AE158" s="68">
        <f t="shared" si="44"/>
        <v>0</v>
      </c>
      <c r="AF158" s="50"/>
      <c r="AG158" s="50" t="s">
        <v>486</v>
      </c>
      <c r="AH158" s="49" t="str">
        <f>IF(AG158="นิติศาสตร์","K5-LAW","K5-POLICY")</f>
        <v>K5-POLICY</v>
      </c>
      <c r="AI158" s="72" t="str">
        <f>_xlfn.IFS(B158="","",AND(AH158="K5-LAW",AG158="นิติศาสตร์",K158="S2",T158="",Z158=""),P158,AND(AH158="K5-LAW",AG158="นิติศาสตร์",K158="S1",T158="",Z158=""),EDATE(P158,12),AND(AH158="K5-LAW",AG158="นิติศาสตร์",OR(K158="M2",K158="K4"),T158="",Z158=""),EDATE(P158,12*2),AND(AH158="K5-LAW",AG158="นิติศาสตร์",OR(Z158="M2",Z158="K4"),AC158&gt;=2,OR(AB158&lt;V158,AB158&lt;P158)),EDATE(AB158,12*2),AND(AH158="K5-LAW",AG158="นิติศาสตร์",Z158="S1",AC158&gt;=1,OR(AB158&lt;V158,AB158&lt;P158)),EDATE(AB158,12),AND(AH158="K5-LAW",AG158="นิติศาสตร์",OR(T158="M2",T158="K4"),W158&gt;=2,V158&lt;P158),EDATE(V158,12*2),AND(AH158="K5-LAW",AG158="นิติศาสตร์",T158="S1",W158&gt;=1,V158&lt;P158),EDATE(V158,12),AND(AH158="K5-LAW",AG158="นิติศาสตร์",OR(T158="S2",T158="K5")),V158,AND(AH158="K5-LAW",AG158="นิติศาสตร์",OR(K158="M2",K158="K4"),Q158&gt;=2),EDATE(P158,12*2),AND(AH158="K5-LAW",AG158="นิติศาสตร์",K158="S1",Q158&gt;=1),EDATE(P158,12),AND(AH158="K5-LAW",AG158="นิติศาสตร์",OR(K158="S2",K158="K5")),P158,AND(AH158="K5-POLICY",AG158&lt;&gt;"นิติศาสตร์",K158="S2",T158="",Z158=""),P158,AND(AH158="K5-POLICY",AG158&lt;&gt;"นิติศาสตร์",K158="S1",T158="",Z158=""),EDATE(P158,12),AND(AH158="K5-POLICY",AG158&lt;&gt;"นิติศาสตร์",OR(K158="M2",K158="K4"),T158="",Z158=""),EDATE(P158,12*2),AND(AH158="K5-POLICY",AG158&lt;&gt;"นิติศาสตร์",OR(Z158="M2",Z158="K4"),AC158&gt;=2,OR(AB158&lt;V158,AB158&lt;P158)),EDATE(AB158,12*2),AND(AH158="K5-POLICY",AG158&lt;&gt;"นิติศาสตร์",Z158="S1",AC158&gt;=1,OR(AB158&lt;V158,AB158&lt;P158)),EDATE(AB158,12),AND(AH158="K5-POLICY",AG158&lt;&gt;"นิติศาสตร์",OR(T158="M2",T158="K4"),W158&gt;=2,V158&lt;P158),EDATE(V158,12*2),AND(AH158="K5-POLICY",AG158&lt;&gt;"นิติศาสตร์",T158="S1",W158&gt;=1,V158&lt;P158),EDATE(V158,12),AND(AH158="K5-POLICY",AG158&lt;&gt;"นิติศาสตร์",OR(T158="S2",T158="K5")),V158,AND(AH158="K5-POLICY",AG158&lt;&gt;"นิติศาสตร์",OR(K158="M2",K158="K4"),Q158&gt;=2),EDATE(P158,12*2),AND(AH158="K5-POLICY",AG158&lt;&gt;"นิติศาสตร์",K158="S1",Q158&gt;=1),EDATE(P158,12),AND(AH158="K5-POLICY",AG158&lt;&gt;"นิติศาสตร์",OR(K158="S2",K158="K5")),P158,TRUE,"Check Data")</f>
        <v/>
      </c>
      <c r="AJ158" s="75" t="str">
        <f t="shared" si="45"/>
        <v>Check Data</v>
      </c>
      <c r="AK158" s="76" t="str">
        <f t="shared" si="46"/>
        <v>Check Data</v>
      </c>
      <c r="AL158" s="50" t="str">
        <f t="shared" si="47"/>
        <v>Check Data</v>
      </c>
      <c r="AM158" s="49" t="str">
        <f>IF(B158="","",IF(K158="S1","S1",INDEX(#REF!,#REF!)))</f>
        <v/>
      </c>
      <c r="AN158" s="49" t="str">
        <f>K158</f>
        <v>M2</v>
      </c>
      <c r="AO158" s="50" t="b">
        <f>K158=AM158</f>
        <v>0</v>
      </c>
      <c r="AP158" s="50"/>
    </row>
    <row r="159" spans="1:42" ht="21.75">
      <c r="A159" s="49">
        <v>157</v>
      </c>
      <c r="B159" s="50"/>
      <c r="C159" s="50"/>
      <c r="D159" s="50" t="s">
        <v>143</v>
      </c>
      <c r="E159" s="49" t="s">
        <v>338</v>
      </c>
      <c r="F159" s="49" t="str">
        <f t="shared" si="32"/>
        <v>14/07/2000</v>
      </c>
      <c r="G159" s="50">
        <f t="shared" si="33"/>
        <v>24</v>
      </c>
      <c r="H159" s="50">
        <f t="shared" si="34"/>
        <v>11</v>
      </c>
      <c r="I159" s="50">
        <f t="shared" si="35"/>
        <v>6</v>
      </c>
      <c r="J159" s="59"/>
      <c r="K159" s="49" t="s">
        <v>136</v>
      </c>
      <c r="L159" s="64"/>
      <c r="M159" s="49" t="s">
        <v>427</v>
      </c>
      <c r="N159" s="49">
        <v>2574</v>
      </c>
      <c r="O159" s="65" t="s">
        <v>339</v>
      </c>
      <c r="P159" s="49" t="str">
        <f t="shared" si="36"/>
        <v>25/03/2022</v>
      </c>
      <c r="Q159" s="68">
        <f t="shared" si="37"/>
        <v>3</v>
      </c>
      <c r="R159" s="68">
        <f t="shared" si="38"/>
        <v>2</v>
      </c>
      <c r="S159" s="68">
        <f t="shared" si="39"/>
        <v>26</v>
      </c>
      <c r="T159" s="65"/>
      <c r="U159" s="65"/>
      <c r="V159" s="49" t="str">
        <f t="shared" si="40"/>
        <v/>
      </c>
      <c r="W159" s="68">
        <f>IF(V159="",0,DATEDIF(V159,P159,"Y"))</f>
        <v>0</v>
      </c>
      <c r="X159" s="68">
        <f>IF(V159="",0,DATEDIF(V159,P159,"YM"))</f>
        <v>0</v>
      </c>
      <c r="Y159" s="68">
        <f>IF(V159="",0,DATEDIF(V159,P159,"MD"))</f>
        <v>0</v>
      </c>
      <c r="Z159" s="49"/>
      <c r="AA159" s="65"/>
      <c r="AB159" s="50" t="str">
        <f t="shared" si="41"/>
        <v/>
      </c>
      <c r="AC159" s="68">
        <f t="shared" si="42"/>
        <v>0</v>
      </c>
      <c r="AD159" s="68">
        <f t="shared" si="43"/>
        <v>0</v>
      </c>
      <c r="AE159" s="68">
        <f t="shared" si="44"/>
        <v>0</v>
      </c>
      <c r="AF159" s="50"/>
      <c r="AG159" s="50" t="s">
        <v>138</v>
      </c>
      <c r="AH159" s="49" t="str">
        <f>IF(AG159="นิติศาสตร์","K5-LAW","K5-POLICY")</f>
        <v>K5-LAW</v>
      </c>
      <c r="AI159" s="72" t="str">
        <f>_xlfn.IFS(B159="","",AND(AH159="K5-LAW",AG159="นิติศาสตร์",K159="S2",T159="",Z159=""),P159,AND(AH159="K5-LAW",AG159="นิติศาสตร์",K159="S1",T159="",Z159=""),EDATE(P159,12),AND(AH159="K5-LAW",AG159="นิติศาสตร์",OR(K159="M2",K159="K4"),T159="",Z159=""),EDATE(P159,12*2),AND(AH159="K5-LAW",AG159="นิติศาสตร์",OR(Z159="M2",Z159="K4"),AC159&gt;=2,OR(AB159&lt;V159,AB159&lt;P159)),EDATE(AB159,12*2),AND(AH159="K5-LAW",AG159="นิติศาสตร์",Z159="S1",AC159&gt;=1,OR(AB159&lt;V159,AB159&lt;P159)),EDATE(AB159,12),AND(AH159="K5-LAW",AG159="นิติศาสตร์",OR(T159="M2",T159="K4"),W159&gt;=2,V159&lt;P159),EDATE(V159,12*2),AND(AH159="K5-LAW",AG159="นิติศาสตร์",T159="S1",W159&gt;=1,V159&lt;P159),EDATE(V159,12),AND(AH159="K5-LAW",AG159="นิติศาสตร์",OR(T159="S2",T159="K5")),V159,AND(AH159="K5-LAW",AG159="นิติศาสตร์",OR(K159="M2",K159="K4"),Q159&gt;=2),EDATE(P159,12*2),AND(AH159="K5-LAW",AG159="นิติศาสตร์",K159="S1",Q159&gt;=1),EDATE(P159,12),AND(AH159="K5-LAW",AG159="นิติศาสตร์",OR(K159="S2",K159="K5")),P159,AND(AH159="K5-POLICY",AG159&lt;&gt;"นิติศาสตร์",K159="S2",T159="",Z159=""),P159,AND(AH159="K5-POLICY",AG159&lt;&gt;"นิติศาสตร์",K159="S1",T159="",Z159=""),EDATE(P159,12),AND(AH159="K5-POLICY",AG159&lt;&gt;"นิติศาสตร์",OR(K159="M2",K159="K4"),T159="",Z159=""),EDATE(P159,12*2),AND(AH159="K5-POLICY",AG159&lt;&gt;"นิติศาสตร์",OR(Z159="M2",Z159="K4"),AC159&gt;=2,OR(AB159&lt;V159,AB159&lt;P159)),EDATE(AB159,12*2),AND(AH159="K5-POLICY",AG159&lt;&gt;"นิติศาสตร์",Z159="S1",AC159&gt;=1,OR(AB159&lt;V159,AB159&lt;P159)),EDATE(AB159,12),AND(AH159="K5-POLICY",AG159&lt;&gt;"นิติศาสตร์",OR(T159="M2",T159="K4"),W159&gt;=2,V159&lt;P159),EDATE(V159,12*2),AND(AH159="K5-POLICY",AG159&lt;&gt;"นิติศาสตร์",T159="S1",W159&gt;=1,V159&lt;P159),EDATE(V159,12),AND(AH159="K5-POLICY",AG159&lt;&gt;"นิติศาสตร์",OR(T159="S2",T159="K5")),V159,AND(AH159="K5-POLICY",AG159&lt;&gt;"นิติศาสตร์",OR(K159="M2",K159="K4"),Q159&gt;=2),EDATE(P159,12*2),AND(AH159="K5-POLICY",AG159&lt;&gt;"นิติศาสตร์",K159="S1",Q159&gt;=1),EDATE(P159,12),AND(AH159="K5-POLICY",AG159&lt;&gt;"นิติศาสตร์",OR(K159="S2",K159="K5")),P159,TRUE,"Check Data")</f>
        <v/>
      </c>
      <c r="AJ159" s="75" t="str">
        <f t="shared" si="45"/>
        <v>Check Data</v>
      </c>
      <c r="AK159" s="76" t="str">
        <f t="shared" si="46"/>
        <v>Check Data</v>
      </c>
      <c r="AL159" s="50" t="str">
        <f t="shared" si="47"/>
        <v>Check Data</v>
      </c>
      <c r="AM159" s="49" t="str">
        <f>IF(B159="","",IF(K159="S1","S1",INDEX(#REF!,#REF!)))</f>
        <v/>
      </c>
      <c r="AN159" s="49" t="str">
        <f>K159</f>
        <v>M2</v>
      </c>
      <c r="AO159" s="50" t="b">
        <f>K159=AM159</f>
        <v>0</v>
      </c>
      <c r="AP159" s="50"/>
    </row>
    <row r="160" spans="1:42" ht="21.75">
      <c r="A160" s="49">
        <v>158</v>
      </c>
      <c r="B160" s="50"/>
      <c r="C160" s="50"/>
      <c r="D160" s="50" t="s">
        <v>34</v>
      </c>
      <c r="E160" s="49" t="s">
        <v>202</v>
      </c>
      <c r="F160" s="49" t="str">
        <f t="shared" si="32"/>
        <v>22/10/2001</v>
      </c>
      <c r="G160" s="50">
        <f t="shared" si="33"/>
        <v>23</v>
      </c>
      <c r="H160" s="50">
        <f t="shared" si="34"/>
        <v>7</v>
      </c>
      <c r="I160" s="50">
        <f t="shared" si="35"/>
        <v>29</v>
      </c>
      <c r="J160" s="58"/>
      <c r="K160" s="49" t="s">
        <v>136</v>
      </c>
      <c r="L160" s="64"/>
      <c r="M160" s="49" t="s">
        <v>427</v>
      </c>
      <c r="N160" s="49">
        <v>2582</v>
      </c>
      <c r="O160" s="65" t="s">
        <v>203</v>
      </c>
      <c r="P160" s="49" t="str">
        <f t="shared" si="36"/>
        <v>10/08/2022</v>
      </c>
      <c r="Q160" s="68">
        <f t="shared" si="37"/>
        <v>2</v>
      </c>
      <c r="R160" s="68">
        <f t="shared" si="38"/>
        <v>10</v>
      </c>
      <c r="S160" s="68">
        <f t="shared" si="39"/>
        <v>10</v>
      </c>
      <c r="T160" s="65"/>
      <c r="U160" s="65"/>
      <c r="V160" s="49" t="str">
        <f t="shared" si="40"/>
        <v/>
      </c>
      <c r="W160" s="68">
        <f>IF(V160="",0,DATEDIF(V160,P160,"Y"))</f>
        <v>0</v>
      </c>
      <c r="X160" s="68">
        <f>IF(V160="",0,DATEDIF(V160,P160,"YM"))</f>
        <v>0</v>
      </c>
      <c r="Y160" s="68">
        <f>IF(V160="",0,DATEDIF(V160,P160,"MD"))</f>
        <v>0</v>
      </c>
      <c r="Z160" s="49"/>
      <c r="AA160" s="65"/>
      <c r="AB160" s="50" t="str">
        <f t="shared" si="41"/>
        <v/>
      </c>
      <c r="AC160" s="68">
        <f t="shared" si="42"/>
        <v>0</v>
      </c>
      <c r="AD160" s="68">
        <f t="shared" si="43"/>
        <v>0</v>
      </c>
      <c r="AE160" s="68">
        <f t="shared" si="44"/>
        <v>0</v>
      </c>
      <c r="AF160" s="50"/>
      <c r="AG160" s="50" t="s">
        <v>138</v>
      </c>
      <c r="AH160" s="49" t="str">
        <f>IF(AG160="นิติศาสตร์","K5-LAW","K5-POLICY")</f>
        <v>K5-LAW</v>
      </c>
      <c r="AI160" s="72" t="str">
        <f>_xlfn.IFS(B160="","",AND(AH160="K5-LAW",AG160="นิติศาสตร์",K160="S2",T160="",Z160=""),P160,AND(AH160="K5-LAW",AG160="นิติศาสตร์",K160="S1",T160="",Z160=""),EDATE(P160,12),AND(AH160="K5-LAW",AG160="นิติศาสตร์",OR(K160="M2",K160="K4"),T160="",Z160=""),EDATE(P160,12*2),AND(AH160="K5-LAW",AG160="นิติศาสตร์",OR(Z160="M2",Z160="K4"),AC160&gt;=2,OR(AB160&lt;V160,AB160&lt;P160)),EDATE(AB160,12*2),AND(AH160="K5-LAW",AG160="นิติศาสตร์",Z160="S1",AC160&gt;=1,OR(AB160&lt;V160,AB160&lt;P160)),EDATE(AB160,12),AND(AH160="K5-LAW",AG160="นิติศาสตร์",OR(T160="M2",T160="K4"),W160&gt;=2,V160&lt;P160),EDATE(V160,12*2),AND(AH160="K5-LAW",AG160="นิติศาสตร์",T160="S1",W160&gt;=1,V160&lt;P160),EDATE(V160,12),AND(AH160="K5-LAW",AG160="นิติศาสตร์",OR(T160="S2",T160="K5")),V160,AND(AH160="K5-LAW",AG160="นิติศาสตร์",OR(K160="M2",K160="K4"),Q160&gt;=2),EDATE(P160,12*2),AND(AH160="K5-LAW",AG160="นิติศาสตร์",K160="S1",Q160&gt;=1),EDATE(P160,12),AND(AH160="K5-LAW",AG160="นิติศาสตร์",OR(K160="S2",K160="K5")),P160,AND(AH160="K5-POLICY",AG160&lt;&gt;"นิติศาสตร์",K160="S2",T160="",Z160=""),P160,AND(AH160="K5-POLICY",AG160&lt;&gt;"นิติศาสตร์",K160="S1",T160="",Z160=""),EDATE(P160,12),AND(AH160="K5-POLICY",AG160&lt;&gt;"นิติศาสตร์",OR(K160="M2",K160="K4"),T160="",Z160=""),EDATE(P160,12*2),AND(AH160="K5-POLICY",AG160&lt;&gt;"นิติศาสตร์",OR(Z160="M2",Z160="K4"),AC160&gt;=2,OR(AB160&lt;V160,AB160&lt;P160)),EDATE(AB160,12*2),AND(AH160="K5-POLICY",AG160&lt;&gt;"นิติศาสตร์",Z160="S1",AC160&gt;=1,OR(AB160&lt;V160,AB160&lt;P160)),EDATE(AB160,12),AND(AH160="K5-POLICY",AG160&lt;&gt;"นิติศาสตร์",OR(T160="M2",T160="K4"),W160&gt;=2,V160&lt;P160),EDATE(V160,12*2),AND(AH160="K5-POLICY",AG160&lt;&gt;"นิติศาสตร์",T160="S1",W160&gt;=1,V160&lt;P160),EDATE(V160,12),AND(AH160="K5-POLICY",AG160&lt;&gt;"นิติศาสตร์",OR(T160="S2",T160="K5")),V160,AND(AH160="K5-POLICY",AG160&lt;&gt;"นิติศาสตร์",OR(K160="M2",K160="K4"),Q160&gt;=2),EDATE(P160,12*2),AND(AH160="K5-POLICY",AG160&lt;&gt;"นิติศาสตร์",K160="S1",Q160&gt;=1),EDATE(P160,12),AND(AH160="K5-POLICY",AG160&lt;&gt;"นิติศาสตร์",OR(K160="S2",K160="K5")),P160,TRUE,"Check Data")</f>
        <v/>
      </c>
      <c r="AJ160" s="75" t="str">
        <f t="shared" si="45"/>
        <v>Check Data</v>
      </c>
      <c r="AK160" s="76" t="str">
        <f t="shared" si="46"/>
        <v>Check Data</v>
      </c>
      <c r="AL160" s="50" t="str">
        <f t="shared" si="47"/>
        <v>Check Data</v>
      </c>
      <c r="AM160" s="49" t="str">
        <f>IF(B160="","",IF(K160="S1","S1",INDEX(#REF!,#REF!)))</f>
        <v/>
      </c>
      <c r="AN160" s="49" t="str">
        <f>K160</f>
        <v>M2</v>
      </c>
      <c r="AO160" s="50" t="b">
        <f>K160=AM160</f>
        <v>0</v>
      </c>
      <c r="AP160" s="50"/>
    </row>
    <row r="161" spans="1:42" ht="21.75">
      <c r="A161" s="49">
        <v>159</v>
      </c>
      <c r="B161" s="50"/>
      <c r="C161" s="50"/>
      <c r="D161" s="50" t="s">
        <v>139</v>
      </c>
      <c r="E161" s="49" t="s">
        <v>223</v>
      </c>
      <c r="F161" s="49" t="str">
        <f t="shared" si="32"/>
        <v>15/04/1991</v>
      </c>
      <c r="G161" s="50">
        <f t="shared" si="33"/>
        <v>34</v>
      </c>
      <c r="H161" s="50">
        <f t="shared" si="34"/>
        <v>2</v>
      </c>
      <c r="I161" s="50">
        <f t="shared" si="35"/>
        <v>5</v>
      </c>
      <c r="J161" s="58"/>
      <c r="K161" s="49" t="s">
        <v>136</v>
      </c>
      <c r="L161" s="64"/>
      <c r="M161" s="49" t="s">
        <v>425</v>
      </c>
      <c r="N161" s="49">
        <v>2570</v>
      </c>
      <c r="O161" s="65" t="s">
        <v>220</v>
      </c>
      <c r="P161" s="49" t="str">
        <f t="shared" si="36"/>
        <v>30/09/2022</v>
      </c>
      <c r="Q161" s="68">
        <f t="shared" si="37"/>
        <v>2</v>
      </c>
      <c r="R161" s="68">
        <f t="shared" si="38"/>
        <v>8</v>
      </c>
      <c r="S161" s="68">
        <f t="shared" si="39"/>
        <v>21</v>
      </c>
      <c r="T161" s="65"/>
      <c r="U161" s="65"/>
      <c r="V161" s="49" t="str">
        <f t="shared" si="40"/>
        <v/>
      </c>
      <c r="W161" s="68">
        <f>IF(V161="",0,DATEDIF(V161,P161,"Y"))</f>
        <v>0</v>
      </c>
      <c r="X161" s="68">
        <f>IF(V161="",0,DATEDIF(V161,P161,"YM"))</f>
        <v>0</v>
      </c>
      <c r="Y161" s="68">
        <f>IF(V161="",0,DATEDIF(V161,P161,"MD"))</f>
        <v>0</v>
      </c>
      <c r="Z161" s="49"/>
      <c r="AA161" s="65"/>
      <c r="AB161" s="50" t="str">
        <f t="shared" si="41"/>
        <v/>
      </c>
      <c r="AC161" s="68">
        <f t="shared" si="42"/>
        <v>0</v>
      </c>
      <c r="AD161" s="68">
        <f t="shared" si="43"/>
        <v>0</v>
      </c>
      <c r="AE161" s="68">
        <f t="shared" si="44"/>
        <v>0</v>
      </c>
      <c r="AF161" s="50"/>
      <c r="AG161" s="50" t="s">
        <v>165</v>
      </c>
      <c r="AH161" s="49" t="str">
        <f>IF(AG161="นิติศาสตร์","K5-LAW","K5-POLICY")</f>
        <v>K5-POLICY</v>
      </c>
      <c r="AI161" s="72" t="str">
        <f>_xlfn.IFS(B161="","",AND(AH161="K5-LAW",AG161="นิติศาสตร์",K161="S2",T161="",Z161=""),P161,AND(AH161="K5-LAW",AG161="นิติศาสตร์",K161="S1",T161="",Z161=""),EDATE(P161,12),AND(AH161="K5-LAW",AG161="นิติศาสตร์",OR(K161="M2",K161="K4"),T161="",Z161=""),EDATE(P161,12*2),AND(AH161="K5-LAW",AG161="นิติศาสตร์",OR(Z161="M2",Z161="K4"),AC161&gt;=2,OR(AB161&lt;V161,AB161&lt;P161)),EDATE(AB161,12*2),AND(AH161="K5-LAW",AG161="นิติศาสตร์",Z161="S1",AC161&gt;=1,OR(AB161&lt;V161,AB161&lt;P161)),EDATE(AB161,12),AND(AH161="K5-LAW",AG161="นิติศาสตร์",OR(T161="M2",T161="K4"),W161&gt;=2,V161&lt;P161),EDATE(V161,12*2),AND(AH161="K5-LAW",AG161="นิติศาสตร์",T161="S1",W161&gt;=1,V161&lt;P161),EDATE(V161,12),AND(AH161="K5-LAW",AG161="นิติศาสตร์",OR(T161="S2",T161="K5")),V161,AND(AH161="K5-LAW",AG161="นิติศาสตร์",OR(K161="M2",K161="K4"),Q161&gt;=2),EDATE(P161,12*2),AND(AH161="K5-LAW",AG161="นิติศาสตร์",K161="S1",Q161&gt;=1),EDATE(P161,12),AND(AH161="K5-LAW",AG161="นิติศาสตร์",OR(K161="S2",K161="K5")),P161,AND(AH161="K5-POLICY",AG161&lt;&gt;"นิติศาสตร์",K161="S2",T161="",Z161=""),P161,AND(AH161="K5-POLICY",AG161&lt;&gt;"นิติศาสตร์",K161="S1",T161="",Z161=""),EDATE(P161,12),AND(AH161="K5-POLICY",AG161&lt;&gt;"นิติศาสตร์",OR(K161="M2",K161="K4"),T161="",Z161=""),EDATE(P161,12*2),AND(AH161="K5-POLICY",AG161&lt;&gt;"นิติศาสตร์",OR(Z161="M2",Z161="K4"),AC161&gt;=2,OR(AB161&lt;V161,AB161&lt;P161)),EDATE(AB161,12*2),AND(AH161="K5-POLICY",AG161&lt;&gt;"นิติศาสตร์",Z161="S1",AC161&gt;=1,OR(AB161&lt;V161,AB161&lt;P161)),EDATE(AB161,12),AND(AH161="K5-POLICY",AG161&lt;&gt;"นิติศาสตร์",OR(T161="M2",T161="K4"),W161&gt;=2,V161&lt;P161),EDATE(V161,12*2),AND(AH161="K5-POLICY",AG161&lt;&gt;"นิติศาสตร์",T161="S1",W161&gt;=1,V161&lt;P161),EDATE(V161,12),AND(AH161="K5-POLICY",AG161&lt;&gt;"นิติศาสตร์",OR(T161="S2",T161="K5")),V161,AND(AH161="K5-POLICY",AG161&lt;&gt;"นิติศาสตร์",OR(K161="M2",K161="K4"),Q161&gt;=2),EDATE(P161,12*2),AND(AH161="K5-POLICY",AG161&lt;&gt;"นิติศาสตร์",K161="S1",Q161&gt;=1),EDATE(P161,12),AND(AH161="K5-POLICY",AG161&lt;&gt;"นิติศาสตร์",OR(K161="S2",K161="K5")),P161,TRUE,"Check Data")</f>
        <v/>
      </c>
      <c r="AJ161" s="75" t="str">
        <f t="shared" si="45"/>
        <v>Check Data</v>
      </c>
      <c r="AK161" s="76" t="str">
        <f t="shared" si="46"/>
        <v>Check Data</v>
      </c>
      <c r="AL161" s="50" t="str">
        <f t="shared" si="47"/>
        <v>Check Data</v>
      </c>
      <c r="AM161" s="49" t="str">
        <f>IF(B161="","",IF(K161="S1","S1",INDEX(#REF!,#REF!)))</f>
        <v/>
      </c>
      <c r="AN161" s="49" t="str">
        <f>K161</f>
        <v>M2</v>
      </c>
      <c r="AO161" s="50" t="b">
        <f>K161=AM161</f>
        <v>0</v>
      </c>
      <c r="AP161" s="50"/>
    </row>
    <row r="162" spans="1:42" ht="21.75">
      <c r="A162" s="49">
        <v>160</v>
      </c>
      <c r="B162" s="50"/>
      <c r="C162" s="50"/>
      <c r="D162" s="50" t="s">
        <v>139</v>
      </c>
      <c r="E162" s="49" t="s">
        <v>219</v>
      </c>
      <c r="F162" s="49" t="str">
        <f t="shared" si="32"/>
        <v>01/11/1994</v>
      </c>
      <c r="G162" s="50">
        <f t="shared" si="33"/>
        <v>30</v>
      </c>
      <c r="H162" s="50">
        <f t="shared" si="34"/>
        <v>7</v>
      </c>
      <c r="I162" s="50">
        <f t="shared" si="35"/>
        <v>19</v>
      </c>
      <c r="J162" s="56"/>
      <c r="K162" s="49" t="s">
        <v>136</v>
      </c>
      <c r="L162" s="64"/>
      <c r="M162" s="49" t="s">
        <v>427</v>
      </c>
      <c r="N162" s="49">
        <v>2571</v>
      </c>
      <c r="O162" s="65" t="s">
        <v>220</v>
      </c>
      <c r="P162" s="49" t="str">
        <f t="shared" si="36"/>
        <v>30/09/2022</v>
      </c>
      <c r="Q162" s="68">
        <f t="shared" si="37"/>
        <v>2</v>
      </c>
      <c r="R162" s="68">
        <f t="shared" si="38"/>
        <v>8</v>
      </c>
      <c r="S162" s="68">
        <f t="shared" si="39"/>
        <v>21</v>
      </c>
      <c r="T162" s="65"/>
      <c r="U162" s="65"/>
      <c r="V162" s="49" t="str">
        <f t="shared" si="40"/>
        <v/>
      </c>
      <c r="W162" s="68">
        <f>IF(V162="",0,DATEDIF(V162,P162,"Y"))</f>
        <v>0</v>
      </c>
      <c r="X162" s="68">
        <f>IF(V162="",0,DATEDIF(V162,P162,"YM"))</f>
        <v>0</v>
      </c>
      <c r="Y162" s="68">
        <f>IF(V162="",0,DATEDIF(V162,P162,"MD"))</f>
        <v>0</v>
      </c>
      <c r="Z162" s="49"/>
      <c r="AA162" s="65"/>
      <c r="AB162" s="50" t="str">
        <f t="shared" si="41"/>
        <v/>
      </c>
      <c r="AC162" s="68">
        <f t="shared" si="42"/>
        <v>0</v>
      </c>
      <c r="AD162" s="68">
        <f t="shared" si="43"/>
        <v>0</v>
      </c>
      <c r="AE162" s="68">
        <f t="shared" si="44"/>
        <v>0</v>
      </c>
      <c r="AF162" s="50"/>
      <c r="AG162" s="50" t="s">
        <v>165</v>
      </c>
      <c r="AH162" s="49" t="str">
        <f>IF(AG162="นิติศาสตร์","K5-LAW","K5-POLICY")</f>
        <v>K5-POLICY</v>
      </c>
      <c r="AI162" s="72" t="str">
        <f>_xlfn.IFS(B162="","",AND(AH162="K5-LAW",AG162="นิติศาสตร์",K162="S2",T162="",Z162=""),P162,AND(AH162="K5-LAW",AG162="นิติศาสตร์",K162="S1",T162="",Z162=""),EDATE(P162,12),AND(AH162="K5-LAW",AG162="นิติศาสตร์",OR(K162="M2",K162="K4"),T162="",Z162=""),EDATE(P162,12*2),AND(AH162="K5-LAW",AG162="นิติศาสตร์",OR(Z162="M2",Z162="K4"),AC162&gt;=2,OR(AB162&lt;V162,AB162&lt;P162)),EDATE(AB162,12*2),AND(AH162="K5-LAW",AG162="นิติศาสตร์",Z162="S1",AC162&gt;=1,OR(AB162&lt;V162,AB162&lt;P162)),EDATE(AB162,12),AND(AH162="K5-LAW",AG162="นิติศาสตร์",OR(T162="M2",T162="K4"),W162&gt;=2,V162&lt;P162),EDATE(V162,12*2),AND(AH162="K5-LAW",AG162="นิติศาสตร์",T162="S1",W162&gt;=1,V162&lt;P162),EDATE(V162,12),AND(AH162="K5-LAW",AG162="นิติศาสตร์",OR(T162="S2",T162="K5")),V162,AND(AH162="K5-LAW",AG162="นิติศาสตร์",OR(K162="M2",K162="K4"),Q162&gt;=2),EDATE(P162,12*2),AND(AH162="K5-LAW",AG162="นิติศาสตร์",K162="S1",Q162&gt;=1),EDATE(P162,12),AND(AH162="K5-LAW",AG162="นิติศาสตร์",OR(K162="S2",K162="K5")),P162,AND(AH162="K5-POLICY",AG162&lt;&gt;"นิติศาสตร์",K162="S2",T162="",Z162=""),P162,AND(AH162="K5-POLICY",AG162&lt;&gt;"นิติศาสตร์",K162="S1",T162="",Z162=""),EDATE(P162,12),AND(AH162="K5-POLICY",AG162&lt;&gt;"นิติศาสตร์",OR(K162="M2",K162="K4"),T162="",Z162=""),EDATE(P162,12*2),AND(AH162="K5-POLICY",AG162&lt;&gt;"นิติศาสตร์",OR(Z162="M2",Z162="K4"),AC162&gt;=2,OR(AB162&lt;V162,AB162&lt;P162)),EDATE(AB162,12*2),AND(AH162="K5-POLICY",AG162&lt;&gt;"นิติศาสตร์",Z162="S1",AC162&gt;=1,OR(AB162&lt;V162,AB162&lt;P162)),EDATE(AB162,12),AND(AH162="K5-POLICY",AG162&lt;&gt;"นิติศาสตร์",OR(T162="M2",T162="K4"),W162&gt;=2,V162&lt;P162),EDATE(V162,12*2),AND(AH162="K5-POLICY",AG162&lt;&gt;"นิติศาสตร์",T162="S1",W162&gt;=1,V162&lt;P162),EDATE(V162,12),AND(AH162="K5-POLICY",AG162&lt;&gt;"นิติศาสตร์",OR(T162="S2",T162="K5")),V162,AND(AH162="K5-POLICY",AG162&lt;&gt;"นิติศาสตร์",OR(K162="M2",K162="K4"),Q162&gt;=2),EDATE(P162,12*2),AND(AH162="K5-POLICY",AG162&lt;&gt;"นิติศาสตร์",K162="S1",Q162&gt;=1),EDATE(P162,12),AND(AH162="K5-POLICY",AG162&lt;&gt;"นิติศาสตร์",OR(K162="S2",K162="K5")),P162,TRUE,"Check Data")</f>
        <v/>
      </c>
      <c r="AJ162" s="75" t="str">
        <f t="shared" si="45"/>
        <v>Check Data</v>
      </c>
      <c r="AK162" s="76" t="str">
        <f t="shared" si="46"/>
        <v>Check Data</v>
      </c>
      <c r="AL162" s="50" t="str">
        <f t="shared" si="47"/>
        <v>Check Data</v>
      </c>
      <c r="AM162" s="49" t="str">
        <f>IF(B162="","",IF(K162="S1","S1",INDEX(#REF!,#REF!)))</f>
        <v/>
      </c>
      <c r="AN162" s="49" t="str">
        <f>K162</f>
        <v>M2</v>
      </c>
      <c r="AO162" s="50" t="b">
        <f>K162=AM162</f>
        <v>0</v>
      </c>
      <c r="AP162" s="50"/>
    </row>
    <row r="163" spans="1:42" ht="21.75">
      <c r="A163" s="49">
        <v>161</v>
      </c>
      <c r="B163" s="50"/>
      <c r="C163" s="50"/>
      <c r="D163" s="50" t="s">
        <v>143</v>
      </c>
      <c r="E163" s="49" t="s">
        <v>296</v>
      </c>
      <c r="F163" s="49" t="str">
        <f t="shared" si="32"/>
        <v>02/10/1995</v>
      </c>
      <c r="G163" s="50">
        <f t="shared" si="33"/>
        <v>29</v>
      </c>
      <c r="H163" s="50">
        <f t="shared" si="34"/>
        <v>8</v>
      </c>
      <c r="I163" s="50">
        <f t="shared" si="35"/>
        <v>18</v>
      </c>
      <c r="J163" s="59"/>
      <c r="K163" s="49" t="s">
        <v>136</v>
      </c>
      <c r="L163" s="64"/>
      <c r="M163" s="49" t="s">
        <v>427</v>
      </c>
      <c r="N163" s="49">
        <v>2570</v>
      </c>
      <c r="O163" s="65" t="s">
        <v>220</v>
      </c>
      <c r="P163" s="49" t="str">
        <f t="shared" si="36"/>
        <v>30/09/2022</v>
      </c>
      <c r="Q163" s="68">
        <f t="shared" si="37"/>
        <v>2</v>
      </c>
      <c r="R163" s="68">
        <f t="shared" si="38"/>
        <v>8</v>
      </c>
      <c r="S163" s="68">
        <f t="shared" si="39"/>
        <v>21</v>
      </c>
      <c r="T163" s="65"/>
      <c r="U163" s="65"/>
      <c r="V163" s="49" t="str">
        <f t="shared" si="40"/>
        <v/>
      </c>
      <c r="W163" s="68">
        <f>IF(V163="",0,DATEDIF(V163,P163,"Y"))</f>
        <v>0</v>
      </c>
      <c r="X163" s="68">
        <f>IF(V163="",0,DATEDIF(V163,P163,"YM"))</f>
        <v>0</v>
      </c>
      <c r="Y163" s="68">
        <f>IF(V163="",0,DATEDIF(V163,P163,"MD"))</f>
        <v>0</v>
      </c>
      <c r="Z163" s="49"/>
      <c r="AA163" s="65"/>
      <c r="AB163" s="50" t="str">
        <f t="shared" si="41"/>
        <v/>
      </c>
      <c r="AC163" s="68">
        <f t="shared" si="42"/>
        <v>0</v>
      </c>
      <c r="AD163" s="68">
        <f t="shared" si="43"/>
        <v>0</v>
      </c>
      <c r="AE163" s="68">
        <f t="shared" si="44"/>
        <v>0</v>
      </c>
      <c r="AF163" s="50"/>
      <c r="AG163" s="50" t="s">
        <v>513</v>
      </c>
      <c r="AH163" s="49" t="str">
        <f>IF(AG163="นิติศาสตร์","K5-LAW","K5-POLICY")</f>
        <v>K5-POLICY</v>
      </c>
      <c r="AI163" s="72" t="str">
        <f>_xlfn.IFS(B163="","",AND(AH163="K5-LAW",AG163="นิติศาสตร์",K163="S2",T163="",Z163=""),P163,AND(AH163="K5-LAW",AG163="นิติศาสตร์",K163="S1",T163="",Z163=""),EDATE(P163,12),AND(AH163="K5-LAW",AG163="นิติศาสตร์",OR(K163="M2",K163="K4"),T163="",Z163=""),EDATE(P163,12*2),AND(AH163="K5-LAW",AG163="นิติศาสตร์",OR(Z163="M2",Z163="K4"),AC163&gt;=2,OR(AB163&lt;V163,AB163&lt;P163)),EDATE(AB163,12*2),AND(AH163="K5-LAW",AG163="นิติศาสตร์",Z163="S1",AC163&gt;=1,OR(AB163&lt;V163,AB163&lt;P163)),EDATE(AB163,12),AND(AH163="K5-LAW",AG163="นิติศาสตร์",OR(T163="M2",T163="K4"),W163&gt;=2,V163&lt;P163),EDATE(V163,12*2),AND(AH163="K5-LAW",AG163="นิติศาสตร์",T163="S1",W163&gt;=1,V163&lt;P163),EDATE(V163,12),AND(AH163="K5-LAW",AG163="นิติศาสตร์",OR(T163="S2",T163="K5")),V163,AND(AH163="K5-LAW",AG163="นิติศาสตร์",OR(K163="M2",K163="K4"),Q163&gt;=2),EDATE(P163,12*2),AND(AH163="K5-LAW",AG163="นิติศาสตร์",K163="S1",Q163&gt;=1),EDATE(P163,12),AND(AH163="K5-LAW",AG163="นิติศาสตร์",OR(K163="S2",K163="K5")),P163,AND(AH163="K5-POLICY",AG163&lt;&gt;"นิติศาสตร์",K163="S2",T163="",Z163=""),P163,AND(AH163="K5-POLICY",AG163&lt;&gt;"นิติศาสตร์",K163="S1",T163="",Z163=""),EDATE(P163,12),AND(AH163="K5-POLICY",AG163&lt;&gt;"นิติศาสตร์",OR(K163="M2",K163="K4"),T163="",Z163=""),EDATE(P163,12*2),AND(AH163="K5-POLICY",AG163&lt;&gt;"นิติศาสตร์",OR(Z163="M2",Z163="K4"),AC163&gt;=2,OR(AB163&lt;V163,AB163&lt;P163)),EDATE(AB163,12*2),AND(AH163="K5-POLICY",AG163&lt;&gt;"นิติศาสตร์",Z163="S1",AC163&gt;=1,OR(AB163&lt;V163,AB163&lt;P163)),EDATE(AB163,12),AND(AH163="K5-POLICY",AG163&lt;&gt;"นิติศาสตร์",OR(T163="M2",T163="K4"),W163&gt;=2,V163&lt;P163),EDATE(V163,12*2),AND(AH163="K5-POLICY",AG163&lt;&gt;"นิติศาสตร์",T163="S1",W163&gt;=1,V163&lt;P163),EDATE(V163,12),AND(AH163="K5-POLICY",AG163&lt;&gt;"นิติศาสตร์",OR(T163="S2",T163="K5")),V163,AND(AH163="K5-POLICY",AG163&lt;&gt;"นิติศาสตร์",OR(K163="M2",K163="K4"),Q163&gt;=2),EDATE(P163,12*2),AND(AH163="K5-POLICY",AG163&lt;&gt;"นิติศาสตร์",K163="S1",Q163&gt;=1),EDATE(P163,12),AND(AH163="K5-POLICY",AG163&lt;&gt;"นิติศาสตร์",OR(K163="S2",K163="K5")),P163,TRUE,"Check Data")</f>
        <v/>
      </c>
      <c r="AJ163" s="75" t="str">
        <f t="shared" si="45"/>
        <v>Check Data</v>
      </c>
      <c r="AK163" s="76" t="str">
        <f t="shared" si="46"/>
        <v>Check Data</v>
      </c>
      <c r="AL163" s="50" t="str">
        <f t="shared" si="47"/>
        <v>Check Data</v>
      </c>
      <c r="AM163" s="49" t="str">
        <f>IF(B163="","",IF(K163="S1","S1",INDEX(#REF!,#REF!)))</f>
        <v/>
      </c>
      <c r="AN163" s="49" t="str">
        <f>K163</f>
        <v>M2</v>
      </c>
      <c r="AO163" s="50" t="b">
        <f>K163=AM163</f>
        <v>0</v>
      </c>
      <c r="AP163" s="50"/>
    </row>
    <row r="164" spans="1:42" ht="21.75">
      <c r="A164" s="49">
        <v>162</v>
      </c>
      <c r="B164" s="50"/>
      <c r="C164" s="50"/>
      <c r="D164" s="50" t="s">
        <v>143</v>
      </c>
      <c r="E164" s="49" t="s">
        <v>295</v>
      </c>
      <c r="F164" s="49" t="str">
        <f t="shared" si="32"/>
        <v>02/09/1996</v>
      </c>
      <c r="G164" s="50">
        <f t="shared" si="33"/>
        <v>28</v>
      </c>
      <c r="H164" s="50">
        <f t="shared" si="34"/>
        <v>9</v>
      </c>
      <c r="I164" s="50">
        <f t="shared" si="35"/>
        <v>18</v>
      </c>
      <c r="J164" s="59"/>
      <c r="K164" s="49" t="s">
        <v>136</v>
      </c>
      <c r="L164" s="64"/>
      <c r="M164" s="49" t="s">
        <v>426</v>
      </c>
      <c r="N164" s="49">
        <v>2576</v>
      </c>
      <c r="O164" s="65" t="s">
        <v>220</v>
      </c>
      <c r="P164" s="49" t="str">
        <f t="shared" si="36"/>
        <v>30/09/2022</v>
      </c>
      <c r="Q164" s="68">
        <f t="shared" si="37"/>
        <v>2</v>
      </c>
      <c r="R164" s="68">
        <f t="shared" si="38"/>
        <v>8</v>
      </c>
      <c r="S164" s="68">
        <f t="shared" si="39"/>
        <v>21</v>
      </c>
      <c r="T164" s="65"/>
      <c r="U164" s="65"/>
      <c r="V164" s="49" t="str">
        <f t="shared" si="40"/>
        <v/>
      </c>
      <c r="W164" s="68">
        <f>IF(V164="",0,DATEDIF(V164,P164,"Y"))</f>
        <v>0</v>
      </c>
      <c r="X164" s="68">
        <f>IF(V164="",0,DATEDIF(V164,P164,"YM"))</f>
        <v>0</v>
      </c>
      <c r="Y164" s="68">
        <f>IF(V164="",0,DATEDIF(V164,P164,"MD"))</f>
        <v>0</v>
      </c>
      <c r="Z164" s="49"/>
      <c r="AA164" s="65"/>
      <c r="AB164" s="50" t="str">
        <f t="shared" si="41"/>
        <v/>
      </c>
      <c r="AC164" s="68">
        <f t="shared" si="42"/>
        <v>0</v>
      </c>
      <c r="AD164" s="68">
        <f t="shared" si="43"/>
        <v>0</v>
      </c>
      <c r="AE164" s="68">
        <f t="shared" si="44"/>
        <v>0</v>
      </c>
      <c r="AF164" s="50"/>
      <c r="AG164" s="50" t="s">
        <v>318</v>
      </c>
      <c r="AH164" s="49" t="str">
        <f>IF(AG164="นิติศาสตร์","K5-LAW","K5-POLICY")</f>
        <v>K5-POLICY</v>
      </c>
      <c r="AI164" s="72" t="str">
        <f>_xlfn.IFS(B164="","",AND(AH164="K5-LAW",AG164="นิติศาสตร์",K164="S2",T164="",Z164=""),P164,AND(AH164="K5-LAW",AG164="นิติศาสตร์",K164="S1",T164="",Z164=""),EDATE(P164,12),AND(AH164="K5-LAW",AG164="นิติศาสตร์",OR(K164="M2",K164="K4"),T164="",Z164=""),EDATE(P164,12*2),AND(AH164="K5-LAW",AG164="นิติศาสตร์",OR(Z164="M2",Z164="K4"),AC164&gt;=2,OR(AB164&lt;V164,AB164&lt;P164)),EDATE(AB164,12*2),AND(AH164="K5-LAW",AG164="นิติศาสตร์",Z164="S1",AC164&gt;=1,OR(AB164&lt;V164,AB164&lt;P164)),EDATE(AB164,12),AND(AH164="K5-LAW",AG164="นิติศาสตร์",OR(T164="M2",T164="K4"),W164&gt;=2,V164&lt;P164),EDATE(V164,12*2),AND(AH164="K5-LAW",AG164="นิติศาสตร์",T164="S1",W164&gt;=1,V164&lt;P164),EDATE(V164,12),AND(AH164="K5-LAW",AG164="นิติศาสตร์",OR(T164="S2",T164="K5")),V164,AND(AH164="K5-LAW",AG164="นิติศาสตร์",OR(K164="M2",K164="K4"),Q164&gt;=2),EDATE(P164,12*2),AND(AH164="K5-LAW",AG164="นิติศาสตร์",K164="S1",Q164&gt;=1),EDATE(P164,12),AND(AH164="K5-LAW",AG164="นิติศาสตร์",OR(K164="S2",K164="K5")),P164,AND(AH164="K5-POLICY",AG164&lt;&gt;"นิติศาสตร์",K164="S2",T164="",Z164=""),P164,AND(AH164="K5-POLICY",AG164&lt;&gt;"นิติศาสตร์",K164="S1",T164="",Z164=""),EDATE(P164,12),AND(AH164="K5-POLICY",AG164&lt;&gt;"นิติศาสตร์",OR(K164="M2",K164="K4"),T164="",Z164=""),EDATE(P164,12*2),AND(AH164="K5-POLICY",AG164&lt;&gt;"นิติศาสตร์",OR(Z164="M2",Z164="K4"),AC164&gt;=2,OR(AB164&lt;V164,AB164&lt;P164)),EDATE(AB164,12*2),AND(AH164="K5-POLICY",AG164&lt;&gt;"นิติศาสตร์",Z164="S1",AC164&gt;=1,OR(AB164&lt;V164,AB164&lt;P164)),EDATE(AB164,12),AND(AH164="K5-POLICY",AG164&lt;&gt;"นิติศาสตร์",OR(T164="M2",T164="K4"),W164&gt;=2,V164&lt;P164),EDATE(V164,12*2),AND(AH164="K5-POLICY",AG164&lt;&gt;"นิติศาสตร์",T164="S1",W164&gt;=1,V164&lt;P164),EDATE(V164,12),AND(AH164="K5-POLICY",AG164&lt;&gt;"นิติศาสตร์",OR(T164="S2",T164="K5")),V164,AND(AH164="K5-POLICY",AG164&lt;&gt;"นิติศาสตร์",OR(K164="M2",K164="K4"),Q164&gt;=2),EDATE(P164,12*2),AND(AH164="K5-POLICY",AG164&lt;&gt;"นิติศาสตร์",K164="S1",Q164&gt;=1),EDATE(P164,12),AND(AH164="K5-POLICY",AG164&lt;&gt;"นิติศาสตร์",OR(K164="S2",K164="K5")),P164,TRUE,"Check Data")</f>
        <v/>
      </c>
      <c r="AJ164" s="75" t="str">
        <f t="shared" si="45"/>
        <v>Check Data</v>
      </c>
      <c r="AK164" s="76" t="str">
        <f t="shared" si="46"/>
        <v>Check Data</v>
      </c>
      <c r="AL164" s="50" t="str">
        <f t="shared" si="47"/>
        <v>Check Data</v>
      </c>
      <c r="AM164" s="49" t="str">
        <f>IF(B164="","",IF(K164="S1","S1",INDEX(#REF!,#REF!)))</f>
        <v/>
      </c>
      <c r="AN164" s="49" t="str">
        <f>K164</f>
        <v>M2</v>
      </c>
      <c r="AO164" s="50" t="b">
        <f>K164=AM164</f>
        <v>0</v>
      </c>
      <c r="AP164" s="50"/>
    </row>
    <row r="165" spans="1:42" ht="21.75">
      <c r="A165" s="49">
        <v>163</v>
      </c>
      <c r="B165" s="50"/>
      <c r="C165" s="50"/>
      <c r="D165" s="50" t="s">
        <v>143</v>
      </c>
      <c r="E165" s="49" t="s">
        <v>363</v>
      </c>
      <c r="F165" s="49" t="str">
        <f t="shared" si="32"/>
        <v>17/06/1988</v>
      </c>
      <c r="G165" s="50">
        <f t="shared" si="33"/>
        <v>37</v>
      </c>
      <c r="H165" s="50">
        <f t="shared" si="34"/>
        <v>0</v>
      </c>
      <c r="I165" s="50">
        <f t="shared" si="35"/>
        <v>3</v>
      </c>
      <c r="J165" s="59"/>
      <c r="K165" s="49" t="s">
        <v>136</v>
      </c>
      <c r="L165" s="64"/>
      <c r="M165" s="49" t="s">
        <v>427</v>
      </c>
      <c r="N165" s="49">
        <v>2571</v>
      </c>
      <c r="O165" s="65" t="s">
        <v>294</v>
      </c>
      <c r="P165" s="49" t="str">
        <f t="shared" si="36"/>
        <v>18/05/2023</v>
      </c>
      <c r="Q165" s="68">
        <f t="shared" si="37"/>
        <v>2</v>
      </c>
      <c r="R165" s="68">
        <f t="shared" si="38"/>
        <v>1</v>
      </c>
      <c r="S165" s="68">
        <f t="shared" si="39"/>
        <v>2</v>
      </c>
      <c r="T165" s="65"/>
      <c r="U165" s="65"/>
      <c r="V165" s="49" t="str">
        <f t="shared" si="40"/>
        <v/>
      </c>
      <c r="W165" s="68">
        <f>IF(V165="",0,DATEDIF(V165,P165,"Y"))</f>
        <v>0</v>
      </c>
      <c r="X165" s="68">
        <f>IF(V165="",0,DATEDIF(V165,P165,"YM"))</f>
        <v>0</v>
      </c>
      <c r="Y165" s="68">
        <f>IF(V165="",0,DATEDIF(V165,P165,"MD"))</f>
        <v>0</v>
      </c>
      <c r="Z165" s="49"/>
      <c r="AA165" s="65"/>
      <c r="AB165" s="50" t="str">
        <f t="shared" si="41"/>
        <v/>
      </c>
      <c r="AC165" s="68">
        <f t="shared" si="42"/>
        <v>0</v>
      </c>
      <c r="AD165" s="68">
        <f t="shared" si="43"/>
        <v>0</v>
      </c>
      <c r="AE165" s="68">
        <f t="shared" si="44"/>
        <v>0</v>
      </c>
      <c r="AF165" s="50"/>
      <c r="AG165" s="50" t="s">
        <v>167</v>
      </c>
      <c r="AH165" s="49" t="str">
        <f>IF(AG165="นิติศาสตร์","K5-LAW","K5-POLICY")</f>
        <v>K5-POLICY</v>
      </c>
      <c r="AI165" s="72" t="str">
        <f>_xlfn.IFS(B165="","",AND(AH165="K5-LAW",AG165="นิติศาสตร์",K165="S2",T165="",Z165=""),P165,AND(AH165="K5-LAW",AG165="นิติศาสตร์",K165="S1",T165="",Z165=""),EDATE(P165,12),AND(AH165="K5-LAW",AG165="นิติศาสตร์",OR(K165="M2",K165="K4"),T165="",Z165=""),EDATE(P165,12*2),AND(AH165="K5-LAW",AG165="นิติศาสตร์",OR(Z165="M2",Z165="K4"),AC165&gt;=2,OR(AB165&lt;V165,AB165&lt;P165)),EDATE(AB165,12*2),AND(AH165="K5-LAW",AG165="นิติศาสตร์",Z165="S1",AC165&gt;=1,OR(AB165&lt;V165,AB165&lt;P165)),EDATE(AB165,12),AND(AH165="K5-LAW",AG165="นิติศาสตร์",OR(T165="M2",T165="K4"),W165&gt;=2,V165&lt;P165),EDATE(V165,12*2),AND(AH165="K5-LAW",AG165="นิติศาสตร์",T165="S1",W165&gt;=1,V165&lt;P165),EDATE(V165,12),AND(AH165="K5-LAW",AG165="นิติศาสตร์",OR(T165="S2",T165="K5")),V165,AND(AH165="K5-LAW",AG165="นิติศาสตร์",OR(K165="M2",K165="K4"),Q165&gt;=2),EDATE(P165,12*2),AND(AH165="K5-LAW",AG165="นิติศาสตร์",K165="S1",Q165&gt;=1),EDATE(P165,12),AND(AH165="K5-LAW",AG165="นิติศาสตร์",OR(K165="S2",K165="K5")),P165,AND(AH165="K5-POLICY",AG165&lt;&gt;"นิติศาสตร์",K165="S2",T165="",Z165=""),P165,AND(AH165="K5-POLICY",AG165&lt;&gt;"นิติศาสตร์",K165="S1",T165="",Z165=""),EDATE(P165,12),AND(AH165="K5-POLICY",AG165&lt;&gt;"นิติศาสตร์",OR(K165="M2",K165="K4"),T165="",Z165=""),EDATE(P165,12*2),AND(AH165="K5-POLICY",AG165&lt;&gt;"นิติศาสตร์",OR(Z165="M2",Z165="K4"),AC165&gt;=2,OR(AB165&lt;V165,AB165&lt;P165)),EDATE(AB165,12*2),AND(AH165="K5-POLICY",AG165&lt;&gt;"นิติศาสตร์",Z165="S1",AC165&gt;=1,OR(AB165&lt;V165,AB165&lt;P165)),EDATE(AB165,12),AND(AH165="K5-POLICY",AG165&lt;&gt;"นิติศาสตร์",OR(T165="M2",T165="K4"),W165&gt;=2,V165&lt;P165),EDATE(V165,12*2),AND(AH165="K5-POLICY",AG165&lt;&gt;"นิติศาสตร์",T165="S1",W165&gt;=1,V165&lt;P165),EDATE(V165,12),AND(AH165="K5-POLICY",AG165&lt;&gt;"นิติศาสตร์",OR(T165="S2",T165="K5")),V165,AND(AH165="K5-POLICY",AG165&lt;&gt;"นิติศาสตร์",OR(K165="M2",K165="K4"),Q165&gt;=2),EDATE(P165,12*2),AND(AH165="K5-POLICY",AG165&lt;&gt;"นิติศาสตร์",K165="S1",Q165&gt;=1),EDATE(P165,12),AND(AH165="K5-POLICY",AG165&lt;&gt;"นิติศาสตร์",OR(K165="S2",K165="K5")),P165,TRUE,"Check Data")</f>
        <v/>
      </c>
      <c r="AJ165" s="75" t="str">
        <f t="shared" si="45"/>
        <v>Check Data</v>
      </c>
      <c r="AK165" s="76" t="str">
        <f t="shared" si="46"/>
        <v>Check Data</v>
      </c>
      <c r="AL165" s="50" t="str">
        <f t="shared" si="47"/>
        <v>Check Data</v>
      </c>
      <c r="AM165" s="49" t="str">
        <f>IF(B165="","",IF(K165="S1","S1",INDEX(#REF!,#REF!)))</f>
        <v/>
      </c>
      <c r="AN165" s="49" t="str">
        <f>K165</f>
        <v>M2</v>
      </c>
      <c r="AO165" s="50" t="b">
        <f>K165=AM165</f>
        <v>0</v>
      </c>
      <c r="AP165" s="50"/>
    </row>
    <row r="166" spans="1:42" ht="21.75">
      <c r="A166" s="49">
        <v>164</v>
      </c>
      <c r="B166" s="50"/>
      <c r="C166" s="50"/>
      <c r="D166" s="50" t="s">
        <v>143</v>
      </c>
      <c r="E166" s="49" t="s">
        <v>190</v>
      </c>
      <c r="F166" s="49" t="str">
        <f t="shared" si="32"/>
        <v>16/03/1987</v>
      </c>
      <c r="G166" s="50">
        <f t="shared" si="33"/>
        <v>38</v>
      </c>
      <c r="H166" s="50">
        <f t="shared" si="34"/>
        <v>3</v>
      </c>
      <c r="I166" s="50">
        <f t="shared" si="35"/>
        <v>4</v>
      </c>
      <c r="J166" s="59"/>
      <c r="K166" s="49" t="s">
        <v>136</v>
      </c>
      <c r="L166" s="64"/>
      <c r="M166" s="49" t="s">
        <v>427</v>
      </c>
      <c r="N166" s="49">
        <v>2569</v>
      </c>
      <c r="O166" s="65" t="s">
        <v>294</v>
      </c>
      <c r="P166" s="49" t="str">
        <f t="shared" si="36"/>
        <v>18/05/2023</v>
      </c>
      <c r="Q166" s="68">
        <f t="shared" si="37"/>
        <v>2</v>
      </c>
      <c r="R166" s="68">
        <f t="shared" si="38"/>
        <v>1</v>
      </c>
      <c r="S166" s="68">
        <f t="shared" si="39"/>
        <v>2</v>
      </c>
      <c r="T166" s="65"/>
      <c r="U166" s="65"/>
      <c r="V166" s="49" t="str">
        <f t="shared" si="40"/>
        <v/>
      </c>
      <c r="W166" s="68">
        <f>IF(V166="",0,DATEDIF(V166,P166,"Y"))</f>
        <v>0</v>
      </c>
      <c r="X166" s="68">
        <f>IF(V166="",0,DATEDIF(V166,P166,"YM"))</f>
        <v>0</v>
      </c>
      <c r="Y166" s="68">
        <f>IF(V166="",0,DATEDIF(V166,P166,"MD"))</f>
        <v>0</v>
      </c>
      <c r="Z166" s="49"/>
      <c r="AA166" s="65"/>
      <c r="AB166" s="50" t="str">
        <f t="shared" si="41"/>
        <v/>
      </c>
      <c r="AC166" s="68">
        <f t="shared" si="42"/>
        <v>0</v>
      </c>
      <c r="AD166" s="68">
        <f t="shared" si="43"/>
        <v>0</v>
      </c>
      <c r="AE166" s="68">
        <f t="shared" si="44"/>
        <v>0</v>
      </c>
      <c r="AF166" s="50"/>
      <c r="AG166" s="50" t="s">
        <v>519</v>
      </c>
      <c r="AH166" s="49" t="str">
        <f>IF(AG166="นิติศาสตร์","K5-LAW","K5-POLICY")</f>
        <v>K5-POLICY</v>
      </c>
      <c r="AI166" s="72" t="str">
        <f>_xlfn.IFS(B166="","",AND(AH166="K5-LAW",AG166="นิติศาสตร์",K166="S2",T166="",Z166=""),P166,AND(AH166="K5-LAW",AG166="นิติศาสตร์",K166="S1",T166="",Z166=""),EDATE(P166,12),AND(AH166="K5-LAW",AG166="นิติศาสตร์",OR(K166="M2",K166="K4"),T166="",Z166=""),EDATE(P166,12*2),AND(AH166="K5-LAW",AG166="นิติศาสตร์",OR(Z166="M2",Z166="K4"),AC166&gt;=2,OR(AB166&lt;V166,AB166&lt;P166)),EDATE(AB166,12*2),AND(AH166="K5-LAW",AG166="นิติศาสตร์",Z166="S1",AC166&gt;=1,OR(AB166&lt;V166,AB166&lt;P166)),EDATE(AB166,12),AND(AH166="K5-LAW",AG166="นิติศาสตร์",OR(T166="M2",T166="K4"),W166&gt;=2,V166&lt;P166),EDATE(V166,12*2),AND(AH166="K5-LAW",AG166="นิติศาสตร์",T166="S1",W166&gt;=1,V166&lt;P166),EDATE(V166,12),AND(AH166="K5-LAW",AG166="นิติศาสตร์",OR(T166="S2",T166="K5")),V166,AND(AH166="K5-LAW",AG166="นิติศาสตร์",OR(K166="M2",K166="K4"),Q166&gt;=2),EDATE(P166,12*2),AND(AH166="K5-LAW",AG166="นิติศาสตร์",K166="S1",Q166&gt;=1),EDATE(P166,12),AND(AH166="K5-LAW",AG166="นิติศาสตร์",OR(K166="S2",K166="K5")),P166,AND(AH166="K5-POLICY",AG166&lt;&gt;"นิติศาสตร์",K166="S2",T166="",Z166=""),P166,AND(AH166="K5-POLICY",AG166&lt;&gt;"นิติศาสตร์",K166="S1",T166="",Z166=""),EDATE(P166,12),AND(AH166="K5-POLICY",AG166&lt;&gt;"นิติศาสตร์",OR(K166="M2",K166="K4"),T166="",Z166=""),EDATE(P166,12*2),AND(AH166="K5-POLICY",AG166&lt;&gt;"นิติศาสตร์",OR(Z166="M2",Z166="K4"),AC166&gt;=2,OR(AB166&lt;V166,AB166&lt;P166)),EDATE(AB166,12*2),AND(AH166="K5-POLICY",AG166&lt;&gt;"นิติศาสตร์",Z166="S1",AC166&gt;=1,OR(AB166&lt;V166,AB166&lt;P166)),EDATE(AB166,12),AND(AH166="K5-POLICY",AG166&lt;&gt;"นิติศาสตร์",OR(T166="M2",T166="K4"),W166&gt;=2,V166&lt;P166),EDATE(V166,12*2),AND(AH166="K5-POLICY",AG166&lt;&gt;"นิติศาสตร์",T166="S1",W166&gt;=1,V166&lt;P166),EDATE(V166,12),AND(AH166="K5-POLICY",AG166&lt;&gt;"นิติศาสตร์",OR(T166="S2",T166="K5")),V166,AND(AH166="K5-POLICY",AG166&lt;&gt;"นิติศาสตร์",OR(K166="M2",K166="K4"),Q166&gt;=2),EDATE(P166,12*2),AND(AH166="K5-POLICY",AG166&lt;&gt;"นิติศาสตร์",K166="S1",Q166&gt;=1),EDATE(P166,12),AND(AH166="K5-POLICY",AG166&lt;&gt;"นิติศาสตร์",OR(K166="S2",K166="K5")),P166,TRUE,"Check Data")</f>
        <v/>
      </c>
      <c r="AJ166" s="75" t="str">
        <f t="shared" si="45"/>
        <v>Check Data</v>
      </c>
      <c r="AK166" s="76" t="str">
        <f t="shared" si="46"/>
        <v>Check Data</v>
      </c>
      <c r="AL166" s="50" t="str">
        <f t="shared" si="47"/>
        <v>Check Data</v>
      </c>
      <c r="AM166" s="49" t="str">
        <f>IF(B166="","",IF(K166="S1","S1",INDEX(#REF!,#REF!)))</f>
        <v/>
      </c>
      <c r="AN166" s="49" t="str">
        <f>K166</f>
        <v>M2</v>
      </c>
      <c r="AO166" s="50" t="b">
        <f>K166=AM166</f>
        <v>0</v>
      </c>
      <c r="AP166" s="50"/>
    </row>
    <row r="167" spans="1:42" ht="21.75">
      <c r="A167" s="49">
        <v>165</v>
      </c>
      <c r="B167" s="50"/>
      <c r="C167" s="50"/>
      <c r="D167" s="50" t="s">
        <v>143</v>
      </c>
      <c r="E167" s="49" t="s">
        <v>370</v>
      </c>
      <c r="F167" s="49" t="str">
        <f t="shared" si="32"/>
        <v>15/04/1988</v>
      </c>
      <c r="G167" s="50">
        <f t="shared" si="33"/>
        <v>37</v>
      </c>
      <c r="H167" s="50">
        <f t="shared" si="34"/>
        <v>2</v>
      </c>
      <c r="I167" s="50">
        <f t="shared" si="35"/>
        <v>5</v>
      </c>
      <c r="J167" s="59"/>
      <c r="K167" s="49" t="s">
        <v>136</v>
      </c>
      <c r="L167" s="64"/>
      <c r="M167" s="49" t="s">
        <v>427</v>
      </c>
      <c r="N167" s="49">
        <v>2569</v>
      </c>
      <c r="O167" s="65" t="s">
        <v>294</v>
      </c>
      <c r="P167" s="49" t="str">
        <f t="shared" si="36"/>
        <v>18/05/2023</v>
      </c>
      <c r="Q167" s="68">
        <f t="shared" si="37"/>
        <v>2</v>
      </c>
      <c r="R167" s="68">
        <f t="shared" si="38"/>
        <v>1</v>
      </c>
      <c r="S167" s="68">
        <f t="shared" si="39"/>
        <v>2</v>
      </c>
      <c r="T167" s="65"/>
      <c r="U167" s="65"/>
      <c r="V167" s="49" t="str">
        <f t="shared" si="40"/>
        <v/>
      </c>
      <c r="W167" s="68">
        <f>IF(V167="",0,DATEDIF(V167,P167,"Y"))</f>
        <v>0</v>
      </c>
      <c r="X167" s="68">
        <f>IF(V167="",0,DATEDIF(V167,P167,"YM"))</f>
        <v>0</v>
      </c>
      <c r="Y167" s="68">
        <f>IF(V167="",0,DATEDIF(V167,P167,"MD"))</f>
        <v>0</v>
      </c>
      <c r="Z167" s="49"/>
      <c r="AA167" s="65"/>
      <c r="AB167" s="50" t="str">
        <f t="shared" si="41"/>
        <v/>
      </c>
      <c r="AC167" s="68">
        <f t="shared" si="42"/>
        <v>0</v>
      </c>
      <c r="AD167" s="68">
        <f t="shared" si="43"/>
        <v>0</v>
      </c>
      <c r="AE167" s="68">
        <f t="shared" si="44"/>
        <v>0</v>
      </c>
      <c r="AF167" s="50"/>
      <c r="AG167" s="50" t="s">
        <v>482</v>
      </c>
      <c r="AH167" s="49" t="str">
        <f>IF(AG167="นิติศาสตร์","K5-LAW","K5-POLICY")</f>
        <v>K5-POLICY</v>
      </c>
      <c r="AI167" s="72" t="str">
        <f>_xlfn.IFS(B167="","",AND(AH167="K5-LAW",AG167="นิติศาสตร์",K167="S2",T167="",Z167=""),P167,AND(AH167="K5-LAW",AG167="นิติศาสตร์",K167="S1",T167="",Z167=""),EDATE(P167,12),AND(AH167="K5-LAW",AG167="นิติศาสตร์",OR(K167="M2",K167="K4"),T167="",Z167=""),EDATE(P167,12*2),AND(AH167="K5-LAW",AG167="นิติศาสตร์",OR(Z167="M2",Z167="K4"),AC167&gt;=2,OR(AB167&lt;V167,AB167&lt;P167)),EDATE(AB167,12*2),AND(AH167="K5-LAW",AG167="นิติศาสตร์",Z167="S1",AC167&gt;=1,OR(AB167&lt;V167,AB167&lt;P167)),EDATE(AB167,12),AND(AH167="K5-LAW",AG167="นิติศาสตร์",OR(T167="M2",T167="K4"),W167&gt;=2,V167&lt;P167),EDATE(V167,12*2),AND(AH167="K5-LAW",AG167="นิติศาสตร์",T167="S1",W167&gt;=1,V167&lt;P167),EDATE(V167,12),AND(AH167="K5-LAW",AG167="นิติศาสตร์",OR(T167="S2",T167="K5")),V167,AND(AH167="K5-LAW",AG167="นิติศาสตร์",OR(K167="M2",K167="K4"),Q167&gt;=2),EDATE(P167,12*2),AND(AH167="K5-LAW",AG167="นิติศาสตร์",K167="S1",Q167&gt;=1),EDATE(P167,12),AND(AH167="K5-LAW",AG167="นิติศาสตร์",OR(K167="S2",K167="K5")),P167,AND(AH167="K5-POLICY",AG167&lt;&gt;"นิติศาสตร์",K167="S2",T167="",Z167=""),P167,AND(AH167="K5-POLICY",AG167&lt;&gt;"นิติศาสตร์",K167="S1",T167="",Z167=""),EDATE(P167,12),AND(AH167="K5-POLICY",AG167&lt;&gt;"นิติศาสตร์",OR(K167="M2",K167="K4"),T167="",Z167=""),EDATE(P167,12*2),AND(AH167="K5-POLICY",AG167&lt;&gt;"นิติศาสตร์",OR(Z167="M2",Z167="K4"),AC167&gt;=2,OR(AB167&lt;V167,AB167&lt;P167)),EDATE(AB167,12*2),AND(AH167="K5-POLICY",AG167&lt;&gt;"นิติศาสตร์",Z167="S1",AC167&gt;=1,OR(AB167&lt;V167,AB167&lt;P167)),EDATE(AB167,12),AND(AH167="K5-POLICY",AG167&lt;&gt;"นิติศาสตร์",OR(T167="M2",T167="K4"),W167&gt;=2,V167&lt;P167),EDATE(V167,12*2),AND(AH167="K5-POLICY",AG167&lt;&gt;"นิติศาสตร์",T167="S1",W167&gt;=1,V167&lt;P167),EDATE(V167,12),AND(AH167="K5-POLICY",AG167&lt;&gt;"นิติศาสตร์",OR(T167="S2",T167="K5")),V167,AND(AH167="K5-POLICY",AG167&lt;&gt;"นิติศาสตร์",OR(K167="M2",K167="K4"),Q167&gt;=2),EDATE(P167,12*2),AND(AH167="K5-POLICY",AG167&lt;&gt;"นิติศาสตร์",K167="S1",Q167&gt;=1),EDATE(P167,12),AND(AH167="K5-POLICY",AG167&lt;&gt;"นิติศาสตร์",OR(K167="S2",K167="K5")),P167,TRUE,"Check Data")</f>
        <v/>
      </c>
      <c r="AJ167" s="75" t="str">
        <f t="shared" si="45"/>
        <v>Check Data</v>
      </c>
      <c r="AK167" s="76" t="str">
        <f t="shared" si="46"/>
        <v>Check Data</v>
      </c>
      <c r="AL167" s="50" t="str">
        <f t="shared" si="47"/>
        <v>Check Data</v>
      </c>
      <c r="AM167" s="49" t="str">
        <f>IF(B167="","",IF(K167="S1","S1",INDEX(#REF!,#REF!)))</f>
        <v/>
      </c>
      <c r="AN167" s="49" t="str">
        <f>K167</f>
        <v>M2</v>
      </c>
      <c r="AO167" s="50" t="b">
        <f>K167=AM167</f>
        <v>0</v>
      </c>
      <c r="AP167" s="50"/>
    </row>
    <row r="168" spans="1:42" ht="21.75">
      <c r="A168" s="49">
        <v>166</v>
      </c>
      <c r="B168" s="50"/>
      <c r="C168" s="50"/>
      <c r="D168" s="50" t="s">
        <v>143</v>
      </c>
      <c r="E168" s="49" t="s">
        <v>361</v>
      </c>
      <c r="F168" s="49" t="str">
        <f t="shared" si="32"/>
        <v>10/10/1999</v>
      </c>
      <c r="G168" s="50">
        <f t="shared" si="33"/>
        <v>25</v>
      </c>
      <c r="H168" s="50">
        <f t="shared" si="34"/>
        <v>8</v>
      </c>
      <c r="I168" s="50">
        <f t="shared" si="35"/>
        <v>10</v>
      </c>
      <c r="J168" s="59"/>
      <c r="K168" s="49" t="s">
        <v>136</v>
      </c>
      <c r="L168" s="64"/>
      <c r="M168" s="49" t="s">
        <v>427</v>
      </c>
      <c r="N168" s="49">
        <v>2574</v>
      </c>
      <c r="O168" s="65" t="s">
        <v>294</v>
      </c>
      <c r="P168" s="49" t="str">
        <f t="shared" si="36"/>
        <v>18/05/2023</v>
      </c>
      <c r="Q168" s="68">
        <f t="shared" si="37"/>
        <v>2</v>
      </c>
      <c r="R168" s="68">
        <f t="shared" si="38"/>
        <v>1</v>
      </c>
      <c r="S168" s="68">
        <f t="shared" si="39"/>
        <v>2</v>
      </c>
      <c r="T168" s="65"/>
      <c r="U168" s="65"/>
      <c r="V168" s="49" t="str">
        <f t="shared" si="40"/>
        <v/>
      </c>
      <c r="W168" s="68">
        <f>IF(V168="",0,DATEDIF(V168,P168,"Y"))</f>
        <v>0</v>
      </c>
      <c r="X168" s="68">
        <f>IF(V168="",0,DATEDIF(V168,P168,"YM"))</f>
        <v>0</v>
      </c>
      <c r="Y168" s="68">
        <f>IF(V168="",0,DATEDIF(V168,P168,"MD"))</f>
        <v>0</v>
      </c>
      <c r="Z168" s="49"/>
      <c r="AA168" s="65"/>
      <c r="AB168" s="50" t="str">
        <f t="shared" si="41"/>
        <v/>
      </c>
      <c r="AC168" s="68">
        <f t="shared" si="42"/>
        <v>0</v>
      </c>
      <c r="AD168" s="68">
        <f t="shared" si="43"/>
        <v>0</v>
      </c>
      <c r="AE168" s="68">
        <f t="shared" si="44"/>
        <v>0</v>
      </c>
      <c r="AF168" s="50"/>
      <c r="AG168" s="50" t="s">
        <v>513</v>
      </c>
      <c r="AH168" s="49" t="str">
        <f>IF(AG168="นิติศาสตร์","K5-LAW","K5-POLICY")</f>
        <v>K5-POLICY</v>
      </c>
      <c r="AI168" s="72" t="str">
        <f>_xlfn.IFS(B168="","",AND(AH168="K5-LAW",AG168="นิติศาสตร์",K168="S2",T168="",Z168=""),P168,AND(AH168="K5-LAW",AG168="นิติศาสตร์",K168="S1",T168="",Z168=""),EDATE(P168,12),AND(AH168="K5-LAW",AG168="นิติศาสตร์",OR(K168="M2",K168="K4"),T168="",Z168=""),EDATE(P168,12*2),AND(AH168="K5-LAW",AG168="นิติศาสตร์",OR(Z168="M2",Z168="K4"),AC168&gt;=2,OR(AB168&lt;V168,AB168&lt;P168)),EDATE(AB168,12*2),AND(AH168="K5-LAW",AG168="นิติศาสตร์",Z168="S1",AC168&gt;=1,OR(AB168&lt;V168,AB168&lt;P168)),EDATE(AB168,12),AND(AH168="K5-LAW",AG168="นิติศาสตร์",OR(T168="M2",T168="K4"),W168&gt;=2,V168&lt;P168),EDATE(V168,12*2),AND(AH168="K5-LAW",AG168="นิติศาสตร์",T168="S1",W168&gt;=1,V168&lt;P168),EDATE(V168,12),AND(AH168="K5-LAW",AG168="นิติศาสตร์",OR(T168="S2",T168="K5")),V168,AND(AH168="K5-LAW",AG168="นิติศาสตร์",OR(K168="M2",K168="K4"),Q168&gt;=2),EDATE(P168,12*2),AND(AH168="K5-LAW",AG168="นิติศาสตร์",K168="S1",Q168&gt;=1),EDATE(P168,12),AND(AH168="K5-LAW",AG168="นิติศาสตร์",OR(K168="S2",K168="K5")),P168,AND(AH168="K5-POLICY",AG168&lt;&gt;"นิติศาสตร์",K168="S2",T168="",Z168=""),P168,AND(AH168="K5-POLICY",AG168&lt;&gt;"นิติศาสตร์",K168="S1",T168="",Z168=""),EDATE(P168,12),AND(AH168="K5-POLICY",AG168&lt;&gt;"นิติศาสตร์",OR(K168="M2",K168="K4"),T168="",Z168=""),EDATE(P168,12*2),AND(AH168="K5-POLICY",AG168&lt;&gt;"นิติศาสตร์",OR(Z168="M2",Z168="K4"),AC168&gt;=2,OR(AB168&lt;V168,AB168&lt;P168)),EDATE(AB168,12*2),AND(AH168="K5-POLICY",AG168&lt;&gt;"นิติศาสตร์",Z168="S1",AC168&gt;=1,OR(AB168&lt;V168,AB168&lt;P168)),EDATE(AB168,12),AND(AH168="K5-POLICY",AG168&lt;&gt;"นิติศาสตร์",OR(T168="M2",T168="K4"),W168&gt;=2,V168&lt;P168),EDATE(V168,12*2),AND(AH168="K5-POLICY",AG168&lt;&gt;"นิติศาสตร์",T168="S1",W168&gt;=1,V168&lt;P168),EDATE(V168,12),AND(AH168="K5-POLICY",AG168&lt;&gt;"นิติศาสตร์",OR(T168="S2",T168="K5")),V168,AND(AH168="K5-POLICY",AG168&lt;&gt;"นิติศาสตร์",OR(K168="M2",K168="K4"),Q168&gt;=2),EDATE(P168,12*2),AND(AH168="K5-POLICY",AG168&lt;&gt;"นิติศาสตร์",K168="S1",Q168&gt;=1),EDATE(P168,12),AND(AH168="K5-POLICY",AG168&lt;&gt;"นิติศาสตร์",OR(K168="S2",K168="K5")),P168,TRUE,"Check Data")</f>
        <v/>
      </c>
      <c r="AJ168" s="75" t="str">
        <f t="shared" si="45"/>
        <v>Check Data</v>
      </c>
      <c r="AK168" s="76" t="str">
        <f t="shared" si="46"/>
        <v>Check Data</v>
      </c>
      <c r="AL168" s="50" t="str">
        <f t="shared" si="47"/>
        <v>Check Data</v>
      </c>
      <c r="AM168" s="49" t="str">
        <f>IF(B168="","",IF(K168="S1","S1",INDEX(#REF!,#REF!)))</f>
        <v/>
      </c>
      <c r="AN168" s="49" t="str">
        <f>K168</f>
        <v>M2</v>
      </c>
      <c r="AO168" s="50" t="b">
        <f>K168=AM168</f>
        <v>0</v>
      </c>
      <c r="AP168" s="50"/>
    </row>
    <row r="169" spans="1:42" ht="21.75">
      <c r="A169" s="49">
        <v>167</v>
      </c>
      <c r="B169" s="50"/>
      <c r="C169" s="50"/>
      <c r="D169" s="50" t="s">
        <v>143</v>
      </c>
      <c r="E169" s="49" t="s">
        <v>364</v>
      </c>
      <c r="F169" s="49" t="str">
        <f t="shared" si="32"/>
        <v>03/10/1994</v>
      </c>
      <c r="G169" s="50">
        <f t="shared" si="33"/>
        <v>30</v>
      </c>
      <c r="H169" s="50">
        <f t="shared" si="34"/>
        <v>8</v>
      </c>
      <c r="I169" s="50">
        <f t="shared" si="35"/>
        <v>17</v>
      </c>
      <c r="J169" s="59"/>
      <c r="K169" s="49" t="s">
        <v>136</v>
      </c>
      <c r="L169" s="64"/>
      <c r="M169" s="49" t="s">
        <v>427</v>
      </c>
      <c r="N169" s="49">
        <v>2576</v>
      </c>
      <c r="O169" s="65" t="s">
        <v>294</v>
      </c>
      <c r="P169" s="49" t="str">
        <f t="shared" si="36"/>
        <v>18/05/2023</v>
      </c>
      <c r="Q169" s="68">
        <f t="shared" si="37"/>
        <v>2</v>
      </c>
      <c r="R169" s="68">
        <f t="shared" si="38"/>
        <v>1</v>
      </c>
      <c r="S169" s="68">
        <f t="shared" si="39"/>
        <v>2</v>
      </c>
      <c r="T169" s="65"/>
      <c r="U169" s="65"/>
      <c r="V169" s="49" t="str">
        <f t="shared" si="40"/>
        <v/>
      </c>
      <c r="W169" s="68">
        <f>IF(V169="",0,DATEDIF(V169,P169,"Y"))</f>
        <v>0</v>
      </c>
      <c r="X169" s="68">
        <f>IF(V169="",0,DATEDIF(V169,P169,"YM"))</f>
        <v>0</v>
      </c>
      <c r="Y169" s="68">
        <f>IF(V169="",0,DATEDIF(V169,P169,"MD"))</f>
        <v>0</v>
      </c>
      <c r="Z169" s="49"/>
      <c r="AA169" s="65"/>
      <c r="AB169" s="50" t="str">
        <f t="shared" si="41"/>
        <v/>
      </c>
      <c r="AC169" s="68">
        <f t="shared" si="42"/>
        <v>0</v>
      </c>
      <c r="AD169" s="68">
        <f t="shared" si="43"/>
        <v>0</v>
      </c>
      <c r="AE169" s="68">
        <f t="shared" si="44"/>
        <v>0</v>
      </c>
      <c r="AF169" s="50"/>
      <c r="AG169" s="50" t="s">
        <v>482</v>
      </c>
      <c r="AH169" s="49" t="str">
        <f>IF(AG169="นิติศาสตร์","K5-LAW","K5-POLICY")</f>
        <v>K5-POLICY</v>
      </c>
      <c r="AI169" s="72" t="str">
        <f>_xlfn.IFS(B169="","",AND(AH169="K5-LAW",AG169="นิติศาสตร์",K169="S2",T169="",Z169=""),P169,AND(AH169="K5-LAW",AG169="นิติศาสตร์",K169="S1",T169="",Z169=""),EDATE(P169,12),AND(AH169="K5-LAW",AG169="นิติศาสตร์",OR(K169="M2",K169="K4"),T169="",Z169=""),EDATE(P169,12*2),AND(AH169="K5-LAW",AG169="นิติศาสตร์",OR(Z169="M2",Z169="K4"),AC169&gt;=2,OR(AB169&lt;V169,AB169&lt;P169)),EDATE(AB169,12*2),AND(AH169="K5-LAW",AG169="นิติศาสตร์",Z169="S1",AC169&gt;=1,OR(AB169&lt;V169,AB169&lt;P169)),EDATE(AB169,12),AND(AH169="K5-LAW",AG169="นิติศาสตร์",OR(T169="M2",T169="K4"),W169&gt;=2,V169&lt;P169),EDATE(V169,12*2),AND(AH169="K5-LAW",AG169="นิติศาสตร์",T169="S1",W169&gt;=1,V169&lt;P169),EDATE(V169,12),AND(AH169="K5-LAW",AG169="นิติศาสตร์",OR(T169="S2",T169="K5")),V169,AND(AH169="K5-LAW",AG169="นิติศาสตร์",OR(K169="M2",K169="K4"),Q169&gt;=2),EDATE(P169,12*2),AND(AH169="K5-LAW",AG169="นิติศาสตร์",K169="S1",Q169&gt;=1),EDATE(P169,12),AND(AH169="K5-LAW",AG169="นิติศาสตร์",OR(K169="S2",K169="K5")),P169,AND(AH169="K5-POLICY",AG169&lt;&gt;"นิติศาสตร์",K169="S2",T169="",Z169=""),P169,AND(AH169="K5-POLICY",AG169&lt;&gt;"นิติศาสตร์",K169="S1",T169="",Z169=""),EDATE(P169,12),AND(AH169="K5-POLICY",AG169&lt;&gt;"นิติศาสตร์",OR(K169="M2",K169="K4"),T169="",Z169=""),EDATE(P169,12*2),AND(AH169="K5-POLICY",AG169&lt;&gt;"นิติศาสตร์",OR(Z169="M2",Z169="K4"),AC169&gt;=2,OR(AB169&lt;V169,AB169&lt;P169)),EDATE(AB169,12*2),AND(AH169="K5-POLICY",AG169&lt;&gt;"นิติศาสตร์",Z169="S1",AC169&gt;=1,OR(AB169&lt;V169,AB169&lt;P169)),EDATE(AB169,12),AND(AH169="K5-POLICY",AG169&lt;&gt;"นิติศาสตร์",OR(T169="M2",T169="K4"),W169&gt;=2,V169&lt;P169),EDATE(V169,12*2),AND(AH169="K5-POLICY",AG169&lt;&gt;"นิติศาสตร์",T169="S1",W169&gt;=1,V169&lt;P169),EDATE(V169,12),AND(AH169="K5-POLICY",AG169&lt;&gt;"นิติศาสตร์",OR(T169="S2",T169="K5")),V169,AND(AH169="K5-POLICY",AG169&lt;&gt;"นิติศาสตร์",OR(K169="M2",K169="K4"),Q169&gt;=2),EDATE(P169,12*2),AND(AH169="K5-POLICY",AG169&lt;&gt;"นิติศาสตร์",K169="S1",Q169&gt;=1),EDATE(P169,12),AND(AH169="K5-POLICY",AG169&lt;&gt;"นิติศาสตร์",OR(K169="S2",K169="K5")),P169,TRUE,"Check Data")</f>
        <v/>
      </c>
      <c r="AJ169" s="75" t="str">
        <f t="shared" si="45"/>
        <v>Check Data</v>
      </c>
      <c r="AK169" s="76" t="str">
        <f t="shared" si="46"/>
        <v>Check Data</v>
      </c>
      <c r="AL169" s="50" t="str">
        <f t="shared" si="47"/>
        <v>Check Data</v>
      </c>
      <c r="AM169" s="49" t="str">
        <f>IF(B169="","",IF(K169="S1","S1",INDEX(#REF!,#REF!)))</f>
        <v/>
      </c>
      <c r="AN169" s="49" t="str">
        <f>K169</f>
        <v>M2</v>
      </c>
      <c r="AO169" s="50" t="b">
        <f>K169=AM169</f>
        <v>0</v>
      </c>
      <c r="AP169" s="50"/>
    </row>
    <row r="170" spans="1:42" ht="21.75">
      <c r="A170" s="49">
        <v>168</v>
      </c>
      <c r="B170" s="50"/>
      <c r="C170" s="50"/>
      <c r="D170" s="50" t="s">
        <v>143</v>
      </c>
      <c r="E170" s="49" t="s">
        <v>352</v>
      </c>
      <c r="F170" s="49" t="str">
        <f t="shared" si="32"/>
        <v>01/07/1997</v>
      </c>
      <c r="G170" s="50">
        <f t="shared" si="33"/>
        <v>27</v>
      </c>
      <c r="H170" s="50">
        <f t="shared" si="34"/>
        <v>11</v>
      </c>
      <c r="I170" s="50">
        <f t="shared" si="35"/>
        <v>19</v>
      </c>
      <c r="J170" s="59"/>
      <c r="K170" s="49" t="s">
        <v>136</v>
      </c>
      <c r="L170" s="64"/>
      <c r="M170" s="49" t="s">
        <v>427</v>
      </c>
      <c r="N170" s="49">
        <v>2575</v>
      </c>
      <c r="O170" s="65" t="s">
        <v>294</v>
      </c>
      <c r="P170" s="49" t="str">
        <f t="shared" si="36"/>
        <v>18/05/2023</v>
      </c>
      <c r="Q170" s="68">
        <f t="shared" si="37"/>
        <v>2</v>
      </c>
      <c r="R170" s="68">
        <f t="shared" si="38"/>
        <v>1</v>
      </c>
      <c r="S170" s="68">
        <f t="shared" si="39"/>
        <v>2</v>
      </c>
      <c r="T170" s="65"/>
      <c r="U170" s="65"/>
      <c r="V170" s="49" t="str">
        <f t="shared" si="40"/>
        <v/>
      </c>
      <c r="W170" s="68">
        <f>IF(V170="",0,DATEDIF(V170,P170,"Y"))</f>
        <v>0</v>
      </c>
      <c r="X170" s="68">
        <f>IF(V170="",0,DATEDIF(V170,P170,"YM"))</f>
        <v>0</v>
      </c>
      <c r="Y170" s="68">
        <f>IF(V170="",0,DATEDIF(V170,P170,"MD"))</f>
        <v>0</v>
      </c>
      <c r="Z170" s="49"/>
      <c r="AA170" s="65"/>
      <c r="AB170" s="50" t="str">
        <f t="shared" si="41"/>
        <v/>
      </c>
      <c r="AC170" s="68">
        <f t="shared" si="42"/>
        <v>0</v>
      </c>
      <c r="AD170" s="68">
        <f t="shared" si="43"/>
        <v>0</v>
      </c>
      <c r="AE170" s="68">
        <f t="shared" si="44"/>
        <v>0</v>
      </c>
      <c r="AF170" s="50"/>
      <c r="AG170" s="50" t="s">
        <v>486</v>
      </c>
      <c r="AH170" s="49" t="str">
        <f>IF(AG170="นิติศาสตร์","K5-LAW","K5-POLICY")</f>
        <v>K5-POLICY</v>
      </c>
      <c r="AI170" s="72" t="str">
        <f>_xlfn.IFS(B170="","",AND(AH170="K5-LAW",AG170="นิติศาสตร์",K170="S2",T170="",Z170=""),P170,AND(AH170="K5-LAW",AG170="นิติศาสตร์",K170="S1",T170="",Z170=""),EDATE(P170,12),AND(AH170="K5-LAW",AG170="นิติศาสตร์",OR(K170="M2",K170="K4"),T170="",Z170=""),EDATE(P170,12*2),AND(AH170="K5-LAW",AG170="นิติศาสตร์",OR(Z170="M2",Z170="K4"),AC170&gt;=2,OR(AB170&lt;V170,AB170&lt;P170)),EDATE(AB170,12*2),AND(AH170="K5-LAW",AG170="นิติศาสตร์",Z170="S1",AC170&gt;=1,OR(AB170&lt;V170,AB170&lt;P170)),EDATE(AB170,12),AND(AH170="K5-LAW",AG170="นิติศาสตร์",OR(T170="M2",T170="K4"),W170&gt;=2,V170&lt;P170),EDATE(V170,12*2),AND(AH170="K5-LAW",AG170="นิติศาสตร์",T170="S1",W170&gt;=1,V170&lt;P170),EDATE(V170,12),AND(AH170="K5-LAW",AG170="นิติศาสตร์",OR(T170="S2",T170="K5")),V170,AND(AH170="K5-LAW",AG170="นิติศาสตร์",OR(K170="M2",K170="K4"),Q170&gt;=2),EDATE(P170,12*2),AND(AH170="K5-LAW",AG170="นิติศาสตร์",K170="S1",Q170&gt;=1),EDATE(P170,12),AND(AH170="K5-LAW",AG170="นิติศาสตร์",OR(K170="S2",K170="K5")),P170,AND(AH170="K5-POLICY",AG170&lt;&gt;"นิติศาสตร์",K170="S2",T170="",Z170=""),P170,AND(AH170="K5-POLICY",AG170&lt;&gt;"นิติศาสตร์",K170="S1",T170="",Z170=""),EDATE(P170,12),AND(AH170="K5-POLICY",AG170&lt;&gt;"นิติศาสตร์",OR(K170="M2",K170="K4"),T170="",Z170=""),EDATE(P170,12*2),AND(AH170="K5-POLICY",AG170&lt;&gt;"นิติศาสตร์",OR(Z170="M2",Z170="K4"),AC170&gt;=2,OR(AB170&lt;V170,AB170&lt;P170)),EDATE(AB170,12*2),AND(AH170="K5-POLICY",AG170&lt;&gt;"นิติศาสตร์",Z170="S1",AC170&gt;=1,OR(AB170&lt;V170,AB170&lt;P170)),EDATE(AB170,12),AND(AH170="K5-POLICY",AG170&lt;&gt;"นิติศาสตร์",OR(T170="M2",T170="K4"),W170&gt;=2,V170&lt;P170),EDATE(V170,12*2),AND(AH170="K5-POLICY",AG170&lt;&gt;"นิติศาสตร์",T170="S1",W170&gt;=1,V170&lt;P170),EDATE(V170,12),AND(AH170="K5-POLICY",AG170&lt;&gt;"นิติศาสตร์",OR(T170="S2",T170="K5")),V170,AND(AH170="K5-POLICY",AG170&lt;&gt;"นิติศาสตร์",OR(K170="M2",K170="K4"),Q170&gt;=2),EDATE(P170,12*2),AND(AH170="K5-POLICY",AG170&lt;&gt;"นิติศาสตร์",K170="S1",Q170&gt;=1),EDATE(P170,12),AND(AH170="K5-POLICY",AG170&lt;&gt;"นิติศาสตร์",OR(K170="S2",K170="K5")),P170,TRUE,"Check Data")</f>
        <v/>
      </c>
      <c r="AJ170" s="75" t="str">
        <f t="shared" si="45"/>
        <v>Check Data</v>
      </c>
      <c r="AK170" s="76" t="str">
        <f t="shared" si="46"/>
        <v>Check Data</v>
      </c>
      <c r="AL170" s="50" t="str">
        <f t="shared" si="47"/>
        <v>Check Data</v>
      </c>
      <c r="AM170" s="49" t="str">
        <f>IF(B170="","",IF(K170="S1","S1",INDEX(#REF!,#REF!)))</f>
        <v/>
      </c>
      <c r="AN170" s="49" t="str">
        <f>K170</f>
        <v>M2</v>
      </c>
      <c r="AO170" s="50" t="b">
        <f>K170=AM170</f>
        <v>0</v>
      </c>
      <c r="AP170" s="50"/>
    </row>
    <row r="171" spans="1:42" ht="21.75">
      <c r="A171" s="49">
        <v>169</v>
      </c>
      <c r="B171" s="50"/>
      <c r="C171" s="50"/>
      <c r="D171" s="50" t="s">
        <v>143</v>
      </c>
      <c r="E171" s="49" t="s">
        <v>352</v>
      </c>
      <c r="F171" s="49" t="str">
        <f t="shared" si="32"/>
        <v>01/07/1997</v>
      </c>
      <c r="G171" s="50">
        <f t="shared" si="33"/>
        <v>27</v>
      </c>
      <c r="H171" s="50">
        <f t="shared" si="34"/>
        <v>11</v>
      </c>
      <c r="I171" s="50">
        <f t="shared" si="35"/>
        <v>19</v>
      </c>
      <c r="J171" s="59"/>
      <c r="K171" s="49" t="s">
        <v>136</v>
      </c>
      <c r="L171" s="64"/>
      <c r="M171" s="49" t="s">
        <v>427</v>
      </c>
      <c r="N171" s="49">
        <v>2576</v>
      </c>
      <c r="O171" s="65" t="s">
        <v>294</v>
      </c>
      <c r="P171" s="49" t="str">
        <f t="shared" si="36"/>
        <v>18/05/2023</v>
      </c>
      <c r="Q171" s="68">
        <f t="shared" si="37"/>
        <v>2</v>
      </c>
      <c r="R171" s="68">
        <f t="shared" si="38"/>
        <v>1</v>
      </c>
      <c r="S171" s="68">
        <f t="shared" si="39"/>
        <v>2</v>
      </c>
      <c r="T171" s="65"/>
      <c r="U171" s="65"/>
      <c r="V171" s="49" t="str">
        <f t="shared" si="40"/>
        <v/>
      </c>
      <c r="W171" s="68">
        <f>IF(V171="",0,DATEDIF(V171,P171,"Y"))</f>
        <v>0</v>
      </c>
      <c r="X171" s="68">
        <f>IF(V171="",0,DATEDIF(V171,P171,"YM"))</f>
        <v>0</v>
      </c>
      <c r="Y171" s="68">
        <f>IF(V171="",0,DATEDIF(V171,P171,"MD"))</f>
        <v>0</v>
      </c>
      <c r="Z171" s="49"/>
      <c r="AA171" s="65"/>
      <c r="AB171" s="50" t="str">
        <f t="shared" si="41"/>
        <v/>
      </c>
      <c r="AC171" s="68">
        <f t="shared" si="42"/>
        <v>0</v>
      </c>
      <c r="AD171" s="68">
        <f t="shared" si="43"/>
        <v>0</v>
      </c>
      <c r="AE171" s="68">
        <f t="shared" si="44"/>
        <v>0</v>
      </c>
      <c r="AF171" s="50"/>
      <c r="AG171" s="50" t="s">
        <v>520</v>
      </c>
      <c r="AH171" s="49" t="str">
        <f>IF(AG171="นิติศาสตร์","K5-LAW","K5-POLICY")</f>
        <v>K5-POLICY</v>
      </c>
      <c r="AI171" s="72" t="str">
        <f>_xlfn.IFS(B171="","",AND(AH171="K5-LAW",AG171="นิติศาสตร์",K171="S2",T171="",Z171=""),P171,AND(AH171="K5-LAW",AG171="นิติศาสตร์",K171="S1",T171="",Z171=""),EDATE(P171,12),AND(AH171="K5-LAW",AG171="นิติศาสตร์",OR(K171="M2",K171="K4"),T171="",Z171=""),EDATE(P171,12*2),AND(AH171="K5-LAW",AG171="นิติศาสตร์",OR(Z171="M2",Z171="K4"),AC171&gt;=2,OR(AB171&lt;V171,AB171&lt;P171)),EDATE(AB171,12*2),AND(AH171="K5-LAW",AG171="นิติศาสตร์",Z171="S1",AC171&gt;=1,OR(AB171&lt;V171,AB171&lt;P171)),EDATE(AB171,12),AND(AH171="K5-LAW",AG171="นิติศาสตร์",OR(T171="M2",T171="K4"),W171&gt;=2,V171&lt;P171),EDATE(V171,12*2),AND(AH171="K5-LAW",AG171="นิติศาสตร์",T171="S1",W171&gt;=1,V171&lt;P171),EDATE(V171,12),AND(AH171="K5-LAW",AG171="นิติศาสตร์",OR(T171="S2",T171="K5")),V171,AND(AH171="K5-LAW",AG171="นิติศาสตร์",OR(K171="M2",K171="K4"),Q171&gt;=2),EDATE(P171,12*2),AND(AH171="K5-LAW",AG171="นิติศาสตร์",K171="S1",Q171&gt;=1),EDATE(P171,12),AND(AH171="K5-LAW",AG171="นิติศาสตร์",OR(K171="S2",K171="K5")),P171,AND(AH171="K5-POLICY",AG171&lt;&gt;"นิติศาสตร์",K171="S2",T171="",Z171=""),P171,AND(AH171="K5-POLICY",AG171&lt;&gt;"นิติศาสตร์",K171="S1",T171="",Z171=""),EDATE(P171,12),AND(AH171="K5-POLICY",AG171&lt;&gt;"นิติศาสตร์",OR(K171="M2",K171="K4"),T171="",Z171=""),EDATE(P171,12*2),AND(AH171="K5-POLICY",AG171&lt;&gt;"นิติศาสตร์",OR(Z171="M2",Z171="K4"),AC171&gt;=2,OR(AB171&lt;V171,AB171&lt;P171)),EDATE(AB171,12*2),AND(AH171="K5-POLICY",AG171&lt;&gt;"นิติศาสตร์",Z171="S1",AC171&gt;=1,OR(AB171&lt;V171,AB171&lt;P171)),EDATE(AB171,12),AND(AH171="K5-POLICY",AG171&lt;&gt;"นิติศาสตร์",OR(T171="M2",T171="K4"),W171&gt;=2,V171&lt;P171),EDATE(V171,12*2),AND(AH171="K5-POLICY",AG171&lt;&gt;"นิติศาสตร์",T171="S1",W171&gt;=1,V171&lt;P171),EDATE(V171,12),AND(AH171="K5-POLICY",AG171&lt;&gt;"นิติศาสตร์",OR(T171="S2",T171="K5")),V171,AND(AH171="K5-POLICY",AG171&lt;&gt;"นิติศาสตร์",OR(K171="M2",K171="K4"),Q171&gt;=2),EDATE(P171,12*2),AND(AH171="K5-POLICY",AG171&lt;&gt;"นิติศาสตร์",K171="S1",Q171&gt;=1),EDATE(P171,12),AND(AH171="K5-POLICY",AG171&lt;&gt;"นิติศาสตร์",OR(K171="S2",K171="K5")),P171,TRUE,"Check Data")</f>
        <v/>
      </c>
      <c r="AJ171" s="75" t="str">
        <f t="shared" si="45"/>
        <v>Check Data</v>
      </c>
      <c r="AK171" s="76" t="str">
        <f t="shared" si="46"/>
        <v>Check Data</v>
      </c>
      <c r="AL171" s="50" t="str">
        <f t="shared" si="47"/>
        <v>Check Data</v>
      </c>
      <c r="AM171" s="49" t="str">
        <f>IF(B171="","",IF(K171="S1","S1",INDEX(#REF!,#REF!)))</f>
        <v/>
      </c>
      <c r="AN171" s="49" t="str">
        <f>K171</f>
        <v>M2</v>
      </c>
      <c r="AO171" s="50" t="b">
        <f>K171=AM171</f>
        <v>0</v>
      </c>
      <c r="AP171" s="50"/>
    </row>
    <row r="172" spans="1:42" ht="21.75">
      <c r="A172" s="49">
        <v>170</v>
      </c>
      <c r="B172" s="50"/>
      <c r="C172" s="50"/>
      <c r="D172" s="50" t="s">
        <v>143</v>
      </c>
      <c r="E172" s="49" t="s">
        <v>312</v>
      </c>
      <c r="F172" s="49" t="str">
        <f t="shared" si="32"/>
        <v>04/05/2000</v>
      </c>
      <c r="G172" s="50">
        <f t="shared" si="33"/>
        <v>25</v>
      </c>
      <c r="H172" s="50">
        <f t="shared" si="34"/>
        <v>1</v>
      </c>
      <c r="I172" s="50">
        <f t="shared" si="35"/>
        <v>16</v>
      </c>
      <c r="J172" s="59"/>
      <c r="K172" s="49" t="s">
        <v>136</v>
      </c>
      <c r="L172" s="64"/>
      <c r="M172" s="49" t="s">
        <v>427</v>
      </c>
      <c r="N172" s="49">
        <v>2574</v>
      </c>
      <c r="O172" s="65" t="s">
        <v>294</v>
      </c>
      <c r="P172" s="49" t="str">
        <f t="shared" si="36"/>
        <v>18/05/2023</v>
      </c>
      <c r="Q172" s="68">
        <f t="shared" si="37"/>
        <v>2</v>
      </c>
      <c r="R172" s="68">
        <f t="shared" si="38"/>
        <v>1</v>
      </c>
      <c r="S172" s="68">
        <f t="shared" si="39"/>
        <v>2</v>
      </c>
      <c r="T172" s="65"/>
      <c r="U172" s="65"/>
      <c r="V172" s="49" t="str">
        <f t="shared" si="40"/>
        <v/>
      </c>
      <c r="W172" s="68">
        <f>IF(V172="",0,DATEDIF(V172,P172,"Y"))</f>
        <v>0</v>
      </c>
      <c r="X172" s="68">
        <f>IF(V172="",0,DATEDIF(V172,P172,"YM"))</f>
        <v>0</v>
      </c>
      <c r="Y172" s="68">
        <f>IF(V172="",0,DATEDIF(V172,P172,"MD"))</f>
        <v>0</v>
      </c>
      <c r="Z172" s="49"/>
      <c r="AA172" s="65"/>
      <c r="AB172" s="50" t="str">
        <f t="shared" si="41"/>
        <v/>
      </c>
      <c r="AC172" s="68">
        <f t="shared" si="42"/>
        <v>0</v>
      </c>
      <c r="AD172" s="68">
        <f t="shared" si="43"/>
        <v>0</v>
      </c>
      <c r="AE172" s="68">
        <f t="shared" si="44"/>
        <v>0</v>
      </c>
      <c r="AF172" s="50"/>
      <c r="AG172" s="50" t="s">
        <v>482</v>
      </c>
      <c r="AH172" s="49" t="str">
        <f>IF(AG172="นิติศาสตร์","K5-LAW","K5-POLICY")</f>
        <v>K5-POLICY</v>
      </c>
      <c r="AI172" s="72" t="str">
        <f>_xlfn.IFS(B172="","",AND(AH172="K5-LAW",AG172="นิติศาสตร์",K172="S2",T172="",Z172=""),P172,AND(AH172="K5-LAW",AG172="นิติศาสตร์",K172="S1",T172="",Z172=""),EDATE(P172,12),AND(AH172="K5-LAW",AG172="นิติศาสตร์",OR(K172="M2",K172="K4"),T172="",Z172=""),EDATE(P172,12*2),AND(AH172="K5-LAW",AG172="นิติศาสตร์",OR(Z172="M2",Z172="K4"),AC172&gt;=2,OR(AB172&lt;V172,AB172&lt;P172)),EDATE(AB172,12*2),AND(AH172="K5-LAW",AG172="นิติศาสตร์",Z172="S1",AC172&gt;=1,OR(AB172&lt;V172,AB172&lt;P172)),EDATE(AB172,12),AND(AH172="K5-LAW",AG172="นิติศาสตร์",OR(T172="M2",T172="K4"),W172&gt;=2,V172&lt;P172),EDATE(V172,12*2),AND(AH172="K5-LAW",AG172="นิติศาสตร์",T172="S1",W172&gt;=1,V172&lt;P172),EDATE(V172,12),AND(AH172="K5-LAW",AG172="นิติศาสตร์",OR(T172="S2",T172="K5")),V172,AND(AH172="K5-LAW",AG172="นิติศาสตร์",OR(K172="M2",K172="K4"),Q172&gt;=2),EDATE(P172,12*2),AND(AH172="K5-LAW",AG172="นิติศาสตร์",K172="S1",Q172&gt;=1),EDATE(P172,12),AND(AH172="K5-LAW",AG172="นิติศาสตร์",OR(K172="S2",K172="K5")),P172,AND(AH172="K5-POLICY",AG172&lt;&gt;"นิติศาสตร์",K172="S2",T172="",Z172=""),P172,AND(AH172="K5-POLICY",AG172&lt;&gt;"นิติศาสตร์",K172="S1",T172="",Z172=""),EDATE(P172,12),AND(AH172="K5-POLICY",AG172&lt;&gt;"นิติศาสตร์",OR(K172="M2",K172="K4"),T172="",Z172=""),EDATE(P172,12*2),AND(AH172="K5-POLICY",AG172&lt;&gt;"นิติศาสตร์",OR(Z172="M2",Z172="K4"),AC172&gt;=2,OR(AB172&lt;V172,AB172&lt;P172)),EDATE(AB172,12*2),AND(AH172="K5-POLICY",AG172&lt;&gt;"นิติศาสตร์",Z172="S1",AC172&gt;=1,OR(AB172&lt;V172,AB172&lt;P172)),EDATE(AB172,12),AND(AH172="K5-POLICY",AG172&lt;&gt;"นิติศาสตร์",OR(T172="M2",T172="K4"),W172&gt;=2,V172&lt;P172),EDATE(V172,12*2),AND(AH172="K5-POLICY",AG172&lt;&gt;"นิติศาสตร์",T172="S1",W172&gt;=1,V172&lt;P172),EDATE(V172,12),AND(AH172="K5-POLICY",AG172&lt;&gt;"นิติศาสตร์",OR(T172="S2",T172="K5")),V172,AND(AH172="K5-POLICY",AG172&lt;&gt;"นิติศาสตร์",OR(K172="M2",K172="K4"),Q172&gt;=2),EDATE(P172,12*2),AND(AH172="K5-POLICY",AG172&lt;&gt;"นิติศาสตร์",K172="S1",Q172&gt;=1),EDATE(P172,12),AND(AH172="K5-POLICY",AG172&lt;&gt;"นิติศาสตร์",OR(K172="S2",K172="K5")),P172,TRUE,"Check Data")</f>
        <v/>
      </c>
      <c r="AJ172" s="75" t="str">
        <f t="shared" si="45"/>
        <v>Check Data</v>
      </c>
      <c r="AK172" s="76" t="str">
        <f t="shared" si="46"/>
        <v>Check Data</v>
      </c>
      <c r="AL172" s="50" t="str">
        <f t="shared" si="47"/>
        <v>Check Data</v>
      </c>
      <c r="AM172" s="49" t="str">
        <f>IF(B172="","",IF(K172="S1","S1",INDEX(#REF!,#REF!)))</f>
        <v/>
      </c>
      <c r="AN172" s="49" t="str">
        <f>K172</f>
        <v>M2</v>
      </c>
      <c r="AO172" s="50" t="b">
        <f>K172=AM172</f>
        <v>0</v>
      </c>
      <c r="AP172" s="50"/>
    </row>
    <row r="173" spans="1:42" ht="21.75">
      <c r="A173" s="49">
        <v>171</v>
      </c>
      <c r="B173" s="50"/>
      <c r="C173" s="50"/>
      <c r="D173" s="50" t="s">
        <v>143</v>
      </c>
      <c r="E173" s="49" t="s">
        <v>360</v>
      </c>
      <c r="F173" s="49" t="str">
        <f t="shared" si="32"/>
        <v>01/12/1998</v>
      </c>
      <c r="G173" s="50">
        <f t="shared" si="33"/>
        <v>26</v>
      </c>
      <c r="H173" s="50">
        <f t="shared" si="34"/>
        <v>6</v>
      </c>
      <c r="I173" s="50">
        <f t="shared" si="35"/>
        <v>19</v>
      </c>
      <c r="J173" s="59"/>
      <c r="K173" s="49" t="s">
        <v>136</v>
      </c>
      <c r="L173" s="64"/>
      <c r="M173" s="49" t="s">
        <v>427</v>
      </c>
      <c r="N173" s="49">
        <v>2572</v>
      </c>
      <c r="O173" s="65" t="s">
        <v>294</v>
      </c>
      <c r="P173" s="49" t="str">
        <f t="shared" si="36"/>
        <v>18/05/2023</v>
      </c>
      <c r="Q173" s="68">
        <f t="shared" si="37"/>
        <v>2</v>
      </c>
      <c r="R173" s="68">
        <f t="shared" si="38"/>
        <v>1</v>
      </c>
      <c r="S173" s="68">
        <f t="shared" si="39"/>
        <v>2</v>
      </c>
      <c r="T173" s="65"/>
      <c r="U173" s="65"/>
      <c r="V173" s="49" t="str">
        <f t="shared" si="40"/>
        <v/>
      </c>
      <c r="W173" s="68">
        <f>IF(V173="",0,DATEDIF(V173,P173,"Y"))</f>
        <v>0</v>
      </c>
      <c r="X173" s="68">
        <f>IF(V173="",0,DATEDIF(V173,P173,"YM"))</f>
        <v>0</v>
      </c>
      <c r="Y173" s="68">
        <f>IF(V173="",0,DATEDIF(V173,P173,"MD"))</f>
        <v>0</v>
      </c>
      <c r="Z173" s="49"/>
      <c r="AA173" s="65"/>
      <c r="AB173" s="50" t="str">
        <f t="shared" si="41"/>
        <v/>
      </c>
      <c r="AC173" s="68">
        <f t="shared" si="42"/>
        <v>0</v>
      </c>
      <c r="AD173" s="68">
        <f t="shared" si="43"/>
        <v>0</v>
      </c>
      <c r="AE173" s="68">
        <f t="shared" si="44"/>
        <v>0</v>
      </c>
      <c r="AF173" s="50"/>
      <c r="AG173" s="50" t="s">
        <v>521</v>
      </c>
      <c r="AH173" s="49" t="str">
        <f>IF(AG173="นิติศาสตร์","K5-LAW","K5-POLICY")</f>
        <v>K5-POLICY</v>
      </c>
      <c r="AI173" s="72" t="str">
        <f>_xlfn.IFS(B173="","",AND(AH173="K5-LAW",AG173="นิติศาสตร์",K173="S2",T173="",Z173=""),P173,AND(AH173="K5-LAW",AG173="นิติศาสตร์",K173="S1",T173="",Z173=""),EDATE(P173,12),AND(AH173="K5-LAW",AG173="นิติศาสตร์",OR(K173="M2",K173="K4"),T173="",Z173=""),EDATE(P173,12*2),AND(AH173="K5-LAW",AG173="นิติศาสตร์",OR(Z173="M2",Z173="K4"),AC173&gt;=2,OR(AB173&lt;V173,AB173&lt;P173)),EDATE(AB173,12*2),AND(AH173="K5-LAW",AG173="นิติศาสตร์",Z173="S1",AC173&gt;=1,OR(AB173&lt;V173,AB173&lt;P173)),EDATE(AB173,12),AND(AH173="K5-LAW",AG173="นิติศาสตร์",OR(T173="M2",T173="K4"),W173&gt;=2,V173&lt;P173),EDATE(V173,12*2),AND(AH173="K5-LAW",AG173="นิติศาสตร์",T173="S1",W173&gt;=1,V173&lt;P173),EDATE(V173,12),AND(AH173="K5-LAW",AG173="นิติศาสตร์",OR(T173="S2",T173="K5")),V173,AND(AH173="K5-LAW",AG173="นิติศาสตร์",OR(K173="M2",K173="K4"),Q173&gt;=2),EDATE(P173,12*2),AND(AH173="K5-LAW",AG173="นิติศาสตร์",K173="S1",Q173&gt;=1),EDATE(P173,12),AND(AH173="K5-LAW",AG173="นิติศาสตร์",OR(K173="S2",K173="K5")),P173,AND(AH173="K5-POLICY",AG173&lt;&gt;"นิติศาสตร์",K173="S2",T173="",Z173=""),P173,AND(AH173="K5-POLICY",AG173&lt;&gt;"นิติศาสตร์",K173="S1",T173="",Z173=""),EDATE(P173,12),AND(AH173="K5-POLICY",AG173&lt;&gt;"นิติศาสตร์",OR(K173="M2",K173="K4"),T173="",Z173=""),EDATE(P173,12*2),AND(AH173="K5-POLICY",AG173&lt;&gt;"นิติศาสตร์",OR(Z173="M2",Z173="K4"),AC173&gt;=2,OR(AB173&lt;V173,AB173&lt;P173)),EDATE(AB173,12*2),AND(AH173="K5-POLICY",AG173&lt;&gt;"นิติศาสตร์",Z173="S1",AC173&gt;=1,OR(AB173&lt;V173,AB173&lt;P173)),EDATE(AB173,12),AND(AH173="K5-POLICY",AG173&lt;&gt;"นิติศาสตร์",OR(T173="M2",T173="K4"),W173&gt;=2,V173&lt;P173),EDATE(V173,12*2),AND(AH173="K5-POLICY",AG173&lt;&gt;"นิติศาสตร์",T173="S1",W173&gt;=1,V173&lt;P173),EDATE(V173,12),AND(AH173="K5-POLICY",AG173&lt;&gt;"นิติศาสตร์",OR(T173="S2",T173="K5")),V173,AND(AH173="K5-POLICY",AG173&lt;&gt;"นิติศาสตร์",OR(K173="M2",K173="K4"),Q173&gt;=2),EDATE(P173,12*2),AND(AH173="K5-POLICY",AG173&lt;&gt;"นิติศาสตร์",K173="S1",Q173&gt;=1),EDATE(P173,12),AND(AH173="K5-POLICY",AG173&lt;&gt;"นิติศาสตร์",OR(K173="S2",K173="K5")),P173,TRUE,"Check Data")</f>
        <v/>
      </c>
      <c r="AJ173" s="75" t="str">
        <f t="shared" si="45"/>
        <v>Check Data</v>
      </c>
      <c r="AK173" s="76" t="str">
        <f t="shared" si="46"/>
        <v>Check Data</v>
      </c>
      <c r="AL173" s="50" t="str">
        <f t="shared" si="47"/>
        <v>Check Data</v>
      </c>
      <c r="AM173" s="49" t="str">
        <f>IF(B173="","",IF(K173="S1","S1",INDEX(#REF!,#REF!)))</f>
        <v/>
      </c>
      <c r="AN173" s="49" t="str">
        <f>K173</f>
        <v>M2</v>
      </c>
      <c r="AO173" s="50" t="b">
        <f>K173=AM173</f>
        <v>0</v>
      </c>
      <c r="AP173" s="50"/>
    </row>
    <row r="174" spans="1:42" ht="21.75">
      <c r="A174" s="49">
        <v>172</v>
      </c>
      <c r="B174" s="50"/>
      <c r="C174" s="50"/>
      <c r="D174" s="50" t="s">
        <v>143</v>
      </c>
      <c r="E174" s="49" t="s">
        <v>353</v>
      </c>
      <c r="F174" s="49" t="str">
        <f t="shared" si="32"/>
        <v>28/07/2000</v>
      </c>
      <c r="G174" s="50">
        <f t="shared" si="33"/>
        <v>24</v>
      </c>
      <c r="H174" s="50">
        <f t="shared" si="34"/>
        <v>10</v>
      </c>
      <c r="I174" s="50">
        <f t="shared" si="35"/>
        <v>23</v>
      </c>
      <c r="J174" s="59"/>
      <c r="K174" s="49" t="s">
        <v>136</v>
      </c>
      <c r="L174" s="64"/>
      <c r="M174" s="49" t="s">
        <v>427</v>
      </c>
      <c r="N174" s="49">
        <v>2578</v>
      </c>
      <c r="O174" s="65" t="s">
        <v>294</v>
      </c>
      <c r="P174" s="49" t="str">
        <f t="shared" si="36"/>
        <v>18/05/2023</v>
      </c>
      <c r="Q174" s="68">
        <f t="shared" si="37"/>
        <v>2</v>
      </c>
      <c r="R174" s="68">
        <f t="shared" si="38"/>
        <v>1</v>
      </c>
      <c r="S174" s="68">
        <f t="shared" si="39"/>
        <v>2</v>
      </c>
      <c r="T174" s="65"/>
      <c r="U174" s="65"/>
      <c r="V174" s="49" t="str">
        <f t="shared" si="40"/>
        <v/>
      </c>
      <c r="W174" s="68">
        <f>IF(V174="",0,DATEDIF(V174,P174,"Y"))</f>
        <v>0</v>
      </c>
      <c r="X174" s="68">
        <f>IF(V174="",0,DATEDIF(V174,P174,"YM"))</f>
        <v>0</v>
      </c>
      <c r="Y174" s="68">
        <f>IF(V174="",0,DATEDIF(V174,P174,"MD"))</f>
        <v>0</v>
      </c>
      <c r="Z174" s="49"/>
      <c r="AA174" s="65"/>
      <c r="AB174" s="50" t="str">
        <f t="shared" si="41"/>
        <v/>
      </c>
      <c r="AC174" s="68">
        <f t="shared" si="42"/>
        <v>0</v>
      </c>
      <c r="AD174" s="68">
        <f t="shared" si="43"/>
        <v>0</v>
      </c>
      <c r="AE174" s="68">
        <f t="shared" si="44"/>
        <v>0</v>
      </c>
      <c r="AF174" s="50"/>
      <c r="AG174" s="50" t="s">
        <v>486</v>
      </c>
      <c r="AH174" s="49" t="str">
        <f>IF(AG174="นิติศาสตร์","K5-LAW","K5-POLICY")</f>
        <v>K5-POLICY</v>
      </c>
      <c r="AI174" s="72" t="str">
        <f>_xlfn.IFS(B174="","",AND(AH174="K5-LAW",AG174="นิติศาสตร์",K174="S2",T174="",Z174=""),P174,AND(AH174="K5-LAW",AG174="นิติศาสตร์",K174="S1",T174="",Z174=""),EDATE(P174,12),AND(AH174="K5-LAW",AG174="นิติศาสตร์",OR(K174="M2",K174="K4"),T174="",Z174=""),EDATE(P174,12*2),AND(AH174="K5-LAW",AG174="นิติศาสตร์",OR(Z174="M2",Z174="K4"),AC174&gt;=2,OR(AB174&lt;V174,AB174&lt;P174)),EDATE(AB174,12*2),AND(AH174="K5-LAW",AG174="นิติศาสตร์",Z174="S1",AC174&gt;=1,OR(AB174&lt;V174,AB174&lt;P174)),EDATE(AB174,12),AND(AH174="K5-LAW",AG174="นิติศาสตร์",OR(T174="M2",T174="K4"),W174&gt;=2,V174&lt;P174),EDATE(V174,12*2),AND(AH174="K5-LAW",AG174="นิติศาสตร์",T174="S1",W174&gt;=1,V174&lt;P174),EDATE(V174,12),AND(AH174="K5-LAW",AG174="นิติศาสตร์",OR(T174="S2",T174="K5")),V174,AND(AH174="K5-LAW",AG174="นิติศาสตร์",OR(K174="M2",K174="K4"),Q174&gt;=2),EDATE(P174,12*2),AND(AH174="K5-LAW",AG174="นิติศาสตร์",K174="S1",Q174&gt;=1),EDATE(P174,12),AND(AH174="K5-LAW",AG174="นิติศาสตร์",OR(K174="S2",K174="K5")),P174,AND(AH174="K5-POLICY",AG174&lt;&gt;"นิติศาสตร์",K174="S2",T174="",Z174=""),P174,AND(AH174="K5-POLICY",AG174&lt;&gt;"นิติศาสตร์",K174="S1",T174="",Z174=""),EDATE(P174,12),AND(AH174="K5-POLICY",AG174&lt;&gt;"นิติศาสตร์",OR(K174="M2",K174="K4"),T174="",Z174=""),EDATE(P174,12*2),AND(AH174="K5-POLICY",AG174&lt;&gt;"นิติศาสตร์",OR(Z174="M2",Z174="K4"),AC174&gt;=2,OR(AB174&lt;V174,AB174&lt;P174)),EDATE(AB174,12*2),AND(AH174="K5-POLICY",AG174&lt;&gt;"นิติศาสตร์",Z174="S1",AC174&gt;=1,OR(AB174&lt;V174,AB174&lt;P174)),EDATE(AB174,12),AND(AH174="K5-POLICY",AG174&lt;&gt;"นิติศาสตร์",OR(T174="M2",T174="K4"),W174&gt;=2,V174&lt;P174),EDATE(V174,12*2),AND(AH174="K5-POLICY",AG174&lt;&gt;"นิติศาสตร์",T174="S1",W174&gt;=1,V174&lt;P174),EDATE(V174,12),AND(AH174="K5-POLICY",AG174&lt;&gt;"นิติศาสตร์",OR(T174="S2",T174="K5")),V174,AND(AH174="K5-POLICY",AG174&lt;&gt;"นิติศาสตร์",OR(K174="M2",K174="K4"),Q174&gt;=2),EDATE(P174,12*2),AND(AH174="K5-POLICY",AG174&lt;&gt;"นิติศาสตร์",K174="S1",Q174&gt;=1),EDATE(P174,12),AND(AH174="K5-POLICY",AG174&lt;&gt;"นิติศาสตร์",OR(K174="S2",K174="K5")),P174,TRUE,"Check Data")</f>
        <v/>
      </c>
      <c r="AJ174" s="75" t="str">
        <f t="shared" si="45"/>
        <v>Check Data</v>
      </c>
      <c r="AK174" s="76" t="str">
        <f t="shared" si="46"/>
        <v>Check Data</v>
      </c>
      <c r="AL174" s="50" t="str">
        <f t="shared" si="47"/>
        <v>Check Data</v>
      </c>
      <c r="AM174" s="49" t="str">
        <f>IF(B174="","",IF(K174="S1","S1",INDEX(#REF!,#REF!)))</f>
        <v/>
      </c>
      <c r="AN174" s="49" t="str">
        <f>K174</f>
        <v>M2</v>
      </c>
      <c r="AO174" s="50" t="b">
        <f>K174=AM174</f>
        <v>0</v>
      </c>
      <c r="AP174" s="50"/>
    </row>
    <row r="175" spans="1:42" ht="21.75">
      <c r="A175" s="49">
        <v>173</v>
      </c>
      <c r="B175" s="50"/>
      <c r="C175" s="50"/>
      <c r="D175" s="50" t="s">
        <v>143</v>
      </c>
      <c r="E175" s="49" t="s">
        <v>343</v>
      </c>
      <c r="F175" s="49" t="str">
        <f t="shared" si="32"/>
        <v>07/06/1996</v>
      </c>
      <c r="G175" s="50">
        <f t="shared" si="33"/>
        <v>29</v>
      </c>
      <c r="H175" s="50">
        <f t="shared" si="34"/>
        <v>0</v>
      </c>
      <c r="I175" s="50">
        <f t="shared" si="35"/>
        <v>13</v>
      </c>
      <c r="J175" s="59"/>
      <c r="K175" s="49" t="s">
        <v>136</v>
      </c>
      <c r="L175" s="64"/>
      <c r="M175" s="49" t="s">
        <v>427</v>
      </c>
      <c r="N175" s="49">
        <v>2576</v>
      </c>
      <c r="O175" s="65" t="s">
        <v>294</v>
      </c>
      <c r="P175" s="49" t="str">
        <f t="shared" si="36"/>
        <v>18/05/2023</v>
      </c>
      <c r="Q175" s="68">
        <f t="shared" si="37"/>
        <v>2</v>
      </c>
      <c r="R175" s="68">
        <f t="shared" si="38"/>
        <v>1</v>
      </c>
      <c r="S175" s="68">
        <f t="shared" si="39"/>
        <v>2</v>
      </c>
      <c r="T175" s="65"/>
      <c r="U175" s="65"/>
      <c r="V175" s="49" t="str">
        <f t="shared" si="40"/>
        <v/>
      </c>
      <c r="W175" s="68">
        <f>IF(V175="",0,DATEDIF(V175,P175,"Y"))</f>
        <v>0</v>
      </c>
      <c r="X175" s="68">
        <f>IF(V175="",0,DATEDIF(V175,P175,"YM"))</f>
        <v>0</v>
      </c>
      <c r="Y175" s="68">
        <f>IF(V175="",0,DATEDIF(V175,P175,"MD"))</f>
        <v>0</v>
      </c>
      <c r="Z175" s="49"/>
      <c r="AA175" s="65"/>
      <c r="AB175" s="50" t="str">
        <f t="shared" si="41"/>
        <v/>
      </c>
      <c r="AC175" s="68">
        <f t="shared" si="42"/>
        <v>0</v>
      </c>
      <c r="AD175" s="68">
        <f t="shared" si="43"/>
        <v>0</v>
      </c>
      <c r="AE175" s="68">
        <f t="shared" si="44"/>
        <v>0</v>
      </c>
      <c r="AF175" s="50"/>
      <c r="AG175" s="50" t="s">
        <v>512</v>
      </c>
      <c r="AH175" s="49" t="str">
        <f>IF(AG175="นิติศาสตร์","K5-LAW","K5-POLICY")</f>
        <v>K5-POLICY</v>
      </c>
      <c r="AI175" s="72" t="str">
        <f>_xlfn.IFS(B175="","",AND(AH175="K5-LAW",AG175="นิติศาสตร์",K175="S2",T175="",Z175=""),P175,AND(AH175="K5-LAW",AG175="นิติศาสตร์",K175="S1",T175="",Z175=""),EDATE(P175,12),AND(AH175="K5-LAW",AG175="นิติศาสตร์",OR(K175="M2",K175="K4"),T175="",Z175=""),EDATE(P175,12*2),AND(AH175="K5-LAW",AG175="นิติศาสตร์",OR(Z175="M2",Z175="K4"),AC175&gt;=2,OR(AB175&lt;V175,AB175&lt;P175)),EDATE(AB175,12*2),AND(AH175="K5-LAW",AG175="นิติศาสตร์",Z175="S1",AC175&gt;=1,OR(AB175&lt;V175,AB175&lt;P175)),EDATE(AB175,12),AND(AH175="K5-LAW",AG175="นิติศาสตร์",OR(T175="M2",T175="K4"),W175&gt;=2,V175&lt;P175),EDATE(V175,12*2),AND(AH175="K5-LAW",AG175="นิติศาสตร์",T175="S1",W175&gt;=1,V175&lt;P175),EDATE(V175,12),AND(AH175="K5-LAW",AG175="นิติศาสตร์",OR(T175="S2",T175="K5")),V175,AND(AH175="K5-LAW",AG175="นิติศาสตร์",OR(K175="M2",K175="K4"),Q175&gt;=2),EDATE(P175,12*2),AND(AH175="K5-LAW",AG175="นิติศาสตร์",K175="S1",Q175&gt;=1),EDATE(P175,12),AND(AH175="K5-LAW",AG175="นิติศาสตร์",OR(K175="S2",K175="K5")),P175,AND(AH175="K5-POLICY",AG175&lt;&gt;"นิติศาสตร์",K175="S2",T175="",Z175=""),P175,AND(AH175="K5-POLICY",AG175&lt;&gt;"นิติศาสตร์",K175="S1",T175="",Z175=""),EDATE(P175,12),AND(AH175="K5-POLICY",AG175&lt;&gt;"นิติศาสตร์",OR(K175="M2",K175="K4"),T175="",Z175=""),EDATE(P175,12*2),AND(AH175="K5-POLICY",AG175&lt;&gt;"นิติศาสตร์",OR(Z175="M2",Z175="K4"),AC175&gt;=2,OR(AB175&lt;V175,AB175&lt;P175)),EDATE(AB175,12*2),AND(AH175="K5-POLICY",AG175&lt;&gt;"นิติศาสตร์",Z175="S1",AC175&gt;=1,OR(AB175&lt;V175,AB175&lt;P175)),EDATE(AB175,12),AND(AH175="K5-POLICY",AG175&lt;&gt;"นิติศาสตร์",OR(T175="M2",T175="K4"),W175&gt;=2,V175&lt;P175),EDATE(V175,12*2),AND(AH175="K5-POLICY",AG175&lt;&gt;"นิติศาสตร์",T175="S1",W175&gt;=1,V175&lt;P175),EDATE(V175,12),AND(AH175="K5-POLICY",AG175&lt;&gt;"นิติศาสตร์",OR(T175="S2",T175="K5")),V175,AND(AH175="K5-POLICY",AG175&lt;&gt;"นิติศาสตร์",OR(K175="M2",K175="K4"),Q175&gt;=2),EDATE(P175,12*2),AND(AH175="K5-POLICY",AG175&lt;&gt;"นิติศาสตร์",K175="S1",Q175&gt;=1),EDATE(P175,12),AND(AH175="K5-POLICY",AG175&lt;&gt;"นิติศาสตร์",OR(K175="S2",K175="K5")),P175,TRUE,"Check Data")</f>
        <v/>
      </c>
      <c r="AJ175" s="75" t="str">
        <f t="shared" si="45"/>
        <v>Check Data</v>
      </c>
      <c r="AK175" s="76" t="str">
        <f t="shared" si="46"/>
        <v>Check Data</v>
      </c>
      <c r="AL175" s="50" t="str">
        <f t="shared" si="47"/>
        <v>Check Data</v>
      </c>
      <c r="AM175" s="49" t="str">
        <f>IF(B175="","",IF(K175="S1","S1",INDEX(#REF!,#REF!)))</f>
        <v/>
      </c>
      <c r="AN175" s="49" t="str">
        <f>K175</f>
        <v>M2</v>
      </c>
      <c r="AO175" s="50" t="b">
        <f>K175=AM175</f>
        <v>0</v>
      </c>
      <c r="AP175" s="50"/>
    </row>
    <row r="176" spans="1:42" ht="21.75">
      <c r="A176" s="49">
        <v>174</v>
      </c>
      <c r="B176" s="50"/>
      <c r="C176" s="50"/>
      <c r="D176" s="50" t="s">
        <v>143</v>
      </c>
      <c r="E176" s="49" t="s">
        <v>312</v>
      </c>
      <c r="F176" s="49" t="str">
        <f t="shared" si="32"/>
        <v>04/05/2000</v>
      </c>
      <c r="G176" s="50">
        <f t="shared" si="33"/>
        <v>25</v>
      </c>
      <c r="H176" s="50">
        <f t="shared" si="34"/>
        <v>1</v>
      </c>
      <c r="I176" s="50">
        <f t="shared" si="35"/>
        <v>16</v>
      </c>
      <c r="J176" s="59"/>
      <c r="K176" s="49" t="s">
        <v>136</v>
      </c>
      <c r="L176" s="64"/>
      <c r="M176" s="49" t="s">
        <v>427</v>
      </c>
      <c r="N176" s="49">
        <v>2577</v>
      </c>
      <c r="O176" s="65" t="s">
        <v>294</v>
      </c>
      <c r="P176" s="49" t="str">
        <f t="shared" si="36"/>
        <v>18/05/2023</v>
      </c>
      <c r="Q176" s="68">
        <f t="shared" si="37"/>
        <v>2</v>
      </c>
      <c r="R176" s="68">
        <f t="shared" si="38"/>
        <v>1</v>
      </c>
      <c r="S176" s="68">
        <f t="shared" si="39"/>
        <v>2</v>
      </c>
      <c r="T176" s="65"/>
      <c r="U176" s="65"/>
      <c r="V176" s="49" t="str">
        <f t="shared" si="40"/>
        <v/>
      </c>
      <c r="W176" s="68">
        <f>IF(V176="",0,DATEDIF(V176,P176,"Y"))</f>
        <v>0</v>
      </c>
      <c r="X176" s="68">
        <f>IF(V176="",0,DATEDIF(V176,P176,"YM"))</f>
        <v>0</v>
      </c>
      <c r="Y176" s="68">
        <f>IF(V176="",0,DATEDIF(V176,P176,"MD"))</f>
        <v>0</v>
      </c>
      <c r="Z176" s="49"/>
      <c r="AA176" s="65"/>
      <c r="AB176" s="50" t="str">
        <f t="shared" si="41"/>
        <v/>
      </c>
      <c r="AC176" s="68">
        <f t="shared" si="42"/>
        <v>0</v>
      </c>
      <c r="AD176" s="68">
        <f t="shared" si="43"/>
        <v>0</v>
      </c>
      <c r="AE176" s="68">
        <f t="shared" si="44"/>
        <v>0</v>
      </c>
      <c r="AF176" s="50"/>
      <c r="AG176" s="50" t="s">
        <v>138</v>
      </c>
      <c r="AH176" s="49" t="str">
        <f>IF(AG176="นิติศาสตร์","K5-LAW","K5-POLICY")</f>
        <v>K5-LAW</v>
      </c>
      <c r="AI176" s="72" t="str">
        <f>_xlfn.IFS(B176="","",AND(AH176="K5-LAW",AG176="นิติศาสตร์",K176="S2",T176="",Z176=""),P176,AND(AH176="K5-LAW",AG176="นิติศาสตร์",K176="S1",T176="",Z176=""),EDATE(P176,12),AND(AH176="K5-LAW",AG176="นิติศาสตร์",OR(K176="M2",K176="K4"),T176="",Z176=""),EDATE(P176,12*2),AND(AH176="K5-LAW",AG176="นิติศาสตร์",OR(Z176="M2",Z176="K4"),AC176&gt;=2,OR(AB176&lt;V176,AB176&lt;P176)),EDATE(AB176,12*2),AND(AH176="K5-LAW",AG176="นิติศาสตร์",Z176="S1",AC176&gt;=1,OR(AB176&lt;V176,AB176&lt;P176)),EDATE(AB176,12),AND(AH176="K5-LAW",AG176="นิติศาสตร์",OR(T176="M2",T176="K4"),W176&gt;=2,V176&lt;P176),EDATE(V176,12*2),AND(AH176="K5-LAW",AG176="นิติศาสตร์",T176="S1",W176&gt;=1,V176&lt;P176),EDATE(V176,12),AND(AH176="K5-LAW",AG176="นิติศาสตร์",OR(T176="S2",T176="K5")),V176,AND(AH176="K5-LAW",AG176="นิติศาสตร์",OR(K176="M2",K176="K4"),Q176&gt;=2),EDATE(P176,12*2),AND(AH176="K5-LAW",AG176="นิติศาสตร์",K176="S1",Q176&gt;=1),EDATE(P176,12),AND(AH176="K5-LAW",AG176="นิติศาสตร์",OR(K176="S2",K176="K5")),P176,AND(AH176="K5-POLICY",AG176&lt;&gt;"นิติศาสตร์",K176="S2",T176="",Z176=""),P176,AND(AH176="K5-POLICY",AG176&lt;&gt;"นิติศาสตร์",K176="S1",T176="",Z176=""),EDATE(P176,12),AND(AH176="K5-POLICY",AG176&lt;&gt;"นิติศาสตร์",OR(K176="M2",K176="K4"),T176="",Z176=""),EDATE(P176,12*2),AND(AH176="K5-POLICY",AG176&lt;&gt;"นิติศาสตร์",OR(Z176="M2",Z176="K4"),AC176&gt;=2,OR(AB176&lt;V176,AB176&lt;P176)),EDATE(AB176,12*2),AND(AH176="K5-POLICY",AG176&lt;&gt;"นิติศาสตร์",Z176="S1",AC176&gt;=1,OR(AB176&lt;V176,AB176&lt;P176)),EDATE(AB176,12),AND(AH176="K5-POLICY",AG176&lt;&gt;"นิติศาสตร์",OR(T176="M2",T176="K4"),W176&gt;=2,V176&lt;P176),EDATE(V176,12*2),AND(AH176="K5-POLICY",AG176&lt;&gt;"นิติศาสตร์",T176="S1",W176&gt;=1,V176&lt;P176),EDATE(V176,12),AND(AH176="K5-POLICY",AG176&lt;&gt;"นิติศาสตร์",OR(T176="S2",T176="K5")),V176,AND(AH176="K5-POLICY",AG176&lt;&gt;"นิติศาสตร์",OR(K176="M2",K176="K4"),Q176&gt;=2),EDATE(P176,12*2),AND(AH176="K5-POLICY",AG176&lt;&gt;"นิติศาสตร์",K176="S1",Q176&gt;=1),EDATE(P176,12),AND(AH176="K5-POLICY",AG176&lt;&gt;"นิติศาสตร์",OR(K176="S2",K176="K5")),P176,TRUE,"Check Data")</f>
        <v/>
      </c>
      <c r="AJ176" s="75" t="str">
        <f t="shared" si="45"/>
        <v>Check Data</v>
      </c>
      <c r="AK176" s="76" t="str">
        <f t="shared" si="46"/>
        <v>Check Data</v>
      </c>
      <c r="AL176" s="50" t="str">
        <f t="shared" si="47"/>
        <v>Check Data</v>
      </c>
      <c r="AM176" s="49" t="str">
        <f>IF(B176="","",IF(K176="S1","S1",INDEX(#REF!,#REF!)))</f>
        <v/>
      </c>
      <c r="AN176" s="49" t="str">
        <f>K176</f>
        <v>M2</v>
      </c>
      <c r="AO176" s="50" t="b">
        <f>K176=AM176</f>
        <v>0</v>
      </c>
      <c r="AP176" s="50"/>
    </row>
    <row r="177" spans="1:42" ht="21.75">
      <c r="A177" s="49">
        <v>175</v>
      </c>
      <c r="B177" s="50"/>
      <c r="C177" s="50"/>
      <c r="D177" s="50" t="s">
        <v>143</v>
      </c>
      <c r="E177" s="49" t="s">
        <v>353</v>
      </c>
      <c r="F177" s="49" t="str">
        <f t="shared" si="32"/>
        <v>28/07/2000</v>
      </c>
      <c r="G177" s="50">
        <f t="shared" si="33"/>
        <v>24</v>
      </c>
      <c r="H177" s="50">
        <f t="shared" si="34"/>
        <v>10</v>
      </c>
      <c r="I177" s="50">
        <f t="shared" si="35"/>
        <v>23</v>
      </c>
      <c r="J177" s="59"/>
      <c r="K177" s="49" t="s">
        <v>136</v>
      </c>
      <c r="L177" s="64"/>
      <c r="M177" s="49" t="s">
        <v>427</v>
      </c>
      <c r="N177" s="49">
        <v>2579</v>
      </c>
      <c r="O177" s="65" t="s">
        <v>294</v>
      </c>
      <c r="P177" s="49" t="str">
        <f t="shared" si="36"/>
        <v>18/05/2023</v>
      </c>
      <c r="Q177" s="68">
        <f t="shared" si="37"/>
        <v>2</v>
      </c>
      <c r="R177" s="68">
        <f t="shared" si="38"/>
        <v>1</v>
      </c>
      <c r="S177" s="68">
        <f t="shared" si="39"/>
        <v>2</v>
      </c>
      <c r="T177" s="65"/>
      <c r="U177" s="65"/>
      <c r="V177" s="49" t="str">
        <f t="shared" si="40"/>
        <v/>
      </c>
      <c r="W177" s="68">
        <f>IF(V177="",0,DATEDIF(V177,P177,"Y"))</f>
        <v>0</v>
      </c>
      <c r="X177" s="68">
        <f>IF(V177="",0,DATEDIF(V177,P177,"YM"))</f>
        <v>0</v>
      </c>
      <c r="Y177" s="68">
        <f>IF(V177="",0,DATEDIF(V177,P177,"MD"))</f>
        <v>0</v>
      </c>
      <c r="Z177" s="49"/>
      <c r="AA177" s="65"/>
      <c r="AB177" s="50" t="str">
        <f t="shared" si="41"/>
        <v/>
      </c>
      <c r="AC177" s="68">
        <f t="shared" si="42"/>
        <v>0</v>
      </c>
      <c r="AD177" s="68">
        <f t="shared" si="43"/>
        <v>0</v>
      </c>
      <c r="AE177" s="68">
        <f t="shared" si="44"/>
        <v>0</v>
      </c>
      <c r="AF177" s="50"/>
      <c r="AG177" s="50" t="s">
        <v>486</v>
      </c>
      <c r="AH177" s="49" t="str">
        <f>IF(AG177="นิติศาสตร์","K5-LAW","K5-POLICY")</f>
        <v>K5-POLICY</v>
      </c>
      <c r="AI177" s="72" t="str">
        <f>_xlfn.IFS(B177="","",AND(AH177="K5-LAW",AG177="นิติศาสตร์",K177="S2",T177="",Z177=""),P177,AND(AH177="K5-LAW",AG177="นิติศาสตร์",K177="S1",T177="",Z177=""),EDATE(P177,12),AND(AH177="K5-LAW",AG177="นิติศาสตร์",OR(K177="M2",K177="K4"),T177="",Z177=""),EDATE(P177,12*2),AND(AH177="K5-LAW",AG177="นิติศาสตร์",OR(Z177="M2",Z177="K4"),AC177&gt;=2,OR(AB177&lt;V177,AB177&lt;P177)),EDATE(AB177,12*2),AND(AH177="K5-LAW",AG177="นิติศาสตร์",Z177="S1",AC177&gt;=1,OR(AB177&lt;V177,AB177&lt;P177)),EDATE(AB177,12),AND(AH177="K5-LAW",AG177="นิติศาสตร์",OR(T177="M2",T177="K4"),W177&gt;=2,V177&lt;P177),EDATE(V177,12*2),AND(AH177="K5-LAW",AG177="นิติศาสตร์",T177="S1",W177&gt;=1,V177&lt;P177),EDATE(V177,12),AND(AH177="K5-LAW",AG177="นิติศาสตร์",OR(T177="S2",T177="K5")),V177,AND(AH177="K5-LAW",AG177="นิติศาสตร์",OR(K177="M2",K177="K4"),Q177&gt;=2),EDATE(P177,12*2),AND(AH177="K5-LAW",AG177="นิติศาสตร์",K177="S1",Q177&gt;=1),EDATE(P177,12),AND(AH177="K5-LAW",AG177="นิติศาสตร์",OR(K177="S2",K177="K5")),P177,AND(AH177="K5-POLICY",AG177&lt;&gt;"นิติศาสตร์",K177="S2",T177="",Z177=""),P177,AND(AH177="K5-POLICY",AG177&lt;&gt;"นิติศาสตร์",K177="S1",T177="",Z177=""),EDATE(P177,12),AND(AH177="K5-POLICY",AG177&lt;&gt;"นิติศาสตร์",OR(K177="M2",K177="K4"),T177="",Z177=""),EDATE(P177,12*2),AND(AH177="K5-POLICY",AG177&lt;&gt;"นิติศาสตร์",OR(Z177="M2",Z177="K4"),AC177&gt;=2,OR(AB177&lt;V177,AB177&lt;P177)),EDATE(AB177,12*2),AND(AH177="K5-POLICY",AG177&lt;&gt;"นิติศาสตร์",Z177="S1",AC177&gt;=1,OR(AB177&lt;V177,AB177&lt;P177)),EDATE(AB177,12),AND(AH177="K5-POLICY",AG177&lt;&gt;"นิติศาสตร์",OR(T177="M2",T177="K4"),W177&gt;=2,V177&lt;P177),EDATE(V177,12*2),AND(AH177="K5-POLICY",AG177&lt;&gt;"นิติศาสตร์",T177="S1",W177&gt;=1,V177&lt;P177),EDATE(V177,12),AND(AH177="K5-POLICY",AG177&lt;&gt;"นิติศาสตร์",OR(T177="S2",T177="K5")),V177,AND(AH177="K5-POLICY",AG177&lt;&gt;"นิติศาสตร์",OR(K177="M2",K177="K4"),Q177&gt;=2),EDATE(P177,12*2),AND(AH177="K5-POLICY",AG177&lt;&gt;"นิติศาสตร์",K177="S1",Q177&gt;=1),EDATE(P177,12),AND(AH177="K5-POLICY",AG177&lt;&gt;"นิติศาสตร์",OR(K177="S2",K177="K5")),P177,TRUE,"Check Data")</f>
        <v/>
      </c>
      <c r="AJ177" s="75" t="str">
        <f t="shared" si="45"/>
        <v>Check Data</v>
      </c>
      <c r="AK177" s="76" t="str">
        <f t="shared" si="46"/>
        <v>Check Data</v>
      </c>
      <c r="AL177" s="50" t="str">
        <f t="shared" si="47"/>
        <v>Check Data</v>
      </c>
      <c r="AM177" s="49" t="str">
        <f>IF(B177="","",IF(K177="S1","S1",INDEX(#REF!,#REF!)))</f>
        <v/>
      </c>
      <c r="AN177" s="49" t="str">
        <f>K177</f>
        <v>M2</v>
      </c>
      <c r="AO177" s="50" t="b">
        <f>K177=AM177</f>
        <v>0</v>
      </c>
      <c r="AP177" s="50"/>
    </row>
    <row r="178" spans="1:42" ht="21.75">
      <c r="A178" s="49">
        <v>176</v>
      </c>
      <c r="B178" s="50"/>
      <c r="C178" s="50"/>
      <c r="D178" s="50" t="s">
        <v>143</v>
      </c>
      <c r="E178" s="49" t="s">
        <v>251</v>
      </c>
      <c r="F178" s="49" t="str">
        <f t="shared" si="32"/>
        <v>15/08/1997</v>
      </c>
      <c r="G178" s="50">
        <f t="shared" si="33"/>
        <v>27</v>
      </c>
      <c r="H178" s="50">
        <f t="shared" si="34"/>
        <v>10</v>
      </c>
      <c r="I178" s="50">
        <f t="shared" si="35"/>
        <v>5</v>
      </c>
      <c r="J178" s="59"/>
      <c r="K178" s="49" t="s">
        <v>136</v>
      </c>
      <c r="L178" s="64"/>
      <c r="M178" s="49" t="s">
        <v>426</v>
      </c>
      <c r="N178" s="49">
        <v>2573</v>
      </c>
      <c r="O178" s="65" t="s">
        <v>294</v>
      </c>
      <c r="P178" s="49" t="str">
        <f t="shared" si="36"/>
        <v>18/05/2023</v>
      </c>
      <c r="Q178" s="68">
        <f t="shared" si="37"/>
        <v>2</v>
      </c>
      <c r="R178" s="68">
        <f t="shared" si="38"/>
        <v>1</v>
      </c>
      <c r="S178" s="68">
        <f t="shared" si="39"/>
        <v>2</v>
      </c>
      <c r="T178" s="65"/>
      <c r="U178" s="65"/>
      <c r="V178" s="49" t="str">
        <f t="shared" si="40"/>
        <v/>
      </c>
      <c r="W178" s="68">
        <f>IF(V178="",0,DATEDIF(V178,P178,"Y"))</f>
        <v>0</v>
      </c>
      <c r="X178" s="68">
        <f>IF(V178="",0,DATEDIF(V178,P178,"YM"))</f>
        <v>0</v>
      </c>
      <c r="Y178" s="68">
        <f>IF(V178="",0,DATEDIF(V178,P178,"MD"))</f>
        <v>0</v>
      </c>
      <c r="Z178" s="49"/>
      <c r="AA178" s="65"/>
      <c r="AB178" s="50" t="str">
        <f t="shared" si="41"/>
        <v/>
      </c>
      <c r="AC178" s="68">
        <f t="shared" si="42"/>
        <v>0</v>
      </c>
      <c r="AD178" s="68">
        <f t="shared" si="43"/>
        <v>0</v>
      </c>
      <c r="AE178" s="68">
        <f t="shared" si="44"/>
        <v>0</v>
      </c>
      <c r="AF178" s="50"/>
      <c r="AG178" s="50" t="s">
        <v>163</v>
      </c>
      <c r="AH178" s="49" t="str">
        <f>IF(AG178="นิติศาสตร์","K5-LAW","K5-POLICY")</f>
        <v>K5-POLICY</v>
      </c>
      <c r="AI178" s="72" t="str">
        <f>_xlfn.IFS(B178="","",AND(AH178="K5-LAW",AG178="นิติศาสตร์",K178="S2",T178="",Z178=""),P178,AND(AH178="K5-LAW",AG178="นิติศาสตร์",K178="S1",T178="",Z178=""),EDATE(P178,12),AND(AH178="K5-LAW",AG178="นิติศาสตร์",OR(K178="M2",K178="K4"),T178="",Z178=""),EDATE(P178,12*2),AND(AH178="K5-LAW",AG178="นิติศาสตร์",OR(Z178="M2",Z178="K4"),AC178&gt;=2,OR(AB178&lt;V178,AB178&lt;P178)),EDATE(AB178,12*2),AND(AH178="K5-LAW",AG178="นิติศาสตร์",Z178="S1",AC178&gt;=1,OR(AB178&lt;V178,AB178&lt;P178)),EDATE(AB178,12),AND(AH178="K5-LAW",AG178="นิติศาสตร์",OR(T178="M2",T178="K4"),W178&gt;=2,V178&lt;P178),EDATE(V178,12*2),AND(AH178="K5-LAW",AG178="นิติศาสตร์",T178="S1",W178&gt;=1,V178&lt;P178),EDATE(V178,12),AND(AH178="K5-LAW",AG178="นิติศาสตร์",OR(T178="S2",T178="K5")),V178,AND(AH178="K5-LAW",AG178="นิติศาสตร์",OR(K178="M2",K178="K4"),Q178&gt;=2),EDATE(P178,12*2),AND(AH178="K5-LAW",AG178="นิติศาสตร์",K178="S1",Q178&gt;=1),EDATE(P178,12),AND(AH178="K5-LAW",AG178="นิติศาสตร์",OR(K178="S2",K178="K5")),P178,AND(AH178="K5-POLICY",AG178&lt;&gt;"นิติศาสตร์",K178="S2",T178="",Z178=""),P178,AND(AH178="K5-POLICY",AG178&lt;&gt;"นิติศาสตร์",K178="S1",T178="",Z178=""),EDATE(P178,12),AND(AH178="K5-POLICY",AG178&lt;&gt;"นิติศาสตร์",OR(K178="M2",K178="K4"),T178="",Z178=""),EDATE(P178,12*2),AND(AH178="K5-POLICY",AG178&lt;&gt;"นิติศาสตร์",OR(Z178="M2",Z178="K4"),AC178&gt;=2,OR(AB178&lt;V178,AB178&lt;P178)),EDATE(AB178,12*2),AND(AH178="K5-POLICY",AG178&lt;&gt;"นิติศาสตร์",Z178="S1",AC178&gt;=1,OR(AB178&lt;V178,AB178&lt;P178)),EDATE(AB178,12),AND(AH178="K5-POLICY",AG178&lt;&gt;"นิติศาสตร์",OR(T178="M2",T178="K4"),W178&gt;=2,V178&lt;P178),EDATE(V178,12*2),AND(AH178="K5-POLICY",AG178&lt;&gt;"นิติศาสตร์",T178="S1",W178&gt;=1,V178&lt;P178),EDATE(V178,12),AND(AH178="K5-POLICY",AG178&lt;&gt;"นิติศาสตร์",OR(T178="S2",T178="K5")),V178,AND(AH178="K5-POLICY",AG178&lt;&gt;"นิติศาสตร์",OR(K178="M2",K178="K4"),Q178&gt;=2),EDATE(P178,12*2),AND(AH178="K5-POLICY",AG178&lt;&gt;"นิติศาสตร์",K178="S1",Q178&gt;=1),EDATE(P178,12),AND(AH178="K5-POLICY",AG178&lt;&gt;"นิติศาสตร์",OR(K178="S2",K178="K5")),P178,TRUE,"Check Data")</f>
        <v/>
      </c>
      <c r="AJ178" s="75" t="str">
        <f t="shared" si="45"/>
        <v>Check Data</v>
      </c>
      <c r="AK178" s="76" t="str">
        <f t="shared" si="46"/>
        <v>Check Data</v>
      </c>
      <c r="AL178" s="50" t="str">
        <f t="shared" si="47"/>
        <v>Check Data</v>
      </c>
      <c r="AM178" s="49" t="str">
        <f>IF(B178="","",IF(K178="S1","S1",INDEX(#REF!,#REF!)))</f>
        <v/>
      </c>
      <c r="AN178" s="49" t="str">
        <f>K178</f>
        <v>M2</v>
      </c>
      <c r="AO178" s="50" t="b">
        <f>K178=AM178</f>
        <v>0</v>
      </c>
      <c r="AP178" s="50"/>
    </row>
    <row r="179" spans="1:42" ht="21.75">
      <c r="A179" s="49">
        <v>177</v>
      </c>
      <c r="B179" s="50"/>
      <c r="C179" s="50"/>
      <c r="D179" s="50" t="s">
        <v>143</v>
      </c>
      <c r="E179" s="49" t="s">
        <v>293</v>
      </c>
      <c r="F179" s="49" t="str">
        <f t="shared" si="32"/>
        <v>01/11/2000</v>
      </c>
      <c r="G179" s="50">
        <f t="shared" si="33"/>
        <v>24</v>
      </c>
      <c r="H179" s="50">
        <f t="shared" si="34"/>
        <v>7</v>
      </c>
      <c r="I179" s="50">
        <f t="shared" si="35"/>
        <v>19</v>
      </c>
      <c r="J179" s="59"/>
      <c r="K179" s="49" t="s">
        <v>136</v>
      </c>
      <c r="L179" s="64"/>
      <c r="M179" s="49" t="s">
        <v>427</v>
      </c>
      <c r="N179" s="49">
        <v>2580</v>
      </c>
      <c r="O179" s="65" t="s">
        <v>294</v>
      </c>
      <c r="P179" s="49" t="str">
        <f t="shared" si="36"/>
        <v>18/05/2023</v>
      </c>
      <c r="Q179" s="68">
        <f t="shared" si="37"/>
        <v>2</v>
      </c>
      <c r="R179" s="68">
        <f t="shared" si="38"/>
        <v>1</v>
      </c>
      <c r="S179" s="68">
        <f t="shared" si="39"/>
        <v>2</v>
      </c>
      <c r="T179" s="65"/>
      <c r="U179" s="65"/>
      <c r="V179" s="49" t="str">
        <f t="shared" si="40"/>
        <v/>
      </c>
      <c r="W179" s="68">
        <f>IF(V179="",0,DATEDIF(V179,P179,"Y"))</f>
        <v>0</v>
      </c>
      <c r="X179" s="68">
        <f>IF(V179="",0,DATEDIF(V179,P179,"YM"))</f>
        <v>0</v>
      </c>
      <c r="Y179" s="68">
        <f>IF(V179="",0,DATEDIF(V179,P179,"MD"))</f>
        <v>0</v>
      </c>
      <c r="Z179" s="49"/>
      <c r="AA179" s="65"/>
      <c r="AB179" s="50" t="str">
        <f t="shared" si="41"/>
        <v/>
      </c>
      <c r="AC179" s="68">
        <f t="shared" si="42"/>
        <v>0</v>
      </c>
      <c r="AD179" s="68">
        <f t="shared" si="43"/>
        <v>0</v>
      </c>
      <c r="AE179" s="68">
        <f t="shared" si="44"/>
        <v>0</v>
      </c>
      <c r="AF179" s="50"/>
      <c r="AG179" s="50" t="s">
        <v>520</v>
      </c>
      <c r="AH179" s="49" t="str">
        <f>IF(AG179="นิติศาสตร์","K5-LAW","K5-POLICY")</f>
        <v>K5-POLICY</v>
      </c>
      <c r="AI179" s="72" t="str">
        <f>_xlfn.IFS(B179="","",AND(AH179="K5-LAW",AG179="นิติศาสตร์",K179="S2",T179="",Z179=""),P179,AND(AH179="K5-LAW",AG179="นิติศาสตร์",K179="S1",T179="",Z179=""),EDATE(P179,12),AND(AH179="K5-LAW",AG179="นิติศาสตร์",OR(K179="M2",K179="K4"),T179="",Z179=""),EDATE(P179,12*2),AND(AH179="K5-LAW",AG179="นิติศาสตร์",OR(Z179="M2",Z179="K4"),AC179&gt;=2,OR(AB179&lt;V179,AB179&lt;P179)),EDATE(AB179,12*2),AND(AH179="K5-LAW",AG179="นิติศาสตร์",Z179="S1",AC179&gt;=1,OR(AB179&lt;V179,AB179&lt;P179)),EDATE(AB179,12),AND(AH179="K5-LAW",AG179="นิติศาสตร์",OR(T179="M2",T179="K4"),W179&gt;=2,V179&lt;P179),EDATE(V179,12*2),AND(AH179="K5-LAW",AG179="นิติศาสตร์",T179="S1",W179&gt;=1,V179&lt;P179),EDATE(V179,12),AND(AH179="K5-LAW",AG179="นิติศาสตร์",OR(T179="S2",T179="K5")),V179,AND(AH179="K5-LAW",AG179="นิติศาสตร์",OR(K179="M2",K179="K4"),Q179&gt;=2),EDATE(P179,12*2),AND(AH179="K5-LAW",AG179="นิติศาสตร์",K179="S1",Q179&gt;=1),EDATE(P179,12),AND(AH179="K5-LAW",AG179="นิติศาสตร์",OR(K179="S2",K179="K5")),P179,AND(AH179="K5-POLICY",AG179&lt;&gt;"นิติศาสตร์",K179="S2",T179="",Z179=""),P179,AND(AH179="K5-POLICY",AG179&lt;&gt;"นิติศาสตร์",K179="S1",T179="",Z179=""),EDATE(P179,12),AND(AH179="K5-POLICY",AG179&lt;&gt;"นิติศาสตร์",OR(K179="M2",K179="K4"),T179="",Z179=""),EDATE(P179,12*2),AND(AH179="K5-POLICY",AG179&lt;&gt;"นิติศาสตร์",OR(Z179="M2",Z179="K4"),AC179&gt;=2,OR(AB179&lt;V179,AB179&lt;P179)),EDATE(AB179,12*2),AND(AH179="K5-POLICY",AG179&lt;&gt;"นิติศาสตร์",Z179="S1",AC179&gt;=1,OR(AB179&lt;V179,AB179&lt;P179)),EDATE(AB179,12),AND(AH179="K5-POLICY",AG179&lt;&gt;"นิติศาสตร์",OR(T179="M2",T179="K4"),W179&gt;=2,V179&lt;P179),EDATE(V179,12*2),AND(AH179="K5-POLICY",AG179&lt;&gt;"นิติศาสตร์",T179="S1",W179&gt;=1,V179&lt;P179),EDATE(V179,12),AND(AH179="K5-POLICY",AG179&lt;&gt;"นิติศาสตร์",OR(T179="S2",T179="K5")),V179,AND(AH179="K5-POLICY",AG179&lt;&gt;"นิติศาสตร์",OR(K179="M2",K179="K4"),Q179&gt;=2),EDATE(P179,12*2),AND(AH179="K5-POLICY",AG179&lt;&gt;"นิติศาสตร์",K179="S1",Q179&gt;=1),EDATE(P179,12),AND(AH179="K5-POLICY",AG179&lt;&gt;"นิติศาสตร์",OR(K179="S2",K179="K5")),P179,TRUE,"Check Data")</f>
        <v/>
      </c>
      <c r="AJ179" s="75" t="str">
        <f t="shared" si="45"/>
        <v>Check Data</v>
      </c>
      <c r="AK179" s="76" t="str">
        <f t="shared" si="46"/>
        <v>Check Data</v>
      </c>
      <c r="AL179" s="50" t="str">
        <f t="shared" si="47"/>
        <v>Check Data</v>
      </c>
      <c r="AM179" s="49" t="str">
        <f>IF(B179="","",IF(K179="S1","S1",INDEX(#REF!,#REF!)))</f>
        <v/>
      </c>
      <c r="AN179" s="49" t="str">
        <f>K179</f>
        <v>M2</v>
      </c>
      <c r="AO179" s="50" t="b">
        <f>K179=AM179</f>
        <v>0</v>
      </c>
      <c r="AP179" s="50"/>
    </row>
    <row r="180" spans="1:42" ht="21.75">
      <c r="A180" s="49">
        <v>178</v>
      </c>
      <c r="B180" s="50"/>
      <c r="C180" s="50"/>
      <c r="D180" s="50" t="s">
        <v>143</v>
      </c>
      <c r="E180" s="49" t="s">
        <v>366</v>
      </c>
      <c r="F180" s="49" t="str">
        <f t="shared" si="32"/>
        <v>01/12/2004</v>
      </c>
      <c r="G180" s="50">
        <f t="shared" si="33"/>
        <v>20</v>
      </c>
      <c r="H180" s="50">
        <f t="shared" si="34"/>
        <v>6</v>
      </c>
      <c r="I180" s="50">
        <f t="shared" si="35"/>
        <v>19</v>
      </c>
      <c r="J180" s="59"/>
      <c r="K180" s="49" t="s">
        <v>136</v>
      </c>
      <c r="L180" s="64"/>
      <c r="M180" s="49" t="s">
        <v>427</v>
      </c>
      <c r="N180" s="49">
        <v>2580</v>
      </c>
      <c r="O180" s="65" t="s">
        <v>294</v>
      </c>
      <c r="P180" s="49" t="str">
        <f t="shared" si="36"/>
        <v>18/05/2023</v>
      </c>
      <c r="Q180" s="68">
        <f t="shared" si="37"/>
        <v>2</v>
      </c>
      <c r="R180" s="68">
        <f t="shared" si="38"/>
        <v>1</v>
      </c>
      <c r="S180" s="68">
        <f t="shared" si="39"/>
        <v>2</v>
      </c>
      <c r="T180" s="65"/>
      <c r="U180" s="65"/>
      <c r="V180" s="49" t="str">
        <f t="shared" si="40"/>
        <v/>
      </c>
      <c r="W180" s="68">
        <f>IF(V180="",0,DATEDIF(V180,P180,"Y"))</f>
        <v>0</v>
      </c>
      <c r="X180" s="68">
        <f>IF(V180="",0,DATEDIF(V180,P180,"YM"))</f>
        <v>0</v>
      </c>
      <c r="Y180" s="68">
        <f>IF(V180="",0,DATEDIF(V180,P180,"MD"))</f>
        <v>0</v>
      </c>
      <c r="Z180" s="49"/>
      <c r="AA180" s="65"/>
      <c r="AB180" s="50" t="str">
        <f t="shared" si="41"/>
        <v/>
      </c>
      <c r="AC180" s="68">
        <f t="shared" si="42"/>
        <v>0</v>
      </c>
      <c r="AD180" s="68">
        <f t="shared" si="43"/>
        <v>0</v>
      </c>
      <c r="AE180" s="68">
        <f t="shared" si="44"/>
        <v>0</v>
      </c>
      <c r="AF180" s="50"/>
      <c r="AG180" s="50" t="s">
        <v>512</v>
      </c>
      <c r="AH180" s="49" t="str">
        <f>IF(AG180="นิติศาสตร์","K5-LAW","K5-POLICY")</f>
        <v>K5-POLICY</v>
      </c>
      <c r="AI180" s="72" t="str">
        <f>_xlfn.IFS(B180="","",AND(AH180="K5-LAW",AG180="นิติศาสตร์",K180="S2",T180="",Z180=""),P180,AND(AH180="K5-LAW",AG180="นิติศาสตร์",K180="S1",T180="",Z180=""),EDATE(P180,12),AND(AH180="K5-LAW",AG180="นิติศาสตร์",OR(K180="M2",K180="K4"),T180="",Z180=""),EDATE(P180,12*2),AND(AH180="K5-LAW",AG180="นิติศาสตร์",OR(Z180="M2",Z180="K4"),AC180&gt;=2,OR(AB180&lt;V180,AB180&lt;P180)),EDATE(AB180,12*2),AND(AH180="K5-LAW",AG180="นิติศาสตร์",Z180="S1",AC180&gt;=1,OR(AB180&lt;V180,AB180&lt;P180)),EDATE(AB180,12),AND(AH180="K5-LAW",AG180="นิติศาสตร์",OR(T180="M2",T180="K4"),W180&gt;=2,V180&lt;P180),EDATE(V180,12*2),AND(AH180="K5-LAW",AG180="นิติศาสตร์",T180="S1",W180&gt;=1,V180&lt;P180),EDATE(V180,12),AND(AH180="K5-LAW",AG180="นิติศาสตร์",OR(T180="S2",T180="K5")),V180,AND(AH180="K5-LAW",AG180="นิติศาสตร์",OR(K180="M2",K180="K4"),Q180&gt;=2),EDATE(P180,12*2),AND(AH180="K5-LAW",AG180="นิติศาสตร์",K180="S1",Q180&gt;=1),EDATE(P180,12),AND(AH180="K5-LAW",AG180="นิติศาสตร์",OR(K180="S2",K180="K5")),P180,AND(AH180="K5-POLICY",AG180&lt;&gt;"นิติศาสตร์",K180="S2",T180="",Z180=""),P180,AND(AH180="K5-POLICY",AG180&lt;&gt;"นิติศาสตร์",K180="S1",T180="",Z180=""),EDATE(P180,12),AND(AH180="K5-POLICY",AG180&lt;&gt;"นิติศาสตร์",OR(K180="M2",K180="K4"),T180="",Z180=""),EDATE(P180,12*2),AND(AH180="K5-POLICY",AG180&lt;&gt;"นิติศาสตร์",OR(Z180="M2",Z180="K4"),AC180&gt;=2,OR(AB180&lt;V180,AB180&lt;P180)),EDATE(AB180,12*2),AND(AH180="K5-POLICY",AG180&lt;&gt;"นิติศาสตร์",Z180="S1",AC180&gt;=1,OR(AB180&lt;V180,AB180&lt;P180)),EDATE(AB180,12),AND(AH180="K5-POLICY",AG180&lt;&gt;"นิติศาสตร์",OR(T180="M2",T180="K4"),W180&gt;=2,V180&lt;P180),EDATE(V180,12*2),AND(AH180="K5-POLICY",AG180&lt;&gt;"นิติศาสตร์",T180="S1",W180&gt;=1,V180&lt;P180),EDATE(V180,12),AND(AH180="K5-POLICY",AG180&lt;&gt;"นิติศาสตร์",OR(T180="S2",T180="K5")),V180,AND(AH180="K5-POLICY",AG180&lt;&gt;"นิติศาสตร์",OR(K180="M2",K180="K4"),Q180&gt;=2),EDATE(P180,12*2),AND(AH180="K5-POLICY",AG180&lt;&gt;"นิติศาสตร์",K180="S1",Q180&gt;=1),EDATE(P180,12),AND(AH180="K5-POLICY",AG180&lt;&gt;"นิติศาสตร์",OR(K180="S2",K180="K5")),P180,TRUE,"Check Data")</f>
        <v/>
      </c>
      <c r="AJ180" s="75" t="str">
        <f t="shared" si="45"/>
        <v>Check Data</v>
      </c>
      <c r="AK180" s="76" t="str">
        <f t="shared" si="46"/>
        <v>Check Data</v>
      </c>
      <c r="AL180" s="50" t="str">
        <f t="shared" si="47"/>
        <v>Check Data</v>
      </c>
      <c r="AM180" s="49" t="str">
        <f>IF(B180="","",IF(K180="S1","S1",INDEX(#REF!,#REF!)))</f>
        <v/>
      </c>
      <c r="AN180" s="49" t="str">
        <f>K180</f>
        <v>M2</v>
      </c>
      <c r="AO180" s="50" t="b">
        <f>K180=AM180</f>
        <v>0</v>
      </c>
      <c r="AP180" s="50"/>
    </row>
    <row r="181" spans="1:42" ht="21.75">
      <c r="A181" s="49">
        <v>179</v>
      </c>
      <c r="B181" s="50"/>
      <c r="C181" s="50"/>
      <c r="D181" s="50" t="s">
        <v>143</v>
      </c>
      <c r="E181" s="49" t="s">
        <v>344</v>
      </c>
      <c r="F181" s="49" t="str">
        <f t="shared" si="32"/>
        <v>15/08/2001</v>
      </c>
      <c r="G181" s="50">
        <f t="shared" si="33"/>
        <v>23</v>
      </c>
      <c r="H181" s="50">
        <f t="shared" si="34"/>
        <v>10</v>
      </c>
      <c r="I181" s="50">
        <f t="shared" si="35"/>
        <v>5</v>
      </c>
      <c r="J181" s="59"/>
      <c r="K181" s="49" t="s">
        <v>136</v>
      </c>
      <c r="L181" s="64"/>
      <c r="M181" s="49" t="s">
        <v>427</v>
      </c>
      <c r="N181" s="49">
        <v>2578</v>
      </c>
      <c r="O181" s="65" t="s">
        <v>294</v>
      </c>
      <c r="P181" s="49" t="str">
        <f t="shared" si="36"/>
        <v>18/05/2023</v>
      </c>
      <c r="Q181" s="68">
        <f t="shared" si="37"/>
        <v>2</v>
      </c>
      <c r="R181" s="68">
        <f t="shared" si="38"/>
        <v>1</v>
      </c>
      <c r="S181" s="68">
        <f t="shared" si="39"/>
        <v>2</v>
      </c>
      <c r="T181" s="65"/>
      <c r="U181" s="65"/>
      <c r="V181" s="49" t="str">
        <f t="shared" si="40"/>
        <v/>
      </c>
      <c r="W181" s="68">
        <f>IF(V181="",0,DATEDIF(V181,P181,"Y"))</f>
        <v>0</v>
      </c>
      <c r="X181" s="68">
        <f>IF(V181="",0,DATEDIF(V181,P181,"YM"))</f>
        <v>0</v>
      </c>
      <c r="Y181" s="68">
        <f>IF(V181="",0,DATEDIF(V181,P181,"MD"))</f>
        <v>0</v>
      </c>
      <c r="Z181" s="49"/>
      <c r="AA181" s="65"/>
      <c r="AB181" s="50" t="str">
        <f t="shared" si="41"/>
        <v/>
      </c>
      <c r="AC181" s="68">
        <f t="shared" si="42"/>
        <v>0</v>
      </c>
      <c r="AD181" s="68">
        <f t="shared" si="43"/>
        <v>0</v>
      </c>
      <c r="AE181" s="68">
        <f t="shared" si="44"/>
        <v>0</v>
      </c>
      <c r="AF181" s="50"/>
      <c r="AG181" s="50" t="s">
        <v>138</v>
      </c>
      <c r="AH181" s="49" t="str">
        <f>IF(AG181="นิติศาสตร์","K5-LAW","K5-POLICY")</f>
        <v>K5-LAW</v>
      </c>
      <c r="AI181" s="72" t="str">
        <f>_xlfn.IFS(B181="","",AND(AH181="K5-LAW",AG181="นิติศาสตร์",K181="S2",T181="",Z181=""),P181,AND(AH181="K5-LAW",AG181="นิติศาสตร์",K181="S1",T181="",Z181=""),EDATE(P181,12),AND(AH181="K5-LAW",AG181="นิติศาสตร์",OR(K181="M2",K181="K4"),T181="",Z181=""),EDATE(P181,12*2),AND(AH181="K5-LAW",AG181="นิติศาสตร์",OR(Z181="M2",Z181="K4"),AC181&gt;=2,OR(AB181&lt;V181,AB181&lt;P181)),EDATE(AB181,12*2),AND(AH181="K5-LAW",AG181="นิติศาสตร์",Z181="S1",AC181&gt;=1,OR(AB181&lt;V181,AB181&lt;P181)),EDATE(AB181,12),AND(AH181="K5-LAW",AG181="นิติศาสตร์",OR(T181="M2",T181="K4"),W181&gt;=2,V181&lt;P181),EDATE(V181,12*2),AND(AH181="K5-LAW",AG181="นิติศาสตร์",T181="S1",W181&gt;=1,V181&lt;P181),EDATE(V181,12),AND(AH181="K5-LAW",AG181="นิติศาสตร์",OR(T181="S2",T181="K5")),V181,AND(AH181="K5-LAW",AG181="นิติศาสตร์",OR(K181="M2",K181="K4"),Q181&gt;=2),EDATE(P181,12*2),AND(AH181="K5-LAW",AG181="นิติศาสตร์",K181="S1",Q181&gt;=1),EDATE(P181,12),AND(AH181="K5-LAW",AG181="นิติศาสตร์",OR(K181="S2",K181="K5")),P181,AND(AH181="K5-POLICY",AG181&lt;&gt;"นิติศาสตร์",K181="S2",T181="",Z181=""),P181,AND(AH181="K5-POLICY",AG181&lt;&gt;"นิติศาสตร์",K181="S1",T181="",Z181=""),EDATE(P181,12),AND(AH181="K5-POLICY",AG181&lt;&gt;"นิติศาสตร์",OR(K181="M2",K181="K4"),T181="",Z181=""),EDATE(P181,12*2),AND(AH181="K5-POLICY",AG181&lt;&gt;"นิติศาสตร์",OR(Z181="M2",Z181="K4"),AC181&gt;=2,OR(AB181&lt;V181,AB181&lt;P181)),EDATE(AB181,12*2),AND(AH181="K5-POLICY",AG181&lt;&gt;"นิติศาสตร์",Z181="S1",AC181&gt;=1,OR(AB181&lt;V181,AB181&lt;P181)),EDATE(AB181,12),AND(AH181="K5-POLICY",AG181&lt;&gt;"นิติศาสตร์",OR(T181="M2",T181="K4"),W181&gt;=2,V181&lt;P181),EDATE(V181,12*2),AND(AH181="K5-POLICY",AG181&lt;&gt;"นิติศาสตร์",T181="S1",W181&gt;=1,V181&lt;P181),EDATE(V181,12),AND(AH181="K5-POLICY",AG181&lt;&gt;"นิติศาสตร์",OR(T181="S2",T181="K5")),V181,AND(AH181="K5-POLICY",AG181&lt;&gt;"นิติศาสตร์",OR(K181="M2",K181="K4"),Q181&gt;=2),EDATE(P181,12*2),AND(AH181="K5-POLICY",AG181&lt;&gt;"นิติศาสตร์",K181="S1",Q181&gt;=1),EDATE(P181,12),AND(AH181="K5-POLICY",AG181&lt;&gt;"นิติศาสตร์",OR(K181="S2",K181="K5")),P181,TRUE,"Check Data")</f>
        <v/>
      </c>
      <c r="AJ181" s="75" t="str">
        <f t="shared" si="45"/>
        <v>Check Data</v>
      </c>
      <c r="AK181" s="76" t="str">
        <f t="shared" si="46"/>
        <v>Check Data</v>
      </c>
      <c r="AL181" s="50" t="str">
        <f t="shared" si="47"/>
        <v>Check Data</v>
      </c>
      <c r="AM181" s="49" t="str">
        <f>IF(B181="","",IF(K181="S1","S1",INDEX(#REF!,#REF!)))</f>
        <v/>
      </c>
      <c r="AN181" s="49" t="str">
        <f>K181</f>
        <v>M2</v>
      </c>
      <c r="AO181" s="50" t="b">
        <f>K181=AM181</f>
        <v>0</v>
      </c>
      <c r="AP181" s="50"/>
    </row>
    <row r="182" spans="1:42" ht="21.75">
      <c r="A182" s="49">
        <v>180</v>
      </c>
      <c r="B182" s="50"/>
      <c r="C182" s="50"/>
      <c r="D182" s="50" t="s">
        <v>143</v>
      </c>
      <c r="E182" s="49" t="s">
        <v>369</v>
      </c>
      <c r="F182" s="49" t="str">
        <f t="shared" si="32"/>
        <v>07/04/1998</v>
      </c>
      <c r="G182" s="50">
        <f t="shared" si="33"/>
        <v>27</v>
      </c>
      <c r="H182" s="50">
        <f t="shared" si="34"/>
        <v>2</v>
      </c>
      <c r="I182" s="50">
        <f t="shared" si="35"/>
        <v>13</v>
      </c>
      <c r="J182" s="59"/>
      <c r="K182" s="49" t="s">
        <v>136</v>
      </c>
      <c r="L182" s="64"/>
      <c r="M182" s="49" t="s">
        <v>427</v>
      </c>
      <c r="N182" s="49">
        <v>2581</v>
      </c>
      <c r="O182" s="65" t="s">
        <v>294</v>
      </c>
      <c r="P182" s="49" t="str">
        <f t="shared" si="36"/>
        <v>18/05/2023</v>
      </c>
      <c r="Q182" s="68">
        <f t="shared" si="37"/>
        <v>2</v>
      </c>
      <c r="R182" s="68">
        <f t="shared" si="38"/>
        <v>1</v>
      </c>
      <c r="S182" s="68">
        <f t="shared" si="39"/>
        <v>2</v>
      </c>
      <c r="T182" s="65"/>
      <c r="U182" s="65"/>
      <c r="V182" s="49" t="str">
        <f t="shared" si="40"/>
        <v/>
      </c>
      <c r="W182" s="68">
        <f>IF(V182="",0,DATEDIF(V182,P182,"Y"))</f>
        <v>0</v>
      </c>
      <c r="X182" s="68">
        <f>IF(V182="",0,DATEDIF(V182,P182,"YM"))</f>
        <v>0</v>
      </c>
      <c r="Y182" s="68">
        <f>IF(V182="",0,DATEDIF(V182,P182,"MD"))</f>
        <v>0</v>
      </c>
      <c r="Z182" s="49"/>
      <c r="AA182" s="65"/>
      <c r="AB182" s="50" t="str">
        <f t="shared" si="41"/>
        <v/>
      </c>
      <c r="AC182" s="68">
        <f t="shared" si="42"/>
        <v>0</v>
      </c>
      <c r="AD182" s="68">
        <f t="shared" si="43"/>
        <v>0</v>
      </c>
      <c r="AE182" s="68">
        <f t="shared" si="44"/>
        <v>0</v>
      </c>
      <c r="AF182" s="50"/>
      <c r="AG182" s="50" t="s">
        <v>486</v>
      </c>
      <c r="AH182" s="49" t="str">
        <f>IF(AG182="นิติศาสตร์","K5-LAW","K5-POLICY")</f>
        <v>K5-POLICY</v>
      </c>
      <c r="AI182" s="72" t="str">
        <f>_xlfn.IFS(B182="","",AND(AH182="K5-LAW",AG182="นิติศาสตร์",K182="S2",T182="",Z182=""),P182,AND(AH182="K5-LAW",AG182="นิติศาสตร์",K182="S1",T182="",Z182=""),EDATE(P182,12),AND(AH182="K5-LAW",AG182="นิติศาสตร์",OR(K182="M2",K182="K4"),T182="",Z182=""),EDATE(P182,12*2),AND(AH182="K5-LAW",AG182="นิติศาสตร์",OR(Z182="M2",Z182="K4"),AC182&gt;=2,OR(AB182&lt;V182,AB182&lt;P182)),EDATE(AB182,12*2),AND(AH182="K5-LAW",AG182="นิติศาสตร์",Z182="S1",AC182&gt;=1,OR(AB182&lt;V182,AB182&lt;P182)),EDATE(AB182,12),AND(AH182="K5-LAW",AG182="นิติศาสตร์",OR(T182="M2",T182="K4"),W182&gt;=2,V182&lt;P182),EDATE(V182,12*2),AND(AH182="K5-LAW",AG182="นิติศาสตร์",T182="S1",W182&gt;=1,V182&lt;P182),EDATE(V182,12),AND(AH182="K5-LAW",AG182="นิติศาสตร์",OR(T182="S2",T182="K5")),V182,AND(AH182="K5-LAW",AG182="นิติศาสตร์",OR(K182="M2",K182="K4"),Q182&gt;=2),EDATE(P182,12*2),AND(AH182="K5-LAW",AG182="นิติศาสตร์",K182="S1",Q182&gt;=1),EDATE(P182,12),AND(AH182="K5-LAW",AG182="นิติศาสตร์",OR(K182="S2",K182="K5")),P182,AND(AH182="K5-POLICY",AG182&lt;&gt;"นิติศาสตร์",K182="S2",T182="",Z182=""),P182,AND(AH182="K5-POLICY",AG182&lt;&gt;"นิติศาสตร์",K182="S1",T182="",Z182=""),EDATE(P182,12),AND(AH182="K5-POLICY",AG182&lt;&gt;"นิติศาสตร์",OR(K182="M2",K182="K4"),T182="",Z182=""),EDATE(P182,12*2),AND(AH182="K5-POLICY",AG182&lt;&gt;"นิติศาสตร์",OR(Z182="M2",Z182="K4"),AC182&gt;=2,OR(AB182&lt;V182,AB182&lt;P182)),EDATE(AB182,12*2),AND(AH182="K5-POLICY",AG182&lt;&gt;"นิติศาสตร์",Z182="S1",AC182&gt;=1,OR(AB182&lt;V182,AB182&lt;P182)),EDATE(AB182,12),AND(AH182="K5-POLICY",AG182&lt;&gt;"นิติศาสตร์",OR(T182="M2",T182="K4"),W182&gt;=2,V182&lt;P182),EDATE(V182,12*2),AND(AH182="K5-POLICY",AG182&lt;&gt;"นิติศาสตร์",T182="S1",W182&gt;=1,V182&lt;P182),EDATE(V182,12),AND(AH182="K5-POLICY",AG182&lt;&gt;"นิติศาสตร์",OR(T182="S2",T182="K5")),V182,AND(AH182="K5-POLICY",AG182&lt;&gt;"นิติศาสตร์",OR(K182="M2",K182="K4"),Q182&gt;=2),EDATE(P182,12*2),AND(AH182="K5-POLICY",AG182&lt;&gt;"นิติศาสตร์",K182="S1",Q182&gt;=1),EDATE(P182,12),AND(AH182="K5-POLICY",AG182&lt;&gt;"นิติศาสตร์",OR(K182="S2",K182="K5")),P182,TRUE,"Check Data")</f>
        <v/>
      </c>
      <c r="AJ182" s="75" t="str">
        <f t="shared" si="45"/>
        <v>Check Data</v>
      </c>
      <c r="AK182" s="76" t="str">
        <f t="shared" si="46"/>
        <v>Check Data</v>
      </c>
      <c r="AL182" s="50" t="str">
        <f t="shared" si="47"/>
        <v>Check Data</v>
      </c>
      <c r="AM182" s="49" t="str">
        <f>IF(B182="","",IF(K182="S1","S1",INDEX(#REF!,#REF!)))</f>
        <v/>
      </c>
      <c r="AN182" s="49" t="str">
        <f>K182</f>
        <v>M2</v>
      </c>
      <c r="AO182" s="50" t="b">
        <f>K182=AM182</f>
        <v>0</v>
      </c>
      <c r="AP182" s="50"/>
    </row>
    <row r="183" spans="1:42" ht="21.75">
      <c r="A183" s="49">
        <v>181</v>
      </c>
      <c r="B183" s="50"/>
      <c r="C183" s="50"/>
      <c r="D183" s="50" t="s">
        <v>143</v>
      </c>
      <c r="E183" s="49" t="s">
        <v>368</v>
      </c>
      <c r="F183" s="49" t="str">
        <f t="shared" si="32"/>
        <v>30/08/2002</v>
      </c>
      <c r="G183" s="50">
        <f t="shared" si="33"/>
        <v>22</v>
      </c>
      <c r="H183" s="50">
        <f t="shared" si="34"/>
        <v>9</v>
      </c>
      <c r="I183" s="50">
        <f t="shared" si="35"/>
        <v>21</v>
      </c>
      <c r="J183" s="59"/>
      <c r="K183" s="49" t="s">
        <v>136</v>
      </c>
      <c r="L183" s="64"/>
      <c r="M183" s="49" t="s">
        <v>427</v>
      </c>
      <c r="N183" s="49">
        <v>2577</v>
      </c>
      <c r="O183" s="65" t="s">
        <v>294</v>
      </c>
      <c r="P183" s="49" t="str">
        <f t="shared" si="36"/>
        <v>18/05/2023</v>
      </c>
      <c r="Q183" s="68">
        <f t="shared" si="37"/>
        <v>2</v>
      </c>
      <c r="R183" s="68">
        <f t="shared" si="38"/>
        <v>1</v>
      </c>
      <c r="S183" s="68">
        <f t="shared" si="39"/>
        <v>2</v>
      </c>
      <c r="T183" s="65"/>
      <c r="U183" s="65"/>
      <c r="V183" s="49" t="str">
        <f t="shared" si="40"/>
        <v/>
      </c>
      <c r="W183" s="68">
        <f>IF(V183="",0,DATEDIF(V183,P183,"Y"))</f>
        <v>0</v>
      </c>
      <c r="X183" s="68">
        <f>IF(V183="",0,DATEDIF(V183,P183,"YM"))</f>
        <v>0</v>
      </c>
      <c r="Y183" s="68">
        <f>IF(V183="",0,DATEDIF(V183,P183,"MD"))</f>
        <v>0</v>
      </c>
      <c r="Z183" s="49"/>
      <c r="AA183" s="65"/>
      <c r="AB183" s="50" t="str">
        <f t="shared" si="41"/>
        <v/>
      </c>
      <c r="AC183" s="68">
        <f t="shared" si="42"/>
        <v>0</v>
      </c>
      <c r="AD183" s="68">
        <f t="shared" si="43"/>
        <v>0</v>
      </c>
      <c r="AE183" s="68">
        <f t="shared" si="44"/>
        <v>0</v>
      </c>
      <c r="AF183" s="50"/>
      <c r="AG183" s="50" t="s">
        <v>138</v>
      </c>
      <c r="AH183" s="49" t="str">
        <f>IF(AG183="นิติศาสตร์","K5-LAW","K5-POLICY")</f>
        <v>K5-LAW</v>
      </c>
      <c r="AI183" s="72" t="str">
        <f>_xlfn.IFS(B183="","",AND(AH183="K5-LAW",AG183="นิติศาสตร์",K183="S2",T183="",Z183=""),P183,AND(AH183="K5-LAW",AG183="นิติศาสตร์",K183="S1",T183="",Z183=""),EDATE(P183,12),AND(AH183="K5-LAW",AG183="นิติศาสตร์",OR(K183="M2",K183="K4"),T183="",Z183=""),EDATE(P183,12*2),AND(AH183="K5-LAW",AG183="นิติศาสตร์",OR(Z183="M2",Z183="K4"),AC183&gt;=2,OR(AB183&lt;V183,AB183&lt;P183)),EDATE(AB183,12*2),AND(AH183="K5-LAW",AG183="นิติศาสตร์",Z183="S1",AC183&gt;=1,OR(AB183&lt;V183,AB183&lt;P183)),EDATE(AB183,12),AND(AH183="K5-LAW",AG183="นิติศาสตร์",OR(T183="M2",T183="K4"),W183&gt;=2,V183&lt;P183),EDATE(V183,12*2),AND(AH183="K5-LAW",AG183="นิติศาสตร์",T183="S1",W183&gt;=1,V183&lt;P183),EDATE(V183,12),AND(AH183="K5-LAW",AG183="นิติศาสตร์",OR(T183="S2",T183="K5")),V183,AND(AH183="K5-LAW",AG183="นิติศาสตร์",OR(K183="M2",K183="K4"),Q183&gt;=2),EDATE(P183,12*2),AND(AH183="K5-LAW",AG183="นิติศาสตร์",K183="S1",Q183&gt;=1),EDATE(P183,12),AND(AH183="K5-LAW",AG183="นิติศาสตร์",OR(K183="S2",K183="K5")),P183,AND(AH183="K5-POLICY",AG183&lt;&gt;"นิติศาสตร์",K183="S2",T183="",Z183=""),P183,AND(AH183="K5-POLICY",AG183&lt;&gt;"นิติศาสตร์",K183="S1",T183="",Z183=""),EDATE(P183,12),AND(AH183="K5-POLICY",AG183&lt;&gt;"นิติศาสตร์",OR(K183="M2",K183="K4"),T183="",Z183=""),EDATE(P183,12*2),AND(AH183="K5-POLICY",AG183&lt;&gt;"นิติศาสตร์",OR(Z183="M2",Z183="K4"),AC183&gt;=2,OR(AB183&lt;V183,AB183&lt;P183)),EDATE(AB183,12*2),AND(AH183="K5-POLICY",AG183&lt;&gt;"นิติศาสตร์",Z183="S1",AC183&gt;=1,OR(AB183&lt;V183,AB183&lt;P183)),EDATE(AB183,12),AND(AH183="K5-POLICY",AG183&lt;&gt;"นิติศาสตร์",OR(T183="M2",T183="K4"),W183&gt;=2,V183&lt;P183),EDATE(V183,12*2),AND(AH183="K5-POLICY",AG183&lt;&gt;"นิติศาสตร์",T183="S1",W183&gt;=1,V183&lt;P183),EDATE(V183,12),AND(AH183="K5-POLICY",AG183&lt;&gt;"นิติศาสตร์",OR(T183="S2",T183="K5")),V183,AND(AH183="K5-POLICY",AG183&lt;&gt;"นิติศาสตร์",OR(K183="M2",K183="K4"),Q183&gt;=2),EDATE(P183,12*2),AND(AH183="K5-POLICY",AG183&lt;&gt;"นิติศาสตร์",K183="S1",Q183&gt;=1),EDATE(P183,12),AND(AH183="K5-POLICY",AG183&lt;&gt;"นิติศาสตร์",OR(K183="S2",K183="K5")),P183,TRUE,"Check Data")</f>
        <v/>
      </c>
      <c r="AJ183" s="75" t="str">
        <f t="shared" si="45"/>
        <v>Check Data</v>
      </c>
      <c r="AK183" s="76" t="str">
        <f t="shared" si="46"/>
        <v>Check Data</v>
      </c>
      <c r="AL183" s="50" t="str">
        <f t="shared" si="47"/>
        <v>Check Data</v>
      </c>
      <c r="AM183" s="49" t="str">
        <f>IF(B183="","",IF(K183="S1","S1",INDEX(#REF!,#REF!)))</f>
        <v/>
      </c>
      <c r="AN183" s="49" t="str">
        <f>K183</f>
        <v>M2</v>
      </c>
      <c r="AO183" s="50" t="b">
        <f>K183=AM183</f>
        <v>0</v>
      </c>
      <c r="AP183" s="50"/>
    </row>
    <row r="184" spans="1:42" ht="21.75">
      <c r="A184" s="49">
        <v>182</v>
      </c>
      <c r="B184" s="50"/>
      <c r="C184" s="50"/>
      <c r="D184" s="50" t="s">
        <v>144</v>
      </c>
      <c r="E184" s="49" t="s">
        <v>164</v>
      </c>
      <c r="F184" s="49" t="str">
        <f t="shared" si="32"/>
        <v>01/05/1990</v>
      </c>
      <c r="G184" s="50">
        <f t="shared" si="33"/>
        <v>35</v>
      </c>
      <c r="H184" s="50">
        <f t="shared" si="34"/>
        <v>1</v>
      </c>
      <c r="I184" s="50">
        <f t="shared" si="35"/>
        <v>19</v>
      </c>
      <c r="J184" s="59"/>
      <c r="K184" s="49" t="s">
        <v>136</v>
      </c>
      <c r="L184" s="64"/>
      <c r="M184" s="49" t="s">
        <v>425</v>
      </c>
      <c r="N184" s="49">
        <v>2573</v>
      </c>
      <c r="O184" s="65" t="s">
        <v>207</v>
      </c>
      <c r="P184" s="49" t="str">
        <f t="shared" si="36"/>
        <v>09/06/2023</v>
      </c>
      <c r="Q184" s="68">
        <f t="shared" si="37"/>
        <v>2</v>
      </c>
      <c r="R184" s="68">
        <f t="shared" si="38"/>
        <v>0</v>
      </c>
      <c r="S184" s="68">
        <f t="shared" si="39"/>
        <v>11</v>
      </c>
      <c r="T184" s="65" t="s">
        <v>137</v>
      </c>
      <c r="U184" s="65" t="s">
        <v>522</v>
      </c>
      <c r="V184" s="49" t="str">
        <f t="shared" si="40"/>
        <v>11/11/2015</v>
      </c>
      <c r="W184" s="68">
        <f>IF(V184="",0,DATEDIF(V184,P184,"Y"))</f>
        <v>7</v>
      </c>
      <c r="X184" s="68">
        <f>IF(V184="",0,DATEDIF(V184,P184,"YM"))</f>
        <v>6</v>
      </c>
      <c r="Y184" s="68">
        <f>IF(V184="",0,DATEDIF(V184,P184,"MD"))</f>
        <v>29</v>
      </c>
      <c r="Z184" s="49"/>
      <c r="AA184" s="65"/>
      <c r="AB184" s="50" t="str">
        <f t="shared" si="41"/>
        <v/>
      </c>
      <c r="AC184" s="68">
        <f t="shared" si="42"/>
        <v>0</v>
      </c>
      <c r="AD184" s="68">
        <f t="shared" si="43"/>
        <v>0</v>
      </c>
      <c r="AE184" s="68">
        <f t="shared" si="44"/>
        <v>0</v>
      </c>
      <c r="AF184" s="50"/>
      <c r="AG184" s="50" t="s">
        <v>163</v>
      </c>
      <c r="AH184" s="49" t="str">
        <f>IF(AG184="นิติศาสตร์","K5-LAW","K5-POLICY")</f>
        <v>K5-POLICY</v>
      </c>
      <c r="AI184" s="72" t="str">
        <f>_xlfn.IFS(B184="","",AND(AH184="K5-LAW",AG184="นิติศาสตร์",K184="S2",T184="",Z184=""),P184,AND(AH184="K5-LAW",AG184="นิติศาสตร์",K184="S1",T184="",Z184=""),EDATE(P184,12),AND(AH184="K5-LAW",AG184="นิติศาสตร์",OR(K184="M2",K184="K4"),T184="",Z184=""),EDATE(P184,12*2),AND(AH184="K5-LAW",AG184="นิติศาสตร์",OR(Z184="M2",Z184="K4"),AC184&gt;=2,OR(AB184&lt;V184,AB184&lt;P184)),EDATE(AB184,12*2),AND(AH184="K5-LAW",AG184="นิติศาสตร์",Z184="S1",AC184&gt;=1,OR(AB184&lt;V184,AB184&lt;P184)),EDATE(AB184,12),AND(AH184="K5-LAW",AG184="นิติศาสตร์",OR(T184="M2",T184="K4"),W184&gt;=2,V184&lt;P184),EDATE(V184,12*2),AND(AH184="K5-LAW",AG184="นิติศาสตร์",T184="S1",W184&gt;=1,V184&lt;P184),EDATE(V184,12),AND(AH184="K5-LAW",AG184="นิติศาสตร์",OR(T184="S2",T184="K5")),V184,AND(AH184="K5-LAW",AG184="นิติศาสตร์",OR(K184="M2",K184="K4"),Q184&gt;=2),EDATE(P184,12*2),AND(AH184="K5-LAW",AG184="นิติศาสตร์",K184="S1",Q184&gt;=1),EDATE(P184,12),AND(AH184="K5-LAW",AG184="นิติศาสตร์",OR(K184="S2",K184="K5")),P184,AND(AH184="K5-POLICY",AG184&lt;&gt;"นิติศาสตร์",K184="S2",T184="",Z184=""),P184,AND(AH184="K5-POLICY",AG184&lt;&gt;"นิติศาสตร์",K184="S1",T184="",Z184=""),EDATE(P184,12),AND(AH184="K5-POLICY",AG184&lt;&gt;"นิติศาสตร์",OR(K184="M2",K184="K4"),T184="",Z184=""),EDATE(P184,12*2),AND(AH184="K5-POLICY",AG184&lt;&gt;"นิติศาสตร์",OR(Z184="M2",Z184="K4"),AC184&gt;=2,OR(AB184&lt;V184,AB184&lt;P184)),EDATE(AB184,12*2),AND(AH184="K5-POLICY",AG184&lt;&gt;"นิติศาสตร์",Z184="S1",AC184&gt;=1,OR(AB184&lt;V184,AB184&lt;P184)),EDATE(AB184,12),AND(AH184="K5-POLICY",AG184&lt;&gt;"นิติศาสตร์",OR(T184="M2",T184="K4"),W184&gt;=2,V184&lt;P184),EDATE(V184,12*2),AND(AH184="K5-POLICY",AG184&lt;&gt;"นิติศาสตร์",T184="S1",W184&gt;=1,V184&lt;P184),EDATE(V184,12),AND(AH184="K5-POLICY",AG184&lt;&gt;"นิติศาสตร์",OR(T184="S2",T184="K5")),V184,AND(AH184="K5-POLICY",AG184&lt;&gt;"นิติศาสตร์",OR(K184="M2",K184="K4"),Q184&gt;=2),EDATE(P184,12*2),AND(AH184="K5-POLICY",AG184&lt;&gt;"นิติศาสตร์",K184="S1",Q184&gt;=1),EDATE(P184,12),AND(AH184="K5-POLICY",AG184&lt;&gt;"นิติศาสตร์",OR(K184="S2",K184="K5")),P184,TRUE,"Check Data")</f>
        <v/>
      </c>
      <c r="AJ184" s="75" t="str">
        <f t="shared" si="45"/>
        <v>Check Data</v>
      </c>
      <c r="AK184" s="76" t="str">
        <f t="shared" si="46"/>
        <v>Check Data</v>
      </c>
      <c r="AL184" s="50" t="str">
        <f t="shared" si="47"/>
        <v>Check Data</v>
      </c>
      <c r="AM184" s="49" t="str">
        <f>IF(B184="","",IF(K184="S1","S1",INDEX(#REF!,#REF!)))</f>
        <v/>
      </c>
      <c r="AN184" s="49" t="str">
        <f>K184</f>
        <v>M2</v>
      </c>
      <c r="AO184" s="50" t="b">
        <f>K184=AM184</f>
        <v>0</v>
      </c>
      <c r="AP184" s="50"/>
    </row>
    <row r="185" spans="1:42" ht="21.75">
      <c r="A185" s="49">
        <v>183</v>
      </c>
      <c r="B185" s="50"/>
      <c r="C185" s="50"/>
      <c r="D185" s="50" t="s">
        <v>144</v>
      </c>
      <c r="E185" s="49" t="s">
        <v>381</v>
      </c>
      <c r="F185" s="49" t="str">
        <f t="shared" si="32"/>
        <v>01/04/1993</v>
      </c>
      <c r="G185" s="50">
        <f t="shared" si="33"/>
        <v>32</v>
      </c>
      <c r="H185" s="50">
        <f t="shared" si="34"/>
        <v>2</v>
      </c>
      <c r="I185" s="50">
        <f t="shared" si="35"/>
        <v>19</v>
      </c>
      <c r="J185" s="57"/>
      <c r="K185" s="49" t="s">
        <v>136</v>
      </c>
      <c r="L185" s="64"/>
      <c r="M185" s="49" t="s">
        <v>427</v>
      </c>
      <c r="N185" s="49">
        <v>2577</v>
      </c>
      <c r="O185" s="65" t="s">
        <v>207</v>
      </c>
      <c r="P185" s="49" t="str">
        <f t="shared" si="36"/>
        <v>09/06/2023</v>
      </c>
      <c r="Q185" s="68">
        <f t="shared" si="37"/>
        <v>2</v>
      </c>
      <c r="R185" s="68">
        <f t="shared" si="38"/>
        <v>0</v>
      </c>
      <c r="S185" s="68">
        <f t="shared" si="39"/>
        <v>11</v>
      </c>
      <c r="T185" s="65"/>
      <c r="U185" s="65"/>
      <c r="V185" s="49" t="str">
        <f t="shared" si="40"/>
        <v/>
      </c>
      <c r="W185" s="68">
        <f>IF(V185="",0,DATEDIF(V185,P185,"Y"))</f>
        <v>0</v>
      </c>
      <c r="X185" s="68">
        <f>IF(V185="",0,DATEDIF(V185,P185,"YM"))</f>
        <v>0</v>
      </c>
      <c r="Y185" s="68">
        <f>IF(V185="",0,DATEDIF(V185,P185,"MD"))</f>
        <v>0</v>
      </c>
      <c r="Z185" s="49"/>
      <c r="AA185" s="65"/>
      <c r="AB185" s="50" t="str">
        <f t="shared" si="41"/>
        <v/>
      </c>
      <c r="AC185" s="68">
        <f t="shared" si="42"/>
        <v>0</v>
      </c>
      <c r="AD185" s="68">
        <f t="shared" si="43"/>
        <v>0</v>
      </c>
      <c r="AE185" s="68">
        <f t="shared" si="44"/>
        <v>0</v>
      </c>
      <c r="AF185" s="50"/>
      <c r="AG185" s="50" t="s">
        <v>163</v>
      </c>
      <c r="AH185" s="49" t="str">
        <f>IF(AG185="นิติศาสตร์","K5-LAW","K5-POLICY")</f>
        <v>K5-POLICY</v>
      </c>
      <c r="AI185" s="72" t="str">
        <f>_xlfn.IFS(B185="","",AND(AH185="K5-LAW",AG185="นิติศาสตร์",K185="S2",T185="",Z185=""),P185,AND(AH185="K5-LAW",AG185="นิติศาสตร์",K185="S1",T185="",Z185=""),EDATE(P185,12),AND(AH185="K5-LAW",AG185="นิติศาสตร์",OR(K185="M2",K185="K4"),T185="",Z185=""),EDATE(P185,12*2),AND(AH185="K5-LAW",AG185="นิติศาสตร์",OR(Z185="M2",Z185="K4"),AC185&gt;=2,OR(AB185&lt;V185,AB185&lt;P185)),EDATE(AB185,12*2),AND(AH185="K5-LAW",AG185="นิติศาสตร์",Z185="S1",AC185&gt;=1,OR(AB185&lt;V185,AB185&lt;P185)),EDATE(AB185,12),AND(AH185="K5-LAW",AG185="นิติศาสตร์",OR(T185="M2",T185="K4"),W185&gt;=2,V185&lt;P185),EDATE(V185,12*2),AND(AH185="K5-LAW",AG185="นิติศาสตร์",T185="S1",W185&gt;=1,V185&lt;P185),EDATE(V185,12),AND(AH185="K5-LAW",AG185="นิติศาสตร์",OR(T185="S2",T185="K5")),V185,AND(AH185="K5-LAW",AG185="นิติศาสตร์",OR(K185="M2",K185="K4"),Q185&gt;=2),EDATE(P185,12*2),AND(AH185="K5-LAW",AG185="นิติศาสตร์",K185="S1",Q185&gt;=1),EDATE(P185,12),AND(AH185="K5-LAW",AG185="นิติศาสตร์",OR(K185="S2",K185="K5")),P185,AND(AH185="K5-POLICY",AG185&lt;&gt;"นิติศาสตร์",K185="S2",T185="",Z185=""),P185,AND(AH185="K5-POLICY",AG185&lt;&gt;"นิติศาสตร์",K185="S1",T185="",Z185=""),EDATE(P185,12),AND(AH185="K5-POLICY",AG185&lt;&gt;"นิติศาสตร์",OR(K185="M2",K185="K4"),T185="",Z185=""),EDATE(P185,12*2),AND(AH185="K5-POLICY",AG185&lt;&gt;"นิติศาสตร์",OR(Z185="M2",Z185="K4"),AC185&gt;=2,OR(AB185&lt;V185,AB185&lt;P185)),EDATE(AB185,12*2),AND(AH185="K5-POLICY",AG185&lt;&gt;"นิติศาสตร์",Z185="S1",AC185&gt;=1,OR(AB185&lt;V185,AB185&lt;P185)),EDATE(AB185,12),AND(AH185="K5-POLICY",AG185&lt;&gt;"นิติศาสตร์",OR(T185="M2",T185="K4"),W185&gt;=2,V185&lt;P185),EDATE(V185,12*2),AND(AH185="K5-POLICY",AG185&lt;&gt;"นิติศาสตร์",T185="S1",W185&gt;=1,V185&lt;P185),EDATE(V185,12),AND(AH185="K5-POLICY",AG185&lt;&gt;"นิติศาสตร์",OR(T185="S2",T185="K5")),V185,AND(AH185="K5-POLICY",AG185&lt;&gt;"นิติศาสตร์",OR(K185="M2",K185="K4"),Q185&gt;=2),EDATE(P185,12*2),AND(AH185="K5-POLICY",AG185&lt;&gt;"นิติศาสตร์",K185="S1",Q185&gt;=1),EDATE(P185,12),AND(AH185="K5-POLICY",AG185&lt;&gt;"นิติศาสตร์",OR(K185="S2",K185="K5")),P185,TRUE,"Check Data")</f>
        <v/>
      </c>
      <c r="AJ185" s="75" t="str">
        <f t="shared" si="45"/>
        <v>Check Data</v>
      </c>
      <c r="AK185" s="76" t="str">
        <f t="shared" si="46"/>
        <v>Check Data</v>
      </c>
      <c r="AL185" s="50" t="str">
        <f t="shared" si="47"/>
        <v>Check Data</v>
      </c>
      <c r="AM185" s="49" t="str">
        <f>IF(B185="","",IF(K185="S1","S1",INDEX(#REF!,#REF!)))</f>
        <v/>
      </c>
      <c r="AN185" s="49" t="str">
        <f>K185</f>
        <v>M2</v>
      </c>
      <c r="AO185" s="50" t="b">
        <f>K185=AM185</f>
        <v>0</v>
      </c>
      <c r="AP185" s="50"/>
    </row>
    <row r="186" spans="1:42" ht="21.75">
      <c r="A186" s="49">
        <v>184</v>
      </c>
      <c r="B186" s="50"/>
      <c r="C186" s="50"/>
      <c r="D186" s="50" t="s">
        <v>144</v>
      </c>
      <c r="E186" s="49" t="s">
        <v>374</v>
      </c>
      <c r="F186" s="49" t="str">
        <f t="shared" si="32"/>
        <v>29/06/1998</v>
      </c>
      <c r="G186" s="50">
        <f t="shared" si="33"/>
        <v>26</v>
      </c>
      <c r="H186" s="50">
        <f t="shared" si="34"/>
        <v>11</v>
      </c>
      <c r="I186" s="50">
        <f t="shared" si="35"/>
        <v>22</v>
      </c>
      <c r="J186" s="57"/>
      <c r="K186" s="49" t="s">
        <v>136</v>
      </c>
      <c r="L186" s="64"/>
      <c r="M186" s="49" t="s">
        <v>426</v>
      </c>
      <c r="N186" s="49">
        <v>2574</v>
      </c>
      <c r="O186" s="65" t="s">
        <v>207</v>
      </c>
      <c r="P186" s="49" t="str">
        <f t="shared" si="36"/>
        <v>09/06/2023</v>
      </c>
      <c r="Q186" s="68">
        <f t="shared" si="37"/>
        <v>2</v>
      </c>
      <c r="R186" s="68">
        <f t="shared" si="38"/>
        <v>0</v>
      </c>
      <c r="S186" s="68">
        <f t="shared" si="39"/>
        <v>11</v>
      </c>
      <c r="T186" s="65"/>
      <c r="U186" s="65"/>
      <c r="V186" s="49" t="str">
        <f t="shared" si="40"/>
        <v/>
      </c>
      <c r="W186" s="68">
        <f>IF(V186="",0,DATEDIF(V186,P186,"Y"))</f>
        <v>0</v>
      </c>
      <c r="X186" s="68">
        <f>IF(V186="",0,DATEDIF(V186,P186,"YM"))</f>
        <v>0</v>
      </c>
      <c r="Y186" s="68">
        <f>IF(V186="",0,DATEDIF(V186,P186,"MD"))</f>
        <v>0</v>
      </c>
      <c r="Z186" s="49"/>
      <c r="AA186" s="65"/>
      <c r="AB186" s="50" t="str">
        <f t="shared" si="41"/>
        <v/>
      </c>
      <c r="AC186" s="68">
        <f t="shared" si="42"/>
        <v>0</v>
      </c>
      <c r="AD186" s="68">
        <f t="shared" si="43"/>
        <v>0</v>
      </c>
      <c r="AE186" s="68">
        <f t="shared" si="44"/>
        <v>0</v>
      </c>
      <c r="AF186" s="50"/>
      <c r="AG186" s="50" t="s">
        <v>138</v>
      </c>
      <c r="AH186" s="49" t="str">
        <f>IF(AG186="นิติศาสตร์","K5-LAW","K5-POLICY")</f>
        <v>K5-LAW</v>
      </c>
      <c r="AI186" s="72" t="str">
        <f>_xlfn.IFS(B186="","",AND(AH186="K5-LAW",AG186="นิติศาสตร์",K186="S2",T186="",Z186=""),P186,AND(AH186="K5-LAW",AG186="นิติศาสตร์",K186="S1",T186="",Z186=""),EDATE(P186,12),AND(AH186="K5-LAW",AG186="นิติศาสตร์",OR(K186="M2",K186="K4"),T186="",Z186=""),EDATE(P186,12*2),AND(AH186="K5-LAW",AG186="นิติศาสตร์",OR(Z186="M2",Z186="K4"),AC186&gt;=2,OR(AB186&lt;V186,AB186&lt;P186)),EDATE(AB186,12*2),AND(AH186="K5-LAW",AG186="นิติศาสตร์",Z186="S1",AC186&gt;=1,OR(AB186&lt;V186,AB186&lt;P186)),EDATE(AB186,12),AND(AH186="K5-LAW",AG186="นิติศาสตร์",OR(T186="M2",T186="K4"),W186&gt;=2,V186&lt;P186),EDATE(V186,12*2),AND(AH186="K5-LAW",AG186="นิติศาสตร์",T186="S1",W186&gt;=1,V186&lt;P186),EDATE(V186,12),AND(AH186="K5-LAW",AG186="นิติศาสตร์",OR(T186="S2",T186="K5")),V186,AND(AH186="K5-LAW",AG186="นิติศาสตร์",OR(K186="M2",K186="K4"),Q186&gt;=2),EDATE(P186,12*2),AND(AH186="K5-LAW",AG186="นิติศาสตร์",K186="S1",Q186&gt;=1),EDATE(P186,12),AND(AH186="K5-LAW",AG186="นิติศาสตร์",OR(K186="S2",K186="K5")),P186,AND(AH186="K5-POLICY",AG186&lt;&gt;"นิติศาสตร์",K186="S2",T186="",Z186=""),P186,AND(AH186="K5-POLICY",AG186&lt;&gt;"นิติศาสตร์",K186="S1",T186="",Z186=""),EDATE(P186,12),AND(AH186="K5-POLICY",AG186&lt;&gt;"นิติศาสตร์",OR(K186="M2",K186="K4"),T186="",Z186=""),EDATE(P186,12*2),AND(AH186="K5-POLICY",AG186&lt;&gt;"นิติศาสตร์",OR(Z186="M2",Z186="K4"),AC186&gt;=2,OR(AB186&lt;V186,AB186&lt;P186)),EDATE(AB186,12*2),AND(AH186="K5-POLICY",AG186&lt;&gt;"นิติศาสตร์",Z186="S1",AC186&gt;=1,OR(AB186&lt;V186,AB186&lt;P186)),EDATE(AB186,12),AND(AH186="K5-POLICY",AG186&lt;&gt;"นิติศาสตร์",OR(T186="M2",T186="K4"),W186&gt;=2,V186&lt;P186),EDATE(V186,12*2),AND(AH186="K5-POLICY",AG186&lt;&gt;"นิติศาสตร์",T186="S1",W186&gt;=1,V186&lt;P186),EDATE(V186,12),AND(AH186="K5-POLICY",AG186&lt;&gt;"นิติศาสตร์",OR(T186="S2",T186="K5")),V186,AND(AH186="K5-POLICY",AG186&lt;&gt;"นิติศาสตร์",OR(K186="M2",K186="K4"),Q186&gt;=2),EDATE(P186,12*2),AND(AH186="K5-POLICY",AG186&lt;&gt;"นิติศาสตร์",K186="S1",Q186&gt;=1),EDATE(P186,12),AND(AH186="K5-POLICY",AG186&lt;&gt;"นิติศาสตร์",OR(K186="S2",K186="K5")),P186,TRUE,"Check Data")</f>
        <v/>
      </c>
      <c r="AJ186" s="75" t="str">
        <f t="shared" si="45"/>
        <v>Check Data</v>
      </c>
      <c r="AK186" s="76" t="str">
        <f t="shared" si="46"/>
        <v>Check Data</v>
      </c>
      <c r="AL186" s="50" t="str">
        <f t="shared" si="47"/>
        <v>Check Data</v>
      </c>
      <c r="AM186" s="49" t="str">
        <f>IF(B186="","",IF(K186="S1","S1",INDEX(#REF!,#REF!)))</f>
        <v/>
      </c>
      <c r="AN186" s="49" t="str">
        <f>K186</f>
        <v>M2</v>
      </c>
      <c r="AO186" s="50" t="b">
        <f>K186=AM186</f>
        <v>0</v>
      </c>
      <c r="AP186" s="50"/>
    </row>
    <row r="187" spans="1:42" ht="21.75">
      <c r="A187" s="49">
        <v>185</v>
      </c>
      <c r="B187" s="50"/>
      <c r="C187" s="50"/>
      <c r="D187" s="50" t="s">
        <v>34</v>
      </c>
      <c r="E187" s="49" t="s">
        <v>206</v>
      </c>
      <c r="F187" s="49" t="str">
        <f t="shared" si="32"/>
        <v>25/12/2001</v>
      </c>
      <c r="G187" s="50">
        <f t="shared" si="33"/>
        <v>23</v>
      </c>
      <c r="H187" s="50">
        <f t="shared" si="34"/>
        <v>5</v>
      </c>
      <c r="I187" s="50">
        <f t="shared" si="35"/>
        <v>26</v>
      </c>
      <c r="J187" s="78"/>
      <c r="K187" s="49" t="s">
        <v>136</v>
      </c>
      <c r="L187" s="64"/>
      <c r="M187" s="49" t="s">
        <v>426</v>
      </c>
      <c r="N187" s="49">
        <v>2577</v>
      </c>
      <c r="O187" s="65" t="s">
        <v>207</v>
      </c>
      <c r="P187" s="49" t="str">
        <f t="shared" si="36"/>
        <v>09/06/2023</v>
      </c>
      <c r="Q187" s="68">
        <f t="shared" si="37"/>
        <v>2</v>
      </c>
      <c r="R187" s="68">
        <f t="shared" si="38"/>
        <v>0</v>
      </c>
      <c r="S187" s="68">
        <f t="shared" si="39"/>
        <v>11</v>
      </c>
      <c r="T187" s="65"/>
      <c r="U187" s="65"/>
      <c r="V187" s="49" t="str">
        <f t="shared" si="40"/>
        <v/>
      </c>
      <c r="W187" s="68">
        <f>IF(V187="",0,DATEDIF(V187,P187,"Y"))</f>
        <v>0</v>
      </c>
      <c r="X187" s="68">
        <f>IF(V187="",0,DATEDIF(V187,P187,"YM"))</f>
        <v>0</v>
      </c>
      <c r="Y187" s="68">
        <f>IF(V187="",0,DATEDIF(V187,P187,"MD"))</f>
        <v>0</v>
      </c>
      <c r="Z187" s="49"/>
      <c r="AA187" s="65"/>
      <c r="AB187" s="50" t="str">
        <f t="shared" si="41"/>
        <v/>
      </c>
      <c r="AC187" s="68">
        <f t="shared" si="42"/>
        <v>0</v>
      </c>
      <c r="AD187" s="68">
        <f t="shared" si="43"/>
        <v>0</v>
      </c>
      <c r="AE187" s="68">
        <f t="shared" si="44"/>
        <v>0</v>
      </c>
      <c r="AF187" s="50"/>
      <c r="AG187" s="50" t="s">
        <v>173</v>
      </c>
      <c r="AH187" s="49" t="str">
        <f>IF(AG187="นิติศาสตร์","K5-LAW","K5-POLICY")</f>
        <v>K5-POLICY</v>
      </c>
      <c r="AI187" s="72" t="str">
        <f>_xlfn.IFS(B187="","",AND(AH187="K5-LAW",AG187="นิติศาสตร์",K187="S2",T187="",Z187=""),P187,AND(AH187="K5-LAW",AG187="นิติศาสตร์",K187="S1",T187="",Z187=""),EDATE(P187,12),AND(AH187="K5-LAW",AG187="นิติศาสตร์",OR(K187="M2",K187="K4"),T187="",Z187=""),EDATE(P187,12*2),AND(AH187="K5-LAW",AG187="นิติศาสตร์",OR(Z187="M2",Z187="K4"),AC187&gt;=2,OR(AB187&lt;V187,AB187&lt;P187)),EDATE(AB187,12*2),AND(AH187="K5-LAW",AG187="นิติศาสตร์",Z187="S1",AC187&gt;=1,OR(AB187&lt;V187,AB187&lt;P187)),EDATE(AB187,12),AND(AH187="K5-LAW",AG187="นิติศาสตร์",OR(T187="M2",T187="K4"),W187&gt;=2,V187&lt;P187),EDATE(V187,12*2),AND(AH187="K5-LAW",AG187="นิติศาสตร์",T187="S1",W187&gt;=1,V187&lt;P187),EDATE(V187,12),AND(AH187="K5-LAW",AG187="นิติศาสตร์",OR(T187="S2",T187="K5")),V187,AND(AH187="K5-LAW",AG187="นิติศาสตร์",OR(K187="M2",K187="K4"),Q187&gt;=2),EDATE(P187,12*2),AND(AH187="K5-LAW",AG187="นิติศาสตร์",K187="S1",Q187&gt;=1),EDATE(P187,12),AND(AH187="K5-LAW",AG187="นิติศาสตร์",OR(K187="S2",K187="K5")),P187,AND(AH187="K5-POLICY",AG187&lt;&gt;"นิติศาสตร์",K187="S2",T187="",Z187=""),P187,AND(AH187="K5-POLICY",AG187&lt;&gt;"นิติศาสตร์",K187="S1",T187="",Z187=""),EDATE(P187,12),AND(AH187="K5-POLICY",AG187&lt;&gt;"นิติศาสตร์",OR(K187="M2",K187="K4"),T187="",Z187=""),EDATE(P187,12*2),AND(AH187="K5-POLICY",AG187&lt;&gt;"นิติศาสตร์",OR(Z187="M2",Z187="K4"),AC187&gt;=2,OR(AB187&lt;V187,AB187&lt;P187)),EDATE(AB187,12*2),AND(AH187="K5-POLICY",AG187&lt;&gt;"นิติศาสตร์",Z187="S1",AC187&gt;=1,OR(AB187&lt;V187,AB187&lt;P187)),EDATE(AB187,12),AND(AH187="K5-POLICY",AG187&lt;&gt;"นิติศาสตร์",OR(T187="M2",T187="K4"),W187&gt;=2,V187&lt;P187),EDATE(V187,12*2),AND(AH187="K5-POLICY",AG187&lt;&gt;"นิติศาสตร์",T187="S1",W187&gt;=1,V187&lt;P187),EDATE(V187,12),AND(AH187="K5-POLICY",AG187&lt;&gt;"นิติศาสตร์",OR(T187="S2",T187="K5")),V187,AND(AH187="K5-POLICY",AG187&lt;&gt;"นิติศาสตร์",OR(K187="M2",K187="K4"),Q187&gt;=2),EDATE(P187,12*2),AND(AH187="K5-POLICY",AG187&lt;&gt;"นิติศาสตร์",K187="S1",Q187&gt;=1),EDATE(P187,12),AND(AH187="K5-POLICY",AG187&lt;&gt;"นิติศาสตร์",OR(K187="S2",K187="K5")),P187,TRUE,"Check Data")</f>
        <v/>
      </c>
      <c r="AJ187" s="75" t="str">
        <f t="shared" si="45"/>
        <v>Check Data</v>
      </c>
      <c r="AK187" s="76" t="str">
        <f t="shared" si="46"/>
        <v>Check Data</v>
      </c>
      <c r="AL187" s="50" t="str">
        <f t="shared" si="47"/>
        <v>Check Data</v>
      </c>
      <c r="AM187" s="49" t="str">
        <f>IF(B187="","",IF(K187="S1","S1",INDEX(#REF!,#REF!)))</f>
        <v/>
      </c>
      <c r="AN187" s="49" t="str">
        <f>K187</f>
        <v>M2</v>
      </c>
      <c r="AO187" s="50" t="b">
        <f>K187=AM187</f>
        <v>0</v>
      </c>
      <c r="AP187" s="50"/>
    </row>
    <row r="188" spans="1:42" ht="21.75">
      <c r="A188" s="49">
        <v>186</v>
      </c>
      <c r="B188" s="50"/>
      <c r="C188" s="50"/>
      <c r="D188" s="50" t="s">
        <v>143</v>
      </c>
      <c r="E188" s="49" t="s">
        <v>298</v>
      </c>
      <c r="F188" s="49" t="str">
        <f t="shared" si="32"/>
        <v>18/10/2004</v>
      </c>
      <c r="G188" s="50">
        <f t="shared" si="33"/>
        <v>20</v>
      </c>
      <c r="H188" s="50">
        <f t="shared" si="34"/>
        <v>8</v>
      </c>
      <c r="I188" s="50">
        <f t="shared" si="35"/>
        <v>2</v>
      </c>
      <c r="J188" s="58"/>
      <c r="K188" s="49" t="s">
        <v>136</v>
      </c>
      <c r="L188" s="64"/>
      <c r="M188" s="49" t="s">
        <v>426</v>
      </c>
      <c r="N188" s="49">
        <v>2582</v>
      </c>
      <c r="O188" s="65" t="s">
        <v>207</v>
      </c>
      <c r="P188" s="49" t="str">
        <f t="shared" si="36"/>
        <v>09/06/2023</v>
      </c>
      <c r="Q188" s="68">
        <f t="shared" si="37"/>
        <v>2</v>
      </c>
      <c r="R188" s="68">
        <f t="shared" si="38"/>
        <v>0</v>
      </c>
      <c r="S188" s="68">
        <f t="shared" si="39"/>
        <v>11</v>
      </c>
      <c r="T188" s="65"/>
      <c r="U188" s="65"/>
      <c r="V188" s="49" t="str">
        <f t="shared" si="40"/>
        <v/>
      </c>
      <c r="W188" s="68">
        <f>IF(V188="",0,DATEDIF(V188,P188,"Y"))</f>
        <v>0</v>
      </c>
      <c r="X188" s="68">
        <f>IF(V188="",0,DATEDIF(V188,P188,"YM"))</f>
        <v>0</v>
      </c>
      <c r="Y188" s="68">
        <f>IF(V188="",0,DATEDIF(V188,P188,"MD"))</f>
        <v>0</v>
      </c>
      <c r="Z188" s="49"/>
      <c r="AA188" s="65"/>
      <c r="AB188" s="50" t="str">
        <f t="shared" si="41"/>
        <v/>
      </c>
      <c r="AC188" s="68">
        <f t="shared" si="42"/>
        <v>0</v>
      </c>
      <c r="AD188" s="68">
        <f t="shared" si="43"/>
        <v>0</v>
      </c>
      <c r="AE188" s="68">
        <f t="shared" si="44"/>
        <v>0</v>
      </c>
      <c r="AF188" s="50"/>
      <c r="AG188" s="50" t="s">
        <v>482</v>
      </c>
      <c r="AH188" s="49" t="str">
        <f>IF(AG188="นิติศาสตร์","K5-LAW","K5-POLICY")</f>
        <v>K5-POLICY</v>
      </c>
      <c r="AI188" s="72" t="str">
        <f>_xlfn.IFS(B188="","",AND(AH188="K5-LAW",AG188="นิติศาสตร์",K188="S2",T188="",Z188=""),P188,AND(AH188="K5-LAW",AG188="นิติศาสตร์",K188="S1",T188="",Z188=""),EDATE(P188,12),AND(AH188="K5-LAW",AG188="นิติศาสตร์",OR(K188="M2",K188="K4"),T188="",Z188=""),EDATE(P188,12*2),AND(AH188="K5-LAW",AG188="นิติศาสตร์",OR(Z188="M2",Z188="K4"),AC188&gt;=2,OR(AB188&lt;V188,AB188&lt;P188)),EDATE(AB188,12*2),AND(AH188="K5-LAW",AG188="นิติศาสตร์",Z188="S1",AC188&gt;=1,OR(AB188&lt;V188,AB188&lt;P188)),EDATE(AB188,12),AND(AH188="K5-LAW",AG188="นิติศาสตร์",OR(T188="M2",T188="K4"),W188&gt;=2,V188&lt;P188),EDATE(V188,12*2),AND(AH188="K5-LAW",AG188="นิติศาสตร์",T188="S1",W188&gt;=1,V188&lt;P188),EDATE(V188,12),AND(AH188="K5-LAW",AG188="นิติศาสตร์",OR(T188="S2",T188="K5")),V188,AND(AH188="K5-LAW",AG188="นิติศาสตร์",OR(K188="M2",K188="K4"),Q188&gt;=2),EDATE(P188,12*2),AND(AH188="K5-LAW",AG188="นิติศาสตร์",K188="S1",Q188&gt;=1),EDATE(P188,12),AND(AH188="K5-LAW",AG188="นิติศาสตร์",OR(K188="S2",K188="K5")),P188,AND(AH188="K5-POLICY",AG188&lt;&gt;"นิติศาสตร์",K188="S2",T188="",Z188=""),P188,AND(AH188="K5-POLICY",AG188&lt;&gt;"นิติศาสตร์",K188="S1",T188="",Z188=""),EDATE(P188,12),AND(AH188="K5-POLICY",AG188&lt;&gt;"นิติศาสตร์",OR(K188="M2",K188="K4"),T188="",Z188=""),EDATE(P188,12*2),AND(AH188="K5-POLICY",AG188&lt;&gt;"นิติศาสตร์",OR(Z188="M2",Z188="K4"),AC188&gt;=2,OR(AB188&lt;V188,AB188&lt;P188)),EDATE(AB188,12*2),AND(AH188="K5-POLICY",AG188&lt;&gt;"นิติศาสตร์",Z188="S1",AC188&gt;=1,OR(AB188&lt;V188,AB188&lt;P188)),EDATE(AB188,12),AND(AH188="K5-POLICY",AG188&lt;&gt;"นิติศาสตร์",OR(T188="M2",T188="K4"),W188&gt;=2,V188&lt;P188),EDATE(V188,12*2),AND(AH188="K5-POLICY",AG188&lt;&gt;"นิติศาสตร์",T188="S1",W188&gt;=1,V188&lt;P188),EDATE(V188,12),AND(AH188="K5-POLICY",AG188&lt;&gt;"นิติศาสตร์",OR(T188="S2",T188="K5")),V188,AND(AH188="K5-POLICY",AG188&lt;&gt;"นิติศาสตร์",OR(K188="M2",K188="K4"),Q188&gt;=2),EDATE(P188,12*2),AND(AH188="K5-POLICY",AG188&lt;&gt;"นิติศาสตร์",K188="S1",Q188&gt;=1),EDATE(P188,12),AND(AH188="K5-POLICY",AG188&lt;&gt;"นิติศาสตร์",OR(K188="S2",K188="K5")),P188,TRUE,"Check Data")</f>
        <v/>
      </c>
      <c r="AJ188" s="75" t="str">
        <f t="shared" si="45"/>
        <v>Check Data</v>
      </c>
      <c r="AK188" s="76" t="str">
        <f t="shared" si="46"/>
        <v>Check Data</v>
      </c>
      <c r="AL188" s="50" t="str">
        <f t="shared" si="47"/>
        <v>Check Data</v>
      </c>
      <c r="AM188" s="49" t="str">
        <f>IF(B188="","",IF(K188="S1","S1",INDEX(#REF!,#REF!)))</f>
        <v/>
      </c>
      <c r="AN188" s="49" t="str">
        <f>K188</f>
        <v>M2</v>
      </c>
      <c r="AO188" s="50" t="b">
        <f>K188=AM188</f>
        <v>0</v>
      </c>
      <c r="AP188" s="50"/>
    </row>
    <row r="189" spans="1:42" ht="21.75">
      <c r="A189" s="49">
        <v>187</v>
      </c>
      <c r="B189" s="50"/>
      <c r="C189" s="50"/>
      <c r="D189" s="50" t="s">
        <v>144</v>
      </c>
      <c r="E189" s="49" t="s">
        <v>190</v>
      </c>
      <c r="F189" s="49" t="str">
        <f t="shared" si="32"/>
        <v>16/03/1987</v>
      </c>
      <c r="G189" s="50">
        <f t="shared" si="33"/>
        <v>38</v>
      </c>
      <c r="H189" s="50">
        <f t="shared" si="34"/>
        <v>3</v>
      </c>
      <c r="I189" s="50">
        <f t="shared" si="35"/>
        <v>4</v>
      </c>
      <c r="J189" s="50"/>
      <c r="K189" s="49" t="s">
        <v>136</v>
      </c>
      <c r="L189" s="64"/>
      <c r="M189" s="49"/>
      <c r="N189" s="49"/>
      <c r="O189" s="65" t="s">
        <v>207</v>
      </c>
      <c r="P189" s="49" t="str">
        <f t="shared" si="36"/>
        <v>09/06/2023</v>
      </c>
      <c r="Q189" s="68">
        <f t="shared" si="37"/>
        <v>2</v>
      </c>
      <c r="R189" s="68">
        <f t="shared" si="38"/>
        <v>0</v>
      </c>
      <c r="S189" s="68">
        <f t="shared" si="39"/>
        <v>11</v>
      </c>
      <c r="T189" s="65" t="s">
        <v>137</v>
      </c>
      <c r="U189" s="65" t="s">
        <v>276</v>
      </c>
      <c r="V189" s="49" t="str">
        <f t="shared" si="40"/>
        <v>03/12/2021</v>
      </c>
      <c r="W189" s="68">
        <f>IF(V189="",0,DATEDIF(V189,P189,"Y"))</f>
        <v>1</v>
      </c>
      <c r="X189" s="68">
        <f>IF(V189="",0,DATEDIF(V189,P189,"YM"))</f>
        <v>6</v>
      </c>
      <c r="Y189" s="68">
        <f>IF(V189="",0,DATEDIF(V189,P189,"MD"))</f>
        <v>6</v>
      </c>
      <c r="Z189" s="49"/>
      <c r="AA189" s="65"/>
      <c r="AB189" s="50" t="str">
        <f t="shared" si="41"/>
        <v/>
      </c>
      <c r="AC189" s="68">
        <f t="shared" si="42"/>
        <v>0</v>
      </c>
      <c r="AD189" s="68">
        <f t="shared" si="43"/>
        <v>0</v>
      </c>
      <c r="AE189" s="68">
        <f t="shared" si="44"/>
        <v>0</v>
      </c>
      <c r="AF189" s="50"/>
      <c r="AG189" s="50" t="s">
        <v>486</v>
      </c>
      <c r="AH189" s="49" t="str">
        <f>IF(AG189="นิติศาสตร์","K5-LAW","K5-POLICY")</f>
        <v>K5-POLICY</v>
      </c>
      <c r="AI189" s="72" t="str">
        <f>_xlfn.IFS(B189="","",AND(AH189="K5-LAW",AG189="นิติศาสตร์",K189="S2",T189="",Z189=""),P189,AND(AH189="K5-LAW",AG189="นิติศาสตร์",K189="S1",T189="",Z189=""),EDATE(P189,12),AND(AH189="K5-LAW",AG189="นิติศาสตร์",OR(K189="M2",K189="K4"),T189="",Z189=""),EDATE(P189,12*2),AND(AH189="K5-LAW",AG189="นิติศาสตร์",OR(Z189="M2",Z189="K4"),AC189&gt;=2,OR(AB189&lt;V189,AB189&lt;P189)),EDATE(AB189,12*2),AND(AH189="K5-LAW",AG189="นิติศาสตร์",Z189="S1",AC189&gt;=1,OR(AB189&lt;V189,AB189&lt;P189)),EDATE(AB189,12),AND(AH189="K5-LAW",AG189="นิติศาสตร์",OR(T189="M2",T189="K4"),W189&gt;=2,V189&lt;P189),EDATE(V189,12*2),AND(AH189="K5-LAW",AG189="นิติศาสตร์",T189="S1",W189&gt;=1,V189&lt;P189),EDATE(V189,12),AND(AH189="K5-LAW",AG189="นิติศาสตร์",OR(T189="S2",T189="K5")),V189,AND(AH189="K5-LAW",AG189="นิติศาสตร์",OR(K189="M2",K189="K4"),Q189&gt;=2),EDATE(P189,12*2),AND(AH189="K5-LAW",AG189="นิติศาสตร์",K189="S1",Q189&gt;=1),EDATE(P189,12),AND(AH189="K5-LAW",AG189="นิติศาสตร์",OR(K189="S2",K189="K5")),P189,AND(AH189="K5-POLICY",AG189&lt;&gt;"นิติศาสตร์",K189="S2",T189="",Z189=""),P189,AND(AH189="K5-POLICY",AG189&lt;&gt;"นิติศาสตร์",K189="S1",T189="",Z189=""),EDATE(P189,12),AND(AH189="K5-POLICY",AG189&lt;&gt;"นิติศาสตร์",OR(K189="M2",K189="K4"),T189="",Z189=""),EDATE(P189,12*2),AND(AH189="K5-POLICY",AG189&lt;&gt;"นิติศาสตร์",OR(Z189="M2",Z189="K4"),AC189&gt;=2,OR(AB189&lt;V189,AB189&lt;P189)),EDATE(AB189,12*2),AND(AH189="K5-POLICY",AG189&lt;&gt;"นิติศาสตร์",Z189="S1",AC189&gt;=1,OR(AB189&lt;V189,AB189&lt;P189)),EDATE(AB189,12),AND(AH189="K5-POLICY",AG189&lt;&gt;"นิติศาสตร์",OR(T189="M2",T189="K4"),W189&gt;=2,V189&lt;P189),EDATE(V189,12*2),AND(AH189="K5-POLICY",AG189&lt;&gt;"นิติศาสตร์",T189="S1",W189&gt;=1,V189&lt;P189),EDATE(V189,12),AND(AH189="K5-POLICY",AG189&lt;&gt;"นิติศาสตร์",OR(T189="S2",T189="K5")),V189,AND(AH189="K5-POLICY",AG189&lt;&gt;"นิติศาสตร์",OR(K189="M2",K189="K4"),Q189&gt;=2),EDATE(P189,12*2),AND(AH189="K5-POLICY",AG189&lt;&gt;"นิติศาสตร์",K189="S1",Q189&gt;=1),EDATE(P189,12),AND(AH189="K5-POLICY",AG189&lt;&gt;"นิติศาสตร์",OR(K189="S2",K189="K5")),P189,TRUE,"Check Data")</f>
        <v/>
      </c>
      <c r="AJ189" s="75" t="str">
        <f t="shared" si="45"/>
        <v>Check Data</v>
      </c>
      <c r="AK189" s="76" t="str">
        <f t="shared" si="46"/>
        <v>Check Data</v>
      </c>
      <c r="AL189" s="50" t="str">
        <f t="shared" si="47"/>
        <v>Check Data</v>
      </c>
      <c r="AM189" s="49" t="str">
        <f>IF(B189="","",IF(K189="S1","S1",INDEX(#REF!,#REF!)))</f>
        <v/>
      </c>
      <c r="AN189" s="49" t="str">
        <f>K189</f>
        <v>M2</v>
      </c>
      <c r="AO189" s="50" t="b">
        <f>K189=AM189</f>
        <v>0</v>
      </c>
      <c r="AP189" s="50"/>
    </row>
    <row r="190" spans="1:42" ht="21.75">
      <c r="A190" s="49">
        <v>188</v>
      </c>
      <c r="B190" s="50"/>
      <c r="C190" s="50"/>
      <c r="D190" s="50" t="s">
        <v>144</v>
      </c>
      <c r="E190" s="49" t="s">
        <v>523</v>
      </c>
      <c r="F190" s="49" t="str">
        <f t="shared" si="32"/>
        <v>08/09/2000</v>
      </c>
      <c r="G190" s="50">
        <f t="shared" si="33"/>
        <v>24</v>
      </c>
      <c r="H190" s="50">
        <f t="shared" si="34"/>
        <v>9</v>
      </c>
      <c r="I190" s="50">
        <f t="shared" si="35"/>
        <v>12</v>
      </c>
      <c r="J190" s="57"/>
      <c r="K190" s="49" t="s">
        <v>136</v>
      </c>
      <c r="L190" s="64"/>
      <c r="M190" s="49" t="s">
        <v>426</v>
      </c>
      <c r="N190" s="49">
        <v>2580</v>
      </c>
      <c r="O190" s="65" t="s">
        <v>373</v>
      </c>
      <c r="P190" s="49" t="str">
        <f t="shared" si="36"/>
        <v>21/07/2023</v>
      </c>
      <c r="Q190" s="68">
        <f t="shared" si="37"/>
        <v>1</v>
      </c>
      <c r="R190" s="68">
        <f t="shared" si="38"/>
        <v>10</v>
      </c>
      <c r="S190" s="68">
        <f t="shared" si="39"/>
        <v>30</v>
      </c>
      <c r="T190" s="65"/>
      <c r="U190" s="65"/>
      <c r="V190" s="49" t="str">
        <f t="shared" si="40"/>
        <v/>
      </c>
      <c r="W190" s="68">
        <f>IF(V190="",0,DATEDIF(V190,P190,"Y"))</f>
        <v>0</v>
      </c>
      <c r="X190" s="68">
        <f>IF(V190="",0,DATEDIF(V190,P190,"YM"))</f>
        <v>0</v>
      </c>
      <c r="Y190" s="68">
        <f>IF(V190="",0,DATEDIF(V190,P190,"MD"))</f>
        <v>0</v>
      </c>
      <c r="Z190" s="49"/>
      <c r="AA190" s="65"/>
      <c r="AB190" s="50" t="str">
        <f t="shared" si="41"/>
        <v/>
      </c>
      <c r="AC190" s="68">
        <f t="shared" si="42"/>
        <v>0</v>
      </c>
      <c r="AD190" s="68">
        <f t="shared" si="43"/>
        <v>0</v>
      </c>
      <c r="AE190" s="68">
        <f t="shared" si="44"/>
        <v>0</v>
      </c>
      <c r="AF190" s="50"/>
      <c r="AG190" s="50" t="s">
        <v>138</v>
      </c>
      <c r="AH190" s="49" t="str">
        <f>IF(AG190="นิติศาสตร์","K5-LAW","K5-POLICY")</f>
        <v>K5-LAW</v>
      </c>
      <c r="AI190" s="72" t="str">
        <f>_xlfn.IFS(B190="","",AND(AH190="K5-LAW",AG190="นิติศาสตร์",K190="S2",T190="",Z190=""),P190,AND(AH190="K5-LAW",AG190="นิติศาสตร์",K190="S1",T190="",Z190=""),EDATE(P190,12),AND(AH190="K5-LAW",AG190="นิติศาสตร์",OR(K190="M2",K190="K4"),T190="",Z190=""),EDATE(P190,12*2),AND(AH190="K5-LAW",AG190="นิติศาสตร์",OR(Z190="M2",Z190="K4"),AC190&gt;=2,OR(AB190&lt;V190,AB190&lt;P190)),EDATE(AB190,12*2),AND(AH190="K5-LAW",AG190="นิติศาสตร์",Z190="S1",AC190&gt;=1,OR(AB190&lt;V190,AB190&lt;P190)),EDATE(AB190,12),AND(AH190="K5-LAW",AG190="นิติศาสตร์",OR(T190="M2",T190="K4"),W190&gt;=2,V190&lt;P190),EDATE(V190,12*2),AND(AH190="K5-LAW",AG190="นิติศาสตร์",T190="S1",W190&gt;=1,V190&lt;P190),EDATE(V190,12),AND(AH190="K5-LAW",AG190="นิติศาสตร์",OR(T190="S2",T190="K5")),V190,AND(AH190="K5-LAW",AG190="นิติศาสตร์",OR(K190="M2",K190="K4"),Q190&gt;=2),EDATE(P190,12*2),AND(AH190="K5-LAW",AG190="นิติศาสตร์",K190="S1",Q190&gt;=1),EDATE(P190,12),AND(AH190="K5-LAW",AG190="นิติศาสตร์",OR(K190="S2",K190="K5")),P190,AND(AH190="K5-POLICY",AG190&lt;&gt;"นิติศาสตร์",K190="S2",T190="",Z190=""),P190,AND(AH190="K5-POLICY",AG190&lt;&gt;"นิติศาสตร์",K190="S1",T190="",Z190=""),EDATE(P190,12),AND(AH190="K5-POLICY",AG190&lt;&gt;"นิติศาสตร์",OR(K190="M2",K190="K4"),T190="",Z190=""),EDATE(P190,12*2),AND(AH190="K5-POLICY",AG190&lt;&gt;"นิติศาสตร์",OR(Z190="M2",Z190="K4"),AC190&gt;=2,OR(AB190&lt;V190,AB190&lt;P190)),EDATE(AB190,12*2),AND(AH190="K5-POLICY",AG190&lt;&gt;"นิติศาสตร์",Z190="S1",AC190&gt;=1,OR(AB190&lt;V190,AB190&lt;P190)),EDATE(AB190,12),AND(AH190="K5-POLICY",AG190&lt;&gt;"นิติศาสตร์",OR(T190="M2",T190="K4"),W190&gt;=2,V190&lt;P190),EDATE(V190,12*2),AND(AH190="K5-POLICY",AG190&lt;&gt;"นิติศาสตร์",T190="S1",W190&gt;=1,V190&lt;P190),EDATE(V190,12),AND(AH190="K5-POLICY",AG190&lt;&gt;"นิติศาสตร์",OR(T190="S2",T190="K5")),V190,AND(AH190="K5-POLICY",AG190&lt;&gt;"นิติศาสตร์",OR(K190="M2",K190="K4"),Q190&gt;=2),EDATE(P190,12*2),AND(AH190="K5-POLICY",AG190&lt;&gt;"นิติศาสตร์",K190="S1",Q190&gt;=1),EDATE(P190,12),AND(AH190="K5-POLICY",AG190&lt;&gt;"นิติศาสตร์",OR(K190="S2",K190="K5")),P190,TRUE,"Check Data")</f>
        <v/>
      </c>
      <c r="AJ190" s="75" t="str">
        <f t="shared" si="45"/>
        <v>Check Data</v>
      </c>
      <c r="AK190" s="76" t="str">
        <f t="shared" si="46"/>
        <v>Check Data</v>
      </c>
      <c r="AL190" s="50" t="str">
        <f t="shared" si="47"/>
        <v>Check Data</v>
      </c>
      <c r="AM190" s="49" t="str">
        <f>IF(B190="","",IF(K190="S1","S1",INDEX(#REF!,#REF!)))</f>
        <v/>
      </c>
      <c r="AN190" s="49" t="str">
        <f>K190</f>
        <v>M2</v>
      </c>
      <c r="AO190" s="50" t="b">
        <f>K190=AM190</f>
        <v>0</v>
      </c>
      <c r="AP190" s="50"/>
    </row>
    <row r="191" spans="1:42" ht="21.75">
      <c r="A191" s="49">
        <v>189</v>
      </c>
      <c r="B191" s="50"/>
      <c r="C191" s="50"/>
      <c r="D191" s="50" t="s">
        <v>144</v>
      </c>
      <c r="E191" s="49" t="s">
        <v>372</v>
      </c>
      <c r="F191" s="49" t="str">
        <f t="shared" si="32"/>
        <v>26/12/1991</v>
      </c>
      <c r="G191" s="50">
        <f t="shared" si="33"/>
        <v>33</v>
      </c>
      <c r="H191" s="50">
        <f t="shared" si="34"/>
        <v>5</v>
      </c>
      <c r="I191" s="50">
        <f t="shared" si="35"/>
        <v>25</v>
      </c>
      <c r="J191" s="57"/>
      <c r="K191" s="49" t="s">
        <v>136</v>
      </c>
      <c r="L191" s="64"/>
      <c r="M191" s="49" t="s">
        <v>426</v>
      </c>
      <c r="N191" s="49">
        <v>2577</v>
      </c>
      <c r="O191" s="65" t="s">
        <v>373</v>
      </c>
      <c r="P191" s="49" t="str">
        <f t="shared" si="36"/>
        <v>21/07/2023</v>
      </c>
      <c r="Q191" s="68">
        <f t="shared" si="37"/>
        <v>1</v>
      </c>
      <c r="R191" s="68">
        <f t="shared" si="38"/>
        <v>10</v>
      </c>
      <c r="S191" s="68">
        <f t="shared" si="39"/>
        <v>30</v>
      </c>
      <c r="T191" s="65"/>
      <c r="U191" s="65"/>
      <c r="V191" s="49" t="str">
        <f t="shared" si="40"/>
        <v/>
      </c>
      <c r="W191" s="68">
        <f>IF(V191="",0,DATEDIF(V191,P191,"Y"))</f>
        <v>0</v>
      </c>
      <c r="X191" s="68">
        <f>IF(V191="",0,DATEDIF(V191,P191,"YM"))</f>
        <v>0</v>
      </c>
      <c r="Y191" s="68">
        <f>IF(V191="",0,DATEDIF(V191,P191,"MD"))</f>
        <v>0</v>
      </c>
      <c r="Z191" s="49"/>
      <c r="AA191" s="65"/>
      <c r="AB191" s="50" t="str">
        <f t="shared" si="41"/>
        <v/>
      </c>
      <c r="AC191" s="68">
        <f t="shared" si="42"/>
        <v>0</v>
      </c>
      <c r="AD191" s="68">
        <f t="shared" si="43"/>
        <v>0</v>
      </c>
      <c r="AE191" s="68">
        <f t="shared" si="44"/>
        <v>0</v>
      </c>
      <c r="AF191" s="50"/>
      <c r="AG191" s="50" t="s">
        <v>163</v>
      </c>
      <c r="AH191" s="49" t="str">
        <f>IF(AG191="นิติศาสตร์","K5-LAW","K5-POLICY")</f>
        <v>K5-POLICY</v>
      </c>
      <c r="AI191" s="72" t="str">
        <f>_xlfn.IFS(B191="","",AND(AH191="K5-LAW",AG191="นิติศาสตร์",K191="S2",T191="",Z191=""),P191,AND(AH191="K5-LAW",AG191="นิติศาสตร์",K191="S1",T191="",Z191=""),EDATE(P191,12),AND(AH191="K5-LAW",AG191="นิติศาสตร์",OR(K191="M2",K191="K4"),T191="",Z191=""),EDATE(P191,12*2),AND(AH191="K5-LAW",AG191="นิติศาสตร์",OR(Z191="M2",Z191="K4"),AC191&gt;=2,OR(AB191&lt;V191,AB191&lt;P191)),EDATE(AB191,12*2),AND(AH191="K5-LAW",AG191="นิติศาสตร์",Z191="S1",AC191&gt;=1,OR(AB191&lt;V191,AB191&lt;P191)),EDATE(AB191,12),AND(AH191="K5-LAW",AG191="นิติศาสตร์",OR(T191="M2",T191="K4"),W191&gt;=2,V191&lt;P191),EDATE(V191,12*2),AND(AH191="K5-LAW",AG191="นิติศาสตร์",T191="S1",W191&gt;=1,V191&lt;P191),EDATE(V191,12),AND(AH191="K5-LAW",AG191="นิติศาสตร์",OR(T191="S2",T191="K5")),V191,AND(AH191="K5-LAW",AG191="นิติศาสตร์",OR(K191="M2",K191="K4"),Q191&gt;=2),EDATE(P191,12*2),AND(AH191="K5-LAW",AG191="นิติศาสตร์",K191="S1",Q191&gt;=1),EDATE(P191,12),AND(AH191="K5-LAW",AG191="นิติศาสตร์",OR(K191="S2",K191="K5")),P191,AND(AH191="K5-POLICY",AG191&lt;&gt;"นิติศาสตร์",K191="S2",T191="",Z191=""),P191,AND(AH191="K5-POLICY",AG191&lt;&gt;"นิติศาสตร์",K191="S1",T191="",Z191=""),EDATE(P191,12),AND(AH191="K5-POLICY",AG191&lt;&gt;"นิติศาสตร์",OR(K191="M2",K191="K4"),T191="",Z191=""),EDATE(P191,12*2),AND(AH191="K5-POLICY",AG191&lt;&gt;"นิติศาสตร์",OR(Z191="M2",Z191="K4"),AC191&gt;=2,OR(AB191&lt;V191,AB191&lt;P191)),EDATE(AB191,12*2),AND(AH191="K5-POLICY",AG191&lt;&gt;"นิติศาสตร์",Z191="S1",AC191&gt;=1,OR(AB191&lt;V191,AB191&lt;P191)),EDATE(AB191,12),AND(AH191="K5-POLICY",AG191&lt;&gt;"นิติศาสตร์",OR(T191="M2",T191="K4"),W191&gt;=2,V191&lt;P191),EDATE(V191,12*2),AND(AH191="K5-POLICY",AG191&lt;&gt;"นิติศาสตร์",T191="S1",W191&gt;=1,V191&lt;P191),EDATE(V191,12),AND(AH191="K5-POLICY",AG191&lt;&gt;"นิติศาสตร์",OR(T191="S2",T191="K5")),V191,AND(AH191="K5-POLICY",AG191&lt;&gt;"นิติศาสตร์",OR(K191="M2",K191="K4"),Q191&gt;=2),EDATE(P191,12*2),AND(AH191="K5-POLICY",AG191&lt;&gt;"นิติศาสตร์",K191="S1",Q191&gt;=1),EDATE(P191,12),AND(AH191="K5-POLICY",AG191&lt;&gt;"นิติศาสตร์",OR(K191="S2",K191="K5")),P191,TRUE,"Check Data")</f>
        <v/>
      </c>
      <c r="AJ191" s="75" t="str">
        <f t="shared" si="45"/>
        <v>Check Data</v>
      </c>
      <c r="AK191" s="76" t="str">
        <f t="shared" si="46"/>
        <v>Check Data</v>
      </c>
      <c r="AL191" s="50" t="str">
        <f t="shared" si="47"/>
        <v>Check Data</v>
      </c>
      <c r="AM191" s="49" t="str">
        <f>IF(B191="","",IF(K191="S1","S1",INDEX(#REF!,#REF!)))</f>
        <v/>
      </c>
      <c r="AN191" s="49" t="str">
        <f>K191</f>
        <v>M2</v>
      </c>
      <c r="AO191" s="50" t="b">
        <f>K191=AM191</f>
        <v>0</v>
      </c>
      <c r="AP191" s="50"/>
    </row>
    <row r="192" spans="1:42" ht="21.75">
      <c r="A192" s="49">
        <v>190</v>
      </c>
      <c r="B192" s="50"/>
      <c r="C192" s="50"/>
      <c r="D192" s="50" t="s">
        <v>34</v>
      </c>
      <c r="E192" s="49" t="s">
        <v>453</v>
      </c>
      <c r="F192" s="49" t="str">
        <f t="shared" si="32"/>
        <v>01/09/2005</v>
      </c>
      <c r="G192" s="50">
        <f t="shared" si="33"/>
        <v>19</v>
      </c>
      <c r="H192" s="50">
        <f t="shared" si="34"/>
        <v>9</v>
      </c>
      <c r="I192" s="50">
        <f t="shared" si="35"/>
        <v>19</v>
      </c>
      <c r="J192" s="78"/>
      <c r="K192" s="49" t="s">
        <v>136</v>
      </c>
      <c r="L192" s="64"/>
      <c r="M192" s="49" t="s">
        <v>426</v>
      </c>
      <c r="N192" s="49">
        <v>2582</v>
      </c>
      <c r="O192" s="65" t="s">
        <v>431</v>
      </c>
      <c r="P192" s="49" t="str">
        <f t="shared" si="36"/>
        <v>27/07/2023</v>
      </c>
      <c r="Q192" s="68">
        <f t="shared" si="37"/>
        <v>1</v>
      </c>
      <c r="R192" s="68">
        <f t="shared" si="38"/>
        <v>10</v>
      </c>
      <c r="S192" s="68">
        <f t="shared" si="39"/>
        <v>24</v>
      </c>
      <c r="T192" s="65"/>
      <c r="U192" s="65"/>
      <c r="V192" s="49" t="str">
        <f t="shared" si="40"/>
        <v/>
      </c>
      <c r="W192" s="68">
        <f>IF(V192="",0,DATEDIF(V192,P192,"Y"))</f>
        <v>0</v>
      </c>
      <c r="X192" s="68">
        <f>IF(V192="",0,DATEDIF(V192,P192,"YM"))</f>
        <v>0</v>
      </c>
      <c r="Y192" s="68">
        <f>IF(V192="",0,DATEDIF(V192,P192,"MD"))</f>
        <v>0</v>
      </c>
      <c r="Z192" s="49"/>
      <c r="AA192" s="65"/>
      <c r="AB192" s="50" t="str">
        <f t="shared" si="41"/>
        <v/>
      </c>
      <c r="AC192" s="68">
        <f t="shared" si="42"/>
        <v>0</v>
      </c>
      <c r="AD192" s="68">
        <f t="shared" si="43"/>
        <v>0</v>
      </c>
      <c r="AE192" s="68">
        <f t="shared" si="44"/>
        <v>0</v>
      </c>
      <c r="AF192" s="50"/>
      <c r="AG192" s="50" t="s">
        <v>524</v>
      </c>
      <c r="AH192" s="49" t="str">
        <f>IF(AG192="นิติศาสตร์","K5-LAW","K5-POLICY")</f>
        <v>K5-POLICY</v>
      </c>
      <c r="AI192" s="72" t="str">
        <f>_xlfn.IFS(B192="","",AND(AH192="K5-LAW",AG192="นิติศาสตร์",K192="S2",T192="",Z192=""),P192,AND(AH192="K5-LAW",AG192="นิติศาสตร์",K192="S1",T192="",Z192=""),EDATE(P192,12),AND(AH192="K5-LAW",AG192="นิติศาสตร์",OR(K192="M2",K192="K4"),T192="",Z192=""),EDATE(P192,12*2),AND(AH192="K5-LAW",AG192="นิติศาสตร์",OR(Z192="M2",Z192="K4"),AC192&gt;=2,OR(AB192&lt;V192,AB192&lt;P192)),EDATE(AB192,12*2),AND(AH192="K5-LAW",AG192="นิติศาสตร์",Z192="S1",AC192&gt;=1,OR(AB192&lt;V192,AB192&lt;P192)),EDATE(AB192,12),AND(AH192="K5-LAW",AG192="นิติศาสตร์",OR(T192="M2",T192="K4"),W192&gt;=2,V192&lt;P192),EDATE(V192,12*2),AND(AH192="K5-LAW",AG192="นิติศาสตร์",T192="S1",W192&gt;=1,V192&lt;P192),EDATE(V192,12),AND(AH192="K5-LAW",AG192="นิติศาสตร์",OR(T192="S2",T192="K5")),V192,AND(AH192="K5-LAW",AG192="นิติศาสตร์",OR(K192="M2",K192="K4"),Q192&gt;=2),EDATE(P192,12*2),AND(AH192="K5-LAW",AG192="นิติศาสตร์",K192="S1",Q192&gt;=1),EDATE(P192,12),AND(AH192="K5-LAW",AG192="นิติศาสตร์",OR(K192="S2",K192="K5")),P192,AND(AH192="K5-POLICY",AG192&lt;&gt;"นิติศาสตร์",K192="S2",T192="",Z192=""),P192,AND(AH192="K5-POLICY",AG192&lt;&gt;"นิติศาสตร์",K192="S1",T192="",Z192=""),EDATE(P192,12),AND(AH192="K5-POLICY",AG192&lt;&gt;"นิติศาสตร์",OR(K192="M2",K192="K4"),T192="",Z192=""),EDATE(P192,12*2),AND(AH192="K5-POLICY",AG192&lt;&gt;"นิติศาสตร์",OR(Z192="M2",Z192="K4"),AC192&gt;=2,OR(AB192&lt;V192,AB192&lt;P192)),EDATE(AB192,12*2),AND(AH192="K5-POLICY",AG192&lt;&gt;"นิติศาสตร์",Z192="S1",AC192&gt;=1,OR(AB192&lt;V192,AB192&lt;P192)),EDATE(AB192,12),AND(AH192="K5-POLICY",AG192&lt;&gt;"นิติศาสตร์",OR(T192="M2",T192="K4"),W192&gt;=2,V192&lt;P192),EDATE(V192,12*2),AND(AH192="K5-POLICY",AG192&lt;&gt;"นิติศาสตร์",T192="S1",W192&gt;=1,V192&lt;P192),EDATE(V192,12),AND(AH192="K5-POLICY",AG192&lt;&gt;"นิติศาสตร์",OR(T192="S2",T192="K5")),V192,AND(AH192="K5-POLICY",AG192&lt;&gt;"นิติศาสตร์",OR(K192="M2",K192="K4"),Q192&gt;=2),EDATE(P192,12*2),AND(AH192="K5-POLICY",AG192&lt;&gt;"นิติศาสตร์",K192="S1",Q192&gt;=1),EDATE(P192,12),AND(AH192="K5-POLICY",AG192&lt;&gt;"นิติศาสตร์",OR(K192="S2",K192="K5")),P192,TRUE,"Check Data")</f>
        <v/>
      </c>
      <c r="AJ192" s="75" t="str">
        <f t="shared" si="45"/>
        <v>Check Data</v>
      </c>
      <c r="AK192" s="76" t="str">
        <f t="shared" si="46"/>
        <v>Check Data</v>
      </c>
      <c r="AL192" s="50" t="str">
        <f t="shared" si="47"/>
        <v>Check Data</v>
      </c>
      <c r="AM192" s="49" t="str">
        <f>IF(B192="","",IF(K192="S1","S1",INDEX(#REF!,#REF!)))</f>
        <v/>
      </c>
      <c r="AN192" s="49" t="str">
        <f>K192</f>
        <v>M2</v>
      </c>
      <c r="AO192" s="50" t="b">
        <f>K192=AM192</f>
        <v>0</v>
      </c>
      <c r="AP192" s="50"/>
    </row>
    <row r="193" spans="1:42" ht="21.75">
      <c r="A193" s="49">
        <v>191</v>
      </c>
      <c r="B193" s="50"/>
      <c r="C193" s="50"/>
      <c r="D193" s="50" t="s">
        <v>141</v>
      </c>
      <c r="E193" s="49" t="s">
        <v>243</v>
      </c>
      <c r="F193" s="49" t="str">
        <f t="shared" si="32"/>
        <v>03/01/1995</v>
      </c>
      <c r="G193" s="50">
        <f t="shared" si="33"/>
        <v>30</v>
      </c>
      <c r="H193" s="50">
        <f t="shared" si="34"/>
        <v>5</v>
      </c>
      <c r="I193" s="50">
        <f t="shared" si="35"/>
        <v>17</v>
      </c>
      <c r="J193" s="60"/>
      <c r="K193" s="49" t="s">
        <v>136</v>
      </c>
      <c r="L193" s="64"/>
      <c r="M193" s="49" t="s">
        <v>427</v>
      </c>
      <c r="N193" s="49">
        <v>2573</v>
      </c>
      <c r="O193" s="65" t="s">
        <v>249</v>
      </c>
      <c r="P193" s="49" t="str">
        <f t="shared" si="36"/>
        <v>25/09/2023</v>
      </c>
      <c r="Q193" s="68">
        <f t="shared" si="37"/>
        <v>1</v>
      </c>
      <c r="R193" s="68">
        <f t="shared" si="38"/>
        <v>8</v>
      </c>
      <c r="S193" s="68">
        <f t="shared" si="39"/>
        <v>26</v>
      </c>
      <c r="T193" s="65"/>
      <c r="U193" s="65"/>
      <c r="V193" s="49" t="str">
        <f t="shared" si="40"/>
        <v/>
      </c>
      <c r="W193" s="68">
        <f>IF(V193="",0,DATEDIF(V193,P193,"Y"))</f>
        <v>0</v>
      </c>
      <c r="X193" s="68">
        <f>IF(V193="",0,DATEDIF(V193,P193,"YM"))</f>
        <v>0</v>
      </c>
      <c r="Y193" s="68">
        <f>IF(V193="",0,DATEDIF(V193,P193,"MD"))</f>
        <v>0</v>
      </c>
      <c r="Z193" s="49"/>
      <c r="AA193" s="65"/>
      <c r="AB193" s="50" t="str">
        <f t="shared" si="41"/>
        <v/>
      </c>
      <c r="AC193" s="68">
        <f t="shared" si="42"/>
        <v>0</v>
      </c>
      <c r="AD193" s="68">
        <f t="shared" si="43"/>
        <v>0</v>
      </c>
      <c r="AE193" s="68">
        <f t="shared" si="44"/>
        <v>0</v>
      </c>
      <c r="AF193" s="50"/>
      <c r="AG193" s="50" t="s">
        <v>138</v>
      </c>
      <c r="AH193" s="49" t="str">
        <f>IF(AG193="นิติศาสตร์","K5-LAW","K5-POLICY")</f>
        <v>K5-LAW</v>
      </c>
      <c r="AI193" s="72" t="str">
        <f>_xlfn.IFS(B193="","",AND(AH193="K5-LAW",AG193="นิติศาสตร์",K193="S2",T193="",Z193=""),P193,AND(AH193="K5-LAW",AG193="นิติศาสตร์",K193="S1",T193="",Z193=""),EDATE(P193,12),AND(AH193="K5-LAW",AG193="นิติศาสตร์",OR(K193="M2",K193="K4"),T193="",Z193=""),EDATE(P193,12*2),AND(AH193="K5-LAW",AG193="นิติศาสตร์",OR(Z193="M2",Z193="K4"),AC193&gt;=2,OR(AB193&lt;V193,AB193&lt;P193)),EDATE(AB193,12*2),AND(AH193="K5-LAW",AG193="นิติศาสตร์",Z193="S1",AC193&gt;=1,OR(AB193&lt;V193,AB193&lt;P193)),EDATE(AB193,12),AND(AH193="K5-LAW",AG193="นิติศาสตร์",OR(T193="M2",T193="K4"),W193&gt;=2,V193&lt;P193),EDATE(V193,12*2),AND(AH193="K5-LAW",AG193="นิติศาสตร์",T193="S1",W193&gt;=1,V193&lt;P193),EDATE(V193,12),AND(AH193="K5-LAW",AG193="นิติศาสตร์",OR(T193="S2",T193="K5")),V193,AND(AH193="K5-LAW",AG193="นิติศาสตร์",OR(K193="M2",K193="K4"),Q193&gt;=2),EDATE(P193,12*2),AND(AH193="K5-LAW",AG193="นิติศาสตร์",K193="S1",Q193&gt;=1),EDATE(P193,12),AND(AH193="K5-LAW",AG193="นิติศาสตร์",OR(K193="S2",K193="K5")),P193,AND(AH193="K5-POLICY",AG193&lt;&gt;"นิติศาสตร์",K193="S2",T193="",Z193=""),P193,AND(AH193="K5-POLICY",AG193&lt;&gt;"นิติศาสตร์",K193="S1",T193="",Z193=""),EDATE(P193,12),AND(AH193="K5-POLICY",AG193&lt;&gt;"นิติศาสตร์",OR(K193="M2",K193="K4"),T193="",Z193=""),EDATE(P193,12*2),AND(AH193="K5-POLICY",AG193&lt;&gt;"นิติศาสตร์",OR(Z193="M2",Z193="K4"),AC193&gt;=2,OR(AB193&lt;V193,AB193&lt;P193)),EDATE(AB193,12*2),AND(AH193="K5-POLICY",AG193&lt;&gt;"นิติศาสตร์",Z193="S1",AC193&gt;=1,OR(AB193&lt;V193,AB193&lt;P193)),EDATE(AB193,12),AND(AH193="K5-POLICY",AG193&lt;&gt;"นิติศาสตร์",OR(T193="M2",T193="K4"),W193&gt;=2,V193&lt;P193),EDATE(V193,12*2),AND(AH193="K5-POLICY",AG193&lt;&gt;"นิติศาสตร์",T193="S1",W193&gt;=1,V193&lt;P193),EDATE(V193,12),AND(AH193="K5-POLICY",AG193&lt;&gt;"นิติศาสตร์",OR(T193="S2",T193="K5")),V193,AND(AH193="K5-POLICY",AG193&lt;&gt;"นิติศาสตร์",OR(K193="M2",K193="K4"),Q193&gt;=2),EDATE(P193,12*2),AND(AH193="K5-POLICY",AG193&lt;&gt;"นิติศาสตร์",K193="S1",Q193&gt;=1),EDATE(P193,12),AND(AH193="K5-POLICY",AG193&lt;&gt;"นิติศาสตร์",OR(K193="S2",K193="K5")),P193,TRUE,"Check Data")</f>
        <v/>
      </c>
      <c r="AJ193" s="75" t="str">
        <f t="shared" si="45"/>
        <v>Check Data</v>
      </c>
      <c r="AK193" s="76" t="str">
        <f t="shared" si="46"/>
        <v>Check Data</v>
      </c>
      <c r="AL193" s="50" t="str">
        <f t="shared" si="47"/>
        <v>Check Data</v>
      </c>
      <c r="AM193" s="49" t="str">
        <f>IF(B193="","",IF(K193="S1","S1",INDEX(#REF!,#REF!)))</f>
        <v/>
      </c>
      <c r="AN193" s="49" t="str">
        <f>K193</f>
        <v>M2</v>
      </c>
      <c r="AO193" s="50" t="b">
        <f>K193=AM193</f>
        <v>0</v>
      </c>
      <c r="AP193" s="50"/>
    </row>
    <row r="194" spans="1:42" ht="21.75">
      <c r="A194" s="49">
        <v>192</v>
      </c>
      <c r="B194" s="50"/>
      <c r="C194" s="53"/>
      <c r="D194" s="50" t="s">
        <v>141</v>
      </c>
      <c r="E194" s="49" t="s">
        <v>253</v>
      </c>
      <c r="F194" s="49" t="str">
        <f t="shared" si="32"/>
        <v>26/01/1995</v>
      </c>
      <c r="G194" s="50">
        <f t="shared" si="33"/>
        <v>30</v>
      </c>
      <c r="H194" s="50">
        <f t="shared" si="34"/>
        <v>4</v>
      </c>
      <c r="I194" s="50">
        <f t="shared" si="35"/>
        <v>25</v>
      </c>
      <c r="J194" s="60"/>
      <c r="K194" s="49" t="s">
        <v>136</v>
      </c>
      <c r="L194" s="64"/>
      <c r="M194" s="49" t="s">
        <v>427</v>
      </c>
      <c r="N194" s="49">
        <v>2574</v>
      </c>
      <c r="O194" s="65" t="s">
        <v>249</v>
      </c>
      <c r="P194" s="49" t="str">
        <f t="shared" si="36"/>
        <v>25/09/2023</v>
      </c>
      <c r="Q194" s="68">
        <f t="shared" si="37"/>
        <v>1</v>
      </c>
      <c r="R194" s="68">
        <f t="shared" si="38"/>
        <v>8</v>
      </c>
      <c r="S194" s="68">
        <f t="shared" si="39"/>
        <v>26</v>
      </c>
      <c r="T194" s="65"/>
      <c r="U194" s="65"/>
      <c r="V194" s="49" t="str">
        <f t="shared" si="40"/>
        <v/>
      </c>
      <c r="W194" s="68">
        <f>IF(V194="",0,DATEDIF(V194,P194,"Y"))</f>
        <v>0</v>
      </c>
      <c r="X194" s="68">
        <f>IF(V194="",0,DATEDIF(V194,P194,"YM"))</f>
        <v>0</v>
      </c>
      <c r="Y194" s="68">
        <f>IF(V194="",0,DATEDIF(V194,P194,"MD"))</f>
        <v>0</v>
      </c>
      <c r="Z194" s="49"/>
      <c r="AA194" s="65"/>
      <c r="AB194" s="50" t="str">
        <f t="shared" si="41"/>
        <v/>
      </c>
      <c r="AC194" s="68">
        <f t="shared" si="42"/>
        <v>0</v>
      </c>
      <c r="AD194" s="68">
        <f t="shared" si="43"/>
        <v>0</v>
      </c>
      <c r="AE194" s="68">
        <f t="shared" si="44"/>
        <v>0</v>
      </c>
      <c r="AF194" s="50"/>
      <c r="AG194" s="50" t="s">
        <v>138</v>
      </c>
      <c r="AH194" s="49" t="str">
        <f>IF(AG194="นิติศาสตร์","K5-LAW","K5-POLICY")</f>
        <v>K5-LAW</v>
      </c>
      <c r="AI194" s="72" t="str">
        <f>_xlfn.IFS(B194="","",AND(AH194="K5-LAW",AG194="นิติศาสตร์",K194="S2",T194="",Z194=""),P194,AND(AH194="K5-LAW",AG194="นิติศาสตร์",K194="S1",T194="",Z194=""),EDATE(P194,12),AND(AH194="K5-LAW",AG194="นิติศาสตร์",OR(K194="M2",K194="K4"),T194="",Z194=""),EDATE(P194,12*2),AND(AH194="K5-LAW",AG194="นิติศาสตร์",OR(Z194="M2",Z194="K4"),AC194&gt;=2,OR(AB194&lt;V194,AB194&lt;P194)),EDATE(AB194,12*2),AND(AH194="K5-LAW",AG194="นิติศาสตร์",Z194="S1",AC194&gt;=1,OR(AB194&lt;V194,AB194&lt;P194)),EDATE(AB194,12),AND(AH194="K5-LAW",AG194="นิติศาสตร์",OR(T194="M2",T194="K4"),W194&gt;=2,V194&lt;P194),EDATE(V194,12*2),AND(AH194="K5-LAW",AG194="นิติศาสตร์",T194="S1",W194&gt;=1,V194&lt;P194),EDATE(V194,12),AND(AH194="K5-LAW",AG194="นิติศาสตร์",OR(T194="S2",T194="K5")),V194,AND(AH194="K5-LAW",AG194="นิติศาสตร์",OR(K194="M2",K194="K4"),Q194&gt;=2),EDATE(P194,12*2),AND(AH194="K5-LAW",AG194="นิติศาสตร์",K194="S1",Q194&gt;=1),EDATE(P194,12),AND(AH194="K5-LAW",AG194="นิติศาสตร์",OR(K194="S2",K194="K5")),P194,AND(AH194="K5-POLICY",AG194&lt;&gt;"นิติศาสตร์",K194="S2",T194="",Z194=""),P194,AND(AH194="K5-POLICY",AG194&lt;&gt;"นิติศาสตร์",K194="S1",T194="",Z194=""),EDATE(P194,12),AND(AH194="K5-POLICY",AG194&lt;&gt;"นิติศาสตร์",OR(K194="M2",K194="K4"),T194="",Z194=""),EDATE(P194,12*2),AND(AH194="K5-POLICY",AG194&lt;&gt;"นิติศาสตร์",OR(Z194="M2",Z194="K4"),AC194&gt;=2,OR(AB194&lt;V194,AB194&lt;P194)),EDATE(AB194,12*2),AND(AH194="K5-POLICY",AG194&lt;&gt;"นิติศาสตร์",Z194="S1",AC194&gt;=1,OR(AB194&lt;V194,AB194&lt;P194)),EDATE(AB194,12),AND(AH194="K5-POLICY",AG194&lt;&gt;"นิติศาสตร์",OR(T194="M2",T194="K4"),W194&gt;=2,V194&lt;P194),EDATE(V194,12*2),AND(AH194="K5-POLICY",AG194&lt;&gt;"นิติศาสตร์",T194="S1",W194&gt;=1,V194&lt;P194),EDATE(V194,12),AND(AH194="K5-POLICY",AG194&lt;&gt;"นิติศาสตร์",OR(T194="S2",T194="K5")),V194,AND(AH194="K5-POLICY",AG194&lt;&gt;"นิติศาสตร์",OR(K194="M2",K194="K4"),Q194&gt;=2),EDATE(P194,12*2),AND(AH194="K5-POLICY",AG194&lt;&gt;"นิติศาสตร์",K194="S1",Q194&gt;=1),EDATE(P194,12),AND(AH194="K5-POLICY",AG194&lt;&gt;"นิติศาสตร์",OR(K194="S2",K194="K5")),P194,TRUE,"Check Data")</f>
        <v/>
      </c>
      <c r="AJ194" s="75" t="str">
        <f t="shared" si="45"/>
        <v>Check Data</v>
      </c>
      <c r="AK194" s="76" t="str">
        <f t="shared" si="46"/>
        <v>Check Data</v>
      </c>
      <c r="AL194" s="50" t="str">
        <f t="shared" si="47"/>
        <v>Check Data</v>
      </c>
      <c r="AM194" s="49" t="str">
        <f>IF(B194="","",IF(K194="S1","S1",INDEX(#REF!,#REF!)))</f>
        <v/>
      </c>
      <c r="AN194" s="49" t="str">
        <f>K194</f>
        <v>M2</v>
      </c>
      <c r="AO194" s="50" t="b">
        <f>K194=AM194</f>
        <v>0</v>
      </c>
      <c r="AP194" s="50"/>
    </row>
    <row r="195" spans="1:42" ht="21.75">
      <c r="A195" s="49">
        <v>193</v>
      </c>
      <c r="B195" s="50"/>
      <c r="C195" s="50"/>
      <c r="D195" s="50" t="s">
        <v>141</v>
      </c>
      <c r="E195" s="49" t="s">
        <v>259</v>
      </c>
      <c r="F195" s="49" t="str">
        <f t="shared" ref="F195:F205" si="48">IF(E195="","",TEXT(EDATE(E195,-543*12),"dd/mm/yyyy"))</f>
        <v>15/02/2001</v>
      </c>
      <c r="G195" s="50">
        <f t="shared" ref="G195:G258" si="49">IF(F195="",0,DATEDIF(F195,$C$1,"Y"))</f>
        <v>24</v>
      </c>
      <c r="H195" s="50">
        <f t="shared" ref="H195:H258" si="50">IF(F195="",0,DATEDIF(F195,$C$1,"YM"))</f>
        <v>4</v>
      </c>
      <c r="I195" s="50">
        <f t="shared" ref="I195:I258" si="51">IF(F195="",0,DATEDIF(F195,$C$1,"MD"))</f>
        <v>5</v>
      </c>
      <c r="J195" s="60"/>
      <c r="K195" s="49" t="s">
        <v>136</v>
      </c>
      <c r="L195" s="64"/>
      <c r="M195" s="49" t="s">
        <v>426</v>
      </c>
      <c r="N195" s="49">
        <v>2577</v>
      </c>
      <c r="O195" s="65" t="s">
        <v>249</v>
      </c>
      <c r="P195" s="49" t="str">
        <f t="shared" ref="P195:P258" si="52">TEXT(EDATE(O195,-543*12),"dd/mm/yyyy")</f>
        <v>25/09/2023</v>
      </c>
      <c r="Q195" s="68">
        <f t="shared" ref="Q195:Q258" si="53">IF(P195="",0,DATEDIF(P195,$C$1,"Y"))</f>
        <v>1</v>
      </c>
      <c r="R195" s="68">
        <f t="shared" ref="R195:R258" si="54">IF(P195="",0,DATEDIF(P195,$C$1,"YM"))</f>
        <v>8</v>
      </c>
      <c r="S195" s="68">
        <f t="shared" ref="S195:S258" si="55">IF(P195="",0,DATEDIF(P195,$C$1,"MD"))</f>
        <v>26</v>
      </c>
      <c r="T195" s="65"/>
      <c r="U195" s="65"/>
      <c r="V195" s="49" t="str">
        <f t="shared" ref="V195:V205" si="56">IF(U195="","",TEXT(EDATE(U195,-543*12),"dd/mm/yyyy"))</f>
        <v/>
      </c>
      <c r="W195" s="68">
        <f>IF(V195="",0,DATEDIF(V195,P195,"Y"))</f>
        <v>0</v>
      </c>
      <c r="X195" s="68">
        <f>IF(V195="",0,DATEDIF(V195,P195,"YM"))</f>
        <v>0</v>
      </c>
      <c r="Y195" s="68">
        <f>IF(V195="",0,DATEDIF(V195,P195,"MD"))</f>
        <v>0</v>
      </c>
      <c r="Z195" s="49"/>
      <c r="AA195" s="65"/>
      <c r="AB195" s="50" t="str">
        <f t="shared" ref="AB195:AB205" si="57">IF(AA195="","",TEXT(EDATE(AA195,-543*12),"dd/mm/yyyy"))</f>
        <v/>
      </c>
      <c r="AC195" s="68">
        <f t="shared" ref="AC195:AC205" si="58">IF(AB195="",0,DATEDIF(AB195,V195,"Y"))</f>
        <v>0</v>
      </c>
      <c r="AD195" s="68">
        <f t="shared" ref="AD195:AD205" si="59">IF(AB195="",0,DATEDIF(AB195,V195,"YM"))</f>
        <v>0</v>
      </c>
      <c r="AE195" s="68">
        <f t="shared" ref="AE195:AE205" si="60">IF(AB195="",0,DATEDIF(AB195,V195,"MD"))</f>
        <v>0</v>
      </c>
      <c r="AF195" s="50"/>
      <c r="AG195" s="50" t="s">
        <v>138</v>
      </c>
      <c r="AH195" s="49" t="str">
        <f>IF(AG195="นิติศาสตร์","K5-LAW","K5-POLICY")</f>
        <v>K5-LAW</v>
      </c>
      <c r="AI195" s="72" t="str">
        <f>_xlfn.IFS(B195="","",AND(AH195="K5-LAW",AG195="นิติศาสตร์",K195="S2",T195="",Z195=""),P195,AND(AH195="K5-LAW",AG195="นิติศาสตร์",K195="S1",T195="",Z195=""),EDATE(P195,12),AND(AH195="K5-LAW",AG195="นิติศาสตร์",OR(K195="M2",K195="K4"),T195="",Z195=""),EDATE(P195,12*2),AND(AH195="K5-LAW",AG195="นิติศาสตร์",OR(Z195="M2",Z195="K4"),AC195&gt;=2,OR(AB195&lt;V195,AB195&lt;P195)),EDATE(AB195,12*2),AND(AH195="K5-LAW",AG195="นิติศาสตร์",Z195="S1",AC195&gt;=1,OR(AB195&lt;V195,AB195&lt;P195)),EDATE(AB195,12),AND(AH195="K5-LAW",AG195="นิติศาสตร์",OR(T195="M2",T195="K4"),W195&gt;=2,V195&lt;P195),EDATE(V195,12*2),AND(AH195="K5-LAW",AG195="นิติศาสตร์",T195="S1",W195&gt;=1,V195&lt;P195),EDATE(V195,12),AND(AH195="K5-LAW",AG195="นิติศาสตร์",OR(T195="S2",T195="K5")),V195,AND(AH195="K5-LAW",AG195="นิติศาสตร์",OR(K195="M2",K195="K4"),Q195&gt;=2),EDATE(P195,12*2),AND(AH195="K5-LAW",AG195="นิติศาสตร์",K195="S1",Q195&gt;=1),EDATE(P195,12),AND(AH195="K5-LAW",AG195="นิติศาสตร์",OR(K195="S2",K195="K5")),P195,AND(AH195="K5-POLICY",AG195&lt;&gt;"นิติศาสตร์",K195="S2",T195="",Z195=""),P195,AND(AH195="K5-POLICY",AG195&lt;&gt;"นิติศาสตร์",K195="S1",T195="",Z195=""),EDATE(P195,12),AND(AH195="K5-POLICY",AG195&lt;&gt;"นิติศาสตร์",OR(K195="M2",K195="K4"),T195="",Z195=""),EDATE(P195,12*2),AND(AH195="K5-POLICY",AG195&lt;&gt;"นิติศาสตร์",OR(Z195="M2",Z195="K4"),AC195&gt;=2,OR(AB195&lt;V195,AB195&lt;P195)),EDATE(AB195,12*2),AND(AH195="K5-POLICY",AG195&lt;&gt;"นิติศาสตร์",Z195="S1",AC195&gt;=1,OR(AB195&lt;V195,AB195&lt;P195)),EDATE(AB195,12),AND(AH195="K5-POLICY",AG195&lt;&gt;"นิติศาสตร์",OR(T195="M2",T195="K4"),W195&gt;=2,V195&lt;P195),EDATE(V195,12*2),AND(AH195="K5-POLICY",AG195&lt;&gt;"นิติศาสตร์",T195="S1",W195&gt;=1,V195&lt;P195),EDATE(V195,12),AND(AH195="K5-POLICY",AG195&lt;&gt;"นิติศาสตร์",OR(T195="S2",T195="K5")),V195,AND(AH195="K5-POLICY",AG195&lt;&gt;"นิติศาสตร์",OR(K195="M2",K195="K4"),Q195&gt;=2),EDATE(P195,12*2),AND(AH195="K5-POLICY",AG195&lt;&gt;"นิติศาสตร์",K195="S1",Q195&gt;=1),EDATE(P195,12),AND(AH195="K5-POLICY",AG195&lt;&gt;"นิติศาสตร์",OR(K195="S2",K195="K5")),P195,TRUE,"Check Data")</f>
        <v/>
      </c>
      <c r="AJ195" s="75" t="str">
        <f t="shared" ref="AJ195:AJ258" si="61">IFERROR(TEXT(EDATE(AI195,543*12),"dd/mm/yyyy"),"Check Data")</f>
        <v>Check Data</v>
      </c>
      <c r="AK195" s="76" t="str">
        <f t="shared" ref="AK195:AK258" si="62">IFERROR(IF($C$1&gt;AI195,AI195-$C$1,DATEDIF($C$1,AI195,"d")),"Check Data")</f>
        <v>Check Data</v>
      </c>
      <c r="AL195" s="50" t="str">
        <f t="shared" ref="AL195:AL258" si="63">_xlfn.IFS(AK195="Check Data","Check Data",AK195&gt;30,"ยังไม่ถึงเกณฑ์",AK195&gt;0,"ใกล้ถึงเกณฑ์",AK195=0,"ถึงเกณฑ์",AK195&lt;0,"ถึงเกณฑ์นานแล้ว")</f>
        <v>Check Data</v>
      </c>
      <c r="AM195" s="49" t="str">
        <f>IF(B195="","",IF(K195="S1","S1",INDEX(#REF!,#REF!)))</f>
        <v/>
      </c>
      <c r="AN195" s="49" t="str">
        <f>K195</f>
        <v>M2</v>
      </c>
      <c r="AO195" s="50" t="b">
        <f>K195=AM195</f>
        <v>0</v>
      </c>
      <c r="AP195" s="50"/>
    </row>
    <row r="196" spans="1:42" ht="21.75">
      <c r="A196" s="49">
        <v>194</v>
      </c>
      <c r="B196" s="50"/>
      <c r="C196" s="50"/>
      <c r="D196" s="50" t="s">
        <v>146</v>
      </c>
      <c r="E196" s="49" t="s">
        <v>420</v>
      </c>
      <c r="F196" s="49" t="str">
        <f t="shared" si="48"/>
        <v>28/09/1994</v>
      </c>
      <c r="G196" s="50">
        <f t="shared" si="49"/>
        <v>30</v>
      </c>
      <c r="H196" s="50">
        <f t="shared" si="50"/>
        <v>8</v>
      </c>
      <c r="I196" s="50">
        <f t="shared" si="51"/>
        <v>23</v>
      </c>
      <c r="J196" s="80"/>
      <c r="K196" s="49" t="s">
        <v>136</v>
      </c>
      <c r="L196" s="64"/>
      <c r="M196" s="49" t="s">
        <v>427</v>
      </c>
      <c r="N196" s="49">
        <v>2572</v>
      </c>
      <c r="O196" s="65" t="s">
        <v>394</v>
      </c>
      <c r="P196" s="49" t="str">
        <f t="shared" si="52"/>
        <v>27/09/2023</v>
      </c>
      <c r="Q196" s="68">
        <f t="shared" si="53"/>
        <v>1</v>
      </c>
      <c r="R196" s="68">
        <f t="shared" si="54"/>
        <v>8</v>
      </c>
      <c r="S196" s="68">
        <f t="shared" si="55"/>
        <v>24</v>
      </c>
      <c r="T196" s="65" t="s">
        <v>137</v>
      </c>
      <c r="U196" s="65" t="s">
        <v>525</v>
      </c>
      <c r="V196" s="49" t="str">
        <f t="shared" si="56"/>
        <v>08/04/2020</v>
      </c>
      <c r="W196" s="68">
        <f>IF(V196="",0,DATEDIF(V196,P196,"Y"))</f>
        <v>3</v>
      </c>
      <c r="X196" s="68">
        <f>IF(V196="",0,DATEDIF(V196,P196,"YM"))</f>
        <v>5</v>
      </c>
      <c r="Y196" s="68">
        <f>IF(V196="",0,DATEDIF(V196,P196,"MD"))</f>
        <v>19</v>
      </c>
      <c r="Z196" s="49"/>
      <c r="AA196" s="65"/>
      <c r="AB196" s="50" t="str">
        <f t="shared" si="57"/>
        <v/>
      </c>
      <c r="AC196" s="68">
        <f t="shared" si="58"/>
        <v>0</v>
      </c>
      <c r="AD196" s="68">
        <f t="shared" si="59"/>
        <v>0</v>
      </c>
      <c r="AE196" s="68">
        <f t="shared" si="60"/>
        <v>0</v>
      </c>
      <c r="AF196" s="50"/>
      <c r="AG196" s="50" t="s">
        <v>138</v>
      </c>
      <c r="AH196" s="49" t="str">
        <f>IF(AG196="นิติศาสตร์","K5-LAW","K5-POLICY")</f>
        <v>K5-LAW</v>
      </c>
      <c r="AI196" s="72" t="str">
        <f>_xlfn.IFS(B196="","",AND(AH196="K5-LAW",AG196="นิติศาสตร์",K196="S2",T196="",Z196=""),P196,AND(AH196="K5-LAW",AG196="นิติศาสตร์",K196="S1",T196="",Z196=""),EDATE(P196,12),AND(AH196="K5-LAW",AG196="นิติศาสตร์",OR(K196="M2",K196="K4"),T196="",Z196=""),EDATE(P196,12*2),AND(AH196="K5-LAW",AG196="นิติศาสตร์",OR(Z196="M2",Z196="K4"),AC196&gt;=2,OR(AB196&lt;V196,AB196&lt;P196)),EDATE(AB196,12*2),AND(AH196="K5-LAW",AG196="นิติศาสตร์",Z196="S1",AC196&gt;=1,OR(AB196&lt;V196,AB196&lt;P196)),EDATE(AB196,12),AND(AH196="K5-LAW",AG196="นิติศาสตร์",OR(T196="M2",T196="K4"),W196&gt;=2,V196&lt;P196),EDATE(V196,12*2),AND(AH196="K5-LAW",AG196="นิติศาสตร์",T196="S1",W196&gt;=1,V196&lt;P196),EDATE(V196,12),AND(AH196="K5-LAW",AG196="นิติศาสตร์",OR(T196="S2",T196="K5")),V196,AND(AH196="K5-LAW",AG196="นิติศาสตร์",OR(K196="M2",K196="K4"),Q196&gt;=2),EDATE(P196,12*2),AND(AH196="K5-LAW",AG196="นิติศาสตร์",K196="S1",Q196&gt;=1),EDATE(P196,12),AND(AH196="K5-LAW",AG196="นิติศาสตร์",OR(K196="S2",K196="K5")),P196,AND(AH196="K5-POLICY",AG196&lt;&gt;"นิติศาสตร์",K196="S2",T196="",Z196=""),P196,AND(AH196="K5-POLICY",AG196&lt;&gt;"นิติศาสตร์",K196="S1",T196="",Z196=""),EDATE(P196,12),AND(AH196="K5-POLICY",AG196&lt;&gt;"นิติศาสตร์",OR(K196="M2",K196="K4"),T196="",Z196=""),EDATE(P196,12*2),AND(AH196="K5-POLICY",AG196&lt;&gt;"นิติศาสตร์",OR(Z196="M2",Z196="K4"),AC196&gt;=2,OR(AB196&lt;V196,AB196&lt;P196)),EDATE(AB196,12*2),AND(AH196="K5-POLICY",AG196&lt;&gt;"นิติศาสตร์",Z196="S1",AC196&gt;=1,OR(AB196&lt;V196,AB196&lt;P196)),EDATE(AB196,12),AND(AH196="K5-POLICY",AG196&lt;&gt;"นิติศาสตร์",OR(T196="M2",T196="K4"),W196&gt;=2,V196&lt;P196),EDATE(V196,12*2),AND(AH196="K5-POLICY",AG196&lt;&gt;"นิติศาสตร์",T196="S1",W196&gt;=1,V196&lt;P196),EDATE(V196,12),AND(AH196="K5-POLICY",AG196&lt;&gt;"นิติศาสตร์",OR(T196="S2",T196="K5")),V196,AND(AH196="K5-POLICY",AG196&lt;&gt;"นิติศาสตร์",OR(K196="M2",K196="K4"),Q196&gt;=2),EDATE(P196,12*2),AND(AH196="K5-POLICY",AG196&lt;&gt;"นิติศาสตร์",K196="S1",Q196&gt;=1),EDATE(P196,12),AND(AH196="K5-POLICY",AG196&lt;&gt;"นิติศาสตร์",OR(K196="S2",K196="K5")),P196,TRUE,"Check Data")</f>
        <v/>
      </c>
      <c r="AJ196" s="75" t="str">
        <f t="shared" si="61"/>
        <v>Check Data</v>
      </c>
      <c r="AK196" s="76" t="str">
        <f t="shared" si="62"/>
        <v>Check Data</v>
      </c>
      <c r="AL196" s="50" t="str">
        <f t="shared" si="63"/>
        <v>Check Data</v>
      </c>
      <c r="AM196" s="49" t="str">
        <f>IF(B196="","",IF(K196="S1","S1",INDEX(#REF!,#REF!)))</f>
        <v/>
      </c>
      <c r="AN196" s="49" t="str">
        <f>K196</f>
        <v>M2</v>
      </c>
      <c r="AO196" s="50" t="b">
        <f>K196=AM196</f>
        <v>0</v>
      </c>
      <c r="AP196" s="50"/>
    </row>
    <row r="197" spans="1:42" ht="21.75">
      <c r="A197" s="49">
        <v>195</v>
      </c>
      <c r="B197" s="50"/>
      <c r="C197" s="50"/>
      <c r="D197" s="50" t="s">
        <v>146</v>
      </c>
      <c r="E197" s="49" t="s">
        <v>393</v>
      </c>
      <c r="F197" s="49" t="str">
        <f t="shared" si="48"/>
        <v>09/07/2004</v>
      </c>
      <c r="G197" s="50">
        <f t="shared" si="49"/>
        <v>20</v>
      </c>
      <c r="H197" s="50">
        <f t="shared" si="50"/>
        <v>11</v>
      </c>
      <c r="I197" s="50">
        <f t="shared" si="51"/>
        <v>11</v>
      </c>
      <c r="J197" s="80"/>
      <c r="K197" s="49" t="s">
        <v>136</v>
      </c>
      <c r="L197" s="64"/>
      <c r="M197" s="49" t="s">
        <v>426</v>
      </c>
      <c r="N197" s="49">
        <v>2580</v>
      </c>
      <c r="O197" s="65" t="s">
        <v>394</v>
      </c>
      <c r="P197" s="49" t="str">
        <f t="shared" si="52"/>
        <v>27/09/2023</v>
      </c>
      <c r="Q197" s="68">
        <f t="shared" si="53"/>
        <v>1</v>
      </c>
      <c r="R197" s="68">
        <f t="shared" si="54"/>
        <v>8</v>
      </c>
      <c r="S197" s="68">
        <f t="shared" si="55"/>
        <v>24</v>
      </c>
      <c r="T197" s="65"/>
      <c r="U197" s="65"/>
      <c r="V197" s="49" t="str">
        <f t="shared" si="56"/>
        <v/>
      </c>
      <c r="W197" s="68">
        <f>IF(V197="",0,DATEDIF(V197,P197,"Y"))</f>
        <v>0</v>
      </c>
      <c r="X197" s="68">
        <f>IF(V197="",0,DATEDIF(V197,P197,"YM"))</f>
        <v>0</v>
      </c>
      <c r="Y197" s="68">
        <f>IF(V197="",0,DATEDIF(V197,P197,"MD"))</f>
        <v>0</v>
      </c>
      <c r="Z197" s="49"/>
      <c r="AA197" s="65"/>
      <c r="AB197" s="50" t="str">
        <f t="shared" si="57"/>
        <v/>
      </c>
      <c r="AC197" s="68">
        <f t="shared" si="58"/>
        <v>0</v>
      </c>
      <c r="AD197" s="68">
        <f t="shared" si="59"/>
        <v>0</v>
      </c>
      <c r="AE197" s="68">
        <f t="shared" si="60"/>
        <v>0</v>
      </c>
      <c r="AF197" s="50"/>
      <c r="AG197" s="50" t="s">
        <v>175</v>
      </c>
      <c r="AH197" s="49" t="str">
        <f>IF(AG197="นิติศาสตร์","K5-LAW","K5-POLICY")</f>
        <v>K5-POLICY</v>
      </c>
      <c r="AI197" s="72" t="str">
        <f>_xlfn.IFS(B197="","",AND(AH197="K5-LAW",AG197="นิติศาสตร์",K197="S2",T197="",Z197=""),P197,AND(AH197="K5-LAW",AG197="นิติศาสตร์",K197="S1",T197="",Z197=""),EDATE(P197,12),AND(AH197="K5-LAW",AG197="นิติศาสตร์",OR(K197="M2",K197="K4"),T197="",Z197=""),EDATE(P197,12*2),AND(AH197="K5-LAW",AG197="นิติศาสตร์",OR(Z197="M2",Z197="K4"),AC197&gt;=2,OR(AB197&lt;V197,AB197&lt;P197)),EDATE(AB197,12*2),AND(AH197="K5-LAW",AG197="นิติศาสตร์",Z197="S1",AC197&gt;=1,OR(AB197&lt;V197,AB197&lt;P197)),EDATE(AB197,12),AND(AH197="K5-LAW",AG197="นิติศาสตร์",OR(T197="M2",T197="K4"),W197&gt;=2,V197&lt;P197),EDATE(V197,12*2),AND(AH197="K5-LAW",AG197="นิติศาสตร์",T197="S1",W197&gt;=1,V197&lt;P197),EDATE(V197,12),AND(AH197="K5-LAW",AG197="นิติศาสตร์",OR(T197="S2",T197="K5")),V197,AND(AH197="K5-LAW",AG197="นิติศาสตร์",OR(K197="M2",K197="K4"),Q197&gt;=2),EDATE(P197,12*2),AND(AH197="K5-LAW",AG197="นิติศาสตร์",K197="S1",Q197&gt;=1),EDATE(P197,12),AND(AH197="K5-LAW",AG197="นิติศาสตร์",OR(K197="S2",K197="K5")),P197,AND(AH197="K5-POLICY",AG197&lt;&gt;"นิติศาสตร์",K197="S2",T197="",Z197=""),P197,AND(AH197="K5-POLICY",AG197&lt;&gt;"นิติศาสตร์",K197="S1",T197="",Z197=""),EDATE(P197,12),AND(AH197="K5-POLICY",AG197&lt;&gt;"นิติศาสตร์",OR(K197="M2",K197="K4"),T197="",Z197=""),EDATE(P197,12*2),AND(AH197="K5-POLICY",AG197&lt;&gt;"นิติศาสตร์",OR(Z197="M2",Z197="K4"),AC197&gt;=2,OR(AB197&lt;V197,AB197&lt;P197)),EDATE(AB197,12*2),AND(AH197="K5-POLICY",AG197&lt;&gt;"นิติศาสตร์",Z197="S1",AC197&gt;=1,OR(AB197&lt;V197,AB197&lt;P197)),EDATE(AB197,12),AND(AH197="K5-POLICY",AG197&lt;&gt;"นิติศาสตร์",OR(T197="M2",T197="K4"),W197&gt;=2,V197&lt;P197),EDATE(V197,12*2),AND(AH197="K5-POLICY",AG197&lt;&gt;"นิติศาสตร์",T197="S1",W197&gt;=1,V197&lt;P197),EDATE(V197,12),AND(AH197="K5-POLICY",AG197&lt;&gt;"นิติศาสตร์",OR(T197="S2",T197="K5")),V197,AND(AH197="K5-POLICY",AG197&lt;&gt;"นิติศาสตร์",OR(K197="M2",K197="K4"),Q197&gt;=2),EDATE(P197,12*2),AND(AH197="K5-POLICY",AG197&lt;&gt;"นิติศาสตร์",K197="S1",Q197&gt;=1),EDATE(P197,12),AND(AH197="K5-POLICY",AG197&lt;&gt;"นิติศาสตร์",OR(K197="S2",K197="K5")),P197,TRUE,"Check Data")</f>
        <v/>
      </c>
      <c r="AJ197" s="75" t="str">
        <f t="shared" si="61"/>
        <v>Check Data</v>
      </c>
      <c r="AK197" s="76" t="str">
        <f t="shared" si="62"/>
        <v>Check Data</v>
      </c>
      <c r="AL197" s="50" t="str">
        <f t="shared" si="63"/>
        <v>Check Data</v>
      </c>
      <c r="AM197" s="49" t="str">
        <f>IF(B197="","",IF(K197="S1","S1",INDEX(#REF!,#REF!)))</f>
        <v/>
      </c>
      <c r="AN197" s="49" t="str">
        <f>K197</f>
        <v>M2</v>
      </c>
      <c r="AO197" s="50" t="b">
        <f>K197=AM197</f>
        <v>0</v>
      </c>
      <c r="AP197" s="50"/>
    </row>
    <row r="198" spans="1:42" ht="21.75">
      <c r="A198" s="49">
        <v>196</v>
      </c>
      <c r="B198" s="50"/>
      <c r="C198" s="50"/>
      <c r="D198" s="50" t="s">
        <v>140</v>
      </c>
      <c r="E198" s="49" t="s">
        <v>461</v>
      </c>
      <c r="F198" s="49" t="str">
        <f t="shared" si="48"/>
        <v>25/03/1996</v>
      </c>
      <c r="G198" s="50">
        <f t="shared" si="49"/>
        <v>29</v>
      </c>
      <c r="H198" s="50">
        <f t="shared" si="50"/>
        <v>2</v>
      </c>
      <c r="I198" s="50">
        <f t="shared" si="51"/>
        <v>26</v>
      </c>
      <c r="J198" s="57"/>
      <c r="K198" s="49" t="s">
        <v>136</v>
      </c>
      <c r="L198" s="64"/>
      <c r="M198" s="49" t="s">
        <v>426</v>
      </c>
      <c r="N198" s="49">
        <v>2573</v>
      </c>
      <c r="O198" s="65" t="s">
        <v>460</v>
      </c>
      <c r="P198" s="49" t="str">
        <f t="shared" si="52"/>
        <v>29/09/2023</v>
      </c>
      <c r="Q198" s="68">
        <f t="shared" si="53"/>
        <v>1</v>
      </c>
      <c r="R198" s="68">
        <f t="shared" si="54"/>
        <v>8</v>
      </c>
      <c r="S198" s="68">
        <f t="shared" si="55"/>
        <v>22</v>
      </c>
      <c r="T198" s="65"/>
      <c r="U198" s="65"/>
      <c r="V198" s="49" t="str">
        <f t="shared" si="56"/>
        <v/>
      </c>
      <c r="W198" s="68">
        <f>IF(V198="",0,DATEDIF(V198,P198,"Y"))</f>
        <v>0</v>
      </c>
      <c r="X198" s="68">
        <f>IF(V198="",0,DATEDIF(V198,P198,"YM"))</f>
        <v>0</v>
      </c>
      <c r="Y198" s="68">
        <f>IF(V198="",0,DATEDIF(V198,P198,"MD"))</f>
        <v>0</v>
      </c>
      <c r="Z198" s="49"/>
      <c r="AA198" s="65"/>
      <c r="AB198" s="50" t="str">
        <f t="shared" si="57"/>
        <v/>
      </c>
      <c r="AC198" s="68">
        <f t="shared" si="58"/>
        <v>0</v>
      </c>
      <c r="AD198" s="68">
        <f t="shared" si="59"/>
        <v>0</v>
      </c>
      <c r="AE198" s="68">
        <f t="shared" si="60"/>
        <v>0</v>
      </c>
      <c r="AF198" s="50"/>
      <c r="AG198" s="50" t="s">
        <v>138</v>
      </c>
      <c r="AH198" s="49" t="str">
        <f>IF(AG198="นิติศาสตร์","K5-LAW","K5-POLICY")</f>
        <v>K5-LAW</v>
      </c>
      <c r="AI198" s="72" t="str">
        <f>_xlfn.IFS(B198="","",AND(AH198="K5-LAW",AG198="นิติศาสตร์",K198="S2",T198="",Z198=""),P198,AND(AH198="K5-LAW",AG198="นิติศาสตร์",K198="S1",T198="",Z198=""),EDATE(P198,12),AND(AH198="K5-LAW",AG198="นิติศาสตร์",OR(K198="M2",K198="K4"),T198="",Z198=""),EDATE(P198,12*2),AND(AH198="K5-LAW",AG198="นิติศาสตร์",OR(Z198="M2",Z198="K4"),AC198&gt;=2,OR(AB198&lt;V198,AB198&lt;P198)),EDATE(AB198,12*2),AND(AH198="K5-LAW",AG198="นิติศาสตร์",Z198="S1",AC198&gt;=1,OR(AB198&lt;V198,AB198&lt;P198)),EDATE(AB198,12),AND(AH198="K5-LAW",AG198="นิติศาสตร์",OR(T198="M2",T198="K4"),W198&gt;=2,V198&lt;P198),EDATE(V198,12*2),AND(AH198="K5-LAW",AG198="นิติศาสตร์",T198="S1",W198&gt;=1,V198&lt;P198),EDATE(V198,12),AND(AH198="K5-LAW",AG198="นิติศาสตร์",OR(T198="S2",T198="K5")),V198,AND(AH198="K5-LAW",AG198="นิติศาสตร์",OR(K198="M2",K198="K4"),Q198&gt;=2),EDATE(P198,12*2),AND(AH198="K5-LAW",AG198="นิติศาสตร์",K198="S1",Q198&gt;=1),EDATE(P198,12),AND(AH198="K5-LAW",AG198="นิติศาสตร์",OR(K198="S2",K198="K5")),P198,AND(AH198="K5-POLICY",AG198&lt;&gt;"นิติศาสตร์",K198="S2",T198="",Z198=""),P198,AND(AH198="K5-POLICY",AG198&lt;&gt;"นิติศาสตร์",K198="S1",T198="",Z198=""),EDATE(P198,12),AND(AH198="K5-POLICY",AG198&lt;&gt;"นิติศาสตร์",OR(K198="M2",K198="K4"),T198="",Z198=""),EDATE(P198,12*2),AND(AH198="K5-POLICY",AG198&lt;&gt;"นิติศาสตร์",OR(Z198="M2",Z198="K4"),AC198&gt;=2,OR(AB198&lt;V198,AB198&lt;P198)),EDATE(AB198,12*2),AND(AH198="K5-POLICY",AG198&lt;&gt;"นิติศาสตร์",Z198="S1",AC198&gt;=1,OR(AB198&lt;V198,AB198&lt;P198)),EDATE(AB198,12),AND(AH198="K5-POLICY",AG198&lt;&gt;"นิติศาสตร์",OR(T198="M2",T198="K4"),W198&gt;=2,V198&lt;P198),EDATE(V198,12*2),AND(AH198="K5-POLICY",AG198&lt;&gt;"นิติศาสตร์",T198="S1",W198&gt;=1,V198&lt;P198),EDATE(V198,12),AND(AH198="K5-POLICY",AG198&lt;&gt;"นิติศาสตร์",OR(T198="S2",T198="K5")),V198,AND(AH198="K5-POLICY",AG198&lt;&gt;"นิติศาสตร์",OR(K198="M2",K198="K4"),Q198&gt;=2),EDATE(P198,12*2),AND(AH198="K5-POLICY",AG198&lt;&gt;"นิติศาสตร์",K198="S1",Q198&gt;=1),EDATE(P198,12),AND(AH198="K5-POLICY",AG198&lt;&gt;"นิติศาสตร์",OR(K198="S2",K198="K5")),P198,TRUE,"Check Data")</f>
        <v/>
      </c>
      <c r="AJ198" s="75" t="str">
        <f t="shared" si="61"/>
        <v>Check Data</v>
      </c>
      <c r="AK198" s="76" t="str">
        <f t="shared" si="62"/>
        <v>Check Data</v>
      </c>
      <c r="AL198" s="50" t="str">
        <f t="shared" si="63"/>
        <v>Check Data</v>
      </c>
      <c r="AM198" s="49" t="str">
        <f>IF(B198="","",IF(K198="S1","S1",INDEX(#REF!,#REF!)))</f>
        <v/>
      </c>
      <c r="AN198" s="49" t="str">
        <f>K198</f>
        <v>M2</v>
      </c>
      <c r="AO198" s="50" t="b">
        <f>K198=AM198</f>
        <v>0</v>
      </c>
      <c r="AP198" s="50"/>
    </row>
    <row r="199" spans="1:42" ht="21.75">
      <c r="A199" s="49">
        <v>197</v>
      </c>
      <c r="B199" s="50"/>
      <c r="C199" s="50"/>
      <c r="D199" s="50" t="s">
        <v>140</v>
      </c>
      <c r="E199" s="49" t="s">
        <v>462</v>
      </c>
      <c r="F199" s="49" t="str">
        <f t="shared" si="48"/>
        <v>02/10/2006</v>
      </c>
      <c r="G199" s="50">
        <f t="shared" si="49"/>
        <v>18</v>
      </c>
      <c r="H199" s="50">
        <f t="shared" si="50"/>
        <v>8</v>
      </c>
      <c r="I199" s="50">
        <f t="shared" si="51"/>
        <v>18</v>
      </c>
      <c r="J199" s="57"/>
      <c r="K199" s="49" t="s">
        <v>136</v>
      </c>
      <c r="L199" s="64"/>
      <c r="M199" s="49" t="s">
        <v>426</v>
      </c>
      <c r="N199" s="49">
        <v>2582</v>
      </c>
      <c r="O199" s="65" t="s">
        <v>460</v>
      </c>
      <c r="P199" s="49" t="str">
        <f t="shared" si="52"/>
        <v>29/09/2023</v>
      </c>
      <c r="Q199" s="68">
        <f t="shared" si="53"/>
        <v>1</v>
      </c>
      <c r="R199" s="68">
        <f t="shared" si="54"/>
        <v>8</v>
      </c>
      <c r="S199" s="68">
        <f t="shared" si="55"/>
        <v>22</v>
      </c>
      <c r="T199" s="65"/>
      <c r="U199" s="65"/>
      <c r="V199" s="49" t="str">
        <f t="shared" si="56"/>
        <v/>
      </c>
      <c r="W199" s="68">
        <f>IF(V199="",0,DATEDIF(V199,P199,"Y"))</f>
        <v>0</v>
      </c>
      <c r="X199" s="68">
        <f>IF(V199="",0,DATEDIF(V199,P199,"YM"))</f>
        <v>0</v>
      </c>
      <c r="Y199" s="68">
        <f>IF(V199="",0,DATEDIF(V199,P199,"MD"))</f>
        <v>0</v>
      </c>
      <c r="Z199" s="49"/>
      <c r="AA199" s="65"/>
      <c r="AB199" s="50" t="str">
        <f t="shared" si="57"/>
        <v/>
      </c>
      <c r="AC199" s="68">
        <f t="shared" si="58"/>
        <v>0</v>
      </c>
      <c r="AD199" s="68">
        <f t="shared" si="59"/>
        <v>0</v>
      </c>
      <c r="AE199" s="68">
        <f t="shared" si="60"/>
        <v>0</v>
      </c>
      <c r="AF199" s="50"/>
      <c r="AG199" s="50" t="s">
        <v>138</v>
      </c>
      <c r="AH199" s="49" t="str">
        <f>IF(AG199="นิติศาสตร์","K5-LAW","K5-POLICY")</f>
        <v>K5-LAW</v>
      </c>
      <c r="AI199" s="72" t="str">
        <f>_xlfn.IFS(B199="","",AND(AH199="K5-LAW",AG199="นิติศาสตร์",K199="S2",T199="",Z199=""),P199,AND(AH199="K5-LAW",AG199="นิติศาสตร์",K199="S1",T199="",Z199=""),EDATE(P199,12),AND(AH199="K5-LAW",AG199="นิติศาสตร์",OR(K199="M2",K199="K4"),T199="",Z199=""),EDATE(P199,12*2),AND(AH199="K5-LAW",AG199="นิติศาสตร์",OR(Z199="M2",Z199="K4"),AC199&gt;=2,OR(AB199&lt;V199,AB199&lt;P199)),EDATE(AB199,12*2),AND(AH199="K5-LAW",AG199="นิติศาสตร์",Z199="S1",AC199&gt;=1,OR(AB199&lt;V199,AB199&lt;P199)),EDATE(AB199,12),AND(AH199="K5-LAW",AG199="นิติศาสตร์",OR(T199="M2",T199="K4"),W199&gt;=2,V199&lt;P199),EDATE(V199,12*2),AND(AH199="K5-LAW",AG199="นิติศาสตร์",T199="S1",W199&gt;=1,V199&lt;P199),EDATE(V199,12),AND(AH199="K5-LAW",AG199="นิติศาสตร์",OR(T199="S2",T199="K5")),V199,AND(AH199="K5-LAW",AG199="นิติศาสตร์",OR(K199="M2",K199="K4"),Q199&gt;=2),EDATE(P199,12*2),AND(AH199="K5-LAW",AG199="นิติศาสตร์",K199="S1",Q199&gt;=1),EDATE(P199,12),AND(AH199="K5-LAW",AG199="นิติศาสตร์",OR(K199="S2",K199="K5")),P199,AND(AH199="K5-POLICY",AG199&lt;&gt;"นิติศาสตร์",K199="S2",T199="",Z199=""),P199,AND(AH199="K5-POLICY",AG199&lt;&gt;"นิติศาสตร์",K199="S1",T199="",Z199=""),EDATE(P199,12),AND(AH199="K5-POLICY",AG199&lt;&gt;"นิติศาสตร์",OR(K199="M2",K199="K4"),T199="",Z199=""),EDATE(P199,12*2),AND(AH199="K5-POLICY",AG199&lt;&gt;"นิติศาสตร์",OR(Z199="M2",Z199="K4"),AC199&gt;=2,OR(AB199&lt;V199,AB199&lt;P199)),EDATE(AB199,12*2),AND(AH199="K5-POLICY",AG199&lt;&gt;"นิติศาสตร์",Z199="S1",AC199&gt;=1,OR(AB199&lt;V199,AB199&lt;P199)),EDATE(AB199,12),AND(AH199="K5-POLICY",AG199&lt;&gt;"นิติศาสตร์",OR(T199="M2",T199="K4"),W199&gt;=2,V199&lt;P199),EDATE(V199,12*2),AND(AH199="K5-POLICY",AG199&lt;&gt;"นิติศาสตร์",T199="S1",W199&gt;=1,V199&lt;P199),EDATE(V199,12),AND(AH199="K5-POLICY",AG199&lt;&gt;"นิติศาสตร์",OR(T199="S2",T199="K5")),V199,AND(AH199="K5-POLICY",AG199&lt;&gt;"นิติศาสตร์",OR(K199="M2",K199="K4"),Q199&gt;=2),EDATE(P199,12*2),AND(AH199="K5-POLICY",AG199&lt;&gt;"นิติศาสตร์",K199="S1",Q199&gt;=1),EDATE(P199,12),AND(AH199="K5-POLICY",AG199&lt;&gt;"นิติศาสตร์",OR(K199="S2",K199="K5")),P199,TRUE,"Check Data")</f>
        <v/>
      </c>
      <c r="AJ199" s="75" t="str">
        <f t="shared" si="61"/>
        <v>Check Data</v>
      </c>
      <c r="AK199" s="76" t="str">
        <f t="shared" si="62"/>
        <v>Check Data</v>
      </c>
      <c r="AL199" s="50" t="str">
        <f t="shared" si="63"/>
        <v>Check Data</v>
      </c>
      <c r="AM199" s="49" t="str">
        <f>IF(B199="","",IF(K199="S1","S1",INDEX(#REF!,#REF!)))</f>
        <v/>
      </c>
      <c r="AN199" s="49" t="str">
        <f>K199</f>
        <v>M2</v>
      </c>
      <c r="AO199" s="50" t="b">
        <f>K199=AM199</f>
        <v>0</v>
      </c>
      <c r="AP199" s="50"/>
    </row>
    <row r="200" spans="1:42" ht="21.75">
      <c r="A200" s="49">
        <v>198</v>
      </c>
      <c r="B200" s="50"/>
      <c r="C200" s="50"/>
      <c r="D200" s="50" t="s">
        <v>139</v>
      </c>
      <c r="E200" s="49" t="s">
        <v>208</v>
      </c>
      <c r="F200" s="49" t="str">
        <f t="shared" si="48"/>
        <v>01/02/1990</v>
      </c>
      <c r="G200" s="50">
        <f t="shared" si="49"/>
        <v>35</v>
      </c>
      <c r="H200" s="50">
        <f t="shared" si="50"/>
        <v>4</v>
      </c>
      <c r="I200" s="50">
        <f t="shared" si="51"/>
        <v>19</v>
      </c>
      <c r="J200" s="56"/>
      <c r="K200" s="49" t="s">
        <v>136</v>
      </c>
      <c r="L200" s="64"/>
      <c r="M200" s="49" t="s">
        <v>427</v>
      </c>
      <c r="N200" s="49">
        <v>2570</v>
      </c>
      <c r="O200" s="65" t="s">
        <v>227</v>
      </c>
      <c r="P200" s="49" t="str">
        <f t="shared" si="52"/>
        <v>12/10/2023</v>
      </c>
      <c r="Q200" s="68">
        <f t="shared" si="53"/>
        <v>1</v>
      </c>
      <c r="R200" s="68">
        <f t="shared" si="54"/>
        <v>8</v>
      </c>
      <c r="S200" s="68">
        <f t="shared" si="55"/>
        <v>8</v>
      </c>
      <c r="T200" s="65"/>
      <c r="U200" s="65"/>
      <c r="V200" s="49" t="str">
        <f t="shared" si="56"/>
        <v/>
      </c>
      <c r="W200" s="68">
        <f>IF(V200="",0,DATEDIF(V200,P200,"Y"))</f>
        <v>0</v>
      </c>
      <c r="X200" s="68">
        <f>IF(V200="",0,DATEDIF(V200,P200,"YM"))</f>
        <v>0</v>
      </c>
      <c r="Y200" s="68">
        <f>IF(V200="",0,DATEDIF(V200,P200,"MD"))</f>
        <v>0</v>
      </c>
      <c r="Z200" s="49"/>
      <c r="AA200" s="65"/>
      <c r="AB200" s="50" t="str">
        <f t="shared" si="57"/>
        <v/>
      </c>
      <c r="AC200" s="68">
        <f t="shared" si="58"/>
        <v>0</v>
      </c>
      <c r="AD200" s="68">
        <f t="shared" si="59"/>
        <v>0</v>
      </c>
      <c r="AE200" s="68">
        <f t="shared" si="60"/>
        <v>0</v>
      </c>
      <c r="AF200" s="50"/>
      <c r="AG200" s="50" t="s">
        <v>167</v>
      </c>
      <c r="AH200" s="49" t="str">
        <f>IF(AG200="นิติศาสตร์","K5-LAW","K5-POLICY")</f>
        <v>K5-POLICY</v>
      </c>
      <c r="AI200" s="72" t="str">
        <f>_xlfn.IFS(B200="","",AND(AH200="K5-LAW",AG200="นิติศาสตร์",K200="S2",T200="",Z200=""),P200,AND(AH200="K5-LAW",AG200="นิติศาสตร์",K200="S1",T200="",Z200=""),EDATE(P200,12),AND(AH200="K5-LAW",AG200="นิติศาสตร์",OR(K200="M2",K200="K4"),T200="",Z200=""),EDATE(P200,12*2),AND(AH200="K5-LAW",AG200="นิติศาสตร์",OR(Z200="M2",Z200="K4"),AC200&gt;=2,OR(AB200&lt;V200,AB200&lt;P200)),EDATE(AB200,12*2),AND(AH200="K5-LAW",AG200="นิติศาสตร์",Z200="S1",AC200&gt;=1,OR(AB200&lt;V200,AB200&lt;P200)),EDATE(AB200,12),AND(AH200="K5-LAW",AG200="นิติศาสตร์",OR(T200="M2",T200="K4"),W200&gt;=2,V200&lt;P200),EDATE(V200,12*2),AND(AH200="K5-LAW",AG200="นิติศาสตร์",T200="S1",W200&gt;=1,V200&lt;P200),EDATE(V200,12),AND(AH200="K5-LAW",AG200="นิติศาสตร์",OR(T200="S2",T200="K5")),V200,AND(AH200="K5-LAW",AG200="นิติศาสตร์",OR(K200="M2",K200="K4"),Q200&gt;=2),EDATE(P200,12*2),AND(AH200="K5-LAW",AG200="นิติศาสตร์",K200="S1",Q200&gt;=1),EDATE(P200,12),AND(AH200="K5-LAW",AG200="นิติศาสตร์",OR(K200="S2",K200="K5")),P200,AND(AH200="K5-POLICY",AG200&lt;&gt;"นิติศาสตร์",K200="S2",T200="",Z200=""),P200,AND(AH200="K5-POLICY",AG200&lt;&gt;"นิติศาสตร์",K200="S1",T200="",Z200=""),EDATE(P200,12),AND(AH200="K5-POLICY",AG200&lt;&gt;"นิติศาสตร์",OR(K200="M2",K200="K4"),T200="",Z200=""),EDATE(P200,12*2),AND(AH200="K5-POLICY",AG200&lt;&gt;"นิติศาสตร์",OR(Z200="M2",Z200="K4"),AC200&gt;=2,OR(AB200&lt;V200,AB200&lt;P200)),EDATE(AB200,12*2),AND(AH200="K5-POLICY",AG200&lt;&gt;"นิติศาสตร์",Z200="S1",AC200&gt;=1,OR(AB200&lt;V200,AB200&lt;P200)),EDATE(AB200,12),AND(AH200="K5-POLICY",AG200&lt;&gt;"นิติศาสตร์",OR(T200="M2",T200="K4"),W200&gt;=2,V200&lt;P200),EDATE(V200,12*2),AND(AH200="K5-POLICY",AG200&lt;&gt;"นิติศาสตร์",T200="S1",W200&gt;=1,V200&lt;P200),EDATE(V200,12),AND(AH200="K5-POLICY",AG200&lt;&gt;"นิติศาสตร์",OR(T200="S2",T200="K5")),V200,AND(AH200="K5-POLICY",AG200&lt;&gt;"นิติศาสตร์",OR(K200="M2",K200="K4"),Q200&gt;=2),EDATE(P200,12*2),AND(AH200="K5-POLICY",AG200&lt;&gt;"นิติศาสตร์",K200="S1",Q200&gt;=1),EDATE(P200,12),AND(AH200="K5-POLICY",AG200&lt;&gt;"นิติศาสตร์",OR(K200="S2",K200="K5")),P200,TRUE,"Check Data")</f>
        <v/>
      </c>
      <c r="AJ200" s="75" t="str">
        <f t="shared" si="61"/>
        <v>Check Data</v>
      </c>
      <c r="AK200" s="76" t="str">
        <f t="shared" si="62"/>
        <v>Check Data</v>
      </c>
      <c r="AL200" s="50" t="str">
        <f t="shared" si="63"/>
        <v>Check Data</v>
      </c>
      <c r="AM200" s="49" t="str">
        <f>IF(B200="","",IF(K200="S1","S1",INDEX(#REF!,#REF!)))</f>
        <v/>
      </c>
      <c r="AN200" s="49" t="str">
        <f>K200</f>
        <v>M2</v>
      </c>
      <c r="AO200" s="50" t="b">
        <f>K200=AM200</f>
        <v>0</v>
      </c>
      <c r="AP200" s="50"/>
    </row>
    <row r="201" spans="1:42" ht="21.75">
      <c r="A201" s="49">
        <v>199</v>
      </c>
      <c r="B201" s="50"/>
      <c r="C201" s="50"/>
      <c r="D201" s="50" t="s">
        <v>139</v>
      </c>
      <c r="E201" s="49" t="s">
        <v>164</v>
      </c>
      <c r="F201" s="49" t="str">
        <f t="shared" si="48"/>
        <v>01/05/1990</v>
      </c>
      <c r="G201" s="50">
        <f t="shared" si="49"/>
        <v>35</v>
      </c>
      <c r="H201" s="50">
        <f t="shared" si="50"/>
        <v>1</v>
      </c>
      <c r="I201" s="50">
        <f t="shared" si="51"/>
        <v>19</v>
      </c>
      <c r="J201" s="56"/>
      <c r="K201" s="49" t="s">
        <v>136</v>
      </c>
      <c r="L201" s="64"/>
      <c r="M201" s="49" t="s">
        <v>427</v>
      </c>
      <c r="N201" s="49">
        <v>2569</v>
      </c>
      <c r="O201" s="65" t="s">
        <v>227</v>
      </c>
      <c r="P201" s="49" t="str">
        <f t="shared" si="52"/>
        <v>12/10/2023</v>
      </c>
      <c r="Q201" s="68">
        <f t="shared" si="53"/>
        <v>1</v>
      </c>
      <c r="R201" s="68">
        <f t="shared" si="54"/>
        <v>8</v>
      </c>
      <c r="S201" s="68">
        <f t="shared" si="55"/>
        <v>8</v>
      </c>
      <c r="T201" s="65"/>
      <c r="U201" s="65"/>
      <c r="V201" s="49" t="str">
        <f t="shared" si="56"/>
        <v/>
      </c>
      <c r="W201" s="68">
        <f>IF(V201="",0,DATEDIF(V201,P201,"Y"))</f>
        <v>0</v>
      </c>
      <c r="X201" s="68">
        <f>IF(V201="",0,DATEDIF(V201,P201,"YM"))</f>
        <v>0</v>
      </c>
      <c r="Y201" s="68">
        <f>IF(V201="",0,DATEDIF(V201,P201,"MD"))</f>
        <v>0</v>
      </c>
      <c r="Z201" s="49"/>
      <c r="AA201" s="65"/>
      <c r="AB201" s="50" t="str">
        <f t="shared" si="57"/>
        <v/>
      </c>
      <c r="AC201" s="68">
        <f t="shared" si="58"/>
        <v>0</v>
      </c>
      <c r="AD201" s="68">
        <f t="shared" si="59"/>
        <v>0</v>
      </c>
      <c r="AE201" s="68">
        <f t="shared" si="60"/>
        <v>0</v>
      </c>
      <c r="AF201" s="50"/>
      <c r="AG201" s="50" t="s">
        <v>167</v>
      </c>
      <c r="AH201" s="49" t="str">
        <f>IF(AG201="นิติศาสตร์","K5-LAW","K5-POLICY")</f>
        <v>K5-POLICY</v>
      </c>
      <c r="AI201" s="72" t="str">
        <f>_xlfn.IFS(B201="","",AND(AH201="K5-LAW",AG201="นิติศาสตร์",K201="S2",T201="",Z201=""),P201,AND(AH201="K5-LAW",AG201="นิติศาสตร์",K201="S1",T201="",Z201=""),EDATE(P201,12),AND(AH201="K5-LAW",AG201="นิติศาสตร์",OR(K201="M2",K201="K4"),T201="",Z201=""),EDATE(P201,12*2),AND(AH201="K5-LAW",AG201="นิติศาสตร์",OR(Z201="M2",Z201="K4"),AC201&gt;=2,OR(AB201&lt;V201,AB201&lt;P201)),EDATE(AB201,12*2),AND(AH201="K5-LAW",AG201="นิติศาสตร์",Z201="S1",AC201&gt;=1,OR(AB201&lt;V201,AB201&lt;P201)),EDATE(AB201,12),AND(AH201="K5-LAW",AG201="นิติศาสตร์",OR(T201="M2",T201="K4"),W201&gt;=2,V201&lt;P201),EDATE(V201,12*2),AND(AH201="K5-LAW",AG201="นิติศาสตร์",T201="S1",W201&gt;=1,V201&lt;P201),EDATE(V201,12),AND(AH201="K5-LAW",AG201="นิติศาสตร์",OR(T201="S2",T201="K5")),V201,AND(AH201="K5-LAW",AG201="นิติศาสตร์",OR(K201="M2",K201="K4"),Q201&gt;=2),EDATE(P201,12*2),AND(AH201="K5-LAW",AG201="นิติศาสตร์",K201="S1",Q201&gt;=1),EDATE(P201,12),AND(AH201="K5-LAW",AG201="นิติศาสตร์",OR(K201="S2",K201="K5")),P201,AND(AH201="K5-POLICY",AG201&lt;&gt;"นิติศาสตร์",K201="S2",T201="",Z201=""),P201,AND(AH201="K5-POLICY",AG201&lt;&gt;"นิติศาสตร์",K201="S1",T201="",Z201=""),EDATE(P201,12),AND(AH201="K5-POLICY",AG201&lt;&gt;"นิติศาสตร์",OR(K201="M2",K201="K4"),T201="",Z201=""),EDATE(P201,12*2),AND(AH201="K5-POLICY",AG201&lt;&gt;"นิติศาสตร์",OR(Z201="M2",Z201="K4"),AC201&gt;=2,OR(AB201&lt;V201,AB201&lt;P201)),EDATE(AB201,12*2),AND(AH201="K5-POLICY",AG201&lt;&gt;"นิติศาสตร์",Z201="S1",AC201&gt;=1,OR(AB201&lt;V201,AB201&lt;P201)),EDATE(AB201,12),AND(AH201="K5-POLICY",AG201&lt;&gt;"นิติศาสตร์",OR(T201="M2",T201="K4"),W201&gt;=2,V201&lt;P201),EDATE(V201,12*2),AND(AH201="K5-POLICY",AG201&lt;&gt;"นิติศาสตร์",T201="S1",W201&gt;=1,V201&lt;P201),EDATE(V201,12),AND(AH201="K5-POLICY",AG201&lt;&gt;"นิติศาสตร์",OR(T201="S2",T201="K5")),V201,AND(AH201="K5-POLICY",AG201&lt;&gt;"นิติศาสตร์",OR(K201="M2",K201="K4"),Q201&gt;=2),EDATE(P201,12*2),AND(AH201="K5-POLICY",AG201&lt;&gt;"นิติศาสตร์",K201="S1",Q201&gt;=1),EDATE(P201,12),AND(AH201="K5-POLICY",AG201&lt;&gt;"นิติศาสตร์",OR(K201="S2",K201="K5")),P201,TRUE,"Check Data")</f>
        <v/>
      </c>
      <c r="AJ201" s="75" t="str">
        <f t="shared" si="61"/>
        <v>Check Data</v>
      </c>
      <c r="AK201" s="76" t="str">
        <f t="shared" si="62"/>
        <v>Check Data</v>
      </c>
      <c r="AL201" s="50" t="str">
        <f t="shared" si="63"/>
        <v>Check Data</v>
      </c>
      <c r="AM201" s="49" t="str">
        <f>IF(B201="","",IF(K201="S1","S1",INDEX(#REF!,#REF!)))</f>
        <v/>
      </c>
      <c r="AN201" s="49" t="str">
        <f>K201</f>
        <v>M2</v>
      </c>
      <c r="AO201" s="50" t="b">
        <f>K201=AM201</f>
        <v>0</v>
      </c>
      <c r="AP201" s="50"/>
    </row>
    <row r="202" spans="1:42" ht="21.75">
      <c r="A202" s="49">
        <v>200</v>
      </c>
      <c r="B202" s="50"/>
      <c r="C202" s="50"/>
      <c r="D202" s="50" t="s">
        <v>139</v>
      </c>
      <c r="E202" s="49" t="s">
        <v>232</v>
      </c>
      <c r="F202" s="49" t="str">
        <f t="shared" si="48"/>
        <v>02/12/1991</v>
      </c>
      <c r="G202" s="50">
        <f t="shared" si="49"/>
        <v>33</v>
      </c>
      <c r="H202" s="50">
        <f t="shared" si="50"/>
        <v>6</v>
      </c>
      <c r="I202" s="50">
        <f t="shared" si="51"/>
        <v>18</v>
      </c>
      <c r="J202" s="56"/>
      <c r="K202" s="49" t="s">
        <v>136</v>
      </c>
      <c r="L202" s="64"/>
      <c r="M202" s="49" t="s">
        <v>427</v>
      </c>
      <c r="N202" s="49">
        <v>2570</v>
      </c>
      <c r="O202" s="65" t="s">
        <v>227</v>
      </c>
      <c r="P202" s="49" t="str">
        <f t="shared" si="52"/>
        <v>12/10/2023</v>
      </c>
      <c r="Q202" s="68">
        <f t="shared" si="53"/>
        <v>1</v>
      </c>
      <c r="R202" s="68">
        <f t="shared" si="54"/>
        <v>8</v>
      </c>
      <c r="S202" s="68">
        <f t="shared" si="55"/>
        <v>8</v>
      </c>
      <c r="T202" s="65"/>
      <c r="U202" s="65"/>
      <c r="V202" s="49" t="str">
        <f t="shared" si="56"/>
        <v/>
      </c>
      <c r="W202" s="68">
        <f>IF(V202="",0,DATEDIF(V202,P202,"Y"))</f>
        <v>0</v>
      </c>
      <c r="X202" s="68">
        <f>IF(V202="",0,DATEDIF(V202,P202,"YM"))</f>
        <v>0</v>
      </c>
      <c r="Y202" s="68">
        <f>IF(V202="",0,DATEDIF(V202,P202,"MD"))</f>
        <v>0</v>
      </c>
      <c r="Z202" s="49"/>
      <c r="AA202" s="65"/>
      <c r="AB202" s="50" t="str">
        <f t="shared" si="57"/>
        <v/>
      </c>
      <c r="AC202" s="68">
        <f t="shared" si="58"/>
        <v>0</v>
      </c>
      <c r="AD202" s="68">
        <f t="shared" si="59"/>
        <v>0</v>
      </c>
      <c r="AE202" s="68">
        <f t="shared" si="60"/>
        <v>0</v>
      </c>
      <c r="AF202" s="50"/>
      <c r="AG202" s="50" t="s">
        <v>165</v>
      </c>
      <c r="AH202" s="49" t="str">
        <f>IF(AG202="นิติศาสตร์","K5-LAW","K5-POLICY")</f>
        <v>K5-POLICY</v>
      </c>
      <c r="AI202" s="72" t="str">
        <f>_xlfn.IFS(B202="","",AND(AH202="K5-LAW",AG202="นิติศาสตร์",K202="S2",T202="",Z202=""),P202,AND(AH202="K5-LAW",AG202="นิติศาสตร์",K202="S1",T202="",Z202=""),EDATE(P202,12),AND(AH202="K5-LAW",AG202="นิติศาสตร์",OR(K202="M2",K202="K4"),T202="",Z202=""),EDATE(P202,12*2),AND(AH202="K5-LAW",AG202="นิติศาสตร์",OR(Z202="M2",Z202="K4"),AC202&gt;=2,OR(AB202&lt;V202,AB202&lt;P202)),EDATE(AB202,12*2),AND(AH202="K5-LAW",AG202="นิติศาสตร์",Z202="S1",AC202&gt;=1,OR(AB202&lt;V202,AB202&lt;P202)),EDATE(AB202,12),AND(AH202="K5-LAW",AG202="นิติศาสตร์",OR(T202="M2",T202="K4"),W202&gt;=2,V202&lt;P202),EDATE(V202,12*2),AND(AH202="K5-LAW",AG202="นิติศาสตร์",T202="S1",W202&gt;=1,V202&lt;P202),EDATE(V202,12),AND(AH202="K5-LAW",AG202="นิติศาสตร์",OR(T202="S2",T202="K5")),V202,AND(AH202="K5-LAW",AG202="นิติศาสตร์",OR(K202="M2",K202="K4"),Q202&gt;=2),EDATE(P202,12*2),AND(AH202="K5-LAW",AG202="นิติศาสตร์",K202="S1",Q202&gt;=1),EDATE(P202,12),AND(AH202="K5-LAW",AG202="นิติศาสตร์",OR(K202="S2",K202="K5")),P202,AND(AH202="K5-POLICY",AG202&lt;&gt;"นิติศาสตร์",K202="S2",T202="",Z202=""),P202,AND(AH202="K5-POLICY",AG202&lt;&gt;"นิติศาสตร์",K202="S1",T202="",Z202=""),EDATE(P202,12),AND(AH202="K5-POLICY",AG202&lt;&gt;"นิติศาสตร์",OR(K202="M2",K202="K4"),T202="",Z202=""),EDATE(P202,12*2),AND(AH202="K5-POLICY",AG202&lt;&gt;"นิติศาสตร์",OR(Z202="M2",Z202="K4"),AC202&gt;=2,OR(AB202&lt;V202,AB202&lt;P202)),EDATE(AB202,12*2),AND(AH202="K5-POLICY",AG202&lt;&gt;"นิติศาสตร์",Z202="S1",AC202&gt;=1,OR(AB202&lt;V202,AB202&lt;P202)),EDATE(AB202,12),AND(AH202="K5-POLICY",AG202&lt;&gt;"นิติศาสตร์",OR(T202="M2",T202="K4"),W202&gt;=2,V202&lt;P202),EDATE(V202,12*2),AND(AH202="K5-POLICY",AG202&lt;&gt;"นิติศาสตร์",T202="S1",W202&gt;=1,V202&lt;P202),EDATE(V202,12),AND(AH202="K5-POLICY",AG202&lt;&gt;"นิติศาสตร์",OR(T202="S2",T202="K5")),V202,AND(AH202="K5-POLICY",AG202&lt;&gt;"นิติศาสตร์",OR(K202="M2",K202="K4"),Q202&gt;=2),EDATE(P202,12*2),AND(AH202="K5-POLICY",AG202&lt;&gt;"นิติศาสตร์",K202="S1",Q202&gt;=1),EDATE(P202,12),AND(AH202="K5-POLICY",AG202&lt;&gt;"นิติศาสตร์",OR(K202="S2",K202="K5")),P202,TRUE,"Check Data")</f>
        <v/>
      </c>
      <c r="AJ202" s="75" t="str">
        <f t="shared" si="61"/>
        <v>Check Data</v>
      </c>
      <c r="AK202" s="76" t="str">
        <f t="shared" si="62"/>
        <v>Check Data</v>
      </c>
      <c r="AL202" s="50" t="str">
        <f t="shared" si="63"/>
        <v>Check Data</v>
      </c>
      <c r="AM202" s="49" t="str">
        <f>IF(B202="","",IF(K202="S1","S1",INDEX(#REF!,#REF!)))</f>
        <v/>
      </c>
      <c r="AN202" s="49" t="str">
        <f>K202</f>
        <v>M2</v>
      </c>
      <c r="AO202" s="50" t="b">
        <f>K202=AM202</f>
        <v>0</v>
      </c>
      <c r="AP202" s="50"/>
    </row>
    <row r="203" spans="1:42" ht="21.75">
      <c r="A203" s="49">
        <v>201</v>
      </c>
      <c r="B203" s="50"/>
      <c r="C203" s="50"/>
      <c r="D203" s="50" t="s">
        <v>139</v>
      </c>
      <c r="E203" s="49" t="s">
        <v>226</v>
      </c>
      <c r="F203" s="49" t="str">
        <f t="shared" si="48"/>
        <v>11/11/1991</v>
      </c>
      <c r="G203" s="50">
        <f t="shared" si="49"/>
        <v>33</v>
      </c>
      <c r="H203" s="50">
        <f t="shared" si="50"/>
        <v>7</v>
      </c>
      <c r="I203" s="50">
        <f t="shared" si="51"/>
        <v>9</v>
      </c>
      <c r="J203" s="56"/>
      <c r="K203" s="49" t="s">
        <v>136</v>
      </c>
      <c r="L203" s="64"/>
      <c r="M203" s="49" t="s">
        <v>427</v>
      </c>
      <c r="N203" s="49">
        <v>2569</v>
      </c>
      <c r="O203" s="65" t="s">
        <v>227</v>
      </c>
      <c r="P203" s="49" t="str">
        <f t="shared" si="52"/>
        <v>12/10/2023</v>
      </c>
      <c r="Q203" s="68">
        <f t="shared" si="53"/>
        <v>1</v>
      </c>
      <c r="R203" s="68">
        <f t="shared" si="54"/>
        <v>8</v>
      </c>
      <c r="S203" s="68">
        <f t="shared" si="55"/>
        <v>8</v>
      </c>
      <c r="T203" s="65"/>
      <c r="U203" s="65"/>
      <c r="V203" s="49" t="str">
        <f t="shared" si="56"/>
        <v/>
      </c>
      <c r="W203" s="68">
        <f>IF(V203="",0,DATEDIF(V203,P203,"Y"))</f>
        <v>0</v>
      </c>
      <c r="X203" s="68">
        <f>IF(V203="",0,DATEDIF(V203,P203,"YM"))</f>
        <v>0</v>
      </c>
      <c r="Y203" s="68">
        <f>IF(V203="",0,DATEDIF(V203,P203,"MD"))</f>
        <v>0</v>
      </c>
      <c r="Z203" s="49"/>
      <c r="AA203" s="65"/>
      <c r="AB203" s="50" t="str">
        <f t="shared" si="57"/>
        <v/>
      </c>
      <c r="AC203" s="68">
        <f t="shared" si="58"/>
        <v>0</v>
      </c>
      <c r="AD203" s="68">
        <f t="shared" si="59"/>
        <v>0</v>
      </c>
      <c r="AE203" s="68">
        <f t="shared" si="60"/>
        <v>0</v>
      </c>
      <c r="AF203" s="50"/>
      <c r="AG203" s="50" t="s">
        <v>165</v>
      </c>
      <c r="AH203" s="49" t="str">
        <f>IF(AG203="นิติศาสตร์","K5-LAW","K5-POLICY")</f>
        <v>K5-POLICY</v>
      </c>
      <c r="AI203" s="72" t="str">
        <f>_xlfn.IFS(B203="","",AND(AH203="K5-LAW",AG203="นิติศาสตร์",K203="S2",T203="",Z203=""),P203,AND(AH203="K5-LAW",AG203="นิติศาสตร์",K203="S1",T203="",Z203=""),EDATE(P203,12),AND(AH203="K5-LAW",AG203="นิติศาสตร์",OR(K203="M2",K203="K4"),T203="",Z203=""),EDATE(P203,12*2),AND(AH203="K5-LAW",AG203="นิติศาสตร์",OR(Z203="M2",Z203="K4"),AC203&gt;=2,OR(AB203&lt;V203,AB203&lt;P203)),EDATE(AB203,12*2),AND(AH203="K5-LAW",AG203="นิติศาสตร์",Z203="S1",AC203&gt;=1,OR(AB203&lt;V203,AB203&lt;P203)),EDATE(AB203,12),AND(AH203="K5-LAW",AG203="นิติศาสตร์",OR(T203="M2",T203="K4"),W203&gt;=2,V203&lt;P203),EDATE(V203,12*2),AND(AH203="K5-LAW",AG203="นิติศาสตร์",T203="S1",W203&gt;=1,V203&lt;P203),EDATE(V203,12),AND(AH203="K5-LAW",AG203="นิติศาสตร์",OR(T203="S2",T203="K5")),V203,AND(AH203="K5-LAW",AG203="นิติศาสตร์",OR(K203="M2",K203="K4"),Q203&gt;=2),EDATE(P203,12*2),AND(AH203="K5-LAW",AG203="นิติศาสตร์",K203="S1",Q203&gt;=1),EDATE(P203,12),AND(AH203="K5-LAW",AG203="นิติศาสตร์",OR(K203="S2",K203="K5")),P203,AND(AH203="K5-POLICY",AG203&lt;&gt;"นิติศาสตร์",K203="S2",T203="",Z203=""),P203,AND(AH203="K5-POLICY",AG203&lt;&gt;"นิติศาสตร์",K203="S1",T203="",Z203=""),EDATE(P203,12),AND(AH203="K5-POLICY",AG203&lt;&gt;"นิติศาสตร์",OR(K203="M2",K203="K4"),T203="",Z203=""),EDATE(P203,12*2),AND(AH203="K5-POLICY",AG203&lt;&gt;"นิติศาสตร์",OR(Z203="M2",Z203="K4"),AC203&gt;=2,OR(AB203&lt;V203,AB203&lt;P203)),EDATE(AB203,12*2),AND(AH203="K5-POLICY",AG203&lt;&gt;"นิติศาสตร์",Z203="S1",AC203&gt;=1,OR(AB203&lt;V203,AB203&lt;P203)),EDATE(AB203,12),AND(AH203="K5-POLICY",AG203&lt;&gt;"นิติศาสตร์",OR(T203="M2",T203="K4"),W203&gt;=2,V203&lt;P203),EDATE(V203,12*2),AND(AH203="K5-POLICY",AG203&lt;&gt;"นิติศาสตร์",T203="S1",W203&gt;=1,V203&lt;P203),EDATE(V203,12),AND(AH203="K5-POLICY",AG203&lt;&gt;"นิติศาสตร์",OR(T203="S2",T203="K5")),V203,AND(AH203="K5-POLICY",AG203&lt;&gt;"นิติศาสตร์",OR(K203="M2",K203="K4"),Q203&gt;=2),EDATE(P203,12*2),AND(AH203="K5-POLICY",AG203&lt;&gt;"นิติศาสตร์",K203="S1",Q203&gt;=1),EDATE(P203,12),AND(AH203="K5-POLICY",AG203&lt;&gt;"นิติศาสตร์",OR(K203="S2",K203="K5")),P203,TRUE,"Check Data")</f>
        <v/>
      </c>
      <c r="AJ203" s="75" t="str">
        <f t="shared" si="61"/>
        <v>Check Data</v>
      </c>
      <c r="AK203" s="76" t="str">
        <f t="shared" si="62"/>
        <v>Check Data</v>
      </c>
      <c r="AL203" s="50" t="str">
        <f t="shared" si="63"/>
        <v>Check Data</v>
      </c>
      <c r="AM203" s="49" t="str">
        <f>IF(B203="","",IF(K203="S1","S1",INDEX(#REF!,#REF!)))</f>
        <v/>
      </c>
      <c r="AN203" s="49" t="str">
        <f>K203</f>
        <v>M2</v>
      </c>
      <c r="AO203" s="50" t="b">
        <f>K203=AM203</f>
        <v>0</v>
      </c>
      <c r="AP203" s="50"/>
    </row>
    <row r="204" spans="1:42" ht="21.75">
      <c r="A204" s="49">
        <v>202</v>
      </c>
      <c r="B204" s="50"/>
      <c r="C204" s="50"/>
      <c r="D204" s="50" t="s">
        <v>139</v>
      </c>
      <c r="E204" s="49" t="s">
        <v>231</v>
      </c>
      <c r="F204" s="49" t="str">
        <f t="shared" si="48"/>
        <v>15/05/1995</v>
      </c>
      <c r="G204" s="50">
        <f t="shared" si="49"/>
        <v>30</v>
      </c>
      <c r="H204" s="50">
        <f t="shared" si="50"/>
        <v>1</v>
      </c>
      <c r="I204" s="50">
        <f t="shared" si="51"/>
        <v>5</v>
      </c>
      <c r="J204" s="56"/>
      <c r="K204" s="49" t="s">
        <v>136</v>
      </c>
      <c r="L204" s="64"/>
      <c r="M204" s="49" t="s">
        <v>427</v>
      </c>
      <c r="N204" s="49">
        <v>2573</v>
      </c>
      <c r="O204" s="65" t="s">
        <v>227</v>
      </c>
      <c r="P204" s="49" t="str">
        <f t="shared" si="52"/>
        <v>12/10/2023</v>
      </c>
      <c r="Q204" s="68">
        <f t="shared" si="53"/>
        <v>1</v>
      </c>
      <c r="R204" s="68">
        <f t="shared" si="54"/>
        <v>8</v>
      </c>
      <c r="S204" s="68">
        <f t="shared" si="55"/>
        <v>8</v>
      </c>
      <c r="T204" s="65"/>
      <c r="U204" s="65"/>
      <c r="V204" s="49" t="str">
        <f t="shared" si="56"/>
        <v/>
      </c>
      <c r="W204" s="68">
        <f>IF(V204="",0,DATEDIF(V204,P204,"Y"))</f>
        <v>0</v>
      </c>
      <c r="X204" s="68">
        <f>IF(V204="",0,DATEDIF(V204,P204,"YM"))</f>
        <v>0</v>
      </c>
      <c r="Y204" s="68">
        <f>IF(V204="",0,DATEDIF(V204,P204,"MD"))</f>
        <v>0</v>
      </c>
      <c r="Z204" s="49"/>
      <c r="AA204" s="65"/>
      <c r="AB204" s="50" t="str">
        <f t="shared" si="57"/>
        <v/>
      </c>
      <c r="AC204" s="68">
        <f t="shared" si="58"/>
        <v>0</v>
      </c>
      <c r="AD204" s="68">
        <f t="shared" si="59"/>
        <v>0</v>
      </c>
      <c r="AE204" s="68">
        <f t="shared" si="60"/>
        <v>0</v>
      </c>
      <c r="AF204" s="50"/>
      <c r="AG204" s="50" t="s">
        <v>138</v>
      </c>
      <c r="AH204" s="49" t="str">
        <f>IF(AG204="นิติศาสตร์","K5-LAW","K5-POLICY")</f>
        <v>K5-LAW</v>
      </c>
      <c r="AI204" s="72" t="str">
        <f>_xlfn.IFS(B204="","",AND(AH204="K5-LAW",AG204="นิติศาสตร์",K204="S2",T204="",Z204=""),P204,AND(AH204="K5-LAW",AG204="นิติศาสตร์",K204="S1",T204="",Z204=""),EDATE(P204,12),AND(AH204="K5-LAW",AG204="นิติศาสตร์",OR(K204="M2",K204="K4"),T204="",Z204=""),EDATE(P204,12*2),AND(AH204="K5-LAW",AG204="นิติศาสตร์",OR(Z204="M2",Z204="K4"),AC204&gt;=2,OR(AB204&lt;V204,AB204&lt;P204)),EDATE(AB204,12*2),AND(AH204="K5-LAW",AG204="นิติศาสตร์",Z204="S1",AC204&gt;=1,OR(AB204&lt;V204,AB204&lt;P204)),EDATE(AB204,12),AND(AH204="K5-LAW",AG204="นิติศาสตร์",OR(T204="M2",T204="K4"),W204&gt;=2,V204&lt;P204),EDATE(V204,12*2),AND(AH204="K5-LAW",AG204="นิติศาสตร์",T204="S1",W204&gt;=1,V204&lt;P204),EDATE(V204,12),AND(AH204="K5-LAW",AG204="นิติศาสตร์",OR(T204="S2",T204="K5")),V204,AND(AH204="K5-LAW",AG204="นิติศาสตร์",OR(K204="M2",K204="K4"),Q204&gt;=2),EDATE(P204,12*2),AND(AH204="K5-LAW",AG204="นิติศาสตร์",K204="S1",Q204&gt;=1),EDATE(P204,12),AND(AH204="K5-LAW",AG204="นิติศาสตร์",OR(K204="S2",K204="K5")),P204,AND(AH204="K5-POLICY",AG204&lt;&gt;"นิติศาสตร์",K204="S2",T204="",Z204=""),P204,AND(AH204="K5-POLICY",AG204&lt;&gt;"นิติศาสตร์",K204="S1",T204="",Z204=""),EDATE(P204,12),AND(AH204="K5-POLICY",AG204&lt;&gt;"นิติศาสตร์",OR(K204="M2",K204="K4"),T204="",Z204=""),EDATE(P204,12*2),AND(AH204="K5-POLICY",AG204&lt;&gt;"นิติศาสตร์",OR(Z204="M2",Z204="K4"),AC204&gt;=2,OR(AB204&lt;V204,AB204&lt;P204)),EDATE(AB204,12*2),AND(AH204="K5-POLICY",AG204&lt;&gt;"นิติศาสตร์",Z204="S1",AC204&gt;=1,OR(AB204&lt;V204,AB204&lt;P204)),EDATE(AB204,12),AND(AH204="K5-POLICY",AG204&lt;&gt;"นิติศาสตร์",OR(T204="M2",T204="K4"),W204&gt;=2,V204&lt;P204),EDATE(V204,12*2),AND(AH204="K5-POLICY",AG204&lt;&gt;"นิติศาสตร์",T204="S1",W204&gt;=1,V204&lt;P204),EDATE(V204,12),AND(AH204="K5-POLICY",AG204&lt;&gt;"นิติศาสตร์",OR(T204="S2",T204="K5")),V204,AND(AH204="K5-POLICY",AG204&lt;&gt;"นิติศาสตร์",OR(K204="M2",K204="K4"),Q204&gt;=2),EDATE(P204,12*2),AND(AH204="K5-POLICY",AG204&lt;&gt;"นิติศาสตร์",K204="S1",Q204&gt;=1),EDATE(P204,12),AND(AH204="K5-POLICY",AG204&lt;&gt;"นิติศาสตร์",OR(K204="S2",K204="K5")),P204,TRUE,"Check Data")</f>
        <v/>
      </c>
      <c r="AJ204" s="75" t="str">
        <f t="shared" si="61"/>
        <v>Check Data</v>
      </c>
      <c r="AK204" s="76" t="str">
        <f t="shared" si="62"/>
        <v>Check Data</v>
      </c>
      <c r="AL204" s="50" t="str">
        <f t="shared" si="63"/>
        <v>Check Data</v>
      </c>
      <c r="AM204" s="49" t="str">
        <f>IF(B204="","",IF(K204="S1","S1",INDEX(#REF!,#REF!)))</f>
        <v/>
      </c>
      <c r="AN204" s="49" t="str">
        <f>K204</f>
        <v>M2</v>
      </c>
      <c r="AO204" s="50" t="b">
        <f>K204=AM204</f>
        <v>0</v>
      </c>
      <c r="AP204" s="50"/>
    </row>
    <row r="205" spans="1:42" ht="21.75">
      <c r="A205" s="49">
        <v>203</v>
      </c>
      <c r="B205" s="50"/>
      <c r="C205" s="50"/>
      <c r="D205" s="50" t="s">
        <v>147</v>
      </c>
      <c r="E205" s="49" t="s">
        <v>418</v>
      </c>
      <c r="F205" s="49" t="str">
        <f t="shared" si="48"/>
        <v>16/08/2004</v>
      </c>
      <c r="G205" s="50">
        <f t="shared" si="49"/>
        <v>20</v>
      </c>
      <c r="H205" s="50">
        <f t="shared" si="50"/>
        <v>10</v>
      </c>
      <c r="I205" s="50">
        <f t="shared" si="51"/>
        <v>4</v>
      </c>
      <c r="J205" s="81"/>
      <c r="K205" s="49" t="s">
        <v>136</v>
      </c>
      <c r="L205" s="64"/>
      <c r="M205" s="49" t="s">
        <v>426</v>
      </c>
      <c r="N205" s="49">
        <v>2582</v>
      </c>
      <c r="O205" s="65" t="s">
        <v>432</v>
      </c>
      <c r="P205" s="49" t="str">
        <f t="shared" si="52"/>
        <v>07/11/2023</v>
      </c>
      <c r="Q205" s="68">
        <f t="shared" si="53"/>
        <v>1</v>
      </c>
      <c r="R205" s="68">
        <f t="shared" si="54"/>
        <v>7</v>
      </c>
      <c r="S205" s="68">
        <f t="shared" si="55"/>
        <v>13</v>
      </c>
      <c r="T205" s="65"/>
      <c r="U205" s="65"/>
      <c r="V205" s="49" t="str">
        <f t="shared" si="56"/>
        <v/>
      </c>
      <c r="W205" s="68">
        <f>IF(V205="",0,DATEDIF(V205,P205,"Y"))</f>
        <v>0</v>
      </c>
      <c r="X205" s="68">
        <f>IF(V205="",0,DATEDIF(V205,P205,"YM"))</f>
        <v>0</v>
      </c>
      <c r="Y205" s="68">
        <f>IF(V205="",0,DATEDIF(V205,P205,"MD"))</f>
        <v>0</v>
      </c>
      <c r="Z205" s="49"/>
      <c r="AA205" s="65"/>
      <c r="AB205" s="50" t="str">
        <f t="shared" si="57"/>
        <v/>
      </c>
      <c r="AC205" s="68">
        <f t="shared" si="58"/>
        <v>0</v>
      </c>
      <c r="AD205" s="68">
        <f t="shared" si="59"/>
        <v>0</v>
      </c>
      <c r="AE205" s="68">
        <f t="shared" si="60"/>
        <v>0</v>
      </c>
      <c r="AF205" s="50"/>
      <c r="AG205" s="50" t="s">
        <v>486</v>
      </c>
      <c r="AH205" s="49" t="str">
        <f>IF(AG205="นิติศาสตร์","K5-LAW","K5-POLICY")</f>
        <v>K5-POLICY</v>
      </c>
      <c r="AI205" s="72" t="str">
        <f>_xlfn.IFS(B205="","",AND(AH205="K5-LAW",AG205="นิติศาสตร์",K205="S2",T205="",Z205=""),P205,AND(AH205="K5-LAW",AG205="นิติศาสตร์",K205="S1",T205="",Z205=""),EDATE(P205,12),AND(AH205="K5-LAW",AG205="นิติศาสตร์",OR(K205="M2",K205="K4"),T205="",Z205=""),EDATE(P205,12*2),AND(AH205="K5-LAW",AG205="นิติศาสตร์",OR(Z205="M2",Z205="K4"),AC205&gt;=2,OR(AB205&lt;V205,AB205&lt;P205)),EDATE(AB205,12*2),AND(AH205="K5-LAW",AG205="นิติศาสตร์",Z205="S1",AC205&gt;=1,OR(AB205&lt;V205,AB205&lt;P205)),EDATE(AB205,12),AND(AH205="K5-LAW",AG205="นิติศาสตร์",OR(T205="M2",T205="K4"),W205&gt;=2,V205&lt;P205),EDATE(V205,12*2),AND(AH205="K5-LAW",AG205="นิติศาสตร์",T205="S1",W205&gt;=1,V205&lt;P205),EDATE(V205,12),AND(AH205="K5-LAW",AG205="นิติศาสตร์",OR(T205="S2",T205="K5")),V205,AND(AH205="K5-LAW",AG205="นิติศาสตร์",OR(K205="M2",K205="K4"),Q205&gt;=2),EDATE(P205,12*2),AND(AH205="K5-LAW",AG205="นิติศาสตร์",K205="S1",Q205&gt;=1),EDATE(P205,12),AND(AH205="K5-LAW",AG205="นิติศาสตร์",OR(K205="S2",K205="K5")),P205,AND(AH205="K5-POLICY",AG205&lt;&gt;"นิติศาสตร์",K205="S2",T205="",Z205=""),P205,AND(AH205="K5-POLICY",AG205&lt;&gt;"นิติศาสตร์",K205="S1",T205="",Z205=""),EDATE(P205,12),AND(AH205="K5-POLICY",AG205&lt;&gt;"นิติศาสตร์",OR(K205="M2",K205="K4"),T205="",Z205=""),EDATE(P205,12*2),AND(AH205="K5-POLICY",AG205&lt;&gt;"นิติศาสตร์",OR(Z205="M2",Z205="K4"),AC205&gt;=2,OR(AB205&lt;V205,AB205&lt;P205)),EDATE(AB205,12*2),AND(AH205="K5-POLICY",AG205&lt;&gt;"นิติศาสตร์",Z205="S1",AC205&gt;=1,OR(AB205&lt;V205,AB205&lt;P205)),EDATE(AB205,12),AND(AH205="K5-POLICY",AG205&lt;&gt;"นิติศาสตร์",OR(T205="M2",T205="K4"),W205&gt;=2,V205&lt;P205),EDATE(V205,12*2),AND(AH205="K5-POLICY",AG205&lt;&gt;"นิติศาสตร์",T205="S1",W205&gt;=1,V205&lt;P205),EDATE(V205,12),AND(AH205="K5-POLICY",AG205&lt;&gt;"นิติศาสตร์",OR(T205="S2",T205="K5")),V205,AND(AH205="K5-POLICY",AG205&lt;&gt;"นิติศาสตร์",OR(K205="M2",K205="K4"),Q205&gt;=2),EDATE(P205,12*2),AND(AH205="K5-POLICY",AG205&lt;&gt;"นิติศาสตร์",K205="S1",Q205&gt;=1),EDATE(P205,12),AND(AH205="K5-POLICY",AG205&lt;&gt;"นิติศาสตร์",OR(K205="S2",K205="K5")),P205,TRUE,"Check Data")</f>
        <v/>
      </c>
      <c r="AJ205" s="75" t="str">
        <f t="shared" si="61"/>
        <v>Check Data</v>
      </c>
      <c r="AK205" s="76" t="str">
        <f t="shared" si="62"/>
        <v>Check Data</v>
      </c>
      <c r="AL205" s="50" t="str">
        <f t="shared" si="63"/>
        <v>Check Data</v>
      </c>
      <c r="AM205" s="49" t="str">
        <f>IF(B205="","",IF(K205="S1","S1",INDEX(#REF!,#REF!)))</f>
        <v/>
      </c>
      <c r="AN205" s="49" t="str">
        <f>K205</f>
        <v>M2</v>
      </c>
      <c r="AO205" s="50" t="b">
        <f>K205=AM205</f>
        <v>0</v>
      </c>
      <c r="AP205" s="50"/>
    </row>
    <row r="206" spans="1:42" ht="21.75">
      <c r="A206" s="49">
        <v>204</v>
      </c>
      <c r="B206" s="50"/>
      <c r="C206" s="52"/>
      <c r="D206" s="79"/>
      <c r="E206" s="79"/>
      <c r="F206" s="79"/>
      <c r="G206" s="50">
        <f t="shared" si="49"/>
        <v>0</v>
      </c>
      <c r="H206" s="50">
        <f t="shared" si="50"/>
        <v>0</v>
      </c>
      <c r="I206" s="50">
        <f t="shared" si="51"/>
        <v>0</v>
      </c>
      <c r="J206" s="79"/>
      <c r="K206" s="49" t="s">
        <v>136</v>
      </c>
      <c r="L206" s="79"/>
      <c r="M206" s="79"/>
      <c r="N206" s="79"/>
      <c r="O206" s="65" t="s">
        <v>438</v>
      </c>
      <c r="P206" s="49" t="str">
        <f t="shared" si="52"/>
        <v>08/12/2023</v>
      </c>
      <c r="Q206" s="68">
        <f t="shared" si="53"/>
        <v>1</v>
      </c>
      <c r="R206" s="68">
        <f t="shared" si="54"/>
        <v>6</v>
      </c>
      <c r="S206" s="68">
        <f t="shared" si="55"/>
        <v>12</v>
      </c>
      <c r="T206" s="65"/>
      <c r="U206" s="83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49" t="str">
        <f>IF(AG206="นิติศาสตร์","K5-LAW","K5-POLICY")</f>
        <v>K5-POLICY</v>
      </c>
      <c r="AI206" s="72" t="str">
        <f>_xlfn.IFS(B206="","",AND(AH206="K5-LAW",AG206="นิติศาสตร์",K206="S2",T206="",Z206=""),P206,AND(AH206="K5-LAW",AG206="นิติศาสตร์",K206="S1",T206="",Z206=""),EDATE(P206,12),AND(AH206="K5-LAW",AG206="นิติศาสตร์",OR(K206="M2",K206="K4"),T206="",Z206=""),EDATE(P206,12*2),AND(AH206="K5-LAW",AG206="นิติศาสตร์",OR(Z206="M2",Z206="K4"),AC206&gt;=2,OR(AB206&lt;V206,AB206&lt;P206)),EDATE(AB206,12*2),AND(AH206="K5-LAW",AG206="นิติศาสตร์",Z206="S1",AC206&gt;=1,OR(AB206&lt;V206,AB206&lt;P206)),EDATE(AB206,12),AND(AH206="K5-LAW",AG206="นิติศาสตร์",OR(T206="M2",T206="K4"),W206&gt;=2,V206&lt;P206),EDATE(V206,12*2),AND(AH206="K5-LAW",AG206="นิติศาสตร์",T206="S1",W206&gt;=1,V206&lt;P206),EDATE(V206,12),AND(AH206="K5-LAW",AG206="นิติศาสตร์",OR(T206="S2",T206="K5")),V206,AND(AH206="K5-LAW",AG206="นิติศาสตร์",OR(K206="M2",K206="K4"),Q206&gt;=2),EDATE(P206,12*2),AND(AH206="K5-LAW",AG206="นิติศาสตร์",K206="S1",Q206&gt;=1),EDATE(P206,12),AND(AH206="K5-LAW",AG206="นิติศาสตร์",OR(K206="S2",K206="K5")),P206,AND(AH206="K5-POLICY",AG206&lt;&gt;"นิติศาสตร์",K206="S2",T206="",Z206=""),P206,AND(AH206="K5-POLICY",AG206&lt;&gt;"นิติศาสตร์",K206="S1",T206="",Z206=""),EDATE(P206,12),AND(AH206="K5-POLICY",AG206&lt;&gt;"นิติศาสตร์",OR(K206="M2",K206="K4"),T206="",Z206=""),EDATE(P206,12*2),AND(AH206="K5-POLICY",AG206&lt;&gt;"นิติศาสตร์",OR(Z206="M2",Z206="K4"),AC206&gt;=2,OR(AB206&lt;V206,AB206&lt;P206)),EDATE(AB206,12*2),AND(AH206="K5-POLICY",AG206&lt;&gt;"นิติศาสตร์",Z206="S1",AC206&gt;=1,OR(AB206&lt;V206,AB206&lt;P206)),EDATE(AB206,12),AND(AH206="K5-POLICY",AG206&lt;&gt;"นิติศาสตร์",OR(T206="M2",T206="K4"),W206&gt;=2,V206&lt;P206),EDATE(V206,12*2),AND(AH206="K5-POLICY",AG206&lt;&gt;"นิติศาสตร์",T206="S1",W206&gt;=1,V206&lt;P206),EDATE(V206,12),AND(AH206="K5-POLICY",AG206&lt;&gt;"นิติศาสตร์",OR(T206="S2",T206="K5")),V206,AND(AH206="K5-POLICY",AG206&lt;&gt;"นิติศาสตร์",OR(K206="M2",K206="K4"),Q206&gt;=2),EDATE(P206,12*2),AND(AH206="K5-POLICY",AG206&lt;&gt;"นิติศาสตร์",K206="S1",Q206&gt;=1),EDATE(P206,12),AND(AH206="K5-POLICY",AG206&lt;&gt;"นิติศาสตร์",OR(K206="S2",K206="K5")),P206,TRUE,"Check Data")</f>
        <v/>
      </c>
      <c r="AJ206" s="75" t="str">
        <f t="shared" si="61"/>
        <v>Check Data</v>
      </c>
      <c r="AK206" s="76" t="str">
        <f t="shared" si="62"/>
        <v>Check Data</v>
      </c>
      <c r="AL206" s="50" t="str">
        <f t="shared" si="63"/>
        <v>Check Data</v>
      </c>
      <c r="AM206" s="49" t="str">
        <f>IF(B206="","",IF(K206="S1","S1",INDEX(#REF!,#REF!)))</f>
        <v/>
      </c>
      <c r="AN206" s="49" t="str">
        <f>K206</f>
        <v>M2</v>
      </c>
      <c r="AO206" s="50" t="b">
        <f>K206=AM206</f>
        <v>0</v>
      </c>
      <c r="AP206" s="50"/>
    </row>
    <row r="207" spans="1:42" ht="21.75">
      <c r="A207" s="49">
        <v>205</v>
      </c>
      <c r="B207" s="50"/>
      <c r="C207" s="50"/>
      <c r="D207" s="50" t="s">
        <v>142</v>
      </c>
      <c r="E207" s="49" t="s">
        <v>279</v>
      </c>
      <c r="F207" s="49" t="str">
        <f t="shared" ref="F207:F221" si="64">IF(E207="","",TEXT(EDATE(E207,-543*12),"dd/mm/yyyy"))</f>
        <v>02/11/1987</v>
      </c>
      <c r="G207" s="50">
        <f t="shared" si="49"/>
        <v>37</v>
      </c>
      <c r="H207" s="50">
        <f t="shared" si="50"/>
        <v>7</v>
      </c>
      <c r="I207" s="50">
        <f t="shared" si="51"/>
        <v>18</v>
      </c>
      <c r="J207" s="58"/>
      <c r="K207" s="49" t="s">
        <v>136</v>
      </c>
      <c r="L207" s="64"/>
      <c r="M207" s="49" t="s">
        <v>427</v>
      </c>
      <c r="N207" s="49">
        <v>0</v>
      </c>
      <c r="O207" s="65" t="s">
        <v>257</v>
      </c>
      <c r="P207" s="49" t="str">
        <f t="shared" si="52"/>
        <v>19/12/2023</v>
      </c>
      <c r="Q207" s="68">
        <f t="shared" si="53"/>
        <v>1</v>
      </c>
      <c r="R207" s="68">
        <f t="shared" si="54"/>
        <v>6</v>
      </c>
      <c r="S207" s="68">
        <f t="shared" si="55"/>
        <v>1</v>
      </c>
      <c r="T207" s="65"/>
      <c r="U207" s="65"/>
      <c r="V207" s="49" t="str">
        <f t="shared" ref="V207:V221" si="65">IF(U207="","",TEXT(EDATE(U207,-543*12),"dd/mm/yyyy"))</f>
        <v/>
      </c>
      <c r="W207" s="68">
        <f>IF(V207="",0,DATEDIF(V207,P207,"Y"))</f>
        <v>0</v>
      </c>
      <c r="X207" s="68">
        <f>IF(V207="",0,DATEDIF(V207,P207,"YM"))</f>
        <v>0</v>
      </c>
      <c r="Y207" s="68">
        <f>IF(V207="",0,DATEDIF(V207,P207,"MD"))</f>
        <v>0</v>
      </c>
      <c r="Z207" s="49"/>
      <c r="AA207" s="65"/>
      <c r="AB207" s="50" t="str">
        <f t="shared" ref="AB207:AB221" si="66">IF(AA207="","",TEXT(EDATE(AA207,-543*12),"dd/mm/yyyy"))</f>
        <v/>
      </c>
      <c r="AC207" s="68">
        <f t="shared" ref="AC207:AC221" si="67">IF(AB207="",0,DATEDIF(AB207,V207,"Y"))</f>
        <v>0</v>
      </c>
      <c r="AD207" s="68">
        <f t="shared" ref="AD207:AD221" si="68">IF(AB207="",0,DATEDIF(AB207,V207,"YM"))</f>
        <v>0</v>
      </c>
      <c r="AE207" s="68">
        <f t="shared" ref="AE207:AE221" si="69">IF(AB207="",0,DATEDIF(AB207,V207,"MD"))</f>
        <v>0</v>
      </c>
      <c r="AF207" s="50"/>
      <c r="AG207" s="50" t="s">
        <v>138</v>
      </c>
      <c r="AH207" s="49" t="str">
        <f>IF(AG207="นิติศาสตร์","K5-LAW","K5-POLICY")</f>
        <v>K5-LAW</v>
      </c>
      <c r="AI207" s="72" t="str">
        <f>_xlfn.IFS(B207="","",AND(AH207="K5-LAW",AG207="นิติศาสตร์",K207="S2",T207="",Z207=""),P207,AND(AH207="K5-LAW",AG207="นิติศาสตร์",K207="S1",T207="",Z207=""),EDATE(P207,12),AND(AH207="K5-LAW",AG207="นิติศาสตร์",OR(K207="M2",K207="K4"),T207="",Z207=""),EDATE(P207,12*2),AND(AH207="K5-LAW",AG207="นิติศาสตร์",OR(Z207="M2",Z207="K4"),AC207&gt;=2,OR(AB207&lt;V207,AB207&lt;P207)),EDATE(AB207,12*2),AND(AH207="K5-LAW",AG207="นิติศาสตร์",Z207="S1",AC207&gt;=1,OR(AB207&lt;V207,AB207&lt;P207)),EDATE(AB207,12),AND(AH207="K5-LAW",AG207="นิติศาสตร์",OR(T207="M2",T207="K4"),W207&gt;=2,V207&lt;P207),EDATE(V207,12*2),AND(AH207="K5-LAW",AG207="นิติศาสตร์",T207="S1",W207&gt;=1,V207&lt;P207),EDATE(V207,12),AND(AH207="K5-LAW",AG207="นิติศาสตร์",OR(T207="S2",T207="K5")),V207,AND(AH207="K5-LAW",AG207="นิติศาสตร์",OR(K207="M2",K207="K4"),Q207&gt;=2),EDATE(P207,12*2),AND(AH207="K5-LAW",AG207="นิติศาสตร์",K207="S1",Q207&gt;=1),EDATE(P207,12),AND(AH207="K5-LAW",AG207="นิติศาสตร์",OR(K207="S2",K207="K5")),P207,AND(AH207="K5-POLICY",AG207&lt;&gt;"นิติศาสตร์",K207="S2",T207="",Z207=""),P207,AND(AH207="K5-POLICY",AG207&lt;&gt;"นิติศาสตร์",K207="S1",T207="",Z207=""),EDATE(P207,12),AND(AH207="K5-POLICY",AG207&lt;&gt;"นิติศาสตร์",OR(K207="M2",K207="K4"),T207="",Z207=""),EDATE(P207,12*2),AND(AH207="K5-POLICY",AG207&lt;&gt;"นิติศาสตร์",OR(Z207="M2",Z207="K4"),AC207&gt;=2,OR(AB207&lt;V207,AB207&lt;P207)),EDATE(AB207,12*2),AND(AH207="K5-POLICY",AG207&lt;&gt;"นิติศาสตร์",Z207="S1",AC207&gt;=1,OR(AB207&lt;V207,AB207&lt;P207)),EDATE(AB207,12),AND(AH207="K5-POLICY",AG207&lt;&gt;"นิติศาสตร์",OR(T207="M2",T207="K4"),W207&gt;=2,V207&lt;P207),EDATE(V207,12*2),AND(AH207="K5-POLICY",AG207&lt;&gt;"นิติศาสตร์",T207="S1",W207&gt;=1,V207&lt;P207),EDATE(V207,12),AND(AH207="K5-POLICY",AG207&lt;&gt;"นิติศาสตร์",OR(T207="S2",T207="K5")),V207,AND(AH207="K5-POLICY",AG207&lt;&gt;"นิติศาสตร์",OR(K207="M2",K207="K4"),Q207&gt;=2),EDATE(P207,12*2),AND(AH207="K5-POLICY",AG207&lt;&gt;"นิติศาสตร์",K207="S1",Q207&gt;=1),EDATE(P207,12),AND(AH207="K5-POLICY",AG207&lt;&gt;"นิติศาสตร์",OR(K207="S2",K207="K5")),P207,TRUE,"Check Data")</f>
        <v/>
      </c>
      <c r="AJ207" s="75" t="str">
        <f t="shared" si="61"/>
        <v>Check Data</v>
      </c>
      <c r="AK207" s="76" t="str">
        <f t="shared" si="62"/>
        <v>Check Data</v>
      </c>
      <c r="AL207" s="50" t="str">
        <f t="shared" si="63"/>
        <v>Check Data</v>
      </c>
      <c r="AM207" s="49" t="str">
        <f>IF(B207="","",IF(K207="S1","S1",INDEX(#REF!,#REF!)))</f>
        <v/>
      </c>
      <c r="AN207" s="49" t="str">
        <f>K207</f>
        <v>M2</v>
      </c>
      <c r="AO207" s="50" t="b">
        <f>K207=AM207</f>
        <v>0</v>
      </c>
      <c r="AP207" s="50"/>
    </row>
    <row r="208" spans="1:42" ht="21.75">
      <c r="A208" s="49">
        <v>206</v>
      </c>
      <c r="B208" s="50"/>
      <c r="C208" s="50"/>
      <c r="D208" s="50" t="s">
        <v>141</v>
      </c>
      <c r="E208" s="49" t="s">
        <v>265</v>
      </c>
      <c r="F208" s="49" t="str">
        <f t="shared" si="64"/>
        <v>01/09/1993</v>
      </c>
      <c r="G208" s="50">
        <f t="shared" si="49"/>
        <v>31</v>
      </c>
      <c r="H208" s="50">
        <f t="shared" si="50"/>
        <v>9</v>
      </c>
      <c r="I208" s="50">
        <f t="shared" si="51"/>
        <v>19</v>
      </c>
      <c r="J208" s="60"/>
      <c r="K208" s="49" t="s">
        <v>136</v>
      </c>
      <c r="L208" s="64"/>
      <c r="M208" s="49" t="s">
        <v>427</v>
      </c>
      <c r="N208" s="49">
        <v>2569</v>
      </c>
      <c r="O208" s="65" t="s">
        <v>257</v>
      </c>
      <c r="P208" s="49" t="str">
        <f t="shared" si="52"/>
        <v>19/12/2023</v>
      </c>
      <c r="Q208" s="68">
        <f t="shared" si="53"/>
        <v>1</v>
      </c>
      <c r="R208" s="68">
        <f t="shared" si="54"/>
        <v>6</v>
      </c>
      <c r="S208" s="68">
        <f t="shared" si="55"/>
        <v>1</v>
      </c>
      <c r="T208" s="65"/>
      <c r="U208" s="65"/>
      <c r="V208" s="49" t="str">
        <f t="shared" si="65"/>
        <v/>
      </c>
      <c r="W208" s="68">
        <f>IF(V208="",0,DATEDIF(V208,P208,"Y"))</f>
        <v>0</v>
      </c>
      <c r="X208" s="68">
        <f>IF(V208="",0,DATEDIF(V208,P208,"YM"))</f>
        <v>0</v>
      </c>
      <c r="Y208" s="68">
        <f>IF(V208="",0,DATEDIF(V208,P208,"MD"))</f>
        <v>0</v>
      </c>
      <c r="Z208" s="49"/>
      <c r="AA208" s="65"/>
      <c r="AB208" s="50" t="str">
        <f t="shared" si="66"/>
        <v/>
      </c>
      <c r="AC208" s="68">
        <f t="shared" si="67"/>
        <v>0</v>
      </c>
      <c r="AD208" s="68">
        <f t="shared" si="68"/>
        <v>0</v>
      </c>
      <c r="AE208" s="68">
        <f t="shared" si="69"/>
        <v>0</v>
      </c>
      <c r="AF208" s="50"/>
      <c r="AG208" s="50" t="s">
        <v>138</v>
      </c>
      <c r="AH208" s="49" t="str">
        <f>IF(AG208="นิติศาสตร์","K5-LAW","K5-POLICY")</f>
        <v>K5-LAW</v>
      </c>
      <c r="AI208" s="72" t="str">
        <f>_xlfn.IFS(B208="","",AND(AH208="K5-LAW",AG208="นิติศาสตร์",K208="S2",T208="",Z208=""),P208,AND(AH208="K5-LAW",AG208="นิติศาสตร์",K208="S1",T208="",Z208=""),EDATE(P208,12),AND(AH208="K5-LAW",AG208="นิติศาสตร์",OR(K208="M2",K208="K4"),T208="",Z208=""),EDATE(P208,12*2),AND(AH208="K5-LAW",AG208="นิติศาสตร์",OR(Z208="M2",Z208="K4"),AC208&gt;=2,OR(AB208&lt;V208,AB208&lt;P208)),EDATE(AB208,12*2),AND(AH208="K5-LAW",AG208="นิติศาสตร์",Z208="S1",AC208&gt;=1,OR(AB208&lt;V208,AB208&lt;P208)),EDATE(AB208,12),AND(AH208="K5-LAW",AG208="นิติศาสตร์",OR(T208="M2",T208="K4"),W208&gt;=2,V208&lt;P208),EDATE(V208,12*2),AND(AH208="K5-LAW",AG208="นิติศาสตร์",T208="S1",W208&gt;=1,V208&lt;P208),EDATE(V208,12),AND(AH208="K5-LAW",AG208="นิติศาสตร์",OR(T208="S2",T208="K5")),V208,AND(AH208="K5-LAW",AG208="นิติศาสตร์",OR(K208="M2",K208="K4"),Q208&gt;=2),EDATE(P208,12*2),AND(AH208="K5-LAW",AG208="นิติศาสตร์",K208="S1",Q208&gt;=1),EDATE(P208,12),AND(AH208="K5-LAW",AG208="นิติศาสตร์",OR(K208="S2",K208="K5")),P208,AND(AH208="K5-POLICY",AG208&lt;&gt;"นิติศาสตร์",K208="S2",T208="",Z208=""),P208,AND(AH208="K5-POLICY",AG208&lt;&gt;"นิติศาสตร์",K208="S1",T208="",Z208=""),EDATE(P208,12),AND(AH208="K5-POLICY",AG208&lt;&gt;"นิติศาสตร์",OR(K208="M2",K208="K4"),T208="",Z208=""),EDATE(P208,12*2),AND(AH208="K5-POLICY",AG208&lt;&gt;"นิติศาสตร์",OR(Z208="M2",Z208="K4"),AC208&gt;=2,OR(AB208&lt;V208,AB208&lt;P208)),EDATE(AB208,12*2),AND(AH208="K5-POLICY",AG208&lt;&gt;"นิติศาสตร์",Z208="S1",AC208&gt;=1,OR(AB208&lt;V208,AB208&lt;P208)),EDATE(AB208,12),AND(AH208="K5-POLICY",AG208&lt;&gt;"นิติศาสตร์",OR(T208="M2",T208="K4"),W208&gt;=2,V208&lt;P208),EDATE(V208,12*2),AND(AH208="K5-POLICY",AG208&lt;&gt;"นิติศาสตร์",T208="S1",W208&gt;=1,V208&lt;P208),EDATE(V208,12),AND(AH208="K5-POLICY",AG208&lt;&gt;"นิติศาสตร์",OR(T208="S2",T208="K5")),V208,AND(AH208="K5-POLICY",AG208&lt;&gt;"นิติศาสตร์",OR(K208="M2",K208="K4"),Q208&gt;=2),EDATE(P208,12*2),AND(AH208="K5-POLICY",AG208&lt;&gt;"นิติศาสตร์",K208="S1",Q208&gt;=1),EDATE(P208,12),AND(AH208="K5-POLICY",AG208&lt;&gt;"นิติศาสตร์",OR(K208="S2",K208="K5")),P208,TRUE,"Check Data")</f>
        <v/>
      </c>
      <c r="AJ208" s="75" t="str">
        <f t="shared" si="61"/>
        <v>Check Data</v>
      </c>
      <c r="AK208" s="76" t="str">
        <f t="shared" si="62"/>
        <v>Check Data</v>
      </c>
      <c r="AL208" s="50" t="str">
        <f t="shared" si="63"/>
        <v>Check Data</v>
      </c>
      <c r="AM208" s="49" t="str">
        <f>IF(B208="","",IF(K208="S1","S1",INDEX(#REF!,#REF!)))</f>
        <v/>
      </c>
      <c r="AN208" s="49" t="str">
        <f>K208</f>
        <v>M2</v>
      </c>
      <c r="AO208" s="50" t="b">
        <f>K208=AM208</f>
        <v>0</v>
      </c>
      <c r="AP208" s="50"/>
    </row>
    <row r="209" spans="1:42" ht="21.75">
      <c r="A209" s="49">
        <v>207</v>
      </c>
      <c r="B209" s="50"/>
      <c r="C209" s="50"/>
      <c r="D209" s="50" t="s">
        <v>141</v>
      </c>
      <c r="E209" s="49" t="s">
        <v>256</v>
      </c>
      <c r="F209" s="49" t="str">
        <f t="shared" si="64"/>
        <v>01/02/1993</v>
      </c>
      <c r="G209" s="50">
        <f t="shared" si="49"/>
        <v>32</v>
      </c>
      <c r="H209" s="50">
        <f t="shared" si="50"/>
        <v>4</v>
      </c>
      <c r="I209" s="50">
        <f t="shared" si="51"/>
        <v>19</v>
      </c>
      <c r="J209" s="58"/>
      <c r="K209" s="49" t="s">
        <v>136</v>
      </c>
      <c r="L209" s="64"/>
      <c r="M209" s="49" t="s">
        <v>427</v>
      </c>
      <c r="N209" s="49">
        <v>2571</v>
      </c>
      <c r="O209" s="65" t="s">
        <v>257</v>
      </c>
      <c r="P209" s="49" t="str">
        <f t="shared" si="52"/>
        <v>19/12/2023</v>
      </c>
      <c r="Q209" s="68">
        <f t="shared" si="53"/>
        <v>1</v>
      </c>
      <c r="R209" s="68">
        <f t="shared" si="54"/>
        <v>6</v>
      </c>
      <c r="S209" s="68">
        <f t="shared" si="55"/>
        <v>1</v>
      </c>
      <c r="T209" s="65"/>
      <c r="U209" s="65"/>
      <c r="V209" s="49" t="str">
        <f t="shared" si="65"/>
        <v/>
      </c>
      <c r="W209" s="68">
        <f>IF(V209="",0,DATEDIF(V209,P209,"Y"))</f>
        <v>0</v>
      </c>
      <c r="X209" s="68">
        <f>IF(V209="",0,DATEDIF(V209,P209,"YM"))</f>
        <v>0</v>
      </c>
      <c r="Y209" s="68">
        <f>IF(V209="",0,DATEDIF(V209,P209,"MD"))</f>
        <v>0</v>
      </c>
      <c r="Z209" s="49"/>
      <c r="AA209" s="65"/>
      <c r="AB209" s="50" t="str">
        <f t="shared" si="66"/>
        <v/>
      </c>
      <c r="AC209" s="68">
        <f t="shared" si="67"/>
        <v>0</v>
      </c>
      <c r="AD209" s="68">
        <f t="shared" si="68"/>
        <v>0</v>
      </c>
      <c r="AE209" s="68">
        <f t="shared" si="69"/>
        <v>0</v>
      </c>
      <c r="AF209" s="50"/>
      <c r="AG209" s="50" t="s">
        <v>138</v>
      </c>
      <c r="AH209" s="49" t="str">
        <f>IF(AG209="นิติศาสตร์","K5-LAW","K5-POLICY")</f>
        <v>K5-LAW</v>
      </c>
      <c r="AI209" s="72" t="str">
        <f>_xlfn.IFS(B209="","",AND(AH209="K5-LAW",AG209="นิติศาสตร์",K209="S2",T209="",Z209=""),P209,AND(AH209="K5-LAW",AG209="นิติศาสตร์",K209="S1",T209="",Z209=""),EDATE(P209,12),AND(AH209="K5-LAW",AG209="นิติศาสตร์",OR(K209="M2",K209="K4"),T209="",Z209=""),EDATE(P209,12*2),AND(AH209="K5-LAW",AG209="นิติศาสตร์",OR(Z209="M2",Z209="K4"),AC209&gt;=2,OR(AB209&lt;V209,AB209&lt;P209)),EDATE(AB209,12*2),AND(AH209="K5-LAW",AG209="นิติศาสตร์",Z209="S1",AC209&gt;=1,OR(AB209&lt;V209,AB209&lt;P209)),EDATE(AB209,12),AND(AH209="K5-LAW",AG209="นิติศาสตร์",OR(T209="M2",T209="K4"),W209&gt;=2,V209&lt;P209),EDATE(V209,12*2),AND(AH209="K5-LAW",AG209="นิติศาสตร์",T209="S1",W209&gt;=1,V209&lt;P209),EDATE(V209,12),AND(AH209="K5-LAW",AG209="นิติศาสตร์",OR(T209="S2",T209="K5")),V209,AND(AH209="K5-LAW",AG209="นิติศาสตร์",OR(K209="M2",K209="K4"),Q209&gt;=2),EDATE(P209,12*2),AND(AH209="K5-LAW",AG209="นิติศาสตร์",K209="S1",Q209&gt;=1),EDATE(P209,12),AND(AH209="K5-LAW",AG209="นิติศาสตร์",OR(K209="S2",K209="K5")),P209,AND(AH209="K5-POLICY",AG209&lt;&gt;"นิติศาสตร์",K209="S2",T209="",Z209=""),P209,AND(AH209="K5-POLICY",AG209&lt;&gt;"นิติศาสตร์",K209="S1",T209="",Z209=""),EDATE(P209,12),AND(AH209="K5-POLICY",AG209&lt;&gt;"นิติศาสตร์",OR(K209="M2",K209="K4"),T209="",Z209=""),EDATE(P209,12*2),AND(AH209="K5-POLICY",AG209&lt;&gt;"นิติศาสตร์",OR(Z209="M2",Z209="K4"),AC209&gt;=2,OR(AB209&lt;V209,AB209&lt;P209)),EDATE(AB209,12*2),AND(AH209="K5-POLICY",AG209&lt;&gt;"นิติศาสตร์",Z209="S1",AC209&gt;=1,OR(AB209&lt;V209,AB209&lt;P209)),EDATE(AB209,12),AND(AH209="K5-POLICY",AG209&lt;&gt;"นิติศาสตร์",OR(T209="M2",T209="K4"),W209&gt;=2,V209&lt;P209),EDATE(V209,12*2),AND(AH209="K5-POLICY",AG209&lt;&gt;"นิติศาสตร์",T209="S1",W209&gt;=1,V209&lt;P209),EDATE(V209,12),AND(AH209="K5-POLICY",AG209&lt;&gt;"นิติศาสตร์",OR(T209="S2",T209="K5")),V209,AND(AH209="K5-POLICY",AG209&lt;&gt;"นิติศาสตร์",OR(K209="M2",K209="K4"),Q209&gt;=2),EDATE(P209,12*2),AND(AH209="K5-POLICY",AG209&lt;&gt;"นิติศาสตร์",K209="S1",Q209&gt;=1),EDATE(P209,12),AND(AH209="K5-POLICY",AG209&lt;&gt;"นิติศาสตร์",OR(K209="S2",K209="K5")),P209,TRUE,"Check Data")</f>
        <v/>
      </c>
      <c r="AJ209" s="75" t="str">
        <f t="shared" si="61"/>
        <v>Check Data</v>
      </c>
      <c r="AK209" s="76" t="str">
        <f t="shared" si="62"/>
        <v>Check Data</v>
      </c>
      <c r="AL209" s="50" t="str">
        <f t="shared" si="63"/>
        <v>Check Data</v>
      </c>
      <c r="AM209" s="49" t="str">
        <f>IF(B209="","",IF(K209="S1","S1",INDEX(#REF!,#REF!)))</f>
        <v/>
      </c>
      <c r="AN209" s="49" t="str">
        <f>K209</f>
        <v>M2</v>
      </c>
      <c r="AO209" s="50" t="b">
        <f>K209=AM209</f>
        <v>0</v>
      </c>
      <c r="AP209" s="50"/>
    </row>
    <row r="210" spans="1:42" ht="21.75">
      <c r="A210" s="49">
        <v>208</v>
      </c>
      <c r="B210" s="50"/>
      <c r="C210" s="50"/>
      <c r="D210" s="50" t="s">
        <v>142</v>
      </c>
      <c r="E210" s="49" t="s">
        <v>280</v>
      </c>
      <c r="F210" s="49" t="str">
        <f t="shared" si="64"/>
        <v>13/07/1990</v>
      </c>
      <c r="G210" s="50">
        <f t="shared" si="49"/>
        <v>34</v>
      </c>
      <c r="H210" s="50">
        <f t="shared" si="50"/>
        <v>11</v>
      </c>
      <c r="I210" s="50">
        <f t="shared" si="51"/>
        <v>7</v>
      </c>
      <c r="J210" s="58"/>
      <c r="K210" s="49" t="s">
        <v>136</v>
      </c>
      <c r="L210" s="64"/>
      <c r="M210" s="49">
        <v>0</v>
      </c>
      <c r="N210" s="49">
        <v>0</v>
      </c>
      <c r="O210" s="65" t="s">
        <v>257</v>
      </c>
      <c r="P210" s="49" t="str">
        <f t="shared" si="52"/>
        <v>19/12/2023</v>
      </c>
      <c r="Q210" s="68">
        <f t="shared" si="53"/>
        <v>1</v>
      </c>
      <c r="R210" s="68">
        <f t="shared" si="54"/>
        <v>6</v>
      </c>
      <c r="S210" s="68">
        <f t="shared" si="55"/>
        <v>1</v>
      </c>
      <c r="T210" s="65"/>
      <c r="U210" s="65"/>
      <c r="V210" s="49" t="str">
        <f t="shared" si="65"/>
        <v/>
      </c>
      <c r="W210" s="68">
        <f>IF(V210="",0,DATEDIF(V210,P210,"Y"))</f>
        <v>0</v>
      </c>
      <c r="X210" s="68">
        <f>IF(V210="",0,DATEDIF(V210,P210,"YM"))</f>
        <v>0</v>
      </c>
      <c r="Y210" s="68">
        <f>IF(V210="",0,DATEDIF(V210,P210,"MD"))</f>
        <v>0</v>
      </c>
      <c r="Z210" s="49"/>
      <c r="AA210" s="65"/>
      <c r="AB210" s="50" t="str">
        <f t="shared" si="66"/>
        <v/>
      </c>
      <c r="AC210" s="68">
        <f t="shared" si="67"/>
        <v>0</v>
      </c>
      <c r="AD210" s="68">
        <f t="shared" si="68"/>
        <v>0</v>
      </c>
      <c r="AE210" s="68">
        <f t="shared" si="69"/>
        <v>0</v>
      </c>
      <c r="AF210" s="50"/>
      <c r="AG210" s="50" t="s">
        <v>138</v>
      </c>
      <c r="AH210" s="49" t="str">
        <f>IF(AG210="นิติศาสตร์","K5-LAW","K5-POLICY")</f>
        <v>K5-LAW</v>
      </c>
      <c r="AI210" s="72" t="str">
        <f>_xlfn.IFS(B210="","",AND(AH210="K5-LAW",AG210="นิติศาสตร์",K210="S2",T210="",Z210=""),P210,AND(AH210="K5-LAW",AG210="นิติศาสตร์",K210="S1",T210="",Z210=""),EDATE(P210,12),AND(AH210="K5-LAW",AG210="นิติศาสตร์",OR(K210="M2",K210="K4"),T210="",Z210=""),EDATE(P210,12*2),AND(AH210="K5-LAW",AG210="นิติศาสตร์",OR(Z210="M2",Z210="K4"),AC210&gt;=2,OR(AB210&lt;V210,AB210&lt;P210)),EDATE(AB210,12*2),AND(AH210="K5-LAW",AG210="นิติศาสตร์",Z210="S1",AC210&gt;=1,OR(AB210&lt;V210,AB210&lt;P210)),EDATE(AB210,12),AND(AH210="K5-LAW",AG210="นิติศาสตร์",OR(T210="M2",T210="K4"),W210&gt;=2,V210&lt;P210),EDATE(V210,12*2),AND(AH210="K5-LAW",AG210="นิติศาสตร์",T210="S1",W210&gt;=1,V210&lt;P210),EDATE(V210,12),AND(AH210="K5-LAW",AG210="นิติศาสตร์",OR(T210="S2",T210="K5")),V210,AND(AH210="K5-LAW",AG210="นิติศาสตร์",OR(K210="M2",K210="K4"),Q210&gt;=2),EDATE(P210,12*2),AND(AH210="K5-LAW",AG210="นิติศาสตร์",K210="S1",Q210&gt;=1),EDATE(P210,12),AND(AH210="K5-LAW",AG210="นิติศาสตร์",OR(K210="S2",K210="K5")),P210,AND(AH210="K5-POLICY",AG210&lt;&gt;"นิติศาสตร์",K210="S2",T210="",Z210=""),P210,AND(AH210="K5-POLICY",AG210&lt;&gt;"นิติศาสตร์",K210="S1",T210="",Z210=""),EDATE(P210,12),AND(AH210="K5-POLICY",AG210&lt;&gt;"นิติศาสตร์",OR(K210="M2",K210="K4"),T210="",Z210=""),EDATE(P210,12*2),AND(AH210="K5-POLICY",AG210&lt;&gt;"นิติศาสตร์",OR(Z210="M2",Z210="K4"),AC210&gt;=2,OR(AB210&lt;V210,AB210&lt;P210)),EDATE(AB210,12*2),AND(AH210="K5-POLICY",AG210&lt;&gt;"นิติศาสตร์",Z210="S1",AC210&gt;=1,OR(AB210&lt;V210,AB210&lt;P210)),EDATE(AB210,12),AND(AH210="K5-POLICY",AG210&lt;&gt;"นิติศาสตร์",OR(T210="M2",T210="K4"),W210&gt;=2,V210&lt;P210),EDATE(V210,12*2),AND(AH210="K5-POLICY",AG210&lt;&gt;"นิติศาสตร์",T210="S1",W210&gt;=1,V210&lt;P210),EDATE(V210,12),AND(AH210="K5-POLICY",AG210&lt;&gt;"นิติศาสตร์",OR(T210="S2",T210="K5")),V210,AND(AH210="K5-POLICY",AG210&lt;&gt;"นิติศาสตร์",OR(K210="M2",K210="K4"),Q210&gt;=2),EDATE(P210,12*2),AND(AH210="K5-POLICY",AG210&lt;&gt;"นิติศาสตร์",K210="S1",Q210&gt;=1),EDATE(P210,12),AND(AH210="K5-POLICY",AG210&lt;&gt;"นิติศาสตร์",OR(K210="S2",K210="K5")),P210,TRUE,"Check Data")</f>
        <v/>
      </c>
      <c r="AJ210" s="75" t="str">
        <f t="shared" si="61"/>
        <v>Check Data</v>
      </c>
      <c r="AK210" s="76" t="str">
        <f t="shared" si="62"/>
        <v>Check Data</v>
      </c>
      <c r="AL210" s="50" t="str">
        <f t="shared" si="63"/>
        <v>Check Data</v>
      </c>
      <c r="AM210" s="49" t="str">
        <f>IF(B210="","",IF(K210="S1","S1",INDEX(#REF!,#REF!)))</f>
        <v/>
      </c>
      <c r="AN210" s="49" t="str">
        <f>K210</f>
        <v>M2</v>
      </c>
      <c r="AO210" s="50" t="b">
        <f>K210=AM210</f>
        <v>0</v>
      </c>
      <c r="AP210" s="50"/>
    </row>
    <row r="211" spans="1:42" ht="21.75">
      <c r="A211" s="49">
        <v>209</v>
      </c>
      <c r="B211" s="50"/>
      <c r="C211" s="50"/>
      <c r="D211" s="50" t="s">
        <v>141</v>
      </c>
      <c r="E211" s="49" t="s">
        <v>266</v>
      </c>
      <c r="F211" s="49" t="str">
        <f t="shared" si="64"/>
        <v>16/09/1993</v>
      </c>
      <c r="G211" s="50">
        <f t="shared" si="49"/>
        <v>31</v>
      </c>
      <c r="H211" s="50">
        <f t="shared" si="50"/>
        <v>9</v>
      </c>
      <c r="I211" s="50">
        <f t="shared" si="51"/>
        <v>4</v>
      </c>
      <c r="J211" s="60"/>
      <c r="K211" s="49" t="s">
        <v>136</v>
      </c>
      <c r="L211" s="64"/>
      <c r="M211" s="49" t="s">
        <v>426</v>
      </c>
      <c r="N211" s="49">
        <v>2570</v>
      </c>
      <c r="O211" s="65" t="s">
        <v>257</v>
      </c>
      <c r="P211" s="49" t="str">
        <f t="shared" si="52"/>
        <v>19/12/2023</v>
      </c>
      <c r="Q211" s="68">
        <f t="shared" si="53"/>
        <v>1</v>
      </c>
      <c r="R211" s="68">
        <f t="shared" si="54"/>
        <v>6</v>
      </c>
      <c r="S211" s="68">
        <f t="shared" si="55"/>
        <v>1</v>
      </c>
      <c r="T211" s="65"/>
      <c r="U211" s="65"/>
      <c r="V211" s="49" t="str">
        <f t="shared" si="65"/>
        <v/>
      </c>
      <c r="W211" s="68">
        <f>IF(V211="",0,DATEDIF(V211,P211,"Y"))</f>
        <v>0</v>
      </c>
      <c r="X211" s="68">
        <f>IF(V211="",0,DATEDIF(V211,P211,"YM"))</f>
        <v>0</v>
      </c>
      <c r="Y211" s="68">
        <f>IF(V211="",0,DATEDIF(V211,P211,"MD"))</f>
        <v>0</v>
      </c>
      <c r="Z211" s="49"/>
      <c r="AA211" s="65"/>
      <c r="AB211" s="50" t="str">
        <f t="shared" si="66"/>
        <v/>
      </c>
      <c r="AC211" s="68">
        <f t="shared" si="67"/>
        <v>0</v>
      </c>
      <c r="AD211" s="68">
        <f t="shared" si="68"/>
        <v>0</v>
      </c>
      <c r="AE211" s="68">
        <f t="shared" si="69"/>
        <v>0</v>
      </c>
      <c r="AF211" s="50"/>
      <c r="AG211" s="50" t="s">
        <v>138</v>
      </c>
      <c r="AH211" s="49" t="str">
        <f>IF(AG211="นิติศาสตร์","K5-LAW","K5-POLICY")</f>
        <v>K5-LAW</v>
      </c>
      <c r="AI211" s="72" t="str">
        <f>_xlfn.IFS(B211="","",AND(AH211="K5-LAW",AG211="นิติศาสตร์",K211="S2",T211="",Z211=""),P211,AND(AH211="K5-LAW",AG211="นิติศาสตร์",K211="S1",T211="",Z211=""),EDATE(P211,12),AND(AH211="K5-LAW",AG211="นิติศาสตร์",OR(K211="M2",K211="K4"),T211="",Z211=""),EDATE(P211,12*2),AND(AH211="K5-LAW",AG211="นิติศาสตร์",OR(Z211="M2",Z211="K4"),AC211&gt;=2,OR(AB211&lt;V211,AB211&lt;P211)),EDATE(AB211,12*2),AND(AH211="K5-LAW",AG211="นิติศาสตร์",Z211="S1",AC211&gt;=1,OR(AB211&lt;V211,AB211&lt;P211)),EDATE(AB211,12),AND(AH211="K5-LAW",AG211="นิติศาสตร์",OR(T211="M2",T211="K4"),W211&gt;=2,V211&lt;P211),EDATE(V211,12*2),AND(AH211="K5-LAW",AG211="นิติศาสตร์",T211="S1",W211&gt;=1,V211&lt;P211),EDATE(V211,12),AND(AH211="K5-LAW",AG211="นิติศาสตร์",OR(T211="S2",T211="K5")),V211,AND(AH211="K5-LAW",AG211="นิติศาสตร์",OR(K211="M2",K211="K4"),Q211&gt;=2),EDATE(P211,12*2),AND(AH211="K5-LAW",AG211="นิติศาสตร์",K211="S1",Q211&gt;=1),EDATE(P211,12),AND(AH211="K5-LAW",AG211="นิติศาสตร์",OR(K211="S2",K211="K5")),P211,AND(AH211="K5-POLICY",AG211&lt;&gt;"นิติศาสตร์",K211="S2",T211="",Z211=""),P211,AND(AH211="K5-POLICY",AG211&lt;&gt;"นิติศาสตร์",K211="S1",T211="",Z211=""),EDATE(P211,12),AND(AH211="K5-POLICY",AG211&lt;&gt;"นิติศาสตร์",OR(K211="M2",K211="K4"),T211="",Z211=""),EDATE(P211,12*2),AND(AH211="K5-POLICY",AG211&lt;&gt;"นิติศาสตร์",OR(Z211="M2",Z211="K4"),AC211&gt;=2,OR(AB211&lt;V211,AB211&lt;P211)),EDATE(AB211,12*2),AND(AH211="K5-POLICY",AG211&lt;&gt;"นิติศาสตร์",Z211="S1",AC211&gt;=1,OR(AB211&lt;V211,AB211&lt;P211)),EDATE(AB211,12),AND(AH211="K5-POLICY",AG211&lt;&gt;"นิติศาสตร์",OR(T211="M2",T211="K4"),W211&gt;=2,V211&lt;P211),EDATE(V211,12*2),AND(AH211="K5-POLICY",AG211&lt;&gt;"นิติศาสตร์",T211="S1",W211&gt;=1,V211&lt;P211),EDATE(V211,12),AND(AH211="K5-POLICY",AG211&lt;&gt;"นิติศาสตร์",OR(T211="S2",T211="K5")),V211,AND(AH211="K5-POLICY",AG211&lt;&gt;"นิติศาสตร์",OR(K211="M2",K211="K4"),Q211&gt;=2),EDATE(P211,12*2),AND(AH211="K5-POLICY",AG211&lt;&gt;"นิติศาสตร์",K211="S1",Q211&gt;=1),EDATE(P211,12),AND(AH211="K5-POLICY",AG211&lt;&gt;"นิติศาสตร์",OR(K211="S2",K211="K5")),P211,TRUE,"Check Data")</f>
        <v/>
      </c>
      <c r="AJ211" s="75" t="str">
        <f t="shared" si="61"/>
        <v>Check Data</v>
      </c>
      <c r="AK211" s="76" t="str">
        <f t="shared" si="62"/>
        <v>Check Data</v>
      </c>
      <c r="AL211" s="50" t="str">
        <f t="shared" si="63"/>
        <v>Check Data</v>
      </c>
      <c r="AM211" s="49" t="str">
        <f>IF(B211="","",IF(K211="S1","S1",INDEX(#REF!,#REF!)))</f>
        <v/>
      </c>
      <c r="AN211" s="49" t="str">
        <f>K211</f>
        <v>M2</v>
      </c>
      <c r="AO211" s="50" t="b">
        <f>K211=AM211</f>
        <v>0</v>
      </c>
      <c r="AP211" s="50"/>
    </row>
    <row r="212" spans="1:42" ht="21.75">
      <c r="A212" s="49">
        <v>210</v>
      </c>
      <c r="B212" s="50"/>
      <c r="C212" s="50"/>
      <c r="D212" s="50" t="s">
        <v>142</v>
      </c>
      <c r="E212" s="49" t="s">
        <v>277</v>
      </c>
      <c r="F212" s="49" t="str">
        <f t="shared" si="64"/>
        <v>15/09/1997</v>
      </c>
      <c r="G212" s="50">
        <f t="shared" si="49"/>
        <v>27</v>
      </c>
      <c r="H212" s="50">
        <f t="shared" si="50"/>
        <v>9</v>
      </c>
      <c r="I212" s="50">
        <f t="shared" si="51"/>
        <v>5</v>
      </c>
      <c r="J212" s="58"/>
      <c r="K212" s="49" t="s">
        <v>136</v>
      </c>
      <c r="L212" s="64"/>
      <c r="M212" s="49">
        <v>0</v>
      </c>
      <c r="N212" s="49">
        <v>0</v>
      </c>
      <c r="O212" s="65" t="s">
        <v>257</v>
      </c>
      <c r="P212" s="49" t="str">
        <f t="shared" si="52"/>
        <v>19/12/2023</v>
      </c>
      <c r="Q212" s="68">
        <f t="shared" si="53"/>
        <v>1</v>
      </c>
      <c r="R212" s="68">
        <f t="shared" si="54"/>
        <v>6</v>
      </c>
      <c r="S212" s="68">
        <f t="shared" si="55"/>
        <v>1</v>
      </c>
      <c r="T212" s="65"/>
      <c r="U212" s="65"/>
      <c r="V212" s="49" t="str">
        <f t="shared" si="65"/>
        <v/>
      </c>
      <c r="W212" s="68">
        <f>IF(V212="",0,DATEDIF(V212,P212,"Y"))</f>
        <v>0</v>
      </c>
      <c r="X212" s="68">
        <f>IF(V212="",0,DATEDIF(V212,P212,"YM"))</f>
        <v>0</v>
      </c>
      <c r="Y212" s="68">
        <f>IF(V212="",0,DATEDIF(V212,P212,"MD"))</f>
        <v>0</v>
      </c>
      <c r="Z212" s="49"/>
      <c r="AA212" s="65"/>
      <c r="AB212" s="50" t="str">
        <f t="shared" si="66"/>
        <v/>
      </c>
      <c r="AC212" s="68">
        <f t="shared" si="67"/>
        <v>0</v>
      </c>
      <c r="AD212" s="68">
        <f t="shared" si="68"/>
        <v>0</v>
      </c>
      <c r="AE212" s="68">
        <f t="shared" si="69"/>
        <v>0</v>
      </c>
      <c r="AF212" s="50"/>
      <c r="AG212" s="50" t="s">
        <v>138</v>
      </c>
      <c r="AH212" s="49" t="str">
        <f>IF(AG212="นิติศาสตร์","K5-LAW","K5-POLICY")</f>
        <v>K5-LAW</v>
      </c>
      <c r="AI212" s="72" t="str">
        <f>_xlfn.IFS(B212="","",AND(AH212="K5-LAW",AG212="นิติศาสตร์",K212="S2",T212="",Z212=""),P212,AND(AH212="K5-LAW",AG212="นิติศาสตร์",K212="S1",T212="",Z212=""),EDATE(P212,12),AND(AH212="K5-LAW",AG212="นิติศาสตร์",OR(K212="M2",K212="K4"),T212="",Z212=""),EDATE(P212,12*2),AND(AH212="K5-LAW",AG212="นิติศาสตร์",OR(Z212="M2",Z212="K4"),AC212&gt;=2,OR(AB212&lt;V212,AB212&lt;P212)),EDATE(AB212,12*2),AND(AH212="K5-LAW",AG212="นิติศาสตร์",Z212="S1",AC212&gt;=1,OR(AB212&lt;V212,AB212&lt;P212)),EDATE(AB212,12),AND(AH212="K5-LAW",AG212="นิติศาสตร์",OR(T212="M2",T212="K4"),W212&gt;=2,V212&lt;P212),EDATE(V212,12*2),AND(AH212="K5-LAW",AG212="นิติศาสตร์",T212="S1",W212&gt;=1,V212&lt;P212),EDATE(V212,12),AND(AH212="K5-LAW",AG212="นิติศาสตร์",OR(T212="S2",T212="K5")),V212,AND(AH212="K5-LAW",AG212="นิติศาสตร์",OR(K212="M2",K212="K4"),Q212&gt;=2),EDATE(P212,12*2),AND(AH212="K5-LAW",AG212="นิติศาสตร์",K212="S1",Q212&gt;=1),EDATE(P212,12),AND(AH212="K5-LAW",AG212="นิติศาสตร์",OR(K212="S2",K212="K5")),P212,AND(AH212="K5-POLICY",AG212&lt;&gt;"นิติศาสตร์",K212="S2",T212="",Z212=""),P212,AND(AH212="K5-POLICY",AG212&lt;&gt;"นิติศาสตร์",K212="S1",T212="",Z212=""),EDATE(P212,12),AND(AH212="K5-POLICY",AG212&lt;&gt;"นิติศาสตร์",OR(K212="M2",K212="K4"),T212="",Z212=""),EDATE(P212,12*2),AND(AH212="K5-POLICY",AG212&lt;&gt;"นิติศาสตร์",OR(Z212="M2",Z212="K4"),AC212&gt;=2,OR(AB212&lt;V212,AB212&lt;P212)),EDATE(AB212,12*2),AND(AH212="K5-POLICY",AG212&lt;&gt;"นิติศาสตร์",Z212="S1",AC212&gt;=1,OR(AB212&lt;V212,AB212&lt;P212)),EDATE(AB212,12),AND(AH212="K5-POLICY",AG212&lt;&gt;"นิติศาสตร์",OR(T212="M2",T212="K4"),W212&gt;=2,V212&lt;P212),EDATE(V212,12*2),AND(AH212="K5-POLICY",AG212&lt;&gt;"นิติศาสตร์",T212="S1",W212&gt;=1,V212&lt;P212),EDATE(V212,12),AND(AH212="K5-POLICY",AG212&lt;&gt;"นิติศาสตร์",OR(T212="S2",T212="K5")),V212,AND(AH212="K5-POLICY",AG212&lt;&gt;"นิติศาสตร์",OR(K212="M2",K212="K4"),Q212&gt;=2),EDATE(P212,12*2),AND(AH212="K5-POLICY",AG212&lt;&gt;"นิติศาสตร์",K212="S1",Q212&gt;=1),EDATE(P212,12),AND(AH212="K5-POLICY",AG212&lt;&gt;"นิติศาสตร์",OR(K212="S2",K212="K5")),P212,TRUE,"Check Data")</f>
        <v/>
      </c>
      <c r="AJ212" s="75" t="str">
        <f t="shared" si="61"/>
        <v>Check Data</v>
      </c>
      <c r="AK212" s="76" t="str">
        <f t="shared" si="62"/>
        <v>Check Data</v>
      </c>
      <c r="AL212" s="50" t="str">
        <f t="shared" si="63"/>
        <v>Check Data</v>
      </c>
      <c r="AM212" s="49" t="str">
        <f>IF(B212="","",IF(K212="S1","S1",INDEX(#REF!,#REF!)))</f>
        <v/>
      </c>
      <c r="AN212" s="49" t="str">
        <f>K212</f>
        <v>M2</v>
      </c>
      <c r="AO212" s="50" t="b">
        <f>K212=AM212</f>
        <v>0</v>
      </c>
      <c r="AP212" s="50"/>
    </row>
    <row r="213" spans="1:42" ht="21.75">
      <c r="A213" s="49">
        <v>211</v>
      </c>
      <c r="B213" s="50"/>
      <c r="C213" s="50"/>
      <c r="D213" s="50" t="s">
        <v>141</v>
      </c>
      <c r="E213" s="49" t="s">
        <v>250</v>
      </c>
      <c r="F213" s="49" t="str">
        <f t="shared" si="64"/>
        <v>01/08/1995</v>
      </c>
      <c r="G213" s="50">
        <f t="shared" si="49"/>
        <v>29</v>
      </c>
      <c r="H213" s="50">
        <f t="shared" si="50"/>
        <v>10</v>
      </c>
      <c r="I213" s="50">
        <f t="shared" si="51"/>
        <v>19</v>
      </c>
      <c r="J213" s="60"/>
      <c r="K213" s="49" t="s">
        <v>136</v>
      </c>
      <c r="L213" s="64"/>
      <c r="M213" s="49" t="s">
        <v>426</v>
      </c>
      <c r="N213" s="49">
        <v>2574</v>
      </c>
      <c r="O213" s="65" t="s">
        <v>257</v>
      </c>
      <c r="P213" s="49" t="str">
        <f t="shared" si="52"/>
        <v>19/12/2023</v>
      </c>
      <c r="Q213" s="68">
        <f t="shared" si="53"/>
        <v>1</v>
      </c>
      <c r="R213" s="68">
        <f t="shared" si="54"/>
        <v>6</v>
      </c>
      <c r="S213" s="68">
        <f t="shared" si="55"/>
        <v>1</v>
      </c>
      <c r="T213" s="65"/>
      <c r="U213" s="65"/>
      <c r="V213" s="49" t="str">
        <f t="shared" si="65"/>
        <v/>
      </c>
      <c r="W213" s="68">
        <f>IF(V213="",0,DATEDIF(V213,P213,"Y"))</f>
        <v>0</v>
      </c>
      <c r="X213" s="68">
        <f>IF(V213="",0,DATEDIF(V213,P213,"YM"))</f>
        <v>0</v>
      </c>
      <c r="Y213" s="68">
        <f>IF(V213="",0,DATEDIF(V213,P213,"MD"))</f>
        <v>0</v>
      </c>
      <c r="Z213" s="49"/>
      <c r="AA213" s="65"/>
      <c r="AB213" s="50" t="str">
        <f t="shared" si="66"/>
        <v/>
      </c>
      <c r="AC213" s="68">
        <f t="shared" si="67"/>
        <v>0</v>
      </c>
      <c r="AD213" s="68">
        <f t="shared" si="68"/>
        <v>0</v>
      </c>
      <c r="AE213" s="68">
        <f t="shared" si="69"/>
        <v>0</v>
      </c>
      <c r="AF213" s="50"/>
      <c r="AG213" s="50" t="s">
        <v>138</v>
      </c>
      <c r="AH213" s="49" t="str">
        <f>IF(AG213="นิติศาสตร์","K5-LAW","K5-POLICY")</f>
        <v>K5-LAW</v>
      </c>
      <c r="AI213" s="72" t="str">
        <f>_xlfn.IFS(B213="","",AND(AH213="K5-LAW",AG213="นิติศาสตร์",K213="S2",T213="",Z213=""),P213,AND(AH213="K5-LAW",AG213="นิติศาสตร์",K213="S1",T213="",Z213=""),EDATE(P213,12),AND(AH213="K5-LAW",AG213="นิติศาสตร์",OR(K213="M2",K213="K4"),T213="",Z213=""),EDATE(P213,12*2),AND(AH213="K5-LAW",AG213="นิติศาสตร์",OR(Z213="M2",Z213="K4"),AC213&gt;=2,OR(AB213&lt;V213,AB213&lt;P213)),EDATE(AB213,12*2),AND(AH213="K5-LAW",AG213="นิติศาสตร์",Z213="S1",AC213&gt;=1,OR(AB213&lt;V213,AB213&lt;P213)),EDATE(AB213,12),AND(AH213="K5-LAW",AG213="นิติศาสตร์",OR(T213="M2",T213="K4"),W213&gt;=2,V213&lt;P213),EDATE(V213,12*2),AND(AH213="K5-LAW",AG213="นิติศาสตร์",T213="S1",W213&gt;=1,V213&lt;P213),EDATE(V213,12),AND(AH213="K5-LAW",AG213="นิติศาสตร์",OR(T213="S2",T213="K5")),V213,AND(AH213="K5-LAW",AG213="นิติศาสตร์",OR(K213="M2",K213="K4"),Q213&gt;=2),EDATE(P213,12*2),AND(AH213="K5-LAW",AG213="นิติศาสตร์",K213="S1",Q213&gt;=1),EDATE(P213,12),AND(AH213="K5-LAW",AG213="นิติศาสตร์",OR(K213="S2",K213="K5")),P213,AND(AH213="K5-POLICY",AG213&lt;&gt;"นิติศาสตร์",K213="S2",T213="",Z213=""),P213,AND(AH213="K5-POLICY",AG213&lt;&gt;"นิติศาสตร์",K213="S1",T213="",Z213=""),EDATE(P213,12),AND(AH213="K5-POLICY",AG213&lt;&gt;"นิติศาสตร์",OR(K213="M2",K213="K4"),T213="",Z213=""),EDATE(P213,12*2),AND(AH213="K5-POLICY",AG213&lt;&gt;"นิติศาสตร์",OR(Z213="M2",Z213="K4"),AC213&gt;=2,OR(AB213&lt;V213,AB213&lt;P213)),EDATE(AB213,12*2),AND(AH213="K5-POLICY",AG213&lt;&gt;"นิติศาสตร์",Z213="S1",AC213&gt;=1,OR(AB213&lt;V213,AB213&lt;P213)),EDATE(AB213,12),AND(AH213="K5-POLICY",AG213&lt;&gt;"นิติศาสตร์",OR(T213="M2",T213="K4"),W213&gt;=2,V213&lt;P213),EDATE(V213,12*2),AND(AH213="K5-POLICY",AG213&lt;&gt;"นิติศาสตร์",T213="S1",W213&gt;=1,V213&lt;P213),EDATE(V213,12),AND(AH213="K5-POLICY",AG213&lt;&gt;"นิติศาสตร์",OR(T213="S2",T213="K5")),V213,AND(AH213="K5-POLICY",AG213&lt;&gt;"นิติศาสตร์",OR(K213="M2",K213="K4"),Q213&gt;=2),EDATE(P213,12*2),AND(AH213="K5-POLICY",AG213&lt;&gt;"นิติศาสตร์",K213="S1",Q213&gt;=1),EDATE(P213,12),AND(AH213="K5-POLICY",AG213&lt;&gt;"นิติศาสตร์",OR(K213="S2",K213="K5")),P213,TRUE,"Check Data")</f>
        <v/>
      </c>
      <c r="AJ213" s="75" t="str">
        <f t="shared" si="61"/>
        <v>Check Data</v>
      </c>
      <c r="AK213" s="76" t="str">
        <f t="shared" si="62"/>
        <v>Check Data</v>
      </c>
      <c r="AL213" s="50" t="str">
        <f t="shared" si="63"/>
        <v>Check Data</v>
      </c>
      <c r="AM213" s="49" t="str">
        <f>IF(B213="","",IF(K213="S1","S1",INDEX(#REF!,#REF!)))</f>
        <v/>
      </c>
      <c r="AN213" s="49" t="str">
        <f>K213</f>
        <v>M2</v>
      </c>
      <c r="AO213" s="50" t="b">
        <f>K213=AM213</f>
        <v>0</v>
      </c>
      <c r="AP213" s="50"/>
    </row>
    <row r="214" spans="1:42" ht="21.75">
      <c r="A214" s="49">
        <v>212</v>
      </c>
      <c r="B214" s="50"/>
      <c r="C214" s="50"/>
      <c r="D214" s="50" t="s">
        <v>142</v>
      </c>
      <c r="E214" s="49" t="s">
        <v>281</v>
      </c>
      <c r="F214" s="49" t="str">
        <f t="shared" si="64"/>
        <v>03/05/1999</v>
      </c>
      <c r="G214" s="50">
        <f t="shared" si="49"/>
        <v>26</v>
      </c>
      <c r="H214" s="50">
        <f t="shared" si="50"/>
        <v>1</v>
      </c>
      <c r="I214" s="50">
        <f t="shared" si="51"/>
        <v>17</v>
      </c>
      <c r="J214" s="58"/>
      <c r="K214" s="49" t="s">
        <v>136</v>
      </c>
      <c r="L214" s="64"/>
      <c r="M214" s="49">
        <v>0</v>
      </c>
      <c r="N214" s="49">
        <v>0</v>
      </c>
      <c r="O214" s="65" t="s">
        <v>257</v>
      </c>
      <c r="P214" s="49" t="str">
        <f t="shared" si="52"/>
        <v>19/12/2023</v>
      </c>
      <c r="Q214" s="68">
        <f t="shared" si="53"/>
        <v>1</v>
      </c>
      <c r="R214" s="68">
        <f t="shared" si="54"/>
        <v>6</v>
      </c>
      <c r="S214" s="68">
        <f t="shared" si="55"/>
        <v>1</v>
      </c>
      <c r="T214" s="65"/>
      <c r="U214" s="65"/>
      <c r="V214" s="49" t="str">
        <f t="shared" si="65"/>
        <v/>
      </c>
      <c r="W214" s="68">
        <f>IF(V214="",0,DATEDIF(V214,P214,"Y"))</f>
        <v>0</v>
      </c>
      <c r="X214" s="68">
        <f>IF(V214="",0,DATEDIF(V214,P214,"YM"))</f>
        <v>0</v>
      </c>
      <c r="Y214" s="68">
        <f>IF(V214="",0,DATEDIF(V214,P214,"MD"))</f>
        <v>0</v>
      </c>
      <c r="Z214" s="49"/>
      <c r="AA214" s="65"/>
      <c r="AB214" s="50" t="str">
        <f t="shared" si="66"/>
        <v/>
      </c>
      <c r="AC214" s="68">
        <f t="shared" si="67"/>
        <v>0</v>
      </c>
      <c r="AD214" s="68">
        <f t="shared" si="68"/>
        <v>0</v>
      </c>
      <c r="AE214" s="68">
        <f t="shared" si="69"/>
        <v>0</v>
      </c>
      <c r="AF214" s="50"/>
      <c r="AG214" s="50" t="s">
        <v>178</v>
      </c>
      <c r="AH214" s="49" t="str">
        <f>IF(AG214="นิติศาสตร์","K5-LAW","K5-POLICY")</f>
        <v>K5-POLICY</v>
      </c>
      <c r="AI214" s="72" t="str">
        <f>_xlfn.IFS(B214="","",AND(AH214="K5-LAW",AG214="นิติศาสตร์",K214="S2",T214="",Z214=""),P214,AND(AH214="K5-LAW",AG214="นิติศาสตร์",K214="S1",T214="",Z214=""),EDATE(P214,12),AND(AH214="K5-LAW",AG214="นิติศาสตร์",OR(K214="M2",K214="K4"),T214="",Z214=""),EDATE(P214,12*2),AND(AH214="K5-LAW",AG214="นิติศาสตร์",OR(Z214="M2",Z214="K4"),AC214&gt;=2,OR(AB214&lt;V214,AB214&lt;P214)),EDATE(AB214,12*2),AND(AH214="K5-LAW",AG214="นิติศาสตร์",Z214="S1",AC214&gt;=1,OR(AB214&lt;V214,AB214&lt;P214)),EDATE(AB214,12),AND(AH214="K5-LAW",AG214="นิติศาสตร์",OR(T214="M2",T214="K4"),W214&gt;=2,V214&lt;P214),EDATE(V214,12*2),AND(AH214="K5-LAW",AG214="นิติศาสตร์",T214="S1",W214&gt;=1,V214&lt;P214),EDATE(V214,12),AND(AH214="K5-LAW",AG214="นิติศาสตร์",OR(T214="S2",T214="K5")),V214,AND(AH214="K5-LAW",AG214="นิติศาสตร์",OR(K214="M2",K214="K4"),Q214&gt;=2),EDATE(P214,12*2),AND(AH214="K5-LAW",AG214="นิติศาสตร์",K214="S1",Q214&gt;=1),EDATE(P214,12),AND(AH214="K5-LAW",AG214="นิติศาสตร์",OR(K214="S2",K214="K5")),P214,AND(AH214="K5-POLICY",AG214&lt;&gt;"นิติศาสตร์",K214="S2",T214="",Z214=""),P214,AND(AH214="K5-POLICY",AG214&lt;&gt;"นิติศาสตร์",K214="S1",T214="",Z214=""),EDATE(P214,12),AND(AH214="K5-POLICY",AG214&lt;&gt;"นิติศาสตร์",OR(K214="M2",K214="K4"),T214="",Z214=""),EDATE(P214,12*2),AND(AH214="K5-POLICY",AG214&lt;&gt;"นิติศาสตร์",OR(Z214="M2",Z214="K4"),AC214&gt;=2,OR(AB214&lt;V214,AB214&lt;P214)),EDATE(AB214,12*2),AND(AH214="K5-POLICY",AG214&lt;&gt;"นิติศาสตร์",Z214="S1",AC214&gt;=1,OR(AB214&lt;V214,AB214&lt;P214)),EDATE(AB214,12),AND(AH214="K5-POLICY",AG214&lt;&gt;"นิติศาสตร์",OR(T214="M2",T214="K4"),W214&gt;=2,V214&lt;P214),EDATE(V214,12*2),AND(AH214="K5-POLICY",AG214&lt;&gt;"นิติศาสตร์",T214="S1",W214&gt;=1,V214&lt;P214),EDATE(V214,12),AND(AH214="K5-POLICY",AG214&lt;&gt;"นิติศาสตร์",OR(T214="S2",T214="K5")),V214,AND(AH214="K5-POLICY",AG214&lt;&gt;"นิติศาสตร์",OR(K214="M2",K214="K4"),Q214&gt;=2),EDATE(P214,12*2),AND(AH214="K5-POLICY",AG214&lt;&gt;"นิติศาสตร์",K214="S1",Q214&gt;=1),EDATE(P214,12),AND(AH214="K5-POLICY",AG214&lt;&gt;"นิติศาสตร์",OR(K214="S2",K214="K5")),P214,TRUE,"Check Data")</f>
        <v/>
      </c>
      <c r="AJ214" s="75" t="str">
        <f t="shared" si="61"/>
        <v>Check Data</v>
      </c>
      <c r="AK214" s="76" t="str">
        <f t="shared" si="62"/>
        <v>Check Data</v>
      </c>
      <c r="AL214" s="50" t="str">
        <f t="shared" si="63"/>
        <v>Check Data</v>
      </c>
      <c r="AM214" s="49" t="str">
        <f>IF(B214="","",IF(K214="S1","S1",INDEX(#REF!,#REF!)))</f>
        <v/>
      </c>
      <c r="AN214" s="49" t="str">
        <f>K214</f>
        <v>M2</v>
      </c>
      <c r="AO214" s="50" t="b">
        <f>K214=AM214</f>
        <v>0</v>
      </c>
      <c r="AP214" s="50"/>
    </row>
    <row r="215" spans="1:42" ht="21.75">
      <c r="A215" s="49">
        <v>213</v>
      </c>
      <c r="B215" s="50"/>
      <c r="C215" s="50"/>
      <c r="D215" s="50" t="s">
        <v>141</v>
      </c>
      <c r="E215" s="49" t="s">
        <v>262</v>
      </c>
      <c r="F215" s="49" t="str">
        <f t="shared" si="64"/>
        <v>11/04/1996</v>
      </c>
      <c r="G215" s="50">
        <f t="shared" si="49"/>
        <v>29</v>
      </c>
      <c r="H215" s="50">
        <f t="shared" si="50"/>
        <v>2</v>
      </c>
      <c r="I215" s="50">
        <f t="shared" si="51"/>
        <v>9</v>
      </c>
      <c r="J215" s="60"/>
      <c r="K215" s="49" t="s">
        <v>136</v>
      </c>
      <c r="L215" s="64"/>
      <c r="M215" s="49" t="s">
        <v>426</v>
      </c>
      <c r="N215" s="49">
        <v>2571</v>
      </c>
      <c r="O215" s="65" t="s">
        <v>257</v>
      </c>
      <c r="P215" s="49" t="str">
        <f t="shared" si="52"/>
        <v>19/12/2023</v>
      </c>
      <c r="Q215" s="68">
        <f t="shared" si="53"/>
        <v>1</v>
      </c>
      <c r="R215" s="68">
        <f t="shared" si="54"/>
        <v>6</v>
      </c>
      <c r="S215" s="68">
        <f t="shared" si="55"/>
        <v>1</v>
      </c>
      <c r="T215" s="65"/>
      <c r="U215" s="65"/>
      <c r="V215" s="49" t="str">
        <f t="shared" si="65"/>
        <v/>
      </c>
      <c r="W215" s="68">
        <f>IF(V215="",0,DATEDIF(V215,P215,"Y"))</f>
        <v>0</v>
      </c>
      <c r="X215" s="68">
        <f>IF(V215="",0,DATEDIF(V215,P215,"YM"))</f>
        <v>0</v>
      </c>
      <c r="Y215" s="68">
        <f>IF(V215="",0,DATEDIF(V215,P215,"MD"))</f>
        <v>0</v>
      </c>
      <c r="Z215" s="49"/>
      <c r="AA215" s="65"/>
      <c r="AB215" s="50" t="str">
        <f t="shared" si="66"/>
        <v/>
      </c>
      <c r="AC215" s="68">
        <f t="shared" si="67"/>
        <v>0</v>
      </c>
      <c r="AD215" s="68">
        <f t="shared" si="68"/>
        <v>0</v>
      </c>
      <c r="AE215" s="68">
        <f t="shared" si="69"/>
        <v>0</v>
      </c>
      <c r="AF215" s="50"/>
      <c r="AG215" s="50" t="s">
        <v>138</v>
      </c>
      <c r="AH215" s="49" t="str">
        <f>IF(AG215="นิติศาสตร์","K5-LAW","K5-POLICY")</f>
        <v>K5-LAW</v>
      </c>
      <c r="AI215" s="72" t="str">
        <f>_xlfn.IFS(B215="","",AND(AH215="K5-LAW",AG215="นิติศาสตร์",K215="S2",T215="",Z215=""),P215,AND(AH215="K5-LAW",AG215="นิติศาสตร์",K215="S1",T215="",Z215=""),EDATE(P215,12),AND(AH215="K5-LAW",AG215="นิติศาสตร์",OR(K215="M2",K215="K4"),T215="",Z215=""),EDATE(P215,12*2),AND(AH215="K5-LAW",AG215="นิติศาสตร์",OR(Z215="M2",Z215="K4"),AC215&gt;=2,OR(AB215&lt;V215,AB215&lt;P215)),EDATE(AB215,12*2),AND(AH215="K5-LAW",AG215="นิติศาสตร์",Z215="S1",AC215&gt;=1,OR(AB215&lt;V215,AB215&lt;P215)),EDATE(AB215,12),AND(AH215="K5-LAW",AG215="นิติศาสตร์",OR(T215="M2",T215="K4"),W215&gt;=2,V215&lt;P215),EDATE(V215,12*2),AND(AH215="K5-LAW",AG215="นิติศาสตร์",T215="S1",W215&gt;=1,V215&lt;P215),EDATE(V215,12),AND(AH215="K5-LAW",AG215="นิติศาสตร์",OR(T215="S2",T215="K5")),V215,AND(AH215="K5-LAW",AG215="นิติศาสตร์",OR(K215="M2",K215="K4"),Q215&gt;=2),EDATE(P215,12*2),AND(AH215="K5-LAW",AG215="นิติศาสตร์",K215="S1",Q215&gt;=1),EDATE(P215,12),AND(AH215="K5-LAW",AG215="นิติศาสตร์",OR(K215="S2",K215="K5")),P215,AND(AH215="K5-POLICY",AG215&lt;&gt;"นิติศาสตร์",K215="S2",T215="",Z215=""),P215,AND(AH215="K5-POLICY",AG215&lt;&gt;"นิติศาสตร์",K215="S1",T215="",Z215=""),EDATE(P215,12),AND(AH215="K5-POLICY",AG215&lt;&gt;"นิติศาสตร์",OR(K215="M2",K215="K4"),T215="",Z215=""),EDATE(P215,12*2),AND(AH215="K5-POLICY",AG215&lt;&gt;"นิติศาสตร์",OR(Z215="M2",Z215="K4"),AC215&gt;=2,OR(AB215&lt;V215,AB215&lt;P215)),EDATE(AB215,12*2),AND(AH215="K5-POLICY",AG215&lt;&gt;"นิติศาสตร์",Z215="S1",AC215&gt;=1,OR(AB215&lt;V215,AB215&lt;P215)),EDATE(AB215,12),AND(AH215="K5-POLICY",AG215&lt;&gt;"นิติศาสตร์",OR(T215="M2",T215="K4"),W215&gt;=2,V215&lt;P215),EDATE(V215,12*2),AND(AH215="K5-POLICY",AG215&lt;&gt;"นิติศาสตร์",T215="S1",W215&gt;=1,V215&lt;P215),EDATE(V215,12),AND(AH215="K5-POLICY",AG215&lt;&gt;"นิติศาสตร์",OR(T215="S2",T215="K5")),V215,AND(AH215="K5-POLICY",AG215&lt;&gt;"นิติศาสตร์",OR(K215="M2",K215="K4"),Q215&gt;=2),EDATE(P215,12*2),AND(AH215="K5-POLICY",AG215&lt;&gt;"นิติศาสตร์",K215="S1",Q215&gt;=1),EDATE(P215,12),AND(AH215="K5-POLICY",AG215&lt;&gt;"นิติศาสตร์",OR(K215="S2",K215="K5")),P215,TRUE,"Check Data")</f>
        <v/>
      </c>
      <c r="AJ215" s="75" t="str">
        <f t="shared" si="61"/>
        <v>Check Data</v>
      </c>
      <c r="AK215" s="76" t="str">
        <f t="shared" si="62"/>
        <v>Check Data</v>
      </c>
      <c r="AL215" s="50" t="str">
        <f t="shared" si="63"/>
        <v>Check Data</v>
      </c>
      <c r="AM215" s="49" t="str">
        <f>IF(B215="","",IF(K215="S1","S1",INDEX(#REF!,#REF!)))</f>
        <v/>
      </c>
      <c r="AN215" s="49" t="str">
        <f>K215</f>
        <v>M2</v>
      </c>
      <c r="AO215" s="50" t="b">
        <f>K215=AM215</f>
        <v>0</v>
      </c>
      <c r="AP215" s="50"/>
    </row>
    <row r="216" spans="1:42" ht="21.75">
      <c r="A216" s="49">
        <v>214</v>
      </c>
      <c r="B216" s="50"/>
      <c r="C216" s="50"/>
      <c r="D216" s="50" t="s">
        <v>141</v>
      </c>
      <c r="E216" s="49" t="s">
        <v>261</v>
      </c>
      <c r="F216" s="49" t="str">
        <f t="shared" si="64"/>
        <v>03/04/1996</v>
      </c>
      <c r="G216" s="50">
        <f t="shared" si="49"/>
        <v>29</v>
      </c>
      <c r="H216" s="50">
        <f t="shared" si="50"/>
        <v>2</v>
      </c>
      <c r="I216" s="50">
        <f t="shared" si="51"/>
        <v>17</v>
      </c>
      <c r="J216" s="60"/>
      <c r="K216" s="49" t="s">
        <v>136</v>
      </c>
      <c r="L216" s="64"/>
      <c r="M216" s="49" t="s">
        <v>426</v>
      </c>
      <c r="N216" s="49">
        <v>2574</v>
      </c>
      <c r="O216" s="65" t="s">
        <v>257</v>
      </c>
      <c r="P216" s="49" t="str">
        <f t="shared" si="52"/>
        <v>19/12/2023</v>
      </c>
      <c r="Q216" s="68">
        <f t="shared" si="53"/>
        <v>1</v>
      </c>
      <c r="R216" s="68">
        <f t="shared" si="54"/>
        <v>6</v>
      </c>
      <c r="S216" s="68">
        <f t="shared" si="55"/>
        <v>1</v>
      </c>
      <c r="T216" s="65"/>
      <c r="U216" s="65"/>
      <c r="V216" s="49" t="str">
        <f t="shared" si="65"/>
        <v/>
      </c>
      <c r="W216" s="68">
        <f>IF(V216="",0,DATEDIF(V216,P216,"Y"))</f>
        <v>0</v>
      </c>
      <c r="X216" s="68">
        <f>IF(V216="",0,DATEDIF(V216,P216,"YM"))</f>
        <v>0</v>
      </c>
      <c r="Y216" s="68">
        <f>IF(V216="",0,DATEDIF(V216,P216,"MD"))</f>
        <v>0</v>
      </c>
      <c r="Z216" s="49"/>
      <c r="AA216" s="65"/>
      <c r="AB216" s="50" t="str">
        <f t="shared" si="66"/>
        <v/>
      </c>
      <c r="AC216" s="68">
        <f t="shared" si="67"/>
        <v>0</v>
      </c>
      <c r="AD216" s="68">
        <f t="shared" si="68"/>
        <v>0</v>
      </c>
      <c r="AE216" s="68">
        <f t="shared" si="69"/>
        <v>0</v>
      </c>
      <c r="AF216" s="50"/>
      <c r="AG216" s="50" t="s">
        <v>138</v>
      </c>
      <c r="AH216" s="49" t="str">
        <f>IF(AG216="นิติศาสตร์","K5-LAW","K5-POLICY")</f>
        <v>K5-LAW</v>
      </c>
      <c r="AI216" s="72" t="str">
        <f>_xlfn.IFS(B216="","",AND(AH216="K5-LAW",AG216="นิติศาสตร์",K216="S2",T216="",Z216=""),P216,AND(AH216="K5-LAW",AG216="นิติศาสตร์",K216="S1",T216="",Z216=""),EDATE(P216,12),AND(AH216="K5-LAW",AG216="นิติศาสตร์",OR(K216="M2",K216="K4"),T216="",Z216=""),EDATE(P216,12*2),AND(AH216="K5-LAW",AG216="นิติศาสตร์",OR(Z216="M2",Z216="K4"),AC216&gt;=2,OR(AB216&lt;V216,AB216&lt;P216)),EDATE(AB216,12*2),AND(AH216="K5-LAW",AG216="นิติศาสตร์",Z216="S1",AC216&gt;=1,OR(AB216&lt;V216,AB216&lt;P216)),EDATE(AB216,12),AND(AH216="K5-LAW",AG216="นิติศาสตร์",OR(T216="M2",T216="K4"),W216&gt;=2,V216&lt;P216),EDATE(V216,12*2),AND(AH216="K5-LAW",AG216="นิติศาสตร์",T216="S1",W216&gt;=1,V216&lt;P216),EDATE(V216,12),AND(AH216="K5-LAW",AG216="นิติศาสตร์",OR(T216="S2",T216="K5")),V216,AND(AH216="K5-LAW",AG216="นิติศาสตร์",OR(K216="M2",K216="K4"),Q216&gt;=2),EDATE(P216,12*2),AND(AH216="K5-LAW",AG216="นิติศาสตร์",K216="S1",Q216&gt;=1),EDATE(P216,12),AND(AH216="K5-LAW",AG216="นิติศาสตร์",OR(K216="S2",K216="K5")),P216,AND(AH216="K5-POLICY",AG216&lt;&gt;"นิติศาสตร์",K216="S2",T216="",Z216=""),P216,AND(AH216="K5-POLICY",AG216&lt;&gt;"นิติศาสตร์",K216="S1",T216="",Z216=""),EDATE(P216,12),AND(AH216="K5-POLICY",AG216&lt;&gt;"นิติศาสตร์",OR(K216="M2",K216="K4"),T216="",Z216=""),EDATE(P216,12*2),AND(AH216="K5-POLICY",AG216&lt;&gt;"นิติศาสตร์",OR(Z216="M2",Z216="K4"),AC216&gt;=2,OR(AB216&lt;V216,AB216&lt;P216)),EDATE(AB216,12*2),AND(AH216="K5-POLICY",AG216&lt;&gt;"นิติศาสตร์",Z216="S1",AC216&gt;=1,OR(AB216&lt;V216,AB216&lt;P216)),EDATE(AB216,12),AND(AH216="K5-POLICY",AG216&lt;&gt;"นิติศาสตร์",OR(T216="M2",T216="K4"),W216&gt;=2,V216&lt;P216),EDATE(V216,12*2),AND(AH216="K5-POLICY",AG216&lt;&gt;"นิติศาสตร์",T216="S1",W216&gt;=1,V216&lt;P216),EDATE(V216,12),AND(AH216="K5-POLICY",AG216&lt;&gt;"นิติศาสตร์",OR(T216="S2",T216="K5")),V216,AND(AH216="K5-POLICY",AG216&lt;&gt;"นิติศาสตร์",OR(K216="M2",K216="K4"),Q216&gt;=2),EDATE(P216,12*2),AND(AH216="K5-POLICY",AG216&lt;&gt;"นิติศาสตร์",K216="S1",Q216&gt;=1),EDATE(P216,12),AND(AH216="K5-POLICY",AG216&lt;&gt;"นิติศาสตร์",OR(K216="S2",K216="K5")),P216,TRUE,"Check Data")</f>
        <v/>
      </c>
      <c r="AJ216" s="75" t="str">
        <f t="shared" si="61"/>
        <v>Check Data</v>
      </c>
      <c r="AK216" s="76" t="str">
        <f t="shared" si="62"/>
        <v>Check Data</v>
      </c>
      <c r="AL216" s="50" t="str">
        <f t="shared" si="63"/>
        <v>Check Data</v>
      </c>
      <c r="AM216" s="49" t="str">
        <f>IF(B216="","",IF(K216="S1","S1",INDEX(#REF!,#REF!)))</f>
        <v/>
      </c>
      <c r="AN216" s="49" t="str">
        <f>K216</f>
        <v>M2</v>
      </c>
      <c r="AO216" s="50" t="b">
        <f>K216=AM216</f>
        <v>0</v>
      </c>
      <c r="AP216" s="50"/>
    </row>
    <row r="217" spans="1:42" ht="21.75">
      <c r="A217" s="49">
        <v>215</v>
      </c>
      <c r="B217" s="50"/>
      <c r="C217" s="50"/>
      <c r="D217" s="50" t="s">
        <v>141</v>
      </c>
      <c r="E217" s="49" t="s">
        <v>263</v>
      </c>
      <c r="F217" s="49" t="str">
        <f t="shared" si="64"/>
        <v>01/02/1995</v>
      </c>
      <c r="G217" s="50">
        <f t="shared" si="49"/>
        <v>30</v>
      </c>
      <c r="H217" s="50">
        <f t="shared" si="50"/>
        <v>4</v>
      </c>
      <c r="I217" s="50">
        <f t="shared" si="51"/>
        <v>19</v>
      </c>
      <c r="J217" s="60"/>
      <c r="K217" s="49" t="s">
        <v>136</v>
      </c>
      <c r="L217" s="64"/>
      <c r="M217" s="49" t="s">
        <v>426</v>
      </c>
      <c r="N217" s="49">
        <v>2569</v>
      </c>
      <c r="O217" s="65" t="s">
        <v>257</v>
      </c>
      <c r="P217" s="49" t="str">
        <f t="shared" si="52"/>
        <v>19/12/2023</v>
      </c>
      <c r="Q217" s="68">
        <f t="shared" si="53"/>
        <v>1</v>
      </c>
      <c r="R217" s="68">
        <f t="shared" si="54"/>
        <v>6</v>
      </c>
      <c r="S217" s="68">
        <f t="shared" si="55"/>
        <v>1</v>
      </c>
      <c r="T217" s="65"/>
      <c r="U217" s="65"/>
      <c r="V217" s="49" t="str">
        <f t="shared" si="65"/>
        <v/>
      </c>
      <c r="W217" s="68">
        <f>IF(V217="",0,DATEDIF(V217,P217,"Y"))</f>
        <v>0</v>
      </c>
      <c r="X217" s="68">
        <f>IF(V217="",0,DATEDIF(V217,P217,"YM"))</f>
        <v>0</v>
      </c>
      <c r="Y217" s="68">
        <f>IF(V217="",0,DATEDIF(V217,P217,"MD"))</f>
        <v>0</v>
      </c>
      <c r="Z217" s="49"/>
      <c r="AA217" s="65"/>
      <c r="AB217" s="50" t="str">
        <f t="shared" si="66"/>
        <v/>
      </c>
      <c r="AC217" s="68">
        <f t="shared" si="67"/>
        <v>0</v>
      </c>
      <c r="AD217" s="68">
        <f t="shared" si="68"/>
        <v>0</v>
      </c>
      <c r="AE217" s="68">
        <f t="shared" si="69"/>
        <v>0</v>
      </c>
      <c r="AF217" s="50"/>
      <c r="AG217" s="50" t="s">
        <v>138</v>
      </c>
      <c r="AH217" s="49" t="str">
        <f>IF(AG217="นิติศาสตร์","K5-LAW","K5-POLICY")</f>
        <v>K5-LAW</v>
      </c>
      <c r="AI217" s="72" t="str">
        <f>_xlfn.IFS(B217="","",AND(AH217="K5-LAW",AG217="นิติศาสตร์",K217="S2",T217="",Z217=""),P217,AND(AH217="K5-LAW",AG217="นิติศาสตร์",K217="S1",T217="",Z217=""),EDATE(P217,12),AND(AH217="K5-LAW",AG217="นิติศาสตร์",OR(K217="M2",K217="K4"),T217="",Z217=""),EDATE(P217,12*2),AND(AH217="K5-LAW",AG217="นิติศาสตร์",OR(Z217="M2",Z217="K4"),AC217&gt;=2,OR(AB217&lt;V217,AB217&lt;P217)),EDATE(AB217,12*2),AND(AH217="K5-LAW",AG217="นิติศาสตร์",Z217="S1",AC217&gt;=1,OR(AB217&lt;V217,AB217&lt;P217)),EDATE(AB217,12),AND(AH217="K5-LAW",AG217="นิติศาสตร์",OR(T217="M2",T217="K4"),W217&gt;=2,V217&lt;P217),EDATE(V217,12*2),AND(AH217="K5-LAW",AG217="นิติศาสตร์",T217="S1",W217&gt;=1,V217&lt;P217),EDATE(V217,12),AND(AH217="K5-LAW",AG217="นิติศาสตร์",OR(T217="S2",T217="K5")),V217,AND(AH217="K5-LAW",AG217="นิติศาสตร์",OR(K217="M2",K217="K4"),Q217&gt;=2),EDATE(P217,12*2),AND(AH217="K5-LAW",AG217="นิติศาสตร์",K217="S1",Q217&gt;=1),EDATE(P217,12),AND(AH217="K5-LAW",AG217="นิติศาสตร์",OR(K217="S2",K217="K5")),P217,AND(AH217="K5-POLICY",AG217&lt;&gt;"นิติศาสตร์",K217="S2",T217="",Z217=""),P217,AND(AH217="K5-POLICY",AG217&lt;&gt;"นิติศาสตร์",K217="S1",T217="",Z217=""),EDATE(P217,12),AND(AH217="K5-POLICY",AG217&lt;&gt;"นิติศาสตร์",OR(K217="M2",K217="K4"),T217="",Z217=""),EDATE(P217,12*2),AND(AH217="K5-POLICY",AG217&lt;&gt;"นิติศาสตร์",OR(Z217="M2",Z217="K4"),AC217&gt;=2,OR(AB217&lt;V217,AB217&lt;P217)),EDATE(AB217,12*2),AND(AH217="K5-POLICY",AG217&lt;&gt;"นิติศาสตร์",Z217="S1",AC217&gt;=1,OR(AB217&lt;V217,AB217&lt;P217)),EDATE(AB217,12),AND(AH217="K5-POLICY",AG217&lt;&gt;"นิติศาสตร์",OR(T217="M2",T217="K4"),W217&gt;=2,V217&lt;P217),EDATE(V217,12*2),AND(AH217="K5-POLICY",AG217&lt;&gt;"นิติศาสตร์",T217="S1",W217&gt;=1,V217&lt;P217),EDATE(V217,12),AND(AH217="K5-POLICY",AG217&lt;&gt;"นิติศาสตร์",OR(T217="S2",T217="K5")),V217,AND(AH217="K5-POLICY",AG217&lt;&gt;"นิติศาสตร์",OR(K217="M2",K217="K4"),Q217&gt;=2),EDATE(P217,12*2),AND(AH217="K5-POLICY",AG217&lt;&gt;"นิติศาสตร์",K217="S1",Q217&gt;=1),EDATE(P217,12),AND(AH217="K5-POLICY",AG217&lt;&gt;"นิติศาสตร์",OR(K217="S2",K217="K5")),P217,TRUE,"Check Data")</f>
        <v/>
      </c>
      <c r="AJ217" s="75" t="str">
        <f t="shared" si="61"/>
        <v>Check Data</v>
      </c>
      <c r="AK217" s="76" t="str">
        <f t="shared" si="62"/>
        <v>Check Data</v>
      </c>
      <c r="AL217" s="50" t="str">
        <f t="shared" si="63"/>
        <v>Check Data</v>
      </c>
      <c r="AM217" s="49" t="str">
        <f>IF(B217="","",IF(K217="S1","S1",INDEX(#REF!,#REF!)))</f>
        <v/>
      </c>
      <c r="AN217" s="49" t="str">
        <f>K217</f>
        <v>M2</v>
      </c>
      <c r="AO217" s="50" t="b">
        <f>K217=AM217</f>
        <v>0</v>
      </c>
      <c r="AP217" s="50"/>
    </row>
    <row r="218" spans="1:42" ht="21.75">
      <c r="A218" s="49">
        <v>216</v>
      </c>
      <c r="B218" s="50"/>
      <c r="C218" s="50"/>
      <c r="D218" s="50" t="s">
        <v>141</v>
      </c>
      <c r="E218" s="49" t="s">
        <v>258</v>
      </c>
      <c r="F218" s="49" t="str">
        <f t="shared" si="64"/>
        <v>02/10/1989</v>
      </c>
      <c r="G218" s="50">
        <f t="shared" si="49"/>
        <v>35</v>
      </c>
      <c r="H218" s="50">
        <f t="shared" si="50"/>
        <v>8</v>
      </c>
      <c r="I218" s="50">
        <f t="shared" si="51"/>
        <v>18</v>
      </c>
      <c r="J218" s="60"/>
      <c r="K218" s="49" t="s">
        <v>136</v>
      </c>
      <c r="L218" s="64"/>
      <c r="M218" s="49" t="s">
        <v>426</v>
      </c>
      <c r="N218" s="49">
        <v>2572</v>
      </c>
      <c r="O218" s="65" t="s">
        <v>257</v>
      </c>
      <c r="P218" s="49" t="str">
        <f t="shared" si="52"/>
        <v>19/12/2023</v>
      </c>
      <c r="Q218" s="68">
        <f t="shared" si="53"/>
        <v>1</v>
      </c>
      <c r="R218" s="68">
        <f t="shared" si="54"/>
        <v>6</v>
      </c>
      <c r="S218" s="68">
        <f t="shared" si="55"/>
        <v>1</v>
      </c>
      <c r="T218" s="65"/>
      <c r="U218" s="65"/>
      <c r="V218" s="49" t="str">
        <f t="shared" si="65"/>
        <v/>
      </c>
      <c r="W218" s="68">
        <f>IF(V218="",0,DATEDIF(V218,P218,"Y"))</f>
        <v>0</v>
      </c>
      <c r="X218" s="68">
        <f>IF(V218="",0,DATEDIF(V218,P218,"YM"))</f>
        <v>0</v>
      </c>
      <c r="Y218" s="68">
        <f>IF(V218="",0,DATEDIF(V218,P218,"MD"))</f>
        <v>0</v>
      </c>
      <c r="Z218" s="49"/>
      <c r="AA218" s="65"/>
      <c r="AB218" s="50" t="str">
        <f t="shared" si="66"/>
        <v/>
      </c>
      <c r="AC218" s="68">
        <f t="shared" si="67"/>
        <v>0</v>
      </c>
      <c r="AD218" s="68">
        <f t="shared" si="68"/>
        <v>0</v>
      </c>
      <c r="AE218" s="68">
        <f t="shared" si="69"/>
        <v>0</v>
      </c>
      <c r="AF218" s="50"/>
      <c r="AG218" s="50" t="s">
        <v>138</v>
      </c>
      <c r="AH218" s="49" t="str">
        <f>IF(AG218="นิติศาสตร์","K5-LAW","K5-POLICY")</f>
        <v>K5-LAW</v>
      </c>
      <c r="AI218" s="72" t="str">
        <f>_xlfn.IFS(B218="","",AND(AH218="K5-LAW",AG218="นิติศาสตร์",K218="S2",T218="",Z218=""),P218,AND(AH218="K5-LAW",AG218="นิติศาสตร์",K218="S1",T218="",Z218=""),EDATE(P218,12),AND(AH218="K5-LAW",AG218="นิติศาสตร์",OR(K218="M2",K218="K4"),T218="",Z218=""),EDATE(P218,12*2),AND(AH218="K5-LAW",AG218="นิติศาสตร์",OR(Z218="M2",Z218="K4"),AC218&gt;=2,OR(AB218&lt;V218,AB218&lt;P218)),EDATE(AB218,12*2),AND(AH218="K5-LAW",AG218="นิติศาสตร์",Z218="S1",AC218&gt;=1,OR(AB218&lt;V218,AB218&lt;P218)),EDATE(AB218,12),AND(AH218="K5-LAW",AG218="นิติศาสตร์",OR(T218="M2",T218="K4"),W218&gt;=2,V218&lt;P218),EDATE(V218,12*2),AND(AH218="K5-LAW",AG218="นิติศาสตร์",T218="S1",W218&gt;=1,V218&lt;P218),EDATE(V218,12),AND(AH218="K5-LAW",AG218="นิติศาสตร์",OR(T218="S2",T218="K5")),V218,AND(AH218="K5-LAW",AG218="นิติศาสตร์",OR(K218="M2",K218="K4"),Q218&gt;=2),EDATE(P218,12*2),AND(AH218="K5-LAW",AG218="นิติศาสตร์",K218="S1",Q218&gt;=1),EDATE(P218,12),AND(AH218="K5-LAW",AG218="นิติศาสตร์",OR(K218="S2",K218="K5")),P218,AND(AH218="K5-POLICY",AG218&lt;&gt;"นิติศาสตร์",K218="S2",T218="",Z218=""),P218,AND(AH218="K5-POLICY",AG218&lt;&gt;"นิติศาสตร์",K218="S1",T218="",Z218=""),EDATE(P218,12),AND(AH218="K5-POLICY",AG218&lt;&gt;"นิติศาสตร์",OR(K218="M2",K218="K4"),T218="",Z218=""),EDATE(P218,12*2),AND(AH218="K5-POLICY",AG218&lt;&gt;"นิติศาสตร์",OR(Z218="M2",Z218="K4"),AC218&gt;=2,OR(AB218&lt;V218,AB218&lt;P218)),EDATE(AB218,12*2),AND(AH218="K5-POLICY",AG218&lt;&gt;"นิติศาสตร์",Z218="S1",AC218&gt;=1,OR(AB218&lt;V218,AB218&lt;P218)),EDATE(AB218,12),AND(AH218="K5-POLICY",AG218&lt;&gt;"นิติศาสตร์",OR(T218="M2",T218="K4"),W218&gt;=2,V218&lt;P218),EDATE(V218,12*2),AND(AH218="K5-POLICY",AG218&lt;&gt;"นิติศาสตร์",T218="S1",W218&gt;=1,V218&lt;P218),EDATE(V218,12),AND(AH218="K5-POLICY",AG218&lt;&gt;"นิติศาสตร์",OR(T218="S2",T218="K5")),V218,AND(AH218="K5-POLICY",AG218&lt;&gt;"นิติศาสตร์",OR(K218="M2",K218="K4"),Q218&gt;=2),EDATE(P218,12*2),AND(AH218="K5-POLICY",AG218&lt;&gt;"นิติศาสตร์",K218="S1",Q218&gt;=1),EDATE(P218,12),AND(AH218="K5-POLICY",AG218&lt;&gt;"นิติศาสตร์",OR(K218="S2",K218="K5")),P218,TRUE,"Check Data")</f>
        <v/>
      </c>
      <c r="AJ218" s="75" t="str">
        <f t="shared" si="61"/>
        <v>Check Data</v>
      </c>
      <c r="AK218" s="76" t="str">
        <f t="shared" si="62"/>
        <v>Check Data</v>
      </c>
      <c r="AL218" s="50" t="str">
        <f t="shared" si="63"/>
        <v>Check Data</v>
      </c>
      <c r="AM218" s="49" t="str">
        <f>IF(B218="","",IF(K218="S1","S1",INDEX(#REF!,#REF!)))</f>
        <v/>
      </c>
      <c r="AN218" s="49" t="str">
        <f>K218</f>
        <v>M2</v>
      </c>
      <c r="AO218" s="50" t="b">
        <f>K218=AM218</f>
        <v>0</v>
      </c>
      <c r="AP218" s="50"/>
    </row>
    <row r="219" spans="1:42" ht="21.75">
      <c r="A219" s="49">
        <v>217</v>
      </c>
      <c r="B219" s="50"/>
      <c r="C219" s="50"/>
      <c r="D219" s="50" t="s">
        <v>142</v>
      </c>
      <c r="E219" s="49" t="s">
        <v>274</v>
      </c>
      <c r="F219" s="49" t="str">
        <f t="shared" si="64"/>
        <v>10/09/2001</v>
      </c>
      <c r="G219" s="50">
        <f t="shared" si="49"/>
        <v>23</v>
      </c>
      <c r="H219" s="50">
        <f t="shared" si="50"/>
        <v>9</v>
      </c>
      <c r="I219" s="50">
        <f t="shared" si="51"/>
        <v>10</v>
      </c>
      <c r="J219" s="58"/>
      <c r="K219" s="49" t="s">
        <v>136</v>
      </c>
      <c r="L219" s="64"/>
      <c r="M219" s="49">
        <v>0</v>
      </c>
      <c r="N219" s="49">
        <v>0</v>
      </c>
      <c r="O219" s="65" t="s">
        <v>257</v>
      </c>
      <c r="P219" s="49" t="str">
        <f t="shared" si="52"/>
        <v>19/12/2023</v>
      </c>
      <c r="Q219" s="68">
        <f t="shared" si="53"/>
        <v>1</v>
      </c>
      <c r="R219" s="68">
        <f t="shared" si="54"/>
        <v>6</v>
      </c>
      <c r="S219" s="68">
        <f t="shared" si="55"/>
        <v>1</v>
      </c>
      <c r="T219" s="65"/>
      <c r="U219" s="65"/>
      <c r="V219" s="49" t="str">
        <f t="shared" si="65"/>
        <v/>
      </c>
      <c r="W219" s="68">
        <f>IF(V219="",0,DATEDIF(V219,P219,"Y"))</f>
        <v>0</v>
      </c>
      <c r="X219" s="68">
        <f>IF(V219="",0,DATEDIF(V219,P219,"YM"))</f>
        <v>0</v>
      </c>
      <c r="Y219" s="68">
        <f>IF(V219="",0,DATEDIF(V219,P219,"MD"))</f>
        <v>0</v>
      </c>
      <c r="Z219" s="49"/>
      <c r="AA219" s="65"/>
      <c r="AB219" s="50" t="str">
        <f t="shared" si="66"/>
        <v/>
      </c>
      <c r="AC219" s="68">
        <f t="shared" si="67"/>
        <v>0</v>
      </c>
      <c r="AD219" s="68">
        <f t="shared" si="68"/>
        <v>0</v>
      </c>
      <c r="AE219" s="68">
        <f t="shared" si="69"/>
        <v>0</v>
      </c>
      <c r="AF219" s="50"/>
      <c r="AG219" s="50" t="s">
        <v>138</v>
      </c>
      <c r="AH219" s="49" t="str">
        <f>IF(AG219="นิติศาสตร์","K5-LAW","K5-POLICY")</f>
        <v>K5-LAW</v>
      </c>
      <c r="AI219" s="72" t="str">
        <f>_xlfn.IFS(B219="","",AND(AH219="K5-LAW",AG219="นิติศาสตร์",K219="S2",T219="",Z219=""),P219,AND(AH219="K5-LAW",AG219="นิติศาสตร์",K219="S1",T219="",Z219=""),EDATE(P219,12),AND(AH219="K5-LAW",AG219="นิติศาสตร์",OR(K219="M2",K219="K4"),T219="",Z219=""),EDATE(P219,12*2),AND(AH219="K5-LAW",AG219="นิติศาสตร์",OR(Z219="M2",Z219="K4"),AC219&gt;=2,OR(AB219&lt;V219,AB219&lt;P219)),EDATE(AB219,12*2),AND(AH219="K5-LAW",AG219="นิติศาสตร์",Z219="S1",AC219&gt;=1,OR(AB219&lt;V219,AB219&lt;P219)),EDATE(AB219,12),AND(AH219="K5-LAW",AG219="นิติศาสตร์",OR(T219="M2",T219="K4"),W219&gt;=2,V219&lt;P219),EDATE(V219,12*2),AND(AH219="K5-LAW",AG219="นิติศาสตร์",T219="S1",W219&gt;=1,V219&lt;P219),EDATE(V219,12),AND(AH219="K5-LAW",AG219="นิติศาสตร์",OR(T219="S2",T219="K5")),V219,AND(AH219="K5-LAW",AG219="นิติศาสตร์",OR(K219="M2",K219="K4"),Q219&gt;=2),EDATE(P219,12*2),AND(AH219="K5-LAW",AG219="นิติศาสตร์",K219="S1",Q219&gt;=1),EDATE(P219,12),AND(AH219="K5-LAW",AG219="นิติศาสตร์",OR(K219="S2",K219="K5")),P219,AND(AH219="K5-POLICY",AG219&lt;&gt;"นิติศาสตร์",K219="S2",T219="",Z219=""),P219,AND(AH219="K5-POLICY",AG219&lt;&gt;"นิติศาสตร์",K219="S1",T219="",Z219=""),EDATE(P219,12),AND(AH219="K5-POLICY",AG219&lt;&gt;"นิติศาสตร์",OR(K219="M2",K219="K4"),T219="",Z219=""),EDATE(P219,12*2),AND(AH219="K5-POLICY",AG219&lt;&gt;"นิติศาสตร์",OR(Z219="M2",Z219="K4"),AC219&gt;=2,OR(AB219&lt;V219,AB219&lt;P219)),EDATE(AB219,12*2),AND(AH219="K5-POLICY",AG219&lt;&gt;"นิติศาสตร์",Z219="S1",AC219&gt;=1,OR(AB219&lt;V219,AB219&lt;P219)),EDATE(AB219,12),AND(AH219="K5-POLICY",AG219&lt;&gt;"นิติศาสตร์",OR(T219="M2",T219="K4"),W219&gt;=2,V219&lt;P219),EDATE(V219,12*2),AND(AH219="K5-POLICY",AG219&lt;&gt;"นิติศาสตร์",T219="S1",W219&gt;=1,V219&lt;P219),EDATE(V219,12),AND(AH219="K5-POLICY",AG219&lt;&gt;"นิติศาสตร์",OR(T219="S2",T219="K5")),V219,AND(AH219="K5-POLICY",AG219&lt;&gt;"นิติศาสตร์",OR(K219="M2",K219="K4"),Q219&gt;=2),EDATE(P219,12*2),AND(AH219="K5-POLICY",AG219&lt;&gt;"นิติศาสตร์",K219="S1",Q219&gt;=1),EDATE(P219,12),AND(AH219="K5-POLICY",AG219&lt;&gt;"นิติศาสตร์",OR(K219="S2",K219="K5")),P219,TRUE,"Check Data")</f>
        <v/>
      </c>
      <c r="AJ219" s="75" t="str">
        <f t="shared" si="61"/>
        <v>Check Data</v>
      </c>
      <c r="AK219" s="76" t="str">
        <f t="shared" si="62"/>
        <v>Check Data</v>
      </c>
      <c r="AL219" s="50" t="str">
        <f t="shared" si="63"/>
        <v>Check Data</v>
      </c>
      <c r="AM219" s="49" t="str">
        <f>IF(B219="","",IF(K219="S1","S1",INDEX(#REF!,#REF!)))</f>
        <v/>
      </c>
      <c r="AN219" s="49" t="str">
        <f>K219</f>
        <v>M2</v>
      </c>
      <c r="AO219" s="50" t="b">
        <f>K219=AM219</f>
        <v>0</v>
      </c>
      <c r="AP219" s="50"/>
    </row>
    <row r="220" spans="1:42" ht="21.75">
      <c r="A220" s="49">
        <v>218</v>
      </c>
      <c r="B220" s="50"/>
      <c r="C220" s="50"/>
      <c r="D220" s="50" t="s">
        <v>141</v>
      </c>
      <c r="E220" s="49" t="s">
        <v>267</v>
      </c>
      <c r="F220" s="49" t="str">
        <f t="shared" si="64"/>
        <v>18/09/2000</v>
      </c>
      <c r="G220" s="50">
        <f t="shared" si="49"/>
        <v>24</v>
      </c>
      <c r="H220" s="50">
        <f t="shared" si="50"/>
        <v>9</v>
      </c>
      <c r="I220" s="50">
        <f t="shared" si="51"/>
        <v>2</v>
      </c>
      <c r="J220" s="60"/>
      <c r="K220" s="49" t="s">
        <v>136</v>
      </c>
      <c r="L220" s="64"/>
      <c r="M220" s="49" t="s">
        <v>426</v>
      </c>
      <c r="N220" s="49">
        <v>2577</v>
      </c>
      <c r="O220" s="65" t="s">
        <v>257</v>
      </c>
      <c r="P220" s="49" t="str">
        <f t="shared" si="52"/>
        <v>19/12/2023</v>
      </c>
      <c r="Q220" s="68">
        <f t="shared" si="53"/>
        <v>1</v>
      </c>
      <c r="R220" s="68">
        <f t="shared" si="54"/>
        <v>6</v>
      </c>
      <c r="S220" s="68">
        <f t="shared" si="55"/>
        <v>1</v>
      </c>
      <c r="T220" s="65"/>
      <c r="U220" s="65"/>
      <c r="V220" s="49" t="str">
        <f t="shared" si="65"/>
        <v/>
      </c>
      <c r="W220" s="68">
        <f>IF(V220="",0,DATEDIF(V220,P220,"Y"))</f>
        <v>0</v>
      </c>
      <c r="X220" s="68">
        <f>IF(V220="",0,DATEDIF(V220,P220,"YM"))</f>
        <v>0</v>
      </c>
      <c r="Y220" s="68">
        <f>IF(V220="",0,DATEDIF(V220,P220,"MD"))</f>
        <v>0</v>
      </c>
      <c r="Z220" s="49"/>
      <c r="AA220" s="65"/>
      <c r="AB220" s="50" t="str">
        <f t="shared" si="66"/>
        <v/>
      </c>
      <c r="AC220" s="68">
        <f t="shared" si="67"/>
        <v>0</v>
      </c>
      <c r="AD220" s="68">
        <f t="shared" si="68"/>
        <v>0</v>
      </c>
      <c r="AE220" s="68">
        <f t="shared" si="69"/>
        <v>0</v>
      </c>
      <c r="AF220" s="50"/>
      <c r="AG220" s="50" t="s">
        <v>138</v>
      </c>
      <c r="AH220" s="49" t="str">
        <f>IF(AG220="นิติศาสตร์","K5-LAW","K5-POLICY")</f>
        <v>K5-LAW</v>
      </c>
      <c r="AI220" s="72" t="str">
        <f>_xlfn.IFS(B220="","",AND(AH220="K5-LAW",AG220="นิติศาสตร์",K220="S2",T220="",Z220=""),P220,AND(AH220="K5-LAW",AG220="นิติศาสตร์",K220="S1",T220="",Z220=""),EDATE(P220,12),AND(AH220="K5-LAW",AG220="นิติศาสตร์",OR(K220="M2",K220="K4"),T220="",Z220=""),EDATE(P220,12*2),AND(AH220="K5-LAW",AG220="นิติศาสตร์",OR(Z220="M2",Z220="K4"),AC220&gt;=2,OR(AB220&lt;V220,AB220&lt;P220)),EDATE(AB220,12*2),AND(AH220="K5-LAW",AG220="นิติศาสตร์",Z220="S1",AC220&gt;=1,OR(AB220&lt;V220,AB220&lt;P220)),EDATE(AB220,12),AND(AH220="K5-LAW",AG220="นิติศาสตร์",OR(T220="M2",T220="K4"),W220&gt;=2,V220&lt;P220),EDATE(V220,12*2),AND(AH220="K5-LAW",AG220="นิติศาสตร์",T220="S1",W220&gt;=1,V220&lt;P220),EDATE(V220,12),AND(AH220="K5-LAW",AG220="นิติศาสตร์",OR(T220="S2",T220="K5")),V220,AND(AH220="K5-LAW",AG220="นิติศาสตร์",OR(K220="M2",K220="K4"),Q220&gt;=2),EDATE(P220,12*2),AND(AH220="K5-LAW",AG220="นิติศาสตร์",K220="S1",Q220&gt;=1),EDATE(P220,12),AND(AH220="K5-LAW",AG220="นิติศาสตร์",OR(K220="S2",K220="K5")),P220,AND(AH220="K5-POLICY",AG220&lt;&gt;"นิติศาสตร์",K220="S2",T220="",Z220=""),P220,AND(AH220="K5-POLICY",AG220&lt;&gt;"นิติศาสตร์",K220="S1",T220="",Z220=""),EDATE(P220,12),AND(AH220="K5-POLICY",AG220&lt;&gt;"นิติศาสตร์",OR(K220="M2",K220="K4"),T220="",Z220=""),EDATE(P220,12*2),AND(AH220="K5-POLICY",AG220&lt;&gt;"นิติศาสตร์",OR(Z220="M2",Z220="K4"),AC220&gt;=2,OR(AB220&lt;V220,AB220&lt;P220)),EDATE(AB220,12*2),AND(AH220="K5-POLICY",AG220&lt;&gt;"นิติศาสตร์",Z220="S1",AC220&gt;=1,OR(AB220&lt;V220,AB220&lt;P220)),EDATE(AB220,12),AND(AH220="K5-POLICY",AG220&lt;&gt;"นิติศาสตร์",OR(T220="M2",T220="K4"),W220&gt;=2,V220&lt;P220),EDATE(V220,12*2),AND(AH220="K5-POLICY",AG220&lt;&gt;"นิติศาสตร์",T220="S1",W220&gt;=1,V220&lt;P220),EDATE(V220,12),AND(AH220="K5-POLICY",AG220&lt;&gt;"นิติศาสตร์",OR(T220="S2",T220="K5")),V220,AND(AH220="K5-POLICY",AG220&lt;&gt;"นิติศาสตร์",OR(K220="M2",K220="K4"),Q220&gt;=2),EDATE(P220,12*2),AND(AH220="K5-POLICY",AG220&lt;&gt;"นิติศาสตร์",K220="S1",Q220&gt;=1),EDATE(P220,12),AND(AH220="K5-POLICY",AG220&lt;&gt;"นิติศาสตร์",OR(K220="S2",K220="K5")),P220,TRUE,"Check Data")</f>
        <v/>
      </c>
      <c r="AJ220" s="75" t="str">
        <f t="shared" si="61"/>
        <v>Check Data</v>
      </c>
      <c r="AK220" s="76" t="str">
        <f t="shared" si="62"/>
        <v>Check Data</v>
      </c>
      <c r="AL220" s="50" t="str">
        <f t="shared" si="63"/>
        <v>Check Data</v>
      </c>
      <c r="AM220" s="49" t="str">
        <f>IF(B220="","",IF(K220="S1","S1",INDEX(#REF!,#REF!)))</f>
        <v/>
      </c>
      <c r="AN220" s="49" t="str">
        <f>K220</f>
        <v>M2</v>
      </c>
      <c r="AO220" s="50" t="b">
        <f>K220=AM220</f>
        <v>0</v>
      </c>
      <c r="AP220" s="50"/>
    </row>
    <row r="221" spans="1:42" ht="21.75">
      <c r="A221" s="49">
        <v>219</v>
      </c>
      <c r="B221" s="50"/>
      <c r="C221" s="50"/>
      <c r="D221" s="50" t="s">
        <v>141</v>
      </c>
      <c r="E221" s="49" t="s">
        <v>264</v>
      </c>
      <c r="F221" s="49" t="str">
        <f t="shared" si="64"/>
        <v>25/10/2000</v>
      </c>
      <c r="G221" s="50">
        <f t="shared" si="49"/>
        <v>24</v>
      </c>
      <c r="H221" s="50">
        <f t="shared" si="50"/>
        <v>7</v>
      </c>
      <c r="I221" s="50">
        <f t="shared" si="51"/>
        <v>26</v>
      </c>
      <c r="J221" s="60"/>
      <c r="K221" s="49" t="s">
        <v>136</v>
      </c>
      <c r="L221" s="64"/>
      <c r="M221" s="49" t="s">
        <v>426</v>
      </c>
      <c r="N221" s="49">
        <v>2578</v>
      </c>
      <c r="O221" s="65" t="s">
        <v>257</v>
      </c>
      <c r="P221" s="49" t="str">
        <f t="shared" si="52"/>
        <v>19/12/2023</v>
      </c>
      <c r="Q221" s="68">
        <f t="shared" si="53"/>
        <v>1</v>
      </c>
      <c r="R221" s="68">
        <f t="shared" si="54"/>
        <v>6</v>
      </c>
      <c r="S221" s="68">
        <f t="shared" si="55"/>
        <v>1</v>
      </c>
      <c r="T221" s="65"/>
      <c r="U221" s="65"/>
      <c r="V221" s="49" t="str">
        <f t="shared" si="65"/>
        <v/>
      </c>
      <c r="W221" s="68">
        <f>IF(V221="",0,DATEDIF(V221,P221,"Y"))</f>
        <v>0</v>
      </c>
      <c r="X221" s="68">
        <f>IF(V221="",0,DATEDIF(V221,P221,"YM"))</f>
        <v>0</v>
      </c>
      <c r="Y221" s="68">
        <f>IF(V221="",0,DATEDIF(V221,P221,"MD"))</f>
        <v>0</v>
      </c>
      <c r="Z221" s="49"/>
      <c r="AA221" s="65"/>
      <c r="AB221" s="50" t="str">
        <f t="shared" si="66"/>
        <v/>
      </c>
      <c r="AC221" s="68">
        <f t="shared" si="67"/>
        <v>0</v>
      </c>
      <c r="AD221" s="68">
        <f t="shared" si="68"/>
        <v>0</v>
      </c>
      <c r="AE221" s="68">
        <f t="shared" si="69"/>
        <v>0</v>
      </c>
      <c r="AF221" s="50"/>
      <c r="AG221" s="50" t="s">
        <v>138</v>
      </c>
      <c r="AH221" s="49" t="str">
        <f>IF(AG221="นิติศาสตร์","K5-LAW","K5-POLICY")</f>
        <v>K5-LAW</v>
      </c>
      <c r="AI221" s="72" t="str">
        <f>_xlfn.IFS(B221="","",AND(AH221="K5-LAW",AG221="นิติศาสตร์",K221="S2",T221="",Z221=""),P221,AND(AH221="K5-LAW",AG221="นิติศาสตร์",K221="S1",T221="",Z221=""),EDATE(P221,12),AND(AH221="K5-LAW",AG221="นิติศาสตร์",OR(K221="M2",K221="K4"),T221="",Z221=""),EDATE(P221,12*2),AND(AH221="K5-LAW",AG221="นิติศาสตร์",OR(Z221="M2",Z221="K4"),AC221&gt;=2,OR(AB221&lt;V221,AB221&lt;P221)),EDATE(AB221,12*2),AND(AH221="K5-LAW",AG221="นิติศาสตร์",Z221="S1",AC221&gt;=1,OR(AB221&lt;V221,AB221&lt;P221)),EDATE(AB221,12),AND(AH221="K5-LAW",AG221="นิติศาสตร์",OR(T221="M2",T221="K4"),W221&gt;=2,V221&lt;P221),EDATE(V221,12*2),AND(AH221="K5-LAW",AG221="นิติศาสตร์",T221="S1",W221&gt;=1,V221&lt;P221),EDATE(V221,12),AND(AH221="K5-LAW",AG221="นิติศาสตร์",OR(T221="S2",T221="K5")),V221,AND(AH221="K5-LAW",AG221="นิติศาสตร์",OR(K221="M2",K221="K4"),Q221&gt;=2),EDATE(P221,12*2),AND(AH221="K5-LAW",AG221="นิติศาสตร์",K221="S1",Q221&gt;=1),EDATE(P221,12),AND(AH221="K5-LAW",AG221="นิติศาสตร์",OR(K221="S2",K221="K5")),P221,AND(AH221="K5-POLICY",AG221&lt;&gt;"นิติศาสตร์",K221="S2",T221="",Z221=""),P221,AND(AH221="K5-POLICY",AG221&lt;&gt;"นิติศาสตร์",K221="S1",T221="",Z221=""),EDATE(P221,12),AND(AH221="K5-POLICY",AG221&lt;&gt;"นิติศาสตร์",OR(K221="M2",K221="K4"),T221="",Z221=""),EDATE(P221,12*2),AND(AH221="K5-POLICY",AG221&lt;&gt;"นิติศาสตร์",OR(Z221="M2",Z221="K4"),AC221&gt;=2,OR(AB221&lt;V221,AB221&lt;P221)),EDATE(AB221,12*2),AND(AH221="K5-POLICY",AG221&lt;&gt;"นิติศาสตร์",Z221="S1",AC221&gt;=1,OR(AB221&lt;V221,AB221&lt;P221)),EDATE(AB221,12),AND(AH221="K5-POLICY",AG221&lt;&gt;"นิติศาสตร์",OR(T221="M2",T221="K4"),W221&gt;=2,V221&lt;P221),EDATE(V221,12*2),AND(AH221="K5-POLICY",AG221&lt;&gt;"นิติศาสตร์",T221="S1",W221&gt;=1,V221&lt;P221),EDATE(V221,12),AND(AH221="K5-POLICY",AG221&lt;&gt;"นิติศาสตร์",OR(T221="S2",T221="K5")),V221,AND(AH221="K5-POLICY",AG221&lt;&gt;"นิติศาสตร์",OR(K221="M2",K221="K4"),Q221&gt;=2),EDATE(P221,12*2),AND(AH221="K5-POLICY",AG221&lt;&gt;"นิติศาสตร์",K221="S1",Q221&gt;=1),EDATE(P221,12),AND(AH221="K5-POLICY",AG221&lt;&gt;"นิติศาสตร์",OR(K221="S2",K221="K5")),P221,TRUE,"Check Data")</f>
        <v/>
      </c>
      <c r="AJ221" s="75" t="str">
        <f t="shared" si="61"/>
        <v>Check Data</v>
      </c>
      <c r="AK221" s="76" t="str">
        <f t="shared" si="62"/>
        <v>Check Data</v>
      </c>
      <c r="AL221" s="50" t="str">
        <f t="shared" si="63"/>
        <v>Check Data</v>
      </c>
      <c r="AM221" s="49" t="str">
        <f>IF(B221="","",IF(K221="S1","S1",INDEX(#REF!,#REF!)))</f>
        <v/>
      </c>
      <c r="AN221" s="49" t="str">
        <f>K221</f>
        <v>M2</v>
      </c>
      <c r="AO221" s="50" t="b">
        <f>K221=AM221</f>
        <v>0</v>
      </c>
      <c r="AP221" s="50"/>
    </row>
    <row r="222" spans="1:42" ht="21.75">
      <c r="A222" s="49">
        <v>220</v>
      </c>
      <c r="B222" s="50"/>
      <c r="C222" s="52"/>
      <c r="D222" s="79"/>
      <c r="E222" s="79"/>
      <c r="F222" s="79"/>
      <c r="G222" s="50">
        <f t="shared" si="49"/>
        <v>0</v>
      </c>
      <c r="H222" s="50">
        <f t="shared" si="50"/>
        <v>0</v>
      </c>
      <c r="I222" s="50">
        <f t="shared" si="51"/>
        <v>0</v>
      </c>
      <c r="J222" s="79"/>
      <c r="K222" s="49" t="s">
        <v>136</v>
      </c>
      <c r="L222" s="79"/>
      <c r="M222" s="79"/>
      <c r="N222" s="79"/>
      <c r="O222" s="65" t="s">
        <v>257</v>
      </c>
      <c r="P222" s="49" t="str">
        <f t="shared" si="52"/>
        <v>19/12/2023</v>
      </c>
      <c r="Q222" s="68">
        <f t="shared" si="53"/>
        <v>1</v>
      </c>
      <c r="R222" s="68">
        <f t="shared" si="54"/>
        <v>6</v>
      </c>
      <c r="S222" s="68">
        <f t="shared" si="55"/>
        <v>1</v>
      </c>
      <c r="T222" s="65"/>
      <c r="U222" s="83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49" t="str">
        <f>IF(AG222="นิติศาสตร์","K5-LAW","K5-POLICY")</f>
        <v>K5-POLICY</v>
      </c>
      <c r="AI222" s="72" t="str">
        <f>_xlfn.IFS(B222="","",AND(AH222="K5-LAW",AG222="นิติศาสตร์",K222="S2",T222="",Z222=""),P222,AND(AH222="K5-LAW",AG222="นิติศาสตร์",K222="S1",T222="",Z222=""),EDATE(P222,12),AND(AH222="K5-LAW",AG222="นิติศาสตร์",OR(K222="M2",K222="K4"),T222="",Z222=""),EDATE(P222,12*2),AND(AH222="K5-LAW",AG222="นิติศาสตร์",OR(Z222="M2",Z222="K4"),AC222&gt;=2,OR(AB222&lt;V222,AB222&lt;P222)),EDATE(AB222,12*2),AND(AH222="K5-LAW",AG222="นิติศาสตร์",Z222="S1",AC222&gt;=1,OR(AB222&lt;V222,AB222&lt;P222)),EDATE(AB222,12),AND(AH222="K5-LAW",AG222="นิติศาสตร์",OR(T222="M2",T222="K4"),W222&gt;=2,V222&lt;P222),EDATE(V222,12*2),AND(AH222="K5-LAW",AG222="นิติศาสตร์",T222="S1",W222&gt;=1,V222&lt;P222),EDATE(V222,12),AND(AH222="K5-LAW",AG222="นิติศาสตร์",OR(T222="S2",T222="K5")),V222,AND(AH222="K5-LAW",AG222="นิติศาสตร์",OR(K222="M2",K222="K4"),Q222&gt;=2),EDATE(P222,12*2),AND(AH222="K5-LAW",AG222="นิติศาสตร์",K222="S1",Q222&gt;=1),EDATE(P222,12),AND(AH222="K5-LAW",AG222="นิติศาสตร์",OR(K222="S2",K222="K5")),P222,AND(AH222="K5-POLICY",AG222&lt;&gt;"นิติศาสตร์",K222="S2",T222="",Z222=""),P222,AND(AH222="K5-POLICY",AG222&lt;&gt;"นิติศาสตร์",K222="S1",T222="",Z222=""),EDATE(P222,12),AND(AH222="K5-POLICY",AG222&lt;&gt;"นิติศาสตร์",OR(K222="M2",K222="K4"),T222="",Z222=""),EDATE(P222,12*2),AND(AH222="K5-POLICY",AG222&lt;&gt;"นิติศาสตร์",OR(Z222="M2",Z222="K4"),AC222&gt;=2,OR(AB222&lt;V222,AB222&lt;P222)),EDATE(AB222,12*2),AND(AH222="K5-POLICY",AG222&lt;&gt;"นิติศาสตร์",Z222="S1",AC222&gt;=1,OR(AB222&lt;V222,AB222&lt;P222)),EDATE(AB222,12),AND(AH222="K5-POLICY",AG222&lt;&gt;"นิติศาสตร์",OR(T222="M2",T222="K4"),W222&gt;=2,V222&lt;P222),EDATE(V222,12*2),AND(AH222="K5-POLICY",AG222&lt;&gt;"นิติศาสตร์",T222="S1",W222&gt;=1,V222&lt;P222),EDATE(V222,12),AND(AH222="K5-POLICY",AG222&lt;&gt;"นิติศาสตร์",OR(T222="S2",T222="K5")),V222,AND(AH222="K5-POLICY",AG222&lt;&gt;"นิติศาสตร์",OR(K222="M2",K222="K4"),Q222&gt;=2),EDATE(P222,12*2),AND(AH222="K5-POLICY",AG222&lt;&gt;"นิติศาสตร์",K222="S1",Q222&gt;=1),EDATE(P222,12),AND(AH222="K5-POLICY",AG222&lt;&gt;"นิติศาสตร์",OR(K222="S2",K222="K5")),P222,TRUE,"Check Data")</f>
        <v/>
      </c>
      <c r="AJ222" s="75" t="str">
        <f t="shared" si="61"/>
        <v>Check Data</v>
      </c>
      <c r="AK222" s="76" t="str">
        <f t="shared" si="62"/>
        <v>Check Data</v>
      </c>
      <c r="AL222" s="50" t="str">
        <f t="shared" si="63"/>
        <v>Check Data</v>
      </c>
      <c r="AM222" s="49" t="str">
        <f>IF(B222="","",IF(K222="S1","S1",INDEX(#REF!,#REF!)))</f>
        <v/>
      </c>
      <c r="AN222" s="49" t="str">
        <f>K222</f>
        <v>M2</v>
      </c>
      <c r="AO222" s="50" t="b">
        <f>K222=AM222</f>
        <v>0</v>
      </c>
      <c r="AP222" s="50"/>
    </row>
    <row r="223" spans="1:42" ht="21.75">
      <c r="A223" s="49">
        <v>221</v>
      </c>
      <c r="B223" s="50"/>
      <c r="C223" s="50"/>
      <c r="D223" s="50" t="s">
        <v>139</v>
      </c>
      <c r="E223" s="49" t="s">
        <v>235</v>
      </c>
      <c r="F223" s="49" t="str">
        <f>IF(E223="","",TEXT(EDATE(E223,-543*12),"dd/mm/yyyy"))</f>
        <v>02/09/1991</v>
      </c>
      <c r="G223" s="50">
        <f t="shared" si="49"/>
        <v>33</v>
      </c>
      <c r="H223" s="50">
        <f t="shared" si="50"/>
        <v>9</v>
      </c>
      <c r="I223" s="50">
        <f t="shared" si="51"/>
        <v>18</v>
      </c>
      <c r="J223" s="56"/>
      <c r="K223" s="49" t="s">
        <v>136</v>
      </c>
      <c r="L223" s="64"/>
      <c r="M223" s="49" t="s">
        <v>427</v>
      </c>
      <c r="N223" s="49">
        <v>2572</v>
      </c>
      <c r="O223" s="65" t="s">
        <v>216</v>
      </c>
      <c r="P223" s="49" t="str">
        <f t="shared" si="52"/>
        <v>21/12/2023</v>
      </c>
      <c r="Q223" s="68">
        <f t="shared" si="53"/>
        <v>1</v>
      </c>
      <c r="R223" s="68">
        <f t="shared" si="54"/>
        <v>5</v>
      </c>
      <c r="S223" s="68">
        <f t="shared" si="55"/>
        <v>30</v>
      </c>
      <c r="T223" s="65"/>
      <c r="U223" s="65"/>
      <c r="V223" s="49" t="str">
        <f>IF(U223="","",TEXT(EDATE(U223,-543*12),"dd/mm/yyyy"))</f>
        <v/>
      </c>
      <c r="W223" s="68">
        <f>IF(V223="",0,DATEDIF(V223,P223,"Y"))</f>
        <v>0</v>
      </c>
      <c r="X223" s="68">
        <f>IF(V223="",0,DATEDIF(V223,P223,"YM"))</f>
        <v>0</v>
      </c>
      <c r="Y223" s="68">
        <f>IF(V223="",0,DATEDIF(V223,P223,"MD"))</f>
        <v>0</v>
      </c>
      <c r="Z223" s="49"/>
      <c r="AA223" s="65"/>
      <c r="AB223" s="50" t="str">
        <f>IF(AA223="","",TEXT(EDATE(AA223,-543*12),"dd/mm/yyyy"))</f>
        <v/>
      </c>
      <c r="AC223" s="68">
        <f>IF(AB223="",0,DATEDIF(AB223,V223,"Y"))</f>
        <v>0</v>
      </c>
      <c r="AD223" s="68">
        <f>IF(AB223="",0,DATEDIF(AB223,V223,"YM"))</f>
        <v>0</v>
      </c>
      <c r="AE223" s="68">
        <f>IF(AB223="",0,DATEDIF(AB223,V223,"MD"))</f>
        <v>0</v>
      </c>
      <c r="AF223" s="50"/>
      <c r="AG223" s="50" t="s">
        <v>167</v>
      </c>
      <c r="AH223" s="49" t="str">
        <f>IF(AG223="นิติศาสตร์","K5-LAW","K5-POLICY")</f>
        <v>K5-POLICY</v>
      </c>
      <c r="AI223" s="72" t="str">
        <f>_xlfn.IFS(B223="","",AND(AH223="K5-LAW",AG223="นิติศาสตร์",K223="S2",T223="",Z223=""),P223,AND(AH223="K5-LAW",AG223="นิติศาสตร์",K223="S1",T223="",Z223=""),EDATE(P223,12),AND(AH223="K5-LAW",AG223="นิติศาสตร์",OR(K223="M2",K223="K4"),T223="",Z223=""),EDATE(P223,12*2),AND(AH223="K5-LAW",AG223="นิติศาสตร์",OR(Z223="M2",Z223="K4"),AC223&gt;=2,OR(AB223&lt;V223,AB223&lt;P223)),EDATE(AB223,12*2),AND(AH223="K5-LAW",AG223="นิติศาสตร์",Z223="S1",AC223&gt;=1,OR(AB223&lt;V223,AB223&lt;P223)),EDATE(AB223,12),AND(AH223="K5-LAW",AG223="นิติศาสตร์",OR(T223="M2",T223="K4"),W223&gt;=2,V223&lt;P223),EDATE(V223,12*2),AND(AH223="K5-LAW",AG223="นิติศาสตร์",T223="S1",W223&gt;=1,V223&lt;P223),EDATE(V223,12),AND(AH223="K5-LAW",AG223="นิติศาสตร์",OR(T223="S2",T223="K5")),V223,AND(AH223="K5-LAW",AG223="นิติศาสตร์",OR(K223="M2",K223="K4"),Q223&gt;=2),EDATE(P223,12*2),AND(AH223="K5-LAW",AG223="นิติศาสตร์",K223="S1",Q223&gt;=1),EDATE(P223,12),AND(AH223="K5-LAW",AG223="นิติศาสตร์",OR(K223="S2",K223="K5")),P223,AND(AH223="K5-POLICY",AG223&lt;&gt;"นิติศาสตร์",K223="S2",T223="",Z223=""),P223,AND(AH223="K5-POLICY",AG223&lt;&gt;"นิติศาสตร์",K223="S1",T223="",Z223=""),EDATE(P223,12),AND(AH223="K5-POLICY",AG223&lt;&gt;"นิติศาสตร์",OR(K223="M2",K223="K4"),T223="",Z223=""),EDATE(P223,12*2),AND(AH223="K5-POLICY",AG223&lt;&gt;"นิติศาสตร์",OR(Z223="M2",Z223="K4"),AC223&gt;=2,OR(AB223&lt;V223,AB223&lt;P223)),EDATE(AB223,12*2),AND(AH223="K5-POLICY",AG223&lt;&gt;"นิติศาสตร์",Z223="S1",AC223&gt;=1,OR(AB223&lt;V223,AB223&lt;P223)),EDATE(AB223,12),AND(AH223="K5-POLICY",AG223&lt;&gt;"นิติศาสตร์",OR(T223="M2",T223="K4"),W223&gt;=2,V223&lt;P223),EDATE(V223,12*2),AND(AH223="K5-POLICY",AG223&lt;&gt;"นิติศาสตร์",T223="S1",W223&gt;=1,V223&lt;P223),EDATE(V223,12),AND(AH223="K5-POLICY",AG223&lt;&gt;"นิติศาสตร์",OR(T223="S2",T223="K5")),V223,AND(AH223="K5-POLICY",AG223&lt;&gt;"นิติศาสตร์",OR(K223="M2",K223="K4"),Q223&gt;=2),EDATE(P223,12*2),AND(AH223="K5-POLICY",AG223&lt;&gt;"นิติศาสตร์",K223="S1",Q223&gt;=1),EDATE(P223,12),AND(AH223="K5-POLICY",AG223&lt;&gt;"นิติศาสตร์",OR(K223="S2",K223="K5")),P223,TRUE,"Check Data")</f>
        <v/>
      </c>
      <c r="AJ223" s="75" t="str">
        <f t="shared" si="61"/>
        <v>Check Data</v>
      </c>
      <c r="AK223" s="76" t="str">
        <f t="shared" si="62"/>
        <v>Check Data</v>
      </c>
      <c r="AL223" s="50" t="str">
        <f t="shared" si="63"/>
        <v>Check Data</v>
      </c>
      <c r="AM223" s="49" t="str">
        <f>IF(B223="","",IF(K223="S1","S1",INDEX(#REF!,#REF!)))</f>
        <v/>
      </c>
      <c r="AN223" s="49" t="str">
        <f>K223</f>
        <v>M2</v>
      </c>
      <c r="AO223" s="50" t="b">
        <f>K223=AM223</f>
        <v>0</v>
      </c>
      <c r="AP223" s="50"/>
    </row>
    <row r="224" spans="1:42" ht="21.75">
      <c r="A224" s="49">
        <v>222</v>
      </c>
      <c r="B224" s="50"/>
      <c r="C224" s="50"/>
      <c r="D224" s="50" t="s">
        <v>139</v>
      </c>
      <c r="E224" s="49" t="s">
        <v>234</v>
      </c>
      <c r="F224" s="49" t="str">
        <f>IF(E224="","",TEXT(EDATE(E224,-543*12),"dd/mm/yyyy"))</f>
        <v>15/06/1994</v>
      </c>
      <c r="G224" s="50">
        <f t="shared" si="49"/>
        <v>31</v>
      </c>
      <c r="H224" s="50">
        <f t="shared" si="50"/>
        <v>0</v>
      </c>
      <c r="I224" s="50">
        <f t="shared" si="51"/>
        <v>5</v>
      </c>
      <c r="J224" s="56"/>
      <c r="K224" s="49" t="s">
        <v>136</v>
      </c>
      <c r="L224" s="64"/>
      <c r="M224" s="49" t="s">
        <v>427</v>
      </c>
      <c r="N224" s="49">
        <v>2574</v>
      </c>
      <c r="O224" s="65" t="s">
        <v>216</v>
      </c>
      <c r="P224" s="49" t="str">
        <f t="shared" si="52"/>
        <v>21/12/2023</v>
      </c>
      <c r="Q224" s="68">
        <f t="shared" si="53"/>
        <v>1</v>
      </c>
      <c r="R224" s="68">
        <f t="shared" si="54"/>
        <v>5</v>
      </c>
      <c r="S224" s="68">
        <f t="shared" si="55"/>
        <v>30</v>
      </c>
      <c r="T224" s="65"/>
      <c r="U224" s="65"/>
      <c r="V224" s="49" t="str">
        <f>IF(U224="","",TEXT(EDATE(U224,-543*12),"dd/mm/yyyy"))</f>
        <v/>
      </c>
      <c r="W224" s="68">
        <f>IF(V224="",0,DATEDIF(V224,P224,"Y"))</f>
        <v>0</v>
      </c>
      <c r="X224" s="68">
        <f>IF(V224="",0,DATEDIF(V224,P224,"YM"))</f>
        <v>0</v>
      </c>
      <c r="Y224" s="68">
        <f>IF(V224="",0,DATEDIF(V224,P224,"MD"))</f>
        <v>0</v>
      </c>
      <c r="Z224" s="49"/>
      <c r="AA224" s="65"/>
      <c r="AB224" s="50" t="str">
        <f>IF(AA224="","",TEXT(EDATE(AA224,-543*12),"dd/mm/yyyy"))</f>
        <v/>
      </c>
      <c r="AC224" s="68">
        <f>IF(AB224="",0,DATEDIF(AB224,V224,"Y"))</f>
        <v>0</v>
      </c>
      <c r="AD224" s="68">
        <f>IF(AB224="",0,DATEDIF(AB224,V224,"YM"))</f>
        <v>0</v>
      </c>
      <c r="AE224" s="68">
        <f>IF(AB224="",0,DATEDIF(AB224,V224,"MD"))</f>
        <v>0</v>
      </c>
      <c r="AF224" s="50"/>
      <c r="AG224" s="50" t="s">
        <v>167</v>
      </c>
      <c r="AH224" s="49" t="str">
        <f>IF(AG224="นิติศาสตร์","K5-LAW","K5-POLICY")</f>
        <v>K5-POLICY</v>
      </c>
      <c r="AI224" s="72" t="str">
        <f>_xlfn.IFS(B224="","",AND(AH224="K5-LAW",AG224="นิติศาสตร์",K224="S2",T224="",Z224=""),P224,AND(AH224="K5-LAW",AG224="นิติศาสตร์",K224="S1",T224="",Z224=""),EDATE(P224,12),AND(AH224="K5-LAW",AG224="นิติศาสตร์",OR(K224="M2",K224="K4"),T224="",Z224=""),EDATE(P224,12*2),AND(AH224="K5-LAW",AG224="นิติศาสตร์",OR(Z224="M2",Z224="K4"),AC224&gt;=2,OR(AB224&lt;V224,AB224&lt;P224)),EDATE(AB224,12*2),AND(AH224="K5-LAW",AG224="นิติศาสตร์",Z224="S1",AC224&gt;=1,OR(AB224&lt;V224,AB224&lt;P224)),EDATE(AB224,12),AND(AH224="K5-LAW",AG224="นิติศาสตร์",OR(T224="M2",T224="K4"),W224&gt;=2,V224&lt;P224),EDATE(V224,12*2),AND(AH224="K5-LAW",AG224="นิติศาสตร์",T224="S1",W224&gt;=1,V224&lt;P224),EDATE(V224,12),AND(AH224="K5-LAW",AG224="นิติศาสตร์",OR(T224="S2",T224="K5")),V224,AND(AH224="K5-LAW",AG224="นิติศาสตร์",OR(K224="M2",K224="K4"),Q224&gt;=2),EDATE(P224,12*2),AND(AH224="K5-LAW",AG224="นิติศาสตร์",K224="S1",Q224&gt;=1),EDATE(P224,12),AND(AH224="K5-LAW",AG224="นิติศาสตร์",OR(K224="S2",K224="K5")),P224,AND(AH224="K5-POLICY",AG224&lt;&gt;"นิติศาสตร์",K224="S2",T224="",Z224=""),P224,AND(AH224="K5-POLICY",AG224&lt;&gt;"นิติศาสตร์",K224="S1",T224="",Z224=""),EDATE(P224,12),AND(AH224="K5-POLICY",AG224&lt;&gt;"นิติศาสตร์",OR(K224="M2",K224="K4"),T224="",Z224=""),EDATE(P224,12*2),AND(AH224="K5-POLICY",AG224&lt;&gt;"นิติศาสตร์",OR(Z224="M2",Z224="K4"),AC224&gt;=2,OR(AB224&lt;V224,AB224&lt;P224)),EDATE(AB224,12*2),AND(AH224="K5-POLICY",AG224&lt;&gt;"นิติศาสตร์",Z224="S1",AC224&gt;=1,OR(AB224&lt;V224,AB224&lt;P224)),EDATE(AB224,12),AND(AH224="K5-POLICY",AG224&lt;&gt;"นิติศาสตร์",OR(T224="M2",T224="K4"),W224&gt;=2,V224&lt;P224),EDATE(V224,12*2),AND(AH224="K5-POLICY",AG224&lt;&gt;"นิติศาสตร์",T224="S1",W224&gt;=1,V224&lt;P224),EDATE(V224,12),AND(AH224="K5-POLICY",AG224&lt;&gt;"นิติศาสตร์",OR(T224="S2",T224="K5")),V224,AND(AH224="K5-POLICY",AG224&lt;&gt;"นิติศาสตร์",OR(K224="M2",K224="K4"),Q224&gt;=2),EDATE(P224,12*2),AND(AH224="K5-POLICY",AG224&lt;&gt;"นิติศาสตร์",K224="S1",Q224&gt;=1),EDATE(P224,12),AND(AH224="K5-POLICY",AG224&lt;&gt;"นิติศาสตร์",OR(K224="S2",K224="K5")),P224,TRUE,"Check Data")</f>
        <v/>
      </c>
      <c r="AJ224" s="75" t="str">
        <f t="shared" si="61"/>
        <v>Check Data</v>
      </c>
      <c r="AK224" s="76" t="str">
        <f t="shared" si="62"/>
        <v>Check Data</v>
      </c>
      <c r="AL224" s="50" t="str">
        <f t="shared" si="63"/>
        <v>Check Data</v>
      </c>
      <c r="AM224" s="49" t="str">
        <f>IF(B224="","",IF(K224="S1","S1",INDEX(#REF!,#REF!)))</f>
        <v/>
      </c>
      <c r="AN224" s="49" t="str">
        <f>K224</f>
        <v>M2</v>
      </c>
      <c r="AO224" s="50" t="b">
        <f>K224=AM224</f>
        <v>0</v>
      </c>
      <c r="AP224" s="50"/>
    </row>
    <row r="225" spans="1:42" ht="21.75">
      <c r="A225" s="49">
        <v>223</v>
      </c>
      <c r="B225" s="50"/>
      <c r="C225" s="50"/>
      <c r="D225" s="50" t="s">
        <v>139</v>
      </c>
      <c r="E225" s="49" t="s">
        <v>215</v>
      </c>
      <c r="F225" s="49" t="str">
        <f>IF(E225="","",TEXT(EDATE(E225,-543*12),"dd/mm/yyyy"))</f>
        <v>04/08/1993</v>
      </c>
      <c r="G225" s="50">
        <f t="shared" si="49"/>
        <v>31</v>
      </c>
      <c r="H225" s="50">
        <f t="shared" si="50"/>
        <v>10</v>
      </c>
      <c r="I225" s="50">
        <f t="shared" si="51"/>
        <v>16</v>
      </c>
      <c r="J225" s="56"/>
      <c r="K225" s="49" t="s">
        <v>136</v>
      </c>
      <c r="L225" s="64"/>
      <c r="M225" s="49" t="s">
        <v>427</v>
      </c>
      <c r="N225" s="49">
        <v>2568</v>
      </c>
      <c r="O225" s="65" t="s">
        <v>216</v>
      </c>
      <c r="P225" s="49" t="str">
        <f t="shared" si="52"/>
        <v>21/12/2023</v>
      </c>
      <c r="Q225" s="68">
        <f t="shared" si="53"/>
        <v>1</v>
      </c>
      <c r="R225" s="68">
        <f t="shared" si="54"/>
        <v>5</v>
      </c>
      <c r="S225" s="68">
        <f t="shared" si="55"/>
        <v>30</v>
      </c>
      <c r="T225" s="65"/>
      <c r="U225" s="65"/>
      <c r="V225" s="49" t="str">
        <f>IF(U225="","",TEXT(EDATE(U225,-543*12),"dd/mm/yyyy"))</f>
        <v/>
      </c>
      <c r="W225" s="68">
        <f>IF(V225="",0,DATEDIF(V225,P225,"Y"))</f>
        <v>0</v>
      </c>
      <c r="X225" s="68">
        <f>IF(V225="",0,DATEDIF(V225,P225,"YM"))</f>
        <v>0</v>
      </c>
      <c r="Y225" s="68">
        <f>IF(V225="",0,DATEDIF(V225,P225,"MD"))</f>
        <v>0</v>
      </c>
      <c r="Z225" s="49"/>
      <c r="AA225" s="65"/>
      <c r="AB225" s="50" t="str">
        <f>IF(AA225="","",TEXT(EDATE(AA225,-543*12),"dd/mm/yyyy"))</f>
        <v/>
      </c>
      <c r="AC225" s="68">
        <f>IF(AB225="",0,DATEDIF(AB225,V225,"Y"))</f>
        <v>0</v>
      </c>
      <c r="AD225" s="68">
        <f>IF(AB225="",0,DATEDIF(AB225,V225,"YM"))</f>
        <v>0</v>
      </c>
      <c r="AE225" s="68">
        <f>IF(AB225="",0,DATEDIF(AB225,V225,"MD"))</f>
        <v>0</v>
      </c>
      <c r="AF225" s="50"/>
      <c r="AG225" s="50" t="s">
        <v>138</v>
      </c>
      <c r="AH225" s="49" t="str">
        <f>IF(AG225="นิติศาสตร์","K5-LAW","K5-POLICY")</f>
        <v>K5-LAW</v>
      </c>
      <c r="AI225" s="72" t="str">
        <f>_xlfn.IFS(B225="","",AND(AH225="K5-LAW",AG225="นิติศาสตร์",K225="S2",T225="",Z225=""),P225,AND(AH225="K5-LAW",AG225="นิติศาสตร์",K225="S1",T225="",Z225=""),EDATE(P225,12),AND(AH225="K5-LAW",AG225="นิติศาสตร์",OR(K225="M2",K225="K4"),T225="",Z225=""),EDATE(P225,12*2),AND(AH225="K5-LAW",AG225="นิติศาสตร์",OR(Z225="M2",Z225="K4"),AC225&gt;=2,OR(AB225&lt;V225,AB225&lt;P225)),EDATE(AB225,12*2),AND(AH225="K5-LAW",AG225="นิติศาสตร์",Z225="S1",AC225&gt;=1,OR(AB225&lt;V225,AB225&lt;P225)),EDATE(AB225,12),AND(AH225="K5-LAW",AG225="นิติศาสตร์",OR(T225="M2",T225="K4"),W225&gt;=2,V225&lt;P225),EDATE(V225,12*2),AND(AH225="K5-LAW",AG225="นิติศาสตร์",T225="S1",W225&gt;=1,V225&lt;P225),EDATE(V225,12),AND(AH225="K5-LAW",AG225="นิติศาสตร์",OR(T225="S2",T225="K5")),V225,AND(AH225="K5-LAW",AG225="นิติศาสตร์",OR(K225="M2",K225="K4"),Q225&gt;=2),EDATE(P225,12*2),AND(AH225="K5-LAW",AG225="นิติศาสตร์",K225="S1",Q225&gt;=1),EDATE(P225,12),AND(AH225="K5-LAW",AG225="นิติศาสตร์",OR(K225="S2",K225="K5")),P225,AND(AH225="K5-POLICY",AG225&lt;&gt;"นิติศาสตร์",K225="S2",T225="",Z225=""),P225,AND(AH225="K5-POLICY",AG225&lt;&gt;"นิติศาสตร์",K225="S1",T225="",Z225=""),EDATE(P225,12),AND(AH225="K5-POLICY",AG225&lt;&gt;"นิติศาสตร์",OR(K225="M2",K225="K4"),T225="",Z225=""),EDATE(P225,12*2),AND(AH225="K5-POLICY",AG225&lt;&gt;"นิติศาสตร์",OR(Z225="M2",Z225="K4"),AC225&gt;=2,OR(AB225&lt;V225,AB225&lt;P225)),EDATE(AB225,12*2),AND(AH225="K5-POLICY",AG225&lt;&gt;"นิติศาสตร์",Z225="S1",AC225&gt;=1,OR(AB225&lt;V225,AB225&lt;P225)),EDATE(AB225,12),AND(AH225="K5-POLICY",AG225&lt;&gt;"นิติศาสตร์",OR(T225="M2",T225="K4"),W225&gt;=2,V225&lt;P225),EDATE(V225,12*2),AND(AH225="K5-POLICY",AG225&lt;&gt;"นิติศาสตร์",T225="S1",W225&gt;=1,V225&lt;P225),EDATE(V225,12),AND(AH225="K5-POLICY",AG225&lt;&gt;"นิติศาสตร์",OR(T225="S2",T225="K5")),V225,AND(AH225="K5-POLICY",AG225&lt;&gt;"นิติศาสตร์",OR(K225="M2",K225="K4"),Q225&gt;=2),EDATE(P225,12*2),AND(AH225="K5-POLICY",AG225&lt;&gt;"นิติศาสตร์",K225="S1",Q225&gt;=1),EDATE(P225,12),AND(AH225="K5-POLICY",AG225&lt;&gt;"นิติศาสตร์",OR(K225="S2",K225="K5")),P225,TRUE,"Check Data")</f>
        <v/>
      </c>
      <c r="AJ225" s="75" t="str">
        <f t="shared" si="61"/>
        <v>Check Data</v>
      </c>
      <c r="AK225" s="76" t="str">
        <f t="shared" si="62"/>
        <v>Check Data</v>
      </c>
      <c r="AL225" s="50" t="str">
        <f t="shared" si="63"/>
        <v>Check Data</v>
      </c>
      <c r="AM225" s="49" t="str">
        <f>IF(B225="","",IF(K225="S1","S1",INDEX(#REF!,#REF!)))</f>
        <v/>
      </c>
      <c r="AN225" s="49" t="str">
        <f>K225</f>
        <v>M2</v>
      </c>
      <c r="AO225" s="50" t="b">
        <f>K225=AM225</f>
        <v>0</v>
      </c>
      <c r="AP225" s="50"/>
    </row>
    <row r="226" spans="1:42" ht="21.75">
      <c r="A226" s="49">
        <v>224</v>
      </c>
      <c r="B226" s="50"/>
      <c r="C226" s="50"/>
      <c r="D226" s="50" t="s">
        <v>139</v>
      </c>
      <c r="E226" s="49" t="s">
        <v>222</v>
      </c>
      <c r="F226" s="49" t="str">
        <f>IF(E226="","",TEXT(EDATE(E226,-543*12),"dd/mm/yyyy"))</f>
        <v>20/04/1989</v>
      </c>
      <c r="G226" s="50">
        <f t="shared" si="49"/>
        <v>36</v>
      </c>
      <c r="H226" s="50">
        <f t="shared" si="50"/>
        <v>2</v>
      </c>
      <c r="I226" s="50">
        <f t="shared" si="51"/>
        <v>0</v>
      </c>
      <c r="J226" s="56"/>
      <c r="K226" s="49" t="s">
        <v>136</v>
      </c>
      <c r="L226" s="64"/>
      <c r="M226" s="49" t="s">
        <v>426</v>
      </c>
      <c r="N226" s="49">
        <v>2571</v>
      </c>
      <c r="O226" s="65" t="s">
        <v>216</v>
      </c>
      <c r="P226" s="49" t="str">
        <f t="shared" si="52"/>
        <v>21/12/2023</v>
      </c>
      <c r="Q226" s="68">
        <f t="shared" si="53"/>
        <v>1</v>
      </c>
      <c r="R226" s="68">
        <f t="shared" si="54"/>
        <v>5</v>
      </c>
      <c r="S226" s="68">
        <f t="shared" si="55"/>
        <v>30</v>
      </c>
      <c r="T226" s="65"/>
      <c r="U226" s="65"/>
      <c r="V226" s="49" t="str">
        <f>IF(U226="","",TEXT(EDATE(U226,-543*12),"dd/mm/yyyy"))</f>
        <v/>
      </c>
      <c r="W226" s="68">
        <f>IF(V226="",0,DATEDIF(V226,P226,"Y"))</f>
        <v>0</v>
      </c>
      <c r="X226" s="68">
        <f>IF(V226="",0,DATEDIF(V226,P226,"YM"))</f>
        <v>0</v>
      </c>
      <c r="Y226" s="68">
        <f>IF(V226="",0,DATEDIF(V226,P226,"MD"))</f>
        <v>0</v>
      </c>
      <c r="Z226" s="49"/>
      <c r="AA226" s="65"/>
      <c r="AB226" s="50" t="str">
        <f>IF(AA226="","",TEXT(EDATE(AA226,-543*12),"dd/mm/yyyy"))</f>
        <v/>
      </c>
      <c r="AC226" s="68">
        <f>IF(AB226="",0,DATEDIF(AB226,V226,"Y"))</f>
        <v>0</v>
      </c>
      <c r="AD226" s="68">
        <f>IF(AB226="",0,DATEDIF(AB226,V226,"YM"))</f>
        <v>0</v>
      </c>
      <c r="AE226" s="68">
        <f>IF(AB226="",0,DATEDIF(AB226,V226,"MD"))</f>
        <v>0</v>
      </c>
      <c r="AF226" s="50"/>
      <c r="AG226" s="50" t="s">
        <v>138</v>
      </c>
      <c r="AH226" s="49" t="str">
        <f>IF(AG226="นิติศาสตร์","K5-LAW","K5-POLICY")</f>
        <v>K5-LAW</v>
      </c>
      <c r="AI226" s="72" t="str">
        <f>_xlfn.IFS(B226="","",AND(AH226="K5-LAW",AG226="นิติศาสตร์",K226="S2",T226="",Z226=""),P226,AND(AH226="K5-LAW",AG226="นิติศาสตร์",K226="S1",T226="",Z226=""),EDATE(P226,12),AND(AH226="K5-LAW",AG226="นิติศาสตร์",OR(K226="M2",K226="K4"),T226="",Z226=""),EDATE(P226,12*2),AND(AH226="K5-LAW",AG226="นิติศาสตร์",OR(Z226="M2",Z226="K4"),AC226&gt;=2,OR(AB226&lt;V226,AB226&lt;P226)),EDATE(AB226,12*2),AND(AH226="K5-LAW",AG226="นิติศาสตร์",Z226="S1",AC226&gt;=1,OR(AB226&lt;V226,AB226&lt;P226)),EDATE(AB226,12),AND(AH226="K5-LAW",AG226="นิติศาสตร์",OR(T226="M2",T226="K4"),W226&gt;=2,V226&lt;P226),EDATE(V226,12*2),AND(AH226="K5-LAW",AG226="นิติศาสตร์",T226="S1",W226&gt;=1,V226&lt;P226),EDATE(V226,12),AND(AH226="K5-LAW",AG226="นิติศาสตร์",OR(T226="S2",T226="K5")),V226,AND(AH226="K5-LAW",AG226="นิติศาสตร์",OR(K226="M2",K226="K4"),Q226&gt;=2),EDATE(P226,12*2),AND(AH226="K5-LAW",AG226="นิติศาสตร์",K226="S1",Q226&gt;=1),EDATE(P226,12),AND(AH226="K5-LAW",AG226="นิติศาสตร์",OR(K226="S2",K226="K5")),P226,AND(AH226="K5-POLICY",AG226&lt;&gt;"นิติศาสตร์",K226="S2",T226="",Z226=""),P226,AND(AH226="K5-POLICY",AG226&lt;&gt;"นิติศาสตร์",K226="S1",T226="",Z226=""),EDATE(P226,12),AND(AH226="K5-POLICY",AG226&lt;&gt;"นิติศาสตร์",OR(K226="M2",K226="K4"),T226="",Z226=""),EDATE(P226,12*2),AND(AH226="K5-POLICY",AG226&lt;&gt;"นิติศาสตร์",OR(Z226="M2",Z226="K4"),AC226&gt;=2,OR(AB226&lt;V226,AB226&lt;P226)),EDATE(AB226,12*2),AND(AH226="K5-POLICY",AG226&lt;&gt;"นิติศาสตร์",Z226="S1",AC226&gt;=1,OR(AB226&lt;V226,AB226&lt;P226)),EDATE(AB226,12),AND(AH226="K5-POLICY",AG226&lt;&gt;"นิติศาสตร์",OR(T226="M2",T226="K4"),W226&gt;=2,V226&lt;P226),EDATE(V226,12*2),AND(AH226="K5-POLICY",AG226&lt;&gt;"นิติศาสตร์",T226="S1",W226&gt;=1,V226&lt;P226),EDATE(V226,12),AND(AH226="K5-POLICY",AG226&lt;&gt;"นิติศาสตร์",OR(T226="S2",T226="K5")),V226,AND(AH226="K5-POLICY",AG226&lt;&gt;"นิติศาสตร์",OR(K226="M2",K226="K4"),Q226&gt;=2),EDATE(P226,12*2),AND(AH226="K5-POLICY",AG226&lt;&gt;"นิติศาสตร์",K226="S1",Q226&gt;=1),EDATE(P226,12),AND(AH226="K5-POLICY",AG226&lt;&gt;"นิติศาสตร์",OR(K226="S2",K226="K5")),P226,TRUE,"Check Data")</f>
        <v/>
      </c>
      <c r="AJ226" s="75" t="str">
        <f t="shared" si="61"/>
        <v>Check Data</v>
      </c>
      <c r="AK226" s="76" t="str">
        <f t="shared" si="62"/>
        <v>Check Data</v>
      </c>
      <c r="AL226" s="50" t="str">
        <f t="shared" si="63"/>
        <v>Check Data</v>
      </c>
      <c r="AM226" s="49" t="str">
        <f>IF(B226="","",IF(K226="S1","S1",INDEX(#REF!,#REF!)))</f>
        <v/>
      </c>
      <c r="AN226" s="49" t="str">
        <f>K226</f>
        <v>M2</v>
      </c>
      <c r="AO226" s="50" t="b">
        <f>K226=AM226</f>
        <v>0</v>
      </c>
      <c r="AP226" s="50"/>
    </row>
    <row r="227" spans="1:42" ht="21.75">
      <c r="A227" s="49">
        <v>225</v>
      </c>
      <c r="B227" s="50"/>
      <c r="C227" s="50"/>
      <c r="D227" s="50" t="s">
        <v>139</v>
      </c>
      <c r="E227" s="49" t="s">
        <v>231</v>
      </c>
      <c r="F227" s="49" t="str">
        <f>IF(E227="","",TEXT(EDATE(E227,-543*12),"dd/mm/yyyy"))</f>
        <v>15/05/1995</v>
      </c>
      <c r="G227" s="50">
        <f t="shared" si="49"/>
        <v>30</v>
      </c>
      <c r="H227" s="50">
        <f t="shared" si="50"/>
        <v>1</v>
      </c>
      <c r="I227" s="50">
        <f t="shared" si="51"/>
        <v>5</v>
      </c>
      <c r="J227" s="59"/>
      <c r="K227" s="49" t="s">
        <v>136</v>
      </c>
      <c r="L227" s="64"/>
      <c r="M227" s="49" t="s">
        <v>426</v>
      </c>
      <c r="N227" s="49">
        <v>2572</v>
      </c>
      <c r="O227" s="65" t="s">
        <v>216</v>
      </c>
      <c r="P227" s="49" t="str">
        <f t="shared" si="52"/>
        <v>21/12/2023</v>
      </c>
      <c r="Q227" s="68">
        <f t="shared" si="53"/>
        <v>1</v>
      </c>
      <c r="R227" s="68">
        <f t="shared" si="54"/>
        <v>5</v>
      </c>
      <c r="S227" s="68">
        <f t="shared" si="55"/>
        <v>30</v>
      </c>
      <c r="T227" s="65"/>
      <c r="U227" s="65"/>
      <c r="V227" s="49" t="str">
        <f>IF(U227="","",TEXT(EDATE(U227,-543*12),"dd/mm/yyyy"))</f>
        <v/>
      </c>
      <c r="W227" s="68">
        <f>IF(V227="",0,DATEDIF(V227,P227,"Y"))</f>
        <v>0</v>
      </c>
      <c r="X227" s="68">
        <f>IF(V227="",0,DATEDIF(V227,P227,"YM"))</f>
        <v>0</v>
      </c>
      <c r="Y227" s="68">
        <f>IF(V227="",0,DATEDIF(V227,P227,"MD"))</f>
        <v>0</v>
      </c>
      <c r="Z227" s="49"/>
      <c r="AA227" s="65"/>
      <c r="AB227" s="50" t="str">
        <f>IF(AA227="","",TEXT(EDATE(AA227,-543*12),"dd/mm/yyyy"))</f>
        <v/>
      </c>
      <c r="AC227" s="68">
        <f>IF(AB227="",0,DATEDIF(AB227,V227,"Y"))</f>
        <v>0</v>
      </c>
      <c r="AD227" s="68">
        <f>IF(AB227="",0,DATEDIF(AB227,V227,"YM"))</f>
        <v>0</v>
      </c>
      <c r="AE227" s="68">
        <f>IF(AB227="",0,DATEDIF(AB227,V227,"MD"))</f>
        <v>0</v>
      </c>
      <c r="AF227" s="50"/>
      <c r="AG227" s="50" t="s">
        <v>138</v>
      </c>
      <c r="AH227" s="49" t="str">
        <f>IF(AG227="นิติศาสตร์","K5-LAW","K5-POLICY")</f>
        <v>K5-LAW</v>
      </c>
      <c r="AI227" s="72" t="str">
        <f>_xlfn.IFS(B227="","",AND(AH227="K5-LAW",AG227="นิติศาสตร์",K227="S2",T227="",Z227=""),P227,AND(AH227="K5-LAW",AG227="นิติศาสตร์",K227="S1",T227="",Z227=""),EDATE(P227,12),AND(AH227="K5-LAW",AG227="นิติศาสตร์",OR(K227="M2",K227="K4"),T227="",Z227=""),EDATE(P227,12*2),AND(AH227="K5-LAW",AG227="นิติศาสตร์",OR(Z227="M2",Z227="K4"),AC227&gt;=2,OR(AB227&lt;V227,AB227&lt;P227)),EDATE(AB227,12*2),AND(AH227="K5-LAW",AG227="นิติศาสตร์",Z227="S1",AC227&gt;=1,OR(AB227&lt;V227,AB227&lt;P227)),EDATE(AB227,12),AND(AH227="K5-LAW",AG227="นิติศาสตร์",OR(T227="M2",T227="K4"),W227&gt;=2,V227&lt;P227),EDATE(V227,12*2),AND(AH227="K5-LAW",AG227="นิติศาสตร์",T227="S1",W227&gt;=1,V227&lt;P227),EDATE(V227,12),AND(AH227="K5-LAW",AG227="นิติศาสตร์",OR(T227="S2",T227="K5")),V227,AND(AH227="K5-LAW",AG227="นิติศาสตร์",OR(K227="M2",K227="K4"),Q227&gt;=2),EDATE(P227,12*2),AND(AH227="K5-LAW",AG227="นิติศาสตร์",K227="S1",Q227&gt;=1),EDATE(P227,12),AND(AH227="K5-LAW",AG227="นิติศาสตร์",OR(K227="S2",K227="K5")),P227,AND(AH227="K5-POLICY",AG227&lt;&gt;"นิติศาสตร์",K227="S2",T227="",Z227=""),P227,AND(AH227="K5-POLICY",AG227&lt;&gt;"นิติศาสตร์",K227="S1",T227="",Z227=""),EDATE(P227,12),AND(AH227="K5-POLICY",AG227&lt;&gt;"นิติศาสตร์",OR(K227="M2",K227="K4"),T227="",Z227=""),EDATE(P227,12*2),AND(AH227="K5-POLICY",AG227&lt;&gt;"นิติศาสตร์",OR(Z227="M2",Z227="K4"),AC227&gt;=2,OR(AB227&lt;V227,AB227&lt;P227)),EDATE(AB227,12*2),AND(AH227="K5-POLICY",AG227&lt;&gt;"นิติศาสตร์",Z227="S1",AC227&gt;=1,OR(AB227&lt;V227,AB227&lt;P227)),EDATE(AB227,12),AND(AH227="K5-POLICY",AG227&lt;&gt;"นิติศาสตร์",OR(T227="M2",T227="K4"),W227&gt;=2,V227&lt;P227),EDATE(V227,12*2),AND(AH227="K5-POLICY",AG227&lt;&gt;"นิติศาสตร์",T227="S1",W227&gt;=1,V227&lt;P227),EDATE(V227,12),AND(AH227="K5-POLICY",AG227&lt;&gt;"นิติศาสตร์",OR(T227="S2",T227="K5")),V227,AND(AH227="K5-POLICY",AG227&lt;&gt;"นิติศาสตร์",OR(K227="M2",K227="K4"),Q227&gt;=2),EDATE(P227,12*2),AND(AH227="K5-POLICY",AG227&lt;&gt;"นิติศาสตร์",K227="S1",Q227&gt;=1),EDATE(P227,12),AND(AH227="K5-POLICY",AG227&lt;&gt;"นิติศาสตร์",OR(K227="S2",K227="K5")),P227,TRUE,"Check Data")</f>
        <v/>
      </c>
      <c r="AJ227" s="75" t="str">
        <f t="shared" si="61"/>
        <v>Check Data</v>
      </c>
      <c r="AK227" s="76" t="str">
        <f t="shared" si="62"/>
        <v>Check Data</v>
      </c>
      <c r="AL227" s="50" t="str">
        <f t="shared" si="63"/>
        <v>Check Data</v>
      </c>
      <c r="AM227" s="49" t="str">
        <f>IF(B227="","",IF(K227="S1","S1",INDEX(#REF!,#REF!)))</f>
        <v/>
      </c>
      <c r="AN227" s="49" t="str">
        <f>K227</f>
        <v>M2</v>
      </c>
      <c r="AO227" s="50" t="b">
        <f>K227=AM227</f>
        <v>0</v>
      </c>
      <c r="AP227" s="51"/>
    </row>
    <row r="228" spans="1:42" ht="21.75">
      <c r="A228" s="49">
        <v>226</v>
      </c>
      <c r="B228" s="50"/>
      <c r="C228" s="52"/>
      <c r="D228" s="79"/>
      <c r="E228" s="79"/>
      <c r="F228" s="79"/>
      <c r="G228" s="50">
        <f t="shared" si="49"/>
        <v>0</v>
      </c>
      <c r="H228" s="50">
        <f t="shared" si="50"/>
        <v>0</v>
      </c>
      <c r="I228" s="50">
        <f t="shared" si="51"/>
        <v>0</v>
      </c>
      <c r="J228" s="79"/>
      <c r="K228" s="49" t="s">
        <v>136</v>
      </c>
      <c r="L228" s="79"/>
      <c r="M228" s="79"/>
      <c r="N228" s="79"/>
      <c r="O228" s="65" t="s">
        <v>433</v>
      </c>
      <c r="P228" s="49" t="str">
        <f t="shared" si="52"/>
        <v>23/04/2024</v>
      </c>
      <c r="Q228" s="68">
        <f t="shared" si="53"/>
        <v>1</v>
      </c>
      <c r="R228" s="68">
        <f t="shared" si="54"/>
        <v>1</v>
      </c>
      <c r="S228" s="68">
        <f t="shared" si="55"/>
        <v>28</v>
      </c>
      <c r="T228" s="65"/>
      <c r="U228" s="83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49" t="str">
        <f>IF(AG228="นิติศาสตร์","K5-LAW","K5-POLICY")</f>
        <v>K5-POLICY</v>
      </c>
      <c r="AI228" s="72" t="str">
        <f>_xlfn.IFS(B228="","",AND(AH228="K5-LAW",AG228="นิติศาสตร์",K228="S2",T228="",Z228=""),P228,AND(AH228="K5-LAW",AG228="นิติศาสตร์",K228="S1",T228="",Z228=""),EDATE(P228,12),AND(AH228="K5-LAW",AG228="นิติศาสตร์",OR(K228="M2",K228="K4"),T228="",Z228=""),EDATE(P228,12*2),AND(AH228="K5-LAW",AG228="นิติศาสตร์",OR(Z228="M2",Z228="K4"),AC228&gt;=2,OR(AB228&lt;V228,AB228&lt;P228)),EDATE(AB228,12*2),AND(AH228="K5-LAW",AG228="นิติศาสตร์",Z228="S1",AC228&gt;=1,OR(AB228&lt;V228,AB228&lt;P228)),EDATE(AB228,12),AND(AH228="K5-LAW",AG228="นิติศาสตร์",OR(T228="M2",T228="K4"),W228&gt;=2,V228&lt;P228),EDATE(V228,12*2),AND(AH228="K5-LAW",AG228="นิติศาสตร์",T228="S1",W228&gt;=1,V228&lt;P228),EDATE(V228,12),AND(AH228="K5-LAW",AG228="นิติศาสตร์",OR(T228="S2",T228="K5")),V228,AND(AH228="K5-LAW",AG228="นิติศาสตร์",OR(K228="M2",K228="K4"),Q228&gt;=2),EDATE(P228,12*2),AND(AH228="K5-LAW",AG228="นิติศาสตร์",K228="S1",Q228&gt;=1),EDATE(P228,12),AND(AH228="K5-LAW",AG228="นิติศาสตร์",OR(K228="S2",K228="K5")),P228,AND(AH228="K5-POLICY",AG228&lt;&gt;"นิติศาสตร์",K228="S2",T228="",Z228=""),P228,AND(AH228="K5-POLICY",AG228&lt;&gt;"นิติศาสตร์",K228="S1",T228="",Z228=""),EDATE(P228,12),AND(AH228="K5-POLICY",AG228&lt;&gt;"นิติศาสตร์",OR(K228="M2",K228="K4"),T228="",Z228=""),EDATE(P228,12*2),AND(AH228="K5-POLICY",AG228&lt;&gt;"นิติศาสตร์",OR(Z228="M2",Z228="K4"),AC228&gt;=2,OR(AB228&lt;V228,AB228&lt;P228)),EDATE(AB228,12*2),AND(AH228="K5-POLICY",AG228&lt;&gt;"นิติศาสตร์",Z228="S1",AC228&gt;=1,OR(AB228&lt;V228,AB228&lt;P228)),EDATE(AB228,12),AND(AH228="K5-POLICY",AG228&lt;&gt;"นิติศาสตร์",OR(T228="M2",T228="K4"),W228&gt;=2,V228&lt;P228),EDATE(V228,12*2),AND(AH228="K5-POLICY",AG228&lt;&gt;"นิติศาสตร์",T228="S1",W228&gt;=1,V228&lt;P228),EDATE(V228,12),AND(AH228="K5-POLICY",AG228&lt;&gt;"นิติศาสตร์",OR(T228="S2",T228="K5")),V228,AND(AH228="K5-POLICY",AG228&lt;&gt;"นิติศาสตร์",OR(K228="M2",K228="K4"),Q228&gt;=2),EDATE(P228,12*2),AND(AH228="K5-POLICY",AG228&lt;&gt;"นิติศาสตร์",K228="S1",Q228&gt;=1),EDATE(P228,12),AND(AH228="K5-POLICY",AG228&lt;&gt;"นิติศาสตร์",OR(K228="S2",K228="K5")),P228,TRUE,"Check Data")</f>
        <v/>
      </c>
      <c r="AJ228" s="75" t="str">
        <f t="shared" si="61"/>
        <v>Check Data</v>
      </c>
      <c r="AK228" s="76" t="str">
        <f t="shared" si="62"/>
        <v>Check Data</v>
      </c>
      <c r="AL228" s="50" t="str">
        <f t="shared" si="63"/>
        <v>Check Data</v>
      </c>
      <c r="AM228" s="49" t="str">
        <f>IF(B228="","",IF(K228="S1","S1",INDEX(#REF!,#REF!)))</f>
        <v/>
      </c>
      <c r="AN228" s="49" t="str">
        <f>K228</f>
        <v>M2</v>
      </c>
      <c r="AO228" s="50" t="b">
        <f>K228=AM228</f>
        <v>0</v>
      </c>
      <c r="AP228" s="50"/>
    </row>
    <row r="229" spans="1:42" ht="21.75">
      <c r="A229" s="49">
        <v>227</v>
      </c>
      <c r="B229" s="50"/>
      <c r="C229" s="52"/>
      <c r="D229" s="79"/>
      <c r="E229" s="79"/>
      <c r="F229" s="79"/>
      <c r="G229" s="50">
        <f t="shared" si="49"/>
        <v>0</v>
      </c>
      <c r="H229" s="50">
        <f t="shared" si="50"/>
        <v>0</v>
      </c>
      <c r="I229" s="50">
        <f t="shared" si="51"/>
        <v>0</v>
      </c>
      <c r="J229" s="79"/>
      <c r="K229" s="49" t="s">
        <v>136</v>
      </c>
      <c r="L229" s="79"/>
      <c r="M229" s="79"/>
      <c r="N229" s="79"/>
      <c r="O229" s="65" t="s">
        <v>433</v>
      </c>
      <c r="P229" s="49" t="str">
        <f t="shared" si="52"/>
        <v>23/04/2024</v>
      </c>
      <c r="Q229" s="68">
        <f t="shared" si="53"/>
        <v>1</v>
      </c>
      <c r="R229" s="68">
        <f t="shared" si="54"/>
        <v>1</v>
      </c>
      <c r="S229" s="68">
        <f t="shared" si="55"/>
        <v>28</v>
      </c>
      <c r="T229" s="65"/>
      <c r="U229" s="83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49" t="str">
        <f>IF(AG229="นิติศาสตร์","K5-LAW","K5-POLICY")</f>
        <v>K5-POLICY</v>
      </c>
      <c r="AI229" s="72" t="str">
        <f>_xlfn.IFS(B229="","",AND(AH229="K5-LAW",AG229="นิติศาสตร์",K229="S2",T229="",Z229=""),P229,AND(AH229="K5-LAW",AG229="นิติศาสตร์",K229="S1",T229="",Z229=""),EDATE(P229,12),AND(AH229="K5-LAW",AG229="นิติศาสตร์",OR(K229="M2",K229="K4"),T229="",Z229=""),EDATE(P229,12*2),AND(AH229="K5-LAW",AG229="นิติศาสตร์",OR(Z229="M2",Z229="K4"),AC229&gt;=2,OR(AB229&lt;V229,AB229&lt;P229)),EDATE(AB229,12*2),AND(AH229="K5-LAW",AG229="นิติศาสตร์",Z229="S1",AC229&gt;=1,OR(AB229&lt;V229,AB229&lt;P229)),EDATE(AB229,12),AND(AH229="K5-LAW",AG229="นิติศาสตร์",OR(T229="M2",T229="K4"),W229&gt;=2,V229&lt;P229),EDATE(V229,12*2),AND(AH229="K5-LAW",AG229="นิติศาสตร์",T229="S1",W229&gt;=1,V229&lt;P229),EDATE(V229,12),AND(AH229="K5-LAW",AG229="นิติศาสตร์",OR(T229="S2",T229="K5")),V229,AND(AH229="K5-LAW",AG229="นิติศาสตร์",OR(K229="M2",K229="K4"),Q229&gt;=2),EDATE(P229,12*2),AND(AH229="K5-LAW",AG229="นิติศาสตร์",K229="S1",Q229&gt;=1),EDATE(P229,12),AND(AH229="K5-LAW",AG229="นิติศาสตร์",OR(K229="S2",K229="K5")),P229,AND(AH229="K5-POLICY",AG229&lt;&gt;"นิติศาสตร์",K229="S2",T229="",Z229=""),P229,AND(AH229="K5-POLICY",AG229&lt;&gt;"นิติศาสตร์",K229="S1",T229="",Z229=""),EDATE(P229,12),AND(AH229="K5-POLICY",AG229&lt;&gt;"นิติศาสตร์",OR(K229="M2",K229="K4"),T229="",Z229=""),EDATE(P229,12*2),AND(AH229="K5-POLICY",AG229&lt;&gt;"นิติศาสตร์",OR(Z229="M2",Z229="K4"),AC229&gt;=2,OR(AB229&lt;V229,AB229&lt;P229)),EDATE(AB229,12*2),AND(AH229="K5-POLICY",AG229&lt;&gt;"นิติศาสตร์",Z229="S1",AC229&gt;=1,OR(AB229&lt;V229,AB229&lt;P229)),EDATE(AB229,12),AND(AH229="K5-POLICY",AG229&lt;&gt;"นิติศาสตร์",OR(T229="M2",T229="K4"),W229&gt;=2,V229&lt;P229),EDATE(V229,12*2),AND(AH229="K5-POLICY",AG229&lt;&gt;"นิติศาสตร์",T229="S1",W229&gt;=1,V229&lt;P229),EDATE(V229,12),AND(AH229="K5-POLICY",AG229&lt;&gt;"นิติศาสตร์",OR(T229="S2",T229="K5")),V229,AND(AH229="K5-POLICY",AG229&lt;&gt;"นิติศาสตร์",OR(K229="M2",K229="K4"),Q229&gt;=2),EDATE(P229,12*2),AND(AH229="K5-POLICY",AG229&lt;&gt;"นิติศาสตร์",K229="S1",Q229&gt;=1),EDATE(P229,12),AND(AH229="K5-POLICY",AG229&lt;&gt;"นิติศาสตร์",OR(K229="S2",K229="K5")),P229,TRUE,"Check Data")</f>
        <v/>
      </c>
      <c r="AJ229" s="75" t="str">
        <f t="shared" si="61"/>
        <v>Check Data</v>
      </c>
      <c r="AK229" s="76" t="str">
        <f t="shared" si="62"/>
        <v>Check Data</v>
      </c>
      <c r="AL229" s="50" t="str">
        <f t="shared" si="63"/>
        <v>Check Data</v>
      </c>
      <c r="AM229" s="49" t="str">
        <f>IF(B229="","",IF(K229="S1","S1",INDEX(#REF!,#REF!)))</f>
        <v/>
      </c>
      <c r="AN229" s="49" t="str">
        <f>K229</f>
        <v>M2</v>
      </c>
      <c r="AO229" s="50" t="b">
        <f>K229=AM229</f>
        <v>0</v>
      </c>
      <c r="AP229" s="50"/>
    </row>
    <row r="230" spans="1:42" ht="21.75">
      <c r="A230" s="49">
        <v>228</v>
      </c>
      <c r="B230" s="50"/>
      <c r="C230" s="52"/>
      <c r="D230" s="79"/>
      <c r="E230" s="79"/>
      <c r="F230" s="79"/>
      <c r="G230" s="50">
        <f t="shared" si="49"/>
        <v>0</v>
      </c>
      <c r="H230" s="50">
        <f t="shared" si="50"/>
        <v>0</v>
      </c>
      <c r="I230" s="50">
        <f t="shared" si="51"/>
        <v>0</v>
      </c>
      <c r="J230" s="79"/>
      <c r="K230" s="49" t="s">
        <v>136</v>
      </c>
      <c r="L230" s="79"/>
      <c r="M230" s="79"/>
      <c r="N230" s="79"/>
      <c r="O230" s="65" t="s">
        <v>433</v>
      </c>
      <c r="P230" s="49" t="str">
        <f t="shared" si="52"/>
        <v>23/04/2024</v>
      </c>
      <c r="Q230" s="68">
        <f t="shared" si="53"/>
        <v>1</v>
      </c>
      <c r="R230" s="68">
        <f t="shared" si="54"/>
        <v>1</v>
      </c>
      <c r="S230" s="68">
        <f t="shared" si="55"/>
        <v>28</v>
      </c>
      <c r="T230" s="65"/>
      <c r="U230" s="83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49" t="str">
        <f>IF(AG230="นิติศาสตร์","K5-LAW","K5-POLICY")</f>
        <v>K5-POLICY</v>
      </c>
      <c r="AI230" s="72" t="str">
        <f>_xlfn.IFS(B230="","",AND(AH230="K5-LAW",AG230="นิติศาสตร์",K230="S2",T230="",Z230=""),P230,AND(AH230="K5-LAW",AG230="นิติศาสตร์",K230="S1",T230="",Z230=""),EDATE(P230,12),AND(AH230="K5-LAW",AG230="นิติศาสตร์",OR(K230="M2",K230="K4"),T230="",Z230=""),EDATE(P230,12*2),AND(AH230="K5-LAW",AG230="นิติศาสตร์",OR(Z230="M2",Z230="K4"),AC230&gt;=2,OR(AB230&lt;V230,AB230&lt;P230)),EDATE(AB230,12*2),AND(AH230="K5-LAW",AG230="นิติศาสตร์",Z230="S1",AC230&gt;=1,OR(AB230&lt;V230,AB230&lt;P230)),EDATE(AB230,12),AND(AH230="K5-LAW",AG230="นิติศาสตร์",OR(T230="M2",T230="K4"),W230&gt;=2,V230&lt;P230),EDATE(V230,12*2),AND(AH230="K5-LAW",AG230="นิติศาสตร์",T230="S1",W230&gt;=1,V230&lt;P230),EDATE(V230,12),AND(AH230="K5-LAW",AG230="นิติศาสตร์",OR(T230="S2",T230="K5")),V230,AND(AH230="K5-LAW",AG230="นิติศาสตร์",OR(K230="M2",K230="K4"),Q230&gt;=2),EDATE(P230,12*2),AND(AH230="K5-LAW",AG230="นิติศาสตร์",K230="S1",Q230&gt;=1),EDATE(P230,12),AND(AH230="K5-LAW",AG230="นิติศาสตร์",OR(K230="S2",K230="K5")),P230,AND(AH230="K5-POLICY",AG230&lt;&gt;"นิติศาสตร์",K230="S2",T230="",Z230=""),P230,AND(AH230="K5-POLICY",AG230&lt;&gt;"นิติศาสตร์",K230="S1",T230="",Z230=""),EDATE(P230,12),AND(AH230="K5-POLICY",AG230&lt;&gt;"นิติศาสตร์",OR(K230="M2",K230="K4"),T230="",Z230=""),EDATE(P230,12*2),AND(AH230="K5-POLICY",AG230&lt;&gt;"นิติศาสตร์",OR(Z230="M2",Z230="K4"),AC230&gt;=2,OR(AB230&lt;V230,AB230&lt;P230)),EDATE(AB230,12*2),AND(AH230="K5-POLICY",AG230&lt;&gt;"นิติศาสตร์",Z230="S1",AC230&gt;=1,OR(AB230&lt;V230,AB230&lt;P230)),EDATE(AB230,12),AND(AH230="K5-POLICY",AG230&lt;&gt;"นิติศาสตร์",OR(T230="M2",T230="K4"),W230&gt;=2,V230&lt;P230),EDATE(V230,12*2),AND(AH230="K5-POLICY",AG230&lt;&gt;"นิติศาสตร์",T230="S1",W230&gt;=1,V230&lt;P230),EDATE(V230,12),AND(AH230="K5-POLICY",AG230&lt;&gt;"นิติศาสตร์",OR(T230="S2",T230="K5")),V230,AND(AH230="K5-POLICY",AG230&lt;&gt;"นิติศาสตร์",OR(K230="M2",K230="K4"),Q230&gt;=2),EDATE(P230,12*2),AND(AH230="K5-POLICY",AG230&lt;&gt;"นิติศาสตร์",K230="S1",Q230&gt;=1),EDATE(P230,12),AND(AH230="K5-POLICY",AG230&lt;&gt;"นิติศาสตร์",OR(K230="S2",K230="K5")),P230,TRUE,"Check Data")</f>
        <v/>
      </c>
      <c r="AJ230" s="75" t="str">
        <f t="shared" si="61"/>
        <v>Check Data</v>
      </c>
      <c r="AK230" s="76" t="str">
        <f t="shared" si="62"/>
        <v>Check Data</v>
      </c>
      <c r="AL230" s="50" t="str">
        <f t="shared" si="63"/>
        <v>Check Data</v>
      </c>
      <c r="AM230" s="49" t="str">
        <f>IF(B230="","",IF(K230="S1","S1",INDEX(#REF!,#REF!)))</f>
        <v/>
      </c>
      <c r="AN230" s="49" t="str">
        <f>K230</f>
        <v>M2</v>
      </c>
      <c r="AO230" s="50" t="b">
        <f>K230=AM230</f>
        <v>0</v>
      </c>
      <c r="AP230" s="50"/>
    </row>
    <row r="231" spans="1:42" ht="21.75">
      <c r="A231" s="49">
        <v>229</v>
      </c>
      <c r="B231" s="50"/>
      <c r="C231" s="52"/>
      <c r="D231" s="79"/>
      <c r="E231" s="79"/>
      <c r="F231" s="79"/>
      <c r="G231" s="50">
        <f t="shared" si="49"/>
        <v>0</v>
      </c>
      <c r="H231" s="50">
        <f t="shared" si="50"/>
        <v>0</v>
      </c>
      <c r="I231" s="50">
        <f t="shared" si="51"/>
        <v>0</v>
      </c>
      <c r="J231" s="79"/>
      <c r="K231" s="49" t="s">
        <v>136</v>
      </c>
      <c r="L231" s="79"/>
      <c r="M231" s="79"/>
      <c r="N231" s="79"/>
      <c r="O231" s="65" t="s">
        <v>433</v>
      </c>
      <c r="P231" s="49" t="str">
        <f t="shared" si="52"/>
        <v>23/04/2024</v>
      </c>
      <c r="Q231" s="68">
        <f t="shared" si="53"/>
        <v>1</v>
      </c>
      <c r="R231" s="68">
        <f t="shared" si="54"/>
        <v>1</v>
      </c>
      <c r="S231" s="68">
        <f t="shared" si="55"/>
        <v>28</v>
      </c>
      <c r="T231" s="65"/>
      <c r="U231" s="83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49" t="str">
        <f>IF(AG231="นิติศาสตร์","K5-LAW","K5-POLICY")</f>
        <v>K5-POLICY</v>
      </c>
      <c r="AI231" s="72" t="str">
        <f>_xlfn.IFS(B231="","",AND(AH231="K5-LAW",AG231="นิติศาสตร์",K231="S2",T231="",Z231=""),P231,AND(AH231="K5-LAW",AG231="นิติศาสตร์",K231="S1",T231="",Z231=""),EDATE(P231,12),AND(AH231="K5-LAW",AG231="นิติศาสตร์",OR(K231="M2",K231="K4"),T231="",Z231=""),EDATE(P231,12*2),AND(AH231="K5-LAW",AG231="นิติศาสตร์",OR(Z231="M2",Z231="K4"),AC231&gt;=2,OR(AB231&lt;V231,AB231&lt;P231)),EDATE(AB231,12*2),AND(AH231="K5-LAW",AG231="นิติศาสตร์",Z231="S1",AC231&gt;=1,OR(AB231&lt;V231,AB231&lt;P231)),EDATE(AB231,12),AND(AH231="K5-LAW",AG231="นิติศาสตร์",OR(T231="M2",T231="K4"),W231&gt;=2,V231&lt;P231),EDATE(V231,12*2),AND(AH231="K5-LAW",AG231="นิติศาสตร์",T231="S1",W231&gt;=1,V231&lt;P231),EDATE(V231,12),AND(AH231="K5-LAW",AG231="นิติศาสตร์",OR(T231="S2",T231="K5")),V231,AND(AH231="K5-LAW",AG231="นิติศาสตร์",OR(K231="M2",K231="K4"),Q231&gt;=2),EDATE(P231,12*2),AND(AH231="K5-LAW",AG231="นิติศาสตร์",K231="S1",Q231&gt;=1),EDATE(P231,12),AND(AH231="K5-LAW",AG231="นิติศาสตร์",OR(K231="S2",K231="K5")),P231,AND(AH231="K5-POLICY",AG231&lt;&gt;"นิติศาสตร์",K231="S2",T231="",Z231=""),P231,AND(AH231="K5-POLICY",AG231&lt;&gt;"นิติศาสตร์",K231="S1",T231="",Z231=""),EDATE(P231,12),AND(AH231="K5-POLICY",AG231&lt;&gt;"นิติศาสตร์",OR(K231="M2",K231="K4"),T231="",Z231=""),EDATE(P231,12*2),AND(AH231="K5-POLICY",AG231&lt;&gt;"นิติศาสตร์",OR(Z231="M2",Z231="K4"),AC231&gt;=2,OR(AB231&lt;V231,AB231&lt;P231)),EDATE(AB231,12*2),AND(AH231="K5-POLICY",AG231&lt;&gt;"นิติศาสตร์",Z231="S1",AC231&gt;=1,OR(AB231&lt;V231,AB231&lt;P231)),EDATE(AB231,12),AND(AH231="K5-POLICY",AG231&lt;&gt;"นิติศาสตร์",OR(T231="M2",T231="K4"),W231&gt;=2,V231&lt;P231),EDATE(V231,12*2),AND(AH231="K5-POLICY",AG231&lt;&gt;"นิติศาสตร์",T231="S1",W231&gt;=1,V231&lt;P231),EDATE(V231,12),AND(AH231="K5-POLICY",AG231&lt;&gt;"นิติศาสตร์",OR(T231="S2",T231="K5")),V231,AND(AH231="K5-POLICY",AG231&lt;&gt;"นิติศาสตร์",OR(K231="M2",K231="K4"),Q231&gt;=2),EDATE(P231,12*2),AND(AH231="K5-POLICY",AG231&lt;&gt;"นิติศาสตร์",K231="S1",Q231&gt;=1),EDATE(P231,12),AND(AH231="K5-POLICY",AG231&lt;&gt;"นิติศาสตร์",OR(K231="S2",K231="K5")),P231,TRUE,"Check Data")</f>
        <v/>
      </c>
      <c r="AJ231" s="75" t="str">
        <f t="shared" si="61"/>
        <v>Check Data</v>
      </c>
      <c r="AK231" s="76" t="str">
        <f t="shared" si="62"/>
        <v>Check Data</v>
      </c>
      <c r="AL231" s="50" t="str">
        <f t="shared" si="63"/>
        <v>Check Data</v>
      </c>
      <c r="AM231" s="49" t="str">
        <f>IF(B231="","",IF(K231="S1","S1",INDEX(#REF!,#REF!)))</f>
        <v/>
      </c>
      <c r="AN231" s="49" t="str">
        <f>K231</f>
        <v>M2</v>
      </c>
      <c r="AO231" s="50" t="b">
        <f>K231=AM231</f>
        <v>0</v>
      </c>
      <c r="AP231" s="50"/>
    </row>
    <row r="232" spans="1:42" ht="21.75">
      <c r="A232" s="49">
        <v>230</v>
      </c>
      <c r="B232" s="50"/>
      <c r="C232" s="52"/>
      <c r="D232" s="79"/>
      <c r="E232" s="79"/>
      <c r="F232" s="79"/>
      <c r="G232" s="50">
        <f t="shared" si="49"/>
        <v>0</v>
      </c>
      <c r="H232" s="50">
        <f t="shared" si="50"/>
        <v>0</v>
      </c>
      <c r="I232" s="50">
        <f t="shared" si="51"/>
        <v>0</v>
      </c>
      <c r="J232" s="79"/>
      <c r="K232" s="49" t="s">
        <v>136</v>
      </c>
      <c r="L232" s="79"/>
      <c r="M232" s="79"/>
      <c r="N232" s="79"/>
      <c r="O232" s="65" t="s">
        <v>433</v>
      </c>
      <c r="P232" s="49" t="str">
        <f t="shared" si="52"/>
        <v>23/04/2024</v>
      </c>
      <c r="Q232" s="68">
        <f t="shared" si="53"/>
        <v>1</v>
      </c>
      <c r="R232" s="68">
        <f t="shared" si="54"/>
        <v>1</v>
      </c>
      <c r="S232" s="68">
        <f t="shared" si="55"/>
        <v>28</v>
      </c>
      <c r="T232" s="65"/>
      <c r="U232" s="83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49" t="str">
        <f>IF(AG232="นิติศาสตร์","K5-LAW","K5-POLICY")</f>
        <v>K5-POLICY</v>
      </c>
      <c r="AI232" s="72" t="str">
        <f>_xlfn.IFS(B232="","",AND(AH232="K5-LAW",AG232="นิติศาสตร์",K232="S2",T232="",Z232=""),P232,AND(AH232="K5-LAW",AG232="นิติศาสตร์",K232="S1",T232="",Z232=""),EDATE(P232,12),AND(AH232="K5-LAW",AG232="นิติศาสตร์",OR(K232="M2",K232="K4"),T232="",Z232=""),EDATE(P232,12*2),AND(AH232="K5-LAW",AG232="นิติศาสตร์",OR(Z232="M2",Z232="K4"),AC232&gt;=2,OR(AB232&lt;V232,AB232&lt;P232)),EDATE(AB232,12*2),AND(AH232="K5-LAW",AG232="นิติศาสตร์",Z232="S1",AC232&gt;=1,OR(AB232&lt;V232,AB232&lt;P232)),EDATE(AB232,12),AND(AH232="K5-LAW",AG232="นิติศาสตร์",OR(T232="M2",T232="K4"),W232&gt;=2,V232&lt;P232),EDATE(V232,12*2),AND(AH232="K5-LAW",AG232="นิติศาสตร์",T232="S1",W232&gt;=1,V232&lt;P232),EDATE(V232,12),AND(AH232="K5-LAW",AG232="นิติศาสตร์",OR(T232="S2",T232="K5")),V232,AND(AH232="K5-LAW",AG232="นิติศาสตร์",OR(K232="M2",K232="K4"),Q232&gt;=2),EDATE(P232,12*2),AND(AH232="K5-LAW",AG232="นิติศาสตร์",K232="S1",Q232&gt;=1),EDATE(P232,12),AND(AH232="K5-LAW",AG232="นิติศาสตร์",OR(K232="S2",K232="K5")),P232,AND(AH232="K5-POLICY",AG232&lt;&gt;"นิติศาสตร์",K232="S2",T232="",Z232=""),P232,AND(AH232="K5-POLICY",AG232&lt;&gt;"นิติศาสตร์",K232="S1",T232="",Z232=""),EDATE(P232,12),AND(AH232="K5-POLICY",AG232&lt;&gt;"นิติศาสตร์",OR(K232="M2",K232="K4"),T232="",Z232=""),EDATE(P232,12*2),AND(AH232="K5-POLICY",AG232&lt;&gt;"นิติศาสตร์",OR(Z232="M2",Z232="K4"),AC232&gt;=2,OR(AB232&lt;V232,AB232&lt;P232)),EDATE(AB232,12*2),AND(AH232="K5-POLICY",AG232&lt;&gt;"นิติศาสตร์",Z232="S1",AC232&gt;=1,OR(AB232&lt;V232,AB232&lt;P232)),EDATE(AB232,12),AND(AH232="K5-POLICY",AG232&lt;&gt;"นิติศาสตร์",OR(T232="M2",T232="K4"),W232&gt;=2,V232&lt;P232),EDATE(V232,12*2),AND(AH232="K5-POLICY",AG232&lt;&gt;"นิติศาสตร์",T232="S1",W232&gt;=1,V232&lt;P232),EDATE(V232,12),AND(AH232="K5-POLICY",AG232&lt;&gt;"นิติศาสตร์",OR(T232="S2",T232="K5")),V232,AND(AH232="K5-POLICY",AG232&lt;&gt;"นิติศาสตร์",OR(K232="M2",K232="K4"),Q232&gt;=2),EDATE(P232,12*2),AND(AH232="K5-POLICY",AG232&lt;&gt;"นิติศาสตร์",K232="S1",Q232&gt;=1),EDATE(P232,12),AND(AH232="K5-POLICY",AG232&lt;&gt;"นิติศาสตร์",OR(K232="S2",K232="K5")),P232,TRUE,"Check Data")</f>
        <v/>
      </c>
      <c r="AJ232" s="75" t="str">
        <f t="shared" si="61"/>
        <v>Check Data</v>
      </c>
      <c r="AK232" s="76" t="str">
        <f t="shared" si="62"/>
        <v>Check Data</v>
      </c>
      <c r="AL232" s="50" t="str">
        <f t="shared" si="63"/>
        <v>Check Data</v>
      </c>
      <c r="AM232" s="49" t="str">
        <f>IF(B232="","",IF(K232="S1","S1",INDEX(#REF!,#REF!)))</f>
        <v/>
      </c>
      <c r="AN232" s="49" t="str">
        <f>K232</f>
        <v>M2</v>
      </c>
      <c r="AO232" s="50" t="b">
        <f>K232=AM232</f>
        <v>0</v>
      </c>
      <c r="AP232" s="50"/>
    </row>
    <row r="233" spans="1:42" ht="21.75">
      <c r="A233" s="49">
        <v>231</v>
      </c>
      <c r="B233" s="50"/>
      <c r="C233" s="52"/>
      <c r="D233" s="79"/>
      <c r="E233" s="79"/>
      <c r="F233" s="79"/>
      <c r="G233" s="50">
        <f t="shared" si="49"/>
        <v>0</v>
      </c>
      <c r="H233" s="50">
        <f t="shared" si="50"/>
        <v>0</v>
      </c>
      <c r="I233" s="50">
        <f t="shared" si="51"/>
        <v>0</v>
      </c>
      <c r="J233" s="79"/>
      <c r="K233" s="49" t="s">
        <v>136</v>
      </c>
      <c r="L233" s="79"/>
      <c r="M233" s="79"/>
      <c r="N233" s="79"/>
      <c r="O233" s="65" t="s">
        <v>433</v>
      </c>
      <c r="P233" s="49" t="str">
        <f t="shared" si="52"/>
        <v>23/04/2024</v>
      </c>
      <c r="Q233" s="68">
        <f t="shared" si="53"/>
        <v>1</v>
      </c>
      <c r="R233" s="68">
        <f t="shared" si="54"/>
        <v>1</v>
      </c>
      <c r="S233" s="68">
        <f t="shared" si="55"/>
        <v>28</v>
      </c>
      <c r="T233" s="65"/>
      <c r="U233" s="83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49" t="str">
        <f>IF(AG233="นิติศาสตร์","K5-LAW","K5-POLICY")</f>
        <v>K5-POLICY</v>
      </c>
      <c r="AI233" s="72" t="str">
        <f>_xlfn.IFS(B233="","",AND(AH233="K5-LAW",AG233="นิติศาสตร์",K233="S2",T233="",Z233=""),P233,AND(AH233="K5-LAW",AG233="นิติศาสตร์",K233="S1",T233="",Z233=""),EDATE(P233,12),AND(AH233="K5-LAW",AG233="นิติศาสตร์",OR(K233="M2",K233="K4"),T233="",Z233=""),EDATE(P233,12*2),AND(AH233="K5-LAW",AG233="นิติศาสตร์",OR(Z233="M2",Z233="K4"),AC233&gt;=2,OR(AB233&lt;V233,AB233&lt;P233)),EDATE(AB233,12*2),AND(AH233="K5-LAW",AG233="นิติศาสตร์",Z233="S1",AC233&gt;=1,OR(AB233&lt;V233,AB233&lt;P233)),EDATE(AB233,12),AND(AH233="K5-LAW",AG233="นิติศาสตร์",OR(T233="M2",T233="K4"),W233&gt;=2,V233&lt;P233),EDATE(V233,12*2),AND(AH233="K5-LAW",AG233="นิติศาสตร์",T233="S1",W233&gt;=1,V233&lt;P233),EDATE(V233,12),AND(AH233="K5-LAW",AG233="นิติศาสตร์",OR(T233="S2",T233="K5")),V233,AND(AH233="K5-LAW",AG233="นิติศาสตร์",OR(K233="M2",K233="K4"),Q233&gt;=2),EDATE(P233,12*2),AND(AH233="K5-LAW",AG233="นิติศาสตร์",K233="S1",Q233&gt;=1),EDATE(P233,12),AND(AH233="K5-LAW",AG233="นิติศาสตร์",OR(K233="S2",K233="K5")),P233,AND(AH233="K5-POLICY",AG233&lt;&gt;"นิติศาสตร์",K233="S2",T233="",Z233=""),P233,AND(AH233="K5-POLICY",AG233&lt;&gt;"นิติศาสตร์",K233="S1",T233="",Z233=""),EDATE(P233,12),AND(AH233="K5-POLICY",AG233&lt;&gt;"นิติศาสตร์",OR(K233="M2",K233="K4"),T233="",Z233=""),EDATE(P233,12*2),AND(AH233="K5-POLICY",AG233&lt;&gt;"นิติศาสตร์",OR(Z233="M2",Z233="K4"),AC233&gt;=2,OR(AB233&lt;V233,AB233&lt;P233)),EDATE(AB233,12*2),AND(AH233="K5-POLICY",AG233&lt;&gt;"นิติศาสตร์",Z233="S1",AC233&gt;=1,OR(AB233&lt;V233,AB233&lt;P233)),EDATE(AB233,12),AND(AH233="K5-POLICY",AG233&lt;&gt;"นิติศาสตร์",OR(T233="M2",T233="K4"),W233&gt;=2,V233&lt;P233),EDATE(V233,12*2),AND(AH233="K5-POLICY",AG233&lt;&gt;"นิติศาสตร์",T233="S1",W233&gt;=1,V233&lt;P233),EDATE(V233,12),AND(AH233="K5-POLICY",AG233&lt;&gt;"นิติศาสตร์",OR(T233="S2",T233="K5")),V233,AND(AH233="K5-POLICY",AG233&lt;&gt;"นิติศาสตร์",OR(K233="M2",K233="K4"),Q233&gt;=2),EDATE(P233,12*2),AND(AH233="K5-POLICY",AG233&lt;&gt;"นิติศาสตร์",K233="S1",Q233&gt;=1),EDATE(P233,12),AND(AH233="K5-POLICY",AG233&lt;&gt;"นิติศาสตร์",OR(K233="S2",K233="K5")),P233,TRUE,"Check Data")</f>
        <v/>
      </c>
      <c r="AJ233" s="75" t="str">
        <f t="shared" si="61"/>
        <v>Check Data</v>
      </c>
      <c r="AK233" s="76" t="str">
        <f t="shared" si="62"/>
        <v>Check Data</v>
      </c>
      <c r="AL233" s="50" t="str">
        <f t="shared" si="63"/>
        <v>Check Data</v>
      </c>
      <c r="AM233" s="49" t="str">
        <f>IF(B233="","",IF(K233="S1","S1",INDEX(#REF!,#REF!)))</f>
        <v/>
      </c>
      <c r="AN233" s="49" t="str">
        <f>K233</f>
        <v>M2</v>
      </c>
      <c r="AO233" s="50" t="b">
        <f>K233=AM233</f>
        <v>0</v>
      </c>
      <c r="AP233" s="50"/>
    </row>
    <row r="234" spans="1:42" ht="21.75">
      <c r="A234" s="49">
        <v>232</v>
      </c>
      <c r="B234" s="50"/>
      <c r="C234" s="52"/>
      <c r="D234" s="79"/>
      <c r="E234" s="79"/>
      <c r="F234" s="79"/>
      <c r="G234" s="50">
        <f t="shared" si="49"/>
        <v>0</v>
      </c>
      <c r="H234" s="50">
        <f t="shared" si="50"/>
        <v>0</v>
      </c>
      <c r="I234" s="50">
        <f t="shared" si="51"/>
        <v>0</v>
      </c>
      <c r="J234" s="79"/>
      <c r="K234" s="49" t="s">
        <v>136</v>
      </c>
      <c r="L234" s="79"/>
      <c r="M234" s="79"/>
      <c r="N234" s="79"/>
      <c r="O234" s="65" t="s">
        <v>433</v>
      </c>
      <c r="P234" s="49" t="str">
        <f t="shared" si="52"/>
        <v>23/04/2024</v>
      </c>
      <c r="Q234" s="68">
        <f t="shared" si="53"/>
        <v>1</v>
      </c>
      <c r="R234" s="68">
        <f t="shared" si="54"/>
        <v>1</v>
      </c>
      <c r="S234" s="68">
        <f t="shared" si="55"/>
        <v>28</v>
      </c>
      <c r="T234" s="65"/>
      <c r="U234" s="83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49" t="str">
        <f>IF(AG234="นิติศาสตร์","K5-LAW","K5-POLICY")</f>
        <v>K5-POLICY</v>
      </c>
      <c r="AI234" s="72" t="str">
        <f>_xlfn.IFS(B234="","",AND(AH234="K5-LAW",AG234="นิติศาสตร์",K234="S2",T234="",Z234=""),P234,AND(AH234="K5-LAW",AG234="นิติศาสตร์",K234="S1",T234="",Z234=""),EDATE(P234,12),AND(AH234="K5-LAW",AG234="นิติศาสตร์",OR(K234="M2",K234="K4"),T234="",Z234=""),EDATE(P234,12*2),AND(AH234="K5-LAW",AG234="นิติศาสตร์",OR(Z234="M2",Z234="K4"),AC234&gt;=2,OR(AB234&lt;V234,AB234&lt;P234)),EDATE(AB234,12*2),AND(AH234="K5-LAW",AG234="นิติศาสตร์",Z234="S1",AC234&gt;=1,OR(AB234&lt;V234,AB234&lt;P234)),EDATE(AB234,12),AND(AH234="K5-LAW",AG234="นิติศาสตร์",OR(T234="M2",T234="K4"),W234&gt;=2,V234&lt;P234),EDATE(V234,12*2),AND(AH234="K5-LAW",AG234="นิติศาสตร์",T234="S1",W234&gt;=1,V234&lt;P234),EDATE(V234,12),AND(AH234="K5-LAW",AG234="นิติศาสตร์",OR(T234="S2",T234="K5")),V234,AND(AH234="K5-LAW",AG234="นิติศาสตร์",OR(K234="M2",K234="K4"),Q234&gt;=2),EDATE(P234,12*2),AND(AH234="K5-LAW",AG234="นิติศาสตร์",K234="S1",Q234&gt;=1),EDATE(P234,12),AND(AH234="K5-LAW",AG234="นิติศาสตร์",OR(K234="S2",K234="K5")),P234,AND(AH234="K5-POLICY",AG234&lt;&gt;"นิติศาสตร์",K234="S2",T234="",Z234=""),P234,AND(AH234="K5-POLICY",AG234&lt;&gt;"นิติศาสตร์",K234="S1",T234="",Z234=""),EDATE(P234,12),AND(AH234="K5-POLICY",AG234&lt;&gt;"นิติศาสตร์",OR(K234="M2",K234="K4"),T234="",Z234=""),EDATE(P234,12*2),AND(AH234="K5-POLICY",AG234&lt;&gt;"นิติศาสตร์",OR(Z234="M2",Z234="K4"),AC234&gt;=2,OR(AB234&lt;V234,AB234&lt;P234)),EDATE(AB234,12*2),AND(AH234="K5-POLICY",AG234&lt;&gt;"นิติศาสตร์",Z234="S1",AC234&gt;=1,OR(AB234&lt;V234,AB234&lt;P234)),EDATE(AB234,12),AND(AH234="K5-POLICY",AG234&lt;&gt;"นิติศาสตร์",OR(T234="M2",T234="K4"),W234&gt;=2,V234&lt;P234),EDATE(V234,12*2),AND(AH234="K5-POLICY",AG234&lt;&gt;"นิติศาสตร์",T234="S1",W234&gt;=1,V234&lt;P234),EDATE(V234,12),AND(AH234="K5-POLICY",AG234&lt;&gt;"นิติศาสตร์",OR(T234="S2",T234="K5")),V234,AND(AH234="K5-POLICY",AG234&lt;&gt;"นิติศาสตร์",OR(K234="M2",K234="K4"),Q234&gt;=2),EDATE(P234,12*2),AND(AH234="K5-POLICY",AG234&lt;&gt;"นิติศาสตร์",K234="S1",Q234&gt;=1),EDATE(P234,12),AND(AH234="K5-POLICY",AG234&lt;&gt;"นิติศาสตร์",OR(K234="S2",K234="K5")),P234,TRUE,"Check Data")</f>
        <v/>
      </c>
      <c r="AJ234" s="75" t="str">
        <f t="shared" si="61"/>
        <v>Check Data</v>
      </c>
      <c r="AK234" s="76" t="str">
        <f t="shared" si="62"/>
        <v>Check Data</v>
      </c>
      <c r="AL234" s="50" t="str">
        <f t="shared" si="63"/>
        <v>Check Data</v>
      </c>
      <c r="AM234" s="49" t="str">
        <f>IF(B234="","",IF(K234="S1","S1",INDEX(#REF!,#REF!)))</f>
        <v/>
      </c>
      <c r="AN234" s="49" t="str">
        <f>K234</f>
        <v>M2</v>
      </c>
      <c r="AO234" s="50" t="b">
        <f>K234=AM234</f>
        <v>0</v>
      </c>
      <c r="AP234" s="50"/>
    </row>
    <row r="235" spans="1:42" ht="21.75">
      <c r="A235" s="49">
        <v>233</v>
      </c>
      <c r="B235" s="50"/>
      <c r="C235" s="52"/>
      <c r="D235" s="79"/>
      <c r="E235" s="79"/>
      <c r="F235" s="79"/>
      <c r="G235" s="50">
        <f t="shared" si="49"/>
        <v>0</v>
      </c>
      <c r="H235" s="50">
        <f t="shared" si="50"/>
        <v>0</v>
      </c>
      <c r="I235" s="50">
        <f t="shared" si="51"/>
        <v>0</v>
      </c>
      <c r="J235" s="79"/>
      <c r="K235" s="49" t="s">
        <v>136</v>
      </c>
      <c r="L235" s="79"/>
      <c r="M235" s="79"/>
      <c r="N235" s="79"/>
      <c r="O235" s="65" t="s">
        <v>433</v>
      </c>
      <c r="P235" s="49" t="str">
        <f t="shared" si="52"/>
        <v>23/04/2024</v>
      </c>
      <c r="Q235" s="68">
        <f t="shared" si="53"/>
        <v>1</v>
      </c>
      <c r="R235" s="68">
        <f t="shared" si="54"/>
        <v>1</v>
      </c>
      <c r="S235" s="68">
        <f t="shared" si="55"/>
        <v>28</v>
      </c>
      <c r="T235" s="65"/>
      <c r="U235" s="83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49" t="str">
        <f>IF(AG235="นิติศาสตร์","K5-LAW","K5-POLICY")</f>
        <v>K5-POLICY</v>
      </c>
      <c r="AI235" s="72" t="str">
        <f>_xlfn.IFS(B235="","",AND(AH235="K5-LAW",AG235="นิติศาสตร์",K235="S2",T235="",Z235=""),P235,AND(AH235="K5-LAW",AG235="นิติศาสตร์",K235="S1",T235="",Z235=""),EDATE(P235,12),AND(AH235="K5-LAW",AG235="นิติศาสตร์",OR(K235="M2",K235="K4"),T235="",Z235=""),EDATE(P235,12*2),AND(AH235="K5-LAW",AG235="นิติศาสตร์",OR(Z235="M2",Z235="K4"),AC235&gt;=2,OR(AB235&lt;V235,AB235&lt;P235)),EDATE(AB235,12*2),AND(AH235="K5-LAW",AG235="นิติศาสตร์",Z235="S1",AC235&gt;=1,OR(AB235&lt;V235,AB235&lt;P235)),EDATE(AB235,12),AND(AH235="K5-LAW",AG235="นิติศาสตร์",OR(T235="M2",T235="K4"),W235&gt;=2,V235&lt;P235),EDATE(V235,12*2),AND(AH235="K5-LAW",AG235="นิติศาสตร์",T235="S1",W235&gt;=1,V235&lt;P235),EDATE(V235,12),AND(AH235="K5-LAW",AG235="นิติศาสตร์",OR(T235="S2",T235="K5")),V235,AND(AH235="K5-LAW",AG235="นิติศาสตร์",OR(K235="M2",K235="K4"),Q235&gt;=2),EDATE(P235,12*2),AND(AH235="K5-LAW",AG235="นิติศาสตร์",K235="S1",Q235&gt;=1),EDATE(P235,12),AND(AH235="K5-LAW",AG235="นิติศาสตร์",OR(K235="S2",K235="K5")),P235,AND(AH235="K5-POLICY",AG235&lt;&gt;"นิติศาสตร์",K235="S2",T235="",Z235=""),P235,AND(AH235="K5-POLICY",AG235&lt;&gt;"นิติศาสตร์",K235="S1",T235="",Z235=""),EDATE(P235,12),AND(AH235="K5-POLICY",AG235&lt;&gt;"นิติศาสตร์",OR(K235="M2",K235="K4"),T235="",Z235=""),EDATE(P235,12*2),AND(AH235="K5-POLICY",AG235&lt;&gt;"นิติศาสตร์",OR(Z235="M2",Z235="K4"),AC235&gt;=2,OR(AB235&lt;V235,AB235&lt;P235)),EDATE(AB235,12*2),AND(AH235="K5-POLICY",AG235&lt;&gt;"นิติศาสตร์",Z235="S1",AC235&gt;=1,OR(AB235&lt;V235,AB235&lt;P235)),EDATE(AB235,12),AND(AH235="K5-POLICY",AG235&lt;&gt;"นิติศาสตร์",OR(T235="M2",T235="K4"),W235&gt;=2,V235&lt;P235),EDATE(V235,12*2),AND(AH235="K5-POLICY",AG235&lt;&gt;"นิติศาสตร์",T235="S1",W235&gt;=1,V235&lt;P235),EDATE(V235,12),AND(AH235="K5-POLICY",AG235&lt;&gt;"นิติศาสตร์",OR(T235="S2",T235="K5")),V235,AND(AH235="K5-POLICY",AG235&lt;&gt;"นิติศาสตร์",OR(K235="M2",K235="K4"),Q235&gt;=2),EDATE(P235,12*2),AND(AH235="K5-POLICY",AG235&lt;&gt;"นิติศาสตร์",K235="S1",Q235&gt;=1),EDATE(P235,12),AND(AH235="K5-POLICY",AG235&lt;&gt;"นิติศาสตร์",OR(K235="S2",K235="K5")),P235,TRUE,"Check Data")</f>
        <v/>
      </c>
      <c r="AJ235" s="75" t="str">
        <f t="shared" si="61"/>
        <v>Check Data</v>
      </c>
      <c r="AK235" s="76" t="str">
        <f t="shared" si="62"/>
        <v>Check Data</v>
      </c>
      <c r="AL235" s="50" t="str">
        <f t="shared" si="63"/>
        <v>Check Data</v>
      </c>
      <c r="AM235" s="49" t="str">
        <f>IF(B235="","",IF(K235="S1","S1",INDEX(#REF!,#REF!)))</f>
        <v/>
      </c>
      <c r="AN235" s="49" t="str">
        <f>K235</f>
        <v>M2</v>
      </c>
      <c r="AO235" s="50" t="b">
        <f>K235=AM235</f>
        <v>0</v>
      </c>
      <c r="AP235" s="50"/>
    </row>
    <row r="236" spans="1:42" ht="21.75">
      <c r="A236" s="49">
        <v>234</v>
      </c>
      <c r="B236" s="50"/>
      <c r="C236" s="52"/>
      <c r="D236" s="79"/>
      <c r="E236" s="79"/>
      <c r="F236" s="79"/>
      <c r="G236" s="50">
        <f t="shared" si="49"/>
        <v>0</v>
      </c>
      <c r="H236" s="50">
        <f t="shared" si="50"/>
        <v>0</v>
      </c>
      <c r="I236" s="50">
        <f t="shared" si="51"/>
        <v>0</v>
      </c>
      <c r="J236" s="79"/>
      <c r="K236" s="49" t="s">
        <v>136</v>
      </c>
      <c r="L236" s="79"/>
      <c r="M236" s="79"/>
      <c r="N236" s="79"/>
      <c r="O236" s="65" t="s">
        <v>433</v>
      </c>
      <c r="P236" s="49" t="str">
        <f t="shared" si="52"/>
        <v>23/04/2024</v>
      </c>
      <c r="Q236" s="68">
        <f t="shared" si="53"/>
        <v>1</v>
      </c>
      <c r="R236" s="68">
        <f t="shared" si="54"/>
        <v>1</v>
      </c>
      <c r="S236" s="68">
        <f t="shared" si="55"/>
        <v>28</v>
      </c>
      <c r="T236" s="65"/>
      <c r="U236" s="83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49" t="str">
        <f>IF(AG236="นิติศาสตร์","K5-LAW","K5-POLICY")</f>
        <v>K5-POLICY</v>
      </c>
      <c r="AI236" s="72" t="str">
        <f>_xlfn.IFS(B236="","",AND(AH236="K5-LAW",AG236="นิติศาสตร์",K236="S2",T236="",Z236=""),P236,AND(AH236="K5-LAW",AG236="นิติศาสตร์",K236="S1",T236="",Z236=""),EDATE(P236,12),AND(AH236="K5-LAW",AG236="นิติศาสตร์",OR(K236="M2",K236="K4"),T236="",Z236=""),EDATE(P236,12*2),AND(AH236="K5-LAW",AG236="นิติศาสตร์",OR(Z236="M2",Z236="K4"),AC236&gt;=2,OR(AB236&lt;V236,AB236&lt;P236)),EDATE(AB236,12*2),AND(AH236="K5-LAW",AG236="นิติศาสตร์",Z236="S1",AC236&gt;=1,OR(AB236&lt;V236,AB236&lt;P236)),EDATE(AB236,12),AND(AH236="K5-LAW",AG236="นิติศาสตร์",OR(T236="M2",T236="K4"),W236&gt;=2,V236&lt;P236),EDATE(V236,12*2),AND(AH236="K5-LAW",AG236="นิติศาสตร์",T236="S1",W236&gt;=1,V236&lt;P236),EDATE(V236,12),AND(AH236="K5-LAW",AG236="นิติศาสตร์",OR(T236="S2",T236="K5")),V236,AND(AH236="K5-LAW",AG236="นิติศาสตร์",OR(K236="M2",K236="K4"),Q236&gt;=2),EDATE(P236,12*2),AND(AH236="K5-LAW",AG236="นิติศาสตร์",K236="S1",Q236&gt;=1),EDATE(P236,12),AND(AH236="K5-LAW",AG236="นิติศาสตร์",OR(K236="S2",K236="K5")),P236,AND(AH236="K5-POLICY",AG236&lt;&gt;"นิติศาสตร์",K236="S2",T236="",Z236=""),P236,AND(AH236="K5-POLICY",AG236&lt;&gt;"นิติศาสตร์",K236="S1",T236="",Z236=""),EDATE(P236,12),AND(AH236="K5-POLICY",AG236&lt;&gt;"นิติศาสตร์",OR(K236="M2",K236="K4"),T236="",Z236=""),EDATE(P236,12*2),AND(AH236="K5-POLICY",AG236&lt;&gt;"นิติศาสตร์",OR(Z236="M2",Z236="K4"),AC236&gt;=2,OR(AB236&lt;V236,AB236&lt;P236)),EDATE(AB236,12*2),AND(AH236="K5-POLICY",AG236&lt;&gt;"นิติศาสตร์",Z236="S1",AC236&gt;=1,OR(AB236&lt;V236,AB236&lt;P236)),EDATE(AB236,12),AND(AH236="K5-POLICY",AG236&lt;&gt;"นิติศาสตร์",OR(T236="M2",T236="K4"),W236&gt;=2,V236&lt;P236),EDATE(V236,12*2),AND(AH236="K5-POLICY",AG236&lt;&gt;"นิติศาสตร์",T236="S1",W236&gt;=1,V236&lt;P236),EDATE(V236,12),AND(AH236="K5-POLICY",AG236&lt;&gt;"นิติศาสตร์",OR(T236="S2",T236="K5")),V236,AND(AH236="K5-POLICY",AG236&lt;&gt;"นิติศาสตร์",OR(K236="M2",K236="K4"),Q236&gt;=2),EDATE(P236,12*2),AND(AH236="K5-POLICY",AG236&lt;&gt;"นิติศาสตร์",K236="S1",Q236&gt;=1),EDATE(P236,12),AND(AH236="K5-POLICY",AG236&lt;&gt;"นิติศาสตร์",OR(K236="S2",K236="K5")),P236,TRUE,"Check Data")</f>
        <v/>
      </c>
      <c r="AJ236" s="75" t="str">
        <f t="shared" si="61"/>
        <v>Check Data</v>
      </c>
      <c r="AK236" s="76" t="str">
        <f t="shared" si="62"/>
        <v>Check Data</v>
      </c>
      <c r="AL236" s="50" t="str">
        <f t="shared" si="63"/>
        <v>Check Data</v>
      </c>
      <c r="AM236" s="49" t="str">
        <f>IF(B236="","",IF(K236="S1","S1",INDEX(#REF!,#REF!)))</f>
        <v/>
      </c>
      <c r="AN236" s="49" t="str">
        <f>K236</f>
        <v>M2</v>
      </c>
      <c r="AO236" s="50" t="b">
        <f>K236=AM236</f>
        <v>0</v>
      </c>
      <c r="AP236" s="50"/>
    </row>
    <row r="237" spans="1:42" ht="21.75">
      <c r="A237" s="49">
        <v>235</v>
      </c>
      <c r="B237" s="50"/>
      <c r="C237" s="52"/>
      <c r="D237" s="79"/>
      <c r="E237" s="79"/>
      <c r="F237" s="79"/>
      <c r="G237" s="50">
        <f t="shared" si="49"/>
        <v>0</v>
      </c>
      <c r="H237" s="50">
        <f t="shared" si="50"/>
        <v>0</v>
      </c>
      <c r="I237" s="50">
        <f t="shared" si="51"/>
        <v>0</v>
      </c>
      <c r="J237" s="79"/>
      <c r="K237" s="49" t="s">
        <v>136</v>
      </c>
      <c r="L237" s="79"/>
      <c r="M237" s="79"/>
      <c r="N237" s="79"/>
      <c r="O237" s="65" t="s">
        <v>433</v>
      </c>
      <c r="P237" s="49" t="str">
        <f t="shared" si="52"/>
        <v>23/04/2024</v>
      </c>
      <c r="Q237" s="68">
        <f t="shared" si="53"/>
        <v>1</v>
      </c>
      <c r="R237" s="68">
        <f t="shared" si="54"/>
        <v>1</v>
      </c>
      <c r="S237" s="68">
        <f t="shared" si="55"/>
        <v>28</v>
      </c>
      <c r="T237" s="65"/>
      <c r="U237" s="83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49" t="str">
        <f>IF(AG237="นิติศาสตร์","K5-LAW","K5-POLICY")</f>
        <v>K5-POLICY</v>
      </c>
      <c r="AI237" s="72" t="str">
        <f>_xlfn.IFS(B237="","",AND(AH237="K5-LAW",AG237="นิติศาสตร์",K237="S2",T237="",Z237=""),P237,AND(AH237="K5-LAW",AG237="นิติศาสตร์",K237="S1",T237="",Z237=""),EDATE(P237,12),AND(AH237="K5-LAW",AG237="นิติศาสตร์",OR(K237="M2",K237="K4"),T237="",Z237=""),EDATE(P237,12*2),AND(AH237="K5-LAW",AG237="นิติศาสตร์",OR(Z237="M2",Z237="K4"),AC237&gt;=2,OR(AB237&lt;V237,AB237&lt;P237)),EDATE(AB237,12*2),AND(AH237="K5-LAW",AG237="นิติศาสตร์",Z237="S1",AC237&gt;=1,OR(AB237&lt;V237,AB237&lt;P237)),EDATE(AB237,12),AND(AH237="K5-LAW",AG237="นิติศาสตร์",OR(T237="M2",T237="K4"),W237&gt;=2,V237&lt;P237),EDATE(V237,12*2),AND(AH237="K5-LAW",AG237="นิติศาสตร์",T237="S1",W237&gt;=1,V237&lt;P237),EDATE(V237,12),AND(AH237="K5-LAW",AG237="นิติศาสตร์",OR(T237="S2",T237="K5")),V237,AND(AH237="K5-LAW",AG237="นิติศาสตร์",OR(K237="M2",K237="K4"),Q237&gt;=2),EDATE(P237,12*2),AND(AH237="K5-LAW",AG237="นิติศาสตร์",K237="S1",Q237&gt;=1),EDATE(P237,12),AND(AH237="K5-LAW",AG237="นิติศาสตร์",OR(K237="S2",K237="K5")),P237,AND(AH237="K5-POLICY",AG237&lt;&gt;"นิติศาสตร์",K237="S2",T237="",Z237=""),P237,AND(AH237="K5-POLICY",AG237&lt;&gt;"นิติศาสตร์",K237="S1",T237="",Z237=""),EDATE(P237,12),AND(AH237="K5-POLICY",AG237&lt;&gt;"นิติศาสตร์",OR(K237="M2",K237="K4"),T237="",Z237=""),EDATE(P237,12*2),AND(AH237="K5-POLICY",AG237&lt;&gt;"นิติศาสตร์",OR(Z237="M2",Z237="K4"),AC237&gt;=2,OR(AB237&lt;V237,AB237&lt;P237)),EDATE(AB237,12*2),AND(AH237="K5-POLICY",AG237&lt;&gt;"นิติศาสตร์",Z237="S1",AC237&gt;=1,OR(AB237&lt;V237,AB237&lt;P237)),EDATE(AB237,12),AND(AH237="K5-POLICY",AG237&lt;&gt;"นิติศาสตร์",OR(T237="M2",T237="K4"),W237&gt;=2,V237&lt;P237),EDATE(V237,12*2),AND(AH237="K5-POLICY",AG237&lt;&gt;"นิติศาสตร์",T237="S1",W237&gt;=1,V237&lt;P237),EDATE(V237,12),AND(AH237="K5-POLICY",AG237&lt;&gt;"นิติศาสตร์",OR(T237="S2",T237="K5")),V237,AND(AH237="K5-POLICY",AG237&lt;&gt;"นิติศาสตร์",OR(K237="M2",K237="K4"),Q237&gt;=2),EDATE(P237,12*2),AND(AH237="K5-POLICY",AG237&lt;&gt;"นิติศาสตร์",K237="S1",Q237&gt;=1),EDATE(P237,12),AND(AH237="K5-POLICY",AG237&lt;&gt;"นิติศาสตร์",OR(K237="S2",K237="K5")),P237,TRUE,"Check Data")</f>
        <v/>
      </c>
      <c r="AJ237" s="75" t="str">
        <f t="shared" si="61"/>
        <v>Check Data</v>
      </c>
      <c r="AK237" s="76" t="str">
        <f t="shared" si="62"/>
        <v>Check Data</v>
      </c>
      <c r="AL237" s="50" t="str">
        <f t="shared" si="63"/>
        <v>Check Data</v>
      </c>
      <c r="AM237" s="49" t="str">
        <f>IF(B237="","",IF(K237="S1","S1",INDEX(#REF!,#REF!)))</f>
        <v/>
      </c>
      <c r="AN237" s="49" t="str">
        <f>K237</f>
        <v>M2</v>
      </c>
      <c r="AO237" s="50" t="b">
        <f>K237=AM237</f>
        <v>0</v>
      </c>
      <c r="AP237" s="50"/>
    </row>
    <row r="238" spans="1:42" ht="21.75">
      <c r="A238" s="49">
        <v>236</v>
      </c>
      <c r="B238" s="50"/>
      <c r="C238" s="52"/>
      <c r="D238" s="79"/>
      <c r="E238" s="79"/>
      <c r="F238" s="79"/>
      <c r="G238" s="50">
        <f t="shared" si="49"/>
        <v>0</v>
      </c>
      <c r="H238" s="50">
        <f t="shared" si="50"/>
        <v>0</v>
      </c>
      <c r="I238" s="50">
        <f t="shared" si="51"/>
        <v>0</v>
      </c>
      <c r="J238" s="79"/>
      <c r="K238" s="49" t="s">
        <v>136</v>
      </c>
      <c r="L238" s="79"/>
      <c r="M238" s="79"/>
      <c r="N238" s="79"/>
      <c r="O238" s="65" t="s">
        <v>433</v>
      </c>
      <c r="P238" s="49" t="str">
        <f t="shared" si="52"/>
        <v>23/04/2024</v>
      </c>
      <c r="Q238" s="68">
        <f t="shared" si="53"/>
        <v>1</v>
      </c>
      <c r="R238" s="68">
        <f t="shared" si="54"/>
        <v>1</v>
      </c>
      <c r="S238" s="68">
        <f t="shared" si="55"/>
        <v>28</v>
      </c>
      <c r="T238" s="65"/>
      <c r="U238" s="83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49" t="str">
        <f>IF(AG238="นิติศาสตร์","K5-LAW","K5-POLICY")</f>
        <v>K5-POLICY</v>
      </c>
      <c r="AI238" s="72" t="str">
        <f>_xlfn.IFS(B238="","",AND(AH238="K5-LAW",AG238="นิติศาสตร์",K238="S2",T238="",Z238=""),P238,AND(AH238="K5-LAW",AG238="นิติศาสตร์",K238="S1",T238="",Z238=""),EDATE(P238,12),AND(AH238="K5-LAW",AG238="นิติศาสตร์",OR(K238="M2",K238="K4"),T238="",Z238=""),EDATE(P238,12*2),AND(AH238="K5-LAW",AG238="นิติศาสตร์",OR(Z238="M2",Z238="K4"),AC238&gt;=2,OR(AB238&lt;V238,AB238&lt;P238)),EDATE(AB238,12*2),AND(AH238="K5-LAW",AG238="นิติศาสตร์",Z238="S1",AC238&gt;=1,OR(AB238&lt;V238,AB238&lt;P238)),EDATE(AB238,12),AND(AH238="K5-LAW",AG238="นิติศาสตร์",OR(T238="M2",T238="K4"),W238&gt;=2,V238&lt;P238),EDATE(V238,12*2),AND(AH238="K5-LAW",AG238="นิติศาสตร์",T238="S1",W238&gt;=1,V238&lt;P238),EDATE(V238,12),AND(AH238="K5-LAW",AG238="นิติศาสตร์",OR(T238="S2",T238="K5")),V238,AND(AH238="K5-LAW",AG238="นิติศาสตร์",OR(K238="M2",K238="K4"),Q238&gt;=2),EDATE(P238,12*2),AND(AH238="K5-LAW",AG238="นิติศาสตร์",K238="S1",Q238&gt;=1),EDATE(P238,12),AND(AH238="K5-LAW",AG238="นิติศาสตร์",OR(K238="S2",K238="K5")),P238,AND(AH238="K5-POLICY",AG238&lt;&gt;"นิติศาสตร์",K238="S2",T238="",Z238=""),P238,AND(AH238="K5-POLICY",AG238&lt;&gt;"นิติศาสตร์",K238="S1",T238="",Z238=""),EDATE(P238,12),AND(AH238="K5-POLICY",AG238&lt;&gt;"นิติศาสตร์",OR(K238="M2",K238="K4"),T238="",Z238=""),EDATE(P238,12*2),AND(AH238="K5-POLICY",AG238&lt;&gt;"นิติศาสตร์",OR(Z238="M2",Z238="K4"),AC238&gt;=2,OR(AB238&lt;V238,AB238&lt;P238)),EDATE(AB238,12*2),AND(AH238="K5-POLICY",AG238&lt;&gt;"นิติศาสตร์",Z238="S1",AC238&gt;=1,OR(AB238&lt;V238,AB238&lt;P238)),EDATE(AB238,12),AND(AH238="K5-POLICY",AG238&lt;&gt;"นิติศาสตร์",OR(T238="M2",T238="K4"),W238&gt;=2,V238&lt;P238),EDATE(V238,12*2),AND(AH238="K5-POLICY",AG238&lt;&gt;"นิติศาสตร์",T238="S1",W238&gt;=1,V238&lt;P238),EDATE(V238,12),AND(AH238="K5-POLICY",AG238&lt;&gt;"นิติศาสตร์",OR(T238="S2",T238="K5")),V238,AND(AH238="K5-POLICY",AG238&lt;&gt;"นิติศาสตร์",OR(K238="M2",K238="K4"),Q238&gt;=2),EDATE(P238,12*2),AND(AH238="K5-POLICY",AG238&lt;&gt;"นิติศาสตร์",K238="S1",Q238&gt;=1),EDATE(P238,12),AND(AH238="K5-POLICY",AG238&lt;&gt;"นิติศาสตร์",OR(K238="S2",K238="K5")),P238,TRUE,"Check Data")</f>
        <v/>
      </c>
      <c r="AJ238" s="75" t="str">
        <f t="shared" si="61"/>
        <v>Check Data</v>
      </c>
      <c r="AK238" s="76" t="str">
        <f t="shared" si="62"/>
        <v>Check Data</v>
      </c>
      <c r="AL238" s="50" t="str">
        <f t="shared" si="63"/>
        <v>Check Data</v>
      </c>
      <c r="AM238" s="49" t="str">
        <f>IF(B238="","",IF(K238="S1","S1",INDEX(#REF!,#REF!)))</f>
        <v/>
      </c>
      <c r="AN238" s="49" t="str">
        <f>K238</f>
        <v>M2</v>
      </c>
      <c r="AO238" s="50" t="b">
        <f>K238=AM238</f>
        <v>0</v>
      </c>
      <c r="AP238" s="50"/>
    </row>
    <row r="239" spans="1:42" ht="21.75">
      <c r="A239" s="49">
        <v>237</v>
      </c>
      <c r="B239" s="50"/>
      <c r="C239" s="52"/>
      <c r="D239" s="79"/>
      <c r="E239" s="79"/>
      <c r="F239" s="79"/>
      <c r="G239" s="50">
        <f t="shared" si="49"/>
        <v>0</v>
      </c>
      <c r="H239" s="50">
        <f t="shared" si="50"/>
        <v>0</v>
      </c>
      <c r="I239" s="50">
        <f t="shared" si="51"/>
        <v>0</v>
      </c>
      <c r="J239" s="79"/>
      <c r="K239" s="49" t="s">
        <v>136</v>
      </c>
      <c r="L239" s="79"/>
      <c r="M239" s="79"/>
      <c r="N239" s="79"/>
      <c r="O239" s="65" t="s">
        <v>433</v>
      </c>
      <c r="P239" s="49" t="str">
        <f t="shared" si="52"/>
        <v>23/04/2024</v>
      </c>
      <c r="Q239" s="68">
        <f t="shared" si="53"/>
        <v>1</v>
      </c>
      <c r="R239" s="68">
        <f t="shared" si="54"/>
        <v>1</v>
      </c>
      <c r="S239" s="68">
        <f t="shared" si="55"/>
        <v>28</v>
      </c>
      <c r="T239" s="65"/>
      <c r="U239" s="83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49" t="str">
        <f>IF(AG239="นิติศาสตร์","K5-LAW","K5-POLICY")</f>
        <v>K5-POLICY</v>
      </c>
      <c r="AI239" s="72" t="str">
        <f>_xlfn.IFS(B239="","",AND(AH239="K5-LAW",AG239="นิติศาสตร์",K239="S2",T239="",Z239=""),P239,AND(AH239="K5-LAW",AG239="นิติศาสตร์",K239="S1",T239="",Z239=""),EDATE(P239,12),AND(AH239="K5-LAW",AG239="นิติศาสตร์",OR(K239="M2",K239="K4"),T239="",Z239=""),EDATE(P239,12*2),AND(AH239="K5-LAW",AG239="นิติศาสตร์",OR(Z239="M2",Z239="K4"),AC239&gt;=2,OR(AB239&lt;V239,AB239&lt;P239)),EDATE(AB239,12*2),AND(AH239="K5-LAW",AG239="นิติศาสตร์",Z239="S1",AC239&gt;=1,OR(AB239&lt;V239,AB239&lt;P239)),EDATE(AB239,12),AND(AH239="K5-LAW",AG239="นิติศาสตร์",OR(T239="M2",T239="K4"),W239&gt;=2,V239&lt;P239),EDATE(V239,12*2),AND(AH239="K5-LAW",AG239="นิติศาสตร์",T239="S1",W239&gt;=1,V239&lt;P239),EDATE(V239,12),AND(AH239="K5-LAW",AG239="นิติศาสตร์",OR(T239="S2",T239="K5")),V239,AND(AH239="K5-LAW",AG239="นิติศาสตร์",OR(K239="M2",K239="K4"),Q239&gt;=2),EDATE(P239,12*2),AND(AH239="K5-LAW",AG239="นิติศาสตร์",K239="S1",Q239&gt;=1),EDATE(P239,12),AND(AH239="K5-LAW",AG239="นิติศาสตร์",OR(K239="S2",K239="K5")),P239,AND(AH239="K5-POLICY",AG239&lt;&gt;"นิติศาสตร์",K239="S2",T239="",Z239=""),P239,AND(AH239="K5-POLICY",AG239&lt;&gt;"นิติศาสตร์",K239="S1",T239="",Z239=""),EDATE(P239,12),AND(AH239="K5-POLICY",AG239&lt;&gt;"นิติศาสตร์",OR(K239="M2",K239="K4"),T239="",Z239=""),EDATE(P239,12*2),AND(AH239="K5-POLICY",AG239&lt;&gt;"นิติศาสตร์",OR(Z239="M2",Z239="K4"),AC239&gt;=2,OR(AB239&lt;V239,AB239&lt;P239)),EDATE(AB239,12*2),AND(AH239="K5-POLICY",AG239&lt;&gt;"นิติศาสตร์",Z239="S1",AC239&gt;=1,OR(AB239&lt;V239,AB239&lt;P239)),EDATE(AB239,12),AND(AH239="K5-POLICY",AG239&lt;&gt;"นิติศาสตร์",OR(T239="M2",T239="K4"),W239&gt;=2,V239&lt;P239),EDATE(V239,12*2),AND(AH239="K5-POLICY",AG239&lt;&gt;"นิติศาสตร์",T239="S1",W239&gt;=1,V239&lt;P239),EDATE(V239,12),AND(AH239="K5-POLICY",AG239&lt;&gt;"นิติศาสตร์",OR(T239="S2",T239="K5")),V239,AND(AH239="K5-POLICY",AG239&lt;&gt;"นิติศาสตร์",OR(K239="M2",K239="K4"),Q239&gt;=2),EDATE(P239,12*2),AND(AH239="K5-POLICY",AG239&lt;&gt;"นิติศาสตร์",K239="S1",Q239&gt;=1),EDATE(P239,12),AND(AH239="K5-POLICY",AG239&lt;&gt;"นิติศาสตร์",OR(K239="S2",K239="K5")),P239,TRUE,"Check Data")</f>
        <v/>
      </c>
      <c r="AJ239" s="75" t="str">
        <f t="shared" si="61"/>
        <v>Check Data</v>
      </c>
      <c r="AK239" s="76" t="str">
        <f t="shared" si="62"/>
        <v>Check Data</v>
      </c>
      <c r="AL239" s="50" t="str">
        <f t="shared" si="63"/>
        <v>Check Data</v>
      </c>
      <c r="AM239" s="49" t="str">
        <f>IF(B239="","",IF(K239="S1","S1",INDEX(#REF!,#REF!)))</f>
        <v/>
      </c>
      <c r="AN239" s="49" t="str">
        <f>K239</f>
        <v>M2</v>
      </c>
      <c r="AO239" s="50" t="b">
        <f>K239=AM239</f>
        <v>0</v>
      </c>
      <c r="AP239" s="50"/>
    </row>
    <row r="240" spans="1:42" ht="21.75">
      <c r="A240" s="49">
        <v>238</v>
      </c>
      <c r="B240" s="50"/>
      <c r="C240" s="52"/>
      <c r="D240" s="79"/>
      <c r="E240" s="79"/>
      <c r="F240" s="79"/>
      <c r="G240" s="50">
        <f t="shared" si="49"/>
        <v>0</v>
      </c>
      <c r="H240" s="50">
        <f t="shared" si="50"/>
        <v>0</v>
      </c>
      <c r="I240" s="50">
        <f t="shared" si="51"/>
        <v>0</v>
      </c>
      <c r="J240" s="79"/>
      <c r="K240" s="49" t="s">
        <v>136</v>
      </c>
      <c r="L240" s="79"/>
      <c r="M240" s="79"/>
      <c r="N240" s="79"/>
      <c r="O240" s="65" t="s">
        <v>433</v>
      </c>
      <c r="P240" s="49" t="str">
        <f t="shared" si="52"/>
        <v>23/04/2024</v>
      </c>
      <c r="Q240" s="68">
        <f t="shared" si="53"/>
        <v>1</v>
      </c>
      <c r="R240" s="68">
        <f t="shared" si="54"/>
        <v>1</v>
      </c>
      <c r="S240" s="68">
        <f t="shared" si="55"/>
        <v>28</v>
      </c>
      <c r="T240" s="65"/>
      <c r="U240" s="83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49" t="str">
        <f>IF(AG240="นิติศาสตร์","K5-LAW","K5-POLICY")</f>
        <v>K5-POLICY</v>
      </c>
      <c r="AI240" s="72" t="str">
        <f>_xlfn.IFS(B240="","",AND(AH240="K5-LAW",AG240="นิติศาสตร์",K240="S2",T240="",Z240=""),P240,AND(AH240="K5-LAW",AG240="นิติศาสตร์",K240="S1",T240="",Z240=""),EDATE(P240,12),AND(AH240="K5-LAW",AG240="นิติศาสตร์",OR(K240="M2",K240="K4"),T240="",Z240=""),EDATE(P240,12*2),AND(AH240="K5-LAW",AG240="นิติศาสตร์",OR(Z240="M2",Z240="K4"),AC240&gt;=2,OR(AB240&lt;V240,AB240&lt;P240)),EDATE(AB240,12*2),AND(AH240="K5-LAW",AG240="นิติศาสตร์",Z240="S1",AC240&gt;=1,OR(AB240&lt;V240,AB240&lt;P240)),EDATE(AB240,12),AND(AH240="K5-LAW",AG240="นิติศาสตร์",OR(T240="M2",T240="K4"),W240&gt;=2,V240&lt;P240),EDATE(V240,12*2),AND(AH240="K5-LAW",AG240="นิติศาสตร์",T240="S1",W240&gt;=1,V240&lt;P240),EDATE(V240,12),AND(AH240="K5-LAW",AG240="นิติศาสตร์",OR(T240="S2",T240="K5")),V240,AND(AH240="K5-LAW",AG240="นิติศาสตร์",OR(K240="M2",K240="K4"),Q240&gt;=2),EDATE(P240,12*2),AND(AH240="K5-LAW",AG240="นิติศาสตร์",K240="S1",Q240&gt;=1),EDATE(P240,12),AND(AH240="K5-LAW",AG240="นิติศาสตร์",OR(K240="S2",K240="K5")),P240,AND(AH240="K5-POLICY",AG240&lt;&gt;"นิติศาสตร์",K240="S2",T240="",Z240=""),P240,AND(AH240="K5-POLICY",AG240&lt;&gt;"นิติศาสตร์",K240="S1",T240="",Z240=""),EDATE(P240,12),AND(AH240="K5-POLICY",AG240&lt;&gt;"นิติศาสตร์",OR(K240="M2",K240="K4"),T240="",Z240=""),EDATE(P240,12*2),AND(AH240="K5-POLICY",AG240&lt;&gt;"นิติศาสตร์",OR(Z240="M2",Z240="K4"),AC240&gt;=2,OR(AB240&lt;V240,AB240&lt;P240)),EDATE(AB240,12*2),AND(AH240="K5-POLICY",AG240&lt;&gt;"นิติศาสตร์",Z240="S1",AC240&gt;=1,OR(AB240&lt;V240,AB240&lt;P240)),EDATE(AB240,12),AND(AH240="K5-POLICY",AG240&lt;&gt;"นิติศาสตร์",OR(T240="M2",T240="K4"),W240&gt;=2,V240&lt;P240),EDATE(V240,12*2),AND(AH240="K5-POLICY",AG240&lt;&gt;"นิติศาสตร์",T240="S1",W240&gt;=1,V240&lt;P240),EDATE(V240,12),AND(AH240="K5-POLICY",AG240&lt;&gt;"นิติศาสตร์",OR(T240="S2",T240="K5")),V240,AND(AH240="K5-POLICY",AG240&lt;&gt;"นิติศาสตร์",OR(K240="M2",K240="K4"),Q240&gt;=2),EDATE(P240,12*2),AND(AH240="K5-POLICY",AG240&lt;&gt;"นิติศาสตร์",K240="S1",Q240&gt;=1),EDATE(P240,12),AND(AH240="K5-POLICY",AG240&lt;&gt;"นิติศาสตร์",OR(K240="S2",K240="K5")),P240,TRUE,"Check Data")</f>
        <v/>
      </c>
      <c r="AJ240" s="75" t="str">
        <f t="shared" si="61"/>
        <v>Check Data</v>
      </c>
      <c r="AK240" s="76" t="str">
        <f t="shared" si="62"/>
        <v>Check Data</v>
      </c>
      <c r="AL240" s="50" t="str">
        <f t="shared" si="63"/>
        <v>Check Data</v>
      </c>
      <c r="AM240" s="49" t="str">
        <f>IF(B240="","",IF(K240="S1","S1",INDEX(#REF!,#REF!)))</f>
        <v/>
      </c>
      <c r="AN240" s="49" t="str">
        <f>K240</f>
        <v>M2</v>
      </c>
      <c r="AO240" s="50" t="b">
        <f>K240=AM240</f>
        <v>0</v>
      </c>
      <c r="AP240" s="50"/>
    </row>
    <row r="241" spans="1:42" ht="21.75">
      <c r="A241" s="49">
        <v>239</v>
      </c>
      <c r="B241" s="50"/>
      <c r="C241" s="52"/>
      <c r="D241" s="79"/>
      <c r="E241" s="79"/>
      <c r="F241" s="79"/>
      <c r="G241" s="50">
        <f t="shared" si="49"/>
        <v>0</v>
      </c>
      <c r="H241" s="50">
        <f t="shared" si="50"/>
        <v>0</v>
      </c>
      <c r="I241" s="50">
        <f t="shared" si="51"/>
        <v>0</v>
      </c>
      <c r="J241" s="79"/>
      <c r="K241" s="49" t="s">
        <v>136</v>
      </c>
      <c r="L241" s="79"/>
      <c r="M241" s="79"/>
      <c r="N241" s="79"/>
      <c r="O241" s="65" t="s">
        <v>433</v>
      </c>
      <c r="P241" s="49" t="str">
        <f t="shared" si="52"/>
        <v>23/04/2024</v>
      </c>
      <c r="Q241" s="68">
        <f t="shared" si="53"/>
        <v>1</v>
      </c>
      <c r="R241" s="68">
        <f t="shared" si="54"/>
        <v>1</v>
      </c>
      <c r="S241" s="68">
        <f t="shared" si="55"/>
        <v>28</v>
      </c>
      <c r="T241" s="65"/>
      <c r="U241" s="83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49" t="str">
        <f>IF(AG241="นิติศาสตร์","K5-LAW","K5-POLICY")</f>
        <v>K5-POLICY</v>
      </c>
      <c r="AI241" s="72" t="str">
        <f>_xlfn.IFS(B241="","",AND(AH241="K5-LAW",AG241="นิติศาสตร์",K241="S2",T241="",Z241=""),P241,AND(AH241="K5-LAW",AG241="นิติศาสตร์",K241="S1",T241="",Z241=""),EDATE(P241,12),AND(AH241="K5-LAW",AG241="นิติศาสตร์",OR(K241="M2",K241="K4"),T241="",Z241=""),EDATE(P241,12*2),AND(AH241="K5-LAW",AG241="นิติศาสตร์",OR(Z241="M2",Z241="K4"),AC241&gt;=2,OR(AB241&lt;V241,AB241&lt;P241)),EDATE(AB241,12*2),AND(AH241="K5-LAW",AG241="นิติศาสตร์",Z241="S1",AC241&gt;=1,OR(AB241&lt;V241,AB241&lt;P241)),EDATE(AB241,12),AND(AH241="K5-LAW",AG241="นิติศาสตร์",OR(T241="M2",T241="K4"),W241&gt;=2,V241&lt;P241),EDATE(V241,12*2),AND(AH241="K5-LAW",AG241="นิติศาสตร์",T241="S1",W241&gt;=1,V241&lt;P241),EDATE(V241,12),AND(AH241="K5-LAW",AG241="นิติศาสตร์",OR(T241="S2",T241="K5")),V241,AND(AH241="K5-LAW",AG241="นิติศาสตร์",OR(K241="M2",K241="K4"),Q241&gt;=2),EDATE(P241,12*2),AND(AH241="K5-LAW",AG241="นิติศาสตร์",K241="S1",Q241&gt;=1),EDATE(P241,12),AND(AH241="K5-LAW",AG241="นิติศาสตร์",OR(K241="S2",K241="K5")),P241,AND(AH241="K5-POLICY",AG241&lt;&gt;"นิติศาสตร์",K241="S2",T241="",Z241=""),P241,AND(AH241="K5-POLICY",AG241&lt;&gt;"นิติศาสตร์",K241="S1",T241="",Z241=""),EDATE(P241,12),AND(AH241="K5-POLICY",AG241&lt;&gt;"นิติศาสตร์",OR(K241="M2",K241="K4"),T241="",Z241=""),EDATE(P241,12*2),AND(AH241="K5-POLICY",AG241&lt;&gt;"นิติศาสตร์",OR(Z241="M2",Z241="K4"),AC241&gt;=2,OR(AB241&lt;V241,AB241&lt;P241)),EDATE(AB241,12*2),AND(AH241="K5-POLICY",AG241&lt;&gt;"นิติศาสตร์",Z241="S1",AC241&gt;=1,OR(AB241&lt;V241,AB241&lt;P241)),EDATE(AB241,12),AND(AH241="K5-POLICY",AG241&lt;&gt;"นิติศาสตร์",OR(T241="M2",T241="K4"),W241&gt;=2,V241&lt;P241),EDATE(V241,12*2),AND(AH241="K5-POLICY",AG241&lt;&gt;"นิติศาสตร์",T241="S1",W241&gt;=1,V241&lt;P241),EDATE(V241,12),AND(AH241="K5-POLICY",AG241&lt;&gt;"นิติศาสตร์",OR(T241="S2",T241="K5")),V241,AND(AH241="K5-POLICY",AG241&lt;&gt;"นิติศาสตร์",OR(K241="M2",K241="K4"),Q241&gt;=2),EDATE(P241,12*2),AND(AH241="K5-POLICY",AG241&lt;&gt;"นิติศาสตร์",K241="S1",Q241&gt;=1),EDATE(P241,12),AND(AH241="K5-POLICY",AG241&lt;&gt;"นิติศาสตร์",OR(K241="S2",K241="K5")),P241,TRUE,"Check Data")</f>
        <v/>
      </c>
      <c r="AJ241" s="75" t="str">
        <f t="shared" si="61"/>
        <v>Check Data</v>
      </c>
      <c r="AK241" s="76" t="str">
        <f t="shared" si="62"/>
        <v>Check Data</v>
      </c>
      <c r="AL241" s="50" t="str">
        <f t="shared" si="63"/>
        <v>Check Data</v>
      </c>
      <c r="AM241" s="49" t="str">
        <f>IF(B241="","",IF(K241="S1","S1",INDEX(#REF!,#REF!)))</f>
        <v/>
      </c>
      <c r="AN241" s="49" t="str">
        <f>K241</f>
        <v>M2</v>
      </c>
      <c r="AO241" s="50" t="b">
        <f>K241=AM241</f>
        <v>0</v>
      </c>
      <c r="AP241" s="50"/>
    </row>
    <row r="242" spans="1:42" ht="21.75">
      <c r="A242" s="49">
        <v>240</v>
      </c>
      <c r="B242" s="50"/>
      <c r="C242" s="52"/>
      <c r="D242" s="79"/>
      <c r="E242" s="79"/>
      <c r="F242" s="79"/>
      <c r="G242" s="50">
        <f t="shared" si="49"/>
        <v>0</v>
      </c>
      <c r="H242" s="50">
        <f t="shared" si="50"/>
        <v>0</v>
      </c>
      <c r="I242" s="50">
        <f t="shared" si="51"/>
        <v>0</v>
      </c>
      <c r="J242" s="79"/>
      <c r="K242" s="49" t="s">
        <v>136</v>
      </c>
      <c r="L242" s="79"/>
      <c r="M242" s="79"/>
      <c r="N242" s="79"/>
      <c r="O242" s="65" t="s">
        <v>433</v>
      </c>
      <c r="P242" s="49" t="str">
        <f t="shared" si="52"/>
        <v>23/04/2024</v>
      </c>
      <c r="Q242" s="68">
        <f t="shared" si="53"/>
        <v>1</v>
      </c>
      <c r="R242" s="68">
        <f t="shared" si="54"/>
        <v>1</v>
      </c>
      <c r="S242" s="68">
        <f t="shared" si="55"/>
        <v>28</v>
      </c>
      <c r="T242" s="65"/>
      <c r="U242" s="83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49" t="str">
        <f>IF(AG242="นิติศาสตร์","K5-LAW","K5-POLICY")</f>
        <v>K5-POLICY</v>
      </c>
      <c r="AI242" s="72" t="str">
        <f>_xlfn.IFS(B242="","",AND(AH242="K5-LAW",AG242="นิติศาสตร์",K242="S2",T242="",Z242=""),P242,AND(AH242="K5-LAW",AG242="นิติศาสตร์",K242="S1",T242="",Z242=""),EDATE(P242,12),AND(AH242="K5-LAW",AG242="นิติศาสตร์",OR(K242="M2",K242="K4"),T242="",Z242=""),EDATE(P242,12*2),AND(AH242="K5-LAW",AG242="นิติศาสตร์",OR(Z242="M2",Z242="K4"),AC242&gt;=2,OR(AB242&lt;V242,AB242&lt;P242)),EDATE(AB242,12*2),AND(AH242="K5-LAW",AG242="นิติศาสตร์",Z242="S1",AC242&gt;=1,OR(AB242&lt;V242,AB242&lt;P242)),EDATE(AB242,12),AND(AH242="K5-LAW",AG242="นิติศาสตร์",OR(T242="M2",T242="K4"),W242&gt;=2,V242&lt;P242),EDATE(V242,12*2),AND(AH242="K5-LAW",AG242="นิติศาสตร์",T242="S1",W242&gt;=1,V242&lt;P242),EDATE(V242,12),AND(AH242="K5-LAW",AG242="นิติศาสตร์",OR(T242="S2",T242="K5")),V242,AND(AH242="K5-LAW",AG242="นิติศาสตร์",OR(K242="M2",K242="K4"),Q242&gt;=2),EDATE(P242,12*2),AND(AH242="K5-LAW",AG242="นิติศาสตร์",K242="S1",Q242&gt;=1),EDATE(P242,12),AND(AH242="K5-LAW",AG242="นิติศาสตร์",OR(K242="S2",K242="K5")),P242,AND(AH242="K5-POLICY",AG242&lt;&gt;"นิติศาสตร์",K242="S2",T242="",Z242=""),P242,AND(AH242="K5-POLICY",AG242&lt;&gt;"นิติศาสตร์",K242="S1",T242="",Z242=""),EDATE(P242,12),AND(AH242="K5-POLICY",AG242&lt;&gt;"นิติศาสตร์",OR(K242="M2",K242="K4"),T242="",Z242=""),EDATE(P242,12*2),AND(AH242="K5-POLICY",AG242&lt;&gt;"นิติศาสตร์",OR(Z242="M2",Z242="K4"),AC242&gt;=2,OR(AB242&lt;V242,AB242&lt;P242)),EDATE(AB242,12*2),AND(AH242="K5-POLICY",AG242&lt;&gt;"นิติศาสตร์",Z242="S1",AC242&gt;=1,OR(AB242&lt;V242,AB242&lt;P242)),EDATE(AB242,12),AND(AH242="K5-POLICY",AG242&lt;&gt;"นิติศาสตร์",OR(T242="M2",T242="K4"),W242&gt;=2,V242&lt;P242),EDATE(V242,12*2),AND(AH242="K5-POLICY",AG242&lt;&gt;"นิติศาสตร์",T242="S1",W242&gt;=1,V242&lt;P242),EDATE(V242,12),AND(AH242="K5-POLICY",AG242&lt;&gt;"นิติศาสตร์",OR(T242="S2",T242="K5")),V242,AND(AH242="K5-POLICY",AG242&lt;&gt;"นิติศาสตร์",OR(K242="M2",K242="K4"),Q242&gt;=2),EDATE(P242,12*2),AND(AH242="K5-POLICY",AG242&lt;&gt;"นิติศาสตร์",K242="S1",Q242&gt;=1),EDATE(P242,12),AND(AH242="K5-POLICY",AG242&lt;&gt;"นิติศาสตร์",OR(K242="S2",K242="K5")),P242,TRUE,"Check Data")</f>
        <v/>
      </c>
      <c r="AJ242" s="75" t="str">
        <f t="shared" si="61"/>
        <v>Check Data</v>
      </c>
      <c r="AK242" s="76" t="str">
        <f t="shared" si="62"/>
        <v>Check Data</v>
      </c>
      <c r="AL242" s="50" t="str">
        <f t="shared" si="63"/>
        <v>Check Data</v>
      </c>
      <c r="AM242" s="49" t="str">
        <f>IF(B242="","",IF(K242="S1","S1",INDEX(#REF!,#REF!)))</f>
        <v/>
      </c>
      <c r="AN242" s="49" t="str">
        <f>K242</f>
        <v>M2</v>
      </c>
      <c r="AO242" s="50" t="b">
        <f>K242=AM242</f>
        <v>0</v>
      </c>
      <c r="AP242" s="50"/>
    </row>
    <row r="243" spans="1:42" ht="21.75">
      <c r="A243" s="49">
        <v>241</v>
      </c>
      <c r="B243" s="50"/>
      <c r="C243" s="52"/>
      <c r="D243" s="79"/>
      <c r="E243" s="79"/>
      <c r="F243" s="79"/>
      <c r="G243" s="50">
        <f t="shared" si="49"/>
        <v>0</v>
      </c>
      <c r="H243" s="50">
        <f t="shared" si="50"/>
        <v>0</v>
      </c>
      <c r="I243" s="50">
        <f t="shared" si="51"/>
        <v>0</v>
      </c>
      <c r="J243" s="79"/>
      <c r="K243" s="49" t="s">
        <v>136</v>
      </c>
      <c r="L243" s="79"/>
      <c r="M243" s="79"/>
      <c r="N243" s="79"/>
      <c r="O243" s="65" t="s">
        <v>433</v>
      </c>
      <c r="P243" s="49" t="str">
        <f t="shared" si="52"/>
        <v>23/04/2024</v>
      </c>
      <c r="Q243" s="68">
        <f t="shared" si="53"/>
        <v>1</v>
      </c>
      <c r="R243" s="68">
        <f t="shared" si="54"/>
        <v>1</v>
      </c>
      <c r="S243" s="68">
        <f t="shared" si="55"/>
        <v>28</v>
      </c>
      <c r="T243" s="65"/>
      <c r="U243" s="83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49" t="str">
        <f>IF(AG243="นิติศาสตร์","K5-LAW","K5-POLICY")</f>
        <v>K5-POLICY</v>
      </c>
      <c r="AI243" s="72" t="str">
        <f>_xlfn.IFS(B243="","",AND(AH243="K5-LAW",AG243="นิติศาสตร์",K243="S2",T243="",Z243=""),P243,AND(AH243="K5-LAW",AG243="นิติศาสตร์",K243="S1",T243="",Z243=""),EDATE(P243,12),AND(AH243="K5-LAW",AG243="นิติศาสตร์",OR(K243="M2",K243="K4"),T243="",Z243=""),EDATE(P243,12*2),AND(AH243="K5-LAW",AG243="นิติศาสตร์",OR(Z243="M2",Z243="K4"),AC243&gt;=2,OR(AB243&lt;V243,AB243&lt;P243)),EDATE(AB243,12*2),AND(AH243="K5-LAW",AG243="นิติศาสตร์",Z243="S1",AC243&gt;=1,OR(AB243&lt;V243,AB243&lt;P243)),EDATE(AB243,12),AND(AH243="K5-LAW",AG243="นิติศาสตร์",OR(T243="M2",T243="K4"),W243&gt;=2,V243&lt;P243),EDATE(V243,12*2),AND(AH243="K5-LAW",AG243="นิติศาสตร์",T243="S1",W243&gt;=1,V243&lt;P243),EDATE(V243,12),AND(AH243="K5-LAW",AG243="นิติศาสตร์",OR(T243="S2",T243="K5")),V243,AND(AH243="K5-LAW",AG243="นิติศาสตร์",OR(K243="M2",K243="K4"),Q243&gt;=2),EDATE(P243,12*2),AND(AH243="K5-LAW",AG243="นิติศาสตร์",K243="S1",Q243&gt;=1),EDATE(P243,12),AND(AH243="K5-LAW",AG243="นิติศาสตร์",OR(K243="S2",K243="K5")),P243,AND(AH243="K5-POLICY",AG243&lt;&gt;"นิติศาสตร์",K243="S2",T243="",Z243=""),P243,AND(AH243="K5-POLICY",AG243&lt;&gt;"นิติศาสตร์",K243="S1",T243="",Z243=""),EDATE(P243,12),AND(AH243="K5-POLICY",AG243&lt;&gt;"นิติศาสตร์",OR(K243="M2",K243="K4"),T243="",Z243=""),EDATE(P243,12*2),AND(AH243="K5-POLICY",AG243&lt;&gt;"นิติศาสตร์",OR(Z243="M2",Z243="K4"),AC243&gt;=2,OR(AB243&lt;V243,AB243&lt;P243)),EDATE(AB243,12*2),AND(AH243="K5-POLICY",AG243&lt;&gt;"นิติศาสตร์",Z243="S1",AC243&gt;=1,OR(AB243&lt;V243,AB243&lt;P243)),EDATE(AB243,12),AND(AH243="K5-POLICY",AG243&lt;&gt;"นิติศาสตร์",OR(T243="M2",T243="K4"),W243&gt;=2,V243&lt;P243),EDATE(V243,12*2),AND(AH243="K5-POLICY",AG243&lt;&gt;"นิติศาสตร์",T243="S1",W243&gt;=1,V243&lt;P243),EDATE(V243,12),AND(AH243="K5-POLICY",AG243&lt;&gt;"นิติศาสตร์",OR(T243="S2",T243="K5")),V243,AND(AH243="K5-POLICY",AG243&lt;&gt;"นิติศาสตร์",OR(K243="M2",K243="K4"),Q243&gt;=2),EDATE(P243,12*2),AND(AH243="K5-POLICY",AG243&lt;&gt;"นิติศาสตร์",K243="S1",Q243&gt;=1),EDATE(P243,12),AND(AH243="K5-POLICY",AG243&lt;&gt;"นิติศาสตร์",OR(K243="S2",K243="K5")),P243,TRUE,"Check Data")</f>
        <v/>
      </c>
      <c r="AJ243" s="75" t="str">
        <f t="shared" si="61"/>
        <v>Check Data</v>
      </c>
      <c r="AK243" s="76" t="str">
        <f t="shared" si="62"/>
        <v>Check Data</v>
      </c>
      <c r="AL243" s="50" t="str">
        <f t="shared" si="63"/>
        <v>Check Data</v>
      </c>
      <c r="AM243" s="49" t="str">
        <f>IF(B243="","",IF(K243="S1","S1",INDEX(#REF!,#REF!)))</f>
        <v/>
      </c>
      <c r="AN243" s="49" t="str">
        <f>K243</f>
        <v>M2</v>
      </c>
      <c r="AO243" s="50" t="b">
        <f>K243=AM243</f>
        <v>0</v>
      </c>
      <c r="AP243" s="50"/>
    </row>
    <row r="244" spans="1:42" ht="21.75">
      <c r="A244" s="49">
        <v>242</v>
      </c>
      <c r="B244" s="50"/>
      <c r="C244" s="52"/>
      <c r="D244" s="79"/>
      <c r="E244" s="79"/>
      <c r="F244" s="79"/>
      <c r="G244" s="50">
        <f t="shared" si="49"/>
        <v>0</v>
      </c>
      <c r="H244" s="50">
        <f t="shared" si="50"/>
        <v>0</v>
      </c>
      <c r="I244" s="50">
        <f t="shared" si="51"/>
        <v>0</v>
      </c>
      <c r="J244" s="79"/>
      <c r="K244" s="49" t="s">
        <v>136</v>
      </c>
      <c r="L244" s="79"/>
      <c r="M244" s="79"/>
      <c r="N244" s="79"/>
      <c r="O244" s="65" t="s">
        <v>433</v>
      </c>
      <c r="P244" s="49" t="str">
        <f t="shared" si="52"/>
        <v>23/04/2024</v>
      </c>
      <c r="Q244" s="68">
        <f t="shared" si="53"/>
        <v>1</v>
      </c>
      <c r="R244" s="68">
        <f t="shared" si="54"/>
        <v>1</v>
      </c>
      <c r="S244" s="68">
        <f t="shared" si="55"/>
        <v>28</v>
      </c>
      <c r="T244" s="65"/>
      <c r="U244" s="83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49" t="str">
        <f>IF(AG244="นิติศาสตร์","K5-LAW","K5-POLICY")</f>
        <v>K5-POLICY</v>
      </c>
      <c r="AI244" s="72" t="str">
        <f>_xlfn.IFS(B244="","",AND(AH244="K5-LAW",AG244="นิติศาสตร์",K244="S2",T244="",Z244=""),P244,AND(AH244="K5-LAW",AG244="นิติศาสตร์",K244="S1",T244="",Z244=""),EDATE(P244,12),AND(AH244="K5-LAW",AG244="นิติศาสตร์",OR(K244="M2",K244="K4"),T244="",Z244=""),EDATE(P244,12*2),AND(AH244="K5-LAW",AG244="นิติศาสตร์",OR(Z244="M2",Z244="K4"),AC244&gt;=2,OR(AB244&lt;V244,AB244&lt;P244)),EDATE(AB244,12*2),AND(AH244="K5-LAW",AG244="นิติศาสตร์",Z244="S1",AC244&gt;=1,OR(AB244&lt;V244,AB244&lt;P244)),EDATE(AB244,12),AND(AH244="K5-LAW",AG244="นิติศาสตร์",OR(T244="M2",T244="K4"),W244&gt;=2,V244&lt;P244),EDATE(V244,12*2),AND(AH244="K5-LAW",AG244="นิติศาสตร์",T244="S1",W244&gt;=1,V244&lt;P244),EDATE(V244,12),AND(AH244="K5-LAW",AG244="นิติศาสตร์",OR(T244="S2",T244="K5")),V244,AND(AH244="K5-LAW",AG244="นิติศาสตร์",OR(K244="M2",K244="K4"),Q244&gt;=2),EDATE(P244,12*2),AND(AH244="K5-LAW",AG244="นิติศาสตร์",K244="S1",Q244&gt;=1),EDATE(P244,12),AND(AH244="K5-LAW",AG244="นิติศาสตร์",OR(K244="S2",K244="K5")),P244,AND(AH244="K5-POLICY",AG244&lt;&gt;"นิติศาสตร์",K244="S2",T244="",Z244=""),P244,AND(AH244="K5-POLICY",AG244&lt;&gt;"นิติศาสตร์",K244="S1",T244="",Z244=""),EDATE(P244,12),AND(AH244="K5-POLICY",AG244&lt;&gt;"นิติศาสตร์",OR(K244="M2",K244="K4"),T244="",Z244=""),EDATE(P244,12*2),AND(AH244="K5-POLICY",AG244&lt;&gt;"นิติศาสตร์",OR(Z244="M2",Z244="K4"),AC244&gt;=2,OR(AB244&lt;V244,AB244&lt;P244)),EDATE(AB244,12*2),AND(AH244="K5-POLICY",AG244&lt;&gt;"นิติศาสตร์",Z244="S1",AC244&gt;=1,OR(AB244&lt;V244,AB244&lt;P244)),EDATE(AB244,12),AND(AH244="K5-POLICY",AG244&lt;&gt;"นิติศาสตร์",OR(T244="M2",T244="K4"),W244&gt;=2,V244&lt;P244),EDATE(V244,12*2),AND(AH244="K5-POLICY",AG244&lt;&gt;"นิติศาสตร์",T244="S1",W244&gt;=1,V244&lt;P244),EDATE(V244,12),AND(AH244="K5-POLICY",AG244&lt;&gt;"นิติศาสตร์",OR(T244="S2",T244="K5")),V244,AND(AH244="K5-POLICY",AG244&lt;&gt;"นิติศาสตร์",OR(K244="M2",K244="K4"),Q244&gt;=2),EDATE(P244,12*2),AND(AH244="K5-POLICY",AG244&lt;&gt;"นิติศาสตร์",K244="S1",Q244&gt;=1),EDATE(P244,12),AND(AH244="K5-POLICY",AG244&lt;&gt;"นิติศาสตร์",OR(K244="S2",K244="K5")),P244,TRUE,"Check Data")</f>
        <v/>
      </c>
      <c r="AJ244" s="75" t="str">
        <f t="shared" si="61"/>
        <v>Check Data</v>
      </c>
      <c r="AK244" s="76" t="str">
        <f t="shared" si="62"/>
        <v>Check Data</v>
      </c>
      <c r="AL244" s="50" t="str">
        <f t="shared" si="63"/>
        <v>Check Data</v>
      </c>
      <c r="AM244" s="49" t="str">
        <f>IF(B244="","",IF(K244="S1","S1",INDEX(#REF!,#REF!)))</f>
        <v/>
      </c>
      <c r="AN244" s="49" t="str">
        <f>K244</f>
        <v>M2</v>
      </c>
      <c r="AO244" s="50" t="b">
        <f>K244=AM244</f>
        <v>0</v>
      </c>
      <c r="AP244" s="50"/>
    </row>
    <row r="245" spans="1:42" ht="21.75">
      <c r="A245" s="49">
        <v>243</v>
      </c>
      <c r="B245" s="50"/>
      <c r="C245" s="52"/>
      <c r="D245" s="79"/>
      <c r="E245" s="79"/>
      <c r="F245" s="79"/>
      <c r="G245" s="50">
        <f t="shared" si="49"/>
        <v>0</v>
      </c>
      <c r="H245" s="50">
        <f t="shared" si="50"/>
        <v>0</v>
      </c>
      <c r="I245" s="50">
        <f t="shared" si="51"/>
        <v>0</v>
      </c>
      <c r="J245" s="79"/>
      <c r="K245" s="49" t="s">
        <v>136</v>
      </c>
      <c r="L245" s="79"/>
      <c r="M245" s="79"/>
      <c r="N245" s="79"/>
      <c r="O245" s="65" t="s">
        <v>433</v>
      </c>
      <c r="P245" s="49" t="str">
        <f t="shared" si="52"/>
        <v>23/04/2024</v>
      </c>
      <c r="Q245" s="68">
        <f t="shared" si="53"/>
        <v>1</v>
      </c>
      <c r="R245" s="68">
        <f t="shared" si="54"/>
        <v>1</v>
      </c>
      <c r="S245" s="68">
        <f t="shared" si="55"/>
        <v>28</v>
      </c>
      <c r="T245" s="65"/>
      <c r="U245" s="83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49" t="str">
        <f>IF(AG245="นิติศาสตร์","K5-LAW","K5-POLICY")</f>
        <v>K5-POLICY</v>
      </c>
      <c r="AI245" s="72" t="str">
        <f>_xlfn.IFS(B245="","",AND(AH245="K5-LAW",AG245="นิติศาสตร์",K245="S2",T245="",Z245=""),P245,AND(AH245="K5-LAW",AG245="นิติศาสตร์",K245="S1",T245="",Z245=""),EDATE(P245,12),AND(AH245="K5-LAW",AG245="นิติศาสตร์",OR(K245="M2",K245="K4"),T245="",Z245=""),EDATE(P245,12*2),AND(AH245="K5-LAW",AG245="นิติศาสตร์",OR(Z245="M2",Z245="K4"),AC245&gt;=2,OR(AB245&lt;V245,AB245&lt;P245)),EDATE(AB245,12*2),AND(AH245="K5-LAW",AG245="นิติศาสตร์",Z245="S1",AC245&gt;=1,OR(AB245&lt;V245,AB245&lt;P245)),EDATE(AB245,12),AND(AH245="K5-LAW",AG245="นิติศาสตร์",OR(T245="M2",T245="K4"),W245&gt;=2,V245&lt;P245),EDATE(V245,12*2),AND(AH245="K5-LAW",AG245="นิติศาสตร์",T245="S1",W245&gt;=1,V245&lt;P245),EDATE(V245,12),AND(AH245="K5-LAW",AG245="นิติศาสตร์",OR(T245="S2",T245="K5")),V245,AND(AH245="K5-LAW",AG245="นิติศาสตร์",OR(K245="M2",K245="K4"),Q245&gt;=2),EDATE(P245,12*2),AND(AH245="K5-LAW",AG245="นิติศาสตร์",K245="S1",Q245&gt;=1),EDATE(P245,12),AND(AH245="K5-LAW",AG245="นิติศาสตร์",OR(K245="S2",K245="K5")),P245,AND(AH245="K5-POLICY",AG245&lt;&gt;"นิติศาสตร์",K245="S2",T245="",Z245=""),P245,AND(AH245="K5-POLICY",AG245&lt;&gt;"นิติศาสตร์",K245="S1",T245="",Z245=""),EDATE(P245,12),AND(AH245="K5-POLICY",AG245&lt;&gt;"นิติศาสตร์",OR(K245="M2",K245="K4"),T245="",Z245=""),EDATE(P245,12*2),AND(AH245="K5-POLICY",AG245&lt;&gt;"นิติศาสตร์",OR(Z245="M2",Z245="K4"),AC245&gt;=2,OR(AB245&lt;V245,AB245&lt;P245)),EDATE(AB245,12*2),AND(AH245="K5-POLICY",AG245&lt;&gt;"นิติศาสตร์",Z245="S1",AC245&gt;=1,OR(AB245&lt;V245,AB245&lt;P245)),EDATE(AB245,12),AND(AH245="K5-POLICY",AG245&lt;&gt;"นิติศาสตร์",OR(T245="M2",T245="K4"),W245&gt;=2,V245&lt;P245),EDATE(V245,12*2),AND(AH245="K5-POLICY",AG245&lt;&gt;"นิติศาสตร์",T245="S1",W245&gt;=1,V245&lt;P245),EDATE(V245,12),AND(AH245="K5-POLICY",AG245&lt;&gt;"นิติศาสตร์",OR(T245="S2",T245="K5")),V245,AND(AH245="K5-POLICY",AG245&lt;&gt;"นิติศาสตร์",OR(K245="M2",K245="K4"),Q245&gt;=2),EDATE(P245,12*2),AND(AH245="K5-POLICY",AG245&lt;&gt;"นิติศาสตร์",K245="S1",Q245&gt;=1),EDATE(P245,12),AND(AH245="K5-POLICY",AG245&lt;&gt;"นิติศาสตร์",OR(K245="S2",K245="K5")),P245,TRUE,"Check Data")</f>
        <v/>
      </c>
      <c r="AJ245" s="75" t="str">
        <f t="shared" si="61"/>
        <v>Check Data</v>
      </c>
      <c r="AK245" s="76" t="str">
        <f t="shared" si="62"/>
        <v>Check Data</v>
      </c>
      <c r="AL245" s="50" t="str">
        <f t="shared" si="63"/>
        <v>Check Data</v>
      </c>
      <c r="AM245" s="49" t="str">
        <f>IF(B245="","",IF(K245="S1","S1",INDEX(#REF!,#REF!)))</f>
        <v/>
      </c>
      <c r="AN245" s="49" t="str">
        <f>K245</f>
        <v>M2</v>
      </c>
      <c r="AO245" s="50" t="b">
        <f>K245=AM245</f>
        <v>0</v>
      </c>
      <c r="AP245" s="50"/>
    </row>
    <row r="246" spans="1:42" ht="21.75">
      <c r="A246" s="49">
        <v>244</v>
      </c>
      <c r="B246" s="50"/>
      <c r="C246" s="52"/>
      <c r="D246" s="79"/>
      <c r="E246" s="79"/>
      <c r="F246" s="79"/>
      <c r="G246" s="50">
        <f t="shared" si="49"/>
        <v>0</v>
      </c>
      <c r="H246" s="50">
        <f t="shared" si="50"/>
        <v>0</v>
      </c>
      <c r="I246" s="50">
        <f t="shared" si="51"/>
        <v>0</v>
      </c>
      <c r="J246" s="79"/>
      <c r="K246" s="49" t="s">
        <v>136</v>
      </c>
      <c r="L246" s="79"/>
      <c r="M246" s="79"/>
      <c r="N246" s="79"/>
      <c r="O246" s="65" t="s">
        <v>433</v>
      </c>
      <c r="P246" s="49" t="str">
        <f t="shared" si="52"/>
        <v>23/04/2024</v>
      </c>
      <c r="Q246" s="68">
        <f t="shared" si="53"/>
        <v>1</v>
      </c>
      <c r="R246" s="68">
        <f t="shared" si="54"/>
        <v>1</v>
      </c>
      <c r="S246" s="68">
        <f t="shared" si="55"/>
        <v>28</v>
      </c>
      <c r="T246" s="65"/>
      <c r="U246" s="83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49" t="str">
        <f>IF(AG246="นิติศาสตร์","K5-LAW","K5-POLICY")</f>
        <v>K5-POLICY</v>
      </c>
      <c r="AI246" s="72" t="str">
        <f>_xlfn.IFS(B246="","",AND(AH246="K5-LAW",AG246="นิติศาสตร์",K246="S2",T246="",Z246=""),P246,AND(AH246="K5-LAW",AG246="นิติศาสตร์",K246="S1",T246="",Z246=""),EDATE(P246,12),AND(AH246="K5-LAW",AG246="นิติศาสตร์",OR(K246="M2",K246="K4"),T246="",Z246=""),EDATE(P246,12*2),AND(AH246="K5-LAW",AG246="นิติศาสตร์",OR(Z246="M2",Z246="K4"),AC246&gt;=2,OR(AB246&lt;V246,AB246&lt;P246)),EDATE(AB246,12*2),AND(AH246="K5-LAW",AG246="นิติศาสตร์",Z246="S1",AC246&gt;=1,OR(AB246&lt;V246,AB246&lt;P246)),EDATE(AB246,12),AND(AH246="K5-LAW",AG246="นิติศาสตร์",OR(T246="M2",T246="K4"),W246&gt;=2,V246&lt;P246),EDATE(V246,12*2),AND(AH246="K5-LAW",AG246="นิติศาสตร์",T246="S1",W246&gt;=1,V246&lt;P246),EDATE(V246,12),AND(AH246="K5-LAW",AG246="นิติศาสตร์",OR(T246="S2",T246="K5")),V246,AND(AH246="K5-LAW",AG246="นิติศาสตร์",OR(K246="M2",K246="K4"),Q246&gt;=2),EDATE(P246,12*2),AND(AH246="K5-LAW",AG246="นิติศาสตร์",K246="S1",Q246&gt;=1),EDATE(P246,12),AND(AH246="K5-LAW",AG246="นิติศาสตร์",OR(K246="S2",K246="K5")),P246,AND(AH246="K5-POLICY",AG246&lt;&gt;"นิติศาสตร์",K246="S2",T246="",Z246=""),P246,AND(AH246="K5-POLICY",AG246&lt;&gt;"นิติศาสตร์",K246="S1",T246="",Z246=""),EDATE(P246,12),AND(AH246="K5-POLICY",AG246&lt;&gt;"นิติศาสตร์",OR(K246="M2",K246="K4"),T246="",Z246=""),EDATE(P246,12*2),AND(AH246="K5-POLICY",AG246&lt;&gt;"นิติศาสตร์",OR(Z246="M2",Z246="K4"),AC246&gt;=2,OR(AB246&lt;V246,AB246&lt;P246)),EDATE(AB246,12*2),AND(AH246="K5-POLICY",AG246&lt;&gt;"นิติศาสตร์",Z246="S1",AC246&gt;=1,OR(AB246&lt;V246,AB246&lt;P246)),EDATE(AB246,12),AND(AH246="K5-POLICY",AG246&lt;&gt;"นิติศาสตร์",OR(T246="M2",T246="K4"),W246&gt;=2,V246&lt;P246),EDATE(V246,12*2),AND(AH246="K5-POLICY",AG246&lt;&gt;"นิติศาสตร์",T246="S1",W246&gt;=1,V246&lt;P246),EDATE(V246,12),AND(AH246="K5-POLICY",AG246&lt;&gt;"นิติศาสตร์",OR(T246="S2",T246="K5")),V246,AND(AH246="K5-POLICY",AG246&lt;&gt;"นิติศาสตร์",OR(K246="M2",K246="K4"),Q246&gt;=2),EDATE(P246,12*2),AND(AH246="K5-POLICY",AG246&lt;&gt;"นิติศาสตร์",K246="S1",Q246&gt;=1),EDATE(P246,12),AND(AH246="K5-POLICY",AG246&lt;&gt;"นิติศาสตร์",OR(K246="S2",K246="K5")),P246,TRUE,"Check Data")</f>
        <v/>
      </c>
      <c r="AJ246" s="75" t="str">
        <f t="shared" si="61"/>
        <v>Check Data</v>
      </c>
      <c r="AK246" s="76" t="str">
        <f t="shared" si="62"/>
        <v>Check Data</v>
      </c>
      <c r="AL246" s="50" t="str">
        <f t="shared" si="63"/>
        <v>Check Data</v>
      </c>
      <c r="AM246" s="49" t="str">
        <f>IF(B246="","",IF(K246="S1","S1",INDEX(#REF!,#REF!)))</f>
        <v/>
      </c>
      <c r="AN246" s="49" t="str">
        <f>K246</f>
        <v>M2</v>
      </c>
      <c r="AO246" s="50" t="b">
        <f>K246=AM246</f>
        <v>0</v>
      </c>
      <c r="AP246" s="50"/>
    </row>
    <row r="247" spans="1:42" ht="21.75">
      <c r="A247" s="49">
        <v>245</v>
      </c>
      <c r="B247" s="50"/>
      <c r="C247" s="52"/>
      <c r="D247" s="79"/>
      <c r="E247" s="79"/>
      <c r="F247" s="79"/>
      <c r="G247" s="50">
        <f t="shared" si="49"/>
        <v>0</v>
      </c>
      <c r="H247" s="50">
        <f t="shared" si="50"/>
        <v>0</v>
      </c>
      <c r="I247" s="50">
        <f t="shared" si="51"/>
        <v>0</v>
      </c>
      <c r="J247" s="79"/>
      <c r="K247" s="49" t="s">
        <v>136</v>
      </c>
      <c r="L247" s="79"/>
      <c r="M247" s="79"/>
      <c r="N247" s="79"/>
      <c r="O247" s="65" t="s">
        <v>433</v>
      </c>
      <c r="P247" s="49" t="str">
        <f t="shared" si="52"/>
        <v>23/04/2024</v>
      </c>
      <c r="Q247" s="68">
        <f t="shared" si="53"/>
        <v>1</v>
      </c>
      <c r="R247" s="68">
        <f t="shared" si="54"/>
        <v>1</v>
      </c>
      <c r="S247" s="68">
        <f t="shared" si="55"/>
        <v>28</v>
      </c>
      <c r="T247" s="65"/>
      <c r="U247" s="83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49" t="str">
        <f>IF(AG247="นิติศาสตร์","K5-LAW","K5-POLICY")</f>
        <v>K5-POLICY</v>
      </c>
      <c r="AI247" s="72" t="str">
        <f>_xlfn.IFS(B247="","",AND(AH247="K5-LAW",AG247="นิติศาสตร์",K247="S2",T247="",Z247=""),P247,AND(AH247="K5-LAW",AG247="นิติศาสตร์",K247="S1",T247="",Z247=""),EDATE(P247,12),AND(AH247="K5-LAW",AG247="นิติศาสตร์",OR(K247="M2",K247="K4"),T247="",Z247=""),EDATE(P247,12*2),AND(AH247="K5-LAW",AG247="นิติศาสตร์",OR(Z247="M2",Z247="K4"),AC247&gt;=2,OR(AB247&lt;V247,AB247&lt;P247)),EDATE(AB247,12*2),AND(AH247="K5-LAW",AG247="นิติศาสตร์",Z247="S1",AC247&gt;=1,OR(AB247&lt;V247,AB247&lt;P247)),EDATE(AB247,12),AND(AH247="K5-LAW",AG247="นิติศาสตร์",OR(T247="M2",T247="K4"),W247&gt;=2,V247&lt;P247),EDATE(V247,12*2),AND(AH247="K5-LAW",AG247="นิติศาสตร์",T247="S1",W247&gt;=1,V247&lt;P247),EDATE(V247,12),AND(AH247="K5-LAW",AG247="นิติศาสตร์",OR(T247="S2",T247="K5")),V247,AND(AH247="K5-LAW",AG247="นิติศาสตร์",OR(K247="M2",K247="K4"),Q247&gt;=2),EDATE(P247,12*2),AND(AH247="K5-LAW",AG247="นิติศาสตร์",K247="S1",Q247&gt;=1),EDATE(P247,12),AND(AH247="K5-LAW",AG247="นิติศาสตร์",OR(K247="S2",K247="K5")),P247,AND(AH247="K5-POLICY",AG247&lt;&gt;"นิติศาสตร์",K247="S2",T247="",Z247=""),P247,AND(AH247="K5-POLICY",AG247&lt;&gt;"นิติศาสตร์",K247="S1",T247="",Z247=""),EDATE(P247,12),AND(AH247="K5-POLICY",AG247&lt;&gt;"นิติศาสตร์",OR(K247="M2",K247="K4"),T247="",Z247=""),EDATE(P247,12*2),AND(AH247="K5-POLICY",AG247&lt;&gt;"นิติศาสตร์",OR(Z247="M2",Z247="K4"),AC247&gt;=2,OR(AB247&lt;V247,AB247&lt;P247)),EDATE(AB247,12*2),AND(AH247="K5-POLICY",AG247&lt;&gt;"นิติศาสตร์",Z247="S1",AC247&gt;=1,OR(AB247&lt;V247,AB247&lt;P247)),EDATE(AB247,12),AND(AH247="K5-POLICY",AG247&lt;&gt;"นิติศาสตร์",OR(T247="M2",T247="K4"),W247&gt;=2,V247&lt;P247),EDATE(V247,12*2),AND(AH247="K5-POLICY",AG247&lt;&gt;"นิติศาสตร์",T247="S1",W247&gt;=1,V247&lt;P247),EDATE(V247,12),AND(AH247="K5-POLICY",AG247&lt;&gt;"นิติศาสตร์",OR(T247="S2",T247="K5")),V247,AND(AH247="K5-POLICY",AG247&lt;&gt;"นิติศาสตร์",OR(K247="M2",K247="K4"),Q247&gt;=2),EDATE(P247,12*2),AND(AH247="K5-POLICY",AG247&lt;&gt;"นิติศาสตร์",K247="S1",Q247&gt;=1),EDATE(P247,12),AND(AH247="K5-POLICY",AG247&lt;&gt;"นิติศาสตร์",OR(K247="S2",K247="K5")),P247,TRUE,"Check Data")</f>
        <v/>
      </c>
      <c r="AJ247" s="75" t="str">
        <f t="shared" si="61"/>
        <v>Check Data</v>
      </c>
      <c r="AK247" s="76" t="str">
        <f t="shared" si="62"/>
        <v>Check Data</v>
      </c>
      <c r="AL247" s="50" t="str">
        <f t="shared" si="63"/>
        <v>Check Data</v>
      </c>
      <c r="AM247" s="49" t="str">
        <f>IF(B247="","",IF(K247="S1","S1",INDEX(#REF!,#REF!)))</f>
        <v/>
      </c>
      <c r="AN247" s="49" t="str">
        <f>K247</f>
        <v>M2</v>
      </c>
      <c r="AO247" s="50" t="b">
        <f>K247=AM247</f>
        <v>0</v>
      </c>
      <c r="AP247" s="50"/>
    </row>
    <row r="248" spans="1:42" ht="21.75">
      <c r="A248" s="49">
        <v>246</v>
      </c>
      <c r="B248" s="50"/>
      <c r="C248" s="52"/>
      <c r="D248" s="79"/>
      <c r="E248" s="79"/>
      <c r="F248" s="79"/>
      <c r="G248" s="50">
        <f t="shared" si="49"/>
        <v>0</v>
      </c>
      <c r="H248" s="50">
        <f t="shared" si="50"/>
        <v>0</v>
      </c>
      <c r="I248" s="50">
        <f t="shared" si="51"/>
        <v>0</v>
      </c>
      <c r="J248" s="79"/>
      <c r="K248" s="49" t="s">
        <v>136</v>
      </c>
      <c r="L248" s="79"/>
      <c r="M248" s="79"/>
      <c r="N248" s="79"/>
      <c r="O248" s="82" t="s">
        <v>433</v>
      </c>
      <c r="P248" s="49" t="str">
        <f t="shared" si="52"/>
        <v>23/04/2024</v>
      </c>
      <c r="Q248" s="68">
        <f t="shared" si="53"/>
        <v>1</v>
      </c>
      <c r="R248" s="68">
        <f t="shared" si="54"/>
        <v>1</v>
      </c>
      <c r="S248" s="68">
        <f t="shared" si="55"/>
        <v>28</v>
      </c>
      <c r="T248" s="65"/>
      <c r="U248" s="83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49" t="str">
        <f>IF(AG248="นิติศาสตร์","K5-LAW","K5-POLICY")</f>
        <v>K5-POLICY</v>
      </c>
      <c r="AI248" s="72" t="str">
        <f>_xlfn.IFS(B248="","",AND(AH248="K5-LAW",AG248="นิติศาสตร์",K248="S2",T248="",Z248=""),P248,AND(AH248="K5-LAW",AG248="นิติศาสตร์",K248="S1",T248="",Z248=""),EDATE(P248,12),AND(AH248="K5-LAW",AG248="นิติศาสตร์",OR(K248="M2",K248="K4"),T248="",Z248=""),EDATE(P248,12*2),AND(AH248="K5-LAW",AG248="นิติศาสตร์",OR(Z248="M2",Z248="K4"),AC248&gt;=2,OR(AB248&lt;V248,AB248&lt;P248)),EDATE(AB248,12*2),AND(AH248="K5-LAW",AG248="นิติศาสตร์",Z248="S1",AC248&gt;=1,OR(AB248&lt;V248,AB248&lt;P248)),EDATE(AB248,12),AND(AH248="K5-LAW",AG248="นิติศาสตร์",OR(T248="M2",T248="K4"),W248&gt;=2,V248&lt;P248),EDATE(V248,12*2),AND(AH248="K5-LAW",AG248="นิติศาสตร์",T248="S1",W248&gt;=1,V248&lt;P248),EDATE(V248,12),AND(AH248="K5-LAW",AG248="นิติศาสตร์",OR(T248="S2",T248="K5")),V248,AND(AH248="K5-LAW",AG248="นิติศาสตร์",OR(K248="M2",K248="K4"),Q248&gt;=2),EDATE(P248,12*2),AND(AH248="K5-LAW",AG248="นิติศาสตร์",K248="S1",Q248&gt;=1),EDATE(P248,12),AND(AH248="K5-LAW",AG248="นิติศาสตร์",OR(K248="S2",K248="K5")),P248,AND(AH248="K5-POLICY",AG248&lt;&gt;"นิติศาสตร์",K248="S2",T248="",Z248=""),P248,AND(AH248="K5-POLICY",AG248&lt;&gt;"นิติศาสตร์",K248="S1",T248="",Z248=""),EDATE(P248,12),AND(AH248="K5-POLICY",AG248&lt;&gt;"นิติศาสตร์",OR(K248="M2",K248="K4"),T248="",Z248=""),EDATE(P248,12*2),AND(AH248="K5-POLICY",AG248&lt;&gt;"นิติศาสตร์",OR(Z248="M2",Z248="K4"),AC248&gt;=2,OR(AB248&lt;V248,AB248&lt;P248)),EDATE(AB248,12*2),AND(AH248="K5-POLICY",AG248&lt;&gt;"นิติศาสตร์",Z248="S1",AC248&gt;=1,OR(AB248&lt;V248,AB248&lt;P248)),EDATE(AB248,12),AND(AH248="K5-POLICY",AG248&lt;&gt;"นิติศาสตร์",OR(T248="M2",T248="K4"),W248&gt;=2,V248&lt;P248),EDATE(V248,12*2),AND(AH248="K5-POLICY",AG248&lt;&gt;"นิติศาสตร์",T248="S1",W248&gt;=1,V248&lt;P248),EDATE(V248,12),AND(AH248="K5-POLICY",AG248&lt;&gt;"นิติศาสตร์",OR(T248="S2",T248="K5")),V248,AND(AH248="K5-POLICY",AG248&lt;&gt;"นิติศาสตร์",OR(K248="M2",K248="K4"),Q248&gt;=2),EDATE(P248,12*2),AND(AH248="K5-POLICY",AG248&lt;&gt;"นิติศาสตร์",K248="S1",Q248&gt;=1),EDATE(P248,12),AND(AH248="K5-POLICY",AG248&lt;&gt;"นิติศาสตร์",OR(K248="S2",K248="K5")),P248,TRUE,"Check Data")</f>
        <v/>
      </c>
      <c r="AJ248" s="75" t="str">
        <f t="shared" si="61"/>
        <v>Check Data</v>
      </c>
      <c r="AK248" s="76" t="str">
        <f t="shared" si="62"/>
        <v>Check Data</v>
      </c>
      <c r="AL248" s="50" t="str">
        <f t="shared" si="63"/>
        <v>Check Data</v>
      </c>
      <c r="AM248" s="49" t="str">
        <f>IF(B248="","",IF(K248="S1","S1",INDEX(#REF!,#REF!)))</f>
        <v/>
      </c>
      <c r="AN248" s="49" t="str">
        <f>K248</f>
        <v>M2</v>
      </c>
      <c r="AO248" s="50" t="b">
        <f>K248=AM248</f>
        <v>0</v>
      </c>
      <c r="AP248" s="50"/>
    </row>
    <row r="249" spans="1:42" ht="21.75">
      <c r="A249" s="49">
        <v>247</v>
      </c>
      <c r="B249" s="50"/>
      <c r="C249" s="52"/>
      <c r="D249" s="79"/>
      <c r="E249" s="79"/>
      <c r="F249" s="79"/>
      <c r="G249" s="50">
        <f t="shared" si="49"/>
        <v>0</v>
      </c>
      <c r="H249" s="50">
        <f t="shared" si="50"/>
        <v>0</v>
      </c>
      <c r="I249" s="50">
        <f t="shared" si="51"/>
        <v>0</v>
      </c>
      <c r="J249" s="79"/>
      <c r="K249" s="49" t="s">
        <v>136</v>
      </c>
      <c r="L249" s="79"/>
      <c r="M249" s="79"/>
      <c r="N249" s="79"/>
      <c r="O249" s="65" t="s">
        <v>433</v>
      </c>
      <c r="P249" s="49" t="str">
        <f t="shared" si="52"/>
        <v>23/04/2024</v>
      </c>
      <c r="Q249" s="68">
        <f t="shared" si="53"/>
        <v>1</v>
      </c>
      <c r="R249" s="68">
        <f t="shared" si="54"/>
        <v>1</v>
      </c>
      <c r="S249" s="68">
        <f t="shared" si="55"/>
        <v>28</v>
      </c>
      <c r="T249" s="65"/>
      <c r="U249" s="83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49" t="str">
        <f>IF(AG249="นิติศาสตร์","K5-LAW","K5-POLICY")</f>
        <v>K5-POLICY</v>
      </c>
      <c r="AI249" s="72" t="str">
        <f>_xlfn.IFS(B249="","",AND(AH249="K5-LAW",AG249="นิติศาสตร์",K249="S2",T249="",Z249=""),P249,AND(AH249="K5-LAW",AG249="นิติศาสตร์",K249="S1",T249="",Z249=""),EDATE(P249,12),AND(AH249="K5-LAW",AG249="นิติศาสตร์",OR(K249="M2",K249="K4"),T249="",Z249=""),EDATE(P249,12*2),AND(AH249="K5-LAW",AG249="นิติศาสตร์",OR(Z249="M2",Z249="K4"),AC249&gt;=2,OR(AB249&lt;V249,AB249&lt;P249)),EDATE(AB249,12*2),AND(AH249="K5-LAW",AG249="นิติศาสตร์",Z249="S1",AC249&gt;=1,OR(AB249&lt;V249,AB249&lt;P249)),EDATE(AB249,12),AND(AH249="K5-LAW",AG249="นิติศาสตร์",OR(T249="M2",T249="K4"),W249&gt;=2,V249&lt;P249),EDATE(V249,12*2),AND(AH249="K5-LAW",AG249="นิติศาสตร์",T249="S1",W249&gt;=1,V249&lt;P249),EDATE(V249,12),AND(AH249="K5-LAW",AG249="นิติศาสตร์",OR(T249="S2",T249="K5")),V249,AND(AH249="K5-LAW",AG249="นิติศาสตร์",OR(K249="M2",K249="K4"),Q249&gt;=2),EDATE(P249,12*2),AND(AH249="K5-LAW",AG249="นิติศาสตร์",K249="S1",Q249&gt;=1),EDATE(P249,12),AND(AH249="K5-LAW",AG249="นิติศาสตร์",OR(K249="S2",K249="K5")),P249,AND(AH249="K5-POLICY",AG249&lt;&gt;"นิติศาสตร์",K249="S2",T249="",Z249=""),P249,AND(AH249="K5-POLICY",AG249&lt;&gt;"นิติศาสตร์",K249="S1",T249="",Z249=""),EDATE(P249,12),AND(AH249="K5-POLICY",AG249&lt;&gt;"นิติศาสตร์",OR(K249="M2",K249="K4"),T249="",Z249=""),EDATE(P249,12*2),AND(AH249="K5-POLICY",AG249&lt;&gt;"นิติศาสตร์",OR(Z249="M2",Z249="K4"),AC249&gt;=2,OR(AB249&lt;V249,AB249&lt;P249)),EDATE(AB249,12*2),AND(AH249="K5-POLICY",AG249&lt;&gt;"นิติศาสตร์",Z249="S1",AC249&gt;=1,OR(AB249&lt;V249,AB249&lt;P249)),EDATE(AB249,12),AND(AH249="K5-POLICY",AG249&lt;&gt;"นิติศาสตร์",OR(T249="M2",T249="K4"),W249&gt;=2,V249&lt;P249),EDATE(V249,12*2),AND(AH249="K5-POLICY",AG249&lt;&gt;"นิติศาสตร์",T249="S1",W249&gt;=1,V249&lt;P249),EDATE(V249,12),AND(AH249="K5-POLICY",AG249&lt;&gt;"นิติศาสตร์",OR(T249="S2",T249="K5")),V249,AND(AH249="K5-POLICY",AG249&lt;&gt;"นิติศาสตร์",OR(K249="M2",K249="K4"),Q249&gt;=2),EDATE(P249,12*2),AND(AH249="K5-POLICY",AG249&lt;&gt;"นิติศาสตร์",K249="S1",Q249&gt;=1),EDATE(P249,12),AND(AH249="K5-POLICY",AG249&lt;&gt;"นิติศาสตร์",OR(K249="S2",K249="K5")),P249,TRUE,"Check Data")</f>
        <v/>
      </c>
      <c r="AJ249" s="75" t="str">
        <f t="shared" si="61"/>
        <v>Check Data</v>
      </c>
      <c r="AK249" s="76" t="str">
        <f t="shared" si="62"/>
        <v>Check Data</v>
      </c>
      <c r="AL249" s="50" t="str">
        <f t="shared" si="63"/>
        <v>Check Data</v>
      </c>
      <c r="AM249" s="49" t="str">
        <f>IF(B249="","",IF(K249="S1","S1",INDEX(#REF!,#REF!)))</f>
        <v/>
      </c>
      <c r="AN249" s="49" t="str">
        <f>K249</f>
        <v>M2</v>
      </c>
      <c r="AO249" s="50" t="b">
        <f>K249=AM249</f>
        <v>0</v>
      </c>
      <c r="AP249" s="50"/>
    </row>
    <row r="250" spans="1:42" ht="21.75">
      <c r="A250" s="49">
        <v>248</v>
      </c>
      <c r="B250" s="50"/>
      <c r="C250" s="52"/>
      <c r="D250" s="50"/>
      <c r="E250" s="49"/>
      <c r="F250" s="49"/>
      <c r="G250" s="50">
        <f t="shared" si="49"/>
        <v>0</v>
      </c>
      <c r="H250" s="50">
        <f t="shared" si="50"/>
        <v>0</v>
      </c>
      <c r="I250" s="50">
        <f t="shared" si="51"/>
        <v>0</v>
      </c>
      <c r="J250" s="50"/>
      <c r="K250" s="49" t="s">
        <v>136</v>
      </c>
      <c r="L250" s="64"/>
      <c r="M250" s="49"/>
      <c r="N250" s="49"/>
      <c r="O250" s="65" t="s">
        <v>434</v>
      </c>
      <c r="P250" s="49" t="str">
        <f t="shared" si="52"/>
        <v>02/07/2024</v>
      </c>
      <c r="Q250" s="68">
        <f t="shared" si="53"/>
        <v>0</v>
      </c>
      <c r="R250" s="68">
        <f t="shared" si="54"/>
        <v>11</v>
      </c>
      <c r="S250" s="68">
        <f t="shared" si="55"/>
        <v>18</v>
      </c>
      <c r="T250" s="65"/>
      <c r="U250" s="65"/>
      <c r="V250" s="49"/>
      <c r="W250" s="68"/>
      <c r="X250" s="68"/>
      <c r="Y250" s="68"/>
      <c r="Z250" s="49"/>
      <c r="AA250" s="65"/>
      <c r="AB250" s="50"/>
      <c r="AC250" s="68"/>
      <c r="AD250" s="68"/>
      <c r="AE250" s="68"/>
      <c r="AF250" s="50"/>
      <c r="AG250" s="50"/>
      <c r="AH250" s="49" t="str">
        <f>IF(AG250="นิติศาสตร์","K5-LAW","K5-POLICY")</f>
        <v>K5-POLICY</v>
      </c>
      <c r="AI250" s="72" t="str">
        <f>_xlfn.IFS(B250="","",AND(AH250="K5-LAW",AG250="นิติศาสตร์",K250="S2",T250="",Z250=""),P250,AND(AH250="K5-LAW",AG250="นิติศาสตร์",K250="S1",T250="",Z250=""),EDATE(P250,12),AND(AH250="K5-LAW",AG250="นิติศาสตร์",OR(K250="M2",K250="K4"),T250="",Z250=""),EDATE(P250,12*2),AND(AH250="K5-LAW",AG250="นิติศาสตร์",OR(Z250="M2",Z250="K4"),AC250&gt;=2,OR(AB250&lt;V250,AB250&lt;P250)),EDATE(AB250,12*2),AND(AH250="K5-LAW",AG250="นิติศาสตร์",Z250="S1",AC250&gt;=1,OR(AB250&lt;V250,AB250&lt;P250)),EDATE(AB250,12),AND(AH250="K5-LAW",AG250="นิติศาสตร์",OR(T250="M2",T250="K4"),W250&gt;=2,V250&lt;P250),EDATE(V250,12*2),AND(AH250="K5-LAW",AG250="นิติศาสตร์",T250="S1",W250&gt;=1,V250&lt;P250),EDATE(V250,12),AND(AH250="K5-LAW",AG250="นิติศาสตร์",OR(T250="S2",T250="K5")),V250,AND(AH250="K5-LAW",AG250="นิติศาสตร์",OR(K250="M2",K250="K4"),Q250&gt;=2),EDATE(P250,12*2),AND(AH250="K5-LAW",AG250="นิติศาสตร์",K250="S1",Q250&gt;=1),EDATE(P250,12),AND(AH250="K5-LAW",AG250="นิติศาสตร์",OR(K250="S2",K250="K5")),P250,AND(AH250="K5-POLICY",AG250&lt;&gt;"นิติศาสตร์",K250="S2",T250="",Z250=""),P250,AND(AH250="K5-POLICY",AG250&lt;&gt;"นิติศาสตร์",K250="S1",T250="",Z250=""),EDATE(P250,12),AND(AH250="K5-POLICY",AG250&lt;&gt;"นิติศาสตร์",OR(K250="M2",K250="K4"),T250="",Z250=""),EDATE(P250,12*2),AND(AH250="K5-POLICY",AG250&lt;&gt;"นิติศาสตร์",OR(Z250="M2",Z250="K4"),AC250&gt;=2,OR(AB250&lt;V250,AB250&lt;P250)),EDATE(AB250,12*2),AND(AH250="K5-POLICY",AG250&lt;&gt;"นิติศาสตร์",Z250="S1",AC250&gt;=1,OR(AB250&lt;V250,AB250&lt;P250)),EDATE(AB250,12),AND(AH250="K5-POLICY",AG250&lt;&gt;"นิติศาสตร์",OR(T250="M2",T250="K4"),W250&gt;=2,V250&lt;P250),EDATE(V250,12*2),AND(AH250="K5-POLICY",AG250&lt;&gt;"นิติศาสตร์",T250="S1",W250&gt;=1,V250&lt;P250),EDATE(V250,12),AND(AH250="K5-POLICY",AG250&lt;&gt;"นิติศาสตร์",OR(T250="S2",T250="K5")),V250,AND(AH250="K5-POLICY",AG250&lt;&gt;"นิติศาสตร์",OR(K250="M2",K250="K4"),Q250&gt;=2),EDATE(P250,12*2),AND(AH250="K5-POLICY",AG250&lt;&gt;"นิติศาสตร์",K250="S1",Q250&gt;=1),EDATE(P250,12),AND(AH250="K5-POLICY",AG250&lt;&gt;"นิติศาสตร์",OR(K250="S2",K250="K5")),P250,TRUE,"Check Data")</f>
        <v/>
      </c>
      <c r="AJ250" s="75" t="str">
        <f t="shared" si="61"/>
        <v>Check Data</v>
      </c>
      <c r="AK250" s="76" t="str">
        <f t="shared" si="62"/>
        <v>Check Data</v>
      </c>
      <c r="AL250" s="50" t="str">
        <f t="shared" si="63"/>
        <v>Check Data</v>
      </c>
      <c r="AM250" s="49" t="str">
        <f>IF(B250="","",IF(K250="S1","S1",INDEX(#REF!,#REF!)))</f>
        <v/>
      </c>
      <c r="AN250" s="49" t="str">
        <f>K250</f>
        <v>M2</v>
      </c>
      <c r="AO250" s="50" t="b">
        <f>K250=AM250</f>
        <v>0</v>
      </c>
      <c r="AP250" s="50"/>
    </row>
    <row r="251" spans="1:42" ht="21.75">
      <c r="A251" s="49">
        <v>249</v>
      </c>
      <c r="B251" s="50"/>
      <c r="C251" s="52"/>
      <c r="D251" s="50"/>
      <c r="E251" s="49"/>
      <c r="F251" s="49"/>
      <c r="G251" s="50">
        <f t="shared" si="49"/>
        <v>0</v>
      </c>
      <c r="H251" s="50">
        <f t="shared" si="50"/>
        <v>0</v>
      </c>
      <c r="I251" s="50">
        <f t="shared" si="51"/>
        <v>0</v>
      </c>
      <c r="J251" s="50"/>
      <c r="K251" s="49" t="s">
        <v>136</v>
      </c>
      <c r="L251" s="64"/>
      <c r="M251" s="49"/>
      <c r="N251" s="49"/>
      <c r="O251" s="65" t="s">
        <v>434</v>
      </c>
      <c r="P251" s="49" t="str">
        <f t="shared" si="52"/>
        <v>02/07/2024</v>
      </c>
      <c r="Q251" s="68">
        <f t="shared" si="53"/>
        <v>0</v>
      </c>
      <c r="R251" s="68">
        <f t="shared" si="54"/>
        <v>11</v>
      </c>
      <c r="S251" s="68">
        <f t="shared" si="55"/>
        <v>18</v>
      </c>
      <c r="T251" s="65"/>
      <c r="U251" s="65"/>
      <c r="V251" s="49"/>
      <c r="W251" s="68"/>
      <c r="X251" s="68"/>
      <c r="Y251" s="68"/>
      <c r="Z251" s="49"/>
      <c r="AA251" s="65"/>
      <c r="AB251" s="50"/>
      <c r="AC251" s="68"/>
      <c r="AD251" s="68"/>
      <c r="AE251" s="68"/>
      <c r="AF251" s="50"/>
      <c r="AG251" s="50"/>
      <c r="AH251" s="49" t="str">
        <f>IF(AG251="นิติศาสตร์","K5-LAW","K5-POLICY")</f>
        <v>K5-POLICY</v>
      </c>
      <c r="AI251" s="72" t="str">
        <f>_xlfn.IFS(B251="","",AND(AH251="K5-LAW",AG251="นิติศาสตร์",K251="S2",T251="",Z251=""),P251,AND(AH251="K5-LAW",AG251="นิติศาสตร์",K251="S1",T251="",Z251=""),EDATE(P251,12),AND(AH251="K5-LAW",AG251="นิติศาสตร์",OR(K251="M2",K251="K4"),T251="",Z251=""),EDATE(P251,12*2),AND(AH251="K5-LAW",AG251="นิติศาสตร์",OR(Z251="M2",Z251="K4"),AC251&gt;=2,OR(AB251&lt;V251,AB251&lt;P251)),EDATE(AB251,12*2),AND(AH251="K5-LAW",AG251="นิติศาสตร์",Z251="S1",AC251&gt;=1,OR(AB251&lt;V251,AB251&lt;P251)),EDATE(AB251,12),AND(AH251="K5-LAW",AG251="นิติศาสตร์",OR(T251="M2",T251="K4"),W251&gt;=2,V251&lt;P251),EDATE(V251,12*2),AND(AH251="K5-LAW",AG251="นิติศาสตร์",T251="S1",W251&gt;=1,V251&lt;P251),EDATE(V251,12),AND(AH251="K5-LAW",AG251="นิติศาสตร์",OR(T251="S2",T251="K5")),V251,AND(AH251="K5-LAW",AG251="นิติศาสตร์",OR(K251="M2",K251="K4"),Q251&gt;=2),EDATE(P251,12*2),AND(AH251="K5-LAW",AG251="นิติศาสตร์",K251="S1",Q251&gt;=1),EDATE(P251,12),AND(AH251="K5-LAW",AG251="นิติศาสตร์",OR(K251="S2",K251="K5")),P251,AND(AH251="K5-POLICY",AG251&lt;&gt;"นิติศาสตร์",K251="S2",T251="",Z251=""),P251,AND(AH251="K5-POLICY",AG251&lt;&gt;"นิติศาสตร์",K251="S1",T251="",Z251=""),EDATE(P251,12),AND(AH251="K5-POLICY",AG251&lt;&gt;"นิติศาสตร์",OR(K251="M2",K251="K4"),T251="",Z251=""),EDATE(P251,12*2),AND(AH251="K5-POLICY",AG251&lt;&gt;"นิติศาสตร์",OR(Z251="M2",Z251="K4"),AC251&gt;=2,OR(AB251&lt;V251,AB251&lt;P251)),EDATE(AB251,12*2),AND(AH251="K5-POLICY",AG251&lt;&gt;"นิติศาสตร์",Z251="S1",AC251&gt;=1,OR(AB251&lt;V251,AB251&lt;P251)),EDATE(AB251,12),AND(AH251="K5-POLICY",AG251&lt;&gt;"นิติศาสตร์",OR(T251="M2",T251="K4"),W251&gt;=2,V251&lt;P251),EDATE(V251,12*2),AND(AH251="K5-POLICY",AG251&lt;&gt;"นิติศาสตร์",T251="S1",W251&gt;=1,V251&lt;P251),EDATE(V251,12),AND(AH251="K5-POLICY",AG251&lt;&gt;"นิติศาสตร์",OR(T251="S2",T251="K5")),V251,AND(AH251="K5-POLICY",AG251&lt;&gt;"นิติศาสตร์",OR(K251="M2",K251="K4"),Q251&gt;=2),EDATE(P251,12*2),AND(AH251="K5-POLICY",AG251&lt;&gt;"นิติศาสตร์",K251="S1",Q251&gt;=1),EDATE(P251,12),AND(AH251="K5-POLICY",AG251&lt;&gt;"นิติศาสตร์",OR(K251="S2",K251="K5")),P251,TRUE,"Check Data")</f>
        <v/>
      </c>
      <c r="AJ251" s="75" t="str">
        <f t="shared" si="61"/>
        <v>Check Data</v>
      </c>
      <c r="AK251" s="76" t="str">
        <f t="shared" si="62"/>
        <v>Check Data</v>
      </c>
      <c r="AL251" s="50" t="str">
        <f t="shared" si="63"/>
        <v>Check Data</v>
      </c>
      <c r="AM251" s="49" t="str">
        <f>IF(B251="","",IF(K251="S1","S1",INDEX(#REF!,#REF!)))</f>
        <v/>
      </c>
      <c r="AN251" s="49" t="str">
        <f>K251</f>
        <v>M2</v>
      </c>
      <c r="AO251" s="50" t="b">
        <f>K251=AM251</f>
        <v>0</v>
      </c>
      <c r="AP251" s="50"/>
    </row>
    <row r="252" spans="1:42" ht="21.75">
      <c r="A252" s="49">
        <v>250</v>
      </c>
      <c r="B252" s="50"/>
      <c r="C252" s="52"/>
      <c r="D252" s="50"/>
      <c r="E252" s="49"/>
      <c r="F252" s="49"/>
      <c r="G252" s="50">
        <f t="shared" si="49"/>
        <v>0</v>
      </c>
      <c r="H252" s="50">
        <f t="shared" si="50"/>
        <v>0</v>
      </c>
      <c r="I252" s="50">
        <f t="shared" si="51"/>
        <v>0</v>
      </c>
      <c r="J252" s="50"/>
      <c r="K252" s="49" t="s">
        <v>136</v>
      </c>
      <c r="L252" s="64"/>
      <c r="M252" s="49"/>
      <c r="N252" s="49"/>
      <c r="O252" s="65" t="s">
        <v>434</v>
      </c>
      <c r="P252" s="49" t="str">
        <f t="shared" si="52"/>
        <v>02/07/2024</v>
      </c>
      <c r="Q252" s="68">
        <f t="shared" si="53"/>
        <v>0</v>
      </c>
      <c r="R252" s="68">
        <f t="shared" si="54"/>
        <v>11</v>
      </c>
      <c r="S252" s="68">
        <f t="shared" si="55"/>
        <v>18</v>
      </c>
      <c r="T252" s="65"/>
      <c r="U252" s="65"/>
      <c r="V252" s="49"/>
      <c r="W252" s="68"/>
      <c r="X252" s="68"/>
      <c r="Y252" s="68"/>
      <c r="Z252" s="49"/>
      <c r="AA252" s="65"/>
      <c r="AB252" s="50"/>
      <c r="AC252" s="68"/>
      <c r="AD252" s="68"/>
      <c r="AE252" s="68"/>
      <c r="AF252" s="50"/>
      <c r="AG252" s="50"/>
      <c r="AH252" s="49" t="str">
        <f>IF(AG252="นิติศาสตร์","K5-LAW","K5-POLICY")</f>
        <v>K5-POLICY</v>
      </c>
      <c r="AI252" s="72" t="str">
        <f>_xlfn.IFS(B252="","",AND(AH252="K5-LAW",AG252="นิติศาสตร์",K252="S2",T252="",Z252=""),P252,AND(AH252="K5-LAW",AG252="นิติศาสตร์",K252="S1",T252="",Z252=""),EDATE(P252,12),AND(AH252="K5-LAW",AG252="นิติศาสตร์",OR(K252="M2",K252="K4"),T252="",Z252=""),EDATE(P252,12*2),AND(AH252="K5-LAW",AG252="นิติศาสตร์",OR(Z252="M2",Z252="K4"),AC252&gt;=2,OR(AB252&lt;V252,AB252&lt;P252)),EDATE(AB252,12*2),AND(AH252="K5-LAW",AG252="นิติศาสตร์",Z252="S1",AC252&gt;=1,OR(AB252&lt;V252,AB252&lt;P252)),EDATE(AB252,12),AND(AH252="K5-LAW",AG252="นิติศาสตร์",OR(T252="M2",T252="K4"),W252&gt;=2,V252&lt;P252),EDATE(V252,12*2),AND(AH252="K5-LAW",AG252="นิติศาสตร์",T252="S1",W252&gt;=1,V252&lt;P252),EDATE(V252,12),AND(AH252="K5-LAW",AG252="นิติศาสตร์",OR(T252="S2",T252="K5")),V252,AND(AH252="K5-LAW",AG252="นิติศาสตร์",OR(K252="M2",K252="K4"),Q252&gt;=2),EDATE(P252,12*2),AND(AH252="K5-LAW",AG252="นิติศาสตร์",K252="S1",Q252&gt;=1),EDATE(P252,12),AND(AH252="K5-LAW",AG252="นิติศาสตร์",OR(K252="S2",K252="K5")),P252,AND(AH252="K5-POLICY",AG252&lt;&gt;"นิติศาสตร์",K252="S2",T252="",Z252=""),P252,AND(AH252="K5-POLICY",AG252&lt;&gt;"นิติศาสตร์",K252="S1",T252="",Z252=""),EDATE(P252,12),AND(AH252="K5-POLICY",AG252&lt;&gt;"นิติศาสตร์",OR(K252="M2",K252="K4"),T252="",Z252=""),EDATE(P252,12*2),AND(AH252="K5-POLICY",AG252&lt;&gt;"นิติศาสตร์",OR(Z252="M2",Z252="K4"),AC252&gt;=2,OR(AB252&lt;V252,AB252&lt;P252)),EDATE(AB252,12*2),AND(AH252="K5-POLICY",AG252&lt;&gt;"นิติศาสตร์",Z252="S1",AC252&gt;=1,OR(AB252&lt;V252,AB252&lt;P252)),EDATE(AB252,12),AND(AH252="K5-POLICY",AG252&lt;&gt;"นิติศาสตร์",OR(T252="M2",T252="K4"),W252&gt;=2,V252&lt;P252),EDATE(V252,12*2),AND(AH252="K5-POLICY",AG252&lt;&gt;"นิติศาสตร์",T252="S1",W252&gt;=1,V252&lt;P252),EDATE(V252,12),AND(AH252="K5-POLICY",AG252&lt;&gt;"นิติศาสตร์",OR(T252="S2",T252="K5")),V252,AND(AH252="K5-POLICY",AG252&lt;&gt;"นิติศาสตร์",OR(K252="M2",K252="K4"),Q252&gt;=2),EDATE(P252,12*2),AND(AH252="K5-POLICY",AG252&lt;&gt;"นิติศาสตร์",K252="S1",Q252&gt;=1),EDATE(P252,12),AND(AH252="K5-POLICY",AG252&lt;&gt;"นิติศาสตร์",OR(K252="S2",K252="K5")),P252,TRUE,"Check Data")</f>
        <v/>
      </c>
      <c r="AJ252" s="75" t="str">
        <f t="shared" si="61"/>
        <v>Check Data</v>
      </c>
      <c r="AK252" s="76" t="str">
        <f t="shared" si="62"/>
        <v>Check Data</v>
      </c>
      <c r="AL252" s="50" t="str">
        <f t="shared" si="63"/>
        <v>Check Data</v>
      </c>
      <c r="AM252" s="49" t="str">
        <f>IF(B252="","",IF(K252="S1","S1",INDEX(#REF!,#REF!)))</f>
        <v/>
      </c>
      <c r="AN252" s="49" t="str">
        <f>K252</f>
        <v>M2</v>
      </c>
      <c r="AO252" s="50" t="b">
        <f>K252=AM252</f>
        <v>0</v>
      </c>
      <c r="AP252" s="50"/>
    </row>
    <row r="253" spans="1:42" ht="21.75">
      <c r="A253" s="49">
        <v>251</v>
      </c>
      <c r="B253" s="50"/>
      <c r="C253" s="52"/>
      <c r="D253" s="50"/>
      <c r="E253" s="49"/>
      <c r="F253" s="49"/>
      <c r="G253" s="50">
        <f t="shared" si="49"/>
        <v>0</v>
      </c>
      <c r="H253" s="50">
        <f t="shared" si="50"/>
        <v>0</v>
      </c>
      <c r="I253" s="50">
        <f t="shared" si="51"/>
        <v>0</v>
      </c>
      <c r="J253" s="50"/>
      <c r="K253" s="49" t="s">
        <v>136</v>
      </c>
      <c r="L253" s="64"/>
      <c r="M253" s="49"/>
      <c r="N253" s="49"/>
      <c r="O253" s="65" t="s">
        <v>434</v>
      </c>
      <c r="P253" s="49" t="str">
        <f t="shared" si="52"/>
        <v>02/07/2024</v>
      </c>
      <c r="Q253" s="68">
        <f t="shared" si="53"/>
        <v>0</v>
      </c>
      <c r="R253" s="68">
        <f t="shared" si="54"/>
        <v>11</v>
      </c>
      <c r="S253" s="68">
        <f t="shared" si="55"/>
        <v>18</v>
      </c>
      <c r="T253" s="65"/>
      <c r="U253" s="65"/>
      <c r="V253" s="49"/>
      <c r="W253" s="68"/>
      <c r="X253" s="68"/>
      <c r="Y253" s="68"/>
      <c r="Z253" s="49"/>
      <c r="AA253" s="65"/>
      <c r="AB253" s="50"/>
      <c r="AC253" s="68"/>
      <c r="AD253" s="68"/>
      <c r="AE253" s="68"/>
      <c r="AF253" s="50"/>
      <c r="AG253" s="50"/>
      <c r="AH253" s="49" t="str">
        <f>IF(AG253="นิติศาสตร์","K5-LAW","K5-POLICY")</f>
        <v>K5-POLICY</v>
      </c>
      <c r="AI253" s="72" t="str">
        <f>_xlfn.IFS(B253="","",AND(AH253="K5-LAW",AG253="นิติศาสตร์",K253="S2",T253="",Z253=""),P253,AND(AH253="K5-LAW",AG253="นิติศาสตร์",K253="S1",T253="",Z253=""),EDATE(P253,12),AND(AH253="K5-LAW",AG253="นิติศาสตร์",OR(K253="M2",K253="K4"),T253="",Z253=""),EDATE(P253,12*2),AND(AH253="K5-LAW",AG253="นิติศาสตร์",OR(Z253="M2",Z253="K4"),AC253&gt;=2,OR(AB253&lt;V253,AB253&lt;P253)),EDATE(AB253,12*2),AND(AH253="K5-LAW",AG253="นิติศาสตร์",Z253="S1",AC253&gt;=1,OR(AB253&lt;V253,AB253&lt;P253)),EDATE(AB253,12),AND(AH253="K5-LAW",AG253="นิติศาสตร์",OR(T253="M2",T253="K4"),W253&gt;=2,V253&lt;P253),EDATE(V253,12*2),AND(AH253="K5-LAW",AG253="นิติศาสตร์",T253="S1",W253&gt;=1,V253&lt;P253),EDATE(V253,12),AND(AH253="K5-LAW",AG253="นิติศาสตร์",OR(T253="S2",T253="K5")),V253,AND(AH253="K5-LAW",AG253="นิติศาสตร์",OR(K253="M2",K253="K4"),Q253&gt;=2),EDATE(P253,12*2),AND(AH253="K5-LAW",AG253="นิติศาสตร์",K253="S1",Q253&gt;=1),EDATE(P253,12),AND(AH253="K5-LAW",AG253="นิติศาสตร์",OR(K253="S2",K253="K5")),P253,AND(AH253="K5-POLICY",AG253&lt;&gt;"นิติศาสตร์",K253="S2",T253="",Z253=""),P253,AND(AH253="K5-POLICY",AG253&lt;&gt;"นิติศาสตร์",K253="S1",T253="",Z253=""),EDATE(P253,12),AND(AH253="K5-POLICY",AG253&lt;&gt;"นิติศาสตร์",OR(K253="M2",K253="K4"),T253="",Z253=""),EDATE(P253,12*2),AND(AH253="K5-POLICY",AG253&lt;&gt;"นิติศาสตร์",OR(Z253="M2",Z253="K4"),AC253&gt;=2,OR(AB253&lt;V253,AB253&lt;P253)),EDATE(AB253,12*2),AND(AH253="K5-POLICY",AG253&lt;&gt;"นิติศาสตร์",Z253="S1",AC253&gt;=1,OR(AB253&lt;V253,AB253&lt;P253)),EDATE(AB253,12),AND(AH253="K5-POLICY",AG253&lt;&gt;"นิติศาสตร์",OR(T253="M2",T253="K4"),W253&gt;=2,V253&lt;P253),EDATE(V253,12*2),AND(AH253="K5-POLICY",AG253&lt;&gt;"นิติศาสตร์",T253="S1",W253&gt;=1,V253&lt;P253),EDATE(V253,12),AND(AH253="K5-POLICY",AG253&lt;&gt;"นิติศาสตร์",OR(T253="S2",T253="K5")),V253,AND(AH253="K5-POLICY",AG253&lt;&gt;"นิติศาสตร์",OR(K253="M2",K253="K4"),Q253&gt;=2),EDATE(P253,12*2),AND(AH253="K5-POLICY",AG253&lt;&gt;"นิติศาสตร์",K253="S1",Q253&gt;=1),EDATE(P253,12),AND(AH253="K5-POLICY",AG253&lt;&gt;"นิติศาสตร์",OR(K253="S2",K253="K5")),P253,TRUE,"Check Data")</f>
        <v/>
      </c>
      <c r="AJ253" s="75" t="str">
        <f t="shared" si="61"/>
        <v>Check Data</v>
      </c>
      <c r="AK253" s="76" t="str">
        <f t="shared" si="62"/>
        <v>Check Data</v>
      </c>
      <c r="AL253" s="50" t="str">
        <f t="shared" si="63"/>
        <v>Check Data</v>
      </c>
      <c r="AM253" s="49" t="str">
        <f>IF(B253="","",IF(K253="S1","S1",INDEX(#REF!,#REF!)))</f>
        <v/>
      </c>
      <c r="AN253" s="49" t="str">
        <f>K253</f>
        <v>M2</v>
      </c>
      <c r="AO253" s="50" t="b">
        <f>K253=AM253</f>
        <v>0</v>
      </c>
      <c r="AP253" s="50"/>
    </row>
    <row r="254" spans="1:42" ht="21.75">
      <c r="A254" s="49">
        <v>252</v>
      </c>
      <c r="B254" s="50"/>
      <c r="C254" s="52"/>
      <c r="D254" s="50"/>
      <c r="E254" s="49"/>
      <c r="F254" s="49"/>
      <c r="G254" s="50">
        <f t="shared" si="49"/>
        <v>0</v>
      </c>
      <c r="H254" s="50">
        <f t="shared" si="50"/>
        <v>0</v>
      </c>
      <c r="I254" s="50">
        <f t="shared" si="51"/>
        <v>0</v>
      </c>
      <c r="J254" s="50"/>
      <c r="K254" s="49" t="s">
        <v>136</v>
      </c>
      <c r="L254" s="64"/>
      <c r="M254" s="49"/>
      <c r="N254" s="49"/>
      <c r="O254" s="65" t="s">
        <v>434</v>
      </c>
      <c r="P254" s="49" t="str">
        <f t="shared" si="52"/>
        <v>02/07/2024</v>
      </c>
      <c r="Q254" s="68">
        <f t="shared" si="53"/>
        <v>0</v>
      </c>
      <c r="R254" s="68">
        <f t="shared" si="54"/>
        <v>11</v>
      </c>
      <c r="S254" s="68">
        <f t="shared" si="55"/>
        <v>18</v>
      </c>
      <c r="T254" s="65"/>
      <c r="U254" s="65"/>
      <c r="V254" s="49"/>
      <c r="W254" s="68"/>
      <c r="X254" s="68"/>
      <c r="Y254" s="68"/>
      <c r="Z254" s="49"/>
      <c r="AA254" s="65"/>
      <c r="AB254" s="50"/>
      <c r="AC254" s="68"/>
      <c r="AD254" s="68"/>
      <c r="AE254" s="68"/>
      <c r="AF254" s="50"/>
      <c r="AG254" s="50"/>
      <c r="AH254" s="49" t="str">
        <f>IF(AG254="นิติศาสตร์","K5-LAW","K5-POLICY")</f>
        <v>K5-POLICY</v>
      </c>
      <c r="AI254" s="72" t="str">
        <f>_xlfn.IFS(B254="","",AND(AH254="K5-LAW",AG254="นิติศาสตร์",K254="S2",T254="",Z254=""),P254,AND(AH254="K5-LAW",AG254="นิติศาสตร์",K254="S1",T254="",Z254=""),EDATE(P254,12),AND(AH254="K5-LAW",AG254="นิติศาสตร์",OR(K254="M2",K254="K4"),T254="",Z254=""),EDATE(P254,12*2),AND(AH254="K5-LAW",AG254="นิติศาสตร์",OR(Z254="M2",Z254="K4"),AC254&gt;=2,OR(AB254&lt;V254,AB254&lt;P254)),EDATE(AB254,12*2),AND(AH254="K5-LAW",AG254="นิติศาสตร์",Z254="S1",AC254&gt;=1,OR(AB254&lt;V254,AB254&lt;P254)),EDATE(AB254,12),AND(AH254="K5-LAW",AG254="นิติศาสตร์",OR(T254="M2",T254="K4"),W254&gt;=2,V254&lt;P254),EDATE(V254,12*2),AND(AH254="K5-LAW",AG254="นิติศาสตร์",T254="S1",W254&gt;=1,V254&lt;P254),EDATE(V254,12),AND(AH254="K5-LAW",AG254="นิติศาสตร์",OR(T254="S2",T254="K5")),V254,AND(AH254="K5-LAW",AG254="นิติศาสตร์",OR(K254="M2",K254="K4"),Q254&gt;=2),EDATE(P254,12*2),AND(AH254="K5-LAW",AG254="นิติศาสตร์",K254="S1",Q254&gt;=1),EDATE(P254,12),AND(AH254="K5-LAW",AG254="นิติศาสตร์",OR(K254="S2",K254="K5")),P254,AND(AH254="K5-POLICY",AG254&lt;&gt;"นิติศาสตร์",K254="S2",T254="",Z254=""),P254,AND(AH254="K5-POLICY",AG254&lt;&gt;"นิติศาสตร์",K254="S1",T254="",Z254=""),EDATE(P254,12),AND(AH254="K5-POLICY",AG254&lt;&gt;"นิติศาสตร์",OR(K254="M2",K254="K4"),T254="",Z254=""),EDATE(P254,12*2),AND(AH254="K5-POLICY",AG254&lt;&gt;"นิติศาสตร์",OR(Z254="M2",Z254="K4"),AC254&gt;=2,OR(AB254&lt;V254,AB254&lt;P254)),EDATE(AB254,12*2),AND(AH254="K5-POLICY",AG254&lt;&gt;"นิติศาสตร์",Z254="S1",AC254&gt;=1,OR(AB254&lt;V254,AB254&lt;P254)),EDATE(AB254,12),AND(AH254="K5-POLICY",AG254&lt;&gt;"นิติศาสตร์",OR(T254="M2",T254="K4"),W254&gt;=2,V254&lt;P254),EDATE(V254,12*2),AND(AH254="K5-POLICY",AG254&lt;&gt;"นิติศาสตร์",T254="S1",W254&gt;=1,V254&lt;P254),EDATE(V254,12),AND(AH254="K5-POLICY",AG254&lt;&gt;"นิติศาสตร์",OR(T254="S2",T254="K5")),V254,AND(AH254="K5-POLICY",AG254&lt;&gt;"นิติศาสตร์",OR(K254="M2",K254="K4"),Q254&gt;=2),EDATE(P254,12*2),AND(AH254="K5-POLICY",AG254&lt;&gt;"นิติศาสตร์",K254="S1",Q254&gt;=1),EDATE(P254,12),AND(AH254="K5-POLICY",AG254&lt;&gt;"นิติศาสตร์",OR(K254="S2",K254="K5")),P254,TRUE,"Check Data")</f>
        <v/>
      </c>
      <c r="AJ254" s="75" t="str">
        <f t="shared" si="61"/>
        <v>Check Data</v>
      </c>
      <c r="AK254" s="76" t="str">
        <f t="shared" si="62"/>
        <v>Check Data</v>
      </c>
      <c r="AL254" s="50" t="str">
        <f t="shared" si="63"/>
        <v>Check Data</v>
      </c>
      <c r="AM254" s="49" t="str">
        <f>IF(B254="","",IF(K254="S1","S1",INDEX(#REF!,#REF!)))</f>
        <v/>
      </c>
      <c r="AN254" s="49" t="str">
        <f>K254</f>
        <v>M2</v>
      </c>
      <c r="AO254" s="50" t="b">
        <f>K254=AM254</f>
        <v>0</v>
      </c>
      <c r="AP254" s="50"/>
    </row>
    <row r="255" spans="1:42" ht="21.75">
      <c r="A255" s="49">
        <v>253</v>
      </c>
      <c r="B255" s="50"/>
      <c r="C255" s="52"/>
      <c r="D255" s="50"/>
      <c r="E255" s="49"/>
      <c r="F255" s="49"/>
      <c r="G255" s="50">
        <f t="shared" si="49"/>
        <v>0</v>
      </c>
      <c r="H255" s="50">
        <f t="shared" si="50"/>
        <v>0</v>
      </c>
      <c r="I255" s="50">
        <f t="shared" si="51"/>
        <v>0</v>
      </c>
      <c r="J255" s="50"/>
      <c r="K255" s="49" t="s">
        <v>136</v>
      </c>
      <c r="L255" s="64"/>
      <c r="M255" s="49"/>
      <c r="N255" s="49"/>
      <c r="O255" s="65" t="s">
        <v>434</v>
      </c>
      <c r="P255" s="49" t="str">
        <f t="shared" si="52"/>
        <v>02/07/2024</v>
      </c>
      <c r="Q255" s="68">
        <f t="shared" si="53"/>
        <v>0</v>
      </c>
      <c r="R255" s="68">
        <f t="shared" si="54"/>
        <v>11</v>
      </c>
      <c r="S255" s="68">
        <f t="shared" si="55"/>
        <v>18</v>
      </c>
      <c r="T255" s="65"/>
      <c r="U255" s="65"/>
      <c r="V255" s="49"/>
      <c r="W255" s="68"/>
      <c r="X255" s="68"/>
      <c r="Y255" s="68"/>
      <c r="Z255" s="49"/>
      <c r="AA255" s="65"/>
      <c r="AB255" s="50"/>
      <c r="AC255" s="68"/>
      <c r="AD255" s="68"/>
      <c r="AE255" s="68"/>
      <c r="AF255" s="50"/>
      <c r="AG255" s="50"/>
      <c r="AH255" s="49" t="str">
        <f>IF(AG255="นิติศาสตร์","K5-LAW","K5-POLICY")</f>
        <v>K5-POLICY</v>
      </c>
      <c r="AI255" s="72" t="str">
        <f>_xlfn.IFS(B255="","",AND(AH255="K5-LAW",AG255="นิติศาสตร์",K255="S2",T255="",Z255=""),P255,AND(AH255="K5-LAW",AG255="นิติศาสตร์",K255="S1",T255="",Z255=""),EDATE(P255,12),AND(AH255="K5-LAW",AG255="นิติศาสตร์",OR(K255="M2",K255="K4"),T255="",Z255=""),EDATE(P255,12*2),AND(AH255="K5-LAW",AG255="นิติศาสตร์",OR(Z255="M2",Z255="K4"),AC255&gt;=2,OR(AB255&lt;V255,AB255&lt;P255)),EDATE(AB255,12*2),AND(AH255="K5-LAW",AG255="นิติศาสตร์",Z255="S1",AC255&gt;=1,OR(AB255&lt;V255,AB255&lt;P255)),EDATE(AB255,12),AND(AH255="K5-LAW",AG255="นิติศาสตร์",OR(T255="M2",T255="K4"),W255&gt;=2,V255&lt;P255),EDATE(V255,12*2),AND(AH255="K5-LAW",AG255="นิติศาสตร์",T255="S1",W255&gt;=1,V255&lt;P255),EDATE(V255,12),AND(AH255="K5-LAW",AG255="นิติศาสตร์",OR(T255="S2",T255="K5")),V255,AND(AH255="K5-LAW",AG255="นิติศาสตร์",OR(K255="M2",K255="K4"),Q255&gt;=2),EDATE(P255,12*2),AND(AH255="K5-LAW",AG255="นิติศาสตร์",K255="S1",Q255&gt;=1),EDATE(P255,12),AND(AH255="K5-LAW",AG255="นิติศาสตร์",OR(K255="S2",K255="K5")),P255,AND(AH255="K5-POLICY",AG255&lt;&gt;"นิติศาสตร์",K255="S2",T255="",Z255=""),P255,AND(AH255="K5-POLICY",AG255&lt;&gt;"นิติศาสตร์",K255="S1",T255="",Z255=""),EDATE(P255,12),AND(AH255="K5-POLICY",AG255&lt;&gt;"นิติศาสตร์",OR(K255="M2",K255="K4"),T255="",Z255=""),EDATE(P255,12*2),AND(AH255="K5-POLICY",AG255&lt;&gt;"นิติศาสตร์",OR(Z255="M2",Z255="K4"),AC255&gt;=2,OR(AB255&lt;V255,AB255&lt;P255)),EDATE(AB255,12*2),AND(AH255="K5-POLICY",AG255&lt;&gt;"นิติศาสตร์",Z255="S1",AC255&gt;=1,OR(AB255&lt;V255,AB255&lt;P255)),EDATE(AB255,12),AND(AH255="K5-POLICY",AG255&lt;&gt;"นิติศาสตร์",OR(T255="M2",T255="K4"),W255&gt;=2,V255&lt;P255),EDATE(V255,12*2),AND(AH255="K5-POLICY",AG255&lt;&gt;"นิติศาสตร์",T255="S1",W255&gt;=1,V255&lt;P255),EDATE(V255,12),AND(AH255="K5-POLICY",AG255&lt;&gt;"นิติศาสตร์",OR(T255="S2",T255="K5")),V255,AND(AH255="K5-POLICY",AG255&lt;&gt;"นิติศาสตร์",OR(K255="M2",K255="K4"),Q255&gt;=2),EDATE(P255,12*2),AND(AH255="K5-POLICY",AG255&lt;&gt;"นิติศาสตร์",K255="S1",Q255&gt;=1),EDATE(P255,12),AND(AH255="K5-POLICY",AG255&lt;&gt;"นิติศาสตร์",OR(K255="S2",K255="K5")),P255,TRUE,"Check Data")</f>
        <v/>
      </c>
      <c r="AJ255" s="75" t="str">
        <f t="shared" si="61"/>
        <v>Check Data</v>
      </c>
      <c r="AK255" s="76" t="str">
        <f t="shared" si="62"/>
        <v>Check Data</v>
      </c>
      <c r="AL255" s="50" t="str">
        <f t="shared" si="63"/>
        <v>Check Data</v>
      </c>
      <c r="AM255" s="49" t="str">
        <f>IF(B255="","",IF(K255="S1","S1",INDEX(#REF!,#REF!)))</f>
        <v/>
      </c>
      <c r="AN255" s="49" t="str">
        <f>K255</f>
        <v>M2</v>
      </c>
      <c r="AO255" s="50" t="b">
        <f>K255=AM255</f>
        <v>0</v>
      </c>
      <c r="AP255" s="50"/>
    </row>
    <row r="256" spans="1:42" ht="21.75">
      <c r="A256" s="49">
        <v>254</v>
      </c>
      <c r="B256" s="50"/>
      <c r="C256" s="52"/>
      <c r="D256" s="50"/>
      <c r="E256" s="49"/>
      <c r="F256" s="49" t="str">
        <f t="shared" ref="F256:F262" si="70">IF(E256="","",TEXT(EDATE(E256,-543*12),"dd/mm/yyyy"))</f>
        <v/>
      </c>
      <c r="G256" s="50">
        <f t="shared" si="49"/>
        <v>0</v>
      </c>
      <c r="H256" s="50">
        <f t="shared" si="50"/>
        <v>0</v>
      </c>
      <c r="I256" s="50">
        <f t="shared" si="51"/>
        <v>0</v>
      </c>
      <c r="J256" s="50"/>
      <c r="K256" s="49" t="s">
        <v>136</v>
      </c>
      <c r="L256" s="64"/>
      <c r="M256" s="49"/>
      <c r="N256" s="49"/>
      <c r="O256" s="65" t="s">
        <v>434</v>
      </c>
      <c r="P256" s="49" t="str">
        <f t="shared" si="52"/>
        <v>02/07/2024</v>
      </c>
      <c r="Q256" s="68">
        <f t="shared" si="53"/>
        <v>0</v>
      </c>
      <c r="R256" s="68">
        <f t="shared" si="54"/>
        <v>11</v>
      </c>
      <c r="S256" s="68">
        <f t="shared" si="55"/>
        <v>18</v>
      </c>
      <c r="T256" s="65"/>
      <c r="U256" s="65"/>
      <c r="V256" s="49" t="str">
        <f t="shared" ref="V256:V262" si="71">IF(U256="","",TEXT(EDATE(U256,-543*12),"dd/mm/yyyy"))</f>
        <v/>
      </c>
      <c r="W256" s="68">
        <f>IF(V256="",0,DATEDIF(V256,P256,"Y"))</f>
        <v>0</v>
      </c>
      <c r="X256" s="68">
        <f>IF(V256="",0,DATEDIF(V256,P256,"YM"))</f>
        <v>0</v>
      </c>
      <c r="Y256" s="68">
        <f>IF(V256="",0,DATEDIF(V256,P256,"MD"))</f>
        <v>0</v>
      </c>
      <c r="Z256" s="49"/>
      <c r="AA256" s="65"/>
      <c r="AB256" s="50" t="str">
        <f t="shared" ref="AB256:AB262" si="72">IF(AA256="","",TEXT(EDATE(AA256,-543*12),"dd/mm/yyyy"))</f>
        <v/>
      </c>
      <c r="AC256" s="68">
        <f t="shared" ref="AC256:AC262" si="73">IF(AB256="",0,DATEDIF(AB256,V256,"Y"))</f>
        <v>0</v>
      </c>
      <c r="AD256" s="68">
        <f t="shared" ref="AD256:AD262" si="74">IF(AB256="",0,DATEDIF(AB256,V256,"YM"))</f>
        <v>0</v>
      </c>
      <c r="AE256" s="68">
        <f t="shared" ref="AE256:AE262" si="75">IF(AB256="",0,DATEDIF(AB256,V256,"MD"))</f>
        <v>0</v>
      </c>
      <c r="AF256" s="50"/>
      <c r="AG256" s="50"/>
      <c r="AH256" s="49" t="str">
        <f>IF(AG256="นิติศาสตร์","K5-LAW","K5-POLICY")</f>
        <v>K5-POLICY</v>
      </c>
      <c r="AI256" s="72" t="str">
        <f>_xlfn.IFS(B256="","",AND(AH256="K5-LAW",AG256="นิติศาสตร์",K256="S2",T256="",Z256=""),P256,AND(AH256="K5-LAW",AG256="นิติศาสตร์",K256="S1",T256="",Z256=""),EDATE(P256,12),AND(AH256="K5-LAW",AG256="นิติศาสตร์",OR(K256="M2",K256="K4"),T256="",Z256=""),EDATE(P256,12*2),AND(AH256="K5-LAW",AG256="นิติศาสตร์",OR(Z256="M2",Z256="K4"),AC256&gt;=2,OR(AB256&lt;V256,AB256&lt;P256)),EDATE(AB256,12*2),AND(AH256="K5-LAW",AG256="นิติศาสตร์",Z256="S1",AC256&gt;=1,OR(AB256&lt;V256,AB256&lt;P256)),EDATE(AB256,12),AND(AH256="K5-LAW",AG256="นิติศาสตร์",OR(T256="M2",T256="K4"),W256&gt;=2,V256&lt;P256),EDATE(V256,12*2),AND(AH256="K5-LAW",AG256="นิติศาสตร์",T256="S1",W256&gt;=1,V256&lt;P256),EDATE(V256,12),AND(AH256="K5-LAW",AG256="นิติศาสตร์",OR(T256="S2",T256="K5")),V256,AND(AH256="K5-LAW",AG256="นิติศาสตร์",OR(K256="M2",K256="K4"),Q256&gt;=2),EDATE(P256,12*2),AND(AH256="K5-LAW",AG256="นิติศาสตร์",K256="S1",Q256&gt;=1),EDATE(P256,12),AND(AH256="K5-LAW",AG256="นิติศาสตร์",OR(K256="S2",K256="K5")),P256,AND(AH256="K5-POLICY",AG256&lt;&gt;"นิติศาสตร์",K256="S2",T256="",Z256=""),P256,AND(AH256="K5-POLICY",AG256&lt;&gt;"นิติศาสตร์",K256="S1",T256="",Z256=""),EDATE(P256,12),AND(AH256="K5-POLICY",AG256&lt;&gt;"นิติศาสตร์",OR(K256="M2",K256="K4"),T256="",Z256=""),EDATE(P256,12*2),AND(AH256="K5-POLICY",AG256&lt;&gt;"นิติศาสตร์",OR(Z256="M2",Z256="K4"),AC256&gt;=2,OR(AB256&lt;V256,AB256&lt;P256)),EDATE(AB256,12*2),AND(AH256="K5-POLICY",AG256&lt;&gt;"นิติศาสตร์",Z256="S1",AC256&gt;=1,OR(AB256&lt;V256,AB256&lt;P256)),EDATE(AB256,12),AND(AH256="K5-POLICY",AG256&lt;&gt;"นิติศาสตร์",OR(T256="M2",T256="K4"),W256&gt;=2,V256&lt;P256),EDATE(V256,12*2),AND(AH256="K5-POLICY",AG256&lt;&gt;"นิติศาสตร์",T256="S1",W256&gt;=1,V256&lt;P256),EDATE(V256,12),AND(AH256="K5-POLICY",AG256&lt;&gt;"นิติศาสตร์",OR(T256="S2",T256="K5")),V256,AND(AH256="K5-POLICY",AG256&lt;&gt;"นิติศาสตร์",OR(K256="M2",K256="K4"),Q256&gt;=2),EDATE(P256,12*2),AND(AH256="K5-POLICY",AG256&lt;&gt;"นิติศาสตร์",K256="S1",Q256&gt;=1),EDATE(P256,12),AND(AH256="K5-POLICY",AG256&lt;&gt;"นิติศาสตร์",OR(K256="S2",K256="K5")),P256,TRUE,"Check Data")</f>
        <v/>
      </c>
      <c r="AJ256" s="75" t="str">
        <f t="shared" si="61"/>
        <v>Check Data</v>
      </c>
      <c r="AK256" s="76" t="str">
        <f t="shared" si="62"/>
        <v>Check Data</v>
      </c>
      <c r="AL256" s="50" t="str">
        <f t="shared" si="63"/>
        <v>Check Data</v>
      </c>
      <c r="AM256" s="49" t="str">
        <f>IF(B256="","",IF(K256="S1","S1",INDEX(#REF!,#REF!)))</f>
        <v/>
      </c>
      <c r="AN256" s="49" t="str">
        <f>K256</f>
        <v>M2</v>
      </c>
      <c r="AO256" s="50" t="b">
        <f>K256=AM256</f>
        <v>0</v>
      </c>
      <c r="AP256" s="50"/>
    </row>
    <row r="257" spans="1:42" ht="21.75">
      <c r="A257" s="49">
        <v>255</v>
      </c>
      <c r="B257" s="50"/>
      <c r="C257" s="52"/>
      <c r="D257" s="50"/>
      <c r="E257" s="49"/>
      <c r="F257" s="49" t="str">
        <f t="shared" si="70"/>
        <v/>
      </c>
      <c r="G257" s="50">
        <f t="shared" si="49"/>
        <v>0</v>
      </c>
      <c r="H257" s="50">
        <f t="shared" si="50"/>
        <v>0</v>
      </c>
      <c r="I257" s="50">
        <f t="shared" si="51"/>
        <v>0</v>
      </c>
      <c r="J257" s="50"/>
      <c r="K257" s="49" t="s">
        <v>136</v>
      </c>
      <c r="L257" s="64"/>
      <c r="M257" s="49"/>
      <c r="N257" s="49"/>
      <c r="O257" s="65" t="s">
        <v>434</v>
      </c>
      <c r="P257" s="49" t="str">
        <f t="shared" si="52"/>
        <v>02/07/2024</v>
      </c>
      <c r="Q257" s="68">
        <f t="shared" si="53"/>
        <v>0</v>
      </c>
      <c r="R257" s="68">
        <f t="shared" si="54"/>
        <v>11</v>
      </c>
      <c r="S257" s="68">
        <f t="shared" si="55"/>
        <v>18</v>
      </c>
      <c r="T257" s="65"/>
      <c r="U257" s="65"/>
      <c r="V257" s="49" t="str">
        <f t="shared" si="71"/>
        <v/>
      </c>
      <c r="W257" s="68">
        <f>IF(V257="",0,DATEDIF(V257,P257,"Y"))</f>
        <v>0</v>
      </c>
      <c r="X257" s="68">
        <f>IF(V257="",0,DATEDIF(V257,P257,"YM"))</f>
        <v>0</v>
      </c>
      <c r="Y257" s="68">
        <f>IF(V257="",0,DATEDIF(V257,P257,"MD"))</f>
        <v>0</v>
      </c>
      <c r="Z257" s="49"/>
      <c r="AA257" s="65"/>
      <c r="AB257" s="50" t="str">
        <f t="shared" si="72"/>
        <v/>
      </c>
      <c r="AC257" s="68">
        <f t="shared" si="73"/>
        <v>0</v>
      </c>
      <c r="AD257" s="68">
        <f t="shared" si="74"/>
        <v>0</v>
      </c>
      <c r="AE257" s="68">
        <f t="shared" si="75"/>
        <v>0</v>
      </c>
      <c r="AF257" s="50"/>
      <c r="AG257" s="50"/>
      <c r="AH257" s="49" t="str">
        <f>IF(AG257="นิติศาสตร์","K5-LAW","K5-POLICY")</f>
        <v>K5-POLICY</v>
      </c>
      <c r="AI257" s="72" t="str">
        <f>_xlfn.IFS(B257="","",AND(AH257="K5-LAW",AG257="นิติศาสตร์",K257="S2",T257="",Z257=""),P257,AND(AH257="K5-LAW",AG257="นิติศาสตร์",K257="S1",T257="",Z257=""),EDATE(P257,12),AND(AH257="K5-LAW",AG257="นิติศาสตร์",OR(K257="M2",K257="K4"),T257="",Z257=""),EDATE(P257,12*2),AND(AH257="K5-LAW",AG257="นิติศาสตร์",OR(Z257="M2",Z257="K4"),AC257&gt;=2,OR(AB257&lt;V257,AB257&lt;P257)),EDATE(AB257,12*2),AND(AH257="K5-LAW",AG257="นิติศาสตร์",Z257="S1",AC257&gt;=1,OR(AB257&lt;V257,AB257&lt;P257)),EDATE(AB257,12),AND(AH257="K5-LAW",AG257="นิติศาสตร์",OR(T257="M2",T257="K4"),W257&gt;=2,V257&lt;P257),EDATE(V257,12*2),AND(AH257="K5-LAW",AG257="นิติศาสตร์",T257="S1",W257&gt;=1,V257&lt;P257),EDATE(V257,12),AND(AH257="K5-LAW",AG257="นิติศาสตร์",OR(T257="S2",T257="K5")),V257,AND(AH257="K5-LAW",AG257="นิติศาสตร์",OR(K257="M2",K257="K4"),Q257&gt;=2),EDATE(P257,12*2),AND(AH257="K5-LAW",AG257="นิติศาสตร์",K257="S1",Q257&gt;=1),EDATE(P257,12),AND(AH257="K5-LAW",AG257="นิติศาสตร์",OR(K257="S2",K257="K5")),P257,AND(AH257="K5-POLICY",AG257&lt;&gt;"นิติศาสตร์",K257="S2",T257="",Z257=""),P257,AND(AH257="K5-POLICY",AG257&lt;&gt;"นิติศาสตร์",K257="S1",T257="",Z257=""),EDATE(P257,12),AND(AH257="K5-POLICY",AG257&lt;&gt;"นิติศาสตร์",OR(K257="M2",K257="K4"),T257="",Z257=""),EDATE(P257,12*2),AND(AH257="K5-POLICY",AG257&lt;&gt;"นิติศาสตร์",OR(Z257="M2",Z257="K4"),AC257&gt;=2,OR(AB257&lt;V257,AB257&lt;P257)),EDATE(AB257,12*2),AND(AH257="K5-POLICY",AG257&lt;&gt;"นิติศาสตร์",Z257="S1",AC257&gt;=1,OR(AB257&lt;V257,AB257&lt;P257)),EDATE(AB257,12),AND(AH257="K5-POLICY",AG257&lt;&gt;"นิติศาสตร์",OR(T257="M2",T257="K4"),W257&gt;=2,V257&lt;P257),EDATE(V257,12*2),AND(AH257="K5-POLICY",AG257&lt;&gt;"นิติศาสตร์",T257="S1",W257&gt;=1,V257&lt;P257),EDATE(V257,12),AND(AH257="K5-POLICY",AG257&lt;&gt;"นิติศาสตร์",OR(T257="S2",T257="K5")),V257,AND(AH257="K5-POLICY",AG257&lt;&gt;"นิติศาสตร์",OR(K257="M2",K257="K4"),Q257&gt;=2),EDATE(P257,12*2),AND(AH257="K5-POLICY",AG257&lt;&gt;"นิติศาสตร์",K257="S1",Q257&gt;=1),EDATE(P257,12),AND(AH257="K5-POLICY",AG257&lt;&gt;"นิติศาสตร์",OR(K257="S2",K257="K5")),P257,TRUE,"Check Data")</f>
        <v/>
      </c>
      <c r="AJ257" s="75" t="str">
        <f t="shared" si="61"/>
        <v>Check Data</v>
      </c>
      <c r="AK257" s="76" t="str">
        <f t="shared" si="62"/>
        <v>Check Data</v>
      </c>
      <c r="AL257" s="50" t="str">
        <f t="shared" si="63"/>
        <v>Check Data</v>
      </c>
      <c r="AM257" s="49" t="str">
        <f>IF(B257="","",IF(K257="S1","S1",INDEX(#REF!,#REF!)))</f>
        <v/>
      </c>
      <c r="AN257" s="49" t="str">
        <f>K257</f>
        <v>M2</v>
      </c>
      <c r="AO257" s="50" t="b">
        <f>K257=AM257</f>
        <v>0</v>
      </c>
      <c r="AP257" s="50"/>
    </row>
    <row r="258" spans="1:42" ht="21.75">
      <c r="A258" s="49">
        <v>256</v>
      </c>
      <c r="B258" s="50"/>
      <c r="C258" s="52"/>
      <c r="D258" s="50"/>
      <c r="E258" s="49"/>
      <c r="F258" s="49" t="str">
        <f t="shared" si="70"/>
        <v/>
      </c>
      <c r="G258" s="50">
        <f t="shared" si="49"/>
        <v>0</v>
      </c>
      <c r="H258" s="50">
        <f t="shared" si="50"/>
        <v>0</v>
      </c>
      <c r="I258" s="50">
        <f t="shared" si="51"/>
        <v>0</v>
      </c>
      <c r="J258" s="50"/>
      <c r="K258" s="49" t="s">
        <v>136</v>
      </c>
      <c r="L258" s="64"/>
      <c r="M258" s="49"/>
      <c r="N258" s="49"/>
      <c r="O258" s="65" t="s">
        <v>434</v>
      </c>
      <c r="P258" s="49" t="str">
        <f t="shared" si="52"/>
        <v>02/07/2024</v>
      </c>
      <c r="Q258" s="68">
        <f t="shared" si="53"/>
        <v>0</v>
      </c>
      <c r="R258" s="68">
        <f t="shared" si="54"/>
        <v>11</v>
      </c>
      <c r="S258" s="68">
        <f t="shared" si="55"/>
        <v>18</v>
      </c>
      <c r="T258" s="65"/>
      <c r="U258" s="65"/>
      <c r="V258" s="49" t="str">
        <f t="shared" si="71"/>
        <v/>
      </c>
      <c r="W258" s="68">
        <f>IF(V258="",0,DATEDIF(V258,P258,"Y"))</f>
        <v>0</v>
      </c>
      <c r="X258" s="68">
        <f>IF(V258="",0,DATEDIF(V258,P258,"YM"))</f>
        <v>0</v>
      </c>
      <c r="Y258" s="68">
        <f>IF(V258="",0,DATEDIF(V258,P258,"MD"))</f>
        <v>0</v>
      </c>
      <c r="Z258" s="49"/>
      <c r="AA258" s="65"/>
      <c r="AB258" s="50" t="str">
        <f t="shared" si="72"/>
        <v/>
      </c>
      <c r="AC258" s="68">
        <f t="shared" si="73"/>
        <v>0</v>
      </c>
      <c r="AD258" s="68">
        <f t="shared" si="74"/>
        <v>0</v>
      </c>
      <c r="AE258" s="68">
        <f t="shared" si="75"/>
        <v>0</v>
      </c>
      <c r="AF258" s="50"/>
      <c r="AG258" s="50"/>
      <c r="AH258" s="49" t="str">
        <f>IF(AG258="นิติศาสตร์","K5-LAW","K5-POLICY")</f>
        <v>K5-POLICY</v>
      </c>
      <c r="AI258" s="72" t="str">
        <f>_xlfn.IFS(B258="","",AND(AH258="K5-LAW",AG258="นิติศาสตร์",K258="S2",T258="",Z258=""),P258,AND(AH258="K5-LAW",AG258="นิติศาสตร์",K258="S1",T258="",Z258=""),EDATE(P258,12),AND(AH258="K5-LAW",AG258="นิติศาสตร์",OR(K258="M2",K258="K4"),T258="",Z258=""),EDATE(P258,12*2),AND(AH258="K5-LAW",AG258="นิติศาสตร์",OR(Z258="M2",Z258="K4"),AC258&gt;=2,OR(AB258&lt;V258,AB258&lt;P258)),EDATE(AB258,12*2),AND(AH258="K5-LAW",AG258="นิติศาสตร์",Z258="S1",AC258&gt;=1,OR(AB258&lt;V258,AB258&lt;P258)),EDATE(AB258,12),AND(AH258="K5-LAW",AG258="นิติศาสตร์",OR(T258="M2",T258="K4"),W258&gt;=2,V258&lt;P258),EDATE(V258,12*2),AND(AH258="K5-LAW",AG258="นิติศาสตร์",T258="S1",W258&gt;=1,V258&lt;P258),EDATE(V258,12),AND(AH258="K5-LAW",AG258="นิติศาสตร์",OR(T258="S2",T258="K5")),V258,AND(AH258="K5-LAW",AG258="นิติศาสตร์",OR(K258="M2",K258="K4"),Q258&gt;=2),EDATE(P258,12*2),AND(AH258="K5-LAW",AG258="นิติศาสตร์",K258="S1",Q258&gt;=1),EDATE(P258,12),AND(AH258="K5-LAW",AG258="นิติศาสตร์",OR(K258="S2",K258="K5")),P258,AND(AH258="K5-POLICY",AG258&lt;&gt;"นิติศาสตร์",K258="S2",T258="",Z258=""),P258,AND(AH258="K5-POLICY",AG258&lt;&gt;"นิติศาสตร์",K258="S1",T258="",Z258=""),EDATE(P258,12),AND(AH258="K5-POLICY",AG258&lt;&gt;"นิติศาสตร์",OR(K258="M2",K258="K4"),T258="",Z258=""),EDATE(P258,12*2),AND(AH258="K5-POLICY",AG258&lt;&gt;"นิติศาสตร์",OR(Z258="M2",Z258="K4"),AC258&gt;=2,OR(AB258&lt;V258,AB258&lt;P258)),EDATE(AB258,12*2),AND(AH258="K5-POLICY",AG258&lt;&gt;"นิติศาสตร์",Z258="S1",AC258&gt;=1,OR(AB258&lt;V258,AB258&lt;P258)),EDATE(AB258,12),AND(AH258="K5-POLICY",AG258&lt;&gt;"นิติศาสตร์",OR(T258="M2",T258="K4"),W258&gt;=2,V258&lt;P258),EDATE(V258,12*2),AND(AH258="K5-POLICY",AG258&lt;&gt;"นิติศาสตร์",T258="S1",W258&gt;=1,V258&lt;P258),EDATE(V258,12),AND(AH258="K5-POLICY",AG258&lt;&gt;"นิติศาสตร์",OR(T258="S2",T258="K5")),V258,AND(AH258="K5-POLICY",AG258&lt;&gt;"นิติศาสตร์",OR(K258="M2",K258="K4"),Q258&gt;=2),EDATE(P258,12*2),AND(AH258="K5-POLICY",AG258&lt;&gt;"นิติศาสตร์",K258="S1",Q258&gt;=1),EDATE(P258,12),AND(AH258="K5-POLICY",AG258&lt;&gt;"นิติศาสตร์",OR(K258="S2",K258="K5")),P258,TRUE,"Check Data")</f>
        <v/>
      </c>
      <c r="AJ258" s="75" t="str">
        <f t="shared" si="61"/>
        <v>Check Data</v>
      </c>
      <c r="AK258" s="76" t="str">
        <f t="shared" si="62"/>
        <v>Check Data</v>
      </c>
      <c r="AL258" s="50" t="str">
        <f t="shared" si="63"/>
        <v>Check Data</v>
      </c>
      <c r="AM258" s="49" t="str">
        <f>IF(B258="","",IF(K258="S1","S1",INDEX(#REF!,#REF!)))</f>
        <v/>
      </c>
      <c r="AN258" s="49" t="str">
        <f>K258</f>
        <v>M2</v>
      </c>
      <c r="AO258" s="50" t="b">
        <f>K258=AM258</f>
        <v>0</v>
      </c>
      <c r="AP258" s="50"/>
    </row>
    <row r="259" spans="1:42" ht="21.75">
      <c r="A259" s="49">
        <v>257</v>
      </c>
      <c r="B259" s="50"/>
      <c r="C259" s="52"/>
      <c r="D259" s="50"/>
      <c r="E259" s="49"/>
      <c r="F259" s="49" t="str">
        <f t="shared" si="70"/>
        <v/>
      </c>
      <c r="G259" s="50">
        <f t="shared" ref="G259:G322" si="76">IF(F259="",0,DATEDIF(F259,$C$1,"Y"))</f>
        <v>0</v>
      </c>
      <c r="H259" s="50">
        <f t="shared" ref="H259:H322" si="77">IF(F259="",0,DATEDIF(F259,$C$1,"YM"))</f>
        <v>0</v>
      </c>
      <c r="I259" s="50">
        <f t="shared" ref="I259:I322" si="78">IF(F259="",0,DATEDIF(F259,$C$1,"MD"))</f>
        <v>0</v>
      </c>
      <c r="J259" s="50"/>
      <c r="K259" s="49" t="s">
        <v>136</v>
      </c>
      <c r="L259" s="64"/>
      <c r="M259" s="49"/>
      <c r="N259" s="49"/>
      <c r="O259" s="65" t="s">
        <v>434</v>
      </c>
      <c r="P259" s="49" t="str">
        <f t="shared" ref="P259:P322" si="79">TEXT(EDATE(O259,-543*12),"dd/mm/yyyy")</f>
        <v>02/07/2024</v>
      </c>
      <c r="Q259" s="68">
        <f t="shared" ref="Q259:Q322" si="80">IF(P259="",0,DATEDIF(P259,$C$1,"Y"))</f>
        <v>0</v>
      </c>
      <c r="R259" s="68">
        <f t="shared" ref="R259:R322" si="81">IF(P259="",0,DATEDIF(P259,$C$1,"YM"))</f>
        <v>11</v>
      </c>
      <c r="S259" s="68">
        <f t="shared" ref="S259:S322" si="82">IF(P259="",0,DATEDIF(P259,$C$1,"MD"))</f>
        <v>18</v>
      </c>
      <c r="T259" s="65"/>
      <c r="U259" s="65"/>
      <c r="V259" s="49" t="str">
        <f t="shared" si="71"/>
        <v/>
      </c>
      <c r="W259" s="68">
        <f>IF(V259="",0,DATEDIF(V259,P259,"Y"))</f>
        <v>0</v>
      </c>
      <c r="X259" s="68">
        <f>IF(V259="",0,DATEDIF(V259,P259,"YM"))</f>
        <v>0</v>
      </c>
      <c r="Y259" s="68">
        <f>IF(V259="",0,DATEDIF(V259,P259,"MD"))</f>
        <v>0</v>
      </c>
      <c r="Z259" s="49"/>
      <c r="AA259" s="65"/>
      <c r="AB259" s="50" t="str">
        <f t="shared" si="72"/>
        <v/>
      </c>
      <c r="AC259" s="68">
        <f t="shared" si="73"/>
        <v>0</v>
      </c>
      <c r="AD259" s="68">
        <f t="shared" si="74"/>
        <v>0</v>
      </c>
      <c r="AE259" s="68">
        <f t="shared" si="75"/>
        <v>0</v>
      </c>
      <c r="AF259" s="50"/>
      <c r="AG259" s="50"/>
      <c r="AH259" s="49" t="str">
        <f>IF(AG259="นิติศาสตร์","K5-LAW","K5-POLICY")</f>
        <v>K5-POLICY</v>
      </c>
      <c r="AI259" s="72" t="str">
        <f>_xlfn.IFS(B259="","",AND(AH259="K5-LAW",AG259="นิติศาสตร์",K259="S2",T259="",Z259=""),P259,AND(AH259="K5-LAW",AG259="นิติศาสตร์",K259="S1",T259="",Z259=""),EDATE(P259,12),AND(AH259="K5-LAW",AG259="นิติศาสตร์",OR(K259="M2",K259="K4"),T259="",Z259=""),EDATE(P259,12*2),AND(AH259="K5-LAW",AG259="นิติศาสตร์",OR(Z259="M2",Z259="K4"),AC259&gt;=2,OR(AB259&lt;V259,AB259&lt;P259)),EDATE(AB259,12*2),AND(AH259="K5-LAW",AG259="นิติศาสตร์",Z259="S1",AC259&gt;=1,OR(AB259&lt;V259,AB259&lt;P259)),EDATE(AB259,12),AND(AH259="K5-LAW",AG259="นิติศาสตร์",OR(T259="M2",T259="K4"),W259&gt;=2,V259&lt;P259),EDATE(V259,12*2),AND(AH259="K5-LAW",AG259="นิติศาสตร์",T259="S1",W259&gt;=1,V259&lt;P259),EDATE(V259,12),AND(AH259="K5-LAW",AG259="นิติศาสตร์",OR(T259="S2",T259="K5")),V259,AND(AH259="K5-LAW",AG259="นิติศาสตร์",OR(K259="M2",K259="K4"),Q259&gt;=2),EDATE(P259,12*2),AND(AH259="K5-LAW",AG259="นิติศาสตร์",K259="S1",Q259&gt;=1),EDATE(P259,12),AND(AH259="K5-LAW",AG259="นิติศาสตร์",OR(K259="S2",K259="K5")),P259,AND(AH259="K5-POLICY",AG259&lt;&gt;"นิติศาสตร์",K259="S2",T259="",Z259=""),P259,AND(AH259="K5-POLICY",AG259&lt;&gt;"นิติศาสตร์",K259="S1",T259="",Z259=""),EDATE(P259,12),AND(AH259="K5-POLICY",AG259&lt;&gt;"นิติศาสตร์",OR(K259="M2",K259="K4"),T259="",Z259=""),EDATE(P259,12*2),AND(AH259="K5-POLICY",AG259&lt;&gt;"นิติศาสตร์",OR(Z259="M2",Z259="K4"),AC259&gt;=2,OR(AB259&lt;V259,AB259&lt;P259)),EDATE(AB259,12*2),AND(AH259="K5-POLICY",AG259&lt;&gt;"นิติศาสตร์",Z259="S1",AC259&gt;=1,OR(AB259&lt;V259,AB259&lt;P259)),EDATE(AB259,12),AND(AH259="K5-POLICY",AG259&lt;&gt;"นิติศาสตร์",OR(T259="M2",T259="K4"),W259&gt;=2,V259&lt;P259),EDATE(V259,12*2),AND(AH259="K5-POLICY",AG259&lt;&gt;"นิติศาสตร์",T259="S1",W259&gt;=1,V259&lt;P259),EDATE(V259,12),AND(AH259="K5-POLICY",AG259&lt;&gt;"นิติศาสตร์",OR(T259="S2",T259="K5")),V259,AND(AH259="K5-POLICY",AG259&lt;&gt;"นิติศาสตร์",OR(K259="M2",K259="K4"),Q259&gt;=2),EDATE(P259,12*2),AND(AH259="K5-POLICY",AG259&lt;&gt;"นิติศาสตร์",K259="S1",Q259&gt;=1),EDATE(P259,12),AND(AH259="K5-POLICY",AG259&lt;&gt;"นิติศาสตร์",OR(K259="S2",K259="K5")),P259,TRUE,"Check Data")</f>
        <v/>
      </c>
      <c r="AJ259" s="75" t="str">
        <f t="shared" ref="AJ259:AJ322" si="83">IFERROR(TEXT(EDATE(AI259,543*12),"dd/mm/yyyy"),"Check Data")</f>
        <v>Check Data</v>
      </c>
      <c r="AK259" s="76" t="str">
        <f t="shared" ref="AK259:AK322" si="84">IFERROR(IF($C$1&gt;AI259,AI259-$C$1,DATEDIF($C$1,AI259,"d")),"Check Data")</f>
        <v>Check Data</v>
      </c>
      <c r="AL259" s="50" t="str">
        <f t="shared" ref="AL259:AL322" si="85">_xlfn.IFS(AK259="Check Data","Check Data",AK259&gt;30,"ยังไม่ถึงเกณฑ์",AK259&gt;0,"ใกล้ถึงเกณฑ์",AK259=0,"ถึงเกณฑ์",AK259&lt;0,"ถึงเกณฑ์นานแล้ว")</f>
        <v>Check Data</v>
      </c>
      <c r="AM259" s="49" t="str">
        <f>IF(B259="","",IF(K259="S1","S1",INDEX(#REF!,#REF!)))</f>
        <v/>
      </c>
      <c r="AN259" s="49" t="str">
        <f>K259</f>
        <v>M2</v>
      </c>
      <c r="AO259" s="50" t="b">
        <f>K259=AM259</f>
        <v>0</v>
      </c>
      <c r="AP259" s="50"/>
    </row>
    <row r="260" spans="1:42" ht="21.75">
      <c r="A260" s="49">
        <v>258</v>
      </c>
      <c r="B260" s="50"/>
      <c r="C260" s="52"/>
      <c r="D260" s="50"/>
      <c r="E260" s="49"/>
      <c r="F260" s="49" t="str">
        <f t="shared" si="70"/>
        <v/>
      </c>
      <c r="G260" s="50">
        <f t="shared" si="76"/>
        <v>0</v>
      </c>
      <c r="H260" s="50">
        <f t="shared" si="77"/>
        <v>0</v>
      </c>
      <c r="I260" s="50">
        <f t="shared" si="78"/>
        <v>0</v>
      </c>
      <c r="J260" s="50"/>
      <c r="K260" s="49" t="s">
        <v>136</v>
      </c>
      <c r="L260" s="64"/>
      <c r="M260" s="49"/>
      <c r="N260" s="49"/>
      <c r="O260" s="65" t="s">
        <v>434</v>
      </c>
      <c r="P260" s="49" t="str">
        <f t="shared" si="79"/>
        <v>02/07/2024</v>
      </c>
      <c r="Q260" s="68">
        <f t="shared" si="80"/>
        <v>0</v>
      </c>
      <c r="R260" s="68">
        <f t="shared" si="81"/>
        <v>11</v>
      </c>
      <c r="S260" s="68">
        <f t="shared" si="82"/>
        <v>18</v>
      </c>
      <c r="T260" s="65"/>
      <c r="U260" s="65"/>
      <c r="V260" s="49" t="str">
        <f t="shared" si="71"/>
        <v/>
      </c>
      <c r="W260" s="68">
        <f>IF(V260="",0,DATEDIF(V260,P260,"Y"))</f>
        <v>0</v>
      </c>
      <c r="X260" s="68">
        <f>IF(V260="",0,DATEDIF(V260,P260,"YM"))</f>
        <v>0</v>
      </c>
      <c r="Y260" s="68">
        <f>IF(V260="",0,DATEDIF(V260,P260,"MD"))</f>
        <v>0</v>
      </c>
      <c r="Z260" s="49"/>
      <c r="AA260" s="65"/>
      <c r="AB260" s="50" t="str">
        <f t="shared" si="72"/>
        <v/>
      </c>
      <c r="AC260" s="68">
        <f t="shared" si="73"/>
        <v>0</v>
      </c>
      <c r="AD260" s="68">
        <f t="shared" si="74"/>
        <v>0</v>
      </c>
      <c r="AE260" s="68">
        <f t="shared" si="75"/>
        <v>0</v>
      </c>
      <c r="AF260" s="50"/>
      <c r="AG260" s="50"/>
      <c r="AH260" s="49" t="str">
        <f>IF(AG260="นิติศาสตร์","K5-LAW","K5-POLICY")</f>
        <v>K5-POLICY</v>
      </c>
      <c r="AI260" s="72" t="str">
        <f>_xlfn.IFS(B260="","",AND(AH260="K5-LAW",AG260="นิติศาสตร์",K260="S2",T260="",Z260=""),P260,AND(AH260="K5-LAW",AG260="นิติศาสตร์",K260="S1",T260="",Z260=""),EDATE(P260,12),AND(AH260="K5-LAW",AG260="นิติศาสตร์",OR(K260="M2",K260="K4"),T260="",Z260=""),EDATE(P260,12*2),AND(AH260="K5-LAW",AG260="นิติศาสตร์",OR(Z260="M2",Z260="K4"),AC260&gt;=2,OR(AB260&lt;V260,AB260&lt;P260)),EDATE(AB260,12*2),AND(AH260="K5-LAW",AG260="นิติศาสตร์",Z260="S1",AC260&gt;=1,OR(AB260&lt;V260,AB260&lt;P260)),EDATE(AB260,12),AND(AH260="K5-LAW",AG260="นิติศาสตร์",OR(T260="M2",T260="K4"),W260&gt;=2,V260&lt;P260),EDATE(V260,12*2),AND(AH260="K5-LAW",AG260="นิติศาสตร์",T260="S1",W260&gt;=1,V260&lt;P260),EDATE(V260,12),AND(AH260="K5-LAW",AG260="นิติศาสตร์",OR(T260="S2",T260="K5")),V260,AND(AH260="K5-LAW",AG260="นิติศาสตร์",OR(K260="M2",K260="K4"),Q260&gt;=2),EDATE(P260,12*2),AND(AH260="K5-LAW",AG260="นิติศาสตร์",K260="S1",Q260&gt;=1),EDATE(P260,12),AND(AH260="K5-LAW",AG260="นิติศาสตร์",OR(K260="S2",K260="K5")),P260,AND(AH260="K5-POLICY",AG260&lt;&gt;"นิติศาสตร์",K260="S2",T260="",Z260=""),P260,AND(AH260="K5-POLICY",AG260&lt;&gt;"นิติศาสตร์",K260="S1",T260="",Z260=""),EDATE(P260,12),AND(AH260="K5-POLICY",AG260&lt;&gt;"นิติศาสตร์",OR(K260="M2",K260="K4"),T260="",Z260=""),EDATE(P260,12*2),AND(AH260="K5-POLICY",AG260&lt;&gt;"นิติศาสตร์",OR(Z260="M2",Z260="K4"),AC260&gt;=2,OR(AB260&lt;V260,AB260&lt;P260)),EDATE(AB260,12*2),AND(AH260="K5-POLICY",AG260&lt;&gt;"นิติศาสตร์",Z260="S1",AC260&gt;=1,OR(AB260&lt;V260,AB260&lt;P260)),EDATE(AB260,12),AND(AH260="K5-POLICY",AG260&lt;&gt;"นิติศาสตร์",OR(T260="M2",T260="K4"),W260&gt;=2,V260&lt;P260),EDATE(V260,12*2),AND(AH260="K5-POLICY",AG260&lt;&gt;"นิติศาสตร์",T260="S1",W260&gt;=1,V260&lt;P260),EDATE(V260,12),AND(AH260="K5-POLICY",AG260&lt;&gt;"นิติศาสตร์",OR(T260="S2",T260="K5")),V260,AND(AH260="K5-POLICY",AG260&lt;&gt;"นิติศาสตร์",OR(K260="M2",K260="K4"),Q260&gt;=2),EDATE(P260,12*2),AND(AH260="K5-POLICY",AG260&lt;&gt;"นิติศาสตร์",K260="S1",Q260&gt;=1),EDATE(P260,12),AND(AH260="K5-POLICY",AG260&lt;&gt;"นิติศาสตร์",OR(K260="S2",K260="K5")),P260,TRUE,"Check Data")</f>
        <v/>
      </c>
      <c r="AJ260" s="75" t="str">
        <f t="shared" si="83"/>
        <v>Check Data</v>
      </c>
      <c r="AK260" s="76" t="str">
        <f t="shared" si="84"/>
        <v>Check Data</v>
      </c>
      <c r="AL260" s="50" t="str">
        <f t="shared" si="85"/>
        <v>Check Data</v>
      </c>
      <c r="AM260" s="49" t="str">
        <f>IF(B260="","",IF(K260="S1","S1",INDEX(#REF!,#REF!)))</f>
        <v/>
      </c>
      <c r="AN260" s="49" t="str">
        <f>K260</f>
        <v>M2</v>
      </c>
      <c r="AO260" s="50" t="b">
        <f>K260=AM260</f>
        <v>0</v>
      </c>
      <c r="AP260" s="50"/>
    </row>
    <row r="261" spans="1:42" ht="21.75">
      <c r="A261" s="49">
        <v>259</v>
      </c>
      <c r="B261" s="50"/>
      <c r="C261" s="52"/>
      <c r="D261" s="50"/>
      <c r="E261" s="49"/>
      <c r="F261" s="49" t="str">
        <f t="shared" si="70"/>
        <v/>
      </c>
      <c r="G261" s="50">
        <f t="shared" si="76"/>
        <v>0</v>
      </c>
      <c r="H261" s="50">
        <f t="shared" si="77"/>
        <v>0</v>
      </c>
      <c r="I261" s="50">
        <f t="shared" si="78"/>
        <v>0</v>
      </c>
      <c r="J261" s="50"/>
      <c r="K261" s="49" t="s">
        <v>136</v>
      </c>
      <c r="L261" s="64"/>
      <c r="M261" s="49"/>
      <c r="N261" s="49"/>
      <c r="O261" s="65" t="s">
        <v>434</v>
      </c>
      <c r="P261" s="49" t="str">
        <f t="shared" si="79"/>
        <v>02/07/2024</v>
      </c>
      <c r="Q261" s="68">
        <f t="shared" si="80"/>
        <v>0</v>
      </c>
      <c r="R261" s="68">
        <f t="shared" si="81"/>
        <v>11</v>
      </c>
      <c r="S261" s="68">
        <f t="shared" si="82"/>
        <v>18</v>
      </c>
      <c r="T261" s="65"/>
      <c r="U261" s="65"/>
      <c r="V261" s="49" t="str">
        <f t="shared" si="71"/>
        <v/>
      </c>
      <c r="W261" s="68">
        <f>IF(V261="",0,DATEDIF(V261,P261,"Y"))</f>
        <v>0</v>
      </c>
      <c r="X261" s="68">
        <f>IF(V261="",0,DATEDIF(V261,P261,"YM"))</f>
        <v>0</v>
      </c>
      <c r="Y261" s="68">
        <f>IF(V261="",0,DATEDIF(V261,P261,"MD"))</f>
        <v>0</v>
      </c>
      <c r="Z261" s="49"/>
      <c r="AA261" s="65"/>
      <c r="AB261" s="50" t="str">
        <f t="shared" si="72"/>
        <v/>
      </c>
      <c r="AC261" s="68">
        <f t="shared" si="73"/>
        <v>0</v>
      </c>
      <c r="AD261" s="68">
        <f t="shared" si="74"/>
        <v>0</v>
      </c>
      <c r="AE261" s="68">
        <f t="shared" si="75"/>
        <v>0</v>
      </c>
      <c r="AF261" s="50"/>
      <c r="AG261" s="50"/>
      <c r="AH261" s="49" t="str">
        <f>IF(AG261="นิติศาสตร์","K5-LAW","K5-POLICY")</f>
        <v>K5-POLICY</v>
      </c>
      <c r="AI261" s="72" t="str">
        <f>_xlfn.IFS(B261="","",AND(AH261="K5-LAW",AG261="นิติศาสตร์",K261="S2",T261="",Z261=""),P261,AND(AH261="K5-LAW",AG261="นิติศาสตร์",K261="S1",T261="",Z261=""),EDATE(P261,12),AND(AH261="K5-LAW",AG261="นิติศาสตร์",OR(K261="M2",K261="K4"),T261="",Z261=""),EDATE(P261,12*2),AND(AH261="K5-LAW",AG261="นิติศาสตร์",OR(Z261="M2",Z261="K4"),AC261&gt;=2,OR(AB261&lt;V261,AB261&lt;P261)),EDATE(AB261,12*2),AND(AH261="K5-LAW",AG261="นิติศาสตร์",Z261="S1",AC261&gt;=1,OR(AB261&lt;V261,AB261&lt;P261)),EDATE(AB261,12),AND(AH261="K5-LAW",AG261="นิติศาสตร์",OR(T261="M2",T261="K4"),W261&gt;=2,V261&lt;P261),EDATE(V261,12*2),AND(AH261="K5-LAW",AG261="นิติศาสตร์",T261="S1",W261&gt;=1,V261&lt;P261),EDATE(V261,12),AND(AH261="K5-LAW",AG261="นิติศาสตร์",OR(T261="S2",T261="K5")),V261,AND(AH261="K5-LAW",AG261="นิติศาสตร์",OR(K261="M2",K261="K4"),Q261&gt;=2),EDATE(P261,12*2),AND(AH261="K5-LAW",AG261="นิติศาสตร์",K261="S1",Q261&gt;=1),EDATE(P261,12),AND(AH261="K5-LAW",AG261="นิติศาสตร์",OR(K261="S2",K261="K5")),P261,AND(AH261="K5-POLICY",AG261&lt;&gt;"นิติศาสตร์",K261="S2",T261="",Z261=""),P261,AND(AH261="K5-POLICY",AG261&lt;&gt;"นิติศาสตร์",K261="S1",T261="",Z261=""),EDATE(P261,12),AND(AH261="K5-POLICY",AG261&lt;&gt;"นิติศาสตร์",OR(K261="M2",K261="K4"),T261="",Z261=""),EDATE(P261,12*2),AND(AH261="K5-POLICY",AG261&lt;&gt;"นิติศาสตร์",OR(Z261="M2",Z261="K4"),AC261&gt;=2,OR(AB261&lt;V261,AB261&lt;P261)),EDATE(AB261,12*2),AND(AH261="K5-POLICY",AG261&lt;&gt;"นิติศาสตร์",Z261="S1",AC261&gt;=1,OR(AB261&lt;V261,AB261&lt;P261)),EDATE(AB261,12),AND(AH261="K5-POLICY",AG261&lt;&gt;"นิติศาสตร์",OR(T261="M2",T261="K4"),W261&gt;=2,V261&lt;P261),EDATE(V261,12*2),AND(AH261="K5-POLICY",AG261&lt;&gt;"นิติศาสตร์",T261="S1",W261&gt;=1,V261&lt;P261),EDATE(V261,12),AND(AH261="K5-POLICY",AG261&lt;&gt;"นิติศาสตร์",OR(T261="S2",T261="K5")),V261,AND(AH261="K5-POLICY",AG261&lt;&gt;"นิติศาสตร์",OR(K261="M2",K261="K4"),Q261&gt;=2),EDATE(P261,12*2),AND(AH261="K5-POLICY",AG261&lt;&gt;"นิติศาสตร์",K261="S1",Q261&gt;=1),EDATE(P261,12),AND(AH261="K5-POLICY",AG261&lt;&gt;"นิติศาสตร์",OR(K261="S2",K261="K5")),P261,TRUE,"Check Data")</f>
        <v/>
      </c>
      <c r="AJ261" s="75" t="str">
        <f t="shared" si="83"/>
        <v>Check Data</v>
      </c>
      <c r="AK261" s="76" t="str">
        <f t="shared" si="84"/>
        <v>Check Data</v>
      </c>
      <c r="AL261" s="50" t="str">
        <f t="shared" si="85"/>
        <v>Check Data</v>
      </c>
      <c r="AM261" s="49" t="str">
        <f>IF(B261="","",IF(K261="S1","S1",INDEX(#REF!,#REF!)))</f>
        <v/>
      </c>
      <c r="AN261" s="49" t="str">
        <f>K261</f>
        <v>M2</v>
      </c>
      <c r="AO261" s="50" t="b">
        <f>K261=AM261</f>
        <v>0</v>
      </c>
      <c r="AP261" s="50"/>
    </row>
    <row r="262" spans="1:42" ht="21.75">
      <c r="A262" s="49">
        <v>260</v>
      </c>
      <c r="B262" s="50"/>
      <c r="C262" s="52"/>
      <c r="D262" s="50"/>
      <c r="E262" s="49"/>
      <c r="F262" s="49" t="str">
        <f t="shared" si="70"/>
        <v/>
      </c>
      <c r="G262" s="50">
        <f t="shared" si="76"/>
        <v>0</v>
      </c>
      <c r="H262" s="50">
        <f t="shared" si="77"/>
        <v>0</v>
      </c>
      <c r="I262" s="50">
        <f t="shared" si="78"/>
        <v>0</v>
      </c>
      <c r="J262" s="50"/>
      <c r="K262" s="49" t="s">
        <v>136</v>
      </c>
      <c r="L262" s="64"/>
      <c r="M262" s="49"/>
      <c r="N262" s="49"/>
      <c r="O262" s="65" t="s">
        <v>434</v>
      </c>
      <c r="P262" s="49" t="str">
        <f t="shared" si="79"/>
        <v>02/07/2024</v>
      </c>
      <c r="Q262" s="68">
        <f t="shared" si="80"/>
        <v>0</v>
      </c>
      <c r="R262" s="68">
        <f t="shared" si="81"/>
        <v>11</v>
      </c>
      <c r="S262" s="68">
        <f t="shared" si="82"/>
        <v>18</v>
      </c>
      <c r="T262" s="65"/>
      <c r="U262" s="65"/>
      <c r="V262" s="49" t="str">
        <f t="shared" si="71"/>
        <v/>
      </c>
      <c r="W262" s="68">
        <f>IF(V262="",0,DATEDIF(V262,P262,"Y"))</f>
        <v>0</v>
      </c>
      <c r="X262" s="68">
        <f>IF(V262="",0,DATEDIF(V262,P262,"YM"))</f>
        <v>0</v>
      </c>
      <c r="Y262" s="68">
        <f>IF(V262="",0,DATEDIF(V262,P262,"MD"))</f>
        <v>0</v>
      </c>
      <c r="Z262" s="65"/>
      <c r="AA262" s="65"/>
      <c r="AB262" s="50" t="str">
        <f t="shared" si="72"/>
        <v/>
      </c>
      <c r="AC262" s="68">
        <f t="shared" si="73"/>
        <v>0</v>
      </c>
      <c r="AD262" s="68">
        <f t="shared" si="74"/>
        <v>0</v>
      </c>
      <c r="AE262" s="68">
        <f t="shared" si="75"/>
        <v>0</v>
      </c>
      <c r="AF262" s="50"/>
      <c r="AG262" s="50"/>
      <c r="AH262" s="49" t="str">
        <f>IF(AG262="นิติศาสตร์","K5-LAW","K5-POLICY")</f>
        <v>K5-POLICY</v>
      </c>
      <c r="AI262" s="72" t="str">
        <f>_xlfn.IFS(B262="","",AND(AH262="K5-LAW",AG262="นิติศาสตร์",K262="S2",T262="",Z262=""),P262,AND(AH262="K5-LAW",AG262="นิติศาสตร์",K262="S1",T262="",Z262=""),EDATE(P262,12),AND(AH262="K5-LAW",AG262="นิติศาสตร์",OR(K262="M2",K262="K4"),T262="",Z262=""),EDATE(P262,12*2),AND(AH262="K5-LAW",AG262="นิติศาสตร์",OR(Z262="M2",Z262="K4"),AC262&gt;=2,OR(AB262&lt;V262,AB262&lt;P262)),EDATE(AB262,12*2),AND(AH262="K5-LAW",AG262="นิติศาสตร์",Z262="S1",AC262&gt;=1,OR(AB262&lt;V262,AB262&lt;P262)),EDATE(AB262,12),AND(AH262="K5-LAW",AG262="นิติศาสตร์",OR(T262="M2",T262="K4"),W262&gt;=2,V262&lt;P262),EDATE(V262,12*2),AND(AH262="K5-LAW",AG262="นิติศาสตร์",T262="S1",W262&gt;=1,V262&lt;P262),EDATE(V262,12),AND(AH262="K5-LAW",AG262="นิติศาสตร์",OR(T262="S2",T262="K5")),V262,AND(AH262="K5-LAW",AG262="นิติศาสตร์",OR(K262="M2",K262="K4"),Q262&gt;=2),EDATE(P262,12*2),AND(AH262="K5-LAW",AG262="นิติศาสตร์",K262="S1",Q262&gt;=1),EDATE(P262,12),AND(AH262="K5-LAW",AG262="นิติศาสตร์",OR(K262="S2",K262="K5")),P262,AND(AH262="K5-POLICY",AG262&lt;&gt;"นิติศาสตร์",K262="S2",T262="",Z262=""),P262,AND(AH262="K5-POLICY",AG262&lt;&gt;"นิติศาสตร์",K262="S1",T262="",Z262=""),EDATE(P262,12),AND(AH262="K5-POLICY",AG262&lt;&gt;"นิติศาสตร์",OR(K262="M2",K262="K4"),T262="",Z262=""),EDATE(P262,12*2),AND(AH262="K5-POLICY",AG262&lt;&gt;"นิติศาสตร์",OR(Z262="M2",Z262="K4"),AC262&gt;=2,OR(AB262&lt;V262,AB262&lt;P262)),EDATE(AB262,12*2),AND(AH262="K5-POLICY",AG262&lt;&gt;"นิติศาสตร์",Z262="S1",AC262&gt;=1,OR(AB262&lt;V262,AB262&lt;P262)),EDATE(AB262,12),AND(AH262="K5-POLICY",AG262&lt;&gt;"นิติศาสตร์",OR(T262="M2",T262="K4"),W262&gt;=2,V262&lt;P262),EDATE(V262,12*2),AND(AH262="K5-POLICY",AG262&lt;&gt;"นิติศาสตร์",T262="S1",W262&gt;=1,V262&lt;P262),EDATE(V262,12),AND(AH262="K5-POLICY",AG262&lt;&gt;"นิติศาสตร์",OR(T262="S2",T262="K5")),V262,AND(AH262="K5-POLICY",AG262&lt;&gt;"นิติศาสตร์",OR(K262="M2",K262="K4"),Q262&gt;=2),EDATE(P262,12*2),AND(AH262="K5-POLICY",AG262&lt;&gt;"นิติศาสตร์",K262="S1",Q262&gt;=1),EDATE(P262,12),AND(AH262="K5-POLICY",AG262&lt;&gt;"นิติศาสตร์",OR(K262="S2",K262="K5")),P262,TRUE,"Check Data")</f>
        <v/>
      </c>
      <c r="AJ262" s="75" t="str">
        <f t="shared" si="83"/>
        <v>Check Data</v>
      </c>
      <c r="AK262" s="76" t="str">
        <f t="shared" si="84"/>
        <v>Check Data</v>
      </c>
      <c r="AL262" s="50" t="str">
        <f t="shared" si="85"/>
        <v>Check Data</v>
      </c>
      <c r="AM262" s="49" t="str">
        <f>IF(B262="","",IF(K262="S1","S1",INDEX(#REF!,#REF!)))</f>
        <v/>
      </c>
      <c r="AN262" s="49" t="str">
        <f>K262</f>
        <v>M2</v>
      </c>
      <c r="AO262" s="50" t="b">
        <f>K262=AM262</f>
        <v>0</v>
      </c>
      <c r="AP262" s="50"/>
    </row>
    <row r="263" spans="1:42" ht="21.75">
      <c r="A263" s="49">
        <v>261</v>
      </c>
      <c r="B263" s="50"/>
      <c r="C263" s="52"/>
      <c r="D263" s="79"/>
      <c r="E263" s="79"/>
      <c r="F263" s="79"/>
      <c r="G263" s="50">
        <f t="shared" si="76"/>
        <v>0</v>
      </c>
      <c r="H263" s="50">
        <f t="shared" si="77"/>
        <v>0</v>
      </c>
      <c r="I263" s="50">
        <f t="shared" si="78"/>
        <v>0</v>
      </c>
      <c r="J263" s="79"/>
      <c r="K263" s="49" t="s">
        <v>136</v>
      </c>
      <c r="L263" s="79"/>
      <c r="M263" s="79"/>
      <c r="N263" s="79"/>
      <c r="O263" s="65" t="s">
        <v>434</v>
      </c>
      <c r="P263" s="49" t="str">
        <f t="shared" si="79"/>
        <v>02/07/2024</v>
      </c>
      <c r="Q263" s="68">
        <f t="shared" si="80"/>
        <v>0</v>
      </c>
      <c r="R263" s="68">
        <f t="shared" si="81"/>
        <v>11</v>
      </c>
      <c r="S263" s="68">
        <f t="shared" si="82"/>
        <v>18</v>
      </c>
      <c r="T263" s="65"/>
      <c r="U263" s="83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49" t="str">
        <f>IF(AG263="นิติศาสตร์","K5-LAW","K5-POLICY")</f>
        <v>K5-POLICY</v>
      </c>
      <c r="AI263" s="72" t="str">
        <f>_xlfn.IFS(B263="","",AND(AH263="K5-LAW",AG263="นิติศาสตร์",K263="S2",T263="",Z263=""),P263,AND(AH263="K5-LAW",AG263="นิติศาสตร์",K263="S1",T263="",Z263=""),EDATE(P263,12),AND(AH263="K5-LAW",AG263="นิติศาสตร์",OR(K263="M2",K263="K4"),T263="",Z263=""),EDATE(P263,12*2),AND(AH263="K5-LAW",AG263="นิติศาสตร์",OR(Z263="M2",Z263="K4"),AC263&gt;=2,OR(AB263&lt;V263,AB263&lt;P263)),EDATE(AB263,12*2),AND(AH263="K5-LAW",AG263="นิติศาสตร์",Z263="S1",AC263&gt;=1,OR(AB263&lt;V263,AB263&lt;P263)),EDATE(AB263,12),AND(AH263="K5-LAW",AG263="นิติศาสตร์",OR(T263="M2",T263="K4"),W263&gt;=2,V263&lt;P263),EDATE(V263,12*2),AND(AH263="K5-LAW",AG263="นิติศาสตร์",T263="S1",W263&gt;=1,V263&lt;P263),EDATE(V263,12),AND(AH263="K5-LAW",AG263="นิติศาสตร์",OR(T263="S2",T263="K5")),V263,AND(AH263="K5-LAW",AG263="นิติศาสตร์",OR(K263="M2",K263="K4"),Q263&gt;=2),EDATE(P263,12*2),AND(AH263="K5-LAW",AG263="นิติศาสตร์",K263="S1",Q263&gt;=1),EDATE(P263,12),AND(AH263="K5-LAW",AG263="นิติศาสตร์",OR(K263="S2",K263="K5")),P263,AND(AH263="K5-POLICY",AG263&lt;&gt;"นิติศาสตร์",K263="S2",T263="",Z263=""),P263,AND(AH263="K5-POLICY",AG263&lt;&gt;"นิติศาสตร์",K263="S1",T263="",Z263=""),EDATE(P263,12),AND(AH263="K5-POLICY",AG263&lt;&gt;"นิติศาสตร์",OR(K263="M2",K263="K4"),T263="",Z263=""),EDATE(P263,12*2),AND(AH263="K5-POLICY",AG263&lt;&gt;"นิติศาสตร์",OR(Z263="M2",Z263="K4"),AC263&gt;=2,OR(AB263&lt;V263,AB263&lt;P263)),EDATE(AB263,12*2),AND(AH263="K5-POLICY",AG263&lt;&gt;"นิติศาสตร์",Z263="S1",AC263&gt;=1,OR(AB263&lt;V263,AB263&lt;P263)),EDATE(AB263,12),AND(AH263="K5-POLICY",AG263&lt;&gt;"นิติศาสตร์",OR(T263="M2",T263="K4"),W263&gt;=2,V263&lt;P263),EDATE(V263,12*2),AND(AH263="K5-POLICY",AG263&lt;&gt;"นิติศาสตร์",T263="S1",W263&gt;=1,V263&lt;P263),EDATE(V263,12),AND(AH263="K5-POLICY",AG263&lt;&gt;"นิติศาสตร์",OR(T263="S2",T263="K5")),V263,AND(AH263="K5-POLICY",AG263&lt;&gt;"นิติศาสตร์",OR(K263="M2",K263="K4"),Q263&gt;=2),EDATE(P263,12*2),AND(AH263="K5-POLICY",AG263&lt;&gt;"นิติศาสตร์",K263="S1",Q263&gt;=1),EDATE(P263,12),AND(AH263="K5-POLICY",AG263&lt;&gt;"นิติศาสตร์",OR(K263="S2",K263="K5")),P263,TRUE,"Check Data")</f>
        <v/>
      </c>
      <c r="AJ263" s="75" t="str">
        <f t="shared" si="83"/>
        <v>Check Data</v>
      </c>
      <c r="AK263" s="76" t="str">
        <f t="shared" si="84"/>
        <v>Check Data</v>
      </c>
      <c r="AL263" s="50" t="str">
        <f t="shared" si="85"/>
        <v>Check Data</v>
      </c>
      <c r="AM263" s="49" t="str">
        <f>IF(B263="","",IF(K263="S1","S1",INDEX(#REF!,#REF!)))</f>
        <v/>
      </c>
      <c r="AN263" s="49" t="str">
        <f>K263</f>
        <v>M2</v>
      </c>
      <c r="AO263" s="50" t="b">
        <f>K263=AM263</f>
        <v>0</v>
      </c>
      <c r="AP263" s="50"/>
    </row>
    <row r="264" spans="1:42" ht="21.75">
      <c r="A264" s="49">
        <v>262</v>
      </c>
      <c r="B264" s="50"/>
      <c r="C264" s="52"/>
      <c r="D264" s="79"/>
      <c r="E264" s="79"/>
      <c r="F264" s="79"/>
      <c r="G264" s="50">
        <f t="shared" si="76"/>
        <v>0</v>
      </c>
      <c r="H264" s="50">
        <f t="shared" si="77"/>
        <v>0</v>
      </c>
      <c r="I264" s="50">
        <f t="shared" si="78"/>
        <v>0</v>
      </c>
      <c r="J264" s="79"/>
      <c r="K264" s="49" t="s">
        <v>136</v>
      </c>
      <c r="L264" s="79"/>
      <c r="M264" s="79"/>
      <c r="N264" s="79"/>
      <c r="O264" s="65" t="s">
        <v>434</v>
      </c>
      <c r="P264" s="49" t="str">
        <f t="shared" si="79"/>
        <v>02/07/2024</v>
      </c>
      <c r="Q264" s="68">
        <f t="shared" si="80"/>
        <v>0</v>
      </c>
      <c r="R264" s="68">
        <f t="shared" si="81"/>
        <v>11</v>
      </c>
      <c r="S264" s="68">
        <f t="shared" si="82"/>
        <v>18</v>
      </c>
      <c r="T264" s="65"/>
      <c r="U264" s="83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49" t="str">
        <f>IF(AG264="นิติศาสตร์","K5-LAW","K5-POLICY")</f>
        <v>K5-POLICY</v>
      </c>
      <c r="AI264" s="72" t="str">
        <f>_xlfn.IFS(B264="","",AND(AH264="K5-LAW",AG264="นิติศาสตร์",K264="S2",T264="",Z264=""),P264,AND(AH264="K5-LAW",AG264="นิติศาสตร์",K264="S1",T264="",Z264=""),EDATE(P264,12),AND(AH264="K5-LAW",AG264="นิติศาสตร์",OR(K264="M2",K264="K4"),T264="",Z264=""),EDATE(P264,12*2),AND(AH264="K5-LAW",AG264="นิติศาสตร์",OR(Z264="M2",Z264="K4"),AC264&gt;=2,OR(AB264&lt;V264,AB264&lt;P264)),EDATE(AB264,12*2),AND(AH264="K5-LAW",AG264="นิติศาสตร์",Z264="S1",AC264&gt;=1,OR(AB264&lt;V264,AB264&lt;P264)),EDATE(AB264,12),AND(AH264="K5-LAW",AG264="นิติศาสตร์",OR(T264="M2",T264="K4"),W264&gt;=2,V264&lt;P264),EDATE(V264,12*2),AND(AH264="K5-LAW",AG264="นิติศาสตร์",T264="S1",W264&gt;=1,V264&lt;P264),EDATE(V264,12),AND(AH264="K5-LAW",AG264="นิติศาสตร์",OR(T264="S2",T264="K5")),V264,AND(AH264="K5-LAW",AG264="นิติศาสตร์",OR(K264="M2",K264="K4"),Q264&gt;=2),EDATE(P264,12*2),AND(AH264="K5-LAW",AG264="นิติศาสตร์",K264="S1",Q264&gt;=1),EDATE(P264,12),AND(AH264="K5-LAW",AG264="นิติศาสตร์",OR(K264="S2",K264="K5")),P264,AND(AH264="K5-POLICY",AG264&lt;&gt;"นิติศาสตร์",K264="S2",T264="",Z264=""),P264,AND(AH264="K5-POLICY",AG264&lt;&gt;"นิติศาสตร์",K264="S1",T264="",Z264=""),EDATE(P264,12),AND(AH264="K5-POLICY",AG264&lt;&gt;"นิติศาสตร์",OR(K264="M2",K264="K4"),T264="",Z264=""),EDATE(P264,12*2),AND(AH264="K5-POLICY",AG264&lt;&gt;"นิติศาสตร์",OR(Z264="M2",Z264="K4"),AC264&gt;=2,OR(AB264&lt;V264,AB264&lt;P264)),EDATE(AB264,12*2),AND(AH264="K5-POLICY",AG264&lt;&gt;"นิติศาสตร์",Z264="S1",AC264&gt;=1,OR(AB264&lt;V264,AB264&lt;P264)),EDATE(AB264,12),AND(AH264="K5-POLICY",AG264&lt;&gt;"นิติศาสตร์",OR(T264="M2",T264="K4"),W264&gt;=2,V264&lt;P264),EDATE(V264,12*2),AND(AH264="K5-POLICY",AG264&lt;&gt;"นิติศาสตร์",T264="S1",W264&gt;=1,V264&lt;P264),EDATE(V264,12),AND(AH264="K5-POLICY",AG264&lt;&gt;"นิติศาสตร์",OR(T264="S2",T264="K5")),V264,AND(AH264="K5-POLICY",AG264&lt;&gt;"นิติศาสตร์",OR(K264="M2",K264="K4"),Q264&gt;=2),EDATE(P264,12*2),AND(AH264="K5-POLICY",AG264&lt;&gt;"นิติศาสตร์",K264="S1",Q264&gt;=1),EDATE(P264,12),AND(AH264="K5-POLICY",AG264&lt;&gt;"นิติศาสตร์",OR(K264="S2",K264="K5")),P264,TRUE,"Check Data")</f>
        <v/>
      </c>
      <c r="AJ264" s="75" t="str">
        <f t="shared" si="83"/>
        <v>Check Data</v>
      </c>
      <c r="AK264" s="76" t="str">
        <f t="shared" si="84"/>
        <v>Check Data</v>
      </c>
      <c r="AL264" s="50" t="str">
        <f t="shared" si="85"/>
        <v>Check Data</v>
      </c>
      <c r="AM264" s="49" t="str">
        <f>IF(B264="","",IF(K264="S1","S1",INDEX(#REF!,#REF!)))</f>
        <v/>
      </c>
      <c r="AN264" s="49" t="str">
        <f>K264</f>
        <v>M2</v>
      </c>
      <c r="AO264" s="50" t="b">
        <f>K264=AM264</f>
        <v>0</v>
      </c>
      <c r="AP264" s="50"/>
    </row>
    <row r="265" spans="1:42" ht="21.75">
      <c r="A265" s="49">
        <v>263</v>
      </c>
      <c r="B265" s="50"/>
      <c r="C265" s="52"/>
      <c r="D265" s="79"/>
      <c r="E265" s="79"/>
      <c r="F265" s="79"/>
      <c r="G265" s="50">
        <f t="shared" si="76"/>
        <v>0</v>
      </c>
      <c r="H265" s="50">
        <f t="shared" si="77"/>
        <v>0</v>
      </c>
      <c r="I265" s="50">
        <f t="shared" si="78"/>
        <v>0</v>
      </c>
      <c r="J265" s="79"/>
      <c r="K265" s="49" t="s">
        <v>136</v>
      </c>
      <c r="L265" s="79"/>
      <c r="M265" s="79"/>
      <c r="N265" s="79"/>
      <c r="O265" s="65" t="s">
        <v>434</v>
      </c>
      <c r="P265" s="49" t="str">
        <f t="shared" si="79"/>
        <v>02/07/2024</v>
      </c>
      <c r="Q265" s="68">
        <f t="shared" si="80"/>
        <v>0</v>
      </c>
      <c r="R265" s="68">
        <f t="shared" si="81"/>
        <v>11</v>
      </c>
      <c r="S265" s="68">
        <f t="shared" si="82"/>
        <v>18</v>
      </c>
      <c r="T265" s="65"/>
      <c r="U265" s="83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49" t="str">
        <f>IF(AG265="นิติศาสตร์","K5-LAW","K5-POLICY")</f>
        <v>K5-POLICY</v>
      </c>
      <c r="AI265" s="72" t="str">
        <f>_xlfn.IFS(B265="","",AND(AH265="K5-LAW",AG265="นิติศาสตร์",K265="S2",T265="",Z265=""),P265,AND(AH265="K5-LAW",AG265="นิติศาสตร์",K265="S1",T265="",Z265=""),EDATE(P265,12),AND(AH265="K5-LAW",AG265="นิติศาสตร์",OR(K265="M2",K265="K4"),T265="",Z265=""),EDATE(P265,12*2),AND(AH265="K5-LAW",AG265="นิติศาสตร์",OR(Z265="M2",Z265="K4"),AC265&gt;=2,OR(AB265&lt;V265,AB265&lt;P265)),EDATE(AB265,12*2),AND(AH265="K5-LAW",AG265="นิติศาสตร์",Z265="S1",AC265&gt;=1,OR(AB265&lt;V265,AB265&lt;P265)),EDATE(AB265,12),AND(AH265="K5-LAW",AG265="นิติศาสตร์",OR(T265="M2",T265="K4"),W265&gt;=2,V265&lt;P265),EDATE(V265,12*2),AND(AH265="K5-LAW",AG265="นิติศาสตร์",T265="S1",W265&gt;=1,V265&lt;P265),EDATE(V265,12),AND(AH265="K5-LAW",AG265="นิติศาสตร์",OR(T265="S2",T265="K5")),V265,AND(AH265="K5-LAW",AG265="นิติศาสตร์",OR(K265="M2",K265="K4"),Q265&gt;=2),EDATE(P265,12*2),AND(AH265="K5-LAW",AG265="นิติศาสตร์",K265="S1",Q265&gt;=1),EDATE(P265,12),AND(AH265="K5-LAW",AG265="นิติศาสตร์",OR(K265="S2",K265="K5")),P265,AND(AH265="K5-POLICY",AG265&lt;&gt;"นิติศาสตร์",K265="S2",T265="",Z265=""),P265,AND(AH265="K5-POLICY",AG265&lt;&gt;"นิติศาสตร์",K265="S1",T265="",Z265=""),EDATE(P265,12),AND(AH265="K5-POLICY",AG265&lt;&gt;"นิติศาสตร์",OR(K265="M2",K265="K4"),T265="",Z265=""),EDATE(P265,12*2),AND(AH265="K5-POLICY",AG265&lt;&gt;"นิติศาสตร์",OR(Z265="M2",Z265="K4"),AC265&gt;=2,OR(AB265&lt;V265,AB265&lt;P265)),EDATE(AB265,12*2),AND(AH265="K5-POLICY",AG265&lt;&gt;"นิติศาสตร์",Z265="S1",AC265&gt;=1,OR(AB265&lt;V265,AB265&lt;P265)),EDATE(AB265,12),AND(AH265="K5-POLICY",AG265&lt;&gt;"นิติศาสตร์",OR(T265="M2",T265="K4"),W265&gt;=2,V265&lt;P265),EDATE(V265,12*2),AND(AH265="K5-POLICY",AG265&lt;&gt;"นิติศาสตร์",T265="S1",W265&gt;=1,V265&lt;P265),EDATE(V265,12),AND(AH265="K5-POLICY",AG265&lt;&gt;"นิติศาสตร์",OR(T265="S2",T265="K5")),V265,AND(AH265="K5-POLICY",AG265&lt;&gt;"นิติศาสตร์",OR(K265="M2",K265="K4"),Q265&gt;=2),EDATE(P265,12*2),AND(AH265="K5-POLICY",AG265&lt;&gt;"นิติศาสตร์",K265="S1",Q265&gt;=1),EDATE(P265,12),AND(AH265="K5-POLICY",AG265&lt;&gt;"นิติศาสตร์",OR(K265="S2",K265="K5")),P265,TRUE,"Check Data")</f>
        <v/>
      </c>
      <c r="AJ265" s="75" t="str">
        <f t="shared" si="83"/>
        <v>Check Data</v>
      </c>
      <c r="AK265" s="76" t="str">
        <f t="shared" si="84"/>
        <v>Check Data</v>
      </c>
      <c r="AL265" s="50" t="str">
        <f t="shared" si="85"/>
        <v>Check Data</v>
      </c>
      <c r="AM265" s="49" t="str">
        <f>IF(B265="","",IF(K265="S1","S1",INDEX(#REF!,#REF!)))</f>
        <v/>
      </c>
      <c r="AN265" s="49" t="str">
        <f>K265</f>
        <v>M2</v>
      </c>
      <c r="AO265" s="50" t="b">
        <f>K265=AM265</f>
        <v>0</v>
      </c>
      <c r="AP265" s="50"/>
    </row>
    <row r="266" spans="1:42" ht="21.75">
      <c r="A266" s="49">
        <v>264</v>
      </c>
      <c r="B266" s="50"/>
      <c r="C266" s="52"/>
      <c r="D266" s="79"/>
      <c r="E266" s="79"/>
      <c r="F266" s="79"/>
      <c r="G266" s="50">
        <f t="shared" si="76"/>
        <v>0</v>
      </c>
      <c r="H266" s="50">
        <f t="shared" si="77"/>
        <v>0</v>
      </c>
      <c r="I266" s="50">
        <f t="shared" si="78"/>
        <v>0</v>
      </c>
      <c r="J266" s="79"/>
      <c r="K266" s="49" t="s">
        <v>136</v>
      </c>
      <c r="L266" s="79"/>
      <c r="M266" s="79"/>
      <c r="N266" s="79"/>
      <c r="O266" s="65" t="s">
        <v>434</v>
      </c>
      <c r="P266" s="49" t="str">
        <f t="shared" si="79"/>
        <v>02/07/2024</v>
      </c>
      <c r="Q266" s="68">
        <f t="shared" si="80"/>
        <v>0</v>
      </c>
      <c r="R266" s="68">
        <f t="shared" si="81"/>
        <v>11</v>
      </c>
      <c r="S266" s="68">
        <f t="shared" si="82"/>
        <v>18</v>
      </c>
      <c r="T266" s="65"/>
      <c r="U266" s="83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49" t="str">
        <f>IF(AG266="นิติศาสตร์","K5-LAW","K5-POLICY")</f>
        <v>K5-POLICY</v>
      </c>
      <c r="AI266" s="72" t="str">
        <f>_xlfn.IFS(B266="","",AND(AH266="K5-LAW",AG266="นิติศาสตร์",K266="S2",T266="",Z266=""),P266,AND(AH266="K5-LAW",AG266="นิติศาสตร์",K266="S1",T266="",Z266=""),EDATE(P266,12),AND(AH266="K5-LAW",AG266="นิติศาสตร์",OR(K266="M2",K266="K4"),T266="",Z266=""),EDATE(P266,12*2),AND(AH266="K5-LAW",AG266="นิติศาสตร์",OR(Z266="M2",Z266="K4"),AC266&gt;=2,OR(AB266&lt;V266,AB266&lt;P266)),EDATE(AB266,12*2),AND(AH266="K5-LAW",AG266="นิติศาสตร์",Z266="S1",AC266&gt;=1,OR(AB266&lt;V266,AB266&lt;P266)),EDATE(AB266,12),AND(AH266="K5-LAW",AG266="นิติศาสตร์",OR(T266="M2",T266="K4"),W266&gt;=2,V266&lt;P266),EDATE(V266,12*2),AND(AH266="K5-LAW",AG266="นิติศาสตร์",T266="S1",W266&gt;=1,V266&lt;P266),EDATE(V266,12),AND(AH266="K5-LAW",AG266="นิติศาสตร์",OR(T266="S2",T266="K5")),V266,AND(AH266="K5-LAW",AG266="นิติศาสตร์",OR(K266="M2",K266="K4"),Q266&gt;=2),EDATE(P266,12*2),AND(AH266="K5-LAW",AG266="นิติศาสตร์",K266="S1",Q266&gt;=1),EDATE(P266,12),AND(AH266="K5-LAW",AG266="นิติศาสตร์",OR(K266="S2",K266="K5")),P266,AND(AH266="K5-POLICY",AG266&lt;&gt;"นิติศาสตร์",K266="S2",T266="",Z266=""),P266,AND(AH266="K5-POLICY",AG266&lt;&gt;"นิติศาสตร์",K266="S1",T266="",Z266=""),EDATE(P266,12),AND(AH266="K5-POLICY",AG266&lt;&gt;"นิติศาสตร์",OR(K266="M2",K266="K4"),T266="",Z266=""),EDATE(P266,12*2),AND(AH266="K5-POLICY",AG266&lt;&gt;"นิติศาสตร์",OR(Z266="M2",Z266="K4"),AC266&gt;=2,OR(AB266&lt;V266,AB266&lt;P266)),EDATE(AB266,12*2),AND(AH266="K5-POLICY",AG266&lt;&gt;"นิติศาสตร์",Z266="S1",AC266&gt;=1,OR(AB266&lt;V266,AB266&lt;P266)),EDATE(AB266,12),AND(AH266="K5-POLICY",AG266&lt;&gt;"นิติศาสตร์",OR(T266="M2",T266="K4"),W266&gt;=2,V266&lt;P266),EDATE(V266,12*2),AND(AH266="K5-POLICY",AG266&lt;&gt;"นิติศาสตร์",T266="S1",W266&gt;=1,V266&lt;P266),EDATE(V266,12),AND(AH266="K5-POLICY",AG266&lt;&gt;"นิติศาสตร์",OR(T266="S2",T266="K5")),V266,AND(AH266="K5-POLICY",AG266&lt;&gt;"นิติศาสตร์",OR(K266="M2",K266="K4"),Q266&gt;=2),EDATE(P266,12*2),AND(AH266="K5-POLICY",AG266&lt;&gt;"นิติศาสตร์",K266="S1",Q266&gt;=1),EDATE(P266,12),AND(AH266="K5-POLICY",AG266&lt;&gt;"นิติศาสตร์",OR(K266="S2",K266="K5")),P266,TRUE,"Check Data")</f>
        <v/>
      </c>
      <c r="AJ266" s="75" t="str">
        <f t="shared" si="83"/>
        <v>Check Data</v>
      </c>
      <c r="AK266" s="76" t="str">
        <f t="shared" si="84"/>
        <v>Check Data</v>
      </c>
      <c r="AL266" s="50" t="str">
        <f t="shared" si="85"/>
        <v>Check Data</v>
      </c>
      <c r="AM266" s="49" t="str">
        <f>IF(B266="","",IF(K266="S1","S1",INDEX(#REF!,#REF!)))</f>
        <v/>
      </c>
      <c r="AN266" s="49" t="str">
        <f>K266</f>
        <v>M2</v>
      </c>
      <c r="AO266" s="50" t="b">
        <f>K266=AM266</f>
        <v>0</v>
      </c>
      <c r="AP266" s="50"/>
    </row>
    <row r="267" spans="1:42" ht="21.75">
      <c r="A267" s="49">
        <v>265</v>
      </c>
      <c r="B267" s="50"/>
      <c r="C267" s="52"/>
      <c r="D267" s="79"/>
      <c r="E267" s="79"/>
      <c r="F267" s="79"/>
      <c r="G267" s="50">
        <f t="shared" si="76"/>
        <v>0</v>
      </c>
      <c r="H267" s="50">
        <f t="shared" si="77"/>
        <v>0</v>
      </c>
      <c r="I267" s="50">
        <f t="shared" si="78"/>
        <v>0</v>
      </c>
      <c r="J267" s="79"/>
      <c r="K267" s="49" t="s">
        <v>136</v>
      </c>
      <c r="L267" s="79"/>
      <c r="M267" s="79"/>
      <c r="N267" s="79"/>
      <c r="O267" s="65" t="s">
        <v>434</v>
      </c>
      <c r="P267" s="49" t="str">
        <f t="shared" si="79"/>
        <v>02/07/2024</v>
      </c>
      <c r="Q267" s="68">
        <f t="shared" si="80"/>
        <v>0</v>
      </c>
      <c r="R267" s="68">
        <f t="shared" si="81"/>
        <v>11</v>
      </c>
      <c r="S267" s="68">
        <f t="shared" si="82"/>
        <v>18</v>
      </c>
      <c r="T267" s="65"/>
      <c r="U267" s="83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49" t="str">
        <f>IF(AG267="นิติศาสตร์","K5-LAW","K5-POLICY")</f>
        <v>K5-POLICY</v>
      </c>
      <c r="AI267" s="72" t="str">
        <f>_xlfn.IFS(B267="","",AND(AH267="K5-LAW",AG267="นิติศาสตร์",K267="S2",T267="",Z267=""),P267,AND(AH267="K5-LAW",AG267="นิติศาสตร์",K267="S1",T267="",Z267=""),EDATE(P267,12),AND(AH267="K5-LAW",AG267="นิติศาสตร์",OR(K267="M2",K267="K4"),T267="",Z267=""),EDATE(P267,12*2),AND(AH267="K5-LAW",AG267="นิติศาสตร์",OR(Z267="M2",Z267="K4"),AC267&gt;=2,OR(AB267&lt;V267,AB267&lt;P267)),EDATE(AB267,12*2),AND(AH267="K5-LAW",AG267="นิติศาสตร์",Z267="S1",AC267&gt;=1,OR(AB267&lt;V267,AB267&lt;P267)),EDATE(AB267,12),AND(AH267="K5-LAW",AG267="นิติศาสตร์",OR(T267="M2",T267="K4"),W267&gt;=2,V267&lt;P267),EDATE(V267,12*2),AND(AH267="K5-LAW",AG267="นิติศาสตร์",T267="S1",W267&gt;=1,V267&lt;P267),EDATE(V267,12),AND(AH267="K5-LAW",AG267="นิติศาสตร์",OR(T267="S2",T267="K5")),V267,AND(AH267="K5-LAW",AG267="นิติศาสตร์",OR(K267="M2",K267="K4"),Q267&gt;=2),EDATE(P267,12*2),AND(AH267="K5-LAW",AG267="นิติศาสตร์",K267="S1",Q267&gt;=1),EDATE(P267,12),AND(AH267="K5-LAW",AG267="นิติศาสตร์",OR(K267="S2",K267="K5")),P267,AND(AH267="K5-POLICY",AG267&lt;&gt;"นิติศาสตร์",K267="S2",T267="",Z267=""),P267,AND(AH267="K5-POLICY",AG267&lt;&gt;"นิติศาสตร์",K267="S1",T267="",Z267=""),EDATE(P267,12),AND(AH267="K5-POLICY",AG267&lt;&gt;"นิติศาสตร์",OR(K267="M2",K267="K4"),T267="",Z267=""),EDATE(P267,12*2),AND(AH267="K5-POLICY",AG267&lt;&gt;"นิติศาสตร์",OR(Z267="M2",Z267="K4"),AC267&gt;=2,OR(AB267&lt;V267,AB267&lt;P267)),EDATE(AB267,12*2),AND(AH267="K5-POLICY",AG267&lt;&gt;"นิติศาสตร์",Z267="S1",AC267&gt;=1,OR(AB267&lt;V267,AB267&lt;P267)),EDATE(AB267,12),AND(AH267="K5-POLICY",AG267&lt;&gt;"นิติศาสตร์",OR(T267="M2",T267="K4"),W267&gt;=2,V267&lt;P267),EDATE(V267,12*2),AND(AH267="K5-POLICY",AG267&lt;&gt;"นิติศาสตร์",T267="S1",W267&gt;=1,V267&lt;P267),EDATE(V267,12),AND(AH267="K5-POLICY",AG267&lt;&gt;"นิติศาสตร์",OR(T267="S2",T267="K5")),V267,AND(AH267="K5-POLICY",AG267&lt;&gt;"นิติศาสตร์",OR(K267="M2",K267="K4"),Q267&gt;=2),EDATE(P267,12*2),AND(AH267="K5-POLICY",AG267&lt;&gt;"นิติศาสตร์",K267="S1",Q267&gt;=1),EDATE(P267,12),AND(AH267="K5-POLICY",AG267&lt;&gt;"นิติศาสตร์",OR(K267="S2",K267="K5")),P267,TRUE,"Check Data")</f>
        <v/>
      </c>
      <c r="AJ267" s="75" t="str">
        <f t="shared" si="83"/>
        <v>Check Data</v>
      </c>
      <c r="AK267" s="76" t="str">
        <f t="shared" si="84"/>
        <v>Check Data</v>
      </c>
      <c r="AL267" s="50" t="str">
        <f t="shared" si="85"/>
        <v>Check Data</v>
      </c>
      <c r="AM267" s="49" t="str">
        <f>IF(B267="","",IF(K267="S1","S1",INDEX(#REF!,#REF!)))</f>
        <v/>
      </c>
      <c r="AN267" s="49" t="str">
        <f>K267</f>
        <v>M2</v>
      </c>
      <c r="AO267" s="50" t="b">
        <f>K267=AM267</f>
        <v>0</v>
      </c>
      <c r="AP267" s="50"/>
    </row>
    <row r="268" spans="1:42" ht="21.75">
      <c r="A268" s="49">
        <v>266</v>
      </c>
      <c r="B268" s="50"/>
      <c r="C268" s="50"/>
      <c r="D268" s="50" t="s">
        <v>139</v>
      </c>
      <c r="E268" s="49"/>
      <c r="F268" s="49" t="str">
        <f>IF(E268="","",TEXT(EDATE(E268,-543*12),"dd/mm/yyyy"))</f>
        <v/>
      </c>
      <c r="G268" s="50">
        <f t="shared" si="76"/>
        <v>0</v>
      </c>
      <c r="H268" s="50">
        <f t="shared" si="77"/>
        <v>0</v>
      </c>
      <c r="I268" s="50">
        <f t="shared" si="78"/>
        <v>0</v>
      </c>
      <c r="J268" s="50"/>
      <c r="K268" s="49" t="s">
        <v>136</v>
      </c>
      <c r="L268" s="64"/>
      <c r="M268" s="49"/>
      <c r="N268" s="49"/>
      <c r="O268" s="86" t="s">
        <v>443</v>
      </c>
      <c r="P268" s="49" t="str">
        <f t="shared" si="79"/>
        <v>25/07/2024</v>
      </c>
      <c r="Q268" s="68">
        <f t="shared" si="80"/>
        <v>0</v>
      </c>
      <c r="R268" s="68">
        <f t="shared" si="81"/>
        <v>10</v>
      </c>
      <c r="S268" s="68">
        <f t="shared" si="82"/>
        <v>26</v>
      </c>
      <c r="T268" s="65"/>
      <c r="U268" s="65"/>
      <c r="V268" s="49" t="str">
        <f>IF(U268="","",TEXT(EDATE(U268,-543*12),"dd/mm/yyyy"))</f>
        <v/>
      </c>
      <c r="W268" s="68">
        <f>IF(V268="",0,DATEDIF(V268,P268,"Y"))</f>
        <v>0</v>
      </c>
      <c r="X268" s="68">
        <f>IF(V268="",0,DATEDIF(V268,P268,"YM"))</f>
        <v>0</v>
      </c>
      <c r="Y268" s="68">
        <f>IF(V268="",0,DATEDIF(V268,P268,"MD"))</f>
        <v>0</v>
      </c>
      <c r="Z268" s="49"/>
      <c r="AA268" s="65"/>
      <c r="AB268" s="50" t="str">
        <f>IF(AA268="","",TEXT(EDATE(AA268,-543*12),"dd/mm/yyyy"))</f>
        <v/>
      </c>
      <c r="AC268" s="68">
        <f>IF(AB268="",0,DATEDIF(AB268,V268,"Y"))</f>
        <v>0</v>
      </c>
      <c r="AD268" s="68">
        <f>IF(AB268="",0,DATEDIF(AB268,V268,"YM"))</f>
        <v>0</v>
      </c>
      <c r="AE268" s="68">
        <f>IF(AB268="",0,DATEDIF(AB268,V268,"MD"))</f>
        <v>0</v>
      </c>
      <c r="AF268" s="50"/>
      <c r="AG268" s="50"/>
      <c r="AH268" s="49" t="str">
        <f>IF(AG268="นิติศาสตร์","K5-LAW","K5-POLICY")</f>
        <v>K5-POLICY</v>
      </c>
      <c r="AI268" s="72" t="str">
        <f>_xlfn.IFS(B268="","",AND(AH268="K5-LAW",AG268="นิติศาสตร์",K268="S2",T268="",Z268=""),P268,AND(AH268="K5-LAW",AG268="นิติศาสตร์",K268="S1",T268="",Z268=""),EDATE(P268,12),AND(AH268="K5-LAW",AG268="นิติศาสตร์",OR(K268="M2",K268="K4"),T268="",Z268=""),EDATE(P268,12*2),AND(AH268="K5-LAW",AG268="นิติศาสตร์",OR(Z268="M2",Z268="K4"),AC268&gt;=2,OR(AB268&lt;V268,AB268&lt;P268)),EDATE(AB268,12*2),AND(AH268="K5-LAW",AG268="นิติศาสตร์",Z268="S1",AC268&gt;=1,OR(AB268&lt;V268,AB268&lt;P268)),EDATE(AB268,12),AND(AH268="K5-LAW",AG268="นิติศาสตร์",OR(T268="M2",T268="K4"),W268&gt;=2,V268&lt;P268),EDATE(V268,12*2),AND(AH268="K5-LAW",AG268="นิติศาสตร์",T268="S1",W268&gt;=1,V268&lt;P268),EDATE(V268,12),AND(AH268="K5-LAW",AG268="นิติศาสตร์",OR(T268="S2",T268="K5")),V268,AND(AH268="K5-LAW",AG268="นิติศาสตร์",OR(K268="M2",K268="K4"),Q268&gt;=2),EDATE(P268,12*2),AND(AH268="K5-LAW",AG268="นิติศาสตร์",K268="S1",Q268&gt;=1),EDATE(P268,12),AND(AH268="K5-LAW",AG268="นิติศาสตร์",OR(K268="S2",K268="K5")),P268,AND(AH268="K5-POLICY",AG268&lt;&gt;"นิติศาสตร์",K268="S2",T268="",Z268=""),P268,AND(AH268="K5-POLICY",AG268&lt;&gt;"นิติศาสตร์",K268="S1",T268="",Z268=""),EDATE(P268,12),AND(AH268="K5-POLICY",AG268&lt;&gt;"นิติศาสตร์",OR(K268="M2",K268="K4"),T268="",Z268=""),EDATE(P268,12*2),AND(AH268="K5-POLICY",AG268&lt;&gt;"นิติศาสตร์",OR(Z268="M2",Z268="K4"),AC268&gt;=2,OR(AB268&lt;V268,AB268&lt;P268)),EDATE(AB268,12*2),AND(AH268="K5-POLICY",AG268&lt;&gt;"นิติศาสตร์",Z268="S1",AC268&gt;=1,OR(AB268&lt;V268,AB268&lt;P268)),EDATE(AB268,12),AND(AH268="K5-POLICY",AG268&lt;&gt;"นิติศาสตร์",OR(T268="M2",T268="K4"),W268&gt;=2,V268&lt;P268),EDATE(V268,12*2),AND(AH268="K5-POLICY",AG268&lt;&gt;"นิติศาสตร์",T268="S1",W268&gt;=1,V268&lt;P268),EDATE(V268,12),AND(AH268="K5-POLICY",AG268&lt;&gt;"นิติศาสตร์",OR(T268="S2",T268="K5")),V268,AND(AH268="K5-POLICY",AG268&lt;&gt;"นิติศาสตร์",OR(K268="M2",K268="K4"),Q268&gt;=2),EDATE(P268,12*2),AND(AH268="K5-POLICY",AG268&lt;&gt;"นิติศาสตร์",K268="S1",Q268&gt;=1),EDATE(P268,12),AND(AH268="K5-POLICY",AG268&lt;&gt;"นิติศาสตร์",OR(K268="S2",K268="K5")),P268,TRUE,"Check Data")</f>
        <v/>
      </c>
      <c r="AJ268" s="75" t="str">
        <f t="shared" si="83"/>
        <v>Check Data</v>
      </c>
      <c r="AK268" s="76" t="str">
        <f t="shared" si="84"/>
        <v>Check Data</v>
      </c>
      <c r="AL268" s="50" t="str">
        <f t="shared" si="85"/>
        <v>Check Data</v>
      </c>
      <c r="AM268" s="49" t="str">
        <f>IF(B268="","",IF(K268="S1","S1",INDEX(#REF!,#REF!)))</f>
        <v/>
      </c>
      <c r="AN268" s="49" t="str">
        <f>K268</f>
        <v>M2</v>
      </c>
      <c r="AO268" s="50" t="b">
        <f>K268=AM268</f>
        <v>0</v>
      </c>
      <c r="AP268" s="50"/>
    </row>
    <row r="269" spans="1:42" ht="21.75">
      <c r="A269" s="49">
        <v>267</v>
      </c>
      <c r="B269" s="50"/>
      <c r="C269" s="52"/>
      <c r="D269" s="50"/>
      <c r="E269" s="49"/>
      <c r="F269" s="49"/>
      <c r="G269" s="50">
        <f t="shared" si="76"/>
        <v>0</v>
      </c>
      <c r="H269" s="50">
        <f t="shared" si="77"/>
        <v>0</v>
      </c>
      <c r="I269" s="50">
        <f t="shared" si="78"/>
        <v>0</v>
      </c>
      <c r="J269" s="50"/>
      <c r="K269" s="49" t="s">
        <v>136</v>
      </c>
      <c r="L269" s="64"/>
      <c r="M269" s="49"/>
      <c r="N269" s="49"/>
      <c r="O269" s="65" t="s">
        <v>459</v>
      </c>
      <c r="P269" s="49" t="str">
        <f t="shared" si="79"/>
        <v>18/09/2024</v>
      </c>
      <c r="Q269" s="68">
        <f t="shared" si="80"/>
        <v>0</v>
      </c>
      <c r="R269" s="68">
        <f t="shared" si="81"/>
        <v>9</v>
      </c>
      <c r="S269" s="68">
        <f t="shared" si="82"/>
        <v>2</v>
      </c>
      <c r="T269" s="65"/>
      <c r="U269" s="65"/>
      <c r="V269" s="49"/>
      <c r="W269" s="68"/>
      <c r="X269" s="68"/>
      <c r="Y269" s="68"/>
      <c r="Z269" s="49"/>
      <c r="AA269" s="65"/>
      <c r="AB269" s="50"/>
      <c r="AC269" s="68"/>
      <c r="AD269" s="68"/>
      <c r="AE269" s="68"/>
      <c r="AF269" s="50"/>
      <c r="AG269" s="50"/>
      <c r="AH269" s="49" t="str">
        <f>IF(AG269="นิติศาสตร์","K5-LAW","K5-POLICY")</f>
        <v>K5-POLICY</v>
      </c>
      <c r="AI269" s="72" t="str">
        <f>_xlfn.IFS(B269="","",AND(AH269="K5-LAW",AG269="นิติศาสตร์",K269="S2",T269="",Z269=""),P269,AND(AH269="K5-LAW",AG269="นิติศาสตร์",K269="S1",T269="",Z269=""),EDATE(P269,12),AND(AH269="K5-LAW",AG269="นิติศาสตร์",OR(K269="M2",K269="K4"),T269="",Z269=""),EDATE(P269,12*2),AND(AH269="K5-LAW",AG269="นิติศาสตร์",OR(Z269="M2",Z269="K4"),AC269&gt;=2,OR(AB269&lt;V269,AB269&lt;P269)),EDATE(AB269,12*2),AND(AH269="K5-LAW",AG269="นิติศาสตร์",Z269="S1",AC269&gt;=1,OR(AB269&lt;V269,AB269&lt;P269)),EDATE(AB269,12),AND(AH269="K5-LAW",AG269="นิติศาสตร์",OR(T269="M2",T269="K4"),W269&gt;=2,V269&lt;P269),EDATE(V269,12*2),AND(AH269="K5-LAW",AG269="นิติศาสตร์",T269="S1",W269&gt;=1,V269&lt;P269),EDATE(V269,12),AND(AH269="K5-LAW",AG269="นิติศาสตร์",OR(T269="S2",T269="K5")),V269,AND(AH269="K5-LAW",AG269="นิติศาสตร์",OR(K269="M2",K269="K4"),Q269&gt;=2),EDATE(P269,12*2),AND(AH269="K5-LAW",AG269="นิติศาสตร์",K269="S1",Q269&gt;=1),EDATE(P269,12),AND(AH269="K5-LAW",AG269="นิติศาสตร์",OR(K269="S2",K269="K5")),P269,AND(AH269="K5-POLICY",AG269&lt;&gt;"นิติศาสตร์",K269="S2",T269="",Z269=""),P269,AND(AH269="K5-POLICY",AG269&lt;&gt;"นิติศาสตร์",K269="S1",T269="",Z269=""),EDATE(P269,12),AND(AH269="K5-POLICY",AG269&lt;&gt;"นิติศาสตร์",OR(K269="M2",K269="K4"),T269="",Z269=""),EDATE(P269,12*2),AND(AH269="K5-POLICY",AG269&lt;&gt;"นิติศาสตร์",OR(Z269="M2",Z269="K4"),AC269&gt;=2,OR(AB269&lt;V269,AB269&lt;P269)),EDATE(AB269,12*2),AND(AH269="K5-POLICY",AG269&lt;&gt;"นิติศาสตร์",Z269="S1",AC269&gt;=1,OR(AB269&lt;V269,AB269&lt;P269)),EDATE(AB269,12),AND(AH269="K5-POLICY",AG269&lt;&gt;"นิติศาสตร์",OR(T269="M2",T269="K4"),W269&gt;=2,V269&lt;P269),EDATE(V269,12*2),AND(AH269="K5-POLICY",AG269&lt;&gt;"นิติศาสตร์",T269="S1",W269&gt;=1,V269&lt;P269),EDATE(V269,12),AND(AH269="K5-POLICY",AG269&lt;&gt;"นิติศาสตร์",OR(T269="S2",T269="K5")),V269,AND(AH269="K5-POLICY",AG269&lt;&gt;"นิติศาสตร์",OR(K269="M2",K269="K4"),Q269&gt;=2),EDATE(P269,12*2),AND(AH269="K5-POLICY",AG269&lt;&gt;"นิติศาสตร์",K269="S1",Q269&gt;=1),EDATE(P269,12),AND(AH269="K5-POLICY",AG269&lt;&gt;"นิติศาสตร์",OR(K269="S2",K269="K5")),P269,TRUE,"Check Data")</f>
        <v/>
      </c>
      <c r="AJ269" s="75" t="str">
        <f t="shared" si="83"/>
        <v>Check Data</v>
      </c>
      <c r="AK269" s="76" t="str">
        <f t="shared" si="84"/>
        <v>Check Data</v>
      </c>
      <c r="AL269" s="50" t="str">
        <f t="shared" si="85"/>
        <v>Check Data</v>
      </c>
      <c r="AM269" s="49" t="str">
        <f>IF(B269="","",IF(K269="S1","S1",INDEX(#REF!,#REF!)))</f>
        <v/>
      </c>
      <c r="AN269" s="49" t="str">
        <f>K269</f>
        <v>M2</v>
      </c>
      <c r="AO269" s="50" t="b">
        <f>K269=AM269</f>
        <v>0</v>
      </c>
      <c r="AP269" s="50"/>
    </row>
    <row r="270" spans="1:42" ht="21.75">
      <c r="A270" s="49">
        <v>268</v>
      </c>
      <c r="B270" s="50"/>
      <c r="C270" s="52"/>
      <c r="D270" s="79"/>
      <c r="E270" s="79"/>
      <c r="F270" s="79"/>
      <c r="G270" s="50">
        <f t="shared" si="76"/>
        <v>0</v>
      </c>
      <c r="H270" s="50">
        <f t="shared" si="77"/>
        <v>0</v>
      </c>
      <c r="I270" s="50">
        <f t="shared" si="78"/>
        <v>0</v>
      </c>
      <c r="J270" s="79"/>
      <c r="K270" s="49" t="s">
        <v>136</v>
      </c>
      <c r="L270" s="79"/>
      <c r="M270" s="79"/>
      <c r="N270" s="79"/>
      <c r="O270" s="65" t="s">
        <v>464</v>
      </c>
      <c r="P270" s="49" t="str">
        <f t="shared" si="79"/>
        <v>21/11/2024</v>
      </c>
      <c r="Q270" s="68">
        <f t="shared" si="80"/>
        <v>0</v>
      </c>
      <c r="R270" s="68">
        <f t="shared" si="81"/>
        <v>6</v>
      </c>
      <c r="S270" s="68">
        <f t="shared" si="82"/>
        <v>30</v>
      </c>
      <c r="T270" s="65"/>
      <c r="U270" s="83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49" t="str">
        <f>IF(AG270="นิติศาสตร์","K5-LAW","K5-POLICY")</f>
        <v>K5-POLICY</v>
      </c>
      <c r="AI270" s="72" t="str">
        <f>_xlfn.IFS(B270="","",AND(AH270="K5-LAW",AG270="นิติศาสตร์",K270="S2",T270="",Z270=""),P270,AND(AH270="K5-LAW",AG270="นิติศาสตร์",K270="S1",T270="",Z270=""),EDATE(P270,12),AND(AH270="K5-LAW",AG270="นิติศาสตร์",OR(K270="M2",K270="K4"),T270="",Z270=""),EDATE(P270,12*2),AND(AH270="K5-LAW",AG270="นิติศาสตร์",OR(Z270="M2",Z270="K4"),AC270&gt;=2,OR(AB270&lt;V270,AB270&lt;P270)),EDATE(AB270,12*2),AND(AH270="K5-LAW",AG270="นิติศาสตร์",Z270="S1",AC270&gt;=1,OR(AB270&lt;V270,AB270&lt;P270)),EDATE(AB270,12),AND(AH270="K5-LAW",AG270="นิติศาสตร์",OR(T270="M2",T270="K4"),W270&gt;=2,V270&lt;P270),EDATE(V270,12*2),AND(AH270="K5-LAW",AG270="นิติศาสตร์",T270="S1",W270&gt;=1,V270&lt;P270),EDATE(V270,12),AND(AH270="K5-LAW",AG270="นิติศาสตร์",OR(T270="S2",T270="K5")),V270,AND(AH270="K5-LAW",AG270="นิติศาสตร์",OR(K270="M2",K270="K4"),Q270&gt;=2),EDATE(P270,12*2),AND(AH270="K5-LAW",AG270="นิติศาสตร์",K270="S1",Q270&gt;=1),EDATE(P270,12),AND(AH270="K5-LAW",AG270="นิติศาสตร์",OR(K270="S2",K270="K5")),P270,AND(AH270="K5-POLICY",AG270&lt;&gt;"นิติศาสตร์",K270="S2",T270="",Z270=""),P270,AND(AH270="K5-POLICY",AG270&lt;&gt;"นิติศาสตร์",K270="S1",T270="",Z270=""),EDATE(P270,12),AND(AH270="K5-POLICY",AG270&lt;&gt;"นิติศาสตร์",OR(K270="M2",K270="K4"),T270="",Z270=""),EDATE(P270,12*2),AND(AH270="K5-POLICY",AG270&lt;&gt;"นิติศาสตร์",OR(Z270="M2",Z270="K4"),AC270&gt;=2,OR(AB270&lt;V270,AB270&lt;P270)),EDATE(AB270,12*2),AND(AH270="K5-POLICY",AG270&lt;&gt;"นิติศาสตร์",Z270="S1",AC270&gt;=1,OR(AB270&lt;V270,AB270&lt;P270)),EDATE(AB270,12),AND(AH270="K5-POLICY",AG270&lt;&gt;"นิติศาสตร์",OR(T270="M2",T270="K4"),W270&gt;=2,V270&lt;P270),EDATE(V270,12*2),AND(AH270="K5-POLICY",AG270&lt;&gt;"นิติศาสตร์",T270="S1",W270&gt;=1,V270&lt;P270),EDATE(V270,12),AND(AH270="K5-POLICY",AG270&lt;&gt;"นิติศาสตร์",OR(T270="S2",T270="K5")),V270,AND(AH270="K5-POLICY",AG270&lt;&gt;"นิติศาสตร์",OR(K270="M2",K270="K4"),Q270&gt;=2),EDATE(P270,12*2),AND(AH270="K5-POLICY",AG270&lt;&gt;"นิติศาสตร์",K270="S1",Q270&gt;=1),EDATE(P270,12),AND(AH270="K5-POLICY",AG270&lt;&gt;"นิติศาสตร์",OR(K270="S2",K270="K5")),P270,TRUE,"Check Data")</f>
        <v/>
      </c>
      <c r="AJ270" s="75" t="str">
        <f t="shared" si="83"/>
        <v>Check Data</v>
      </c>
      <c r="AK270" s="76" t="str">
        <f t="shared" si="84"/>
        <v>Check Data</v>
      </c>
      <c r="AL270" s="50" t="str">
        <f t="shared" si="85"/>
        <v>Check Data</v>
      </c>
      <c r="AM270" s="49" t="str">
        <f>IF(B270="","",IF(K270="S1","S1",INDEX(#REF!,#REF!)))</f>
        <v/>
      </c>
      <c r="AN270" s="49" t="str">
        <f>K270</f>
        <v>M2</v>
      </c>
      <c r="AO270" s="50" t="b">
        <f>K270=AM270</f>
        <v>0</v>
      </c>
      <c r="AP270" s="50"/>
    </row>
    <row r="271" spans="1:42" ht="21.75">
      <c r="A271" s="49">
        <v>269</v>
      </c>
      <c r="B271" s="50"/>
      <c r="C271" s="52"/>
      <c r="D271" s="79"/>
      <c r="E271" s="79"/>
      <c r="F271" s="79"/>
      <c r="G271" s="50">
        <f t="shared" si="76"/>
        <v>0</v>
      </c>
      <c r="H271" s="50">
        <f t="shared" si="77"/>
        <v>0</v>
      </c>
      <c r="I271" s="50">
        <f t="shared" si="78"/>
        <v>0</v>
      </c>
      <c r="J271" s="79"/>
      <c r="K271" s="49" t="s">
        <v>136</v>
      </c>
      <c r="L271" s="79"/>
      <c r="M271" s="79"/>
      <c r="N271" s="79"/>
      <c r="O271" s="65" t="s">
        <v>464</v>
      </c>
      <c r="P271" s="49" t="str">
        <f t="shared" si="79"/>
        <v>21/11/2024</v>
      </c>
      <c r="Q271" s="68">
        <f t="shared" si="80"/>
        <v>0</v>
      </c>
      <c r="R271" s="68">
        <f t="shared" si="81"/>
        <v>6</v>
      </c>
      <c r="S271" s="68">
        <f t="shared" si="82"/>
        <v>30</v>
      </c>
      <c r="T271" s="65"/>
      <c r="U271" s="83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49" t="str">
        <f>IF(AG271="นิติศาสตร์","K5-LAW","K5-POLICY")</f>
        <v>K5-POLICY</v>
      </c>
      <c r="AI271" s="72" t="str">
        <f>_xlfn.IFS(B271="","",AND(AH271="K5-LAW",AG271="นิติศาสตร์",K271="S2",T271="",Z271=""),P271,AND(AH271="K5-LAW",AG271="นิติศาสตร์",K271="S1",T271="",Z271=""),EDATE(P271,12),AND(AH271="K5-LAW",AG271="นิติศาสตร์",OR(K271="M2",K271="K4"),T271="",Z271=""),EDATE(P271,12*2),AND(AH271="K5-LAW",AG271="นิติศาสตร์",OR(Z271="M2",Z271="K4"),AC271&gt;=2,OR(AB271&lt;V271,AB271&lt;P271)),EDATE(AB271,12*2),AND(AH271="K5-LAW",AG271="นิติศาสตร์",Z271="S1",AC271&gt;=1,OR(AB271&lt;V271,AB271&lt;P271)),EDATE(AB271,12),AND(AH271="K5-LAW",AG271="นิติศาสตร์",OR(T271="M2",T271="K4"),W271&gt;=2,V271&lt;P271),EDATE(V271,12*2),AND(AH271="K5-LAW",AG271="นิติศาสตร์",T271="S1",W271&gt;=1,V271&lt;P271),EDATE(V271,12),AND(AH271="K5-LAW",AG271="นิติศาสตร์",OR(T271="S2",T271="K5")),V271,AND(AH271="K5-LAW",AG271="นิติศาสตร์",OR(K271="M2",K271="K4"),Q271&gt;=2),EDATE(P271,12*2),AND(AH271="K5-LAW",AG271="นิติศาสตร์",K271="S1",Q271&gt;=1),EDATE(P271,12),AND(AH271="K5-LAW",AG271="นิติศาสตร์",OR(K271="S2",K271="K5")),P271,AND(AH271="K5-POLICY",AG271&lt;&gt;"นิติศาสตร์",K271="S2",T271="",Z271=""),P271,AND(AH271="K5-POLICY",AG271&lt;&gt;"นิติศาสตร์",K271="S1",T271="",Z271=""),EDATE(P271,12),AND(AH271="K5-POLICY",AG271&lt;&gt;"นิติศาสตร์",OR(K271="M2",K271="K4"),T271="",Z271=""),EDATE(P271,12*2),AND(AH271="K5-POLICY",AG271&lt;&gt;"นิติศาสตร์",OR(Z271="M2",Z271="K4"),AC271&gt;=2,OR(AB271&lt;V271,AB271&lt;P271)),EDATE(AB271,12*2),AND(AH271="K5-POLICY",AG271&lt;&gt;"นิติศาสตร์",Z271="S1",AC271&gt;=1,OR(AB271&lt;V271,AB271&lt;P271)),EDATE(AB271,12),AND(AH271="K5-POLICY",AG271&lt;&gt;"นิติศาสตร์",OR(T271="M2",T271="K4"),W271&gt;=2,V271&lt;P271),EDATE(V271,12*2),AND(AH271="K5-POLICY",AG271&lt;&gt;"นิติศาสตร์",T271="S1",W271&gt;=1,V271&lt;P271),EDATE(V271,12),AND(AH271="K5-POLICY",AG271&lt;&gt;"นิติศาสตร์",OR(T271="S2",T271="K5")),V271,AND(AH271="K5-POLICY",AG271&lt;&gt;"นิติศาสตร์",OR(K271="M2",K271="K4"),Q271&gt;=2),EDATE(P271,12*2),AND(AH271="K5-POLICY",AG271&lt;&gt;"นิติศาสตร์",K271="S1",Q271&gt;=1),EDATE(P271,12),AND(AH271="K5-POLICY",AG271&lt;&gt;"นิติศาสตร์",OR(K271="S2",K271="K5")),P271,TRUE,"Check Data")</f>
        <v/>
      </c>
      <c r="AJ271" s="75" t="str">
        <f t="shared" si="83"/>
        <v>Check Data</v>
      </c>
      <c r="AK271" s="76" t="str">
        <f t="shared" si="84"/>
        <v>Check Data</v>
      </c>
      <c r="AL271" s="50" t="str">
        <f t="shared" si="85"/>
        <v>Check Data</v>
      </c>
      <c r="AM271" s="49" t="str">
        <f>IF(B271="","",IF(K271="S1","S1",INDEX(#REF!,#REF!)))</f>
        <v/>
      </c>
      <c r="AN271" s="49" t="str">
        <f>K271</f>
        <v>M2</v>
      </c>
      <c r="AO271" s="50" t="b">
        <f>K271=AM271</f>
        <v>0</v>
      </c>
      <c r="AP271" s="50"/>
    </row>
    <row r="272" spans="1:42" ht="21.75">
      <c r="A272" s="49">
        <v>270</v>
      </c>
      <c r="B272" s="50"/>
      <c r="C272" s="52"/>
      <c r="D272" s="79"/>
      <c r="E272" s="79"/>
      <c r="F272" s="79"/>
      <c r="G272" s="50">
        <f t="shared" si="76"/>
        <v>0</v>
      </c>
      <c r="H272" s="50">
        <f t="shared" si="77"/>
        <v>0</v>
      </c>
      <c r="I272" s="50">
        <f t="shared" si="78"/>
        <v>0</v>
      </c>
      <c r="J272" s="79"/>
      <c r="K272" s="49" t="s">
        <v>136</v>
      </c>
      <c r="L272" s="79"/>
      <c r="M272" s="79"/>
      <c r="N272" s="79"/>
      <c r="O272" s="65" t="s">
        <v>464</v>
      </c>
      <c r="P272" s="49" t="str">
        <f t="shared" si="79"/>
        <v>21/11/2024</v>
      </c>
      <c r="Q272" s="68">
        <f t="shared" si="80"/>
        <v>0</v>
      </c>
      <c r="R272" s="68">
        <f t="shared" si="81"/>
        <v>6</v>
      </c>
      <c r="S272" s="68">
        <f t="shared" si="82"/>
        <v>30</v>
      </c>
      <c r="T272" s="65"/>
      <c r="U272" s="83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49" t="str">
        <f>IF(AG272="นิติศาสตร์","K5-LAW","K5-POLICY")</f>
        <v>K5-POLICY</v>
      </c>
      <c r="AI272" s="72" t="str">
        <f>_xlfn.IFS(B272="","",AND(AH272="K5-LAW",AG272="นิติศาสตร์",K272="S2",T272="",Z272=""),P272,AND(AH272="K5-LAW",AG272="นิติศาสตร์",K272="S1",T272="",Z272=""),EDATE(P272,12),AND(AH272="K5-LAW",AG272="นิติศาสตร์",OR(K272="M2",K272="K4"),T272="",Z272=""),EDATE(P272,12*2),AND(AH272="K5-LAW",AG272="นิติศาสตร์",OR(Z272="M2",Z272="K4"),AC272&gt;=2,OR(AB272&lt;V272,AB272&lt;P272)),EDATE(AB272,12*2),AND(AH272="K5-LAW",AG272="นิติศาสตร์",Z272="S1",AC272&gt;=1,OR(AB272&lt;V272,AB272&lt;P272)),EDATE(AB272,12),AND(AH272="K5-LAW",AG272="นิติศาสตร์",OR(T272="M2",T272="K4"),W272&gt;=2,V272&lt;P272),EDATE(V272,12*2),AND(AH272="K5-LAW",AG272="นิติศาสตร์",T272="S1",W272&gt;=1,V272&lt;P272),EDATE(V272,12),AND(AH272="K5-LAW",AG272="นิติศาสตร์",OR(T272="S2",T272="K5")),V272,AND(AH272="K5-LAW",AG272="นิติศาสตร์",OR(K272="M2",K272="K4"),Q272&gt;=2),EDATE(P272,12*2),AND(AH272="K5-LAW",AG272="นิติศาสตร์",K272="S1",Q272&gt;=1),EDATE(P272,12),AND(AH272="K5-LAW",AG272="นิติศาสตร์",OR(K272="S2",K272="K5")),P272,AND(AH272="K5-POLICY",AG272&lt;&gt;"นิติศาสตร์",K272="S2",T272="",Z272=""),P272,AND(AH272="K5-POLICY",AG272&lt;&gt;"นิติศาสตร์",K272="S1",T272="",Z272=""),EDATE(P272,12),AND(AH272="K5-POLICY",AG272&lt;&gt;"นิติศาสตร์",OR(K272="M2",K272="K4"),T272="",Z272=""),EDATE(P272,12*2),AND(AH272="K5-POLICY",AG272&lt;&gt;"นิติศาสตร์",OR(Z272="M2",Z272="K4"),AC272&gt;=2,OR(AB272&lt;V272,AB272&lt;P272)),EDATE(AB272,12*2),AND(AH272="K5-POLICY",AG272&lt;&gt;"นิติศาสตร์",Z272="S1",AC272&gt;=1,OR(AB272&lt;V272,AB272&lt;P272)),EDATE(AB272,12),AND(AH272="K5-POLICY",AG272&lt;&gt;"นิติศาสตร์",OR(T272="M2",T272="K4"),W272&gt;=2,V272&lt;P272),EDATE(V272,12*2),AND(AH272="K5-POLICY",AG272&lt;&gt;"นิติศาสตร์",T272="S1",W272&gt;=1,V272&lt;P272),EDATE(V272,12),AND(AH272="K5-POLICY",AG272&lt;&gt;"นิติศาสตร์",OR(T272="S2",T272="K5")),V272,AND(AH272="K5-POLICY",AG272&lt;&gt;"นิติศาสตร์",OR(K272="M2",K272="K4"),Q272&gt;=2),EDATE(P272,12*2),AND(AH272="K5-POLICY",AG272&lt;&gt;"นิติศาสตร์",K272="S1",Q272&gt;=1),EDATE(P272,12),AND(AH272="K5-POLICY",AG272&lt;&gt;"นิติศาสตร์",OR(K272="S2",K272="K5")),P272,TRUE,"Check Data")</f>
        <v/>
      </c>
      <c r="AJ272" s="75" t="str">
        <f t="shared" si="83"/>
        <v>Check Data</v>
      </c>
      <c r="AK272" s="76" t="str">
        <f t="shared" si="84"/>
        <v>Check Data</v>
      </c>
      <c r="AL272" s="50" t="str">
        <f t="shared" si="85"/>
        <v>Check Data</v>
      </c>
      <c r="AM272" s="49" t="str">
        <f>IF(B272="","",IF(K272="S1","S1",INDEX(#REF!,#REF!)))</f>
        <v/>
      </c>
      <c r="AN272" s="49" t="str">
        <f>K272</f>
        <v>M2</v>
      </c>
      <c r="AO272" s="50" t="b">
        <f>K272=AM272</f>
        <v>0</v>
      </c>
      <c r="AP272" s="50"/>
    </row>
    <row r="273" spans="1:42" ht="21.75">
      <c r="A273" s="49">
        <v>271</v>
      </c>
      <c r="B273" s="50"/>
      <c r="C273" s="52"/>
      <c r="D273" s="79"/>
      <c r="E273" s="79"/>
      <c r="F273" s="79"/>
      <c r="G273" s="50">
        <f t="shared" si="76"/>
        <v>0</v>
      </c>
      <c r="H273" s="50">
        <f t="shared" si="77"/>
        <v>0</v>
      </c>
      <c r="I273" s="50">
        <f t="shared" si="78"/>
        <v>0</v>
      </c>
      <c r="J273" s="79"/>
      <c r="K273" s="49" t="s">
        <v>136</v>
      </c>
      <c r="L273" s="79"/>
      <c r="M273" s="79"/>
      <c r="N273" s="79"/>
      <c r="O273" s="65" t="s">
        <v>464</v>
      </c>
      <c r="P273" s="49" t="str">
        <f t="shared" si="79"/>
        <v>21/11/2024</v>
      </c>
      <c r="Q273" s="68">
        <f t="shared" si="80"/>
        <v>0</v>
      </c>
      <c r="R273" s="68">
        <f t="shared" si="81"/>
        <v>6</v>
      </c>
      <c r="S273" s="68">
        <f t="shared" si="82"/>
        <v>30</v>
      </c>
      <c r="T273" s="65"/>
      <c r="U273" s="83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49" t="str">
        <f>IF(AG273="นิติศาสตร์","K5-LAW","K5-POLICY")</f>
        <v>K5-POLICY</v>
      </c>
      <c r="AI273" s="72" t="str">
        <f>_xlfn.IFS(B273="","",AND(AH273="K5-LAW",AG273="นิติศาสตร์",K273="S2",T273="",Z273=""),P273,AND(AH273="K5-LAW",AG273="นิติศาสตร์",K273="S1",T273="",Z273=""),EDATE(P273,12),AND(AH273="K5-LAW",AG273="นิติศาสตร์",OR(K273="M2",K273="K4"),T273="",Z273=""),EDATE(P273,12*2),AND(AH273="K5-LAW",AG273="นิติศาสตร์",OR(Z273="M2",Z273="K4"),AC273&gt;=2,OR(AB273&lt;V273,AB273&lt;P273)),EDATE(AB273,12*2),AND(AH273="K5-LAW",AG273="นิติศาสตร์",Z273="S1",AC273&gt;=1,OR(AB273&lt;V273,AB273&lt;P273)),EDATE(AB273,12),AND(AH273="K5-LAW",AG273="นิติศาสตร์",OR(T273="M2",T273="K4"),W273&gt;=2,V273&lt;P273),EDATE(V273,12*2),AND(AH273="K5-LAW",AG273="นิติศาสตร์",T273="S1",W273&gt;=1,V273&lt;P273),EDATE(V273,12),AND(AH273="K5-LAW",AG273="นิติศาสตร์",OR(T273="S2",T273="K5")),V273,AND(AH273="K5-LAW",AG273="นิติศาสตร์",OR(K273="M2",K273="K4"),Q273&gt;=2),EDATE(P273,12*2),AND(AH273="K5-LAW",AG273="นิติศาสตร์",K273="S1",Q273&gt;=1),EDATE(P273,12),AND(AH273="K5-LAW",AG273="นิติศาสตร์",OR(K273="S2",K273="K5")),P273,AND(AH273="K5-POLICY",AG273&lt;&gt;"นิติศาสตร์",K273="S2",T273="",Z273=""),P273,AND(AH273="K5-POLICY",AG273&lt;&gt;"นิติศาสตร์",K273="S1",T273="",Z273=""),EDATE(P273,12),AND(AH273="K5-POLICY",AG273&lt;&gt;"นิติศาสตร์",OR(K273="M2",K273="K4"),T273="",Z273=""),EDATE(P273,12*2),AND(AH273="K5-POLICY",AG273&lt;&gt;"นิติศาสตร์",OR(Z273="M2",Z273="K4"),AC273&gt;=2,OR(AB273&lt;V273,AB273&lt;P273)),EDATE(AB273,12*2),AND(AH273="K5-POLICY",AG273&lt;&gt;"นิติศาสตร์",Z273="S1",AC273&gt;=1,OR(AB273&lt;V273,AB273&lt;P273)),EDATE(AB273,12),AND(AH273="K5-POLICY",AG273&lt;&gt;"นิติศาสตร์",OR(T273="M2",T273="K4"),W273&gt;=2,V273&lt;P273),EDATE(V273,12*2),AND(AH273="K5-POLICY",AG273&lt;&gt;"นิติศาสตร์",T273="S1",W273&gt;=1,V273&lt;P273),EDATE(V273,12),AND(AH273="K5-POLICY",AG273&lt;&gt;"นิติศาสตร์",OR(T273="S2",T273="K5")),V273,AND(AH273="K5-POLICY",AG273&lt;&gt;"นิติศาสตร์",OR(K273="M2",K273="K4"),Q273&gt;=2),EDATE(P273,12*2),AND(AH273="K5-POLICY",AG273&lt;&gt;"นิติศาสตร์",K273="S1",Q273&gt;=1),EDATE(P273,12),AND(AH273="K5-POLICY",AG273&lt;&gt;"นิติศาสตร์",OR(K273="S2",K273="K5")),P273,TRUE,"Check Data")</f>
        <v/>
      </c>
      <c r="AJ273" s="75" t="str">
        <f t="shared" si="83"/>
        <v>Check Data</v>
      </c>
      <c r="AK273" s="76" t="str">
        <f t="shared" si="84"/>
        <v>Check Data</v>
      </c>
      <c r="AL273" s="50" t="str">
        <f t="shared" si="85"/>
        <v>Check Data</v>
      </c>
      <c r="AM273" s="49" t="str">
        <f>IF(B273="","",IF(K273="S1","S1",INDEX(#REF!,#REF!)))</f>
        <v/>
      </c>
      <c r="AN273" s="49" t="str">
        <f>K273</f>
        <v>M2</v>
      </c>
      <c r="AO273" s="50" t="b">
        <f>K273=AM273</f>
        <v>0</v>
      </c>
      <c r="AP273" s="50"/>
    </row>
    <row r="274" spans="1:42" ht="21.75">
      <c r="A274" s="49">
        <v>272</v>
      </c>
      <c r="B274" s="50"/>
      <c r="C274" s="52"/>
      <c r="D274" s="79"/>
      <c r="E274" s="79"/>
      <c r="F274" s="79"/>
      <c r="G274" s="50">
        <f t="shared" si="76"/>
        <v>0</v>
      </c>
      <c r="H274" s="50">
        <f t="shared" si="77"/>
        <v>0</v>
      </c>
      <c r="I274" s="50">
        <f t="shared" si="78"/>
        <v>0</v>
      </c>
      <c r="J274" s="79"/>
      <c r="K274" s="49" t="s">
        <v>136</v>
      </c>
      <c r="L274" s="79"/>
      <c r="M274" s="79"/>
      <c r="N274" s="79"/>
      <c r="O274" s="65" t="s">
        <v>464</v>
      </c>
      <c r="P274" s="49" t="str">
        <f t="shared" si="79"/>
        <v>21/11/2024</v>
      </c>
      <c r="Q274" s="68">
        <f t="shared" si="80"/>
        <v>0</v>
      </c>
      <c r="R274" s="68">
        <f t="shared" si="81"/>
        <v>6</v>
      </c>
      <c r="S274" s="68">
        <f t="shared" si="82"/>
        <v>30</v>
      </c>
      <c r="T274" s="65"/>
      <c r="U274" s="83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49" t="str">
        <f>IF(AG274="นิติศาสตร์","K5-LAW","K5-POLICY")</f>
        <v>K5-POLICY</v>
      </c>
      <c r="AI274" s="72" t="str">
        <f>_xlfn.IFS(B274="","",AND(AH274="K5-LAW",AG274="นิติศาสตร์",K274="S2",T274="",Z274=""),P274,AND(AH274="K5-LAW",AG274="นิติศาสตร์",K274="S1",T274="",Z274=""),EDATE(P274,12),AND(AH274="K5-LAW",AG274="นิติศาสตร์",OR(K274="M2",K274="K4"),T274="",Z274=""),EDATE(P274,12*2),AND(AH274="K5-LAW",AG274="นิติศาสตร์",OR(Z274="M2",Z274="K4"),AC274&gt;=2,OR(AB274&lt;V274,AB274&lt;P274)),EDATE(AB274,12*2),AND(AH274="K5-LAW",AG274="นิติศาสตร์",Z274="S1",AC274&gt;=1,OR(AB274&lt;V274,AB274&lt;P274)),EDATE(AB274,12),AND(AH274="K5-LAW",AG274="นิติศาสตร์",OR(T274="M2",T274="K4"),W274&gt;=2,V274&lt;P274),EDATE(V274,12*2),AND(AH274="K5-LAW",AG274="นิติศาสตร์",T274="S1",W274&gt;=1,V274&lt;P274),EDATE(V274,12),AND(AH274="K5-LAW",AG274="นิติศาสตร์",OR(T274="S2",T274="K5")),V274,AND(AH274="K5-LAW",AG274="นิติศาสตร์",OR(K274="M2",K274="K4"),Q274&gt;=2),EDATE(P274,12*2),AND(AH274="K5-LAW",AG274="นิติศาสตร์",K274="S1",Q274&gt;=1),EDATE(P274,12),AND(AH274="K5-LAW",AG274="นิติศาสตร์",OR(K274="S2",K274="K5")),P274,AND(AH274="K5-POLICY",AG274&lt;&gt;"นิติศาสตร์",K274="S2",T274="",Z274=""),P274,AND(AH274="K5-POLICY",AG274&lt;&gt;"นิติศาสตร์",K274="S1",T274="",Z274=""),EDATE(P274,12),AND(AH274="K5-POLICY",AG274&lt;&gt;"นิติศาสตร์",OR(K274="M2",K274="K4"),T274="",Z274=""),EDATE(P274,12*2),AND(AH274="K5-POLICY",AG274&lt;&gt;"นิติศาสตร์",OR(Z274="M2",Z274="K4"),AC274&gt;=2,OR(AB274&lt;V274,AB274&lt;P274)),EDATE(AB274,12*2),AND(AH274="K5-POLICY",AG274&lt;&gt;"นิติศาสตร์",Z274="S1",AC274&gt;=1,OR(AB274&lt;V274,AB274&lt;P274)),EDATE(AB274,12),AND(AH274="K5-POLICY",AG274&lt;&gt;"นิติศาสตร์",OR(T274="M2",T274="K4"),W274&gt;=2,V274&lt;P274),EDATE(V274,12*2),AND(AH274="K5-POLICY",AG274&lt;&gt;"นิติศาสตร์",T274="S1",W274&gt;=1,V274&lt;P274),EDATE(V274,12),AND(AH274="K5-POLICY",AG274&lt;&gt;"นิติศาสตร์",OR(T274="S2",T274="K5")),V274,AND(AH274="K5-POLICY",AG274&lt;&gt;"นิติศาสตร์",OR(K274="M2",K274="K4"),Q274&gt;=2),EDATE(P274,12*2),AND(AH274="K5-POLICY",AG274&lt;&gt;"นิติศาสตร์",K274="S1",Q274&gt;=1),EDATE(P274,12),AND(AH274="K5-POLICY",AG274&lt;&gt;"นิติศาสตร์",OR(K274="S2",K274="K5")),P274,TRUE,"Check Data")</f>
        <v/>
      </c>
      <c r="AJ274" s="75" t="str">
        <f t="shared" si="83"/>
        <v>Check Data</v>
      </c>
      <c r="AK274" s="76" t="str">
        <f t="shared" si="84"/>
        <v>Check Data</v>
      </c>
      <c r="AL274" s="50" t="str">
        <f t="shared" si="85"/>
        <v>Check Data</v>
      </c>
      <c r="AM274" s="49" t="str">
        <f>IF(B274="","",IF(K274="S1","S1",INDEX(#REF!,#REF!)))</f>
        <v/>
      </c>
      <c r="AN274" s="49" t="str">
        <f>K274</f>
        <v>M2</v>
      </c>
      <c r="AO274" s="50" t="b">
        <f>K274=AM274</f>
        <v>0</v>
      </c>
      <c r="AP274" s="50"/>
    </row>
    <row r="275" spans="1:42" ht="21.75">
      <c r="A275" s="49">
        <v>273</v>
      </c>
      <c r="B275" s="50"/>
      <c r="C275" s="52"/>
      <c r="D275" s="79"/>
      <c r="E275" s="79"/>
      <c r="F275" s="79"/>
      <c r="G275" s="50">
        <f t="shared" si="76"/>
        <v>0</v>
      </c>
      <c r="H275" s="50">
        <f t="shared" si="77"/>
        <v>0</v>
      </c>
      <c r="I275" s="50">
        <f t="shared" si="78"/>
        <v>0</v>
      </c>
      <c r="J275" s="79"/>
      <c r="K275" s="49" t="s">
        <v>136</v>
      </c>
      <c r="L275" s="79"/>
      <c r="M275" s="79"/>
      <c r="N275" s="79"/>
      <c r="O275" s="65" t="s">
        <v>464</v>
      </c>
      <c r="P275" s="49" t="str">
        <f t="shared" si="79"/>
        <v>21/11/2024</v>
      </c>
      <c r="Q275" s="68">
        <f t="shared" si="80"/>
        <v>0</v>
      </c>
      <c r="R275" s="68">
        <f t="shared" si="81"/>
        <v>6</v>
      </c>
      <c r="S275" s="68">
        <f t="shared" si="82"/>
        <v>30</v>
      </c>
      <c r="T275" s="65"/>
      <c r="U275" s="83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49" t="str">
        <f>IF(AG275="นิติศาสตร์","K5-LAW","K5-POLICY")</f>
        <v>K5-POLICY</v>
      </c>
      <c r="AI275" s="72" t="str">
        <f>_xlfn.IFS(B275="","",AND(AH275="K5-LAW",AG275="นิติศาสตร์",K275="S2",T275="",Z275=""),P275,AND(AH275="K5-LAW",AG275="นิติศาสตร์",K275="S1",T275="",Z275=""),EDATE(P275,12),AND(AH275="K5-LAW",AG275="นิติศาสตร์",OR(K275="M2",K275="K4"),T275="",Z275=""),EDATE(P275,12*2),AND(AH275="K5-LAW",AG275="นิติศาสตร์",OR(Z275="M2",Z275="K4"),AC275&gt;=2,OR(AB275&lt;V275,AB275&lt;P275)),EDATE(AB275,12*2),AND(AH275="K5-LAW",AG275="นิติศาสตร์",Z275="S1",AC275&gt;=1,OR(AB275&lt;V275,AB275&lt;P275)),EDATE(AB275,12),AND(AH275="K5-LAW",AG275="นิติศาสตร์",OR(T275="M2",T275="K4"),W275&gt;=2,V275&lt;P275),EDATE(V275,12*2),AND(AH275="K5-LAW",AG275="นิติศาสตร์",T275="S1",W275&gt;=1,V275&lt;P275),EDATE(V275,12),AND(AH275="K5-LAW",AG275="นิติศาสตร์",OR(T275="S2",T275="K5")),V275,AND(AH275="K5-LAW",AG275="นิติศาสตร์",OR(K275="M2",K275="K4"),Q275&gt;=2),EDATE(P275,12*2),AND(AH275="K5-LAW",AG275="นิติศาสตร์",K275="S1",Q275&gt;=1),EDATE(P275,12),AND(AH275="K5-LAW",AG275="นิติศาสตร์",OR(K275="S2",K275="K5")),P275,AND(AH275="K5-POLICY",AG275&lt;&gt;"นิติศาสตร์",K275="S2",T275="",Z275=""),P275,AND(AH275="K5-POLICY",AG275&lt;&gt;"นิติศาสตร์",K275="S1",T275="",Z275=""),EDATE(P275,12),AND(AH275="K5-POLICY",AG275&lt;&gt;"นิติศาสตร์",OR(K275="M2",K275="K4"),T275="",Z275=""),EDATE(P275,12*2),AND(AH275="K5-POLICY",AG275&lt;&gt;"นิติศาสตร์",OR(Z275="M2",Z275="K4"),AC275&gt;=2,OR(AB275&lt;V275,AB275&lt;P275)),EDATE(AB275,12*2),AND(AH275="K5-POLICY",AG275&lt;&gt;"นิติศาสตร์",Z275="S1",AC275&gt;=1,OR(AB275&lt;V275,AB275&lt;P275)),EDATE(AB275,12),AND(AH275="K5-POLICY",AG275&lt;&gt;"นิติศาสตร์",OR(T275="M2",T275="K4"),W275&gt;=2,V275&lt;P275),EDATE(V275,12*2),AND(AH275="K5-POLICY",AG275&lt;&gt;"นิติศาสตร์",T275="S1",W275&gt;=1,V275&lt;P275),EDATE(V275,12),AND(AH275="K5-POLICY",AG275&lt;&gt;"นิติศาสตร์",OR(T275="S2",T275="K5")),V275,AND(AH275="K5-POLICY",AG275&lt;&gt;"นิติศาสตร์",OR(K275="M2",K275="K4"),Q275&gt;=2),EDATE(P275,12*2),AND(AH275="K5-POLICY",AG275&lt;&gt;"นิติศาสตร์",K275="S1",Q275&gt;=1),EDATE(P275,12),AND(AH275="K5-POLICY",AG275&lt;&gt;"นิติศาสตร์",OR(K275="S2",K275="K5")),P275,TRUE,"Check Data")</f>
        <v/>
      </c>
      <c r="AJ275" s="75" t="str">
        <f t="shared" si="83"/>
        <v>Check Data</v>
      </c>
      <c r="AK275" s="76" t="str">
        <f t="shared" si="84"/>
        <v>Check Data</v>
      </c>
      <c r="AL275" s="50" t="str">
        <f t="shared" si="85"/>
        <v>Check Data</v>
      </c>
      <c r="AM275" s="49" t="str">
        <f>IF(B275="","",IF(K275="S1","S1",INDEX(#REF!,#REF!)))</f>
        <v/>
      </c>
      <c r="AN275" s="49" t="str">
        <f>K275</f>
        <v>M2</v>
      </c>
      <c r="AO275" s="50" t="b">
        <f>K275=AM275</f>
        <v>0</v>
      </c>
      <c r="AP275" s="50"/>
    </row>
    <row r="276" spans="1:42" ht="21.75">
      <c r="A276" s="49">
        <v>274</v>
      </c>
      <c r="B276" s="50"/>
      <c r="C276" s="52"/>
      <c r="D276" s="79"/>
      <c r="E276" s="79"/>
      <c r="F276" s="79"/>
      <c r="G276" s="50">
        <f t="shared" si="76"/>
        <v>0</v>
      </c>
      <c r="H276" s="50">
        <f t="shared" si="77"/>
        <v>0</v>
      </c>
      <c r="I276" s="50">
        <f t="shared" si="78"/>
        <v>0</v>
      </c>
      <c r="J276" s="79"/>
      <c r="K276" s="49" t="s">
        <v>136</v>
      </c>
      <c r="L276" s="79"/>
      <c r="M276" s="79"/>
      <c r="N276" s="79"/>
      <c r="O276" s="65" t="s">
        <v>464</v>
      </c>
      <c r="P276" s="49" t="str">
        <f t="shared" si="79"/>
        <v>21/11/2024</v>
      </c>
      <c r="Q276" s="68">
        <f t="shared" si="80"/>
        <v>0</v>
      </c>
      <c r="R276" s="68">
        <f t="shared" si="81"/>
        <v>6</v>
      </c>
      <c r="S276" s="68">
        <f t="shared" si="82"/>
        <v>30</v>
      </c>
      <c r="T276" s="65"/>
      <c r="U276" s="83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49" t="str">
        <f>IF(AG276="นิติศาสตร์","K5-LAW","K5-POLICY")</f>
        <v>K5-POLICY</v>
      </c>
      <c r="AI276" s="72" t="str">
        <f>_xlfn.IFS(B276="","",AND(AH276="K5-LAW",AG276="นิติศาสตร์",K276="S2",T276="",Z276=""),P276,AND(AH276="K5-LAW",AG276="นิติศาสตร์",K276="S1",T276="",Z276=""),EDATE(P276,12),AND(AH276="K5-LAW",AG276="นิติศาสตร์",OR(K276="M2",K276="K4"),T276="",Z276=""),EDATE(P276,12*2),AND(AH276="K5-LAW",AG276="นิติศาสตร์",OR(Z276="M2",Z276="K4"),AC276&gt;=2,OR(AB276&lt;V276,AB276&lt;P276)),EDATE(AB276,12*2),AND(AH276="K5-LAW",AG276="นิติศาสตร์",Z276="S1",AC276&gt;=1,OR(AB276&lt;V276,AB276&lt;P276)),EDATE(AB276,12),AND(AH276="K5-LAW",AG276="นิติศาสตร์",OR(T276="M2",T276="K4"),W276&gt;=2,V276&lt;P276),EDATE(V276,12*2),AND(AH276="K5-LAW",AG276="นิติศาสตร์",T276="S1",W276&gt;=1,V276&lt;P276),EDATE(V276,12),AND(AH276="K5-LAW",AG276="นิติศาสตร์",OR(T276="S2",T276="K5")),V276,AND(AH276="K5-LAW",AG276="นิติศาสตร์",OR(K276="M2",K276="K4"),Q276&gt;=2),EDATE(P276,12*2),AND(AH276="K5-LAW",AG276="นิติศาสตร์",K276="S1",Q276&gt;=1),EDATE(P276,12),AND(AH276="K5-LAW",AG276="นิติศาสตร์",OR(K276="S2",K276="K5")),P276,AND(AH276="K5-POLICY",AG276&lt;&gt;"นิติศาสตร์",K276="S2",T276="",Z276=""),P276,AND(AH276="K5-POLICY",AG276&lt;&gt;"นิติศาสตร์",K276="S1",T276="",Z276=""),EDATE(P276,12),AND(AH276="K5-POLICY",AG276&lt;&gt;"นิติศาสตร์",OR(K276="M2",K276="K4"),T276="",Z276=""),EDATE(P276,12*2),AND(AH276="K5-POLICY",AG276&lt;&gt;"นิติศาสตร์",OR(Z276="M2",Z276="K4"),AC276&gt;=2,OR(AB276&lt;V276,AB276&lt;P276)),EDATE(AB276,12*2),AND(AH276="K5-POLICY",AG276&lt;&gt;"นิติศาสตร์",Z276="S1",AC276&gt;=1,OR(AB276&lt;V276,AB276&lt;P276)),EDATE(AB276,12),AND(AH276="K5-POLICY",AG276&lt;&gt;"นิติศาสตร์",OR(T276="M2",T276="K4"),W276&gt;=2,V276&lt;P276),EDATE(V276,12*2),AND(AH276="K5-POLICY",AG276&lt;&gt;"นิติศาสตร์",T276="S1",W276&gt;=1,V276&lt;P276),EDATE(V276,12),AND(AH276="K5-POLICY",AG276&lt;&gt;"นิติศาสตร์",OR(T276="S2",T276="K5")),V276,AND(AH276="K5-POLICY",AG276&lt;&gt;"นิติศาสตร์",OR(K276="M2",K276="K4"),Q276&gt;=2),EDATE(P276,12*2),AND(AH276="K5-POLICY",AG276&lt;&gt;"นิติศาสตร์",K276="S1",Q276&gt;=1),EDATE(P276,12),AND(AH276="K5-POLICY",AG276&lt;&gt;"นิติศาสตร์",OR(K276="S2",K276="K5")),P276,TRUE,"Check Data")</f>
        <v/>
      </c>
      <c r="AJ276" s="75" t="str">
        <f t="shared" si="83"/>
        <v>Check Data</v>
      </c>
      <c r="AK276" s="76" t="str">
        <f t="shared" si="84"/>
        <v>Check Data</v>
      </c>
      <c r="AL276" s="50" t="str">
        <f t="shared" si="85"/>
        <v>Check Data</v>
      </c>
      <c r="AM276" s="49" t="str">
        <f>IF(B276="","",IF(K276="S1","S1",INDEX(#REF!,#REF!)))</f>
        <v/>
      </c>
      <c r="AN276" s="49" t="str">
        <f>K276</f>
        <v>M2</v>
      </c>
      <c r="AO276" s="50" t="b">
        <f>K276=AM276</f>
        <v>0</v>
      </c>
      <c r="AP276" s="50"/>
    </row>
    <row r="277" spans="1:42" ht="21.75">
      <c r="A277" s="49">
        <v>275</v>
      </c>
      <c r="B277" s="50"/>
      <c r="C277" s="52"/>
      <c r="D277" s="79"/>
      <c r="E277" s="79"/>
      <c r="F277" s="79"/>
      <c r="G277" s="50">
        <f t="shared" si="76"/>
        <v>0</v>
      </c>
      <c r="H277" s="50">
        <f t="shared" si="77"/>
        <v>0</v>
      </c>
      <c r="I277" s="50">
        <f t="shared" si="78"/>
        <v>0</v>
      </c>
      <c r="J277" s="79"/>
      <c r="K277" s="49" t="s">
        <v>136</v>
      </c>
      <c r="L277" s="79"/>
      <c r="M277" s="79"/>
      <c r="N277" s="79"/>
      <c r="O277" s="65" t="s">
        <v>464</v>
      </c>
      <c r="P277" s="49" t="str">
        <f t="shared" si="79"/>
        <v>21/11/2024</v>
      </c>
      <c r="Q277" s="68">
        <f t="shared" si="80"/>
        <v>0</v>
      </c>
      <c r="R277" s="68">
        <f t="shared" si="81"/>
        <v>6</v>
      </c>
      <c r="S277" s="68">
        <f t="shared" si="82"/>
        <v>30</v>
      </c>
      <c r="T277" s="65"/>
      <c r="U277" s="83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49" t="str">
        <f>IF(AG277="นิติศาสตร์","K5-LAW","K5-POLICY")</f>
        <v>K5-POLICY</v>
      </c>
      <c r="AI277" s="72" t="str">
        <f>_xlfn.IFS(B277="","",AND(AH277="K5-LAW",AG277="นิติศาสตร์",K277="S2",T277="",Z277=""),P277,AND(AH277="K5-LAW",AG277="นิติศาสตร์",K277="S1",T277="",Z277=""),EDATE(P277,12),AND(AH277="K5-LAW",AG277="นิติศาสตร์",OR(K277="M2",K277="K4"),T277="",Z277=""),EDATE(P277,12*2),AND(AH277="K5-LAW",AG277="นิติศาสตร์",OR(Z277="M2",Z277="K4"),AC277&gt;=2,OR(AB277&lt;V277,AB277&lt;P277)),EDATE(AB277,12*2),AND(AH277="K5-LAW",AG277="นิติศาสตร์",Z277="S1",AC277&gt;=1,OR(AB277&lt;V277,AB277&lt;P277)),EDATE(AB277,12),AND(AH277="K5-LAW",AG277="นิติศาสตร์",OR(T277="M2",T277="K4"),W277&gt;=2,V277&lt;P277),EDATE(V277,12*2),AND(AH277="K5-LAW",AG277="นิติศาสตร์",T277="S1",W277&gt;=1,V277&lt;P277),EDATE(V277,12),AND(AH277="K5-LAW",AG277="นิติศาสตร์",OR(T277="S2",T277="K5")),V277,AND(AH277="K5-LAW",AG277="นิติศาสตร์",OR(K277="M2",K277="K4"),Q277&gt;=2),EDATE(P277,12*2),AND(AH277="K5-LAW",AG277="นิติศาสตร์",K277="S1",Q277&gt;=1),EDATE(P277,12),AND(AH277="K5-LAW",AG277="นิติศาสตร์",OR(K277="S2",K277="K5")),P277,AND(AH277="K5-POLICY",AG277&lt;&gt;"นิติศาสตร์",K277="S2",T277="",Z277=""),P277,AND(AH277="K5-POLICY",AG277&lt;&gt;"นิติศาสตร์",K277="S1",T277="",Z277=""),EDATE(P277,12),AND(AH277="K5-POLICY",AG277&lt;&gt;"นิติศาสตร์",OR(K277="M2",K277="K4"),T277="",Z277=""),EDATE(P277,12*2),AND(AH277="K5-POLICY",AG277&lt;&gt;"นิติศาสตร์",OR(Z277="M2",Z277="K4"),AC277&gt;=2,OR(AB277&lt;V277,AB277&lt;P277)),EDATE(AB277,12*2),AND(AH277="K5-POLICY",AG277&lt;&gt;"นิติศาสตร์",Z277="S1",AC277&gt;=1,OR(AB277&lt;V277,AB277&lt;P277)),EDATE(AB277,12),AND(AH277="K5-POLICY",AG277&lt;&gt;"นิติศาสตร์",OR(T277="M2",T277="K4"),W277&gt;=2,V277&lt;P277),EDATE(V277,12*2),AND(AH277="K5-POLICY",AG277&lt;&gt;"นิติศาสตร์",T277="S1",W277&gt;=1,V277&lt;P277),EDATE(V277,12),AND(AH277="K5-POLICY",AG277&lt;&gt;"นิติศาสตร์",OR(T277="S2",T277="K5")),V277,AND(AH277="K5-POLICY",AG277&lt;&gt;"นิติศาสตร์",OR(K277="M2",K277="K4"),Q277&gt;=2),EDATE(P277,12*2),AND(AH277="K5-POLICY",AG277&lt;&gt;"นิติศาสตร์",K277="S1",Q277&gt;=1),EDATE(P277,12),AND(AH277="K5-POLICY",AG277&lt;&gt;"นิติศาสตร์",OR(K277="S2",K277="K5")),P277,TRUE,"Check Data")</f>
        <v/>
      </c>
      <c r="AJ277" s="75" t="str">
        <f t="shared" si="83"/>
        <v>Check Data</v>
      </c>
      <c r="AK277" s="76" t="str">
        <f t="shared" si="84"/>
        <v>Check Data</v>
      </c>
      <c r="AL277" s="50" t="str">
        <f t="shared" si="85"/>
        <v>Check Data</v>
      </c>
      <c r="AM277" s="49" t="str">
        <f>IF(B277="","",IF(K277="S1","S1",INDEX(#REF!,#REF!)))</f>
        <v/>
      </c>
      <c r="AN277" s="49" t="str">
        <f>K277</f>
        <v>M2</v>
      </c>
      <c r="AO277" s="50" t="b">
        <f>K277=AM277</f>
        <v>0</v>
      </c>
      <c r="AP277" s="50"/>
    </row>
    <row r="278" spans="1:42" ht="21.75">
      <c r="A278" s="49">
        <v>276</v>
      </c>
      <c r="B278" s="50"/>
      <c r="C278" s="52"/>
      <c r="D278" s="79"/>
      <c r="E278" s="79"/>
      <c r="F278" s="79"/>
      <c r="G278" s="50">
        <f t="shared" si="76"/>
        <v>0</v>
      </c>
      <c r="H278" s="50">
        <f t="shared" si="77"/>
        <v>0</v>
      </c>
      <c r="I278" s="50">
        <f t="shared" si="78"/>
        <v>0</v>
      </c>
      <c r="J278" s="79"/>
      <c r="K278" s="49" t="s">
        <v>136</v>
      </c>
      <c r="L278" s="79"/>
      <c r="M278" s="79"/>
      <c r="N278" s="79"/>
      <c r="O278" s="65" t="s">
        <v>464</v>
      </c>
      <c r="P278" s="49" t="str">
        <f t="shared" si="79"/>
        <v>21/11/2024</v>
      </c>
      <c r="Q278" s="68">
        <f t="shared" si="80"/>
        <v>0</v>
      </c>
      <c r="R278" s="68">
        <f t="shared" si="81"/>
        <v>6</v>
      </c>
      <c r="S278" s="68">
        <f t="shared" si="82"/>
        <v>30</v>
      </c>
      <c r="T278" s="65"/>
      <c r="U278" s="83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49" t="str">
        <f>IF(AG278="นิติศาสตร์","K5-LAW","K5-POLICY")</f>
        <v>K5-POLICY</v>
      </c>
      <c r="AI278" s="72" t="str">
        <f>_xlfn.IFS(B278="","",AND(AH278="K5-LAW",AG278="นิติศาสตร์",K278="S2",T278="",Z278=""),P278,AND(AH278="K5-LAW",AG278="นิติศาสตร์",K278="S1",T278="",Z278=""),EDATE(P278,12),AND(AH278="K5-LAW",AG278="นิติศาสตร์",OR(K278="M2",K278="K4"),T278="",Z278=""),EDATE(P278,12*2),AND(AH278="K5-LAW",AG278="นิติศาสตร์",OR(Z278="M2",Z278="K4"),AC278&gt;=2,OR(AB278&lt;V278,AB278&lt;P278)),EDATE(AB278,12*2),AND(AH278="K5-LAW",AG278="นิติศาสตร์",Z278="S1",AC278&gt;=1,OR(AB278&lt;V278,AB278&lt;P278)),EDATE(AB278,12),AND(AH278="K5-LAW",AG278="นิติศาสตร์",OR(T278="M2",T278="K4"),W278&gt;=2,V278&lt;P278),EDATE(V278,12*2),AND(AH278="K5-LAW",AG278="นิติศาสตร์",T278="S1",W278&gt;=1,V278&lt;P278),EDATE(V278,12),AND(AH278="K5-LAW",AG278="นิติศาสตร์",OR(T278="S2",T278="K5")),V278,AND(AH278="K5-LAW",AG278="นิติศาสตร์",OR(K278="M2",K278="K4"),Q278&gt;=2),EDATE(P278,12*2),AND(AH278="K5-LAW",AG278="นิติศาสตร์",K278="S1",Q278&gt;=1),EDATE(P278,12),AND(AH278="K5-LAW",AG278="นิติศาสตร์",OR(K278="S2",K278="K5")),P278,AND(AH278="K5-POLICY",AG278&lt;&gt;"นิติศาสตร์",K278="S2",T278="",Z278=""),P278,AND(AH278="K5-POLICY",AG278&lt;&gt;"นิติศาสตร์",K278="S1",T278="",Z278=""),EDATE(P278,12),AND(AH278="K5-POLICY",AG278&lt;&gt;"นิติศาสตร์",OR(K278="M2",K278="K4"),T278="",Z278=""),EDATE(P278,12*2),AND(AH278="K5-POLICY",AG278&lt;&gt;"นิติศาสตร์",OR(Z278="M2",Z278="K4"),AC278&gt;=2,OR(AB278&lt;V278,AB278&lt;P278)),EDATE(AB278,12*2),AND(AH278="K5-POLICY",AG278&lt;&gt;"นิติศาสตร์",Z278="S1",AC278&gt;=1,OR(AB278&lt;V278,AB278&lt;P278)),EDATE(AB278,12),AND(AH278="K5-POLICY",AG278&lt;&gt;"นิติศาสตร์",OR(T278="M2",T278="K4"),W278&gt;=2,V278&lt;P278),EDATE(V278,12*2),AND(AH278="K5-POLICY",AG278&lt;&gt;"นิติศาสตร์",T278="S1",W278&gt;=1,V278&lt;P278),EDATE(V278,12),AND(AH278="K5-POLICY",AG278&lt;&gt;"นิติศาสตร์",OR(T278="S2",T278="K5")),V278,AND(AH278="K5-POLICY",AG278&lt;&gt;"นิติศาสตร์",OR(K278="M2",K278="K4"),Q278&gt;=2),EDATE(P278,12*2),AND(AH278="K5-POLICY",AG278&lt;&gt;"นิติศาสตร์",K278="S1",Q278&gt;=1),EDATE(P278,12),AND(AH278="K5-POLICY",AG278&lt;&gt;"นิติศาสตร์",OR(K278="S2",K278="K5")),P278,TRUE,"Check Data")</f>
        <v/>
      </c>
      <c r="AJ278" s="75" t="str">
        <f t="shared" si="83"/>
        <v>Check Data</v>
      </c>
      <c r="AK278" s="76" t="str">
        <f t="shared" si="84"/>
        <v>Check Data</v>
      </c>
      <c r="AL278" s="50" t="str">
        <f t="shared" si="85"/>
        <v>Check Data</v>
      </c>
      <c r="AM278" s="49" t="str">
        <f>IF(B278="","",IF(K278="S1","S1",INDEX(#REF!,#REF!)))</f>
        <v/>
      </c>
      <c r="AN278" s="49" t="str">
        <f>K278</f>
        <v>M2</v>
      </c>
      <c r="AO278" s="50" t="b">
        <f>K278=AM278</f>
        <v>0</v>
      </c>
      <c r="AP278" s="50"/>
    </row>
    <row r="279" spans="1:42" ht="21.75">
      <c r="A279" s="49">
        <v>277</v>
      </c>
      <c r="B279" s="50"/>
      <c r="C279" s="52"/>
      <c r="D279" s="50"/>
      <c r="E279" s="49"/>
      <c r="F279" s="49"/>
      <c r="G279" s="50">
        <f t="shared" si="76"/>
        <v>0</v>
      </c>
      <c r="H279" s="50">
        <f t="shared" si="77"/>
        <v>0</v>
      </c>
      <c r="I279" s="50">
        <f t="shared" si="78"/>
        <v>0</v>
      </c>
      <c r="J279" s="50"/>
      <c r="K279" s="49" t="s">
        <v>136</v>
      </c>
      <c r="L279" s="64"/>
      <c r="M279" s="49"/>
      <c r="N279" s="49"/>
      <c r="O279" s="65" t="s">
        <v>442</v>
      </c>
      <c r="P279" s="49" t="str">
        <f t="shared" si="79"/>
        <v>26/11/2024</v>
      </c>
      <c r="Q279" s="68">
        <f t="shared" si="80"/>
        <v>0</v>
      </c>
      <c r="R279" s="68">
        <f t="shared" si="81"/>
        <v>6</v>
      </c>
      <c r="S279" s="68">
        <f t="shared" si="82"/>
        <v>25</v>
      </c>
      <c r="T279" s="65"/>
      <c r="U279" s="65"/>
      <c r="V279" s="49"/>
      <c r="W279" s="68"/>
      <c r="X279" s="68"/>
      <c r="Y279" s="68"/>
      <c r="Z279" s="49"/>
      <c r="AA279" s="65"/>
      <c r="AB279" s="50"/>
      <c r="AC279" s="68"/>
      <c r="AD279" s="68"/>
      <c r="AE279" s="68"/>
      <c r="AF279" s="50"/>
      <c r="AG279" s="50"/>
      <c r="AH279" s="49" t="str">
        <f>IF(AG279="นิติศาสตร์","K5-LAW","K5-POLICY")</f>
        <v>K5-POLICY</v>
      </c>
      <c r="AI279" s="72" t="str">
        <f>_xlfn.IFS(B279="","",AND(AH279="K5-LAW",AG279="นิติศาสตร์",K279="S2",T279="",Z279=""),P279,AND(AH279="K5-LAW",AG279="นิติศาสตร์",K279="S1",T279="",Z279=""),EDATE(P279,12),AND(AH279="K5-LAW",AG279="นิติศาสตร์",OR(K279="M2",K279="K4"),T279="",Z279=""),EDATE(P279,12*2),AND(AH279="K5-LAW",AG279="นิติศาสตร์",OR(Z279="M2",Z279="K4"),AC279&gt;=2,OR(AB279&lt;V279,AB279&lt;P279)),EDATE(AB279,12*2),AND(AH279="K5-LAW",AG279="นิติศาสตร์",Z279="S1",AC279&gt;=1,OR(AB279&lt;V279,AB279&lt;P279)),EDATE(AB279,12),AND(AH279="K5-LAW",AG279="นิติศาสตร์",OR(T279="M2",T279="K4"),W279&gt;=2,V279&lt;P279),EDATE(V279,12*2),AND(AH279="K5-LAW",AG279="นิติศาสตร์",T279="S1",W279&gt;=1,V279&lt;P279),EDATE(V279,12),AND(AH279="K5-LAW",AG279="นิติศาสตร์",OR(T279="S2",T279="K5")),V279,AND(AH279="K5-LAW",AG279="นิติศาสตร์",OR(K279="M2",K279="K4"),Q279&gt;=2),EDATE(P279,12*2),AND(AH279="K5-LAW",AG279="นิติศาสตร์",K279="S1",Q279&gt;=1),EDATE(P279,12),AND(AH279="K5-LAW",AG279="นิติศาสตร์",OR(K279="S2",K279="K5")),P279,AND(AH279="K5-POLICY",AG279&lt;&gt;"นิติศาสตร์",K279="S2",T279="",Z279=""),P279,AND(AH279="K5-POLICY",AG279&lt;&gt;"นิติศาสตร์",K279="S1",T279="",Z279=""),EDATE(P279,12),AND(AH279="K5-POLICY",AG279&lt;&gt;"นิติศาสตร์",OR(K279="M2",K279="K4"),T279="",Z279=""),EDATE(P279,12*2),AND(AH279="K5-POLICY",AG279&lt;&gt;"นิติศาสตร์",OR(Z279="M2",Z279="K4"),AC279&gt;=2,OR(AB279&lt;V279,AB279&lt;P279)),EDATE(AB279,12*2),AND(AH279="K5-POLICY",AG279&lt;&gt;"นิติศาสตร์",Z279="S1",AC279&gt;=1,OR(AB279&lt;V279,AB279&lt;P279)),EDATE(AB279,12),AND(AH279="K5-POLICY",AG279&lt;&gt;"นิติศาสตร์",OR(T279="M2",T279="K4"),W279&gt;=2,V279&lt;P279),EDATE(V279,12*2),AND(AH279="K5-POLICY",AG279&lt;&gt;"นิติศาสตร์",T279="S1",W279&gt;=1,V279&lt;P279),EDATE(V279,12),AND(AH279="K5-POLICY",AG279&lt;&gt;"นิติศาสตร์",OR(T279="S2",T279="K5")),V279,AND(AH279="K5-POLICY",AG279&lt;&gt;"นิติศาสตร์",OR(K279="M2",K279="K4"),Q279&gt;=2),EDATE(P279,12*2),AND(AH279="K5-POLICY",AG279&lt;&gt;"นิติศาสตร์",K279="S1",Q279&gt;=1),EDATE(P279,12),AND(AH279="K5-POLICY",AG279&lt;&gt;"นิติศาสตร์",OR(K279="S2",K279="K5")),P279,TRUE,"Check Data")</f>
        <v/>
      </c>
      <c r="AJ279" s="75" t="str">
        <f t="shared" si="83"/>
        <v>Check Data</v>
      </c>
      <c r="AK279" s="76" t="str">
        <f t="shared" si="84"/>
        <v>Check Data</v>
      </c>
      <c r="AL279" s="50" t="str">
        <f t="shared" si="85"/>
        <v>Check Data</v>
      </c>
      <c r="AM279" s="49" t="str">
        <f>IF(B279="","",IF(K279="S1","S1",INDEX(#REF!,#REF!)))</f>
        <v/>
      </c>
      <c r="AN279" s="49" t="str">
        <f>K279</f>
        <v>M2</v>
      </c>
      <c r="AO279" s="50" t="b">
        <f>K279=AM279</f>
        <v>0</v>
      </c>
      <c r="AP279" s="50"/>
    </row>
    <row r="280" spans="1:42" ht="21.75">
      <c r="A280" s="49">
        <v>278</v>
      </c>
      <c r="B280" s="50"/>
      <c r="C280" s="52"/>
      <c r="D280" s="50"/>
      <c r="E280" s="49"/>
      <c r="F280" s="49"/>
      <c r="G280" s="50">
        <f t="shared" si="76"/>
        <v>0</v>
      </c>
      <c r="H280" s="50">
        <f t="shared" si="77"/>
        <v>0</v>
      </c>
      <c r="I280" s="50">
        <f t="shared" si="78"/>
        <v>0</v>
      </c>
      <c r="J280" s="50"/>
      <c r="K280" s="49" t="s">
        <v>136</v>
      </c>
      <c r="L280" s="64"/>
      <c r="M280" s="49"/>
      <c r="N280" s="49"/>
      <c r="O280" s="65" t="s">
        <v>442</v>
      </c>
      <c r="P280" s="49" t="str">
        <f t="shared" si="79"/>
        <v>26/11/2024</v>
      </c>
      <c r="Q280" s="68">
        <f t="shared" si="80"/>
        <v>0</v>
      </c>
      <c r="R280" s="68">
        <f t="shared" si="81"/>
        <v>6</v>
      </c>
      <c r="S280" s="68">
        <f t="shared" si="82"/>
        <v>25</v>
      </c>
      <c r="T280" s="65"/>
      <c r="U280" s="65"/>
      <c r="V280" s="49"/>
      <c r="W280" s="68"/>
      <c r="X280" s="68"/>
      <c r="Y280" s="68"/>
      <c r="Z280" s="49"/>
      <c r="AA280" s="65"/>
      <c r="AB280" s="50"/>
      <c r="AC280" s="68"/>
      <c r="AD280" s="68"/>
      <c r="AE280" s="68"/>
      <c r="AF280" s="50"/>
      <c r="AG280" s="50"/>
      <c r="AH280" s="49" t="str">
        <f>IF(AG280="นิติศาสตร์","K5-LAW","K5-POLICY")</f>
        <v>K5-POLICY</v>
      </c>
      <c r="AI280" s="72" t="str">
        <f>_xlfn.IFS(B280="","",AND(AH280="K5-LAW",AG280="นิติศาสตร์",K280="S2",T280="",Z280=""),P280,AND(AH280="K5-LAW",AG280="นิติศาสตร์",K280="S1",T280="",Z280=""),EDATE(P280,12),AND(AH280="K5-LAW",AG280="นิติศาสตร์",OR(K280="M2",K280="K4"),T280="",Z280=""),EDATE(P280,12*2),AND(AH280="K5-LAW",AG280="นิติศาสตร์",OR(Z280="M2",Z280="K4"),AC280&gt;=2,OR(AB280&lt;V280,AB280&lt;P280)),EDATE(AB280,12*2),AND(AH280="K5-LAW",AG280="นิติศาสตร์",Z280="S1",AC280&gt;=1,OR(AB280&lt;V280,AB280&lt;P280)),EDATE(AB280,12),AND(AH280="K5-LAW",AG280="นิติศาสตร์",OR(T280="M2",T280="K4"),W280&gt;=2,V280&lt;P280),EDATE(V280,12*2),AND(AH280="K5-LAW",AG280="นิติศาสตร์",T280="S1",W280&gt;=1,V280&lt;P280),EDATE(V280,12),AND(AH280="K5-LAW",AG280="นิติศาสตร์",OR(T280="S2",T280="K5")),V280,AND(AH280="K5-LAW",AG280="นิติศาสตร์",OR(K280="M2",K280="K4"),Q280&gt;=2),EDATE(P280,12*2),AND(AH280="K5-LAW",AG280="นิติศาสตร์",K280="S1",Q280&gt;=1),EDATE(P280,12),AND(AH280="K5-LAW",AG280="นิติศาสตร์",OR(K280="S2",K280="K5")),P280,AND(AH280="K5-POLICY",AG280&lt;&gt;"นิติศาสตร์",K280="S2",T280="",Z280=""),P280,AND(AH280="K5-POLICY",AG280&lt;&gt;"นิติศาสตร์",K280="S1",T280="",Z280=""),EDATE(P280,12),AND(AH280="K5-POLICY",AG280&lt;&gt;"นิติศาสตร์",OR(K280="M2",K280="K4"),T280="",Z280=""),EDATE(P280,12*2),AND(AH280="K5-POLICY",AG280&lt;&gt;"นิติศาสตร์",OR(Z280="M2",Z280="K4"),AC280&gt;=2,OR(AB280&lt;V280,AB280&lt;P280)),EDATE(AB280,12*2),AND(AH280="K5-POLICY",AG280&lt;&gt;"นิติศาสตร์",Z280="S1",AC280&gt;=1,OR(AB280&lt;V280,AB280&lt;P280)),EDATE(AB280,12),AND(AH280="K5-POLICY",AG280&lt;&gt;"นิติศาสตร์",OR(T280="M2",T280="K4"),W280&gt;=2,V280&lt;P280),EDATE(V280,12*2),AND(AH280="K5-POLICY",AG280&lt;&gt;"นิติศาสตร์",T280="S1",W280&gt;=1,V280&lt;P280),EDATE(V280,12),AND(AH280="K5-POLICY",AG280&lt;&gt;"นิติศาสตร์",OR(T280="S2",T280="K5")),V280,AND(AH280="K5-POLICY",AG280&lt;&gt;"นิติศาสตร์",OR(K280="M2",K280="K4"),Q280&gt;=2),EDATE(P280,12*2),AND(AH280="K5-POLICY",AG280&lt;&gt;"นิติศาสตร์",K280="S1",Q280&gt;=1),EDATE(P280,12),AND(AH280="K5-POLICY",AG280&lt;&gt;"นิติศาสตร์",OR(K280="S2",K280="K5")),P280,TRUE,"Check Data")</f>
        <v/>
      </c>
      <c r="AJ280" s="75" t="str">
        <f t="shared" si="83"/>
        <v>Check Data</v>
      </c>
      <c r="AK280" s="76" t="str">
        <f t="shared" si="84"/>
        <v>Check Data</v>
      </c>
      <c r="AL280" s="50" t="str">
        <f t="shared" si="85"/>
        <v>Check Data</v>
      </c>
      <c r="AM280" s="49" t="str">
        <f>IF(B280="","",IF(K280="S1","S1",INDEX(#REF!,#REF!)))</f>
        <v/>
      </c>
      <c r="AN280" s="49" t="str">
        <f>K280</f>
        <v>M2</v>
      </c>
      <c r="AO280" s="50" t="b">
        <f>K280=AM280</f>
        <v>0</v>
      </c>
      <c r="AP280" s="50"/>
    </row>
    <row r="281" spans="1:42" ht="21.75">
      <c r="A281" s="49">
        <v>279</v>
      </c>
      <c r="B281" s="50"/>
      <c r="C281" s="52"/>
      <c r="D281" s="50"/>
      <c r="E281" s="49"/>
      <c r="F281" s="49"/>
      <c r="G281" s="50">
        <f t="shared" si="76"/>
        <v>0</v>
      </c>
      <c r="H281" s="50">
        <f t="shared" si="77"/>
        <v>0</v>
      </c>
      <c r="I281" s="50">
        <f t="shared" si="78"/>
        <v>0</v>
      </c>
      <c r="J281" s="50"/>
      <c r="K281" s="49" t="s">
        <v>136</v>
      </c>
      <c r="L281" s="64"/>
      <c r="M281" s="49"/>
      <c r="N281" s="49"/>
      <c r="O281" s="65" t="s">
        <v>442</v>
      </c>
      <c r="P281" s="49" t="str">
        <f t="shared" si="79"/>
        <v>26/11/2024</v>
      </c>
      <c r="Q281" s="68">
        <f t="shared" si="80"/>
        <v>0</v>
      </c>
      <c r="R281" s="68">
        <f t="shared" si="81"/>
        <v>6</v>
      </c>
      <c r="S281" s="68">
        <f t="shared" si="82"/>
        <v>25</v>
      </c>
      <c r="T281" s="65"/>
      <c r="U281" s="65"/>
      <c r="V281" s="49"/>
      <c r="W281" s="68"/>
      <c r="X281" s="68"/>
      <c r="Y281" s="68"/>
      <c r="Z281" s="49"/>
      <c r="AA281" s="65"/>
      <c r="AB281" s="50"/>
      <c r="AC281" s="68"/>
      <c r="AD281" s="68"/>
      <c r="AE281" s="68"/>
      <c r="AF281" s="50"/>
      <c r="AG281" s="50"/>
      <c r="AH281" s="49" t="str">
        <f>IF(AG281="นิติศาสตร์","K5-LAW","K5-POLICY")</f>
        <v>K5-POLICY</v>
      </c>
      <c r="AI281" s="72" t="str">
        <f>_xlfn.IFS(B281="","",AND(AH281="K5-LAW",AG281="นิติศาสตร์",K281="S2",T281="",Z281=""),P281,AND(AH281="K5-LAW",AG281="นิติศาสตร์",K281="S1",T281="",Z281=""),EDATE(P281,12),AND(AH281="K5-LAW",AG281="นิติศาสตร์",OR(K281="M2",K281="K4"),T281="",Z281=""),EDATE(P281,12*2),AND(AH281="K5-LAW",AG281="นิติศาสตร์",OR(Z281="M2",Z281="K4"),AC281&gt;=2,OR(AB281&lt;V281,AB281&lt;P281)),EDATE(AB281,12*2),AND(AH281="K5-LAW",AG281="นิติศาสตร์",Z281="S1",AC281&gt;=1,OR(AB281&lt;V281,AB281&lt;P281)),EDATE(AB281,12),AND(AH281="K5-LAW",AG281="นิติศาสตร์",OR(T281="M2",T281="K4"),W281&gt;=2,V281&lt;P281),EDATE(V281,12*2),AND(AH281="K5-LAW",AG281="นิติศาสตร์",T281="S1",W281&gt;=1,V281&lt;P281),EDATE(V281,12),AND(AH281="K5-LAW",AG281="นิติศาสตร์",OR(T281="S2",T281="K5")),V281,AND(AH281="K5-LAW",AG281="นิติศาสตร์",OR(K281="M2",K281="K4"),Q281&gt;=2),EDATE(P281,12*2),AND(AH281="K5-LAW",AG281="นิติศาสตร์",K281="S1",Q281&gt;=1),EDATE(P281,12),AND(AH281="K5-LAW",AG281="นิติศาสตร์",OR(K281="S2",K281="K5")),P281,AND(AH281="K5-POLICY",AG281&lt;&gt;"นิติศาสตร์",K281="S2",T281="",Z281=""),P281,AND(AH281="K5-POLICY",AG281&lt;&gt;"นิติศาสตร์",K281="S1",T281="",Z281=""),EDATE(P281,12),AND(AH281="K5-POLICY",AG281&lt;&gt;"นิติศาสตร์",OR(K281="M2",K281="K4"),T281="",Z281=""),EDATE(P281,12*2),AND(AH281="K5-POLICY",AG281&lt;&gt;"นิติศาสตร์",OR(Z281="M2",Z281="K4"),AC281&gt;=2,OR(AB281&lt;V281,AB281&lt;P281)),EDATE(AB281,12*2),AND(AH281="K5-POLICY",AG281&lt;&gt;"นิติศาสตร์",Z281="S1",AC281&gt;=1,OR(AB281&lt;V281,AB281&lt;P281)),EDATE(AB281,12),AND(AH281="K5-POLICY",AG281&lt;&gt;"นิติศาสตร์",OR(T281="M2",T281="K4"),W281&gt;=2,V281&lt;P281),EDATE(V281,12*2),AND(AH281="K5-POLICY",AG281&lt;&gt;"นิติศาสตร์",T281="S1",W281&gt;=1,V281&lt;P281),EDATE(V281,12),AND(AH281="K5-POLICY",AG281&lt;&gt;"นิติศาสตร์",OR(T281="S2",T281="K5")),V281,AND(AH281="K5-POLICY",AG281&lt;&gt;"นิติศาสตร์",OR(K281="M2",K281="K4"),Q281&gt;=2),EDATE(P281,12*2),AND(AH281="K5-POLICY",AG281&lt;&gt;"นิติศาสตร์",K281="S1",Q281&gt;=1),EDATE(P281,12),AND(AH281="K5-POLICY",AG281&lt;&gt;"นิติศาสตร์",OR(K281="S2",K281="K5")),P281,TRUE,"Check Data")</f>
        <v/>
      </c>
      <c r="AJ281" s="75" t="str">
        <f t="shared" si="83"/>
        <v>Check Data</v>
      </c>
      <c r="AK281" s="76" t="str">
        <f t="shared" si="84"/>
        <v>Check Data</v>
      </c>
      <c r="AL281" s="50" t="str">
        <f t="shared" si="85"/>
        <v>Check Data</v>
      </c>
      <c r="AM281" s="49" t="str">
        <f>IF(B281="","",IF(K281="S1","S1",INDEX(#REF!,#REF!)))</f>
        <v/>
      </c>
      <c r="AN281" s="49" t="str">
        <f>K281</f>
        <v>M2</v>
      </c>
      <c r="AO281" s="50" t="b">
        <f>K281=AM281</f>
        <v>0</v>
      </c>
      <c r="AP281" s="50"/>
    </row>
    <row r="282" spans="1:42" ht="21.75">
      <c r="A282" s="49">
        <v>280</v>
      </c>
      <c r="B282" s="50"/>
      <c r="C282" s="52"/>
      <c r="D282" s="50"/>
      <c r="E282" s="49"/>
      <c r="F282" s="49"/>
      <c r="G282" s="50">
        <f t="shared" si="76"/>
        <v>0</v>
      </c>
      <c r="H282" s="50">
        <f t="shared" si="77"/>
        <v>0</v>
      </c>
      <c r="I282" s="50">
        <f t="shared" si="78"/>
        <v>0</v>
      </c>
      <c r="J282" s="50"/>
      <c r="K282" s="49" t="s">
        <v>136</v>
      </c>
      <c r="L282" s="64"/>
      <c r="M282" s="49"/>
      <c r="N282" s="49"/>
      <c r="O282" s="65" t="s">
        <v>442</v>
      </c>
      <c r="P282" s="49" t="str">
        <f t="shared" si="79"/>
        <v>26/11/2024</v>
      </c>
      <c r="Q282" s="68">
        <f t="shared" si="80"/>
        <v>0</v>
      </c>
      <c r="R282" s="68">
        <f t="shared" si="81"/>
        <v>6</v>
      </c>
      <c r="S282" s="68">
        <f t="shared" si="82"/>
        <v>25</v>
      </c>
      <c r="T282" s="65"/>
      <c r="U282" s="65"/>
      <c r="V282" s="49"/>
      <c r="W282" s="68"/>
      <c r="X282" s="68"/>
      <c r="Y282" s="68"/>
      <c r="Z282" s="49"/>
      <c r="AA282" s="65"/>
      <c r="AB282" s="50"/>
      <c r="AC282" s="68"/>
      <c r="AD282" s="68"/>
      <c r="AE282" s="68"/>
      <c r="AF282" s="50"/>
      <c r="AG282" s="50"/>
      <c r="AH282" s="49" t="str">
        <f>IF(AG282="นิติศาสตร์","K5-LAW","K5-POLICY")</f>
        <v>K5-POLICY</v>
      </c>
      <c r="AI282" s="72" t="str">
        <f>_xlfn.IFS(B282="","",AND(AH282="K5-LAW",AG282="นิติศาสตร์",K282="S2",T282="",Z282=""),P282,AND(AH282="K5-LAW",AG282="นิติศาสตร์",K282="S1",T282="",Z282=""),EDATE(P282,12),AND(AH282="K5-LAW",AG282="นิติศาสตร์",OR(K282="M2",K282="K4"),T282="",Z282=""),EDATE(P282,12*2),AND(AH282="K5-LAW",AG282="นิติศาสตร์",OR(Z282="M2",Z282="K4"),AC282&gt;=2,OR(AB282&lt;V282,AB282&lt;P282)),EDATE(AB282,12*2),AND(AH282="K5-LAW",AG282="นิติศาสตร์",Z282="S1",AC282&gt;=1,OR(AB282&lt;V282,AB282&lt;P282)),EDATE(AB282,12),AND(AH282="K5-LAW",AG282="นิติศาสตร์",OR(T282="M2",T282="K4"),W282&gt;=2,V282&lt;P282),EDATE(V282,12*2),AND(AH282="K5-LAW",AG282="นิติศาสตร์",T282="S1",W282&gt;=1,V282&lt;P282),EDATE(V282,12),AND(AH282="K5-LAW",AG282="นิติศาสตร์",OR(T282="S2",T282="K5")),V282,AND(AH282="K5-LAW",AG282="นิติศาสตร์",OR(K282="M2",K282="K4"),Q282&gt;=2),EDATE(P282,12*2),AND(AH282="K5-LAW",AG282="นิติศาสตร์",K282="S1",Q282&gt;=1),EDATE(P282,12),AND(AH282="K5-LAW",AG282="นิติศาสตร์",OR(K282="S2",K282="K5")),P282,AND(AH282="K5-POLICY",AG282&lt;&gt;"นิติศาสตร์",K282="S2",T282="",Z282=""),P282,AND(AH282="K5-POLICY",AG282&lt;&gt;"นิติศาสตร์",K282="S1",T282="",Z282=""),EDATE(P282,12),AND(AH282="K5-POLICY",AG282&lt;&gt;"นิติศาสตร์",OR(K282="M2",K282="K4"),T282="",Z282=""),EDATE(P282,12*2),AND(AH282="K5-POLICY",AG282&lt;&gt;"นิติศาสตร์",OR(Z282="M2",Z282="K4"),AC282&gt;=2,OR(AB282&lt;V282,AB282&lt;P282)),EDATE(AB282,12*2),AND(AH282="K5-POLICY",AG282&lt;&gt;"นิติศาสตร์",Z282="S1",AC282&gt;=1,OR(AB282&lt;V282,AB282&lt;P282)),EDATE(AB282,12),AND(AH282="K5-POLICY",AG282&lt;&gt;"นิติศาสตร์",OR(T282="M2",T282="K4"),W282&gt;=2,V282&lt;P282),EDATE(V282,12*2),AND(AH282="K5-POLICY",AG282&lt;&gt;"นิติศาสตร์",T282="S1",W282&gt;=1,V282&lt;P282),EDATE(V282,12),AND(AH282="K5-POLICY",AG282&lt;&gt;"นิติศาสตร์",OR(T282="S2",T282="K5")),V282,AND(AH282="K5-POLICY",AG282&lt;&gt;"นิติศาสตร์",OR(K282="M2",K282="K4"),Q282&gt;=2),EDATE(P282,12*2),AND(AH282="K5-POLICY",AG282&lt;&gt;"นิติศาสตร์",K282="S1",Q282&gt;=1),EDATE(P282,12),AND(AH282="K5-POLICY",AG282&lt;&gt;"นิติศาสตร์",OR(K282="S2",K282="K5")),P282,TRUE,"Check Data")</f>
        <v/>
      </c>
      <c r="AJ282" s="75" t="str">
        <f t="shared" si="83"/>
        <v>Check Data</v>
      </c>
      <c r="AK282" s="76" t="str">
        <f t="shared" si="84"/>
        <v>Check Data</v>
      </c>
      <c r="AL282" s="50" t="str">
        <f t="shared" si="85"/>
        <v>Check Data</v>
      </c>
      <c r="AM282" s="49" t="str">
        <f>IF(B282="","",IF(K282="S1","S1",INDEX(#REF!,#REF!)))</f>
        <v/>
      </c>
      <c r="AN282" s="49" t="str">
        <f>K282</f>
        <v>M2</v>
      </c>
      <c r="AO282" s="50" t="b">
        <f>K282=AM282</f>
        <v>0</v>
      </c>
      <c r="AP282" s="50"/>
    </row>
    <row r="283" spans="1:42" ht="21.75">
      <c r="A283" s="49">
        <v>281</v>
      </c>
      <c r="B283" s="50"/>
      <c r="C283" s="52"/>
      <c r="D283" s="50"/>
      <c r="E283" s="49"/>
      <c r="F283" s="49"/>
      <c r="G283" s="50">
        <f t="shared" si="76"/>
        <v>0</v>
      </c>
      <c r="H283" s="50">
        <f t="shared" si="77"/>
        <v>0</v>
      </c>
      <c r="I283" s="50">
        <f t="shared" si="78"/>
        <v>0</v>
      </c>
      <c r="J283" s="50"/>
      <c r="K283" s="49" t="s">
        <v>136</v>
      </c>
      <c r="L283" s="64"/>
      <c r="M283" s="49"/>
      <c r="N283" s="49"/>
      <c r="O283" s="65" t="s">
        <v>442</v>
      </c>
      <c r="P283" s="49" t="str">
        <f t="shared" si="79"/>
        <v>26/11/2024</v>
      </c>
      <c r="Q283" s="68">
        <f t="shared" si="80"/>
        <v>0</v>
      </c>
      <c r="R283" s="68">
        <f t="shared" si="81"/>
        <v>6</v>
      </c>
      <c r="S283" s="68">
        <f t="shared" si="82"/>
        <v>25</v>
      </c>
      <c r="T283" s="65"/>
      <c r="U283" s="65"/>
      <c r="V283" s="49"/>
      <c r="W283" s="68"/>
      <c r="X283" s="68"/>
      <c r="Y283" s="68"/>
      <c r="Z283" s="49"/>
      <c r="AA283" s="65"/>
      <c r="AB283" s="50"/>
      <c r="AC283" s="68"/>
      <c r="AD283" s="68"/>
      <c r="AE283" s="68"/>
      <c r="AF283" s="50"/>
      <c r="AG283" s="50"/>
      <c r="AH283" s="49" t="str">
        <f>IF(AG283="นิติศาสตร์","K5-LAW","K5-POLICY")</f>
        <v>K5-POLICY</v>
      </c>
      <c r="AI283" s="72" t="str">
        <f>_xlfn.IFS(B283="","",AND(AH283="K5-LAW",AG283="นิติศาสตร์",K283="S2",T283="",Z283=""),P283,AND(AH283="K5-LAW",AG283="นิติศาสตร์",K283="S1",T283="",Z283=""),EDATE(P283,12),AND(AH283="K5-LAW",AG283="นิติศาสตร์",OR(K283="M2",K283="K4"),T283="",Z283=""),EDATE(P283,12*2),AND(AH283="K5-LAW",AG283="นิติศาสตร์",OR(Z283="M2",Z283="K4"),AC283&gt;=2,OR(AB283&lt;V283,AB283&lt;P283)),EDATE(AB283,12*2),AND(AH283="K5-LAW",AG283="นิติศาสตร์",Z283="S1",AC283&gt;=1,OR(AB283&lt;V283,AB283&lt;P283)),EDATE(AB283,12),AND(AH283="K5-LAW",AG283="นิติศาสตร์",OR(T283="M2",T283="K4"),W283&gt;=2,V283&lt;P283),EDATE(V283,12*2),AND(AH283="K5-LAW",AG283="นิติศาสตร์",T283="S1",W283&gt;=1,V283&lt;P283),EDATE(V283,12),AND(AH283="K5-LAW",AG283="นิติศาสตร์",OR(T283="S2",T283="K5")),V283,AND(AH283="K5-LAW",AG283="นิติศาสตร์",OR(K283="M2",K283="K4"),Q283&gt;=2),EDATE(P283,12*2),AND(AH283="K5-LAW",AG283="นิติศาสตร์",K283="S1",Q283&gt;=1),EDATE(P283,12),AND(AH283="K5-LAW",AG283="นิติศาสตร์",OR(K283="S2",K283="K5")),P283,AND(AH283="K5-POLICY",AG283&lt;&gt;"นิติศาสตร์",K283="S2",T283="",Z283=""),P283,AND(AH283="K5-POLICY",AG283&lt;&gt;"นิติศาสตร์",K283="S1",T283="",Z283=""),EDATE(P283,12),AND(AH283="K5-POLICY",AG283&lt;&gt;"นิติศาสตร์",OR(K283="M2",K283="K4"),T283="",Z283=""),EDATE(P283,12*2),AND(AH283="K5-POLICY",AG283&lt;&gt;"นิติศาสตร์",OR(Z283="M2",Z283="K4"),AC283&gt;=2,OR(AB283&lt;V283,AB283&lt;P283)),EDATE(AB283,12*2),AND(AH283="K5-POLICY",AG283&lt;&gt;"นิติศาสตร์",Z283="S1",AC283&gt;=1,OR(AB283&lt;V283,AB283&lt;P283)),EDATE(AB283,12),AND(AH283="K5-POLICY",AG283&lt;&gt;"นิติศาสตร์",OR(T283="M2",T283="K4"),W283&gt;=2,V283&lt;P283),EDATE(V283,12*2),AND(AH283="K5-POLICY",AG283&lt;&gt;"นิติศาสตร์",T283="S1",W283&gt;=1,V283&lt;P283),EDATE(V283,12),AND(AH283="K5-POLICY",AG283&lt;&gt;"นิติศาสตร์",OR(T283="S2",T283="K5")),V283,AND(AH283="K5-POLICY",AG283&lt;&gt;"นิติศาสตร์",OR(K283="M2",K283="K4"),Q283&gt;=2),EDATE(P283,12*2),AND(AH283="K5-POLICY",AG283&lt;&gt;"นิติศาสตร์",K283="S1",Q283&gt;=1),EDATE(P283,12),AND(AH283="K5-POLICY",AG283&lt;&gt;"นิติศาสตร์",OR(K283="S2",K283="K5")),P283,TRUE,"Check Data")</f>
        <v/>
      </c>
      <c r="AJ283" s="75" t="str">
        <f t="shared" si="83"/>
        <v>Check Data</v>
      </c>
      <c r="AK283" s="76" t="str">
        <f t="shared" si="84"/>
        <v>Check Data</v>
      </c>
      <c r="AL283" s="50" t="str">
        <f t="shared" si="85"/>
        <v>Check Data</v>
      </c>
      <c r="AM283" s="49" t="str">
        <f>IF(B283="","",IF(K283="S1","S1",INDEX(#REF!,#REF!)))</f>
        <v/>
      </c>
      <c r="AN283" s="49" t="str">
        <f>K283</f>
        <v>M2</v>
      </c>
      <c r="AO283" s="50" t="b">
        <f>K283=AM283</f>
        <v>0</v>
      </c>
      <c r="AP283" s="50"/>
    </row>
    <row r="284" spans="1:42" ht="21.75">
      <c r="A284" s="49">
        <v>282</v>
      </c>
      <c r="B284" s="50"/>
      <c r="C284" s="52"/>
      <c r="D284" s="50"/>
      <c r="E284" s="49"/>
      <c r="F284" s="49"/>
      <c r="G284" s="50">
        <f t="shared" si="76"/>
        <v>0</v>
      </c>
      <c r="H284" s="50">
        <f t="shared" si="77"/>
        <v>0</v>
      </c>
      <c r="I284" s="50">
        <f t="shared" si="78"/>
        <v>0</v>
      </c>
      <c r="J284" s="50"/>
      <c r="K284" s="49" t="s">
        <v>136</v>
      </c>
      <c r="L284" s="64"/>
      <c r="M284" s="49"/>
      <c r="N284" s="49"/>
      <c r="O284" s="65" t="s">
        <v>442</v>
      </c>
      <c r="P284" s="49" t="str">
        <f t="shared" si="79"/>
        <v>26/11/2024</v>
      </c>
      <c r="Q284" s="68">
        <f t="shared" si="80"/>
        <v>0</v>
      </c>
      <c r="R284" s="68">
        <f t="shared" si="81"/>
        <v>6</v>
      </c>
      <c r="S284" s="68">
        <f t="shared" si="82"/>
        <v>25</v>
      </c>
      <c r="T284" s="65"/>
      <c r="U284" s="65"/>
      <c r="V284" s="49"/>
      <c r="W284" s="68"/>
      <c r="X284" s="68"/>
      <c r="Y284" s="68"/>
      <c r="Z284" s="49"/>
      <c r="AA284" s="65"/>
      <c r="AB284" s="50"/>
      <c r="AC284" s="68"/>
      <c r="AD284" s="68"/>
      <c r="AE284" s="68"/>
      <c r="AF284" s="50"/>
      <c r="AG284" s="50"/>
      <c r="AH284" s="49" t="str">
        <f>IF(AG284="นิติศาสตร์","K5-LAW","K5-POLICY")</f>
        <v>K5-POLICY</v>
      </c>
      <c r="AI284" s="72" t="str">
        <f>_xlfn.IFS(B284="","",AND(AH284="K5-LAW",AG284="นิติศาสตร์",K284="S2",T284="",Z284=""),P284,AND(AH284="K5-LAW",AG284="นิติศาสตร์",K284="S1",T284="",Z284=""),EDATE(P284,12),AND(AH284="K5-LAW",AG284="นิติศาสตร์",OR(K284="M2",K284="K4"),T284="",Z284=""),EDATE(P284,12*2),AND(AH284="K5-LAW",AG284="นิติศาสตร์",OR(Z284="M2",Z284="K4"),AC284&gt;=2,OR(AB284&lt;V284,AB284&lt;P284)),EDATE(AB284,12*2),AND(AH284="K5-LAW",AG284="นิติศาสตร์",Z284="S1",AC284&gt;=1,OR(AB284&lt;V284,AB284&lt;P284)),EDATE(AB284,12),AND(AH284="K5-LAW",AG284="นิติศาสตร์",OR(T284="M2",T284="K4"),W284&gt;=2,V284&lt;P284),EDATE(V284,12*2),AND(AH284="K5-LAW",AG284="นิติศาสตร์",T284="S1",W284&gt;=1,V284&lt;P284),EDATE(V284,12),AND(AH284="K5-LAW",AG284="นิติศาสตร์",OR(T284="S2",T284="K5")),V284,AND(AH284="K5-LAW",AG284="นิติศาสตร์",OR(K284="M2",K284="K4"),Q284&gt;=2),EDATE(P284,12*2),AND(AH284="K5-LAW",AG284="นิติศาสตร์",K284="S1",Q284&gt;=1),EDATE(P284,12),AND(AH284="K5-LAW",AG284="นิติศาสตร์",OR(K284="S2",K284="K5")),P284,AND(AH284="K5-POLICY",AG284&lt;&gt;"นิติศาสตร์",K284="S2",T284="",Z284=""),P284,AND(AH284="K5-POLICY",AG284&lt;&gt;"นิติศาสตร์",K284="S1",T284="",Z284=""),EDATE(P284,12),AND(AH284="K5-POLICY",AG284&lt;&gt;"นิติศาสตร์",OR(K284="M2",K284="K4"),T284="",Z284=""),EDATE(P284,12*2),AND(AH284="K5-POLICY",AG284&lt;&gt;"นิติศาสตร์",OR(Z284="M2",Z284="K4"),AC284&gt;=2,OR(AB284&lt;V284,AB284&lt;P284)),EDATE(AB284,12*2),AND(AH284="K5-POLICY",AG284&lt;&gt;"นิติศาสตร์",Z284="S1",AC284&gt;=1,OR(AB284&lt;V284,AB284&lt;P284)),EDATE(AB284,12),AND(AH284="K5-POLICY",AG284&lt;&gt;"นิติศาสตร์",OR(T284="M2",T284="K4"),W284&gt;=2,V284&lt;P284),EDATE(V284,12*2),AND(AH284="K5-POLICY",AG284&lt;&gt;"นิติศาสตร์",T284="S1",W284&gt;=1,V284&lt;P284),EDATE(V284,12),AND(AH284="K5-POLICY",AG284&lt;&gt;"นิติศาสตร์",OR(T284="S2",T284="K5")),V284,AND(AH284="K5-POLICY",AG284&lt;&gt;"นิติศาสตร์",OR(K284="M2",K284="K4"),Q284&gt;=2),EDATE(P284,12*2),AND(AH284="K5-POLICY",AG284&lt;&gt;"นิติศาสตร์",K284="S1",Q284&gt;=1),EDATE(P284,12),AND(AH284="K5-POLICY",AG284&lt;&gt;"นิติศาสตร์",OR(K284="S2",K284="K5")),P284,TRUE,"Check Data")</f>
        <v/>
      </c>
      <c r="AJ284" s="75" t="str">
        <f t="shared" si="83"/>
        <v>Check Data</v>
      </c>
      <c r="AK284" s="76" t="str">
        <f t="shared" si="84"/>
        <v>Check Data</v>
      </c>
      <c r="AL284" s="50" t="str">
        <f t="shared" si="85"/>
        <v>Check Data</v>
      </c>
      <c r="AM284" s="49" t="str">
        <f>IF(B284="","",IF(K284="S1","S1",INDEX(#REF!,#REF!)))</f>
        <v/>
      </c>
      <c r="AN284" s="49" t="str">
        <f>K284</f>
        <v>M2</v>
      </c>
      <c r="AO284" s="50" t="b">
        <f>K284=AM284</f>
        <v>0</v>
      </c>
      <c r="AP284" s="50"/>
    </row>
    <row r="285" spans="1:42" ht="21.75">
      <c r="A285" s="49">
        <v>283</v>
      </c>
      <c r="B285" s="50"/>
      <c r="C285" s="52"/>
      <c r="D285" s="50"/>
      <c r="E285" s="49"/>
      <c r="F285" s="49"/>
      <c r="G285" s="50">
        <f t="shared" si="76"/>
        <v>0</v>
      </c>
      <c r="H285" s="50">
        <f t="shared" si="77"/>
        <v>0</v>
      </c>
      <c r="I285" s="50">
        <f t="shared" si="78"/>
        <v>0</v>
      </c>
      <c r="J285" s="50"/>
      <c r="K285" s="49" t="s">
        <v>136</v>
      </c>
      <c r="L285" s="64"/>
      <c r="M285" s="49"/>
      <c r="N285" s="49"/>
      <c r="O285" s="65" t="s">
        <v>442</v>
      </c>
      <c r="P285" s="49" t="str">
        <f t="shared" si="79"/>
        <v>26/11/2024</v>
      </c>
      <c r="Q285" s="68">
        <f t="shared" si="80"/>
        <v>0</v>
      </c>
      <c r="R285" s="68">
        <f t="shared" si="81"/>
        <v>6</v>
      </c>
      <c r="S285" s="68">
        <f t="shared" si="82"/>
        <v>25</v>
      </c>
      <c r="T285" s="65"/>
      <c r="U285" s="65"/>
      <c r="V285" s="49"/>
      <c r="W285" s="68"/>
      <c r="X285" s="68"/>
      <c r="Y285" s="68"/>
      <c r="Z285" s="49"/>
      <c r="AA285" s="65"/>
      <c r="AB285" s="50"/>
      <c r="AC285" s="68"/>
      <c r="AD285" s="68"/>
      <c r="AE285" s="68"/>
      <c r="AF285" s="50"/>
      <c r="AG285" s="50"/>
      <c r="AH285" s="49" t="str">
        <f>IF(AG285="นิติศาสตร์","K5-LAW","K5-POLICY")</f>
        <v>K5-POLICY</v>
      </c>
      <c r="AI285" s="72" t="str">
        <f>_xlfn.IFS(B285="","",AND(AH285="K5-LAW",AG285="นิติศาสตร์",K285="S2",T285="",Z285=""),P285,AND(AH285="K5-LAW",AG285="นิติศาสตร์",K285="S1",T285="",Z285=""),EDATE(P285,12),AND(AH285="K5-LAW",AG285="นิติศาสตร์",OR(K285="M2",K285="K4"),T285="",Z285=""),EDATE(P285,12*2),AND(AH285="K5-LAW",AG285="นิติศาสตร์",OR(Z285="M2",Z285="K4"),AC285&gt;=2,OR(AB285&lt;V285,AB285&lt;P285)),EDATE(AB285,12*2),AND(AH285="K5-LAW",AG285="นิติศาสตร์",Z285="S1",AC285&gt;=1,OR(AB285&lt;V285,AB285&lt;P285)),EDATE(AB285,12),AND(AH285="K5-LAW",AG285="นิติศาสตร์",OR(T285="M2",T285="K4"),W285&gt;=2,V285&lt;P285),EDATE(V285,12*2),AND(AH285="K5-LAW",AG285="นิติศาสตร์",T285="S1",W285&gt;=1,V285&lt;P285),EDATE(V285,12),AND(AH285="K5-LAW",AG285="นิติศาสตร์",OR(T285="S2",T285="K5")),V285,AND(AH285="K5-LAW",AG285="นิติศาสตร์",OR(K285="M2",K285="K4"),Q285&gt;=2),EDATE(P285,12*2),AND(AH285="K5-LAW",AG285="นิติศาสตร์",K285="S1",Q285&gt;=1),EDATE(P285,12),AND(AH285="K5-LAW",AG285="นิติศาสตร์",OR(K285="S2",K285="K5")),P285,AND(AH285="K5-POLICY",AG285&lt;&gt;"นิติศาสตร์",K285="S2",T285="",Z285=""),P285,AND(AH285="K5-POLICY",AG285&lt;&gt;"นิติศาสตร์",K285="S1",T285="",Z285=""),EDATE(P285,12),AND(AH285="K5-POLICY",AG285&lt;&gt;"นิติศาสตร์",OR(K285="M2",K285="K4"),T285="",Z285=""),EDATE(P285,12*2),AND(AH285="K5-POLICY",AG285&lt;&gt;"นิติศาสตร์",OR(Z285="M2",Z285="K4"),AC285&gt;=2,OR(AB285&lt;V285,AB285&lt;P285)),EDATE(AB285,12*2),AND(AH285="K5-POLICY",AG285&lt;&gt;"นิติศาสตร์",Z285="S1",AC285&gt;=1,OR(AB285&lt;V285,AB285&lt;P285)),EDATE(AB285,12),AND(AH285="K5-POLICY",AG285&lt;&gt;"นิติศาสตร์",OR(T285="M2",T285="K4"),W285&gt;=2,V285&lt;P285),EDATE(V285,12*2),AND(AH285="K5-POLICY",AG285&lt;&gt;"นิติศาสตร์",T285="S1",W285&gt;=1,V285&lt;P285),EDATE(V285,12),AND(AH285="K5-POLICY",AG285&lt;&gt;"นิติศาสตร์",OR(T285="S2",T285="K5")),V285,AND(AH285="K5-POLICY",AG285&lt;&gt;"นิติศาสตร์",OR(K285="M2",K285="K4"),Q285&gt;=2),EDATE(P285,12*2),AND(AH285="K5-POLICY",AG285&lt;&gt;"นิติศาสตร์",K285="S1",Q285&gt;=1),EDATE(P285,12),AND(AH285="K5-POLICY",AG285&lt;&gt;"นิติศาสตร์",OR(K285="S2",K285="K5")),P285,TRUE,"Check Data")</f>
        <v/>
      </c>
      <c r="AJ285" s="75" t="str">
        <f t="shared" si="83"/>
        <v>Check Data</v>
      </c>
      <c r="AK285" s="76" t="str">
        <f t="shared" si="84"/>
        <v>Check Data</v>
      </c>
      <c r="AL285" s="50" t="str">
        <f t="shared" si="85"/>
        <v>Check Data</v>
      </c>
      <c r="AM285" s="49" t="str">
        <f>IF(B285="","",IF(K285="S1","S1",INDEX(#REF!,#REF!)))</f>
        <v/>
      </c>
      <c r="AN285" s="49" t="str">
        <f>K285</f>
        <v>M2</v>
      </c>
      <c r="AO285" s="50" t="b">
        <f>K285=AM285</f>
        <v>0</v>
      </c>
      <c r="AP285" s="50"/>
    </row>
    <row r="286" spans="1:42" ht="21.75">
      <c r="A286" s="49">
        <v>284</v>
      </c>
      <c r="B286" s="50"/>
      <c r="C286" s="52"/>
      <c r="D286" s="50"/>
      <c r="E286" s="49"/>
      <c r="F286" s="49"/>
      <c r="G286" s="50">
        <f t="shared" si="76"/>
        <v>0</v>
      </c>
      <c r="H286" s="50">
        <f t="shared" si="77"/>
        <v>0</v>
      </c>
      <c r="I286" s="50">
        <f t="shared" si="78"/>
        <v>0</v>
      </c>
      <c r="J286" s="50"/>
      <c r="K286" s="49" t="s">
        <v>136</v>
      </c>
      <c r="L286" s="64"/>
      <c r="M286" s="49"/>
      <c r="N286" s="49"/>
      <c r="O286" s="65" t="s">
        <v>442</v>
      </c>
      <c r="P286" s="49" t="str">
        <f t="shared" si="79"/>
        <v>26/11/2024</v>
      </c>
      <c r="Q286" s="68">
        <f t="shared" si="80"/>
        <v>0</v>
      </c>
      <c r="R286" s="68">
        <f t="shared" si="81"/>
        <v>6</v>
      </c>
      <c r="S286" s="68">
        <f t="shared" si="82"/>
        <v>25</v>
      </c>
      <c r="T286" s="65"/>
      <c r="U286" s="65"/>
      <c r="V286" s="49"/>
      <c r="W286" s="68"/>
      <c r="X286" s="68"/>
      <c r="Y286" s="68"/>
      <c r="Z286" s="49"/>
      <c r="AA286" s="65"/>
      <c r="AB286" s="50"/>
      <c r="AC286" s="68"/>
      <c r="AD286" s="68"/>
      <c r="AE286" s="68"/>
      <c r="AF286" s="50"/>
      <c r="AG286" s="50"/>
      <c r="AH286" s="49" t="str">
        <f>IF(AG286="นิติศาสตร์","K5-LAW","K5-POLICY")</f>
        <v>K5-POLICY</v>
      </c>
      <c r="AI286" s="72" t="str">
        <f>_xlfn.IFS(B286="","",AND(AH286="K5-LAW",AG286="นิติศาสตร์",K286="S2",T286="",Z286=""),P286,AND(AH286="K5-LAW",AG286="นิติศาสตร์",K286="S1",T286="",Z286=""),EDATE(P286,12),AND(AH286="K5-LAW",AG286="นิติศาสตร์",OR(K286="M2",K286="K4"),T286="",Z286=""),EDATE(P286,12*2),AND(AH286="K5-LAW",AG286="นิติศาสตร์",OR(Z286="M2",Z286="K4"),AC286&gt;=2,OR(AB286&lt;V286,AB286&lt;P286)),EDATE(AB286,12*2),AND(AH286="K5-LAW",AG286="นิติศาสตร์",Z286="S1",AC286&gt;=1,OR(AB286&lt;V286,AB286&lt;P286)),EDATE(AB286,12),AND(AH286="K5-LAW",AG286="นิติศาสตร์",OR(T286="M2",T286="K4"),W286&gt;=2,V286&lt;P286),EDATE(V286,12*2),AND(AH286="K5-LAW",AG286="นิติศาสตร์",T286="S1",W286&gt;=1,V286&lt;P286),EDATE(V286,12),AND(AH286="K5-LAW",AG286="นิติศาสตร์",OR(T286="S2",T286="K5")),V286,AND(AH286="K5-LAW",AG286="นิติศาสตร์",OR(K286="M2",K286="K4"),Q286&gt;=2),EDATE(P286,12*2),AND(AH286="K5-LAW",AG286="นิติศาสตร์",K286="S1",Q286&gt;=1),EDATE(P286,12),AND(AH286="K5-LAW",AG286="นิติศาสตร์",OR(K286="S2",K286="K5")),P286,AND(AH286="K5-POLICY",AG286&lt;&gt;"นิติศาสตร์",K286="S2",T286="",Z286=""),P286,AND(AH286="K5-POLICY",AG286&lt;&gt;"นิติศาสตร์",K286="S1",T286="",Z286=""),EDATE(P286,12),AND(AH286="K5-POLICY",AG286&lt;&gt;"นิติศาสตร์",OR(K286="M2",K286="K4"),T286="",Z286=""),EDATE(P286,12*2),AND(AH286="K5-POLICY",AG286&lt;&gt;"นิติศาสตร์",OR(Z286="M2",Z286="K4"),AC286&gt;=2,OR(AB286&lt;V286,AB286&lt;P286)),EDATE(AB286,12*2),AND(AH286="K5-POLICY",AG286&lt;&gt;"นิติศาสตร์",Z286="S1",AC286&gt;=1,OR(AB286&lt;V286,AB286&lt;P286)),EDATE(AB286,12),AND(AH286="K5-POLICY",AG286&lt;&gt;"นิติศาสตร์",OR(T286="M2",T286="K4"),W286&gt;=2,V286&lt;P286),EDATE(V286,12*2),AND(AH286="K5-POLICY",AG286&lt;&gt;"นิติศาสตร์",T286="S1",W286&gt;=1,V286&lt;P286),EDATE(V286,12),AND(AH286="K5-POLICY",AG286&lt;&gt;"นิติศาสตร์",OR(T286="S2",T286="K5")),V286,AND(AH286="K5-POLICY",AG286&lt;&gt;"นิติศาสตร์",OR(K286="M2",K286="K4"),Q286&gt;=2),EDATE(P286,12*2),AND(AH286="K5-POLICY",AG286&lt;&gt;"นิติศาสตร์",K286="S1",Q286&gt;=1),EDATE(P286,12),AND(AH286="K5-POLICY",AG286&lt;&gt;"นิติศาสตร์",OR(K286="S2",K286="K5")),P286,TRUE,"Check Data")</f>
        <v/>
      </c>
      <c r="AJ286" s="75" t="str">
        <f t="shared" si="83"/>
        <v>Check Data</v>
      </c>
      <c r="AK286" s="76" t="str">
        <f t="shared" si="84"/>
        <v>Check Data</v>
      </c>
      <c r="AL286" s="50" t="str">
        <f t="shared" si="85"/>
        <v>Check Data</v>
      </c>
      <c r="AM286" s="49" t="str">
        <f>IF(B286="","",IF(K286="S1","S1",INDEX(#REF!,#REF!)))</f>
        <v/>
      </c>
      <c r="AN286" s="49" t="str">
        <f>K286</f>
        <v>M2</v>
      </c>
      <c r="AO286" s="50" t="b">
        <f>K286=AM286</f>
        <v>0</v>
      </c>
      <c r="AP286" s="50"/>
    </row>
    <row r="287" spans="1:42" ht="21.75">
      <c r="A287" s="49">
        <v>285</v>
      </c>
      <c r="B287" s="50"/>
      <c r="C287" s="52"/>
      <c r="D287" s="50"/>
      <c r="E287" s="49"/>
      <c r="F287" s="49"/>
      <c r="G287" s="50">
        <f t="shared" si="76"/>
        <v>0</v>
      </c>
      <c r="H287" s="50">
        <f t="shared" si="77"/>
        <v>0</v>
      </c>
      <c r="I287" s="50">
        <f t="shared" si="78"/>
        <v>0</v>
      </c>
      <c r="J287" s="50"/>
      <c r="K287" s="49" t="s">
        <v>136</v>
      </c>
      <c r="L287" s="64"/>
      <c r="M287" s="49"/>
      <c r="N287" s="49"/>
      <c r="O287" s="65" t="s">
        <v>442</v>
      </c>
      <c r="P287" s="49" t="str">
        <f t="shared" si="79"/>
        <v>26/11/2024</v>
      </c>
      <c r="Q287" s="68">
        <f t="shared" si="80"/>
        <v>0</v>
      </c>
      <c r="R287" s="68">
        <f t="shared" si="81"/>
        <v>6</v>
      </c>
      <c r="S287" s="68">
        <f t="shared" si="82"/>
        <v>25</v>
      </c>
      <c r="T287" s="65"/>
      <c r="U287" s="65"/>
      <c r="V287" s="49"/>
      <c r="W287" s="68"/>
      <c r="X287" s="68"/>
      <c r="Y287" s="68"/>
      <c r="Z287" s="49"/>
      <c r="AA287" s="65"/>
      <c r="AB287" s="50"/>
      <c r="AC287" s="68"/>
      <c r="AD287" s="68"/>
      <c r="AE287" s="68"/>
      <c r="AF287" s="50"/>
      <c r="AG287" s="50"/>
      <c r="AH287" s="49" t="str">
        <f>IF(AG287="นิติศาสตร์","K5-LAW","K5-POLICY")</f>
        <v>K5-POLICY</v>
      </c>
      <c r="AI287" s="72" t="str">
        <f>_xlfn.IFS(B287="","",AND(AH287="K5-LAW",AG287="นิติศาสตร์",K287="S2",T287="",Z287=""),P287,AND(AH287="K5-LAW",AG287="นิติศาสตร์",K287="S1",T287="",Z287=""),EDATE(P287,12),AND(AH287="K5-LAW",AG287="นิติศาสตร์",OR(K287="M2",K287="K4"),T287="",Z287=""),EDATE(P287,12*2),AND(AH287="K5-LAW",AG287="นิติศาสตร์",OR(Z287="M2",Z287="K4"),AC287&gt;=2,OR(AB287&lt;V287,AB287&lt;P287)),EDATE(AB287,12*2),AND(AH287="K5-LAW",AG287="นิติศาสตร์",Z287="S1",AC287&gt;=1,OR(AB287&lt;V287,AB287&lt;P287)),EDATE(AB287,12),AND(AH287="K5-LAW",AG287="นิติศาสตร์",OR(T287="M2",T287="K4"),W287&gt;=2,V287&lt;P287),EDATE(V287,12*2),AND(AH287="K5-LAW",AG287="นิติศาสตร์",T287="S1",W287&gt;=1,V287&lt;P287),EDATE(V287,12),AND(AH287="K5-LAW",AG287="นิติศาสตร์",OR(T287="S2",T287="K5")),V287,AND(AH287="K5-LAW",AG287="นิติศาสตร์",OR(K287="M2",K287="K4"),Q287&gt;=2),EDATE(P287,12*2),AND(AH287="K5-LAW",AG287="นิติศาสตร์",K287="S1",Q287&gt;=1),EDATE(P287,12),AND(AH287="K5-LAW",AG287="นิติศาสตร์",OR(K287="S2",K287="K5")),P287,AND(AH287="K5-POLICY",AG287&lt;&gt;"นิติศาสตร์",K287="S2",T287="",Z287=""),P287,AND(AH287="K5-POLICY",AG287&lt;&gt;"นิติศาสตร์",K287="S1",T287="",Z287=""),EDATE(P287,12),AND(AH287="K5-POLICY",AG287&lt;&gt;"นิติศาสตร์",OR(K287="M2",K287="K4"),T287="",Z287=""),EDATE(P287,12*2),AND(AH287="K5-POLICY",AG287&lt;&gt;"นิติศาสตร์",OR(Z287="M2",Z287="K4"),AC287&gt;=2,OR(AB287&lt;V287,AB287&lt;P287)),EDATE(AB287,12*2),AND(AH287="K5-POLICY",AG287&lt;&gt;"นิติศาสตร์",Z287="S1",AC287&gt;=1,OR(AB287&lt;V287,AB287&lt;P287)),EDATE(AB287,12),AND(AH287="K5-POLICY",AG287&lt;&gt;"นิติศาสตร์",OR(T287="M2",T287="K4"),W287&gt;=2,V287&lt;P287),EDATE(V287,12*2),AND(AH287="K5-POLICY",AG287&lt;&gt;"นิติศาสตร์",T287="S1",W287&gt;=1,V287&lt;P287),EDATE(V287,12),AND(AH287="K5-POLICY",AG287&lt;&gt;"นิติศาสตร์",OR(T287="S2",T287="K5")),V287,AND(AH287="K5-POLICY",AG287&lt;&gt;"นิติศาสตร์",OR(K287="M2",K287="K4"),Q287&gt;=2),EDATE(P287,12*2),AND(AH287="K5-POLICY",AG287&lt;&gt;"นิติศาสตร์",K287="S1",Q287&gt;=1),EDATE(P287,12),AND(AH287="K5-POLICY",AG287&lt;&gt;"นิติศาสตร์",OR(K287="S2",K287="K5")),P287,TRUE,"Check Data")</f>
        <v/>
      </c>
      <c r="AJ287" s="75" t="str">
        <f t="shared" si="83"/>
        <v>Check Data</v>
      </c>
      <c r="AK287" s="76" t="str">
        <f t="shared" si="84"/>
        <v>Check Data</v>
      </c>
      <c r="AL287" s="50" t="str">
        <f t="shared" si="85"/>
        <v>Check Data</v>
      </c>
      <c r="AM287" s="49" t="str">
        <f>IF(B287="","",IF(K287="S1","S1",INDEX(#REF!,#REF!)))</f>
        <v/>
      </c>
      <c r="AN287" s="49" t="str">
        <f>K287</f>
        <v>M2</v>
      </c>
      <c r="AO287" s="50" t="b">
        <f>K287=AM287</f>
        <v>0</v>
      </c>
      <c r="AP287" s="50"/>
    </row>
    <row r="288" spans="1:42" ht="21.75">
      <c r="A288" s="49">
        <v>286</v>
      </c>
      <c r="B288" s="50"/>
      <c r="C288" s="52"/>
      <c r="D288" s="50"/>
      <c r="E288" s="49"/>
      <c r="F288" s="49"/>
      <c r="G288" s="50">
        <f t="shared" si="76"/>
        <v>0</v>
      </c>
      <c r="H288" s="50">
        <f t="shared" si="77"/>
        <v>0</v>
      </c>
      <c r="I288" s="50">
        <f t="shared" si="78"/>
        <v>0</v>
      </c>
      <c r="J288" s="50"/>
      <c r="K288" s="49" t="s">
        <v>136</v>
      </c>
      <c r="L288" s="64"/>
      <c r="M288" s="49"/>
      <c r="N288" s="49"/>
      <c r="O288" s="65" t="s">
        <v>442</v>
      </c>
      <c r="P288" s="49" t="str">
        <f t="shared" si="79"/>
        <v>26/11/2024</v>
      </c>
      <c r="Q288" s="68">
        <f t="shared" si="80"/>
        <v>0</v>
      </c>
      <c r="R288" s="68">
        <f t="shared" si="81"/>
        <v>6</v>
      </c>
      <c r="S288" s="68">
        <f t="shared" si="82"/>
        <v>25</v>
      </c>
      <c r="T288" s="65"/>
      <c r="U288" s="65"/>
      <c r="V288" s="49"/>
      <c r="W288" s="68"/>
      <c r="X288" s="68"/>
      <c r="Y288" s="68"/>
      <c r="Z288" s="49"/>
      <c r="AA288" s="65"/>
      <c r="AB288" s="50"/>
      <c r="AC288" s="68"/>
      <c r="AD288" s="68"/>
      <c r="AE288" s="68"/>
      <c r="AF288" s="50"/>
      <c r="AG288" s="50"/>
      <c r="AH288" s="49" t="str">
        <f>IF(AG288="นิติศาสตร์","K5-LAW","K5-POLICY")</f>
        <v>K5-POLICY</v>
      </c>
      <c r="AI288" s="72" t="str">
        <f>_xlfn.IFS(B288="","",AND(AH288="K5-LAW",AG288="นิติศาสตร์",K288="S2",T288="",Z288=""),P288,AND(AH288="K5-LAW",AG288="นิติศาสตร์",K288="S1",T288="",Z288=""),EDATE(P288,12),AND(AH288="K5-LAW",AG288="นิติศาสตร์",OR(K288="M2",K288="K4"),T288="",Z288=""),EDATE(P288,12*2),AND(AH288="K5-LAW",AG288="นิติศาสตร์",OR(Z288="M2",Z288="K4"),AC288&gt;=2,OR(AB288&lt;V288,AB288&lt;P288)),EDATE(AB288,12*2),AND(AH288="K5-LAW",AG288="นิติศาสตร์",Z288="S1",AC288&gt;=1,OR(AB288&lt;V288,AB288&lt;P288)),EDATE(AB288,12),AND(AH288="K5-LAW",AG288="นิติศาสตร์",OR(T288="M2",T288="K4"),W288&gt;=2,V288&lt;P288),EDATE(V288,12*2),AND(AH288="K5-LAW",AG288="นิติศาสตร์",T288="S1",W288&gt;=1,V288&lt;P288),EDATE(V288,12),AND(AH288="K5-LAW",AG288="นิติศาสตร์",OR(T288="S2",T288="K5")),V288,AND(AH288="K5-LAW",AG288="นิติศาสตร์",OR(K288="M2",K288="K4"),Q288&gt;=2),EDATE(P288,12*2),AND(AH288="K5-LAW",AG288="นิติศาสตร์",K288="S1",Q288&gt;=1),EDATE(P288,12),AND(AH288="K5-LAW",AG288="นิติศาสตร์",OR(K288="S2",K288="K5")),P288,AND(AH288="K5-POLICY",AG288&lt;&gt;"นิติศาสตร์",K288="S2",T288="",Z288=""),P288,AND(AH288="K5-POLICY",AG288&lt;&gt;"นิติศาสตร์",K288="S1",T288="",Z288=""),EDATE(P288,12),AND(AH288="K5-POLICY",AG288&lt;&gt;"นิติศาสตร์",OR(K288="M2",K288="K4"),T288="",Z288=""),EDATE(P288,12*2),AND(AH288="K5-POLICY",AG288&lt;&gt;"นิติศาสตร์",OR(Z288="M2",Z288="K4"),AC288&gt;=2,OR(AB288&lt;V288,AB288&lt;P288)),EDATE(AB288,12*2),AND(AH288="K5-POLICY",AG288&lt;&gt;"นิติศาสตร์",Z288="S1",AC288&gt;=1,OR(AB288&lt;V288,AB288&lt;P288)),EDATE(AB288,12),AND(AH288="K5-POLICY",AG288&lt;&gt;"นิติศาสตร์",OR(T288="M2",T288="K4"),W288&gt;=2,V288&lt;P288),EDATE(V288,12*2),AND(AH288="K5-POLICY",AG288&lt;&gt;"นิติศาสตร์",T288="S1",W288&gt;=1,V288&lt;P288),EDATE(V288,12),AND(AH288="K5-POLICY",AG288&lt;&gt;"นิติศาสตร์",OR(T288="S2",T288="K5")),V288,AND(AH288="K5-POLICY",AG288&lt;&gt;"นิติศาสตร์",OR(K288="M2",K288="K4"),Q288&gt;=2),EDATE(P288,12*2),AND(AH288="K5-POLICY",AG288&lt;&gt;"นิติศาสตร์",K288="S1",Q288&gt;=1),EDATE(P288,12),AND(AH288="K5-POLICY",AG288&lt;&gt;"นิติศาสตร์",OR(K288="S2",K288="K5")),P288,TRUE,"Check Data")</f>
        <v/>
      </c>
      <c r="AJ288" s="75" t="str">
        <f t="shared" si="83"/>
        <v>Check Data</v>
      </c>
      <c r="AK288" s="76" t="str">
        <f t="shared" si="84"/>
        <v>Check Data</v>
      </c>
      <c r="AL288" s="50" t="str">
        <f t="shared" si="85"/>
        <v>Check Data</v>
      </c>
      <c r="AM288" s="49" t="str">
        <f>IF(B288="","",IF(K288="S1","S1",INDEX(#REF!,#REF!)))</f>
        <v/>
      </c>
      <c r="AN288" s="49" t="str">
        <f>K288</f>
        <v>M2</v>
      </c>
      <c r="AO288" s="50" t="b">
        <f>K288=AM288</f>
        <v>0</v>
      </c>
      <c r="AP288" s="50"/>
    </row>
    <row r="289" spans="1:42" ht="21.75">
      <c r="A289" s="49">
        <v>287</v>
      </c>
      <c r="B289" s="50"/>
      <c r="C289" s="52"/>
      <c r="D289" s="50"/>
      <c r="E289" s="49"/>
      <c r="F289" s="49"/>
      <c r="G289" s="50">
        <f t="shared" si="76"/>
        <v>0</v>
      </c>
      <c r="H289" s="50">
        <f t="shared" si="77"/>
        <v>0</v>
      </c>
      <c r="I289" s="50">
        <f t="shared" si="78"/>
        <v>0</v>
      </c>
      <c r="J289" s="50"/>
      <c r="K289" s="49" t="s">
        <v>136</v>
      </c>
      <c r="L289" s="64"/>
      <c r="M289" s="49"/>
      <c r="N289" s="49"/>
      <c r="O289" s="65" t="s">
        <v>442</v>
      </c>
      <c r="P289" s="49" t="str">
        <f t="shared" si="79"/>
        <v>26/11/2024</v>
      </c>
      <c r="Q289" s="68">
        <f t="shared" si="80"/>
        <v>0</v>
      </c>
      <c r="R289" s="68">
        <f t="shared" si="81"/>
        <v>6</v>
      </c>
      <c r="S289" s="68">
        <f t="shared" si="82"/>
        <v>25</v>
      </c>
      <c r="T289" s="65"/>
      <c r="U289" s="65"/>
      <c r="V289" s="49"/>
      <c r="W289" s="68"/>
      <c r="X289" s="68"/>
      <c r="Y289" s="68"/>
      <c r="Z289" s="49"/>
      <c r="AA289" s="65"/>
      <c r="AB289" s="50"/>
      <c r="AC289" s="68"/>
      <c r="AD289" s="68"/>
      <c r="AE289" s="68"/>
      <c r="AF289" s="50"/>
      <c r="AG289" s="50"/>
      <c r="AH289" s="49" t="str">
        <f>IF(AG289="นิติศาสตร์","K5-LAW","K5-POLICY")</f>
        <v>K5-POLICY</v>
      </c>
      <c r="AI289" s="72" t="str">
        <f>_xlfn.IFS(B289="","",AND(AH289="K5-LAW",AG289="นิติศาสตร์",K289="S2",T289="",Z289=""),P289,AND(AH289="K5-LAW",AG289="นิติศาสตร์",K289="S1",T289="",Z289=""),EDATE(P289,12),AND(AH289="K5-LAW",AG289="นิติศาสตร์",OR(K289="M2",K289="K4"),T289="",Z289=""),EDATE(P289,12*2),AND(AH289="K5-LAW",AG289="นิติศาสตร์",OR(Z289="M2",Z289="K4"),AC289&gt;=2,OR(AB289&lt;V289,AB289&lt;P289)),EDATE(AB289,12*2),AND(AH289="K5-LAW",AG289="นิติศาสตร์",Z289="S1",AC289&gt;=1,OR(AB289&lt;V289,AB289&lt;P289)),EDATE(AB289,12),AND(AH289="K5-LAW",AG289="นิติศาสตร์",OR(T289="M2",T289="K4"),W289&gt;=2,V289&lt;P289),EDATE(V289,12*2),AND(AH289="K5-LAW",AG289="นิติศาสตร์",T289="S1",W289&gt;=1,V289&lt;P289),EDATE(V289,12),AND(AH289="K5-LAW",AG289="นิติศาสตร์",OR(T289="S2",T289="K5")),V289,AND(AH289="K5-LAW",AG289="นิติศาสตร์",OR(K289="M2",K289="K4"),Q289&gt;=2),EDATE(P289,12*2),AND(AH289="K5-LAW",AG289="นิติศาสตร์",K289="S1",Q289&gt;=1),EDATE(P289,12),AND(AH289="K5-LAW",AG289="นิติศาสตร์",OR(K289="S2",K289="K5")),P289,AND(AH289="K5-POLICY",AG289&lt;&gt;"นิติศาสตร์",K289="S2",T289="",Z289=""),P289,AND(AH289="K5-POLICY",AG289&lt;&gt;"นิติศาสตร์",K289="S1",T289="",Z289=""),EDATE(P289,12),AND(AH289="K5-POLICY",AG289&lt;&gt;"นิติศาสตร์",OR(K289="M2",K289="K4"),T289="",Z289=""),EDATE(P289,12*2),AND(AH289="K5-POLICY",AG289&lt;&gt;"นิติศาสตร์",OR(Z289="M2",Z289="K4"),AC289&gt;=2,OR(AB289&lt;V289,AB289&lt;P289)),EDATE(AB289,12*2),AND(AH289="K5-POLICY",AG289&lt;&gt;"นิติศาสตร์",Z289="S1",AC289&gt;=1,OR(AB289&lt;V289,AB289&lt;P289)),EDATE(AB289,12),AND(AH289="K5-POLICY",AG289&lt;&gt;"นิติศาสตร์",OR(T289="M2",T289="K4"),W289&gt;=2,V289&lt;P289),EDATE(V289,12*2),AND(AH289="K5-POLICY",AG289&lt;&gt;"นิติศาสตร์",T289="S1",W289&gt;=1,V289&lt;P289),EDATE(V289,12),AND(AH289="K5-POLICY",AG289&lt;&gt;"นิติศาสตร์",OR(T289="S2",T289="K5")),V289,AND(AH289="K5-POLICY",AG289&lt;&gt;"นิติศาสตร์",OR(K289="M2",K289="K4"),Q289&gt;=2),EDATE(P289,12*2),AND(AH289="K5-POLICY",AG289&lt;&gt;"นิติศาสตร์",K289="S1",Q289&gt;=1),EDATE(P289,12),AND(AH289="K5-POLICY",AG289&lt;&gt;"นิติศาสตร์",OR(K289="S2",K289="K5")),P289,TRUE,"Check Data")</f>
        <v/>
      </c>
      <c r="AJ289" s="75" t="str">
        <f t="shared" si="83"/>
        <v>Check Data</v>
      </c>
      <c r="AK289" s="76" t="str">
        <f t="shared" si="84"/>
        <v>Check Data</v>
      </c>
      <c r="AL289" s="50" t="str">
        <f t="shared" si="85"/>
        <v>Check Data</v>
      </c>
      <c r="AM289" s="49" t="str">
        <f>IF(B289="","",IF(K289="S1","S1",INDEX(#REF!,#REF!)))</f>
        <v/>
      </c>
      <c r="AN289" s="49" t="str">
        <f>K289</f>
        <v>M2</v>
      </c>
      <c r="AO289" s="50" t="b">
        <f>K289=AM289</f>
        <v>0</v>
      </c>
      <c r="AP289" s="50"/>
    </row>
    <row r="290" spans="1:42" ht="21.75">
      <c r="A290" s="49">
        <v>288</v>
      </c>
      <c r="B290" s="50"/>
      <c r="C290" s="52"/>
      <c r="D290" s="50"/>
      <c r="E290" s="49"/>
      <c r="F290" s="49"/>
      <c r="G290" s="50">
        <f t="shared" si="76"/>
        <v>0</v>
      </c>
      <c r="H290" s="50">
        <f t="shared" si="77"/>
        <v>0</v>
      </c>
      <c r="I290" s="50">
        <f t="shared" si="78"/>
        <v>0</v>
      </c>
      <c r="J290" s="50"/>
      <c r="K290" s="49" t="s">
        <v>136</v>
      </c>
      <c r="L290" s="64"/>
      <c r="M290" s="49"/>
      <c r="N290" s="49"/>
      <c r="O290" s="65" t="s">
        <v>442</v>
      </c>
      <c r="P290" s="49" t="str">
        <f t="shared" si="79"/>
        <v>26/11/2024</v>
      </c>
      <c r="Q290" s="68">
        <f t="shared" si="80"/>
        <v>0</v>
      </c>
      <c r="R290" s="68">
        <f t="shared" si="81"/>
        <v>6</v>
      </c>
      <c r="S290" s="68">
        <f t="shared" si="82"/>
        <v>25</v>
      </c>
      <c r="T290" s="65"/>
      <c r="U290" s="65"/>
      <c r="V290" s="49"/>
      <c r="W290" s="68"/>
      <c r="X290" s="68"/>
      <c r="Y290" s="68"/>
      <c r="Z290" s="49"/>
      <c r="AA290" s="65"/>
      <c r="AB290" s="50"/>
      <c r="AC290" s="68"/>
      <c r="AD290" s="68"/>
      <c r="AE290" s="68"/>
      <c r="AF290" s="50"/>
      <c r="AG290" s="50"/>
      <c r="AH290" s="49" t="str">
        <f>IF(AG290="นิติศาสตร์","K5-LAW","K5-POLICY")</f>
        <v>K5-POLICY</v>
      </c>
      <c r="AI290" s="72" t="str">
        <f>_xlfn.IFS(B290="","",AND(AH290="K5-LAW",AG290="นิติศาสตร์",K290="S2",T290="",Z290=""),P290,AND(AH290="K5-LAW",AG290="นิติศาสตร์",K290="S1",T290="",Z290=""),EDATE(P290,12),AND(AH290="K5-LAW",AG290="นิติศาสตร์",OR(K290="M2",K290="K4"),T290="",Z290=""),EDATE(P290,12*2),AND(AH290="K5-LAW",AG290="นิติศาสตร์",OR(Z290="M2",Z290="K4"),AC290&gt;=2,OR(AB290&lt;V290,AB290&lt;P290)),EDATE(AB290,12*2),AND(AH290="K5-LAW",AG290="นิติศาสตร์",Z290="S1",AC290&gt;=1,OR(AB290&lt;V290,AB290&lt;P290)),EDATE(AB290,12),AND(AH290="K5-LAW",AG290="นิติศาสตร์",OR(T290="M2",T290="K4"),W290&gt;=2,V290&lt;P290),EDATE(V290,12*2),AND(AH290="K5-LAW",AG290="นิติศาสตร์",T290="S1",W290&gt;=1,V290&lt;P290),EDATE(V290,12),AND(AH290="K5-LAW",AG290="นิติศาสตร์",OR(T290="S2",T290="K5")),V290,AND(AH290="K5-LAW",AG290="นิติศาสตร์",OR(K290="M2",K290="K4"),Q290&gt;=2),EDATE(P290,12*2),AND(AH290="K5-LAW",AG290="นิติศาสตร์",K290="S1",Q290&gt;=1),EDATE(P290,12),AND(AH290="K5-LAW",AG290="นิติศาสตร์",OR(K290="S2",K290="K5")),P290,AND(AH290="K5-POLICY",AG290&lt;&gt;"นิติศาสตร์",K290="S2",T290="",Z290=""),P290,AND(AH290="K5-POLICY",AG290&lt;&gt;"นิติศาสตร์",K290="S1",T290="",Z290=""),EDATE(P290,12),AND(AH290="K5-POLICY",AG290&lt;&gt;"นิติศาสตร์",OR(K290="M2",K290="K4"),T290="",Z290=""),EDATE(P290,12*2),AND(AH290="K5-POLICY",AG290&lt;&gt;"นิติศาสตร์",OR(Z290="M2",Z290="K4"),AC290&gt;=2,OR(AB290&lt;V290,AB290&lt;P290)),EDATE(AB290,12*2),AND(AH290="K5-POLICY",AG290&lt;&gt;"นิติศาสตร์",Z290="S1",AC290&gt;=1,OR(AB290&lt;V290,AB290&lt;P290)),EDATE(AB290,12),AND(AH290="K5-POLICY",AG290&lt;&gt;"นิติศาสตร์",OR(T290="M2",T290="K4"),W290&gt;=2,V290&lt;P290),EDATE(V290,12*2),AND(AH290="K5-POLICY",AG290&lt;&gt;"นิติศาสตร์",T290="S1",W290&gt;=1,V290&lt;P290),EDATE(V290,12),AND(AH290="K5-POLICY",AG290&lt;&gt;"นิติศาสตร์",OR(T290="S2",T290="K5")),V290,AND(AH290="K5-POLICY",AG290&lt;&gt;"นิติศาสตร์",OR(K290="M2",K290="K4"),Q290&gt;=2),EDATE(P290,12*2),AND(AH290="K5-POLICY",AG290&lt;&gt;"นิติศาสตร์",K290="S1",Q290&gt;=1),EDATE(P290,12),AND(AH290="K5-POLICY",AG290&lt;&gt;"นิติศาสตร์",OR(K290="S2",K290="K5")),P290,TRUE,"Check Data")</f>
        <v/>
      </c>
      <c r="AJ290" s="75" t="str">
        <f t="shared" si="83"/>
        <v>Check Data</v>
      </c>
      <c r="AK290" s="76" t="str">
        <f t="shared" si="84"/>
        <v>Check Data</v>
      </c>
      <c r="AL290" s="50" t="str">
        <f t="shared" si="85"/>
        <v>Check Data</v>
      </c>
      <c r="AM290" s="49" t="str">
        <f>IF(B290="","",IF(K290="S1","S1",INDEX(#REF!,#REF!)))</f>
        <v/>
      </c>
      <c r="AN290" s="49" t="str">
        <f>K290</f>
        <v>M2</v>
      </c>
      <c r="AO290" s="50" t="b">
        <f>K290=AM290</f>
        <v>0</v>
      </c>
      <c r="AP290" s="50"/>
    </row>
    <row r="291" spans="1:42" ht="21.75">
      <c r="A291" s="49">
        <v>289</v>
      </c>
      <c r="B291" s="50"/>
      <c r="C291" s="52"/>
      <c r="D291" s="50"/>
      <c r="E291" s="49"/>
      <c r="F291" s="49"/>
      <c r="G291" s="50">
        <f t="shared" si="76"/>
        <v>0</v>
      </c>
      <c r="H291" s="50">
        <f t="shared" si="77"/>
        <v>0</v>
      </c>
      <c r="I291" s="50">
        <f t="shared" si="78"/>
        <v>0</v>
      </c>
      <c r="J291" s="50"/>
      <c r="K291" s="49" t="s">
        <v>136</v>
      </c>
      <c r="L291" s="64"/>
      <c r="M291" s="49"/>
      <c r="N291" s="49"/>
      <c r="O291" s="65" t="s">
        <v>442</v>
      </c>
      <c r="P291" s="49" t="str">
        <f t="shared" si="79"/>
        <v>26/11/2024</v>
      </c>
      <c r="Q291" s="68">
        <f t="shared" si="80"/>
        <v>0</v>
      </c>
      <c r="R291" s="68">
        <f t="shared" si="81"/>
        <v>6</v>
      </c>
      <c r="S291" s="68">
        <f t="shared" si="82"/>
        <v>25</v>
      </c>
      <c r="T291" s="65"/>
      <c r="U291" s="65"/>
      <c r="V291" s="49"/>
      <c r="W291" s="68"/>
      <c r="X291" s="68"/>
      <c r="Y291" s="68"/>
      <c r="Z291" s="49"/>
      <c r="AA291" s="65"/>
      <c r="AB291" s="50"/>
      <c r="AC291" s="68"/>
      <c r="AD291" s="68"/>
      <c r="AE291" s="68"/>
      <c r="AF291" s="50"/>
      <c r="AG291" s="50"/>
      <c r="AH291" s="49" t="str">
        <f>IF(AG291="นิติศาสตร์","K5-LAW","K5-POLICY")</f>
        <v>K5-POLICY</v>
      </c>
      <c r="AI291" s="72" t="str">
        <f>_xlfn.IFS(B291="","",AND(AH291="K5-LAW",AG291="นิติศาสตร์",K291="S2",T291="",Z291=""),P291,AND(AH291="K5-LAW",AG291="นิติศาสตร์",K291="S1",T291="",Z291=""),EDATE(P291,12),AND(AH291="K5-LAW",AG291="นิติศาสตร์",OR(K291="M2",K291="K4"),T291="",Z291=""),EDATE(P291,12*2),AND(AH291="K5-LAW",AG291="นิติศาสตร์",OR(Z291="M2",Z291="K4"),AC291&gt;=2,OR(AB291&lt;V291,AB291&lt;P291)),EDATE(AB291,12*2),AND(AH291="K5-LAW",AG291="นิติศาสตร์",Z291="S1",AC291&gt;=1,OR(AB291&lt;V291,AB291&lt;P291)),EDATE(AB291,12),AND(AH291="K5-LAW",AG291="นิติศาสตร์",OR(T291="M2",T291="K4"),W291&gt;=2,V291&lt;P291),EDATE(V291,12*2),AND(AH291="K5-LAW",AG291="นิติศาสตร์",T291="S1",W291&gt;=1,V291&lt;P291),EDATE(V291,12),AND(AH291="K5-LAW",AG291="นิติศาสตร์",OR(T291="S2",T291="K5")),V291,AND(AH291="K5-LAW",AG291="นิติศาสตร์",OR(K291="M2",K291="K4"),Q291&gt;=2),EDATE(P291,12*2),AND(AH291="K5-LAW",AG291="นิติศาสตร์",K291="S1",Q291&gt;=1),EDATE(P291,12),AND(AH291="K5-LAW",AG291="นิติศาสตร์",OR(K291="S2",K291="K5")),P291,AND(AH291="K5-POLICY",AG291&lt;&gt;"นิติศาสตร์",K291="S2",T291="",Z291=""),P291,AND(AH291="K5-POLICY",AG291&lt;&gt;"นิติศาสตร์",K291="S1",T291="",Z291=""),EDATE(P291,12),AND(AH291="K5-POLICY",AG291&lt;&gt;"นิติศาสตร์",OR(K291="M2",K291="K4"),T291="",Z291=""),EDATE(P291,12*2),AND(AH291="K5-POLICY",AG291&lt;&gt;"นิติศาสตร์",OR(Z291="M2",Z291="K4"),AC291&gt;=2,OR(AB291&lt;V291,AB291&lt;P291)),EDATE(AB291,12*2),AND(AH291="K5-POLICY",AG291&lt;&gt;"นิติศาสตร์",Z291="S1",AC291&gt;=1,OR(AB291&lt;V291,AB291&lt;P291)),EDATE(AB291,12),AND(AH291="K5-POLICY",AG291&lt;&gt;"นิติศาสตร์",OR(T291="M2",T291="K4"),W291&gt;=2,V291&lt;P291),EDATE(V291,12*2),AND(AH291="K5-POLICY",AG291&lt;&gt;"นิติศาสตร์",T291="S1",W291&gt;=1,V291&lt;P291),EDATE(V291,12),AND(AH291="K5-POLICY",AG291&lt;&gt;"นิติศาสตร์",OR(T291="S2",T291="K5")),V291,AND(AH291="K5-POLICY",AG291&lt;&gt;"นิติศาสตร์",OR(K291="M2",K291="K4"),Q291&gt;=2),EDATE(P291,12*2),AND(AH291="K5-POLICY",AG291&lt;&gt;"นิติศาสตร์",K291="S1",Q291&gt;=1),EDATE(P291,12),AND(AH291="K5-POLICY",AG291&lt;&gt;"นิติศาสตร์",OR(K291="S2",K291="K5")),P291,TRUE,"Check Data")</f>
        <v/>
      </c>
      <c r="AJ291" s="75" t="str">
        <f t="shared" si="83"/>
        <v>Check Data</v>
      </c>
      <c r="AK291" s="76" t="str">
        <f t="shared" si="84"/>
        <v>Check Data</v>
      </c>
      <c r="AL291" s="50" t="str">
        <f t="shared" si="85"/>
        <v>Check Data</v>
      </c>
      <c r="AM291" s="49" t="str">
        <f>IF(B291="","",IF(K291="S1","S1",INDEX(#REF!,#REF!)))</f>
        <v/>
      </c>
      <c r="AN291" s="49" t="str">
        <f>K291</f>
        <v>M2</v>
      </c>
      <c r="AO291" s="50" t="b">
        <f>K291=AM291</f>
        <v>0</v>
      </c>
      <c r="AP291" s="50"/>
    </row>
    <row r="292" spans="1:42" ht="21.75">
      <c r="A292" s="49">
        <v>290</v>
      </c>
      <c r="B292" s="50"/>
      <c r="C292" s="52"/>
      <c r="D292" s="50"/>
      <c r="E292" s="49"/>
      <c r="F292" s="49"/>
      <c r="G292" s="50">
        <f t="shared" si="76"/>
        <v>0</v>
      </c>
      <c r="H292" s="50">
        <f t="shared" si="77"/>
        <v>0</v>
      </c>
      <c r="I292" s="50">
        <f t="shared" si="78"/>
        <v>0</v>
      </c>
      <c r="J292" s="50"/>
      <c r="K292" s="49" t="s">
        <v>136</v>
      </c>
      <c r="L292" s="64"/>
      <c r="M292" s="49"/>
      <c r="N292" s="49"/>
      <c r="O292" s="65" t="s">
        <v>442</v>
      </c>
      <c r="P292" s="49" t="str">
        <f t="shared" si="79"/>
        <v>26/11/2024</v>
      </c>
      <c r="Q292" s="68">
        <f t="shared" si="80"/>
        <v>0</v>
      </c>
      <c r="R292" s="68">
        <f t="shared" si="81"/>
        <v>6</v>
      </c>
      <c r="S292" s="68">
        <f t="shared" si="82"/>
        <v>25</v>
      </c>
      <c r="T292" s="65"/>
      <c r="U292" s="65"/>
      <c r="V292" s="49"/>
      <c r="W292" s="68"/>
      <c r="X292" s="68"/>
      <c r="Y292" s="68"/>
      <c r="Z292" s="49"/>
      <c r="AA292" s="65"/>
      <c r="AB292" s="50"/>
      <c r="AC292" s="68"/>
      <c r="AD292" s="68"/>
      <c r="AE292" s="68"/>
      <c r="AF292" s="50"/>
      <c r="AG292" s="50"/>
      <c r="AH292" s="49" t="str">
        <f>IF(AG292="นิติศาสตร์","K5-LAW","K5-POLICY")</f>
        <v>K5-POLICY</v>
      </c>
      <c r="AI292" s="72" t="str">
        <f>_xlfn.IFS(B292="","",AND(AH292="K5-LAW",AG292="นิติศาสตร์",K292="S2",T292="",Z292=""),P292,AND(AH292="K5-LAW",AG292="นิติศาสตร์",K292="S1",T292="",Z292=""),EDATE(P292,12),AND(AH292="K5-LAW",AG292="นิติศาสตร์",OR(K292="M2",K292="K4"),T292="",Z292=""),EDATE(P292,12*2),AND(AH292="K5-LAW",AG292="นิติศาสตร์",OR(Z292="M2",Z292="K4"),AC292&gt;=2,OR(AB292&lt;V292,AB292&lt;P292)),EDATE(AB292,12*2),AND(AH292="K5-LAW",AG292="นิติศาสตร์",Z292="S1",AC292&gt;=1,OR(AB292&lt;V292,AB292&lt;P292)),EDATE(AB292,12),AND(AH292="K5-LAW",AG292="นิติศาสตร์",OR(T292="M2",T292="K4"),W292&gt;=2,V292&lt;P292),EDATE(V292,12*2),AND(AH292="K5-LAW",AG292="นิติศาสตร์",T292="S1",W292&gt;=1,V292&lt;P292),EDATE(V292,12),AND(AH292="K5-LAW",AG292="นิติศาสตร์",OR(T292="S2",T292="K5")),V292,AND(AH292="K5-LAW",AG292="นิติศาสตร์",OR(K292="M2",K292="K4"),Q292&gt;=2),EDATE(P292,12*2),AND(AH292="K5-LAW",AG292="นิติศาสตร์",K292="S1",Q292&gt;=1),EDATE(P292,12),AND(AH292="K5-LAW",AG292="นิติศาสตร์",OR(K292="S2",K292="K5")),P292,AND(AH292="K5-POLICY",AG292&lt;&gt;"นิติศาสตร์",K292="S2",T292="",Z292=""),P292,AND(AH292="K5-POLICY",AG292&lt;&gt;"นิติศาสตร์",K292="S1",T292="",Z292=""),EDATE(P292,12),AND(AH292="K5-POLICY",AG292&lt;&gt;"นิติศาสตร์",OR(K292="M2",K292="K4"),T292="",Z292=""),EDATE(P292,12*2),AND(AH292="K5-POLICY",AG292&lt;&gt;"นิติศาสตร์",OR(Z292="M2",Z292="K4"),AC292&gt;=2,OR(AB292&lt;V292,AB292&lt;P292)),EDATE(AB292,12*2),AND(AH292="K5-POLICY",AG292&lt;&gt;"นิติศาสตร์",Z292="S1",AC292&gt;=1,OR(AB292&lt;V292,AB292&lt;P292)),EDATE(AB292,12),AND(AH292="K5-POLICY",AG292&lt;&gt;"นิติศาสตร์",OR(T292="M2",T292="K4"),W292&gt;=2,V292&lt;P292),EDATE(V292,12*2),AND(AH292="K5-POLICY",AG292&lt;&gt;"นิติศาสตร์",T292="S1",W292&gt;=1,V292&lt;P292),EDATE(V292,12),AND(AH292="K5-POLICY",AG292&lt;&gt;"นิติศาสตร์",OR(T292="S2",T292="K5")),V292,AND(AH292="K5-POLICY",AG292&lt;&gt;"นิติศาสตร์",OR(K292="M2",K292="K4"),Q292&gt;=2),EDATE(P292,12*2),AND(AH292="K5-POLICY",AG292&lt;&gt;"นิติศาสตร์",K292="S1",Q292&gt;=1),EDATE(P292,12),AND(AH292="K5-POLICY",AG292&lt;&gt;"นิติศาสตร์",OR(K292="S2",K292="K5")),P292,TRUE,"Check Data")</f>
        <v/>
      </c>
      <c r="AJ292" s="75" t="str">
        <f t="shared" si="83"/>
        <v>Check Data</v>
      </c>
      <c r="AK292" s="76" t="str">
        <f t="shared" si="84"/>
        <v>Check Data</v>
      </c>
      <c r="AL292" s="50" t="str">
        <f t="shared" si="85"/>
        <v>Check Data</v>
      </c>
      <c r="AM292" s="49" t="str">
        <f>IF(B292="","",IF(K292="S1","S1",INDEX(#REF!,#REF!)))</f>
        <v/>
      </c>
      <c r="AN292" s="49" t="str">
        <f>K292</f>
        <v>M2</v>
      </c>
      <c r="AO292" s="50" t="b">
        <f>K292=AM292</f>
        <v>0</v>
      </c>
      <c r="AP292" s="50"/>
    </row>
    <row r="293" spans="1:42" ht="21.75">
      <c r="A293" s="49">
        <v>291</v>
      </c>
      <c r="B293" s="50"/>
      <c r="C293" s="52"/>
      <c r="D293" s="50"/>
      <c r="E293" s="49"/>
      <c r="F293" s="49"/>
      <c r="G293" s="50">
        <f t="shared" si="76"/>
        <v>0</v>
      </c>
      <c r="H293" s="50">
        <f t="shared" si="77"/>
        <v>0</v>
      </c>
      <c r="I293" s="50">
        <f t="shared" si="78"/>
        <v>0</v>
      </c>
      <c r="J293" s="50"/>
      <c r="K293" s="49" t="s">
        <v>136</v>
      </c>
      <c r="L293" s="64"/>
      <c r="M293" s="49"/>
      <c r="N293" s="49"/>
      <c r="O293" s="65" t="s">
        <v>442</v>
      </c>
      <c r="P293" s="49" t="str">
        <f t="shared" si="79"/>
        <v>26/11/2024</v>
      </c>
      <c r="Q293" s="68">
        <f t="shared" si="80"/>
        <v>0</v>
      </c>
      <c r="R293" s="68">
        <f t="shared" si="81"/>
        <v>6</v>
      </c>
      <c r="S293" s="68">
        <f t="shared" si="82"/>
        <v>25</v>
      </c>
      <c r="T293" s="65"/>
      <c r="U293" s="65"/>
      <c r="V293" s="49"/>
      <c r="W293" s="68"/>
      <c r="X293" s="68"/>
      <c r="Y293" s="68"/>
      <c r="Z293" s="49"/>
      <c r="AA293" s="65"/>
      <c r="AB293" s="50"/>
      <c r="AC293" s="68"/>
      <c r="AD293" s="68"/>
      <c r="AE293" s="68"/>
      <c r="AF293" s="50"/>
      <c r="AG293" s="50"/>
      <c r="AH293" s="49" t="str">
        <f>IF(AG293="นิติศาสตร์","K5-LAW","K5-POLICY")</f>
        <v>K5-POLICY</v>
      </c>
      <c r="AI293" s="72" t="str">
        <f>_xlfn.IFS(B293="","",AND(AH293="K5-LAW",AG293="นิติศาสตร์",K293="S2",T293="",Z293=""),P293,AND(AH293="K5-LAW",AG293="นิติศาสตร์",K293="S1",T293="",Z293=""),EDATE(P293,12),AND(AH293="K5-LAW",AG293="นิติศาสตร์",OR(K293="M2",K293="K4"),T293="",Z293=""),EDATE(P293,12*2),AND(AH293="K5-LAW",AG293="นิติศาสตร์",OR(Z293="M2",Z293="K4"),AC293&gt;=2,OR(AB293&lt;V293,AB293&lt;P293)),EDATE(AB293,12*2),AND(AH293="K5-LAW",AG293="นิติศาสตร์",Z293="S1",AC293&gt;=1,OR(AB293&lt;V293,AB293&lt;P293)),EDATE(AB293,12),AND(AH293="K5-LAW",AG293="นิติศาสตร์",OR(T293="M2",T293="K4"),W293&gt;=2,V293&lt;P293),EDATE(V293,12*2),AND(AH293="K5-LAW",AG293="นิติศาสตร์",T293="S1",W293&gt;=1,V293&lt;P293),EDATE(V293,12),AND(AH293="K5-LAW",AG293="นิติศาสตร์",OR(T293="S2",T293="K5")),V293,AND(AH293="K5-LAW",AG293="นิติศาสตร์",OR(K293="M2",K293="K4"),Q293&gt;=2),EDATE(P293,12*2),AND(AH293="K5-LAW",AG293="นิติศาสตร์",K293="S1",Q293&gt;=1),EDATE(P293,12),AND(AH293="K5-LAW",AG293="นิติศาสตร์",OR(K293="S2",K293="K5")),P293,AND(AH293="K5-POLICY",AG293&lt;&gt;"นิติศาสตร์",K293="S2",T293="",Z293=""),P293,AND(AH293="K5-POLICY",AG293&lt;&gt;"นิติศาสตร์",K293="S1",T293="",Z293=""),EDATE(P293,12),AND(AH293="K5-POLICY",AG293&lt;&gt;"นิติศาสตร์",OR(K293="M2",K293="K4"),T293="",Z293=""),EDATE(P293,12*2),AND(AH293="K5-POLICY",AG293&lt;&gt;"นิติศาสตร์",OR(Z293="M2",Z293="K4"),AC293&gt;=2,OR(AB293&lt;V293,AB293&lt;P293)),EDATE(AB293,12*2),AND(AH293="K5-POLICY",AG293&lt;&gt;"นิติศาสตร์",Z293="S1",AC293&gt;=1,OR(AB293&lt;V293,AB293&lt;P293)),EDATE(AB293,12),AND(AH293="K5-POLICY",AG293&lt;&gt;"นิติศาสตร์",OR(T293="M2",T293="K4"),W293&gt;=2,V293&lt;P293),EDATE(V293,12*2),AND(AH293="K5-POLICY",AG293&lt;&gt;"นิติศาสตร์",T293="S1",W293&gt;=1,V293&lt;P293),EDATE(V293,12),AND(AH293="K5-POLICY",AG293&lt;&gt;"นิติศาสตร์",OR(T293="S2",T293="K5")),V293,AND(AH293="K5-POLICY",AG293&lt;&gt;"นิติศาสตร์",OR(K293="M2",K293="K4"),Q293&gt;=2),EDATE(P293,12*2),AND(AH293="K5-POLICY",AG293&lt;&gt;"นิติศาสตร์",K293="S1",Q293&gt;=1),EDATE(P293,12),AND(AH293="K5-POLICY",AG293&lt;&gt;"นิติศาสตร์",OR(K293="S2",K293="K5")),P293,TRUE,"Check Data")</f>
        <v/>
      </c>
      <c r="AJ293" s="75" t="str">
        <f t="shared" si="83"/>
        <v>Check Data</v>
      </c>
      <c r="AK293" s="76" t="str">
        <f t="shared" si="84"/>
        <v>Check Data</v>
      </c>
      <c r="AL293" s="50" t="str">
        <f t="shared" si="85"/>
        <v>Check Data</v>
      </c>
      <c r="AM293" s="49" t="str">
        <f>IF(B293="","",IF(K293="S1","S1",INDEX(#REF!,#REF!)))</f>
        <v/>
      </c>
      <c r="AN293" s="49" t="str">
        <f>K293</f>
        <v>M2</v>
      </c>
      <c r="AO293" s="50" t="b">
        <f>K293=AM293</f>
        <v>0</v>
      </c>
      <c r="AP293" s="50"/>
    </row>
    <row r="294" spans="1:42" ht="21.75">
      <c r="A294" s="49">
        <v>292</v>
      </c>
      <c r="B294" s="50"/>
      <c r="C294" s="52"/>
      <c r="D294" s="50"/>
      <c r="E294" s="49"/>
      <c r="F294" s="49"/>
      <c r="G294" s="50">
        <f t="shared" si="76"/>
        <v>0</v>
      </c>
      <c r="H294" s="50">
        <f t="shared" si="77"/>
        <v>0</v>
      </c>
      <c r="I294" s="50">
        <f t="shared" si="78"/>
        <v>0</v>
      </c>
      <c r="J294" s="50"/>
      <c r="K294" s="49" t="s">
        <v>136</v>
      </c>
      <c r="L294" s="64"/>
      <c r="M294" s="49"/>
      <c r="N294" s="49"/>
      <c r="O294" s="65" t="s">
        <v>442</v>
      </c>
      <c r="P294" s="49" t="str">
        <f t="shared" si="79"/>
        <v>26/11/2024</v>
      </c>
      <c r="Q294" s="68">
        <f t="shared" si="80"/>
        <v>0</v>
      </c>
      <c r="R294" s="68">
        <f t="shared" si="81"/>
        <v>6</v>
      </c>
      <c r="S294" s="68">
        <f t="shared" si="82"/>
        <v>25</v>
      </c>
      <c r="T294" s="65"/>
      <c r="U294" s="65"/>
      <c r="V294" s="49"/>
      <c r="W294" s="68"/>
      <c r="X294" s="68"/>
      <c r="Y294" s="68"/>
      <c r="Z294" s="49"/>
      <c r="AA294" s="65"/>
      <c r="AB294" s="50"/>
      <c r="AC294" s="68"/>
      <c r="AD294" s="68"/>
      <c r="AE294" s="68"/>
      <c r="AF294" s="50"/>
      <c r="AG294" s="50"/>
      <c r="AH294" s="49" t="str">
        <f>IF(AG294="นิติศาสตร์","K5-LAW","K5-POLICY")</f>
        <v>K5-POLICY</v>
      </c>
      <c r="AI294" s="72" t="str">
        <f>_xlfn.IFS(B294="","",AND(AH294="K5-LAW",AG294="นิติศาสตร์",K294="S2",T294="",Z294=""),P294,AND(AH294="K5-LAW",AG294="นิติศาสตร์",K294="S1",T294="",Z294=""),EDATE(P294,12),AND(AH294="K5-LAW",AG294="นิติศาสตร์",OR(K294="M2",K294="K4"),T294="",Z294=""),EDATE(P294,12*2),AND(AH294="K5-LAW",AG294="นิติศาสตร์",OR(Z294="M2",Z294="K4"),AC294&gt;=2,OR(AB294&lt;V294,AB294&lt;P294)),EDATE(AB294,12*2),AND(AH294="K5-LAW",AG294="นิติศาสตร์",Z294="S1",AC294&gt;=1,OR(AB294&lt;V294,AB294&lt;P294)),EDATE(AB294,12),AND(AH294="K5-LAW",AG294="นิติศาสตร์",OR(T294="M2",T294="K4"),W294&gt;=2,V294&lt;P294),EDATE(V294,12*2),AND(AH294="K5-LAW",AG294="นิติศาสตร์",T294="S1",W294&gt;=1,V294&lt;P294),EDATE(V294,12),AND(AH294="K5-LAW",AG294="นิติศาสตร์",OR(T294="S2",T294="K5")),V294,AND(AH294="K5-LAW",AG294="นิติศาสตร์",OR(K294="M2",K294="K4"),Q294&gt;=2),EDATE(P294,12*2),AND(AH294="K5-LAW",AG294="นิติศาสตร์",K294="S1",Q294&gt;=1),EDATE(P294,12),AND(AH294="K5-LAW",AG294="นิติศาสตร์",OR(K294="S2",K294="K5")),P294,AND(AH294="K5-POLICY",AG294&lt;&gt;"นิติศาสตร์",K294="S2",T294="",Z294=""),P294,AND(AH294="K5-POLICY",AG294&lt;&gt;"นิติศาสตร์",K294="S1",T294="",Z294=""),EDATE(P294,12),AND(AH294="K5-POLICY",AG294&lt;&gt;"นิติศาสตร์",OR(K294="M2",K294="K4"),T294="",Z294=""),EDATE(P294,12*2),AND(AH294="K5-POLICY",AG294&lt;&gt;"นิติศาสตร์",OR(Z294="M2",Z294="K4"),AC294&gt;=2,OR(AB294&lt;V294,AB294&lt;P294)),EDATE(AB294,12*2),AND(AH294="K5-POLICY",AG294&lt;&gt;"นิติศาสตร์",Z294="S1",AC294&gt;=1,OR(AB294&lt;V294,AB294&lt;P294)),EDATE(AB294,12),AND(AH294="K5-POLICY",AG294&lt;&gt;"นิติศาสตร์",OR(T294="M2",T294="K4"),W294&gt;=2,V294&lt;P294),EDATE(V294,12*2),AND(AH294="K5-POLICY",AG294&lt;&gt;"นิติศาสตร์",T294="S1",W294&gt;=1,V294&lt;P294),EDATE(V294,12),AND(AH294="K5-POLICY",AG294&lt;&gt;"นิติศาสตร์",OR(T294="S2",T294="K5")),V294,AND(AH294="K5-POLICY",AG294&lt;&gt;"นิติศาสตร์",OR(K294="M2",K294="K4"),Q294&gt;=2),EDATE(P294,12*2),AND(AH294="K5-POLICY",AG294&lt;&gt;"นิติศาสตร์",K294="S1",Q294&gt;=1),EDATE(P294,12),AND(AH294="K5-POLICY",AG294&lt;&gt;"นิติศาสตร์",OR(K294="S2",K294="K5")),P294,TRUE,"Check Data")</f>
        <v/>
      </c>
      <c r="AJ294" s="75" t="str">
        <f t="shared" si="83"/>
        <v>Check Data</v>
      </c>
      <c r="AK294" s="76" t="str">
        <f t="shared" si="84"/>
        <v>Check Data</v>
      </c>
      <c r="AL294" s="50" t="str">
        <f t="shared" si="85"/>
        <v>Check Data</v>
      </c>
      <c r="AM294" s="49" t="str">
        <f>IF(B294="","",IF(K294="S1","S1",INDEX(#REF!,#REF!)))</f>
        <v/>
      </c>
      <c r="AN294" s="49" t="str">
        <f>K294</f>
        <v>M2</v>
      </c>
      <c r="AO294" s="50" t="b">
        <f>K294=AM294</f>
        <v>0</v>
      </c>
      <c r="AP294" s="50"/>
    </row>
    <row r="295" spans="1:42" ht="21.75">
      <c r="A295" s="49">
        <v>293</v>
      </c>
      <c r="B295" s="50"/>
      <c r="C295" s="52"/>
      <c r="D295" s="50"/>
      <c r="E295" s="49"/>
      <c r="F295" s="49"/>
      <c r="G295" s="50">
        <f t="shared" si="76"/>
        <v>0</v>
      </c>
      <c r="H295" s="50">
        <f t="shared" si="77"/>
        <v>0</v>
      </c>
      <c r="I295" s="50">
        <f t="shared" si="78"/>
        <v>0</v>
      </c>
      <c r="J295" s="50"/>
      <c r="K295" s="49" t="s">
        <v>136</v>
      </c>
      <c r="L295" s="64"/>
      <c r="M295" s="49"/>
      <c r="N295" s="49"/>
      <c r="O295" s="65" t="s">
        <v>442</v>
      </c>
      <c r="P295" s="49" t="str">
        <f t="shared" si="79"/>
        <v>26/11/2024</v>
      </c>
      <c r="Q295" s="68">
        <f t="shared" si="80"/>
        <v>0</v>
      </c>
      <c r="R295" s="68">
        <f t="shared" si="81"/>
        <v>6</v>
      </c>
      <c r="S295" s="68">
        <f t="shared" si="82"/>
        <v>25</v>
      </c>
      <c r="T295" s="65"/>
      <c r="U295" s="65"/>
      <c r="V295" s="49"/>
      <c r="W295" s="68"/>
      <c r="X295" s="68"/>
      <c r="Y295" s="68"/>
      <c r="Z295" s="49"/>
      <c r="AA295" s="65"/>
      <c r="AB295" s="50"/>
      <c r="AC295" s="68"/>
      <c r="AD295" s="68"/>
      <c r="AE295" s="68"/>
      <c r="AF295" s="50"/>
      <c r="AG295" s="50"/>
      <c r="AH295" s="49" t="str">
        <f>IF(AG295="นิติศาสตร์","K5-LAW","K5-POLICY")</f>
        <v>K5-POLICY</v>
      </c>
      <c r="AI295" s="72" t="str">
        <f>_xlfn.IFS(B295="","",AND(AH295="K5-LAW",AG295="นิติศาสตร์",K295="S2",T295="",Z295=""),P295,AND(AH295="K5-LAW",AG295="นิติศาสตร์",K295="S1",T295="",Z295=""),EDATE(P295,12),AND(AH295="K5-LAW",AG295="นิติศาสตร์",OR(K295="M2",K295="K4"),T295="",Z295=""),EDATE(P295,12*2),AND(AH295="K5-LAW",AG295="นิติศาสตร์",OR(Z295="M2",Z295="K4"),AC295&gt;=2,OR(AB295&lt;V295,AB295&lt;P295)),EDATE(AB295,12*2),AND(AH295="K5-LAW",AG295="นิติศาสตร์",Z295="S1",AC295&gt;=1,OR(AB295&lt;V295,AB295&lt;P295)),EDATE(AB295,12),AND(AH295="K5-LAW",AG295="นิติศาสตร์",OR(T295="M2",T295="K4"),W295&gt;=2,V295&lt;P295),EDATE(V295,12*2),AND(AH295="K5-LAW",AG295="นิติศาสตร์",T295="S1",W295&gt;=1,V295&lt;P295),EDATE(V295,12),AND(AH295="K5-LAW",AG295="นิติศาสตร์",OR(T295="S2",T295="K5")),V295,AND(AH295="K5-LAW",AG295="นิติศาสตร์",OR(K295="M2",K295="K4"),Q295&gt;=2),EDATE(P295,12*2),AND(AH295="K5-LAW",AG295="นิติศาสตร์",K295="S1",Q295&gt;=1),EDATE(P295,12),AND(AH295="K5-LAW",AG295="นิติศาสตร์",OR(K295="S2",K295="K5")),P295,AND(AH295="K5-POLICY",AG295&lt;&gt;"นิติศาสตร์",K295="S2",T295="",Z295=""),P295,AND(AH295="K5-POLICY",AG295&lt;&gt;"นิติศาสตร์",K295="S1",T295="",Z295=""),EDATE(P295,12),AND(AH295="K5-POLICY",AG295&lt;&gt;"นิติศาสตร์",OR(K295="M2",K295="K4"),T295="",Z295=""),EDATE(P295,12*2),AND(AH295="K5-POLICY",AG295&lt;&gt;"นิติศาสตร์",OR(Z295="M2",Z295="K4"),AC295&gt;=2,OR(AB295&lt;V295,AB295&lt;P295)),EDATE(AB295,12*2),AND(AH295="K5-POLICY",AG295&lt;&gt;"นิติศาสตร์",Z295="S1",AC295&gt;=1,OR(AB295&lt;V295,AB295&lt;P295)),EDATE(AB295,12),AND(AH295="K5-POLICY",AG295&lt;&gt;"นิติศาสตร์",OR(T295="M2",T295="K4"),W295&gt;=2,V295&lt;P295),EDATE(V295,12*2),AND(AH295="K5-POLICY",AG295&lt;&gt;"นิติศาสตร์",T295="S1",W295&gt;=1,V295&lt;P295),EDATE(V295,12),AND(AH295="K5-POLICY",AG295&lt;&gt;"นิติศาสตร์",OR(T295="S2",T295="K5")),V295,AND(AH295="K5-POLICY",AG295&lt;&gt;"นิติศาสตร์",OR(K295="M2",K295="K4"),Q295&gt;=2),EDATE(P295,12*2),AND(AH295="K5-POLICY",AG295&lt;&gt;"นิติศาสตร์",K295="S1",Q295&gt;=1),EDATE(P295,12),AND(AH295="K5-POLICY",AG295&lt;&gt;"นิติศาสตร์",OR(K295="S2",K295="K5")),P295,TRUE,"Check Data")</f>
        <v/>
      </c>
      <c r="AJ295" s="75" t="str">
        <f t="shared" si="83"/>
        <v>Check Data</v>
      </c>
      <c r="AK295" s="76" t="str">
        <f t="shared" si="84"/>
        <v>Check Data</v>
      </c>
      <c r="AL295" s="50" t="str">
        <f t="shared" si="85"/>
        <v>Check Data</v>
      </c>
      <c r="AM295" s="49" t="str">
        <f>IF(B295="","",IF(K295="S1","S1",INDEX(#REF!,#REF!)))</f>
        <v/>
      </c>
      <c r="AN295" s="49" t="str">
        <f>K295</f>
        <v>M2</v>
      </c>
      <c r="AO295" s="50" t="b">
        <f>K295=AM295</f>
        <v>0</v>
      </c>
      <c r="AP295" s="50"/>
    </row>
    <row r="296" spans="1:42" ht="21.75">
      <c r="A296" s="49">
        <v>294</v>
      </c>
      <c r="B296" s="50"/>
      <c r="C296" s="52"/>
      <c r="D296" s="50"/>
      <c r="E296" s="49"/>
      <c r="F296" s="49"/>
      <c r="G296" s="50">
        <f t="shared" si="76"/>
        <v>0</v>
      </c>
      <c r="H296" s="50">
        <f t="shared" si="77"/>
        <v>0</v>
      </c>
      <c r="I296" s="50">
        <f t="shared" si="78"/>
        <v>0</v>
      </c>
      <c r="J296" s="50"/>
      <c r="K296" s="49" t="s">
        <v>136</v>
      </c>
      <c r="L296" s="64"/>
      <c r="M296" s="49"/>
      <c r="N296" s="49"/>
      <c r="O296" s="65" t="s">
        <v>442</v>
      </c>
      <c r="P296" s="49" t="str">
        <f t="shared" si="79"/>
        <v>26/11/2024</v>
      </c>
      <c r="Q296" s="68">
        <f t="shared" si="80"/>
        <v>0</v>
      </c>
      <c r="R296" s="68">
        <f t="shared" si="81"/>
        <v>6</v>
      </c>
      <c r="S296" s="68">
        <f t="shared" si="82"/>
        <v>25</v>
      </c>
      <c r="T296" s="65"/>
      <c r="U296" s="65"/>
      <c r="V296" s="49"/>
      <c r="W296" s="68"/>
      <c r="X296" s="68"/>
      <c r="Y296" s="68"/>
      <c r="Z296" s="49"/>
      <c r="AA296" s="65"/>
      <c r="AB296" s="50"/>
      <c r="AC296" s="68"/>
      <c r="AD296" s="68"/>
      <c r="AE296" s="68"/>
      <c r="AF296" s="50"/>
      <c r="AG296" s="50"/>
      <c r="AH296" s="49" t="str">
        <f>IF(AG296="นิติศาสตร์","K5-LAW","K5-POLICY")</f>
        <v>K5-POLICY</v>
      </c>
      <c r="AI296" s="72" t="str">
        <f>_xlfn.IFS(B296="","",AND(AH296="K5-LAW",AG296="นิติศาสตร์",K296="S2",T296="",Z296=""),P296,AND(AH296="K5-LAW",AG296="นิติศาสตร์",K296="S1",T296="",Z296=""),EDATE(P296,12),AND(AH296="K5-LAW",AG296="นิติศาสตร์",OR(K296="M2",K296="K4"),T296="",Z296=""),EDATE(P296,12*2),AND(AH296="K5-LAW",AG296="นิติศาสตร์",OR(Z296="M2",Z296="K4"),AC296&gt;=2,OR(AB296&lt;V296,AB296&lt;P296)),EDATE(AB296,12*2),AND(AH296="K5-LAW",AG296="นิติศาสตร์",Z296="S1",AC296&gt;=1,OR(AB296&lt;V296,AB296&lt;P296)),EDATE(AB296,12),AND(AH296="K5-LAW",AG296="นิติศาสตร์",OR(T296="M2",T296="K4"),W296&gt;=2,V296&lt;P296),EDATE(V296,12*2),AND(AH296="K5-LAW",AG296="นิติศาสตร์",T296="S1",W296&gt;=1,V296&lt;P296),EDATE(V296,12),AND(AH296="K5-LAW",AG296="นิติศาสตร์",OR(T296="S2",T296="K5")),V296,AND(AH296="K5-LAW",AG296="นิติศาสตร์",OR(K296="M2",K296="K4"),Q296&gt;=2),EDATE(P296,12*2),AND(AH296="K5-LAW",AG296="นิติศาสตร์",K296="S1",Q296&gt;=1),EDATE(P296,12),AND(AH296="K5-LAW",AG296="นิติศาสตร์",OR(K296="S2",K296="K5")),P296,AND(AH296="K5-POLICY",AG296&lt;&gt;"นิติศาสตร์",K296="S2",T296="",Z296=""),P296,AND(AH296="K5-POLICY",AG296&lt;&gt;"นิติศาสตร์",K296="S1",T296="",Z296=""),EDATE(P296,12),AND(AH296="K5-POLICY",AG296&lt;&gt;"นิติศาสตร์",OR(K296="M2",K296="K4"),T296="",Z296=""),EDATE(P296,12*2),AND(AH296="K5-POLICY",AG296&lt;&gt;"นิติศาสตร์",OR(Z296="M2",Z296="K4"),AC296&gt;=2,OR(AB296&lt;V296,AB296&lt;P296)),EDATE(AB296,12*2),AND(AH296="K5-POLICY",AG296&lt;&gt;"นิติศาสตร์",Z296="S1",AC296&gt;=1,OR(AB296&lt;V296,AB296&lt;P296)),EDATE(AB296,12),AND(AH296="K5-POLICY",AG296&lt;&gt;"นิติศาสตร์",OR(T296="M2",T296="K4"),W296&gt;=2,V296&lt;P296),EDATE(V296,12*2),AND(AH296="K5-POLICY",AG296&lt;&gt;"นิติศาสตร์",T296="S1",W296&gt;=1,V296&lt;P296),EDATE(V296,12),AND(AH296="K5-POLICY",AG296&lt;&gt;"นิติศาสตร์",OR(T296="S2",T296="K5")),V296,AND(AH296="K5-POLICY",AG296&lt;&gt;"นิติศาสตร์",OR(K296="M2",K296="K4"),Q296&gt;=2),EDATE(P296,12*2),AND(AH296="K5-POLICY",AG296&lt;&gt;"นิติศาสตร์",K296="S1",Q296&gt;=1),EDATE(P296,12),AND(AH296="K5-POLICY",AG296&lt;&gt;"นิติศาสตร์",OR(K296="S2",K296="K5")),P296,TRUE,"Check Data")</f>
        <v/>
      </c>
      <c r="AJ296" s="75" t="str">
        <f t="shared" si="83"/>
        <v>Check Data</v>
      </c>
      <c r="AK296" s="76" t="str">
        <f t="shared" si="84"/>
        <v>Check Data</v>
      </c>
      <c r="AL296" s="50" t="str">
        <f t="shared" si="85"/>
        <v>Check Data</v>
      </c>
      <c r="AM296" s="49" t="str">
        <f>IF(B296="","",IF(K296="S1","S1",INDEX(#REF!,#REF!)))</f>
        <v/>
      </c>
      <c r="AN296" s="49" t="str">
        <f>K296</f>
        <v>M2</v>
      </c>
      <c r="AO296" s="50" t="b">
        <f>K296=AM296</f>
        <v>0</v>
      </c>
      <c r="AP296" s="50"/>
    </row>
    <row r="297" spans="1:42" ht="21.75">
      <c r="A297" s="49">
        <v>295</v>
      </c>
      <c r="B297" s="50"/>
      <c r="C297" s="52"/>
      <c r="D297" s="50"/>
      <c r="E297" s="49"/>
      <c r="F297" s="49"/>
      <c r="G297" s="50">
        <f t="shared" si="76"/>
        <v>0</v>
      </c>
      <c r="H297" s="50">
        <f t="shared" si="77"/>
        <v>0</v>
      </c>
      <c r="I297" s="50">
        <f t="shared" si="78"/>
        <v>0</v>
      </c>
      <c r="J297" s="50"/>
      <c r="K297" s="49" t="s">
        <v>136</v>
      </c>
      <c r="L297" s="64"/>
      <c r="M297" s="49"/>
      <c r="N297" s="49"/>
      <c r="O297" s="65" t="s">
        <v>442</v>
      </c>
      <c r="P297" s="49" t="str">
        <f t="shared" si="79"/>
        <v>26/11/2024</v>
      </c>
      <c r="Q297" s="68">
        <f t="shared" si="80"/>
        <v>0</v>
      </c>
      <c r="R297" s="68">
        <f t="shared" si="81"/>
        <v>6</v>
      </c>
      <c r="S297" s="68">
        <f t="shared" si="82"/>
        <v>25</v>
      </c>
      <c r="T297" s="65"/>
      <c r="U297" s="65"/>
      <c r="V297" s="49"/>
      <c r="W297" s="68"/>
      <c r="X297" s="68"/>
      <c r="Y297" s="68"/>
      <c r="Z297" s="49"/>
      <c r="AA297" s="65"/>
      <c r="AB297" s="50"/>
      <c r="AC297" s="68"/>
      <c r="AD297" s="68"/>
      <c r="AE297" s="68"/>
      <c r="AF297" s="50"/>
      <c r="AG297" s="50"/>
      <c r="AH297" s="49" t="str">
        <f>IF(AG297="นิติศาสตร์","K5-LAW","K5-POLICY")</f>
        <v>K5-POLICY</v>
      </c>
      <c r="AI297" s="72" t="str">
        <f>_xlfn.IFS(B297="","",AND(AH297="K5-LAW",AG297="นิติศาสตร์",K297="S2",T297="",Z297=""),P297,AND(AH297="K5-LAW",AG297="นิติศาสตร์",K297="S1",T297="",Z297=""),EDATE(P297,12),AND(AH297="K5-LAW",AG297="นิติศาสตร์",OR(K297="M2",K297="K4"),T297="",Z297=""),EDATE(P297,12*2),AND(AH297="K5-LAW",AG297="นิติศาสตร์",OR(Z297="M2",Z297="K4"),AC297&gt;=2,OR(AB297&lt;V297,AB297&lt;P297)),EDATE(AB297,12*2),AND(AH297="K5-LAW",AG297="นิติศาสตร์",Z297="S1",AC297&gt;=1,OR(AB297&lt;V297,AB297&lt;P297)),EDATE(AB297,12),AND(AH297="K5-LAW",AG297="นิติศาสตร์",OR(T297="M2",T297="K4"),W297&gt;=2,V297&lt;P297),EDATE(V297,12*2),AND(AH297="K5-LAW",AG297="นิติศาสตร์",T297="S1",W297&gt;=1,V297&lt;P297),EDATE(V297,12),AND(AH297="K5-LAW",AG297="นิติศาสตร์",OR(T297="S2",T297="K5")),V297,AND(AH297="K5-LAW",AG297="นิติศาสตร์",OR(K297="M2",K297="K4"),Q297&gt;=2),EDATE(P297,12*2),AND(AH297="K5-LAW",AG297="นิติศาสตร์",K297="S1",Q297&gt;=1),EDATE(P297,12),AND(AH297="K5-LAW",AG297="นิติศาสตร์",OR(K297="S2",K297="K5")),P297,AND(AH297="K5-POLICY",AG297&lt;&gt;"นิติศาสตร์",K297="S2",T297="",Z297=""),P297,AND(AH297="K5-POLICY",AG297&lt;&gt;"นิติศาสตร์",K297="S1",T297="",Z297=""),EDATE(P297,12),AND(AH297="K5-POLICY",AG297&lt;&gt;"นิติศาสตร์",OR(K297="M2",K297="K4"),T297="",Z297=""),EDATE(P297,12*2),AND(AH297="K5-POLICY",AG297&lt;&gt;"นิติศาสตร์",OR(Z297="M2",Z297="K4"),AC297&gt;=2,OR(AB297&lt;V297,AB297&lt;P297)),EDATE(AB297,12*2),AND(AH297="K5-POLICY",AG297&lt;&gt;"นิติศาสตร์",Z297="S1",AC297&gt;=1,OR(AB297&lt;V297,AB297&lt;P297)),EDATE(AB297,12),AND(AH297="K5-POLICY",AG297&lt;&gt;"นิติศาสตร์",OR(T297="M2",T297="K4"),W297&gt;=2,V297&lt;P297),EDATE(V297,12*2),AND(AH297="K5-POLICY",AG297&lt;&gt;"นิติศาสตร์",T297="S1",W297&gt;=1,V297&lt;P297),EDATE(V297,12),AND(AH297="K5-POLICY",AG297&lt;&gt;"นิติศาสตร์",OR(T297="S2",T297="K5")),V297,AND(AH297="K5-POLICY",AG297&lt;&gt;"นิติศาสตร์",OR(K297="M2",K297="K4"),Q297&gt;=2),EDATE(P297,12*2),AND(AH297="K5-POLICY",AG297&lt;&gt;"นิติศาสตร์",K297="S1",Q297&gt;=1),EDATE(P297,12),AND(AH297="K5-POLICY",AG297&lt;&gt;"นิติศาสตร์",OR(K297="S2",K297="K5")),P297,TRUE,"Check Data")</f>
        <v/>
      </c>
      <c r="AJ297" s="75" t="str">
        <f t="shared" si="83"/>
        <v>Check Data</v>
      </c>
      <c r="AK297" s="76" t="str">
        <f t="shared" si="84"/>
        <v>Check Data</v>
      </c>
      <c r="AL297" s="50" t="str">
        <f t="shared" si="85"/>
        <v>Check Data</v>
      </c>
      <c r="AM297" s="49" t="str">
        <f>IF(B297="","",IF(K297="S1","S1",INDEX(#REF!,#REF!)))</f>
        <v/>
      </c>
      <c r="AN297" s="49" t="str">
        <f>K297</f>
        <v>M2</v>
      </c>
      <c r="AO297" s="50" t="b">
        <f>K297=AM297</f>
        <v>0</v>
      </c>
      <c r="AP297" s="50"/>
    </row>
    <row r="298" spans="1:42" ht="21.75">
      <c r="A298" s="49">
        <v>296</v>
      </c>
      <c r="B298" s="50"/>
      <c r="C298" s="52"/>
      <c r="D298" s="50"/>
      <c r="E298" s="49"/>
      <c r="F298" s="49"/>
      <c r="G298" s="50">
        <f t="shared" si="76"/>
        <v>0</v>
      </c>
      <c r="H298" s="50">
        <f t="shared" si="77"/>
        <v>0</v>
      </c>
      <c r="I298" s="50">
        <f t="shared" si="78"/>
        <v>0</v>
      </c>
      <c r="J298" s="50"/>
      <c r="K298" s="49" t="s">
        <v>136</v>
      </c>
      <c r="L298" s="64"/>
      <c r="M298" s="49"/>
      <c r="N298" s="49"/>
      <c r="O298" s="65" t="s">
        <v>442</v>
      </c>
      <c r="P298" s="49" t="str">
        <f t="shared" si="79"/>
        <v>26/11/2024</v>
      </c>
      <c r="Q298" s="68">
        <f t="shared" si="80"/>
        <v>0</v>
      </c>
      <c r="R298" s="68">
        <f t="shared" si="81"/>
        <v>6</v>
      </c>
      <c r="S298" s="68">
        <f t="shared" si="82"/>
        <v>25</v>
      </c>
      <c r="T298" s="65"/>
      <c r="U298" s="65"/>
      <c r="V298" s="49"/>
      <c r="W298" s="68"/>
      <c r="X298" s="68"/>
      <c r="Y298" s="68"/>
      <c r="Z298" s="49"/>
      <c r="AA298" s="65"/>
      <c r="AB298" s="50"/>
      <c r="AC298" s="68"/>
      <c r="AD298" s="68"/>
      <c r="AE298" s="68"/>
      <c r="AF298" s="50"/>
      <c r="AG298" s="50"/>
      <c r="AH298" s="49" t="str">
        <f>IF(AG298="นิติศาสตร์","K5-LAW","K5-POLICY")</f>
        <v>K5-POLICY</v>
      </c>
      <c r="AI298" s="72" t="str">
        <f>_xlfn.IFS(B298="","",AND(AH298="K5-LAW",AG298="นิติศาสตร์",K298="S2",T298="",Z298=""),P298,AND(AH298="K5-LAW",AG298="นิติศาสตร์",K298="S1",T298="",Z298=""),EDATE(P298,12),AND(AH298="K5-LAW",AG298="นิติศาสตร์",OR(K298="M2",K298="K4"),T298="",Z298=""),EDATE(P298,12*2),AND(AH298="K5-LAW",AG298="นิติศาสตร์",OR(Z298="M2",Z298="K4"),AC298&gt;=2,OR(AB298&lt;V298,AB298&lt;P298)),EDATE(AB298,12*2),AND(AH298="K5-LAW",AG298="นิติศาสตร์",Z298="S1",AC298&gt;=1,OR(AB298&lt;V298,AB298&lt;P298)),EDATE(AB298,12),AND(AH298="K5-LAW",AG298="นิติศาสตร์",OR(T298="M2",T298="K4"),W298&gt;=2,V298&lt;P298),EDATE(V298,12*2),AND(AH298="K5-LAW",AG298="นิติศาสตร์",T298="S1",W298&gt;=1,V298&lt;P298),EDATE(V298,12),AND(AH298="K5-LAW",AG298="นิติศาสตร์",OR(T298="S2",T298="K5")),V298,AND(AH298="K5-LAW",AG298="นิติศาสตร์",OR(K298="M2",K298="K4"),Q298&gt;=2),EDATE(P298,12*2),AND(AH298="K5-LAW",AG298="นิติศาสตร์",K298="S1",Q298&gt;=1),EDATE(P298,12),AND(AH298="K5-LAW",AG298="นิติศาสตร์",OR(K298="S2",K298="K5")),P298,AND(AH298="K5-POLICY",AG298&lt;&gt;"นิติศาสตร์",K298="S2",T298="",Z298=""),P298,AND(AH298="K5-POLICY",AG298&lt;&gt;"นิติศาสตร์",K298="S1",T298="",Z298=""),EDATE(P298,12),AND(AH298="K5-POLICY",AG298&lt;&gt;"นิติศาสตร์",OR(K298="M2",K298="K4"),T298="",Z298=""),EDATE(P298,12*2),AND(AH298="K5-POLICY",AG298&lt;&gt;"นิติศาสตร์",OR(Z298="M2",Z298="K4"),AC298&gt;=2,OR(AB298&lt;V298,AB298&lt;P298)),EDATE(AB298,12*2),AND(AH298="K5-POLICY",AG298&lt;&gt;"นิติศาสตร์",Z298="S1",AC298&gt;=1,OR(AB298&lt;V298,AB298&lt;P298)),EDATE(AB298,12),AND(AH298="K5-POLICY",AG298&lt;&gt;"นิติศาสตร์",OR(T298="M2",T298="K4"),W298&gt;=2,V298&lt;P298),EDATE(V298,12*2),AND(AH298="K5-POLICY",AG298&lt;&gt;"นิติศาสตร์",T298="S1",W298&gt;=1,V298&lt;P298),EDATE(V298,12),AND(AH298="K5-POLICY",AG298&lt;&gt;"นิติศาสตร์",OR(T298="S2",T298="K5")),V298,AND(AH298="K5-POLICY",AG298&lt;&gt;"นิติศาสตร์",OR(K298="M2",K298="K4"),Q298&gt;=2),EDATE(P298,12*2),AND(AH298="K5-POLICY",AG298&lt;&gt;"นิติศาสตร์",K298="S1",Q298&gt;=1),EDATE(P298,12),AND(AH298="K5-POLICY",AG298&lt;&gt;"นิติศาสตร์",OR(K298="S2",K298="K5")),P298,TRUE,"Check Data")</f>
        <v/>
      </c>
      <c r="AJ298" s="75" t="str">
        <f t="shared" si="83"/>
        <v>Check Data</v>
      </c>
      <c r="AK298" s="76" t="str">
        <f t="shared" si="84"/>
        <v>Check Data</v>
      </c>
      <c r="AL298" s="50" t="str">
        <f t="shared" si="85"/>
        <v>Check Data</v>
      </c>
      <c r="AM298" s="49" t="str">
        <f>IF(B298="","",IF(K298="S1","S1",INDEX(#REF!,#REF!)))</f>
        <v/>
      </c>
      <c r="AN298" s="49" t="str">
        <f>K298</f>
        <v>M2</v>
      </c>
      <c r="AO298" s="50" t="b">
        <f>K298=AM298</f>
        <v>0</v>
      </c>
      <c r="AP298" s="50"/>
    </row>
    <row r="299" spans="1:42" ht="21.75">
      <c r="A299" s="49">
        <v>297</v>
      </c>
      <c r="B299" s="50"/>
      <c r="C299" s="52"/>
      <c r="D299" s="50"/>
      <c r="E299" s="49"/>
      <c r="F299" s="49"/>
      <c r="G299" s="50">
        <f t="shared" si="76"/>
        <v>0</v>
      </c>
      <c r="H299" s="50">
        <f t="shared" si="77"/>
        <v>0</v>
      </c>
      <c r="I299" s="50">
        <f t="shared" si="78"/>
        <v>0</v>
      </c>
      <c r="J299" s="50"/>
      <c r="K299" s="49" t="s">
        <v>136</v>
      </c>
      <c r="L299" s="64"/>
      <c r="M299" s="49"/>
      <c r="N299" s="49"/>
      <c r="O299" s="65" t="s">
        <v>442</v>
      </c>
      <c r="P299" s="49" t="str">
        <f t="shared" si="79"/>
        <v>26/11/2024</v>
      </c>
      <c r="Q299" s="68">
        <f t="shared" si="80"/>
        <v>0</v>
      </c>
      <c r="R299" s="68">
        <f t="shared" si="81"/>
        <v>6</v>
      </c>
      <c r="S299" s="68">
        <f t="shared" si="82"/>
        <v>25</v>
      </c>
      <c r="T299" s="65"/>
      <c r="U299" s="65"/>
      <c r="V299" s="49"/>
      <c r="W299" s="68"/>
      <c r="X299" s="68"/>
      <c r="Y299" s="68"/>
      <c r="Z299" s="49"/>
      <c r="AA299" s="65"/>
      <c r="AB299" s="50"/>
      <c r="AC299" s="68"/>
      <c r="AD299" s="68"/>
      <c r="AE299" s="68"/>
      <c r="AF299" s="50"/>
      <c r="AG299" s="50"/>
      <c r="AH299" s="49" t="str">
        <f>IF(AG299="นิติศาสตร์","K5-LAW","K5-POLICY")</f>
        <v>K5-POLICY</v>
      </c>
      <c r="AI299" s="72" t="str">
        <f>_xlfn.IFS(B299="","",AND(AH299="K5-LAW",AG299="นิติศาสตร์",K299="S2",T299="",Z299=""),P299,AND(AH299="K5-LAW",AG299="นิติศาสตร์",K299="S1",T299="",Z299=""),EDATE(P299,12),AND(AH299="K5-LAW",AG299="นิติศาสตร์",OR(K299="M2",K299="K4"),T299="",Z299=""),EDATE(P299,12*2),AND(AH299="K5-LAW",AG299="นิติศาสตร์",OR(Z299="M2",Z299="K4"),AC299&gt;=2,OR(AB299&lt;V299,AB299&lt;P299)),EDATE(AB299,12*2),AND(AH299="K5-LAW",AG299="นิติศาสตร์",Z299="S1",AC299&gt;=1,OR(AB299&lt;V299,AB299&lt;P299)),EDATE(AB299,12),AND(AH299="K5-LAW",AG299="นิติศาสตร์",OR(T299="M2",T299="K4"),W299&gt;=2,V299&lt;P299),EDATE(V299,12*2),AND(AH299="K5-LAW",AG299="นิติศาสตร์",T299="S1",W299&gt;=1,V299&lt;P299),EDATE(V299,12),AND(AH299="K5-LAW",AG299="นิติศาสตร์",OR(T299="S2",T299="K5")),V299,AND(AH299="K5-LAW",AG299="นิติศาสตร์",OR(K299="M2",K299="K4"),Q299&gt;=2),EDATE(P299,12*2),AND(AH299="K5-LAW",AG299="นิติศาสตร์",K299="S1",Q299&gt;=1),EDATE(P299,12),AND(AH299="K5-LAW",AG299="นิติศาสตร์",OR(K299="S2",K299="K5")),P299,AND(AH299="K5-POLICY",AG299&lt;&gt;"นิติศาสตร์",K299="S2",T299="",Z299=""),P299,AND(AH299="K5-POLICY",AG299&lt;&gt;"นิติศาสตร์",K299="S1",T299="",Z299=""),EDATE(P299,12),AND(AH299="K5-POLICY",AG299&lt;&gt;"นิติศาสตร์",OR(K299="M2",K299="K4"),T299="",Z299=""),EDATE(P299,12*2),AND(AH299="K5-POLICY",AG299&lt;&gt;"นิติศาสตร์",OR(Z299="M2",Z299="K4"),AC299&gt;=2,OR(AB299&lt;V299,AB299&lt;P299)),EDATE(AB299,12*2),AND(AH299="K5-POLICY",AG299&lt;&gt;"นิติศาสตร์",Z299="S1",AC299&gt;=1,OR(AB299&lt;V299,AB299&lt;P299)),EDATE(AB299,12),AND(AH299="K5-POLICY",AG299&lt;&gt;"นิติศาสตร์",OR(T299="M2",T299="K4"),W299&gt;=2,V299&lt;P299),EDATE(V299,12*2),AND(AH299="K5-POLICY",AG299&lt;&gt;"นิติศาสตร์",T299="S1",W299&gt;=1,V299&lt;P299),EDATE(V299,12),AND(AH299="K5-POLICY",AG299&lt;&gt;"นิติศาสตร์",OR(T299="S2",T299="K5")),V299,AND(AH299="K5-POLICY",AG299&lt;&gt;"นิติศาสตร์",OR(K299="M2",K299="K4"),Q299&gt;=2),EDATE(P299,12*2),AND(AH299="K5-POLICY",AG299&lt;&gt;"นิติศาสตร์",K299="S1",Q299&gt;=1),EDATE(P299,12),AND(AH299="K5-POLICY",AG299&lt;&gt;"นิติศาสตร์",OR(K299="S2",K299="K5")),P299,TRUE,"Check Data")</f>
        <v/>
      </c>
      <c r="AJ299" s="75" t="str">
        <f t="shared" si="83"/>
        <v>Check Data</v>
      </c>
      <c r="AK299" s="76" t="str">
        <f t="shared" si="84"/>
        <v>Check Data</v>
      </c>
      <c r="AL299" s="50" t="str">
        <f t="shared" si="85"/>
        <v>Check Data</v>
      </c>
      <c r="AM299" s="49" t="str">
        <f>IF(B299="","",IF(K299="S1","S1",INDEX(#REF!,#REF!)))</f>
        <v/>
      </c>
      <c r="AN299" s="49" t="str">
        <f>K299</f>
        <v>M2</v>
      </c>
      <c r="AO299" s="50" t="b">
        <f>K299=AM299</f>
        <v>0</v>
      </c>
      <c r="AP299" s="50"/>
    </row>
    <row r="300" spans="1:42" ht="21.75">
      <c r="A300" s="49">
        <v>298</v>
      </c>
      <c r="B300" s="50"/>
      <c r="C300" s="52"/>
      <c r="D300" s="50"/>
      <c r="E300" s="49"/>
      <c r="F300" s="49"/>
      <c r="G300" s="50">
        <f t="shared" si="76"/>
        <v>0</v>
      </c>
      <c r="H300" s="50">
        <f t="shared" si="77"/>
        <v>0</v>
      </c>
      <c r="I300" s="50">
        <f t="shared" si="78"/>
        <v>0</v>
      </c>
      <c r="J300" s="50"/>
      <c r="K300" s="49" t="s">
        <v>136</v>
      </c>
      <c r="L300" s="64"/>
      <c r="M300" s="49"/>
      <c r="N300" s="49"/>
      <c r="O300" s="65" t="s">
        <v>442</v>
      </c>
      <c r="P300" s="49" t="str">
        <f t="shared" si="79"/>
        <v>26/11/2024</v>
      </c>
      <c r="Q300" s="68">
        <f t="shared" si="80"/>
        <v>0</v>
      </c>
      <c r="R300" s="68">
        <f t="shared" si="81"/>
        <v>6</v>
      </c>
      <c r="S300" s="68">
        <f t="shared" si="82"/>
        <v>25</v>
      </c>
      <c r="T300" s="65"/>
      <c r="U300" s="65"/>
      <c r="V300" s="49"/>
      <c r="W300" s="68"/>
      <c r="X300" s="68"/>
      <c r="Y300" s="68"/>
      <c r="Z300" s="49"/>
      <c r="AA300" s="65"/>
      <c r="AB300" s="50"/>
      <c r="AC300" s="68"/>
      <c r="AD300" s="68"/>
      <c r="AE300" s="68"/>
      <c r="AF300" s="50"/>
      <c r="AG300" s="50"/>
      <c r="AH300" s="49" t="str">
        <f>IF(AG300="นิติศาสตร์","K5-LAW","K5-POLICY")</f>
        <v>K5-POLICY</v>
      </c>
      <c r="AI300" s="72" t="str">
        <f>_xlfn.IFS(B300="","",AND(AH300="K5-LAW",AG300="นิติศาสตร์",K300="S2",T300="",Z300=""),P300,AND(AH300="K5-LAW",AG300="นิติศาสตร์",K300="S1",T300="",Z300=""),EDATE(P300,12),AND(AH300="K5-LAW",AG300="นิติศาสตร์",OR(K300="M2",K300="K4"),T300="",Z300=""),EDATE(P300,12*2),AND(AH300="K5-LAW",AG300="นิติศาสตร์",OR(Z300="M2",Z300="K4"),AC300&gt;=2,OR(AB300&lt;V300,AB300&lt;P300)),EDATE(AB300,12*2),AND(AH300="K5-LAW",AG300="นิติศาสตร์",Z300="S1",AC300&gt;=1,OR(AB300&lt;V300,AB300&lt;P300)),EDATE(AB300,12),AND(AH300="K5-LAW",AG300="นิติศาสตร์",OR(T300="M2",T300="K4"),W300&gt;=2,V300&lt;P300),EDATE(V300,12*2),AND(AH300="K5-LAW",AG300="นิติศาสตร์",T300="S1",W300&gt;=1,V300&lt;P300),EDATE(V300,12),AND(AH300="K5-LAW",AG300="นิติศาสตร์",OR(T300="S2",T300="K5")),V300,AND(AH300="K5-LAW",AG300="นิติศาสตร์",OR(K300="M2",K300="K4"),Q300&gt;=2),EDATE(P300,12*2),AND(AH300="K5-LAW",AG300="นิติศาสตร์",K300="S1",Q300&gt;=1),EDATE(P300,12),AND(AH300="K5-LAW",AG300="นิติศาสตร์",OR(K300="S2",K300="K5")),P300,AND(AH300="K5-POLICY",AG300&lt;&gt;"นิติศาสตร์",K300="S2",T300="",Z300=""),P300,AND(AH300="K5-POLICY",AG300&lt;&gt;"นิติศาสตร์",K300="S1",T300="",Z300=""),EDATE(P300,12),AND(AH300="K5-POLICY",AG300&lt;&gt;"นิติศาสตร์",OR(K300="M2",K300="K4"),T300="",Z300=""),EDATE(P300,12*2),AND(AH300="K5-POLICY",AG300&lt;&gt;"นิติศาสตร์",OR(Z300="M2",Z300="K4"),AC300&gt;=2,OR(AB300&lt;V300,AB300&lt;P300)),EDATE(AB300,12*2),AND(AH300="K5-POLICY",AG300&lt;&gt;"นิติศาสตร์",Z300="S1",AC300&gt;=1,OR(AB300&lt;V300,AB300&lt;P300)),EDATE(AB300,12),AND(AH300="K5-POLICY",AG300&lt;&gt;"นิติศาสตร์",OR(T300="M2",T300="K4"),W300&gt;=2,V300&lt;P300),EDATE(V300,12*2),AND(AH300="K5-POLICY",AG300&lt;&gt;"นิติศาสตร์",T300="S1",W300&gt;=1,V300&lt;P300),EDATE(V300,12),AND(AH300="K5-POLICY",AG300&lt;&gt;"นิติศาสตร์",OR(T300="S2",T300="K5")),V300,AND(AH300="K5-POLICY",AG300&lt;&gt;"นิติศาสตร์",OR(K300="M2",K300="K4"),Q300&gt;=2),EDATE(P300,12*2),AND(AH300="K5-POLICY",AG300&lt;&gt;"นิติศาสตร์",K300="S1",Q300&gt;=1),EDATE(P300,12),AND(AH300="K5-POLICY",AG300&lt;&gt;"นิติศาสตร์",OR(K300="S2",K300="K5")),P300,TRUE,"Check Data")</f>
        <v/>
      </c>
      <c r="AJ300" s="75" t="str">
        <f t="shared" si="83"/>
        <v>Check Data</v>
      </c>
      <c r="AK300" s="76" t="str">
        <f t="shared" si="84"/>
        <v>Check Data</v>
      </c>
      <c r="AL300" s="50" t="str">
        <f t="shared" si="85"/>
        <v>Check Data</v>
      </c>
      <c r="AM300" s="49" t="str">
        <f>IF(B300="","",IF(K300="S1","S1",INDEX(#REF!,#REF!)))</f>
        <v/>
      </c>
      <c r="AN300" s="49" t="str">
        <f>K300</f>
        <v>M2</v>
      </c>
      <c r="AO300" s="50" t="b">
        <f>K300=AM300</f>
        <v>0</v>
      </c>
      <c r="AP300" s="50"/>
    </row>
    <row r="301" spans="1:42" ht="21.75">
      <c r="A301" s="49">
        <v>299</v>
      </c>
      <c r="B301" s="50"/>
      <c r="C301" s="52"/>
      <c r="D301" s="50"/>
      <c r="E301" s="49"/>
      <c r="F301" s="49"/>
      <c r="G301" s="50">
        <f t="shared" si="76"/>
        <v>0</v>
      </c>
      <c r="H301" s="50">
        <f t="shared" si="77"/>
        <v>0</v>
      </c>
      <c r="I301" s="50">
        <f t="shared" si="78"/>
        <v>0</v>
      </c>
      <c r="J301" s="50"/>
      <c r="K301" s="49" t="s">
        <v>136</v>
      </c>
      <c r="L301" s="64"/>
      <c r="M301" s="49"/>
      <c r="N301" s="49"/>
      <c r="O301" s="65" t="s">
        <v>442</v>
      </c>
      <c r="P301" s="49" t="str">
        <f t="shared" si="79"/>
        <v>26/11/2024</v>
      </c>
      <c r="Q301" s="68">
        <f t="shared" si="80"/>
        <v>0</v>
      </c>
      <c r="R301" s="68">
        <f t="shared" si="81"/>
        <v>6</v>
      </c>
      <c r="S301" s="68">
        <f t="shared" si="82"/>
        <v>25</v>
      </c>
      <c r="T301" s="65"/>
      <c r="U301" s="65"/>
      <c r="V301" s="49"/>
      <c r="W301" s="68"/>
      <c r="X301" s="68"/>
      <c r="Y301" s="68"/>
      <c r="Z301" s="49"/>
      <c r="AA301" s="65"/>
      <c r="AB301" s="50"/>
      <c r="AC301" s="68"/>
      <c r="AD301" s="68"/>
      <c r="AE301" s="68"/>
      <c r="AF301" s="50"/>
      <c r="AG301" s="50"/>
      <c r="AH301" s="49" t="str">
        <f>IF(AG301="นิติศาสตร์","K5-LAW","K5-POLICY")</f>
        <v>K5-POLICY</v>
      </c>
      <c r="AI301" s="72" t="str">
        <f>_xlfn.IFS(B301="","",AND(AH301="K5-LAW",AG301="นิติศาสตร์",K301="S2",T301="",Z301=""),P301,AND(AH301="K5-LAW",AG301="นิติศาสตร์",K301="S1",T301="",Z301=""),EDATE(P301,12),AND(AH301="K5-LAW",AG301="นิติศาสตร์",OR(K301="M2",K301="K4"),T301="",Z301=""),EDATE(P301,12*2),AND(AH301="K5-LAW",AG301="นิติศาสตร์",OR(Z301="M2",Z301="K4"),AC301&gt;=2,OR(AB301&lt;V301,AB301&lt;P301)),EDATE(AB301,12*2),AND(AH301="K5-LAW",AG301="นิติศาสตร์",Z301="S1",AC301&gt;=1,OR(AB301&lt;V301,AB301&lt;P301)),EDATE(AB301,12),AND(AH301="K5-LAW",AG301="นิติศาสตร์",OR(T301="M2",T301="K4"),W301&gt;=2,V301&lt;P301),EDATE(V301,12*2),AND(AH301="K5-LAW",AG301="นิติศาสตร์",T301="S1",W301&gt;=1,V301&lt;P301),EDATE(V301,12),AND(AH301="K5-LAW",AG301="นิติศาสตร์",OR(T301="S2",T301="K5")),V301,AND(AH301="K5-LAW",AG301="นิติศาสตร์",OR(K301="M2",K301="K4"),Q301&gt;=2),EDATE(P301,12*2),AND(AH301="K5-LAW",AG301="นิติศาสตร์",K301="S1",Q301&gt;=1),EDATE(P301,12),AND(AH301="K5-LAW",AG301="นิติศาสตร์",OR(K301="S2",K301="K5")),P301,AND(AH301="K5-POLICY",AG301&lt;&gt;"นิติศาสตร์",K301="S2",T301="",Z301=""),P301,AND(AH301="K5-POLICY",AG301&lt;&gt;"นิติศาสตร์",K301="S1",T301="",Z301=""),EDATE(P301,12),AND(AH301="K5-POLICY",AG301&lt;&gt;"นิติศาสตร์",OR(K301="M2",K301="K4"),T301="",Z301=""),EDATE(P301,12*2),AND(AH301="K5-POLICY",AG301&lt;&gt;"นิติศาสตร์",OR(Z301="M2",Z301="K4"),AC301&gt;=2,OR(AB301&lt;V301,AB301&lt;P301)),EDATE(AB301,12*2),AND(AH301="K5-POLICY",AG301&lt;&gt;"นิติศาสตร์",Z301="S1",AC301&gt;=1,OR(AB301&lt;V301,AB301&lt;P301)),EDATE(AB301,12),AND(AH301="K5-POLICY",AG301&lt;&gt;"นิติศาสตร์",OR(T301="M2",T301="K4"),W301&gt;=2,V301&lt;P301),EDATE(V301,12*2),AND(AH301="K5-POLICY",AG301&lt;&gt;"นิติศาสตร์",T301="S1",W301&gt;=1,V301&lt;P301),EDATE(V301,12),AND(AH301="K5-POLICY",AG301&lt;&gt;"นิติศาสตร์",OR(T301="S2",T301="K5")),V301,AND(AH301="K5-POLICY",AG301&lt;&gt;"นิติศาสตร์",OR(K301="M2",K301="K4"),Q301&gt;=2),EDATE(P301,12*2),AND(AH301="K5-POLICY",AG301&lt;&gt;"นิติศาสตร์",K301="S1",Q301&gt;=1),EDATE(P301,12),AND(AH301="K5-POLICY",AG301&lt;&gt;"นิติศาสตร์",OR(K301="S2",K301="K5")),P301,TRUE,"Check Data")</f>
        <v/>
      </c>
      <c r="AJ301" s="75" t="str">
        <f t="shared" si="83"/>
        <v>Check Data</v>
      </c>
      <c r="AK301" s="76" t="str">
        <f t="shared" si="84"/>
        <v>Check Data</v>
      </c>
      <c r="AL301" s="50" t="str">
        <f t="shared" si="85"/>
        <v>Check Data</v>
      </c>
      <c r="AM301" s="49" t="str">
        <f>IF(B301="","",IF(K301="S1","S1",INDEX(#REF!,#REF!)))</f>
        <v/>
      </c>
      <c r="AN301" s="49" t="str">
        <f>K301</f>
        <v>M2</v>
      </c>
      <c r="AO301" s="50" t="b">
        <f>K301=AM301</f>
        <v>0</v>
      </c>
      <c r="AP301" s="50"/>
    </row>
    <row r="302" spans="1:42" ht="21.75">
      <c r="A302" s="49">
        <v>300</v>
      </c>
      <c r="B302" s="50"/>
      <c r="C302" s="52"/>
      <c r="D302" s="50"/>
      <c r="E302" s="49"/>
      <c r="F302" s="49"/>
      <c r="G302" s="50">
        <f t="shared" si="76"/>
        <v>0</v>
      </c>
      <c r="H302" s="50">
        <f t="shared" si="77"/>
        <v>0</v>
      </c>
      <c r="I302" s="50">
        <f t="shared" si="78"/>
        <v>0</v>
      </c>
      <c r="J302" s="50"/>
      <c r="K302" s="49" t="s">
        <v>136</v>
      </c>
      <c r="L302" s="64"/>
      <c r="M302" s="49"/>
      <c r="N302" s="49"/>
      <c r="O302" s="65" t="s">
        <v>442</v>
      </c>
      <c r="P302" s="49" t="str">
        <f t="shared" si="79"/>
        <v>26/11/2024</v>
      </c>
      <c r="Q302" s="68">
        <f t="shared" si="80"/>
        <v>0</v>
      </c>
      <c r="R302" s="68">
        <f t="shared" si="81"/>
        <v>6</v>
      </c>
      <c r="S302" s="68">
        <f t="shared" si="82"/>
        <v>25</v>
      </c>
      <c r="T302" s="65"/>
      <c r="U302" s="65"/>
      <c r="V302" s="49"/>
      <c r="W302" s="68"/>
      <c r="X302" s="68"/>
      <c r="Y302" s="68"/>
      <c r="Z302" s="49"/>
      <c r="AA302" s="65"/>
      <c r="AB302" s="50"/>
      <c r="AC302" s="68"/>
      <c r="AD302" s="68"/>
      <c r="AE302" s="68"/>
      <c r="AF302" s="50"/>
      <c r="AG302" s="50"/>
      <c r="AH302" s="49" t="str">
        <f>IF(AG302="นิติศาสตร์","K5-LAW","K5-POLICY")</f>
        <v>K5-POLICY</v>
      </c>
      <c r="AI302" s="72" t="str">
        <f>_xlfn.IFS(B302="","",AND(AH302="K5-LAW",AG302="นิติศาสตร์",K302="S2",T302="",Z302=""),P302,AND(AH302="K5-LAW",AG302="นิติศาสตร์",K302="S1",T302="",Z302=""),EDATE(P302,12),AND(AH302="K5-LAW",AG302="นิติศาสตร์",OR(K302="M2",K302="K4"),T302="",Z302=""),EDATE(P302,12*2),AND(AH302="K5-LAW",AG302="นิติศาสตร์",OR(Z302="M2",Z302="K4"),AC302&gt;=2,OR(AB302&lt;V302,AB302&lt;P302)),EDATE(AB302,12*2),AND(AH302="K5-LAW",AG302="นิติศาสตร์",Z302="S1",AC302&gt;=1,OR(AB302&lt;V302,AB302&lt;P302)),EDATE(AB302,12),AND(AH302="K5-LAW",AG302="นิติศาสตร์",OR(T302="M2",T302="K4"),W302&gt;=2,V302&lt;P302),EDATE(V302,12*2),AND(AH302="K5-LAW",AG302="นิติศาสตร์",T302="S1",W302&gt;=1,V302&lt;P302),EDATE(V302,12),AND(AH302="K5-LAW",AG302="นิติศาสตร์",OR(T302="S2",T302="K5")),V302,AND(AH302="K5-LAW",AG302="นิติศาสตร์",OR(K302="M2",K302="K4"),Q302&gt;=2),EDATE(P302,12*2),AND(AH302="K5-LAW",AG302="นิติศาสตร์",K302="S1",Q302&gt;=1),EDATE(P302,12),AND(AH302="K5-LAW",AG302="นิติศาสตร์",OR(K302="S2",K302="K5")),P302,AND(AH302="K5-POLICY",AG302&lt;&gt;"นิติศาสตร์",K302="S2",T302="",Z302=""),P302,AND(AH302="K5-POLICY",AG302&lt;&gt;"นิติศาสตร์",K302="S1",T302="",Z302=""),EDATE(P302,12),AND(AH302="K5-POLICY",AG302&lt;&gt;"นิติศาสตร์",OR(K302="M2",K302="K4"),T302="",Z302=""),EDATE(P302,12*2),AND(AH302="K5-POLICY",AG302&lt;&gt;"นิติศาสตร์",OR(Z302="M2",Z302="K4"),AC302&gt;=2,OR(AB302&lt;V302,AB302&lt;P302)),EDATE(AB302,12*2),AND(AH302="K5-POLICY",AG302&lt;&gt;"นิติศาสตร์",Z302="S1",AC302&gt;=1,OR(AB302&lt;V302,AB302&lt;P302)),EDATE(AB302,12),AND(AH302="K5-POLICY",AG302&lt;&gt;"นิติศาสตร์",OR(T302="M2",T302="K4"),W302&gt;=2,V302&lt;P302),EDATE(V302,12*2),AND(AH302="K5-POLICY",AG302&lt;&gt;"นิติศาสตร์",T302="S1",W302&gt;=1,V302&lt;P302),EDATE(V302,12),AND(AH302="K5-POLICY",AG302&lt;&gt;"นิติศาสตร์",OR(T302="S2",T302="K5")),V302,AND(AH302="K5-POLICY",AG302&lt;&gt;"นิติศาสตร์",OR(K302="M2",K302="K4"),Q302&gt;=2),EDATE(P302,12*2),AND(AH302="K5-POLICY",AG302&lt;&gt;"นิติศาสตร์",K302="S1",Q302&gt;=1),EDATE(P302,12),AND(AH302="K5-POLICY",AG302&lt;&gt;"นิติศาสตร์",OR(K302="S2",K302="K5")),P302,TRUE,"Check Data")</f>
        <v/>
      </c>
      <c r="AJ302" s="75" t="str">
        <f t="shared" si="83"/>
        <v>Check Data</v>
      </c>
      <c r="AK302" s="76" t="str">
        <f t="shared" si="84"/>
        <v>Check Data</v>
      </c>
      <c r="AL302" s="50" t="str">
        <f t="shared" si="85"/>
        <v>Check Data</v>
      </c>
      <c r="AM302" s="49" t="str">
        <f>IF(B302="","",IF(K302="S1","S1",INDEX(#REF!,#REF!)))</f>
        <v/>
      </c>
      <c r="AN302" s="49" t="str">
        <f>K302</f>
        <v>M2</v>
      </c>
      <c r="AO302" s="50" t="b">
        <f>K302=AM302</f>
        <v>0</v>
      </c>
      <c r="AP302" s="50"/>
    </row>
    <row r="303" spans="1:42" ht="21.75">
      <c r="A303" s="49">
        <v>301</v>
      </c>
      <c r="B303" s="50"/>
      <c r="C303" s="52"/>
      <c r="D303" s="50"/>
      <c r="E303" s="49"/>
      <c r="F303" s="49"/>
      <c r="G303" s="50">
        <f t="shared" si="76"/>
        <v>0</v>
      </c>
      <c r="H303" s="50">
        <f t="shared" si="77"/>
        <v>0</v>
      </c>
      <c r="I303" s="50">
        <f t="shared" si="78"/>
        <v>0</v>
      </c>
      <c r="J303" s="50"/>
      <c r="K303" s="49" t="s">
        <v>136</v>
      </c>
      <c r="L303" s="64"/>
      <c r="M303" s="49"/>
      <c r="N303" s="49"/>
      <c r="O303" s="65" t="s">
        <v>442</v>
      </c>
      <c r="P303" s="49" t="str">
        <f t="shared" si="79"/>
        <v>26/11/2024</v>
      </c>
      <c r="Q303" s="68">
        <f t="shared" si="80"/>
        <v>0</v>
      </c>
      <c r="R303" s="68">
        <f t="shared" si="81"/>
        <v>6</v>
      </c>
      <c r="S303" s="68">
        <f t="shared" si="82"/>
        <v>25</v>
      </c>
      <c r="T303" s="65"/>
      <c r="U303" s="65"/>
      <c r="V303" s="49"/>
      <c r="W303" s="68"/>
      <c r="X303" s="68"/>
      <c r="Y303" s="68"/>
      <c r="Z303" s="49"/>
      <c r="AA303" s="65"/>
      <c r="AB303" s="50"/>
      <c r="AC303" s="68"/>
      <c r="AD303" s="68"/>
      <c r="AE303" s="68"/>
      <c r="AF303" s="50"/>
      <c r="AG303" s="50"/>
      <c r="AH303" s="49" t="str">
        <f>IF(AG303="นิติศาสตร์","K5-LAW","K5-POLICY")</f>
        <v>K5-POLICY</v>
      </c>
      <c r="AI303" s="72" t="str">
        <f>_xlfn.IFS(B303="","",AND(AH303="K5-LAW",AG303="นิติศาสตร์",K303="S2",T303="",Z303=""),P303,AND(AH303="K5-LAW",AG303="นิติศาสตร์",K303="S1",T303="",Z303=""),EDATE(P303,12),AND(AH303="K5-LAW",AG303="นิติศาสตร์",OR(K303="M2",K303="K4"),T303="",Z303=""),EDATE(P303,12*2),AND(AH303="K5-LAW",AG303="นิติศาสตร์",OR(Z303="M2",Z303="K4"),AC303&gt;=2,OR(AB303&lt;V303,AB303&lt;P303)),EDATE(AB303,12*2),AND(AH303="K5-LAW",AG303="นิติศาสตร์",Z303="S1",AC303&gt;=1,OR(AB303&lt;V303,AB303&lt;P303)),EDATE(AB303,12),AND(AH303="K5-LAW",AG303="นิติศาสตร์",OR(T303="M2",T303="K4"),W303&gt;=2,V303&lt;P303),EDATE(V303,12*2),AND(AH303="K5-LAW",AG303="นิติศาสตร์",T303="S1",W303&gt;=1,V303&lt;P303),EDATE(V303,12),AND(AH303="K5-LAW",AG303="นิติศาสตร์",OR(T303="S2",T303="K5")),V303,AND(AH303="K5-LAW",AG303="นิติศาสตร์",OR(K303="M2",K303="K4"),Q303&gt;=2),EDATE(P303,12*2),AND(AH303="K5-LAW",AG303="นิติศาสตร์",K303="S1",Q303&gt;=1),EDATE(P303,12),AND(AH303="K5-LAW",AG303="นิติศาสตร์",OR(K303="S2",K303="K5")),P303,AND(AH303="K5-POLICY",AG303&lt;&gt;"นิติศาสตร์",K303="S2",T303="",Z303=""),P303,AND(AH303="K5-POLICY",AG303&lt;&gt;"นิติศาสตร์",K303="S1",T303="",Z303=""),EDATE(P303,12),AND(AH303="K5-POLICY",AG303&lt;&gt;"นิติศาสตร์",OR(K303="M2",K303="K4"),T303="",Z303=""),EDATE(P303,12*2),AND(AH303="K5-POLICY",AG303&lt;&gt;"นิติศาสตร์",OR(Z303="M2",Z303="K4"),AC303&gt;=2,OR(AB303&lt;V303,AB303&lt;P303)),EDATE(AB303,12*2),AND(AH303="K5-POLICY",AG303&lt;&gt;"นิติศาสตร์",Z303="S1",AC303&gt;=1,OR(AB303&lt;V303,AB303&lt;P303)),EDATE(AB303,12),AND(AH303="K5-POLICY",AG303&lt;&gt;"นิติศาสตร์",OR(T303="M2",T303="K4"),W303&gt;=2,V303&lt;P303),EDATE(V303,12*2),AND(AH303="K5-POLICY",AG303&lt;&gt;"นิติศาสตร์",T303="S1",W303&gt;=1,V303&lt;P303),EDATE(V303,12),AND(AH303="K5-POLICY",AG303&lt;&gt;"นิติศาสตร์",OR(T303="S2",T303="K5")),V303,AND(AH303="K5-POLICY",AG303&lt;&gt;"นิติศาสตร์",OR(K303="M2",K303="K4"),Q303&gt;=2),EDATE(P303,12*2),AND(AH303="K5-POLICY",AG303&lt;&gt;"นิติศาสตร์",K303="S1",Q303&gt;=1),EDATE(P303,12),AND(AH303="K5-POLICY",AG303&lt;&gt;"นิติศาสตร์",OR(K303="S2",K303="K5")),P303,TRUE,"Check Data")</f>
        <v/>
      </c>
      <c r="AJ303" s="75" t="str">
        <f t="shared" si="83"/>
        <v>Check Data</v>
      </c>
      <c r="AK303" s="76" t="str">
        <f t="shared" si="84"/>
        <v>Check Data</v>
      </c>
      <c r="AL303" s="50" t="str">
        <f t="shared" si="85"/>
        <v>Check Data</v>
      </c>
      <c r="AM303" s="49" t="str">
        <f>IF(B303="","",IF(K303="S1","S1",INDEX(#REF!,#REF!)))</f>
        <v/>
      </c>
      <c r="AN303" s="49" t="str">
        <f>K303</f>
        <v>M2</v>
      </c>
      <c r="AO303" s="50" t="b">
        <f>K303=AM303</f>
        <v>0</v>
      </c>
      <c r="AP303" s="50"/>
    </row>
    <row r="304" spans="1:42" ht="21.75">
      <c r="A304" s="49">
        <v>302</v>
      </c>
      <c r="B304" s="50"/>
      <c r="C304" s="52"/>
      <c r="D304" s="50"/>
      <c r="E304" s="49"/>
      <c r="F304" s="49"/>
      <c r="G304" s="50">
        <f t="shared" si="76"/>
        <v>0</v>
      </c>
      <c r="H304" s="50">
        <f t="shared" si="77"/>
        <v>0</v>
      </c>
      <c r="I304" s="50">
        <f t="shared" si="78"/>
        <v>0</v>
      </c>
      <c r="J304" s="50"/>
      <c r="K304" s="49" t="s">
        <v>136</v>
      </c>
      <c r="L304" s="64"/>
      <c r="M304" s="49"/>
      <c r="N304" s="49"/>
      <c r="O304" s="65" t="s">
        <v>442</v>
      </c>
      <c r="P304" s="49" t="str">
        <f t="shared" si="79"/>
        <v>26/11/2024</v>
      </c>
      <c r="Q304" s="68">
        <f t="shared" si="80"/>
        <v>0</v>
      </c>
      <c r="R304" s="68">
        <f t="shared" si="81"/>
        <v>6</v>
      </c>
      <c r="S304" s="68">
        <f t="shared" si="82"/>
        <v>25</v>
      </c>
      <c r="T304" s="65"/>
      <c r="U304" s="65"/>
      <c r="V304" s="49"/>
      <c r="W304" s="68"/>
      <c r="X304" s="68"/>
      <c r="Y304" s="68"/>
      <c r="Z304" s="49"/>
      <c r="AA304" s="65"/>
      <c r="AB304" s="50"/>
      <c r="AC304" s="68"/>
      <c r="AD304" s="68"/>
      <c r="AE304" s="68"/>
      <c r="AF304" s="50"/>
      <c r="AG304" s="50"/>
      <c r="AH304" s="49" t="str">
        <f>IF(AG304="นิติศาสตร์","K5-LAW","K5-POLICY")</f>
        <v>K5-POLICY</v>
      </c>
      <c r="AI304" s="72" t="str">
        <f>_xlfn.IFS(B304="","",AND(AH304="K5-LAW",AG304="นิติศาสตร์",K304="S2",T304="",Z304=""),P304,AND(AH304="K5-LAW",AG304="นิติศาสตร์",K304="S1",T304="",Z304=""),EDATE(P304,12),AND(AH304="K5-LAW",AG304="นิติศาสตร์",OR(K304="M2",K304="K4"),T304="",Z304=""),EDATE(P304,12*2),AND(AH304="K5-LAW",AG304="นิติศาสตร์",OR(Z304="M2",Z304="K4"),AC304&gt;=2,OR(AB304&lt;V304,AB304&lt;P304)),EDATE(AB304,12*2),AND(AH304="K5-LAW",AG304="นิติศาสตร์",Z304="S1",AC304&gt;=1,OR(AB304&lt;V304,AB304&lt;P304)),EDATE(AB304,12),AND(AH304="K5-LAW",AG304="นิติศาสตร์",OR(T304="M2",T304="K4"),W304&gt;=2,V304&lt;P304),EDATE(V304,12*2),AND(AH304="K5-LAW",AG304="นิติศาสตร์",T304="S1",W304&gt;=1,V304&lt;P304),EDATE(V304,12),AND(AH304="K5-LAW",AG304="นิติศาสตร์",OR(T304="S2",T304="K5")),V304,AND(AH304="K5-LAW",AG304="นิติศาสตร์",OR(K304="M2",K304="K4"),Q304&gt;=2),EDATE(P304,12*2),AND(AH304="K5-LAW",AG304="นิติศาสตร์",K304="S1",Q304&gt;=1),EDATE(P304,12),AND(AH304="K5-LAW",AG304="นิติศาสตร์",OR(K304="S2",K304="K5")),P304,AND(AH304="K5-POLICY",AG304&lt;&gt;"นิติศาสตร์",K304="S2",T304="",Z304=""),P304,AND(AH304="K5-POLICY",AG304&lt;&gt;"นิติศาสตร์",K304="S1",T304="",Z304=""),EDATE(P304,12),AND(AH304="K5-POLICY",AG304&lt;&gt;"นิติศาสตร์",OR(K304="M2",K304="K4"),T304="",Z304=""),EDATE(P304,12*2),AND(AH304="K5-POLICY",AG304&lt;&gt;"นิติศาสตร์",OR(Z304="M2",Z304="K4"),AC304&gt;=2,OR(AB304&lt;V304,AB304&lt;P304)),EDATE(AB304,12*2),AND(AH304="K5-POLICY",AG304&lt;&gt;"นิติศาสตร์",Z304="S1",AC304&gt;=1,OR(AB304&lt;V304,AB304&lt;P304)),EDATE(AB304,12),AND(AH304="K5-POLICY",AG304&lt;&gt;"นิติศาสตร์",OR(T304="M2",T304="K4"),W304&gt;=2,V304&lt;P304),EDATE(V304,12*2),AND(AH304="K5-POLICY",AG304&lt;&gt;"นิติศาสตร์",T304="S1",W304&gt;=1,V304&lt;P304),EDATE(V304,12),AND(AH304="K5-POLICY",AG304&lt;&gt;"นิติศาสตร์",OR(T304="S2",T304="K5")),V304,AND(AH304="K5-POLICY",AG304&lt;&gt;"นิติศาสตร์",OR(K304="M2",K304="K4"),Q304&gt;=2),EDATE(P304,12*2),AND(AH304="K5-POLICY",AG304&lt;&gt;"นิติศาสตร์",K304="S1",Q304&gt;=1),EDATE(P304,12),AND(AH304="K5-POLICY",AG304&lt;&gt;"นิติศาสตร์",OR(K304="S2",K304="K5")),P304,TRUE,"Check Data")</f>
        <v/>
      </c>
      <c r="AJ304" s="75" t="str">
        <f t="shared" si="83"/>
        <v>Check Data</v>
      </c>
      <c r="AK304" s="76" t="str">
        <f t="shared" si="84"/>
        <v>Check Data</v>
      </c>
      <c r="AL304" s="50" t="str">
        <f t="shared" si="85"/>
        <v>Check Data</v>
      </c>
      <c r="AM304" s="49" t="str">
        <f>IF(B304="","",IF(K304="S1","S1",INDEX(#REF!,#REF!)))</f>
        <v/>
      </c>
      <c r="AN304" s="49" t="str">
        <f>K304</f>
        <v>M2</v>
      </c>
      <c r="AO304" s="50" t="b">
        <f>K304=AM304</f>
        <v>0</v>
      </c>
      <c r="AP304" s="50"/>
    </row>
    <row r="305" spans="1:41" ht="21.75">
      <c r="A305" s="49">
        <v>303</v>
      </c>
      <c r="B305" s="50"/>
      <c r="C305" s="52"/>
      <c r="G305" s="50">
        <f t="shared" si="76"/>
        <v>0</v>
      </c>
      <c r="H305" s="50">
        <f t="shared" si="77"/>
        <v>0</v>
      </c>
      <c r="I305" s="50">
        <f t="shared" si="78"/>
        <v>0</v>
      </c>
      <c r="K305" s="49" t="s">
        <v>136</v>
      </c>
      <c r="O305" s="65" t="s">
        <v>442</v>
      </c>
      <c r="P305" s="49" t="str">
        <f t="shared" si="79"/>
        <v>26/11/2024</v>
      </c>
      <c r="Q305" s="68">
        <f t="shared" si="80"/>
        <v>0</v>
      </c>
      <c r="R305" s="68">
        <f t="shared" si="81"/>
        <v>6</v>
      </c>
      <c r="S305" s="68">
        <f t="shared" si="82"/>
        <v>25</v>
      </c>
      <c r="T305" s="65"/>
      <c r="AH305" s="49" t="str">
        <f>IF(AG305="นิติศาสตร์","K5-LAW","K5-POLICY")</f>
        <v>K5-POLICY</v>
      </c>
      <c r="AI305" s="72" t="str">
        <f>_xlfn.IFS(B305="","",AND(AH305="K5-LAW",AG305="นิติศาสตร์",K305="S2",T305="",Z305=""),P305,AND(AH305="K5-LAW",AG305="นิติศาสตร์",K305="S1",T305="",Z305=""),EDATE(P305,12),AND(AH305="K5-LAW",AG305="นิติศาสตร์",OR(K305="M2",K305="K4"),T305="",Z305=""),EDATE(P305,12*2),AND(AH305="K5-LAW",AG305="นิติศาสตร์",OR(Z305="M2",Z305="K4"),AC305&gt;=2,OR(AB305&lt;V305,AB305&lt;P305)),EDATE(AB305,12*2),AND(AH305="K5-LAW",AG305="นิติศาสตร์",Z305="S1",AC305&gt;=1,OR(AB305&lt;V305,AB305&lt;P305)),EDATE(AB305,12),AND(AH305="K5-LAW",AG305="นิติศาสตร์",OR(T305="M2",T305="K4"),W305&gt;=2,V305&lt;P305),EDATE(V305,12*2),AND(AH305="K5-LAW",AG305="นิติศาสตร์",T305="S1",W305&gt;=1,V305&lt;P305),EDATE(V305,12),AND(AH305="K5-LAW",AG305="นิติศาสตร์",OR(T305="S2",T305="K5")),V305,AND(AH305="K5-LAW",AG305="นิติศาสตร์",OR(K305="M2",K305="K4"),Q305&gt;=2),EDATE(P305,12*2),AND(AH305="K5-LAW",AG305="นิติศาสตร์",K305="S1",Q305&gt;=1),EDATE(P305,12),AND(AH305="K5-LAW",AG305="นิติศาสตร์",OR(K305="S2",K305="K5")),P305,AND(AH305="K5-POLICY",AG305&lt;&gt;"นิติศาสตร์",K305="S2",T305="",Z305=""),P305,AND(AH305="K5-POLICY",AG305&lt;&gt;"นิติศาสตร์",K305="S1",T305="",Z305=""),EDATE(P305,12),AND(AH305="K5-POLICY",AG305&lt;&gt;"นิติศาสตร์",OR(K305="M2",K305="K4"),T305="",Z305=""),EDATE(P305,12*2),AND(AH305="K5-POLICY",AG305&lt;&gt;"นิติศาสตร์",OR(Z305="M2",Z305="K4"),AC305&gt;=2,OR(AB305&lt;V305,AB305&lt;P305)),EDATE(AB305,12*2),AND(AH305="K5-POLICY",AG305&lt;&gt;"นิติศาสตร์",Z305="S1",AC305&gt;=1,OR(AB305&lt;V305,AB305&lt;P305)),EDATE(AB305,12),AND(AH305="K5-POLICY",AG305&lt;&gt;"นิติศาสตร์",OR(T305="M2",T305="K4"),W305&gt;=2,V305&lt;P305),EDATE(V305,12*2),AND(AH305="K5-POLICY",AG305&lt;&gt;"นิติศาสตร์",T305="S1",W305&gt;=1,V305&lt;P305),EDATE(V305,12),AND(AH305="K5-POLICY",AG305&lt;&gt;"นิติศาสตร์",OR(T305="S2",T305="K5")),V305,AND(AH305="K5-POLICY",AG305&lt;&gt;"นิติศาสตร์",OR(K305="M2",K305="K4"),Q305&gt;=2),EDATE(P305,12*2),AND(AH305="K5-POLICY",AG305&lt;&gt;"นิติศาสตร์",K305="S1",Q305&gt;=1),EDATE(P305,12),AND(AH305="K5-POLICY",AG305&lt;&gt;"นิติศาสตร์",OR(K305="S2",K305="K5")),P305,TRUE,"Check Data")</f>
        <v/>
      </c>
      <c r="AJ305" s="75" t="str">
        <f t="shared" si="83"/>
        <v>Check Data</v>
      </c>
      <c r="AK305" s="76" t="str">
        <f t="shared" si="84"/>
        <v>Check Data</v>
      </c>
      <c r="AL305" s="50" t="str">
        <f t="shared" si="85"/>
        <v>Check Data</v>
      </c>
      <c r="AM305" s="49" t="str">
        <f>IF(B305="","",IF(K305="S1","S1",INDEX(#REF!,#REF!)))</f>
        <v/>
      </c>
      <c r="AN305" s="49" t="str">
        <f>K305</f>
        <v>M2</v>
      </c>
      <c r="AO305" s="50" t="b">
        <f>K305=AM305</f>
        <v>0</v>
      </c>
    </row>
    <row r="306" spans="1:41" ht="21.75">
      <c r="A306" s="49">
        <v>304</v>
      </c>
      <c r="B306" s="50"/>
      <c r="C306" s="52"/>
      <c r="G306" s="50">
        <f t="shared" si="76"/>
        <v>0</v>
      </c>
      <c r="H306" s="50">
        <f t="shared" si="77"/>
        <v>0</v>
      </c>
      <c r="I306" s="50">
        <f t="shared" si="78"/>
        <v>0</v>
      </c>
      <c r="K306" s="49" t="s">
        <v>136</v>
      </c>
      <c r="O306" s="65" t="s">
        <v>442</v>
      </c>
      <c r="P306" s="49" t="str">
        <f t="shared" si="79"/>
        <v>26/11/2024</v>
      </c>
      <c r="Q306" s="68">
        <f t="shared" si="80"/>
        <v>0</v>
      </c>
      <c r="R306" s="68">
        <f t="shared" si="81"/>
        <v>6</v>
      </c>
      <c r="S306" s="68">
        <f t="shared" si="82"/>
        <v>25</v>
      </c>
      <c r="T306" s="65"/>
      <c r="AH306" s="49" t="str">
        <f>IF(AG306="นิติศาสตร์","K5-LAW","K5-POLICY")</f>
        <v>K5-POLICY</v>
      </c>
      <c r="AI306" s="72" t="str">
        <f>_xlfn.IFS(B306="","",AND(AH306="K5-LAW",AG306="นิติศาสตร์",K306="S2",T306="",Z306=""),P306,AND(AH306="K5-LAW",AG306="นิติศาสตร์",K306="S1",T306="",Z306=""),EDATE(P306,12),AND(AH306="K5-LAW",AG306="นิติศาสตร์",OR(K306="M2",K306="K4"),T306="",Z306=""),EDATE(P306,12*2),AND(AH306="K5-LAW",AG306="นิติศาสตร์",OR(Z306="M2",Z306="K4"),AC306&gt;=2,OR(AB306&lt;V306,AB306&lt;P306)),EDATE(AB306,12*2),AND(AH306="K5-LAW",AG306="นิติศาสตร์",Z306="S1",AC306&gt;=1,OR(AB306&lt;V306,AB306&lt;P306)),EDATE(AB306,12),AND(AH306="K5-LAW",AG306="นิติศาสตร์",OR(T306="M2",T306="K4"),W306&gt;=2,V306&lt;P306),EDATE(V306,12*2),AND(AH306="K5-LAW",AG306="นิติศาสตร์",T306="S1",W306&gt;=1,V306&lt;P306),EDATE(V306,12),AND(AH306="K5-LAW",AG306="นิติศาสตร์",OR(T306="S2",T306="K5")),V306,AND(AH306="K5-LAW",AG306="นิติศาสตร์",OR(K306="M2",K306="K4"),Q306&gt;=2),EDATE(P306,12*2),AND(AH306="K5-LAW",AG306="นิติศาสตร์",K306="S1",Q306&gt;=1),EDATE(P306,12),AND(AH306="K5-LAW",AG306="นิติศาสตร์",OR(K306="S2",K306="K5")),P306,AND(AH306="K5-POLICY",AG306&lt;&gt;"นิติศาสตร์",K306="S2",T306="",Z306=""),P306,AND(AH306="K5-POLICY",AG306&lt;&gt;"นิติศาสตร์",K306="S1",T306="",Z306=""),EDATE(P306,12),AND(AH306="K5-POLICY",AG306&lt;&gt;"นิติศาสตร์",OR(K306="M2",K306="K4"),T306="",Z306=""),EDATE(P306,12*2),AND(AH306="K5-POLICY",AG306&lt;&gt;"นิติศาสตร์",OR(Z306="M2",Z306="K4"),AC306&gt;=2,OR(AB306&lt;V306,AB306&lt;P306)),EDATE(AB306,12*2),AND(AH306="K5-POLICY",AG306&lt;&gt;"นิติศาสตร์",Z306="S1",AC306&gt;=1,OR(AB306&lt;V306,AB306&lt;P306)),EDATE(AB306,12),AND(AH306="K5-POLICY",AG306&lt;&gt;"นิติศาสตร์",OR(T306="M2",T306="K4"),W306&gt;=2,V306&lt;P306),EDATE(V306,12*2),AND(AH306="K5-POLICY",AG306&lt;&gt;"นิติศาสตร์",T306="S1",W306&gt;=1,V306&lt;P306),EDATE(V306,12),AND(AH306="K5-POLICY",AG306&lt;&gt;"นิติศาสตร์",OR(T306="S2",T306="K5")),V306,AND(AH306="K5-POLICY",AG306&lt;&gt;"นิติศาสตร์",OR(K306="M2",K306="K4"),Q306&gt;=2),EDATE(P306,12*2),AND(AH306="K5-POLICY",AG306&lt;&gt;"นิติศาสตร์",K306="S1",Q306&gt;=1),EDATE(P306,12),AND(AH306="K5-POLICY",AG306&lt;&gt;"นิติศาสตร์",OR(K306="S2",K306="K5")),P306,TRUE,"Check Data")</f>
        <v/>
      </c>
      <c r="AJ306" s="75" t="str">
        <f t="shared" si="83"/>
        <v>Check Data</v>
      </c>
      <c r="AK306" s="76" t="str">
        <f t="shared" si="84"/>
        <v>Check Data</v>
      </c>
      <c r="AL306" s="50" t="str">
        <f t="shared" si="85"/>
        <v>Check Data</v>
      </c>
      <c r="AM306" s="49" t="str">
        <f>IF(B306="","",IF(K306="S1","S1",INDEX(#REF!,#REF!)))</f>
        <v/>
      </c>
      <c r="AN306" s="49" t="str">
        <f>K306</f>
        <v>M2</v>
      </c>
      <c r="AO306" s="50" t="b">
        <f>K306=AM306</f>
        <v>0</v>
      </c>
    </row>
    <row r="307" spans="1:41" ht="21.75">
      <c r="A307" s="49">
        <v>305</v>
      </c>
      <c r="B307" s="50"/>
      <c r="C307" s="52"/>
      <c r="G307" s="50">
        <f t="shared" si="76"/>
        <v>0</v>
      </c>
      <c r="H307" s="50">
        <f t="shared" si="77"/>
        <v>0</v>
      </c>
      <c r="I307" s="50">
        <f t="shared" si="78"/>
        <v>0</v>
      </c>
      <c r="K307" s="49" t="s">
        <v>136</v>
      </c>
      <c r="O307" s="65" t="s">
        <v>442</v>
      </c>
      <c r="P307" s="49" t="str">
        <f t="shared" si="79"/>
        <v>26/11/2024</v>
      </c>
      <c r="Q307" s="68">
        <f t="shared" si="80"/>
        <v>0</v>
      </c>
      <c r="R307" s="68">
        <f t="shared" si="81"/>
        <v>6</v>
      </c>
      <c r="S307" s="68">
        <f t="shared" si="82"/>
        <v>25</v>
      </c>
      <c r="T307" s="65"/>
      <c r="AH307" s="49" t="str">
        <f>IF(AG307="นิติศาสตร์","K5-LAW","K5-POLICY")</f>
        <v>K5-POLICY</v>
      </c>
      <c r="AI307" s="72" t="str">
        <f>_xlfn.IFS(B307="","",AND(AH307="K5-LAW",AG307="นิติศาสตร์",K307="S2",T307="",Z307=""),P307,AND(AH307="K5-LAW",AG307="นิติศาสตร์",K307="S1",T307="",Z307=""),EDATE(P307,12),AND(AH307="K5-LAW",AG307="นิติศาสตร์",OR(K307="M2",K307="K4"),T307="",Z307=""),EDATE(P307,12*2),AND(AH307="K5-LAW",AG307="นิติศาสตร์",OR(Z307="M2",Z307="K4"),AC307&gt;=2,OR(AB307&lt;V307,AB307&lt;P307)),EDATE(AB307,12*2),AND(AH307="K5-LAW",AG307="นิติศาสตร์",Z307="S1",AC307&gt;=1,OR(AB307&lt;V307,AB307&lt;P307)),EDATE(AB307,12),AND(AH307="K5-LAW",AG307="นิติศาสตร์",OR(T307="M2",T307="K4"),W307&gt;=2,V307&lt;P307),EDATE(V307,12*2),AND(AH307="K5-LAW",AG307="นิติศาสตร์",T307="S1",W307&gt;=1,V307&lt;P307),EDATE(V307,12),AND(AH307="K5-LAW",AG307="นิติศาสตร์",OR(T307="S2",T307="K5")),V307,AND(AH307="K5-LAW",AG307="นิติศาสตร์",OR(K307="M2",K307="K4"),Q307&gt;=2),EDATE(P307,12*2),AND(AH307="K5-LAW",AG307="นิติศาสตร์",K307="S1",Q307&gt;=1),EDATE(P307,12),AND(AH307="K5-LAW",AG307="นิติศาสตร์",OR(K307="S2",K307="K5")),P307,AND(AH307="K5-POLICY",AG307&lt;&gt;"นิติศาสตร์",K307="S2",T307="",Z307=""),P307,AND(AH307="K5-POLICY",AG307&lt;&gt;"นิติศาสตร์",K307="S1",T307="",Z307=""),EDATE(P307,12),AND(AH307="K5-POLICY",AG307&lt;&gt;"นิติศาสตร์",OR(K307="M2",K307="K4"),T307="",Z307=""),EDATE(P307,12*2),AND(AH307="K5-POLICY",AG307&lt;&gt;"นิติศาสตร์",OR(Z307="M2",Z307="K4"),AC307&gt;=2,OR(AB307&lt;V307,AB307&lt;P307)),EDATE(AB307,12*2),AND(AH307="K5-POLICY",AG307&lt;&gt;"นิติศาสตร์",Z307="S1",AC307&gt;=1,OR(AB307&lt;V307,AB307&lt;P307)),EDATE(AB307,12),AND(AH307="K5-POLICY",AG307&lt;&gt;"นิติศาสตร์",OR(T307="M2",T307="K4"),W307&gt;=2,V307&lt;P307),EDATE(V307,12*2),AND(AH307="K5-POLICY",AG307&lt;&gt;"นิติศาสตร์",T307="S1",W307&gt;=1,V307&lt;P307),EDATE(V307,12),AND(AH307="K5-POLICY",AG307&lt;&gt;"นิติศาสตร์",OR(T307="S2",T307="K5")),V307,AND(AH307="K5-POLICY",AG307&lt;&gt;"นิติศาสตร์",OR(K307="M2",K307="K4"),Q307&gt;=2),EDATE(P307,12*2),AND(AH307="K5-POLICY",AG307&lt;&gt;"นิติศาสตร์",K307="S1",Q307&gt;=1),EDATE(P307,12),AND(AH307="K5-POLICY",AG307&lt;&gt;"นิติศาสตร์",OR(K307="S2",K307="K5")),P307,TRUE,"Check Data")</f>
        <v/>
      </c>
      <c r="AJ307" s="75" t="str">
        <f t="shared" si="83"/>
        <v>Check Data</v>
      </c>
      <c r="AK307" s="76" t="str">
        <f t="shared" si="84"/>
        <v>Check Data</v>
      </c>
      <c r="AL307" s="50" t="str">
        <f t="shared" si="85"/>
        <v>Check Data</v>
      </c>
      <c r="AM307" s="49" t="str">
        <f>IF(B307="","",IF(K307="S1","S1",INDEX(#REF!,#REF!)))</f>
        <v/>
      </c>
      <c r="AN307" s="49" t="str">
        <f>K307</f>
        <v>M2</v>
      </c>
      <c r="AO307" s="50" t="b">
        <f>K307=AM307</f>
        <v>0</v>
      </c>
    </row>
    <row r="308" spans="1:41" ht="21.75">
      <c r="A308" s="49">
        <v>306</v>
      </c>
      <c r="B308" s="50"/>
      <c r="C308" s="52"/>
      <c r="G308" s="50">
        <f t="shared" si="76"/>
        <v>0</v>
      </c>
      <c r="H308" s="50">
        <f t="shared" si="77"/>
        <v>0</v>
      </c>
      <c r="I308" s="50">
        <f t="shared" si="78"/>
        <v>0</v>
      </c>
      <c r="K308" s="49" t="s">
        <v>136</v>
      </c>
      <c r="O308" s="65" t="s">
        <v>442</v>
      </c>
      <c r="P308" s="49" t="str">
        <f t="shared" si="79"/>
        <v>26/11/2024</v>
      </c>
      <c r="Q308" s="68">
        <f t="shared" si="80"/>
        <v>0</v>
      </c>
      <c r="R308" s="68">
        <f t="shared" si="81"/>
        <v>6</v>
      </c>
      <c r="S308" s="68">
        <f t="shared" si="82"/>
        <v>25</v>
      </c>
      <c r="T308" s="65"/>
      <c r="AH308" s="49" t="str">
        <f>IF(AG308="นิติศาสตร์","K5-LAW","K5-POLICY")</f>
        <v>K5-POLICY</v>
      </c>
      <c r="AI308" s="72" t="str">
        <f>_xlfn.IFS(B308="","",AND(AH308="K5-LAW",AG308="นิติศาสตร์",K308="S2",T308="",Z308=""),P308,AND(AH308="K5-LAW",AG308="นิติศาสตร์",K308="S1",T308="",Z308=""),EDATE(P308,12),AND(AH308="K5-LAW",AG308="นิติศาสตร์",OR(K308="M2",K308="K4"),T308="",Z308=""),EDATE(P308,12*2),AND(AH308="K5-LAW",AG308="นิติศาสตร์",OR(Z308="M2",Z308="K4"),AC308&gt;=2,OR(AB308&lt;V308,AB308&lt;P308)),EDATE(AB308,12*2),AND(AH308="K5-LAW",AG308="นิติศาสตร์",Z308="S1",AC308&gt;=1,OR(AB308&lt;V308,AB308&lt;P308)),EDATE(AB308,12),AND(AH308="K5-LAW",AG308="นิติศาสตร์",OR(T308="M2",T308="K4"),W308&gt;=2,V308&lt;P308),EDATE(V308,12*2),AND(AH308="K5-LAW",AG308="นิติศาสตร์",T308="S1",W308&gt;=1,V308&lt;P308),EDATE(V308,12),AND(AH308="K5-LAW",AG308="นิติศาสตร์",OR(T308="S2",T308="K5")),V308,AND(AH308="K5-LAW",AG308="นิติศาสตร์",OR(K308="M2",K308="K4"),Q308&gt;=2),EDATE(P308,12*2),AND(AH308="K5-LAW",AG308="นิติศาสตร์",K308="S1",Q308&gt;=1),EDATE(P308,12),AND(AH308="K5-LAW",AG308="นิติศาสตร์",OR(K308="S2",K308="K5")),P308,AND(AH308="K5-POLICY",AG308&lt;&gt;"นิติศาสตร์",K308="S2",T308="",Z308=""),P308,AND(AH308="K5-POLICY",AG308&lt;&gt;"นิติศาสตร์",K308="S1",T308="",Z308=""),EDATE(P308,12),AND(AH308="K5-POLICY",AG308&lt;&gt;"นิติศาสตร์",OR(K308="M2",K308="K4"),T308="",Z308=""),EDATE(P308,12*2),AND(AH308="K5-POLICY",AG308&lt;&gt;"นิติศาสตร์",OR(Z308="M2",Z308="K4"),AC308&gt;=2,OR(AB308&lt;V308,AB308&lt;P308)),EDATE(AB308,12*2),AND(AH308="K5-POLICY",AG308&lt;&gt;"นิติศาสตร์",Z308="S1",AC308&gt;=1,OR(AB308&lt;V308,AB308&lt;P308)),EDATE(AB308,12),AND(AH308="K5-POLICY",AG308&lt;&gt;"นิติศาสตร์",OR(T308="M2",T308="K4"),W308&gt;=2,V308&lt;P308),EDATE(V308,12*2),AND(AH308="K5-POLICY",AG308&lt;&gt;"นิติศาสตร์",T308="S1",W308&gt;=1,V308&lt;P308),EDATE(V308,12),AND(AH308="K5-POLICY",AG308&lt;&gt;"นิติศาสตร์",OR(T308="S2",T308="K5")),V308,AND(AH308="K5-POLICY",AG308&lt;&gt;"นิติศาสตร์",OR(K308="M2",K308="K4"),Q308&gt;=2),EDATE(P308,12*2),AND(AH308="K5-POLICY",AG308&lt;&gt;"นิติศาสตร์",K308="S1",Q308&gt;=1),EDATE(P308,12),AND(AH308="K5-POLICY",AG308&lt;&gt;"นิติศาสตร์",OR(K308="S2",K308="K5")),P308,TRUE,"Check Data")</f>
        <v/>
      </c>
      <c r="AJ308" s="75" t="str">
        <f t="shared" si="83"/>
        <v>Check Data</v>
      </c>
      <c r="AK308" s="76" t="str">
        <f t="shared" si="84"/>
        <v>Check Data</v>
      </c>
      <c r="AL308" s="50" t="str">
        <f t="shared" si="85"/>
        <v>Check Data</v>
      </c>
      <c r="AM308" s="49" t="str">
        <f>IF(B308="","",IF(K308="S1","S1",INDEX(#REF!,#REF!)))</f>
        <v/>
      </c>
      <c r="AN308" s="49" t="str">
        <f>K308</f>
        <v>M2</v>
      </c>
      <c r="AO308" s="50" t="b">
        <f>K308=AM308</f>
        <v>0</v>
      </c>
    </row>
    <row r="309" spans="1:41" ht="21.75">
      <c r="A309" s="49">
        <v>307</v>
      </c>
      <c r="B309" s="50"/>
      <c r="C309" s="52"/>
      <c r="D309" s="84"/>
      <c r="E309" s="85"/>
      <c r="F309" s="85"/>
      <c r="G309" s="50">
        <f t="shared" si="76"/>
        <v>0</v>
      </c>
      <c r="H309" s="50">
        <f t="shared" si="77"/>
        <v>0</v>
      </c>
      <c r="I309" s="50">
        <f t="shared" si="78"/>
        <v>0</v>
      </c>
      <c r="J309" s="84"/>
      <c r="K309" s="49" t="s">
        <v>136</v>
      </c>
      <c r="L309" s="87"/>
      <c r="M309" s="85"/>
      <c r="N309" s="85"/>
      <c r="O309" s="65" t="s">
        <v>458</v>
      </c>
      <c r="P309" s="49" t="str">
        <f t="shared" si="79"/>
        <v>31/03/2025</v>
      </c>
      <c r="Q309" s="68">
        <f t="shared" si="80"/>
        <v>0</v>
      </c>
      <c r="R309" s="68">
        <f t="shared" si="81"/>
        <v>2</v>
      </c>
      <c r="S309" s="68">
        <f t="shared" si="82"/>
        <v>20</v>
      </c>
      <c r="T309" s="65"/>
      <c r="U309" s="89"/>
      <c r="V309" s="85"/>
      <c r="W309" s="88"/>
      <c r="X309" s="88"/>
      <c r="Y309" s="88"/>
      <c r="Z309" s="85"/>
      <c r="AA309" s="89"/>
      <c r="AB309" s="84"/>
      <c r="AC309" s="88"/>
      <c r="AD309" s="88"/>
      <c r="AE309" s="88"/>
      <c r="AF309" s="84"/>
      <c r="AG309" s="84"/>
      <c r="AH309" s="49" t="str">
        <f>IF(AG309="นิติศาสตร์","K5-LAW","K5-POLICY")</f>
        <v>K5-POLICY</v>
      </c>
      <c r="AI309" s="72" t="str">
        <f>_xlfn.IFS(B309="","",AND(AH309="K5-LAW",AG309="นิติศาสตร์",K309="S2",T309="",Z309=""),P309,AND(AH309="K5-LAW",AG309="นิติศาสตร์",K309="S1",T309="",Z309=""),EDATE(P309,12),AND(AH309="K5-LAW",AG309="นิติศาสตร์",OR(K309="M2",K309="K4"),T309="",Z309=""),EDATE(P309,12*2),AND(AH309="K5-LAW",AG309="นิติศาสตร์",OR(Z309="M2",Z309="K4"),AC309&gt;=2,OR(AB309&lt;V309,AB309&lt;P309)),EDATE(AB309,12*2),AND(AH309="K5-LAW",AG309="นิติศาสตร์",Z309="S1",AC309&gt;=1,OR(AB309&lt;V309,AB309&lt;P309)),EDATE(AB309,12),AND(AH309="K5-LAW",AG309="นิติศาสตร์",OR(T309="M2",T309="K4"),W309&gt;=2,V309&lt;P309),EDATE(V309,12*2),AND(AH309="K5-LAW",AG309="นิติศาสตร์",T309="S1",W309&gt;=1,V309&lt;P309),EDATE(V309,12),AND(AH309="K5-LAW",AG309="นิติศาสตร์",OR(T309="S2",T309="K5")),V309,AND(AH309="K5-LAW",AG309="นิติศาสตร์",OR(K309="M2",K309="K4"),Q309&gt;=2),EDATE(P309,12*2),AND(AH309="K5-LAW",AG309="นิติศาสตร์",K309="S1",Q309&gt;=1),EDATE(P309,12),AND(AH309="K5-LAW",AG309="นิติศาสตร์",OR(K309="S2",K309="K5")),P309,AND(AH309="K5-POLICY",AG309&lt;&gt;"นิติศาสตร์",K309="S2",T309="",Z309=""),P309,AND(AH309="K5-POLICY",AG309&lt;&gt;"นิติศาสตร์",K309="S1",T309="",Z309=""),EDATE(P309,12),AND(AH309="K5-POLICY",AG309&lt;&gt;"นิติศาสตร์",OR(K309="M2",K309="K4"),T309="",Z309=""),EDATE(P309,12*2),AND(AH309="K5-POLICY",AG309&lt;&gt;"นิติศาสตร์",OR(Z309="M2",Z309="K4"),AC309&gt;=2,OR(AB309&lt;V309,AB309&lt;P309)),EDATE(AB309,12*2),AND(AH309="K5-POLICY",AG309&lt;&gt;"นิติศาสตร์",Z309="S1",AC309&gt;=1,OR(AB309&lt;V309,AB309&lt;P309)),EDATE(AB309,12),AND(AH309="K5-POLICY",AG309&lt;&gt;"นิติศาสตร์",OR(T309="M2",T309="K4"),W309&gt;=2,V309&lt;P309),EDATE(V309,12*2),AND(AH309="K5-POLICY",AG309&lt;&gt;"นิติศาสตร์",T309="S1",W309&gt;=1,V309&lt;P309),EDATE(V309,12),AND(AH309="K5-POLICY",AG309&lt;&gt;"นิติศาสตร์",OR(T309="S2",T309="K5")),V309,AND(AH309="K5-POLICY",AG309&lt;&gt;"นิติศาสตร์",OR(K309="M2",K309="K4"),Q309&gt;=2),EDATE(P309,12*2),AND(AH309="K5-POLICY",AG309&lt;&gt;"นิติศาสตร์",K309="S1",Q309&gt;=1),EDATE(P309,12),AND(AH309="K5-POLICY",AG309&lt;&gt;"นิติศาสตร์",OR(K309="S2",K309="K5")),P309,TRUE,"Check Data")</f>
        <v/>
      </c>
      <c r="AJ309" s="75" t="str">
        <f t="shared" si="83"/>
        <v>Check Data</v>
      </c>
      <c r="AK309" s="76" t="str">
        <f t="shared" si="84"/>
        <v>Check Data</v>
      </c>
      <c r="AL309" s="50" t="str">
        <f t="shared" si="85"/>
        <v>Check Data</v>
      </c>
      <c r="AM309" s="49" t="str">
        <f>IF(B309="","",IF(K309="S1","S1",INDEX(#REF!,#REF!)))</f>
        <v/>
      </c>
      <c r="AN309" s="49" t="str">
        <f>K309</f>
        <v>M2</v>
      </c>
      <c r="AO309" s="50" t="b">
        <f>K309=AM309</f>
        <v>0</v>
      </c>
    </row>
    <row r="310" spans="1:41" ht="21.75">
      <c r="A310" s="49">
        <v>308</v>
      </c>
      <c r="B310" s="50"/>
      <c r="C310" s="52"/>
      <c r="D310" s="84"/>
      <c r="E310" s="85"/>
      <c r="F310" s="85"/>
      <c r="G310" s="50">
        <f t="shared" si="76"/>
        <v>0</v>
      </c>
      <c r="H310" s="50">
        <f t="shared" si="77"/>
        <v>0</v>
      </c>
      <c r="I310" s="50">
        <f t="shared" si="78"/>
        <v>0</v>
      </c>
      <c r="J310" s="84"/>
      <c r="K310" s="49" t="s">
        <v>136</v>
      </c>
      <c r="L310" s="87"/>
      <c r="M310" s="85"/>
      <c r="N310" s="85"/>
      <c r="O310" s="65" t="s">
        <v>458</v>
      </c>
      <c r="P310" s="49" t="str">
        <f t="shared" si="79"/>
        <v>31/03/2025</v>
      </c>
      <c r="Q310" s="68">
        <f t="shared" si="80"/>
        <v>0</v>
      </c>
      <c r="R310" s="68">
        <f t="shared" si="81"/>
        <v>2</v>
      </c>
      <c r="S310" s="68">
        <f t="shared" si="82"/>
        <v>20</v>
      </c>
      <c r="T310" s="65"/>
      <c r="U310" s="89"/>
      <c r="V310" s="85"/>
      <c r="W310" s="88"/>
      <c r="X310" s="88"/>
      <c r="Y310" s="88"/>
      <c r="Z310" s="85"/>
      <c r="AA310" s="89"/>
      <c r="AB310" s="84"/>
      <c r="AC310" s="88"/>
      <c r="AD310" s="88"/>
      <c r="AE310" s="88"/>
      <c r="AF310" s="84"/>
      <c r="AG310" s="84"/>
      <c r="AH310" s="49" t="str">
        <f>IF(AG310="นิติศาสตร์","K5-LAW","K5-POLICY")</f>
        <v>K5-POLICY</v>
      </c>
      <c r="AI310" s="72" t="str">
        <f>_xlfn.IFS(B310="","",AND(AH310="K5-LAW",AG310="นิติศาสตร์",K310="S2",T310="",Z310=""),P310,AND(AH310="K5-LAW",AG310="นิติศาสตร์",K310="S1",T310="",Z310=""),EDATE(P310,12),AND(AH310="K5-LAW",AG310="นิติศาสตร์",OR(K310="M2",K310="K4"),T310="",Z310=""),EDATE(P310,12*2),AND(AH310="K5-LAW",AG310="นิติศาสตร์",OR(Z310="M2",Z310="K4"),AC310&gt;=2,OR(AB310&lt;V310,AB310&lt;P310)),EDATE(AB310,12*2),AND(AH310="K5-LAW",AG310="นิติศาสตร์",Z310="S1",AC310&gt;=1,OR(AB310&lt;V310,AB310&lt;P310)),EDATE(AB310,12),AND(AH310="K5-LAW",AG310="นิติศาสตร์",OR(T310="M2",T310="K4"),W310&gt;=2,V310&lt;P310),EDATE(V310,12*2),AND(AH310="K5-LAW",AG310="นิติศาสตร์",T310="S1",W310&gt;=1,V310&lt;P310),EDATE(V310,12),AND(AH310="K5-LAW",AG310="นิติศาสตร์",OR(T310="S2",T310="K5")),V310,AND(AH310="K5-LAW",AG310="นิติศาสตร์",OR(K310="M2",K310="K4"),Q310&gt;=2),EDATE(P310,12*2),AND(AH310="K5-LAW",AG310="นิติศาสตร์",K310="S1",Q310&gt;=1),EDATE(P310,12),AND(AH310="K5-LAW",AG310="นิติศาสตร์",OR(K310="S2",K310="K5")),P310,AND(AH310="K5-POLICY",AG310&lt;&gt;"นิติศาสตร์",K310="S2",T310="",Z310=""),P310,AND(AH310="K5-POLICY",AG310&lt;&gt;"นิติศาสตร์",K310="S1",T310="",Z310=""),EDATE(P310,12),AND(AH310="K5-POLICY",AG310&lt;&gt;"นิติศาสตร์",OR(K310="M2",K310="K4"),T310="",Z310=""),EDATE(P310,12*2),AND(AH310="K5-POLICY",AG310&lt;&gt;"นิติศาสตร์",OR(Z310="M2",Z310="K4"),AC310&gt;=2,OR(AB310&lt;V310,AB310&lt;P310)),EDATE(AB310,12*2),AND(AH310="K5-POLICY",AG310&lt;&gt;"นิติศาสตร์",Z310="S1",AC310&gt;=1,OR(AB310&lt;V310,AB310&lt;P310)),EDATE(AB310,12),AND(AH310="K5-POLICY",AG310&lt;&gt;"นิติศาสตร์",OR(T310="M2",T310="K4"),W310&gt;=2,V310&lt;P310),EDATE(V310,12*2),AND(AH310="K5-POLICY",AG310&lt;&gt;"นิติศาสตร์",T310="S1",W310&gt;=1,V310&lt;P310),EDATE(V310,12),AND(AH310="K5-POLICY",AG310&lt;&gt;"นิติศาสตร์",OR(T310="S2",T310="K5")),V310,AND(AH310="K5-POLICY",AG310&lt;&gt;"นิติศาสตร์",OR(K310="M2",K310="K4"),Q310&gt;=2),EDATE(P310,12*2),AND(AH310="K5-POLICY",AG310&lt;&gt;"นิติศาสตร์",K310="S1",Q310&gt;=1),EDATE(P310,12),AND(AH310="K5-POLICY",AG310&lt;&gt;"นิติศาสตร์",OR(K310="S2",K310="K5")),P310,TRUE,"Check Data")</f>
        <v/>
      </c>
      <c r="AJ310" s="75" t="str">
        <f t="shared" si="83"/>
        <v>Check Data</v>
      </c>
      <c r="AK310" s="76" t="str">
        <f t="shared" si="84"/>
        <v>Check Data</v>
      </c>
      <c r="AL310" s="50" t="str">
        <f t="shared" si="85"/>
        <v>Check Data</v>
      </c>
      <c r="AM310" s="49" t="str">
        <f>IF(B310="","",IF(K310="S1","S1",INDEX(#REF!,#REF!)))</f>
        <v/>
      </c>
      <c r="AN310" s="49" t="str">
        <f>K310</f>
        <v>M2</v>
      </c>
      <c r="AO310" s="50" t="b">
        <f>K310=AM310</f>
        <v>0</v>
      </c>
    </row>
    <row r="311" spans="1:41" ht="21.75">
      <c r="A311" s="49">
        <v>309</v>
      </c>
      <c r="B311" s="50"/>
      <c r="C311" s="52"/>
      <c r="D311" s="84"/>
      <c r="E311" s="85"/>
      <c r="F311" s="85"/>
      <c r="G311" s="50">
        <f t="shared" si="76"/>
        <v>0</v>
      </c>
      <c r="H311" s="50">
        <f t="shared" si="77"/>
        <v>0</v>
      </c>
      <c r="I311" s="50">
        <f t="shared" si="78"/>
        <v>0</v>
      </c>
      <c r="J311" s="84"/>
      <c r="K311" s="49" t="s">
        <v>136</v>
      </c>
      <c r="L311" s="87"/>
      <c r="M311" s="85"/>
      <c r="N311" s="85"/>
      <c r="O311" s="65" t="s">
        <v>458</v>
      </c>
      <c r="P311" s="49" t="str">
        <f t="shared" si="79"/>
        <v>31/03/2025</v>
      </c>
      <c r="Q311" s="68">
        <f t="shared" si="80"/>
        <v>0</v>
      </c>
      <c r="R311" s="68">
        <f t="shared" si="81"/>
        <v>2</v>
      </c>
      <c r="S311" s="68">
        <f t="shared" si="82"/>
        <v>20</v>
      </c>
      <c r="T311" s="65"/>
      <c r="U311" s="89"/>
      <c r="V311" s="85"/>
      <c r="W311" s="88"/>
      <c r="X311" s="88"/>
      <c r="Y311" s="88"/>
      <c r="Z311" s="85"/>
      <c r="AA311" s="89"/>
      <c r="AB311" s="84"/>
      <c r="AC311" s="88"/>
      <c r="AD311" s="88"/>
      <c r="AE311" s="88"/>
      <c r="AF311" s="84"/>
      <c r="AG311" s="84"/>
      <c r="AH311" s="49" t="str">
        <f>IF(AG311="นิติศาสตร์","K5-LAW","K5-POLICY")</f>
        <v>K5-POLICY</v>
      </c>
      <c r="AI311" s="72" t="str">
        <f>_xlfn.IFS(B311="","",AND(AH311="K5-LAW",AG311="นิติศาสตร์",K311="S2",T311="",Z311=""),P311,AND(AH311="K5-LAW",AG311="นิติศาสตร์",K311="S1",T311="",Z311=""),EDATE(P311,12),AND(AH311="K5-LAW",AG311="นิติศาสตร์",OR(K311="M2",K311="K4"),T311="",Z311=""),EDATE(P311,12*2),AND(AH311="K5-LAW",AG311="นิติศาสตร์",OR(Z311="M2",Z311="K4"),AC311&gt;=2,OR(AB311&lt;V311,AB311&lt;P311)),EDATE(AB311,12*2),AND(AH311="K5-LAW",AG311="นิติศาสตร์",Z311="S1",AC311&gt;=1,OR(AB311&lt;V311,AB311&lt;P311)),EDATE(AB311,12),AND(AH311="K5-LAW",AG311="นิติศาสตร์",OR(T311="M2",T311="K4"),W311&gt;=2,V311&lt;P311),EDATE(V311,12*2),AND(AH311="K5-LAW",AG311="นิติศาสตร์",T311="S1",W311&gt;=1,V311&lt;P311),EDATE(V311,12),AND(AH311="K5-LAW",AG311="นิติศาสตร์",OR(T311="S2",T311="K5")),V311,AND(AH311="K5-LAW",AG311="นิติศาสตร์",OR(K311="M2",K311="K4"),Q311&gt;=2),EDATE(P311,12*2),AND(AH311="K5-LAW",AG311="นิติศาสตร์",K311="S1",Q311&gt;=1),EDATE(P311,12),AND(AH311="K5-LAW",AG311="นิติศาสตร์",OR(K311="S2",K311="K5")),P311,AND(AH311="K5-POLICY",AG311&lt;&gt;"นิติศาสตร์",K311="S2",T311="",Z311=""),P311,AND(AH311="K5-POLICY",AG311&lt;&gt;"นิติศาสตร์",K311="S1",T311="",Z311=""),EDATE(P311,12),AND(AH311="K5-POLICY",AG311&lt;&gt;"นิติศาสตร์",OR(K311="M2",K311="K4"),T311="",Z311=""),EDATE(P311,12*2),AND(AH311="K5-POLICY",AG311&lt;&gt;"นิติศาสตร์",OR(Z311="M2",Z311="K4"),AC311&gt;=2,OR(AB311&lt;V311,AB311&lt;P311)),EDATE(AB311,12*2),AND(AH311="K5-POLICY",AG311&lt;&gt;"นิติศาสตร์",Z311="S1",AC311&gt;=1,OR(AB311&lt;V311,AB311&lt;P311)),EDATE(AB311,12),AND(AH311="K5-POLICY",AG311&lt;&gt;"นิติศาสตร์",OR(T311="M2",T311="K4"),W311&gt;=2,V311&lt;P311),EDATE(V311,12*2),AND(AH311="K5-POLICY",AG311&lt;&gt;"นิติศาสตร์",T311="S1",W311&gt;=1,V311&lt;P311),EDATE(V311,12),AND(AH311="K5-POLICY",AG311&lt;&gt;"นิติศาสตร์",OR(T311="S2",T311="K5")),V311,AND(AH311="K5-POLICY",AG311&lt;&gt;"นิติศาสตร์",OR(K311="M2",K311="K4"),Q311&gt;=2),EDATE(P311,12*2),AND(AH311="K5-POLICY",AG311&lt;&gt;"นิติศาสตร์",K311="S1",Q311&gt;=1),EDATE(P311,12),AND(AH311="K5-POLICY",AG311&lt;&gt;"นิติศาสตร์",OR(K311="S2",K311="K5")),P311,TRUE,"Check Data")</f>
        <v/>
      </c>
      <c r="AJ311" s="75" t="str">
        <f t="shared" si="83"/>
        <v>Check Data</v>
      </c>
      <c r="AK311" s="76" t="str">
        <f t="shared" si="84"/>
        <v>Check Data</v>
      </c>
      <c r="AL311" s="50" t="str">
        <f t="shared" si="85"/>
        <v>Check Data</v>
      </c>
      <c r="AM311" s="49" t="str">
        <f>IF(B311="","",IF(K311="S1","S1",INDEX(#REF!,#REF!)))</f>
        <v/>
      </c>
      <c r="AN311" s="49" t="str">
        <f>K311</f>
        <v>M2</v>
      </c>
      <c r="AO311" s="50" t="b">
        <f>K311=AM311</f>
        <v>0</v>
      </c>
    </row>
    <row r="312" spans="1:41" ht="21.75">
      <c r="A312" s="49">
        <v>310</v>
      </c>
      <c r="B312" s="50"/>
      <c r="C312" s="52"/>
      <c r="D312" s="84"/>
      <c r="E312" s="85"/>
      <c r="F312" s="85"/>
      <c r="G312" s="50">
        <f t="shared" si="76"/>
        <v>0</v>
      </c>
      <c r="H312" s="50">
        <f t="shared" si="77"/>
        <v>0</v>
      </c>
      <c r="I312" s="50">
        <f t="shared" si="78"/>
        <v>0</v>
      </c>
      <c r="J312" s="84"/>
      <c r="K312" s="49" t="s">
        <v>136</v>
      </c>
      <c r="L312" s="87"/>
      <c r="M312" s="85"/>
      <c r="N312" s="85"/>
      <c r="O312" s="65" t="s">
        <v>458</v>
      </c>
      <c r="P312" s="49" t="str">
        <f t="shared" si="79"/>
        <v>31/03/2025</v>
      </c>
      <c r="Q312" s="68">
        <f t="shared" si="80"/>
        <v>0</v>
      </c>
      <c r="R312" s="68">
        <f t="shared" si="81"/>
        <v>2</v>
      </c>
      <c r="S312" s="68">
        <f t="shared" si="82"/>
        <v>20</v>
      </c>
      <c r="T312" s="65"/>
      <c r="U312" s="89"/>
      <c r="V312" s="85"/>
      <c r="W312" s="88"/>
      <c r="X312" s="88"/>
      <c r="Y312" s="88"/>
      <c r="Z312" s="85"/>
      <c r="AA312" s="89"/>
      <c r="AB312" s="84"/>
      <c r="AC312" s="88"/>
      <c r="AD312" s="88"/>
      <c r="AE312" s="88"/>
      <c r="AF312" s="84"/>
      <c r="AG312" s="84"/>
      <c r="AH312" s="49" t="str">
        <f>IF(AG312="นิติศาสตร์","K5-LAW","K5-POLICY")</f>
        <v>K5-POLICY</v>
      </c>
      <c r="AI312" s="72" t="str">
        <f>_xlfn.IFS(B312="","",AND(AH312="K5-LAW",AG312="นิติศาสตร์",K312="S2",T312="",Z312=""),P312,AND(AH312="K5-LAW",AG312="นิติศาสตร์",K312="S1",T312="",Z312=""),EDATE(P312,12),AND(AH312="K5-LAW",AG312="นิติศาสตร์",OR(K312="M2",K312="K4"),T312="",Z312=""),EDATE(P312,12*2),AND(AH312="K5-LAW",AG312="นิติศาสตร์",OR(Z312="M2",Z312="K4"),AC312&gt;=2,OR(AB312&lt;V312,AB312&lt;P312)),EDATE(AB312,12*2),AND(AH312="K5-LAW",AG312="นิติศาสตร์",Z312="S1",AC312&gt;=1,OR(AB312&lt;V312,AB312&lt;P312)),EDATE(AB312,12),AND(AH312="K5-LAW",AG312="นิติศาสตร์",OR(T312="M2",T312="K4"),W312&gt;=2,V312&lt;P312),EDATE(V312,12*2),AND(AH312="K5-LAW",AG312="นิติศาสตร์",T312="S1",W312&gt;=1,V312&lt;P312),EDATE(V312,12),AND(AH312="K5-LAW",AG312="นิติศาสตร์",OR(T312="S2",T312="K5")),V312,AND(AH312="K5-LAW",AG312="นิติศาสตร์",OR(K312="M2",K312="K4"),Q312&gt;=2),EDATE(P312,12*2),AND(AH312="K5-LAW",AG312="นิติศาสตร์",K312="S1",Q312&gt;=1),EDATE(P312,12),AND(AH312="K5-LAW",AG312="นิติศาสตร์",OR(K312="S2",K312="K5")),P312,AND(AH312="K5-POLICY",AG312&lt;&gt;"นิติศาสตร์",K312="S2",T312="",Z312=""),P312,AND(AH312="K5-POLICY",AG312&lt;&gt;"นิติศาสตร์",K312="S1",T312="",Z312=""),EDATE(P312,12),AND(AH312="K5-POLICY",AG312&lt;&gt;"นิติศาสตร์",OR(K312="M2",K312="K4"),T312="",Z312=""),EDATE(P312,12*2),AND(AH312="K5-POLICY",AG312&lt;&gt;"นิติศาสตร์",OR(Z312="M2",Z312="K4"),AC312&gt;=2,OR(AB312&lt;V312,AB312&lt;P312)),EDATE(AB312,12*2),AND(AH312="K5-POLICY",AG312&lt;&gt;"นิติศาสตร์",Z312="S1",AC312&gt;=1,OR(AB312&lt;V312,AB312&lt;P312)),EDATE(AB312,12),AND(AH312="K5-POLICY",AG312&lt;&gt;"นิติศาสตร์",OR(T312="M2",T312="K4"),W312&gt;=2,V312&lt;P312),EDATE(V312,12*2),AND(AH312="K5-POLICY",AG312&lt;&gt;"นิติศาสตร์",T312="S1",W312&gt;=1,V312&lt;P312),EDATE(V312,12),AND(AH312="K5-POLICY",AG312&lt;&gt;"นิติศาสตร์",OR(T312="S2",T312="K5")),V312,AND(AH312="K5-POLICY",AG312&lt;&gt;"นิติศาสตร์",OR(K312="M2",K312="K4"),Q312&gt;=2),EDATE(P312,12*2),AND(AH312="K5-POLICY",AG312&lt;&gt;"นิติศาสตร์",K312="S1",Q312&gt;=1),EDATE(P312,12),AND(AH312="K5-POLICY",AG312&lt;&gt;"นิติศาสตร์",OR(K312="S2",K312="K5")),P312,TRUE,"Check Data")</f>
        <v/>
      </c>
      <c r="AJ312" s="75" t="str">
        <f t="shared" si="83"/>
        <v>Check Data</v>
      </c>
      <c r="AK312" s="76" t="str">
        <f t="shared" si="84"/>
        <v>Check Data</v>
      </c>
      <c r="AL312" s="50" t="str">
        <f t="shared" si="85"/>
        <v>Check Data</v>
      </c>
      <c r="AM312" s="49" t="str">
        <f>IF(B312="","",IF(K312="S1","S1",INDEX(#REF!,#REF!)))</f>
        <v/>
      </c>
      <c r="AN312" s="49" t="str">
        <f>K312</f>
        <v>M2</v>
      </c>
      <c r="AO312" s="50" t="b">
        <f>K312=AM312</f>
        <v>0</v>
      </c>
    </row>
    <row r="313" spans="1:41" ht="21.75">
      <c r="A313" s="49">
        <v>311</v>
      </c>
      <c r="B313" s="50"/>
      <c r="C313" s="52"/>
      <c r="D313" s="84"/>
      <c r="E313" s="85"/>
      <c r="F313" s="85"/>
      <c r="G313" s="50">
        <f t="shared" si="76"/>
        <v>0</v>
      </c>
      <c r="H313" s="50">
        <f t="shared" si="77"/>
        <v>0</v>
      </c>
      <c r="I313" s="50">
        <f t="shared" si="78"/>
        <v>0</v>
      </c>
      <c r="J313" s="84"/>
      <c r="K313" s="49" t="s">
        <v>136</v>
      </c>
      <c r="L313" s="87"/>
      <c r="M313" s="85"/>
      <c r="N313" s="85"/>
      <c r="O313" s="65" t="s">
        <v>458</v>
      </c>
      <c r="P313" s="49" t="str">
        <f t="shared" si="79"/>
        <v>31/03/2025</v>
      </c>
      <c r="Q313" s="68">
        <f t="shared" si="80"/>
        <v>0</v>
      </c>
      <c r="R313" s="68">
        <f t="shared" si="81"/>
        <v>2</v>
      </c>
      <c r="S313" s="68">
        <f t="shared" si="82"/>
        <v>20</v>
      </c>
      <c r="T313" s="65"/>
      <c r="U313" s="89"/>
      <c r="V313" s="85"/>
      <c r="W313" s="88"/>
      <c r="X313" s="88"/>
      <c r="Y313" s="88"/>
      <c r="Z313" s="85"/>
      <c r="AA313" s="89"/>
      <c r="AB313" s="84"/>
      <c r="AC313" s="88"/>
      <c r="AD313" s="88"/>
      <c r="AE313" s="88"/>
      <c r="AF313" s="84"/>
      <c r="AG313" s="84"/>
      <c r="AH313" s="49" t="str">
        <f>IF(AG313="นิติศาสตร์","K5-LAW","K5-POLICY")</f>
        <v>K5-POLICY</v>
      </c>
      <c r="AI313" s="72" t="str">
        <f>_xlfn.IFS(B313="","",AND(AH313="K5-LAW",AG313="นิติศาสตร์",K313="S2",T313="",Z313=""),P313,AND(AH313="K5-LAW",AG313="นิติศาสตร์",K313="S1",T313="",Z313=""),EDATE(P313,12),AND(AH313="K5-LAW",AG313="นิติศาสตร์",OR(K313="M2",K313="K4"),T313="",Z313=""),EDATE(P313,12*2),AND(AH313="K5-LAW",AG313="นิติศาสตร์",OR(Z313="M2",Z313="K4"),AC313&gt;=2,OR(AB313&lt;V313,AB313&lt;P313)),EDATE(AB313,12*2),AND(AH313="K5-LAW",AG313="นิติศาสตร์",Z313="S1",AC313&gt;=1,OR(AB313&lt;V313,AB313&lt;P313)),EDATE(AB313,12),AND(AH313="K5-LAW",AG313="นิติศาสตร์",OR(T313="M2",T313="K4"),W313&gt;=2,V313&lt;P313),EDATE(V313,12*2),AND(AH313="K5-LAW",AG313="นิติศาสตร์",T313="S1",W313&gt;=1,V313&lt;P313),EDATE(V313,12),AND(AH313="K5-LAW",AG313="นิติศาสตร์",OR(T313="S2",T313="K5")),V313,AND(AH313="K5-LAW",AG313="นิติศาสตร์",OR(K313="M2",K313="K4"),Q313&gt;=2),EDATE(P313,12*2),AND(AH313="K5-LAW",AG313="นิติศาสตร์",K313="S1",Q313&gt;=1),EDATE(P313,12),AND(AH313="K5-LAW",AG313="นิติศาสตร์",OR(K313="S2",K313="K5")),P313,AND(AH313="K5-POLICY",AG313&lt;&gt;"นิติศาสตร์",K313="S2",T313="",Z313=""),P313,AND(AH313="K5-POLICY",AG313&lt;&gt;"นิติศาสตร์",K313="S1",T313="",Z313=""),EDATE(P313,12),AND(AH313="K5-POLICY",AG313&lt;&gt;"นิติศาสตร์",OR(K313="M2",K313="K4"),T313="",Z313=""),EDATE(P313,12*2),AND(AH313="K5-POLICY",AG313&lt;&gt;"นิติศาสตร์",OR(Z313="M2",Z313="K4"),AC313&gt;=2,OR(AB313&lt;V313,AB313&lt;P313)),EDATE(AB313,12*2),AND(AH313="K5-POLICY",AG313&lt;&gt;"นิติศาสตร์",Z313="S1",AC313&gt;=1,OR(AB313&lt;V313,AB313&lt;P313)),EDATE(AB313,12),AND(AH313="K5-POLICY",AG313&lt;&gt;"นิติศาสตร์",OR(T313="M2",T313="K4"),W313&gt;=2,V313&lt;P313),EDATE(V313,12*2),AND(AH313="K5-POLICY",AG313&lt;&gt;"นิติศาสตร์",T313="S1",W313&gt;=1,V313&lt;P313),EDATE(V313,12),AND(AH313="K5-POLICY",AG313&lt;&gt;"นิติศาสตร์",OR(T313="S2",T313="K5")),V313,AND(AH313="K5-POLICY",AG313&lt;&gt;"นิติศาสตร์",OR(K313="M2",K313="K4"),Q313&gt;=2),EDATE(P313,12*2),AND(AH313="K5-POLICY",AG313&lt;&gt;"นิติศาสตร์",K313="S1",Q313&gt;=1),EDATE(P313,12),AND(AH313="K5-POLICY",AG313&lt;&gt;"นิติศาสตร์",OR(K313="S2",K313="K5")),P313,TRUE,"Check Data")</f>
        <v/>
      </c>
      <c r="AJ313" s="75" t="str">
        <f t="shared" si="83"/>
        <v>Check Data</v>
      </c>
      <c r="AK313" s="76" t="str">
        <f t="shared" si="84"/>
        <v>Check Data</v>
      </c>
      <c r="AL313" s="50" t="str">
        <f t="shared" si="85"/>
        <v>Check Data</v>
      </c>
      <c r="AM313" s="49" t="str">
        <f>IF(B313="","",IF(K313="S1","S1",INDEX(#REF!,#REF!)))</f>
        <v/>
      </c>
      <c r="AN313" s="49" t="str">
        <f>K313</f>
        <v>M2</v>
      </c>
      <c r="AO313" s="50" t="b">
        <f>K313=AM313</f>
        <v>0</v>
      </c>
    </row>
    <row r="314" spans="1:41" ht="21.75">
      <c r="A314" s="49">
        <v>312</v>
      </c>
      <c r="B314" s="50"/>
      <c r="C314" s="52"/>
      <c r="D314" s="84"/>
      <c r="E314" s="85"/>
      <c r="F314" s="85"/>
      <c r="G314" s="50">
        <f t="shared" si="76"/>
        <v>0</v>
      </c>
      <c r="H314" s="50">
        <f t="shared" si="77"/>
        <v>0</v>
      </c>
      <c r="I314" s="50">
        <f t="shared" si="78"/>
        <v>0</v>
      </c>
      <c r="J314" s="84"/>
      <c r="K314" s="49" t="s">
        <v>136</v>
      </c>
      <c r="L314" s="87"/>
      <c r="M314" s="85"/>
      <c r="N314" s="85"/>
      <c r="O314" s="65" t="s">
        <v>458</v>
      </c>
      <c r="P314" s="49" t="str">
        <f t="shared" si="79"/>
        <v>31/03/2025</v>
      </c>
      <c r="Q314" s="68">
        <f t="shared" si="80"/>
        <v>0</v>
      </c>
      <c r="R314" s="68">
        <f t="shared" si="81"/>
        <v>2</v>
      </c>
      <c r="S314" s="68">
        <f t="shared" si="82"/>
        <v>20</v>
      </c>
      <c r="T314" s="65"/>
      <c r="U314" s="89"/>
      <c r="V314" s="85"/>
      <c r="W314" s="88"/>
      <c r="X314" s="88"/>
      <c r="Y314" s="88"/>
      <c r="Z314" s="85"/>
      <c r="AA314" s="89"/>
      <c r="AB314" s="84"/>
      <c r="AC314" s="88"/>
      <c r="AD314" s="88"/>
      <c r="AE314" s="88"/>
      <c r="AF314" s="84"/>
      <c r="AG314" s="84"/>
      <c r="AH314" s="49" t="str">
        <f>IF(AG314="นิติศาสตร์","K5-LAW","K5-POLICY")</f>
        <v>K5-POLICY</v>
      </c>
      <c r="AI314" s="72" t="str">
        <f>_xlfn.IFS(B314="","",AND(AH314="K5-LAW",AG314="นิติศาสตร์",K314="S2",T314="",Z314=""),P314,AND(AH314="K5-LAW",AG314="นิติศาสตร์",K314="S1",T314="",Z314=""),EDATE(P314,12),AND(AH314="K5-LAW",AG314="นิติศาสตร์",OR(K314="M2",K314="K4"),T314="",Z314=""),EDATE(P314,12*2),AND(AH314="K5-LAW",AG314="นิติศาสตร์",OR(Z314="M2",Z314="K4"),AC314&gt;=2,OR(AB314&lt;V314,AB314&lt;P314)),EDATE(AB314,12*2),AND(AH314="K5-LAW",AG314="นิติศาสตร์",Z314="S1",AC314&gt;=1,OR(AB314&lt;V314,AB314&lt;P314)),EDATE(AB314,12),AND(AH314="K5-LAW",AG314="นิติศาสตร์",OR(T314="M2",T314="K4"),W314&gt;=2,V314&lt;P314),EDATE(V314,12*2),AND(AH314="K5-LAW",AG314="นิติศาสตร์",T314="S1",W314&gt;=1,V314&lt;P314),EDATE(V314,12),AND(AH314="K5-LAW",AG314="นิติศาสตร์",OR(T314="S2",T314="K5")),V314,AND(AH314="K5-LAW",AG314="นิติศาสตร์",OR(K314="M2",K314="K4"),Q314&gt;=2),EDATE(P314,12*2),AND(AH314="K5-LAW",AG314="นิติศาสตร์",K314="S1",Q314&gt;=1),EDATE(P314,12),AND(AH314="K5-LAW",AG314="นิติศาสตร์",OR(K314="S2",K314="K5")),P314,AND(AH314="K5-POLICY",AG314&lt;&gt;"นิติศาสตร์",K314="S2",T314="",Z314=""),P314,AND(AH314="K5-POLICY",AG314&lt;&gt;"นิติศาสตร์",K314="S1",T314="",Z314=""),EDATE(P314,12),AND(AH314="K5-POLICY",AG314&lt;&gt;"นิติศาสตร์",OR(K314="M2",K314="K4"),T314="",Z314=""),EDATE(P314,12*2),AND(AH314="K5-POLICY",AG314&lt;&gt;"นิติศาสตร์",OR(Z314="M2",Z314="K4"),AC314&gt;=2,OR(AB314&lt;V314,AB314&lt;P314)),EDATE(AB314,12*2),AND(AH314="K5-POLICY",AG314&lt;&gt;"นิติศาสตร์",Z314="S1",AC314&gt;=1,OR(AB314&lt;V314,AB314&lt;P314)),EDATE(AB314,12),AND(AH314="K5-POLICY",AG314&lt;&gt;"นิติศาสตร์",OR(T314="M2",T314="K4"),W314&gt;=2,V314&lt;P314),EDATE(V314,12*2),AND(AH314="K5-POLICY",AG314&lt;&gt;"นิติศาสตร์",T314="S1",W314&gt;=1,V314&lt;P314),EDATE(V314,12),AND(AH314="K5-POLICY",AG314&lt;&gt;"นิติศาสตร์",OR(T314="S2",T314="K5")),V314,AND(AH314="K5-POLICY",AG314&lt;&gt;"นิติศาสตร์",OR(K314="M2",K314="K4"),Q314&gt;=2),EDATE(P314,12*2),AND(AH314="K5-POLICY",AG314&lt;&gt;"นิติศาสตร์",K314="S1",Q314&gt;=1),EDATE(P314,12),AND(AH314="K5-POLICY",AG314&lt;&gt;"นิติศาสตร์",OR(K314="S2",K314="K5")),P314,TRUE,"Check Data")</f>
        <v/>
      </c>
      <c r="AJ314" s="75" t="str">
        <f t="shared" si="83"/>
        <v>Check Data</v>
      </c>
      <c r="AK314" s="76" t="str">
        <f t="shared" si="84"/>
        <v>Check Data</v>
      </c>
      <c r="AL314" s="50" t="str">
        <f t="shared" si="85"/>
        <v>Check Data</v>
      </c>
      <c r="AM314" s="49" t="str">
        <f>IF(B314="","",IF(K314="S1","S1",INDEX(#REF!,#REF!)))</f>
        <v/>
      </c>
      <c r="AN314" s="49" t="str">
        <f>K314</f>
        <v>M2</v>
      </c>
      <c r="AO314" s="50" t="b">
        <f>K314=AM314</f>
        <v>0</v>
      </c>
    </row>
    <row r="315" spans="1:41" ht="21.75">
      <c r="A315" s="49">
        <v>313</v>
      </c>
      <c r="B315" s="50"/>
      <c r="C315" s="52"/>
      <c r="D315" s="84"/>
      <c r="E315" s="85"/>
      <c r="F315" s="85"/>
      <c r="G315" s="50">
        <f t="shared" si="76"/>
        <v>0</v>
      </c>
      <c r="H315" s="50">
        <f t="shared" si="77"/>
        <v>0</v>
      </c>
      <c r="I315" s="50">
        <f t="shared" si="78"/>
        <v>0</v>
      </c>
      <c r="J315" s="84"/>
      <c r="K315" s="49" t="s">
        <v>136</v>
      </c>
      <c r="L315" s="87"/>
      <c r="M315" s="85"/>
      <c r="N315" s="85"/>
      <c r="O315" s="65" t="s">
        <v>458</v>
      </c>
      <c r="P315" s="49" t="str">
        <f t="shared" si="79"/>
        <v>31/03/2025</v>
      </c>
      <c r="Q315" s="68">
        <f t="shared" si="80"/>
        <v>0</v>
      </c>
      <c r="R315" s="68">
        <f t="shared" si="81"/>
        <v>2</v>
      </c>
      <c r="S315" s="68">
        <f t="shared" si="82"/>
        <v>20</v>
      </c>
      <c r="T315" s="65"/>
      <c r="U315" s="89"/>
      <c r="V315" s="85"/>
      <c r="W315" s="88"/>
      <c r="X315" s="88"/>
      <c r="Y315" s="88"/>
      <c r="Z315" s="85"/>
      <c r="AA315" s="89"/>
      <c r="AB315" s="84"/>
      <c r="AC315" s="88"/>
      <c r="AD315" s="88"/>
      <c r="AE315" s="88"/>
      <c r="AF315" s="84"/>
      <c r="AG315" s="84"/>
      <c r="AH315" s="49" t="str">
        <f>IF(AG315="นิติศาสตร์","K5-LAW","K5-POLICY")</f>
        <v>K5-POLICY</v>
      </c>
      <c r="AI315" s="72" t="str">
        <f>_xlfn.IFS(B315="","",AND(AH315="K5-LAW",AG315="นิติศาสตร์",K315="S2",T315="",Z315=""),P315,AND(AH315="K5-LAW",AG315="นิติศาสตร์",K315="S1",T315="",Z315=""),EDATE(P315,12),AND(AH315="K5-LAW",AG315="นิติศาสตร์",OR(K315="M2",K315="K4"),T315="",Z315=""),EDATE(P315,12*2),AND(AH315="K5-LAW",AG315="นิติศาสตร์",OR(Z315="M2",Z315="K4"),AC315&gt;=2,OR(AB315&lt;V315,AB315&lt;P315)),EDATE(AB315,12*2),AND(AH315="K5-LAW",AG315="นิติศาสตร์",Z315="S1",AC315&gt;=1,OR(AB315&lt;V315,AB315&lt;P315)),EDATE(AB315,12),AND(AH315="K5-LAW",AG315="นิติศาสตร์",OR(T315="M2",T315="K4"),W315&gt;=2,V315&lt;P315),EDATE(V315,12*2),AND(AH315="K5-LAW",AG315="นิติศาสตร์",T315="S1",W315&gt;=1,V315&lt;P315),EDATE(V315,12),AND(AH315="K5-LAW",AG315="นิติศาสตร์",OR(T315="S2",T315="K5")),V315,AND(AH315="K5-LAW",AG315="นิติศาสตร์",OR(K315="M2",K315="K4"),Q315&gt;=2),EDATE(P315,12*2),AND(AH315="K5-LAW",AG315="นิติศาสตร์",K315="S1",Q315&gt;=1),EDATE(P315,12),AND(AH315="K5-LAW",AG315="นิติศาสตร์",OR(K315="S2",K315="K5")),P315,AND(AH315="K5-POLICY",AG315&lt;&gt;"นิติศาสตร์",K315="S2",T315="",Z315=""),P315,AND(AH315="K5-POLICY",AG315&lt;&gt;"นิติศาสตร์",K315="S1",T315="",Z315=""),EDATE(P315,12),AND(AH315="K5-POLICY",AG315&lt;&gt;"นิติศาสตร์",OR(K315="M2",K315="K4"),T315="",Z315=""),EDATE(P315,12*2),AND(AH315="K5-POLICY",AG315&lt;&gt;"นิติศาสตร์",OR(Z315="M2",Z315="K4"),AC315&gt;=2,OR(AB315&lt;V315,AB315&lt;P315)),EDATE(AB315,12*2),AND(AH315="K5-POLICY",AG315&lt;&gt;"นิติศาสตร์",Z315="S1",AC315&gt;=1,OR(AB315&lt;V315,AB315&lt;P315)),EDATE(AB315,12),AND(AH315="K5-POLICY",AG315&lt;&gt;"นิติศาสตร์",OR(T315="M2",T315="K4"),W315&gt;=2,V315&lt;P315),EDATE(V315,12*2),AND(AH315="K5-POLICY",AG315&lt;&gt;"นิติศาสตร์",T315="S1",W315&gt;=1,V315&lt;P315),EDATE(V315,12),AND(AH315="K5-POLICY",AG315&lt;&gt;"นิติศาสตร์",OR(T315="S2",T315="K5")),V315,AND(AH315="K5-POLICY",AG315&lt;&gt;"นิติศาสตร์",OR(K315="M2",K315="K4"),Q315&gt;=2),EDATE(P315,12*2),AND(AH315="K5-POLICY",AG315&lt;&gt;"นิติศาสตร์",K315="S1",Q315&gt;=1),EDATE(P315,12),AND(AH315="K5-POLICY",AG315&lt;&gt;"นิติศาสตร์",OR(K315="S2",K315="K5")),P315,TRUE,"Check Data")</f>
        <v/>
      </c>
      <c r="AJ315" s="75" t="str">
        <f t="shared" si="83"/>
        <v>Check Data</v>
      </c>
      <c r="AK315" s="76" t="str">
        <f t="shared" si="84"/>
        <v>Check Data</v>
      </c>
      <c r="AL315" s="50" t="str">
        <f t="shared" si="85"/>
        <v>Check Data</v>
      </c>
      <c r="AM315" s="49" t="str">
        <f>IF(B315="","",IF(K315="S1","S1",INDEX(#REF!,#REF!)))</f>
        <v/>
      </c>
      <c r="AN315" s="49" t="str">
        <f>K315</f>
        <v>M2</v>
      </c>
      <c r="AO315" s="50" t="b">
        <f>K315=AM315</f>
        <v>0</v>
      </c>
    </row>
    <row r="316" spans="1:41" ht="21.75">
      <c r="A316" s="49">
        <v>314</v>
      </c>
      <c r="B316" s="50"/>
      <c r="C316" s="52"/>
      <c r="D316" s="84"/>
      <c r="E316" s="85"/>
      <c r="F316" s="85"/>
      <c r="G316" s="50">
        <f t="shared" si="76"/>
        <v>0</v>
      </c>
      <c r="H316" s="50">
        <f t="shared" si="77"/>
        <v>0</v>
      </c>
      <c r="I316" s="50">
        <f t="shared" si="78"/>
        <v>0</v>
      </c>
      <c r="J316" s="84"/>
      <c r="K316" s="49" t="s">
        <v>136</v>
      </c>
      <c r="L316" s="87"/>
      <c r="M316" s="85"/>
      <c r="N316" s="85"/>
      <c r="O316" s="65" t="s">
        <v>458</v>
      </c>
      <c r="P316" s="49" t="str">
        <f t="shared" si="79"/>
        <v>31/03/2025</v>
      </c>
      <c r="Q316" s="68">
        <f t="shared" si="80"/>
        <v>0</v>
      </c>
      <c r="R316" s="68">
        <f t="shared" si="81"/>
        <v>2</v>
      </c>
      <c r="S316" s="68">
        <f t="shared" si="82"/>
        <v>20</v>
      </c>
      <c r="T316" s="65"/>
      <c r="U316" s="89"/>
      <c r="V316" s="85"/>
      <c r="W316" s="88"/>
      <c r="X316" s="88"/>
      <c r="Y316" s="88"/>
      <c r="Z316" s="85"/>
      <c r="AA316" s="89"/>
      <c r="AB316" s="84"/>
      <c r="AC316" s="88"/>
      <c r="AD316" s="88"/>
      <c r="AE316" s="88"/>
      <c r="AF316" s="84"/>
      <c r="AG316" s="84"/>
      <c r="AH316" s="49" t="str">
        <f>IF(AG316="นิติศาสตร์","K5-LAW","K5-POLICY")</f>
        <v>K5-POLICY</v>
      </c>
      <c r="AI316" s="72" t="str">
        <f>_xlfn.IFS(B316="","",AND(AH316="K5-LAW",AG316="นิติศาสตร์",K316="S2",T316="",Z316=""),P316,AND(AH316="K5-LAW",AG316="นิติศาสตร์",K316="S1",T316="",Z316=""),EDATE(P316,12),AND(AH316="K5-LAW",AG316="นิติศาสตร์",OR(K316="M2",K316="K4"),T316="",Z316=""),EDATE(P316,12*2),AND(AH316="K5-LAW",AG316="นิติศาสตร์",OR(Z316="M2",Z316="K4"),AC316&gt;=2,OR(AB316&lt;V316,AB316&lt;P316)),EDATE(AB316,12*2),AND(AH316="K5-LAW",AG316="นิติศาสตร์",Z316="S1",AC316&gt;=1,OR(AB316&lt;V316,AB316&lt;P316)),EDATE(AB316,12),AND(AH316="K5-LAW",AG316="นิติศาสตร์",OR(T316="M2",T316="K4"),W316&gt;=2,V316&lt;P316),EDATE(V316,12*2),AND(AH316="K5-LAW",AG316="นิติศาสตร์",T316="S1",W316&gt;=1,V316&lt;P316),EDATE(V316,12),AND(AH316="K5-LAW",AG316="นิติศาสตร์",OR(T316="S2",T316="K5")),V316,AND(AH316="K5-LAW",AG316="นิติศาสตร์",OR(K316="M2",K316="K4"),Q316&gt;=2),EDATE(P316,12*2),AND(AH316="K5-LAW",AG316="นิติศาสตร์",K316="S1",Q316&gt;=1),EDATE(P316,12),AND(AH316="K5-LAW",AG316="นิติศาสตร์",OR(K316="S2",K316="K5")),P316,AND(AH316="K5-POLICY",AG316&lt;&gt;"นิติศาสตร์",K316="S2",T316="",Z316=""),P316,AND(AH316="K5-POLICY",AG316&lt;&gt;"นิติศาสตร์",K316="S1",T316="",Z316=""),EDATE(P316,12),AND(AH316="K5-POLICY",AG316&lt;&gt;"นิติศาสตร์",OR(K316="M2",K316="K4"),T316="",Z316=""),EDATE(P316,12*2),AND(AH316="K5-POLICY",AG316&lt;&gt;"นิติศาสตร์",OR(Z316="M2",Z316="K4"),AC316&gt;=2,OR(AB316&lt;V316,AB316&lt;P316)),EDATE(AB316,12*2),AND(AH316="K5-POLICY",AG316&lt;&gt;"นิติศาสตร์",Z316="S1",AC316&gt;=1,OR(AB316&lt;V316,AB316&lt;P316)),EDATE(AB316,12),AND(AH316="K5-POLICY",AG316&lt;&gt;"นิติศาสตร์",OR(T316="M2",T316="K4"),W316&gt;=2,V316&lt;P316),EDATE(V316,12*2),AND(AH316="K5-POLICY",AG316&lt;&gt;"นิติศาสตร์",T316="S1",W316&gt;=1,V316&lt;P316),EDATE(V316,12),AND(AH316="K5-POLICY",AG316&lt;&gt;"นิติศาสตร์",OR(T316="S2",T316="K5")),V316,AND(AH316="K5-POLICY",AG316&lt;&gt;"นิติศาสตร์",OR(K316="M2",K316="K4"),Q316&gt;=2),EDATE(P316,12*2),AND(AH316="K5-POLICY",AG316&lt;&gt;"นิติศาสตร์",K316="S1",Q316&gt;=1),EDATE(P316,12),AND(AH316="K5-POLICY",AG316&lt;&gt;"นิติศาสตร์",OR(K316="S2",K316="K5")),P316,TRUE,"Check Data")</f>
        <v/>
      </c>
      <c r="AJ316" s="75" t="str">
        <f t="shared" si="83"/>
        <v>Check Data</v>
      </c>
      <c r="AK316" s="76" t="str">
        <f t="shared" si="84"/>
        <v>Check Data</v>
      </c>
      <c r="AL316" s="50" t="str">
        <f t="shared" si="85"/>
        <v>Check Data</v>
      </c>
      <c r="AM316" s="49" t="str">
        <f>IF(B316="","",IF(K316="S1","S1",INDEX(#REF!,#REF!)))</f>
        <v/>
      </c>
      <c r="AN316" s="49" t="str">
        <f>K316</f>
        <v>M2</v>
      </c>
      <c r="AO316" s="50" t="b">
        <f>K316=AM316</f>
        <v>0</v>
      </c>
    </row>
    <row r="317" spans="1:41" ht="21.75">
      <c r="A317" s="49">
        <v>315</v>
      </c>
      <c r="B317" s="50"/>
      <c r="C317" s="54"/>
      <c r="D317" s="84" t="s">
        <v>144</v>
      </c>
      <c r="E317" s="85" t="s">
        <v>208</v>
      </c>
      <c r="F317" s="85" t="str">
        <f t="shared" ref="F317:F338" si="86">IF(E317="","",TEXT(EDATE(E317,-543*12),"dd/mm/yyyy"))</f>
        <v>01/02/1990</v>
      </c>
      <c r="G317" s="50">
        <f t="shared" si="76"/>
        <v>35</v>
      </c>
      <c r="H317" s="50">
        <f t="shared" si="77"/>
        <v>4</v>
      </c>
      <c r="I317" s="50">
        <f t="shared" si="78"/>
        <v>19</v>
      </c>
      <c r="J317" s="84"/>
      <c r="K317" s="49" t="s">
        <v>137</v>
      </c>
      <c r="L317" s="87"/>
      <c r="M317" s="85"/>
      <c r="N317" s="85"/>
      <c r="O317" s="65" t="s">
        <v>413</v>
      </c>
      <c r="P317" s="49" t="str">
        <f t="shared" si="79"/>
        <v>31/03/2015</v>
      </c>
      <c r="Q317" s="68">
        <f t="shared" si="80"/>
        <v>10</v>
      </c>
      <c r="R317" s="68">
        <f t="shared" si="81"/>
        <v>2</v>
      </c>
      <c r="S317" s="68">
        <f t="shared" si="82"/>
        <v>20</v>
      </c>
      <c r="T317" s="65"/>
      <c r="U317" s="89"/>
      <c r="V317" s="85" t="str">
        <f t="shared" ref="V317:V338" si="87">IF(U317="","",TEXT(EDATE(U317,-543*12),"dd/mm/yyyy"))</f>
        <v/>
      </c>
      <c r="W317" s="88">
        <f>IF(V317="",0,DATEDIF(V317,P317,"Y"))</f>
        <v>0</v>
      </c>
      <c r="X317" s="88">
        <f>IF(V317="",0,DATEDIF(V317,P317,"YM"))</f>
        <v>0</v>
      </c>
      <c r="Y317" s="88">
        <f>IF(V317="",0,DATEDIF(V317,P317,"MD"))</f>
        <v>0</v>
      </c>
      <c r="Z317" s="85"/>
      <c r="AA317" s="89"/>
      <c r="AB317" s="84" t="str">
        <f t="shared" ref="AB317:AB338" si="88">IF(AA317="","",TEXT(EDATE(AA317,-543*12),"dd/mm/yyyy"))</f>
        <v/>
      </c>
      <c r="AC317" s="88">
        <f t="shared" ref="AC317:AC338" si="89">IF(AB317="",0,DATEDIF(AB317,V317,"Y"))</f>
        <v>0</v>
      </c>
      <c r="AD317" s="88">
        <f t="shared" ref="AD317:AD338" si="90">IF(AB317="",0,DATEDIF(AB317,V317,"YM"))</f>
        <v>0</v>
      </c>
      <c r="AE317" s="88">
        <f t="shared" ref="AE317:AE338" si="91">IF(AB317="",0,DATEDIF(AB317,V317,"MD"))</f>
        <v>0</v>
      </c>
      <c r="AF317" s="84"/>
      <c r="AG317" s="84" t="s">
        <v>138</v>
      </c>
      <c r="AH317" s="49" t="str">
        <f>IF(AG317="นิติศาสตร์","K5-LAW","K5-POLICY")</f>
        <v>K5-LAW</v>
      </c>
      <c r="AI317" s="72" t="str">
        <f>_xlfn.IFS(B317="","",AND(AH317="K5-LAW",AG317="นิติศาสตร์",K317="S2",T317="",Z317=""),P317,AND(AH317="K5-LAW",AG317="นิติศาสตร์",K317="S1",T317="",Z317=""),EDATE(P317,12),AND(AH317="K5-LAW",AG317="นิติศาสตร์",OR(K317="M2",K317="K4"),T317="",Z317=""),EDATE(P317,12*2),AND(AH317="K5-LAW",AG317="นิติศาสตร์",OR(Z317="M2",Z317="K4"),AC317&gt;=2,OR(AB317&lt;V317,AB317&lt;P317)),EDATE(AB317,12*2),AND(AH317="K5-LAW",AG317="นิติศาสตร์",Z317="S1",AC317&gt;=1,OR(AB317&lt;V317,AB317&lt;P317)),EDATE(AB317,12),AND(AH317="K5-LAW",AG317="นิติศาสตร์",OR(T317="M2",T317="K4"),W317&gt;=2,V317&lt;P317),EDATE(V317,12*2),AND(AH317="K5-LAW",AG317="นิติศาสตร์",T317="S1",W317&gt;=1,V317&lt;P317),EDATE(V317,12),AND(AH317="K5-LAW",AG317="นิติศาสตร์",OR(T317="S2",T317="K5")),V317,AND(AH317="K5-LAW",AG317="นิติศาสตร์",OR(K317="M2",K317="K4"),Q317&gt;=2),EDATE(P317,12*2),AND(AH317="K5-LAW",AG317="นิติศาสตร์",K317="S1",Q317&gt;=1),EDATE(P317,12),AND(AH317="K5-LAW",AG317="นิติศาสตร์",OR(K317="S2",K317="K5")),P317,AND(AH317="K5-POLICY",AG317&lt;&gt;"นิติศาสตร์",K317="S2",T317="",Z317=""),P317,AND(AH317="K5-POLICY",AG317&lt;&gt;"นิติศาสตร์",K317="S1",T317="",Z317=""),EDATE(P317,12),AND(AH317="K5-POLICY",AG317&lt;&gt;"นิติศาสตร์",OR(K317="M2",K317="K4"),T317="",Z317=""),EDATE(P317,12*2),AND(AH317="K5-POLICY",AG317&lt;&gt;"นิติศาสตร์",OR(Z317="M2",Z317="K4"),AC317&gt;=2,OR(AB317&lt;V317,AB317&lt;P317)),EDATE(AB317,12*2),AND(AH317="K5-POLICY",AG317&lt;&gt;"นิติศาสตร์",Z317="S1",AC317&gt;=1,OR(AB317&lt;V317,AB317&lt;P317)),EDATE(AB317,12),AND(AH317="K5-POLICY",AG317&lt;&gt;"นิติศาสตร์",OR(T317="M2",T317="K4"),W317&gt;=2,V317&lt;P317),EDATE(V317,12*2),AND(AH317="K5-POLICY",AG317&lt;&gt;"นิติศาสตร์",T317="S1",W317&gt;=1,V317&lt;P317),EDATE(V317,12),AND(AH317="K5-POLICY",AG317&lt;&gt;"นิติศาสตร์",OR(T317="S2",T317="K5")),V317,AND(AH317="K5-POLICY",AG317&lt;&gt;"นิติศาสตร์",OR(K317="M2",K317="K4"),Q317&gt;=2),EDATE(P317,12*2),AND(AH317="K5-POLICY",AG317&lt;&gt;"นิติศาสตร์",K317="S1",Q317&gt;=1),EDATE(P317,12),AND(AH317="K5-POLICY",AG317&lt;&gt;"นิติศาสตร์",OR(K317="S2",K317="K5")),P317,TRUE,"Check Data")</f>
        <v/>
      </c>
      <c r="AJ317" s="75" t="str">
        <f t="shared" si="83"/>
        <v>Check Data</v>
      </c>
      <c r="AK317" s="76" t="str">
        <f t="shared" si="84"/>
        <v>Check Data</v>
      </c>
      <c r="AL317" s="50" t="str">
        <f t="shared" si="85"/>
        <v>Check Data</v>
      </c>
      <c r="AM317" s="49" t="str">
        <f>IF(B317="","",IF(K317="S1","S1",INDEX(#REF!,#REF!)))</f>
        <v/>
      </c>
      <c r="AN317" s="49" t="str">
        <f>K317</f>
        <v>K4</v>
      </c>
      <c r="AO317" s="50" t="b">
        <f>K317=AM317</f>
        <v>0</v>
      </c>
    </row>
    <row r="318" spans="1:41" ht="21.75">
      <c r="A318" s="49">
        <v>316</v>
      </c>
      <c r="B318" s="50"/>
      <c r="C318" s="54"/>
      <c r="D318" s="84" t="s">
        <v>144</v>
      </c>
      <c r="E318" s="85" t="s">
        <v>382</v>
      </c>
      <c r="F318" s="85" t="str">
        <f t="shared" si="86"/>
        <v>01/05/1989</v>
      </c>
      <c r="G318" s="50">
        <f t="shared" si="76"/>
        <v>36</v>
      </c>
      <c r="H318" s="50">
        <f t="shared" si="77"/>
        <v>1</v>
      </c>
      <c r="I318" s="50">
        <f t="shared" si="78"/>
        <v>19</v>
      </c>
      <c r="J318" s="84"/>
      <c r="K318" s="49" t="s">
        <v>137</v>
      </c>
      <c r="L318" s="87"/>
      <c r="M318" s="85"/>
      <c r="N318" s="85"/>
      <c r="O318" s="65" t="s">
        <v>408</v>
      </c>
      <c r="P318" s="49" t="str">
        <f t="shared" si="79"/>
        <v>23/11/2016</v>
      </c>
      <c r="Q318" s="68">
        <f t="shared" si="80"/>
        <v>8</v>
      </c>
      <c r="R318" s="68">
        <f t="shared" si="81"/>
        <v>6</v>
      </c>
      <c r="S318" s="68">
        <f t="shared" si="82"/>
        <v>28</v>
      </c>
      <c r="T318" s="65"/>
      <c r="U318" s="89"/>
      <c r="V318" s="85" t="str">
        <f t="shared" si="87"/>
        <v/>
      </c>
      <c r="W318" s="88">
        <f>IF(V318="",0,DATEDIF(V318,P318,"Y"))</f>
        <v>0</v>
      </c>
      <c r="X318" s="88">
        <f>IF(V318="",0,DATEDIF(V318,P318,"YM"))</f>
        <v>0</v>
      </c>
      <c r="Y318" s="88">
        <f>IF(V318="",0,DATEDIF(V318,P318,"MD"))</f>
        <v>0</v>
      </c>
      <c r="Z318" s="85"/>
      <c r="AA318" s="89"/>
      <c r="AB318" s="84" t="str">
        <f t="shared" si="88"/>
        <v/>
      </c>
      <c r="AC318" s="88">
        <f t="shared" si="89"/>
        <v>0</v>
      </c>
      <c r="AD318" s="88">
        <f t="shared" si="90"/>
        <v>0</v>
      </c>
      <c r="AE318" s="88">
        <f t="shared" si="91"/>
        <v>0</v>
      </c>
      <c r="AF318" s="84"/>
      <c r="AG318" s="84" t="s">
        <v>138</v>
      </c>
      <c r="AH318" s="49" t="str">
        <f>IF(AG318="นิติศาสตร์","K5-LAW","K5-POLICY")</f>
        <v>K5-LAW</v>
      </c>
      <c r="AI318" s="72" t="str">
        <f>_xlfn.IFS(B318="","",AND(AH318="K5-LAW",AG318="นิติศาสตร์",K318="S2",T318="",Z318=""),P318,AND(AH318="K5-LAW",AG318="นิติศาสตร์",K318="S1",T318="",Z318=""),EDATE(P318,12),AND(AH318="K5-LAW",AG318="นิติศาสตร์",OR(K318="M2",K318="K4"),T318="",Z318=""),EDATE(P318,12*2),AND(AH318="K5-LAW",AG318="นิติศาสตร์",OR(Z318="M2",Z318="K4"),AC318&gt;=2,OR(AB318&lt;V318,AB318&lt;P318)),EDATE(AB318,12*2),AND(AH318="K5-LAW",AG318="นิติศาสตร์",Z318="S1",AC318&gt;=1,OR(AB318&lt;V318,AB318&lt;P318)),EDATE(AB318,12),AND(AH318="K5-LAW",AG318="นิติศาสตร์",OR(T318="M2",T318="K4"),W318&gt;=2,V318&lt;P318),EDATE(V318,12*2),AND(AH318="K5-LAW",AG318="นิติศาสตร์",T318="S1",W318&gt;=1,V318&lt;P318),EDATE(V318,12),AND(AH318="K5-LAW",AG318="นิติศาสตร์",OR(T318="S2",T318="K5")),V318,AND(AH318="K5-LAW",AG318="นิติศาสตร์",OR(K318="M2",K318="K4"),Q318&gt;=2),EDATE(P318,12*2),AND(AH318="K5-LAW",AG318="นิติศาสตร์",K318="S1",Q318&gt;=1),EDATE(P318,12),AND(AH318="K5-LAW",AG318="นิติศาสตร์",OR(K318="S2",K318="K5")),P318,AND(AH318="K5-POLICY",AG318&lt;&gt;"นิติศาสตร์",K318="S2",T318="",Z318=""),P318,AND(AH318="K5-POLICY",AG318&lt;&gt;"นิติศาสตร์",K318="S1",T318="",Z318=""),EDATE(P318,12),AND(AH318="K5-POLICY",AG318&lt;&gt;"นิติศาสตร์",OR(K318="M2",K318="K4"),T318="",Z318=""),EDATE(P318,12*2),AND(AH318="K5-POLICY",AG318&lt;&gt;"นิติศาสตร์",OR(Z318="M2",Z318="K4"),AC318&gt;=2,OR(AB318&lt;V318,AB318&lt;P318)),EDATE(AB318,12*2),AND(AH318="K5-POLICY",AG318&lt;&gt;"นิติศาสตร์",Z318="S1",AC318&gt;=1,OR(AB318&lt;V318,AB318&lt;P318)),EDATE(AB318,12),AND(AH318="K5-POLICY",AG318&lt;&gt;"นิติศาสตร์",OR(T318="M2",T318="K4"),W318&gt;=2,V318&lt;P318),EDATE(V318,12*2),AND(AH318="K5-POLICY",AG318&lt;&gt;"นิติศาสตร์",T318="S1",W318&gt;=1,V318&lt;P318),EDATE(V318,12),AND(AH318="K5-POLICY",AG318&lt;&gt;"นิติศาสตร์",OR(T318="S2",T318="K5")),V318,AND(AH318="K5-POLICY",AG318&lt;&gt;"นิติศาสตร์",OR(K318="M2",K318="K4"),Q318&gt;=2),EDATE(P318,12*2),AND(AH318="K5-POLICY",AG318&lt;&gt;"นิติศาสตร์",K318="S1",Q318&gt;=1),EDATE(P318,12),AND(AH318="K5-POLICY",AG318&lt;&gt;"นิติศาสตร์",OR(K318="S2",K318="K5")),P318,TRUE,"Check Data")</f>
        <v/>
      </c>
      <c r="AJ318" s="75" t="str">
        <f t="shared" si="83"/>
        <v>Check Data</v>
      </c>
      <c r="AK318" s="76" t="str">
        <f t="shared" si="84"/>
        <v>Check Data</v>
      </c>
      <c r="AL318" s="50" t="str">
        <f t="shared" si="85"/>
        <v>Check Data</v>
      </c>
      <c r="AM318" s="49" t="str">
        <f>IF(B318="","",IF(K318="S1","S1",INDEX(#REF!,#REF!)))</f>
        <v/>
      </c>
      <c r="AN318" s="49" t="str">
        <f>K318</f>
        <v>K4</v>
      </c>
      <c r="AO318" s="50" t="b">
        <f>K318=AM318</f>
        <v>0</v>
      </c>
    </row>
    <row r="319" spans="1:41" ht="21.75">
      <c r="A319" s="49">
        <v>317</v>
      </c>
      <c r="B319" s="50"/>
      <c r="C319" s="54"/>
      <c r="D319" s="84" t="s">
        <v>144</v>
      </c>
      <c r="E319" s="85" t="s">
        <v>328</v>
      </c>
      <c r="F319" s="85" t="str">
        <f t="shared" si="86"/>
        <v>03/06/1991</v>
      </c>
      <c r="G319" s="50">
        <f t="shared" si="76"/>
        <v>34</v>
      </c>
      <c r="H319" s="50">
        <f t="shared" si="77"/>
        <v>0</v>
      </c>
      <c r="I319" s="50">
        <f t="shared" si="78"/>
        <v>17</v>
      </c>
      <c r="J319" s="84"/>
      <c r="K319" s="49" t="s">
        <v>137</v>
      </c>
      <c r="L319" s="87"/>
      <c r="M319" s="85"/>
      <c r="N319" s="85"/>
      <c r="O319" s="65" t="s">
        <v>415</v>
      </c>
      <c r="P319" s="49" t="str">
        <f t="shared" si="79"/>
        <v>30/01/2018</v>
      </c>
      <c r="Q319" s="68">
        <f t="shared" si="80"/>
        <v>7</v>
      </c>
      <c r="R319" s="68">
        <f t="shared" si="81"/>
        <v>4</v>
      </c>
      <c r="S319" s="68">
        <f t="shared" si="82"/>
        <v>21</v>
      </c>
      <c r="T319" s="65"/>
      <c r="U319" s="89"/>
      <c r="V319" s="85" t="str">
        <f t="shared" si="87"/>
        <v/>
      </c>
      <c r="W319" s="88">
        <f>IF(V319="",0,DATEDIF(V319,P319,"Y"))</f>
        <v>0</v>
      </c>
      <c r="X319" s="88">
        <f>IF(V319="",0,DATEDIF(V319,P319,"YM"))</f>
        <v>0</v>
      </c>
      <c r="Y319" s="88">
        <f>IF(V319="",0,DATEDIF(V319,P319,"MD"))</f>
        <v>0</v>
      </c>
      <c r="Z319" s="85"/>
      <c r="AA319" s="89"/>
      <c r="AB319" s="84" t="str">
        <f t="shared" si="88"/>
        <v/>
      </c>
      <c r="AC319" s="88">
        <f t="shared" si="89"/>
        <v>0</v>
      </c>
      <c r="AD319" s="88">
        <f t="shared" si="90"/>
        <v>0</v>
      </c>
      <c r="AE319" s="88">
        <f t="shared" si="91"/>
        <v>0</v>
      </c>
      <c r="AF319" s="84"/>
      <c r="AG319" s="84" t="s">
        <v>138</v>
      </c>
      <c r="AH319" s="49" t="str">
        <f>IF(AG319="นิติศาสตร์","K5-LAW","K5-POLICY")</f>
        <v>K5-LAW</v>
      </c>
      <c r="AI319" s="72" t="str">
        <f>_xlfn.IFS(B319="","",AND(AH319="K5-LAW",AG319="นิติศาสตร์",K319="S2",T319="",Z319=""),P319,AND(AH319="K5-LAW",AG319="นิติศาสตร์",K319="S1",T319="",Z319=""),EDATE(P319,12),AND(AH319="K5-LAW",AG319="นิติศาสตร์",OR(K319="M2",K319="K4"),T319="",Z319=""),EDATE(P319,12*2),AND(AH319="K5-LAW",AG319="นิติศาสตร์",OR(Z319="M2",Z319="K4"),AC319&gt;=2,OR(AB319&lt;V319,AB319&lt;P319)),EDATE(AB319,12*2),AND(AH319="K5-LAW",AG319="นิติศาสตร์",Z319="S1",AC319&gt;=1,OR(AB319&lt;V319,AB319&lt;P319)),EDATE(AB319,12),AND(AH319="K5-LAW",AG319="นิติศาสตร์",OR(T319="M2",T319="K4"),W319&gt;=2,V319&lt;P319),EDATE(V319,12*2),AND(AH319="K5-LAW",AG319="นิติศาสตร์",T319="S1",W319&gt;=1,V319&lt;P319),EDATE(V319,12),AND(AH319="K5-LAW",AG319="นิติศาสตร์",OR(T319="S2",T319="K5")),V319,AND(AH319="K5-LAW",AG319="นิติศาสตร์",OR(K319="M2",K319="K4"),Q319&gt;=2),EDATE(P319,12*2),AND(AH319="K5-LAW",AG319="นิติศาสตร์",K319="S1",Q319&gt;=1),EDATE(P319,12),AND(AH319="K5-LAW",AG319="นิติศาสตร์",OR(K319="S2",K319="K5")),P319,AND(AH319="K5-POLICY",AG319&lt;&gt;"นิติศาสตร์",K319="S2",T319="",Z319=""),P319,AND(AH319="K5-POLICY",AG319&lt;&gt;"นิติศาสตร์",K319="S1",T319="",Z319=""),EDATE(P319,12),AND(AH319="K5-POLICY",AG319&lt;&gt;"นิติศาสตร์",OR(K319="M2",K319="K4"),T319="",Z319=""),EDATE(P319,12*2),AND(AH319="K5-POLICY",AG319&lt;&gt;"นิติศาสตร์",OR(Z319="M2",Z319="K4"),AC319&gt;=2,OR(AB319&lt;V319,AB319&lt;P319)),EDATE(AB319,12*2),AND(AH319="K5-POLICY",AG319&lt;&gt;"นิติศาสตร์",Z319="S1",AC319&gt;=1,OR(AB319&lt;V319,AB319&lt;P319)),EDATE(AB319,12),AND(AH319="K5-POLICY",AG319&lt;&gt;"นิติศาสตร์",OR(T319="M2",T319="K4"),W319&gt;=2,V319&lt;P319),EDATE(V319,12*2),AND(AH319="K5-POLICY",AG319&lt;&gt;"นิติศาสตร์",T319="S1",W319&gt;=1,V319&lt;P319),EDATE(V319,12),AND(AH319="K5-POLICY",AG319&lt;&gt;"นิติศาสตร์",OR(T319="S2",T319="K5")),V319,AND(AH319="K5-POLICY",AG319&lt;&gt;"นิติศาสตร์",OR(K319="M2",K319="K4"),Q319&gt;=2),EDATE(P319,12*2),AND(AH319="K5-POLICY",AG319&lt;&gt;"นิติศาสตร์",K319="S1",Q319&gt;=1),EDATE(P319,12),AND(AH319="K5-POLICY",AG319&lt;&gt;"นิติศาสตร์",OR(K319="S2",K319="K5")),P319,TRUE,"Check Data")</f>
        <v/>
      </c>
      <c r="AJ319" s="75" t="str">
        <f t="shared" si="83"/>
        <v>Check Data</v>
      </c>
      <c r="AK319" s="76" t="str">
        <f t="shared" si="84"/>
        <v>Check Data</v>
      </c>
      <c r="AL319" s="50" t="str">
        <f t="shared" si="85"/>
        <v>Check Data</v>
      </c>
      <c r="AM319" s="49" t="str">
        <f>IF(B319="","",IF(K319="S1","S1",INDEX(#REF!,#REF!)))</f>
        <v/>
      </c>
      <c r="AN319" s="49" t="str">
        <f>K319</f>
        <v>K4</v>
      </c>
      <c r="AO319" s="50" t="b">
        <f>K319=AM319</f>
        <v>0</v>
      </c>
    </row>
    <row r="320" spans="1:41" ht="21.75">
      <c r="A320" s="49">
        <v>318</v>
      </c>
      <c r="B320" s="50"/>
      <c r="C320" s="54"/>
      <c r="D320" s="84" t="s">
        <v>144</v>
      </c>
      <c r="E320" s="85" t="s">
        <v>208</v>
      </c>
      <c r="F320" s="85" t="str">
        <f t="shared" si="86"/>
        <v>01/02/1990</v>
      </c>
      <c r="G320" s="50">
        <f t="shared" si="76"/>
        <v>35</v>
      </c>
      <c r="H320" s="50">
        <f t="shared" si="77"/>
        <v>4</v>
      </c>
      <c r="I320" s="50">
        <f t="shared" si="78"/>
        <v>19</v>
      </c>
      <c r="J320" s="84"/>
      <c r="K320" s="49" t="s">
        <v>137</v>
      </c>
      <c r="L320" s="87"/>
      <c r="M320" s="85"/>
      <c r="N320" s="85"/>
      <c r="O320" s="65" t="s">
        <v>417</v>
      </c>
      <c r="P320" s="49" t="str">
        <f t="shared" si="79"/>
        <v>15/02/2018</v>
      </c>
      <c r="Q320" s="68">
        <f t="shared" si="80"/>
        <v>7</v>
      </c>
      <c r="R320" s="68">
        <f t="shared" si="81"/>
        <v>4</v>
      </c>
      <c r="S320" s="68">
        <f t="shared" si="82"/>
        <v>5</v>
      </c>
      <c r="T320" s="65"/>
      <c r="U320" s="89"/>
      <c r="V320" s="85" t="str">
        <f t="shared" si="87"/>
        <v/>
      </c>
      <c r="W320" s="88">
        <f>IF(V320="",0,DATEDIF(V320,P320,"Y"))</f>
        <v>0</v>
      </c>
      <c r="X320" s="88">
        <f>IF(V320="",0,DATEDIF(V320,P320,"YM"))</f>
        <v>0</v>
      </c>
      <c r="Y320" s="88">
        <f>IF(V320="",0,DATEDIF(V320,P320,"MD"))</f>
        <v>0</v>
      </c>
      <c r="Z320" s="85"/>
      <c r="AA320" s="89"/>
      <c r="AB320" s="84" t="str">
        <f t="shared" si="88"/>
        <v/>
      </c>
      <c r="AC320" s="88">
        <f t="shared" si="89"/>
        <v>0</v>
      </c>
      <c r="AD320" s="88">
        <f t="shared" si="90"/>
        <v>0</v>
      </c>
      <c r="AE320" s="88">
        <f t="shared" si="91"/>
        <v>0</v>
      </c>
      <c r="AF320" s="84"/>
      <c r="AG320" s="84" t="s">
        <v>509</v>
      </c>
      <c r="AH320" s="49" t="str">
        <f>IF(AG320="นิติศาสตร์","K5-LAW","K5-POLICY")</f>
        <v>K5-POLICY</v>
      </c>
      <c r="AI320" s="72" t="str">
        <f>_xlfn.IFS(B320="","",AND(AH320="K5-LAW",AG320="นิติศาสตร์",K320="S2",T320="",Z320=""),P320,AND(AH320="K5-LAW",AG320="นิติศาสตร์",K320="S1",T320="",Z320=""),EDATE(P320,12),AND(AH320="K5-LAW",AG320="นิติศาสตร์",OR(K320="M2",K320="K4"),T320="",Z320=""),EDATE(P320,12*2),AND(AH320="K5-LAW",AG320="นิติศาสตร์",OR(Z320="M2",Z320="K4"),AC320&gt;=2,OR(AB320&lt;V320,AB320&lt;P320)),EDATE(AB320,12*2),AND(AH320="K5-LAW",AG320="นิติศาสตร์",Z320="S1",AC320&gt;=1,OR(AB320&lt;V320,AB320&lt;P320)),EDATE(AB320,12),AND(AH320="K5-LAW",AG320="นิติศาสตร์",OR(T320="M2",T320="K4"),W320&gt;=2,V320&lt;P320),EDATE(V320,12*2),AND(AH320="K5-LAW",AG320="นิติศาสตร์",T320="S1",W320&gt;=1,V320&lt;P320),EDATE(V320,12),AND(AH320="K5-LAW",AG320="นิติศาสตร์",OR(T320="S2",T320="K5")),V320,AND(AH320="K5-LAW",AG320="นิติศาสตร์",OR(K320="M2",K320="K4"),Q320&gt;=2),EDATE(P320,12*2),AND(AH320="K5-LAW",AG320="นิติศาสตร์",K320="S1",Q320&gt;=1),EDATE(P320,12),AND(AH320="K5-LAW",AG320="นิติศาสตร์",OR(K320="S2",K320="K5")),P320,AND(AH320="K5-POLICY",AG320&lt;&gt;"นิติศาสตร์",K320="S2",T320="",Z320=""),P320,AND(AH320="K5-POLICY",AG320&lt;&gt;"นิติศาสตร์",K320="S1",T320="",Z320=""),EDATE(P320,12),AND(AH320="K5-POLICY",AG320&lt;&gt;"นิติศาสตร์",OR(K320="M2",K320="K4"),T320="",Z320=""),EDATE(P320,12*2),AND(AH320="K5-POLICY",AG320&lt;&gt;"นิติศาสตร์",OR(Z320="M2",Z320="K4"),AC320&gt;=2,OR(AB320&lt;V320,AB320&lt;P320)),EDATE(AB320,12*2),AND(AH320="K5-POLICY",AG320&lt;&gt;"นิติศาสตร์",Z320="S1",AC320&gt;=1,OR(AB320&lt;V320,AB320&lt;P320)),EDATE(AB320,12),AND(AH320="K5-POLICY",AG320&lt;&gt;"นิติศาสตร์",OR(T320="M2",T320="K4"),W320&gt;=2,V320&lt;P320),EDATE(V320,12*2),AND(AH320="K5-POLICY",AG320&lt;&gt;"นิติศาสตร์",T320="S1",W320&gt;=1,V320&lt;P320),EDATE(V320,12),AND(AH320="K5-POLICY",AG320&lt;&gt;"นิติศาสตร์",OR(T320="S2",T320="K5")),V320,AND(AH320="K5-POLICY",AG320&lt;&gt;"นิติศาสตร์",OR(K320="M2",K320="K4"),Q320&gt;=2),EDATE(P320,12*2),AND(AH320="K5-POLICY",AG320&lt;&gt;"นิติศาสตร์",K320="S1",Q320&gt;=1),EDATE(P320,12),AND(AH320="K5-POLICY",AG320&lt;&gt;"นิติศาสตร์",OR(K320="S2",K320="K5")),P320,TRUE,"Check Data")</f>
        <v/>
      </c>
      <c r="AJ320" s="75" t="str">
        <f t="shared" si="83"/>
        <v>Check Data</v>
      </c>
      <c r="AK320" s="76" t="str">
        <f t="shared" si="84"/>
        <v>Check Data</v>
      </c>
      <c r="AL320" s="50" t="str">
        <f t="shared" si="85"/>
        <v>Check Data</v>
      </c>
      <c r="AM320" s="49" t="str">
        <f>IF(B320="","",IF(K320="S1","S1",INDEX(#REF!,#REF!)))</f>
        <v/>
      </c>
      <c r="AN320" s="49" t="str">
        <f>K320</f>
        <v>K4</v>
      </c>
      <c r="AO320" s="50" t="b">
        <f>K320=AM320</f>
        <v>0</v>
      </c>
    </row>
    <row r="321" spans="1:41" ht="21.75">
      <c r="A321" s="49">
        <v>319</v>
      </c>
      <c r="B321" s="50"/>
      <c r="C321" s="50"/>
      <c r="D321" s="84" t="s">
        <v>141</v>
      </c>
      <c r="E321" s="85" t="s">
        <v>253</v>
      </c>
      <c r="F321" s="85" t="str">
        <f t="shared" si="86"/>
        <v>26/01/1995</v>
      </c>
      <c r="G321" s="50">
        <f t="shared" si="76"/>
        <v>30</v>
      </c>
      <c r="H321" s="50">
        <f t="shared" si="77"/>
        <v>4</v>
      </c>
      <c r="I321" s="50">
        <f t="shared" si="78"/>
        <v>25</v>
      </c>
      <c r="J321" s="84"/>
      <c r="K321" s="49" t="s">
        <v>137</v>
      </c>
      <c r="L321" s="87"/>
      <c r="M321" s="85"/>
      <c r="N321" s="85"/>
      <c r="O321" s="65" t="s">
        <v>404</v>
      </c>
      <c r="P321" s="49" t="str">
        <f t="shared" si="79"/>
        <v>17/04/2019</v>
      </c>
      <c r="Q321" s="68">
        <f t="shared" si="80"/>
        <v>6</v>
      </c>
      <c r="R321" s="68">
        <f t="shared" si="81"/>
        <v>2</v>
      </c>
      <c r="S321" s="68">
        <f t="shared" si="82"/>
        <v>3</v>
      </c>
      <c r="T321" s="65"/>
      <c r="U321" s="89"/>
      <c r="V321" s="85" t="str">
        <f t="shared" si="87"/>
        <v/>
      </c>
      <c r="W321" s="88">
        <f>IF(V321="",0,DATEDIF(V321,P321,"Y"))</f>
        <v>0</v>
      </c>
      <c r="X321" s="88">
        <f>IF(V321="",0,DATEDIF(V321,P321,"YM"))</f>
        <v>0</v>
      </c>
      <c r="Y321" s="88">
        <f>IF(V321="",0,DATEDIF(V321,P321,"MD"))</f>
        <v>0</v>
      </c>
      <c r="Z321" s="85"/>
      <c r="AA321" s="89"/>
      <c r="AB321" s="84" t="str">
        <f t="shared" si="88"/>
        <v/>
      </c>
      <c r="AC321" s="88">
        <f t="shared" si="89"/>
        <v>0</v>
      </c>
      <c r="AD321" s="88">
        <f t="shared" si="90"/>
        <v>0</v>
      </c>
      <c r="AE321" s="88">
        <f t="shared" si="91"/>
        <v>0</v>
      </c>
      <c r="AF321" s="84"/>
      <c r="AG321" s="84" t="s">
        <v>182</v>
      </c>
      <c r="AH321" s="49" t="str">
        <f>IF(AG321="นิติศาสตร์","K5-LAW","K5-POLICY")</f>
        <v>K5-POLICY</v>
      </c>
      <c r="AI321" s="72" t="str">
        <f>_xlfn.IFS(B321="","",AND(AH321="K5-LAW",AG321="นิติศาสตร์",K321="S2",T321="",Z321=""),P321,AND(AH321="K5-LAW",AG321="นิติศาสตร์",K321="S1",T321="",Z321=""),EDATE(P321,12),AND(AH321="K5-LAW",AG321="นิติศาสตร์",OR(K321="M2",K321="K4"),T321="",Z321=""),EDATE(P321,12*2),AND(AH321="K5-LAW",AG321="นิติศาสตร์",OR(Z321="M2",Z321="K4"),AC321&gt;=2,OR(AB321&lt;V321,AB321&lt;P321)),EDATE(AB321,12*2),AND(AH321="K5-LAW",AG321="นิติศาสตร์",Z321="S1",AC321&gt;=1,OR(AB321&lt;V321,AB321&lt;P321)),EDATE(AB321,12),AND(AH321="K5-LAW",AG321="นิติศาสตร์",OR(T321="M2",T321="K4"),W321&gt;=2,V321&lt;P321),EDATE(V321,12*2),AND(AH321="K5-LAW",AG321="นิติศาสตร์",T321="S1",W321&gt;=1,V321&lt;P321),EDATE(V321,12),AND(AH321="K5-LAW",AG321="นิติศาสตร์",OR(T321="S2",T321="K5")),V321,AND(AH321="K5-LAW",AG321="นิติศาสตร์",OR(K321="M2",K321="K4"),Q321&gt;=2),EDATE(P321,12*2),AND(AH321="K5-LAW",AG321="นิติศาสตร์",K321="S1",Q321&gt;=1),EDATE(P321,12),AND(AH321="K5-LAW",AG321="นิติศาสตร์",OR(K321="S2",K321="K5")),P321,AND(AH321="K5-POLICY",AG321&lt;&gt;"นิติศาสตร์",K321="S2",T321="",Z321=""),P321,AND(AH321="K5-POLICY",AG321&lt;&gt;"นิติศาสตร์",K321="S1",T321="",Z321=""),EDATE(P321,12),AND(AH321="K5-POLICY",AG321&lt;&gt;"นิติศาสตร์",OR(K321="M2",K321="K4"),T321="",Z321=""),EDATE(P321,12*2),AND(AH321="K5-POLICY",AG321&lt;&gt;"นิติศาสตร์",OR(Z321="M2",Z321="K4"),AC321&gt;=2,OR(AB321&lt;V321,AB321&lt;P321)),EDATE(AB321,12*2),AND(AH321="K5-POLICY",AG321&lt;&gt;"นิติศาสตร์",Z321="S1",AC321&gt;=1,OR(AB321&lt;V321,AB321&lt;P321)),EDATE(AB321,12),AND(AH321="K5-POLICY",AG321&lt;&gt;"นิติศาสตร์",OR(T321="M2",T321="K4"),W321&gt;=2,V321&lt;P321),EDATE(V321,12*2),AND(AH321="K5-POLICY",AG321&lt;&gt;"นิติศาสตร์",T321="S1",W321&gt;=1,V321&lt;P321),EDATE(V321,12),AND(AH321="K5-POLICY",AG321&lt;&gt;"นิติศาสตร์",OR(T321="S2",T321="K5")),V321,AND(AH321="K5-POLICY",AG321&lt;&gt;"นิติศาสตร์",OR(K321="M2",K321="K4"),Q321&gt;=2),EDATE(P321,12*2),AND(AH321="K5-POLICY",AG321&lt;&gt;"นิติศาสตร์",K321="S1",Q321&gt;=1),EDATE(P321,12),AND(AH321="K5-POLICY",AG321&lt;&gt;"นิติศาสตร์",OR(K321="S2",K321="K5")),P321,TRUE,"Check Data")</f>
        <v/>
      </c>
      <c r="AJ321" s="75" t="str">
        <f t="shared" si="83"/>
        <v>Check Data</v>
      </c>
      <c r="AK321" s="76" t="str">
        <f t="shared" si="84"/>
        <v>Check Data</v>
      </c>
      <c r="AL321" s="50" t="str">
        <f t="shared" si="85"/>
        <v>Check Data</v>
      </c>
      <c r="AM321" s="49" t="str">
        <f>IF(B321="","",IF(K321="S1","S1",INDEX(#REF!,#REF!)))</f>
        <v/>
      </c>
      <c r="AN321" s="49" t="str">
        <f>K321</f>
        <v>K4</v>
      </c>
      <c r="AO321" s="50" t="b">
        <f>K321=AM321</f>
        <v>0</v>
      </c>
    </row>
    <row r="322" spans="1:41" ht="21.75">
      <c r="A322" s="49">
        <v>320</v>
      </c>
      <c r="B322" s="50"/>
      <c r="C322" s="54"/>
      <c r="D322" s="84" t="s">
        <v>145</v>
      </c>
      <c r="E322" s="85" t="s">
        <v>307</v>
      </c>
      <c r="F322" s="85" t="str">
        <f t="shared" si="86"/>
        <v>05/03/1992</v>
      </c>
      <c r="G322" s="50">
        <f t="shared" si="76"/>
        <v>33</v>
      </c>
      <c r="H322" s="50">
        <f t="shared" si="77"/>
        <v>3</v>
      </c>
      <c r="I322" s="50">
        <f t="shared" si="78"/>
        <v>15</v>
      </c>
      <c r="J322" s="84"/>
      <c r="K322" s="49" t="s">
        <v>137</v>
      </c>
      <c r="L322" s="87"/>
      <c r="M322" s="85"/>
      <c r="N322" s="85"/>
      <c r="O322" s="65" t="s">
        <v>468</v>
      </c>
      <c r="P322" s="49" t="str">
        <f t="shared" si="79"/>
        <v>17/05/2019</v>
      </c>
      <c r="Q322" s="68">
        <f t="shared" si="80"/>
        <v>6</v>
      </c>
      <c r="R322" s="68">
        <f t="shared" si="81"/>
        <v>1</v>
      </c>
      <c r="S322" s="68">
        <f t="shared" si="82"/>
        <v>3</v>
      </c>
      <c r="T322" s="65" t="s">
        <v>137</v>
      </c>
      <c r="U322" s="89" t="s">
        <v>468</v>
      </c>
      <c r="V322" s="85" t="str">
        <f t="shared" si="87"/>
        <v>17/05/2019</v>
      </c>
      <c r="W322" s="88">
        <f>IF(V322="",0,DATEDIF(V322,P322,"Y"))</f>
        <v>0</v>
      </c>
      <c r="X322" s="88">
        <f>IF(V322="",0,DATEDIF(V322,P322,"YM"))</f>
        <v>0</v>
      </c>
      <c r="Y322" s="88">
        <f>IF(V322="",0,DATEDIF(V322,P322,"MD"))</f>
        <v>0</v>
      </c>
      <c r="Z322" s="85"/>
      <c r="AA322" s="89"/>
      <c r="AB322" s="84" t="str">
        <f t="shared" si="88"/>
        <v/>
      </c>
      <c r="AC322" s="88">
        <f t="shared" si="89"/>
        <v>0</v>
      </c>
      <c r="AD322" s="88">
        <f t="shared" si="90"/>
        <v>0</v>
      </c>
      <c r="AE322" s="88">
        <f t="shared" si="91"/>
        <v>0</v>
      </c>
      <c r="AF322" s="84"/>
      <c r="AG322" s="84" t="s">
        <v>520</v>
      </c>
      <c r="AH322" s="49" t="str">
        <f>IF(AG322="นิติศาสตร์","K5-LAW","K5-POLICY")</f>
        <v>K5-POLICY</v>
      </c>
      <c r="AI322" s="72" t="str">
        <f>_xlfn.IFS(B322="","",AND(AH322="K5-LAW",AG322="นิติศาสตร์",K322="S2",T322="",Z322=""),P322,AND(AH322="K5-LAW",AG322="นิติศาสตร์",K322="S1",T322="",Z322=""),EDATE(P322,12),AND(AH322="K5-LAW",AG322="นิติศาสตร์",OR(K322="M2",K322="K4"),T322="",Z322=""),EDATE(P322,12*2),AND(AH322="K5-LAW",AG322="นิติศาสตร์",OR(Z322="M2",Z322="K4"),AC322&gt;=2,OR(AB322&lt;V322,AB322&lt;P322)),EDATE(AB322,12*2),AND(AH322="K5-LAW",AG322="นิติศาสตร์",Z322="S1",AC322&gt;=1,OR(AB322&lt;V322,AB322&lt;P322)),EDATE(AB322,12),AND(AH322="K5-LAW",AG322="นิติศาสตร์",OR(T322="M2",T322="K4"),W322&gt;=2,V322&lt;P322),EDATE(V322,12*2),AND(AH322="K5-LAW",AG322="นิติศาสตร์",T322="S1",W322&gt;=1,V322&lt;P322),EDATE(V322,12),AND(AH322="K5-LAW",AG322="นิติศาสตร์",OR(T322="S2",T322="K5")),V322,AND(AH322="K5-LAW",AG322="นิติศาสตร์",OR(K322="M2",K322="K4"),Q322&gt;=2),EDATE(P322,12*2),AND(AH322="K5-LAW",AG322="นิติศาสตร์",K322="S1",Q322&gt;=1),EDATE(P322,12),AND(AH322="K5-LAW",AG322="นิติศาสตร์",OR(K322="S2",K322="K5")),P322,AND(AH322="K5-POLICY",AG322&lt;&gt;"นิติศาสตร์",K322="S2",T322="",Z322=""),P322,AND(AH322="K5-POLICY",AG322&lt;&gt;"นิติศาสตร์",K322="S1",T322="",Z322=""),EDATE(P322,12),AND(AH322="K5-POLICY",AG322&lt;&gt;"นิติศาสตร์",OR(K322="M2",K322="K4"),T322="",Z322=""),EDATE(P322,12*2),AND(AH322="K5-POLICY",AG322&lt;&gt;"นิติศาสตร์",OR(Z322="M2",Z322="K4"),AC322&gt;=2,OR(AB322&lt;V322,AB322&lt;P322)),EDATE(AB322,12*2),AND(AH322="K5-POLICY",AG322&lt;&gt;"นิติศาสตร์",Z322="S1",AC322&gt;=1,OR(AB322&lt;V322,AB322&lt;P322)),EDATE(AB322,12),AND(AH322="K5-POLICY",AG322&lt;&gt;"นิติศาสตร์",OR(T322="M2",T322="K4"),W322&gt;=2,V322&lt;P322),EDATE(V322,12*2),AND(AH322="K5-POLICY",AG322&lt;&gt;"นิติศาสตร์",T322="S1",W322&gt;=1,V322&lt;P322),EDATE(V322,12),AND(AH322="K5-POLICY",AG322&lt;&gt;"นิติศาสตร์",OR(T322="S2",T322="K5")),V322,AND(AH322="K5-POLICY",AG322&lt;&gt;"นิติศาสตร์",OR(K322="M2",K322="K4"),Q322&gt;=2),EDATE(P322,12*2),AND(AH322="K5-POLICY",AG322&lt;&gt;"นิติศาสตร์",K322="S1",Q322&gt;=1),EDATE(P322,12),AND(AH322="K5-POLICY",AG322&lt;&gt;"นิติศาสตร์",OR(K322="S2",K322="K5")),P322,TRUE,"Check Data")</f>
        <v/>
      </c>
      <c r="AJ322" s="75" t="str">
        <f t="shared" si="83"/>
        <v>Check Data</v>
      </c>
      <c r="AK322" s="76" t="str">
        <f t="shared" si="84"/>
        <v>Check Data</v>
      </c>
      <c r="AL322" s="50" t="str">
        <f t="shared" si="85"/>
        <v>Check Data</v>
      </c>
      <c r="AM322" s="49" t="str">
        <f>IF(B322="","",IF(K322="S1","S1",INDEX(#REF!,#REF!)))</f>
        <v/>
      </c>
      <c r="AN322" s="49" t="str">
        <f>K322</f>
        <v>K4</v>
      </c>
      <c r="AO322" s="50" t="b">
        <f>K322=AM322</f>
        <v>0</v>
      </c>
    </row>
    <row r="323" spans="1:41" ht="21.75">
      <c r="A323" s="49">
        <v>321</v>
      </c>
      <c r="B323" s="50"/>
      <c r="C323" s="50"/>
      <c r="D323" s="84" t="s">
        <v>144</v>
      </c>
      <c r="E323" s="85" t="s">
        <v>333</v>
      </c>
      <c r="F323" s="85" t="str">
        <f t="shared" si="86"/>
        <v>29/01/1990</v>
      </c>
      <c r="G323" s="50">
        <f t="shared" ref="G323:G358" si="92">IF(F323="",0,DATEDIF(F323,$C$1,"Y"))</f>
        <v>35</v>
      </c>
      <c r="H323" s="50">
        <f t="shared" ref="H323:H358" si="93">IF(F323="",0,DATEDIF(F323,$C$1,"YM"))</f>
        <v>4</v>
      </c>
      <c r="I323" s="50">
        <f t="shared" ref="I323:I358" si="94">IF(F323="",0,DATEDIF(F323,$C$1,"MD"))</f>
        <v>22</v>
      </c>
      <c r="J323" s="84"/>
      <c r="K323" s="49" t="s">
        <v>137</v>
      </c>
      <c r="L323" s="87"/>
      <c r="M323" s="85"/>
      <c r="N323" s="85"/>
      <c r="O323" s="65" t="s">
        <v>411</v>
      </c>
      <c r="P323" s="49" t="str">
        <f t="shared" ref="P323:P358" si="95">TEXT(EDATE(O323,-543*12),"dd/mm/yyyy")</f>
        <v>24/12/2019</v>
      </c>
      <c r="Q323" s="68">
        <f t="shared" ref="Q323:Q358" si="96">IF(P323="",0,DATEDIF(P323,$C$1,"Y"))</f>
        <v>5</v>
      </c>
      <c r="R323" s="68">
        <f t="shared" ref="R323:R358" si="97">IF(P323="",0,DATEDIF(P323,$C$1,"YM"))</f>
        <v>5</v>
      </c>
      <c r="S323" s="68">
        <f t="shared" ref="S323:S358" si="98">IF(P323="",0,DATEDIF(P323,$C$1,"MD"))</f>
        <v>27</v>
      </c>
      <c r="T323" s="65"/>
      <c r="U323" s="89"/>
      <c r="V323" s="85" t="str">
        <f t="shared" si="87"/>
        <v/>
      </c>
      <c r="W323" s="88">
        <f>IF(V323="",0,DATEDIF(V323,P323,"Y"))</f>
        <v>0</v>
      </c>
      <c r="X323" s="88">
        <f>IF(V323="",0,DATEDIF(V323,P323,"YM"))</f>
        <v>0</v>
      </c>
      <c r="Y323" s="88">
        <f>IF(V323="",0,DATEDIF(V323,P323,"MD"))</f>
        <v>0</v>
      </c>
      <c r="Z323" s="85"/>
      <c r="AA323" s="89"/>
      <c r="AB323" s="84" t="str">
        <f t="shared" si="88"/>
        <v/>
      </c>
      <c r="AC323" s="88">
        <f t="shared" si="89"/>
        <v>0</v>
      </c>
      <c r="AD323" s="88">
        <f t="shared" si="90"/>
        <v>0</v>
      </c>
      <c r="AE323" s="88">
        <f t="shared" si="91"/>
        <v>0</v>
      </c>
      <c r="AF323" s="84"/>
      <c r="AG323" s="84" t="s">
        <v>138</v>
      </c>
      <c r="AH323" s="49" t="str">
        <f>IF(AG323="นิติศาสตร์","K5-LAW","K5-POLICY")</f>
        <v>K5-LAW</v>
      </c>
      <c r="AI323" s="72" t="str">
        <f>_xlfn.IFS(B323="","",AND(AH323="K5-LAW",AG323="นิติศาสตร์",K323="S2",T323="",Z323=""),P323,AND(AH323="K5-LAW",AG323="นิติศาสตร์",K323="S1",T323="",Z323=""),EDATE(P323,12),AND(AH323="K5-LAW",AG323="นิติศาสตร์",OR(K323="M2",K323="K4"),T323="",Z323=""),EDATE(P323,12*2),AND(AH323="K5-LAW",AG323="นิติศาสตร์",OR(Z323="M2",Z323="K4"),AC323&gt;=2,OR(AB323&lt;V323,AB323&lt;P323)),EDATE(AB323,12*2),AND(AH323="K5-LAW",AG323="นิติศาสตร์",Z323="S1",AC323&gt;=1,OR(AB323&lt;V323,AB323&lt;P323)),EDATE(AB323,12),AND(AH323="K5-LAW",AG323="นิติศาสตร์",OR(T323="M2",T323="K4"),W323&gt;=2,V323&lt;P323),EDATE(V323,12*2),AND(AH323="K5-LAW",AG323="นิติศาสตร์",T323="S1",W323&gt;=1,V323&lt;P323),EDATE(V323,12),AND(AH323="K5-LAW",AG323="นิติศาสตร์",OR(T323="S2",T323="K5")),V323,AND(AH323="K5-LAW",AG323="นิติศาสตร์",OR(K323="M2",K323="K4"),Q323&gt;=2),EDATE(P323,12*2),AND(AH323="K5-LAW",AG323="นิติศาสตร์",K323="S1",Q323&gt;=1),EDATE(P323,12),AND(AH323="K5-LAW",AG323="นิติศาสตร์",OR(K323="S2",K323="K5")),P323,AND(AH323="K5-POLICY",AG323&lt;&gt;"นิติศาสตร์",K323="S2",T323="",Z323=""),P323,AND(AH323="K5-POLICY",AG323&lt;&gt;"นิติศาสตร์",K323="S1",T323="",Z323=""),EDATE(P323,12),AND(AH323="K5-POLICY",AG323&lt;&gt;"นิติศาสตร์",OR(K323="M2",K323="K4"),T323="",Z323=""),EDATE(P323,12*2),AND(AH323="K5-POLICY",AG323&lt;&gt;"นิติศาสตร์",OR(Z323="M2",Z323="K4"),AC323&gt;=2,OR(AB323&lt;V323,AB323&lt;P323)),EDATE(AB323,12*2),AND(AH323="K5-POLICY",AG323&lt;&gt;"นิติศาสตร์",Z323="S1",AC323&gt;=1,OR(AB323&lt;V323,AB323&lt;P323)),EDATE(AB323,12),AND(AH323="K5-POLICY",AG323&lt;&gt;"นิติศาสตร์",OR(T323="M2",T323="K4"),W323&gt;=2,V323&lt;P323),EDATE(V323,12*2),AND(AH323="K5-POLICY",AG323&lt;&gt;"นิติศาสตร์",T323="S1",W323&gt;=1,V323&lt;P323),EDATE(V323,12),AND(AH323="K5-POLICY",AG323&lt;&gt;"นิติศาสตร์",OR(T323="S2",T323="K5")),V323,AND(AH323="K5-POLICY",AG323&lt;&gt;"นิติศาสตร์",OR(K323="M2",K323="K4"),Q323&gt;=2),EDATE(P323,12*2),AND(AH323="K5-POLICY",AG323&lt;&gt;"นิติศาสตร์",K323="S1",Q323&gt;=1),EDATE(P323,12),AND(AH323="K5-POLICY",AG323&lt;&gt;"นิติศาสตร์",OR(K323="S2",K323="K5")),P323,TRUE,"Check Data")</f>
        <v/>
      </c>
      <c r="AJ323" s="75" t="str">
        <f t="shared" ref="AJ323:AJ358" si="99">IFERROR(TEXT(EDATE(AI323,543*12),"dd/mm/yyyy"),"Check Data")</f>
        <v>Check Data</v>
      </c>
      <c r="AK323" s="76" t="str">
        <f t="shared" ref="AK323:AK358" si="100">IFERROR(IF($C$1&gt;AI323,AI323-$C$1,DATEDIF($C$1,AI323,"d")),"Check Data")</f>
        <v>Check Data</v>
      </c>
      <c r="AL323" s="50" t="str">
        <f t="shared" ref="AL323:AL358" si="101">_xlfn.IFS(AK323="Check Data","Check Data",AK323&gt;30,"ยังไม่ถึงเกณฑ์",AK323&gt;0,"ใกล้ถึงเกณฑ์",AK323=0,"ถึงเกณฑ์",AK323&lt;0,"ถึงเกณฑ์นานแล้ว")</f>
        <v>Check Data</v>
      </c>
      <c r="AM323" s="49" t="str">
        <f>IF(B323="","",IF(K323="S1","S1",INDEX(#REF!,#REF!)))</f>
        <v/>
      </c>
      <c r="AN323" s="49" t="str">
        <f>K323</f>
        <v>K4</v>
      </c>
      <c r="AO323" s="50" t="b">
        <f>K323=AM323</f>
        <v>0</v>
      </c>
    </row>
    <row r="324" spans="1:41" ht="21.75">
      <c r="A324" s="49">
        <v>322</v>
      </c>
      <c r="B324" s="50"/>
      <c r="C324" s="50"/>
      <c r="D324" s="84" t="s">
        <v>34</v>
      </c>
      <c r="E324" s="85" t="s">
        <v>398</v>
      </c>
      <c r="F324" s="85" t="str">
        <f t="shared" si="86"/>
        <v>31/08/2001</v>
      </c>
      <c r="G324" s="50">
        <f t="shared" si="92"/>
        <v>23</v>
      </c>
      <c r="H324" s="50">
        <f t="shared" si="93"/>
        <v>9</v>
      </c>
      <c r="I324" s="50">
        <f t="shared" si="94"/>
        <v>20</v>
      </c>
      <c r="J324" s="84" t="s">
        <v>444</v>
      </c>
      <c r="K324" s="49" t="s">
        <v>137</v>
      </c>
      <c r="L324" s="87"/>
      <c r="M324" s="85" t="s">
        <v>427</v>
      </c>
      <c r="N324" s="85" t="s">
        <v>526</v>
      </c>
      <c r="O324" s="65" t="s">
        <v>454</v>
      </c>
      <c r="P324" s="49" t="str">
        <f t="shared" si="95"/>
        <v>13/01/2020</v>
      </c>
      <c r="Q324" s="68">
        <f t="shared" si="96"/>
        <v>5</v>
      </c>
      <c r="R324" s="68">
        <f t="shared" si="97"/>
        <v>5</v>
      </c>
      <c r="S324" s="68">
        <f t="shared" si="98"/>
        <v>7</v>
      </c>
      <c r="T324" s="65"/>
      <c r="U324" s="89"/>
      <c r="V324" s="85" t="str">
        <f t="shared" si="87"/>
        <v/>
      </c>
      <c r="W324" s="88">
        <f>IF(V324="",0,DATEDIF(V324,P324,"Y"))</f>
        <v>0</v>
      </c>
      <c r="X324" s="88">
        <f>IF(V324="",0,DATEDIF(V324,P324,"YM"))</f>
        <v>0</v>
      </c>
      <c r="Y324" s="88">
        <f>IF(V324="",0,DATEDIF(V324,P324,"MD"))</f>
        <v>0</v>
      </c>
      <c r="Z324" s="93"/>
      <c r="AA324" s="89"/>
      <c r="AB324" s="84" t="str">
        <f t="shared" si="88"/>
        <v/>
      </c>
      <c r="AC324" s="88">
        <f t="shared" si="89"/>
        <v>0</v>
      </c>
      <c r="AD324" s="88">
        <f t="shared" si="90"/>
        <v>0</v>
      </c>
      <c r="AE324" s="88">
        <f t="shared" si="91"/>
        <v>0</v>
      </c>
      <c r="AF324" s="84" t="s">
        <v>78</v>
      </c>
      <c r="AG324" s="84" t="s">
        <v>486</v>
      </c>
      <c r="AH324" s="49" t="str">
        <f>IF(AG324="นิติศาสตร์","K5-LAW","K5-POLICY")</f>
        <v>K5-POLICY</v>
      </c>
      <c r="AI324" s="72" t="str">
        <f>_xlfn.IFS(B324="","",AND(AH324="K5-LAW",AG324="นิติศาสตร์",K324="S2",T324="",Z324=""),P324,AND(AH324="K5-LAW",AG324="นิติศาสตร์",K324="S1",T324="",Z324=""),EDATE(P324,12),AND(AH324="K5-LAW",AG324="นิติศาสตร์",OR(K324="M2",K324="K4"),T324="",Z324=""),EDATE(P324,12*2),AND(AH324="K5-LAW",AG324="นิติศาสตร์",OR(Z324="M2",Z324="K4"),AC324&gt;=2,OR(AB324&lt;V324,AB324&lt;P324)),EDATE(AB324,12*2),AND(AH324="K5-LAW",AG324="นิติศาสตร์",Z324="S1",AC324&gt;=1,OR(AB324&lt;V324,AB324&lt;P324)),EDATE(AB324,12),AND(AH324="K5-LAW",AG324="นิติศาสตร์",OR(T324="M2",T324="K4"),W324&gt;=2,V324&lt;P324),EDATE(V324,12*2),AND(AH324="K5-LAW",AG324="นิติศาสตร์",T324="S1",W324&gt;=1,V324&lt;P324),EDATE(V324,12),AND(AH324="K5-LAW",AG324="นิติศาสตร์",OR(T324="S2",T324="K5")),V324,AND(AH324="K5-LAW",AG324="นิติศาสตร์",OR(K324="M2",K324="K4"),Q324&gt;=2),EDATE(P324,12*2),AND(AH324="K5-LAW",AG324="นิติศาสตร์",K324="S1",Q324&gt;=1),EDATE(P324,12),AND(AH324="K5-LAW",AG324="นิติศาสตร์",OR(K324="S2",K324="K5")),P324,AND(AH324="K5-POLICY",AG324&lt;&gt;"นิติศาสตร์",K324="S2",T324="",Z324=""),P324,AND(AH324="K5-POLICY",AG324&lt;&gt;"นิติศาสตร์",K324="S1",T324="",Z324=""),EDATE(P324,12),AND(AH324="K5-POLICY",AG324&lt;&gt;"นิติศาสตร์",OR(K324="M2",K324="K4"),T324="",Z324=""),EDATE(P324,12*2),AND(AH324="K5-POLICY",AG324&lt;&gt;"นิติศาสตร์",OR(Z324="M2",Z324="K4"),AC324&gt;=2,OR(AB324&lt;V324,AB324&lt;P324)),EDATE(AB324,12*2),AND(AH324="K5-POLICY",AG324&lt;&gt;"นิติศาสตร์",Z324="S1",AC324&gt;=1,OR(AB324&lt;V324,AB324&lt;P324)),EDATE(AB324,12),AND(AH324="K5-POLICY",AG324&lt;&gt;"นิติศาสตร์",OR(T324="M2",T324="K4"),W324&gt;=2,V324&lt;P324),EDATE(V324,12*2),AND(AH324="K5-POLICY",AG324&lt;&gt;"นิติศาสตร์",T324="S1",W324&gt;=1,V324&lt;P324),EDATE(V324,12),AND(AH324="K5-POLICY",AG324&lt;&gt;"นิติศาสตร์",OR(T324="S2",T324="K5")),V324,AND(AH324="K5-POLICY",AG324&lt;&gt;"นิติศาสตร์",OR(K324="M2",K324="K4"),Q324&gt;=2),EDATE(P324,12*2),AND(AH324="K5-POLICY",AG324&lt;&gt;"นิติศาสตร์",K324="S1",Q324&gt;=1),EDATE(P324,12),AND(AH324="K5-POLICY",AG324&lt;&gt;"นิติศาสตร์",OR(K324="S2",K324="K5")),P324,TRUE,"Check Data")</f>
        <v/>
      </c>
      <c r="AJ324" s="75" t="str">
        <f t="shared" si="99"/>
        <v>Check Data</v>
      </c>
      <c r="AK324" s="76" t="str">
        <f t="shared" si="100"/>
        <v>Check Data</v>
      </c>
      <c r="AL324" s="50" t="str">
        <f t="shared" si="101"/>
        <v>Check Data</v>
      </c>
      <c r="AM324" s="49" t="str">
        <f>IF(B324="","",IF(K324="S1","S1",INDEX(#REF!,#REF!)))</f>
        <v/>
      </c>
      <c r="AN324" s="49" t="str">
        <f>K324</f>
        <v>K4</v>
      </c>
      <c r="AO324" s="50" t="b">
        <f>K324=AM324</f>
        <v>0</v>
      </c>
    </row>
    <row r="325" spans="1:41" ht="21.75">
      <c r="A325" s="49">
        <v>323</v>
      </c>
      <c r="B325" s="50"/>
      <c r="C325" s="50"/>
      <c r="D325" s="84" t="s">
        <v>144</v>
      </c>
      <c r="E325" s="85" t="s">
        <v>326</v>
      </c>
      <c r="F325" s="85" t="str">
        <f t="shared" si="86"/>
        <v>27/02/1984</v>
      </c>
      <c r="G325" s="50">
        <f t="shared" si="92"/>
        <v>41</v>
      </c>
      <c r="H325" s="50">
        <f t="shared" si="93"/>
        <v>3</v>
      </c>
      <c r="I325" s="50">
        <f t="shared" si="94"/>
        <v>24</v>
      </c>
      <c r="J325" s="84"/>
      <c r="K325" s="49" t="s">
        <v>137</v>
      </c>
      <c r="L325" s="87"/>
      <c r="M325" s="85"/>
      <c r="N325" s="85"/>
      <c r="O325" s="65" t="s">
        <v>416</v>
      </c>
      <c r="P325" s="49" t="str">
        <f t="shared" si="95"/>
        <v>27/02/2020</v>
      </c>
      <c r="Q325" s="68">
        <f t="shared" si="96"/>
        <v>5</v>
      </c>
      <c r="R325" s="68">
        <f t="shared" si="97"/>
        <v>3</v>
      </c>
      <c r="S325" s="68">
        <f t="shared" si="98"/>
        <v>24</v>
      </c>
      <c r="T325" s="65"/>
      <c r="U325" s="89"/>
      <c r="V325" s="85" t="str">
        <f t="shared" si="87"/>
        <v/>
      </c>
      <c r="W325" s="88">
        <f>IF(V325="",0,DATEDIF(V325,P325,"Y"))</f>
        <v>0</v>
      </c>
      <c r="X325" s="88">
        <f>IF(V325="",0,DATEDIF(V325,P325,"YM"))</f>
        <v>0</v>
      </c>
      <c r="Y325" s="88">
        <f>IF(V325="",0,DATEDIF(V325,P325,"MD"))</f>
        <v>0</v>
      </c>
      <c r="Z325" s="85"/>
      <c r="AA325" s="89"/>
      <c r="AB325" s="84" t="str">
        <f t="shared" si="88"/>
        <v/>
      </c>
      <c r="AC325" s="88">
        <f t="shared" si="89"/>
        <v>0</v>
      </c>
      <c r="AD325" s="88">
        <f t="shared" si="90"/>
        <v>0</v>
      </c>
      <c r="AE325" s="88">
        <f t="shared" si="91"/>
        <v>0</v>
      </c>
      <c r="AF325" s="84"/>
      <c r="AG325" s="84" t="s">
        <v>138</v>
      </c>
      <c r="AH325" s="49" t="str">
        <f>IF(AG325="นิติศาสตร์","K5-LAW","K5-POLICY")</f>
        <v>K5-LAW</v>
      </c>
      <c r="AI325" s="72" t="str">
        <f>_xlfn.IFS(B325="","",AND(AH325="K5-LAW",AG325="นิติศาสตร์",K325="S2",T325="",Z325=""),P325,AND(AH325="K5-LAW",AG325="นิติศาสตร์",K325="S1",T325="",Z325=""),EDATE(P325,12),AND(AH325="K5-LAW",AG325="นิติศาสตร์",OR(K325="M2",K325="K4"),T325="",Z325=""),EDATE(P325,12*2),AND(AH325="K5-LAW",AG325="นิติศาสตร์",OR(Z325="M2",Z325="K4"),AC325&gt;=2,OR(AB325&lt;V325,AB325&lt;P325)),EDATE(AB325,12*2),AND(AH325="K5-LAW",AG325="นิติศาสตร์",Z325="S1",AC325&gt;=1,OR(AB325&lt;V325,AB325&lt;P325)),EDATE(AB325,12),AND(AH325="K5-LAW",AG325="นิติศาสตร์",OR(T325="M2",T325="K4"),W325&gt;=2,V325&lt;P325),EDATE(V325,12*2),AND(AH325="K5-LAW",AG325="นิติศาสตร์",T325="S1",W325&gt;=1,V325&lt;P325),EDATE(V325,12),AND(AH325="K5-LAW",AG325="นิติศาสตร์",OR(T325="S2",T325="K5")),V325,AND(AH325="K5-LAW",AG325="นิติศาสตร์",OR(K325="M2",K325="K4"),Q325&gt;=2),EDATE(P325,12*2),AND(AH325="K5-LAW",AG325="นิติศาสตร์",K325="S1",Q325&gt;=1),EDATE(P325,12),AND(AH325="K5-LAW",AG325="นิติศาสตร์",OR(K325="S2",K325="K5")),P325,AND(AH325="K5-POLICY",AG325&lt;&gt;"นิติศาสตร์",K325="S2",T325="",Z325=""),P325,AND(AH325="K5-POLICY",AG325&lt;&gt;"นิติศาสตร์",K325="S1",T325="",Z325=""),EDATE(P325,12),AND(AH325="K5-POLICY",AG325&lt;&gt;"นิติศาสตร์",OR(K325="M2",K325="K4"),T325="",Z325=""),EDATE(P325,12*2),AND(AH325="K5-POLICY",AG325&lt;&gt;"นิติศาสตร์",OR(Z325="M2",Z325="K4"),AC325&gt;=2,OR(AB325&lt;V325,AB325&lt;P325)),EDATE(AB325,12*2),AND(AH325="K5-POLICY",AG325&lt;&gt;"นิติศาสตร์",Z325="S1",AC325&gt;=1,OR(AB325&lt;V325,AB325&lt;P325)),EDATE(AB325,12),AND(AH325="K5-POLICY",AG325&lt;&gt;"นิติศาสตร์",OR(T325="M2",T325="K4"),W325&gt;=2,V325&lt;P325),EDATE(V325,12*2),AND(AH325="K5-POLICY",AG325&lt;&gt;"นิติศาสตร์",T325="S1",W325&gt;=1,V325&lt;P325),EDATE(V325,12),AND(AH325="K5-POLICY",AG325&lt;&gt;"นิติศาสตร์",OR(T325="S2",T325="K5")),V325,AND(AH325="K5-POLICY",AG325&lt;&gt;"นิติศาสตร์",OR(K325="M2",K325="K4"),Q325&gt;=2),EDATE(P325,12*2),AND(AH325="K5-POLICY",AG325&lt;&gt;"นิติศาสตร์",K325="S1",Q325&gt;=1),EDATE(P325,12),AND(AH325="K5-POLICY",AG325&lt;&gt;"นิติศาสตร์",OR(K325="S2",K325="K5")),P325,TRUE,"Check Data")</f>
        <v/>
      </c>
      <c r="AJ325" s="75" t="str">
        <f t="shared" si="99"/>
        <v>Check Data</v>
      </c>
      <c r="AK325" s="76" t="str">
        <f t="shared" si="100"/>
        <v>Check Data</v>
      </c>
      <c r="AL325" s="50" t="str">
        <f t="shared" si="101"/>
        <v>Check Data</v>
      </c>
      <c r="AM325" s="49" t="str">
        <f>IF(B325="","",IF(K325="S1","S1",INDEX(#REF!,#REF!)))</f>
        <v/>
      </c>
      <c r="AN325" s="49" t="str">
        <f>K325</f>
        <v>K4</v>
      </c>
      <c r="AO325" s="50" t="b">
        <f>K325=AM325</f>
        <v>0</v>
      </c>
    </row>
    <row r="326" spans="1:41" ht="21.75">
      <c r="A326" s="49">
        <v>324</v>
      </c>
      <c r="B326" s="129"/>
      <c r="C326" s="50"/>
      <c r="D326" s="84" t="s">
        <v>146</v>
      </c>
      <c r="E326" s="85" t="s">
        <v>230</v>
      </c>
      <c r="F326" s="85" t="str">
        <f t="shared" si="86"/>
        <v>03/11/1997</v>
      </c>
      <c r="G326" s="50">
        <f t="shared" si="92"/>
        <v>27</v>
      </c>
      <c r="H326" s="50">
        <f t="shared" si="93"/>
        <v>7</v>
      </c>
      <c r="I326" s="50">
        <f t="shared" si="94"/>
        <v>17</v>
      </c>
      <c r="J326" s="84"/>
      <c r="K326" s="49" t="s">
        <v>137</v>
      </c>
      <c r="L326" s="87"/>
      <c r="M326" s="85"/>
      <c r="N326" s="85"/>
      <c r="O326" s="65" t="s">
        <v>422</v>
      </c>
      <c r="P326" s="49" t="str">
        <f t="shared" si="95"/>
        <v>04/03/2020</v>
      </c>
      <c r="Q326" s="68">
        <f t="shared" si="96"/>
        <v>5</v>
      </c>
      <c r="R326" s="68">
        <f t="shared" si="97"/>
        <v>3</v>
      </c>
      <c r="S326" s="68">
        <f t="shared" si="98"/>
        <v>16</v>
      </c>
      <c r="T326" s="65"/>
      <c r="U326" s="89"/>
      <c r="V326" s="85" t="str">
        <f t="shared" si="87"/>
        <v/>
      </c>
      <c r="W326" s="88">
        <f>IF(V326="",0,DATEDIF(V326,P326,"Y"))</f>
        <v>0</v>
      </c>
      <c r="X326" s="88">
        <f>IF(V326="",0,DATEDIF(V326,P326,"YM"))</f>
        <v>0</v>
      </c>
      <c r="Y326" s="88">
        <f>IF(V326="",0,DATEDIF(V326,P326,"MD"))</f>
        <v>0</v>
      </c>
      <c r="Z326" s="85"/>
      <c r="AA326" s="89"/>
      <c r="AB326" s="84" t="str">
        <f t="shared" si="88"/>
        <v/>
      </c>
      <c r="AC326" s="88">
        <f t="shared" si="89"/>
        <v>0</v>
      </c>
      <c r="AD326" s="88">
        <f t="shared" si="90"/>
        <v>0</v>
      </c>
      <c r="AE326" s="88">
        <f t="shared" si="91"/>
        <v>0</v>
      </c>
      <c r="AF326" s="84"/>
      <c r="AG326" s="84" t="s">
        <v>175</v>
      </c>
      <c r="AH326" s="49" t="str">
        <f>IF(AG326="นิติศาสตร์","K5-LAW","K5-POLICY")</f>
        <v>K5-POLICY</v>
      </c>
      <c r="AI326" s="72" t="str">
        <f>_xlfn.IFS(B326="","",AND(AH326="K5-LAW",AG326="นิติศาสตร์",K326="S2",T326="",Z326=""),P326,AND(AH326="K5-LAW",AG326="นิติศาสตร์",K326="S1",T326="",Z326=""),EDATE(P326,12),AND(AH326="K5-LAW",AG326="นิติศาสตร์",OR(K326="M2",K326="K4"),T326="",Z326=""),EDATE(P326,12*2),AND(AH326="K5-LAW",AG326="นิติศาสตร์",OR(Z326="M2",Z326="K4"),AC326&gt;=2,OR(AB326&lt;V326,AB326&lt;P326)),EDATE(AB326,12*2),AND(AH326="K5-LAW",AG326="นิติศาสตร์",Z326="S1",AC326&gt;=1,OR(AB326&lt;V326,AB326&lt;P326)),EDATE(AB326,12),AND(AH326="K5-LAW",AG326="นิติศาสตร์",OR(T326="M2",T326="K4"),W326&gt;=2,V326&lt;P326),EDATE(V326,12*2),AND(AH326="K5-LAW",AG326="นิติศาสตร์",T326="S1",W326&gt;=1,V326&lt;P326),EDATE(V326,12),AND(AH326="K5-LAW",AG326="นิติศาสตร์",OR(T326="S2",T326="K5")),V326,AND(AH326="K5-LAW",AG326="นิติศาสตร์",OR(K326="M2",K326="K4"),Q326&gt;=2),EDATE(P326,12*2),AND(AH326="K5-LAW",AG326="นิติศาสตร์",K326="S1",Q326&gt;=1),EDATE(P326,12),AND(AH326="K5-LAW",AG326="นิติศาสตร์",OR(K326="S2",K326="K5")),P326,AND(AH326="K5-POLICY",AG326&lt;&gt;"นิติศาสตร์",K326="S2",T326="",Z326=""),P326,AND(AH326="K5-POLICY",AG326&lt;&gt;"นิติศาสตร์",K326="S1",T326="",Z326=""),EDATE(P326,12),AND(AH326="K5-POLICY",AG326&lt;&gt;"นิติศาสตร์",OR(K326="M2",K326="K4"),T326="",Z326=""),EDATE(P326,12*2),AND(AH326="K5-POLICY",AG326&lt;&gt;"นิติศาสตร์",OR(Z326="M2",Z326="K4"),AC326&gt;=2,OR(AB326&lt;V326,AB326&lt;P326)),EDATE(AB326,12*2),AND(AH326="K5-POLICY",AG326&lt;&gt;"นิติศาสตร์",Z326="S1",AC326&gt;=1,OR(AB326&lt;V326,AB326&lt;P326)),EDATE(AB326,12),AND(AH326="K5-POLICY",AG326&lt;&gt;"นิติศาสตร์",OR(T326="M2",T326="K4"),W326&gt;=2,V326&lt;P326),EDATE(V326,12*2),AND(AH326="K5-POLICY",AG326&lt;&gt;"นิติศาสตร์",T326="S1",W326&gt;=1,V326&lt;P326),EDATE(V326,12),AND(AH326="K5-POLICY",AG326&lt;&gt;"นิติศาสตร์",OR(T326="S2",T326="K5")),V326,AND(AH326="K5-POLICY",AG326&lt;&gt;"นิติศาสตร์",OR(K326="M2",K326="K4"),Q326&gt;=2),EDATE(P326,12*2),AND(AH326="K5-POLICY",AG326&lt;&gt;"นิติศาสตร์",K326="S1",Q326&gt;=1),EDATE(P326,12),AND(AH326="K5-POLICY",AG326&lt;&gt;"นิติศาสตร์",OR(K326="S2",K326="K5")),P326,TRUE,"Check Data")</f>
        <v/>
      </c>
      <c r="AJ326" s="75" t="str">
        <f t="shared" si="99"/>
        <v>Check Data</v>
      </c>
      <c r="AK326" s="76" t="str">
        <f t="shared" si="100"/>
        <v>Check Data</v>
      </c>
      <c r="AL326" s="50" t="str">
        <f t="shared" si="101"/>
        <v>Check Data</v>
      </c>
      <c r="AM326" s="49" t="str">
        <f>IF(B326="","",IF(K326="S1","S1",INDEX(#REF!,#REF!)))</f>
        <v/>
      </c>
      <c r="AN326" s="49" t="str">
        <f>K326</f>
        <v>K4</v>
      </c>
      <c r="AO326" s="50" t="b">
        <f>K326=AM326</f>
        <v>0</v>
      </c>
    </row>
    <row r="327" spans="1:41" ht="21.75">
      <c r="A327" s="49">
        <v>325</v>
      </c>
      <c r="B327" s="50"/>
      <c r="C327" s="54"/>
      <c r="D327" s="84" t="s">
        <v>144</v>
      </c>
      <c r="E327" s="85" t="s">
        <v>271</v>
      </c>
      <c r="F327" s="85" t="str">
        <f t="shared" si="86"/>
        <v>10/05/1999</v>
      </c>
      <c r="G327" s="50">
        <f t="shared" si="92"/>
        <v>26</v>
      </c>
      <c r="H327" s="50">
        <f t="shared" si="93"/>
        <v>1</v>
      </c>
      <c r="I327" s="50">
        <f t="shared" si="94"/>
        <v>10</v>
      </c>
      <c r="J327" s="84"/>
      <c r="K327" s="49" t="s">
        <v>137</v>
      </c>
      <c r="L327" s="87"/>
      <c r="M327" s="85"/>
      <c r="N327" s="85"/>
      <c r="O327" s="65" t="s">
        <v>414</v>
      </c>
      <c r="P327" s="49" t="str">
        <f t="shared" si="95"/>
        <v>10/03/2020</v>
      </c>
      <c r="Q327" s="68">
        <f t="shared" si="96"/>
        <v>5</v>
      </c>
      <c r="R327" s="68">
        <f t="shared" si="97"/>
        <v>3</v>
      </c>
      <c r="S327" s="68">
        <f t="shared" si="98"/>
        <v>10</v>
      </c>
      <c r="T327" s="65"/>
      <c r="U327" s="89"/>
      <c r="V327" s="85" t="str">
        <f t="shared" si="87"/>
        <v/>
      </c>
      <c r="W327" s="88">
        <f>IF(V327="",0,DATEDIF(V327,P327,"Y"))</f>
        <v>0</v>
      </c>
      <c r="X327" s="88">
        <f>IF(V327="",0,DATEDIF(V327,P327,"YM"))</f>
        <v>0</v>
      </c>
      <c r="Y327" s="88">
        <f>IF(V327="",0,DATEDIF(V327,P327,"MD"))</f>
        <v>0</v>
      </c>
      <c r="Z327" s="85"/>
      <c r="AA327" s="89"/>
      <c r="AB327" s="84" t="str">
        <f t="shared" si="88"/>
        <v/>
      </c>
      <c r="AC327" s="88">
        <f t="shared" si="89"/>
        <v>0</v>
      </c>
      <c r="AD327" s="88">
        <f t="shared" si="90"/>
        <v>0</v>
      </c>
      <c r="AE327" s="88">
        <f t="shared" si="91"/>
        <v>0</v>
      </c>
      <c r="AF327" s="84"/>
      <c r="AG327" s="84" t="s">
        <v>509</v>
      </c>
      <c r="AH327" s="49" t="str">
        <f>IF(AG327="นิติศาสตร์","K5-LAW","K5-POLICY")</f>
        <v>K5-POLICY</v>
      </c>
      <c r="AI327" s="72" t="str">
        <f>_xlfn.IFS(B327="","",AND(AH327="K5-LAW",AG327="นิติศาสตร์",K327="S2",T327="",Z327=""),P327,AND(AH327="K5-LAW",AG327="นิติศาสตร์",K327="S1",T327="",Z327=""),EDATE(P327,12),AND(AH327="K5-LAW",AG327="นิติศาสตร์",OR(K327="M2",K327="K4"),T327="",Z327=""),EDATE(P327,12*2),AND(AH327="K5-LAW",AG327="นิติศาสตร์",OR(Z327="M2",Z327="K4"),AC327&gt;=2,OR(AB327&lt;V327,AB327&lt;P327)),EDATE(AB327,12*2),AND(AH327="K5-LAW",AG327="นิติศาสตร์",Z327="S1",AC327&gt;=1,OR(AB327&lt;V327,AB327&lt;P327)),EDATE(AB327,12),AND(AH327="K5-LAW",AG327="นิติศาสตร์",OR(T327="M2",T327="K4"),W327&gt;=2,V327&lt;P327),EDATE(V327,12*2),AND(AH327="K5-LAW",AG327="นิติศาสตร์",T327="S1",W327&gt;=1,V327&lt;P327),EDATE(V327,12),AND(AH327="K5-LAW",AG327="นิติศาสตร์",OR(T327="S2",T327="K5")),V327,AND(AH327="K5-LAW",AG327="นิติศาสตร์",OR(K327="M2",K327="K4"),Q327&gt;=2),EDATE(P327,12*2),AND(AH327="K5-LAW",AG327="นิติศาสตร์",K327="S1",Q327&gt;=1),EDATE(P327,12),AND(AH327="K5-LAW",AG327="นิติศาสตร์",OR(K327="S2",K327="K5")),P327,AND(AH327="K5-POLICY",AG327&lt;&gt;"นิติศาสตร์",K327="S2",T327="",Z327=""),P327,AND(AH327="K5-POLICY",AG327&lt;&gt;"นิติศาสตร์",K327="S1",T327="",Z327=""),EDATE(P327,12),AND(AH327="K5-POLICY",AG327&lt;&gt;"นิติศาสตร์",OR(K327="M2",K327="K4"),T327="",Z327=""),EDATE(P327,12*2),AND(AH327="K5-POLICY",AG327&lt;&gt;"นิติศาสตร์",OR(Z327="M2",Z327="K4"),AC327&gt;=2,OR(AB327&lt;V327,AB327&lt;P327)),EDATE(AB327,12*2),AND(AH327="K5-POLICY",AG327&lt;&gt;"นิติศาสตร์",Z327="S1",AC327&gt;=1,OR(AB327&lt;V327,AB327&lt;P327)),EDATE(AB327,12),AND(AH327="K5-POLICY",AG327&lt;&gt;"นิติศาสตร์",OR(T327="M2",T327="K4"),W327&gt;=2,V327&lt;P327),EDATE(V327,12*2),AND(AH327="K5-POLICY",AG327&lt;&gt;"นิติศาสตร์",T327="S1",W327&gt;=1,V327&lt;P327),EDATE(V327,12),AND(AH327="K5-POLICY",AG327&lt;&gt;"นิติศาสตร์",OR(T327="S2",T327="K5")),V327,AND(AH327="K5-POLICY",AG327&lt;&gt;"นิติศาสตร์",OR(K327="M2",K327="K4"),Q327&gt;=2),EDATE(P327,12*2),AND(AH327="K5-POLICY",AG327&lt;&gt;"นิติศาสตร์",K327="S1",Q327&gt;=1),EDATE(P327,12),AND(AH327="K5-POLICY",AG327&lt;&gt;"นิติศาสตร์",OR(K327="S2",K327="K5")),P327,TRUE,"Check Data")</f>
        <v/>
      </c>
      <c r="AJ327" s="75" t="str">
        <f t="shared" si="99"/>
        <v>Check Data</v>
      </c>
      <c r="AK327" s="76" t="str">
        <f t="shared" si="100"/>
        <v>Check Data</v>
      </c>
      <c r="AL327" s="50" t="str">
        <f t="shared" si="101"/>
        <v>Check Data</v>
      </c>
      <c r="AM327" s="49" t="str">
        <f>IF(B327="","",IF(K327="S1","S1",INDEX(#REF!,#REF!)))</f>
        <v/>
      </c>
      <c r="AN327" s="49" t="str">
        <f>K327</f>
        <v>K4</v>
      </c>
      <c r="AO327" s="50" t="b">
        <f>K327=AM327</f>
        <v>0</v>
      </c>
    </row>
    <row r="328" spans="1:41" ht="21.75">
      <c r="A328" s="49">
        <v>326</v>
      </c>
      <c r="B328" s="50"/>
      <c r="C328" s="50"/>
      <c r="D328" s="84" t="s">
        <v>144</v>
      </c>
      <c r="E328" s="85" t="s">
        <v>239</v>
      </c>
      <c r="F328" s="85" t="str">
        <f t="shared" si="86"/>
        <v>01/05/1985</v>
      </c>
      <c r="G328" s="50">
        <f t="shared" si="92"/>
        <v>40</v>
      </c>
      <c r="H328" s="50">
        <f t="shared" si="93"/>
        <v>1</v>
      </c>
      <c r="I328" s="50">
        <f t="shared" si="94"/>
        <v>19</v>
      </c>
      <c r="J328" s="84"/>
      <c r="K328" s="49" t="s">
        <v>137</v>
      </c>
      <c r="L328" s="87"/>
      <c r="M328" s="85"/>
      <c r="N328" s="85"/>
      <c r="O328" s="65" t="s">
        <v>409</v>
      </c>
      <c r="P328" s="49" t="str">
        <f t="shared" si="95"/>
        <v>12/03/2020</v>
      </c>
      <c r="Q328" s="68">
        <f t="shared" si="96"/>
        <v>5</v>
      </c>
      <c r="R328" s="68">
        <f t="shared" si="97"/>
        <v>3</v>
      </c>
      <c r="S328" s="68">
        <f t="shared" si="98"/>
        <v>8</v>
      </c>
      <c r="T328" s="65"/>
      <c r="U328" s="89"/>
      <c r="V328" s="85" t="str">
        <f t="shared" si="87"/>
        <v/>
      </c>
      <c r="W328" s="88">
        <f>IF(V328="",0,DATEDIF(V328,P328,"Y"))</f>
        <v>0</v>
      </c>
      <c r="X328" s="88">
        <f>IF(V328="",0,DATEDIF(V328,P328,"YM"))</f>
        <v>0</v>
      </c>
      <c r="Y328" s="88">
        <f>IF(V328="",0,DATEDIF(V328,P328,"MD"))</f>
        <v>0</v>
      </c>
      <c r="Z328" s="85"/>
      <c r="AA328" s="89"/>
      <c r="AB328" s="84" t="str">
        <f t="shared" si="88"/>
        <v/>
      </c>
      <c r="AC328" s="88">
        <f t="shared" si="89"/>
        <v>0</v>
      </c>
      <c r="AD328" s="88">
        <f t="shared" si="90"/>
        <v>0</v>
      </c>
      <c r="AE328" s="88">
        <f t="shared" si="91"/>
        <v>0</v>
      </c>
      <c r="AF328" s="84"/>
      <c r="AG328" s="84" t="s">
        <v>527</v>
      </c>
      <c r="AH328" s="49" t="str">
        <f>IF(AG328="นิติศาสตร์","K5-LAW","K5-POLICY")</f>
        <v>K5-POLICY</v>
      </c>
      <c r="AI328" s="72" t="str">
        <f>_xlfn.IFS(B328="","",AND(AH328="K5-LAW",AG328="นิติศาสตร์",K328="S2",T328="",Z328=""),P328,AND(AH328="K5-LAW",AG328="นิติศาสตร์",K328="S1",T328="",Z328=""),EDATE(P328,12),AND(AH328="K5-LAW",AG328="นิติศาสตร์",OR(K328="M2",K328="K4"),T328="",Z328=""),EDATE(P328,12*2),AND(AH328="K5-LAW",AG328="นิติศาสตร์",OR(Z328="M2",Z328="K4"),AC328&gt;=2,OR(AB328&lt;V328,AB328&lt;P328)),EDATE(AB328,12*2),AND(AH328="K5-LAW",AG328="นิติศาสตร์",Z328="S1",AC328&gt;=1,OR(AB328&lt;V328,AB328&lt;P328)),EDATE(AB328,12),AND(AH328="K5-LAW",AG328="นิติศาสตร์",OR(T328="M2",T328="K4"),W328&gt;=2,V328&lt;P328),EDATE(V328,12*2),AND(AH328="K5-LAW",AG328="นิติศาสตร์",T328="S1",W328&gt;=1,V328&lt;P328),EDATE(V328,12),AND(AH328="K5-LAW",AG328="นิติศาสตร์",OR(T328="S2",T328="K5")),V328,AND(AH328="K5-LAW",AG328="นิติศาสตร์",OR(K328="M2",K328="K4"),Q328&gt;=2),EDATE(P328,12*2),AND(AH328="K5-LAW",AG328="นิติศาสตร์",K328="S1",Q328&gt;=1),EDATE(P328,12),AND(AH328="K5-LAW",AG328="นิติศาสตร์",OR(K328="S2",K328="K5")),P328,AND(AH328="K5-POLICY",AG328&lt;&gt;"นิติศาสตร์",K328="S2",T328="",Z328=""),P328,AND(AH328="K5-POLICY",AG328&lt;&gt;"นิติศาสตร์",K328="S1",T328="",Z328=""),EDATE(P328,12),AND(AH328="K5-POLICY",AG328&lt;&gt;"นิติศาสตร์",OR(K328="M2",K328="K4"),T328="",Z328=""),EDATE(P328,12*2),AND(AH328="K5-POLICY",AG328&lt;&gt;"นิติศาสตร์",OR(Z328="M2",Z328="K4"),AC328&gt;=2,OR(AB328&lt;V328,AB328&lt;P328)),EDATE(AB328,12*2),AND(AH328="K5-POLICY",AG328&lt;&gt;"นิติศาสตร์",Z328="S1",AC328&gt;=1,OR(AB328&lt;V328,AB328&lt;P328)),EDATE(AB328,12),AND(AH328="K5-POLICY",AG328&lt;&gt;"นิติศาสตร์",OR(T328="M2",T328="K4"),W328&gt;=2,V328&lt;P328),EDATE(V328,12*2),AND(AH328="K5-POLICY",AG328&lt;&gt;"นิติศาสตร์",T328="S1",W328&gt;=1,V328&lt;P328),EDATE(V328,12),AND(AH328="K5-POLICY",AG328&lt;&gt;"นิติศาสตร์",OR(T328="S2",T328="K5")),V328,AND(AH328="K5-POLICY",AG328&lt;&gt;"นิติศาสตร์",OR(K328="M2",K328="K4"),Q328&gt;=2),EDATE(P328,12*2),AND(AH328="K5-POLICY",AG328&lt;&gt;"นิติศาสตร์",K328="S1",Q328&gt;=1),EDATE(P328,12),AND(AH328="K5-POLICY",AG328&lt;&gt;"นิติศาสตร์",OR(K328="S2",K328="K5")),P328,TRUE,"Check Data")</f>
        <v/>
      </c>
      <c r="AJ328" s="75" t="str">
        <f t="shared" si="99"/>
        <v>Check Data</v>
      </c>
      <c r="AK328" s="76" t="str">
        <f t="shared" si="100"/>
        <v>Check Data</v>
      </c>
      <c r="AL328" s="50" t="str">
        <f t="shared" si="101"/>
        <v>Check Data</v>
      </c>
      <c r="AM328" s="49" t="str">
        <f>IF(B328="","",IF(K328="S1","S1",INDEX(#REF!,#REF!)))</f>
        <v/>
      </c>
      <c r="AN328" s="49" t="str">
        <f>K328</f>
        <v>K4</v>
      </c>
      <c r="AO328" s="50" t="b">
        <f>K328=AM328</f>
        <v>0</v>
      </c>
    </row>
    <row r="329" spans="1:41" ht="21.75">
      <c r="A329" s="49">
        <v>327</v>
      </c>
      <c r="B329" s="50"/>
      <c r="C329" s="50"/>
      <c r="D329" s="84" t="s">
        <v>34</v>
      </c>
      <c r="E329" s="85" t="s">
        <v>400</v>
      </c>
      <c r="F329" s="85" t="str">
        <f t="shared" si="86"/>
        <v>17/05/2001</v>
      </c>
      <c r="G329" s="50">
        <f t="shared" si="92"/>
        <v>24</v>
      </c>
      <c r="H329" s="50">
        <f t="shared" si="93"/>
        <v>1</v>
      </c>
      <c r="I329" s="50">
        <f t="shared" si="94"/>
        <v>3</v>
      </c>
      <c r="J329" s="84" t="s">
        <v>399</v>
      </c>
      <c r="K329" s="49" t="s">
        <v>137</v>
      </c>
      <c r="L329" s="87"/>
      <c r="M329" s="85" t="s">
        <v>427</v>
      </c>
      <c r="N329" s="85">
        <v>2577</v>
      </c>
      <c r="O329" s="65" t="s">
        <v>401</v>
      </c>
      <c r="P329" s="49" t="str">
        <f t="shared" si="95"/>
        <v>20/03/2020</v>
      </c>
      <c r="Q329" s="68">
        <f t="shared" si="96"/>
        <v>5</v>
      </c>
      <c r="R329" s="68">
        <f t="shared" si="97"/>
        <v>3</v>
      </c>
      <c r="S329" s="68">
        <f t="shared" si="98"/>
        <v>0</v>
      </c>
      <c r="T329" s="65"/>
      <c r="U329" s="89"/>
      <c r="V329" s="85" t="str">
        <f t="shared" si="87"/>
        <v/>
      </c>
      <c r="W329" s="88">
        <f>IF(V329="",0,DATEDIF(V329,P329,"Y"))</f>
        <v>0</v>
      </c>
      <c r="X329" s="88">
        <f>IF(V329="",0,DATEDIF(V329,P329,"YM"))</f>
        <v>0</v>
      </c>
      <c r="Y329" s="88">
        <f>IF(V329="",0,DATEDIF(V329,P329,"MD"))</f>
        <v>0</v>
      </c>
      <c r="Z329" s="93"/>
      <c r="AA329" s="89"/>
      <c r="AB329" s="84" t="str">
        <f t="shared" si="88"/>
        <v/>
      </c>
      <c r="AC329" s="88">
        <f t="shared" si="89"/>
        <v>0</v>
      </c>
      <c r="AD329" s="88">
        <f t="shared" si="90"/>
        <v>0</v>
      </c>
      <c r="AE329" s="88">
        <f t="shared" si="91"/>
        <v>0</v>
      </c>
      <c r="AF329" s="84" t="s">
        <v>80</v>
      </c>
      <c r="AG329" s="84" t="s">
        <v>512</v>
      </c>
      <c r="AH329" s="49" t="str">
        <f>IF(AG329="นิติศาสตร์","K5-LAW","K5-POLICY")</f>
        <v>K5-POLICY</v>
      </c>
      <c r="AI329" s="72" t="str">
        <f>_xlfn.IFS(B329="","",AND(AH329="K5-LAW",AG329="นิติศาสตร์",K329="S2",T329="",Z329=""),P329,AND(AH329="K5-LAW",AG329="นิติศาสตร์",K329="S1",T329="",Z329=""),EDATE(P329,12),AND(AH329="K5-LAW",AG329="นิติศาสตร์",OR(K329="M2",K329="K4"),T329="",Z329=""),EDATE(P329,12*2),AND(AH329="K5-LAW",AG329="นิติศาสตร์",OR(Z329="M2",Z329="K4"),AC329&gt;=2,OR(AB329&lt;V329,AB329&lt;P329)),EDATE(AB329,12*2),AND(AH329="K5-LAW",AG329="นิติศาสตร์",Z329="S1",AC329&gt;=1,OR(AB329&lt;V329,AB329&lt;P329)),EDATE(AB329,12),AND(AH329="K5-LAW",AG329="นิติศาสตร์",OR(T329="M2",T329="K4"),W329&gt;=2,V329&lt;P329),EDATE(V329,12*2),AND(AH329="K5-LAW",AG329="นิติศาสตร์",T329="S1",W329&gt;=1,V329&lt;P329),EDATE(V329,12),AND(AH329="K5-LAW",AG329="นิติศาสตร์",OR(T329="S2",T329="K5")),V329,AND(AH329="K5-LAW",AG329="นิติศาสตร์",OR(K329="M2",K329="K4"),Q329&gt;=2),EDATE(P329,12*2),AND(AH329="K5-LAW",AG329="นิติศาสตร์",K329="S1",Q329&gt;=1),EDATE(P329,12),AND(AH329="K5-LAW",AG329="นิติศาสตร์",OR(K329="S2",K329="K5")),P329,AND(AH329="K5-POLICY",AG329&lt;&gt;"นิติศาสตร์",K329="S2",T329="",Z329=""),P329,AND(AH329="K5-POLICY",AG329&lt;&gt;"นิติศาสตร์",K329="S1",T329="",Z329=""),EDATE(P329,12),AND(AH329="K5-POLICY",AG329&lt;&gt;"นิติศาสตร์",OR(K329="M2",K329="K4"),T329="",Z329=""),EDATE(P329,12*2),AND(AH329="K5-POLICY",AG329&lt;&gt;"นิติศาสตร์",OR(Z329="M2",Z329="K4"),AC329&gt;=2,OR(AB329&lt;V329,AB329&lt;P329)),EDATE(AB329,12*2),AND(AH329="K5-POLICY",AG329&lt;&gt;"นิติศาสตร์",Z329="S1",AC329&gt;=1,OR(AB329&lt;V329,AB329&lt;P329)),EDATE(AB329,12),AND(AH329="K5-POLICY",AG329&lt;&gt;"นิติศาสตร์",OR(T329="M2",T329="K4"),W329&gt;=2,V329&lt;P329),EDATE(V329,12*2),AND(AH329="K5-POLICY",AG329&lt;&gt;"นิติศาสตร์",T329="S1",W329&gt;=1,V329&lt;P329),EDATE(V329,12),AND(AH329="K5-POLICY",AG329&lt;&gt;"นิติศาสตร์",OR(T329="S2",T329="K5")),V329,AND(AH329="K5-POLICY",AG329&lt;&gt;"นิติศาสตร์",OR(K329="M2",K329="K4"),Q329&gt;=2),EDATE(P329,12*2),AND(AH329="K5-POLICY",AG329&lt;&gt;"นิติศาสตร์",K329="S1",Q329&gt;=1),EDATE(P329,12),AND(AH329="K5-POLICY",AG329&lt;&gt;"นิติศาสตร์",OR(K329="S2",K329="K5")),P329,TRUE,"Check Data")</f>
        <v/>
      </c>
      <c r="AJ329" s="75" t="str">
        <f t="shared" si="99"/>
        <v>Check Data</v>
      </c>
      <c r="AK329" s="76" t="str">
        <f t="shared" si="100"/>
        <v>Check Data</v>
      </c>
      <c r="AL329" s="50" t="str">
        <f t="shared" si="101"/>
        <v>Check Data</v>
      </c>
      <c r="AM329" s="49" t="str">
        <f>IF(B329="","",IF(K329="S1","S1",INDEX(#REF!,#REF!)))</f>
        <v/>
      </c>
      <c r="AN329" s="49" t="str">
        <f>K329</f>
        <v>K4</v>
      </c>
      <c r="AO329" s="50" t="b">
        <f>K329=AM329</f>
        <v>0</v>
      </c>
    </row>
    <row r="330" spans="1:41" ht="21.75">
      <c r="A330" s="49">
        <v>328</v>
      </c>
      <c r="B330" s="50"/>
      <c r="C330" s="50"/>
      <c r="D330" s="84" t="s">
        <v>144</v>
      </c>
      <c r="E330" s="85" t="s">
        <v>286</v>
      </c>
      <c r="F330" s="85" t="str">
        <f t="shared" si="86"/>
        <v>22/11/1999</v>
      </c>
      <c r="G330" s="50">
        <f t="shared" si="92"/>
        <v>25</v>
      </c>
      <c r="H330" s="50">
        <f t="shared" si="93"/>
        <v>6</v>
      </c>
      <c r="I330" s="50">
        <f t="shared" si="94"/>
        <v>29</v>
      </c>
      <c r="J330" s="84"/>
      <c r="K330" s="49" t="s">
        <v>137</v>
      </c>
      <c r="L330" s="87"/>
      <c r="M330" s="85"/>
      <c r="N330" s="85"/>
      <c r="O330" s="65" t="s">
        <v>412</v>
      </c>
      <c r="P330" s="49" t="str">
        <f t="shared" si="95"/>
        <v>22/05/2020</v>
      </c>
      <c r="Q330" s="68">
        <f t="shared" si="96"/>
        <v>5</v>
      </c>
      <c r="R330" s="68">
        <f t="shared" si="97"/>
        <v>0</v>
      </c>
      <c r="S330" s="68">
        <f t="shared" si="98"/>
        <v>29</v>
      </c>
      <c r="T330" s="65"/>
      <c r="U330" s="89"/>
      <c r="V330" s="85" t="str">
        <f t="shared" si="87"/>
        <v/>
      </c>
      <c r="W330" s="88">
        <f>IF(V330="",0,DATEDIF(V330,P330,"Y"))</f>
        <v>0</v>
      </c>
      <c r="X330" s="88">
        <f>IF(V330="",0,DATEDIF(V330,P330,"YM"))</f>
        <v>0</v>
      </c>
      <c r="Y330" s="88">
        <f>IF(V330="",0,DATEDIF(V330,P330,"MD"))</f>
        <v>0</v>
      </c>
      <c r="Z330" s="85"/>
      <c r="AA330" s="89"/>
      <c r="AB330" s="84" t="str">
        <f t="shared" si="88"/>
        <v/>
      </c>
      <c r="AC330" s="88">
        <f t="shared" si="89"/>
        <v>0</v>
      </c>
      <c r="AD330" s="88">
        <f t="shared" si="90"/>
        <v>0</v>
      </c>
      <c r="AE330" s="88">
        <f t="shared" si="91"/>
        <v>0</v>
      </c>
      <c r="AF330" s="84"/>
      <c r="AG330" s="84" t="s">
        <v>528</v>
      </c>
      <c r="AH330" s="49" t="str">
        <f>IF(AG330="นิติศาสตร์","K5-LAW","K5-POLICY")</f>
        <v>K5-POLICY</v>
      </c>
      <c r="AI330" s="72" t="str">
        <f>_xlfn.IFS(B330="","",AND(AH330="K5-LAW",AG330="นิติศาสตร์",K330="S2",T330="",Z330=""),P330,AND(AH330="K5-LAW",AG330="นิติศาสตร์",K330="S1",T330="",Z330=""),EDATE(P330,12),AND(AH330="K5-LAW",AG330="นิติศาสตร์",OR(K330="M2",K330="K4"),T330="",Z330=""),EDATE(P330,12*2),AND(AH330="K5-LAW",AG330="นิติศาสตร์",OR(Z330="M2",Z330="K4"),AC330&gt;=2,OR(AB330&lt;V330,AB330&lt;P330)),EDATE(AB330,12*2),AND(AH330="K5-LAW",AG330="นิติศาสตร์",Z330="S1",AC330&gt;=1,OR(AB330&lt;V330,AB330&lt;P330)),EDATE(AB330,12),AND(AH330="K5-LAW",AG330="นิติศาสตร์",OR(T330="M2",T330="K4"),W330&gt;=2,V330&lt;P330),EDATE(V330,12*2),AND(AH330="K5-LAW",AG330="นิติศาสตร์",T330="S1",W330&gt;=1,V330&lt;P330),EDATE(V330,12),AND(AH330="K5-LAW",AG330="นิติศาสตร์",OR(T330="S2",T330="K5")),V330,AND(AH330="K5-LAW",AG330="นิติศาสตร์",OR(K330="M2",K330="K4"),Q330&gt;=2),EDATE(P330,12*2),AND(AH330="K5-LAW",AG330="นิติศาสตร์",K330="S1",Q330&gt;=1),EDATE(P330,12),AND(AH330="K5-LAW",AG330="นิติศาสตร์",OR(K330="S2",K330="K5")),P330,AND(AH330="K5-POLICY",AG330&lt;&gt;"นิติศาสตร์",K330="S2",T330="",Z330=""),P330,AND(AH330="K5-POLICY",AG330&lt;&gt;"นิติศาสตร์",K330="S1",T330="",Z330=""),EDATE(P330,12),AND(AH330="K5-POLICY",AG330&lt;&gt;"นิติศาสตร์",OR(K330="M2",K330="K4"),T330="",Z330=""),EDATE(P330,12*2),AND(AH330="K5-POLICY",AG330&lt;&gt;"นิติศาสตร์",OR(Z330="M2",Z330="K4"),AC330&gt;=2,OR(AB330&lt;V330,AB330&lt;P330)),EDATE(AB330,12*2),AND(AH330="K5-POLICY",AG330&lt;&gt;"นิติศาสตร์",Z330="S1",AC330&gt;=1,OR(AB330&lt;V330,AB330&lt;P330)),EDATE(AB330,12),AND(AH330="K5-POLICY",AG330&lt;&gt;"นิติศาสตร์",OR(T330="M2",T330="K4"),W330&gt;=2,V330&lt;P330),EDATE(V330,12*2),AND(AH330="K5-POLICY",AG330&lt;&gt;"นิติศาสตร์",T330="S1",W330&gt;=1,V330&lt;P330),EDATE(V330,12),AND(AH330="K5-POLICY",AG330&lt;&gt;"นิติศาสตร์",OR(T330="S2",T330="K5")),V330,AND(AH330="K5-POLICY",AG330&lt;&gt;"นิติศาสตร์",OR(K330="M2",K330="K4"),Q330&gt;=2),EDATE(P330,12*2),AND(AH330="K5-POLICY",AG330&lt;&gt;"นิติศาสตร์",K330="S1",Q330&gt;=1),EDATE(P330,12),AND(AH330="K5-POLICY",AG330&lt;&gt;"นิติศาสตร์",OR(K330="S2",K330="K5")),P330,TRUE,"Check Data")</f>
        <v/>
      </c>
      <c r="AJ330" s="75" t="str">
        <f t="shared" si="99"/>
        <v>Check Data</v>
      </c>
      <c r="AK330" s="76" t="str">
        <f t="shared" si="100"/>
        <v>Check Data</v>
      </c>
      <c r="AL330" s="50" t="str">
        <f t="shared" si="101"/>
        <v>Check Data</v>
      </c>
      <c r="AM330" s="49" t="str">
        <f>IF(B330="","",IF(K330="S1","S1",INDEX(#REF!,#REF!)))</f>
        <v/>
      </c>
      <c r="AN330" s="49" t="str">
        <f>K330</f>
        <v>K4</v>
      </c>
      <c r="AO330" s="50" t="b">
        <f>K330=AM330</f>
        <v>0</v>
      </c>
    </row>
    <row r="331" spans="1:41" ht="21.75">
      <c r="A331" s="49">
        <v>329</v>
      </c>
      <c r="B331" s="50"/>
      <c r="C331" s="54"/>
      <c r="D331" s="84" t="s">
        <v>143</v>
      </c>
      <c r="E331" s="85" t="s">
        <v>164</v>
      </c>
      <c r="F331" s="85" t="str">
        <f t="shared" si="86"/>
        <v>01/05/1990</v>
      </c>
      <c r="G331" s="50">
        <f t="shared" si="92"/>
        <v>35</v>
      </c>
      <c r="H331" s="50">
        <f t="shared" si="93"/>
        <v>1</v>
      </c>
      <c r="I331" s="50">
        <f t="shared" si="94"/>
        <v>19</v>
      </c>
      <c r="J331" s="84"/>
      <c r="K331" s="49" t="s">
        <v>137</v>
      </c>
      <c r="L331" s="87"/>
      <c r="M331" s="85"/>
      <c r="N331" s="85"/>
      <c r="O331" s="65" t="s">
        <v>407</v>
      </c>
      <c r="P331" s="49" t="str">
        <f t="shared" si="95"/>
        <v>22/06/2020</v>
      </c>
      <c r="Q331" s="68">
        <f t="shared" si="96"/>
        <v>4</v>
      </c>
      <c r="R331" s="68">
        <f t="shared" si="97"/>
        <v>11</v>
      </c>
      <c r="S331" s="68">
        <f t="shared" si="98"/>
        <v>29</v>
      </c>
      <c r="T331" s="65"/>
      <c r="U331" s="89"/>
      <c r="V331" s="85" t="str">
        <f t="shared" si="87"/>
        <v/>
      </c>
      <c r="W331" s="88">
        <f>IF(V331="",0,DATEDIF(V331,P331,"Y"))</f>
        <v>0</v>
      </c>
      <c r="X331" s="88">
        <f>IF(V331="",0,DATEDIF(V331,P331,"YM"))</f>
        <v>0</v>
      </c>
      <c r="Y331" s="88">
        <f>IF(V331="",0,DATEDIF(V331,P331,"MD"))</f>
        <v>0</v>
      </c>
      <c r="Z331" s="85"/>
      <c r="AA331" s="89"/>
      <c r="AB331" s="84" t="str">
        <f t="shared" si="88"/>
        <v/>
      </c>
      <c r="AC331" s="88">
        <f t="shared" si="89"/>
        <v>0</v>
      </c>
      <c r="AD331" s="88">
        <f t="shared" si="90"/>
        <v>0</v>
      </c>
      <c r="AE331" s="88">
        <f t="shared" si="91"/>
        <v>0</v>
      </c>
      <c r="AF331" s="84"/>
      <c r="AG331" s="84" t="s">
        <v>529</v>
      </c>
      <c r="AH331" s="49" t="str">
        <f>IF(AG331="นิติศาสตร์","K5-LAW","K5-POLICY")</f>
        <v>K5-POLICY</v>
      </c>
      <c r="AI331" s="72" t="str">
        <f>_xlfn.IFS(B331="","",AND(AH331="K5-LAW",AG331="นิติศาสตร์",K331="S2",T331="",Z331=""),P331,AND(AH331="K5-LAW",AG331="นิติศาสตร์",K331="S1",T331="",Z331=""),EDATE(P331,12),AND(AH331="K5-LAW",AG331="นิติศาสตร์",OR(K331="M2",K331="K4"),T331="",Z331=""),EDATE(P331,12*2),AND(AH331="K5-LAW",AG331="นิติศาสตร์",OR(Z331="M2",Z331="K4"),AC331&gt;=2,OR(AB331&lt;V331,AB331&lt;P331)),EDATE(AB331,12*2),AND(AH331="K5-LAW",AG331="นิติศาสตร์",Z331="S1",AC331&gt;=1,OR(AB331&lt;V331,AB331&lt;P331)),EDATE(AB331,12),AND(AH331="K5-LAW",AG331="นิติศาสตร์",OR(T331="M2",T331="K4"),W331&gt;=2,V331&lt;P331),EDATE(V331,12*2),AND(AH331="K5-LAW",AG331="นิติศาสตร์",T331="S1",W331&gt;=1,V331&lt;P331),EDATE(V331,12),AND(AH331="K5-LAW",AG331="นิติศาสตร์",OR(T331="S2",T331="K5")),V331,AND(AH331="K5-LAW",AG331="นิติศาสตร์",OR(K331="M2",K331="K4"),Q331&gt;=2),EDATE(P331,12*2),AND(AH331="K5-LAW",AG331="นิติศาสตร์",K331="S1",Q331&gt;=1),EDATE(P331,12),AND(AH331="K5-LAW",AG331="นิติศาสตร์",OR(K331="S2",K331="K5")),P331,AND(AH331="K5-POLICY",AG331&lt;&gt;"นิติศาสตร์",K331="S2",T331="",Z331=""),P331,AND(AH331="K5-POLICY",AG331&lt;&gt;"นิติศาสตร์",K331="S1",T331="",Z331=""),EDATE(P331,12),AND(AH331="K5-POLICY",AG331&lt;&gt;"นิติศาสตร์",OR(K331="M2",K331="K4"),T331="",Z331=""),EDATE(P331,12*2),AND(AH331="K5-POLICY",AG331&lt;&gt;"นิติศาสตร์",OR(Z331="M2",Z331="K4"),AC331&gt;=2,OR(AB331&lt;V331,AB331&lt;P331)),EDATE(AB331,12*2),AND(AH331="K5-POLICY",AG331&lt;&gt;"นิติศาสตร์",Z331="S1",AC331&gt;=1,OR(AB331&lt;V331,AB331&lt;P331)),EDATE(AB331,12),AND(AH331="K5-POLICY",AG331&lt;&gt;"นิติศาสตร์",OR(T331="M2",T331="K4"),W331&gt;=2,V331&lt;P331),EDATE(V331,12*2),AND(AH331="K5-POLICY",AG331&lt;&gt;"นิติศาสตร์",T331="S1",W331&gt;=1,V331&lt;P331),EDATE(V331,12),AND(AH331="K5-POLICY",AG331&lt;&gt;"นิติศาสตร์",OR(T331="S2",T331="K5")),V331,AND(AH331="K5-POLICY",AG331&lt;&gt;"นิติศาสตร์",OR(K331="M2",K331="K4"),Q331&gt;=2),EDATE(P331,12*2),AND(AH331="K5-POLICY",AG331&lt;&gt;"นิติศาสตร์",K331="S1",Q331&gt;=1),EDATE(P331,12),AND(AH331="K5-POLICY",AG331&lt;&gt;"นิติศาสตร์",OR(K331="S2",K331="K5")),P331,TRUE,"Check Data")</f>
        <v/>
      </c>
      <c r="AJ331" s="75" t="str">
        <f t="shared" si="99"/>
        <v>Check Data</v>
      </c>
      <c r="AK331" s="76" t="str">
        <f t="shared" si="100"/>
        <v>Check Data</v>
      </c>
      <c r="AL331" s="50" t="str">
        <f t="shared" si="101"/>
        <v>Check Data</v>
      </c>
      <c r="AM331" s="49" t="str">
        <f>IF(B331="","",IF(K331="S1","S1",INDEX(#REF!,#REF!)))</f>
        <v/>
      </c>
      <c r="AN331" s="49" t="str">
        <f>K331</f>
        <v>K4</v>
      </c>
      <c r="AO331" s="50" t="b">
        <f>K331=AM331</f>
        <v>0</v>
      </c>
    </row>
    <row r="332" spans="1:41" ht="21.75">
      <c r="A332" s="49">
        <v>330</v>
      </c>
      <c r="B332" s="50"/>
      <c r="C332" s="50"/>
      <c r="D332" s="84" t="s">
        <v>144</v>
      </c>
      <c r="E332" s="85" t="s">
        <v>262</v>
      </c>
      <c r="F332" s="85" t="str">
        <f t="shared" si="86"/>
        <v>11/04/1996</v>
      </c>
      <c r="G332" s="50">
        <f t="shared" si="92"/>
        <v>29</v>
      </c>
      <c r="H332" s="50">
        <f t="shared" si="93"/>
        <v>2</v>
      </c>
      <c r="I332" s="50">
        <f t="shared" si="94"/>
        <v>9</v>
      </c>
      <c r="J332" s="84"/>
      <c r="K332" s="49" t="s">
        <v>137</v>
      </c>
      <c r="L332" s="87"/>
      <c r="M332" s="85"/>
      <c r="N332" s="85"/>
      <c r="O332" s="65" t="s">
        <v>445</v>
      </c>
      <c r="P332" s="49" t="str">
        <f t="shared" si="95"/>
        <v>24/09/2020</v>
      </c>
      <c r="Q332" s="68">
        <f t="shared" si="96"/>
        <v>4</v>
      </c>
      <c r="R332" s="68">
        <f t="shared" si="97"/>
        <v>8</v>
      </c>
      <c r="S332" s="68">
        <f t="shared" si="98"/>
        <v>27</v>
      </c>
      <c r="T332" s="65"/>
      <c r="U332" s="89"/>
      <c r="V332" s="85" t="str">
        <f t="shared" si="87"/>
        <v/>
      </c>
      <c r="W332" s="88">
        <f>IF(V332="",0,DATEDIF(V332,P332,"Y"))</f>
        <v>0</v>
      </c>
      <c r="X332" s="88">
        <f>IF(V332="",0,DATEDIF(V332,P332,"YM"))</f>
        <v>0</v>
      </c>
      <c r="Y332" s="88">
        <f>IF(V332="",0,DATEDIF(V332,P332,"MD"))</f>
        <v>0</v>
      </c>
      <c r="Z332" s="85"/>
      <c r="AA332" s="89"/>
      <c r="AB332" s="84" t="str">
        <f t="shared" si="88"/>
        <v/>
      </c>
      <c r="AC332" s="88">
        <f t="shared" si="89"/>
        <v>0</v>
      </c>
      <c r="AD332" s="88">
        <f t="shared" si="90"/>
        <v>0</v>
      </c>
      <c r="AE332" s="88">
        <f t="shared" si="91"/>
        <v>0</v>
      </c>
      <c r="AF332" s="84"/>
      <c r="AG332" s="84" t="s">
        <v>163</v>
      </c>
      <c r="AH332" s="49" t="str">
        <f>IF(AG332="นิติศาสตร์","K5-LAW","K5-POLICY")</f>
        <v>K5-POLICY</v>
      </c>
      <c r="AI332" s="72" t="str">
        <f>_xlfn.IFS(B332="","",AND(AH332="K5-LAW",AG332="นิติศาสตร์",K332="S2",T332="",Z332=""),P332,AND(AH332="K5-LAW",AG332="นิติศาสตร์",K332="S1",T332="",Z332=""),EDATE(P332,12),AND(AH332="K5-LAW",AG332="นิติศาสตร์",OR(K332="M2",K332="K4"),T332="",Z332=""),EDATE(P332,12*2),AND(AH332="K5-LAW",AG332="นิติศาสตร์",OR(Z332="M2",Z332="K4"),AC332&gt;=2,OR(AB332&lt;V332,AB332&lt;P332)),EDATE(AB332,12*2),AND(AH332="K5-LAW",AG332="นิติศาสตร์",Z332="S1",AC332&gt;=1,OR(AB332&lt;V332,AB332&lt;P332)),EDATE(AB332,12),AND(AH332="K5-LAW",AG332="นิติศาสตร์",OR(T332="M2",T332="K4"),W332&gt;=2,V332&lt;P332),EDATE(V332,12*2),AND(AH332="K5-LAW",AG332="นิติศาสตร์",T332="S1",W332&gt;=1,V332&lt;P332),EDATE(V332,12),AND(AH332="K5-LAW",AG332="นิติศาสตร์",OR(T332="S2",T332="K5")),V332,AND(AH332="K5-LAW",AG332="นิติศาสตร์",OR(K332="M2",K332="K4"),Q332&gt;=2),EDATE(P332,12*2),AND(AH332="K5-LAW",AG332="นิติศาสตร์",K332="S1",Q332&gt;=1),EDATE(P332,12),AND(AH332="K5-LAW",AG332="นิติศาสตร์",OR(K332="S2",K332="K5")),P332,AND(AH332="K5-POLICY",AG332&lt;&gt;"นิติศาสตร์",K332="S2",T332="",Z332=""),P332,AND(AH332="K5-POLICY",AG332&lt;&gt;"นิติศาสตร์",K332="S1",T332="",Z332=""),EDATE(P332,12),AND(AH332="K5-POLICY",AG332&lt;&gt;"นิติศาสตร์",OR(K332="M2",K332="K4"),T332="",Z332=""),EDATE(P332,12*2),AND(AH332="K5-POLICY",AG332&lt;&gt;"นิติศาสตร์",OR(Z332="M2",Z332="K4"),AC332&gt;=2,OR(AB332&lt;V332,AB332&lt;P332)),EDATE(AB332,12*2),AND(AH332="K5-POLICY",AG332&lt;&gt;"นิติศาสตร์",Z332="S1",AC332&gt;=1,OR(AB332&lt;V332,AB332&lt;P332)),EDATE(AB332,12),AND(AH332="K5-POLICY",AG332&lt;&gt;"นิติศาสตร์",OR(T332="M2",T332="K4"),W332&gt;=2,V332&lt;P332),EDATE(V332,12*2),AND(AH332="K5-POLICY",AG332&lt;&gt;"นิติศาสตร์",T332="S1",W332&gt;=1,V332&lt;P332),EDATE(V332,12),AND(AH332="K5-POLICY",AG332&lt;&gt;"นิติศาสตร์",OR(T332="S2",T332="K5")),V332,AND(AH332="K5-POLICY",AG332&lt;&gt;"นิติศาสตร์",OR(K332="M2",K332="K4"),Q332&gt;=2),EDATE(P332,12*2),AND(AH332="K5-POLICY",AG332&lt;&gt;"นิติศาสตร์",K332="S1",Q332&gt;=1),EDATE(P332,12),AND(AH332="K5-POLICY",AG332&lt;&gt;"นิติศาสตร์",OR(K332="S2",K332="K5")),P332,TRUE,"Check Data")</f>
        <v/>
      </c>
      <c r="AJ332" s="75" t="str">
        <f t="shared" si="99"/>
        <v>Check Data</v>
      </c>
      <c r="AK332" s="76" t="str">
        <f t="shared" si="100"/>
        <v>Check Data</v>
      </c>
      <c r="AL332" s="50" t="str">
        <f t="shared" si="101"/>
        <v>Check Data</v>
      </c>
      <c r="AM332" s="49" t="str">
        <f>IF(B332="","",IF(K332="S1","S1",INDEX(#REF!,#REF!)))</f>
        <v/>
      </c>
      <c r="AN332" s="49" t="str">
        <f>K332</f>
        <v>K4</v>
      </c>
      <c r="AO332" s="50" t="b">
        <f>K332=AM332</f>
        <v>0</v>
      </c>
    </row>
    <row r="333" spans="1:41" ht="21.75">
      <c r="A333" s="49">
        <v>331</v>
      </c>
      <c r="B333" s="50"/>
      <c r="C333" s="50"/>
      <c r="D333" s="84" t="s">
        <v>146</v>
      </c>
      <c r="E333" s="85" t="s">
        <v>317</v>
      </c>
      <c r="F333" s="85" t="str">
        <f t="shared" si="86"/>
        <v>01/05/1998</v>
      </c>
      <c r="G333" s="50">
        <f t="shared" si="92"/>
        <v>27</v>
      </c>
      <c r="H333" s="50">
        <f t="shared" si="93"/>
        <v>1</v>
      </c>
      <c r="I333" s="50">
        <f t="shared" si="94"/>
        <v>19</v>
      </c>
      <c r="J333" s="84"/>
      <c r="K333" s="49" t="s">
        <v>137</v>
      </c>
      <c r="L333" s="87"/>
      <c r="M333" s="85"/>
      <c r="N333" s="85"/>
      <c r="O333" s="65" t="s">
        <v>421</v>
      </c>
      <c r="P333" s="49" t="str">
        <f t="shared" si="95"/>
        <v>02/06/2021</v>
      </c>
      <c r="Q333" s="68">
        <f t="shared" si="96"/>
        <v>4</v>
      </c>
      <c r="R333" s="68">
        <f t="shared" si="97"/>
        <v>0</v>
      </c>
      <c r="S333" s="68">
        <f t="shared" si="98"/>
        <v>18</v>
      </c>
      <c r="T333" s="65"/>
      <c r="U333" s="89"/>
      <c r="V333" s="85" t="str">
        <f t="shared" si="87"/>
        <v/>
      </c>
      <c r="W333" s="88">
        <f>IF(V333="",0,DATEDIF(V333,P333,"Y"))</f>
        <v>0</v>
      </c>
      <c r="X333" s="88">
        <f>IF(V333="",0,DATEDIF(V333,P333,"YM"))</f>
        <v>0</v>
      </c>
      <c r="Y333" s="88">
        <f>IF(V333="",0,DATEDIF(V333,P333,"MD"))</f>
        <v>0</v>
      </c>
      <c r="Z333" s="85"/>
      <c r="AA333" s="89"/>
      <c r="AB333" s="84" t="str">
        <f t="shared" si="88"/>
        <v/>
      </c>
      <c r="AC333" s="88">
        <f t="shared" si="89"/>
        <v>0</v>
      </c>
      <c r="AD333" s="88">
        <f t="shared" si="90"/>
        <v>0</v>
      </c>
      <c r="AE333" s="88">
        <f t="shared" si="91"/>
        <v>0</v>
      </c>
      <c r="AF333" s="84"/>
      <c r="AG333" s="84" t="s">
        <v>520</v>
      </c>
      <c r="AH333" s="49" t="str">
        <f>IF(AG333="นิติศาสตร์","K5-LAW","K5-POLICY")</f>
        <v>K5-POLICY</v>
      </c>
      <c r="AI333" s="72" t="str">
        <f>_xlfn.IFS(B333="","",AND(AH333="K5-LAW",AG333="นิติศาสตร์",K333="S2",T333="",Z333=""),P333,AND(AH333="K5-LAW",AG333="นิติศาสตร์",K333="S1",T333="",Z333=""),EDATE(P333,12),AND(AH333="K5-LAW",AG333="นิติศาสตร์",OR(K333="M2",K333="K4"),T333="",Z333=""),EDATE(P333,12*2),AND(AH333="K5-LAW",AG333="นิติศาสตร์",OR(Z333="M2",Z333="K4"),AC333&gt;=2,OR(AB333&lt;V333,AB333&lt;P333)),EDATE(AB333,12*2),AND(AH333="K5-LAW",AG333="นิติศาสตร์",Z333="S1",AC333&gt;=1,OR(AB333&lt;V333,AB333&lt;P333)),EDATE(AB333,12),AND(AH333="K5-LAW",AG333="นิติศาสตร์",OR(T333="M2",T333="K4"),W333&gt;=2,V333&lt;P333),EDATE(V333,12*2),AND(AH333="K5-LAW",AG333="นิติศาสตร์",T333="S1",W333&gt;=1,V333&lt;P333),EDATE(V333,12),AND(AH333="K5-LAW",AG333="นิติศาสตร์",OR(T333="S2",T333="K5")),V333,AND(AH333="K5-LAW",AG333="นิติศาสตร์",OR(K333="M2",K333="K4"),Q333&gt;=2),EDATE(P333,12*2),AND(AH333="K5-LAW",AG333="นิติศาสตร์",K333="S1",Q333&gt;=1),EDATE(P333,12),AND(AH333="K5-LAW",AG333="นิติศาสตร์",OR(K333="S2",K333="K5")),P333,AND(AH333="K5-POLICY",AG333&lt;&gt;"นิติศาสตร์",K333="S2",T333="",Z333=""),P333,AND(AH333="K5-POLICY",AG333&lt;&gt;"นิติศาสตร์",K333="S1",T333="",Z333=""),EDATE(P333,12),AND(AH333="K5-POLICY",AG333&lt;&gt;"นิติศาสตร์",OR(K333="M2",K333="K4"),T333="",Z333=""),EDATE(P333,12*2),AND(AH333="K5-POLICY",AG333&lt;&gt;"นิติศาสตร์",OR(Z333="M2",Z333="K4"),AC333&gt;=2,OR(AB333&lt;V333,AB333&lt;P333)),EDATE(AB333,12*2),AND(AH333="K5-POLICY",AG333&lt;&gt;"นิติศาสตร์",Z333="S1",AC333&gt;=1,OR(AB333&lt;V333,AB333&lt;P333)),EDATE(AB333,12),AND(AH333="K5-POLICY",AG333&lt;&gt;"นิติศาสตร์",OR(T333="M2",T333="K4"),W333&gt;=2,V333&lt;P333),EDATE(V333,12*2),AND(AH333="K5-POLICY",AG333&lt;&gt;"นิติศาสตร์",T333="S1",W333&gt;=1,V333&lt;P333),EDATE(V333,12),AND(AH333="K5-POLICY",AG333&lt;&gt;"นิติศาสตร์",OR(T333="S2",T333="K5")),V333,AND(AH333="K5-POLICY",AG333&lt;&gt;"นิติศาสตร์",OR(K333="M2",K333="K4"),Q333&gt;=2),EDATE(P333,12*2),AND(AH333="K5-POLICY",AG333&lt;&gt;"นิติศาสตร์",K333="S1",Q333&gt;=1),EDATE(P333,12),AND(AH333="K5-POLICY",AG333&lt;&gt;"นิติศาสตร์",OR(K333="S2",K333="K5")),P333,TRUE,"Check Data")</f>
        <v/>
      </c>
      <c r="AJ333" s="75" t="str">
        <f t="shared" si="99"/>
        <v>Check Data</v>
      </c>
      <c r="AK333" s="76" t="str">
        <f t="shared" si="100"/>
        <v>Check Data</v>
      </c>
      <c r="AL333" s="50" t="str">
        <f t="shared" si="101"/>
        <v>Check Data</v>
      </c>
      <c r="AM333" s="49" t="str">
        <f>IF(B333="","",IF(K333="S1","S1",INDEX(#REF!,#REF!)))</f>
        <v/>
      </c>
      <c r="AN333" s="49" t="str">
        <f>K333</f>
        <v>K4</v>
      </c>
      <c r="AO333" s="50" t="b">
        <f>K333=AM333</f>
        <v>0</v>
      </c>
    </row>
    <row r="334" spans="1:41" ht="21.75">
      <c r="A334" s="49">
        <v>332</v>
      </c>
      <c r="B334" s="50"/>
      <c r="C334" s="51"/>
      <c r="D334" s="90" t="s">
        <v>141</v>
      </c>
      <c r="E334" s="85" t="s">
        <v>268</v>
      </c>
      <c r="F334" s="85" t="str">
        <f t="shared" si="86"/>
        <v>21/12/1987</v>
      </c>
      <c r="G334" s="50">
        <f t="shared" si="92"/>
        <v>37</v>
      </c>
      <c r="H334" s="50">
        <f t="shared" si="93"/>
        <v>5</v>
      </c>
      <c r="I334" s="50">
        <f t="shared" si="94"/>
        <v>30</v>
      </c>
      <c r="J334" s="90"/>
      <c r="K334" s="91" t="s">
        <v>137</v>
      </c>
      <c r="L334" s="87"/>
      <c r="M334" s="85"/>
      <c r="N334" s="85"/>
      <c r="O334" s="65" t="s">
        <v>403</v>
      </c>
      <c r="P334" s="49" t="str">
        <f t="shared" si="95"/>
        <v>27/09/2021</v>
      </c>
      <c r="Q334" s="68">
        <f t="shared" si="96"/>
        <v>3</v>
      </c>
      <c r="R334" s="68">
        <f t="shared" si="97"/>
        <v>8</v>
      </c>
      <c r="S334" s="68">
        <f t="shared" si="98"/>
        <v>24</v>
      </c>
      <c r="T334" s="65"/>
      <c r="U334" s="89"/>
      <c r="V334" s="85" t="str">
        <f t="shared" si="87"/>
        <v/>
      </c>
      <c r="W334" s="92">
        <f>IF(V334="",0,DATEDIF(V334,P334,"Y"))</f>
        <v>0</v>
      </c>
      <c r="X334" s="92">
        <f>IF(V334="",0,DATEDIF(V334,P334,"YM"))</f>
        <v>0</v>
      </c>
      <c r="Y334" s="92">
        <f>IF(V334="",0,DATEDIF(V334,P334,"MD"))</f>
        <v>0</v>
      </c>
      <c r="Z334" s="94"/>
      <c r="AA334" s="89"/>
      <c r="AB334" s="84" t="str">
        <f t="shared" si="88"/>
        <v/>
      </c>
      <c r="AC334" s="92">
        <f t="shared" si="89"/>
        <v>0</v>
      </c>
      <c r="AD334" s="92">
        <f t="shared" si="90"/>
        <v>0</v>
      </c>
      <c r="AE334" s="92">
        <f t="shared" si="91"/>
        <v>0</v>
      </c>
      <c r="AF334" s="90"/>
      <c r="AG334" s="90" t="s">
        <v>138</v>
      </c>
      <c r="AH334" s="91" t="str">
        <f>IF(AG334="นิติศาสตร์","K5-LAW","K5-POLICY")</f>
        <v>K5-LAW</v>
      </c>
      <c r="AI334" s="72" t="str">
        <f>_xlfn.IFS(B334="","",AND(AH334="K5-LAW",AG334="นิติศาสตร์",K334="S2",T334="",Z334=""),P334,AND(AH334="K5-LAW",AG334="นิติศาสตร์",K334="S1",T334="",Z334=""),EDATE(P334,12),AND(AH334="K5-LAW",AG334="นิติศาสตร์",OR(K334="M2",K334="K4"),T334="",Z334=""),EDATE(P334,12*2),AND(AH334="K5-LAW",AG334="นิติศาสตร์",OR(Z334="M2",Z334="K4"),AC334&gt;=2,OR(AB334&lt;V334,AB334&lt;P334)),EDATE(AB334,12*2),AND(AH334="K5-LAW",AG334="นิติศาสตร์",Z334="S1",AC334&gt;=1,OR(AB334&lt;V334,AB334&lt;P334)),EDATE(AB334,12),AND(AH334="K5-LAW",AG334="นิติศาสตร์",OR(T334="M2",T334="K4"),W334&gt;=2,V334&lt;P334),EDATE(V334,12*2),AND(AH334="K5-LAW",AG334="นิติศาสตร์",T334="S1",W334&gt;=1,V334&lt;P334),EDATE(V334,12),AND(AH334="K5-LAW",AG334="นิติศาสตร์",OR(T334="S2",T334="K5")),V334,AND(AH334="K5-LAW",AG334="นิติศาสตร์",OR(K334="M2",K334="K4"),Q334&gt;=2),EDATE(P334,12*2),AND(AH334="K5-LAW",AG334="นิติศาสตร์",K334="S1",Q334&gt;=1),EDATE(P334,12),AND(AH334="K5-LAW",AG334="นิติศาสตร์",OR(K334="S2",K334="K5")),P334,AND(AH334="K5-POLICY",AG334&lt;&gt;"นิติศาสตร์",K334="S2",T334="",Z334=""),P334,AND(AH334="K5-POLICY",AG334&lt;&gt;"นิติศาสตร์",K334="S1",T334="",Z334=""),EDATE(P334,12),AND(AH334="K5-POLICY",AG334&lt;&gt;"นิติศาสตร์",OR(K334="M2",K334="K4"),T334="",Z334=""),EDATE(P334,12*2),AND(AH334="K5-POLICY",AG334&lt;&gt;"นิติศาสตร์",OR(Z334="M2",Z334="K4"),AC334&gt;=2,OR(AB334&lt;V334,AB334&lt;P334)),EDATE(AB334,12*2),AND(AH334="K5-POLICY",AG334&lt;&gt;"นิติศาสตร์",Z334="S1",AC334&gt;=1,OR(AB334&lt;V334,AB334&lt;P334)),EDATE(AB334,12),AND(AH334="K5-POLICY",AG334&lt;&gt;"นิติศาสตร์",OR(T334="M2",T334="K4"),W334&gt;=2,V334&lt;P334),EDATE(V334,12*2),AND(AH334="K5-POLICY",AG334&lt;&gt;"นิติศาสตร์",T334="S1",W334&gt;=1,V334&lt;P334),EDATE(V334,12),AND(AH334="K5-POLICY",AG334&lt;&gt;"นิติศาสตร์",OR(T334="S2",T334="K5")),V334,AND(AH334="K5-POLICY",AG334&lt;&gt;"นิติศาสตร์",OR(K334="M2",K334="K4"),Q334&gt;=2),EDATE(P334,12*2),AND(AH334="K5-POLICY",AG334&lt;&gt;"นิติศาสตร์",K334="S1",Q334&gt;=1),EDATE(P334,12),AND(AH334="K5-POLICY",AG334&lt;&gt;"นิติศาสตร์",OR(K334="S2",K334="K5")),P334,TRUE,"Check Data")</f>
        <v/>
      </c>
      <c r="AJ334" s="75" t="str">
        <f t="shared" si="99"/>
        <v>Check Data</v>
      </c>
      <c r="AK334" s="76" t="str">
        <f t="shared" si="100"/>
        <v>Check Data</v>
      </c>
      <c r="AL334" s="51" t="str">
        <f t="shared" si="101"/>
        <v>Check Data</v>
      </c>
      <c r="AM334" s="49" t="str">
        <f>IF(B334="","",IF(K334="S1","S1",INDEX(#REF!,#REF!)))</f>
        <v/>
      </c>
      <c r="AN334" s="49" t="str">
        <f>K334</f>
        <v>K4</v>
      </c>
      <c r="AO334" s="50" t="b">
        <f>K334=AM334</f>
        <v>0</v>
      </c>
    </row>
    <row r="335" spans="1:41" ht="21.75">
      <c r="A335" s="49">
        <v>333</v>
      </c>
      <c r="B335" s="50"/>
      <c r="C335" s="50"/>
      <c r="D335" s="84" t="s">
        <v>144</v>
      </c>
      <c r="E335" s="85" t="s">
        <v>362</v>
      </c>
      <c r="F335" s="85" t="str">
        <f t="shared" si="86"/>
        <v>30/01/1987</v>
      </c>
      <c r="G335" s="50">
        <f t="shared" si="92"/>
        <v>38</v>
      </c>
      <c r="H335" s="50">
        <f t="shared" si="93"/>
        <v>4</v>
      </c>
      <c r="I335" s="50">
        <f t="shared" si="94"/>
        <v>21</v>
      </c>
      <c r="J335" s="84"/>
      <c r="K335" s="49" t="s">
        <v>137</v>
      </c>
      <c r="L335" s="87"/>
      <c r="M335" s="85"/>
      <c r="N335" s="85"/>
      <c r="O335" s="65" t="s">
        <v>466</v>
      </c>
      <c r="P335" s="49" t="str">
        <f t="shared" si="95"/>
        <v>05/11/2021</v>
      </c>
      <c r="Q335" s="68">
        <f t="shared" si="96"/>
        <v>3</v>
      </c>
      <c r="R335" s="68">
        <f t="shared" si="97"/>
        <v>7</v>
      </c>
      <c r="S335" s="68">
        <f t="shared" si="98"/>
        <v>15</v>
      </c>
      <c r="T335" s="65"/>
      <c r="U335" s="89"/>
      <c r="V335" s="85" t="str">
        <f t="shared" si="87"/>
        <v/>
      </c>
      <c r="W335" s="88">
        <f>IF(V335="",0,DATEDIF(V335,P335,"Y"))</f>
        <v>0</v>
      </c>
      <c r="X335" s="88">
        <f>IF(V335="",0,DATEDIF(V335,P335,"YM"))</f>
        <v>0</v>
      </c>
      <c r="Y335" s="88">
        <f>IF(V335="",0,DATEDIF(V335,P335,"MD"))</f>
        <v>0</v>
      </c>
      <c r="Z335" s="85"/>
      <c r="AA335" s="89"/>
      <c r="AB335" s="84" t="str">
        <f t="shared" si="88"/>
        <v/>
      </c>
      <c r="AC335" s="88">
        <f t="shared" si="89"/>
        <v>0</v>
      </c>
      <c r="AD335" s="88">
        <f t="shared" si="90"/>
        <v>0</v>
      </c>
      <c r="AE335" s="88">
        <f t="shared" si="91"/>
        <v>0</v>
      </c>
      <c r="AF335" s="84"/>
      <c r="AG335" s="84" t="s">
        <v>138</v>
      </c>
      <c r="AH335" s="49" t="str">
        <f>IF(AG335="นิติศาสตร์","K5-LAW","K5-POLICY")</f>
        <v>K5-LAW</v>
      </c>
      <c r="AI335" s="72" t="str">
        <f>_xlfn.IFS(B335="","",AND(AH335="K5-LAW",AG335="นิติศาสตร์",K335="S2",T335="",Z335=""),P335,AND(AH335="K5-LAW",AG335="นิติศาสตร์",K335="S1",T335="",Z335=""),EDATE(P335,12),AND(AH335="K5-LAW",AG335="นิติศาสตร์",OR(K335="M2",K335="K4"),T335="",Z335=""),EDATE(P335,12*2),AND(AH335="K5-LAW",AG335="นิติศาสตร์",OR(Z335="M2",Z335="K4"),AC335&gt;=2,OR(AB335&lt;V335,AB335&lt;P335)),EDATE(AB335,12*2),AND(AH335="K5-LAW",AG335="นิติศาสตร์",Z335="S1",AC335&gt;=1,OR(AB335&lt;V335,AB335&lt;P335)),EDATE(AB335,12),AND(AH335="K5-LAW",AG335="นิติศาสตร์",OR(T335="M2",T335="K4"),W335&gt;=2,V335&lt;P335),EDATE(V335,12*2),AND(AH335="K5-LAW",AG335="นิติศาสตร์",T335="S1",W335&gt;=1,V335&lt;P335),EDATE(V335,12),AND(AH335="K5-LAW",AG335="นิติศาสตร์",OR(T335="S2",T335="K5")),V335,AND(AH335="K5-LAW",AG335="นิติศาสตร์",OR(K335="M2",K335="K4"),Q335&gt;=2),EDATE(P335,12*2),AND(AH335="K5-LAW",AG335="นิติศาสตร์",K335="S1",Q335&gt;=1),EDATE(P335,12),AND(AH335="K5-LAW",AG335="นิติศาสตร์",OR(K335="S2",K335="K5")),P335,AND(AH335="K5-POLICY",AG335&lt;&gt;"นิติศาสตร์",K335="S2",T335="",Z335=""),P335,AND(AH335="K5-POLICY",AG335&lt;&gt;"นิติศาสตร์",K335="S1",T335="",Z335=""),EDATE(P335,12),AND(AH335="K5-POLICY",AG335&lt;&gt;"นิติศาสตร์",OR(K335="M2",K335="K4"),T335="",Z335=""),EDATE(P335,12*2),AND(AH335="K5-POLICY",AG335&lt;&gt;"นิติศาสตร์",OR(Z335="M2",Z335="K4"),AC335&gt;=2,OR(AB335&lt;V335,AB335&lt;P335)),EDATE(AB335,12*2),AND(AH335="K5-POLICY",AG335&lt;&gt;"นิติศาสตร์",Z335="S1",AC335&gt;=1,OR(AB335&lt;V335,AB335&lt;P335)),EDATE(AB335,12),AND(AH335="K5-POLICY",AG335&lt;&gt;"นิติศาสตร์",OR(T335="M2",T335="K4"),W335&gt;=2,V335&lt;P335),EDATE(V335,12*2),AND(AH335="K5-POLICY",AG335&lt;&gt;"นิติศาสตร์",T335="S1",W335&gt;=1,V335&lt;P335),EDATE(V335,12),AND(AH335="K5-POLICY",AG335&lt;&gt;"นิติศาสตร์",OR(T335="S2",T335="K5")),V335,AND(AH335="K5-POLICY",AG335&lt;&gt;"นิติศาสตร์",OR(K335="M2",K335="K4"),Q335&gt;=2),EDATE(P335,12*2),AND(AH335="K5-POLICY",AG335&lt;&gt;"นิติศาสตร์",K335="S1",Q335&gt;=1),EDATE(P335,12),AND(AH335="K5-POLICY",AG335&lt;&gt;"นิติศาสตร์",OR(K335="S2",K335="K5")),P335,TRUE,"Check Data")</f>
        <v/>
      </c>
      <c r="AJ335" s="75" t="str">
        <f t="shared" si="99"/>
        <v>Check Data</v>
      </c>
      <c r="AK335" s="76" t="str">
        <f t="shared" si="100"/>
        <v>Check Data</v>
      </c>
      <c r="AL335" s="50" t="str">
        <f t="shared" si="101"/>
        <v>Check Data</v>
      </c>
      <c r="AM335" s="49" t="str">
        <f>IF(B335="","",IF(K335="S1","S1",INDEX(#REF!,#REF!)))</f>
        <v/>
      </c>
      <c r="AN335" s="49" t="str">
        <f>K335</f>
        <v>K4</v>
      </c>
      <c r="AO335" s="50" t="b">
        <f>K335=AM335</f>
        <v>0</v>
      </c>
    </row>
    <row r="336" spans="1:41" ht="21.75">
      <c r="A336" s="49">
        <v>334</v>
      </c>
      <c r="B336" s="50"/>
      <c r="C336" s="50"/>
      <c r="D336" s="84" t="s">
        <v>142</v>
      </c>
      <c r="E336" s="85" t="s">
        <v>375</v>
      </c>
      <c r="F336" s="85" t="str">
        <f t="shared" si="86"/>
        <v>06/05/1986</v>
      </c>
      <c r="G336" s="50">
        <f t="shared" si="92"/>
        <v>39</v>
      </c>
      <c r="H336" s="50">
        <f t="shared" si="93"/>
        <v>1</v>
      </c>
      <c r="I336" s="50">
        <f t="shared" si="94"/>
        <v>14</v>
      </c>
      <c r="J336" s="84"/>
      <c r="K336" s="49" t="s">
        <v>137</v>
      </c>
      <c r="L336" s="87"/>
      <c r="M336" s="85"/>
      <c r="N336" s="85"/>
      <c r="O336" s="65" t="s">
        <v>405</v>
      </c>
      <c r="P336" s="49" t="str">
        <f t="shared" si="95"/>
        <v>18/01/2022</v>
      </c>
      <c r="Q336" s="68">
        <f t="shared" si="96"/>
        <v>3</v>
      </c>
      <c r="R336" s="68">
        <f t="shared" si="97"/>
        <v>5</v>
      </c>
      <c r="S336" s="68">
        <f t="shared" si="98"/>
        <v>2</v>
      </c>
      <c r="T336" s="65"/>
      <c r="U336" s="89"/>
      <c r="V336" s="85" t="str">
        <f t="shared" si="87"/>
        <v/>
      </c>
      <c r="W336" s="88">
        <f>IF(V336="",0,DATEDIF(V336,P336,"Y"))</f>
        <v>0</v>
      </c>
      <c r="X336" s="88">
        <f>IF(V336="",0,DATEDIF(V336,P336,"YM"))</f>
        <v>0</v>
      </c>
      <c r="Y336" s="88">
        <f>IF(V336="",0,DATEDIF(V336,P336,"MD"))</f>
        <v>0</v>
      </c>
      <c r="Z336" s="85"/>
      <c r="AA336" s="89"/>
      <c r="AB336" s="84" t="str">
        <f t="shared" si="88"/>
        <v/>
      </c>
      <c r="AC336" s="88">
        <f t="shared" si="89"/>
        <v>0</v>
      </c>
      <c r="AD336" s="88">
        <f t="shared" si="90"/>
        <v>0</v>
      </c>
      <c r="AE336" s="88">
        <f t="shared" si="91"/>
        <v>0</v>
      </c>
      <c r="AF336" s="84"/>
      <c r="AG336" s="84" t="s">
        <v>530</v>
      </c>
      <c r="AH336" s="49" t="str">
        <f>IF(AG336="นิติศาสตร์","K5-LAW","K5-POLICY")</f>
        <v>K5-POLICY</v>
      </c>
      <c r="AI336" s="72" t="str">
        <f>_xlfn.IFS(B336="","",AND(AH336="K5-LAW",AG336="นิติศาสตร์",K336="S2",T336="",Z336=""),P336,AND(AH336="K5-LAW",AG336="นิติศาสตร์",K336="S1",T336="",Z336=""),EDATE(P336,12),AND(AH336="K5-LAW",AG336="นิติศาสตร์",OR(K336="M2",K336="K4"),T336="",Z336=""),EDATE(P336,12*2),AND(AH336="K5-LAW",AG336="นิติศาสตร์",OR(Z336="M2",Z336="K4"),AC336&gt;=2,OR(AB336&lt;V336,AB336&lt;P336)),EDATE(AB336,12*2),AND(AH336="K5-LAW",AG336="นิติศาสตร์",Z336="S1",AC336&gt;=1,OR(AB336&lt;V336,AB336&lt;P336)),EDATE(AB336,12),AND(AH336="K5-LAW",AG336="นิติศาสตร์",OR(T336="M2",T336="K4"),W336&gt;=2,V336&lt;P336),EDATE(V336,12*2),AND(AH336="K5-LAW",AG336="นิติศาสตร์",T336="S1",W336&gt;=1,V336&lt;P336),EDATE(V336,12),AND(AH336="K5-LAW",AG336="นิติศาสตร์",OR(T336="S2",T336="K5")),V336,AND(AH336="K5-LAW",AG336="นิติศาสตร์",OR(K336="M2",K336="K4"),Q336&gt;=2),EDATE(P336,12*2),AND(AH336="K5-LAW",AG336="นิติศาสตร์",K336="S1",Q336&gt;=1),EDATE(P336,12),AND(AH336="K5-LAW",AG336="นิติศาสตร์",OR(K336="S2",K336="K5")),P336,AND(AH336="K5-POLICY",AG336&lt;&gt;"นิติศาสตร์",K336="S2",T336="",Z336=""),P336,AND(AH336="K5-POLICY",AG336&lt;&gt;"นิติศาสตร์",K336="S1",T336="",Z336=""),EDATE(P336,12),AND(AH336="K5-POLICY",AG336&lt;&gt;"นิติศาสตร์",OR(K336="M2",K336="K4"),T336="",Z336=""),EDATE(P336,12*2),AND(AH336="K5-POLICY",AG336&lt;&gt;"นิติศาสตร์",OR(Z336="M2",Z336="K4"),AC336&gt;=2,OR(AB336&lt;V336,AB336&lt;P336)),EDATE(AB336,12*2),AND(AH336="K5-POLICY",AG336&lt;&gt;"นิติศาสตร์",Z336="S1",AC336&gt;=1,OR(AB336&lt;V336,AB336&lt;P336)),EDATE(AB336,12),AND(AH336="K5-POLICY",AG336&lt;&gt;"นิติศาสตร์",OR(T336="M2",T336="K4"),W336&gt;=2,V336&lt;P336),EDATE(V336,12*2),AND(AH336="K5-POLICY",AG336&lt;&gt;"นิติศาสตร์",T336="S1",W336&gt;=1,V336&lt;P336),EDATE(V336,12),AND(AH336="K5-POLICY",AG336&lt;&gt;"นิติศาสตร์",OR(T336="S2",T336="K5")),V336,AND(AH336="K5-POLICY",AG336&lt;&gt;"นิติศาสตร์",OR(K336="M2",K336="K4"),Q336&gt;=2),EDATE(P336,12*2),AND(AH336="K5-POLICY",AG336&lt;&gt;"นิติศาสตร์",K336="S1",Q336&gt;=1),EDATE(P336,12),AND(AH336="K5-POLICY",AG336&lt;&gt;"นิติศาสตร์",OR(K336="S2",K336="K5")),P336,TRUE,"Check Data")</f>
        <v/>
      </c>
      <c r="AJ336" s="75" t="str">
        <f t="shared" si="99"/>
        <v>Check Data</v>
      </c>
      <c r="AK336" s="76" t="str">
        <f t="shared" si="100"/>
        <v>Check Data</v>
      </c>
      <c r="AL336" s="50" t="str">
        <f t="shared" si="101"/>
        <v>Check Data</v>
      </c>
      <c r="AM336" s="49" t="str">
        <f>IF(B336="","",IF(K336="S1","S1",INDEX(#REF!,#REF!)))</f>
        <v/>
      </c>
      <c r="AN336" s="49" t="str">
        <f>K336</f>
        <v>K4</v>
      </c>
      <c r="AO336" s="50" t="b">
        <f>K336=AM336</f>
        <v>0</v>
      </c>
    </row>
    <row r="337" spans="1:41" ht="21.75">
      <c r="A337" s="49">
        <v>335</v>
      </c>
      <c r="B337" s="50"/>
      <c r="C337" s="50"/>
      <c r="D337" s="84" t="s">
        <v>142</v>
      </c>
      <c r="E337" s="85" t="s">
        <v>210</v>
      </c>
      <c r="F337" s="85" t="str">
        <f t="shared" si="86"/>
        <v>27/01/1986</v>
      </c>
      <c r="G337" s="50">
        <f t="shared" si="92"/>
        <v>39</v>
      </c>
      <c r="H337" s="50">
        <f t="shared" si="93"/>
        <v>4</v>
      </c>
      <c r="I337" s="50">
        <f t="shared" si="94"/>
        <v>24</v>
      </c>
      <c r="J337" s="84"/>
      <c r="K337" s="49" t="s">
        <v>137</v>
      </c>
      <c r="L337" s="87"/>
      <c r="M337" s="85"/>
      <c r="N337" s="85"/>
      <c r="O337" s="65" t="s">
        <v>405</v>
      </c>
      <c r="P337" s="49" t="str">
        <f t="shared" si="95"/>
        <v>18/01/2022</v>
      </c>
      <c r="Q337" s="68">
        <f t="shared" si="96"/>
        <v>3</v>
      </c>
      <c r="R337" s="68">
        <f t="shared" si="97"/>
        <v>5</v>
      </c>
      <c r="S337" s="68">
        <f t="shared" si="98"/>
        <v>2</v>
      </c>
      <c r="T337" s="65"/>
      <c r="U337" s="89"/>
      <c r="V337" s="85" t="str">
        <f t="shared" si="87"/>
        <v/>
      </c>
      <c r="W337" s="88">
        <f>IF(V337="",0,DATEDIF(V337,P337,"Y"))</f>
        <v>0</v>
      </c>
      <c r="X337" s="88">
        <f>IF(V337="",0,DATEDIF(V337,P337,"YM"))</f>
        <v>0</v>
      </c>
      <c r="Y337" s="88">
        <f>IF(V337="",0,DATEDIF(V337,P337,"MD"))</f>
        <v>0</v>
      </c>
      <c r="Z337" s="85"/>
      <c r="AA337" s="89"/>
      <c r="AB337" s="84" t="str">
        <f t="shared" si="88"/>
        <v/>
      </c>
      <c r="AC337" s="88">
        <f t="shared" si="89"/>
        <v>0</v>
      </c>
      <c r="AD337" s="88">
        <f t="shared" si="90"/>
        <v>0</v>
      </c>
      <c r="AE337" s="88">
        <f t="shared" si="91"/>
        <v>0</v>
      </c>
      <c r="AF337" s="84"/>
      <c r="AG337" s="84" t="s">
        <v>138</v>
      </c>
      <c r="AH337" s="49" t="str">
        <f>IF(AG337="นิติศาสตร์","K5-LAW","K5-POLICY")</f>
        <v>K5-LAW</v>
      </c>
      <c r="AI337" s="72" t="str">
        <f>_xlfn.IFS(B337="","",AND(AH337="K5-LAW",AG337="นิติศาสตร์",K337="S2",T337="",Z337=""),P337,AND(AH337="K5-LAW",AG337="นิติศาสตร์",K337="S1",T337="",Z337=""),EDATE(P337,12),AND(AH337="K5-LAW",AG337="นิติศาสตร์",OR(K337="M2",K337="K4"),T337="",Z337=""),EDATE(P337,12*2),AND(AH337="K5-LAW",AG337="นิติศาสตร์",OR(Z337="M2",Z337="K4"),AC337&gt;=2,OR(AB337&lt;V337,AB337&lt;P337)),EDATE(AB337,12*2),AND(AH337="K5-LAW",AG337="นิติศาสตร์",Z337="S1",AC337&gt;=1,OR(AB337&lt;V337,AB337&lt;P337)),EDATE(AB337,12),AND(AH337="K5-LAW",AG337="นิติศาสตร์",OR(T337="M2",T337="K4"),W337&gt;=2,V337&lt;P337),EDATE(V337,12*2),AND(AH337="K5-LAW",AG337="นิติศาสตร์",T337="S1",W337&gt;=1,V337&lt;P337),EDATE(V337,12),AND(AH337="K5-LAW",AG337="นิติศาสตร์",OR(T337="S2",T337="K5")),V337,AND(AH337="K5-LAW",AG337="นิติศาสตร์",OR(K337="M2",K337="K4"),Q337&gt;=2),EDATE(P337,12*2),AND(AH337="K5-LAW",AG337="นิติศาสตร์",K337="S1",Q337&gt;=1),EDATE(P337,12),AND(AH337="K5-LAW",AG337="นิติศาสตร์",OR(K337="S2",K337="K5")),P337,AND(AH337="K5-POLICY",AG337&lt;&gt;"นิติศาสตร์",K337="S2",T337="",Z337=""),P337,AND(AH337="K5-POLICY",AG337&lt;&gt;"นิติศาสตร์",K337="S1",T337="",Z337=""),EDATE(P337,12),AND(AH337="K5-POLICY",AG337&lt;&gt;"นิติศาสตร์",OR(K337="M2",K337="K4"),T337="",Z337=""),EDATE(P337,12*2),AND(AH337="K5-POLICY",AG337&lt;&gt;"นิติศาสตร์",OR(Z337="M2",Z337="K4"),AC337&gt;=2,OR(AB337&lt;V337,AB337&lt;P337)),EDATE(AB337,12*2),AND(AH337="K5-POLICY",AG337&lt;&gt;"นิติศาสตร์",Z337="S1",AC337&gt;=1,OR(AB337&lt;V337,AB337&lt;P337)),EDATE(AB337,12),AND(AH337="K5-POLICY",AG337&lt;&gt;"นิติศาสตร์",OR(T337="M2",T337="K4"),W337&gt;=2,V337&lt;P337),EDATE(V337,12*2),AND(AH337="K5-POLICY",AG337&lt;&gt;"นิติศาสตร์",T337="S1",W337&gt;=1,V337&lt;P337),EDATE(V337,12),AND(AH337="K5-POLICY",AG337&lt;&gt;"นิติศาสตร์",OR(T337="S2",T337="K5")),V337,AND(AH337="K5-POLICY",AG337&lt;&gt;"นิติศาสตร์",OR(K337="M2",K337="K4"),Q337&gt;=2),EDATE(P337,12*2),AND(AH337="K5-POLICY",AG337&lt;&gt;"นิติศาสตร์",K337="S1",Q337&gt;=1),EDATE(P337,12),AND(AH337="K5-POLICY",AG337&lt;&gt;"นิติศาสตร์",OR(K337="S2",K337="K5")),P337,TRUE,"Check Data")</f>
        <v/>
      </c>
      <c r="AJ337" s="75" t="str">
        <f t="shared" si="99"/>
        <v>Check Data</v>
      </c>
      <c r="AK337" s="76" t="str">
        <f t="shared" si="100"/>
        <v>Check Data</v>
      </c>
      <c r="AL337" s="50" t="str">
        <f t="shared" si="101"/>
        <v>Check Data</v>
      </c>
      <c r="AM337" s="49" t="str">
        <f>IF(B337="","",IF(K337="S1","S1",INDEX(#REF!,#REF!)))</f>
        <v/>
      </c>
      <c r="AN337" s="49" t="str">
        <f>K337</f>
        <v>K4</v>
      </c>
      <c r="AO337" s="50" t="b">
        <f>K337=AM337</f>
        <v>0</v>
      </c>
    </row>
    <row r="338" spans="1:41" ht="21.75">
      <c r="A338" s="49">
        <v>336</v>
      </c>
      <c r="B338" s="50"/>
      <c r="C338" s="50"/>
      <c r="D338" s="84" t="s">
        <v>143</v>
      </c>
      <c r="E338" s="85" t="s">
        <v>208</v>
      </c>
      <c r="F338" s="85" t="str">
        <f t="shared" si="86"/>
        <v>01/02/1990</v>
      </c>
      <c r="G338" s="50">
        <f t="shared" si="92"/>
        <v>35</v>
      </c>
      <c r="H338" s="50">
        <f t="shared" si="93"/>
        <v>4</v>
      </c>
      <c r="I338" s="50">
        <f t="shared" si="94"/>
        <v>19</v>
      </c>
      <c r="J338" s="84"/>
      <c r="K338" s="49" t="s">
        <v>137</v>
      </c>
      <c r="L338" s="87"/>
      <c r="M338" s="85"/>
      <c r="N338" s="85"/>
      <c r="O338" s="65" t="s">
        <v>406</v>
      </c>
      <c r="P338" s="49" t="str">
        <f t="shared" si="95"/>
        <v>19/05/2022</v>
      </c>
      <c r="Q338" s="68">
        <f t="shared" si="96"/>
        <v>3</v>
      </c>
      <c r="R338" s="68">
        <f t="shared" si="97"/>
        <v>1</v>
      </c>
      <c r="S338" s="68">
        <f t="shared" si="98"/>
        <v>1</v>
      </c>
      <c r="T338" s="65"/>
      <c r="U338" s="89"/>
      <c r="V338" s="85" t="str">
        <f t="shared" si="87"/>
        <v/>
      </c>
      <c r="W338" s="88">
        <f>IF(V338="",0,DATEDIF(V338,P338,"Y"))</f>
        <v>0</v>
      </c>
      <c r="X338" s="88">
        <f>IF(V338="",0,DATEDIF(V338,P338,"YM"))</f>
        <v>0</v>
      </c>
      <c r="Y338" s="88">
        <f>IF(V338="",0,DATEDIF(V338,P338,"MD"))</f>
        <v>0</v>
      </c>
      <c r="Z338" s="85"/>
      <c r="AA338" s="89"/>
      <c r="AB338" s="84" t="str">
        <f t="shared" si="88"/>
        <v/>
      </c>
      <c r="AC338" s="88">
        <f t="shared" si="89"/>
        <v>0</v>
      </c>
      <c r="AD338" s="88">
        <f t="shared" si="90"/>
        <v>0</v>
      </c>
      <c r="AE338" s="88">
        <f t="shared" si="91"/>
        <v>0</v>
      </c>
      <c r="AF338" s="84"/>
      <c r="AG338" s="84" t="s">
        <v>138</v>
      </c>
      <c r="AH338" s="49" t="str">
        <f>IF(AG338="นิติศาสตร์","K5-LAW","K5-POLICY")</f>
        <v>K5-LAW</v>
      </c>
      <c r="AI338" s="72" t="str">
        <f>_xlfn.IFS(B338="","",AND(AH338="K5-LAW",AG338="นิติศาสตร์",K338="S2",T338="",Z338=""),P338,AND(AH338="K5-LAW",AG338="นิติศาสตร์",K338="S1",T338="",Z338=""),EDATE(P338,12),AND(AH338="K5-LAW",AG338="นิติศาสตร์",OR(K338="M2",K338="K4"),T338="",Z338=""),EDATE(P338,12*2),AND(AH338="K5-LAW",AG338="นิติศาสตร์",OR(Z338="M2",Z338="K4"),AC338&gt;=2,OR(AB338&lt;V338,AB338&lt;P338)),EDATE(AB338,12*2),AND(AH338="K5-LAW",AG338="นิติศาสตร์",Z338="S1",AC338&gt;=1,OR(AB338&lt;V338,AB338&lt;P338)),EDATE(AB338,12),AND(AH338="K5-LAW",AG338="นิติศาสตร์",OR(T338="M2",T338="K4"),W338&gt;=2,V338&lt;P338),EDATE(V338,12*2),AND(AH338="K5-LAW",AG338="นิติศาสตร์",T338="S1",W338&gt;=1,V338&lt;P338),EDATE(V338,12),AND(AH338="K5-LAW",AG338="นิติศาสตร์",OR(T338="S2",T338="K5")),V338,AND(AH338="K5-LAW",AG338="นิติศาสตร์",OR(K338="M2",K338="K4"),Q338&gt;=2),EDATE(P338,12*2),AND(AH338="K5-LAW",AG338="นิติศาสตร์",K338="S1",Q338&gt;=1),EDATE(P338,12),AND(AH338="K5-LAW",AG338="นิติศาสตร์",OR(K338="S2",K338="K5")),P338,AND(AH338="K5-POLICY",AG338&lt;&gt;"นิติศาสตร์",K338="S2",T338="",Z338=""),P338,AND(AH338="K5-POLICY",AG338&lt;&gt;"นิติศาสตร์",K338="S1",T338="",Z338=""),EDATE(P338,12),AND(AH338="K5-POLICY",AG338&lt;&gt;"นิติศาสตร์",OR(K338="M2",K338="K4"),T338="",Z338=""),EDATE(P338,12*2),AND(AH338="K5-POLICY",AG338&lt;&gt;"นิติศาสตร์",OR(Z338="M2",Z338="K4"),AC338&gt;=2,OR(AB338&lt;V338,AB338&lt;P338)),EDATE(AB338,12*2),AND(AH338="K5-POLICY",AG338&lt;&gt;"นิติศาสตร์",Z338="S1",AC338&gt;=1,OR(AB338&lt;V338,AB338&lt;P338)),EDATE(AB338,12),AND(AH338="K5-POLICY",AG338&lt;&gt;"นิติศาสตร์",OR(T338="M2",T338="K4"),W338&gt;=2,V338&lt;P338),EDATE(V338,12*2),AND(AH338="K5-POLICY",AG338&lt;&gt;"นิติศาสตร์",T338="S1",W338&gt;=1,V338&lt;P338),EDATE(V338,12),AND(AH338="K5-POLICY",AG338&lt;&gt;"นิติศาสตร์",OR(T338="S2",T338="K5")),V338,AND(AH338="K5-POLICY",AG338&lt;&gt;"นิติศาสตร์",OR(K338="M2",K338="K4"),Q338&gt;=2),EDATE(P338,12*2),AND(AH338="K5-POLICY",AG338&lt;&gt;"นิติศาสตร์",K338="S1",Q338&gt;=1),EDATE(P338,12),AND(AH338="K5-POLICY",AG338&lt;&gt;"นิติศาสตร์",OR(K338="S2",K338="K5")),P338,TRUE,"Check Data")</f>
        <v/>
      </c>
      <c r="AJ338" s="75" t="str">
        <f t="shared" si="99"/>
        <v>Check Data</v>
      </c>
      <c r="AK338" s="76" t="str">
        <f t="shared" si="100"/>
        <v>Check Data</v>
      </c>
      <c r="AL338" s="50" t="str">
        <f t="shared" si="101"/>
        <v>Check Data</v>
      </c>
      <c r="AM338" s="49" t="str">
        <f>IF(B338="","",IF(K338="S1","S1",INDEX(#REF!,#REF!)))</f>
        <v/>
      </c>
      <c r="AN338" s="49" t="str">
        <f>K338</f>
        <v>K4</v>
      </c>
      <c r="AO338" s="50" t="b">
        <f>K338=AM338</f>
        <v>0</v>
      </c>
    </row>
    <row r="339" spans="1:41" ht="21.75">
      <c r="A339" s="49">
        <v>337</v>
      </c>
      <c r="B339" s="50"/>
      <c r="C339" s="52"/>
      <c r="G339" s="50">
        <f t="shared" si="92"/>
        <v>0</v>
      </c>
      <c r="H339" s="50">
        <f t="shared" si="93"/>
        <v>0</v>
      </c>
      <c r="I339" s="50">
        <f t="shared" si="94"/>
        <v>0</v>
      </c>
      <c r="K339" s="49" t="s">
        <v>137</v>
      </c>
      <c r="O339" s="65" t="s">
        <v>419</v>
      </c>
      <c r="P339" s="49" t="str">
        <f t="shared" si="95"/>
        <v>09/03/2023</v>
      </c>
      <c r="Q339" s="68">
        <f t="shared" si="96"/>
        <v>2</v>
      </c>
      <c r="R339" s="68">
        <f t="shared" si="97"/>
        <v>3</v>
      </c>
      <c r="S339" s="68">
        <f t="shared" si="98"/>
        <v>11</v>
      </c>
      <c r="T339" s="65"/>
      <c r="AH339" s="49" t="str">
        <f>IF(AG339="นิติศาสตร์","K5-LAW","K5-POLICY")</f>
        <v>K5-POLICY</v>
      </c>
      <c r="AI339" s="72" t="str">
        <f>_xlfn.IFS(B339="","",AND(AH339="K5-LAW",AG339="นิติศาสตร์",K339="S2",T339="",Z339=""),P339,AND(AH339="K5-LAW",AG339="นิติศาสตร์",K339="S1",T339="",Z339=""),EDATE(P339,12),AND(AH339="K5-LAW",AG339="นิติศาสตร์",OR(K339="M2",K339="K4"),T339="",Z339=""),EDATE(P339,12*2),AND(AH339="K5-LAW",AG339="นิติศาสตร์",OR(Z339="M2",Z339="K4"),AC339&gt;=2,OR(AB339&lt;V339,AB339&lt;P339)),EDATE(AB339,12*2),AND(AH339="K5-LAW",AG339="นิติศาสตร์",Z339="S1",AC339&gt;=1,OR(AB339&lt;V339,AB339&lt;P339)),EDATE(AB339,12),AND(AH339="K5-LAW",AG339="นิติศาสตร์",OR(T339="M2",T339="K4"),W339&gt;=2,V339&lt;P339),EDATE(V339,12*2),AND(AH339="K5-LAW",AG339="นิติศาสตร์",T339="S1",W339&gt;=1,V339&lt;P339),EDATE(V339,12),AND(AH339="K5-LAW",AG339="นิติศาสตร์",OR(T339="S2",T339="K5")),V339,AND(AH339="K5-LAW",AG339="นิติศาสตร์",OR(K339="M2",K339="K4"),Q339&gt;=2),EDATE(P339,12*2),AND(AH339="K5-LAW",AG339="นิติศาสตร์",K339="S1",Q339&gt;=1),EDATE(P339,12),AND(AH339="K5-LAW",AG339="นิติศาสตร์",OR(K339="S2",K339="K5")),P339,AND(AH339="K5-POLICY",AG339&lt;&gt;"นิติศาสตร์",K339="S2",T339="",Z339=""),P339,AND(AH339="K5-POLICY",AG339&lt;&gt;"นิติศาสตร์",K339="S1",T339="",Z339=""),EDATE(P339,12),AND(AH339="K5-POLICY",AG339&lt;&gt;"นิติศาสตร์",OR(K339="M2",K339="K4"),T339="",Z339=""),EDATE(P339,12*2),AND(AH339="K5-POLICY",AG339&lt;&gt;"นิติศาสตร์",OR(Z339="M2",Z339="K4"),AC339&gt;=2,OR(AB339&lt;V339,AB339&lt;P339)),EDATE(AB339,12*2),AND(AH339="K5-POLICY",AG339&lt;&gt;"นิติศาสตร์",Z339="S1",AC339&gt;=1,OR(AB339&lt;V339,AB339&lt;P339)),EDATE(AB339,12),AND(AH339="K5-POLICY",AG339&lt;&gt;"นิติศาสตร์",OR(T339="M2",T339="K4"),W339&gt;=2,V339&lt;P339),EDATE(V339,12*2),AND(AH339="K5-POLICY",AG339&lt;&gt;"นิติศาสตร์",T339="S1",W339&gt;=1,V339&lt;P339),EDATE(V339,12),AND(AH339="K5-POLICY",AG339&lt;&gt;"นิติศาสตร์",OR(T339="S2",T339="K5")),V339,AND(AH339="K5-POLICY",AG339&lt;&gt;"นิติศาสตร์",OR(K339="M2",K339="K4"),Q339&gt;=2),EDATE(P339,12*2),AND(AH339="K5-POLICY",AG339&lt;&gt;"นิติศาสตร์",K339="S1",Q339&gt;=1),EDATE(P339,12),AND(AH339="K5-POLICY",AG339&lt;&gt;"นิติศาสตร์",OR(K339="S2",K339="K5")),P339,TRUE,"Check Data")</f>
        <v/>
      </c>
      <c r="AJ339" s="75" t="str">
        <f t="shared" si="99"/>
        <v>Check Data</v>
      </c>
      <c r="AK339" s="76" t="str">
        <f t="shared" si="100"/>
        <v>Check Data</v>
      </c>
      <c r="AL339" s="50" t="str">
        <f t="shared" si="101"/>
        <v>Check Data</v>
      </c>
      <c r="AM339" s="49" t="str">
        <f>IF(B339="","",IF(K339="S1","S1",INDEX(#REF!,#REF!)))</f>
        <v/>
      </c>
      <c r="AN339" s="49" t="str">
        <f>K339</f>
        <v>K4</v>
      </c>
      <c r="AO339" s="50" t="b">
        <f>K339=AM339</f>
        <v>0</v>
      </c>
    </row>
    <row r="340" spans="1:41" ht="21.75">
      <c r="A340" s="49">
        <v>338</v>
      </c>
      <c r="B340" s="50"/>
      <c r="C340" s="52"/>
      <c r="G340" s="50">
        <f t="shared" si="92"/>
        <v>0</v>
      </c>
      <c r="H340" s="50">
        <f t="shared" si="93"/>
        <v>0</v>
      </c>
      <c r="I340" s="50">
        <f t="shared" si="94"/>
        <v>0</v>
      </c>
      <c r="K340" s="49" t="s">
        <v>137</v>
      </c>
      <c r="O340" s="65" t="s">
        <v>419</v>
      </c>
      <c r="P340" s="49" t="str">
        <f t="shared" si="95"/>
        <v>09/03/2023</v>
      </c>
      <c r="Q340" s="68">
        <f t="shared" si="96"/>
        <v>2</v>
      </c>
      <c r="R340" s="68">
        <f t="shared" si="97"/>
        <v>3</v>
      </c>
      <c r="S340" s="68">
        <f t="shared" si="98"/>
        <v>11</v>
      </c>
      <c r="T340" s="65"/>
      <c r="AH340" s="49" t="str">
        <f>IF(AG340="นิติศาสตร์","K5-LAW","K5-POLICY")</f>
        <v>K5-POLICY</v>
      </c>
      <c r="AI340" s="72" t="str">
        <f>_xlfn.IFS(B340="","",AND(AH340="K5-LAW",AG340="นิติศาสตร์",K340="S2",T340="",Z340=""),P340,AND(AH340="K5-LAW",AG340="นิติศาสตร์",K340="S1",T340="",Z340=""),EDATE(P340,12),AND(AH340="K5-LAW",AG340="นิติศาสตร์",OR(K340="M2",K340="K4"),T340="",Z340=""),EDATE(P340,12*2),AND(AH340="K5-LAW",AG340="นิติศาสตร์",OR(Z340="M2",Z340="K4"),AC340&gt;=2,OR(AB340&lt;V340,AB340&lt;P340)),EDATE(AB340,12*2),AND(AH340="K5-LAW",AG340="นิติศาสตร์",Z340="S1",AC340&gt;=1,OR(AB340&lt;V340,AB340&lt;P340)),EDATE(AB340,12),AND(AH340="K5-LAW",AG340="นิติศาสตร์",OR(T340="M2",T340="K4"),W340&gt;=2,V340&lt;P340),EDATE(V340,12*2),AND(AH340="K5-LAW",AG340="นิติศาสตร์",T340="S1",W340&gt;=1,V340&lt;P340),EDATE(V340,12),AND(AH340="K5-LAW",AG340="นิติศาสตร์",OR(T340="S2",T340="K5")),V340,AND(AH340="K5-LAW",AG340="นิติศาสตร์",OR(K340="M2",K340="K4"),Q340&gt;=2),EDATE(P340,12*2),AND(AH340="K5-LAW",AG340="นิติศาสตร์",K340="S1",Q340&gt;=1),EDATE(P340,12),AND(AH340="K5-LAW",AG340="นิติศาสตร์",OR(K340="S2",K340="K5")),P340,AND(AH340="K5-POLICY",AG340&lt;&gt;"นิติศาสตร์",K340="S2",T340="",Z340=""),P340,AND(AH340="K5-POLICY",AG340&lt;&gt;"นิติศาสตร์",K340="S1",T340="",Z340=""),EDATE(P340,12),AND(AH340="K5-POLICY",AG340&lt;&gt;"นิติศาสตร์",OR(K340="M2",K340="K4"),T340="",Z340=""),EDATE(P340,12*2),AND(AH340="K5-POLICY",AG340&lt;&gt;"นิติศาสตร์",OR(Z340="M2",Z340="K4"),AC340&gt;=2,OR(AB340&lt;V340,AB340&lt;P340)),EDATE(AB340,12*2),AND(AH340="K5-POLICY",AG340&lt;&gt;"นิติศาสตร์",Z340="S1",AC340&gt;=1,OR(AB340&lt;V340,AB340&lt;P340)),EDATE(AB340,12),AND(AH340="K5-POLICY",AG340&lt;&gt;"นิติศาสตร์",OR(T340="M2",T340="K4"),W340&gt;=2,V340&lt;P340),EDATE(V340,12*2),AND(AH340="K5-POLICY",AG340&lt;&gt;"นิติศาสตร์",T340="S1",W340&gt;=1,V340&lt;P340),EDATE(V340,12),AND(AH340="K5-POLICY",AG340&lt;&gt;"นิติศาสตร์",OR(T340="S2",T340="K5")),V340,AND(AH340="K5-POLICY",AG340&lt;&gt;"นิติศาสตร์",OR(K340="M2",K340="K4"),Q340&gt;=2),EDATE(P340,12*2),AND(AH340="K5-POLICY",AG340&lt;&gt;"นิติศาสตร์",K340="S1",Q340&gt;=1),EDATE(P340,12),AND(AH340="K5-POLICY",AG340&lt;&gt;"นิติศาสตร์",OR(K340="S2",K340="K5")),P340,TRUE,"Check Data")</f>
        <v/>
      </c>
      <c r="AJ340" s="75" t="str">
        <f t="shared" si="99"/>
        <v>Check Data</v>
      </c>
      <c r="AK340" s="76" t="str">
        <f t="shared" si="100"/>
        <v>Check Data</v>
      </c>
      <c r="AL340" s="50" t="str">
        <f t="shared" si="101"/>
        <v>Check Data</v>
      </c>
      <c r="AM340" s="49" t="str">
        <f>IF(B340="","",IF(K340="S1","S1",INDEX(#REF!,#REF!)))</f>
        <v/>
      </c>
      <c r="AN340" s="49" t="str">
        <f>K340</f>
        <v>K4</v>
      </c>
      <c r="AO340" s="50" t="b">
        <f>K340=AM340</f>
        <v>0</v>
      </c>
    </row>
    <row r="341" spans="1:41" ht="21.75">
      <c r="A341" s="49">
        <v>339</v>
      </c>
      <c r="B341" s="50"/>
      <c r="C341" s="52"/>
      <c r="G341" s="50">
        <f t="shared" si="92"/>
        <v>0</v>
      </c>
      <c r="H341" s="50">
        <f t="shared" si="93"/>
        <v>0</v>
      </c>
      <c r="I341" s="50">
        <f t="shared" si="94"/>
        <v>0</v>
      </c>
      <c r="K341" s="49" t="s">
        <v>137</v>
      </c>
      <c r="O341" s="65" t="s">
        <v>410</v>
      </c>
      <c r="P341" s="49" t="str">
        <f t="shared" si="95"/>
        <v>14/07/2023</v>
      </c>
      <c r="Q341" s="68">
        <f t="shared" si="96"/>
        <v>1</v>
      </c>
      <c r="R341" s="68">
        <f t="shared" si="97"/>
        <v>11</v>
      </c>
      <c r="S341" s="68">
        <f t="shared" si="98"/>
        <v>6</v>
      </c>
      <c r="T341" s="65"/>
      <c r="AH341" s="49" t="str">
        <f>IF(AG341="นิติศาสตร์","K5-LAW","K5-POLICY")</f>
        <v>K5-POLICY</v>
      </c>
      <c r="AI341" s="72" t="str">
        <f>_xlfn.IFS(B341="","",AND(AH341="K5-LAW",AG341="นิติศาสตร์",K341="S2",T341="",Z341=""),P341,AND(AH341="K5-LAW",AG341="นิติศาสตร์",K341="S1",T341="",Z341=""),EDATE(P341,12),AND(AH341="K5-LAW",AG341="นิติศาสตร์",OR(K341="M2",K341="K4"),T341="",Z341=""),EDATE(P341,12*2),AND(AH341="K5-LAW",AG341="นิติศาสตร์",OR(Z341="M2",Z341="K4"),AC341&gt;=2,OR(AB341&lt;V341,AB341&lt;P341)),EDATE(AB341,12*2),AND(AH341="K5-LAW",AG341="นิติศาสตร์",Z341="S1",AC341&gt;=1,OR(AB341&lt;V341,AB341&lt;P341)),EDATE(AB341,12),AND(AH341="K5-LAW",AG341="นิติศาสตร์",OR(T341="M2",T341="K4"),W341&gt;=2,V341&lt;P341),EDATE(V341,12*2),AND(AH341="K5-LAW",AG341="นิติศาสตร์",T341="S1",W341&gt;=1,V341&lt;P341),EDATE(V341,12),AND(AH341="K5-LAW",AG341="นิติศาสตร์",OR(T341="S2",T341="K5")),V341,AND(AH341="K5-LAW",AG341="นิติศาสตร์",OR(K341="M2",K341="K4"),Q341&gt;=2),EDATE(P341,12*2),AND(AH341="K5-LAW",AG341="นิติศาสตร์",K341="S1",Q341&gt;=1),EDATE(P341,12),AND(AH341="K5-LAW",AG341="นิติศาสตร์",OR(K341="S2",K341="K5")),P341,AND(AH341="K5-POLICY",AG341&lt;&gt;"นิติศาสตร์",K341="S2",T341="",Z341=""),P341,AND(AH341="K5-POLICY",AG341&lt;&gt;"นิติศาสตร์",K341="S1",T341="",Z341=""),EDATE(P341,12),AND(AH341="K5-POLICY",AG341&lt;&gt;"นิติศาสตร์",OR(K341="M2",K341="K4"),T341="",Z341=""),EDATE(P341,12*2),AND(AH341="K5-POLICY",AG341&lt;&gt;"นิติศาสตร์",OR(Z341="M2",Z341="K4"),AC341&gt;=2,OR(AB341&lt;V341,AB341&lt;P341)),EDATE(AB341,12*2),AND(AH341="K5-POLICY",AG341&lt;&gt;"นิติศาสตร์",Z341="S1",AC341&gt;=1,OR(AB341&lt;V341,AB341&lt;P341)),EDATE(AB341,12),AND(AH341="K5-POLICY",AG341&lt;&gt;"นิติศาสตร์",OR(T341="M2",T341="K4"),W341&gt;=2,V341&lt;P341),EDATE(V341,12*2),AND(AH341="K5-POLICY",AG341&lt;&gt;"นิติศาสตร์",T341="S1",W341&gt;=1,V341&lt;P341),EDATE(V341,12),AND(AH341="K5-POLICY",AG341&lt;&gt;"นิติศาสตร์",OR(T341="S2",T341="K5")),V341,AND(AH341="K5-POLICY",AG341&lt;&gt;"นิติศาสตร์",OR(K341="M2",K341="K4"),Q341&gt;=2),EDATE(P341,12*2),AND(AH341="K5-POLICY",AG341&lt;&gt;"นิติศาสตร์",K341="S1",Q341&gt;=1),EDATE(P341,12),AND(AH341="K5-POLICY",AG341&lt;&gt;"นิติศาสตร์",OR(K341="S2",K341="K5")),P341,TRUE,"Check Data")</f>
        <v/>
      </c>
      <c r="AJ341" s="75" t="str">
        <f t="shared" si="99"/>
        <v>Check Data</v>
      </c>
      <c r="AK341" s="76" t="str">
        <f t="shared" si="100"/>
        <v>Check Data</v>
      </c>
      <c r="AL341" s="50" t="str">
        <f t="shared" si="101"/>
        <v>Check Data</v>
      </c>
      <c r="AM341" s="49" t="str">
        <f>IF(B341="","",IF(K341="S1","S1",INDEX(#REF!,#REF!)))</f>
        <v/>
      </c>
      <c r="AN341" s="49" t="str">
        <f>K341</f>
        <v>K4</v>
      </c>
      <c r="AO341" s="50" t="b">
        <f>K341=AM341</f>
        <v>0</v>
      </c>
    </row>
    <row r="342" spans="1:41" ht="21.75">
      <c r="A342" s="49">
        <v>340</v>
      </c>
      <c r="B342" s="50"/>
      <c r="C342" s="52"/>
      <c r="G342" s="50">
        <f t="shared" si="92"/>
        <v>0</v>
      </c>
      <c r="H342" s="50">
        <f t="shared" si="93"/>
        <v>0</v>
      </c>
      <c r="I342" s="50">
        <f t="shared" si="94"/>
        <v>0</v>
      </c>
      <c r="K342" s="49" t="s">
        <v>137</v>
      </c>
      <c r="O342" s="65" t="s">
        <v>446</v>
      </c>
      <c r="P342" s="49" t="str">
        <f t="shared" si="95"/>
        <v>20/07/2023</v>
      </c>
      <c r="Q342" s="68">
        <f t="shared" si="96"/>
        <v>1</v>
      </c>
      <c r="R342" s="68">
        <f t="shared" si="97"/>
        <v>11</v>
      </c>
      <c r="S342" s="68">
        <f t="shared" si="98"/>
        <v>0</v>
      </c>
      <c r="T342" s="65"/>
      <c r="AH342" s="49" t="str">
        <f>IF(AG342="นิติศาสตร์","K5-LAW","K5-POLICY")</f>
        <v>K5-POLICY</v>
      </c>
      <c r="AI342" s="72" t="str">
        <f>_xlfn.IFS(B342="","",AND(AH342="K5-LAW",AG342="นิติศาสตร์",K342="S2",T342="",Z342=""),P342,AND(AH342="K5-LAW",AG342="นิติศาสตร์",K342="S1",T342="",Z342=""),EDATE(P342,12),AND(AH342="K5-LAW",AG342="นิติศาสตร์",OR(K342="M2",K342="K4"),T342="",Z342=""),EDATE(P342,12*2),AND(AH342="K5-LAW",AG342="นิติศาสตร์",OR(Z342="M2",Z342="K4"),AC342&gt;=2,OR(AB342&lt;V342,AB342&lt;P342)),EDATE(AB342,12*2),AND(AH342="K5-LAW",AG342="นิติศาสตร์",Z342="S1",AC342&gt;=1,OR(AB342&lt;V342,AB342&lt;P342)),EDATE(AB342,12),AND(AH342="K5-LAW",AG342="นิติศาสตร์",OR(T342="M2",T342="K4"),W342&gt;=2,V342&lt;P342),EDATE(V342,12*2),AND(AH342="K5-LAW",AG342="นิติศาสตร์",T342="S1",W342&gt;=1,V342&lt;P342),EDATE(V342,12),AND(AH342="K5-LAW",AG342="นิติศาสตร์",OR(T342="S2",T342="K5")),V342,AND(AH342="K5-LAW",AG342="นิติศาสตร์",OR(K342="M2",K342="K4"),Q342&gt;=2),EDATE(P342,12*2),AND(AH342="K5-LAW",AG342="นิติศาสตร์",K342="S1",Q342&gt;=1),EDATE(P342,12),AND(AH342="K5-LAW",AG342="นิติศาสตร์",OR(K342="S2",K342="K5")),P342,AND(AH342="K5-POLICY",AG342&lt;&gt;"นิติศาสตร์",K342="S2",T342="",Z342=""),P342,AND(AH342="K5-POLICY",AG342&lt;&gt;"นิติศาสตร์",K342="S1",T342="",Z342=""),EDATE(P342,12),AND(AH342="K5-POLICY",AG342&lt;&gt;"นิติศาสตร์",OR(K342="M2",K342="K4"),T342="",Z342=""),EDATE(P342,12*2),AND(AH342="K5-POLICY",AG342&lt;&gt;"นิติศาสตร์",OR(Z342="M2",Z342="K4"),AC342&gt;=2,OR(AB342&lt;V342,AB342&lt;P342)),EDATE(AB342,12*2),AND(AH342="K5-POLICY",AG342&lt;&gt;"นิติศาสตร์",Z342="S1",AC342&gt;=1,OR(AB342&lt;V342,AB342&lt;P342)),EDATE(AB342,12),AND(AH342="K5-POLICY",AG342&lt;&gt;"นิติศาสตร์",OR(T342="M2",T342="K4"),W342&gt;=2,V342&lt;P342),EDATE(V342,12*2),AND(AH342="K5-POLICY",AG342&lt;&gt;"นิติศาสตร์",T342="S1",W342&gt;=1,V342&lt;P342),EDATE(V342,12),AND(AH342="K5-POLICY",AG342&lt;&gt;"นิติศาสตร์",OR(T342="S2",T342="K5")),V342,AND(AH342="K5-POLICY",AG342&lt;&gt;"นิติศาสตร์",OR(K342="M2",K342="K4"),Q342&gt;=2),EDATE(P342,12*2),AND(AH342="K5-POLICY",AG342&lt;&gt;"นิติศาสตร์",K342="S1",Q342&gt;=1),EDATE(P342,12),AND(AH342="K5-POLICY",AG342&lt;&gt;"นิติศาสตร์",OR(K342="S2",K342="K5")),P342,TRUE,"Check Data")</f>
        <v/>
      </c>
      <c r="AJ342" s="75" t="str">
        <f t="shared" si="99"/>
        <v>Check Data</v>
      </c>
      <c r="AK342" s="76" t="str">
        <f t="shared" si="100"/>
        <v>Check Data</v>
      </c>
      <c r="AL342" s="50" t="str">
        <f t="shared" si="101"/>
        <v>Check Data</v>
      </c>
      <c r="AM342" s="49" t="str">
        <f>IF(B342="","",IF(K342="S1","S1",INDEX(#REF!,#REF!)))</f>
        <v/>
      </c>
      <c r="AN342" s="49" t="str">
        <f>K342</f>
        <v>K4</v>
      </c>
      <c r="AO342" s="50" t="b">
        <f>K342=AM342</f>
        <v>0</v>
      </c>
    </row>
    <row r="343" spans="1:41" ht="21.75">
      <c r="A343" s="49">
        <v>341</v>
      </c>
      <c r="B343" s="50"/>
      <c r="C343" s="52"/>
      <c r="G343" s="50">
        <f t="shared" si="92"/>
        <v>0</v>
      </c>
      <c r="H343" s="50">
        <f t="shared" si="93"/>
        <v>0</v>
      </c>
      <c r="I343" s="50">
        <f t="shared" si="94"/>
        <v>0</v>
      </c>
      <c r="K343" s="49" t="s">
        <v>137</v>
      </c>
      <c r="O343" s="65" t="s">
        <v>436</v>
      </c>
      <c r="P343" s="49" t="str">
        <f t="shared" si="95"/>
        <v>21/09/2023</v>
      </c>
      <c r="Q343" s="68">
        <f t="shared" si="96"/>
        <v>1</v>
      </c>
      <c r="R343" s="68">
        <f t="shared" si="97"/>
        <v>8</v>
      </c>
      <c r="S343" s="68">
        <f t="shared" si="98"/>
        <v>30</v>
      </c>
      <c r="T343" s="65"/>
      <c r="AH343" s="49" t="str">
        <f>IF(AG343="นิติศาสตร์","K5-LAW","K5-POLICY")</f>
        <v>K5-POLICY</v>
      </c>
      <c r="AI343" s="72" t="str">
        <f>_xlfn.IFS(B343="","",AND(AH343="K5-LAW",AG343="นิติศาสตร์",K343="S2",T343="",Z343=""),P343,AND(AH343="K5-LAW",AG343="นิติศาสตร์",K343="S1",T343="",Z343=""),EDATE(P343,12),AND(AH343="K5-LAW",AG343="นิติศาสตร์",OR(K343="M2",K343="K4"),T343="",Z343=""),EDATE(P343,12*2),AND(AH343="K5-LAW",AG343="นิติศาสตร์",OR(Z343="M2",Z343="K4"),AC343&gt;=2,OR(AB343&lt;V343,AB343&lt;P343)),EDATE(AB343,12*2),AND(AH343="K5-LAW",AG343="นิติศาสตร์",Z343="S1",AC343&gt;=1,OR(AB343&lt;V343,AB343&lt;P343)),EDATE(AB343,12),AND(AH343="K5-LAW",AG343="นิติศาสตร์",OR(T343="M2",T343="K4"),W343&gt;=2,V343&lt;P343),EDATE(V343,12*2),AND(AH343="K5-LAW",AG343="นิติศาสตร์",T343="S1",W343&gt;=1,V343&lt;P343),EDATE(V343,12),AND(AH343="K5-LAW",AG343="นิติศาสตร์",OR(T343="S2",T343="K5")),V343,AND(AH343="K5-LAW",AG343="นิติศาสตร์",OR(K343="M2",K343="K4"),Q343&gt;=2),EDATE(P343,12*2),AND(AH343="K5-LAW",AG343="นิติศาสตร์",K343="S1",Q343&gt;=1),EDATE(P343,12),AND(AH343="K5-LAW",AG343="นิติศาสตร์",OR(K343="S2",K343="K5")),P343,AND(AH343="K5-POLICY",AG343&lt;&gt;"นิติศาสตร์",K343="S2",T343="",Z343=""),P343,AND(AH343="K5-POLICY",AG343&lt;&gt;"นิติศาสตร์",K343="S1",T343="",Z343=""),EDATE(P343,12),AND(AH343="K5-POLICY",AG343&lt;&gt;"นิติศาสตร์",OR(K343="M2",K343="K4"),T343="",Z343=""),EDATE(P343,12*2),AND(AH343="K5-POLICY",AG343&lt;&gt;"นิติศาสตร์",OR(Z343="M2",Z343="K4"),AC343&gt;=2,OR(AB343&lt;V343,AB343&lt;P343)),EDATE(AB343,12*2),AND(AH343="K5-POLICY",AG343&lt;&gt;"นิติศาสตร์",Z343="S1",AC343&gt;=1,OR(AB343&lt;V343,AB343&lt;P343)),EDATE(AB343,12),AND(AH343="K5-POLICY",AG343&lt;&gt;"นิติศาสตร์",OR(T343="M2",T343="K4"),W343&gt;=2,V343&lt;P343),EDATE(V343,12*2),AND(AH343="K5-POLICY",AG343&lt;&gt;"นิติศาสตร์",T343="S1",W343&gt;=1,V343&lt;P343),EDATE(V343,12),AND(AH343="K5-POLICY",AG343&lt;&gt;"นิติศาสตร์",OR(T343="S2",T343="K5")),V343,AND(AH343="K5-POLICY",AG343&lt;&gt;"นิติศาสตร์",OR(K343="M2",K343="K4"),Q343&gt;=2),EDATE(P343,12*2),AND(AH343="K5-POLICY",AG343&lt;&gt;"นิติศาสตร์",K343="S1",Q343&gt;=1),EDATE(P343,12),AND(AH343="K5-POLICY",AG343&lt;&gt;"นิติศาสตร์",OR(K343="S2",K343="K5")),P343,TRUE,"Check Data")</f>
        <v/>
      </c>
      <c r="AJ343" s="75" t="str">
        <f t="shared" si="99"/>
        <v>Check Data</v>
      </c>
      <c r="AK343" s="76" t="str">
        <f t="shared" si="100"/>
        <v>Check Data</v>
      </c>
      <c r="AL343" s="50" t="str">
        <f t="shared" si="101"/>
        <v>Check Data</v>
      </c>
      <c r="AM343" s="49" t="str">
        <f>IF(B343="","",IF(K343="S1","S1",INDEX(#REF!,#REF!)))</f>
        <v/>
      </c>
      <c r="AN343" s="49" t="str">
        <f>K343</f>
        <v>K4</v>
      </c>
      <c r="AO343" s="50" t="b">
        <f>K343=AM343</f>
        <v>0</v>
      </c>
    </row>
    <row r="344" spans="1:41" ht="21.75">
      <c r="A344" s="49">
        <v>342</v>
      </c>
      <c r="B344" s="50"/>
      <c r="C344" s="52"/>
      <c r="G344" s="50">
        <f t="shared" si="92"/>
        <v>0</v>
      </c>
      <c r="H344" s="50">
        <f t="shared" si="93"/>
        <v>0</v>
      </c>
      <c r="I344" s="50">
        <f t="shared" si="94"/>
        <v>0</v>
      </c>
      <c r="K344" s="49" t="s">
        <v>137</v>
      </c>
      <c r="O344" s="65" t="s">
        <v>436</v>
      </c>
      <c r="P344" s="49" t="str">
        <f t="shared" si="95"/>
        <v>21/09/2023</v>
      </c>
      <c r="Q344" s="68">
        <f t="shared" si="96"/>
        <v>1</v>
      </c>
      <c r="R344" s="68">
        <f t="shared" si="97"/>
        <v>8</v>
      </c>
      <c r="S344" s="68">
        <f t="shared" si="98"/>
        <v>30</v>
      </c>
      <c r="T344" s="65"/>
      <c r="AH344" s="49" t="str">
        <f>IF(AG344="นิติศาสตร์","K5-LAW","K5-POLICY")</f>
        <v>K5-POLICY</v>
      </c>
      <c r="AI344" s="72" t="str">
        <f>_xlfn.IFS(B344="","",AND(AH344="K5-LAW",AG344="นิติศาสตร์",K344="S2",T344="",Z344=""),P344,AND(AH344="K5-LAW",AG344="นิติศาสตร์",K344="S1",T344="",Z344=""),EDATE(P344,12),AND(AH344="K5-LAW",AG344="นิติศาสตร์",OR(K344="M2",K344="K4"),T344="",Z344=""),EDATE(P344,12*2),AND(AH344="K5-LAW",AG344="นิติศาสตร์",OR(Z344="M2",Z344="K4"),AC344&gt;=2,OR(AB344&lt;V344,AB344&lt;P344)),EDATE(AB344,12*2),AND(AH344="K5-LAW",AG344="นิติศาสตร์",Z344="S1",AC344&gt;=1,OR(AB344&lt;V344,AB344&lt;P344)),EDATE(AB344,12),AND(AH344="K5-LAW",AG344="นิติศาสตร์",OR(T344="M2",T344="K4"),W344&gt;=2,V344&lt;P344),EDATE(V344,12*2),AND(AH344="K5-LAW",AG344="นิติศาสตร์",T344="S1",W344&gt;=1,V344&lt;P344),EDATE(V344,12),AND(AH344="K5-LAW",AG344="นิติศาสตร์",OR(T344="S2",T344="K5")),V344,AND(AH344="K5-LAW",AG344="นิติศาสตร์",OR(K344="M2",K344="K4"),Q344&gt;=2),EDATE(P344,12*2),AND(AH344="K5-LAW",AG344="นิติศาสตร์",K344="S1",Q344&gt;=1),EDATE(P344,12),AND(AH344="K5-LAW",AG344="นิติศาสตร์",OR(K344="S2",K344="K5")),P344,AND(AH344="K5-POLICY",AG344&lt;&gt;"นิติศาสตร์",K344="S2",T344="",Z344=""),P344,AND(AH344="K5-POLICY",AG344&lt;&gt;"นิติศาสตร์",K344="S1",T344="",Z344=""),EDATE(P344,12),AND(AH344="K5-POLICY",AG344&lt;&gt;"นิติศาสตร์",OR(K344="M2",K344="K4"),T344="",Z344=""),EDATE(P344,12*2),AND(AH344="K5-POLICY",AG344&lt;&gt;"นิติศาสตร์",OR(Z344="M2",Z344="K4"),AC344&gt;=2,OR(AB344&lt;V344,AB344&lt;P344)),EDATE(AB344,12*2),AND(AH344="K5-POLICY",AG344&lt;&gt;"นิติศาสตร์",Z344="S1",AC344&gt;=1,OR(AB344&lt;V344,AB344&lt;P344)),EDATE(AB344,12),AND(AH344="K5-POLICY",AG344&lt;&gt;"นิติศาสตร์",OR(T344="M2",T344="K4"),W344&gt;=2,V344&lt;P344),EDATE(V344,12*2),AND(AH344="K5-POLICY",AG344&lt;&gt;"นิติศาสตร์",T344="S1",W344&gt;=1,V344&lt;P344),EDATE(V344,12),AND(AH344="K5-POLICY",AG344&lt;&gt;"นิติศาสตร์",OR(T344="S2",T344="K5")),V344,AND(AH344="K5-POLICY",AG344&lt;&gt;"นิติศาสตร์",OR(K344="M2",K344="K4"),Q344&gt;=2),EDATE(P344,12*2),AND(AH344="K5-POLICY",AG344&lt;&gt;"นิติศาสตร์",K344="S1",Q344&gt;=1),EDATE(P344,12),AND(AH344="K5-POLICY",AG344&lt;&gt;"นิติศาสตร์",OR(K344="S2",K344="K5")),P344,TRUE,"Check Data")</f>
        <v/>
      </c>
      <c r="AJ344" s="75" t="str">
        <f t="shared" si="99"/>
        <v>Check Data</v>
      </c>
      <c r="AK344" s="76" t="str">
        <f t="shared" si="100"/>
        <v>Check Data</v>
      </c>
      <c r="AL344" s="50" t="str">
        <f t="shared" si="101"/>
        <v>Check Data</v>
      </c>
      <c r="AM344" s="49" t="str">
        <f>IF(B344="","",IF(K344="S1","S1",INDEX(#REF!,#REF!)))</f>
        <v/>
      </c>
      <c r="AN344" s="49" t="str">
        <f>K344</f>
        <v>K4</v>
      </c>
      <c r="AO344" s="50" t="b">
        <f>K344=AM344</f>
        <v>0</v>
      </c>
    </row>
    <row r="345" spans="1:41" ht="21.75">
      <c r="A345" s="49">
        <v>343</v>
      </c>
      <c r="B345" s="50"/>
      <c r="C345" s="52"/>
      <c r="G345" s="50">
        <f t="shared" si="92"/>
        <v>0</v>
      </c>
      <c r="H345" s="50">
        <f t="shared" si="93"/>
        <v>0</v>
      </c>
      <c r="I345" s="50">
        <f t="shared" si="94"/>
        <v>0</v>
      </c>
      <c r="K345" s="49" t="s">
        <v>137</v>
      </c>
      <c r="O345" s="65" t="s">
        <v>437</v>
      </c>
      <c r="P345" s="49" t="str">
        <f t="shared" si="95"/>
        <v>02/10/2023</v>
      </c>
      <c r="Q345" s="68">
        <f t="shared" si="96"/>
        <v>1</v>
      </c>
      <c r="R345" s="68">
        <f t="shared" si="97"/>
        <v>8</v>
      </c>
      <c r="S345" s="68">
        <f t="shared" si="98"/>
        <v>18</v>
      </c>
      <c r="T345" s="65"/>
      <c r="AH345" s="49" t="str">
        <f>IF(AG345="นิติศาสตร์","K5-LAW","K5-POLICY")</f>
        <v>K5-POLICY</v>
      </c>
      <c r="AI345" s="72" t="str">
        <f>_xlfn.IFS(B345="","",AND(AH345="K5-LAW",AG345="นิติศาสตร์",K345="S2",T345="",Z345=""),P345,AND(AH345="K5-LAW",AG345="นิติศาสตร์",K345="S1",T345="",Z345=""),EDATE(P345,12),AND(AH345="K5-LAW",AG345="นิติศาสตร์",OR(K345="M2",K345="K4"),T345="",Z345=""),EDATE(P345,12*2),AND(AH345="K5-LAW",AG345="นิติศาสตร์",OR(Z345="M2",Z345="K4"),AC345&gt;=2,OR(AB345&lt;V345,AB345&lt;P345)),EDATE(AB345,12*2),AND(AH345="K5-LAW",AG345="นิติศาสตร์",Z345="S1",AC345&gt;=1,OR(AB345&lt;V345,AB345&lt;P345)),EDATE(AB345,12),AND(AH345="K5-LAW",AG345="นิติศาสตร์",OR(T345="M2",T345="K4"),W345&gt;=2,V345&lt;P345),EDATE(V345,12*2),AND(AH345="K5-LAW",AG345="นิติศาสตร์",T345="S1",W345&gt;=1,V345&lt;P345),EDATE(V345,12),AND(AH345="K5-LAW",AG345="นิติศาสตร์",OR(T345="S2",T345="K5")),V345,AND(AH345="K5-LAW",AG345="นิติศาสตร์",OR(K345="M2",K345="K4"),Q345&gt;=2),EDATE(P345,12*2),AND(AH345="K5-LAW",AG345="นิติศาสตร์",K345="S1",Q345&gt;=1),EDATE(P345,12),AND(AH345="K5-LAW",AG345="นิติศาสตร์",OR(K345="S2",K345="K5")),P345,AND(AH345="K5-POLICY",AG345&lt;&gt;"นิติศาสตร์",K345="S2",T345="",Z345=""),P345,AND(AH345="K5-POLICY",AG345&lt;&gt;"นิติศาสตร์",K345="S1",T345="",Z345=""),EDATE(P345,12),AND(AH345="K5-POLICY",AG345&lt;&gt;"นิติศาสตร์",OR(K345="M2",K345="K4"),T345="",Z345=""),EDATE(P345,12*2),AND(AH345="K5-POLICY",AG345&lt;&gt;"นิติศาสตร์",OR(Z345="M2",Z345="K4"),AC345&gt;=2,OR(AB345&lt;V345,AB345&lt;P345)),EDATE(AB345,12*2),AND(AH345="K5-POLICY",AG345&lt;&gt;"นิติศาสตร์",Z345="S1",AC345&gt;=1,OR(AB345&lt;V345,AB345&lt;P345)),EDATE(AB345,12),AND(AH345="K5-POLICY",AG345&lt;&gt;"นิติศาสตร์",OR(T345="M2",T345="K4"),W345&gt;=2,V345&lt;P345),EDATE(V345,12*2),AND(AH345="K5-POLICY",AG345&lt;&gt;"นิติศาสตร์",T345="S1",W345&gt;=1,V345&lt;P345),EDATE(V345,12),AND(AH345="K5-POLICY",AG345&lt;&gt;"นิติศาสตร์",OR(T345="S2",T345="K5")),V345,AND(AH345="K5-POLICY",AG345&lt;&gt;"นิติศาสตร์",OR(K345="M2",K345="K4"),Q345&gt;=2),EDATE(P345,12*2),AND(AH345="K5-POLICY",AG345&lt;&gt;"นิติศาสตร์",K345="S1",Q345&gt;=1),EDATE(P345,12),AND(AH345="K5-POLICY",AG345&lt;&gt;"นิติศาสตร์",OR(K345="S2",K345="K5")),P345,TRUE,"Check Data")</f>
        <v/>
      </c>
      <c r="AJ345" s="75" t="str">
        <f t="shared" si="99"/>
        <v>Check Data</v>
      </c>
      <c r="AK345" s="76" t="str">
        <f t="shared" si="100"/>
        <v>Check Data</v>
      </c>
      <c r="AL345" s="50" t="str">
        <f t="shared" si="101"/>
        <v>Check Data</v>
      </c>
      <c r="AM345" s="49" t="str">
        <f>IF(B345="","",IF(K345="S1","S1",INDEX(#REF!,#REF!)))</f>
        <v/>
      </c>
      <c r="AN345" s="49" t="str">
        <f>K345</f>
        <v>K4</v>
      </c>
      <c r="AO345" s="50" t="b">
        <f>K345=AM345</f>
        <v>0</v>
      </c>
    </row>
    <row r="346" spans="1:41" ht="21.75">
      <c r="A346" s="49">
        <v>344</v>
      </c>
      <c r="B346" s="50"/>
      <c r="C346" s="52"/>
      <c r="G346" s="50">
        <f t="shared" si="92"/>
        <v>0</v>
      </c>
      <c r="H346" s="50">
        <f t="shared" si="93"/>
        <v>0</v>
      </c>
      <c r="I346" s="50">
        <f t="shared" si="94"/>
        <v>0</v>
      </c>
      <c r="K346" s="49" t="s">
        <v>137</v>
      </c>
      <c r="O346" s="65" t="s">
        <v>439</v>
      </c>
      <c r="P346" s="49" t="str">
        <f t="shared" si="95"/>
        <v>30/01/2024</v>
      </c>
      <c r="Q346" s="68">
        <f t="shared" si="96"/>
        <v>1</v>
      </c>
      <c r="R346" s="68">
        <f t="shared" si="97"/>
        <v>4</v>
      </c>
      <c r="S346" s="68">
        <f t="shared" si="98"/>
        <v>21</v>
      </c>
      <c r="T346" s="65"/>
      <c r="AH346" s="49" t="str">
        <f>IF(AG346="นิติศาสตร์","K5-LAW","K5-POLICY")</f>
        <v>K5-POLICY</v>
      </c>
      <c r="AI346" s="72" t="str">
        <f>_xlfn.IFS(B346="","",AND(AH346="K5-LAW",AG346="นิติศาสตร์",K346="S2",T346="",Z346=""),P346,AND(AH346="K5-LAW",AG346="นิติศาสตร์",K346="S1",T346="",Z346=""),EDATE(P346,12),AND(AH346="K5-LAW",AG346="นิติศาสตร์",OR(K346="M2",K346="K4"),T346="",Z346=""),EDATE(P346,12*2),AND(AH346="K5-LAW",AG346="นิติศาสตร์",OR(Z346="M2",Z346="K4"),AC346&gt;=2,OR(AB346&lt;V346,AB346&lt;P346)),EDATE(AB346,12*2),AND(AH346="K5-LAW",AG346="นิติศาสตร์",Z346="S1",AC346&gt;=1,OR(AB346&lt;V346,AB346&lt;P346)),EDATE(AB346,12),AND(AH346="K5-LAW",AG346="นิติศาสตร์",OR(T346="M2",T346="K4"),W346&gt;=2,V346&lt;P346),EDATE(V346,12*2),AND(AH346="K5-LAW",AG346="นิติศาสตร์",T346="S1",W346&gt;=1,V346&lt;P346),EDATE(V346,12),AND(AH346="K5-LAW",AG346="นิติศาสตร์",OR(T346="S2",T346="K5")),V346,AND(AH346="K5-LAW",AG346="นิติศาสตร์",OR(K346="M2",K346="K4"),Q346&gt;=2),EDATE(P346,12*2),AND(AH346="K5-LAW",AG346="นิติศาสตร์",K346="S1",Q346&gt;=1),EDATE(P346,12),AND(AH346="K5-LAW",AG346="นิติศาสตร์",OR(K346="S2",K346="K5")),P346,AND(AH346="K5-POLICY",AG346&lt;&gt;"นิติศาสตร์",K346="S2",T346="",Z346=""),P346,AND(AH346="K5-POLICY",AG346&lt;&gt;"นิติศาสตร์",K346="S1",T346="",Z346=""),EDATE(P346,12),AND(AH346="K5-POLICY",AG346&lt;&gt;"นิติศาสตร์",OR(K346="M2",K346="K4"),T346="",Z346=""),EDATE(P346,12*2),AND(AH346="K5-POLICY",AG346&lt;&gt;"นิติศาสตร์",OR(Z346="M2",Z346="K4"),AC346&gt;=2,OR(AB346&lt;V346,AB346&lt;P346)),EDATE(AB346,12*2),AND(AH346="K5-POLICY",AG346&lt;&gt;"นิติศาสตร์",Z346="S1",AC346&gt;=1,OR(AB346&lt;V346,AB346&lt;P346)),EDATE(AB346,12),AND(AH346="K5-POLICY",AG346&lt;&gt;"นิติศาสตร์",OR(T346="M2",T346="K4"),W346&gt;=2,V346&lt;P346),EDATE(V346,12*2),AND(AH346="K5-POLICY",AG346&lt;&gt;"นิติศาสตร์",T346="S1",W346&gt;=1,V346&lt;P346),EDATE(V346,12),AND(AH346="K5-POLICY",AG346&lt;&gt;"นิติศาสตร์",OR(T346="S2",T346="K5")),V346,AND(AH346="K5-POLICY",AG346&lt;&gt;"นิติศาสตร์",OR(K346="M2",K346="K4"),Q346&gt;=2),EDATE(P346,12*2),AND(AH346="K5-POLICY",AG346&lt;&gt;"นิติศาสตร์",K346="S1",Q346&gt;=1),EDATE(P346,12),AND(AH346="K5-POLICY",AG346&lt;&gt;"นิติศาสตร์",OR(K346="S2",K346="K5")),P346,TRUE,"Check Data")</f>
        <v/>
      </c>
      <c r="AJ346" s="75" t="str">
        <f t="shared" si="99"/>
        <v>Check Data</v>
      </c>
      <c r="AK346" s="76" t="str">
        <f t="shared" si="100"/>
        <v>Check Data</v>
      </c>
      <c r="AL346" s="50" t="str">
        <f t="shared" si="101"/>
        <v>Check Data</v>
      </c>
      <c r="AM346" s="49" t="str">
        <f>IF(B346="","",IF(K346="S1","S1",INDEX(#REF!,#REF!)))</f>
        <v/>
      </c>
      <c r="AN346" s="49" t="str">
        <f>K346</f>
        <v>K4</v>
      </c>
      <c r="AO346" s="50" t="b">
        <f>K346=AM346</f>
        <v>0</v>
      </c>
    </row>
    <row r="347" spans="1:41" ht="21.75">
      <c r="A347" s="49">
        <v>345</v>
      </c>
      <c r="B347" s="50"/>
      <c r="C347" s="52"/>
      <c r="G347" s="50">
        <f t="shared" si="92"/>
        <v>0</v>
      </c>
      <c r="H347" s="50">
        <f t="shared" si="93"/>
        <v>0</v>
      </c>
      <c r="I347" s="50">
        <f t="shared" si="94"/>
        <v>0</v>
      </c>
      <c r="K347" s="49" t="s">
        <v>137</v>
      </c>
      <c r="O347" s="65" t="s">
        <v>447</v>
      </c>
      <c r="P347" s="49" t="str">
        <f t="shared" si="95"/>
        <v>16/05/2024</v>
      </c>
      <c r="Q347" s="68">
        <f t="shared" si="96"/>
        <v>1</v>
      </c>
      <c r="R347" s="68">
        <f t="shared" si="97"/>
        <v>1</v>
      </c>
      <c r="S347" s="68">
        <f t="shared" si="98"/>
        <v>4</v>
      </c>
      <c r="T347" s="65"/>
      <c r="AH347" s="49" t="str">
        <f>IF(AG347="นิติศาสตร์","K5-LAW","K5-POLICY")</f>
        <v>K5-POLICY</v>
      </c>
      <c r="AI347" s="72" t="str">
        <f>_xlfn.IFS(B347="","",AND(AH347="K5-LAW",AG347="นิติศาสตร์",K347="S2",T347="",Z347=""),P347,AND(AH347="K5-LAW",AG347="นิติศาสตร์",K347="S1",T347="",Z347=""),EDATE(P347,12),AND(AH347="K5-LAW",AG347="นิติศาสตร์",OR(K347="M2",K347="K4"),T347="",Z347=""),EDATE(P347,12*2),AND(AH347="K5-LAW",AG347="นิติศาสตร์",OR(Z347="M2",Z347="K4"),AC347&gt;=2,OR(AB347&lt;V347,AB347&lt;P347)),EDATE(AB347,12*2),AND(AH347="K5-LAW",AG347="นิติศาสตร์",Z347="S1",AC347&gt;=1,OR(AB347&lt;V347,AB347&lt;P347)),EDATE(AB347,12),AND(AH347="K5-LAW",AG347="นิติศาสตร์",OR(T347="M2",T347="K4"),W347&gt;=2,V347&lt;P347),EDATE(V347,12*2),AND(AH347="K5-LAW",AG347="นิติศาสตร์",T347="S1",W347&gt;=1,V347&lt;P347),EDATE(V347,12),AND(AH347="K5-LAW",AG347="นิติศาสตร์",OR(T347="S2",T347="K5")),V347,AND(AH347="K5-LAW",AG347="นิติศาสตร์",OR(K347="M2",K347="K4"),Q347&gt;=2),EDATE(P347,12*2),AND(AH347="K5-LAW",AG347="นิติศาสตร์",K347="S1",Q347&gt;=1),EDATE(P347,12),AND(AH347="K5-LAW",AG347="นิติศาสตร์",OR(K347="S2",K347="K5")),P347,AND(AH347="K5-POLICY",AG347&lt;&gt;"นิติศาสตร์",K347="S2",T347="",Z347=""),P347,AND(AH347="K5-POLICY",AG347&lt;&gt;"นิติศาสตร์",K347="S1",T347="",Z347=""),EDATE(P347,12),AND(AH347="K5-POLICY",AG347&lt;&gt;"นิติศาสตร์",OR(K347="M2",K347="K4"),T347="",Z347=""),EDATE(P347,12*2),AND(AH347="K5-POLICY",AG347&lt;&gt;"นิติศาสตร์",OR(Z347="M2",Z347="K4"),AC347&gt;=2,OR(AB347&lt;V347,AB347&lt;P347)),EDATE(AB347,12*2),AND(AH347="K5-POLICY",AG347&lt;&gt;"นิติศาสตร์",Z347="S1",AC347&gt;=1,OR(AB347&lt;V347,AB347&lt;P347)),EDATE(AB347,12),AND(AH347="K5-POLICY",AG347&lt;&gt;"นิติศาสตร์",OR(T347="M2",T347="K4"),W347&gt;=2,V347&lt;P347),EDATE(V347,12*2),AND(AH347="K5-POLICY",AG347&lt;&gt;"นิติศาสตร์",T347="S1",W347&gt;=1,V347&lt;P347),EDATE(V347,12),AND(AH347="K5-POLICY",AG347&lt;&gt;"นิติศาสตร์",OR(T347="S2",T347="K5")),V347,AND(AH347="K5-POLICY",AG347&lt;&gt;"นิติศาสตร์",OR(K347="M2",K347="K4"),Q347&gt;=2),EDATE(P347,12*2),AND(AH347="K5-POLICY",AG347&lt;&gt;"นิติศาสตร์",K347="S1",Q347&gt;=1),EDATE(P347,12),AND(AH347="K5-POLICY",AG347&lt;&gt;"นิติศาสตร์",OR(K347="S2",K347="K5")),P347,TRUE,"Check Data")</f>
        <v/>
      </c>
      <c r="AJ347" s="75" t="str">
        <f t="shared" si="99"/>
        <v>Check Data</v>
      </c>
      <c r="AK347" s="76" t="str">
        <f t="shared" si="100"/>
        <v>Check Data</v>
      </c>
      <c r="AL347" s="50" t="str">
        <f t="shared" si="101"/>
        <v>Check Data</v>
      </c>
      <c r="AM347" s="49" t="str">
        <f>IF(B347="","",IF(K347="S1","S1",INDEX(#REF!,#REF!)))</f>
        <v/>
      </c>
      <c r="AN347" s="49" t="str">
        <f>K347</f>
        <v>K4</v>
      </c>
      <c r="AO347" s="50" t="b">
        <f>K347=AM347</f>
        <v>0</v>
      </c>
    </row>
    <row r="348" spans="1:41" ht="21.75">
      <c r="A348" s="49">
        <v>346</v>
      </c>
      <c r="B348" s="50"/>
      <c r="C348" s="52"/>
      <c r="D348" s="84"/>
      <c r="E348" s="85"/>
      <c r="F348" s="85"/>
      <c r="G348" s="50">
        <f t="shared" si="92"/>
        <v>0</v>
      </c>
      <c r="H348" s="50">
        <f t="shared" si="93"/>
        <v>0</v>
      </c>
      <c r="I348" s="50">
        <f t="shared" si="94"/>
        <v>0</v>
      </c>
      <c r="J348" s="84"/>
      <c r="K348" s="49" t="s">
        <v>137</v>
      </c>
      <c r="L348" s="87"/>
      <c r="M348" s="85"/>
      <c r="N348" s="85"/>
      <c r="O348" s="65" t="s">
        <v>455</v>
      </c>
      <c r="P348" s="49" t="str">
        <f t="shared" si="95"/>
        <v>04/07/2024</v>
      </c>
      <c r="Q348" s="68">
        <f t="shared" si="96"/>
        <v>0</v>
      </c>
      <c r="R348" s="68">
        <f t="shared" si="97"/>
        <v>11</v>
      </c>
      <c r="S348" s="68">
        <f t="shared" si="98"/>
        <v>16</v>
      </c>
      <c r="T348" s="65"/>
      <c r="U348" s="89"/>
      <c r="V348" s="85"/>
      <c r="W348" s="88"/>
      <c r="X348" s="88"/>
      <c r="Y348" s="88"/>
      <c r="Z348" s="85"/>
      <c r="AA348" s="89"/>
      <c r="AB348" s="84"/>
      <c r="AC348" s="88"/>
      <c r="AD348" s="88"/>
      <c r="AE348" s="88"/>
      <c r="AF348" s="84"/>
      <c r="AG348" s="84"/>
      <c r="AH348" s="49" t="str">
        <f>IF(AG348="นิติศาสตร์","K5-LAW","K5-POLICY")</f>
        <v>K5-POLICY</v>
      </c>
      <c r="AI348" s="72" t="str">
        <f>_xlfn.IFS(B348="","",AND(AH348="K5-LAW",AG348="นิติศาสตร์",K348="S2",T348="",Z348=""),P348,AND(AH348="K5-LAW",AG348="นิติศาสตร์",K348="S1",T348="",Z348=""),EDATE(P348,12),AND(AH348="K5-LAW",AG348="นิติศาสตร์",OR(K348="M2",K348="K4"),T348="",Z348=""),EDATE(P348,12*2),AND(AH348="K5-LAW",AG348="นิติศาสตร์",OR(Z348="M2",Z348="K4"),AC348&gt;=2,OR(AB348&lt;V348,AB348&lt;P348)),EDATE(AB348,12*2),AND(AH348="K5-LAW",AG348="นิติศาสตร์",Z348="S1",AC348&gt;=1,OR(AB348&lt;V348,AB348&lt;P348)),EDATE(AB348,12),AND(AH348="K5-LAW",AG348="นิติศาสตร์",OR(T348="M2",T348="K4"),W348&gt;=2,V348&lt;P348),EDATE(V348,12*2),AND(AH348="K5-LAW",AG348="นิติศาสตร์",T348="S1",W348&gt;=1,V348&lt;P348),EDATE(V348,12),AND(AH348="K5-LAW",AG348="นิติศาสตร์",OR(T348="S2",T348="K5")),V348,AND(AH348="K5-LAW",AG348="นิติศาสตร์",OR(K348="M2",K348="K4"),Q348&gt;=2),EDATE(P348,12*2),AND(AH348="K5-LAW",AG348="นิติศาสตร์",K348="S1",Q348&gt;=1),EDATE(P348,12),AND(AH348="K5-LAW",AG348="นิติศาสตร์",OR(K348="S2",K348="K5")),P348,AND(AH348="K5-POLICY",AG348&lt;&gt;"นิติศาสตร์",K348="S2",T348="",Z348=""),P348,AND(AH348="K5-POLICY",AG348&lt;&gt;"นิติศาสตร์",K348="S1",T348="",Z348=""),EDATE(P348,12),AND(AH348="K5-POLICY",AG348&lt;&gt;"นิติศาสตร์",OR(K348="M2",K348="K4"),T348="",Z348=""),EDATE(P348,12*2),AND(AH348="K5-POLICY",AG348&lt;&gt;"นิติศาสตร์",OR(Z348="M2",Z348="K4"),AC348&gt;=2,OR(AB348&lt;V348,AB348&lt;P348)),EDATE(AB348,12*2),AND(AH348="K5-POLICY",AG348&lt;&gt;"นิติศาสตร์",Z348="S1",AC348&gt;=1,OR(AB348&lt;V348,AB348&lt;P348)),EDATE(AB348,12),AND(AH348="K5-POLICY",AG348&lt;&gt;"นิติศาสตร์",OR(T348="M2",T348="K4"),W348&gt;=2,V348&lt;P348),EDATE(V348,12*2),AND(AH348="K5-POLICY",AG348&lt;&gt;"นิติศาสตร์",T348="S1",W348&gt;=1,V348&lt;P348),EDATE(V348,12),AND(AH348="K5-POLICY",AG348&lt;&gt;"นิติศาสตร์",OR(T348="S2",T348="K5")),V348,AND(AH348="K5-POLICY",AG348&lt;&gt;"นิติศาสตร์",OR(K348="M2",K348="K4"),Q348&gt;=2),EDATE(P348,12*2),AND(AH348="K5-POLICY",AG348&lt;&gt;"นิติศาสตร์",K348="S1",Q348&gt;=1),EDATE(P348,12),AND(AH348="K5-POLICY",AG348&lt;&gt;"นิติศาสตร์",OR(K348="S2",K348="K5")),P348,TRUE,"Check Data")</f>
        <v/>
      </c>
      <c r="AJ348" s="75" t="str">
        <f t="shared" si="99"/>
        <v>Check Data</v>
      </c>
      <c r="AK348" s="76" t="str">
        <f t="shared" si="100"/>
        <v>Check Data</v>
      </c>
      <c r="AL348" s="50" t="str">
        <f t="shared" si="101"/>
        <v>Check Data</v>
      </c>
      <c r="AM348" s="49" t="str">
        <f>IF(B348="","",IF(K348="S1","S1",INDEX(#REF!,#REF!)))</f>
        <v/>
      </c>
      <c r="AN348" s="49" t="str">
        <f>K348</f>
        <v>K4</v>
      </c>
      <c r="AO348" s="50" t="b">
        <f>K348=AM348</f>
        <v>0</v>
      </c>
    </row>
    <row r="349" spans="1:41" ht="21.75">
      <c r="A349" s="49">
        <v>347</v>
      </c>
      <c r="B349" s="50"/>
      <c r="C349" s="52"/>
      <c r="D349" s="84"/>
      <c r="E349" s="85"/>
      <c r="F349" s="85"/>
      <c r="G349" s="50">
        <f t="shared" si="92"/>
        <v>0</v>
      </c>
      <c r="H349" s="50">
        <f t="shared" si="93"/>
        <v>0</v>
      </c>
      <c r="I349" s="50">
        <f t="shared" si="94"/>
        <v>0</v>
      </c>
      <c r="J349" s="84"/>
      <c r="K349" s="49" t="s">
        <v>137</v>
      </c>
      <c r="L349" s="87"/>
      <c r="M349" s="85"/>
      <c r="N349" s="85"/>
      <c r="O349" s="65" t="s">
        <v>456</v>
      </c>
      <c r="P349" s="49" t="str">
        <f t="shared" si="95"/>
        <v>11/07/2024</v>
      </c>
      <c r="Q349" s="68">
        <f t="shared" si="96"/>
        <v>0</v>
      </c>
      <c r="R349" s="68">
        <f t="shared" si="97"/>
        <v>11</v>
      </c>
      <c r="S349" s="68">
        <f t="shared" si="98"/>
        <v>9</v>
      </c>
      <c r="T349" s="65"/>
      <c r="U349" s="89"/>
      <c r="V349" s="85"/>
      <c r="W349" s="88"/>
      <c r="X349" s="88"/>
      <c r="Y349" s="88"/>
      <c r="Z349" s="85"/>
      <c r="AA349" s="89"/>
      <c r="AB349" s="84"/>
      <c r="AC349" s="88"/>
      <c r="AD349" s="88"/>
      <c r="AE349" s="88"/>
      <c r="AF349" s="84"/>
      <c r="AG349" s="84"/>
      <c r="AH349" s="49" t="str">
        <f>IF(AG349="นิติศาสตร์","K5-LAW","K5-POLICY")</f>
        <v>K5-POLICY</v>
      </c>
      <c r="AI349" s="72" t="str">
        <f>_xlfn.IFS(B349="","",AND(AH349="K5-LAW",AG349="นิติศาสตร์",K349="S2",T349="",Z349=""),P349,AND(AH349="K5-LAW",AG349="นิติศาสตร์",K349="S1",T349="",Z349=""),EDATE(P349,12),AND(AH349="K5-LAW",AG349="นิติศาสตร์",OR(K349="M2",K349="K4"),T349="",Z349=""),EDATE(P349,12*2),AND(AH349="K5-LAW",AG349="นิติศาสตร์",OR(Z349="M2",Z349="K4"),AC349&gt;=2,OR(AB349&lt;V349,AB349&lt;P349)),EDATE(AB349,12*2),AND(AH349="K5-LAW",AG349="นิติศาสตร์",Z349="S1",AC349&gt;=1,OR(AB349&lt;V349,AB349&lt;P349)),EDATE(AB349,12),AND(AH349="K5-LAW",AG349="นิติศาสตร์",OR(T349="M2",T349="K4"),W349&gt;=2,V349&lt;P349),EDATE(V349,12*2),AND(AH349="K5-LAW",AG349="นิติศาสตร์",T349="S1",W349&gt;=1,V349&lt;P349),EDATE(V349,12),AND(AH349="K5-LAW",AG349="นิติศาสตร์",OR(T349="S2",T349="K5")),V349,AND(AH349="K5-LAW",AG349="นิติศาสตร์",OR(K349="M2",K349="K4"),Q349&gt;=2),EDATE(P349,12*2),AND(AH349="K5-LAW",AG349="นิติศาสตร์",K349="S1",Q349&gt;=1),EDATE(P349,12),AND(AH349="K5-LAW",AG349="นิติศาสตร์",OR(K349="S2",K349="K5")),P349,AND(AH349="K5-POLICY",AG349&lt;&gt;"นิติศาสตร์",K349="S2",T349="",Z349=""),P349,AND(AH349="K5-POLICY",AG349&lt;&gt;"นิติศาสตร์",K349="S1",T349="",Z349=""),EDATE(P349,12),AND(AH349="K5-POLICY",AG349&lt;&gt;"นิติศาสตร์",OR(K349="M2",K349="K4"),T349="",Z349=""),EDATE(P349,12*2),AND(AH349="K5-POLICY",AG349&lt;&gt;"นิติศาสตร์",OR(Z349="M2",Z349="K4"),AC349&gt;=2,OR(AB349&lt;V349,AB349&lt;P349)),EDATE(AB349,12*2),AND(AH349="K5-POLICY",AG349&lt;&gt;"นิติศาสตร์",Z349="S1",AC349&gt;=1,OR(AB349&lt;V349,AB349&lt;P349)),EDATE(AB349,12),AND(AH349="K5-POLICY",AG349&lt;&gt;"นิติศาสตร์",OR(T349="M2",T349="K4"),W349&gt;=2,V349&lt;P349),EDATE(V349,12*2),AND(AH349="K5-POLICY",AG349&lt;&gt;"นิติศาสตร์",T349="S1",W349&gt;=1,V349&lt;P349),EDATE(V349,12),AND(AH349="K5-POLICY",AG349&lt;&gt;"นิติศาสตร์",OR(T349="S2",T349="K5")),V349,AND(AH349="K5-POLICY",AG349&lt;&gt;"นิติศาสตร์",OR(K349="M2",K349="K4"),Q349&gt;=2),EDATE(P349,12*2),AND(AH349="K5-POLICY",AG349&lt;&gt;"นิติศาสตร์",K349="S1",Q349&gt;=1),EDATE(P349,12),AND(AH349="K5-POLICY",AG349&lt;&gt;"นิติศาสตร์",OR(K349="S2",K349="K5")),P349,TRUE,"Check Data")</f>
        <v/>
      </c>
      <c r="AJ349" s="75" t="str">
        <f t="shared" si="99"/>
        <v>Check Data</v>
      </c>
      <c r="AK349" s="76" t="str">
        <f t="shared" si="100"/>
        <v>Check Data</v>
      </c>
      <c r="AL349" s="50" t="str">
        <f t="shared" si="101"/>
        <v>Check Data</v>
      </c>
      <c r="AM349" s="49" t="str">
        <f>IF(B349="","",IF(K349="S1","S1",INDEX(#REF!,#REF!)))</f>
        <v/>
      </c>
      <c r="AN349" s="49" t="str">
        <f>K349</f>
        <v>K4</v>
      </c>
      <c r="AO349" s="50" t="b">
        <f>K349=AM349</f>
        <v>0</v>
      </c>
    </row>
    <row r="350" spans="1:41" ht="21.75">
      <c r="A350" s="49">
        <v>348</v>
      </c>
      <c r="B350" s="50"/>
      <c r="C350" s="52"/>
      <c r="D350" s="84"/>
      <c r="E350" s="85"/>
      <c r="F350" s="85"/>
      <c r="G350" s="50">
        <f t="shared" si="92"/>
        <v>0</v>
      </c>
      <c r="H350" s="50">
        <f t="shared" si="93"/>
        <v>0</v>
      </c>
      <c r="I350" s="50">
        <f t="shared" si="94"/>
        <v>0</v>
      </c>
      <c r="J350" s="84"/>
      <c r="K350" s="49" t="s">
        <v>137</v>
      </c>
      <c r="L350" s="87"/>
      <c r="M350" s="85"/>
      <c r="N350" s="85"/>
      <c r="O350" s="65" t="s">
        <v>448</v>
      </c>
      <c r="P350" s="49" t="str">
        <f t="shared" si="95"/>
        <v>17/07/2024</v>
      </c>
      <c r="Q350" s="68">
        <f t="shared" si="96"/>
        <v>0</v>
      </c>
      <c r="R350" s="68">
        <f t="shared" si="97"/>
        <v>11</v>
      </c>
      <c r="S350" s="68">
        <f t="shared" si="98"/>
        <v>3</v>
      </c>
      <c r="T350" s="65"/>
      <c r="U350" s="89"/>
      <c r="V350" s="85"/>
      <c r="W350" s="88"/>
      <c r="X350" s="88"/>
      <c r="Y350" s="88"/>
      <c r="Z350" s="85"/>
      <c r="AA350" s="89"/>
      <c r="AB350" s="84"/>
      <c r="AC350" s="88"/>
      <c r="AD350" s="88"/>
      <c r="AE350" s="88"/>
      <c r="AF350" s="84"/>
      <c r="AG350" s="84"/>
      <c r="AH350" s="49" t="str">
        <f>IF(AG350="นิติศาสตร์","K5-LAW","K5-POLICY")</f>
        <v>K5-POLICY</v>
      </c>
      <c r="AI350" s="72" t="str">
        <f>_xlfn.IFS(B350="","",AND(AH350="K5-LAW",AG350="นิติศาสตร์",K350="S2",T350="",Z350=""),P350,AND(AH350="K5-LAW",AG350="นิติศาสตร์",K350="S1",T350="",Z350=""),EDATE(P350,12),AND(AH350="K5-LAW",AG350="นิติศาสตร์",OR(K350="M2",K350="K4"),T350="",Z350=""),EDATE(P350,12*2),AND(AH350="K5-LAW",AG350="นิติศาสตร์",OR(Z350="M2",Z350="K4"),AC350&gt;=2,OR(AB350&lt;V350,AB350&lt;P350)),EDATE(AB350,12*2),AND(AH350="K5-LAW",AG350="นิติศาสตร์",Z350="S1",AC350&gt;=1,OR(AB350&lt;V350,AB350&lt;P350)),EDATE(AB350,12),AND(AH350="K5-LAW",AG350="นิติศาสตร์",OR(T350="M2",T350="K4"),W350&gt;=2,V350&lt;P350),EDATE(V350,12*2),AND(AH350="K5-LAW",AG350="นิติศาสตร์",T350="S1",W350&gt;=1,V350&lt;P350),EDATE(V350,12),AND(AH350="K5-LAW",AG350="นิติศาสตร์",OR(T350="S2",T350="K5")),V350,AND(AH350="K5-LAW",AG350="นิติศาสตร์",OR(K350="M2",K350="K4"),Q350&gt;=2),EDATE(P350,12*2),AND(AH350="K5-LAW",AG350="นิติศาสตร์",K350="S1",Q350&gt;=1),EDATE(P350,12),AND(AH350="K5-LAW",AG350="นิติศาสตร์",OR(K350="S2",K350="K5")),P350,AND(AH350="K5-POLICY",AG350&lt;&gt;"นิติศาสตร์",K350="S2",T350="",Z350=""),P350,AND(AH350="K5-POLICY",AG350&lt;&gt;"นิติศาสตร์",K350="S1",T350="",Z350=""),EDATE(P350,12),AND(AH350="K5-POLICY",AG350&lt;&gt;"นิติศาสตร์",OR(K350="M2",K350="K4"),T350="",Z350=""),EDATE(P350,12*2),AND(AH350="K5-POLICY",AG350&lt;&gt;"นิติศาสตร์",OR(Z350="M2",Z350="K4"),AC350&gt;=2,OR(AB350&lt;V350,AB350&lt;P350)),EDATE(AB350,12*2),AND(AH350="K5-POLICY",AG350&lt;&gt;"นิติศาสตร์",Z350="S1",AC350&gt;=1,OR(AB350&lt;V350,AB350&lt;P350)),EDATE(AB350,12),AND(AH350="K5-POLICY",AG350&lt;&gt;"นิติศาสตร์",OR(T350="M2",T350="K4"),W350&gt;=2,V350&lt;P350),EDATE(V350,12*2),AND(AH350="K5-POLICY",AG350&lt;&gt;"นิติศาสตร์",T350="S1",W350&gt;=1,V350&lt;P350),EDATE(V350,12),AND(AH350="K5-POLICY",AG350&lt;&gt;"นิติศาสตร์",OR(T350="S2",T350="K5")),V350,AND(AH350="K5-POLICY",AG350&lt;&gt;"นิติศาสตร์",OR(K350="M2",K350="K4"),Q350&gt;=2),EDATE(P350,12*2),AND(AH350="K5-POLICY",AG350&lt;&gt;"นิติศาสตร์",K350="S1",Q350&gt;=1),EDATE(P350,12),AND(AH350="K5-POLICY",AG350&lt;&gt;"นิติศาสตร์",OR(K350="S2",K350="K5")),P350,TRUE,"Check Data")</f>
        <v/>
      </c>
      <c r="AJ350" s="75" t="str">
        <f t="shared" si="99"/>
        <v>Check Data</v>
      </c>
      <c r="AK350" s="76" t="str">
        <f t="shared" si="100"/>
        <v>Check Data</v>
      </c>
      <c r="AL350" s="50" t="str">
        <f t="shared" si="101"/>
        <v>Check Data</v>
      </c>
      <c r="AM350" s="49" t="str">
        <f>IF(B350="","",IF(K350="S1","S1",INDEX(#REF!,#REF!)))</f>
        <v/>
      </c>
      <c r="AN350" s="49" t="str">
        <f>K350</f>
        <v>K4</v>
      </c>
      <c r="AO350" s="50" t="b">
        <f>K350=AM350</f>
        <v>0</v>
      </c>
    </row>
    <row r="351" spans="1:41" ht="21.75">
      <c r="A351" s="49">
        <v>349</v>
      </c>
      <c r="B351" s="50"/>
      <c r="C351" s="52"/>
      <c r="G351" s="50">
        <f t="shared" si="92"/>
        <v>0</v>
      </c>
      <c r="H351" s="50">
        <f t="shared" si="93"/>
        <v>0</v>
      </c>
      <c r="I351" s="50">
        <f t="shared" si="94"/>
        <v>0</v>
      </c>
      <c r="K351" s="49" t="s">
        <v>137</v>
      </c>
      <c r="O351" s="65" t="s">
        <v>448</v>
      </c>
      <c r="P351" s="49" t="str">
        <f t="shared" si="95"/>
        <v>17/07/2024</v>
      </c>
      <c r="Q351" s="68">
        <f t="shared" si="96"/>
        <v>0</v>
      </c>
      <c r="R351" s="68">
        <f t="shared" si="97"/>
        <v>11</v>
      </c>
      <c r="S351" s="68">
        <f t="shared" si="98"/>
        <v>3</v>
      </c>
      <c r="T351" s="65"/>
      <c r="AH351" s="49" t="str">
        <f>IF(AG351="นิติศาสตร์","K5-LAW","K5-POLICY")</f>
        <v>K5-POLICY</v>
      </c>
      <c r="AI351" s="72" t="str">
        <f>_xlfn.IFS(B351="","",AND(AH351="K5-LAW",AG351="นิติศาสตร์",K351="S2",T351="",Z351=""),P351,AND(AH351="K5-LAW",AG351="นิติศาสตร์",K351="S1",T351="",Z351=""),EDATE(P351,12),AND(AH351="K5-LAW",AG351="นิติศาสตร์",OR(K351="M2",K351="K4"),T351="",Z351=""),EDATE(P351,12*2),AND(AH351="K5-LAW",AG351="นิติศาสตร์",OR(Z351="M2",Z351="K4"),AC351&gt;=2,OR(AB351&lt;V351,AB351&lt;P351)),EDATE(AB351,12*2),AND(AH351="K5-LAW",AG351="นิติศาสตร์",Z351="S1",AC351&gt;=1,OR(AB351&lt;V351,AB351&lt;P351)),EDATE(AB351,12),AND(AH351="K5-LAW",AG351="นิติศาสตร์",OR(T351="M2",T351="K4"),W351&gt;=2,V351&lt;P351),EDATE(V351,12*2),AND(AH351="K5-LAW",AG351="นิติศาสตร์",T351="S1",W351&gt;=1,V351&lt;P351),EDATE(V351,12),AND(AH351="K5-LAW",AG351="นิติศาสตร์",OR(T351="S2",T351="K5")),V351,AND(AH351="K5-LAW",AG351="นิติศาสตร์",OR(K351="M2",K351="K4"),Q351&gt;=2),EDATE(P351,12*2),AND(AH351="K5-LAW",AG351="นิติศาสตร์",K351="S1",Q351&gt;=1),EDATE(P351,12),AND(AH351="K5-LAW",AG351="นิติศาสตร์",OR(K351="S2",K351="K5")),P351,AND(AH351="K5-POLICY",AG351&lt;&gt;"นิติศาสตร์",K351="S2",T351="",Z351=""),P351,AND(AH351="K5-POLICY",AG351&lt;&gt;"นิติศาสตร์",K351="S1",T351="",Z351=""),EDATE(P351,12),AND(AH351="K5-POLICY",AG351&lt;&gt;"นิติศาสตร์",OR(K351="M2",K351="K4"),T351="",Z351=""),EDATE(P351,12*2),AND(AH351="K5-POLICY",AG351&lt;&gt;"นิติศาสตร์",OR(Z351="M2",Z351="K4"),AC351&gt;=2,OR(AB351&lt;V351,AB351&lt;P351)),EDATE(AB351,12*2),AND(AH351="K5-POLICY",AG351&lt;&gt;"นิติศาสตร์",Z351="S1",AC351&gt;=1,OR(AB351&lt;V351,AB351&lt;P351)),EDATE(AB351,12),AND(AH351="K5-POLICY",AG351&lt;&gt;"นิติศาสตร์",OR(T351="M2",T351="K4"),W351&gt;=2,V351&lt;P351),EDATE(V351,12*2),AND(AH351="K5-POLICY",AG351&lt;&gt;"นิติศาสตร์",T351="S1",W351&gt;=1,V351&lt;P351),EDATE(V351,12),AND(AH351="K5-POLICY",AG351&lt;&gt;"นิติศาสตร์",OR(T351="S2",T351="K5")),V351,AND(AH351="K5-POLICY",AG351&lt;&gt;"นิติศาสตร์",OR(K351="M2",K351="K4"),Q351&gt;=2),EDATE(P351,12*2),AND(AH351="K5-POLICY",AG351&lt;&gt;"นิติศาสตร์",K351="S1",Q351&gt;=1),EDATE(P351,12),AND(AH351="K5-POLICY",AG351&lt;&gt;"นิติศาสตร์",OR(K351="S2",K351="K5")),P351,TRUE,"Check Data")</f>
        <v/>
      </c>
      <c r="AJ351" s="75" t="str">
        <f t="shared" si="99"/>
        <v>Check Data</v>
      </c>
      <c r="AK351" s="76" t="str">
        <f t="shared" si="100"/>
        <v>Check Data</v>
      </c>
      <c r="AL351" s="50" t="str">
        <f t="shared" si="101"/>
        <v>Check Data</v>
      </c>
      <c r="AM351" s="49" t="str">
        <f>IF(B351="","",IF(K351="S1","S1",INDEX(#REF!,#REF!)))</f>
        <v/>
      </c>
      <c r="AN351" s="49" t="str">
        <f>K351</f>
        <v>K4</v>
      </c>
      <c r="AO351" s="50" t="b">
        <f>K351=AM351</f>
        <v>0</v>
      </c>
    </row>
    <row r="352" spans="1:41" ht="21.75">
      <c r="A352" s="49">
        <v>350</v>
      </c>
      <c r="B352" s="50"/>
      <c r="C352" s="52"/>
      <c r="D352" s="84"/>
      <c r="E352" s="85"/>
      <c r="F352" s="85"/>
      <c r="G352" s="50">
        <f t="shared" si="92"/>
        <v>0</v>
      </c>
      <c r="H352" s="50">
        <f t="shared" si="93"/>
        <v>0</v>
      </c>
      <c r="I352" s="50">
        <f t="shared" si="94"/>
        <v>0</v>
      </c>
      <c r="J352" s="84"/>
      <c r="K352" s="49" t="s">
        <v>137</v>
      </c>
      <c r="L352" s="87"/>
      <c r="M352" s="85"/>
      <c r="N352" s="85"/>
      <c r="O352" s="65" t="s">
        <v>449</v>
      </c>
      <c r="P352" s="49" t="str">
        <f t="shared" si="95"/>
        <v>19/07/2024</v>
      </c>
      <c r="Q352" s="68">
        <f t="shared" si="96"/>
        <v>0</v>
      </c>
      <c r="R352" s="68">
        <f t="shared" si="97"/>
        <v>11</v>
      </c>
      <c r="S352" s="68">
        <f t="shared" si="98"/>
        <v>1</v>
      </c>
      <c r="T352" s="65"/>
      <c r="U352" s="89"/>
      <c r="V352" s="85"/>
      <c r="W352" s="88"/>
      <c r="X352" s="88"/>
      <c r="Y352" s="88"/>
      <c r="Z352" s="85"/>
      <c r="AA352" s="89"/>
      <c r="AB352" s="84"/>
      <c r="AC352" s="88"/>
      <c r="AD352" s="88"/>
      <c r="AE352" s="88"/>
      <c r="AF352" s="84"/>
      <c r="AG352" s="84"/>
      <c r="AH352" s="49" t="str">
        <f>IF(AG352="นิติศาสตร์","K5-LAW","K5-POLICY")</f>
        <v>K5-POLICY</v>
      </c>
      <c r="AI352" s="72" t="str">
        <f>_xlfn.IFS(B352="","",AND(AH352="K5-LAW",AG352="นิติศาสตร์",K352="S2",T352="",Z352=""),P352,AND(AH352="K5-LAW",AG352="นิติศาสตร์",K352="S1",T352="",Z352=""),EDATE(P352,12),AND(AH352="K5-LAW",AG352="นิติศาสตร์",OR(K352="M2",K352="K4"),T352="",Z352=""),EDATE(P352,12*2),AND(AH352="K5-LAW",AG352="นิติศาสตร์",OR(Z352="M2",Z352="K4"),AC352&gt;=2,OR(AB352&lt;V352,AB352&lt;P352)),EDATE(AB352,12*2),AND(AH352="K5-LAW",AG352="นิติศาสตร์",Z352="S1",AC352&gt;=1,OR(AB352&lt;V352,AB352&lt;P352)),EDATE(AB352,12),AND(AH352="K5-LAW",AG352="นิติศาสตร์",OR(T352="M2",T352="K4"),W352&gt;=2,V352&lt;P352),EDATE(V352,12*2),AND(AH352="K5-LAW",AG352="นิติศาสตร์",T352="S1",W352&gt;=1,V352&lt;P352),EDATE(V352,12),AND(AH352="K5-LAW",AG352="นิติศาสตร์",OR(T352="S2",T352="K5")),V352,AND(AH352="K5-LAW",AG352="นิติศาสตร์",OR(K352="M2",K352="K4"),Q352&gt;=2),EDATE(P352,12*2),AND(AH352="K5-LAW",AG352="นิติศาสตร์",K352="S1",Q352&gt;=1),EDATE(P352,12),AND(AH352="K5-LAW",AG352="นิติศาสตร์",OR(K352="S2",K352="K5")),P352,AND(AH352="K5-POLICY",AG352&lt;&gt;"นิติศาสตร์",K352="S2",T352="",Z352=""),P352,AND(AH352="K5-POLICY",AG352&lt;&gt;"นิติศาสตร์",K352="S1",T352="",Z352=""),EDATE(P352,12),AND(AH352="K5-POLICY",AG352&lt;&gt;"นิติศาสตร์",OR(K352="M2",K352="K4"),T352="",Z352=""),EDATE(P352,12*2),AND(AH352="K5-POLICY",AG352&lt;&gt;"นิติศาสตร์",OR(Z352="M2",Z352="K4"),AC352&gt;=2,OR(AB352&lt;V352,AB352&lt;P352)),EDATE(AB352,12*2),AND(AH352="K5-POLICY",AG352&lt;&gt;"นิติศาสตร์",Z352="S1",AC352&gt;=1,OR(AB352&lt;V352,AB352&lt;P352)),EDATE(AB352,12),AND(AH352="K5-POLICY",AG352&lt;&gt;"นิติศาสตร์",OR(T352="M2",T352="K4"),W352&gt;=2,V352&lt;P352),EDATE(V352,12*2),AND(AH352="K5-POLICY",AG352&lt;&gt;"นิติศาสตร์",T352="S1",W352&gt;=1,V352&lt;P352),EDATE(V352,12),AND(AH352="K5-POLICY",AG352&lt;&gt;"นิติศาสตร์",OR(T352="S2",T352="K5")),V352,AND(AH352="K5-POLICY",AG352&lt;&gt;"นิติศาสตร์",OR(K352="M2",K352="K4"),Q352&gt;=2),EDATE(P352,12*2),AND(AH352="K5-POLICY",AG352&lt;&gt;"นิติศาสตร์",K352="S1",Q352&gt;=1),EDATE(P352,12),AND(AH352="K5-POLICY",AG352&lt;&gt;"นิติศาสตร์",OR(K352="S2",K352="K5")),P352,TRUE,"Check Data")</f>
        <v/>
      </c>
      <c r="AJ352" s="75" t="str">
        <f t="shared" si="99"/>
        <v>Check Data</v>
      </c>
      <c r="AK352" s="76" t="str">
        <f t="shared" si="100"/>
        <v>Check Data</v>
      </c>
      <c r="AL352" s="50" t="str">
        <f t="shared" si="101"/>
        <v>Check Data</v>
      </c>
      <c r="AM352" s="49" t="str">
        <f>IF(B352="","",IF(K352="S1","S1",INDEX(#REF!,#REF!)))</f>
        <v/>
      </c>
      <c r="AN352" s="49" t="str">
        <f>K352</f>
        <v>K4</v>
      </c>
      <c r="AO352" s="50" t="b">
        <f>K352=AM352</f>
        <v>0</v>
      </c>
    </row>
    <row r="353" spans="1:41" ht="21.75">
      <c r="A353" s="49">
        <v>351</v>
      </c>
      <c r="B353" s="50"/>
      <c r="C353" s="52"/>
      <c r="G353" s="50">
        <f t="shared" si="92"/>
        <v>0</v>
      </c>
      <c r="H353" s="50">
        <f t="shared" si="93"/>
        <v>0</v>
      </c>
      <c r="I353" s="50">
        <f t="shared" si="94"/>
        <v>0</v>
      </c>
      <c r="K353" s="49" t="s">
        <v>137</v>
      </c>
      <c r="O353" s="65" t="s">
        <v>465</v>
      </c>
      <c r="P353" s="49" t="str">
        <f t="shared" si="95"/>
        <v>24/07/2024</v>
      </c>
      <c r="Q353" s="68">
        <f t="shared" si="96"/>
        <v>0</v>
      </c>
      <c r="R353" s="68">
        <f t="shared" si="97"/>
        <v>10</v>
      </c>
      <c r="S353" s="68">
        <f t="shared" si="98"/>
        <v>27</v>
      </c>
      <c r="T353" s="65"/>
      <c r="AH353" s="49" t="str">
        <f>IF(AG353="นิติศาสตร์","K5-LAW","K5-POLICY")</f>
        <v>K5-POLICY</v>
      </c>
      <c r="AI353" s="72" t="str">
        <f>_xlfn.IFS(B353="","",AND(AH353="K5-LAW",AG353="นิติศาสตร์",K353="S2",T353="",Z353=""),P353,AND(AH353="K5-LAW",AG353="นิติศาสตร์",K353="S1",T353="",Z353=""),EDATE(P353,12),AND(AH353="K5-LAW",AG353="นิติศาสตร์",OR(K353="M2",K353="K4"),T353="",Z353=""),EDATE(P353,12*2),AND(AH353="K5-LAW",AG353="นิติศาสตร์",OR(Z353="M2",Z353="K4"),AC353&gt;=2,OR(AB353&lt;V353,AB353&lt;P353)),EDATE(AB353,12*2),AND(AH353="K5-LAW",AG353="นิติศาสตร์",Z353="S1",AC353&gt;=1,OR(AB353&lt;V353,AB353&lt;P353)),EDATE(AB353,12),AND(AH353="K5-LAW",AG353="นิติศาสตร์",OR(T353="M2",T353="K4"),W353&gt;=2,V353&lt;P353),EDATE(V353,12*2),AND(AH353="K5-LAW",AG353="นิติศาสตร์",T353="S1",W353&gt;=1,V353&lt;P353),EDATE(V353,12),AND(AH353="K5-LAW",AG353="นิติศาสตร์",OR(T353="S2",T353="K5")),V353,AND(AH353="K5-LAW",AG353="นิติศาสตร์",OR(K353="M2",K353="K4"),Q353&gt;=2),EDATE(P353,12*2),AND(AH353="K5-LAW",AG353="นิติศาสตร์",K353="S1",Q353&gt;=1),EDATE(P353,12),AND(AH353="K5-LAW",AG353="นิติศาสตร์",OR(K353="S2",K353="K5")),P353,AND(AH353="K5-POLICY",AG353&lt;&gt;"นิติศาสตร์",K353="S2",T353="",Z353=""),P353,AND(AH353="K5-POLICY",AG353&lt;&gt;"นิติศาสตร์",K353="S1",T353="",Z353=""),EDATE(P353,12),AND(AH353="K5-POLICY",AG353&lt;&gt;"นิติศาสตร์",OR(K353="M2",K353="K4"),T353="",Z353=""),EDATE(P353,12*2),AND(AH353="K5-POLICY",AG353&lt;&gt;"นิติศาสตร์",OR(Z353="M2",Z353="K4"),AC353&gt;=2,OR(AB353&lt;V353,AB353&lt;P353)),EDATE(AB353,12*2),AND(AH353="K5-POLICY",AG353&lt;&gt;"นิติศาสตร์",Z353="S1",AC353&gt;=1,OR(AB353&lt;V353,AB353&lt;P353)),EDATE(AB353,12),AND(AH353="K5-POLICY",AG353&lt;&gt;"นิติศาสตร์",OR(T353="M2",T353="K4"),W353&gt;=2,V353&lt;P353),EDATE(V353,12*2),AND(AH353="K5-POLICY",AG353&lt;&gt;"นิติศาสตร์",T353="S1",W353&gt;=1,V353&lt;P353),EDATE(V353,12),AND(AH353="K5-POLICY",AG353&lt;&gt;"นิติศาสตร์",OR(T353="S2",T353="K5")),V353,AND(AH353="K5-POLICY",AG353&lt;&gt;"นิติศาสตร์",OR(K353="M2",K353="K4"),Q353&gt;=2),EDATE(P353,12*2),AND(AH353="K5-POLICY",AG353&lt;&gt;"นิติศาสตร์",K353="S1",Q353&gt;=1),EDATE(P353,12),AND(AH353="K5-POLICY",AG353&lt;&gt;"นิติศาสตร์",OR(K353="S2",K353="K5")),P353,TRUE,"Check Data")</f>
        <v/>
      </c>
      <c r="AJ353" s="75" t="str">
        <f t="shared" si="99"/>
        <v>Check Data</v>
      </c>
      <c r="AK353" s="76" t="str">
        <f t="shared" si="100"/>
        <v>Check Data</v>
      </c>
      <c r="AL353" s="50" t="str">
        <f t="shared" si="101"/>
        <v>Check Data</v>
      </c>
      <c r="AM353" s="49" t="str">
        <f>IF(B353="","",IF(K353="S1","S1",INDEX(#REF!,#REF!)))</f>
        <v/>
      </c>
      <c r="AN353" s="49" t="str">
        <f>K353</f>
        <v>K4</v>
      </c>
      <c r="AO353" s="50" t="b">
        <f>K353=AM353</f>
        <v>0</v>
      </c>
    </row>
    <row r="354" spans="1:41" ht="21.75">
      <c r="A354" s="49">
        <v>352</v>
      </c>
      <c r="B354" s="50"/>
      <c r="C354" s="52"/>
      <c r="D354" s="84"/>
      <c r="E354" s="85"/>
      <c r="F354" s="85"/>
      <c r="G354" s="50">
        <f t="shared" si="92"/>
        <v>0</v>
      </c>
      <c r="H354" s="50">
        <f t="shared" si="93"/>
        <v>0</v>
      </c>
      <c r="I354" s="50">
        <f t="shared" si="94"/>
        <v>0</v>
      </c>
      <c r="J354" s="84"/>
      <c r="K354" s="49" t="s">
        <v>137</v>
      </c>
      <c r="L354" s="87"/>
      <c r="M354" s="85"/>
      <c r="N354" s="85"/>
      <c r="O354" s="65" t="s">
        <v>457</v>
      </c>
      <c r="P354" s="49" t="str">
        <f t="shared" si="95"/>
        <v>01/08/2024</v>
      </c>
      <c r="Q354" s="68">
        <f t="shared" si="96"/>
        <v>0</v>
      </c>
      <c r="R354" s="68">
        <f t="shared" si="97"/>
        <v>10</v>
      </c>
      <c r="S354" s="68">
        <f t="shared" si="98"/>
        <v>19</v>
      </c>
      <c r="T354" s="65"/>
      <c r="U354" s="89"/>
      <c r="V354" s="85"/>
      <c r="W354" s="88"/>
      <c r="X354" s="88"/>
      <c r="Y354" s="88"/>
      <c r="Z354" s="85"/>
      <c r="AA354" s="89"/>
      <c r="AB354" s="84"/>
      <c r="AC354" s="88"/>
      <c r="AD354" s="88"/>
      <c r="AE354" s="88"/>
      <c r="AF354" s="84"/>
      <c r="AG354" s="84"/>
      <c r="AH354" s="49" t="str">
        <f>IF(AG354="นิติศาสตร์","K5-LAW","K5-POLICY")</f>
        <v>K5-POLICY</v>
      </c>
      <c r="AI354" s="72" t="str">
        <f>_xlfn.IFS(B354="","",AND(AH354="K5-LAW",AG354="นิติศาสตร์",K354="S2",T354="",Z354=""),P354,AND(AH354="K5-LAW",AG354="นิติศาสตร์",K354="S1",T354="",Z354=""),EDATE(P354,12),AND(AH354="K5-LAW",AG354="นิติศาสตร์",OR(K354="M2",K354="K4"),T354="",Z354=""),EDATE(P354,12*2),AND(AH354="K5-LAW",AG354="นิติศาสตร์",OR(Z354="M2",Z354="K4"),AC354&gt;=2,OR(AB354&lt;V354,AB354&lt;P354)),EDATE(AB354,12*2),AND(AH354="K5-LAW",AG354="นิติศาสตร์",Z354="S1",AC354&gt;=1,OR(AB354&lt;V354,AB354&lt;P354)),EDATE(AB354,12),AND(AH354="K5-LAW",AG354="นิติศาสตร์",OR(T354="M2",T354="K4"),W354&gt;=2,V354&lt;P354),EDATE(V354,12*2),AND(AH354="K5-LAW",AG354="นิติศาสตร์",T354="S1",W354&gt;=1,V354&lt;P354),EDATE(V354,12),AND(AH354="K5-LAW",AG354="นิติศาสตร์",OR(T354="S2",T354="K5")),V354,AND(AH354="K5-LAW",AG354="นิติศาสตร์",OR(K354="M2",K354="K4"),Q354&gt;=2),EDATE(P354,12*2),AND(AH354="K5-LAW",AG354="นิติศาสตร์",K354="S1",Q354&gt;=1),EDATE(P354,12),AND(AH354="K5-LAW",AG354="นิติศาสตร์",OR(K354="S2",K354="K5")),P354,AND(AH354="K5-POLICY",AG354&lt;&gt;"นิติศาสตร์",K354="S2",T354="",Z354=""),P354,AND(AH354="K5-POLICY",AG354&lt;&gt;"นิติศาสตร์",K354="S1",T354="",Z354=""),EDATE(P354,12),AND(AH354="K5-POLICY",AG354&lt;&gt;"นิติศาสตร์",OR(K354="M2",K354="K4"),T354="",Z354=""),EDATE(P354,12*2),AND(AH354="K5-POLICY",AG354&lt;&gt;"นิติศาสตร์",OR(Z354="M2",Z354="K4"),AC354&gt;=2,OR(AB354&lt;V354,AB354&lt;P354)),EDATE(AB354,12*2),AND(AH354="K5-POLICY",AG354&lt;&gt;"นิติศาสตร์",Z354="S1",AC354&gt;=1,OR(AB354&lt;V354,AB354&lt;P354)),EDATE(AB354,12),AND(AH354="K5-POLICY",AG354&lt;&gt;"นิติศาสตร์",OR(T354="M2",T354="K4"),W354&gt;=2,V354&lt;P354),EDATE(V354,12*2),AND(AH354="K5-POLICY",AG354&lt;&gt;"นิติศาสตร์",T354="S1",W354&gt;=1,V354&lt;P354),EDATE(V354,12),AND(AH354="K5-POLICY",AG354&lt;&gt;"นิติศาสตร์",OR(T354="S2",T354="K5")),V354,AND(AH354="K5-POLICY",AG354&lt;&gt;"นิติศาสตร์",OR(K354="M2",K354="K4"),Q354&gt;=2),EDATE(P354,12*2),AND(AH354="K5-POLICY",AG354&lt;&gt;"นิติศาสตร์",K354="S1",Q354&gt;=1),EDATE(P354,12),AND(AH354="K5-POLICY",AG354&lt;&gt;"นิติศาสตร์",OR(K354="S2",K354="K5")),P354,TRUE,"Check Data")</f>
        <v/>
      </c>
      <c r="AJ354" s="75" t="str">
        <f t="shared" si="99"/>
        <v>Check Data</v>
      </c>
      <c r="AK354" s="76" t="str">
        <f t="shared" si="100"/>
        <v>Check Data</v>
      </c>
      <c r="AL354" s="50" t="str">
        <f t="shared" si="101"/>
        <v>Check Data</v>
      </c>
      <c r="AM354" s="49" t="str">
        <f>IF(B354="","",IF(K354="S1","S1",INDEX(#REF!,#REF!)))</f>
        <v/>
      </c>
      <c r="AN354" s="49" t="str">
        <f>K354</f>
        <v>K4</v>
      </c>
      <c r="AO354" s="50" t="b">
        <f>K354=AM354</f>
        <v>0</v>
      </c>
    </row>
    <row r="355" spans="1:41" ht="21.75">
      <c r="A355" s="49">
        <v>353</v>
      </c>
      <c r="B355" s="50"/>
      <c r="C355" s="52"/>
      <c r="G355" s="50">
        <f t="shared" si="92"/>
        <v>0</v>
      </c>
      <c r="H355" s="50">
        <f t="shared" si="93"/>
        <v>0</v>
      </c>
      <c r="I355" s="50">
        <f t="shared" si="94"/>
        <v>0</v>
      </c>
      <c r="K355" s="49" t="s">
        <v>137</v>
      </c>
      <c r="O355" s="65" t="s">
        <v>450</v>
      </c>
      <c r="P355" s="49" t="str">
        <f t="shared" si="95"/>
        <v>09/08/2024</v>
      </c>
      <c r="Q355" s="68">
        <f t="shared" si="96"/>
        <v>0</v>
      </c>
      <c r="R355" s="68">
        <f t="shared" si="97"/>
        <v>10</v>
      </c>
      <c r="S355" s="68">
        <f t="shared" si="98"/>
        <v>11</v>
      </c>
      <c r="T355" s="65"/>
      <c r="AH355" s="49" t="str">
        <f>IF(AG355="นิติศาสตร์","K5-LAW","K5-POLICY")</f>
        <v>K5-POLICY</v>
      </c>
      <c r="AI355" s="72" t="str">
        <f>_xlfn.IFS(B355="","",AND(AH355="K5-LAW",AG355="นิติศาสตร์",K355="S2",T355="",Z355=""),P355,AND(AH355="K5-LAW",AG355="นิติศาสตร์",K355="S1",T355="",Z355=""),EDATE(P355,12),AND(AH355="K5-LAW",AG355="นิติศาสตร์",OR(K355="M2",K355="K4"),T355="",Z355=""),EDATE(P355,12*2),AND(AH355="K5-LAW",AG355="นิติศาสตร์",OR(Z355="M2",Z355="K4"),AC355&gt;=2,OR(AB355&lt;V355,AB355&lt;P355)),EDATE(AB355,12*2),AND(AH355="K5-LAW",AG355="นิติศาสตร์",Z355="S1",AC355&gt;=1,OR(AB355&lt;V355,AB355&lt;P355)),EDATE(AB355,12),AND(AH355="K5-LAW",AG355="นิติศาสตร์",OR(T355="M2",T355="K4"),W355&gt;=2,V355&lt;P355),EDATE(V355,12*2),AND(AH355="K5-LAW",AG355="นิติศาสตร์",T355="S1",W355&gt;=1,V355&lt;P355),EDATE(V355,12),AND(AH355="K5-LAW",AG355="นิติศาสตร์",OR(T355="S2",T355="K5")),V355,AND(AH355="K5-LAW",AG355="นิติศาสตร์",OR(K355="M2",K355="K4"),Q355&gt;=2),EDATE(P355,12*2),AND(AH355="K5-LAW",AG355="นิติศาสตร์",K355="S1",Q355&gt;=1),EDATE(P355,12),AND(AH355="K5-LAW",AG355="นิติศาสตร์",OR(K355="S2",K355="K5")),P355,AND(AH355="K5-POLICY",AG355&lt;&gt;"นิติศาสตร์",K355="S2",T355="",Z355=""),P355,AND(AH355="K5-POLICY",AG355&lt;&gt;"นิติศาสตร์",K355="S1",T355="",Z355=""),EDATE(P355,12),AND(AH355="K5-POLICY",AG355&lt;&gt;"นิติศาสตร์",OR(K355="M2",K355="K4"),T355="",Z355=""),EDATE(P355,12*2),AND(AH355="K5-POLICY",AG355&lt;&gt;"นิติศาสตร์",OR(Z355="M2",Z355="K4"),AC355&gt;=2,OR(AB355&lt;V355,AB355&lt;P355)),EDATE(AB355,12*2),AND(AH355="K5-POLICY",AG355&lt;&gt;"นิติศาสตร์",Z355="S1",AC355&gt;=1,OR(AB355&lt;V355,AB355&lt;P355)),EDATE(AB355,12),AND(AH355="K5-POLICY",AG355&lt;&gt;"นิติศาสตร์",OR(T355="M2",T355="K4"),W355&gt;=2,V355&lt;P355),EDATE(V355,12*2),AND(AH355="K5-POLICY",AG355&lt;&gt;"นิติศาสตร์",T355="S1",W355&gt;=1,V355&lt;P355),EDATE(V355,12),AND(AH355="K5-POLICY",AG355&lt;&gt;"นิติศาสตร์",OR(T355="S2",T355="K5")),V355,AND(AH355="K5-POLICY",AG355&lt;&gt;"นิติศาสตร์",OR(K355="M2",K355="K4"),Q355&gt;=2),EDATE(P355,12*2),AND(AH355="K5-POLICY",AG355&lt;&gt;"นิติศาสตร์",K355="S1",Q355&gt;=1),EDATE(P355,12),AND(AH355="K5-POLICY",AG355&lt;&gt;"นิติศาสตร์",OR(K355="S2",K355="K5")),P355,TRUE,"Check Data")</f>
        <v/>
      </c>
      <c r="AJ355" s="75" t="str">
        <f t="shared" si="99"/>
        <v>Check Data</v>
      </c>
      <c r="AK355" s="76" t="str">
        <f t="shared" si="100"/>
        <v>Check Data</v>
      </c>
      <c r="AL355" s="50" t="str">
        <f t="shared" si="101"/>
        <v>Check Data</v>
      </c>
      <c r="AM355" s="49" t="str">
        <f>IF(B355="","",IF(K355="S1","S1",INDEX(#REF!,#REF!)))</f>
        <v/>
      </c>
      <c r="AN355" s="49" t="str">
        <f>K355</f>
        <v>K4</v>
      </c>
      <c r="AO355" s="50" t="b">
        <f>K355=AM355</f>
        <v>0</v>
      </c>
    </row>
    <row r="356" spans="1:41" ht="21.75">
      <c r="A356" s="49">
        <v>354</v>
      </c>
      <c r="B356" s="50"/>
      <c r="C356" s="52"/>
      <c r="D356" s="84"/>
      <c r="E356" s="85"/>
      <c r="F356" s="85"/>
      <c r="G356" s="50">
        <f t="shared" si="92"/>
        <v>0</v>
      </c>
      <c r="H356" s="50">
        <f t="shared" si="93"/>
        <v>0</v>
      </c>
      <c r="I356" s="50">
        <f t="shared" si="94"/>
        <v>0</v>
      </c>
      <c r="J356" s="84"/>
      <c r="K356" s="49" t="s">
        <v>137</v>
      </c>
      <c r="L356" s="87"/>
      <c r="M356" s="85"/>
      <c r="N356" s="85"/>
      <c r="O356" s="65" t="s">
        <v>463</v>
      </c>
      <c r="P356" s="49" t="str">
        <f t="shared" si="95"/>
        <v>14/08/2024</v>
      </c>
      <c r="Q356" s="68">
        <f t="shared" si="96"/>
        <v>0</v>
      </c>
      <c r="R356" s="68">
        <f t="shared" si="97"/>
        <v>10</v>
      </c>
      <c r="S356" s="68">
        <f t="shared" si="98"/>
        <v>6</v>
      </c>
      <c r="T356" s="65"/>
      <c r="U356" s="89"/>
      <c r="V356" s="85"/>
      <c r="W356" s="88"/>
      <c r="X356" s="88"/>
      <c r="Y356" s="88"/>
      <c r="Z356" s="85"/>
      <c r="AA356" s="89"/>
      <c r="AB356" s="84"/>
      <c r="AC356" s="88"/>
      <c r="AD356" s="88"/>
      <c r="AE356" s="88"/>
      <c r="AF356" s="84"/>
      <c r="AG356" s="84"/>
      <c r="AH356" s="49" t="str">
        <f>IF(AG356="นิติศาสตร์","K5-LAW","K5-POLICY")</f>
        <v>K5-POLICY</v>
      </c>
      <c r="AI356" s="72" t="str">
        <f>_xlfn.IFS(B356="","",AND(AH356="K5-LAW",AG356="นิติศาสตร์",K356="S2",T356="",Z356=""),P356,AND(AH356="K5-LAW",AG356="นิติศาสตร์",K356="S1",T356="",Z356=""),EDATE(P356,12),AND(AH356="K5-LAW",AG356="นิติศาสตร์",OR(K356="M2",K356="K4"),T356="",Z356=""),EDATE(P356,12*2),AND(AH356="K5-LAW",AG356="นิติศาสตร์",OR(Z356="M2",Z356="K4"),AC356&gt;=2,OR(AB356&lt;V356,AB356&lt;P356)),EDATE(AB356,12*2),AND(AH356="K5-LAW",AG356="นิติศาสตร์",Z356="S1",AC356&gt;=1,OR(AB356&lt;V356,AB356&lt;P356)),EDATE(AB356,12),AND(AH356="K5-LAW",AG356="นิติศาสตร์",OR(T356="M2",T356="K4"),W356&gt;=2,V356&lt;P356),EDATE(V356,12*2),AND(AH356="K5-LAW",AG356="นิติศาสตร์",T356="S1",W356&gt;=1,V356&lt;P356),EDATE(V356,12),AND(AH356="K5-LAW",AG356="นิติศาสตร์",OR(T356="S2",T356="K5")),V356,AND(AH356="K5-LAW",AG356="นิติศาสตร์",OR(K356="M2",K356="K4"),Q356&gt;=2),EDATE(P356,12*2),AND(AH356="K5-LAW",AG356="นิติศาสตร์",K356="S1",Q356&gt;=1),EDATE(P356,12),AND(AH356="K5-LAW",AG356="นิติศาสตร์",OR(K356="S2",K356="K5")),P356,AND(AH356="K5-POLICY",AG356&lt;&gt;"นิติศาสตร์",K356="S2",T356="",Z356=""),P356,AND(AH356="K5-POLICY",AG356&lt;&gt;"นิติศาสตร์",K356="S1",T356="",Z356=""),EDATE(P356,12),AND(AH356="K5-POLICY",AG356&lt;&gt;"นิติศาสตร์",OR(K356="M2",K356="K4"),T356="",Z356=""),EDATE(P356,12*2),AND(AH356="K5-POLICY",AG356&lt;&gt;"นิติศาสตร์",OR(Z356="M2",Z356="K4"),AC356&gt;=2,OR(AB356&lt;V356,AB356&lt;P356)),EDATE(AB356,12*2),AND(AH356="K5-POLICY",AG356&lt;&gt;"นิติศาสตร์",Z356="S1",AC356&gt;=1,OR(AB356&lt;V356,AB356&lt;P356)),EDATE(AB356,12),AND(AH356="K5-POLICY",AG356&lt;&gt;"นิติศาสตร์",OR(T356="M2",T356="K4"),W356&gt;=2,V356&lt;P356),EDATE(V356,12*2),AND(AH356="K5-POLICY",AG356&lt;&gt;"นิติศาสตร์",T356="S1",W356&gt;=1,V356&lt;P356),EDATE(V356,12),AND(AH356="K5-POLICY",AG356&lt;&gt;"นิติศาสตร์",OR(T356="S2",T356="K5")),V356,AND(AH356="K5-POLICY",AG356&lt;&gt;"นิติศาสตร์",OR(K356="M2",K356="K4"),Q356&gt;=2),EDATE(P356,12*2),AND(AH356="K5-POLICY",AG356&lt;&gt;"นิติศาสตร์",K356="S1",Q356&gt;=1),EDATE(P356,12),AND(AH356="K5-POLICY",AG356&lt;&gt;"นิติศาสตร์",OR(K356="S2",K356="K5")),P356,TRUE,"Check Data")</f>
        <v/>
      </c>
      <c r="AJ356" s="75" t="str">
        <f t="shared" si="99"/>
        <v>Check Data</v>
      </c>
      <c r="AK356" s="76" t="str">
        <f t="shared" si="100"/>
        <v>Check Data</v>
      </c>
      <c r="AL356" s="50" t="str">
        <f t="shared" si="101"/>
        <v>Check Data</v>
      </c>
      <c r="AM356" s="49" t="str">
        <f>IF(B356="","",IF(K356="S1","S1",INDEX(#REF!,#REF!)))</f>
        <v/>
      </c>
      <c r="AN356" s="49" t="str">
        <f>K356</f>
        <v>K4</v>
      </c>
      <c r="AO356" s="50" t="b">
        <f>K356=AM356</f>
        <v>0</v>
      </c>
    </row>
    <row r="357" spans="1:41" ht="21.75">
      <c r="A357" s="49">
        <v>355</v>
      </c>
      <c r="B357" s="50"/>
      <c r="C357" s="52"/>
      <c r="D357" s="84"/>
      <c r="E357" s="85"/>
      <c r="F357" s="85"/>
      <c r="G357" s="50">
        <f t="shared" si="92"/>
        <v>0</v>
      </c>
      <c r="H357" s="50">
        <f t="shared" si="93"/>
        <v>0</v>
      </c>
      <c r="I357" s="50">
        <f t="shared" si="94"/>
        <v>0</v>
      </c>
      <c r="J357" s="84"/>
      <c r="K357" s="49" t="s">
        <v>137</v>
      </c>
      <c r="L357" s="87"/>
      <c r="M357" s="85"/>
      <c r="N357" s="85"/>
      <c r="O357" s="65" t="s">
        <v>451</v>
      </c>
      <c r="P357" s="49" t="str">
        <f t="shared" si="95"/>
        <v>18/10/2024</v>
      </c>
      <c r="Q357" s="68">
        <f t="shared" si="96"/>
        <v>0</v>
      </c>
      <c r="R357" s="68">
        <f t="shared" si="97"/>
        <v>8</v>
      </c>
      <c r="S357" s="68">
        <f t="shared" si="98"/>
        <v>2</v>
      </c>
      <c r="T357" s="65"/>
      <c r="U357" s="89"/>
      <c r="V357" s="85"/>
      <c r="W357" s="88"/>
      <c r="X357" s="88"/>
      <c r="Y357" s="88"/>
      <c r="Z357" s="85"/>
      <c r="AA357" s="89"/>
      <c r="AB357" s="84"/>
      <c r="AC357" s="88"/>
      <c r="AD357" s="88"/>
      <c r="AE357" s="88"/>
      <c r="AF357" s="84"/>
      <c r="AG357" s="84"/>
      <c r="AH357" s="49" t="str">
        <f>IF(AG357="นิติศาสตร์","K5-LAW","K5-POLICY")</f>
        <v>K5-POLICY</v>
      </c>
      <c r="AI357" s="72" t="str">
        <f>_xlfn.IFS(B357="","",AND(AH357="K5-LAW",AG357="นิติศาสตร์",K357="S2",T357="",Z357=""),P357,AND(AH357="K5-LAW",AG357="นิติศาสตร์",K357="S1",T357="",Z357=""),EDATE(P357,12),AND(AH357="K5-LAW",AG357="นิติศาสตร์",OR(K357="M2",K357="K4"),T357="",Z357=""),EDATE(P357,12*2),AND(AH357="K5-LAW",AG357="นิติศาสตร์",OR(Z357="M2",Z357="K4"),AC357&gt;=2,OR(AB357&lt;V357,AB357&lt;P357)),EDATE(AB357,12*2),AND(AH357="K5-LAW",AG357="นิติศาสตร์",Z357="S1",AC357&gt;=1,OR(AB357&lt;V357,AB357&lt;P357)),EDATE(AB357,12),AND(AH357="K5-LAW",AG357="นิติศาสตร์",OR(T357="M2",T357="K4"),W357&gt;=2,V357&lt;P357),EDATE(V357,12*2),AND(AH357="K5-LAW",AG357="นิติศาสตร์",T357="S1",W357&gt;=1,V357&lt;P357),EDATE(V357,12),AND(AH357="K5-LAW",AG357="นิติศาสตร์",OR(T357="S2",T357="K5")),V357,AND(AH357="K5-LAW",AG357="นิติศาสตร์",OR(K357="M2",K357="K4"),Q357&gt;=2),EDATE(P357,12*2),AND(AH357="K5-LAW",AG357="นิติศาสตร์",K357="S1",Q357&gt;=1),EDATE(P357,12),AND(AH357="K5-LAW",AG357="นิติศาสตร์",OR(K357="S2",K357="K5")),P357,AND(AH357="K5-POLICY",AG357&lt;&gt;"นิติศาสตร์",K357="S2",T357="",Z357=""),P357,AND(AH357="K5-POLICY",AG357&lt;&gt;"นิติศาสตร์",K357="S1",T357="",Z357=""),EDATE(P357,12),AND(AH357="K5-POLICY",AG357&lt;&gt;"นิติศาสตร์",OR(K357="M2",K357="K4"),T357="",Z357=""),EDATE(P357,12*2),AND(AH357="K5-POLICY",AG357&lt;&gt;"นิติศาสตร์",OR(Z357="M2",Z357="K4"),AC357&gt;=2,OR(AB357&lt;V357,AB357&lt;P357)),EDATE(AB357,12*2),AND(AH357="K5-POLICY",AG357&lt;&gt;"นิติศาสตร์",Z357="S1",AC357&gt;=1,OR(AB357&lt;V357,AB357&lt;P357)),EDATE(AB357,12),AND(AH357="K5-POLICY",AG357&lt;&gt;"นิติศาสตร์",OR(T357="M2",T357="K4"),W357&gt;=2,V357&lt;P357),EDATE(V357,12*2),AND(AH357="K5-POLICY",AG357&lt;&gt;"นิติศาสตร์",T357="S1",W357&gt;=1,V357&lt;P357),EDATE(V357,12),AND(AH357="K5-POLICY",AG357&lt;&gt;"นิติศาสตร์",OR(T357="S2",T357="K5")),V357,AND(AH357="K5-POLICY",AG357&lt;&gt;"นิติศาสตร์",OR(K357="M2",K357="K4"),Q357&gt;=2),EDATE(P357,12*2),AND(AH357="K5-POLICY",AG357&lt;&gt;"นิติศาสตร์",K357="S1",Q357&gt;=1),EDATE(P357,12),AND(AH357="K5-POLICY",AG357&lt;&gt;"นิติศาสตร์",OR(K357="S2",K357="K5")),P357,TRUE,"Check Data")</f>
        <v/>
      </c>
      <c r="AJ357" s="75" t="str">
        <f t="shared" si="99"/>
        <v>Check Data</v>
      </c>
      <c r="AK357" s="76" t="str">
        <f t="shared" si="100"/>
        <v>Check Data</v>
      </c>
      <c r="AL357" s="50" t="str">
        <f t="shared" si="101"/>
        <v>Check Data</v>
      </c>
      <c r="AM357" s="49" t="str">
        <f>IF(B357="","",IF(K357="S1","S1",INDEX(#REF!,#REF!)))</f>
        <v/>
      </c>
      <c r="AN357" s="49" t="str">
        <f>K357</f>
        <v>K4</v>
      </c>
      <c r="AO357" s="50" t="b">
        <f>K357=AM357</f>
        <v>0</v>
      </c>
    </row>
    <row r="358" spans="1:41" ht="21.75">
      <c r="A358" s="49">
        <v>356</v>
      </c>
      <c r="B358" s="50"/>
      <c r="C358" s="52"/>
      <c r="D358" s="84"/>
      <c r="E358" s="85"/>
      <c r="F358" s="85"/>
      <c r="G358" s="50">
        <f t="shared" si="92"/>
        <v>0</v>
      </c>
      <c r="H358" s="50">
        <f t="shared" si="93"/>
        <v>0</v>
      </c>
      <c r="I358" s="50">
        <f t="shared" si="94"/>
        <v>0</v>
      </c>
      <c r="J358" s="84"/>
      <c r="K358" s="49" t="s">
        <v>137</v>
      </c>
      <c r="L358" s="87"/>
      <c r="M358" s="85"/>
      <c r="N358" s="85"/>
      <c r="O358" s="65" t="s">
        <v>452</v>
      </c>
      <c r="P358" s="49" t="str">
        <f t="shared" si="95"/>
        <v>25/02/2025</v>
      </c>
      <c r="Q358" s="68">
        <f t="shared" si="96"/>
        <v>0</v>
      </c>
      <c r="R358" s="68">
        <f t="shared" si="97"/>
        <v>3</v>
      </c>
      <c r="S358" s="68">
        <f t="shared" si="98"/>
        <v>26</v>
      </c>
      <c r="T358" s="65"/>
      <c r="U358" s="89"/>
      <c r="V358" s="85"/>
      <c r="W358" s="88"/>
      <c r="X358" s="88"/>
      <c r="Y358" s="88"/>
      <c r="Z358" s="85"/>
      <c r="AA358" s="89"/>
      <c r="AB358" s="84"/>
      <c r="AC358" s="88"/>
      <c r="AD358" s="88"/>
      <c r="AE358" s="88"/>
      <c r="AF358" s="84"/>
      <c r="AG358" s="84"/>
      <c r="AH358" s="49" t="str">
        <f>IF(AG358="นิติศาสตร์","K5-LAW","K5-POLICY")</f>
        <v>K5-POLICY</v>
      </c>
      <c r="AI358" s="72" t="str">
        <f>_xlfn.IFS(B358="","",AND(AH358="K5-LAW",AG358="นิติศาสตร์",K358="S2",T358="",Z358=""),P358,AND(AH358="K5-LAW",AG358="นิติศาสตร์",K358="S1",T358="",Z358=""),EDATE(P358,12),AND(AH358="K5-LAW",AG358="นิติศาสตร์",OR(K358="M2",K358="K4"),T358="",Z358=""),EDATE(P358,12*2),AND(AH358="K5-LAW",AG358="นิติศาสตร์",OR(Z358="M2",Z358="K4"),AC358&gt;=2,OR(AB358&lt;V358,AB358&lt;P358)),EDATE(AB358,12*2),AND(AH358="K5-LAW",AG358="นิติศาสตร์",Z358="S1",AC358&gt;=1,OR(AB358&lt;V358,AB358&lt;P358)),EDATE(AB358,12),AND(AH358="K5-LAW",AG358="นิติศาสตร์",OR(T358="M2",T358="K4"),W358&gt;=2,V358&lt;P358),EDATE(V358,12*2),AND(AH358="K5-LAW",AG358="นิติศาสตร์",T358="S1",W358&gt;=1,V358&lt;P358),EDATE(V358,12),AND(AH358="K5-LAW",AG358="นิติศาสตร์",OR(T358="S2",T358="K5")),V358,AND(AH358="K5-LAW",AG358="นิติศาสตร์",OR(K358="M2",K358="K4"),Q358&gt;=2),EDATE(P358,12*2),AND(AH358="K5-LAW",AG358="นิติศาสตร์",K358="S1",Q358&gt;=1),EDATE(P358,12),AND(AH358="K5-LAW",AG358="นิติศาสตร์",OR(K358="S2",K358="K5")),P358,AND(AH358="K5-POLICY",AG358&lt;&gt;"นิติศาสตร์",K358="S2",T358="",Z358=""),P358,AND(AH358="K5-POLICY",AG358&lt;&gt;"นิติศาสตร์",K358="S1",T358="",Z358=""),EDATE(P358,12),AND(AH358="K5-POLICY",AG358&lt;&gt;"นิติศาสตร์",OR(K358="M2",K358="K4"),T358="",Z358=""),EDATE(P358,12*2),AND(AH358="K5-POLICY",AG358&lt;&gt;"นิติศาสตร์",OR(Z358="M2",Z358="K4"),AC358&gt;=2,OR(AB358&lt;V358,AB358&lt;P358)),EDATE(AB358,12*2),AND(AH358="K5-POLICY",AG358&lt;&gt;"นิติศาสตร์",Z358="S1",AC358&gt;=1,OR(AB358&lt;V358,AB358&lt;P358)),EDATE(AB358,12),AND(AH358="K5-POLICY",AG358&lt;&gt;"นิติศาสตร์",OR(T358="M2",T358="K4"),W358&gt;=2,V358&lt;P358),EDATE(V358,12*2),AND(AH358="K5-POLICY",AG358&lt;&gt;"นิติศาสตร์",T358="S1",W358&gt;=1,V358&lt;P358),EDATE(V358,12),AND(AH358="K5-POLICY",AG358&lt;&gt;"นิติศาสตร์",OR(T358="S2",T358="K5")),V358,AND(AH358="K5-POLICY",AG358&lt;&gt;"นิติศาสตร์",OR(K358="M2",K358="K4"),Q358&gt;=2),EDATE(P358,12*2),AND(AH358="K5-POLICY",AG358&lt;&gt;"นิติศาสตร์",K358="S1",Q358&gt;=1),EDATE(P358,12),AND(AH358="K5-POLICY",AG358&lt;&gt;"นิติศาสตร์",OR(K358="S2",K358="K5")),P358,TRUE,"Check Data")</f>
        <v/>
      </c>
      <c r="AJ358" s="75" t="str">
        <f t="shared" si="99"/>
        <v>Check Data</v>
      </c>
      <c r="AK358" s="76" t="str">
        <f t="shared" si="100"/>
        <v>Check Data</v>
      </c>
      <c r="AL358" s="50" t="str">
        <f t="shared" si="101"/>
        <v>Check Data</v>
      </c>
      <c r="AM358" s="49" t="str">
        <f>IF(B358="","",IF(K358="S1","S1",INDEX(#REF!,#REF!)))</f>
        <v/>
      </c>
      <c r="AN358" s="49" t="str">
        <f>K358</f>
        <v>K4</v>
      </c>
      <c r="AO358" s="50" t="b">
        <f>K358=AM358</f>
        <v>0</v>
      </c>
    </row>
  </sheetData>
  <autoFilter ref="A2:AP358" xr:uid="{00000000-0009-0000-0000-000018000000}"/>
  <sortState xmlns:xlrd2="http://schemas.microsoft.com/office/spreadsheetml/2017/richdata2" ref="B3:AO358">
    <sortCondition descending="1" ref="K3:K358"/>
    <sortCondition descending="1" ref="Q3:Q358"/>
    <sortCondition descending="1" ref="R3:R358"/>
    <sortCondition descending="1" ref="S3:S358"/>
    <sortCondition ref="AK3:AK358"/>
  </sortState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015"/>
  <dimension ref="A1:W21"/>
  <sheetViews>
    <sheetView topLeftCell="J1" zoomScale="70" zoomScaleNormal="70" workbookViewId="0">
      <selection activeCell="V3" sqref="V3"/>
    </sheetView>
  </sheetViews>
  <sheetFormatPr defaultColWidth="9" defaultRowHeight="24"/>
  <cols>
    <col min="1" max="2" width="11.625" style="3" customWidth="1"/>
    <col min="3" max="3" width="17.375" style="3" customWidth="1"/>
    <col min="4" max="4" width="10.25" style="3" customWidth="1"/>
    <col min="5" max="5" width="18.25" style="3" customWidth="1"/>
    <col min="6" max="6" width="16.125" style="4" customWidth="1"/>
    <col min="7" max="7" width="16" style="5" customWidth="1"/>
    <col min="8" max="8" width="4" style="5" customWidth="1"/>
    <col min="9" max="9" width="7.25" style="5" customWidth="1"/>
    <col min="10" max="10" width="5" style="5" customWidth="1"/>
    <col min="11" max="11" width="20.25" style="6" customWidth="1"/>
    <col min="12" max="12" width="20.125" style="5" customWidth="1"/>
    <col min="13" max="15" width="5" style="5" customWidth="1"/>
    <col min="16" max="16" width="12" style="3" customWidth="1"/>
    <col min="17" max="17" width="12" style="4" customWidth="1"/>
    <col min="18" max="18" width="12.375" style="3" customWidth="1"/>
    <col min="19" max="20" width="20.875" style="7" customWidth="1"/>
    <col min="21" max="21" width="21.75" style="8" customWidth="1"/>
    <col min="22" max="22" width="23" style="3" customWidth="1"/>
    <col min="23" max="23" width="48.125" style="3" customWidth="1"/>
    <col min="24" max="16384" width="9" style="3"/>
  </cols>
  <sheetData>
    <row r="1" spans="1:23">
      <c r="B1" s="3" t="s">
        <v>50</v>
      </c>
      <c r="C1" s="9">
        <f ca="1">TODAY()</f>
        <v>46102</v>
      </c>
      <c r="E1" s="4" t="s">
        <v>0</v>
      </c>
      <c r="F1" s="10">
        <v>243523</v>
      </c>
      <c r="G1" s="9">
        <f>IF(AND(LEFT(F1,2)="29",MID(F1,4,1)="2"),LEFT(F1,2)&amp;"/"&amp;MID(F1,4,1)&amp;"/"&amp;RIGHT(F1,4)-543,EDATE(F1,-543*12))</f>
        <v>45196</v>
      </c>
    </row>
    <row r="2" spans="1:23" s="23" customFormat="1">
      <c r="A2" s="39" t="s">
        <v>51</v>
      </c>
      <c r="B2" s="13" t="s">
        <v>52</v>
      </c>
      <c r="C2" s="39" t="s">
        <v>53</v>
      </c>
      <c r="D2" s="39" t="s">
        <v>54</v>
      </c>
      <c r="E2" s="39" t="s">
        <v>55</v>
      </c>
      <c r="F2" s="39" t="s">
        <v>56</v>
      </c>
      <c r="G2" s="40" t="s">
        <v>57</v>
      </c>
      <c r="H2" s="40" t="s">
        <v>4</v>
      </c>
      <c r="I2" s="40" t="s">
        <v>5</v>
      </c>
      <c r="J2" s="40" t="s">
        <v>6</v>
      </c>
      <c r="K2" s="40" t="s">
        <v>59</v>
      </c>
      <c r="L2" s="40" t="s">
        <v>81</v>
      </c>
      <c r="M2" s="40" t="s">
        <v>4</v>
      </c>
      <c r="N2" s="40" t="s">
        <v>5</v>
      </c>
      <c r="O2" s="40" t="s">
        <v>6</v>
      </c>
      <c r="P2" s="39" t="s">
        <v>61</v>
      </c>
      <c r="Q2" s="39" t="s">
        <v>62</v>
      </c>
      <c r="R2" s="41" t="s">
        <v>536</v>
      </c>
      <c r="S2" s="41" t="s">
        <v>537</v>
      </c>
      <c r="T2" s="41" t="s">
        <v>538</v>
      </c>
      <c r="U2" s="42" t="s">
        <v>69</v>
      </c>
      <c r="V2" s="39" t="s">
        <v>70</v>
      </c>
      <c r="W2" s="39" t="s">
        <v>85</v>
      </c>
    </row>
    <row r="3" spans="1:23">
      <c r="A3" s="15"/>
      <c r="B3" s="19" t="s">
        <v>14</v>
      </c>
      <c r="C3" s="15"/>
      <c r="D3" s="15"/>
      <c r="E3" s="15"/>
      <c r="F3" s="16" t="s">
        <v>88</v>
      </c>
      <c r="G3" s="17" t="s">
        <v>539</v>
      </c>
      <c r="H3" s="18">
        <f ca="1">DATEDIF(G3,$C$1,"Y")</f>
        <v>5</v>
      </c>
      <c r="I3" s="18">
        <f ca="1">DATEDIF(G3,$C$1,"YM")</f>
        <v>6</v>
      </c>
      <c r="J3" s="18">
        <f ca="1">DATEDIF(G3,$C$1,"MD")</f>
        <v>23</v>
      </c>
      <c r="K3" s="21" t="s">
        <v>74</v>
      </c>
      <c r="L3" s="17" t="s">
        <v>91</v>
      </c>
      <c r="M3" s="18">
        <f>DATEDIF(L3,G3,"Y")</f>
        <v>4</v>
      </c>
      <c r="N3" s="18">
        <f>DATEDIF(L3,G3,"YM")</f>
        <v>5</v>
      </c>
      <c r="O3" s="18">
        <f>DATEDIF(L3,G3,"MD")</f>
        <v>22</v>
      </c>
      <c r="P3" s="15" t="s">
        <v>78</v>
      </c>
      <c r="Q3" s="16" t="s">
        <v>148</v>
      </c>
      <c r="R3" s="29">
        <f>IF(B3="","",MAX(IF(นับต่าง!A:A=B3,นับต่าง!AC:AC)))</f>
        <v>43101</v>
      </c>
      <c r="S3" s="30">
        <f t="shared" ref="S3:S20" si="0">_xlfn.IFS(AND(F3="K3",R3&lt;&gt;""),EDATE(G3,12*3),AND(F3="O3",R3&lt;&gt;""),EDATE(G3,12*6),TRUE,"Check Data")</f>
        <v>45164</v>
      </c>
      <c r="T3" s="30">
        <f t="shared" ref="T3:T20" si="1">IF(R3&gt;S3,R3,S3)</f>
        <v>45164</v>
      </c>
      <c r="U3" s="36">
        <f ca="1">IF(TODAY()&gt;T3,T3-TODAY(),DATEDIF(TODAY(),T3,"d"))</f>
        <v>-938</v>
      </c>
      <c r="V3" s="15" t="str">
        <f ca="1">_xlfn.IFS(U3&gt;30,"ยังไม่ถึงเกณฑ์",U3&gt;0,"ใกล้ถึงเกณฑ์",U3=0,"ถึงเกณฑ์",U3&lt;0,"ถึงเกณฑ์นานแล้ว")</f>
        <v>ถึงเกณฑ์นานแล้ว</v>
      </c>
      <c r="W3" s="15"/>
    </row>
    <row r="4" spans="1:23">
      <c r="A4" s="15"/>
      <c r="B4" s="19" t="s">
        <v>14</v>
      </c>
      <c r="C4" s="15"/>
      <c r="D4" s="15"/>
      <c r="E4" s="15"/>
      <c r="F4" s="16" t="s">
        <v>149</v>
      </c>
      <c r="G4" s="17" t="s">
        <v>94</v>
      </c>
      <c r="H4" s="18">
        <f t="shared" ref="H4:H20" ca="1" si="2">DATEDIF(G4,$C$1,"Y")</f>
        <v>7</v>
      </c>
      <c r="I4" s="18">
        <f t="shared" ref="I4:I20" ca="1" si="3">DATEDIF(G4,$C$1,"YM")</f>
        <v>11</v>
      </c>
      <c r="J4" s="18">
        <f t="shared" ref="J4:J20" ca="1" si="4">DATEDIF(G4,$C$1,"MD")</f>
        <v>21</v>
      </c>
      <c r="K4" s="16" t="s">
        <v>540</v>
      </c>
      <c r="L4" s="17" t="s">
        <v>93</v>
      </c>
      <c r="M4" s="18">
        <f>DATEDIF(L4,G4,"Y")</f>
        <v>5</v>
      </c>
      <c r="N4" s="18">
        <f>DATEDIF(L4,G4,"YM")</f>
        <v>8</v>
      </c>
      <c r="O4" s="18">
        <f>DATEDIF(L4,G4,"MD")</f>
        <v>15</v>
      </c>
      <c r="P4" s="15" t="s">
        <v>78</v>
      </c>
      <c r="Q4" s="16" t="s">
        <v>148</v>
      </c>
      <c r="R4" s="29">
        <f>IF(B4="","",MAX(IF(นับต่าง!A:A=B4,นับต่าง!AC:AC)))</f>
        <v>43101</v>
      </c>
      <c r="S4" s="30">
        <f t="shared" si="0"/>
        <v>45379</v>
      </c>
      <c r="T4" s="30">
        <f t="shared" si="1"/>
        <v>45379</v>
      </c>
      <c r="U4" s="36">
        <f t="shared" ref="U4:U20" ca="1" si="5">IF(TODAY()&gt;T4,T4-TODAY(),DATEDIF(TODAY(),T4,"d"))</f>
        <v>-723</v>
      </c>
      <c r="V4" s="15" t="str">
        <f ca="1">_xlfn.IFS(U4&gt;30,"ยังไม่ถึงเกณฑ์",U4&gt;0,"ใกล้ถึงเกณฑ์",U4=0,"ถึงเกณฑ์",U4&lt;0,"ถึงเกณฑ์นานแล้ว")</f>
        <v>ถึงเกณฑ์นานแล้ว</v>
      </c>
      <c r="W4" s="15"/>
    </row>
    <row r="5" spans="1:23">
      <c r="A5" s="15"/>
      <c r="B5" s="19" t="s">
        <v>14</v>
      </c>
      <c r="C5" s="15"/>
      <c r="D5" s="15"/>
      <c r="E5" s="15"/>
      <c r="F5" s="16" t="s">
        <v>88</v>
      </c>
      <c r="G5" s="17" t="s">
        <v>96</v>
      </c>
      <c r="H5" s="18">
        <f t="shared" ca="1" si="2"/>
        <v>12</v>
      </c>
      <c r="I5" s="18">
        <f t="shared" ca="1" si="3"/>
        <v>1</v>
      </c>
      <c r="J5" s="18">
        <f t="shared" ca="1" si="4"/>
        <v>22</v>
      </c>
      <c r="K5" s="21" t="s">
        <v>74</v>
      </c>
      <c r="L5" s="17" t="s">
        <v>95</v>
      </c>
      <c r="M5" s="18">
        <f>DATEDIF(L5,G5,"Y")</f>
        <v>7</v>
      </c>
      <c r="N5" s="18">
        <f>DATEDIF(L5,G5,"YM")</f>
        <v>5</v>
      </c>
      <c r="O5" s="18">
        <f>DATEDIF(L5,G5,"MD")</f>
        <v>30</v>
      </c>
      <c r="P5" s="15" t="s">
        <v>78</v>
      </c>
      <c r="Q5" s="16" t="s">
        <v>148</v>
      </c>
      <c r="R5" s="29">
        <f>IF(B5="","",MAX(IF(นับต่าง!A:A=B5,นับต่าง!AC:AC)))</f>
        <v>43101</v>
      </c>
      <c r="S5" s="30">
        <f t="shared" si="0"/>
        <v>42762</v>
      </c>
      <c r="T5" s="30">
        <f t="shared" si="1"/>
        <v>43101</v>
      </c>
      <c r="U5" s="36">
        <f t="shared" ca="1" si="5"/>
        <v>-3001</v>
      </c>
      <c r="V5" s="15" t="str">
        <f ca="1">_xlfn.IFS(U5&gt;30,"ยังไม่ถึงเกณฑ์",U5&gt;0,"ใกล้ถึงเกณฑ์",U5=0,"ถึงเกณฑ์",U5&lt;0,"ถึงเกณฑ์นานแล้ว")</f>
        <v>ถึงเกณฑ์นานแล้ว</v>
      </c>
      <c r="W5" s="15"/>
    </row>
    <row r="6" spans="1:23">
      <c r="A6" s="15"/>
      <c r="B6" s="19" t="s">
        <v>15</v>
      </c>
      <c r="C6" s="15"/>
      <c r="D6" s="15"/>
      <c r="E6" s="15"/>
      <c r="F6" s="16" t="s">
        <v>149</v>
      </c>
      <c r="G6" s="17" t="s">
        <v>98</v>
      </c>
      <c r="H6" s="18">
        <f t="shared" ca="1" si="2"/>
        <v>6</v>
      </c>
      <c r="I6" s="18">
        <f t="shared" ca="1" si="3"/>
        <v>5</v>
      </c>
      <c r="J6" s="18">
        <f t="shared" ca="1" si="4"/>
        <v>20</v>
      </c>
      <c r="K6" s="16" t="s">
        <v>540</v>
      </c>
      <c r="L6" s="17" t="s">
        <v>97</v>
      </c>
      <c r="M6" s="18">
        <f>DATEDIF(L6,G6,"Y")</f>
        <v>4</v>
      </c>
      <c r="N6" s="18">
        <f>DATEDIF(L6,G6,"YM")</f>
        <v>0</v>
      </c>
      <c r="O6" s="18">
        <f>DATEDIF(L6,G6,"MD")</f>
        <v>0</v>
      </c>
      <c r="P6" s="15" t="s">
        <v>78</v>
      </c>
      <c r="Q6" s="16" t="s">
        <v>148</v>
      </c>
      <c r="R6" s="29">
        <f>IF(B6="","",MAX(IF(นับต่าง!A:A=B6,นับต่าง!AC:AC)))</f>
        <v>43101</v>
      </c>
      <c r="S6" s="30">
        <f t="shared" si="0"/>
        <v>45931</v>
      </c>
      <c r="T6" s="30">
        <f t="shared" si="1"/>
        <v>45931</v>
      </c>
      <c r="U6" s="36">
        <f t="shared" ca="1" si="5"/>
        <v>-171</v>
      </c>
      <c r="V6" s="15" t="str">
        <f ca="1">_xlfn.IFS(U6&gt;30,"ยังไม่ถึงเกณฑ์",U6&gt;0,"ใกล้ถึงเกณฑ์",U6=0,"ถึงเกณฑ์",U6&lt;0,"ถึงเกณฑ์นานแล้ว")</f>
        <v>ถึงเกณฑ์นานแล้ว</v>
      </c>
      <c r="W6" s="15"/>
    </row>
    <row r="7" spans="1:23">
      <c r="A7" s="15"/>
      <c r="B7" s="15"/>
      <c r="C7" s="15"/>
      <c r="D7" s="15"/>
      <c r="E7" s="15"/>
      <c r="F7" s="16" t="s">
        <v>88</v>
      </c>
      <c r="G7" s="17" t="s">
        <v>541</v>
      </c>
      <c r="H7" s="18">
        <f t="shared" ca="1" si="2"/>
        <v>3</v>
      </c>
      <c r="I7" s="18">
        <f t="shared" ca="1" si="3"/>
        <v>7</v>
      </c>
      <c r="J7" s="18">
        <f t="shared" ca="1" si="4"/>
        <v>11</v>
      </c>
      <c r="K7" s="21" t="s">
        <v>74</v>
      </c>
      <c r="L7" s="17" t="s">
        <v>542</v>
      </c>
      <c r="M7" s="18">
        <f t="shared" ref="M7:M20" si="6">DATEDIF(L7,G7,"Y")</f>
        <v>6</v>
      </c>
      <c r="N7" s="18">
        <f t="shared" ref="N7:N20" si="7">DATEDIF(L7,G7,"YM")</f>
        <v>5</v>
      </c>
      <c r="O7" s="18">
        <f t="shared" ref="O7:O20" si="8">DATEDIF(L7,G7,"MD")</f>
        <v>9</v>
      </c>
      <c r="P7" s="15" t="s">
        <v>78</v>
      </c>
      <c r="Q7" s="16" t="s">
        <v>148</v>
      </c>
      <c r="R7" s="29" t="str">
        <f>IF(B7="","",MAX(IF(นับต่าง!A:A=B7,นับต่าง!AC:AC)))</f>
        <v/>
      </c>
      <c r="S7" s="30" t="str">
        <f t="shared" si="0"/>
        <v>Check Data</v>
      </c>
      <c r="T7" s="30" t="str">
        <f t="shared" si="1"/>
        <v>Check Data</v>
      </c>
      <c r="U7" s="36" t="e">
        <f t="shared" ca="1" si="5"/>
        <v>#VALUE!</v>
      </c>
      <c r="V7" s="15" t="e">
        <f t="shared" ref="V7:V20" ca="1" si="9">_xlfn.IFS(U7&gt;30,"ยังไม่ถึงเกณฑ์",U7&gt;0,"ใกล้ถึงเกณฑ์",U7=0,"ถึงเกณฑ์",U7&lt;0,"ถึงเกณฑ์นานแล้ว")</f>
        <v>#VALUE!</v>
      </c>
      <c r="W7" s="15"/>
    </row>
    <row r="8" spans="1:23">
      <c r="A8" s="15"/>
      <c r="B8" s="15"/>
      <c r="C8" s="15"/>
      <c r="D8" s="15"/>
      <c r="E8" s="15"/>
      <c r="F8" s="16" t="s">
        <v>149</v>
      </c>
      <c r="G8" s="17" t="s">
        <v>100</v>
      </c>
      <c r="H8" s="18">
        <f t="shared" ca="1" si="2"/>
        <v>5</v>
      </c>
      <c r="I8" s="18">
        <f t="shared" ca="1" si="3"/>
        <v>7</v>
      </c>
      <c r="J8" s="18">
        <f t="shared" ca="1" si="4"/>
        <v>7</v>
      </c>
      <c r="K8" s="16" t="s">
        <v>540</v>
      </c>
      <c r="L8" s="17" t="s">
        <v>99</v>
      </c>
      <c r="M8" s="18">
        <f t="shared" si="6"/>
        <v>7</v>
      </c>
      <c r="N8" s="18">
        <f t="shared" si="7"/>
        <v>9</v>
      </c>
      <c r="O8" s="18">
        <f t="shared" si="8"/>
        <v>30</v>
      </c>
      <c r="P8" s="15" t="s">
        <v>78</v>
      </c>
      <c r="Q8" s="16" t="s">
        <v>148</v>
      </c>
      <c r="R8" s="29" t="str">
        <f>IF(B8="","",MAX(IF(นับต่าง!A:A=B8,นับต่าง!AC:AC)))</f>
        <v/>
      </c>
      <c r="S8" s="30" t="str">
        <f t="shared" si="0"/>
        <v>Check Data</v>
      </c>
      <c r="T8" s="30" t="str">
        <f t="shared" si="1"/>
        <v>Check Data</v>
      </c>
      <c r="U8" s="36" t="e">
        <f t="shared" ca="1" si="5"/>
        <v>#VALUE!</v>
      </c>
      <c r="V8" s="15" t="e">
        <f t="shared" ca="1" si="9"/>
        <v>#VALUE!</v>
      </c>
      <c r="W8" s="15"/>
    </row>
    <row r="9" spans="1:23">
      <c r="A9" s="15"/>
      <c r="B9" s="15"/>
      <c r="C9" s="15"/>
      <c r="D9" s="15"/>
      <c r="E9" s="15"/>
      <c r="F9" s="16" t="s">
        <v>88</v>
      </c>
      <c r="G9" s="17" t="s">
        <v>102</v>
      </c>
      <c r="H9" s="18">
        <f t="shared" ca="1" si="2"/>
        <v>3</v>
      </c>
      <c r="I9" s="18">
        <f t="shared" ca="1" si="3"/>
        <v>5</v>
      </c>
      <c r="J9" s="18">
        <f t="shared" ca="1" si="4"/>
        <v>2</v>
      </c>
      <c r="K9" s="21" t="s">
        <v>74</v>
      </c>
      <c r="L9" s="17" t="s">
        <v>101</v>
      </c>
      <c r="M9" s="18">
        <f t="shared" si="6"/>
        <v>13</v>
      </c>
      <c r="N9" s="18">
        <f t="shared" si="7"/>
        <v>9</v>
      </c>
      <c r="O9" s="18">
        <f t="shared" si="8"/>
        <v>3</v>
      </c>
      <c r="P9" s="15" t="s">
        <v>78</v>
      </c>
      <c r="Q9" s="16" t="s">
        <v>148</v>
      </c>
      <c r="R9" s="29" t="str">
        <f>IF(B9="","",MAX(IF(นับต่าง!A:A=B9,นับต่าง!AC:AC)))</f>
        <v/>
      </c>
      <c r="S9" s="30" t="str">
        <f t="shared" si="0"/>
        <v>Check Data</v>
      </c>
      <c r="T9" s="30" t="str">
        <f t="shared" si="1"/>
        <v>Check Data</v>
      </c>
      <c r="U9" s="36" t="e">
        <f t="shared" ca="1" si="5"/>
        <v>#VALUE!</v>
      </c>
      <c r="V9" s="15" t="e">
        <f t="shared" ca="1" si="9"/>
        <v>#VALUE!</v>
      </c>
      <c r="W9" s="15"/>
    </row>
    <row r="10" spans="1:23">
      <c r="A10" s="15"/>
      <c r="B10" s="15"/>
      <c r="C10" s="15"/>
      <c r="D10" s="15"/>
      <c r="E10" s="15"/>
      <c r="F10" s="16" t="s">
        <v>149</v>
      </c>
      <c r="G10" s="17" t="s">
        <v>104</v>
      </c>
      <c r="H10" s="18">
        <f t="shared" ca="1" si="2"/>
        <v>3</v>
      </c>
      <c r="I10" s="18">
        <f t="shared" ca="1" si="3"/>
        <v>2</v>
      </c>
      <c r="J10" s="18">
        <f t="shared" ca="1" si="4"/>
        <v>1</v>
      </c>
      <c r="K10" s="16" t="s">
        <v>540</v>
      </c>
      <c r="L10" s="17" t="s">
        <v>103</v>
      </c>
      <c r="M10" s="18">
        <f t="shared" si="6"/>
        <v>4</v>
      </c>
      <c r="N10" s="18">
        <f t="shared" si="7"/>
        <v>11</v>
      </c>
      <c r="O10" s="18">
        <f t="shared" si="8"/>
        <v>29</v>
      </c>
      <c r="P10" s="15" t="s">
        <v>78</v>
      </c>
      <c r="Q10" s="16" t="s">
        <v>148</v>
      </c>
      <c r="R10" s="29" t="str">
        <f>IF(B10="","",MAX(IF(นับต่าง!A:A=B10,นับต่าง!AC:AC)))</f>
        <v/>
      </c>
      <c r="S10" s="30" t="str">
        <f t="shared" si="0"/>
        <v>Check Data</v>
      </c>
      <c r="T10" s="30" t="str">
        <f t="shared" si="1"/>
        <v>Check Data</v>
      </c>
      <c r="U10" s="36" t="e">
        <f t="shared" ca="1" si="5"/>
        <v>#VALUE!</v>
      </c>
      <c r="V10" s="15" t="e">
        <f t="shared" ca="1" si="9"/>
        <v>#VALUE!</v>
      </c>
      <c r="W10" s="15"/>
    </row>
    <row r="11" spans="1:23">
      <c r="A11" s="15"/>
      <c r="B11" s="15"/>
      <c r="C11" s="15"/>
      <c r="D11" s="15"/>
      <c r="E11" s="15"/>
      <c r="F11" s="16" t="s">
        <v>88</v>
      </c>
      <c r="G11" s="17" t="s">
        <v>106</v>
      </c>
      <c r="H11" s="18">
        <f t="shared" ca="1" si="2"/>
        <v>8</v>
      </c>
      <c r="I11" s="18">
        <f t="shared" ca="1" si="3"/>
        <v>2</v>
      </c>
      <c r="J11" s="18">
        <f t="shared" ca="1" si="4"/>
        <v>2</v>
      </c>
      <c r="K11" s="21" t="s">
        <v>74</v>
      </c>
      <c r="L11" s="17" t="s">
        <v>543</v>
      </c>
      <c r="M11" s="18">
        <f t="shared" si="6"/>
        <v>15</v>
      </c>
      <c r="N11" s="18">
        <f t="shared" si="7"/>
        <v>11</v>
      </c>
      <c r="O11" s="18">
        <f t="shared" si="8"/>
        <v>1</v>
      </c>
      <c r="P11" s="15" t="s">
        <v>78</v>
      </c>
      <c r="Q11" s="16" t="s">
        <v>148</v>
      </c>
      <c r="R11" s="29" t="str">
        <f>IF(B11="","",MAX(IF(นับต่าง!A:A=B11,นับต่าง!AC:AC)))</f>
        <v/>
      </c>
      <c r="S11" s="30" t="str">
        <f t="shared" si="0"/>
        <v>Check Data</v>
      </c>
      <c r="T11" s="30" t="str">
        <f t="shared" si="1"/>
        <v>Check Data</v>
      </c>
      <c r="U11" s="36" t="e">
        <f t="shared" ca="1" si="5"/>
        <v>#VALUE!</v>
      </c>
      <c r="V11" s="15" t="e">
        <f t="shared" ca="1" si="9"/>
        <v>#VALUE!</v>
      </c>
      <c r="W11" s="15"/>
    </row>
    <row r="12" spans="1:23">
      <c r="A12" s="15"/>
      <c r="B12" s="15"/>
      <c r="C12" s="15"/>
      <c r="D12" s="15"/>
      <c r="E12" s="15"/>
      <c r="F12" s="16" t="s">
        <v>149</v>
      </c>
      <c r="G12" s="17" t="s">
        <v>544</v>
      </c>
      <c r="H12" s="18">
        <f t="shared" ca="1" si="2"/>
        <v>9</v>
      </c>
      <c r="I12" s="18">
        <f t="shared" ca="1" si="3"/>
        <v>4</v>
      </c>
      <c r="J12" s="18">
        <f t="shared" ca="1" si="4"/>
        <v>24</v>
      </c>
      <c r="K12" s="16" t="s">
        <v>540</v>
      </c>
      <c r="L12" s="17" t="s">
        <v>110</v>
      </c>
      <c r="M12" s="18">
        <f t="shared" si="6"/>
        <v>3</v>
      </c>
      <c r="N12" s="18">
        <f t="shared" si="7"/>
        <v>6</v>
      </c>
      <c r="O12" s="18">
        <f t="shared" si="8"/>
        <v>29</v>
      </c>
      <c r="P12" s="15" t="s">
        <v>78</v>
      </c>
      <c r="Q12" s="16" t="s">
        <v>148</v>
      </c>
      <c r="R12" s="29" t="str">
        <f>IF(B12="","",MAX(IF(นับต่าง!A:A=B12,นับต่าง!AC:AC)))</f>
        <v/>
      </c>
      <c r="S12" s="30" t="str">
        <f t="shared" si="0"/>
        <v>Check Data</v>
      </c>
      <c r="T12" s="30" t="str">
        <f t="shared" si="1"/>
        <v>Check Data</v>
      </c>
      <c r="U12" s="36" t="e">
        <f t="shared" ca="1" si="5"/>
        <v>#VALUE!</v>
      </c>
      <c r="V12" s="15" t="e">
        <f t="shared" ca="1" si="9"/>
        <v>#VALUE!</v>
      </c>
      <c r="W12" s="15"/>
    </row>
    <row r="13" spans="1:23">
      <c r="A13" s="15"/>
      <c r="B13" s="15"/>
      <c r="C13" s="15"/>
      <c r="D13" s="15"/>
      <c r="E13" s="15"/>
      <c r="F13" s="16" t="s">
        <v>88</v>
      </c>
      <c r="G13" s="17" t="s">
        <v>87</v>
      </c>
      <c r="H13" s="18">
        <f t="shared" ca="1" si="2"/>
        <v>3</v>
      </c>
      <c r="I13" s="18">
        <f t="shared" ca="1" si="3"/>
        <v>2</v>
      </c>
      <c r="J13" s="18">
        <f t="shared" ca="1" si="4"/>
        <v>22</v>
      </c>
      <c r="K13" s="21" t="s">
        <v>74</v>
      </c>
      <c r="L13" s="17" t="s">
        <v>86</v>
      </c>
      <c r="M13" s="18">
        <f t="shared" si="6"/>
        <v>10</v>
      </c>
      <c r="N13" s="18">
        <f t="shared" si="7"/>
        <v>9</v>
      </c>
      <c r="O13" s="18">
        <f t="shared" si="8"/>
        <v>12</v>
      </c>
      <c r="P13" s="15" t="s">
        <v>78</v>
      </c>
      <c r="Q13" s="16" t="s">
        <v>148</v>
      </c>
      <c r="R13" s="29" t="str">
        <f>IF(B13="","",MAX(IF(นับต่าง!A:A=B13,นับต่าง!AC:AC)))</f>
        <v/>
      </c>
      <c r="S13" s="30" t="str">
        <f t="shared" si="0"/>
        <v>Check Data</v>
      </c>
      <c r="T13" s="30" t="str">
        <f t="shared" si="1"/>
        <v>Check Data</v>
      </c>
      <c r="U13" s="36" t="e">
        <f t="shared" ca="1" si="5"/>
        <v>#VALUE!</v>
      </c>
      <c r="V13" s="15" t="e">
        <f t="shared" ca="1" si="9"/>
        <v>#VALUE!</v>
      </c>
      <c r="W13" s="15"/>
    </row>
    <row r="14" spans="1:23">
      <c r="A14" s="15"/>
      <c r="B14" s="15"/>
      <c r="C14" s="15"/>
      <c r="D14" s="15"/>
      <c r="E14" s="15"/>
      <c r="F14" s="16" t="s">
        <v>149</v>
      </c>
      <c r="G14" s="17" t="s">
        <v>112</v>
      </c>
      <c r="H14" s="18">
        <f t="shared" ca="1" si="2"/>
        <v>9</v>
      </c>
      <c r="I14" s="18">
        <f t="shared" ca="1" si="3"/>
        <v>9</v>
      </c>
      <c r="J14" s="18">
        <f t="shared" ca="1" si="4"/>
        <v>4</v>
      </c>
      <c r="K14" s="16" t="s">
        <v>540</v>
      </c>
      <c r="L14" s="17" t="s">
        <v>111</v>
      </c>
      <c r="M14" s="18">
        <f t="shared" si="6"/>
        <v>4</v>
      </c>
      <c r="N14" s="18">
        <f t="shared" si="7"/>
        <v>9</v>
      </c>
      <c r="O14" s="18">
        <f t="shared" si="8"/>
        <v>16</v>
      </c>
      <c r="P14" s="15" t="s">
        <v>78</v>
      </c>
      <c r="Q14" s="16" t="s">
        <v>148</v>
      </c>
      <c r="R14" s="29" t="str">
        <f>IF(B14="","",MAX(IF(นับต่าง!A:A=B14,นับต่าง!AC:AC)))</f>
        <v/>
      </c>
      <c r="S14" s="30" t="str">
        <f t="shared" si="0"/>
        <v>Check Data</v>
      </c>
      <c r="T14" s="30" t="str">
        <f t="shared" si="1"/>
        <v>Check Data</v>
      </c>
      <c r="U14" s="36" t="e">
        <f t="shared" ca="1" si="5"/>
        <v>#VALUE!</v>
      </c>
      <c r="V14" s="15" t="e">
        <f t="shared" ca="1" si="9"/>
        <v>#VALUE!</v>
      </c>
      <c r="W14" s="15"/>
    </row>
    <row r="15" spans="1:23">
      <c r="A15" s="15"/>
      <c r="B15" s="15"/>
      <c r="C15" s="15"/>
      <c r="D15" s="15"/>
      <c r="E15" s="15"/>
      <c r="F15" s="16" t="s">
        <v>88</v>
      </c>
      <c r="G15" s="17" t="s">
        <v>114</v>
      </c>
      <c r="H15" s="18">
        <f t="shared" ca="1" si="2"/>
        <v>6</v>
      </c>
      <c r="I15" s="18">
        <f t="shared" ca="1" si="3"/>
        <v>3</v>
      </c>
      <c r="J15" s="18">
        <f t="shared" ca="1" si="4"/>
        <v>10</v>
      </c>
      <c r="K15" s="21" t="s">
        <v>74</v>
      </c>
      <c r="L15" s="17" t="s">
        <v>113</v>
      </c>
      <c r="M15" s="18">
        <f t="shared" si="6"/>
        <v>4</v>
      </c>
      <c r="N15" s="18">
        <f t="shared" si="7"/>
        <v>4</v>
      </c>
      <c r="O15" s="18">
        <f t="shared" si="8"/>
        <v>21</v>
      </c>
      <c r="P15" s="15" t="s">
        <v>78</v>
      </c>
      <c r="Q15" s="16" t="s">
        <v>148</v>
      </c>
      <c r="R15" s="29" t="str">
        <f>IF(B15="","",MAX(IF(นับต่าง!A:A=B15,นับต่าง!AC:AC)))</f>
        <v/>
      </c>
      <c r="S15" s="30" t="str">
        <f t="shared" si="0"/>
        <v>Check Data</v>
      </c>
      <c r="T15" s="30" t="str">
        <f t="shared" si="1"/>
        <v>Check Data</v>
      </c>
      <c r="U15" s="36" t="e">
        <f t="shared" ca="1" si="5"/>
        <v>#VALUE!</v>
      </c>
      <c r="V15" s="15" t="e">
        <f t="shared" ca="1" si="9"/>
        <v>#VALUE!</v>
      </c>
      <c r="W15" s="15"/>
    </row>
    <row r="16" spans="1:23">
      <c r="A16" s="15"/>
      <c r="B16" s="15"/>
      <c r="C16" s="15"/>
      <c r="D16" s="15"/>
      <c r="E16" s="15"/>
      <c r="F16" s="16" t="s">
        <v>149</v>
      </c>
      <c r="G16" s="17" t="s">
        <v>116</v>
      </c>
      <c r="H16" s="18">
        <f t="shared" ca="1" si="2"/>
        <v>3</v>
      </c>
      <c r="I16" s="18">
        <f t="shared" ca="1" si="3"/>
        <v>2</v>
      </c>
      <c r="J16" s="18">
        <f t="shared" ca="1" si="4"/>
        <v>27</v>
      </c>
      <c r="K16" s="16" t="s">
        <v>540</v>
      </c>
      <c r="L16" s="17" t="s">
        <v>115</v>
      </c>
      <c r="M16" s="18">
        <f t="shared" si="6"/>
        <v>5</v>
      </c>
      <c r="N16" s="18">
        <f t="shared" si="7"/>
        <v>2</v>
      </c>
      <c r="O16" s="18">
        <f t="shared" si="8"/>
        <v>6</v>
      </c>
      <c r="P16" s="15" t="s">
        <v>78</v>
      </c>
      <c r="Q16" s="16" t="s">
        <v>148</v>
      </c>
      <c r="R16" s="29" t="str">
        <f>IF(B16="","",MAX(IF(นับต่าง!A:A=B16,นับต่าง!AC:AC)))</f>
        <v/>
      </c>
      <c r="S16" s="30" t="str">
        <f t="shared" si="0"/>
        <v>Check Data</v>
      </c>
      <c r="T16" s="30" t="str">
        <f t="shared" si="1"/>
        <v>Check Data</v>
      </c>
      <c r="U16" s="36" t="e">
        <f t="shared" ca="1" si="5"/>
        <v>#VALUE!</v>
      </c>
      <c r="V16" s="15" t="e">
        <f t="shared" ca="1" si="9"/>
        <v>#VALUE!</v>
      </c>
      <c r="W16" s="15"/>
    </row>
    <row r="17" spans="1:23">
      <c r="A17" s="15"/>
      <c r="B17" s="15"/>
      <c r="C17" s="15"/>
      <c r="D17" s="15"/>
      <c r="E17" s="15"/>
      <c r="F17" s="16" t="s">
        <v>88</v>
      </c>
      <c r="G17" s="17" t="s">
        <v>118</v>
      </c>
      <c r="H17" s="18">
        <f t="shared" ca="1" si="2"/>
        <v>8</v>
      </c>
      <c r="I17" s="18">
        <f t="shared" ca="1" si="3"/>
        <v>9</v>
      </c>
      <c r="J17" s="18">
        <f t="shared" ca="1" si="4"/>
        <v>2</v>
      </c>
      <c r="K17" s="21" t="s">
        <v>74</v>
      </c>
      <c r="L17" s="17" t="s">
        <v>119</v>
      </c>
      <c r="M17" s="18">
        <f t="shared" si="6"/>
        <v>3</v>
      </c>
      <c r="N17" s="18">
        <f t="shared" si="7"/>
        <v>11</v>
      </c>
      <c r="O17" s="18">
        <f t="shared" si="8"/>
        <v>30</v>
      </c>
      <c r="P17" s="15" t="s">
        <v>78</v>
      </c>
      <c r="Q17" s="16" t="s">
        <v>148</v>
      </c>
      <c r="R17" s="29" t="str">
        <f>IF(B17="","",MAX(IF(นับต่าง!A:A=B17,นับต่าง!AC:AC)))</f>
        <v/>
      </c>
      <c r="S17" s="30" t="str">
        <f t="shared" si="0"/>
        <v>Check Data</v>
      </c>
      <c r="T17" s="30" t="str">
        <f t="shared" si="1"/>
        <v>Check Data</v>
      </c>
      <c r="U17" s="36" t="e">
        <f t="shared" ca="1" si="5"/>
        <v>#VALUE!</v>
      </c>
      <c r="V17" s="15" t="e">
        <f t="shared" ca="1" si="9"/>
        <v>#VALUE!</v>
      </c>
      <c r="W17" s="15"/>
    </row>
    <row r="18" spans="1:23">
      <c r="A18" s="15"/>
      <c r="B18" s="15"/>
      <c r="C18" s="15"/>
      <c r="D18" s="15"/>
      <c r="E18" s="15"/>
      <c r="F18" s="16" t="s">
        <v>149</v>
      </c>
      <c r="G18" s="17" t="s">
        <v>121</v>
      </c>
      <c r="H18" s="18">
        <f t="shared" ca="1" si="2"/>
        <v>5</v>
      </c>
      <c r="I18" s="18">
        <f t="shared" ca="1" si="3"/>
        <v>2</v>
      </c>
      <c r="J18" s="18">
        <f t="shared" ca="1" si="4"/>
        <v>0</v>
      </c>
      <c r="K18" s="16" t="s">
        <v>540</v>
      </c>
      <c r="L18" s="17" t="s">
        <v>120</v>
      </c>
      <c r="M18" s="18">
        <f t="shared" si="6"/>
        <v>6</v>
      </c>
      <c r="N18" s="18">
        <f t="shared" si="7"/>
        <v>1</v>
      </c>
      <c r="O18" s="18">
        <f t="shared" si="8"/>
        <v>6</v>
      </c>
      <c r="P18" s="15" t="s">
        <v>78</v>
      </c>
      <c r="Q18" s="16" t="s">
        <v>148</v>
      </c>
      <c r="R18" s="29" t="str">
        <f>IF(B18="","",MAX(IF(นับต่าง!A:A=B18,นับต่าง!AC:AC)))</f>
        <v/>
      </c>
      <c r="S18" s="30" t="str">
        <f t="shared" si="0"/>
        <v>Check Data</v>
      </c>
      <c r="T18" s="30" t="str">
        <f t="shared" si="1"/>
        <v>Check Data</v>
      </c>
      <c r="U18" s="36" t="e">
        <f t="shared" ca="1" si="5"/>
        <v>#VALUE!</v>
      </c>
      <c r="V18" s="15" t="e">
        <f t="shared" ca="1" si="9"/>
        <v>#VALUE!</v>
      </c>
      <c r="W18" s="15"/>
    </row>
    <row r="19" spans="1:23">
      <c r="A19" s="15"/>
      <c r="B19" s="15"/>
      <c r="C19" s="15"/>
      <c r="D19" s="15"/>
      <c r="E19" s="15"/>
      <c r="F19" s="16" t="s">
        <v>88</v>
      </c>
      <c r="G19" s="17" t="s">
        <v>123</v>
      </c>
      <c r="H19" s="18">
        <f t="shared" ca="1" si="2"/>
        <v>14</v>
      </c>
      <c r="I19" s="18">
        <f t="shared" ca="1" si="3"/>
        <v>2</v>
      </c>
      <c r="J19" s="18">
        <f t="shared" ca="1" si="4"/>
        <v>13</v>
      </c>
      <c r="K19" s="21" t="s">
        <v>74</v>
      </c>
      <c r="L19" s="17" t="s">
        <v>123</v>
      </c>
      <c r="M19" s="18">
        <f t="shared" si="6"/>
        <v>0</v>
      </c>
      <c r="N19" s="18">
        <f t="shared" si="7"/>
        <v>0</v>
      </c>
      <c r="O19" s="18">
        <f t="shared" si="8"/>
        <v>0</v>
      </c>
      <c r="P19" s="15" t="s">
        <v>73</v>
      </c>
      <c r="Q19" s="16" t="s">
        <v>148</v>
      </c>
      <c r="R19" s="29" t="str">
        <f>IF(B19="","",MAX(IF(นับต่าง!A:A=B19,นับต่าง!AC:AC)))</f>
        <v/>
      </c>
      <c r="S19" s="30" t="str">
        <f t="shared" si="0"/>
        <v>Check Data</v>
      </c>
      <c r="T19" s="30" t="str">
        <f t="shared" si="1"/>
        <v>Check Data</v>
      </c>
      <c r="U19" s="36" t="e">
        <f t="shared" ca="1" si="5"/>
        <v>#VALUE!</v>
      </c>
      <c r="V19" s="15" t="e">
        <f t="shared" ca="1" si="9"/>
        <v>#VALUE!</v>
      </c>
      <c r="W19" s="15"/>
    </row>
    <row r="20" spans="1:23">
      <c r="A20" s="15"/>
      <c r="B20" s="15"/>
      <c r="C20" s="15"/>
      <c r="D20" s="15"/>
      <c r="E20" s="15"/>
      <c r="F20" s="16" t="s">
        <v>149</v>
      </c>
      <c r="G20" s="17" t="s">
        <v>545</v>
      </c>
      <c r="H20" s="18">
        <f t="shared" ca="1" si="2"/>
        <v>5</v>
      </c>
      <c r="I20" s="18">
        <f t="shared" ca="1" si="3"/>
        <v>6</v>
      </c>
      <c r="J20" s="18">
        <f t="shared" ca="1" si="4"/>
        <v>4</v>
      </c>
      <c r="K20" s="16" t="s">
        <v>540</v>
      </c>
      <c r="L20" s="17" t="s">
        <v>546</v>
      </c>
      <c r="M20" s="18">
        <f t="shared" si="6"/>
        <v>6</v>
      </c>
      <c r="N20" s="18">
        <f t="shared" si="7"/>
        <v>3</v>
      </c>
      <c r="O20" s="18">
        <f t="shared" si="8"/>
        <v>15</v>
      </c>
      <c r="P20" s="15" t="s">
        <v>78</v>
      </c>
      <c r="Q20" s="16" t="s">
        <v>148</v>
      </c>
      <c r="R20" s="29" t="str">
        <f>IF(B20="","",MAX(IF(นับต่าง!A:A=B20,นับต่าง!AC:AC)))</f>
        <v/>
      </c>
      <c r="S20" s="30" t="str">
        <f t="shared" si="0"/>
        <v>Check Data</v>
      </c>
      <c r="T20" s="30" t="str">
        <f t="shared" si="1"/>
        <v>Check Data</v>
      </c>
      <c r="U20" s="36" t="e">
        <f t="shared" ca="1" si="5"/>
        <v>#VALUE!</v>
      </c>
      <c r="V20" s="15" t="e">
        <f t="shared" ca="1" si="9"/>
        <v>#VALUE!</v>
      </c>
      <c r="W20" s="15"/>
    </row>
    <row r="21" spans="1:23">
      <c r="A21" s="15"/>
      <c r="B21" s="15"/>
      <c r="C21" s="15"/>
      <c r="D21" s="15"/>
      <c r="E21" s="15"/>
      <c r="F21" s="16"/>
      <c r="G21" s="17"/>
      <c r="H21" s="17"/>
      <c r="I21" s="17"/>
      <c r="J21" s="17"/>
      <c r="K21" s="22"/>
      <c r="L21" s="17"/>
      <c r="M21" s="17"/>
      <c r="N21" s="17"/>
      <c r="O21" s="17"/>
      <c r="P21" s="15"/>
      <c r="Q21" s="16"/>
      <c r="R21" s="15"/>
      <c r="S21" s="29"/>
      <c r="T21" s="29"/>
      <c r="U21" s="36"/>
      <c r="V21" s="15"/>
      <c r="W21" s="15"/>
    </row>
  </sheetData>
  <conditionalFormatting sqref="V1:V1048576">
    <cfRule type="containsText" dxfId="11" priority="1" operator="containsText" text="ถึงเกณฑ์นานแล้ว">
      <formula>NOT(ISERROR(SEARCH("ถึงเกณฑ์นานแล้ว",V1)))</formula>
    </cfRule>
    <cfRule type="containsText" dxfId="10" priority="2" operator="containsText" text="ยังไม่ถึงเกณฑ์">
      <formula>NOT(ISERROR(SEARCH("ยังไม่ถึงเกณฑ์",V1)))</formula>
    </cfRule>
    <cfRule type="containsText" dxfId="9" priority="3" operator="containsText" text="ใกล้ถึงเกณฑ์">
      <formula>NOT(ISERROR(SEARCH("ใกล้ถึงเกณฑ์",V1)))</formula>
    </cfRule>
    <cfRule type="containsText" dxfId="8" priority="4" operator="containsText" text="ถึงเกณฑ์">
      <formula>NOT(ISERROR(SEARCH("ถึงเกณฑ์",V1)))</formula>
    </cfRule>
  </conditionalFormatting>
  <dataValidations count="1">
    <dataValidation type="list" showInputMessage="1" showErrorMessage="1" sqref="P3:P20" xr:uid="{00000000-0002-0000-1900-000000000000}">
      <formula1>"ป.ตรี,ป.ตรี 5 ปี,ป.ตรี 6 ปี,ป.โท,ป.เอก"</formula1>
    </dataValidation>
  </dataValidation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Y26"/>
  <sheetViews>
    <sheetView topLeftCell="H1" workbookViewId="0">
      <selection activeCell="B3" sqref="B3:C26"/>
    </sheetView>
  </sheetViews>
  <sheetFormatPr defaultColWidth="9" defaultRowHeight="14.25"/>
  <sheetData>
    <row r="1" spans="1:25" ht="24">
      <c r="B1" s="3" t="s">
        <v>50</v>
      </c>
      <c r="C1" s="9">
        <f ca="1">TODAY()</f>
        <v>46102</v>
      </c>
      <c r="E1" s="4" t="s">
        <v>0</v>
      </c>
      <c r="F1" s="10">
        <v>243523</v>
      </c>
      <c r="G1" s="9">
        <f>IF(AND(LEFT(F1,2)="29",MID(F1,4,1)="2"),LEFT(F1,2)&amp;"/"&amp;MID(F1,4,1)&amp;"/"&amp;RIGHT(F1,4)-543,EDATE(F1,-543*12))</f>
        <v>45196</v>
      </c>
      <c r="H1" s="11"/>
      <c r="I1" s="11"/>
      <c r="J1" s="11"/>
      <c r="K1" s="20"/>
      <c r="L1" s="11"/>
      <c r="M1" s="11"/>
      <c r="N1" s="11"/>
      <c r="O1" s="11"/>
      <c r="Q1" s="23"/>
      <c r="T1" s="26"/>
      <c r="U1" s="32" t="s">
        <v>547</v>
      </c>
      <c r="V1" s="33" t="s">
        <v>548</v>
      </c>
      <c r="W1" s="34"/>
    </row>
    <row r="2" spans="1:25" ht="120">
      <c r="A2" s="12" t="s">
        <v>51</v>
      </c>
      <c r="B2" s="13" t="s">
        <v>52</v>
      </c>
      <c r="C2" s="12" t="s">
        <v>53</v>
      </c>
      <c r="D2" s="12" t="s">
        <v>54</v>
      </c>
      <c r="E2" s="12" t="s">
        <v>55</v>
      </c>
      <c r="F2" s="12" t="s">
        <v>56</v>
      </c>
      <c r="G2" s="14" t="s">
        <v>57</v>
      </c>
      <c r="H2" s="14" t="s">
        <v>4</v>
      </c>
      <c r="I2" s="14" t="s">
        <v>5</v>
      </c>
      <c r="J2" s="14" t="s">
        <v>6</v>
      </c>
      <c r="K2" s="14" t="s">
        <v>59</v>
      </c>
      <c r="L2" s="14" t="s">
        <v>81</v>
      </c>
      <c r="M2" s="14" t="s">
        <v>4</v>
      </c>
      <c r="N2" s="14" t="s">
        <v>5</v>
      </c>
      <c r="O2" s="14" t="s">
        <v>6</v>
      </c>
      <c r="P2" s="12" t="s">
        <v>61</v>
      </c>
      <c r="Q2" s="12" t="s">
        <v>62</v>
      </c>
      <c r="R2" s="24" t="s">
        <v>536</v>
      </c>
      <c r="S2" s="24" t="s">
        <v>549</v>
      </c>
      <c r="T2" s="24" t="s">
        <v>550</v>
      </c>
      <c r="U2" s="24" t="s">
        <v>551</v>
      </c>
      <c r="V2" s="24" t="s">
        <v>552</v>
      </c>
      <c r="W2" s="35" t="s">
        <v>69</v>
      </c>
      <c r="X2" s="12" t="s">
        <v>70</v>
      </c>
      <c r="Y2" s="2" t="s">
        <v>85</v>
      </c>
    </row>
    <row r="3" spans="1:25" ht="48">
      <c r="A3" s="15"/>
      <c r="B3" s="37"/>
      <c r="C3" s="15"/>
      <c r="D3" s="15"/>
      <c r="E3" s="15"/>
      <c r="F3" s="16" t="s">
        <v>148</v>
      </c>
      <c r="G3" s="38" t="s">
        <v>553</v>
      </c>
      <c r="H3" s="18">
        <f ca="1">DATEDIF(G3,$C$1,"Y")</f>
        <v>6</v>
      </c>
      <c r="I3" s="18">
        <f ca="1">DATEDIF(G3,$C$1,"YM")</f>
        <v>4</v>
      </c>
      <c r="J3" s="18">
        <f ca="1">DATEDIF(G3,$C$1,"MD")</f>
        <v>20</v>
      </c>
      <c r="K3" s="21" t="s">
        <v>88</v>
      </c>
      <c r="L3" s="17" t="s">
        <v>554</v>
      </c>
      <c r="M3" s="18">
        <f>DATEDIF(L3,G3,"Y")</f>
        <v>4</v>
      </c>
      <c r="N3" s="18">
        <f>DATEDIF(L3,G3,"YM")</f>
        <v>9</v>
      </c>
      <c r="O3" s="18">
        <f>DATEDIF(L3,G3,"MD")</f>
        <v>11</v>
      </c>
      <c r="P3" s="15" t="s">
        <v>78</v>
      </c>
      <c r="Q3" s="16" t="s">
        <v>136</v>
      </c>
      <c r="R3" s="29" t="str">
        <f>IF(B3="","",MAX(IF(นับต่าง!A:A=B3,นับต่าง!AC:AC)))</f>
        <v/>
      </c>
      <c r="S3" s="29">
        <f>IF(F3="M1",EDATE(G3,12),"ดูคุณสมบัติอื่น")</f>
        <v>44136</v>
      </c>
      <c r="T3" s="30">
        <f>_xlfn.IFS(AND(F3="M1",K3="K3",EDATE(L3,12*4)&lt;=EDATE(G3,12)),G3+1,AND(F3="M1",K3="K3",EDATE(L3,12*4)&gt;EDATE(G3,12)),EDATE(L3,12*4),AND(F3="M1",K3="O3",EDATE(L3,12*7)&lt;=EDATE(G3,12)),G3+1,AND(F3="M1",K3="O3",EDATE(L3,12*7)&gt;EDATE(G3,12)),EDATE(L3,12*7),TRUE,"ดูคุณสมบัติอื่น")</f>
        <v>43771</v>
      </c>
      <c r="U3" s="30" t="str">
        <f>_xlfn.IFS(AND(F3="K4",R3&gt;G3),R3,AND(K3="K3",R3&gt;EDATE(G3,12*4)),R3,AND(K3="O3",R3&gt;EDATE(G3,12*7)),R3,AND(K3="K4",R3&lt;=G3),G3,AND(K3="K3",R3&lt;=EDATE(L3,12*4)),EDATE(L3,12*4),AND(K3="O3",R3&lt;=EDATE(L3,12*7)),EDATE(L3,12*7),TRUE,"ดูคุณสมบัติอื่น")</f>
        <v/>
      </c>
      <c r="V3" s="30" t="str">
        <f>_xlfn.IFS($V$1="อต 1 ปี",S3,$V$1="อต+ชพ / อต+อว",T3,$V$1="ชช / ชพ / อว",U3,TRUE,"Check Data")</f>
        <v/>
      </c>
      <c r="W3" s="36" t="str">
        <f ca="1">IFERROR(IF(TODAY()&gt;V3,V3-TODAY(),DATEDIF(TODAY(),V3,"d")),"ดูคุณสมบัติอื่น")</f>
        <v>ดูคุณสมบัติอื่น</v>
      </c>
      <c r="X3" s="15" t="str">
        <f ca="1">_xlfn.IFS(W3="ดูคุณสมบัติอื่น","ดูคุณสมบัติอื่น",W3&gt;30,"ยังไม่ถึงเกณฑ์",W3&gt;0,"ใกล้ถึงเกณฑ์",W3=0,"ถึงเกณฑ์",W3&lt;0,"ถึงเกณฑ์นานแล้ว")</f>
        <v>ดูคุณสมบัติอื่น</v>
      </c>
    </row>
    <row r="4" spans="1:25" ht="48">
      <c r="A4" s="15"/>
      <c r="B4" s="37"/>
      <c r="C4" s="15"/>
      <c r="D4" s="15"/>
      <c r="E4" s="15"/>
      <c r="F4" s="16" t="s">
        <v>148</v>
      </c>
      <c r="G4" s="38" t="s">
        <v>553</v>
      </c>
      <c r="H4" s="18">
        <f ca="1">DATEDIF(G4,$C$1,"Y")</f>
        <v>6</v>
      </c>
      <c r="I4" s="18">
        <f ca="1">DATEDIF(G4,$C$1,"YM")</f>
        <v>4</v>
      </c>
      <c r="J4" s="18">
        <f ca="1">DATEDIF(G4,$C$1,"MD")</f>
        <v>20</v>
      </c>
      <c r="K4" s="21" t="s">
        <v>88</v>
      </c>
      <c r="L4" s="17" t="s">
        <v>555</v>
      </c>
      <c r="M4" s="18">
        <f>DATEDIF(L4,G4,"Y")</f>
        <v>3</v>
      </c>
      <c r="N4" s="18">
        <f>DATEDIF(L4,G4,"YM")</f>
        <v>9</v>
      </c>
      <c r="O4" s="18">
        <f>DATEDIF(L4,G4,"MD")</f>
        <v>20</v>
      </c>
      <c r="P4" s="15"/>
      <c r="Q4" s="16" t="s">
        <v>136</v>
      </c>
      <c r="R4" s="29" t="str">
        <f>IF(B4="","",MAX(IF(นับต่าง!A:A=B4,นับต่าง!AC:AC)))</f>
        <v/>
      </c>
      <c r="S4" s="29">
        <f>IF(F4="M1",EDATE(G4,12),"ดูคุณสมบัติอื่น")</f>
        <v>44136</v>
      </c>
      <c r="T4" s="30">
        <f>_xlfn.IFS(AND(F4="M1",K4="K3",EDATE(L4,12*4)&lt;=EDATE(G4,12)),G4+1,AND(F4="M1",K4="K3",EDATE(L4,12*4)&gt;EDATE(G4,12)),EDATE(L4,12*4),AND(F4="M1",K4="O3",EDATE(L4,12*7)&lt;=EDATE(G4,12)),G4+1,AND(F4="M1",K4="O3",EDATE(L4,12*7)&gt;EDATE(G4,12)),EDATE(L4,12*7),TRUE,"ดูคุณสมบัติอื่น")</f>
        <v>43771</v>
      </c>
      <c r="U4" s="30" t="str">
        <f>_xlfn.IFS(AND(F4="K4",R4&gt;G4),R4,AND(K4="K3",R4&gt;EDATE(G4,12*4)),R4,AND(K4="O3",R4&gt;EDATE(G4,12*7)),R4,AND(K4="K4",R4&lt;=G4),G4,AND(K4="K3",R4&lt;=EDATE(L4,12*4)),EDATE(L4,12*4),AND(K4="O3",R4&lt;=EDATE(L4,12*7)),EDATE(L4,12*7),TRUE,"ดูคุณสมบัติอื่น")</f>
        <v/>
      </c>
      <c r="V4" s="30" t="str">
        <f>_xlfn.IFS($V$1="อต 1 ปี",S4,$V$1="อต+ชพ / อต+อว",T4,$V$1="ชช / ชพ / อว",U4,TRUE,"Check Data")</f>
        <v/>
      </c>
      <c r="W4" s="36" t="str">
        <f ca="1">IFERROR(IF(TODAY()&gt;V4,V4-TODAY(),DATEDIF(TODAY(),V4,"d")),"ดูคุณสมบัติอื่น")</f>
        <v>ดูคุณสมบัติอื่น</v>
      </c>
      <c r="X4" s="15" t="str">
        <f ca="1">_xlfn.IFS(W4="ดูคุณสมบัติอื่น","ดูคุณสมบัติอื่น",W4&gt;30,"ยังไม่ถึงเกณฑ์",W4&gt;0,"ใกล้ถึงเกณฑ์",W4=0,"ถึงเกณฑ์",W4&lt;0,"ถึงเกณฑ์นานแล้ว")</f>
        <v>ดูคุณสมบัติอื่น</v>
      </c>
    </row>
    <row r="5" spans="1:25" ht="48">
      <c r="A5" s="15"/>
      <c r="B5" s="37"/>
      <c r="C5" s="15"/>
      <c r="D5" s="15"/>
      <c r="E5" s="15"/>
      <c r="F5" s="16" t="s">
        <v>148</v>
      </c>
      <c r="G5" s="38" t="s">
        <v>556</v>
      </c>
      <c r="H5" s="18">
        <f t="shared" ref="H5:H20" ca="1" si="0">DATEDIF(G5,$C$1,"Y")</f>
        <v>2</v>
      </c>
      <c r="I5" s="18">
        <f t="shared" ref="I5:I20" ca="1" si="1">DATEDIF(G5,$C$1,"YM")</f>
        <v>5</v>
      </c>
      <c r="J5" s="18">
        <f t="shared" ref="J5:J20" ca="1" si="2">DATEDIF(G5,$C$1,"MD")</f>
        <v>19</v>
      </c>
      <c r="K5" s="21" t="s">
        <v>88</v>
      </c>
      <c r="L5" s="17" t="s">
        <v>557</v>
      </c>
      <c r="M5" s="18">
        <f>DATEDIF(L5,G5,"Y")</f>
        <v>10</v>
      </c>
      <c r="N5" s="18">
        <f>DATEDIF(L5,G5,"YM")</f>
        <v>6</v>
      </c>
      <c r="O5" s="18">
        <f>DATEDIF(L5,G5,"MD")</f>
        <v>4</v>
      </c>
      <c r="P5" s="15"/>
      <c r="Q5" s="16" t="s">
        <v>136</v>
      </c>
      <c r="R5" s="29" t="str">
        <f>IF(B5="","",MAX(IF(นับต่าง!A:A=B5,นับต่าง!AC:AC)))</f>
        <v/>
      </c>
      <c r="S5" s="29">
        <f t="shared" ref="S5:S20" si="3">IF(F5="M1",EDATE(G5,12),"ดูคุณสมบัติอื่น")</f>
        <v>45565</v>
      </c>
      <c r="T5" s="30">
        <f t="shared" ref="T5:T20" si="4">_xlfn.IFS(AND(F5="M1",K5="K3",EDATE(L5,12*4)&lt;=EDATE(G5,12)),G5+1,AND(F5="M1",K5="K3",EDATE(L5,12*4)&gt;EDATE(G5,12)),EDATE(L5,12*4),AND(F5="M1",K5="O3",EDATE(L5,12*7)&lt;=EDATE(G5,12)),G5+1,AND(F5="M1",K5="O3",EDATE(L5,12*7)&gt;EDATE(G5,12)),EDATE(L5,12*7),TRUE,"ดูคุณสมบัติอื่น")</f>
        <v>45200</v>
      </c>
      <c r="U5" s="30" t="str">
        <f t="shared" ref="U5:U20" si="5">_xlfn.IFS(AND(F5="K4",R5&gt;G5),R5,AND(K5="K3",R5&gt;EDATE(G5,12*4)),R5,AND(K5="O3",R5&gt;EDATE(G5,12*7)),R5,AND(K5="K4",R5&lt;=G5),G5,AND(K5="K3",R5&lt;=EDATE(L5,12*4)),EDATE(L5,12*4),AND(K5="O3",R5&lt;=EDATE(L5,12*7)),EDATE(L5,12*7),TRUE,"ดูคุณสมบัติอื่น")</f>
        <v/>
      </c>
      <c r="V5" s="30" t="str">
        <f t="shared" ref="V5:V20" si="6">_xlfn.IFS($V$1="อต 1 ปี",S5,$V$1="อต+ชพ / อต+อว",T5,$V$1="ชช / ชพ / อว",U5,TRUE,"Check Data")</f>
        <v/>
      </c>
      <c r="W5" s="36" t="str">
        <f t="shared" ref="W5:W20" ca="1" si="7">IFERROR(IF(TODAY()&gt;V5,V5-TODAY(),DATEDIF(TODAY(),V5,"d")),"ดูคุณสมบัติอื่น")</f>
        <v>ดูคุณสมบัติอื่น</v>
      </c>
      <c r="X5" s="15" t="str">
        <f t="shared" ref="X5:X20" ca="1" si="8">_xlfn.IFS(W5="ดูคุณสมบัติอื่น","ดูคุณสมบัติอื่น",W5&gt;30,"ยังไม่ถึงเกณฑ์",W5&gt;0,"ใกล้ถึงเกณฑ์",W5=0,"ถึงเกณฑ์",W5&lt;0,"ถึงเกณฑ์นานแล้ว")</f>
        <v>ดูคุณสมบัติอื่น</v>
      </c>
    </row>
    <row r="6" spans="1:25" ht="48">
      <c r="A6" s="15"/>
      <c r="B6" s="37"/>
      <c r="C6" s="15"/>
      <c r="D6" s="15"/>
      <c r="E6" s="15"/>
      <c r="F6" s="16" t="s">
        <v>148</v>
      </c>
      <c r="G6" s="38" t="s">
        <v>558</v>
      </c>
      <c r="H6" s="18">
        <f t="shared" ca="1" si="0"/>
        <v>5</v>
      </c>
      <c r="I6" s="18">
        <f t="shared" ca="1" si="1"/>
        <v>7</v>
      </c>
      <c r="J6" s="18">
        <f t="shared" ca="1" si="2"/>
        <v>25</v>
      </c>
      <c r="K6" s="21" t="s">
        <v>88</v>
      </c>
      <c r="L6" s="17" t="s">
        <v>559</v>
      </c>
      <c r="M6" s="18">
        <f>DATEDIF(L6,G6,"Y")</f>
        <v>3</v>
      </c>
      <c r="N6" s="18">
        <f>DATEDIF(L6,G6,"YM")</f>
        <v>8</v>
      </c>
      <c r="O6" s="18">
        <f>DATEDIF(L6,G6,"MD")</f>
        <v>10</v>
      </c>
      <c r="P6" s="15"/>
      <c r="Q6" s="16" t="s">
        <v>136</v>
      </c>
      <c r="R6" s="29" t="str">
        <f>IF(B6="","",MAX(IF(นับต่าง!A:A=B6,นับต่าง!AC:AC)))</f>
        <v/>
      </c>
      <c r="S6" s="29">
        <f t="shared" si="3"/>
        <v>44401</v>
      </c>
      <c r="T6" s="30">
        <f t="shared" si="4"/>
        <v>44037</v>
      </c>
      <c r="U6" s="30" t="str">
        <f t="shared" si="5"/>
        <v/>
      </c>
      <c r="V6" s="30" t="str">
        <f t="shared" si="6"/>
        <v/>
      </c>
      <c r="W6" s="36" t="str">
        <f t="shared" ca="1" si="7"/>
        <v>ดูคุณสมบัติอื่น</v>
      </c>
      <c r="X6" s="15" t="str">
        <f t="shared" ca="1" si="8"/>
        <v>ดูคุณสมบัติอื่น</v>
      </c>
    </row>
    <row r="7" spans="1:25" ht="48">
      <c r="A7" s="15"/>
      <c r="B7" s="37"/>
      <c r="C7" s="15"/>
      <c r="D7" s="15"/>
      <c r="E7" s="15"/>
      <c r="F7" s="16" t="s">
        <v>148</v>
      </c>
      <c r="G7" s="38" t="s">
        <v>560</v>
      </c>
      <c r="H7" s="18">
        <f t="shared" ca="1" si="0"/>
        <v>10</v>
      </c>
      <c r="I7" s="18">
        <f t="shared" ca="1" si="1"/>
        <v>3</v>
      </c>
      <c r="J7" s="18">
        <f t="shared" ca="1" si="2"/>
        <v>3</v>
      </c>
      <c r="K7" s="21" t="s">
        <v>88</v>
      </c>
      <c r="L7" s="17" t="s">
        <v>561</v>
      </c>
      <c r="M7" s="18">
        <f t="shared" ref="M7:M20" si="9">DATEDIF(L7,G7,"Y")</f>
        <v>4</v>
      </c>
      <c r="N7" s="18">
        <f t="shared" ref="N7:N20" si="10">DATEDIF(L7,G7,"YM")</f>
        <v>2</v>
      </c>
      <c r="O7" s="18">
        <f t="shared" ref="O7:O20" si="11">DATEDIF(L7,G7,"MD")</f>
        <v>1</v>
      </c>
      <c r="P7" s="15"/>
      <c r="Q7" s="16" t="s">
        <v>136</v>
      </c>
      <c r="R7" s="29" t="str">
        <f>IF(B7="","",MAX(IF(นับต่าง!A:A=B7,นับต่าง!AC:AC)))</f>
        <v/>
      </c>
      <c r="S7" s="29">
        <f t="shared" si="3"/>
        <v>42722</v>
      </c>
      <c r="T7" s="30">
        <f t="shared" si="4"/>
        <v>42357</v>
      </c>
      <c r="U7" s="30" t="str">
        <f t="shared" si="5"/>
        <v/>
      </c>
      <c r="V7" s="30" t="str">
        <f t="shared" si="6"/>
        <v/>
      </c>
      <c r="W7" s="36" t="str">
        <f t="shared" ca="1" si="7"/>
        <v>ดูคุณสมบัติอื่น</v>
      </c>
      <c r="X7" s="15" t="str">
        <f t="shared" ca="1" si="8"/>
        <v>ดูคุณสมบัติอื่น</v>
      </c>
    </row>
    <row r="8" spans="1:25" ht="48">
      <c r="A8" s="15"/>
      <c r="B8" s="37"/>
      <c r="C8" s="15"/>
      <c r="D8" s="15"/>
      <c r="E8" s="15"/>
      <c r="F8" s="16" t="s">
        <v>148</v>
      </c>
      <c r="G8" s="38" t="s">
        <v>553</v>
      </c>
      <c r="H8" s="18">
        <f t="shared" ca="1" si="0"/>
        <v>6</v>
      </c>
      <c r="I8" s="18">
        <f t="shared" ca="1" si="1"/>
        <v>4</v>
      </c>
      <c r="J8" s="18">
        <f t="shared" ca="1" si="2"/>
        <v>20</v>
      </c>
      <c r="K8" s="21" t="s">
        <v>88</v>
      </c>
      <c r="L8" s="17" t="s">
        <v>562</v>
      </c>
      <c r="M8" s="18">
        <f t="shared" si="9"/>
        <v>6</v>
      </c>
      <c r="N8" s="18">
        <f t="shared" si="10"/>
        <v>5</v>
      </c>
      <c r="O8" s="18">
        <f t="shared" si="11"/>
        <v>10</v>
      </c>
      <c r="P8" s="15"/>
      <c r="Q8" s="16" t="s">
        <v>136</v>
      </c>
      <c r="R8" s="29" t="str">
        <f>IF(B8="","",MAX(IF(นับต่าง!A:A=B8,นับต่าง!AC:AC)))</f>
        <v/>
      </c>
      <c r="S8" s="29">
        <f t="shared" si="3"/>
        <v>44136</v>
      </c>
      <c r="T8" s="30">
        <f t="shared" si="4"/>
        <v>43771</v>
      </c>
      <c r="U8" s="30" t="str">
        <f t="shared" si="5"/>
        <v/>
      </c>
      <c r="V8" s="30" t="str">
        <f t="shared" si="6"/>
        <v/>
      </c>
      <c r="W8" s="36" t="str">
        <f t="shared" ca="1" si="7"/>
        <v>ดูคุณสมบัติอื่น</v>
      </c>
      <c r="X8" s="15" t="str">
        <f t="shared" ca="1" si="8"/>
        <v>ดูคุณสมบัติอื่น</v>
      </c>
    </row>
    <row r="9" spans="1:25" ht="48">
      <c r="A9" s="15"/>
      <c r="B9" s="37"/>
      <c r="C9" s="15"/>
      <c r="D9" s="15"/>
      <c r="E9" s="15"/>
      <c r="F9" s="16" t="s">
        <v>148</v>
      </c>
      <c r="G9" s="38" t="s">
        <v>553</v>
      </c>
      <c r="H9" s="18">
        <f t="shared" ca="1" si="0"/>
        <v>6</v>
      </c>
      <c r="I9" s="18">
        <f t="shared" ca="1" si="1"/>
        <v>4</v>
      </c>
      <c r="J9" s="18">
        <f t="shared" ca="1" si="2"/>
        <v>20</v>
      </c>
      <c r="K9" s="21" t="s">
        <v>88</v>
      </c>
      <c r="L9" s="17" t="s">
        <v>563</v>
      </c>
      <c r="M9" s="18">
        <f t="shared" si="9"/>
        <v>14</v>
      </c>
      <c r="N9" s="18">
        <f t="shared" si="10"/>
        <v>4</v>
      </c>
      <c r="O9" s="18">
        <f t="shared" si="11"/>
        <v>8</v>
      </c>
      <c r="P9" s="15"/>
      <c r="Q9" s="16" t="s">
        <v>136</v>
      </c>
      <c r="R9" s="29" t="str">
        <f>IF(B9="","",MAX(IF(นับต่าง!A:A=B9,นับต่าง!AC:AC)))</f>
        <v/>
      </c>
      <c r="S9" s="29">
        <f t="shared" si="3"/>
        <v>44136</v>
      </c>
      <c r="T9" s="30">
        <f t="shared" si="4"/>
        <v>43771</v>
      </c>
      <c r="U9" s="30" t="str">
        <f t="shared" si="5"/>
        <v/>
      </c>
      <c r="V9" s="30" t="str">
        <f t="shared" si="6"/>
        <v/>
      </c>
      <c r="W9" s="36" t="str">
        <f t="shared" ca="1" si="7"/>
        <v>ดูคุณสมบัติอื่น</v>
      </c>
      <c r="X9" s="15" t="str">
        <f t="shared" ca="1" si="8"/>
        <v>ดูคุณสมบัติอื่น</v>
      </c>
    </row>
    <row r="10" spans="1:25" ht="48">
      <c r="A10" s="15"/>
      <c r="B10" s="37"/>
      <c r="C10" s="15"/>
      <c r="D10" s="15"/>
      <c r="E10" s="15"/>
      <c r="F10" s="16" t="s">
        <v>148</v>
      </c>
      <c r="G10" s="38" t="s">
        <v>553</v>
      </c>
      <c r="H10" s="18">
        <f t="shared" ca="1" si="0"/>
        <v>6</v>
      </c>
      <c r="I10" s="18">
        <f t="shared" ca="1" si="1"/>
        <v>4</v>
      </c>
      <c r="J10" s="18">
        <f t="shared" ca="1" si="2"/>
        <v>20</v>
      </c>
      <c r="K10" s="21" t="s">
        <v>88</v>
      </c>
      <c r="L10" s="17" t="s">
        <v>564</v>
      </c>
      <c r="M10" s="18">
        <f t="shared" si="9"/>
        <v>7</v>
      </c>
      <c r="N10" s="18">
        <f t="shared" si="10"/>
        <v>4</v>
      </c>
      <c r="O10" s="18">
        <f t="shared" si="11"/>
        <v>3</v>
      </c>
      <c r="P10" s="15"/>
      <c r="Q10" s="16" t="s">
        <v>136</v>
      </c>
      <c r="R10" s="29" t="str">
        <f>IF(B10="","",MAX(IF(นับต่าง!A:A=B10,นับต่าง!AC:AC)))</f>
        <v/>
      </c>
      <c r="S10" s="29">
        <f t="shared" si="3"/>
        <v>44136</v>
      </c>
      <c r="T10" s="30">
        <f t="shared" si="4"/>
        <v>43771</v>
      </c>
      <c r="U10" s="30" t="str">
        <f t="shared" si="5"/>
        <v/>
      </c>
      <c r="V10" s="30" t="str">
        <f t="shared" si="6"/>
        <v/>
      </c>
      <c r="W10" s="36" t="str">
        <f t="shared" ca="1" si="7"/>
        <v>ดูคุณสมบัติอื่น</v>
      </c>
      <c r="X10" s="15" t="str">
        <f t="shared" ca="1" si="8"/>
        <v>ดูคุณสมบัติอื่น</v>
      </c>
    </row>
    <row r="11" spans="1:25" ht="48">
      <c r="A11" s="15"/>
      <c r="B11" s="37"/>
      <c r="C11" s="15"/>
      <c r="D11" s="15"/>
      <c r="E11" s="15"/>
      <c r="F11" s="16" t="s">
        <v>148</v>
      </c>
      <c r="G11" s="38" t="s">
        <v>565</v>
      </c>
      <c r="H11" s="18">
        <f t="shared" ca="1" si="0"/>
        <v>2</v>
      </c>
      <c r="I11" s="18">
        <f t="shared" ca="1" si="1"/>
        <v>8</v>
      </c>
      <c r="J11" s="18">
        <f t="shared" ca="1" si="2"/>
        <v>0</v>
      </c>
      <c r="K11" s="21" t="s">
        <v>88</v>
      </c>
      <c r="L11" s="17" t="s">
        <v>566</v>
      </c>
      <c r="M11" s="18">
        <f t="shared" si="9"/>
        <v>5</v>
      </c>
      <c r="N11" s="18">
        <f t="shared" si="10"/>
        <v>6</v>
      </c>
      <c r="O11" s="18">
        <f t="shared" si="11"/>
        <v>10</v>
      </c>
      <c r="P11" s="15"/>
      <c r="Q11" s="16" t="s">
        <v>136</v>
      </c>
      <c r="R11" s="29" t="str">
        <f>IF(B11="","",MAX(IF(นับต่าง!A:A=B11,นับต่าง!AC:AC)))</f>
        <v/>
      </c>
      <c r="S11" s="29">
        <f t="shared" si="3"/>
        <v>45494</v>
      </c>
      <c r="T11" s="30">
        <f t="shared" si="4"/>
        <v>45129</v>
      </c>
      <c r="U11" s="30" t="str">
        <f t="shared" si="5"/>
        <v/>
      </c>
      <c r="V11" s="30" t="str">
        <f t="shared" si="6"/>
        <v/>
      </c>
      <c r="W11" s="36" t="str">
        <f t="shared" ca="1" si="7"/>
        <v>ดูคุณสมบัติอื่น</v>
      </c>
      <c r="X11" s="15" t="str">
        <f t="shared" ca="1" si="8"/>
        <v>ดูคุณสมบัติอื่น</v>
      </c>
    </row>
    <row r="12" spans="1:25" ht="48">
      <c r="A12" s="15"/>
      <c r="B12" s="37"/>
      <c r="C12" s="15"/>
      <c r="D12" s="15"/>
      <c r="E12" s="15"/>
      <c r="F12" s="16" t="s">
        <v>148</v>
      </c>
      <c r="G12" s="38" t="s">
        <v>567</v>
      </c>
      <c r="H12" s="18">
        <f t="shared" ca="1" si="0"/>
        <v>7</v>
      </c>
      <c r="I12" s="18">
        <f t="shared" ca="1" si="1"/>
        <v>2</v>
      </c>
      <c r="J12" s="18">
        <f t="shared" ca="1" si="2"/>
        <v>6</v>
      </c>
      <c r="K12" s="21" t="s">
        <v>88</v>
      </c>
      <c r="L12" s="17" t="s">
        <v>568</v>
      </c>
      <c r="M12" s="18">
        <f t="shared" si="9"/>
        <v>7</v>
      </c>
      <c r="N12" s="18">
        <f t="shared" si="10"/>
        <v>0</v>
      </c>
      <c r="O12" s="18">
        <f t="shared" si="11"/>
        <v>24</v>
      </c>
      <c r="P12" s="15"/>
      <c r="Q12" s="16" t="s">
        <v>136</v>
      </c>
      <c r="R12" s="29" t="str">
        <f>IF(B12="","",MAX(IF(นับต่าง!A:A=B12,นับต่าง!AC:AC)))</f>
        <v/>
      </c>
      <c r="S12" s="29">
        <f t="shared" si="3"/>
        <v>43845</v>
      </c>
      <c r="T12" s="30">
        <f t="shared" si="4"/>
        <v>43481</v>
      </c>
      <c r="U12" s="30" t="str">
        <f t="shared" si="5"/>
        <v/>
      </c>
      <c r="V12" s="30" t="str">
        <f t="shared" si="6"/>
        <v/>
      </c>
      <c r="W12" s="36" t="str">
        <f t="shared" ca="1" si="7"/>
        <v>ดูคุณสมบัติอื่น</v>
      </c>
      <c r="X12" s="15" t="str">
        <f t="shared" ca="1" si="8"/>
        <v>ดูคุณสมบัติอื่น</v>
      </c>
    </row>
    <row r="13" spans="1:25" ht="48">
      <c r="A13" s="15"/>
      <c r="B13" s="37"/>
      <c r="C13" s="15"/>
      <c r="D13" s="15"/>
      <c r="E13" s="15"/>
      <c r="F13" s="16" t="s">
        <v>148</v>
      </c>
      <c r="G13" s="38" t="s">
        <v>569</v>
      </c>
      <c r="H13" s="18">
        <f t="shared" ca="1" si="0"/>
        <v>3</v>
      </c>
      <c r="I13" s="18">
        <f t="shared" ca="1" si="1"/>
        <v>3</v>
      </c>
      <c r="J13" s="18">
        <f t="shared" ca="1" si="2"/>
        <v>18</v>
      </c>
      <c r="K13" s="21" t="s">
        <v>88</v>
      </c>
      <c r="L13" s="17" t="s">
        <v>570</v>
      </c>
      <c r="M13" s="18">
        <f t="shared" si="9"/>
        <v>14</v>
      </c>
      <c r="N13" s="18">
        <f t="shared" si="10"/>
        <v>0</v>
      </c>
      <c r="O13" s="18">
        <f t="shared" si="11"/>
        <v>2</v>
      </c>
      <c r="P13" s="15"/>
      <c r="Q13" s="16" t="s">
        <v>136</v>
      </c>
      <c r="R13" s="29" t="str">
        <f>IF(B13="","",MAX(IF(นับต่าง!A:A=B13,นับต่าง!AC:AC)))</f>
        <v/>
      </c>
      <c r="S13" s="29">
        <f t="shared" si="3"/>
        <v>45263</v>
      </c>
      <c r="T13" s="30">
        <f t="shared" si="4"/>
        <v>44899</v>
      </c>
      <c r="U13" s="30" t="str">
        <f t="shared" si="5"/>
        <v/>
      </c>
      <c r="V13" s="30" t="str">
        <f t="shared" si="6"/>
        <v/>
      </c>
      <c r="W13" s="36" t="str">
        <f t="shared" ca="1" si="7"/>
        <v>ดูคุณสมบัติอื่น</v>
      </c>
      <c r="X13" s="15" t="str">
        <f t="shared" ca="1" si="8"/>
        <v>ดูคุณสมบัติอื่น</v>
      </c>
    </row>
    <row r="14" spans="1:25" ht="48">
      <c r="A14" s="15"/>
      <c r="B14" s="37"/>
      <c r="C14" s="15"/>
      <c r="D14" s="15"/>
      <c r="E14" s="15"/>
      <c r="F14" s="16" t="s">
        <v>148</v>
      </c>
      <c r="G14" s="38" t="s">
        <v>553</v>
      </c>
      <c r="H14" s="18">
        <f t="shared" ca="1" si="0"/>
        <v>6</v>
      </c>
      <c r="I14" s="18">
        <f t="shared" ca="1" si="1"/>
        <v>4</v>
      </c>
      <c r="J14" s="18">
        <f t="shared" ca="1" si="2"/>
        <v>20</v>
      </c>
      <c r="K14" s="21" t="s">
        <v>88</v>
      </c>
      <c r="L14" s="17" t="s">
        <v>571</v>
      </c>
      <c r="M14" s="18">
        <f t="shared" si="9"/>
        <v>6</v>
      </c>
      <c r="N14" s="18">
        <f t="shared" si="10"/>
        <v>6</v>
      </c>
      <c r="O14" s="18">
        <f t="shared" si="11"/>
        <v>7</v>
      </c>
      <c r="P14" s="15"/>
      <c r="Q14" s="16" t="s">
        <v>136</v>
      </c>
      <c r="R14" s="29" t="str">
        <f>IF(B14="","",MAX(IF(นับต่าง!A:A=B14,นับต่าง!AC:AC)))</f>
        <v/>
      </c>
      <c r="S14" s="29">
        <f t="shared" si="3"/>
        <v>44136</v>
      </c>
      <c r="T14" s="30">
        <f t="shared" si="4"/>
        <v>43771</v>
      </c>
      <c r="U14" s="30" t="str">
        <f t="shared" si="5"/>
        <v/>
      </c>
      <c r="V14" s="30" t="str">
        <f t="shared" si="6"/>
        <v/>
      </c>
      <c r="W14" s="36" t="str">
        <f t="shared" ca="1" si="7"/>
        <v>ดูคุณสมบัติอื่น</v>
      </c>
      <c r="X14" s="15" t="str">
        <f t="shared" ca="1" si="8"/>
        <v>ดูคุณสมบัติอื่น</v>
      </c>
    </row>
    <row r="15" spans="1:25" ht="48">
      <c r="A15" s="15"/>
      <c r="B15" s="37"/>
      <c r="C15" s="15"/>
      <c r="D15" s="15"/>
      <c r="E15" s="15"/>
      <c r="F15" s="16" t="s">
        <v>148</v>
      </c>
      <c r="G15" s="38" t="s">
        <v>553</v>
      </c>
      <c r="H15" s="18">
        <f t="shared" ca="1" si="0"/>
        <v>6</v>
      </c>
      <c r="I15" s="18">
        <f t="shared" ca="1" si="1"/>
        <v>4</v>
      </c>
      <c r="J15" s="18">
        <f t="shared" ca="1" si="2"/>
        <v>20</v>
      </c>
      <c r="K15" s="21" t="s">
        <v>88</v>
      </c>
      <c r="L15" s="17" t="s">
        <v>572</v>
      </c>
      <c r="M15" s="18">
        <f t="shared" si="9"/>
        <v>5</v>
      </c>
      <c r="N15" s="18">
        <f t="shared" si="10"/>
        <v>10</v>
      </c>
      <c r="O15" s="18">
        <f t="shared" si="11"/>
        <v>28</v>
      </c>
      <c r="P15" s="15"/>
      <c r="Q15" s="16" t="s">
        <v>136</v>
      </c>
      <c r="R15" s="29" t="str">
        <f>IF(B15="","",MAX(IF(นับต่าง!A:A=B15,นับต่าง!AC:AC)))</f>
        <v/>
      </c>
      <c r="S15" s="29">
        <f t="shared" si="3"/>
        <v>44136</v>
      </c>
      <c r="T15" s="30">
        <f t="shared" si="4"/>
        <v>43771</v>
      </c>
      <c r="U15" s="30" t="str">
        <f t="shared" si="5"/>
        <v/>
      </c>
      <c r="V15" s="30" t="str">
        <f t="shared" si="6"/>
        <v/>
      </c>
      <c r="W15" s="36" t="str">
        <f t="shared" ca="1" si="7"/>
        <v>ดูคุณสมบัติอื่น</v>
      </c>
      <c r="X15" s="15" t="str">
        <f t="shared" ca="1" si="8"/>
        <v>ดูคุณสมบัติอื่น</v>
      </c>
    </row>
    <row r="16" spans="1:25" ht="48">
      <c r="A16" s="15"/>
      <c r="B16" s="37"/>
      <c r="C16" s="15"/>
      <c r="D16" s="15"/>
      <c r="E16" s="15"/>
      <c r="F16" s="16" t="s">
        <v>148</v>
      </c>
      <c r="G16" s="38" t="s">
        <v>573</v>
      </c>
      <c r="H16" s="18">
        <f t="shared" ca="1" si="0"/>
        <v>2</v>
      </c>
      <c r="I16" s="18">
        <f t="shared" ca="1" si="1"/>
        <v>9</v>
      </c>
      <c r="J16" s="18">
        <f t="shared" ca="1" si="2"/>
        <v>23</v>
      </c>
      <c r="K16" s="21" t="s">
        <v>88</v>
      </c>
      <c r="L16" s="17" t="s">
        <v>574</v>
      </c>
      <c r="M16" s="18">
        <f t="shared" si="9"/>
        <v>4</v>
      </c>
      <c r="N16" s="18">
        <f t="shared" si="10"/>
        <v>6</v>
      </c>
      <c r="O16" s="18">
        <f t="shared" si="11"/>
        <v>27</v>
      </c>
      <c r="P16" s="15"/>
      <c r="Q16" s="16" t="s">
        <v>136</v>
      </c>
      <c r="R16" s="29" t="str">
        <f>IF(B16="","",MAX(IF(นับต่าง!A:A=B16,นับต่าง!AC:AC)))</f>
        <v/>
      </c>
      <c r="S16" s="29">
        <f t="shared" si="3"/>
        <v>45438</v>
      </c>
      <c r="T16" s="30">
        <f t="shared" si="4"/>
        <v>45073</v>
      </c>
      <c r="U16" s="30" t="str">
        <f t="shared" si="5"/>
        <v/>
      </c>
      <c r="V16" s="30" t="str">
        <f t="shared" si="6"/>
        <v/>
      </c>
      <c r="W16" s="36" t="str">
        <f t="shared" ca="1" si="7"/>
        <v>ดูคุณสมบัติอื่น</v>
      </c>
      <c r="X16" s="15" t="str">
        <f t="shared" ca="1" si="8"/>
        <v>ดูคุณสมบัติอื่น</v>
      </c>
    </row>
    <row r="17" spans="1:24" ht="48">
      <c r="A17" s="15"/>
      <c r="B17" s="37"/>
      <c r="C17" s="15"/>
      <c r="D17" s="15"/>
      <c r="E17" s="15"/>
      <c r="F17" s="16" t="s">
        <v>148</v>
      </c>
      <c r="G17" s="38" t="s">
        <v>553</v>
      </c>
      <c r="H17" s="18">
        <f t="shared" ca="1" si="0"/>
        <v>6</v>
      </c>
      <c r="I17" s="18">
        <f t="shared" ca="1" si="1"/>
        <v>4</v>
      </c>
      <c r="J17" s="18">
        <f t="shared" ca="1" si="2"/>
        <v>20</v>
      </c>
      <c r="K17" s="21" t="s">
        <v>88</v>
      </c>
      <c r="L17" s="17" t="s">
        <v>575</v>
      </c>
      <c r="M17" s="18">
        <f t="shared" si="9"/>
        <v>7</v>
      </c>
      <c r="N17" s="18">
        <f t="shared" si="10"/>
        <v>11</v>
      </c>
      <c r="O17" s="18">
        <f t="shared" si="11"/>
        <v>11</v>
      </c>
      <c r="P17" s="15"/>
      <c r="Q17" s="16" t="s">
        <v>136</v>
      </c>
      <c r="R17" s="29" t="str">
        <f>IF(B17="","",MAX(IF(นับต่าง!A:A=B17,นับต่าง!AC:AC)))</f>
        <v/>
      </c>
      <c r="S17" s="29">
        <f t="shared" si="3"/>
        <v>44136</v>
      </c>
      <c r="T17" s="30">
        <f t="shared" si="4"/>
        <v>43771</v>
      </c>
      <c r="U17" s="30" t="str">
        <f t="shared" si="5"/>
        <v/>
      </c>
      <c r="V17" s="30" t="str">
        <f t="shared" si="6"/>
        <v/>
      </c>
      <c r="W17" s="36" t="str">
        <f t="shared" ca="1" si="7"/>
        <v>ดูคุณสมบัติอื่น</v>
      </c>
      <c r="X17" s="15" t="str">
        <f t="shared" ca="1" si="8"/>
        <v>ดูคุณสมบัติอื่น</v>
      </c>
    </row>
    <row r="18" spans="1:24" ht="48">
      <c r="A18" s="15"/>
      <c r="B18" s="37"/>
      <c r="C18" s="15"/>
      <c r="D18" s="15"/>
      <c r="E18" s="15"/>
      <c r="F18" s="16" t="s">
        <v>148</v>
      </c>
      <c r="G18" s="38" t="s">
        <v>553</v>
      </c>
      <c r="H18" s="18">
        <f t="shared" ca="1" si="0"/>
        <v>6</v>
      </c>
      <c r="I18" s="18">
        <f t="shared" ca="1" si="1"/>
        <v>4</v>
      </c>
      <c r="J18" s="18">
        <f t="shared" ca="1" si="2"/>
        <v>20</v>
      </c>
      <c r="K18" s="21" t="s">
        <v>88</v>
      </c>
      <c r="L18" s="17" t="s">
        <v>576</v>
      </c>
      <c r="M18" s="18">
        <f t="shared" si="9"/>
        <v>3</v>
      </c>
      <c r="N18" s="18">
        <f t="shared" si="10"/>
        <v>2</v>
      </c>
      <c r="O18" s="18">
        <f t="shared" si="11"/>
        <v>18</v>
      </c>
      <c r="P18" s="15"/>
      <c r="Q18" s="16" t="s">
        <v>136</v>
      </c>
      <c r="R18" s="29" t="str">
        <f>IF(B18="","",MAX(IF(นับต่าง!A:A=B18,นับต่าง!AC:AC)))</f>
        <v/>
      </c>
      <c r="S18" s="29">
        <f t="shared" si="3"/>
        <v>44136</v>
      </c>
      <c r="T18" s="30">
        <f t="shared" si="4"/>
        <v>43771</v>
      </c>
      <c r="U18" s="30" t="str">
        <f t="shared" si="5"/>
        <v/>
      </c>
      <c r="V18" s="30" t="str">
        <f t="shared" si="6"/>
        <v/>
      </c>
      <c r="W18" s="36" t="str">
        <f t="shared" ca="1" si="7"/>
        <v>ดูคุณสมบัติอื่น</v>
      </c>
      <c r="X18" s="15" t="str">
        <f t="shared" ca="1" si="8"/>
        <v>ดูคุณสมบัติอื่น</v>
      </c>
    </row>
    <row r="19" spans="1:24" ht="48">
      <c r="A19" s="15"/>
      <c r="B19" s="37"/>
      <c r="C19" s="15"/>
      <c r="D19" s="15"/>
      <c r="E19" s="15"/>
      <c r="F19" s="16" t="s">
        <v>148</v>
      </c>
      <c r="G19" s="38" t="s">
        <v>577</v>
      </c>
      <c r="H19" s="18">
        <f t="shared" ca="1" si="0"/>
        <v>4</v>
      </c>
      <c r="I19" s="18">
        <f t="shared" ca="1" si="1"/>
        <v>3</v>
      </c>
      <c r="J19" s="18">
        <f t="shared" ca="1" si="2"/>
        <v>18</v>
      </c>
      <c r="K19" s="21" t="s">
        <v>88</v>
      </c>
      <c r="L19" s="17" t="s">
        <v>578</v>
      </c>
      <c r="M19" s="18">
        <f t="shared" si="9"/>
        <v>4</v>
      </c>
      <c r="N19" s="18">
        <f t="shared" si="10"/>
        <v>2</v>
      </c>
      <c r="O19" s="18">
        <f t="shared" si="11"/>
        <v>12</v>
      </c>
      <c r="P19" s="15"/>
      <c r="Q19" s="16" t="s">
        <v>136</v>
      </c>
      <c r="R19" s="29" t="str">
        <f>IF(B19="","",MAX(IF(นับต่าง!A:A=B19,นับต่าง!AC:AC)))</f>
        <v/>
      </c>
      <c r="S19" s="29">
        <f t="shared" si="3"/>
        <v>44898</v>
      </c>
      <c r="T19" s="30">
        <f t="shared" si="4"/>
        <v>44534</v>
      </c>
      <c r="U19" s="30" t="str">
        <f t="shared" si="5"/>
        <v/>
      </c>
      <c r="V19" s="30" t="str">
        <f t="shared" si="6"/>
        <v/>
      </c>
      <c r="W19" s="36" t="str">
        <f t="shared" ca="1" si="7"/>
        <v>ดูคุณสมบัติอื่น</v>
      </c>
      <c r="X19" s="15" t="str">
        <f t="shared" ca="1" si="8"/>
        <v>ดูคุณสมบัติอื่น</v>
      </c>
    </row>
    <row r="20" spans="1:24" ht="48">
      <c r="A20" s="15"/>
      <c r="B20" s="37"/>
      <c r="C20" s="15"/>
      <c r="D20" s="15"/>
      <c r="E20" s="15"/>
      <c r="F20" s="16" t="s">
        <v>148</v>
      </c>
      <c r="G20" s="38" t="s">
        <v>553</v>
      </c>
      <c r="H20" s="18">
        <f t="shared" ca="1" si="0"/>
        <v>6</v>
      </c>
      <c r="I20" s="18">
        <f t="shared" ca="1" si="1"/>
        <v>4</v>
      </c>
      <c r="J20" s="18">
        <f t="shared" ca="1" si="2"/>
        <v>20</v>
      </c>
      <c r="K20" s="21" t="s">
        <v>88</v>
      </c>
      <c r="L20" s="17" t="s">
        <v>579</v>
      </c>
      <c r="M20" s="18">
        <f t="shared" si="9"/>
        <v>11</v>
      </c>
      <c r="N20" s="18">
        <f t="shared" si="10"/>
        <v>1</v>
      </c>
      <c r="O20" s="18">
        <f t="shared" si="11"/>
        <v>0</v>
      </c>
      <c r="P20" s="15"/>
      <c r="Q20" s="16" t="s">
        <v>136</v>
      </c>
      <c r="R20" s="29" t="str">
        <f>IF(B20="","",MAX(IF(นับต่าง!A:A=B20,นับต่าง!AC:AC)))</f>
        <v/>
      </c>
      <c r="S20" s="29">
        <f t="shared" si="3"/>
        <v>44136</v>
      </c>
      <c r="T20" s="30">
        <f t="shared" si="4"/>
        <v>43771</v>
      </c>
      <c r="U20" s="30" t="str">
        <f t="shared" si="5"/>
        <v/>
      </c>
      <c r="V20" s="30" t="str">
        <f t="shared" si="6"/>
        <v/>
      </c>
      <c r="W20" s="36" t="str">
        <f t="shared" ca="1" si="7"/>
        <v>ดูคุณสมบัติอื่น</v>
      </c>
      <c r="X20" s="15" t="str">
        <f t="shared" ca="1" si="8"/>
        <v>ดูคุณสมบัติอื่น</v>
      </c>
    </row>
    <row r="21" spans="1:24" ht="48">
      <c r="A21" s="15"/>
      <c r="B21" s="37"/>
      <c r="C21" s="15"/>
      <c r="D21" s="15"/>
      <c r="E21" s="15"/>
      <c r="F21" s="16" t="s">
        <v>148</v>
      </c>
      <c r="G21" s="38" t="s">
        <v>553</v>
      </c>
      <c r="H21" s="18">
        <f t="shared" ref="H21:H26" ca="1" si="12">DATEDIF(G21,$C$1,"Y")</f>
        <v>6</v>
      </c>
      <c r="I21" s="18">
        <f t="shared" ref="I21:I26" ca="1" si="13">DATEDIF(G21,$C$1,"YM")</f>
        <v>4</v>
      </c>
      <c r="J21" s="18">
        <f t="shared" ref="J21:J26" ca="1" si="14">DATEDIF(G21,$C$1,"MD")</f>
        <v>20</v>
      </c>
      <c r="K21" s="21" t="s">
        <v>88</v>
      </c>
      <c r="L21" s="17" t="s">
        <v>580</v>
      </c>
      <c r="M21" s="18">
        <f t="shared" ref="M21:M26" si="15">DATEDIF(L21,G21,"Y")</f>
        <v>11</v>
      </c>
      <c r="N21" s="18">
        <f t="shared" ref="N21:N26" si="16">DATEDIF(L21,G21,"YM")</f>
        <v>5</v>
      </c>
      <c r="O21" s="18">
        <f t="shared" ref="O21:O26" si="17">DATEDIF(L21,G21,"MD")</f>
        <v>16</v>
      </c>
      <c r="P21" s="15"/>
      <c r="Q21" s="16" t="s">
        <v>136</v>
      </c>
      <c r="R21" s="29" t="str">
        <f>IF(B21="","",MAX(IF(นับต่าง!A:A=B21,นับต่าง!AC:AC)))</f>
        <v/>
      </c>
      <c r="S21" s="29">
        <f t="shared" ref="S21:S26" si="18">IF(F21="M1",EDATE(G21,12),"ดูคุณสมบัติอื่น")</f>
        <v>44136</v>
      </c>
      <c r="T21" s="30">
        <f t="shared" ref="T21:T26" si="19">_xlfn.IFS(AND(F21="M1",K21="K3",EDATE(L21,12*4)&lt;=EDATE(G21,12)),G21+1,AND(F21="M1",K21="K3",EDATE(L21,12*4)&gt;EDATE(G21,12)),EDATE(L21,12*4),AND(F21="M1",K21="O3",EDATE(L21,12*7)&lt;=EDATE(G21,12)),G21+1,AND(F21="M1",K21="O3",EDATE(L21,12*7)&gt;EDATE(G21,12)),EDATE(L21,12*7),TRUE,"ดูคุณสมบัติอื่น")</f>
        <v>43771</v>
      </c>
      <c r="U21" s="30" t="str">
        <f t="shared" ref="U21:U26" si="20">_xlfn.IFS(AND(F21="K4",R21&gt;G21),R21,AND(K21="K3",R21&gt;EDATE(G21,12*4)),R21,AND(K21="O3",R21&gt;EDATE(G21,12*7)),R21,AND(K21="K4",R21&lt;=G21),G21,AND(K21="K3",R21&lt;=EDATE(L21,12*4)),EDATE(L21,12*4),AND(K21="O3",R21&lt;=EDATE(L21,12*7)),EDATE(L21,12*7),TRUE,"ดูคุณสมบัติอื่น")</f>
        <v/>
      </c>
      <c r="V21" s="30" t="str">
        <f t="shared" ref="V21:V26" si="21">_xlfn.IFS($V$1="อต 1 ปี",S21,$V$1="อต+ชพ / อต+อว",T21,$V$1="ชช / ชพ / อว",U21,TRUE,"Check Data")</f>
        <v/>
      </c>
      <c r="W21" s="36" t="str">
        <f t="shared" ref="W21:W26" ca="1" si="22">IFERROR(IF(TODAY()&gt;V21,V21-TODAY(),DATEDIF(TODAY(),V21,"d")),"ดูคุณสมบัติอื่น")</f>
        <v>ดูคุณสมบัติอื่น</v>
      </c>
      <c r="X21" s="15" t="str">
        <f t="shared" ref="X21:X26" ca="1" si="23">_xlfn.IFS(W21="ดูคุณสมบัติอื่น","ดูคุณสมบัติอื่น",W21&gt;30,"ยังไม่ถึงเกณฑ์",W21&gt;0,"ใกล้ถึงเกณฑ์",W21=0,"ถึงเกณฑ์",W21&lt;0,"ถึงเกณฑ์นานแล้ว")</f>
        <v>ดูคุณสมบัติอื่น</v>
      </c>
    </row>
    <row r="22" spans="1:24" ht="48">
      <c r="A22" s="15"/>
      <c r="B22" s="37"/>
      <c r="C22" s="15"/>
      <c r="D22" s="15"/>
      <c r="E22" s="15"/>
      <c r="F22" s="16" t="s">
        <v>148</v>
      </c>
      <c r="G22" s="38" t="s">
        <v>581</v>
      </c>
      <c r="H22" s="18">
        <f t="shared" ca="1" si="12"/>
        <v>3</v>
      </c>
      <c r="I22" s="18">
        <f t="shared" ca="1" si="13"/>
        <v>10</v>
      </c>
      <c r="J22" s="18">
        <f t="shared" ca="1" si="14"/>
        <v>19</v>
      </c>
      <c r="K22" s="21" t="s">
        <v>88</v>
      </c>
      <c r="L22" s="17" t="s">
        <v>570</v>
      </c>
      <c r="M22" s="18">
        <f t="shared" si="15"/>
        <v>13</v>
      </c>
      <c r="N22" s="18">
        <f t="shared" si="16"/>
        <v>5</v>
      </c>
      <c r="O22" s="18">
        <f t="shared" si="17"/>
        <v>1</v>
      </c>
      <c r="P22" s="15"/>
      <c r="Q22" s="16" t="s">
        <v>136</v>
      </c>
      <c r="R22" s="29" t="str">
        <f>IF(B22="","",MAX(IF(นับต่าง!A:A=B22,นับต่าง!AC:AC)))</f>
        <v/>
      </c>
      <c r="S22" s="29">
        <f t="shared" si="18"/>
        <v>45048</v>
      </c>
      <c r="T22" s="30">
        <f t="shared" si="19"/>
        <v>44684</v>
      </c>
      <c r="U22" s="30" t="str">
        <f t="shared" si="20"/>
        <v/>
      </c>
      <c r="V22" s="30" t="str">
        <f t="shared" si="21"/>
        <v/>
      </c>
      <c r="W22" s="36" t="str">
        <f t="shared" ca="1" si="22"/>
        <v>ดูคุณสมบัติอื่น</v>
      </c>
      <c r="X22" s="15" t="str">
        <f t="shared" ca="1" si="23"/>
        <v>ดูคุณสมบัติอื่น</v>
      </c>
    </row>
    <row r="23" spans="1:24" ht="48">
      <c r="A23" s="15"/>
      <c r="B23" s="37"/>
      <c r="C23" s="15"/>
      <c r="D23" s="15"/>
      <c r="E23" s="15"/>
      <c r="F23" s="16" t="s">
        <v>148</v>
      </c>
      <c r="G23" s="38" t="s">
        <v>553</v>
      </c>
      <c r="H23" s="18">
        <f t="shared" ca="1" si="12"/>
        <v>6</v>
      </c>
      <c r="I23" s="18">
        <f t="shared" ca="1" si="13"/>
        <v>4</v>
      </c>
      <c r="J23" s="18">
        <f t="shared" ca="1" si="14"/>
        <v>20</v>
      </c>
      <c r="K23" s="21" t="s">
        <v>88</v>
      </c>
      <c r="L23" s="17" t="s">
        <v>582</v>
      </c>
      <c r="M23" s="18">
        <f t="shared" si="15"/>
        <v>6</v>
      </c>
      <c r="N23" s="18">
        <f t="shared" si="16"/>
        <v>1</v>
      </c>
      <c r="O23" s="18">
        <f t="shared" si="17"/>
        <v>2</v>
      </c>
      <c r="P23" s="15"/>
      <c r="Q23" s="16" t="s">
        <v>136</v>
      </c>
      <c r="R23" s="29" t="str">
        <f>IF(B23="","",MAX(IF(นับต่าง!A:A=B23,นับต่าง!AC:AC)))</f>
        <v/>
      </c>
      <c r="S23" s="29">
        <f t="shared" si="18"/>
        <v>44136</v>
      </c>
      <c r="T23" s="30">
        <f t="shared" si="19"/>
        <v>43771</v>
      </c>
      <c r="U23" s="30" t="str">
        <f t="shared" si="20"/>
        <v/>
      </c>
      <c r="V23" s="30" t="str">
        <f t="shared" si="21"/>
        <v/>
      </c>
      <c r="W23" s="36" t="str">
        <f t="shared" ca="1" si="22"/>
        <v>ดูคุณสมบัติอื่น</v>
      </c>
      <c r="X23" s="15" t="str">
        <f t="shared" ca="1" si="23"/>
        <v>ดูคุณสมบัติอื่น</v>
      </c>
    </row>
    <row r="24" spans="1:24" ht="48">
      <c r="A24" s="15"/>
      <c r="B24" s="37"/>
      <c r="C24" s="15"/>
      <c r="D24" s="15"/>
      <c r="E24" s="15"/>
      <c r="F24" s="16" t="s">
        <v>148</v>
      </c>
      <c r="G24" s="38" t="s">
        <v>553</v>
      </c>
      <c r="H24" s="18">
        <f t="shared" ca="1" si="12"/>
        <v>6</v>
      </c>
      <c r="I24" s="18">
        <f t="shared" ca="1" si="13"/>
        <v>4</v>
      </c>
      <c r="J24" s="18">
        <f t="shared" ca="1" si="14"/>
        <v>20</v>
      </c>
      <c r="K24" s="21" t="s">
        <v>88</v>
      </c>
      <c r="L24" s="17" t="s">
        <v>583</v>
      </c>
      <c r="M24" s="18">
        <f t="shared" si="15"/>
        <v>4</v>
      </c>
      <c r="N24" s="18">
        <f t="shared" si="16"/>
        <v>1</v>
      </c>
      <c r="O24" s="18">
        <f t="shared" si="17"/>
        <v>0</v>
      </c>
      <c r="P24" s="15"/>
      <c r="Q24" s="16" t="s">
        <v>136</v>
      </c>
      <c r="R24" s="29" t="str">
        <f>IF(B24="","",MAX(IF(นับต่าง!A:A=B24,นับต่าง!AC:AC)))</f>
        <v/>
      </c>
      <c r="S24" s="29">
        <f t="shared" si="18"/>
        <v>44136</v>
      </c>
      <c r="T24" s="30">
        <f t="shared" si="19"/>
        <v>43771</v>
      </c>
      <c r="U24" s="30" t="str">
        <f t="shared" si="20"/>
        <v/>
      </c>
      <c r="V24" s="30" t="str">
        <f t="shared" si="21"/>
        <v/>
      </c>
      <c r="W24" s="36" t="str">
        <f t="shared" ca="1" si="22"/>
        <v>ดูคุณสมบัติอื่น</v>
      </c>
      <c r="X24" s="15" t="str">
        <f t="shared" ca="1" si="23"/>
        <v>ดูคุณสมบัติอื่น</v>
      </c>
    </row>
    <row r="25" spans="1:24" ht="72">
      <c r="A25" s="15"/>
      <c r="B25" s="37"/>
      <c r="C25" s="15"/>
      <c r="D25" s="15"/>
      <c r="E25" s="15"/>
      <c r="F25" s="16" t="s">
        <v>137</v>
      </c>
      <c r="G25" s="17" t="s">
        <v>584</v>
      </c>
      <c r="H25" s="18">
        <f t="shared" ca="1" si="12"/>
        <v>6</v>
      </c>
      <c r="I25" s="18">
        <f t="shared" ca="1" si="13"/>
        <v>2</v>
      </c>
      <c r="J25" s="18">
        <f t="shared" ca="1" si="14"/>
        <v>8</v>
      </c>
      <c r="K25" s="21" t="s">
        <v>88</v>
      </c>
      <c r="L25" s="17" t="s">
        <v>585</v>
      </c>
      <c r="M25" s="18">
        <f t="shared" si="15"/>
        <v>7</v>
      </c>
      <c r="N25" s="18">
        <f t="shared" si="16"/>
        <v>6</v>
      </c>
      <c r="O25" s="18">
        <f t="shared" si="17"/>
        <v>17</v>
      </c>
      <c r="P25" s="15"/>
      <c r="Q25" s="16" t="s">
        <v>136</v>
      </c>
      <c r="R25" s="29" t="str">
        <f>IF(B25="","",MAX(IF(นับต่าง!A:A=B25,นับต่าง!AC:AC)))</f>
        <v/>
      </c>
      <c r="S25" s="29" t="str">
        <f t="shared" si="18"/>
        <v>ดูคุณสมบัติอื่น</v>
      </c>
      <c r="T25" s="30" t="str">
        <f t="shared" si="19"/>
        <v>ดูคุณสมบัติอื่น</v>
      </c>
      <c r="U25" s="30" t="str">
        <f t="shared" si="20"/>
        <v/>
      </c>
      <c r="V25" s="30" t="str">
        <f t="shared" si="21"/>
        <v/>
      </c>
      <c r="W25" s="36" t="str">
        <f t="shared" ca="1" si="22"/>
        <v>ดูคุณสมบัติอื่น</v>
      </c>
      <c r="X25" s="15" t="str">
        <f t="shared" ca="1" si="23"/>
        <v>ดูคุณสมบัติอื่น</v>
      </c>
    </row>
    <row r="26" spans="1:24" ht="72">
      <c r="A26" s="15"/>
      <c r="B26" s="37"/>
      <c r="C26" s="15"/>
      <c r="D26" s="15"/>
      <c r="E26" s="15"/>
      <c r="F26" s="16" t="s">
        <v>137</v>
      </c>
      <c r="G26" s="17" t="s">
        <v>586</v>
      </c>
      <c r="H26" s="18">
        <f t="shared" ca="1" si="12"/>
        <v>6</v>
      </c>
      <c r="I26" s="18">
        <f t="shared" ca="1" si="13"/>
        <v>0</v>
      </c>
      <c r="J26" s="18">
        <f t="shared" ca="1" si="14"/>
        <v>1</v>
      </c>
      <c r="K26" s="21" t="s">
        <v>88</v>
      </c>
      <c r="L26" s="17" t="s">
        <v>587</v>
      </c>
      <c r="M26" s="18">
        <f t="shared" si="15"/>
        <v>6</v>
      </c>
      <c r="N26" s="18">
        <f t="shared" si="16"/>
        <v>2</v>
      </c>
      <c r="O26" s="18">
        <f t="shared" si="17"/>
        <v>0</v>
      </c>
      <c r="P26" s="15"/>
      <c r="Q26" s="16" t="s">
        <v>136</v>
      </c>
      <c r="R26" s="29" t="str">
        <f>IF(B26="","",MAX(IF(นับต่าง!A:A=B26,นับต่าง!AC:AC)))</f>
        <v/>
      </c>
      <c r="S26" s="29" t="str">
        <f t="shared" si="18"/>
        <v>ดูคุณสมบัติอื่น</v>
      </c>
      <c r="T26" s="30" t="str">
        <f t="shared" si="19"/>
        <v>ดูคุณสมบัติอื่น</v>
      </c>
      <c r="U26" s="30" t="str">
        <f t="shared" si="20"/>
        <v/>
      </c>
      <c r="V26" s="30" t="str">
        <f t="shared" si="21"/>
        <v/>
      </c>
      <c r="W26" s="36" t="str">
        <f t="shared" ca="1" si="22"/>
        <v>ดูคุณสมบัติอื่น</v>
      </c>
      <c r="X26" s="15" t="str">
        <f t="shared" ca="1" si="23"/>
        <v>ดูคุณสมบัติอื่น</v>
      </c>
    </row>
  </sheetData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217"/>
  <dimension ref="A1:T22"/>
  <sheetViews>
    <sheetView zoomScale="70" zoomScaleNormal="70" workbookViewId="0">
      <selection activeCell="K3" sqref="K3"/>
    </sheetView>
  </sheetViews>
  <sheetFormatPr defaultColWidth="9" defaultRowHeight="24"/>
  <cols>
    <col min="1" max="2" width="11.625" style="3" customWidth="1"/>
    <col min="3" max="3" width="17.375" style="3" customWidth="1"/>
    <col min="4" max="4" width="10.25" style="3" customWidth="1"/>
    <col min="5" max="5" width="18.25" style="3" customWidth="1"/>
    <col min="6" max="6" width="10.5" style="4" customWidth="1"/>
    <col min="7" max="7" width="11.25" style="5" customWidth="1"/>
    <col min="8" max="8" width="4" style="5" customWidth="1"/>
    <col min="9" max="9" width="7.25" style="5" customWidth="1"/>
    <col min="10" max="10" width="5" style="5" customWidth="1"/>
    <col min="11" max="11" width="11.75" style="6" customWidth="1"/>
    <col min="12" max="12" width="14.125" style="5" customWidth="1"/>
    <col min="13" max="15" width="5" style="5" customWidth="1"/>
    <col min="16" max="16" width="7.375" style="4" customWidth="1"/>
    <col min="17" max="17" width="12.625" style="3" customWidth="1"/>
    <col min="18" max="18" width="13.5" style="8" customWidth="1"/>
    <col min="19" max="19" width="23.625" style="3" customWidth="1"/>
    <col min="20" max="20" width="48.125" style="3" customWidth="1"/>
    <col min="21" max="16384" width="9" style="3"/>
  </cols>
  <sheetData>
    <row r="1" spans="1:20" s="1" customFormat="1" ht="30" customHeight="1">
      <c r="B1" s="3" t="s">
        <v>50</v>
      </c>
      <c r="C1" s="9">
        <f ca="1">TODAY()</f>
        <v>46102</v>
      </c>
      <c r="E1" s="4" t="s">
        <v>0</v>
      </c>
      <c r="F1" s="10">
        <v>243523</v>
      </c>
      <c r="G1" s="9">
        <f>IF(AND(LEFT(F1,2)="29",MID(F1,4,1)="2"),LEFT(F1,2)&amp;"/"&amp;MID(F1,4,1)&amp;"/"&amp;RIGHT(F1,4)-543,EDATE(F1,-543*12))</f>
        <v>45196</v>
      </c>
      <c r="H1" s="11"/>
      <c r="I1" s="11"/>
      <c r="J1" s="11"/>
      <c r="K1" s="20"/>
      <c r="L1" s="11"/>
      <c r="M1" s="11"/>
      <c r="N1" s="11"/>
      <c r="O1" s="11"/>
      <c r="P1" s="23"/>
      <c r="R1" s="34"/>
    </row>
    <row r="2" spans="1:20" s="2" customFormat="1" ht="48">
      <c r="A2" s="12" t="s">
        <v>51</v>
      </c>
      <c r="B2" s="13" t="s">
        <v>52</v>
      </c>
      <c r="C2" s="12" t="s">
        <v>53</v>
      </c>
      <c r="D2" s="12" t="s">
        <v>54</v>
      </c>
      <c r="E2" s="12" t="s">
        <v>55</v>
      </c>
      <c r="F2" s="12" t="s">
        <v>56</v>
      </c>
      <c r="G2" s="14" t="s">
        <v>57</v>
      </c>
      <c r="H2" s="14" t="s">
        <v>4</v>
      </c>
      <c r="I2" s="14" t="s">
        <v>5</v>
      </c>
      <c r="J2" s="14" t="s">
        <v>6</v>
      </c>
      <c r="K2" s="14" t="s">
        <v>59</v>
      </c>
      <c r="L2" s="14" t="s">
        <v>81</v>
      </c>
      <c r="M2" s="14" t="s">
        <v>4</v>
      </c>
      <c r="N2" s="14" t="s">
        <v>5</v>
      </c>
      <c r="O2" s="14" t="s">
        <v>6</v>
      </c>
      <c r="P2" s="12" t="s">
        <v>62</v>
      </c>
      <c r="Q2" s="24" t="s">
        <v>588</v>
      </c>
      <c r="R2" s="35" t="s">
        <v>69</v>
      </c>
      <c r="S2" s="12" t="s">
        <v>70</v>
      </c>
      <c r="T2" s="12" t="s">
        <v>85</v>
      </c>
    </row>
    <row r="3" spans="1:20">
      <c r="A3" s="15"/>
      <c r="B3" s="19" t="s">
        <v>14</v>
      </c>
      <c r="C3" s="15"/>
      <c r="D3" s="15"/>
      <c r="E3" s="15"/>
      <c r="F3" s="16" t="s">
        <v>148</v>
      </c>
      <c r="G3" s="17" t="s">
        <v>539</v>
      </c>
      <c r="H3" s="18">
        <f ca="1">DATEDIF(G3,TODAY(),"Y")</f>
        <v>5</v>
      </c>
      <c r="I3" s="18">
        <f ca="1">DATEDIF(G3,TODAY(),"YM")</f>
        <v>6</v>
      </c>
      <c r="J3" s="18">
        <f ca="1">DATEDIF(G3,TODAY(),"MD")</f>
        <v>23</v>
      </c>
      <c r="K3" s="21"/>
      <c r="L3" s="17"/>
      <c r="M3" s="18">
        <f>DATEDIF(L3,G3,"Y")</f>
        <v>120</v>
      </c>
      <c r="N3" s="18">
        <f>DATEDIF(L3,G3,"YM")</f>
        <v>7</v>
      </c>
      <c r="O3" s="18">
        <f>DATEDIF(L3,G3,"MD")</f>
        <v>26</v>
      </c>
      <c r="P3" s="16" t="s">
        <v>135</v>
      </c>
      <c r="Q3" s="29">
        <f>IF(OR(F3="M1",F3="M2",F3="K4"),EDATE(G3,12*2),"ตรวจสอบข้อมูล")</f>
        <v>44799</v>
      </c>
      <c r="R3" s="36">
        <f ca="1">IFERROR(IF(TODAY()&gt;Q3,Q3-TODAY(),DATEDIF(TODAY(),Q3,"d")),"ตรวจสอบข้อมูล")</f>
        <v>-1303</v>
      </c>
      <c r="S3" s="15" t="str">
        <f ca="1">_xlfn.IFS(R3="ตรวจสอบข้อมูล","ตรวจสอบข้อมูล",AND(OR(F3="M1",F3="M2",F3="K4"),R3&gt;30),"ยังไม่ถึงเกณฑ์",AND(OR(F3="M1",F3="M2"),R3&gt;0),"ใกล้ถึงเกณฑ์",AND(OR(F3="M1",F3="M2"),R3=0),"ถึงเกณฑ์",AND(OR(F3="M1",F3="M2"),R3&lt;30),"ถึงเกณฑ์นานแล้ว",AND(F3="K4",R3&gt;0),"ใกล้ถึงเกณฑ์ / เทียบ ตน",AND(F3="K4",R3=0),"ถึงเกณฑ์ / เทียบ ตน",AND(F3="K4",R3&lt;30),"ถึงเกณฑ์นานแล้ว / เทียบ ตน",TRUE,"ตรวจสอบข้อมูล")</f>
        <v>ถึงเกณฑ์นานแล้ว</v>
      </c>
      <c r="T3" s="15"/>
    </row>
    <row r="4" spans="1:20">
      <c r="A4" s="15"/>
      <c r="B4" s="19" t="s">
        <v>14</v>
      </c>
      <c r="C4" s="15"/>
      <c r="D4" s="15"/>
      <c r="E4" s="15"/>
      <c r="F4" s="16" t="s">
        <v>148</v>
      </c>
      <c r="G4" s="17" t="s">
        <v>94</v>
      </c>
      <c r="H4" s="18">
        <f ca="1">DATEDIF(G4,TODAY(),"Y")</f>
        <v>7</v>
      </c>
      <c r="I4" s="18">
        <f ca="1">DATEDIF(G4,TODAY(),"YM")</f>
        <v>11</v>
      </c>
      <c r="J4" s="18">
        <f ca="1">DATEDIF(G4,TODAY(),"MD")</f>
        <v>21</v>
      </c>
      <c r="K4" s="16"/>
      <c r="L4" s="17"/>
      <c r="M4" s="18">
        <f>DATEDIF(L4,G4,"Y")</f>
        <v>118</v>
      </c>
      <c r="N4" s="18">
        <f>DATEDIF(L4,G4,"YM")</f>
        <v>2</v>
      </c>
      <c r="O4" s="18">
        <f>DATEDIF(L4,G4,"MD")</f>
        <v>28</v>
      </c>
      <c r="P4" s="16" t="s">
        <v>135</v>
      </c>
      <c r="Q4" s="29">
        <f>IF(OR(F4="M1",F4="M2",F4="K4"),EDATE(G4,12*2),"ตรวจสอบข้อมูล")</f>
        <v>43918</v>
      </c>
      <c r="R4" s="36">
        <f t="shared" ref="R4:R20" ca="1" si="0">IFERROR(IF(TODAY()&gt;Q4,Q4-TODAY(),DATEDIF(TODAY(),Q4,"d")),"ตรวจสอบข้อมูล")</f>
        <v>-2184</v>
      </c>
      <c r="S4" s="15" t="str">
        <f t="shared" ref="S4:S20" ca="1" si="1">_xlfn.IFS(R4="ตรวจสอบข้อมูล","ตรวจสอบข้อมูล",AND(OR(F4="M1",F4="M2",F4="K4"),R4&gt;30),"ยังไม่ถึงเกณฑ์",AND(OR(F4="M1",F4="M2"),R4&gt;0),"ใกล้ถึงเกณฑ์",AND(OR(F4="M1",F4="M2"),R4=0),"ถึงเกณฑ์",AND(OR(F4="M1",F4="M2"),R4&lt;30),"ถึงเกณฑ์นานแล้ว",AND(F4="K4",R4&gt;0),"ใกล้ถึงเกณฑ์ / เทียบ ตน",AND(F4="K4",R4=0),"ถึงเกณฑ์ / เทียบ ตน",AND(F4="K4",R4&lt;30),"ถึงเกณฑ์นานแล้ว / เทียบ ตน",TRUE,"ตรวจสอบข้อมูล")</f>
        <v>ถึงเกณฑ์นานแล้ว</v>
      </c>
      <c r="T4" s="15"/>
    </row>
    <row r="5" spans="1:20">
      <c r="A5" s="15"/>
      <c r="B5" s="19" t="s">
        <v>14</v>
      </c>
      <c r="C5" s="15"/>
      <c r="D5" s="15"/>
      <c r="E5" s="15"/>
      <c r="F5" s="16" t="s">
        <v>136</v>
      </c>
      <c r="G5" s="17" t="s">
        <v>96</v>
      </c>
      <c r="H5" s="18">
        <f ca="1">DATEDIF(G5,TODAY(),"Y")</f>
        <v>12</v>
      </c>
      <c r="I5" s="18">
        <f ca="1">DATEDIF(G5,TODAY(),"YM")</f>
        <v>1</v>
      </c>
      <c r="J5" s="18">
        <f ca="1">DATEDIF(G5,TODAY(),"MD")</f>
        <v>22</v>
      </c>
      <c r="K5" s="21"/>
      <c r="L5" s="17"/>
      <c r="M5" s="18">
        <f>DATEDIF(L5,G5,"Y")</f>
        <v>114</v>
      </c>
      <c r="N5" s="18">
        <f>DATEDIF(L5,G5,"YM")</f>
        <v>0</v>
      </c>
      <c r="O5" s="18">
        <f>DATEDIF(L5,G5,"MD")</f>
        <v>27</v>
      </c>
      <c r="P5" s="16" t="s">
        <v>135</v>
      </c>
      <c r="Q5" s="29">
        <f>IF(OR(F5="M1",F5="M2",F5="K4"),EDATE(G5,12*2),"ตรวจสอบข้อมูล")</f>
        <v>42396</v>
      </c>
      <c r="R5" s="36">
        <f t="shared" ca="1" si="0"/>
        <v>-3706</v>
      </c>
      <c r="S5" s="15" t="str">
        <f t="shared" ca="1" si="1"/>
        <v>ถึงเกณฑ์นานแล้ว</v>
      </c>
      <c r="T5" s="15"/>
    </row>
    <row r="6" spans="1:20">
      <c r="A6" s="15"/>
      <c r="B6" s="19" t="s">
        <v>15</v>
      </c>
      <c r="C6" s="15"/>
      <c r="D6" s="15"/>
      <c r="E6" s="15"/>
      <c r="F6" s="16" t="s">
        <v>136</v>
      </c>
      <c r="G6" s="17" t="s">
        <v>98</v>
      </c>
      <c r="H6" s="18">
        <f ca="1">DATEDIF(G6,TODAY(),"Y")</f>
        <v>6</v>
      </c>
      <c r="I6" s="18">
        <f ca="1">DATEDIF(G6,TODAY(),"YM")</f>
        <v>5</v>
      </c>
      <c r="J6" s="18">
        <f ca="1">DATEDIF(G6,TODAY(),"MD")</f>
        <v>20</v>
      </c>
      <c r="K6" s="16"/>
      <c r="L6" s="17"/>
      <c r="M6" s="18">
        <f>DATEDIF(L6,G6,"Y")</f>
        <v>119</v>
      </c>
      <c r="N6" s="18">
        <f>DATEDIF(L6,G6,"YM")</f>
        <v>9</v>
      </c>
      <c r="O6" s="18">
        <f>DATEDIF(L6,G6,"MD")</f>
        <v>1</v>
      </c>
      <c r="P6" s="16" t="s">
        <v>135</v>
      </c>
      <c r="Q6" s="29">
        <f>IF(OR(F6="M1",F6="M2",F6="K4"),EDATE(G6,12*2),"ตรวจสอบข้อมูล")</f>
        <v>44470</v>
      </c>
      <c r="R6" s="36">
        <f t="shared" ca="1" si="0"/>
        <v>-1632</v>
      </c>
      <c r="S6" s="15" t="str">
        <f t="shared" ca="1" si="1"/>
        <v>ถึงเกณฑ์นานแล้ว</v>
      </c>
      <c r="T6" s="15"/>
    </row>
    <row r="7" spans="1:20">
      <c r="A7" s="15"/>
      <c r="B7" s="15"/>
      <c r="C7" s="15"/>
      <c r="D7" s="15"/>
      <c r="E7" s="15"/>
      <c r="F7" s="16" t="s">
        <v>137</v>
      </c>
      <c r="G7" s="17" t="s">
        <v>541</v>
      </c>
      <c r="H7" s="18">
        <f t="shared" ref="H7:H20" ca="1" si="2">DATEDIF(G7,TODAY(),"Y")</f>
        <v>3</v>
      </c>
      <c r="I7" s="18">
        <f t="shared" ref="I7:I20" ca="1" si="3">DATEDIF(G7,TODAY(),"YM")</f>
        <v>7</v>
      </c>
      <c r="J7" s="18">
        <f t="shared" ref="J7:J20" ca="1" si="4">DATEDIF(G7,TODAY(),"MD")</f>
        <v>11</v>
      </c>
      <c r="K7" s="16"/>
      <c r="L7" s="17"/>
      <c r="M7" s="18">
        <f t="shared" ref="M7:M20" si="5">DATEDIF(L7,G7,"Y")</f>
        <v>122</v>
      </c>
      <c r="N7" s="18">
        <f t="shared" ref="N7:N20" si="6">DATEDIF(L7,G7,"YM")</f>
        <v>7</v>
      </c>
      <c r="O7" s="18">
        <f t="shared" ref="O7:O20" si="7">DATEDIF(L7,G7,"MD")</f>
        <v>10</v>
      </c>
      <c r="P7" s="16" t="s">
        <v>135</v>
      </c>
      <c r="Q7" s="29">
        <f>IF(OR(F7="M1",F7="M2",F7="K4"),EDATE(G7,12*2),"ตรวจสอบข้อมูล")</f>
        <v>45514</v>
      </c>
      <c r="R7" s="36">
        <f t="shared" ca="1" si="0"/>
        <v>-588</v>
      </c>
      <c r="S7" s="15" t="str">
        <f t="shared" ca="1" si="1"/>
        <v>ถึงเกณฑ์นานแล้ว / เทียบ ตน</v>
      </c>
      <c r="T7" s="15"/>
    </row>
    <row r="8" spans="1:20">
      <c r="A8" s="15"/>
      <c r="B8" s="15"/>
      <c r="C8" s="15"/>
      <c r="D8" s="15"/>
      <c r="E8" s="15"/>
      <c r="F8" s="16"/>
      <c r="G8" s="17"/>
      <c r="H8" s="18">
        <f t="shared" ca="1" si="2"/>
        <v>126</v>
      </c>
      <c r="I8" s="18">
        <f t="shared" ca="1" si="3"/>
        <v>2</v>
      </c>
      <c r="J8" s="18">
        <f t="shared" ca="1" si="4"/>
        <v>21</v>
      </c>
      <c r="K8" s="21"/>
      <c r="L8" s="17"/>
      <c r="M8" s="18">
        <f t="shared" si="5"/>
        <v>0</v>
      </c>
      <c r="N8" s="18">
        <f t="shared" si="6"/>
        <v>0</v>
      </c>
      <c r="O8" s="18">
        <f t="shared" si="7"/>
        <v>0</v>
      </c>
      <c r="P8" s="16" t="s">
        <v>135</v>
      </c>
      <c r="Q8" s="29" t="str">
        <f t="shared" ref="Q8:Q20" si="8">IF(OR(F8="M1",F8="M2",F8="K4"),EDATE(G8,12*2),"ตรวจสอบข้อมูล")</f>
        <v>ตรวจสอบข้อมูล</v>
      </c>
      <c r="R8" s="36" t="str">
        <f t="shared" ca="1" si="0"/>
        <v>ตรวจสอบข้อมูล</v>
      </c>
      <c r="S8" s="15" t="str">
        <f t="shared" ca="1" si="1"/>
        <v>ตรวจสอบข้อมูล</v>
      </c>
      <c r="T8" s="15"/>
    </row>
    <row r="9" spans="1:20">
      <c r="A9" s="15"/>
      <c r="B9" s="15"/>
      <c r="C9" s="15"/>
      <c r="D9" s="15"/>
      <c r="E9" s="15"/>
      <c r="F9" s="16"/>
      <c r="G9" s="17"/>
      <c r="H9" s="18">
        <f t="shared" ca="1" si="2"/>
        <v>126</v>
      </c>
      <c r="I9" s="18">
        <f t="shared" ca="1" si="3"/>
        <v>2</v>
      </c>
      <c r="J9" s="18">
        <f t="shared" ca="1" si="4"/>
        <v>21</v>
      </c>
      <c r="K9" s="21"/>
      <c r="L9" s="17"/>
      <c r="M9" s="18">
        <f t="shared" si="5"/>
        <v>0</v>
      </c>
      <c r="N9" s="18">
        <f t="shared" si="6"/>
        <v>0</v>
      </c>
      <c r="O9" s="18">
        <f t="shared" si="7"/>
        <v>0</v>
      </c>
      <c r="P9" s="16" t="s">
        <v>135</v>
      </c>
      <c r="Q9" s="29" t="str">
        <f t="shared" si="8"/>
        <v>ตรวจสอบข้อมูล</v>
      </c>
      <c r="R9" s="36" t="str">
        <f t="shared" ca="1" si="0"/>
        <v>ตรวจสอบข้อมูล</v>
      </c>
      <c r="S9" s="15" t="str">
        <f t="shared" ca="1" si="1"/>
        <v>ตรวจสอบข้อมูล</v>
      </c>
      <c r="T9" s="15"/>
    </row>
    <row r="10" spans="1:20">
      <c r="A10" s="15"/>
      <c r="B10" s="15"/>
      <c r="C10" s="15"/>
      <c r="D10" s="15"/>
      <c r="E10" s="15"/>
      <c r="F10" s="16"/>
      <c r="G10" s="17"/>
      <c r="H10" s="18">
        <f t="shared" ca="1" si="2"/>
        <v>126</v>
      </c>
      <c r="I10" s="18">
        <f t="shared" ca="1" si="3"/>
        <v>2</v>
      </c>
      <c r="J10" s="18">
        <f t="shared" ca="1" si="4"/>
        <v>21</v>
      </c>
      <c r="K10" s="16"/>
      <c r="L10" s="17"/>
      <c r="M10" s="18">
        <f t="shared" si="5"/>
        <v>0</v>
      </c>
      <c r="N10" s="18">
        <f t="shared" si="6"/>
        <v>0</v>
      </c>
      <c r="O10" s="18">
        <f t="shared" si="7"/>
        <v>0</v>
      </c>
      <c r="P10" s="16" t="s">
        <v>135</v>
      </c>
      <c r="Q10" s="29" t="str">
        <f t="shared" si="8"/>
        <v>ตรวจสอบข้อมูล</v>
      </c>
      <c r="R10" s="36" t="str">
        <f t="shared" ca="1" si="0"/>
        <v>ตรวจสอบข้อมูล</v>
      </c>
      <c r="S10" s="15" t="str">
        <f t="shared" ca="1" si="1"/>
        <v>ตรวจสอบข้อมูล</v>
      </c>
      <c r="T10" s="15"/>
    </row>
    <row r="11" spans="1:20">
      <c r="A11" s="15"/>
      <c r="B11" s="15"/>
      <c r="C11" s="15"/>
      <c r="D11" s="15"/>
      <c r="E11" s="15"/>
      <c r="F11" s="16"/>
      <c r="G11" s="17"/>
      <c r="H11" s="18">
        <f t="shared" ca="1" si="2"/>
        <v>126</v>
      </c>
      <c r="I11" s="18">
        <f t="shared" ca="1" si="3"/>
        <v>2</v>
      </c>
      <c r="J11" s="18">
        <f t="shared" ca="1" si="4"/>
        <v>21</v>
      </c>
      <c r="K11" s="21"/>
      <c r="L11" s="17"/>
      <c r="M11" s="18">
        <f t="shared" si="5"/>
        <v>0</v>
      </c>
      <c r="N11" s="18">
        <f t="shared" si="6"/>
        <v>0</v>
      </c>
      <c r="O11" s="18">
        <f t="shared" si="7"/>
        <v>0</v>
      </c>
      <c r="P11" s="16" t="s">
        <v>135</v>
      </c>
      <c r="Q11" s="29" t="str">
        <f t="shared" si="8"/>
        <v>ตรวจสอบข้อมูล</v>
      </c>
      <c r="R11" s="36" t="str">
        <f t="shared" ca="1" si="0"/>
        <v>ตรวจสอบข้อมูล</v>
      </c>
      <c r="S11" s="15" t="str">
        <f t="shared" ca="1" si="1"/>
        <v>ตรวจสอบข้อมูล</v>
      </c>
      <c r="T11" s="15"/>
    </row>
    <row r="12" spans="1:20">
      <c r="A12" s="15"/>
      <c r="B12" s="15"/>
      <c r="C12" s="15"/>
      <c r="D12" s="15"/>
      <c r="E12" s="15"/>
      <c r="F12" s="16"/>
      <c r="G12" s="17"/>
      <c r="H12" s="18">
        <f t="shared" ca="1" si="2"/>
        <v>126</v>
      </c>
      <c r="I12" s="18">
        <f t="shared" ca="1" si="3"/>
        <v>2</v>
      </c>
      <c r="J12" s="18">
        <f t="shared" ca="1" si="4"/>
        <v>21</v>
      </c>
      <c r="K12" s="16"/>
      <c r="L12" s="17"/>
      <c r="M12" s="18">
        <f t="shared" si="5"/>
        <v>0</v>
      </c>
      <c r="N12" s="18">
        <f t="shared" si="6"/>
        <v>0</v>
      </c>
      <c r="O12" s="18">
        <f t="shared" si="7"/>
        <v>0</v>
      </c>
      <c r="P12" s="16" t="s">
        <v>135</v>
      </c>
      <c r="Q12" s="29" t="str">
        <f t="shared" si="8"/>
        <v>ตรวจสอบข้อมูล</v>
      </c>
      <c r="R12" s="36" t="str">
        <f t="shared" ca="1" si="0"/>
        <v>ตรวจสอบข้อมูล</v>
      </c>
      <c r="S12" s="15" t="str">
        <f t="shared" ca="1" si="1"/>
        <v>ตรวจสอบข้อมูล</v>
      </c>
      <c r="T12" s="15"/>
    </row>
    <row r="13" spans="1:20">
      <c r="A13" s="15"/>
      <c r="B13" s="15"/>
      <c r="C13" s="15"/>
      <c r="D13" s="15"/>
      <c r="E13" s="15"/>
      <c r="F13" s="16"/>
      <c r="G13" s="17"/>
      <c r="H13" s="18">
        <f t="shared" ca="1" si="2"/>
        <v>126</v>
      </c>
      <c r="I13" s="18">
        <f t="shared" ca="1" si="3"/>
        <v>2</v>
      </c>
      <c r="J13" s="18">
        <f t="shared" ca="1" si="4"/>
        <v>21</v>
      </c>
      <c r="K13" s="21"/>
      <c r="L13" s="17"/>
      <c r="M13" s="18">
        <f t="shared" si="5"/>
        <v>0</v>
      </c>
      <c r="N13" s="18">
        <f t="shared" si="6"/>
        <v>0</v>
      </c>
      <c r="O13" s="18">
        <f t="shared" si="7"/>
        <v>0</v>
      </c>
      <c r="P13" s="16" t="s">
        <v>135</v>
      </c>
      <c r="Q13" s="29" t="str">
        <f t="shared" si="8"/>
        <v>ตรวจสอบข้อมูล</v>
      </c>
      <c r="R13" s="36" t="str">
        <f t="shared" ca="1" si="0"/>
        <v>ตรวจสอบข้อมูล</v>
      </c>
      <c r="S13" s="15" t="str">
        <f t="shared" ca="1" si="1"/>
        <v>ตรวจสอบข้อมูล</v>
      </c>
      <c r="T13" s="15"/>
    </row>
    <row r="14" spans="1:20">
      <c r="A14" s="15"/>
      <c r="B14" s="15"/>
      <c r="C14" s="15"/>
      <c r="D14" s="15"/>
      <c r="E14" s="15"/>
      <c r="F14" s="16"/>
      <c r="G14" s="17"/>
      <c r="H14" s="18">
        <f t="shared" ca="1" si="2"/>
        <v>126</v>
      </c>
      <c r="I14" s="18">
        <f t="shared" ca="1" si="3"/>
        <v>2</v>
      </c>
      <c r="J14" s="18">
        <f t="shared" ca="1" si="4"/>
        <v>21</v>
      </c>
      <c r="K14" s="16"/>
      <c r="L14" s="17"/>
      <c r="M14" s="18">
        <f t="shared" si="5"/>
        <v>0</v>
      </c>
      <c r="N14" s="18">
        <f t="shared" si="6"/>
        <v>0</v>
      </c>
      <c r="O14" s="18">
        <f t="shared" si="7"/>
        <v>0</v>
      </c>
      <c r="P14" s="16" t="s">
        <v>135</v>
      </c>
      <c r="Q14" s="29" t="str">
        <f t="shared" si="8"/>
        <v>ตรวจสอบข้อมูล</v>
      </c>
      <c r="R14" s="36" t="str">
        <f t="shared" ca="1" si="0"/>
        <v>ตรวจสอบข้อมูล</v>
      </c>
      <c r="S14" s="15" t="str">
        <f t="shared" ca="1" si="1"/>
        <v>ตรวจสอบข้อมูล</v>
      </c>
      <c r="T14" s="15"/>
    </row>
    <row r="15" spans="1:20">
      <c r="A15" s="15"/>
      <c r="B15" s="15"/>
      <c r="C15" s="15"/>
      <c r="D15" s="15"/>
      <c r="E15" s="15"/>
      <c r="F15" s="16"/>
      <c r="G15" s="17"/>
      <c r="H15" s="18">
        <f t="shared" ca="1" si="2"/>
        <v>126</v>
      </c>
      <c r="I15" s="18">
        <f t="shared" ca="1" si="3"/>
        <v>2</v>
      </c>
      <c r="J15" s="18">
        <f t="shared" ca="1" si="4"/>
        <v>21</v>
      </c>
      <c r="K15" s="21"/>
      <c r="L15" s="17"/>
      <c r="M15" s="18">
        <f t="shared" si="5"/>
        <v>0</v>
      </c>
      <c r="N15" s="18">
        <f t="shared" si="6"/>
        <v>0</v>
      </c>
      <c r="O15" s="18">
        <f t="shared" si="7"/>
        <v>0</v>
      </c>
      <c r="P15" s="16" t="s">
        <v>135</v>
      </c>
      <c r="Q15" s="29" t="str">
        <f t="shared" si="8"/>
        <v>ตรวจสอบข้อมูล</v>
      </c>
      <c r="R15" s="36" t="str">
        <f t="shared" ca="1" si="0"/>
        <v>ตรวจสอบข้อมูล</v>
      </c>
      <c r="S15" s="15" t="str">
        <f t="shared" ca="1" si="1"/>
        <v>ตรวจสอบข้อมูล</v>
      </c>
      <c r="T15" s="15"/>
    </row>
    <row r="16" spans="1:20">
      <c r="A16" s="15"/>
      <c r="B16" s="15"/>
      <c r="C16" s="15"/>
      <c r="D16" s="15"/>
      <c r="E16" s="15"/>
      <c r="F16" s="16"/>
      <c r="G16" s="17"/>
      <c r="H16" s="18">
        <f t="shared" ca="1" si="2"/>
        <v>126</v>
      </c>
      <c r="I16" s="18">
        <f t="shared" ca="1" si="3"/>
        <v>2</v>
      </c>
      <c r="J16" s="18">
        <f t="shared" ca="1" si="4"/>
        <v>21</v>
      </c>
      <c r="K16" s="16"/>
      <c r="L16" s="17"/>
      <c r="M16" s="18">
        <f t="shared" si="5"/>
        <v>0</v>
      </c>
      <c r="N16" s="18">
        <f t="shared" si="6"/>
        <v>0</v>
      </c>
      <c r="O16" s="18">
        <f t="shared" si="7"/>
        <v>0</v>
      </c>
      <c r="P16" s="16" t="s">
        <v>135</v>
      </c>
      <c r="Q16" s="29" t="str">
        <f t="shared" si="8"/>
        <v>ตรวจสอบข้อมูล</v>
      </c>
      <c r="R16" s="36" t="str">
        <f t="shared" ca="1" si="0"/>
        <v>ตรวจสอบข้อมูล</v>
      </c>
      <c r="S16" s="15" t="str">
        <f t="shared" ca="1" si="1"/>
        <v>ตรวจสอบข้อมูล</v>
      </c>
      <c r="T16" s="15"/>
    </row>
    <row r="17" spans="1:20">
      <c r="A17" s="15"/>
      <c r="B17" s="15"/>
      <c r="C17" s="15"/>
      <c r="D17" s="15"/>
      <c r="E17" s="15"/>
      <c r="F17" s="16"/>
      <c r="G17" s="17"/>
      <c r="H17" s="18">
        <f t="shared" ca="1" si="2"/>
        <v>126</v>
      </c>
      <c r="I17" s="18">
        <f t="shared" ca="1" si="3"/>
        <v>2</v>
      </c>
      <c r="J17" s="18">
        <f t="shared" ca="1" si="4"/>
        <v>21</v>
      </c>
      <c r="K17" s="21"/>
      <c r="L17" s="17"/>
      <c r="M17" s="18">
        <f t="shared" si="5"/>
        <v>0</v>
      </c>
      <c r="N17" s="18">
        <f t="shared" si="6"/>
        <v>0</v>
      </c>
      <c r="O17" s="18">
        <f t="shared" si="7"/>
        <v>0</v>
      </c>
      <c r="P17" s="16" t="s">
        <v>135</v>
      </c>
      <c r="Q17" s="29" t="str">
        <f t="shared" si="8"/>
        <v>ตรวจสอบข้อมูล</v>
      </c>
      <c r="R17" s="36" t="str">
        <f t="shared" ca="1" si="0"/>
        <v>ตรวจสอบข้อมูล</v>
      </c>
      <c r="S17" s="15" t="str">
        <f t="shared" ca="1" si="1"/>
        <v>ตรวจสอบข้อมูล</v>
      </c>
      <c r="T17" s="15"/>
    </row>
    <row r="18" spans="1:20">
      <c r="A18" s="15"/>
      <c r="B18" s="15"/>
      <c r="C18" s="15"/>
      <c r="D18" s="15"/>
      <c r="E18" s="15"/>
      <c r="F18" s="16"/>
      <c r="G18" s="17"/>
      <c r="H18" s="18">
        <f t="shared" ca="1" si="2"/>
        <v>126</v>
      </c>
      <c r="I18" s="18">
        <f t="shared" ca="1" si="3"/>
        <v>2</v>
      </c>
      <c r="J18" s="18">
        <f t="shared" ca="1" si="4"/>
        <v>21</v>
      </c>
      <c r="K18" s="16"/>
      <c r="L18" s="17"/>
      <c r="M18" s="18">
        <f t="shared" si="5"/>
        <v>0</v>
      </c>
      <c r="N18" s="18">
        <f t="shared" si="6"/>
        <v>0</v>
      </c>
      <c r="O18" s="18">
        <f t="shared" si="7"/>
        <v>0</v>
      </c>
      <c r="P18" s="16" t="s">
        <v>135</v>
      </c>
      <c r="Q18" s="29" t="str">
        <f t="shared" si="8"/>
        <v>ตรวจสอบข้อมูล</v>
      </c>
      <c r="R18" s="36" t="str">
        <f t="shared" ca="1" si="0"/>
        <v>ตรวจสอบข้อมูล</v>
      </c>
      <c r="S18" s="15" t="str">
        <f t="shared" ca="1" si="1"/>
        <v>ตรวจสอบข้อมูล</v>
      </c>
      <c r="T18" s="15"/>
    </row>
    <row r="19" spans="1:20">
      <c r="A19" s="15"/>
      <c r="B19" s="15"/>
      <c r="C19" s="15"/>
      <c r="D19" s="15"/>
      <c r="E19" s="15"/>
      <c r="F19" s="16"/>
      <c r="G19" s="17"/>
      <c r="H19" s="18">
        <f t="shared" ca="1" si="2"/>
        <v>126</v>
      </c>
      <c r="I19" s="18">
        <f t="shared" ca="1" si="3"/>
        <v>2</v>
      </c>
      <c r="J19" s="18">
        <f t="shared" ca="1" si="4"/>
        <v>21</v>
      </c>
      <c r="K19" s="21"/>
      <c r="L19" s="17"/>
      <c r="M19" s="18">
        <f t="shared" si="5"/>
        <v>0</v>
      </c>
      <c r="N19" s="18">
        <f t="shared" si="6"/>
        <v>0</v>
      </c>
      <c r="O19" s="18">
        <f t="shared" si="7"/>
        <v>0</v>
      </c>
      <c r="P19" s="16" t="s">
        <v>135</v>
      </c>
      <c r="Q19" s="29" t="str">
        <f t="shared" si="8"/>
        <v>ตรวจสอบข้อมูล</v>
      </c>
      <c r="R19" s="36" t="str">
        <f t="shared" ca="1" si="0"/>
        <v>ตรวจสอบข้อมูล</v>
      </c>
      <c r="S19" s="15" t="str">
        <f t="shared" ca="1" si="1"/>
        <v>ตรวจสอบข้อมูล</v>
      </c>
      <c r="T19" s="15"/>
    </row>
    <row r="20" spans="1:20">
      <c r="A20" s="15"/>
      <c r="B20" s="15"/>
      <c r="C20" s="15"/>
      <c r="D20" s="15"/>
      <c r="E20" s="15"/>
      <c r="F20" s="16"/>
      <c r="G20" s="17"/>
      <c r="H20" s="18">
        <f t="shared" ca="1" si="2"/>
        <v>126</v>
      </c>
      <c r="I20" s="18">
        <f t="shared" ca="1" si="3"/>
        <v>2</v>
      </c>
      <c r="J20" s="18">
        <f t="shared" ca="1" si="4"/>
        <v>21</v>
      </c>
      <c r="K20" s="16"/>
      <c r="L20" s="17"/>
      <c r="M20" s="18">
        <f t="shared" si="5"/>
        <v>0</v>
      </c>
      <c r="N20" s="18">
        <f t="shared" si="6"/>
        <v>0</v>
      </c>
      <c r="O20" s="18">
        <f t="shared" si="7"/>
        <v>0</v>
      </c>
      <c r="P20" s="16" t="s">
        <v>135</v>
      </c>
      <c r="Q20" s="29" t="str">
        <f t="shared" si="8"/>
        <v>ตรวจสอบข้อมูล</v>
      </c>
      <c r="R20" s="36" t="str">
        <f t="shared" ca="1" si="0"/>
        <v>ตรวจสอบข้อมูล</v>
      </c>
      <c r="S20" s="15" t="str">
        <f t="shared" ca="1" si="1"/>
        <v>ตรวจสอบข้อมูล</v>
      </c>
      <c r="T20" s="15"/>
    </row>
    <row r="21" spans="1:20">
      <c r="A21" s="15"/>
      <c r="B21" s="15"/>
      <c r="C21" s="15"/>
      <c r="D21" s="15"/>
      <c r="E21" s="15"/>
      <c r="F21" s="16"/>
      <c r="G21" s="17"/>
      <c r="H21" s="17"/>
      <c r="I21" s="17"/>
      <c r="J21" s="17"/>
      <c r="K21" s="22"/>
      <c r="L21" s="17"/>
      <c r="M21" s="17"/>
      <c r="N21" s="17"/>
      <c r="O21" s="17"/>
      <c r="P21" s="16"/>
      <c r="Q21" s="15"/>
      <c r="R21" s="36"/>
      <c r="S21" s="15"/>
      <c r="T21" s="15"/>
    </row>
    <row r="22" spans="1:20">
      <c r="A22" s="15"/>
      <c r="B22" s="15"/>
      <c r="C22" s="15"/>
      <c r="D22" s="15"/>
      <c r="E22" s="15"/>
      <c r="F22" s="16"/>
      <c r="G22" s="17"/>
      <c r="H22" s="17"/>
      <c r="I22" s="17"/>
      <c r="J22" s="17"/>
      <c r="K22" s="22"/>
      <c r="L22" s="17"/>
      <c r="M22" s="17"/>
      <c r="N22" s="17"/>
      <c r="O22" s="17"/>
      <c r="P22" s="16"/>
      <c r="Q22" s="15"/>
      <c r="R22" s="36"/>
      <c r="S22" s="15"/>
      <c r="T22" s="15"/>
    </row>
  </sheetData>
  <conditionalFormatting sqref="S1:S1048576">
    <cfRule type="containsText" dxfId="7" priority="1" operator="containsText" text="ถึงเกณฑ์นานแล้ว">
      <formula>NOT(ISERROR(SEARCH("ถึงเกณฑ์นานแล้ว",S1)))</formula>
    </cfRule>
    <cfRule type="containsText" dxfId="6" priority="2" operator="containsText" text="ยังไม่ถึงเกณฑ์">
      <formula>NOT(ISERROR(SEARCH("ยังไม่ถึงเกณฑ์",S1)))</formula>
    </cfRule>
    <cfRule type="containsText" dxfId="5" priority="3" operator="containsText" text="ใกล้ถึงเกณฑ์">
      <formula>NOT(ISERROR(SEARCH("ใกล้ถึงเกณฑ์",S1)))</formula>
    </cfRule>
    <cfRule type="containsText" dxfId="4" priority="4" operator="containsText" text="ถึงเกณฑ์">
      <formula>NOT(ISERROR(SEARCH("ถึงเกณฑ์",S1)))</formula>
    </cfRule>
  </conditionalFormatting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318"/>
  <dimension ref="A1:AO22"/>
  <sheetViews>
    <sheetView workbookViewId="0">
      <selection activeCell="AL3" sqref="AL3"/>
    </sheetView>
  </sheetViews>
  <sheetFormatPr defaultColWidth="9" defaultRowHeight="24"/>
  <cols>
    <col min="1" max="1" width="11.625" style="3" customWidth="1"/>
    <col min="2" max="2" width="14" style="3" customWidth="1"/>
    <col min="3" max="3" width="17.375" style="3" customWidth="1"/>
    <col min="4" max="4" width="10.25" style="3" customWidth="1"/>
    <col min="5" max="5" width="18.25" style="3" customWidth="1"/>
    <col min="6" max="6" width="10.5" style="4" customWidth="1"/>
    <col min="7" max="7" width="11.25" style="5" customWidth="1"/>
    <col min="8" max="8" width="4" style="5" customWidth="1"/>
    <col min="9" max="9" width="7.25" style="5" customWidth="1"/>
    <col min="10" max="10" width="5" style="5" customWidth="1"/>
    <col min="11" max="11" width="11.75" style="6" customWidth="1"/>
    <col min="12" max="12" width="14.125" style="5" customWidth="1"/>
    <col min="13" max="13" width="4.375" style="5" customWidth="1"/>
    <col min="14" max="15" width="5" style="5" customWidth="1"/>
    <col min="16" max="16" width="11.75" style="6" customWidth="1"/>
    <col min="17" max="17" width="14.125" style="5" customWidth="1"/>
    <col min="18" max="20" width="5" style="5" customWidth="1"/>
    <col min="21" max="21" width="9.125" style="3" customWidth="1"/>
    <col min="22" max="22" width="7.375" style="4" customWidth="1"/>
    <col min="23" max="24" width="12.625" style="4" customWidth="1"/>
    <col min="25" max="28" width="11.25" style="3" customWidth="1"/>
    <col min="29" max="29" width="14" style="7" customWidth="1"/>
    <col min="30" max="37" width="14.25" style="7" customWidth="1"/>
    <col min="38" max="38" width="15.625" style="7" customWidth="1"/>
    <col min="39" max="39" width="13.5" style="8" customWidth="1"/>
    <col min="40" max="40" width="15.75" style="3" customWidth="1"/>
    <col min="41" max="41" width="48.125" style="3" customWidth="1"/>
    <col min="42" max="16384" width="9" style="3"/>
  </cols>
  <sheetData>
    <row r="1" spans="1:41" s="1" customFormat="1" ht="30" customHeight="1">
      <c r="B1" s="3" t="s">
        <v>50</v>
      </c>
      <c r="C1" s="9">
        <f ca="1">TODAY()</f>
        <v>46102</v>
      </c>
      <c r="E1" s="4" t="s">
        <v>0</v>
      </c>
      <c r="F1" s="10">
        <v>243523</v>
      </c>
      <c r="G1" s="9">
        <f>IF(AND(LEFT(F1,2)="29",MID(F1,4,1)="2"),LEFT(F1,2)&amp;"/"&amp;MID(F1,4,1)&amp;"/"&amp;RIGHT(F1,4)-543,EDATE(F1,-543*12))</f>
        <v>45196</v>
      </c>
      <c r="H1" s="11"/>
      <c r="I1" s="11"/>
      <c r="J1" s="11"/>
      <c r="K1" s="20"/>
      <c r="L1" s="11"/>
      <c r="M1" s="11"/>
      <c r="N1" s="11"/>
      <c r="O1" s="11"/>
      <c r="P1" s="20"/>
      <c r="Q1" s="11"/>
      <c r="R1" s="11"/>
      <c r="S1" s="11"/>
      <c r="T1" s="11"/>
      <c r="V1" s="23"/>
      <c r="W1" s="23"/>
      <c r="X1" s="23"/>
      <c r="AC1" s="26"/>
      <c r="AD1" s="3"/>
      <c r="AE1" s="3"/>
      <c r="AF1" s="27"/>
      <c r="AG1" s="27"/>
      <c r="AH1" s="27"/>
      <c r="AI1" s="27"/>
      <c r="AJ1" s="27"/>
      <c r="AK1" s="32" t="s">
        <v>547</v>
      </c>
      <c r="AL1" s="33" t="s">
        <v>589</v>
      </c>
      <c r="AM1" s="34"/>
    </row>
    <row r="2" spans="1:41" s="2" customFormat="1" ht="72">
      <c r="A2" s="12" t="s">
        <v>51</v>
      </c>
      <c r="B2" s="13" t="s">
        <v>52</v>
      </c>
      <c r="C2" s="12" t="s">
        <v>53</v>
      </c>
      <c r="D2" s="12" t="s">
        <v>54</v>
      </c>
      <c r="E2" s="12" t="s">
        <v>55</v>
      </c>
      <c r="F2" s="12" t="s">
        <v>56</v>
      </c>
      <c r="G2" s="14" t="s">
        <v>57</v>
      </c>
      <c r="H2" s="14" t="s">
        <v>4</v>
      </c>
      <c r="I2" s="14" t="s">
        <v>5</v>
      </c>
      <c r="J2" s="14" t="s">
        <v>6</v>
      </c>
      <c r="K2" s="14" t="s">
        <v>132</v>
      </c>
      <c r="L2" s="14" t="s">
        <v>81</v>
      </c>
      <c r="M2" s="14" t="s">
        <v>4</v>
      </c>
      <c r="N2" s="14" t="s">
        <v>5</v>
      </c>
      <c r="O2" s="14" t="s">
        <v>6</v>
      </c>
      <c r="P2" s="14" t="s">
        <v>133</v>
      </c>
      <c r="Q2" s="14" t="s">
        <v>81</v>
      </c>
      <c r="R2" s="14" t="s">
        <v>4</v>
      </c>
      <c r="S2" s="14" t="s">
        <v>5</v>
      </c>
      <c r="T2" s="14" t="s">
        <v>6</v>
      </c>
      <c r="U2" s="12" t="s">
        <v>61</v>
      </c>
      <c r="V2" s="12" t="s">
        <v>62</v>
      </c>
      <c r="W2" s="24" t="s">
        <v>590</v>
      </c>
      <c r="X2" s="24" t="s">
        <v>591</v>
      </c>
      <c r="Y2" s="12" t="s">
        <v>592</v>
      </c>
      <c r="Z2" s="12" t="s">
        <v>593</v>
      </c>
      <c r="AA2" s="12" t="s">
        <v>594</v>
      </c>
      <c r="AB2" s="12" t="s">
        <v>595</v>
      </c>
      <c r="AC2" s="24" t="s">
        <v>596</v>
      </c>
      <c r="AD2" s="24" t="s">
        <v>597</v>
      </c>
      <c r="AE2" s="12" t="s">
        <v>598</v>
      </c>
      <c r="AF2" s="12" t="s">
        <v>599</v>
      </c>
      <c r="AG2" s="24" t="s">
        <v>600</v>
      </c>
      <c r="AH2" s="24" t="s">
        <v>601</v>
      </c>
      <c r="AI2" s="24" t="s">
        <v>602</v>
      </c>
      <c r="AJ2" s="24" t="s">
        <v>603</v>
      </c>
      <c r="AK2" s="24" t="s">
        <v>604</v>
      </c>
      <c r="AL2" s="24" t="s">
        <v>605</v>
      </c>
      <c r="AM2" s="35" t="s">
        <v>69</v>
      </c>
      <c r="AN2" s="12" t="s">
        <v>70</v>
      </c>
      <c r="AO2" s="2" t="s">
        <v>85</v>
      </c>
    </row>
    <row r="3" spans="1:41">
      <c r="A3" s="15"/>
      <c r="B3" s="15"/>
      <c r="C3" s="15"/>
      <c r="D3" s="15"/>
      <c r="E3" s="15"/>
      <c r="F3" s="16" t="s">
        <v>606</v>
      </c>
      <c r="G3" s="17" t="s">
        <v>539</v>
      </c>
      <c r="H3" s="18">
        <f ca="1">DATEDIF(G3,TODAY(),"Y")</f>
        <v>5</v>
      </c>
      <c r="I3" s="18">
        <f ca="1">DATEDIF(G3,TODAY(),"YM")</f>
        <v>6</v>
      </c>
      <c r="J3" s="18">
        <f ca="1">DATEDIF(G3,TODAY(),"MD")</f>
        <v>23</v>
      </c>
      <c r="K3" s="21" t="s">
        <v>136</v>
      </c>
      <c r="L3" s="17" t="s">
        <v>91</v>
      </c>
      <c r="M3" s="18">
        <f>DATEDIF(L3,G3,"Y")</f>
        <v>4</v>
      </c>
      <c r="N3" s="18">
        <f>DATEDIF(L3,G3,"YM")</f>
        <v>5</v>
      </c>
      <c r="O3" s="18">
        <f>DATEDIF(L3,G3,"MD")</f>
        <v>22</v>
      </c>
      <c r="P3" s="21" t="s">
        <v>148</v>
      </c>
      <c r="Q3" s="17" t="s">
        <v>607</v>
      </c>
      <c r="R3" s="18">
        <f>DATEDIF(Q3,L3,"Y")</f>
        <v>1</v>
      </c>
      <c r="S3" s="18">
        <f>DATEDIF(Q3,L3,"YM")</f>
        <v>0</v>
      </c>
      <c r="T3" s="18">
        <f>DATEDIF(Q3,L3,"MD")</f>
        <v>0</v>
      </c>
      <c r="U3" s="15" t="s">
        <v>78</v>
      </c>
      <c r="V3" s="16" t="s">
        <v>606</v>
      </c>
      <c r="W3" s="25" t="str">
        <f>IF(F3="S1",EDATE(G3,12),"ดูคุณสมบัติอื่น")</f>
        <v>ดูคุณสมบัติอื่น</v>
      </c>
      <c r="X3" s="25" t="str">
        <f>IF(AND(F3="S1",K3="M2",P3="M1",EDATE(Q3,12*3)&lt;=EDATE(G3,12)),G3+1,"ดูคุณสมบัติอื่น")</f>
        <v>ดูคุณสมบัติอื่น</v>
      </c>
      <c r="Y3" s="28">
        <f t="shared" ref="Y3:Y20" ca="1" si="0">$C$1-G3</f>
        <v>2033</v>
      </c>
      <c r="Z3" s="28">
        <f>SUMIF('เทียบ-ตน.'!A:A,B3,'เทียบ-ตน.'!O:O)</f>
        <v>0</v>
      </c>
      <c r="AA3" s="28">
        <f>IF(Z3&gt;0,Y3+Z3,0)</f>
        <v>0</v>
      </c>
      <c r="AB3" s="29" t="str">
        <f>IF(Z3&gt;0,$C$1-AA3,"ดูคุณสมบัติอื่น")</f>
        <v>ดูคุณสมบัติอื่น</v>
      </c>
      <c r="AC3" s="30" t="str">
        <f>_xlfn.IFS(Z3=0,"ดูคุณสมบัติอื่น",AND(Z3&gt;0,EDATE(AB3,12*3)&gt;=G3),EDATE(AB3,12*3),AND(Z3&gt;0,EDATE(AB3,12*3)&lt;G3),G3+1,TRUE,"ดูคุณสมบัติอื่น")</f>
        <v>ดูคุณสมบัติอื่น</v>
      </c>
      <c r="AD3" s="31">
        <f>_xlfn.IFS(AND(OR(K3="M2",K3="M1"),OR(P3&lt;&gt;"M2",P3&lt;&gt;"M1")),G3-L3+SUMIF('นับวันใน-อต-อส'!A:A,B3,'นับวันใน-อต-อส'!H:H),AND(OR(K3&lt;&gt;"M2",K3&lt;&gt;"M1"),OR(P3="M2",P3="M1")),L3-Q3+SUMIF('นับวันใน-อต-อส'!A:A,B3,'นับวันใน-อต-อส'!H:H),TRUE,0)</f>
        <v>1636</v>
      </c>
      <c r="AE3" s="31">
        <f>IF(Z3&gt;0,Y3+Z3+AD3,0)</f>
        <v>0</v>
      </c>
      <c r="AF3" s="30" t="str">
        <f>IF(Z3&gt;0,$C$1-AE3,"ดูคุณสมบัติอื่น")</f>
        <v>ดูคุณสมบัติอื่น</v>
      </c>
      <c r="AG3" s="30" t="str">
        <f>_xlfn.IFS(Z3=0,"ดูคุณสมบัติอื่น",AND(Z3&gt;0,EDATE(AF3,12*3)&gt;=G3),EDATE(AF3,12*3),AND(Z3&gt;0,EDATE(AF3,12*3)&lt;G3),G3+1,TRUE,"ดูคุณสมบัติอื่น")</f>
        <v>ดูคุณสมบัติอื่น</v>
      </c>
      <c r="AH3" s="31">
        <f>IF(F3="K5",$C$1-G3,0)</f>
        <v>0</v>
      </c>
      <c r="AI3" s="31">
        <f>IF(AH3&gt;0,AH3+Z3+AD3,0)</f>
        <v>0</v>
      </c>
      <c r="AJ3" s="30" t="str">
        <f>IF(AH3&gt;0,$C$1-AI3,"ดูคุณสมบัติอื่น")</f>
        <v>ดูคุณสมบัติอื่น</v>
      </c>
      <c r="AK3" s="30" t="str">
        <f>_xlfn.IFS(AH3=0,"ดูคุณสมบัติอื่น",AND(AH3&gt;0,EDATE(AJ3,12*2)&gt;=G3),EDATE(AJ3,12*3),AND(AH3&gt;0,EDATE(AJ3,12*2)&lt;G3),G3+1,TRUE,"ดูคุณสมบัติอื่น")</f>
        <v>ดูคุณสมบัติอื่น</v>
      </c>
      <c r="AL3" s="30" t="str">
        <f>_xlfn.IFS(AND(F3="S2",$AL$1="บส"),G3,$AL$1="บต 1 ปี",W3,$AL$1="บต+ทตน",AC3,$AL$1="บต+อต/อส+ทตน",AG3,$AL$1="ทว+อต/อส+ทตน",AK3,TRUE,"Check Data")</f>
        <v>ดูคุณสมบัติอื่น</v>
      </c>
      <c r="AM3" s="36" t="str">
        <f ca="1">IFERROR(IF(TODAY()&gt;AL3,AL3-TODAY(),DATEDIF(TODAY(),AL3,"d")),"ดูคุณสมบัติอื่น")</f>
        <v>ดูคุณสมบัติอื่น</v>
      </c>
      <c r="AN3" s="15" t="str">
        <f ca="1">_xlfn.IFS(AM3="ดูคุณสมบัติอื่น","ดูคุณสมบัติอื่น",AM3&gt;30,"ยังไม่ถึงเกณฑ์",AM3&gt;0,"ใกล้ถึงเกณฑ์",AM3=0,"ถึงเกณฑ์",AM3&lt;0,"ถึงเกณฑ์นานแล้ว")</f>
        <v>ดูคุณสมบัติอื่น</v>
      </c>
    </row>
    <row r="4" spans="1:41">
      <c r="A4" s="15"/>
      <c r="B4" s="19" t="s">
        <v>14</v>
      </c>
      <c r="C4" s="15"/>
      <c r="D4" s="15"/>
      <c r="E4" s="15"/>
      <c r="F4" s="16" t="s">
        <v>135</v>
      </c>
      <c r="G4" s="17" t="s">
        <v>608</v>
      </c>
      <c r="H4" s="18">
        <f ca="1">DATEDIF(G4,TODAY(),"Y")</f>
        <v>2</v>
      </c>
      <c r="I4" s="18">
        <f ca="1">DATEDIF(G4,TODAY(),"YM")</f>
        <v>7</v>
      </c>
      <c r="J4" s="18">
        <f ca="1">DATEDIF(G4,TODAY(),"MD")</f>
        <v>25</v>
      </c>
      <c r="K4" s="21" t="s">
        <v>136</v>
      </c>
      <c r="L4" s="17" t="s">
        <v>609</v>
      </c>
      <c r="M4" s="18">
        <f t="shared" ref="M4:M20" si="1">DATEDIF(L4,G4,"Y")</f>
        <v>0</v>
      </c>
      <c r="N4" s="18">
        <f t="shared" ref="N4:N20" si="2">DATEDIF(L4,G4,"YM")</f>
        <v>1</v>
      </c>
      <c r="O4" s="18">
        <f t="shared" ref="O4:O20" si="3">DATEDIF(L4,G4,"MD")</f>
        <v>15</v>
      </c>
      <c r="P4" s="21" t="s">
        <v>137</v>
      </c>
      <c r="Q4" s="17" t="s">
        <v>610</v>
      </c>
      <c r="R4" s="18">
        <f t="shared" ref="R4:R20" si="4">DATEDIF(Q4,L4,"Y")</f>
        <v>4</v>
      </c>
      <c r="S4" s="18">
        <f t="shared" ref="S4:S20" si="5">DATEDIF(Q4,L4,"YM")</f>
        <v>3</v>
      </c>
      <c r="T4" s="18">
        <f t="shared" ref="T4:T20" si="6">DATEDIF(Q4,L4,"MD")</f>
        <v>22</v>
      </c>
      <c r="U4" s="15" t="s">
        <v>78</v>
      </c>
      <c r="V4" s="16" t="s">
        <v>606</v>
      </c>
      <c r="W4" s="25">
        <f t="shared" ref="W4:W20" si="7">IF(F4="S1",EDATE(G4,12),"ดูคุณสมบัติอื่น")</f>
        <v>45497</v>
      </c>
      <c r="X4" s="25" t="str">
        <f t="shared" ref="X4:X20" si="8">IF(AND(F4="S1",K4="M2",P4="M1",EDATE(Q4,12*3)&lt;=EDATE(G4,12)),G4+1,"ดูคุณสมบัติอื่น")</f>
        <v>ดูคุณสมบัติอื่น</v>
      </c>
      <c r="Y4" s="28">
        <f t="shared" ca="1" si="0"/>
        <v>971</v>
      </c>
      <c r="Z4" s="28">
        <f>SUMIF('เทียบ-ตน.'!A:A,B4,'เทียบ-ตน.'!O:O)</f>
        <v>5223</v>
      </c>
      <c r="AA4" s="28">
        <f t="shared" ref="AA4:AA20" ca="1" si="9">IF(Z4&gt;0,Y4+Z4,0)</f>
        <v>6194</v>
      </c>
      <c r="AB4" s="29">
        <f t="shared" ref="AB4:AB20" ca="1" si="10">IF(Z4&gt;0,$C$1-AA4,"ดูคุณสมบัติอื่น")</f>
        <v>39908</v>
      </c>
      <c r="AC4" s="30">
        <f t="shared" ref="AC4:AC20" ca="1" si="11">_xlfn.IFS(Z4=0,"ดูคุณสมบัติอื่น",AND(Z4&gt;0,EDATE(AB4,12*3)&gt;=G4),EDATE(AB4,12*3),AND(Z4&gt;0,EDATE(AB4,12*3)&lt;G4),G4+1,TRUE,"ดูคุณสมบัติอื่น")</f>
        <v>45132</v>
      </c>
      <c r="AD4" s="31">
        <f>_xlfn.IFS(AND(OR(K4="M2",K4="M1"),OR(P4&lt;&gt;"M2",P4&lt;&gt;"M1")),G4-L4+SUMIF('นับวันใน-อต-อส'!A:A,B4,'นับวันใน-อต-อส'!H:H),AND(OR(K4&lt;&gt;"M2",K4&lt;&gt;"M1"),OR(P4="M2",P4="M1")),L4-Q4+SUMIF('นับวันใน-อต-อส'!A:A,B4,'นับวันใน-อต-อส'!H:H),TRUE,0)</f>
        <v>3128</v>
      </c>
      <c r="AE4" s="31">
        <f t="shared" ref="AE4:AE20" ca="1" si="12">IF(Z4&gt;0,Y4+Z4+AD4,0)</f>
        <v>9322</v>
      </c>
      <c r="AF4" s="30">
        <f t="shared" ref="AF4:AF20" ca="1" si="13">IF(Z4&gt;0,$C$1-AE4,"ดูคุณสมบัติอื่น")</f>
        <v>36780</v>
      </c>
      <c r="AG4" s="30">
        <f t="shared" ref="AG4:AG20" ca="1" si="14">_xlfn.IFS(Z4=0,"ดูคุณสมบัติอื่น",AND(Z4&gt;0,EDATE(AF4,12*3)&gt;=G4),EDATE(AF4,12*3),AND(Z4&gt;0,EDATE(AF4,12*3)&lt;G4),G4+1,TRUE,"ดูคุณสมบัติอื่น")</f>
        <v>45132</v>
      </c>
      <c r="AH4" s="31">
        <f t="shared" ref="AH4:AH20" si="15">IF(F4="K5",$C$1-G4,0)</f>
        <v>0</v>
      </c>
      <c r="AI4" s="31">
        <f t="shared" ref="AI4:AI20" si="16">IF(AH4&gt;0,AH4+Z4+AD4,0)</f>
        <v>0</v>
      </c>
      <c r="AJ4" s="30" t="str">
        <f t="shared" ref="AJ4:AJ20" si="17">IF(AH4&gt;0,$C$1-AI4,"ดูคุณสมบัติอื่น")</f>
        <v>ดูคุณสมบัติอื่น</v>
      </c>
      <c r="AK4" s="30" t="str">
        <f t="shared" ref="AK4:AK20" si="18">_xlfn.IFS(AH4=0,"ดูคุณสมบัติอื่น",AND(AH4&gt;0,EDATE(AJ4,12*2)&gt;=G4),EDATE(AJ4,12*3),AND(AH4&gt;0,EDATE(AJ4,12*2)&lt;G4),G4+1,TRUE,"ดูคุณสมบัติอื่น")</f>
        <v>ดูคุณสมบัติอื่น</v>
      </c>
      <c r="AL4" s="30" t="str">
        <f t="shared" ref="AL4:AL20" si="19">_xlfn.IFS(AND(F4="S2",$AL$1="บส"),G4,$AL$1="บต 1 ปี",W4,$AL$1="บต+ทตน",AC4,$AL$1="บต+อต/อส+ทตน",AG4,$AL$1="ทว+อต/อส+ทตน",AK4,TRUE,"Check Data")</f>
        <v>ดูคุณสมบัติอื่น</v>
      </c>
      <c r="AM4" s="36" t="str">
        <f t="shared" ref="AM4:AM20" ca="1" si="20">IFERROR(IF(TODAY()&gt;AL4,AL4-TODAY(),DATEDIF(TODAY(),AL4,"d")),"ดูคุณสมบัติอื่น")</f>
        <v>ดูคุณสมบัติอื่น</v>
      </c>
      <c r="AN4" s="15" t="str">
        <f t="shared" ref="AN4:AN20" ca="1" si="21">_xlfn.IFS(AM4="ดูคุณสมบัติอื่น","ดูคุณสมบัติอื่น",AM4&gt;30,"ยังไม่ถึงเกณฑ์",AM4&gt;0,"ใกล้ถึงเกณฑ์",AM4=0,"ถึงเกณฑ์",AM4&lt;0,"ถึงเกณฑ์นานแล้ว")</f>
        <v>ดูคุณสมบัติอื่น</v>
      </c>
    </row>
    <row r="5" spans="1:41">
      <c r="A5" s="15"/>
      <c r="B5" s="15"/>
      <c r="C5" s="15"/>
      <c r="D5" s="15"/>
      <c r="E5" s="15"/>
      <c r="F5" s="16" t="s">
        <v>135</v>
      </c>
      <c r="G5" s="17" t="s">
        <v>608</v>
      </c>
      <c r="H5" s="18">
        <f ca="1">DATEDIF(G5,TODAY(),"Y")</f>
        <v>2</v>
      </c>
      <c r="I5" s="18">
        <f ca="1">DATEDIF(G5,TODAY(),"YM")</f>
        <v>7</v>
      </c>
      <c r="J5" s="18">
        <f ca="1">DATEDIF(G5,TODAY(),"MD")</f>
        <v>25</v>
      </c>
      <c r="K5" s="21" t="s">
        <v>136</v>
      </c>
      <c r="L5" s="17" t="s">
        <v>611</v>
      </c>
      <c r="M5" s="18">
        <f t="shared" si="1"/>
        <v>6</v>
      </c>
      <c r="N5" s="18">
        <f t="shared" si="2"/>
        <v>8</v>
      </c>
      <c r="O5" s="18">
        <f t="shared" si="3"/>
        <v>28</v>
      </c>
      <c r="P5" s="16" t="s">
        <v>148</v>
      </c>
      <c r="Q5" s="17" t="s">
        <v>612</v>
      </c>
      <c r="R5" s="18">
        <f t="shared" si="4"/>
        <v>0</v>
      </c>
      <c r="S5" s="18">
        <f t="shared" si="5"/>
        <v>7</v>
      </c>
      <c r="T5" s="18">
        <f t="shared" si="6"/>
        <v>11</v>
      </c>
      <c r="U5" s="15" t="s">
        <v>78</v>
      </c>
      <c r="V5" s="16" t="s">
        <v>606</v>
      </c>
      <c r="W5" s="25">
        <f t="shared" si="7"/>
        <v>45497</v>
      </c>
      <c r="X5" s="25">
        <f t="shared" si="8"/>
        <v>45132</v>
      </c>
      <c r="Y5" s="28">
        <f t="shared" ca="1" si="0"/>
        <v>971</v>
      </c>
      <c r="Z5" s="28">
        <f>SUMIF('เทียบ-ตน.'!A:A,B5,'เทียบ-ตน.'!O:O)</f>
        <v>0</v>
      </c>
      <c r="AA5" s="28">
        <f t="shared" si="9"/>
        <v>0</v>
      </c>
      <c r="AB5" s="29" t="str">
        <f t="shared" si="10"/>
        <v>ดูคุณสมบัติอื่น</v>
      </c>
      <c r="AC5" s="30" t="str">
        <f t="shared" si="11"/>
        <v>ดูคุณสมบัติอื่น</v>
      </c>
      <c r="AD5" s="31">
        <f>_xlfn.IFS(AND(OR(K5="M2",K5="M1"),OR(P5&lt;&gt;"M2",P5&lt;&gt;"M1")),G5-L5+SUMIF('นับวันใน-อต-อส'!A:A,B5,'นับวันใน-อต-อส'!H:H),AND(OR(K5&lt;&gt;"M2",K5&lt;&gt;"M1"),OR(P5="M2",P5="M1")),L5-Q5+SUMIF('นับวันใน-อต-อส'!A:A,B5,'นับวันใน-อต-อส'!H:H),TRUE,0)</f>
        <v>2462</v>
      </c>
      <c r="AE5" s="31">
        <f t="shared" si="12"/>
        <v>0</v>
      </c>
      <c r="AF5" s="30" t="str">
        <f t="shared" si="13"/>
        <v>ดูคุณสมบัติอื่น</v>
      </c>
      <c r="AG5" s="30" t="str">
        <f t="shared" si="14"/>
        <v>ดูคุณสมบัติอื่น</v>
      </c>
      <c r="AH5" s="31">
        <f t="shared" si="15"/>
        <v>0</v>
      </c>
      <c r="AI5" s="31">
        <f t="shared" si="16"/>
        <v>0</v>
      </c>
      <c r="AJ5" s="30" t="str">
        <f t="shared" si="17"/>
        <v>ดูคุณสมบัติอื่น</v>
      </c>
      <c r="AK5" s="30" t="str">
        <f t="shared" si="18"/>
        <v>ดูคุณสมบัติอื่น</v>
      </c>
      <c r="AL5" s="30" t="str">
        <f t="shared" si="19"/>
        <v>ดูคุณสมบัติอื่น</v>
      </c>
      <c r="AM5" s="36" t="str">
        <f t="shared" ca="1" si="20"/>
        <v>ดูคุณสมบัติอื่น</v>
      </c>
      <c r="AN5" s="15" t="str">
        <f t="shared" ca="1" si="21"/>
        <v>ดูคุณสมบัติอื่น</v>
      </c>
    </row>
    <row r="6" spans="1:41">
      <c r="A6" s="15"/>
      <c r="B6" s="15"/>
      <c r="C6" s="15"/>
      <c r="D6" s="15"/>
      <c r="E6" s="15"/>
      <c r="F6" s="16" t="s">
        <v>135</v>
      </c>
      <c r="G6" s="17" t="s">
        <v>98</v>
      </c>
      <c r="H6" s="18">
        <f ca="1">DATEDIF(G6,TODAY(),"Y")</f>
        <v>6</v>
      </c>
      <c r="I6" s="18">
        <f ca="1">DATEDIF(G6,TODAY(),"YM")</f>
        <v>5</v>
      </c>
      <c r="J6" s="18">
        <f ca="1">DATEDIF(G6,TODAY(),"MD")</f>
        <v>20</v>
      </c>
      <c r="K6" s="21" t="s">
        <v>136</v>
      </c>
      <c r="L6" s="17" t="s">
        <v>97</v>
      </c>
      <c r="M6" s="18">
        <f t="shared" si="1"/>
        <v>4</v>
      </c>
      <c r="N6" s="18">
        <f t="shared" si="2"/>
        <v>0</v>
      </c>
      <c r="O6" s="18">
        <f t="shared" si="3"/>
        <v>0</v>
      </c>
      <c r="P6" s="16" t="s">
        <v>149</v>
      </c>
      <c r="Q6" s="17"/>
      <c r="R6" s="18">
        <f t="shared" si="4"/>
        <v>115</v>
      </c>
      <c r="S6" s="18">
        <f t="shared" si="5"/>
        <v>9</v>
      </c>
      <c r="T6" s="18">
        <f t="shared" si="6"/>
        <v>1</v>
      </c>
      <c r="U6" s="15" t="s">
        <v>78</v>
      </c>
      <c r="V6" s="16" t="s">
        <v>606</v>
      </c>
      <c r="W6" s="25">
        <f t="shared" si="7"/>
        <v>44105</v>
      </c>
      <c r="X6" s="25" t="str">
        <f t="shared" si="8"/>
        <v>ดูคุณสมบัติอื่น</v>
      </c>
      <c r="Y6" s="28">
        <f t="shared" ca="1" si="0"/>
        <v>2363</v>
      </c>
      <c r="Z6" s="28">
        <f>SUMIF('เทียบ-ตน.'!A:A,B6,'เทียบ-ตน.'!O:O)</f>
        <v>0</v>
      </c>
      <c r="AA6" s="28">
        <f t="shared" si="9"/>
        <v>0</v>
      </c>
      <c r="AB6" s="29" t="str">
        <f t="shared" si="10"/>
        <v>ดูคุณสมบัติอื่น</v>
      </c>
      <c r="AC6" s="30" t="str">
        <f t="shared" si="11"/>
        <v>ดูคุณสมบัติอื่น</v>
      </c>
      <c r="AD6" s="31">
        <f>_xlfn.IFS(AND(OR(K6="M2",K6="M1"),OR(P6&lt;&gt;"M2",P6&lt;&gt;"M1")),G6-L6+SUMIF('นับวันใน-อต-อส'!A:A,B6,'นับวันใน-อต-อส'!H:H),AND(OR(K6&lt;&gt;"M2",K6&lt;&gt;"M1"),OR(P6="M2",P6="M1")),L6-Q6+SUMIF('นับวันใน-อต-อส'!A:A,B6,'นับวันใน-อต-อส'!H:H),TRUE,0)</f>
        <v>1461</v>
      </c>
      <c r="AE6" s="31">
        <f t="shared" si="12"/>
        <v>0</v>
      </c>
      <c r="AF6" s="30" t="str">
        <f t="shared" si="13"/>
        <v>ดูคุณสมบัติอื่น</v>
      </c>
      <c r="AG6" s="30" t="str">
        <f t="shared" si="14"/>
        <v>ดูคุณสมบัติอื่น</v>
      </c>
      <c r="AH6" s="31">
        <f t="shared" si="15"/>
        <v>0</v>
      </c>
      <c r="AI6" s="31">
        <f t="shared" si="16"/>
        <v>0</v>
      </c>
      <c r="AJ6" s="30" t="str">
        <f t="shared" si="17"/>
        <v>ดูคุณสมบัติอื่น</v>
      </c>
      <c r="AK6" s="30" t="str">
        <f t="shared" si="18"/>
        <v>ดูคุณสมบัติอื่น</v>
      </c>
      <c r="AL6" s="30" t="str">
        <f t="shared" si="19"/>
        <v>ดูคุณสมบัติอื่น</v>
      </c>
      <c r="AM6" s="36" t="str">
        <f t="shared" ca="1" si="20"/>
        <v>ดูคุณสมบัติอื่น</v>
      </c>
      <c r="AN6" s="15" t="str">
        <f t="shared" ca="1" si="21"/>
        <v>ดูคุณสมบัติอื่น</v>
      </c>
    </row>
    <row r="7" spans="1:41">
      <c r="A7" s="15"/>
      <c r="B7" s="15"/>
      <c r="C7" s="15"/>
      <c r="D7" s="15"/>
      <c r="E7" s="15"/>
      <c r="F7" s="16" t="s">
        <v>135</v>
      </c>
      <c r="G7" s="17" t="s">
        <v>541</v>
      </c>
      <c r="H7" s="18">
        <f t="shared" ref="H7:H20" ca="1" si="22">DATEDIF(G7,TODAY(),"Y")</f>
        <v>3</v>
      </c>
      <c r="I7" s="18">
        <f t="shared" ref="I7:I20" ca="1" si="23">DATEDIF(G7,TODAY(),"YM")</f>
        <v>7</v>
      </c>
      <c r="J7" s="18">
        <f t="shared" ref="J7:J20" ca="1" si="24">DATEDIF(G7,TODAY(),"MD")</f>
        <v>11</v>
      </c>
      <c r="K7" s="21" t="s">
        <v>148</v>
      </c>
      <c r="L7" s="17" t="s">
        <v>542</v>
      </c>
      <c r="M7" s="18">
        <f t="shared" si="1"/>
        <v>6</v>
      </c>
      <c r="N7" s="18">
        <f t="shared" si="2"/>
        <v>5</v>
      </c>
      <c r="O7" s="18">
        <f t="shared" si="3"/>
        <v>9</v>
      </c>
      <c r="P7" s="16" t="s">
        <v>88</v>
      </c>
      <c r="Q7" s="17"/>
      <c r="R7" s="18">
        <f t="shared" si="4"/>
        <v>116</v>
      </c>
      <c r="S7" s="18">
        <f t="shared" si="5"/>
        <v>2</v>
      </c>
      <c r="T7" s="18">
        <f t="shared" si="6"/>
        <v>1</v>
      </c>
      <c r="U7" s="15" t="s">
        <v>78</v>
      </c>
      <c r="V7" s="16" t="s">
        <v>606</v>
      </c>
      <c r="W7" s="25">
        <f t="shared" si="7"/>
        <v>45148</v>
      </c>
      <c r="X7" s="25" t="str">
        <f t="shared" si="8"/>
        <v>ดูคุณสมบัติอื่น</v>
      </c>
      <c r="Y7" s="28">
        <f t="shared" ca="1" si="0"/>
        <v>1319</v>
      </c>
      <c r="Z7" s="28">
        <f>SUMIF('เทียบ-ตน.'!A:A,B7,'เทียบ-ตน.'!O:O)</f>
        <v>0</v>
      </c>
      <c r="AA7" s="28">
        <f t="shared" si="9"/>
        <v>0</v>
      </c>
      <c r="AB7" s="29" t="str">
        <f t="shared" si="10"/>
        <v>ดูคุณสมบัติอื่น</v>
      </c>
      <c r="AC7" s="30" t="str">
        <f t="shared" si="11"/>
        <v>ดูคุณสมบัติอื่น</v>
      </c>
      <c r="AD7" s="31">
        <f>_xlfn.IFS(AND(OR(K7="M2",K7="M1"),OR(P7&lt;&gt;"M2",P7&lt;&gt;"M1")),G7-L7+SUMIF('นับวันใน-อต-อส'!A:A,B7,'นับวันใน-อต-อส'!H:H),AND(OR(K7&lt;&gt;"M2",K7&lt;&gt;"M1"),OR(P7="M2",P7="M1")),L7-Q7+SUMIF('นับวันใน-อต-อส'!A:A,B7,'นับวันใน-อต-อส'!H:H),TRUE,0)</f>
        <v>2353</v>
      </c>
      <c r="AE7" s="31">
        <f t="shared" si="12"/>
        <v>0</v>
      </c>
      <c r="AF7" s="30" t="str">
        <f t="shared" si="13"/>
        <v>ดูคุณสมบัติอื่น</v>
      </c>
      <c r="AG7" s="30" t="str">
        <f t="shared" si="14"/>
        <v>ดูคุณสมบัติอื่น</v>
      </c>
      <c r="AH7" s="31">
        <f t="shared" si="15"/>
        <v>0</v>
      </c>
      <c r="AI7" s="31">
        <f t="shared" si="16"/>
        <v>0</v>
      </c>
      <c r="AJ7" s="30" t="str">
        <f t="shared" si="17"/>
        <v>ดูคุณสมบัติอื่น</v>
      </c>
      <c r="AK7" s="30" t="str">
        <f t="shared" si="18"/>
        <v>ดูคุณสมบัติอื่น</v>
      </c>
      <c r="AL7" s="30" t="str">
        <f t="shared" si="19"/>
        <v>ดูคุณสมบัติอื่น</v>
      </c>
      <c r="AM7" s="36" t="str">
        <f t="shared" ca="1" si="20"/>
        <v>ดูคุณสมบัติอื่น</v>
      </c>
      <c r="AN7" s="15" t="str">
        <f t="shared" ca="1" si="21"/>
        <v>ดูคุณสมบัติอื่น</v>
      </c>
    </row>
    <row r="8" spans="1:41">
      <c r="A8" s="15"/>
      <c r="B8" s="15"/>
      <c r="C8" s="15"/>
      <c r="D8" s="15"/>
      <c r="E8" s="15"/>
      <c r="F8" s="16" t="s">
        <v>135</v>
      </c>
      <c r="G8" s="17" t="s">
        <v>613</v>
      </c>
      <c r="H8" s="18">
        <f t="shared" ca="1" si="22"/>
        <v>2</v>
      </c>
      <c r="I8" s="18">
        <f t="shared" ca="1" si="23"/>
        <v>10</v>
      </c>
      <c r="J8" s="18">
        <f t="shared" ca="1" si="24"/>
        <v>24</v>
      </c>
      <c r="K8" s="21" t="s">
        <v>148</v>
      </c>
      <c r="L8" s="17" t="s">
        <v>614</v>
      </c>
      <c r="M8" s="18">
        <f t="shared" si="1"/>
        <v>3</v>
      </c>
      <c r="N8" s="18">
        <f t="shared" si="2"/>
        <v>0</v>
      </c>
      <c r="O8" s="18">
        <f t="shared" si="3"/>
        <v>0</v>
      </c>
      <c r="P8" s="21" t="s">
        <v>149</v>
      </c>
      <c r="Q8" s="17"/>
      <c r="R8" s="18">
        <f t="shared" si="4"/>
        <v>120</v>
      </c>
      <c r="S8" s="18">
        <f t="shared" si="5"/>
        <v>3</v>
      </c>
      <c r="T8" s="18">
        <f t="shared" si="6"/>
        <v>25</v>
      </c>
      <c r="U8" s="15" t="s">
        <v>78</v>
      </c>
      <c r="V8" s="16" t="s">
        <v>606</v>
      </c>
      <c r="W8" s="25">
        <f t="shared" si="7"/>
        <v>45407</v>
      </c>
      <c r="X8" s="25" t="str">
        <f t="shared" si="8"/>
        <v>ดูคุณสมบัติอื่น</v>
      </c>
      <c r="Y8" s="28">
        <f t="shared" ca="1" si="0"/>
        <v>1061</v>
      </c>
      <c r="Z8" s="28">
        <f>SUMIF('เทียบ-ตน.'!A:A,B8,'เทียบ-ตน.'!O:O)</f>
        <v>0</v>
      </c>
      <c r="AA8" s="28">
        <f t="shared" si="9"/>
        <v>0</v>
      </c>
      <c r="AB8" s="29" t="str">
        <f t="shared" si="10"/>
        <v>ดูคุณสมบัติอื่น</v>
      </c>
      <c r="AC8" s="30" t="str">
        <f t="shared" si="11"/>
        <v>ดูคุณสมบัติอื่น</v>
      </c>
      <c r="AD8" s="31">
        <f>_xlfn.IFS(AND(OR(K8="M2",K8="M1"),OR(P8&lt;&gt;"M2",P8&lt;&gt;"M1")),G8-L8+SUMIF('นับวันใน-อต-อส'!A:A,B8,'นับวันใน-อต-อส'!H:H),AND(OR(K8&lt;&gt;"M2",K8&lt;&gt;"M1"),OR(P8="M2",P8="M1")),L8-Q8+SUMIF('นับวันใน-อต-อส'!A:A,B8,'นับวันใน-อต-อส'!H:H),TRUE,0)</f>
        <v>1095</v>
      </c>
      <c r="AE8" s="31">
        <f t="shared" si="12"/>
        <v>0</v>
      </c>
      <c r="AF8" s="30" t="str">
        <f t="shared" si="13"/>
        <v>ดูคุณสมบัติอื่น</v>
      </c>
      <c r="AG8" s="30" t="str">
        <f t="shared" si="14"/>
        <v>ดูคุณสมบัติอื่น</v>
      </c>
      <c r="AH8" s="31">
        <f t="shared" si="15"/>
        <v>0</v>
      </c>
      <c r="AI8" s="31">
        <f t="shared" si="16"/>
        <v>0</v>
      </c>
      <c r="AJ8" s="30" t="str">
        <f t="shared" si="17"/>
        <v>ดูคุณสมบัติอื่น</v>
      </c>
      <c r="AK8" s="30" t="str">
        <f t="shared" si="18"/>
        <v>ดูคุณสมบัติอื่น</v>
      </c>
      <c r="AL8" s="30" t="str">
        <f t="shared" si="19"/>
        <v>ดูคุณสมบัติอื่น</v>
      </c>
      <c r="AM8" s="36" t="str">
        <f t="shared" ca="1" si="20"/>
        <v>ดูคุณสมบัติอื่น</v>
      </c>
      <c r="AN8" s="15" t="str">
        <f t="shared" ca="1" si="21"/>
        <v>ดูคุณสมบัติอื่น</v>
      </c>
    </row>
    <row r="9" spans="1:41">
      <c r="A9" s="15"/>
      <c r="B9" s="15"/>
      <c r="C9" s="15"/>
      <c r="D9" s="15"/>
      <c r="E9" s="15"/>
      <c r="F9" s="16" t="s">
        <v>135</v>
      </c>
      <c r="G9" s="17" t="s">
        <v>613</v>
      </c>
      <c r="H9" s="18">
        <f t="shared" ca="1" si="22"/>
        <v>2</v>
      </c>
      <c r="I9" s="18">
        <f t="shared" ca="1" si="23"/>
        <v>10</v>
      </c>
      <c r="J9" s="18">
        <f t="shared" ca="1" si="24"/>
        <v>24</v>
      </c>
      <c r="K9" s="21" t="s">
        <v>137</v>
      </c>
      <c r="L9" s="17" t="s">
        <v>615</v>
      </c>
      <c r="M9" s="18">
        <f t="shared" si="1"/>
        <v>3</v>
      </c>
      <c r="N9" s="18">
        <f t="shared" si="2"/>
        <v>6</v>
      </c>
      <c r="O9" s="18">
        <f t="shared" si="3"/>
        <v>0</v>
      </c>
      <c r="P9" s="21" t="s">
        <v>88</v>
      </c>
      <c r="Q9" s="17"/>
      <c r="R9" s="18">
        <f t="shared" si="4"/>
        <v>119</v>
      </c>
      <c r="S9" s="18">
        <f t="shared" si="5"/>
        <v>9</v>
      </c>
      <c r="T9" s="18">
        <f t="shared" si="6"/>
        <v>25</v>
      </c>
      <c r="U9" s="15" t="s">
        <v>78</v>
      </c>
      <c r="V9" s="16" t="s">
        <v>606</v>
      </c>
      <c r="W9" s="25">
        <f t="shared" si="7"/>
        <v>45407</v>
      </c>
      <c r="X9" s="25" t="str">
        <f t="shared" si="8"/>
        <v>ดูคุณสมบัติอื่น</v>
      </c>
      <c r="Y9" s="28">
        <f t="shared" ca="1" si="0"/>
        <v>1061</v>
      </c>
      <c r="Z9" s="28">
        <f>SUMIF('เทียบ-ตน.'!A:A,B9,'เทียบ-ตน.'!O:O)</f>
        <v>0</v>
      </c>
      <c r="AA9" s="28">
        <f t="shared" si="9"/>
        <v>0</v>
      </c>
      <c r="AB9" s="29" t="str">
        <f t="shared" si="10"/>
        <v>ดูคุณสมบัติอื่น</v>
      </c>
      <c r="AC9" s="30" t="str">
        <f t="shared" si="11"/>
        <v>ดูคุณสมบัติอื่น</v>
      </c>
      <c r="AD9" s="31">
        <f>_xlfn.IFS(AND(OR(K9="M2",K9="M1"),OR(P9&lt;&gt;"M2",P9&lt;&gt;"M1")),G9-L9+SUMIF('นับวันใน-อต-อส'!A:A,B9,'นับวันใน-อต-อส'!H:H),AND(OR(K9&lt;&gt;"M2",K9&lt;&gt;"M1"),OR(P9="M2",P9="M1")),L9-Q9+SUMIF('นับวันใน-อต-อส'!A:A,B9,'นับวันใน-อต-อส'!H:H),TRUE,0)</f>
        <v>0</v>
      </c>
      <c r="AE9" s="31">
        <f t="shared" si="12"/>
        <v>0</v>
      </c>
      <c r="AF9" s="30" t="str">
        <f t="shared" si="13"/>
        <v>ดูคุณสมบัติอื่น</v>
      </c>
      <c r="AG9" s="30" t="str">
        <f t="shared" si="14"/>
        <v>ดูคุณสมบัติอื่น</v>
      </c>
      <c r="AH9" s="31">
        <f t="shared" si="15"/>
        <v>0</v>
      </c>
      <c r="AI9" s="31">
        <f t="shared" si="16"/>
        <v>0</v>
      </c>
      <c r="AJ9" s="30" t="str">
        <f t="shared" si="17"/>
        <v>ดูคุณสมบัติอื่น</v>
      </c>
      <c r="AK9" s="30" t="str">
        <f t="shared" si="18"/>
        <v>ดูคุณสมบัติอื่น</v>
      </c>
      <c r="AL9" s="30" t="str">
        <f t="shared" si="19"/>
        <v>ดูคุณสมบัติอื่น</v>
      </c>
      <c r="AM9" s="36" t="str">
        <f t="shared" ca="1" si="20"/>
        <v>ดูคุณสมบัติอื่น</v>
      </c>
      <c r="AN9" s="15" t="str">
        <f t="shared" ca="1" si="21"/>
        <v>ดูคุณสมบัติอื่น</v>
      </c>
    </row>
    <row r="10" spans="1:41">
      <c r="A10" s="15"/>
      <c r="B10" s="15"/>
      <c r="C10" s="15"/>
      <c r="D10" s="15"/>
      <c r="E10" s="15"/>
      <c r="F10" s="16" t="s">
        <v>135</v>
      </c>
      <c r="G10" s="17" t="s">
        <v>539</v>
      </c>
      <c r="H10" s="18">
        <f t="shared" ca="1" si="22"/>
        <v>5</v>
      </c>
      <c r="I10" s="18">
        <f t="shared" ca="1" si="23"/>
        <v>6</v>
      </c>
      <c r="J10" s="18">
        <f t="shared" ca="1" si="24"/>
        <v>23</v>
      </c>
      <c r="K10" s="21" t="s">
        <v>137</v>
      </c>
      <c r="L10" s="17" t="s">
        <v>91</v>
      </c>
      <c r="M10" s="18">
        <f t="shared" si="1"/>
        <v>4</v>
      </c>
      <c r="N10" s="18">
        <f t="shared" si="2"/>
        <v>5</v>
      </c>
      <c r="O10" s="18">
        <f t="shared" si="3"/>
        <v>22</v>
      </c>
      <c r="P10" s="21" t="s">
        <v>88</v>
      </c>
      <c r="Q10" s="17" t="s">
        <v>616</v>
      </c>
      <c r="R10" s="18">
        <f t="shared" si="4"/>
        <v>4</v>
      </c>
      <c r="S10" s="18">
        <f t="shared" si="5"/>
        <v>0</v>
      </c>
      <c r="T10" s="18">
        <f t="shared" si="6"/>
        <v>0</v>
      </c>
      <c r="U10" s="15" t="s">
        <v>78</v>
      </c>
      <c r="V10" s="16" t="s">
        <v>606</v>
      </c>
      <c r="W10" s="25">
        <f t="shared" si="7"/>
        <v>44434</v>
      </c>
      <c r="X10" s="25" t="str">
        <f t="shared" si="8"/>
        <v>ดูคุณสมบัติอื่น</v>
      </c>
      <c r="Y10" s="28">
        <f t="shared" ca="1" si="0"/>
        <v>2033</v>
      </c>
      <c r="Z10" s="28">
        <f>SUMIF('เทียบ-ตน.'!A:A,B10,'เทียบ-ตน.'!O:O)</f>
        <v>0</v>
      </c>
      <c r="AA10" s="28">
        <f t="shared" si="9"/>
        <v>0</v>
      </c>
      <c r="AB10" s="29" t="str">
        <f t="shared" si="10"/>
        <v>ดูคุณสมบัติอื่น</v>
      </c>
      <c r="AC10" s="30" t="str">
        <f t="shared" si="11"/>
        <v>ดูคุณสมบัติอื่น</v>
      </c>
      <c r="AD10" s="31">
        <f>_xlfn.IFS(AND(OR(K10="M2",K10="M1"),OR(P10&lt;&gt;"M2",P10&lt;&gt;"M1")),G10-L10+SUMIF('นับวันใน-อต-อส'!A:A,B10,'นับวันใน-อต-อส'!H:H),AND(OR(K10&lt;&gt;"M2",K10&lt;&gt;"M1"),OR(P10="M2",P10="M1")),L10-Q10+SUMIF('นับวันใน-อต-อส'!A:A,B10,'นับวันใน-อต-อส'!H:H),TRUE,0)</f>
        <v>0</v>
      </c>
      <c r="AE10" s="31">
        <f t="shared" si="12"/>
        <v>0</v>
      </c>
      <c r="AF10" s="30" t="str">
        <f t="shared" si="13"/>
        <v>ดูคุณสมบัติอื่น</v>
      </c>
      <c r="AG10" s="30" t="str">
        <f t="shared" si="14"/>
        <v>ดูคุณสมบัติอื่น</v>
      </c>
      <c r="AH10" s="31">
        <f t="shared" si="15"/>
        <v>0</v>
      </c>
      <c r="AI10" s="31">
        <f t="shared" si="16"/>
        <v>0</v>
      </c>
      <c r="AJ10" s="30" t="str">
        <f t="shared" si="17"/>
        <v>ดูคุณสมบัติอื่น</v>
      </c>
      <c r="AK10" s="30" t="str">
        <f t="shared" si="18"/>
        <v>ดูคุณสมบัติอื่น</v>
      </c>
      <c r="AL10" s="30" t="str">
        <f t="shared" si="19"/>
        <v>ดูคุณสมบัติอื่น</v>
      </c>
      <c r="AM10" s="36" t="str">
        <f t="shared" ca="1" si="20"/>
        <v>ดูคุณสมบัติอื่น</v>
      </c>
      <c r="AN10" s="15" t="str">
        <f t="shared" ca="1" si="21"/>
        <v>ดูคุณสมบัติอื่น</v>
      </c>
    </row>
    <row r="11" spans="1:41">
      <c r="A11" s="15"/>
      <c r="B11" s="15"/>
      <c r="C11" s="15"/>
      <c r="D11" s="15"/>
      <c r="E11" s="15"/>
      <c r="F11" s="16" t="s">
        <v>135</v>
      </c>
      <c r="G11" s="17" t="s">
        <v>94</v>
      </c>
      <c r="H11" s="18">
        <f t="shared" ca="1" si="22"/>
        <v>7</v>
      </c>
      <c r="I11" s="18">
        <f t="shared" ca="1" si="23"/>
        <v>11</v>
      </c>
      <c r="J11" s="18">
        <f t="shared" ca="1" si="24"/>
        <v>21</v>
      </c>
      <c r="K11" s="21" t="s">
        <v>136</v>
      </c>
      <c r="L11" s="17" t="s">
        <v>93</v>
      </c>
      <c r="M11" s="18">
        <f t="shared" si="1"/>
        <v>5</v>
      </c>
      <c r="N11" s="18">
        <f t="shared" si="2"/>
        <v>8</v>
      </c>
      <c r="O11" s="18">
        <f t="shared" si="3"/>
        <v>15</v>
      </c>
      <c r="P11" s="16" t="s">
        <v>88</v>
      </c>
      <c r="Q11" s="17"/>
      <c r="R11" s="18">
        <f t="shared" si="4"/>
        <v>112</v>
      </c>
      <c r="S11" s="18">
        <f t="shared" si="5"/>
        <v>6</v>
      </c>
      <c r="T11" s="18">
        <f t="shared" si="6"/>
        <v>13</v>
      </c>
      <c r="U11" s="15" t="s">
        <v>78</v>
      </c>
      <c r="V11" s="16" t="s">
        <v>606</v>
      </c>
      <c r="W11" s="25">
        <f t="shared" si="7"/>
        <v>43552</v>
      </c>
      <c r="X11" s="25" t="str">
        <f t="shared" si="8"/>
        <v>ดูคุณสมบัติอื่น</v>
      </c>
      <c r="Y11" s="28">
        <f t="shared" ca="1" si="0"/>
        <v>2915</v>
      </c>
      <c r="Z11" s="28">
        <f>SUMIF('เทียบ-ตน.'!A:A,B11,'เทียบ-ตน.'!O:O)</f>
        <v>0</v>
      </c>
      <c r="AA11" s="28">
        <f t="shared" si="9"/>
        <v>0</v>
      </c>
      <c r="AB11" s="29" t="str">
        <f t="shared" si="10"/>
        <v>ดูคุณสมบัติอื่น</v>
      </c>
      <c r="AC11" s="30" t="str">
        <f t="shared" si="11"/>
        <v>ดูคุณสมบัติอื่น</v>
      </c>
      <c r="AD11" s="31">
        <f>_xlfn.IFS(AND(OR(K11="M2",K11="M1"),OR(P11&lt;&gt;"M2",P11&lt;&gt;"M1")),G11-L11+SUMIF('นับวันใน-อต-อส'!A:A,B11,'นับวันใน-อต-อส'!H:H),AND(OR(K11&lt;&gt;"M2",K11&lt;&gt;"M1"),OR(P11="M2",P11="M1")),L11-Q11+SUMIF('นับวันใน-อต-อส'!A:A,B11,'นับวันใน-อต-อส'!H:H),TRUE,0)</f>
        <v>2084</v>
      </c>
      <c r="AE11" s="31">
        <f t="shared" si="12"/>
        <v>0</v>
      </c>
      <c r="AF11" s="30" t="str">
        <f t="shared" si="13"/>
        <v>ดูคุณสมบัติอื่น</v>
      </c>
      <c r="AG11" s="30" t="str">
        <f t="shared" si="14"/>
        <v>ดูคุณสมบัติอื่น</v>
      </c>
      <c r="AH11" s="31">
        <f t="shared" si="15"/>
        <v>0</v>
      </c>
      <c r="AI11" s="31">
        <f t="shared" si="16"/>
        <v>0</v>
      </c>
      <c r="AJ11" s="30" t="str">
        <f t="shared" si="17"/>
        <v>ดูคุณสมบัติอื่น</v>
      </c>
      <c r="AK11" s="30" t="str">
        <f t="shared" si="18"/>
        <v>ดูคุณสมบัติอื่น</v>
      </c>
      <c r="AL11" s="30" t="str">
        <f t="shared" si="19"/>
        <v>ดูคุณสมบัติอื่น</v>
      </c>
      <c r="AM11" s="36" t="str">
        <f t="shared" ca="1" si="20"/>
        <v>ดูคุณสมบัติอื่น</v>
      </c>
      <c r="AN11" s="15" t="str">
        <f t="shared" ca="1" si="21"/>
        <v>ดูคุณสมบัติอื่น</v>
      </c>
    </row>
    <row r="12" spans="1:41">
      <c r="A12" s="15"/>
      <c r="B12" s="15"/>
      <c r="C12" s="15"/>
      <c r="D12" s="15"/>
      <c r="E12" s="15"/>
      <c r="F12" s="16" t="s">
        <v>135</v>
      </c>
      <c r="G12" s="17" t="s">
        <v>96</v>
      </c>
      <c r="H12" s="18">
        <f t="shared" ca="1" si="22"/>
        <v>12</v>
      </c>
      <c r="I12" s="18">
        <f t="shared" ca="1" si="23"/>
        <v>1</v>
      </c>
      <c r="J12" s="18">
        <f t="shared" ca="1" si="24"/>
        <v>22</v>
      </c>
      <c r="K12" s="21" t="s">
        <v>136</v>
      </c>
      <c r="L12" s="17" t="s">
        <v>95</v>
      </c>
      <c r="M12" s="18">
        <f t="shared" si="1"/>
        <v>7</v>
      </c>
      <c r="N12" s="18">
        <f t="shared" si="2"/>
        <v>5</v>
      </c>
      <c r="O12" s="18">
        <f t="shared" si="3"/>
        <v>30</v>
      </c>
      <c r="P12" s="16" t="s">
        <v>149</v>
      </c>
      <c r="Q12" s="17"/>
      <c r="R12" s="18">
        <f t="shared" si="4"/>
        <v>106</v>
      </c>
      <c r="S12" s="18">
        <f t="shared" si="5"/>
        <v>6</v>
      </c>
      <c r="T12" s="18">
        <f t="shared" si="6"/>
        <v>28</v>
      </c>
      <c r="U12" s="15" t="s">
        <v>78</v>
      </c>
      <c r="V12" s="16" t="s">
        <v>606</v>
      </c>
      <c r="W12" s="25">
        <f t="shared" si="7"/>
        <v>42031</v>
      </c>
      <c r="X12" s="25" t="str">
        <f t="shared" si="8"/>
        <v>ดูคุณสมบัติอื่น</v>
      </c>
      <c r="Y12" s="28">
        <f t="shared" ca="1" si="0"/>
        <v>4436</v>
      </c>
      <c r="Z12" s="28">
        <f>SUMIF('เทียบ-ตน.'!A:A,B12,'เทียบ-ตน.'!O:O)</f>
        <v>0</v>
      </c>
      <c r="AA12" s="28">
        <f t="shared" si="9"/>
        <v>0</v>
      </c>
      <c r="AB12" s="29" t="str">
        <f t="shared" si="10"/>
        <v>ดูคุณสมบัติอื่น</v>
      </c>
      <c r="AC12" s="30" t="str">
        <f t="shared" si="11"/>
        <v>ดูคุณสมบัติอื่น</v>
      </c>
      <c r="AD12" s="31">
        <f>_xlfn.IFS(AND(OR(K12="M2",K12="M1"),OR(P12&lt;&gt;"M2",P12&lt;&gt;"M1")),G12-L12+SUMIF('นับวันใน-อต-อส'!A:A,B12,'นับวันใน-อต-อส'!H:H),AND(OR(K12&lt;&gt;"M2",K12&lt;&gt;"M1"),OR(P12="M2",P12="M1")),L12-Q12+SUMIF('นับวันใน-อต-อส'!A:A,B12,'นับวันใน-อต-อส'!H:H),TRUE,0)</f>
        <v>2740</v>
      </c>
      <c r="AE12" s="31">
        <f t="shared" si="12"/>
        <v>0</v>
      </c>
      <c r="AF12" s="30" t="str">
        <f t="shared" si="13"/>
        <v>ดูคุณสมบัติอื่น</v>
      </c>
      <c r="AG12" s="30" t="str">
        <f t="shared" si="14"/>
        <v>ดูคุณสมบัติอื่น</v>
      </c>
      <c r="AH12" s="31">
        <f t="shared" si="15"/>
        <v>0</v>
      </c>
      <c r="AI12" s="31">
        <f t="shared" si="16"/>
        <v>0</v>
      </c>
      <c r="AJ12" s="30" t="str">
        <f t="shared" si="17"/>
        <v>ดูคุณสมบัติอื่น</v>
      </c>
      <c r="AK12" s="30" t="str">
        <f t="shared" si="18"/>
        <v>ดูคุณสมบัติอื่น</v>
      </c>
      <c r="AL12" s="30" t="str">
        <f t="shared" si="19"/>
        <v>ดูคุณสมบัติอื่น</v>
      </c>
      <c r="AM12" s="36" t="str">
        <f t="shared" ca="1" si="20"/>
        <v>ดูคุณสมบัติอื่น</v>
      </c>
      <c r="AN12" s="15" t="str">
        <f t="shared" ca="1" si="21"/>
        <v>ดูคุณสมบัติอื่น</v>
      </c>
    </row>
    <row r="13" spans="1:41">
      <c r="A13" s="15"/>
      <c r="B13" s="15"/>
      <c r="C13" s="15"/>
      <c r="D13" s="15"/>
      <c r="E13" s="15"/>
      <c r="F13" s="16" t="s">
        <v>135</v>
      </c>
      <c r="G13" s="17" t="s">
        <v>98</v>
      </c>
      <c r="H13" s="18">
        <f t="shared" ca="1" si="22"/>
        <v>6</v>
      </c>
      <c r="I13" s="18">
        <f t="shared" ca="1" si="23"/>
        <v>5</v>
      </c>
      <c r="J13" s="18">
        <f t="shared" ca="1" si="24"/>
        <v>20</v>
      </c>
      <c r="K13" s="21" t="s">
        <v>148</v>
      </c>
      <c r="L13" s="17" t="s">
        <v>97</v>
      </c>
      <c r="M13" s="18">
        <f t="shared" si="1"/>
        <v>4</v>
      </c>
      <c r="N13" s="18">
        <f t="shared" si="2"/>
        <v>0</v>
      </c>
      <c r="O13" s="18">
        <f t="shared" si="3"/>
        <v>0</v>
      </c>
      <c r="P13" s="16" t="s">
        <v>88</v>
      </c>
      <c r="Q13" s="17"/>
      <c r="R13" s="18">
        <f t="shared" si="4"/>
        <v>115</v>
      </c>
      <c r="S13" s="18">
        <f t="shared" si="5"/>
        <v>9</v>
      </c>
      <c r="T13" s="18">
        <f t="shared" si="6"/>
        <v>1</v>
      </c>
      <c r="U13" s="15" t="s">
        <v>78</v>
      </c>
      <c r="V13" s="16" t="s">
        <v>606</v>
      </c>
      <c r="W13" s="25">
        <f t="shared" si="7"/>
        <v>44105</v>
      </c>
      <c r="X13" s="25" t="str">
        <f t="shared" si="8"/>
        <v>ดูคุณสมบัติอื่น</v>
      </c>
      <c r="Y13" s="28">
        <f t="shared" ca="1" si="0"/>
        <v>2363</v>
      </c>
      <c r="Z13" s="28">
        <f>SUMIF('เทียบ-ตน.'!A:A,B13,'เทียบ-ตน.'!O:O)</f>
        <v>0</v>
      </c>
      <c r="AA13" s="28">
        <f t="shared" si="9"/>
        <v>0</v>
      </c>
      <c r="AB13" s="29" t="str">
        <f t="shared" si="10"/>
        <v>ดูคุณสมบัติอื่น</v>
      </c>
      <c r="AC13" s="30" t="str">
        <f t="shared" si="11"/>
        <v>ดูคุณสมบัติอื่น</v>
      </c>
      <c r="AD13" s="31">
        <f>_xlfn.IFS(AND(OR(K13="M2",K13="M1"),OR(P13&lt;&gt;"M2",P13&lt;&gt;"M1")),G13-L13+SUMIF('นับวันใน-อต-อส'!A:A,B13,'นับวันใน-อต-อส'!H:H),AND(OR(K13&lt;&gt;"M2",K13&lt;&gt;"M1"),OR(P13="M2",P13="M1")),L13-Q13+SUMIF('นับวันใน-อต-อส'!A:A,B13,'นับวันใน-อต-อส'!H:H),TRUE,0)</f>
        <v>1461</v>
      </c>
      <c r="AE13" s="31">
        <f t="shared" si="12"/>
        <v>0</v>
      </c>
      <c r="AF13" s="30" t="str">
        <f t="shared" si="13"/>
        <v>ดูคุณสมบัติอื่น</v>
      </c>
      <c r="AG13" s="30" t="str">
        <f t="shared" si="14"/>
        <v>ดูคุณสมบัติอื่น</v>
      </c>
      <c r="AH13" s="31">
        <f t="shared" si="15"/>
        <v>0</v>
      </c>
      <c r="AI13" s="31">
        <f t="shared" si="16"/>
        <v>0</v>
      </c>
      <c r="AJ13" s="30" t="str">
        <f t="shared" si="17"/>
        <v>ดูคุณสมบัติอื่น</v>
      </c>
      <c r="AK13" s="30" t="str">
        <f t="shared" si="18"/>
        <v>ดูคุณสมบัติอื่น</v>
      </c>
      <c r="AL13" s="30" t="str">
        <f t="shared" si="19"/>
        <v>ดูคุณสมบัติอื่น</v>
      </c>
      <c r="AM13" s="36" t="str">
        <f t="shared" ca="1" si="20"/>
        <v>ดูคุณสมบัติอื่น</v>
      </c>
      <c r="AN13" s="15" t="str">
        <f t="shared" ca="1" si="21"/>
        <v>ดูคุณสมบัติอื่น</v>
      </c>
    </row>
    <row r="14" spans="1:41">
      <c r="A14" s="15"/>
      <c r="B14" s="15"/>
      <c r="C14" s="15"/>
      <c r="D14" s="15"/>
      <c r="E14" s="15"/>
      <c r="F14" s="16" t="s">
        <v>135</v>
      </c>
      <c r="G14" s="17" t="s">
        <v>541</v>
      </c>
      <c r="H14" s="18">
        <f t="shared" ca="1" si="22"/>
        <v>3</v>
      </c>
      <c r="I14" s="18">
        <f t="shared" ca="1" si="23"/>
        <v>7</v>
      </c>
      <c r="J14" s="18">
        <f t="shared" ca="1" si="24"/>
        <v>11</v>
      </c>
      <c r="K14" s="21" t="s">
        <v>148</v>
      </c>
      <c r="L14" s="17" t="s">
        <v>542</v>
      </c>
      <c r="M14" s="18">
        <f t="shared" si="1"/>
        <v>6</v>
      </c>
      <c r="N14" s="18">
        <f t="shared" si="2"/>
        <v>5</v>
      </c>
      <c r="O14" s="18">
        <f t="shared" si="3"/>
        <v>9</v>
      </c>
      <c r="P14" s="21" t="s">
        <v>149</v>
      </c>
      <c r="Q14" s="17"/>
      <c r="R14" s="18">
        <f t="shared" si="4"/>
        <v>116</v>
      </c>
      <c r="S14" s="18">
        <f t="shared" si="5"/>
        <v>2</v>
      </c>
      <c r="T14" s="18">
        <f t="shared" si="6"/>
        <v>1</v>
      </c>
      <c r="U14" s="15" t="s">
        <v>78</v>
      </c>
      <c r="V14" s="16" t="s">
        <v>606</v>
      </c>
      <c r="W14" s="25">
        <f t="shared" si="7"/>
        <v>45148</v>
      </c>
      <c r="X14" s="25" t="str">
        <f t="shared" si="8"/>
        <v>ดูคุณสมบัติอื่น</v>
      </c>
      <c r="Y14" s="28">
        <f t="shared" ca="1" si="0"/>
        <v>1319</v>
      </c>
      <c r="Z14" s="28">
        <f>SUMIF('เทียบ-ตน.'!A:A,B14,'เทียบ-ตน.'!O:O)</f>
        <v>0</v>
      </c>
      <c r="AA14" s="28">
        <f t="shared" si="9"/>
        <v>0</v>
      </c>
      <c r="AB14" s="29" t="str">
        <f t="shared" si="10"/>
        <v>ดูคุณสมบัติอื่น</v>
      </c>
      <c r="AC14" s="30" t="str">
        <f t="shared" si="11"/>
        <v>ดูคุณสมบัติอื่น</v>
      </c>
      <c r="AD14" s="31">
        <f>_xlfn.IFS(AND(OR(K14="M2",K14="M1"),OR(P14&lt;&gt;"M2",P14&lt;&gt;"M1")),G14-L14+SUMIF('นับวันใน-อต-อส'!A:A,B14,'นับวันใน-อต-อส'!H:H),AND(OR(K14&lt;&gt;"M2",K14&lt;&gt;"M1"),OR(P14="M2",P14="M1")),L14-Q14+SUMIF('นับวันใน-อต-อส'!A:A,B14,'นับวันใน-อต-อส'!H:H),TRUE,0)</f>
        <v>2353</v>
      </c>
      <c r="AE14" s="31">
        <f t="shared" si="12"/>
        <v>0</v>
      </c>
      <c r="AF14" s="30" t="str">
        <f t="shared" si="13"/>
        <v>ดูคุณสมบัติอื่น</v>
      </c>
      <c r="AG14" s="30" t="str">
        <f t="shared" si="14"/>
        <v>ดูคุณสมบัติอื่น</v>
      </c>
      <c r="AH14" s="31">
        <f t="shared" si="15"/>
        <v>0</v>
      </c>
      <c r="AI14" s="31">
        <f t="shared" si="16"/>
        <v>0</v>
      </c>
      <c r="AJ14" s="30" t="str">
        <f t="shared" si="17"/>
        <v>ดูคุณสมบัติอื่น</v>
      </c>
      <c r="AK14" s="30" t="str">
        <f t="shared" si="18"/>
        <v>ดูคุณสมบัติอื่น</v>
      </c>
      <c r="AL14" s="30" t="str">
        <f t="shared" si="19"/>
        <v>ดูคุณสมบัติอื่น</v>
      </c>
      <c r="AM14" s="36" t="str">
        <f t="shared" ca="1" si="20"/>
        <v>ดูคุณสมบัติอื่น</v>
      </c>
      <c r="AN14" s="15" t="str">
        <f t="shared" ca="1" si="21"/>
        <v>ดูคุณสมบัติอื่น</v>
      </c>
    </row>
    <row r="15" spans="1:41">
      <c r="A15" s="15"/>
      <c r="B15" s="15"/>
      <c r="C15" s="15"/>
      <c r="D15" s="15"/>
      <c r="E15" s="15"/>
      <c r="F15" s="16" t="s">
        <v>135</v>
      </c>
      <c r="G15" s="17" t="s">
        <v>613</v>
      </c>
      <c r="H15" s="18">
        <f t="shared" ca="1" si="22"/>
        <v>2</v>
      </c>
      <c r="I15" s="18">
        <f t="shared" ca="1" si="23"/>
        <v>10</v>
      </c>
      <c r="J15" s="18">
        <f t="shared" ca="1" si="24"/>
        <v>24</v>
      </c>
      <c r="K15" s="21"/>
      <c r="L15" s="17" t="s">
        <v>614</v>
      </c>
      <c r="M15" s="18">
        <f t="shared" si="1"/>
        <v>3</v>
      </c>
      <c r="N15" s="18">
        <f t="shared" si="2"/>
        <v>0</v>
      </c>
      <c r="O15" s="18">
        <f t="shared" si="3"/>
        <v>0</v>
      </c>
      <c r="P15" s="21"/>
      <c r="Q15" s="17"/>
      <c r="R15" s="18">
        <f t="shared" si="4"/>
        <v>120</v>
      </c>
      <c r="S15" s="18">
        <f t="shared" si="5"/>
        <v>3</v>
      </c>
      <c r="T15" s="18">
        <f t="shared" si="6"/>
        <v>25</v>
      </c>
      <c r="U15" s="15" t="s">
        <v>78</v>
      </c>
      <c r="V15" s="16" t="s">
        <v>606</v>
      </c>
      <c r="W15" s="25">
        <f t="shared" si="7"/>
        <v>45407</v>
      </c>
      <c r="X15" s="25" t="str">
        <f t="shared" si="8"/>
        <v>ดูคุณสมบัติอื่น</v>
      </c>
      <c r="Y15" s="28">
        <f t="shared" ca="1" si="0"/>
        <v>1061</v>
      </c>
      <c r="Z15" s="28">
        <f>SUMIF('เทียบ-ตน.'!A:A,B15,'เทียบ-ตน.'!O:O)</f>
        <v>0</v>
      </c>
      <c r="AA15" s="28">
        <f t="shared" si="9"/>
        <v>0</v>
      </c>
      <c r="AB15" s="29" t="str">
        <f t="shared" si="10"/>
        <v>ดูคุณสมบัติอื่น</v>
      </c>
      <c r="AC15" s="30" t="str">
        <f t="shared" si="11"/>
        <v>ดูคุณสมบัติอื่น</v>
      </c>
      <c r="AD15" s="31">
        <f>_xlfn.IFS(AND(OR(K15="M2",K15="M1"),OR(P15&lt;&gt;"M2",P15&lt;&gt;"M1")),G15-L15+SUMIF('นับวันใน-อต-อส'!A:A,B15,'นับวันใน-อต-อส'!H:H),AND(OR(K15&lt;&gt;"M2",K15&lt;&gt;"M1"),OR(P15="M2",P15="M1")),L15-Q15+SUMIF('นับวันใน-อต-อส'!A:A,B15,'นับวันใน-อต-อส'!H:H),TRUE,0)</f>
        <v>0</v>
      </c>
      <c r="AE15" s="31">
        <f t="shared" si="12"/>
        <v>0</v>
      </c>
      <c r="AF15" s="30" t="str">
        <f t="shared" si="13"/>
        <v>ดูคุณสมบัติอื่น</v>
      </c>
      <c r="AG15" s="30" t="str">
        <f t="shared" si="14"/>
        <v>ดูคุณสมบัติอื่น</v>
      </c>
      <c r="AH15" s="31">
        <f t="shared" si="15"/>
        <v>0</v>
      </c>
      <c r="AI15" s="31">
        <f t="shared" si="16"/>
        <v>0</v>
      </c>
      <c r="AJ15" s="30" t="str">
        <f t="shared" si="17"/>
        <v>ดูคุณสมบัติอื่น</v>
      </c>
      <c r="AK15" s="30" t="str">
        <f t="shared" si="18"/>
        <v>ดูคุณสมบัติอื่น</v>
      </c>
      <c r="AL15" s="30" t="str">
        <f t="shared" si="19"/>
        <v>ดูคุณสมบัติอื่น</v>
      </c>
      <c r="AM15" s="36" t="str">
        <f t="shared" ca="1" si="20"/>
        <v>ดูคุณสมบัติอื่น</v>
      </c>
      <c r="AN15" s="15" t="str">
        <f t="shared" ca="1" si="21"/>
        <v>ดูคุณสมบัติอื่น</v>
      </c>
    </row>
    <row r="16" spans="1:41">
      <c r="A16" s="15"/>
      <c r="B16" s="15"/>
      <c r="C16" s="15"/>
      <c r="D16" s="15"/>
      <c r="E16" s="15"/>
      <c r="F16" s="16"/>
      <c r="G16" s="17"/>
      <c r="H16" s="18">
        <f t="shared" ca="1" si="22"/>
        <v>126</v>
      </c>
      <c r="I16" s="18">
        <f t="shared" ca="1" si="23"/>
        <v>2</v>
      </c>
      <c r="J16" s="18">
        <f t="shared" ca="1" si="24"/>
        <v>21</v>
      </c>
      <c r="K16" s="16"/>
      <c r="L16" s="17"/>
      <c r="M16" s="18">
        <f t="shared" si="1"/>
        <v>0</v>
      </c>
      <c r="N16" s="18">
        <f t="shared" si="2"/>
        <v>0</v>
      </c>
      <c r="O16" s="18">
        <f t="shared" si="3"/>
        <v>0</v>
      </c>
      <c r="P16" s="16"/>
      <c r="Q16" s="17"/>
      <c r="R16" s="18">
        <f t="shared" si="4"/>
        <v>0</v>
      </c>
      <c r="S16" s="18">
        <f t="shared" si="5"/>
        <v>0</v>
      </c>
      <c r="T16" s="18">
        <f t="shared" si="6"/>
        <v>0</v>
      </c>
      <c r="U16" s="15" t="s">
        <v>78</v>
      </c>
      <c r="V16" s="16" t="s">
        <v>606</v>
      </c>
      <c r="W16" s="25" t="str">
        <f t="shared" si="7"/>
        <v>ดูคุณสมบัติอื่น</v>
      </c>
      <c r="X16" s="25" t="str">
        <f t="shared" si="8"/>
        <v>ดูคุณสมบัติอื่น</v>
      </c>
      <c r="Y16" s="28">
        <f t="shared" ca="1" si="0"/>
        <v>46102</v>
      </c>
      <c r="Z16" s="28">
        <f>SUMIF('เทียบ-ตน.'!A:A,B16,'เทียบ-ตน.'!O:O)</f>
        <v>0</v>
      </c>
      <c r="AA16" s="28">
        <f t="shared" si="9"/>
        <v>0</v>
      </c>
      <c r="AB16" s="29" t="str">
        <f t="shared" si="10"/>
        <v>ดูคุณสมบัติอื่น</v>
      </c>
      <c r="AC16" s="30" t="str">
        <f t="shared" si="11"/>
        <v>ดูคุณสมบัติอื่น</v>
      </c>
      <c r="AD16" s="31">
        <f>_xlfn.IFS(AND(OR(K16="M2",K16="M1"),OR(P16&lt;&gt;"M2",P16&lt;&gt;"M1")),G16-L16+SUMIF('นับวันใน-อต-อส'!A:A,B16,'นับวันใน-อต-อส'!H:H),AND(OR(K16&lt;&gt;"M2",K16&lt;&gt;"M1"),OR(P16="M2",P16="M1")),L16-Q16+SUMIF('นับวันใน-อต-อส'!A:A,B16,'นับวันใน-อต-อส'!H:H),TRUE,0)</f>
        <v>0</v>
      </c>
      <c r="AE16" s="31">
        <f t="shared" si="12"/>
        <v>0</v>
      </c>
      <c r="AF16" s="30" t="str">
        <f t="shared" si="13"/>
        <v>ดูคุณสมบัติอื่น</v>
      </c>
      <c r="AG16" s="30" t="str">
        <f t="shared" si="14"/>
        <v>ดูคุณสมบัติอื่น</v>
      </c>
      <c r="AH16" s="31">
        <f t="shared" si="15"/>
        <v>0</v>
      </c>
      <c r="AI16" s="31">
        <f t="shared" si="16"/>
        <v>0</v>
      </c>
      <c r="AJ16" s="30" t="str">
        <f t="shared" si="17"/>
        <v>ดูคุณสมบัติอื่น</v>
      </c>
      <c r="AK16" s="30" t="str">
        <f t="shared" si="18"/>
        <v>ดูคุณสมบัติอื่น</v>
      </c>
      <c r="AL16" s="30" t="str">
        <f t="shared" si="19"/>
        <v>ดูคุณสมบัติอื่น</v>
      </c>
      <c r="AM16" s="36" t="str">
        <f t="shared" ca="1" si="20"/>
        <v>ดูคุณสมบัติอื่น</v>
      </c>
      <c r="AN16" s="15" t="str">
        <f t="shared" ca="1" si="21"/>
        <v>ดูคุณสมบัติอื่น</v>
      </c>
    </row>
    <row r="17" spans="1:40">
      <c r="A17" s="15"/>
      <c r="B17" s="15"/>
      <c r="C17" s="15"/>
      <c r="D17" s="15"/>
      <c r="E17" s="15"/>
      <c r="F17" s="16"/>
      <c r="G17" s="17"/>
      <c r="H17" s="18">
        <f t="shared" ca="1" si="22"/>
        <v>126</v>
      </c>
      <c r="I17" s="18">
        <f t="shared" ca="1" si="23"/>
        <v>2</v>
      </c>
      <c r="J17" s="18">
        <f t="shared" ca="1" si="24"/>
        <v>21</v>
      </c>
      <c r="K17" s="21"/>
      <c r="L17" s="17"/>
      <c r="M17" s="18">
        <f t="shared" si="1"/>
        <v>0</v>
      </c>
      <c r="N17" s="18">
        <f t="shared" si="2"/>
        <v>0</v>
      </c>
      <c r="O17" s="18">
        <f t="shared" si="3"/>
        <v>0</v>
      </c>
      <c r="P17" s="21"/>
      <c r="Q17" s="17"/>
      <c r="R17" s="18">
        <f t="shared" si="4"/>
        <v>0</v>
      </c>
      <c r="S17" s="18">
        <f t="shared" si="5"/>
        <v>0</v>
      </c>
      <c r="T17" s="18">
        <f t="shared" si="6"/>
        <v>0</v>
      </c>
      <c r="U17" s="15" t="s">
        <v>78</v>
      </c>
      <c r="V17" s="16" t="s">
        <v>606</v>
      </c>
      <c r="W17" s="25" t="str">
        <f t="shared" si="7"/>
        <v>ดูคุณสมบัติอื่น</v>
      </c>
      <c r="X17" s="25" t="str">
        <f t="shared" si="8"/>
        <v>ดูคุณสมบัติอื่น</v>
      </c>
      <c r="Y17" s="28">
        <f t="shared" ca="1" si="0"/>
        <v>46102</v>
      </c>
      <c r="Z17" s="28">
        <f>SUMIF('เทียบ-ตน.'!A:A,B17,'เทียบ-ตน.'!O:O)</f>
        <v>0</v>
      </c>
      <c r="AA17" s="28">
        <f t="shared" si="9"/>
        <v>0</v>
      </c>
      <c r="AB17" s="29" t="str">
        <f t="shared" si="10"/>
        <v>ดูคุณสมบัติอื่น</v>
      </c>
      <c r="AC17" s="30" t="str">
        <f t="shared" si="11"/>
        <v>ดูคุณสมบัติอื่น</v>
      </c>
      <c r="AD17" s="31">
        <f>_xlfn.IFS(AND(OR(K17="M2",K17="M1"),OR(P17&lt;&gt;"M2",P17&lt;&gt;"M1")),G17-L17+SUMIF('นับวันใน-อต-อส'!A:A,B17,'นับวันใน-อต-อส'!H:H),AND(OR(K17&lt;&gt;"M2",K17&lt;&gt;"M1"),OR(P17="M2",P17="M1")),L17-Q17+SUMIF('นับวันใน-อต-อส'!A:A,B17,'นับวันใน-อต-อส'!H:H),TRUE,0)</f>
        <v>0</v>
      </c>
      <c r="AE17" s="31">
        <f t="shared" si="12"/>
        <v>0</v>
      </c>
      <c r="AF17" s="30" t="str">
        <f t="shared" si="13"/>
        <v>ดูคุณสมบัติอื่น</v>
      </c>
      <c r="AG17" s="30" t="str">
        <f t="shared" si="14"/>
        <v>ดูคุณสมบัติอื่น</v>
      </c>
      <c r="AH17" s="31">
        <f t="shared" si="15"/>
        <v>0</v>
      </c>
      <c r="AI17" s="31">
        <f t="shared" si="16"/>
        <v>0</v>
      </c>
      <c r="AJ17" s="30" t="str">
        <f t="shared" si="17"/>
        <v>ดูคุณสมบัติอื่น</v>
      </c>
      <c r="AK17" s="30" t="str">
        <f t="shared" si="18"/>
        <v>ดูคุณสมบัติอื่น</v>
      </c>
      <c r="AL17" s="30" t="str">
        <f t="shared" si="19"/>
        <v>ดูคุณสมบัติอื่น</v>
      </c>
      <c r="AM17" s="36" t="str">
        <f t="shared" ca="1" si="20"/>
        <v>ดูคุณสมบัติอื่น</v>
      </c>
      <c r="AN17" s="15" t="str">
        <f t="shared" ca="1" si="21"/>
        <v>ดูคุณสมบัติอื่น</v>
      </c>
    </row>
    <row r="18" spans="1:40">
      <c r="A18" s="15"/>
      <c r="B18" s="15"/>
      <c r="C18" s="15"/>
      <c r="D18" s="15"/>
      <c r="E18" s="15"/>
      <c r="F18" s="16"/>
      <c r="G18" s="17"/>
      <c r="H18" s="18">
        <f t="shared" ca="1" si="22"/>
        <v>126</v>
      </c>
      <c r="I18" s="18">
        <f t="shared" ca="1" si="23"/>
        <v>2</v>
      </c>
      <c r="J18" s="18">
        <f t="shared" ca="1" si="24"/>
        <v>21</v>
      </c>
      <c r="K18" s="16"/>
      <c r="L18" s="17"/>
      <c r="M18" s="18">
        <f t="shared" si="1"/>
        <v>0</v>
      </c>
      <c r="N18" s="18">
        <f t="shared" si="2"/>
        <v>0</v>
      </c>
      <c r="O18" s="18">
        <f t="shared" si="3"/>
        <v>0</v>
      </c>
      <c r="P18" s="16"/>
      <c r="Q18" s="17"/>
      <c r="R18" s="18">
        <f t="shared" si="4"/>
        <v>0</v>
      </c>
      <c r="S18" s="18">
        <f t="shared" si="5"/>
        <v>0</v>
      </c>
      <c r="T18" s="18">
        <f t="shared" si="6"/>
        <v>0</v>
      </c>
      <c r="U18" s="15" t="s">
        <v>78</v>
      </c>
      <c r="V18" s="16" t="s">
        <v>606</v>
      </c>
      <c r="W18" s="25" t="str">
        <f t="shared" si="7"/>
        <v>ดูคุณสมบัติอื่น</v>
      </c>
      <c r="X18" s="25" t="str">
        <f t="shared" si="8"/>
        <v>ดูคุณสมบัติอื่น</v>
      </c>
      <c r="Y18" s="28">
        <f t="shared" ca="1" si="0"/>
        <v>46102</v>
      </c>
      <c r="Z18" s="28">
        <f>SUMIF('เทียบ-ตน.'!A:A,B18,'เทียบ-ตน.'!O:O)</f>
        <v>0</v>
      </c>
      <c r="AA18" s="28">
        <f t="shared" si="9"/>
        <v>0</v>
      </c>
      <c r="AB18" s="29" t="str">
        <f t="shared" si="10"/>
        <v>ดูคุณสมบัติอื่น</v>
      </c>
      <c r="AC18" s="30" t="str">
        <f t="shared" si="11"/>
        <v>ดูคุณสมบัติอื่น</v>
      </c>
      <c r="AD18" s="31">
        <f>_xlfn.IFS(AND(OR(K18="M2",K18="M1"),OR(P18&lt;&gt;"M2",P18&lt;&gt;"M1")),G18-L18+SUMIF('นับวันใน-อต-อส'!A:A,B18,'นับวันใน-อต-อส'!H:H),AND(OR(K18&lt;&gt;"M2",K18&lt;&gt;"M1"),OR(P18="M2",P18="M1")),L18-Q18+SUMIF('นับวันใน-อต-อส'!A:A,B18,'นับวันใน-อต-อส'!H:H),TRUE,0)</f>
        <v>0</v>
      </c>
      <c r="AE18" s="31">
        <f t="shared" si="12"/>
        <v>0</v>
      </c>
      <c r="AF18" s="30" t="str">
        <f t="shared" si="13"/>
        <v>ดูคุณสมบัติอื่น</v>
      </c>
      <c r="AG18" s="30" t="str">
        <f t="shared" si="14"/>
        <v>ดูคุณสมบัติอื่น</v>
      </c>
      <c r="AH18" s="31">
        <f t="shared" si="15"/>
        <v>0</v>
      </c>
      <c r="AI18" s="31">
        <f t="shared" si="16"/>
        <v>0</v>
      </c>
      <c r="AJ18" s="30" t="str">
        <f t="shared" si="17"/>
        <v>ดูคุณสมบัติอื่น</v>
      </c>
      <c r="AK18" s="30" t="str">
        <f t="shared" si="18"/>
        <v>ดูคุณสมบัติอื่น</v>
      </c>
      <c r="AL18" s="30" t="str">
        <f t="shared" si="19"/>
        <v>ดูคุณสมบัติอื่น</v>
      </c>
      <c r="AM18" s="36" t="str">
        <f t="shared" ca="1" si="20"/>
        <v>ดูคุณสมบัติอื่น</v>
      </c>
      <c r="AN18" s="15" t="str">
        <f t="shared" ca="1" si="21"/>
        <v>ดูคุณสมบัติอื่น</v>
      </c>
    </row>
    <row r="19" spans="1:40">
      <c r="A19" s="15"/>
      <c r="B19" s="15"/>
      <c r="C19" s="15"/>
      <c r="D19" s="15"/>
      <c r="E19" s="15"/>
      <c r="F19" s="16"/>
      <c r="G19" s="17"/>
      <c r="H19" s="18">
        <f t="shared" ca="1" si="22"/>
        <v>126</v>
      </c>
      <c r="I19" s="18">
        <f t="shared" ca="1" si="23"/>
        <v>2</v>
      </c>
      <c r="J19" s="18">
        <f t="shared" ca="1" si="24"/>
        <v>21</v>
      </c>
      <c r="K19" s="21"/>
      <c r="L19" s="17"/>
      <c r="M19" s="18">
        <f t="shared" si="1"/>
        <v>0</v>
      </c>
      <c r="N19" s="18">
        <f t="shared" si="2"/>
        <v>0</v>
      </c>
      <c r="O19" s="18">
        <f t="shared" si="3"/>
        <v>0</v>
      </c>
      <c r="P19" s="21"/>
      <c r="Q19" s="17"/>
      <c r="R19" s="18">
        <f t="shared" si="4"/>
        <v>0</v>
      </c>
      <c r="S19" s="18">
        <f t="shared" si="5"/>
        <v>0</v>
      </c>
      <c r="T19" s="18">
        <f t="shared" si="6"/>
        <v>0</v>
      </c>
      <c r="U19" s="15" t="s">
        <v>73</v>
      </c>
      <c r="V19" s="16" t="s">
        <v>606</v>
      </c>
      <c r="W19" s="25" t="str">
        <f t="shared" si="7"/>
        <v>ดูคุณสมบัติอื่น</v>
      </c>
      <c r="X19" s="25" t="str">
        <f t="shared" si="8"/>
        <v>ดูคุณสมบัติอื่น</v>
      </c>
      <c r="Y19" s="28">
        <f t="shared" ca="1" si="0"/>
        <v>46102</v>
      </c>
      <c r="Z19" s="28">
        <f>SUMIF('เทียบ-ตน.'!A:A,B19,'เทียบ-ตน.'!O:O)</f>
        <v>0</v>
      </c>
      <c r="AA19" s="28">
        <f t="shared" si="9"/>
        <v>0</v>
      </c>
      <c r="AB19" s="29" t="str">
        <f t="shared" si="10"/>
        <v>ดูคุณสมบัติอื่น</v>
      </c>
      <c r="AC19" s="30" t="str">
        <f t="shared" si="11"/>
        <v>ดูคุณสมบัติอื่น</v>
      </c>
      <c r="AD19" s="31">
        <f>_xlfn.IFS(AND(OR(K19="M2",K19="M1"),OR(P19&lt;&gt;"M2",P19&lt;&gt;"M1")),G19-L19+SUMIF('นับวันใน-อต-อส'!A:A,B19,'นับวันใน-อต-อส'!H:H),AND(OR(K19&lt;&gt;"M2",K19&lt;&gt;"M1"),OR(P19="M2",P19="M1")),L19-Q19+SUMIF('นับวันใน-อต-อส'!A:A,B19,'นับวันใน-อต-อส'!H:H),TRUE,0)</f>
        <v>0</v>
      </c>
      <c r="AE19" s="31">
        <f t="shared" si="12"/>
        <v>0</v>
      </c>
      <c r="AF19" s="30" t="str">
        <f t="shared" si="13"/>
        <v>ดูคุณสมบัติอื่น</v>
      </c>
      <c r="AG19" s="30" t="str">
        <f t="shared" si="14"/>
        <v>ดูคุณสมบัติอื่น</v>
      </c>
      <c r="AH19" s="31">
        <f t="shared" si="15"/>
        <v>0</v>
      </c>
      <c r="AI19" s="31">
        <f t="shared" si="16"/>
        <v>0</v>
      </c>
      <c r="AJ19" s="30" t="str">
        <f t="shared" si="17"/>
        <v>ดูคุณสมบัติอื่น</v>
      </c>
      <c r="AK19" s="30" t="str">
        <f t="shared" si="18"/>
        <v>ดูคุณสมบัติอื่น</v>
      </c>
      <c r="AL19" s="30" t="str">
        <f t="shared" si="19"/>
        <v>ดูคุณสมบัติอื่น</v>
      </c>
      <c r="AM19" s="36" t="str">
        <f t="shared" ca="1" si="20"/>
        <v>ดูคุณสมบัติอื่น</v>
      </c>
      <c r="AN19" s="15" t="str">
        <f t="shared" ca="1" si="21"/>
        <v>ดูคุณสมบัติอื่น</v>
      </c>
    </row>
    <row r="20" spans="1:40">
      <c r="A20" s="15"/>
      <c r="B20" s="15"/>
      <c r="C20" s="15"/>
      <c r="D20" s="15"/>
      <c r="E20" s="15"/>
      <c r="F20" s="16"/>
      <c r="G20" s="17"/>
      <c r="H20" s="18">
        <f t="shared" ca="1" si="22"/>
        <v>126</v>
      </c>
      <c r="I20" s="18">
        <f t="shared" ca="1" si="23"/>
        <v>2</v>
      </c>
      <c r="J20" s="18">
        <f t="shared" ca="1" si="24"/>
        <v>21</v>
      </c>
      <c r="K20" s="16"/>
      <c r="L20" s="17"/>
      <c r="M20" s="18">
        <f t="shared" si="1"/>
        <v>0</v>
      </c>
      <c r="N20" s="18">
        <f t="shared" si="2"/>
        <v>0</v>
      </c>
      <c r="O20" s="18">
        <f t="shared" si="3"/>
        <v>0</v>
      </c>
      <c r="P20" s="16"/>
      <c r="Q20" s="17"/>
      <c r="R20" s="18">
        <f t="shared" si="4"/>
        <v>0</v>
      </c>
      <c r="S20" s="18">
        <f t="shared" si="5"/>
        <v>0</v>
      </c>
      <c r="T20" s="18">
        <f t="shared" si="6"/>
        <v>0</v>
      </c>
      <c r="U20" s="15" t="s">
        <v>78</v>
      </c>
      <c r="V20" s="16" t="s">
        <v>606</v>
      </c>
      <c r="W20" s="25" t="str">
        <f t="shared" si="7"/>
        <v>ดูคุณสมบัติอื่น</v>
      </c>
      <c r="X20" s="25" t="str">
        <f t="shared" si="8"/>
        <v>ดูคุณสมบัติอื่น</v>
      </c>
      <c r="Y20" s="28">
        <f t="shared" ca="1" si="0"/>
        <v>46102</v>
      </c>
      <c r="Z20" s="28">
        <f>SUMIF('เทียบ-ตน.'!A:A,B20,'เทียบ-ตน.'!O:O)</f>
        <v>0</v>
      </c>
      <c r="AA20" s="28">
        <f t="shared" si="9"/>
        <v>0</v>
      </c>
      <c r="AB20" s="29" t="str">
        <f t="shared" si="10"/>
        <v>ดูคุณสมบัติอื่น</v>
      </c>
      <c r="AC20" s="30" t="str">
        <f t="shared" si="11"/>
        <v>ดูคุณสมบัติอื่น</v>
      </c>
      <c r="AD20" s="31">
        <f>_xlfn.IFS(AND(OR(K20="M2",K20="M1"),OR(P20&lt;&gt;"M2",P20&lt;&gt;"M1")),G20-L20+SUMIF('นับวันใน-อต-อส'!A:A,B20,'นับวันใน-อต-อส'!H:H),AND(OR(K20&lt;&gt;"M2",K20&lt;&gt;"M1"),OR(P20="M2",P20="M1")),L20-Q20+SUMIF('นับวันใน-อต-อส'!A:A,B20,'นับวันใน-อต-อส'!H:H),TRUE,0)</f>
        <v>0</v>
      </c>
      <c r="AE20" s="31">
        <f t="shared" si="12"/>
        <v>0</v>
      </c>
      <c r="AF20" s="30" t="str">
        <f t="shared" si="13"/>
        <v>ดูคุณสมบัติอื่น</v>
      </c>
      <c r="AG20" s="30" t="str">
        <f t="shared" si="14"/>
        <v>ดูคุณสมบัติอื่น</v>
      </c>
      <c r="AH20" s="31">
        <f t="shared" si="15"/>
        <v>0</v>
      </c>
      <c r="AI20" s="31">
        <f t="shared" si="16"/>
        <v>0</v>
      </c>
      <c r="AJ20" s="30" t="str">
        <f t="shared" si="17"/>
        <v>ดูคุณสมบัติอื่น</v>
      </c>
      <c r="AK20" s="30" t="str">
        <f t="shared" si="18"/>
        <v>ดูคุณสมบัติอื่น</v>
      </c>
      <c r="AL20" s="30" t="str">
        <f t="shared" si="19"/>
        <v>ดูคุณสมบัติอื่น</v>
      </c>
      <c r="AM20" s="36" t="str">
        <f t="shared" ca="1" si="20"/>
        <v>ดูคุณสมบัติอื่น</v>
      </c>
      <c r="AN20" s="15" t="str">
        <f t="shared" ca="1" si="21"/>
        <v>ดูคุณสมบัติอื่น</v>
      </c>
    </row>
    <row r="21" spans="1:40">
      <c r="A21" s="15"/>
      <c r="B21" s="15"/>
      <c r="C21" s="15"/>
      <c r="D21" s="15"/>
      <c r="E21" s="15"/>
      <c r="F21" s="16"/>
      <c r="G21" s="17"/>
      <c r="H21" s="17"/>
      <c r="I21" s="17"/>
      <c r="J21" s="17"/>
      <c r="K21" s="22"/>
      <c r="L21" s="17"/>
      <c r="M21" s="17"/>
      <c r="N21" s="17"/>
      <c r="O21" s="17"/>
      <c r="P21" s="22"/>
      <c r="Q21" s="17"/>
      <c r="R21" s="17"/>
      <c r="S21" s="17"/>
      <c r="T21" s="17"/>
      <c r="U21" s="15"/>
      <c r="V21" s="16"/>
      <c r="W21" s="16"/>
      <c r="X21" s="16"/>
      <c r="Y21" s="15"/>
      <c r="Z21" s="15"/>
      <c r="AA21" s="15"/>
      <c r="AB21" s="15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36"/>
      <c r="AN21" s="15"/>
    </row>
    <row r="22" spans="1:40">
      <c r="A22" s="15"/>
      <c r="B22" s="15"/>
      <c r="C22" s="15"/>
      <c r="D22" s="15"/>
      <c r="E22" s="15"/>
      <c r="F22" s="16"/>
      <c r="G22" s="17"/>
      <c r="H22" s="17"/>
      <c r="I22" s="17"/>
      <c r="J22" s="17"/>
      <c r="K22" s="22"/>
      <c r="L22" s="17"/>
      <c r="M22" s="17"/>
      <c r="N22" s="17"/>
      <c r="O22" s="17"/>
      <c r="P22" s="22"/>
      <c r="Q22" s="17"/>
      <c r="R22" s="17"/>
      <c r="S22" s="17"/>
      <c r="T22" s="17"/>
      <c r="U22" s="15"/>
      <c r="V22" s="16"/>
      <c r="W22" s="16"/>
      <c r="X22" s="16"/>
      <c r="Y22" s="15"/>
      <c r="Z22" s="15"/>
      <c r="AA22" s="15"/>
      <c r="AB22" s="15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36"/>
      <c r="AN22" s="15"/>
    </row>
  </sheetData>
  <conditionalFormatting sqref="AN1:AN1048576">
    <cfRule type="containsText" dxfId="3" priority="1" operator="containsText" text="ถึงเกณฑ์นานแล้ว">
      <formula>NOT(ISERROR(SEARCH("ถึงเกณฑ์นานแล้ว",AN1)))</formula>
    </cfRule>
    <cfRule type="containsText" dxfId="2" priority="2" operator="containsText" text="ยังไม่ถึงเกณฑ์">
      <formula>NOT(ISERROR(SEARCH("ยังไม่ถึงเกณฑ์",AN1)))</formula>
    </cfRule>
    <cfRule type="containsText" dxfId="1" priority="3" operator="containsText" text="ใกล้ถึงเกณฑ์">
      <formula>NOT(ISERROR(SEARCH("ใกล้ถึงเกณฑ์",AN1)))</formula>
    </cfRule>
    <cfRule type="containsText" dxfId="0" priority="4" operator="containsText" text="ถึงเกณฑ์">
      <formula>NOT(ISERROR(SEARCH("ถึงเกณฑ์",AN1)))</formula>
    </cfRule>
  </conditionalFormatting>
  <dataValidations count="3">
    <dataValidation type="list" showInputMessage="1" showErrorMessage="1" sqref="AF1:AJ1" xr:uid="{00000000-0002-0000-1C00-000000000000}">
      <formula1>"อต 1 ปี, อต+ชพ / อต+อว, ชช / ชพ / อว"</formula1>
    </dataValidation>
    <dataValidation type="list" showInputMessage="1" showErrorMessage="1" sqref="AL1" xr:uid="{00000000-0002-0000-1C00-000001000000}">
      <formula1>"บส,บต 1 ปี, บต+ทตน, บต+อต/อส+ทตน,ทว+อต/อส+ทตน"</formula1>
    </dataValidation>
    <dataValidation type="list" showInputMessage="1" showErrorMessage="1" sqref="U3:U20" xr:uid="{00000000-0002-0000-1C00-000002000000}">
      <formula1>"ป.ตรี,ป.ตรี 5 ปี,ป.ตรี 6 ปี,ป.โท,ป.เอก"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6</vt:i4>
      </vt:variant>
    </vt:vector>
  </HeadingPairs>
  <TitlesOfParts>
    <vt:vector size="24" baseType="lpstr">
      <vt:lpstr>นับเกื้อกูล</vt:lpstr>
      <vt:lpstr>นับวันใน-ตน.</vt:lpstr>
      <vt:lpstr>นับต่าง</vt:lpstr>
      <vt:lpstr>เทียบ-ตน.</vt:lpstr>
      <vt:lpstr>นับวันใน-อต-อส</vt:lpstr>
      <vt:lpstr>to-K2</vt:lpstr>
      <vt:lpstr>to-K3</vt:lpstr>
      <vt:lpstr>K4-K5-LAW</vt:lpstr>
      <vt:lpstr>K4-K5-POLICY</vt:lpstr>
      <vt:lpstr>M2+K4-K5-LAW</vt:lpstr>
      <vt:lpstr>M2+K4-K5-POLICY</vt:lpstr>
      <vt:lpstr>S1-K5-POLICY</vt:lpstr>
      <vt:lpstr>S1-K5-LAW</vt:lpstr>
      <vt:lpstr>to-K5</vt:lpstr>
      <vt:lpstr>to-M1</vt:lpstr>
      <vt:lpstr>to-M2</vt:lpstr>
      <vt:lpstr>to-S1</vt:lpstr>
      <vt:lpstr>to-S2</vt:lpstr>
      <vt:lpstr>'M2+K4-K5-LAW'!Print_Area</vt:lpstr>
      <vt:lpstr>'M2+K4-K5-POLICY'!Print_Area</vt:lpstr>
      <vt:lpstr>'S1-K5-LAW'!Print_Area</vt:lpstr>
      <vt:lpstr>'S1-K5-POLICY'!Print_Area</vt:lpstr>
      <vt:lpstr>'M2+K4-K5-LAW'!Print_Titles</vt:lpstr>
      <vt:lpstr>'M2+K4-K5-POLICY'!Print_Titles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TOPP</dc:creator>
  <cp:lastModifiedBy>Arnutt Topp</cp:lastModifiedBy>
  <dcterms:created xsi:type="dcterms:W3CDTF">2023-08-24T12:54:00Z</dcterms:created>
  <dcterms:modified xsi:type="dcterms:W3CDTF">2026-03-21T15:38:11Z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1033-11.2.0.10330</vt:lpwstr>
  </property>
  <property fmtid="{D5CDD505-2E9C-101B-9397-08002B2CF9AE}" pid="3" name="ICV">
    <vt:lpwstr>B9C9976E83BF47F7AA2C0FCFECF94FB9</vt:lpwstr>
  </property>
</Properties>
</file>