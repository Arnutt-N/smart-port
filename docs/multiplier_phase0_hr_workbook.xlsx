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ำชี้แจง" sheetId="1" state="visible" r:id="rId1"/>
    <sheet xmlns:r="http://schemas.openxmlformats.org/officeDocument/2006/relationships" name="1-พื้นที่ทวีคูณ" sheetId="2" state="visible" r:id="rId2"/>
    <sheet xmlns:r="http://schemas.openxmlformats.org/officeDocument/2006/relationships" name="2-ตัวอย่างจริง UAT" sheetId="3" state="visible" r:id="rId3"/>
    <sheet xmlns:r="http://schemas.openxmlformats.org/officeDocument/2006/relationships" name="เครื่องช่วยตรวจคำนว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9">
    <font>
      <name val="Calibri"/>
      <family val="2"/>
      <color theme="1"/>
      <sz val="11"/>
      <scheme val="minor"/>
    </font>
    <font>
      <name val="TH Sarabun New"/>
      <b val="1"/>
      <color rgb="001F4E79"/>
      <sz val="18"/>
    </font>
    <font>
      <name val="TH Sarabun New"/>
      <sz val="12"/>
    </font>
    <font>
      <name val="TH Sarabun New"/>
      <b val="1"/>
      <color rgb="00C00000"/>
      <sz val="13"/>
    </font>
    <font>
      <name val="TH Sarabun New"/>
      <b val="1"/>
      <color rgb="001F4E79"/>
      <sz val="14"/>
    </font>
    <font>
      <name val="TH Sarabun New"/>
      <b val="1"/>
      <color rgb="00FFFFFF"/>
      <sz val="13"/>
    </font>
    <font>
      <name val="Consolas"/>
      <color rgb="00808080"/>
      <sz val="8"/>
    </font>
    <font>
      <name val="TH Sarabun New"/>
      <b val="1"/>
      <sz val="12"/>
    </font>
    <font>
      <name val="TH Sarabun New"/>
      <color rgb="000000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vertical="top" wrapText="1"/>
    </xf>
    <xf numFmtId="49" fontId="2" fillId="4" borderId="1" applyAlignment="1" pivotButton="0" quotePrefix="0" xfId="0">
      <alignment vertical="top" wrapText="1"/>
    </xf>
    <xf numFmtId="49" fontId="2" fillId="5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164" fontId="8" fillId="4" borderId="1" pivotButton="0" quotePrefix="0" xfId="0"/>
    <xf numFmtId="0" fontId="8" fillId="4" borderId="1" pivotButton="0" quotePrefix="0" xfId="0"/>
    <xf numFmtId="1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แบบยืนยันข้อมูล Phase 0 — การนับเวลาราชการเป็นทวีคูณ (Smart Port)</t>
        </is>
      </c>
    </row>
    <row r="2">
      <c r="B2" s="2" t="inlineStr"/>
    </row>
    <row r="3">
      <c r="B3" s="3" t="inlineStr">
        <is>
          <t>สำคัญที่สุด: กรอกปีเป็น ค.ศ. รูปแบบ YYYY-MM-DD เท่านั้น เช่น 26 ม.ค. 2547 ให้กรอก 2004-01-26 (ห้ามกรอก พ.ศ.)</t>
        </is>
      </c>
    </row>
    <row r="4">
      <c r="B4" s="2" t="inlineStr"/>
    </row>
    <row r="5">
      <c r="B5" s="4" t="inlineStr">
        <is>
          <t>สิ่งที่ขอให้ HR/เจ้าของข้อมูลยืนยัน (3 ชุด)</t>
        </is>
      </c>
    </row>
    <row r="6">
      <c r="B6" s="2" t="inlineStr">
        <is>
          <t>1. Master data พื้นที่/ช่วงเวลา — กรอกใน sheet «1-พื้นที่ทวีคูณ»: จังหวัด, อำเภอ (ถ้าไม่ใช่ทั้งจังหวัด), ฐานประกาศ, วันเริ่ม/สิ้นสุดที่มีสิทธินับทวีคูณ, อัตรา (MVP = 200%), พร้อมเอกสารอ้างอิงทุกแถว</t>
        </is>
      </c>
    </row>
    <row r="7">
      <c r="B7" s="2" t="inlineStr">
        <is>
          <t>2. เอกสารอ้างอิง — ระบุ มติ ครม. / ราชกิจจานุเบกษา / หนังสือเวียน ก.พ. / ประกาศจังหวัด / ไฟล์ Excel ภายในที่ใช้จริง ลงในคอลัมน์ «เอกสารอ้างอิงทางกฎหมาย» และ «แหล่งที่มา» ของทุกแถว</t>
        </is>
      </c>
    </row>
    <row r="8">
      <c r="B8" s="2" t="inlineStr">
        <is>
          <t>3. ตัวอย่างจริงจาก Excel เดิม — กรอกใน sheet «2-ตัวอย่างจริง UAT» อย่างน้อย 10 รายการ ต้องมีตัวอย่างที่วันปฏิบัติงาน «คร่อมวันเริ่มประกาศ» และ «คร่อมวันสิ้นสุดประกาศ» พร้อมผลลัพธ์จาก Excel เดิมครบทุกช่อง</t>
        </is>
      </c>
    </row>
    <row r="9">
      <c r="B9" s="2" t="inlineStr"/>
    </row>
    <row r="10">
      <c r="B10" s="4" t="inlineStr">
        <is>
          <t>วิธีกรอก</t>
        </is>
      </c>
    </row>
    <row r="11">
      <c r="B11" s="2" t="inlineStr">
        <is>
          <t>• ช่องสีเหลือง = ช่องที่ต้องกรอก/ยืนยัน   • แถวสีเขียว = ตัวอย่างที่ระบบเตรียมไว้ (ตรวจแก้ได้)</t>
        </is>
      </c>
    </row>
    <row r="12">
      <c r="B12" s="2" t="inlineStr">
        <is>
          <t>• คอลัมน์ «อำเภอ» เว้นว่าง = มีผลทั้งจังหวัด   • คอลัมน์ «วันสิ้นสุด» เว้นว่าง = ประกาศยังมีผลอยู่</t>
        </is>
      </c>
    </row>
    <row r="13">
      <c r="B13" s="2" t="inlineStr">
        <is>
          <t>• พื้นที่เดียวมีหลายช่วงเวลา/หลายประกาศ ให้แยกคนละแถว</t>
        </is>
      </c>
    </row>
    <row r="14">
      <c r="B14" s="2" t="inlineStr"/>
    </row>
    <row r="15">
      <c r="B15" s="4" t="inlineStr">
        <is>
          <t>จุดที่ต้องยืนยันเป็นพิเศษ</t>
        </is>
      </c>
    </row>
    <row r="16">
      <c r="B16" s="2" t="inlineStr">
        <is>
          <t>• สตูล — มีสิทธิเฉพาะ 4 อำเภอ (ห้ามทั้งจังหวัด) กรุณาระบุชื่ออำเภอทั้ง 4 พร้อมเอกสารอ้างอิง</t>
        </is>
      </c>
    </row>
    <row r="17">
      <c r="B17" s="2" t="inlineStr">
        <is>
          <t>• สงขลา — ยืนยันรายชื่ออำเภอที่มีสิทธิจริง (แถวตัวอย่าง: เทพา สะบ้าย้อย นาทวี จะนะ)</t>
        </is>
      </c>
    </row>
    <row r="18">
      <c r="B18" s="2" t="inlineStr">
        <is>
          <t>• ช่วงแรก — ยืนยันช่วง 2004-01-26 ถึง 2004-09-30 พร้อมเอกสารว่ามาจากประกาศ/มติใด</t>
        </is>
      </c>
    </row>
    <row r="19">
      <c r="B19" s="2" t="inlineStr">
        <is>
          <t>• ช่วงหลังปี 2548 (พ.ร.ก.ฉุกเฉิน) — ระบุวันเริ่ม/สิ้นสุดและพื้นที่ที่ครอบคลุม ถ้า Excel เดิมใช้</t>
        </is>
      </c>
    </row>
    <row r="20">
      <c r="B20" s="2" t="inlineStr">
        <is>
          <t>• ยืนยันว่า Excel เดิมนับวันแบบรวมปลายทั้งสองข้าง (inclusive) และใช้ 1 ปี = 360 วัน, 1 เดือน = 30 วัน</t>
        </is>
      </c>
    </row>
    <row r="21">
      <c r="B21" s="2" t="inlineStr"/>
    </row>
    <row r="22">
      <c r="B22" s="4" t="inlineStr">
        <is>
          <t>เครื่องช่วยตรวจ</t>
        </is>
      </c>
    </row>
    <row r="23">
      <c r="B23" s="2" t="inlineStr">
        <is>
          <t>sheet «เครื่องช่วยตรวจคำนวณ» ใส่วันที่และอัตราแล้วดูผลคำนวณของระบบ เพื่อเทียบกับ Excel เดิมก่อนส่งกลับ</t>
        </is>
      </c>
    </row>
    <row r="24">
      <c r="B24" s="2" t="inlineStr"/>
    </row>
    <row r="25">
      <c r="B25" s="4" t="inlineStr">
        <is>
          <t>เกณฑ์ผ่าน Phase 0</t>
        </is>
      </c>
    </row>
    <row r="26">
      <c r="B26" s="2" t="inlineStr">
        <is>
          <t>ทุกแถวมีเอกสารอ้างอิงครบ + ไม่มีแถวสตูลแบบทั้งจังหวัด + ไม่มีช่วงเวลาซ้อนกันในพื้นที่เดียวกัน + UAT ครบ 10 รายการพร้อมผู้ยืนยัน</t>
        </is>
      </c>
    </row>
    <row r="27">
      <c r="B27" s="2" t="inlineStr"/>
    </row>
    <row r="28">
      <c r="B28" s="2" t="inlineStr">
        <is>
          <t>อ้างอิง: docs/multiplier_phase0_validation_pack.md · GitHub issue #18 · เมื่อกรอกเสร็จส่งไฟล์นี้กลับให้ทีมพัฒนา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11" customWidth="1" min="4" max="4"/>
    <col width="20" customWidth="1" min="5" max="5"/>
    <col width="10" customWidth="1" min="6" max="6"/>
    <col width="10" customWidth="1" min="7" max="7"/>
    <col width="10" customWidth="1" min="8" max="8"/>
    <col width="34" customWidth="1" min="9" max="9"/>
    <col width="26" customWidth="1" min="10" max="10"/>
    <col width="14" customWidth="1" min="11" max="11"/>
    <col width="12" customWidth="1" min="12" max="12"/>
    <col width="30" customWidth="1" min="13" max="13"/>
  </cols>
  <sheetData>
    <row r="1" ht="45" customHeight="1">
      <c r="A1" s="5" t="inlineStr">
        <is>
          <t>รหัสแถว</t>
        </is>
      </c>
      <c r="B1" s="5" t="inlineStr">
        <is>
          <t>จังหวัด</t>
        </is>
      </c>
      <c r="C1" s="5" t="inlineStr">
        <is>
          <t>อำเภอ
(ว่าง = ทั้งจังหวัด)</t>
        </is>
      </c>
      <c r="D1" s="5" t="inlineStr">
        <is>
          <t>ทั้งจังหวัด?</t>
        </is>
      </c>
      <c r="E1" s="5" t="inlineStr">
        <is>
          <t>ฐานประกาศ</t>
        </is>
      </c>
      <c r="F1" s="5" t="inlineStr">
        <is>
          <t>อัตรา (%)</t>
        </is>
      </c>
      <c r="G1" s="5" t="inlineStr">
        <is>
          <t>วันเริ่มมีผล
(ค.ศ. YYYY-MM-DD)</t>
        </is>
      </c>
      <c r="H1" s="5" t="inlineStr">
        <is>
          <t>วันสิ้นสุด
(ว่าง = ยังมีผล)</t>
        </is>
      </c>
      <c r="I1" s="5" t="inlineStr">
        <is>
          <t>เอกสารอ้างอิงทางกฎหมาย
(มติ ครม./ราชกิจจาฯ/หนังสือเวียน)</t>
        </is>
      </c>
      <c r="J1" s="5" t="inlineStr">
        <is>
          <t>แหล่งที่มา
(ไฟล์/หน้า/ลิงก์)</t>
        </is>
      </c>
      <c r="K1" s="5" t="inlineStr">
        <is>
          <t>ผู้ยืนยัน</t>
        </is>
      </c>
      <c r="L1" s="5" t="inlineStr">
        <is>
          <t>วันที่ยืนยัน</t>
        </is>
      </c>
      <c r="M1" s="5" t="inlineStr">
        <is>
          <t>หมายเหตุ</t>
        </is>
      </c>
    </row>
    <row r="2">
      <c r="A2" s="6" t="inlineStr">
        <is>
          <t>row_id</t>
        </is>
      </c>
      <c r="B2" s="6" t="inlineStr">
        <is>
          <t>province</t>
        </is>
      </c>
      <c r="C2" s="6" t="inlineStr">
        <is>
          <t>district</t>
        </is>
      </c>
      <c r="D2" s="6" t="inlineStr">
        <is>
          <t>whole_province</t>
        </is>
      </c>
      <c r="E2" s="6" t="inlineStr">
        <is>
          <t>basis_type</t>
        </is>
      </c>
      <c r="F2" s="6" t="inlineStr">
        <is>
          <t>multiplier_ratio</t>
        </is>
      </c>
      <c r="G2" s="6" t="inlineStr">
        <is>
          <t>effective_start_date</t>
        </is>
      </c>
      <c r="H2" s="6" t="inlineStr">
        <is>
          <t>effective_end_date</t>
        </is>
      </c>
      <c r="I2" s="6" t="inlineStr">
        <is>
          <t>legal_reference</t>
        </is>
      </c>
      <c r="J2" s="6" t="inlineStr">
        <is>
          <t>source_reference</t>
        </is>
      </c>
      <c r="K2" s="6" t="inlineStr">
        <is>
          <t>verified_by</t>
        </is>
      </c>
      <c r="L2" s="6" t="inlineStr">
        <is>
          <t>verified_date</t>
        </is>
      </c>
      <c r="M2" s="6" t="inlineStr">
        <is>
          <t>notes</t>
        </is>
      </c>
    </row>
    <row r="3">
      <c r="A3" s="7" t="inlineStr">
        <is>
          <t>M-001</t>
        </is>
      </c>
      <c r="B3" s="7" t="inlineStr">
        <is>
          <t>ยะลา</t>
        </is>
      </c>
      <c r="C3" s="7" t="inlineStr"/>
      <c r="D3" s="7" t="inlineStr">
        <is>
          <t>yes</t>
        </is>
      </c>
      <c r="E3" s="7" t="inlineStr">
        <is>
          <t>MARTIAL_LAW</t>
        </is>
      </c>
      <c r="F3" s="7" t="n">
        <v>200</v>
      </c>
      <c r="G3" s="7" t="inlineStr">
        <is>
          <t>2004-01-26</t>
        </is>
      </c>
      <c r="H3" s="7" t="inlineStr">
        <is>
          <t>2004-09-30</t>
        </is>
      </c>
      <c r="I3" s="8" t="n"/>
      <c r="J3" s="8" t="n"/>
      <c r="K3" s="8" t="n"/>
      <c r="L3" s="8" t="n"/>
      <c r="M3" s="7" t="inlineStr">
        <is>
          <t>ยืนยันว่าครอบคลุมทั้งจังหวัด</t>
        </is>
      </c>
    </row>
    <row r="4">
      <c r="A4" s="7" t="inlineStr">
        <is>
          <t>M-002</t>
        </is>
      </c>
      <c r="B4" s="7" t="inlineStr">
        <is>
          <t>ปัตตานี</t>
        </is>
      </c>
      <c r="C4" s="7" t="inlineStr"/>
      <c r="D4" s="7" t="inlineStr">
        <is>
          <t>yes</t>
        </is>
      </c>
      <c r="E4" s="7" t="inlineStr">
        <is>
          <t>MARTIAL_LAW</t>
        </is>
      </c>
      <c r="F4" s="7" t="n">
        <v>200</v>
      </c>
      <c r="G4" s="7" t="inlineStr">
        <is>
          <t>2004-01-26</t>
        </is>
      </c>
      <c r="H4" s="7" t="inlineStr">
        <is>
          <t>2004-09-30</t>
        </is>
      </c>
      <c r="I4" s="8" t="n"/>
      <c r="J4" s="8" t="n"/>
      <c r="K4" s="8" t="n"/>
      <c r="L4" s="8" t="n"/>
      <c r="M4" s="7" t="inlineStr">
        <is>
          <t>ยืนยันว่าครอบคลุมทั้งจังหวัด</t>
        </is>
      </c>
    </row>
    <row r="5">
      <c r="A5" s="7" t="inlineStr">
        <is>
          <t>M-003</t>
        </is>
      </c>
      <c r="B5" s="7" t="inlineStr">
        <is>
          <t>นราธิวาส</t>
        </is>
      </c>
      <c r="C5" s="7" t="inlineStr"/>
      <c r="D5" s="7" t="inlineStr">
        <is>
          <t>yes</t>
        </is>
      </c>
      <c r="E5" s="7" t="inlineStr">
        <is>
          <t>MARTIAL_LAW</t>
        </is>
      </c>
      <c r="F5" s="7" t="n">
        <v>200</v>
      </c>
      <c r="G5" s="7" t="inlineStr">
        <is>
          <t>2004-01-26</t>
        </is>
      </c>
      <c r="H5" s="7" t="inlineStr">
        <is>
          <t>2004-09-30</t>
        </is>
      </c>
      <c r="I5" s="8" t="n"/>
      <c r="J5" s="8" t="n"/>
      <c r="K5" s="8" t="n"/>
      <c r="L5" s="8" t="n"/>
      <c r="M5" s="7" t="inlineStr">
        <is>
          <t>ยืนยันว่าครอบคลุมทั้งจังหวัด</t>
        </is>
      </c>
    </row>
    <row r="6">
      <c r="A6" s="7" t="inlineStr">
        <is>
          <t>M-004</t>
        </is>
      </c>
      <c r="B6" s="7" t="inlineStr">
        <is>
          <t>สงขลา</t>
        </is>
      </c>
      <c r="C6" s="7" t="inlineStr">
        <is>
          <t>เทพา</t>
        </is>
      </c>
      <c r="D6" s="7" t="inlineStr">
        <is>
          <t>no</t>
        </is>
      </c>
      <c r="E6" s="7" t="inlineStr">
        <is>
          <t>MARTIAL_LAW</t>
        </is>
      </c>
      <c r="F6" s="7" t="n">
        <v>200</v>
      </c>
      <c r="G6" s="7" t="inlineStr">
        <is>
          <t>2004-01-26</t>
        </is>
      </c>
      <c r="H6" s="7" t="inlineStr">
        <is>
          <t>2004-09-30</t>
        </is>
      </c>
      <c r="I6" s="8" t="n"/>
      <c r="J6" s="8" t="n"/>
      <c r="K6" s="8" t="n"/>
      <c r="L6" s="8" t="n"/>
      <c r="M6" s="7" t="inlineStr">
        <is>
          <t>ยืนยันสิทธิ์รายอำเภอ</t>
        </is>
      </c>
    </row>
    <row r="7">
      <c r="A7" s="7" t="inlineStr">
        <is>
          <t>M-005</t>
        </is>
      </c>
      <c r="B7" s="7" t="inlineStr">
        <is>
          <t>สงขลา</t>
        </is>
      </c>
      <c r="C7" s="7" t="inlineStr">
        <is>
          <t>สะบ้าย้อย</t>
        </is>
      </c>
      <c r="D7" s="7" t="inlineStr">
        <is>
          <t>no</t>
        </is>
      </c>
      <c r="E7" s="7" t="inlineStr">
        <is>
          <t>MARTIAL_LAW</t>
        </is>
      </c>
      <c r="F7" s="7" t="n">
        <v>200</v>
      </c>
      <c r="G7" s="7" t="inlineStr">
        <is>
          <t>2004-01-26</t>
        </is>
      </c>
      <c r="H7" s="7" t="inlineStr">
        <is>
          <t>2004-09-30</t>
        </is>
      </c>
      <c r="I7" s="8" t="n"/>
      <c r="J7" s="8" t="n"/>
      <c r="K7" s="8" t="n"/>
      <c r="L7" s="8" t="n"/>
      <c r="M7" s="7" t="inlineStr">
        <is>
          <t>ยืนยันสิทธิ์รายอำเภอ</t>
        </is>
      </c>
    </row>
    <row r="8">
      <c r="A8" s="7" t="inlineStr">
        <is>
          <t>M-006</t>
        </is>
      </c>
      <c r="B8" s="7" t="inlineStr">
        <is>
          <t>สงขลา</t>
        </is>
      </c>
      <c r="C8" s="7" t="inlineStr">
        <is>
          <t>นาทวี</t>
        </is>
      </c>
      <c r="D8" s="7" t="inlineStr">
        <is>
          <t>no</t>
        </is>
      </c>
      <c r="E8" s="7" t="inlineStr">
        <is>
          <t>MARTIAL_LAW</t>
        </is>
      </c>
      <c r="F8" s="7" t="n">
        <v>200</v>
      </c>
      <c r="G8" s="7" t="inlineStr">
        <is>
          <t>2004-01-26</t>
        </is>
      </c>
      <c r="H8" s="7" t="inlineStr">
        <is>
          <t>2004-09-30</t>
        </is>
      </c>
      <c r="I8" s="8" t="n"/>
      <c r="J8" s="8" t="n"/>
      <c r="K8" s="8" t="n"/>
      <c r="L8" s="8" t="n"/>
      <c r="M8" s="7" t="inlineStr">
        <is>
          <t>ยืนยันสิทธิ์รายอำเภอ</t>
        </is>
      </c>
    </row>
    <row r="9">
      <c r="A9" s="7" t="inlineStr">
        <is>
          <t>M-007</t>
        </is>
      </c>
      <c r="B9" s="7" t="inlineStr">
        <is>
          <t>สงขลา</t>
        </is>
      </c>
      <c r="C9" s="7" t="inlineStr">
        <is>
          <t>จะนะ</t>
        </is>
      </c>
      <c r="D9" s="7" t="inlineStr">
        <is>
          <t>no</t>
        </is>
      </c>
      <c r="E9" s="7" t="inlineStr">
        <is>
          <t>MARTIAL_LAW</t>
        </is>
      </c>
      <c r="F9" s="7" t="n">
        <v>200</v>
      </c>
      <c r="G9" s="7" t="inlineStr">
        <is>
          <t>2004-01-26</t>
        </is>
      </c>
      <c r="H9" s="7" t="inlineStr">
        <is>
          <t>2004-09-30</t>
        </is>
      </c>
      <c r="I9" s="8" t="n"/>
      <c r="J9" s="8" t="n"/>
      <c r="K9" s="8" t="n"/>
      <c r="L9" s="8" t="n"/>
      <c r="M9" s="7" t="inlineStr">
        <is>
          <t>ยืนยันสิทธิ์รายอำเภอ</t>
        </is>
      </c>
    </row>
    <row r="10">
      <c r="A10" s="7" t="inlineStr">
        <is>
          <t>M-008</t>
        </is>
      </c>
      <c r="B10" s="7" t="inlineStr">
        <is>
          <t>สตูล</t>
        </is>
      </c>
      <c r="C10" s="8" t="n"/>
      <c r="D10" s="7" t="inlineStr">
        <is>
          <t>no</t>
        </is>
      </c>
      <c r="E10" s="7" t="inlineStr">
        <is>
          <t>MARTIAL_LAW</t>
        </is>
      </c>
      <c r="F10" s="7" t="n">
        <v>200</v>
      </c>
      <c r="G10" s="7" t="inlineStr">
        <is>
          <t>2004-01-26</t>
        </is>
      </c>
      <c r="H10" s="7" t="inlineStr">
        <is>
          <t>2004-09-30</t>
        </is>
      </c>
      <c r="I10" s="8" t="n"/>
      <c r="J10" s="8" t="n"/>
      <c r="K10" s="8" t="n"/>
      <c r="L10" s="8" t="n"/>
      <c r="M10" s="7" t="inlineStr">
        <is>
          <t>ระบุชื่ออำเภอที่ 1 จาก 4 อำเภอที่มีสิทธิ</t>
        </is>
      </c>
    </row>
    <row r="11">
      <c r="A11" s="7" t="inlineStr">
        <is>
          <t>M-009</t>
        </is>
      </c>
      <c r="B11" s="7" t="inlineStr">
        <is>
          <t>สตูล</t>
        </is>
      </c>
      <c r="C11" s="8" t="n"/>
      <c r="D11" s="7" t="inlineStr">
        <is>
          <t>no</t>
        </is>
      </c>
      <c r="E11" s="7" t="inlineStr">
        <is>
          <t>MARTIAL_LAW</t>
        </is>
      </c>
      <c r="F11" s="7" t="n">
        <v>200</v>
      </c>
      <c r="G11" s="7" t="inlineStr">
        <is>
          <t>2004-01-26</t>
        </is>
      </c>
      <c r="H11" s="7" t="inlineStr">
        <is>
          <t>2004-09-30</t>
        </is>
      </c>
      <c r="I11" s="8" t="n"/>
      <c r="J11" s="8" t="n"/>
      <c r="K11" s="8" t="n"/>
      <c r="L11" s="8" t="n"/>
      <c r="M11" s="7" t="inlineStr">
        <is>
          <t>ระบุชื่ออำเภอที่ 2</t>
        </is>
      </c>
    </row>
    <row r="12">
      <c r="A12" s="7" t="inlineStr">
        <is>
          <t>M-010</t>
        </is>
      </c>
      <c r="B12" s="7" t="inlineStr">
        <is>
          <t>สตูล</t>
        </is>
      </c>
      <c r="C12" s="8" t="n"/>
      <c r="D12" s="7" t="inlineStr">
        <is>
          <t>no</t>
        </is>
      </c>
      <c r="E12" s="7" t="inlineStr">
        <is>
          <t>MARTIAL_LAW</t>
        </is>
      </c>
      <c r="F12" s="7" t="n">
        <v>200</v>
      </c>
      <c r="G12" s="7" t="inlineStr">
        <is>
          <t>2004-01-26</t>
        </is>
      </c>
      <c r="H12" s="7" t="inlineStr">
        <is>
          <t>2004-09-30</t>
        </is>
      </c>
      <c r="I12" s="8" t="n"/>
      <c r="J12" s="8" t="n"/>
      <c r="K12" s="8" t="n"/>
      <c r="L12" s="8" t="n"/>
      <c r="M12" s="7" t="inlineStr">
        <is>
          <t>ระบุชื่ออำเภอที่ 3</t>
        </is>
      </c>
    </row>
    <row r="13">
      <c r="A13" s="7" t="inlineStr">
        <is>
          <t>M-011</t>
        </is>
      </c>
      <c r="B13" s="7" t="inlineStr">
        <is>
          <t>สตูล</t>
        </is>
      </c>
      <c r="C13" s="8" t="n"/>
      <c r="D13" s="7" t="inlineStr">
        <is>
          <t>no</t>
        </is>
      </c>
      <c r="E13" s="7" t="inlineStr">
        <is>
          <t>MARTIAL_LAW</t>
        </is>
      </c>
      <c r="F13" s="7" t="n">
        <v>200</v>
      </c>
      <c r="G13" s="7" t="inlineStr">
        <is>
          <t>2004-01-26</t>
        </is>
      </c>
      <c r="H13" s="7" t="inlineStr">
        <is>
          <t>2004-09-30</t>
        </is>
      </c>
      <c r="I13" s="8" t="n"/>
      <c r="J13" s="8" t="n"/>
      <c r="K13" s="8" t="n"/>
      <c r="L13" s="8" t="n"/>
      <c r="M13" s="7" t="inlineStr">
        <is>
          <t>ระบุชื่ออำเภอที่ 4</t>
        </is>
      </c>
    </row>
    <row r="14">
      <c r="A14" s="7" t="inlineStr">
        <is>
          <t>E-001</t>
        </is>
      </c>
      <c r="B14" s="7" t="inlineStr">
        <is>
          <t>ยะลา</t>
        </is>
      </c>
      <c r="C14" s="7" t="inlineStr"/>
      <c r="D14" s="7" t="inlineStr">
        <is>
          <t>yes</t>
        </is>
      </c>
      <c r="E14" s="7" t="inlineStr">
        <is>
          <t>EMERGENCY_DECREE</t>
        </is>
      </c>
      <c r="F14" s="7" t="n">
        <v>200</v>
      </c>
      <c r="G14" s="8" t="n"/>
      <c r="H14" s="8" t="n"/>
      <c r="I14" s="8" t="n"/>
      <c r="J14" s="8" t="n"/>
      <c r="K14" s="8" t="n"/>
      <c r="L14" s="8" t="n"/>
      <c r="M14" s="7" t="inlineStr">
        <is>
          <t>ช่วง พ.ร.ก.ฉุกเฉิน หลังปี 2548</t>
        </is>
      </c>
    </row>
    <row r="15">
      <c r="A15" s="7" t="inlineStr">
        <is>
          <t>E-002</t>
        </is>
      </c>
      <c r="B15" s="7" t="inlineStr">
        <is>
          <t>ปัตตานี</t>
        </is>
      </c>
      <c r="C15" s="7" t="inlineStr"/>
      <c r="D15" s="7" t="inlineStr">
        <is>
          <t>yes</t>
        </is>
      </c>
      <c r="E15" s="7" t="inlineStr">
        <is>
          <t>EMERGENCY_DECREE</t>
        </is>
      </c>
      <c r="F15" s="7" t="n">
        <v>200</v>
      </c>
      <c r="G15" s="8" t="n"/>
      <c r="H15" s="8" t="n"/>
      <c r="I15" s="8" t="n"/>
      <c r="J15" s="8" t="n"/>
      <c r="K15" s="8" t="n"/>
      <c r="L15" s="8" t="n"/>
      <c r="M15" s="7" t="inlineStr">
        <is>
          <t>ช่วง พ.ร.ก.ฉุกเฉิน หลังปี 2548</t>
        </is>
      </c>
    </row>
    <row r="16">
      <c r="A16" s="7" t="inlineStr">
        <is>
          <t>E-003</t>
        </is>
      </c>
      <c r="B16" s="7" t="inlineStr">
        <is>
          <t>นราธิวาส</t>
        </is>
      </c>
      <c r="C16" s="7" t="inlineStr"/>
      <c r="D16" s="7" t="inlineStr">
        <is>
          <t>yes</t>
        </is>
      </c>
      <c r="E16" s="7" t="inlineStr">
        <is>
          <t>EMERGENCY_DECREE</t>
        </is>
      </c>
      <c r="F16" s="7" t="n">
        <v>200</v>
      </c>
      <c r="G16" s="8" t="n"/>
      <c r="H16" s="8" t="n"/>
      <c r="I16" s="8" t="n"/>
      <c r="J16" s="8" t="n"/>
      <c r="K16" s="8" t="n"/>
      <c r="L16" s="8" t="n"/>
      <c r="M16" s="7" t="inlineStr">
        <is>
          <t>ช่วง พ.ร.ก.ฉุกเฉิน หลังปี 2548</t>
        </is>
      </c>
    </row>
  </sheetData>
  <dataValidations count="2">
    <dataValidation sqref="D3:D40" showDropDown="0" showInputMessage="0" showErrorMessage="0" allowBlank="1" type="list">
      <formula1>"yes,no"</formula1>
    </dataValidation>
    <dataValidation sqref="E3:E40" showDropDown="0" showInputMessage="0" showErrorMessage="0" allowBlank="1" type="list">
      <formula1>"MARTIAL_LAW,EMERGENCY_DECREE"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6" customWidth="1" min="13" max="13"/>
    <col width="6" customWidth="1" min="14" max="14"/>
    <col width="6" customWidth="1" min="15" max="15"/>
    <col width="20" customWidth="1" min="16" max="16"/>
    <col width="12" customWidth="1" min="17" max="17"/>
    <col width="11" customWidth="1" min="18" max="18"/>
    <col width="24" customWidth="1" min="19" max="19"/>
  </cols>
  <sheetData>
    <row r="1" ht="48" customHeight="1">
      <c r="A1" s="5" t="inlineStr">
        <is>
          <t>รหัส</t>
        </is>
      </c>
      <c r="B1" s="5" t="inlineStr">
        <is>
          <t>อ้างอิงบุคคล/ตัวอย่าง</t>
        </is>
      </c>
      <c r="C1" s="5" t="inlineStr">
        <is>
          <t>จังหวัด</t>
        </is>
      </c>
      <c r="D1" s="5" t="inlineStr">
        <is>
          <t>อำเภอ</t>
        </is>
      </c>
      <c r="E1" s="5" t="inlineStr">
        <is>
          <t>วันเริ่มปฏิบัติงาน</t>
        </is>
      </c>
      <c r="F1" s="5" t="inlineStr">
        <is>
          <t>วันสิ้นสุดปฏิบัติงาน</t>
        </is>
      </c>
      <c r="G1" s="5" t="inlineStr">
        <is>
          <t>วันเริ่มเข้าข่าย (คาดหวัง)</t>
        </is>
      </c>
      <c r="H1" s="5" t="inlineStr">
        <is>
          <t>วันสิ้นสุดเข้าข่าย (คาดหวัง)</t>
        </is>
      </c>
      <c r="I1" s="5" t="inlineStr">
        <is>
          <t>วันปฏิบัติงาน</t>
        </is>
      </c>
      <c r="J1" s="5" t="inlineStr">
        <is>
          <t>วันเข้าข่าย</t>
        </is>
      </c>
      <c r="K1" s="5" t="inlineStr">
        <is>
          <t>วันทวีคูณ</t>
        </is>
      </c>
      <c r="L1" s="5" t="inlineStr">
        <is>
          <t>วัน bonus</t>
        </is>
      </c>
      <c r="M1" s="5" t="inlineStr">
        <is>
          <t>ปี</t>
        </is>
      </c>
      <c r="N1" s="5" t="inlineStr">
        <is>
          <t>เดือน</t>
        </is>
      </c>
      <c r="O1" s="5" t="inlineStr">
        <is>
          <t>วัน</t>
        </is>
      </c>
      <c r="P1" s="5" t="inlineStr">
        <is>
          <t>อ้างอิง Excel เดิม</t>
        </is>
      </c>
      <c r="Q1" s="5" t="inlineStr">
        <is>
          <t>ผู้ยืนยัน</t>
        </is>
      </c>
      <c r="R1" s="5" t="inlineStr">
        <is>
          <t>วันที่ยืนยัน</t>
        </is>
      </c>
      <c r="S1" s="5" t="inlineStr">
        <is>
          <t>หมายเหตุ</t>
        </is>
      </c>
    </row>
    <row r="2">
      <c r="A2" s="6" t="inlineStr">
        <is>
          <t>case_id</t>
        </is>
      </c>
      <c r="B2" s="6" t="inlineStr">
        <is>
          <t>personnel_ref</t>
        </is>
      </c>
      <c r="C2" s="6" t="inlineStr">
        <is>
          <t>province</t>
        </is>
      </c>
      <c r="D2" s="6" t="inlineStr">
        <is>
          <t>district</t>
        </is>
      </c>
      <c r="E2" s="6" t="inlineStr">
        <is>
          <t>service_start_date</t>
        </is>
      </c>
      <c r="F2" s="6" t="inlineStr">
        <is>
          <t>service_end_date</t>
        </is>
      </c>
      <c r="G2" s="6" t="inlineStr">
        <is>
          <t>expected_eligible_start_date</t>
        </is>
      </c>
      <c r="H2" s="6" t="inlineStr">
        <is>
          <t>expected_eligible_end_date</t>
        </is>
      </c>
      <c r="I2" s="6" t="inlineStr">
        <is>
          <t>expected_service_days</t>
        </is>
      </c>
      <c r="J2" s="6" t="inlineStr">
        <is>
          <t>expected_eligible_days</t>
        </is>
      </c>
      <c r="K2" s="6" t="inlineStr">
        <is>
          <t>expected_effective_days</t>
        </is>
      </c>
      <c r="L2" s="6" t="inlineStr">
        <is>
          <t>expected_bonus_days</t>
        </is>
      </c>
      <c r="M2" s="6" t="inlineStr">
        <is>
          <t>expected_net_years</t>
        </is>
      </c>
      <c r="N2" s="6" t="inlineStr">
        <is>
          <t>expected_net_months</t>
        </is>
      </c>
      <c r="O2" s="6" t="inlineStr">
        <is>
          <t>expected_net_days</t>
        </is>
      </c>
      <c r="P2" s="6" t="inlineStr">
        <is>
          <t>excel_source_ref</t>
        </is>
      </c>
      <c r="Q2" s="6" t="inlineStr">
        <is>
          <t>verified_by</t>
        </is>
      </c>
      <c r="R2" s="6" t="inlineStr">
        <is>
          <t>verified_date</t>
        </is>
      </c>
      <c r="S2" s="6" t="inlineStr">
        <is>
          <t>notes</t>
        </is>
      </c>
    </row>
    <row r="3">
      <c r="A3" s="7" t="inlineStr">
        <is>
          <t>TC-001</t>
        </is>
      </c>
      <c r="B3" s="9" t="inlineStr">
        <is>
          <t>ตัวอย่าง: คร่อมวันเริ่มประกาศ</t>
        </is>
      </c>
      <c r="C3" s="9" t="inlineStr">
        <is>
          <t>ยะลา</t>
        </is>
      </c>
      <c r="D3" s="9" t="inlineStr"/>
      <c r="E3" s="9" t="inlineStr">
        <is>
          <t>2004-01-01</t>
        </is>
      </c>
      <c r="F3" s="9" t="inlineStr">
        <is>
          <t>2004-02-10</t>
        </is>
      </c>
      <c r="G3" s="9" t="inlineStr">
        <is>
          <t>2004-01-26</t>
        </is>
      </c>
      <c r="H3" s="9" t="inlineStr">
        <is>
          <t>2004-02-10</t>
        </is>
      </c>
      <c r="I3" s="9" t="n">
        <v>41</v>
      </c>
      <c r="J3" s="9" t="n">
        <v>16</v>
      </c>
      <c r="K3" s="9" t="n">
        <v>32</v>
      </c>
      <c r="L3" s="9" t="n">
        <v>16</v>
      </c>
      <c r="M3" s="9" t="n">
        <v>0</v>
      </c>
      <c r="N3" s="9" t="n">
        <v>1</v>
      </c>
      <c r="O3" s="9" t="n">
        <v>2</v>
      </c>
      <c r="P3" s="8" t="n"/>
      <c r="Q3" s="8" t="n"/>
      <c r="R3" s="8" t="n"/>
      <c r="S3" s="9" t="inlineStr">
        <is>
          <t>ตัวอย่างระบบ — เริ่มงานก่อนวันเริ่มประกาศ</t>
        </is>
      </c>
    </row>
    <row r="4">
      <c r="A4" s="7" t="inlineStr">
        <is>
          <t>TC-002</t>
        </is>
      </c>
      <c r="B4" s="9" t="inlineStr">
        <is>
          <t>ตัวอย่าง: คร่อมวันสิ้นสุดประกาศ</t>
        </is>
      </c>
      <c r="C4" s="9" t="inlineStr">
        <is>
          <t>ยะลา</t>
        </is>
      </c>
      <c r="D4" s="9" t="inlineStr"/>
      <c r="E4" s="9" t="inlineStr">
        <is>
          <t>2004-08-01</t>
        </is>
      </c>
      <c r="F4" s="9" t="inlineStr">
        <is>
          <t>2004-10-15</t>
        </is>
      </c>
      <c r="G4" s="9" t="inlineStr">
        <is>
          <t>2004-08-01</t>
        </is>
      </c>
      <c r="H4" s="9" t="inlineStr">
        <is>
          <t>2004-09-30</t>
        </is>
      </c>
      <c r="I4" s="9" t="n">
        <v>76</v>
      </c>
      <c r="J4" s="9" t="n">
        <v>61</v>
      </c>
      <c r="K4" s="9" t="n">
        <v>122</v>
      </c>
      <c r="L4" s="9" t="n">
        <v>61</v>
      </c>
      <c r="M4" s="9" t="n">
        <v>0</v>
      </c>
      <c r="N4" s="9" t="n">
        <v>4</v>
      </c>
      <c r="O4" s="9" t="n">
        <v>2</v>
      </c>
      <c r="P4" s="8" t="n"/>
      <c r="Q4" s="8" t="n"/>
      <c r="R4" s="8" t="n"/>
      <c r="S4" s="9" t="inlineStr">
        <is>
          <t>ตัวอย่างระบบ — สิ้นสุดงานหลังวันสิ้นสุดประกาศ</t>
        </is>
      </c>
    </row>
    <row r="5">
      <c r="A5" s="7" t="inlineStr">
        <is>
          <t>TC-003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7" t="inlineStr">
        <is>
          <t>กรอกจากเคสจริงใน Excel เดิม</t>
        </is>
      </c>
    </row>
    <row r="6">
      <c r="A6" s="7" t="inlineStr">
        <is>
          <t>TC-004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7" t="inlineStr">
        <is>
          <t>กรอกจากเคสจริงใน Excel เดิม</t>
        </is>
      </c>
    </row>
    <row r="7">
      <c r="A7" s="7" t="inlineStr">
        <is>
          <t>TC-005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7" t="inlineStr">
        <is>
          <t>กรอกจากเคสจริงใน Excel เดิม</t>
        </is>
      </c>
    </row>
    <row r="8">
      <c r="A8" s="7" t="inlineStr">
        <is>
          <t>TC-006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7" t="inlineStr">
        <is>
          <t>กรอกจากเคสจริงใน Excel เดิม</t>
        </is>
      </c>
    </row>
    <row r="9">
      <c r="A9" s="7" t="inlineStr">
        <is>
          <t>TC-007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7" t="inlineStr">
        <is>
          <t>กรอกจากเคสจริงใน Excel เดิม</t>
        </is>
      </c>
    </row>
    <row r="10">
      <c r="A10" s="7" t="inlineStr">
        <is>
          <t>TC-008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7" t="inlineStr">
        <is>
          <t>กรอกจากเคสจริงใน Excel เดิม</t>
        </is>
      </c>
    </row>
    <row r="11">
      <c r="A11" s="7" t="inlineStr">
        <is>
          <t>TC-009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7" t="inlineStr">
        <is>
          <t>กรอกจากเคสจริงใน Excel เดิม</t>
        </is>
      </c>
    </row>
    <row r="12">
      <c r="A12" s="7" t="inlineStr">
        <is>
          <t>TC-010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7" t="inlineStr">
        <is>
          <t>กรอกจากเคสจริงใน Excel เดิม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58" customWidth="1" min="4" max="4"/>
  </cols>
  <sheetData>
    <row r="1">
      <c r="B1" s="10" t="inlineStr">
        <is>
          <t>เครื่องช่วยตรวจคำนวณการนับทวีคูณ</t>
        </is>
      </c>
    </row>
    <row r="2">
      <c r="B2" s="11" t="inlineStr">
        <is>
          <t>แก้ตัวเลขสีน้ำเงิน แล้วเทียบผลกับ Excel เดิม (ตัวอย่างที่ใส่ไว้ = TC-001)</t>
        </is>
      </c>
    </row>
    <row r="4">
      <c r="B4" s="12" t="inlineStr">
        <is>
          <t>วันเริ่มปฏิบัติงาน</t>
        </is>
      </c>
      <c r="C4" s="13" t="n">
        <v>37987</v>
      </c>
    </row>
    <row r="5">
      <c r="B5" s="12" t="inlineStr">
        <is>
          <t>วันสิ้นสุดปฏิบัติงาน</t>
        </is>
      </c>
      <c r="C5" s="13" t="n">
        <v>38027</v>
      </c>
    </row>
    <row r="6">
      <c r="B6" s="12" t="inlineStr">
        <is>
          <t>วันเริ่มมีผลของประกาศ</t>
        </is>
      </c>
      <c r="C6" s="13" t="n">
        <v>38012</v>
      </c>
    </row>
    <row r="7">
      <c r="B7" s="12" t="inlineStr">
        <is>
          <t>วันสิ้นสุดของประกาศ</t>
        </is>
      </c>
      <c r="C7" s="13" t="n">
        <v>38260</v>
      </c>
    </row>
    <row r="8">
      <c r="B8" s="12" t="inlineStr">
        <is>
          <t>อัตราทวีคูณ (%)</t>
        </is>
      </c>
      <c r="C8" s="14" t="n">
        <v>200</v>
      </c>
    </row>
    <row r="9">
      <c r="B9" s="12" t="inlineStr">
        <is>
          <t>วันปฏิบัติงาน (service days)</t>
        </is>
      </c>
      <c r="C9" s="15">
        <f>C5-C4+1</f>
        <v/>
      </c>
      <c r="D9" s="11" t="inlineStr">
        <is>
          <t>นับรวมปลายทั้งสองข้าง (inclusive)</t>
        </is>
      </c>
    </row>
    <row r="10">
      <c r="B10" s="12" t="inlineStr">
        <is>
          <t>วันเริ่มเข้าข่าย</t>
        </is>
      </c>
      <c r="C10" s="16">
        <f>MAX(C4,C6)</f>
        <v/>
      </c>
      <c r="D10" s="11" t="inlineStr">
        <is>
          <t>วันที่หลังกว่า ระหว่างวันเริ่มงานกับวันเริ่มประกาศ</t>
        </is>
      </c>
    </row>
    <row r="11">
      <c r="B11" s="12" t="inlineStr">
        <is>
          <t>วันสิ้นสุดเข้าข่าย</t>
        </is>
      </c>
      <c r="C11" s="16">
        <f>MIN(C5,C7)</f>
        <v/>
      </c>
      <c r="D11" s="11" t="inlineStr">
        <is>
          <t>วันที่ก่อนกว่า ระหว่างวันสิ้นสุดงานกับวันสิ้นสุดประกาศ</t>
        </is>
      </c>
    </row>
    <row r="12">
      <c r="B12" s="12" t="inlineStr">
        <is>
          <t>วันเข้าข่าย (eligible days)</t>
        </is>
      </c>
      <c r="C12" s="15">
        <f>C11-C10+1</f>
        <v/>
      </c>
      <c r="D12" s="11" t="inlineStr">
        <is>
          <t>นับรวมปลายทั้งสองข้าง</t>
        </is>
      </c>
    </row>
    <row r="13">
      <c r="B13" s="12" t="inlineStr">
        <is>
          <t>วันทวีคูณ (effective days)</t>
        </is>
      </c>
      <c r="C13" s="17">
        <f>C12*C8/100</f>
        <v/>
      </c>
      <c r="D13" s="11" t="inlineStr">
        <is>
          <t>วันเข้าข่าย × อัตรา ÷ 100</t>
        </is>
      </c>
    </row>
    <row r="14">
      <c r="B14" s="12" t="inlineStr">
        <is>
          <t>วัน bonus (วันที่ได้เพิ่ม)</t>
        </is>
      </c>
      <c r="C14" s="17">
        <f>C12*(C8-100)/100</f>
        <v/>
      </c>
      <c r="D14" s="11" t="inlineStr">
        <is>
          <t>วันเข้าข่าย × (อัตรา − 100) ÷ 100</t>
        </is>
      </c>
    </row>
    <row r="15">
      <c r="B15" s="12" t="inlineStr">
        <is>
          <t>แปลงผล: ปี</t>
        </is>
      </c>
      <c r="C15" s="15">
        <f>INT(FLOOR(C13,1)/360)</f>
        <v/>
      </c>
      <c r="D15" s="11" t="inlineStr">
        <is>
          <t>ใช้ 1 ปี = 360 วัน</t>
        </is>
      </c>
    </row>
    <row r="16">
      <c r="B16" s="12" t="inlineStr">
        <is>
          <t>แปลงผล: เดือน</t>
        </is>
      </c>
      <c r="C16" s="15">
        <f>INT(MOD(FLOOR(C13,1),360)/30)</f>
        <v/>
      </c>
      <c r="D16" s="11" t="inlineStr">
        <is>
          <t>ใช้ 1 เดือน = 30 วัน</t>
        </is>
      </c>
    </row>
    <row r="17">
      <c r="B17" s="12" t="inlineStr">
        <is>
          <t>แปลงผล: วัน</t>
        </is>
      </c>
      <c r="C17" s="15">
        <f>MOD(MOD(FLOOR(C13,1),360),30)</f>
        <v/>
      </c>
      <c r="D17" s="11" t="inlineStr">
        <is>
          <t>เศษวันที่เหลือ</t>
        </is>
      </c>
    </row>
    <row r="19">
      <c r="B19" s="11" t="inlineStr">
        <is>
          <t>ค่าที่คาดหวังสำหรับ TC-001: วันปฏิบัติงาน 41 · เข้าข่าย 26 ม.ค.–10 ก.พ. 2547 · วันเข้าข่าย 16 · ทวีคูณ 32 · bonus 16 · แปลงผล 0 ปี 1 เดือน 2 วัน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2026-07-10T10:31:11Z</dcterms:created>
  <dcterms:modified xmlns:dcterms="http://purl.org/dc/terms/" xmlns:xsi="http://www.w3.org/2001/XMLSchema-instance" xsi:type="dcterms:W3CDTF">2026-07-10T10:31:11Z</dcterms:modified>
</cp:coreProperties>
</file>